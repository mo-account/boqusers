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ThisWorkbook" defaultThemeVersion="124226"/>
  <xr:revisionPtr revIDLastSave="0" documentId="13_ncr:1_{BC749CA4-6500-4134-8E4D-44211AD36188}" xr6:coauthVersionLast="47" xr6:coauthVersionMax="47" xr10:uidLastSave="{00000000-0000-0000-0000-000000000000}"/>
  <bookViews>
    <workbookView xWindow="-110" yWindow="-110" windowWidth="25820" windowHeight="13900" firstSheet="2" activeTab="3" xr2:uid="{00000000-000D-0000-FFFF-FFFF00000000}"/>
  </bookViews>
  <sheets>
    <sheet name="SECTIONS" sheetId="1" state="veryHidden" r:id="rId1"/>
    <sheet name="Sheet1" sheetId="11" state="veryHidden" r:id="rId2"/>
    <sheet name="ITEMS" sheetId="5" r:id="rId3"/>
    <sheet name="DATA" sheetId="7" r:id="rId4"/>
    <sheet name="GoogleSheet" sheetId="9" state="veryHidden" r:id="rId5"/>
    <sheet name="Account" sheetId="10" state="veryHidden" r:id="rId6"/>
    <sheet name="Gsheet" sheetId="12" state="veryHidden" r:id="rId7"/>
    <sheet name="Equipment Selection" sheetId="8" r:id="rId8"/>
    <sheet name="REF&amp;SETTINGS" sheetId="3" r:id="rId9"/>
    <sheet name="GVMetadata" sheetId="6" state="veryHidden" r:id="rId10"/>
  </sheets>
  <functionGroups builtInGroupCount="19"/>
  <definedNames>
    <definedName name="_xlnm._FilterDatabase" localSheetId="3" hidden="1">DATA!$A$2:$AW$1510</definedName>
    <definedName name="_xlnm._FilterDatabase" localSheetId="0" hidden="1">SECTIONS!$A$2:$T$1500</definedName>
    <definedName name="_xleta.MAX" hidden="1" xlm="1">#NAME?</definedName>
    <definedName name="asphalt">#REF!</definedName>
    <definedName name="boxes">'Equipment Selection'!$A$18:$B$23</definedName>
    <definedName name="cb">'Equipment Selection'!$A$13:$D$15</definedName>
    <definedName name="E4G304">SECTIONS!$E$4</definedName>
    <definedName name="F4G304">SECTIONS!$F$4</definedName>
    <definedName name="from">SECTIONS!$AP$2:$AP$11</definedName>
    <definedName name="G4g304">SECTIONS!$G$4</definedName>
    <definedName name="HELLO" comment="Returns a greeting">_xludf.LAMBDA(name, _xldudf_BOARDFLARE_EXEC("workbook-settings:hello", name))</definedName>
    <definedName name="MandRcalc">'REF&amp;SETTINGS'!$H$4</definedName>
    <definedName name="MINEXC">'REF&amp;SETTINGS'!$H$5</definedName>
    <definedName name="MINEXCNA">'REF&amp;SETTINGS'!$H$6</definedName>
    <definedName name="MINEXCW">'REF&amp;SETTINGS'!$H$6</definedName>
    <definedName name="_xlnm.Print_Area" localSheetId="8">'REF&amp;SETTINGS'!$B$2:$J$44</definedName>
    <definedName name="rmu">'Equipment Selection'!$A$3:$E$5</definedName>
    <definedName name="to">SECTIONS!$AQ$2:$AQ$12</definedName>
    <definedName name="tr">'Equipment Selection'!$A$8:$E$10</definedName>
    <definedName name="voltage">'REF&amp;SETTINGS'!$H$7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O1" i="7"/>
  <c r="B11" i="10"/>
  <c r="CT13" i="1" l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3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89" i="1"/>
  <c r="CT90" i="1"/>
  <c r="CT91" i="1"/>
  <c r="CT92" i="1"/>
  <c r="CT93" i="1"/>
  <c r="CT94" i="1"/>
  <c r="CT95" i="1"/>
  <c r="CT96" i="1"/>
  <c r="CT97" i="1"/>
  <c r="CT98" i="1"/>
  <c r="CT99" i="1"/>
  <c r="CT100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165" i="1"/>
  <c r="CT166" i="1"/>
  <c r="CT167" i="1"/>
  <c r="CT168" i="1"/>
  <c r="CT169" i="1"/>
  <c r="CT170" i="1"/>
  <c r="CT171" i="1"/>
  <c r="CT172" i="1"/>
  <c r="CT173" i="1"/>
  <c r="CT174" i="1"/>
  <c r="CT175" i="1"/>
  <c r="CT176" i="1"/>
  <c r="CT177" i="1"/>
  <c r="CT178" i="1"/>
  <c r="CT179" i="1"/>
  <c r="CT180" i="1"/>
  <c r="CT181" i="1"/>
  <c r="CT182" i="1"/>
  <c r="CT183" i="1"/>
  <c r="CT184" i="1"/>
  <c r="CT185" i="1"/>
  <c r="CT186" i="1"/>
  <c r="CT187" i="1"/>
  <c r="CT188" i="1"/>
  <c r="CT189" i="1"/>
  <c r="CT190" i="1"/>
  <c r="CT191" i="1"/>
  <c r="CT192" i="1"/>
  <c r="CT193" i="1"/>
  <c r="CT194" i="1"/>
  <c r="CT195" i="1"/>
  <c r="CT196" i="1"/>
  <c r="CT197" i="1"/>
  <c r="CT198" i="1"/>
  <c r="CT199" i="1"/>
  <c r="CT200" i="1"/>
  <c r="CT201" i="1"/>
  <c r="CT202" i="1"/>
  <c r="CT203" i="1"/>
  <c r="CT204" i="1"/>
  <c r="CT205" i="1"/>
  <c r="CT206" i="1"/>
  <c r="CT207" i="1"/>
  <c r="CT208" i="1"/>
  <c r="CT209" i="1"/>
  <c r="CT210" i="1"/>
  <c r="CT211" i="1"/>
  <c r="CT212" i="1"/>
  <c r="CT213" i="1"/>
  <c r="CT214" i="1"/>
  <c r="CT215" i="1"/>
  <c r="CT216" i="1"/>
  <c r="CT217" i="1"/>
  <c r="CT218" i="1"/>
  <c r="CT219" i="1"/>
  <c r="CT220" i="1"/>
  <c r="CT221" i="1"/>
  <c r="CT222" i="1"/>
  <c r="CT223" i="1"/>
  <c r="CT224" i="1"/>
  <c r="CT225" i="1"/>
  <c r="CT226" i="1"/>
  <c r="CT227" i="1"/>
  <c r="CT228" i="1"/>
  <c r="CT229" i="1"/>
  <c r="CT230" i="1"/>
  <c r="CT231" i="1"/>
  <c r="CT232" i="1"/>
  <c r="CT233" i="1"/>
  <c r="CT234" i="1"/>
  <c r="CT235" i="1"/>
  <c r="CT236" i="1"/>
  <c r="CT237" i="1"/>
  <c r="CT238" i="1"/>
  <c r="CT239" i="1"/>
  <c r="CT240" i="1"/>
  <c r="CT241" i="1"/>
  <c r="CT242" i="1"/>
  <c r="CT243" i="1"/>
  <c r="CT244" i="1"/>
  <c r="CT245" i="1"/>
  <c r="CT246" i="1"/>
  <c r="CT247" i="1"/>
  <c r="CT248" i="1"/>
  <c r="CT249" i="1"/>
  <c r="CT250" i="1"/>
  <c r="CT251" i="1"/>
  <c r="CT252" i="1"/>
  <c r="CT253" i="1"/>
  <c r="CT254" i="1"/>
  <c r="CT255" i="1"/>
  <c r="CT256" i="1"/>
  <c r="CT257" i="1"/>
  <c r="CT258" i="1"/>
  <c r="CT259" i="1"/>
  <c r="CT260" i="1"/>
  <c r="CT261" i="1"/>
  <c r="CT262" i="1"/>
  <c r="CT263" i="1"/>
  <c r="CT264" i="1"/>
  <c r="CT265" i="1"/>
  <c r="CT266" i="1"/>
  <c r="CT267" i="1"/>
  <c r="CT268" i="1"/>
  <c r="CT269" i="1"/>
  <c r="CT270" i="1"/>
  <c r="CT271" i="1"/>
  <c r="CT272" i="1"/>
  <c r="CT273" i="1"/>
  <c r="CT274" i="1"/>
  <c r="CT275" i="1"/>
  <c r="CT276" i="1"/>
  <c r="CT277" i="1"/>
  <c r="CT278" i="1"/>
  <c r="CT279" i="1"/>
  <c r="CT280" i="1"/>
  <c r="CT281" i="1"/>
  <c r="CT282" i="1"/>
  <c r="CT283" i="1"/>
  <c r="CT284" i="1"/>
  <c r="CT285" i="1"/>
  <c r="CT286" i="1"/>
  <c r="CT287" i="1"/>
  <c r="CT288" i="1"/>
  <c r="CT289" i="1"/>
  <c r="CT290" i="1"/>
  <c r="CT291" i="1"/>
  <c r="CT292" i="1"/>
  <c r="CT293" i="1"/>
  <c r="CT294" i="1"/>
  <c r="CT295" i="1"/>
  <c r="CT296" i="1"/>
  <c r="CT297" i="1"/>
  <c r="CT298" i="1"/>
  <c r="CT299" i="1"/>
  <c r="CT300" i="1"/>
  <c r="CT301" i="1"/>
  <c r="CT302" i="1"/>
  <c r="CT303" i="1"/>
  <c r="CT304" i="1"/>
  <c r="CT305" i="1"/>
  <c r="CT306" i="1"/>
  <c r="CT307" i="1"/>
  <c r="CT308" i="1"/>
  <c r="CT309" i="1"/>
  <c r="CT310" i="1"/>
  <c r="CT311" i="1"/>
  <c r="CT312" i="1"/>
  <c r="CT313" i="1"/>
  <c r="CT314" i="1"/>
  <c r="CT315" i="1"/>
  <c r="CT316" i="1"/>
  <c r="CT317" i="1"/>
  <c r="CT318" i="1"/>
  <c r="CT319" i="1"/>
  <c r="CT320" i="1"/>
  <c r="CT321" i="1"/>
  <c r="CT322" i="1"/>
  <c r="CT323" i="1"/>
  <c r="CT324" i="1"/>
  <c r="CT325" i="1"/>
  <c r="CT326" i="1"/>
  <c r="CT327" i="1"/>
  <c r="CT328" i="1"/>
  <c r="CT329" i="1"/>
  <c r="CT330" i="1"/>
  <c r="CT331" i="1"/>
  <c r="CT332" i="1"/>
  <c r="CT333" i="1"/>
  <c r="CT334" i="1"/>
  <c r="CT335" i="1"/>
  <c r="CT336" i="1"/>
  <c r="CT337" i="1"/>
  <c r="CT338" i="1"/>
  <c r="CT339" i="1"/>
  <c r="CT340" i="1"/>
  <c r="CT341" i="1"/>
  <c r="CT342" i="1"/>
  <c r="CT343" i="1"/>
  <c r="CT344" i="1"/>
  <c r="CT345" i="1"/>
  <c r="CT346" i="1"/>
  <c r="CT347" i="1"/>
  <c r="CT348" i="1"/>
  <c r="CT349" i="1"/>
  <c r="CT350" i="1"/>
  <c r="CT351" i="1"/>
  <c r="CT352" i="1"/>
  <c r="CT353" i="1"/>
  <c r="CT354" i="1"/>
  <c r="CT355" i="1"/>
  <c r="CT356" i="1"/>
  <c r="CT357" i="1"/>
  <c r="CT358" i="1"/>
  <c r="CT359" i="1"/>
  <c r="CT360" i="1"/>
  <c r="CT361" i="1"/>
  <c r="CT362" i="1"/>
  <c r="CT363" i="1"/>
  <c r="CT364" i="1"/>
  <c r="CT365" i="1"/>
  <c r="CT366" i="1"/>
  <c r="CT367" i="1"/>
  <c r="CT368" i="1"/>
  <c r="CT369" i="1"/>
  <c r="CT370" i="1"/>
  <c r="CT371" i="1"/>
  <c r="CT372" i="1"/>
  <c r="CT373" i="1"/>
  <c r="CT374" i="1"/>
  <c r="CT375" i="1"/>
  <c r="CT376" i="1"/>
  <c r="CT377" i="1"/>
  <c r="CT378" i="1"/>
  <c r="CT379" i="1"/>
  <c r="CT380" i="1"/>
  <c r="CT381" i="1"/>
  <c r="CT382" i="1"/>
  <c r="CT383" i="1"/>
  <c r="CT384" i="1"/>
  <c r="CT385" i="1"/>
  <c r="CT386" i="1"/>
  <c r="CT387" i="1"/>
  <c r="CT388" i="1"/>
  <c r="CT389" i="1"/>
  <c r="CT390" i="1"/>
  <c r="CT391" i="1"/>
  <c r="CT392" i="1"/>
  <c r="CT393" i="1"/>
  <c r="CT394" i="1"/>
  <c r="CT395" i="1"/>
  <c r="CT396" i="1"/>
  <c r="CT397" i="1"/>
  <c r="CT398" i="1"/>
  <c r="CT399" i="1"/>
  <c r="CT400" i="1"/>
  <c r="CT401" i="1"/>
  <c r="CT402" i="1"/>
  <c r="CT403" i="1"/>
  <c r="CT404" i="1"/>
  <c r="CT405" i="1"/>
  <c r="CT406" i="1"/>
  <c r="CT407" i="1"/>
  <c r="CT408" i="1"/>
  <c r="CT409" i="1"/>
  <c r="CT410" i="1"/>
  <c r="CT411" i="1"/>
  <c r="CT412" i="1"/>
  <c r="CT413" i="1"/>
  <c r="CT414" i="1"/>
  <c r="CT415" i="1"/>
  <c r="CT416" i="1"/>
  <c r="CT417" i="1"/>
  <c r="CT418" i="1"/>
  <c r="CT419" i="1"/>
  <c r="CT420" i="1"/>
  <c r="CT421" i="1"/>
  <c r="CT422" i="1"/>
  <c r="CT423" i="1"/>
  <c r="CT424" i="1"/>
  <c r="CT425" i="1"/>
  <c r="CT426" i="1"/>
  <c r="CT427" i="1"/>
  <c r="CT428" i="1"/>
  <c r="CT429" i="1"/>
  <c r="CT430" i="1"/>
  <c r="CT431" i="1"/>
  <c r="CT432" i="1"/>
  <c r="CT433" i="1"/>
  <c r="CT434" i="1"/>
  <c r="CT435" i="1"/>
  <c r="CT436" i="1"/>
  <c r="CT437" i="1"/>
  <c r="CT438" i="1"/>
  <c r="CT439" i="1"/>
  <c r="CT440" i="1"/>
  <c r="CT441" i="1"/>
  <c r="CT442" i="1"/>
  <c r="CT443" i="1"/>
  <c r="CT444" i="1"/>
  <c r="CT445" i="1"/>
  <c r="CT446" i="1"/>
  <c r="CT447" i="1"/>
  <c r="CT448" i="1"/>
  <c r="CT449" i="1"/>
  <c r="CT450" i="1"/>
  <c r="CT451" i="1"/>
  <c r="CT452" i="1"/>
  <c r="CT453" i="1"/>
  <c r="CT454" i="1"/>
  <c r="CT455" i="1"/>
  <c r="CT456" i="1"/>
  <c r="CT457" i="1"/>
  <c r="CT458" i="1"/>
  <c r="CT459" i="1"/>
  <c r="CT460" i="1"/>
  <c r="CT461" i="1"/>
  <c r="CT462" i="1"/>
  <c r="CT463" i="1"/>
  <c r="CT464" i="1"/>
  <c r="CT465" i="1"/>
  <c r="CT466" i="1"/>
  <c r="CT467" i="1"/>
  <c r="CT468" i="1"/>
  <c r="CT469" i="1"/>
  <c r="CT470" i="1"/>
  <c r="CT471" i="1"/>
  <c r="CT472" i="1"/>
  <c r="CT473" i="1"/>
  <c r="CT474" i="1"/>
  <c r="CT475" i="1"/>
  <c r="CT476" i="1"/>
  <c r="CT477" i="1"/>
  <c r="CT478" i="1"/>
  <c r="CT479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530" i="1"/>
  <c r="CT531" i="1"/>
  <c r="CT532" i="1"/>
  <c r="CT533" i="1"/>
  <c r="CT534" i="1"/>
  <c r="CT535" i="1"/>
  <c r="CT536" i="1"/>
  <c r="CT537" i="1"/>
  <c r="CT538" i="1"/>
  <c r="CT539" i="1"/>
  <c r="CT540" i="1"/>
  <c r="CT541" i="1"/>
  <c r="CT542" i="1"/>
  <c r="CT543" i="1"/>
  <c r="CT544" i="1"/>
  <c r="CT545" i="1"/>
  <c r="CT546" i="1"/>
  <c r="CT547" i="1"/>
  <c r="CT548" i="1"/>
  <c r="CT549" i="1"/>
  <c r="CT550" i="1"/>
  <c r="CT551" i="1"/>
  <c r="CT552" i="1"/>
  <c r="CT553" i="1"/>
  <c r="CT554" i="1"/>
  <c r="CT555" i="1"/>
  <c r="CT556" i="1"/>
  <c r="CT557" i="1"/>
  <c r="CT558" i="1"/>
  <c r="CT559" i="1"/>
  <c r="CT560" i="1"/>
  <c r="CT561" i="1"/>
  <c r="CT562" i="1"/>
  <c r="CT563" i="1"/>
  <c r="CT564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92" i="1"/>
  <c r="CT593" i="1"/>
  <c r="CT594" i="1"/>
  <c r="CT595" i="1"/>
  <c r="CT596" i="1"/>
  <c r="CT597" i="1"/>
  <c r="CT598" i="1"/>
  <c r="CT599" i="1"/>
  <c r="CT600" i="1"/>
  <c r="CT601" i="1"/>
  <c r="CT602" i="1"/>
  <c r="CT603" i="1"/>
  <c r="CT604" i="1"/>
  <c r="CT605" i="1"/>
  <c r="CT606" i="1"/>
  <c r="CT607" i="1"/>
  <c r="CT608" i="1"/>
  <c r="CT609" i="1"/>
  <c r="CT610" i="1"/>
  <c r="CT611" i="1"/>
  <c r="CT612" i="1"/>
  <c r="CT613" i="1"/>
  <c r="CT614" i="1"/>
  <c r="CT615" i="1"/>
  <c r="CT616" i="1"/>
  <c r="CT617" i="1"/>
  <c r="CT618" i="1"/>
  <c r="CT619" i="1"/>
  <c r="CT620" i="1"/>
  <c r="CT621" i="1"/>
  <c r="CT622" i="1"/>
  <c r="CT623" i="1"/>
  <c r="CT624" i="1"/>
  <c r="CT625" i="1"/>
  <c r="CT626" i="1"/>
  <c r="CT627" i="1"/>
  <c r="CT628" i="1"/>
  <c r="CT629" i="1"/>
  <c r="CT630" i="1"/>
  <c r="CT631" i="1"/>
  <c r="CT632" i="1"/>
  <c r="CT633" i="1"/>
  <c r="CT634" i="1"/>
  <c r="CT635" i="1"/>
  <c r="CT636" i="1"/>
  <c r="CT637" i="1"/>
  <c r="CT638" i="1"/>
  <c r="CT639" i="1"/>
  <c r="CT640" i="1"/>
  <c r="CT641" i="1"/>
  <c r="CT642" i="1"/>
  <c r="CT643" i="1"/>
  <c r="CT644" i="1"/>
  <c r="CT645" i="1"/>
  <c r="CT646" i="1"/>
  <c r="CT647" i="1"/>
  <c r="CT648" i="1"/>
  <c r="CT649" i="1"/>
  <c r="CT650" i="1"/>
  <c r="CT651" i="1"/>
  <c r="CT652" i="1"/>
  <c r="CT653" i="1"/>
  <c r="CT654" i="1"/>
  <c r="CT655" i="1"/>
  <c r="CT656" i="1"/>
  <c r="CT657" i="1"/>
  <c r="CT658" i="1"/>
  <c r="CT659" i="1"/>
  <c r="CT660" i="1"/>
  <c r="CT661" i="1"/>
  <c r="CT662" i="1"/>
  <c r="CT663" i="1"/>
  <c r="CT664" i="1"/>
  <c r="CT665" i="1"/>
  <c r="CT666" i="1"/>
  <c r="CT667" i="1"/>
  <c r="CT668" i="1"/>
  <c r="CT669" i="1"/>
  <c r="CT670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709" i="1"/>
  <c r="CT710" i="1"/>
  <c r="CT711" i="1"/>
  <c r="CT712" i="1"/>
  <c r="CT713" i="1"/>
  <c r="CT714" i="1"/>
  <c r="CT715" i="1"/>
  <c r="CT716" i="1"/>
  <c r="CT717" i="1"/>
  <c r="CT718" i="1"/>
  <c r="CT719" i="1"/>
  <c r="CT720" i="1"/>
  <c r="CT721" i="1"/>
  <c r="CT722" i="1"/>
  <c r="CT723" i="1"/>
  <c r="CT724" i="1"/>
  <c r="CT725" i="1"/>
  <c r="CT726" i="1"/>
  <c r="CT727" i="1"/>
  <c r="CT728" i="1"/>
  <c r="CT729" i="1"/>
  <c r="CT730" i="1"/>
  <c r="CT731" i="1"/>
  <c r="CT732" i="1"/>
  <c r="CT733" i="1"/>
  <c r="CT734" i="1"/>
  <c r="CT735" i="1"/>
  <c r="CT736" i="1"/>
  <c r="CT737" i="1"/>
  <c r="CT738" i="1"/>
  <c r="CT739" i="1"/>
  <c r="CT740" i="1"/>
  <c r="CT741" i="1"/>
  <c r="CT742" i="1"/>
  <c r="CT743" i="1"/>
  <c r="CT744" i="1"/>
  <c r="CT745" i="1"/>
  <c r="CT746" i="1"/>
  <c r="CT747" i="1"/>
  <c r="CT748" i="1"/>
  <c r="CT749" i="1"/>
  <c r="CT750" i="1"/>
  <c r="CT751" i="1"/>
  <c r="CT752" i="1"/>
  <c r="CT753" i="1"/>
  <c r="CT754" i="1"/>
  <c r="CT755" i="1"/>
  <c r="CT756" i="1"/>
  <c r="CT757" i="1"/>
  <c r="CT758" i="1"/>
  <c r="CT759" i="1"/>
  <c r="CT760" i="1"/>
  <c r="CT761" i="1"/>
  <c r="CT762" i="1"/>
  <c r="CT763" i="1"/>
  <c r="CT764" i="1"/>
  <c r="CT765" i="1"/>
  <c r="CT766" i="1"/>
  <c r="CT767" i="1"/>
  <c r="CT768" i="1"/>
  <c r="CT769" i="1"/>
  <c r="CT770" i="1"/>
  <c r="CT771" i="1"/>
  <c r="CT772" i="1"/>
  <c r="CT773" i="1"/>
  <c r="CT774" i="1"/>
  <c r="CT775" i="1"/>
  <c r="CT776" i="1"/>
  <c r="CT777" i="1"/>
  <c r="CT778" i="1"/>
  <c r="CT779" i="1"/>
  <c r="CT780" i="1"/>
  <c r="CT781" i="1"/>
  <c r="CT782" i="1"/>
  <c r="CT783" i="1"/>
  <c r="CT784" i="1"/>
  <c r="CT785" i="1"/>
  <c r="CT786" i="1"/>
  <c r="CT787" i="1"/>
  <c r="CT788" i="1"/>
  <c r="CT789" i="1"/>
  <c r="CT790" i="1"/>
  <c r="CT791" i="1"/>
  <c r="CT792" i="1"/>
  <c r="CT793" i="1"/>
  <c r="CT794" i="1"/>
  <c r="CT795" i="1"/>
  <c r="CT796" i="1"/>
  <c r="CT797" i="1"/>
  <c r="CT798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848" i="1"/>
  <c r="CT849" i="1"/>
  <c r="CT850" i="1"/>
  <c r="CT851" i="1"/>
  <c r="CT852" i="1"/>
  <c r="CT853" i="1"/>
  <c r="CT854" i="1"/>
  <c r="CT855" i="1"/>
  <c r="CT856" i="1"/>
  <c r="CT857" i="1"/>
  <c r="CT858" i="1"/>
  <c r="CT859" i="1"/>
  <c r="CT860" i="1"/>
  <c r="CT861" i="1"/>
  <c r="CT862" i="1"/>
  <c r="CT863" i="1"/>
  <c r="CT864" i="1"/>
  <c r="CT865" i="1"/>
  <c r="CT866" i="1"/>
  <c r="CT867" i="1"/>
  <c r="CT868" i="1"/>
  <c r="CT869" i="1"/>
  <c r="CT870" i="1"/>
  <c r="CT871" i="1"/>
  <c r="CT872" i="1"/>
  <c r="CT873" i="1"/>
  <c r="CT874" i="1"/>
  <c r="CT875" i="1"/>
  <c r="CT876" i="1"/>
  <c r="CT877" i="1"/>
  <c r="CT878" i="1"/>
  <c r="CT879" i="1"/>
  <c r="CT880" i="1"/>
  <c r="CT881" i="1"/>
  <c r="CT882" i="1"/>
  <c r="CT883" i="1"/>
  <c r="CT884" i="1"/>
  <c r="CT885" i="1"/>
  <c r="CT886" i="1"/>
  <c r="CT887" i="1"/>
  <c r="CT888" i="1"/>
  <c r="CT889" i="1"/>
  <c r="CT890" i="1"/>
  <c r="CT891" i="1"/>
  <c r="CT892" i="1"/>
  <c r="CT893" i="1"/>
  <c r="CT894" i="1"/>
  <c r="CT895" i="1"/>
  <c r="CT896" i="1"/>
  <c r="CT897" i="1"/>
  <c r="CT898" i="1"/>
  <c r="CT899" i="1"/>
  <c r="CT900" i="1"/>
  <c r="CT901" i="1"/>
  <c r="CT902" i="1"/>
  <c r="CT903" i="1"/>
  <c r="CT904" i="1"/>
  <c r="CT905" i="1"/>
  <c r="CT906" i="1"/>
  <c r="CT907" i="1"/>
  <c r="CT908" i="1"/>
  <c r="CT909" i="1"/>
  <c r="CT910" i="1"/>
  <c r="CT911" i="1"/>
  <c r="CT912" i="1"/>
  <c r="CT913" i="1"/>
  <c r="CT914" i="1"/>
  <c r="CT915" i="1"/>
  <c r="CT916" i="1"/>
  <c r="CT917" i="1"/>
  <c r="CT918" i="1"/>
  <c r="CT919" i="1"/>
  <c r="CT920" i="1"/>
  <c r="CT921" i="1"/>
  <c r="CT922" i="1"/>
  <c r="CT923" i="1"/>
  <c r="CT924" i="1"/>
  <c r="CT925" i="1"/>
  <c r="CT926" i="1"/>
  <c r="CT927" i="1"/>
  <c r="CT928" i="1"/>
  <c r="CT929" i="1"/>
  <c r="CT930" i="1"/>
  <c r="CT931" i="1"/>
  <c r="CT932" i="1"/>
  <c r="CT933" i="1"/>
  <c r="CT934" i="1"/>
  <c r="CT935" i="1"/>
  <c r="CT936" i="1"/>
  <c r="CT937" i="1"/>
  <c r="CT938" i="1"/>
  <c r="CT939" i="1"/>
  <c r="CT940" i="1"/>
  <c r="CT941" i="1"/>
  <c r="CT942" i="1"/>
  <c r="CT943" i="1"/>
  <c r="CT944" i="1"/>
  <c r="CT945" i="1"/>
  <c r="CT946" i="1"/>
  <c r="CT947" i="1"/>
  <c r="CT948" i="1"/>
  <c r="CT949" i="1"/>
  <c r="CT950" i="1"/>
  <c r="CT951" i="1"/>
  <c r="CT952" i="1"/>
  <c r="CT953" i="1"/>
  <c r="CT954" i="1"/>
  <c r="CT955" i="1"/>
  <c r="CT956" i="1"/>
  <c r="CT957" i="1"/>
  <c r="CT958" i="1"/>
  <c r="CT959" i="1"/>
  <c r="CT960" i="1"/>
  <c r="CT961" i="1"/>
  <c r="CT962" i="1"/>
  <c r="CT963" i="1"/>
  <c r="CT964" i="1"/>
  <c r="CT965" i="1"/>
  <c r="CT966" i="1"/>
  <c r="CT967" i="1"/>
  <c r="CT968" i="1"/>
  <c r="CT969" i="1"/>
  <c r="CT970" i="1"/>
  <c r="CT971" i="1"/>
  <c r="CT972" i="1"/>
  <c r="CT973" i="1"/>
  <c r="CT974" i="1"/>
  <c r="CT975" i="1"/>
  <c r="CT976" i="1"/>
  <c r="CT977" i="1"/>
  <c r="CT978" i="1"/>
  <c r="CT979" i="1"/>
  <c r="CT980" i="1"/>
  <c r="CT981" i="1"/>
  <c r="CT982" i="1"/>
  <c r="CT983" i="1"/>
  <c r="CT984" i="1"/>
  <c r="CT985" i="1"/>
  <c r="CT986" i="1"/>
  <c r="CT987" i="1"/>
  <c r="CT988" i="1"/>
  <c r="CT989" i="1"/>
  <c r="CT990" i="1"/>
  <c r="CT991" i="1"/>
  <c r="CT992" i="1"/>
  <c r="CT993" i="1"/>
  <c r="CT994" i="1"/>
  <c r="CT995" i="1"/>
  <c r="CT996" i="1"/>
  <c r="CT997" i="1"/>
  <c r="CT998" i="1"/>
  <c r="CT999" i="1"/>
  <c r="CT1000" i="1"/>
  <c r="CT1001" i="1"/>
  <c r="CT1002" i="1"/>
  <c r="CT1003" i="1"/>
  <c r="CT1004" i="1"/>
  <c r="CT1005" i="1"/>
  <c r="CT1006" i="1"/>
  <c r="CT1007" i="1"/>
  <c r="CT1008" i="1"/>
  <c r="CT1009" i="1"/>
  <c r="CT1010" i="1"/>
  <c r="CT1011" i="1"/>
  <c r="CT1012" i="1"/>
  <c r="CT1013" i="1"/>
  <c r="CT1014" i="1"/>
  <c r="CT1015" i="1"/>
  <c r="CT1016" i="1"/>
  <c r="CT1017" i="1"/>
  <c r="CT1018" i="1"/>
  <c r="CT1019" i="1"/>
  <c r="CT1020" i="1"/>
  <c r="CT1021" i="1"/>
  <c r="CT1022" i="1"/>
  <c r="CT1023" i="1"/>
  <c r="CT1024" i="1"/>
  <c r="CT1025" i="1"/>
  <c r="CT1026" i="1"/>
  <c r="CT1027" i="1"/>
  <c r="CT1028" i="1"/>
  <c r="CT1029" i="1"/>
  <c r="CT1030" i="1"/>
  <c r="CT1031" i="1"/>
  <c r="CT1032" i="1"/>
  <c r="CT1033" i="1"/>
  <c r="CT1034" i="1"/>
  <c r="CT1035" i="1"/>
  <c r="CT1036" i="1"/>
  <c r="CT1037" i="1"/>
  <c r="CT1038" i="1"/>
  <c r="CT1039" i="1"/>
  <c r="CT1040" i="1"/>
  <c r="CT1041" i="1"/>
  <c r="CT1042" i="1"/>
  <c r="CT1043" i="1"/>
  <c r="CT1044" i="1"/>
  <c r="CT1045" i="1"/>
  <c r="CT1046" i="1"/>
  <c r="CT1047" i="1"/>
  <c r="CT1048" i="1"/>
  <c r="CT1049" i="1"/>
  <c r="CT1050" i="1"/>
  <c r="CT1051" i="1"/>
  <c r="CT1052" i="1"/>
  <c r="CT1053" i="1"/>
  <c r="CT1054" i="1"/>
  <c r="CT1055" i="1"/>
  <c r="CT1056" i="1"/>
  <c r="CT1057" i="1"/>
  <c r="CT1058" i="1"/>
  <c r="CT1059" i="1"/>
  <c r="CT1060" i="1"/>
  <c r="CT1061" i="1"/>
  <c r="CT1062" i="1"/>
  <c r="CT1063" i="1"/>
  <c r="CT1064" i="1"/>
  <c r="CT1065" i="1"/>
  <c r="CT1066" i="1"/>
  <c r="CT1067" i="1"/>
  <c r="CT1068" i="1"/>
  <c r="CT1069" i="1"/>
  <c r="CT1070" i="1"/>
  <c r="CT1071" i="1"/>
  <c r="CT1072" i="1"/>
  <c r="CT1073" i="1"/>
  <c r="CT1074" i="1"/>
  <c r="CT1075" i="1"/>
  <c r="CT1076" i="1"/>
  <c r="CT1077" i="1"/>
  <c r="CT1078" i="1"/>
  <c r="CT1079" i="1"/>
  <c r="CT1080" i="1"/>
  <c r="CT1081" i="1"/>
  <c r="CT1082" i="1"/>
  <c r="CT1083" i="1"/>
  <c r="CT1084" i="1"/>
  <c r="CT1085" i="1"/>
  <c r="CT1086" i="1"/>
  <c r="CT1087" i="1"/>
  <c r="CT1088" i="1"/>
  <c r="CT1089" i="1"/>
  <c r="CT1090" i="1"/>
  <c r="CT1091" i="1"/>
  <c r="CT1092" i="1"/>
  <c r="CT1093" i="1"/>
  <c r="CT1094" i="1"/>
  <c r="CT1095" i="1"/>
  <c r="CT1096" i="1"/>
  <c r="CT1097" i="1"/>
  <c r="CT1098" i="1"/>
  <c r="CT1099" i="1"/>
  <c r="CT1100" i="1"/>
  <c r="CT1101" i="1"/>
  <c r="CT1102" i="1"/>
  <c r="CT1103" i="1"/>
  <c r="CT1104" i="1"/>
  <c r="CT1105" i="1"/>
  <c r="CT1106" i="1"/>
  <c r="CT1107" i="1"/>
  <c r="CT1108" i="1"/>
  <c r="CT1109" i="1"/>
  <c r="CT1110" i="1"/>
  <c r="CT1111" i="1"/>
  <c r="CT1112" i="1"/>
  <c r="CT1113" i="1"/>
  <c r="CT1114" i="1"/>
  <c r="CT1115" i="1"/>
  <c r="CT1116" i="1"/>
  <c r="CT1117" i="1"/>
  <c r="CT1118" i="1"/>
  <c r="CT1119" i="1"/>
  <c r="CT1120" i="1"/>
  <c r="CT1121" i="1"/>
  <c r="CT1122" i="1"/>
  <c r="CT1123" i="1"/>
  <c r="CT1124" i="1"/>
  <c r="CT1125" i="1"/>
  <c r="CT1126" i="1"/>
  <c r="CT1127" i="1"/>
  <c r="CT1128" i="1"/>
  <c r="CT1129" i="1"/>
  <c r="CT1130" i="1"/>
  <c r="CT1131" i="1"/>
  <c r="CT1132" i="1"/>
  <c r="CT1133" i="1"/>
  <c r="CT1134" i="1"/>
  <c r="CT1135" i="1"/>
  <c r="CT1136" i="1"/>
  <c r="CT1137" i="1"/>
  <c r="CT1138" i="1"/>
  <c r="CT1139" i="1"/>
  <c r="CT1140" i="1"/>
  <c r="CT1141" i="1"/>
  <c r="CT1142" i="1"/>
  <c r="CT1143" i="1"/>
  <c r="CT1144" i="1"/>
  <c r="CT1145" i="1"/>
  <c r="CT1146" i="1"/>
  <c r="CT1147" i="1"/>
  <c r="CT1148" i="1"/>
  <c r="CT1149" i="1"/>
  <c r="CT1150" i="1"/>
  <c r="CT1151" i="1"/>
  <c r="CT1152" i="1"/>
  <c r="CT1153" i="1"/>
  <c r="CT1154" i="1"/>
  <c r="CT1155" i="1"/>
  <c r="CT1156" i="1"/>
  <c r="CT1157" i="1"/>
  <c r="CT1158" i="1"/>
  <c r="CT1159" i="1"/>
  <c r="CT1160" i="1"/>
  <c r="CT1161" i="1"/>
  <c r="CT1162" i="1"/>
  <c r="CT1163" i="1"/>
  <c r="CT1164" i="1"/>
  <c r="CT1165" i="1"/>
  <c r="CT1166" i="1"/>
  <c r="CT1167" i="1"/>
  <c r="CT1168" i="1"/>
  <c r="CT1169" i="1"/>
  <c r="CT1170" i="1"/>
  <c r="CT1171" i="1"/>
  <c r="CT1172" i="1"/>
  <c r="CT1173" i="1"/>
  <c r="CT1174" i="1"/>
  <c r="CT1175" i="1"/>
  <c r="CT1176" i="1"/>
  <c r="CT1177" i="1"/>
  <c r="CT1178" i="1"/>
  <c r="CT1179" i="1"/>
  <c r="CT1180" i="1"/>
  <c r="CT1181" i="1"/>
  <c r="CT1182" i="1"/>
  <c r="CT1183" i="1"/>
  <c r="CT1184" i="1"/>
  <c r="CT1185" i="1"/>
  <c r="CT1186" i="1"/>
  <c r="CT1187" i="1"/>
  <c r="CT1188" i="1"/>
  <c r="CT1189" i="1"/>
  <c r="CT1190" i="1"/>
  <c r="CT1191" i="1"/>
  <c r="CT1192" i="1"/>
  <c r="CT1193" i="1"/>
  <c r="CT1194" i="1"/>
  <c r="CT1195" i="1"/>
  <c r="CT1196" i="1"/>
  <c r="CT1197" i="1"/>
  <c r="CT1198" i="1"/>
  <c r="CT1199" i="1"/>
  <c r="CT1200" i="1"/>
  <c r="CT1201" i="1"/>
  <c r="CT1202" i="1"/>
  <c r="CT1203" i="1"/>
  <c r="CT1204" i="1"/>
  <c r="CT1205" i="1"/>
  <c r="CT1206" i="1"/>
  <c r="CT1207" i="1"/>
  <c r="CT1208" i="1"/>
  <c r="CT1209" i="1"/>
  <c r="CT1210" i="1"/>
  <c r="CT1211" i="1"/>
  <c r="CT1212" i="1"/>
  <c r="CT1213" i="1"/>
  <c r="CT1214" i="1"/>
  <c r="CT1215" i="1"/>
  <c r="CT1216" i="1"/>
  <c r="CT1217" i="1"/>
  <c r="CT1218" i="1"/>
  <c r="CT1219" i="1"/>
  <c r="CT1220" i="1"/>
  <c r="CT1221" i="1"/>
  <c r="CT1222" i="1"/>
  <c r="CT1223" i="1"/>
  <c r="CT1224" i="1"/>
  <c r="CT1225" i="1"/>
  <c r="CT1226" i="1"/>
  <c r="CT1227" i="1"/>
  <c r="CT1228" i="1"/>
  <c r="CT1229" i="1"/>
  <c r="CT1230" i="1"/>
  <c r="CT1231" i="1"/>
  <c r="CT1232" i="1"/>
  <c r="CT1233" i="1"/>
  <c r="CT1234" i="1"/>
  <c r="CT1235" i="1"/>
  <c r="CT1236" i="1"/>
  <c r="CT1237" i="1"/>
  <c r="CT1238" i="1"/>
  <c r="CT1239" i="1"/>
  <c r="CT1240" i="1"/>
  <c r="CT1241" i="1"/>
  <c r="CT1242" i="1"/>
  <c r="CT1243" i="1"/>
  <c r="CT1244" i="1"/>
  <c r="CT1245" i="1"/>
  <c r="CT1246" i="1"/>
  <c r="CT1247" i="1"/>
  <c r="CT1248" i="1"/>
  <c r="CT1249" i="1"/>
  <c r="CT1250" i="1"/>
  <c r="CT1251" i="1"/>
  <c r="CT1252" i="1"/>
  <c r="CT1253" i="1"/>
  <c r="CT1254" i="1"/>
  <c r="CT1255" i="1"/>
  <c r="CT1256" i="1"/>
  <c r="CT1257" i="1"/>
  <c r="CT1258" i="1"/>
  <c r="CT1259" i="1"/>
  <c r="CT1260" i="1"/>
  <c r="CT1261" i="1"/>
  <c r="CT1262" i="1"/>
  <c r="CT1263" i="1"/>
  <c r="CT1264" i="1"/>
  <c r="CT1265" i="1"/>
  <c r="CT1266" i="1"/>
  <c r="CT1267" i="1"/>
  <c r="CT1268" i="1"/>
  <c r="CT1269" i="1"/>
  <c r="CT1270" i="1"/>
  <c r="CT1271" i="1"/>
  <c r="CT1272" i="1"/>
  <c r="CT1273" i="1"/>
  <c r="CT1274" i="1"/>
  <c r="CT1275" i="1"/>
  <c r="CT1276" i="1"/>
  <c r="CT1277" i="1"/>
  <c r="CT1278" i="1"/>
  <c r="CT1279" i="1"/>
  <c r="CT1280" i="1"/>
  <c r="CT1281" i="1"/>
  <c r="CT1282" i="1"/>
  <c r="CT1283" i="1"/>
  <c r="CT1284" i="1"/>
  <c r="CT1285" i="1"/>
  <c r="CT1286" i="1"/>
  <c r="CT1287" i="1"/>
  <c r="CT1288" i="1"/>
  <c r="CT1289" i="1"/>
  <c r="CT1290" i="1"/>
  <c r="CT1291" i="1"/>
  <c r="CT1292" i="1"/>
  <c r="CT1293" i="1"/>
  <c r="CT1294" i="1"/>
  <c r="CT1295" i="1"/>
  <c r="CT1296" i="1"/>
  <c r="CT1297" i="1"/>
  <c r="CT1298" i="1"/>
  <c r="CT1299" i="1"/>
  <c r="CT1300" i="1"/>
  <c r="CT1301" i="1"/>
  <c r="CT1302" i="1"/>
  <c r="CT1303" i="1"/>
  <c r="CT1304" i="1"/>
  <c r="CT1305" i="1"/>
  <c r="CT1306" i="1"/>
  <c r="CT1307" i="1"/>
  <c r="CT1308" i="1"/>
  <c r="CT1309" i="1"/>
  <c r="CT1310" i="1"/>
  <c r="CT1311" i="1"/>
  <c r="CT1312" i="1"/>
  <c r="CT1313" i="1"/>
  <c r="CT1314" i="1"/>
  <c r="CT1315" i="1"/>
  <c r="CT1316" i="1"/>
  <c r="CT1317" i="1"/>
  <c r="CT1318" i="1"/>
  <c r="CT1319" i="1"/>
  <c r="CT1320" i="1"/>
  <c r="CT1321" i="1"/>
  <c r="CT1322" i="1"/>
  <c r="CT1323" i="1"/>
  <c r="CT1324" i="1"/>
  <c r="CT1325" i="1"/>
  <c r="CT1326" i="1"/>
  <c r="CT1327" i="1"/>
  <c r="CT1328" i="1"/>
  <c r="CT1329" i="1"/>
  <c r="CT1330" i="1"/>
  <c r="CT1331" i="1"/>
  <c r="CT1332" i="1"/>
  <c r="CT1333" i="1"/>
  <c r="CT1334" i="1"/>
  <c r="CT1335" i="1"/>
  <c r="CT1336" i="1"/>
  <c r="CT1337" i="1"/>
  <c r="CT1338" i="1"/>
  <c r="CT1339" i="1"/>
  <c r="CT1340" i="1"/>
  <c r="CT1341" i="1"/>
  <c r="CT1342" i="1"/>
  <c r="CT1343" i="1"/>
  <c r="CT1344" i="1"/>
  <c r="CT1345" i="1"/>
  <c r="CT1346" i="1"/>
  <c r="CT1347" i="1"/>
  <c r="CT1348" i="1"/>
  <c r="CT1349" i="1"/>
  <c r="CT1350" i="1"/>
  <c r="CT1351" i="1"/>
  <c r="CT1352" i="1"/>
  <c r="CT1353" i="1"/>
  <c r="CT1354" i="1"/>
  <c r="CT1355" i="1"/>
  <c r="CT1356" i="1"/>
  <c r="CT1357" i="1"/>
  <c r="CT1358" i="1"/>
  <c r="CT1359" i="1"/>
  <c r="CT1360" i="1"/>
  <c r="CT1361" i="1"/>
  <c r="CT1362" i="1"/>
  <c r="CT1363" i="1"/>
  <c r="CT1364" i="1"/>
  <c r="CT1365" i="1"/>
  <c r="CT1366" i="1"/>
  <c r="CT1367" i="1"/>
  <c r="CT1368" i="1"/>
  <c r="CT1369" i="1"/>
  <c r="CT1370" i="1"/>
  <c r="CT1371" i="1"/>
  <c r="CT1372" i="1"/>
  <c r="CT1373" i="1"/>
  <c r="CT1374" i="1"/>
  <c r="CT1375" i="1"/>
  <c r="CT1376" i="1"/>
  <c r="CT1377" i="1"/>
  <c r="CT1378" i="1"/>
  <c r="CT1379" i="1"/>
  <c r="CT1380" i="1"/>
  <c r="CT1381" i="1"/>
  <c r="CT1382" i="1"/>
  <c r="CT1383" i="1"/>
  <c r="CT1384" i="1"/>
  <c r="CT1385" i="1"/>
  <c r="CT1386" i="1"/>
  <c r="CT1387" i="1"/>
  <c r="CT1388" i="1"/>
  <c r="CT1389" i="1"/>
  <c r="CT1390" i="1"/>
  <c r="CT1391" i="1"/>
  <c r="CT1392" i="1"/>
  <c r="CT1393" i="1"/>
  <c r="CT1394" i="1"/>
  <c r="CT1395" i="1"/>
  <c r="CT1396" i="1"/>
  <c r="CT1397" i="1"/>
  <c r="CT1398" i="1"/>
  <c r="CT1399" i="1"/>
  <c r="CT1400" i="1"/>
  <c r="CT1401" i="1"/>
  <c r="CT1402" i="1"/>
  <c r="CT1403" i="1"/>
  <c r="CT1404" i="1"/>
  <c r="CT1405" i="1"/>
  <c r="CT1406" i="1"/>
  <c r="CT1407" i="1"/>
  <c r="CT1408" i="1"/>
  <c r="CT1409" i="1"/>
  <c r="CT1410" i="1"/>
  <c r="CT1411" i="1"/>
  <c r="CT1412" i="1"/>
  <c r="CT1413" i="1"/>
  <c r="CT1414" i="1"/>
  <c r="CT1415" i="1"/>
  <c r="CT1416" i="1"/>
  <c r="CT1417" i="1"/>
  <c r="CT1418" i="1"/>
  <c r="CT1419" i="1"/>
  <c r="CT1420" i="1"/>
  <c r="CT1421" i="1"/>
  <c r="CT1422" i="1"/>
  <c r="CT1423" i="1"/>
  <c r="CT1424" i="1"/>
  <c r="CT1425" i="1"/>
  <c r="CT1426" i="1"/>
  <c r="CT1427" i="1"/>
  <c r="CT1428" i="1"/>
  <c r="CT1429" i="1"/>
  <c r="CT1430" i="1"/>
  <c r="CT1431" i="1"/>
  <c r="CT1432" i="1"/>
  <c r="CT1433" i="1"/>
  <c r="CT1434" i="1"/>
  <c r="CT1435" i="1"/>
  <c r="CT1436" i="1"/>
  <c r="CT1437" i="1"/>
  <c r="CT1438" i="1"/>
  <c r="CT1439" i="1"/>
  <c r="CT1440" i="1"/>
  <c r="CT1441" i="1"/>
  <c r="CT1442" i="1"/>
  <c r="CT1443" i="1"/>
  <c r="CT1444" i="1"/>
  <c r="CT1445" i="1"/>
  <c r="CT1446" i="1"/>
  <c r="CT1447" i="1"/>
  <c r="CT1448" i="1"/>
  <c r="CT1449" i="1"/>
  <c r="CT1450" i="1"/>
  <c r="CT1451" i="1"/>
  <c r="CT1452" i="1"/>
  <c r="CT1453" i="1"/>
  <c r="CT1454" i="1"/>
  <c r="CT1455" i="1"/>
  <c r="CT1456" i="1"/>
  <c r="CT1457" i="1"/>
  <c r="CT1458" i="1"/>
  <c r="CT1459" i="1"/>
  <c r="CT1460" i="1"/>
  <c r="CT1461" i="1"/>
  <c r="CT1462" i="1"/>
  <c r="CT1463" i="1"/>
  <c r="CT1464" i="1"/>
  <c r="CT1465" i="1"/>
  <c r="CT1466" i="1"/>
  <c r="CT1467" i="1"/>
  <c r="CT1468" i="1"/>
  <c r="CT1469" i="1"/>
  <c r="CT1470" i="1"/>
  <c r="CT1471" i="1"/>
  <c r="CT1472" i="1"/>
  <c r="CT1473" i="1"/>
  <c r="CT1474" i="1"/>
  <c r="CT1475" i="1"/>
  <c r="CT1476" i="1"/>
  <c r="CT1477" i="1"/>
  <c r="CT1478" i="1"/>
  <c r="CT1479" i="1"/>
  <c r="CT1480" i="1"/>
  <c r="CT1481" i="1"/>
  <c r="CT1482" i="1"/>
  <c r="CT1483" i="1"/>
  <c r="CT1484" i="1"/>
  <c r="CT1485" i="1"/>
  <c r="CT1486" i="1"/>
  <c r="CT1487" i="1"/>
  <c r="CT1488" i="1"/>
  <c r="CT1489" i="1"/>
  <c r="CT1490" i="1"/>
  <c r="CT1491" i="1"/>
  <c r="CT1492" i="1"/>
  <c r="CT1493" i="1"/>
  <c r="CT1494" i="1"/>
  <c r="CT1495" i="1"/>
  <c r="CT1496" i="1"/>
  <c r="CT1497" i="1"/>
  <c r="CT1498" i="1"/>
  <c r="CT1499" i="1"/>
  <c r="CT1500" i="1"/>
  <c r="CT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3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89" i="1"/>
  <c r="CU90" i="1"/>
  <c r="CU91" i="1"/>
  <c r="CU92" i="1"/>
  <c r="CU93" i="1"/>
  <c r="CU94" i="1"/>
  <c r="CU95" i="1"/>
  <c r="CU96" i="1"/>
  <c r="CU97" i="1"/>
  <c r="CU98" i="1"/>
  <c r="CU99" i="1"/>
  <c r="CU100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165" i="1"/>
  <c r="CU166" i="1"/>
  <c r="CU167" i="1"/>
  <c r="CU168" i="1"/>
  <c r="CU169" i="1"/>
  <c r="CU170" i="1"/>
  <c r="CU171" i="1"/>
  <c r="CU172" i="1"/>
  <c r="CU173" i="1"/>
  <c r="CU174" i="1"/>
  <c r="CU175" i="1"/>
  <c r="CU176" i="1"/>
  <c r="CU177" i="1"/>
  <c r="CU178" i="1"/>
  <c r="CU179" i="1"/>
  <c r="CU180" i="1"/>
  <c r="CU181" i="1"/>
  <c r="CU182" i="1"/>
  <c r="CU183" i="1"/>
  <c r="CU184" i="1"/>
  <c r="CU185" i="1"/>
  <c r="CU186" i="1"/>
  <c r="CU187" i="1"/>
  <c r="CU188" i="1"/>
  <c r="CU189" i="1"/>
  <c r="CU190" i="1"/>
  <c r="CU191" i="1"/>
  <c r="CU192" i="1"/>
  <c r="CU193" i="1"/>
  <c r="CU194" i="1"/>
  <c r="CU195" i="1"/>
  <c r="CU196" i="1"/>
  <c r="CU197" i="1"/>
  <c r="CU198" i="1"/>
  <c r="CU199" i="1"/>
  <c r="CU200" i="1"/>
  <c r="CU201" i="1"/>
  <c r="CU202" i="1"/>
  <c r="CU203" i="1"/>
  <c r="CU204" i="1"/>
  <c r="CU205" i="1"/>
  <c r="CU206" i="1"/>
  <c r="CU207" i="1"/>
  <c r="CU208" i="1"/>
  <c r="CU209" i="1"/>
  <c r="CU210" i="1"/>
  <c r="CU211" i="1"/>
  <c r="CU212" i="1"/>
  <c r="CU213" i="1"/>
  <c r="CU214" i="1"/>
  <c r="CU215" i="1"/>
  <c r="CU216" i="1"/>
  <c r="CU217" i="1"/>
  <c r="CU218" i="1"/>
  <c r="CU219" i="1"/>
  <c r="CU220" i="1"/>
  <c r="CU221" i="1"/>
  <c r="CU222" i="1"/>
  <c r="CU223" i="1"/>
  <c r="CU224" i="1"/>
  <c r="CU225" i="1"/>
  <c r="CU226" i="1"/>
  <c r="CU227" i="1"/>
  <c r="CU228" i="1"/>
  <c r="CU229" i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75" i="1"/>
  <c r="CU276" i="1"/>
  <c r="CU277" i="1"/>
  <c r="CU278" i="1"/>
  <c r="CU279" i="1"/>
  <c r="CU280" i="1"/>
  <c r="CU281" i="1"/>
  <c r="CU282" i="1"/>
  <c r="CU283" i="1"/>
  <c r="CU284" i="1"/>
  <c r="CU285" i="1"/>
  <c r="CU286" i="1"/>
  <c r="CU287" i="1"/>
  <c r="CU288" i="1"/>
  <c r="CU289" i="1"/>
  <c r="CU290" i="1"/>
  <c r="CU291" i="1"/>
  <c r="CU292" i="1"/>
  <c r="CU293" i="1"/>
  <c r="CU294" i="1"/>
  <c r="CU295" i="1"/>
  <c r="CU296" i="1"/>
  <c r="CU297" i="1"/>
  <c r="CU298" i="1"/>
  <c r="CU299" i="1"/>
  <c r="CU300" i="1"/>
  <c r="CU301" i="1"/>
  <c r="CU302" i="1"/>
  <c r="CU303" i="1"/>
  <c r="CU304" i="1"/>
  <c r="CU305" i="1"/>
  <c r="CU306" i="1"/>
  <c r="CU307" i="1"/>
  <c r="CU308" i="1"/>
  <c r="CU309" i="1"/>
  <c r="CU310" i="1"/>
  <c r="CU311" i="1"/>
  <c r="CU312" i="1"/>
  <c r="CU313" i="1"/>
  <c r="CU314" i="1"/>
  <c r="CU315" i="1"/>
  <c r="CU316" i="1"/>
  <c r="CU317" i="1"/>
  <c r="CU318" i="1"/>
  <c r="CU319" i="1"/>
  <c r="CU320" i="1"/>
  <c r="CU321" i="1"/>
  <c r="CU322" i="1"/>
  <c r="CU323" i="1"/>
  <c r="CU324" i="1"/>
  <c r="CU325" i="1"/>
  <c r="CU326" i="1"/>
  <c r="CU327" i="1"/>
  <c r="CU328" i="1"/>
  <c r="CU329" i="1"/>
  <c r="CU330" i="1"/>
  <c r="CU331" i="1"/>
  <c r="CU332" i="1"/>
  <c r="CU333" i="1"/>
  <c r="CU334" i="1"/>
  <c r="CU335" i="1"/>
  <c r="CU336" i="1"/>
  <c r="CU337" i="1"/>
  <c r="CU338" i="1"/>
  <c r="CU339" i="1"/>
  <c r="CU340" i="1"/>
  <c r="CU341" i="1"/>
  <c r="CU342" i="1"/>
  <c r="CU343" i="1"/>
  <c r="CU344" i="1"/>
  <c r="CU345" i="1"/>
  <c r="CU346" i="1"/>
  <c r="CU347" i="1"/>
  <c r="CU348" i="1"/>
  <c r="CU349" i="1"/>
  <c r="CU350" i="1"/>
  <c r="CU351" i="1"/>
  <c r="CU352" i="1"/>
  <c r="CU353" i="1"/>
  <c r="CU354" i="1"/>
  <c r="CU355" i="1"/>
  <c r="CU356" i="1"/>
  <c r="CU357" i="1"/>
  <c r="CU358" i="1"/>
  <c r="CU359" i="1"/>
  <c r="CU360" i="1"/>
  <c r="CU361" i="1"/>
  <c r="CU362" i="1"/>
  <c r="CU363" i="1"/>
  <c r="CU364" i="1"/>
  <c r="CU365" i="1"/>
  <c r="CU366" i="1"/>
  <c r="CU367" i="1"/>
  <c r="CU368" i="1"/>
  <c r="CU369" i="1"/>
  <c r="CU370" i="1"/>
  <c r="CU371" i="1"/>
  <c r="CU372" i="1"/>
  <c r="CU373" i="1"/>
  <c r="CU374" i="1"/>
  <c r="CU375" i="1"/>
  <c r="CU376" i="1"/>
  <c r="CU377" i="1"/>
  <c r="CU378" i="1"/>
  <c r="CU379" i="1"/>
  <c r="CU380" i="1"/>
  <c r="CU381" i="1"/>
  <c r="CU382" i="1"/>
  <c r="CU383" i="1"/>
  <c r="CU384" i="1"/>
  <c r="CU385" i="1"/>
  <c r="CU386" i="1"/>
  <c r="CU387" i="1"/>
  <c r="CU388" i="1"/>
  <c r="CU389" i="1"/>
  <c r="CU390" i="1"/>
  <c r="CU391" i="1"/>
  <c r="CU392" i="1"/>
  <c r="CU393" i="1"/>
  <c r="CU394" i="1"/>
  <c r="CU395" i="1"/>
  <c r="CU396" i="1"/>
  <c r="CU397" i="1"/>
  <c r="CU398" i="1"/>
  <c r="CU399" i="1"/>
  <c r="CU400" i="1"/>
  <c r="CU401" i="1"/>
  <c r="CU402" i="1"/>
  <c r="CU403" i="1"/>
  <c r="CU404" i="1"/>
  <c r="CU405" i="1"/>
  <c r="CU406" i="1"/>
  <c r="CU407" i="1"/>
  <c r="CU408" i="1"/>
  <c r="CU409" i="1"/>
  <c r="CU410" i="1"/>
  <c r="CU411" i="1"/>
  <c r="CU412" i="1"/>
  <c r="CU413" i="1"/>
  <c r="CU414" i="1"/>
  <c r="CU415" i="1"/>
  <c r="CU416" i="1"/>
  <c r="CU417" i="1"/>
  <c r="CU418" i="1"/>
  <c r="CU419" i="1"/>
  <c r="CU420" i="1"/>
  <c r="CU421" i="1"/>
  <c r="CU422" i="1"/>
  <c r="CU423" i="1"/>
  <c r="CU424" i="1"/>
  <c r="CU425" i="1"/>
  <c r="CU426" i="1"/>
  <c r="CU427" i="1"/>
  <c r="CU428" i="1"/>
  <c r="CU429" i="1"/>
  <c r="CU430" i="1"/>
  <c r="CU431" i="1"/>
  <c r="CU432" i="1"/>
  <c r="CU433" i="1"/>
  <c r="CU434" i="1"/>
  <c r="CU435" i="1"/>
  <c r="CU436" i="1"/>
  <c r="CU437" i="1"/>
  <c r="CU438" i="1"/>
  <c r="CU439" i="1"/>
  <c r="CU440" i="1"/>
  <c r="CU441" i="1"/>
  <c r="CU442" i="1"/>
  <c r="CU443" i="1"/>
  <c r="CU444" i="1"/>
  <c r="CU445" i="1"/>
  <c r="CU446" i="1"/>
  <c r="CU447" i="1"/>
  <c r="CU448" i="1"/>
  <c r="CU449" i="1"/>
  <c r="CU450" i="1"/>
  <c r="CU451" i="1"/>
  <c r="CU452" i="1"/>
  <c r="CU453" i="1"/>
  <c r="CU454" i="1"/>
  <c r="CU455" i="1"/>
  <c r="CU456" i="1"/>
  <c r="CU457" i="1"/>
  <c r="CU458" i="1"/>
  <c r="CU459" i="1"/>
  <c r="CU460" i="1"/>
  <c r="CU461" i="1"/>
  <c r="CU462" i="1"/>
  <c r="CU463" i="1"/>
  <c r="CU464" i="1"/>
  <c r="CU465" i="1"/>
  <c r="CU466" i="1"/>
  <c r="CU467" i="1"/>
  <c r="CU468" i="1"/>
  <c r="CU469" i="1"/>
  <c r="CU470" i="1"/>
  <c r="CU471" i="1"/>
  <c r="CU472" i="1"/>
  <c r="CU473" i="1"/>
  <c r="CU474" i="1"/>
  <c r="CU475" i="1"/>
  <c r="CU476" i="1"/>
  <c r="CU477" i="1"/>
  <c r="CU478" i="1"/>
  <c r="CU479" i="1"/>
  <c r="CU480" i="1"/>
  <c r="CU481" i="1"/>
  <c r="CU482" i="1"/>
  <c r="CU483" i="1"/>
  <c r="CU484" i="1"/>
  <c r="CU485" i="1"/>
  <c r="CU486" i="1"/>
  <c r="CU487" i="1"/>
  <c r="CU488" i="1"/>
  <c r="CU489" i="1"/>
  <c r="CU490" i="1"/>
  <c r="CU491" i="1"/>
  <c r="CU492" i="1"/>
  <c r="CU493" i="1"/>
  <c r="CU494" i="1"/>
  <c r="CU495" i="1"/>
  <c r="CU496" i="1"/>
  <c r="CU497" i="1"/>
  <c r="CU498" i="1"/>
  <c r="CU499" i="1"/>
  <c r="CU500" i="1"/>
  <c r="CU501" i="1"/>
  <c r="CU502" i="1"/>
  <c r="CU503" i="1"/>
  <c r="CU504" i="1"/>
  <c r="CU505" i="1"/>
  <c r="CU506" i="1"/>
  <c r="CU507" i="1"/>
  <c r="CU508" i="1"/>
  <c r="CU509" i="1"/>
  <c r="CU510" i="1"/>
  <c r="CU511" i="1"/>
  <c r="CU512" i="1"/>
  <c r="CU513" i="1"/>
  <c r="CU514" i="1"/>
  <c r="CU515" i="1"/>
  <c r="CU516" i="1"/>
  <c r="CU517" i="1"/>
  <c r="CU518" i="1"/>
  <c r="CU519" i="1"/>
  <c r="CU520" i="1"/>
  <c r="CU521" i="1"/>
  <c r="CU522" i="1"/>
  <c r="CU523" i="1"/>
  <c r="CU524" i="1"/>
  <c r="CU525" i="1"/>
  <c r="CU526" i="1"/>
  <c r="CU527" i="1"/>
  <c r="CU528" i="1"/>
  <c r="CU529" i="1"/>
  <c r="CU530" i="1"/>
  <c r="CU531" i="1"/>
  <c r="CU532" i="1"/>
  <c r="CU533" i="1"/>
  <c r="CU534" i="1"/>
  <c r="CU535" i="1"/>
  <c r="CU536" i="1"/>
  <c r="CU537" i="1"/>
  <c r="CU538" i="1"/>
  <c r="CU539" i="1"/>
  <c r="CU540" i="1"/>
  <c r="CU541" i="1"/>
  <c r="CU542" i="1"/>
  <c r="CU543" i="1"/>
  <c r="CU544" i="1"/>
  <c r="CU545" i="1"/>
  <c r="CU546" i="1"/>
  <c r="CU547" i="1"/>
  <c r="CU548" i="1"/>
  <c r="CU549" i="1"/>
  <c r="CU550" i="1"/>
  <c r="CU551" i="1"/>
  <c r="CU552" i="1"/>
  <c r="CU553" i="1"/>
  <c r="CU554" i="1"/>
  <c r="CU555" i="1"/>
  <c r="CU556" i="1"/>
  <c r="CU557" i="1"/>
  <c r="CU558" i="1"/>
  <c r="CU559" i="1"/>
  <c r="CU560" i="1"/>
  <c r="CU561" i="1"/>
  <c r="CU562" i="1"/>
  <c r="CU563" i="1"/>
  <c r="CU564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93" i="1"/>
  <c r="CU594" i="1"/>
  <c r="CU595" i="1"/>
  <c r="CU596" i="1"/>
  <c r="CU597" i="1"/>
  <c r="CU598" i="1"/>
  <c r="CU599" i="1"/>
  <c r="CU600" i="1"/>
  <c r="CU601" i="1"/>
  <c r="CU602" i="1"/>
  <c r="CU603" i="1"/>
  <c r="CU604" i="1"/>
  <c r="CU605" i="1"/>
  <c r="CU606" i="1"/>
  <c r="CU607" i="1"/>
  <c r="CU608" i="1"/>
  <c r="CU609" i="1"/>
  <c r="CU610" i="1"/>
  <c r="CU611" i="1"/>
  <c r="CU612" i="1"/>
  <c r="CU613" i="1"/>
  <c r="CU614" i="1"/>
  <c r="CU615" i="1"/>
  <c r="CU616" i="1"/>
  <c r="CU617" i="1"/>
  <c r="CU618" i="1"/>
  <c r="CU619" i="1"/>
  <c r="CU620" i="1"/>
  <c r="CU621" i="1"/>
  <c r="CU622" i="1"/>
  <c r="CU623" i="1"/>
  <c r="CU624" i="1"/>
  <c r="CU625" i="1"/>
  <c r="CU626" i="1"/>
  <c r="CU627" i="1"/>
  <c r="CU628" i="1"/>
  <c r="CU629" i="1"/>
  <c r="CU630" i="1"/>
  <c r="CU631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47" i="1"/>
  <c r="CU648" i="1"/>
  <c r="CU649" i="1"/>
  <c r="CU650" i="1"/>
  <c r="CU651" i="1"/>
  <c r="CU652" i="1"/>
  <c r="CU653" i="1"/>
  <c r="CU654" i="1"/>
  <c r="CU655" i="1"/>
  <c r="CU656" i="1"/>
  <c r="CU657" i="1"/>
  <c r="CU658" i="1"/>
  <c r="CU659" i="1"/>
  <c r="CU660" i="1"/>
  <c r="CU661" i="1"/>
  <c r="CU662" i="1"/>
  <c r="CU663" i="1"/>
  <c r="CU664" i="1"/>
  <c r="CU665" i="1"/>
  <c r="CU666" i="1"/>
  <c r="CU667" i="1"/>
  <c r="CU668" i="1"/>
  <c r="CU669" i="1"/>
  <c r="CU670" i="1"/>
  <c r="CU671" i="1"/>
  <c r="CU672" i="1"/>
  <c r="CU673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94" i="1"/>
  <c r="CU695" i="1"/>
  <c r="CU696" i="1"/>
  <c r="CU697" i="1"/>
  <c r="CU698" i="1"/>
  <c r="CU699" i="1"/>
  <c r="CU700" i="1"/>
  <c r="CU701" i="1"/>
  <c r="CU702" i="1"/>
  <c r="CU703" i="1"/>
  <c r="CU704" i="1"/>
  <c r="CU705" i="1"/>
  <c r="CU706" i="1"/>
  <c r="CU707" i="1"/>
  <c r="CU708" i="1"/>
  <c r="CU709" i="1"/>
  <c r="CU710" i="1"/>
  <c r="CU711" i="1"/>
  <c r="CU712" i="1"/>
  <c r="CU713" i="1"/>
  <c r="CU714" i="1"/>
  <c r="CU715" i="1"/>
  <c r="CU716" i="1"/>
  <c r="CU717" i="1"/>
  <c r="CU718" i="1"/>
  <c r="CU719" i="1"/>
  <c r="CU720" i="1"/>
  <c r="CU721" i="1"/>
  <c r="CU722" i="1"/>
  <c r="CU723" i="1"/>
  <c r="CU724" i="1"/>
  <c r="CU725" i="1"/>
  <c r="CU726" i="1"/>
  <c r="CU727" i="1"/>
  <c r="CU728" i="1"/>
  <c r="CU729" i="1"/>
  <c r="CU730" i="1"/>
  <c r="CU731" i="1"/>
  <c r="CU732" i="1"/>
  <c r="CU733" i="1"/>
  <c r="CU734" i="1"/>
  <c r="CU735" i="1"/>
  <c r="CU736" i="1"/>
  <c r="CU737" i="1"/>
  <c r="CU738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84" i="1"/>
  <c r="CU785" i="1"/>
  <c r="CU786" i="1"/>
  <c r="CU787" i="1"/>
  <c r="CU788" i="1"/>
  <c r="CU789" i="1"/>
  <c r="CU790" i="1"/>
  <c r="CU791" i="1"/>
  <c r="CU792" i="1"/>
  <c r="CU793" i="1"/>
  <c r="CU794" i="1"/>
  <c r="CU795" i="1"/>
  <c r="CU796" i="1"/>
  <c r="CU797" i="1"/>
  <c r="CU798" i="1"/>
  <c r="CU799" i="1"/>
  <c r="CU800" i="1"/>
  <c r="CU801" i="1"/>
  <c r="CU802" i="1"/>
  <c r="CU803" i="1"/>
  <c r="CU804" i="1"/>
  <c r="CU805" i="1"/>
  <c r="CU806" i="1"/>
  <c r="CU807" i="1"/>
  <c r="CU808" i="1"/>
  <c r="CU809" i="1"/>
  <c r="CU810" i="1"/>
  <c r="CU811" i="1"/>
  <c r="CU812" i="1"/>
  <c r="CU813" i="1"/>
  <c r="CU814" i="1"/>
  <c r="CU815" i="1"/>
  <c r="CU816" i="1"/>
  <c r="CU817" i="1"/>
  <c r="CU818" i="1"/>
  <c r="CU819" i="1"/>
  <c r="CU820" i="1"/>
  <c r="CU821" i="1"/>
  <c r="CU822" i="1"/>
  <c r="CU823" i="1"/>
  <c r="CU824" i="1"/>
  <c r="CU825" i="1"/>
  <c r="CU826" i="1"/>
  <c r="CU827" i="1"/>
  <c r="CU828" i="1"/>
  <c r="CU829" i="1"/>
  <c r="CU830" i="1"/>
  <c r="CU831" i="1"/>
  <c r="CU832" i="1"/>
  <c r="CU833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848" i="1"/>
  <c r="CU849" i="1"/>
  <c r="CU850" i="1"/>
  <c r="CU851" i="1"/>
  <c r="CU852" i="1"/>
  <c r="CU853" i="1"/>
  <c r="CU854" i="1"/>
  <c r="CU855" i="1"/>
  <c r="CU856" i="1"/>
  <c r="CU857" i="1"/>
  <c r="CU858" i="1"/>
  <c r="CU859" i="1"/>
  <c r="CU860" i="1"/>
  <c r="CU861" i="1"/>
  <c r="CU862" i="1"/>
  <c r="CU863" i="1"/>
  <c r="CU864" i="1"/>
  <c r="CU865" i="1"/>
  <c r="CU866" i="1"/>
  <c r="CU867" i="1"/>
  <c r="CU868" i="1"/>
  <c r="CU869" i="1"/>
  <c r="CU870" i="1"/>
  <c r="CU871" i="1"/>
  <c r="CU872" i="1"/>
  <c r="CU873" i="1"/>
  <c r="CU874" i="1"/>
  <c r="CU875" i="1"/>
  <c r="CU876" i="1"/>
  <c r="CU877" i="1"/>
  <c r="CU878" i="1"/>
  <c r="CU879" i="1"/>
  <c r="CU880" i="1"/>
  <c r="CU881" i="1"/>
  <c r="CU882" i="1"/>
  <c r="CU883" i="1"/>
  <c r="CU884" i="1"/>
  <c r="CU885" i="1"/>
  <c r="CU886" i="1"/>
  <c r="CU887" i="1"/>
  <c r="CU888" i="1"/>
  <c r="CU889" i="1"/>
  <c r="CU890" i="1"/>
  <c r="CU891" i="1"/>
  <c r="CU892" i="1"/>
  <c r="CU893" i="1"/>
  <c r="CU894" i="1"/>
  <c r="CU895" i="1"/>
  <c r="CU896" i="1"/>
  <c r="CU897" i="1"/>
  <c r="CU898" i="1"/>
  <c r="CU899" i="1"/>
  <c r="CU900" i="1"/>
  <c r="CU901" i="1"/>
  <c r="CU902" i="1"/>
  <c r="CU903" i="1"/>
  <c r="CU904" i="1"/>
  <c r="CU905" i="1"/>
  <c r="CU906" i="1"/>
  <c r="CU907" i="1"/>
  <c r="CU908" i="1"/>
  <c r="CU909" i="1"/>
  <c r="CU910" i="1"/>
  <c r="CU911" i="1"/>
  <c r="CU912" i="1"/>
  <c r="CU913" i="1"/>
  <c r="CU914" i="1"/>
  <c r="CU915" i="1"/>
  <c r="CU916" i="1"/>
  <c r="CU917" i="1"/>
  <c r="CU918" i="1"/>
  <c r="CU919" i="1"/>
  <c r="CU920" i="1"/>
  <c r="CU921" i="1"/>
  <c r="CU922" i="1"/>
  <c r="CU923" i="1"/>
  <c r="CU924" i="1"/>
  <c r="CU925" i="1"/>
  <c r="CU926" i="1"/>
  <c r="CU927" i="1"/>
  <c r="CU928" i="1"/>
  <c r="CU929" i="1"/>
  <c r="CU930" i="1"/>
  <c r="CU931" i="1"/>
  <c r="CU932" i="1"/>
  <c r="CU933" i="1"/>
  <c r="CU934" i="1"/>
  <c r="CU935" i="1"/>
  <c r="CU936" i="1"/>
  <c r="CU937" i="1"/>
  <c r="CU938" i="1"/>
  <c r="CU939" i="1"/>
  <c r="CU940" i="1"/>
  <c r="CU941" i="1"/>
  <c r="CU942" i="1"/>
  <c r="CU943" i="1"/>
  <c r="CU944" i="1"/>
  <c r="CU945" i="1"/>
  <c r="CU946" i="1"/>
  <c r="CU947" i="1"/>
  <c r="CU948" i="1"/>
  <c r="CU949" i="1"/>
  <c r="CU950" i="1"/>
  <c r="CU951" i="1"/>
  <c r="CU952" i="1"/>
  <c r="CU953" i="1"/>
  <c r="CU954" i="1"/>
  <c r="CU955" i="1"/>
  <c r="CU956" i="1"/>
  <c r="CU957" i="1"/>
  <c r="CU958" i="1"/>
  <c r="CU959" i="1"/>
  <c r="CU960" i="1"/>
  <c r="CU961" i="1"/>
  <c r="CU962" i="1"/>
  <c r="CU963" i="1"/>
  <c r="CU964" i="1"/>
  <c r="CU965" i="1"/>
  <c r="CU966" i="1"/>
  <c r="CU967" i="1"/>
  <c r="CU968" i="1"/>
  <c r="CU969" i="1"/>
  <c r="CU970" i="1"/>
  <c r="CU971" i="1"/>
  <c r="CU972" i="1"/>
  <c r="CU973" i="1"/>
  <c r="CU974" i="1"/>
  <c r="CU975" i="1"/>
  <c r="CU976" i="1"/>
  <c r="CU977" i="1"/>
  <c r="CU978" i="1"/>
  <c r="CU979" i="1"/>
  <c r="CU980" i="1"/>
  <c r="CU981" i="1"/>
  <c r="CU982" i="1"/>
  <c r="CU983" i="1"/>
  <c r="CU984" i="1"/>
  <c r="CU985" i="1"/>
  <c r="CU986" i="1"/>
  <c r="CU987" i="1"/>
  <c r="CU988" i="1"/>
  <c r="CU989" i="1"/>
  <c r="CU990" i="1"/>
  <c r="CU991" i="1"/>
  <c r="CU992" i="1"/>
  <c r="CU993" i="1"/>
  <c r="CU994" i="1"/>
  <c r="CU995" i="1"/>
  <c r="CU996" i="1"/>
  <c r="CU997" i="1"/>
  <c r="CU998" i="1"/>
  <c r="CU999" i="1"/>
  <c r="CU1000" i="1"/>
  <c r="CU1001" i="1"/>
  <c r="CU1002" i="1"/>
  <c r="CU1003" i="1"/>
  <c r="CU1004" i="1"/>
  <c r="CU1005" i="1"/>
  <c r="CU1006" i="1"/>
  <c r="CU1007" i="1"/>
  <c r="CU1008" i="1"/>
  <c r="CU1009" i="1"/>
  <c r="CU1010" i="1"/>
  <c r="CU1011" i="1"/>
  <c r="CU1012" i="1"/>
  <c r="CU1013" i="1"/>
  <c r="CU1014" i="1"/>
  <c r="CU1015" i="1"/>
  <c r="CU1016" i="1"/>
  <c r="CU1017" i="1"/>
  <c r="CU1018" i="1"/>
  <c r="CU1019" i="1"/>
  <c r="CU1020" i="1"/>
  <c r="CU1021" i="1"/>
  <c r="CU1022" i="1"/>
  <c r="CU1023" i="1"/>
  <c r="CU1024" i="1"/>
  <c r="CU1025" i="1"/>
  <c r="CU1026" i="1"/>
  <c r="CU1027" i="1"/>
  <c r="CU1028" i="1"/>
  <c r="CU1029" i="1"/>
  <c r="CU1030" i="1"/>
  <c r="CU1031" i="1"/>
  <c r="CU1032" i="1"/>
  <c r="CU1033" i="1"/>
  <c r="CU1034" i="1"/>
  <c r="CU1035" i="1"/>
  <c r="CU1036" i="1"/>
  <c r="CU1037" i="1"/>
  <c r="CU1038" i="1"/>
  <c r="CU1039" i="1"/>
  <c r="CU1040" i="1"/>
  <c r="CU1041" i="1"/>
  <c r="CU1042" i="1"/>
  <c r="CU1043" i="1"/>
  <c r="CU1044" i="1"/>
  <c r="CU1045" i="1"/>
  <c r="CU1046" i="1"/>
  <c r="CU1047" i="1"/>
  <c r="CU1048" i="1"/>
  <c r="CU1049" i="1"/>
  <c r="CU1050" i="1"/>
  <c r="CU1051" i="1"/>
  <c r="CU1052" i="1"/>
  <c r="CU1053" i="1"/>
  <c r="CU1054" i="1"/>
  <c r="CU1055" i="1"/>
  <c r="CU1056" i="1"/>
  <c r="CU1057" i="1"/>
  <c r="CU1058" i="1"/>
  <c r="CU1059" i="1"/>
  <c r="CU1060" i="1"/>
  <c r="CU1061" i="1"/>
  <c r="CU1062" i="1"/>
  <c r="CU1063" i="1"/>
  <c r="CU1064" i="1"/>
  <c r="CU1065" i="1"/>
  <c r="CU1066" i="1"/>
  <c r="CU1067" i="1"/>
  <c r="CU1068" i="1"/>
  <c r="CU1069" i="1"/>
  <c r="CU1070" i="1"/>
  <c r="CU1071" i="1"/>
  <c r="CU1072" i="1"/>
  <c r="CU1073" i="1"/>
  <c r="CU1074" i="1"/>
  <c r="CU1075" i="1"/>
  <c r="CU1076" i="1"/>
  <c r="CU1077" i="1"/>
  <c r="CU1078" i="1"/>
  <c r="CU1079" i="1"/>
  <c r="CU1080" i="1"/>
  <c r="CU1081" i="1"/>
  <c r="CU1082" i="1"/>
  <c r="CU1083" i="1"/>
  <c r="CU1084" i="1"/>
  <c r="CU1085" i="1"/>
  <c r="CU1086" i="1"/>
  <c r="CU1087" i="1"/>
  <c r="CU1088" i="1"/>
  <c r="CU1089" i="1"/>
  <c r="CU1090" i="1"/>
  <c r="CU1091" i="1"/>
  <c r="CU1092" i="1"/>
  <c r="CU1093" i="1"/>
  <c r="CU1094" i="1"/>
  <c r="CU1095" i="1"/>
  <c r="CU1096" i="1"/>
  <c r="CU1097" i="1"/>
  <c r="CU1098" i="1"/>
  <c r="CU1099" i="1"/>
  <c r="CU1100" i="1"/>
  <c r="CU1101" i="1"/>
  <c r="CU1102" i="1"/>
  <c r="CU1103" i="1"/>
  <c r="CU1104" i="1"/>
  <c r="CU1105" i="1"/>
  <c r="CU1106" i="1"/>
  <c r="CU1107" i="1"/>
  <c r="CU1108" i="1"/>
  <c r="CU1109" i="1"/>
  <c r="CU1110" i="1"/>
  <c r="CU1111" i="1"/>
  <c r="CU1112" i="1"/>
  <c r="CU1113" i="1"/>
  <c r="CU1114" i="1"/>
  <c r="CU1115" i="1"/>
  <c r="CU1116" i="1"/>
  <c r="CU1117" i="1"/>
  <c r="CU1118" i="1"/>
  <c r="CU1119" i="1"/>
  <c r="CU1120" i="1"/>
  <c r="CU1121" i="1"/>
  <c r="CU1122" i="1"/>
  <c r="CU1123" i="1"/>
  <c r="CU1124" i="1"/>
  <c r="CU1125" i="1"/>
  <c r="CU1126" i="1"/>
  <c r="CU1127" i="1"/>
  <c r="CU1128" i="1"/>
  <c r="CU1129" i="1"/>
  <c r="CU1130" i="1"/>
  <c r="CU1131" i="1"/>
  <c r="CU1132" i="1"/>
  <c r="CU1133" i="1"/>
  <c r="CU1134" i="1"/>
  <c r="CU1135" i="1"/>
  <c r="CU1136" i="1"/>
  <c r="CU1137" i="1"/>
  <c r="CU1138" i="1"/>
  <c r="CU1139" i="1"/>
  <c r="CU1140" i="1"/>
  <c r="CU1141" i="1"/>
  <c r="CU1142" i="1"/>
  <c r="CU1143" i="1"/>
  <c r="CU1144" i="1"/>
  <c r="CU1145" i="1"/>
  <c r="CU1146" i="1"/>
  <c r="CU1147" i="1"/>
  <c r="CU1148" i="1"/>
  <c r="CU1149" i="1"/>
  <c r="CU1150" i="1"/>
  <c r="CU1151" i="1"/>
  <c r="CU1152" i="1"/>
  <c r="CU1153" i="1"/>
  <c r="CU1154" i="1"/>
  <c r="CU1155" i="1"/>
  <c r="CU1156" i="1"/>
  <c r="CU1157" i="1"/>
  <c r="CU1158" i="1"/>
  <c r="CU1159" i="1"/>
  <c r="CU1160" i="1"/>
  <c r="CU1161" i="1"/>
  <c r="CU1162" i="1"/>
  <c r="CU1163" i="1"/>
  <c r="CU1164" i="1"/>
  <c r="CU1165" i="1"/>
  <c r="CU1166" i="1"/>
  <c r="CU1167" i="1"/>
  <c r="CU1168" i="1"/>
  <c r="CU1169" i="1"/>
  <c r="CU1170" i="1"/>
  <c r="CU1171" i="1"/>
  <c r="CU1172" i="1"/>
  <c r="CU1173" i="1"/>
  <c r="CU1174" i="1"/>
  <c r="CU1175" i="1"/>
  <c r="CU1176" i="1"/>
  <c r="CU1177" i="1"/>
  <c r="CU1178" i="1"/>
  <c r="CU1179" i="1"/>
  <c r="CU1180" i="1"/>
  <c r="CU1181" i="1"/>
  <c r="CU1182" i="1"/>
  <c r="CU1183" i="1"/>
  <c r="CU1184" i="1"/>
  <c r="CU1185" i="1"/>
  <c r="CU1186" i="1"/>
  <c r="CU1187" i="1"/>
  <c r="CU1188" i="1"/>
  <c r="CU1189" i="1"/>
  <c r="CU1190" i="1"/>
  <c r="CU1191" i="1"/>
  <c r="CU1192" i="1"/>
  <c r="CU1193" i="1"/>
  <c r="CU1194" i="1"/>
  <c r="CU1195" i="1"/>
  <c r="CU1196" i="1"/>
  <c r="CU1197" i="1"/>
  <c r="CU1198" i="1"/>
  <c r="CU1199" i="1"/>
  <c r="CU1200" i="1"/>
  <c r="CU1201" i="1"/>
  <c r="CU1202" i="1"/>
  <c r="CU1203" i="1"/>
  <c r="CU1204" i="1"/>
  <c r="CU1205" i="1"/>
  <c r="CU1206" i="1"/>
  <c r="CU1207" i="1"/>
  <c r="CU1208" i="1"/>
  <c r="CU1209" i="1"/>
  <c r="CU1210" i="1"/>
  <c r="CU1211" i="1"/>
  <c r="CU1212" i="1"/>
  <c r="CU1213" i="1"/>
  <c r="CU1214" i="1"/>
  <c r="CU1215" i="1"/>
  <c r="CU1216" i="1"/>
  <c r="CU1217" i="1"/>
  <c r="CU1218" i="1"/>
  <c r="CU1219" i="1"/>
  <c r="CU1220" i="1"/>
  <c r="CU1221" i="1"/>
  <c r="CU1222" i="1"/>
  <c r="CU1223" i="1"/>
  <c r="CU1224" i="1"/>
  <c r="CU1225" i="1"/>
  <c r="CU1226" i="1"/>
  <c r="CU1227" i="1"/>
  <c r="CU1228" i="1"/>
  <c r="CU1229" i="1"/>
  <c r="CU1230" i="1"/>
  <c r="CU1231" i="1"/>
  <c r="CU1232" i="1"/>
  <c r="CU1233" i="1"/>
  <c r="CU1234" i="1"/>
  <c r="CU1235" i="1"/>
  <c r="CU1236" i="1"/>
  <c r="CU1237" i="1"/>
  <c r="CU1238" i="1"/>
  <c r="CU1239" i="1"/>
  <c r="CU1240" i="1"/>
  <c r="CU1241" i="1"/>
  <c r="CU1242" i="1"/>
  <c r="CU1243" i="1"/>
  <c r="CU1244" i="1"/>
  <c r="CU1245" i="1"/>
  <c r="CU1246" i="1"/>
  <c r="CU1247" i="1"/>
  <c r="CU1248" i="1"/>
  <c r="CU1249" i="1"/>
  <c r="CU1250" i="1"/>
  <c r="CU1251" i="1"/>
  <c r="CU1252" i="1"/>
  <c r="CU1253" i="1"/>
  <c r="CU1254" i="1"/>
  <c r="CU1255" i="1"/>
  <c r="CU1256" i="1"/>
  <c r="CU1257" i="1"/>
  <c r="CU1258" i="1"/>
  <c r="CU1259" i="1"/>
  <c r="CU1260" i="1"/>
  <c r="CU1261" i="1"/>
  <c r="CU1262" i="1"/>
  <c r="CU1263" i="1"/>
  <c r="CU1264" i="1"/>
  <c r="CU1265" i="1"/>
  <c r="CU1266" i="1"/>
  <c r="CU1267" i="1"/>
  <c r="CU1268" i="1"/>
  <c r="CU1269" i="1"/>
  <c r="CU1270" i="1"/>
  <c r="CU1271" i="1"/>
  <c r="CU1272" i="1"/>
  <c r="CU1273" i="1"/>
  <c r="CU1274" i="1"/>
  <c r="CU1275" i="1"/>
  <c r="CU1276" i="1"/>
  <c r="CU1277" i="1"/>
  <c r="CU1278" i="1"/>
  <c r="CU1279" i="1"/>
  <c r="CU1280" i="1"/>
  <c r="CU1281" i="1"/>
  <c r="CU1282" i="1"/>
  <c r="CU1283" i="1"/>
  <c r="CU1284" i="1"/>
  <c r="CU1285" i="1"/>
  <c r="CU1286" i="1"/>
  <c r="CU1287" i="1"/>
  <c r="CU1288" i="1"/>
  <c r="CU1289" i="1"/>
  <c r="CU1290" i="1"/>
  <c r="CU1291" i="1"/>
  <c r="CU1292" i="1"/>
  <c r="CU1293" i="1"/>
  <c r="CU1294" i="1"/>
  <c r="CU1295" i="1"/>
  <c r="CU1296" i="1"/>
  <c r="CU1297" i="1"/>
  <c r="CU1298" i="1"/>
  <c r="CU1299" i="1"/>
  <c r="CU1300" i="1"/>
  <c r="CU1301" i="1"/>
  <c r="CU1302" i="1"/>
  <c r="CU1303" i="1"/>
  <c r="CU1304" i="1"/>
  <c r="CU1305" i="1"/>
  <c r="CU1306" i="1"/>
  <c r="CU1307" i="1"/>
  <c r="CU1308" i="1"/>
  <c r="CU1309" i="1"/>
  <c r="CU1310" i="1"/>
  <c r="CU1311" i="1"/>
  <c r="CU1312" i="1"/>
  <c r="CU1313" i="1"/>
  <c r="CU1314" i="1"/>
  <c r="CU1315" i="1"/>
  <c r="CU1316" i="1"/>
  <c r="CU1317" i="1"/>
  <c r="CU1318" i="1"/>
  <c r="CU1319" i="1"/>
  <c r="CU1320" i="1"/>
  <c r="CU1321" i="1"/>
  <c r="CU1322" i="1"/>
  <c r="CU1323" i="1"/>
  <c r="CU1324" i="1"/>
  <c r="CU1325" i="1"/>
  <c r="CU1326" i="1"/>
  <c r="CU1327" i="1"/>
  <c r="CU1328" i="1"/>
  <c r="CU1329" i="1"/>
  <c r="CU1330" i="1"/>
  <c r="CU1331" i="1"/>
  <c r="CU1332" i="1"/>
  <c r="CU1333" i="1"/>
  <c r="CU1334" i="1"/>
  <c r="CU1335" i="1"/>
  <c r="CU1336" i="1"/>
  <c r="CU1337" i="1"/>
  <c r="CU1338" i="1"/>
  <c r="CU1339" i="1"/>
  <c r="CU1340" i="1"/>
  <c r="CU1341" i="1"/>
  <c r="CU1342" i="1"/>
  <c r="CU1343" i="1"/>
  <c r="CU1344" i="1"/>
  <c r="CU1345" i="1"/>
  <c r="CU1346" i="1"/>
  <c r="CU1347" i="1"/>
  <c r="CU1348" i="1"/>
  <c r="CU1349" i="1"/>
  <c r="CU1350" i="1"/>
  <c r="CU1351" i="1"/>
  <c r="CU1352" i="1"/>
  <c r="CU1353" i="1"/>
  <c r="CU1354" i="1"/>
  <c r="CU1355" i="1"/>
  <c r="CU1356" i="1"/>
  <c r="CU1357" i="1"/>
  <c r="CU1358" i="1"/>
  <c r="CU1359" i="1"/>
  <c r="CU1360" i="1"/>
  <c r="CU1361" i="1"/>
  <c r="CU1362" i="1"/>
  <c r="CU1363" i="1"/>
  <c r="CU1364" i="1"/>
  <c r="CU1365" i="1"/>
  <c r="CU1366" i="1"/>
  <c r="CU1367" i="1"/>
  <c r="CU1368" i="1"/>
  <c r="CU1369" i="1"/>
  <c r="CU1370" i="1"/>
  <c r="CU1371" i="1"/>
  <c r="CU1372" i="1"/>
  <c r="CU1373" i="1"/>
  <c r="CU1374" i="1"/>
  <c r="CU1375" i="1"/>
  <c r="CU1376" i="1"/>
  <c r="CU1377" i="1"/>
  <c r="CU1378" i="1"/>
  <c r="CU1379" i="1"/>
  <c r="CU1380" i="1"/>
  <c r="CU1381" i="1"/>
  <c r="CU1382" i="1"/>
  <c r="CU1383" i="1"/>
  <c r="CU1384" i="1"/>
  <c r="CU1385" i="1"/>
  <c r="CU1386" i="1"/>
  <c r="CU1387" i="1"/>
  <c r="CU1388" i="1"/>
  <c r="CU1389" i="1"/>
  <c r="CU1390" i="1"/>
  <c r="CU1391" i="1"/>
  <c r="CU1392" i="1"/>
  <c r="CU1393" i="1"/>
  <c r="CU1394" i="1"/>
  <c r="CU1395" i="1"/>
  <c r="CU1396" i="1"/>
  <c r="CU1397" i="1"/>
  <c r="CU1398" i="1"/>
  <c r="CU1399" i="1"/>
  <c r="CU1400" i="1"/>
  <c r="CU1401" i="1"/>
  <c r="CU1402" i="1"/>
  <c r="CU1403" i="1"/>
  <c r="CU1404" i="1"/>
  <c r="CU1405" i="1"/>
  <c r="CU1406" i="1"/>
  <c r="CU1407" i="1"/>
  <c r="CU1408" i="1"/>
  <c r="CU1409" i="1"/>
  <c r="CU1410" i="1"/>
  <c r="CU1411" i="1"/>
  <c r="CU1412" i="1"/>
  <c r="CU1413" i="1"/>
  <c r="CU1414" i="1"/>
  <c r="CU1415" i="1"/>
  <c r="CU1416" i="1"/>
  <c r="CU1417" i="1"/>
  <c r="CU1418" i="1"/>
  <c r="CU1419" i="1"/>
  <c r="CU1420" i="1"/>
  <c r="CU1421" i="1"/>
  <c r="CU1422" i="1"/>
  <c r="CU1423" i="1"/>
  <c r="CU1424" i="1"/>
  <c r="CU1425" i="1"/>
  <c r="CU1426" i="1"/>
  <c r="CU1427" i="1"/>
  <c r="CU1428" i="1"/>
  <c r="CU1429" i="1"/>
  <c r="CU1430" i="1"/>
  <c r="CU1431" i="1"/>
  <c r="CU1432" i="1"/>
  <c r="CU1433" i="1"/>
  <c r="CU1434" i="1"/>
  <c r="CU1435" i="1"/>
  <c r="CU1436" i="1"/>
  <c r="CU1437" i="1"/>
  <c r="CU1438" i="1"/>
  <c r="CU1439" i="1"/>
  <c r="CU1440" i="1"/>
  <c r="CU1441" i="1"/>
  <c r="CU1442" i="1"/>
  <c r="CU1443" i="1"/>
  <c r="CU1444" i="1"/>
  <c r="CU1445" i="1"/>
  <c r="CU1446" i="1"/>
  <c r="CU1447" i="1"/>
  <c r="CU1448" i="1"/>
  <c r="CU1449" i="1"/>
  <c r="CU1450" i="1"/>
  <c r="CU1451" i="1"/>
  <c r="CU1452" i="1"/>
  <c r="CU1453" i="1"/>
  <c r="CU1454" i="1"/>
  <c r="CU1455" i="1"/>
  <c r="CU1456" i="1"/>
  <c r="CU1457" i="1"/>
  <c r="CU1458" i="1"/>
  <c r="CU1459" i="1"/>
  <c r="CU1460" i="1"/>
  <c r="CU1461" i="1"/>
  <c r="CU1462" i="1"/>
  <c r="CU1463" i="1"/>
  <c r="CU1464" i="1"/>
  <c r="CU1465" i="1"/>
  <c r="CU1466" i="1"/>
  <c r="CU1467" i="1"/>
  <c r="CU1468" i="1"/>
  <c r="CU1469" i="1"/>
  <c r="CU1470" i="1"/>
  <c r="CU1471" i="1"/>
  <c r="CU1472" i="1"/>
  <c r="CU1473" i="1"/>
  <c r="CU1474" i="1"/>
  <c r="CU1475" i="1"/>
  <c r="CU1476" i="1"/>
  <c r="CU1477" i="1"/>
  <c r="CU1478" i="1"/>
  <c r="CU1479" i="1"/>
  <c r="CU1480" i="1"/>
  <c r="CU1481" i="1"/>
  <c r="CU1482" i="1"/>
  <c r="CU1483" i="1"/>
  <c r="CU1484" i="1"/>
  <c r="CU1485" i="1"/>
  <c r="CU1486" i="1"/>
  <c r="CU1487" i="1"/>
  <c r="CU1488" i="1"/>
  <c r="CU1489" i="1"/>
  <c r="CU1490" i="1"/>
  <c r="CU1491" i="1"/>
  <c r="CU1492" i="1"/>
  <c r="CU1493" i="1"/>
  <c r="CU1494" i="1"/>
  <c r="CU1495" i="1"/>
  <c r="CU1496" i="1"/>
  <c r="CU1497" i="1"/>
  <c r="CU1498" i="1"/>
  <c r="CU1499" i="1"/>
  <c r="CU1500" i="1"/>
  <c r="CU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89" i="1"/>
  <c r="CV90" i="1"/>
  <c r="CV91" i="1"/>
  <c r="CV92" i="1"/>
  <c r="CV93" i="1"/>
  <c r="CV94" i="1"/>
  <c r="CV95" i="1"/>
  <c r="CV96" i="1"/>
  <c r="CV97" i="1"/>
  <c r="CV98" i="1"/>
  <c r="CV99" i="1"/>
  <c r="CV100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165" i="1"/>
  <c r="CV166" i="1"/>
  <c r="CV167" i="1"/>
  <c r="CV168" i="1"/>
  <c r="CV169" i="1"/>
  <c r="CV170" i="1"/>
  <c r="CV171" i="1"/>
  <c r="CV172" i="1"/>
  <c r="CV173" i="1"/>
  <c r="CV174" i="1"/>
  <c r="CV175" i="1"/>
  <c r="CV176" i="1"/>
  <c r="CV177" i="1"/>
  <c r="CV178" i="1"/>
  <c r="CV179" i="1"/>
  <c r="CV180" i="1"/>
  <c r="CV181" i="1"/>
  <c r="CV182" i="1"/>
  <c r="CV183" i="1"/>
  <c r="CV184" i="1"/>
  <c r="CV185" i="1"/>
  <c r="CV186" i="1"/>
  <c r="CV187" i="1"/>
  <c r="CV188" i="1"/>
  <c r="CV189" i="1"/>
  <c r="CV190" i="1"/>
  <c r="CV191" i="1"/>
  <c r="CV192" i="1"/>
  <c r="CV193" i="1"/>
  <c r="CV194" i="1"/>
  <c r="CV195" i="1"/>
  <c r="CV196" i="1"/>
  <c r="CV197" i="1"/>
  <c r="CV198" i="1"/>
  <c r="CV199" i="1"/>
  <c r="CV200" i="1"/>
  <c r="CV201" i="1"/>
  <c r="CV202" i="1"/>
  <c r="CV203" i="1"/>
  <c r="CV204" i="1"/>
  <c r="CV205" i="1"/>
  <c r="CV206" i="1"/>
  <c r="CV207" i="1"/>
  <c r="CV208" i="1"/>
  <c r="CV209" i="1"/>
  <c r="CV210" i="1"/>
  <c r="CV211" i="1"/>
  <c r="CV212" i="1"/>
  <c r="CV213" i="1"/>
  <c r="CV214" i="1"/>
  <c r="CV215" i="1"/>
  <c r="CV216" i="1"/>
  <c r="CV217" i="1"/>
  <c r="CV218" i="1"/>
  <c r="CV219" i="1"/>
  <c r="CV220" i="1"/>
  <c r="CV221" i="1"/>
  <c r="CV222" i="1"/>
  <c r="CV223" i="1"/>
  <c r="CV224" i="1"/>
  <c r="CV225" i="1"/>
  <c r="CV226" i="1"/>
  <c r="CV227" i="1"/>
  <c r="CV228" i="1"/>
  <c r="CV229" i="1"/>
  <c r="CV230" i="1"/>
  <c r="CV231" i="1"/>
  <c r="CV232" i="1"/>
  <c r="CV233" i="1"/>
  <c r="CV234" i="1"/>
  <c r="CV235" i="1"/>
  <c r="CV236" i="1"/>
  <c r="CV237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75" i="1"/>
  <c r="CV276" i="1"/>
  <c r="CV277" i="1"/>
  <c r="CV278" i="1"/>
  <c r="CV279" i="1"/>
  <c r="CV280" i="1"/>
  <c r="CV281" i="1"/>
  <c r="CV282" i="1"/>
  <c r="CV283" i="1"/>
  <c r="CV284" i="1"/>
  <c r="CV285" i="1"/>
  <c r="CV286" i="1"/>
  <c r="CV287" i="1"/>
  <c r="CV288" i="1"/>
  <c r="CV289" i="1"/>
  <c r="CV290" i="1"/>
  <c r="CV291" i="1"/>
  <c r="CV292" i="1"/>
  <c r="CV293" i="1"/>
  <c r="CV294" i="1"/>
  <c r="CV295" i="1"/>
  <c r="CV296" i="1"/>
  <c r="CV297" i="1"/>
  <c r="CV298" i="1"/>
  <c r="CV299" i="1"/>
  <c r="CV300" i="1"/>
  <c r="CV301" i="1"/>
  <c r="CV302" i="1"/>
  <c r="CV303" i="1"/>
  <c r="CV304" i="1"/>
  <c r="CV305" i="1"/>
  <c r="CV306" i="1"/>
  <c r="CV307" i="1"/>
  <c r="CV308" i="1"/>
  <c r="CV309" i="1"/>
  <c r="CV310" i="1"/>
  <c r="CV311" i="1"/>
  <c r="CV312" i="1"/>
  <c r="CV313" i="1"/>
  <c r="CV314" i="1"/>
  <c r="CV315" i="1"/>
  <c r="CV316" i="1"/>
  <c r="CV317" i="1"/>
  <c r="CV318" i="1"/>
  <c r="CV319" i="1"/>
  <c r="CV320" i="1"/>
  <c r="CV321" i="1"/>
  <c r="CV322" i="1"/>
  <c r="CV323" i="1"/>
  <c r="CV324" i="1"/>
  <c r="CV325" i="1"/>
  <c r="CV326" i="1"/>
  <c r="CV327" i="1"/>
  <c r="CV328" i="1"/>
  <c r="CV329" i="1"/>
  <c r="CV330" i="1"/>
  <c r="CV331" i="1"/>
  <c r="CV332" i="1"/>
  <c r="CV333" i="1"/>
  <c r="CV334" i="1"/>
  <c r="CV335" i="1"/>
  <c r="CV336" i="1"/>
  <c r="CV337" i="1"/>
  <c r="CV338" i="1"/>
  <c r="CV339" i="1"/>
  <c r="CV340" i="1"/>
  <c r="CV341" i="1"/>
  <c r="CV342" i="1"/>
  <c r="CV343" i="1"/>
  <c r="CV344" i="1"/>
  <c r="CV345" i="1"/>
  <c r="CV346" i="1"/>
  <c r="CV347" i="1"/>
  <c r="CV348" i="1"/>
  <c r="CV349" i="1"/>
  <c r="CV350" i="1"/>
  <c r="CV351" i="1"/>
  <c r="CV352" i="1"/>
  <c r="CV353" i="1"/>
  <c r="CV354" i="1"/>
  <c r="CV355" i="1"/>
  <c r="CV356" i="1"/>
  <c r="CV357" i="1"/>
  <c r="CV358" i="1"/>
  <c r="CV359" i="1"/>
  <c r="CV360" i="1"/>
  <c r="CV361" i="1"/>
  <c r="CV362" i="1"/>
  <c r="CV363" i="1"/>
  <c r="CV364" i="1"/>
  <c r="CV365" i="1"/>
  <c r="CV366" i="1"/>
  <c r="CV367" i="1"/>
  <c r="CV368" i="1"/>
  <c r="CV369" i="1"/>
  <c r="CV370" i="1"/>
  <c r="CV371" i="1"/>
  <c r="CV372" i="1"/>
  <c r="CV373" i="1"/>
  <c r="CV374" i="1"/>
  <c r="CV375" i="1"/>
  <c r="CV376" i="1"/>
  <c r="CV377" i="1"/>
  <c r="CV378" i="1"/>
  <c r="CV379" i="1"/>
  <c r="CV380" i="1"/>
  <c r="CV381" i="1"/>
  <c r="CV382" i="1"/>
  <c r="CV383" i="1"/>
  <c r="CV384" i="1"/>
  <c r="CV385" i="1"/>
  <c r="CV386" i="1"/>
  <c r="CV387" i="1"/>
  <c r="CV388" i="1"/>
  <c r="CV389" i="1"/>
  <c r="CV390" i="1"/>
  <c r="CV391" i="1"/>
  <c r="CV392" i="1"/>
  <c r="CV393" i="1"/>
  <c r="CV394" i="1"/>
  <c r="CV395" i="1"/>
  <c r="CV396" i="1"/>
  <c r="CV397" i="1"/>
  <c r="CV398" i="1"/>
  <c r="CV399" i="1"/>
  <c r="CV400" i="1"/>
  <c r="CV401" i="1"/>
  <c r="CV402" i="1"/>
  <c r="CV403" i="1"/>
  <c r="CV404" i="1"/>
  <c r="CV405" i="1"/>
  <c r="CV406" i="1"/>
  <c r="CV407" i="1"/>
  <c r="CV408" i="1"/>
  <c r="CV409" i="1"/>
  <c r="CV410" i="1"/>
  <c r="CV411" i="1"/>
  <c r="CV412" i="1"/>
  <c r="CV413" i="1"/>
  <c r="CV414" i="1"/>
  <c r="CV415" i="1"/>
  <c r="CV416" i="1"/>
  <c r="CV417" i="1"/>
  <c r="CV418" i="1"/>
  <c r="CV419" i="1"/>
  <c r="CV420" i="1"/>
  <c r="CV421" i="1"/>
  <c r="CV422" i="1"/>
  <c r="CV423" i="1"/>
  <c r="CV424" i="1"/>
  <c r="CV425" i="1"/>
  <c r="CV426" i="1"/>
  <c r="CV427" i="1"/>
  <c r="CV428" i="1"/>
  <c r="CV429" i="1"/>
  <c r="CV430" i="1"/>
  <c r="CV431" i="1"/>
  <c r="CV432" i="1"/>
  <c r="CV433" i="1"/>
  <c r="CV434" i="1"/>
  <c r="CV435" i="1"/>
  <c r="CV436" i="1"/>
  <c r="CV437" i="1"/>
  <c r="CV438" i="1"/>
  <c r="CV439" i="1"/>
  <c r="CV440" i="1"/>
  <c r="CV441" i="1"/>
  <c r="CV442" i="1"/>
  <c r="CV443" i="1"/>
  <c r="CV444" i="1"/>
  <c r="CV445" i="1"/>
  <c r="CV446" i="1"/>
  <c r="CV447" i="1"/>
  <c r="CV448" i="1"/>
  <c r="CV449" i="1"/>
  <c r="CV450" i="1"/>
  <c r="CV451" i="1"/>
  <c r="CV452" i="1"/>
  <c r="CV453" i="1"/>
  <c r="CV454" i="1"/>
  <c r="CV455" i="1"/>
  <c r="CV456" i="1"/>
  <c r="CV457" i="1"/>
  <c r="CV458" i="1"/>
  <c r="CV459" i="1"/>
  <c r="CV460" i="1"/>
  <c r="CV461" i="1"/>
  <c r="CV462" i="1"/>
  <c r="CV463" i="1"/>
  <c r="CV464" i="1"/>
  <c r="CV465" i="1"/>
  <c r="CV466" i="1"/>
  <c r="CV467" i="1"/>
  <c r="CV468" i="1"/>
  <c r="CV469" i="1"/>
  <c r="CV470" i="1"/>
  <c r="CV471" i="1"/>
  <c r="CV472" i="1"/>
  <c r="CV473" i="1"/>
  <c r="CV474" i="1"/>
  <c r="CV475" i="1"/>
  <c r="CV476" i="1"/>
  <c r="CV477" i="1"/>
  <c r="CV478" i="1"/>
  <c r="CV479" i="1"/>
  <c r="CV480" i="1"/>
  <c r="CV481" i="1"/>
  <c r="CV482" i="1"/>
  <c r="CV483" i="1"/>
  <c r="CV484" i="1"/>
  <c r="CV485" i="1"/>
  <c r="CV486" i="1"/>
  <c r="CV487" i="1"/>
  <c r="CV488" i="1"/>
  <c r="CV489" i="1"/>
  <c r="CV490" i="1"/>
  <c r="CV491" i="1"/>
  <c r="CV492" i="1"/>
  <c r="CV493" i="1"/>
  <c r="CV494" i="1"/>
  <c r="CV495" i="1"/>
  <c r="CV496" i="1"/>
  <c r="CV497" i="1"/>
  <c r="CV498" i="1"/>
  <c r="CV499" i="1"/>
  <c r="CV500" i="1"/>
  <c r="CV501" i="1"/>
  <c r="CV502" i="1"/>
  <c r="CV503" i="1"/>
  <c r="CV504" i="1"/>
  <c r="CV505" i="1"/>
  <c r="CV506" i="1"/>
  <c r="CV507" i="1"/>
  <c r="CV508" i="1"/>
  <c r="CV509" i="1"/>
  <c r="CV510" i="1"/>
  <c r="CV511" i="1"/>
  <c r="CV512" i="1"/>
  <c r="CV513" i="1"/>
  <c r="CV514" i="1"/>
  <c r="CV515" i="1"/>
  <c r="CV516" i="1"/>
  <c r="CV517" i="1"/>
  <c r="CV518" i="1"/>
  <c r="CV519" i="1"/>
  <c r="CV520" i="1"/>
  <c r="CV521" i="1"/>
  <c r="CV522" i="1"/>
  <c r="CV523" i="1"/>
  <c r="CV524" i="1"/>
  <c r="CV525" i="1"/>
  <c r="CV526" i="1"/>
  <c r="CV527" i="1"/>
  <c r="CV528" i="1"/>
  <c r="CV529" i="1"/>
  <c r="CV530" i="1"/>
  <c r="CV531" i="1"/>
  <c r="CV532" i="1"/>
  <c r="CV533" i="1"/>
  <c r="CV534" i="1"/>
  <c r="CV535" i="1"/>
  <c r="CV536" i="1"/>
  <c r="CV537" i="1"/>
  <c r="CV538" i="1"/>
  <c r="CV539" i="1"/>
  <c r="CV540" i="1"/>
  <c r="CV541" i="1"/>
  <c r="CV542" i="1"/>
  <c r="CV54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92" i="1"/>
  <c r="CV593" i="1"/>
  <c r="CV594" i="1"/>
  <c r="CV595" i="1"/>
  <c r="CV596" i="1"/>
  <c r="CV597" i="1"/>
  <c r="CV598" i="1"/>
  <c r="CV599" i="1"/>
  <c r="CV600" i="1"/>
  <c r="CV601" i="1"/>
  <c r="CV602" i="1"/>
  <c r="CV603" i="1"/>
  <c r="CV604" i="1"/>
  <c r="CV605" i="1"/>
  <c r="CV606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56" i="1"/>
  <c r="CV657" i="1"/>
  <c r="CV658" i="1"/>
  <c r="CV659" i="1"/>
  <c r="CV660" i="1"/>
  <c r="CV661" i="1"/>
  <c r="CV662" i="1"/>
  <c r="CV663" i="1"/>
  <c r="CV664" i="1"/>
  <c r="CV665" i="1"/>
  <c r="CV666" i="1"/>
  <c r="CV667" i="1"/>
  <c r="CV668" i="1"/>
  <c r="CV669" i="1"/>
  <c r="CV670" i="1"/>
  <c r="CV671" i="1"/>
  <c r="CV672" i="1"/>
  <c r="CV673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94" i="1"/>
  <c r="CV695" i="1"/>
  <c r="CV696" i="1"/>
  <c r="CV697" i="1"/>
  <c r="CV698" i="1"/>
  <c r="CV699" i="1"/>
  <c r="CV700" i="1"/>
  <c r="CV701" i="1"/>
  <c r="CV702" i="1"/>
  <c r="CV703" i="1"/>
  <c r="CV704" i="1"/>
  <c r="CV705" i="1"/>
  <c r="CV706" i="1"/>
  <c r="CV707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720" i="1"/>
  <c r="CV721" i="1"/>
  <c r="CV722" i="1"/>
  <c r="CV723" i="1"/>
  <c r="CV724" i="1"/>
  <c r="CV725" i="1"/>
  <c r="CV726" i="1"/>
  <c r="CV727" i="1"/>
  <c r="CV728" i="1"/>
  <c r="CV729" i="1"/>
  <c r="CV730" i="1"/>
  <c r="CV731" i="1"/>
  <c r="CV732" i="1"/>
  <c r="CV733" i="1"/>
  <c r="CV734" i="1"/>
  <c r="CV735" i="1"/>
  <c r="CV736" i="1"/>
  <c r="CV737" i="1"/>
  <c r="CV738" i="1"/>
  <c r="CV739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784" i="1"/>
  <c r="CV785" i="1"/>
  <c r="CV786" i="1"/>
  <c r="CV787" i="1"/>
  <c r="CV788" i="1"/>
  <c r="CV789" i="1"/>
  <c r="CV790" i="1"/>
  <c r="CV791" i="1"/>
  <c r="CV792" i="1"/>
  <c r="CV793" i="1"/>
  <c r="CV794" i="1"/>
  <c r="CV795" i="1"/>
  <c r="CV796" i="1"/>
  <c r="CV797" i="1"/>
  <c r="CV798" i="1"/>
  <c r="CV799" i="1"/>
  <c r="CV800" i="1"/>
  <c r="CV801" i="1"/>
  <c r="CV802" i="1"/>
  <c r="CV803" i="1"/>
  <c r="CV804" i="1"/>
  <c r="CV805" i="1"/>
  <c r="CV806" i="1"/>
  <c r="CV807" i="1"/>
  <c r="CV808" i="1"/>
  <c r="CV809" i="1"/>
  <c r="CV810" i="1"/>
  <c r="CV811" i="1"/>
  <c r="CV812" i="1"/>
  <c r="CV813" i="1"/>
  <c r="CV814" i="1"/>
  <c r="CV815" i="1"/>
  <c r="CV816" i="1"/>
  <c r="CV817" i="1"/>
  <c r="CV818" i="1"/>
  <c r="CV819" i="1"/>
  <c r="CV820" i="1"/>
  <c r="CV821" i="1"/>
  <c r="CV822" i="1"/>
  <c r="CV823" i="1"/>
  <c r="CV824" i="1"/>
  <c r="CV825" i="1"/>
  <c r="CV826" i="1"/>
  <c r="CV827" i="1"/>
  <c r="CV828" i="1"/>
  <c r="CV829" i="1"/>
  <c r="CV830" i="1"/>
  <c r="CV831" i="1"/>
  <c r="CV832" i="1"/>
  <c r="CV833" i="1"/>
  <c r="CV834" i="1"/>
  <c r="CV835" i="1"/>
  <c r="CV836" i="1"/>
  <c r="CV837" i="1"/>
  <c r="CV838" i="1"/>
  <c r="CV839" i="1"/>
  <c r="CV840" i="1"/>
  <c r="CV841" i="1"/>
  <c r="CV842" i="1"/>
  <c r="CV843" i="1"/>
  <c r="CV844" i="1"/>
  <c r="CV845" i="1"/>
  <c r="CV846" i="1"/>
  <c r="CV847" i="1"/>
  <c r="CV848" i="1"/>
  <c r="CV849" i="1"/>
  <c r="CV850" i="1"/>
  <c r="CV851" i="1"/>
  <c r="CV852" i="1"/>
  <c r="CV853" i="1"/>
  <c r="CV854" i="1"/>
  <c r="CV855" i="1"/>
  <c r="CV856" i="1"/>
  <c r="CV857" i="1"/>
  <c r="CV858" i="1"/>
  <c r="CV859" i="1"/>
  <c r="CV860" i="1"/>
  <c r="CV861" i="1"/>
  <c r="CV862" i="1"/>
  <c r="CV863" i="1"/>
  <c r="CV864" i="1"/>
  <c r="CV865" i="1"/>
  <c r="CV866" i="1"/>
  <c r="CV867" i="1"/>
  <c r="CV868" i="1"/>
  <c r="CV869" i="1"/>
  <c r="CV870" i="1"/>
  <c r="CV871" i="1"/>
  <c r="CV872" i="1"/>
  <c r="CV873" i="1"/>
  <c r="CV874" i="1"/>
  <c r="CV875" i="1"/>
  <c r="CV876" i="1"/>
  <c r="CV877" i="1"/>
  <c r="CV878" i="1"/>
  <c r="CV879" i="1"/>
  <c r="CV880" i="1"/>
  <c r="CV881" i="1"/>
  <c r="CV882" i="1"/>
  <c r="CV883" i="1"/>
  <c r="CV884" i="1"/>
  <c r="CV885" i="1"/>
  <c r="CV886" i="1"/>
  <c r="CV887" i="1"/>
  <c r="CV888" i="1"/>
  <c r="CV889" i="1"/>
  <c r="CV890" i="1"/>
  <c r="CV891" i="1"/>
  <c r="CV892" i="1"/>
  <c r="CV893" i="1"/>
  <c r="CV894" i="1"/>
  <c r="CV895" i="1"/>
  <c r="CV896" i="1"/>
  <c r="CV897" i="1"/>
  <c r="CV898" i="1"/>
  <c r="CV899" i="1"/>
  <c r="CV900" i="1"/>
  <c r="CV901" i="1"/>
  <c r="CV902" i="1"/>
  <c r="CV903" i="1"/>
  <c r="CV904" i="1"/>
  <c r="CV905" i="1"/>
  <c r="CV906" i="1"/>
  <c r="CV907" i="1"/>
  <c r="CV908" i="1"/>
  <c r="CV909" i="1"/>
  <c r="CV910" i="1"/>
  <c r="CV911" i="1"/>
  <c r="CV912" i="1"/>
  <c r="CV913" i="1"/>
  <c r="CV914" i="1"/>
  <c r="CV915" i="1"/>
  <c r="CV916" i="1"/>
  <c r="CV917" i="1"/>
  <c r="CV918" i="1"/>
  <c r="CV919" i="1"/>
  <c r="CV920" i="1"/>
  <c r="CV921" i="1"/>
  <c r="CV922" i="1"/>
  <c r="CV923" i="1"/>
  <c r="CV924" i="1"/>
  <c r="CV925" i="1"/>
  <c r="CV926" i="1"/>
  <c r="CV927" i="1"/>
  <c r="CV928" i="1"/>
  <c r="CV929" i="1"/>
  <c r="CV930" i="1"/>
  <c r="CV931" i="1"/>
  <c r="CV932" i="1"/>
  <c r="CV933" i="1"/>
  <c r="CV934" i="1"/>
  <c r="CV935" i="1"/>
  <c r="CV936" i="1"/>
  <c r="CV937" i="1"/>
  <c r="CV938" i="1"/>
  <c r="CV939" i="1"/>
  <c r="CV940" i="1"/>
  <c r="CV941" i="1"/>
  <c r="CV942" i="1"/>
  <c r="CV943" i="1"/>
  <c r="CV944" i="1"/>
  <c r="CV945" i="1"/>
  <c r="CV946" i="1"/>
  <c r="CV947" i="1"/>
  <c r="CV948" i="1"/>
  <c r="CV949" i="1"/>
  <c r="CV950" i="1"/>
  <c r="CV951" i="1"/>
  <c r="CV952" i="1"/>
  <c r="CV953" i="1"/>
  <c r="CV954" i="1"/>
  <c r="CV955" i="1"/>
  <c r="CV956" i="1"/>
  <c r="CV957" i="1"/>
  <c r="CV958" i="1"/>
  <c r="CV959" i="1"/>
  <c r="CV960" i="1"/>
  <c r="CV961" i="1"/>
  <c r="CV962" i="1"/>
  <c r="CV963" i="1"/>
  <c r="CV964" i="1"/>
  <c r="CV965" i="1"/>
  <c r="CV966" i="1"/>
  <c r="CV967" i="1"/>
  <c r="CV968" i="1"/>
  <c r="CV969" i="1"/>
  <c r="CV970" i="1"/>
  <c r="CV971" i="1"/>
  <c r="CV972" i="1"/>
  <c r="CV973" i="1"/>
  <c r="CV974" i="1"/>
  <c r="CV975" i="1"/>
  <c r="CV976" i="1"/>
  <c r="CV977" i="1"/>
  <c r="CV978" i="1"/>
  <c r="CV979" i="1"/>
  <c r="CV980" i="1"/>
  <c r="CV981" i="1"/>
  <c r="CV982" i="1"/>
  <c r="CV983" i="1"/>
  <c r="CV984" i="1"/>
  <c r="CV985" i="1"/>
  <c r="CV986" i="1"/>
  <c r="CV987" i="1"/>
  <c r="CV988" i="1"/>
  <c r="CV989" i="1"/>
  <c r="CV990" i="1"/>
  <c r="CV991" i="1"/>
  <c r="CV992" i="1"/>
  <c r="CV993" i="1"/>
  <c r="CV994" i="1"/>
  <c r="CV995" i="1"/>
  <c r="CV996" i="1"/>
  <c r="CV997" i="1"/>
  <c r="CV998" i="1"/>
  <c r="CV999" i="1"/>
  <c r="CV1000" i="1"/>
  <c r="CV1001" i="1"/>
  <c r="CV1002" i="1"/>
  <c r="CV1003" i="1"/>
  <c r="CV1004" i="1"/>
  <c r="CV1005" i="1"/>
  <c r="CV1006" i="1"/>
  <c r="CV1007" i="1"/>
  <c r="CV1008" i="1"/>
  <c r="CV1009" i="1"/>
  <c r="CV1010" i="1"/>
  <c r="CV1011" i="1"/>
  <c r="CV1012" i="1"/>
  <c r="CV1013" i="1"/>
  <c r="CV1014" i="1"/>
  <c r="CV1015" i="1"/>
  <c r="CV1016" i="1"/>
  <c r="CV1017" i="1"/>
  <c r="CV1018" i="1"/>
  <c r="CV1019" i="1"/>
  <c r="CV1020" i="1"/>
  <c r="CV1021" i="1"/>
  <c r="CV1022" i="1"/>
  <c r="CV1023" i="1"/>
  <c r="CV1024" i="1"/>
  <c r="CV1025" i="1"/>
  <c r="CV1026" i="1"/>
  <c r="CV1027" i="1"/>
  <c r="CV1028" i="1"/>
  <c r="CV1029" i="1"/>
  <c r="CV1030" i="1"/>
  <c r="CV1031" i="1"/>
  <c r="CV1032" i="1"/>
  <c r="CV1033" i="1"/>
  <c r="CV1034" i="1"/>
  <c r="CV1035" i="1"/>
  <c r="CV1036" i="1"/>
  <c r="CV1037" i="1"/>
  <c r="CV1038" i="1"/>
  <c r="CV1039" i="1"/>
  <c r="CV1040" i="1"/>
  <c r="CV1041" i="1"/>
  <c r="CV1042" i="1"/>
  <c r="CV1043" i="1"/>
  <c r="CV1044" i="1"/>
  <c r="CV1045" i="1"/>
  <c r="CV1046" i="1"/>
  <c r="CV1047" i="1"/>
  <c r="CV1048" i="1"/>
  <c r="CV1049" i="1"/>
  <c r="CV1050" i="1"/>
  <c r="CV1051" i="1"/>
  <c r="CV1052" i="1"/>
  <c r="CV1053" i="1"/>
  <c r="CV1054" i="1"/>
  <c r="CV1055" i="1"/>
  <c r="CV1056" i="1"/>
  <c r="CV1057" i="1"/>
  <c r="CV1058" i="1"/>
  <c r="CV1059" i="1"/>
  <c r="CV1060" i="1"/>
  <c r="CV1061" i="1"/>
  <c r="CV1062" i="1"/>
  <c r="CV1063" i="1"/>
  <c r="CV1064" i="1"/>
  <c r="CV1065" i="1"/>
  <c r="CV1066" i="1"/>
  <c r="CV1067" i="1"/>
  <c r="CV1068" i="1"/>
  <c r="CV1069" i="1"/>
  <c r="CV1070" i="1"/>
  <c r="CV1071" i="1"/>
  <c r="CV1072" i="1"/>
  <c r="CV1073" i="1"/>
  <c r="CV1074" i="1"/>
  <c r="CV1075" i="1"/>
  <c r="CV1076" i="1"/>
  <c r="CV1077" i="1"/>
  <c r="CV1078" i="1"/>
  <c r="CV1079" i="1"/>
  <c r="CV1080" i="1"/>
  <c r="CV1081" i="1"/>
  <c r="CV1082" i="1"/>
  <c r="CV1083" i="1"/>
  <c r="CV1084" i="1"/>
  <c r="CV1085" i="1"/>
  <c r="CV1086" i="1"/>
  <c r="CV1087" i="1"/>
  <c r="CV1088" i="1"/>
  <c r="CV1089" i="1"/>
  <c r="CV1090" i="1"/>
  <c r="CV1091" i="1"/>
  <c r="CV1092" i="1"/>
  <c r="CV1093" i="1"/>
  <c r="CV1094" i="1"/>
  <c r="CV1095" i="1"/>
  <c r="CV1096" i="1"/>
  <c r="CV1097" i="1"/>
  <c r="CV1098" i="1"/>
  <c r="CV1099" i="1"/>
  <c r="CV1100" i="1"/>
  <c r="CV1101" i="1"/>
  <c r="CV1102" i="1"/>
  <c r="CV1103" i="1"/>
  <c r="CV1104" i="1"/>
  <c r="CV1105" i="1"/>
  <c r="CV1106" i="1"/>
  <c r="CV1107" i="1"/>
  <c r="CV1108" i="1"/>
  <c r="CV1109" i="1"/>
  <c r="CV1110" i="1"/>
  <c r="CV1111" i="1"/>
  <c r="CV1112" i="1"/>
  <c r="CV1113" i="1"/>
  <c r="CV1114" i="1"/>
  <c r="CV1115" i="1"/>
  <c r="CV1116" i="1"/>
  <c r="CV1117" i="1"/>
  <c r="CV1118" i="1"/>
  <c r="CV1119" i="1"/>
  <c r="CV1120" i="1"/>
  <c r="CV1121" i="1"/>
  <c r="CV1122" i="1"/>
  <c r="CV1123" i="1"/>
  <c r="CV1124" i="1"/>
  <c r="CV1125" i="1"/>
  <c r="CV1126" i="1"/>
  <c r="CV1127" i="1"/>
  <c r="CV1128" i="1"/>
  <c r="CV1129" i="1"/>
  <c r="CV1130" i="1"/>
  <c r="CV1131" i="1"/>
  <c r="CV1132" i="1"/>
  <c r="CV1133" i="1"/>
  <c r="CV1134" i="1"/>
  <c r="CV1135" i="1"/>
  <c r="CV1136" i="1"/>
  <c r="CV1137" i="1"/>
  <c r="CV1138" i="1"/>
  <c r="CV1139" i="1"/>
  <c r="CV1140" i="1"/>
  <c r="CV1141" i="1"/>
  <c r="CV1142" i="1"/>
  <c r="CV1143" i="1"/>
  <c r="CV1144" i="1"/>
  <c r="CV1145" i="1"/>
  <c r="CV1146" i="1"/>
  <c r="CV1147" i="1"/>
  <c r="CV1148" i="1"/>
  <c r="CV1149" i="1"/>
  <c r="CV1150" i="1"/>
  <c r="CV1151" i="1"/>
  <c r="CV1152" i="1"/>
  <c r="CV1153" i="1"/>
  <c r="CV1154" i="1"/>
  <c r="CV1155" i="1"/>
  <c r="CV1156" i="1"/>
  <c r="CV1157" i="1"/>
  <c r="CV1158" i="1"/>
  <c r="CV1159" i="1"/>
  <c r="CV1160" i="1"/>
  <c r="CV1161" i="1"/>
  <c r="CV1162" i="1"/>
  <c r="CV1163" i="1"/>
  <c r="CV1164" i="1"/>
  <c r="CV1165" i="1"/>
  <c r="CV1166" i="1"/>
  <c r="CV1167" i="1"/>
  <c r="CV1168" i="1"/>
  <c r="CV1169" i="1"/>
  <c r="CV1170" i="1"/>
  <c r="CV1171" i="1"/>
  <c r="CV1172" i="1"/>
  <c r="CV1173" i="1"/>
  <c r="CV1174" i="1"/>
  <c r="CV1175" i="1"/>
  <c r="CV1176" i="1"/>
  <c r="CV1177" i="1"/>
  <c r="CV1178" i="1"/>
  <c r="CV1179" i="1"/>
  <c r="CV1180" i="1"/>
  <c r="CV1181" i="1"/>
  <c r="CV1182" i="1"/>
  <c r="CV1183" i="1"/>
  <c r="CV1184" i="1"/>
  <c r="CV1185" i="1"/>
  <c r="CV1186" i="1"/>
  <c r="CV1187" i="1"/>
  <c r="CV1188" i="1"/>
  <c r="CV1189" i="1"/>
  <c r="CV1190" i="1"/>
  <c r="CV1191" i="1"/>
  <c r="CV1192" i="1"/>
  <c r="CV1193" i="1"/>
  <c r="CV1194" i="1"/>
  <c r="CV1195" i="1"/>
  <c r="CV1196" i="1"/>
  <c r="CV1197" i="1"/>
  <c r="CV1198" i="1"/>
  <c r="CV1199" i="1"/>
  <c r="CV1200" i="1"/>
  <c r="CV1201" i="1"/>
  <c r="CV1202" i="1"/>
  <c r="CV1203" i="1"/>
  <c r="CV1204" i="1"/>
  <c r="CV1205" i="1"/>
  <c r="CV1206" i="1"/>
  <c r="CV1207" i="1"/>
  <c r="CV1208" i="1"/>
  <c r="CV1209" i="1"/>
  <c r="CV1210" i="1"/>
  <c r="CV1211" i="1"/>
  <c r="CV1212" i="1"/>
  <c r="CV1213" i="1"/>
  <c r="CV1214" i="1"/>
  <c r="CV1215" i="1"/>
  <c r="CV1216" i="1"/>
  <c r="CV1217" i="1"/>
  <c r="CV1218" i="1"/>
  <c r="CV1219" i="1"/>
  <c r="CV1220" i="1"/>
  <c r="CV1221" i="1"/>
  <c r="CV1222" i="1"/>
  <c r="CV1223" i="1"/>
  <c r="CV1224" i="1"/>
  <c r="CV1225" i="1"/>
  <c r="CV1226" i="1"/>
  <c r="CV1227" i="1"/>
  <c r="CV1228" i="1"/>
  <c r="CV1229" i="1"/>
  <c r="CV1230" i="1"/>
  <c r="CV1231" i="1"/>
  <c r="CV1232" i="1"/>
  <c r="CV1233" i="1"/>
  <c r="CV1234" i="1"/>
  <c r="CV1235" i="1"/>
  <c r="CV1236" i="1"/>
  <c r="CV1237" i="1"/>
  <c r="CV1238" i="1"/>
  <c r="CV1239" i="1"/>
  <c r="CV1240" i="1"/>
  <c r="CV1241" i="1"/>
  <c r="CV1242" i="1"/>
  <c r="CV1243" i="1"/>
  <c r="CV1244" i="1"/>
  <c r="CV1245" i="1"/>
  <c r="CV1246" i="1"/>
  <c r="CV1247" i="1"/>
  <c r="CV1248" i="1"/>
  <c r="CV1249" i="1"/>
  <c r="CV1250" i="1"/>
  <c r="CV1251" i="1"/>
  <c r="CV1252" i="1"/>
  <c r="CV1253" i="1"/>
  <c r="CV1254" i="1"/>
  <c r="CV1255" i="1"/>
  <c r="CV1256" i="1"/>
  <c r="CV1257" i="1"/>
  <c r="CV1258" i="1"/>
  <c r="CV1259" i="1"/>
  <c r="CV1260" i="1"/>
  <c r="CV1261" i="1"/>
  <c r="CV1262" i="1"/>
  <c r="CV1263" i="1"/>
  <c r="CV1264" i="1"/>
  <c r="CV1265" i="1"/>
  <c r="CV1266" i="1"/>
  <c r="CV1267" i="1"/>
  <c r="CV1268" i="1"/>
  <c r="CV1269" i="1"/>
  <c r="CV1270" i="1"/>
  <c r="CV1271" i="1"/>
  <c r="CV1272" i="1"/>
  <c r="CV1273" i="1"/>
  <c r="CV1274" i="1"/>
  <c r="CV1275" i="1"/>
  <c r="CV1276" i="1"/>
  <c r="CV1277" i="1"/>
  <c r="CV1278" i="1"/>
  <c r="CV1279" i="1"/>
  <c r="CV1280" i="1"/>
  <c r="CV1281" i="1"/>
  <c r="CV1282" i="1"/>
  <c r="CV1283" i="1"/>
  <c r="CV1284" i="1"/>
  <c r="CV1285" i="1"/>
  <c r="CV1286" i="1"/>
  <c r="CV1287" i="1"/>
  <c r="CV1288" i="1"/>
  <c r="CV1289" i="1"/>
  <c r="CV1290" i="1"/>
  <c r="CV1291" i="1"/>
  <c r="CV1292" i="1"/>
  <c r="CV1293" i="1"/>
  <c r="CV1294" i="1"/>
  <c r="CV1295" i="1"/>
  <c r="CV1296" i="1"/>
  <c r="CV1297" i="1"/>
  <c r="CV1298" i="1"/>
  <c r="CV1299" i="1"/>
  <c r="CV1300" i="1"/>
  <c r="CV1301" i="1"/>
  <c r="CV1302" i="1"/>
  <c r="CV1303" i="1"/>
  <c r="CV1304" i="1"/>
  <c r="CV1305" i="1"/>
  <c r="CV1306" i="1"/>
  <c r="CV1307" i="1"/>
  <c r="CV1308" i="1"/>
  <c r="CV1309" i="1"/>
  <c r="CV1310" i="1"/>
  <c r="CV1311" i="1"/>
  <c r="CV1312" i="1"/>
  <c r="CV1313" i="1"/>
  <c r="CV1314" i="1"/>
  <c r="CV1315" i="1"/>
  <c r="CV1316" i="1"/>
  <c r="CV1317" i="1"/>
  <c r="CV1318" i="1"/>
  <c r="CV1319" i="1"/>
  <c r="CV1320" i="1"/>
  <c r="CV1321" i="1"/>
  <c r="CV1322" i="1"/>
  <c r="CV1323" i="1"/>
  <c r="CV1324" i="1"/>
  <c r="CV1325" i="1"/>
  <c r="CV1326" i="1"/>
  <c r="CV1327" i="1"/>
  <c r="CV1328" i="1"/>
  <c r="CV1329" i="1"/>
  <c r="CV1330" i="1"/>
  <c r="CV1331" i="1"/>
  <c r="CV1332" i="1"/>
  <c r="CV1333" i="1"/>
  <c r="CV1334" i="1"/>
  <c r="CV1335" i="1"/>
  <c r="CV1336" i="1"/>
  <c r="CV1337" i="1"/>
  <c r="CV1338" i="1"/>
  <c r="CV1339" i="1"/>
  <c r="CV1340" i="1"/>
  <c r="CV1341" i="1"/>
  <c r="CV1342" i="1"/>
  <c r="CV1343" i="1"/>
  <c r="CV1344" i="1"/>
  <c r="CV1345" i="1"/>
  <c r="CV1346" i="1"/>
  <c r="CV1347" i="1"/>
  <c r="CV1348" i="1"/>
  <c r="CV1349" i="1"/>
  <c r="CV1350" i="1"/>
  <c r="CV1351" i="1"/>
  <c r="CV1352" i="1"/>
  <c r="CV1353" i="1"/>
  <c r="CV1354" i="1"/>
  <c r="CV1355" i="1"/>
  <c r="CV1356" i="1"/>
  <c r="CV1357" i="1"/>
  <c r="CV1358" i="1"/>
  <c r="CV1359" i="1"/>
  <c r="CV1360" i="1"/>
  <c r="CV1361" i="1"/>
  <c r="CV1362" i="1"/>
  <c r="CV1363" i="1"/>
  <c r="CV1364" i="1"/>
  <c r="CV1365" i="1"/>
  <c r="CV1366" i="1"/>
  <c r="CV1367" i="1"/>
  <c r="CV1368" i="1"/>
  <c r="CV1369" i="1"/>
  <c r="CV1370" i="1"/>
  <c r="CV1371" i="1"/>
  <c r="CV1372" i="1"/>
  <c r="CV1373" i="1"/>
  <c r="CV1374" i="1"/>
  <c r="CV1375" i="1"/>
  <c r="CV1376" i="1"/>
  <c r="CV1377" i="1"/>
  <c r="CV1378" i="1"/>
  <c r="CV1379" i="1"/>
  <c r="CV1380" i="1"/>
  <c r="CV1381" i="1"/>
  <c r="CV1382" i="1"/>
  <c r="CV1383" i="1"/>
  <c r="CV1384" i="1"/>
  <c r="CV1385" i="1"/>
  <c r="CV1386" i="1"/>
  <c r="CV1387" i="1"/>
  <c r="CV1388" i="1"/>
  <c r="CV1389" i="1"/>
  <c r="CV1390" i="1"/>
  <c r="CV1391" i="1"/>
  <c r="CV1392" i="1"/>
  <c r="CV1393" i="1"/>
  <c r="CV1394" i="1"/>
  <c r="CV1395" i="1"/>
  <c r="CV1396" i="1"/>
  <c r="CV1397" i="1"/>
  <c r="CV1398" i="1"/>
  <c r="CV1399" i="1"/>
  <c r="CV1400" i="1"/>
  <c r="CV1401" i="1"/>
  <c r="CV1402" i="1"/>
  <c r="CV1403" i="1"/>
  <c r="CV1404" i="1"/>
  <c r="CV1405" i="1"/>
  <c r="CV1406" i="1"/>
  <c r="CV1407" i="1"/>
  <c r="CV1408" i="1"/>
  <c r="CV1409" i="1"/>
  <c r="CV1410" i="1"/>
  <c r="CV1411" i="1"/>
  <c r="CV1412" i="1"/>
  <c r="CV1413" i="1"/>
  <c r="CV1414" i="1"/>
  <c r="CV1415" i="1"/>
  <c r="CV1416" i="1"/>
  <c r="CV1417" i="1"/>
  <c r="CV1418" i="1"/>
  <c r="CV1419" i="1"/>
  <c r="CV1420" i="1"/>
  <c r="CV1421" i="1"/>
  <c r="CV1422" i="1"/>
  <c r="CV1423" i="1"/>
  <c r="CV1424" i="1"/>
  <c r="CV1425" i="1"/>
  <c r="CV1426" i="1"/>
  <c r="CV1427" i="1"/>
  <c r="CV1428" i="1"/>
  <c r="CV1429" i="1"/>
  <c r="CV1430" i="1"/>
  <c r="CV1431" i="1"/>
  <c r="CV1432" i="1"/>
  <c r="CV1433" i="1"/>
  <c r="CV1434" i="1"/>
  <c r="CV1435" i="1"/>
  <c r="CV1436" i="1"/>
  <c r="CV1437" i="1"/>
  <c r="CV1438" i="1"/>
  <c r="CV1439" i="1"/>
  <c r="CV1440" i="1"/>
  <c r="CV1441" i="1"/>
  <c r="CV1442" i="1"/>
  <c r="CV1443" i="1"/>
  <c r="CV1444" i="1"/>
  <c r="CV1445" i="1"/>
  <c r="CV1446" i="1"/>
  <c r="CV1447" i="1"/>
  <c r="CV1448" i="1"/>
  <c r="CV1449" i="1"/>
  <c r="CV1450" i="1"/>
  <c r="CV1451" i="1"/>
  <c r="CV1452" i="1"/>
  <c r="CV1453" i="1"/>
  <c r="CV1454" i="1"/>
  <c r="CV1455" i="1"/>
  <c r="CV1456" i="1"/>
  <c r="CV1457" i="1"/>
  <c r="CV1458" i="1"/>
  <c r="CV1459" i="1"/>
  <c r="CV1460" i="1"/>
  <c r="CV1461" i="1"/>
  <c r="CV1462" i="1"/>
  <c r="CV1463" i="1"/>
  <c r="CV1464" i="1"/>
  <c r="CV1465" i="1"/>
  <c r="CV1466" i="1"/>
  <c r="CV1467" i="1"/>
  <c r="CV1468" i="1"/>
  <c r="CV1469" i="1"/>
  <c r="CV1470" i="1"/>
  <c r="CV1471" i="1"/>
  <c r="CV1472" i="1"/>
  <c r="CV1473" i="1"/>
  <c r="CV1474" i="1"/>
  <c r="CV1475" i="1"/>
  <c r="CV1476" i="1"/>
  <c r="CV1477" i="1"/>
  <c r="CV1478" i="1"/>
  <c r="CV1479" i="1"/>
  <c r="CV1480" i="1"/>
  <c r="CV1481" i="1"/>
  <c r="CV1482" i="1"/>
  <c r="CV1483" i="1"/>
  <c r="CV1484" i="1"/>
  <c r="CV1485" i="1"/>
  <c r="CV1486" i="1"/>
  <c r="CV1487" i="1"/>
  <c r="CV1488" i="1"/>
  <c r="CV1489" i="1"/>
  <c r="CV1490" i="1"/>
  <c r="CV1491" i="1"/>
  <c r="CV1492" i="1"/>
  <c r="CV1493" i="1"/>
  <c r="CV1494" i="1"/>
  <c r="CV1495" i="1"/>
  <c r="CV1496" i="1"/>
  <c r="CV1497" i="1"/>
  <c r="CV1498" i="1"/>
  <c r="CV1499" i="1"/>
  <c r="CV1500" i="1"/>
  <c r="CV12" i="1"/>
  <c r="K1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AH74" i="1"/>
  <c r="AK74" i="1" s="1"/>
  <c r="AH51" i="1"/>
  <c r="AK72" i="1"/>
  <c r="AK73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M404" i="1"/>
  <c r="BM405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478" i="1"/>
  <c r="BM479" i="1"/>
  <c r="BM480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530" i="1"/>
  <c r="BM531" i="1"/>
  <c r="BM532" i="1"/>
  <c r="BM533" i="1"/>
  <c r="BM534" i="1"/>
  <c r="BM535" i="1"/>
  <c r="BM536" i="1"/>
  <c r="BM537" i="1"/>
  <c r="BM538" i="1"/>
  <c r="BM539" i="1"/>
  <c r="BM540" i="1"/>
  <c r="BM541" i="1"/>
  <c r="BM542" i="1"/>
  <c r="BM543" i="1"/>
  <c r="BM544" i="1"/>
  <c r="BM545" i="1"/>
  <c r="BM546" i="1"/>
  <c r="BM547" i="1"/>
  <c r="BM548" i="1"/>
  <c r="BM549" i="1"/>
  <c r="BM550" i="1"/>
  <c r="BM551" i="1"/>
  <c r="BM552" i="1"/>
  <c r="BM553" i="1"/>
  <c r="BM554" i="1"/>
  <c r="BM555" i="1"/>
  <c r="BM556" i="1"/>
  <c r="BM557" i="1"/>
  <c r="BM558" i="1"/>
  <c r="BM559" i="1"/>
  <c r="BM560" i="1"/>
  <c r="BM561" i="1"/>
  <c r="BM562" i="1"/>
  <c r="BM563" i="1"/>
  <c r="BM564" i="1"/>
  <c r="BM565" i="1"/>
  <c r="BM566" i="1"/>
  <c r="BM567" i="1"/>
  <c r="BM568" i="1"/>
  <c r="BM569" i="1"/>
  <c r="BM570" i="1"/>
  <c r="BM571" i="1"/>
  <c r="BM572" i="1"/>
  <c r="BM573" i="1"/>
  <c r="BM574" i="1"/>
  <c r="BM575" i="1"/>
  <c r="BM576" i="1"/>
  <c r="BM577" i="1"/>
  <c r="BM578" i="1"/>
  <c r="BM579" i="1"/>
  <c r="BM580" i="1"/>
  <c r="BM581" i="1"/>
  <c r="BM582" i="1"/>
  <c r="BM583" i="1"/>
  <c r="BM584" i="1"/>
  <c r="BM585" i="1"/>
  <c r="BM586" i="1"/>
  <c r="BM587" i="1"/>
  <c r="BM588" i="1"/>
  <c r="BM589" i="1"/>
  <c r="BM590" i="1"/>
  <c r="BM591" i="1"/>
  <c r="BM592" i="1"/>
  <c r="BM593" i="1"/>
  <c r="BM594" i="1"/>
  <c r="BM595" i="1"/>
  <c r="BM596" i="1"/>
  <c r="BM597" i="1"/>
  <c r="BM598" i="1"/>
  <c r="BM599" i="1"/>
  <c r="BM600" i="1"/>
  <c r="BM601" i="1"/>
  <c r="BM602" i="1"/>
  <c r="BM603" i="1"/>
  <c r="BM604" i="1"/>
  <c r="BM605" i="1"/>
  <c r="BM606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0" i="1"/>
  <c r="BM621" i="1"/>
  <c r="BM622" i="1"/>
  <c r="BM623" i="1"/>
  <c r="BM624" i="1"/>
  <c r="BM625" i="1"/>
  <c r="BM626" i="1"/>
  <c r="BM627" i="1"/>
  <c r="BM628" i="1"/>
  <c r="BM629" i="1"/>
  <c r="BM630" i="1"/>
  <c r="BM631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656" i="1"/>
  <c r="BM657" i="1"/>
  <c r="BM658" i="1"/>
  <c r="BM659" i="1"/>
  <c r="BM660" i="1"/>
  <c r="BM661" i="1"/>
  <c r="BM662" i="1"/>
  <c r="BM663" i="1"/>
  <c r="BM664" i="1"/>
  <c r="BM665" i="1"/>
  <c r="BM666" i="1"/>
  <c r="BM667" i="1"/>
  <c r="BM668" i="1"/>
  <c r="BM669" i="1"/>
  <c r="BM670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2" i="1"/>
  <c r="BM703" i="1"/>
  <c r="BM704" i="1"/>
  <c r="BM705" i="1"/>
  <c r="BM706" i="1"/>
  <c r="BM707" i="1"/>
  <c r="BM708" i="1"/>
  <c r="BM709" i="1"/>
  <c r="BM710" i="1"/>
  <c r="BM711" i="1"/>
  <c r="BM712" i="1"/>
  <c r="BM713" i="1"/>
  <c r="BM714" i="1"/>
  <c r="BM715" i="1"/>
  <c r="BM716" i="1"/>
  <c r="BM717" i="1"/>
  <c r="BM718" i="1"/>
  <c r="BM719" i="1"/>
  <c r="BM720" i="1"/>
  <c r="BM721" i="1"/>
  <c r="BM722" i="1"/>
  <c r="BM723" i="1"/>
  <c r="BM724" i="1"/>
  <c r="BM725" i="1"/>
  <c r="BM726" i="1"/>
  <c r="BM727" i="1"/>
  <c r="BM728" i="1"/>
  <c r="BM729" i="1"/>
  <c r="BM730" i="1"/>
  <c r="BM731" i="1"/>
  <c r="BM732" i="1"/>
  <c r="BM733" i="1"/>
  <c r="BM734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784" i="1"/>
  <c r="BM785" i="1"/>
  <c r="BM786" i="1"/>
  <c r="BM787" i="1"/>
  <c r="BM788" i="1"/>
  <c r="BM789" i="1"/>
  <c r="BM790" i="1"/>
  <c r="BM791" i="1"/>
  <c r="BM792" i="1"/>
  <c r="BM793" i="1"/>
  <c r="BM794" i="1"/>
  <c r="BM795" i="1"/>
  <c r="BM796" i="1"/>
  <c r="BM797" i="1"/>
  <c r="BM798" i="1"/>
  <c r="BM799" i="1"/>
  <c r="BM800" i="1"/>
  <c r="BM801" i="1"/>
  <c r="BM802" i="1"/>
  <c r="BM803" i="1"/>
  <c r="BM804" i="1"/>
  <c r="BM805" i="1"/>
  <c r="BM806" i="1"/>
  <c r="BM807" i="1"/>
  <c r="BM808" i="1"/>
  <c r="BM809" i="1"/>
  <c r="BM810" i="1"/>
  <c r="BM811" i="1"/>
  <c r="BM812" i="1"/>
  <c r="BM813" i="1"/>
  <c r="BM814" i="1"/>
  <c r="BM815" i="1"/>
  <c r="BM816" i="1"/>
  <c r="BM817" i="1"/>
  <c r="BM818" i="1"/>
  <c r="BM819" i="1"/>
  <c r="BM820" i="1"/>
  <c r="BM821" i="1"/>
  <c r="BM822" i="1"/>
  <c r="BM823" i="1"/>
  <c r="BM824" i="1"/>
  <c r="BM825" i="1"/>
  <c r="BM826" i="1"/>
  <c r="BM827" i="1"/>
  <c r="BM828" i="1"/>
  <c r="BM829" i="1"/>
  <c r="BM830" i="1"/>
  <c r="BM831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48" i="1"/>
  <c r="BM849" i="1"/>
  <c r="BM850" i="1"/>
  <c r="BM851" i="1"/>
  <c r="BM852" i="1"/>
  <c r="BM853" i="1"/>
  <c r="BM854" i="1"/>
  <c r="BM855" i="1"/>
  <c r="BM856" i="1"/>
  <c r="BM857" i="1"/>
  <c r="BM858" i="1"/>
  <c r="BM859" i="1"/>
  <c r="BM860" i="1"/>
  <c r="BM861" i="1"/>
  <c r="BM862" i="1"/>
  <c r="BM863" i="1"/>
  <c r="BM864" i="1"/>
  <c r="BM865" i="1"/>
  <c r="BM866" i="1"/>
  <c r="BM867" i="1"/>
  <c r="BM868" i="1"/>
  <c r="BM869" i="1"/>
  <c r="BM870" i="1"/>
  <c r="BM871" i="1"/>
  <c r="BM872" i="1"/>
  <c r="BM873" i="1"/>
  <c r="BM874" i="1"/>
  <c r="BM875" i="1"/>
  <c r="BM876" i="1"/>
  <c r="BM877" i="1"/>
  <c r="BM878" i="1"/>
  <c r="BM879" i="1"/>
  <c r="BM880" i="1"/>
  <c r="BM881" i="1"/>
  <c r="BM882" i="1"/>
  <c r="BM883" i="1"/>
  <c r="BM884" i="1"/>
  <c r="BM885" i="1"/>
  <c r="BM886" i="1"/>
  <c r="BM887" i="1"/>
  <c r="BM888" i="1"/>
  <c r="BM889" i="1"/>
  <c r="BM890" i="1"/>
  <c r="BM891" i="1"/>
  <c r="BM892" i="1"/>
  <c r="BM893" i="1"/>
  <c r="BM894" i="1"/>
  <c r="BM895" i="1"/>
  <c r="BM896" i="1"/>
  <c r="BM897" i="1"/>
  <c r="BM898" i="1"/>
  <c r="BM899" i="1"/>
  <c r="BM900" i="1"/>
  <c r="BM901" i="1"/>
  <c r="BM902" i="1"/>
  <c r="BM903" i="1"/>
  <c r="BM904" i="1"/>
  <c r="BM905" i="1"/>
  <c r="BM906" i="1"/>
  <c r="BM907" i="1"/>
  <c r="BM908" i="1"/>
  <c r="BM909" i="1"/>
  <c r="BM910" i="1"/>
  <c r="BM911" i="1"/>
  <c r="BM912" i="1"/>
  <c r="BM913" i="1"/>
  <c r="BM914" i="1"/>
  <c r="BM915" i="1"/>
  <c r="BM916" i="1"/>
  <c r="BM917" i="1"/>
  <c r="BM918" i="1"/>
  <c r="BM919" i="1"/>
  <c r="BM920" i="1"/>
  <c r="BM921" i="1"/>
  <c r="BM922" i="1"/>
  <c r="BM923" i="1"/>
  <c r="BM924" i="1"/>
  <c r="BM925" i="1"/>
  <c r="BM926" i="1"/>
  <c r="BM927" i="1"/>
  <c r="BM928" i="1"/>
  <c r="BM929" i="1"/>
  <c r="BM930" i="1"/>
  <c r="BM931" i="1"/>
  <c r="BM932" i="1"/>
  <c r="BM933" i="1"/>
  <c r="BM934" i="1"/>
  <c r="BM935" i="1"/>
  <c r="BM936" i="1"/>
  <c r="BM937" i="1"/>
  <c r="BM938" i="1"/>
  <c r="BM939" i="1"/>
  <c r="BM940" i="1"/>
  <c r="BM941" i="1"/>
  <c r="BM942" i="1"/>
  <c r="BM943" i="1"/>
  <c r="BM944" i="1"/>
  <c r="BM945" i="1"/>
  <c r="BM946" i="1"/>
  <c r="BM947" i="1"/>
  <c r="BM948" i="1"/>
  <c r="BM949" i="1"/>
  <c r="BM950" i="1"/>
  <c r="BM951" i="1"/>
  <c r="BM952" i="1"/>
  <c r="BM953" i="1"/>
  <c r="BM954" i="1"/>
  <c r="BM955" i="1"/>
  <c r="BM956" i="1"/>
  <c r="BM957" i="1"/>
  <c r="BM958" i="1"/>
  <c r="BM959" i="1"/>
  <c r="BM960" i="1"/>
  <c r="BM961" i="1"/>
  <c r="BM962" i="1"/>
  <c r="BM963" i="1"/>
  <c r="BM964" i="1"/>
  <c r="BM965" i="1"/>
  <c r="BM966" i="1"/>
  <c r="BM967" i="1"/>
  <c r="BM968" i="1"/>
  <c r="BM969" i="1"/>
  <c r="BM970" i="1"/>
  <c r="BM971" i="1"/>
  <c r="BM972" i="1"/>
  <c r="BM973" i="1"/>
  <c r="BM974" i="1"/>
  <c r="BM975" i="1"/>
  <c r="BM976" i="1"/>
  <c r="BM977" i="1"/>
  <c r="BM978" i="1"/>
  <c r="BM979" i="1"/>
  <c r="BM980" i="1"/>
  <c r="BM981" i="1"/>
  <c r="BM982" i="1"/>
  <c r="BM983" i="1"/>
  <c r="BM984" i="1"/>
  <c r="BM985" i="1"/>
  <c r="BM986" i="1"/>
  <c r="BM987" i="1"/>
  <c r="BM988" i="1"/>
  <c r="BM989" i="1"/>
  <c r="BM990" i="1"/>
  <c r="BM991" i="1"/>
  <c r="BM992" i="1"/>
  <c r="BM993" i="1"/>
  <c r="BM994" i="1"/>
  <c r="BM995" i="1"/>
  <c r="BM996" i="1"/>
  <c r="BM997" i="1"/>
  <c r="BM998" i="1"/>
  <c r="BM999" i="1"/>
  <c r="BM1000" i="1"/>
  <c r="BM1001" i="1"/>
  <c r="BM1002" i="1"/>
  <c r="BM1003" i="1"/>
  <c r="BM1004" i="1"/>
  <c r="BM1005" i="1"/>
  <c r="BM1006" i="1"/>
  <c r="BM1007" i="1"/>
  <c r="BM1008" i="1"/>
  <c r="BM1009" i="1"/>
  <c r="BM1010" i="1"/>
  <c r="BM1011" i="1"/>
  <c r="BM1012" i="1"/>
  <c r="BM1013" i="1"/>
  <c r="BM1014" i="1"/>
  <c r="BM1015" i="1"/>
  <c r="BM1016" i="1"/>
  <c r="BM1017" i="1"/>
  <c r="BM1018" i="1"/>
  <c r="BM1019" i="1"/>
  <c r="BM1020" i="1"/>
  <c r="BM1021" i="1"/>
  <c r="BM1022" i="1"/>
  <c r="BM1023" i="1"/>
  <c r="BM1024" i="1"/>
  <c r="BM1025" i="1"/>
  <c r="BM1026" i="1"/>
  <c r="BM1027" i="1"/>
  <c r="BM1028" i="1"/>
  <c r="BM1029" i="1"/>
  <c r="BM1030" i="1"/>
  <c r="BM1031" i="1"/>
  <c r="BM1032" i="1"/>
  <c r="BM1033" i="1"/>
  <c r="BM1034" i="1"/>
  <c r="BM1035" i="1"/>
  <c r="BM1036" i="1"/>
  <c r="BM1037" i="1"/>
  <c r="BM1038" i="1"/>
  <c r="BM1039" i="1"/>
  <c r="BM1040" i="1"/>
  <c r="BM1041" i="1"/>
  <c r="BM1042" i="1"/>
  <c r="BM1043" i="1"/>
  <c r="BM1044" i="1"/>
  <c r="BM1045" i="1"/>
  <c r="BM1046" i="1"/>
  <c r="BM1047" i="1"/>
  <c r="BM1048" i="1"/>
  <c r="BM1049" i="1"/>
  <c r="BM1050" i="1"/>
  <c r="BM1051" i="1"/>
  <c r="BM1052" i="1"/>
  <c r="BM1053" i="1"/>
  <c r="BM1054" i="1"/>
  <c r="BM1055" i="1"/>
  <c r="BM1056" i="1"/>
  <c r="BM1057" i="1"/>
  <c r="BM1058" i="1"/>
  <c r="BM1059" i="1"/>
  <c r="BM1060" i="1"/>
  <c r="BM1061" i="1"/>
  <c r="BM1062" i="1"/>
  <c r="BM1063" i="1"/>
  <c r="BM1064" i="1"/>
  <c r="BM1065" i="1"/>
  <c r="BM1066" i="1"/>
  <c r="BM1067" i="1"/>
  <c r="BM1068" i="1"/>
  <c r="BM1069" i="1"/>
  <c r="BM1070" i="1"/>
  <c r="BM1071" i="1"/>
  <c r="BM1072" i="1"/>
  <c r="BM1073" i="1"/>
  <c r="BM1074" i="1"/>
  <c r="BM1075" i="1"/>
  <c r="BM1076" i="1"/>
  <c r="BM1077" i="1"/>
  <c r="BM1078" i="1"/>
  <c r="BM1079" i="1"/>
  <c r="BM1080" i="1"/>
  <c r="BM1081" i="1"/>
  <c r="BM1082" i="1"/>
  <c r="BM1083" i="1"/>
  <c r="BM1084" i="1"/>
  <c r="BM1085" i="1"/>
  <c r="BM1086" i="1"/>
  <c r="BM1087" i="1"/>
  <c r="BM1088" i="1"/>
  <c r="BM1089" i="1"/>
  <c r="BM1090" i="1"/>
  <c r="BM1091" i="1"/>
  <c r="BM1092" i="1"/>
  <c r="BM1093" i="1"/>
  <c r="BM1094" i="1"/>
  <c r="BM1095" i="1"/>
  <c r="BM1096" i="1"/>
  <c r="BM1097" i="1"/>
  <c r="BM1098" i="1"/>
  <c r="BM1099" i="1"/>
  <c r="BM1100" i="1"/>
  <c r="BM1101" i="1"/>
  <c r="BM1102" i="1"/>
  <c r="BM1103" i="1"/>
  <c r="BM1104" i="1"/>
  <c r="BM1105" i="1"/>
  <c r="BM1106" i="1"/>
  <c r="BM1107" i="1"/>
  <c r="BM1108" i="1"/>
  <c r="BM1109" i="1"/>
  <c r="BM1110" i="1"/>
  <c r="BM1111" i="1"/>
  <c r="BM1112" i="1"/>
  <c r="BM1113" i="1"/>
  <c r="BM1114" i="1"/>
  <c r="BM1115" i="1"/>
  <c r="BM1116" i="1"/>
  <c r="BM1117" i="1"/>
  <c r="BM1118" i="1"/>
  <c r="BM1119" i="1"/>
  <c r="BM1120" i="1"/>
  <c r="BM1121" i="1"/>
  <c r="BM1122" i="1"/>
  <c r="BM1123" i="1"/>
  <c r="BM1124" i="1"/>
  <c r="BM1125" i="1"/>
  <c r="BM1126" i="1"/>
  <c r="BM1127" i="1"/>
  <c r="BM1128" i="1"/>
  <c r="BM1129" i="1"/>
  <c r="BM1130" i="1"/>
  <c r="BM1131" i="1"/>
  <c r="BM1132" i="1"/>
  <c r="BM1133" i="1"/>
  <c r="BM1134" i="1"/>
  <c r="BM1135" i="1"/>
  <c r="BM1136" i="1"/>
  <c r="BM1137" i="1"/>
  <c r="BM1138" i="1"/>
  <c r="BM1139" i="1"/>
  <c r="BM1140" i="1"/>
  <c r="BM1141" i="1"/>
  <c r="BM1142" i="1"/>
  <c r="BM1143" i="1"/>
  <c r="BM1144" i="1"/>
  <c r="BM1145" i="1"/>
  <c r="BM1146" i="1"/>
  <c r="BM1147" i="1"/>
  <c r="BM1148" i="1"/>
  <c r="BM1149" i="1"/>
  <c r="BM1150" i="1"/>
  <c r="BM1151" i="1"/>
  <c r="BM1152" i="1"/>
  <c r="BM1153" i="1"/>
  <c r="BM1154" i="1"/>
  <c r="BM1155" i="1"/>
  <c r="BM1156" i="1"/>
  <c r="BM1157" i="1"/>
  <c r="BM1158" i="1"/>
  <c r="BM1159" i="1"/>
  <c r="BM1160" i="1"/>
  <c r="BM1161" i="1"/>
  <c r="BM1162" i="1"/>
  <c r="BM1163" i="1"/>
  <c r="BM1164" i="1"/>
  <c r="BM1165" i="1"/>
  <c r="BM1166" i="1"/>
  <c r="BM1167" i="1"/>
  <c r="BM1168" i="1"/>
  <c r="BM1169" i="1"/>
  <c r="BM1170" i="1"/>
  <c r="BM1171" i="1"/>
  <c r="BM1172" i="1"/>
  <c r="BM1173" i="1"/>
  <c r="BM1174" i="1"/>
  <c r="BM1175" i="1"/>
  <c r="BM1176" i="1"/>
  <c r="BM1177" i="1"/>
  <c r="BM1178" i="1"/>
  <c r="BM1179" i="1"/>
  <c r="BM1180" i="1"/>
  <c r="BM1181" i="1"/>
  <c r="BM1182" i="1"/>
  <c r="BM1183" i="1"/>
  <c r="BM1184" i="1"/>
  <c r="BM1185" i="1"/>
  <c r="BM1186" i="1"/>
  <c r="BM1187" i="1"/>
  <c r="BM1188" i="1"/>
  <c r="BM1189" i="1"/>
  <c r="BM1190" i="1"/>
  <c r="BM1191" i="1"/>
  <c r="BM1192" i="1"/>
  <c r="BM1193" i="1"/>
  <c r="BM1194" i="1"/>
  <c r="BM1195" i="1"/>
  <c r="BM1196" i="1"/>
  <c r="BM1197" i="1"/>
  <c r="BM1198" i="1"/>
  <c r="BM1199" i="1"/>
  <c r="BM1200" i="1"/>
  <c r="BM1201" i="1"/>
  <c r="BM1202" i="1"/>
  <c r="BM1203" i="1"/>
  <c r="BM1204" i="1"/>
  <c r="BM1205" i="1"/>
  <c r="BM1206" i="1"/>
  <c r="BM1207" i="1"/>
  <c r="BM1208" i="1"/>
  <c r="BM1209" i="1"/>
  <c r="BM1210" i="1"/>
  <c r="BM1211" i="1"/>
  <c r="BM1212" i="1"/>
  <c r="BM1213" i="1"/>
  <c r="BM1214" i="1"/>
  <c r="BM1215" i="1"/>
  <c r="BM1216" i="1"/>
  <c r="BM1217" i="1"/>
  <c r="BM1218" i="1"/>
  <c r="BM1219" i="1"/>
  <c r="BM1220" i="1"/>
  <c r="BM1221" i="1"/>
  <c r="BM1222" i="1"/>
  <c r="BM1223" i="1"/>
  <c r="BM1224" i="1"/>
  <c r="BM1225" i="1"/>
  <c r="BM1226" i="1"/>
  <c r="BM1227" i="1"/>
  <c r="BM1228" i="1"/>
  <c r="BM1229" i="1"/>
  <c r="BM1230" i="1"/>
  <c r="BM1231" i="1"/>
  <c r="BM1232" i="1"/>
  <c r="BM1233" i="1"/>
  <c r="BM1234" i="1"/>
  <c r="BM1235" i="1"/>
  <c r="BM1236" i="1"/>
  <c r="BM1237" i="1"/>
  <c r="BM1238" i="1"/>
  <c r="BM1239" i="1"/>
  <c r="BM1240" i="1"/>
  <c r="BM1241" i="1"/>
  <c r="BM1242" i="1"/>
  <c r="BM1243" i="1"/>
  <c r="BM1244" i="1"/>
  <c r="BM1245" i="1"/>
  <c r="BM1246" i="1"/>
  <c r="BM1247" i="1"/>
  <c r="BM1248" i="1"/>
  <c r="BM1249" i="1"/>
  <c r="BM1250" i="1"/>
  <c r="BM1251" i="1"/>
  <c r="BM1252" i="1"/>
  <c r="BM1253" i="1"/>
  <c r="BM1254" i="1"/>
  <c r="BM1255" i="1"/>
  <c r="BM1256" i="1"/>
  <c r="BM1257" i="1"/>
  <c r="BM1258" i="1"/>
  <c r="BM1259" i="1"/>
  <c r="BM1260" i="1"/>
  <c r="BM1261" i="1"/>
  <c r="BM1262" i="1"/>
  <c r="BM1263" i="1"/>
  <c r="BM1264" i="1"/>
  <c r="BM1265" i="1"/>
  <c r="BM1266" i="1"/>
  <c r="BM1267" i="1"/>
  <c r="BM1268" i="1"/>
  <c r="BM1269" i="1"/>
  <c r="BM1270" i="1"/>
  <c r="BM1271" i="1"/>
  <c r="BM1272" i="1"/>
  <c r="BM1273" i="1"/>
  <c r="BM1274" i="1"/>
  <c r="BM1275" i="1"/>
  <c r="BM1276" i="1"/>
  <c r="BM1277" i="1"/>
  <c r="BM1278" i="1"/>
  <c r="BM1279" i="1"/>
  <c r="BM1280" i="1"/>
  <c r="BM1281" i="1"/>
  <c r="BM1282" i="1"/>
  <c r="BM1283" i="1"/>
  <c r="BM1284" i="1"/>
  <c r="BM1285" i="1"/>
  <c r="BM1286" i="1"/>
  <c r="BM1287" i="1"/>
  <c r="BM1288" i="1"/>
  <c r="BM1289" i="1"/>
  <c r="BM1290" i="1"/>
  <c r="BM1291" i="1"/>
  <c r="BM1292" i="1"/>
  <c r="BM1293" i="1"/>
  <c r="BM1294" i="1"/>
  <c r="BM1295" i="1"/>
  <c r="BM1296" i="1"/>
  <c r="BM1297" i="1"/>
  <c r="BM1298" i="1"/>
  <c r="BM1299" i="1"/>
  <c r="BM1300" i="1"/>
  <c r="BM1301" i="1"/>
  <c r="BM1302" i="1"/>
  <c r="BM1303" i="1"/>
  <c r="BM1304" i="1"/>
  <c r="BM1305" i="1"/>
  <c r="BM1306" i="1"/>
  <c r="BM1307" i="1"/>
  <c r="BM1308" i="1"/>
  <c r="BM1309" i="1"/>
  <c r="BM1310" i="1"/>
  <c r="BM1311" i="1"/>
  <c r="BM1312" i="1"/>
  <c r="BM1313" i="1"/>
  <c r="BM1314" i="1"/>
  <c r="BM1315" i="1"/>
  <c r="BM1316" i="1"/>
  <c r="BM1317" i="1"/>
  <c r="BM1318" i="1"/>
  <c r="BM1319" i="1"/>
  <c r="BM1320" i="1"/>
  <c r="BM1321" i="1"/>
  <c r="BM1322" i="1"/>
  <c r="BM1323" i="1"/>
  <c r="BM1324" i="1"/>
  <c r="BM1325" i="1"/>
  <c r="BM1326" i="1"/>
  <c r="BM1327" i="1"/>
  <c r="BM1328" i="1"/>
  <c r="BM1329" i="1"/>
  <c r="BM1330" i="1"/>
  <c r="BM1331" i="1"/>
  <c r="BM1332" i="1"/>
  <c r="BM1333" i="1"/>
  <c r="BM1334" i="1"/>
  <c r="BM1335" i="1"/>
  <c r="BM1336" i="1"/>
  <c r="BM1337" i="1"/>
  <c r="BM1338" i="1"/>
  <c r="BM1339" i="1"/>
  <c r="BM1340" i="1"/>
  <c r="BM1341" i="1"/>
  <c r="BM1342" i="1"/>
  <c r="BM1343" i="1"/>
  <c r="BM1344" i="1"/>
  <c r="BM1345" i="1"/>
  <c r="BM1346" i="1"/>
  <c r="BM1347" i="1"/>
  <c r="BM1348" i="1"/>
  <c r="BM1349" i="1"/>
  <c r="BM1350" i="1"/>
  <c r="BM1351" i="1"/>
  <c r="BM1352" i="1"/>
  <c r="BM1353" i="1"/>
  <c r="BM1354" i="1"/>
  <c r="BM1355" i="1"/>
  <c r="BM1356" i="1"/>
  <c r="BM1357" i="1"/>
  <c r="BM1358" i="1"/>
  <c r="BM1359" i="1"/>
  <c r="BM1360" i="1"/>
  <c r="BM1361" i="1"/>
  <c r="BM1362" i="1"/>
  <c r="BM1363" i="1"/>
  <c r="BM1364" i="1"/>
  <c r="BM1365" i="1"/>
  <c r="BM1366" i="1"/>
  <c r="BM1367" i="1"/>
  <c r="BM1368" i="1"/>
  <c r="BM1369" i="1"/>
  <c r="BM1370" i="1"/>
  <c r="BM1371" i="1"/>
  <c r="BM1372" i="1"/>
  <c r="BM1373" i="1"/>
  <c r="BM1374" i="1"/>
  <c r="BM1375" i="1"/>
  <c r="BM1376" i="1"/>
  <c r="BM1377" i="1"/>
  <c r="BM1378" i="1"/>
  <c r="BM1379" i="1"/>
  <c r="BM1380" i="1"/>
  <c r="BM1381" i="1"/>
  <c r="BM1382" i="1"/>
  <c r="BM1383" i="1"/>
  <c r="BM1384" i="1"/>
  <c r="BM1385" i="1"/>
  <c r="BM1386" i="1"/>
  <c r="BM1387" i="1"/>
  <c r="BM1388" i="1"/>
  <c r="BM1389" i="1"/>
  <c r="BM1390" i="1"/>
  <c r="BM1391" i="1"/>
  <c r="BM1392" i="1"/>
  <c r="BM1393" i="1"/>
  <c r="BM1394" i="1"/>
  <c r="BM1395" i="1"/>
  <c r="BM1396" i="1"/>
  <c r="BM1397" i="1"/>
  <c r="BM1398" i="1"/>
  <c r="BM1399" i="1"/>
  <c r="BM1400" i="1"/>
  <c r="BM1401" i="1"/>
  <c r="BM1402" i="1"/>
  <c r="BM1403" i="1"/>
  <c r="BM1404" i="1"/>
  <c r="BM1405" i="1"/>
  <c r="BM1406" i="1"/>
  <c r="BM1407" i="1"/>
  <c r="BM1408" i="1"/>
  <c r="BM1409" i="1"/>
  <c r="BM1410" i="1"/>
  <c r="BM1411" i="1"/>
  <c r="BM1412" i="1"/>
  <c r="BM1413" i="1"/>
  <c r="BM1414" i="1"/>
  <c r="BM1415" i="1"/>
  <c r="BM1416" i="1"/>
  <c r="BM1417" i="1"/>
  <c r="BM1418" i="1"/>
  <c r="BM1419" i="1"/>
  <c r="BM1420" i="1"/>
  <c r="BM1421" i="1"/>
  <c r="BM1422" i="1"/>
  <c r="BM1423" i="1"/>
  <c r="BM1424" i="1"/>
  <c r="BM1425" i="1"/>
  <c r="BM1426" i="1"/>
  <c r="BM1427" i="1"/>
  <c r="BM1428" i="1"/>
  <c r="BM1429" i="1"/>
  <c r="BM1430" i="1"/>
  <c r="BM1431" i="1"/>
  <c r="BM1432" i="1"/>
  <c r="BM1433" i="1"/>
  <c r="BM1434" i="1"/>
  <c r="BM1435" i="1"/>
  <c r="BM1436" i="1"/>
  <c r="BM1437" i="1"/>
  <c r="BM1438" i="1"/>
  <c r="BM1439" i="1"/>
  <c r="BM1440" i="1"/>
  <c r="BM1441" i="1"/>
  <c r="BM1442" i="1"/>
  <c r="BM1443" i="1"/>
  <c r="BM1444" i="1"/>
  <c r="BM1445" i="1"/>
  <c r="BM1446" i="1"/>
  <c r="BM1447" i="1"/>
  <c r="BM1448" i="1"/>
  <c r="BM1449" i="1"/>
  <c r="BM1450" i="1"/>
  <c r="BM1451" i="1"/>
  <c r="BM1452" i="1"/>
  <c r="BM1453" i="1"/>
  <c r="BM1454" i="1"/>
  <c r="BM1455" i="1"/>
  <c r="BM1456" i="1"/>
  <c r="BM1457" i="1"/>
  <c r="BM1458" i="1"/>
  <c r="BM1459" i="1"/>
  <c r="BM1460" i="1"/>
  <c r="BM1461" i="1"/>
  <c r="BM1462" i="1"/>
  <c r="BM1463" i="1"/>
  <c r="BM1464" i="1"/>
  <c r="BM1465" i="1"/>
  <c r="BM1466" i="1"/>
  <c r="BM1467" i="1"/>
  <c r="BM1468" i="1"/>
  <c r="BM1469" i="1"/>
  <c r="BM1470" i="1"/>
  <c r="BM1471" i="1"/>
  <c r="BM1472" i="1"/>
  <c r="BM1473" i="1"/>
  <c r="BM1474" i="1"/>
  <c r="BM1475" i="1"/>
  <c r="BM1476" i="1"/>
  <c r="BM1477" i="1"/>
  <c r="BM1478" i="1"/>
  <c r="BM1479" i="1"/>
  <c r="BM1480" i="1"/>
  <c r="BM1481" i="1"/>
  <c r="BM1482" i="1"/>
  <c r="BM1483" i="1"/>
  <c r="BM1484" i="1"/>
  <c r="BM1485" i="1"/>
  <c r="BM1486" i="1"/>
  <c r="BM1487" i="1"/>
  <c r="BM1488" i="1"/>
  <c r="BM1489" i="1"/>
  <c r="BM1490" i="1"/>
  <c r="BM1491" i="1"/>
  <c r="BM1492" i="1"/>
  <c r="BM1493" i="1"/>
  <c r="BM1494" i="1"/>
  <c r="BM1495" i="1"/>
  <c r="BM1496" i="1"/>
  <c r="BM1497" i="1"/>
  <c r="BM1498" i="1"/>
  <c r="BM1499" i="1"/>
  <c r="BM1500" i="1"/>
  <c r="BM4" i="1"/>
  <c r="I90" i="8"/>
  <c r="I89" i="8"/>
  <c r="CX94" i="1" s="1"/>
  <c r="I88" i="8"/>
  <c r="CX93" i="1" s="1"/>
  <c r="L81" i="8"/>
  <c r="K81" i="8"/>
  <c r="DJ86" i="1" s="1"/>
  <c r="L78" i="8"/>
  <c r="K78" i="8"/>
  <c r="DJ84" i="1" s="1"/>
  <c r="L74" i="8"/>
  <c r="L73" i="8"/>
  <c r="K73" i="8"/>
  <c r="K72" i="8"/>
  <c r="DB81" i="1" s="1"/>
  <c r="L63" i="8"/>
  <c r="DB70" i="1" s="1"/>
  <c r="K63" i="8"/>
  <c r="DA70" i="1" s="1"/>
  <c r="L62" i="8"/>
  <c r="DB69" i="1" s="1"/>
  <c r="K62" i="8"/>
  <c r="DA69" i="1" s="1"/>
  <c r="L61" i="8"/>
  <c r="DE73" i="1" s="1"/>
  <c r="K61" i="8"/>
  <c r="DJ73" i="1" s="1"/>
  <c r="L60" i="8"/>
  <c r="DB67" i="1" s="1"/>
  <c r="K60" i="8"/>
  <c r="DA67" i="1" s="1"/>
  <c r="L59" i="8"/>
  <c r="DB66" i="1" s="1"/>
  <c r="K59" i="8"/>
  <c r="DA66" i="1" s="1"/>
  <c r="L58" i="8"/>
  <c r="DB65" i="1" s="1"/>
  <c r="K58" i="8"/>
  <c r="DA65" i="1" s="1"/>
  <c r="L57" i="8"/>
  <c r="K57" i="8"/>
  <c r="L56" i="8"/>
  <c r="K56" i="8"/>
  <c r="DJ68" i="1" s="1"/>
  <c r="L55" i="8"/>
  <c r="DB62" i="1" s="1"/>
  <c r="K55" i="8"/>
  <c r="DA62" i="1" s="1"/>
  <c r="L54" i="8"/>
  <c r="DE66" i="1" s="1"/>
  <c r="K54" i="8"/>
  <c r="DJ66" i="1" s="1"/>
  <c r="L53" i="8"/>
  <c r="DE65" i="1" s="1"/>
  <c r="K53" i="8"/>
  <c r="DJ65" i="1" s="1"/>
  <c r="L52" i="8"/>
  <c r="DB59" i="1" s="1"/>
  <c r="K52" i="8"/>
  <c r="DA59" i="1" s="1"/>
  <c r="L51" i="8"/>
  <c r="DB58" i="1" s="1"/>
  <c r="DD22" i="1" s="1"/>
  <c r="K51" i="8"/>
  <c r="DA58" i="1" s="1"/>
  <c r="DC22" i="1" s="1"/>
  <c r="CZ58" i="1" s="1"/>
  <c r="L50" i="8"/>
  <c r="DE62" i="1" s="1"/>
  <c r="K50" i="8"/>
  <c r="DJ62" i="1" s="1"/>
  <c r="L49" i="8"/>
  <c r="DB56" i="1" s="1"/>
  <c r="DD20" i="1" s="1"/>
  <c r="K49" i="8"/>
  <c r="L48" i="8"/>
  <c r="DB55" i="1" s="1"/>
  <c r="DD19" i="1" s="1"/>
  <c r="K48" i="8"/>
  <c r="DA55" i="1" s="1"/>
  <c r="DC19" i="1" s="1"/>
  <c r="L47" i="8"/>
  <c r="DE59" i="1" s="1"/>
  <c r="K47" i="8"/>
  <c r="DJ59" i="1" s="1"/>
  <c r="I41" i="8"/>
  <c r="CX47" i="1" s="1"/>
  <c r="I40" i="8"/>
  <c r="CX46" i="1" s="1"/>
  <c r="I39" i="8"/>
  <c r="I38" i="8"/>
  <c r="I37" i="8"/>
  <c r="I36" i="8"/>
  <c r="CX42" i="1" s="1"/>
  <c r="I29" i="8"/>
  <c r="I42" i="8" s="1"/>
  <c r="CX48" i="1" s="1"/>
  <c r="I28" i="8"/>
  <c r="I35" i="8" s="1"/>
  <c r="CX41" i="1" s="1"/>
  <c r="I27" i="8"/>
  <c r="I34" i="8" s="1"/>
  <c r="CX40" i="1" s="1"/>
  <c r="I26" i="8"/>
  <c r="I33" i="8" s="1"/>
  <c r="CX39" i="1" s="1"/>
  <c r="I25" i="8"/>
  <c r="CX31" i="1" s="1"/>
  <c r="I24" i="8"/>
  <c r="I31" i="8" s="1"/>
  <c r="CX37" i="1" s="1"/>
  <c r="I23" i="8"/>
  <c r="I30" i="8" s="1"/>
  <c r="CX36" i="1" s="1"/>
  <c r="I22" i="8"/>
  <c r="CX28" i="1" s="1"/>
  <c r="I21" i="8"/>
  <c r="I13" i="8" s="1"/>
  <c r="CX19" i="1" s="1"/>
  <c r="I20" i="8"/>
  <c r="CX26" i="1" s="1"/>
  <c r="I19" i="8"/>
  <c r="CX25" i="1" s="1"/>
  <c r="I18" i="8"/>
  <c r="CX24" i="1" s="1"/>
  <c r="I17" i="8"/>
  <c r="CX23" i="1" s="1"/>
  <c r="I16" i="8"/>
  <c r="CX22" i="1" s="1"/>
  <c r="I15" i="8"/>
  <c r="M4" i="8"/>
  <c r="DE78" i="1" s="1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CS1500" i="1"/>
  <c r="CR1500" i="1"/>
  <c r="CQ1500" i="1"/>
  <c r="CP1500" i="1"/>
  <c r="CO1500" i="1"/>
  <c r="CN1500" i="1"/>
  <c r="CL1500" i="1"/>
  <c r="CK1500" i="1"/>
  <c r="CJ1500" i="1"/>
  <c r="CI1500" i="1"/>
  <c r="CH1500" i="1"/>
  <c r="CG1500" i="1"/>
  <c r="CF1500" i="1"/>
  <c r="CD1500" i="1"/>
  <c r="CC1500" i="1"/>
  <c r="CB1500" i="1"/>
  <c r="CA1500" i="1"/>
  <c r="BZ1500" i="1"/>
  <c r="BY1500" i="1"/>
  <c r="BX1500" i="1"/>
  <c r="BU1500" i="1"/>
  <c r="BN1500" i="1"/>
  <c r="BS1500" i="1" s="1"/>
  <c r="BA1500" i="1"/>
  <c r="AZ1500" i="1"/>
  <c r="AY1500" i="1"/>
  <c r="AX1500" i="1"/>
  <c r="AW1500" i="1"/>
  <c r="AV1500" i="1"/>
  <c r="AT1500" i="1"/>
  <c r="AS1500" i="1"/>
  <c r="CS1499" i="1"/>
  <c r="CR1499" i="1"/>
  <c r="CQ1499" i="1"/>
  <c r="CP1499" i="1"/>
  <c r="CO1499" i="1"/>
  <c r="CN1499" i="1"/>
  <c r="CL1499" i="1"/>
  <c r="CK1499" i="1"/>
  <c r="CJ1499" i="1"/>
  <c r="CI1499" i="1"/>
  <c r="CH1499" i="1"/>
  <c r="CG1499" i="1"/>
  <c r="CF1499" i="1"/>
  <c r="CD1499" i="1"/>
  <c r="CC1499" i="1"/>
  <c r="CB1499" i="1"/>
  <c r="CA1499" i="1"/>
  <c r="BZ1499" i="1"/>
  <c r="BY1499" i="1"/>
  <c r="BX1499" i="1"/>
  <c r="BU1499" i="1"/>
  <c r="BN1499" i="1"/>
  <c r="BS1499" i="1" s="1"/>
  <c r="BA1499" i="1"/>
  <c r="AZ1499" i="1"/>
  <c r="AY1499" i="1"/>
  <c r="AX1499" i="1"/>
  <c r="AW1499" i="1"/>
  <c r="AV1499" i="1"/>
  <c r="AT1499" i="1"/>
  <c r="AS1499" i="1"/>
  <c r="CS1498" i="1"/>
  <c r="CR1498" i="1"/>
  <c r="CQ1498" i="1"/>
  <c r="CP1498" i="1"/>
  <c r="CO1498" i="1"/>
  <c r="CN1498" i="1"/>
  <c r="CL1498" i="1"/>
  <c r="CK1498" i="1"/>
  <c r="CJ1498" i="1"/>
  <c r="CI1498" i="1"/>
  <c r="CH1498" i="1"/>
  <c r="CG1498" i="1"/>
  <c r="CF1498" i="1"/>
  <c r="CD1498" i="1"/>
  <c r="CC1498" i="1"/>
  <c r="CB1498" i="1"/>
  <c r="CA1498" i="1"/>
  <c r="BZ1498" i="1"/>
  <c r="BY1498" i="1"/>
  <c r="BX1498" i="1"/>
  <c r="BU1498" i="1"/>
  <c r="BN1498" i="1"/>
  <c r="BS1498" i="1" s="1"/>
  <c r="BA1498" i="1"/>
  <c r="AZ1498" i="1"/>
  <c r="AY1498" i="1"/>
  <c r="AX1498" i="1"/>
  <c r="AW1498" i="1"/>
  <c r="AV1498" i="1"/>
  <c r="AT1498" i="1"/>
  <c r="AS1498" i="1"/>
  <c r="CS1497" i="1"/>
  <c r="CR1497" i="1"/>
  <c r="CQ1497" i="1"/>
  <c r="CP1497" i="1"/>
  <c r="CO1497" i="1"/>
  <c r="CN1497" i="1"/>
  <c r="CL1497" i="1"/>
  <c r="CK1497" i="1"/>
  <c r="CJ1497" i="1"/>
  <c r="CI1497" i="1"/>
  <c r="CH1497" i="1"/>
  <c r="CG1497" i="1"/>
  <c r="CF1497" i="1"/>
  <c r="CD1497" i="1"/>
  <c r="CC1497" i="1"/>
  <c r="CB1497" i="1"/>
  <c r="CA1497" i="1"/>
  <c r="BZ1497" i="1"/>
  <c r="BY1497" i="1"/>
  <c r="BX1497" i="1"/>
  <c r="BU1497" i="1"/>
  <c r="BN1497" i="1"/>
  <c r="BS1497" i="1" s="1"/>
  <c r="BA1497" i="1"/>
  <c r="AZ1497" i="1"/>
  <c r="AY1497" i="1"/>
  <c r="AX1497" i="1"/>
  <c r="AW1497" i="1"/>
  <c r="AV1497" i="1"/>
  <c r="AT1497" i="1"/>
  <c r="AS1497" i="1"/>
  <c r="CS1496" i="1"/>
  <c r="CR1496" i="1"/>
  <c r="CQ1496" i="1"/>
  <c r="CP1496" i="1"/>
  <c r="CO1496" i="1"/>
  <c r="CN1496" i="1"/>
  <c r="CL1496" i="1"/>
  <c r="CK1496" i="1"/>
  <c r="CJ1496" i="1"/>
  <c r="CI1496" i="1"/>
  <c r="CH1496" i="1"/>
  <c r="CG1496" i="1"/>
  <c r="CF1496" i="1"/>
  <c r="CD1496" i="1"/>
  <c r="CC1496" i="1"/>
  <c r="CB1496" i="1"/>
  <c r="CA1496" i="1"/>
  <c r="BZ1496" i="1"/>
  <c r="BY1496" i="1"/>
  <c r="BX1496" i="1"/>
  <c r="BU1496" i="1"/>
  <c r="BN1496" i="1"/>
  <c r="BS1496" i="1" s="1"/>
  <c r="BA1496" i="1"/>
  <c r="AZ1496" i="1"/>
  <c r="AY1496" i="1"/>
  <c r="AX1496" i="1"/>
  <c r="AW1496" i="1"/>
  <c r="AV1496" i="1"/>
  <c r="AT1496" i="1"/>
  <c r="AS1496" i="1"/>
  <c r="CS1495" i="1"/>
  <c r="CR1495" i="1"/>
  <c r="CQ1495" i="1"/>
  <c r="CP1495" i="1"/>
  <c r="CO1495" i="1"/>
  <c r="CN1495" i="1"/>
  <c r="CL1495" i="1"/>
  <c r="CK1495" i="1"/>
  <c r="CJ1495" i="1"/>
  <c r="CI1495" i="1"/>
  <c r="CH1495" i="1"/>
  <c r="CG1495" i="1"/>
  <c r="CF1495" i="1"/>
  <c r="CD1495" i="1"/>
  <c r="CC1495" i="1"/>
  <c r="CB1495" i="1"/>
  <c r="CA1495" i="1"/>
  <c r="BZ1495" i="1"/>
  <c r="BY1495" i="1"/>
  <c r="BX1495" i="1"/>
  <c r="BU1495" i="1"/>
  <c r="BN1495" i="1"/>
  <c r="BS1495" i="1" s="1"/>
  <c r="BA1495" i="1"/>
  <c r="AZ1495" i="1"/>
  <c r="AY1495" i="1"/>
  <c r="AX1495" i="1"/>
  <c r="AW1495" i="1"/>
  <c r="AV1495" i="1"/>
  <c r="AT1495" i="1"/>
  <c r="AS1495" i="1"/>
  <c r="CS1494" i="1"/>
  <c r="CR1494" i="1"/>
  <c r="CQ1494" i="1"/>
  <c r="CP1494" i="1"/>
  <c r="CO1494" i="1"/>
  <c r="CN1494" i="1"/>
  <c r="CL1494" i="1"/>
  <c r="CK1494" i="1"/>
  <c r="CJ1494" i="1"/>
  <c r="CI1494" i="1"/>
  <c r="CH1494" i="1"/>
  <c r="CG1494" i="1"/>
  <c r="CF1494" i="1"/>
  <c r="CD1494" i="1"/>
  <c r="CC1494" i="1"/>
  <c r="CB1494" i="1"/>
  <c r="CA1494" i="1"/>
  <c r="BZ1494" i="1"/>
  <c r="BY1494" i="1"/>
  <c r="BX1494" i="1"/>
  <c r="BU1494" i="1"/>
  <c r="BN1494" i="1"/>
  <c r="BS1494" i="1" s="1"/>
  <c r="BA1494" i="1"/>
  <c r="AZ1494" i="1"/>
  <c r="AY1494" i="1"/>
  <c r="AX1494" i="1"/>
  <c r="AW1494" i="1"/>
  <c r="AV1494" i="1"/>
  <c r="AT1494" i="1"/>
  <c r="AS1494" i="1"/>
  <c r="CS1493" i="1"/>
  <c r="CR1493" i="1"/>
  <c r="CQ1493" i="1"/>
  <c r="CP1493" i="1"/>
  <c r="CO1493" i="1"/>
  <c r="CN1493" i="1"/>
  <c r="CL1493" i="1"/>
  <c r="CK1493" i="1"/>
  <c r="CJ1493" i="1"/>
  <c r="CI1493" i="1"/>
  <c r="CH1493" i="1"/>
  <c r="CG1493" i="1"/>
  <c r="CF1493" i="1"/>
  <c r="CD1493" i="1"/>
  <c r="CC1493" i="1"/>
  <c r="CB1493" i="1"/>
  <c r="CA1493" i="1"/>
  <c r="BZ1493" i="1"/>
  <c r="BY1493" i="1"/>
  <c r="BX1493" i="1"/>
  <c r="BU1493" i="1"/>
  <c r="BN1493" i="1"/>
  <c r="BS1493" i="1" s="1"/>
  <c r="BA1493" i="1"/>
  <c r="AZ1493" i="1"/>
  <c r="AY1493" i="1"/>
  <c r="AX1493" i="1"/>
  <c r="AW1493" i="1"/>
  <c r="AV1493" i="1"/>
  <c r="AT1493" i="1"/>
  <c r="AS1493" i="1"/>
  <c r="CS1492" i="1"/>
  <c r="CR1492" i="1"/>
  <c r="CQ1492" i="1"/>
  <c r="CP1492" i="1"/>
  <c r="CO1492" i="1"/>
  <c r="CN1492" i="1"/>
  <c r="CL1492" i="1"/>
  <c r="CK1492" i="1"/>
  <c r="CJ1492" i="1"/>
  <c r="CI1492" i="1"/>
  <c r="CH1492" i="1"/>
  <c r="CG1492" i="1"/>
  <c r="CF1492" i="1"/>
  <c r="CD1492" i="1"/>
  <c r="CC1492" i="1"/>
  <c r="CB1492" i="1"/>
  <c r="CA1492" i="1"/>
  <c r="BZ1492" i="1"/>
  <c r="BY1492" i="1"/>
  <c r="BX1492" i="1"/>
  <c r="BU1492" i="1"/>
  <c r="BN1492" i="1"/>
  <c r="BS1492" i="1" s="1"/>
  <c r="BA1492" i="1"/>
  <c r="AZ1492" i="1"/>
  <c r="AY1492" i="1"/>
  <c r="AX1492" i="1"/>
  <c r="AW1492" i="1"/>
  <c r="AV1492" i="1"/>
  <c r="AT1492" i="1"/>
  <c r="AS1492" i="1"/>
  <c r="CS1491" i="1"/>
  <c r="CR1491" i="1"/>
  <c r="CQ1491" i="1"/>
  <c r="CP1491" i="1"/>
  <c r="CO1491" i="1"/>
  <c r="CN1491" i="1"/>
  <c r="CL1491" i="1"/>
  <c r="CK1491" i="1"/>
  <c r="CJ1491" i="1"/>
  <c r="CI1491" i="1"/>
  <c r="CH1491" i="1"/>
  <c r="CG1491" i="1"/>
  <c r="CF1491" i="1"/>
  <c r="CD1491" i="1"/>
  <c r="CC1491" i="1"/>
  <c r="CB1491" i="1"/>
  <c r="CA1491" i="1"/>
  <c r="BZ1491" i="1"/>
  <c r="BY1491" i="1"/>
  <c r="BX1491" i="1"/>
  <c r="BU1491" i="1"/>
  <c r="BN1491" i="1"/>
  <c r="BS1491" i="1" s="1"/>
  <c r="BA1491" i="1"/>
  <c r="AZ1491" i="1"/>
  <c r="AY1491" i="1"/>
  <c r="AX1491" i="1"/>
  <c r="AW1491" i="1"/>
  <c r="AV1491" i="1"/>
  <c r="AT1491" i="1"/>
  <c r="AS1491" i="1"/>
  <c r="CS1490" i="1"/>
  <c r="CR1490" i="1"/>
  <c r="CQ1490" i="1"/>
  <c r="CP1490" i="1"/>
  <c r="CO1490" i="1"/>
  <c r="CN1490" i="1"/>
  <c r="CL1490" i="1"/>
  <c r="CK1490" i="1"/>
  <c r="CJ1490" i="1"/>
  <c r="CI1490" i="1"/>
  <c r="CH1490" i="1"/>
  <c r="CG1490" i="1"/>
  <c r="CF1490" i="1"/>
  <c r="CD1490" i="1"/>
  <c r="CC1490" i="1"/>
  <c r="CB1490" i="1"/>
  <c r="CA1490" i="1"/>
  <c r="BZ1490" i="1"/>
  <c r="BY1490" i="1"/>
  <c r="BX1490" i="1"/>
  <c r="BU1490" i="1"/>
  <c r="BN1490" i="1"/>
  <c r="BS1490" i="1" s="1"/>
  <c r="BA1490" i="1"/>
  <c r="AZ1490" i="1"/>
  <c r="AY1490" i="1"/>
  <c r="AX1490" i="1"/>
  <c r="AW1490" i="1"/>
  <c r="AV1490" i="1"/>
  <c r="AT1490" i="1"/>
  <c r="AS1490" i="1"/>
  <c r="CS1489" i="1"/>
  <c r="CR1489" i="1"/>
  <c r="CQ1489" i="1"/>
  <c r="CP1489" i="1"/>
  <c r="CO1489" i="1"/>
  <c r="CN1489" i="1"/>
  <c r="CL1489" i="1"/>
  <c r="CK1489" i="1"/>
  <c r="CJ1489" i="1"/>
  <c r="CI1489" i="1"/>
  <c r="CH1489" i="1"/>
  <c r="CG1489" i="1"/>
  <c r="CF1489" i="1"/>
  <c r="CD1489" i="1"/>
  <c r="CC1489" i="1"/>
  <c r="CB1489" i="1"/>
  <c r="CA1489" i="1"/>
  <c r="BZ1489" i="1"/>
  <c r="BY1489" i="1"/>
  <c r="BX1489" i="1"/>
  <c r="BU1489" i="1"/>
  <c r="BN1489" i="1"/>
  <c r="BS1489" i="1" s="1"/>
  <c r="BA1489" i="1"/>
  <c r="AZ1489" i="1"/>
  <c r="AY1489" i="1"/>
  <c r="AX1489" i="1"/>
  <c r="AW1489" i="1"/>
  <c r="AV1489" i="1"/>
  <c r="AT1489" i="1"/>
  <c r="AS1489" i="1"/>
  <c r="CS1488" i="1"/>
  <c r="CR1488" i="1"/>
  <c r="CQ1488" i="1"/>
  <c r="CP1488" i="1"/>
  <c r="CO1488" i="1"/>
  <c r="CN1488" i="1"/>
  <c r="CL1488" i="1"/>
  <c r="CK1488" i="1"/>
  <c r="CJ1488" i="1"/>
  <c r="CI1488" i="1"/>
  <c r="CH1488" i="1"/>
  <c r="CG1488" i="1"/>
  <c r="CF1488" i="1"/>
  <c r="CD1488" i="1"/>
  <c r="CC1488" i="1"/>
  <c r="CB1488" i="1"/>
  <c r="CA1488" i="1"/>
  <c r="BZ1488" i="1"/>
  <c r="BY1488" i="1"/>
  <c r="BX1488" i="1"/>
  <c r="BU1488" i="1"/>
  <c r="BN1488" i="1"/>
  <c r="BS1488" i="1" s="1"/>
  <c r="BA1488" i="1"/>
  <c r="AZ1488" i="1"/>
  <c r="AY1488" i="1"/>
  <c r="AX1488" i="1"/>
  <c r="AW1488" i="1"/>
  <c r="AV1488" i="1"/>
  <c r="AT1488" i="1"/>
  <c r="AS1488" i="1"/>
  <c r="CS1487" i="1"/>
  <c r="CR1487" i="1"/>
  <c r="CQ1487" i="1"/>
  <c r="CP1487" i="1"/>
  <c r="CO1487" i="1"/>
  <c r="CN1487" i="1"/>
  <c r="CL1487" i="1"/>
  <c r="CK1487" i="1"/>
  <c r="CJ1487" i="1"/>
  <c r="CI1487" i="1"/>
  <c r="CH1487" i="1"/>
  <c r="CG1487" i="1"/>
  <c r="CF1487" i="1"/>
  <c r="CD1487" i="1"/>
  <c r="CC1487" i="1"/>
  <c r="CB1487" i="1"/>
  <c r="CA1487" i="1"/>
  <c r="BZ1487" i="1"/>
  <c r="BY1487" i="1"/>
  <c r="BX1487" i="1"/>
  <c r="BU1487" i="1"/>
  <c r="BN1487" i="1"/>
  <c r="BS1487" i="1" s="1"/>
  <c r="BA1487" i="1"/>
  <c r="AZ1487" i="1"/>
  <c r="AY1487" i="1"/>
  <c r="AX1487" i="1"/>
  <c r="AW1487" i="1"/>
  <c r="AV1487" i="1"/>
  <c r="AT1487" i="1"/>
  <c r="AS1487" i="1"/>
  <c r="CS1486" i="1"/>
  <c r="CR1486" i="1"/>
  <c r="CQ1486" i="1"/>
  <c r="CP1486" i="1"/>
  <c r="CO1486" i="1"/>
  <c r="CN1486" i="1"/>
  <c r="CL1486" i="1"/>
  <c r="CK1486" i="1"/>
  <c r="CJ1486" i="1"/>
  <c r="CI1486" i="1"/>
  <c r="CH1486" i="1"/>
  <c r="CG1486" i="1"/>
  <c r="CF1486" i="1"/>
  <c r="CD1486" i="1"/>
  <c r="CC1486" i="1"/>
  <c r="CB1486" i="1"/>
  <c r="CA1486" i="1"/>
  <c r="BZ1486" i="1"/>
  <c r="BY1486" i="1"/>
  <c r="BX1486" i="1"/>
  <c r="BU1486" i="1"/>
  <c r="BN1486" i="1"/>
  <c r="BS1486" i="1" s="1"/>
  <c r="BA1486" i="1"/>
  <c r="AZ1486" i="1"/>
  <c r="AY1486" i="1"/>
  <c r="AX1486" i="1"/>
  <c r="AW1486" i="1"/>
  <c r="AV1486" i="1"/>
  <c r="AT1486" i="1"/>
  <c r="AS1486" i="1"/>
  <c r="CS1485" i="1"/>
  <c r="CR1485" i="1"/>
  <c r="CQ1485" i="1"/>
  <c r="CP1485" i="1"/>
  <c r="CO1485" i="1"/>
  <c r="CN1485" i="1"/>
  <c r="CL1485" i="1"/>
  <c r="CK1485" i="1"/>
  <c r="CJ1485" i="1"/>
  <c r="CI1485" i="1"/>
  <c r="CH1485" i="1"/>
  <c r="CG1485" i="1"/>
  <c r="CF1485" i="1"/>
  <c r="CD1485" i="1"/>
  <c r="CC1485" i="1"/>
  <c r="CB1485" i="1"/>
  <c r="CA1485" i="1"/>
  <c r="BZ1485" i="1"/>
  <c r="BY1485" i="1"/>
  <c r="BX1485" i="1"/>
  <c r="BU1485" i="1"/>
  <c r="BN1485" i="1"/>
  <c r="BS1485" i="1" s="1"/>
  <c r="BA1485" i="1"/>
  <c r="AZ1485" i="1"/>
  <c r="AY1485" i="1"/>
  <c r="AX1485" i="1"/>
  <c r="AW1485" i="1"/>
  <c r="AV1485" i="1"/>
  <c r="AT1485" i="1"/>
  <c r="AS1485" i="1"/>
  <c r="CS1484" i="1"/>
  <c r="CR1484" i="1"/>
  <c r="CQ1484" i="1"/>
  <c r="CP1484" i="1"/>
  <c r="CO1484" i="1"/>
  <c r="CN1484" i="1"/>
  <c r="CL1484" i="1"/>
  <c r="CK1484" i="1"/>
  <c r="CJ1484" i="1"/>
  <c r="CI1484" i="1"/>
  <c r="CH1484" i="1"/>
  <c r="CG1484" i="1"/>
  <c r="CF1484" i="1"/>
  <c r="CD1484" i="1"/>
  <c r="CC1484" i="1"/>
  <c r="CB1484" i="1"/>
  <c r="CA1484" i="1"/>
  <c r="BZ1484" i="1"/>
  <c r="BY1484" i="1"/>
  <c r="BX1484" i="1"/>
  <c r="BU1484" i="1"/>
  <c r="BN1484" i="1"/>
  <c r="BS1484" i="1" s="1"/>
  <c r="BA1484" i="1"/>
  <c r="AZ1484" i="1"/>
  <c r="AY1484" i="1"/>
  <c r="AX1484" i="1"/>
  <c r="AW1484" i="1"/>
  <c r="AV1484" i="1"/>
  <c r="AT1484" i="1"/>
  <c r="AS1484" i="1"/>
  <c r="CS1483" i="1"/>
  <c r="CR1483" i="1"/>
  <c r="CQ1483" i="1"/>
  <c r="CP1483" i="1"/>
  <c r="CO1483" i="1"/>
  <c r="CN1483" i="1"/>
  <c r="CL1483" i="1"/>
  <c r="CK1483" i="1"/>
  <c r="CJ1483" i="1"/>
  <c r="CI1483" i="1"/>
  <c r="CH1483" i="1"/>
  <c r="CG1483" i="1"/>
  <c r="CF1483" i="1"/>
  <c r="CD1483" i="1"/>
  <c r="CC1483" i="1"/>
  <c r="CB1483" i="1"/>
  <c r="CA1483" i="1"/>
  <c r="BZ1483" i="1"/>
  <c r="BY1483" i="1"/>
  <c r="BX1483" i="1"/>
  <c r="BU1483" i="1"/>
  <c r="BN1483" i="1"/>
  <c r="BS1483" i="1" s="1"/>
  <c r="BA1483" i="1"/>
  <c r="AZ1483" i="1"/>
  <c r="AY1483" i="1"/>
  <c r="AX1483" i="1"/>
  <c r="AW1483" i="1"/>
  <c r="AV1483" i="1"/>
  <c r="AT1483" i="1"/>
  <c r="AS1483" i="1"/>
  <c r="CS1482" i="1"/>
  <c r="CR1482" i="1"/>
  <c r="CQ1482" i="1"/>
  <c r="CP1482" i="1"/>
  <c r="CO1482" i="1"/>
  <c r="CN1482" i="1"/>
  <c r="CL1482" i="1"/>
  <c r="CK1482" i="1"/>
  <c r="CJ1482" i="1"/>
  <c r="CI1482" i="1"/>
  <c r="CH1482" i="1"/>
  <c r="CG1482" i="1"/>
  <c r="CF1482" i="1"/>
  <c r="CD1482" i="1"/>
  <c r="CC1482" i="1"/>
  <c r="CB1482" i="1"/>
  <c r="CA1482" i="1"/>
  <c r="BZ1482" i="1"/>
  <c r="BY1482" i="1"/>
  <c r="BX1482" i="1"/>
  <c r="BU1482" i="1"/>
  <c r="BN1482" i="1"/>
  <c r="BS1482" i="1" s="1"/>
  <c r="BA1482" i="1"/>
  <c r="AZ1482" i="1"/>
  <c r="AY1482" i="1"/>
  <c r="AX1482" i="1"/>
  <c r="AW1482" i="1"/>
  <c r="AV1482" i="1"/>
  <c r="AT1482" i="1"/>
  <c r="AS1482" i="1"/>
  <c r="CS1481" i="1"/>
  <c r="CR1481" i="1"/>
  <c r="CQ1481" i="1"/>
  <c r="CP1481" i="1"/>
  <c r="CO1481" i="1"/>
  <c r="CN1481" i="1"/>
  <c r="CL1481" i="1"/>
  <c r="CK1481" i="1"/>
  <c r="CJ1481" i="1"/>
  <c r="CI1481" i="1"/>
  <c r="CH1481" i="1"/>
  <c r="CG1481" i="1"/>
  <c r="CF1481" i="1"/>
  <c r="CD1481" i="1"/>
  <c r="CC1481" i="1"/>
  <c r="CB1481" i="1"/>
  <c r="CA1481" i="1"/>
  <c r="BZ1481" i="1"/>
  <c r="BY1481" i="1"/>
  <c r="BX1481" i="1"/>
  <c r="BU1481" i="1"/>
  <c r="BN1481" i="1"/>
  <c r="BS1481" i="1" s="1"/>
  <c r="BA1481" i="1"/>
  <c r="AZ1481" i="1"/>
  <c r="AY1481" i="1"/>
  <c r="AX1481" i="1"/>
  <c r="AW1481" i="1"/>
  <c r="AV1481" i="1"/>
  <c r="AT1481" i="1"/>
  <c r="AS1481" i="1"/>
  <c r="CS1480" i="1"/>
  <c r="CR1480" i="1"/>
  <c r="CQ1480" i="1"/>
  <c r="CP1480" i="1"/>
  <c r="CO1480" i="1"/>
  <c r="CN1480" i="1"/>
  <c r="CL1480" i="1"/>
  <c r="CK1480" i="1"/>
  <c r="CJ1480" i="1"/>
  <c r="CI1480" i="1"/>
  <c r="CH1480" i="1"/>
  <c r="CG1480" i="1"/>
  <c r="CF1480" i="1"/>
  <c r="CD1480" i="1"/>
  <c r="CC1480" i="1"/>
  <c r="CB1480" i="1"/>
  <c r="CA1480" i="1"/>
  <c r="BZ1480" i="1"/>
  <c r="BY1480" i="1"/>
  <c r="BX1480" i="1"/>
  <c r="BU1480" i="1"/>
  <c r="BN1480" i="1"/>
  <c r="BS1480" i="1" s="1"/>
  <c r="BA1480" i="1"/>
  <c r="AZ1480" i="1"/>
  <c r="AY1480" i="1"/>
  <c r="AX1480" i="1"/>
  <c r="AW1480" i="1"/>
  <c r="AV1480" i="1"/>
  <c r="AT1480" i="1"/>
  <c r="AS1480" i="1"/>
  <c r="CS1479" i="1"/>
  <c r="CR1479" i="1"/>
  <c r="CQ1479" i="1"/>
  <c r="CP1479" i="1"/>
  <c r="CO1479" i="1"/>
  <c r="CN1479" i="1"/>
  <c r="CL1479" i="1"/>
  <c r="CK1479" i="1"/>
  <c r="CJ1479" i="1"/>
  <c r="CI1479" i="1"/>
  <c r="CH1479" i="1"/>
  <c r="CG1479" i="1"/>
  <c r="CF1479" i="1"/>
  <c r="CD1479" i="1"/>
  <c r="CC1479" i="1"/>
  <c r="CB1479" i="1"/>
  <c r="CA1479" i="1"/>
  <c r="BZ1479" i="1"/>
  <c r="BY1479" i="1"/>
  <c r="BX1479" i="1"/>
  <c r="BU1479" i="1"/>
  <c r="BN1479" i="1"/>
  <c r="BS1479" i="1" s="1"/>
  <c r="BA1479" i="1"/>
  <c r="AZ1479" i="1"/>
  <c r="AY1479" i="1"/>
  <c r="AX1479" i="1"/>
  <c r="AW1479" i="1"/>
  <c r="AV1479" i="1"/>
  <c r="AT1479" i="1"/>
  <c r="AS1479" i="1"/>
  <c r="CS1478" i="1"/>
  <c r="CR1478" i="1"/>
  <c r="CQ1478" i="1"/>
  <c r="CP1478" i="1"/>
  <c r="CO1478" i="1"/>
  <c r="CN1478" i="1"/>
  <c r="CL1478" i="1"/>
  <c r="CK1478" i="1"/>
  <c r="CJ1478" i="1"/>
  <c r="CI1478" i="1"/>
  <c r="CH1478" i="1"/>
  <c r="CG1478" i="1"/>
  <c r="CF1478" i="1"/>
  <c r="CD1478" i="1"/>
  <c r="CC1478" i="1"/>
  <c r="CB1478" i="1"/>
  <c r="CA1478" i="1"/>
  <c r="BZ1478" i="1"/>
  <c r="BY1478" i="1"/>
  <c r="BX1478" i="1"/>
  <c r="BU1478" i="1"/>
  <c r="BN1478" i="1"/>
  <c r="BS1478" i="1" s="1"/>
  <c r="BA1478" i="1"/>
  <c r="AZ1478" i="1"/>
  <c r="AY1478" i="1"/>
  <c r="AX1478" i="1"/>
  <c r="AW1478" i="1"/>
  <c r="AV1478" i="1"/>
  <c r="AT1478" i="1"/>
  <c r="AS1478" i="1"/>
  <c r="CS1477" i="1"/>
  <c r="CR1477" i="1"/>
  <c r="CQ1477" i="1"/>
  <c r="CP1477" i="1"/>
  <c r="CO1477" i="1"/>
  <c r="CN1477" i="1"/>
  <c r="CL1477" i="1"/>
  <c r="CK1477" i="1"/>
  <c r="CJ1477" i="1"/>
  <c r="CI1477" i="1"/>
  <c r="CH1477" i="1"/>
  <c r="CG1477" i="1"/>
  <c r="CF1477" i="1"/>
  <c r="CD1477" i="1"/>
  <c r="CC1477" i="1"/>
  <c r="CB1477" i="1"/>
  <c r="CA1477" i="1"/>
  <c r="BZ1477" i="1"/>
  <c r="BY1477" i="1"/>
  <c r="BX1477" i="1"/>
  <c r="BU1477" i="1"/>
  <c r="BN1477" i="1"/>
  <c r="BS1477" i="1" s="1"/>
  <c r="BA1477" i="1"/>
  <c r="AZ1477" i="1"/>
  <c r="AY1477" i="1"/>
  <c r="AX1477" i="1"/>
  <c r="AW1477" i="1"/>
  <c r="AV1477" i="1"/>
  <c r="AT1477" i="1"/>
  <c r="AS1477" i="1"/>
  <c r="CS1476" i="1"/>
  <c r="CR1476" i="1"/>
  <c r="CQ1476" i="1"/>
  <c r="CP1476" i="1"/>
  <c r="CO1476" i="1"/>
  <c r="CN1476" i="1"/>
  <c r="CL1476" i="1"/>
  <c r="CK1476" i="1"/>
  <c r="CJ1476" i="1"/>
  <c r="CI1476" i="1"/>
  <c r="CH1476" i="1"/>
  <c r="CG1476" i="1"/>
  <c r="CF1476" i="1"/>
  <c r="CD1476" i="1"/>
  <c r="CC1476" i="1"/>
  <c r="CB1476" i="1"/>
  <c r="CA1476" i="1"/>
  <c r="BZ1476" i="1"/>
  <c r="BY1476" i="1"/>
  <c r="BX1476" i="1"/>
  <c r="BU1476" i="1"/>
  <c r="BN1476" i="1"/>
  <c r="BS1476" i="1" s="1"/>
  <c r="BA1476" i="1"/>
  <c r="AZ1476" i="1"/>
  <c r="AY1476" i="1"/>
  <c r="AX1476" i="1"/>
  <c r="AW1476" i="1"/>
  <c r="AV1476" i="1"/>
  <c r="AT1476" i="1"/>
  <c r="AS1476" i="1"/>
  <c r="CS1475" i="1"/>
  <c r="CR1475" i="1"/>
  <c r="CQ1475" i="1"/>
  <c r="CP1475" i="1"/>
  <c r="CO1475" i="1"/>
  <c r="CN1475" i="1"/>
  <c r="CL1475" i="1"/>
  <c r="CK1475" i="1"/>
  <c r="CJ1475" i="1"/>
  <c r="CI1475" i="1"/>
  <c r="CH1475" i="1"/>
  <c r="CG1475" i="1"/>
  <c r="CF1475" i="1"/>
  <c r="CD1475" i="1"/>
  <c r="CC1475" i="1"/>
  <c r="CB1475" i="1"/>
  <c r="CA1475" i="1"/>
  <c r="BZ1475" i="1"/>
  <c r="BY1475" i="1"/>
  <c r="BX1475" i="1"/>
  <c r="BU1475" i="1"/>
  <c r="BN1475" i="1"/>
  <c r="BS1475" i="1" s="1"/>
  <c r="BA1475" i="1"/>
  <c r="AZ1475" i="1"/>
  <c r="AY1475" i="1"/>
  <c r="AX1475" i="1"/>
  <c r="AW1475" i="1"/>
  <c r="AV1475" i="1"/>
  <c r="AT1475" i="1"/>
  <c r="AS1475" i="1"/>
  <c r="CS1474" i="1"/>
  <c r="CR1474" i="1"/>
  <c r="CQ1474" i="1"/>
  <c r="CP1474" i="1"/>
  <c r="CO1474" i="1"/>
  <c r="CN1474" i="1"/>
  <c r="CL1474" i="1"/>
  <c r="CK1474" i="1"/>
  <c r="CJ1474" i="1"/>
  <c r="CI1474" i="1"/>
  <c r="CH1474" i="1"/>
  <c r="CG1474" i="1"/>
  <c r="CF1474" i="1"/>
  <c r="CD1474" i="1"/>
  <c r="CC1474" i="1"/>
  <c r="CB1474" i="1"/>
  <c r="CA1474" i="1"/>
  <c r="BZ1474" i="1"/>
  <c r="BY1474" i="1"/>
  <c r="BX1474" i="1"/>
  <c r="BU1474" i="1"/>
  <c r="BN1474" i="1"/>
  <c r="BS1474" i="1" s="1"/>
  <c r="BA1474" i="1"/>
  <c r="AZ1474" i="1"/>
  <c r="AY1474" i="1"/>
  <c r="AX1474" i="1"/>
  <c r="AW1474" i="1"/>
  <c r="AV1474" i="1"/>
  <c r="AT1474" i="1"/>
  <c r="AS1474" i="1"/>
  <c r="CS1473" i="1"/>
  <c r="CR1473" i="1"/>
  <c r="CQ1473" i="1"/>
  <c r="CP1473" i="1"/>
  <c r="CO1473" i="1"/>
  <c r="CN1473" i="1"/>
  <c r="CL1473" i="1"/>
  <c r="CK1473" i="1"/>
  <c r="CJ1473" i="1"/>
  <c r="CI1473" i="1"/>
  <c r="CH1473" i="1"/>
  <c r="CG1473" i="1"/>
  <c r="CF1473" i="1"/>
  <c r="CD1473" i="1"/>
  <c r="CC1473" i="1"/>
  <c r="CB1473" i="1"/>
  <c r="CA1473" i="1"/>
  <c r="BZ1473" i="1"/>
  <c r="BY1473" i="1"/>
  <c r="BX1473" i="1"/>
  <c r="BU1473" i="1"/>
  <c r="BN1473" i="1"/>
  <c r="BS1473" i="1" s="1"/>
  <c r="BA1473" i="1"/>
  <c r="AZ1473" i="1"/>
  <c r="AY1473" i="1"/>
  <c r="AX1473" i="1"/>
  <c r="AW1473" i="1"/>
  <c r="AV1473" i="1"/>
  <c r="AT1473" i="1"/>
  <c r="AS1473" i="1"/>
  <c r="CS1472" i="1"/>
  <c r="CR1472" i="1"/>
  <c r="CQ1472" i="1"/>
  <c r="CP1472" i="1"/>
  <c r="CO1472" i="1"/>
  <c r="CN1472" i="1"/>
  <c r="CL1472" i="1"/>
  <c r="CK1472" i="1"/>
  <c r="CJ1472" i="1"/>
  <c r="CI1472" i="1"/>
  <c r="CH1472" i="1"/>
  <c r="CG1472" i="1"/>
  <c r="CF1472" i="1"/>
  <c r="CD1472" i="1"/>
  <c r="CC1472" i="1"/>
  <c r="CB1472" i="1"/>
  <c r="CA1472" i="1"/>
  <c r="BZ1472" i="1"/>
  <c r="BY1472" i="1"/>
  <c r="BX1472" i="1"/>
  <c r="BU1472" i="1"/>
  <c r="BN1472" i="1"/>
  <c r="BS1472" i="1" s="1"/>
  <c r="BA1472" i="1"/>
  <c r="AZ1472" i="1"/>
  <c r="AY1472" i="1"/>
  <c r="AX1472" i="1"/>
  <c r="AW1472" i="1"/>
  <c r="AV1472" i="1"/>
  <c r="AT1472" i="1"/>
  <c r="AS1472" i="1"/>
  <c r="CS1471" i="1"/>
  <c r="CR1471" i="1"/>
  <c r="CQ1471" i="1"/>
  <c r="CP1471" i="1"/>
  <c r="CO1471" i="1"/>
  <c r="CN1471" i="1"/>
  <c r="CL1471" i="1"/>
  <c r="CK1471" i="1"/>
  <c r="CJ1471" i="1"/>
  <c r="CI1471" i="1"/>
  <c r="CH1471" i="1"/>
  <c r="CG1471" i="1"/>
  <c r="CF1471" i="1"/>
  <c r="CD1471" i="1"/>
  <c r="CC1471" i="1"/>
  <c r="CB1471" i="1"/>
  <c r="CA1471" i="1"/>
  <c r="BZ1471" i="1"/>
  <c r="BY1471" i="1"/>
  <c r="BX1471" i="1"/>
  <c r="BU1471" i="1"/>
  <c r="BN1471" i="1"/>
  <c r="BS1471" i="1" s="1"/>
  <c r="BA1471" i="1"/>
  <c r="AZ1471" i="1"/>
  <c r="AY1471" i="1"/>
  <c r="AX1471" i="1"/>
  <c r="AW1471" i="1"/>
  <c r="AV1471" i="1"/>
  <c r="AT1471" i="1"/>
  <c r="AS1471" i="1"/>
  <c r="CS1470" i="1"/>
  <c r="CR1470" i="1"/>
  <c r="CQ1470" i="1"/>
  <c r="CP1470" i="1"/>
  <c r="CO1470" i="1"/>
  <c r="CN1470" i="1"/>
  <c r="CL1470" i="1"/>
  <c r="CK1470" i="1"/>
  <c r="CJ1470" i="1"/>
  <c r="CI1470" i="1"/>
  <c r="CH1470" i="1"/>
  <c r="CG1470" i="1"/>
  <c r="CF1470" i="1"/>
  <c r="CD1470" i="1"/>
  <c r="CC1470" i="1"/>
  <c r="CB1470" i="1"/>
  <c r="CA1470" i="1"/>
  <c r="BZ1470" i="1"/>
  <c r="BY1470" i="1"/>
  <c r="BX1470" i="1"/>
  <c r="BU1470" i="1"/>
  <c r="BN1470" i="1"/>
  <c r="BS1470" i="1" s="1"/>
  <c r="BA1470" i="1"/>
  <c r="AZ1470" i="1"/>
  <c r="AY1470" i="1"/>
  <c r="AX1470" i="1"/>
  <c r="AW1470" i="1"/>
  <c r="AV1470" i="1"/>
  <c r="AT1470" i="1"/>
  <c r="AS1470" i="1"/>
  <c r="CS1469" i="1"/>
  <c r="CR1469" i="1"/>
  <c r="CQ1469" i="1"/>
  <c r="CP1469" i="1"/>
  <c r="CO1469" i="1"/>
  <c r="CN1469" i="1"/>
  <c r="CL1469" i="1"/>
  <c r="CK1469" i="1"/>
  <c r="CJ1469" i="1"/>
  <c r="CI1469" i="1"/>
  <c r="CH1469" i="1"/>
  <c r="CG1469" i="1"/>
  <c r="CF1469" i="1"/>
  <c r="CD1469" i="1"/>
  <c r="CC1469" i="1"/>
  <c r="CB1469" i="1"/>
  <c r="CA1469" i="1"/>
  <c r="BZ1469" i="1"/>
  <c r="BY1469" i="1"/>
  <c r="BX1469" i="1"/>
  <c r="BU1469" i="1"/>
  <c r="BN1469" i="1"/>
  <c r="BS1469" i="1" s="1"/>
  <c r="BA1469" i="1"/>
  <c r="AZ1469" i="1"/>
  <c r="AY1469" i="1"/>
  <c r="AX1469" i="1"/>
  <c r="AW1469" i="1"/>
  <c r="AV1469" i="1"/>
  <c r="AT1469" i="1"/>
  <c r="AS1469" i="1"/>
  <c r="CS1468" i="1"/>
  <c r="CR1468" i="1"/>
  <c r="CQ1468" i="1"/>
  <c r="CP1468" i="1"/>
  <c r="CO1468" i="1"/>
  <c r="CN1468" i="1"/>
  <c r="CL1468" i="1"/>
  <c r="CK1468" i="1"/>
  <c r="CJ1468" i="1"/>
  <c r="CI1468" i="1"/>
  <c r="CH1468" i="1"/>
  <c r="CG1468" i="1"/>
  <c r="CF1468" i="1"/>
  <c r="CD1468" i="1"/>
  <c r="CC1468" i="1"/>
  <c r="CB1468" i="1"/>
  <c r="CA1468" i="1"/>
  <c r="BZ1468" i="1"/>
  <c r="BY1468" i="1"/>
  <c r="BX1468" i="1"/>
  <c r="BU1468" i="1"/>
  <c r="BN1468" i="1"/>
  <c r="BS1468" i="1" s="1"/>
  <c r="BA1468" i="1"/>
  <c r="AZ1468" i="1"/>
  <c r="AY1468" i="1"/>
  <c r="AX1468" i="1"/>
  <c r="AW1468" i="1"/>
  <c r="AV1468" i="1"/>
  <c r="AT1468" i="1"/>
  <c r="AS1468" i="1"/>
  <c r="CS1467" i="1"/>
  <c r="CR1467" i="1"/>
  <c r="CQ1467" i="1"/>
  <c r="CP1467" i="1"/>
  <c r="CO1467" i="1"/>
  <c r="CN1467" i="1"/>
  <c r="CL1467" i="1"/>
  <c r="CK1467" i="1"/>
  <c r="CJ1467" i="1"/>
  <c r="CI1467" i="1"/>
  <c r="CH1467" i="1"/>
  <c r="CG1467" i="1"/>
  <c r="CF1467" i="1"/>
  <c r="CD1467" i="1"/>
  <c r="CC1467" i="1"/>
  <c r="CB1467" i="1"/>
  <c r="CA1467" i="1"/>
  <c r="BZ1467" i="1"/>
  <c r="BY1467" i="1"/>
  <c r="BX1467" i="1"/>
  <c r="BU1467" i="1"/>
  <c r="BN1467" i="1"/>
  <c r="BS1467" i="1" s="1"/>
  <c r="BA1467" i="1"/>
  <c r="AZ1467" i="1"/>
  <c r="AY1467" i="1"/>
  <c r="AX1467" i="1"/>
  <c r="AW1467" i="1"/>
  <c r="AV1467" i="1"/>
  <c r="AT1467" i="1"/>
  <c r="AS1467" i="1"/>
  <c r="CS1466" i="1"/>
  <c r="CR1466" i="1"/>
  <c r="CQ1466" i="1"/>
  <c r="CP1466" i="1"/>
  <c r="CO1466" i="1"/>
  <c r="CN1466" i="1"/>
  <c r="CL1466" i="1"/>
  <c r="CK1466" i="1"/>
  <c r="CJ1466" i="1"/>
  <c r="CI1466" i="1"/>
  <c r="CH1466" i="1"/>
  <c r="CG1466" i="1"/>
  <c r="CF1466" i="1"/>
  <c r="CD1466" i="1"/>
  <c r="CC1466" i="1"/>
  <c r="CB1466" i="1"/>
  <c r="CA1466" i="1"/>
  <c r="BZ1466" i="1"/>
  <c r="BY1466" i="1"/>
  <c r="BX1466" i="1"/>
  <c r="BU1466" i="1"/>
  <c r="BN1466" i="1"/>
  <c r="BS1466" i="1" s="1"/>
  <c r="BA1466" i="1"/>
  <c r="AZ1466" i="1"/>
  <c r="AY1466" i="1"/>
  <c r="AX1466" i="1"/>
  <c r="AW1466" i="1"/>
  <c r="AV1466" i="1"/>
  <c r="AT1466" i="1"/>
  <c r="AS1466" i="1"/>
  <c r="CS1465" i="1"/>
  <c r="CR1465" i="1"/>
  <c r="CQ1465" i="1"/>
  <c r="CP1465" i="1"/>
  <c r="CO1465" i="1"/>
  <c r="CN1465" i="1"/>
  <c r="CL1465" i="1"/>
  <c r="CK1465" i="1"/>
  <c r="CJ1465" i="1"/>
  <c r="CI1465" i="1"/>
  <c r="CH1465" i="1"/>
  <c r="CG1465" i="1"/>
  <c r="CF1465" i="1"/>
  <c r="CD1465" i="1"/>
  <c r="CC1465" i="1"/>
  <c r="CB1465" i="1"/>
  <c r="CA1465" i="1"/>
  <c r="BZ1465" i="1"/>
  <c r="BY1465" i="1"/>
  <c r="BX1465" i="1"/>
  <c r="BU1465" i="1"/>
  <c r="BN1465" i="1"/>
  <c r="BS1465" i="1" s="1"/>
  <c r="BA1465" i="1"/>
  <c r="AZ1465" i="1"/>
  <c r="AY1465" i="1"/>
  <c r="AX1465" i="1"/>
  <c r="AW1465" i="1"/>
  <c r="AV1465" i="1"/>
  <c r="AT1465" i="1"/>
  <c r="AS1465" i="1"/>
  <c r="CS1464" i="1"/>
  <c r="CR1464" i="1"/>
  <c r="CQ1464" i="1"/>
  <c r="CP1464" i="1"/>
  <c r="CO1464" i="1"/>
  <c r="CN1464" i="1"/>
  <c r="CL1464" i="1"/>
  <c r="CK1464" i="1"/>
  <c r="CJ1464" i="1"/>
  <c r="CI1464" i="1"/>
  <c r="CH1464" i="1"/>
  <c r="CG1464" i="1"/>
  <c r="CF1464" i="1"/>
  <c r="CD1464" i="1"/>
  <c r="CC1464" i="1"/>
  <c r="CB1464" i="1"/>
  <c r="CA1464" i="1"/>
  <c r="BZ1464" i="1"/>
  <c r="BY1464" i="1"/>
  <c r="BX1464" i="1"/>
  <c r="BU1464" i="1"/>
  <c r="BN1464" i="1"/>
  <c r="BS1464" i="1" s="1"/>
  <c r="BA1464" i="1"/>
  <c r="AZ1464" i="1"/>
  <c r="AY1464" i="1"/>
  <c r="AX1464" i="1"/>
  <c r="AW1464" i="1"/>
  <c r="AV1464" i="1"/>
  <c r="AT1464" i="1"/>
  <c r="AS1464" i="1"/>
  <c r="CS1463" i="1"/>
  <c r="CR1463" i="1"/>
  <c r="CQ1463" i="1"/>
  <c r="CP1463" i="1"/>
  <c r="CO1463" i="1"/>
  <c r="CN1463" i="1"/>
  <c r="CL1463" i="1"/>
  <c r="CK1463" i="1"/>
  <c r="CJ1463" i="1"/>
  <c r="CI1463" i="1"/>
  <c r="CH1463" i="1"/>
  <c r="CG1463" i="1"/>
  <c r="CF1463" i="1"/>
  <c r="CD1463" i="1"/>
  <c r="CC1463" i="1"/>
  <c r="CB1463" i="1"/>
  <c r="CA1463" i="1"/>
  <c r="BZ1463" i="1"/>
  <c r="BY1463" i="1"/>
  <c r="BX1463" i="1"/>
  <c r="BU1463" i="1"/>
  <c r="BN1463" i="1"/>
  <c r="BS1463" i="1" s="1"/>
  <c r="BA1463" i="1"/>
  <c r="AZ1463" i="1"/>
  <c r="AY1463" i="1"/>
  <c r="AX1463" i="1"/>
  <c r="AW1463" i="1"/>
  <c r="AV1463" i="1"/>
  <c r="AT1463" i="1"/>
  <c r="AS1463" i="1"/>
  <c r="CS1462" i="1"/>
  <c r="CR1462" i="1"/>
  <c r="CQ1462" i="1"/>
  <c r="CP1462" i="1"/>
  <c r="CO1462" i="1"/>
  <c r="CN1462" i="1"/>
  <c r="CL1462" i="1"/>
  <c r="CK1462" i="1"/>
  <c r="CJ1462" i="1"/>
  <c r="CI1462" i="1"/>
  <c r="CH1462" i="1"/>
  <c r="CG1462" i="1"/>
  <c r="CF1462" i="1"/>
  <c r="CD1462" i="1"/>
  <c r="CC1462" i="1"/>
  <c r="CB1462" i="1"/>
  <c r="CA1462" i="1"/>
  <c r="BZ1462" i="1"/>
  <c r="BY1462" i="1"/>
  <c r="BX1462" i="1"/>
  <c r="BU1462" i="1"/>
  <c r="BN1462" i="1"/>
  <c r="BS1462" i="1" s="1"/>
  <c r="BA1462" i="1"/>
  <c r="AZ1462" i="1"/>
  <c r="AY1462" i="1"/>
  <c r="AX1462" i="1"/>
  <c r="AW1462" i="1"/>
  <c r="AV1462" i="1"/>
  <c r="AT1462" i="1"/>
  <c r="AS1462" i="1"/>
  <c r="CS1461" i="1"/>
  <c r="CR1461" i="1"/>
  <c r="CQ1461" i="1"/>
  <c r="CP1461" i="1"/>
  <c r="CO1461" i="1"/>
  <c r="CN1461" i="1"/>
  <c r="CL1461" i="1"/>
  <c r="CK1461" i="1"/>
  <c r="CJ1461" i="1"/>
  <c r="CI1461" i="1"/>
  <c r="CH1461" i="1"/>
  <c r="CG1461" i="1"/>
  <c r="CF1461" i="1"/>
  <c r="CD1461" i="1"/>
  <c r="CC1461" i="1"/>
  <c r="CB1461" i="1"/>
  <c r="CA1461" i="1"/>
  <c r="BZ1461" i="1"/>
  <c r="BY1461" i="1"/>
  <c r="BX1461" i="1"/>
  <c r="BU1461" i="1"/>
  <c r="BN1461" i="1"/>
  <c r="BS1461" i="1" s="1"/>
  <c r="BA1461" i="1"/>
  <c r="AZ1461" i="1"/>
  <c r="AY1461" i="1"/>
  <c r="AX1461" i="1"/>
  <c r="AW1461" i="1"/>
  <c r="AV1461" i="1"/>
  <c r="AT1461" i="1"/>
  <c r="AS1461" i="1"/>
  <c r="CS1460" i="1"/>
  <c r="CR1460" i="1"/>
  <c r="CQ1460" i="1"/>
  <c r="CP1460" i="1"/>
  <c r="CO1460" i="1"/>
  <c r="CN1460" i="1"/>
  <c r="CL1460" i="1"/>
  <c r="CK1460" i="1"/>
  <c r="CJ1460" i="1"/>
  <c r="CI1460" i="1"/>
  <c r="CH1460" i="1"/>
  <c r="CG1460" i="1"/>
  <c r="CF1460" i="1"/>
  <c r="CD1460" i="1"/>
  <c r="CC1460" i="1"/>
  <c r="CB1460" i="1"/>
  <c r="CA1460" i="1"/>
  <c r="BZ1460" i="1"/>
  <c r="BY1460" i="1"/>
  <c r="BX1460" i="1"/>
  <c r="BU1460" i="1"/>
  <c r="BN1460" i="1"/>
  <c r="BS1460" i="1" s="1"/>
  <c r="BA1460" i="1"/>
  <c r="AZ1460" i="1"/>
  <c r="AY1460" i="1"/>
  <c r="AX1460" i="1"/>
  <c r="AW1460" i="1"/>
  <c r="AV1460" i="1"/>
  <c r="AT1460" i="1"/>
  <c r="AS1460" i="1"/>
  <c r="CS1459" i="1"/>
  <c r="CR1459" i="1"/>
  <c r="CQ1459" i="1"/>
  <c r="CP1459" i="1"/>
  <c r="CO1459" i="1"/>
  <c r="CN1459" i="1"/>
  <c r="CL1459" i="1"/>
  <c r="CK1459" i="1"/>
  <c r="CJ1459" i="1"/>
  <c r="CI1459" i="1"/>
  <c r="CH1459" i="1"/>
  <c r="CG1459" i="1"/>
  <c r="CF1459" i="1"/>
  <c r="CD1459" i="1"/>
  <c r="CC1459" i="1"/>
  <c r="CB1459" i="1"/>
  <c r="CA1459" i="1"/>
  <c r="BZ1459" i="1"/>
  <c r="BY1459" i="1"/>
  <c r="BX1459" i="1"/>
  <c r="BU1459" i="1"/>
  <c r="BN1459" i="1"/>
  <c r="BS1459" i="1" s="1"/>
  <c r="BA1459" i="1"/>
  <c r="AZ1459" i="1"/>
  <c r="AY1459" i="1"/>
  <c r="AX1459" i="1"/>
  <c r="AW1459" i="1"/>
  <c r="AV1459" i="1"/>
  <c r="AT1459" i="1"/>
  <c r="AS1459" i="1"/>
  <c r="CS1458" i="1"/>
  <c r="CR1458" i="1"/>
  <c r="CQ1458" i="1"/>
  <c r="CP1458" i="1"/>
  <c r="CO1458" i="1"/>
  <c r="CN1458" i="1"/>
  <c r="CL1458" i="1"/>
  <c r="CK1458" i="1"/>
  <c r="CJ1458" i="1"/>
  <c r="CI1458" i="1"/>
  <c r="CH1458" i="1"/>
  <c r="CG1458" i="1"/>
  <c r="CF1458" i="1"/>
  <c r="CD1458" i="1"/>
  <c r="CC1458" i="1"/>
  <c r="CB1458" i="1"/>
  <c r="CA1458" i="1"/>
  <c r="BZ1458" i="1"/>
  <c r="BY1458" i="1"/>
  <c r="BX1458" i="1"/>
  <c r="BU1458" i="1"/>
  <c r="BN1458" i="1"/>
  <c r="BS1458" i="1" s="1"/>
  <c r="BA1458" i="1"/>
  <c r="AZ1458" i="1"/>
  <c r="AY1458" i="1"/>
  <c r="AX1458" i="1"/>
  <c r="AW1458" i="1"/>
  <c r="AV1458" i="1"/>
  <c r="AT1458" i="1"/>
  <c r="AS1458" i="1"/>
  <c r="CS1457" i="1"/>
  <c r="CR1457" i="1"/>
  <c r="CQ1457" i="1"/>
  <c r="CP1457" i="1"/>
  <c r="CO1457" i="1"/>
  <c r="CN1457" i="1"/>
  <c r="CL1457" i="1"/>
  <c r="CK1457" i="1"/>
  <c r="CJ1457" i="1"/>
  <c r="CI1457" i="1"/>
  <c r="CH1457" i="1"/>
  <c r="CG1457" i="1"/>
  <c r="CF1457" i="1"/>
  <c r="CD1457" i="1"/>
  <c r="CC1457" i="1"/>
  <c r="CB1457" i="1"/>
  <c r="CA1457" i="1"/>
  <c r="BZ1457" i="1"/>
  <c r="BY1457" i="1"/>
  <c r="BX1457" i="1"/>
  <c r="BU1457" i="1"/>
  <c r="BN1457" i="1"/>
  <c r="BS1457" i="1" s="1"/>
  <c r="BA1457" i="1"/>
  <c r="AZ1457" i="1"/>
  <c r="AY1457" i="1"/>
  <c r="AX1457" i="1"/>
  <c r="AW1457" i="1"/>
  <c r="AV1457" i="1"/>
  <c r="AT1457" i="1"/>
  <c r="AS1457" i="1"/>
  <c r="CS1456" i="1"/>
  <c r="CR1456" i="1"/>
  <c r="CQ1456" i="1"/>
  <c r="CP1456" i="1"/>
  <c r="CO1456" i="1"/>
  <c r="CN1456" i="1"/>
  <c r="CL1456" i="1"/>
  <c r="CK1456" i="1"/>
  <c r="CJ1456" i="1"/>
  <c r="CI1456" i="1"/>
  <c r="CH1456" i="1"/>
  <c r="CG1456" i="1"/>
  <c r="CF1456" i="1"/>
  <c r="CD1456" i="1"/>
  <c r="CC1456" i="1"/>
  <c r="CB1456" i="1"/>
  <c r="CA1456" i="1"/>
  <c r="BZ1456" i="1"/>
  <c r="BY1456" i="1"/>
  <c r="BX1456" i="1"/>
  <c r="BU1456" i="1"/>
  <c r="BN1456" i="1"/>
  <c r="BS1456" i="1" s="1"/>
  <c r="BA1456" i="1"/>
  <c r="AZ1456" i="1"/>
  <c r="AY1456" i="1"/>
  <c r="AX1456" i="1"/>
  <c r="AW1456" i="1"/>
  <c r="AV1456" i="1"/>
  <c r="AT1456" i="1"/>
  <c r="AS1456" i="1"/>
  <c r="CS1455" i="1"/>
  <c r="CR1455" i="1"/>
  <c r="CQ1455" i="1"/>
  <c r="CP1455" i="1"/>
  <c r="CO1455" i="1"/>
  <c r="CN1455" i="1"/>
  <c r="CL1455" i="1"/>
  <c r="CK1455" i="1"/>
  <c r="CJ1455" i="1"/>
  <c r="CI1455" i="1"/>
  <c r="CH1455" i="1"/>
  <c r="CG1455" i="1"/>
  <c r="CF1455" i="1"/>
  <c r="CD1455" i="1"/>
  <c r="CC1455" i="1"/>
  <c r="CB1455" i="1"/>
  <c r="CA1455" i="1"/>
  <c r="BZ1455" i="1"/>
  <c r="BY1455" i="1"/>
  <c r="BX1455" i="1"/>
  <c r="BU1455" i="1"/>
  <c r="BN1455" i="1"/>
  <c r="BS1455" i="1" s="1"/>
  <c r="BA1455" i="1"/>
  <c r="AZ1455" i="1"/>
  <c r="AY1455" i="1"/>
  <c r="AX1455" i="1"/>
  <c r="AW1455" i="1"/>
  <c r="AV1455" i="1"/>
  <c r="AT1455" i="1"/>
  <c r="AS1455" i="1"/>
  <c r="CS1454" i="1"/>
  <c r="CR1454" i="1"/>
  <c r="CQ1454" i="1"/>
  <c r="CP1454" i="1"/>
  <c r="CO1454" i="1"/>
  <c r="CN1454" i="1"/>
  <c r="CL1454" i="1"/>
  <c r="CK1454" i="1"/>
  <c r="CJ1454" i="1"/>
  <c r="CI1454" i="1"/>
  <c r="CH1454" i="1"/>
  <c r="CG1454" i="1"/>
  <c r="CF1454" i="1"/>
  <c r="CD1454" i="1"/>
  <c r="CC1454" i="1"/>
  <c r="CB1454" i="1"/>
  <c r="CA1454" i="1"/>
  <c r="BZ1454" i="1"/>
  <c r="BY1454" i="1"/>
  <c r="BX1454" i="1"/>
  <c r="BU1454" i="1"/>
  <c r="BN1454" i="1"/>
  <c r="BS1454" i="1" s="1"/>
  <c r="BA1454" i="1"/>
  <c r="AZ1454" i="1"/>
  <c r="AY1454" i="1"/>
  <c r="AX1454" i="1"/>
  <c r="AW1454" i="1"/>
  <c r="AV1454" i="1"/>
  <c r="AT1454" i="1"/>
  <c r="AS1454" i="1"/>
  <c r="CS1453" i="1"/>
  <c r="CR1453" i="1"/>
  <c r="CQ1453" i="1"/>
  <c r="CP1453" i="1"/>
  <c r="CO1453" i="1"/>
  <c r="CN1453" i="1"/>
  <c r="CL1453" i="1"/>
  <c r="CK1453" i="1"/>
  <c r="CJ1453" i="1"/>
  <c r="CI1453" i="1"/>
  <c r="CH1453" i="1"/>
  <c r="CG1453" i="1"/>
  <c r="CF1453" i="1"/>
  <c r="CD1453" i="1"/>
  <c r="CC1453" i="1"/>
  <c r="CB1453" i="1"/>
  <c r="CA1453" i="1"/>
  <c r="BZ1453" i="1"/>
  <c r="BY1453" i="1"/>
  <c r="BX1453" i="1"/>
  <c r="BU1453" i="1"/>
  <c r="BN1453" i="1"/>
  <c r="BS1453" i="1" s="1"/>
  <c r="BA1453" i="1"/>
  <c r="AZ1453" i="1"/>
  <c r="AY1453" i="1"/>
  <c r="AX1453" i="1"/>
  <c r="AW1453" i="1"/>
  <c r="AV1453" i="1"/>
  <c r="AT1453" i="1"/>
  <c r="AS1453" i="1"/>
  <c r="CS1452" i="1"/>
  <c r="CR1452" i="1"/>
  <c r="CQ1452" i="1"/>
  <c r="CP1452" i="1"/>
  <c r="CO1452" i="1"/>
  <c r="CN1452" i="1"/>
  <c r="CL1452" i="1"/>
  <c r="CK1452" i="1"/>
  <c r="CJ1452" i="1"/>
  <c r="CI1452" i="1"/>
  <c r="CH1452" i="1"/>
  <c r="CG1452" i="1"/>
  <c r="CF1452" i="1"/>
  <c r="CD1452" i="1"/>
  <c r="CC1452" i="1"/>
  <c r="CB1452" i="1"/>
  <c r="CA1452" i="1"/>
  <c r="BZ1452" i="1"/>
  <c r="BY1452" i="1"/>
  <c r="BX1452" i="1"/>
  <c r="BU1452" i="1"/>
  <c r="BN1452" i="1"/>
  <c r="BS1452" i="1" s="1"/>
  <c r="BA1452" i="1"/>
  <c r="AZ1452" i="1"/>
  <c r="AY1452" i="1"/>
  <c r="AX1452" i="1"/>
  <c r="AW1452" i="1"/>
  <c r="AV1452" i="1"/>
  <c r="AT1452" i="1"/>
  <c r="AS1452" i="1"/>
  <c r="CS1451" i="1"/>
  <c r="CR1451" i="1"/>
  <c r="CQ1451" i="1"/>
  <c r="CP1451" i="1"/>
  <c r="CO1451" i="1"/>
  <c r="CN1451" i="1"/>
  <c r="CL1451" i="1"/>
  <c r="CK1451" i="1"/>
  <c r="CJ1451" i="1"/>
  <c r="CI1451" i="1"/>
  <c r="CH1451" i="1"/>
  <c r="CG1451" i="1"/>
  <c r="CF1451" i="1"/>
  <c r="CD1451" i="1"/>
  <c r="CC1451" i="1"/>
  <c r="CB1451" i="1"/>
  <c r="CA1451" i="1"/>
  <c r="BZ1451" i="1"/>
  <c r="BY1451" i="1"/>
  <c r="BX1451" i="1"/>
  <c r="BU1451" i="1"/>
  <c r="BN1451" i="1"/>
  <c r="BS1451" i="1" s="1"/>
  <c r="BA1451" i="1"/>
  <c r="AZ1451" i="1"/>
  <c r="AY1451" i="1"/>
  <c r="AX1451" i="1"/>
  <c r="AW1451" i="1"/>
  <c r="AV1451" i="1"/>
  <c r="AT1451" i="1"/>
  <c r="AS1451" i="1"/>
  <c r="CS1450" i="1"/>
  <c r="CR1450" i="1"/>
  <c r="CQ1450" i="1"/>
  <c r="CP1450" i="1"/>
  <c r="CO1450" i="1"/>
  <c r="CN1450" i="1"/>
  <c r="CL1450" i="1"/>
  <c r="CK1450" i="1"/>
  <c r="CJ1450" i="1"/>
  <c r="CI1450" i="1"/>
  <c r="CH1450" i="1"/>
  <c r="CG1450" i="1"/>
  <c r="CF1450" i="1"/>
  <c r="CD1450" i="1"/>
  <c r="CC1450" i="1"/>
  <c r="CB1450" i="1"/>
  <c r="CA1450" i="1"/>
  <c r="BZ1450" i="1"/>
  <c r="BY1450" i="1"/>
  <c r="BX1450" i="1"/>
  <c r="BU1450" i="1"/>
  <c r="BN1450" i="1"/>
  <c r="BS1450" i="1" s="1"/>
  <c r="BA1450" i="1"/>
  <c r="AZ1450" i="1"/>
  <c r="AY1450" i="1"/>
  <c r="AX1450" i="1"/>
  <c r="AW1450" i="1"/>
  <c r="AV1450" i="1"/>
  <c r="AT1450" i="1"/>
  <c r="AS1450" i="1"/>
  <c r="CS1449" i="1"/>
  <c r="CR1449" i="1"/>
  <c r="CQ1449" i="1"/>
  <c r="CP1449" i="1"/>
  <c r="CO1449" i="1"/>
  <c r="CN1449" i="1"/>
  <c r="CL1449" i="1"/>
  <c r="CK1449" i="1"/>
  <c r="CJ1449" i="1"/>
  <c r="CI1449" i="1"/>
  <c r="CH1449" i="1"/>
  <c r="CG1449" i="1"/>
  <c r="CF1449" i="1"/>
  <c r="CD1449" i="1"/>
  <c r="CC1449" i="1"/>
  <c r="CB1449" i="1"/>
  <c r="CA1449" i="1"/>
  <c r="BZ1449" i="1"/>
  <c r="BY1449" i="1"/>
  <c r="BX1449" i="1"/>
  <c r="BU1449" i="1"/>
  <c r="BN1449" i="1"/>
  <c r="BS1449" i="1" s="1"/>
  <c r="BA1449" i="1"/>
  <c r="AZ1449" i="1"/>
  <c r="AY1449" i="1"/>
  <c r="AX1449" i="1"/>
  <c r="AW1449" i="1"/>
  <c r="AV1449" i="1"/>
  <c r="AT1449" i="1"/>
  <c r="AS1449" i="1"/>
  <c r="CS1448" i="1"/>
  <c r="CR1448" i="1"/>
  <c r="CQ1448" i="1"/>
  <c r="CP1448" i="1"/>
  <c r="CO1448" i="1"/>
  <c r="CN1448" i="1"/>
  <c r="CL1448" i="1"/>
  <c r="CK1448" i="1"/>
  <c r="CJ1448" i="1"/>
  <c r="CI1448" i="1"/>
  <c r="CH1448" i="1"/>
  <c r="CG1448" i="1"/>
  <c r="CF1448" i="1"/>
  <c r="CD1448" i="1"/>
  <c r="CC1448" i="1"/>
  <c r="CB1448" i="1"/>
  <c r="CA1448" i="1"/>
  <c r="BZ1448" i="1"/>
  <c r="BY1448" i="1"/>
  <c r="BX1448" i="1"/>
  <c r="BU1448" i="1"/>
  <c r="BN1448" i="1"/>
  <c r="BS1448" i="1" s="1"/>
  <c r="BA1448" i="1"/>
  <c r="AZ1448" i="1"/>
  <c r="AY1448" i="1"/>
  <c r="AX1448" i="1"/>
  <c r="AW1448" i="1"/>
  <c r="AV1448" i="1"/>
  <c r="AT1448" i="1"/>
  <c r="AS1448" i="1"/>
  <c r="CS1447" i="1"/>
  <c r="CR1447" i="1"/>
  <c r="CQ1447" i="1"/>
  <c r="CP1447" i="1"/>
  <c r="CO1447" i="1"/>
  <c r="CN1447" i="1"/>
  <c r="CL1447" i="1"/>
  <c r="CK1447" i="1"/>
  <c r="CJ1447" i="1"/>
  <c r="CI1447" i="1"/>
  <c r="CH1447" i="1"/>
  <c r="CG1447" i="1"/>
  <c r="CF1447" i="1"/>
  <c r="CD1447" i="1"/>
  <c r="CC1447" i="1"/>
  <c r="CB1447" i="1"/>
  <c r="CA1447" i="1"/>
  <c r="BZ1447" i="1"/>
  <c r="BY1447" i="1"/>
  <c r="BX1447" i="1"/>
  <c r="BU1447" i="1"/>
  <c r="BN1447" i="1"/>
  <c r="BS1447" i="1" s="1"/>
  <c r="BA1447" i="1"/>
  <c r="AZ1447" i="1"/>
  <c r="AY1447" i="1"/>
  <c r="AX1447" i="1"/>
  <c r="AW1447" i="1"/>
  <c r="AV1447" i="1"/>
  <c r="AT1447" i="1"/>
  <c r="AS1447" i="1"/>
  <c r="CS1446" i="1"/>
  <c r="CR1446" i="1"/>
  <c r="CQ1446" i="1"/>
  <c r="CP1446" i="1"/>
  <c r="CO1446" i="1"/>
  <c r="CN1446" i="1"/>
  <c r="CL1446" i="1"/>
  <c r="CK1446" i="1"/>
  <c r="CJ1446" i="1"/>
  <c r="CI1446" i="1"/>
  <c r="CH1446" i="1"/>
  <c r="CG1446" i="1"/>
  <c r="CF1446" i="1"/>
  <c r="CD1446" i="1"/>
  <c r="CC1446" i="1"/>
  <c r="CB1446" i="1"/>
  <c r="CA1446" i="1"/>
  <c r="BZ1446" i="1"/>
  <c r="BY1446" i="1"/>
  <c r="BX1446" i="1"/>
  <c r="BU1446" i="1"/>
  <c r="BN1446" i="1"/>
  <c r="BS1446" i="1" s="1"/>
  <c r="BA1446" i="1"/>
  <c r="AZ1446" i="1"/>
  <c r="AY1446" i="1"/>
  <c r="AX1446" i="1"/>
  <c r="AW1446" i="1"/>
  <c r="AV1446" i="1"/>
  <c r="AT1446" i="1"/>
  <c r="AS1446" i="1"/>
  <c r="CS1445" i="1"/>
  <c r="CR1445" i="1"/>
  <c r="CQ1445" i="1"/>
  <c r="CP1445" i="1"/>
  <c r="CO1445" i="1"/>
  <c r="CN1445" i="1"/>
  <c r="CL1445" i="1"/>
  <c r="CK1445" i="1"/>
  <c r="CJ1445" i="1"/>
  <c r="CI1445" i="1"/>
  <c r="CH1445" i="1"/>
  <c r="CG1445" i="1"/>
  <c r="CF1445" i="1"/>
  <c r="CD1445" i="1"/>
  <c r="CC1445" i="1"/>
  <c r="CB1445" i="1"/>
  <c r="CA1445" i="1"/>
  <c r="BZ1445" i="1"/>
  <c r="BY1445" i="1"/>
  <c r="BX1445" i="1"/>
  <c r="BU1445" i="1"/>
  <c r="BN1445" i="1"/>
  <c r="BS1445" i="1" s="1"/>
  <c r="BA1445" i="1"/>
  <c r="AZ1445" i="1"/>
  <c r="AY1445" i="1"/>
  <c r="AX1445" i="1"/>
  <c r="AW1445" i="1"/>
  <c r="AV1445" i="1"/>
  <c r="AT1445" i="1"/>
  <c r="AS1445" i="1"/>
  <c r="CS1444" i="1"/>
  <c r="CR1444" i="1"/>
  <c r="CQ1444" i="1"/>
  <c r="CP1444" i="1"/>
  <c r="CO1444" i="1"/>
  <c r="CN1444" i="1"/>
  <c r="CL1444" i="1"/>
  <c r="CK1444" i="1"/>
  <c r="CJ1444" i="1"/>
  <c r="CI1444" i="1"/>
  <c r="CH1444" i="1"/>
  <c r="CG1444" i="1"/>
  <c r="CF1444" i="1"/>
  <c r="CD1444" i="1"/>
  <c r="CC1444" i="1"/>
  <c r="CB1444" i="1"/>
  <c r="CA1444" i="1"/>
  <c r="BZ1444" i="1"/>
  <c r="BY1444" i="1"/>
  <c r="BX1444" i="1"/>
  <c r="BU1444" i="1"/>
  <c r="BN1444" i="1"/>
  <c r="BS1444" i="1" s="1"/>
  <c r="BA1444" i="1"/>
  <c r="AZ1444" i="1"/>
  <c r="AY1444" i="1"/>
  <c r="AX1444" i="1"/>
  <c r="AW1444" i="1"/>
  <c r="AV1444" i="1"/>
  <c r="AT1444" i="1"/>
  <c r="AS1444" i="1"/>
  <c r="CS1443" i="1"/>
  <c r="CR1443" i="1"/>
  <c r="CQ1443" i="1"/>
  <c r="CP1443" i="1"/>
  <c r="CO1443" i="1"/>
  <c r="CN1443" i="1"/>
  <c r="CL1443" i="1"/>
  <c r="CK1443" i="1"/>
  <c r="CJ1443" i="1"/>
  <c r="CI1443" i="1"/>
  <c r="CH1443" i="1"/>
  <c r="CG1443" i="1"/>
  <c r="CF1443" i="1"/>
  <c r="CD1443" i="1"/>
  <c r="CC1443" i="1"/>
  <c r="CB1443" i="1"/>
  <c r="CA1443" i="1"/>
  <c r="BZ1443" i="1"/>
  <c r="BY1443" i="1"/>
  <c r="BX1443" i="1"/>
  <c r="BU1443" i="1"/>
  <c r="BN1443" i="1"/>
  <c r="BS1443" i="1" s="1"/>
  <c r="BA1443" i="1"/>
  <c r="AZ1443" i="1"/>
  <c r="AY1443" i="1"/>
  <c r="AX1443" i="1"/>
  <c r="AW1443" i="1"/>
  <c r="AV1443" i="1"/>
  <c r="AT1443" i="1"/>
  <c r="AS1443" i="1"/>
  <c r="CS1442" i="1"/>
  <c r="CR1442" i="1"/>
  <c r="CQ1442" i="1"/>
  <c r="CP1442" i="1"/>
  <c r="CO1442" i="1"/>
  <c r="CN1442" i="1"/>
  <c r="CL1442" i="1"/>
  <c r="CK1442" i="1"/>
  <c r="CJ1442" i="1"/>
  <c r="CI1442" i="1"/>
  <c r="CH1442" i="1"/>
  <c r="CG1442" i="1"/>
  <c r="CF1442" i="1"/>
  <c r="CD1442" i="1"/>
  <c r="CC1442" i="1"/>
  <c r="CB1442" i="1"/>
  <c r="CA1442" i="1"/>
  <c r="BZ1442" i="1"/>
  <c r="BY1442" i="1"/>
  <c r="BX1442" i="1"/>
  <c r="BU1442" i="1"/>
  <c r="BN1442" i="1"/>
  <c r="BS1442" i="1" s="1"/>
  <c r="BA1442" i="1"/>
  <c r="AZ1442" i="1"/>
  <c r="AY1442" i="1"/>
  <c r="AX1442" i="1"/>
  <c r="AW1442" i="1"/>
  <c r="AV1442" i="1"/>
  <c r="AT1442" i="1"/>
  <c r="AS1442" i="1"/>
  <c r="CS1441" i="1"/>
  <c r="CR1441" i="1"/>
  <c r="CQ1441" i="1"/>
  <c r="CP1441" i="1"/>
  <c r="CO1441" i="1"/>
  <c r="CN1441" i="1"/>
  <c r="CL1441" i="1"/>
  <c r="CK1441" i="1"/>
  <c r="CJ1441" i="1"/>
  <c r="CI1441" i="1"/>
  <c r="CH1441" i="1"/>
  <c r="CG1441" i="1"/>
  <c r="CF1441" i="1"/>
  <c r="CD1441" i="1"/>
  <c r="CC1441" i="1"/>
  <c r="CB1441" i="1"/>
  <c r="CA1441" i="1"/>
  <c r="BZ1441" i="1"/>
  <c r="BY1441" i="1"/>
  <c r="BX1441" i="1"/>
  <c r="BU1441" i="1"/>
  <c r="BN1441" i="1"/>
  <c r="BS1441" i="1" s="1"/>
  <c r="BA1441" i="1"/>
  <c r="AZ1441" i="1"/>
  <c r="AY1441" i="1"/>
  <c r="AX1441" i="1"/>
  <c r="AW1441" i="1"/>
  <c r="AV1441" i="1"/>
  <c r="AT1441" i="1"/>
  <c r="AS1441" i="1"/>
  <c r="CS1440" i="1"/>
  <c r="CR1440" i="1"/>
  <c r="CQ1440" i="1"/>
  <c r="CP1440" i="1"/>
  <c r="CO1440" i="1"/>
  <c r="CN1440" i="1"/>
  <c r="CL1440" i="1"/>
  <c r="CK1440" i="1"/>
  <c r="CJ1440" i="1"/>
  <c r="CI1440" i="1"/>
  <c r="CH1440" i="1"/>
  <c r="CG1440" i="1"/>
  <c r="CF1440" i="1"/>
  <c r="CD1440" i="1"/>
  <c r="CC1440" i="1"/>
  <c r="CB1440" i="1"/>
  <c r="CA1440" i="1"/>
  <c r="BZ1440" i="1"/>
  <c r="BY1440" i="1"/>
  <c r="BX1440" i="1"/>
  <c r="BU1440" i="1"/>
  <c r="BN1440" i="1"/>
  <c r="BS1440" i="1" s="1"/>
  <c r="BA1440" i="1"/>
  <c r="AZ1440" i="1"/>
  <c r="AY1440" i="1"/>
  <c r="AX1440" i="1"/>
  <c r="AW1440" i="1"/>
  <c r="AV1440" i="1"/>
  <c r="AT1440" i="1"/>
  <c r="AS1440" i="1"/>
  <c r="CS1439" i="1"/>
  <c r="CR1439" i="1"/>
  <c r="CQ1439" i="1"/>
  <c r="CP1439" i="1"/>
  <c r="CO1439" i="1"/>
  <c r="CN1439" i="1"/>
  <c r="CL1439" i="1"/>
  <c r="CK1439" i="1"/>
  <c r="CJ1439" i="1"/>
  <c r="CI1439" i="1"/>
  <c r="CH1439" i="1"/>
  <c r="CG1439" i="1"/>
  <c r="CF1439" i="1"/>
  <c r="CD1439" i="1"/>
  <c r="CC1439" i="1"/>
  <c r="CB1439" i="1"/>
  <c r="CA1439" i="1"/>
  <c r="BZ1439" i="1"/>
  <c r="BY1439" i="1"/>
  <c r="BX1439" i="1"/>
  <c r="BU1439" i="1"/>
  <c r="BN1439" i="1"/>
  <c r="BS1439" i="1" s="1"/>
  <c r="BA1439" i="1"/>
  <c r="AZ1439" i="1"/>
  <c r="AY1439" i="1"/>
  <c r="AX1439" i="1"/>
  <c r="AW1439" i="1"/>
  <c r="AV1439" i="1"/>
  <c r="AT1439" i="1"/>
  <c r="AS1439" i="1"/>
  <c r="CS1438" i="1"/>
  <c r="CR1438" i="1"/>
  <c r="CQ1438" i="1"/>
  <c r="CP1438" i="1"/>
  <c r="CO1438" i="1"/>
  <c r="CN1438" i="1"/>
  <c r="CL1438" i="1"/>
  <c r="CK1438" i="1"/>
  <c r="CJ1438" i="1"/>
  <c r="CI1438" i="1"/>
  <c r="CH1438" i="1"/>
  <c r="CG1438" i="1"/>
  <c r="CF1438" i="1"/>
  <c r="CD1438" i="1"/>
  <c r="CC1438" i="1"/>
  <c r="CB1438" i="1"/>
  <c r="CA1438" i="1"/>
  <c r="BZ1438" i="1"/>
  <c r="BY1438" i="1"/>
  <c r="BX1438" i="1"/>
  <c r="BU1438" i="1"/>
  <c r="BN1438" i="1"/>
  <c r="BS1438" i="1" s="1"/>
  <c r="BA1438" i="1"/>
  <c r="AZ1438" i="1"/>
  <c r="AY1438" i="1"/>
  <c r="AX1438" i="1"/>
  <c r="AW1438" i="1"/>
  <c r="AV1438" i="1"/>
  <c r="AT1438" i="1"/>
  <c r="AS1438" i="1"/>
  <c r="CS1437" i="1"/>
  <c r="CR1437" i="1"/>
  <c r="CQ1437" i="1"/>
  <c r="CP1437" i="1"/>
  <c r="CO1437" i="1"/>
  <c r="CN1437" i="1"/>
  <c r="CL1437" i="1"/>
  <c r="CK1437" i="1"/>
  <c r="CJ1437" i="1"/>
  <c r="CI1437" i="1"/>
  <c r="CH1437" i="1"/>
  <c r="CG1437" i="1"/>
  <c r="CF1437" i="1"/>
  <c r="CD1437" i="1"/>
  <c r="CC1437" i="1"/>
  <c r="CB1437" i="1"/>
  <c r="CA1437" i="1"/>
  <c r="BZ1437" i="1"/>
  <c r="BY1437" i="1"/>
  <c r="BX1437" i="1"/>
  <c r="BU1437" i="1"/>
  <c r="BN1437" i="1"/>
  <c r="BS1437" i="1" s="1"/>
  <c r="BA1437" i="1"/>
  <c r="AZ1437" i="1"/>
  <c r="AY1437" i="1"/>
  <c r="AX1437" i="1"/>
  <c r="AW1437" i="1"/>
  <c r="AV1437" i="1"/>
  <c r="AT1437" i="1"/>
  <c r="AS1437" i="1"/>
  <c r="CS1436" i="1"/>
  <c r="CR1436" i="1"/>
  <c r="CQ1436" i="1"/>
  <c r="CP1436" i="1"/>
  <c r="CO1436" i="1"/>
  <c r="CN1436" i="1"/>
  <c r="CL1436" i="1"/>
  <c r="CK1436" i="1"/>
  <c r="CJ1436" i="1"/>
  <c r="CI1436" i="1"/>
  <c r="CH1436" i="1"/>
  <c r="CG1436" i="1"/>
  <c r="CF1436" i="1"/>
  <c r="CD1436" i="1"/>
  <c r="CC1436" i="1"/>
  <c r="CB1436" i="1"/>
  <c r="CA1436" i="1"/>
  <c r="BZ1436" i="1"/>
  <c r="BY1436" i="1"/>
  <c r="BX1436" i="1"/>
  <c r="BU1436" i="1"/>
  <c r="BN1436" i="1"/>
  <c r="BS1436" i="1" s="1"/>
  <c r="BA1436" i="1"/>
  <c r="AZ1436" i="1"/>
  <c r="AY1436" i="1"/>
  <c r="AX1436" i="1"/>
  <c r="AW1436" i="1"/>
  <c r="AV1436" i="1"/>
  <c r="AT1436" i="1"/>
  <c r="AS1436" i="1"/>
  <c r="CS1435" i="1"/>
  <c r="CR1435" i="1"/>
  <c r="CQ1435" i="1"/>
  <c r="CP1435" i="1"/>
  <c r="CO1435" i="1"/>
  <c r="CN1435" i="1"/>
  <c r="CL1435" i="1"/>
  <c r="CK1435" i="1"/>
  <c r="CJ1435" i="1"/>
  <c r="CI1435" i="1"/>
  <c r="CH1435" i="1"/>
  <c r="CG1435" i="1"/>
  <c r="CF1435" i="1"/>
  <c r="CD1435" i="1"/>
  <c r="CC1435" i="1"/>
  <c r="CB1435" i="1"/>
  <c r="CA1435" i="1"/>
  <c r="BZ1435" i="1"/>
  <c r="BY1435" i="1"/>
  <c r="BX1435" i="1"/>
  <c r="BU1435" i="1"/>
  <c r="BN1435" i="1"/>
  <c r="BS1435" i="1" s="1"/>
  <c r="BA1435" i="1"/>
  <c r="AZ1435" i="1"/>
  <c r="AY1435" i="1"/>
  <c r="AX1435" i="1"/>
  <c r="AW1435" i="1"/>
  <c r="AV1435" i="1"/>
  <c r="AT1435" i="1"/>
  <c r="AS1435" i="1"/>
  <c r="CS1434" i="1"/>
  <c r="CR1434" i="1"/>
  <c r="CQ1434" i="1"/>
  <c r="CP1434" i="1"/>
  <c r="CO1434" i="1"/>
  <c r="CN1434" i="1"/>
  <c r="CL1434" i="1"/>
  <c r="CK1434" i="1"/>
  <c r="CJ1434" i="1"/>
  <c r="CI1434" i="1"/>
  <c r="CH1434" i="1"/>
  <c r="CG1434" i="1"/>
  <c r="CF1434" i="1"/>
  <c r="CD1434" i="1"/>
  <c r="CC1434" i="1"/>
  <c r="CB1434" i="1"/>
  <c r="CA1434" i="1"/>
  <c r="BZ1434" i="1"/>
  <c r="BY1434" i="1"/>
  <c r="BX1434" i="1"/>
  <c r="BU1434" i="1"/>
  <c r="BN1434" i="1"/>
  <c r="BS1434" i="1" s="1"/>
  <c r="BA1434" i="1"/>
  <c r="AZ1434" i="1"/>
  <c r="AY1434" i="1"/>
  <c r="AX1434" i="1"/>
  <c r="AW1434" i="1"/>
  <c r="AV1434" i="1"/>
  <c r="AT1434" i="1"/>
  <c r="AS1434" i="1"/>
  <c r="CS1433" i="1"/>
  <c r="CR1433" i="1"/>
  <c r="CQ1433" i="1"/>
  <c r="CP1433" i="1"/>
  <c r="CO1433" i="1"/>
  <c r="CN1433" i="1"/>
  <c r="CL1433" i="1"/>
  <c r="CK1433" i="1"/>
  <c r="CJ1433" i="1"/>
  <c r="CI1433" i="1"/>
  <c r="CH1433" i="1"/>
  <c r="CG1433" i="1"/>
  <c r="CF1433" i="1"/>
  <c r="CD1433" i="1"/>
  <c r="CC1433" i="1"/>
  <c r="CB1433" i="1"/>
  <c r="CA1433" i="1"/>
  <c r="BZ1433" i="1"/>
  <c r="BY1433" i="1"/>
  <c r="BX1433" i="1"/>
  <c r="BU1433" i="1"/>
  <c r="BN1433" i="1"/>
  <c r="BS1433" i="1" s="1"/>
  <c r="BA1433" i="1"/>
  <c r="AZ1433" i="1"/>
  <c r="AY1433" i="1"/>
  <c r="AX1433" i="1"/>
  <c r="AW1433" i="1"/>
  <c r="AV1433" i="1"/>
  <c r="AT1433" i="1"/>
  <c r="AS1433" i="1"/>
  <c r="CS1432" i="1"/>
  <c r="CR1432" i="1"/>
  <c r="CQ1432" i="1"/>
  <c r="CP1432" i="1"/>
  <c r="CO1432" i="1"/>
  <c r="CN1432" i="1"/>
  <c r="CL1432" i="1"/>
  <c r="CK1432" i="1"/>
  <c r="CJ1432" i="1"/>
  <c r="CI1432" i="1"/>
  <c r="CH1432" i="1"/>
  <c r="CG1432" i="1"/>
  <c r="CF1432" i="1"/>
  <c r="CD1432" i="1"/>
  <c r="CC1432" i="1"/>
  <c r="CB1432" i="1"/>
  <c r="CA1432" i="1"/>
  <c r="BZ1432" i="1"/>
  <c r="BY1432" i="1"/>
  <c r="BX1432" i="1"/>
  <c r="BU1432" i="1"/>
  <c r="BN1432" i="1"/>
  <c r="BS1432" i="1" s="1"/>
  <c r="BA1432" i="1"/>
  <c r="AZ1432" i="1"/>
  <c r="AY1432" i="1"/>
  <c r="AX1432" i="1"/>
  <c r="AW1432" i="1"/>
  <c r="AV1432" i="1"/>
  <c r="AT1432" i="1"/>
  <c r="AS1432" i="1"/>
  <c r="CS1431" i="1"/>
  <c r="CR1431" i="1"/>
  <c r="CQ1431" i="1"/>
  <c r="CP1431" i="1"/>
  <c r="CO1431" i="1"/>
  <c r="CN1431" i="1"/>
  <c r="CL1431" i="1"/>
  <c r="CK1431" i="1"/>
  <c r="CJ1431" i="1"/>
  <c r="CI1431" i="1"/>
  <c r="CH1431" i="1"/>
  <c r="CG1431" i="1"/>
  <c r="CF1431" i="1"/>
  <c r="CD1431" i="1"/>
  <c r="CC1431" i="1"/>
  <c r="CB1431" i="1"/>
  <c r="CA1431" i="1"/>
  <c r="BZ1431" i="1"/>
  <c r="BY1431" i="1"/>
  <c r="BX1431" i="1"/>
  <c r="BU1431" i="1"/>
  <c r="BN1431" i="1"/>
  <c r="BS1431" i="1" s="1"/>
  <c r="BA1431" i="1"/>
  <c r="AZ1431" i="1"/>
  <c r="AY1431" i="1"/>
  <c r="AX1431" i="1"/>
  <c r="AW1431" i="1"/>
  <c r="AV1431" i="1"/>
  <c r="AT1431" i="1"/>
  <c r="AS1431" i="1"/>
  <c r="CS1430" i="1"/>
  <c r="CR1430" i="1"/>
  <c r="CQ1430" i="1"/>
  <c r="CP1430" i="1"/>
  <c r="CO1430" i="1"/>
  <c r="CN1430" i="1"/>
  <c r="CL1430" i="1"/>
  <c r="CK1430" i="1"/>
  <c r="CJ1430" i="1"/>
  <c r="CI1430" i="1"/>
  <c r="CH1430" i="1"/>
  <c r="CG1430" i="1"/>
  <c r="CF1430" i="1"/>
  <c r="CD1430" i="1"/>
  <c r="CC1430" i="1"/>
  <c r="CB1430" i="1"/>
  <c r="CA1430" i="1"/>
  <c r="BZ1430" i="1"/>
  <c r="BY1430" i="1"/>
  <c r="BX1430" i="1"/>
  <c r="BU1430" i="1"/>
  <c r="BN1430" i="1"/>
  <c r="BS1430" i="1" s="1"/>
  <c r="BA1430" i="1"/>
  <c r="AZ1430" i="1"/>
  <c r="AY1430" i="1"/>
  <c r="AX1430" i="1"/>
  <c r="AW1430" i="1"/>
  <c r="AV1430" i="1"/>
  <c r="AT1430" i="1"/>
  <c r="AS1430" i="1"/>
  <c r="CS1429" i="1"/>
  <c r="CR1429" i="1"/>
  <c r="CQ1429" i="1"/>
  <c r="CP1429" i="1"/>
  <c r="CO1429" i="1"/>
  <c r="CN1429" i="1"/>
  <c r="CL1429" i="1"/>
  <c r="CK1429" i="1"/>
  <c r="CJ1429" i="1"/>
  <c r="CI1429" i="1"/>
  <c r="CH1429" i="1"/>
  <c r="CG1429" i="1"/>
  <c r="CF1429" i="1"/>
  <c r="CD1429" i="1"/>
  <c r="CC1429" i="1"/>
  <c r="CB1429" i="1"/>
  <c r="CA1429" i="1"/>
  <c r="BZ1429" i="1"/>
  <c r="BY1429" i="1"/>
  <c r="BX1429" i="1"/>
  <c r="BU1429" i="1"/>
  <c r="BN1429" i="1"/>
  <c r="BS1429" i="1" s="1"/>
  <c r="BA1429" i="1"/>
  <c r="AZ1429" i="1"/>
  <c r="AY1429" i="1"/>
  <c r="AX1429" i="1"/>
  <c r="AW1429" i="1"/>
  <c r="AV1429" i="1"/>
  <c r="AT1429" i="1"/>
  <c r="AS1429" i="1"/>
  <c r="CS1428" i="1"/>
  <c r="CR1428" i="1"/>
  <c r="CQ1428" i="1"/>
  <c r="CP1428" i="1"/>
  <c r="CO1428" i="1"/>
  <c r="CN1428" i="1"/>
  <c r="CL1428" i="1"/>
  <c r="CK1428" i="1"/>
  <c r="CJ1428" i="1"/>
  <c r="CI1428" i="1"/>
  <c r="CH1428" i="1"/>
  <c r="CG1428" i="1"/>
  <c r="CF1428" i="1"/>
  <c r="CD1428" i="1"/>
  <c r="CC1428" i="1"/>
  <c r="CB1428" i="1"/>
  <c r="CA1428" i="1"/>
  <c r="BZ1428" i="1"/>
  <c r="BY1428" i="1"/>
  <c r="BX1428" i="1"/>
  <c r="BU1428" i="1"/>
  <c r="BN1428" i="1"/>
  <c r="BS1428" i="1" s="1"/>
  <c r="BA1428" i="1"/>
  <c r="AZ1428" i="1"/>
  <c r="AY1428" i="1"/>
  <c r="AX1428" i="1"/>
  <c r="AW1428" i="1"/>
  <c r="AV1428" i="1"/>
  <c r="AT1428" i="1"/>
  <c r="AS1428" i="1"/>
  <c r="CS1427" i="1"/>
  <c r="CR1427" i="1"/>
  <c r="CQ1427" i="1"/>
  <c r="CP1427" i="1"/>
  <c r="CO1427" i="1"/>
  <c r="CN1427" i="1"/>
  <c r="CL1427" i="1"/>
  <c r="CK1427" i="1"/>
  <c r="CJ1427" i="1"/>
  <c r="CI1427" i="1"/>
  <c r="CH1427" i="1"/>
  <c r="CG1427" i="1"/>
  <c r="CF1427" i="1"/>
  <c r="CD1427" i="1"/>
  <c r="CC1427" i="1"/>
  <c r="CB1427" i="1"/>
  <c r="CA1427" i="1"/>
  <c r="BZ1427" i="1"/>
  <c r="BY1427" i="1"/>
  <c r="BX1427" i="1"/>
  <c r="BU1427" i="1"/>
  <c r="BN1427" i="1"/>
  <c r="BS1427" i="1" s="1"/>
  <c r="BA1427" i="1"/>
  <c r="AZ1427" i="1"/>
  <c r="AY1427" i="1"/>
  <c r="AX1427" i="1"/>
  <c r="AW1427" i="1"/>
  <c r="AV1427" i="1"/>
  <c r="AT1427" i="1"/>
  <c r="AS1427" i="1"/>
  <c r="CS1426" i="1"/>
  <c r="CR1426" i="1"/>
  <c r="CQ1426" i="1"/>
  <c r="CP1426" i="1"/>
  <c r="CO1426" i="1"/>
  <c r="CN1426" i="1"/>
  <c r="CL1426" i="1"/>
  <c r="CK1426" i="1"/>
  <c r="CJ1426" i="1"/>
  <c r="CI1426" i="1"/>
  <c r="CH1426" i="1"/>
  <c r="CG1426" i="1"/>
  <c r="CF1426" i="1"/>
  <c r="CD1426" i="1"/>
  <c r="CC1426" i="1"/>
  <c r="CB1426" i="1"/>
  <c r="CA1426" i="1"/>
  <c r="BZ1426" i="1"/>
  <c r="BY1426" i="1"/>
  <c r="BX1426" i="1"/>
  <c r="BU1426" i="1"/>
  <c r="BN1426" i="1"/>
  <c r="BS1426" i="1" s="1"/>
  <c r="BA1426" i="1"/>
  <c r="AZ1426" i="1"/>
  <c r="AY1426" i="1"/>
  <c r="AX1426" i="1"/>
  <c r="AW1426" i="1"/>
  <c r="AV1426" i="1"/>
  <c r="AT1426" i="1"/>
  <c r="AS1426" i="1"/>
  <c r="CS1425" i="1"/>
  <c r="CR1425" i="1"/>
  <c r="CQ1425" i="1"/>
  <c r="CP1425" i="1"/>
  <c r="CO1425" i="1"/>
  <c r="CN1425" i="1"/>
  <c r="CL1425" i="1"/>
  <c r="CK1425" i="1"/>
  <c r="CJ1425" i="1"/>
  <c r="CI1425" i="1"/>
  <c r="CH1425" i="1"/>
  <c r="CG1425" i="1"/>
  <c r="CF1425" i="1"/>
  <c r="CD1425" i="1"/>
  <c r="CC1425" i="1"/>
  <c r="CB1425" i="1"/>
  <c r="CA1425" i="1"/>
  <c r="BZ1425" i="1"/>
  <c r="BY1425" i="1"/>
  <c r="BX1425" i="1"/>
  <c r="BU1425" i="1"/>
  <c r="BN1425" i="1"/>
  <c r="BS1425" i="1" s="1"/>
  <c r="BA1425" i="1"/>
  <c r="AZ1425" i="1"/>
  <c r="AY1425" i="1"/>
  <c r="AX1425" i="1"/>
  <c r="AW1425" i="1"/>
  <c r="AV1425" i="1"/>
  <c r="AT1425" i="1"/>
  <c r="AS1425" i="1"/>
  <c r="CS1424" i="1"/>
  <c r="CR1424" i="1"/>
  <c r="CQ1424" i="1"/>
  <c r="CP1424" i="1"/>
  <c r="CO1424" i="1"/>
  <c r="CN1424" i="1"/>
  <c r="CL1424" i="1"/>
  <c r="CK1424" i="1"/>
  <c r="CJ1424" i="1"/>
  <c r="CI1424" i="1"/>
  <c r="CH1424" i="1"/>
  <c r="CG1424" i="1"/>
  <c r="CF1424" i="1"/>
  <c r="CD1424" i="1"/>
  <c r="CC1424" i="1"/>
  <c r="CB1424" i="1"/>
  <c r="CA1424" i="1"/>
  <c r="BZ1424" i="1"/>
  <c r="BY1424" i="1"/>
  <c r="BX1424" i="1"/>
  <c r="BU1424" i="1"/>
  <c r="BN1424" i="1"/>
  <c r="BS1424" i="1" s="1"/>
  <c r="BA1424" i="1"/>
  <c r="AZ1424" i="1"/>
  <c r="AY1424" i="1"/>
  <c r="AX1424" i="1"/>
  <c r="AW1424" i="1"/>
  <c r="AV1424" i="1"/>
  <c r="AT1424" i="1"/>
  <c r="AS1424" i="1"/>
  <c r="CS1423" i="1"/>
  <c r="CR1423" i="1"/>
  <c r="CQ1423" i="1"/>
  <c r="CP1423" i="1"/>
  <c r="CO1423" i="1"/>
  <c r="CN1423" i="1"/>
  <c r="CL1423" i="1"/>
  <c r="CK1423" i="1"/>
  <c r="CJ1423" i="1"/>
  <c r="CI1423" i="1"/>
  <c r="CH1423" i="1"/>
  <c r="CG1423" i="1"/>
  <c r="CF1423" i="1"/>
  <c r="CD1423" i="1"/>
  <c r="CC1423" i="1"/>
  <c r="CB1423" i="1"/>
  <c r="CA1423" i="1"/>
  <c r="BZ1423" i="1"/>
  <c r="BY1423" i="1"/>
  <c r="BX1423" i="1"/>
  <c r="BU1423" i="1"/>
  <c r="BN1423" i="1"/>
  <c r="BS1423" i="1" s="1"/>
  <c r="BA1423" i="1"/>
  <c r="AZ1423" i="1"/>
  <c r="AY1423" i="1"/>
  <c r="AX1423" i="1"/>
  <c r="AW1423" i="1"/>
  <c r="AV1423" i="1"/>
  <c r="AT1423" i="1"/>
  <c r="AS1423" i="1"/>
  <c r="CS1422" i="1"/>
  <c r="CR1422" i="1"/>
  <c r="CQ1422" i="1"/>
  <c r="CP1422" i="1"/>
  <c r="CO1422" i="1"/>
  <c r="CN1422" i="1"/>
  <c r="CL1422" i="1"/>
  <c r="CK1422" i="1"/>
  <c r="CJ1422" i="1"/>
  <c r="CI1422" i="1"/>
  <c r="CH1422" i="1"/>
  <c r="CG1422" i="1"/>
  <c r="CF1422" i="1"/>
  <c r="CD1422" i="1"/>
  <c r="CC1422" i="1"/>
  <c r="CB1422" i="1"/>
  <c r="CA1422" i="1"/>
  <c r="BZ1422" i="1"/>
  <c r="BY1422" i="1"/>
  <c r="BX1422" i="1"/>
  <c r="BU1422" i="1"/>
  <c r="BN1422" i="1"/>
  <c r="BS1422" i="1" s="1"/>
  <c r="BA1422" i="1"/>
  <c r="AZ1422" i="1"/>
  <c r="AY1422" i="1"/>
  <c r="AX1422" i="1"/>
  <c r="AW1422" i="1"/>
  <c r="AV1422" i="1"/>
  <c r="AT1422" i="1"/>
  <c r="AS1422" i="1"/>
  <c r="CS1421" i="1"/>
  <c r="CR1421" i="1"/>
  <c r="CQ1421" i="1"/>
  <c r="CP1421" i="1"/>
  <c r="CO1421" i="1"/>
  <c r="CN1421" i="1"/>
  <c r="CL1421" i="1"/>
  <c r="CK1421" i="1"/>
  <c r="CJ1421" i="1"/>
  <c r="CI1421" i="1"/>
  <c r="CH1421" i="1"/>
  <c r="CG1421" i="1"/>
  <c r="CF1421" i="1"/>
  <c r="CD1421" i="1"/>
  <c r="CC1421" i="1"/>
  <c r="CB1421" i="1"/>
  <c r="CA1421" i="1"/>
  <c r="BZ1421" i="1"/>
  <c r="BY1421" i="1"/>
  <c r="BX1421" i="1"/>
  <c r="BU1421" i="1"/>
  <c r="BN1421" i="1"/>
  <c r="BS1421" i="1" s="1"/>
  <c r="BA1421" i="1"/>
  <c r="AZ1421" i="1"/>
  <c r="AY1421" i="1"/>
  <c r="AX1421" i="1"/>
  <c r="AW1421" i="1"/>
  <c r="AV1421" i="1"/>
  <c r="AT1421" i="1"/>
  <c r="AS1421" i="1"/>
  <c r="CS1420" i="1"/>
  <c r="CR1420" i="1"/>
  <c r="CQ1420" i="1"/>
  <c r="CP1420" i="1"/>
  <c r="CO1420" i="1"/>
  <c r="CN1420" i="1"/>
  <c r="CL1420" i="1"/>
  <c r="CK1420" i="1"/>
  <c r="CJ1420" i="1"/>
  <c r="CI1420" i="1"/>
  <c r="CH1420" i="1"/>
  <c r="CG1420" i="1"/>
  <c r="CF1420" i="1"/>
  <c r="CD1420" i="1"/>
  <c r="CC1420" i="1"/>
  <c r="CB1420" i="1"/>
  <c r="CA1420" i="1"/>
  <c r="BZ1420" i="1"/>
  <c r="BY1420" i="1"/>
  <c r="BX1420" i="1"/>
  <c r="BU1420" i="1"/>
  <c r="BN1420" i="1"/>
  <c r="BS1420" i="1" s="1"/>
  <c r="BA1420" i="1"/>
  <c r="AZ1420" i="1"/>
  <c r="AY1420" i="1"/>
  <c r="AX1420" i="1"/>
  <c r="AW1420" i="1"/>
  <c r="AV1420" i="1"/>
  <c r="AT1420" i="1"/>
  <c r="AS1420" i="1"/>
  <c r="CS1419" i="1"/>
  <c r="CR1419" i="1"/>
  <c r="CQ1419" i="1"/>
  <c r="CP1419" i="1"/>
  <c r="CO1419" i="1"/>
  <c r="CN1419" i="1"/>
  <c r="CL1419" i="1"/>
  <c r="CK1419" i="1"/>
  <c r="CJ1419" i="1"/>
  <c r="CI1419" i="1"/>
  <c r="CH1419" i="1"/>
  <c r="CG1419" i="1"/>
  <c r="CF1419" i="1"/>
  <c r="CD1419" i="1"/>
  <c r="CC1419" i="1"/>
  <c r="CB1419" i="1"/>
  <c r="CA1419" i="1"/>
  <c r="BZ1419" i="1"/>
  <c r="BY1419" i="1"/>
  <c r="BX1419" i="1"/>
  <c r="BU1419" i="1"/>
  <c r="BN1419" i="1"/>
  <c r="BS1419" i="1" s="1"/>
  <c r="BA1419" i="1"/>
  <c r="AZ1419" i="1"/>
  <c r="AY1419" i="1"/>
  <c r="AX1419" i="1"/>
  <c r="AW1419" i="1"/>
  <c r="AV1419" i="1"/>
  <c r="AT1419" i="1"/>
  <c r="AS1419" i="1"/>
  <c r="CS1418" i="1"/>
  <c r="CR1418" i="1"/>
  <c r="CQ1418" i="1"/>
  <c r="CP1418" i="1"/>
  <c r="CO1418" i="1"/>
  <c r="CN1418" i="1"/>
  <c r="CL1418" i="1"/>
  <c r="CK1418" i="1"/>
  <c r="CJ1418" i="1"/>
  <c r="CI1418" i="1"/>
  <c r="CH1418" i="1"/>
  <c r="CG1418" i="1"/>
  <c r="CF1418" i="1"/>
  <c r="CD1418" i="1"/>
  <c r="CC1418" i="1"/>
  <c r="CB1418" i="1"/>
  <c r="CA1418" i="1"/>
  <c r="BZ1418" i="1"/>
  <c r="BY1418" i="1"/>
  <c r="BX1418" i="1"/>
  <c r="BU1418" i="1"/>
  <c r="BN1418" i="1"/>
  <c r="BS1418" i="1" s="1"/>
  <c r="BA1418" i="1"/>
  <c r="AZ1418" i="1"/>
  <c r="AY1418" i="1"/>
  <c r="AX1418" i="1"/>
  <c r="AW1418" i="1"/>
  <c r="AV1418" i="1"/>
  <c r="AT1418" i="1"/>
  <c r="AS1418" i="1"/>
  <c r="CS1417" i="1"/>
  <c r="CR1417" i="1"/>
  <c r="CQ1417" i="1"/>
  <c r="CP1417" i="1"/>
  <c r="CO1417" i="1"/>
  <c r="CN1417" i="1"/>
  <c r="CL1417" i="1"/>
  <c r="CK1417" i="1"/>
  <c r="CJ1417" i="1"/>
  <c r="CI1417" i="1"/>
  <c r="CH1417" i="1"/>
  <c r="CG1417" i="1"/>
  <c r="CF1417" i="1"/>
  <c r="CD1417" i="1"/>
  <c r="CC1417" i="1"/>
  <c r="CB1417" i="1"/>
  <c r="CA1417" i="1"/>
  <c r="BZ1417" i="1"/>
  <c r="BY1417" i="1"/>
  <c r="BX1417" i="1"/>
  <c r="BU1417" i="1"/>
  <c r="BN1417" i="1"/>
  <c r="BS1417" i="1" s="1"/>
  <c r="BA1417" i="1"/>
  <c r="AZ1417" i="1"/>
  <c r="AY1417" i="1"/>
  <c r="AX1417" i="1"/>
  <c r="AW1417" i="1"/>
  <c r="AV1417" i="1"/>
  <c r="AT1417" i="1"/>
  <c r="AS1417" i="1"/>
  <c r="CS1416" i="1"/>
  <c r="CR1416" i="1"/>
  <c r="CQ1416" i="1"/>
  <c r="CP1416" i="1"/>
  <c r="CO1416" i="1"/>
  <c r="CN1416" i="1"/>
  <c r="CL1416" i="1"/>
  <c r="CK1416" i="1"/>
  <c r="CJ1416" i="1"/>
  <c r="CI1416" i="1"/>
  <c r="CH1416" i="1"/>
  <c r="CG1416" i="1"/>
  <c r="CF1416" i="1"/>
  <c r="CD1416" i="1"/>
  <c r="CC1416" i="1"/>
  <c r="CB1416" i="1"/>
  <c r="CA1416" i="1"/>
  <c r="BZ1416" i="1"/>
  <c r="BY1416" i="1"/>
  <c r="BX1416" i="1"/>
  <c r="BU1416" i="1"/>
  <c r="BN1416" i="1"/>
  <c r="BS1416" i="1" s="1"/>
  <c r="BA1416" i="1"/>
  <c r="AZ1416" i="1"/>
  <c r="AY1416" i="1"/>
  <c r="AX1416" i="1"/>
  <c r="AW1416" i="1"/>
  <c r="AV1416" i="1"/>
  <c r="AT1416" i="1"/>
  <c r="AS1416" i="1"/>
  <c r="CS1415" i="1"/>
  <c r="CR1415" i="1"/>
  <c r="CQ1415" i="1"/>
  <c r="CP1415" i="1"/>
  <c r="CO1415" i="1"/>
  <c r="CN1415" i="1"/>
  <c r="CL1415" i="1"/>
  <c r="CK1415" i="1"/>
  <c r="CJ1415" i="1"/>
  <c r="CI1415" i="1"/>
  <c r="CH1415" i="1"/>
  <c r="CG1415" i="1"/>
  <c r="CF1415" i="1"/>
  <c r="CD1415" i="1"/>
  <c r="CC1415" i="1"/>
  <c r="CB1415" i="1"/>
  <c r="CA1415" i="1"/>
  <c r="BZ1415" i="1"/>
  <c r="BY1415" i="1"/>
  <c r="BX1415" i="1"/>
  <c r="BU1415" i="1"/>
  <c r="BN1415" i="1"/>
  <c r="BS1415" i="1" s="1"/>
  <c r="BA1415" i="1"/>
  <c r="AZ1415" i="1"/>
  <c r="AY1415" i="1"/>
  <c r="AX1415" i="1"/>
  <c r="AW1415" i="1"/>
  <c r="AV1415" i="1"/>
  <c r="AT1415" i="1"/>
  <c r="AS1415" i="1"/>
  <c r="CS1414" i="1"/>
  <c r="CR1414" i="1"/>
  <c r="CQ1414" i="1"/>
  <c r="CP1414" i="1"/>
  <c r="CO1414" i="1"/>
  <c r="CN1414" i="1"/>
  <c r="CL1414" i="1"/>
  <c r="CK1414" i="1"/>
  <c r="CJ1414" i="1"/>
  <c r="CI1414" i="1"/>
  <c r="CH1414" i="1"/>
  <c r="CG1414" i="1"/>
  <c r="CF1414" i="1"/>
  <c r="CD1414" i="1"/>
  <c r="CC1414" i="1"/>
  <c r="CB1414" i="1"/>
  <c r="CA1414" i="1"/>
  <c r="BZ1414" i="1"/>
  <c r="BY1414" i="1"/>
  <c r="BX1414" i="1"/>
  <c r="BU1414" i="1"/>
  <c r="BN1414" i="1"/>
  <c r="BS1414" i="1" s="1"/>
  <c r="BA1414" i="1"/>
  <c r="AZ1414" i="1"/>
  <c r="AY1414" i="1"/>
  <c r="AX1414" i="1"/>
  <c r="AW1414" i="1"/>
  <c r="AV1414" i="1"/>
  <c r="AT1414" i="1"/>
  <c r="AS1414" i="1"/>
  <c r="CS1413" i="1"/>
  <c r="CR1413" i="1"/>
  <c r="CQ1413" i="1"/>
  <c r="CP1413" i="1"/>
  <c r="CO1413" i="1"/>
  <c r="CN1413" i="1"/>
  <c r="CL1413" i="1"/>
  <c r="CK1413" i="1"/>
  <c r="CJ1413" i="1"/>
  <c r="CI1413" i="1"/>
  <c r="CH1413" i="1"/>
  <c r="CG1413" i="1"/>
  <c r="CF1413" i="1"/>
  <c r="CD1413" i="1"/>
  <c r="CC1413" i="1"/>
  <c r="CB1413" i="1"/>
  <c r="CA1413" i="1"/>
  <c r="BZ1413" i="1"/>
  <c r="BY1413" i="1"/>
  <c r="BX1413" i="1"/>
  <c r="BU1413" i="1"/>
  <c r="BN1413" i="1"/>
  <c r="BS1413" i="1" s="1"/>
  <c r="BA1413" i="1"/>
  <c r="AZ1413" i="1"/>
  <c r="AY1413" i="1"/>
  <c r="AX1413" i="1"/>
  <c r="AW1413" i="1"/>
  <c r="AV1413" i="1"/>
  <c r="AT1413" i="1"/>
  <c r="AS1413" i="1"/>
  <c r="CS1412" i="1"/>
  <c r="CR1412" i="1"/>
  <c r="CQ1412" i="1"/>
  <c r="CP1412" i="1"/>
  <c r="CO1412" i="1"/>
  <c r="CN1412" i="1"/>
  <c r="CL1412" i="1"/>
  <c r="CK1412" i="1"/>
  <c r="CJ1412" i="1"/>
  <c r="CI1412" i="1"/>
  <c r="CH1412" i="1"/>
  <c r="CG1412" i="1"/>
  <c r="CF1412" i="1"/>
  <c r="CD1412" i="1"/>
  <c r="CC1412" i="1"/>
  <c r="CB1412" i="1"/>
  <c r="CA1412" i="1"/>
  <c r="BZ1412" i="1"/>
  <c r="BY1412" i="1"/>
  <c r="BX1412" i="1"/>
  <c r="BU1412" i="1"/>
  <c r="BN1412" i="1"/>
  <c r="BS1412" i="1" s="1"/>
  <c r="BA1412" i="1"/>
  <c r="AZ1412" i="1"/>
  <c r="AY1412" i="1"/>
  <c r="AX1412" i="1"/>
  <c r="AW1412" i="1"/>
  <c r="AV1412" i="1"/>
  <c r="AT1412" i="1"/>
  <c r="AS1412" i="1"/>
  <c r="CS1411" i="1"/>
  <c r="CR1411" i="1"/>
  <c r="CQ1411" i="1"/>
  <c r="CP1411" i="1"/>
  <c r="CO1411" i="1"/>
  <c r="CN1411" i="1"/>
  <c r="CL1411" i="1"/>
  <c r="CK1411" i="1"/>
  <c r="CJ1411" i="1"/>
  <c r="CI1411" i="1"/>
  <c r="CH1411" i="1"/>
  <c r="CG1411" i="1"/>
  <c r="CF1411" i="1"/>
  <c r="CD1411" i="1"/>
  <c r="CC1411" i="1"/>
  <c r="CB1411" i="1"/>
  <c r="CA1411" i="1"/>
  <c r="BZ1411" i="1"/>
  <c r="BY1411" i="1"/>
  <c r="BX1411" i="1"/>
  <c r="BU1411" i="1"/>
  <c r="BN1411" i="1"/>
  <c r="BS1411" i="1" s="1"/>
  <c r="BA1411" i="1"/>
  <c r="AZ1411" i="1"/>
  <c r="AY1411" i="1"/>
  <c r="AX1411" i="1"/>
  <c r="AW1411" i="1"/>
  <c r="AV1411" i="1"/>
  <c r="AT1411" i="1"/>
  <c r="AS1411" i="1"/>
  <c r="CS1410" i="1"/>
  <c r="CR1410" i="1"/>
  <c r="CQ1410" i="1"/>
  <c r="CP1410" i="1"/>
  <c r="CO1410" i="1"/>
  <c r="CN1410" i="1"/>
  <c r="CL1410" i="1"/>
  <c r="CK1410" i="1"/>
  <c r="CJ1410" i="1"/>
  <c r="CI1410" i="1"/>
  <c r="CH1410" i="1"/>
  <c r="CG1410" i="1"/>
  <c r="CF1410" i="1"/>
  <c r="CD1410" i="1"/>
  <c r="CC1410" i="1"/>
  <c r="CB1410" i="1"/>
  <c r="CA1410" i="1"/>
  <c r="BZ1410" i="1"/>
  <c r="BY1410" i="1"/>
  <c r="BX1410" i="1"/>
  <c r="BU1410" i="1"/>
  <c r="BN1410" i="1"/>
  <c r="BS1410" i="1" s="1"/>
  <c r="BA1410" i="1"/>
  <c r="AZ1410" i="1"/>
  <c r="AY1410" i="1"/>
  <c r="AX1410" i="1"/>
  <c r="AW1410" i="1"/>
  <c r="AV1410" i="1"/>
  <c r="AT1410" i="1"/>
  <c r="AS1410" i="1"/>
  <c r="CS1409" i="1"/>
  <c r="CR1409" i="1"/>
  <c r="CQ1409" i="1"/>
  <c r="CP1409" i="1"/>
  <c r="CO1409" i="1"/>
  <c r="CN1409" i="1"/>
  <c r="CL1409" i="1"/>
  <c r="CK1409" i="1"/>
  <c r="CJ1409" i="1"/>
  <c r="CI1409" i="1"/>
  <c r="CH1409" i="1"/>
  <c r="CG1409" i="1"/>
  <c r="CF1409" i="1"/>
  <c r="CD1409" i="1"/>
  <c r="CC1409" i="1"/>
  <c r="CB1409" i="1"/>
  <c r="CA1409" i="1"/>
  <c r="BZ1409" i="1"/>
  <c r="BY1409" i="1"/>
  <c r="BX1409" i="1"/>
  <c r="BU1409" i="1"/>
  <c r="BN1409" i="1"/>
  <c r="BS1409" i="1" s="1"/>
  <c r="BA1409" i="1"/>
  <c r="AZ1409" i="1"/>
  <c r="AY1409" i="1"/>
  <c r="AX1409" i="1"/>
  <c r="AW1409" i="1"/>
  <c r="AV1409" i="1"/>
  <c r="AT1409" i="1"/>
  <c r="AS1409" i="1"/>
  <c r="CS1408" i="1"/>
  <c r="CR1408" i="1"/>
  <c r="CQ1408" i="1"/>
  <c r="CP1408" i="1"/>
  <c r="CO1408" i="1"/>
  <c r="CN1408" i="1"/>
  <c r="CL1408" i="1"/>
  <c r="CK1408" i="1"/>
  <c r="CJ1408" i="1"/>
  <c r="CI1408" i="1"/>
  <c r="CH1408" i="1"/>
  <c r="CG1408" i="1"/>
  <c r="CF1408" i="1"/>
  <c r="CD1408" i="1"/>
  <c r="CC1408" i="1"/>
  <c r="CB1408" i="1"/>
  <c r="CA1408" i="1"/>
  <c r="BZ1408" i="1"/>
  <c r="BY1408" i="1"/>
  <c r="BX1408" i="1"/>
  <c r="BU1408" i="1"/>
  <c r="BN1408" i="1"/>
  <c r="BS1408" i="1" s="1"/>
  <c r="BA1408" i="1"/>
  <c r="AZ1408" i="1"/>
  <c r="AY1408" i="1"/>
  <c r="AX1408" i="1"/>
  <c r="AW1408" i="1"/>
  <c r="AV1408" i="1"/>
  <c r="AT1408" i="1"/>
  <c r="AS1408" i="1"/>
  <c r="CS1407" i="1"/>
  <c r="CR1407" i="1"/>
  <c r="CQ1407" i="1"/>
  <c r="CP1407" i="1"/>
  <c r="CO1407" i="1"/>
  <c r="CN1407" i="1"/>
  <c r="CL1407" i="1"/>
  <c r="CK1407" i="1"/>
  <c r="CJ1407" i="1"/>
  <c r="CI1407" i="1"/>
  <c r="CH1407" i="1"/>
  <c r="CG1407" i="1"/>
  <c r="CF1407" i="1"/>
  <c r="CD1407" i="1"/>
  <c r="CC1407" i="1"/>
  <c r="CB1407" i="1"/>
  <c r="CA1407" i="1"/>
  <c r="BZ1407" i="1"/>
  <c r="BY1407" i="1"/>
  <c r="BX1407" i="1"/>
  <c r="BU1407" i="1"/>
  <c r="BN1407" i="1"/>
  <c r="BS1407" i="1" s="1"/>
  <c r="BA1407" i="1"/>
  <c r="AZ1407" i="1"/>
  <c r="AY1407" i="1"/>
  <c r="AX1407" i="1"/>
  <c r="AW1407" i="1"/>
  <c r="AV1407" i="1"/>
  <c r="AT1407" i="1"/>
  <c r="AS1407" i="1"/>
  <c r="CS1406" i="1"/>
  <c r="CR1406" i="1"/>
  <c r="CQ1406" i="1"/>
  <c r="CP1406" i="1"/>
  <c r="CO1406" i="1"/>
  <c r="CN1406" i="1"/>
  <c r="CL1406" i="1"/>
  <c r="CK1406" i="1"/>
  <c r="CJ1406" i="1"/>
  <c r="CI1406" i="1"/>
  <c r="CH1406" i="1"/>
  <c r="CG1406" i="1"/>
  <c r="CF1406" i="1"/>
  <c r="CD1406" i="1"/>
  <c r="CC1406" i="1"/>
  <c r="CB1406" i="1"/>
  <c r="CA1406" i="1"/>
  <c r="BZ1406" i="1"/>
  <c r="BY1406" i="1"/>
  <c r="BX1406" i="1"/>
  <c r="BU1406" i="1"/>
  <c r="BN1406" i="1"/>
  <c r="BS1406" i="1" s="1"/>
  <c r="BA1406" i="1"/>
  <c r="AZ1406" i="1"/>
  <c r="AY1406" i="1"/>
  <c r="AX1406" i="1"/>
  <c r="AW1406" i="1"/>
  <c r="AV1406" i="1"/>
  <c r="AT1406" i="1"/>
  <c r="AS1406" i="1"/>
  <c r="CS1405" i="1"/>
  <c r="CR1405" i="1"/>
  <c r="CQ1405" i="1"/>
  <c r="CP1405" i="1"/>
  <c r="CO1405" i="1"/>
  <c r="CN1405" i="1"/>
  <c r="CL1405" i="1"/>
  <c r="CK1405" i="1"/>
  <c r="CJ1405" i="1"/>
  <c r="CI1405" i="1"/>
  <c r="CH1405" i="1"/>
  <c r="CG1405" i="1"/>
  <c r="CF1405" i="1"/>
  <c r="CD1405" i="1"/>
  <c r="CC1405" i="1"/>
  <c r="CB1405" i="1"/>
  <c r="CA1405" i="1"/>
  <c r="BZ1405" i="1"/>
  <c r="BY1405" i="1"/>
  <c r="BX1405" i="1"/>
  <c r="BU1405" i="1"/>
  <c r="BN1405" i="1"/>
  <c r="BS1405" i="1" s="1"/>
  <c r="BA1405" i="1"/>
  <c r="AZ1405" i="1"/>
  <c r="AY1405" i="1"/>
  <c r="AX1405" i="1"/>
  <c r="AW1405" i="1"/>
  <c r="AV1405" i="1"/>
  <c r="AT1405" i="1"/>
  <c r="AS1405" i="1"/>
  <c r="CS1404" i="1"/>
  <c r="CR1404" i="1"/>
  <c r="CQ1404" i="1"/>
  <c r="CP1404" i="1"/>
  <c r="CO1404" i="1"/>
  <c r="CN1404" i="1"/>
  <c r="CL1404" i="1"/>
  <c r="CK1404" i="1"/>
  <c r="CJ1404" i="1"/>
  <c r="CI1404" i="1"/>
  <c r="CH1404" i="1"/>
  <c r="CG1404" i="1"/>
  <c r="CF1404" i="1"/>
  <c r="CD1404" i="1"/>
  <c r="CC1404" i="1"/>
  <c r="CB1404" i="1"/>
  <c r="CA1404" i="1"/>
  <c r="BZ1404" i="1"/>
  <c r="BY1404" i="1"/>
  <c r="BX1404" i="1"/>
  <c r="BU1404" i="1"/>
  <c r="BN1404" i="1"/>
  <c r="BS1404" i="1" s="1"/>
  <c r="BA1404" i="1"/>
  <c r="AZ1404" i="1"/>
  <c r="AY1404" i="1"/>
  <c r="AX1404" i="1"/>
  <c r="AW1404" i="1"/>
  <c r="AV1404" i="1"/>
  <c r="AT1404" i="1"/>
  <c r="AS1404" i="1"/>
  <c r="CS1403" i="1"/>
  <c r="CR1403" i="1"/>
  <c r="CQ1403" i="1"/>
  <c r="CP1403" i="1"/>
  <c r="CO1403" i="1"/>
  <c r="CN1403" i="1"/>
  <c r="CL1403" i="1"/>
  <c r="CK1403" i="1"/>
  <c r="CJ1403" i="1"/>
  <c r="CI1403" i="1"/>
  <c r="CH1403" i="1"/>
  <c r="CG1403" i="1"/>
  <c r="CF1403" i="1"/>
  <c r="CD1403" i="1"/>
  <c r="CC1403" i="1"/>
  <c r="CB1403" i="1"/>
  <c r="CA1403" i="1"/>
  <c r="BZ1403" i="1"/>
  <c r="BY1403" i="1"/>
  <c r="BX1403" i="1"/>
  <c r="BU1403" i="1"/>
  <c r="BN1403" i="1"/>
  <c r="BS1403" i="1" s="1"/>
  <c r="BA1403" i="1"/>
  <c r="AZ1403" i="1"/>
  <c r="AY1403" i="1"/>
  <c r="AX1403" i="1"/>
  <c r="AW1403" i="1"/>
  <c r="AV1403" i="1"/>
  <c r="AT1403" i="1"/>
  <c r="AS1403" i="1"/>
  <c r="CS1402" i="1"/>
  <c r="CR1402" i="1"/>
  <c r="CQ1402" i="1"/>
  <c r="CP1402" i="1"/>
  <c r="CO1402" i="1"/>
  <c r="CN1402" i="1"/>
  <c r="CL1402" i="1"/>
  <c r="CK1402" i="1"/>
  <c r="CJ1402" i="1"/>
  <c r="CI1402" i="1"/>
  <c r="CH1402" i="1"/>
  <c r="CG1402" i="1"/>
  <c r="CF1402" i="1"/>
  <c r="CD1402" i="1"/>
  <c r="CC1402" i="1"/>
  <c r="CB1402" i="1"/>
  <c r="CA1402" i="1"/>
  <c r="BZ1402" i="1"/>
  <c r="BY1402" i="1"/>
  <c r="BX1402" i="1"/>
  <c r="BU1402" i="1"/>
  <c r="BN1402" i="1"/>
  <c r="BS1402" i="1" s="1"/>
  <c r="BA1402" i="1"/>
  <c r="AZ1402" i="1"/>
  <c r="AY1402" i="1"/>
  <c r="AX1402" i="1"/>
  <c r="AW1402" i="1"/>
  <c r="AV1402" i="1"/>
  <c r="AT1402" i="1"/>
  <c r="AS1402" i="1"/>
  <c r="CS1401" i="1"/>
  <c r="CR1401" i="1"/>
  <c r="CQ1401" i="1"/>
  <c r="CP1401" i="1"/>
  <c r="CO1401" i="1"/>
  <c r="CN1401" i="1"/>
  <c r="CL1401" i="1"/>
  <c r="CK1401" i="1"/>
  <c r="CJ1401" i="1"/>
  <c r="CI1401" i="1"/>
  <c r="CH1401" i="1"/>
  <c r="CG1401" i="1"/>
  <c r="CF1401" i="1"/>
  <c r="CD1401" i="1"/>
  <c r="CC1401" i="1"/>
  <c r="CB1401" i="1"/>
  <c r="CA1401" i="1"/>
  <c r="BZ1401" i="1"/>
  <c r="BY1401" i="1"/>
  <c r="BX1401" i="1"/>
  <c r="BU1401" i="1"/>
  <c r="BN1401" i="1"/>
  <c r="BS1401" i="1" s="1"/>
  <c r="BA1401" i="1"/>
  <c r="AZ1401" i="1"/>
  <c r="AY1401" i="1"/>
  <c r="AX1401" i="1"/>
  <c r="AW1401" i="1"/>
  <c r="AV1401" i="1"/>
  <c r="AT1401" i="1"/>
  <c r="AS1401" i="1"/>
  <c r="CS1400" i="1"/>
  <c r="CR1400" i="1"/>
  <c r="CQ1400" i="1"/>
  <c r="CP1400" i="1"/>
  <c r="CO1400" i="1"/>
  <c r="CN1400" i="1"/>
  <c r="CL1400" i="1"/>
  <c r="CK1400" i="1"/>
  <c r="CJ1400" i="1"/>
  <c r="CI1400" i="1"/>
  <c r="CH1400" i="1"/>
  <c r="CG1400" i="1"/>
  <c r="CF1400" i="1"/>
  <c r="CD1400" i="1"/>
  <c r="CC1400" i="1"/>
  <c r="CB1400" i="1"/>
  <c r="CA1400" i="1"/>
  <c r="BZ1400" i="1"/>
  <c r="BY1400" i="1"/>
  <c r="BX1400" i="1"/>
  <c r="BU1400" i="1"/>
  <c r="BN1400" i="1"/>
  <c r="BS1400" i="1" s="1"/>
  <c r="BA1400" i="1"/>
  <c r="AZ1400" i="1"/>
  <c r="AY1400" i="1"/>
  <c r="AX1400" i="1"/>
  <c r="AW1400" i="1"/>
  <c r="AV1400" i="1"/>
  <c r="AT1400" i="1"/>
  <c r="AS1400" i="1"/>
  <c r="CS1399" i="1"/>
  <c r="CR1399" i="1"/>
  <c r="CQ1399" i="1"/>
  <c r="CP1399" i="1"/>
  <c r="CO1399" i="1"/>
  <c r="CN1399" i="1"/>
  <c r="CL1399" i="1"/>
  <c r="CK1399" i="1"/>
  <c r="CJ1399" i="1"/>
  <c r="CI1399" i="1"/>
  <c r="CH1399" i="1"/>
  <c r="CG1399" i="1"/>
  <c r="CF1399" i="1"/>
  <c r="CD1399" i="1"/>
  <c r="CC1399" i="1"/>
  <c r="CB1399" i="1"/>
  <c r="CA1399" i="1"/>
  <c r="BZ1399" i="1"/>
  <c r="BY1399" i="1"/>
  <c r="BX1399" i="1"/>
  <c r="BU1399" i="1"/>
  <c r="BN1399" i="1"/>
  <c r="BS1399" i="1" s="1"/>
  <c r="BA1399" i="1"/>
  <c r="AZ1399" i="1"/>
  <c r="AY1399" i="1"/>
  <c r="AX1399" i="1"/>
  <c r="AW1399" i="1"/>
  <c r="AV1399" i="1"/>
  <c r="AT1399" i="1"/>
  <c r="AS1399" i="1"/>
  <c r="CS1398" i="1"/>
  <c r="CR1398" i="1"/>
  <c r="CQ1398" i="1"/>
  <c r="CP1398" i="1"/>
  <c r="CO1398" i="1"/>
  <c r="CN1398" i="1"/>
  <c r="CL1398" i="1"/>
  <c r="CK1398" i="1"/>
  <c r="CJ1398" i="1"/>
  <c r="CI1398" i="1"/>
  <c r="CH1398" i="1"/>
  <c r="CG1398" i="1"/>
  <c r="CF1398" i="1"/>
  <c r="CD1398" i="1"/>
  <c r="CC1398" i="1"/>
  <c r="CB1398" i="1"/>
  <c r="CA1398" i="1"/>
  <c r="BZ1398" i="1"/>
  <c r="BY1398" i="1"/>
  <c r="BX1398" i="1"/>
  <c r="BU1398" i="1"/>
  <c r="BN1398" i="1"/>
  <c r="BS1398" i="1" s="1"/>
  <c r="BA1398" i="1"/>
  <c r="AZ1398" i="1"/>
  <c r="AY1398" i="1"/>
  <c r="AX1398" i="1"/>
  <c r="AW1398" i="1"/>
  <c r="AV1398" i="1"/>
  <c r="AT1398" i="1"/>
  <c r="AS1398" i="1"/>
  <c r="CS1397" i="1"/>
  <c r="CR1397" i="1"/>
  <c r="CQ1397" i="1"/>
  <c r="CP1397" i="1"/>
  <c r="CO1397" i="1"/>
  <c r="CN1397" i="1"/>
  <c r="CL1397" i="1"/>
  <c r="CK1397" i="1"/>
  <c r="CJ1397" i="1"/>
  <c r="CI1397" i="1"/>
  <c r="CH1397" i="1"/>
  <c r="CG1397" i="1"/>
  <c r="CF1397" i="1"/>
  <c r="CD1397" i="1"/>
  <c r="CC1397" i="1"/>
  <c r="CB1397" i="1"/>
  <c r="CA1397" i="1"/>
  <c r="BZ1397" i="1"/>
  <c r="BY1397" i="1"/>
  <c r="BX1397" i="1"/>
  <c r="BU1397" i="1"/>
  <c r="BN1397" i="1"/>
  <c r="BS1397" i="1" s="1"/>
  <c r="BA1397" i="1"/>
  <c r="AZ1397" i="1"/>
  <c r="AY1397" i="1"/>
  <c r="AX1397" i="1"/>
  <c r="AW1397" i="1"/>
  <c r="AV1397" i="1"/>
  <c r="AT1397" i="1"/>
  <c r="AS1397" i="1"/>
  <c r="CS1396" i="1"/>
  <c r="CR1396" i="1"/>
  <c r="CQ1396" i="1"/>
  <c r="CP1396" i="1"/>
  <c r="CO1396" i="1"/>
  <c r="CN1396" i="1"/>
  <c r="CL1396" i="1"/>
  <c r="CK1396" i="1"/>
  <c r="CJ1396" i="1"/>
  <c r="CI1396" i="1"/>
  <c r="CH1396" i="1"/>
  <c r="CG1396" i="1"/>
  <c r="CF1396" i="1"/>
  <c r="CD1396" i="1"/>
  <c r="CC1396" i="1"/>
  <c r="CB1396" i="1"/>
  <c r="CA1396" i="1"/>
  <c r="BZ1396" i="1"/>
  <c r="BY1396" i="1"/>
  <c r="BX1396" i="1"/>
  <c r="BU1396" i="1"/>
  <c r="BN1396" i="1"/>
  <c r="BS1396" i="1" s="1"/>
  <c r="BA1396" i="1"/>
  <c r="AZ1396" i="1"/>
  <c r="AY1396" i="1"/>
  <c r="AX1396" i="1"/>
  <c r="AW1396" i="1"/>
  <c r="AV1396" i="1"/>
  <c r="AT1396" i="1"/>
  <c r="AS1396" i="1"/>
  <c r="CS1395" i="1"/>
  <c r="CR1395" i="1"/>
  <c r="CQ1395" i="1"/>
  <c r="CP1395" i="1"/>
  <c r="CO1395" i="1"/>
  <c r="CN1395" i="1"/>
  <c r="CL1395" i="1"/>
  <c r="CK1395" i="1"/>
  <c r="CJ1395" i="1"/>
  <c r="CI1395" i="1"/>
  <c r="CH1395" i="1"/>
  <c r="CG1395" i="1"/>
  <c r="CF1395" i="1"/>
  <c r="CD1395" i="1"/>
  <c r="CC1395" i="1"/>
  <c r="CB1395" i="1"/>
  <c r="CA1395" i="1"/>
  <c r="BZ1395" i="1"/>
  <c r="BY1395" i="1"/>
  <c r="BX1395" i="1"/>
  <c r="BU1395" i="1"/>
  <c r="BN1395" i="1"/>
  <c r="BS1395" i="1" s="1"/>
  <c r="BA1395" i="1"/>
  <c r="AZ1395" i="1"/>
  <c r="AY1395" i="1"/>
  <c r="AX1395" i="1"/>
  <c r="AW1395" i="1"/>
  <c r="AV1395" i="1"/>
  <c r="AT1395" i="1"/>
  <c r="AS1395" i="1"/>
  <c r="CS1394" i="1"/>
  <c r="CR1394" i="1"/>
  <c r="CQ1394" i="1"/>
  <c r="CP1394" i="1"/>
  <c r="CO1394" i="1"/>
  <c r="CN1394" i="1"/>
  <c r="CL1394" i="1"/>
  <c r="CK1394" i="1"/>
  <c r="CJ1394" i="1"/>
  <c r="CI1394" i="1"/>
  <c r="CH1394" i="1"/>
  <c r="CG1394" i="1"/>
  <c r="CF1394" i="1"/>
  <c r="CD1394" i="1"/>
  <c r="CC1394" i="1"/>
  <c r="CB1394" i="1"/>
  <c r="CA1394" i="1"/>
  <c r="BZ1394" i="1"/>
  <c r="BY1394" i="1"/>
  <c r="BX1394" i="1"/>
  <c r="BU1394" i="1"/>
  <c r="BN1394" i="1"/>
  <c r="BS1394" i="1" s="1"/>
  <c r="BA1394" i="1"/>
  <c r="AZ1394" i="1"/>
  <c r="AY1394" i="1"/>
  <c r="AX1394" i="1"/>
  <c r="AW1394" i="1"/>
  <c r="AV1394" i="1"/>
  <c r="AT1394" i="1"/>
  <c r="AS1394" i="1"/>
  <c r="CS1393" i="1"/>
  <c r="CR1393" i="1"/>
  <c r="CQ1393" i="1"/>
  <c r="CP1393" i="1"/>
  <c r="CO1393" i="1"/>
  <c r="CN1393" i="1"/>
  <c r="CL1393" i="1"/>
  <c r="CK1393" i="1"/>
  <c r="CJ1393" i="1"/>
  <c r="CI1393" i="1"/>
  <c r="CH1393" i="1"/>
  <c r="CG1393" i="1"/>
  <c r="CF1393" i="1"/>
  <c r="CD1393" i="1"/>
  <c r="CC1393" i="1"/>
  <c r="CB1393" i="1"/>
  <c r="CA1393" i="1"/>
  <c r="BZ1393" i="1"/>
  <c r="BY1393" i="1"/>
  <c r="BX1393" i="1"/>
  <c r="BU1393" i="1"/>
  <c r="BN1393" i="1"/>
  <c r="BS1393" i="1" s="1"/>
  <c r="BA1393" i="1"/>
  <c r="AZ1393" i="1"/>
  <c r="AY1393" i="1"/>
  <c r="AX1393" i="1"/>
  <c r="AW1393" i="1"/>
  <c r="AV1393" i="1"/>
  <c r="AT1393" i="1"/>
  <c r="AS1393" i="1"/>
  <c r="CS1392" i="1"/>
  <c r="CR1392" i="1"/>
  <c r="CQ1392" i="1"/>
  <c r="CP1392" i="1"/>
  <c r="CO1392" i="1"/>
  <c r="CN1392" i="1"/>
  <c r="CL1392" i="1"/>
  <c r="CK1392" i="1"/>
  <c r="CJ1392" i="1"/>
  <c r="CI1392" i="1"/>
  <c r="CH1392" i="1"/>
  <c r="CG1392" i="1"/>
  <c r="CF1392" i="1"/>
  <c r="CD1392" i="1"/>
  <c r="CC1392" i="1"/>
  <c r="CB1392" i="1"/>
  <c r="CA1392" i="1"/>
  <c r="BZ1392" i="1"/>
  <c r="BY1392" i="1"/>
  <c r="BX1392" i="1"/>
  <c r="BU1392" i="1"/>
  <c r="BN1392" i="1"/>
  <c r="BS1392" i="1" s="1"/>
  <c r="BA1392" i="1"/>
  <c r="AZ1392" i="1"/>
  <c r="AY1392" i="1"/>
  <c r="AX1392" i="1"/>
  <c r="AW1392" i="1"/>
  <c r="AV1392" i="1"/>
  <c r="AT1392" i="1"/>
  <c r="AS1392" i="1"/>
  <c r="CS1391" i="1"/>
  <c r="CR1391" i="1"/>
  <c r="CQ1391" i="1"/>
  <c r="CP1391" i="1"/>
  <c r="CO1391" i="1"/>
  <c r="CN1391" i="1"/>
  <c r="CL1391" i="1"/>
  <c r="CK1391" i="1"/>
  <c r="CJ1391" i="1"/>
  <c r="CI1391" i="1"/>
  <c r="CH1391" i="1"/>
  <c r="CG1391" i="1"/>
  <c r="CF1391" i="1"/>
  <c r="CD1391" i="1"/>
  <c r="CC1391" i="1"/>
  <c r="CB1391" i="1"/>
  <c r="CA1391" i="1"/>
  <c r="BZ1391" i="1"/>
  <c r="BY1391" i="1"/>
  <c r="BX1391" i="1"/>
  <c r="BU1391" i="1"/>
  <c r="BN1391" i="1"/>
  <c r="BS1391" i="1" s="1"/>
  <c r="BA1391" i="1"/>
  <c r="AZ1391" i="1"/>
  <c r="AY1391" i="1"/>
  <c r="AX1391" i="1"/>
  <c r="AW1391" i="1"/>
  <c r="AV1391" i="1"/>
  <c r="AT1391" i="1"/>
  <c r="AS1391" i="1"/>
  <c r="CS1390" i="1"/>
  <c r="CR1390" i="1"/>
  <c r="CQ1390" i="1"/>
  <c r="CP1390" i="1"/>
  <c r="CO1390" i="1"/>
  <c r="CN1390" i="1"/>
  <c r="CL1390" i="1"/>
  <c r="CK1390" i="1"/>
  <c r="CJ1390" i="1"/>
  <c r="CI1390" i="1"/>
  <c r="CH1390" i="1"/>
  <c r="CG1390" i="1"/>
  <c r="CF1390" i="1"/>
  <c r="CD1390" i="1"/>
  <c r="CC1390" i="1"/>
  <c r="CB1390" i="1"/>
  <c r="CA1390" i="1"/>
  <c r="BZ1390" i="1"/>
  <c r="BY1390" i="1"/>
  <c r="BX1390" i="1"/>
  <c r="BU1390" i="1"/>
  <c r="BN1390" i="1"/>
  <c r="BS1390" i="1" s="1"/>
  <c r="BA1390" i="1"/>
  <c r="AZ1390" i="1"/>
  <c r="AY1390" i="1"/>
  <c r="AX1390" i="1"/>
  <c r="AW1390" i="1"/>
  <c r="AV1390" i="1"/>
  <c r="AT1390" i="1"/>
  <c r="AS1390" i="1"/>
  <c r="CS1389" i="1"/>
  <c r="CR1389" i="1"/>
  <c r="CQ1389" i="1"/>
  <c r="CP1389" i="1"/>
  <c r="CO1389" i="1"/>
  <c r="CN1389" i="1"/>
  <c r="CL1389" i="1"/>
  <c r="CK1389" i="1"/>
  <c r="CJ1389" i="1"/>
  <c r="CI1389" i="1"/>
  <c r="CH1389" i="1"/>
  <c r="CG1389" i="1"/>
  <c r="CF1389" i="1"/>
  <c r="CD1389" i="1"/>
  <c r="CC1389" i="1"/>
  <c r="CB1389" i="1"/>
  <c r="CA1389" i="1"/>
  <c r="BZ1389" i="1"/>
  <c r="BY1389" i="1"/>
  <c r="BX1389" i="1"/>
  <c r="BU1389" i="1"/>
  <c r="BN1389" i="1"/>
  <c r="BS1389" i="1" s="1"/>
  <c r="BA1389" i="1"/>
  <c r="AZ1389" i="1"/>
  <c r="AY1389" i="1"/>
  <c r="AX1389" i="1"/>
  <c r="AW1389" i="1"/>
  <c r="AV1389" i="1"/>
  <c r="AT1389" i="1"/>
  <c r="AS1389" i="1"/>
  <c r="CS1388" i="1"/>
  <c r="CR1388" i="1"/>
  <c r="CQ1388" i="1"/>
  <c r="CP1388" i="1"/>
  <c r="CO1388" i="1"/>
  <c r="CN1388" i="1"/>
  <c r="CL1388" i="1"/>
  <c r="CK1388" i="1"/>
  <c r="CJ1388" i="1"/>
  <c r="CI1388" i="1"/>
  <c r="CH1388" i="1"/>
  <c r="CG1388" i="1"/>
  <c r="CF1388" i="1"/>
  <c r="CD1388" i="1"/>
  <c r="CC1388" i="1"/>
  <c r="CB1388" i="1"/>
  <c r="CA1388" i="1"/>
  <c r="BZ1388" i="1"/>
  <c r="BY1388" i="1"/>
  <c r="BX1388" i="1"/>
  <c r="BU1388" i="1"/>
  <c r="BN1388" i="1"/>
  <c r="BS1388" i="1" s="1"/>
  <c r="BA1388" i="1"/>
  <c r="AZ1388" i="1"/>
  <c r="AY1388" i="1"/>
  <c r="AX1388" i="1"/>
  <c r="AW1388" i="1"/>
  <c r="AV1388" i="1"/>
  <c r="AT1388" i="1"/>
  <c r="AS1388" i="1"/>
  <c r="CS1387" i="1"/>
  <c r="CR1387" i="1"/>
  <c r="CQ1387" i="1"/>
  <c r="CP1387" i="1"/>
  <c r="CO1387" i="1"/>
  <c r="CN1387" i="1"/>
  <c r="CL1387" i="1"/>
  <c r="CK1387" i="1"/>
  <c r="CJ1387" i="1"/>
  <c r="CI1387" i="1"/>
  <c r="CH1387" i="1"/>
  <c r="CG1387" i="1"/>
  <c r="CF1387" i="1"/>
  <c r="CD1387" i="1"/>
  <c r="CC1387" i="1"/>
  <c r="CB1387" i="1"/>
  <c r="CA1387" i="1"/>
  <c r="BZ1387" i="1"/>
  <c r="BY1387" i="1"/>
  <c r="BX1387" i="1"/>
  <c r="BU1387" i="1"/>
  <c r="BN1387" i="1"/>
  <c r="BS1387" i="1" s="1"/>
  <c r="BA1387" i="1"/>
  <c r="AZ1387" i="1"/>
  <c r="AY1387" i="1"/>
  <c r="AX1387" i="1"/>
  <c r="AW1387" i="1"/>
  <c r="AV1387" i="1"/>
  <c r="AT1387" i="1"/>
  <c r="AS1387" i="1"/>
  <c r="CS1386" i="1"/>
  <c r="CR1386" i="1"/>
  <c r="CQ1386" i="1"/>
  <c r="CP1386" i="1"/>
  <c r="CO1386" i="1"/>
  <c r="CN1386" i="1"/>
  <c r="CL1386" i="1"/>
  <c r="CK1386" i="1"/>
  <c r="CJ1386" i="1"/>
  <c r="CI1386" i="1"/>
  <c r="CH1386" i="1"/>
  <c r="CG1386" i="1"/>
  <c r="CF1386" i="1"/>
  <c r="CD1386" i="1"/>
  <c r="CC1386" i="1"/>
  <c r="CB1386" i="1"/>
  <c r="CA1386" i="1"/>
  <c r="BZ1386" i="1"/>
  <c r="BY1386" i="1"/>
  <c r="BX1386" i="1"/>
  <c r="BU1386" i="1"/>
  <c r="BN1386" i="1"/>
  <c r="BS1386" i="1" s="1"/>
  <c r="BA1386" i="1"/>
  <c r="AZ1386" i="1"/>
  <c r="AY1386" i="1"/>
  <c r="AX1386" i="1"/>
  <c r="AW1386" i="1"/>
  <c r="AV1386" i="1"/>
  <c r="AT1386" i="1"/>
  <c r="AS1386" i="1"/>
  <c r="CS1385" i="1"/>
  <c r="CR1385" i="1"/>
  <c r="CQ1385" i="1"/>
  <c r="CP1385" i="1"/>
  <c r="CO1385" i="1"/>
  <c r="CN1385" i="1"/>
  <c r="CL1385" i="1"/>
  <c r="CK1385" i="1"/>
  <c r="CJ1385" i="1"/>
  <c r="CI1385" i="1"/>
  <c r="CH1385" i="1"/>
  <c r="CG1385" i="1"/>
  <c r="CF1385" i="1"/>
  <c r="CD1385" i="1"/>
  <c r="CC1385" i="1"/>
  <c r="CB1385" i="1"/>
  <c r="CA1385" i="1"/>
  <c r="BZ1385" i="1"/>
  <c r="BY1385" i="1"/>
  <c r="BX1385" i="1"/>
  <c r="BU1385" i="1"/>
  <c r="BN1385" i="1"/>
  <c r="BS1385" i="1" s="1"/>
  <c r="BA1385" i="1"/>
  <c r="AZ1385" i="1"/>
  <c r="AY1385" i="1"/>
  <c r="AX1385" i="1"/>
  <c r="AW1385" i="1"/>
  <c r="AV1385" i="1"/>
  <c r="AT1385" i="1"/>
  <c r="AS1385" i="1"/>
  <c r="CS1384" i="1"/>
  <c r="CR1384" i="1"/>
  <c r="CQ1384" i="1"/>
  <c r="CP1384" i="1"/>
  <c r="CO1384" i="1"/>
  <c r="CN1384" i="1"/>
  <c r="CL1384" i="1"/>
  <c r="CK1384" i="1"/>
  <c r="CJ1384" i="1"/>
  <c r="CI1384" i="1"/>
  <c r="CH1384" i="1"/>
  <c r="CG1384" i="1"/>
  <c r="CF1384" i="1"/>
  <c r="CD1384" i="1"/>
  <c r="CC1384" i="1"/>
  <c r="CB1384" i="1"/>
  <c r="CA1384" i="1"/>
  <c r="BZ1384" i="1"/>
  <c r="BY1384" i="1"/>
  <c r="BX1384" i="1"/>
  <c r="BU1384" i="1"/>
  <c r="BN1384" i="1"/>
  <c r="BS1384" i="1" s="1"/>
  <c r="BA1384" i="1"/>
  <c r="AZ1384" i="1"/>
  <c r="AY1384" i="1"/>
  <c r="AX1384" i="1"/>
  <c r="AW1384" i="1"/>
  <c r="AV1384" i="1"/>
  <c r="AT1384" i="1"/>
  <c r="AS1384" i="1"/>
  <c r="CS1383" i="1"/>
  <c r="CR1383" i="1"/>
  <c r="CQ1383" i="1"/>
  <c r="CP1383" i="1"/>
  <c r="CO1383" i="1"/>
  <c r="CN1383" i="1"/>
  <c r="CL1383" i="1"/>
  <c r="CK1383" i="1"/>
  <c r="CJ1383" i="1"/>
  <c r="CI1383" i="1"/>
  <c r="CH1383" i="1"/>
  <c r="CG1383" i="1"/>
  <c r="CF1383" i="1"/>
  <c r="CD1383" i="1"/>
  <c r="CC1383" i="1"/>
  <c r="CB1383" i="1"/>
  <c r="CA1383" i="1"/>
  <c r="BZ1383" i="1"/>
  <c r="BY1383" i="1"/>
  <c r="BX1383" i="1"/>
  <c r="BU1383" i="1"/>
  <c r="BN1383" i="1"/>
  <c r="BS1383" i="1" s="1"/>
  <c r="BA1383" i="1"/>
  <c r="AZ1383" i="1"/>
  <c r="AY1383" i="1"/>
  <c r="AX1383" i="1"/>
  <c r="AW1383" i="1"/>
  <c r="AV1383" i="1"/>
  <c r="AT1383" i="1"/>
  <c r="AS1383" i="1"/>
  <c r="CS1382" i="1"/>
  <c r="CR1382" i="1"/>
  <c r="CQ1382" i="1"/>
  <c r="CP1382" i="1"/>
  <c r="CO1382" i="1"/>
  <c r="CN1382" i="1"/>
  <c r="CL1382" i="1"/>
  <c r="CK1382" i="1"/>
  <c r="CJ1382" i="1"/>
  <c r="CI1382" i="1"/>
  <c r="CH1382" i="1"/>
  <c r="CG1382" i="1"/>
  <c r="CF1382" i="1"/>
  <c r="CD1382" i="1"/>
  <c r="CC1382" i="1"/>
  <c r="CB1382" i="1"/>
  <c r="CA1382" i="1"/>
  <c r="BZ1382" i="1"/>
  <c r="BY1382" i="1"/>
  <c r="BX1382" i="1"/>
  <c r="BU1382" i="1"/>
  <c r="BN1382" i="1"/>
  <c r="BS1382" i="1" s="1"/>
  <c r="BA1382" i="1"/>
  <c r="AZ1382" i="1"/>
  <c r="AY1382" i="1"/>
  <c r="AX1382" i="1"/>
  <c r="AW1382" i="1"/>
  <c r="AV1382" i="1"/>
  <c r="AT1382" i="1"/>
  <c r="AS1382" i="1"/>
  <c r="CS1381" i="1"/>
  <c r="CR1381" i="1"/>
  <c r="CQ1381" i="1"/>
  <c r="CP1381" i="1"/>
  <c r="CO1381" i="1"/>
  <c r="CN1381" i="1"/>
  <c r="CL1381" i="1"/>
  <c r="CK1381" i="1"/>
  <c r="CJ1381" i="1"/>
  <c r="CI1381" i="1"/>
  <c r="CH1381" i="1"/>
  <c r="CG1381" i="1"/>
  <c r="CF1381" i="1"/>
  <c r="CD1381" i="1"/>
  <c r="CC1381" i="1"/>
  <c r="CB1381" i="1"/>
  <c r="CA1381" i="1"/>
  <c r="BZ1381" i="1"/>
  <c r="BY1381" i="1"/>
  <c r="BX1381" i="1"/>
  <c r="BU1381" i="1"/>
  <c r="BN1381" i="1"/>
  <c r="BS1381" i="1" s="1"/>
  <c r="BA1381" i="1"/>
  <c r="AZ1381" i="1"/>
  <c r="AY1381" i="1"/>
  <c r="AX1381" i="1"/>
  <c r="AW1381" i="1"/>
  <c r="AV1381" i="1"/>
  <c r="AT1381" i="1"/>
  <c r="AS1381" i="1"/>
  <c r="CS1380" i="1"/>
  <c r="CR1380" i="1"/>
  <c r="CQ1380" i="1"/>
  <c r="CP1380" i="1"/>
  <c r="CO1380" i="1"/>
  <c r="CN1380" i="1"/>
  <c r="CL1380" i="1"/>
  <c r="CK1380" i="1"/>
  <c r="CJ1380" i="1"/>
  <c r="CI1380" i="1"/>
  <c r="CH1380" i="1"/>
  <c r="CG1380" i="1"/>
  <c r="CF1380" i="1"/>
  <c r="CD1380" i="1"/>
  <c r="CC1380" i="1"/>
  <c r="CB1380" i="1"/>
  <c r="CA1380" i="1"/>
  <c r="BZ1380" i="1"/>
  <c r="BY1380" i="1"/>
  <c r="BX1380" i="1"/>
  <c r="BU1380" i="1"/>
  <c r="BN1380" i="1"/>
  <c r="BS1380" i="1" s="1"/>
  <c r="BA1380" i="1"/>
  <c r="AZ1380" i="1"/>
  <c r="AY1380" i="1"/>
  <c r="AX1380" i="1"/>
  <c r="AW1380" i="1"/>
  <c r="AV1380" i="1"/>
  <c r="AT1380" i="1"/>
  <c r="AS1380" i="1"/>
  <c r="CS1379" i="1"/>
  <c r="CR1379" i="1"/>
  <c r="CQ1379" i="1"/>
  <c r="CP1379" i="1"/>
  <c r="CO1379" i="1"/>
  <c r="CN1379" i="1"/>
  <c r="CL1379" i="1"/>
  <c r="CK1379" i="1"/>
  <c r="CJ1379" i="1"/>
  <c r="CI1379" i="1"/>
  <c r="CH1379" i="1"/>
  <c r="CG1379" i="1"/>
  <c r="CF1379" i="1"/>
  <c r="CD1379" i="1"/>
  <c r="CC1379" i="1"/>
  <c r="CB1379" i="1"/>
  <c r="CA1379" i="1"/>
  <c r="BZ1379" i="1"/>
  <c r="BY1379" i="1"/>
  <c r="BX1379" i="1"/>
  <c r="BU1379" i="1"/>
  <c r="BN1379" i="1"/>
  <c r="BS1379" i="1" s="1"/>
  <c r="BA1379" i="1"/>
  <c r="AZ1379" i="1"/>
  <c r="AY1379" i="1"/>
  <c r="AX1379" i="1"/>
  <c r="AW1379" i="1"/>
  <c r="AV1379" i="1"/>
  <c r="AT1379" i="1"/>
  <c r="AS1379" i="1"/>
  <c r="CS1378" i="1"/>
  <c r="CR1378" i="1"/>
  <c r="CQ1378" i="1"/>
  <c r="CP1378" i="1"/>
  <c r="CO1378" i="1"/>
  <c r="CN1378" i="1"/>
  <c r="CL1378" i="1"/>
  <c r="CK1378" i="1"/>
  <c r="CJ1378" i="1"/>
  <c r="CI1378" i="1"/>
  <c r="CH1378" i="1"/>
  <c r="CG1378" i="1"/>
  <c r="CF1378" i="1"/>
  <c r="CD1378" i="1"/>
  <c r="CC1378" i="1"/>
  <c r="CB1378" i="1"/>
  <c r="CA1378" i="1"/>
  <c r="BZ1378" i="1"/>
  <c r="BY1378" i="1"/>
  <c r="BX1378" i="1"/>
  <c r="BU1378" i="1"/>
  <c r="BN1378" i="1"/>
  <c r="BS1378" i="1" s="1"/>
  <c r="BA1378" i="1"/>
  <c r="AZ1378" i="1"/>
  <c r="AY1378" i="1"/>
  <c r="AX1378" i="1"/>
  <c r="AW1378" i="1"/>
  <c r="AV1378" i="1"/>
  <c r="AT1378" i="1"/>
  <c r="AS1378" i="1"/>
  <c r="CS1377" i="1"/>
  <c r="CR1377" i="1"/>
  <c r="CQ1377" i="1"/>
  <c r="CP1377" i="1"/>
  <c r="CO1377" i="1"/>
  <c r="CN1377" i="1"/>
  <c r="CL1377" i="1"/>
  <c r="CK1377" i="1"/>
  <c r="CJ1377" i="1"/>
  <c r="CI1377" i="1"/>
  <c r="CH1377" i="1"/>
  <c r="CG1377" i="1"/>
  <c r="CF1377" i="1"/>
  <c r="CD1377" i="1"/>
  <c r="CC1377" i="1"/>
  <c r="CB1377" i="1"/>
  <c r="CA1377" i="1"/>
  <c r="BZ1377" i="1"/>
  <c r="BY1377" i="1"/>
  <c r="BX1377" i="1"/>
  <c r="BU1377" i="1"/>
  <c r="BN1377" i="1"/>
  <c r="BS1377" i="1" s="1"/>
  <c r="BA1377" i="1"/>
  <c r="AZ1377" i="1"/>
  <c r="AY1377" i="1"/>
  <c r="AX1377" i="1"/>
  <c r="AW1377" i="1"/>
  <c r="AV1377" i="1"/>
  <c r="AT1377" i="1"/>
  <c r="AS1377" i="1"/>
  <c r="CS1376" i="1"/>
  <c r="CR1376" i="1"/>
  <c r="CQ1376" i="1"/>
  <c r="CP1376" i="1"/>
  <c r="CO1376" i="1"/>
  <c r="CN1376" i="1"/>
  <c r="CL1376" i="1"/>
  <c r="CK1376" i="1"/>
  <c r="CJ1376" i="1"/>
  <c r="CI1376" i="1"/>
  <c r="CH1376" i="1"/>
  <c r="CG1376" i="1"/>
  <c r="CF1376" i="1"/>
  <c r="CD1376" i="1"/>
  <c r="CC1376" i="1"/>
  <c r="CB1376" i="1"/>
  <c r="CA1376" i="1"/>
  <c r="BZ1376" i="1"/>
  <c r="BY1376" i="1"/>
  <c r="BX1376" i="1"/>
  <c r="BU1376" i="1"/>
  <c r="BN1376" i="1"/>
  <c r="BS1376" i="1" s="1"/>
  <c r="BA1376" i="1"/>
  <c r="AZ1376" i="1"/>
  <c r="AY1376" i="1"/>
  <c r="AX1376" i="1"/>
  <c r="AW1376" i="1"/>
  <c r="AV1376" i="1"/>
  <c r="AT1376" i="1"/>
  <c r="AS1376" i="1"/>
  <c r="CS1375" i="1"/>
  <c r="CR1375" i="1"/>
  <c r="CQ1375" i="1"/>
  <c r="CP1375" i="1"/>
  <c r="CO1375" i="1"/>
  <c r="CN1375" i="1"/>
  <c r="CL1375" i="1"/>
  <c r="CK1375" i="1"/>
  <c r="CJ1375" i="1"/>
  <c r="CI1375" i="1"/>
  <c r="CH1375" i="1"/>
  <c r="CG1375" i="1"/>
  <c r="CF1375" i="1"/>
  <c r="CD1375" i="1"/>
  <c r="CC1375" i="1"/>
  <c r="CB1375" i="1"/>
  <c r="CA1375" i="1"/>
  <c r="BZ1375" i="1"/>
  <c r="BY1375" i="1"/>
  <c r="BX1375" i="1"/>
  <c r="BU1375" i="1"/>
  <c r="BN1375" i="1"/>
  <c r="BS1375" i="1" s="1"/>
  <c r="BA1375" i="1"/>
  <c r="AZ1375" i="1"/>
  <c r="AY1375" i="1"/>
  <c r="AX1375" i="1"/>
  <c r="AW1375" i="1"/>
  <c r="AV1375" i="1"/>
  <c r="AT1375" i="1"/>
  <c r="AS1375" i="1"/>
  <c r="CS1374" i="1"/>
  <c r="CR1374" i="1"/>
  <c r="CQ1374" i="1"/>
  <c r="CP1374" i="1"/>
  <c r="CO1374" i="1"/>
  <c r="CN1374" i="1"/>
  <c r="CL1374" i="1"/>
  <c r="CK1374" i="1"/>
  <c r="CJ1374" i="1"/>
  <c r="CI1374" i="1"/>
  <c r="CH1374" i="1"/>
  <c r="CG1374" i="1"/>
  <c r="CF1374" i="1"/>
  <c r="CD1374" i="1"/>
  <c r="CC1374" i="1"/>
  <c r="CB1374" i="1"/>
  <c r="CA1374" i="1"/>
  <c r="BZ1374" i="1"/>
  <c r="BY1374" i="1"/>
  <c r="BX1374" i="1"/>
  <c r="BU1374" i="1"/>
  <c r="BN1374" i="1"/>
  <c r="BS1374" i="1" s="1"/>
  <c r="BA1374" i="1"/>
  <c r="AZ1374" i="1"/>
  <c r="AY1374" i="1"/>
  <c r="AX1374" i="1"/>
  <c r="AW1374" i="1"/>
  <c r="AV1374" i="1"/>
  <c r="AT1374" i="1"/>
  <c r="AS1374" i="1"/>
  <c r="CS1373" i="1"/>
  <c r="CR1373" i="1"/>
  <c r="CQ1373" i="1"/>
  <c r="CP1373" i="1"/>
  <c r="CO1373" i="1"/>
  <c r="CN1373" i="1"/>
  <c r="CL1373" i="1"/>
  <c r="CK1373" i="1"/>
  <c r="CJ1373" i="1"/>
  <c r="CI1373" i="1"/>
  <c r="CH1373" i="1"/>
  <c r="CG1373" i="1"/>
  <c r="CF1373" i="1"/>
  <c r="CD1373" i="1"/>
  <c r="CC1373" i="1"/>
  <c r="CB1373" i="1"/>
  <c r="CA1373" i="1"/>
  <c r="BZ1373" i="1"/>
  <c r="BY1373" i="1"/>
  <c r="BX1373" i="1"/>
  <c r="BU1373" i="1"/>
  <c r="BN1373" i="1"/>
  <c r="BS1373" i="1" s="1"/>
  <c r="BA1373" i="1"/>
  <c r="AZ1373" i="1"/>
  <c r="AY1373" i="1"/>
  <c r="AX1373" i="1"/>
  <c r="AW1373" i="1"/>
  <c r="AV1373" i="1"/>
  <c r="AT1373" i="1"/>
  <c r="AS1373" i="1"/>
  <c r="CS1372" i="1"/>
  <c r="CR1372" i="1"/>
  <c r="CQ1372" i="1"/>
  <c r="CP1372" i="1"/>
  <c r="CO1372" i="1"/>
  <c r="CN1372" i="1"/>
  <c r="CL1372" i="1"/>
  <c r="CK1372" i="1"/>
  <c r="CJ1372" i="1"/>
  <c r="CI1372" i="1"/>
  <c r="CH1372" i="1"/>
  <c r="CG1372" i="1"/>
  <c r="CF1372" i="1"/>
  <c r="CD1372" i="1"/>
  <c r="CC1372" i="1"/>
  <c r="CB1372" i="1"/>
  <c r="CA1372" i="1"/>
  <c r="BZ1372" i="1"/>
  <c r="BY1372" i="1"/>
  <c r="BX1372" i="1"/>
  <c r="BU1372" i="1"/>
  <c r="BN1372" i="1"/>
  <c r="BS1372" i="1" s="1"/>
  <c r="BA1372" i="1"/>
  <c r="AZ1372" i="1"/>
  <c r="AY1372" i="1"/>
  <c r="AX1372" i="1"/>
  <c r="AW1372" i="1"/>
  <c r="AV1372" i="1"/>
  <c r="AT1372" i="1"/>
  <c r="AS1372" i="1"/>
  <c r="CS1371" i="1"/>
  <c r="CR1371" i="1"/>
  <c r="CQ1371" i="1"/>
  <c r="CP1371" i="1"/>
  <c r="CO1371" i="1"/>
  <c r="CN1371" i="1"/>
  <c r="CL1371" i="1"/>
  <c r="CK1371" i="1"/>
  <c r="CJ1371" i="1"/>
  <c r="CI1371" i="1"/>
  <c r="CH1371" i="1"/>
  <c r="CG1371" i="1"/>
  <c r="CF1371" i="1"/>
  <c r="CD1371" i="1"/>
  <c r="CC1371" i="1"/>
  <c r="CB1371" i="1"/>
  <c r="CA1371" i="1"/>
  <c r="BZ1371" i="1"/>
  <c r="BY1371" i="1"/>
  <c r="BX1371" i="1"/>
  <c r="BU1371" i="1"/>
  <c r="BN1371" i="1"/>
  <c r="BS1371" i="1" s="1"/>
  <c r="BA1371" i="1"/>
  <c r="AZ1371" i="1"/>
  <c r="AY1371" i="1"/>
  <c r="AX1371" i="1"/>
  <c r="AW1371" i="1"/>
  <c r="AV1371" i="1"/>
  <c r="AT1371" i="1"/>
  <c r="AS1371" i="1"/>
  <c r="CS1370" i="1"/>
  <c r="CR1370" i="1"/>
  <c r="CQ1370" i="1"/>
  <c r="CP1370" i="1"/>
  <c r="CO1370" i="1"/>
  <c r="CN1370" i="1"/>
  <c r="CL1370" i="1"/>
  <c r="CK1370" i="1"/>
  <c r="CJ1370" i="1"/>
  <c r="CI1370" i="1"/>
  <c r="CH1370" i="1"/>
  <c r="CG1370" i="1"/>
  <c r="CF1370" i="1"/>
  <c r="CD1370" i="1"/>
  <c r="CC1370" i="1"/>
  <c r="CB1370" i="1"/>
  <c r="CA1370" i="1"/>
  <c r="BZ1370" i="1"/>
  <c r="BY1370" i="1"/>
  <c r="BX1370" i="1"/>
  <c r="BU1370" i="1"/>
  <c r="BN1370" i="1"/>
  <c r="BS1370" i="1" s="1"/>
  <c r="BA1370" i="1"/>
  <c r="AZ1370" i="1"/>
  <c r="AY1370" i="1"/>
  <c r="AX1370" i="1"/>
  <c r="AW1370" i="1"/>
  <c r="AV1370" i="1"/>
  <c r="AT1370" i="1"/>
  <c r="AS1370" i="1"/>
  <c r="CS1369" i="1"/>
  <c r="CR1369" i="1"/>
  <c r="CQ1369" i="1"/>
  <c r="CP1369" i="1"/>
  <c r="CO1369" i="1"/>
  <c r="CN1369" i="1"/>
  <c r="CL1369" i="1"/>
  <c r="CK1369" i="1"/>
  <c r="CJ1369" i="1"/>
  <c r="CI1369" i="1"/>
  <c r="CH1369" i="1"/>
  <c r="CG1369" i="1"/>
  <c r="CF1369" i="1"/>
  <c r="CD1369" i="1"/>
  <c r="CC1369" i="1"/>
  <c r="CB1369" i="1"/>
  <c r="CA1369" i="1"/>
  <c r="BZ1369" i="1"/>
  <c r="BY1369" i="1"/>
  <c r="BX1369" i="1"/>
  <c r="BU1369" i="1"/>
  <c r="BN1369" i="1"/>
  <c r="BS1369" i="1" s="1"/>
  <c r="BA1369" i="1"/>
  <c r="AZ1369" i="1"/>
  <c r="AY1369" i="1"/>
  <c r="AX1369" i="1"/>
  <c r="AW1369" i="1"/>
  <c r="AV1369" i="1"/>
  <c r="AT1369" i="1"/>
  <c r="AS1369" i="1"/>
  <c r="CS1368" i="1"/>
  <c r="CR1368" i="1"/>
  <c r="CQ1368" i="1"/>
  <c r="CP1368" i="1"/>
  <c r="CO1368" i="1"/>
  <c r="CN1368" i="1"/>
  <c r="CL1368" i="1"/>
  <c r="CK1368" i="1"/>
  <c r="CJ1368" i="1"/>
  <c r="CI1368" i="1"/>
  <c r="CH1368" i="1"/>
  <c r="CG1368" i="1"/>
  <c r="CF1368" i="1"/>
  <c r="CD1368" i="1"/>
  <c r="CC1368" i="1"/>
  <c r="CB1368" i="1"/>
  <c r="CA1368" i="1"/>
  <c r="BZ1368" i="1"/>
  <c r="BY1368" i="1"/>
  <c r="BX1368" i="1"/>
  <c r="BU1368" i="1"/>
  <c r="BN1368" i="1"/>
  <c r="BS1368" i="1" s="1"/>
  <c r="BA1368" i="1"/>
  <c r="AZ1368" i="1"/>
  <c r="AY1368" i="1"/>
  <c r="AX1368" i="1"/>
  <c r="AW1368" i="1"/>
  <c r="AV1368" i="1"/>
  <c r="AT1368" i="1"/>
  <c r="AS1368" i="1"/>
  <c r="CS1367" i="1"/>
  <c r="CR1367" i="1"/>
  <c r="CQ1367" i="1"/>
  <c r="CP1367" i="1"/>
  <c r="CO1367" i="1"/>
  <c r="CN1367" i="1"/>
  <c r="CL1367" i="1"/>
  <c r="CK1367" i="1"/>
  <c r="CJ1367" i="1"/>
  <c r="CI1367" i="1"/>
  <c r="CH1367" i="1"/>
  <c r="CG1367" i="1"/>
  <c r="CF1367" i="1"/>
  <c r="CD1367" i="1"/>
  <c r="CC1367" i="1"/>
  <c r="CB1367" i="1"/>
  <c r="CA1367" i="1"/>
  <c r="BZ1367" i="1"/>
  <c r="BY1367" i="1"/>
  <c r="BX1367" i="1"/>
  <c r="BU1367" i="1"/>
  <c r="BN1367" i="1"/>
  <c r="BS1367" i="1" s="1"/>
  <c r="BA1367" i="1"/>
  <c r="AZ1367" i="1"/>
  <c r="AY1367" i="1"/>
  <c r="AX1367" i="1"/>
  <c r="AW1367" i="1"/>
  <c r="AV1367" i="1"/>
  <c r="AT1367" i="1"/>
  <c r="AS1367" i="1"/>
  <c r="CS1366" i="1"/>
  <c r="CR1366" i="1"/>
  <c r="CQ1366" i="1"/>
  <c r="CP1366" i="1"/>
  <c r="CO1366" i="1"/>
  <c r="CN1366" i="1"/>
  <c r="CL1366" i="1"/>
  <c r="CK1366" i="1"/>
  <c r="CJ1366" i="1"/>
  <c r="CI1366" i="1"/>
  <c r="CH1366" i="1"/>
  <c r="CG1366" i="1"/>
  <c r="CF1366" i="1"/>
  <c r="CD1366" i="1"/>
  <c r="CC1366" i="1"/>
  <c r="CB1366" i="1"/>
  <c r="CA1366" i="1"/>
  <c r="BZ1366" i="1"/>
  <c r="BY1366" i="1"/>
  <c r="BX1366" i="1"/>
  <c r="BU1366" i="1"/>
  <c r="BN1366" i="1"/>
  <c r="BS1366" i="1" s="1"/>
  <c r="BA1366" i="1"/>
  <c r="AZ1366" i="1"/>
  <c r="AY1366" i="1"/>
  <c r="AX1366" i="1"/>
  <c r="AW1366" i="1"/>
  <c r="AV1366" i="1"/>
  <c r="AT1366" i="1"/>
  <c r="AS1366" i="1"/>
  <c r="CS1365" i="1"/>
  <c r="CR1365" i="1"/>
  <c r="CQ1365" i="1"/>
  <c r="CP1365" i="1"/>
  <c r="CO1365" i="1"/>
  <c r="CN1365" i="1"/>
  <c r="CL1365" i="1"/>
  <c r="CK1365" i="1"/>
  <c r="CJ1365" i="1"/>
  <c r="CI1365" i="1"/>
  <c r="CH1365" i="1"/>
  <c r="CG1365" i="1"/>
  <c r="CF1365" i="1"/>
  <c r="CD1365" i="1"/>
  <c r="CC1365" i="1"/>
  <c r="CB1365" i="1"/>
  <c r="CA1365" i="1"/>
  <c r="BZ1365" i="1"/>
  <c r="BY1365" i="1"/>
  <c r="BX1365" i="1"/>
  <c r="BU1365" i="1"/>
  <c r="BN1365" i="1"/>
  <c r="BS1365" i="1" s="1"/>
  <c r="BA1365" i="1"/>
  <c r="AZ1365" i="1"/>
  <c r="AY1365" i="1"/>
  <c r="AX1365" i="1"/>
  <c r="AW1365" i="1"/>
  <c r="AV1365" i="1"/>
  <c r="AT1365" i="1"/>
  <c r="AS1365" i="1"/>
  <c r="CS1364" i="1"/>
  <c r="CR1364" i="1"/>
  <c r="CQ1364" i="1"/>
  <c r="CP1364" i="1"/>
  <c r="CO1364" i="1"/>
  <c r="CN1364" i="1"/>
  <c r="CL1364" i="1"/>
  <c r="CK1364" i="1"/>
  <c r="CJ1364" i="1"/>
  <c r="CI1364" i="1"/>
  <c r="CH1364" i="1"/>
  <c r="CG1364" i="1"/>
  <c r="CF1364" i="1"/>
  <c r="CD1364" i="1"/>
  <c r="CC1364" i="1"/>
  <c r="CB1364" i="1"/>
  <c r="CA1364" i="1"/>
  <c r="BZ1364" i="1"/>
  <c r="BY1364" i="1"/>
  <c r="BX1364" i="1"/>
  <c r="BU1364" i="1"/>
  <c r="BN1364" i="1"/>
  <c r="BS1364" i="1" s="1"/>
  <c r="BA1364" i="1"/>
  <c r="AZ1364" i="1"/>
  <c r="AY1364" i="1"/>
  <c r="AX1364" i="1"/>
  <c r="AW1364" i="1"/>
  <c r="AV1364" i="1"/>
  <c r="AT1364" i="1"/>
  <c r="AS1364" i="1"/>
  <c r="CS1363" i="1"/>
  <c r="CR1363" i="1"/>
  <c r="CQ1363" i="1"/>
  <c r="CP1363" i="1"/>
  <c r="CO1363" i="1"/>
  <c r="CN1363" i="1"/>
  <c r="CL1363" i="1"/>
  <c r="CK1363" i="1"/>
  <c r="CJ1363" i="1"/>
  <c r="CI1363" i="1"/>
  <c r="CH1363" i="1"/>
  <c r="CG1363" i="1"/>
  <c r="CF1363" i="1"/>
  <c r="CD1363" i="1"/>
  <c r="CC1363" i="1"/>
  <c r="CB1363" i="1"/>
  <c r="CA1363" i="1"/>
  <c r="BZ1363" i="1"/>
  <c r="BY1363" i="1"/>
  <c r="BX1363" i="1"/>
  <c r="BU1363" i="1"/>
  <c r="BN1363" i="1"/>
  <c r="BS1363" i="1" s="1"/>
  <c r="BA1363" i="1"/>
  <c r="AZ1363" i="1"/>
  <c r="AY1363" i="1"/>
  <c r="AX1363" i="1"/>
  <c r="AW1363" i="1"/>
  <c r="AV1363" i="1"/>
  <c r="AT1363" i="1"/>
  <c r="AS1363" i="1"/>
  <c r="CS1362" i="1"/>
  <c r="CR1362" i="1"/>
  <c r="CQ1362" i="1"/>
  <c r="CP1362" i="1"/>
  <c r="CO1362" i="1"/>
  <c r="CN1362" i="1"/>
  <c r="CL1362" i="1"/>
  <c r="CK1362" i="1"/>
  <c r="CJ1362" i="1"/>
  <c r="CI1362" i="1"/>
  <c r="CH1362" i="1"/>
  <c r="CG1362" i="1"/>
  <c r="CF1362" i="1"/>
  <c r="CD1362" i="1"/>
  <c r="CC1362" i="1"/>
  <c r="CB1362" i="1"/>
  <c r="CA1362" i="1"/>
  <c r="BZ1362" i="1"/>
  <c r="BY1362" i="1"/>
  <c r="BX1362" i="1"/>
  <c r="BU1362" i="1"/>
  <c r="BN1362" i="1"/>
  <c r="BS1362" i="1" s="1"/>
  <c r="BA1362" i="1"/>
  <c r="AZ1362" i="1"/>
  <c r="AY1362" i="1"/>
  <c r="AX1362" i="1"/>
  <c r="AW1362" i="1"/>
  <c r="AV1362" i="1"/>
  <c r="AT1362" i="1"/>
  <c r="AS1362" i="1"/>
  <c r="CS1361" i="1"/>
  <c r="CR1361" i="1"/>
  <c r="CQ1361" i="1"/>
  <c r="CP1361" i="1"/>
  <c r="CO1361" i="1"/>
  <c r="CN1361" i="1"/>
  <c r="CL1361" i="1"/>
  <c r="CK1361" i="1"/>
  <c r="CJ1361" i="1"/>
  <c r="CI1361" i="1"/>
  <c r="CH1361" i="1"/>
  <c r="CG1361" i="1"/>
  <c r="CF1361" i="1"/>
  <c r="CD1361" i="1"/>
  <c r="CC1361" i="1"/>
  <c r="CB1361" i="1"/>
  <c r="CA1361" i="1"/>
  <c r="BZ1361" i="1"/>
  <c r="BY1361" i="1"/>
  <c r="BX1361" i="1"/>
  <c r="BU1361" i="1"/>
  <c r="BN1361" i="1"/>
  <c r="BS1361" i="1" s="1"/>
  <c r="BA1361" i="1"/>
  <c r="AZ1361" i="1"/>
  <c r="AY1361" i="1"/>
  <c r="AX1361" i="1"/>
  <c r="AW1361" i="1"/>
  <c r="AV1361" i="1"/>
  <c r="AT1361" i="1"/>
  <c r="AS1361" i="1"/>
  <c r="CS1360" i="1"/>
  <c r="CR1360" i="1"/>
  <c r="CQ1360" i="1"/>
  <c r="CP1360" i="1"/>
  <c r="CO1360" i="1"/>
  <c r="CN1360" i="1"/>
  <c r="CL1360" i="1"/>
  <c r="CK1360" i="1"/>
  <c r="CJ1360" i="1"/>
  <c r="CI1360" i="1"/>
  <c r="CH1360" i="1"/>
  <c r="CG1360" i="1"/>
  <c r="CF1360" i="1"/>
  <c r="CD1360" i="1"/>
  <c r="CC1360" i="1"/>
  <c r="CB1360" i="1"/>
  <c r="CA1360" i="1"/>
  <c r="BZ1360" i="1"/>
  <c r="BY1360" i="1"/>
  <c r="BX1360" i="1"/>
  <c r="BU1360" i="1"/>
  <c r="BN1360" i="1"/>
  <c r="BS1360" i="1" s="1"/>
  <c r="BA1360" i="1"/>
  <c r="AZ1360" i="1"/>
  <c r="AY1360" i="1"/>
  <c r="AX1360" i="1"/>
  <c r="AW1360" i="1"/>
  <c r="AV1360" i="1"/>
  <c r="AT1360" i="1"/>
  <c r="AS1360" i="1"/>
  <c r="CS1359" i="1"/>
  <c r="CR1359" i="1"/>
  <c r="CQ1359" i="1"/>
  <c r="CP1359" i="1"/>
  <c r="CO1359" i="1"/>
  <c r="CN1359" i="1"/>
  <c r="CL1359" i="1"/>
  <c r="CK1359" i="1"/>
  <c r="CJ1359" i="1"/>
  <c r="CI1359" i="1"/>
  <c r="CH1359" i="1"/>
  <c r="CG1359" i="1"/>
  <c r="CF1359" i="1"/>
  <c r="CD1359" i="1"/>
  <c r="CC1359" i="1"/>
  <c r="CB1359" i="1"/>
  <c r="CA1359" i="1"/>
  <c r="BZ1359" i="1"/>
  <c r="BY1359" i="1"/>
  <c r="BX1359" i="1"/>
  <c r="BU1359" i="1"/>
  <c r="BN1359" i="1"/>
  <c r="BS1359" i="1" s="1"/>
  <c r="BA1359" i="1"/>
  <c r="AZ1359" i="1"/>
  <c r="AY1359" i="1"/>
  <c r="AX1359" i="1"/>
  <c r="AW1359" i="1"/>
  <c r="AV1359" i="1"/>
  <c r="AT1359" i="1"/>
  <c r="AS1359" i="1"/>
  <c r="CS1358" i="1"/>
  <c r="CR1358" i="1"/>
  <c r="CQ1358" i="1"/>
  <c r="CP1358" i="1"/>
  <c r="CO1358" i="1"/>
  <c r="CN1358" i="1"/>
  <c r="CL1358" i="1"/>
  <c r="CK1358" i="1"/>
  <c r="CJ1358" i="1"/>
  <c r="CI1358" i="1"/>
  <c r="CH1358" i="1"/>
  <c r="CG1358" i="1"/>
  <c r="CF1358" i="1"/>
  <c r="CD1358" i="1"/>
  <c r="CC1358" i="1"/>
  <c r="CB1358" i="1"/>
  <c r="CA1358" i="1"/>
  <c r="BZ1358" i="1"/>
  <c r="BY1358" i="1"/>
  <c r="BX1358" i="1"/>
  <c r="BU1358" i="1"/>
  <c r="BN1358" i="1"/>
  <c r="BS1358" i="1" s="1"/>
  <c r="BA1358" i="1"/>
  <c r="AZ1358" i="1"/>
  <c r="AY1358" i="1"/>
  <c r="AX1358" i="1"/>
  <c r="AW1358" i="1"/>
  <c r="AV1358" i="1"/>
  <c r="AT1358" i="1"/>
  <c r="AS1358" i="1"/>
  <c r="CS1357" i="1"/>
  <c r="CR1357" i="1"/>
  <c r="CQ1357" i="1"/>
  <c r="CP1357" i="1"/>
  <c r="CO1357" i="1"/>
  <c r="CN1357" i="1"/>
  <c r="CL1357" i="1"/>
  <c r="CK1357" i="1"/>
  <c r="CJ1357" i="1"/>
  <c r="CI1357" i="1"/>
  <c r="CH1357" i="1"/>
  <c r="CG1357" i="1"/>
  <c r="CF1357" i="1"/>
  <c r="CD1357" i="1"/>
  <c r="CC1357" i="1"/>
  <c r="CB1357" i="1"/>
  <c r="CA1357" i="1"/>
  <c r="BZ1357" i="1"/>
  <c r="BY1357" i="1"/>
  <c r="BX1357" i="1"/>
  <c r="BU1357" i="1"/>
  <c r="BN1357" i="1"/>
  <c r="BS1357" i="1" s="1"/>
  <c r="BA1357" i="1"/>
  <c r="AZ1357" i="1"/>
  <c r="AY1357" i="1"/>
  <c r="AX1357" i="1"/>
  <c r="AW1357" i="1"/>
  <c r="AV1357" i="1"/>
  <c r="AT1357" i="1"/>
  <c r="AS1357" i="1"/>
  <c r="CS1356" i="1"/>
  <c r="CR1356" i="1"/>
  <c r="CQ1356" i="1"/>
  <c r="CP1356" i="1"/>
  <c r="CO1356" i="1"/>
  <c r="CN1356" i="1"/>
  <c r="CL1356" i="1"/>
  <c r="CK1356" i="1"/>
  <c r="CJ1356" i="1"/>
  <c r="CI1356" i="1"/>
  <c r="CH1356" i="1"/>
  <c r="CG1356" i="1"/>
  <c r="CF1356" i="1"/>
  <c r="CD1356" i="1"/>
  <c r="CC1356" i="1"/>
  <c r="CB1356" i="1"/>
  <c r="CA1356" i="1"/>
  <c r="BZ1356" i="1"/>
  <c r="BY1356" i="1"/>
  <c r="BX1356" i="1"/>
  <c r="BU1356" i="1"/>
  <c r="BN1356" i="1"/>
  <c r="BS1356" i="1" s="1"/>
  <c r="BA1356" i="1"/>
  <c r="AZ1356" i="1"/>
  <c r="AY1356" i="1"/>
  <c r="AX1356" i="1"/>
  <c r="AW1356" i="1"/>
  <c r="AV1356" i="1"/>
  <c r="AT1356" i="1"/>
  <c r="AS1356" i="1"/>
  <c r="CS1355" i="1"/>
  <c r="CR1355" i="1"/>
  <c r="CQ1355" i="1"/>
  <c r="CP1355" i="1"/>
  <c r="CO1355" i="1"/>
  <c r="CN1355" i="1"/>
  <c r="CL1355" i="1"/>
  <c r="CK1355" i="1"/>
  <c r="CJ1355" i="1"/>
  <c r="CI1355" i="1"/>
  <c r="CH1355" i="1"/>
  <c r="CG1355" i="1"/>
  <c r="CF1355" i="1"/>
  <c r="CD1355" i="1"/>
  <c r="CC1355" i="1"/>
  <c r="CB1355" i="1"/>
  <c r="CA1355" i="1"/>
  <c r="BZ1355" i="1"/>
  <c r="BY1355" i="1"/>
  <c r="BX1355" i="1"/>
  <c r="BU1355" i="1"/>
  <c r="BN1355" i="1"/>
  <c r="BS1355" i="1" s="1"/>
  <c r="BA1355" i="1"/>
  <c r="AZ1355" i="1"/>
  <c r="AY1355" i="1"/>
  <c r="AX1355" i="1"/>
  <c r="AW1355" i="1"/>
  <c r="AV1355" i="1"/>
  <c r="AT1355" i="1"/>
  <c r="AS1355" i="1"/>
  <c r="CS1354" i="1"/>
  <c r="CR1354" i="1"/>
  <c r="CQ1354" i="1"/>
  <c r="CP1354" i="1"/>
  <c r="CO1354" i="1"/>
  <c r="CN1354" i="1"/>
  <c r="CL1354" i="1"/>
  <c r="CK1354" i="1"/>
  <c r="CJ1354" i="1"/>
  <c r="CI1354" i="1"/>
  <c r="CH1354" i="1"/>
  <c r="CG1354" i="1"/>
  <c r="CF1354" i="1"/>
  <c r="CD1354" i="1"/>
  <c r="CC1354" i="1"/>
  <c r="CB1354" i="1"/>
  <c r="CA1354" i="1"/>
  <c r="BZ1354" i="1"/>
  <c r="BY1354" i="1"/>
  <c r="BX1354" i="1"/>
  <c r="BU1354" i="1"/>
  <c r="BN1354" i="1"/>
  <c r="BS1354" i="1" s="1"/>
  <c r="BA1354" i="1"/>
  <c r="AZ1354" i="1"/>
  <c r="AY1354" i="1"/>
  <c r="AX1354" i="1"/>
  <c r="AW1354" i="1"/>
  <c r="AV1354" i="1"/>
  <c r="AT1354" i="1"/>
  <c r="AS1354" i="1"/>
  <c r="CS1353" i="1"/>
  <c r="CR1353" i="1"/>
  <c r="CQ1353" i="1"/>
  <c r="CP1353" i="1"/>
  <c r="CO1353" i="1"/>
  <c r="CN1353" i="1"/>
  <c r="CL1353" i="1"/>
  <c r="CK1353" i="1"/>
  <c r="CJ1353" i="1"/>
  <c r="CI1353" i="1"/>
  <c r="CH1353" i="1"/>
  <c r="CG1353" i="1"/>
  <c r="CF1353" i="1"/>
  <c r="CD1353" i="1"/>
  <c r="CC1353" i="1"/>
  <c r="CB1353" i="1"/>
  <c r="CA1353" i="1"/>
  <c r="BZ1353" i="1"/>
  <c r="BY1353" i="1"/>
  <c r="BX1353" i="1"/>
  <c r="BU1353" i="1"/>
  <c r="BN1353" i="1"/>
  <c r="BS1353" i="1" s="1"/>
  <c r="BA1353" i="1"/>
  <c r="AZ1353" i="1"/>
  <c r="AY1353" i="1"/>
  <c r="AX1353" i="1"/>
  <c r="AW1353" i="1"/>
  <c r="AV1353" i="1"/>
  <c r="AT1353" i="1"/>
  <c r="AS1353" i="1"/>
  <c r="CS1352" i="1"/>
  <c r="CR1352" i="1"/>
  <c r="CQ1352" i="1"/>
  <c r="CP1352" i="1"/>
  <c r="CO1352" i="1"/>
  <c r="CN1352" i="1"/>
  <c r="CL1352" i="1"/>
  <c r="CK1352" i="1"/>
  <c r="CJ1352" i="1"/>
  <c r="CI1352" i="1"/>
  <c r="CH1352" i="1"/>
  <c r="CG1352" i="1"/>
  <c r="CF1352" i="1"/>
  <c r="CD1352" i="1"/>
  <c r="CC1352" i="1"/>
  <c r="CB1352" i="1"/>
  <c r="CA1352" i="1"/>
  <c r="BZ1352" i="1"/>
  <c r="BY1352" i="1"/>
  <c r="BX1352" i="1"/>
  <c r="BU1352" i="1"/>
  <c r="BN1352" i="1"/>
  <c r="BS1352" i="1" s="1"/>
  <c r="BA1352" i="1"/>
  <c r="AZ1352" i="1"/>
  <c r="AY1352" i="1"/>
  <c r="AX1352" i="1"/>
  <c r="AW1352" i="1"/>
  <c r="AV1352" i="1"/>
  <c r="AT1352" i="1"/>
  <c r="AS1352" i="1"/>
  <c r="CS1351" i="1"/>
  <c r="CR1351" i="1"/>
  <c r="CQ1351" i="1"/>
  <c r="CP1351" i="1"/>
  <c r="CO1351" i="1"/>
  <c r="CN1351" i="1"/>
  <c r="CL1351" i="1"/>
  <c r="CK1351" i="1"/>
  <c r="CJ1351" i="1"/>
  <c r="CI1351" i="1"/>
  <c r="CH1351" i="1"/>
  <c r="CG1351" i="1"/>
  <c r="CF1351" i="1"/>
  <c r="CD1351" i="1"/>
  <c r="CC1351" i="1"/>
  <c r="CB1351" i="1"/>
  <c r="CA1351" i="1"/>
  <c r="BZ1351" i="1"/>
  <c r="BY1351" i="1"/>
  <c r="BX1351" i="1"/>
  <c r="BU1351" i="1"/>
  <c r="BN1351" i="1"/>
  <c r="BS1351" i="1" s="1"/>
  <c r="BA1351" i="1"/>
  <c r="AZ1351" i="1"/>
  <c r="AY1351" i="1"/>
  <c r="AX1351" i="1"/>
  <c r="AW1351" i="1"/>
  <c r="AV1351" i="1"/>
  <c r="AT1351" i="1"/>
  <c r="AS1351" i="1"/>
  <c r="CS1350" i="1"/>
  <c r="CR1350" i="1"/>
  <c r="CQ1350" i="1"/>
  <c r="CP1350" i="1"/>
  <c r="CO1350" i="1"/>
  <c r="CN1350" i="1"/>
  <c r="CL1350" i="1"/>
  <c r="CK1350" i="1"/>
  <c r="CJ1350" i="1"/>
  <c r="CI1350" i="1"/>
  <c r="CH1350" i="1"/>
  <c r="CG1350" i="1"/>
  <c r="CF1350" i="1"/>
  <c r="CD1350" i="1"/>
  <c r="CC1350" i="1"/>
  <c r="CB1350" i="1"/>
  <c r="CA1350" i="1"/>
  <c r="BZ1350" i="1"/>
  <c r="BY1350" i="1"/>
  <c r="BX1350" i="1"/>
  <c r="BU1350" i="1"/>
  <c r="BN1350" i="1"/>
  <c r="BS1350" i="1" s="1"/>
  <c r="BA1350" i="1"/>
  <c r="AZ1350" i="1"/>
  <c r="AY1350" i="1"/>
  <c r="AX1350" i="1"/>
  <c r="AW1350" i="1"/>
  <c r="AV1350" i="1"/>
  <c r="AT1350" i="1"/>
  <c r="AS1350" i="1"/>
  <c r="CS1349" i="1"/>
  <c r="CR1349" i="1"/>
  <c r="CQ1349" i="1"/>
  <c r="CP1349" i="1"/>
  <c r="CO1349" i="1"/>
  <c r="CN1349" i="1"/>
  <c r="CL1349" i="1"/>
  <c r="CK1349" i="1"/>
  <c r="CJ1349" i="1"/>
  <c r="CI1349" i="1"/>
  <c r="CH1349" i="1"/>
  <c r="CG1349" i="1"/>
  <c r="CF1349" i="1"/>
  <c r="CD1349" i="1"/>
  <c r="CC1349" i="1"/>
  <c r="CB1349" i="1"/>
  <c r="CA1349" i="1"/>
  <c r="BZ1349" i="1"/>
  <c r="BY1349" i="1"/>
  <c r="BX1349" i="1"/>
  <c r="BU1349" i="1"/>
  <c r="BN1349" i="1"/>
  <c r="BS1349" i="1" s="1"/>
  <c r="BA1349" i="1"/>
  <c r="AZ1349" i="1"/>
  <c r="AY1349" i="1"/>
  <c r="AX1349" i="1"/>
  <c r="AW1349" i="1"/>
  <c r="AV1349" i="1"/>
  <c r="AT1349" i="1"/>
  <c r="AS1349" i="1"/>
  <c r="CS1348" i="1"/>
  <c r="CR1348" i="1"/>
  <c r="CQ1348" i="1"/>
  <c r="CP1348" i="1"/>
  <c r="CO1348" i="1"/>
  <c r="CN1348" i="1"/>
  <c r="CL1348" i="1"/>
  <c r="CK1348" i="1"/>
  <c r="CJ1348" i="1"/>
  <c r="CI1348" i="1"/>
  <c r="CH1348" i="1"/>
  <c r="CG1348" i="1"/>
  <c r="CF1348" i="1"/>
  <c r="CD1348" i="1"/>
  <c r="CC1348" i="1"/>
  <c r="CB1348" i="1"/>
  <c r="CA1348" i="1"/>
  <c r="BZ1348" i="1"/>
  <c r="BY1348" i="1"/>
  <c r="BX1348" i="1"/>
  <c r="BU1348" i="1"/>
  <c r="BN1348" i="1"/>
  <c r="BS1348" i="1" s="1"/>
  <c r="BA1348" i="1"/>
  <c r="AZ1348" i="1"/>
  <c r="AY1348" i="1"/>
  <c r="AX1348" i="1"/>
  <c r="AW1348" i="1"/>
  <c r="AV1348" i="1"/>
  <c r="AT1348" i="1"/>
  <c r="AS1348" i="1"/>
  <c r="CS1347" i="1"/>
  <c r="CR1347" i="1"/>
  <c r="CQ1347" i="1"/>
  <c r="CP1347" i="1"/>
  <c r="CO1347" i="1"/>
  <c r="CN1347" i="1"/>
  <c r="CL1347" i="1"/>
  <c r="CK1347" i="1"/>
  <c r="CJ1347" i="1"/>
  <c r="CI1347" i="1"/>
  <c r="CH1347" i="1"/>
  <c r="CG1347" i="1"/>
  <c r="CF1347" i="1"/>
  <c r="CD1347" i="1"/>
  <c r="CC1347" i="1"/>
  <c r="CB1347" i="1"/>
  <c r="CA1347" i="1"/>
  <c r="BZ1347" i="1"/>
  <c r="BY1347" i="1"/>
  <c r="BX1347" i="1"/>
  <c r="BU1347" i="1"/>
  <c r="BN1347" i="1"/>
  <c r="BS1347" i="1" s="1"/>
  <c r="BA1347" i="1"/>
  <c r="AZ1347" i="1"/>
  <c r="AY1347" i="1"/>
  <c r="AX1347" i="1"/>
  <c r="AW1347" i="1"/>
  <c r="AV1347" i="1"/>
  <c r="AT1347" i="1"/>
  <c r="AS1347" i="1"/>
  <c r="CS1346" i="1"/>
  <c r="CR1346" i="1"/>
  <c r="CQ1346" i="1"/>
  <c r="CP1346" i="1"/>
  <c r="CO1346" i="1"/>
  <c r="CN1346" i="1"/>
  <c r="CL1346" i="1"/>
  <c r="CK1346" i="1"/>
  <c r="CJ1346" i="1"/>
  <c r="CI1346" i="1"/>
  <c r="CH1346" i="1"/>
  <c r="CG1346" i="1"/>
  <c r="CF1346" i="1"/>
  <c r="CD1346" i="1"/>
  <c r="CC1346" i="1"/>
  <c r="CB1346" i="1"/>
  <c r="CA1346" i="1"/>
  <c r="BZ1346" i="1"/>
  <c r="BY1346" i="1"/>
  <c r="BX1346" i="1"/>
  <c r="BU1346" i="1"/>
  <c r="BN1346" i="1"/>
  <c r="BS1346" i="1" s="1"/>
  <c r="BA1346" i="1"/>
  <c r="AZ1346" i="1"/>
  <c r="AY1346" i="1"/>
  <c r="AX1346" i="1"/>
  <c r="AW1346" i="1"/>
  <c r="AV1346" i="1"/>
  <c r="AT1346" i="1"/>
  <c r="AS1346" i="1"/>
  <c r="CS1345" i="1"/>
  <c r="CR1345" i="1"/>
  <c r="CQ1345" i="1"/>
  <c r="CP1345" i="1"/>
  <c r="CO1345" i="1"/>
  <c r="CN1345" i="1"/>
  <c r="CL1345" i="1"/>
  <c r="CK1345" i="1"/>
  <c r="CJ1345" i="1"/>
  <c r="CI1345" i="1"/>
  <c r="CH1345" i="1"/>
  <c r="CG1345" i="1"/>
  <c r="CF1345" i="1"/>
  <c r="CD1345" i="1"/>
  <c r="CC1345" i="1"/>
  <c r="CB1345" i="1"/>
  <c r="CA1345" i="1"/>
  <c r="BZ1345" i="1"/>
  <c r="BY1345" i="1"/>
  <c r="BX1345" i="1"/>
  <c r="BU1345" i="1"/>
  <c r="BN1345" i="1"/>
  <c r="BS1345" i="1" s="1"/>
  <c r="BA1345" i="1"/>
  <c r="AZ1345" i="1"/>
  <c r="AY1345" i="1"/>
  <c r="AX1345" i="1"/>
  <c r="AW1345" i="1"/>
  <c r="AV1345" i="1"/>
  <c r="AT1345" i="1"/>
  <c r="AS1345" i="1"/>
  <c r="CS1344" i="1"/>
  <c r="CR1344" i="1"/>
  <c r="CQ1344" i="1"/>
  <c r="CP1344" i="1"/>
  <c r="CO1344" i="1"/>
  <c r="CN1344" i="1"/>
  <c r="CL1344" i="1"/>
  <c r="CK1344" i="1"/>
  <c r="CJ1344" i="1"/>
  <c r="CI1344" i="1"/>
  <c r="CH1344" i="1"/>
  <c r="CG1344" i="1"/>
  <c r="CF1344" i="1"/>
  <c r="CD1344" i="1"/>
  <c r="CC1344" i="1"/>
  <c r="CB1344" i="1"/>
  <c r="CA1344" i="1"/>
  <c r="BZ1344" i="1"/>
  <c r="BY1344" i="1"/>
  <c r="BX1344" i="1"/>
  <c r="BU1344" i="1"/>
  <c r="BN1344" i="1"/>
  <c r="BS1344" i="1" s="1"/>
  <c r="BA1344" i="1"/>
  <c r="AZ1344" i="1"/>
  <c r="AY1344" i="1"/>
  <c r="AX1344" i="1"/>
  <c r="AW1344" i="1"/>
  <c r="AV1344" i="1"/>
  <c r="AT1344" i="1"/>
  <c r="AS1344" i="1"/>
  <c r="CS1343" i="1"/>
  <c r="CR1343" i="1"/>
  <c r="CQ1343" i="1"/>
  <c r="CP1343" i="1"/>
  <c r="CO1343" i="1"/>
  <c r="CN1343" i="1"/>
  <c r="CL1343" i="1"/>
  <c r="CK1343" i="1"/>
  <c r="CJ1343" i="1"/>
  <c r="CI1343" i="1"/>
  <c r="CH1343" i="1"/>
  <c r="CG1343" i="1"/>
  <c r="CF1343" i="1"/>
  <c r="CD1343" i="1"/>
  <c r="CC1343" i="1"/>
  <c r="CB1343" i="1"/>
  <c r="CA1343" i="1"/>
  <c r="BZ1343" i="1"/>
  <c r="BY1343" i="1"/>
  <c r="BX1343" i="1"/>
  <c r="BU1343" i="1"/>
  <c r="BN1343" i="1"/>
  <c r="BS1343" i="1" s="1"/>
  <c r="BA1343" i="1"/>
  <c r="AZ1343" i="1"/>
  <c r="AY1343" i="1"/>
  <c r="AX1343" i="1"/>
  <c r="AW1343" i="1"/>
  <c r="AV1343" i="1"/>
  <c r="AT1343" i="1"/>
  <c r="AS1343" i="1"/>
  <c r="CS1342" i="1"/>
  <c r="CR1342" i="1"/>
  <c r="CQ1342" i="1"/>
  <c r="CP1342" i="1"/>
  <c r="CO1342" i="1"/>
  <c r="CN1342" i="1"/>
  <c r="CL1342" i="1"/>
  <c r="CK1342" i="1"/>
  <c r="CJ1342" i="1"/>
  <c r="CI1342" i="1"/>
  <c r="CH1342" i="1"/>
  <c r="CG1342" i="1"/>
  <c r="CF1342" i="1"/>
  <c r="CD1342" i="1"/>
  <c r="CC1342" i="1"/>
  <c r="CB1342" i="1"/>
  <c r="CA1342" i="1"/>
  <c r="BZ1342" i="1"/>
  <c r="BY1342" i="1"/>
  <c r="BX1342" i="1"/>
  <c r="BU1342" i="1"/>
  <c r="BN1342" i="1"/>
  <c r="BS1342" i="1" s="1"/>
  <c r="BA1342" i="1"/>
  <c r="AZ1342" i="1"/>
  <c r="AY1342" i="1"/>
  <c r="AX1342" i="1"/>
  <c r="AW1342" i="1"/>
  <c r="AV1342" i="1"/>
  <c r="AT1342" i="1"/>
  <c r="AS1342" i="1"/>
  <c r="CS1341" i="1"/>
  <c r="CR1341" i="1"/>
  <c r="CQ1341" i="1"/>
  <c r="CP1341" i="1"/>
  <c r="CO1341" i="1"/>
  <c r="CN1341" i="1"/>
  <c r="CL1341" i="1"/>
  <c r="CK1341" i="1"/>
  <c r="CJ1341" i="1"/>
  <c r="CI1341" i="1"/>
  <c r="CH1341" i="1"/>
  <c r="CG1341" i="1"/>
  <c r="CF1341" i="1"/>
  <c r="CD1341" i="1"/>
  <c r="CC1341" i="1"/>
  <c r="CB1341" i="1"/>
  <c r="CA1341" i="1"/>
  <c r="BZ1341" i="1"/>
  <c r="BY1341" i="1"/>
  <c r="BX1341" i="1"/>
  <c r="BU1341" i="1"/>
  <c r="BN1341" i="1"/>
  <c r="BS1341" i="1" s="1"/>
  <c r="BA1341" i="1"/>
  <c r="AZ1341" i="1"/>
  <c r="AY1341" i="1"/>
  <c r="AX1341" i="1"/>
  <c r="AW1341" i="1"/>
  <c r="AV1341" i="1"/>
  <c r="AT1341" i="1"/>
  <c r="AS1341" i="1"/>
  <c r="CS1340" i="1"/>
  <c r="CR1340" i="1"/>
  <c r="CQ1340" i="1"/>
  <c r="CP1340" i="1"/>
  <c r="CO1340" i="1"/>
  <c r="CN1340" i="1"/>
  <c r="CL1340" i="1"/>
  <c r="CK1340" i="1"/>
  <c r="CJ1340" i="1"/>
  <c r="CI1340" i="1"/>
  <c r="CH1340" i="1"/>
  <c r="CG1340" i="1"/>
  <c r="CF1340" i="1"/>
  <c r="CD1340" i="1"/>
  <c r="CC1340" i="1"/>
  <c r="CB1340" i="1"/>
  <c r="CA1340" i="1"/>
  <c r="BZ1340" i="1"/>
  <c r="BY1340" i="1"/>
  <c r="BX1340" i="1"/>
  <c r="BU1340" i="1"/>
  <c r="BN1340" i="1"/>
  <c r="BS1340" i="1" s="1"/>
  <c r="BA1340" i="1"/>
  <c r="AZ1340" i="1"/>
  <c r="AY1340" i="1"/>
  <c r="AX1340" i="1"/>
  <c r="AW1340" i="1"/>
  <c r="AV1340" i="1"/>
  <c r="AT1340" i="1"/>
  <c r="AS1340" i="1"/>
  <c r="CS1339" i="1"/>
  <c r="CR1339" i="1"/>
  <c r="CQ1339" i="1"/>
  <c r="CP1339" i="1"/>
  <c r="CO1339" i="1"/>
  <c r="CN1339" i="1"/>
  <c r="CL1339" i="1"/>
  <c r="CK1339" i="1"/>
  <c r="CJ1339" i="1"/>
  <c r="CI1339" i="1"/>
  <c r="CH1339" i="1"/>
  <c r="CG1339" i="1"/>
  <c r="CF1339" i="1"/>
  <c r="CD1339" i="1"/>
  <c r="CC1339" i="1"/>
  <c r="CB1339" i="1"/>
  <c r="CA1339" i="1"/>
  <c r="BZ1339" i="1"/>
  <c r="BY1339" i="1"/>
  <c r="BX1339" i="1"/>
  <c r="BU1339" i="1"/>
  <c r="BN1339" i="1"/>
  <c r="BS1339" i="1" s="1"/>
  <c r="BA1339" i="1"/>
  <c r="AZ1339" i="1"/>
  <c r="AY1339" i="1"/>
  <c r="AX1339" i="1"/>
  <c r="AW1339" i="1"/>
  <c r="AV1339" i="1"/>
  <c r="AT1339" i="1"/>
  <c r="AS1339" i="1"/>
  <c r="CS1338" i="1"/>
  <c r="CR1338" i="1"/>
  <c r="CQ1338" i="1"/>
  <c r="CP1338" i="1"/>
  <c r="CO1338" i="1"/>
  <c r="CN1338" i="1"/>
  <c r="CL1338" i="1"/>
  <c r="CK1338" i="1"/>
  <c r="CJ1338" i="1"/>
  <c r="CI1338" i="1"/>
  <c r="CH1338" i="1"/>
  <c r="CG1338" i="1"/>
  <c r="CF1338" i="1"/>
  <c r="CD1338" i="1"/>
  <c r="CC1338" i="1"/>
  <c r="CB1338" i="1"/>
  <c r="CA1338" i="1"/>
  <c r="BZ1338" i="1"/>
  <c r="BY1338" i="1"/>
  <c r="BX1338" i="1"/>
  <c r="BU1338" i="1"/>
  <c r="BN1338" i="1"/>
  <c r="BS1338" i="1" s="1"/>
  <c r="BA1338" i="1"/>
  <c r="AZ1338" i="1"/>
  <c r="AY1338" i="1"/>
  <c r="AX1338" i="1"/>
  <c r="AW1338" i="1"/>
  <c r="AV1338" i="1"/>
  <c r="AT1338" i="1"/>
  <c r="AS1338" i="1"/>
  <c r="CS1337" i="1"/>
  <c r="CR1337" i="1"/>
  <c r="CQ1337" i="1"/>
  <c r="CP1337" i="1"/>
  <c r="CO1337" i="1"/>
  <c r="CN1337" i="1"/>
  <c r="CL1337" i="1"/>
  <c r="CK1337" i="1"/>
  <c r="CJ1337" i="1"/>
  <c r="CI1337" i="1"/>
  <c r="CH1337" i="1"/>
  <c r="CG1337" i="1"/>
  <c r="CF1337" i="1"/>
  <c r="CD1337" i="1"/>
  <c r="CC1337" i="1"/>
  <c r="CB1337" i="1"/>
  <c r="CA1337" i="1"/>
  <c r="BZ1337" i="1"/>
  <c r="BY1337" i="1"/>
  <c r="BX1337" i="1"/>
  <c r="BU1337" i="1"/>
  <c r="BN1337" i="1"/>
  <c r="BS1337" i="1" s="1"/>
  <c r="BA1337" i="1"/>
  <c r="AZ1337" i="1"/>
  <c r="AY1337" i="1"/>
  <c r="AX1337" i="1"/>
  <c r="AW1337" i="1"/>
  <c r="AV1337" i="1"/>
  <c r="AT1337" i="1"/>
  <c r="AS1337" i="1"/>
  <c r="CS1336" i="1"/>
  <c r="CR1336" i="1"/>
  <c r="CQ1336" i="1"/>
  <c r="CP1336" i="1"/>
  <c r="CO1336" i="1"/>
  <c r="CN1336" i="1"/>
  <c r="CL1336" i="1"/>
  <c r="CK1336" i="1"/>
  <c r="CJ1336" i="1"/>
  <c r="CI1336" i="1"/>
  <c r="CH1336" i="1"/>
  <c r="CG1336" i="1"/>
  <c r="CF1336" i="1"/>
  <c r="CD1336" i="1"/>
  <c r="CC1336" i="1"/>
  <c r="CB1336" i="1"/>
  <c r="CA1336" i="1"/>
  <c r="BZ1336" i="1"/>
  <c r="BY1336" i="1"/>
  <c r="BX1336" i="1"/>
  <c r="BU1336" i="1"/>
  <c r="BN1336" i="1"/>
  <c r="BS1336" i="1" s="1"/>
  <c r="BA1336" i="1"/>
  <c r="AZ1336" i="1"/>
  <c r="AY1336" i="1"/>
  <c r="AX1336" i="1"/>
  <c r="AW1336" i="1"/>
  <c r="AV1336" i="1"/>
  <c r="AT1336" i="1"/>
  <c r="AS1336" i="1"/>
  <c r="CS1335" i="1"/>
  <c r="CR1335" i="1"/>
  <c r="CQ1335" i="1"/>
  <c r="CP1335" i="1"/>
  <c r="CO1335" i="1"/>
  <c r="CN1335" i="1"/>
  <c r="CL1335" i="1"/>
  <c r="CK1335" i="1"/>
  <c r="CJ1335" i="1"/>
  <c r="CI1335" i="1"/>
  <c r="CH1335" i="1"/>
  <c r="CG1335" i="1"/>
  <c r="CF1335" i="1"/>
  <c r="CD1335" i="1"/>
  <c r="CC1335" i="1"/>
  <c r="CB1335" i="1"/>
  <c r="CA1335" i="1"/>
  <c r="BZ1335" i="1"/>
  <c r="BY1335" i="1"/>
  <c r="BX1335" i="1"/>
  <c r="BU1335" i="1"/>
  <c r="BN1335" i="1"/>
  <c r="BS1335" i="1" s="1"/>
  <c r="BA1335" i="1"/>
  <c r="AZ1335" i="1"/>
  <c r="AY1335" i="1"/>
  <c r="AX1335" i="1"/>
  <c r="AW1335" i="1"/>
  <c r="AV1335" i="1"/>
  <c r="AT1335" i="1"/>
  <c r="AS1335" i="1"/>
  <c r="CS1334" i="1"/>
  <c r="CR1334" i="1"/>
  <c r="CQ1334" i="1"/>
  <c r="CP1334" i="1"/>
  <c r="CO1334" i="1"/>
  <c r="CN1334" i="1"/>
  <c r="CL1334" i="1"/>
  <c r="CK1334" i="1"/>
  <c r="CJ1334" i="1"/>
  <c r="CI1334" i="1"/>
  <c r="CH1334" i="1"/>
  <c r="CG1334" i="1"/>
  <c r="CF1334" i="1"/>
  <c r="CD1334" i="1"/>
  <c r="CC1334" i="1"/>
  <c r="CB1334" i="1"/>
  <c r="CA1334" i="1"/>
  <c r="BZ1334" i="1"/>
  <c r="BY1334" i="1"/>
  <c r="BX1334" i="1"/>
  <c r="BU1334" i="1"/>
  <c r="BN1334" i="1"/>
  <c r="BS1334" i="1" s="1"/>
  <c r="BA1334" i="1"/>
  <c r="AZ1334" i="1"/>
  <c r="AY1334" i="1"/>
  <c r="AX1334" i="1"/>
  <c r="AW1334" i="1"/>
  <c r="AV1334" i="1"/>
  <c r="AT1334" i="1"/>
  <c r="AS1334" i="1"/>
  <c r="CS1333" i="1"/>
  <c r="CR1333" i="1"/>
  <c r="CQ1333" i="1"/>
  <c r="CP1333" i="1"/>
  <c r="CO1333" i="1"/>
  <c r="CN1333" i="1"/>
  <c r="CL1333" i="1"/>
  <c r="CK1333" i="1"/>
  <c r="CJ1333" i="1"/>
  <c r="CI1333" i="1"/>
  <c r="CH1333" i="1"/>
  <c r="CG1333" i="1"/>
  <c r="CF1333" i="1"/>
  <c r="CD1333" i="1"/>
  <c r="CC1333" i="1"/>
  <c r="CB1333" i="1"/>
  <c r="CA1333" i="1"/>
  <c r="BZ1333" i="1"/>
  <c r="BY1333" i="1"/>
  <c r="BX1333" i="1"/>
  <c r="BU1333" i="1"/>
  <c r="BN1333" i="1"/>
  <c r="BS1333" i="1" s="1"/>
  <c r="BA1333" i="1"/>
  <c r="AZ1333" i="1"/>
  <c r="AY1333" i="1"/>
  <c r="AX1333" i="1"/>
  <c r="AW1333" i="1"/>
  <c r="AV1333" i="1"/>
  <c r="AT1333" i="1"/>
  <c r="AS1333" i="1"/>
  <c r="CS1332" i="1"/>
  <c r="CR1332" i="1"/>
  <c r="CQ1332" i="1"/>
  <c r="CP1332" i="1"/>
  <c r="CO1332" i="1"/>
  <c r="CN1332" i="1"/>
  <c r="CL1332" i="1"/>
  <c r="CK1332" i="1"/>
  <c r="CJ1332" i="1"/>
  <c r="CI1332" i="1"/>
  <c r="CH1332" i="1"/>
  <c r="CG1332" i="1"/>
  <c r="CF1332" i="1"/>
  <c r="CD1332" i="1"/>
  <c r="CC1332" i="1"/>
  <c r="CB1332" i="1"/>
  <c r="CA1332" i="1"/>
  <c r="BZ1332" i="1"/>
  <c r="BY1332" i="1"/>
  <c r="BX1332" i="1"/>
  <c r="BU1332" i="1"/>
  <c r="BN1332" i="1"/>
  <c r="BS1332" i="1" s="1"/>
  <c r="BA1332" i="1"/>
  <c r="AZ1332" i="1"/>
  <c r="AY1332" i="1"/>
  <c r="AX1332" i="1"/>
  <c r="AW1332" i="1"/>
  <c r="AV1332" i="1"/>
  <c r="AT1332" i="1"/>
  <c r="AS1332" i="1"/>
  <c r="CS1331" i="1"/>
  <c r="CR1331" i="1"/>
  <c r="CQ1331" i="1"/>
  <c r="CP1331" i="1"/>
  <c r="CO1331" i="1"/>
  <c r="CN1331" i="1"/>
  <c r="CL1331" i="1"/>
  <c r="CK1331" i="1"/>
  <c r="CJ1331" i="1"/>
  <c r="CI1331" i="1"/>
  <c r="CH1331" i="1"/>
  <c r="CG1331" i="1"/>
  <c r="CF1331" i="1"/>
  <c r="CD1331" i="1"/>
  <c r="CC1331" i="1"/>
  <c r="CB1331" i="1"/>
  <c r="CA1331" i="1"/>
  <c r="BZ1331" i="1"/>
  <c r="BY1331" i="1"/>
  <c r="BX1331" i="1"/>
  <c r="BU1331" i="1"/>
  <c r="BN1331" i="1"/>
  <c r="BS1331" i="1" s="1"/>
  <c r="BA1331" i="1"/>
  <c r="AZ1331" i="1"/>
  <c r="AY1331" i="1"/>
  <c r="AX1331" i="1"/>
  <c r="AW1331" i="1"/>
  <c r="AV1331" i="1"/>
  <c r="AT1331" i="1"/>
  <c r="AS1331" i="1"/>
  <c r="CS1330" i="1"/>
  <c r="CR1330" i="1"/>
  <c r="CQ1330" i="1"/>
  <c r="CP1330" i="1"/>
  <c r="CO1330" i="1"/>
  <c r="CN1330" i="1"/>
  <c r="CL1330" i="1"/>
  <c r="CK1330" i="1"/>
  <c r="CJ1330" i="1"/>
  <c r="CI1330" i="1"/>
  <c r="CH1330" i="1"/>
  <c r="CG1330" i="1"/>
  <c r="CF1330" i="1"/>
  <c r="CD1330" i="1"/>
  <c r="CC1330" i="1"/>
  <c r="CB1330" i="1"/>
  <c r="CA1330" i="1"/>
  <c r="BZ1330" i="1"/>
  <c r="BY1330" i="1"/>
  <c r="BX1330" i="1"/>
  <c r="BU1330" i="1"/>
  <c r="BN1330" i="1"/>
  <c r="BS1330" i="1" s="1"/>
  <c r="BA1330" i="1"/>
  <c r="AZ1330" i="1"/>
  <c r="AY1330" i="1"/>
  <c r="AX1330" i="1"/>
  <c r="AW1330" i="1"/>
  <c r="AV1330" i="1"/>
  <c r="AT1330" i="1"/>
  <c r="AS1330" i="1"/>
  <c r="CS1329" i="1"/>
  <c r="CR1329" i="1"/>
  <c r="CQ1329" i="1"/>
  <c r="CP1329" i="1"/>
  <c r="CO1329" i="1"/>
  <c r="CN1329" i="1"/>
  <c r="CL1329" i="1"/>
  <c r="CK1329" i="1"/>
  <c r="CJ1329" i="1"/>
  <c r="CI1329" i="1"/>
  <c r="CH1329" i="1"/>
  <c r="CG1329" i="1"/>
  <c r="CF1329" i="1"/>
  <c r="CD1329" i="1"/>
  <c r="CC1329" i="1"/>
  <c r="CB1329" i="1"/>
  <c r="CA1329" i="1"/>
  <c r="BZ1329" i="1"/>
  <c r="BY1329" i="1"/>
  <c r="BX1329" i="1"/>
  <c r="BU1329" i="1"/>
  <c r="BN1329" i="1"/>
  <c r="BS1329" i="1" s="1"/>
  <c r="BA1329" i="1"/>
  <c r="AZ1329" i="1"/>
  <c r="AY1329" i="1"/>
  <c r="AX1329" i="1"/>
  <c r="AW1329" i="1"/>
  <c r="AV1329" i="1"/>
  <c r="AT1329" i="1"/>
  <c r="AS1329" i="1"/>
  <c r="CS1328" i="1"/>
  <c r="CR1328" i="1"/>
  <c r="CQ1328" i="1"/>
  <c r="CP1328" i="1"/>
  <c r="CO1328" i="1"/>
  <c r="CN1328" i="1"/>
  <c r="CL1328" i="1"/>
  <c r="CK1328" i="1"/>
  <c r="CJ1328" i="1"/>
  <c r="CI1328" i="1"/>
  <c r="CH1328" i="1"/>
  <c r="CG1328" i="1"/>
  <c r="CF1328" i="1"/>
  <c r="CD1328" i="1"/>
  <c r="CC1328" i="1"/>
  <c r="CB1328" i="1"/>
  <c r="CA1328" i="1"/>
  <c r="BZ1328" i="1"/>
  <c r="BY1328" i="1"/>
  <c r="BX1328" i="1"/>
  <c r="BU1328" i="1"/>
  <c r="BN1328" i="1"/>
  <c r="BS1328" i="1" s="1"/>
  <c r="BA1328" i="1"/>
  <c r="AZ1328" i="1"/>
  <c r="AY1328" i="1"/>
  <c r="AX1328" i="1"/>
  <c r="AW1328" i="1"/>
  <c r="AV1328" i="1"/>
  <c r="AT1328" i="1"/>
  <c r="AS1328" i="1"/>
  <c r="CS1327" i="1"/>
  <c r="CR1327" i="1"/>
  <c r="CQ1327" i="1"/>
  <c r="CP1327" i="1"/>
  <c r="CO1327" i="1"/>
  <c r="CN1327" i="1"/>
  <c r="CL1327" i="1"/>
  <c r="CK1327" i="1"/>
  <c r="CJ1327" i="1"/>
  <c r="CI1327" i="1"/>
  <c r="CH1327" i="1"/>
  <c r="CG1327" i="1"/>
  <c r="CF1327" i="1"/>
  <c r="CD1327" i="1"/>
  <c r="CC1327" i="1"/>
  <c r="CB1327" i="1"/>
  <c r="CA1327" i="1"/>
  <c r="BZ1327" i="1"/>
  <c r="BY1327" i="1"/>
  <c r="BX1327" i="1"/>
  <c r="BU1327" i="1"/>
  <c r="BN1327" i="1"/>
  <c r="BS1327" i="1" s="1"/>
  <c r="BA1327" i="1"/>
  <c r="AZ1327" i="1"/>
  <c r="AY1327" i="1"/>
  <c r="AX1327" i="1"/>
  <c r="AW1327" i="1"/>
  <c r="AV1327" i="1"/>
  <c r="AT1327" i="1"/>
  <c r="AS1327" i="1"/>
  <c r="CS1326" i="1"/>
  <c r="CR1326" i="1"/>
  <c r="CQ1326" i="1"/>
  <c r="CP1326" i="1"/>
  <c r="CO1326" i="1"/>
  <c r="CN1326" i="1"/>
  <c r="CL1326" i="1"/>
  <c r="CK1326" i="1"/>
  <c r="CJ1326" i="1"/>
  <c r="CI1326" i="1"/>
  <c r="CH1326" i="1"/>
  <c r="CG1326" i="1"/>
  <c r="CF1326" i="1"/>
  <c r="CD1326" i="1"/>
  <c r="CC1326" i="1"/>
  <c r="CB1326" i="1"/>
  <c r="CA1326" i="1"/>
  <c r="BZ1326" i="1"/>
  <c r="BY1326" i="1"/>
  <c r="BX1326" i="1"/>
  <c r="BU1326" i="1"/>
  <c r="BN1326" i="1"/>
  <c r="BS1326" i="1" s="1"/>
  <c r="BA1326" i="1"/>
  <c r="AZ1326" i="1"/>
  <c r="AY1326" i="1"/>
  <c r="AX1326" i="1"/>
  <c r="AW1326" i="1"/>
  <c r="AV1326" i="1"/>
  <c r="AT1326" i="1"/>
  <c r="AS1326" i="1"/>
  <c r="CS1325" i="1"/>
  <c r="CR1325" i="1"/>
  <c r="CQ1325" i="1"/>
  <c r="CP1325" i="1"/>
  <c r="CO1325" i="1"/>
  <c r="CN1325" i="1"/>
  <c r="CL1325" i="1"/>
  <c r="CK1325" i="1"/>
  <c r="CJ1325" i="1"/>
  <c r="CI1325" i="1"/>
  <c r="CH1325" i="1"/>
  <c r="CG1325" i="1"/>
  <c r="CF1325" i="1"/>
  <c r="CD1325" i="1"/>
  <c r="CC1325" i="1"/>
  <c r="CB1325" i="1"/>
  <c r="CA1325" i="1"/>
  <c r="BZ1325" i="1"/>
  <c r="BY1325" i="1"/>
  <c r="BX1325" i="1"/>
  <c r="BU1325" i="1"/>
  <c r="BN1325" i="1"/>
  <c r="BS1325" i="1" s="1"/>
  <c r="BA1325" i="1"/>
  <c r="AZ1325" i="1"/>
  <c r="AY1325" i="1"/>
  <c r="AX1325" i="1"/>
  <c r="AW1325" i="1"/>
  <c r="AV1325" i="1"/>
  <c r="AT1325" i="1"/>
  <c r="AS1325" i="1"/>
  <c r="CS1324" i="1"/>
  <c r="CR1324" i="1"/>
  <c r="CQ1324" i="1"/>
  <c r="CP1324" i="1"/>
  <c r="CO1324" i="1"/>
  <c r="CN1324" i="1"/>
  <c r="CL1324" i="1"/>
  <c r="CK1324" i="1"/>
  <c r="CJ1324" i="1"/>
  <c r="CI1324" i="1"/>
  <c r="CH1324" i="1"/>
  <c r="CG1324" i="1"/>
  <c r="CF1324" i="1"/>
  <c r="CD1324" i="1"/>
  <c r="CC1324" i="1"/>
  <c r="CB1324" i="1"/>
  <c r="CA1324" i="1"/>
  <c r="BZ1324" i="1"/>
  <c r="BY1324" i="1"/>
  <c r="BX1324" i="1"/>
  <c r="BU1324" i="1"/>
  <c r="BN1324" i="1"/>
  <c r="BS1324" i="1" s="1"/>
  <c r="BA1324" i="1"/>
  <c r="AZ1324" i="1"/>
  <c r="AY1324" i="1"/>
  <c r="AX1324" i="1"/>
  <c r="AW1324" i="1"/>
  <c r="AV1324" i="1"/>
  <c r="AT1324" i="1"/>
  <c r="AS1324" i="1"/>
  <c r="CS1323" i="1"/>
  <c r="CR1323" i="1"/>
  <c r="CQ1323" i="1"/>
  <c r="CP1323" i="1"/>
  <c r="CO1323" i="1"/>
  <c r="CN1323" i="1"/>
  <c r="CL1323" i="1"/>
  <c r="CK1323" i="1"/>
  <c r="CJ1323" i="1"/>
  <c r="CI1323" i="1"/>
  <c r="CH1323" i="1"/>
  <c r="CG1323" i="1"/>
  <c r="CF1323" i="1"/>
  <c r="CD1323" i="1"/>
  <c r="CC1323" i="1"/>
  <c r="CB1323" i="1"/>
  <c r="CA1323" i="1"/>
  <c r="BZ1323" i="1"/>
  <c r="BY1323" i="1"/>
  <c r="BX1323" i="1"/>
  <c r="BU1323" i="1"/>
  <c r="BN1323" i="1"/>
  <c r="BS1323" i="1" s="1"/>
  <c r="BA1323" i="1"/>
  <c r="AZ1323" i="1"/>
  <c r="AY1323" i="1"/>
  <c r="AX1323" i="1"/>
  <c r="AW1323" i="1"/>
  <c r="AV1323" i="1"/>
  <c r="AT1323" i="1"/>
  <c r="AS1323" i="1"/>
  <c r="CS1322" i="1"/>
  <c r="CR1322" i="1"/>
  <c r="CQ1322" i="1"/>
  <c r="CP1322" i="1"/>
  <c r="CO1322" i="1"/>
  <c r="CN1322" i="1"/>
  <c r="CL1322" i="1"/>
  <c r="CK1322" i="1"/>
  <c r="CJ1322" i="1"/>
  <c r="CI1322" i="1"/>
  <c r="CH1322" i="1"/>
  <c r="CG1322" i="1"/>
  <c r="CF1322" i="1"/>
  <c r="CD1322" i="1"/>
  <c r="CC1322" i="1"/>
  <c r="CB1322" i="1"/>
  <c r="CA1322" i="1"/>
  <c r="BZ1322" i="1"/>
  <c r="BY1322" i="1"/>
  <c r="BX1322" i="1"/>
  <c r="BU1322" i="1"/>
  <c r="BN1322" i="1"/>
  <c r="BS1322" i="1" s="1"/>
  <c r="BA1322" i="1"/>
  <c r="AZ1322" i="1"/>
  <c r="AY1322" i="1"/>
  <c r="AX1322" i="1"/>
  <c r="AW1322" i="1"/>
  <c r="AV1322" i="1"/>
  <c r="AT1322" i="1"/>
  <c r="AS1322" i="1"/>
  <c r="CS1321" i="1"/>
  <c r="CR1321" i="1"/>
  <c r="CQ1321" i="1"/>
  <c r="CP1321" i="1"/>
  <c r="CO1321" i="1"/>
  <c r="CN1321" i="1"/>
  <c r="CL1321" i="1"/>
  <c r="CK1321" i="1"/>
  <c r="CJ1321" i="1"/>
  <c r="CI1321" i="1"/>
  <c r="CH1321" i="1"/>
  <c r="CG1321" i="1"/>
  <c r="CF1321" i="1"/>
  <c r="CD1321" i="1"/>
  <c r="CC1321" i="1"/>
  <c r="CB1321" i="1"/>
  <c r="CA1321" i="1"/>
  <c r="BZ1321" i="1"/>
  <c r="BY1321" i="1"/>
  <c r="BX1321" i="1"/>
  <c r="BU1321" i="1"/>
  <c r="BN1321" i="1"/>
  <c r="BS1321" i="1" s="1"/>
  <c r="BA1321" i="1"/>
  <c r="AZ1321" i="1"/>
  <c r="AY1321" i="1"/>
  <c r="AX1321" i="1"/>
  <c r="AW1321" i="1"/>
  <c r="AV1321" i="1"/>
  <c r="AT1321" i="1"/>
  <c r="AS1321" i="1"/>
  <c r="CS1320" i="1"/>
  <c r="CR1320" i="1"/>
  <c r="CQ1320" i="1"/>
  <c r="CP1320" i="1"/>
  <c r="CO1320" i="1"/>
  <c r="CN1320" i="1"/>
  <c r="CL1320" i="1"/>
  <c r="CK1320" i="1"/>
  <c r="CJ1320" i="1"/>
  <c r="CI1320" i="1"/>
  <c r="CH1320" i="1"/>
  <c r="CG1320" i="1"/>
  <c r="CF1320" i="1"/>
  <c r="CD1320" i="1"/>
  <c r="CC1320" i="1"/>
  <c r="CB1320" i="1"/>
  <c r="CA1320" i="1"/>
  <c r="BZ1320" i="1"/>
  <c r="BY1320" i="1"/>
  <c r="BX1320" i="1"/>
  <c r="BU1320" i="1"/>
  <c r="BN1320" i="1"/>
  <c r="BS1320" i="1" s="1"/>
  <c r="BA1320" i="1"/>
  <c r="AZ1320" i="1"/>
  <c r="AY1320" i="1"/>
  <c r="AX1320" i="1"/>
  <c r="AW1320" i="1"/>
  <c r="AV1320" i="1"/>
  <c r="AT1320" i="1"/>
  <c r="AS1320" i="1"/>
  <c r="CS1319" i="1"/>
  <c r="CR1319" i="1"/>
  <c r="CQ1319" i="1"/>
  <c r="CP1319" i="1"/>
  <c r="CO1319" i="1"/>
  <c r="CN1319" i="1"/>
  <c r="CL1319" i="1"/>
  <c r="CK1319" i="1"/>
  <c r="CJ1319" i="1"/>
  <c r="CI1319" i="1"/>
  <c r="CH1319" i="1"/>
  <c r="CG1319" i="1"/>
  <c r="CF1319" i="1"/>
  <c r="CD1319" i="1"/>
  <c r="CC1319" i="1"/>
  <c r="CB1319" i="1"/>
  <c r="CA1319" i="1"/>
  <c r="BZ1319" i="1"/>
  <c r="BY1319" i="1"/>
  <c r="BX1319" i="1"/>
  <c r="BU1319" i="1"/>
  <c r="BN1319" i="1"/>
  <c r="BS1319" i="1" s="1"/>
  <c r="BA1319" i="1"/>
  <c r="AZ1319" i="1"/>
  <c r="AY1319" i="1"/>
  <c r="AX1319" i="1"/>
  <c r="AW1319" i="1"/>
  <c r="AV1319" i="1"/>
  <c r="AT1319" i="1"/>
  <c r="AS1319" i="1"/>
  <c r="CS1318" i="1"/>
  <c r="CR1318" i="1"/>
  <c r="CQ1318" i="1"/>
  <c r="CP1318" i="1"/>
  <c r="CO1318" i="1"/>
  <c r="CN1318" i="1"/>
  <c r="CL1318" i="1"/>
  <c r="CK1318" i="1"/>
  <c r="CJ1318" i="1"/>
  <c r="CI1318" i="1"/>
  <c r="CH1318" i="1"/>
  <c r="CG1318" i="1"/>
  <c r="CF1318" i="1"/>
  <c r="CD1318" i="1"/>
  <c r="CC1318" i="1"/>
  <c r="CB1318" i="1"/>
  <c r="CA1318" i="1"/>
  <c r="BZ1318" i="1"/>
  <c r="BY1318" i="1"/>
  <c r="BX1318" i="1"/>
  <c r="BU1318" i="1"/>
  <c r="BN1318" i="1"/>
  <c r="BS1318" i="1" s="1"/>
  <c r="BA1318" i="1"/>
  <c r="AZ1318" i="1"/>
  <c r="AY1318" i="1"/>
  <c r="AX1318" i="1"/>
  <c r="AW1318" i="1"/>
  <c r="AV1318" i="1"/>
  <c r="AT1318" i="1"/>
  <c r="AS1318" i="1"/>
  <c r="CS1317" i="1"/>
  <c r="CR1317" i="1"/>
  <c r="CQ1317" i="1"/>
  <c r="CP1317" i="1"/>
  <c r="CO1317" i="1"/>
  <c r="CN1317" i="1"/>
  <c r="CL1317" i="1"/>
  <c r="CK1317" i="1"/>
  <c r="CJ1317" i="1"/>
  <c r="CI1317" i="1"/>
  <c r="CH1317" i="1"/>
  <c r="CG1317" i="1"/>
  <c r="CF1317" i="1"/>
  <c r="CD1317" i="1"/>
  <c r="CC1317" i="1"/>
  <c r="CB1317" i="1"/>
  <c r="CA1317" i="1"/>
  <c r="BZ1317" i="1"/>
  <c r="BY1317" i="1"/>
  <c r="BX1317" i="1"/>
  <c r="BU1317" i="1"/>
  <c r="BN1317" i="1"/>
  <c r="BS1317" i="1" s="1"/>
  <c r="BA1317" i="1"/>
  <c r="AZ1317" i="1"/>
  <c r="AY1317" i="1"/>
  <c r="AX1317" i="1"/>
  <c r="AW1317" i="1"/>
  <c r="AV1317" i="1"/>
  <c r="AT1317" i="1"/>
  <c r="AS1317" i="1"/>
  <c r="CS1316" i="1"/>
  <c r="CR1316" i="1"/>
  <c r="CQ1316" i="1"/>
  <c r="CP1316" i="1"/>
  <c r="CO1316" i="1"/>
  <c r="CN1316" i="1"/>
  <c r="CL1316" i="1"/>
  <c r="CK1316" i="1"/>
  <c r="CJ1316" i="1"/>
  <c r="CI1316" i="1"/>
  <c r="CH1316" i="1"/>
  <c r="CG1316" i="1"/>
  <c r="CF1316" i="1"/>
  <c r="CD1316" i="1"/>
  <c r="CC1316" i="1"/>
  <c r="CB1316" i="1"/>
  <c r="CA1316" i="1"/>
  <c r="BZ1316" i="1"/>
  <c r="BY1316" i="1"/>
  <c r="BX1316" i="1"/>
  <c r="BU1316" i="1"/>
  <c r="BN1316" i="1"/>
  <c r="BS1316" i="1" s="1"/>
  <c r="BA1316" i="1"/>
  <c r="AZ1316" i="1"/>
  <c r="AY1316" i="1"/>
  <c r="AX1316" i="1"/>
  <c r="AW1316" i="1"/>
  <c r="AV1316" i="1"/>
  <c r="AT1316" i="1"/>
  <c r="AS1316" i="1"/>
  <c r="CS1315" i="1"/>
  <c r="CR1315" i="1"/>
  <c r="CQ1315" i="1"/>
  <c r="CP1315" i="1"/>
  <c r="CO1315" i="1"/>
  <c r="CN1315" i="1"/>
  <c r="CL1315" i="1"/>
  <c r="CK1315" i="1"/>
  <c r="CJ1315" i="1"/>
  <c r="CI1315" i="1"/>
  <c r="CH1315" i="1"/>
  <c r="CG1315" i="1"/>
  <c r="CF1315" i="1"/>
  <c r="CD1315" i="1"/>
  <c r="CC1315" i="1"/>
  <c r="CB1315" i="1"/>
  <c r="CA1315" i="1"/>
  <c r="BZ1315" i="1"/>
  <c r="BY1315" i="1"/>
  <c r="BX1315" i="1"/>
  <c r="BU1315" i="1"/>
  <c r="BN1315" i="1"/>
  <c r="BS1315" i="1" s="1"/>
  <c r="BA1315" i="1"/>
  <c r="AZ1315" i="1"/>
  <c r="AY1315" i="1"/>
  <c r="AX1315" i="1"/>
  <c r="AW1315" i="1"/>
  <c r="AV1315" i="1"/>
  <c r="AT1315" i="1"/>
  <c r="AS1315" i="1"/>
  <c r="CS1314" i="1"/>
  <c r="CR1314" i="1"/>
  <c r="CQ1314" i="1"/>
  <c r="CP1314" i="1"/>
  <c r="CO1314" i="1"/>
  <c r="CN1314" i="1"/>
  <c r="CL1314" i="1"/>
  <c r="CK1314" i="1"/>
  <c r="CJ1314" i="1"/>
  <c r="CI1314" i="1"/>
  <c r="CH1314" i="1"/>
  <c r="CG1314" i="1"/>
  <c r="CF1314" i="1"/>
  <c r="CD1314" i="1"/>
  <c r="CC1314" i="1"/>
  <c r="CB1314" i="1"/>
  <c r="CA1314" i="1"/>
  <c r="BZ1314" i="1"/>
  <c r="BY1314" i="1"/>
  <c r="BX1314" i="1"/>
  <c r="BU1314" i="1"/>
  <c r="BN1314" i="1"/>
  <c r="BS1314" i="1" s="1"/>
  <c r="BA1314" i="1"/>
  <c r="AZ1314" i="1"/>
  <c r="AY1314" i="1"/>
  <c r="AX1314" i="1"/>
  <c r="AW1314" i="1"/>
  <c r="AV1314" i="1"/>
  <c r="AT1314" i="1"/>
  <c r="AS1314" i="1"/>
  <c r="CS1313" i="1"/>
  <c r="CR1313" i="1"/>
  <c r="CQ1313" i="1"/>
  <c r="CP1313" i="1"/>
  <c r="CO1313" i="1"/>
  <c r="CN1313" i="1"/>
  <c r="CL1313" i="1"/>
  <c r="CK1313" i="1"/>
  <c r="CJ1313" i="1"/>
  <c r="CI1313" i="1"/>
  <c r="CH1313" i="1"/>
  <c r="CG1313" i="1"/>
  <c r="CF1313" i="1"/>
  <c r="CD1313" i="1"/>
  <c r="CC1313" i="1"/>
  <c r="CB1313" i="1"/>
  <c r="CA1313" i="1"/>
  <c r="BZ1313" i="1"/>
  <c r="BY1313" i="1"/>
  <c r="BX1313" i="1"/>
  <c r="BU1313" i="1"/>
  <c r="BN1313" i="1"/>
  <c r="BS1313" i="1" s="1"/>
  <c r="BA1313" i="1"/>
  <c r="AZ1313" i="1"/>
  <c r="AY1313" i="1"/>
  <c r="AX1313" i="1"/>
  <c r="AW1313" i="1"/>
  <c r="AV1313" i="1"/>
  <c r="AT1313" i="1"/>
  <c r="AS1313" i="1"/>
  <c r="CS1312" i="1"/>
  <c r="CR1312" i="1"/>
  <c r="CQ1312" i="1"/>
  <c r="CP1312" i="1"/>
  <c r="CO1312" i="1"/>
  <c r="CN1312" i="1"/>
  <c r="CL1312" i="1"/>
  <c r="CK1312" i="1"/>
  <c r="CJ1312" i="1"/>
  <c r="CI1312" i="1"/>
  <c r="CH1312" i="1"/>
  <c r="CG1312" i="1"/>
  <c r="CF1312" i="1"/>
  <c r="CD1312" i="1"/>
  <c r="CC1312" i="1"/>
  <c r="CB1312" i="1"/>
  <c r="CA1312" i="1"/>
  <c r="BZ1312" i="1"/>
  <c r="BY1312" i="1"/>
  <c r="BX1312" i="1"/>
  <c r="BU1312" i="1"/>
  <c r="BN1312" i="1"/>
  <c r="BS1312" i="1" s="1"/>
  <c r="BA1312" i="1"/>
  <c r="AZ1312" i="1"/>
  <c r="AY1312" i="1"/>
  <c r="AX1312" i="1"/>
  <c r="AW1312" i="1"/>
  <c r="AV1312" i="1"/>
  <c r="AT1312" i="1"/>
  <c r="AS1312" i="1"/>
  <c r="CS1311" i="1"/>
  <c r="CR1311" i="1"/>
  <c r="CQ1311" i="1"/>
  <c r="CP1311" i="1"/>
  <c r="CO1311" i="1"/>
  <c r="CN1311" i="1"/>
  <c r="CL1311" i="1"/>
  <c r="CK1311" i="1"/>
  <c r="CJ1311" i="1"/>
  <c r="CI1311" i="1"/>
  <c r="CH1311" i="1"/>
  <c r="CG1311" i="1"/>
  <c r="CF1311" i="1"/>
  <c r="CD1311" i="1"/>
  <c r="CC1311" i="1"/>
  <c r="CB1311" i="1"/>
  <c r="CA1311" i="1"/>
  <c r="BZ1311" i="1"/>
  <c r="BY1311" i="1"/>
  <c r="BX1311" i="1"/>
  <c r="BU1311" i="1"/>
  <c r="BN1311" i="1"/>
  <c r="BS1311" i="1" s="1"/>
  <c r="BA1311" i="1"/>
  <c r="AZ1311" i="1"/>
  <c r="AY1311" i="1"/>
  <c r="AX1311" i="1"/>
  <c r="AW1311" i="1"/>
  <c r="AV1311" i="1"/>
  <c r="AT1311" i="1"/>
  <c r="AS1311" i="1"/>
  <c r="CS1310" i="1"/>
  <c r="CR1310" i="1"/>
  <c r="CQ1310" i="1"/>
  <c r="CP1310" i="1"/>
  <c r="CO1310" i="1"/>
  <c r="CN1310" i="1"/>
  <c r="CL1310" i="1"/>
  <c r="CK1310" i="1"/>
  <c r="CJ1310" i="1"/>
  <c r="CI1310" i="1"/>
  <c r="CH1310" i="1"/>
  <c r="CG1310" i="1"/>
  <c r="CF1310" i="1"/>
  <c r="CD1310" i="1"/>
  <c r="CC1310" i="1"/>
  <c r="CB1310" i="1"/>
  <c r="CA1310" i="1"/>
  <c r="BZ1310" i="1"/>
  <c r="BY1310" i="1"/>
  <c r="BX1310" i="1"/>
  <c r="BU1310" i="1"/>
  <c r="BN1310" i="1"/>
  <c r="BS1310" i="1" s="1"/>
  <c r="BA1310" i="1"/>
  <c r="AZ1310" i="1"/>
  <c r="AY1310" i="1"/>
  <c r="AX1310" i="1"/>
  <c r="AW1310" i="1"/>
  <c r="AV1310" i="1"/>
  <c r="AT1310" i="1"/>
  <c r="AS1310" i="1"/>
  <c r="CS1309" i="1"/>
  <c r="CR1309" i="1"/>
  <c r="CQ1309" i="1"/>
  <c r="CP1309" i="1"/>
  <c r="CO1309" i="1"/>
  <c r="CN1309" i="1"/>
  <c r="CL1309" i="1"/>
  <c r="CK1309" i="1"/>
  <c r="CJ1309" i="1"/>
  <c r="CI1309" i="1"/>
  <c r="CH1309" i="1"/>
  <c r="CG1309" i="1"/>
  <c r="CF1309" i="1"/>
  <c r="CD1309" i="1"/>
  <c r="CC1309" i="1"/>
  <c r="CB1309" i="1"/>
  <c r="CA1309" i="1"/>
  <c r="BZ1309" i="1"/>
  <c r="BY1309" i="1"/>
  <c r="BX1309" i="1"/>
  <c r="BU1309" i="1"/>
  <c r="BN1309" i="1"/>
  <c r="BS1309" i="1" s="1"/>
  <c r="BA1309" i="1"/>
  <c r="AZ1309" i="1"/>
  <c r="AY1309" i="1"/>
  <c r="AX1309" i="1"/>
  <c r="AW1309" i="1"/>
  <c r="AV1309" i="1"/>
  <c r="AT1309" i="1"/>
  <c r="AS1309" i="1"/>
  <c r="CS1308" i="1"/>
  <c r="CR1308" i="1"/>
  <c r="CQ1308" i="1"/>
  <c r="CP1308" i="1"/>
  <c r="CO1308" i="1"/>
  <c r="CN1308" i="1"/>
  <c r="CL1308" i="1"/>
  <c r="CK1308" i="1"/>
  <c r="CJ1308" i="1"/>
  <c r="CI1308" i="1"/>
  <c r="CH1308" i="1"/>
  <c r="CG1308" i="1"/>
  <c r="CF1308" i="1"/>
  <c r="CD1308" i="1"/>
  <c r="CC1308" i="1"/>
  <c r="CB1308" i="1"/>
  <c r="CA1308" i="1"/>
  <c r="BZ1308" i="1"/>
  <c r="BY1308" i="1"/>
  <c r="BX1308" i="1"/>
  <c r="BU1308" i="1"/>
  <c r="BN1308" i="1"/>
  <c r="BS1308" i="1" s="1"/>
  <c r="BA1308" i="1"/>
  <c r="AZ1308" i="1"/>
  <c r="AY1308" i="1"/>
  <c r="AX1308" i="1"/>
  <c r="AW1308" i="1"/>
  <c r="AV1308" i="1"/>
  <c r="AT1308" i="1"/>
  <c r="AS1308" i="1"/>
  <c r="CS1307" i="1"/>
  <c r="CR1307" i="1"/>
  <c r="CQ1307" i="1"/>
  <c r="CP1307" i="1"/>
  <c r="CO1307" i="1"/>
  <c r="CN1307" i="1"/>
  <c r="CL1307" i="1"/>
  <c r="CK1307" i="1"/>
  <c r="CJ1307" i="1"/>
  <c r="CI1307" i="1"/>
  <c r="CH1307" i="1"/>
  <c r="CG1307" i="1"/>
  <c r="CF1307" i="1"/>
  <c r="CD1307" i="1"/>
  <c r="CC1307" i="1"/>
  <c r="CB1307" i="1"/>
  <c r="CA1307" i="1"/>
  <c r="BZ1307" i="1"/>
  <c r="BY1307" i="1"/>
  <c r="BX1307" i="1"/>
  <c r="BU1307" i="1"/>
  <c r="BN1307" i="1"/>
  <c r="BS1307" i="1" s="1"/>
  <c r="BA1307" i="1"/>
  <c r="AZ1307" i="1"/>
  <c r="AY1307" i="1"/>
  <c r="AX1307" i="1"/>
  <c r="AW1307" i="1"/>
  <c r="AV1307" i="1"/>
  <c r="AT1307" i="1"/>
  <c r="AS1307" i="1"/>
  <c r="CS1306" i="1"/>
  <c r="CR1306" i="1"/>
  <c r="CQ1306" i="1"/>
  <c r="CP1306" i="1"/>
  <c r="CO1306" i="1"/>
  <c r="CN1306" i="1"/>
  <c r="CL1306" i="1"/>
  <c r="CK1306" i="1"/>
  <c r="CJ1306" i="1"/>
  <c r="CI1306" i="1"/>
  <c r="CH1306" i="1"/>
  <c r="CG1306" i="1"/>
  <c r="CF1306" i="1"/>
  <c r="CD1306" i="1"/>
  <c r="CC1306" i="1"/>
  <c r="CB1306" i="1"/>
  <c r="CA1306" i="1"/>
  <c r="BZ1306" i="1"/>
  <c r="BY1306" i="1"/>
  <c r="BX1306" i="1"/>
  <c r="BU1306" i="1"/>
  <c r="BN1306" i="1"/>
  <c r="BS1306" i="1" s="1"/>
  <c r="BA1306" i="1"/>
  <c r="AZ1306" i="1"/>
  <c r="AY1306" i="1"/>
  <c r="AX1306" i="1"/>
  <c r="AW1306" i="1"/>
  <c r="AV1306" i="1"/>
  <c r="AT1306" i="1"/>
  <c r="AS1306" i="1"/>
  <c r="CS1305" i="1"/>
  <c r="CR1305" i="1"/>
  <c r="CQ1305" i="1"/>
  <c r="CP1305" i="1"/>
  <c r="CO1305" i="1"/>
  <c r="CN1305" i="1"/>
  <c r="CL1305" i="1"/>
  <c r="CK1305" i="1"/>
  <c r="CJ1305" i="1"/>
  <c r="CI1305" i="1"/>
  <c r="CH1305" i="1"/>
  <c r="CG1305" i="1"/>
  <c r="CF1305" i="1"/>
  <c r="CD1305" i="1"/>
  <c r="CC1305" i="1"/>
  <c r="CB1305" i="1"/>
  <c r="CA1305" i="1"/>
  <c r="BZ1305" i="1"/>
  <c r="BY1305" i="1"/>
  <c r="BX1305" i="1"/>
  <c r="BU1305" i="1"/>
  <c r="BN1305" i="1"/>
  <c r="BS1305" i="1" s="1"/>
  <c r="BA1305" i="1"/>
  <c r="AZ1305" i="1"/>
  <c r="AY1305" i="1"/>
  <c r="AX1305" i="1"/>
  <c r="AW1305" i="1"/>
  <c r="AV1305" i="1"/>
  <c r="AT1305" i="1"/>
  <c r="AS1305" i="1"/>
  <c r="CS1304" i="1"/>
  <c r="CR1304" i="1"/>
  <c r="CQ1304" i="1"/>
  <c r="CP1304" i="1"/>
  <c r="CO1304" i="1"/>
  <c r="CN1304" i="1"/>
  <c r="CL1304" i="1"/>
  <c r="CK1304" i="1"/>
  <c r="CJ1304" i="1"/>
  <c r="CI1304" i="1"/>
  <c r="CH1304" i="1"/>
  <c r="CG1304" i="1"/>
  <c r="CF1304" i="1"/>
  <c r="CD1304" i="1"/>
  <c r="CC1304" i="1"/>
  <c r="CB1304" i="1"/>
  <c r="CA1304" i="1"/>
  <c r="BZ1304" i="1"/>
  <c r="BY1304" i="1"/>
  <c r="BX1304" i="1"/>
  <c r="BU1304" i="1"/>
  <c r="BN1304" i="1"/>
  <c r="BS1304" i="1" s="1"/>
  <c r="BA1304" i="1"/>
  <c r="AZ1304" i="1"/>
  <c r="AY1304" i="1"/>
  <c r="AX1304" i="1"/>
  <c r="AW1304" i="1"/>
  <c r="AV1304" i="1"/>
  <c r="AT1304" i="1"/>
  <c r="AS1304" i="1"/>
  <c r="CS1303" i="1"/>
  <c r="CR1303" i="1"/>
  <c r="CQ1303" i="1"/>
  <c r="CP1303" i="1"/>
  <c r="CO1303" i="1"/>
  <c r="CN1303" i="1"/>
  <c r="CL1303" i="1"/>
  <c r="CK1303" i="1"/>
  <c r="CJ1303" i="1"/>
  <c r="CI1303" i="1"/>
  <c r="CH1303" i="1"/>
  <c r="CG1303" i="1"/>
  <c r="CF1303" i="1"/>
  <c r="CD1303" i="1"/>
  <c r="CC1303" i="1"/>
  <c r="CB1303" i="1"/>
  <c r="CA1303" i="1"/>
  <c r="BZ1303" i="1"/>
  <c r="BY1303" i="1"/>
  <c r="BX1303" i="1"/>
  <c r="BU1303" i="1"/>
  <c r="BN1303" i="1"/>
  <c r="BS1303" i="1" s="1"/>
  <c r="BA1303" i="1"/>
  <c r="AZ1303" i="1"/>
  <c r="AY1303" i="1"/>
  <c r="AX1303" i="1"/>
  <c r="AW1303" i="1"/>
  <c r="AV1303" i="1"/>
  <c r="AT1303" i="1"/>
  <c r="AS1303" i="1"/>
  <c r="CS1302" i="1"/>
  <c r="CR1302" i="1"/>
  <c r="CQ1302" i="1"/>
  <c r="CP1302" i="1"/>
  <c r="CO1302" i="1"/>
  <c r="CN1302" i="1"/>
  <c r="CL1302" i="1"/>
  <c r="CK1302" i="1"/>
  <c r="CJ1302" i="1"/>
  <c r="CI1302" i="1"/>
  <c r="CH1302" i="1"/>
  <c r="CG1302" i="1"/>
  <c r="CF1302" i="1"/>
  <c r="CD1302" i="1"/>
  <c r="CC1302" i="1"/>
  <c r="CB1302" i="1"/>
  <c r="CA1302" i="1"/>
  <c r="BZ1302" i="1"/>
  <c r="BY1302" i="1"/>
  <c r="BX1302" i="1"/>
  <c r="BU1302" i="1"/>
  <c r="BN1302" i="1"/>
  <c r="BS1302" i="1" s="1"/>
  <c r="BA1302" i="1"/>
  <c r="AZ1302" i="1"/>
  <c r="AY1302" i="1"/>
  <c r="AX1302" i="1"/>
  <c r="AW1302" i="1"/>
  <c r="AV1302" i="1"/>
  <c r="AT1302" i="1"/>
  <c r="AS1302" i="1"/>
  <c r="CS1301" i="1"/>
  <c r="CR1301" i="1"/>
  <c r="CQ1301" i="1"/>
  <c r="CP1301" i="1"/>
  <c r="CO1301" i="1"/>
  <c r="CN1301" i="1"/>
  <c r="CL1301" i="1"/>
  <c r="CK1301" i="1"/>
  <c r="CJ1301" i="1"/>
  <c r="CI1301" i="1"/>
  <c r="CH1301" i="1"/>
  <c r="CG1301" i="1"/>
  <c r="CF1301" i="1"/>
  <c r="CD1301" i="1"/>
  <c r="CC1301" i="1"/>
  <c r="CB1301" i="1"/>
  <c r="CA1301" i="1"/>
  <c r="BZ1301" i="1"/>
  <c r="BY1301" i="1"/>
  <c r="BX1301" i="1"/>
  <c r="BU1301" i="1"/>
  <c r="BN1301" i="1"/>
  <c r="BS1301" i="1" s="1"/>
  <c r="BA1301" i="1"/>
  <c r="AZ1301" i="1"/>
  <c r="AY1301" i="1"/>
  <c r="AX1301" i="1"/>
  <c r="AW1301" i="1"/>
  <c r="AV1301" i="1"/>
  <c r="AT1301" i="1"/>
  <c r="AS1301" i="1"/>
  <c r="CS1300" i="1"/>
  <c r="CR1300" i="1"/>
  <c r="CQ1300" i="1"/>
  <c r="CP1300" i="1"/>
  <c r="CO1300" i="1"/>
  <c r="CN1300" i="1"/>
  <c r="CL1300" i="1"/>
  <c r="CK1300" i="1"/>
  <c r="CJ1300" i="1"/>
  <c r="CI1300" i="1"/>
  <c r="CH1300" i="1"/>
  <c r="CG1300" i="1"/>
  <c r="CF1300" i="1"/>
  <c r="CD1300" i="1"/>
  <c r="CC1300" i="1"/>
  <c r="CB1300" i="1"/>
  <c r="CA1300" i="1"/>
  <c r="BZ1300" i="1"/>
  <c r="BY1300" i="1"/>
  <c r="BX1300" i="1"/>
  <c r="BU1300" i="1"/>
  <c r="BN1300" i="1"/>
  <c r="BS1300" i="1" s="1"/>
  <c r="BA1300" i="1"/>
  <c r="AZ1300" i="1"/>
  <c r="AY1300" i="1"/>
  <c r="AX1300" i="1"/>
  <c r="AW1300" i="1"/>
  <c r="AV1300" i="1"/>
  <c r="AT1300" i="1"/>
  <c r="AS1300" i="1"/>
  <c r="CS1299" i="1"/>
  <c r="CR1299" i="1"/>
  <c r="CQ1299" i="1"/>
  <c r="CP1299" i="1"/>
  <c r="CO1299" i="1"/>
  <c r="CN1299" i="1"/>
  <c r="CL1299" i="1"/>
  <c r="CK1299" i="1"/>
  <c r="CJ1299" i="1"/>
  <c r="CI1299" i="1"/>
  <c r="CH1299" i="1"/>
  <c r="CG1299" i="1"/>
  <c r="CF1299" i="1"/>
  <c r="CD1299" i="1"/>
  <c r="CC1299" i="1"/>
  <c r="CB1299" i="1"/>
  <c r="CA1299" i="1"/>
  <c r="BZ1299" i="1"/>
  <c r="BY1299" i="1"/>
  <c r="BX1299" i="1"/>
  <c r="BU1299" i="1"/>
  <c r="BN1299" i="1"/>
  <c r="BS1299" i="1" s="1"/>
  <c r="BA1299" i="1"/>
  <c r="AZ1299" i="1"/>
  <c r="AY1299" i="1"/>
  <c r="AX1299" i="1"/>
  <c r="AW1299" i="1"/>
  <c r="AV1299" i="1"/>
  <c r="AT1299" i="1"/>
  <c r="AS1299" i="1"/>
  <c r="CS1298" i="1"/>
  <c r="CR1298" i="1"/>
  <c r="CQ1298" i="1"/>
  <c r="CP1298" i="1"/>
  <c r="CO1298" i="1"/>
  <c r="CN1298" i="1"/>
  <c r="CL1298" i="1"/>
  <c r="CK1298" i="1"/>
  <c r="CJ1298" i="1"/>
  <c r="CI1298" i="1"/>
  <c r="CH1298" i="1"/>
  <c r="CG1298" i="1"/>
  <c r="CF1298" i="1"/>
  <c r="CD1298" i="1"/>
  <c r="CC1298" i="1"/>
  <c r="CB1298" i="1"/>
  <c r="CA1298" i="1"/>
  <c r="BZ1298" i="1"/>
  <c r="BY1298" i="1"/>
  <c r="BX1298" i="1"/>
  <c r="BU1298" i="1"/>
  <c r="BN1298" i="1"/>
  <c r="BS1298" i="1" s="1"/>
  <c r="BA1298" i="1"/>
  <c r="AZ1298" i="1"/>
  <c r="AY1298" i="1"/>
  <c r="AX1298" i="1"/>
  <c r="AW1298" i="1"/>
  <c r="AV1298" i="1"/>
  <c r="AT1298" i="1"/>
  <c r="AS1298" i="1"/>
  <c r="CS1297" i="1"/>
  <c r="CR1297" i="1"/>
  <c r="CQ1297" i="1"/>
  <c r="CP1297" i="1"/>
  <c r="CO1297" i="1"/>
  <c r="CN1297" i="1"/>
  <c r="CL1297" i="1"/>
  <c r="CK1297" i="1"/>
  <c r="CJ1297" i="1"/>
  <c r="CI1297" i="1"/>
  <c r="CH1297" i="1"/>
  <c r="CG1297" i="1"/>
  <c r="CF1297" i="1"/>
  <c r="CD1297" i="1"/>
  <c r="CC1297" i="1"/>
  <c r="CB1297" i="1"/>
  <c r="CA1297" i="1"/>
  <c r="BZ1297" i="1"/>
  <c r="BY1297" i="1"/>
  <c r="BX1297" i="1"/>
  <c r="BU1297" i="1"/>
  <c r="BN1297" i="1"/>
  <c r="BS1297" i="1" s="1"/>
  <c r="BA1297" i="1"/>
  <c r="AZ1297" i="1"/>
  <c r="AY1297" i="1"/>
  <c r="AX1297" i="1"/>
  <c r="AW1297" i="1"/>
  <c r="AV1297" i="1"/>
  <c r="AT1297" i="1"/>
  <c r="AS1297" i="1"/>
  <c r="CS1296" i="1"/>
  <c r="CR1296" i="1"/>
  <c r="CQ1296" i="1"/>
  <c r="CP1296" i="1"/>
  <c r="CO1296" i="1"/>
  <c r="CN1296" i="1"/>
  <c r="CL1296" i="1"/>
  <c r="CK1296" i="1"/>
  <c r="CJ1296" i="1"/>
  <c r="CI1296" i="1"/>
  <c r="CH1296" i="1"/>
  <c r="CG1296" i="1"/>
  <c r="CF1296" i="1"/>
  <c r="CD1296" i="1"/>
  <c r="CC1296" i="1"/>
  <c r="CB1296" i="1"/>
  <c r="CA1296" i="1"/>
  <c r="BZ1296" i="1"/>
  <c r="BY1296" i="1"/>
  <c r="BX1296" i="1"/>
  <c r="BU1296" i="1"/>
  <c r="BN1296" i="1"/>
  <c r="BS1296" i="1" s="1"/>
  <c r="BA1296" i="1"/>
  <c r="AZ1296" i="1"/>
  <c r="AY1296" i="1"/>
  <c r="AX1296" i="1"/>
  <c r="AW1296" i="1"/>
  <c r="AV1296" i="1"/>
  <c r="AT1296" i="1"/>
  <c r="AS1296" i="1"/>
  <c r="CS1295" i="1"/>
  <c r="CR1295" i="1"/>
  <c r="CQ1295" i="1"/>
  <c r="CP1295" i="1"/>
  <c r="CO1295" i="1"/>
  <c r="CN1295" i="1"/>
  <c r="CL1295" i="1"/>
  <c r="CK1295" i="1"/>
  <c r="CJ1295" i="1"/>
  <c r="CI1295" i="1"/>
  <c r="CH1295" i="1"/>
  <c r="CG1295" i="1"/>
  <c r="CF1295" i="1"/>
  <c r="CD1295" i="1"/>
  <c r="CC1295" i="1"/>
  <c r="CB1295" i="1"/>
  <c r="CA1295" i="1"/>
  <c r="BZ1295" i="1"/>
  <c r="BY1295" i="1"/>
  <c r="BX1295" i="1"/>
  <c r="BU1295" i="1"/>
  <c r="BN1295" i="1"/>
  <c r="BS1295" i="1" s="1"/>
  <c r="BA1295" i="1"/>
  <c r="AZ1295" i="1"/>
  <c r="AY1295" i="1"/>
  <c r="AX1295" i="1"/>
  <c r="AW1295" i="1"/>
  <c r="AV1295" i="1"/>
  <c r="AT1295" i="1"/>
  <c r="AS1295" i="1"/>
  <c r="CS1294" i="1"/>
  <c r="CR1294" i="1"/>
  <c r="CQ1294" i="1"/>
  <c r="CP1294" i="1"/>
  <c r="CO1294" i="1"/>
  <c r="CN1294" i="1"/>
  <c r="CL1294" i="1"/>
  <c r="CK1294" i="1"/>
  <c r="CJ1294" i="1"/>
  <c r="CI1294" i="1"/>
  <c r="CH1294" i="1"/>
  <c r="CG1294" i="1"/>
  <c r="CF1294" i="1"/>
  <c r="CD1294" i="1"/>
  <c r="CC1294" i="1"/>
  <c r="CB1294" i="1"/>
  <c r="CA1294" i="1"/>
  <c r="BZ1294" i="1"/>
  <c r="BY1294" i="1"/>
  <c r="BX1294" i="1"/>
  <c r="BU1294" i="1"/>
  <c r="BN1294" i="1"/>
  <c r="BS1294" i="1" s="1"/>
  <c r="BA1294" i="1"/>
  <c r="AZ1294" i="1"/>
  <c r="AY1294" i="1"/>
  <c r="AX1294" i="1"/>
  <c r="AW1294" i="1"/>
  <c r="AV1294" i="1"/>
  <c r="AT1294" i="1"/>
  <c r="AS1294" i="1"/>
  <c r="CS1293" i="1"/>
  <c r="CR1293" i="1"/>
  <c r="CQ1293" i="1"/>
  <c r="CP1293" i="1"/>
  <c r="CO1293" i="1"/>
  <c r="CN1293" i="1"/>
  <c r="CL1293" i="1"/>
  <c r="CK1293" i="1"/>
  <c r="CJ1293" i="1"/>
  <c r="CI1293" i="1"/>
  <c r="CH1293" i="1"/>
  <c r="CG1293" i="1"/>
  <c r="CF1293" i="1"/>
  <c r="CD1293" i="1"/>
  <c r="CC1293" i="1"/>
  <c r="CB1293" i="1"/>
  <c r="CA1293" i="1"/>
  <c r="BZ1293" i="1"/>
  <c r="BY1293" i="1"/>
  <c r="BX1293" i="1"/>
  <c r="BU1293" i="1"/>
  <c r="BN1293" i="1"/>
  <c r="BS1293" i="1" s="1"/>
  <c r="BA1293" i="1"/>
  <c r="AZ1293" i="1"/>
  <c r="AY1293" i="1"/>
  <c r="AX1293" i="1"/>
  <c r="AW1293" i="1"/>
  <c r="AV1293" i="1"/>
  <c r="AT1293" i="1"/>
  <c r="AS1293" i="1"/>
  <c r="CS1292" i="1"/>
  <c r="CR1292" i="1"/>
  <c r="CQ1292" i="1"/>
  <c r="CP1292" i="1"/>
  <c r="CO1292" i="1"/>
  <c r="CN1292" i="1"/>
  <c r="CL1292" i="1"/>
  <c r="CK1292" i="1"/>
  <c r="CJ1292" i="1"/>
  <c r="CI1292" i="1"/>
  <c r="CH1292" i="1"/>
  <c r="CG1292" i="1"/>
  <c r="CF1292" i="1"/>
  <c r="CD1292" i="1"/>
  <c r="CC1292" i="1"/>
  <c r="CB1292" i="1"/>
  <c r="CA1292" i="1"/>
  <c r="BZ1292" i="1"/>
  <c r="BY1292" i="1"/>
  <c r="BX1292" i="1"/>
  <c r="BU1292" i="1"/>
  <c r="BN1292" i="1"/>
  <c r="BS1292" i="1" s="1"/>
  <c r="BA1292" i="1"/>
  <c r="AZ1292" i="1"/>
  <c r="AY1292" i="1"/>
  <c r="AX1292" i="1"/>
  <c r="AW1292" i="1"/>
  <c r="AV1292" i="1"/>
  <c r="AT1292" i="1"/>
  <c r="AS1292" i="1"/>
  <c r="CS1291" i="1"/>
  <c r="CR1291" i="1"/>
  <c r="CQ1291" i="1"/>
  <c r="CP1291" i="1"/>
  <c r="CO1291" i="1"/>
  <c r="CN1291" i="1"/>
  <c r="CL1291" i="1"/>
  <c r="CK1291" i="1"/>
  <c r="CJ1291" i="1"/>
  <c r="CI1291" i="1"/>
  <c r="CH1291" i="1"/>
  <c r="CG1291" i="1"/>
  <c r="CF1291" i="1"/>
  <c r="CD1291" i="1"/>
  <c r="CC1291" i="1"/>
  <c r="CB1291" i="1"/>
  <c r="CA1291" i="1"/>
  <c r="BZ1291" i="1"/>
  <c r="BY1291" i="1"/>
  <c r="BX1291" i="1"/>
  <c r="BU1291" i="1"/>
  <c r="BN1291" i="1"/>
  <c r="BS1291" i="1" s="1"/>
  <c r="BA1291" i="1"/>
  <c r="AZ1291" i="1"/>
  <c r="AY1291" i="1"/>
  <c r="AX1291" i="1"/>
  <c r="AW1291" i="1"/>
  <c r="AV1291" i="1"/>
  <c r="AT1291" i="1"/>
  <c r="AS1291" i="1"/>
  <c r="CS1290" i="1"/>
  <c r="CR1290" i="1"/>
  <c r="CQ1290" i="1"/>
  <c r="CP1290" i="1"/>
  <c r="CO1290" i="1"/>
  <c r="CN1290" i="1"/>
  <c r="CL1290" i="1"/>
  <c r="CK1290" i="1"/>
  <c r="CJ1290" i="1"/>
  <c r="CI1290" i="1"/>
  <c r="CH1290" i="1"/>
  <c r="CG1290" i="1"/>
  <c r="CF1290" i="1"/>
  <c r="CD1290" i="1"/>
  <c r="CC1290" i="1"/>
  <c r="CB1290" i="1"/>
  <c r="CA1290" i="1"/>
  <c r="BZ1290" i="1"/>
  <c r="BY1290" i="1"/>
  <c r="BX1290" i="1"/>
  <c r="BU1290" i="1"/>
  <c r="BN1290" i="1"/>
  <c r="BS1290" i="1" s="1"/>
  <c r="BA1290" i="1"/>
  <c r="AZ1290" i="1"/>
  <c r="AY1290" i="1"/>
  <c r="AX1290" i="1"/>
  <c r="AW1290" i="1"/>
  <c r="AV1290" i="1"/>
  <c r="AT1290" i="1"/>
  <c r="AS1290" i="1"/>
  <c r="CS1289" i="1"/>
  <c r="CR1289" i="1"/>
  <c r="CQ1289" i="1"/>
  <c r="CP1289" i="1"/>
  <c r="CO1289" i="1"/>
  <c r="CN1289" i="1"/>
  <c r="CL1289" i="1"/>
  <c r="CK1289" i="1"/>
  <c r="CJ1289" i="1"/>
  <c r="CI1289" i="1"/>
  <c r="CH1289" i="1"/>
  <c r="CG1289" i="1"/>
  <c r="CF1289" i="1"/>
  <c r="CD1289" i="1"/>
  <c r="CC1289" i="1"/>
  <c r="CB1289" i="1"/>
  <c r="CA1289" i="1"/>
  <c r="BZ1289" i="1"/>
  <c r="BY1289" i="1"/>
  <c r="BX1289" i="1"/>
  <c r="BU1289" i="1"/>
  <c r="BN1289" i="1"/>
  <c r="BS1289" i="1" s="1"/>
  <c r="BA1289" i="1"/>
  <c r="AZ1289" i="1"/>
  <c r="AY1289" i="1"/>
  <c r="AX1289" i="1"/>
  <c r="AW1289" i="1"/>
  <c r="AV1289" i="1"/>
  <c r="AT1289" i="1"/>
  <c r="AS1289" i="1"/>
  <c r="CS1288" i="1"/>
  <c r="CR1288" i="1"/>
  <c r="CQ1288" i="1"/>
  <c r="CP1288" i="1"/>
  <c r="CO1288" i="1"/>
  <c r="CN1288" i="1"/>
  <c r="CL1288" i="1"/>
  <c r="CK1288" i="1"/>
  <c r="CJ1288" i="1"/>
  <c r="CI1288" i="1"/>
  <c r="CH1288" i="1"/>
  <c r="CG1288" i="1"/>
  <c r="CF1288" i="1"/>
  <c r="CD1288" i="1"/>
  <c r="CC1288" i="1"/>
  <c r="CB1288" i="1"/>
  <c r="CA1288" i="1"/>
  <c r="BZ1288" i="1"/>
  <c r="BY1288" i="1"/>
  <c r="BX1288" i="1"/>
  <c r="BU1288" i="1"/>
  <c r="BN1288" i="1"/>
  <c r="BS1288" i="1" s="1"/>
  <c r="BA1288" i="1"/>
  <c r="AZ1288" i="1"/>
  <c r="AY1288" i="1"/>
  <c r="AX1288" i="1"/>
  <c r="AW1288" i="1"/>
  <c r="AV1288" i="1"/>
  <c r="AT1288" i="1"/>
  <c r="AS1288" i="1"/>
  <c r="CS1287" i="1"/>
  <c r="CR1287" i="1"/>
  <c r="CQ1287" i="1"/>
  <c r="CP1287" i="1"/>
  <c r="CO1287" i="1"/>
  <c r="CN1287" i="1"/>
  <c r="CL1287" i="1"/>
  <c r="CK1287" i="1"/>
  <c r="CJ1287" i="1"/>
  <c r="CI1287" i="1"/>
  <c r="CH1287" i="1"/>
  <c r="CG1287" i="1"/>
  <c r="CF1287" i="1"/>
  <c r="CD1287" i="1"/>
  <c r="CC1287" i="1"/>
  <c r="CB1287" i="1"/>
  <c r="CA1287" i="1"/>
  <c r="BZ1287" i="1"/>
  <c r="BY1287" i="1"/>
  <c r="BX1287" i="1"/>
  <c r="BU1287" i="1"/>
  <c r="BN1287" i="1"/>
  <c r="BS1287" i="1" s="1"/>
  <c r="BA1287" i="1"/>
  <c r="AZ1287" i="1"/>
  <c r="AY1287" i="1"/>
  <c r="AX1287" i="1"/>
  <c r="AW1287" i="1"/>
  <c r="AV1287" i="1"/>
  <c r="AT1287" i="1"/>
  <c r="AS1287" i="1"/>
  <c r="CS1286" i="1"/>
  <c r="CR1286" i="1"/>
  <c r="CQ1286" i="1"/>
  <c r="CP1286" i="1"/>
  <c r="CO1286" i="1"/>
  <c r="CN1286" i="1"/>
  <c r="CL1286" i="1"/>
  <c r="CK1286" i="1"/>
  <c r="CJ1286" i="1"/>
  <c r="CI1286" i="1"/>
  <c r="CH1286" i="1"/>
  <c r="CG1286" i="1"/>
  <c r="CF1286" i="1"/>
  <c r="CD1286" i="1"/>
  <c r="CC1286" i="1"/>
  <c r="CB1286" i="1"/>
  <c r="CA1286" i="1"/>
  <c r="BZ1286" i="1"/>
  <c r="BY1286" i="1"/>
  <c r="BX1286" i="1"/>
  <c r="BU1286" i="1"/>
  <c r="BN1286" i="1"/>
  <c r="BS1286" i="1" s="1"/>
  <c r="BA1286" i="1"/>
  <c r="AZ1286" i="1"/>
  <c r="AY1286" i="1"/>
  <c r="AX1286" i="1"/>
  <c r="AW1286" i="1"/>
  <c r="AV1286" i="1"/>
  <c r="AT1286" i="1"/>
  <c r="AS1286" i="1"/>
  <c r="CS1285" i="1"/>
  <c r="CR1285" i="1"/>
  <c r="CQ1285" i="1"/>
  <c r="CP1285" i="1"/>
  <c r="CO1285" i="1"/>
  <c r="CN1285" i="1"/>
  <c r="CL1285" i="1"/>
  <c r="CK1285" i="1"/>
  <c r="CJ1285" i="1"/>
  <c r="CI1285" i="1"/>
  <c r="CH1285" i="1"/>
  <c r="CG1285" i="1"/>
  <c r="CF1285" i="1"/>
  <c r="CD1285" i="1"/>
  <c r="CC1285" i="1"/>
  <c r="CB1285" i="1"/>
  <c r="CA1285" i="1"/>
  <c r="BZ1285" i="1"/>
  <c r="BY1285" i="1"/>
  <c r="BX1285" i="1"/>
  <c r="BU1285" i="1"/>
  <c r="BN1285" i="1"/>
  <c r="BS1285" i="1" s="1"/>
  <c r="BA1285" i="1"/>
  <c r="AZ1285" i="1"/>
  <c r="AY1285" i="1"/>
  <c r="AX1285" i="1"/>
  <c r="AW1285" i="1"/>
  <c r="AV1285" i="1"/>
  <c r="AT1285" i="1"/>
  <c r="AS1285" i="1"/>
  <c r="CS1284" i="1"/>
  <c r="CR1284" i="1"/>
  <c r="CQ1284" i="1"/>
  <c r="CP1284" i="1"/>
  <c r="CO1284" i="1"/>
  <c r="CN1284" i="1"/>
  <c r="CL1284" i="1"/>
  <c r="CK1284" i="1"/>
  <c r="CJ1284" i="1"/>
  <c r="CI1284" i="1"/>
  <c r="CH1284" i="1"/>
  <c r="CG1284" i="1"/>
  <c r="CF1284" i="1"/>
  <c r="CD1284" i="1"/>
  <c r="CC1284" i="1"/>
  <c r="CB1284" i="1"/>
  <c r="CA1284" i="1"/>
  <c r="BZ1284" i="1"/>
  <c r="BY1284" i="1"/>
  <c r="BX1284" i="1"/>
  <c r="BU1284" i="1"/>
  <c r="BN1284" i="1"/>
  <c r="BS1284" i="1" s="1"/>
  <c r="BA1284" i="1"/>
  <c r="AZ1284" i="1"/>
  <c r="AY1284" i="1"/>
  <c r="AX1284" i="1"/>
  <c r="AW1284" i="1"/>
  <c r="AV1284" i="1"/>
  <c r="AT1284" i="1"/>
  <c r="AS1284" i="1"/>
  <c r="CS1283" i="1"/>
  <c r="CR1283" i="1"/>
  <c r="CQ1283" i="1"/>
  <c r="CP1283" i="1"/>
  <c r="CO1283" i="1"/>
  <c r="CN1283" i="1"/>
  <c r="CL1283" i="1"/>
  <c r="CK1283" i="1"/>
  <c r="CJ1283" i="1"/>
  <c r="CI1283" i="1"/>
  <c r="CH1283" i="1"/>
  <c r="CG1283" i="1"/>
  <c r="CF1283" i="1"/>
  <c r="CD1283" i="1"/>
  <c r="CC1283" i="1"/>
  <c r="CB1283" i="1"/>
  <c r="CA1283" i="1"/>
  <c r="BZ1283" i="1"/>
  <c r="BY1283" i="1"/>
  <c r="BX1283" i="1"/>
  <c r="BU1283" i="1"/>
  <c r="BN1283" i="1"/>
  <c r="BS1283" i="1" s="1"/>
  <c r="BA1283" i="1"/>
  <c r="AZ1283" i="1"/>
  <c r="AY1283" i="1"/>
  <c r="AX1283" i="1"/>
  <c r="AW1283" i="1"/>
  <c r="AV1283" i="1"/>
  <c r="AT1283" i="1"/>
  <c r="AS1283" i="1"/>
  <c r="CS1282" i="1"/>
  <c r="CR1282" i="1"/>
  <c r="CQ1282" i="1"/>
  <c r="CP1282" i="1"/>
  <c r="CO1282" i="1"/>
  <c r="CN1282" i="1"/>
  <c r="CL1282" i="1"/>
  <c r="CK1282" i="1"/>
  <c r="CJ1282" i="1"/>
  <c r="CI1282" i="1"/>
  <c r="CH1282" i="1"/>
  <c r="CG1282" i="1"/>
  <c r="CF1282" i="1"/>
  <c r="CD1282" i="1"/>
  <c r="CC1282" i="1"/>
  <c r="CB1282" i="1"/>
  <c r="CA1282" i="1"/>
  <c r="BZ1282" i="1"/>
  <c r="BY1282" i="1"/>
  <c r="BX1282" i="1"/>
  <c r="BU1282" i="1"/>
  <c r="BN1282" i="1"/>
  <c r="BS1282" i="1" s="1"/>
  <c r="BA1282" i="1"/>
  <c r="AZ1282" i="1"/>
  <c r="AY1282" i="1"/>
  <c r="AX1282" i="1"/>
  <c r="AW1282" i="1"/>
  <c r="AV1282" i="1"/>
  <c r="AT1282" i="1"/>
  <c r="AS1282" i="1"/>
  <c r="CS1281" i="1"/>
  <c r="CR1281" i="1"/>
  <c r="CQ1281" i="1"/>
  <c r="CP1281" i="1"/>
  <c r="CO1281" i="1"/>
  <c r="CN1281" i="1"/>
  <c r="CL1281" i="1"/>
  <c r="CK1281" i="1"/>
  <c r="CJ1281" i="1"/>
  <c r="CI1281" i="1"/>
  <c r="CH1281" i="1"/>
  <c r="CG1281" i="1"/>
  <c r="CF1281" i="1"/>
  <c r="CD1281" i="1"/>
  <c r="CC1281" i="1"/>
  <c r="CB1281" i="1"/>
  <c r="CA1281" i="1"/>
  <c r="BZ1281" i="1"/>
  <c r="BY1281" i="1"/>
  <c r="BX1281" i="1"/>
  <c r="BU1281" i="1"/>
  <c r="BN1281" i="1"/>
  <c r="BS1281" i="1" s="1"/>
  <c r="BA1281" i="1"/>
  <c r="AZ1281" i="1"/>
  <c r="AY1281" i="1"/>
  <c r="AX1281" i="1"/>
  <c r="AW1281" i="1"/>
  <c r="AV1281" i="1"/>
  <c r="AT1281" i="1"/>
  <c r="AS1281" i="1"/>
  <c r="CS1280" i="1"/>
  <c r="CR1280" i="1"/>
  <c r="CQ1280" i="1"/>
  <c r="CP1280" i="1"/>
  <c r="CO1280" i="1"/>
  <c r="CN1280" i="1"/>
  <c r="CL1280" i="1"/>
  <c r="CK1280" i="1"/>
  <c r="CJ1280" i="1"/>
  <c r="CI1280" i="1"/>
  <c r="CH1280" i="1"/>
  <c r="CG1280" i="1"/>
  <c r="CF1280" i="1"/>
  <c r="CD1280" i="1"/>
  <c r="CC1280" i="1"/>
  <c r="CB1280" i="1"/>
  <c r="CA1280" i="1"/>
  <c r="BZ1280" i="1"/>
  <c r="BY1280" i="1"/>
  <c r="BX1280" i="1"/>
  <c r="BU1280" i="1"/>
  <c r="BN1280" i="1"/>
  <c r="BS1280" i="1" s="1"/>
  <c r="BA1280" i="1"/>
  <c r="AZ1280" i="1"/>
  <c r="AY1280" i="1"/>
  <c r="AX1280" i="1"/>
  <c r="AW1280" i="1"/>
  <c r="AV1280" i="1"/>
  <c r="AT1280" i="1"/>
  <c r="AS1280" i="1"/>
  <c r="CS1279" i="1"/>
  <c r="CR1279" i="1"/>
  <c r="CQ1279" i="1"/>
  <c r="CP1279" i="1"/>
  <c r="CO1279" i="1"/>
  <c r="CN1279" i="1"/>
  <c r="CL1279" i="1"/>
  <c r="CK1279" i="1"/>
  <c r="CJ1279" i="1"/>
  <c r="CI1279" i="1"/>
  <c r="CH1279" i="1"/>
  <c r="CG1279" i="1"/>
  <c r="CF1279" i="1"/>
  <c r="CD1279" i="1"/>
  <c r="CC1279" i="1"/>
  <c r="CB1279" i="1"/>
  <c r="CA1279" i="1"/>
  <c r="BZ1279" i="1"/>
  <c r="BY1279" i="1"/>
  <c r="BX1279" i="1"/>
  <c r="BU1279" i="1"/>
  <c r="BN1279" i="1"/>
  <c r="BS1279" i="1" s="1"/>
  <c r="BA1279" i="1"/>
  <c r="AZ1279" i="1"/>
  <c r="AY1279" i="1"/>
  <c r="AX1279" i="1"/>
  <c r="AW1279" i="1"/>
  <c r="AV1279" i="1"/>
  <c r="AT1279" i="1"/>
  <c r="AS1279" i="1"/>
  <c r="CS1278" i="1"/>
  <c r="CR1278" i="1"/>
  <c r="CQ1278" i="1"/>
  <c r="CP1278" i="1"/>
  <c r="CO1278" i="1"/>
  <c r="CN1278" i="1"/>
  <c r="CL1278" i="1"/>
  <c r="CK1278" i="1"/>
  <c r="CJ1278" i="1"/>
  <c r="CI1278" i="1"/>
  <c r="CH1278" i="1"/>
  <c r="CG1278" i="1"/>
  <c r="CF1278" i="1"/>
  <c r="CD1278" i="1"/>
  <c r="CC1278" i="1"/>
  <c r="CB1278" i="1"/>
  <c r="CA1278" i="1"/>
  <c r="BZ1278" i="1"/>
  <c r="BY1278" i="1"/>
  <c r="BX1278" i="1"/>
  <c r="BU1278" i="1"/>
  <c r="BN1278" i="1"/>
  <c r="BS1278" i="1" s="1"/>
  <c r="BA1278" i="1"/>
  <c r="AZ1278" i="1"/>
  <c r="AY1278" i="1"/>
  <c r="AX1278" i="1"/>
  <c r="AW1278" i="1"/>
  <c r="AV1278" i="1"/>
  <c r="AT1278" i="1"/>
  <c r="AS1278" i="1"/>
  <c r="CS1277" i="1"/>
  <c r="CR1277" i="1"/>
  <c r="CQ1277" i="1"/>
  <c r="CP1277" i="1"/>
  <c r="CO1277" i="1"/>
  <c r="CN1277" i="1"/>
  <c r="CL1277" i="1"/>
  <c r="CK1277" i="1"/>
  <c r="CJ1277" i="1"/>
  <c r="CI1277" i="1"/>
  <c r="CH1277" i="1"/>
  <c r="CG1277" i="1"/>
  <c r="CF1277" i="1"/>
  <c r="CD1277" i="1"/>
  <c r="CC1277" i="1"/>
  <c r="CB1277" i="1"/>
  <c r="CA1277" i="1"/>
  <c r="BZ1277" i="1"/>
  <c r="BY1277" i="1"/>
  <c r="BX1277" i="1"/>
  <c r="BU1277" i="1"/>
  <c r="BN1277" i="1"/>
  <c r="BS1277" i="1" s="1"/>
  <c r="BA1277" i="1"/>
  <c r="AZ1277" i="1"/>
  <c r="AY1277" i="1"/>
  <c r="AX1277" i="1"/>
  <c r="AW1277" i="1"/>
  <c r="AV1277" i="1"/>
  <c r="AT1277" i="1"/>
  <c r="AS1277" i="1"/>
  <c r="CS1276" i="1"/>
  <c r="CR1276" i="1"/>
  <c r="CQ1276" i="1"/>
  <c r="CP1276" i="1"/>
  <c r="CO1276" i="1"/>
  <c r="CN1276" i="1"/>
  <c r="CL1276" i="1"/>
  <c r="CK1276" i="1"/>
  <c r="CJ1276" i="1"/>
  <c r="CI1276" i="1"/>
  <c r="CH1276" i="1"/>
  <c r="CG1276" i="1"/>
  <c r="CF1276" i="1"/>
  <c r="CD1276" i="1"/>
  <c r="CC1276" i="1"/>
  <c r="CB1276" i="1"/>
  <c r="CA1276" i="1"/>
  <c r="BZ1276" i="1"/>
  <c r="BY1276" i="1"/>
  <c r="BX1276" i="1"/>
  <c r="BU1276" i="1"/>
  <c r="BN1276" i="1"/>
  <c r="BS1276" i="1" s="1"/>
  <c r="BA1276" i="1"/>
  <c r="AZ1276" i="1"/>
  <c r="AY1276" i="1"/>
  <c r="AX1276" i="1"/>
  <c r="AW1276" i="1"/>
  <c r="AV1276" i="1"/>
  <c r="AT1276" i="1"/>
  <c r="AS1276" i="1"/>
  <c r="CS1275" i="1"/>
  <c r="CR1275" i="1"/>
  <c r="CQ1275" i="1"/>
  <c r="CP1275" i="1"/>
  <c r="CO1275" i="1"/>
  <c r="CN1275" i="1"/>
  <c r="CL1275" i="1"/>
  <c r="CK1275" i="1"/>
  <c r="CJ1275" i="1"/>
  <c r="CI1275" i="1"/>
  <c r="CH1275" i="1"/>
  <c r="CG1275" i="1"/>
  <c r="CF1275" i="1"/>
  <c r="CD1275" i="1"/>
  <c r="CC1275" i="1"/>
  <c r="CB1275" i="1"/>
  <c r="CA1275" i="1"/>
  <c r="BZ1275" i="1"/>
  <c r="BY1275" i="1"/>
  <c r="BX1275" i="1"/>
  <c r="BU1275" i="1"/>
  <c r="BN1275" i="1"/>
  <c r="BS1275" i="1" s="1"/>
  <c r="BA1275" i="1"/>
  <c r="AZ1275" i="1"/>
  <c r="AY1275" i="1"/>
  <c r="AX1275" i="1"/>
  <c r="AW1275" i="1"/>
  <c r="AV1275" i="1"/>
  <c r="AT1275" i="1"/>
  <c r="AS1275" i="1"/>
  <c r="CS1274" i="1"/>
  <c r="CR1274" i="1"/>
  <c r="CQ1274" i="1"/>
  <c r="CP1274" i="1"/>
  <c r="CO1274" i="1"/>
  <c r="CN1274" i="1"/>
  <c r="CL1274" i="1"/>
  <c r="CK1274" i="1"/>
  <c r="CJ1274" i="1"/>
  <c r="CI1274" i="1"/>
  <c r="CH1274" i="1"/>
  <c r="CG1274" i="1"/>
  <c r="CF1274" i="1"/>
  <c r="CD1274" i="1"/>
  <c r="CC1274" i="1"/>
  <c r="CB1274" i="1"/>
  <c r="CA1274" i="1"/>
  <c r="BZ1274" i="1"/>
  <c r="BY1274" i="1"/>
  <c r="BX1274" i="1"/>
  <c r="BU1274" i="1"/>
  <c r="BN1274" i="1"/>
  <c r="BS1274" i="1" s="1"/>
  <c r="BA1274" i="1"/>
  <c r="AZ1274" i="1"/>
  <c r="AY1274" i="1"/>
  <c r="AX1274" i="1"/>
  <c r="AW1274" i="1"/>
  <c r="AV1274" i="1"/>
  <c r="AT1274" i="1"/>
  <c r="AS1274" i="1"/>
  <c r="CS1273" i="1"/>
  <c r="CR1273" i="1"/>
  <c r="CQ1273" i="1"/>
  <c r="CP1273" i="1"/>
  <c r="CO1273" i="1"/>
  <c r="CN1273" i="1"/>
  <c r="CL1273" i="1"/>
  <c r="CK1273" i="1"/>
  <c r="CJ1273" i="1"/>
  <c r="CI1273" i="1"/>
  <c r="CH1273" i="1"/>
  <c r="CG1273" i="1"/>
  <c r="CF1273" i="1"/>
  <c r="CD1273" i="1"/>
  <c r="CC1273" i="1"/>
  <c r="CB1273" i="1"/>
  <c r="CA1273" i="1"/>
  <c r="BZ1273" i="1"/>
  <c r="BY1273" i="1"/>
  <c r="BX1273" i="1"/>
  <c r="BU1273" i="1"/>
  <c r="BN1273" i="1"/>
  <c r="BS1273" i="1" s="1"/>
  <c r="BA1273" i="1"/>
  <c r="AZ1273" i="1"/>
  <c r="AY1273" i="1"/>
  <c r="AX1273" i="1"/>
  <c r="AW1273" i="1"/>
  <c r="AV1273" i="1"/>
  <c r="AT1273" i="1"/>
  <c r="AS1273" i="1"/>
  <c r="CS1272" i="1"/>
  <c r="CR1272" i="1"/>
  <c r="CQ1272" i="1"/>
  <c r="CP1272" i="1"/>
  <c r="CO1272" i="1"/>
  <c r="CN1272" i="1"/>
  <c r="CL1272" i="1"/>
  <c r="CK1272" i="1"/>
  <c r="CJ1272" i="1"/>
  <c r="CI1272" i="1"/>
  <c r="CH1272" i="1"/>
  <c r="CG1272" i="1"/>
  <c r="CF1272" i="1"/>
  <c r="CD1272" i="1"/>
  <c r="CC1272" i="1"/>
  <c r="CB1272" i="1"/>
  <c r="CA1272" i="1"/>
  <c r="BZ1272" i="1"/>
  <c r="BY1272" i="1"/>
  <c r="BX1272" i="1"/>
  <c r="BU1272" i="1"/>
  <c r="BN1272" i="1"/>
  <c r="BS1272" i="1" s="1"/>
  <c r="BA1272" i="1"/>
  <c r="AZ1272" i="1"/>
  <c r="AY1272" i="1"/>
  <c r="AX1272" i="1"/>
  <c r="AW1272" i="1"/>
  <c r="AV1272" i="1"/>
  <c r="AT1272" i="1"/>
  <c r="AS1272" i="1"/>
  <c r="CS1271" i="1"/>
  <c r="CR1271" i="1"/>
  <c r="CQ1271" i="1"/>
  <c r="CP1271" i="1"/>
  <c r="CO1271" i="1"/>
  <c r="CN1271" i="1"/>
  <c r="CL1271" i="1"/>
  <c r="CK1271" i="1"/>
  <c r="CJ1271" i="1"/>
  <c r="CI1271" i="1"/>
  <c r="CH1271" i="1"/>
  <c r="CG1271" i="1"/>
  <c r="CF1271" i="1"/>
  <c r="CD1271" i="1"/>
  <c r="CC1271" i="1"/>
  <c r="CB1271" i="1"/>
  <c r="CA1271" i="1"/>
  <c r="BZ1271" i="1"/>
  <c r="BY1271" i="1"/>
  <c r="BX1271" i="1"/>
  <c r="BU1271" i="1"/>
  <c r="BN1271" i="1"/>
  <c r="BS1271" i="1" s="1"/>
  <c r="BA1271" i="1"/>
  <c r="AZ1271" i="1"/>
  <c r="AY1271" i="1"/>
  <c r="AX1271" i="1"/>
  <c r="AW1271" i="1"/>
  <c r="AV1271" i="1"/>
  <c r="AT1271" i="1"/>
  <c r="AS1271" i="1"/>
  <c r="CS1270" i="1"/>
  <c r="CR1270" i="1"/>
  <c r="CQ1270" i="1"/>
  <c r="CP1270" i="1"/>
  <c r="CO1270" i="1"/>
  <c r="CN1270" i="1"/>
  <c r="CL1270" i="1"/>
  <c r="CK1270" i="1"/>
  <c r="CJ1270" i="1"/>
  <c r="CI1270" i="1"/>
  <c r="CH1270" i="1"/>
  <c r="CG1270" i="1"/>
  <c r="CF1270" i="1"/>
  <c r="CD1270" i="1"/>
  <c r="CC1270" i="1"/>
  <c r="CB1270" i="1"/>
  <c r="CA1270" i="1"/>
  <c r="BZ1270" i="1"/>
  <c r="BY1270" i="1"/>
  <c r="BX1270" i="1"/>
  <c r="BU1270" i="1"/>
  <c r="BN1270" i="1"/>
  <c r="BS1270" i="1" s="1"/>
  <c r="BA1270" i="1"/>
  <c r="AZ1270" i="1"/>
  <c r="AY1270" i="1"/>
  <c r="AX1270" i="1"/>
  <c r="AW1270" i="1"/>
  <c r="AV1270" i="1"/>
  <c r="AT1270" i="1"/>
  <c r="AS1270" i="1"/>
  <c r="CS1269" i="1"/>
  <c r="CR1269" i="1"/>
  <c r="CQ1269" i="1"/>
  <c r="CP1269" i="1"/>
  <c r="CO1269" i="1"/>
  <c r="CN1269" i="1"/>
  <c r="CL1269" i="1"/>
  <c r="CK1269" i="1"/>
  <c r="CJ1269" i="1"/>
  <c r="CI1269" i="1"/>
  <c r="CH1269" i="1"/>
  <c r="CG1269" i="1"/>
  <c r="CF1269" i="1"/>
  <c r="CD1269" i="1"/>
  <c r="CC1269" i="1"/>
  <c r="CB1269" i="1"/>
  <c r="CA1269" i="1"/>
  <c r="BZ1269" i="1"/>
  <c r="BY1269" i="1"/>
  <c r="BX1269" i="1"/>
  <c r="BU1269" i="1"/>
  <c r="BN1269" i="1"/>
  <c r="BS1269" i="1" s="1"/>
  <c r="BA1269" i="1"/>
  <c r="AZ1269" i="1"/>
  <c r="AY1269" i="1"/>
  <c r="AX1269" i="1"/>
  <c r="AW1269" i="1"/>
  <c r="AV1269" i="1"/>
  <c r="AT1269" i="1"/>
  <c r="AS1269" i="1"/>
  <c r="CS1268" i="1"/>
  <c r="CR1268" i="1"/>
  <c r="CQ1268" i="1"/>
  <c r="CP1268" i="1"/>
  <c r="CO1268" i="1"/>
  <c r="CN1268" i="1"/>
  <c r="CL1268" i="1"/>
  <c r="CK1268" i="1"/>
  <c r="CJ1268" i="1"/>
  <c r="CI1268" i="1"/>
  <c r="CH1268" i="1"/>
  <c r="CG1268" i="1"/>
  <c r="CF1268" i="1"/>
  <c r="CD1268" i="1"/>
  <c r="CC1268" i="1"/>
  <c r="CB1268" i="1"/>
  <c r="CA1268" i="1"/>
  <c r="BZ1268" i="1"/>
  <c r="BY1268" i="1"/>
  <c r="BX1268" i="1"/>
  <c r="BU1268" i="1"/>
  <c r="BN1268" i="1"/>
  <c r="BS1268" i="1" s="1"/>
  <c r="BA1268" i="1"/>
  <c r="AZ1268" i="1"/>
  <c r="AY1268" i="1"/>
  <c r="AX1268" i="1"/>
  <c r="AW1268" i="1"/>
  <c r="AV1268" i="1"/>
  <c r="AT1268" i="1"/>
  <c r="AS1268" i="1"/>
  <c r="CS1267" i="1"/>
  <c r="CR1267" i="1"/>
  <c r="CQ1267" i="1"/>
  <c r="CP1267" i="1"/>
  <c r="CO1267" i="1"/>
  <c r="CN1267" i="1"/>
  <c r="CL1267" i="1"/>
  <c r="CK1267" i="1"/>
  <c r="CJ1267" i="1"/>
  <c r="CI1267" i="1"/>
  <c r="CH1267" i="1"/>
  <c r="CG1267" i="1"/>
  <c r="CF1267" i="1"/>
  <c r="CD1267" i="1"/>
  <c r="CC1267" i="1"/>
  <c r="CB1267" i="1"/>
  <c r="CA1267" i="1"/>
  <c r="BZ1267" i="1"/>
  <c r="BY1267" i="1"/>
  <c r="BX1267" i="1"/>
  <c r="BU1267" i="1"/>
  <c r="BN1267" i="1"/>
  <c r="BS1267" i="1" s="1"/>
  <c r="BA1267" i="1"/>
  <c r="AZ1267" i="1"/>
  <c r="AY1267" i="1"/>
  <c r="AX1267" i="1"/>
  <c r="AW1267" i="1"/>
  <c r="AV1267" i="1"/>
  <c r="AT1267" i="1"/>
  <c r="AS1267" i="1"/>
  <c r="CS1266" i="1"/>
  <c r="CR1266" i="1"/>
  <c r="CQ1266" i="1"/>
  <c r="CP1266" i="1"/>
  <c r="CO1266" i="1"/>
  <c r="CN1266" i="1"/>
  <c r="CL1266" i="1"/>
  <c r="CK1266" i="1"/>
  <c r="CJ1266" i="1"/>
  <c r="CI1266" i="1"/>
  <c r="CH1266" i="1"/>
  <c r="CG1266" i="1"/>
  <c r="CF1266" i="1"/>
  <c r="CD1266" i="1"/>
  <c r="CC1266" i="1"/>
  <c r="CB1266" i="1"/>
  <c r="CA1266" i="1"/>
  <c r="BZ1266" i="1"/>
  <c r="BY1266" i="1"/>
  <c r="BX1266" i="1"/>
  <c r="BU1266" i="1"/>
  <c r="BN1266" i="1"/>
  <c r="BS1266" i="1" s="1"/>
  <c r="BA1266" i="1"/>
  <c r="AZ1266" i="1"/>
  <c r="AY1266" i="1"/>
  <c r="AX1266" i="1"/>
  <c r="AW1266" i="1"/>
  <c r="AV1266" i="1"/>
  <c r="AT1266" i="1"/>
  <c r="AS1266" i="1"/>
  <c r="CS1265" i="1"/>
  <c r="CR1265" i="1"/>
  <c r="CQ1265" i="1"/>
  <c r="CP1265" i="1"/>
  <c r="CO1265" i="1"/>
  <c r="CN1265" i="1"/>
  <c r="CL1265" i="1"/>
  <c r="CK1265" i="1"/>
  <c r="CJ1265" i="1"/>
  <c r="CI1265" i="1"/>
  <c r="CH1265" i="1"/>
  <c r="CG1265" i="1"/>
  <c r="CF1265" i="1"/>
  <c r="CD1265" i="1"/>
  <c r="CC1265" i="1"/>
  <c r="CB1265" i="1"/>
  <c r="CA1265" i="1"/>
  <c r="BZ1265" i="1"/>
  <c r="BY1265" i="1"/>
  <c r="BX1265" i="1"/>
  <c r="BU1265" i="1"/>
  <c r="BN1265" i="1"/>
  <c r="BS1265" i="1" s="1"/>
  <c r="BA1265" i="1"/>
  <c r="AZ1265" i="1"/>
  <c r="AY1265" i="1"/>
  <c r="AX1265" i="1"/>
  <c r="AW1265" i="1"/>
  <c r="AV1265" i="1"/>
  <c r="AT1265" i="1"/>
  <c r="AS1265" i="1"/>
  <c r="CS1264" i="1"/>
  <c r="CR1264" i="1"/>
  <c r="CQ1264" i="1"/>
  <c r="CP1264" i="1"/>
  <c r="CO1264" i="1"/>
  <c r="CN1264" i="1"/>
  <c r="CL1264" i="1"/>
  <c r="CK1264" i="1"/>
  <c r="CJ1264" i="1"/>
  <c r="CI1264" i="1"/>
  <c r="CH1264" i="1"/>
  <c r="CG1264" i="1"/>
  <c r="CF1264" i="1"/>
  <c r="CD1264" i="1"/>
  <c r="CC1264" i="1"/>
  <c r="CB1264" i="1"/>
  <c r="CA1264" i="1"/>
  <c r="BZ1264" i="1"/>
  <c r="BY1264" i="1"/>
  <c r="BX1264" i="1"/>
  <c r="BU1264" i="1"/>
  <c r="BN1264" i="1"/>
  <c r="BS1264" i="1" s="1"/>
  <c r="BA1264" i="1"/>
  <c r="AZ1264" i="1"/>
  <c r="AY1264" i="1"/>
  <c r="AX1264" i="1"/>
  <c r="AW1264" i="1"/>
  <c r="AV1264" i="1"/>
  <c r="AT1264" i="1"/>
  <c r="AS1264" i="1"/>
  <c r="CS1263" i="1"/>
  <c r="CR1263" i="1"/>
  <c r="CQ1263" i="1"/>
  <c r="CP1263" i="1"/>
  <c r="CO1263" i="1"/>
  <c r="CN1263" i="1"/>
  <c r="CL1263" i="1"/>
  <c r="CK1263" i="1"/>
  <c r="CJ1263" i="1"/>
  <c r="CI1263" i="1"/>
  <c r="CH1263" i="1"/>
  <c r="CG1263" i="1"/>
  <c r="CF1263" i="1"/>
  <c r="CD1263" i="1"/>
  <c r="CC1263" i="1"/>
  <c r="CB1263" i="1"/>
  <c r="CA1263" i="1"/>
  <c r="BZ1263" i="1"/>
  <c r="BY1263" i="1"/>
  <c r="BX1263" i="1"/>
  <c r="BU1263" i="1"/>
  <c r="BN1263" i="1"/>
  <c r="BS1263" i="1" s="1"/>
  <c r="BA1263" i="1"/>
  <c r="AZ1263" i="1"/>
  <c r="AY1263" i="1"/>
  <c r="AX1263" i="1"/>
  <c r="AW1263" i="1"/>
  <c r="AV1263" i="1"/>
  <c r="AT1263" i="1"/>
  <c r="AS1263" i="1"/>
  <c r="CS1262" i="1"/>
  <c r="CR1262" i="1"/>
  <c r="CQ1262" i="1"/>
  <c r="CP1262" i="1"/>
  <c r="CO1262" i="1"/>
  <c r="CN1262" i="1"/>
  <c r="CL1262" i="1"/>
  <c r="CK1262" i="1"/>
  <c r="CJ1262" i="1"/>
  <c r="CI1262" i="1"/>
  <c r="CH1262" i="1"/>
  <c r="CG1262" i="1"/>
  <c r="CF1262" i="1"/>
  <c r="CD1262" i="1"/>
  <c r="CC1262" i="1"/>
  <c r="CB1262" i="1"/>
  <c r="CA1262" i="1"/>
  <c r="BZ1262" i="1"/>
  <c r="BY1262" i="1"/>
  <c r="BX1262" i="1"/>
  <c r="BU1262" i="1"/>
  <c r="BN1262" i="1"/>
  <c r="BS1262" i="1" s="1"/>
  <c r="BA1262" i="1"/>
  <c r="AZ1262" i="1"/>
  <c r="AY1262" i="1"/>
  <c r="AX1262" i="1"/>
  <c r="AW1262" i="1"/>
  <c r="AV1262" i="1"/>
  <c r="AT1262" i="1"/>
  <c r="AS1262" i="1"/>
  <c r="CS1261" i="1"/>
  <c r="CR1261" i="1"/>
  <c r="CQ1261" i="1"/>
  <c r="CP1261" i="1"/>
  <c r="CO1261" i="1"/>
  <c r="CN1261" i="1"/>
  <c r="CL1261" i="1"/>
  <c r="CK1261" i="1"/>
  <c r="CJ1261" i="1"/>
  <c r="CI1261" i="1"/>
  <c r="CH1261" i="1"/>
  <c r="CG1261" i="1"/>
  <c r="CF1261" i="1"/>
  <c r="CD1261" i="1"/>
  <c r="CC1261" i="1"/>
  <c r="CB1261" i="1"/>
  <c r="CA1261" i="1"/>
  <c r="BZ1261" i="1"/>
  <c r="BY1261" i="1"/>
  <c r="BX1261" i="1"/>
  <c r="BU1261" i="1"/>
  <c r="BN1261" i="1"/>
  <c r="BS1261" i="1" s="1"/>
  <c r="BA1261" i="1"/>
  <c r="AZ1261" i="1"/>
  <c r="AY1261" i="1"/>
  <c r="AX1261" i="1"/>
  <c r="AW1261" i="1"/>
  <c r="AV1261" i="1"/>
  <c r="AT1261" i="1"/>
  <c r="AS1261" i="1"/>
  <c r="CS1260" i="1"/>
  <c r="CR1260" i="1"/>
  <c r="CQ1260" i="1"/>
  <c r="CP1260" i="1"/>
  <c r="CO1260" i="1"/>
  <c r="CN1260" i="1"/>
  <c r="CL1260" i="1"/>
  <c r="CK1260" i="1"/>
  <c r="CJ1260" i="1"/>
  <c r="CI1260" i="1"/>
  <c r="CH1260" i="1"/>
  <c r="CG1260" i="1"/>
  <c r="CF1260" i="1"/>
  <c r="CD1260" i="1"/>
  <c r="CC1260" i="1"/>
  <c r="CB1260" i="1"/>
  <c r="CA1260" i="1"/>
  <c r="BZ1260" i="1"/>
  <c r="BY1260" i="1"/>
  <c r="BX1260" i="1"/>
  <c r="BU1260" i="1"/>
  <c r="BN1260" i="1"/>
  <c r="BS1260" i="1" s="1"/>
  <c r="BA1260" i="1"/>
  <c r="AZ1260" i="1"/>
  <c r="AY1260" i="1"/>
  <c r="AX1260" i="1"/>
  <c r="AW1260" i="1"/>
  <c r="AV1260" i="1"/>
  <c r="AT1260" i="1"/>
  <c r="AS1260" i="1"/>
  <c r="CS1259" i="1"/>
  <c r="CR1259" i="1"/>
  <c r="CQ1259" i="1"/>
  <c r="CP1259" i="1"/>
  <c r="CO1259" i="1"/>
  <c r="CN1259" i="1"/>
  <c r="CL1259" i="1"/>
  <c r="CK1259" i="1"/>
  <c r="CJ1259" i="1"/>
  <c r="CI1259" i="1"/>
  <c r="CH1259" i="1"/>
  <c r="CG1259" i="1"/>
  <c r="CF1259" i="1"/>
  <c r="CD1259" i="1"/>
  <c r="CC1259" i="1"/>
  <c r="CB1259" i="1"/>
  <c r="CA1259" i="1"/>
  <c r="BZ1259" i="1"/>
  <c r="BY1259" i="1"/>
  <c r="BX1259" i="1"/>
  <c r="BU1259" i="1"/>
  <c r="BN1259" i="1"/>
  <c r="BS1259" i="1" s="1"/>
  <c r="BA1259" i="1"/>
  <c r="AZ1259" i="1"/>
  <c r="AY1259" i="1"/>
  <c r="AX1259" i="1"/>
  <c r="AW1259" i="1"/>
  <c r="AV1259" i="1"/>
  <c r="AT1259" i="1"/>
  <c r="AS1259" i="1"/>
  <c r="CS1258" i="1"/>
  <c r="CR1258" i="1"/>
  <c r="CQ1258" i="1"/>
  <c r="CP1258" i="1"/>
  <c r="CO1258" i="1"/>
  <c r="CN1258" i="1"/>
  <c r="CL1258" i="1"/>
  <c r="CK1258" i="1"/>
  <c r="CJ1258" i="1"/>
  <c r="CI1258" i="1"/>
  <c r="CH1258" i="1"/>
  <c r="CG1258" i="1"/>
  <c r="CF1258" i="1"/>
  <c r="CD1258" i="1"/>
  <c r="CC1258" i="1"/>
  <c r="CB1258" i="1"/>
  <c r="CA1258" i="1"/>
  <c r="BZ1258" i="1"/>
  <c r="BY1258" i="1"/>
  <c r="BX1258" i="1"/>
  <c r="BU1258" i="1"/>
  <c r="BN1258" i="1"/>
  <c r="BS1258" i="1" s="1"/>
  <c r="BA1258" i="1"/>
  <c r="AZ1258" i="1"/>
  <c r="AY1258" i="1"/>
  <c r="AX1258" i="1"/>
  <c r="AW1258" i="1"/>
  <c r="AV1258" i="1"/>
  <c r="AT1258" i="1"/>
  <c r="AS1258" i="1"/>
  <c r="CS1257" i="1"/>
  <c r="CR1257" i="1"/>
  <c r="CQ1257" i="1"/>
  <c r="CP1257" i="1"/>
  <c r="CO1257" i="1"/>
  <c r="CN1257" i="1"/>
  <c r="CL1257" i="1"/>
  <c r="CK1257" i="1"/>
  <c r="CJ1257" i="1"/>
  <c r="CI1257" i="1"/>
  <c r="CH1257" i="1"/>
  <c r="CG1257" i="1"/>
  <c r="CF1257" i="1"/>
  <c r="CD1257" i="1"/>
  <c r="CC1257" i="1"/>
  <c r="CB1257" i="1"/>
  <c r="CA1257" i="1"/>
  <c r="BZ1257" i="1"/>
  <c r="BY1257" i="1"/>
  <c r="BX1257" i="1"/>
  <c r="BU1257" i="1"/>
  <c r="BN1257" i="1"/>
  <c r="BS1257" i="1" s="1"/>
  <c r="BA1257" i="1"/>
  <c r="AZ1257" i="1"/>
  <c r="AY1257" i="1"/>
  <c r="AX1257" i="1"/>
  <c r="AW1257" i="1"/>
  <c r="AV1257" i="1"/>
  <c r="AT1257" i="1"/>
  <c r="AS1257" i="1"/>
  <c r="CS1256" i="1"/>
  <c r="CR1256" i="1"/>
  <c r="CQ1256" i="1"/>
  <c r="CP1256" i="1"/>
  <c r="CO1256" i="1"/>
  <c r="CN1256" i="1"/>
  <c r="CL1256" i="1"/>
  <c r="CK1256" i="1"/>
  <c r="CJ1256" i="1"/>
  <c r="CI1256" i="1"/>
  <c r="CH1256" i="1"/>
  <c r="CG1256" i="1"/>
  <c r="CF1256" i="1"/>
  <c r="CD1256" i="1"/>
  <c r="CC1256" i="1"/>
  <c r="CB1256" i="1"/>
  <c r="CA1256" i="1"/>
  <c r="BZ1256" i="1"/>
  <c r="BY1256" i="1"/>
  <c r="BX1256" i="1"/>
  <c r="BU1256" i="1"/>
  <c r="BN1256" i="1"/>
  <c r="BS1256" i="1" s="1"/>
  <c r="BA1256" i="1"/>
  <c r="AZ1256" i="1"/>
  <c r="AY1256" i="1"/>
  <c r="AX1256" i="1"/>
  <c r="AW1256" i="1"/>
  <c r="AV1256" i="1"/>
  <c r="AT1256" i="1"/>
  <c r="AS1256" i="1"/>
  <c r="CS1255" i="1"/>
  <c r="CR1255" i="1"/>
  <c r="CQ1255" i="1"/>
  <c r="CP1255" i="1"/>
  <c r="CO1255" i="1"/>
  <c r="CN1255" i="1"/>
  <c r="CL1255" i="1"/>
  <c r="CK1255" i="1"/>
  <c r="CJ1255" i="1"/>
  <c r="CI1255" i="1"/>
  <c r="CH1255" i="1"/>
  <c r="CG1255" i="1"/>
  <c r="CF1255" i="1"/>
  <c r="CD1255" i="1"/>
  <c r="CC1255" i="1"/>
  <c r="CB1255" i="1"/>
  <c r="CA1255" i="1"/>
  <c r="BZ1255" i="1"/>
  <c r="BY1255" i="1"/>
  <c r="BX1255" i="1"/>
  <c r="BU1255" i="1"/>
  <c r="BN1255" i="1"/>
  <c r="BS1255" i="1" s="1"/>
  <c r="BA1255" i="1"/>
  <c r="AZ1255" i="1"/>
  <c r="AY1255" i="1"/>
  <c r="AX1255" i="1"/>
  <c r="AW1255" i="1"/>
  <c r="AV1255" i="1"/>
  <c r="AT1255" i="1"/>
  <c r="AS1255" i="1"/>
  <c r="CS1254" i="1"/>
  <c r="CR1254" i="1"/>
  <c r="CQ1254" i="1"/>
  <c r="CP1254" i="1"/>
  <c r="CO1254" i="1"/>
  <c r="CN1254" i="1"/>
  <c r="CL1254" i="1"/>
  <c r="CK1254" i="1"/>
  <c r="CJ1254" i="1"/>
  <c r="CI1254" i="1"/>
  <c r="CH1254" i="1"/>
  <c r="CG1254" i="1"/>
  <c r="CF1254" i="1"/>
  <c r="CD1254" i="1"/>
  <c r="CC1254" i="1"/>
  <c r="CB1254" i="1"/>
  <c r="CA1254" i="1"/>
  <c r="BZ1254" i="1"/>
  <c r="BY1254" i="1"/>
  <c r="BX1254" i="1"/>
  <c r="BU1254" i="1"/>
  <c r="BN1254" i="1"/>
  <c r="BS1254" i="1" s="1"/>
  <c r="BA1254" i="1"/>
  <c r="AZ1254" i="1"/>
  <c r="AY1254" i="1"/>
  <c r="AX1254" i="1"/>
  <c r="AW1254" i="1"/>
  <c r="AV1254" i="1"/>
  <c r="AT1254" i="1"/>
  <c r="AS1254" i="1"/>
  <c r="CS1253" i="1"/>
  <c r="CR1253" i="1"/>
  <c r="CQ1253" i="1"/>
  <c r="CP1253" i="1"/>
  <c r="CO1253" i="1"/>
  <c r="CN1253" i="1"/>
  <c r="CL1253" i="1"/>
  <c r="CK1253" i="1"/>
  <c r="CJ1253" i="1"/>
  <c r="CI1253" i="1"/>
  <c r="CH1253" i="1"/>
  <c r="CG1253" i="1"/>
  <c r="CF1253" i="1"/>
  <c r="CD1253" i="1"/>
  <c r="CC1253" i="1"/>
  <c r="CB1253" i="1"/>
  <c r="CA1253" i="1"/>
  <c r="BZ1253" i="1"/>
  <c r="BY1253" i="1"/>
  <c r="BX1253" i="1"/>
  <c r="BU1253" i="1"/>
  <c r="BN1253" i="1"/>
  <c r="BS1253" i="1" s="1"/>
  <c r="BA1253" i="1"/>
  <c r="AZ1253" i="1"/>
  <c r="AY1253" i="1"/>
  <c r="AX1253" i="1"/>
  <c r="AW1253" i="1"/>
  <c r="AV1253" i="1"/>
  <c r="AT1253" i="1"/>
  <c r="AS1253" i="1"/>
  <c r="CS1252" i="1"/>
  <c r="CR1252" i="1"/>
  <c r="CQ1252" i="1"/>
  <c r="CP1252" i="1"/>
  <c r="CO1252" i="1"/>
  <c r="CN1252" i="1"/>
  <c r="CL1252" i="1"/>
  <c r="CK1252" i="1"/>
  <c r="CJ1252" i="1"/>
  <c r="CI1252" i="1"/>
  <c r="CH1252" i="1"/>
  <c r="CG1252" i="1"/>
  <c r="CF1252" i="1"/>
  <c r="CD1252" i="1"/>
  <c r="CC1252" i="1"/>
  <c r="CB1252" i="1"/>
  <c r="CA1252" i="1"/>
  <c r="BZ1252" i="1"/>
  <c r="BY1252" i="1"/>
  <c r="BX1252" i="1"/>
  <c r="BU1252" i="1"/>
  <c r="BN1252" i="1"/>
  <c r="BS1252" i="1" s="1"/>
  <c r="BA1252" i="1"/>
  <c r="AZ1252" i="1"/>
  <c r="AY1252" i="1"/>
  <c r="AX1252" i="1"/>
  <c r="AW1252" i="1"/>
  <c r="AV1252" i="1"/>
  <c r="AT1252" i="1"/>
  <c r="AS1252" i="1"/>
  <c r="CS1251" i="1"/>
  <c r="CR1251" i="1"/>
  <c r="CQ1251" i="1"/>
  <c r="CP1251" i="1"/>
  <c r="CO1251" i="1"/>
  <c r="CN1251" i="1"/>
  <c r="CL1251" i="1"/>
  <c r="CK1251" i="1"/>
  <c r="CJ1251" i="1"/>
  <c r="CI1251" i="1"/>
  <c r="CH1251" i="1"/>
  <c r="CG1251" i="1"/>
  <c r="CF1251" i="1"/>
  <c r="CD1251" i="1"/>
  <c r="CC1251" i="1"/>
  <c r="CB1251" i="1"/>
  <c r="CA1251" i="1"/>
  <c r="BZ1251" i="1"/>
  <c r="BY1251" i="1"/>
  <c r="BX1251" i="1"/>
  <c r="BU1251" i="1"/>
  <c r="BN1251" i="1"/>
  <c r="BS1251" i="1" s="1"/>
  <c r="BA1251" i="1"/>
  <c r="AZ1251" i="1"/>
  <c r="AY1251" i="1"/>
  <c r="AX1251" i="1"/>
  <c r="AW1251" i="1"/>
  <c r="AV1251" i="1"/>
  <c r="AT1251" i="1"/>
  <c r="AS1251" i="1"/>
  <c r="CS1250" i="1"/>
  <c r="CR1250" i="1"/>
  <c r="CQ1250" i="1"/>
  <c r="CP1250" i="1"/>
  <c r="CO1250" i="1"/>
  <c r="CN1250" i="1"/>
  <c r="CL1250" i="1"/>
  <c r="CK1250" i="1"/>
  <c r="CJ1250" i="1"/>
  <c r="CI1250" i="1"/>
  <c r="CH1250" i="1"/>
  <c r="CG1250" i="1"/>
  <c r="CF1250" i="1"/>
  <c r="CD1250" i="1"/>
  <c r="CC1250" i="1"/>
  <c r="CB1250" i="1"/>
  <c r="CA1250" i="1"/>
  <c r="BZ1250" i="1"/>
  <c r="BY1250" i="1"/>
  <c r="BX1250" i="1"/>
  <c r="BU1250" i="1"/>
  <c r="BN1250" i="1"/>
  <c r="BS1250" i="1" s="1"/>
  <c r="BA1250" i="1"/>
  <c r="AZ1250" i="1"/>
  <c r="AY1250" i="1"/>
  <c r="AX1250" i="1"/>
  <c r="AW1250" i="1"/>
  <c r="AV1250" i="1"/>
  <c r="AT1250" i="1"/>
  <c r="AS1250" i="1"/>
  <c r="CS1249" i="1"/>
  <c r="CR1249" i="1"/>
  <c r="CQ1249" i="1"/>
  <c r="CP1249" i="1"/>
  <c r="CO1249" i="1"/>
  <c r="CN1249" i="1"/>
  <c r="CL1249" i="1"/>
  <c r="CK1249" i="1"/>
  <c r="CJ1249" i="1"/>
  <c r="CI1249" i="1"/>
  <c r="CH1249" i="1"/>
  <c r="CG1249" i="1"/>
  <c r="CF1249" i="1"/>
  <c r="CD1249" i="1"/>
  <c r="CC1249" i="1"/>
  <c r="CB1249" i="1"/>
  <c r="CA1249" i="1"/>
  <c r="BZ1249" i="1"/>
  <c r="BY1249" i="1"/>
  <c r="BX1249" i="1"/>
  <c r="BU1249" i="1"/>
  <c r="BN1249" i="1"/>
  <c r="BS1249" i="1" s="1"/>
  <c r="BA1249" i="1"/>
  <c r="AZ1249" i="1"/>
  <c r="AY1249" i="1"/>
  <c r="AX1249" i="1"/>
  <c r="AW1249" i="1"/>
  <c r="AV1249" i="1"/>
  <c r="AT1249" i="1"/>
  <c r="AS1249" i="1"/>
  <c r="CS1248" i="1"/>
  <c r="CR1248" i="1"/>
  <c r="CQ1248" i="1"/>
  <c r="CP1248" i="1"/>
  <c r="CO1248" i="1"/>
  <c r="CN1248" i="1"/>
  <c r="CL1248" i="1"/>
  <c r="CK1248" i="1"/>
  <c r="CJ1248" i="1"/>
  <c r="CI1248" i="1"/>
  <c r="CH1248" i="1"/>
  <c r="CG1248" i="1"/>
  <c r="CF1248" i="1"/>
  <c r="CD1248" i="1"/>
  <c r="CC1248" i="1"/>
  <c r="CB1248" i="1"/>
  <c r="CA1248" i="1"/>
  <c r="BZ1248" i="1"/>
  <c r="BY1248" i="1"/>
  <c r="BX1248" i="1"/>
  <c r="BU1248" i="1"/>
  <c r="BN1248" i="1"/>
  <c r="BS1248" i="1" s="1"/>
  <c r="BA1248" i="1"/>
  <c r="AZ1248" i="1"/>
  <c r="AY1248" i="1"/>
  <c r="AX1248" i="1"/>
  <c r="AW1248" i="1"/>
  <c r="AV1248" i="1"/>
  <c r="AT1248" i="1"/>
  <c r="AS1248" i="1"/>
  <c r="CS1247" i="1"/>
  <c r="CR1247" i="1"/>
  <c r="CQ1247" i="1"/>
  <c r="CP1247" i="1"/>
  <c r="CO1247" i="1"/>
  <c r="CN1247" i="1"/>
  <c r="CL1247" i="1"/>
  <c r="CK1247" i="1"/>
  <c r="CJ1247" i="1"/>
  <c r="CI1247" i="1"/>
  <c r="CH1247" i="1"/>
  <c r="CG1247" i="1"/>
  <c r="CF1247" i="1"/>
  <c r="CD1247" i="1"/>
  <c r="CC1247" i="1"/>
  <c r="CB1247" i="1"/>
  <c r="CA1247" i="1"/>
  <c r="BZ1247" i="1"/>
  <c r="BY1247" i="1"/>
  <c r="BX1247" i="1"/>
  <c r="BU1247" i="1"/>
  <c r="BN1247" i="1"/>
  <c r="BS1247" i="1" s="1"/>
  <c r="BA1247" i="1"/>
  <c r="AZ1247" i="1"/>
  <c r="AY1247" i="1"/>
  <c r="AX1247" i="1"/>
  <c r="AW1247" i="1"/>
  <c r="AV1247" i="1"/>
  <c r="AT1247" i="1"/>
  <c r="AS1247" i="1"/>
  <c r="CS1246" i="1"/>
  <c r="CR1246" i="1"/>
  <c r="CQ1246" i="1"/>
  <c r="CP1246" i="1"/>
  <c r="CO1246" i="1"/>
  <c r="CN1246" i="1"/>
  <c r="CL1246" i="1"/>
  <c r="CK1246" i="1"/>
  <c r="CJ1246" i="1"/>
  <c r="CI1246" i="1"/>
  <c r="CH1246" i="1"/>
  <c r="CG1246" i="1"/>
  <c r="CF1246" i="1"/>
  <c r="CD1246" i="1"/>
  <c r="CC1246" i="1"/>
  <c r="CB1246" i="1"/>
  <c r="CA1246" i="1"/>
  <c r="BZ1246" i="1"/>
  <c r="BY1246" i="1"/>
  <c r="BX1246" i="1"/>
  <c r="BU1246" i="1"/>
  <c r="BN1246" i="1"/>
  <c r="BS1246" i="1" s="1"/>
  <c r="BA1246" i="1"/>
  <c r="AZ1246" i="1"/>
  <c r="AY1246" i="1"/>
  <c r="AX1246" i="1"/>
  <c r="AW1246" i="1"/>
  <c r="AV1246" i="1"/>
  <c r="AT1246" i="1"/>
  <c r="AS1246" i="1"/>
  <c r="CS1245" i="1"/>
  <c r="CR1245" i="1"/>
  <c r="CQ1245" i="1"/>
  <c r="CP1245" i="1"/>
  <c r="CO1245" i="1"/>
  <c r="CN1245" i="1"/>
  <c r="CL1245" i="1"/>
  <c r="CK1245" i="1"/>
  <c r="CJ1245" i="1"/>
  <c r="CI1245" i="1"/>
  <c r="CH1245" i="1"/>
  <c r="CG1245" i="1"/>
  <c r="CF1245" i="1"/>
  <c r="CD1245" i="1"/>
  <c r="CC1245" i="1"/>
  <c r="CB1245" i="1"/>
  <c r="CA1245" i="1"/>
  <c r="BZ1245" i="1"/>
  <c r="BY1245" i="1"/>
  <c r="BX1245" i="1"/>
  <c r="BU1245" i="1"/>
  <c r="BN1245" i="1"/>
  <c r="BS1245" i="1" s="1"/>
  <c r="BA1245" i="1"/>
  <c r="AZ1245" i="1"/>
  <c r="AY1245" i="1"/>
  <c r="AX1245" i="1"/>
  <c r="AW1245" i="1"/>
  <c r="AV1245" i="1"/>
  <c r="AT1245" i="1"/>
  <c r="AS1245" i="1"/>
  <c r="CS1244" i="1"/>
  <c r="CR1244" i="1"/>
  <c r="CQ1244" i="1"/>
  <c r="CP1244" i="1"/>
  <c r="CO1244" i="1"/>
  <c r="CN1244" i="1"/>
  <c r="CL1244" i="1"/>
  <c r="CK1244" i="1"/>
  <c r="CJ1244" i="1"/>
  <c r="CI1244" i="1"/>
  <c r="CH1244" i="1"/>
  <c r="CG1244" i="1"/>
  <c r="CF1244" i="1"/>
  <c r="CD1244" i="1"/>
  <c r="CC1244" i="1"/>
  <c r="CB1244" i="1"/>
  <c r="CA1244" i="1"/>
  <c r="BZ1244" i="1"/>
  <c r="BY1244" i="1"/>
  <c r="BX1244" i="1"/>
  <c r="BU1244" i="1"/>
  <c r="BN1244" i="1"/>
  <c r="BS1244" i="1" s="1"/>
  <c r="BA1244" i="1"/>
  <c r="AZ1244" i="1"/>
  <c r="AY1244" i="1"/>
  <c r="AX1244" i="1"/>
  <c r="AW1244" i="1"/>
  <c r="AV1244" i="1"/>
  <c r="AT1244" i="1"/>
  <c r="AS1244" i="1"/>
  <c r="CS1243" i="1"/>
  <c r="CR1243" i="1"/>
  <c r="CQ1243" i="1"/>
  <c r="CP1243" i="1"/>
  <c r="CO1243" i="1"/>
  <c r="CN1243" i="1"/>
  <c r="CL1243" i="1"/>
  <c r="CK1243" i="1"/>
  <c r="CJ1243" i="1"/>
  <c r="CI1243" i="1"/>
  <c r="CH1243" i="1"/>
  <c r="CG1243" i="1"/>
  <c r="CF1243" i="1"/>
  <c r="CD1243" i="1"/>
  <c r="CC1243" i="1"/>
  <c r="CB1243" i="1"/>
  <c r="CA1243" i="1"/>
  <c r="BZ1243" i="1"/>
  <c r="BY1243" i="1"/>
  <c r="BX1243" i="1"/>
  <c r="BU1243" i="1"/>
  <c r="BN1243" i="1"/>
  <c r="BS1243" i="1" s="1"/>
  <c r="BA1243" i="1"/>
  <c r="AZ1243" i="1"/>
  <c r="AY1243" i="1"/>
  <c r="AX1243" i="1"/>
  <c r="AW1243" i="1"/>
  <c r="AV1243" i="1"/>
  <c r="AT1243" i="1"/>
  <c r="AS1243" i="1"/>
  <c r="CS1242" i="1"/>
  <c r="CR1242" i="1"/>
  <c r="CQ1242" i="1"/>
  <c r="CP1242" i="1"/>
  <c r="CO1242" i="1"/>
  <c r="CN1242" i="1"/>
  <c r="CL1242" i="1"/>
  <c r="CK1242" i="1"/>
  <c r="CJ1242" i="1"/>
  <c r="CI1242" i="1"/>
  <c r="CH1242" i="1"/>
  <c r="CG1242" i="1"/>
  <c r="CF1242" i="1"/>
  <c r="CD1242" i="1"/>
  <c r="CC1242" i="1"/>
  <c r="CB1242" i="1"/>
  <c r="CA1242" i="1"/>
  <c r="BZ1242" i="1"/>
  <c r="BY1242" i="1"/>
  <c r="BX1242" i="1"/>
  <c r="BU1242" i="1"/>
  <c r="BN1242" i="1"/>
  <c r="BS1242" i="1" s="1"/>
  <c r="BA1242" i="1"/>
  <c r="AZ1242" i="1"/>
  <c r="AY1242" i="1"/>
  <c r="AX1242" i="1"/>
  <c r="AW1242" i="1"/>
  <c r="AV1242" i="1"/>
  <c r="AT1242" i="1"/>
  <c r="AS1242" i="1"/>
  <c r="CS1241" i="1"/>
  <c r="CR1241" i="1"/>
  <c r="CQ1241" i="1"/>
  <c r="CP1241" i="1"/>
  <c r="CO1241" i="1"/>
  <c r="CN1241" i="1"/>
  <c r="CL1241" i="1"/>
  <c r="CK1241" i="1"/>
  <c r="CJ1241" i="1"/>
  <c r="CI1241" i="1"/>
  <c r="CH1241" i="1"/>
  <c r="CG1241" i="1"/>
  <c r="CF1241" i="1"/>
  <c r="CD1241" i="1"/>
  <c r="CC1241" i="1"/>
  <c r="CB1241" i="1"/>
  <c r="CA1241" i="1"/>
  <c r="BZ1241" i="1"/>
  <c r="BY1241" i="1"/>
  <c r="BX1241" i="1"/>
  <c r="BU1241" i="1"/>
  <c r="BN1241" i="1"/>
  <c r="BS1241" i="1" s="1"/>
  <c r="BA1241" i="1"/>
  <c r="AZ1241" i="1"/>
  <c r="AY1241" i="1"/>
  <c r="AX1241" i="1"/>
  <c r="AW1241" i="1"/>
  <c r="AV1241" i="1"/>
  <c r="AT1241" i="1"/>
  <c r="AS1241" i="1"/>
  <c r="CS1240" i="1"/>
  <c r="CR1240" i="1"/>
  <c r="CQ1240" i="1"/>
  <c r="CP1240" i="1"/>
  <c r="CO1240" i="1"/>
  <c r="CN1240" i="1"/>
  <c r="CL1240" i="1"/>
  <c r="CK1240" i="1"/>
  <c r="CJ1240" i="1"/>
  <c r="CI1240" i="1"/>
  <c r="CH1240" i="1"/>
  <c r="CG1240" i="1"/>
  <c r="CF1240" i="1"/>
  <c r="CD1240" i="1"/>
  <c r="CC1240" i="1"/>
  <c r="CB1240" i="1"/>
  <c r="CA1240" i="1"/>
  <c r="BZ1240" i="1"/>
  <c r="BY1240" i="1"/>
  <c r="BX1240" i="1"/>
  <c r="BU1240" i="1"/>
  <c r="BN1240" i="1"/>
  <c r="BS1240" i="1" s="1"/>
  <c r="BA1240" i="1"/>
  <c r="AZ1240" i="1"/>
  <c r="AY1240" i="1"/>
  <c r="AX1240" i="1"/>
  <c r="AW1240" i="1"/>
  <c r="AV1240" i="1"/>
  <c r="AT1240" i="1"/>
  <c r="AS1240" i="1"/>
  <c r="CS1239" i="1"/>
  <c r="CR1239" i="1"/>
  <c r="CQ1239" i="1"/>
  <c r="CP1239" i="1"/>
  <c r="CO1239" i="1"/>
  <c r="CN1239" i="1"/>
  <c r="CL1239" i="1"/>
  <c r="CK1239" i="1"/>
  <c r="CJ1239" i="1"/>
  <c r="CI1239" i="1"/>
  <c r="CH1239" i="1"/>
  <c r="CG1239" i="1"/>
  <c r="CF1239" i="1"/>
  <c r="CD1239" i="1"/>
  <c r="CC1239" i="1"/>
  <c r="CB1239" i="1"/>
  <c r="CA1239" i="1"/>
  <c r="BZ1239" i="1"/>
  <c r="BY1239" i="1"/>
  <c r="BX1239" i="1"/>
  <c r="BU1239" i="1"/>
  <c r="BN1239" i="1"/>
  <c r="BS1239" i="1" s="1"/>
  <c r="BA1239" i="1"/>
  <c r="AZ1239" i="1"/>
  <c r="AY1239" i="1"/>
  <c r="AX1239" i="1"/>
  <c r="AW1239" i="1"/>
  <c r="AV1239" i="1"/>
  <c r="AT1239" i="1"/>
  <c r="AS1239" i="1"/>
  <c r="CS1238" i="1"/>
  <c r="CR1238" i="1"/>
  <c r="CQ1238" i="1"/>
  <c r="CP1238" i="1"/>
  <c r="CO1238" i="1"/>
  <c r="CN1238" i="1"/>
  <c r="CL1238" i="1"/>
  <c r="CK1238" i="1"/>
  <c r="CJ1238" i="1"/>
  <c r="CI1238" i="1"/>
  <c r="CH1238" i="1"/>
  <c r="CG1238" i="1"/>
  <c r="CF1238" i="1"/>
  <c r="CD1238" i="1"/>
  <c r="CC1238" i="1"/>
  <c r="CB1238" i="1"/>
  <c r="CA1238" i="1"/>
  <c r="BZ1238" i="1"/>
  <c r="BY1238" i="1"/>
  <c r="BX1238" i="1"/>
  <c r="BU1238" i="1"/>
  <c r="BN1238" i="1"/>
  <c r="BS1238" i="1" s="1"/>
  <c r="BA1238" i="1"/>
  <c r="AZ1238" i="1"/>
  <c r="AY1238" i="1"/>
  <c r="AX1238" i="1"/>
  <c r="AW1238" i="1"/>
  <c r="AV1238" i="1"/>
  <c r="AT1238" i="1"/>
  <c r="AS1238" i="1"/>
  <c r="CS1237" i="1"/>
  <c r="CR1237" i="1"/>
  <c r="CQ1237" i="1"/>
  <c r="CP1237" i="1"/>
  <c r="CO1237" i="1"/>
  <c r="CN1237" i="1"/>
  <c r="CL1237" i="1"/>
  <c r="CK1237" i="1"/>
  <c r="CJ1237" i="1"/>
  <c r="CI1237" i="1"/>
  <c r="CH1237" i="1"/>
  <c r="CG1237" i="1"/>
  <c r="CF1237" i="1"/>
  <c r="CD1237" i="1"/>
  <c r="CC1237" i="1"/>
  <c r="CB1237" i="1"/>
  <c r="CA1237" i="1"/>
  <c r="BZ1237" i="1"/>
  <c r="BY1237" i="1"/>
  <c r="BX1237" i="1"/>
  <c r="BU1237" i="1"/>
  <c r="BN1237" i="1"/>
  <c r="BS1237" i="1" s="1"/>
  <c r="BA1237" i="1"/>
  <c r="AZ1237" i="1"/>
  <c r="AY1237" i="1"/>
  <c r="AX1237" i="1"/>
  <c r="AW1237" i="1"/>
  <c r="AV1237" i="1"/>
  <c r="AT1237" i="1"/>
  <c r="AS1237" i="1"/>
  <c r="CS1236" i="1"/>
  <c r="CR1236" i="1"/>
  <c r="CQ1236" i="1"/>
  <c r="CP1236" i="1"/>
  <c r="CO1236" i="1"/>
  <c r="CN1236" i="1"/>
  <c r="CL1236" i="1"/>
  <c r="CK1236" i="1"/>
  <c r="CJ1236" i="1"/>
  <c r="CI1236" i="1"/>
  <c r="CH1236" i="1"/>
  <c r="CG1236" i="1"/>
  <c r="CF1236" i="1"/>
  <c r="CD1236" i="1"/>
  <c r="CC1236" i="1"/>
  <c r="CB1236" i="1"/>
  <c r="CA1236" i="1"/>
  <c r="BZ1236" i="1"/>
  <c r="BY1236" i="1"/>
  <c r="BX1236" i="1"/>
  <c r="BU1236" i="1"/>
  <c r="BN1236" i="1"/>
  <c r="BS1236" i="1" s="1"/>
  <c r="BA1236" i="1"/>
  <c r="AZ1236" i="1"/>
  <c r="AY1236" i="1"/>
  <c r="AX1236" i="1"/>
  <c r="AW1236" i="1"/>
  <c r="AV1236" i="1"/>
  <c r="AT1236" i="1"/>
  <c r="AS1236" i="1"/>
  <c r="CS1235" i="1"/>
  <c r="CR1235" i="1"/>
  <c r="CQ1235" i="1"/>
  <c r="CP1235" i="1"/>
  <c r="CO1235" i="1"/>
  <c r="CN1235" i="1"/>
  <c r="CL1235" i="1"/>
  <c r="CK1235" i="1"/>
  <c r="CJ1235" i="1"/>
  <c r="CI1235" i="1"/>
  <c r="CH1235" i="1"/>
  <c r="CG1235" i="1"/>
  <c r="CF1235" i="1"/>
  <c r="CD1235" i="1"/>
  <c r="CC1235" i="1"/>
  <c r="CB1235" i="1"/>
  <c r="CA1235" i="1"/>
  <c r="BZ1235" i="1"/>
  <c r="BY1235" i="1"/>
  <c r="BX1235" i="1"/>
  <c r="BU1235" i="1"/>
  <c r="BN1235" i="1"/>
  <c r="BS1235" i="1" s="1"/>
  <c r="BA1235" i="1"/>
  <c r="AZ1235" i="1"/>
  <c r="AY1235" i="1"/>
  <c r="AX1235" i="1"/>
  <c r="AW1235" i="1"/>
  <c r="AV1235" i="1"/>
  <c r="AT1235" i="1"/>
  <c r="AS1235" i="1"/>
  <c r="CS1234" i="1"/>
  <c r="CR1234" i="1"/>
  <c r="CQ1234" i="1"/>
  <c r="CP1234" i="1"/>
  <c r="CO1234" i="1"/>
  <c r="CN1234" i="1"/>
  <c r="CL1234" i="1"/>
  <c r="CK1234" i="1"/>
  <c r="CJ1234" i="1"/>
  <c r="CI1234" i="1"/>
  <c r="CH1234" i="1"/>
  <c r="CG1234" i="1"/>
  <c r="CF1234" i="1"/>
  <c r="CD1234" i="1"/>
  <c r="CC1234" i="1"/>
  <c r="CB1234" i="1"/>
  <c r="CA1234" i="1"/>
  <c r="BZ1234" i="1"/>
  <c r="BY1234" i="1"/>
  <c r="BX1234" i="1"/>
  <c r="BU1234" i="1"/>
  <c r="BN1234" i="1"/>
  <c r="BS1234" i="1" s="1"/>
  <c r="BA1234" i="1"/>
  <c r="AZ1234" i="1"/>
  <c r="AY1234" i="1"/>
  <c r="AX1234" i="1"/>
  <c r="AW1234" i="1"/>
  <c r="AV1234" i="1"/>
  <c r="AT1234" i="1"/>
  <c r="AS1234" i="1"/>
  <c r="CS1233" i="1"/>
  <c r="CR1233" i="1"/>
  <c r="CQ1233" i="1"/>
  <c r="CP1233" i="1"/>
  <c r="CO1233" i="1"/>
  <c r="CN1233" i="1"/>
  <c r="CL1233" i="1"/>
  <c r="CK1233" i="1"/>
  <c r="CJ1233" i="1"/>
  <c r="CI1233" i="1"/>
  <c r="CH1233" i="1"/>
  <c r="CG1233" i="1"/>
  <c r="CF1233" i="1"/>
  <c r="CD1233" i="1"/>
  <c r="CC1233" i="1"/>
  <c r="CB1233" i="1"/>
  <c r="CA1233" i="1"/>
  <c r="BZ1233" i="1"/>
  <c r="BY1233" i="1"/>
  <c r="BX1233" i="1"/>
  <c r="BU1233" i="1"/>
  <c r="BN1233" i="1"/>
  <c r="BS1233" i="1" s="1"/>
  <c r="BA1233" i="1"/>
  <c r="AZ1233" i="1"/>
  <c r="AY1233" i="1"/>
  <c r="AX1233" i="1"/>
  <c r="AW1233" i="1"/>
  <c r="AV1233" i="1"/>
  <c r="AT1233" i="1"/>
  <c r="AS1233" i="1"/>
  <c r="CS1232" i="1"/>
  <c r="CR1232" i="1"/>
  <c r="CQ1232" i="1"/>
  <c r="CP1232" i="1"/>
  <c r="CO1232" i="1"/>
  <c r="CN1232" i="1"/>
  <c r="CL1232" i="1"/>
  <c r="CK1232" i="1"/>
  <c r="CJ1232" i="1"/>
  <c r="CI1232" i="1"/>
  <c r="CH1232" i="1"/>
  <c r="CG1232" i="1"/>
  <c r="CF1232" i="1"/>
  <c r="CD1232" i="1"/>
  <c r="CC1232" i="1"/>
  <c r="CB1232" i="1"/>
  <c r="CA1232" i="1"/>
  <c r="BZ1232" i="1"/>
  <c r="BY1232" i="1"/>
  <c r="BX1232" i="1"/>
  <c r="BU1232" i="1"/>
  <c r="BN1232" i="1"/>
  <c r="BS1232" i="1" s="1"/>
  <c r="BA1232" i="1"/>
  <c r="AZ1232" i="1"/>
  <c r="AY1232" i="1"/>
  <c r="AX1232" i="1"/>
  <c r="AW1232" i="1"/>
  <c r="AV1232" i="1"/>
  <c r="AT1232" i="1"/>
  <c r="AS1232" i="1"/>
  <c r="CS1231" i="1"/>
  <c r="CR1231" i="1"/>
  <c r="CQ1231" i="1"/>
  <c r="CP1231" i="1"/>
  <c r="CO1231" i="1"/>
  <c r="CN1231" i="1"/>
  <c r="CL1231" i="1"/>
  <c r="CK1231" i="1"/>
  <c r="CJ1231" i="1"/>
  <c r="CI1231" i="1"/>
  <c r="CH1231" i="1"/>
  <c r="CG1231" i="1"/>
  <c r="CF1231" i="1"/>
  <c r="CD1231" i="1"/>
  <c r="CC1231" i="1"/>
  <c r="CB1231" i="1"/>
  <c r="CA1231" i="1"/>
  <c r="BZ1231" i="1"/>
  <c r="BY1231" i="1"/>
  <c r="BX1231" i="1"/>
  <c r="BU1231" i="1"/>
  <c r="BN1231" i="1"/>
  <c r="BS1231" i="1" s="1"/>
  <c r="BA1231" i="1"/>
  <c r="AZ1231" i="1"/>
  <c r="AY1231" i="1"/>
  <c r="AX1231" i="1"/>
  <c r="AW1231" i="1"/>
  <c r="AV1231" i="1"/>
  <c r="AT1231" i="1"/>
  <c r="AS1231" i="1"/>
  <c r="CS1230" i="1"/>
  <c r="CR1230" i="1"/>
  <c r="CQ1230" i="1"/>
  <c r="CP1230" i="1"/>
  <c r="CO1230" i="1"/>
  <c r="CN1230" i="1"/>
  <c r="CL1230" i="1"/>
  <c r="CK1230" i="1"/>
  <c r="CJ1230" i="1"/>
  <c r="CI1230" i="1"/>
  <c r="CH1230" i="1"/>
  <c r="CG1230" i="1"/>
  <c r="CF1230" i="1"/>
  <c r="CD1230" i="1"/>
  <c r="CC1230" i="1"/>
  <c r="CB1230" i="1"/>
  <c r="CA1230" i="1"/>
  <c r="BZ1230" i="1"/>
  <c r="BY1230" i="1"/>
  <c r="BX1230" i="1"/>
  <c r="BU1230" i="1"/>
  <c r="BN1230" i="1"/>
  <c r="BS1230" i="1" s="1"/>
  <c r="BA1230" i="1"/>
  <c r="AZ1230" i="1"/>
  <c r="AY1230" i="1"/>
  <c r="AX1230" i="1"/>
  <c r="AW1230" i="1"/>
  <c r="AV1230" i="1"/>
  <c r="AT1230" i="1"/>
  <c r="AS1230" i="1"/>
  <c r="CS1229" i="1"/>
  <c r="CR1229" i="1"/>
  <c r="CQ1229" i="1"/>
  <c r="CP1229" i="1"/>
  <c r="CO1229" i="1"/>
  <c r="CN1229" i="1"/>
  <c r="CL1229" i="1"/>
  <c r="CK1229" i="1"/>
  <c r="CJ1229" i="1"/>
  <c r="CI1229" i="1"/>
  <c r="CH1229" i="1"/>
  <c r="CG1229" i="1"/>
  <c r="CF1229" i="1"/>
  <c r="CD1229" i="1"/>
  <c r="CC1229" i="1"/>
  <c r="CB1229" i="1"/>
  <c r="CA1229" i="1"/>
  <c r="BZ1229" i="1"/>
  <c r="BY1229" i="1"/>
  <c r="BX1229" i="1"/>
  <c r="BU1229" i="1"/>
  <c r="BN1229" i="1"/>
  <c r="BS1229" i="1" s="1"/>
  <c r="BA1229" i="1"/>
  <c r="AZ1229" i="1"/>
  <c r="AY1229" i="1"/>
  <c r="AX1229" i="1"/>
  <c r="AW1229" i="1"/>
  <c r="AV1229" i="1"/>
  <c r="AT1229" i="1"/>
  <c r="AS1229" i="1"/>
  <c r="CS1228" i="1"/>
  <c r="CR1228" i="1"/>
  <c r="CQ1228" i="1"/>
  <c r="CP1228" i="1"/>
  <c r="CO1228" i="1"/>
  <c r="CN1228" i="1"/>
  <c r="CL1228" i="1"/>
  <c r="CK1228" i="1"/>
  <c r="CJ1228" i="1"/>
  <c r="CI1228" i="1"/>
  <c r="CH1228" i="1"/>
  <c r="CG1228" i="1"/>
  <c r="CF1228" i="1"/>
  <c r="CD1228" i="1"/>
  <c r="CC1228" i="1"/>
  <c r="CB1228" i="1"/>
  <c r="CA1228" i="1"/>
  <c r="BZ1228" i="1"/>
  <c r="BY1228" i="1"/>
  <c r="BX1228" i="1"/>
  <c r="BU1228" i="1"/>
  <c r="BN1228" i="1"/>
  <c r="BS1228" i="1" s="1"/>
  <c r="BA1228" i="1"/>
  <c r="AZ1228" i="1"/>
  <c r="AY1228" i="1"/>
  <c r="AX1228" i="1"/>
  <c r="AW1228" i="1"/>
  <c r="AV1228" i="1"/>
  <c r="AT1228" i="1"/>
  <c r="AS1228" i="1"/>
  <c r="CS1227" i="1"/>
  <c r="CR1227" i="1"/>
  <c r="CQ1227" i="1"/>
  <c r="CP1227" i="1"/>
  <c r="CO1227" i="1"/>
  <c r="CN1227" i="1"/>
  <c r="CL1227" i="1"/>
  <c r="CK1227" i="1"/>
  <c r="CJ1227" i="1"/>
  <c r="CI1227" i="1"/>
  <c r="CH1227" i="1"/>
  <c r="CG1227" i="1"/>
  <c r="CF1227" i="1"/>
  <c r="CD1227" i="1"/>
  <c r="CC1227" i="1"/>
  <c r="CB1227" i="1"/>
  <c r="CA1227" i="1"/>
  <c r="BZ1227" i="1"/>
  <c r="BY1227" i="1"/>
  <c r="BX1227" i="1"/>
  <c r="BU1227" i="1"/>
  <c r="BN1227" i="1"/>
  <c r="BS1227" i="1" s="1"/>
  <c r="BA1227" i="1"/>
  <c r="AZ1227" i="1"/>
  <c r="AY1227" i="1"/>
  <c r="AX1227" i="1"/>
  <c r="AW1227" i="1"/>
  <c r="AV1227" i="1"/>
  <c r="AT1227" i="1"/>
  <c r="AS1227" i="1"/>
  <c r="CS1226" i="1"/>
  <c r="CR1226" i="1"/>
  <c r="CQ1226" i="1"/>
  <c r="CP1226" i="1"/>
  <c r="CO1226" i="1"/>
  <c r="CN1226" i="1"/>
  <c r="CL1226" i="1"/>
  <c r="CK1226" i="1"/>
  <c r="CJ1226" i="1"/>
  <c r="CI1226" i="1"/>
  <c r="CH1226" i="1"/>
  <c r="CG1226" i="1"/>
  <c r="CF1226" i="1"/>
  <c r="CD1226" i="1"/>
  <c r="CC1226" i="1"/>
  <c r="CB1226" i="1"/>
  <c r="CA1226" i="1"/>
  <c r="BZ1226" i="1"/>
  <c r="BY1226" i="1"/>
  <c r="BX1226" i="1"/>
  <c r="BU1226" i="1"/>
  <c r="BN1226" i="1"/>
  <c r="BS1226" i="1" s="1"/>
  <c r="BA1226" i="1"/>
  <c r="AZ1226" i="1"/>
  <c r="AY1226" i="1"/>
  <c r="AX1226" i="1"/>
  <c r="AW1226" i="1"/>
  <c r="AV1226" i="1"/>
  <c r="AT1226" i="1"/>
  <c r="AS1226" i="1"/>
  <c r="CS1225" i="1"/>
  <c r="CR1225" i="1"/>
  <c r="CQ1225" i="1"/>
  <c r="CP1225" i="1"/>
  <c r="CO1225" i="1"/>
  <c r="CN1225" i="1"/>
  <c r="CL1225" i="1"/>
  <c r="CK1225" i="1"/>
  <c r="CJ1225" i="1"/>
  <c r="CI1225" i="1"/>
  <c r="CH1225" i="1"/>
  <c r="CG1225" i="1"/>
  <c r="CF1225" i="1"/>
  <c r="CD1225" i="1"/>
  <c r="CC1225" i="1"/>
  <c r="CB1225" i="1"/>
  <c r="CA1225" i="1"/>
  <c r="BZ1225" i="1"/>
  <c r="BY1225" i="1"/>
  <c r="BX1225" i="1"/>
  <c r="BU1225" i="1"/>
  <c r="BN1225" i="1"/>
  <c r="BS1225" i="1" s="1"/>
  <c r="BA1225" i="1"/>
  <c r="AZ1225" i="1"/>
  <c r="AY1225" i="1"/>
  <c r="AX1225" i="1"/>
  <c r="AW1225" i="1"/>
  <c r="AV1225" i="1"/>
  <c r="AT1225" i="1"/>
  <c r="AS1225" i="1"/>
  <c r="CS1224" i="1"/>
  <c r="CR1224" i="1"/>
  <c r="CQ1224" i="1"/>
  <c r="CP1224" i="1"/>
  <c r="CO1224" i="1"/>
  <c r="CN1224" i="1"/>
  <c r="CL1224" i="1"/>
  <c r="CK1224" i="1"/>
  <c r="CJ1224" i="1"/>
  <c r="CI1224" i="1"/>
  <c r="CH1224" i="1"/>
  <c r="CG1224" i="1"/>
  <c r="CF1224" i="1"/>
  <c r="CD1224" i="1"/>
  <c r="CC1224" i="1"/>
  <c r="CB1224" i="1"/>
  <c r="CA1224" i="1"/>
  <c r="BZ1224" i="1"/>
  <c r="BY1224" i="1"/>
  <c r="BX1224" i="1"/>
  <c r="BU1224" i="1"/>
  <c r="BN1224" i="1"/>
  <c r="BS1224" i="1" s="1"/>
  <c r="BA1224" i="1"/>
  <c r="AZ1224" i="1"/>
  <c r="AY1224" i="1"/>
  <c r="AX1224" i="1"/>
  <c r="AW1224" i="1"/>
  <c r="AV1224" i="1"/>
  <c r="AT1224" i="1"/>
  <c r="AS1224" i="1"/>
  <c r="CS1223" i="1"/>
  <c r="CR1223" i="1"/>
  <c r="CQ1223" i="1"/>
  <c r="CP1223" i="1"/>
  <c r="CO1223" i="1"/>
  <c r="CN1223" i="1"/>
  <c r="CL1223" i="1"/>
  <c r="CK1223" i="1"/>
  <c r="CJ1223" i="1"/>
  <c r="CI1223" i="1"/>
  <c r="CH1223" i="1"/>
  <c r="CG1223" i="1"/>
  <c r="CF1223" i="1"/>
  <c r="CD1223" i="1"/>
  <c r="CC1223" i="1"/>
  <c r="CB1223" i="1"/>
  <c r="CA1223" i="1"/>
  <c r="BZ1223" i="1"/>
  <c r="BY1223" i="1"/>
  <c r="BX1223" i="1"/>
  <c r="BU1223" i="1"/>
  <c r="BN1223" i="1"/>
  <c r="BS1223" i="1" s="1"/>
  <c r="BA1223" i="1"/>
  <c r="AZ1223" i="1"/>
  <c r="AY1223" i="1"/>
  <c r="AX1223" i="1"/>
  <c r="AW1223" i="1"/>
  <c r="AV1223" i="1"/>
  <c r="AT1223" i="1"/>
  <c r="AS1223" i="1"/>
  <c r="CS1222" i="1"/>
  <c r="CR1222" i="1"/>
  <c r="CQ1222" i="1"/>
  <c r="CP1222" i="1"/>
  <c r="CO1222" i="1"/>
  <c r="CN1222" i="1"/>
  <c r="CL1222" i="1"/>
  <c r="CK1222" i="1"/>
  <c r="CJ1222" i="1"/>
  <c r="CI1222" i="1"/>
  <c r="CH1222" i="1"/>
  <c r="CG1222" i="1"/>
  <c r="CF1222" i="1"/>
  <c r="CD1222" i="1"/>
  <c r="CC1222" i="1"/>
  <c r="CB1222" i="1"/>
  <c r="CA1222" i="1"/>
  <c r="BZ1222" i="1"/>
  <c r="BY1222" i="1"/>
  <c r="BX1222" i="1"/>
  <c r="BU1222" i="1"/>
  <c r="BN1222" i="1"/>
  <c r="BS1222" i="1" s="1"/>
  <c r="BA1222" i="1"/>
  <c r="AZ1222" i="1"/>
  <c r="AY1222" i="1"/>
  <c r="AX1222" i="1"/>
  <c r="AW1222" i="1"/>
  <c r="AV1222" i="1"/>
  <c r="AT1222" i="1"/>
  <c r="AS1222" i="1"/>
  <c r="CS1221" i="1"/>
  <c r="CR1221" i="1"/>
  <c r="CQ1221" i="1"/>
  <c r="CP1221" i="1"/>
  <c r="CO1221" i="1"/>
  <c r="CN1221" i="1"/>
  <c r="CL1221" i="1"/>
  <c r="CK1221" i="1"/>
  <c r="CJ1221" i="1"/>
  <c r="CI1221" i="1"/>
  <c r="CH1221" i="1"/>
  <c r="CG1221" i="1"/>
  <c r="CF1221" i="1"/>
  <c r="CD1221" i="1"/>
  <c r="CC1221" i="1"/>
  <c r="CB1221" i="1"/>
  <c r="CA1221" i="1"/>
  <c r="BZ1221" i="1"/>
  <c r="BY1221" i="1"/>
  <c r="BX1221" i="1"/>
  <c r="BU1221" i="1"/>
  <c r="BN1221" i="1"/>
  <c r="BS1221" i="1" s="1"/>
  <c r="BA1221" i="1"/>
  <c r="AZ1221" i="1"/>
  <c r="AY1221" i="1"/>
  <c r="AX1221" i="1"/>
  <c r="AW1221" i="1"/>
  <c r="AV1221" i="1"/>
  <c r="AT1221" i="1"/>
  <c r="AS1221" i="1"/>
  <c r="CS1220" i="1"/>
  <c r="CR1220" i="1"/>
  <c r="CQ1220" i="1"/>
  <c r="CP1220" i="1"/>
  <c r="CO1220" i="1"/>
  <c r="CN1220" i="1"/>
  <c r="CL1220" i="1"/>
  <c r="CK1220" i="1"/>
  <c r="CJ1220" i="1"/>
  <c r="CI1220" i="1"/>
  <c r="CH1220" i="1"/>
  <c r="CG1220" i="1"/>
  <c r="CF1220" i="1"/>
  <c r="CD1220" i="1"/>
  <c r="CC1220" i="1"/>
  <c r="CB1220" i="1"/>
  <c r="CA1220" i="1"/>
  <c r="BZ1220" i="1"/>
  <c r="BY1220" i="1"/>
  <c r="BX1220" i="1"/>
  <c r="BU1220" i="1"/>
  <c r="BN1220" i="1"/>
  <c r="BS1220" i="1" s="1"/>
  <c r="BA1220" i="1"/>
  <c r="AZ1220" i="1"/>
  <c r="AY1220" i="1"/>
  <c r="AX1220" i="1"/>
  <c r="AW1220" i="1"/>
  <c r="AV1220" i="1"/>
  <c r="AT1220" i="1"/>
  <c r="AS1220" i="1"/>
  <c r="CS1219" i="1"/>
  <c r="CR1219" i="1"/>
  <c r="CQ1219" i="1"/>
  <c r="CP1219" i="1"/>
  <c r="CO1219" i="1"/>
  <c r="CN1219" i="1"/>
  <c r="CL1219" i="1"/>
  <c r="CK1219" i="1"/>
  <c r="CJ1219" i="1"/>
  <c r="CI1219" i="1"/>
  <c r="CH1219" i="1"/>
  <c r="CG1219" i="1"/>
  <c r="CF1219" i="1"/>
  <c r="CD1219" i="1"/>
  <c r="CC1219" i="1"/>
  <c r="CB1219" i="1"/>
  <c r="CA1219" i="1"/>
  <c r="BZ1219" i="1"/>
  <c r="BY1219" i="1"/>
  <c r="BX1219" i="1"/>
  <c r="BU1219" i="1"/>
  <c r="BN1219" i="1"/>
  <c r="BS1219" i="1" s="1"/>
  <c r="BA1219" i="1"/>
  <c r="AZ1219" i="1"/>
  <c r="AY1219" i="1"/>
  <c r="AX1219" i="1"/>
  <c r="AW1219" i="1"/>
  <c r="AV1219" i="1"/>
  <c r="AT1219" i="1"/>
  <c r="AS1219" i="1"/>
  <c r="CS1218" i="1"/>
  <c r="CR1218" i="1"/>
  <c r="CQ1218" i="1"/>
  <c r="CP1218" i="1"/>
  <c r="CO1218" i="1"/>
  <c r="CN1218" i="1"/>
  <c r="CL1218" i="1"/>
  <c r="CK1218" i="1"/>
  <c r="CJ1218" i="1"/>
  <c r="CI1218" i="1"/>
  <c r="CH1218" i="1"/>
  <c r="CG1218" i="1"/>
  <c r="CF1218" i="1"/>
  <c r="CD1218" i="1"/>
  <c r="CC1218" i="1"/>
  <c r="CB1218" i="1"/>
  <c r="CA1218" i="1"/>
  <c r="BZ1218" i="1"/>
  <c r="BY1218" i="1"/>
  <c r="BX1218" i="1"/>
  <c r="BU1218" i="1"/>
  <c r="BN1218" i="1"/>
  <c r="BS1218" i="1" s="1"/>
  <c r="BA1218" i="1"/>
  <c r="AZ1218" i="1"/>
  <c r="AY1218" i="1"/>
  <c r="AX1218" i="1"/>
  <c r="AW1218" i="1"/>
  <c r="AV1218" i="1"/>
  <c r="AT1218" i="1"/>
  <c r="AS1218" i="1"/>
  <c r="CS1217" i="1"/>
  <c r="CR1217" i="1"/>
  <c r="CQ1217" i="1"/>
  <c r="CP1217" i="1"/>
  <c r="CO1217" i="1"/>
  <c r="CN1217" i="1"/>
  <c r="CL1217" i="1"/>
  <c r="CK1217" i="1"/>
  <c r="CJ1217" i="1"/>
  <c r="CI1217" i="1"/>
  <c r="CH1217" i="1"/>
  <c r="CG1217" i="1"/>
  <c r="CF1217" i="1"/>
  <c r="CD1217" i="1"/>
  <c r="CC1217" i="1"/>
  <c r="CB1217" i="1"/>
  <c r="CA1217" i="1"/>
  <c r="BZ1217" i="1"/>
  <c r="BY1217" i="1"/>
  <c r="BX1217" i="1"/>
  <c r="BU1217" i="1"/>
  <c r="BN1217" i="1"/>
  <c r="BS1217" i="1" s="1"/>
  <c r="BA1217" i="1"/>
  <c r="AZ1217" i="1"/>
  <c r="AY1217" i="1"/>
  <c r="AX1217" i="1"/>
  <c r="AW1217" i="1"/>
  <c r="AV1217" i="1"/>
  <c r="AT1217" i="1"/>
  <c r="AS1217" i="1"/>
  <c r="CS1216" i="1"/>
  <c r="CR1216" i="1"/>
  <c r="CQ1216" i="1"/>
  <c r="CP1216" i="1"/>
  <c r="CO1216" i="1"/>
  <c r="CN1216" i="1"/>
  <c r="CL1216" i="1"/>
  <c r="CK1216" i="1"/>
  <c r="CJ1216" i="1"/>
  <c r="CI1216" i="1"/>
  <c r="CH1216" i="1"/>
  <c r="CG1216" i="1"/>
  <c r="CF1216" i="1"/>
  <c r="CD1216" i="1"/>
  <c r="CC1216" i="1"/>
  <c r="CB1216" i="1"/>
  <c r="CA1216" i="1"/>
  <c r="BZ1216" i="1"/>
  <c r="BY1216" i="1"/>
  <c r="BX1216" i="1"/>
  <c r="BU1216" i="1"/>
  <c r="BN1216" i="1"/>
  <c r="BS1216" i="1" s="1"/>
  <c r="BA1216" i="1"/>
  <c r="AZ1216" i="1"/>
  <c r="AY1216" i="1"/>
  <c r="AX1216" i="1"/>
  <c r="AW1216" i="1"/>
  <c r="AV1216" i="1"/>
  <c r="AT1216" i="1"/>
  <c r="AS1216" i="1"/>
  <c r="CS1215" i="1"/>
  <c r="CR1215" i="1"/>
  <c r="CQ1215" i="1"/>
  <c r="CP1215" i="1"/>
  <c r="CO1215" i="1"/>
  <c r="CN1215" i="1"/>
  <c r="CL1215" i="1"/>
  <c r="CK1215" i="1"/>
  <c r="CJ1215" i="1"/>
  <c r="CI1215" i="1"/>
  <c r="CH1215" i="1"/>
  <c r="CG1215" i="1"/>
  <c r="CF1215" i="1"/>
  <c r="CD1215" i="1"/>
  <c r="CC1215" i="1"/>
  <c r="CB1215" i="1"/>
  <c r="CA1215" i="1"/>
  <c r="BZ1215" i="1"/>
  <c r="BY1215" i="1"/>
  <c r="BX1215" i="1"/>
  <c r="BU1215" i="1"/>
  <c r="BN1215" i="1"/>
  <c r="BS1215" i="1" s="1"/>
  <c r="BA1215" i="1"/>
  <c r="AZ1215" i="1"/>
  <c r="AY1215" i="1"/>
  <c r="AX1215" i="1"/>
  <c r="AW1215" i="1"/>
  <c r="AV1215" i="1"/>
  <c r="AT1215" i="1"/>
  <c r="AS1215" i="1"/>
  <c r="CS1214" i="1"/>
  <c r="CR1214" i="1"/>
  <c r="CQ1214" i="1"/>
  <c r="CP1214" i="1"/>
  <c r="CO1214" i="1"/>
  <c r="CN1214" i="1"/>
  <c r="CL1214" i="1"/>
  <c r="CK1214" i="1"/>
  <c r="CJ1214" i="1"/>
  <c r="CI1214" i="1"/>
  <c r="CH1214" i="1"/>
  <c r="CG1214" i="1"/>
  <c r="CF1214" i="1"/>
  <c r="CD1214" i="1"/>
  <c r="CC1214" i="1"/>
  <c r="CB1214" i="1"/>
  <c r="CA1214" i="1"/>
  <c r="BZ1214" i="1"/>
  <c r="BY1214" i="1"/>
  <c r="BX1214" i="1"/>
  <c r="BU1214" i="1"/>
  <c r="BN1214" i="1"/>
  <c r="BS1214" i="1" s="1"/>
  <c r="BA1214" i="1"/>
  <c r="AZ1214" i="1"/>
  <c r="AY1214" i="1"/>
  <c r="AX1214" i="1"/>
  <c r="AW1214" i="1"/>
  <c r="AV1214" i="1"/>
  <c r="AT1214" i="1"/>
  <c r="AS1214" i="1"/>
  <c r="CS1213" i="1"/>
  <c r="CR1213" i="1"/>
  <c r="CQ1213" i="1"/>
  <c r="CP1213" i="1"/>
  <c r="CO1213" i="1"/>
  <c r="CN1213" i="1"/>
  <c r="CL1213" i="1"/>
  <c r="CK1213" i="1"/>
  <c r="CJ1213" i="1"/>
  <c r="CI1213" i="1"/>
  <c r="CH1213" i="1"/>
  <c r="CG1213" i="1"/>
  <c r="CF1213" i="1"/>
  <c r="CD1213" i="1"/>
  <c r="CC1213" i="1"/>
  <c r="CB1213" i="1"/>
  <c r="CA1213" i="1"/>
  <c r="BZ1213" i="1"/>
  <c r="BY1213" i="1"/>
  <c r="BX1213" i="1"/>
  <c r="BU1213" i="1"/>
  <c r="BN1213" i="1"/>
  <c r="BS1213" i="1" s="1"/>
  <c r="BA1213" i="1"/>
  <c r="AZ1213" i="1"/>
  <c r="AY1213" i="1"/>
  <c r="AX1213" i="1"/>
  <c r="AW1213" i="1"/>
  <c r="AV1213" i="1"/>
  <c r="AT1213" i="1"/>
  <c r="AS1213" i="1"/>
  <c r="CS1212" i="1"/>
  <c r="CR1212" i="1"/>
  <c r="CQ1212" i="1"/>
  <c r="CP1212" i="1"/>
  <c r="CO1212" i="1"/>
  <c r="CN1212" i="1"/>
  <c r="CL1212" i="1"/>
  <c r="CK1212" i="1"/>
  <c r="CJ1212" i="1"/>
  <c r="CI1212" i="1"/>
  <c r="CH1212" i="1"/>
  <c r="CG1212" i="1"/>
  <c r="CF1212" i="1"/>
  <c r="CD1212" i="1"/>
  <c r="CC1212" i="1"/>
  <c r="CB1212" i="1"/>
  <c r="CA1212" i="1"/>
  <c r="BZ1212" i="1"/>
  <c r="BY1212" i="1"/>
  <c r="BX1212" i="1"/>
  <c r="BU1212" i="1"/>
  <c r="BN1212" i="1"/>
  <c r="BS1212" i="1" s="1"/>
  <c r="BA1212" i="1"/>
  <c r="AZ1212" i="1"/>
  <c r="AY1212" i="1"/>
  <c r="AX1212" i="1"/>
  <c r="AW1212" i="1"/>
  <c r="AV1212" i="1"/>
  <c r="AT1212" i="1"/>
  <c r="AS1212" i="1"/>
  <c r="CS1211" i="1"/>
  <c r="CR1211" i="1"/>
  <c r="CQ1211" i="1"/>
  <c r="CP1211" i="1"/>
  <c r="CO1211" i="1"/>
  <c r="CN1211" i="1"/>
  <c r="CL1211" i="1"/>
  <c r="CK1211" i="1"/>
  <c r="CJ1211" i="1"/>
  <c r="CI1211" i="1"/>
  <c r="CH1211" i="1"/>
  <c r="CG1211" i="1"/>
  <c r="CF1211" i="1"/>
  <c r="CD1211" i="1"/>
  <c r="CC1211" i="1"/>
  <c r="CB1211" i="1"/>
  <c r="CA1211" i="1"/>
  <c r="BZ1211" i="1"/>
  <c r="BY1211" i="1"/>
  <c r="BX1211" i="1"/>
  <c r="BU1211" i="1"/>
  <c r="BN1211" i="1"/>
  <c r="BS1211" i="1" s="1"/>
  <c r="BA1211" i="1"/>
  <c r="AZ1211" i="1"/>
  <c r="AY1211" i="1"/>
  <c r="AX1211" i="1"/>
  <c r="AW1211" i="1"/>
  <c r="AV1211" i="1"/>
  <c r="AT1211" i="1"/>
  <c r="AS1211" i="1"/>
  <c r="CS1210" i="1"/>
  <c r="CR1210" i="1"/>
  <c r="CQ1210" i="1"/>
  <c r="CP1210" i="1"/>
  <c r="CO1210" i="1"/>
  <c r="CN1210" i="1"/>
  <c r="CL1210" i="1"/>
  <c r="CK1210" i="1"/>
  <c r="CJ1210" i="1"/>
  <c r="CI1210" i="1"/>
  <c r="CH1210" i="1"/>
  <c r="CG1210" i="1"/>
  <c r="CF1210" i="1"/>
  <c r="CD1210" i="1"/>
  <c r="CC1210" i="1"/>
  <c r="CB1210" i="1"/>
  <c r="CA1210" i="1"/>
  <c r="BZ1210" i="1"/>
  <c r="BY1210" i="1"/>
  <c r="BX1210" i="1"/>
  <c r="BU1210" i="1"/>
  <c r="BN1210" i="1"/>
  <c r="BS1210" i="1" s="1"/>
  <c r="BA1210" i="1"/>
  <c r="AZ1210" i="1"/>
  <c r="AY1210" i="1"/>
  <c r="AX1210" i="1"/>
  <c r="AW1210" i="1"/>
  <c r="AV1210" i="1"/>
  <c r="AT1210" i="1"/>
  <c r="AS1210" i="1"/>
  <c r="CS1209" i="1"/>
  <c r="CR1209" i="1"/>
  <c r="CQ1209" i="1"/>
  <c r="CP1209" i="1"/>
  <c r="CO1209" i="1"/>
  <c r="CN1209" i="1"/>
  <c r="CL1209" i="1"/>
  <c r="CK1209" i="1"/>
  <c r="CJ1209" i="1"/>
  <c r="CI1209" i="1"/>
  <c r="CH1209" i="1"/>
  <c r="CG1209" i="1"/>
  <c r="CF1209" i="1"/>
  <c r="CD1209" i="1"/>
  <c r="CC1209" i="1"/>
  <c r="CB1209" i="1"/>
  <c r="CA1209" i="1"/>
  <c r="BZ1209" i="1"/>
  <c r="BY1209" i="1"/>
  <c r="BX1209" i="1"/>
  <c r="BU1209" i="1"/>
  <c r="BN1209" i="1"/>
  <c r="BS1209" i="1" s="1"/>
  <c r="BA1209" i="1"/>
  <c r="AZ1209" i="1"/>
  <c r="AY1209" i="1"/>
  <c r="AX1209" i="1"/>
  <c r="AW1209" i="1"/>
  <c r="AV1209" i="1"/>
  <c r="AT1209" i="1"/>
  <c r="AS1209" i="1"/>
  <c r="CS1208" i="1"/>
  <c r="CR1208" i="1"/>
  <c r="CQ1208" i="1"/>
  <c r="CP1208" i="1"/>
  <c r="CO1208" i="1"/>
  <c r="CN1208" i="1"/>
  <c r="CL1208" i="1"/>
  <c r="CK1208" i="1"/>
  <c r="CJ1208" i="1"/>
  <c r="CI1208" i="1"/>
  <c r="CH1208" i="1"/>
  <c r="CG1208" i="1"/>
  <c r="CF1208" i="1"/>
  <c r="CD1208" i="1"/>
  <c r="CC1208" i="1"/>
  <c r="CB1208" i="1"/>
  <c r="CA1208" i="1"/>
  <c r="BZ1208" i="1"/>
  <c r="BY1208" i="1"/>
  <c r="BX1208" i="1"/>
  <c r="BU1208" i="1"/>
  <c r="BN1208" i="1"/>
  <c r="BS1208" i="1" s="1"/>
  <c r="BA1208" i="1"/>
  <c r="AZ1208" i="1"/>
  <c r="AY1208" i="1"/>
  <c r="AX1208" i="1"/>
  <c r="AW1208" i="1"/>
  <c r="AV1208" i="1"/>
  <c r="AT1208" i="1"/>
  <c r="AS1208" i="1"/>
  <c r="CS1207" i="1"/>
  <c r="CR1207" i="1"/>
  <c r="CQ1207" i="1"/>
  <c r="CP1207" i="1"/>
  <c r="CO1207" i="1"/>
  <c r="CN1207" i="1"/>
  <c r="CL1207" i="1"/>
  <c r="CK1207" i="1"/>
  <c r="CJ1207" i="1"/>
  <c r="CI1207" i="1"/>
  <c r="CH1207" i="1"/>
  <c r="CG1207" i="1"/>
  <c r="CF1207" i="1"/>
  <c r="CD1207" i="1"/>
  <c r="CC1207" i="1"/>
  <c r="CB1207" i="1"/>
  <c r="CA1207" i="1"/>
  <c r="BZ1207" i="1"/>
  <c r="BY1207" i="1"/>
  <c r="BX1207" i="1"/>
  <c r="BU1207" i="1"/>
  <c r="BN1207" i="1"/>
  <c r="BS1207" i="1" s="1"/>
  <c r="BA1207" i="1"/>
  <c r="AZ1207" i="1"/>
  <c r="AY1207" i="1"/>
  <c r="AX1207" i="1"/>
  <c r="AW1207" i="1"/>
  <c r="AV1207" i="1"/>
  <c r="AT1207" i="1"/>
  <c r="AS1207" i="1"/>
  <c r="CS1206" i="1"/>
  <c r="CR1206" i="1"/>
  <c r="CQ1206" i="1"/>
  <c r="CP1206" i="1"/>
  <c r="CO1206" i="1"/>
  <c r="CN1206" i="1"/>
  <c r="CL1206" i="1"/>
  <c r="CK1206" i="1"/>
  <c r="CJ1206" i="1"/>
  <c r="CI1206" i="1"/>
  <c r="CH1206" i="1"/>
  <c r="CG1206" i="1"/>
  <c r="CF1206" i="1"/>
  <c r="CD1206" i="1"/>
  <c r="CC1206" i="1"/>
  <c r="CB1206" i="1"/>
  <c r="CA1206" i="1"/>
  <c r="BZ1206" i="1"/>
  <c r="BY1206" i="1"/>
  <c r="BX1206" i="1"/>
  <c r="BU1206" i="1"/>
  <c r="BN1206" i="1"/>
  <c r="BS1206" i="1" s="1"/>
  <c r="BA1206" i="1"/>
  <c r="AZ1206" i="1"/>
  <c r="AY1206" i="1"/>
  <c r="AX1206" i="1"/>
  <c r="AW1206" i="1"/>
  <c r="AV1206" i="1"/>
  <c r="AT1206" i="1"/>
  <c r="AS1206" i="1"/>
  <c r="CS1205" i="1"/>
  <c r="CR1205" i="1"/>
  <c r="CQ1205" i="1"/>
  <c r="CP1205" i="1"/>
  <c r="CO1205" i="1"/>
  <c r="CN1205" i="1"/>
  <c r="CL1205" i="1"/>
  <c r="CK1205" i="1"/>
  <c r="CJ1205" i="1"/>
  <c r="CI1205" i="1"/>
  <c r="CH1205" i="1"/>
  <c r="CG1205" i="1"/>
  <c r="CF1205" i="1"/>
  <c r="CD1205" i="1"/>
  <c r="CC1205" i="1"/>
  <c r="CB1205" i="1"/>
  <c r="CA1205" i="1"/>
  <c r="BZ1205" i="1"/>
  <c r="BY1205" i="1"/>
  <c r="BX1205" i="1"/>
  <c r="BU1205" i="1"/>
  <c r="BN1205" i="1"/>
  <c r="BS1205" i="1" s="1"/>
  <c r="BA1205" i="1"/>
  <c r="AZ1205" i="1"/>
  <c r="AY1205" i="1"/>
  <c r="AX1205" i="1"/>
  <c r="AW1205" i="1"/>
  <c r="AV1205" i="1"/>
  <c r="AT1205" i="1"/>
  <c r="AS1205" i="1"/>
  <c r="CS1204" i="1"/>
  <c r="CR1204" i="1"/>
  <c r="CQ1204" i="1"/>
  <c r="CP1204" i="1"/>
  <c r="CO1204" i="1"/>
  <c r="CN1204" i="1"/>
  <c r="CL1204" i="1"/>
  <c r="CK1204" i="1"/>
  <c r="CJ1204" i="1"/>
  <c r="CI1204" i="1"/>
  <c r="CH1204" i="1"/>
  <c r="CG1204" i="1"/>
  <c r="CF1204" i="1"/>
  <c r="CD1204" i="1"/>
  <c r="CC1204" i="1"/>
  <c r="CB1204" i="1"/>
  <c r="CA1204" i="1"/>
  <c r="BZ1204" i="1"/>
  <c r="BY1204" i="1"/>
  <c r="BX1204" i="1"/>
  <c r="BU1204" i="1"/>
  <c r="BN1204" i="1"/>
  <c r="BS1204" i="1" s="1"/>
  <c r="BA1204" i="1"/>
  <c r="AZ1204" i="1"/>
  <c r="AY1204" i="1"/>
  <c r="AX1204" i="1"/>
  <c r="AW1204" i="1"/>
  <c r="AV1204" i="1"/>
  <c r="AT1204" i="1"/>
  <c r="AS1204" i="1"/>
  <c r="CS1203" i="1"/>
  <c r="CR1203" i="1"/>
  <c r="CQ1203" i="1"/>
  <c r="CP1203" i="1"/>
  <c r="CO1203" i="1"/>
  <c r="CN1203" i="1"/>
  <c r="CL1203" i="1"/>
  <c r="CK1203" i="1"/>
  <c r="CJ1203" i="1"/>
  <c r="CI1203" i="1"/>
  <c r="CH1203" i="1"/>
  <c r="CG1203" i="1"/>
  <c r="CF1203" i="1"/>
  <c r="CD1203" i="1"/>
  <c r="CC1203" i="1"/>
  <c r="CB1203" i="1"/>
  <c r="CA1203" i="1"/>
  <c r="BZ1203" i="1"/>
  <c r="BY1203" i="1"/>
  <c r="BX1203" i="1"/>
  <c r="BU1203" i="1"/>
  <c r="BN1203" i="1"/>
  <c r="BS1203" i="1" s="1"/>
  <c r="BA1203" i="1"/>
  <c r="AZ1203" i="1"/>
  <c r="AY1203" i="1"/>
  <c r="AX1203" i="1"/>
  <c r="AW1203" i="1"/>
  <c r="AV1203" i="1"/>
  <c r="AT1203" i="1"/>
  <c r="AS1203" i="1"/>
  <c r="CS1202" i="1"/>
  <c r="CR1202" i="1"/>
  <c r="CQ1202" i="1"/>
  <c r="CP1202" i="1"/>
  <c r="CO1202" i="1"/>
  <c r="CN1202" i="1"/>
  <c r="CL1202" i="1"/>
  <c r="CK1202" i="1"/>
  <c r="CJ1202" i="1"/>
  <c r="CI1202" i="1"/>
  <c r="CH1202" i="1"/>
  <c r="CG1202" i="1"/>
  <c r="CF1202" i="1"/>
  <c r="CD1202" i="1"/>
  <c r="CC1202" i="1"/>
  <c r="CB1202" i="1"/>
  <c r="CA1202" i="1"/>
  <c r="BZ1202" i="1"/>
  <c r="BY1202" i="1"/>
  <c r="BX1202" i="1"/>
  <c r="BU1202" i="1"/>
  <c r="BN1202" i="1"/>
  <c r="BS1202" i="1" s="1"/>
  <c r="BA1202" i="1"/>
  <c r="AZ1202" i="1"/>
  <c r="AY1202" i="1"/>
  <c r="AX1202" i="1"/>
  <c r="AW1202" i="1"/>
  <c r="AV1202" i="1"/>
  <c r="AT1202" i="1"/>
  <c r="AS1202" i="1"/>
  <c r="CS1201" i="1"/>
  <c r="CR1201" i="1"/>
  <c r="CQ1201" i="1"/>
  <c r="CP1201" i="1"/>
  <c r="CO1201" i="1"/>
  <c r="CN1201" i="1"/>
  <c r="CL1201" i="1"/>
  <c r="CK1201" i="1"/>
  <c r="CJ1201" i="1"/>
  <c r="CI1201" i="1"/>
  <c r="CH1201" i="1"/>
  <c r="CG1201" i="1"/>
  <c r="CF1201" i="1"/>
  <c r="CD1201" i="1"/>
  <c r="CC1201" i="1"/>
  <c r="CB1201" i="1"/>
  <c r="CA1201" i="1"/>
  <c r="BZ1201" i="1"/>
  <c r="BY1201" i="1"/>
  <c r="BX1201" i="1"/>
  <c r="BU1201" i="1"/>
  <c r="BN1201" i="1"/>
  <c r="BS1201" i="1" s="1"/>
  <c r="BA1201" i="1"/>
  <c r="AZ1201" i="1"/>
  <c r="AY1201" i="1"/>
  <c r="AX1201" i="1"/>
  <c r="AW1201" i="1"/>
  <c r="AV1201" i="1"/>
  <c r="AT1201" i="1"/>
  <c r="AS1201" i="1"/>
  <c r="CS1200" i="1"/>
  <c r="CR1200" i="1"/>
  <c r="CQ1200" i="1"/>
  <c r="CP1200" i="1"/>
  <c r="CO1200" i="1"/>
  <c r="CN1200" i="1"/>
  <c r="CL1200" i="1"/>
  <c r="CK1200" i="1"/>
  <c r="CJ1200" i="1"/>
  <c r="CI1200" i="1"/>
  <c r="CH1200" i="1"/>
  <c r="CG1200" i="1"/>
  <c r="CF1200" i="1"/>
  <c r="CD1200" i="1"/>
  <c r="CC1200" i="1"/>
  <c r="CB1200" i="1"/>
  <c r="CA1200" i="1"/>
  <c r="BZ1200" i="1"/>
  <c r="BY1200" i="1"/>
  <c r="BX1200" i="1"/>
  <c r="BU1200" i="1"/>
  <c r="BN1200" i="1"/>
  <c r="BS1200" i="1" s="1"/>
  <c r="BA1200" i="1"/>
  <c r="AZ1200" i="1"/>
  <c r="AY1200" i="1"/>
  <c r="AX1200" i="1"/>
  <c r="AW1200" i="1"/>
  <c r="AV1200" i="1"/>
  <c r="AT1200" i="1"/>
  <c r="AS1200" i="1"/>
  <c r="CS1199" i="1"/>
  <c r="CR1199" i="1"/>
  <c r="CQ1199" i="1"/>
  <c r="CP1199" i="1"/>
  <c r="CO1199" i="1"/>
  <c r="CN1199" i="1"/>
  <c r="CL1199" i="1"/>
  <c r="CK1199" i="1"/>
  <c r="CJ1199" i="1"/>
  <c r="CI1199" i="1"/>
  <c r="CH1199" i="1"/>
  <c r="CG1199" i="1"/>
  <c r="CF1199" i="1"/>
  <c r="CD1199" i="1"/>
  <c r="CC1199" i="1"/>
  <c r="CB1199" i="1"/>
  <c r="CA1199" i="1"/>
  <c r="BZ1199" i="1"/>
  <c r="BY1199" i="1"/>
  <c r="BX1199" i="1"/>
  <c r="BU1199" i="1"/>
  <c r="BN1199" i="1"/>
  <c r="BS1199" i="1" s="1"/>
  <c r="BA1199" i="1"/>
  <c r="AZ1199" i="1"/>
  <c r="AY1199" i="1"/>
  <c r="AX1199" i="1"/>
  <c r="AW1199" i="1"/>
  <c r="AV1199" i="1"/>
  <c r="AT1199" i="1"/>
  <c r="AS1199" i="1"/>
  <c r="CS1198" i="1"/>
  <c r="CR1198" i="1"/>
  <c r="CQ1198" i="1"/>
  <c r="CP1198" i="1"/>
  <c r="CO1198" i="1"/>
  <c r="CN1198" i="1"/>
  <c r="CL1198" i="1"/>
  <c r="CK1198" i="1"/>
  <c r="CJ1198" i="1"/>
  <c r="CI1198" i="1"/>
  <c r="CH1198" i="1"/>
  <c r="CG1198" i="1"/>
  <c r="CF1198" i="1"/>
  <c r="CD1198" i="1"/>
  <c r="CC1198" i="1"/>
  <c r="CB1198" i="1"/>
  <c r="CA1198" i="1"/>
  <c r="BZ1198" i="1"/>
  <c r="BY1198" i="1"/>
  <c r="BX1198" i="1"/>
  <c r="BU1198" i="1"/>
  <c r="BN1198" i="1"/>
  <c r="BS1198" i="1" s="1"/>
  <c r="BA1198" i="1"/>
  <c r="AZ1198" i="1"/>
  <c r="AY1198" i="1"/>
  <c r="AX1198" i="1"/>
  <c r="AW1198" i="1"/>
  <c r="AV1198" i="1"/>
  <c r="AT1198" i="1"/>
  <c r="AS1198" i="1"/>
  <c r="CS1197" i="1"/>
  <c r="CR1197" i="1"/>
  <c r="CQ1197" i="1"/>
  <c r="CP1197" i="1"/>
  <c r="CO1197" i="1"/>
  <c r="CN1197" i="1"/>
  <c r="CL1197" i="1"/>
  <c r="CK1197" i="1"/>
  <c r="CJ1197" i="1"/>
  <c r="CI1197" i="1"/>
  <c r="CH1197" i="1"/>
  <c r="CG1197" i="1"/>
  <c r="CF1197" i="1"/>
  <c r="CD1197" i="1"/>
  <c r="CC1197" i="1"/>
  <c r="CB1197" i="1"/>
  <c r="CA1197" i="1"/>
  <c r="BZ1197" i="1"/>
  <c r="BY1197" i="1"/>
  <c r="BX1197" i="1"/>
  <c r="BU1197" i="1"/>
  <c r="BN1197" i="1"/>
  <c r="BS1197" i="1" s="1"/>
  <c r="BA1197" i="1"/>
  <c r="AZ1197" i="1"/>
  <c r="AY1197" i="1"/>
  <c r="AX1197" i="1"/>
  <c r="AW1197" i="1"/>
  <c r="AV1197" i="1"/>
  <c r="AT1197" i="1"/>
  <c r="AS1197" i="1"/>
  <c r="CS1196" i="1"/>
  <c r="CR1196" i="1"/>
  <c r="CQ1196" i="1"/>
  <c r="CP1196" i="1"/>
  <c r="CO1196" i="1"/>
  <c r="CN1196" i="1"/>
  <c r="CL1196" i="1"/>
  <c r="CK1196" i="1"/>
  <c r="CJ1196" i="1"/>
  <c r="CI1196" i="1"/>
  <c r="CH1196" i="1"/>
  <c r="CG1196" i="1"/>
  <c r="CF1196" i="1"/>
  <c r="CD1196" i="1"/>
  <c r="CC1196" i="1"/>
  <c r="CB1196" i="1"/>
  <c r="CA1196" i="1"/>
  <c r="BZ1196" i="1"/>
  <c r="BY1196" i="1"/>
  <c r="BX1196" i="1"/>
  <c r="BU1196" i="1"/>
  <c r="BN1196" i="1"/>
  <c r="BS1196" i="1" s="1"/>
  <c r="BA1196" i="1"/>
  <c r="AZ1196" i="1"/>
  <c r="AY1196" i="1"/>
  <c r="AX1196" i="1"/>
  <c r="AW1196" i="1"/>
  <c r="AV1196" i="1"/>
  <c r="AT1196" i="1"/>
  <c r="AS1196" i="1"/>
  <c r="CS1195" i="1"/>
  <c r="CR1195" i="1"/>
  <c r="CQ1195" i="1"/>
  <c r="CP1195" i="1"/>
  <c r="CO1195" i="1"/>
  <c r="CN1195" i="1"/>
  <c r="CL1195" i="1"/>
  <c r="CK1195" i="1"/>
  <c r="CJ1195" i="1"/>
  <c r="CI1195" i="1"/>
  <c r="CH1195" i="1"/>
  <c r="CG1195" i="1"/>
  <c r="CF1195" i="1"/>
  <c r="CD1195" i="1"/>
  <c r="CC1195" i="1"/>
  <c r="CB1195" i="1"/>
  <c r="CA1195" i="1"/>
  <c r="BZ1195" i="1"/>
  <c r="BY1195" i="1"/>
  <c r="BX1195" i="1"/>
  <c r="BU1195" i="1"/>
  <c r="BN1195" i="1"/>
  <c r="BS1195" i="1" s="1"/>
  <c r="BA1195" i="1"/>
  <c r="AZ1195" i="1"/>
  <c r="AY1195" i="1"/>
  <c r="AX1195" i="1"/>
  <c r="AW1195" i="1"/>
  <c r="AV1195" i="1"/>
  <c r="AT1195" i="1"/>
  <c r="AS1195" i="1"/>
  <c r="CS1194" i="1"/>
  <c r="CR1194" i="1"/>
  <c r="CQ1194" i="1"/>
  <c r="CP1194" i="1"/>
  <c r="CO1194" i="1"/>
  <c r="CN1194" i="1"/>
  <c r="CL1194" i="1"/>
  <c r="CK1194" i="1"/>
  <c r="CJ1194" i="1"/>
  <c r="CI1194" i="1"/>
  <c r="CH1194" i="1"/>
  <c r="CG1194" i="1"/>
  <c r="CF1194" i="1"/>
  <c r="CD1194" i="1"/>
  <c r="CC1194" i="1"/>
  <c r="CB1194" i="1"/>
  <c r="CA1194" i="1"/>
  <c r="BZ1194" i="1"/>
  <c r="BY1194" i="1"/>
  <c r="BX1194" i="1"/>
  <c r="BU1194" i="1"/>
  <c r="BN1194" i="1"/>
  <c r="BS1194" i="1" s="1"/>
  <c r="BA1194" i="1"/>
  <c r="AZ1194" i="1"/>
  <c r="AY1194" i="1"/>
  <c r="AX1194" i="1"/>
  <c r="AW1194" i="1"/>
  <c r="AV1194" i="1"/>
  <c r="AT1194" i="1"/>
  <c r="AS1194" i="1"/>
  <c r="CS1193" i="1"/>
  <c r="CR1193" i="1"/>
  <c r="CQ1193" i="1"/>
  <c r="CP1193" i="1"/>
  <c r="CO1193" i="1"/>
  <c r="CN1193" i="1"/>
  <c r="CL1193" i="1"/>
  <c r="CK1193" i="1"/>
  <c r="CJ1193" i="1"/>
  <c r="CI1193" i="1"/>
  <c r="CH1193" i="1"/>
  <c r="CG1193" i="1"/>
  <c r="CF1193" i="1"/>
  <c r="CD1193" i="1"/>
  <c r="CC1193" i="1"/>
  <c r="CB1193" i="1"/>
  <c r="CA1193" i="1"/>
  <c r="BZ1193" i="1"/>
  <c r="BY1193" i="1"/>
  <c r="BX1193" i="1"/>
  <c r="BU1193" i="1"/>
  <c r="BN1193" i="1"/>
  <c r="BS1193" i="1" s="1"/>
  <c r="BA1193" i="1"/>
  <c r="AZ1193" i="1"/>
  <c r="AY1193" i="1"/>
  <c r="AX1193" i="1"/>
  <c r="AW1193" i="1"/>
  <c r="AV1193" i="1"/>
  <c r="AT1193" i="1"/>
  <c r="AS1193" i="1"/>
  <c r="CS1192" i="1"/>
  <c r="CR1192" i="1"/>
  <c r="CQ1192" i="1"/>
  <c r="CP1192" i="1"/>
  <c r="CO1192" i="1"/>
  <c r="CN1192" i="1"/>
  <c r="CL1192" i="1"/>
  <c r="CK1192" i="1"/>
  <c r="CJ1192" i="1"/>
  <c r="CI1192" i="1"/>
  <c r="CH1192" i="1"/>
  <c r="CG1192" i="1"/>
  <c r="CF1192" i="1"/>
  <c r="CD1192" i="1"/>
  <c r="CC1192" i="1"/>
  <c r="CB1192" i="1"/>
  <c r="CA1192" i="1"/>
  <c r="BZ1192" i="1"/>
  <c r="BY1192" i="1"/>
  <c r="BX1192" i="1"/>
  <c r="BU1192" i="1"/>
  <c r="BN1192" i="1"/>
  <c r="BS1192" i="1" s="1"/>
  <c r="BA1192" i="1"/>
  <c r="AZ1192" i="1"/>
  <c r="AY1192" i="1"/>
  <c r="AX1192" i="1"/>
  <c r="AW1192" i="1"/>
  <c r="AV1192" i="1"/>
  <c r="AT1192" i="1"/>
  <c r="AS1192" i="1"/>
  <c r="CS1191" i="1"/>
  <c r="CR1191" i="1"/>
  <c r="CQ1191" i="1"/>
  <c r="CP1191" i="1"/>
  <c r="CO1191" i="1"/>
  <c r="CN1191" i="1"/>
  <c r="CL1191" i="1"/>
  <c r="CK1191" i="1"/>
  <c r="CJ1191" i="1"/>
  <c r="CI1191" i="1"/>
  <c r="CH1191" i="1"/>
  <c r="CG1191" i="1"/>
  <c r="CF1191" i="1"/>
  <c r="CD1191" i="1"/>
  <c r="CC1191" i="1"/>
  <c r="CB1191" i="1"/>
  <c r="CA1191" i="1"/>
  <c r="BZ1191" i="1"/>
  <c r="BY1191" i="1"/>
  <c r="BX1191" i="1"/>
  <c r="BU1191" i="1"/>
  <c r="BN1191" i="1"/>
  <c r="BS1191" i="1" s="1"/>
  <c r="BA1191" i="1"/>
  <c r="AZ1191" i="1"/>
  <c r="AY1191" i="1"/>
  <c r="AX1191" i="1"/>
  <c r="AW1191" i="1"/>
  <c r="AV1191" i="1"/>
  <c r="AT1191" i="1"/>
  <c r="AS1191" i="1"/>
  <c r="CS1190" i="1"/>
  <c r="CR1190" i="1"/>
  <c r="CQ1190" i="1"/>
  <c r="CP1190" i="1"/>
  <c r="CO1190" i="1"/>
  <c r="CN1190" i="1"/>
  <c r="CL1190" i="1"/>
  <c r="CK1190" i="1"/>
  <c r="CJ1190" i="1"/>
  <c r="CI1190" i="1"/>
  <c r="CH1190" i="1"/>
  <c r="CG1190" i="1"/>
  <c r="CF1190" i="1"/>
  <c r="CD1190" i="1"/>
  <c r="CC1190" i="1"/>
  <c r="CB1190" i="1"/>
  <c r="CA1190" i="1"/>
  <c r="BZ1190" i="1"/>
  <c r="BY1190" i="1"/>
  <c r="BX1190" i="1"/>
  <c r="BU1190" i="1"/>
  <c r="BN1190" i="1"/>
  <c r="BS1190" i="1" s="1"/>
  <c r="BA1190" i="1"/>
  <c r="AZ1190" i="1"/>
  <c r="AY1190" i="1"/>
  <c r="AX1190" i="1"/>
  <c r="AW1190" i="1"/>
  <c r="AV1190" i="1"/>
  <c r="AT1190" i="1"/>
  <c r="AS1190" i="1"/>
  <c r="CS1189" i="1"/>
  <c r="CR1189" i="1"/>
  <c r="CQ1189" i="1"/>
  <c r="CP1189" i="1"/>
  <c r="CO1189" i="1"/>
  <c r="CN1189" i="1"/>
  <c r="CL1189" i="1"/>
  <c r="CK1189" i="1"/>
  <c r="CJ1189" i="1"/>
  <c r="CI1189" i="1"/>
  <c r="CH1189" i="1"/>
  <c r="CG1189" i="1"/>
  <c r="CF1189" i="1"/>
  <c r="CD1189" i="1"/>
  <c r="CC1189" i="1"/>
  <c r="CB1189" i="1"/>
  <c r="CA1189" i="1"/>
  <c r="BZ1189" i="1"/>
  <c r="BY1189" i="1"/>
  <c r="BX1189" i="1"/>
  <c r="BU1189" i="1"/>
  <c r="BN1189" i="1"/>
  <c r="BS1189" i="1" s="1"/>
  <c r="BA1189" i="1"/>
  <c r="AZ1189" i="1"/>
  <c r="AY1189" i="1"/>
  <c r="AX1189" i="1"/>
  <c r="AW1189" i="1"/>
  <c r="AV1189" i="1"/>
  <c r="AT1189" i="1"/>
  <c r="AS1189" i="1"/>
  <c r="CS1188" i="1"/>
  <c r="CR1188" i="1"/>
  <c r="CQ1188" i="1"/>
  <c r="CP1188" i="1"/>
  <c r="CO1188" i="1"/>
  <c r="CN1188" i="1"/>
  <c r="CL1188" i="1"/>
  <c r="CK1188" i="1"/>
  <c r="CJ1188" i="1"/>
  <c r="CI1188" i="1"/>
  <c r="CH1188" i="1"/>
  <c r="CG1188" i="1"/>
  <c r="CF1188" i="1"/>
  <c r="CD1188" i="1"/>
  <c r="CC1188" i="1"/>
  <c r="CB1188" i="1"/>
  <c r="CA1188" i="1"/>
  <c r="BZ1188" i="1"/>
  <c r="BY1188" i="1"/>
  <c r="BX1188" i="1"/>
  <c r="BU1188" i="1"/>
  <c r="BN1188" i="1"/>
  <c r="BS1188" i="1" s="1"/>
  <c r="BA1188" i="1"/>
  <c r="AZ1188" i="1"/>
  <c r="AY1188" i="1"/>
  <c r="AX1188" i="1"/>
  <c r="AW1188" i="1"/>
  <c r="AV1188" i="1"/>
  <c r="AT1188" i="1"/>
  <c r="AS1188" i="1"/>
  <c r="CS1187" i="1"/>
  <c r="CR1187" i="1"/>
  <c r="CQ1187" i="1"/>
  <c r="CP1187" i="1"/>
  <c r="CO1187" i="1"/>
  <c r="CN1187" i="1"/>
  <c r="CL1187" i="1"/>
  <c r="CK1187" i="1"/>
  <c r="CJ1187" i="1"/>
  <c r="CI1187" i="1"/>
  <c r="CH1187" i="1"/>
  <c r="CG1187" i="1"/>
  <c r="CF1187" i="1"/>
  <c r="CD1187" i="1"/>
  <c r="CC1187" i="1"/>
  <c r="CB1187" i="1"/>
  <c r="CA1187" i="1"/>
  <c r="BZ1187" i="1"/>
  <c r="BY1187" i="1"/>
  <c r="BX1187" i="1"/>
  <c r="BU1187" i="1"/>
  <c r="BN1187" i="1"/>
  <c r="BS1187" i="1" s="1"/>
  <c r="BA1187" i="1"/>
  <c r="AZ1187" i="1"/>
  <c r="AY1187" i="1"/>
  <c r="AX1187" i="1"/>
  <c r="AW1187" i="1"/>
  <c r="AV1187" i="1"/>
  <c r="AT1187" i="1"/>
  <c r="AS1187" i="1"/>
  <c r="CS1186" i="1"/>
  <c r="CR1186" i="1"/>
  <c r="CQ1186" i="1"/>
  <c r="CP1186" i="1"/>
  <c r="CO1186" i="1"/>
  <c r="CN1186" i="1"/>
  <c r="CL1186" i="1"/>
  <c r="CK1186" i="1"/>
  <c r="CJ1186" i="1"/>
  <c r="CI1186" i="1"/>
  <c r="CH1186" i="1"/>
  <c r="CG1186" i="1"/>
  <c r="CF1186" i="1"/>
  <c r="CD1186" i="1"/>
  <c r="CC1186" i="1"/>
  <c r="CB1186" i="1"/>
  <c r="CA1186" i="1"/>
  <c r="BZ1186" i="1"/>
  <c r="BY1186" i="1"/>
  <c r="BX1186" i="1"/>
  <c r="BU1186" i="1"/>
  <c r="BN1186" i="1"/>
  <c r="BS1186" i="1" s="1"/>
  <c r="BA1186" i="1"/>
  <c r="AZ1186" i="1"/>
  <c r="AY1186" i="1"/>
  <c r="AX1186" i="1"/>
  <c r="AW1186" i="1"/>
  <c r="AV1186" i="1"/>
  <c r="AT1186" i="1"/>
  <c r="AS1186" i="1"/>
  <c r="CS1185" i="1"/>
  <c r="CR1185" i="1"/>
  <c r="CQ1185" i="1"/>
  <c r="CP1185" i="1"/>
  <c r="CO1185" i="1"/>
  <c r="CN1185" i="1"/>
  <c r="CL1185" i="1"/>
  <c r="CK1185" i="1"/>
  <c r="CJ1185" i="1"/>
  <c r="CI1185" i="1"/>
  <c r="CH1185" i="1"/>
  <c r="CG1185" i="1"/>
  <c r="CF1185" i="1"/>
  <c r="CD1185" i="1"/>
  <c r="CC1185" i="1"/>
  <c r="CB1185" i="1"/>
  <c r="CA1185" i="1"/>
  <c r="BZ1185" i="1"/>
  <c r="BY1185" i="1"/>
  <c r="BX1185" i="1"/>
  <c r="BU1185" i="1"/>
  <c r="BN1185" i="1"/>
  <c r="BS1185" i="1" s="1"/>
  <c r="BA1185" i="1"/>
  <c r="AZ1185" i="1"/>
  <c r="AY1185" i="1"/>
  <c r="AX1185" i="1"/>
  <c r="AW1185" i="1"/>
  <c r="AV1185" i="1"/>
  <c r="AT1185" i="1"/>
  <c r="AS1185" i="1"/>
  <c r="CS1184" i="1"/>
  <c r="CR1184" i="1"/>
  <c r="CQ1184" i="1"/>
  <c r="CP1184" i="1"/>
  <c r="CO1184" i="1"/>
  <c r="CN1184" i="1"/>
  <c r="CL1184" i="1"/>
  <c r="CK1184" i="1"/>
  <c r="CJ1184" i="1"/>
  <c r="CI1184" i="1"/>
  <c r="CH1184" i="1"/>
  <c r="CG1184" i="1"/>
  <c r="CF1184" i="1"/>
  <c r="CD1184" i="1"/>
  <c r="CC1184" i="1"/>
  <c r="CB1184" i="1"/>
  <c r="CA1184" i="1"/>
  <c r="BZ1184" i="1"/>
  <c r="BY1184" i="1"/>
  <c r="BX1184" i="1"/>
  <c r="BU1184" i="1"/>
  <c r="BN1184" i="1"/>
  <c r="BS1184" i="1" s="1"/>
  <c r="BA1184" i="1"/>
  <c r="AZ1184" i="1"/>
  <c r="AY1184" i="1"/>
  <c r="AX1184" i="1"/>
  <c r="AW1184" i="1"/>
  <c r="AV1184" i="1"/>
  <c r="AT1184" i="1"/>
  <c r="AS1184" i="1"/>
  <c r="CS1183" i="1"/>
  <c r="CR1183" i="1"/>
  <c r="CQ1183" i="1"/>
  <c r="CP1183" i="1"/>
  <c r="CO1183" i="1"/>
  <c r="CN1183" i="1"/>
  <c r="CL1183" i="1"/>
  <c r="CK1183" i="1"/>
  <c r="CJ1183" i="1"/>
  <c r="CI1183" i="1"/>
  <c r="CH1183" i="1"/>
  <c r="CG1183" i="1"/>
  <c r="CF1183" i="1"/>
  <c r="CD1183" i="1"/>
  <c r="CC1183" i="1"/>
  <c r="CB1183" i="1"/>
  <c r="CA1183" i="1"/>
  <c r="BZ1183" i="1"/>
  <c r="BY1183" i="1"/>
  <c r="BX1183" i="1"/>
  <c r="BU1183" i="1"/>
  <c r="BN1183" i="1"/>
  <c r="BS1183" i="1" s="1"/>
  <c r="BA1183" i="1"/>
  <c r="AZ1183" i="1"/>
  <c r="AY1183" i="1"/>
  <c r="AX1183" i="1"/>
  <c r="AW1183" i="1"/>
  <c r="AV1183" i="1"/>
  <c r="AT1183" i="1"/>
  <c r="AS1183" i="1"/>
  <c r="CS1182" i="1"/>
  <c r="CR1182" i="1"/>
  <c r="CQ1182" i="1"/>
  <c r="CP1182" i="1"/>
  <c r="CO1182" i="1"/>
  <c r="CN1182" i="1"/>
  <c r="CL1182" i="1"/>
  <c r="CK1182" i="1"/>
  <c r="CJ1182" i="1"/>
  <c r="CI1182" i="1"/>
  <c r="CH1182" i="1"/>
  <c r="CG1182" i="1"/>
  <c r="CF1182" i="1"/>
  <c r="CD1182" i="1"/>
  <c r="CC1182" i="1"/>
  <c r="CB1182" i="1"/>
  <c r="CA1182" i="1"/>
  <c r="BZ1182" i="1"/>
  <c r="BY1182" i="1"/>
  <c r="BX1182" i="1"/>
  <c r="BU1182" i="1"/>
  <c r="BN1182" i="1"/>
  <c r="BS1182" i="1" s="1"/>
  <c r="BA1182" i="1"/>
  <c r="AZ1182" i="1"/>
  <c r="AY1182" i="1"/>
  <c r="AX1182" i="1"/>
  <c r="AW1182" i="1"/>
  <c r="AV1182" i="1"/>
  <c r="AT1182" i="1"/>
  <c r="AS1182" i="1"/>
  <c r="CS1181" i="1"/>
  <c r="CR1181" i="1"/>
  <c r="CQ1181" i="1"/>
  <c r="CP1181" i="1"/>
  <c r="CO1181" i="1"/>
  <c r="CN1181" i="1"/>
  <c r="CL1181" i="1"/>
  <c r="CK1181" i="1"/>
  <c r="CJ1181" i="1"/>
  <c r="CI1181" i="1"/>
  <c r="CH1181" i="1"/>
  <c r="CG1181" i="1"/>
  <c r="CF1181" i="1"/>
  <c r="CD1181" i="1"/>
  <c r="CC1181" i="1"/>
  <c r="CB1181" i="1"/>
  <c r="CA1181" i="1"/>
  <c r="BZ1181" i="1"/>
  <c r="BY1181" i="1"/>
  <c r="BX1181" i="1"/>
  <c r="BU1181" i="1"/>
  <c r="BN1181" i="1"/>
  <c r="BS1181" i="1" s="1"/>
  <c r="BA1181" i="1"/>
  <c r="AZ1181" i="1"/>
  <c r="AY1181" i="1"/>
  <c r="AX1181" i="1"/>
  <c r="AW1181" i="1"/>
  <c r="AV1181" i="1"/>
  <c r="AT1181" i="1"/>
  <c r="AS1181" i="1"/>
  <c r="CS1180" i="1"/>
  <c r="CR1180" i="1"/>
  <c r="CQ1180" i="1"/>
  <c r="CP1180" i="1"/>
  <c r="CO1180" i="1"/>
  <c r="CN1180" i="1"/>
  <c r="CL1180" i="1"/>
  <c r="CK1180" i="1"/>
  <c r="CJ1180" i="1"/>
  <c r="CI1180" i="1"/>
  <c r="CH1180" i="1"/>
  <c r="CG1180" i="1"/>
  <c r="CF1180" i="1"/>
  <c r="CD1180" i="1"/>
  <c r="CC1180" i="1"/>
  <c r="CB1180" i="1"/>
  <c r="CA1180" i="1"/>
  <c r="BZ1180" i="1"/>
  <c r="BY1180" i="1"/>
  <c r="BX1180" i="1"/>
  <c r="BU1180" i="1"/>
  <c r="BN1180" i="1"/>
  <c r="BS1180" i="1" s="1"/>
  <c r="BA1180" i="1"/>
  <c r="AZ1180" i="1"/>
  <c r="AY1180" i="1"/>
  <c r="AX1180" i="1"/>
  <c r="AW1180" i="1"/>
  <c r="AV1180" i="1"/>
  <c r="AT1180" i="1"/>
  <c r="AS1180" i="1"/>
  <c r="CS1179" i="1"/>
  <c r="CR1179" i="1"/>
  <c r="CQ1179" i="1"/>
  <c r="CP1179" i="1"/>
  <c r="CO1179" i="1"/>
  <c r="CN1179" i="1"/>
  <c r="CL1179" i="1"/>
  <c r="CK1179" i="1"/>
  <c r="CJ1179" i="1"/>
  <c r="CI1179" i="1"/>
  <c r="CH1179" i="1"/>
  <c r="CG1179" i="1"/>
  <c r="CF1179" i="1"/>
  <c r="CD1179" i="1"/>
  <c r="CC1179" i="1"/>
  <c r="CB1179" i="1"/>
  <c r="CA1179" i="1"/>
  <c r="BZ1179" i="1"/>
  <c r="BY1179" i="1"/>
  <c r="BX1179" i="1"/>
  <c r="BU1179" i="1"/>
  <c r="BN1179" i="1"/>
  <c r="BS1179" i="1" s="1"/>
  <c r="BA1179" i="1"/>
  <c r="AZ1179" i="1"/>
  <c r="AY1179" i="1"/>
  <c r="AX1179" i="1"/>
  <c r="AW1179" i="1"/>
  <c r="AV1179" i="1"/>
  <c r="AT1179" i="1"/>
  <c r="AS1179" i="1"/>
  <c r="CS1178" i="1"/>
  <c r="CR1178" i="1"/>
  <c r="CQ1178" i="1"/>
  <c r="CP1178" i="1"/>
  <c r="CO1178" i="1"/>
  <c r="CN1178" i="1"/>
  <c r="CL1178" i="1"/>
  <c r="CK1178" i="1"/>
  <c r="CJ1178" i="1"/>
  <c r="CI1178" i="1"/>
  <c r="CH1178" i="1"/>
  <c r="CG1178" i="1"/>
  <c r="CF1178" i="1"/>
  <c r="CD1178" i="1"/>
  <c r="CC1178" i="1"/>
  <c r="CB1178" i="1"/>
  <c r="CA1178" i="1"/>
  <c r="BZ1178" i="1"/>
  <c r="BY1178" i="1"/>
  <c r="BX1178" i="1"/>
  <c r="BU1178" i="1"/>
  <c r="BN1178" i="1"/>
  <c r="BS1178" i="1" s="1"/>
  <c r="BA1178" i="1"/>
  <c r="AZ1178" i="1"/>
  <c r="AY1178" i="1"/>
  <c r="AX1178" i="1"/>
  <c r="AW1178" i="1"/>
  <c r="AV1178" i="1"/>
  <c r="AT1178" i="1"/>
  <c r="AS1178" i="1"/>
  <c r="CS1177" i="1"/>
  <c r="CR1177" i="1"/>
  <c r="CQ1177" i="1"/>
  <c r="CP1177" i="1"/>
  <c r="CO1177" i="1"/>
  <c r="CN1177" i="1"/>
  <c r="CL1177" i="1"/>
  <c r="CK1177" i="1"/>
  <c r="CJ1177" i="1"/>
  <c r="CI1177" i="1"/>
  <c r="CH1177" i="1"/>
  <c r="CG1177" i="1"/>
  <c r="CF1177" i="1"/>
  <c r="CD1177" i="1"/>
  <c r="CC1177" i="1"/>
  <c r="CB1177" i="1"/>
  <c r="CA1177" i="1"/>
  <c r="BZ1177" i="1"/>
  <c r="BY1177" i="1"/>
  <c r="BX1177" i="1"/>
  <c r="BU1177" i="1"/>
  <c r="BN1177" i="1"/>
  <c r="BS1177" i="1" s="1"/>
  <c r="BA1177" i="1"/>
  <c r="AZ1177" i="1"/>
  <c r="AY1177" i="1"/>
  <c r="AX1177" i="1"/>
  <c r="AW1177" i="1"/>
  <c r="AV1177" i="1"/>
  <c r="AT1177" i="1"/>
  <c r="AS1177" i="1"/>
  <c r="CS1176" i="1"/>
  <c r="CR1176" i="1"/>
  <c r="CQ1176" i="1"/>
  <c r="CP1176" i="1"/>
  <c r="CO1176" i="1"/>
  <c r="CN1176" i="1"/>
  <c r="CL1176" i="1"/>
  <c r="CK1176" i="1"/>
  <c r="CJ1176" i="1"/>
  <c r="CI1176" i="1"/>
  <c r="CH1176" i="1"/>
  <c r="CG1176" i="1"/>
  <c r="CF1176" i="1"/>
  <c r="CD1176" i="1"/>
  <c r="CC1176" i="1"/>
  <c r="CB1176" i="1"/>
  <c r="CA1176" i="1"/>
  <c r="BZ1176" i="1"/>
  <c r="BY1176" i="1"/>
  <c r="BX1176" i="1"/>
  <c r="BU1176" i="1"/>
  <c r="BN1176" i="1"/>
  <c r="BS1176" i="1" s="1"/>
  <c r="BA1176" i="1"/>
  <c r="AZ1176" i="1"/>
  <c r="AY1176" i="1"/>
  <c r="AX1176" i="1"/>
  <c r="AW1176" i="1"/>
  <c r="AV1176" i="1"/>
  <c r="AT1176" i="1"/>
  <c r="AS1176" i="1"/>
  <c r="CS1175" i="1"/>
  <c r="CR1175" i="1"/>
  <c r="CQ1175" i="1"/>
  <c r="CP1175" i="1"/>
  <c r="CO1175" i="1"/>
  <c r="CN1175" i="1"/>
  <c r="CL1175" i="1"/>
  <c r="CK1175" i="1"/>
  <c r="CJ1175" i="1"/>
  <c r="CI1175" i="1"/>
  <c r="CH1175" i="1"/>
  <c r="CG1175" i="1"/>
  <c r="CF1175" i="1"/>
  <c r="CD1175" i="1"/>
  <c r="CC1175" i="1"/>
  <c r="CB1175" i="1"/>
  <c r="CA1175" i="1"/>
  <c r="BZ1175" i="1"/>
  <c r="BY1175" i="1"/>
  <c r="BX1175" i="1"/>
  <c r="BU1175" i="1"/>
  <c r="BN1175" i="1"/>
  <c r="BS1175" i="1" s="1"/>
  <c r="BA1175" i="1"/>
  <c r="AZ1175" i="1"/>
  <c r="AY1175" i="1"/>
  <c r="AX1175" i="1"/>
  <c r="AW1175" i="1"/>
  <c r="AV1175" i="1"/>
  <c r="AT1175" i="1"/>
  <c r="AS1175" i="1"/>
  <c r="CS1174" i="1"/>
  <c r="CR1174" i="1"/>
  <c r="CQ1174" i="1"/>
  <c r="CP1174" i="1"/>
  <c r="CO1174" i="1"/>
  <c r="CN1174" i="1"/>
  <c r="CL1174" i="1"/>
  <c r="CK1174" i="1"/>
  <c r="CJ1174" i="1"/>
  <c r="CI1174" i="1"/>
  <c r="CH1174" i="1"/>
  <c r="CG1174" i="1"/>
  <c r="CF1174" i="1"/>
  <c r="CD1174" i="1"/>
  <c r="CC1174" i="1"/>
  <c r="CB1174" i="1"/>
  <c r="CA1174" i="1"/>
  <c r="BZ1174" i="1"/>
  <c r="BY1174" i="1"/>
  <c r="BX1174" i="1"/>
  <c r="BU1174" i="1"/>
  <c r="BN1174" i="1"/>
  <c r="BS1174" i="1" s="1"/>
  <c r="BA1174" i="1"/>
  <c r="AZ1174" i="1"/>
  <c r="AY1174" i="1"/>
  <c r="AX1174" i="1"/>
  <c r="AW1174" i="1"/>
  <c r="AV1174" i="1"/>
  <c r="AT1174" i="1"/>
  <c r="AS1174" i="1"/>
  <c r="CS1173" i="1"/>
  <c r="CR1173" i="1"/>
  <c r="CQ1173" i="1"/>
  <c r="CP1173" i="1"/>
  <c r="CO1173" i="1"/>
  <c r="CN1173" i="1"/>
  <c r="CL1173" i="1"/>
  <c r="CK1173" i="1"/>
  <c r="CJ1173" i="1"/>
  <c r="CI1173" i="1"/>
  <c r="CH1173" i="1"/>
  <c r="CG1173" i="1"/>
  <c r="CF1173" i="1"/>
  <c r="CD1173" i="1"/>
  <c r="CC1173" i="1"/>
  <c r="CB1173" i="1"/>
  <c r="CA1173" i="1"/>
  <c r="BZ1173" i="1"/>
  <c r="BY1173" i="1"/>
  <c r="BX1173" i="1"/>
  <c r="BU1173" i="1"/>
  <c r="BN1173" i="1"/>
  <c r="BS1173" i="1" s="1"/>
  <c r="BA1173" i="1"/>
  <c r="AZ1173" i="1"/>
  <c r="AY1173" i="1"/>
  <c r="AX1173" i="1"/>
  <c r="AW1173" i="1"/>
  <c r="AV1173" i="1"/>
  <c r="AT1173" i="1"/>
  <c r="AS1173" i="1"/>
  <c r="CS1172" i="1"/>
  <c r="CR1172" i="1"/>
  <c r="CQ1172" i="1"/>
  <c r="CP1172" i="1"/>
  <c r="CO1172" i="1"/>
  <c r="CN1172" i="1"/>
  <c r="CL1172" i="1"/>
  <c r="CK1172" i="1"/>
  <c r="CJ1172" i="1"/>
  <c r="CI1172" i="1"/>
  <c r="CH1172" i="1"/>
  <c r="CG1172" i="1"/>
  <c r="CF1172" i="1"/>
  <c r="CD1172" i="1"/>
  <c r="CC1172" i="1"/>
  <c r="CB1172" i="1"/>
  <c r="CA1172" i="1"/>
  <c r="BZ1172" i="1"/>
  <c r="BY1172" i="1"/>
  <c r="BX1172" i="1"/>
  <c r="BU1172" i="1"/>
  <c r="BN1172" i="1"/>
  <c r="BS1172" i="1" s="1"/>
  <c r="BA1172" i="1"/>
  <c r="AZ1172" i="1"/>
  <c r="AY1172" i="1"/>
  <c r="AX1172" i="1"/>
  <c r="AW1172" i="1"/>
  <c r="AV1172" i="1"/>
  <c r="AT1172" i="1"/>
  <c r="AS1172" i="1"/>
  <c r="CS1171" i="1"/>
  <c r="CR1171" i="1"/>
  <c r="CQ1171" i="1"/>
  <c r="CP1171" i="1"/>
  <c r="CO1171" i="1"/>
  <c r="CN1171" i="1"/>
  <c r="CL1171" i="1"/>
  <c r="CK1171" i="1"/>
  <c r="CJ1171" i="1"/>
  <c r="CI1171" i="1"/>
  <c r="CH1171" i="1"/>
  <c r="CG1171" i="1"/>
  <c r="CF1171" i="1"/>
  <c r="CD1171" i="1"/>
  <c r="CC1171" i="1"/>
  <c r="CB1171" i="1"/>
  <c r="CA1171" i="1"/>
  <c r="BZ1171" i="1"/>
  <c r="BY1171" i="1"/>
  <c r="BX1171" i="1"/>
  <c r="BU1171" i="1"/>
  <c r="BN1171" i="1"/>
  <c r="BS1171" i="1" s="1"/>
  <c r="BA1171" i="1"/>
  <c r="AZ1171" i="1"/>
  <c r="AY1171" i="1"/>
  <c r="AX1171" i="1"/>
  <c r="AW1171" i="1"/>
  <c r="AV1171" i="1"/>
  <c r="AT1171" i="1"/>
  <c r="AS1171" i="1"/>
  <c r="CS1170" i="1"/>
  <c r="CR1170" i="1"/>
  <c r="CQ1170" i="1"/>
  <c r="CP1170" i="1"/>
  <c r="CO1170" i="1"/>
  <c r="CN1170" i="1"/>
  <c r="CL1170" i="1"/>
  <c r="CK1170" i="1"/>
  <c r="CJ1170" i="1"/>
  <c r="CI1170" i="1"/>
  <c r="CH1170" i="1"/>
  <c r="CG1170" i="1"/>
  <c r="CF1170" i="1"/>
  <c r="CD1170" i="1"/>
  <c r="CC1170" i="1"/>
  <c r="CB1170" i="1"/>
  <c r="CA1170" i="1"/>
  <c r="BZ1170" i="1"/>
  <c r="BY1170" i="1"/>
  <c r="BX1170" i="1"/>
  <c r="BU1170" i="1"/>
  <c r="BN1170" i="1"/>
  <c r="BS1170" i="1" s="1"/>
  <c r="BA1170" i="1"/>
  <c r="AZ1170" i="1"/>
  <c r="AY1170" i="1"/>
  <c r="AX1170" i="1"/>
  <c r="AW1170" i="1"/>
  <c r="AV1170" i="1"/>
  <c r="AT1170" i="1"/>
  <c r="AS1170" i="1"/>
  <c r="CS1169" i="1"/>
  <c r="CR1169" i="1"/>
  <c r="CQ1169" i="1"/>
  <c r="CP1169" i="1"/>
  <c r="CO1169" i="1"/>
  <c r="CN1169" i="1"/>
  <c r="CL1169" i="1"/>
  <c r="CK1169" i="1"/>
  <c r="CJ1169" i="1"/>
  <c r="CI1169" i="1"/>
  <c r="CH1169" i="1"/>
  <c r="CG1169" i="1"/>
  <c r="CF1169" i="1"/>
  <c r="CD1169" i="1"/>
  <c r="CC1169" i="1"/>
  <c r="CB1169" i="1"/>
  <c r="CA1169" i="1"/>
  <c r="BZ1169" i="1"/>
  <c r="BY1169" i="1"/>
  <c r="BX1169" i="1"/>
  <c r="BU1169" i="1"/>
  <c r="BN1169" i="1"/>
  <c r="BS1169" i="1" s="1"/>
  <c r="BA1169" i="1"/>
  <c r="AZ1169" i="1"/>
  <c r="AY1169" i="1"/>
  <c r="AX1169" i="1"/>
  <c r="AW1169" i="1"/>
  <c r="AV1169" i="1"/>
  <c r="AT1169" i="1"/>
  <c r="AS1169" i="1"/>
  <c r="CS1168" i="1"/>
  <c r="CR1168" i="1"/>
  <c r="CQ1168" i="1"/>
  <c r="CP1168" i="1"/>
  <c r="CO1168" i="1"/>
  <c r="CN1168" i="1"/>
  <c r="CL1168" i="1"/>
  <c r="CK1168" i="1"/>
  <c r="CJ1168" i="1"/>
  <c r="CI1168" i="1"/>
  <c r="CH1168" i="1"/>
  <c r="CG1168" i="1"/>
  <c r="CF1168" i="1"/>
  <c r="CD1168" i="1"/>
  <c r="CC1168" i="1"/>
  <c r="CB1168" i="1"/>
  <c r="CA1168" i="1"/>
  <c r="BZ1168" i="1"/>
  <c r="BY1168" i="1"/>
  <c r="BX1168" i="1"/>
  <c r="BU1168" i="1"/>
  <c r="BN1168" i="1"/>
  <c r="BS1168" i="1" s="1"/>
  <c r="BA1168" i="1"/>
  <c r="AZ1168" i="1"/>
  <c r="AY1168" i="1"/>
  <c r="AX1168" i="1"/>
  <c r="AW1168" i="1"/>
  <c r="AV1168" i="1"/>
  <c r="AT1168" i="1"/>
  <c r="AS1168" i="1"/>
  <c r="CS1167" i="1"/>
  <c r="CR1167" i="1"/>
  <c r="CQ1167" i="1"/>
  <c r="CP1167" i="1"/>
  <c r="CO1167" i="1"/>
  <c r="CN1167" i="1"/>
  <c r="CL1167" i="1"/>
  <c r="CK1167" i="1"/>
  <c r="CJ1167" i="1"/>
  <c r="CI1167" i="1"/>
  <c r="CH1167" i="1"/>
  <c r="CG1167" i="1"/>
  <c r="CF1167" i="1"/>
  <c r="CD1167" i="1"/>
  <c r="CC1167" i="1"/>
  <c r="CB1167" i="1"/>
  <c r="CA1167" i="1"/>
  <c r="BZ1167" i="1"/>
  <c r="BY1167" i="1"/>
  <c r="BX1167" i="1"/>
  <c r="BU1167" i="1"/>
  <c r="BN1167" i="1"/>
  <c r="BS1167" i="1" s="1"/>
  <c r="BA1167" i="1"/>
  <c r="AZ1167" i="1"/>
  <c r="AY1167" i="1"/>
  <c r="AX1167" i="1"/>
  <c r="AW1167" i="1"/>
  <c r="AV1167" i="1"/>
  <c r="AT1167" i="1"/>
  <c r="AS1167" i="1"/>
  <c r="CS1166" i="1"/>
  <c r="CR1166" i="1"/>
  <c r="CQ1166" i="1"/>
  <c r="CP1166" i="1"/>
  <c r="CO1166" i="1"/>
  <c r="CN1166" i="1"/>
  <c r="CL1166" i="1"/>
  <c r="CK1166" i="1"/>
  <c r="CJ1166" i="1"/>
  <c r="CI1166" i="1"/>
  <c r="CH1166" i="1"/>
  <c r="CG1166" i="1"/>
  <c r="CF1166" i="1"/>
  <c r="CD1166" i="1"/>
  <c r="CC1166" i="1"/>
  <c r="CB1166" i="1"/>
  <c r="CA1166" i="1"/>
  <c r="BZ1166" i="1"/>
  <c r="BY1166" i="1"/>
  <c r="BX1166" i="1"/>
  <c r="BU1166" i="1"/>
  <c r="BN1166" i="1"/>
  <c r="BS1166" i="1" s="1"/>
  <c r="BA1166" i="1"/>
  <c r="AZ1166" i="1"/>
  <c r="AY1166" i="1"/>
  <c r="AX1166" i="1"/>
  <c r="AW1166" i="1"/>
  <c r="AV1166" i="1"/>
  <c r="AT1166" i="1"/>
  <c r="AS1166" i="1"/>
  <c r="CS1165" i="1"/>
  <c r="CR1165" i="1"/>
  <c r="CQ1165" i="1"/>
  <c r="CP1165" i="1"/>
  <c r="CO1165" i="1"/>
  <c r="CN1165" i="1"/>
  <c r="CL1165" i="1"/>
  <c r="CK1165" i="1"/>
  <c r="CJ1165" i="1"/>
  <c r="CI1165" i="1"/>
  <c r="CH1165" i="1"/>
  <c r="CG1165" i="1"/>
  <c r="CF1165" i="1"/>
  <c r="CD1165" i="1"/>
  <c r="CC1165" i="1"/>
  <c r="CB1165" i="1"/>
  <c r="CA1165" i="1"/>
  <c r="BZ1165" i="1"/>
  <c r="BY1165" i="1"/>
  <c r="BX1165" i="1"/>
  <c r="BU1165" i="1"/>
  <c r="BN1165" i="1"/>
  <c r="BS1165" i="1" s="1"/>
  <c r="BA1165" i="1"/>
  <c r="AZ1165" i="1"/>
  <c r="AY1165" i="1"/>
  <c r="AX1165" i="1"/>
  <c r="AW1165" i="1"/>
  <c r="AV1165" i="1"/>
  <c r="AT1165" i="1"/>
  <c r="AS1165" i="1"/>
  <c r="CS1164" i="1"/>
  <c r="CR1164" i="1"/>
  <c r="CQ1164" i="1"/>
  <c r="CP1164" i="1"/>
  <c r="CO1164" i="1"/>
  <c r="CN1164" i="1"/>
  <c r="CL1164" i="1"/>
  <c r="CK1164" i="1"/>
  <c r="CJ1164" i="1"/>
  <c r="CI1164" i="1"/>
  <c r="CH1164" i="1"/>
  <c r="CG1164" i="1"/>
  <c r="CF1164" i="1"/>
  <c r="CD1164" i="1"/>
  <c r="CC1164" i="1"/>
  <c r="CB1164" i="1"/>
  <c r="CA1164" i="1"/>
  <c r="BZ1164" i="1"/>
  <c r="BY1164" i="1"/>
  <c r="BX1164" i="1"/>
  <c r="BU1164" i="1"/>
  <c r="BN1164" i="1"/>
  <c r="BS1164" i="1" s="1"/>
  <c r="BA1164" i="1"/>
  <c r="AZ1164" i="1"/>
  <c r="AY1164" i="1"/>
  <c r="AX1164" i="1"/>
  <c r="AW1164" i="1"/>
  <c r="AV1164" i="1"/>
  <c r="AT1164" i="1"/>
  <c r="AS1164" i="1"/>
  <c r="CS1163" i="1"/>
  <c r="CR1163" i="1"/>
  <c r="CQ1163" i="1"/>
  <c r="CP1163" i="1"/>
  <c r="CO1163" i="1"/>
  <c r="CN1163" i="1"/>
  <c r="CL1163" i="1"/>
  <c r="CK1163" i="1"/>
  <c r="CJ1163" i="1"/>
  <c r="CI1163" i="1"/>
  <c r="CH1163" i="1"/>
  <c r="CG1163" i="1"/>
  <c r="CF1163" i="1"/>
  <c r="CD1163" i="1"/>
  <c r="CC1163" i="1"/>
  <c r="CB1163" i="1"/>
  <c r="CA1163" i="1"/>
  <c r="BZ1163" i="1"/>
  <c r="BY1163" i="1"/>
  <c r="BX1163" i="1"/>
  <c r="BU1163" i="1"/>
  <c r="BN1163" i="1"/>
  <c r="BS1163" i="1" s="1"/>
  <c r="BA1163" i="1"/>
  <c r="AZ1163" i="1"/>
  <c r="AY1163" i="1"/>
  <c r="AX1163" i="1"/>
  <c r="AW1163" i="1"/>
  <c r="AV1163" i="1"/>
  <c r="AT1163" i="1"/>
  <c r="AS1163" i="1"/>
  <c r="CS1162" i="1"/>
  <c r="CR1162" i="1"/>
  <c r="CQ1162" i="1"/>
  <c r="CP1162" i="1"/>
  <c r="CO1162" i="1"/>
  <c r="CN1162" i="1"/>
  <c r="CL1162" i="1"/>
  <c r="CK1162" i="1"/>
  <c r="CJ1162" i="1"/>
  <c r="CI1162" i="1"/>
  <c r="CH1162" i="1"/>
  <c r="CG1162" i="1"/>
  <c r="CF1162" i="1"/>
  <c r="CD1162" i="1"/>
  <c r="CC1162" i="1"/>
  <c r="CB1162" i="1"/>
  <c r="CA1162" i="1"/>
  <c r="BZ1162" i="1"/>
  <c r="BY1162" i="1"/>
  <c r="BX1162" i="1"/>
  <c r="BU1162" i="1"/>
  <c r="BN1162" i="1"/>
  <c r="BS1162" i="1" s="1"/>
  <c r="BA1162" i="1"/>
  <c r="AZ1162" i="1"/>
  <c r="AY1162" i="1"/>
  <c r="AX1162" i="1"/>
  <c r="AW1162" i="1"/>
  <c r="AV1162" i="1"/>
  <c r="AT1162" i="1"/>
  <c r="AS1162" i="1"/>
  <c r="CS1161" i="1"/>
  <c r="CR1161" i="1"/>
  <c r="CQ1161" i="1"/>
  <c r="CP1161" i="1"/>
  <c r="CO1161" i="1"/>
  <c r="CN1161" i="1"/>
  <c r="CL1161" i="1"/>
  <c r="CK1161" i="1"/>
  <c r="CJ1161" i="1"/>
  <c r="CI1161" i="1"/>
  <c r="CH1161" i="1"/>
  <c r="CG1161" i="1"/>
  <c r="CF1161" i="1"/>
  <c r="CD1161" i="1"/>
  <c r="CC1161" i="1"/>
  <c r="CB1161" i="1"/>
  <c r="CA1161" i="1"/>
  <c r="BZ1161" i="1"/>
  <c r="BY1161" i="1"/>
  <c r="BX1161" i="1"/>
  <c r="BU1161" i="1"/>
  <c r="BN1161" i="1"/>
  <c r="BS1161" i="1" s="1"/>
  <c r="BA1161" i="1"/>
  <c r="AZ1161" i="1"/>
  <c r="AY1161" i="1"/>
  <c r="AX1161" i="1"/>
  <c r="AW1161" i="1"/>
  <c r="AV1161" i="1"/>
  <c r="AT1161" i="1"/>
  <c r="AS1161" i="1"/>
  <c r="CS1160" i="1"/>
  <c r="CR1160" i="1"/>
  <c r="CQ1160" i="1"/>
  <c r="CP1160" i="1"/>
  <c r="CO1160" i="1"/>
  <c r="CN1160" i="1"/>
  <c r="CL1160" i="1"/>
  <c r="CK1160" i="1"/>
  <c r="CJ1160" i="1"/>
  <c r="CI1160" i="1"/>
  <c r="CH1160" i="1"/>
  <c r="CG1160" i="1"/>
  <c r="CF1160" i="1"/>
  <c r="CD1160" i="1"/>
  <c r="CC1160" i="1"/>
  <c r="CB1160" i="1"/>
  <c r="CA1160" i="1"/>
  <c r="BZ1160" i="1"/>
  <c r="BY1160" i="1"/>
  <c r="BX1160" i="1"/>
  <c r="BU1160" i="1"/>
  <c r="BN1160" i="1"/>
  <c r="BS1160" i="1" s="1"/>
  <c r="BA1160" i="1"/>
  <c r="AZ1160" i="1"/>
  <c r="AY1160" i="1"/>
  <c r="AX1160" i="1"/>
  <c r="AW1160" i="1"/>
  <c r="AV1160" i="1"/>
  <c r="AT1160" i="1"/>
  <c r="AS1160" i="1"/>
  <c r="CS1159" i="1"/>
  <c r="CR1159" i="1"/>
  <c r="CQ1159" i="1"/>
  <c r="CP1159" i="1"/>
  <c r="CO1159" i="1"/>
  <c r="CN1159" i="1"/>
  <c r="CL1159" i="1"/>
  <c r="CK1159" i="1"/>
  <c r="CJ1159" i="1"/>
  <c r="CI1159" i="1"/>
  <c r="CH1159" i="1"/>
  <c r="CG1159" i="1"/>
  <c r="CF1159" i="1"/>
  <c r="CD1159" i="1"/>
  <c r="CC1159" i="1"/>
  <c r="CB1159" i="1"/>
  <c r="CA1159" i="1"/>
  <c r="BZ1159" i="1"/>
  <c r="BY1159" i="1"/>
  <c r="BX1159" i="1"/>
  <c r="BU1159" i="1"/>
  <c r="BN1159" i="1"/>
  <c r="BS1159" i="1" s="1"/>
  <c r="BA1159" i="1"/>
  <c r="AZ1159" i="1"/>
  <c r="AY1159" i="1"/>
  <c r="AX1159" i="1"/>
  <c r="AW1159" i="1"/>
  <c r="AV1159" i="1"/>
  <c r="AT1159" i="1"/>
  <c r="AS1159" i="1"/>
  <c r="CS1158" i="1"/>
  <c r="CR1158" i="1"/>
  <c r="CQ1158" i="1"/>
  <c r="CP1158" i="1"/>
  <c r="CO1158" i="1"/>
  <c r="CN1158" i="1"/>
  <c r="CL1158" i="1"/>
  <c r="CK1158" i="1"/>
  <c r="CJ1158" i="1"/>
  <c r="CI1158" i="1"/>
  <c r="CH1158" i="1"/>
  <c r="CG1158" i="1"/>
  <c r="CF1158" i="1"/>
  <c r="CD1158" i="1"/>
  <c r="CC1158" i="1"/>
  <c r="CB1158" i="1"/>
  <c r="CA1158" i="1"/>
  <c r="BZ1158" i="1"/>
  <c r="BY1158" i="1"/>
  <c r="BX1158" i="1"/>
  <c r="BU1158" i="1"/>
  <c r="BN1158" i="1"/>
  <c r="BS1158" i="1" s="1"/>
  <c r="BA1158" i="1"/>
  <c r="AZ1158" i="1"/>
  <c r="AY1158" i="1"/>
  <c r="AX1158" i="1"/>
  <c r="AW1158" i="1"/>
  <c r="AV1158" i="1"/>
  <c r="AT1158" i="1"/>
  <c r="AS1158" i="1"/>
  <c r="CS1157" i="1"/>
  <c r="CR1157" i="1"/>
  <c r="CQ1157" i="1"/>
  <c r="CP1157" i="1"/>
  <c r="CO1157" i="1"/>
  <c r="CN1157" i="1"/>
  <c r="CL1157" i="1"/>
  <c r="CK1157" i="1"/>
  <c r="CJ1157" i="1"/>
  <c r="CI1157" i="1"/>
  <c r="CH1157" i="1"/>
  <c r="CG1157" i="1"/>
  <c r="CF1157" i="1"/>
  <c r="CD1157" i="1"/>
  <c r="CC1157" i="1"/>
  <c r="CB1157" i="1"/>
  <c r="CA1157" i="1"/>
  <c r="BZ1157" i="1"/>
  <c r="BY1157" i="1"/>
  <c r="BX1157" i="1"/>
  <c r="BU1157" i="1"/>
  <c r="BN1157" i="1"/>
  <c r="BS1157" i="1" s="1"/>
  <c r="BA1157" i="1"/>
  <c r="AZ1157" i="1"/>
  <c r="AY1157" i="1"/>
  <c r="AX1157" i="1"/>
  <c r="AW1157" i="1"/>
  <c r="AV1157" i="1"/>
  <c r="AT1157" i="1"/>
  <c r="AS1157" i="1"/>
  <c r="CS1156" i="1"/>
  <c r="CR1156" i="1"/>
  <c r="CQ1156" i="1"/>
  <c r="CP1156" i="1"/>
  <c r="CO1156" i="1"/>
  <c r="CN1156" i="1"/>
  <c r="CL1156" i="1"/>
  <c r="CK1156" i="1"/>
  <c r="CJ1156" i="1"/>
  <c r="CI1156" i="1"/>
  <c r="CH1156" i="1"/>
  <c r="CG1156" i="1"/>
  <c r="CF1156" i="1"/>
  <c r="CD1156" i="1"/>
  <c r="CC1156" i="1"/>
  <c r="CB1156" i="1"/>
  <c r="CA1156" i="1"/>
  <c r="BZ1156" i="1"/>
  <c r="BY1156" i="1"/>
  <c r="BX1156" i="1"/>
  <c r="BU1156" i="1"/>
  <c r="BN1156" i="1"/>
  <c r="BS1156" i="1" s="1"/>
  <c r="BA1156" i="1"/>
  <c r="AZ1156" i="1"/>
  <c r="AY1156" i="1"/>
  <c r="AX1156" i="1"/>
  <c r="AW1156" i="1"/>
  <c r="AV1156" i="1"/>
  <c r="AT1156" i="1"/>
  <c r="AS1156" i="1"/>
  <c r="CS1155" i="1"/>
  <c r="CR1155" i="1"/>
  <c r="CQ1155" i="1"/>
  <c r="CP1155" i="1"/>
  <c r="CO1155" i="1"/>
  <c r="CN1155" i="1"/>
  <c r="CL1155" i="1"/>
  <c r="CK1155" i="1"/>
  <c r="CJ1155" i="1"/>
  <c r="CI1155" i="1"/>
  <c r="CH1155" i="1"/>
  <c r="CG1155" i="1"/>
  <c r="CF1155" i="1"/>
  <c r="CD1155" i="1"/>
  <c r="CC1155" i="1"/>
  <c r="CB1155" i="1"/>
  <c r="CA1155" i="1"/>
  <c r="BZ1155" i="1"/>
  <c r="BY1155" i="1"/>
  <c r="BX1155" i="1"/>
  <c r="BU1155" i="1"/>
  <c r="BN1155" i="1"/>
  <c r="BS1155" i="1" s="1"/>
  <c r="BA1155" i="1"/>
  <c r="AZ1155" i="1"/>
  <c r="AY1155" i="1"/>
  <c r="AX1155" i="1"/>
  <c r="AW1155" i="1"/>
  <c r="AV1155" i="1"/>
  <c r="AT1155" i="1"/>
  <c r="AS1155" i="1"/>
  <c r="CS1154" i="1"/>
  <c r="CR1154" i="1"/>
  <c r="CQ1154" i="1"/>
  <c r="CP1154" i="1"/>
  <c r="CO1154" i="1"/>
  <c r="CN1154" i="1"/>
  <c r="CL1154" i="1"/>
  <c r="CK1154" i="1"/>
  <c r="CJ1154" i="1"/>
  <c r="CI1154" i="1"/>
  <c r="CH1154" i="1"/>
  <c r="CG1154" i="1"/>
  <c r="CF1154" i="1"/>
  <c r="CD1154" i="1"/>
  <c r="CC1154" i="1"/>
  <c r="CB1154" i="1"/>
  <c r="CA1154" i="1"/>
  <c r="BZ1154" i="1"/>
  <c r="BY1154" i="1"/>
  <c r="BX1154" i="1"/>
  <c r="BU1154" i="1"/>
  <c r="BN1154" i="1"/>
  <c r="BS1154" i="1" s="1"/>
  <c r="BA1154" i="1"/>
  <c r="AZ1154" i="1"/>
  <c r="AY1154" i="1"/>
  <c r="AX1154" i="1"/>
  <c r="AW1154" i="1"/>
  <c r="AV1154" i="1"/>
  <c r="AT1154" i="1"/>
  <c r="AS1154" i="1"/>
  <c r="CS1153" i="1"/>
  <c r="CR1153" i="1"/>
  <c r="CQ1153" i="1"/>
  <c r="CP1153" i="1"/>
  <c r="CO1153" i="1"/>
  <c r="CN1153" i="1"/>
  <c r="CL1153" i="1"/>
  <c r="CK1153" i="1"/>
  <c r="CJ1153" i="1"/>
  <c r="CI1153" i="1"/>
  <c r="CH1153" i="1"/>
  <c r="CG1153" i="1"/>
  <c r="CF1153" i="1"/>
  <c r="CD1153" i="1"/>
  <c r="CC1153" i="1"/>
  <c r="CB1153" i="1"/>
  <c r="CA1153" i="1"/>
  <c r="BZ1153" i="1"/>
  <c r="BY1153" i="1"/>
  <c r="BX1153" i="1"/>
  <c r="BU1153" i="1"/>
  <c r="BN1153" i="1"/>
  <c r="BS1153" i="1" s="1"/>
  <c r="BA1153" i="1"/>
  <c r="AZ1153" i="1"/>
  <c r="AY1153" i="1"/>
  <c r="AX1153" i="1"/>
  <c r="AW1153" i="1"/>
  <c r="AV1153" i="1"/>
  <c r="AT1153" i="1"/>
  <c r="AS1153" i="1"/>
  <c r="CS1152" i="1"/>
  <c r="CR1152" i="1"/>
  <c r="CQ1152" i="1"/>
  <c r="CP1152" i="1"/>
  <c r="CO1152" i="1"/>
  <c r="CN1152" i="1"/>
  <c r="CL1152" i="1"/>
  <c r="CK1152" i="1"/>
  <c r="CJ1152" i="1"/>
  <c r="CI1152" i="1"/>
  <c r="CH1152" i="1"/>
  <c r="CG1152" i="1"/>
  <c r="CF1152" i="1"/>
  <c r="CD1152" i="1"/>
  <c r="CC1152" i="1"/>
  <c r="CB1152" i="1"/>
  <c r="CA1152" i="1"/>
  <c r="BZ1152" i="1"/>
  <c r="BY1152" i="1"/>
  <c r="BX1152" i="1"/>
  <c r="BU1152" i="1"/>
  <c r="BN1152" i="1"/>
  <c r="BS1152" i="1" s="1"/>
  <c r="BA1152" i="1"/>
  <c r="AZ1152" i="1"/>
  <c r="AY1152" i="1"/>
  <c r="AX1152" i="1"/>
  <c r="AW1152" i="1"/>
  <c r="AV1152" i="1"/>
  <c r="AT1152" i="1"/>
  <c r="AS1152" i="1"/>
  <c r="CS1151" i="1"/>
  <c r="CR1151" i="1"/>
  <c r="CQ1151" i="1"/>
  <c r="CP1151" i="1"/>
  <c r="CO1151" i="1"/>
  <c r="CN1151" i="1"/>
  <c r="CL1151" i="1"/>
  <c r="CK1151" i="1"/>
  <c r="CJ1151" i="1"/>
  <c r="CI1151" i="1"/>
  <c r="CH1151" i="1"/>
  <c r="CG1151" i="1"/>
  <c r="CF1151" i="1"/>
  <c r="CD1151" i="1"/>
  <c r="CC1151" i="1"/>
  <c r="CB1151" i="1"/>
  <c r="CA1151" i="1"/>
  <c r="BZ1151" i="1"/>
  <c r="BY1151" i="1"/>
  <c r="BX1151" i="1"/>
  <c r="BU1151" i="1"/>
  <c r="BN1151" i="1"/>
  <c r="BS1151" i="1" s="1"/>
  <c r="BA1151" i="1"/>
  <c r="AZ1151" i="1"/>
  <c r="AY1151" i="1"/>
  <c r="AX1151" i="1"/>
  <c r="AW1151" i="1"/>
  <c r="AV1151" i="1"/>
  <c r="AT1151" i="1"/>
  <c r="AS1151" i="1"/>
  <c r="CS1150" i="1"/>
  <c r="CR1150" i="1"/>
  <c r="CQ1150" i="1"/>
  <c r="CP1150" i="1"/>
  <c r="CO1150" i="1"/>
  <c r="CN1150" i="1"/>
  <c r="CL1150" i="1"/>
  <c r="CK1150" i="1"/>
  <c r="CJ1150" i="1"/>
  <c r="CI1150" i="1"/>
  <c r="CH1150" i="1"/>
  <c r="CG1150" i="1"/>
  <c r="CF1150" i="1"/>
  <c r="CD1150" i="1"/>
  <c r="CC1150" i="1"/>
  <c r="CB1150" i="1"/>
  <c r="CA1150" i="1"/>
  <c r="BZ1150" i="1"/>
  <c r="BY1150" i="1"/>
  <c r="BX1150" i="1"/>
  <c r="BU1150" i="1"/>
  <c r="BN1150" i="1"/>
  <c r="BS1150" i="1" s="1"/>
  <c r="BA1150" i="1"/>
  <c r="AZ1150" i="1"/>
  <c r="AY1150" i="1"/>
  <c r="AX1150" i="1"/>
  <c r="AW1150" i="1"/>
  <c r="AV1150" i="1"/>
  <c r="AT1150" i="1"/>
  <c r="AS1150" i="1"/>
  <c r="CS1149" i="1"/>
  <c r="CR1149" i="1"/>
  <c r="CQ1149" i="1"/>
  <c r="CP1149" i="1"/>
  <c r="CO1149" i="1"/>
  <c r="CN1149" i="1"/>
  <c r="CL1149" i="1"/>
  <c r="CK1149" i="1"/>
  <c r="CJ1149" i="1"/>
  <c r="CI1149" i="1"/>
  <c r="CH1149" i="1"/>
  <c r="CG1149" i="1"/>
  <c r="CF1149" i="1"/>
  <c r="CD1149" i="1"/>
  <c r="CC1149" i="1"/>
  <c r="CB1149" i="1"/>
  <c r="CA1149" i="1"/>
  <c r="BZ1149" i="1"/>
  <c r="BY1149" i="1"/>
  <c r="BX1149" i="1"/>
  <c r="BU1149" i="1"/>
  <c r="BN1149" i="1"/>
  <c r="BS1149" i="1" s="1"/>
  <c r="BA1149" i="1"/>
  <c r="AZ1149" i="1"/>
  <c r="AY1149" i="1"/>
  <c r="AX1149" i="1"/>
  <c r="AW1149" i="1"/>
  <c r="AV1149" i="1"/>
  <c r="AT1149" i="1"/>
  <c r="AS1149" i="1"/>
  <c r="CS1148" i="1"/>
  <c r="CR1148" i="1"/>
  <c r="CQ1148" i="1"/>
  <c r="CP1148" i="1"/>
  <c r="CO1148" i="1"/>
  <c r="CN1148" i="1"/>
  <c r="CL1148" i="1"/>
  <c r="CK1148" i="1"/>
  <c r="CJ1148" i="1"/>
  <c r="CI1148" i="1"/>
  <c r="CH1148" i="1"/>
  <c r="CG1148" i="1"/>
  <c r="CF1148" i="1"/>
  <c r="CD1148" i="1"/>
  <c r="CC1148" i="1"/>
  <c r="CB1148" i="1"/>
  <c r="CA1148" i="1"/>
  <c r="BZ1148" i="1"/>
  <c r="BY1148" i="1"/>
  <c r="BX1148" i="1"/>
  <c r="BU1148" i="1"/>
  <c r="BN1148" i="1"/>
  <c r="BS1148" i="1" s="1"/>
  <c r="BA1148" i="1"/>
  <c r="AZ1148" i="1"/>
  <c r="AY1148" i="1"/>
  <c r="AX1148" i="1"/>
  <c r="AW1148" i="1"/>
  <c r="AV1148" i="1"/>
  <c r="AT1148" i="1"/>
  <c r="AS1148" i="1"/>
  <c r="CS1147" i="1"/>
  <c r="CR1147" i="1"/>
  <c r="CQ1147" i="1"/>
  <c r="CP1147" i="1"/>
  <c r="CO1147" i="1"/>
  <c r="CN1147" i="1"/>
  <c r="CL1147" i="1"/>
  <c r="CK1147" i="1"/>
  <c r="CJ1147" i="1"/>
  <c r="CI1147" i="1"/>
  <c r="CH1147" i="1"/>
  <c r="CG1147" i="1"/>
  <c r="CF1147" i="1"/>
  <c r="CD1147" i="1"/>
  <c r="CC1147" i="1"/>
  <c r="CB1147" i="1"/>
  <c r="CA1147" i="1"/>
  <c r="BZ1147" i="1"/>
  <c r="BY1147" i="1"/>
  <c r="BX1147" i="1"/>
  <c r="BU1147" i="1"/>
  <c r="BN1147" i="1"/>
  <c r="BS1147" i="1" s="1"/>
  <c r="BA1147" i="1"/>
  <c r="AZ1147" i="1"/>
  <c r="AY1147" i="1"/>
  <c r="AX1147" i="1"/>
  <c r="AW1147" i="1"/>
  <c r="AV1147" i="1"/>
  <c r="AT1147" i="1"/>
  <c r="AS1147" i="1"/>
  <c r="CS1146" i="1"/>
  <c r="CR1146" i="1"/>
  <c r="CQ1146" i="1"/>
  <c r="CP1146" i="1"/>
  <c r="CO1146" i="1"/>
  <c r="CN1146" i="1"/>
  <c r="CL1146" i="1"/>
  <c r="CK1146" i="1"/>
  <c r="CJ1146" i="1"/>
  <c r="CI1146" i="1"/>
  <c r="CH1146" i="1"/>
  <c r="CG1146" i="1"/>
  <c r="CF1146" i="1"/>
  <c r="CD1146" i="1"/>
  <c r="CC1146" i="1"/>
  <c r="CB1146" i="1"/>
  <c r="CA1146" i="1"/>
  <c r="BZ1146" i="1"/>
  <c r="BY1146" i="1"/>
  <c r="BX1146" i="1"/>
  <c r="BU1146" i="1"/>
  <c r="BN1146" i="1"/>
  <c r="BS1146" i="1" s="1"/>
  <c r="BA1146" i="1"/>
  <c r="AZ1146" i="1"/>
  <c r="AY1146" i="1"/>
  <c r="AX1146" i="1"/>
  <c r="AW1146" i="1"/>
  <c r="AV1146" i="1"/>
  <c r="AT1146" i="1"/>
  <c r="AS1146" i="1"/>
  <c r="CS1145" i="1"/>
  <c r="CR1145" i="1"/>
  <c r="CQ1145" i="1"/>
  <c r="CP1145" i="1"/>
  <c r="CO1145" i="1"/>
  <c r="CN1145" i="1"/>
  <c r="CL1145" i="1"/>
  <c r="CK1145" i="1"/>
  <c r="CJ1145" i="1"/>
  <c r="CI1145" i="1"/>
  <c r="CH1145" i="1"/>
  <c r="CG1145" i="1"/>
  <c r="CF1145" i="1"/>
  <c r="CD1145" i="1"/>
  <c r="CC1145" i="1"/>
  <c r="CB1145" i="1"/>
  <c r="CA1145" i="1"/>
  <c r="BZ1145" i="1"/>
  <c r="BY1145" i="1"/>
  <c r="BX1145" i="1"/>
  <c r="BU1145" i="1"/>
  <c r="BN1145" i="1"/>
  <c r="BS1145" i="1" s="1"/>
  <c r="BA1145" i="1"/>
  <c r="AZ1145" i="1"/>
  <c r="AY1145" i="1"/>
  <c r="AX1145" i="1"/>
  <c r="AW1145" i="1"/>
  <c r="AV1145" i="1"/>
  <c r="AT1145" i="1"/>
  <c r="AS1145" i="1"/>
  <c r="CS1144" i="1"/>
  <c r="CR1144" i="1"/>
  <c r="CQ1144" i="1"/>
  <c r="CP1144" i="1"/>
  <c r="CO1144" i="1"/>
  <c r="CN1144" i="1"/>
  <c r="CL1144" i="1"/>
  <c r="CK1144" i="1"/>
  <c r="CJ1144" i="1"/>
  <c r="CI1144" i="1"/>
  <c r="CH1144" i="1"/>
  <c r="CG1144" i="1"/>
  <c r="CF1144" i="1"/>
  <c r="CD1144" i="1"/>
  <c r="CC1144" i="1"/>
  <c r="CB1144" i="1"/>
  <c r="CA1144" i="1"/>
  <c r="BZ1144" i="1"/>
  <c r="BY1144" i="1"/>
  <c r="BX1144" i="1"/>
  <c r="BU1144" i="1"/>
  <c r="BN1144" i="1"/>
  <c r="BS1144" i="1" s="1"/>
  <c r="BA1144" i="1"/>
  <c r="AZ1144" i="1"/>
  <c r="AY1144" i="1"/>
  <c r="AX1144" i="1"/>
  <c r="AW1144" i="1"/>
  <c r="AV1144" i="1"/>
  <c r="AT1144" i="1"/>
  <c r="AS1144" i="1"/>
  <c r="CS1143" i="1"/>
  <c r="CR1143" i="1"/>
  <c r="CQ1143" i="1"/>
  <c r="CP1143" i="1"/>
  <c r="CO1143" i="1"/>
  <c r="CN1143" i="1"/>
  <c r="CL1143" i="1"/>
  <c r="CK1143" i="1"/>
  <c r="CJ1143" i="1"/>
  <c r="CI1143" i="1"/>
  <c r="CH1143" i="1"/>
  <c r="CG1143" i="1"/>
  <c r="CF1143" i="1"/>
  <c r="CD1143" i="1"/>
  <c r="CC1143" i="1"/>
  <c r="CB1143" i="1"/>
  <c r="CA1143" i="1"/>
  <c r="BZ1143" i="1"/>
  <c r="BY1143" i="1"/>
  <c r="BX1143" i="1"/>
  <c r="BU1143" i="1"/>
  <c r="BN1143" i="1"/>
  <c r="BS1143" i="1" s="1"/>
  <c r="BA1143" i="1"/>
  <c r="AZ1143" i="1"/>
  <c r="AY1143" i="1"/>
  <c r="AX1143" i="1"/>
  <c r="AW1143" i="1"/>
  <c r="AV1143" i="1"/>
  <c r="AT1143" i="1"/>
  <c r="AS1143" i="1"/>
  <c r="CS1142" i="1"/>
  <c r="CR1142" i="1"/>
  <c r="CQ1142" i="1"/>
  <c r="CP1142" i="1"/>
  <c r="CO1142" i="1"/>
  <c r="CN1142" i="1"/>
  <c r="CL1142" i="1"/>
  <c r="CK1142" i="1"/>
  <c r="CJ1142" i="1"/>
  <c r="CI1142" i="1"/>
  <c r="CH1142" i="1"/>
  <c r="CG1142" i="1"/>
  <c r="CF1142" i="1"/>
  <c r="CD1142" i="1"/>
  <c r="CC1142" i="1"/>
  <c r="CB1142" i="1"/>
  <c r="CA1142" i="1"/>
  <c r="BZ1142" i="1"/>
  <c r="BY1142" i="1"/>
  <c r="BX1142" i="1"/>
  <c r="BU1142" i="1"/>
  <c r="BN1142" i="1"/>
  <c r="BS1142" i="1" s="1"/>
  <c r="BA1142" i="1"/>
  <c r="AZ1142" i="1"/>
  <c r="AY1142" i="1"/>
  <c r="AX1142" i="1"/>
  <c r="AW1142" i="1"/>
  <c r="AV1142" i="1"/>
  <c r="AT1142" i="1"/>
  <c r="AS1142" i="1"/>
  <c r="CS1141" i="1"/>
  <c r="CR1141" i="1"/>
  <c r="CQ1141" i="1"/>
  <c r="CP1141" i="1"/>
  <c r="CO1141" i="1"/>
  <c r="CN1141" i="1"/>
  <c r="CL1141" i="1"/>
  <c r="CK1141" i="1"/>
  <c r="CJ1141" i="1"/>
  <c r="CI1141" i="1"/>
  <c r="CH1141" i="1"/>
  <c r="CG1141" i="1"/>
  <c r="CF1141" i="1"/>
  <c r="CD1141" i="1"/>
  <c r="CC1141" i="1"/>
  <c r="CB1141" i="1"/>
  <c r="CA1141" i="1"/>
  <c r="BZ1141" i="1"/>
  <c r="BY1141" i="1"/>
  <c r="BX1141" i="1"/>
  <c r="BU1141" i="1"/>
  <c r="BN1141" i="1"/>
  <c r="BS1141" i="1" s="1"/>
  <c r="BA1141" i="1"/>
  <c r="AZ1141" i="1"/>
  <c r="AY1141" i="1"/>
  <c r="AX1141" i="1"/>
  <c r="AW1141" i="1"/>
  <c r="AV1141" i="1"/>
  <c r="AT1141" i="1"/>
  <c r="AS1141" i="1"/>
  <c r="CS1140" i="1"/>
  <c r="CR1140" i="1"/>
  <c r="CQ1140" i="1"/>
  <c r="CP1140" i="1"/>
  <c r="CO1140" i="1"/>
  <c r="CN1140" i="1"/>
  <c r="CL1140" i="1"/>
  <c r="CK1140" i="1"/>
  <c r="CJ1140" i="1"/>
  <c r="CI1140" i="1"/>
  <c r="CH1140" i="1"/>
  <c r="CG1140" i="1"/>
  <c r="CF1140" i="1"/>
  <c r="CD1140" i="1"/>
  <c r="CC1140" i="1"/>
  <c r="CB1140" i="1"/>
  <c r="CA1140" i="1"/>
  <c r="BZ1140" i="1"/>
  <c r="BY1140" i="1"/>
  <c r="BX1140" i="1"/>
  <c r="BU1140" i="1"/>
  <c r="BN1140" i="1"/>
  <c r="BS1140" i="1" s="1"/>
  <c r="BA1140" i="1"/>
  <c r="AZ1140" i="1"/>
  <c r="AY1140" i="1"/>
  <c r="AX1140" i="1"/>
  <c r="AW1140" i="1"/>
  <c r="AV1140" i="1"/>
  <c r="AT1140" i="1"/>
  <c r="AS1140" i="1"/>
  <c r="CS1139" i="1"/>
  <c r="CR1139" i="1"/>
  <c r="CQ1139" i="1"/>
  <c r="CP1139" i="1"/>
  <c r="CO1139" i="1"/>
  <c r="CN1139" i="1"/>
  <c r="CL1139" i="1"/>
  <c r="CK1139" i="1"/>
  <c r="CJ1139" i="1"/>
  <c r="CI1139" i="1"/>
  <c r="CH1139" i="1"/>
  <c r="CG1139" i="1"/>
  <c r="CF1139" i="1"/>
  <c r="CD1139" i="1"/>
  <c r="CC1139" i="1"/>
  <c r="CB1139" i="1"/>
  <c r="CA1139" i="1"/>
  <c r="BZ1139" i="1"/>
  <c r="BY1139" i="1"/>
  <c r="BX1139" i="1"/>
  <c r="BU1139" i="1"/>
  <c r="BN1139" i="1"/>
  <c r="BS1139" i="1" s="1"/>
  <c r="BA1139" i="1"/>
  <c r="AZ1139" i="1"/>
  <c r="AY1139" i="1"/>
  <c r="AX1139" i="1"/>
  <c r="AW1139" i="1"/>
  <c r="AV1139" i="1"/>
  <c r="AT1139" i="1"/>
  <c r="AS1139" i="1"/>
  <c r="CS1138" i="1"/>
  <c r="CR1138" i="1"/>
  <c r="CQ1138" i="1"/>
  <c r="CP1138" i="1"/>
  <c r="CO1138" i="1"/>
  <c r="CN1138" i="1"/>
  <c r="CL1138" i="1"/>
  <c r="CK1138" i="1"/>
  <c r="CJ1138" i="1"/>
  <c r="CI1138" i="1"/>
  <c r="CH1138" i="1"/>
  <c r="CG1138" i="1"/>
  <c r="CF1138" i="1"/>
  <c r="CD1138" i="1"/>
  <c r="CC1138" i="1"/>
  <c r="CB1138" i="1"/>
  <c r="CA1138" i="1"/>
  <c r="BZ1138" i="1"/>
  <c r="BY1138" i="1"/>
  <c r="BX1138" i="1"/>
  <c r="BU1138" i="1"/>
  <c r="BN1138" i="1"/>
  <c r="BS1138" i="1" s="1"/>
  <c r="BA1138" i="1"/>
  <c r="AZ1138" i="1"/>
  <c r="AY1138" i="1"/>
  <c r="AX1138" i="1"/>
  <c r="AW1138" i="1"/>
  <c r="AV1138" i="1"/>
  <c r="AT1138" i="1"/>
  <c r="AS1138" i="1"/>
  <c r="CS1137" i="1"/>
  <c r="CR1137" i="1"/>
  <c r="CQ1137" i="1"/>
  <c r="CP1137" i="1"/>
  <c r="CO1137" i="1"/>
  <c r="CN1137" i="1"/>
  <c r="CL1137" i="1"/>
  <c r="CK1137" i="1"/>
  <c r="CJ1137" i="1"/>
  <c r="CI1137" i="1"/>
  <c r="CH1137" i="1"/>
  <c r="CG1137" i="1"/>
  <c r="CF1137" i="1"/>
  <c r="CD1137" i="1"/>
  <c r="CC1137" i="1"/>
  <c r="CB1137" i="1"/>
  <c r="CA1137" i="1"/>
  <c r="BZ1137" i="1"/>
  <c r="BY1137" i="1"/>
  <c r="BX1137" i="1"/>
  <c r="BU1137" i="1"/>
  <c r="BN1137" i="1"/>
  <c r="BS1137" i="1" s="1"/>
  <c r="BA1137" i="1"/>
  <c r="AZ1137" i="1"/>
  <c r="AY1137" i="1"/>
  <c r="AX1137" i="1"/>
  <c r="AW1137" i="1"/>
  <c r="AV1137" i="1"/>
  <c r="AT1137" i="1"/>
  <c r="AS1137" i="1"/>
  <c r="CS1136" i="1"/>
  <c r="CR1136" i="1"/>
  <c r="CQ1136" i="1"/>
  <c r="CP1136" i="1"/>
  <c r="CO1136" i="1"/>
  <c r="CN1136" i="1"/>
  <c r="CL1136" i="1"/>
  <c r="CK1136" i="1"/>
  <c r="CJ1136" i="1"/>
  <c r="CI1136" i="1"/>
  <c r="CH1136" i="1"/>
  <c r="CG1136" i="1"/>
  <c r="CF1136" i="1"/>
  <c r="CD1136" i="1"/>
  <c r="CC1136" i="1"/>
  <c r="CB1136" i="1"/>
  <c r="CA1136" i="1"/>
  <c r="BZ1136" i="1"/>
  <c r="BY1136" i="1"/>
  <c r="BX1136" i="1"/>
  <c r="BU1136" i="1"/>
  <c r="BN1136" i="1"/>
  <c r="BS1136" i="1" s="1"/>
  <c r="BA1136" i="1"/>
  <c r="AZ1136" i="1"/>
  <c r="AY1136" i="1"/>
  <c r="AX1136" i="1"/>
  <c r="AW1136" i="1"/>
  <c r="AV1136" i="1"/>
  <c r="AT1136" i="1"/>
  <c r="AS1136" i="1"/>
  <c r="CS1135" i="1"/>
  <c r="CR1135" i="1"/>
  <c r="CQ1135" i="1"/>
  <c r="CP1135" i="1"/>
  <c r="CO1135" i="1"/>
  <c r="CN1135" i="1"/>
  <c r="CL1135" i="1"/>
  <c r="CK1135" i="1"/>
  <c r="CJ1135" i="1"/>
  <c r="CI1135" i="1"/>
  <c r="CH1135" i="1"/>
  <c r="CG1135" i="1"/>
  <c r="CF1135" i="1"/>
  <c r="CD1135" i="1"/>
  <c r="CC1135" i="1"/>
  <c r="CB1135" i="1"/>
  <c r="CA1135" i="1"/>
  <c r="BZ1135" i="1"/>
  <c r="BY1135" i="1"/>
  <c r="BX1135" i="1"/>
  <c r="BU1135" i="1"/>
  <c r="BN1135" i="1"/>
  <c r="BS1135" i="1" s="1"/>
  <c r="BA1135" i="1"/>
  <c r="AZ1135" i="1"/>
  <c r="AY1135" i="1"/>
  <c r="AX1135" i="1"/>
  <c r="AW1135" i="1"/>
  <c r="AV1135" i="1"/>
  <c r="AT1135" i="1"/>
  <c r="AS1135" i="1"/>
  <c r="CS1134" i="1"/>
  <c r="CR1134" i="1"/>
  <c r="CQ1134" i="1"/>
  <c r="CP1134" i="1"/>
  <c r="CO1134" i="1"/>
  <c r="CN1134" i="1"/>
  <c r="CL1134" i="1"/>
  <c r="CK1134" i="1"/>
  <c r="CJ1134" i="1"/>
  <c r="CI1134" i="1"/>
  <c r="CH1134" i="1"/>
  <c r="CG1134" i="1"/>
  <c r="CF1134" i="1"/>
  <c r="CD1134" i="1"/>
  <c r="CC1134" i="1"/>
  <c r="CB1134" i="1"/>
  <c r="CA1134" i="1"/>
  <c r="BZ1134" i="1"/>
  <c r="BY1134" i="1"/>
  <c r="BX1134" i="1"/>
  <c r="BU1134" i="1"/>
  <c r="BN1134" i="1"/>
  <c r="BS1134" i="1" s="1"/>
  <c r="BA1134" i="1"/>
  <c r="AZ1134" i="1"/>
  <c r="AY1134" i="1"/>
  <c r="AX1134" i="1"/>
  <c r="AW1134" i="1"/>
  <c r="AV1134" i="1"/>
  <c r="AT1134" i="1"/>
  <c r="AS1134" i="1"/>
  <c r="CS1133" i="1"/>
  <c r="CR1133" i="1"/>
  <c r="CQ1133" i="1"/>
  <c r="CP1133" i="1"/>
  <c r="CO1133" i="1"/>
  <c r="CN1133" i="1"/>
  <c r="CL1133" i="1"/>
  <c r="CK1133" i="1"/>
  <c r="CJ1133" i="1"/>
  <c r="CI1133" i="1"/>
  <c r="CH1133" i="1"/>
  <c r="CG1133" i="1"/>
  <c r="CF1133" i="1"/>
  <c r="CD1133" i="1"/>
  <c r="CC1133" i="1"/>
  <c r="CB1133" i="1"/>
  <c r="CA1133" i="1"/>
  <c r="BZ1133" i="1"/>
  <c r="BY1133" i="1"/>
  <c r="BX1133" i="1"/>
  <c r="BU1133" i="1"/>
  <c r="BN1133" i="1"/>
  <c r="BS1133" i="1" s="1"/>
  <c r="BA1133" i="1"/>
  <c r="AZ1133" i="1"/>
  <c r="AY1133" i="1"/>
  <c r="AX1133" i="1"/>
  <c r="AW1133" i="1"/>
  <c r="AV1133" i="1"/>
  <c r="AT1133" i="1"/>
  <c r="AS1133" i="1"/>
  <c r="CS1132" i="1"/>
  <c r="CR1132" i="1"/>
  <c r="CQ1132" i="1"/>
  <c r="CP1132" i="1"/>
  <c r="CO1132" i="1"/>
  <c r="CN1132" i="1"/>
  <c r="CL1132" i="1"/>
  <c r="CK1132" i="1"/>
  <c r="CJ1132" i="1"/>
  <c r="CI1132" i="1"/>
  <c r="CH1132" i="1"/>
  <c r="CG1132" i="1"/>
  <c r="CF1132" i="1"/>
  <c r="CD1132" i="1"/>
  <c r="CC1132" i="1"/>
  <c r="CB1132" i="1"/>
  <c r="CA1132" i="1"/>
  <c r="BZ1132" i="1"/>
  <c r="BY1132" i="1"/>
  <c r="BX1132" i="1"/>
  <c r="BU1132" i="1"/>
  <c r="BN1132" i="1"/>
  <c r="BS1132" i="1" s="1"/>
  <c r="BA1132" i="1"/>
  <c r="AZ1132" i="1"/>
  <c r="AY1132" i="1"/>
  <c r="AX1132" i="1"/>
  <c r="AW1132" i="1"/>
  <c r="AV1132" i="1"/>
  <c r="AT1132" i="1"/>
  <c r="AS1132" i="1"/>
  <c r="CS1131" i="1"/>
  <c r="CR1131" i="1"/>
  <c r="CQ1131" i="1"/>
  <c r="CP1131" i="1"/>
  <c r="CO1131" i="1"/>
  <c r="CN1131" i="1"/>
  <c r="CL1131" i="1"/>
  <c r="CK1131" i="1"/>
  <c r="CJ1131" i="1"/>
  <c r="CI1131" i="1"/>
  <c r="CH1131" i="1"/>
  <c r="CG1131" i="1"/>
  <c r="CF1131" i="1"/>
  <c r="CD1131" i="1"/>
  <c r="CC1131" i="1"/>
  <c r="CB1131" i="1"/>
  <c r="CA1131" i="1"/>
  <c r="BZ1131" i="1"/>
  <c r="BY1131" i="1"/>
  <c r="BX1131" i="1"/>
  <c r="BU1131" i="1"/>
  <c r="BN1131" i="1"/>
  <c r="BS1131" i="1" s="1"/>
  <c r="BA1131" i="1"/>
  <c r="AZ1131" i="1"/>
  <c r="AY1131" i="1"/>
  <c r="AX1131" i="1"/>
  <c r="AW1131" i="1"/>
  <c r="AV1131" i="1"/>
  <c r="AT1131" i="1"/>
  <c r="AS1131" i="1"/>
  <c r="CS1130" i="1"/>
  <c r="CR1130" i="1"/>
  <c r="CQ1130" i="1"/>
  <c r="CP1130" i="1"/>
  <c r="CO1130" i="1"/>
  <c r="CN1130" i="1"/>
  <c r="CL1130" i="1"/>
  <c r="CK1130" i="1"/>
  <c r="CJ1130" i="1"/>
  <c r="CI1130" i="1"/>
  <c r="CH1130" i="1"/>
  <c r="CG1130" i="1"/>
  <c r="CF1130" i="1"/>
  <c r="CD1130" i="1"/>
  <c r="CC1130" i="1"/>
  <c r="CB1130" i="1"/>
  <c r="CA1130" i="1"/>
  <c r="BZ1130" i="1"/>
  <c r="BY1130" i="1"/>
  <c r="BX1130" i="1"/>
  <c r="BU1130" i="1"/>
  <c r="BN1130" i="1"/>
  <c r="BS1130" i="1" s="1"/>
  <c r="BA1130" i="1"/>
  <c r="AZ1130" i="1"/>
  <c r="AY1130" i="1"/>
  <c r="AX1130" i="1"/>
  <c r="AW1130" i="1"/>
  <c r="AV1130" i="1"/>
  <c r="AT1130" i="1"/>
  <c r="AS1130" i="1"/>
  <c r="CS1129" i="1"/>
  <c r="CR1129" i="1"/>
  <c r="CQ1129" i="1"/>
  <c r="CP1129" i="1"/>
  <c r="CO1129" i="1"/>
  <c r="CN1129" i="1"/>
  <c r="CL1129" i="1"/>
  <c r="CK1129" i="1"/>
  <c r="CJ1129" i="1"/>
  <c r="CI1129" i="1"/>
  <c r="CH1129" i="1"/>
  <c r="CG1129" i="1"/>
  <c r="CF1129" i="1"/>
  <c r="CD1129" i="1"/>
  <c r="CC1129" i="1"/>
  <c r="CB1129" i="1"/>
  <c r="CA1129" i="1"/>
  <c r="BZ1129" i="1"/>
  <c r="BY1129" i="1"/>
  <c r="BX1129" i="1"/>
  <c r="BU1129" i="1"/>
  <c r="BN1129" i="1"/>
  <c r="BS1129" i="1" s="1"/>
  <c r="BA1129" i="1"/>
  <c r="AZ1129" i="1"/>
  <c r="AY1129" i="1"/>
  <c r="AX1129" i="1"/>
  <c r="AW1129" i="1"/>
  <c r="AV1129" i="1"/>
  <c r="AT1129" i="1"/>
  <c r="AS1129" i="1"/>
  <c r="CS1128" i="1"/>
  <c r="CR1128" i="1"/>
  <c r="CQ1128" i="1"/>
  <c r="CP1128" i="1"/>
  <c r="CO1128" i="1"/>
  <c r="CN1128" i="1"/>
  <c r="CL1128" i="1"/>
  <c r="CK1128" i="1"/>
  <c r="CJ1128" i="1"/>
  <c r="CI1128" i="1"/>
  <c r="CH1128" i="1"/>
  <c r="CG1128" i="1"/>
  <c r="CF1128" i="1"/>
  <c r="CD1128" i="1"/>
  <c r="CC1128" i="1"/>
  <c r="CB1128" i="1"/>
  <c r="CA1128" i="1"/>
  <c r="BZ1128" i="1"/>
  <c r="BY1128" i="1"/>
  <c r="BX1128" i="1"/>
  <c r="BU1128" i="1"/>
  <c r="BN1128" i="1"/>
  <c r="BS1128" i="1" s="1"/>
  <c r="BA1128" i="1"/>
  <c r="AZ1128" i="1"/>
  <c r="AY1128" i="1"/>
  <c r="AX1128" i="1"/>
  <c r="AW1128" i="1"/>
  <c r="AV1128" i="1"/>
  <c r="AT1128" i="1"/>
  <c r="AS1128" i="1"/>
  <c r="CS1127" i="1"/>
  <c r="CR1127" i="1"/>
  <c r="CQ1127" i="1"/>
  <c r="CP1127" i="1"/>
  <c r="CO1127" i="1"/>
  <c r="CN1127" i="1"/>
  <c r="CL1127" i="1"/>
  <c r="CK1127" i="1"/>
  <c r="CJ1127" i="1"/>
  <c r="CI1127" i="1"/>
  <c r="CH1127" i="1"/>
  <c r="CG1127" i="1"/>
  <c r="CF1127" i="1"/>
  <c r="CD1127" i="1"/>
  <c r="CC1127" i="1"/>
  <c r="CB1127" i="1"/>
  <c r="CA1127" i="1"/>
  <c r="BZ1127" i="1"/>
  <c r="BY1127" i="1"/>
  <c r="BX1127" i="1"/>
  <c r="BU1127" i="1"/>
  <c r="BN1127" i="1"/>
  <c r="BS1127" i="1" s="1"/>
  <c r="BA1127" i="1"/>
  <c r="AZ1127" i="1"/>
  <c r="AY1127" i="1"/>
  <c r="AX1127" i="1"/>
  <c r="AW1127" i="1"/>
  <c r="AV1127" i="1"/>
  <c r="AT1127" i="1"/>
  <c r="AS1127" i="1"/>
  <c r="CS1126" i="1"/>
  <c r="CR1126" i="1"/>
  <c r="CQ1126" i="1"/>
  <c r="CP1126" i="1"/>
  <c r="CO1126" i="1"/>
  <c r="CN1126" i="1"/>
  <c r="CL1126" i="1"/>
  <c r="CK1126" i="1"/>
  <c r="CJ1126" i="1"/>
  <c r="CI1126" i="1"/>
  <c r="CH1126" i="1"/>
  <c r="CG1126" i="1"/>
  <c r="CF1126" i="1"/>
  <c r="CD1126" i="1"/>
  <c r="CC1126" i="1"/>
  <c r="CB1126" i="1"/>
  <c r="CA1126" i="1"/>
  <c r="BZ1126" i="1"/>
  <c r="BY1126" i="1"/>
  <c r="BX1126" i="1"/>
  <c r="BU1126" i="1"/>
  <c r="BN1126" i="1"/>
  <c r="BS1126" i="1" s="1"/>
  <c r="BA1126" i="1"/>
  <c r="AZ1126" i="1"/>
  <c r="AY1126" i="1"/>
  <c r="AX1126" i="1"/>
  <c r="AW1126" i="1"/>
  <c r="AV1126" i="1"/>
  <c r="AT1126" i="1"/>
  <c r="AS1126" i="1"/>
  <c r="CS1125" i="1"/>
  <c r="CR1125" i="1"/>
  <c r="CQ1125" i="1"/>
  <c r="CP1125" i="1"/>
  <c r="CO1125" i="1"/>
  <c r="CN1125" i="1"/>
  <c r="CL1125" i="1"/>
  <c r="CK1125" i="1"/>
  <c r="CJ1125" i="1"/>
  <c r="CI1125" i="1"/>
  <c r="CH1125" i="1"/>
  <c r="CG1125" i="1"/>
  <c r="CF1125" i="1"/>
  <c r="CD1125" i="1"/>
  <c r="CC1125" i="1"/>
  <c r="CB1125" i="1"/>
  <c r="CA1125" i="1"/>
  <c r="BZ1125" i="1"/>
  <c r="BY1125" i="1"/>
  <c r="BX1125" i="1"/>
  <c r="BU1125" i="1"/>
  <c r="BN1125" i="1"/>
  <c r="BS1125" i="1" s="1"/>
  <c r="BA1125" i="1"/>
  <c r="AZ1125" i="1"/>
  <c r="AY1125" i="1"/>
  <c r="AX1125" i="1"/>
  <c r="AW1125" i="1"/>
  <c r="AV1125" i="1"/>
  <c r="AT1125" i="1"/>
  <c r="AS1125" i="1"/>
  <c r="CS1124" i="1"/>
  <c r="CR1124" i="1"/>
  <c r="CQ1124" i="1"/>
  <c r="CP1124" i="1"/>
  <c r="CO1124" i="1"/>
  <c r="CN1124" i="1"/>
  <c r="CL1124" i="1"/>
  <c r="CK1124" i="1"/>
  <c r="CJ1124" i="1"/>
  <c r="CI1124" i="1"/>
  <c r="CH1124" i="1"/>
  <c r="CG1124" i="1"/>
  <c r="CF1124" i="1"/>
  <c r="CD1124" i="1"/>
  <c r="CC1124" i="1"/>
  <c r="CB1124" i="1"/>
  <c r="CA1124" i="1"/>
  <c r="BZ1124" i="1"/>
  <c r="BY1124" i="1"/>
  <c r="BX1124" i="1"/>
  <c r="BU1124" i="1"/>
  <c r="BN1124" i="1"/>
  <c r="BS1124" i="1" s="1"/>
  <c r="BA1124" i="1"/>
  <c r="AZ1124" i="1"/>
  <c r="AY1124" i="1"/>
  <c r="AX1124" i="1"/>
  <c r="AW1124" i="1"/>
  <c r="AV1124" i="1"/>
  <c r="AT1124" i="1"/>
  <c r="AS1124" i="1"/>
  <c r="CS1123" i="1"/>
  <c r="CR1123" i="1"/>
  <c r="CQ1123" i="1"/>
  <c r="CP1123" i="1"/>
  <c r="CO1123" i="1"/>
  <c r="CN1123" i="1"/>
  <c r="CL1123" i="1"/>
  <c r="CK1123" i="1"/>
  <c r="CJ1123" i="1"/>
  <c r="CI1123" i="1"/>
  <c r="CH1123" i="1"/>
  <c r="CG1123" i="1"/>
  <c r="CF1123" i="1"/>
  <c r="CD1123" i="1"/>
  <c r="CC1123" i="1"/>
  <c r="CB1123" i="1"/>
  <c r="CA1123" i="1"/>
  <c r="BZ1123" i="1"/>
  <c r="BY1123" i="1"/>
  <c r="BX1123" i="1"/>
  <c r="BU1123" i="1"/>
  <c r="BN1123" i="1"/>
  <c r="BS1123" i="1" s="1"/>
  <c r="BA1123" i="1"/>
  <c r="AZ1123" i="1"/>
  <c r="AY1123" i="1"/>
  <c r="AX1123" i="1"/>
  <c r="AW1123" i="1"/>
  <c r="AV1123" i="1"/>
  <c r="AT1123" i="1"/>
  <c r="AS1123" i="1"/>
  <c r="CS1122" i="1"/>
  <c r="CR1122" i="1"/>
  <c r="CQ1122" i="1"/>
  <c r="CP1122" i="1"/>
  <c r="CO1122" i="1"/>
  <c r="CN1122" i="1"/>
  <c r="CL1122" i="1"/>
  <c r="CK1122" i="1"/>
  <c r="CJ1122" i="1"/>
  <c r="CI1122" i="1"/>
  <c r="CH1122" i="1"/>
  <c r="CG1122" i="1"/>
  <c r="CF1122" i="1"/>
  <c r="CD1122" i="1"/>
  <c r="CC1122" i="1"/>
  <c r="CB1122" i="1"/>
  <c r="CA1122" i="1"/>
  <c r="BZ1122" i="1"/>
  <c r="BY1122" i="1"/>
  <c r="BX1122" i="1"/>
  <c r="BU1122" i="1"/>
  <c r="BN1122" i="1"/>
  <c r="BS1122" i="1" s="1"/>
  <c r="BA1122" i="1"/>
  <c r="AZ1122" i="1"/>
  <c r="AY1122" i="1"/>
  <c r="AX1122" i="1"/>
  <c r="AW1122" i="1"/>
  <c r="AV1122" i="1"/>
  <c r="AT1122" i="1"/>
  <c r="AS1122" i="1"/>
  <c r="CS1121" i="1"/>
  <c r="CR1121" i="1"/>
  <c r="CQ1121" i="1"/>
  <c r="CP1121" i="1"/>
  <c r="CO1121" i="1"/>
  <c r="CN1121" i="1"/>
  <c r="CL1121" i="1"/>
  <c r="CK1121" i="1"/>
  <c r="CJ1121" i="1"/>
  <c r="CI1121" i="1"/>
  <c r="CH1121" i="1"/>
  <c r="CG1121" i="1"/>
  <c r="CF1121" i="1"/>
  <c r="CD1121" i="1"/>
  <c r="CC1121" i="1"/>
  <c r="CB1121" i="1"/>
  <c r="CA1121" i="1"/>
  <c r="BZ1121" i="1"/>
  <c r="BY1121" i="1"/>
  <c r="BX1121" i="1"/>
  <c r="BU1121" i="1"/>
  <c r="BN1121" i="1"/>
  <c r="BS1121" i="1" s="1"/>
  <c r="BA1121" i="1"/>
  <c r="AZ1121" i="1"/>
  <c r="AY1121" i="1"/>
  <c r="AX1121" i="1"/>
  <c r="AW1121" i="1"/>
  <c r="AV1121" i="1"/>
  <c r="AT1121" i="1"/>
  <c r="AS1121" i="1"/>
  <c r="CS1120" i="1"/>
  <c r="CR1120" i="1"/>
  <c r="CQ1120" i="1"/>
  <c r="CP1120" i="1"/>
  <c r="CO1120" i="1"/>
  <c r="CN1120" i="1"/>
  <c r="CL1120" i="1"/>
  <c r="CK1120" i="1"/>
  <c r="CJ1120" i="1"/>
  <c r="CI1120" i="1"/>
  <c r="CH1120" i="1"/>
  <c r="CG1120" i="1"/>
  <c r="CF1120" i="1"/>
  <c r="CD1120" i="1"/>
  <c r="CC1120" i="1"/>
  <c r="CB1120" i="1"/>
  <c r="CA1120" i="1"/>
  <c r="BZ1120" i="1"/>
  <c r="BY1120" i="1"/>
  <c r="BX1120" i="1"/>
  <c r="BU1120" i="1"/>
  <c r="BN1120" i="1"/>
  <c r="BS1120" i="1" s="1"/>
  <c r="BA1120" i="1"/>
  <c r="AZ1120" i="1"/>
  <c r="AY1120" i="1"/>
  <c r="AX1120" i="1"/>
  <c r="AW1120" i="1"/>
  <c r="AV1120" i="1"/>
  <c r="AT1120" i="1"/>
  <c r="AS1120" i="1"/>
  <c r="CS1119" i="1"/>
  <c r="CR1119" i="1"/>
  <c r="CQ1119" i="1"/>
  <c r="CP1119" i="1"/>
  <c r="CO1119" i="1"/>
  <c r="CN1119" i="1"/>
  <c r="CL1119" i="1"/>
  <c r="CK1119" i="1"/>
  <c r="CJ1119" i="1"/>
  <c r="CI1119" i="1"/>
  <c r="CH1119" i="1"/>
  <c r="CG1119" i="1"/>
  <c r="CF1119" i="1"/>
  <c r="CD1119" i="1"/>
  <c r="CC1119" i="1"/>
  <c r="CB1119" i="1"/>
  <c r="CA1119" i="1"/>
  <c r="BZ1119" i="1"/>
  <c r="BY1119" i="1"/>
  <c r="BX1119" i="1"/>
  <c r="BU1119" i="1"/>
  <c r="BN1119" i="1"/>
  <c r="BS1119" i="1" s="1"/>
  <c r="BA1119" i="1"/>
  <c r="AZ1119" i="1"/>
  <c r="AY1119" i="1"/>
  <c r="AX1119" i="1"/>
  <c r="AW1119" i="1"/>
  <c r="AV1119" i="1"/>
  <c r="AT1119" i="1"/>
  <c r="AS1119" i="1"/>
  <c r="CS1118" i="1"/>
  <c r="CR1118" i="1"/>
  <c r="CQ1118" i="1"/>
  <c r="CP1118" i="1"/>
  <c r="CO1118" i="1"/>
  <c r="CN1118" i="1"/>
  <c r="CL1118" i="1"/>
  <c r="CK1118" i="1"/>
  <c r="CJ1118" i="1"/>
  <c r="CI1118" i="1"/>
  <c r="CH1118" i="1"/>
  <c r="CG1118" i="1"/>
  <c r="CF1118" i="1"/>
  <c r="CD1118" i="1"/>
  <c r="CC1118" i="1"/>
  <c r="CB1118" i="1"/>
  <c r="CA1118" i="1"/>
  <c r="BZ1118" i="1"/>
  <c r="BY1118" i="1"/>
  <c r="BX1118" i="1"/>
  <c r="BU1118" i="1"/>
  <c r="BN1118" i="1"/>
  <c r="BS1118" i="1" s="1"/>
  <c r="BA1118" i="1"/>
  <c r="AZ1118" i="1"/>
  <c r="AY1118" i="1"/>
  <c r="AX1118" i="1"/>
  <c r="AW1118" i="1"/>
  <c r="AV1118" i="1"/>
  <c r="AT1118" i="1"/>
  <c r="AS1118" i="1"/>
  <c r="CS1117" i="1"/>
  <c r="CR1117" i="1"/>
  <c r="CQ1117" i="1"/>
  <c r="CP1117" i="1"/>
  <c r="CO1117" i="1"/>
  <c r="CN1117" i="1"/>
  <c r="CL1117" i="1"/>
  <c r="CK1117" i="1"/>
  <c r="CJ1117" i="1"/>
  <c r="CI1117" i="1"/>
  <c r="CH1117" i="1"/>
  <c r="CG1117" i="1"/>
  <c r="CF1117" i="1"/>
  <c r="CD1117" i="1"/>
  <c r="CC1117" i="1"/>
  <c r="CB1117" i="1"/>
  <c r="CA1117" i="1"/>
  <c r="BZ1117" i="1"/>
  <c r="BY1117" i="1"/>
  <c r="BX1117" i="1"/>
  <c r="BU1117" i="1"/>
  <c r="BN1117" i="1"/>
  <c r="BS1117" i="1" s="1"/>
  <c r="BA1117" i="1"/>
  <c r="AZ1117" i="1"/>
  <c r="AY1117" i="1"/>
  <c r="AX1117" i="1"/>
  <c r="AW1117" i="1"/>
  <c r="AV1117" i="1"/>
  <c r="AT1117" i="1"/>
  <c r="AS1117" i="1"/>
  <c r="CS1116" i="1"/>
  <c r="CR1116" i="1"/>
  <c r="CQ1116" i="1"/>
  <c r="CP1116" i="1"/>
  <c r="CO1116" i="1"/>
  <c r="CN1116" i="1"/>
  <c r="CL1116" i="1"/>
  <c r="CK1116" i="1"/>
  <c r="CJ1116" i="1"/>
  <c r="CI1116" i="1"/>
  <c r="CH1116" i="1"/>
  <c r="CG1116" i="1"/>
  <c r="CF1116" i="1"/>
  <c r="CD1116" i="1"/>
  <c r="CC1116" i="1"/>
  <c r="CB1116" i="1"/>
  <c r="CA1116" i="1"/>
  <c r="BZ1116" i="1"/>
  <c r="BY1116" i="1"/>
  <c r="BX1116" i="1"/>
  <c r="BU1116" i="1"/>
  <c r="BN1116" i="1"/>
  <c r="BS1116" i="1" s="1"/>
  <c r="BA1116" i="1"/>
  <c r="AZ1116" i="1"/>
  <c r="AY1116" i="1"/>
  <c r="AX1116" i="1"/>
  <c r="AW1116" i="1"/>
  <c r="AV1116" i="1"/>
  <c r="AT1116" i="1"/>
  <c r="AS1116" i="1"/>
  <c r="CS1115" i="1"/>
  <c r="CR1115" i="1"/>
  <c r="CQ1115" i="1"/>
  <c r="CP1115" i="1"/>
  <c r="CO1115" i="1"/>
  <c r="CN1115" i="1"/>
  <c r="CL1115" i="1"/>
  <c r="CK1115" i="1"/>
  <c r="CJ1115" i="1"/>
  <c r="CI1115" i="1"/>
  <c r="CH1115" i="1"/>
  <c r="CG1115" i="1"/>
  <c r="CF1115" i="1"/>
  <c r="CD1115" i="1"/>
  <c r="CC1115" i="1"/>
  <c r="CB1115" i="1"/>
  <c r="CA1115" i="1"/>
  <c r="BZ1115" i="1"/>
  <c r="BY1115" i="1"/>
  <c r="BX1115" i="1"/>
  <c r="BU1115" i="1"/>
  <c r="BN1115" i="1"/>
  <c r="BS1115" i="1" s="1"/>
  <c r="BA1115" i="1"/>
  <c r="AZ1115" i="1"/>
  <c r="AY1115" i="1"/>
  <c r="AX1115" i="1"/>
  <c r="AW1115" i="1"/>
  <c r="AV1115" i="1"/>
  <c r="AT1115" i="1"/>
  <c r="AS1115" i="1"/>
  <c r="CS1114" i="1"/>
  <c r="CR1114" i="1"/>
  <c r="CQ1114" i="1"/>
  <c r="CP1114" i="1"/>
  <c r="CO1114" i="1"/>
  <c r="CN1114" i="1"/>
  <c r="CL1114" i="1"/>
  <c r="CK1114" i="1"/>
  <c r="CJ1114" i="1"/>
  <c r="CI1114" i="1"/>
  <c r="CH1114" i="1"/>
  <c r="CG1114" i="1"/>
  <c r="CF1114" i="1"/>
  <c r="CD1114" i="1"/>
  <c r="CC1114" i="1"/>
  <c r="CB1114" i="1"/>
  <c r="CA1114" i="1"/>
  <c r="BZ1114" i="1"/>
  <c r="BY1114" i="1"/>
  <c r="BX1114" i="1"/>
  <c r="BU1114" i="1"/>
  <c r="BN1114" i="1"/>
  <c r="BS1114" i="1" s="1"/>
  <c r="BA1114" i="1"/>
  <c r="AZ1114" i="1"/>
  <c r="AY1114" i="1"/>
  <c r="AX1114" i="1"/>
  <c r="AW1114" i="1"/>
  <c r="AV1114" i="1"/>
  <c r="AT1114" i="1"/>
  <c r="AS1114" i="1"/>
  <c r="CS1113" i="1"/>
  <c r="CR1113" i="1"/>
  <c r="CQ1113" i="1"/>
  <c r="CP1113" i="1"/>
  <c r="CO1113" i="1"/>
  <c r="CN1113" i="1"/>
  <c r="CL1113" i="1"/>
  <c r="CK1113" i="1"/>
  <c r="CJ1113" i="1"/>
  <c r="CI1113" i="1"/>
  <c r="CH1113" i="1"/>
  <c r="CG1113" i="1"/>
  <c r="CF1113" i="1"/>
  <c r="CD1113" i="1"/>
  <c r="CC1113" i="1"/>
  <c r="CB1113" i="1"/>
  <c r="CA1113" i="1"/>
  <c r="BZ1113" i="1"/>
  <c r="BY1113" i="1"/>
  <c r="BX1113" i="1"/>
  <c r="BU1113" i="1"/>
  <c r="BN1113" i="1"/>
  <c r="BS1113" i="1" s="1"/>
  <c r="BA1113" i="1"/>
  <c r="AZ1113" i="1"/>
  <c r="AY1113" i="1"/>
  <c r="AX1113" i="1"/>
  <c r="AW1113" i="1"/>
  <c r="AV1113" i="1"/>
  <c r="AT1113" i="1"/>
  <c r="AS1113" i="1"/>
  <c r="CS1112" i="1"/>
  <c r="CR1112" i="1"/>
  <c r="CQ1112" i="1"/>
  <c r="CP1112" i="1"/>
  <c r="CO1112" i="1"/>
  <c r="CN1112" i="1"/>
  <c r="CL1112" i="1"/>
  <c r="CK1112" i="1"/>
  <c r="CJ1112" i="1"/>
  <c r="CI1112" i="1"/>
  <c r="CH1112" i="1"/>
  <c r="CG1112" i="1"/>
  <c r="CF1112" i="1"/>
  <c r="CD1112" i="1"/>
  <c r="CC1112" i="1"/>
  <c r="CB1112" i="1"/>
  <c r="CA1112" i="1"/>
  <c r="BZ1112" i="1"/>
  <c r="BY1112" i="1"/>
  <c r="BX1112" i="1"/>
  <c r="BU1112" i="1"/>
  <c r="BN1112" i="1"/>
  <c r="BS1112" i="1" s="1"/>
  <c r="BA1112" i="1"/>
  <c r="AZ1112" i="1"/>
  <c r="AY1112" i="1"/>
  <c r="AX1112" i="1"/>
  <c r="AW1112" i="1"/>
  <c r="AV1112" i="1"/>
  <c r="AT1112" i="1"/>
  <c r="AS1112" i="1"/>
  <c r="CS1111" i="1"/>
  <c r="CR1111" i="1"/>
  <c r="CQ1111" i="1"/>
  <c r="CP1111" i="1"/>
  <c r="CO1111" i="1"/>
  <c r="CN1111" i="1"/>
  <c r="CL1111" i="1"/>
  <c r="CK1111" i="1"/>
  <c r="CJ1111" i="1"/>
  <c r="CI1111" i="1"/>
  <c r="CH1111" i="1"/>
  <c r="CG1111" i="1"/>
  <c r="CF1111" i="1"/>
  <c r="CD1111" i="1"/>
  <c r="CC1111" i="1"/>
  <c r="CB1111" i="1"/>
  <c r="CA1111" i="1"/>
  <c r="BZ1111" i="1"/>
  <c r="BY1111" i="1"/>
  <c r="BX1111" i="1"/>
  <c r="BU1111" i="1"/>
  <c r="BN1111" i="1"/>
  <c r="BS1111" i="1" s="1"/>
  <c r="BA1111" i="1"/>
  <c r="AZ1111" i="1"/>
  <c r="AY1111" i="1"/>
  <c r="AX1111" i="1"/>
  <c r="AW1111" i="1"/>
  <c r="AV1111" i="1"/>
  <c r="AT1111" i="1"/>
  <c r="AS1111" i="1"/>
  <c r="CS1110" i="1"/>
  <c r="CR1110" i="1"/>
  <c r="CQ1110" i="1"/>
  <c r="CP1110" i="1"/>
  <c r="CO1110" i="1"/>
  <c r="CN1110" i="1"/>
  <c r="CL1110" i="1"/>
  <c r="CK1110" i="1"/>
  <c r="CJ1110" i="1"/>
  <c r="CI1110" i="1"/>
  <c r="CH1110" i="1"/>
  <c r="CG1110" i="1"/>
  <c r="CF1110" i="1"/>
  <c r="CD1110" i="1"/>
  <c r="CC1110" i="1"/>
  <c r="CB1110" i="1"/>
  <c r="CA1110" i="1"/>
  <c r="BZ1110" i="1"/>
  <c r="BY1110" i="1"/>
  <c r="BX1110" i="1"/>
  <c r="BU1110" i="1"/>
  <c r="BN1110" i="1"/>
  <c r="BS1110" i="1" s="1"/>
  <c r="BA1110" i="1"/>
  <c r="AZ1110" i="1"/>
  <c r="AY1110" i="1"/>
  <c r="AX1110" i="1"/>
  <c r="AW1110" i="1"/>
  <c r="AV1110" i="1"/>
  <c r="AT1110" i="1"/>
  <c r="AS1110" i="1"/>
  <c r="CS1109" i="1"/>
  <c r="CR1109" i="1"/>
  <c r="CQ1109" i="1"/>
  <c r="CP1109" i="1"/>
  <c r="CO1109" i="1"/>
  <c r="CN1109" i="1"/>
  <c r="CL1109" i="1"/>
  <c r="CK1109" i="1"/>
  <c r="CJ1109" i="1"/>
  <c r="CI1109" i="1"/>
  <c r="CH1109" i="1"/>
  <c r="CG1109" i="1"/>
  <c r="CF1109" i="1"/>
  <c r="CD1109" i="1"/>
  <c r="CC1109" i="1"/>
  <c r="CB1109" i="1"/>
  <c r="CA1109" i="1"/>
  <c r="BZ1109" i="1"/>
  <c r="BY1109" i="1"/>
  <c r="BX1109" i="1"/>
  <c r="BU1109" i="1"/>
  <c r="BN1109" i="1"/>
  <c r="BS1109" i="1" s="1"/>
  <c r="BA1109" i="1"/>
  <c r="AZ1109" i="1"/>
  <c r="AY1109" i="1"/>
  <c r="AX1109" i="1"/>
  <c r="AW1109" i="1"/>
  <c r="AV1109" i="1"/>
  <c r="AT1109" i="1"/>
  <c r="AS1109" i="1"/>
  <c r="CS1108" i="1"/>
  <c r="CR1108" i="1"/>
  <c r="CQ1108" i="1"/>
  <c r="CP1108" i="1"/>
  <c r="CO1108" i="1"/>
  <c r="CN1108" i="1"/>
  <c r="CL1108" i="1"/>
  <c r="CK1108" i="1"/>
  <c r="CJ1108" i="1"/>
  <c r="CI1108" i="1"/>
  <c r="CH1108" i="1"/>
  <c r="CG1108" i="1"/>
  <c r="CF1108" i="1"/>
  <c r="CD1108" i="1"/>
  <c r="CC1108" i="1"/>
  <c r="CB1108" i="1"/>
  <c r="CA1108" i="1"/>
  <c r="BZ1108" i="1"/>
  <c r="BY1108" i="1"/>
  <c r="BX1108" i="1"/>
  <c r="BU1108" i="1"/>
  <c r="BN1108" i="1"/>
  <c r="BS1108" i="1" s="1"/>
  <c r="BA1108" i="1"/>
  <c r="AZ1108" i="1"/>
  <c r="AY1108" i="1"/>
  <c r="AX1108" i="1"/>
  <c r="AW1108" i="1"/>
  <c r="AV1108" i="1"/>
  <c r="AT1108" i="1"/>
  <c r="AS1108" i="1"/>
  <c r="CS1107" i="1"/>
  <c r="CR1107" i="1"/>
  <c r="CQ1107" i="1"/>
  <c r="CP1107" i="1"/>
  <c r="CO1107" i="1"/>
  <c r="CN1107" i="1"/>
  <c r="CL1107" i="1"/>
  <c r="CK1107" i="1"/>
  <c r="CJ1107" i="1"/>
  <c r="CI1107" i="1"/>
  <c r="CH1107" i="1"/>
  <c r="CG1107" i="1"/>
  <c r="CF1107" i="1"/>
  <c r="CD1107" i="1"/>
  <c r="CC1107" i="1"/>
  <c r="CB1107" i="1"/>
  <c r="CA1107" i="1"/>
  <c r="BZ1107" i="1"/>
  <c r="BY1107" i="1"/>
  <c r="BX1107" i="1"/>
  <c r="BU1107" i="1"/>
  <c r="BN1107" i="1"/>
  <c r="BS1107" i="1" s="1"/>
  <c r="BA1107" i="1"/>
  <c r="AZ1107" i="1"/>
  <c r="AY1107" i="1"/>
  <c r="AX1107" i="1"/>
  <c r="AW1107" i="1"/>
  <c r="AV1107" i="1"/>
  <c r="AT1107" i="1"/>
  <c r="AS1107" i="1"/>
  <c r="CS1106" i="1"/>
  <c r="CR1106" i="1"/>
  <c r="CQ1106" i="1"/>
  <c r="CP1106" i="1"/>
  <c r="CO1106" i="1"/>
  <c r="CN1106" i="1"/>
  <c r="CL1106" i="1"/>
  <c r="CK1106" i="1"/>
  <c r="CJ1106" i="1"/>
  <c r="CI1106" i="1"/>
  <c r="CH1106" i="1"/>
  <c r="CG1106" i="1"/>
  <c r="CF1106" i="1"/>
  <c r="CD1106" i="1"/>
  <c r="CC1106" i="1"/>
  <c r="CB1106" i="1"/>
  <c r="CA1106" i="1"/>
  <c r="BZ1106" i="1"/>
  <c r="BY1106" i="1"/>
  <c r="BX1106" i="1"/>
  <c r="BU1106" i="1"/>
  <c r="BN1106" i="1"/>
  <c r="BS1106" i="1" s="1"/>
  <c r="BA1106" i="1"/>
  <c r="AZ1106" i="1"/>
  <c r="AY1106" i="1"/>
  <c r="AX1106" i="1"/>
  <c r="AW1106" i="1"/>
  <c r="AV1106" i="1"/>
  <c r="AT1106" i="1"/>
  <c r="AS1106" i="1"/>
  <c r="CS1105" i="1"/>
  <c r="CR1105" i="1"/>
  <c r="CQ1105" i="1"/>
  <c r="CP1105" i="1"/>
  <c r="CO1105" i="1"/>
  <c r="CN1105" i="1"/>
  <c r="CL1105" i="1"/>
  <c r="CK1105" i="1"/>
  <c r="CJ1105" i="1"/>
  <c r="CI1105" i="1"/>
  <c r="CH1105" i="1"/>
  <c r="CG1105" i="1"/>
  <c r="CF1105" i="1"/>
  <c r="CD1105" i="1"/>
  <c r="CC1105" i="1"/>
  <c r="CB1105" i="1"/>
  <c r="CA1105" i="1"/>
  <c r="BZ1105" i="1"/>
  <c r="BY1105" i="1"/>
  <c r="BX1105" i="1"/>
  <c r="BU1105" i="1"/>
  <c r="BN1105" i="1"/>
  <c r="BS1105" i="1" s="1"/>
  <c r="BA1105" i="1"/>
  <c r="AZ1105" i="1"/>
  <c r="AY1105" i="1"/>
  <c r="AX1105" i="1"/>
  <c r="AW1105" i="1"/>
  <c r="AV1105" i="1"/>
  <c r="AT1105" i="1"/>
  <c r="AS1105" i="1"/>
  <c r="CS1104" i="1"/>
  <c r="CR1104" i="1"/>
  <c r="CQ1104" i="1"/>
  <c r="CP1104" i="1"/>
  <c r="CO1104" i="1"/>
  <c r="CN1104" i="1"/>
  <c r="CL1104" i="1"/>
  <c r="CK1104" i="1"/>
  <c r="CJ1104" i="1"/>
  <c r="CI1104" i="1"/>
  <c r="CH1104" i="1"/>
  <c r="CG1104" i="1"/>
  <c r="CF1104" i="1"/>
  <c r="CD1104" i="1"/>
  <c r="CC1104" i="1"/>
  <c r="CB1104" i="1"/>
  <c r="CA1104" i="1"/>
  <c r="BZ1104" i="1"/>
  <c r="BY1104" i="1"/>
  <c r="BX1104" i="1"/>
  <c r="BU1104" i="1"/>
  <c r="BN1104" i="1"/>
  <c r="BS1104" i="1" s="1"/>
  <c r="BA1104" i="1"/>
  <c r="AZ1104" i="1"/>
  <c r="AY1104" i="1"/>
  <c r="AX1104" i="1"/>
  <c r="AW1104" i="1"/>
  <c r="AV1104" i="1"/>
  <c r="AT1104" i="1"/>
  <c r="AS1104" i="1"/>
  <c r="CS1103" i="1"/>
  <c r="CR1103" i="1"/>
  <c r="CQ1103" i="1"/>
  <c r="CP1103" i="1"/>
  <c r="CO1103" i="1"/>
  <c r="CN1103" i="1"/>
  <c r="CL1103" i="1"/>
  <c r="CK1103" i="1"/>
  <c r="CJ1103" i="1"/>
  <c r="CI1103" i="1"/>
  <c r="CH1103" i="1"/>
  <c r="CG1103" i="1"/>
  <c r="CF1103" i="1"/>
  <c r="CD1103" i="1"/>
  <c r="CC1103" i="1"/>
  <c r="CB1103" i="1"/>
  <c r="CA1103" i="1"/>
  <c r="BZ1103" i="1"/>
  <c r="BY1103" i="1"/>
  <c r="BX1103" i="1"/>
  <c r="BU1103" i="1"/>
  <c r="BN1103" i="1"/>
  <c r="BS1103" i="1" s="1"/>
  <c r="BA1103" i="1"/>
  <c r="AZ1103" i="1"/>
  <c r="AY1103" i="1"/>
  <c r="AX1103" i="1"/>
  <c r="AW1103" i="1"/>
  <c r="AV1103" i="1"/>
  <c r="AT1103" i="1"/>
  <c r="AS1103" i="1"/>
  <c r="CS1102" i="1"/>
  <c r="CR1102" i="1"/>
  <c r="CQ1102" i="1"/>
  <c r="CP1102" i="1"/>
  <c r="CO1102" i="1"/>
  <c r="CN1102" i="1"/>
  <c r="CL1102" i="1"/>
  <c r="CK1102" i="1"/>
  <c r="CJ1102" i="1"/>
  <c r="CI1102" i="1"/>
  <c r="CH1102" i="1"/>
  <c r="CG1102" i="1"/>
  <c r="CF1102" i="1"/>
  <c r="CD1102" i="1"/>
  <c r="CC1102" i="1"/>
  <c r="CB1102" i="1"/>
  <c r="CA1102" i="1"/>
  <c r="BZ1102" i="1"/>
  <c r="BY1102" i="1"/>
  <c r="BX1102" i="1"/>
  <c r="BU1102" i="1"/>
  <c r="BN1102" i="1"/>
  <c r="BS1102" i="1" s="1"/>
  <c r="BA1102" i="1"/>
  <c r="AZ1102" i="1"/>
  <c r="AY1102" i="1"/>
  <c r="AX1102" i="1"/>
  <c r="AW1102" i="1"/>
  <c r="AV1102" i="1"/>
  <c r="AT1102" i="1"/>
  <c r="AS1102" i="1"/>
  <c r="CS1101" i="1"/>
  <c r="CR1101" i="1"/>
  <c r="CQ1101" i="1"/>
  <c r="CP1101" i="1"/>
  <c r="CO1101" i="1"/>
  <c r="CN1101" i="1"/>
  <c r="CL1101" i="1"/>
  <c r="CK1101" i="1"/>
  <c r="CJ1101" i="1"/>
  <c r="CI1101" i="1"/>
  <c r="CH1101" i="1"/>
  <c r="CG1101" i="1"/>
  <c r="CF1101" i="1"/>
  <c r="CD1101" i="1"/>
  <c r="CC1101" i="1"/>
  <c r="CB1101" i="1"/>
  <c r="CA1101" i="1"/>
  <c r="BZ1101" i="1"/>
  <c r="BY1101" i="1"/>
  <c r="BX1101" i="1"/>
  <c r="BU1101" i="1"/>
  <c r="BN1101" i="1"/>
  <c r="BS1101" i="1" s="1"/>
  <c r="BA1101" i="1"/>
  <c r="AZ1101" i="1"/>
  <c r="AY1101" i="1"/>
  <c r="AX1101" i="1"/>
  <c r="AW1101" i="1"/>
  <c r="AV1101" i="1"/>
  <c r="AT1101" i="1"/>
  <c r="AS1101" i="1"/>
  <c r="CS1100" i="1"/>
  <c r="CR1100" i="1"/>
  <c r="CQ1100" i="1"/>
  <c r="CP1100" i="1"/>
  <c r="CO1100" i="1"/>
  <c r="CN1100" i="1"/>
  <c r="CL1100" i="1"/>
  <c r="CK1100" i="1"/>
  <c r="CJ1100" i="1"/>
  <c r="CI1100" i="1"/>
  <c r="CH1100" i="1"/>
  <c r="CG1100" i="1"/>
  <c r="CF1100" i="1"/>
  <c r="CD1100" i="1"/>
  <c r="CC1100" i="1"/>
  <c r="CB1100" i="1"/>
  <c r="CA1100" i="1"/>
  <c r="BZ1100" i="1"/>
  <c r="BY1100" i="1"/>
  <c r="BX1100" i="1"/>
  <c r="BU1100" i="1"/>
  <c r="BN1100" i="1"/>
  <c r="BS1100" i="1" s="1"/>
  <c r="BA1100" i="1"/>
  <c r="AZ1100" i="1"/>
  <c r="AY1100" i="1"/>
  <c r="AX1100" i="1"/>
  <c r="AW1100" i="1"/>
  <c r="AV1100" i="1"/>
  <c r="AT1100" i="1"/>
  <c r="AS1100" i="1"/>
  <c r="CS1099" i="1"/>
  <c r="CR1099" i="1"/>
  <c r="CQ1099" i="1"/>
  <c r="CP1099" i="1"/>
  <c r="CO1099" i="1"/>
  <c r="CN1099" i="1"/>
  <c r="CL1099" i="1"/>
  <c r="CK1099" i="1"/>
  <c r="CJ1099" i="1"/>
  <c r="CI1099" i="1"/>
  <c r="CH1099" i="1"/>
  <c r="CG1099" i="1"/>
  <c r="CF1099" i="1"/>
  <c r="CD1099" i="1"/>
  <c r="CC1099" i="1"/>
  <c r="CB1099" i="1"/>
  <c r="CA1099" i="1"/>
  <c r="BZ1099" i="1"/>
  <c r="BY1099" i="1"/>
  <c r="BX1099" i="1"/>
  <c r="BU1099" i="1"/>
  <c r="BN1099" i="1"/>
  <c r="BS1099" i="1" s="1"/>
  <c r="BA1099" i="1"/>
  <c r="AZ1099" i="1"/>
  <c r="AY1099" i="1"/>
  <c r="AX1099" i="1"/>
  <c r="AW1099" i="1"/>
  <c r="AV1099" i="1"/>
  <c r="AT1099" i="1"/>
  <c r="AS1099" i="1"/>
  <c r="CS1098" i="1"/>
  <c r="CR1098" i="1"/>
  <c r="CQ1098" i="1"/>
  <c r="CP1098" i="1"/>
  <c r="CO1098" i="1"/>
  <c r="CN1098" i="1"/>
  <c r="CL1098" i="1"/>
  <c r="CK1098" i="1"/>
  <c r="CJ1098" i="1"/>
  <c r="CI1098" i="1"/>
  <c r="CH1098" i="1"/>
  <c r="CG1098" i="1"/>
  <c r="CF1098" i="1"/>
  <c r="CD1098" i="1"/>
  <c r="CC1098" i="1"/>
  <c r="CB1098" i="1"/>
  <c r="CA1098" i="1"/>
  <c r="BZ1098" i="1"/>
  <c r="BY1098" i="1"/>
  <c r="BX1098" i="1"/>
  <c r="BU1098" i="1"/>
  <c r="BN1098" i="1"/>
  <c r="BS1098" i="1" s="1"/>
  <c r="BA1098" i="1"/>
  <c r="AZ1098" i="1"/>
  <c r="AY1098" i="1"/>
  <c r="AX1098" i="1"/>
  <c r="AW1098" i="1"/>
  <c r="AV1098" i="1"/>
  <c r="AT1098" i="1"/>
  <c r="AS1098" i="1"/>
  <c r="CS1097" i="1"/>
  <c r="CR1097" i="1"/>
  <c r="CQ1097" i="1"/>
  <c r="CP1097" i="1"/>
  <c r="CO1097" i="1"/>
  <c r="CN1097" i="1"/>
  <c r="CL1097" i="1"/>
  <c r="CK1097" i="1"/>
  <c r="CJ1097" i="1"/>
  <c r="CI1097" i="1"/>
  <c r="CH1097" i="1"/>
  <c r="CG1097" i="1"/>
  <c r="CF1097" i="1"/>
  <c r="CD1097" i="1"/>
  <c r="CC1097" i="1"/>
  <c r="CB1097" i="1"/>
  <c r="CA1097" i="1"/>
  <c r="BZ1097" i="1"/>
  <c r="BY1097" i="1"/>
  <c r="BX1097" i="1"/>
  <c r="BU1097" i="1"/>
  <c r="BN1097" i="1"/>
  <c r="BS1097" i="1" s="1"/>
  <c r="BA1097" i="1"/>
  <c r="AZ1097" i="1"/>
  <c r="AY1097" i="1"/>
  <c r="AX1097" i="1"/>
  <c r="AW1097" i="1"/>
  <c r="AV1097" i="1"/>
  <c r="AT1097" i="1"/>
  <c r="AS1097" i="1"/>
  <c r="CS1096" i="1"/>
  <c r="CR1096" i="1"/>
  <c r="CQ1096" i="1"/>
  <c r="CP1096" i="1"/>
  <c r="CO1096" i="1"/>
  <c r="CN1096" i="1"/>
  <c r="CL1096" i="1"/>
  <c r="CK1096" i="1"/>
  <c r="CJ1096" i="1"/>
  <c r="CI1096" i="1"/>
  <c r="CH1096" i="1"/>
  <c r="CG1096" i="1"/>
  <c r="CF1096" i="1"/>
  <c r="CD1096" i="1"/>
  <c r="CC1096" i="1"/>
  <c r="CB1096" i="1"/>
  <c r="CA1096" i="1"/>
  <c r="BZ1096" i="1"/>
  <c r="BY1096" i="1"/>
  <c r="BX1096" i="1"/>
  <c r="BU1096" i="1"/>
  <c r="BN1096" i="1"/>
  <c r="BS1096" i="1" s="1"/>
  <c r="BA1096" i="1"/>
  <c r="AZ1096" i="1"/>
  <c r="AY1096" i="1"/>
  <c r="AX1096" i="1"/>
  <c r="AW1096" i="1"/>
  <c r="AV1096" i="1"/>
  <c r="AT1096" i="1"/>
  <c r="AS1096" i="1"/>
  <c r="CS1095" i="1"/>
  <c r="CR1095" i="1"/>
  <c r="CQ1095" i="1"/>
  <c r="CP1095" i="1"/>
  <c r="CO1095" i="1"/>
  <c r="CN1095" i="1"/>
  <c r="CL1095" i="1"/>
  <c r="CK1095" i="1"/>
  <c r="CJ1095" i="1"/>
  <c r="CI1095" i="1"/>
  <c r="CH1095" i="1"/>
  <c r="CG1095" i="1"/>
  <c r="CF1095" i="1"/>
  <c r="CD1095" i="1"/>
  <c r="CC1095" i="1"/>
  <c r="CB1095" i="1"/>
  <c r="CA1095" i="1"/>
  <c r="BZ1095" i="1"/>
  <c r="BY1095" i="1"/>
  <c r="BX1095" i="1"/>
  <c r="BU1095" i="1"/>
  <c r="BN1095" i="1"/>
  <c r="BS1095" i="1" s="1"/>
  <c r="BA1095" i="1"/>
  <c r="AZ1095" i="1"/>
  <c r="AY1095" i="1"/>
  <c r="AX1095" i="1"/>
  <c r="AW1095" i="1"/>
  <c r="AV1095" i="1"/>
  <c r="AT1095" i="1"/>
  <c r="AS1095" i="1"/>
  <c r="CS1094" i="1"/>
  <c r="CR1094" i="1"/>
  <c r="CQ1094" i="1"/>
  <c r="CP1094" i="1"/>
  <c r="CO1094" i="1"/>
  <c r="CN1094" i="1"/>
  <c r="CL1094" i="1"/>
  <c r="CK1094" i="1"/>
  <c r="CJ1094" i="1"/>
  <c r="CI1094" i="1"/>
  <c r="CH1094" i="1"/>
  <c r="CG1094" i="1"/>
  <c r="CF1094" i="1"/>
  <c r="CD1094" i="1"/>
  <c r="CC1094" i="1"/>
  <c r="CB1094" i="1"/>
  <c r="CA1094" i="1"/>
  <c r="BZ1094" i="1"/>
  <c r="BY1094" i="1"/>
  <c r="BX1094" i="1"/>
  <c r="BU1094" i="1"/>
  <c r="BN1094" i="1"/>
  <c r="BS1094" i="1" s="1"/>
  <c r="BA1094" i="1"/>
  <c r="AZ1094" i="1"/>
  <c r="AY1094" i="1"/>
  <c r="AX1094" i="1"/>
  <c r="AW1094" i="1"/>
  <c r="AV1094" i="1"/>
  <c r="AT1094" i="1"/>
  <c r="AS1094" i="1"/>
  <c r="CS1093" i="1"/>
  <c r="CR1093" i="1"/>
  <c r="CQ1093" i="1"/>
  <c r="CP1093" i="1"/>
  <c r="CO1093" i="1"/>
  <c r="CN1093" i="1"/>
  <c r="CL1093" i="1"/>
  <c r="CK1093" i="1"/>
  <c r="CJ1093" i="1"/>
  <c r="CI1093" i="1"/>
  <c r="CH1093" i="1"/>
  <c r="CG1093" i="1"/>
  <c r="CF1093" i="1"/>
  <c r="CD1093" i="1"/>
  <c r="CC1093" i="1"/>
  <c r="CB1093" i="1"/>
  <c r="CA1093" i="1"/>
  <c r="BZ1093" i="1"/>
  <c r="BY1093" i="1"/>
  <c r="BX1093" i="1"/>
  <c r="BU1093" i="1"/>
  <c r="BN1093" i="1"/>
  <c r="BS1093" i="1" s="1"/>
  <c r="BA1093" i="1"/>
  <c r="AZ1093" i="1"/>
  <c r="AY1093" i="1"/>
  <c r="AX1093" i="1"/>
  <c r="AW1093" i="1"/>
  <c r="AV1093" i="1"/>
  <c r="AT1093" i="1"/>
  <c r="AS1093" i="1"/>
  <c r="CS1092" i="1"/>
  <c r="CR1092" i="1"/>
  <c r="CQ1092" i="1"/>
  <c r="CP1092" i="1"/>
  <c r="CO1092" i="1"/>
  <c r="CN1092" i="1"/>
  <c r="CL1092" i="1"/>
  <c r="CK1092" i="1"/>
  <c r="CJ1092" i="1"/>
  <c r="CI1092" i="1"/>
  <c r="CH1092" i="1"/>
  <c r="CG1092" i="1"/>
  <c r="CF1092" i="1"/>
  <c r="CD1092" i="1"/>
  <c r="CC1092" i="1"/>
  <c r="CB1092" i="1"/>
  <c r="CA1092" i="1"/>
  <c r="BZ1092" i="1"/>
  <c r="BY1092" i="1"/>
  <c r="BX1092" i="1"/>
  <c r="BU1092" i="1"/>
  <c r="BN1092" i="1"/>
  <c r="BS1092" i="1" s="1"/>
  <c r="BA1092" i="1"/>
  <c r="AZ1092" i="1"/>
  <c r="AY1092" i="1"/>
  <c r="AX1092" i="1"/>
  <c r="AW1092" i="1"/>
  <c r="AV1092" i="1"/>
  <c r="AT1092" i="1"/>
  <c r="AS1092" i="1"/>
  <c r="CS1091" i="1"/>
  <c r="CR1091" i="1"/>
  <c r="CQ1091" i="1"/>
  <c r="CP1091" i="1"/>
  <c r="CO1091" i="1"/>
  <c r="CN1091" i="1"/>
  <c r="CL1091" i="1"/>
  <c r="CK1091" i="1"/>
  <c r="CJ1091" i="1"/>
  <c r="CI1091" i="1"/>
  <c r="CH1091" i="1"/>
  <c r="CG1091" i="1"/>
  <c r="CF1091" i="1"/>
  <c r="CD1091" i="1"/>
  <c r="CC1091" i="1"/>
  <c r="CB1091" i="1"/>
  <c r="CA1091" i="1"/>
  <c r="BZ1091" i="1"/>
  <c r="BY1091" i="1"/>
  <c r="BX1091" i="1"/>
  <c r="BU1091" i="1"/>
  <c r="BN1091" i="1"/>
  <c r="BS1091" i="1" s="1"/>
  <c r="BA1091" i="1"/>
  <c r="AZ1091" i="1"/>
  <c r="AY1091" i="1"/>
  <c r="AX1091" i="1"/>
  <c r="AW1091" i="1"/>
  <c r="AV1091" i="1"/>
  <c r="AT1091" i="1"/>
  <c r="AS1091" i="1"/>
  <c r="CS1090" i="1"/>
  <c r="CR1090" i="1"/>
  <c r="CQ1090" i="1"/>
  <c r="CP1090" i="1"/>
  <c r="CO1090" i="1"/>
  <c r="CN1090" i="1"/>
  <c r="CL1090" i="1"/>
  <c r="CK1090" i="1"/>
  <c r="CJ1090" i="1"/>
  <c r="CI1090" i="1"/>
  <c r="CH1090" i="1"/>
  <c r="CG1090" i="1"/>
  <c r="CF1090" i="1"/>
  <c r="CD1090" i="1"/>
  <c r="CC1090" i="1"/>
  <c r="CB1090" i="1"/>
  <c r="CA1090" i="1"/>
  <c r="BZ1090" i="1"/>
  <c r="BY1090" i="1"/>
  <c r="BX1090" i="1"/>
  <c r="BU1090" i="1"/>
  <c r="BN1090" i="1"/>
  <c r="BS1090" i="1" s="1"/>
  <c r="BA1090" i="1"/>
  <c r="AZ1090" i="1"/>
  <c r="AY1090" i="1"/>
  <c r="AX1090" i="1"/>
  <c r="AW1090" i="1"/>
  <c r="AV1090" i="1"/>
  <c r="AT1090" i="1"/>
  <c r="AS1090" i="1"/>
  <c r="CS1089" i="1"/>
  <c r="CR1089" i="1"/>
  <c r="CQ1089" i="1"/>
  <c r="CP1089" i="1"/>
  <c r="CO1089" i="1"/>
  <c r="CN1089" i="1"/>
  <c r="CL1089" i="1"/>
  <c r="CK1089" i="1"/>
  <c r="CJ1089" i="1"/>
  <c r="CI1089" i="1"/>
  <c r="CH1089" i="1"/>
  <c r="CG1089" i="1"/>
  <c r="CF1089" i="1"/>
  <c r="CD1089" i="1"/>
  <c r="CC1089" i="1"/>
  <c r="CB1089" i="1"/>
  <c r="CA1089" i="1"/>
  <c r="BZ1089" i="1"/>
  <c r="BY1089" i="1"/>
  <c r="BX1089" i="1"/>
  <c r="BU1089" i="1"/>
  <c r="BN1089" i="1"/>
  <c r="BS1089" i="1" s="1"/>
  <c r="BA1089" i="1"/>
  <c r="AZ1089" i="1"/>
  <c r="AY1089" i="1"/>
  <c r="AX1089" i="1"/>
  <c r="AW1089" i="1"/>
  <c r="AV1089" i="1"/>
  <c r="AT1089" i="1"/>
  <c r="AS1089" i="1"/>
  <c r="CS1088" i="1"/>
  <c r="CR1088" i="1"/>
  <c r="CQ1088" i="1"/>
  <c r="CP1088" i="1"/>
  <c r="CO1088" i="1"/>
  <c r="CN1088" i="1"/>
  <c r="CL1088" i="1"/>
  <c r="CK1088" i="1"/>
  <c r="CJ1088" i="1"/>
  <c r="CI1088" i="1"/>
  <c r="CH1088" i="1"/>
  <c r="CG1088" i="1"/>
  <c r="CF1088" i="1"/>
  <c r="CD1088" i="1"/>
  <c r="CC1088" i="1"/>
  <c r="CB1088" i="1"/>
  <c r="CA1088" i="1"/>
  <c r="BZ1088" i="1"/>
  <c r="BY1088" i="1"/>
  <c r="BX1088" i="1"/>
  <c r="BU1088" i="1"/>
  <c r="BN1088" i="1"/>
  <c r="BS1088" i="1" s="1"/>
  <c r="BA1088" i="1"/>
  <c r="AZ1088" i="1"/>
  <c r="AY1088" i="1"/>
  <c r="AX1088" i="1"/>
  <c r="AW1088" i="1"/>
  <c r="AV1088" i="1"/>
  <c r="AT1088" i="1"/>
  <c r="AS1088" i="1"/>
  <c r="CS1087" i="1"/>
  <c r="CR1087" i="1"/>
  <c r="CQ1087" i="1"/>
  <c r="CP1087" i="1"/>
  <c r="CO1087" i="1"/>
  <c r="CN1087" i="1"/>
  <c r="CL1087" i="1"/>
  <c r="CK1087" i="1"/>
  <c r="CJ1087" i="1"/>
  <c r="CI1087" i="1"/>
  <c r="CH1087" i="1"/>
  <c r="CG1087" i="1"/>
  <c r="CF1087" i="1"/>
  <c r="CD1087" i="1"/>
  <c r="CC1087" i="1"/>
  <c r="CB1087" i="1"/>
  <c r="CA1087" i="1"/>
  <c r="BZ1087" i="1"/>
  <c r="BY1087" i="1"/>
  <c r="BX1087" i="1"/>
  <c r="BU1087" i="1"/>
  <c r="BN1087" i="1"/>
  <c r="BS1087" i="1" s="1"/>
  <c r="BA1087" i="1"/>
  <c r="AZ1087" i="1"/>
  <c r="AY1087" i="1"/>
  <c r="AX1087" i="1"/>
  <c r="AW1087" i="1"/>
  <c r="AV1087" i="1"/>
  <c r="AT1087" i="1"/>
  <c r="AS1087" i="1"/>
  <c r="CS1086" i="1"/>
  <c r="CR1086" i="1"/>
  <c r="CQ1086" i="1"/>
  <c r="CP1086" i="1"/>
  <c r="CO1086" i="1"/>
  <c r="CN1086" i="1"/>
  <c r="CL1086" i="1"/>
  <c r="CK1086" i="1"/>
  <c r="CJ1086" i="1"/>
  <c r="CI1086" i="1"/>
  <c r="CH1086" i="1"/>
  <c r="CG1086" i="1"/>
  <c r="CF1086" i="1"/>
  <c r="CD1086" i="1"/>
  <c r="CC1086" i="1"/>
  <c r="CB1086" i="1"/>
  <c r="CA1086" i="1"/>
  <c r="BZ1086" i="1"/>
  <c r="BY1086" i="1"/>
  <c r="BX1086" i="1"/>
  <c r="BU1086" i="1"/>
  <c r="BN1086" i="1"/>
  <c r="BS1086" i="1" s="1"/>
  <c r="BA1086" i="1"/>
  <c r="AZ1086" i="1"/>
  <c r="AY1086" i="1"/>
  <c r="AX1086" i="1"/>
  <c r="AW1086" i="1"/>
  <c r="AV1086" i="1"/>
  <c r="AT1086" i="1"/>
  <c r="AS1086" i="1"/>
  <c r="CS1085" i="1"/>
  <c r="CR1085" i="1"/>
  <c r="CQ1085" i="1"/>
  <c r="CP1085" i="1"/>
  <c r="CO1085" i="1"/>
  <c r="CN1085" i="1"/>
  <c r="CL1085" i="1"/>
  <c r="CK1085" i="1"/>
  <c r="CJ1085" i="1"/>
  <c r="CI1085" i="1"/>
  <c r="CH1085" i="1"/>
  <c r="CG1085" i="1"/>
  <c r="CF1085" i="1"/>
  <c r="CD1085" i="1"/>
  <c r="CC1085" i="1"/>
  <c r="CB1085" i="1"/>
  <c r="CA1085" i="1"/>
  <c r="BZ1085" i="1"/>
  <c r="BY1085" i="1"/>
  <c r="BX1085" i="1"/>
  <c r="BU1085" i="1"/>
  <c r="BN1085" i="1"/>
  <c r="BS1085" i="1" s="1"/>
  <c r="BA1085" i="1"/>
  <c r="AZ1085" i="1"/>
  <c r="AY1085" i="1"/>
  <c r="AX1085" i="1"/>
  <c r="AW1085" i="1"/>
  <c r="AV1085" i="1"/>
  <c r="AT1085" i="1"/>
  <c r="AS1085" i="1"/>
  <c r="CS1084" i="1"/>
  <c r="CR1084" i="1"/>
  <c r="CQ1084" i="1"/>
  <c r="CP1084" i="1"/>
  <c r="CO1084" i="1"/>
  <c r="CN1084" i="1"/>
  <c r="CL1084" i="1"/>
  <c r="CK1084" i="1"/>
  <c r="CJ1084" i="1"/>
  <c r="CI1084" i="1"/>
  <c r="CH1084" i="1"/>
  <c r="CG1084" i="1"/>
  <c r="CF1084" i="1"/>
  <c r="CD1084" i="1"/>
  <c r="CC1084" i="1"/>
  <c r="CB1084" i="1"/>
  <c r="CA1084" i="1"/>
  <c r="BZ1084" i="1"/>
  <c r="BY1084" i="1"/>
  <c r="BX1084" i="1"/>
  <c r="BU1084" i="1"/>
  <c r="BN1084" i="1"/>
  <c r="BS1084" i="1" s="1"/>
  <c r="BA1084" i="1"/>
  <c r="AZ1084" i="1"/>
  <c r="AY1084" i="1"/>
  <c r="AX1084" i="1"/>
  <c r="AW1084" i="1"/>
  <c r="AV1084" i="1"/>
  <c r="AT1084" i="1"/>
  <c r="AS1084" i="1"/>
  <c r="CS1083" i="1"/>
  <c r="CR1083" i="1"/>
  <c r="CQ1083" i="1"/>
  <c r="CP1083" i="1"/>
  <c r="CO1083" i="1"/>
  <c r="CN1083" i="1"/>
  <c r="CL1083" i="1"/>
  <c r="CK1083" i="1"/>
  <c r="CJ1083" i="1"/>
  <c r="CI1083" i="1"/>
  <c r="CH1083" i="1"/>
  <c r="CG1083" i="1"/>
  <c r="CF1083" i="1"/>
  <c r="CD1083" i="1"/>
  <c r="CC1083" i="1"/>
  <c r="CB1083" i="1"/>
  <c r="CA1083" i="1"/>
  <c r="BZ1083" i="1"/>
  <c r="BY1083" i="1"/>
  <c r="BX1083" i="1"/>
  <c r="BU1083" i="1"/>
  <c r="BN1083" i="1"/>
  <c r="BS1083" i="1" s="1"/>
  <c r="BA1083" i="1"/>
  <c r="AZ1083" i="1"/>
  <c r="AY1083" i="1"/>
  <c r="AX1083" i="1"/>
  <c r="AW1083" i="1"/>
  <c r="AV1083" i="1"/>
  <c r="AT1083" i="1"/>
  <c r="AS1083" i="1"/>
  <c r="CS1082" i="1"/>
  <c r="CR1082" i="1"/>
  <c r="CQ1082" i="1"/>
  <c r="CP1082" i="1"/>
  <c r="CO1082" i="1"/>
  <c r="CN1082" i="1"/>
  <c r="CL1082" i="1"/>
  <c r="CK1082" i="1"/>
  <c r="CJ1082" i="1"/>
  <c r="CI1082" i="1"/>
  <c r="CH1082" i="1"/>
  <c r="CG1082" i="1"/>
  <c r="CF1082" i="1"/>
  <c r="CD1082" i="1"/>
  <c r="CC1082" i="1"/>
  <c r="CB1082" i="1"/>
  <c r="CA1082" i="1"/>
  <c r="BZ1082" i="1"/>
  <c r="BY1082" i="1"/>
  <c r="BX1082" i="1"/>
  <c r="BU1082" i="1"/>
  <c r="BN1082" i="1"/>
  <c r="BS1082" i="1" s="1"/>
  <c r="BA1082" i="1"/>
  <c r="AZ1082" i="1"/>
  <c r="AY1082" i="1"/>
  <c r="AX1082" i="1"/>
  <c r="AW1082" i="1"/>
  <c r="AV1082" i="1"/>
  <c r="AT1082" i="1"/>
  <c r="AS1082" i="1"/>
  <c r="CS1081" i="1"/>
  <c r="CR1081" i="1"/>
  <c r="CQ1081" i="1"/>
  <c r="CP1081" i="1"/>
  <c r="CO1081" i="1"/>
  <c r="CN1081" i="1"/>
  <c r="CL1081" i="1"/>
  <c r="CK1081" i="1"/>
  <c r="CJ1081" i="1"/>
  <c r="CI1081" i="1"/>
  <c r="CH1081" i="1"/>
  <c r="CG1081" i="1"/>
  <c r="CF1081" i="1"/>
  <c r="CD1081" i="1"/>
  <c r="CC1081" i="1"/>
  <c r="CB1081" i="1"/>
  <c r="CA1081" i="1"/>
  <c r="BZ1081" i="1"/>
  <c r="BY1081" i="1"/>
  <c r="BX1081" i="1"/>
  <c r="BU1081" i="1"/>
  <c r="BN1081" i="1"/>
  <c r="BS1081" i="1" s="1"/>
  <c r="BA1081" i="1"/>
  <c r="AZ1081" i="1"/>
  <c r="AY1081" i="1"/>
  <c r="AX1081" i="1"/>
  <c r="AW1081" i="1"/>
  <c r="AV1081" i="1"/>
  <c r="AT1081" i="1"/>
  <c r="AS1081" i="1"/>
  <c r="CS1080" i="1"/>
  <c r="CR1080" i="1"/>
  <c r="CQ1080" i="1"/>
  <c r="CP1080" i="1"/>
  <c r="CO1080" i="1"/>
  <c r="CN1080" i="1"/>
  <c r="CL1080" i="1"/>
  <c r="CK1080" i="1"/>
  <c r="CJ1080" i="1"/>
  <c r="CI1080" i="1"/>
  <c r="CH1080" i="1"/>
  <c r="CG1080" i="1"/>
  <c r="CF1080" i="1"/>
  <c r="CD1080" i="1"/>
  <c r="CC1080" i="1"/>
  <c r="CB1080" i="1"/>
  <c r="CA1080" i="1"/>
  <c r="BZ1080" i="1"/>
  <c r="BY1080" i="1"/>
  <c r="BX1080" i="1"/>
  <c r="BU1080" i="1"/>
  <c r="BN1080" i="1"/>
  <c r="BS1080" i="1" s="1"/>
  <c r="BA1080" i="1"/>
  <c r="AZ1080" i="1"/>
  <c r="AY1080" i="1"/>
  <c r="AX1080" i="1"/>
  <c r="AW1080" i="1"/>
  <c r="AV1080" i="1"/>
  <c r="AT1080" i="1"/>
  <c r="AS1080" i="1"/>
  <c r="CS1079" i="1"/>
  <c r="CR1079" i="1"/>
  <c r="CQ1079" i="1"/>
  <c r="CP1079" i="1"/>
  <c r="CO1079" i="1"/>
  <c r="CN1079" i="1"/>
  <c r="CL1079" i="1"/>
  <c r="CK1079" i="1"/>
  <c r="CJ1079" i="1"/>
  <c r="CI1079" i="1"/>
  <c r="CH1079" i="1"/>
  <c r="CG1079" i="1"/>
  <c r="CF1079" i="1"/>
  <c r="CD1079" i="1"/>
  <c r="CC1079" i="1"/>
  <c r="CB1079" i="1"/>
  <c r="CA1079" i="1"/>
  <c r="BZ1079" i="1"/>
  <c r="BY1079" i="1"/>
  <c r="BX1079" i="1"/>
  <c r="BU1079" i="1"/>
  <c r="BN1079" i="1"/>
  <c r="BS1079" i="1" s="1"/>
  <c r="BA1079" i="1"/>
  <c r="AZ1079" i="1"/>
  <c r="AY1079" i="1"/>
  <c r="AX1079" i="1"/>
  <c r="AW1079" i="1"/>
  <c r="AV1079" i="1"/>
  <c r="AT1079" i="1"/>
  <c r="AS1079" i="1"/>
  <c r="CS1078" i="1"/>
  <c r="CR1078" i="1"/>
  <c r="CQ1078" i="1"/>
  <c r="CP1078" i="1"/>
  <c r="CO1078" i="1"/>
  <c r="CN1078" i="1"/>
  <c r="CL1078" i="1"/>
  <c r="CK1078" i="1"/>
  <c r="CJ1078" i="1"/>
  <c r="CI1078" i="1"/>
  <c r="CH1078" i="1"/>
  <c r="CG1078" i="1"/>
  <c r="CF1078" i="1"/>
  <c r="CD1078" i="1"/>
  <c r="CC1078" i="1"/>
  <c r="CB1078" i="1"/>
  <c r="CA1078" i="1"/>
  <c r="BZ1078" i="1"/>
  <c r="BY1078" i="1"/>
  <c r="BX1078" i="1"/>
  <c r="BU1078" i="1"/>
  <c r="BN1078" i="1"/>
  <c r="BS1078" i="1" s="1"/>
  <c r="BA1078" i="1"/>
  <c r="AZ1078" i="1"/>
  <c r="AY1078" i="1"/>
  <c r="AX1078" i="1"/>
  <c r="AW1078" i="1"/>
  <c r="AV1078" i="1"/>
  <c r="AT1078" i="1"/>
  <c r="AS1078" i="1"/>
  <c r="CS1077" i="1"/>
  <c r="CR1077" i="1"/>
  <c r="CQ1077" i="1"/>
  <c r="CP1077" i="1"/>
  <c r="CO1077" i="1"/>
  <c r="CN1077" i="1"/>
  <c r="CL1077" i="1"/>
  <c r="CK1077" i="1"/>
  <c r="CJ1077" i="1"/>
  <c r="CI1077" i="1"/>
  <c r="CH1077" i="1"/>
  <c r="CG1077" i="1"/>
  <c r="CF1077" i="1"/>
  <c r="CD1077" i="1"/>
  <c r="CC1077" i="1"/>
  <c r="CB1077" i="1"/>
  <c r="CA1077" i="1"/>
  <c r="BZ1077" i="1"/>
  <c r="BY1077" i="1"/>
  <c r="BX1077" i="1"/>
  <c r="BU1077" i="1"/>
  <c r="BN1077" i="1"/>
  <c r="BS1077" i="1" s="1"/>
  <c r="BA1077" i="1"/>
  <c r="AZ1077" i="1"/>
  <c r="AY1077" i="1"/>
  <c r="AX1077" i="1"/>
  <c r="AW1077" i="1"/>
  <c r="AV1077" i="1"/>
  <c r="AT1077" i="1"/>
  <c r="AS1077" i="1"/>
  <c r="CS1076" i="1"/>
  <c r="CR1076" i="1"/>
  <c r="CQ1076" i="1"/>
  <c r="CP1076" i="1"/>
  <c r="CO1076" i="1"/>
  <c r="CN1076" i="1"/>
  <c r="CL1076" i="1"/>
  <c r="CK1076" i="1"/>
  <c r="CJ1076" i="1"/>
  <c r="CI1076" i="1"/>
  <c r="CH1076" i="1"/>
  <c r="CG1076" i="1"/>
  <c r="CF1076" i="1"/>
  <c r="CD1076" i="1"/>
  <c r="CC1076" i="1"/>
  <c r="CB1076" i="1"/>
  <c r="CA1076" i="1"/>
  <c r="BZ1076" i="1"/>
  <c r="BY1076" i="1"/>
  <c r="BX1076" i="1"/>
  <c r="BU1076" i="1"/>
  <c r="BN1076" i="1"/>
  <c r="BS1076" i="1" s="1"/>
  <c r="BA1076" i="1"/>
  <c r="AZ1076" i="1"/>
  <c r="AY1076" i="1"/>
  <c r="AX1076" i="1"/>
  <c r="AW1076" i="1"/>
  <c r="AV1076" i="1"/>
  <c r="AT1076" i="1"/>
  <c r="AS1076" i="1"/>
  <c r="CS1075" i="1"/>
  <c r="CR1075" i="1"/>
  <c r="CQ1075" i="1"/>
  <c r="CP1075" i="1"/>
  <c r="CO1075" i="1"/>
  <c r="CN1075" i="1"/>
  <c r="CL1075" i="1"/>
  <c r="CK1075" i="1"/>
  <c r="CJ1075" i="1"/>
  <c r="CI1075" i="1"/>
  <c r="CH1075" i="1"/>
  <c r="CG1075" i="1"/>
  <c r="CF1075" i="1"/>
  <c r="CD1075" i="1"/>
  <c r="CC1075" i="1"/>
  <c r="CB1075" i="1"/>
  <c r="CA1075" i="1"/>
  <c r="BZ1075" i="1"/>
  <c r="BY1075" i="1"/>
  <c r="BX1075" i="1"/>
  <c r="BU1075" i="1"/>
  <c r="BN1075" i="1"/>
  <c r="BS1075" i="1" s="1"/>
  <c r="BA1075" i="1"/>
  <c r="AZ1075" i="1"/>
  <c r="AY1075" i="1"/>
  <c r="AX1075" i="1"/>
  <c r="AW1075" i="1"/>
  <c r="AV1075" i="1"/>
  <c r="AT1075" i="1"/>
  <c r="AS1075" i="1"/>
  <c r="CS1074" i="1"/>
  <c r="CR1074" i="1"/>
  <c r="CQ1074" i="1"/>
  <c r="CP1074" i="1"/>
  <c r="CO1074" i="1"/>
  <c r="CN1074" i="1"/>
  <c r="CL1074" i="1"/>
  <c r="CK1074" i="1"/>
  <c r="CJ1074" i="1"/>
  <c r="CI1074" i="1"/>
  <c r="CH1074" i="1"/>
  <c r="CG1074" i="1"/>
  <c r="CF1074" i="1"/>
  <c r="CD1074" i="1"/>
  <c r="CC1074" i="1"/>
  <c r="CB1074" i="1"/>
  <c r="CA1074" i="1"/>
  <c r="BZ1074" i="1"/>
  <c r="BY1074" i="1"/>
  <c r="BX1074" i="1"/>
  <c r="BU1074" i="1"/>
  <c r="BN1074" i="1"/>
  <c r="BS1074" i="1" s="1"/>
  <c r="BA1074" i="1"/>
  <c r="AZ1074" i="1"/>
  <c r="AY1074" i="1"/>
  <c r="AX1074" i="1"/>
  <c r="AW1074" i="1"/>
  <c r="AV1074" i="1"/>
  <c r="AT1074" i="1"/>
  <c r="AS1074" i="1"/>
  <c r="CS1073" i="1"/>
  <c r="CR1073" i="1"/>
  <c r="CQ1073" i="1"/>
  <c r="CP1073" i="1"/>
  <c r="CO1073" i="1"/>
  <c r="CN1073" i="1"/>
  <c r="CL1073" i="1"/>
  <c r="CK1073" i="1"/>
  <c r="CJ1073" i="1"/>
  <c r="CI1073" i="1"/>
  <c r="CH1073" i="1"/>
  <c r="CG1073" i="1"/>
  <c r="CF1073" i="1"/>
  <c r="CD1073" i="1"/>
  <c r="CC1073" i="1"/>
  <c r="CB1073" i="1"/>
  <c r="CA1073" i="1"/>
  <c r="BZ1073" i="1"/>
  <c r="BY1073" i="1"/>
  <c r="BX1073" i="1"/>
  <c r="BU1073" i="1"/>
  <c r="BN1073" i="1"/>
  <c r="BS1073" i="1" s="1"/>
  <c r="BA1073" i="1"/>
  <c r="AZ1073" i="1"/>
  <c r="AY1073" i="1"/>
  <c r="AX1073" i="1"/>
  <c r="AW1073" i="1"/>
  <c r="AV1073" i="1"/>
  <c r="AT1073" i="1"/>
  <c r="AS1073" i="1"/>
  <c r="CS1072" i="1"/>
  <c r="CR1072" i="1"/>
  <c r="CQ1072" i="1"/>
  <c r="CP1072" i="1"/>
  <c r="CO1072" i="1"/>
  <c r="CN1072" i="1"/>
  <c r="CL1072" i="1"/>
  <c r="CK1072" i="1"/>
  <c r="CJ1072" i="1"/>
  <c r="CI1072" i="1"/>
  <c r="CH1072" i="1"/>
  <c r="CG1072" i="1"/>
  <c r="CF1072" i="1"/>
  <c r="CD1072" i="1"/>
  <c r="CC1072" i="1"/>
  <c r="CB1072" i="1"/>
  <c r="CA1072" i="1"/>
  <c r="BZ1072" i="1"/>
  <c r="BY1072" i="1"/>
  <c r="BX1072" i="1"/>
  <c r="BU1072" i="1"/>
  <c r="BN1072" i="1"/>
  <c r="BS1072" i="1" s="1"/>
  <c r="BA1072" i="1"/>
  <c r="AZ1072" i="1"/>
  <c r="AY1072" i="1"/>
  <c r="AX1072" i="1"/>
  <c r="AW1072" i="1"/>
  <c r="AV1072" i="1"/>
  <c r="AT1072" i="1"/>
  <c r="AS1072" i="1"/>
  <c r="CS1071" i="1"/>
  <c r="CR1071" i="1"/>
  <c r="CQ1071" i="1"/>
  <c r="CP1071" i="1"/>
  <c r="CO1071" i="1"/>
  <c r="CN1071" i="1"/>
  <c r="CL1071" i="1"/>
  <c r="CK1071" i="1"/>
  <c r="CJ1071" i="1"/>
  <c r="CI1071" i="1"/>
  <c r="CH1071" i="1"/>
  <c r="CG1071" i="1"/>
  <c r="CF1071" i="1"/>
  <c r="CD1071" i="1"/>
  <c r="CC1071" i="1"/>
  <c r="CB1071" i="1"/>
  <c r="CA1071" i="1"/>
  <c r="BZ1071" i="1"/>
  <c r="BY1071" i="1"/>
  <c r="BX1071" i="1"/>
  <c r="BU1071" i="1"/>
  <c r="BN1071" i="1"/>
  <c r="BS1071" i="1" s="1"/>
  <c r="BA1071" i="1"/>
  <c r="AZ1071" i="1"/>
  <c r="AY1071" i="1"/>
  <c r="AX1071" i="1"/>
  <c r="AW1071" i="1"/>
  <c r="AV1071" i="1"/>
  <c r="AT1071" i="1"/>
  <c r="AS1071" i="1"/>
  <c r="CS1070" i="1"/>
  <c r="CR1070" i="1"/>
  <c r="CQ1070" i="1"/>
  <c r="CP1070" i="1"/>
  <c r="CO1070" i="1"/>
  <c r="CN1070" i="1"/>
  <c r="CL1070" i="1"/>
  <c r="CK1070" i="1"/>
  <c r="CJ1070" i="1"/>
  <c r="CI1070" i="1"/>
  <c r="CH1070" i="1"/>
  <c r="CG1070" i="1"/>
  <c r="CF1070" i="1"/>
  <c r="CD1070" i="1"/>
  <c r="CC1070" i="1"/>
  <c r="CB1070" i="1"/>
  <c r="CA1070" i="1"/>
  <c r="BZ1070" i="1"/>
  <c r="BY1070" i="1"/>
  <c r="BX1070" i="1"/>
  <c r="BU1070" i="1"/>
  <c r="BN1070" i="1"/>
  <c r="BS1070" i="1" s="1"/>
  <c r="BA1070" i="1"/>
  <c r="AZ1070" i="1"/>
  <c r="AY1070" i="1"/>
  <c r="AX1070" i="1"/>
  <c r="AW1070" i="1"/>
  <c r="AV1070" i="1"/>
  <c r="AT1070" i="1"/>
  <c r="AS1070" i="1"/>
  <c r="CS1069" i="1"/>
  <c r="CR1069" i="1"/>
  <c r="CQ1069" i="1"/>
  <c r="CP1069" i="1"/>
  <c r="CO1069" i="1"/>
  <c r="CN1069" i="1"/>
  <c r="CL1069" i="1"/>
  <c r="CK1069" i="1"/>
  <c r="CJ1069" i="1"/>
  <c r="CI1069" i="1"/>
  <c r="CH1069" i="1"/>
  <c r="CG1069" i="1"/>
  <c r="CF1069" i="1"/>
  <c r="CD1069" i="1"/>
  <c r="CC1069" i="1"/>
  <c r="CB1069" i="1"/>
  <c r="CA1069" i="1"/>
  <c r="BZ1069" i="1"/>
  <c r="BY1069" i="1"/>
  <c r="BX1069" i="1"/>
  <c r="BU1069" i="1"/>
  <c r="BN1069" i="1"/>
  <c r="BS1069" i="1" s="1"/>
  <c r="BA1069" i="1"/>
  <c r="AZ1069" i="1"/>
  <c r="AY1069" i="1"/>
  <c r="AX1069" i="1"/>
  <c r="AW1069" i="1"/>
  <c r="AV1069" i="1"/>
  <c r="AT1069" i="1"/>
  <c r="AS1069" i="1"/>
  <c r="CS1068" i="1"/>
  <c r="CR1068" i="1"/>
  <c r="CQ1068" i="1"/>
  <c r="CP1068" i="1"/>
  <c r="CO1068" i="1"/>
  <c r="CN1068" i="1"/>
  <c r="CL1068" i="1"/>
  <c r="CK1068" i="1"/>
  <c r="CJ1068" i="1"/>
  <c r="CI1068" i="1"/>
  <c r="CH1068" i="1"/>
  <c r="CG1068" i="1"/>
  <c r="CF1068" i="1"/>
  <c r="CD1068" i="1"/>
  <c r="CC1068" i="1"/>
  <c r="CB1068" i="1"/>
  <c r="CA1068" i="1"/>
  <c r="BZ1068" i="1"/>
  <c r="BY1068" i="1"/>
  <c r="BX1068" i="1"/>
  <c r="BU1068" i="1"/>
  <c r="BN1068" i="1"/>
  <c r="BS1068" i="1" s="1"/>
  <c r="BA1068" i="1"/>
  <c r="AZ1068" i="1"/>
  <c r="AY1068" i="1"/>
  <c r="AX1068" i="1"/>
  <c r="AW1068" i="1"/>
  <c r="AV1068" i="1"/>
  <c r="AT1068" i="1"/>
  <c r="AS1068" i="1"/>
  <c r="CS1067" i="1"/>
  <c r="CR1067" i="1"/>
  <c r="CQ1067" i="1"/>
  <c r="CP1067" i="1"/>
  <c r="CO1067" i="1"/>
  <c r="CN1067" i="1"/>
  <c r="CL1067" i="1"/>
  <c r="CK1067" i="1"/>
  <c r="CJ1067" i="1"/>
  <c r="CI1067" i="1"/>
  <c r="CH1067" i="1"/>
  <c r="CG1067" i="1"/>
  <c r="CF1067" i="1"/>
  <c r="CD1067" i="1"/>
  <c r="CC1067" i="1"/>
  <c r="CB1067" i="1"/>
  <c r="CA1067" i="1"/>
  <c r="BZ1067" i="1"/>
  <c r="BY1067" i="1"/>
  <c r="BX1067" i="1"/>
  <c r="BU1067" i="1"/>
  <c r="BN1067" i="1"/>
  <c r="BS1067" i="1" s="1"/>
  <c r="BA1067" i="1"/>
  <c r="AZ1067" i="1"/>
  <c r="AY1067" i="1"/>
  <c r="AX1067" i="1"/>
  <c r="AW1067" i="1"/>
  <c r="AV1067" i="1"/>
  <c r="AT1067" i="1"/>
  <c r="AS1067" i="1"/>
  <c r="CS1066" i="1"/>
  <c r="CR1066" i="1"/>
  <c r="CQ1066" i="1"/>
  <c r="CP1066" i="1"/>
  <c r="CO1066" i="1"/>
  <c r="CN1066" i="1"/>
  <c r="CL1066" i="1"/>
  <c r="CK1066" i="1"/>
  <c r="CJ1066" i="1"/>
  <c r="CI1066" i="1"/>
  <c r="CH1066" i="1"/>
  <c r="CG1066" i="1"/>
  <c r="CF1066" i="1"/>
  <c r="CD1066" i="1"/>
  <c r="CC1066" i="1"/>
  <c r="CB1066" i="1"/>
  <c r="CA1066" i="1"/>
  <c r="BZ1066" i="1"/>
  <c r="BY1066" i="1"/>
  <c r="BX1066" i="1"/>
  <c r="BU1066" i="1"/>
  <c r="BN1066" i="1"/>
  <c r="BS1066" i="1" s="1"/>
  <c r="BA1066" i="1"/>
  <c r="AZ1066" i="1"/>
  <c r="AY1066" i="1"/>
  <c r="AX1066" i="1"/>
  <c r="AW1066" i="1"/>
  <c r="AV1066" i="1"/>
  <c r="AT1066" i="1"/>
  <c r="AS1066" i="1"/>
  <c r="CS1065" i="1"/>
  <c r="CR1065" i="1"/>
  <c r="CQ1065" i="1"/>
  <c r="CP1065" i="1"/>
  <c r="CO1065" i="1"/>
  <c r="CN1065" i="1"/>
  <c r="CL1065" i="1"/>
  <c r="CK1065" i="1"/>
  <c r="CJ1065" i="1"/>
  <c r="CI1065" i="1"/>
  <c r="CH1065" i="1"/>
  <c r="CG1065" i="1"/>
  <c r="CF1065" i="1"/>
  <c r="CD1065" i="1"/>
  <c r="CC1065" i="1"/>
  <c r="CB1065" i="1"/>
  <c r="CA1065" i="1"/>
  <c r="BZ1065" i="1"/>
  <c r="BY1065" i="1"/>
  <c r="BX1065" i="1"/>
  <c r="BU1065" i="1"/>
  <c r="BN1065" i="1"/>
  <c r="BS1065" i="1" s="1"/>
  <c r="BA1065" i="1"/>
  <c r="AZ1065" i="1"/>
  <c r="AY1065" i="1"/>
  <c r="AX1065" i="1"/>
  <c r="AW1065" i="1"/>
  <c r="AV1065" i="1"/>
  <c r="AT1065" i="1"/>
  <c r="AS1065" i="1"/>
  <c r="CS1064" i="1"/>
  <c r="CR1064" i="1"/>
  <c r="CQ1064" i="1"/>
  <c r="CP1064" i="1"/>
  <c r="CO1064" i="1"/>
  <c r="CN1064" i="1"/>
  <c r="CL1064" i="1"/>
  <c r="CK1064" i="1"/>
  <c r="CJ1064" i="1"/>
  <c r="CI1064" i="1"/>
  <c r="CH1064" i="1"/>
  <c r="CG1064" i="1"/>
  <c r="CF1064" i="1"/>
  <c r="CD1064" i="1"/>
  <c r="CC1064" i="1"/>
  <c r="CB1064" i="1"/>
  <c r="CA1064" i="1"/>
  <c r="BZ1064" i="1"/>
  <c r="BY1064" i="1"/>
  <c r="BX1064" i="1"/>
  <c r="BU1064" i="1"/>
  <c r="BN1064" i="1"/>
  <c r="BS1064" i="1" s="1"/>
  <c r="BA1064" i="1"/>
  <c r="AZ1064" i="1"/>
  <c r="AY1064" i="1"/>
  <c r="AX1064" i="1"/>
  <c r="AW1064" i="1"/>
  <c r="AV1064" i="1"/>
  <c r="AT1064" i="1"/>
  <c r="AS1064" i="1"/>
  <c r="CS1063" i="1"/>
  <c r="CR1063" i="1"/>
  <c r="CQ1063" i="1"/>
  <c r="CP1063" i="1"/>
  <c r="CO1063" i="1"/>
  <c r="CN1063" i="1"/>
  <c r="CL1063" i="1"/>
  <c r="CK1063" i="1"/>
  <c r="CJ1063" i="1"/>
  <c r="CI1063" i="1"/>
  <c r="CH1063" i="1"/>
  <c r="CG1063" i="1"/>
  <c r="CF1063" i="1"/>
  <c r="CD1063" i="1"/>
  <c r="CC1063" i="1"/>
  <c r="CB1063" i="1"/>
  <c r="CA1063" i="1"/>
  <c r="BZ1063" i="1"/>
  <c r="BY1063" i="1"/>
  <c r="BX1063" i="1"/>
  <c r="BU1063" i="1"/>
  <c r="BN1063" i="1"/>
  <c r="BS1063" i="1" s="1"/>
  <c r="BA1063" i="1"/>
  <c r="AZ1063" i="1"/>
  <c r="AY1063" i="1"/>
  <c r="AX1063" i="1"/>
  <c r="AW1063" i="1"/>
  <c r="AV1063" i="1"/>
  <c r="AT1063" i="1"/>
  <c r="AS1063" i="1"/>
  <c r="CS1062" i="1"/>
  <c r="CR1062" i="1"/>
  <c r="CQ1062" i="1"/>
  <c r="CP1062" i="1"/>
  <c r="CO1062" i="1"/>
  <c r="CN1062" i="1"/>
  <c r="CL1062" i="1"/>
  <c r="CK1062" i="1"/>
  <c r="CJ1062" i="1"/>
  <c r="CI1062" i="1"/>
  <c r="CH1062" i="1"/>
  <c r="CG1062" i="1"/>
  <c r="CF1062" i="1"/>
  <c r="CD1062" i="1"/>
  <c r="CC1062" i="1"/>
  <c r="CB1062" i="1"/>
  <c r="CA1062" i="1"/>
  <c r="BZ1062" i="1"/>
  <c r="BY1062" i="1"/>
  <c r="BX1062" i="1"/>
  <c r="BU1062" i="1"/>
  <c r="BN1062" i="1"/>
  <c r="BS1062" i="1" s="1"/>
  <c r="BA1062" i="1"/>
  <c r="AZ1062" i="1"/>
  <c r="AY1062" i="1"/>
  <c r="AX1062" i="1"/>
  <c r="AW1062" i="1"/>
  <c r="AV1062" i="1"/>
  <c r="AT1062" i="1"/>
  <c r="AS1062" i="1"/>
  <c r="CS1061" i="1"/>
  <c r="CR1061" i="1"/>
  <c r="CQ1061" i="1"/>
  <c r="CP1061" i="1"/>
  <c r="CO1061" i="1"/>
  <c r="CN1061" i="1"/>
  <c r="CL1061" i="1"/>
  <c r="CK1061" i="1"/>
  <c r="CJ1061" i="1"/>
  <c r="CI1061" i="1"/>
  <c r="CH1061" i="1"/>
  <c r="CG1061" i="1"/>
  <c r="CF1061" i="1"/>
  <c r="CD1061" i="1"/>
  <c r="CC1061" i="1"/>
  <c r="CB1061" i="1"/>
  <c r="CA1061" i="1"/>
  <c r="BZ1061" i="1"/>
  <c r="BY1061" i="1"/>
  <c r="BX1061" i="1"/>
  <c r="BU1061" i="1"/>
  <c r="BN1061" i="1"/>
  <c r="BS1061" i="1" s="1"/>
  <c r="BA1061" i="1"/>
  <c r="AZ1061" i="1"/>
  <c r="AY1061" i="1"/>
  <c r="AX1061" i="1"/>
  <c r="AW1061" i="1"/>
  <c r="AV1061" i="1"/>
  <c r="AT1061" i="1"/>
  <c r="AS1061" i="1"/>
  <c r="CS1060" i="1"/>
  <c r="CR1060" i="1"/>
  <c r="CQ1060" i="1"/>
  <c r="CP1060" i="1"/>
  <c r="CO1060" i="1"/>
  <c r="CN1060" i="1"/>
  <c r="CL1060" i="1"/>
  <c r="CK1060" i="1"/>
  <c r="CJ1060" i="1"/>
  <c r="CI1060" i="1"/>
  <c r="CH1060" i="1"/>
  <c r="CG1060" i="1"/>
  <c r="CF1060" i="1"/>
  <c r="CD1060" i="1"/>
  <c r="CC1060" i="1"/>
  <c r="CB1060" i="1"/>
  <c r="CA1060" i="1"/>
  <c r="BZ1060" i="1"/>
  <c r="BY1060" i="1"/>
  <c r="BX1060" i="1"/>
  <c r="BU1060" i="1"/>
  <c r="BN1060" i="1"/>
  <c r="BS1060" i="1" s="1"/>
  <c r="BA1060" i="1"/>
  <c r="AZ1060" i="1"/>
  <c r="AY1060" i="1"/>
  <c r="AX1060" i="1"/>
  <c r="AW1060" i="1"/>
  <c r="AV1060" i="1"/>
  <c r="AT1060" i="1"/>
  <c r="AS1060" i="1"/>
  <c r="CS1059" i="1"/>
  <c r="CR1059" i="1"/>
  <c r="CQ1059" i="1"/>
  <c r="CP1059" i="1"/>
  <c r="CO1059" i="1"/>
  <c r="CN1059" i="1"/>
  <c r="CL1059" i="1"/>
  <c r="CK1059" i="1"/>
  <c r="CJ1059" i="1"/>
  <c r="CI1059" i="1"/>
  <c r="CH1059" i="1"/>
  <c r="CG1059" i="1"/>
  <c r="CF1059" i="1"/>
  <c r="CD1059" i="1"/>
  <c r="CC1059" i="1"/>
  <c r="CB1059" i="1"/>
  <c r="CA1059" i="1"/>
  <c r="BZ1059" i="1"/>
  <c r="BY1059" i="1"/>
  <c r="BX1059" i="1"/>
  <c r="BU1059" i="1"/>
  <c r="BN1059" i="1"/>
  <c r="BS1059" i="1" s="1"/>
  <c r="BA1059" i="1"/>
  <c r="AZ1059" i="1"/>
  <c r="AY1059" i="1"/>
  <c r="AX1059" i="1"/>
  <c r="AW1059" i="1"/>
  <c r="AV1059" i="1"/>
  <c r="AT1059" i="1"/>
  <c r="AS1059" i="1"/>
  <c r="CS1058" i="1"/>
  <c r="CR1058" i="1"/>
  <c r="CQ1058" i="1"/>
  <c r="CP1058" i="1"/>
  <c r="CO1058" i="1"/>
  <c r="CN1058" i="1"/>
  <c r="CL1058" i="1"/>
  <c r="CK1058" i="1"/>
  <c r="CJ1058" i="1"/>
  <c r="CI1058" i="1"/>
  <c r="CH1058" i="1"/>
  <c r="CG1058" i="1"/>
  <c r="CF1058" i="1"/>
  <c r="CD1058" i="1"/>
  <c r="CC1058" i="1"/>
  <c r="CB1058" i="1"/>
  <c r="CA1058" i="1"/>
  <c r="BZ1058" i="1"/>
  <c r="BY1058" i="1"/>
  <c r="BX1058" i="1"/>
  <c r="BU1058" i="1"/>
  <c r="BN1058" i="1"/>
  <c r="BS1058" i="1" s="1"/>
  <c r="BA1058" i="1"/>
  <c r="AZ1058" i="1"/>
  <c r="AY1058" i="1"/>
  <c r="AX1058" i="1"/>
  <c r="AW1058" i="1"/>
  <c r="AV1058" i="1"/>
  <c r="AT1058" i="1"/>
  <c r="AS1058" i="1"/>
  <c r="CS1057" i="1"/>
  <c r="CR1057" i="1"/>
  <c r="CQ1057" i="1"/>
  <c r="CP1057" i="1"/>
  <c r="CO1057" i="1"/>
  <c r="CN1057" i="1"/>
  <c r="CL1057" i="1"/>
  <c r="CK1057" i="1"/>
  <c r="CJ1057" i="1"/>
  <c r="CI1057" i="1"/>
  <c r="CH1057" i="1"/>
  <c r="CG1057" i="1"/>
  <c r="CF1057" i="1"/>
  <c r="CD1057" i="1"/>
  <c r="CC1057" i="1"/>
  <c r="CB1057" i="1"/>
  <c r="CA1057" i="1"/>
  <c r="BZ1057" i="1"/>
  <c r="BY1057" i="1"/>
  <c r="BX1057" i="1"/>
  <c r="BU1057" i="1"/>
  <c r="BN1057" i="1"/>
  <c r="BS1057" i="1" s="1"/>
  <c r="BA1057" i="1"/>
  <c r="AZ1057" i="1"/>
  <c r="AY1057" i="1"/>
  <c r="AX1057" i="1"/>
  <c r="AW1057" i="1"/>
  <c r="AV1057" i="1"/>
  <c r="AT1057" i="1"/>
  <c r="AS1057" i="1"/>
  <c r="CS1056" i="1"/>
  <c r="CR1056" i="1"/>
  <c r="CQ1056" i="1"/>
  <c r="CP1056" i="1"/>
  <c r="CO1056" i="1"/>
  <c r="CN1056" i="1"/>
  <c r="CL1056" i="1"/>
  <c r="CK1056" i="1"/>
  <c r="CJ1056" i="1"/>
  <c r="CI1056" i="1"/>
  <c r="CH1056" i="1"/>
  <c r="CG1056" i="1"/>
  <c r="CF1056" i="1"/>
  <c r="CD1056" i="1"/>
  <c r="CC1056" i="1"/>
  <c r="CB1056" i="1"/>
  <c r="CA1056" i="1"/>
  <c r="BZ1056" i="1"/>
  <c r="BY1056" i="1"/>
  <c r="BX1056" i="1"/>
  <c r="BU1056" i="1"/>
  <c r="BN1056" i="1"/>
  <c r="BS1056" i="1" s="1"/>
  <c r="BA1056" i="1"/>
  <c r="AZ1056" i="1"/>
  <c r="AY1056" i="1"/>
  <c r="AX1056" i="1"/>
  <c r="AW1056" i="1"/>
  <c r="AV1056" i="1"/>
  <c r="AT1056" i="1"/>
  <c r="AS1056" i="1"/>
  <c r="CS1055" i="1"/>
  <c r="CR1055" i="1"/>
  <c r="CQ1055" i="1"/>
  <c r="CP1055" i="1"/>
  <c r="CO1055" i="1"/>
  <c r="CN1055" i="1"/>
  <c r="CL1055" i="1"/>
  <c r="CK1055" i="1"/>
  <c r="CJ1055" i="1"/>
  <c r="CI1055" i="1"/>
  <c r="CH1055" i="1"/>
  <c r="CG1055" i="1"/>
  <c r="CF1055" i="1"/>
  <c r="CD1055" i="1"/>
  <c r="CC1055" i="1"/>
  <c r="CB1055" i="1"/>
  <c r="CA1055" i="1"/>
  <c r="BZ1055" i="1"/>
  <c r="BY1055" i="1"/>
  <c r="BX1055" i="1"/>
  <c r="BU1055" i="1"/>
  <c r="BN1055" i="1"/>
  <c r="BS1055" i="1" s="1"/>
  <c r="BA1055" i="1"/>
  <c r="AZ1055" i="1"/>
  <c r="AY1055" i="1"/>
  <c r="AX1055" i="1"/>
  <c r="AW1055" i="1"/>
  <c r="AV1055" i="1"/>
  <c r="AT1055" i="1"/>
  <c r="AS1055" i="1"/>
  <c r="CS1054" i="1"/>
  <c r="CR1054" i="1"/>
  <c r="CQ1054" i="1"/>
  <c r="CP1054" i="1"/>
  <c r="CO1054" i="1"/>
  <c r="CN1054" i="1"/>
  <c r="CL1054" i="1"/>
  <c r="CK1054" i="1"/>
  <c r="CJ1054" i="1"/>
  <c r="CI1054" i="1"/>
  <c r="CH1054" i="1"/>
  <c r="CG1054" i="1"/>
  <c r="CF1054" i="1"/>
  <c r="CD1054" i="1"/>
  <c r="CC1054" i="1"/>
  <c r="CB1054" i="1"/>
  <c r="CA1054" i="1"/>
  <c r="BZ1054" i="1"/>
  <c r="BY1054" i="1"/>
  <c r="BX1054" i="1"/>
  <c r="BU1054" i="1"/>
  <c r="BN1054" i="1"/>
  <c r="BS1054" i="1" s="1"/>
  <c r="BA1054" i="1"/>
  <c r="AZ1054" i="1"/>
  <c r="AY1054" i="1"/>
  <c r="AX1054" i="1"/>
  <c r="AW1054" i="1"/>
  <c r="AV1054" i="1"/>
  <c r="AT1054" i="1"/>
  <c r="AS1054" i="1"/>
  <c r="CS1053" i="1"/>
  <c r="CR1053" i="1"/>
  <c r="CQ1053" i="1"/>
  <c r="CP1053" i="1"/>
  <c r="CO1053" i="1"/>
  <c r="CN1053" i="1"/>
  <c r="CL1053" i="1"/>
  <c r="CK1053" i="1"/>
  <c r="CJ1053" i="1"/>
  <c r="CI1053" i="1"/>
  <c r="CH1053" i="1"/>
  <c r="CG1053" i="1"/>
  <c r="CF1053" i="1"/>
  <c r="CD1053" i="1"/>
  <c r="CC1053" i="1"/>
  <c r="CB1053" i="1"/>
  <c r="CA1053" i="1"/>
  <c r="BZ1053" i="1"/>
  <c r="BY1053" i="1"/>
  <c r="BX1053" i="1"/>
  <c r="BU1053" i="1"/>
  <c r="BN1053" i="1"/>
  <c r="BS1053" i="1" s="1"/>
  <c r="BA1053" i="1"/>
  <c r="AZ1053" i="1"/>
  <c r="AY1053" i="1"/>
  <c r="AX1053" i="1"/>
  <c r="AW1053" i="1"/>
  <c r="AV1053" i="1"/>
  <c r="AT1053" i="1"/>
  <c r="AS1053" i="1"/>
  <c r="CS1052" i="1"/>
  <c r="CR1052" i="1"/>
  <c r="CQ1052" i="1"/>
  <c r="CP1052" i="1"/>
  <c r="CO1052" i="1"/>
  <c r="CN1052" i="1"/>
  <c r="CL1052" i="1"/>
  <c r="CK1052" i="1"/>
  <c r="CJ1052" i="1"/>
  <c r="CI1052" i="1"/>
  <c r="CH1052" i="1"/>
  <c r="CG1052" i="1"/>
  <c r="CF1052" i="1"/>
  <c r="CD1052" i="1"/>
  <c r="CC1052" i="1"/>
  <c r="CB1052" i="1"/>
  <c r="CA1052" i="1"/>
  <c r="BZ1052" i="1"/>
  <c r="BY1052" i="1"/>
  <c r="BX1052" i="1"/>
  <c r="BU1052" i="1"/>
  <c r="BN1052" i="1"/>
  <c r="BS1052" i="1" s="1"/>
  <c r="BA1052" i="1"/>
  <c r="AZ1052" i="1"/>
  <c r="AY1052" i="1"/>
  <c r="AX1052" i="1"/>
  <c r="AW1052" i="1"/>
  <c r="AV1052" i="1"/>
  <c r="AT1052" i="1"/>
  <c r="AS1052" i="1"/>
  <c r="CS1051" i="1"/>
  <c r="CR1051" i="1"/>
  <c r="CQ1051" i="1"/>
  <c r="CP1051" i="1"/>
  <c r="CO1051" i="1"/>
  <c r="CN1051" i="1"/>
  <c r="CL1051" i="1"/>
  <c r="CK1051" i="1"/>
  <c r="CJ1051" i="1"/>
  <c r="CI1051" i="1"/>
  <c r="CH1051" i="1"/>
  <c r="CG1051" i="1"/>
  <c r="CF1051" i="1"/>
  <c r="CD1051" i="1"/>
  <c r="CC1051" i="1"/>
  <c r="CB1051" i="1"/>
  <c r="CA1051" i="1"/>
  <c r="BZ1051" i="1"/>
  <c r="BY1051" i="1"/>
  <c r="BX1051" i="1"/>
  <c r="BU1051" i="1"/>
  <c r="BN1051" i="1"/>
  <c r="BS1051" i="1" s="1"/>
  <c r="BA1051" i="1"/>
  <c r="AZ1051" i="1"/>
  <c r="AY1051" i="1"/>
  <c r="AX1051" i="1"/>
  <c r="AW1051" i="1"/>
  <c r="AV1051" i="1"/>
  <c r="AT1051" i="1"/>
  <c r="AS1051" i="1"/>
  <c r="CS1050" i="1"/>
  <c r="CR1050" i="1"/>
  <c r="CQ1050" i="1"/>
  <c r="CP1050" i="1"/>
  <c r="CO1050" i="1"/>
  <c r="CN1050" i="1"/>
  <c r="CL1050" i="1"/>
  <c r="CK1050" i="1"/>
  <c r="CJ1050" i="1"/>
  <c r="CI1050" i="1"/>
  <c r="CH1050" i="1"/>
  <c r="CG1050" i="1"/>
  <c r="CF1050" i="1"/>
  <c r="CD1050" i="1"/>
  <c r="CC1050" i="1"/>
  <c r="CB1050" i="1"/>
  <c r="CA1050" i="1"/>
  <c r="BZ1050" i="1"/>
  <c r="BY1050" i="1"/>
  <c r="BX1050" i="1"/>
  <c r="BU1050" i="1"/>
  <c r="BN1050" i="1"/>
  <c r="BS1050" i="1" s="1"/>
  <c r="BA1050" i="1"/>
  <c r="AZ1050" i="1"/>
  <c r="AY1050" i="1"/>
  <c r="AX1050" i="1"/>
  <c r="AW1050" i="1"/>
  <c r="AV1050" i="1"/>
  <c r="AT1050" i="1"/>
  <c r="AS1050" i="1"/>
  <c r="CS1049" i="1"/>
  <c r="CR1049" i="1"/>
  <c r="CQ1049" i="1"/>
  <c r="CP1049" i="1"/>
  <c r="CO1049" i="1"/>
  <c r="CN1049" i="1"/>
  <c r="CL1049" i="1"/>
  <c r="CK1049" i="1"/>
  <c r="CJ1049" i="1"/>
  <c r="CI1049" i="1"/>
  <c r="CH1049" i="1"/>
  <c r="CG1049" i="1"/>
  <c r="CF1049" i="1"/>
  <c r="CD1049" i="1"/>
  <c r="CC1049" i="1"/>
  <c r="CB1049" i="1"/>
  <c r="CA1049" i="1"/>
  <c r="BZ1049" i="1"/>
  <c r="BY1049" i="1"/>
  <c r="BX1049" i="1"/>
  <c r="BU1049" i="1"/>
  <c r="BN1049" i="1"/>
  <c r="BS1049" i="1" s="1"/>
  <c r="BA1049" i="1"/>
  <c r="AZ1049" i="1"/>
  <c r="AY1049" i="1"/>
  <c r="AX1049" i="1"/>
  <c r="AW1049" i="1"/>
  <c r="AV1049" i="1"/>
  <c r="AT1049" i="1"/>
  <c r="AS1049" i="1"/>
  <c r="CS1048" i="1"/>
  <c r="CR1048" i="1"/>
  <c r="CQ1048" i="1"/>
  <c r="CP1048" i="1"/>
  <c r="CO1048" i="1"/>
  <c r="CN1048" i="1"/>
  <c r="CL1048" i="1"/>
  <c r="CK1048" i="1"/>
  <c r="CJ1048" i="1"/>
  <c r="CI1048" i="1"/>
  <c r="CH1048" i="1"/>
  <c r="CG1048" i="1"/>
  <c r="CF1048" i="1"/>
  <c r="CD1048" i="1"/>
  <c r="CC1048" i="1"/>
  <c r="CB1048" i="1"/>
  <c r="CA1048" i="1"/>
  <c r="BZ1048" i="1"/>
  <c r="BY1048" i="1"/>
  <c r="BX1048" i="1"/>
  <c r="BU1048" i="1"/>
  <c r="BN1048" i="1"/>
  <c r="BS1048" i="1" s="1"/>
  <c r="BA1048" i="1"/>
  <c r="AZ1048" i="1"/>
  <c r="AY1048" i="1"/>
  <c r="AX1048" i="1"/>
  <c r="AW1048" i="1"/>
  <c r="AV1048" i="1"/>
  <c r="AT1048" i="1"/>
  <c r="AS1048" i="1"/>
  <c r="CS1047" i="1"/>
  <c r="CR1047" i="1"/>
  <c r="CQ1047" i="1"/>
  <c r="CP1047" i="1"/>
  <c r="CO1047" i="1"/>
  <c r="CN1047" i="1"/>
  <c r="CL1047" i="1"/>
  <c r="CK1047" i="1"/>
  <c r="CJ1047" i="1"/>
  <c r="CI1047" i="1"/>
  <c r="CH1047" i="1"/>
  <c r="CG1047" i="1"/>
  <c r="CF1047" i="1"/>
  <c r="CD1047" i="1"/>
  <c r="CC1047" i="1"/>
  <c r="CB1047" i="1"/>
  <c r="CA1047" i="1"/>
  <c r="BZ1047" i="1"/>
  <c r="BY1047" i="1"/>
  <c r="BX1047" i="1"/>
  <c r="BU1047" i="1"/>
  <c r="BN1047" i="1"/>
  <c r="BS1047" i="1" s="1"/>
  <c r="BA1047" i="1"/>
  <c r="AZ1047" i="1"/>
  <c r="AY1047" i="1"/>
  <c r="AX1047" i="1"/>
  <c r="AW1047" i="1"/>
  <c r="AV1047" i="1"/>
  <c r="AT1047" i="1"/>
  <c r="AS1047" i="1"/>
  <c r="CS1046" i="1"/>
  <c r="CR1046" i="1"/>
  <c r="CQ1046" i="1"/>
  <c r="CP1046" i="1"/>
  <c r="CO1046" i="1"/>
  <c r="CN1046" i="1"/>
  <c r="CL1046" i="1"/>
  <c r="CK1046" i="1"/>
  <c r="CJ1046" i="1"/>
  <c r="CI1046" i="1"/>
  <c r="CH1046" i="1"/>
  <c r="CG1046" i="1"/>
  <c r="CF1046" i="1"/>
  <c r="CD1046" i="1"/>
  <c r="CC1046" i="1"/>
  <c r="CB1046" i="1"/>
  <c r="CA1046" i="1"/>
  <c r="BZ1046" i="1"/>
  <c r="BY1046" i="1"/>
  <c r="BX1046" i="1"/>
  <c r="BU1046" i="1"/>
  <c r="BN1046" i="1"/>
  <c r="BS1046" i="1" s="1"/>
  <c r="BA1046" i="1"/>
  <c r="AZ1046" i="1"/>
  <c r="AY1046" i="1"/>
  <c r="AX1046" i="1"/>
  <c r="AW1046" i="1"/>
  <c r="AV1046" i="1"/>
  <c r="AT1046" i="1"/>
  <c r="AS1046" i="1"/>
  <c r="CS1045" i="1"/>
  <c r="CR1045" i="1"/>
  <c r="CQ1045" i="1"/>
  <c r="CP1045" i="1"/>
  <c r="CO1045" i="1"/>
  <c r="CN1045" i="1"/>
  <c r="CL1045" i="1"/>
  <c r="CK1045" i="1"/>
  <c r="CJ1045" i="1"/>
  <c r="CI1045" i="1"/>
  <c r="CH1045" i="1"/>
  <c r="CG1045" i="1"/>
  <c r="CF1045" i="1"/>
  <c r="CD1045" i="1"/>
  <c r="CC1045" i="1"/>
  <c r="CB1045" i="1"/>
  <c r="CA1045" i="1"/>
  <c r="BZ1045" i="1"/>
  <c r="BY1045" i="1"/>
  <c r="BX1045" i="1"/>
  <c r="BU1045" i="1"/>
  <c r="BN1045" i="1"/>
  <c r="BS1045" i="1" s="1"/>
  <c r="BA1045" i="1"/>
  <c r="AZ1045" i="1"/>
  <c r="AY1045" i="1"/>
  <c r="AX1045" i="1"/>
  <c r="AW1045" i="1"/>
  <c r="AV1045" i="1"/>
  <c r="AT1045" i="1"/>
  <c r="AS1045" i="1"/>
  <c r="CS1044" i="1"/>
  <c r="CR1044" i="1"/>
  <c r="CQ1044" i="1"/>
  <c r="CP1044" i="1"/>
  <c r="CO1044" i="1"/>
  <c r="CN1044" i="1"/>
  <c r="CL1044" i="1"/>
  <c r="CK1044" i="1"/>
  <c r="CJ1044" i="1"/>
  <c r="CI1044" i="1"/>
  <c r="CH1044" i="1"/>
  <c r="CG1044" i="1"/>
  <c r="CF1044" i="1"/>
  <c r="CD1044" i="1"/>
  <c r="CC1044" i="1"/>
  <c r="CB1044" i="1"/>
  <c r="CA1044" i="1"/>
  <c r="BZ1044" i="1"/>
  <c r="BY1044" i="1"/>
  <c r="BX1044" i="1"/>
  <c r="BU1044" i="1"/>
  <c r="BN1044" i="1"/>
  <c r="BS1044" i="1" s="1"/>
  <c r="BA1044" i="1"/>
  <c r="AZ1044" i="1"/>
  <c r="AY1044" i="1"/>
  <c r="AX1044" i="1"/>
  <c r="AW1044" i="1"/>
  <c r="AV1044" i="1"/>
  <c r="AT1044" i="1"/>
  <c r="AS1044" i="1"/>
  <c r="CS1043" i="1"/>
  <c r="CR1043" i="1"/>
  <c r="CQ1043" i="1"/>
  <c r="CP1043" i="1"/>
  <c r="CO1043" i="1"/>
  <c r="CN1043" i="1"/>
  <c r="CL1043" i="1"/>
  <c r="CK1043" i="1"/>
  <c r="CJ1043" i="1"/>
  <c r="CI1043" i="1"/>
  <c r="CH1043" i="1"/>
  <c r="CG1043" i="1"/>
  <c r="CF1043" i="1"/>
  <c r="CD1043" i="1"/>
  <c r="CC1043" i="1"/>
  <c r="CB1043" i="1"/>
  <c r="CA1043" i="1"/>
  <c r="BZ1043" i="1"/>
  <c r="BY1043" i="1"/>
  <c r="BX1043" i="1"/>
  <c r="BU1043" i="1"/>
  <c r="BN1043" i="1"/>
  <c r="BS1043" i="1" s="1"/>
  <c r="BA1043" i="1"/>
  <c r="AZ1043" i="1"/>
  <c r="AY1043" i="1"/>
  <c r="AX1043" i="1"/>
  <c r="AW1043" i="1"/>
  <c r="AV1043" i="1"/>
  <c r="AT1043" i="1"/>
  <c r="AS1043" i="1"/>
  <c r="CS1042" i="1"/>
  <c r="CR1042" i="1"/>
  <c r="CQ1042" i="1"/>
  <c r="CP1042" i="1"/>
  <c r="CO1042" i="1"/>
  <c r="CN1042" i="1"/>
  <c r="CL1042" i="1"/>
  <c r="CK1042" i="1"/>
  <c r="CJ1042" i="1"/>
  <c r="CI1042" i="1"/>
  <c r="CH1042" i="1"/>
  <c r="CG1042" i="1"/>
  <c r="CF1042" i="1"/>
  <c r="CD1042" i="1"/>
  <c r="CC1042" i="1"/>
  <c r="CB1042" i="1"/>
  <c r="CA1042" i="1"/>
  <c r="BZ1042" i="1"/>
  <c r="BY1042" i="1"/>
  <c r="BX1042" i="1"/>
  <c r="BU1042" i="1"/>
  <c r="BN1042" i="1"/>
  <c r="BS1042" i="1" s="1"/>
  <c r="BA1042" i="1"/>
  <c r="AZ1042" i="1"/>
  <c r="AY1042" i="1"/>
  <c r="AX1042" i="1"/>
  <c r="AW1042" i="1"/>
  <c r="AV1042" i="1"/>
  <c r="AT1042" i="1"/>
  <c r="AS1042" i="1"/>
  <c r="CS1041" i="1"/>
  <c r="CR1041" i="1"/>
  <c r="CQ1041" i="1"/>
  <c r="CP1041" i="1"/>
  <c r="CO1041" i="1"/>
  <c r="CN1041" i="1"/>
  <c r="CL1041" i="1"/>
  <c r="CK1041" i="1"/>
  <c r="CJ1041" i="1"/>
  <c r="CI1041" i="1"/>
  <c r="CH1041" i="1"/>
  <c r="CG1041" i="1"/>
  <c r="CF1041" i="1"/>
  <c r="CD1041" i="1"/>
  <c r="CC1041" i="1"/>
  <c r="CB1041" i="1"/>
  <c r="CA1041" i="1"/>
  <c r="BZ1041" i="1"/>
  <c r="BY1041" i="1"/>
  <c r="BX1041" i="1"/>
  <c r="BU1041" i="1"/>
  <c r="BN1041" i="1"/>
  <c r="BS1041" i="1" s="1"/>
  <c r="BA1041" i="1"/>
  <c r="AZ1041" i="1"/>
  <c r="AY1041" i="1"/>
  <c r="AX1041" i="1"/>
  <c r="AW1041" i="1"/>
  <c r="AV1041" i="1"/>
  <c r="AT1041" i="1"/>
  <c r="AS1041" i="1"/>
  <c r="CS1040" i="1"/>
  <c r="CR1040" i="1"/>
  <c r="CQ1040" i="1"/>
  <c r="CP1040" i="1"/>
  <c r="CO1040" i="1"/>
  <c r="CN1040" i="1"/>
  <c r="CL1040" i="1"/>
  <c r="CK1040" i="1"/>
  <c r="CJ1040" i="1"/>
  <c r="CI1040" i="1"/>
  <c r="CH1040" i="1"/>
  <c r="CG1040" i="1"/>
  <c r="CF1040" i="1"/>
  <c r="CD1040" i="1"/>
  <c r="CC1040" i="1"/>
  <c r="CB1040" i="1"/>
  <c r="CA1040" i="1"/>
  <c r="BZ1040" i="1"/>
  <c r="BY1040" i="1"/>
  <c r="BX1040" i="1"/>
  <c r="BU1040" i="1"/>
  <c r="BN1040" i="1"/>
  <c r="BS1040" i="1" s="1"/>
  <c r="BA1040" i="1"/>
  <c r="AZ1040" i="1"/>
  <c r="AY1040" i="1"/>
  <c r="AX1040" i="1"/>
  <c r="AW1040" i="1"/>
  <c r="AV1040" i="1"/>
  <c r="AT1040" i="1"/>
  <c r="AS1040" i="1"/>
  <c r="CS1039" i="1"/>
  <c r="CR1039" i="1"/>
  <c r="CQ1039" i="1"/>
  <c r="CP1039" i="1"/>
  <c r="CO1039" i="1"/>
  <c r="CN1039" i="1"/>
  <c r="CL1039" i="1"/>
  <c r="CK1039" i="1"/>
  <c r="CJ1039" i="1"/>
  <c r="CI1039" i="1"/>
  <c r="CH1039" i="1"/>
  <c r="CG1039" i="1"/>
  <c r="CF1039" i="1"/>
  <c r="CD1039" i="1"/>
  <c r="CC1039" i="1"/>
  <c r="CB1039" i="1"/>
  <c r="CA1039" i="1"/>
  <c r="BZ1039" i="1"/>
  <c r="BY1039" i="1"/>
  <c r="BX1039" i="1"/>
  <c r="BU1039" i="1"/>
  <c r="BN1039" i="1"/>
  <c r="BS1039" i="1" s="1"/>
  <c r="BA1039" i="1"/>
  <c r="AZ1039" i="1"/>
  <c r="AY1039" i="1"/>
  <c r="AX1039" i="1"/>
  <c r="AW1039" i="1"/>
  <c r="AV1039" i="1"/>
  <c r="AT1039" i="1"/>
  <c r="AS1039" i="1"/>
  <c r="CS1038" i="1"/>
  <c r="CR1038" i="1"/>
  <c r="CQ1038" i="1"/>
  <c r="CP1038" i="1"/>
  <c r="CO1038" i="1"/>
  <c r="CN1038" i="1"/>
  <c r="CL1038" i="1"/>
  <c r="CK1038" i="1"/>
  <c r="CJ1038" i="1"/>
  <c r="CI1038" i="1"/>
  <c r="CH1038" i="1"/>
  <c r="CG1038" i="1"/>
  <c r="CF1038" i="1"/>
  <c r="CD1038" i="1"/>
  <c r="CC1038" i="1"/>
  <c r="CB1038" i="1"/>
  <c r="CA1038" i="1"/>
  <c r="BZ1038" i="1"/>
  <c r="BY1038" i="1"/>
  <c r="BX1038" i="1"/>
  <c r="BU1038" i="1"/>
  <c r="BN1038" i="1"/>
  <c r="BS1038" i="1" s="1"/>
  <c r="BA1038" i="1"/>
  <c r="AZ1038" i="1"/>
  <c r="AY1038" i="1"/>
  <c r="AX1038" i="1"/>
  <c r="AW1038" i="1"/>
  <c r="AV1038" i="1"/>
  <c r="AT1038" i="1"/>
  <c r="AS1038" i="1"/>
  <c r="CS1037" i="1"/>
  <c r="CR1037" i="1"/>
  <c r="CQ1037" i="1"/>
  <c r="CP1037" i="1"/>
  <c r="CO1037" i="1"/>
  <c r="CN1037" i="1"/>
  <c r="CL1037" i="1"/>
  <c r="CK1037" i="1"/>
  <c r="CJ1037" i="1"/>
  <c r="CI1037" i="1"/>
  <c r="CH1037" i="1"/>
  <c r="CG1037" i="1"/>
  <c r="CF1037" i="1"/>
  <c r="CD1037" i="1"/>
  <c r="CC1037" i="1"/>
  <c r="CB1037" i="1"/>
  <c r="CA1037" i="1"/>
  <c r="BZ1037" i="1"/>
  <c r="BY1037" i="1"/>
  <c r="BX1037" i="1"/>
  <c r="BU1037" i="1"/>
  <c r="BN1037" i="1"/>
  <c r="BS1037" i="1" s="1"/>
  <c r="BA1037" i="1"/>
  <c r="AZ1037" i="1"/>
  <c r="AY1037" i="1"/>
  <c r="AX1037" i="1"/>
  <c r="AW1037" i="1"/>
  <c r="AV1037" i="1"/>
  <c r="AT1037" i="1"/>
  <c r="AS1037" i="1"/>
  <c r="CS1036" i="1"/>
  <c r="CR1036" i="1"/>
  <c r="CQ1036" i="1"/>
  <c r="CP1036" i="1"/>
  <c r="CO1036" i="1"/>
  <c r="CN1036" i="1"/>
  <c r="CL1036" i="1"/>
  <c r="CK1036" i="1"/>
  <c r="CJ1036" i="1"/>
  <c r="CI1036" i="1"/>
  <c r="CH1036" i="1"/>
  <c r="CG1036" i="1"/>
  <c r="CF1036" i="1"/>
  <c r="CD1036" i="1"/>
  <c r="CC1036" i="1"/>
  <c r="CB1036" i="1"/>
  <c r="CA1036" i="1"/>
  <c r="BZ1036" i="1"/>
  <c r="BY1036" i="1"/>
  <c r="BX1036" i="1"/>
  <c r="BU1036" i="1"/>
  <c r="BN1036" i="1"/>
  <c r="BS1036" i="1" s="1"/>
  <c r="BA1036" i="1"/>
  <c r="AZ1036" i="1"/>
  <c r="AY1036" i="1"/>
  <c r="AX1036" i="1"/>
  <c r="AW1036" i="1"/>
  <c r="AV1036" i="1"/>
  <c r="AT1036" i="1"/>
  <c r="AS1036" i="1"/>
  <c r="CS1035" i="1"/>
  <c r="CR1035" i="1"/>
  <c r="CQ1035" i="1"/>
  <c r="CP1035" i="1"/>
  <c r="CO1035" i="1"/>
  <c r="CN1035" i="1"/>
  <c r="CL1035" i="1"/>
  <c r="CK1035" i="1"/>
  <c r="CJ1035" i="1"/>
  <c r="CI1035" i="1"/>
  <c r="CH1035" i="1"/>
  <c r="CG1035" i="1"/>
  <c r="CF1035" i="1"/>
  <c r="CD1035" i="1"/>
  <c r="CC1035" i="1"/>
  <c r="CB1035" i="1"/>
  <c r="CA1035" i="1"/>
  <c r="BZ1035" i="1"/>
  <c r="BY1035" i="1"/>
  <c r="BX1035" i="1"/>
  <c r="BU1035" i="1"/>
  <c r="BN1035" i="1"/>
  <c r="BS1035" i="1" s="1"/>
  <c r="BA1035" i="1"/>
  <c r="AZ1035" i="1"/>
  <c r="AY1035" i="1"/>
  <c r="AX1035" i="1"/>
  <c r="AW1035" i="1"/>
  <c r="AV1035" i="1"/>
  <c r="AT1035" i="1"/>
  <c r="AS1035" i="1"/>
  <c r="CS1034" i="1"/>
  <c r="CR1034" i="1"/>
  <c r="CQ1034" i="1"/>
  <c r="CP1034" i="1"/>
  <c r="CO1034" i="1"/>
  <c r="CN1034" i="1"/>
  <c r="CL1034" i="1"/>
  <c r="CK1034" i="1"/>
  <c r="CJ1034" i="1"/>
  <c r="CI1034" i="1"/>
  <c r="CH1034" i="1"/>
  <c r="CG1034" i="1"/>
  <c r="CF1034" i="1"/>
  <c r="CD1034" i="1"/>
  <c r="CC1034" i="1"/>
  <c r="CB1034" i="1"/>
  <c r="CA1034" i="1"/>
  <c r="BZ1034" i="1"/>
  <c r="BY1034" i="1"/>
  <c r="BX1034" i="1"/>
  <c r="BU1034" i="1"/>
  <c r="BN1034" i="1"/>
  <c r="BS1034" i="1" s="1"/>
  <c r="BA1034" i="1"/>
  <c r="AZ1034" i="1"/>
  <c r="AY1034" i="1"/>
  <c r="AX1034" i="1"/>
  <c r="AW1034" i="1"/>
  <c r="AV1034" i="1"/>
  <c r="AT1034" i="1"/>
  <c r="AS1034" i="1"/>
  <c r="CS1033" i="1"/>
  <c r="CR1033" i="1"/>
  <c r="CQ1033" i="1"/>
  <c r="CP1033" i="1"/>
  <c r="CO1033" i="1"/>
  <c r="CN1033" i="1"/>
  <c r="CL1033" i="1"/>
  <c r="CK1033" i="1"/>
  <c r="CJ1033" i="1"/>
  <c r="CI1033" i="1"/>
  <c r="CH1033" i="1"/>
  <c r="CG1033" i="1"/>
  <c r="CF1033" i="1"/>
  <c r="CD1033" i="1"/>
  <c r="CC1033" i="1"/>
  <c r="CB1033" i="1"/>
  <c r="CA1033" i="1"/>
  <c r="BZ1033" i="1"/>
  <c r="BY1033" i="1"/>
  <c r="BX1033" i="1"/>
  <c r="BU1033" i="1"/>
  <c r="BN1033" i="1"/>
  <c r="BS1033" i="1" s="1"/>
  <c r="BA1033" i="1"/>
  <c r="AZ1033" i="1"/>
  <c r="AY1033" i="1"/>
  <c r="AX1033" i="1"/>
  <c r="AW1033" i="1"/>
  <c r="AV1033" i="1"/>
  <c r="AT1033" i="1"/>
  <c r="AS1033" i="1"/>
  <c r="CS1032" i="1"/>
  <c r="CR1032" i="1"/>
  <c r="CQ1032" i="1"/>
  <c r="CP1032" i="1"/>
  <c r="CO1032" i="1"/>
  <c r="CN1032" i="1"/>
  <c r="CL1032" i="1"/>
  <c r="CK1032" i="1"/>
  <c r="CJ1032" i="1"/>
  <c r="CI1032" i="1"/>
  <c r="CH1032" i="1"/>
  <c r="CG1032" i="1"/>
  <c r="CF1032" i="1"/>
  <c r="CD1032" i="1"/>
  <c r="CC1032" i="1"/>
  <c r="CB1032" i="1"/>
  <c r="CA1032" i="1"/>
  <c r="BZ1032" i="1"/>
  <c r="BY1032" i="1"/>
  <c r="BX1032" i="1"/>
  <c r="BU1032" i="1"/>
  <c r="BN1032" i="1"/>
  <c r="BS1032" i="1" s="1"/>
  <c r="BA1032" i="1"/>
  <c r="AZ1032" i="1"/>
  <c r="AY1032" i="1"/>
  <c r="AX1032" i="1"/>
  <c r="AW1032" i="1"/>
  <c r="AV1032" i="1"/>
  <c r="AT1032" i="1"/>
  <c r="AS1032" i="1"/>
  <c r="CS1031" i="1"/>
  <c r="CR1031" i="1"/>
  <c r="CQ1031" i="1"/>
  <c r="CP1031" i="1"/>
  <c r="CO1031" i="1"/>
  <c r="CN1031" i="1"/>
  <c r="CL1031" i="1"/>
  <c r="CK1031" i="1"/>
  <c r="CJ1031" i="1"/>
  <c r="CI1031" i="1"/>
  <c r="CH1031" i="1"/>
  <c r="CG1031" i="1"/>
  <c r="CF1031" i="1"/>
  <c r="CD1031" i="1"/>
  <c r="CC1031" i="1"/>
  <c r="CB1031" i="1"/>
  <c r="CA1031" i="1"/>
  <c r="BZ1031" i="1"/>
  <c r="BY1031" i="1"/>
  <c r="BX1031" i="1"/>
  <c r="BU1031" i="1"/>
  <c r="BN1031" i="1"/>
  <c r="BS1031" i="1" s="1"/>
  <c r="BA1031" i="1"/>
  <c r="AZ1031" i="1"/>
  <c r="AY1031" i="1"/>
  <c r="AX1031" i="1"/>
  <c r="AW1031" i="1"/>
  <c r="AV1031" i="1"/>
  <c r="AT1031" i="1"/>
  <c r="AS1031" i="1"/>
  <c r="CS1030" i="1"/>
  <c r="CR1030" i="1"/>
  <c r="CQ1030" i="1"/>
  <c r="CP1030" i="1"/>
  <c r="CO1030" i="1"/>
  <c r="CN1030" i="1"/>
  <c r="CL1030" i="1"/>
  <c r="CK1030" i="1"/>
  <c r="CJ1030" i="1"/>
  <c r="CI1030" i="1"/>
  <c r="CH1030" i="1"/>
  <c r="CG1030" i="1"/>
  <c r="CF1030" i="1"/>
  <c r="CD1030" i="1"/>
  <c r="CC1030" i="1"/>
  <c r="CB1030" i="1"/>
  <c r="CA1030" i="1"/>
  <c r="BZ1030" i="1"/>
  <c r="BY1030" i="1"/>
  <c r="BX1030" i="1"/>
  <c r="BU1030" i="1"/>
  <c r="BN1030" i="1"/>
  <c r="BS1030" i="1" s="1"/>
  <c r="BA1030" i="1"/>
  <c r="AZ1030" i="1"/>
  <c r="AY1030" i="1"/>
  <c r="AX1030" i="1"/>
  <c r="AW1030" i="1"/>
  <c r="AV1030" i="1"/>
  <c r="AT1030" i="1"/>
  <c r="AS1030" i="1"/>
  <c r="CS1029" i="1"/>
  <c r="CR1029" i="1"/>
  <c r="CQ1029" i="1"/>
  <c r="CP1029" i="1"/>
  <c r="CO1029" i="1"/>
  <c r="CN1029" i="1"/>
  <c r="CL1029" i="1"/>
  <c r="CK1029" i="1"/>
  <c r="CJ1029" i="1"/>
  <c r="CI1029" i="1"/>
  <c r="CH1029" i="1"/>
  <c r="CG1029" i="1"/>
  <c r="CF1029" i="1"/>
  <c r="CD1029" i="1"/>
  <c r="CC1029" i="1"/>
  <c r="CB1029" i="1"/>
  <c r="CA1029" i="1"/>
  <c r="BZ1029" i="1"/>
  <c r="BY1029" i="1"/>
  <c r="BX1029" i="1"/>
  <c r="BU1029" i="1"/>
  <c r="BN1029" i="1"/>
  <c r="BS1029" i="1" s="1"/>
  <c r="BA1029" i="1"/>
  <c r="AZ1029" i="1"/>
  <c r="AY1029" i="1"/>
  <c r="AX1029" i="1"/>
  <c r="AW1029" i="1"/>
  <c r="AV1029" i="1"/>
  <c r="AT1029" i="1"/>
  <c r="AS1029" i="1"/>
  <c r="CS1028" i="1"/>
  <c r="CR1028" i="1"/>
  <c r="CQ1028" i="1"/>
  <c r="CP1028" i="1"/>
  <c r="CO1028" i="1"/>
  <c r="CN1028" i="1"/>
  <c r="CL1028" i="1"/>
  <c r="CK1028" i="1"/>
  <c r="CJ1028" i="1"/>
  <c r="CI1028" i="1"/>
  <c r="CH1028" i="1"/>
  <c r="CG1028" i="1"/>
  <c r="CF1028" i="1"/>
  <c r="CD1028" i="1"/>
  <c r="CC1028" i="1"/>
  <c r="CB1028" i="1"/>
  <c r="CA1028" i="1"/>
  <c r="BZ1028" i="1"/>
  <c r="BY1028" i="1"/>
  <c r="BX1028" i="1"/>
  <c r="BU1028" i="1"/>
  <c r="BN1028" i="1"/>
  <c r="BS1028" i="1" s="1"/>
  <c r="BA1028" i="1"/>
  <c r="AZ1028" i="1"/>
  <c r="AY1028" i="1"/>
  <c r="AX1028" i="1"/>
  <c r="AW1028" i="1"/>
  <c r="AV1028" i="1"/>
  <c r="AT1028" i="1"/>
  <c r="AS1028" i="1"/>
  <c r="CS1027" i="1"/>
  <c r="CR1027" i="1"/>
  <c r="CQ1027" i="1"/>
  <c r="CP1027" i="1"/>
  <c r="CO1027" i="1"/>
  <c r="CN1027" i="1"/>
  <c r="CL1027" i="1"/>
  <c r="CK1027" i="1"/>
  <c r="CJ1027" i="1"/>
  <c r="CI1027" i="1"/>
  <c r="CH1027" i="1"/>
  <c r="CG1027" i="1"/>
  <c r="CF1027" i="1"/>
  <c r="CD1027" i="1"/>
  <c r="CC1027" i="1"/>
  <c r="CB1027" i="1"/>
  <c r="CA1027" i="1"/>
  <c r="BZ1027" i="1"/>
  <c r="BY1027" i="1"/>
  <c r="BX1027" i="1"/>
  <c r="BU1027" i="1"/>
  <c r="BN1027" i="1"/>
  <c r="BS1027" i="1" s="1"/>
  <c r="BA1027" i="1"/>
  <c r="AZ1027" i="1"/>
  <c r="AY1027" i="1"/>
  <c r="AX1027" i="1"/>
  <c r="AW1027" i="1"/>
  <c r="AV1027" i="1"/>
  <c r="AT1027" i="1"/>
  <c r="AS1027" i="1"/>
  <c r="CS1026" i="1"/>
  <c r="CR1026" i="1"/>
  <c r="CQ1026" i="1"/>
  <c r="CP1026" i="1"/>
  <c r="CO1026" i="1"/>
  <c r="CN1026" i="1"/>
  <c r="CL1026" i="1"/>
  <c r="CK1026" i="1"/>
  <c r="CJ1026" i="1"/>
  <c r="CI1026" i="1"/>
  <c r="CH1026" i="1"/>
  <c r="CG1026" i="1"/>
  <c r="CF1026" i="1"/>
  <c r="CD1026" i="1"/>
  <c r="CC1026" i="1"/>
  <c r="CB1026" i="1"/>
  <c r="CA1026" i="1"/>
  <c r="BZ1026" i="1"/>
  <c r="BY1026" i="1"/>
  <c r="BX1026" i="1"/>
  <c r="BU1026" i="1"/>
  <c r="BN1026" i="1"/>
  <c r="BS1026" i="1" s="1"/>
  <c r="BA1026" i="1"/>
  <c r="AZ1026" i="1"/>
  <c r="AY1026" i="1"/>
  <c r="AX1026" i="1"/>
  <c r="AW1026" i="1"/>
  <c r="AV1026" i="1"/>
  <c r="AT1026" i="1"/>
  <c r="AS1026" i="1"/>
  <c r="CS1025" i="1"/>
  <c r="CR1025" i="1"/>
  <c r="CQ1025" i="1"/>
  <c r="CP1025" i="1"/>
  <c r="CO1025" i="1"/>
  <c r="CN1025" i="1"/>
  <c r="CL1025" i="1"/>
  <c r="CK1025" i="1"/>
  <c r="CJ1025" i="1"/>
  <c r="CI1025" i="1"/>
  <c r="CH1025" i="1"/>
  <c r="CG1025" i="1"/>
  <c r="CF1025" i="1"/>
  <c r="CD1025" i="1"/>
  <c r="CC1025" i="1"/>
  <c r="CB1025" i="1"/>
  <c r="CA1025" i="1"/>
  <c r="BZ1025" i="1"/>
  <c r="BY1025" i="1"/>
  <c r="BX1025" i="1"/>
  <c r="BU1025" i="1"/>
  <c r="BN1025" i="1"/>
  <c r="BS1025" i="1" s="1"/>
  <c r="BA1025" i="1"/>
  <c r="AZ1025" i="1"/>
  <c r="AY1025" i="1"/>
  <c r="AX1025" i="1"/>
  <c r="AW1025" i="1"/>
  <c r="AV1025" i="1"/>
  <c r="AT1025" i="1"/>
  <c r="AS1025" i="1"/>
  <c r="CS1024" i="1"/>
  <c r="CR1024" i="1"/>
  <c r="CQ1024" i="1"/>
  <c r="CP1024" i="1"/>
  <c r="CO1024" i="1"/>
  <c r="CN1024" i="1"/>
  <c r="CL1024" i="1"/>
  <c r="CK1024" i="1"/>
  <c r="CJ1024" i="1"/>
  <c r="CI1024" i="1"/>
  <c r="CH1024" i="1"/>
  <c r="CG1024" i="1"/>
  <c r="CF1024" i="1"/>
  <c r="CD1024" i="1"/>
  <c r="CC1024" i="1"/>
  <c r="CB1024" i="1"/>
  <c r="CA1024" i="1"/>
  <c r="BZ1024" i="1"/>
  <c r="BY1024" i="1"/>
  <c r="BX1024" i="1"/>
  <c r="BU1024" i="1"/>
  <c r="BN1024" i="1"/>
  <c r="BS1024" i="1" s="1"/>
  <c r="BA1024" i="1"/>
  <c r="AZ1024" i="1"/>
  <c r="AY1024" i="1"/>
  <c r="AX1024" i="1"/>
  <c r="AW1024" i="1"/>
  <c r="AV1024" i="1"/>
  <c r="AT1024" i="1"/>
  <c r="AS1024" i="1"/>
  <c r="CS1023" i="1"/>
  <c r="CR1023" i="1"/>
  <c r="CQ1023" i="1"/>
  <c r="CP1023" i="1"/>
  <c r="CO1023" i="1"/>
  <c r="CN1023" i="1"/>
  <c r="CL1023" i="1"/>
  <c r="CK1023" i="1"/>
  <c r="CJ1023" i="1"/>
  <c r="CI1023" i="1"/>
  <c r="CH1023" i="1"/>
  <c r="CG1023" i="1"/>
  <c r="CF1023" i="1"/>
  <c r="CD1023" i="1"/>
  <c r="CC1023" i="1"/>
  <c r="CB1023" i="1"/>
  <c r="CA1023" i="1"/>
  <c r="BZ1023" i="1"/>
  <c r="BY1023" i="1"/>
  <c r="BX1023" i="1"/>
  <c r="BU1023" i="1"/>
  <c r="BN1023" i="1"/>
  <c r="BS1023" i="1" s="1"/>
  <c r="BA1023" i="1"/>
  <c r="AZ1023" i="1"/>
  <c r="AY1023" i="1"/>
  <c r="AX1023" i="1"/>
  <c r="AW1023" i="1"/>
  <c r="AV1023" i="1"/>
  <c r="AT1023" i="1"/>
  <c r="AS1023" i="1"/>
  <c r="CS1022" i="1"/>
  <c r="CR1022" i="1"/>
  <c r="CQ1022" i="1"/>
  <c r="CP1022" i="1"/>
  <c r="CO1022" i="1"/>
  <c r="CN1022" i="1"/>
  <c r="CL1022" i="1"/>
  <c r="CK1022" i="1"/>
  <c r="CJ1022" i="1"/>
  <c r="CI1022" i="1"/>
  <c r="CH1022" i="1"/>
  <c r="CG1022" i="1"/>
  <c r="CF1022" i="1"/>
  <c r="CD1022" i="1"/>
  <c r="CC1022" i="1"/>
  <c r="CB1022" i="1"/>
  <c r="CA1022" i="1"/>
  <c r="BZ1022" i="1"/>
  <c r="BY1022" i="1"/>
  <c r="BX1022" i="1"/>
  <c r="BU1022" i="1"/>
  <c r="BN1022" i="1"/>
  <c r="BS1022" i="1" s="1"/>
  <c r="BA1022" i="1"/>
  <c r="AZ1022" i="1"/>
  <c r="AY1022" i="1"/>
  <c r="AX1022" i="1"/>
  <c r="AW1022" i="1"/>
  <c r="AV1022" i="1"/>
  <c r="AT1022" i="1"/>
  <c r="AS1022" i="1"/>
  <c r="CS1021" i="1"/>
  <c r="CR1021" i="1"/>
  <c r="CQ1021" i="1"/>
  <c r="CP1021" i="1"/>
  <c r="CO1021" i="1"/>
  <c r="CN1021" i="1"/>
  <c r="CL1021" i="1"/>
  <c r="CK1021" i="1"/>
  <c r="CJ1021" i="1"/>
  <c r="CI1021" i="1"/>
  <c r="CH1021" i="1"/>
  <c r="CG1021" i="1"/>
  <c r="CF1021" i="1"/>
  <c r="CD1021" i="1"/>
  <c r="CC1021" i="1"/>
  <c r="CB1021" i="1"/>
  <c r="CA1021" i="1"/>
  <c r="BZ1021" i="1"/>
  <c r="BY1021" i="1"/>
  <c r="BX1021" i="1"/>
  <c r="BU1021" i="1"/>
  <c r="BN1021" i="1"/>
  <c r="BS1021" i="1" s="1"/>
  <c r="BA1021" i="1"/>
  <c r="AZ1021" i="1"/>
  <c r="AY1021" i="1"/>
  <c r="AX1021" i="1"/>
  <c r="AW1021" i="1"/>
  <c r="AV1021" i="1"/>
  <c r="AT1021" i="1"/>
  <c r="AS1021" i="1"/>
  <c r="CS1020" i="1"/>
  <c r="CR1020" i="1"/>
  <c r="CQ1020" i="1"/>
  <c r="CP1020" i="1"/>
  <c r="CO1020" i="1"/>
  <c r="CN1020" i="1"/>
  <c r="CL1020" i="1"/>
  <c r="CK1020" i="1"/>
  <c r="CJ1020" i="1"/>
  <c r="CI1020" i="1"/>
  <c r="CH1020" i="1"/>
  <c r="CG1020" i="1"/>
  <c r="CF1020" i="1"/>
  <c r="CD1020" i="1"/>
  <c r="CC1020" i="1"/>
  <c r="CB1020" i="1"/>
  <c r="CA1020" i="1"/>
  <c r="BZ1020" i="1"/>
  <c r="BY1020" i="1"/>
  <c r="BX1020" i="1"/>
  <c r="BU1020" i="1"/>
  <c r="BN1020" i="1"/>
  <c r="BS1020" i="1" s="1"/>
  <c r="BA1020" i="1"/>
  <c r="AZ1020" i="1"/>
  <c r="AY1020" i="1"/>
  <c r="AX1020" i="1"/>
  <c r="AW1020" i="1"/>
  <c r="AV1020" i="1"/>
  <c r="AT1020" i="1"/>
  <c r="AS1020" i="1"/>
  <c r="CS1019" i="1"/>
  <c r="CR1019" i="1"/>
  <c r="CQ1019" i="1"/>
  <c r="CP1019" i="1"/>
  <c r="CO1019" i="1"/>
  <c r="CN1019" i="1"/>
  <c r="CL1019" i="1"/>
  <c r="CK1019" i="1"/>
  <c r="CJ1019" i="1"/>
  <c r="CI1019" i="1"/>
  <c r="CH1019" i="1"/>
  <c r="CG1019" i="1"/>
  <c r="CF1019" i="1"/>
  <c r="CD1019" i="1"/>
  <c r="CC1019" i="1"/>
  <c r="CB1019" i="1"/>
  <c r="CA1019" i="1"/>
  <c r="BZ1019" i="1"/>
  <c r="BY1019" i="1"/>
  <c r="BX1019" i="1"/>
  <c r="BU1019" i="1"/>
  <c r="BN1019" i="1"/>
  <c r="BS1019" i="1" s="1"/>
  <c r="BA1019" i="1"/>
  <c r="AZ1019" i="1"/>
  <c r="AY1019" i="1"/>
  <c r="AX1019" i="1"/>
  <c r="AW1019" i="1"/>
  <c r="AV1019" i="1"/>
  <c r="AT1019" i="1"/>
  <c r="AS1019" i="1"/>
  <c r="CS1018" i="1"/>
  <c r="CR1018" i="1"/>
  <c r="CQ1018" i="1"/>
  <c r="CP1018" i="1"/>
  <c r="CO1018" i="1"/>
  <c r="CN1018" i="1"/>
  <c r="CL1018" i="1"/>
  <c r="CK1018" i="1"/>
  <c r="CJ1018" i="1"/>
  <c r="CI1018" i="1"/>
  <c r="CH1018" i="1"/>
  <c r="CG1018" i="1"/>
  <c r="CF1018" i="1"/>
  <c r="CD1018" i="1"/>
  <c r="CC1018" i="1"/>
  <c r="CB1018" i="1"/>
  <c r="CA1018" i="1"/>
  <c r="BZ1018" i="1"/>
  <c r="BY1018" i="1"/>
  <c r="BX1018" i="1"/>
  <c r="BU1018" i="1"/>
  <c r="BN1018" i="1"/>
  <c r="BS1018" i="1" s="1"/>
  <c r="BA1018" i="1"/>
  <c r="AZ1018" i="1"/>
  <c r="AY1018" i="1"/>
  <c r="AX1018" i="1"/>
  <c r="AW1018" i="1"/>
  <c r="AV1018" i="1"/>
  <c r="AT1018" i="1"/>
  <c r="AS1018" i="1"/>
  <c r="CS1017" i="1"/>
  <c r="CR1017" i="1"/>
  <c r="CQ1017" i="1"/>
  <c r="CP1017" i="1"/>
  <c r="CO1017" i="1"/>
  <c r="CN1017" i="1"/>
  <c r="CL1017" i="1"/>
  <c r="CK1017" i="1"/>
  <c r="CJ1017" i="1"/>
  <c r="CI1017" i="1"/>
  <c r="CH1017" i="1"/>
  <c r="CG1017" i="1"/>
  <c r="CF1017" i="1"/>
  <c r="CD1017" i="1"/>
  <c r="CC1017" i="1"/>
  <c r="CB1017" i="1"/>
  <c r="CA1017" i="1"/>
  <c r="BZ1017" i="1"/>
  <c r="BY1017" i="1"/>
  <c r="BX1017" i="1"/>
  <c r="BU1017" i="1"/>
  <c r="BN1017" i="1"/>
  <c r="BS1017" i="1" s="1"/>
  <c r="BA1017" i="1"/>
  <c r="AZ1017" i="1"/>
  <c r="AY1017" i="1"/>
  <c r="AX1017" i="1"/>
  <c r="AW1017" i="1"/>
  <c r="AV1017" i="1"/>
  <c r="AT1017" i="1"/>
  <c r="AS1017" i="1"/>
  <c r="CS1016" i="1"/>
  <c r="CR1016" i="1"/>
  <c r="CQ1016" i="1"/>
  <c r="CP1016" i="1"/>
  <c r="CO1016" i="1"/>
  <c r="CN1016" i="1"/>
  <c r="CL1016" i="1"/>
  <c r="CK1016" i="1"/>
  <c r="CJ1016" i="1"/>
  <c r="CI1016" i="1"/>
  <c r="CH1016" i="1"/>
  <c r="CG1016" i="1"/>
  <c r="CF1016" i="1"/>
  <c r="CD1016" i="1"/>
  <c r="CC1016" i="1"/>
  <c r="CB1016" i="1"/>
  <c r="CA1016" i="1"/>
  <c r="BZ1016" i="1"/>
  <c r="BY1016" i="1"/>
  <c r="BX1016" i="1"/>
  <c r="BU1016" i="1"/>
  <c r="BN1016" i="1"/>
  <c r="BS1016" i="1" s="1"/>
  <c r="BA1016" i="1"/>
  <c r="AZ1016" i="1"/>
  <c r="AY1016" i="1"/>
  <c r="AX1016" i="1"/>
  <c r="AW1016" i="1"/>
  <c r="AV1016" i="1"/>
  <c r="AT1016" i="1"/>
  <c r="AS1016" i="1"/>
  <c r="CS1015" i="1"/>
  <c r="CR1015" i="1"/>
  <c r="CQ1015" i="1"/>
  <c r="CP1015" i="1"/>
  <c r="CO1015" i="1"/>
  <c r="CN1015" i="1"/>
  <c r="CL1015" i="1"/>
  <c r="CK1015" i="1"/>
  <c r="CJ1015" i="1"/>
  <c r="CI1015" i="1"/>
  <c r="CH1015" i="1"/>
  <c r="CG1015" i="1"/>
  <c r="CF1015" i="1"/>
  <c r="CD1015" i="1"/>
  <c r="CC1015" i="1"/>
  <c r="CB1015" i="1"/>
  <c r="CA1015" i="1"/>
  <c r="BZ1015" i="1"/>
  <c r="BY1015" i="1"/>
  <c r="BX1015" i="1"/>
  <c r="BU1015" i="1"/>
  <c r="BN1015" i="1"/>
  <c r="BS1015" i="1" s="1"/>
  <c r="BA1015" i="1"/>
  <c r="AZ1015" i="1"/>
  <c r="AY1015" i="1"/>
  <c r="AX1015" i="1"/>
  <c r="AW1015" i="1"/>
  <c r="AV1015" i="1"/>
  <c r="AT1015" i="1"/>
  <c r="AS1015" i="1"/>
  <c r="CS1014" i="1"/>
  <c r="CR1014" i="1"/>
  <c r="CQ1014" i="1"/>
  <c r="CP1014" i="1"/>
  <c r="CO1014" i="1"/>
  <c r="CN1014" i="1"/>
  <c r="CL1014" i="1"/>
  <c r="CK1014" i="1"/>
  <c r="CJ1014" i="1"/>
  <c r="CI1014" i="1"/>
  <c r="CH1014" i="1"/>
  <c r="CG1014" i="1"/>
  <c r="CF1014" i="1"/>
  <c r="CD1014" i="1"/>
  <c r="CC1014" i="1"/>
  <c r="CB1014" i="1"/>
  <c r="CA1014" i="1"/>
  <c r="BZ1014" i="1"/>
  <c r="BY1014" i="1"/>
  <c r="BX1014" i="1"/>
  <c r="BU1014" i="1"/>
  <c r="BN1014" i="1"/>
  <c r="BS1014" i="1" s="1"/>
  <c r="BA1014" i="1"/>
  <c r="AZ1014" i="1"/>
  <c r="AY1014" i="1"/>
  <c r="AX1014" i="1"/>
  <c r="AW1014" i="1"/>
  <c r="AV1014" i="1"/>
  <c r="AT1014" i="1"/>
  <c r="AS1014" i="1"/>
  <c r="CS1013" i="1"/>
  <c r="CR1013" i="1"/>
  <c r="CQ1013" i="1"/>
  <c r="CP1013" i="1"/>
  <c r="CO1013" i="1"/>
  <c r="CN1013" i="1"/>
  <c r="CL1013" i="1"/>
  <c r="CK1013" i="1"/>
  <c r="CJ1013" i="1"/>
  <c r="CI1013" i="1"/>
  <c r="CH1013" i="1"/>
  <c r="CG1013" i="1"/>
  <c r="CF1013" i="1"/>
  <c r="CD1013" i="1"/>
  <c r="CC1013" i="1"/>
  <c r="CB1013" i="1"/>
  <c r="CA1013" i="1"/>
  <c r="BZ1013" i="1"/>
  <c r="BY1013" i="1"/>
  <c r="BX1013" i="1"/>
  <c r="BU1013" i="1"/>
  <c r="BN1013" i="1"/>
  <c r="BS1013" i="1" s="1"/>
  <c r="BA1013" i="1"/>
  <c r="AZ1013" i="1"/>
  <c r="AY1013" i="1"/>
  <c r="AX1013" i="1"/>
  <c r="AW1013" i="1"/>
  <c r="AV1013" i="1"/>
  <c r="AT1013" i="1"/>
  <c r="AS1013" i="1"/>
  <c r="CS1012" i="1"/>
  <c r="CR1012" i="1"/>
  <c r="CQ1012" i="1"/>
  <c r="CP1012" i="1"/>
  <c r="CO1012" i="1"/>
  <c r="CN1012" i="1"/>
  <c r="CL1012" i="1"/>
  <c r="CK1012" i="1"/>
  <c r="CJ1012" i="1"/>
  <c r="CI1012" i="1"/>
  <c r="CH1012" i="1"/>
  <c r="CG1012" i="1"/>
  <c r="CF1012" i="1"/>
  <c r="CD1012" i="1"/>
  <c r="CC1012" i="1"/>
  <c r="CB1012" i="1"/>
  <c r="CA1012" i="1"/>
  <c r="BZ1012" i="1"/>
  <c r="BY1012" i="1"/>
  <c r="BX1012" i="1"/>
  <c r="BU1012" i="1"/>
  <c r="BN1012" i="1"/>
  <c r="BS1012" i="1" s="1"/>
  <c r="BA1012" i="1"/>
  <c r="AZ1012" i="1"/>
  <c r="AY1012" i="1"/>
  <c r="AX1012" i="1"/>
  <c r="AW1012" i="1"/>
  <c r="AV1012" i="1"/>
  <c r="AT1012" i="1"/>
  <c r="AS1012" i="1"/>
  <c r="CS1011" i="1"/>
  <c r="CR1011" i="1"/>
  <c r="CQ1011" i="1"/>
  <c r="CP1011" i="1"/>
  <c r="CO1011" i="1"/>
  <c r="CN1011" i="1"/>
  <c r="CL1011" i="1"/>
  <c r="CK1011" i="1"/>
  <c r="CJ1011" i="1"/>
  <c r="CI1011" i="1"/>
  <c r="CH1011" i="1"/>
  <c r="CG1011" i="1"/>
  <c r="CF1011" i="1"/>
  <c r="CD1011" i="1"/>
  <c r="CC1011" i="1"/>
  <c r="CB1011" i="1"/>
  <c r="CA1011" i="1"/>
  <c r="BZ1011" i="1"/>
  <c r="BY1011" i="1"/>
  <c r="BX1011" i="1"/>
  <c r="BU1011" i="1"/>
  <c r="BN1011" i="1"/>
  <c r="BS1011" i="1" s="1"/>
  <c r="BA1011" i="1"/>
  <c r="AZ1011" i="1"/>
  <c r="AY1011" i="1"/>
  <c r="AX1011" i="1"/>
  <c r="AW1011" i="1"/>
  <c r="AV1011" i="1"/>
  <c r="AT1011" i="1"/>
  <c r="AS1011" i="1"/>
  <c r="CS1010" i="1"/>
  <c r="CR1010" i="1"/>
  <c r="CQ1010" i="1"/>
  <c r="CP1010" i="1"/>
  <c r="CO1010" i="1"/>
  <c r="CN1010" i="1"/>
  <c r="CL1010" i="1"/>
  <c r="CK1010" i="1"/>
  <c r="CJ1010" i="1"/>
  <c r="CI1010" i="1"/>
  <c r="CH1010" i="1"/>
  <c r="CG1010" i="1"/>
  <c r="CF1010" i="1"/>
  <c r="CD1010" i="1"/>
  <c r="CC1010" i="1"/>
  <c r="CB1010" i="1"/>
  <c r="CA1010" i="1"/>
  <c r="BZ1010" i="1"/>
  <c r="BY1010" i="1"/>
  <c r="BX1010" i="1"/>
  <c r="BU1010" i="1"/>
  <c r="BN1010" i="1"/>
  <c r="BS1010" i="1" s="1"/>
  <c r="BA1010" i="1"/>
  <c r="AZ1010" i="1"/>
  <c r="AY1010" i="1"/>
  <c r="AX1010" i="1"/>
  <c r="AW1010" i="1"/>
  <c r="AV1010" i="1"/>
  <c r="AT1010" i="1"/>
  <c r="AS1010" i="1"/>
  <c r="CS1009" i="1"/>
  <c r="CR1009" i="1"/>
  <c r="CQ1009" i="1"/>
  <c r="CP1009" i="1"/>
  <c r="CO1009" i="1"/>
  <c r="CN1009" i="1"/>
  <c r="CL1009" i="1"/>
  <c r="CK1009" i="1"/>
  <c r="CJ1009" i="1"/>
  <c r="CI1009" i="1"/>
  <c r="CH1009" i="1"/>
  <c r="CG1009" i="1"/>
  <c r="CF1009" i="1"/>
  <c r="CD1009" i="1"/>
  <c r="CC1009" i="1"/>
  <c r="CB1009" i="1"/>
  <c r="CA1009" i="1"/>
  <c r="BZ1009" i="1"/>
  <c r="BY1009" i="1"/>
  <c r="BX1009" i="1"/>
  <c r="BU1009" i="1"/>
  <c r="BN1009" i="1"/>
  <c r="BS1009" i="1" s="1"/>
  <c r="BA1009" i="1"/>
  <c r="AZ1009" i="1"/>
  <c r="AY1009" i="1"/>
  <c r="AX1009" i="1"/>
  <c r="AW1009" i="1"/>
  <c r="AV1009" i="1"/>
  <c r="AT1009" i="1"/>
  <c r="AS1009" i="1"/>
  <c r="CS1008" i="1"/>
  <c r="CR1008" i="1"/>
  <c r="CQ1008" i="1"/>
  <c r="CP1008" i="1"/>
  <c r="CO1008" i="1"/>
  <c r="CN1008" i="1"/>
  <c r="CL1008" i="1"/>
  <c r="CK1008" i="1"/>
  <c r="CJ1008" i="1"/>
  <c r="CI1008" i="1"/>
  <c r="CH1008" i="1"/>
  <c r="CG1008" i="1"/>
  <c r="CF1008" i="1"/>
  <c r="CD1008" i="1"/>
  <c r="CC1008" i="1"/>
  <c r="CB1008" i="1"/>
  <c r="CA1008" i="1"/>
  <c r="BZ1008" i="1"/>
  <c r="BY1008" i="1"/>
  <c r="BX1008" i="1"/>
  <c r="BU1008" i="1"/>
  <c r="BN1008" i="1"/>
  <c r="BS1008" i="1" s="1"/>
  <c r="BA1008" i="1"/>
  <c r="AZ1008" i="1"/>
  <c r="AY1008" i="1"/>
  <c r="AX1008" i="1"/>
  <c r="AW1008" i="1"/>
  <c r="AV1008" i="1"/>
  <c r="AT1008" i="1"/>
  <c r="AS1008" i="1"/>
  <c r="CS1007" i="1"/>
  <c r="CR1007" i="1"/>
  <c r="CQ1007" i="1"/>
  <c r="CP1007" i="1"/>
  <c r="CO1007" i="1"/>
  <c r="CN1007" i="1"/>
  <c r="CL1007" i="1"/>
  <c r="CK1007" i="1"/>
  <c r="CJ1007" i="1"/>
  <c r="CI1007" i="1"/>
  <c r="CH1007" i="1"/>
  <c r="CG1007" i="1"/>
  <c r="CF1007" i="1"/>
  <c r="CD1007" i="1"/>
  <c r="CC1007" i="1"/>
  <c r="CB1007" i="1"/>
  <c r="CA1007" i="1"/>
  <c r="BZ1007" i="1"/>
  <c r="BY1007" i="1"/>
  <c r="BX1007" i="1"/>
  <c r="BU1007" i="1"/>
  <c r="BN1007" i="1"/>
  <c r="BS1007" i="1" s="1"/>
  <c r="BA1007" i="1"/>
  <c r="AZ1007" i="1"/>
  <c r="AY1007" i="1"/>
  <c r="AX1007" i="1"/>
  <c r="AW1007" i="1"/>
  <c r="AV1007" i="1"/>
  <c r="AT1007" i="1"/>
  <c r="AS1007" i="1"/>
  <c r="CS1006" i="1"/>
  <c r="CR1006" i="1"/>
  <c r="CQ1006" i="1"/>
  <c r="CP1006" i="1"/>
  <c r="CO1006" i="1"/>
  <c r="CN1006" i="1"/>
  <c r="CL1006" i="1"/>
  <c r="CK1006" i="1"/>
  <c r="CJ1006" i="1"/>
  <c r="CI1006" i="1"/>
  <c r="CH1006" i="1"/>
  <c r="CG1006" i="1"/>
  <c r="CF1006" i="1"/>
  <c r="CD1006" i="1"/>
  <c r="CC1006" i="1"/>
  <c r="CB1006" i="1"/>
  <c r="CA1006" i="1"/>
  <c r="BZ1006" i="1"/>
  <c r="BY1006" i="1"/>
  <c r="BX1006" i="1"/>
  <c r="BU1006" i="1"/>
  <c r="BN1006" i="1"/>
  <c r="BS1006" i="1" s="1"/>
  <c r="BA1006" i="1"/>
  <c r="AZ1006" i="1"/>
  <c r="AY1006" i="1"/>
  <c r="AX1006" i="1"/>
  <c r="AW1006" i="1"/>
  <c r="AV1006" i="1"/>
  <c r="AT1006" i="1"/>
  <c r="AS1006" i="1"/>
  <c r="CS1005" i="1"/>
  <c r="CR1005" i="1"/>
  <c r="CQ1005" i="1"/>
  <c r="CP1005" i="1"/>
  <c r="CO1005" i="1"/>
  <c r="CN1005" i="1"/>
  <c r="CL1005" i="1"/>
  <c r="CK1005" i="1"/>
  <c r="CJ1005" i="1"/>
  <c r="CI1005" i="1"/>
  <c r="CH1005" i="1"/>
  <c r="CG1005" i="1"/>
  <c r="CF1005" i="1"/>
  <c r="CD1005" i="1"/>
  <c r="CC1005" i="1"/>
  <c r="CB1005" i="1"/>
  <c r="CA1005" i="1"/>
  <c r="BZ1005" i="1"/>
  <c r="BY1005" i="1"/>
  <c r="BX1005" i="1"/>
  <c r="BU1005" i="1"/>
  <c r="BN1005" i="1"/>
  <c r="BS1005" i="1" s="1"/>
  <c r="BA1005" i="1"/>
  <c r="AZ1005" i="1"/>
  <c r="AY1005" i="1"/>
  <c r="AX1005" i="1"/>
  <c r="AW1005" i="1"/>
  <c r="AV1005" i="1"/>
  <c r="AT1005" i="1"/>
  <c r="AS1005" i="1"/>
  <c r="CS1004" i="1"/>
  <c r="CR1004" i="1"/>
  <c r="CQ1004" i="1"/>
  <c r="CP1004" i="1"/>
  <c r="CO1004" i="1"/>
  <c r="CN1004" i="1"/>
  <c r="CL1004" i="1"/>
  <c r="CK1004" i="1"/>
  <c r="CJ1004" i="1"/>
  <c r="CI1004" i="1"/>
  <c r="CH1004" i="1"/>
  <c r="CG1004" i="1"/>
  <c r="CF1004" i="1"/>
  <c r="CD1004" i="1"/>
  <c r="CC1004" i="1"/>
  <c r="CB1004" i="1"/>
  <c r="CA1004" i="1"/>
  <c r="BZ1004" i="1"/>
  <c r="BY1004" i="1"/>
  <c r="BX1004" i="1"/>
  <c r="BU1004" i="1"/>
  <c r="BN1004" i="1"/>
  <c r="BS1004" i="1" s="1"/>
  <c r="BA1004" i="1"/>
  <c r="AZ1004" i="1"/>
  <c r="AY1004" i="1"/>
  <c r="AX1004" i="1"/>
  <c r="AW1004" i="1"/>
  <c r="AV1004" i="1"/>
  <c r="AT1004" i="1"/>
  <c r="AS1004" i="1"/>
  <c r="CS1003" i="1"/>
  <c r="CR1003" i="1"/>
  <c r="CQ1003" i="1"/>
  <c r="CP1003" i="1"/>
  <c r="CO1003" i="1"/>
  <c r="CN1003" i="1"/>
  <c r="CL1003" i="1"/>
  <c r="CK1003" i="1"/>
  <c r="CJ1003" i="1"/>
  <c r="CI1003" i="1"/>
  <c r="CH1003" i="1"/>
  <c r="CG1003" i="1"/>
  <c r="CF1003" i="1"/>
  <c r="CD1003" i="1"/>
  <c r="CC1003" i="1"/>
  <c r="CB1003" i="1"/>
  <c r="CA1003" i="1"/>
  <c r="BZ1003" i="1"/>
  <c r="BY1003" i="1"/>
  <c r="BX1003" i="1"/>
  <c r="BU1003" i="1"/>
  <c r="BN1003" i="1"/>
  <c r="BS1003" i="1" s="1"/>
  <c r="BA1003" i="1"/>
  <c r="AZ1003" i="1"/>
  <c r="AY1003" i="1"/>
  <c r="AX1003" i="1"/>
  <c r="AW1003" i="1"/>
  <c r="AV1003" i="1"/>
  <c r="AT1003" i="1"/>
  <c r="AS1003" i="1"/>
  <c r="CS1002" i="1"/>
  <c r="CR1002" i="1"/>
  <c r="CQ1002" i="1"/>
  <c r="CP1002" i="1"/>
  <c r="CO1002" i="1"/>
  <c r="CN1002" i="1"/>
  <c r="CL1002" i="1"/>
  <c r="CK1002" i="1"/>
  <c r="CJ1002" i="1"/>
  <c r="CI1002" i="1"/>
  <c r="CH1002" i="1"/>
  <c r="CG1002" i="1"/>
  <c r="CF1002" i="1"/>
  <c r="CD1002" i="1"/>
  <c r="CC1002" i="1"/>
  <c r="CB1002" i="1"/>
  <c r="CA1002" i="1"/>
  <c r="BZ1002" i="1"/>
  <c r="BY1002" i="1"/>
  <c r="BX1002" i="1"/>
  <c r="BU1002" i="1"/>
  <c r="BN1002" i="1"/>
  <c r="BS1002" i="1" s="1"/>
  <c r="BA1002" i="1"/>
  <c r="AZ1002" i="1"/>
  <c r="AY1002" i="1"/>
  <c r="AX1002" i="1"/>
  <c r="AW1002" i="1"/>
  <c r="AV1002" i="1"/>
  <c r="AT1002" i="1"/>
  <c r="AS1002" i="1"/>
  <c r="CS1001" i="1"/>
  <c r="CR1001" i="1"/>
  <c r="CQ1001" i="1"/>
  <c r="CP1001" i="1"/>
  <c r="CO1001" i="1"/>
  <c r="CN1001" i="1"/>
  <c r="CL1001" i="1"/>
  <c r="CK1001" i="1"/>
  <c r="CJ1001" i="1"/>
  <c r="CI1001" i="1"/>
  <c r="CH1001" i="1"/>
  <c r="CG1001" i="1"/>
  <c r="CF1001" i="1"/>
  <c r="CD1001" i="1"/>
  <c r="CC1001" i="1"/>
  <c r="CB1001" i="1"/>
  <c r="CA1001" i="1"/>
  <c r="BZ1001" i="1"/>
  <c r="BY1001" i="1"/>
  <c r="BX1001" i="1"/>
  <c r="BU1001" i="1"/>
  <c r="BN1001" i="1"/>
  <c r="BS1001" i="1" s="1"/>
  <c r="BA1001" i="1"/>
  <c r="AZ1001" i="1"/>
  <c r="AY1001" i="1"/>
  <c r="AX1001" i="1"/>
  <c r="AW1001" i="1"/>
  <c r="AV1001" i="1"/>
  <c r="AT1001" i="1"/>
  <c r="AS1001" i="1"/>
  <c r="CS1000" i="1"/>
  <c r="CR1000" i="1"/>
  <c r="CQ1000" i="1"/>
  <c r="CP1000" i="1"/>
  <c r="CO1000" i="1"/>
  <c r="CN1000" i="1"/>
  <c r="CL1000" i="1"/>
  <c r="CK1000" i="1"/>
  <c r="CJ1000" i="1"/>
  <c r="CI1000" i="1"/>
  <c r="CH1000" i="1"/>
  <c r="CG1000" i="1"/>
  <c r="CF1000" i="1"/>
  <c r="CD1000" i="1"/>
  <c r="CC1000" i="1"/>
  <c r="CB1000" i="1"/>
  <c r="CA1000" i="1"/>
  <c r="BZ1000" i="1"/>
  <c r="BY1000" i="1"/>
  <c r="BX1000" i="1"/>
  <c r="BU1000" i="1"/>
  <c r="BN1000" i="1"/>
  <c r="BS1000" i="1" s="1"/>
  <c r="BA1000" i="1"/>
  <c r="AZ1000" i="1"/>
  <c r="AY1000" i="1"/>
  <c r="AX1000" i="1"/>
  <c r="AW1000" i="1"/>
  <c r="AV1000" i="1"/>
  <c r="AT1000" i="1"/>
  <c r="AS1000" i="1"/>
  <c r="CS999" i="1"/>
  <c r="CR999" i="1"/>
  <c r="CQ999" i="1"/>
  <c r="CP999" i="1"/>
  <c r="CO999" i="1"/>
  <c r="CN999" i="1"/>
  <c r="CL999" i="1"/>
  <c r="CK999" i="1"/>
  <c r="CJ999" i="1"/>
  <c r="CI999" i="1"/>
  <c r="CH999" i="1"/>
  <c r="CG999" i="1"/>
  <c r="CF999" i="1"/>
  <c r="CD999" i="1"/>
  <c r="CC999" i="1"/>
  <c r="CB999" i="1"/>
  <c r="CA999" i="1"/>
  <c r="BZ999" i="1"/>
  <c r="BY999" i="1"/>
  <c r="BX999" i="1"/>
  <c r="BU999" i="1"/>
  <c r="BN999" i="1"/>
  <c r="BS999" i="1" s="1"/>
  <c r="BA999" i="1"/>
  <c r="AZ999" i="1"/>
  <c r="AY999" i="1"/>
  <c r="AX999" i="1"/>
  <c r="AW999" i="1"/>
  <c r="AV999" i="1"/>
  <c r="AT999" i="1"/>
  <c r="AS999" i="1"/>
  <c r="CS998" i="1"/>
  <c r="CR998" i="1"/>
  <c r="CQ998" i="1"/>
  <c r="CP998" i="1"/>
  <c r="CO998" i="1"/>
  <c r="CN998" i="1"/>
  <c r="CL998" i="1"/>
  <c r="CK998" i="1"/>
  <c r="CJ998" i="1"/>
  <c r="CI998" i="1"/>
  <c r="CH998" i="1"/>
  <c r="CG998" i="1"/>
  <c r="CF998" i="1"/>
  <c r="CD998" i="1"/>
  <c r="CC998" i="1"/>
  <c r="CB998" i="1"/>
  <c r="CA998" i="1"/>
  <c r="BZ998" i="1"/>
  <c r="BY998" i="1"/>
  <c r="BX998" i="1"/>
  <c r="BU998" i="1"/>
  <c r="BN998" i="1"/>
  <c r="BS998" i="1" s="1"/>
  <c r="BA998" i="1"/>
  <c r="AZ998" i="1"/>
  <c r="AY998" i="1"/>
  <c r="AX998" i="1"/>
  <c r="AW998" i="1"/>
  <c r="AV998" i="1"/>
  <c r="AT998" i="1"/>
  <c r="AS998" i="1"/>
  <c r="CS997" i="1"/>
  <c r="CR997" i="1"/>
  <c r="CQ997" i="1"/>
  <c r="CP997" i="1"/>
  <c r="CO997" i="1"/>
  <c r="CN997" i="1"/>
  <c r="CL997" i="1"/>
  <c r="CK997" i="1"/>
  <c r="CJ997" i="1"/>
  <c r="CI997" i="1"/>
  <c r="CH997" i="1"/>
  <c r="CG997" i="1"/>
  <c r="CF997" i="1"/>
  <c r="CD997" i="1"/>
  <c r="CC997" i="1"/>
  <c r="CB997" i="1"/>
  <c r="CA997" i="1"/>
  <c r="BZ997" i="1"/>
  <c r="BY997" i="1"/>
  <c r="BX997" i="1"/>
  <c r="BU997" i="1"/>
  <c r="BN997" i="1"/>
  <c r="BS997" i="1" s="1"/>
  <c r="BA997" i="1"/>
  <c r="AZ997" i="1"/>
  <c r="AY997" i="1"/>
  <c r="AX997" i="1"/>
  <c r="AW997" i="1"/>
  <c r="AV997" i="1"/>
  <c r="AT997" i="1"/>
  <c r="AS997" i="1"/>
  <c r="CS996" i="1"/>
  <c r="CR996" i="1"/>
  <c r="CQ996" i="1"/>
  <c r="CP996" i="1"/>
  <c r="CO996" i="1"/>
  <c r="CN996" i="1"/>
  <c r="CL996" i="1"/>
  <c r="CK996" i="1"/>
  <c r="CJ996" i="1"/>
  <c r="CI996" i="1"/>
  <c r="CH996" i="1"/>
  <c r="CG996" i="1"/>
  <c r="CF996" i="1"/>
  <c r="CD996" i="1"/>
  <c r="CC996" i="1"/>
  <c r="CB996" i="1"/>
  <c r="CA996" i="1"/>
  <c r="BZ996" i="1"/>
  <c r="BY996" i="1"/>
  <c r="BX996" i="1"/>
  <c r="BU996" i="1"/>
  <c r="BN996" i="1"/>
  <c r="BS996" i="1" s="1"/>
  <c r="BA996" i="1"/>
  <c r="AZ996" i="1"/>
  <c r="AY996" i="1"/>
  <c r="AX996" i="1"/>
  <c r="AW996" i="1"/>
  <c r="AV996" i="1"/>
  <c r="AT996" i="1"/>
  <c r="AS996" i="1"/>
  <c r="CS995" i="1"/>
  <c r="CR995" i="1"/>
  <c r="CQ995" i="1"/>
  <c r="CP995" i="1"/>
  <c r="CO995" i="1"/>
  <c r="CN995" i="1"/>
  <c r="CL995" i="1"/>
  <c r="CK995" i="1"/>
  <c r="CJ995" i="1"/>
  <c r="CI995" i="1"/>
  <c r="CH995" i="1"/>
  <c r="CG995" i="1"/>
  <c r="CF995" i="1"/>
  <c r="CD995" i="1"/>
  <c r="CC995" i="1"/>
  <c r="CB995" i="1"/>
  <c r="CA995" i="1"/>
  <c r="BZ995" i="1"/>
  <c r="BY995" i="1"/>
  <c r="BX995" i="1"/>
  <c r="BU995" i="1"/>
  <c r="BN995" i="1"/>
  <c r="BS995" i="1" s="1"/>
  <c r="BA995" i="1"/>
  <c r="AZ995" i="1"/>
  <c r="AY995" i="1"/>
  <c r="AX995" i="1"/>
  <c r="AW995" i="1"/>
  <c r="AV995" i="1"/>
  <c r="AT995" i="1"/>
  <c r="AS995" i="1"/>
  <c r="CS994" i="1"/>
  <c r="CR994" i="1"/>
  <c r="CQ994" i="1"/>
  <c r="CP994" i="1"/>
  <c r="CO994" i="1"/>
  <c r="CN994" i="1"/>
  <c r="CL994" i="1"/>
  <c r="CK994" i="1"/>
  <c r="CJ994" i="1"/>
  <c r="CI994" i="1"/>
  <c r="CH994" i="1"/>
  <c r="CG994" i="1"/>
  <c r="CF994" i="1"/>
  <c r="CD994" i="1"/>
  <c r="CC994" i="1"/>
  <c r="CB994" i="1"/>
  <c r="CA994" i="1"/>
  <c r="BZ994" i="1"/>
  <c r="BY994" i="1"/>
  <c r="BX994" i="1"/>
  <c r="BU994" i="1"/>
  <c r="BN994" i="1"/>
  <c r="BS994" i="1" s="1"/>
  <c r="BA994" i="1"/>
  <c r="AZ994" i="1"/>
  <c r="AY994" i="1"/>
  <c r="AX994" i="1"/>
  <c r="AW994" i="1"/>
  <c r="AV994" i="1"/>
  <c r="AT994" i="1"/>
  <c r="AS994" i="1"/>
  <c r="CS993" i="1"/>
  <c r="CR993" i="1"/>
  <c r="CQ993" i="1"/>
  <c r="CP993" i="1"/>
  <c r="CO993" i="1"/>
  <c r="CN993" i="1"/>
  <c r="CL993" i="1"/>
  <c r="CK993" i="1"/>
  <c r="CJ993" i="1"/>
  <c r="CI993" i="1"/>
  <c r="CH993" i="1"/>
  <c r="CG993" i="1"/>
  <c r="CF993" i="1"/>
  <c r="CD993" i="1"/>
  <c r="CC993" i="1"/>
  <c r="CB993" i="1"/>
  <c r="CA993" i="1"/>
  <c r="BZ993" i="1"/>
  <c r="BY993" i="1"/>
  <c r="BX993" i="1"/>
  <c r="BU993" i="1"/>
  <c r="BN993" i="1"/>
  <c r="BS993" i="1" s="1"/>
  <c r="BA993" i="1"/>
  <c r="AZ993" i="1"/>
  <c r="AY993" i="1"/>
  <c r="AX993" i="1"/>
  <c r="AW993" i="1"/>
  <c r="AV993" i="1"/>
  <c r="AT993" i="1"/>
  <c r="AS993" i="1"/>
  <c r="CS992" i="1"/>
  <c r="CR992" i="1"/>
  <c r="CQ992" i="1"/>
  <c r="CP992" i="1"/>
  <c r="CO992" i="1"/>
  <c r="CN992" i="1"/>
  <c r="CL992" i="1"/>
  <c r="CK992" i="1"/>
  <c r="CJ992" i="1"/>
  <c r="CI992" i="1"/>
  <c r="CH992" i="1"/>
  <c r="CG992" i="1"/>
  <c r="CF992" i="1"/>
  <c r="CD992" i="1"/>
  <c r="CC992" i="1"/>
  <c r="CB992" i="1"/>
  <c r="CA992" i="1"/>
  <c r="BZ992" i="1"/>
  <c r="BY992" i="1"/>
  <c r="BX992" i="1"/>
  <c r="BU992" i="1"/>
  <c r="BN992" i="1"/>
  <c r="BS992" i="1" s="1"/>
  <c r="BA992" i="1"/>
  <c r="AZ992" i="1"/>
  <c r="AY992" i="1"/>
  <c r="AX992" i="1"/>
  <c r="AW992" i="1"/>
  <c r="AV992" i="1"/>
  <c r="AT992" i="1"/>
  <c r="AS992" i="1"/>
  <c r="CS991" i="1"/>
  <c r="CR991" i="1"/>
  <c r="CQ991" i="1"/>
  <c r="CP991" i="1"/>
  <c r="CO991" i="1"/>
  <c r="CN991" i="1"/>
  <c r="CL991" i="1"/>
  <c r="CK991" i="1"/>
  <c r="CJ991" i="1"/>
  <c r="CI991" i="1"/>
  <c r="CH991" i="1"/>
  <c r="CG991" i="1"/>
  <c r="CF991" i="1"/>
  <c r="CD991" i="1"/>
  <c r="CC991" i="1"/>
  <c r="CB991" i="1"/>
  <c r="CA991" i="1"/>
  <c r="BZ991" i="1"/>
  <c r="BY991" i="1"/>
  <c r="BX991" i="1"/>
  <c r="BU991" i="1"/>
  <c r="BN991" i="1"/>
  <c r="BS991" i="1" s="1"/>
  <c r="BA991" i="1"/>
  <c r="AZ991" i="1"/>
  <c r="AY991" i="1"/>
  <c r="AX991" i="1"/>
  <c r="AW991" i="1"/>
  <c r="AV991" i="1"/>
  <c r="AT991" i="1"/>
  <c r="AS991" i="1"/>
  <c r="CS990" i="1"/>
  <c r="CR990" i="1"/>
  <c r="CQ990" i="1"/>
  <c r="CP990" i="1"/>
  <c r="CO990" i="1"/>
  <c r="CN990" i="1"/>
  <c r="CL990" i="1"/>
  <c r="CK990" i="1"/>
  <c r="CJ990" i="1"/>
  <c r="CI990" i="1"/>
  <c r="CH990" i="1"/>
  <c r="CG990" i="1"/>
  <c r="CF990" i="1"/>
  <c r="CD990" i="1"/>
  <c r="CC990" i="1"/>
  <c r="CB990" i="1"/>
  <c r="CA990" i="1"/>
  <c r="BZ990" i="1"/>
  <c r="BY990" i="1"/>
  <c r="BX990" i="1"/>
  <c r="BU990" i="1"/>
  <c r="BN990" i="1"/>
  <c r="BS990" i="1" s="1"/>
  <c r="BA990" i="1"/>
  <c r="AZ990" i="1"/>
  <c r="AY990" i="1"/>
  <c r="AX990" i="1"/>
  <c r="AW990" i="1"/>
  <c r="AV990" i="1"/>
  <c r="AT990" i="1"/>
  <c r="AS990" i="1"/>
  <c r="CS989" i="1"/>
  <c r="CR989" i="1"/>
  <c r="CQ989" i="1"/>
  <c r="CP989" i="1"/>
  <c r="CO989" i="1"/>
  <c r="CN989" i="1"/>
  <c r="CL989" i="1"/>
  <c r="CK989" i="1"/>
  <c r="CJ989" i="1"/>
  <c r="CI989" i="1"/>
  <c r="CH989" i="1"/>
  <c r="CG989" i="1"/>
  <c r="CF989" i="1"/>
  <c r="CD989" i="1"/>
  <c r="CC989" i="1"/>
  <c r="CB989" i="1"/>
  <c r="CA989" i="1"/>
  <c r="BZ989" i="1"/>
  <c r="BY989" i="1"/>
  <c r="BX989" i="1"/>
  <c r="BU989" i="1"/>
  <c r="BN989" i="1"/>
  <c r="BS989" i="1" s="1"/>
  <c r="BA989" i="1"/>
  <c r="AZ989" i="1"/>
  <c r="AY989" i="1"/>
  <c r="AX989" i="1"/>
  <c r="AW989" i="1"/>
  <c r="AV989" i="1"/>
  <c r="AT989" i="1"/>
  <c r="AS989" i="1"/>
  <c r="CS988" i="1"/>
  <c r="CR988" i="1"/>
  <c r="CQ988" i="1"/>
  <c r="CP988" i="1"/>
  <c r="CO988" i="1"/>
  <c r="CN988" i="1"/>
  <c r="CL988" i="1"/>
  <c r="CK988" i="1"/>
  <c r="CJ988" i="1"/>
  <c r="CI988" i="1"/>
  <c r="CH988" i="1"/>
  <c r="CG988" i="1"/>
  <c r="CF988" i="1"/>
  <c r="CD988" i="1"/>
  <c r="CC988" i="1"/>
  <c r="CB988" i="1"/>
  <c r="CA988" i="1"/>
  <c r="BZ988" i="1"/>
  <c r="BY988" i="1"/>
  <c r="BX988" i="1"/>
  <c r="BU988" i="1"/>
  <c r="BN988" i="1"/>
  <c r="BS988" i="1" s="1"/>
  <c r="BA988" i="1"/>
  <c r="AZ988" i="1"/>
  <c r="AY988" i="1"/>
  <c r="AX988" i="1"/>
  <c r="AW988" i="1"/>
  <c r="AV988" i="1"/>
  <c r="AT988" i="1"/>
  <c r="AS988" i="1"/>
  <c r="CS987" i="1"/>
  <c r="CR987" i="1"/>
  <c r="CQ987" i="1"/>
  <c r="CP987" i="1"/>
  <c r="CO987" i="1"/>
  <c r="CN987" i="1"/>
  <c r="CL987" i="1"/>
  <c r="CK987" i="1"/>
  <c r="CJ987" i="1"/>
  <c r="CI987" i="1"/>
  <c r="CH987" i="1"/>
  <c r="CG987" i="1"/>
  <c r="CF987" i="1"/>
  <c r="CD987" i="1"/>
  <c r="CC987" i="1"/>
  <c r="CB987" i="1"/>
  <c r="CA987" i="1"/>
  <c r="BZ987" i="1"/>
  <c r="BY987" i="1"/>
  <c r="BX987" i="1"/>
  <c r="BU987" i="1"/>
  <c r="BN987" i="1"/>
  <c r="BS987" i="1" s="1"/>
  <c r="BA987" i="1"/>
  <c r="AZ987" i="1"/>
  <c r="AY987" i="1"/>
  <c r="AX987" i="1"/>
  <c r="AW987" i="1"/>
  <c r="AV987" i="1"/>
  <c r="AT987" i="1"/>
  <c r="AS987" i="1"/>
  <c r="CS986" i="1"/>
  <c r="CR986" i="1"/>
  <c r="CQ986" i="1"/>
  <c r="CP986" i="1"/>
  <c r="CO986" i="1"/>
  <c r="CN986" i="1"/>
  <c r="CL986" i="1"/>
  <c r="CK986" i="1"/>
  <c r="CJ986" i="1"/>
  <c r="CI986" i="1"/>
  <c r="CH986" i="1"/>
  <c r="CG986" i="1"/>
  <c r="CF986" i="1"/>
  <c r="CD986" i="1"/>
  <c r="CC986" i="1"/>
  <c r="CB986" i="1"/>
  <c r="CA986" i="1"/>
  <c r="BZ986" i="1"/>
  <c r="BY986" i="1"/>
  <c r="BX986" i="1"/>
  <c r="BU986" i="1"/>
  <c r="BN986" i="1"/>
  <c r="BS986" i="1" s="1"/>
  <c r="BA986" i="1"/>
  <c r="AZ986" i="1"/>
  <c r="AY986" i="1"/>
  <c r="AX986" i="1"/>
  <c r="AW986" i="1"/>
  <c r="AV986" i="1"/>
  <c r="AT986" i="1"/>
  <c r="AS986" i="1"/>
  <c r="CS985" i="1"/>
  <c r="CR985" i="1"/>
  <c r="CQ985" i="1"/>
  <c r="CP985" i="1"/>
  <c r="CO985" i="1"/>
  <c r="CN985" i="1"/>
  <c r="CL985" i="1"/>
  <c r="CK985" i="1"/>
  <c r="CJ985" i="1"/>
  <c r="CI985" i="1"/>
  <c r="CH985" i="1"/>
  <c r="CG985" i="1"/>
  <c r="CF985" i="1"/>
  <c r="CD985" i="1"/>
  <c r="CC985" i="1"/>
  <c r="CB985" i="1"/>
  <c r="CA985" i="1"/>
  <c r="BZ985" i="1"/>
  <c r="BY985" i="1"/>
  <c r="BX985" i="1"/>
  <c r="BU985" i="1"/>
  <c r="BN985" i="1"/>
  <c r="BS985" i="1" s="1"/>
  <c r="BA985" i="1"/>
  <c r="AZ985" i="1"/>
  <c r="AY985" i="1"/>
  <c r="AX985" i="1"/>
  <c r="AW985" i="1"/>
  <c r="AV985" i="1"/>
  <c r="AT985" i="1"/>
  <c r="AS985" i="1"/>
  <c r="CS984" i="1"/>
  <c r="CR984" i="1"/>
  <c r="CQ984" i="1"/>
  <c r="CP984" i="1"/>
  <c r="CO984" i="1"/>
  <c r="CN984" i="1"/>
  <c r="CL984" i="1"/>
  <c r="CK984" i="1"/>
  <c r="CJ984" i="1"/>
  <c r="CI984" i="1"/>
  <c r="CH984" i="1"/>
  <c r="CG984" i="1"/>
  <c r="CF984" i="1"/>
  <c r="CD984" i="1"/>
  <c r="CC984" i="1"/>
  <c r="CB984" i="1"/>
  <c r="CA984" i="1"/>
  <c r="BZ984" i="1"/>
  <c r="BY984" i="1"/>
  <c r="BX984" i="1"/>
  <c r="BU984" i="1"/>
  <c r="BN984" i="1"/>
  <c r="BS984" i="1" s="1"/>
  <c r="BA984" i="1"/>
  <c r="AZ984" i="1"/>
  <c r="AY984" i="1"/>
  <c r="AX984" i="1"/>
  <c r="AW984" i="1"/>
  <c r="AV984" i="1"/>
  <c r="AT984" i="1"/>
  <c r="AS984" i="1"/>
  <c r="CS983" i="1"/>
  <c r="CR983" i="1"/>
  <c r="CQ983" i="1"/>
  <c r="CP983" i="1"/>
  <c r="CO983" i="1"/>
  <c r="CN983" i="1"/>
  <c r="CL983" i="1"/>
  <c r="CK983" i="1"/>
  <c r="CJ983" i="1"/>
  <c r="CI983" i="1"/>
  <c r="CH983" i="1"/>
  <c r="CG983" i="1"/>
  <c r="CF983" i="1"/>
  <c r="CD983" i="1"/>
  <c r="CC983" i="1"/>
  <c r="CB983" i="1"/>
  <c r="CA983" i="1"/>
  <c r="BZ983" i="1"/>
  <c r="BY983" i="1"/>
  <c r="BX983" i="1"/>
  <c r="BU983" i="1"/>
  <c r="BN983" i="1"/>
  <c r="BS983" i="1" s="1"/>
  <c r="BA983" i="1"/>
  <c r="AZ983" i="1"/>
  <c r="AY983" i="1"/>
  <c r="AX983" i="1"/>
  <c r="AW983" i="1"/>
  <c r="AV983" i="1"/>
  <c r="AT983" i="1"/>
  <c r="AS983" i="1"/>
  <c r="CS982" i="1"/>
  <c r="CR982" i="1"/>
  <c r="CQ982" i="1"/>
  <c r="CP982" i="1"/>
  <c r="CO982" i="1"/>
  <c r="CN982" i="1"/>
  <c r="CL982" i="1"/>
  <c r="CK982" i="1"/>
  <c r="CJ982" i="1"/>
  <c r="CI982" i="1"/>
  <c r="CH982" i="1"/>
  <c r="CG982" i="1"/>
  <c r="CF982" i="1"/>
  <c r="CD982" i="1"/>
  <c r="CC982" i="1"/>
  <c r="CB982" i="1"/>
  <c r="CA982" i="1"/>
  <c r="BZ982" i="1"/>
  <c r="BY982" i="1"/>
  <c r="BX982" i="1"/>
  <c r="BU982" i="1"/>
  <c r="BN982" i="1"/>
  <c r="BS982" i="1" s="1"/>
  <c r="BA982" i="1"/>
  <c r="AZ982" i="1"/>
  <c r="AY982" i="1"/>
  <c r="AX982" i="1"/>
  <c r="AW982" i="1"/>
  <c r="AV982" i="1"/>
  <c r="AT982" i="1"/>
  <c r="AS982" i="1"/>
  <c r="CS981" i="1"/>
  <c r="CR981" i="1"/>
  <c r="CQ981" i="1"/>
  <c r="CP981" i="1"/>
  <c r="CO981" i="1"/>
  <c r="CN981" i="1"/>
  <c r="CL981" i="1"/>
  <c r="CK981" i="1"/>
  <c r="CJ981" i="1"/>
  <c r="CI981" i="1"/>
  <c r="CH981" i="1"/>
  <c r="CG981" i="1"/>
  <c r="CF981" i="1"/>
  <c r="CD981" i="1"/>
  <c r="CC981" i="1"/>
  <c r="CB981" i="1"/>
  <c r="CA981" i="1"/>
  <c r="BZ981" i="1"/>
  <c r="BY981" i="1"/>
  <c r="BX981" i="1"/>
  <c r="BU981" i="1"/>
  <c r="BN981" i="1"/>
  <c r="BS981" i="1" s="1"/>
  <c r="BA981" i="1"/>
  <c r="AZ981" i="1"/>
  <c r="AY981" i="1"/>
  <c r="AX981" i="1"/>
  <c r="AW981" i="1"/>
  <c r="AV981" i="1"/>
  <c r="AT981" i="1"/>
  <c r="AS981" i="1"/>
  <c r="CS980" i="1"/>
  <c r="CR980" i="1"/>
  <c r="CQ980" i="1"/>
  <c r="CP980" i="1"/>
  <c r="CO980" i="1"/>
  <c r="CN980" i="1"/>
  <c r="CL980" i="1"/>
  <c r="CK980" i="1"/>
  <c r="CJ980" i="1"/>
  <c r="CI980" i="1"/>
  <c r="CH980" i="1"/>
  <c r="CG980" i="1"/>
  <c r="CF980" i="1"/>
  <c r="CD980" i="1"/>
  <c r="CC980" i="1"/>
  <c r="CB980" i="1"/>
  <c r="CA980" i="1"/>
  <c r="BZ980" i="1"/>
  <c r="BY980" i="1"/>
  <c r="BX980" i="1"/>
  <c r="BU980" i="1"/>
  <c r="BN980" i="1"/>
  <c r="BS980" i="1" s="1"/>
  <c r="BA980" i="1"/>
  <c r="AZ980" i="1"/>
  <c r="AY980" i="1"/>
  <c r="AX980" i="1"/>
  <c r="AW980" i="1"/>
  <c r="AV980" i="1"/>
  <c r="AT980" i="1"/>
  <c r="AS980" i="1"/>
  <c r="CS979" i="1"/>
  <c r="CR979" i="1"/>
  <c r="CQ979" i="1"/>
  <c r="CP979" i="1"/>
  <c r="CO979" i="1"/>
  <c r="CN979" i="1"/>
  <c r="CL979" i="1"/>
  <c r="CK979" i="1"/>
  <c r="CJ979" i="1"/>
  <c r="CI979" i="1"/>
  <c r="CH979" i="1"/>
  <c r="CG979" i="1"/>
  <c r="CF979" i="1"/>
  <c r="CD979" i="1"/>
  <c r="CC979" i="1"/>
  <c r="CB979" i="1"/>
  <c r="CA979" i="1"/>
  <c r="BZ979" i="1"/>
  <c r="BY979" i="1"/>
  <c r="BX979" i="1"/>
  <c r="BU979" i="1"/>
  <c r="BN979" i="1"/>
  <c r="BS979" i="1" s="1"/>
  <c r="BA979" i="1"/>
  <c r="AZ979" i="1"/>
  <c r="AY979" i="1"/>
  <c r="AX979" i="1"/>
  <c r="AW979" i="1"/>
  <c r="AV979" i="1"/>
  <c r="AT979" i="1"/>
  <c r="AS979" i="1"/>
  <c r="CS978" i="1"/>
  <c r="CR978" i="1"/>
  <c r="CQ978" i="1"/>
  <c r="CP978" i="1"/>
  <c r="CO978" i="1"/>
  <c r="CN978" i="1"/>
  <c r="CL978" i="1"/>
  <c r="CK978" i="1"/>
  <c r="CJ978" i="1"/>
  <c r="CI978" i="1"/>
  <c r="CH978" i="1"/>
  <c r="CG978" i="1"/>
  <c r="CF978" i="1"/>
  <c r="CD978" i="1"/>
  <c r="CC978" i="1"/>
  <c r="CB978" i="1"/>
  <c r="CA978" i="1"/>
  <c r="BZ978" i="1"/>
  <c r="BY978" i="1"/>
  <c r="BX978" i="1"/>
  <c r="BU978" i="1"/>
  <c r="BN978" i="1"/>
  <c r="BS978" i="1" s="1"/>
  <c r="BA978" i="1"/>
  <c r="AZ978" i="1"/>
  <c r="AY978" i="1"/>
  <c r="AX978" i="1"/>
  <c r="AW978" i="1"/>
  <c r="AV978" i="1"/>
  <c r="AT978" i="1"/>
  <c r="AS978" i="1"/>
  <c r="CS977" i="1"/>
  <c r="CR977" i="1"/>
  <c r="CQ977" i="1"/>
  <c r="CP977" i="1"/>
  <c r="CO977" i="1"/>
  <c r="CN977" i="1"/>
  <c r="CL977" i="1"/>
  <c r="CK977" i="1"/>
  <c r="CJ977" i="1"/>
  <c r="CI977" i="1"/>
  <c r="CH977" i="1"/>
  <c r="CG977" i="1"/>
  <c r="CF977" i="1"/>
  <c r="CD977" i="1"/>
  <c r="CC977" i="1"/>
  <c r="CB977" i="1"/>
  <c r="CA977" i="1"/>
  <c r="BZ977" i="1"/>
  <c r="BY977" i="1"/>
  <c r="BX977" i="1"/>
  <c r="BU977" i="1"/>
  <c r="BN977" i="1"/>
  <c r="BS977" i="1" s="1"/>
  <c r="BA977" i="1"/>
  <c r="AZ977" i="1"/>
  <c r="AY977" i="1"/>
  <c r="AX977" i="1"/>
  <c r="AW977" i="1"/>
  <c r="AV977" i="1"/>
  <c r="AT977" i="1"/>
  <c r="AS977" i="1"/>
  <c r="CS976" i="1"/>
  <c r="CR976" i="1"/>
  <c r="CQ976" i="1"/>
  <c r="CP976" i="1"/>
  <c r="CO976" i="1"/>
  <c r="CN976" i="1"/>
  <c r="CL976" i="1"/>
  <c r="CK976" i="1"/>
  <c r="CJ976" i="1"/>
  <c r="CI976" i="1"/>
  <c r="CH976" i="1"/>
  <c r="CG976" i="1"/>
  <c r="CF976" i="1"/>
  <c r="CD976" i="1"/>
  <c r="CC976" i="1"/>
  <c r="CB976" i="1"/>
  <c r="CA976" i="1"/>
  <c r="BZ976" i="1"/>
  <c r="BY976" i="1"/>
  <c r="BX976" i="1"/>
  <c r="BU976" i="1"/>
  <c r="BN976" i="1"/>
  <c r="BS976" i="1" s="1"/>
  <c r="BA976" i="1"/>
  <c r="AZ976" i="1"/>
  <c r="AY976" i="1"/>
  <c r="AX976" i="1"/>
  <c r="AW976" i="1"/>
  <c r="AV976" i="1"/>
  <c r="AT976" i="1"/>
  <c r="AS976" i="1"/>
  <c r="CS975" i="1"/>
  <c r="CR975" i="1"/>
  <c r="CQ975" i="1"/>
  <c r="CP975" i="1"/>
  <c r="CO975" i="1"/>
  <c r="CN975" i="1"/>
  <c r="CL975" i="1"/>
  <c r="CK975" i="1"/>
  <c r="CJ975" i="1"/>
  <c r="CI975" i="1"/>
  <c r="CH975" i="1"/>
  <c r="CG975" i="1"/>
  <c r="CF975" i="1"/>
  <c r="CD975" i="1"/>
  <c r="CC975" i="1"/>
  <c r="CB975" i="1"/>
  <c r="CA975" i="1"/>
  <c r="BZ975" i="1"/>
  <c r="BY975" i="1"/>
  <c r="BX975" i="1"/>
  <c r="BU975" i="1"/>
  <c r="BN975" i="1"/>
  <c r="BS975" i="1" s="1"/>
  <c r="BA975" i="1"/>
  <c r="AZ975" i="1"/>
  <c r="AY975" i="1"/>
  <c r="AX975" i="1"/>
  <c r="AW975" i="1"/>
  <c r="AV975" i="1"/>
  <c r="AT975" i="1"/>
  <c r="AS975" i="1"/>
  <c r="CS974" i="1"/>
  <c r="CR974" i="1"/>
  <c r="CQ974" i="1"/>
  <c r="CP974" i="1"/>
  <c r="CO974" i="1"/>
  <c r="CN974" i="1"/>
  <c r="CL974" i="1"/>
  <c r="CK974" i="1"/>
  <c r="CJ974" i="1"/>
  <c r="CI974" i="1"/>
  <c r="CH974" i="1"/>
  <c r="CG974" i="1"/>
  <c r="CF974" i="1"/>
  <c r="CD974" i="1"/>
  <c r="CC974" i="1"/>
  <c r="CB974" i="1"/>
  <c r="CA974" i="1"/>
  <c r="BZ974" i="1"/>
  <c r="BY974" i="1"/>
  <c r="BX974" i="1"/>
  <c r="BU974" i="1"/>
  <c r="BN974" i="1"/>
  <c r="BS974" i="1" s="1"/>
  <c r="BA974" i="1"/>
  <c r="AZ974" i="1"/>
  <c r="AY974" i="1"/>
  <c r="AX974" i="1"/>
  <c r="AW974" i="1"/>
  <c r="AV974" i="1"/>
  <c r="AT974" i="1"/>
  <c r="AS974" i="1"/>
  <c r="CS973" i="1"/>
  <c r="CR973" i="1"/>
  <c r="CQ973" i="1"/>
  <c r="CP973" i="1"/>
  <c r="CO973" i="1"/>
  <c r="CN973" i="1"/>
  <c r="CL973" i="1"/>
  <c r="CK973" i="1"/>
  <c r="CJ973" i="1"/>
  <c r="CI973" i="1"/>
  <c r="CH973" i="1"/>
  <c r="CG973" i="1"/>
  <c r="CF973" i="1"/>
  <c r="CD973" i="1"/>
  <c r="CC973" i="1"/>
  <c r="CB973" i="1"/>
  <c r="CA973" i="1"/>
  <c r="BZ973" i="1"/>
  <c r="BY973" i="1"/>
  <c r="BX973" i="1"/>
  <c r="BU973" i="1"/>
  <c r="BN973" i="1"/>
  <c r="BS973" i="1" s="1"/>
  <c r="BA973" i="1"/>
  <c r="AZ973" i="1"/>
  <c r="AY973" i="1"/>
  <c r="AX973" i="1"/>
  <c r="AW973" i="1"/>
  <c r="AV973" i="1"/>
  <c r="AT973" i="1"/>
  <c r="AS973" i="1"/>
  <c r="CS972" i="1"/>
  <c r="CR972" i="1"/>
  <c r="CQ972" i="1"/>
  <c r="CP972" i="1"/>
  <c r="CO972" i="1"/>
  <c r="CN972" i="1"/>
  <c r="CL972" i="1"/>
  <c r="CK972" i="1"/>
  <c r="CJ972" i="1"/>
  <c r="CI972" i="1"/>
  <c r="CH972" i="1"/>
  <c r="CG972" i="1"/>
  <c r="CF972" i="1"/>
  <c r="CD972" i="1"/>
  <c r="CC972" i="1"/>
  <c r="CB972" i="1"/>
  <c r="CA972" i="1"/>
  <c r="BZ972" i="1"/>
  <c r="BY972" i="1"/>
  <c r="BX972" i="1"/>
  <c r="BU972" i="1"/>
  <c r="BN972" i="1"/>
  <c r="BS972" i="1" s="1"/>
  <c r="BA972" i="1"/>
  <c r="AZ972" i="1"/>
  <c r="AY972" i="1"/>
  <c r="AX972" i="1"/>
  <c r="AW972" i="1"/>
  <c r="AV972" i="1"/>
  <c r="AT972" i="1"/>
  <c r="AS972" i="1"/>
  <c r="CS971" i="1"/>
  <c r="CR971" i="1"/>
  <c r="CQ971" i="1"/>
  <c r="CP971" i="1"/>
  <c r="CO971" i="1"/>
  <c r="CN971" i="1"/>
  <c r="CL971" i="1"/>
  <c r="CK971" i="1"/>
  <c r="CJ971" i="1"/>
  <c r="CI971" i="1"/>
  <c r="CH971" i="1"/>
  <c r="CG971" i="1"/>
  <c r="CF971" i="1"/>
  <c r="CD971" i="1"/>
  <c r="CC971" i="1"/>
  <c r="CB971" i="1"/>
  <c r="CA971" i="1"/>
  <c r="BZ971" i="1"/>
  <c r="BY971" i="1"/>
  <c r="BX971" i="1"/>
  <c r="BU971" i="1"/>
  <c r="BN971" i="1"/>
  <c r="BS971" i="1" s="1"/>
  <c r="BA971" i="1"/>
  <c r="AZ971" i="1"/>
  <c r="AY971" i="1"/>
  <c r="AX971" i="1"/>
  <c r="AW971" i="1"/>
  <c r="AV971" i="1"/>
  <c r="AT971" i="1"/>
  <c r="AS971" i="1"/>
  <c r="CS970" i="1"/>
  <c r="CR970" i="1"/>
  <c r="CQ970" i="1"/>
  <c r="CP970" i="1"/>
  <c r="CO970" i="1"/>
  <c r="CN970" i="1"/>
  <c r="CL970" i="1"/>
  <c r="CK970" i="1"/>
  <c r="CJ970" i="1"/>
  <c r="CI970" i="1"/>
  <c r="CH970" i="1"/>
  <c r="CG970" i="1"/>
  <c r="CF970" i="1"/>
  <c r="CD970" i="1"/>
  <c r="CC970" i="1"/>
  <c r="CB970" i="1"/>
  <c r="CA970" i="1"/>
  <c r="BZ970" i="1"/>
  <c r="BY970" i="1"/>
  <c r="BX970" i="1"/>
  <c r="BU970" i="1"/>
  <c r="BN970" i="1"/>
  <c r="BS970" i="1" s="1"/>
  <c r="BA970" i="1"/>
  <c r="AZ970" i="1"/>
  <c r="AY970" i="1"/>
  <c r="AX970" i="1"/>
  <c r="AW970" i="1"/>
  <c r="AV970" i="1"/>
  <c r="AT970" i="1"/>
  <c r="AS970" i="1"/>
  <c r="CS969" i="1"/>
  <c r="CR969" i="1"/>
  <c r="CQ969" i="1"/>
  <c r="CP969" i="1"/>
  <c r="CO969" i="1"/>
  <c r="CN969" i="1"/>
  <c r="CL969" i="1"/>
  <c r="CK969" i="1"/>
  <c r="CJ969" i="1"/>
  <c r="CI969" i="1"/>
  <c r="CH969" i="1"/>
  <c r="CG969" i="1"/>
  <c r="CF969" i="1"/>
  <c r="CD969" i="1"/>
  <c r="CC969" i="1"/>
  <c r="CB969" i="1"/>
  <c r="CA969" i="1"/>
  <c r="BZ969" i="1"/>
  <c r="BY969" i="1"/>
  <c r="BX969" i="1"/>
  <c r="BU969" i="1"/>
  <c r="BN969" i="1"/>
  <c r="BS969" i="1" s="1"/>
  <c r="BA969" i="1"/>
  <c r="AZ969" i="1"/>
  <c r="AY969" i="1"/>
  <c r="AX969" i="1"/>
  <c r="AW969" i="1"/>
  <c r="AV969" i="1"/>
  <c r="AT969" i="1"/>
  <c r="AS969" i="1"/>
  <c r="CS968" i="1"/>
  <c r="CR968" i="1"/>
  <c r="CQ968" i="1"/>
  <c r="CP968" i="1"/>
  <c r="CO968" i="1"/>
  <c r="CN968" i="1"/>
  <c r="CL968" i="1"/>
  <c r="CK968" i="1"/>
  <c r="CJ968" i="1"/>
  <c r="CI968" i="1"/>
  <c r="CH968" i="1"/>
  <c r="CG968" i="1"/>
  <c r="CF968" i="1"/>
  <c r="CD968" i="1"/>
  <c r="CC968" i="1"/>
  <c r="CB968" i="1"/>
  <c r="CA968" i="1"/>
  <c r="BZ968" i="1"/>
  <c r="BY968" i="1"/>
  <c r="BX968" i="1"/>
  <c r="BU968" i="1"/>
  <c r="BN968" i="1"/>
  <c r="BS968" i="1" s="1"/>
  <c r="BA968" i="1"/>
  <c r="AZ968" i="1"/>
  <c r="AY968" i="1"/>
  <c r="AX968" i="1"/>
  <c r="AW968" i="1"/>
  <c r="AV968" i="1"/>
  <c r="AT968" i="1"/>
  <c r="AS968" i="1"/>
  <c r="CS967" i="1"/>
  <c r="CR967" i="1"/>
  <c r="CQ967" i="1"/>
  <c r="CP967" i="1"/>
  <c r="CO967" i="1"/>
  <c r="CN967" i="1"/>
  <c r="CL967" i="1"/>
  <c r="CK967" i="1"/>
  <c r="CJ967" i="1"/>
  <c r="CI967" i="1"/>
  <c r="CH967" i="1"/>
  <c r="CG967" i="1"/>
  <c r="CF967" i="1"/>
  <c r="CD967" i="1"/>
  <c r="CC967" i="1"/>
  <c r="CB967" i="1"/>
  <c r="CA967" i="1"/>
  <c r="BZ967" i="1"/>
  <c r="BY967" i="1"/>
  <c r="BX967" i="1"/>
  <c r="BU967" i="1"/>
  <c r="BN967" i="1"/>
  <c r="BS967" i="1" s="1"/>
  <c r="BA967" i="1"/>
  <c r="AZ967" i="1"/>
  <c r="AY967" i="1"/>
  <c r="AX967" i="1"/>
  <c r="AW967" i="1"/>
  <c r="AV967" i="1"/>
  <c r="AT967" i="1"/>
  <c r="AS967" i="1"/>
  <c r="CS966" i="1"/>
  <c r="CR966" i="1"/>
  <c r="CQ966" i="1"/>
  <c r="CP966" i="1"/>
  <c r="CO966" i="1"/>
  <c r="CN966" i="1"/>
  <c r="CL966" i="1"/>
  <c r="CK966" i="1"/>
  <c r="CJ966" i="1"/>
  <c r="CI966" i="1"/>
  <c r="CH966" i="1"/>
  <c r="CG966" i="1"/>
  <c r="CF966" i="1"/>
  <c r="CD966" i="1"/>
  <c r="CC966" i="1"/>
  <c r="CB966" i="1"/>
  <c r="CA966" i="1"/>
  <c r="BZ966" i="1"/>
  <c r="BY966" i="1"/>
  <c r="BX966" i="1"/>
  <c r="BU966" i="1"/>
  <c r="BN966" i="1"/>
  <c r="BS966" i="1" s="1"/>
  <c r="BA966" i="1"/>
  <c r="AZ966" i="1"/>
  <c r="AY966" i="1"/>
  <c r="AX966" i="1"/>
  <c r="AW966" i="1"/>
  <c r="AV966" i="1"/>
  <c r="AT966" i="1"/>
  <c r="AS966" i="1"/>
  <c r="CS965" i="1"/>
  <c r="CR965" i="1"/>
  <c r="CQ965" i="1"/>
  <c r="CP965" i="1"/>
  <c r="CO965" i="1"/>
  <c r="CN965" i="1"/>
  <c r="CL965" i="1"/>
  <c r="CK965" i="1"/>
  <c r="CJ965" i="1"/>
  <c r="CI965" i="1"/>
  <c r="CH965" i="1"/>
  <c r="CG965" i="1"/>
  <c r="CF965" i="1"/>
  <c r="CD965" i="1"/>
  <c r="CC965" i="1"/>
  <c r="CB965" i="1"/>
  <c r="CA965" i="1"/>
  <c r="BZ965" i="1"/>
  <c r="BY965" i="1"/>
  <c r="BX965" i="1"/>
  <c r="BU965" i="1"/>
  <c r="BN965" i="1"/>
  <c r="BS965" i="1" s="1"/>
  <c r="BA965" i="1"/>
  <c r="AZ965" i="1"/>
  <c r="AY965" i="1"/>
  <c r="AX965" i="1"/>
  <c r="AW965" i="1"/>
  <c r="AV965" i="1"/>
  <c r="AT965" i="1"/>
  <c r="AS965" i="1"/>
  <c r="CS964" i="1"/>
  <c r="CR964" i="1"/>
  <c r="CQ964" i="1"/>
  <c r="CP964" i="1"/>
  <c r="CO964" i="1"/>
  <c r="CN964" i="1"/>
  <c r="CL964" i="1"/>
  <c r="CK964" i="1"/>
  <c r="CJ964" i="1"/>
  <c r="CI964" i="1"/>
  <c r="CH964" i="1"/>
  <c r="CG964" i="1"/>
  <c r="CF964" i="1"/>
  <c r="CD964" i="1"/>
  <c r="CC964" i="1"/>
  <c r="CB964" i="1"/>
  <c r="CA964" i="1"/>
  <c r="BZ964" i="1"/>
  <c r="BY964" i="1"/>
  <c r="BX964" i="1"/>
  <c r="BU964" i="1"/>
  <c r="BN964" i="1"/>
  <c r="BS964" i="1" s="1"/>
  <c r="BA964" i="1"/>
  <c r="AZ964" i="1"/>
  <c r="AY964" i="1"/>
  <c r="AX964" i="1"/>
  <c r="AW964" i="1"/>
  <c r="AV964" i="1"/>
  <c r="AT964" i="1"/>
  <c r="AS964" i="1"/>
  <c r="CS963" i="1"/>
  <c r="CR963" i="1"/>
  <c r="CQ963" i="1"/>
  <c r="CP963" i="1"/>
  <c r="CO963" i="1"/>
  <c r="CN963" i="1"/>
  <c r="CL963" i="1"/>
  <c r="CK963" i="1"/>
  <c r="CJ963" i="1"/>
  <c r="CI963" i="1"/>
  <c r="CH963" i="1"/>
  <c r="CG963" i="1"/>
  <c r="CF963" i="1"/>
  <c r="CD963" i="1"/>
  <c r="CC963" i="1"/>
  <c r="CB963" i="1"/>
  <c r="CA963" i="1"/>
  <c r="BZ963" i="1"/>
  <c r="BY963" i="1"/>
  <c r="BX963" i="1"/>
  <c r="BU963" i="1"/>
  <c r="BN963" i="1"/>
  <c r="BS963" i="1" s="1"/>
  <c r="BA963" i="1"/>
  <c r="AZ963" i="1"/>
  <c r="AY963" i="1"/>
  <c r="AX963" i="1"/>
  <c r="AW963" i="1"/>
  <c r="AV963" i="1"/>
  <c r="AT963" i="1"/>
  <c r="AS963" i="1"/>
  <c r="CS962" i="1"/>
  <c r="CR962" i="1"/>
  <c r="CQ962" i="1"/>
  <c r="CP962" i="1"/>
  <c r="CO962" i="1"/>
  <c r="CN962" i="1"/>
  <c r="CL962" i="1"/>
  <c r="CK962" i="1"/>
  <c r="CJ962" i="1"/>
  <c r="CI962" i="1"/>
  <c r="CH962" i="1"/>
  <c r="CG962" i="1"/>
  <c r="CF962" i="1"/>
  <c r="CD962" i="1"/>
  <c r="CC962" i="1"/>
  <c r="CB962" i="1"/>
  <c r="CA962" i="1"/>
  <c r="BZ962" i="1"/>
  <c r="BY962" i="1"/>
  <c r="BX962" i="1"/>
  <c r="BU962" i="1"/>
  <c r="BN962" i="1"/>
  <c r="BS962" i="1" s="1"/>
  <c r="BA962" i="1"/>
  <c r="AZ962" i="1"/>
  <c r="AY962" i="1"/>
  <c r="AX962" i="1"/>
  <c r="AW962" i="1"/>
  <c r="AV962" i="1"/>
  <c r="AT962" i="1"/>
  <c r="AS962" i="1"/>
  <c r="CS961" i="1"/>
  <c r="CR961" i="1"/>
  <c r="CQ961" i="1"/>
  <c r="CP961" i="1"/>
  <c r="CO961" i="1"/>
  <c r="CN961" i="1"/>
  <c r="CL961" i="1"/>
  <c r="CK961" i="1"/>
  <c r="CJ961" i="1"/>
  <c r="CI961" i="1"/>
  <c r="CH961" i="1"/>
  <c r="CG961" i="1"/>
  <c r="CF961" i="1"/>
  <c r="CD961" i="1"/>
  <c r="CC961" i="1"/>
  <c r="CB961" i="1"/>
  <c r="CA961" i="1"/>
  <c r="BZ961" i="1"/>
  <c r="BY961" i="1"/>
  <c r="BX961" i="1"/>
  <c r="BU961" i="1"/>
  <c r="BN961" i="1"/>
  <c r="BS961" i="1" s="1"/>
  <c r="BA961" i="1"/>
  <c r="AZ961" i="1"/>
  <c r="AY961" i="1"/>
  <c r="AX961" i="1"/>
  <c r="AW961" i="1"/>
  <c r="AV961" i="1"/>
  <c r="AT961" i="1"/>
  <c r="AS961" i="1"/>
  <c r="CS960" i="1"/>
  <c r="CR960" i="1"/>
  <c r="CQ960" i="1"/>
  <c r="CP960" i="1"/>
  <c r="CO960" i="1"/>
  <c r="CN960" i="1"/>
  <c r="CL960" i="1"/>
  <c r="CK960" i="1"/>
  <c r="CJ960" i="1"/>
  <c r="CI960" i="1"/>
  <c r="CH960" i="1"/>
  <c r="CG960" i="1"/>
  <c r="CF960" i="1"/>
  <c r="CD960" i="1"/>
  <c r="CC960" i="1"/>
  <c r="CB960" i="1"/>
  <c r="CA960" i="1"/>
  <c r="BZ960" i="1"/>
  <c r="BY960" i="1"/>
  <c r="BX960" i="1"/>
  <c r="BU960" i="1"/>
  <c r="BN960" i="1"/>
  <c r="BS960" i="1" s="1"/>
  <c r="BA960" i="1"/>
  <c r="AZ960" i="1"/>
  <c r="AY960" i="1"/>
  <c r="AX960" i="1"/>
  <c r="AW960" i="1"/>
  <c r="AV960" i="1"/>
  <c r="AT960" i="1"/>
  <c r="AS960" i="1"/>
  <c r="CS959" i="1"/>
  <c r="CR959" i="1"/>
  <c r="CQ959" i="1"/>
  <c r="CP959" i="1"/>
  <c r="CO959" i="1"/>
  <c r="CN959" i="1"/>
  <c r="CL959" i="1"/>
  <c r="CK959" i="1"/>
  <c r="CJ959" i="1"/>
  <c r="CI959" i="1"/>
  <c r="CH959" i="1"/>
  <c r="CG959" i="1"/>
  <c r="CF959" i="1"/>
  <c r="CD959" i="1"/>
  <c r="CC959" i="1"/>
  <c r="CB959" i="1"/>
  <c r="CA959" i="1"/>
  <c r="BZ959" i="1"/>
  <c r="BY959" i="1"/>
  <c r="BX959" i="1"/>
  <c r="BU959" i="1"/>
  <c r="BN959" i="1"/>
  <c r="BS959" i="1" s="1"/>
  <c r="BA959" i="1"/>
  <c r="AZ959" i="1"/>
  <c r="AY959" i="1"/>
  <c r="AX959" i="1"/>
  <c r="AW959" i="1"/>
  <c r="AV959" i="1"/>
  <c r="AT959" i="1"/>
  <c r="AS959" i="1"/>
  <c r="CS958" i="1"/>
  <c r="CR958" i="1"/>
  <c r="CQ958" i="1"/>
  <c r="CP958" i="1"/>
  <c r="CO958" i="1"/>
  <c r="CN958" i="1"/>
  <c r="CL958" i="1"/>
  <c r="CK958" i="1"/>
  <c r="CJ958" i="1"/>
  <c r="CI958" i="1"/>
  <c r="CH958" i="1"/>
  <c r="CG958" i="1"/>
  <c r="CF958" i="1"/>
  <c r="CD958" i="1"/>
  <c r="CC958" i="1"/>
  <c r="CB958" i="1"/>
  <c r="CA958" i="1"/>
  <c r="BZ958" i="1"/>
  <c r="BY958" i="1"/>
  <c r="BX958" i="1"/>
  <c r="BU958" i="1"/>
  <c r="BN958" i="1"/>
  <c r="BS958" i="1" s="1"/>
  <c r="BA958" i="1"/>
  <c r="AZ958" i="1"/>
  <c r="AY958" i="1"/>
  <c r="AX958" i="1"/>
  <c r="AW958" i="1"/>
  <c r="AV958" i="1"/>
  <c r="AT958" i="1"/>
  <c r="AS958" i="1"/>
  <c r="CS957" i="1"/>
  <c r="CR957" i="1"/>
  <c r="CQ957" i="1"/>
  <c r="CP957" i="1"/>
  <c r="CO957" i="1"/>
  <c r="CN957" i="1"/>
  <c r="CL957" i="1"/>
  <c r="CK957" i="1"/>
  <c r="CJ957" i="1"/>
  <c r="CI957" i="1"/>
  <c r="CH957" i="1"/>
  <c r="CG957" i="1"/>
  <c r="CF957" i="1"/>
  <c r="CD957" i="1"/>
  <c r="CC957" i="1"/>
  <c r="CB957" i="1"/>
  <c r="CA957" i="1"/>
  <c r="BZ957" i="1"/>
  <c r="BY957" i="1"/>
  <c r="BX957" i="1"/>
  <c r="BU957" i="1"/>
  <c r="BN957" i="1"/>
  <c r="BS957" i="1" s="1"/>
  <c r="BA957" i="1"/>
  <c r="AZ957" i="1"/>
  <c r="AY957" i="1"/>
  <c r="AX957" i="1"/>
  <c r="AW957" i="1"/>
  <c r="AV957" i="1"/>
  <c r="AT957" i="1"/>
  <c r="AS957" i="1"/>
  <c r="CS956" i="1"/>
  <c r="CR956" i="1"/>
  <c r="CQ956" i="1"/>
  <c r="CP956" i="1"/>
  <c r="CO956" i="1"/>
  <c r="CN956" i="1"/>
  <c r="CL956" i="1"/>
  <c r="CK956" i="1"/>
  <c r="CJ956" i="1"/>
  <c r="CI956" i="1"/>
  <c r="CH956" i="1"/>
  <c r="CG956" i="1"/>
  <c r="CF956" i="1"/>
  <c r="CD956" i="1"/>
  <c r="CC956" i="1"/>
  <c r="CB956" i="1"/>
  <c r="CA956" i="1"/>
  <c r="BZ956" i="1"/>
  <c r="BY956" i="1"/>
  <c r="BX956" i="1"/>
  <c r="BU956" i="1"/>
  <c r="BN956" i="1"/>
  <c r="BS956" i="1" s="1"/>
  <c r="BA956" i="1"/>
  <c r="AZ956" i="1"/>
  <c r="AY956" i="1"/>
  <c r="AX956" i="1"/>
  <c r="AW956" i="1"/>
  <c r="AV956" i="1"/>
  <c r="AT956" i="1"/>
  <c r="AS956" i="1"/>
  <c r="CS955" i="1"/>
  <c r="CR955" i="1"/>
  <c r="CQ955" i="1"/>
  <c r="CP955" i="1"/>
  <c r="CO955" i="1"/>
  <c r="CN955" i="1"/>
  <c r="CL955" i="1"/>
  <c r="CK955" i="1"/>
  <c r="CJ955" i="1"/>
  <c r="CI955" i="1"/>
  <c r="CH955" i="1"/>
  <c r="CG955" i="1"/>
  <c r="CF955" i="1"/>
  <c r="CD955" i="1"/>
  <c r="CC955" i="1"/>
  <c r="CB955" i="1"/>
  <c r="CA955" i="1"/>
  <c r="BZ955" i="1"/>
  <c r="BY955" i="1"/>
  <c r="BX955" i="1"/>
  <c r="BU955" i="1"/>
  <c r="BN955" i="1"/>
  <c r="BS955" i="1" s="1"/>
  <c r="BA955" i="1"/>
  <c r="AZ955" i="1"/>
  <c r="AY955" i="1"/>
  <c r="AX955" i="1"/>
  <c r="AW955" i="1"/>
  <c r="AV955" i="1"/>
  <c r="AT955" i="1"/>
  <c r="AS955" i="1"/>
  <c r="CS954" i="1"/>
  <c r="CR954" i="1"/>
  <c r="CQ954" i="1"/>
  <c r="CP954" i="1"/>
  <c r="CO954" i="1"/>
  <c r="CN954" i="1"/>
  <c r="CL954" i="1"/>
  <c r="CK954" i="1"/>
  <c r="CJ954" i="1"/>
  <c r="CI954" i="1"/>
  <c r="CH954" i="1"/>
  <c r="CG954" i="1"/>
  <c r="CF954" i="1"/>
  <c r="CD954" i="1"/>
  <c r="CC954" i="1"/>
  <c r="CB954" i="1"/>
  <c r="CA954" i="1"/>
  <c r="BZ954" i="1"/>
  <c r="BY954" i="1"/>
  <c r="BX954" i="1"/>
  <c r="BU954" i="1"/>
  <c r="BN954" i="1"/>
  <c r="BS954" i="1" s="1"/>
  <c r="BA954" i="1"/>
  <c r="AZ954" i="1"/>
  <c r="AY954" i="1"/>
  <c r="AX954" i="1"/>
  <c r="AW954" i="1"/>
  <c r="AV954" i="1"/>
  <c r="AT954" i="1"/>
  <c r="AS954" i="1"/>
  <c r="CS953" i="1"/>
  <c r="CR953" i="1"/>
  <c r="CQ953" i="1"/>
  <c r="CP953" i="1"/>
  <c r="CO953" i="1"/>
  <c r="CN953" i="1"/>
  <c r="CL953" i="1"/>
  <c r="CK953" i="1"/>
  <c r="CJ953" i="1"/>
  <c r="CI953" i="1"/>
  <c r="CH953" i="1"/>
  <c r="CG953" i="1"/>
  <c r="CF953" i="1"/>
  <c r="CD953" i="1"/>
  <c r="CC953" i="1"/>
  <c r="CB953" i="1"/>
  <c r="CA953" i="1"/>
  <c r="BZ953" i="1"/>
  <c r="BY953" i="1"/>
  <c r="BX953" i="1"/>
  <c r="BU953" i="1"/>
  <c r="BN953" i="1"/>
  <c r="BS953" i="1" s="1"/>
  <c r="BA953" i="1"/>
  <c r="AZ953" i="1"/>
  <c r="AY953" i="1"/>
  <c r="AX953" i="1"/>
  <c r="AW953" i="1"/>
  <c r="AV953" i="1"/>
  <c r="AT953" i="1"/>
  <c r="AS953" i="1"/>
  <c r="CS952" i="1"/>
  <c r="CR952" i="1"/>
  <c r="CQ952" i="1"/>
  <c r="CP952" i="1"/>
  <c r="CO952" i="1"/>
  <c r="CN952" i="1"/>
  <c r="CL952" i="1"/>
  <c r="CK952" i="1"/>
  <c r="CJ952" i="1"/>
  <c r="CI952" i="1"/>
  <c r="CH952" i="1"/>
  <c r="CG952" i="1"/>
  <c r="CF952" i="1"/>
  <c r="CD952" i="1"/>
  <c r="CC952" i="1"/>
  <c r="CB952" i="1"/>
  <c r="CA952" i="1"/>
  <c r="BZ952" i="1"/>
  <c r="BY952" i="1"/>
  <c r="BX952" i="1"/>
  <c r="BU952" i="1"/>
  <c r="BN952" i="1"/>
  <c r="BS952" i="1" s="1"/>
  <c r="BA952" i="1"/>
  <c r="AZ952" i="1"/>
  <c r="AY952" i="1"/>
  <c r="AX952" i="1"/>
  <c r="AW952" i="1"/>
  <c r="AV952" i="1"/>
  <c r="AT952" i="1"/>
  <c r="AS952" i="1"/>
  <c r="CS951" i="1"/>
  <c r="CR951" i="1"/>
  <c r="CQ951" i="1"/>
  <c r="CP951" i="1"/>
  <c r="CO951" i="1"/>
  <c r="CN951" i="1"/>
  <c r="CL951" i="1"/>
  <c r="CK951" i="1"/>
  <c r="CJ951" i="1"/>
  <c r="CI951" i="1"/>
  <c r="CH951" i="1"/>
  <c r="CG951" i="1"/>
  <c r="CF951" i="1"/>
  <c r="CD951" i="1"/>
  <c r="CC951" i="1"/>
  <c r="CB951" i="1"/>
  <c r="CA951" i="1"/>
  <c r="BZ951" i="1"/>
  <c r="BY951" i="1"/>
  <c r="BX951" i="1"/>
  <c r="BU951" i="1"/>
  <c r="BN951" i="1"/>
  <c r="BS951" i="1" s="1"/>
  <c r="BA951" i="1"/>
  <c r="AZ951" i="1"/>
  <c r="AY951" i="1"/>
  <c r="AX951" i="1"/>
  <c r="AW951" i="1"/>
  <c r="AV951" i="1"/>
  <c r="AT951" i="1"/>
  <c r="AS951" i="1"/>
  <c r="CS950" i="1"/>
  <c r="CR950" i="1"/>
  <c r="CQ950" i="1"/>
  <c r="CP950" i="1"/>
  <c r="CO950" i="1"/>
  <c r="CN950" i="1"/>
  <c r="CL950" i="1"/>
  <c r="CK950" i="1"/>
  <c r="CJ950" i="1"/>
  <c r="CI950" i="1"/>
  <c r="CH950" i="1"/>
  <c r="CG950" i="1"/>
  <c r="CF950" i="1"/>
  <c r="CD950" i="1"/>
  <c r="CC950" i="1"/>
  <c r="CB950" i="1"/>
  <c r="CA950" i="1"/>
  <c r="BZ950" i="1"/>
  <c r="BY950" i="1"/>
  <c r="BX950" i="1"/>
  <c r="BU950" i="1"/>
  <c r="BN950" i="1"/>
  <c r="BS950" i="1" s="1"/>
  <c r="BA950" i="1"/>
  <c r="AZ950" i="1"/>
  <c r="AY950" i="1"/>
  <c r="AX950" i="1"/>
  <c r="AW950" i="1"/>
  <c r="AV950" i="1"/>
  <c r="AT950" i="1"/>
  <c r="AS950" i="1"/>
  <c r="CS949" i="1"/>
  <c r="CR949" i="1"/>
  <c r="CQ949" i="1"/>
  <c r="CP949" i="1"/>
  <c r="CO949" i="1"/>
  <c r="CN949" i="1"/>
  <c r="CL949" i="1"/>
  <c r="CK949" i="1"/>
  <c r="CJ949" i="1"/>
  <c r="CI949" i="1"/>
  <c r="CH949" i="1"/>
  <c r="CG949" i="1"/>
  <c r="CF949" i="1"/>
  <c r="CD949" i="1"/>
  <c r="CC949" i="1"/>
  <c r="CB949" i="1"/>
  <c r="CA949" i="1"/>
  <c r="BZ949" i="1"/>
  <c r="BY949" i="1"/>
  <c r="BX949" i="1"/>
  <c r="BU949" i="1"/>
  <c r="BN949" i="1"/>
  <c r="BS949" i="1" s="1"/>
  <c r="BA949" i="1"/>
  <c r="AZ949" i="1"/>
  <c r="AY949" i="1"/>
  <c r="AX949" i="1"/>
  <c r="AW949" i="1"/>
  <c r="AV949" i="1"/>
  <c r="AT949" i="1"/>
  <c r="AS949" i="1"/>
  <c r="CS948" i="1"/>
  <c r="CR948" i="1"/>
  <c r="CQ948" i="1"/>
  <c r="CP948" i="1"/>
  <c r="CO948" i="1"/>
  <c r="CN948" i="1"/>
  <c r="CL948" i="1"/>
  <c r="CK948" i="1"/>
  <c r="CJ948" i="1"/>
  <c r="CI948" i="1"/>
  <c r="CH948" i="1"/>
  <c r="CG948" i="1"/>
  <c r="CF948" i="1"/>
  <c r="CD948" i="1"/>
  <c r="CC948" i="1"/>
  <c r="CB948" i="1"/>
  <c r="CA948" i="1"/>
  <c r="BZ948" i="1"/>
  <c r="BY948" i="1"/>
  <c r="BX948" i="1"/>
  <c r="BU948" i="1"/>
  <c r="BN948" i="1"/>
  <c r="BS948" i="1" s="1"/>
  <c r="BA948" i="1"/>
  <c r="AZ948" i="1"/>
  <c r="AY948" i="1"/>
  <c r="AX948" i="1"/>
  <c r="AW948" i="1"/>
  <c r="AV948" i="1"/>
  <c r="AT948" i="1"/>
  <c r="AS948" i="1"/>
  <c r="CS947" i="1"/>
  <c r="CR947" i="1"/>
  <c r="CQ947" i="1"/>
  <c r="CP947" i="1"/>
  <c r="CO947" i="1"/>
  <c r="CN947" i="1"/>
  <c r="CL947" i="1"/>
  <c r="CK947" i="1"/>
  <c r="CJ947" i="1"/>
  <c r="CI947" i="1"/>
  <c r="CH947" i="1"/>
  <c r="CG947" i="1"/>
  <c r="CF947" i="1"/>
  <c r="CD947" i="1"/>
  <c r="CC947" i="1"/>
  <c r="CB947" i="1"/>
  <c r="CA947" i="1"/>
  <c r="BZ947" i="1"/>
  <c r="BY947" i="1"/>
  <c r="BX947" i="1"/>
  <c r="BU947" i="1"/>
  <c r="BN947" i="1"/>
  <c r="BS947" i="1" s="1"/>
  <c r="BA947" i="1"/>
  <c r="AZ947" i="1"/>
  <c r="AY947" i="1"/>
  <c r="AX947" i="1"/>
  <c r="AW947" i="1"/>
  <c r="AV947" i="1"/>
  <c r="AT947" i="1"/>
  <c r="AS947" i="1"/>
  <c r="CS946" i="1"/>
  <c r="CR946" i="1"/>
  <c r="CQ946" i="1"/>
  <c r="CP946" i="1"/>
  <c r="CO946" i="1"/>
  <c r="CN946" i="1"/>
  <c r="CL946" i="1"/>
  <c r="CK946" i="1"/>
  <c r="CJ946" i="1"/>
  <c r="CI946" i="1"/>
  <c r="CH946" i="1"/>
  <c r="CG946" i="1"/>
  <c r="CF946" i="1"/>
  <c r="CD946" i="1"/>
  <c r="CC946" i="1"/>
  <c r="CB946" i="1"/>
  <c r="CA946" i="1"/>
  <c r="BZ946" i="1"/>
  <c r="BY946" i="1"/>
  <c r="BX946" i="1"/>
  <c r="BU946" i="1"/>
  <c r="BN946" i="1"/>
  <c r="BS946" i="1" s="1"/>
  <c r="BA946" i="1"/>
  <c r="AZ946" i="1"/>
  <c r="AY946" i="1"/>
  <c r="AX946" i="1"/>
  <c r="AW946" i="1"/>
  <c r="AV946" i="1"/>
  <c r="AT946" i="1"/>
  <c r="AS946" i="1"/>
  <c r="CS945" i="1"/>
  <c r="CR945" i="1"/>
  <c r="CQ945" i="1"/>
  <c r="CP945" i="1"/>
  <c r="CO945" i="1"/>
  <c r="CN945" i="1"/>
  <c r="CL945" i="1"/>
  <c r="CK945" i="1"/>
  <c r="CJ945" i="1"/>
  <c r="CI945" i="1"/>
  <c r="CH945" i="1"/>
  <c r="CG945" i="1"/>
  <c r="CF945" i="1"/>
  <c r="CD945" i="1"/>
  <c r="CC945" i="1"/>
  <c r="CB945" i="1"/>
  <c r="CA945" i="1"/>
  <c r="BZ945" i="1"/>
  <c r="BY945" i="1"/>
  <c r="BX945" i="1"/>
  <c r="BU945" i="1"/>
  <c r="BN945" i="1"/>
  <c r="BS945" i="1" s="1"/>
  <c r="BA945" i="1"/>
  <c r="AZ945" i="1"/>
  <c r="AY945" i="1"/>
  <c r="AX945" i="1"/>
  <c r="AW945" i="1"/>
  <c r="AV945" i="1"/>
  <c r="AT945" i="1"/>
  <c r="AS945" i="1"/>
  <c r="CS944" i="1"/>
  <c r="CR944" i="1"/>
  <c r="CQ944" i="1"/>
  <c r="CP944" i="1"/>
  <c r="CO944" i="1"/>
  <c r="CN944" i="1"/>
  <c r="CL944" i="1"/>
  <c r="CK944" i="1"/>
  <c r="CJ944" i="1"/>
  <c r="CI944" i="1"/>
  <c r="CH944" i="1"/>
  <c r="CG944" i="1"/>
  <c r="CF944" i="1"/>
  <c r="CD944" i="1"/>
  <c r="CC944" i="1"/>
  <c r="CB944" i="1"/>
  <c r="CA944" i="1"/>
  <c r="BZ944" i="1"/>
  <c r="BY944" i="1"/>
  <c r="BX944" i="1"/>
  <c r="BU944" i="1"/>
  <c r="BN944" i="1"/>
  <c r="BS944" i="1" s="1"/>
  <c r="BA944" i="1"/>
  <c r="AZ944" i="1"/>
  <c r="AY944" i="1"/>
  <c r="AX944" i="1"/>
  <c r="AW944" i="1"/>
  <c r="AV944" i="1"/>
  <c r="AT944" i="1"/>
  <c r="AS944" i="1"/>
  <c r="CS943" i="1"/>
  <c r="CR943" i="1"/>
  <c r="CQ943" i="1"/>
  <c r="CP943" i="1"/>
  <c r="CO943" i="1"/>
  <c r="CN943" i="1"/>
  <c r="CL943" i="1"/>
  <c r="CK943" i="1"/>
  <c r="CJ943" i="1"/>
  <c r="CI943" i="1"/>
  <c r="CH943" i="1"/>
  <c r="CG943" i="1"/>
  <c r="CF943" i="1"/>
  <c r="CD943" i="1"/>
  <c r="CC943" i="1"/>
  <c r="CB943" i="1"/>
  <c r="CA943" i="1"/>
  <c r="BZ943" i="1"/>
  <c r="BY943" i="1"/>
  <c r="BX943" i="1"/>
  <c r="BU943" i="1"/>
  <c r="BN943" i="1"/>
  <c r="BS943" i="1" s="1"/>
  <c r="BA943" i="1"/>
  <c r="AZ943" i="1"/>
  <c r="AY943" i="1"/>
  <c r="AX943" i="1"/>
  <c r="AW943" i="1"/>
  <c r="AV943" i="1"/>
  <c r="AT943" i="1"/>
  <c r="AS943" i="1"/>
  <c r="CS942" i="1"/>
  <c r="CR942" i="1"/>
  <c r="CQ942" i="1"/>
  <c r="CP942" i="1"/>
  <c r="CO942" i="1"/>
  <c r="CN942" i="1"/>
  <c r="CL942" i="1"/>
  <c r="CK942" i="1"/>
  <c r="CJ942" i="1"/>
  <c r="CI942" i="1"/>
  <c r="CH942" i="1"/>
  <c r="CG942" i="1"/>
  <c r="CF942" i="1"/>
  <c r="CD942" i="1"/>
  <c r="CC942" i="1"/>
  <c r="CB942" i="1"/>
  <c r="CA942" i="1"/>
  <c r="BZ942" i="1"/>
  <c r="BY942" i="1"/>
  <c r="BX942" i="1"/>
  <c r="BU942" i="1"/>
  <c r="BN942" i="1"/>
  <c r="BS942" i="1" s="1"/>
  <c r="BA942" i="1"/>
  <c r="AZ942" i="1"/>
  <c r="AY942" i="1"/>
  <c r="AX942" i="1"/>
  <c r="AW942" i="1"/>
  <c r="AV942" i="1"/>
  <c r="AT942" i="1"/>
  <c r="AS942" i="1"/>
  <c r="CS941" i="1"/>
  <c r="CR941" i="1"/>
  <c r="CQ941" i="1"/>
  <c r="CP941" i="1"/>
  <c r="CO941" i="1"/>
  <c r="CN941" i="1"/>
  <c r="CL941" i="1"/>
  <c r="CK941" i="1"/>
  <c r="CJ941" i="1"/>
  <c r="CI941" i="1"/>
  <c r="CH941" i="1"/>
  <c r="CG941" i="1"/>
  <c r="CF941" i="1"/>
  <c r="CD941" i="1"/>
  <c r="CC941" i="1"/>
  <c r="CB941" i="1"/>
  <c r="CA941" i="1"/>
  <c r="BZ941" i="1"/>
  <c r="BY941" i="1"/>
  <c r="BX941" i="1"/>
  <c r="BU941" i="1"/>
  <c r="BN941" i="1"/>
  <c r="BS941" i="1" s="1"/>
  <c r="BA941" i="1"/>
  <c r="AZ941" i="1"/>
  <c r="AY941" i="1"/>
  <c r="AX941" i="1"/>
  <c r="AW941" i="1"/>
  <c r="AV941" i="1"/>
  <c r="AT941" i="1"/>
  <c r="AS941" i="1"/>
  <c r="CS940" i="1"/>
  <c r="CR940" i="1"/>
  <c r="CQ940" i="1"/>
  <c r="CP940" i="1"/>
  <c r="CO940" i="1"/>
  <c r="CN940" i="1"/>
  <c r="CL940" i="1"/>
  <c r="CK940" i="1"/>
  <c r="CJ940" i="1"/>
  <c r="CI940" i="1"/>
  <c r="CH940" i="1"/>
  <c r="CG940" i="1"/>
  <c r="CF940" i="1"/>
  <c r="CD940" i="1"/>
  <c r="CC940" i="1"/>
  <c r="CB940" i="1"/>
  <c r="CA940" i="1"/>
  <c r="BZ940" i="1"/>
  <c r="BY940" i="1"/>
  <c r="BX940" i="1"/>
  <c r="BU940" i="1"/>
  <c r="BN940" i="1"/>
  <c r="BS940" i="1" s="1"/>
  <c r="BA940" i="1"/>
  <c r="AZ940" i="1"/>
  <c r="AY940" i="1"/>
  <c r="AX940" i="1"/>
  <c r="AW940" i="1"/>
  <c r="AV940" i="1"/>
  <c r="AT940" i="1"/>
  <c r="AS940" i="1"/>
  <c r="CS939" i="1"/>
  <c r="CR939" i="1"/>
  <c r="CQ939" i="1"/>
  <c r="CP939" i="1"/>
  <c r="CO939" i="1"/>
  <c r="CN939" i="1"/>
  <c r="CL939" i="1"/>
  <c r="CK939" i="1"/>
  <c r="CJ939" i="1"/>
  <c r="CI939" i="1"/>
  <c r="CH939" i="1"/>
  <c r="CG939" i="1"/>
  <c r="CF939" i="1"/>
  <c r="CD939" i="1"/>
  <c r="CC939" i="1"/>
  <c r="CB939" i="1"/>
  <c r="CA939" i="1"/>
  <c r="BZ939" i="1"/>
  <c r="BY939" i="1"/>
  <c r="BX939" i="1"/>
  <c r="BU939" i="1"/>
  <c r="BN939" i="1"/>
  <c r="BS939" i="1" s="1"/>
  <c r="BA939" i="1"/>
  <c r="AZ939" i="1"/>
  <c r="AY939" i="1"/>
  <c r="AX939" i="1"/>
  <c r="AW939" i="1"/>
  <c r="AV939" i="1"/>
  <c r="AT939" i="1"/>
  <c r="AS939" i="1"/>
  <c r="CS938" i="1"/>
  <c r="CR938" i="1"/>
  <c r="CQ938" i="1"/>
  <c r="CP938" i="1"/>
  <c r="CO938" i="1"/>
  <c r="CN938" i="1"/>
  <c r="CL938" i="1"/>
  <c r="CK938" i="1"/>
  <c r="CJ938" i="1"/>
  <c r="CI938" i="1"/>
  <c r="CH938" i="1"/>
  <c r="CG938" i="1"/>
  <c r="CF938" i="1"/>
  <c r="CD938" i="1"/>
  <c r="CC938" i="1"/>
  <c r="CB938" i="1"/>
  <c r="CA938" i="1"/>
  <c r="BZ938" i="1"/>
  <c r="BY938" i="1"/>
  <c r="BX938" i="1"/>
  <c r="BU938" i="1"/>
  <c r="BN938" i="1"/>
  <c r="BS938" i="1" s="1"/>
  <c r="BA938" i="1"/>
  <c r="AZ938" i="1"/>
  <c r="AY938" i="1"/>
  <c r="AX938" i="1"/>
  <c r="AW938" i="1"/>
  <c r="AV938" i="1"/>
  <c r="AT938" i="1"/>
  <c r="AS938" i="1"/>
  <c r="CS937" i="1"/>
  <c r="CR937" i="1"/>
  <c r="CQ937" i="1"/>
  <c r="CP937" i="1"/>
  <c r="CO937" i="1"/>
  <c r="CN937" i="1"/>
  <c r="CL937" i="1"/>
  <c r="CK937" i="1"/>
  <c r="CJ937" i="1"/>
  <c r="CI937" i="1"/>
  <c r="CH937" i="1"/>
  <c r="CG937" i="1"/>
  <c r="CF937" i="1"/>
  <c r="CD937" i="1"/>
  <c r="CC937" i="1"/>
  <c r="CB937" i="1"/>
  <c r="CA937" i="1"/>
  <c r="BZ937" i="1"/>
  <c r="BY937" i="1"/>
  <c r="BX937" i="1"/>
  <c r="BU937" i="1"/>
  <c r="BN937" i="1"/>
  <c r="BS937" i="1" s="1"/>
  <c r="BA937" i="1"/>
  <c r="AZ937" i="1"/>
  <c r="AY937" i="1"/>
  <c r="AX937" i="1"/>
  <c r="AW937" i="1"/>
  <c r="AV937" i="1"/>
  <c r="AT937" i="1"/>
  <c r="AS937" i="1"/>
  <c r="CS936" i="1"/>
  <c r="CR936" i="1"/>
  <c r="CQ936" i="1"/>
  <c r="CP936" i="1"/>
  <c r="CO936" i="1"/>
  <c r="CN936" i="1"/>
  <c r="CL936" i="1"/>
  <c r="CK936" i="1"/>
  <c r="CJ936" i="1"/>
  <c r="CI936" i="1"/>
  <c r="CH936" i="1"/>
  <c r="CG936" i="1"/>
  <c r="CF936" i="1"/>
  <c r="CD936" i="1"/>
  <c r="CC936" i="1"/>
  <c r="CB936" i="1"/>
  <c r="CA936" i="1"/>
  <c r="BZ936" i="1"/>
  <c r="BY936" i="1"/>
  <c r="BX936" i="1"/>
  <c r="BU936" i="1"/>
  <c r="BN936" i="1"/>
  <c r="BS936" i="1" s="1"/>
  <c r="BA936" i="1"/>
  <c r="AZ936" i="1"/>
  <c r="AY936" i="1"/>
  <c r="AX936" i="1"/>
  <c r="AW936" i="1"/>
  <c r="AV936" i="1"/>
  <c r="AT936" i="1"/>
  <c r="AS936" i="1"/>
  <c r="CS935" i="1"/>
  <c r="CR935" i="1"/>
  <c r="CQ935" i="1"/>
  <c r="CP935" i="1"/>
  <c r="CO935" i="1"/>
  <c r="CN935" i="1"/>
  <c r="CL935" i="1"/>
  <c r="CK935" i="1"/>
  <c r="CJ935" i="1"/>
  <c r="CI935" i="1"/>
  <c r="CH935" i="1"/>
  <c r="CG935" i="1"/>
  <c r="CF935" i="1"/>
  <c r="CD935" i="1"/>
  <c r="CC935" i="1"/>
  <c r="CB935" i="1"/>
  <c r="CA935" i="1"/>
  <c r="BZ935" i="1"/>
  <c r="BY935" i="1"/>
  <c r="BX935" i="1"/>
  <c r="BU935" i="1"/>
  <c r="BN935" i="1"/>
  <c r="BS935" i="1" s="1"/>
  <c r="BA935" i="1"/>
  <c r="AZ935" i="1"/>
  <c r="AY935" i="1"/>
  <c r="AX935" i="1"/>
  <c r="AW935" i="1"/>
  <c r="AV935" i="1"/>
  <c r="AT935" i="1"/>
  <c r="AS935" i="1"/>
  <c r="CS934" i="1"/>
  <c r="CR934" i="1"/>
  <c r="CQ934" i="1"/>
  <c r="CP934" i="1"/>
  <c r="CO934" i="1"/>
  <c r="CN934" i="1"/>
  <c r="CL934" i="1"/>
  <c r="CK934" i="1"/>
  <c r="CJ934" i="1"/>
  <c r="CI934" i="1"/>
  <c r="CH934" i="1"/>
  <c r="CG934" i="1"/>
  <c r="CF934" i="1"/>
  <c r="CD934" i="1"/>
  <c r="CC934" i="1"/>
  <c r="CB934" i="1"/>
  <c r="CA934" i="1"/>
  <c r="BZ934" i="1"/>
  <c r="BY934" i="1"/>
  <c r="BX934" i="1"/>
  <c r="BU934" i="1"/>
  <c r="BN934" i="1"/>
  <c r="BS934" i="1" s="1"/>
  <c r="BA934" i="1"/>
  <c r="AZ934" i="1"/>
  <c r="AY934" i="1"/>
  <c r="AX934" i="1"/>
  <c r="AW934" i="1"/>
  <c r="AV934" i="1"/>
  <c r="AT934" i="1"/>
  <c r="AS934" i="1"/>
  <c r="CS933" i="1"/>
  <c r="CR933" i="1"/>
  <c r="CQ933" i="1"/>
  <c r="CP933" i="1"/>
  <c r="CO933" i="1"/>
  <c r="CN933" i="1"/>
  <c r="CL933" i="1"/>
  <c r="CK933" i="1"/>
  <c r="CJ933" i="1"/>
  <c r="CI933" i="1"/>
  <c r="CH933" i="1"/>
  <c r="CG933" i="1"/>
  <c r="CF933" i="1"/>
  <c r="CD933" i="1"/>
  <c r="CC933" i="1"/>
  <c r="CB933" i="1"/>
  <c r="CA933" i="1"/>
  <c r="BZ933" i="1"/>
  <c r="BY933" i="1"/>
  <c r="BX933" i="1"/>
  <c r="BU933" i="1"/>
  <c r="BN933" i="1"/>
  <c r="BS933" i="1" s="1"/>
  <c r="BA933" i="1"/>
  <c r="AZ933" i="1"/>
  <c r="AY933" i="1"/>
  <c r="AX933" i="1"/>
  <c r="AW933" i="1"/>
  <c r="AV933" i="1"/>
  <c r="AT933" i="1"/>
  <c r="AS933" i="1"/>
  <c r="CS932" i="1"/>
  <c r="CR932" i="1"/>
  <c r="CQ932" i="1"/>
  <c r="CP932" i="1"/>
  <c r="CO932" i="1"/>
  <c r="CN932" i="1"/>
  <c r="CL932" i="1"/>
  <c r="CK932" i="1"/>
  <c r="CJ932" i="1"/>
  <c r="CI932" i="1"/>
  <c r="CH932" i="1"/>
  <c r="CG932" i="1"/>
  <c r="CF932" i="1"/>
  <c r="CD932" i="1"/>
  <c r="CC932" i="1"/>
  <c r="CB932" i="1"/>
  <c r="CA932" i="1"/>
  <c r="BZ932" i="1"/>
  <c r="BY932" i="1"/>
  <c r="BX932" i="1"/>
  <c r="BU932" i="1"/>
  <c r="BN932" i="1"/>
  <c r="BS932" i="1" s="1"/>
  <c r="BA932" i="1"/>
  <c r="AZ932" i="1"/>
  <c r="AY932" i="1"/>
  <c r="AX932" i="1"/>
  <c r="AW932" i="1"/>
  <c r="AV932" i="1"/>
  <c r="AT932" i="1"/>
  <c r="AS932" i="1"/>
  <c r="CS931" i="1"/>
  <c r="CR931" i="1"/>
  <c r="CQ931" i="1"/>
  <c r="CP931" i="1"/>
  <c r="CO931" i="1"/>
  <c r="CN931" i="1"/>
  <c r="CL931" i="1"/>
  <c r="CK931" i="1"/>
  <c r="CJ931" i="1"/>
  <c r="CI931" i="1"/>
  <c r="CH931" i="1"/>
  <c r="CG931" i="1"/>
  <c r="CF931" i="1"/>
  <c r="CD931" i="1"/>
  <c r="CC931" i="1"/>
  <c r="CB931" i="1"/>
  <c r="CA931" i="1"/>
  <c r="BZ931" i="1"/>
  <c r="BY931" i="1"/>
  <c r="BX931" i="1"/>
  <c r="BU931" i="1"/>
  <c r="BN931" i="1"/>
  <c r="BS931" i="1" s="1"/>
  <c r="BA931" i="1"/>
  <c r="AZ931" i="1"/>
  <c r="AY931" i="1"/>
  <c r="AX931" i="1"/>
  <c r="AW931" i="1"/>
  <c r="AV931" i="1"/>
  <c r="AT931" i="1"/>
  <c r="AS931" i="1"/>
  <c r="CS930" i="1"/>
  <c r="CR930" i="1"/>
  <c r="CQ930" i="1"/>
  <c r="CP930" i="1"/>
  <c r="CO930" i="1"/>
  <c r="CN930" i="1"/>
  <c r="CL930" i="1"/>
  <c r="CK930" i="1"/>
  <c r="CJ930" i="1"/>
  <c r="CI930" i="1"/>
  <c r="CH930" i="1"/>
  <c r="CG930" i="1"/>
  <c r="CF930" i="1"/>
  <c r="CD930" i="1"/>
  <c r="CC930" i="1"/>
  <c r="CB930" i="1"/>
  <c r="CA930" i="1"/>
  <c r="BZ930" i="1"/>
  <c r="BY930" i="1"/>
  <c r="BX930" i="1"/>
  <c r="BU930" i="1"/>
  <c r="BN930" i="1"/>
  <c r="BS930" i="1" s="1"/>
  <c r="BA930" i="1"/>
  <c r="AZ930" i="1"/>
  <c r="AY930" i="1"/>
  <c r="AX930" i="1"/>
  <c r="AW930" i="1"/>
  <c r="AV930" i="1"/>
  <c r="AT930" i="1"/>
  <c r="AS930" i="1"/>
  <c r="CS929" i="1"/>
  <c r="CR929" i="1"/>
  <c r="CQ929" i="1"/>
  <c r="CP929" i="1"/>
  <c r="CO929" i="1"/>
  <c r="CN929" i="1"/>
  <c r="CL929" i="1"/>
  <c r="CK929" i="1"/>
  <c r="CJ929" i="1"/>
  <c r="CI929" i="1"/>
  <c r="CH929" i="1"/>
  <c r="CG929" i="1"/>
  <c r="CF929" i="1"/>
  <c r="CD929" i="1"/>
  <c r="CC929" i="1"/>
  <c r="CB929" i="1"/>
  <c r="CA929" i="1"/>
  <c r="BZ929" i="1"/>
  <c r="BY929" i="1"/>
  <c r="BX929" i="1"/>
  <c r="BU929" i="1"/>
  <c r="BN929" i="1"/>
  <c r="BS929" i="1" s="1"/>
  <c r="BA929" i="1"/>
  <c r="AZ929" i="1"/>
  <c r="AY929" i="1"/>
  <c r="AX929" i="1"/>
  <c r="AW929" i="1"/>
  <c r="AV929" i="1"/>
  <c r="AT929" i="1"/>
  <c r="AS929" i="1"/>
  <c r="CS928" i="1"/>
  <c r="CR928" i="1"/>
  <c r="CQ928" i="1"/>
  <c r="CP928" i="1"/>
  <c r="CO928" i="1"/>
  <c r="CN928" i="1"/>
  <c r="CL928" i="1"/>
  <c r="CK928" i="1"/>
  <c r="CJ928" i="1"/>
  <c r="CI928" i="1"/>
  <c r="CH928" i="1"/>
  <c r="CG928" i="1"/>
  <c r="CF928" i="1"/>
  <c r="CD928" i="1"/>
  <c r="CC928" i="1"/>
  <c r="CB928" i="1"/>
  <c r="CA928" i="1"/>
  <c r="BZ928" i="1"/>
  <c r="BY928" i="1"/>
  <c r="BX928" i="1"/>
  <c r="BU928" i="1"/>
  <c r="BN928" i="1"/>
  <c r="BS928" i="1" s="1"/>
  <c r="BA928" i="1"/>
  <c r="AZ928" i="1"/>
  <c r="AY928" i="1"/>
  <c r="AX928" i="1"/>
  <c r="AW928" i="1"/>
  <c r="AV928" i="1"/>
  <c r="AT928" i="1"/>
  <c r="AS928" i="1"/>
  <c r="CS927" i="1"/>
  <c r="CR927" i="1"/>
  <c r="CQ927" i="1"/>
  <c r="CP927" i="1"/>
  <c r="CO927" i="1"/>
  <c r="CN927" i="1"/>
  <c r="CL927" i="1"/>
  <c r="CK927" i="1"/>
  <c r="CJ927" i="1"/>
  <c r="CI927" i="1"/>
  <c r="CH927" i="1"/>
  <c r="CG927" i="1"/>
  <c r="CF927" i="1"/>
  <c r="CD927" i="1"/>
  <c r="CC927" i="1"/>
  <c r="CB927" i="1"/>
  <c r="CA927" i="1"/>
  <c r="BZ927" i="1"/>
  <c r="BY927" i="1"/>
  <c r="BX927" i="1"/>
  <c r="BU927" i="1"/>
  <c r="BN927" i="1"/>
  <c r="BS927" i="1" s="1"/>
  <c r="BA927" i="1"/>
  <c r="AZ927" i="1"/>
  <c r="AY927" i="1"/>
  <c r="AX927" i="1"/>
  <c r="AW927" i="1"/>
  <c r="AV927" i="1"/>
  <c r="AT927" i="1"/>
  <c r="AS927" i="1"/>
  <c r="CS926" i="1"/>
  <c r="CR926" i="1"/>
  <c r="CQ926" i="1"/>
  <c r="CP926" i="1"/>
  <c r="CO926" i="1"/>
  <c r="CN926" i="1"/>
  <c r="CL926" i="1"/>
  <c r="CK926" i="1"/>
  <c r="CJ926" i="1"/>
  <c r="CI926" i="1"/>
  <c r="CH926" i="1"/>
  <c r="CG926" i="1"/>
  <c r="CF926" i="1"/>
  <c r="CD926" i="1"/>
  <c r="CC926" i="1"/>
  <c r="CB926" i="1"/>
  <c r="CA926" i="1"/>
  <c r="BZ926" i="1"/>
  <c r="BY926" i="1"/>
  <c r="BX926" i="1"/>
  <c r="BU926" i="1"/>
  <c r="BN926" i="1"/>
  <c r="BS926" i="1" s="1"/>
  <c r="BA926" i="1"/>
  <c r="AZ926" i="1"/>
  <c r="AY926" i="1"/>
  <c r="AX926" i="1"/>
  <c r="AW926" i="1"/>
  <c r="AV926" i="1"/>
  <c r="AT926" i="1"/>
  <c r="AS926" i="1"/>
  <c r="CS925" i="1"/>
  <c r="CR925" i="1"/>
  <c r="CQ925" i="1"/>
  <c r="CP925" i="1"/>
  <c r="CO925" i="1"/>
  <c r="CN925" i="1"/>
  <c r="CL925" i="1"/>
  <c r="CK925" i="1"/>
  <c r="CJ925" i="1"/>
  <c r="CI925" i="1"/>
  <c r="CH925" i="1"/>
  <c r="CG925" i="1"/>
  <c r="CF925" i="1"/>
  <c r="CD925" i="1"/>
  <c r="CC925" i="1"/>
  <c r="CB925" i="1"/>
  <c r="CA925" i="1"/>
  <c r="BZ925" i="1"/>
  <c r="BY925" i="1"/>
  <c r="BX925" i="1"/>
  <c r="BU925" i="1"/>
  <c r="BN925" i="1"/>
  <c r="BS925" i="1" s="1"/>
  <c r="BA925" i="1"/>
  <c r="AZ925" i="1"/>
  <c r="AY925" i="1"/>
  <c r="AX925" i="1"/>
  <c r="AW925" i="1"/>
  <c r="AV925" i="1"/>
  <c r="AT925" i="1"/>
  <c r="AS925" i="1"/>
  <c r="CS924" i="1"/>
  <c r="CR924" i="1"/>
  <c r="CQ924" i="1"/>
  <c r="CP924" i="1"/>
  <c r="CO924" i="1"/>
  <c r="CN924" i="1"/>
  <c r="CL924" i="1"/>
  <c r="CK924" i="1"/>
  <c r="CJ924" i="1"/>
  <c r="CI924" i="1"/>
  <c r="CH924" i="1"/>
  <c r="CG924" i="1"/>
  <c r="CF924" i="1"/>
  <c r="CD924" i="1"/>
  <c r="CC924" i="1"/>
  <c r="CB924" i="1"/>
  <c r="CA924" i="1"/>
  <c r="BZ924" i="1"/>
  <c r="BY924" i="1"/>
  <c r="BX924" i="1"/>
  <c r="BU924" i="1"/>
  <c r="BN924" i="1"/>
  <c r="BS924" i="1" s="1"/>
  <c r="BA924" i="1"/>
  <c r="AZ924" i="1"/>
  <c r="AY924" i="1"/>
  <c r="AX924" i="1"/>
  <c r="AW924" i="1"/>
  <c r="AV924" i="1"/>
  <c r="AT924" i="1"/>
  <c r="AS924" i="1"/>
  <c r="CS923" i="1"/>
  <c r="CR923" i="1"/>
  <c r="CQ923" i="1"/>
  <c r="CP923" i="1"/>
  <c r="CO923" i="1"/>
  <c r="CN923" i="1"/>
  <c r="CL923" i="1"/>
  <c r="CK923" i="1"/>
  <c r="CJ923" i="1"/>
  <c r="CI923" i="1"/>
  <c r="CH923" i="1"/>
  <c r="CG923" i="1"/>
  <c r="CF923" i="1"/>
  <c r="CD923" i="1"/>
  <c r="CC923" i="1"/>
  <c r="CB923" i="1"/>
  <c r="CA923" i="1"/>
  <c r="BZ923" i="1"/>
  <c r="BY923" i="1"/>
  <c r="BX923" i="1"/>
  <c r="BU923" i="1"/>
  <c r="BN923" i="1"/>
  <c r="BS923" i="1" s="1"/>
  <c r="BA923" i="1"/>
  <c r="AZ923" i="1"/>
  <c r="AY923" i="1"/>
  <c r="AX923" i="1"/>
  <c r="AW923" i="1"/>
  <c r="AV923" i="1"/>
  <c r="AT923" i="1"/>
  <c r="AS923" i="1"/>
  <c r="CS922" i="1"/>
  <c r="CR922" i="1"/>
  <c r="CQ922" i="1"/>
  <c r="CP922" i="1"/>
  <c r="CO922" i="1"/>
  <c r="CN922" i="1"/>
  <c r="CL922" i="1"/>
  <c r="CK922" i="1"/>
  <c r="CJ922" i="1"/>
  <c r="CI922" i="1"/>
  <c r="CH922" i="1"/>
  <c r="CG922" i="1"/>
  <c r="CF922" i="1"/>
  <c r="CD922" i="1"/>
  <c r="CC922" i="1"/>
  <c r="CB922" i="1"/>
  <c r="CA922" i="1"/>
  <c r="BZ922" i="1"/>
  <c r="BY922" i="1"/>
  <c r="BX922" i="1"/>
  <c r="BU922" i="1"/>
  <c r="BN922" i="1"/>
  <c r="BS922" i="1" s="1"/>
  <c r="BA922" i="1"/>
  <c r="AZ922" i="1"/>
  <c r="AY922" i="1"/>
  <c r="AX922" i="1"/>
  <c r="AW922" i="1"/>
  <c r="AV922" i="1"/>
  <c r="AT922" i="1"/>
  <c r="AS922" i="1"/>
  <c r="CS921" i="1"/>
  <c r="CR921" i="1"/>
  <c r="CQ921" i="1"/>
  <c r="CP921" i="1"/>
  <c r="CO921" i="1"/>
  <c r="CN921" i="1"/>
  <c r="CL921" i="1"/>
  <c r="CK921" i="1"/>
  <c r="CJ921" i="1"/>
  <c r="CI921" i="1"/>
  <c r="CH921" i="1"/>
  <c r="CG921" i="1"/>
  <c r="CF921" i="1"/>
  <c r="CD921" i="1"/>
  <c r="CC921" i="1"/>
  <c r="CB921" i="1"/>
  <c r="CA921" i="1"/>
  <c r="BZ921" i="1"/>
  <c r="BY921" i="1"/>
  <c r="BX921" i="1"/>
  <c r="BU921" i="1"/>
  <c r="BN921" i="1"/>
  <c r="BS921" i="1" s="1"/>
  <c r="BA921" i="1"/>
  <c r="AZ921" i="1"/>
  <c r="AY921" i="1"/>
  <c r="AX921" i="1"/>
  <c r="AW921" i="1"/>
  <c r="AV921" i="1"/>
  <c r="AT921" i="1"/>
  <c r="AS921" i="1"/>
  <c r="CS920" i="1"/>
  <c r="CR920" i="1"/>
  <c r="CQ920" i="1"/>
  <c r="CP920" i="1"/>
  <c r="CO920" i="1"/>
  <c r="CN920" i="1"/>
  <c r="CL920" i="1"/>
  <c r="CK920" i="1"/>
  <c r="CJ920" i="1"/>
  <c r="CI920" i="1"/>
  <c r="CH920" i="1"/>
  <c r="CG920" i="1"/>
  <c r="CF920" i="1"/>
  <c r="CD920" i="1"/>
  <c r="CC920" i="1"/>
  <c r="CB920" i="1"/>
  <c r="CA920" i="1"/>
  <c r="BZ920" i="1"/>
  <c r="BY920" i="1"/>
  <c r="BX920" i="1"/>
  <c r="BU920" i="1"/>
  <c r="BN920" i="1"/>
  <c r="BS920" i="1" s="1"/>
  <c r="BA920" i="1"/>
  <c r="AZ920" i="1"/>
  <c r="AY920" i="1"/>
  <c r="AX920" i="1"/>
  <c r="AW920" i="1"/>
  <c r="AV920" i="1"/>
  <c r="AT920" i="1"/>
  <c r="AS920" i="1"/>
  <c r="CS919" i="1"/>
  <c r="CR919" i="1"/>
  <c r="CQ919" i="1"/>
  <c r="CP919" i="1"/>
  <c r="CO919" i="1"/>
  <c r="CN919" i="1"/>
  <c r="CL919" i="1"/>
  <c r="CK919" i="1"/>
  <c r="CJ919" i="1"/>
  <c r="CI919" i="1"/>
  <c r="CH919" i="1"/>
  <c r="CG919" i="1"/>
  <c r="CF919" i="1"/>
  <c r="CD919" i="1"/>
  <c r="CC919" i="1"/>
  <c r="CB919" i="1"/>
  <c r="CA919" i="1"/>
  <c r="BZ919" i="1"/>
  <c r="BY919" i="1"/>
  <c r="BX919" i="1"/>
  <c r="BU919" i="1"/>
  <c r="BN919" i="1"/>
  <c r="BS919" i="1" s="1"/>
  <c r="BA919" i="1"/>
  <c r="AZ919" i="1"/>
  <c r="AY919" i="1"/>
  <c r="AX919" i="1"/>
  <c r="AW919" i="1"/>
  <c r="AV919" i="1"/>
  <c r="AT919" i="1"/>
  <c r="AS919" i="1"/>
  <c r="CS918" i="1"/>
  <c r="CR918" i="1"/>
  <c r="CQ918" i="1"/>
  <c r="CP918" i="1"/>
  <c r="CO918" i="1"/>
  <c r="CN918" i="1"/>
  <c r="CL918" i="1"/>
  <c r="CK918" i="1"/>
  <c r="CJ918" i="1"/>
  <c r="CI918" i="1"/>
  <c r="CH918" i="1"/>
  <c r="CG918" i="1"/>
  <c r="CF918" i="1"/>
  <c r="CD918" i="1"/>
  <c r="CC918" i="1"/>
  <c r="CB918" i="1"/>
  <c r="CA918" i="1"/>
  <c r="BZ918" i="1"/>
  <c r="BY918" i="1"/>
  <c r="BX918" i="1"/>
  <c r="BU918" i="1"/>
  <c r="BN918" i="1"/>
  <c r="BS918" i="1" s="1"/>
  <c r="BA918" i="1"/>
  <c r="AZ918" i="1"/>
  <c r="AY918" i="1"/>
  <c r="AX918" i="1"/>
  <c r="AW918" i="1"/>
  <c r="AV918" i="1"/>
  <c r="AT918" i="1"/>
  <c r="AS918" i="1"/>
  <c r="CS917" i="1"/>
  <c r="CR917" i="1"/>
  <c r="CQ917" i="1"/>
  <c r="CP917" i="1"/>
  <c r="CO917" i="1"/>
  <c r="CN917" i="1"/>
  <c r="CL917" i="1"/>
  <c r="CK917" i="1"/>
  <c r="CJ917" i="1"/>
  <c r="CI917" i="1"/>
  <c r="CH917" i="1"/>
  <c r="CG917" i="1"/>
  <c r="CF917" i="1"/>
  <c r="CD917" i="1"/>
  <c r="CC917" i="1"/>
  <c r="CB917" i="1"/>
  <c r="CA917" i="1"/>
  <c r="BZ917" i="1"/>
  <c r="BY917" i="1"/>
  <c r="BX917" i="1"/>
  <c r="BU917" i="1"/>
  <c r="BN917" i="1"/>
  <c r="BS917" i="1" s="1"/>
  <c r="BA917" i="1"/>
  <c r="AZ917" i="1"/>
  <c r="AY917" i="1"/>
  <c r="AX917" i="1"/>
  <c r="AW917" i="1"/>
  <c r="AV917" i="1"/>
  <c r="AT917" i="1"/>
  <c r="AS917" i="1"/>
  <c r="CS916" i="1"/>
  <c r="CR916" i="1"/>
  <c r="CQ916" i="1"/>
  <c r="CP916" i="1"/>
  <c r="CO916" i="1"/>
  <c r="CN916" i="1"/>
  <c r="CL916" i="1"/>
  <c r="CK916" i="1"/>
  <c r="CJ916" i="1"/>
  <c r="CI916" i="1"/>
  <c r="CH916" i="1"/>
  <c r="CG916" i="1"/>
  <c r="CF916" i="1"/>
  <c r="CD916" i="1"/>
  <c r="CC916" i="1"/>
  <c r="CB916" i="1"/>
  <c r="CA916" i="1"/>
  <c r="BZ916" i="1"/>
  <c r="BY916" i="1"/>
  <c r="BX916" i="1"/>
  <c r="BU916" i="1"/>
  <c r="BN916" i="1"/>
  <c r="BS916" i="1" s="1"/>
  <c r="BA916" i="1"/>
  <c r="AZ916" i="1"/>
  <c r="AY916" i="1"/>
  <c r="AX916" i="1"/>
  <c r="AW916" i="1"/>
  <c r="AV916" i="1"/>
  <c r="AT916" i="1"/>
  <c r="AS916" i="1"/>
  <c r="CS915" i="1"/>
  <c r="CR915" i="1"/>
  <c r="CQ915" i="1"/>
  <c r="CP915" i="1"/>
  <c r="CO915" i="1"/>
  <c r="CN915" i="1"/>
  <c r="CL915" i="1"/>
  <c r="CK915" i="1"/>
  <c r="CJ915" i="1"/>
  <c r="CI915" i="1"/>
  <c r="CH915" i="1"/>
  <c r="CG915" i="1"/>
  <c r="CF915" i="1"/>
  <c r="CD915" i="1"/>
  <c r="CC915" i="1"/>
  <c r="CB915" i="1"/>
  <c r="CA915" i="1"/>
  <c r="BZ915" i="1"/>
  <c r="BY915" i="1"/>
  <c r="BX915" i="1"/>
  <c r="BU915" i="1"/>
  <c r="BN915" i="1"/>
  <c r="BS915" i="1" s="1"/>
  <c r="BA915" i="1"/>
  <c r="AZ915" i="1"/>
  <c r="AY915" i="1"/>
  <c r="AX915" i="1"/>
  <c r="AW915" i="1"/>
  <c r="AV915" i="1"/>
  <c r="AT915" i="1"/>
  <c r="AS915" i="1"/>
  <c r="CS914" i="1"/>
  <c r="CR914" i="1"/>
  <c r="CQ914" i="1"/>
  <c r="CP914" i="1"/>
  <c r="CO914" i="1"/>
  <c r="CN914" i="1"/>
  <c r="CL914" i="1"/>
  <c r="CK914" i="1"/>
  <c r="CJ914" i="1"/>
  <c r="CI914" i="1"/>
  <c r="CH914" i="1"/>
  <c r="CG914" i="1"/>
  <c r="CF914" i="1"/>
  <c r="CD914" i="1"/>
  <c r="CC914" i="1"/>
  <c r="CB914" i="1"/>
  <c r="CA914" i="1"/>
  <c r="BZ914" i="1"/>
  <c r="BY914" i="1"/>
  <c r="BX914" i="1"/>
  <c r="BU914" i="1"/>
  <c r="BN914" i="1"/>
  <c r="BS914" i="1" s="1"/>
  <c r="BA914" i="1"/>
  <c r="AZ914" i="1"/>
  <c r="AY914" i="1"/>
  <c r="AX914" i="1"/>
  <c r="AW914" i="1"/>
  <c r="AV914" i="1"/>
  <c r="AT914" i="1"/>
  <c r="AS914" i="1"/>
  <c r="CS913" i="1"/>
  <c r="CR913" i="1"/>
  <c r="CQ913" i="1"/>
  <c r="CP913" i="1"/>
  <c r="CO913" i="1"/>
  <c r="CN913" i="1"/>
  <c r="CL913" i="1"/>
  <c r="CK913" i="1"/>
  <c r="CJ913" i="1"/>
  <c r="CI913" i="1"/>
  <c r="CH913" i="1"/>
  <c r="CG913" i="1"/>
  <c r="CF913" i="1"/>
  <c r="CD913" i="1"/>
  <c r="CC913" i="1"/>
  <c r="CB913" i="1"/>
  <c r="CA913" i="1"/>
  <c r="BZ913" i="1"/>
  <c r="BY913" i="1"/>
  <c r="BX913" i="1"/>
  <c r="BU913" i="1"/>
  <c r="BN913" i="1"/>
  <c r="BS913" i="1" s="1"/>
  <c r="BA913" i="1"/>
  <c r="AZ913" i="1"/>
  <c r="AY913" i="1"/>
  <c r="AX913" i="1"/>
  <c r="AW913" i="1"/>
  <c r="AV913" i="1"/>
  <c r="AT913" i="1"/>
  <c r="AS913" i="1"/>
  <c r="CS912" i="1"/>
  <c r="CR912" i="1"/>
  <c r="CQ912" i="1"/>
  <c r="CP912" i="1"/>
  <c r="CO912" i="1"/>
  <c r="CN912" i="1"/>
  <c r="CL912" i="1"/>
  <c r="CK912" i="1"/>
  <c r="CJ912" i="1"/>
  <c r="CI912" i="1"/>
  <c r="CH912" i="1"/>
  <c r="CG912" i="1"/>
  <c r="CF912" i="1"/>
  <c r="CD912" i="1"/>
  <c r="CC912" i="1"/>
  <c r="CB912" i="1"/>
  <c r="CA912" i="1"/>
  <c r="BZ912" i="1"/>
  <c r="BY912" i="1"/>
  <c r="BX912" i="1"/>
  <c r="BU912" i="1"/>
  <c r="BN912" i="1"/>
  <c r="BS912" i="1" s="1"/>
  <c r="BA912" i="1"/>
  <c r="AZ912" i="1"/>
  <c r="AY912" i="1"/>
  <c r="AX912" i="1"/>
  <c r="AW912" i="1"/>
  <c r="AV912" i="1"/>
  <c r="AT912" i="1"/>
  <c r="AS912" i="1"/>
  <c r="CS911" i="1"/>
  <c r="CR911" i="1"/>
  <c r="CQ911" i="1"/>
  <c r="CP911" i="1"/>
  <c r="CO911" i="1"/>
  <c r="CN911" i="1"/>
  <c r="CL911" i="1"/>
  <c r="CK911" i="1"/>
  <c r="CJ911" i="1"/>
  <c r="CI911" i="1"/>
  <c r="CH911" i="1"/>
  <c r="CG911" i="1"/>
  <c r="CF911" i="1"/>
  <c r="CD911" i="1"/>
  <c r="CC911" i="1"/>
  <c r="CB911" i="1"/>
  <c r="CA911" i="1"/>
  <c r="BZ911" i="1"/>
  <c r="BY911" i="1"/>
  <c r="BX911" i="1"/>
  <c r="BU911" i="1"/>
  <c r="BN911" i="1"/>
  <c r="BS911" i="1" s="1"/>
  <c r="BA911" i="1"/>
  <c r="AZ911" i="1"/>
  <c r="AY911" i="1"/>
  <c r="AX911" i="1"/>
  <c r="AW911" i="1"/>
  <c r="AV911" i="1"/>
  <c r="AT911" i="1"/>
  <c r="AS911" i="1"/>
  <c r="CS910" i="1"/>
  <c r="CR910" i="1"/>
  <c r="CQ910" i="1"/>
  <c r="CP910" i="1"/>
  <c r="CO910" i="1"/>
  <c r="CN910" i="1"/>
  <c r="CL910" i="1"/>
  <c r="CK910" i="1"/>
  <c r="CJ910" i="1"/>
  <c r="CI910" i="1"/>
  <c r="CH910" i="1"/>
  <c r="CG910" i="1"/>
  <c r="CF910" i="1"/>
  <c r="CD910" i="1"/>
  <c r="CC910" i="1"/>
  <c r="CB910" i="1"/>
  <c r="CA910" i="1"/>
  <c r="BZ910" i="1"/>
  <c r="BY910" i="1"/>
  <c r="BX910" i="1"/>
  <c r="BU910" i="1"/>
  <c r="BN910" i="1"/>
  <c r="BS910" i="1" s="1"/>
  <c r="BA910" i="1"/>
  <c r="AZ910" i="1"/>
  <c r="AY910" i="1"/>
  <c r="AX910" i="1"/>
  <c r="AW910" i="1"/>
  <c r="AV910" i="1"/>
  <c r="AT910" i="1"/>
  <c r="AS910" i="1"/>
  <c r="CS909" i="1"/>
  <c r="CR909" i="1"/>
  <c r="CQ909" i="1"/>
  <c r="CP909" i="1"/>
  <c r="CO909" i="1"/>
  <c r="CN909" i="1"/>
  <c r="CL909" i="1"/>
  <c r="CK909" i="1"/>
  <c r="CJ909" i="1"/>
  <c r="CI909" i="1"/>
  <c r="CH909" i="1"/>
  <c r="CG909" i="1"/>
  <c r="CF909" i="1"/>
  <c r="CD909" i="1"/>
  <c r="CC909" i="1"/>
  <c r="CB909" i="1"/>
  <c r="CA909" i="1"/>
  <c r="BZ909" i="1"/>
  <c r="BY909" i="1"/>
  <c r="BX909" i="1"/>
  <c r="BU909" i="1"/>
  <c r="BN909" i="1"/>
  <c r="BS909" i="1" s="1"/>
  <c r="BA909" i="1"/>
  <c r="AZ909" i="1"/>
  <c r="AY909" i="1"/>
  <c r="AX909" i="1"/>
  <c r="AW909" i="1"/>
  <c r="AV909" i="1"/>
  <c r="AT909" i="1"/>
  <c r="AS909" i="1"/>
  <c r="CS908" i="1"/>
  <c r="CR908" i="1"/>
  <c r="CQ908" i="1"/>
  <c r="CP908" i="1"/>
  <c r="CO908" i="1"/>
  <c r="CN908" i="1"/>
  <c r="CL908" i="1"/>
  <c r="CK908" i="1"/>
  <c r="CJ908" i="1"/>
  <c r="CI908" i="1"/>
  <c r="CH908" i="1"/>
  <c r="CG908" i="1"/>
  <c r="CF908" i="1"/>
  <c r="CD908" i="1"/>
  <c r="CC908" i="1"/>
  <c r="CB908" i="1"/>
  <c r="CA908" i="1"/>
  <c r="BZ908" i="1"/>
  <c r="BY908" i="1"/>
  <c r="BX908" i="1"/>
  <c r="BU908" i="1"/>
  <c r="BN908" i="1"/>
  <c r="BS908" i="1" s="1"/>
  <c r="BA908" i="1"/>
  <c r="AZ908" i="1"/>
  <c r="AY908" i="1"/>
  <c r="AX908" i="1"/>
  <c r="AW908" i="1"/>
  <c r="AV908" i="1"/>
  <c r="AT908" i="1"/>
  <c r="AS908" i="1"/>
  <c r="CS907" i="1"/>
  <c r="CR907" i="1"/>
  <c r="CQ907" i="1"/>
  <c r="CP907" i="1"/>
  <c r="CO907" i="1"/>
  <c r="CN907" i="1"/>
  <c r="CL907" i="1"/>
  <c r="CK907" i="1"/>
  <c r="CJ907" i="1"/>
  <c r="CI907" i="1"/>
  <c r="CH907" i="1"/>
  <c r="CG907" i="1"/>
  <c r="CF907" i="1"/>
  <c r="CD907" i="1"/>
  <c r="CC907" i="1"/>
  <c r="CB907" i="1"/>
  <c r="CA907" i="1"/>
  <c r="BZ907" i="1"/>
  <c r="BY907" i="1"/>
  <c r="BX907" i="1"/>
  <c r="BU907" i="1"/>
  <c r="BN907" i="1"/>
  <c r="BS907" i="1" s="1"/>
  <c r="BA907" i="1"/>
  <c r="AZ907" i="1"/>
  <c r="AY907" i="1"/>
  <c r="AX907" i="1"/>
  <c r="AW907" i="1"/>
  <c r="AV907" i="1"/>
  <c r="AT907" i="1"/>
  <c r="AS907" i="1"/>
  <c r="CS906" i="1"/>
  <c r="CR906" i="1"/>
  <c r="CQ906" i="1"/>
  <c r="CP906" i="1"/>
  <c r="CO906" i="1"/>
  <c r="CN906" i="1"/>
  <c r="CL906" i="1"/>
  <c r="CK906" i="1"/>
  <c r="CJ906" i="1"/>
  <c r="CI906" i="1"/>
  <c r="CH906" i="1"/>
  <c r="CG906" i="1"/>
  <c r="CF906" i="1"/>
  <c r="CD906" i="1"/>
  <c r="CC906" i="1"/>
  <c r="CB906" i="1"/>
  <c r="CA906" i="1"/>
  <c r="BZ906" i="1"/>
  <c r="BY906" i="1"/>
  <c r="BX906" i="1"/>
  <c r="BU906" i="1"/>
  <c r="BN906" i="1"/>
  <c r="BS906" i="1" s="1"/>
  <c r="BA906" i="1"/>
  <c r="AZ906" i="1"/>
  <c r="AY906" i="1"/>
  <c r="AX906" i="1"/>
  <c r="AW906" i="1"/>
  <c r="AV906" i="1"/>
  <c r="AT906" i="1"/>
  <c r="AS906" i="1"/>
  <c r="CS905" i="1"/>
  <c r="CR905" i="1"/>
  <c r="CQ905" i="1"/>
  <c r="CP905" i="1"/>
  <c r="CO905" i="1"/>
  <c r="CN905" i="1"/>
  <c r="CL905" i="1"/>
  <c r="CK905" i="1"/>
  <c r="CJ905" i="1"/>
  <c r="CI905" i="1"/>
  <c r="CH905" i="1"/>
  <c r="CG905" i="1"/>
  <c r="CF905" i="1"/>
  <c r="CD905" i="1"/>
  <c r="CC905" i="1"/>
  <c r="CB905" i="1"/>
  <c r="CA905" i="1"/>
  <c r="BZ905" i="1"/>
  <c r="BY905" i="1"/>
  <c r="BX905" i="1"/>
  <c r="BU905" i="1"/>
  <c r="BN905" i="1"/>
  <c r="BS905" i="1" s="1"/>
  <c r="BA905" i="1"/>
  <c r="AZ905" i="1"/>
  <c r="AY905" i="1"/>
  <c r="AX905" i="1"/>
  <c r="AW905" i="1"/>
  <c r="AV905" i="1"/>
  <c r="AT905" i="1"/>
  <c r="AS905" i="1"/>
  <c r="CS904" i="1"/>
  <c r="CR904" i="1"/>
  <c r="CQ904" i="1"/>
  <c r="CP904" i="1"/>
  <c r="CO904" i="1"/>
  <c r="CN904" i="1"/>
  <c r="CL904" i="1"/>
  <c r="CK904" i="1"/>
  <c r="CJ904" i="1"/>
  <c r="CI904" i="1"/>
  <c r="CH904" i="1"/>
  <c r="CG904" i="1"/>
  <c r="CF904" i="1"/>
  <c r="CD904" i="1"/>
  <c r="CC904" i="1"/>
  <c r="CB904" i="1"/>
  <c r="CA904" i="1"/>
  <c r="BZ904" i="1"/>
  <c r="BY904" i="1"/>
  <c r="BX904" i="1"/>
  <c r="BU904" i="1"/>
  <c r="BN904" i="1"/>
  <c r="BS904" i="1" s="1"/>
  <c r="BA904" i="1"/>
  <c r="AZ904" i="1"/>
  <c r="AY904" i="1"/>
  <c r="AX904" i="1"/>
  <c r="AW904" i="1"/>
  <c r="AV904" i="1"/>
  <c r="AT904" i="1"/>
  <c r="AS904" i="1"/>
  <c r="CS903" i="1"/>
  <c r="CR903" i="1"/>
  <c r="CQ903" i="1"/>
  <c r="CP903" i="1"/>
  <c r="CO903" i="1"/>
  <c r="CN903" i="1"/>
  <c r="CL903" i="1"/>
  <c r="CK903" i="1"/>
  <c r="CJ903" i="1"/>
  <c r="CI903" i="1"/>
  <c r="CH903" i="1"/>
  <c r="CG903" i="1"/>
  <c r="CF903" i="1"/>
  <c r="CD903" i="1"/>
  <c r="CC903" i="1"/>
  <c r="CB903" i="1"/>
  <c r="CA903" i="1"/>
  <c r="BZ903" i="1"/>
  <c r="BY903" i="1"/>
  <c r="BX903" i="1"/>
  <c r="BU903" i="1"/>
  <c r="BN903" i="1"/>
  <c r="BS903" i="1" s="1"/>
  <c r="BA903" i="1"/>
  <c r="AZ903" i="1"/>
  <c r="AY903" i="1"/>
  <c r="AX903" i="1"/>
  <c r="AW903" i="1"/>
  <c r="AV903" i="1"/>
  <c r="AT903" i="1"/>
  <c r="AS903" i="1"/>
  <c r="CS902" i="1"/>
  <c r="CR902" i="1"/>
  <c r="CQ902" i="1"/>
  <c r="CP902" i="1"/>
  <c r="CO902" i="1"/>
  <c r="CN902" i="1"/>
  <c r="CL902" i="1"/>
  <c r="CK902" i="1"/>
  <c r="CJ902" i="1"/>
  <c r="CI902" i="1"/>
  <c r="CH902" i="1"/>
  <c r="CG902" i="1"/>
  <c r="CF902" i="1"/>
  <c r="CD902" i="1"/>
  <c r="CC902" i="1"/>
  <c r="CB902" i="1"/>
  <c r="CA902" i="1"/>
  <c r="BZ902" i="1"/>
  <c r="BY902" i="1"/>
  <c r="BX902" i="1"/>
  <c r="BU902" i="1"/>
  <c r="BN902" i="1"/>
  <c r="BS902" i="1" s="1"/>
  <c r="BA902" i="1"/>
  <c r="AZ902" i="1"/>
  <c r="AY902" i="1"/>
  <c r="AX902" i="1"/>
  <c r="AW902" i="1"/>
  <c r="AV902" i="1"/>
  <c r="AT902" i="1"/>
  <c r="AS902" i="1"/>
  <c r="CS901" i="1"/>
  <c r="CR901" i="1"/>
  <c r="CQ901" i="1"/>
  <c r="CP901" i="1"/>
  <c r="CO901" i="1"/>
  <c r="CN901" i="1"/>
  <c r="CL901" i="1"/>
  <c r="CK901" i="1"/>
  <c r="CJ901" i="1"/>
  <c r="CI901" i="1"/>
  <c r="CH901" i="1"/>
  <c r="CG901" i="1"/>
  <c r="CF901" i="1"/>
  <c r="CD901" i="1"/>
  <c r="CC901" i="1"/>
  <c r="CB901" i="1"/>
  <c r="CA901" i="1"/>
  <c r="BZ901" i="1"/>
  <c r="BY901" i="1"/>
  <c r="BX901" i="1"/>
  <c r="BU901" i="1"/>
  <c r="BN901" i="1"/>
  <c r="BS901" i="1" s="1"/>
  <c r="BA901" i="1"/>
  <c r="AZ901" i="1"/>
  <c r="AY901" i="1"/>
  <c r="AX901" i="1"/>
  <c r="AW901" i="1"/>
  <c r="AV901" i="1"/>
  <c r="AT901" i="1"/>
  <c r="AS901" i="1"/>
  <c r="CS900" i="1"/>
  <c r="CR900" i="1"/>
  <c r="CQ900" i="1"/>
  <c r="CP900" i="1"/>
  <c r="CO900" i="1"/>
  <c r="CN900" i="1"/>
  <c r="CL900" i="1"/>
  <c r="CK900" i="1"/>
  <c r="CJ900" i="1"/>
  <c r="CI900" i="1"/>
  <c r="CH900" i="1"/>
  <c r="CG900" i="1"/>
  <c r="CF900" i="1"/>
  <c r="CD900" i="1"/>
  <c r="CC900" i="1"/>
  <c r="CB900" i="1"/>
  <c r="CA900" i="1"/>
  <c r="BZ900" i="1"/>
  <c r="BY900" i="1"/>
  <c r="BX900" i="1"/>
  <c r="BU900" i="1"/>
  <c r="BN900" i="1"/>
  <c r="BS900" i="1" s="1"/>
  <c r="BA900" i="1"/>
  <c r="AZ900" i="1"/>
  <c r="AY900" i="1"/>
  <c r="AX900" i="1"/>
  <c r="AW900" i="1"/>
  <c r="AV900" i="1"/>
  <c r="AT900" i="1"/>
  <c r="AS900" i="1"/>
  <c r="CS899" i="1"/>
  <c r="CR899" i="1"/>
  <c r="CQ899" i="1"/>
  <c r="CP899" i="1"/>
  <c r="CO899" i="1"/>
  <c r="CN899" i="1"/>
  <c r="CL899" i="1"/>
  <c r="CK899" i="1"/>
  <c r="CJ899" i="1"/>
  <c r="CI899" i="1"/>
  <c r="CH899" i="1"/>
  <c r="CG899" i="1"/>
  <c r="CF899" i="1"/>
  <c r="CD899" i="1"/>
  <c r="CC899" i="1"/>
  <c r="CB899" i="1"/>
  <c r="CA899" i="1"/>
  <c r="BZ899" i="1"/>
  <c r="BY899" i="1"/>
  <c r="BX899" i="1"/>
  <c r="BU899" i="1"/>
  <c r="BN899" i="1"/>
  <c r="BS899" i="1" s="1"/>
  <c r="BA899" i="1"/>
  <c r="AZ899" i="1"/>
  <c r="AY899" i="1"/>
  <c r="AX899" i="1"/>
  <c r="AW899" i="1"/>
  <c r="AV899" i="1"/>
  <c r="AT899" i="1"/>
  <c r="AS899" i="1"/>
  <c r="CS898" i="1"/>
  <c r="CR898" i="1"/>
  <c r="CQ898" i="1"/>
  <c r="CP898" i="1"/>
  <c r="CO898" i="1"/>
  <c r="CN898" i="1"/>
  <c r="CL898" i="1"/>
  <c r="CK898" i="1"/>
  <c r="CJ898" i="1"/>
  <c r="CI898" i="1"/>
  <c r="CH898" i="1"/>
  <c r="CG898" i="1"/>
  <c r="CF898" i="1"/>
  <c r="CD898" i="1"/>
  <c r="CC898" i="1"/>
  <c r="CB898" i="1"/>
  <c r="CA898" i="1"/>
  <c r="BZ898" i="1"/>
  <c r="BY898" i="1"/>
  <c r="BX898" i="1"/>
  <c r="BU898" i="1"/>
  <c r="BN898" i="1"/>
  <c r="BS898" i="1" s="1"/>
  <c r="BA898" i="1"/>
  <c r="AZ898" i="1"/>
  <c r="AY898" i="1"/>
  <c r="AX898" i="1"/>
  <c r="AW898" i="1"/>
  <c r="AV898" i="1"/>
  <c r="AT898" i="1"/>
  <c r="AS898" i="1"/>
  <c r="CS897" i="1"/>
  <c r="CR897" i="1"/>
  <c r="CQ897" i="1"/>
  <c r="CP897" i="1"/>
  <c r="CO897" i="1"/>
  <c r="CN897" i="1"/>
  <c r="CL897" i="1"/>
  <c r="CK897" i="1"/>
  <c r="CJ897" i="1"/>
  <c r="CI897" i="1"/>
  <c r="CH897" i="1"/>
  <c r="CG897" i="1"/>
  <c r="CF897" i="1"/>
  <c r="CD897" i="1"/>
  <c r="CC897" i="1"/>
  <c r="CB897" i="1"/>
  <c r="CA897" i="1"/>
  <c r="BZ897" i="1"/>
  <c r="BY897" i="1"/>
  <c r="BX897" i="1"/>
  <c r="BU897" i="1"/>
  <c r="BN897" i="1"/>
  <c r="BS897" i="1" s="1"/>
  <c r="BA897" i="1"/>
  <c r="AZ897" i="1"/>
  <c r="AY897" i="1"/>
  <c r="AX897" i="1"/>
  <c r="AW897" i="1"/>
  <c r="AV897" i="1"/>
  <c r="AT897" i="1"/>
  <c r="AS897" i="1"/>
  <c r="CS896" i="1"/>
  <c r="CR896" i="1"/>
  <c r="CQ896" i="1"/>
  <c r="CP896" i="1"/>
  <c r="CO896" i="1"/>
  <c r="CN896" i="1"/>
  <c r="CL896" i="1"/>
  <c r="CK896" i="1"/>
  <c r="CJ896" i="1"/>
  <c r="CI896" i="1"/>
  <c r="CH896" i="1"/>
  <c r="CG896" i="1"/>
  <c r="CF896" i="1"/>
  <c r="CD896" i="1"/>
  <c r="CC896" i="1"/>
  <c r="CB896" i="1"/>
  <c r="CA896" i="1"/>
  <c r="BZ896" i="1"/>
  <c r="BY896" i="1"/>
  <c r="BX896" i="1"/>
  <c r="BU896" i="1"/>
  <c r="BN896" i="1"/>
  <c r="BS896" i="1" s="1"/>
  <c r="BA896" i="1"/>
  <c r="AZ896" i="1"/>
  <c r="AY896" i="1"/>
  <c r="AX896" i="1"/>
  <c r="AW896" i="1"/>
  <c r="AV896" i="1"/>
  <c r="AT896" i="1"/>
  <c r="AS896" i="1"/>
  <c r="CS895" i="1"/>
  <c r="CR895" i="1"/>
  <c r="CQ895" i="1"/>
  <c r="CP895" i="1"/>
  <c r="CO895" i="1"/>
  <c r="CN895" i="1"/>
  <c r="CL895" i="1"/>
  <c r="CK895" i="1"/>
  <c r="CJ895" i="1"/>
  <c r="CI895" i="1"/>
  <c r="CH895" i="1"/>
  <c r="CG895" i="1"/>
  <c r="CF895" i="1"/>
  <c r="CD895" i="1"/>
  <c r="CC895" i="1"/>
  <c r="CB895" i="1"/>
  <c r="CA895" i="1"/>
  <c r="BZ895" i="1"/>
  <c r="BY895" i="1"/>
  <c r="BX895" i="1"/>
  <c r="BU895" i="1"/>
  <c r="BN895" i="1"/>
  <c r="BS895" i="1" s="1"/>
  <c r="BA895" i="1"/>
  <c r="AZ895" i="1"/>
  <c r="AY895" i="1"/>
  <c r="AX895" i="1"/>
  <c r="AW895" i="1"/>
  <c r="AV895" i="1"/>
  <c r="AT895" i="1"/>
  <c r="AS895" i="1"/>
  <c r="CS894" i="1"/>
  <c r="CR894" i="1"/>
  <c r="CQ894" i="1"/>
  <c r="CP894" i="1"/>
  <c r="CO894" i="1"/>
  <c r="CN894" i="1"/>
  <c r="CL894" i="1"/>
  <c r="CK894" i="1"/>
  <c r="CJ894" i="1"/>
  <c r="CI894" i="1"/>
  <c r="CH894" i="1"/>
  <c r="CG894" i="1"/>
  <c r="CF894" i="1"/>
  <c r="CD894" i="1"/>
  <c r="CC894" i="1"/>
  <c r="CB894" i="1"/>
  <c r="CA894" i="1"/>
  <c r="BZ894" i="1"/>
  <c r="BY894" i="1"/>
  <c r="BX894" i="1"/>
  <c r="BU894" i="1"/>
  <c r="BN894" i="1"/>
  <c r="BS894" i="1" s="1"/>
  <c r="BA894" i="1"/>
  <c r="AZ894" i="1"/>
  <c r="AY894" i="1"/>
  <c r="AX894" i="1"/>
  <c r="AW894" i="1"/>
  <c r="AV894" i="1"/>
  <c r="AT894" i="1"/>
  <c r="AS894" i="1"/>
  <c r="CS893" i="1"/>
  <c r="CR893" i="1"/>
  <c r="CQ893" i="1"/>
  <c r="CP893" i="1"/>
  <c r="CO893" i="1"/>
  <c r="CN893" i="1"/>
  <c r="CL893" i="1"/>
  <c r="CK893" i="1"/>
  <c r="CJ893" i="1"/>
  <c r="CI893" i="1"/>
  <c r="CH893" i="1"/>
  <c r="CG893" i="1"/>
  <c r="CF893" i="1"/>
  <c r="CD893" i="1"/>
  <c r="CC893" i="1"/>
  <c r="CB893" i="1"/>
  <c r="CA893" i="1"/>
  <c r="BZ893" i="1"/>
  <c r="BY893" i="1"/>
  <c r="BX893" i="1"/>
  <c r="BU893" i="1"/>
  <c r="BN893" i="1"/>
  <c r="BS893" i="1" s="1"/>
  <c r="BA893" i="1"/>
  <c r="AZ893" i="1"/>
  <c r="AY893" i="1"/>
  <c r="AX893" i="1"/>
  <c r="AW893" i="1"/>
  <c r="AV893" i="1"/>
  <c r="AT893" i="1"/>
  <c r="AS893" i="1"/>
  <c r="CS892" i="1"/>
  <c r="CR892" i="1"/>
  <c r="CQ892" i="1"/>
  <c r="CP892" i="1"/>
  <c r="CO892" i="1"/>
  <c r="CN892" i="1"/>
  <c r="CL892" i="1"/>
  <c r="CK892" i="1"/>
  <c r="CJ892" i="1"/>
  <c r="CI892" i="1"/>
  <c r="CH892" i="1"/>
  <c r="CG892" i="1"/>
  <c r="CF892" i="1"/>
  <c r="CD892" i="1"/>
  <c r="CC892" i="1"/>
  <c r="CB892" i="1"/>
  <c r="CA892" i="1"/>
  <c r="BZ892" i="1"/>
  <c r="BY892" i="1"/>
  <c r="BX892" i="1"/>
  <c r="BU892" i="1"/>
  <c r="BN892" i="1"/>
  <c r="BS892" i="1" s="1"/>
  <c r="BA892" i="1"/>
  <c r="AZ892" i="1"/>
  <c r="AY892" i="1"/>
  <c r="AX892" i="1"/>
  <c r="AW892" i="1"/>
  <c r="AV892" i="1"/>
  <c r="AT892" i="1"/>
  <c r="AS892" i="1"/>
  <c r="CS891" i="1"/>
  <c r="CR891" i="1"/>
  <c r="CQ891" i="1"/>
  <c r="CP891" i="1"/>
  <c r="CO891" i="1"/>
  <c r="CN891" i="1"/>
  <c r="CL891" i="1"/>
  <c r="CK891" i="1"/>
  <c r="CJ891" i="1"/>
  <c r="CI891" i="1"/>
  <c r="CH891" i="1"/>
  <c r="CG891" i="1"/>
  <c r="CF891" i="1"/>
  <c r="CD891" i="1"/>
  <c r="CC891" i="1"/>
  <c r="CB891" i="1"/>
  <c r="CA891" i="1"/>
  <c r="BZ891" i="1"/>
  <c r="BY891" i="1"/>
  <c r="BX891" i="1"/>
  <c r="BU891" i="1"/>
  <c r="BN891" i="1"/>
  <c r="BS891" i="1" s="1"/>
  <c r="BA891" i="1"/>
  <c r="AZ891" i="1"/>
  <c r="AY891" i="1"/>
  <c r="AX891" i="1"/>
  <c r="AW891" i="1"/>
  <c r="AV891" i="1"/>
  <c r="AT891" i="1"/>
  <c r="AS891" i="1"/>
  <c r="CS890" i="1"/>
  <c r="CR890" i="1"/>
  <c r="CQ890" i="1"/>
  <c r="CP890" i="1"/>
  <c r="CO890" i="1"/>
  <c r="CN890" i="1"/>
  <c r="CL890" i="1"/>
  <c r="CK890" i="1"/>
  <c r="CJ890" i="1"/>
  <c r="CI890" i="1"/>
  <c r="CH890" i="1"/>
  <c r="CG890" i="1"/>
  <c r="CF890" i="1"/>
  <c r="CD890" i="1"/>
  <c r="CC890" i="1"/>
  <c r="CB890" i="1"/>
  <c r="CA890" i="1"/>
  <c r="BZ890" i="1"/>
  <c r="BY890" i="1"/>
  <c r="BX890" i="1"/>
  <c r="BU890" i="1"/>
  <c r="BN890" i="1"/>
  <c r="BS890" i="1" s="1"/>
  <c r="BA890" i="1"/>
  <c r="AZ890" i="1"/>
  <c r="AY890" i="1"/>
  <c r="AX890" i="1"/>
  <c r="AW890" i="1"/>
  <c r="AV890" i="1"/>
  <c r="AT890" i="1"/>
  <c r="AS890" i="1"/>
  <c r="CS889" i="1"/>
  <c r="CR889" i="1"/>
  <c r="CQ889" i="1"/>
  <c r="CP889" i="1"/>
  <c r="CO889" i="1"/>
  <c r="CN889" i="1"/>
  <c r="CL889" i="1"/>
  <c r="CK889" i="1"/>
  <c r="CJ889" i="1"/>
  <c r="CI889" i="1"/>
  <c r="CH889" i="1"/>
  <c r="CG889" i="1"/>
  <c r="CF889" i="1"/>
  <c r="CD889" i="1"/>
  <c r="CC889" i="1"/>
  <c r="CB889" i="1"/>
  <c r="CA889" i="1"/>
  <c r="BZ889" i="1"/>
  <c r="BY889" i="1"/>
  <c r="BX889" i="1"/>
  <c r="BU889" i="1"/>
  <c r="BN889" i="1"/>
  <c r="BS889" i="1" s="1"/>
  <c r="BA889" i="1"/>
  <c r="AZ889" i="1"/>
  <c r="AY889" i="1"/>
  <c r="AX889" i="1"/>
  <c r="AW889" i="1"/>
  <c r="AV889" i="1"/>
  <c r="AT889" i="1"/>
  <c r="AS889" i="1"/>
  <c r="CS888" i="1"/>
  <c r="CR888" i="1"/>
  <c r="CQ888" i="1"/>
  <c r="CP888" i="1"/>
  <c r="CO888" i="1"/>
  <c r="CN888" i="1"/>
  <c r="CL888" i="1"/>
  <c r="CK888" i="1"/>
  <c r="CJ888" i="1"/>
  <c r="CI888" i="1"/>
  <c r="CH888" i="1"/>
  <c r="CG888" i="1"/>
  <c r="CF888" i="1"/>
  <c r="CD888" i="1"/>
  <c r="CC888" i="1"/>
  <c r="CB888" i="1"/>
  <c r="CA888" i="1"/>
  <c r="BZ888" i="1"/>
  <c r="BY888" i="1"/>
  <c r="BX888" i="1"/>
  <c r="BU888" i="1"/>
  <c r="BN888" i="1"/>
  <c r="BS888" i="1" s="1"/>
  <c r="BA888" i="1"/>
  <c r="AZ888" i="1"/>
  <c r="AY888" i="1"/>
  <c r="AX888" i="1"/>
  <c r="AW888" i="1"/>
  <c r="AV888" i="1"/>
  <c r="AT888" i="1"/>
  <c r="AS888" i="1"/>
  <c r="CS887" i="1"/>
  <c r="CR887" i="1"/>
  <c r="CQ887" i="1"/>
  <c r="CP887" i="1"/>
  <c r="CO887" i="1"/>
  <c r="CN887" i="1"/>
  <c r="CL887" i="1"/>
  <c r="CK887" i="1"/>
  <c r="CJ887" i="1"/>
  <c r="CI887" i="1"/>
  <c r="CH887" i="1"/>
  <c r="CG887" i="1"/>
  <c r="CF887" i="1"/>
  <c r="CD887" i="1"/>
  <c r="CC887" i="1"/>
  <c r="CB887" i="1"/>
  <c r="CA887" i="1"/>
  <c r="BZ887" i="1"/>
  <c r="BY887" i="1"/>
  <c r="BX887" i="1"/>
  <c r="BU887" i="1"/>
  <c r="BN887" i="1"/>
  <c r="BS887" i="1" s="1"/>
  <c r="BA887" i="1"/>
  <c r="AZ887" i="1"/>
  <c r="AY887" i="1"/>
  <c r="AX887" i="1"/>
  <c r="AW887" i="1"/>
  <c r="AV887" i="1"/>
  <c r="AT887" i="1"/>
  <c r="AS887" i="1"/>
  <c r="CS886" i="1"/>
  <c r="CR886" i="1"/>
  <c r="CQ886" i="1"/>
  <c r="CP886" i="1"/>
  <c r="CO886" i="1"/>
  <c r="CN886" i="1"/>
  <c r="CL886" i="1"/>
  <c r="CK886" i="1"/>
  <c r="CJ886" i="1"/>
  <c r="CI886" i="1"/>
  <c r="CH886" i="1"/>
  <c r="CG886" i="1"/>
  <c r="CF886" i="1"/>
  <c r="CD886" i="1"/>
  <c r="CC886" i="1"/>
  <c r="CB886" i="1"/>
  <c r="CA886" i="1"/>
  <c r="BZ886" i="1"/>
  <c r="BY886" i="1"/>
  <c r="BX886" i="1"/>
  <c r="BU886" i="1"/>
  <c r="BN886" i="1"/>
  <c r="BS886" i="1" s="1"/>
  <c r="BA886" i="1"/>
  <c r="AZ886" i="1"/>
  <c r="AY886" i="1"/>
  <c r="AX886" i="1"/>
  <c r="AW886" i="1"/>
  <c r="AV886" i="1"/>
  <c r="AT886" i="1"/>
  <c r="AS886" i="1"/>
  <c r="CS885" i="1"/>
  <c r="CR885" i="1"/>
  <c r="CQ885" i="1"/>
  <c r="CP885" i="1"/>
  <c r="CO885" i="1"/>
  <c r="CN885" i="1"/>
  <c r="CL885" i="1"/>
  <c r="CK885" i="1"/>
  <c r="CJ885" i="1"/>
  <c r="CI885" i="1"/>
  <c r="CH885" i="1"/>
  <c r="CG885" i="1"/>
  <c r="CF885" i="1"/>
  <c r="CD885" i="1"/>
  <c r="CC885" i="1"/>
  <c r="CB885" i="1"/>
  <c r="CA885" i="1"/>
  <c r="BZ885" i="1"/>
  <c r="BY885" i="1"/>
  <c r="BX885" i="1"/>
  <c r="BU885" i="1"/>
  <c r="BN885" i="1"/>
  <c r="BS885" i="1" s="1"/>
  <c r="BA885" i="1"/>
  <c r="AZ885" i="1"/>
  <c r="AY885" i="1"/>
  <c r="AX885" i="1"/>
  <c r="AW885" i="1"/>
  <c r="AV885" i="1"/>
  <c r="AT885" i="1"/>
  <c r="AS885" i="1"/>
  <c r="CS884" i="1"/>
  <c r="CR884" i="1"/>
  <c r="CQ884" i="1"/>
  <c r="CP884" i="1"/>
  <c r="CO884" i="1"/>
  <c r="CN884" i="1"/>
  <c r="CL884" i="1"/>
  <c r="CK884" i="1"/>
  <c r="CJ884" i="1"/>
  <c r="CI884" i="1"/>
  <c r="CH884" i="1"/>
  <c r="CG884" i="1"/>
  <c r="CF884" i="1"/>
  <c r="CD884" i="1"/>
  <c r="CC884" i="1"/>
  <c r="CB884" i="1"/>
  <c r="CA884" i="1"/>
  <c r="BZ884" i="1"/>
  <c r="BY884" i="1"/>
  <c r="BX884" i="1"/>
  <c r="BU884" i="1"/>
  <c r="BN884" i="1"/>
  <c r="BS884" i="1" s="1"/>
  <c r="BA884" i="1"/>
  <c r="AZ884" i="1"/>
  <c r="AY884" i="1"/>
  <c r="AX884" i="1"/>
  <c r="AW884" i="1"/>
  <c r="AV884" i="1"/>
  <c r="AT884" i="1"/>
  <c r="AS884" i="1"/>
  <c r="CS883" i="1"/>
  <c r="CR883" i="1"/>
  <c r="CQ883" i="1"/>
  <c r="CP883" i="1"/>
  <c r="CO883" i="1"/>
  <c r="CN883" i="1"/>
  <c r="CL883" i="1"/>
  <c r="CK883" i="1"/>
  <c r="CJ883" i="1"/>
  <c r="CI883" i="1"/>
  <c r="CH883" i="1"/>
  <c r="CG883" i="1"/>
  <c r="CF883" i="1"/>
  <c r="CD883" i="1"/>
  <c r="CC883" i="1"/>
  <c r="CB883" i="1"/>
  <c r="CA883" i="1"/>
  <c r="BZ883" i="1"/>
  <c r="BY883" i="1"/>
  <c r="BX883" i="1"/>
  <c r="BU883" i="1"/>
  <c r="BN883" i="1"/>
  <c r="BS883" i="1" s="1"/>
  <c r="BA883" i="1"/>
  <c r="AZ883" i="1"/>
  <c r="AY883" i="1"/>
  <c r="AX883" i="1"/>
  <c r="AW883" i="1"/>
  <c r="AV883" i="1"/>
  <c r="AT883" i="1"/>
  <c r="AS883" i="1"/>
  <c r="CS882" i="1"/>
  <c r="CR882" i="1"/>
  <c r="CQ882" i="1"/>
  <c r="CP882" i="1"/>
  <c r="CO882" i="1"/>
  <c r="CN882" i="1"/>
  <c r="CL882" i="1"/>
  <c r="CK882" i="1"/>
  <c r="CJ882" i="1"/>
  <c r="CI882" i="1"/>
  <c r="CH882" i="1"/>
  <c r="CG882" i="1"/>
  <c r="CF882" i="1"/>
  <c r="CD882" i="1"/>
  <c r="CC882" i="1"/>
  <c r="CB882" i="1"/>
  <c r="CA882" i="1"/>
  <c r="BZ882" i="1"/>
  <c r="BY882" i="1"/>
  <c r="BX882" i="1"/>
  <c r="BU882" i="1"/>
  <c r="BN882" i="1"/>
  <c r="BS882" i="1" s="1"/>
  <c r="BA882" i="1"/>
  <c r="AZ882" i="1"/>
  <c r="AY882" i="1"/>
  <c r="AX882" i="1"/>
  <c r="AW882" i="1"/>
  <c r="AV882" i="1"/>
  <c r="AT882" i="1"/>
  <c r="AS882" i="1"/>
  <c r="CS881" i="1"/>
  <c r="CR881" i="1"/>
  <c r="CQ881" i="1"/>
  <c r="CP881" i="1"/>
  <c r="CO881" i="1"/>
  <c r="CN881" i="1"/>
  <c r="CL881" i="1"/>
  <c r="CK881" i="1"/>
  <c r="CJ881" i="1"/>
  <c r="CI881" i="1"/>
  <c r="CH881" i="1"/>
  <c r="CG881" i="1"/>
  <c r="CF881" i="1"/>
  <c r="CD881" i="1"/>
  <c r="CC881" i="1"/>
  <c r="CB881" i="1"/>
  <c r="CA881" i="1"/>
  <c r="BZ881" i="1"/>
  <c r="BY881" i="1"/>
  <c r="BX881" i="1"/>
  <c r="BU881" i="1"/>
  <c r="BN881" i="1"/>
  <c r="BS881" i="1" s="1"/>
  <c r="BA881" i="1"/>
  <c r="AZ881" i="1"/>
  <c r="AY881" i="1"/>
  <c r="AX881" i="1"/>
  <c r="AW881" i="1"/>
  <c r="AV881" i="1"/>
  <c r="AT881" i="1"/>
  <c r="AS881" i="1"/>
  <c r="CS880" i="1"/>
  <c r="CR880" i="1"/>
  <c r="CQ880" i="1"/>
  <c r="CP880" i="1"/>
  <c r="CO880" i="1"/>
  <c r="CN880" i="1"/>
  <c r="CL880" i="1"/>
  <c r="CK880" i="1"/>
  <c r="CJ880" i="1"/>
  <c r="CI880" i="1"/>
  <c r="CH880" i="1"/>
  <c r="CG880" i="1"/>
  <c r="CF880" i="1"/>
  <c r="CD880" i="1"/>
  <c r="CC880" i="1"/>
  <c r="CB880" i="1"/>
  <c r="CA880" i="1"/>
  <c r="BZ880" i="1"/>
  <c r="BY880" i="1"/>
  <c r="BX880" i="1"/>
  <c r="BU880" i="1"/>
  <c r="BN880" i="1"/>
  <c r="BS880" i="1" s="1"/>
  <c r="BA880" i="1"/>
  <c r="AZ880" i="1"/>
  <c r="AY880" i="1"/>
  <c r="AX880" i="1"/>
  <c r="AW880" i="1"/>
  <c r="AV880" i="1"/>
  <c r="AT880" i="1"/>
  <c r="AS880" i="1"/>
  <c r="CS879" i="1"/>
  <c r="CR879" i="1"/>
  <c r="CQ879" i="1"/>
  <c r="CP879" i="1"/>
  <c r="CO879" i="1"/>
  <c r="CN879" i="1"/>
  <c r="CL879" i="1"/>
  <c r="CK879" i="1"/>
  <c r="CJ879" i="1"/>
  <c r="CI879" i="1"/>
  <c r="CH879" i="1"/>
  <c r="CG879" i="1"/>
  <c r="CF879" i="1"/>
  <c r="CD879" i="1"/>
  <c r="CC879" i="1"/>
  <c r="CB879" i="1"/>
  <c r="CA879" i="1"/>
  <c r="BZ879" i="1"/>
  <c r="BY879" i="1"/>
  <c r="BX879" i="1"/>
  <c r="BU879" i="1"/>
  <c r="BN879" i="1"/>
  <c r="BS879" i="1" s="1"/>
  <c r="BA879" i="1"/>
  <c r="AZ879" i="1"/>
  <c r="AY879" i="1"/>
  <c r="AX879" i="1"/>
  <c r="AW879" i="1"/>
  <c r="AV879" i="1"/>
  <c r="AT879" i="1"/>
  <c r="AS879" i="1"/>
  <c r="CS878" i="1"/>
  <c r="CR878" i="1"/>
  <c r="CQ878" i="1"/>
  <c r="CP878" i="1"/>
  <c r="CO878" i="1"/>
  <c r="CN878" i="1"/>
  <c r="CL878" i="1"/>
  <c r="CK878" i="1"/>
  <c r="CJ878" i="1"/>
  <c r="CI878" i="1"/>
  <c r="CH878" i="1"/>
  <c r="CG878" i="1"/>
  <c r="CF878" i="1"/>
  <c r="CD878" i="1"/>
  <c r="CC878" i="1"/>
  <c r="CB878" i="1"/>
  <c r="CA878" i="1"/>
  <c r="BZ878" i="1"/>
  <c r="BY878" i="1"/>
  <c r="BX878" i="1"/>
  <c r="BU878" i="1"/>
  <c r="BN878" i="1"/>
  <c r="BS878" i="1" s="1"/>
  <c r="BA878" i="1"/>
  <c r="AZ878" i="1"/>
  <c r="AY878" i="1"/>
  <c r="AX878" i="1"/>
  <c r="AW878" i="1"/>
  <c r="AV878" i="1"/>
  <c r="AT878" i="1"/>
  <c r="AS878" i="1"/>
  <c r="CS877" i="1"/>
  <c r="CR877" i="1"/>
  <c r="CQ877" i="1"/>
  <c r="CP877" i="1"/>
  <c r="CO877" i="1"/>
  <c r="CN877" i="1"/>
  <c r="CL877" i="1"/>
  <c r="CK877" i="1"/>
  <c r="CJ877" i="1"/>
  <c r="CI877" i="1"/>
  <c r="CH877" i="1"/>
  <c r="CG877" i="1"/>
  <c r="CF877" i="1"/>
  <c r="CD877" i="1"/>
  <c r="CC877" i="1"/>
  <c r="CB877" i="1"/>
  <c r="CA877" i="1"/>
  <c r="BZ877" i="1"/>
  <c r="BY877" i="1"/>
  <c r="BX877" i="1"/>
  <c r="BU877" i="1"/>
  <c r="BN877" i="1"/>
  <c r="BS877" i="1" s="1"/>
  <c r="BA877" i="1"/>
  <c r="AZ877" i="1"/>
  <c r="AY877" i="1"/>
  <c r="AX877" i="1"/>
  <c r="AW877" i="1"/>
  <c r="AV877" i="1"/>
  <c r="AT877" i="1"/>
  <c r="AS877" i="1"/>
  <c r="CS876" i="1"/>
  <c r="CR876" i="1"/>
  <c r="CQ876" i="1"/>
  <c r="CP876" i="1"/>
  <c r="CO876" i="1"/>
  <c r="CN876" i="1"/>
  <c r="CL876" i="1"/>
  <c r="CK876" i="1"/>
  <c r="CJ876" i="1"/>
  <c r="CI876" i="1"/>
  <c r="CH876" i="1"/>
  <c r="CG876" i="1"/>
  <c r="CF876" i="1"/>
  <c r="CD876" i="1"/>
  <c r="CC876" i="1"/>
  <c r="CB876" i="1"/>
  <c r="CA876" i="1"/>
  <c r="BZ876" i="1"/>
  <c r="BY876" i="1"/>
  <c r="BX876" i="1"/>
  <c r="BU876" i="1"/>
  <c r="BN876" i="1"/>
  <c r="BS876" i="1" s="1"/>
  <c r="BA876" i="1"/>
  <c r="AZ876" i="1"/>
  <c r="AY876" i="1"/>
  <c r="AX876" i="1"/>
  <c r="AW876" i="1"/>
  <c r="AV876" i="1"/>
  <c r="AT876" i="1"/>
  <c r="AS876" i="1"/>
  <c r="CS875" i="1"/>
  <c r="CR875" i="1"/>
  <c r="CQ875" i="1"/>
  <c r="CP875" i="1"/>
  <c r="CO875" i="1"/>
  <c r="CN875" i="1"/>
  <c r="CL875" i="1"/>
  <c r="CK875" i="1"/>
  <c r="CJ875" i="1"/>
  <c r="CI875" i="1"/>
  <c r="CH875" i="1"/>
  <c r="CG875" i="1"/>
  <c r="CF875" i="1"/>
  <c r="CD875" i="1"/>
  <c r="CC875" i="1"/>
  <c r="CB875" i="1"/>
  <c r="CA875" i="1"/>
  <c r="BZ875" i="1"/>
  <c r="BY875" i="1"/>
  <c r="BX875" i="1"/>
  <c r="BU875" i="1"/>
  <c r="BN875" i="1"/>
  <c r="BS875" i="1" s="1"/>
  <c r="BA875" i="1"/>
  <c r="AZ875" i="1"/>
  <c r="AY875" i="1"/>
  <c r="AX875" i="1"/>
  <c r="AW875" i="1"/>
  <c r="AV875" i="1"/>
  <c r="AT875" i="1"/>
  <c r="AS875" i="1"/>
  <c r="CS874" i="1"/>
  <c r="CR874" i="1"/>
  <c r="CQ874" i="1"/>
  <c r="CP874" i="1"/>
  <c r="CO874" i="1"/>
  <c r="CN874" i="1"/>
  <c r="CL874" i="1"/>
  <c r="CK874" i="1"/>
  <c r="CJ874" i="1"/>
  <c r="CI874" i="1"/>
  <c r="CH874" i="1"/>
  <c r="CG874" i="1"/>
  <c r="CF874" i="1"/>
  <c r="CD874" i="1"/>
  <c r="CC874" i="1"/>
  <c r="CB874" i="1"/>
  <c r="CA874" i="1"/>
  <c r="BZ874" i="1"/>
  <c r="BY874" i="1"/>
  <c r="BX874" i="1"/>
  <c r="BU874" i="1"/>
  <c r="BN874" i="1"/>
  <c r="BS874" i="1" s="1"/>
  <c r="BA874" i="1"/>
  <c r="AZ874" i="1"/>
  <c r="AY874" i="1"/>
  <c r="AX874" i="1"/>
  <c r="AW874" i="1"/>
  <c r="AV874" i="1"/>
  <c r="AT874" i="1"/>
  <c r="AS874" i="1"/>
  <c r="CS873" i="1"/>
  <c r="CR873" i="1"/>
  <c r="CQ873" i="1"/>
  <c r="CP873" i="1"/>
  <c r="CO873" i="1"/>
  <c r="CN873" i="1"/>
  <c r="CL873" i="1"/>
  <c r="CK873" i="1"/>
  <c r="CJ873" i="1"/>
  <c r="CI873" i="1"/>
  <c r="CH873" i="1"/>
  <c r="CG873" i="1"/>
  <c r="CF873" i="1"/>
  <c r="CD873" i="1"/>
  <c r="CC873" i="1"/>
  <c r="CB873" i="1"/>
  <c r="CA873" i="1"/>
  <c r="BZ873" i="1"/>
  <c r="BY873" i="1"/>
  <c r="BX873" i="1"/>
  <c r="BU873" i="1"/>
  <c r="BN873" i="1"/>
  <c r="BS873" i="1" s="1"/>
  <c r="BA873" i="1"/>
  <c r="AZ873" i="1"/>
  <c r="AY873" i="1"/>
  <c r="AX873" i="1"/>
  <c r="AW873" i="1"/>
  <c r="AV873" i="1"/>
  <c r="AT873" i="1"/>
  <c r="AS873" i="1"/>
  <c r="CS872" i="1"/>
  <c r="CR872" i="1"/>
  <c r="CQ872" i="1"/>
  <c r="CP872" i="1"/>
  <c r="CO872" i="1"/>
  <c r="CN872" i="1"/>
  <c r="CL872" i="1"/>
  <c r="CK872" i="1"/>
  <c r="CJ872" i="1"/>
  <c r="CI872" i="1"/>
  <c r="CH872" i="1"/>
  <c r="CG872" i="1"/>
  <c r="CF872" i="1"/>
  <c r="CD872" i="1"/>
  <c r="CC872" i="1"/>
  <c r="CB872" i="1"/>
  <c r="CA872" i="1"/>
  <c r="BZ872" i="1"/>
  <c r="BY872" i="1"/>
  <c r="BX872" i="1"/>
  <c r="BU872" i="1"/>
  <c r="BN872" i="1"/>
  <c r="BS872" i="1" s="1"/>
  <c r="BA872" i="1"/>
  <c r="AZ872" i="1"/>
  <c r="AY872" i="1"/>
  <c r="AX872" i="1"/>
  <c r="AW872" i="1"/>
  <c r="AV872" i="1"/>
  <c r="AT872" i="1"/>
  <c r="AS872" i="1"/>
  <c r="CS871" i="1"/>
  <c r="CR871" i="1"/>
  <c r="CQ871" i="1"/>
  <c r="CP871" i="1"/>
  <c r="CO871" i="1"/>
  <c r="CN871" i="1"/>
  <c r="CL871" i="1"/>
  <c r="CK871" i="1"/>
  <c r="CJ871" i="1"/>
  <c r="CI871" i="1"/>
  <c r="CH871" i="1"/>
  <c r="CG871" i="1"/>
  <c r="CF871" i="1"/>
  <c r="CD871" i="1"/>
  <c r="CC871" i="1"/>
  <c r="CB871" i="1"/>
  <c r="CA871" i="1"/>
  <c r="BZ871" i="1"/>
  <c r="BY871" i="1"/>
  <c r="BX871" i="1"/>
  <c r="BU871" i="1"/>
  <c r="BN871" i="1"/>
  <c r="BS871" i="1" s="1"/>
  <c r="BA871" i="1"/>
  <c r="AZ871" i="1"/>
  <c r="AY871" i="1"/>
  <c r="AX871" i="1"/>
  <c r="AW871" i="1"/>
  <c r="AV871" i="1"/>
  <c r="AT871" i="1"/>
  <c r="AS871" i="1"/>
  <c r="CS870" i="1"/>
  <c r="CR870" i="1"/>
  <c r="CQ870" i="1"/>
  <c r="CP870" i="1"/>
  <c r="CO870" i="1"/>
  <c r="CN870" i="1"/>
  <c r="CL870" i="1"/>
  <c r="CK870" i="1"/>
  <c r="CJ870" i="1"/>
  <c r="CI870" i="1"/>
  <c r="CH870" i="1"/>
  <c r="CG870" i="1"/>
  <c r="CF870" i="1"/>
  <c r="CD870" i="1"/>
  <c r="CC870" i="1"/>
  <c r="CB870" i="1"/>
  <c r="CA870" i="1"/>
  <c r="BZ870" i="1"/>
  <c r="BY870" i="1"/>
  <c r="BX870" i="1"/>
  <c r="BU870" i="1"/>
  <c r="BN870" i="1"/>
  <c r="BS870" i="1" s="1"/>
  <c r="BA870" i="1"/>
  <c r="AZ870" i="1"/>
  <c r="AY870" i="1"/>
  <c r="AX870" i="1"/>
  <c r="AW870" i="1"/>
  <c r="AV870" i="1"/>
  <c r="AT870" i="1"/>
  <c r="AS870" i="1"/>
  <c r="CS869" i="1"/>
  <c r="CR869" i="1"/>
  <c r="CQ869" i="1"/>
  <c r="CP869" i="1"/>
  <c r="CO869" i="1"/>
  <c r="CN869" i="1"/>
  <c r="CL869" i="1"/>
  <c r="CK869" i="1"/>
  <c r="CJ869" i="1"/>
  <c r="CI869" i="1"/>
  <c r="CH869" i="1"/>
  <c r="CG869" i="1"/>
  <c r="CF869" i="1"/>
  <c r="CD869" i="1"/>
  <c r="CC869" i="1"/>
  <c r="CB869" i="1"/>
  <c r="CA869" i="1"/>
  <c r="BZ869" i="1"/>
  <c r="BY869" i="1"/>
  <c r="BX869" i="1"/>
  <c r="BU869" i="1"/>
  <c r="BN869" i="1"/>
  <c r="BS869" i="1" s="1"/>
  <c r="BA869" i="1"/>
  <c r="AZ869" i="1"/>
  <c r="AY869" i="1"/>
  <c r="AX869" i="1"/>
  <c r="AW869" i="1"/>
  <c r="AV869" i="1"/>
  <c r="AT869" i="1"/>
  <c r="AS869" i="1"/>
  <c r="CS868" i="1"/>
  <c r="CR868" i="1"/>
  <c r="CQ868" i="1"/>
  <c r="CP868" i="1"/>
  <c r="CO868" i="1"/>
  <c r="CN868" i="1"/>
  <c r="CL868" i="1"/>
  <c r="CK868" i="1"/>
  <c r="CJ868" i="1"/>
  <c r="CI868" i="1"/>
  <c r="CH868" i="1"/>
  <c r="CG868" i="1"/>
  <c r="CF868" i="1"/>
  <c r="CD868" i="1"/>
  <c r="CC868" i="1"/>
  <c r="CB868" i="1"/>
  <c r="CA868" i="1"/>
  <c r="BZ868" i="1"/>
  <c r="BY868" i="1"/>
  <c r="BX868" i="1"/>
  <c r="BU868" i="1"/>
  <c r="BN868" i="1"/>
  <c r="BS868" i="1" s="1"/>
  <c r="BA868" i="1"/>
  <c r="AZ868" i="1"/>
  <c r="AY868" i="1"/>
  <c r="AX868" i="1"/>
  <c r="AW868" i="1"/>
  <c r="AV868" i="1"/>
  <c r="AT868" i="1"/>
  <c r="AS868" i="1"/>
  <c r="CS867" i="1"/>
  <c r="CR867" i="1"/>
  <c r="CQ867" i="1"/>
  <c r="CP867" i="1"/>
  <c r="CO867" i="1"/>
  <c r="CN867" i="1"/>
  <c r="CL867" i="1"/>
  <c r="CK867" i="1"/>
  <c r="CJ867" i="1"/>
  <c r="CI867" i="1"/>
  <c r="CH867" i="1"/>
  <c r="CG867" i="1"/>
  <c r="CF867" i="1"/>
  <c r="CD867" i="1"/>
  <c r="CC867" i="1"/>
  <c r="CB867" i="1"/>
  <c r="CA867" i="1"/>
  <c r="BZ867" i="1"/>
  <c r="BY867" i="1"/>
  <c r="BX867" i="1"/>
  <c r="BU867" i="1"/>
  <c r="BN867" i="1"/>
  <c r="BS867" i="1" s="1"/>
  <c r="BA867" i="1"/>
  <c r="AZ867" i="1"/>
  <c r="AY867" i="1"/>
  <c r="AX867" i="1"/>
  <c r="AW867" i="1"/>
  <c r="AV867" i="1"/>
  <c r="AT867" i="1"/>
  <c r="AS867" i="1"/>
  <c r="CS866" i="1"/>
  <c r="CR866" i="1"/>
  <c r="CQ866" i="1"/>
  <c r="CP866" i="1"/>
  <c r="CO866" i="1"/>
  <c r="CN866" i="1"/>
  <c r="CL866" i="1"/>
  <c r="CK866" i="1"/>
  <c r="CJ866" i="1"/>
  <c r="CI866" i="1"/>
  <c r="CH866" i="1"/>
  <c r="CG866" i="1"/>
  <c r="CF866" i="1"/>
  <c r="CD866" i="1"/>
  <c r="CC866" i="1"/>
  <c r="CB866" i="1"/>
  <c r="CA866" i="1"/>
  <c r="BZ866" i="1"/>
  <c r="BY866" i="1"/>
  <c r="BX866" i="1"/>
  <c r="BU866" i="1"/>
  <c r="BN866" i="1"/>
  <c r="BS866" i="1" s="1"/>
  <c r="BA866" i="1"/>
  <c r="AZ866" i="1"/>
  <c r="AY866" i="1"/>
  <c r="AX866" i="1"/>
  <c r="AW866" i="1"/>
  <c r="AV866" i="1"/>
  <c r="AT866" i="1"/>
  <c r="AS866" i="1"/>
  <c r="CS865" i="1"/>
  <c r="CR865" i="1"/>
  <c r="CQ865" i="1"/>
  <c r="CP865" i="1"/>
  <c r="CO865" i="1"/>
  <c r="CN865" i="1"/>
  <c r="CL865" i="1"/>
  <c r="CK865" i="1"/>
  <c r="CJ865" i="1"/>
  <c r="CI865" i="1"/>
  <c r="CH865" i="1"/>
  <c r="CG865" i="1"/>
  <c r="CF865" i="1"/>
  <c r="CD865" i="1"/>
  <c r="CC865" i="1"/>
  <c r="CB865" i="1"/>
  <c r="CA865" i="1"/>
  <c r="BZ865" i="1"/>
  <c r="BY865" i="1"/>
  <c r="BX865" i="1"/>
  <c r="BU865" i="1"/>
  <c r="BN865" i="1"/>
  <c r="BS865" i="1" s="1"/>
  <c r="BA865" i="1"/>
  <c r="AZ865" i="1"/>
  <c r="AY865" i="1"/>
  <c r="AX865" i="1"/>
  <c r="AW865" i="1"/>
  <c r="AV865" i="1"/>
  <c r="AT865" i="1"/>
  <c r="AS865" i="1"/>
  <c r="CS864" i="1"/>
  <c r="CR864" i="1"/>
  <c r="CQ864" i="1"/>
  <c r="CP864" i="1"/>
  <c r="CO864" i="1"/>
  <c r="CN864" i="1"/>
  <c r="CL864" i="1"/>
  <c r="CK864" i="1"/>
  <c r="CJ864" i="1"/>
  <c r="CI864" i="1"/>
  <c r="CH864" i="1"/>
  <c r="CG864" i="1"/>
  <c r="CF864" i="1"/>
  <c r="CD864" i="1"/>
  <c r="CC864" i="1"/>
  <c r="CB864" i="1"/>
  <c r="CA864" i="1"/>
  <c r="BZ864" i="1"/>
  <c r="BY864" i="1"/>
  <c r="BX864" i="1"/>
  <c r="BU864" i="1"/>
  <c r="BN864" i="1"/>
  <c r="BS864" i="1" s="1"/>
  <c r="BA864" i="1"/>
  <c r="AZ864" i="1"/>
  <c r="AY864" i="1"/>
  <c r="AX864" i="1"/>
  <c r="AW864" i="1"/>
  <c r="AV864" i="1"/>
  <c r="AT864" i="1"/>
  <c r="AS864" i="1"/>
  <c r="CS863" i="1"/>
  <c r="CR863" i="1"/>
  <c r="CQ863" i="1"/>
  <c r="CP863" i="1"/>
  <c r="CO863" i="1"/>
  <c r="CN863" i="1"/>
  <c r="CL863" i="1"/>
  <c r="CK863" i="1"/>
  <c r="CJ863" i="1"/>
  <c r="CI863" i="1"/>
  <c r="CH863" i="1"/>
  <c r="CG863" i="1"/>
  <c r="CF863" i="1"/>
  <c r="CD863" i="1"/>
  <c r="CC863" i="1"/>
  <c r="CB863" i="1"/>
  <c r="CA863" i="1"/>
  <c r="BZ863" i="1"/>
  <c r="BY863" i="1"/>
  <c r="BX863" i="1"/>
  <c r="BU863" i="1"/>
  <c r="BN863" i="1"/>
  <c r="BS863" i="1" s="1"/>
  <c r="BA863" i="1"/>
  <c r="AZ863" i="1"/>
  <c r="AY863" i="1"/>
  <c r="AX863" i="1"/>
  <c r="AW863" i="1"/>
  <c r="AV863" i="1"/>
  <c r="AT863" i="1"/>
  <c r="AS863" i="1"/>
  <c r="CS862" i="1"/>
  <c r="CR862" i="1"/>
  <c r="CQ862" i="1"/>
  <c r="CP862" i="1"/>
  <c r="CO862" i="1"/>
  <c r="CN862" i="1"/>
  <c r="CL862" i="1"/>
  <c r="CK862" i="1"/>
  <c r="CJ862" i="1"/>
  <c r="CI862" i="1"/>
  <c r="CH862" i="1"/>
  <c r="CG862" i="1"/>
  <c r="CF862" i="1"/>
  <c r="CD862" i="1"/>
  <c r="CC862" i="1"/>
  <c r="CB862" i="1"/>
  <c r="CA862" i="1"/>
  <c r="BZ862" i="1"/>
  <c r="BY862" i="1"/>
  <c r="BX862" i="1"/>
  <c r="BU862" i="1"/>
  <c r="BN862" i="1"/>
  <c r="BS862" i="1" s="1"/>
  <c r="BA862" i="1"/>
  <c r="AZ862" i="1"/>
  <c r="AY862" i="1"/>
  <c r="AX862" i="1"/>
  <c r="AW862" i="1"/>
  <c r="AV862" i="1"/>
  <c r="AT862" i="1"/>
  <c r="AS862" i="1"/>
  <c r="CS861" i="1"/>
  <c r="CR861" i="1"/>
  <c r="CQ861" i="1"/>
  <c r="CP861" i="1"/>
  <c r="CO861" i="1"/>
  <c r="CN861" i="1"/>
  <c r="CL861" i="1"/>
  <c r="CK861" i="1"/>
  <c r="CJ861" i="1"/>
  <c r="CI861" i="1"/>
  <c r="CH861" i="1"/>
  <c r="CG861" i="1"/>
  <c r="CF861" i="1"/>
  <c r="CD861" i="1"/>
  <c r="CC861" i="1"/>
  <c r="CB861" i="1"/>
  <c r="CA861" i="1"/>
  <c r="BZ861" i="1"/>
  <c r="BY861" i="1"/>
  <c r="BX861" i="1"/>
  <c r="BU861" i="1"/>
  <c r="BN861" i="1"/>
  <c r="BS861" i="1" s="1"/>
  <c r="BA861" i="1"/>
  <c r="AZ861" i="1"/>
  <c r="AY861" i="1"/>
  <c r="AX861" i="1"/>
  <c r="AW861" i="1"/>
  <c r="AV861" i="1"/>
  <c r="AT861" i="1"/>
  <c r="AS861" i="1"/>
  <c r="CS860" i="1"/>
  <c r="CR860" i="1"/>
  <c r="CQ860" i="1"/>
  <c r="CP860" i="1"/>
  <c r="CO860" i="1"/>
  <c r="CN860" i="1"/>
  <c r="CL860" i="1"/>
  <c r="CK860" i="1"/>
  <c r="CJ860" i="1"/>
  <c r="CI860" i="1"/>
  <c r="CH860" i="1"/>
  <c r="CG860" i="1"/>
  <c r="CF860" i="1"/>
  <c r="CD860" i="1"/>
  <c r="CC860" i="1"/>
  <c r="CB860" i="1"/>
  <c r="CA860" i="1"/>
  <c r="BZ860" i="1"/>
  <c r="BY860" i="1"/>
  <c r="BX860" i="1"/>
  <c r="BU860" i="1"/>
  <c r="BN860" i="1"/>
  <c r="BS860" i="1" s="1"/>
  <c r="BA860" i="1"/>
  <c r="AZ860" i="1"/>
  <c r="AY860" i="1"/>
  <c r="AX860" i="1"/>
  <c r="AW860" i="1"/>
  <c r="AV860" i="1"/>
  <c r="AT860" i="1"/>
  <c r="AS860" i="1"/>
  <c r="CS859" i="1"/>
  <c r="CR859" i="1"/>
  <c r="CQ859" i="1"/>
  <c r="CP859" i="1"/>
  <c r="CO859" i="1"/>
  <c r="CN859" i="1"/>
  <c r="CL859" i="1"/>
  <c r="CK859" i="1"/>
  <c r="CJ859" i="1"/>
  <c r="CI859" i="1"/>
  <c r="CH859" i="1"/>
  <c r="CG859" i="1"/>
  <c r="CF859" i="1"/>
  <c r="CD859" i="1"/>
  <c r="CC859" i="1"/>
  <c r="CB859" i="1"/>
  <c r="CA859" i="1"/>
  <c r="BZ859" i="1"/>
  <c r="BY859" i="1"/>
  <c r="BX859" i="1"/>
  <c r="BU859" i="1"/>
  <c r="BN859" i="1"/>
  <c r="BS859" i="1" s="1"/>
  <c r="BA859" i="1"/>
  <c r="AZ859" i="1"/>
  <c r="AY859" i="1"/>
  <c r="AX859" i="1"/>
  <c r="AW859" i="1"/>
  <c r="AV859" i="1"/>
  <c r="AT859" i="1"/>
  <c r="AS859" i="1"/>
  <c r="CS858" i="1"/>
  <c r="CR858" i="1"/>
  <c r="CQ858" i="1"/>
  <c r="CP858" i="1"/>
  <c r="CO858" i="1"/>
  <c r="CN858" i="1"/>
  <c r="CL858" i="1"/>
  <c r="CK858" i="1"/>
  <c r="CJ858" i="1"/>
  <c r="CI858" i="1"/>
  <c r="CH858" i="1"/>
  <c r="CG858" i="1"/>
  <c r="CF858" i="1"/>
  <c r="CD858" i="1"/>
  <c r="CC858" i="1"/>
  <c r="CB858" i="1"/>
  <c r="CA858" i="1"/>
  <c r="BZ858" i="1"/>
  <c r="BY858" i="1"/>
  <c r="BX858" i="1"/>
  <c r="BU858" i="1"/>
  <c r="BN858" i="1"/>
  <c r="BS858" i="1" s="1"/>
  <c r="BA858" i="1"/>
  <c r="AZ858" i="1"/>
  <c r="AY858" i="1"/>
  <c r="AX858" i="1"/>
  <c r="AW858" i="1"/>
  <c r="AV858" i="1"/>
  <c r="AT858" i="1"/>
  <c r="AS858" i="1"/>
  <c r="CS857" i="1"/>
  <c r="CR857" i="1"/>
  <c r="CQ857" i="1"/>
  <c r="CP857" i="1"/>
  <c r="CO857" i="1"/>
  <c r="CN857" i="1"/>
  <c r="CL857" i="1"/>
  <c r="CK857" i="1"/>
  <c r="CJ857" i="1"/>
  <c r="CI857" i="1"/>
  <c r="CH857" i="1"/>
  <c r="CG857" i="1"/>
  <c r="CF857" i="1"/>
  <c r="CD857" i="1"/>
  <c r="CC857" i="1"/>
  <c r="CB857" i="1"/>
  <c r="CA857" i="1"/>
  <c r="BZ857" i="1"/>
  <c r="BY857" i="1"/>
  <c r="BX857" i="1"/>
  <c r="BU857" i="1"/>
  <c r="BN857" i="1"/>
  <c r="BS857" i="1" s="1"/>
  <c r="BA857" i="1"/>
  <c r="AZ857" i="1"/>
  <c r="AY857" i="1"/>
  <c r="AX857" i="1"/>
  <c r="AW857" i="1"/>
  <c r="AV857" i="1"/>
  <c r="AT857" i="1"/>
  <c r="AS857" i="1"/>
  <c r="CS856" i="1"/>
  <c r="CR856" i="1"/>
  <c r="CQ856" i="1"/>
  <c r="CP856" i="1"/>
  <c r="CO856" i="1"/>
  <c r="CN856" i="1"/>
  <c r="CL856" i="1"/>
  <c r="CK856" i="1"/>
  <c r="CJ856" i="1"/>
  <c r="CI856" i="1"/>
  <c r="CH856" i="1"/>
  <c r="CG856" i="1"/>
  <c r="CF856" i="1"/>
  <c r="CD856" i="1"/>
  <c r="CC856" i="1"/>
  <c r="CB856" i="1"/>
  <c r="CA856" i="1"/>
  <c r="BZ856" i="1"/>
  <c r="BY856" i="1"/>
  <c r="BX856" i="1"/>
  <c r="BU856" i="1"/>
  <c r="BN856" i="1"/>
  <c r="BS856" i="1" s="1"/>
  <c r="BA856" i="1"/>
  <c r="AZ856" i="1"/>
  <c r="AY856" i="1"/>
  <c r="AX856" i="1"/>
  <c r="AW856" i="1"/>
  <c r="AV856" i="1"/>
  <c r="AT856" i="1"/>
  <c r="AS856" i="1"/>
  <c r="CS855" i="1"/>
  <c r="CR855" i="1"/>
  <c r="CQ855" i="1"/>
  <c r="CP855" i="1"/>
  <c r="CO855" i="1"/>
  <c r="CN855" i="1"/>
  <c r="CL855" i="1"/>
  <c r="CK855" i="1"/>
  <c r="CJ855" i="1"/>
  <c r="CI855" i="1"/>
  <c r="CH855" i="1"/>
  <c r="CG855" i="1"/>
  <c r="CF855" i="1"/>
  <c r="CD855" i="1"/>
  <c r="CC855" i="1"/>
  <c r="CB855" i="1"/>
  <c r="CA855" i="1"/>
  <c r="BZ855" i="1"/>
  <c r="BY855" i="1"/>
  <c r="BX855" i="1"/>
  <c r="BU855" i="1"/>
  <c r="BN855" i="1"/>
  <c r="BS855" i="1" s="1"/>
  <c r="BA855" i="1"/>
  <c r="AZ855" i="1"/>
  <c r="AY855" i="1"/>
  <c r="AX855" i="1"/>
  <c r="AW855" i="1"/>
  <c r="AV855" i="1"/>
  <c r="AT855" i="1"/>
  <c r="AS855" i="1"/>
  <c r="CS854" i="1"/>
  <c r="CR854" i="1"/>
  <c r="CQ854" i="1"/>
  <c r="CP854" i="1"/>
  <c r="CO854" i="1"/>
  <c r="CN854" i="1"/>
  <c r="CL854" i="1"/>
  <c r="CK854" i="1"/>
  <c r="CJ854" i="1"/>
  <c r="CI854" i="1"/>
  <c r="CH854" i="1"/>
  <c r="CG854" i="1"/>
  <c r="CF854" i="1"/>
  <c r="CD854" i="1"/>
  <c r="CC854" i="1"/>
  <c r="CB854" i="1"/>
  <c r="CA854" i="1"/>
  <c r="BZ854" i="1"/>
  <c r="BY854" i="1"/>
  <c r="BX854" i="1"/>
  <c r="BU854" i="1"/>
  <c r="BN854" i="1"/>
  <c r="BS854" i="1" s="1"/>
  <c r="BA854" i="1"/>
  <c r="AZ854" i="1"/>
  <c r="AY854" i="1"/>
  <c r="AX854" i="1"/>
  <c r="AW854" i="1"/>
  <c r="AV854" i="1"/>
  <c r="AT854" i="1"/>
  <c r="AS854" i="1"/>
  <c r="CS853" i="1"/>
  <c r="CR853" i="1"/>
  <c r="CQ853" i="1"/>
  <c r="CP853" i="1"/>
  <c r="CO853" i="1"/>
  <c r="CN853" i="1"/>
  <c r="CL853" i="1"/>
  <c r="CK853" i="1"/>
  <c r="CJ853" i="1"/>
  <c r="CI853" i="1"/>
  <c r="CH853" i="1"/>
  <c r="CG853" i="1"/>
  <c r="CF853" i="1"/>
  <c r="CD853" i="1"/>
  <c r="CC853" i="1"/>
  <c r="CB853" i="1"/>
  <c r="CA853" i="1"/>
  <c r="BZ853" i="1"/>
  <c r="BY853" i="1"/>
  <c r="BX853" i="1"/>
  <c r="BU853" i="1"/>
  <c r="BN853" i="1"/>
  <c r="BS853" i="1" s="1"/>
  <c r="BA853" i="1"/>
  <c r="AZ853" i="1"/>
  <c r="AY853" i="1"/>
  <c r="AX853" i="1"/>
  <c r="AW853" i="1"/>
  <c r="AV853" i="1"/>
  <c r="AT853" i="1"/>
  <c r="AS853" i="1"/>
  <c r="CS852" i="1"/>
  <c r="CR852" i="1"/>
  <c r="CQ852" i="1"/>
  <c r="CP852" i="1"/>
  <c r="CO852" i="1"/>
  <c r="CN852" i="1"/>
  <c r="CL852" i="1"/>
  <c r="CK852" i="1"/>
  <c r="CJ852" i="1"/>
  <c r="CI852" i="1"/>
  <c r="CH852" i="1"/>
  <c r="CG852" i="1"/>
  <c r="CF852" i="1"/>
  <c r="CD852" i="1"/>
  <c r="CC852" i="1"/>
  <c r="CB852" i="1"/>
  <c r="CA852" i="1"/>
  <c r="BZ852" i="1"/>
  <c r="BY852" i="1"/>
  <c r="BX852" i="1"/>
  <c r="BU852" i="1"/>
  <c r="BN852" i="1"/>
  <c r="BS852" i="1" s="1"/>
  <c r="BA852" i="1"/>
  <c r="AZ852" i="1"/>
  <c r="AY852" i="1"/>
  <c r="AX852" i="1"/>
  <c r="AW852" i="1"/>
  <c r="AV852" i="1"/>
  <c r="AT852" i="1"/>
  <c r="AS852" i="1"/>
  <c r="CS851" i="1"/>
  <c r="CR851" i="1"/>
  <c r="CQ851" i="1"/>
  <c r="CP851" i="1"/>
  <c r="CO851" i="1"/>
  <c r="CN851" i="1"/>
  <c r="CL851" i="1"/>
  <c r="CK851" i="1"/>
  <c r="CJ851" i="1"/>
  <c r="CI851" i="1"/>
  <c r="CH851" i="1"/>
  <c r="CG851" i="1"/>
  <c r="CF851" i="1"/>
  <c r="CD851" i="1"/>
  <c r="CC851" i="1"/>
  <c r="CB851" i="1"/>
  <c r="CA851" i="1"/>
  <c r="BZ851" i="1"/>
  <c r="BY851" i="1"/>
  <c r="BX851" i="1"/>
  <c r="BU851" i="1"/>
  <c r="BN851" i="1"/>
  <c r="BS851" i="1" s="1"/>
  <c r="BA851" i="1"/>
  <c r="AZ851" i="1"/>
  <c r="AY851" i="1"/>
  <c r="AX851" i="1"/>
  <c r="AW851" i="1"/>
  <c r="AV851" i="1"/>
  <c r="AT851" i="1"/>
  <c r="AS851" i="1"/>
  <c r="CS850" i="1"/>
  <c r="CR850" i="1"/>
  <c r="CQ850" i="1"/>
  <c r="CP850" i="1"/>
  <c r="CO850" i="1"/>
  <c r="CN850" i="1"/>
  <c r="CL850" i="1"/>
  <c r="CK850" i="1"/>
  <c r="CJ850" i="1"/>
  <c r="CI850" i="1"/>
  <c r="CH850" i="1"/>
  <c r="CG850" i="1"/>
  <c r="CF850" i="1"/>
  <c r="CD850" i="1"/>
  <c r="CC850" i="1"/>
  <c r="CB850" i="1"/>
  <c r="CA850" i="1"/>
  <c r="BZ850" i="1"/>
  <c r="BY850" i="1"/>
  <c r="BX850" i="1"/>
  <c r="BU850" i="1"/>
  <c r="BN850" i="1"/>
  <c r="BS850" i="1" s="1"/>
  <c r="BA850" i="1"/>
  <c r="AZ850" i="1"/>
  <c r="AY850" i="1"/>
  <c r="AX850" i="1"/>
  <c r="AW850" i="1"/>
  <c r="AV850" i="1"/>
  <c r="AT850" i="1"/>
  <c r="AS850" i="1"/>
  <c r="CS849" i="1"/>
  <c r="CR849" i="1"/>
  <c r="CQ849" i="1"/>
  <c r="CP849" i="1"/>
  <c r="CO849" i="1"/>
  <c r="CN849" i="1"/>
  <c r="CL849" i="1"/>
  <c r="CK849" i="1"/>
  <c r="CJ849" i="1"/>
  <c r="CI849" i="1"/>
  <c r="CH849" i="1"/>
  <c r="CG849" i="1"/>
  <c r="CF849" i="1"/>
  <c r="CD849" i="1"/>
  <c r="CC849" i="1"/>
  <c r="CB849" i="1"/>
  <c r="CA849" i="1"/>
  <c r="BZ849" i="1"/>
  <c r="BY849" i="1"/>
  <c r="BX849" i="1"/>
  <c r="BU849" i="1"/>
  <c r="BN849" i="1"/>
  <c r="BS849" i="1" s="1"/>
  <c r="BA849" i="1"/>
  <c r="AZ849" i="1"/>
  <c r="AY849" i="1"/>
  <c r="AX849" i="1"/>
  <c r="AW849" i="1"/>
  <c r="AV849" i="1"/>
  <c r="AT849" i="1"/>
  <c r="AS849" i="1"/>
  <c r="CS848" i="1"/>
  <c r="CR848" i="1"/>
  <c r="CQ848" i="1"/>
  <c r="CP848" i="1"/>
  <c r="CO848" i="1"/>
  <c r="CN848" i="1"/>
  <c r="CL848" i="1"/>
  <c r="CK848" i="1"/>
  <c r="CJ848" i="1"/>
  <c r="CI848" i="1"/>
  <c r="CH848" i="1"/>
  <c r="CG848" i="1"/>
  <c r="CF848" i="1"/>
  <c r="CD848" i="1"/>
  <c r="CC848" i="1"/>
  <c r="CB848" i="1"/>
  <c r="CA848" i="1"/>
  <c r="BZ848" i="1"/>
  <c r="BY848" i="1"/>
  <c r="BX848" i="1"/>
  <c r="BU848" i="1"/>
  <c r="BN848" i="1"/>
  <c r="BS848" i="1" s="1"/>
  <c r="BA848" i="1"/>
  <c r="AZ848" i="1"/>
  <c r="AY848" i="1"/>
  <c r="AX848" i="1"/>
  <c r="AW848" i="1"/>
  <c r="AV848" i="1"/>
  <c r="AT848" i="1"/>
  <c r="AS848" i="1"/>
  <c r="CS847" i="1"/>
  <c r="CR847" i="1"/>
  <c r="CQ847" i="1"/>
  <c r="CP847" i="1"/>
  <c r="CO847" i="1"/>
  <c r="CN847" i="1"/>
  <c r="CL847" i="1"/>
  <c r="CK847" i="1"/>
  <c r="CJ847" i="1"/>
  <c r="CI847" i="1"/>
  <c r="CH847" i="1"/>
  <c r="CG847" i="1"/>
  <c r="CF847" i="1"/>
  <c r="CD847" i="1"/>
  <c r="CC847" i="1"/>
  <c r="CB847" i="1"/>
  <c r="CA847" i="1"/>
  <c r="BZ847" i="1"/>
  <c r="BY847" i="1"/>
  <c r="BX847" i="1"/>
  <c r="BU847" i="1"/>
  <c r="BN847" i="1"/>
  <c r="BS847" i="1" s="1"/>
  <c r="BA847" i="1"/>
  <c r="AZ847" i="1"/>
  <c r="AY847" i="1"/>
  <c r="AX847" i="1"/>
  <c r="AW847" i="1"/>
  <c r="AV847" i="1"/>
  <c r="AT847" i="1"/>
  <c r="AS847" i="1"/>
  <c r="CS846" i="1"/>
  <c r="CR846" i="1"/>
  <c r="CQ846" i="1"/>
  <c r="CP846" i="1"/>
  <c r="CO846" i="1"/>
  <c r="CN846" i="1"/>
  <c r="CL846" i="1"/>
  <c r="CK846" i="1"/>
  <c r="CJ846" i="1"/>
  <c r="CI846" i="1"/>
  <c r="CH846" i="1"/>
  <c r="CG846" i="1"/>
  <c r="CF846" i="1"/>
  <c r="CD846" i="1"/>
  <c r="CC846" i="1"/>
  <c r="CB846" i="1"/>
  <c r="CA846" i="1"/>
  <c r="BZ846" i="1"/>
  <c r="BY846" i="1"/>
  <c r="BX846" i="1"/>
  <c r="BU846" i="1"/>
  <c r="BN846" i="1"/>
  <c r="BS846" i="1" s="1"/>
  <c r="BA846" i="1"/>
  <c r="AZ846" i="1"/>
  <c r="AY846" i="1"/>
  <c r="AX846" i="1"/>
  <c r="AW846" i="1"/>
  <c r="AV846" i="1"/>
  <c r="AT846" i="1"/>
  <c r="AS846" i="1"/>
  <c r="CS845" i="1"/>
  <c r="CR845" i="1"/>
  <c r="CQ845" i="1"/>
  <c r="CP845" i="1"/>
  <c r="CO845" i="1"/>
  <c r="CN845" i="1"/>
  <c r="CL845" i="1"/>
  <c r="CK845" i="1"/>
  <c r="CJ845" i="1"/>
  <c r="CI845" i="1"/>
  <c r="CH845" i="1"/>
  <c r="CG845" i="1"/>
  <c r="CF845" i="1"/>
  <c r="CD845" i="1"/>
  <c r="CC845" i="1"/>
  <c r="CB845" i="1"/>
  <c r="CA845" i="1"/>
  <c r="BZ845" i="1"/>
  <c r="BY845" i="1"/>
  <c r="BX845" i="1"/>
  <c r="BU845" i="1"/>
  <c r="BN845" i="1"/>
  <c r="BS845" i="1" s="1"/>
  <c r="BA845" i="1"/>
  <c r="AZ845" i="1"/>
  <c r="AY845" i="1"/>
  <c r="AX845" i="1"/>
  <c r="AW845" i="1"/>
  <c r="AV845" i="1"/>
  <c r="AT845" i="1"/>
  <c r="AS845" i="1"/>
  <c r="CS844" i="1"/>
  <c r="CR844" i="1"/>
  <c r="CQ844" i="1"/>
  <c r="CP844" i="1"/>
  <c r="CO844" i="1"/>
  <c r="CN844" i="1"/>
  <c r="CL844" i="1"/>
  <c r="CK844" i="1"/>
  <c r="CJ844" i="1"/>
  <c r="CI844" i="1"/>
  <c r="CH844" i="1"/>
  <c r="CG844" i="1"/>
  <c r="CF844" i="1"/>
  <c r="CD844" i="1"/>
  <c r="CC844" i="1"/>
  <c r="CB844" i="1"/>
  <c r="CA844" i="1"/>
  <c r="BZ844" i="1"/>
  <c r="BY844" i="1"/>
  <c r="BX844" i="1"/>
  <c r="BU844" i="1"/>
  <c r="BN844" i="1"/>
  <c r="BS844" i="1" s="1"/>
  <c r="BA844" i="1"/>
  <c r="AZ844" i="1"/>
  <c r="AY844" i="1"/>
  <c r="AX844" i="1"/>
  <c r="AW844" i="1"/>
  <c r="AV844" i="1"/>
  <c r="AT844" i="1"/>
  <c r="AS844" i="1"/>
  <c r="CS843" i="1"/>
  <c r="CR843" i="1"/>
  <c r="CQ843" i="1"/>
  <c r="CP843" i="1"/>
  <c r="CO843" i="1"/>
  <c r="CN843" i="1"/>
  <c r="CL843" i="1"/>
  <c r="CK843" i="1"/>
  <c r="CJ843" i="1"/>
  <c r="CI843" i="1"/>
  <c r="CH843" i="1"/>
  <c r="CG843" i="1"/>
  <c r="CF843" i="1"/>
  <c r="CD843" i="1"/>
  <c r="CC843" i="1"/>
  <c r="CB843" i="1"/>
  <c r="CA843" i="1"/>
  <c r="BZ843" i="1"/>
  <c r="BY843" i="1"/>
  <c r="BX843" i="1"/>
  <c r="BU843" i="1"/>
  <c r="BN843" i="1"/>
  <c r="BS843" i="1" s="1"/>
  <c r="BA843" i="1"/>
  <c r="AZ843" i="1"/>
  <c r="AY843" i="1"/>
  <c r="AX843" i="1"/>
  <c r="AW843" i="1"/>
  <c r="AV843" i="1"/>
  <c r="AT843" i="1"/>
  <c r="AS843" i="1"/>
  <c r="CS842" i="1"/>
  <c r="CR842" i="1"/>
  <c r="CQ842" i="1"/>
  <c r="CP842" i="1"/>
  <c r="CO842" i="1"/>
  <c r="CN842" i="1"/>
  <c r="CL842" i="1"/>
  <c r="CK842" i="1"/>
  <c r="CJ842" i="1"/>
  <c r="CI842" i="1"/>
  <c r="CH842" i="1"/>
  <c r="CG842" i="1"/>
  <c r="CF842" i="1"/>
  <c r="CD842" i="1"/>
  <c r="CC842" i="1"/>
  <c r="CB842" i="1"/>
  <c r="CA842" i="1"/>
  <c r="BZ842" i="1"/>
  <c r="BY842" i="1"/>
  <c r="BX842" i="1"/>
  <c r="BU842" i="1"/>
  <c r="BN842" i="1"/>
  <c r="BS842" i="1" s="1"/>
  <c r="BA842" i="1"/>
  <c r="AZ842" i="1"/>
  <c r="AY842" i="1"/>
  <c r="AX842" i="1"/>
  <c r="AW842" i="1"/>
  <c r="AV842" i="1"/>
  <c r="AT842" i="1"/>
  <c r="AS842" i="1"/>
  <c r="CS841" i="1"/>
  <c r="CR841" i="1"/>
  <c r="CQ841" i="1"/>
  <c r="CP841" i="1"/>
  <c r="CO841" i="1"/>
  <c r="CN841" i="1"/>
  <c r="CL841" i="1"/>
  <c r="CK841" i="1"/>
  <c r="CJ841" i="1"/>
  <c r="CI841" i="1"/>
  <c r="CH841" i="1"/>
  <c r="CG841" i="1"/>
  <c r="CF841" i="1"/>
  <c r="CD841" i="1"/>
  <c r="CC841" i="1"/>
  <c r="CB841" i="1"/>
  <c r="CA841" i="1"/>
  <c r="BZ841" i="1"/>
  <c r="BY841" i="1"/>
  <c r="BX841" i="1"/>
  <c r="BU841" i="1"/>
  <c r="BN841" i="1"/>
  <c r="BS841" i="1" s="1"/>
  <c r="BA841" i="1"/>
  <c r="AZ841" i="1"/>
  <c r="AY841" i="1"/>
  <c r="AX841" i="1"/>
  <c r="AW841" i="1"/>
  <c r="AV841" i="1"/>
  <c r="AT841" i="1"/>
  <c r="AS841" i="1"/>
  <c r="CS840" i="1"/>
  <c r="CR840" i="1"/>
  <c r="CQ840" i="1"/>
  <c r="CP840" i="1"/>
  <c r="CO840" i="1"/>
  <c r="CN840" i="1"/>
  <c r="CL840" i="1"/>
  <c r="CK840" i="1"/>
  <c r="CJ840" i="1"/>
  <c r="CI840" i="1"/>
  <c r="CH840" i="1"/>
  <c r="CG840" i="1"/>
  <c r="CF840" i="1"/>
  <c r="CD840" i="1"/>
  <c r="CC840" i="1"/>
  <c r="CB840" i="1"/>
  <c r="CA840" i="1"/>
  <c r="BZ840" i="1"/>
  <c r="BY840" i="1"/>
  <c r="BX840" i="1"/>
  <c r="BU840" i="1"/>
  <c r="BN840" i="1"/>
  <c r="BS840" i="1" s="1"/>
  <c r="BA840" i="1"/>
  <c r="AZ840" i="1"/>
  <c r="AY840" i="1"/>
  <c r="AX840" i="1"/>
  <c r="AW840" i="1"/>
  <c r="AV840" i="1"/>
  <c r="AT840" i="1"/>
  <c r="AS840" i="1"/>
  <c r="CS839" i="1"/>
  <c r="CR839" i="1"/>
  <c r="CQ839" i="1"/>
  <c r="CP839" i="1"/>
  <c r="CO839" i="1"/>
  <c r="CN839" i="1"/>
  <c r="CL839" i="1"/>
  <c r="CK839" i="1"/>
  <c r="CJ839" i="1"/>
  <c r="CI839" i="1"/>
  <c r="CH839" i="1"/>
  <c r="CG839" i="1"/>
  <c r="CF839" i="1"/>
  <c r="CD839" i="1"/>
  <c r="CC839" i="1"/>
  <c r="CB839" i="1"/>
  <c r="CA839" i="1"/>
  <c r="BZ839" i="1"/>
  <c r="BY839" i="1"/>
  <c r="BX839" i="1"/>
  <c r="BU839" i="1"/>
  <c r="BN839" i="1"/>
  <c r="BS839" i="1" s="1"/>
  <c r="BA839" i="1"/>
  <c r="AZ839" i="1"/>
  <c r="AY839" i="1"/>
  <c r="AX839" i="1"/>
  <c r="AW839" i="1"/>
  <c r="AV839" i="1"/>
  <c r="AT839" i="1"/>
  <c r="AS839" i="1"/>
  <c r="CS838" i="1"/>
  <c r="CR838" i="1"/>
  <c r="CQ838" i="1"/>
  <c r="CP838" i="1"/>
  <c r="CO838" i="1"/>
  <c r="CN838" i="1"/>
  <c r="CL838" i="1"/>
  <c r="CK838" i="1"/>
  <c r="CJ838" i="1"/>
  <c r="CI838" i="1"/>
  <c r="CH838" i="1"/>
  <c r="CG838" i="1"/>
  <c r="CF838" i="1"/>
  <c r="CD838" i="1"/>
  <c r="CC838" i="1"/>
  <c r="CB838" i="1"/>
  <c r="CA838" i="1"/>
  <c r="BZ838" i="1"/>
  <c r="BY838" i="1"/>
  <c r="BX838" i="1"/>
  <c r="BU838" i="1"/>
  <c r="BN838" i="1"/>
  <c r="BS838" i="1" s="1"/>
  <c r="BA838" i="1"/>
  <c r="AZ838" i="1"/>
  <c r="AY838" i="1"/>
  <c r="AX838" i="1"/>
  <c r="AW838" i="1"/>
  <c r="AV838" i="1"/>
  <c r="AT838" i="1"/>
  <c r="AS838" i="1"/>
  <c r="CS837" i="1"/>
  <c r="CR837" i="1"/>
  <c r="CQ837" i="1"/>
  <c r="CP837" i="1"/>
  <c r="CO837" i="1"/>
  <c r="CN837" i="1"/>
  <c r="CL837" i="1"/>
  <c r="CK837" i="1"/>
  <c r="CJ837" i="1"/>
  <c r="CI837" i="1"/>
  <c r="CH837" i="1"/>
  <c r="CG837" i="1"/>
  <c r="CF837" i="1"/>
  <c r="CD837" i="1"/>
  <c r="CC837" i="1"/>
  <c r="CB837" i="1"/>
  <c r="CA837" i="1"/>
  <c r="BZ837" i="1"/>
  <c r="BY837" i="1"/>
  <c r="BX837" i="1"/>
  <c r="BU837" i="1"/>
  <c r="BN837" i="1"/>
  <c r="BS837" i="1" s="1"/>
  <c r="BA837" i="1"/>
  <c r="AZ837" i="1"/>
  <c r="AY837" i="1"/>
  <c r="AX837" i="1"/>
  <c r="AW837" i="1"/>
  <c r="AV837" i="1"/>
  <c r="AT837" i="1"/>
  <c r="AS837" i="1"/>
  <c r="CS836" i="1"/>
  <c r="CR836" i="1"/>
  <c r="CQ836" i="1"/>
  <c r="CP836" i="1"/>
  <c r="CO836" i="1"/>
  <c r="CN836" i="1"/>
  <c r="CL836" i="1"/>
  <c r="CK836" i="1"/>
  <c r="CJ836" i="1"/>
  <c r="CI836" i="1"/>
  <c r="CH836" i="1"/>
  <c r="CG836" i="1"/>
  <c r="CF836" i="1"/>
  <c r="CD836" i="1"/>
  <c r="CC836" i="1"/>
  <c r="CB836" i="1"/>
  <c r="CA836" i="1"/>
  <c r="BZ836" i="1"/>
  <c r="BY836" i="1"/>
  <c r="BX836" i="1"/>
  <c r="BU836" i="1"/>
  <c r="BN836" i="1"/>
  <c r="BS836" i="1" s="1"/>
  <c r="BA836" i="1"/>
  <c r="AZ836" i="1"/>
  <c r="AY836" i="1"/>
  <c r="AX836" i="1"/>
  <c r="AW836" i="1"/>
  <c r="AV836" i="1"/>
  <c r="AT836" i="1"/>
  <c r="AS836" i="1"/>
  <c r="CS835" i="1"/>
  <c r="CR835" i="1"/>
  <c r="CQ835" i="1"/>
  <c r="CP835" i="1"/>
  <c r="CO835" i="1"/>
  <c r="CN835" i="1"/>
  <c r="CL835" i="1"/>
  <c r="CK835" i="1"/>
  <c r="CJ835" i="1"/>
  <c r="CI835" i="1"/>
  <c r="CH835" i="1"/>
  <c r="CG835" i="1"/>
  <c r="CF835" i="1"/>
  <c r="CD835" i="1"/>
  <c r="CC835" i="1"/>
  <c r="CB835" i="1"/>
  <c r="CA835" i="1"/>
  <c r="BZ835" i="1"/>
  <c r="BY835" i="1"/>
  <c r="BX835" i="1"/>
  <c r="BU835" i="1"/>
  <c r="BN835" i="1"/>
  <c r="BS835" i="1" s="1"/>
  <c r="BA835" i="1"/>
  <c r="AZ835" i="1"/>
  <c r="AY835" i="1"/>
  <c r="AX835" i="1"/>
  <c r="AW835" i="1"/>
  <c r="AV835" i="1"/>
  <c r="AT835" i="1"/>
  <c r="AS835" i="1"/>
  <c r="CS834" i="1"/>
  <c r="CR834" i="1"/>
  <c r="CQ834" i="1"/>
  <c r="CP834" i="1"/>
  <c r="CO834" i="1"/>
  <c r="CN834" i="1"/>
  <c r="CL834" i="1"/>
  <c r="CK834" i="1"/>
  <c r="CJ834" i="1"/>
  <c r="CI834" i="1"/>
  <c r="CH834" i="1"/>
  <c r="CG834" i="1"/>
  <c r="CF834" i="1"/>
  <c r="CD834" i="1"/>
  <c r="CC834" i="1"/>
  <c r="CB834" i="1"/>
  <c r="CA834" i="1"/>
  <c r="BZ834" i="1"/>
  <c r="BY834" i="1"/>
  <c r="BX834" i="1"/>
  <c r="BU834" i="1"/>
  <c r="BN834" i="1"/>
  <c r="BS834" i="1" s="1"/>
  <c r="BA834" i="1"/>
  <c r="AZ834" i="1"/>
  <c r="AY834" i="1"/>
  <c r="AX834" i="1"/>
  <c r="AW834" i="1"/>
  <c r="AV834" i="1"/>
  <c r="AT834" i="1"/>
  <c r="AS834" i="1"/>
  <c r="CS833" i="1"/>
  <c r="CR833" i="1"/>
  <c r="CQ833" i="1"/>
  <c r="CP833" i="1"/>
  <c r="CO833" i="1"/>
  <c r="CN833" i="1"/>
  <c r="CL833" i="1"/>
  <c r="CK833" i="1"/>
  <c r="CJ833" i="1"/>
  <c r="CI833" i="1"/>
  <c r="CH833" i="1"/>
  <c r="CG833" i="1"/>
  <c r="CF833" i="1"/>
  <c r="CD833" i="1"/>
  <c r="CC833" i="1"/>
  <c r="CB833" i="1"/>
  <c r="CA833" i="1"/>
  <c r="BZ833" i="1"/>
  <c r="BY833" i="1"/>
  <c r="BX833" i="1"/>
  <c r="BU833" i="1"/>
  <c r="BN833" i="1"/>
  <c r="BS833" i="1" s="1"/>
  <c r="BA833" i="1"/>
  <c r="AZ833" i="1"/>
  <c r="AY833" i="1"/>
  <c r="AX833" i="1"/>
  <c r="AW833" i="1"/>
  <c r="AV833" i="1"/>
  <c r="AT833" i="1"/>
  <c r="AS833" i="1"/>
  <c r="CS832" i="1"/>
  <c r="CR832" i="1"/>
  <c r="CQ832" i="1"/>
  <c r="CP832" i="1"/>
  <c r="CO832" i="1"/>
  <c r="CN832" i="1"/>
  <c r="CL832" i="1"/>
  <c r="CK832" i="1"/>
  <c r="CJ832" i="1"/>
  <c r="CI832" i="1"/>
  <c r="CH832" i="1"/>
  <c r="CG832" i="1"/>
  <c r="CF832" i="1"/>
  <c r="CD832" i="1"/>
  <c r="CC832" i="1"/>
  <c r="CB832" i="1"/>
  <c r="CA832" i="1"/>
  <c r="BZ832" i="1"/>
  <c r="BY832" i="1"/>
  <c r="BX832" i="1"/>
  <c r="BU832" i="1"/>
  <c r="BN832" i="1"/>
  <c r="BS832" i="1" s="1"/>
  <c r="BA832" i="1"/>
  <c r="AZ832" i="1"/>
  <c r="AY832" i="1"/>
  <c r="AX832" i="1"/>
  <c r="AW832" i="1"/>
  <c r="AV832" i="1"/>
  <c r="AT832" i="1"/>
  <c r="AS832" i="1"/>
  <c r="CS831" i="1"/>
  <c r="CR831" i="1"/>
  <c r="CQ831" i="1"/>
  <c r="CP831" i="1"/>
  <c r="CO831" i="1"/>
  <c r="CN831" i="1"/>
  <c r="CL831" i="1"/>
  <c r="CK831" i="1"/>
  <c r="CJ831" i="1"/>
  <c r="CI831" i="1"/>
  <c r="CH831" i="1"/>
  <c r="CG831" i="1"/>
  <c r="CF831" i="1"/>
  <c r="CD831" i="1"/>
  <c r="CC831" i="1"/>
  <c r="CB831" i="1"/>
  <c r="CA831" i="1"/>
  <c r="BZ831" i="1"/>
  <c r="BY831" i="1"/>
  <c r="BX831" i="1"/>
  <c r="BU831" i="1"/>
  <c r="BN831" i="1"/>
  <c r="BS831" i="1" s="1"/>
  <c r="BA831" i="1"/>
  <c r="AZ831" i="1"/>
  <c r="AY831" i="1"/>
  <c r="AX831" i="1"/>
  <c r="AW831" i="1"/>
  <c r="AV831" i="1"/>
  <c r="AT831" i="1"/>
  <c r="AS831" i="1"/>
  <c r="CS830" i="1"/>
  <c r="CR830" i="1"/>
  <c r="CQ830" i="1"/>
  <c r="CP830" i="1"/>
  <c r="CO830" i="1"/>
  <c r="CN830" i="1"/>
  <c r="CL830" i="1"/>
  <c r="CK830" i="1"/>
  <c r="CJ830" i="1"/>
  <c r="CI830" i="1"/>
  <c r="CH830" i="1"/>
  <c r="CG830" i="1"/>
  <c r="CF830" i="1"/>
  <c r="CD830" i="1"/>
  <c r="CC830" i="1"/>
  <c r="CB830" i="1"/>
  <c r="CA830" i="1"/>
  <c r="BZ830" i="1"/>
  <c r="BY830" i="1"/>
  <c r="BX830" i="1"/>
  <c r="BU830" i="1"/>
  <c r="BN830" i="1"/>
  <c r="BS830" i="1" s="1"/>
  <c r="BA830" i="1"/>
  <c r="AZ830" i="1"/>
  <c r="AY830" i="1"/>
  <c r="AX830" i="1"/>
  <c r="AW830" i="1"/>
  <c r="AV830" i="1"/>
  <c r="AT830" i="1"/>
  <c r="AS830" i="1"/>
  <c r="CS829" i="1"/>
  <c r="CR829" i="1"/>
  <c r="CQ829" i="1"/>
  <c r="CP829" i="1"/>
  <c r="CO829" i="1"/>
  <c r="CN829" i="1"/>
  <c r="CL829" i="1"/>
  <c r="CK829" i="1"/>
  <c r="CJ829" i="1"/>
  <c r="CI829" i="1"/>
  <c r="CH829" i="1"/>
  <c r="CG829" i="1"/>
  <c r="CF829" i="1"/>
  <c r="CD829" i="1"/>
  <c r="CC829" i="1"/>
  <c r="CB829" i="1"/>
  <c r="CA829" i="1"/>
  <c r="BZ829" i="1"/>
  <c r="BY829" i="1"/>
  <c r="BX829" i="1"/>
  <c r="BU829" i="1"/>
  <c r="BN829" i="1"/>
  <c r="BS829" i="1" s="1"/>
  <c r="BA829" i="1"/>
  <c r="AZ829" i="1"/>
  <c r="AY829" i="1"/>
  <c r="AX829" i="1"/>
  <c r="AW829" i="1"/>
  <c r="AV829" i="1"/>
  <c r="AT829" i="1"/>
  <c r="AS829" i="1"/>
  <c r="CS828" i="1"/>
  <c r="CR828" i="1"/>
  <c r="CQ828" i="1"/>
  <c r="CP828" i="1"/>
  <c r="CO828" i="1"/>
  <c r="CN828" i="1"/>
  <c r="CL828" i="1"/>
  <c r="CK828" i="1"/>
  <c r="CJ828" i="1"/>
  <c r="CI828" i="1"/>
  <c r="CH828" i="1"/>
  <c r="CG828" i="1"/>
  <c r="CF828" i="1"/>
  <c r="CD828" i="1"/>
  <c r="CC828" i="1"/>
  <c r="CB828" i="1"/>
  <c r="CA828" i="1"/>
  <c r="BZ828" i="1"/>
  <c r="BY828" i="1"/>
  <c r="BX828" i="1"/>
  <c r="BU828" i="1"/>
  <c r="BN828" i="1"/>
  <c r="BS828" i="1" s="1"/>
  <c r="BA828" i="1"/>
  <c r="AZ828" i="1"/>
  <c r="AY828" i="1"/>
  <c r="AX828" i="1"/>
  <c r="AW828" i="1"/>
  <c r="AV828" i="1"/>
  <c r="AT828" i="1"/>
  <c r="AS828" i="1"/>
  <c r="CS827" i="1"/>
  <c r="CR827" i="1"/>
  <c r="CQ827" i="1"/>
  <c r="CP827" i="1"/>
  <c r="CO827" i="1"/>
  <c r="CN827" i="1"/>
  <c r="CL827" i="1"/>
  <c r="CK827" i="1"/>
  <c r="CJ827" i="1"/>
  <c r="CI827" i="1"/>
  <c r="CH827" i="1"/>
  <c r="CG827" i="1"/>
  <c r="CF827" i="1"/>
  <c r="CD827" i="1"/>
  <c r="CC827" i="1"/>
  <c r="CB827" i="1"/>
  <c r="CA827" i="1"/>
  <c r="BZ827" i="1"/>
  <c r="BY827" i="1"/>
  <c r="BX827" i="1"/>
  <c r="BU827" i="1"/>
  <c r="BN827" i="1"/>
  <c r="BS827" i="1" s="1"/>
  <c r="BA827" i="1"/>
  <c r="AZ827" i="1"/>
  <c r="AY827" i="1"/>
  <c r="AX827" i="1"/>
  <c r="AW827" i="1"/>
  <c r="AV827" i="1"/>
  <c r="AT827" i="1"/>
  <c r="AS827" i="1"/>
  <c r="CS826" i="1"/>
  <c r="CR826" i="1"/>
  <c r="CQ826" i="1"/>
  <c r="CP826" i="1"/>
  <c r="CO826" i="1"/>
  <c r="CN826" i="1"/>
  <c r="CL826" i="1"/>
  <c r="CK826" i="1"/>
  <c r="CJ826" i="1"/>
  <c r="CI826" i="1"/>
  <c r="CH826" i="1"/>
  <c r="CG826" i="1"/>
  <c r="CF826" i="1"/>
  <c r="CD826" i="1"/>
  <c r="CC826" i="1"/>
  <c r="CB826" i="1"/>
  <c r="CA826" i="1"/>
  <c r="BZ826" i="1"/>
  <c r="BY826" i="1"/>
  <c r="BX826" i="1"/>
  <c r="BU826" i="1"/>
  <c r="BN826" i="1"/>
  <c r="BS826" i="1" s="1"/>
  <c r="BA826" i="1"/>
  <c r="AZ826" i="1"/>
  <c r="AY826" i="1"/>
  <c r="AX826" i="1"/>
  <c r="AW826" i="1"/>
  <c r="AV826" i="1"/>
  <c r="AT826" i="1"/>
  <c r="AS826" i="1"/>
  <c r="CS825" i="1"/>
  <c r="CR825" i="1"/>
  <c r="CQ825" i="1"/>
  <c r="CP825" i="1"/>
  <c r="CO825" i="1"/>
  <c r="CN825" i="1"/>
  <c r="CL825" i="1"/>
  <c r="CK825" i="1"/>
  <c r="CJ825" i="1"/>
  <c r="CI825" i="1"/>
  <c r="CH825" i="1"/>
  <c r="CG825" i="1"/>
  <c r="CF825" i="1"/>
  <c r="CD825" i="1"/>
  <c r="CC825" i="1"/>
  <c r="CB825" i="1"/>
  <c r="CA825" i="1"/>
  <c r="BZ825" i="1"/>
  <c r="BY825" i="1"/>
  <c r="BX825" i="1"/>
  <c r="BU825" i="1"/>
  <c r="BN825" i="1"/>
  <c r="BS825" i="1" s="1"/>
  <c r="BA825" i="1"/>
  <c r="AZ825" i="1"/>
  <c r="AY825" i="1"/>
  <c r="AX825" i="1"/>
  <c r="AW825" i="1"/>
  <c r="AV825" i="1"/>
  <c r="AT825" i="1"/>
  <c r="AS825" i="1"/>
  <c r="CS824" i="1"/>
  <c r="CR824" i="1"/>
  <c r="CQ824" i="1"/>
  <c r="CP824" i="1"/>
  <c r="CO824" i="1"/>
  <c r="CN824" i="1"/>
  <c r="CL824" i="1"/>
  <c r="CK824" i="1"/>
  <c r="CJ824" i="1"/>
  <c r="CI824" i="1"/>
  <c r="CH824" i="1"/>
  <c r="CG824" i="1"/>
  <c r="CF824" i="1"/>
  <c r="CD824" i="1"/>
  <c r="CC824" i="1"/>
  <c r="CB824" i="1"/>
  <c r="CA824" i="1"/>
  <c r="BZ824" i="1"/>
  <c r="BY824" i="1"/>
  <c r="BX824" i="1"/>
  <c r="BU824" i="1"/>
  <c r="BN824" i="1"/>
  <c r="BS824" i="1" s="1"/>
  <c r="BA824" i="1"/>
  <c r="AZ824" i="1"/>
  <c r="AY824" i="1"/>
  <c r="AX824" i="1"/>
  <c r="AW824" i="1"/>
  <c r="AV824" i="1"/>
  <c r="AT824" i="1"/>
  <c r="AS824" i="1"/>
  <c r="CS823" i="1"/>
  <c r="CR823" i="1"/>
  <c r="CQ823" i="1"/>
  <c r="CP823" i="1"/>
  <c r="CO823" i="1"/>
  <c r="CN823" i="1"/>
  <c r="CL823" i="1"/>
  <c r="CK823" i="1"/>
  <c r="CJ823" i="1"/>
  <c r="CI823" i="1"/>
  <c r="CH823" i="1"/>
  <c r="CG823" i="1"/>
  <c r="CF823" i="1"/>
  <c r="CD823" i="1"/>
  <c r="CC823" i="1"/>
  <c r="CB823" i="1"/>
  <c r="CA823" i="1"/>
  <c r="BZ823" i="1"/>
  <c r="BY823" i="1"/>
  <c r="BX823" i="1"/>
  <c r="BU823" i="1"/>
  <c r="BN823" i="1"/>
  <c r="BS823" i="1" s="1"/>
  <c r="BA823" i="1"/>
  <c r="AZ823" i="1"/>
  <c r="AY823" i="1"/>
  <c r="AX823" i="1"/>
  <c r="AW823" i="1"/>
  <c r="AV823" i="1"/>
  <c r="AT823" i="1"/>
  <c r="AS823" i="1"/>
  <c r="CS822" i="1"/>
  <c r="CR822" i="1"/>
  <c r="CQ822" i="1"/>
  <c r="CP822" i="1"/>
  <c r="CO822" i="1"/>
  <c r="CN822" i="1"/>
  <c r="CL822" i="1"/>
  <c r="CK822" i="1"/>
  <c r="CJ822" i="1"/>
  <c r="CI822" i="1"/>
  <c r="CH822" i="1"/>
  <c r="CG822" i="1"/>
  <c r="CF822" i="1"/>
  <c r="CD822" i="1"/>
  <c r="CC822" i="1"/>
  <c r="CB822" i="1"/>
  <c r="CA822" i="1"/>
  <c r="BZ822" i="1"/>
  <c r="BY822" i="1"/>
  <c r="BX822" i="1"/>
  <c r="BU822" i="1"/>
  <c r="BN822" i="1"/>
  <c r="BS822" i="1" s="1"/>
  <c r="BA822" i="1"/>
  <c r="AZ822" i="1"/>
  <c r="AY822" i="1"/>
  <c r="AX822" i="1"/>
  <c r="AW822" i="1"/>
  <c r="AV822" i="1"/>
  <c r="AT822" i="1"/>
  <c r="AS822" i="1"/>
  <c r="CS821" i="1"/>
  <c r="CR821" i="1"/>
  <c r="CQ821" i="1"/>
  <c r="CP821" i="1"/>
  <c r="CO821" i="1"/>
  <c r="CN821" i="1"/>
  <c r="CL821" i="1"/>
  <c r="CK821" i="1"/>
  <c r="CJ821" i="1"/>
  <c r="CI821" i="1"/>
  <c r="CH821" i="1"/>
  <c r="CG821" i="1"/>
  <c r="CF821" i="1"/>
  <c r="CD821" i="1"/>
  <c r="CC821" i="1"/>
  <c r="CB821" i="1"/>
  <c r="CA821" i="1"/>
  <c r="BZ821" i="1"/>
  <c r="BY821" i="1"/>
  <c r="BX821" i="1"/>
  <c r="BU821" i="1"/>
  <c r="BN821" i="1"/>
  <c r="BS821" i="1" s="1"/>
  <c r="BA821" i="1"/>
  <c r="AZ821" i="1"/>
  <c r="AY821" i="1"/>
  <c r="AX821" i="1"/>
  <c r="AW821" i="1"/>
  <c r="AV821" i="1"/>
  <c r="AT821" i="1"/>
  <c r="AS821" i="1"/>
  <c r="CS820" i="1"/>
  <c r="CR820" i="1"/>
  <c r="CQ820" i="1"/>
  <c r="CP820" i="1"/>
  <c r="CO820" i="1"/>
  <c r="CN820" i="1"/>
  <c r="CL820" i="1"/>
  <c r="CK820" i="1"/>
  <c r="CJ820" i="1"/>
  <c r="CI820" i="1"/>
  <c r="CH820" i="1"/>
  <c r="CG820" i="1"/>
  <c r="CF820" i="1"/>
  <c r="CD820" i="1"/>
  <c r="CC820" i="1"/>
  <c r="CB820" i="1"/>
  <c r="CA820" i="1"/>
  <c r="BZ820" i="1"/>
  <c r="BY820" i="1"/>
  <c r="BX820" i="1"/>
  <c r="BU820" i="1"/>
  <c r="BN820" i="1"/>
  <c r="BS820" i="1" s="1"/>
  <c r="BA820" i="1"/>
  <c r="AZ820" i="1"/>
  <c r="AY820" i="1"/>
  <c r="AX820" i="1"/>
  <c r="AW820" i="1"/>
  <c r="AV820" i="1"/>
  <c r="AT820" i="1"/>
  <c r="AS820" i="1"/>
  <c r="CS819" i="1"/>
  <c r="CR819" i="1"/>
  <c r="CQ819" i="1"/>
  <c r="CP819" i="1"/>
  <c r="CO819" i="1"/>
  <c r="CN819" i="1"/>
  <c r="CL819" i="1"/>
  <c r="CK819" i="1"/>
  <c r="CJ819" i="1"/>
  <c r="CI819" i="1"/>
  <c r="CH819" i="1"/>
  <c r="CG819" i="1"/>
  <c r="CF819" i="1"/>
  <c r="CD819" i="1"/>
  <c r="CC819" i="1"/>
  <c r="CB819" i="1"/>
  <c r="CA819" i="1"/>
  <c r="BZ819" i="1"/>
  <c r="BY819" i="1"/>
  <c r="BX819" i="1"/>
  <c r="BU819" i="1"/>
  <c r="BN819" i="1"/>
  <c r="BS819" i="1" s="1"/>
  <c r="BA819" i="1"/>
  <c r="AZ819" i="1"/>
  <c r="AY819" i="1"/>
  <c r="AX819" i="1"/>
  <c r="AW819" i="1"/>
  <c r="AV819" i="1"/>
  <c r="AT819" i="1"/>
  <c r="AS819" i="1"/>
  <c r="CS818" i="1"/>
  <c r="CR818" i="1"/>
  <c r="CQ818" i="1"/>
  <c r="CP818" i="1"/>
  <c r="CO818" i="1"/>
  <c r="CN818" i="1"/>
  <c r="CL818" i="1"/>
  <c r="CK818" i="1"/>
  <c r="CJ818" i="1"/>
  <c r="CI818" i="1"/>
  <c r="CH818" i="1"/>
  <c r="CG818" i="1"/>
  <c r="CF818" i="1"/>
  <c r="CD818" i="1"/>
  <c r="CC818" i="1"/>
  <c r="CB818" i="1"/>
  <c r="CA818" i="1"/>
  <c r="BZ818" i="1"/>
  <c r="BY818" i="1"/>
  <c r="BX818" i="1"/>
  <c r="BU818" i="1"/>
  <c r="BN818" i="1"/>
  <c r="BS818" i="1" s="1"/>
  <c r="BA818" i="1"/>
  <c r="AZ818" i="1"/>
  <c r="AY818" i="1"/>
  <c r="AX818" i="1"/>
  <c r="AW818" i="1"/>
  <c r="AV818" i="1"/>
  <c r="AT818" i="1"/>
  <c r="AS818" i="1"/>
  <c r="CS817" i="1"/>
  <c r="CR817" i="1"/>
  <c r="CQ817" i="1"/>
  <c r="CP817" i="1"/>
  <c r="CO817" i="1"/>
  <c r="CN817" i="1"/>
  <c r="CL817" i="1"/>
  <c r="CK817" i="1"/>
  <c r="CJ817" i="1"/>
  <c r="CI817" i="1"/>
  <c r="CH817" i="1"/>
  <c r="CG817" i="1"/>
  <c r="CF817" i="1"/>
  <c r="CD817" i="1"/>
  <c r="CC817" i="1"/>
  <c r="CB817" i="1"/>
  <c r="CA817" i="1"/>
  <c r="BZ817" i="1"/>
  <c r="BY817" i="1"/>
  <c r="BX817" i="1"/>
  <c r="BU817" i="1"/>
  <c r="BN817" i="1"/>
  <c r="BS817" i="1" s="1"/>
  <c r="BA817" i="1"/>
  <c r="AZ817" i="1"/>
  <c r="AY817" i="1"/>
  <c r="AX817" i="1"/>
  <c r="AW817" i="1"/>
  <c r="AV817" i="1"/>
  <c r="AT817" i="1"/>
  <c r="AS817" i="1"/>
  <c r="CS816" i="1"/>
  <c r="CR816" i="1"/>
  <c r="CQ816" i="1"/>
  <c r="CP816" i="1"/>
  <c r="CO816" i="1"/>
  <c r="CN816" i="1"/>
  <c r="CL816" i="1"/>
  <c r="CK816" i="1"/>
  <c r="CJ816" i="1"/>
  <c r="CI816" i="1"/>
  <c r="CH816" i="1"/>
  <c r="CG816" i="1"/>
  <c r="CF816" i="1"/>
  <c r="CD816" i="1"/>
  <c r="CC816" i="1"/>
  <c r="CB816" i="1"/>
  <c r="CA816" i="1"/>
  <c r="BZ816" i="1"/>
  <c r="BY816" i="1"/>
  <c r="BX816" i="1"/>
  <c r="BU816" i="1"/>
  <c r="BN816" i="1"/>
  <c r="BS816" i="1" s="1"/>
  <c r="BA816" i="1"/>
  <c r="AZ816" i="1"/>
  <c r="AY816" i="1"/>
  <c r="AX816" i="1"/>
  <c r="AW816" i="1"/>
  <c r="AV816" i="1"/>
  <c r="AT816" i="1"/>
  <c r="AS816" i="1"/>
  <c r="CS815" i="1"/>
  <c r="CR815" i="1"/>
  <c r="CQ815" i="1"/>
  <c r="CP815" i="1"/>
  <c r="CO815" i="1"/>
  <c r="CN815" i="1"/>
  <c r="CL815" i="1"/>
  <c r="CK815" i="1"/>
  <c r="CJ815" i="1"/>
  <c r="CI815" i="1"/>
  <c r="CH815" i="1"/>
  <c r="CG815" i="1"/>
  <c r="CF815" i="1"/>
  <c r="CD815" i="1"/>
  <c r="CC815" i="1"/>
  <c r="CB815" i="1"/>
  <c r="CA815" i="1"/>
  <c r="BZ815" i="1"/>
  <c r="BY815" i="1"/>
  <c r="BX815" i="1"/>
  <c r="BU815" i="1"/>
  <c r="BN815" i="1"/>
  <c r="BS815" i="1" s="1"/>
  <c r="BA815" i="1"/>
  <c r="AZ815" i="1"/>
  <c r="AY815" i="1"/>
  <c r="AX815" i="1"/>
  <c r="AW815" i="1"/>
  <c r="AV815" i="1"/>
  <c r="AT815" i="1"/>
  <c r="AS815" i="1"/>
  <c r="CS814" i="1"/>
  <c r="CR814" i="1"/>
  <c r="CQ814" i="1"/>
  <c r="CP814" i="1"/>
  <c r="CO814" i="1"/>
  <c r="CN814" i="1"/>
  <c r="CL814" i="1"/>
  <c r="CK814" i="1"/>
  <c r="CJ814" i="1"/>
  <c r="CI814" i="1"/>
  <c r="CH814" i="1"/>
  <c r="CG814" i="1"/>
  <c r="CF814" i="1"/>
  <c r="CD814" i="1"/>
  <c r="CC814" i="1"/>
  <c r="CB814" i="1"/>
  <c r="CA814" i="1"/>
  <c r="BZ814" i="1"/>
  <c r="BY814" i="1"/>
  <c r="BX814" i="1"/>
  <c r="BU814" i="1"/>
  <c r="BN814" i="1"/>
  <c r="BS814" i="1" s="1"/>
  <c r="BA814" i="1"/>
  <c r="AZ814" i="1"/>
  <c r="AY814" i="1"/>
  <c r="AX814" i="1"/>
  <c r="AW814" i="1"/>
  <c r="AV814" i="1"/>
  <c r="AT814" i="1"/>
  <c r="AS814" i="1"/>
  <c r="CS813" i="1"/>
  <c r="CR813" i="1"/>
  <c r="CQ813" i="1"/>
  <c r="CP813" i="1"/>
  <c r="CO813" i="1"/>
  <c r="CN813" i="1"/>
  <c r="CL813" i="1"/>
  <c r="CK813" i="1"/>
  <c r="CJ813" i="1"/>
  <c r="CI813" i="1"/>
  <c r="CH813" i="1"/>
  <c r="CG813" i="1"/>
  <c r="CF813" i="1"/>
  <c r="CD813" i="1"/>
  <c r="CC813" i="1"/>
  <c r="CB813" i="1"/>
  <c r="CA813" i="1"/>
  <c r="BZ813" i="1"/>
  <c r="BY813" i="1"/>
  <c r="BX813" i="1"/>
  <c r="BU813" i="1"/>
  <c r="BN813" i="1"/>
  <c r="BS813" i="1" s="1"/>
  <c r="BA813" i="1"/>
  <c r="AZ813" i="1"/>
  <c r="AY813" i="1"/>
  <c r="AX813" i="1"/>
  <c r="AW813" i="1"/>
  <c r="AV813" i="1"/>
  <c r="AT813" i="1"/>
  <c r="AS813" i="1"/>
  <c r="CS812" i="1"/>
  <c r="CR812" i="1"/>
  <c r="CQ812" i="1"/>
  <c r="CP812" i="1"/>
  <c r="CO812" i="1"/>
  <c r="CN812" i="1"/>
  <c r="CL812" i="1"/>
  <c r="CK812" i="1"/>
  <c r="CJ812" i="1"/>
  <c r="CI812" i="1"/>
  <c r="CH812" i="1"/>
  <c r="CG812" i="1"/>
  <c r="CF812" i="1"/>
  <c r="CD812" i="1"/>
  <c r="CC812" i="1"/>
  <c r="CB812" i="1"/>
  <c r="CA812" i="1"/>
  <c r="BZ812" i="1"/>
  <c r="BY812" i="1"/>
  <c r="BX812" i="1"/>
  <c r="BU812" i="1"/>
  <c r="BN812" i="1"/>
  <c r="BS812" i="1" s="1"/>
  <c r="BA812" i="1"/>
  <c r="AZ812" i="1"/>
  <c r="AY812" i="1"/>
  <c r="AX812" i="1"/>
  <c r="AW812" i="1"/>
  <c r="AV812" i="1"/>
  <c r="AT812" i="1"/>
  <c r="AS812" i="1"/>
  <c r="CS811" i="1"/>
  <c r="CR811" i="1"/>
  <c r="CQ811" i="1"/>
  <c r="CP811" i="1"/>
  <c r="CO811" i="1"/>
  <c r="CN811" i="1"/>
  <c r="CL811" i="1"/>
  <c r="CK811" i="1"/>
  <c r="CJ811" i="1"/>
  <c r="CI811" i="1"/>
  <c r="CH811" i="1"/>
  <c r="CG811" i="1"/>
  <c r="CF811" i="1"/>
  <c r="CD811" i="1"/>
  <c r="CC811" i="1"/>
  <c r="CB811" i="1"/>
  <c r="CA811" i="1"/>
  <c r="BZ811" i="1"/>
  <c r="BY811" i="1"/>
  <c r="BX811" i="1"/>
  <c r="BU811" i="1"/>
  <c r="BN811" i="1"/>
  <c r="BS811" i="1" s="1"/>
  <c r="BA811" i="1"/>
  <c r="AZ811" i="1"/>
  <c r="AY811" i="1"/>
  <c r="AX811" i="1"/>
  <c r="AW811" i="1"/>
  <c r="AV811" i="1"/>
  <c r="AT811" i="1"/>
  <c r="AS811" i="1"/>
  <c r="CS810" i="1"/>
  <c r="CR810" i="1"/>
  <c r="CQ810" i="1"/>
  <c r="CP810" i="1"/>
  <c r="CO810" i="1"/>
  <c r="CN810" i="1"/>
  <c r="CL810" i="1"/>
  <c r="CK810" i="1"/>
  <c r="CJ810" i="1"/>
  <c r="CI810" i="1"/>
  <c r="CH810" i="1"/>
  <c r="CG810" i="1"/>
  <c r="CF810" i="1"/>
  <c r="CD810" i="1"/>
  <c r="CC810" i="1"/>
  <c r="CB810" i="1"/>
  <c r="CA810" i="1"/>
  <c r="BZ810" i="1"/>
  <c r="BY810" i="1"/>
  <c r="BX810" i="1"/>
  <c r="BU810" i="1"/>
  <c r="BN810" i="1"/>
  <c r="BS810" i="1" s="1"/>
  <c r="BA810" i="1"/>
  <c r="AZ810" i="1"/>
  <c r="AY810" i="1"/>
  <c r="AX810" i="1"/>
  <c r="AW810" i="1"/>
  <c r="AV810" i="1"/>
  <c r="AT810" i="1"/>
  <c r="AS810" i="1"/>
  <c r="CS809" i="1"/>
  <c r="CR809" i="1"/>
  <c r="CQ809" i="1"/>
  <c r="CP809" i="1"/>
  <c r="CO809" i="1"/>
  <c r="CN809" i="1"/>
  <c r="CL809" i="1"/>
  <c r="CK809" i="1"/>
  <c r="CJ809" i="1"/>
  <c r="CI809" i="1"/>
  <c r="CH809" i="1"/>
  <c r="CG809" i="1"/>
  <c r="CF809" i="1"/>
  <c r="CD809" i="1"/>
  <c r="CC809" i="1"/>
  <c r="CB809" i="1"/>
  <c r="CA809" i="1"/>
  <c r="BZ809" i="1"/>
  <c r="BY809" i="1"/>
  <c r="BX809" i="1"/>
  <c r="BU809" i="1"/>
  <c r="BN809" i="1"/>
  <c r="BS809" i="1" s="1"/>
  <c r="BA809" i="1"/>
  <c r="AZ809" i="1"/>
  <c r="AY809" i="1"/>
  <c r="AX809" i="1"/>
  <c r="AW809" i="1"/>
  <c r="AV809" i="1"/>
  <c r="AT809" i="1"/>
  <c r="AS809" i="1"/>
  <c r="CS808" i="1"/>
  <c r="CR808" i="1"/>
  <c r="CQ808" i="1"/>
  <c r="CP808" i="1"/>
  <c r="CO808" i="1"/>
  <c r="CN808" i="1"/>
  <c r="CL808" i="1"/>
  <c r="CK808" i="1"/>
  <c r="CJ808" i="1"/>
  <c r="CI808" i="1"/>
  <c r="CH808" i="1"/>
  <c r="CG808" i="1"/>
  <c r="CF808" i="1"/>
  <c r="CD808" i="1"/>
  <c r="CC808" i="1"/>
  <c r="CB808" i="1"/>
  <c r="CA808" i="1"/>
  <c r="BZ808" i="1"/>
  <c r="BY808" i="1"/>
  <c r="BX808" i="1"/>
  <c r="BU808" i="1"/>
  <c r="BN808" i="1"/>
  <c r="BS808" i="1" s="1"/>
  <c r="BA808" i="1"/>
  <c r="AZ808" i="1"/>
  <c r="AY808" i="1"/>
  <c r="AX808" i="1"/>
  <c r="AW808" i="1"/>
  <c r="AV808" i="1"/>
  <c r="AT808" i="1"/>
  <c r="AS808" i="1"/>
  <c r="CS807" i="1"/>
  <c r="CR807" i="1"/>
  <c r="CQ807" i="1"/>
  <c r="CP807" i="1"/>
  <c r="CO807" i="1"/>
  <c r="CN807" i="1"/>
  <c r="CL807" i="1"/>
  <c r="CK807" i="1"/>
  <c r="CJ807" i="1"/>
  <c r="CI807" i="1"/>
  <c r="CH807" i="1"/>
  <c r="CG807" i="1"/>
  <c r="CF807" i="1"/>
  <c r="CD807" i="1"/>
  <c r="CC807" i="1"/>
  <c r="CB807" i="1"/>
  <c r="CA807" i="1"/>
  <c r="BZ807" i="1"/>
  <c r="BY807" i="1"/>
  <c r="BX807" i="1"/>
  <c r="BU807" i="1"/>
  <c r="BN807" i="1"/>
  <c r="BS807" i="1" s="1"/>
  <c r="BA807" i="1"/>
  <c r="AZ807" i="1"/>
  <c r="AY807" i="1"/>
  <c r="AX807" i="1"/>
  <c r="AW807" i="1"/>
  <c r="AV807" i="1"/>
  <c r="AT807" i="1"/>
  <c r="AS807" i="1"/>
  <c r="CS806" i="1"/>
  <c r="CR806" i="1"/>
  <c r="CQ806" i="1"/>
  <c r="CP806" i="1"/>
  <c r="CO806" i="1"/>
  <c r="CN806" i="1"/>
  <c r="CL806" i="1"/>
  <c r="CK806" i="1"/>
  <c r="CJ806" i="1"/>
  <c r="CI806" i="1"/>
  <c r="CH806" i="1"/>
  <c r="CG806" i="1"/>
  <c r="CF806" i="1"/>
  <c r="CD806" i="1"/>
  <c r="CC806" i="1"/>
  <c r="CB806" i="1"/>
  <c r="CA806" i="1"/>
  <c r="BZ806" i="1"/>
  <c r="BY806" i="1"/>
  <c r="BX806" i="1"/>
  <c r="BU806" i="1"/>
  <c r="BN806" i="1"/>
  <c r="BS806" i="1" s="1"/>
  <c r="BA806" i="1"/>
  <c r="AZ806" i="1"/>
  <c r="AY806" i="1"/>
  <c r="AX806" i="1"/>
  <c r="AW806" i="1"/>
  <c r="AV806" i="1"/>
  <c r="AT806" i="1"/>
  <c r="AS806" i="1"/>
  <c r="CS805" i="1"/>
  <c r="CR805" i="1"/>
  <c r="CQ805" i="1"/>
  <c r="CP805" i="1"/>
  <c r="CO805" i="1"/>
  <c r="CN805" i="1"/>
  <c r="CL805" i="1"/>
  <c r="CK805" i="1"/>
  <c r="CJ805" i="1"/>
  <c r="CI805" i="1"/>
  <c r="CH805" i="1"/>
  <c r="CG805" i="1"/>
  <c r="CF805" i="1"/>
  <c r="CD805" i="1"/>
  <c r="CC805" i="1"/>
  <c r="CB805" i="1"/>
  <c r="CA805" i="1"/>
  <c r="BZ805" i="1"/>
  <c r="BY805" i="1"/>
  <c r="BX805" i="1"/>
  <c r="BU805" i="1"/>
  <c r="BN805" i="1"/>
  <c r="BS805" i="1" s="1"/>
  <c r="BA805" i="1"/>
  <c r="AZ805" i="1"/>
  <c r="AY805" i="1"/>
  <c r="AX805" i="1"/>
  <c r="AW805" i="1"/>
  <c r="AV805" i="1"/>
  <c r="AT805" i="1"/>
  <c r="AS805" i="1"/>
  <c r="CS804" i="1"/>
  <c r="CR804" i="1"/>
  <c r="CQ804" i="1"/>
  <c r="CP804" i="1"/>
  <c r="CO804" i="1"/>
  <c r="CN804" i="1"/>
  <c r="CL804" i="1"/>
  <c r="CK804" i="1"/>
  <c r="CJ804" i="1"/>
  <c r="CI804" i="1"/>
  <c r="CH804" i="1"/>
  <c r="CG804" i="1"/>
  <c r="CF804" i="1"/>
  <c r="CD804" i="1"/>
  <c r="CC804" i="1"/>
  <c r="CB804" i="1"/>
  <c r="CA804" i="1"/>
  <c r="BZ804" i="1"/>
  <c r="BY804" i="1"/>
  <c r="BX804" i="1"/>
  <c r="BU804" i="1"/>
  <c r="BN804" i="1"/>
  <c r="BS804" i="1" s="1"/>
  <c r="BA804" i="1"/>
  <c r="AZ804" i="1"/>
  <c r="AY804" i="1"/>
  <c r="AX804" i="1"/>
  <c r="AW804" i="1"/>
  <c r="AV804" i="1"/>
  <c r="AT804" i="1"/>
  <c r="AS804" i="1"/>
  <c r="CS803" i="1"/>
  <c r="CR803" i="1"/>
  <c r="CQ803" i="1"/>
  <c r="CP803" i="1"/>
  <c r="CO803" i="1"/>
  <c r="CN803" i="1"/>
  <c r="CL803" i="1"/>
  <c r="CK803" i="1"/>
  <c r="CJ803" i="1"/>
  <c r="CI803" i="1"/>
  <c r="CH803" i="1"/>
  <c r="CG803" i="1"/>
  <c r="CF803" i="1"/>
  <c r="CD803" i="1"/>
  <c r="CC803" i="1"/>
  <c r="CB803" i="1"/>
  <c r="CA803" i="1"/>
  <c r="BZ803" i="1"/>
  <c r="BY803" i="1"/>
  <c r="BX803" i="1"/>
  <c r="BU803" i="1"/>
  <c r="BN803" i="1"/>
  <c r="BS803" i="1" s="1"/>
  <c r="BA803" i="1"/>
  <c r="AZ803" i="1"/>
  <c r="AY803" i="1"/>
  <c r="AX803" i="1"/>
  <c r="AW803" i="1"/>
  <c r="AV803" i="1"/>
  <c r="AT803" i="1"/>
  <c r="AS803" i="1"/>
  <c r="CS802" i="1"/>
  <c r="CR802" i="1"/>
  <c r="CQ802" i="1"/>
  <c r="CP802" i="1"/>
  <c r="CO802" i="1"/>
  <c r="CN802" i="1"/>
  <c r="CL802" i="1"/>
  <c r="CK802" i="1"/>
  <c r="CJ802" i="1"/>
  <c r="CI802" i="1"/>
  <c r="CH802" i="1"/>
  <c r="CG802" i="1"/>
  <c r="CF802" i="1"/>
  <c r="CD802" i="1"/>
  <c r="CC802" i="1"/>
  <c r="CB802" i="1"/>
  <c r="CA802" i="1"/>
  <c r="BZ802" i="1"/>
  <c r="BY802" i="1"/>
  <c r="BX802" i="1"/>
  <c r="BU802" i="1"/>
  <c r="BN802" i="1"/>
  <c r="BS802" i="1" s="1"/>
  <c r="BA802" i="1"/>
  <c r="AZ802" i="1"/>
  <c r="AY802" i="1"/>
  <c r="AX802" i="1"/>
  <c r="AW802" i="1"/>
  <c r="AV802" i="1"/>
  <c r="AT802" i="1"/>
  <c r="AS802" i="1"/>
  <c r="CS801" i="1"/>
  <c r="CR801" i="1"/>
  <c r="CQ801" i="1"/>
  <c r="CP801" i="1"/>
  <c r="CO801" i="1"/>
  <c r="CN801" i="1"/>
  <c r="CL801" i="1"/>
  <c r="CK801" i="1"/>
  <c r="CJ801" i="1"/>
  <c r="CI801" i="1"/>
  <c r="CH801" i="1"/>
  <c r="CG801" i="1"/>
  <c r="CF801" i="1"/>
  <c r="CD801" i="1"/>
  <c r="CC801" i="1"/>
  <c r="CB801" i="1"/>
  <c r="CA801" i="1"/>
  <c r="BZ801" i="1"/>
  <c r="BY801" i="1"/>
  <c r="BX801" i="1"/>
  <c r="BU801" i="1"/>
  <c r="BN801" i="1"/>
  <c r="BS801" i="1" s="1"/>
  <c r="BA801" i="1"/>
  <c r="AZ801" i="1"/>
  <c r="AY801" i="1"/>
  <c r="AX801" i="1"/>
  <c r="AW801" i="1"/>
  <c r="AV801" i="1"/>
  <c r="AT801" i="1"/>
  <c r="AS801" i="1"/>
  <c r="CS800" i="1"/>
  <c r="CR800" i="1"/>
  <c r="CQ800" i="1"/>
  <c r="CP800" i="1"/>
  <c r="CO800" i="1"/>
  <c r="CN800" i="1"/>
  <c r="CL800" i="1"/>
  <c r="CK800" i="1"/>
  <c r="CJ800" i="1"/>
  <c r="CI800" i="1"/>
  <c r="CH800" i="1"/>
  <c r="CG800" i="1"/>
  <c r="CF800" i="1"/>
  <c r="CD800" i="1"/>
  <c r="CC800" i="1"/>
  <c r="CB800" i="1"/>
  <c r="CA800" i="1"/>
  <c r="BZ800" i="1"/>
  <c r="BY800" i="1"/>
  <c r="BX800" i="1"/>
  <c r="BU800" i="1"/>
  <c r="BN800" i="1"/>
  <c r="BS800" i="1" s="1"/>
  <c r="BA800" i="1"/>
  <c r="AZ800" i="1"/>
  <c r="AY800" i="1"/>
  <c r="AX800" i="1"/>
  <c r="AW800" i="1"/>
  <c r="AV800" i="1"/>
  <c r="AT800" i="1"/>
  <c r="AS800" i="1"/>
  <c r="CS799" i="1"/>
  <c r="CR799" i="1"/>
  <c r="CQ799" i="1"/>
  <c r="CP799" i="1"/>
  <c r="CO799" i="1"/>
  <c r="CN799" i="1"/>
  <c r="CL799" i="1"/>
  <c r="CK799" i="1"/>
  <c r="CJ799" i="1"/>
  <c r="CI799" i="1"/>
  <c r="CH799" i="1"/>
  <c r="CG799" i="1"/>
  <c r="CF799" i="1"/>
  <c r="CD799" i="1"/>
  <c r="CC799" i="1"/>
  <c r="CB799" i="1"/>
  <c r="CA799" i="1"/>
  <c r="BZ799" i="1"/>
  <c r="BY799" i="1"/>
  <c r="BX799" i="1"/>
  <c r="BU799" i="1"/>
  <c r="BN799" i="1"/>
  <c r="BS799" i="1" s="1"/>
  <c r="BA799" i="1"/>
  <c r="AZ799" i="1"/>
  <c r="AY799" i="1"/>
  <c r="AX799" i="1"/>
  <c r="AW799" i="1"/>
  <c r="AV799" i="1"/>
  <c r="AT799" i="1"/>
  <c r="AS799" i="1"/>
  <c r="CS798" i="1"/>
  <c r="CR798" i="1"/>
  <c r="CQ798" i="1"/>
  <c r="CP798" i="1"/>
  <c r="CO798" i="1"/>
  <c r="CN798" i="1"/>
  <c r="CL798" i="1"/>
  <c r="CK798" i="1"/>
  <c r="CJ798" i="1"/>
  <c r="CI798" i="1"/>
  <c r="CH798" i="1"/>
  <c r="CG798" i="1"/>
  <c r="CF798" i="1"/>
  <c r="CD798" i="1"/>
  <c r="CC798" i="1"/>
  <c r="CB798" i="1"/>
  <c r="CA798" i="1"/>
  <c r="BZ798" i="1"/>
  <c r="BY798" i="1"/>
  <c r="BX798" i="1"/>
  <c r="BU798" i="1"/>
  <c r="BN798" i="1"/>
  <c r="BS798" i="1" s="1"/>
  <c r="BA798" i="1"/>
  <c r="AZ798" i="1"/>
  <c r="AY798" i="1"/>
  <c r="AX798" i="1"/>
  <c r="AW798" i="1"/>
  <c r="AV798" i="1"/>
  <c r="AT798" i="1"/>
  <c r="AS798" i="1"/>
  <c r="CS797" i="1"/>
  <c r="CR797" i="1"/>
  <c r="CQ797" i="1"/>
  <c r="CP797" i="1"/>
  <c r="CO797" i="1"/>
  <c r="CN797" i="1"/>
  <c r="CL797" i="1"/>
  <c r="CK797" i="1"/>
  <c r="CJ797" i="1"/>
  <c r="CI797" i="1"/>
  <c r="CH797" i="1"/>
  <c r="CG797" i="1"/>
  <c r="CF797" i="1"/>
  <c r="CD797" i="1"/>
  <c r="CC797" i="1"/>
  <c r="CB797" i="1"/>
  <c r="CA797" i="1"/>
  <c r="BZ797" i="1"/>
  <c r="BY797" i="1"/>
  <c r="BX797" i="1"/>
  <c r="BU797" i="1"/>
  <c r="BN797" i="1"/>
  <c r="BS797" i="1" s="1"/>
  <c r="BA797" i="1"/>
  <c r="AZ797" i="1"/>
  <c r="AY797" i="1"/>
  <c r="AX797" i="1"/>
  <c r="AW797" i="1"/>
  <c r="AV797" i="1"/>
  <c r="AT797" i="1"/>
  <c r="AS797" i="1"/>
  <c r="CS796" i="1"/>
  <c r="CR796" i="1"/>
  <c r="CQ796" i="1"/>
  <c r="CP796" i="1"/>
  <c r="CO796" i="1"/>
  <c r="CN796" i="1"/>
  <c r="CL796" i="1"/>
  <c r="CK796" i="1"/>
  <c r="CJ796" i="1"/>
  <c r="CI796" i="1"/>
  <c r="CH796" i="1"/>
  <c r="CG796" i="1"/>
  <c r="CF796" i="1"/>
  <c r="CD796" i="1"/>
  <c r="CC796" i="1"/>
  <c r="CB796" i="1"/>
  <c r="CA796" i="1"/>
  <c r="BZ796" i="1"/>
  <c r="BY796" i="1"/>
  <c r="BX796" i="1"/>
  <c r="BU796" i="1"/>
  <c r="BN796" i="1"/>
  <c r="BS796" i="1" s="1"/>
  <c r="BA796" i="1"/>
  <c r="AZ796" i="1"/>
  <c r="AY796" i="1"/>
  <c r="AX796" i="1"/>
  <c r="AW796" i="1"/>
  <c r="AV796" i="1"/>
  <c r="AT796" i="1"/>
  <c r="AS796" i="1"/>
  <c r="CS795" i="1"/>
  <c r="CR795" i="1"/>
  <c r="CQ795" i="1"/>
  <c r="CP795" i="1"/>
  <c r="CO795" i="1"/>
  <c r="CN795" i="1"/>
  <c r="CL795" i="1"/>
  <c r="CK795" i="1"/>
  <c r="CJ795" i="1"/>
  <c r="CI795" i="1"/>
  <c r="CH795" i="1"/>
  <c r="CG795" i="1"/>
  <c r="CF795" i="1"/>
  <c r="CD795" i="1"/>
  <c r="CC795" i="1"/>
  <c r="CB795" i="1"/>
  <c r="CA795" i="1"/>
  <c r="BZ795" i="1"/>
  <c r="BY795" i="1"/>
  <c r="BX795" i="1"/>
  <c r="BU795" i="1"/>
  <c r="BN795" i="1"/>
  <c r="BS795" i="1" s="1"/>
  <c r="BA795" i="1"/>
  <c r="AZ795" i="1"/>
  <c r="AY795" i="1"/>
  <c r="AX795" i="1"/>
  <c r="AW795" i="1"/>
  <c r="AV795" i="1"/>
  <c r="AT795" i="1"/>
  <c r="AS795" i="1"/>
  <c r="CS794" i="1"/>
  <c r="CR794" i="1"/>
  <c r="CQ794" i="1"/>
  <c r="CP794" i="1"/>
  <c r="CO794" i="1"/>
  <c r="CN794" i="1"/>
  <c r="CL794" i="1"/>
  <c r="CK794" i="1"/>
  <c r="CJ794" i="1"/>
  <c r="CI794" i="1"/>
  <c r="CH794" i="1"/>
  <c r="CG794" i="1"/>
  <c r="CF794" i="1"/>
  <c r="CD794" i="1"/>
  <c r="CC794" i="1"/>
  <c r="CB794" i="1"/>
  <c r="CA794" i="1"/>
  <c r="BZ794" i="1"/>
  <c r="BY794" i="1"/>
  <c r="BX794" i="1"/>
  <c r="BU794" i="1"/>
  <c r="BN794" i="1"/>
  <c r="BS794" i="1" s="1"/>
  <c r="BA794" i="1"/>
  <c r="AZ794" i="1"/>
  <c r="AY794" i="1"/>
  <c r="AX794" i="1"/>
  <c r="AW794" i="1"/>
  <c r="AV794" i="1"/>
  <c r="AT794" i="1"/>
  <c r="AS794" i="1"/>
  <c r="CS793" i="1"/>
  <c r="CR793" i="1"/>
  <c r="CQ793" i="1"/>
  <c r="CP793" i="1"/>
  <c r="CO793" i="1"/>
  <c r="CN793" i="1"/>
  <c r="CL793" i="1"/>
  <c r="CK793" i="1"/>
  <c r="CJ793" i="1"/>
  <c r="CI793" i="1"/>
  <c r="CH793" i="1"/>
  <c r="CG793" i="1"/>
  <c r="CF793" i="1"/>
  <c r="CD793" i="1"/>
  <c r="CC793" i="1"/>
  <c r="CB793" i="1"/>
  <c r="CA793" i="1"/>
  <c r="BZ793" i="1"/>
  <c r="BY793" i="1"/>
  <c r="BX793" i="1"/>
  <c r="BU793" i="1"/>
  <c r="BN793" i="1"/>
  <c r="BS793" i="1" s="1"/>
  <c r="BA793" i="1"/>
  <c r="AZ793" i="1"/>
  <c r="AY793" i="1"/>
  <c r="AX793" i="1"/>
  <c r="AW793" i="1"/>
  <c r="AV793" i="1"/>
  <c r="AT793" i="1"/>
  <c r="AS793" i="1"/>
  <c r="CS792" i="1"/>
  <c r="CR792" i="1"/>
  <c r="CQ792" i="1"/>
  <c r="CP792" i="1"/>
  <c r="CO792" i="1"/>
  <c r="CN792" i="1"/>
  <c r="CL792" i="1"/>
  <c r="CK792" i="1"/>
  <c r="CJ792" i="1"/>
  <c r="CI792" i="1"/>
  <c r="CH792" i="1"/>
  <c r="CG792" i="1"/>
  <c r="CF792" i="1"/>
  <c r="CD792" i="1"/>
  <c r="CC792" i="1"/>
  <c r="CB792" i="1"/>
  <c r="CA792" i="1"/>
  <c r="BZ792" i="1"/>
  <c r="BY792" i="1"/>
  <c r="BX792" i="1"/>
  <c r="BU792" i="1"/>
  <c r="BN792" i="1"/>
  <c r="BS792" i="1" s="1"/>
  <c r="BA792" i="1"/>
  <c r="AZ792" i="1"/>
  <c r="AY792" i="1"/>
  <c r="AX792" i="1"/>
  <c r="AW792" i="1"/>
  <c r="AV792" i="1"/>
  <c r="AT792" i="1"/>
  <c r="AS792" i="1"/>
  <c r="CS791" i="1"/>
  <c r="CR791" i="1"/>
  <c r="CQ791" i="1"/>
  <c r="CP791" i="1"/>
  <c r="CO791" i="1"/>
  <c r="CN791" i="1"/>
  <c r="CL791" i="1"/>
  <c r="CK791" i="1"/>
  <c r="CJ791" i="1"/>
  <c r="CI791" i="1"/>
  <c r="CH791" i="1"/>
  <c r="CG791" i="1"/>
  <c r="CF791" i="1"/>
  <c r="CD791" i="1"/>
  <c r="CC791" i="1"/>
  <c r="CB791" i="1"/>
  <c r="CA791" i="1"/>
  <c r="BZ791" i="1"/>
  <c r="BY791" i="1"/>
  <c r="BX791" i="1"/>
  <c r="BU791" i="1"/>
  <c r="BN791" i="1"/>
  <c r="BS791" i="1" s="1"/>
  <c r="BA791" i="1"/>
  <c r="AZ791" i="1"/>
  <c r="AY791" i="1"/>
  <c r="AX791" i="1"/>
  <c r="AW791" i="1"/>
  <c r="AV791" i="1"/>
  <c r="AT791" i="1"/>
  <c r="AS791" i="1"/>
  <c r="CS790" i="1"/>
  <c r="CR790" i="1"/>
  <c r="CQ790" i="1"/>
  <c r="CP790" i="1"/>
  <c r="CO790" i="1"/>
  <c r="CN790" i="1"/>
  <c r="CL790" i="1"/>
  <c r="CK790" i="1"/>
  <c r="CJ790" i="1"/>
  <c r="CI790" i="1"/>
  <c r="CH790" i="1"/>
  <c r="CG790" i="1"/>
  <c r="CF790" i="1"/>
  <c r="CD790" i="1"/>
  <c r="CC790" i="1"/>
  <c r="CB790" i="1"/>
  <c r="CA790" i="1"/>
  <c r="BZ790" i="1"/>
  <c r="BY790" i="1"/>
  <c r="BX790" i="1"/>
  <c r="BU790" i="1"/>
  <c r="BN790" i="1"/>
  <c r="BS790" i="1" s="1"/>
  <c r="BA790" i="1"/>
  <c r="AZ790" i="1"/>
  <c r="AY790" i="1"/>
  <c r="AX790" i="1"/>
  <c r="AW790" i="1"/>
  <c r="AV790" i="1"/>
  <c r="AT790" i="1"/>
  <c r="AS790" i="1"/>
  <c r="CS789" i="1"/>
  <c r="CR789" i="1"/>
  <c r="CQ789" i="1"/>
  <c r="CP789" i="1"/>
  <c r="CO789" i="1"/>
  <c r="CN789" i="1"/>
  <c r="CL789" i="1"/>
  <c r="CK789" i="1"/>
  <c r="CJ789" i="1"/>
  <c r="CI789" i="1"/>
  <c r="CH789" i="1"/>
  <c r="CG789" i="1"/>
  <c r="CF789" i="1"/>
  <c r="CD789" i="1"/>
  <c r="CC789" i="1"/>
  <c r="CB789" i="1"/>
  <c r="CA789" i="1"/>
  <c r="BZ789" i="1"/>
  <c r="BY789" i="1"/>
  <c r="BX789" i="1"/>
  <c r="BU789" i="1"/>
  <c r="BN789" i="1"/>
  <c r="BS789" i="1" s="1"/>
  <c r="BA789" i="1"/>
  <c r="AZ789" i="1"/>
  <c r="AY789" i="1"/>
  <c r="AX789" i="1"/>
  <c r="AW789" i="1"/>
  <c r="AV789" i="1"/>
  <c r="AT789" i="1"/>
  <c r="AS789" i="1"/>
  <c r="CS788" i="1"/>
  <c r="CR788" i="1"/>
  <c r="CQ788" i="1"/>
  <c r="CP788" i="1"/>
  <c r="CO788" i="1"/>
  <c r="CN788" i="1"/>
  <c r="CL788" i="1"/>
  <c r="CK788" i="1"/>
  <c r="CJ788" i="1"/>
  <c r="CI788" i="1"/>
  <c r="CH788" i="1"/>
  <c r="CG788" i="1"/>
  <c r="CF788" i="1"/>
  <c r="CD788" i="1"/>
  <c r="CC788" i="1"/>
  <c r="CB788" i="1"/>
  <c r="CA788" i="1"/>
  <c r="BZ788" i="1"/>
  <c r="BY788" i="1"/>
  <c r="BX788" i="1"/>
  <c r="BU788" i="1"/>
  <c r="BN788" i="1"/>
  <c r="BS788" i="1" s="1"/>
  <c r="BA788" i="1"/>
  <c r="AZ788" i="1"/>
  <c r="AY788" i="1"/>
  <c r="AX788" i="1"/>
  <c r="AW788" i="1"/>
  <c r="AV788" i="1"/>
  <c r="AT788" i="1"/>
  <c r="AS788" i="1"/>
  <c r="CS787" i="1"/>
  <c r="CR787" i="1"/>
  <c r="CQ787" i="1"/>
  <c r="CP787" i="1"/>
  <c r="CO787" i="1"/>
  <c r="CN787" i="1"/>
  <c r="CL787" i="1"/>
  <c r="CK787" i="1"/>
  <c r="CJ787" i="1"/>
  <c r="CI787" i="1"/>
  <c r="CH787" i="1"/>
  <c r="CG787" i="1"/>
  <c r="CF787" i="1"/>
  <c r="CD787" i="1"/>
  <c r="CC787" i="1"/>
  <c r="CB787" i="1"/>
  <c r="CA787" i="1"/>
  <c r="BZ787" i="1"/>
  <c r="BY787" i="1"/>
  <c r="BX787" i="1"/>
  <c r="BU787" i="1"/>
  <c r="BN787" i="1"/>
  <c r="BS787" i="1" s="1"/>
  <c r="BA787" i="1"/>
  <c r="AZ787" i="1"/>
  <c r="AY787" i="1"/>
  <c r="AX787" i="1"/>
  <c r="AW787" i="1"/>
  <c r="AV787" i="1"/>
  <c r="AT787" i="1"/>
  <c r="AS787" i="1"/>
  <c r="CS786" i="1"/>
  <c r="CR786" i="1"/>
  <c r="CQ786" i="1"/>
  <c r="CP786" i="1"/>
  <c r="CO786" i="1"/>
  <c r="CN786" i="1"/>
  <c r="CL786" i="1"/>
  <c r="CK786" i="1"/>
  <c r="CJ786" i="1"/>
  <c r="CI786" i="1"/>
  <c r="CH786" i="1"/>
  <c r="CG786" i="1"/>
  <c r="CF786" i="1"/>
  <c r="CD786" i="1"/>
  <c r="CC786" i="1"/>
  <c r="CB786" i="1"/>
  <c r="CA786" i="1"/>
  <c r="BZ786" i="1"/>
  <c r="BY786" i="1"/>
  <c r="BX786" i="1"/>
  <c r="BU786" i="1"/>
  <c r="BN786" i="1"/>
  <c r="BS786" i="1" s="1"/>
  <c r="BA786" i="1"/>
  <c r="AZ786" i="1"/>
  <c r="AY786" i="1"/>
  <c r="AX786" i="1"/>
  <c r="AW786" i="1"/>
  <c r="AV786" i="1"/>
  <c r="AT786" i="1"/>
  <c r="AS786" i="1"/>
  <c r="CS785" i="1"/>
  <c r="CR785" i="1"/>
  <c r="CQ785" i="1"/>
  <c r="CP785" i="1"/>
  <c r="CO785" i="1"/>
  <c r="CN785" i="1"/>
  <c r="CL785" i="1"/>
  <c r="CK785" i="1"/>
  <c r="CJ785" i="1"/>
  <c r="CI785" i="1"/>
  <c r="CH785" i="1"/>
  <c r="CG785" i="1"/>
  <c r="CF785" i="1"/>
  <c r="CD785" i="1"/>
  <c r="CC785" i="1"/>
  <c r="CB785" i="1"/>
  <c r="CA785" i="1"/>
  <c r="BZ785" i="1"/>
  <c r="BY785" i="1"/>
  <c r="BX785" i="1"/>
  <c r="BU785" i="1"/>
  <c r="BN785" i="1"/>
  <c r="BS785" i="1" s="1"/>
  <c r="BA785" i="1"/>
  <c r="AZ785" i="1"/>
  <c r="AY785" i="1"/>
  <c r="AX785" i="1"/>
  <c r="AW785" i="1"/>
  <c r="AV785" i="1"/>
  <c r="AT785" i="1"/>
  <c r="AS785" i="1"/>
  <c r="CS784" i="1"/>
  <c r="CR784" i="1"/>
  <c r="CQ784" i="1"/>
  <c r="CP784" i="1"/>
  <c r="CO784" i="1"/>
  <c r="CN784" i="1"/>
  <c r="CL784" i="1"/>
  <c r="CK784" i="1"/>
  <c r="CJ784" i="1"/>
  <c r="CI784" i="1"/>
  <c r="CH784" i="1"/>
  <c r="CG784" i="1"/>
  <c r="CF784" i="1"/>
  <c r="CD784" i="1"/>
  <c r="CC784" i="1"/>
  <c r="CB784" i="1"/>
  <c r="CA784" i="1"/>
  <c r="BZ784" i="1"/>
  <c r="BY784" i="1"/>
  <c r="BX784" i="1"/>
  <c r="BU784" i="1"/>
  <c r="BN784" i="1"/>
  <c r="BS784" i="1" s="1"/>
  <c r="BA784" i="1"/>
  <c r="AZ784" i="1"/>
  <c r="AY784" i="1"/>
  <c r="AX784" i="1"/>
  <c r="AW784" i="1"/>
  <c r="AV784" i="1"/>
  <c r="AT784" i="1"/>
  <c r="AS784" i="1"/>
  <c r="CS783" i="1"/>
  <c r="CR783" i="1"/>
  <c r="CQ783" i="1"/>
  <c r="CP783" i="1"/>
  <c r="CO783" i="1"/>
  <c r="CN783" i="1"/>
  <c r="CL783" i="1"/>
  <c r="CK783" i="1"/>
  <c r="CJ783" i="1"/>
  <c r="CI783" i="1"/>
  <c r="CH783" i="1"/>
  <c r="CG783" i="1"/>
  <c r="CF783" i="1"/>
  <c r="CD783" i="1"/>
  <c r="CC783" i="1"/>
  <c r="CB783" i="1"/>
  <c r="CA783" i="1"/>
  <c r="BZ783" i="1"/>
  <c r="BY783" i="1"/>
  <c r="BX783" i="1"/>
  <c r="BU783" i="1"/>
  <c r="BN783" i="1"/>
  <c r="BS783" i="1" s="1"/>
  <c r="BA783" i="1"/>
  <c r="AZ783" i="1"/>
  <c r="AY783" i="1"/>
  <c r="AX783" i="1"/>
  <c r="AW783" i="1"/>
  <c r="AV783" i="1"/>
  <c r="AT783" i="1"/>
  <c r="AS783" i="1"/>
  <c r="CS782" i="1"/>
  <c r="CR782" i="1"/>
  <c r="CQ782" i="1"/>
  <c r="CP782" i="1"/>
  <c r="CO782" i="1"/>
  <c r="CN782" i="1"/>
  <c r="CL782" i="1"/>
  <c r="CK782" i="1"/>
  <c r="CJ782" i="1"/>
  <c r="CI782" i="1"/>
  <c r="CH782" i="1"/>
  <c r="CG782" i="1"/>
  <c r="CF782" i="1"/>
  <c r="CD782" i="1"/>
  <c r="CC782" i="1"/>
  <c r="CB782" i="1"/>
  <c r="CA782" i="1"/>
  <c r="BZ782" i="1"/>
  <c r="BY782" i="1"/>
  <c r="BX782" i="1"/>
  <c r="BU782" i="1"/>
  <c r="BN782" i="1"/>
  <c r="BS782" i="1" s="1"/>
  <c r="BA782" i="1"/>
  <c r="AZ782" i="1"/>
  <c r="AY782" i="1"/>
  <c r="AX782" i="1"/>
  <c r="AW782" i="1"/>
  <c r="AV782" i="1"/>
  <c r="AT782" i="1"/>
  <c r="AS782" i="1"/>
  <c r="CS781" i="1"/>
  <c r="CR781" i="1"/>
  <c r="CQ781" i="1"/>
  <c r="CP781" i="1"/>
  <c r="CO781" i="1"/>
  <c r="CN781" i="1"/>
  <c r="CL781" i="1"/>
  <c r="CK781" i="1"/>
  <c r="CJ781" i="1"/>
  <c r="CI781" i="1"/>
  <c r="CH781" i="1"/>
  <c r="CG781" i="1"/>
  <c r="CF781" i="1"/>
  <c r="CD781" i="1"/>
  <c r="CC781" i="1"/>
  <c r="CB781" i="1"/>
  <c r="CA781" i="1"/>
  <c r="BZ781" i="1"/>
  <c r="BY781" i="1"/>
  <c r="BX781" i="1"/>
  <c r="BU781" i="1"/>
  <c r="BN781" i="1"/>
  <c r="BS781" i="1" s="1"/>
  <c r="BA781" i="1"/>
  <c r="AZ781" i="1"/>
  <c r="AY781" i="1"/>
  <c r="AX781" i="1"/>
  <c r="AW781" i="1"/>
  <c r="AV781" i="1"/>
  <c r="AT781" i="1"/>
  <c r="AS781" i="1"/>
  <c r="CS780" i="1"/>
  <c r="CR780" i="1"/>
  <c r="CQ780" i="1"/>
  <c r="CP780" i="1"/>
  <c r="CO780" i="1"/>
  <c r="CN780" i="1"/>
  <c r="CL780" i="1"/>
  <c r="CK780" i="1"/>
  <c r="CJ780" i="1"/>
  <c r="CI780" i="1"/>
  <c r="CH780" i="1"/>
  <c r="CG780" i="1"/>
  <c r="CF780" i="1"/>
  <c r="CD780" i="1"/>
  <c r="CC780" i="1"/>
  <c r="CB780" i="1"/>
  <c r="CA780" i="1"/>
  <c r="BZ780" i="1"/>
  <c r="BY780" i="1"/>
  <c r="BX780" i="1"/>
  <c r="BU780" i="1"/>
  <c r="BN780" i="1"/>
  <c r="BS780" i="1" s="1"/>
  <c r="BA780" i="1"/>
  <c r="AZ780" i="1"/>
  <c r="AY780" i="1"/>
  <c r="AX780" i="1"/>
  <c r="AW780" i="1"/>
  <c r="AV780" i="1"/>
  <c r="AT780" i="1"/>
  <c r="AS780" i="1"/>
  <c r="CS779" i="1"/>
  <c r="CR779" i="1"/>
  <c r="CQ779" i="1"/>
  <c r="CP779" i="1"/>
  <c r="CO779" i="1"/>
  <c r="CN779" i="1"/>
  <c r="CL779" i="1"/>
  <c r="CK779" i="1"/>
  <c r="CJ779" i="1"/>
  <c r="CI779" i="1"/>
  <c r="CH779" i="1"/>
  <c r="CG779" i="1"/>
  <c r="CF779" i="1"/>
  <c r="CD779" i="1"/>
  <c r="CC779" i="1"/>
  <c r="CB779" i="1"/>
  <c r="CA779" i="1"/>
  <c r="BZ779" i="1"/>
  <c r="BY779" i="1"/>
  <c r="BX779" i="1"/>
  <c r="BU779" i="1"/>
  <c r="BN779" i="1"/>
  <c r="BS779" i="1" s="1"/>
  <c r="BA779" i="1"/>
  <c r="AZ779" i="1"/>
  <c r="AY779" i="1"/>
  <c r="AX779" i="1"/>
  <c r="AW779" i="1"/>
  <c r="AV779" i="1"/>
  <c r="AT779" i="1"/>
  <c r="AS779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D778" i="1"/>
  <c r="CC778" i="1"/>
  <c r="CB778" i="1"/>
  <c r="CA778" i="1"/>
  <c r="BZ778" i="1"/>
  <c r="BY778" i="1"/>
  <c r="BX778" i="1"/>
  <c r="BU778" i="1"/>
  <c r="BN778" i="1"/>
  <c r="BS778" i="1" s="1"/>
  <c r="BA778" i="1"/>
  <c r="AZ778" i="1"/>
  <c r="AY778" i="1"/>
  <c r="AX778" i="1"/>
  <c r="AW778" i="1"/>
  <c r="AV778" i="1"/>
  <c r="AT778" i="1"/>
  <c r="AS778" i="1"/>
  <c r="CS777" i="1"/>
  <c r="CR777" i="1"/>
  <c r="CQ777" i="1"/>
  <c r="CP777" i="1"/>
  <c r="CO777" i="1"/>
  <c r="CN777" i="1"/>
  <c r="CL777" i="1"/>
  <c r="CK777" i="1"/>
  <c r="CJ777" i="1"/>
  <c r="CI777" i="1"/>
  <c r="CH777" i="1"/>
  <c r="CG777" i="1"/>
  <c r="CF777" i="1"/>
  <c r="CD777" i="1"/>
  <c r="CC777" i="1"/>
  <c r="CB777" i="1"/>
  <c r="CA777" i="1"/>
  <c r="BZ777" i="1"/>
  <c r="BY777" i="1"/>
  <c r="BX777" i="1"/>
  <c r="BU777" i="1"/>
  <c r="BN777" i="1"/>
  <c r="BS777" i="1" s="1"/>
  <c r="BA777" i="1"/>
  <c r="AZ777" i="1"/>
  <c r="AY777" i="1"/>
  <c r="AX777" i="1"/>
  <c r="AW777" i="1"/>
  <c r="AV777" i="1"/>
  <c r="AT777" i="1"/>
  <c r="AS777" i="1"/>
  <c r="CS776" i="1"/>
  <c r="CR776" i="1"/>
  <c r="CQ776" i="1"/>
  <c r="CP776" i="1"/>
  <c r="CO776" i="1"/>
  <c r="CN776" i="1"/>
  <c r="CL776" i="1"/>
  <c r="CK776" i="1"/>
  <c r="CJ776" i="1"/>
  <c r="CI776" i="1"/>
  <c r="CH776" i="1"/>
  <c r="CG776" i="1"/>
  <c r="CF776" i="1"/>
  <c r="CD776" i="1"/>
  <c r="CC776" i="1"/>
  <c r="CB776" i="1"/>
  <c r="CA776" i="1"/>
  <c r="BZ776" i="1"/>
  <c r="BY776" i="1"/>
  <c r="BX776" i="1"/>
  <c r="BU776" i="1"/>
  <c r="BN776" i="1"/>
  <c r="BS776" i="1" s="1"/>
  <c r="BA776" i="1"/>
  <c r="AZ776" i="1"/>
  <c r="AY776" i="1"/>
  <c r="AX776" i="1"/>
  <c r="AW776" i="1"/>
  <c r="AV776" i="1"/>
  <c r="AT776" i="1"/>
  <c r="AS776" i="1"/>
  <c r="CS775" i="1"/>
  <c r="CR775" i="1"/>
  <c r="CQ775" i="1"/>
  <c r="CP775" i="1"/>
  <c r="CO775" i="1"/>
  <c r="CN775" i="1"/>
  <c r="CL775" i="1"/>
  <c r="CK775" i="1"/>
  <c r="CJ775" i="1"/>
  <c r="CI775" i="1"/>
  <c r="CH775" i="1"/>
  <c r="CG775" i="1"/>
  <c r="CF775" i="1"/>
  <c r="CD775" i="1"/>
  <c r="CC775" i="1"/>
  <c r="CB775" i="1"/>
  <c r="CA775" i="1"/>
  <c r="BZ775" i="1"/>
  <c r="BY775" i="1"/>
  <c r="BX775" i="1"/>
  <c r="BU775" i="1"/>
  <c r="BN775" i="1"/>
  <c r="BS775" i="1" s="1"/>
  <c r="BA775" i="1"/>
  <c r="AZ775" i="1"/>
  <c r="AY775" i="1"/>
  <c r="AX775" i="1"/>
  <c r="AW775" i="1"/>
  <c r="AV775" i="1"/>
  <c r="AT775" i="1"/>
  <c r="AS775" i="1"/>
  <c r="CS774" i="1"/>
  <c r="CR774" i="1"/>
  <c r="CQ774" i="1"/>
  <c r="CP774" i="1"/>
  <c r="CO774" i="1"/>
  <c r="CN774" i="1"/>
  <c r="CL774" i="1"/>
  <c r="CK774" i="1"/>
  <c r="CJ774" i="1"/>
  <c r="CI774" i="1"/>
  <c r="CH774" i="1"/>
  <c r="CG774" i="1"/>
  <c r="CF774" i="1"/>
  <c r="CD774" i="1"/>
  <c r="CC774" i="1"/>
  <c r="CB774" i="1"/>
  <c r="CA774" i="1"/>
  <c r="BZ774" i="1"/>
  <c r="BY774" i="1"/>
  <c r="BX774" i="1"/>
  <c r="BU774" i="1"/>
  <c r="BN774" i="1"/>
  <c r="BS774" i="1" s="1"/>
  <c r="BA774" i="1"/>
  <c r="AZ774" i="1"/>
  <c r="AY774" i="1"/>
  <c r="AX774" i="1"/>
  <c r="AW774" i="1"/>
  <c r="AV774" i="1"/>
  <c r="AT774" i="1"/>
  <c r="AS774" i="1"/>
  <c r="CS773" i="1"/>
  <c r="CR773" i="1"/>
  <c r="CQ773" i="1"/>
  <c r="CP773" i="1"/>
  <c r="CO773" i="1"/>
  <c r="CN773" i="1"/>
  <c r="CL773" i="1"/>
  <c r="CK773" i="1"/>
  <c r="CJ773" i="1"/>
  <c r="CI773" i="1"/>
  <c r="CH773" i="1"/>
  <c r="CG773" i="1"/>
  <c r="CF773" i="1"/>
  <c r="CD773" i="1"/>
  <c r="CC773" i="1"/>
  <c r="CB773" i="1"/>
  <c r="CA773" i="1"/>
  <c r="BZ773" i="1"/>
  <c r="BY773" i="1"/>
  <c r="BX773" i="1"/>
  <c r="BU773" i="1"/>
  <c r="BN773" i="1"/>
  <c r="BS773" i="1" s="1"/>
  <c r="BA773" i="1"/>
  <c r="AZ773" i="1"/>
  <c r="AY773" i="1"/>
  <c r="AX773" i="1"/>
  <c r="AW773" i="1"/>
  <c r="AV773" i="1"/>
  <c r="AT773" i="1"/>
  <c r="AS773" i="1"/>
  <c r="CS772" i="1"/>
  <c r="CR772" i="1"/>
  <c r="CQ772" i="1"/>
  <c r="CP772" i="1"/>
  <c r="CO772" i="1"/>
  <c r="CN772" i="1"/>
  <c r="CL772" i="1"/>
  <c r="CK772" i="1"/>
  <c r="CJ772" i="1"/>
  <c r="CI772" i="1"/>
  <c r="CH772" i="1"/>
  <c r="CG772" i="1"/>
  <c r="CF772" i="1"/>
  <c r="CD772" i="1"/>
  <c r="CC772" i="1"/>
  <c r="CB772" i="1"/>
  <c r="CA772" i="1"/>
  <c r="BZ772" i="1"/>
  <c r="BY772" i="1"/>
  <c r="BX772" i="1"/>
  <c r="BU772" i="1"/>
  <c r="BN772" i="1"/>
  <c r="BS772" i="1" s="1"/>
  <c r="BA772" i="1"/>
  <c r="AZ772" i="1"/>
  <c r="AY772" i="1"/>
  <c r="AX772" i="1"/>
  <c r="AW772" i="1"/>
  <c r="AV772" i="1"/>
  <c r="AT772" i="1"/>
  <c r="AS772" i="1"/>
  <c r="CS771" i="1"/>
  <c r="CR771" i="1"/>
  <c r="CQ771" i="1"/>
  <c r="CP771" i="1"/>
  <c r="CO771" i="1"/>
  <c r="CN771" i="1"/>
  <c r="CL771" i="1"/>
  <c r="CK771" i="1"/>
  <c r="CJ771" i="1"/>
  <c r="CI771" i="1"/>
  <c r="CH771" i="1"/>
  <c r="CG771" i="1"/>
  <c r="CF771" i="1"/>
  <c r="CD771" i="1"/>
  <c r="CC771" i="1"/>
  <c r="CB771" i="1"/>
  <c r="CA771" i="1"/>
  <c r="BZ771" i="1"/>
  <c r="BY771" i="1"/>
  <c r="BX771" i="1"/>
  <c r="BU771" i="1"/>
  <c r="BN771" i="1"/>
  <c r="BS771" i="1" s="1"/>
  <c r="BA771" i="1"/>
  <c r="AZ771" i="1"/>
  <c r="AY771" i="1"/>
  <c r="AX771" i="1"/>
  <c r="AW771" i="1"/>
  <c r="AV771" i="1"/>
  <c r="AT771" i="1"/>
  <c r="AS771" i="1"/>
  <c r="CS770" i="1"/>
  <c r="CR770" i="1"/>
  <c r="CQ770" i="1"/>
  <c r="CP770" i="1"/>
  <c r="CO770" i="1"/>
  <c r="CN770" i="1"/>
  <c r="CL770" i="1"/>
  <c r="CK770" i="1"/>
  <c r="CJ770" i="1"/>
  <c r="CI770" i="1"/>
  <c r="CH770" i="1"/>
  <c r="CG770" i="1"/>
  <c r="CF770" i="1"/>
  <c r="CD770" i="1"/>
  <c r="CC770" i="1"/>
  <c r="CB770" i="1"/>
  <c r="CA770" i="1"/>
  <c r="BZ770" i="1"/>
  <c r="BY770" i="1"/>
  <c r="BX770" i="1"/>
  <c r="BU770" i="1"/>
  <c r="BN770" i="1"/>
  <c r="BS770" i="1" s="1"/>
  <c r="BA770" i="1"/>
  <c r="AZ770" i="1"/>
  <c r="AY770" i="1"/>
  <c r="AX770" i="1"/>
  <c r="AW770" i="1"/>
  <c r="AV770" i="1"/>
  <c r="AT770" i="1"/>
  <c r="AS770" i="1"/>
  <c r="CS769" i="1"/>
  <c r="CR769" i="1"/>
  <c r="CQ769" i="1"/>
  <c r="CP769" i="1"/>
  <c r="CO769" i="1"/>
  <c r="CN769" i="1"/>
  <c r="CL769" i="1"/>
  <c r="CK769" i="1"/>
  <c r="CJ769" i="1"/>
  <c r="CI769" i="1"/>
  <c r="CH769" i="1"/>
  <c r="CG769" i="1"/>
  <c r="CF769" i="1"/>
  <c r="CD769" i="1"/>
  <c r="CC769" i="1"/>
  <c r="CB769" i="1"/>
  <c r="CA769" i="1"/>
  <c r="BZ769" i="1"/>
  <c r="BY769" i="1"/>
  <c r="BX769" i="1"/>
  <c r="BU769" i="1"/>
  <c r="BN769" i="1"/>
  <c r="BS769" i="1" s="1"/>
  <c r="BA769" i="1"/>
  <c r="AZ769" i="1"/>
  <c r="AY769" i="1"/>
  <c r="AX769" i="1"/>
  <c r="AW769" i="1"/>
  <c r="AV769" i="1"/>
  <c r="AT769" i="1"/>
  <c r="AS769" i="1"/>
  <c r="CS768" i="1"/>
  <c r="CR768" i="1"/>
  <c r="CQ768" i="1"/>
  <c r="CP768" i="1"/>
  <c r="CO768" i="1"/>
  <c r="CN768" i="1"/>
  <c r="CL768" i="1"/>
  <c r="CK768" i="1"/>
  <c r="CJ768" i="1"/>
  <c r="CI768" i="1"/>
  <c r="CH768" i="1"/>
  <c r="CG768" i="1"/>
  <c r="CF768" i="1"/>
  <c r="CD768" i="1"/>
  <c r="CC768" i="1"/>
  <c r="CB768" i="1"/>
  <c r="CA768" i="1"/>
  <c r="BZ768" i="1"/>
  <c r="BY768" i="1"/>
  <c r="BX768" i="1"/>
  <c r="BU768" i="1"/>
  <c r="BN768" i="1"/>
  <c r="BS768" i="1" s="1"/>
  <c r="BA768" i="1"/>
  <c r="AZ768" i="1"/>
  <c r="AY768" i="1"/>
  <c r="AX768" i="1"/>
  <c r="AW768" i="1"/>
  <c r="AV768" i="1"/>
  <c r="AT768" i="1"/>
  <c r="AS768" i="1"/>
  <c r="CS767" i="1"/>
  <c r="CR767" i="1"/>
  <c r="CQ767" i="1"/>
  <c r="CP767" i="1"/>
  <c r="CO767" i="1"/>
  <c r="CN767" i="1"/>
  <c r="CL767" i="1"/>
  <c r="CK767" i="1"/>
  <c r="CJ767" i="1"/>
  <c r="CI767" i="1"/>
  <c r="CH767" i="1"/>
  <c r="CG767" i="1"/>
  <c r="CF767" i="1"/>
  <c r="CD767" i="1"/>
  <c r="CC767" i="1"/>
  <c r="CB767" i="1"/>
  <c r="CA767" i="1"/>
  <c r="BZ767" i="1"/>
  <c r="BY767" i="1"/>
  <c r="BX767" i="1"/>
  <c r="BU767" i="1"/>
  <c r="BN767" i="1"/>
  <c r="BS767" i="1" s="1"/>
  <c r="BA767" i="1"/>
  <c r="AZ767" i="1"/>
  <c r="AY767" i="1"/>
  <c r="AX767" i="1"/>
  <c r="AW767" i="1"/>
  <c r="AV767" i="1"/>
  <c r="AT767" i="1"/>
  <c r="AS767" i="1"/>
  <c r="CS766" i="1"/>
  <c r="CR766" i="1"/>
  <c r="CQ766" i="1"/>
  <c r="CP766" i="1"/>
  <c r="CO766" i="1"/>
  <c r="CN766" i="1"/>
  <c r="CL766" i="1"/>
  <c r="CK766" i="1"/>
  <c r="CJ766" i="1"/>
  <c r="CI766" i="1"/>
  <c r="CH766" i="1"/>
  <c r="CG766" i="1"/>
  <c r="CF766" i="1"/>
  <c r="CD766" i="1"/>
  <c r="CC766" i="1"/>
  <c r="CB766" i="1"/>
  <c r="CA766" i="1"/>
  <c r="BZ766" i="1"/>
  <c r="BY766" i="1"/>
  <c r="BX766" i="1"/>
  <c r="BU766" i="1"/>
  <c r="BN766" i="1"/>
  <c r="BS766" i="1" s="1"/>
  <c r="BA766" i="1"/>
  <c r="AZ766" i="1"/>
  <c r="AY766" i="1"/>
  <c r="AX766" i="1"/>
  <c r="AW766" i="1"/>
  <c r="AV766" i="1"/>
  <c r="AT766" i="1"/>
  <c r="AS766" i="1"/>
  <c r="CS765" i="1"/>
  <c r="CR765" i="1"/>
  <c r="CQ765" i="1"/>
  <c r="CP765" i="1"/>
  <c r="CO765" i="1"/>
  <c r="CN765" i="1"/>
  <c r="CL765" i="1"/>
  <c r="CK765" i="1"/>
  <c r="CJ765" i="1"/>
  <c r="CI765" i="1"/>
  <c r="CH765" i="1"/>
  <c r="CG765" i="1"/>
  <c r="CF765" i="1"/>
  <c r="CD765" i="1"/>
  <c r="CC765" i="1"/>
  <c r="CB765" i="1"/>
  <c r="CA765" i="1"/>
  <c r="BZ765" i="1"/>
  <c r="BY765" i="1"/>
  <c r="BX765" i="1"/>
  <c r="BU765" i="1"/>
  <c r="BN765" i="1"/>
  <c r="BS765" i="1" s="1"/>
  <c r="BA765" i="1"/>
  <c r="AZ765" i="1"/>
  <c r="AY765" i="1"/>
  <c r="AX765" i="1"/>
  <c r="AW765" i="1"/>
  <c r="AV765" i="1"/>
  <c r="AT765" i="1"/>
  <c r="AS765" i="1"/>
  <c r="CS764" i="1"/>
  <c r="CR764" i="1"/>
  <c r="CQ764" i="1"/>
  <c r="CP764" i="1"/>
  <c r="CO764" i="1"/>
  <c r="CN764" i="1"/>
  <c r="CL764" i="1"/>
  <c r="CK764" i="1"/>
  <c r="CJ764" i="1"/>
  <c r="CI764" i="1"/>
  <c r="CH764" i="1"/>
  <c r="CG764" i="1"/>
  <c r="CF764" i="1"/>
  <c r="CD764" i="1"/>
  <c r="CC764" i="1"/>
  <c r="CB764" i="1"/>
  <c r="CA764" i="1"/>
  <c r="BZ764" i="1"/>
  <c r="BY764" i="1"/>
  <c r="BX764" i="1"/>
  <c r="BU764" i="1"/>
  <c r="BN764" i="1"/>
  <c r="BS764" i="1" s="1"/>
  <c r="BA764" i="1"/>
  <c r="AZ764" i="1"/>
  <c r="AY764" i="1"/>
  <c r="AX764" i="1"/>
  <c r="AW764" i="1"/>
  <c r="AV764" i="1"/>
  <c r="AT764" i="1"/>
  <c r="AS764" i="1"/>
  <c r="CS763" i="1"/>
  <c r="CR763" i="1"/>
  <c r="CQ763" i="1"/>
  <c r="CP763" i="1"/>
  <c r="CO763" i="1"/>
  <c r="CN763" i="1"/>
  <c r="CL763" i="1"/>
  <c r="CK763" i="1"/>
  <c r="CJ763" i="1"/>
  <c r="CI763" i="1"/>
  <c r="CH763" i="1"/>
  <c r="CG763" i="1"/>
  <c r="CF763" i="1"/>
  <c r="CD763" i="1"/>
  <c r="CC763" i="1"/>
  <c r="CB763" i="1"/>
  <c r="CA763" i="1"/>
  <c r="BZ763" i="1"/>
  <c r="BY763" i="1"/>
  <c r="BX763" i="1"/>
  <c r="BU763" i="1"/>
  <c r="BN763" i="1"/>
  <c r="BS763" i="1" s="1"/>
  <c r="BA763" i="1"/>
  <c r="AZ763" i="1"/>
  <c r="AY763" i="1"/>
  <c r="AX763" i="1"/>
  <c r="AW763" i="1"/>
  <c r="AV763" i="1"/>
  <c r="AT763" i="1"/>
  <c r="AS763" i="1"/>
  <c r="CS762" i="1"/>
  <c r="CR762" i="1"/>
  <c r="CQ762" i="1"/>
  <c r="CP762" i="1"/>
  <c r="CO762" i="1"/>
  <c r="CN762" i="1"/>
  <c r="CL762" i="1"/>
  <c r="CK762" i="1"/>
  <c r="CJ762" i="1"/>
  <c r="CI762" i="1"/>
  <c r="CH762" i="1"/>
  <c r="CG762" i="1"/>
  <c r="CF762" i="1"/>
  <c r="CD762" i="1"/>
  <c r="CC762" i="1"/>
  <c r="CB762" i="1"/>
  <c r="CA762" i="1"/>
  <c r="BZ762" i="1"/>
  <c r="BY762" i="1"/>
  <c r="BX762" i="1"/>
  <c r="BU762" i="1"/>
  <c r="BN762" i="1"/>
  <c r="BS762" i="1" s="1"/>
  <c r="BA762" i="1"/>
  <c r="AZ762" i="1"/>
  <c r="AY762" i="1"/>
  <c r="AX762" i="1"/>
  <c r="AW762" i="1"/>
  <c r="AV762" i="1"/>
  <c r="AT762" i="1"/>
  <c r="AS762" i="1"/>
  <c r="CS761" i="1"/>
  <c r="CR761" i="1"/>
  <c r="CQ761" i="1"/>
  <c r="CP761" i="1"/>
  <c r="CO761" i="1"/>
  <c r="CN761" i="1"/>
  <c r="CL761" i="1"/>
  <c r="CK761" i="1"/>
  <c r="CJ761" i="1"/>
  <c r="CI761" i="1"/>
  <c r="CH761" i="1"/>
  <c r="CG761" i="1"/>
  <c r="CF761" i="1"/>
  <c r="CD761" i="1"/>
  <c r="CC761" i="1"/>
  <c r="CB761" i="1"/>
  <c r="CA761" i="1"/>
  <c r="BZ761" i="1"/>
  <c r="BY761" i="1"/>
  <c r="BX761" i="1"/>
  <c r="BU761" i="1"/>
  <c r="BN761" i="1"/>
  <c r="BS761" i="1" s="1"/>
  <c r="BA761" i="1"/>
  <c r="AZ761" i="1"/>
  <c r="AY761" i="1"/>
  <c r="AX761" i="1"/>
  <c r="AW761" i="1"/>
  <c r="AV761" i="1"/>
  <c r="AT761" i="1"/>
  <c r="AS761" i="1"/>
  <c r="CS760" i="1"/>
  <c r="CR760" i="1"/>
  <c r="CQ760" i="1"/>
  <c r="CP760" i="1"/>
  <c r="CO760" i="1"/>
  <c r="CN760" i="1"/>
  <c r="CL760" i="1"/>
  <c r="CK760" i="1"/>
  <c r="CJ760" i="1"/>
  <c r="CI760" i="1"/>
  <c r="CH760" i="1"/>
  <c r="CG760" i="1"/>
  <c r="CF760" i="1"/>
  <c r="CD760" i="1"/>
  <c r="CC760" i="1"/>
  <c r="CB760" i="1"/>
  <c r="CA760" i="1"/>
  <c r="BZ760" i="1"/>
  <c r="BY760" i="1"/>
  <c r="BX760" i="1"/>
  <c r="BU760" i="1"/>
  <c r="BN760" i="1"/>
  <c r="BS760" i="1" s="1"/>
  <c r="BA760" i="1"/>
  <c r="AZ760" i="1"/>
  <c r="AY760" i="1"/>
  <c r="AX760" i="1"/>
  <c r="AW760" i="1"/>
  <c r="AV760" i="1"/>
  <c r="AT760" i="1"/>
  <c r="AS760" i="1"/>
  <c r="CS759" i="1"/>
  <c r="CR759" i="1"/>
  <c r="CQ759" i="1"/>
  <c r="CP759" i="1"/>
  <c r="CO759" i="1"/>
  <c r="CN759" i="1"/>
  <c r="CL759" i="1"/>
  <c r="CK759" i="1"/>
  <c r="CJ759" i="1"/>
  <c r="CI759" i="1"/>
  <c r="CH759" i="1"/>
  <c r="CG759" i="1"/>
  <c r="CF759" i="1"/>
  <c r="CD759" i="1"/>
  <c r="CC759" i="1"/>
  <c r="CB759" i="1"/>
  <c r="CA759" i="1"/>
  <c r="BZ759" i="1"/>
  <c r="BY759" i="1"/>
  <c r="BX759" i="1"/>
  <c r="BU759" i="1"/>
  <c r="BN759" i="1"/>
  <c r="BS759" i="1" s="1"/>
  <c r="BA759" i="1"/>
  <c r="AZ759" i="1"/>
  <c r="AY759" i="1"/>
  <c r="AX759" i="1"/>
  <c r="AW759" i="1"/>
  <c r="AV759" i="1"/>
  <c r="AT759" i="1"/>
  <c r="AS759" i="1"/>
  <c r="CS758" i="1"/>
  <c r="CR758" i="1"/>
  <c r="CQ758" i="1"/>
  <c r="CP758" i="1"/>
  <c r="CO758" i="1"/>
  <c r="CN758" i="1"/>
  <c r="CL758" i="1"/>
  <c r="CK758" i="1"/>
  <c r="CJ758" i="1"/>
  <c r="CI758" i="1"/>
  <c r="CH758" i="1"/>
  <c r="CG758" i="1"/>
  <c r="CF758" i="1"/>
  <c r="CD758" i="1"/>
  <c r="CC758" i="1"/>
  <c r="CB758" i="1"/>
  <c r="CA758" i="1"/>
  <c r="BZ758" i="1"/>
  <c r="BY758" i="1"/>
  <c r="BX758" i="1"/>
  <c r="BU758" i="1"/>
  <c r="BN758" i="1"/>
  <c r="BS758" i="1" s="1"/>
  <c r="BA758" i="1"/>
  <c r="AZ758" i="1"/>
  <c r="AY758" i="1"/>
  <c r="AX758" i="1"/>
  <c r="AW758" i="1"/>
  <c r="AV758" i="1"/>
  <c r="AT758" i="1"/>
  <c r="AS758" i="1"/>
  <c r="CS757" i="1"/>
  <c r="CR757" i="1"/>
  <c r="CQ757" i="1"/>
  <c r="CP757" i="1"/>
  <c r="CO757" i="1"/>
  <c r="CN757" i="1"/>
  <c r="CL757" i="1"/>
  <c r="CK757" i="1"/>
  <c r="CJ757" i="1"/>
  <c r="CI757" i="1"/>
  <c r="CH757" i="1"/>
  <c r="CG757" i="1"/>
  <c r="CF757" i="1"/>
  <c r="CD757" i="1"/>
  <c r="CC757" i="1"/>
  <c r="CB757" i="1"/>
  <c r="CA757" i="1"/>
  <c r="BZ757" i="1"/>
  <c r="BY757" i="1"/>
  <c r="BX757" i="1"/>
  <c r="BU757" i="1"/>
  <c r="BN757" i="1"/>
  <c r="BS757" i="1" s="1"/>
  <c r="BA757" i="1"/>
  <c r="AZ757" i="1"/>
  <c r="AY757" i="1"/>
  <c r="AX757" i="1"/>
  <c r="AW757" i="1"/>
  <c r="AV757" i="1"/>
  <c r="AT757" i="1"/>
  <c r="AS757" i="1"/>
  <c r="CS756" i="1"/>
  <c r="CR756" i="1"/>
  <c r="CQ756" i="1"/>
  <c r="CP756" i="1"/>
  <c r="CO756" i="1"/>
  <c r="CN756" i="1"/>
  <c r="CL756" i="1"/>
  <c r="CK756" i="1"/>
  <c r="CJ756" i="1"/>
  <c r="CI756" i="1"/>
  <c r="CH756" i="1"/>
  <c r="CG756" i="1"/>
  <c r="CF756" i="1"/>
  <c r="CD756" i="1"/>
  <c r="CC756" i="1"/>
  <c r="CB756" i="1"/>
  <c r="CA756" i="1"/>
  <c r="BZ756" i="1"/>
  <c r="BY756" i="1"/>
  <c r="BX756" i="1"/>
  <c r="BU756" i="1"/>
  <c r="BN756" i="1"/>
  <c r="BS756" i="1" s="1"/>
  <c r="BA756" i="1"/>
  <c r="AZ756" i="1"/>
  <c r="AY756" i="1"/>
  <c r="AX756" i="1"/>
  <c r="AW756" i="1"/>
  <c r="AV756" i="1"/>
  <c r="AT756" i="1"/>
  <c r="AS756" i="1"/>
  <c r="CS755" i="1"/>
  <c r="CR755" i="1"/>
  <c r="CQ755" i="1"/>
  <c r="CP755" i="1"/>
  <c r="CO755" i="1"/>
  <c r="CN755" i="1"/>
  <c r="CL755" i="1"/>
  <c r="CK755" i="1"/>
  <c r="CJ755" i="1"/>
  <c r="CI755" i="1"/>
  <c r="CH755" i="1"/>
  <c r="CG755" i="1"/>
  <c r="CF755" i="1"/>
  <c r="CD755" i="1"/>
  <c r="CC755" i="1"/>
  <c r="CB755" i="1"/>
  <c r="CA755" i="1"/>
  <c r="BZ755" i="1"/>
  <c r="BY755" i="1"/>
  <c r="BX755" i="1"/>
  <c r="BU755" i="1"/>
  <c r="BN755" i="1"/>
  <c r="BS755" i="1" s="1"/>
  <c r="BA755" i="1"/>
  <c r="AZ755" i="1"/>
  <c r="AY755" i="1"/>
  <c r="AX755" i="1"/>
  <c r="AW755" i="1"/>
  <c r="AV755" i="1"/>
  <c r="AT755" i="1"/>
  <c r="AS755" i="1"/>
  <c r="CS754" i="1"/>
  <c r="CR754" i="1"/>
  <c r="CQ754" i="1"/>
  <c r="CP754" i="1"/>
  <c r="CO754" i="1"/>
  <c r="CN754" i="1"/>
  <c r="CL754" i="1"/>
  <c r="CK754" i="1"/>
  <c r="CJ754" i="1"/>
  <c r="CI754" i="1"/>
  <c r="CH754" i="1"/>
  <c r="CG754" i="1"/>
  <c r="CF754" i="1"/>
  <c r="CD754" i="1"/>
  <c r="CC754" i="1"/>
  <c r="CB754" i="1"/>
  <c r="CA754" i="1"/>
  <c r="BZ754" i="1"/>
  <c r="BY754" i="1"/>
  <c r="BX754" i="1"/>
  <c r="BU754" i="1"/>
  <c r="BN754" i="1"/>
  <c r="BS754" i="1" s="1"/>
  <c r="BA754" i="1"/>
  <c r="AZ754" i="1"/>
  <c r="AY754" i="1"/>
  <c r="AX754" i="1"/>
  <c r="AW754" i="1"/>
  <c r="AV754" i="1"/>
  <c r="AT754" i="1"/>
  <c r="AS754" i="1"/>
  <c r="CS753" i="1"/>
  <c r="CR753" i="1"/>
  <c r="CQ753" i="1"/>
  <c r="CP753" i="1"/>
  <c r="CO753" i="1"/>
  <c r="CN753" i="1"/>
  <c r="CL753" i="1"/>
  <c r="CK753" i="1"/>
  <c r="CJ753" i="1"/>
  <c r="CI753" i="1"/>
  <c r="CH753" i="1"/>
  <c r="CG753" i="1"/>
  <c r="CF753" i="1"/>
  <c r="CD753" i="1"/>
  <c r="CC753" i="1"/>
  <c r="CB753" i="1"/>
  <c r="CA753" i="1"/>
  <c r="BZ753" i="1"/>
  <c r="BY753" i="1"/>
  <c r="BX753" i="1"/>
  <c r="BU753" i="1"/>
  <c r="BN753" i="1"/>
  <c r="BS753" i="1" s="1"/>
  <c r="BA753" i="1"/>
  <c r="AZ753" i="1"/>
  <c r="AY753" i="1"/>
  <c r="AX753" i="1"/>
  <c r="AW753" i="1"/>
  <c r="AV753" i="1"/>
  <c r="AT753" i="1"/>
  <c r="AS753" i="1"/>
  <c r="CS752" i="1"/>
  <c r="CR752" i="1"/>
  <c r="CQ752" i="1"/>
  <c r="CP752" i="1"/>
  <c r="CO752" i="1"/>
  <c r="CN752" i="1"/>
  <c r="CL752" i="1"/>
  <c r="CK752" i="1"/>
  <c r="CJ752" i="1"/>
  <c r="CI752" i="1"/>
  <c r="CH752" i="1"/>
  <c r="CG752" i="1"/>
  <c r="CF752" i="1"/>
  <c r="CD752" i="1"/>
  <c r="CC752" i="1"/>
  <c r="CB752" i="1"/>
  <c r="CA752" i="1"/>
  <c r="BZ752" i="1"/>
  <c r="BY752" i="1"/>
  <c r="BX752" i="1"/>
  <c r="BU752" i="1"/>
  <c r="BN752" i="1"/>
  <c r="BS752" i="1" s="1"/>
  <c r="BA752" i="1"/>
  <c r="AZ752" i="1"/>
  <c r="AY752" i="1"/>
  <c r="AX752" i="1"/>
  <c r="AW752" i="1"/>
  <c r="AV752" i="1"/>
  <c r="AT752" i="1"/>
  <c r="AS752" i="1"/>
  <c r="CS751" i="1"/>
  <c r="CR751" i="1"/>
  <c r="CQ751" i="1"/>
  <c r="CP751" i="1"/>
  <c r="CO751" i="1"/>
  <c r="CN751" i="1"/>
  <c r="CL751" i="1"/>
  <c r="CK751" i="1"/>
  <c r="CJ751" i="1"/>
  <c r="CI751" i="1"/>
  <c r="CH751" i="1"/>
  <c r="CG751" i="1"/>
  <c r="CF751" i="1"/>
  <c r="CD751" i="1"/>
  <c r="CC751" i="1"/>
  <c r="CB751" i="1"/>
  <c r="CA751" i="1"/>
  <c r="BZ751" i="1"/>
  <c r="BY751" i="1"/>
  <c r="BX751" i="1"/>
  <c r="BU751" i="1"/>
  <c r="BN751" i="1"/>
  <c r="BS751" i="1" s="1"/>
  <c r="BA751" i="1"/>
  <c r="AZ751" i="1"/>
  <c r="AY751" i="1"/>
  <c r="AX751" i="1"/>
  <c r="AW751" i="1"/>
  <c r="AV751" i="1"/>
  <c r="AT751" i="1"/>
  <c r="AS751" i="1"/>
  <c r="CS750" i="1"/>
  <c r="CR750" i="1"/>
  <c r="CQ750" i="1"/>
  <c r="CP750" i="1"/>
  <c r="CO750" i="1"/>
  <c r="CN750" i="1"/>
  <c r="CL750" i="1"/>
  <c r="CK750" i="1"/>
  <c r="CJ750" i="1"/>
  <c r="CI750" i="1"/>
  <c r="CH750" i="1"/>
  <c r="CG750" i="1"/>
  <c r="CF750" i="1"/>
  <c r="CD750" i="1"/>
  <c r="CC750" i="1"/>
  <c r="CB750" i="1"/>
  <c r="CA750" i="1"/>
  <c r="BZ750" i="1"/>
  <c r="BY750" i="1"/>
  <c r="BX750" i="1"/>
  <c r="BU750" i="1"/>
  <c r="BN750" i="1"/>
  <c r="BS750" i="1" s="1"/>
  <c r="BA750" i="1"/>
  <c r="AZ750" i="1"/>
  <c r="AY750" i="1"/>
  <c r="AX750" i="1"/>
  <c r="AW750" i="1"/>
  <c r="AV750" i="1"/>
  <c r="AT750" i="1"/>
  <c r="AS750" i="1"/>
  <c r="CS749" i="1"/>
  <c r="CR749" i="1"/>
  <c r="CQ749" i="1"/>
  <c r="CP749" i="1"/>
  <c r="CO749" i="1"/>
  <c r="CN749" i="1"/>
  <c r="CL749" i="1"/>
  <c r="CK749" i="1"/>
  <c r="CJ749" i="1"/>
  <c r="CI749" i="1"/>
  <c r="CH749" i="1"/>
  <c r="CG749" i="1"/>
  <c r="CF749" i="1"/>
  <c r="CD749" i="1"/>
  <c r="CC749" i="1"/>
  <c r="CB749" i="1"/>
  <c r="CA749" i="1"/>
  <c r="BZ749" i="1"/>
  <c r="BY749" i="1"/>
  <c r="BX749" i="1"/>
  <c r="BU749" i="1"/>
  <c r="BN749" i="1"/>
  <c r="BS749" i="1" s="1"/>
  <c r="BA749" i="1"/>
  <c r="AZ749" i="1"/>
  <c r="AY749" i="1"/>
  <c r="AX749" i="1"/>
  <c r="AW749" i="1"/>
  <c r="AV749" i="1"/>
  <c r="AT749" i="1"/>
  <c r="AS749" i="1"/>
  <c r="CS748" i="1"/>
  <c r="CR748" i="1"/>
  <c r="CQ748" i="1"/>
  <c r="CP748" i="1"/>
  <c r="CO748" i="1"/>
  <c r="CN748" i="1"/>
  <c r="CL748" i="1"/>
  <c r="CK748" i="1"/>
  <c r="CJ748" i="1"/>
  <c r="CI748" i="1"/>
  <c r="CH748" i="1"/>
  <c r="CG748" i="1"/>
  <c r="CF748" i="1"/>
  <c r="CD748" i="1"/>
  <c r="CC748" i="1"/>
  <c r="CB748" i="1"/>
  <c r="CA748" i="1"/>
  <c r="BZ748" i="1"/>
  <c r="BY748" i="1"/>
  <c r="BX748" i="1"/>
  <c r="BU748" i="1"/>
  <c r="BN748" i="1"/>
  <c r="BS748" i="1" s="1"/>
  <c r="BA748" i="1"/>
  <c r="AZ748" i="1"/>
  <c r="AY748" i="1"/>
  <c r="AX748" i="1"/>
  <c r="AW748" i="1"/>
  <c r="AV748" i="1"/>
  <c r="AT748" i="1"/>
  <c r="AS748" i="1"/>
  <c r="CS747" i="1"/>
  <c r="CR747" i="1"/>
  <c r="CQ747" i="1"/>
  <c r="CP747" i="1"/>
  <c r="CO747" i="1"/>
  <c r="CN747" i="1"/>
  <c r="CL747" i="1"/>
  <c r="CK747" i="1"/>
  <c r="CJ747" i="1"/>
  <c r="CI747" i="1"/>
  <c r="CH747" i="1"/>
  <c r="CG747" i="1"/>
  <c r="CF747" i="1"/>
  <c r="CD747" i="1"/>
  <c r="CC747" i="1"/>
  <c r="CB747" i="1"/>
  <c r="CA747" i="1"/>
  <c r="BZ747" i="1"/>
  <c r="BY747" i="1"/>
  <c r="BX747" i="1"/>
  <c r="BU747" i="1"/>
  <c r="BN747" i="1"/>
  <c r="BS747" i="1" s="1"/>
  <c r="BA747" i="1"/>
  <c r="AZ747" i="1"/>
  <c r="AY747" i="1"/>
  <c r="AX747" i="1"/>
  <c r="AW747" i="1"/>
  <c r="AV747" i="1"/>
  <c r="AT747" i="1"/>
  <c r="AS747" i="1"/>
  <c r="CS746" i="1"/>
  <c r="CR746" i="1"/>
  <c r="CQ746" i="1"/>
  <c r="CP746" i="1"/>
  <c r="CO746" i="1"/>
  <c r="CN746" i="1"/>
  <c r="CL746" i="1"/>
  <c r="CK746" i="1"/>
  <c r="CJ746" i="1"/>
  <c r="CI746" i="1"/>
  <c r="CH746" i="1"/>
  <c r="CG746" i="1"/>
  <c r="CF746" i="1"/>
  <c r="CD746" i="1"/>
  <c r="CC746" i="1"/>
  <c r="CB746" i="1"/>
  <c r="CA746" i="1"/>
  <c r="BZ746" i="1"/>
  <c r="BY746" i="1"/>
  <c r="BX746" i="1"/>
  <c r="BU746" i="1"/>
  <c r="BN746" i="1"/>
  <c r="BS746" i="1" s="1"/>
  <c r="BA746" i="1"/>
  <c r="AZ746" i="1"/>
  <c r="AY746" i="1"/>
  <c r="AX746" i="1"/>
  <c r="AW746" i="1"/>
  <c r="AV746" i="1"/>
  <c r="AT746" i="1"/>
  <c r="AS746" i="1"/>
  <c r="CS745" i="1"/>
  <c r="CR745" i="1"/>
  <c r="CQ745" i="1"/>
  <c r="CP745" i="1"/>
  <c r="CO745" i="1"/>
  <c r="CN745" i="1"/>
  <c r="CL745" i="1"/>
  <c r="CK745" i="1"/>
  <c r="CJ745" i="1"/>
  <c r="CI745" i="1"/>
  <c r="CH745" i="1"/>
  <c r="CG745" i="1"/>
  <c r="CF745" i="1"/>
  <c r="CD745" i="1"/>
  <c r="CC745" i="1"/>
  <c r="CB745" i="1"/>
  <c r="CA745" i="1"/>
  <c r="BZ745" i="1"/>
  <c r="BY745" i="1"/>
  <c r="BX745" i="1"/>
  <c r="BU745" i="1"/>
  <c r="BN745" i="1"/>
  <c r="BS745" i="1" s="1"/>
  <c r="BA745" i="1"/>
  <c r="AZ745" i="1"/>
  <c r="AY745" i="1"/>
  <c r="AX745" i="1"/>
  <c r="AW745" i="1"/>
  <c r="AV745" i="1"/>
  <c r="AT745" i="1"/>
  <c r="AS745" i="1"/>
  <c r="CS744" i="1"/>
  <c r="CR744" i="1"/>
  <c r="CQ744" i="1"/>
  <c r="CP744" i="1"/>
  <c r="CO744" i="1"/>
  <c r="CN744" i="1"/>
  <c r="CL744" i="1"/>
  <c r="CK744" i="1"/>
  <c r="CJ744" i="1"/>
  <c r="CI744" i="1"/>
  <c r="CH744" i="1"/>
  <c r="CG744" i="1"/>
  <c r="CF744" i="1"/>
  <c r="CD744" i="1"/>
  <c r="CC744" i="1"/>
  <c r="CB744" i="1"/>
  <c r="CA744" i="1"/>
  <c r="BZ744" i="1"/>
  <c r="BY744" i="1"/>
  <c r="BX744" i="1"/>
  <c r="BU744" i="1"/>
  <c r="BN744" i="1"/>
  <c r="BS744" i="1" s="1"/>
  <c r="BA744" i="1"/>
  <c r="AZ744" i="1"/>
  <c r="AY744" i="1"/>
  <c r="AX744" i="1"/>
  <c r="AW744" i="1"/>
  <c r="AV744" i="1"/>
  <c r="AT744" i="1"/>
  <c r="AS744" i="1"/>
  <c r="CS743" i="1"/>
  <c r="CR743" i="1"/>
  <c r="CQ743" i="1"/>
  <c r="CP743" i="1"/>
  <c r="CO743" i="1"/>
  <c r="CN743" i="1"/>
  <c r="CL743" i="1"/>
  <c r="CK743" i="1"/>
  <c r="CJ743" i="1"/>
  <c r="CI743" i="1"/>
  <c r="CH743" i="1"/>
  <c r="CG743" i="1"/>
  <c r="CF743" i="1"/>
  <c r="CD743" i="1"/>
  <c r="CC743" i="1"/>
  <c r="CB743" i="1"/>
  <c r="CA743" i="1"/>
  <c r="BZ743" i="1"/>
  <c r="BY743" i="1"/>
  <c r="BX743" i="1"/>
  <c r="BU743" i="1"/>
  <c r="BN743" i="1"/>
  <c r="BS743" i="1" s="1"/>
  <c r="BA743" i="1"/>
  <c r="AZ743" i="1"/>
  <c r="AY743" i="1"/>
  <c r="AX743" i="1"/>
  <c r="AW743" i="1"/>
  <c r="AV743" i="1"/>
  <c r="AT743" i="1"/>
  <c r="AS743" i="1"/>
  <c r="CS742" i="1"/>
  <c r="CR742" i="1"/>
  <c r="CQ742" i="1"/>
  <c r="CP742" i="1"/>
  <c r="CO742" i="1"/>
  <c r="CN742" i="1"/>
  <c r="CL742" i="1"/>
  <c r="CK742" i="1"/>
  <c r="CJ742" i="1"/>
  <c r="CI742" i="1"/>
  <c r="CH742" i="1"/>
  <c r="CG742" i="1"/>
  <c r="CF742" i="1"/>
  <c r="CD742" i="1"/>
  <c r="CC742" i="1"/>
  <c r="CB742" i="1"/>
  <c r="CA742" i="1"/>
  <c r="BZ742" i="1"/>
  <c r="BY742" i="1"/>
  <c r="BX742" i="1"/>
  <c r="BU742" i="1"/>
  <c r="BN742" i="1"/>
  <c r="BS742" i="1" s="1"/>
  <c r="BA742" i="1"/>
  <c r="AZ742" i="1"/>
  <c r="AY742" i="1"/>
  <c r="AX742" i="1"/>
  <c r="AW742" i="1"/>
  <c r="AV742" i="1"/>
  <c r="AT742" i="1"/>
  <c r="AS742" i="1"/>
  <c r="CS741" i="1"/>
  <c r="CR741" i="1"/>
  <c r="CQ741" i="1"/>
  <c r="CP741" i="1"/>
  <c r="CO741" i="1"/>
  <c r="CN741" i="1"/>
  <c r="CL741" i="1"/>
  <c r="CK741" i="1"/>
  <c r="CJ741" i="1"/>
  <c r="CI741" i="1"/>
  <c r="CH741" i="1"/>
  <c r="CG741" i="1"/>
  <c r="CF741" i="1"/>
  <c r="CD741" i="1"/>
  <c r="CC741" i="1"/>
  <c r="CB741" i="1"/>
  <c r="CA741" i="1"/>
  <c r="BZ741" i="1"/>
  <c r="BY741" i="1"/>
  <c r="BX741" i="1"/>
  <c r="BU741" i="1"/>
  <c r="BN741" i="1"/>
  <c r="BS741" i="1" s="1"/>
  <c r="BA741" i="1"/>
  <c r="AZ741" i="1"/>
  <c r="AY741" i="1"/>
  <c r="AX741" i="1"/>
  <c r="AW741" i="1"/>
  <c r="AV741" i="1"/>
  <c r="AT741" i="1"/>
  <c r="AS741" i="1"/>
  <c r="CS740" i="1"/>
  <c r="CR740" i="1"/>
  <c r="CQ740" i="1"/>
  <c r="CP740" i="1"/>
  <c r="CO740" i="1"/>
  <c r="CN740" i="1"/>
  <c r="CL740" i="1"/>
  <c r="CK740" i="1"/>
  <c r="CJ740" i="1"/>
  <c r="CI740" i="1"/>
  <c r="CH740" i="1"/>
  <c r="CG740" i="1"/>
  <c r="CF740" i="1"/>
  <c r="CD740" i="1"/>
  <c r="CC740" i="1"/>
  <c r="CB740" i="1"/>
  <c r="CA740" i="1"/>
  <c r="BZ740" i="1"/>
  <c r="BY740" i="1"/>
  <c r="BX740" i="1"/>
  <c r="BU740" i="1"/>
  <c r="BN740" i="1"/>
  <c r="BS740" i="1" s="1"/>
  <c r="BA740" i="1"/>
  <c r="AZ740" i="1"/>
  <c r="AY740" i="1"/>
  <c r="AX740" i="1"/>
  <c r="AW740" i="1"/>
  <c r="AV740" i="1"/>
  <c r="AT740" i="1"/>
  <c r="AS740" i="1"/>
  <c r="CS739" i="1"/>
  <c r="CR739" i="1"/>
  <c r="CQ739" i="1"/>
  <c r="CP739" i="1"/>
  <c r="CO739" i="1"/>
  <c r="CN739" i="1"/>
  <c r="CL739" i="1"/>
  <c r="CK739" i="1"/>
  <c r="CJ739" i="1"/>
  <c r="CI739" i="1"/>
  <c r="CH739" i="1"/>
  <c r="CG739" i="1"/>
  <c r="CF739" i="1"/>
  <c r="CD739" i="1"/>
  <c r="CC739" i="1"/>
  <c r="CB739" i="1"/>
  <c r="CA739" i="1"/>
  <c r="BZ739" i="1"/>
  <c r="BY739" i="1"/>
  <c r="BX739" i="1"/>
  <c r="BU739" i="1"/>
  <c r="BN739" i="1"/>
  <c r="BS739" i="1" s="1"/>
  <c r="BA739" i="1"/>
  <c r="AZ739" i="1"/>
  <c r="AY739" i="1"/>
  <c r="AX739" i="1"/>
  <c r="AW739" i="1"/>
  <c r="AV739" i="1"/>
  <c r="AT739" i="1"/>
  <c r="AS739" i="1"/>
  <c r="CS738" i="1"/>
  <c r="CR738" i="1"/>
  <c r="CQ738" i="1"/>
  <c r="CP738" i="1"/>
  <c r="CO738" i="1"/>
  <c r="CN738" i="1"/>
  <c r="CL738" i="1"/>
  <c r="CK738" i="1"/>
  <c r="CJ738" i="1"/>
  <c r="CI738" i="1"/>
  <c r="CH738" i="1"/>
  <c r="CG738" i="1"/>
  <c r="CF738" i="1"/>
  <c r="CD738" i="1"/>
  <c r="CC738" i="1"/>
  <c r="CB738" i="1"/>
  <c r="CA738" i="1"/>
  <c r="BZ738" i="1"/>
  <c r="BY738" i="1"/>
  <c r="BX738" i="1"/>
  <c r="BU738" i="1"/>
  <c r="BN738" i="1"/>
  <c r="BS738" i="1" s="1"/>
  <c r="BA738" i="1"/>
  <c r="AZ738" i="1"/>
  <c r="AY738" i="1"/>
  <c r="AX738" i="1"/>
  <c r="AW738" i="1"/>
  <c r="AV738" i="1"/>
  <c r="AT738" i="1"/>
  <c r="AS738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D737" i="1"/>
  <c r="CC737" i="1"/>
  <c r="CB737" i="1"/>
  <c r="CA737" i="1"/>
  <c r="BZ737" i="1"/>
  <c r="BY737" i="1"/>
  <c r="BX737" i="1"/>
  <c r="BU737" i="1"/>
  <c r="BN737" i="1"/>
  <c r="BS737" i="1" s="1"/>
  <c r="BA737" i="1"/>
  <c r="AZ737" i="1"/>
  <c r="AY737" i="1"/>
  <c r="AX737" i="1"/>
  <c r="AW737" i="1"/>
  <c r="AV737" i="1"/>
  <c r="AT737" i="1"/>
  <c r="AS737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D736" i="1"/>
  <c r="CC736" i="1"/>
  <c r="CB736" i="1"/>
  <c r="CA736" i="1"/>
  <c r="BZ736" i="1"/>
  <c r="BY736" i="1"/>
  <c r="BX736" i="1"/>
  <c r="BU736" i="1"/>
  <c r="BN736" i="1"/>
  <c r="BS736" i="1" s="1"/>
  <c r="BA736" i="1"/>
  <c r="AZ736" i="1"/>
  <c r="AY736" i="1"/>
  <c r="AX736" i="1"/>
  <c r="AW736" i="1"/>
  <c r="AV736" i="1"/>
  <c r="AT736" i="1"/>
  <c r="AS736" i="1"/>
  <c r="CS735" i="1"/>
  <c r="CR735" i="1"/>
  <c r="CQ735" i="1"/>
  <c r="CP735" i="1"/>
  <c r="CO735" i="1"/>
  <c r="CN735" i="1"/>
  <c r="CL735" i="1"/>
  <c r="CK735" i="1"/>
  <c r="CJ735" i="1"/>
  <c r="CI735" i="1"/>
  <c r="CH735" i="1"/>
  <c r="CG735" i="1"/>
  <c r="CF735" i="1"/>
  <c r="CD735" i="1"/>
  <c r="CC735" i="1"/>
  <c r="CB735" i="1"/>
  <c r="CA735" i="1"/>
  <c r="BZ735" i="1"/>
  <c r="BY735" i="1"/>
  <c r="BX735" i="1"/>
  <c r="BU735" i="1"/>
  <c r="BN735" i="1"/>
  <c r="BS735" i="1" s="1"/>
  <c r="BA735" i="1"/>
  <c r="AZ735" i="1"/>
  <c r="AY735" i="1"/>
  <c r="AX735" i="1"/>
  <c r="AW735" i="1"/>
  <c r="AV735" i="1"/>
  <c r="AT735" i="1"/>
  <c r="AS735" i="1"/>
  <c r="CS734" i="1"/>
  <c r="CR734" i="1"/>
  <c r="CQ734" i="1"/>
  <c r="CP734" i="1"/>
  <c r="CO734" i="1"/>
  <c r="CN734" i="1"/>
  <c r="CL734" i="1"/>
  <c r="CK734" i="1"/>
  <c r="CJ734" i="1"/>
  <c r="CI734" i="1"/>
  <c r="CH734" i="1"/>
  <c r="CG734" i="1"/>
  <c r="CF734" i="1"/>
  <c r="CD734" i="1"/>
  <c r="CC734" i="1"/>
  <c r="CB734" i="1"/>
  <c r="CA734" i="1"/>
  <c r="BZ734" i="1"/>
  <c r="BY734" i="1"/>
  <c r="BX734" i="1"/>
  <c r="BU734" i="1"/>
  <c r="BN734" i="1"/>
  <c r="BS734" i="1" s="1"/>
  <c r="BA734" i="1"/>
  <c r="AZ734" i="1"/>
  <c r="AY734" i="1"/>
  <c r="AX734" i="1"/>
  <c r="AW734" i="1"/>
  <c r="AV734" i="1"/>
  <c r="AT734" i="1"/>
  <c r="AS734" i="1"/>
  <c r="CS733" i="1"/>
  <c r="CR733" i="1"/>
  <c r="CQ733" i="1"/>
  <c r="CP733" i="1"/>
  <c r="CO733" i="1"/>
  <c r="CN733" i="1"/>
  <c r="CL733" i="1"/>
  <c r="CK733" i="1"/>
  <c r="CJ733" i="1"/>
  <c r="CI733" i="1"/>
  <c r="CH733" i="1"/>
  <c r="CG733" i="1"/>
  <c r="CF733" i="1"/>
  <c r="CD733" i="1"/>
  <c r="CC733" i="1"/>
  <c r="CB733" i="1"/>
  <c r="CA733" i="1"/>
  <c r="BZ733" i="1"/>
  <c r="BY733" i="1"/>
  <c r="BX733" i="1"/>
  <c r="BU733" i="1"/>
  <c r="BN733" i="1"/>
  <c r="BS733" i="1" s="1"/>
  <c r="BA733" i="1"/>
  <c r="AZ733" i="1"/>
  <c r="AY733" i="1"/>
  <c r="AX733" i="1"/>
  <c r="AW733" i="1"/>
  <c r="AV733" i="1"/>
  <c r="AT733" i="1"/>
  <c r="AS733" i="1"/>
  <c r="CS732" i="1"/>
  <c r="CR732" i="1"/>
  <c r="CQ732" i="1"/>
  <c r="CP732" i="1"/>
  <c r="CO732" i="1"/>
  <c r="CN732" i="1"/>
  <c r="CL732" i="1"/>
  <c r="CK732" i="1"/>
  <c r="CJ732" i="1"/>
  <c r="CI732" i="1"/>
  <c r="CH732" i="1"/>
  <c r="CG732" i="1"/>
  <c r="CF732" i="1"/>
  <c r="CD732" i="1"/>
  <c r="CC732" i="1"/>
  <c r="CB732" i="1"/>
  <c r="CA732" i="1"/>
  <c r="BZ732" i="1"/>
  <c r="BY732" i="1"/>
  <c r="BX732" i="1"/>
  <c r="BU732" i="1"/>
  <c r="BN732" i="1"/>
  <c r="BS732" i="1" s="1"/>
  <c r="BA732" i="1"/>
  <c r="AZ732" i="1"/>
  <c r="AY732" i="1"/>
  <c r="AX732" i="1"/>
  <c r="AW732" i="1"/>
  <c r="AV732" i="1"/>
  <c r="AT732" i="1"/>
  <c r="AS732" i="1"/>
  <c r="CS731" i="1"/>
  <c r="CR731" i="1"/>
  <c r="CQ731" i="1"/>
  <c r="CP731" i="1"/>
  <c r="CO731" i="1"/>
  <c r="CN731" i="1"/>
  <c r="CL731" i="1"/>
  <c r="CK731" i="1"/>
  <c r="CJ731" i="1"/>
  <c r="CI731" i="1"/>
  <c r="CH731" i="1"/>
  <c r="CG731" i="1"/>
  <c r="CF731" i="1"/>
  <c r="CD731" i="1"/>
  <c r="CC731" i="1"/>
  <c r="CB731" i="1"/>
  <c r="CA731" i="1"/>
  <c r="BZ731" i="1"/>
  <c r="BY731" i="1"/>
  <c r="BX731" i="1"/>
  <c r="BU731" i="1"/>
  <c r="BN731" i="1"/>
  <c r="BS731" i="1" s="1"/>
  <c r="BA731" i="1"/>
  <c r="AZ731" i="1"/>
  <c r="AY731" i="1"/>
  <c r="AX731" i="1"/>
  <c r="AW731" i="1"/>
  <c r="AV731" i="1"/>
  <c r="AT731" i="1"/>
  <c r="AS731" i="1"/>
  <c r="CS730" i="1"/>
  <c r="CR730" i="1"/>
  <c r="CQ730" i="1"/>
  <c r="CP730" i="1"/>
  <c r="CO730" i="1"/>
  <c r="CN730" i="1"/>
  <c r="CL730" i="1"/>
  <c r="CK730" i="1"/>
  <c r="CJ730" i="1"/>
  <c r="CI730" i="1"/>
  <c r="CH730" i="1"/>
  <c r="CG730" i="1"/>
  <c r="CF730" i="1"/>
  <c r="CD730" i="1"/>
  <c r="CC730" i="1"/>
  <c r="CB730" i="1"/>
  <c r="CA730" i="1"/>
  <c r="BZ730" i="1"/>
  <c r="BY730" i="1"/>
  <c r="BX730" i="1"/>
  <c r="BU730" i="1"/>
  <c r="BN730" i="1"/>
  <c r="BS730" i="1" s="1"/>
  <c r="BA730" i="1"/>
  <c r="AZ730" i="1"/>
  <c r="AY730" i="1"/>
  <c r="AX730" i="1"/>
  <c r="AW730" i="1"/>
  <c r="AV730" i="1"/>
  <c r="AT730" i="1"/>
  <c r="AS730" i="1"/>
  <c r="CS729" i="1"/>
  <c r="CR729" i="1"/>
  <c r="CQ729" i="1"/>
  <c r="CP729" i="1"/>
  <c r="CO729" i="1"/>
  <c r="CN729" i="1"/>
  <c r="CL729" i="1"/>
  <c r="CK729" i="1"/>
  <c r="CJ729" i="1"/>
  <c r="CI729" i="1"/>
  <c r="CH729" i="1"/>
  <c r="CG729" i="1"/>
  <c r="CF729" i="1"/>
  <c r="CD729" i="1"/>
  <c r="CC729" i="1"/>
  <c r="CB729" i="1"/>
  <c r="CA729" i="1"/>
  <c r="BZ729" i="1"/>
  <c r="BY729" i="1"/>
  <c r="BX729" i="1"/>
  <c r="BU729" i="1"/>
  <c r="BN729" i="1"/>
  <c r="BS729" i="1" s="1"/>
  <c r="BA729" i="1"/>
  <c r="AZ729" i="1"/>
  <c r="AY729" i="1"/>
  <c r="AX729" i="1"/>
  <c r="AW729" i="1"/>
  <c r="AV729" i="1"/>
  <c r="AT729" i="1"/>
  <c r="AS729" i="1"/>
  <c r="CS728" i="1"/>
  <c r="CR728" i="1"/>
  <c r="CQ728" i="1"/>
  <c r="CP728" i="1"/>
  <c r="CO728" i="1"/>
  <c r="CN728" i="1"/>
  <c r="CL728" i="1"/>
  <c r="CK728" i="1"/>
  <c r="CJ728" i="1"/>
  <c r="CI728" i="1"/>
  <c r="CH728" i="1"/>
  <c r="CG728" i="1"/>
  <c r="CF728" i="1"/>
  <c r="CD728" i="1"/>
  <c r="CC728" i="1"/>
  <c r="CB728" i="1"/>
  <c r="CA728" i="1"/>
  <c r="BZ728" i="1"/>
  <c r="BY728" i="1"/>
  <c r="BX728" i="1"/>
  <c r="BU728" i="1"/>
  <c r="BN728" i="1"/>
  <c r="BS728" i="1" s="1"/>
  <c r="BA728" i="1"/>
  <c r="AZ728" i="1"/>
  <c r="AY728" i="1"/>
  <c r="AX728" i="1"/>
  <c r="AW728" i="1"/>
  <c r="AV728" i="1"/>
  <c r="AT728" i="1"/>
  <c r="AS728" i="1"/>
  <c r="CS727" i="1"/>
  <c r="CR727" i="1"/>
  <c r="CQ727" i="1"/>
  <c r="CP727" i="1"/>
  <c r="CO727" i="1"/>
  <c r="CN727" i="1"/>
  <c r="CL727" i="1"/>
  <c r="CK727" i="1"/>
  <c r="CJ727" i="1"/>
  <c r="CI727" i="1"/>
  <c r="CH727" i="1"/>
  <c r="CG727" i="1"/>
  <c r="CF727" i="1"/>
  <c r="CD727" i="1"/>
  <c r="CC727" i="1"/>
  <c r="CB727" i="1"/>
  <c r="CA727" i="1"/>
  <c r="BZ727" i="1"/>
  <c r="BY727" i="1"/>
  <c r="BX727" i="1"/>
  <c r="BU727" i="1"/>
  <c r="BN727" i="1"/>
  <c r="BS727" i="1" s="1"/>
  <c r="BA727" i="1"/>
  <c r="AZ727" i="1"/>
  <c r="AY727" i="1"/>
  <c r="AX727" i="1"/>
  <c r="AW727" i="1"/>
  <c r="AV727" i="1"/>
  <c r="AT727" i="1"/>
  <c r="AS727" i="1"/>
  <c r="CS726" i="1"/>
  <c r="CR726" i="1"/>
  <c r="CQ726" i="1"/>
  <c r="CP726" i="1"/>
  <c r="CO726" i="1"/>
  <c r="CN726" i="1"/>
  <c r="CL726" i="1"/>
  <c r="CK726" i="1"/>
  <c r="CJ726" i="1"/>
  <c r="CI726" i="1"/>
  <c r="CH726" i="1"/>
  <c r="CG726" i="1"/>
  <c r="CF726" i="1"/>
  <c r="CD726" i="1"/>
  <c r="CC726" i="1"/>
  <c r="CB726" i="1"/>
  <c r="CA726" i="1"/>
  <c r="BZ726" i="1"/>
  <c r="BY726" i="1"/>
  <c r="BX726" i="1"/>
  <c r="BU726" i="1"/>
  <c r="BN726" i="1"/>
  <c r="BS726" i="1" s="1"/>
  <c r="BA726" i="1"/>
  <c r="AZ726" i="1"/>
  <c r="AY726" i="1"/>
  <c r="AX726" i="1"/>
  <c r="AW726" i="1"/>
  <c r="AV726" i="1"/>
  <c r="AT726" i="1"/>
  <c r="AS726" i="1"/>
  <c r="CS725" i="1"/>
  <c r="CR725" i="1"/>
  <c r="CQ725" i="1"/>
  <c r="CP725" i="1"/>
  <c r="CO725" i="1"/>
  <c r="CN725" i="1"/>
  <c r="CL725" i="1"/>
  <c r="CK725" i="1"/>
  <c r="CJ725" i="1"/>
  <c r="CI725" i="1"/>
  <c r="CH725" i="1"/>
  <c r="CG725" i="1"/>
  <c r="CF725" i="1"/>
  <c r="CD725" i="1"/>
  <c r="CC725" i="1"/>
  <c r="CB725" i="1"/>
  <c r="CA725" i="1"/>
  <c r="BZ725" i="1"/>
  <c r="BY725" i="1"/>
  <c r="BX725" i="1"/>
  <c r="BU725" i="1"/>
  <c r="BN725" i="1"/>
  <c r="BS725" i="1" s="1"/>
  <c r="BA725" i="1"/>
  <c r="AZ725" i="1"/>
  <c r="AY725" i="1"/>
  <c r="AX725" i="1"/>
  <c r="AW725" i="1"/>
  <c r="AV725" i="1"/>
  <c r="AT725" i="1"/>
  <c r="AS725" i="1"/>
  <c r="CS724" i="1"/>
  <c r="CR724" i="1"/>
  <c r="CQ724" i="1"/>
  <c r="CP724" i="1"/>
  <c r="CO724" i="1"/>
  <c r="CN724" i="1"/>
  <c r="CL724" i="1"/>
  <c r="CK724" i="1"/>
  <c r="CJ724" i="1"/>
  <c r="CI724" i="1"/>
  <c r="CH724" i="1"/>
  <c r="CG724" i="1"/>
  <c r="CF724" i="1"/>
  <c r="CD724" i="1"/>
  <c r="CC724" i="1"/>
  <c r="CB724" i="1"/>
  <c r="CA724" i="1"/>
  <c r="BZ724" i="1"/>
  <c r="BY724" i="1"/>
  <c r="BX724" i="1"/>
  <c r="BU724" i="1"/>
  <c r="BN724" i="1"/>
  <c r="BS724" i="1" s="1"/>
  <c r="BA724" i="1"/>
  <c r="AZ724" i="1"/>
  <c r="AY724" i="1"/>
  <c r="AX724" i="1"/>
  <c r="AW724" i="1"/>
  <c r="AV724" i="1"/>
  <c r="AT724" i="1"/>
  <c r="AS724" i="1"/>
  <c r="CS723" i="1"/>
  <c r="CR723" i="1"/>
  <c r="CQ723" i="1"/>
  <c r="CP723" i="1"/>
  <c r="CO723" i="1"/>
  <c r="CN723" i="1"/>
  <c r="CL723" i="1"/>
  <c r="CK723" i="1"/>
  <c r="CJ723" i="1"/>
  <c r="CI723" i="1"/>
  <c r="CH723" i="1"/>
  <c r="CG723" i="1"/>
  <c r="CF723" i="1"/>
  <c r="CD723" i="1"/>
  <c r="CC723" i="1"/>
  <c r="CB723" i="1"/>
  <c r="CA723" i="1"/>
  <c r="BZ723" i="1"/>
  <c r="BY723" i="1"/>
  <c r="BX723" i="1"/>
  <c r="BU723" i="1"/>
  <c r="BN723" i="1"/>
  <c r="BS723" i="1" s="1"/>
  <c r="BA723" i="1"/>
  <c r="AZ723" i="1"/>
  <c r="AY723" i="1"/>
  <c r="AX723" i="1"/>
  <c r="AW723" i="1"/>
  <c r="AV723" i="1"/>
  <c r="AT723" i="1"/>
  <c r="AS723" i="1"/>
  <c r="CS722" i="1"/>
  <c r="CR722" i="1"/>
  <c r="CQ722" i="1"/>
  <c r="CP722" i="1"/>
  <c r="CO722" i="1"/>
  <c r="CN722" i="1"/>
  <c r="CL722" i="1"/>
  <c r="CK722" i="1"/>
  <c r="CJ722" i="1"/>
  <c r="CI722" i="1"/>
  <c r="CH722" i="1"/>
  <c r="CG722" i="1"/>
  <c r="CF722" i="1"/>
  <c r="CD722" i="1"/>
  <c r="CC722" i="1"/>
  <c r="CB722" i="1"/>
  <c r="CA722" i="1"/>
  <c r="BZ722" i="1"/>
  <c r="BY722" i="1"/>
  <c r="BX722" i="1"/>
  <c r="BU722" i="1"/>
  <c r="BN722" i="1"/>
  <c r="BS722" i="1" s="1"/>
  <c r="BA722" i="1"/>
  <c r="AZ722" i="1"/>
  <c r="AY722" i="1"/>
  <c r="AX722" i="1"/>
  <c r="AW722" i="1"/>
  <c r="AV722" i="1"/>
  <c r="AT722" i="1"/>
  <c r="AS722" i="1"/>
  <c r="CS721" i="1"/>
  <c r="CR721" i="1"/>
  <c r="CQ721" i="1"/>
  <c r="CP721" i="1"/>
  <c r="CO721" i="1"/>
  <c r="CN721" i="1"/>
  <c r="CL721" i="1"/>
  <c r="CK721" i="1"/>
  <c r="CJ721" i="1"/>
  <c r="CI721" i="1"/>
  <c r="CH721" i="1"/>
  <c r="CG721" i="1"/>
  <c r="CF721" i="1"/>
  <c r="CD721" i="1"/>
  <c r="CC721" i="1"/>
  <c r="CB721" i="1"/>
  <c r="CA721" i="1"/>
  <c r="BZ721" i="1"/>
  <c r="BY721" i="1"/>
  <c r="BX721" i="1"/>
  <c r="BU721" i="1"/>
  <c r="BN721" i="1"/>
  <c r="BS721" i="1" s="1"/>
  <c r="BA721" i="1"/>
  <c r="AZ721" i="1"/>
  <c r="AY721" i="1"/>
  <c r="AX721" i="1"/>
  <c r="AW721" i="1"/>
  <c r="AV721" i="1"/>
  <c r="AT721" i="1"/>
  <c r="AS721" i="1"/>
  <c r="CS720" i="1"/>
  <c r="CR720" i="1"/>
  <c r="CQ720" i="1"/>
  <c r="CP720" i="1"/>
  <c r="CO720" i="1"/>
  <c r="CN720" i="1"/>
  <c r="CL720" i="1"/>
  <c r="CK720" i="1"/>
  <c r="CJ720" i="1"/>
  <c r="CI720" i="1"/>
  <c r="CH720" i="1"/>
  <c r="CG720" i="1"/>
  <c r="CF720" i="1"/>
  <c r="CD720" i="1"/>
  <c r="CC720" i="1"/>
  <c r="CB720" i="1"/>
  <c r="CA720" i="1"/>
  <c r="BZ720" i="1"/>
  <c r="BY720" i="1"/>
  <c r="BX720" i="1"/>
  <c r="BU720" i="1"/>
  <c r="BN720" i="1"/>
  <c r="BS720" i="1" s="1"/>
  <c r="BA720" i="1"/>
  <c r="AZ720" i="1"/>
  <c r="AY720" i="1"/>
  <c r="AX720" i="1"/>
  <c r="AW720" i="1"/>
  <c r="AV720" i="1"/>
  <c r="AT720" i="1"/>
  <c r="AS720" i="1"/>
  <c r="CS719" i="1"/>
  <c r="CR719" i="1"/>
  <c r="CQ719" i="1"/>
  <c r="CP719" i="1"/>
  <c r="CO719" i="1"/>
  <c r="CN719" i="1"/>
  <c r="CL719" i="1"/>
  <c r="CK719" i="1"/>
  <c r="CJ719" i="1"/>
  <c r="CI719" i="1"/>
  <c r="CH719" i="1"/>
  <c r="CG719" i="1"/>
  <c r="CF719" i="1"/>
  <c r="CD719" i="1"/>
  <c r="CC719" i="1"/>
  <c r="CB719" i="1"/>
  <c r="CA719" i="1"/>
  <c r="BZ719" i="1"/>
  <c r="BY719" i="1"/>
  <c r="BX719" i="1"/>
  <c r="BU719" i="1"/>
  <c r="BN719" i="1"/>
  <c r="BS719" i="1" s="1"/>
  <c r="BA719" i="1"/>
  <c r="AZ719" i="1"/>
  <c r="AY719" i="1"/>
  <c r="AX719" i="1"/>
  <c r="AW719" i="1"/>
  <c r="AV719" i="1"/>
  <c r="AT719" i="1"/>
  <c r="AS719" i="1"/>
  <c r="CS718" i="1"/>
  <c r="CR718" i="1"/>
  <c r="CQ718" i="1"/>
  <c r="CP718" i="1"/>
  <c r="CO718" i="1"/>
  <c r="CN718" i="1"/>
  <c r="CL718" i="1"/>
  <c r="CK718" i="1"/>
  <c r="CJ718" i="1"/>
  <c r="CI718" i="1"/>
  <c r="CH718" i="1"/>
  <c r="CG718" i="1"/>
  <c r="CF718" i="1"/>
  <c r="CD718" i="1"/>
  <c r="CC718" i="1"/>
  <c r="CB718" i="1"/>
  <c r="CA718" i="1"/>
  <c r="BZ718" i="1"/>
  <c r="BY718" i="1"/>
  <c r="BX718" i="1"/>
  <c r="BU718" i="1"/>
  <c r="BN718" i="1"/>
  <c r="BS718" i="1" s="1"/>
  <c r="BA718" i="1"/>
  <c r="AZ718" i="1"/>
  <c r="AY718" i="1"/>
  <c r="AX718" i="1"/>
  <c r="AW718" i="1"/>
  <c r="AV718" i="1"/>
  <c r="AT718" i="1"/>
  <c r="AS718" i="1"/>
  <c r="CS717" i="1"/>
  <c r="CR717" i="1"/>
  <c r="CQ717" i="1"/>
  <c r="CP717" i="1"/>
  <c r="CO717" i="1"/>
  <c r="CN717" i="1"/>
  <c r="CL717" i="1"/>
  <c r="CK717" i="1"/>
  <c r="CJ717" i="1"/>
  <c r="CI717" i="1"/>
  <c r="CH717" i="1"/>
  <c r="CG717" i="1"/>
  <c r="CF717" i="1"/>
  <c r="CD717" i="1"/>
  <c r="CC717" i="1"/>
  <c r="CB717" i="1"/>
  <c r="CA717" i="1"/>
  <c r="BZ717" i="1"/>
  <c r="BY717" i="1"/>
  <c r="BX717" i="1"/>
  <c r="BU717" i="1"/>
  <c r="BN717" i="1"/>
  <c r="BS717" i="1" s="1"/>
  <c r="BA717" i="1"/>
  <c r="AZ717" i="1"/>
  <c r="AY717" i="1"/>
  <c r="AX717" i="1"/>
  <c r="AW717" i="1"/>
  <c r="AV717" i="1"/>
  <c r="AT717" i="1"/>
  <c r="AS717" i="1"/>
  <c r="CS716" i="1"/>
  <c r="CR716" i="1"/>
  <c r="CQ716" i="1"/>
  <c r="CP716" i="1"/>
  <c r="CO716" i="1"/>
  <c r="CN716" i="1"/>
  <c r="CL716" i="1"/>
  <c r="CK716" i="1"/>
  <c r="CJ716" i="1"/>
  <c r="CI716" i="1"/>
  <c r="CH716" i="1"/>
  <c r="CG716" i="1"/>
  <c r="CF716" i="1"/>
  <c r="CD716" i="1"/>
  <c r="CC716" i="1"/>
  <c r="CB716" i="1"/>
  <c r="CA716" i="1"/>
  <c r="BZ716" i="1"/>
  <c r="BY716" i="1"/>
  <c r="BX716" i="1"/>
  <c r="BU716" i="1"/>
  <c r="BN716" i="1"/>
  <c r="BS716" i="1" s="1"/>
  <c r="BA716" i="1"/>
  <c r="AZ716" i="1"/>
  <c r="AY716" i="1"/>
  <c r="AX716" i="1"/>
  <c r="AW716" i="1"/>
  <c r="AV716" i="1"/>
  <c r="AT716" i="1"/>
  <c r="AS716" i="1"/>
  <c r="CS715" i="1"/>
  <c r="CR715" i="1"/>
  <c r="CQ715" i="1"/>
  <c r="CP715" i="1"/>
  <c r="CO715" i="1"/>
  <c r="CN715" i="1"/>
  <c r="CL715" i="1"/>
  <c r="CK715" i="1"/>
  <c r="CJ715" i="1"/>
  <c r="CI715" i="1"/>
  <c r="CH715" i="1"/>
  <c r="CG715" i="1"/>
  <c r="CF715" i="1"/>
  <c r="CD715" i="1"/>
  <c r="CC715" i="1"/>
  <c r="CB715" i="1"/>
  <c r="CA715" i="1"/>
  <c r="BZ715" i="1"/>
  <c r="BY715" i="1"/>
  <c r="BX715" i="1"/>
  <c r="BU715" i="1"/>
  <c r="BN715" i="1"/>
  <c r="BS715" i="1" s="1"/>
  <c r="BA715" i="1"/>
  <c r="AZ715" i="1"/>
  <c r="AY715" i="1"/>
  <c r="AX715" i="1"/>
  <c r="AW715" i="1"/>
  <c r="AV715" i="1"/>
  <c r="AT715" i="1"/>
  <c r="AS715" i="1"/>
  <c r="CS714" i="1"/>
  <c r="CR714" i="1"/>
  <c r="CQ714" i="1"/>
  <c r="CP714" i="1"/>
  <c r="CO714" i="1"/>
  <c r="CN714" i="1"/>
  <c r="CL714" i="1"/>
  <c r="CK714" i="1"/>
  <c r="CJ714" i="1"/>
  <c r="CI714" i="1"/>
  <c r="CH714" i="1"/>
  <c r="CG714" i="1"/>
  <c r="CF714" i="1"/>
  <c r="CD714" i="1"/>
  <c r="CC714" i="1"/>
  <c r="CB714" i="1"/>
  <c r="CA714" i="1"/>
  <c r="BZ714" i="1"/>
  <c r="BY714" i="1"/>
  <c r="BX714" i="1"/>
  <c r="BU714" i="1"/>
  <c r="BN714" i="1"/>
  <c r="BS714" i="1" s="1"/>
  <c r="BA714" i="1"/>
  <c r="AZ714" i="1"/>
  <c r="AY714" i="1"/>
  <c r="AX714" i="1"/>
  <c r="AW714" i="1"/>
  <c r="AV714" i="1"/>
  <c r="AT714" i="1"/>
  <c r="AS714" i="1"/>
  <c r="CS713" i="1"/>
  <c r="CR713" i="1"/>
  <c r="CQ713" i="1"/>
  <c r="CP713" i="1"/>
  <c r="CO713" i="1"/>
  <c r="CN713" i="1"/>
  <c r="CL713" i="1"/>
  <c r="CK713" i="1"/>
  <c r="CJ713" i="1"/>
  <c r="CI713" i="1"/>
  <c r="CH713" i="1"/>
  <c r="CG713" i="1"/>
  <c r="CF713" i="1"/>
  <c r="CD713" i="1"/>
  <c r="CC713" i="1"/>
  <c r="CB713" i="1"/>
  <c r="CA713" i="1"/>
  <c r="BZ713" i="1"/>
  <c r="BY713" i="1"/>
  <c r="BX713" i="1"/>
  <c r="BU713" i="1"/>
  <c r="BN713" i="1"/>
  <c r="BS713" i="1" s="1"/>
  <c r="BA713" i="1"/>
  <c r="AZ713" i="1"/>
  <c r="AY713" i="1"/>
  <c r="AX713" i="1"/>
  <c r="AW713" i="1"/>
  <c r="AV713" i="1"/>
  <c r="AT713" i="1"/>
  <c r="AS713" i="1"/>
  <c r="CS712" i="1"/>
  <c r="CR712" i="1"/>
  <c r="CQ712" i="1"/>
  <c r="CP712" i="1"/>
  <c r="CO712" i="1"/>
  <c r="CN712" i="1"/>
  <c r="CL712" i="1"/>
  <c r="CK712" i="1"/>
  <c r="CJ712" i="1"/>
  <c r="CI712" i="1"/>
  <c r="CH712" i="1"/>
  <c r="CG712" i="1"/>
  <c r="CF712" i="1"/>
  <c r="CD712" i="1"/>
  <c r="CC712" i="1"/>
  <c r="CB712" i="1"/>
  <c r="CA712" i="1"/>
  <c r="BZ712" i="1"/>
  <c r="BY712" i="1"/>
  <c r="BX712" i="1"/>
  <c r="BU712" i="1"/>
  <c r="BN712" i="1"/>
  <c r="BS712" i="1" s="1"/>
  <c r="BA712" i="1"/>
  <c r="AZ712" i="1"/>
  <c r="AY712" i="1"/>
  <c r="AX712" i="1"/>
  <c r="AW712" i="1"/>
  <c r="AV712" i="1"/>
  <c r="AT712" i="1"/>
  <c r="AS712" i="1"/>
  <c r="CS711" i="1"/>
  <c r="CR711" i="1"/>
  <c r="CQ711" i="1"/>
  <c r="CP711" i="1"/>
  <c r="CO711" i="1"/>
  <c r="CN711" i="1"/>
  <c r="CL711" i="1"/>
  <c r="CK711" i="1"/>
  <c r="CJ711" i="1"/>
  <c r="CI711" i="1"/>
  <c r="CH711" i="1"/>
  <c r="CG711" i="1"/>
  <c r="CF711" i="1"/>
  <c r="CD711" i="1"/>
  <c r="CC711" i="1"/>
  <c r="CB711" i="1"/>
  <c r="CA711" i="1"/>
  <c r="BZ711" i="1"/>
  <c r="BY711" i="1"/>
  <c r="BX711" i="1"/>
  <c r="BU711" i="1"/>
  <c r="BN711" i="1"/>
  <c r="BS711" i="1" s="1"/>
  <c r="BA711" i="1"/>
  <c r="AZ711" i="1"/>
  <c r="AY711" i="1"/>
  <c r="AX711" i="1"/>
  <c r="AW711" i="1"/>
  <c r="AV711" i="1"/>
  <c r="AT711" i="1"/>
  <c r="AS711" i="1"/>
  <c r="CS710" i="1"/>
  <c r="CR710" i="1"/>
  <c r="CQ710" i="1"/>
  <c r="CP710" i="1"/>
  <c r="CO710" i="1"/>
  <c r="CN710" i="1"/>
  <c r="CL710" i="1"/>
  <c r="CK710" i="1"/>
  <c r="CJ710" i="1"/>
  <c r="CI710" i="1"/>
  <c r="CH710" i="1"/>
  <c r="CG710" i="1"/>
  <c r="CF710" i="1"/>
  <c r="CD710" i="1"/>
  <c r="CC710" i="1"/>
  <c r="CB710" i="1"/>
  <c r="CA710" i="1"/>
  <c r="BZ710" i="1"/>
  <c r="BY710" i="1"/>
  <c r="BX710" i="1"/>
  <c r="BU710" i="1"/>
  <c r="BN710" i="1"/>
  <c r="BS710" i="1" s="1"/>
  <c r="BA710" i="1"/>
  <c r="AZ710" i="1"/>
  <c r="AY710" i="1"/>
  <c r="AX710" i="1"/>
  <c r="AW710" i="1"/>
  <c r="AV710" i="1"/>
  <c r="AT710" i="1"/>
  <c r="AS710" i="1"/>
  <c r="CS709" i="1"/>
  <c r="CR709" i="1"/>
  <c r="CQ709" i="1"/>
  <c r="CP709" i="1"/>
  <c r="CO709" i="1"/>
  <c r="CN709" i="1"/>
  <c r="CL709" i="1"/>
  <c r="CK709" i="1"/>
  <c r="CJ709" i="1"/>
  <c r="CI709" i="1"/>
  <c r="CH709" i="1"/>
  <c r="CG709" i="1"/>
  <c r="CF709" i="1"/>
  <c r="CD709" i="1"/>
  <c r="CC709" i="1"/>
  <c r="CB709" i="1"/>
  <c r="CA709" i="1"/>
  <c r="BZ709" i="1"/>
  <c r="BY709" i="1"/>
  <c r="BX709" i="1"/>
  <c r="BU709" i="1"/>
  <c r="BN709" i="1"/>
  <c r="BS709" i="1" s="1"/>
  <c r="BA709" i="1"/>
  <c r="AZ709" i="1"/>
  <c r="AY709" i="1"/>
  <c r="AX709" i="1"/>
  <c r="AW709" i="1"/>
  <c r="AV709" i="1"/>
  <c r="AT709" i="1"/>
  <c r="AS709" i="1"/>
  <c r="CS708" i="1"/>
  <c r="CR708" i="1"/>
  <c r="CQ708" i="1"/>
  <c r="CP708" i="1"/>
  <c r="CO708" i="1"/>
  <c r="CN708" i="1"/>
  <c r="CL708" i="1"/>
  <c r="CK708" i="1"/>
  <c r="CJ708" i="1"/>
  <c r="CI708" i="1"/>
  <c r="CH708" i="1"/>
  <c r="CG708" i="1"/>
  <c r="CF708" i="1"/>
  <c r="CD708" i="1"/>
  <c r="CC708" i="1"/>
  <c r="CB708" i="1"/>
  <c r="CA708" i="1"/>
  <c r="BZ708" i="1"/>
  <c r="BY708" i="1"/>
  <c r="BX708" i="1"/>
  <c r="BU708" i="1"/>
  <c r="BN708" i="1"/>
  <c r="BS708" i="1" s="1"/>
  <c r="BA708" i="1"/>
  <c r="AZ708" i="1"/>
  <c r="AY708" i="1"/>
  <c r="AX708" i="1"/>
  <c r="AW708" i="1"/>
  <c r="AV708" i="1"/>
  <c r="AT708" i="1"/>
  <c r="AS708" i="1"/>
  <c r="CS707" i="1"/>
  <c r="CR707" i="1"/>
  <c r="CQ707" i="1"/>
  <c r="CP707" i="1"/>
  <c r="CO707" i="1"/>
  <c r="CN707" i="1"/>
  <c r="CL707" i="1"/>
  <c r="CK707" i="1"/>
  <c r="CJ707" i="1"/>
  <c r="CI707" i="1"/>
  <c r="CH707" i="1"/>
  <c r="CG707" i="1"/>
  <c r="CF707" i="1"/>
  <c r="CD707" i="1"/>
  <c r="CC707" i="1"/>
  <c r="CB707" i="1"/>
  <c r="CA707" i="1"/>
  <c r="BZ707" i="1"/>
  <c r="BY707" i="1"/>
  <c r="BX707" i="1"/>
  <c r="BU707" i="1"/>
  <c r="BN707" i="1"/>
  <c r="BS707" i="1" s="1"/>
  <c r="BA707" i="1"/>
  <c r="AZ707" i="1"/>
  <c r="AY707" i="1"/>
  <c r="AX707" i="1"/>
  <c r="AW707" i="1"/>
  <c r="AV707" i="1"/>
  <c r="AT707" i="1"/>
  <c r="AS707" i="1"/>
  <c r="CS706" i="1"/>
  <c r="CR706" i="1"/>
  <c r="CQ706" i="1"/>
  <c r="CP706" i="1"/>
  <c r="CO706" i="1"/>
  <c r="CN706" i="1"/>
  <c r="CL706" i="1"/>
  <c r="CK706" i="1"/>
  <c r="CJ706" i="1"/>
  <c r="CI706" i="1"/>
  <c r="CH706" i="1"/>
  <c r="CG706" i="1"/>
  <c r="CF706" i="1"/>
  <c r="CD706" i="1"/>
  <c r="CC706" i="1"/>
  <c r="CB706" i="1"/>
  <c r="CA706" i="1"/>
  <c r="BZ706" i="1"/>
  <c r="BY706" i="1"/>
  <c r="BX706" i="1"/>
  <c r="BU706" i="1"/>
  <c r="BN706" i="1"/>
  <c r="BS706" i="1" s="1"/>
  <c r="BA706" i="1"/>
  <c r="AZ706" i="1"/>
  <c r="AY706" i="1"/>
  <c r="AX706" i="1"/>
  <c r="AW706" i="1"/>
  <c r="AV706" i="1"/>
  <c r="AT706" i="1"/>
  <c r="AS706" i="1"/>
  <c r="CS705" i="1"/>
  <c r="CR705" i="1"/>
  <c r="CQ705" i="1"/>
  <c r="CP705" i="1"/>
  <c r="CO705" i="1"/>
  <c r="CN705" i="1"/>
  <c r="CL705" i="1"/>
  <c r="CK705" i="1"/>
  <c r="CJ705" i="1"/>
  <c r="CI705" i="1"/>
  <c r="CH705" i="1"/>
  <c r="CG705" i="1"/>
  <c r="CF705" i="1"/>
  <c r="CD705" i="1"/>
  <c r="CC705" i="1"/>
  <c r="CB705" i="1"/>
  <c r="CA705" i="1"/>
  <c r="BZ705" i="1"/>
  <c r="BY705" i="1"/>
  <c r="BX705" i="1"/>
  <c r="BU705" i="1"/>
  <c r="BN705" i="1"/>
  <c r="BS705" i="1" s="1"/>
  <c r="BA705" i="1"/>
  <c r="AZ705" i="1"/>
  <c r="AY705" i="1"/>
  <c r="AX705" i="1"/>
  <c r="AW705" i="1"/>
  <c r="AV705" i="1"/>
  <c r="AT705" i="1"/>
  <c r="AS705" i="1"/>
  <c r="CS704" i="1"/>
  <c r="CR704" i="1"/>
  <c r="CQ704" i="1"/>
  <c r="CP704" i="1"/>
  <c r="CO704" i="1"/>
  <c r="CN704" i="1"/>
  <c r="CL704" i="1"/>
  <c r="CK704" i="1"/>
  <c r="CJ704" i="1"/>
  <c r="CI704" i="1"/>
  <c r="CH704" i="1"/>
  <c r="CG704" i="1"/>
  <c r="CF704" i="1"/>
  <c r="CD704" i="1"/>
  <c r="CC704" i="1"/>
  <c r="CB704" i="1"/>
  <c r="CA704" i="1"/>
  <c r="BZ704" i="1"/>
  <c r="BY704" i="1"/>
  <c r="BX704" i="1"/>
  <c r="BU704" i="1"/>
  <c r="BN704" i="1"/>
  <c r="BS704" i="1" s="1"/>
  <c r="BA704" i="1"/>
  <c r="AZ704" i="1"/>
  <c r="AY704" i="1"/>
  <c r="AX704" i="1"/>
  <c r="AW704" i="1"/>
  <c r="AV704" i="1"/>
  <c r="AT704" i="1"/>
  <c r="AS704" i="1"/>
  <c r="CS703" i="1"/>
  <c r="CR703" i="1"/>
  <c r="CQ703" i="1"/>
  <c r="CP703" i="1"/>
  <c r="CO703" i="1"/>
  <c r="CN703" i="1"/>
  <c r="CL703" i="1"/>
  <c r="CK703" i="1"/>
  <c r="CJ703" i="1"/>
  <c r="CI703" i="1"/>
  <c r="CH703" i="1"/>
  <c r="CG703" i="1"/>
  <c r="CF703" i="1"/>
  <c r="CD703" i="1"/>
  <c r="CC703" i="1"/>
  <c r="CB703" i="1"/>
  <c r="CA703" i="1"/>
  <c r="BZ703" i="1"/>
  <c r="BY703" i="1"/>
  <c r="BX703" i="1"/>
  <c r="BU703" i="1"/>
  <c r="BN703" i="1"/>
  <c r="BS703" i="1" s="1"/>
  <c r="BA703" i="1"/>
  <c r="AZ703" i="1"/>
  <c r="AY703" i="1"/>
  <c r="AX703" i="1"/>
  <c r="AW703" i="1"/>
  <c r="AV703" i="1"/>
  <c r="AT703" i="1"/>
  <c r="AS703" i="1"/>
  <c r="CS702" i="1"/>
  <c r="CR702" i="1"/>
  <c r="CQ702" i="1"/>
  <c r="CP702" i="1"/>
  <c r="CO702" i="1"/>
  <c r="CN702" i="1"/>
  <c r="CL702" i="1"/>
  <c r="CK702" i="1"/>
  <c r="CJ702" i="1"/>
  <c r="CI702" i="1"/>
  <c r="CH702" i="1"/>
  <c r="CG702" i="1"/>
  <c r="CF702" i="1"/>
  <c r="CD702" i="1"/>
  <c r="CC702" i="1"/>
  <c r="CB702" i="1"/>
  <c r="CA702" i="1"/>
  <c r="BZ702" i="1"/>
  <c r="BY702" i="1"/>
  <c r="BX702" i="1"/>
  <c r="BU702" i="1"/>
  <c r="BN702" i="1"/>
  <c r="BS702" i="1" s="1"/>
  <c r="BA702" i="1"/>
  <c r="AZ702" i="1"/>
  <c r="AY702" i="1"/>
  <c r="AX702" i="1"/>
  <c r="AW702" i="1"/>
  <c r="AV702" i="1"/>
  <c r="AT702" i="1"/>
  <c r="AS702" i="1"/>
  <c r="CS701" i="1"/>
  <c r="CR701" i="1"/>
  <c r="CQ701" i="1"/>
  <c r="CP701" i="1"/>
  <c r="CO701" i="1"/>
  <c r="CN701" i="1"/>
  <c r="CL701" i="1"/>
  <c r="CK701" i="1"/>
  <c r="CJ701" i="1"/>
  <c r="CI701" i="1"/>
  <c r="CH701" i="1"/>
  <c r="CG701" i="1"/>
  <c r="CF701" i="1"/>
  <c r="CD701" i="1"/>
  <c r="CC701" i="1"/>
  <c r="CB701" i="1"/>
  <c r="CA701" i="1"/>
  <c r="BZ701" i="1"/>
  <c r="BY701" i="1"/>
  <c r="BX701" i="1"/>
  <c r="BU701" i="1"/>
  <c r="BN701" i="1"/>
  <c r="BS701" i="1" s="1"/>
  <c r="BA701" i="1"/>
  <c r="AZ701" i="1"/>
  <c r="AY701" i="1"/>
  <c r="AX701" i="1"/>
  <c r="AW701" i="1"/>
  <c r="AV701" i="1"/>
  <c r="AT701" i="1"/>
  <c r="AS701" i="1"/>
  <c r="CS700" i="1"/>
  <c r="CR700" i="1"/>
  <c r="CQ700" i="1"/>
  <c r="CP700" i="1"/>
  <c r="CO700" i="1"/>
  <c r="CN700" i="1"/>
  <c r="CL700" i="1"/>
  <c r="CK700" i="1"/>
  <c r="CJ700" i="1"/>
  <c r="CI700" i="1"/>
  <c r="CH700" i="1"/>
  <c r="CG700" i="1"/>
  <c r="CF700" i="1"/>
  <c r="CD700" i="1"/>
  <c r="CC700" i="1"/>
  <c r="CB700" i="1"/>
  <c r="CA700" i="1"/>
  <c r="BZ700" i="1"/>
  <c r="BY700" i="1"/>
  <c r="BX700" i="1"/>
  <c r="BU700" i="1"/>
  <c r="BN700" i="1"/>
  <c r="BS700" i="1" s="1"/>
  <c r="BA700" i="1"/>
  <c r="AZ700" i="1"/>
  <c r="AY700" i="1"/>
  <c r="AX700" i="1"/>
  <c r="AW700" i="1"/>
  <c r="AV700" i="1"/>
  <c r="AT700" i="1"/>
  <c r="AS700" i="1"/>
  <c r="CS699" i="1"/>
  <c r="CR699" i="1"/>
  <c r="CQ699" i="1"/>
  <c r="CP699" i="1"/>
  <c r="CO699" i="1"/>
  <c r="CN699" i="1"/>
  <c r="CL699" i="1"/>
  <c r="CK699" i="1"/>
  <c r="CJ699" i="1"/>
  <c r="CI699" i="1"/>
  <c r="CH699" i="1"/>
  <c r="CG699" i="1"/>
  <c r="CF699" i="1"/>
  <c r="CD699" i="1"/>
  <c r="CC699" i="1"/>
  <c r="CB699" i="1"/>
  <c r="CA699" i="1"/>
  <c r="BZ699" i="1"/>
  <c r="BY699" i="1"/>
  <c r="BX699" i="1"/>
  <c r="BU699" i="1"/>
  <c r="BN699" i="1"/>
  <c r="BS699" i="1" s="1"/>
  <c r="BA699" i="1"/>
  <c r="AZ699" i="1"/>
  <c r="AY699" i="1"/>
  <c r="AX699" i="1"/>
  <c r="AW699" i="1"/>
  <c r="AV699" i="1"/>
  <c r="AT699" i="1"/>
  <c r="AS699" i="1"/>
  <c r="CS698" i="1"/>
  <c r="CR698" i="1"/>
  <c r="CQ698" i="1"/>
  <c r="CP698" i="1"/>
  <c r="CO698" i="1"/>
  <c r="CN698" i="1"/>
  <c r="CL698" i="1"/>
  <c r="CK698" i="1"/>
  <c r="CJ698" i="1"/>
  <c r="CI698" i="1"/>
  <c r="CH698" i="1"/>
  <c r="CG698" i="1"/>
  <c r="CF698" i="1"/>
  <c r="CD698" i="1"/>
  <c r="CC698" i="1"/>
  <c r="CB698" i="1"/>
  <c r="CA698" i="1"/>
  <c r="BZ698" i="1"/>
  <c r="BY698" i="1"/>
  <c r="BX698" i="1"/>
  <c r="BU698" i="1"/>
  <c r="BN698" i="1"/>
  <c r="BS698" i="1" s="1"/>
  <c r="BA698" i="1"/>
  <c r="AZ698" i="1"/>
  <c r="AY698" i="1"/>
  <c r="AX698" i="1"/>
  <c r="AW698" i="1"/>
  <c r="AV698" i="1"/>
  <c r="AT698" i="1"/>
  <c r="AS698" i="1"/>
  <c r="CS697" i="1"/>
  <c r="CR697" i="1"/>
  <c r="CQ697" i="1"/>
  <c r="CP697" i="1"/>
  <c r="CO697" i="1"/>
  <c r="CN697" i="1"/>
  <c r="CL697" i="1"/>
  <c r="CK697" i="1"/>
  <c r="CJ697" i="1"/>
  <c r="CI697" i="1"/>
  <c r="CH697" i="1"/>
  <c r="CG697" i="1"/>
  <c r="CF697" i="1"/>
  <c r="CD697" i="1"/>
  <c r="CC697" i="1"/>
  <c r="CB697" i="1"/>
  <c r="CA697" i="1"/>
  <c r="BZ697" i="1"/>
  <c r="BY697" i="1"/>
  <c r="BX697" i="1"/>
  <c r="BU697" i="1"/>
  <c r="BN697" i="1"/>
  <c r="BS697" i="1" s="1"/>
  <c r="BA697" i="1"/>
  <c r="AZ697" i="1"/>
  <c r="AY697" i="1"/>
  <c r="AX697" i="1"/>
  <c r="AW697" i="1"/>
  <c r="AV697" i="1"/>
  <c r="AT697" i="1"/>
  <c r="AS697" i="1"/>
  <c r="CS696" i="1"/>
  <c r="CR696" i="1"/>
  <c r="CQ696" i="1"/>
  <c r="CP696" i="1"/>
  <c r="CO696" i="1"/>
  <c r="CN696" i="1"/>
  <c r="CL696" i="1"/>
  <c r="CK696" i="1"/>
  <c r="CJ696" i="1"/>
  <c r="CI696" i="1"/>
  <c r="CH696" i="1"/>
  <c r="CG696" i="1"/>
  <c r="CF696" i="1"/>
  <c r="CD696" i="1"/>
  <c r="CC696" i="1"/>
  <c r="CB696" i="1"/>
  <c r="CA696" i="1"/>
  <c r="BZ696" i="1"/>
  <c r="BY696" i="1"/>
  <c r="BX696" i="1"/>
  <c r="BU696" i="1"/>
  <c r="BN696" i="1"/>
  <c r="BS696" i="1" s="1"/>
  <c r="BA696" i="1"/>
  <c r="AZ696" i="1"/>
  <c r="AY696" i="1"/>
  <c r="AX696" i="1"/>
  <c r="AW696" i="1"/>
  <c r="AV696" i="1"/>
  <c r="AT696" i="1"/>
  <c r="AS696" i="1"/>
  <c r="CS695" i="1"/>
  <c r="CR695" i="1"/>
  <c r="CQ695" i="1"/>
  <c r="CP695" i="1"/>
  <c r="CO695" i="1"/>
  <c r="CN695" i="1"/>
  <c r="CL695" i="1"/>
  <c r="CK695" i="1"/>
  <c r="CJ695" i="1"/>
  <c r="CI695" i="1"/>
  <c r="CH695" i="1"/>
  <c r="CG695" i="1"/>
  <c r="CF695" i="1"/>
  <c r="CD695" i="1"/>
  <c r="CC695" i="1"/>
  <c r="CB695" i="1"/>
  <c r="CA695" i="1"/>
  <c r="BZ695" i="1"/>
  <c r="BY695" i="1"/>
  <c r="BX695" i="1"/>
  <c r="BU695" i="1"/>
  <c r="BN695" i="1"/>
  <c r="BS695" i="1" s="1"/>
  <c r="BA695" i="1"/>
  <c r="AZ695" i="1"/>
  <c r="AY695" i="1"/>
  <c r="AX695" i="1"/>
  <c r="AW695" i="1"/>
  <c r="AV695" i="1"/>
  <c r="AT695" i="1"/>
  <c r="AS695" i="1"/>
  <c r="CS694" i="1"/>
  <c r="CR694" i="1"/>
  <c r="CQ694" i="1"/>
  <c r="CP694" i="1"/>
  <c r="CO694" i="1"/>
  <c r="CN694" i="1"/>
  <c r="CL694" i="1"/>
  <c r="CK694" i="1"/>
  <c r="CJ694" i="1"/>
  <c r="CI694" i="1"/>
  <c r="CH694" i="1"/>
  <c r="CG694" i="1"/>
  <c r="CF694" i="1"/>
  <c r="CD694" i="1"/>
  <c r="CC694" i="1"/>
  <c r="CB694" i="1"/>
  <c r="CA694" i="1"/>
  <c r="BZ694" i="1"/>
  <c r="BY694" i="1"/>
  <c r="BX694" i="1"/>
  <c r="BU694" i="1"/>
  <c r="BN694" i="1"/>
  <c r="BS694" i="1" s="1"/>
  <c r="BA694" i="1"/>
  <c r="AZ694" i="1"/>
  <c r="AY694" i="1"/>
  <c r="AX694" i="1"/>
  <c r="AW694" i="1"/>
  <c r="AV694" i="1"/>
  <c r="AT694" i="1"/>
  <c r="AS694" i="1"/>
  <c r="CS693" i="1"/>
  <c r="CR693" i="1"/>
  <c r="CQ693" i="1"/>
  <c r="CP693" i="1"/>
  <c r="CO693" i="1"/>
  <c r="CN693" i="1"/>
  <c r="CL693" i="1"/>
  <c r="CK693" i="1"/>
  <c r="CJ693" i="1"/>
  <c r="CI693" i="1"/>
  <c r="CH693" i="1"/>
  <c r="CG693" i="1"/>
  <c r="CF693" i="1"/>
  <c r="CD693" i="1"/>
  <c r="CC693" i="1"/>
  <c r="CB693" i="1"/>
  <c r="CA693" i="1"/>
  <c r="BZ693" i="1"/>
  <c r="BY693" i="1"/>
  <c r="BX693" i="1"/>
  <c r="BU693" i="1"/>
  <c r="BN693" i="1"/>
  <c r="BS693" i="1" s="1"/>
  <c r="BA693" i="1"/>
  <c r="AZ693" i="1"/>
  <c r="AY693" i="1"/>
  <c r="AX693" i="1"/>
  <c r="AW693" i="1"/>
  <c r="AV693" i="1"/>
  <c r="AT693" i="1"/>
  <c r="AS693" i="1"/>
  <c r="CS692" i="1"/>
  <c r="CR692" i="1"/>
  <c r="CQ692" i="1"/>
  <c r="CP692" i="1"/>
  <c r="CO692" i="1"/>
  <c r="CN692" i="1"/>
  <c r="CL692" i="1"/>
  <c r="CK692" i="1"/>
  <c r="CJ692" i="1"/>
  <c r="CI692" i="1"/>
  <c r="CH692" i="1"/>
  <c r="CG692" i="1"/>
  <c r="CF692" i="1"/>
  <c r="CD692" i="1"/>
  <c r="CC692" i="1"/>
  <c r="CB692" i="1"/>
  <c r="CA692" i="1"/>
  <c r="BZ692" i="1"/>
  <c r="BY692" i="1"/>
  <c r="BX692" i="1"/>
  <c r="BU692" i="1"/>
  <c r="BN692" i="1"/>
  <c r="BS692" i="1" s="1"/>
  <c r="BA692" i="1"/>
  <c r="AZ692" i="1"/>
  <c r="AY692" i="1"/>
  <c r="AX692" i="1"/>
  <c r="AW692" i="1"/>
  <c r="AV692" i="1"/>
  <c r="AT692" i="1"/>
  <c r="AS692" i="1"/>
  <c r="CS691" i="1"/>
  <c r="CR691" i="1"/>
  <c r="CQ691" i="1"/>
  <c r="CP691" i="1"/>
  <c r="CO691" i="1"/>
  <c r="CN691" i="1"/>
  <c r="CL691" i="1"/>
  <c r="CK691" i="1"/>
  <c r="CJ691" i="1"/>
  <c r="CI691" i="1"/>
  <c r="CH691" i="1"/>
  <c r="CG691" i="1"/>
  <c r="CF691" i="1"/>
  <c r="CD691" i="1"/>
  <c r="CC691" i="1"/>
  <c r="CB691" i="1"/>
  <c r="CA691" i="1"/>
  <c r="BZ691" i="1"/>
  <c r="BY691" i="1"/>
  <c r="BX691" i="1"/>
  <c r="BU691" i="1"/>
  <c r="BN691" i="1"/>
  <c r="BS691" i="1" s="1"/>
  <c r="BA691" i="1"/>
  <c r="AZ691" i="1"/>
  <c r="AY691" i="1"/>
  <c r="AX691" i="1"/>
  <c r="AW691" i="1"/>
  <c r="AV691" i="1"/>
  <c r="AT691" i="1"/>
  <c r="AS691" i="1"/>
  <c r="CS690" i="1"/>
  <c r="CR690" i="1"/>
  <c r="CQ690" i="1"/>
  <c r="CP690" i="1"/>
  <c r="CO690" i="1"/>
  <c r="CN690" i="1"/>
  <c r="CL690" i="1"/>
  <c r="CK690" i="1"/>
  <c r="CJ690" i="1"/>
  <c r="CI690" i="1"/>
  <c r="CH690" i="1"/>
  <c r="CG690" i="1"/>
  <c r="CF690" i="1"/>
  <c r="CD690" i="1"/>
  <c r="CC690" i="1"/>
  <c r="CB690" i="1"/>
  <c r="CA690" i="1"/>
  <c r="BZ690" i="1"/>
  <c r="BY690" i="1"/>
  <c r="BX690" i="1"/>
  <c r="BU690" i="1"/>
  <c r="BN690" i="1"/>
  <c r="BS690" i="1" s="1"/>
  <c r="BA690" i="1"/>
  <c r="AZ690" i="1"/>
  <c r="AY690" i="1"/>
  <c r="AX690" i="1"/>
  <c r="AW690" i="1"/>
  <c r="AV690" i="1"/>
  <c r="AT690" i="1"/>
  <c r="AS690" i="1"/>
  <c r="CS689" i="1"/>
  <c r="CR689" i="1"/>
  <c r="CQ689" i="1"/>
  <c r="CP689" i="1"/>
  <c r="CO689" i="1"/>
  <c r="CN689" i="1"/>
  <c r="CL689" i="1"/>
  <c r="CK689" i="1"/>
  <c r="CJ689" i="1"/>
  <c r="CI689" i="1"/>
  <c r="CH689" i="1"/>
  <c r="CG689" i="1"/>
  <c r="CF689" i="1"/>
  <c r="CD689" i="1"/>
  <c r="CC689" i="1"/>
  <c r="CB689" i="1"/>
  <c r="CA689" i="1"/>
  <c r="BZ689" i="1"/>
  <c r="BY689" i="1"/>
  <c r="BX689" i="1"/>
  <c r="BU689" i="1"/>
  <c r="BN689" i="1"/>
  <c r="BS689" i="1" s="1"/>
  <c r="BA689" i="1"/>
  <c r="AZ689" i="1"/>
  <c r="AY689" i="1"/>
  <c r="AX689" i="1"/>
  <c r="AW689" i="1"/>
  <c r="AV689" i="1"/>
  <c r="AT689" i="1"/>
  <c r="AS689" i="1"/>
  <c r="CS688" i="1"/>
  <c r="CR688" i="1"/>
  <c r="CQ688" i="1"/>
  <c r="CP688" i="1"/>
  <c r="CO688" i="1"/>
  <c r="CN688" i="1"/>
  <c r="CL688" i="1"/>
  <c r="CK688" i="1"/>
  <c r="CJ688" i="1"/>
  <c r="CI688" i="1"/>
  <c r="CH688" i="1"/>
  <c r="CG688" i="1"/>
  <c r="CF688" i="1"/>
  <c r="CD688" i="1"/>
  <c r="CC688" i="1"/>
  <c r="CB688" i="1"/>
  <c r="CA688" i="1"/>
  <c r="BZ688" i="1"/>
  <c r="BY688" i="1"/>
  <c r="BX688" i="1"/>
  <c r="BU688" i="1"/>
  <c r="BN688" i="1"/>
  <c r="BS688" i="1" s="1"/>
  <c r="BA688" i="1"/>
  <c r="AZ688" i="1"/>
  <c r="AY688" i="1"/>
  <c r="AX688" i="1"/>
  <c r="AW688" i="1"/>
  <c r="AV688" i="1"/>
  <c r="AT688" i="1"/>
  <c r="AS688" i="1"/>
  <c r="CS687" i="1"/>
  <c r="CR687" i="1"/>
  <c r="CQ687" i="1"/>
  <c r="CP687" i="1"/>
  <c r="CO687" i="1"/>
  <c r="CN687" i="1"/>
  <c r="CL687" i="1"/>
  <c r="CK687" i="1"/>
  <c r="CJ687" i="1"/>
  <c r="CI687" i="1"/>
  <c r="CH687" i="1"/>
  <c r="CG687" i="1"/>
  <c r="CF687" i="1"/>
  <c r="CD687" i="1"/>
  <c r="CC687" i="1"/>
  <c r="CB687" i="1"/>
  <c r="CA687" i="1"/>
  <c r="BZ687" i="1"/>
  <c r="BY687" i="1"/>
  <c r="BX687" i="1"/>
  <c r="BU687" i="1"/>
  <c r="BN687" i="1"/>
  <c r="BS687" i="1" s="1"/>
  <c r="BA687" i="1"/>
  <c r="AZ687" i="1"/>
  <c r="AY687" i="1"/>
  <c r="AX687" i="1"/>
  <c r="AW687" i="1"/>
  <c r="AV687" i="1"/>
  <c r="AT687" i="1"/>
  <c r="AS687" i="1"/>
  <c r="CS686" i="1"/>
  <c r="CR686" i="1"/>
  <c r="CQ686" i="1"/>
  <c r="CP686" i="1"/>
  <c r="CO686" i="1"/>
  <c r="CN686" i="1"/>
  <c r="CL686" i="1"/>
  <c r="CK686" i="1"/>
  <c r="CJ686" i="1"/>
  <c r="CI686" i="1"/>
  <c r="CH686" i="1"/>
  <c r="CG686" i="1"/>
  <c r="CF686" i="1"/>
  <c r="CD686" i="1"/>
  <c r="CC686" i="1"/>
  <c r="CB686" i="1"/>
  <c r="CA686" i="1"/>
  <c r="BZ686" i="1"/>
  <c r="BY686" i="1"/>
  <c r="BX686" i="1"/>
  <c r="BU686" i="1"/>
  <c r="BN686" i="1"/>
  <c r="BS686" i="1" s="1"/>
  <c r="BA686" i="1"/>
  <c r="AZ686" i="1"/>
  <c r="AY686" i="1"/>
  <c r="AX686" i="1"/>
  <c r="AW686" i="1"/>
  <c r="AV686" i="1"/>
  <c r="AT686" i="1"/>
  <c r="AS686" i="1"/>
  <c r="CS685" i="1"/>
  <c r="CR685" i="1"/>
  <c r="CQ685" i="1"/>
  <c r="CP685" i="1"/>
  <c r="CO685" i="1"/>
  <c r="CN685" i="1"/>
  <c r="CL685" i="1"/>
  <c r="CK685" i="1"/>
  <c r="CJ685" i="1"/>
  <c r="CI685" i="1"/>
  <c r="CH685" i="1"/>
  <c r="CG685" i="1"/>
  <c r="CF685" i="1"/>
  <c r="CD685" i="1"/>
  <c r="CC685" i="1"/>
  <c r="CB685" i="1"/>
  <c r="CA685" i="1"/>
  <c r="BZ685" i="1"/>
  <c r="BY685" i="1"/>
  <c r="BX685" i="1"/>
  <c r="BU685" i="1"/>
  <c r="BN685" i="1"/>
  <c r="BS685" i="1" s="1"/>
  <c r="BA685" i="1"/>
  <c r="AZ685" i="1"/>
  <c r="AY685" i="1"/>
  <c r="AX685" i="1"/>
  <c r="AW685" i="1"/>
  <c r="AV685" i="1"/>
  <c r="AT685" i="1"/>
  <c r="AS685" i="1"/>
  <c r="CS684" i="1"/>
  <c r="CR684" i="1"/>
  <c r="CQ684" i="1"/>
  <c r="CP684" i="1"/>
  <c r="CO684" i="1"/>
  <c r="CN684" i="1"/>
  <c r="CL684" i="1"/>
  <c r="CK684" i="1"/>
  <c r="CJ684" i="1"/>
  <c r="CI684" i="1"/>
  <c r="CH684" i="1"/>
  <c r="CG684" i="1"/>
  <c r="CF684" i="1"/>
  <c r="CD684" i="1"/>
  <c r="CC684" i="1"/>
  <c r="CB684" i="1"/>
  <c r="CA684" i="1"/>
  <c r="BZ684" i="1"/>
  <c r="BY684" i="1"/>
  <c r="BX684" i="1"/>
  <c r="BU684" i="1"/>
  <c r="BN684" i="1"/>
  <c r="BS684" i="1" s="1"/>
  <c r="BA684" i="1"/>
  <c r="AZ684" i="1"/>
  <c r="AY684" i="1"/>
  <c r="AX684" i="1"/>
  <c r="AW684" i="1"/>
  <c r="AV684" i="1"/>
  <c r="AT684" i="1"/>
  <c r="AS684" i="1"/>
  <c r="CS683" i="1"/>
  <c r="CR683" i="1"/>
  <c r="CQ683" i="1"/>
  <c r="CP683" i="1"/>
  <c r="CO683" i="1"/>
  <c r="CN683" i="1"/>
  <c r="CL683" i="1"/>
  <c r="CK683" i="1"/>
  <c r="CJ683" i="1"/>
  <c r="CI683" i="1"/>
  <c r="CH683" i="1"/>
  <c r="CG683" i="1"/>
  <c r="CF683" i="1"/>
  <c r="CD683" i="1"/>
  <c r="CC683" i="1"/>
  <c r="CB683" i="1"/>
  <c r="CA683" i="1"/>
  <c r="BZ683" i="1"/>
  <c r="BY683" i="1"/>
  <c r="BX683" i="1"/>
  <c r="BU683" i="1"/>
  <c r="BN683" i="1"/>
  <c r="BS683" i="1" s="1"/>
  <c r="BA683" i="1"/>
  <c r="AZ683" i="1"/>
  <c r="AY683" i="1"/>
  <c r="AX683" i="1"/>
  <c r="AW683" i="1"/>
  <c r="AV683" i="1"/>
  <c r="AT683" i="1"/>
  <c r="AS683" i="1"/>
  <c r="CS682" i="1"/>
  <c r="CR682" i="1"/>
  <c r="CQ682" i="1"/>
  <c r="CP682" i="1"/>
  <c r="CO682" i="1"/>
  <c r="CN682" i="1"/>
  <c r="CL682" i="1"/>
  <c r="CK682" i="1"/>
  <c r="CJ682" i="1"/>
  <c r="CI682" i="1"/>
  <c r="CH682" i="1"/>
  <c r="CG682" i="1"/>
  <c r="CF682" i="1"/>
  <c r="CD682" i="1"/>
  <c r="CC682" i="1"/>
  <c r="CB682" i="1"/>
  <c r="CA682" i="1"/>
  <c r="BZ682" i="1"/>
  <c r="BY682" i="1"/>
  <c r="BX682" i="1"/>
  <c r="BU682" i="1"/>
  <c r="BN682" i="1"/>
  <c r="BS682" i="1" s="1"/>
  <c r="BA682" i="1"/>
  <c r="AZ682" i="1"/>
  <c r="AY682" i="1"/>
  <c r="AX682" i="1"/>
  <c r="AW682" i="1"/>
  <c r="AV682" i="1"/>
  <c r="AT682" i="1"/>
  <c r="AS682" i="1"/>
  <c r="CS681" i="1"/>
  <c r="CR681" i="1"/>
  <c r="CQ681" i="1"/>
  <c r="CP681" i="1"/>
  <c r="CO681" i="1"/>
  <c r="CN681" i="1"/>
  <c r="CL681" i="1"/>
  <c r="CK681" i="1"/>
  <c r="CJ681" i="1"/>
  <c r="CI681" i="1"/>
  <c r="CH681" i="1"/>
  <c r="CG681" i="1"/>
  <c r="CF681" i="1"/>
  <c r="CD681" i="1"/>
  <c r="CC681" i="1"/>
  <c r="CB681" i="1"/>
  <c r="CA681" i="1"/>
  <c r="BZ681" i="1"/>
  <c r="BY681" i="1"/>
  <c r="BX681" i="1"/>
  <c r="BU681" i="1"/>
  <c r="BN681" i="1"/>
  <c r="BS681" i="1" s="1"/>
  <c r="BA681" i="1"/>
  <c r="AZ681" i="1"/>
  <c r="AY681" i="1"/>
  <c r="AX681" i="1"/>
  <c r="AW681" i="1"/>
  <c r="AV681" i="1"/>
  <c r="AT681" i="1"/>
  <c r="AS681" i="1"/>
  <c r="CS680" i="1"/>
  <c r="CR680" i="1"/>
  <c r="CQ680" i="1"/>
  <c r="CP680" i="1"/>
  <c r="CO680" i="1"/>
  <c r="CN680" i="1"/>
  <c r="CL680" i="1"/>
  <c r="CK680" i="1"/>
  <c r="CJ680" i="1"/>
  <c r="CI680" i="1"/>
  <c r="CH680" i="1"/>
  <c r="CG680" i="1"/>
  <c r="CF680" i="1"/>
  <c r="CD680" i="1"/>
  <c r="CC680" i="1"/>
  <c r="CB680" i="1"/>
  <c r="CA680" i="1"/>
  <c r="BZ680" i="1"/>
  <c r="BY680" i="1"/>
  <c r="BX680" i="1"/>
  <c r="BU680" i="1"/>
  <c r="BN680" i="1"/>
  <c r="BS680" i="1" s="1"/>
  <c r="BA680" i="1"/>
  <c r="AZ680" i="1"/>
  <c r="AY680" i="1"/>
  <c r="AX680" i="1"/>
  <c r="AW680" i="1"/>
  <c r="AV680" i="1"/>
  <c r="AT680" i="1"/>
  <c r="AS680" i="1"/>
  <c r="CS679" i="1"/>
  <c r="CR679" i="1"/>
  <c r="CQ679" i="1"/>
  <c r="CP679" i="1"/>
  <c r="CO679" i="1"/>
  <c r="CN679" i="1"/>
  <c r="CL679" i="1"/>
  <c r="CK679" i="1"/>
  <c r="CJ679" i="1"/>
  <c r="CI679" i="1"/>
  <c r="CH679" i="1"/>
  <c r="CG679" i="1"/>
  <c r="CF679" i="1"/>
  <c r="CD679" i="1"/>
  <c r="CC679" i="1"/>
  <c r="CB679" i="1"/>
  <c r="CA679" i="1"/>
  <c r="BZ679" i="1"/>
  <c r="BY679" i="1"/>
  <c r="BX679" i="1"/>
  <c r="BU679" i="1"/>
  <c r="BN679" i="1"/>
  <c r="BS679" i="1" s="1"/>
  <c r="BA679" i="1"/>
  <c r="AZ679" i="1"/>
  <c r="AY679" i="1"/>
  <c r="AX679" i="1"/>
  <c r="AW679" i="1"/>
  <c r="AV679" i="1"/>
  <c r="AT679" i="1"/>
  <c r="AS679" i="1"/>
  <c r="CS678" i="1"/>
  <c r="CR678" i="1"/>
  <c r="CQ678" i="1"/>
  <c r="CP678" i="1"/>
  <c r="CO678" i="1"/>
  <c r="CN678" i="1"/>
  <c r="CL678" i="1"/>
  <c r="CK678" i="1"/>
  <c r="CJ678" i="1"/>
  <c r="CI678" i="1"/>
  <c r="CH678" i="1"/>
  <c r="CG678" i="1"/>
  <c r="CF678" i="1"/>
  <c r="CD678" i="1"/>
  <c r="CC678" i="1"/>
  <c r="CB678" i="1"/>
  <c r="CA678" i="1"/>
  <c r="BZ678" i="1"/>
  <c r="BY678" i="1"/>
  <c r="BX678" i="1"/>
  <c r="BU678" i="1"/>
  <c r="BN678" i="1"/>
  <c r="BS678" i="1" s="1"/>
  <c r="BA678" i="1"/>
  <c r="AZ678" i="1"/>
  <c r="AY678" i="1"/>
  <c r="AX678" i="1"/>
  <c r="AW678" i="1"/>
  <c r="AV678" i="1"/>
  <c r="AT678" i="1"/>
  <c r="AS678" i="1"/>
  <c r="CS677" i="1"/>
  <c r="CR677" i="1"/>
  <c r="CQ677" i="1"/>
  <c r="CP677" i="1"/>
  <c r="CO677" i="1"/>
  <c r="CN677" i="1"/>
  <c r="CL677" i="1"/>
  <c r="CK677" i="1"/>
  <c r="CJ677" i="1"/>
  <c r="CI677" i="1"/>
  <c r="CH677" i="1"/>
  <c r="CG677" i="1"/>
  <c r="CF677" i="1"/>
  <c r="CD677" i="1"/>
  <c r="CC677" i="1"/>
  <c r="CB677" i="1"/>
  <c r="CA677" i="1"/>
  <c r="BZ677" i="1"/>
  <c r="BY677" i="1"/>
  <c r="BX677" i="1"/>
  <c r="BU677" i="1"/>
  <c r="BN677" i="1"/>
  <c r="BS677" i="1" s="1"/>
  <c r="BA677" i="1"/>
  <c r="AZ677" i="1"/>
  <c r="AY677" i="1"/>
  <c r="AX677" i="1"/>
  <c r="AW677" i="1"/>
  <c r="AV677" i="1"/>
  <c r="AT677" i="1"/>
  <c r="AS677" i="1"/>
  <c r="CS676" i="1"/>
  <c r="CR676" i="1"/>
  <c r="CQ676" i="1"/>
  <c r="CP676" i="1"/>
  <c r="CO676" i="1"/>
  <c r="CN676" i="1"/>
  <c r="CL676" i="1"/>
  <c r="CK676" i="1"/>
  <c r="CJ676" i="1"/>
  <c r="CI676" i="1"/>
  <c r="CH676" i="1"/>
  <c r="CG676" i="1"/>
  <c r="CF676" i="1"/>
  <c r="CD676" i="1"/>
  <c r="CC676" i="1"/>
  <c r="CB676" i="1"/>
  <c r="CA676" i="1"/>
  <c r="BZ676" i="1"/>
  <c r="BY676" i="1"/>
  <c r="BX676" i="1"/>
  <c r="BU676" i="1"/>
  <c r="BN676" i="1"/>
  <c r="BS676" i="1" s="1"/>
  <c r="BA676" i="1"/>
  <c r="AZ676" i="1"/>
  <c r="AY676" i="1"/>
  <c r="AX676" i="1"/>
  <c r="AW676" i="1"/>
  <c r="AV676" i="1"/>
  <c r="AT676" i="1"/>
  <c r="AS676" i="1"/>
  <c r="CS675" i="1"/>
  <c r="CR675" i="1"/>
  <c r="CQ675" i="1"/>
  <c r="CP675" i="1"/>
  <c r="CO675" i="1"/>
  <c r="CN675" i="1"/>
  <c r="CL675" i="1"/>
  <c r="CK675" i="1"/>
  <c r="CJ675" i="1"/>
  <c r="CI675" i="1"/>
  <c r="CH675" i="1"/>
  <c r="CG675" i="1"/>
  <c r="CF675" i="1"/>
  <c r="CD675" i="1"/>
  <c r="CC675" i="1"/>
  <c r="CB675" i="1"/>
  <c r="CA675" i="1"/>
  <c r="BZ675" i="1"/>
  <c r="BY675" i="1"/>
  <c r="BX675" i="1"/>
  <c r="BU675" i="1"/>
  <c r="BN675" i="1"/>
  <c r="BS675" i="1" s="1"/>
  <c r="BA675" i="1"/>
  <c r="AZ675" i="1"/>
  <c r="AY675" i="1"/>
  <c r="AX675" i="1"/>
  <c r="AW675" i="1"/>
  <c r="AV675" i="1"/>
  <c r="AT675" i="1"/>
  <c r="AS675" i="1"/>
  <c r="CS674" i="1"/>
  <c r="CR674" i="1"/>
  <c r="CQ674" i="1"/>
  <c r="CP674" i="1"/>
  <c r="CO674" i="1"/>
  <c r="CN674" i="1"/>
  <c r="CL674" i="1"/>
  <c r="CK674" i="1"/>
  <c r="CJ674" i="1"/>
  <c r="CI674" i="1"/>
  <c r="CH674" i="1"/>
  <c r="CG674" i="1"/>
  <c r="CF674" i="1"/>
  <c r="CD674" i="1"/>
  <c r="CC674" i="1"/>
  <c r="CB674" i="1"/>
  <c r="CA674" i="1"/>
  <c r="BZ674" i="1"/>
  <c r="BY674" i="1"/>
  <c r="BX674" i="1"/>
  <c r="BU674" i="1"/>
  <c r="BN674" i="1"/>
  <c r="BS674" i="1" s="1"/>
  <c r="BA674" i="1"/>
  <c r="AZ674" i="1"/>
  <c r="AY674" i="1"/>
  <c r="AX674" i="1"/>
  <c r="AW674" i="1"/>
  <c r="AV674" i="1"/>
  <c r="AT674" i="1"/>
  <c r="AS674" i="1"/>
  <c r="CS673" i="1"/>
  <c r="CR673" i="1"/>
  <c r="CQ673" i="1"/>
  <c r="CP673" i="1"/>
  <c r="CO673" i="1"/>
  <c r="CN673" i="1"/>
  <c r="CL673" i="1"/>
  <c r="CK673" i="1"/>
  <c r="CJ673" i="1"/>
  <c r="CI673" i="1"/>
  <c r="CH673" i="1"/>
  <c r="CG673" i="1"/>
  <c r="CF673" i="1"/>
  <c r="CD673" i="1"/>
  <c r="CC673" i="1"/>
  <c r="CB673" i="1"/>
  <c r="CA673" i="1"/>
  <c r="BZ673" i="1"/>
  <c r="BY673" i="1"/>
  <c r="BX673" i="1"/>
  <c r="BU673" i="1"/>
  <c r="BN673" i="1"/>
  <c r="BS673" i="1" s="1"/>
  <c r="BA673" i="1"/>
  <c r="AZ673" i="1"/>
  <c r="AY673" i="1"/>
  <c r="AX673" i="1"/>
  <c r="AW673" i="1"/>
  <c r="AV673" i="1"/>
  <c r="AT673" i="1"/>
  <c r="AS673" i="1"/>
  <c r="CS672" i="1"/>
  <c r="CR672" i="1"/>
  <c r="CQ672" i="1"/>
  <c r="CP672" i="1"/>
  <c r="CO672" i="1"/>
  <c r="CN672" i="1"/>
  <c r="CL672" i="1"/>
  <c r="CK672" i="1"/>
  <c r="CJ672" i="1"/>
  <c r="CI672" i="1"/>
  <c r="CH672" i="1"/>
  <c r="CG672" i="1"/>
  <c r="CF672" i="1"/>
  <c r="CD672" i="1"/>
  <c r="CC672" i="1"/>
  <c r="CB672" i="1"/>
  <c r="CA672" i="1"/>
  <c r="BZ672" i="1"/>
  <c r="BY672" i="1"/>
  <c r="BX672" i="1"/>
  <c r="BU672" i="1"/>
  <c r="BN672" i="1"/>
  <c r="BS672" i="1" s="1"/>
  <c r="BA672" i="1"/>
  <c r="AZ672" i="1"/>
  <c r="AY672" i="1"/>
  <c r="AX672" i="1"/>
  <c r="AW672" i="1"/>
  <c r="AV672" i="1"/>
  <c r="AT672" i="1"/>
  <c r="AS672" i="1"/>
  <c r="CS671" i="1"/>
  <c r="CR671" i="1"/>
  <c r="CQ671" i="1"/>
  <c r="CP671" i="1"/>
  <c r="CO671" i="1"/>
  <c r="CN671" i="1"/>
  <c r="CL671" i="1"/>
  <c r="CK671" i="1"/>
  <c r="CJ671" i="1"/>
  <c r="CI671" i="1"/>
  <c r="CH671" i="1"/>
  <c r="CG671" i="1"/>
  <c r="CF671" i="1"/>
  <c r="CD671" i="1"/>
  <c r="CC671" i="1"/>
  <c r="CB671" i="1"/>
  <c r="CA671" i="1"/>
  <c r="BZ671" i="1"/>
  <c r="BY671" i="1"/>
  <c r="BX671" i="1"/>
  <c r="BU671" i="1"/>
  <c r="BN671" i="1"/>
  <c r="BS671" i="1" s="1"/>
  <c r="BA671" i="1"/>
  <c r="AZ671" i="1"/>
  <c r="AY671" i="1"/>
  <c r="AX671" i="1"/>
  <c r="AW671" i="1"/>
  <c r="AV671" i="1"/>
  <c r="AT671" i="1"/>
  <c r="AS671" i="1"/>
  <c r="CS670" i="1"/>
  <c r="CR670" i="1"/>
  <c r="CQ670" i="1"/>
  <c r="CP670" i="1"/>
  <c r="CO670" i="1"/>
  <c r="CN670" i="1"/>
  <c r="CL670" i="1"/>
  <c r="CK670" i="1"/>
  <c r="CJ670" i="1"/>
  <c r="CI670" i="1"/>
  <c r="CH670" i="1"/>
  <c r="CG670" i="1"/>
  <c r="CF670" i="1"/>
  <c r="CD670" i="1"/>
  <c r="CC670" i="1"/>
  <c r="CB670" i="1"/>
  <c r="CA670" i="1"/>
  <c r="BZ670" i="1"/>
  <c r="BY670" i="1"/>
  <c r="BX670" i="1"/>
  <c r="BU670" i="1"/>
  <c r="BN670" i="1"/>
  <c r="BS670" i="1" s="1"/>
  <c r="BA670" i="1"/>
  <c r="AZ670" i="1"/>
  <c r="AY670" i="1"/>
  <c r="AX670" i="1"/>
  <c r="AW670" i="1"/>
  <c r="AV670" i="1"/>
  <c r="AT670" i="1"/>
  <c r="AS670" i="1"/>
  <c r="CS669" i="1"/>
  <c r="CR669" i="1"/>
  <c r="CQ669" i="1"/>
  <c r="CP669" i="1"/>
  <c r="CO669" i="1"/>
  <c r="CN669" i="1"/>
  <c r="CL669" i="1"/>
  <c r="CK669" i="1"/>
  <c r="CJ669" i="1"/>
  <c r="CI669" i="1"/>
  <c r="CH669" i="1"/>
  <c r="CG669" i="1"/>
  <c r="CF669" i="1"/>
  <c r="CD669" i="1"/>
  <c r="CC669" i="1"/>
  <c r="CB669" i="1"/>
  <c r="CA669" i="1"/>
  <c r="BZ669" i="1"/>
  <c r="BY669" i="1"/>
  <c r="BX669" i="1"/>
  <c r="BU669" i="1"/>
  <c r="BN669" i="1"/>
  <c r="BS669" i="1" s="1"/>
  <c r="BA669" i="1"/>
  <c r="AZ669" i="1"/>
  <c r="AY669" i="1"/>
  <c r="AX669" i="1"/>
  <c r="AW669" i="1"/>
  <c r="AV669" i="1"/>
  <c r="AT669" i="1"/>
  <c r="AS669" i="1"/>
  <c r="CS668" i="1"/>
  <c r="CR668" i="1"/>
  <c r="CQ668" i="1"/>
  <c r="CP668" i="1"/>
  <c r="CO668" i="1"/>
  <c r="CN668" i="1"/>
  <c r="CL668" i="1"/>
  <c r="CK668" i="1"/>
  <c r="CJ668" i="1"/>
  <c r="CI668" i="1"/>
  <c r="CH668" i="1"/>
  <c r="CG668" i="1"/>
  <c r="CF668" i="1"/>
  <c r="CD668" i="1"/>
  <c r="CC668" i="1"/>
  <c r="CB668" i="1"/>
  <c r="CA668" i="1"/>
  <c r="BZ668" i="1"/>
  <c r="BY668" i="1"/>
  <c r="BX668" i="1"/>
  <c r="BU668" i="1"/>
  <c r="BN668" i="1"/>
  <c r="BS668" i="1" s="1"/>
  <c r="BA668" i="1"/>
  <c r="AZ668" i="1"/>
  <c r="AY668" i="1"/>
  <c r="AX668" i="1"/>
  <c r="AW668" i="1"/>
  <c r="AV668" i="1"/>
  <c r="AT668" i="1"/>
  <c r="AS668" i="1"/>
  <c r="CS667" i="1"/>
  <c r="CR667" i="1"/>
  <c r="CQ667" i="1"/>
  <c r="CP667" i="1"/>
  <c r="CO667" i="1"/>
  <c r="CN667" i="1"/>
  <c r="CL667" i="1"/>
  <c r="CK667" i="1"/>
  <c r="CJ667" i="1"/>
  <c r="CI667" i="1"/>
  <c r="CH667" i="1"/>
  <c r="CG667" i="1"/>
  <c r="CF667" i="1"/>
  <c r="CD667" i="1"/>
  <c r="CC667" i="1"/>
  <c r="CB667" i="1"/>
  <c r="CA667" i="1"/>
  <c r="BZ667" i="1"/>
  <c r="BY667" i="1"/>
  <c r="BX667" i="1"/>
  <c r="BU667" i="1"/>
  <c r="BN667" i="1"/>
  <c r="BS667" i="1" s="1"/>
  <c r="BA667" i="1"/>
  <c r="AZ667" i="1"/>
  <c r="AY667" i="1"/>
  <c r="AX667" i="1"/>
  <c r="AW667" i="1"/>
  <c r="AV667" i="1"/>
  <c r="AT667" i="1"/>
  <c r="AS667" i="1"/>
  <c r="CS666" i="1"/>
  <c r="CR666" i="1"/>
  <c r="CQ666" i="1"/>
  <c r="CP666" i="1"/>
  <c r="CO666" i="1"/>
  <c r="CN666" i="1"/>
  <c r="CL666" i="1"/>
  <c r="CK666" i="1"/>
  <c r="CJ666" i="1"/>
  <c r="CI666" i="1"/>
  <c r="CH666" i="1"/>
  <c r="CG666" i="1"/>
  <c r="CF666" i="1"/>
  <c r="CD666" i="1"/>
  <c r="CC666" i="1"/>
  <c r="CB666" i="1"/>
  <c r="CA666" i="1"/>
  <c r="BZ666" i="1"/>
  <c r="BY666" i="1"/>
  <c r="BX666" i="1"/>
  <c r="BU666" i="1"/>
  <c r="BN666" i="1"/>
  <c r="BS666" i="1" s="1"/>
  <c r="BA666" i="1"/>
  <c r="AZ666" i="1"/>
  <c r="AY666" i="1"/>
  <c r="AX666" i="1"/>
  <c r="AW666" i="1"/>
  <c r="AV666" i="1"/>
  <c r="AT666" i="1"/>
  <c r="AS666" i="1"/>
  <c r="CS665" i="1"/>
  <c r="CR665" i="1"/>
  <c r="CQ665" i="1"/>
  <c r="CP665" i="1"/>
  <c r="CO665" i="1"/>
  <c r="CN665" i="1"/>
  <c r="CL665" i="1"/>
  <c r="CK665" i="1"/>
  <c r="CJ665" i="1"/>
  <c r="CI665" i="1"/>
  <c r="CH665" i="1"/>
  <c r="CG665" i="1"/>
  <c r="CF665" i="1"/>
  <c r="CD665" i="1"/>
  <c r="CC665" i="1"/>
  <c r="CB665" i="1"/>
  <c r="CA665" i="1"/>
  <c r="BZ665" i="1"/>
  <c r="BY665" i="1"/>
  <c r="BX665" i="1"/>
  <c r="BU665" i="1"/>
  <c r="BN665" i="1"/>
  <c r="BS665" i="1" s="1"/>
  <c r="BA665" i="1"/>
  <c r="AZ665" i="1"/>
  <c r="AY665" i="1"/>
  <c r="AX665" i="1"/>
  <c r="AW665" i="1"/>
  <c r="AV665" i="1"/>
  <c r="AT665" i="1"/>
  <c r="AS665" i="1"/>
  <c r="CS664" i="1"/>
  <c r="CR664" i="1"/>
  <c r="CQ664" i="1"/>
  <c r="CP664" i="1"/>
  <c r="CO664" i="1"/>
  <c r="CN664" i="1"/>
  <c r="CL664" i="1"/>
  <c r="CK664" i="1"/>
  <c r="CJ664" i="1"/>
  <c r="CI664" i="1"/>
  <c r="CH664" i="1"/>
  <c r="CG664" i="1"/>
  <c r="CF664" i="1"/>
  <c r="CD664" i="1"/>
  <c r="CC664" i="1"/>
  <c r="CB664" i="1"/>
  <c r="CA664" i="1"/>
  <c r="BZ664" i="1"/>
  <c r="BY664" i="1"/>
  <c r="BX664" i="1"/>
  <c r="BU664" i="1"/>
  <c r="BN664" i="1"/>
  <c r="BS664" i="1" s="1"/>
  <c r="BA664" i="1"/>
  <c r="AZ664" i="1"/>
  <c r="AY664" i="1"/>
  <c r="AX664" i="1"/>
  <c r="AW664" i="1"/>
  <c r="AV664" i="1"/>
  <c r="AT664" i="1"/>
  <c r="AS664" i="1"/>
  <c r="CS663" i="1"/>
  <c r="CR663" i="1"/>
  <c r="CQ663" i="1"/>
  <c r="CP663" i="1"/>
  <c r="CO663" i="1"/>
  <c r="CN663" i="1"/>
  <c r="CL663" i="1"/>
  <c r="CK663" i="1"/>
  <c r="CJ663" i="1"/>
  <c r="CI663" i="1"/>
  <c r="CH663" i="1"/>
  <c r="CG663" i="1"/>
  <c r="CF663" i="1"/>
  <c r="CD663" i="1"/>
  <c r="CC663" i="1"/>
  <c r="CB663" i="1"/>
  <c r="CA663" i="1"/>
  <c r="BZ663" i="1"/>
  <c r="BY663" i="1"/>
  <c r="BX663" i="1"/>
  <c r="BU663" i="1"/>
  <c r="BN663" i="1"/>
  <c r="BS663" i="1" s="1"/>
  <c r="BA663" i="1"/>
  <c r="AZ663" i="1"/>
  <c r="AY663" i="1"/>
  <c r="AX663" i="1"/>
  <c r="AW663" i="1"/>
  <c r="AV663" i="1"/>
  <c r="AT663" i="1"/>
  <c r="AS663" i="1"/>
  <c r="CS662" i="1"/>
  <c r="CR662" i="1"/>
  <c r="CQ662" i="1"/>
  <c r="CP662" i="1"/>
  <c r="CO662" i="1"/>
  <c r="CN662" i="1"/>
  <c r="CL662" i="1"/>
  <c r="CK662" i="1"/>
  <c r="CJ662" i="1"/>
  <c r="CI662" i="1"/>
  <c r="CH662" i="1"/>
  <c r="CG662" i="1"/>
  <c r="CF662" i="1"/>
  <c r="CD662" i="1"/>
  <c r="CC662" i="1"/>
  <c r="CB662" i="1"/>
  <c r="CA662" i="1"/>
  <c r="BZ662" i="1"/>
  <c r="BY662" i="1"/>
  <c r="BX662" i="1"/>
  <c r="BU662" i="1"/>
  <c r="BN662" i="1"/>
  <c r="BS662" i="1" s="1"/>
  <c r="BA662" i="1"/>
  <c r="AZ662" i="1"/>
  <c r="AY662" i="1"/>
  <c r="AX662" i="1"/>
  <c r="AW662" i="1"/>
  <c r="AV662" i="1"/>
  <c r="AT662" i="1"/>
  <c r="AS662" i="1"/>
  <c r="CS661" i="1"/>
  <c r="CR661" i="1"/>
  <c r="CQ661" i="1"/>
  <c r="CP661" i="1"/>
  <c r="CO661" i="1"/>
  <c r="CN661" i="1"/>
  <c r="CL661" i="1"/>
  <c r="CK661" i="1"/>
  <c r="CJ661" i="1"/>
  <c r="CI661" i="1"/>
  <c r="CH661" i="1"/>
  <c r="CG661" i="1"/>
  <c r="CF661" i="1"/>
  <c r="CD661" i="1"/>
  <c r="CC661" i="1"/>
  <c r="CB661" i="1"/>
  <c r="CA661" i="1"/>
  <c r="BZ661" i="1"/>
  <c r="BY661" i="1"/>
  <c r="BX661" i="1"/>
  <c r="BU661" i="1"/>
  <c r="BN661" i="1"/>
  <c r="BS661" i="1" s="1"/>
  <c r="BA661" i="1"/>
  <c r="AZ661" i="1"/>
  <c r="AY661" i="1"/>
  <c r="AX661" i="1"/>
  <c r="AW661" i="1"/>
  <c r="AV661" i="1"/>
  <c r="AT661" i="1"/>
  <c r="AS661" i="1"/>
  <c r="CS660" i="1"/>
  <c r="CR660" i="1"/>
  <c r="CQ660" i="1"/>
  <c r="CP660" i="1"/>
  <c r="CO660" i="1"/>
  <c r="CN660" i="1"/>
  <c r="CL660" i="1"/>
  <c r="CK660" i="1"/>
  <c r="CJ660" i="1"/>
  <c r="CI660" i="1"/>
  <c r="CH660" i="1"/>
  <c r="CG660" i="1"/>
  <c r="CF660" i="1"/>
  <c r="CD660" i="1"/>
  <c r="CC660" i="1"/>
  <c r="CB660" i="1"/>
  <c r="CA660" i="1"/>
  <c r="BZ660" i="1"/>
  <c r="BY660" i="1"/>
  <c r="BX660" i="1"/>
  <c r="BU660" i="1"/>
  <c r="BN660" i="1"/>
  <c r="BS660" i="1" s="1"/>
  <c r="BA660" i="1"/>
  <c r="AZ660" i="1"/>
  <c r="AY660" i="1"/>
  <c r="AX660" i="1"/>
  <c r="AW660" i="1"/>
  <c r="AV660" i="1"/>
  <c r="AT660" i="1"/>
  <c r="AS660" i="1"/>
  <c r="CS659" i="1"/>
  <c r="CR659" i="1"/>
  <c r="CQ659" i="1"/>
  <c r="CP659" i="1"/>
  <c r="CO659" i="1"/>
  <c r="CN659" i="1"/>
  <c r="CL659" i="1"/>
  <c r="CK659" i="1"/>
  <c r="CJ659" i="1"/>
  <c r="CI659" i="1"/>
  <c r="CH659" i="1"/>
  <c r="CG659" i="1"/>
  <c r="CF659" i="1"/>
  <c r="CD659" i="1"/>
  <c r="CC659" i="1"/>
  <c r="CB659" i="1"/>
  <c r="CA659" i="1"/>
  <c r="BZ659" i="1"/>
  <c r="BY659" i="1"/>
  <c r="BX659" i="1"/>
  <c r="BU659" i="1"/>
  <c r="BN659" i="1"/>
  <c r="BS659" i="1" s="1"/>
  <c r="BA659" i="1"/>
  <c r="AZ659" i="1"/>
  <c r="AY659" i="1"/>
  <c r="AX659" i="1"/>
  <c r="AW659" i="1"/>
  <c r="AV659" i="1"/>
  <c r="AT659" i="1"/>
  <c r="AS659" i="1"/>
  <c r="CS658" i="1"/>
  <c r="CR658" i="1"/>
  <c r="CQ658" i="1"/>
  <c r="CP658" i="1"/>
  <c r="CO658" i="1"/>
  <c r="CN658" i="1"/>
  <c r="CL658" i="1"/>
  <c r="CK658" i="1"/>
  <c r="CJ658" i="1"/>
  <c r="CI658" i="1"/>
  <c r="CH658" i="1"/>
  <c r="CG658" i="1"/>
  <c r="CF658" i="1"/>
  <c r="CD658" i="1"/>
  <c r="CC658" i="1"/>
  <c r="CB658" i="1"/>
  <c r="CA658" i="1"/>
  <c r="BZ658" i="1"/>
  <c r="BY658" i="1"/>
  <c r="BX658" i="1"/>
  <c r="BU658" i="1"/>
  <c r="BN658" i="1"/>
  <c r="BS658" i="1" s="1"/>
  <c r="BA658" i="1"/>
  <c r="AZ658" i="1"/>
  <c r="AY658" i="1"/>
  <c r="AX658" i="1"/>
  <c r="AW658" i="1"/>
  <c r="AV658" i="1"/>
  <c r="AT658" i="1"/>
  <c r="AS658" i="1"/>
  <c r="CS657" i="1"/>
  <c r="CR657" i="1"/>
  <c r="CQ657" i="1"/>
  <c r="CP657" i="1"/>
  <c r="CO657" i="1"/>
  <c r="CN657" i="1"/>
  <c r="CL657" i="1"/>
  <c r="CK657" i="1"/>
  <c r="CJ657" i="1"/>
  <c r="CI657" i="1"/>
  <c r="CH657" i="1"/>
  <c r="CG657" i="1"/>
  <c r="CF657" i="1"/>
  <c r="CD657" i="1"/>
  <c r="CC657" i="1"/>
  <c r="CB657" i="1"/>
  <c r="CA657" i="1"/>
  <c r="BZ657" i="1"/>
  <c r="BY657" i="1"/>
  <c r="BX657" i="1"/>
  <c r="BU657" i="1"/>
  <c r="BN657" i="1"/>
  <c r="BS657" i="1" s="1"/>
  <c r="BA657" i="1"/>
  <c r="AZ657" i="1"/>
  <c r="AY657" i="1"/>
  <c r="AX657" i="1"/>
  <c r="AW657" i="1"/>
  <c r="AV657" i="1"/>
  <c r="AT657" i="1"/>
  <c r="AS657" i="1"/>
  <c r="CS656" i="1"/>
  <c r="CR656" i="1"/>
  <c r="CQ656" i="1"/>
  <c r="CP656" i="1"/>
  <c r="CO656" i="1"/>
  <c r="CN656" i="1"/>
  <c r="CL656" i="1"/>
  <c r="CK656" i="1"/>
  <c r="CJ656" i="1"/>
  <c r="CI656" i="1"/>
  <c r="CH656" i="1"/>
  <c r="CG656" i="1"/>
  <c r="CF656" i="1"/>
  <c r="CD656" i="1"/>
  <c r="CC656" i="1"/>
  <c r="CB656" i="1"/>
  <c r="CA656" i="1"/>
  <c r="BZ656" i="1"/>
  <c r="BY656" i="1"/>
  <c r="BX656" i="1"/>
  <c r="BU656" i="1"/>
  <c r="BN656" i="1"/>
  <c r="BS656" i="1" s="1"/>
  <c r="BA656" i="1"/>
  <c r="AZ656" i="1"/>
  <c r="AY656" i="1"/>
  <c r="AX656" i="1"/>
  <c r="AW656" i="1"/>
  <c r="AV656" i="1"/>
  <c r="AT656" i="1"/>
  <c r="AS656" i="1"/>
  <c r="CS655" i="1"/>
  <c r="CR655" i="1"/>
  <c r="CQ655" i="1"/>
  <c r="CP655" i="1"/>
  <c r="CO655" i="1"/>
  <c r="CN655" i="1"/>
  <c r="CL655" i="1"/>
  <c r="CK655" i="1"/>
  <c r="CJ655" i="1"/>
  <c r="CI655" i="1"/>
  <c r="CH655" i="1"/>
  <c r="CG655" i="1"/>
  <c r="CF655" i="1"/>
  <c r="CD655" i="1"/>
  <c r="CC655" i="1"/>
  <c r="CB655" i="1"/>
  <c r="CA655" i="1"/>
  <c r="BZ655" i="1"/>
  <c r="BY655" i="1"/>
  <c r="BX655" i="1"/>
  <c r="BU655" i="1"/>
  <c r="BN655" i="1"/>
  <c r="BS655" i="1" s="1"/>
  <c r="BA655" i="1"/>
  <c r="AZ655" i="1"/>
  <c r="AY655" i="1"/>
  <c r="AX655" i="1"/>
  <c r="AW655" i="1"/>
  <c r="AV655" i="1"/>
  <c r="AT655" i="1"/>
  <c r="AS655" i="1"/>
  <c r="CS654" i="1"/>
  <c r="CR654" i="1"/>
  <c r="CQ654" i="1"/>
  <c r="CP654" i="1"/>
  <c r="CO654" i="1"/>
  <c r="CN654" i="1"/>
  <c r="CL654" i="1"/>
  <c r="CK654" i="1"/>
  <c r="CJ654" i="1"/>
  <c r="CI654" i="1"/>
  <c r="CH654" i="1"/>
  <c r="CG654" i="1"/>
  <c r="CF654" i="1"/>
  <c r="CD654" i="1"/>
  <c r="CC654" i="1"/>
  <c r="CB654" i="1"/>
  <c r="CA654" i="1"/>
  <c r="BZ654" i="1"/>
  <c r="BY654" i="1"/>
  <c r="BX654" i="1"/>
  <c r="BU654" i="1"/>
  <c r="BN654" i="1"/>
  <c r="BS654" i="1" s="1"/>
  <c r="BA654" i="1"/>
  <c r="AZ654" i="1"/>
  <c r="AY654" i="1"/>
  <c r="AX654" i="1"/>
  <c r="AW654" i="1"/>
  <c r="AV654" i="1"/>
  <c r="AT654" i="1"/>
  <c r="AS654" i="1"/>
  <c r="CS653" i="1"/>
  <c r="CR653" i="1"/>
  <c r="CQ653" i="1"/>
  <c r="CP653" i="1"/>
  <c r="CO653" i="1"/>
  <c r="CN653" i="1"/>
  <c r="CL653" i="1"/>
  <c r="CK653" i="1"/>
  <c r="CJ653" i="1"/>
  <c r="CI653" i="1"/>
  <c r="CH653" i="1"/>
  <c r="CG653" i="1"/>
  <c r="CF653" i="1"/>
  <c r="CD653" i="1"/>
  <c r="CC653" i="1"/>
  <c r="CB653" i="1"/>
  <c r="CA653" i="1"/>
  <c r="BZ653" i="1"/>
  <c r="BY653" i="1"/>
  <c r="BX653" i="1"/>
  <c r="BU653" i="1"/>
  <c r="BN653" i="1"/>
  <c r="BS653" i="1" s="1"/>
  <c r="BA653" i="1"/>
  <c r="AZ653" i="1"/>
  <c r="AY653" i="1"/>
  <c r="AX653" i="1"/>
  <c r="AW653" i="1"/>
  <c r="AV653" i="1"/>
  <c r="AT653" i="1"/>
  <c r="AS653" i="1"/>
  <c r="CS652" i="1"/>
  <c r="CR652" i="1"/>
  <c r="CQ652" i="1"/>
  <c r="CP652" i="1"/>
  <c r="CO652" i="1"/>
  <c r="CN652" i="1"/>
  <c r="CL652" i="1"/>
  <c r="CK652" i="1"/>
  <c r="CJ652" i="1"/>
  <c r="CI652" i="1"/>
  <c r="CH652" i="1"/>
  <c r="CG652" i="1"/>
  <c r="CF652" i="1"/>
  <c r="CD652" i="1"/>
  <c r="CC652" i="1"/>
  <c r="CB652" i="1"/>
  <c r="CA652" i="1"/>
  <c r="BZ652" i="1"/>
  <c r="BY652" i="1"/>
  <c r="BX652" i="1"/>
  <c r="BU652" i="1"/>
  <c r="BN652" i="1"/>
  <c r="BS652" i="1" s="1"/>
  <c r="BA652" i="1"/>
  <c r="AZ652" i="1"/>
  <c r="AY652" i="1"/>
  <c r="AX652" i="1"/>
  <c r="AW652" i="1"/>
  <c r="AV652" i="1"/>
  <c r="AT652" i="1"/>
  <c r="AS652" i="1"/>
  <c r="CS651" i="1"/>
  <c r="CR651" i="1"/>
  <c r="CQ651" i="1"/>
  <c r="CP651" i="1"/>
  <c r="CO651" i="1"/>
  <c r="CN651" i="1"/>
  <c r="CL651" i="1"/>
  <c r="CK651" i="1"/>
  <c r="CJ651" i="1"/>
  <c r="CI651" i="1"/>
  <c r="CH651" i="1"/>
  <c r="CG651" i="1"/>
  <c r="CF651" i="1"/>
  <c r="CD651" i="1"/>
  <c r="CC651" i="1"/>
  <c r="CB651" i="1"/>
  <c r="CA651" i="1"/>
  <c r="BZ651" i="1"/>
  <c r="BY651" i="1"/>
  <c r="BX651" i="1"/>
  <c r="BU651" i="1"/>
  <c r="BN651" i="1"/>
  <c r="BS651" i="1" s="1"/>
  <c r="BA651" i="1"/>
  <c r="AZ651" i="1"/>
  <c r="AY651" i="1"/>
  <c r="AX651" i="1"/>
  <c r="AW651" i="1"/>
  <c r="AV651" i="1"/>
  <c r="AT651" i="1"/>
  <c r="AS651" i="1"/>
  <c r="CS650" i="1"/>
  <c r="CR650" i="1"/>
  <c r="CQ650" i="1"/>
  <c r="CP650" i="1"/>
  <c r="CO650" i="1"/>
  <c r="CN650" i="1"/>
  <c r="CL650" i="1"/>
  <c r="CK650" i="1"/>
  <c r="CJ650" i="1"/>
  <c r="CI650" i="1"/>
  <c r="CH650" i="1"/>
  <c r="CG650" i="1"/>
  <c r="CF650" i="1"/>
  <c r="CD650" i="1"/>
  <c r="CC650" i="1"/>
  <c r="CB650" i="1"/>
  <c r="CA650" i="1"/>
  <c r="BZ650" i="1"/>
  <c r="BY650" i="1"/>
  <c r="BX650" i="1"/>
  <c r="BU650" i="1"/>
  <c r="BN650" i="1"/>
  <c r="BS650" i="1" s="1"/>
  <c r="BA650" i="1"/>
  <c r="AZ650" i="1"/>
  <c r="AY650" i="1"/>
  <c r="AX650" i="1"/>
  <c r="AW650" i="1"/>
  <c r="AV650" i="1"/>
  <c r="AT650" i="1"/>
  <c r="AS650" i="1"/>
  <c r="CS649" i="1"/>
  <c r="CR649" i="1"/>
  <c r="CQ649" i="1"/>
  <c r="CP649" i="1"/>
  <c r="CO649" i="1"/>
  <c r="CN649" i="1"/>
  <c r="CL649" i="1"/>
  <c r="CK649" i="1"/>
  <c r="CJ649" i="1"/>
  <c r="CI649" i="1"/>
  <c r="CH649" i="1"/>
  <c r="CG649" i="1"/>
  <c r="CF649" i="1"/>
  <c r="CD649" i="1"/>
  <c r="CC649" i="1"/>
  <c r="CB649" i="1"/>
  <c r="CA649" i="1"/>
  <c r="BZ649" i="1"/>
  <c r="BY649" i="1"/>
  <c r="BX649" i="1"/>
  <c r="BU649" i="1"/>
  <c r="BN649" i="1"/>
  <c r="BS649" i="1" s="1"/>
  <c r="BA649" i="1"/>
  <c r="AZ649" i="1"/>
  <c r="AY649" i="1"/>
  <c r="AX649" i="1"/>
  <c r="AW649" i="1"/>
  <c r="AV649" i="1"/>
  <c r="AT649" i="1"/>
  <c r="AS649" i="1"/>
  <c r="CS648" i="1"/>
  <c r="CR648" i="1"/>
  <c r="CQ648" i="1"/>
  <c r="CP648" i="1"/>
  <c r="CO648" i="1"/>
  <c r="CN648" i="1"/>
  <c r="CL648" i="1"/>
  <c r="CK648" i="1"/>
  <c r="CJ648" i="1"/>
  <c r="CI648" i="1"/>
  <c r="CH648" i="1"/>
  <c r="CG648" i="1"/>
  <c r="CF648" i="1"/>
  <c r="CD648" i="1"/>
  <c r="CC648" i="1"/>
  <c r="CB648" i="1"/>
  <c r="CA648" i="1"/>
  <c r="BZ648" i="1"/>
  <c r="BY648" i="1"/>
  <c r="BX648" i="1"/>
  <c r="BU648" i="1"/>
  <c r="BN648" i="1"/>
  <c r="BS648" i="1" s="1"/>
  <c r="BA648" i="1"/>
  <c r="AZ648" i="1"/>
  <c r="AY648" i="1"/>
  <c r="AX648" i="1"/>
  <c r="AW648" i="1"/>
  <c r="AV648" i="1"/>
  <c r="AT648" i="1"/>
  <c r="AS648" i="1"/>
  <c r="CS647" i="1"/>
  <c r="CR647" i="1"/>
  <c r="CQ647" i="1"/>
  <c r="CP647" i="1"/>
  <c r="CO647" i="1"/>
  <c r="CN647" i="1"/>
  <c r="CL647" i="1"/>
  <c r="CK647" i="1"/>
  <c r="CJ647" i="1"/>
  <c r="CI647" i="1"/>
  <c r="CH647" i="1"/>
  <c r="CG647" i="1"/>
  <c r="CF647" i="1"/>
  <c r="CD647" i="1"/>
  <c r="CC647" i="1"/>
  <c r="CB647" i="1"/>
  <c r="CA647" i="1"/>
  <c r="BZ647" i="1"/>
  <c r="BY647" i="1"/>
  <c r="BX647" i="1"/>
  <c r="BU647" i="1"/>
  <c r="BN647" i="1"/>
  <c r="BS647" i="1" s="1"/>
  <c r="BA647" i="1"/>
  <c r="AZ647" i="1"/>
  <c r="AY647" i="1"/>
  <c r="AX647" i="1"/>
  <c r="AW647" i="1"/>
  <c r="AV647" i="1"/>
  <c r="AT647" i="1"/>
  <c r="AS647" i="1"/>
  <c r="CS646" i="1"/>
  <c r="CR646" i="1"/>
  <c r="CQ646" i="1"/>
  <c r="CP646" i="1"/>
  <c r="CO646" i="1"/>
  <c r="CN646" i="1"/>
  <c r="CL646" i="1"/>
  <c r="CK646" i="1"/>
  <c r="CJ646" i="1"/>
  <c r="CI646" i="1"/>
  <c r="CH646" i="1"/>
  <c r="CG646" i="1"/>
  <c r="CF646" i="1"/>
  <c r="CD646" i="1"/>
  <c r="CC646" i="1"/>
  <c r="CB646" i="1"/>
  <c r="CA646" i="1"/>
  <c r="BZ646" i="1"/>
  <c r="BY646" i="1"/>
  <c r="BX646" i="1"/>
  <c r="BU646" i="1"/>
  <c r="BN646" i="1"/>
  <c r="BS646" i="1" s="1"/>
  <c r="BA646" i="1"/>
  <c r="AZ646" i="1"/>
  <c r="AY646" i="1"/>
  <c r="AX646" i="1"/>
  <c r="AW646" i="1"/>
  <c r="AV646" i="1"/>
  <c r="AT646" i="1"/>
  <c r="AS646" i="1"/>
  <c r="CS645" i="1"/>
  <c r="CR645" i="1"/>
  <c r="CQ645" i="1"/>
  <c r="CP645" i="1"/>
  <c r="CO645" i="1"/>
  <c r="CN645" i="1"/>
  <c r="CL645" i="1"/>
  <c r="CK645" i="1"/>
  <c r="CJ645" i="1"/>
  <c r="CI645" i="1"/>
  <c r="CH645" i="1"/>
  <c r="CG645" i="1"/>
  <c r="CF645" i="1"/>
  <c r="CD645" i="1"/>
  <c r="CC645" i="1"/>
  <c r="CB645" i="1"/>
  <c r="CA645" i="1"/>
  <c r="BZ645" i="1"/>
  <c r="BY645" i="1"/>
  <c r="BX645" i="1"/>
  <c r="BU645" i="1"/>
  <c r="BN645" i="1"/>
  <c r="BS645" i="1" s="1"/>
  <c r="BA645" i="1"/>
  <c r="AZ645" i="1"/>
  <c r="AY645" i="1"/>
  <c r="AX645" i="1"/>
  <c r="AW645" i="1"/>
  <c r="AV645" i="1"/>
  <c r="AT645" i="1"/>
  <c r="AS645" i="1"/>
  <c r="CS644" i="1"/>
  <c r="CR644" i="1"/>
  <c r="CQ644" i="1"/>
  <c r="CP644" i="1"/>
  <c r="CO644" i="1"/>
  <c r="CN644" i="1"/>
  <c r="CL644" i="1"/>
  <c r="CK644" i="1"/>
  <c r="CJ644" i="1"/>
  <c r="CI644" i="1"/>
  <c r="CH644" i="1"/>
  <c r="CG644" i="1"/>
  <c r="CF644" i="1"/>
  <c r="CD644" i="1"/>
  <c r="CC644" i="1"/>
  <c r="CB644" i="1"/>
  <c r="CA644" i="1"/>
  <c r="BZ644" i="1"/>
  <c r="BY644" i="1"/>
  <c r="BX644" i="1"/>
  <c r="BU644" i="1"/>
  <c r="BN644" i="1"/>
  <c r="BS644" i="1" s="1"/>
  <c r="BA644" i="1"/>
  <c r="AZ644" i="1"/>
  <c r="AY644" i="1"/>
  <c r="AX644" i="1"/>
  <c r="AW644" i="1"/>
  <c r="AV644" i="1"/>
  <c r="AT644" i="1"/>
  <c r="AS644" i="1"/>
  <c r="CS643" i="1"/>
  <c r="CR643" i="1"/>
  <c r="CQ643" i="1"/>
  <c r="CP643" i="1"/>
  <c r="CO643" i="1"/>
  <c r="CN643" i="1"/>
  <c r="CL643" i="1"/>
  <c r="CK643" i="1"/>
  <c r="CJ643" i="1"/>
  <c r="CI643" i="1"/>
  <c r="CH643" i="1"/>
  <c r="CG643" i="1"/>
  <c r="CF643" i="1"/>
  <c r="CD643" i="1"/>
  <c r="CC643" i="1"/>
  <c r="CB643" i="1"/>
  <c r="CA643" i="1"/>
  <c r="BZ643" i="1"/>
  <c r="BY643" i="1"/>
  <c r="BX643" i="1"/>
  <c r="BU643" i="1"/>
  <c r="BN643" i="1"/>
  <c r="BS643" i="1" s="1"/>
  <c r="BA643" i="1"/>
  <c r="AZ643" i="1"/>
  <c r="AY643" i="1"/>
  <c r="AX643" i="1"/>
  <c r="AW643" i="1"/>
  <c r="AV643" i="1"/>
  <c r="AT643" i="1"/>
  <c r="AS643" i="1"/>
  <c r="CS642" i="1"/>
  <c r="CR642" i="1"/>
  <c r="CQ642" i="1"/>
  <c r="CP642" i="1"/>
  <c r="CO642" i="1"/>
  <c r="CN642" i="1"/>
  <c r="CL642" i="1"/>
  <c r="CK642" i="1"/>
  <c r="CJ642" i="1"/>
  <c r="CI642" i="1"/>
  <c r="CH642" i="1"/>
  <c r="CG642" i="1"/>
  <c r="CF642" i="1"/>
  <c r="CD642" i="1"/>
  <c r="CC642" i="1"/>
  <c r="CB642" i="1"/>
  <c r="CA642" i="1"/>
  <c r="BZ642" i="1"/>
  <c r="BY642" i="1"/>
  <c r="BX642" i="1"/>
  <c r="BU642" i="1"/>
  <c r="BN642" i="1"/>
  <c r="BS642" i="1" s="1"/>
  <c r="BA642" i="1"/>
  <c r="AZ642" i="1"/>
  <c r="AY642" i="1"/>
  <c r="AX642" i="1"/>
  <c r="AW642" i="1"/>
  <c r="AV642" i="1"/>
  <c r="AT642" i="1"/>
  <c r="AS642" i="1"/>
  <c r="CS641" i="1"/>
  <c r="CR641" i="1"/>
  <c r="CQ641" i="1"/>
  <c r="CP641" i="1"/>
  <c r="CO641" i="1"/>
  <c r="CN641" i="1"/>
  <c r="CL641" i="1"/>
  <c r="CK641" i="1"/>
  <c r="CJ641" i="1"/>
  <c r="CI641" i="1"/>
  <c r="CH641" i="1"/>
  <c r="CG641" i="1"/>
  <c r="CF641" i="1"/>
  <c r="CD641" i="1"/>
  <c r="CC641" i="1"/>
  <c r="CB641" i="1"/>
  <c r="CA641" i="1"/>
  <c r="BZ641" i="1"/>
  <c r="BY641" i="1"/>
  <c r="BX641" i="1"/>
  <c r="BU641" i="1"/>
  <c r="BN641" i="1"/>
  <c r="BS641" i="1" s="1"/>
  <c r="BA641" i="1"/>
  <c r="AZ641" i="1"/>
  <c r="AY641" i="1"/>
  <c r="AX641" i="1"/>
  <c r="AW641" i="1"/>
  <c r="AV641" i="1"/>
  <c r="AT641" i="1"/>
  <c r="AS641" i="1"/>
  <c r="CS640" i="1"/>
  <c r="CR640" i="1"/>
  <c r="CQ640" i="1"/>
  <c r="CP640" i="1"/>
  <c r="CO640" i="1"/>
  <c r="CN640" i="1"/>
  <c r="CL640" i="1"/>
  <c r="CK640" i="1"/>
  <c r="CJ640" i="1"/>
  <c r="CI640" i="1"/>
  <c r="CH640" i="1"/>
  <c r="CG640" i="1"/>
  <c r="CF640" i="1"/>
  <c r="CD640" i="1"/>
  <c r="CC640" i="1"/>
  <c r="CB640" i="1"/>
  <c r="CA640" i="1"/>
  <c r="BZ640" i="1"/>
  <c r="BY640" i="1"/>
  <c r="BX640" i="1"/>
  <c r="BU640" i="1"/>
  <c r="BN640" i="1"/>
  <c r="BS640" i="1" s="1"/>
  <c r="BA640" i="1"/>
  <c r="AZ640" i="1"/>
  <c r="AY640" i="1"/>
  <c r="AX640" i="1"/>
  <c r="AW640" i="1"/>
  <c r="AV640" i="1"/>
  <c r="AT640" i="1"/>
  <c r="AS640" i="1"/>
  <c r="CS639" i="1"/>
  <c r="CR639" i="1"/>
  <c r="CQ639" i="1"/>
  <c r="CP639" i="1"/>
  <c r="CO639" i="1"/>
  <c r="CN639" i="1"/>
  <c r="CL639" i="1"/>
  <c r="CK639" i="1"/>
  <c r="CJ639" i="1"/>
  <c r="CI639" i="1"/>
  <c r="CH639" i="1"/>
  <c r="CG639" i="1"/>
  <c r="CF639" i="1"/>
  <c r="CD639" i="1"/>
  <c r="CC639" i="1"/>
  <c r="CB639" i="1"/>
  <c r="CA639" i="1"/>
  <c r="BZ639" i="1"/>
  <c r="BY639" i="1"/>
  <c r="BX639" i="1"/>
  <c r="BU639" i="1"/>
  <c r="BN639" i="1"/>
  <c r="BS639" i="1" s="1"/>
  <c r="BA639" i="1"/>
  <c r="AZ639" i="1"/>
  <c r="AY639" i="1"/>
  <c r="AX639" i="1"/>
  <c r="AW639" i="1"/>
  <c r="AV639" i="1"/>
  <c r="AT639" i="1"/>
  <c r="AS639" i="1"/>
  <c r="CS638" i="1"/>
  <c r="CR638" i="1"/>
  <c r="CQ638" i="1"/>
  <c r="CP638" i="1"/>
  <c r="CO638" i="1"/>
  <c r="CN638" i="1"/>
  <c r="CL638" i="1"/>
  <c r="CK638" i="1"/>
  <c r="CJ638" i="1"/>
  <c r="CI638" i="1"/>
  <c r="CH638" i="1"/>
  <c r="CG638" i="1"/>
  <c r="CF638" i="1"/>
  <c r="CD638" i="1"/>
  <c r="CC638" i="1"/>
  <c r="CB638" i="1"/>
  <c r="CA638" i="1"/>
  <c r="BZ638" i="1"/>
  <c r="BY638" i="1"/>
  <c r="BX638" i="1"/>
  <c r="BU638" i="1"/>
  <c r="BN638" i="1"/>
  <c r="BS638" i="1" s="1"/>
  <c r="BA638" i="1"/>
  <c r="AZ638" i="1"/>
  <c r="AY638" i="1"/>
  <c r="AX638" i="1"/>
  <c r="AW638" i="1"/>
  <c r="AV638" i="1"/>
  <c r="AT638" i="1"/>
  <c r="AS638" i="1"/>
  <c r="CS637" i="1"/>
  <c r="CR637" i="1"/>
  <c r="CQ637" i="1"/>
  <c r="CP637" i="1"/>
  <c r="CO637" i="1"/>
  <c r="CN637" i="1"/>
  <c r="CL637" i="1"/>
  <c r="CK637" i="1"/>
  <c r="CJ637" i="1"/>
  <c r="CI637" i="1"/>
  <c r="CH637" i="1"/>
  <c r="CG637" i="1"/>
  <c r="CF637" i="1"/>
  <c r="CD637" i="1"/>
  <c r="CC637" i="1"/>
  <c r="CB637" i="1"/>
  <c r="CA637" i="1"/>
  <c r="BZ637" i="1"/>
  <c r="BY637" i="1"/>
  <c r="BX637" i="1"/>
  <c r="BU637" i="1"/>
  <c r="BN637" i="1"/>
  <c r="BS637" i="1" s="1"/>
  <c r="BA637" i="1"/>
  <c r="AZ637" i="1"/>
  <c r="AY637" i="1"/>
  <c r="AX637" i="1"/>
  <c r="AW637" i="1"/>
  <c r="AV637" i="1"/>
  <c r="AT637" i="1"/>
  <c r="AS637" i="1"/>
  <c r="CS636" i="1"/>
  <c r="CR636" i="1"/>
  <c r="CQ636" i="1"/>
  <c r="CP636" i="1"/>
  <c r="CO636" i="1"/>
  <c r="CN636" i="1"/>
  <c r="CL636" i="1"/>
  <c r="CK636" i="1"/>
  <c r="CJ636" i="1"/>
  <c r="CI636" i="1"/>
  <c r="CH636" i="1"/>
  <c r="CG636" i="1"/>
  <c r="CF636" i="1"/>
  <c r="CD636" i="1"/>
  <c r="CC636" i="1"/>
  <c r="CB636" i="1"/>
  <c r="CA636" i="1"/>
  <c r="BZ636" i="1"/>
  <c r="BY636" i="1"/>
  <c r="BX636" i="1"/>
  <c r="BU636" i="1"/>
  <c r="BN636" i="1"/>
  <c r="BS636" i="1" s="1"/>
  <c r="BA636" i="1"/>
  <c r="AZ636" i="1"/>
  <c r="AY636" i="1"/>
  <c r="AX636" i="1"/>
  <c r="AW636" i="1"/>
  <c r="AV636" i="1"/>
  <c r="AT636" i="1"/>
  <c r="AS636" i="1"/>
  <c r="CS635" i="1"/>
  <c r="CR635" i="1"/>
  <c r="CQ635" i="1"/>
  <c r="CP635" i="1"/>
  <c r="CO635" i="1"/>
  <c r="CN635" i="1"/>
  <c r="CL635" i="1"/>
  <c r="CK635" i="1"/>
  <c r="CJ635" i="1"/>
  <c r="CI635" i="1"/>
  <c r="CH635" i="1"/>
  <c r="CG635" i="1"/>
  <c r="CF635" i="1"/>
  <c r="CD635" i="1"/>
  <c r="CC635" i="1"/>
  <c r="CB635" i="1"/>
  <c r="CA635" i="1"/>
  <c r="BZ635" i="1"/>
  <c r="BY635" i="1"/>
  <c r="BX635" i="1"/>
  <c r="BU635" i="1"/>
  <c r="BN635" i="1"/>
  <c r="BS635" i="1" s="1"/>
  <c r="BA635" i="1"/>
  <c r="AZ635" i="1"/>
  <c r="AY635" i="1"/>
  <c r="AX635" i="1"/>
  <c r="AW635" i="1"/>
  <c r="AV635" i="1"/>
  <c r="AT635" i="1"/>
  <c r="AS635" i="1"/>
  <c r="CS634" i="1"/>
  <c r="CR634" i="1"/>
  <c r="CQ634" i="1"/>
  <c r="CP634" i="1"/>
  <c r="CO634" i="1"/>
  <c r="CN634" i="1"/>
  <c r="CL634" i="1"/>
  <c r="CK634" i="1"/>
  <c r="CJ634" i="1"/>
  <c r="CI634" i="1"/>
  <c r="CH634" i="1"/>
  <c r="CG634" i="1"/>
  <c r="CF634" i="1"/>
  <c r="CD634" i="1"/>
  <c r="CC634" i="1"/>
  <c r="CB634" i="1"/>
  <c r="CA634" i="1"/>
  <c r="BZ634" i="1"/>
  <c r="BY634" i="1"/>
  <c r="BX634" i="1"/>
  <c r="BU634" i="1"/>
  <c r="BN634" i="1"/>
  <c r="BS634" i="1" s="1"/>
  <c r="BA634" i="1"/>
  <c r="AZ634" i="1"/>
  <c r="AY634" i="1"/>
  <c r="AX634" i="1"/>
  <c r="AW634" i="1"/>
  <c r="AV634" i="1"/>
  <c r="AT634" i="1"/>
  <c r="AS634" i="1"/>
  <c r="CS633" i="1"/>
  <c r="CR633" i="1"/>
  <c r="CQ633" i="1"/>
  <c r="CP633" i="1"/>
  <c r="CO633" i="1"/>
  <c r="CN633" i="1"/>
  <c r="CL633" i="1"/>
  <c r="CK633" i="1"/>
  <c r="CJ633" i="1"/>
  <c r="CI633" i="1"/>
  <c r="CH633" i="1"/>
  <c r="CG633" i="1"/>
  <c r="CF633" i="1"/>
  <c r="CD633" i="1"/>
  <c r="CC633" i="1"/>
  <c r="CB633" i="1"/>
  <c r="CA633" i="1"/>
  <c r="BZ633" i="1"/>
  <c r="BY633" i="1"/>
  <c r="BX633" i="1"/>
  <c r="BU633" i="1"/>
  <c r="BN633" i="1"/>
  <c r="BS633" i="1" s="1"/>
  <c r="BA633" i="1"/>
  <c r="AZ633" i="1"/>
  <c r="AY633" i="1"/>
  <c r="AX633" i="1"/>
  <c r="AW633" i="1"/>
  <c r="AV633" i="1"/>
  <c r="AT633" i="1"/>
  <c r="AS633" i="1"/>
  <c r="CS632" i="1"/>
  <c r="CR632" i="1"/>
  <c r="CQ632" i="1"/>
  <c r="CP632" i="1"/>
  <c r="CO632" i="1"/>
  <c r="CN632" i="1"/>
  <c r="CL632" i="1"/>
  <c r="CK632" i="1"/>
  <c r="CJ632" i="1"/>
  <c r="CI632" i="1"/>
  <c r="CH632" i="1"/>
  <c r="CG632" i="1"/>
  <c r="CF632" i="1"/>
  <c r="CD632" i="1"/>
  <c r="CC632" i="1"/>
  <c r="CB632" i="1"/>
  <c r="CA632" i="1"/>
  <c r="BZ632" i="1"/>
  <c r="BY632" i="1"/>
  <c r="BX632" i="1"/>
  <c r="BU632" i="1"/>
  <c r="BN632" i="1"/>
  <c r="BS632" i="1" s="1"/>
  <c r="BA632" i="1"/>
  <c r="AZ632" i="1"/>
  <c r="AY632" i="1"/>
  <c r="AX632" i="1"/>
  <c r="AW632" i="1"/>
  <c r="AV632" i="1"/>
  <c r="AT632" i="1"/>
  <c r="AS632" i="1"/>
  <c r="CS631" i="1"/>
  <c r="CR631" i="1"/>
  <c r="CQ631" i="1"/>
  <c r="CP631" i="1"/>
  <c r="CO631" i="1"/>
  <c r="CN631" i="1"/>
  <c r="CL631" i="1"/>
  <c r="CK631" i="1"/>
  <c r="CJ631" i="1"/>
  <c r="CI631" i="1"/>
  <c r="CH631" i="1"/>
  <c r="CG631" i="1"/>
  <c r="CF631" i="1"/>
  <c r="CD631" i="1"/>
  <c r="CC631" i="1"/>
  <c r="CB631" i="1"/>
  <c r="CA631" i="1"/>
  <c r="BZ631" i="1"/>
  <c r="BY631" i="1"/>
  <c r="BX631" i="1"/>
  <c r="BU631" i="1"/>
  <c r="BN631" i="1"/>
  <c r="BS631" i="1" s="1"/>
  <c r="BA631" i="1"/>
  <c r="AZ631" i="1"/>
  <c r="AY631" i="1"/>
  <c r="AX631" i="1"/>
  <c r="AW631" i="1"/>
  <c r="AV631" i="1"/>
  <c r="AT631" i="1"/>
  <c r="AS631" i="1"/>
  <c r="CS630" i="1"/>
  <c r="CR630" i="1"/>
  <c r="CQ630" i="1"/>
  <c r="CP630" i="1"/>
  <c r="CO630" i="1"/>
  <c r="CN630" i="1"/>
  <c r="CL630" i="1"/>
  <c r="CK630" i="1"/>
  <c r="CJ630" i="1"/>
  <c r="CI630" i="1"/>
  <c r="CH630" i="1"/>
  <c r="CG630" i="1"/>
  <c r="CF630" i="1"/>
  <c r="CD630" i="1"/>
  <c r="CC630" i="1"/>
  <c r="CB630" i="1"/>
  <c r="CA630" i="1"/>
  <c r="BZ630" i="1"/>
  <c r="BY630" i="1"/>
  <c r="BX630" i="1"/>
  <c r="BU630" i="1"/>
  <c r="BN630" i="1"/>
  <c r="BS630" i="1" s="1"/>
  <c r="BA630" i="1"/>
  <c r="AZ630" i="1"/>
  <c r="AY630" i="1"/>
  <c r="AX630" i="1"/>
  <c r="AW630" i="1"/>
  <c r="AV630" i="1"/>
  <c r="AT630" i="1"/>
  <c r="AS630" i="1"/>
  <c r="CS629" i="1"/>
  <c r="CR629" i="1"/>
  <c r="CQ629" i="1"/>
  <c r="CP629" i="1"/>
  <c r="CO629" i="1"/>
  <c r="CN629" i="1"/>
  <c r="CL629" i="1"/>
  <c r="CK629" i="1"/>
  <c r="CJ629" i="1"/>
  <c r="CI629" i="1"/>
  <c r="CH629" i="1"/>
  <c r="CG629" i="1"/>
  <c r="CF629" i="1"/>
  <c r="CD629" i="1"/>
  <c r="CC629" i="1"/>
  <c r="CB629" i="1"/>
  <c r="CA629" i="1"/>
  <c r="BZ629" i="1"/>
  <c r="BY629" i="1"/>
  <c r="BX629" i="1"/>
  <c r="BU629" i="1"/>
  <c r="BN629" i="1"/>
  <c r="BS629" i="1" s="1"/>
  <c r="BA629" i="1"/>
  <c r="AZ629" i="1"/>
  <c r="AY629" i="1"/>
  <c r="AX629" i="1"/>
  <c r="AW629" i="1"/>
  <c r="AV629" i="1"/>
  <c r="AT629" i="1"/>
  <c r="AS629" i="1"/>
  <c r="CS628" i="1"/>
  <c r="CR628" i="1"/>
  <c r="CQ628" i="1"/>
  <c r="CP628" i="1"/>
  <c r="CO628" i="1"/>
  <c r="CN628" i="1"/>
  <c r="CL628" i="1"/>
  <c r="CK628" i="1"/>
  <c r="CJ628" i="1"/>
  <c r="CI628" i="1"/>
  <c r="CH628" i="1"/>
  <c r="CG628" i="1"/>
  <c r="CF628" i="1"/>
  <c r="CD628" i="1"/>
  <c r="CC628" i="1"/>
  <c r="CB628" i="1"/>
  <c r="CA628" i="1"/>
  <c r="BZ628" i="1"/>
  <c r="BY628" i="1"/>
  <c r="BX628" i="1"/>
  <c r="BU628" i="1"/>
  <c r="BN628" i="1"/>
  <c r="BS628" i="1" s="1"/>
  <c r="BA628" i="1"/>
  <c r="AZ628" i="1"/>
  <c r="AY628" i="1"/>
  <c r="AX628" i="1"/>
  <c r="AW628" i="1"/>
  <c r="AV628" i="1"/>
  <c r="AT628" i="1"/>
  <c r="AS628" i="1"/>
  <c r="CS627" i="1"/>
  <c r="CR627" i="1"/>
  <c r="CQ627" i="1"/>
  <c r="CP627" i="1"/>
  <c r="CO627" i="1"/>
  <c r="CN627" i="1"/>
  <c r="CL627" i="1"/>
  <c r="CK627" i="1"/>
  <c r="CJ627" i="1"/>
  <c r="CI627" i="1"/>
  <c r="CH627" i="1"/>
  <c r="CG627" i="1"/>
  <c r="CF627" i="1"/>
  <c r="CD627" i="1"/>
  <c r="CC627" i="1"/>
  <c r="CB627" i="1"/>
  <c r="CA627" i="1"/>
  <c r="BZ627" i="1"/>
  <c r="BY627" i="1"/>
  <c r="BX627" i="1"/>
  <c r="BU627" i="1"/>
  <c r="BN627" i="1"/>
  <c r="BS627" i="1" s="1"/>
  <c r="BA627" i="1"/>
  <c r="AZ627" i="1"/>
  <c r="AY627" i="1"/>
  <c r="AX627" i="1"/>
  <c r="AW627" i="1"/>
  <c r="AV627" i="1"/>
  <c r="AT627" i="1"/>
  <c r="AS627" i="1"/>
  <c r="CS626" i="1"/>
  <c r="CR626" i="1"/>
  <c r="CQ626" i="1"/>
  <c r="CP626" i="1"/>
  <c r="CO626" i="1"/>
  <c r="CN626" i="1"/>
  <c r="CL626" i="1"/>
  <c r="CK626" i="1"/>
  <c r="CJ626" i="1"/>
  <c r="CI626" i="1"/>
  <c r="CH626" i="1"/>
  <c r="CG626" i="1"/>
  <c r="CF626" i="1"/>
  <c r="CD626" i="1"/>
  <c r="CC626" i="1"/>
  <c r="CB626" i="1"/>
  <c r="CA626" i="1"/>
  <c r="BZ626" i="1"/>
  <c r="BY626" i="1"/>
  <c r="BX626" i="1"/>
  <c r="BU626" i="1"/>
  <c r="BN626" i="1"/>
  <c r="BS626" i="1" s="1"/>
  <c r="BA626" i="1"/>
  <c r="AZ626" i="1"/>
  <c r="AY626" i="1"/>
  <c r="AX626" i="1"/>
  <c r="AW626" i="1"/>
  <c r="AV626" i="1"/>
  <c r="AT626" i="1"/>
  <c r="AS626" i="1"/>
  <c r="CS625" i="1"/>
  <c r="CR625" i="1"/>
  <c r="CQ625" i="1"/>
  <c r="CP625" i="1"/>
  <c r="CO625" i="1"/>
  <c r="CN625" i="1"/>
  <c r="CL625" i="1"/>
  <c r="CK625" i="1"/>
  <c r="CJ625" i="1"/>
  <c r="CI625" i="1"/>
  <c r="CH625" i="1"/>
  <c r="CG625" i="1"/>
  <c r="CF625" i="1"/>
  <c r="CD625" i="1"/>
  <c r="CC625" i="1"/>
  <c r="CB625" i="1"/>
  <c r="CA625" i="1"/>
  <c r="BZ625" i="1"/>
  <c r="BY625" i="1"/>
  <c r="BX625" i="1"/>
  <c r="BU625" i="1"/>
  <c r="BN625" i="1"/>
  <c r="BS625" i="1" s="1"/>
  <c r="BA625" i="1"/>
  <c r="AZ625" i="1"/>
  <c r="AY625" i="1"/>
  <c r="AX625" i="1"/>
  <c r="AW625" i="1"/>
  <c r="AV625" i="1"/>
  <c r="AT625" i="1"/>
  <c r="AS625" i="1"/>
  <c r="CS624" i="1"/>
  <c r="CR624" i="1"/>
  <c r="CQ624" i="1"/>
  <c r="CP624" i="1"/>
  <c r="CO624" i="1"/>
  <c r="CN624" i="1"/>
  <c r="CL624" i="1"/>
  <c r="CK624" i="1"/>
  <c r="CJ624" i="1"/>
  <c r="CI624" i="1"/>
  <c r="CH624" i="1"/>
  <c r="CG624" i="1"/>
  <c r="CF624" i="1"/>
  <c r="CD624" i="1"/>
  <c r="CC624" i="1"/>
  <c r="CB624" i="1"/>
  <c r="CA624" i="1"/>
  <c r="BZ624" i="1"/>
  <c r="BY624" i="1"/>
  <c r="BX624" i="1"/>
  <c r="BU624" i="1"/>
  <c r="BN624" i="1"/>
  <c r="BS624" i="1" s="1"/>
  <c r="BA624" i="1"/>
  <c r="AZ624" i="1"/>
  <c r="AY624" i="1"/>
  <c r="AX624" i="1"/>
  <c r="AW624" i="1"/>
  <c r="AV624" i="1"/>
  <c r="AT624" i="1"/>
  <c r="AS624" i="1"/>
  <c r="CS623" i="1"/>
  <c r="CR623" i="1"/>
  <c r="CQ623" i="1"/>
  <c r="CP623" i="1"/>
  <c r="CO623" i="1"/>
  <c r="CN623" i="1"/>
  <c r="CL623" i="1"/>
  <c r="CK623" i="1"/>
  <c r="CJ623" i="1"/>
  <c r="CI623" i="1"/>
  <c r="CH623" i="1"/>
  <c r="CG623" i="1"/>
  <c r="CF623" i="1"/>
  <c r="CD623" i="1"/>
  <c r="CC623" i="1"/>
  <c r="CB623" i="1"/>
  <c r="CA623" i="1"/>
  <c r="BZ623" i="1"/>
  <c r="BY623" i="1"/>
  <c r="BX623" i="1"/>
  <c r="BU623" i="1"/>
  <c r="BN623" i="1"/>
  <c r="BS623" i="1" s="1"/>
  <c r="BA623" i="1"/>
  <c r="AZ623" i="1"/>
  <c r="AY623" i="1"/>
  <c r="AX623" i="1"/>
  <c r="AW623" i="1"/>
  <c r="AV623" i="1"/>
  <c r="AT623" i="1"/>
  <c r="AS623" i="1"/>
  <c r="CS622" i="1"/>
  <c r="CR622" i="1"/>
  <c r="CQ622" i="1"/>
  <c r="CP622" i="1"/>
  <c r="CO622" i="1"/>
  <c r="CN622" i="1"/>
  <c r="CL622" i="1"/>
  <c r="CK622" i="1"/>
  <c r="CJ622" i="1"/>
  <c r="CI622" i="1"/>
  <c r="CH622" i="1"/>
  <c r="CG622" i="1"/>
  <c r="CF622" i="1"/>
  <c r="CD622" i="1"/>
  <c r="CC622" i="1"/>
  <c r="CB622" i="1"/>
  <c r="CA622" i="1"/>
  <c r="BZ622" i="1"/>
  <c r="BY622" i="1"/>
  <c r="BX622" i="1"/>
  <c r="BU622" i="1"/>
  <c r="BN622" i="1"/>
  <c r="BS622" i="1" s="1"/>
  <c r="BA622" i="1"/>
  <c r="AZ622" i="1"/>
  <c r="AY622" i="1"/>
  <c r="AX622" i="1"/>
  <c r="AW622" i="1"/>
  <c r="AV622" i="1"/>
  <c r="AT622" i="1"/>
  <c r="AS622" i="1"/>
  <c r="CS621" i="1"/>
  <c r="CR621" i="1"/>
  <c r="CQ621" i="1"/>
  <c r="CP621" i="1"/>
  <c r="CO621" i="1"/>
  <c r="CN621" i="1"/>
  <c r="CL621" i="1"/>
  <c r="CK621" i="1"/>
  <c r="CJ621" i="1"/>
  <c r="CI621" i="1"/>
  <c r="CH621" i="1"/>
  <c r="CG621" i="1"/>
  <c r="CF621" i="1"/>
  <c r="CD621" i="1"/>
  <c r="CC621" i="1"/>
  <c r="CB621" i="1"/>
  <c r="CA621" i="1"/>
  <c r="BZ621" i="1"/>
  <c r="BY621" i="1"/>
  <c r="BX621" i="1"/>
  <c r="BU621" i="1"/>
  <c r="BN621" i="1"/>
  <c r="BS621" i="1" s="1"/>
  <c r="BA621" i="1"/>
  <c r="AZ621" i="1"/>
  <c r="AY621" i="1"/>
  <c r="AX621" i="1"/>
  <c r="AW621" i="1"/>
  <c r="AV621" i="1"/>
  <c r="AT621" i="1"/>
  <c r="AS621" i="1"/>
  <c r="CS620" i="1"/>
  <c r="CR620" i="1"/>
  <c r="CQ620" i="1"/>
  <c r="CP620" i="1"/>
  <c r="CO620" i="1"/>
  <c r="CN620" i="1"/>
  <c r="CL620" i="1"/>
  <c r="CK620" i="1"/>
  <c r="CJ620" i="1"/>
  <c r="CI620" i="1"/>
  <c r="CH620" i="1"/>
  <c r="CG620" i="1"/>
  <c r="CF620" i="1"/>
  <c r="CD620" i="1"/>
  <c r="CC620" i="1"/>
  <c r="CB620" i="1"/>
  <c r="CA620" i="1"/>
  <c r="BZ620" i="1"/>
  <c r="BY620" i="1"/>
  <c r="BX620" i="1"/>
  <c r="BU620" i="1"/>
  <c r="BN620" i="1"/>
  <c r="BS620" i="1" s="1"/>
  <c r="BA620" i="1"/>
  <c r="AZ620" i="1"/>
  <c r="AY620" i="1"/>
  <c r="AX620" i="1"/>
  <c r="AW620" i="1"/>
  <c r="AV620" i="1"/>
  <c r="AT620" i="1"/>
  <c r="AS620" i="1"/>
  <c r="CS619" i="1"/>
  <c r="CR619" i="1"/>
  <c r="CQ619" i="1"/>
  <c r="CP619" i="1"/>
  <c r="CO619" i="1"/>
  <c r="CN619" i="1"/>
  <c r="CL619" i="1"/>
  <c r="CK619" i="1"/>
  <c r="CJ619" i="1"/>
  <c r="CI619" i="1"/>
  <c r="CH619" i="1"/>
  <c r="CG619" i="1"/>
  <c r="CF619" i="1"/>
  <c r="CD619" i="1"/>
  <c r="CC619" i="1"/>
  <c r="CB619" i="1"/>
  <c r="CA619" i="1"/>
  <c r="BZ619" i="1"/>
  <c r="BY619" i="1"/>
  <c r="BX619" i="1"/>
  <c r="BU619" i="1"/>
  <c r="BN619" i="1"/>
  <c r="BS619" i="1" s="1"/>
  <c r="BA619" i="1"/>
  <c r="AZ619" i="1"/>
  <c r="AY619" i="1"/>
  <c r="AX619" i="1"/>
  <c r="AW619" i="1"/>
  <c r="AV619" i="1"/>
  <c r="AT619" i="1"/>
  <c r="AS619" i="1"/>
  <c r="CS618" i="1"/>
  <c r="CR618" i="1"/>
  <c r="CQ618" i="1"/>
  <c r="CP618" i="1"/>
  <c r="CO618" i="1"/>
  <c r="CN618" i="1"/>
  <c r="CL618" i="1"/>
  <c r="CK618" i="1"/>
  <c r="CJ618" i="1"/>
  <c r="CI618" i="1"/>
  <c r="CH618" i="1"/>
  <c r="CG618" i="1"/>
  <c r="CF618" i="1"/>
  <c r="CD618" i="1"/>
  <c r="CC618" i="1"/>
  <c r="CB618" i="1"/>
  <c r="CA618" i="1"/>
  <c r="BZ618" i="1"/>
  <c r="BY618" i="1"/>
  <c r="BX618" i="1"/>
  <c r="BU618" i="1"/>
  <c r="BN618" i="1"/>
  <c r="BS618" i="1" s="1"/>
  <c r="BA618" i="1"/>
  <c r="AZ618" i="1"/>
  <c r="AY618" i="1"/>
  <c r="AX618" i="1"/>
  <c r="AW618" i="1"/>
  <c r="AV618" i="1"/>
  <c r="AT618" i="1"/>
  <c r="AS618" i="1"/>
  <c r="CS617" i="1"/>
  <c r="CR617" i="1"/>
  <c r="CQ617" i="1"/>
  <c r="CP617" i="1"/>
  <c r="CO617" i="1"/>
  <c r="CN617" i="1"/>
  <c r="CL617" i="1"/>
  <c r="CK617" i="1"/>
  <c r="CJ617" i="1"/>
  <c r="CI617" i="1"/>
  <c r="CH617" i="1"/>
  <c r="CG617" i="1"/>
  <c r="CF617" i="1"/>
  <c r="CD617" i="1"/>
  <c r="CC617" i="1"/>
  <c r="CB617" i="1"/>
  <c r="CA617" i="1"/>
  <c r="BZ617" i="1"/>
  <c r="BY617" i="1"/>
  <c r="BX617" i="1"/>
  <c r="BU617" i="1"/>
  <c r="BN617" i="1"/>
  <c r="BS617" i="1" s="1"/>
  <c r="BA617" i="1"/>
  <c r="AZ617" i="1"/>
  <c r="AY617" i="1"/>
  <c r="AX617" i="1"/>
  <c r="AW617" i="1"/>
  <c r="AV617" i="1"/>
  <c r="AT617" i="1"/>
  <c r="AS617" i="1"/>
  <c r="CS616" i="1"/>
  <c r="CR616" i="1"/>
  <c r="CQ616" i="1"/>
  <c r="CP616" i="1"/>
  <c r="CO616" i="1"/>
  <c r="CN616" i="1"/>
  <c r="CL616" i="1"/>
  <c r="CK616" i="1"/>
  <c r="CJ616" i="1"/>
  <c r="CI616" i="1"/>
  <c r="CH616" i="1"/>
  <c r="CG616" i="1"/>
  <c r="CF616" i="1"/>
  <c r="CD616" i="1"/>
  <c r="CC616" i="1"/>
  <c r="CB616" i="1"/>
  <c r="CA616" i="1"/>
  <c r="BZ616" i="1"/>
  <c r="BY616" i="1"/>
  <c r="BX616" i="1"/>
  <c r="BU616" i="1"/>
  <c r="BN616" i="1"/>
  <c r="BS616" i="1" s="1"/>
  <c r="BA616" i="1"/>
  <c r="AZ616" i="1"/>
  <c r="AY616" i="1"/>
  <c r="AX616" i="1"/>
  <c r="AW616" i="1"/>
  <c r="AV616" i="1"/>
  <c r="AT616" i="1"/>
  <c r="AS616" i="1"/>
  <c r="CS615" i="1"/>
  <c r="CR615" i="1"/>
  <c r="CQ615" i="1"/>
  <c r="CP615" i="1"/>
  <c r="CO615" i="1"/>
  <c r="CN615" i="1"/>
  <c r="CL615" i="1"/>
  <c r="CK615" i="1"/>
  <c r="CJ615" i="1"/>
  <c r="CI615" i="1"/>
  <c r="CH615" i="1"/>
  <c r="CG615" i="1"/>
  <c r="CF615" i="1"/>
  <c r="CD615" i="1"/>
  <c r="CC615" i="1"/>
  <c r="CB615" i="1"/>
  <c r="CA615" i="1"/>
  <c r="BZ615" i="1"/>
  <c r="BY615" i="1"/>
  <c r="BX615" i="1"/>
  <c r="BU615" i="1"/>
  <c r="BN615" i="1"/>
  <c r="BS615" i="1" s="1"/>
  <c r="BA615" i="1"/>
  <c r="AZ615" i="1"/>
  <c r="AY615" i="1"/>
  <c r="AX615" i="1"/>
  <c r="AW615" i="1"/>
  <c r="AV615" i="1"/>
  <c r="AT615" i="1"/>
  <c r="AS615" i="1"/>
  <c r="CS614" i="1"/>
  <c r="CR614" i="1"/>
  <c r="CQ614" i="1"/>
  <c r="CP614" i="1"/>
  <c r="CO614" i="1"/>
  <c r="CN614" i="1"/>
  <c r="CL614" i="1"/>
  <c r="CK614" i="1"/>
  <c r="CJ614" i="1"/>
  <c r="CI614" i="1"/>
  <c r="CH614" i="1"/>
  <c r="CG614" i="1"/>
  <c r="CF614" i="1"/>
  <c r="CD614" i="1"/>
  <c r="CC614" i="1"/>
  <c r="CB614" i="1"/>
  <c r="CA614" i="1"/>
  <c r="BZ614" i="1"/>
  <c r="BY614" i="1"/>
  <c r="BX614" i="1"/>
  <c r="BU614" i="1"/>
  <c r="BN614" i="1"/>
  <c r="BS614" i="1" s="1"/>
  <c r="BA614" i="1"/>
  <c r="AZ614" i="1"/>
  <c r="AY614" i="1"/>
  <c r="AX614" i="1"/>
  <c r="AW614" i="1"/>
  <c r="AV614" i="1"/>
  <c r="AT614" i="1"/>
  <c r="AS614" i="1"/>
  <c r="CS613" i="1"/>
  <c r="CR613" i="1"/>
  <c r="CQ613" i="1"/>
  <c r="CP613" i="1"/>
  <c r="CO613" i="1"/>
  <c r="CN613" i="1"/>
  <c r="CL613" i="1"/>
  <c r="CK613" i="1"/>
  <c r="CJ613" i="1"/>
  <c r="CI613" i="1"/>
  <c r="CH613" i="1"/>
  <c r="CG613" i="1"/>
  <c r="CF613" i="1"/>
  <c r="CD613" i="1"/>
  <c r="CC613" i="1"/>
  <c r="CB613" i="1"/>
  <c r="CA613" i="1"/>
  <c r="BZ613" i="1"/>
  <c r="BY613" i="1"/>
  <c r="BX613" i="1"/>
  <c r="BU613" i="1"/>
  <c r="BN613" i="1"/>
  <c r="BS613" i="1" s="1"/>
  <c r="BA613" i="1"/>
  <c r="AZ613" i="1"/>
  <c r="AY613" i="1"/>
  <c r="AX613" i="1"/>
  <c r="AW613" i="1"/>
  <c r="AV613" i="1"/>
  <c r="AT613" i="1"/>
  <c r="AS613" i="1"/>
  <c r="CS612" i="1"/>
  <c r="CR612" i="1"/>
  <c r="CQ612" i="1"/>
  <c r="CP612" i="1"/>
  <c r="CO612" i="1"/>
  <c r="CN612" i="1"/>
  <c r="CL612" i="1"/>
  <c r="CK612" i="1"/>
  <c r="CJ612" i="1"/>
  <c r="CI612" i="1"/>
  <c r="CH612" i="1"/>
  <c r="CG612" i="1"/>
  <c r="CF612" i="1"/>
  <c r="CD612" i="1"/>
  <c r="CC612" i="1"/>
  <c r="CB612" i="1"/>
  <c r="CA612" i="1"/>
  <c r="BZ612" i="1"/>
  <c r="BY612" i="1"/>
  <c r="BX612" i="1"/>
  <c r="BU612" i="1"/>
  <c r="BN612" i="1"/>
  <c r="BS612" i="1" s="1"/>
  <c r="BA612" i="1"/>
  <c r="AZ612" i="1"/>
  <c r="AY612" i="1"/>
  <c r="AX612" i="1"/>
  <c r="AW612" i="1"/>
  <c r="AV612" i="1"/>
  <c r="AT612" i="1"/>
  <c r="AS612" i="1"/>
  <c r="CS611" i="1"/>
  <c r="CR611" i="1"/>
  <c r="CQ611" i="1"/>
  <c r="CP611" i="1"/>
  <c r="CO611" i="1"/>
  <c r="CN611" i="1"/>
  <c r="CL611" i="1"/>
  <c r="CK611" i="1"/>
  <c r="CJ611" i="1"/>
  <c r="CI611" i="1"/>
  <c r="CH611" i="1"/>
  <c r="CG611" i="1"/>
  <c r="CF611" i="1"/>
  <c r="CD611" i="1"/>
  <c r="CC611" i="1"/>
  <c r="CB611" i="1"/>
  <c r="CA611" i="1"/>
  <c r="BZ611" i="1"/>
  <c r="BY611" i="1"/>
  <c r="BX611" i="1"/>
  <c r="BU611" i="1"/>
  <c r="BN611" i="1"/>
  <c r="BS611" i="1" s="1"/>
  <c r="BA611" i="1"/>
  <c r="AZ611" i="1"/>
  <c r="AY611" i="1"/>
  <c r="AX611" i="1"/>
  <c r="AW611" i="1"/>
  <c r="AV611" i="1"/>
  <c r="AT611" i="1"/>
  <c r="AS611" i="1"/>
  <c r="CS610" i="1"/>
  <c r="CR610" i="1"/>
  <c r="CQ610" i="1"/>
  <c r="CP610" i="1"/>
  <c r="CO610" i="1"/>
  <c r="CN610" i="1"/>
  <c r="CL610" i="1"/>
  <c r="CK610" i="1"/>
  <c r="CJ610" i="1"/>
  <c r="CI610" i="1"/>
  <c r="CH610" i="1"/>
  <c r="CG610" i="1"/>
  <c r="CF610" i="1"/>
  <c r="CD610" i="1"/>
  <c r="CC610" i="1"/>
  <c r="CB610" i="1"/>
  <c r="CA610" i="1"/>
  <c r="BZ610" i="1"/>
  <c r="BY610" i="1"/>
  <c r="BX610" i="1"/>
  <c r="BU610" i="1"/>
  <c r="BN610" i="1"/>
  <c r="BS610" i="1" s="1"/>
  <c r="BA610" i="1"/>
  <c r="AZ610" i="1"/>
  <c r="AY610" i="1"/>
  <c r="AX610" i="1"/>
  <c r="AW610" i="1"/>
  <c r="AV610" i="1"/>
  <c r="AT610" i="1"/>
  <c r="AS610" i="1"/>
  <c r="CS609" i="1"/>
  <c r="CR609" i="1"/>
  <c r="CQ609" i="1"/>
  <c r="CP609" i="1"/>
  <c r="CO609" i="1"/>
  <c r="CN609" i="1"/>
  <c r="CL609" i="1"/>
  <c r="CK609" i="1"/>
  <c r="CJ609" i="1"/>
  <c r="CI609" i="1"/>
  <c r="CH609" i="1"/>
  <c r="CG609" i="1"/>
  <c r="CF609" i="1"/>
  <c r="CD609" i="1"/>
  <c r="CC609" i="1"/>
  <c r="CB609" i="1"/>
  <c r="CA609" i="1"/>
  <c r="BZ609" i="1"/>
  <c r="BY609" i="1"/>
  <c r="BX609" i="1"/>
  <c r="BU609" i="1"/>
  <c r="BN609" i="1"/>
  <c r="BS609" i="1" s="1"/>
  <c r="BA609" i="1"/>
  <c r="AZ609" i="1"/>
  <c r="AY609" i="1"/>
  <c r="AX609" i="1"/>
  <c r="AW609" i="1"/>
  <c r="AV609" i="1"/>
  <c r="AT609" i="1"/>
  <c r="AS609" i="1"/>
  <c r="CS608" i="1"/>
  <c r="CR608" i="1"/>
  <c r="CQ608" i="1"/>
  <c r="CP608" i="1"/>
  <c r="CO608" i="1"/>
  <c r="CN608" i="1"/>
  <c r="CL608" i="1"/>
  <c r="CK608" i="1"/>
  <c r="CJ608" i="1"/>
  <c r="CI608" i="1"/>
  <c r="CH608" i="1"/>
  <c r="CG608" i="1"/>
  <c r="CF608" i="1"/>
  <c r="CD608" i="1"/>
  <c r="CC608" i="1"/>
  <c r="CB608" i="1"/>
  <c r="CA608" i="1"/>
  <c r="BZ608" i="1"/>
  <c r="BY608" i="1"/>
  <c r="BX608" i="1"/>
  <c r="BU608" i="1"/>
  <c r="BN608" i="1"/>
  <c r="BS608" i="1" s="1"/>
  <c r="BA608" i="1"/>
  <c r="AZ608" i="1"/>
  <c r="AY608" i="1"/>
  <c r="AX608" i="1"/>
  <c r="AW608" i="1"/>
  <c r="AV608" i="1"/>
  <c r="AT608" i="1"/>
  <c r="AS608" i="1"/>
  <c r="CS607" i="1"/>
  <c r="CR607" i="1"/>
  <c r="CQ607" i="1"/>
  <c r="CP607" i="1"/>
  <c r="CO607" i="1"/>
  <c r="CN607" i="1"/>
  <c r="CL607" i="1"/>
  <c r="CK607" i="1"/>
  <c r="CJ607" i="1"/>
  <c r="CI607" i="1"/>
  <c r="CH607" i="1"/>
  <c r="CG607" i="1"/>
  <c r="CF607" i="1"/>
  <c r="CD607" i="1"/>
  <c r="CC607" i="1"/>
  <c r="CB607" i="1"/>
  <c r="CA607" i="1"/>
  <c r="BZ607" i="1"/>
  <c r="BY607" i="1"/>
  <c r="BX607" i="1"/>
  <c r="BU607" i="1"/>
  <c r="BN607" i="1"/>
  <c r="BS607" i="1" s="1"/>
  <c r="BA607" i="1"/>
  <c r="AZ607" i="1"/>
  <c r="AY607" i="1"/>
  <c r="AX607" i="1"/>
  <c r="AW607" i="1"/>
  <c r="AV607" i="1"/>
  <c r="AT607" i="1"/>
  <c r="AS607" i="1"/>
  <c r="CS606" i="1"/>
  <c r="CR606" i="1"/>
  <c r="CQ606" i="1"/>
  <c r="CP606" i="1"/>
  <c r="CO606" i="1"/>
  <c r="CN606" i="1"/>
  <c r="CL606" i="1"/>
  <c r="CK606" i="1"/>
  <c r="CJ606" i="1"/>
  <c r="CI606" i="1"/>
  <c r="CH606" i="1"/>
  <c r="CG606" i="1"/>
  <c r="CF606" i="1"/>
  <c r="CD606" i="1"/>
  <c r="CC606" i="1"/>
  <c r="CB606" i="1"/>
  <c r="CA606" i="1"/>
  <c r="BZ606" i="1"/>
  <c r="BY606" i="1"/>
  <c r="BX606" i="1"/>
  <c r="BU606" i="1"/>
  <c r="BN606" i="1"/>
  <c r="BS606" i="1" s="1"/>
  <c r="BA606" i="1"/>
  <c r="AZ606" i="1"/>
  <c r="AY606" i="1"/>
  <c r="AX606" i="1"/>
  <c r="AW606" i="1"/>
  <c r="AV606" i="1"/>
  <c r="AT606" i="1"/>
  <c r="AS606" i="1"/>
  <c r="CS605" i="1"/>
  <c r="CR605" i="1"/>
  <c r="CQ605" i="1"/>
  <c r="CP605" i="1"/>
  <c r="CO605" i="1"/>
  <c r="CN605" i="1"/>
  <c r="CL605" i="1"/>
  <c r="CK605" i="1"/>
  <c r="CJ605" i="1"/>
  <c r="CI605" i="1"/>
  <c r="CH605" i="1"/>
  <c r="CG605" i="1"/>
  <c r="CF605" i="1"/>
  <c r="CD605" i="1"/>
  <c r="CC605" i="1"/>
  <c r="CB605" i="1"/>
  <c r="CA605" i="1"/>
  <c r="BZ605" i="1"/>
  <c r="BY605" i="1"/>
  <c r="BX605" i="1"/>
  <c r="BU605" i="1"/>
  <c r="BN605" i="1"/>
  <c r="BS605" i="1" s="1"/>
  <c r="BA605" i="1"/>
  <c r="AZ605" i="1"/>
  <c r="AY605" i="1"/>
  <c r="AX605" i="1"/>
  <c r="AW605" i="1"/>
  <c r="AV605" i="1"/>
  <c r="AT605" i="1"/>
  <c r="AS605" i="1"/>
  <c r="CS604" i="1"/>
  <c r="CR604" i="1"/>
  <c r="CQ604" i="1"/>
  <c r="CP604" i="1"/>
  <c r="CO604" i="1"/>
  <c r="CN604" i="1"/>
  <c r="CL604" i="1"/>
  <c r="CK604" i="1"/>
  <c r="CJ604" i="1"/>
  <c r="CI604" i="1"/>
  <c r="CH604" i="1"/>
  <c r="CG604" i="1"/>
  <c r="CF604" i="1"/>
  <c r="CD604" i="1"/>
  <c r="CC604" i="1"/>
  <c r="CB604" i="1"/>
  <c r="CA604" i="1"/>
  <c r="BZ604" i="1"/>
  <c r="BY604" i="1"/>
  <c r="BX604" i="1"/>
  <c r="BU604" i="1"/>
  <c r="BN604" i="1"/>
  <c r="BS604" i="1" s="1"/>
  <c r="BA604" i="1"/>
  <c r="AZ604" i="1"/>
  <c r="AY604" i="1"/>
  <c r="AX604" i="1"/>
  <c r="AW604" i="1"/>
  <c r="AV604" i="1"/>
  <c r="AT604" i="1"/>
  <c r="AS604" i="1"/>
  <c r="CS603" i="1"/>
  <c r="CR603" i="1"/>
  <c r="CQ603" i="1"/>
  <c r="CP603" i="1"/>
  <c r="CO603" i="1"/>
  <c r="CN603" i="1"/>
  <c r="CL603" i="1"/>
  <c r="CK603" i="1"/>
  <c r="CJ603" i="1"/>
  <c r="CI603" i="1"/>
  <c r="CH603" i="1"/>
  <c r="CG603" i="1"/>
  <c r="CF603" i="1"/>
  <c r="CD603" i="1"/>
  <c r="CC603" i="1"/>
  <c r="CB603" i="1"/>
  <c r="CA603" i="1"/>
  <c r="BZ603" i="1"/>
  <c r="BY603" i="1"/>
  <c r="BX603" i="1"/>
  <c r="BU603" i="1"/>
  <c r="BN603" i="1"/>
  <c r="BS603" i="1" s="1"/>
  <c r="BA603" i="1"/>
  <c r="AZ603" i="1"/>
  <c r="AY603" i="1"/>
  <c r="AX603" i="1"/>
  <c r="AW603" i="1"/>
  <c r="AV603" i="1"/>
  <c r="AT603" i="1"/>
  <c r="AS603" i="1"/>
  <c r="CS602" i="1"/>
  <c r="CR602" i="1"/>
  <c r="CQ602" i="1"/>
  <c r="CP602" i="1"/>
  <c r="CO602" i="1"/>
  <c r="CN602" i="1"/>
  <c r="CL602" i="1"/>
  <c r="CK602" i="1"/>
  <c r="CJ602" i="1"/>
  <c r="CI602" i="1"/>
  <c r="CH602" i="1"/>
  <c r="CG602" i="1"/>
  <c r="CF602" i="1"/>
  <c r="CD602" i="1"/>
  <c r="CC602" i="1"/>
  <c r="CB602" i="1"/>
  <c r="CA602" i="1"/>
  <c r="BZ602" i="1"/>
  <c r="BY602" i="1"/>
  <c r="BX602" i="1"/>
  <c r="BU602" i="1"/>
  <c r="BN602" i="1"/>
  <c r="BS602" i="1" s="1"/>
  <c r="BA602" i="1"/>
  <c r="AZ602" i="1"/>
  <c r="AY602" i="1"/>
  <c r="AX602" i="1"/>
  <c r="AW602" i="1"/>
  <c r="AV602" i="1"/>
  <c r="AT602" i="1"/>
  <c r="AS602" i="1"/>
  <c r="CS601" i="1"/>
  <c r="CR601" i="1"/>
  <c r="CQ601" i="1"/>
  <c r="CP601" i="1"/>
  <c r="CO601" i="1"/>
  <c r="CN601" i="1"/>
  <c r="CL601" i="1"/>
  <c r="CK601" i="1"/>
  <c r="CJ601" i="1"/>
  <c r="CI601" i="1"/>
  <c r="CH601" i="1"/>
  <c r="CG601" i="1"/>
  <c r="CF601" i="1"/>
  <c r="CD601" i="1"/>
  <c r="CC601" i="1"/>
  <c r="CB601" i="1"/>
  <c r="CA601" i="1"/>
  <c r="BZ601" i="1"/>
  <c r="BY601" i="1"/>
  <c r="BX601" i="1"/>
  <c r="BU601" i="1"/>
  <c r="BN601" i="1"/>
  <c r="BS601" i="1" s="1"/>
  <c r="BA601" i="1"/>
  <c r="AZ601" i="1"/>
  <c r="AY601" i="1"/>
  <c r="AX601" i="1"/>
  <c r="AW601" i="1"/>
  <c r="AV601" i="1"/>
  <c r="AT601" i="1"/>
  <c r="AS601" i="1"/>
  <c r="CS600" i="1"/>
  <c r="CR600" i="1"/>
  <c r="CQ600" i="1"/>
  <c r="CP600" i="1"/>
  <c r="CO600" i="1"/>
  <c r="CN600" i="1"/>
  <c r="CL600" i="1"/>
  <c r="CK600" i="1"/>
  <c r="CJ600" i="1"/>
  <c r="CI600" i="1"/>
  <c r="CH600" i="1"/>
  <c r="CG600" i="1"/>
  <c r="CF600" i="1"/>
  <c r="CD600" i="1"/>
  <c r="CC600" i="1"/>
  <c r="CB600" i="1"/>
  <c r="CA600" i="1"/>
  <c r="BZ600" i="1"/>
  <c r="BY600" i="1"/>
  <c r="BX600" i="1"/>
  <c r="BU600" i="1"/>
  <c r="BN600" i="1"/>
  <c r="BS600" i="1" s="1"/>
  <c r="BA600" i="1"/>
  <c r="AZ600" i="1"/>
  <c r="AY600" i="1"/>
  <c r="AX600" i="1"/>
  <c r="AW600" i="1"/>
  <c r="AV600" i="1"/>
  <c r="AT600" i="1"/>
  <c r="AS600" i="1"/>
  <c r="CS599" i="1"/>
  <c r="CR599" i="1"/>
  <c r="CQ599" i="1"/>
  <c r="CP599" i="1"/>
  <c r="CO599" i="1"/>
  <c r="CN599" i="1"/>
  <c r="CL599" i="1"/>
  <c r="CK599" i="1"/>
  <c r="CJ599" i="1"/>
  <c r="CI599" i="1"/>
  <c r="CH599" i="1"/>
  <c r="CG599" i="1"/>
  <c r="CF599" i="1"/>
  <c r="CD599" i="1"/>
  <c r="CC599" i="1"/>
  <c r="CB599" i="1"/>
  <c r="CA599" i="1"/>
  <c r="BZ599" i="1"/>
  <c r="BY599" i="1"/>
  <c r="BX599" i="1"/>
  <c r="BU599" i="1"/>
  <c r="BN599" i="1"/>
  <c r="BS599" i="1" s="1"/>
  <c r="BA599" i="1"/>
  <c r="AZ599" i="1"/>
  <c r="AY599" i="1"/>
  <c r="AX599" i="1"/>
  <c r="AW599" i="1"/>
  <c r="AV599" i="1"/>
  <c r="AT599" i="1"/>
  <c r="AS599" i="1"/>
  <c r="CS598" i="1"/>
  <c r="CR598" i="1"/>
  <c r="CQ598" i="1"/>
  <c r="CP598" i="1"/>
  <c r="CO598" i="1"/>
  <c r="CN598" i="1"/>
  <c r="CL598" i="1"/>
  <c r="CK598" i="1"/>
  <c r="CJ598" i="1"/>
  <c r="CI598" i="1"/>
  <c r="CH598" i="1"/>
  <c r="CG598" i="1"/>
  <c r="CF598" i="1"/>
  <c r="CD598" i="1"/>
  <c r="CC598" i="1"/>
  <c r="CB598" i="1"/>
  <c r="CA598" i="1"/>
  <c r="BZ598" i="1"/>
  <c r="BY598" i="1"/>
  <c r="BX598" i="1"/>
  <c r="BU598" i="1"/>
  <c r="BN598" i="1"/>
  <c r="BS598" i="1" s="1"/>
  <c r="BA598" i="1"/>
  <c r="AZ598" i="1"/>
  <c r="AY598" i="1"/>
  <c r="AX598" i="1"/>
  <c r="AW598" i="1"/>
  <c r="AV598" i="1"/>
  <c r="AT598" i="1"/>
  <c r="AS598" i="1"/>
  <c r="CS597" i="1"/>
  <c r="CR597" i="1"/>
  <c r="CQ597" i="1"/>
  <c r="CP597" i="1"/>
  <c r="CO597" i="1"/>
  <c r="CN597" i="1"/>
  <c r="CL597" i="1"/>
  <c r="CK597" i="1"/>
  <c r="CJ597" i="1"/>
  <c r="CI597" i="1"/>
  <c r="CH597" i="1"/>
  <c r="CG597" i="1"/>
  <c r="CF597" i="1"/>
  <c r="CD597" i="1"/>
  <c r="CC597" i="1"/>
  <c r="CB597" i="1"/>
  <c r="CA597" i="1"/>
  <c r="BZ597" i="1"/>
  <c r="BY597" i="1"/>
  <c r="BX597" i="1"/>
  <c r="BU597" i="1"/>
  <c r="BN597" i="1"/>
  <c r="BS597" i="1" s="1"/>
  <c r="BA597" i="1"/>
  <c r="AZ597" i="1"/>
  <c r="AY597" i="1"/>
  <c r="AX597" i="1"/>
  <c r="AW597" i="1"/>
  <c r="AV597" i="1"/>
  <c r="AT597" i="1"/>
  <c r="AS597" i="1"/>
  <c r="CS596" i="1"/>
  <c r="CR596" i="1"/>
  <c r="CQ596" i="1"/>
  <c r="CP596" i="1"/>
  <c r="CO596" i="1"/>
  <c r="CN596" i="1"/>
  <c r="CL596" i="1"/>
  <c r="CK596" i="1"/>
  <c r="CJ596" i="1"/>
  <c r="CI596" i="1"/>
  <c r="CH596" i="1"/>
  <c r="CG596" i="1"/>
  <c r="CF596" i="1"/>
  <c r="CD596" i="1"/>
  <c r="CC596" i="1"/>
  <c r="CB596" i="1"/>
  <c r="CA596" i="1"/>
  <c r="BZ596" i="1"/>
  <c r="BY596" i="1"/>
  <c r="BX596" i="1"/>
  <c r="BU596" i="1"/>
  <c r="BN596" i="1"/>
  <c r="BS596" i="1" s="1"/>
  <c r="BA596" i="1"/>
  <c r="AZ596" i="1"/>
  <c r="AY596" i="1"/>
  <c r="AX596" i="1"/>
  <c r="AW596" i="1"/>
  <c r="AV596" i="1"/>
  <c r="AT596" i="1"/>
  <c r="AS596" i="1"/>
  <c r="CS595" i="1"/>
  <c r="CR595" i="1"/>
  <c r="CQ595" i="1"/>
  <c r="CP595" i="1"/>
  <c r="CO595" i="1"/>
  <c r="CN595" i="1"/>
  <c r="CL595" i="1"/>
  <c r="CK595" i="1"/>
  <c r="CJ595" i="1"/>
  <c r="CI595" i="1"/>
  <c r="CH595" i="1"/>
  <c r="CG595" i="1"/>
  <c r="CF595" i="1"/>
  <c r="CD595" i="1"/>
  <c r="CC595" i="1"/>
  <c r="CB595" i="1"/>
  <c r="CA595" i="1"/>
  <c r="BZ595" i="1"/>
  <c r="BY595" i="1"/>
  <c r="BX595" i="1"/>
  <c r="BU595" i="1"/>
  <c r="BN595" i="1"/>
  <c r="BS595" i="1" s="1"/>
  <c r="BA595" i="1"/>
  <c r="AZ595" i="1"/>
  <c r="AY595" i="1"/>
  <c r="AX595" i="1"/>
  <c r="AW595" i="1"/>
  <c r="AV595" i="1"/>
  <c r="AT595" i="1"/>
  <c r="AS595" i="1"/>
  <c r="CS594" i="1"/>
  <c r="CR594" i="1"/>
  <c r="CQ594" i="1"/>
  <c r="CP594" i="1"/>
  <c r="CO594" i="1"/>
  <c r="CN594" i="1"/>
  <c r="CL594" i="1"/>
  <c r="CK594" i="1"/>
  <c r="CJ594" i="1"/>
  <c r="CI594" i="1"/>
  <c r="CH594" i="1"/>
  <c r="CG594" i="1"/>
  <c r="CF594" i="1"/>
  <c r="CD594" i="1"/>
  <c r="CC594" i="1"/>
  <c r="CB594" i="1"/>
  <c r="CA594" i="1"/>
  <c r="BZ594" i="1"/>
  <c r="BY594" i="1"/>
  <c r="BX594" i="1"/>
  <c r="BU594" i="1"/>
  <c r="BN594" i="1"/>
  <c r="BS594" i="1" s="1"/>
  <c r="BA594" i="1"/>
  <c r="AZ594" i="1"/>
  <c r="AY594" i="1"/>
  <c r="AX594" i="1"/>
  <c r="AW594" i="1"/>
  <c r="AV594" i="1"/>
  <c r="AT594" i="1"/>
  <c r="AS594" i="1"/>
  <c r="CS593" i="1"/>
  <c r="CR593" i="1"/>
  <c r="CQ593" i="1"/>
  <c r="CP593" i="1"/>
  <c r="CO593" i="1"/>
  <c r="CN593" i="1"/>
  <c r="CL593" i="1"/>
  <c r="CK593" i="1"/>
  <c r="CJ593" i="1"/>
  <c r="CI593" i="1"/>
  <c r="CH593" i="1"/>
  <c r="CG593" i="1"/>
  <c r="CF593" i="1"/>
  <c r="CD593" i="1"/>
  <c r="CC593" i="1"/>
  <c r="CB593" i="1"/>
  <c r="CA593" i="1"/>
  <c r="BZ593" i="1"/>
  <c r="BY593" i="1"/>
  <c r="BX593" i="1"/>
  <c r="BU593" i="1"/>
  <c r="BN593" i="1"/>
  <c r="BS593" i="1" s="1"/>
  <c r="BA593" i="1"/>
  <c r="AZ593" i="1"/>
  <c r="AY593" i="1"/>
  <c r="AX593" i="1"/>
  <c r="AW593" i="1"/>
  <c r="AV593" i="1"/>
  <c r="AT593" i="1"/>
  <c r="AS593" i="1"/>
  <c r="CS592" i="1"/>
  <c r="CR592" i="1"/>
  <c r="CQ592" i="1"/>
  <c r="CP592" i="1"/>
  <c r="CO592" i="1"/>
  <c r="CN592" i="1"/>
  <c r="CL592" i="1"/>
  <c r="CK592" i="1"/>
  <c r="CJ592" i="1"/>
  <c r="CI592" i="1"/>
  <c r="CH592" i="1"/>
  <c r="CG592" i="1"/>
  <c r="CF592" i="1"/>
  <c r="CD592" i="1"/>
  <c r="CC592" i="1"/>
  <c r="CB592" i="1"/>
  <c r="CA592" i="1"/>
  <c r="BZ592" i="1"/>
  <c r="BY592" i="1"/>
  <c r="BX592" i="1"/>
  <c r="BU592" i="1"/>
  <c r="BN592" i="1"/>
  <c r="BS592" i="1" s="1"/>
  <c r="BA592" i="1"/>
  <c r="AZ592" i="1"/>
  <c r="AY592" i="1"/>
  <c r="AX592" i="1"/>
  <c r="AW592" i="1"/>
  <c r="AV592" i="1"/>
  <c r="AT592" i="1"/>
  <c r="AS592" i="1"/>
  <c r="CS591" i="1"/>
  <c r="CR591" i="1"/>
  <c r="CQ591" i="1"/>
  <c r="CP591" i="1"/>
  <c r="CO591" i="1"/>
  <c r="CN591" i="1"/>
  <c r="CL591" i="1"/>
  <c r="CK591" i="1"/>
  <c r="CJ591" i="1"/>
  <c r="CI591" i="1"/>
  <c r="CH591" i="1"/>
  <c r="CG591" i="1"/>
  <c r="CF591" i="1"/>
  <c r="CD591" i="1"/>
  <c r="CC591" i="1"/>
  <c r="CB591" i="1"/>
  <c r="CA591" i="1"/>
  <c r="BZ591" i="1"/>
  <c r="BY591" i="1"/>
  <c r="BX591" i="1"/>
  <c r="BU591" i="1"/>
  <c r="BN591" i="1"/>
  <c r="BS591" i="1" s="1"/>
  <c r="BA591" i="1"/>
  <c r="AZ591" i="1"/>
  <c r="AY591" i="1"/>
  <c r="AX591" i="1"/>
  <c r="AW591" i="1"/>
  <c r="AV591" i="1"/>
  <c r="AT591" i="1"/>
  <c r="AS591" i="1"/>
  <c r="CS590" i="1"/>
  <c r="CR590" i="1"/>
  <c r="CQ590" i="1"/>
  <c r="CP590" i="1"/>
  <c r="CO590" i="1"/>
  <c r="CN590" i="1"/>
  <c r="CL590" i="1"/>
  <c r="CK590" i="1"/>
  <c r="CJ590" i="1"/>
  <c r="CI590" i="1"/>
  <c r="CH590" i="1"/>
  <c r="CG590" i="1"/>
  <c r="CF590" i="1"/>
  <c r="CD590" i="1"/>
  <c r="CC590" i="1"/>
  <c r="CB590" i="1"/>
  <c r="CA590" i="1"/>
  <c r="BZ590" i="1"/>
  <c r="BY590" i="1"/>
  <c r="BX590" i="1"/>
  <c r="BU590" i="1"/>
  <c r="BN590" i="1"/>
  <c r="BS590" i="1" s="1"/>
  <c r="BA590" i="1"/>
  <c r="AZ590" i="1"/>
  <c r="AY590" i="1"/>
  <c r="AX590" i="1"/>
  <c r="AW590" i="1"/>
  <c r="AV590" i="1"/>
  <c r="AT590" i="1"/>
  <c r="AS590" i="1"/>
  <c r="CS589" i="1"/>
  <c r="CR589" i="1"/>
  <c r="CQ589" i="1"/>
  <c r="CP589" i="1"/>
  <c r="CO589" i="1"/>
  <c r="CN589" i="1"/>
  <c r="CL589" i="1"/>
  <c r="CK589" i="1"/>
  <c r="CJ589" i="1"/>
  <c r="CI589" i="1"/>
  <c r="CH589" i="1"/>
  <c r="CG589" i="1"/>
  <c r="CF589" i="1"/>
  <c r="CD589" i="1"/>
  <c r="CC589" i="1"/>
  <c r="CB589" i="1"/>
  <c r="CA589" i="1"/>
  <c r="BZ589" i="1"/>
  <c r="BY589" i="1"/>
  <c r="BX589" i="1"/>
  <c r="BU589" i="1"/>
  <c r="BN589" i="1"/>
  <c r="BS589" i="1" s="1"/>
  <c r="BA589" i="1"/>
  <c r="AZ589" i="1"/>
  <c r="AY589" i="1"/>
  <c r="AX589" i="1"/>
  <c r="AW589" i="1"/>
  <c r="AV589" i="1"/>
  <c r="AT589" i="1"/>
  <c r="AS589" i="1"/>
  <c r="CS588" i="1"/>
  <c r="CR588" i="1"/>
  <c r="CQ588" i="1"/>
  <c r="CP588" i="1"/>
  <c r="CO588" i="1"/>
  <c r="CN588" i="1"/>
  <c r="CL588" i="1"/>
  <c r="CK588" i="1"/>
  <c r="CJ588" i="1"/>
  <c r="CI588" i="1"/>
  <c r="CH588" i="1"/>
  <c r="CG588" i="1"/>
  <c r="CF588" i="1"/>
  <c r="CD588" i="1"/>
  <c r="CC588" i="1"/>
  <c r="CB588" i="1"/>
  <c r="CA588" i="1"/>
  <c r="BZ588" i="1"/>
  <c r="BY588" i="1"/>
  <c r="BX588" i="1"/>
  <c r="BU588" i="1"/>
  <c r="BN588" i="1"/>
  <c r="BS588" i="1" s="1"/>
  <c r="BA588" i="1"/>
  <c r="AZ588" i="1"/>
  <c r="AY588" i="1"/>
  <c r="AX588" i="1"/>
  <c r="AW588" i="1"/>
  <c r="AV588" i="1"/>
  <c r="AT588" i="1"/>
  <c r="AS588" i="1"/>
  <c r="CS587" i="1"/>
  <c r="CR587" i="1"/>
  <c r="CQ587" i="1"/>
  <c r="CP587" i="1"/>
  <c r="CO587" i="1"/>
  <c r="CN587" i="1"/>
  <c r="CL587" i="1"/>
  <c r="CK587" i="1"/>
  <c r="CJ587" i="1"/>
  <c r="CI587" i="1"/>
  <c r="CH587" i="1"/>
  <c r="CG587" i="1"/>
  <c r="CF587" i="1"/>
  <c r="CD587" i="1"/>
  <c r="CC587" i="1"/>
  <c r="CB587" i="1"/>
  <c r="CA587" i="1"/>
  <c r="BZ587" i="1"/>
  <c r="BY587" i="1"/>
  <c r="BX587" i="1"/>
  <c r="BU587" i="1"/>
  <c r="BN587" i="1"/>
  <c r="BS587" i="1" s="1"/>
  <c r="BA587" i="1"/>
  <c r="AZ587" i="1"/>
  <c r="AY587" i="1"/>
  <c r="AX587" i="1"/>
  <c r="AW587" i="1"/>
  <c r="AV587" i="1"/>
  <c r="AT587" i="1"/>
  <c r="AS587" i="1"/>
  <c r="CS586" i="1"/>
  <c r="CR586" i="1"/>
  <c r="CQ586" i="1"/>
  <c r="CP586" i="1"/>
  <c r="CO586" i="1"/>
  <c r="CN586" i="1"/>
  <c r="CL586" i="1"/>
  <c r="CK586" i="1"/>
  <c r="CJ586" i="1"/>
  <c r="CI586" i="1"/>
  <c r="CH586" i="1"/>
  <c r="CG586" i="1"/>
  <c r="CF586" i="1"/>
  <c r="CD586" i="1"/>
  <c r="CC586" i="1"/>
  <c r="CB586" i="1"/>
  <c r="CA586" i="1"/>
  <c r="BZ586" i="1"/>
  <c r="BY586" i="1"/>
  <c r="BX586" i="1"/>
  <c r="BU586" i="1"/>
  <c r="BN586" i="1"/>
  <c r="BS586" i="1" s="1"/>
  <c r="BA586" i="1"/>
  <c r="AZ586" i="1"/>
  <c r="AY586" i="1"/>
  <c r="AX586" i="1"/>
  <c r="AW586" i="1"/>
  <c r="AV586" i="1"/>
  <c r="AT586" i="1"/>
  <c r="AS586" i="1"/>
  <c r="CS585" i="1"/>
  <c r="CR585" i="1"/>
  <c r="CQ585" i="1"/>
  <c r="CP585" i="1"/>
  <c r="CO585" i="1"/>
  <c r="CN585" i="1"/>
  <c r="CL585" i="1"/>
  <c r="CK585" i="1"/>
  <c r="CJ585" i="1"/>
  <c r="CI585" i="1"/>
  <c r="CH585" i="1"/>
  <c r="CG585" i="1"/>
  <c r="CF585" i="1"/>
  <c r="CD585" i="1"/>
  <c r="CC585" i="1"/>
  <c r="CB585" i="1"/>
  <c r="CA585" i="1"/>
  <c r="BZ585" i="1"/>
  <c r="BY585" i="1"/>
  <c r="BX585" i="1"/>
  <c r="BU585" i="1"/>
  <c r="BN585" i="1"/>
  <c r="BS585" i="1" s="1"/>
  <c r="BA585" i="1"/>
  <c r="AZ585" i="1"/>
  <c r="AY585" i="1"/>
  <c r="AX585" i="1"/>
  <c r="AW585" i="1"/>
  <c r="AV585" i="1"/>
  <c r="AT585" i="1"/>
  <c r="AS585" i="1"/>
  <c r="CS584" i="1"/>
  <c r="CR584" i="1"/>
  <c r="CQ584" i="1"/>
  <c r="CP584" i="1"/>
  <c r="CO584" i="1"/>
  <c r="CN584" i="1"/>
  <c r="CL584" i="1"/>
  <c r="CK584" i="1"/>
  <c r="CJ584" i="1"/>
  <c r="CI584" i="1"/>
  <c r="CH584" i="1"/>
  <c r="CG584" i="1"/>
  <c r="CF584" i="1"/>
  <c r="CD584" i="1"/>
  <c r="CC584" i="1"/>
  <c r="CB584" i="1"/>
  <c r="CA584" i="1"/>
  <c r="BZ584" i="1"/>
  <c r="BY584" i="1"/>
  <c r="BX584" i="1"/>
  <c r="BU584" i="1"/>
  <c r="BN584" i="1"/>
  <c r="BS584" i="1" s="1"/>
  <c r="BA584" i="1"/>
  <c r="AZ584" i="1"/>
  <c r="AY584" i="1"/>
  <c r="AX584" i="1"/>
  <c r="AW584" i="1"/>
  <c r="AV584" i="1"/>
  <c r="AT584" i="1"/>
  <c r="AS584" i="1"/>
  <c r="CS583" i="1"/>
  <c r="CR583" i="1"/>
  <c r="CQ583" i="1"/>
  <c r="CP583" i="1"/>
  <c r="CO583" i="1"/>
  <c r="CN583" i="1"/>
  <c r="CL583" i="1"/>
  <c r="CK583" i="1"/>
  <c r="CJ583" i="1"/>
  <c r="CI583" i="1"/>
  <c r="CH583" i="1"/>
  <c r="CG583" i="1"/>
  <c r="CF583" i="1"/>
  <c r="CD583" i="1"/>
  <c r="CC583" i="1"/>
  <c r="CB583" i="1"/>
  <c r="CA583" i="1"/>
  <c r="BZ583" i="1"/>
  <c r="BY583" i="1"/>
  <c r="BX583" i="1"/>
  <c r="BU583" i="1"/>
  <c r="BN583" i="1"/>
  <c r="BS583" i="1" s="1"/>
  <c r="BA583" i="1"/>
  <c r="AZ583" i="1"/>
  <c r="AY583" i="1"/>
  <c r="AX583" i="1"/>
  <c r="AW583" i="1"/>
  <c r="AV583" i="1"/>
  <c r="AT583" i="1"/>
  <c r="AS583" i="1"/>
  <c r="CS582" i="1"/>
  <c r="CR582" i="1"/>
  <c r="CQ582" i="1"/>
  <c r="CP582" i="1"/>
  <c r="CO582" i="1"/>
  <c r="CN582" i="1"/>
  <c r="CL582" i="1"/>
  <c r="CK582" i="1"/>
  <c r="CJ582" i="1"/>
  <c r="CI582" i="1"/>
  <c r="CH582" i="1"/>
  <c r="CG582" i="1"/>
  <c r="CF582" i="1"/>
  <c r="CD582" i="1"/>
  <c r="CC582" i="1"/>
  <c r="CB582" i="1"/>
  <c r="CA582" i="1"/>
  <c r="BZ582" i="1"/>
  <c r="BY582" i="1"/>
  <c r="BX582" i="1"/>
  <c r="BU582" i="1"/>
  <c r="BN582" i="1"/>
  <c r="BS582" i="1" s="1"/>
  <c r="BA582" i="1"/>
  <c r="AZ582" i="1"/>
  <c r="AY582" i="1"/>
  <c r="AX582" i="1"/>
  <c r="AW582" i="1"/>
  <c r="AV582" i="1"/>
  <c r="AT582" i="1"/>
  <c r="AS582" i="1"/>
  <c r="CS581" i="1"/>
  <c r="CR581" i="1"/>
  <c r="CQ581" i="1"/>
  <c r="CP581" i="1"/>
  <c r="CO581" i="1"/>
  <c r="CN581" i="1"/>
  <c r="CL581" i="1"/>
  <c r="CK581" i="1"/>
  <c r="CJ581" i="1"/>
  <c r="CI581" i="1"/>
  <c r="CH581" i="1"/>
  <c r="CG581" i="1"/>
  <c r="CF581" i="1"/>
  <c r="CD581" i="1"/>
  <c r="CC581" i="1"/>
  <c r="CB581" i="1"/>
  <c r="CA581" i="1"/>
  <c r="BZ581" i="1"/>
  <c r="BY581" i="1"/>
  <c r="BX581" i="1"/>
  <c r="BU581" i="1"/>
  <c r="BN581" i="1"/>
  <c r="BS581" i="1" s="1"/>
  <c r="BA581" i="1"/>
  <c r="AZ581" i="1"/>
  <c r="AY581" i="1"/>
  <c r="AX581" i="1"/>
  <c r="AW581" i="1"/>
  <c r="AV581" i="1"/>
  <c r="AT581" i="1"/>
  <c r="AS581" i="1"/>
  <c r="CS580" i="1"/>
  <c r="CR580" i="1"/>
  <c r="CQ580" i="1"/>
  <c r="CP580" i="1"/>
  <c r="CO580" i="1"/>
  <c r="CN580" i="1"/>
  <c r="CL580" i="1"/>
  <c r="CK580" i="1"/>
  <c r="CJ580" i="1"/>
  <c r="CI580" i="1"/>
  <c r="CH580" i="1"/>
  <c r="CG580" i="1"/>
  <c r="CF580" i="1"/>
  <c r="CD580" i="1"/>
  <c r="CC580" i="1"/>
  <c r="CB580" i="1"/>
  <c r="CA580" i="1"/>
  <c r="BZ580" i="1"/>
  <c r="BY580" i="1"/>
  <c r="BX580" i="1"/>
  <c r="BU580" i="1"/>
  <c r="BN580" i="1"/>
  <c r="BS580" i="1" s="1"/>
  <c r="BA580" i="1"/>
  <c r="AZ580" i="1"/>
  <c r="AY580" i="1"/>
  <c r="AX580" i="1"/>
  <c r="AW580" i="1"/>
  <c r="AV580" i="1"/>
  <c r="AT580" i="1"/>
  <c r="AS580" i="1"/>
  <c r="CS579" i="1"/>
  <c r="CR579" i="1"/>
  <c r="CQ579" i="1"/>
  <c r="CP579" i="1"/>
  <c r="CO579" i="1"/>
  <c r="CN579" i="1"/>
  <c r="CL579" i="1"/>
  <c r="CK579" i="1"/>
  <c r="CJ579" i="1"/>
  <c r="CI579" i="1"/>
  <c r="CH579" i="1"/>
  <c r="CG579" i="1"/>
  <c r="CF579" i="1"/>
  <c r="CD579" i="1"/>
  <c r="CC579" i="1"/>
  <c r="CB579" i="1"/>
  <c r="CA579" i="1"/>
  <c r="BZ579" i="1"/>
  <c r="BY579" i="1"/>
  <c r="BX579" i="1"/>
  <c r="BU579" i="1"/>
  <c r="BN579" i="1"/>
  <c r="BS579" i="1" s="1"/>
  <c r="BA579" i="1"/>
  <c r="AZ579" i="1"/>
  <c r="AY579" i="1"/>
  <c r="AX579" i="1"/>
  <c r="AW579" i="1"/>
  <c r="AV579" i="1"/>
  <c r="AT579" i="1"/>
  <c r="AS579" i="1"/>
  <c r="CS578" i="1"/>
  <c r="CR578" i="1"/>
  <c r="CQ578" i="1"/>
  <c r="CP578" i="1"/>
  <c r="CO578" i="1"/>
  <c r="CN578" i="1"/>
  <c r="CL578" i="1"/>
  <c r="CK578" i="1"/>
  <c r="CJ578" i="1"/>
  <c r="CI578" i="1"/>
  <c r="CH578" i="1"/>
  <c r="CG578" i="1"/>
  <c r="CF578" i="1"/>
  <c r="CD578" i="1"/>
  <c r="CC578" i="1"/>
  <c r="CB578" i="1"/>
  <c r="CA578" i="1"/>
  <c r="BZ578" i="1"/>
  <c r="BY578" i="1"/>
  <c r="BX578" i="1"/>
  <c r="BU578" i="1"/>
  <c r="BN578" i="1"/>
  <c r="BS578" i="1" s="1"/>
  <c r="BA578" i="1"/>
  <c r="AZ578" i="1"/>
  <c r="AY578" i="1"/>
  <c r="AX578" i="1"/>
  <c r="AW578" i="1"/>
  <c r="AV578" i="1"/>
  <c r="AT578" i="1"/>
  <c r="AS578" i="1"/>
  <c r="CS577" i="1"/>
  <c r="CR577" i="1"/>
  <c r="CQ577" i="1"/>
  <c r="CP577" i="1"/>
  <c r="CO577" i="1"/>
  <c r="CN577" i="1"/>
  <c r="CL577" i="1"/>
  <c r="CK577" i="1"/>
  <c r="CJ577" i="1"/>
  <c r="CI577" i="1"/>
  <c r="CH577" i="1"/>
  <c r="CG577" i="1"/>
  <c r="CF577" i="1"/>
  <c r="CD577" i="1"/>
  <c r="CC577" i="1"/>
  <c r="CB577" i="1"/>
  <c r="CA577" i="1"/>
  <c r="BZ577" i="1"/>
  <c r="BY577" i="1"/>
  <c r="BX577" i="1"/>
  <c r="BU577" i="1"/>
  <c r="BN577" i="1"/>
  <c r="BS577" i="1" s="1"/>
  <c r="BA577" i="1"/>
  <c r="AZ577" i="1"/>
  <c r="AY577" i="1"/>
  <c r="AX577" i="1"/>
  <c r="AW577" i="1"/>
  <c r="AV577" i="1"/>
  <c r="AT577" i="1"/>
  <c r="AS577" i="1"/>
  <c r="CS576" i="1"/>
  <c r="CR576" i="1"/>
  <c r="CQ576" i="1"/>
  <c r="CP576" i="1"/>
  <c r="CO576" i="1"/>
  <c r="CN576" i="1"/>
  <c r="CL576" i="1"/>
  <c r="CK576" i="1"/>
  <c r="CJ576" i="1"/>
  <c r="CI576" i="1"/>
  <c r="CH576" i="1"/>
  <c r="CG576" i="1"/>
  <c r="CF576" i="1"/>
  <c r="CD576" i="1"/>
  <c r="CC576" i="1"/>
  <c r="CB576" i="1"/>
  <c r="CA576" i="1"/>
  <c r="BZ576" i="1"/>
  <c r="BY576" i="1"/>
  <c r="BX576" i="1"/>
  <c r="BU576" i="1"/>
  <c r="BN576" i="1"/>
  <c r="BS576" i="1" s="1"/>
  <c r="BA576" i="1"/>
  <c r="AZ576" i="1"/>
  <c r="AY576" i="1"/>
  <c r="AX576" i="1"/>
  <c r="AW576" i="1"/>
  <c r="AV576" i="1"/>
  <c r="AT576" i="1"/>
  <c r="AS576" i="1"/>
  <c r="CS575" i="1"/>
  <c r="CR575" i="1"/>
  <c r="CQ575" i="1"/>
  <c r="CP575" i="1"/>
  <c r="CO575" i="1"/>
  <c r="CN575" i="1"/>
  <c r="CL575" i="1"/>
  <c r="CK575" i="1"/>
  <c r="CJ575" i="1"/>
  <c r="CI575" i="1"/>
  <c r="CH575" i="1"/>
  <c r="CG575" i="1"/>
  <c r="CF575" i="1"/>
  <c r="CD575" i="1"/>
  <c r="CC575" i="1"/>
  <c r="CB575" i="1"/>
  <c r="CA575" i="1"/>
  <c r="BZ575" i="1"/>
  <c r="BY575" i="1"/>
  <c r="BX575" i="1"/>
  <c r="BU575" i="1"/>
  <c r="BN575" i="1"/>
  <c r="BS575" i="1" s="1"/>
  <c r="BA575" i="1"/>
  <c r="AZ575" i="1"/>
  <c r="AY575" i="1"/>
  <c r="AX575" i="1"/>
  <c r="AW575" i="1"/>
  <c r="AV575" i="1"/>
  <c r="AT575" i="1"/>
  <c r="AS575" i="1"/>
  <c r="CS574" i="1"/>
  <c r="CR574" i="1"/>
  <c r="CQ574" i="1"/>
  <c r="CP574" i="1"/>
  <c r="CO574" i="1"/>
  <c r="CN574" i="1"/>
  <c r="CL574" i="1"/>
  <c r="CK574" i="1"/>
  <c r="CJ574" i="1"/>
  <c r="CI574" i="1"/>
  <c r="CH574" i="1"/>
  <c r="CG574" i="1"/>
  <c r="CF574" i="1"/>
  <c r="CD574" i="1"/>
  <c r="CC574" i="1"/>
  <c r="CB574" i="1"/>
  <c r="CA574" i="1"/>
  <c r="BZ574" i="1"/>
  <c r="BY574" i="1"/>
  <c r="BX574" i="1"/>
  <c r="BU574" i="1"/>
  <c r="BN574" i="1"/>
  <c r="BS574" i="1" s="1"/>
  <c r="BA574" i="1"/>
  <c r="AZ574" i="1"/>
  <c r="AY574" i="1"/>
  <c r="AX574" i="1"/>
  <c r="AW574" i="1"/>
  <c r="AV574" i="1"/>
  <c r="AT574" i="1"/>
  <c r="AS574" i="1"/>
  <c r="CS573" i="1"/>
  <c r="CR573" i="1"/>
  <c r="CQ573" i="1"/>
  <c r="CP573" i="1"/>
  <c r="CO573" i="1"/>
  <c r="CN573" i="1"/>
  <c r="CL573" i="1"/>
  <c r="CK573" i="1"/>
  <c r="CJ573" i="1"/>
  <c r="CI573" i="1"/>
  <c r="CH573" i="1"/>
  <c r="CG573" i="1"/>
  <c r="CF573" i="1"/>
  <c r="CD573" i="1"/>
  <c r="CC573" i="1"/>
  <c r="CB573" i="1"/>
  <c r="CA573" i="1"/>
  <c r="BZ573" i="1"/>
  <c r="BY573" i="1"/>
  <c r="BX573" i="1"/>
  <c r="BU573" i="1"/>
  <c r="BN573" i="1"/>
  <c r="BS573" i="1" s="1"/>
  <c r="BA573" i="1"/>
  <c r="AZ573" i="1"/>
  <c r="AY573" i="1"/>
  <c r="AX573" i="1"/>
  <c r="AW573" i="1"/>
  <c r="AV573" i="1"/>
  <c r="AT573" i="1"/>
  <c r="AS573" i="1"/>
  <c r="CS572" i="1"/>
  <c r="CR572" i="1"/>
  <c r="CQ572" i="1"/>
  <c r="CP572" i="1"/>
  <c r="CO572" i="1"/>
  <c r="CN572" i="1"/>
  <c r="CL572" i="1"/>
  <c r="CK572" i="1"/>
  <c r="CJ572" i="1"/>
  <c r="CI572" i="1"/>
  <c r="CH572" i="1"/>
  <c r="CG572" i="1"/>
  <c r="CF572" i="1"/>
  <c r="CD572" i="1"/>
  <c r="CC572" i="1"/>
  <c r="CB572" i="1"/>
  <c r="CA572" i="1"/>
  <c r="BZ572" i="1"/>
  <c r="BY572" i="1"/>
  <c r="BX572" i="1"/>
  <c r="BU572" i="1"/>
  <c r="BN572" i="1"/>
  <c r="BS572" i="1" s="1"/>
  <c r="BA572" i="1"/>
  <c r="AZ572" i="1"/>
  <c r="AY572" i="1"/>
  <c r="AX572" i="1"/>
  <c r="AW572" i="1"/>
  <c r="AV572" i="1"/>
  <c r="AT572" i="1"/>
  <c r="AS572" i="1"/>
  <c r="CS571" i="1"/>
  <c r="CR571" i="1"/>
  <c r="CQ571" i="1"/>
  <c r="CP571" i="1"/>
  <c r="CO571" i="1"/>
  <c r="CN571" i="1"/>
  <c r="CL571" i="1"/>
  <c r="CK571" i="1"/>
  <c r="CJ571" i="1"/>
  <c r="CI571" i="1"/>
  <c r="CH571" i="1"/>
  <c r="CG571" i="1"/>
  <c r="CF571" i="1"/>
  <c r="CD571" i="1"/>
  <c r="CC571" i="1"/>
  <c r="CB571" i="1"/>
  <c r="CA571" i="1"/>
  <c r="BZ571" i="1"/>
  <c r="BY571" i="1"/>
  <c r="BX571" i="1"/>
  <c r="BU571" i="1"/>
  <c r="BN571" i="1"/>
  <c r="BS571" i="1" s="1"/>
  <c r="BA571" i="1"/>
  <c r="AZ571" i="1"/>
  <c r="AY571" i="1"/>
  <c r="AX571" i="1"/>
  <c r="AW571" i="1"/>
  <c r="AV571" i="1"/>
  <c r="AT571" i="1"/>
  <c r="AS571" i="1"/>
  <c r="CS570" i="1"/>
  <c r="CR570" i="1"/>
  <c r="CQ570" i="1"/>
  <c r="CP570" i="1"/>
  <c r="CO570" i="1"/>
  <c r="CN570" i="1"/>
  <c r="CL570" i="1"/>
  <c r="CK570" i="1"/>
  <c r="CJ570" i="1"/>
  <c r="CI570" i="1"/>
  <c r="CH570" i="1"/>
  <c r="CG570" i="1"/>
  <c r="CF570" i="1"/>
  <c r="CD570" i="1"/>
  <c r="CC570" i="1"/>
  <c r="CB570" i="1"/>
  <c r="CA570" i="1"/>
  <c r="BZ570" i="1"/>
  <c r="BY570" i="1"/>
  <c r="BX570" i="1"/>
  <c r="BU570" i="1"/>
  <c r="BN570" i="1"/>
  <c r="BS570" i="1" s="1"/>
  <c r="BA570" i="1"/>
  <c r="AZ570" i="1"/>
  <c r="AY570" i="1"/>
  <c r="AX570" i="1"/>
  <c r="AW570" i="1"/>
  <c r="AV570" i="1"/>
  <c r="AT570" i="1"/>
  <c r="AS570" i="1"/>
  <c r="CS569" i="1"/>
  <c r="CR569" i="1"/>
  <c r="CQ569" i="1"/>
  <c r="CP569" i="1"/>
  <c r="CO569" i="1"/>
  <c r="CN569" i="1"/>
  <c r="CL569" i="1"/>
  <c r="CK569" i="1"/>
  <c r="CJ569" i="1"/>
  <c r="CI569" i="1"/>
  <c r="CH569" i="1"/>
  <c r="CG569" i="1"/>
  <c r="CF569" i="1"/>
  <c r="CD569" i="1"/>
  <c r="CC569" i="1"/>
  <c r="CB569" i="1"/>
  <c r="CA569" i="1"/>
  <c r="BZ569" i="1"/>
  <c r="BY569" i="1"/>
  <c r="BX569" i="1"/>
  <c r="BU569" i="1"/>
  <c r="BN569" i="1"/>
  <c r="BS569" i="1" s="1"/>
  <c r="BA569" i="1"/>
  <c r="AZ569" i="1"/>
  <c r="AY569" i="1"/>
  <c r="AX569" i="1"/>
  <c r="AW569" i="1"/>
  <c r="AV569" i="1"/>
  <c r="AT569" i="1"/>
  <c r="AS569" i="1"/>
  <c r="CS568" i="1"/>
  <c r="CR568" i="1"/>
  <c r="CQ568" i="1"/>
  <c r="CP568" i="1"/>
  <c r="CO568" i="1"/>
  <c r="CN568" i="1"/>
  <c r="CL568" i="1"/>
  <c r="CK568" i="1"/>
  <c r="CJ568" i="1"/>
  <c r="CI568" i="1"/>
  <c r="CH568" i="1"/>
  <c r="CG568" i="1"/>
  <c r="CF568" i="1"/>
  <c r="CD568" i="1"/>
  <c r="CC568" i="1"/>
  <c r="CB568" i="1"/>
  <c r="CA568" i="1"/>
  <c r="BZ568" i="1"/>
  <c r="BY568" i="1"/>
  <c r="BX568" i="1"/>
  <c r="BU568" i="1"/>
  <c r="BN568" i="1"/>
  <c r="BS568" i="1" s="1"/>
  <c r="BA568" i="1"/>
  <c r="AZ568" i="1"/>
  <c r="AY568" i="1"/>
  <c r="AX568" i="1"/>
  <c r="AW568" i="1"/>
  <c r="AV568" i="1"/>
  <c r="AT568" i="1"/>
  <c r="AS568" i="1"/>
  <c r="CS567" i="1"/>
  <c r="CR567" i="1"/>
  <c r="CQ567" i="1"/>
  <c r="CP567" i="1"/>
  <c r="CO567" i="1"/>
  <c r="CN567" i="1"/>
  <c r="CL567" i="1"/>
  <c r="CK567" i="1"/>
  <c r="CJ567" i="1"/>
  <c r="CI567" i="1"/>
  <c r="CH567" i="1"/>
  <c r="CG567" i="1"/>
  <c r="CF567" i="1"/>
  <c r="CD567" i="1"/>
  <c r="CC567" i="1"/>
  <c r="CB567" i="1"/>
  <c r="CA567" i="1"/>
  <c r="BZ567" i="1"/>
  <c r="BY567" i="1"/>
  <c r="BX567" i="1"/>
  <c r="BU567" i="1"/>
  <c r="BN567" i="1"/>
  <c r="BS567" i="1" s="1"/>
  <c r="BA567" i="1"/>
  <c r="AZ567" i="1"/>
  <c r="AY567" i="1"/>
  <c r="AX567" i="1"/>
  <c r="AW567" i="1"/>
  <c r="AV567" i="1"/>
  <c r="AT567" i="1"/>
  <c r="AS567" i="1"/>
  <c r="CS566" i="1"/>
  <c r="CR566" i="1"/>
  <c r="CQ566" i="1"/>
  <c r="CP566" i="1"/>
  <c r="CO566" i="1"/>
  <c r="CN566" i="1"/>
  <c r="CL566" i="1"/>
  <c r="CK566" i="1"/>
  <c r="CJ566" i="1"/>
  <c r="CI566" i="1"/>
  <c r="CH566" i="1"/>
  <c r="CG566" i="1"/>
  <c r="CF566" i="1"/>
  <c r="CD566" i="1"/>
  <c r="CC566" i="1"/>
  <c r="CB566" i="1"/>
  <c r="CA566" i="1"/>
  <c r="BZ566" i="1"/>
  <c r="BY566" i="1"/>
  <c r="BX566" i="1"/>
  <c r="BU566" i="1"/>
  <c r="BN566" i="1"/>
  <c r="BS566" i="1" s="1"/>
  <c r="BA566" i="1"/>
  <c r="AZ566" i="1"/>
  <c r="AY566" i="1"/>
  <c r="AX566" i="1"/>
  <c r="AW566" i="1"/>
  <c r="AV566" i="1"/>
  <c r="AT566" i="1"/>
  <c r="AS566" i="1"/>
  <c r="CS565" i="1"/>
  <c r="CR565" i="1"/>
  <c r="CQ565" i="1"/>
  <c r="CP565" i="1"/>
  <c r="CO565" i="1"/>
  <c r="CN565" i="1"/>
  <c r="CL565" i="1"/>
  <c r="CK565" i="1"/>
  <c r="CJ565" i="1"/>
  <c r="CI565" i="1"/>
  <c r="CH565" i="1"/>
  <c r="CG565" i="1"/>
  <c r="CF565" i="1"/>
  <c r="CD565" i="1"/>
  <c r="CC565" i="1"/>
  <c r="CB565" i="1"/>
  <c r="CA565" i="1"/>
  <c r="BZ565" i="1"/>
  <c r="BY565" i="1"/>
  <c r="BX565" i="1"/>
  <c r="BU565" i="1"/>
  <c r="BN565" i="1"/>
  <c r="BS565" i="1" s="1"/>
  <c r="BA565" i="1"/>
  <c r="AZ565" i="1"/>
  <c r="AY565" i="1"/>
  <c r="AX565" i="1"/>
  <c r="AW565" i="1"/>
  <c r="AV565" i="1"/>
  <c r="AT565" i="1"/>
  <c r="AS565" i="1"/>
  <c r="CS564" i="1"/>
  <c r="CR564" i="1"/>
  <c r="CQ564" i="1"/>
  <c r="CP564" i="1"/>
  <c r="CO564" i="1"/>
  <c r="CN564" i="1"/>
  <c r="CL564" i="1"/>
  <c r="CK564" i="1"/>
  <c r="CJ564" i="1"/>
  <c r="CI564" i="1"/>
  <c r="CH564" i="1"/>
  <c r="CG564" i="1"/>
  <c r="CF564" i="1"/>
  <c r="CD564" i="1"/>
  <c r="CC564" i="1"/>
  <c r="CB564" i="1"/>
  <c r="CA564" i="1"/>
  <c r="BZ564" i="1"/>
  <c r="BY564" i="1"/>
  <c r="BX564" i="1"/>
  <c r="BU564" i="1"/>
  <c r="BN564" i="1"/>
  <c r="BS564" i="1" s="1"/>
  <c r="BA564" i="1"/>
  <c r="AZ564" i="1"/>
  <c r="AY564" i="1"/>
  <c r="AX564" i="1"/>
  <c r="AW564" i="1"/>
  <c r="AV564" i="1"/>
  <c r="AT564" i="1"/>
  <c r="AS564" i="1"/>
  <c r="CS563" i="1"/>
  <c r="CR563" i="1"/>
  <c r="CQ563" i="1"/>
  <c r="CP563" i="1"/>
  <c r="CO563" i="1"/>
  <c r="CN563" i="1"/>
  <c r="CL563" i="1"/>
  <c r="CK563" i="1"/>
  <c r="CJ563" i="1"/>
  <c r="CI563" i="1"/>
  <c r="CH563" i="1"/>
  <c r="CG563" i="1"/>
  <c r="CF563" i="1"/>
  <c r="CD563" i="1"/>
  <c r="CC563" i="1"/>
  <c r="CB563" i="1"/>
  <c r="CA563" i="1"/>
  <c r="BZ563" i="1"/>
  <c r="BY563" i="1"/>
  <c r="BX563" i="1"/>
  <c r="BU563" i="1"/>
  <c r="BN563" i="1"/>
  <c r="BS563" i="1" s="1"/>
  <c r="BA563" i="1"/>
  <c r="AZ563" i="1"/>
  <c r="AY563" i="1"/>
  <c r="AX563" i="1"/>
  <c r="AW563" i="1"/>
  <c r="AV563" i="1"/>
  <c r="AT563" i="1"/>
  <c r="AS563" i="1"/>
  <c r="CS562" i="1"/>
  <c r="CR562" i="1"/>
  <c r="CQ562" i="1"/>
  <c r="CP562" i="1"/>
  <c r="CO562" i="1"/>
  <c r="CN562" i="1"/>
  <c r="CL562" i="1"/>
  <c r="CK562" i="1"/>
  <c r="CJ562" i="1"/>
  <c r="CI562" i="1"/>
  <c r="CH562" i="1"/>
  <c r="CG562" i="1"/>
  <c r="CF562" i="1"/>
  <c r="CD562" i="1"/>
  <c r="CC562" i="1"/>
  <c r="CB562" i="1"/>
  <c r="CA562" i="1"/>
  <c r="BZ562" i="1"/>
  <c r="BY562" i="1"/>
  <c r="BX562" i="1"/>
  <c r="BU562" i="1"/>
  <c r="BN562" i="1"/>
  <c r="BS562" i="1" s="1"/>
  <c r="BA562" i="1"/>
  <c r="AZ562" i="1"/>
  <c r="AY562" i="1"/>
  <c r="AX562" i="1"/>
  <c r="AW562" i="1"/>
  <c r="AV562" i="1"/>
  <c r="AT562" i="1"/>
  <c r="AS562" i="1"/>
  <c r="CS561" i="1"/>
  <c r="CR561" i="1"/>
  <c r="CQ561" i="1"/>
  <c r="CP561" i="1"/>
  <c r="CO561" i="1"/>
  <c r="CN561" i="1"/>
  <c r="CL561" i="1"/>
  <c r="CK561" i="1"/>
  <c r="CJ561" i="1"/>
  <c r="CI561" i="1"/>
  <c r="CH561" i="1"/>
  <c r="CG561" i="1"/>
  <c r="CF561" i="1"/>
  <c r="CD561" i="1"/>
  <c r="CC561" i="1"/>
  <c r="CB561" i="1"/>
  <c r="CA561" i="1"/>
  <c r="BZ561" i="1"/>
  <c r="BY561" i="1"/>
  <c r="BX561" i="1"/>
  <c r="BU561" i="1"/>
  <c r="BN561" i="1"/>
  <c r="BS561" i="1" s="1"/>
  <c r="BA561" i="1"/>
  <c r="AZ561" i="1"/>
  <c r="AY561" i="1"/>
  <c r="AX561" i="1"/>
  <c r="AW561" i="1"/>
  <c r="AV561" i="1"/>
  <c r="AT561" i="1"/>
  <c r="AS561" i="1"/>
  <c r="CS560" i="1"/>
  <c r="CR560" i="1"/>
  <c r="CQ560" i="1"/>
  <c r="CP560" i="1"/>
  <c r="CO560" i="1"/>
  <c r="CN560" i="1"/>
  <c r="CL560" i="1"/>
  <c r="CK560" i="1"/>
  <c r="CJ560" i="1"/>
  <c r="CI560" i="1"/>
  <c r="CH560" i="1"/>
  <c r="CG560" i="1"/>
  <c r="CF560" i="1"/>
  <c r="CD560" i="1"/>
  <c r="CC560" i="1"/>
  <c r="CB560" i="1"/>
  <c r="CA560" i="1"/>
  <c r="BZ560" i="1"/>
  <c r="BY560" i="1"/>
  <c r="BX560" i="1"/>
  <c r="BU560" i="1"/>
  <c r="BN560" i="1"/>
  <c r="BS560" i="1" s="1"/>
  <c r="BA560" i="1"/>
  <c r="AZ560" i="1"/>
  <c r="AY560" i="1"/>
  <c r="AX560" i="1"/>
  <c r="AW560" i="1"/>
  <c r="AV560" i="1"/>
  <c r="AT560" i="1"/>
  <c r="AS560" i="1"/>
  <c r="CS559" i="1"/>
  <c r="CR559" i="1"/>
  <c r="CQ559" i="1"/>
  <c r="CP559" i="1"/>
  <c r="CO559" i="1"/>
  <c r="CN559" i="1"/>
  <c r="CL559" i="1"/>
  <c r="CK559" i="1"/>
  <c r="CJ559" i="1"/>
  <c r="CI559" i="1"/>
  <c r="CH559" i="1"/>
  <c r="CG559" i="1"/>
  <c r="CF559" i="1"/>
  <c r="CD559" i="1"/>
  <c r="CC559" i="1"/>
  <c r="CB559" i="1"/>
  <c r="CA559" i="1"/>
  <c r="BZ559" i="1"/>
  <c r="BY559" i="1"/>
  <c r="BX559" i="1"/>
  <c r="BU559" i="1"/>
  <c r="BN559" i="1"/>
  <c r="BS559" i="1" s="1"/>
  <c r="BA559" i="1"/>
  <c r="AZ559" i="1"/>
  <c r="AY559" i="1"/>
  <c r="AX559" i="1"/>
  <c r="AW559" i="1"/>
  <c r="AV559" i="1"/>
  <c r="AT559" i="1"/>
  <c r="AS559" i="1"/>
  <c r="CS558" i="1"/>
  <c r="CR558" i="1"/>
  <c r="CQ558" i="1"/>
  <c r="CP558" i="1"/>
  <c r="CO558" i="1"/>
  <c r="CN558" i="1"/>
  <c r="CL558" i="1"/>
  <c r="CK558" i="1"/>
  <c r="CJ558" i="1"/>
  <c r="CI558" i="1"/>
  <c r="CH558" i="1"/>
  <c r="CG558" i="1"/>
  <c r="CF558" i="1"/>
  <c r="CD558" i="1"/>
  <c r="CC558" i="1"/>
  <c r="CB558" i="1"/>
  <c r="CA558" i="1"/>
  <c r="BZ558" i="1"/>
  <c r="BY558" i="1"/>
  <c r="BX558" i="1"/>
  <c r="BU558" i="1"/>
  <c r="BN558" i="1"/>
  <c r="BS558" i="1" s="1"/>
  <c r="BA558" i="1"/>
  <c r="AZ558" i="1"/>
  <c r="AY558" i="1"/>
  <c r="AX558" i="1"/>
  <c r="AW558" i="1"/>
  <c r="AV558" i="1"/>
  <c r="AT558" i="1"/>
  <c r="AS558" i="1"/>
  <c r="CS557" i="1"/>
  <c r="CR557" i="1"/>
  <c r="CQ557" i="1"/>
  <c r="CP557" i="1"/>
  <c r="CO557" i="1"/>
  <c r="CN557" i="1"/>
  <c r="CL557" i="1"/>
  <c r="CK557" i="1"/>
  <c r="CJ557" i="1"/>
  <c r="CI557" i="1"/>
  <c r="CH557" i="1"/>
  <c r="CG557" i="1"/>
  <c r="CF557" i="1"/>
  <c r="CD557" i="1"/>
  <c r="CC557" i="1"/>
  <c r="CB557" i="1"/>
  <c r="CA557" i="1"/>
  <c r="BZ557" i="1"/>
  <c r="BY557" i="1"/>
  <c r="BX557" i="1"/>
  <c r="BU557" i="1"/>
  <c r="BN557" i="1"/>
  <c r="BS557" i="1" s="1"/>
  <c r="BA557" i="1"/>
  <c r="AZ557" i="1"/>
  <c r="AY557" i="1"/>
  <c r="AX557" i="1"/>
  <c r="AW557" i="1"/>
  <c r="AV557" i="1"/>
  <c r="AT557" i="1"/>
  <c r="AS557" i="1"/>
  <c r="CS556" i="1"/>
  <c r="CR556" i="1"/>
  <c r="CQ556" i="1"/>
  <c r="CP556" i="1"/>
  <c r="CO556" i="1"/>
  <c r="CN556" i="1"/>
  <c r="CL556" i="1"/>
  <c r="CK556" i="1"/>
  <c r="CJ556" i="1"/>
  <c r="CI556" i="1"/>
  <c r="CH556" i="1"/>
  <c r="CG556" i="1"/>
  <c r="CF556" i="1"/>
  <c r="CD556" i="1"/>
  <c r="CC556" i="1"/>
  <c r="CB556" i="1"/>
  <c r="CA556" i="1"/>
  <c r="BZ556" i="1"/>
  <c r="BY556" i="1"/>
  <c r="BX556" i="1"/>
  <c r="BU556" i="1"/>
  <c r="BN556" i="1"/>
  <c r="BS556" i="1" s="1"/>
  <c r="BA556" i="1"/>
  <c r="AZ556" i="1"/>
  <c r="AY556" i="1"/>
  <c r="AX556" i="1"/>
  <c r="AW556" i="1"/>
  <c r="AV556" i="1"/>
  <c r="AT556" i="1"/>
  <c r="AS556" i="1"/>
  <c r="CS555" i="1"/>
  <c r="CR555" i="1"/>
  <c r="CQ555" i="1"/>
  <c r="CP555" i="1"/>
  <c r="CO555" i="1"/>
  <c r="CN555" i="1"/>
  <c r="CL555" i="1"/>
  <c r="CK555" i="1"/>
  <c r="CJ555" i="1"/>
  <c r="CI555" i="1"/>
  <c r="CH555" i="1"/>
  <c r="CG555" i="1"/>
  <c r="CF555" i="1"/>
  <c r="CD555" i="1"/>
  <c r="CC555" i="1"/>
  <c r="CB555" i="1"/>
  <c r="CA555" i="1"/>
  <c r="BZ555" i="1"/>
  <c r="BY555" i="1"/>
  <c r="BX555" i="1"/>
  <c r="BU555" i="1"/>
  <c r="BN555" i="1"/>
  <c r="BS555" i="1" s="1"/>
  <c r="BA555" i="1"/>
  <c r="AZ555" i="1"/>
  <c r="AY555" i="1"/>
  <c r="AX555" i="1"/>
  <c r="AW555" i="1"/>
  <c r="AV555" i="1"/>
  <c r="AT555" i="1"/>
  <c r="AS555" i="1"/>
  <c r="CS554" i="1"/>
  <c r="CR554" i="1"/>
  <c r="CQ554" i="1"/>
  <c r="CP554" i="1"/>
  <c r="CO554" i="1"/>
  <c r="CN554" i="1"/>
  <c r="CL554" i="1"/>
  <c r="CK554" i="1"/>
  <c r="CJ554" i="1"/>
  <c r="CI554" i="1"/>
  <c r="CH554" i="1"/>
  <c r="CG554" i="1"/>
  <c r="CF554" i="1"/>
  <c r="CD554" i="1"/>
  <c r="CC554" i="1"/>
  <c r="CB554" i="1"/>
  <c r="CA554" i="1"/>
  <c r="BZ554" i="1"/>
  <c r="BY554" i="1"/>
  <c r="BX554" i="1"/>
  <c r="BU554" i="1"/>
  <c r="BN554" i="1"/>
  <c r="BS554" i="1" s="1"/>
  <c r="BA554" i="1"/>
  <c r="AZ554" i="1"/>
  <c r="AY554" i="1"/>
  <c r="AX554" i="1"/>
  <c r="AW554" i="1"/>
  <c r="AV554" i="1"/>
  <c r="AT554" i="1"/>
  <c r="AS554" i="1"/>
  <c r="CS553" i="1"/>
  <c r="CR553" i="1"/>
  <c r="CQ553" i="1"/>
  <c r="CP553" i="1"/>
  <c r="CO553" i="1"/>
  <c r="CN553" i="1"/>
  <c r="CL553" i="1"/>
  <c r="CK553" i="1"/>
  <c r="CJ553" i="1"/>
  <c r="CI553" i="1"/>
  <c r="CH553" i="1"/>
  <c r="CG553" i="1"/>
  <c r="CF553" i="1"/>
  <c r="CD553" i="1"/>
  <c r="CC553" i="1"/>
  <c r="CB553" i="1"/>
  <c r="CA553" i="1"/>
  <c r="BZ553" i="1"/>
  <c r="BY553" i="1"/>
  <c r="BX553" i="1"/>
  <c r="BU553" i="1"/>
  <c r="BN553" i="1"/>
  <c r="BS553" i="1" s="1"/>
  <c r="BA553" i="1"/>
  <c r="AZ553" i="1"/>
  <c r="AY553" i="1"/>
  <c r="AX553" i="1"/>
  <c r="AW553" i="1"/>
  <c r="AV553" i="1"/>
  <c r="AT553" i="1"/>
  <c r="AS553" i="1"/>
  <c r="CS552" i="1"/>
  <c r="CR552" i="1"/>
  <c r="CQ552" i="1"/>
  <c r="CP552" i="1"/>
  <c r="CO552" i="1"/>
  <c r="CN552" i="1"/>
  <c r="CL552" i="1"/>
  <c r="CK552" i="1"/>
  <c r="CJ552" i="1"/>
  <c r="CI552" i="1"/>
  <c r="CH552" i="1"/>
  <c r="CG552" i="1"/>
  <c r="CF552" i="1"/>
  <c r="CD552" i="1"/>
  <c r="CC552" i="1"/>
  <c r="CB552" i="1"/>
  <c r="CA552" i="1"/>
  <c r="BZ552" i="1"/>
  <c r="BY552" i="1"/>
  <c r="BX552" i="1"/>
  <c r="BU552" i="1"/>
  <c r="BN552" i="1"/>
  <c r="BS552" i="1" s="1"/>
  <c r="BA552" i="1"/>
  <c r="AZ552" i="1"/>
  <c r="AY552" i="1"/>
  <c r="AX552" i="1"/>
  <c r="AW552" i="1"/>
  <c r="AV552" i="1"/>
  <c r="AT552" i="1"/>
  <c r="AS552" i="1"/>
  <c r="CS551" i="1"/>
  <c r="CR551" i="1"/>
  <c r="CQ551" i="1"/>
  <c r="CP551" i="1"/>
  <c r="CO551" i="1"/>
  <c r="CN551" i="1"/>
  <c r="CL551" i="1"/>
  <c r="CK551" i="1"/>
  <c r="CJ551" i="1"/>
  <c r="CI551" i="1"/>
  <c r="CH551" i="1"/>
  <c r="CG551" i="1"/>
  <c r="CF551" i="1"/>
  <c r="CD551" i="1"/>
  <c r="CC551" i="1"/>
  <c r="CB551" i="1"/>
  <c r="CA551" i="1"/>
  <c r="BZ551" i="1"/>
  <c r="BY551" i="1"/>
  <c r="BX551" i="1"/>
  <c r="BU551" i="1"/>
  <c r="BN551" i="1"/>
  <c r="BS551" i="1" s="1"/>
  <c r="BA551" i="1"/>
  <c r="AZ551" i="1"/>
  <c r="AY551" i="1"/>
  <c r="AX551" i="1"/>
  <c r="AW551" i="1"/>
  <c r="AV551" i="1"/>
  <c r="AT551" i="1"/>
  <c r="AS551" i="1"/>
  <c r="CS550" i="1"/>
  <c r="CR550" i="1"/>
  <c r="CQ550" i="1"/>
  <c r="CP550" i="1"/>
  <c r="CO550" i="1"/>
  <c r="CN550" i="1"/>
  <c r="CL550" i="1"/>
  <c r="CK550" i="1"/>
  <c r="CJ550" i="1"/>
  <c r="CI550" i="1"/>
  <c r="CH550" i="1"/>
  <c r="CG550" i="1"/>
  <c r="CF550" i="1"/>
  <c r="CD550" i="1"/>
  <c r="CC550" i="1"/>
  <c r="CB550" i="1"/>
  <c r="CA550" i="1"/>
  <c r="BZ550" i="1"/>
  <c r="BY550" i="1"/>
  <c r="BX550" i="1"/>
  <c r="BU550" i="1"/>
  <c r="BN550" i="1"/>
  <c r="BS550" i="1" s="1"/>
  <c r="BA550" i="1"/>
  <c r="AZ550" i="1"/>
  <c r="AY550" i="1"/>
  <c r="AX550" i="1"/>
  <c r="AW550" i="1"/>
  <c r="AV550" i="1"/>
  <c r="AT550" i="1"/>
  <c r="AS550" i="1"/>
  <c r="CS549" i="1"/>
  <c r="CR549" i="1"/>
  <c r="CQ549" i="1"/>
  <c r="CP549" i="1"/>
  <c r="CO549" i="1"/>
  <c r="CN549" i="1"/>
  <c r="CL549" i="1"/>
  <c r="CK549" i="1"/>
  <c r="CJ549" i="1"/>
  <c r="CI549" i="1"/>
  <c r="CH549" i="1"/>
  <c r="CG549" i="1"/>
  <c r="CF549" i="1"/>
  <c r="CD549" i="1"/>
  <c r="CC549" i="1"/>
  <c r="CB549" i="1"/>
  <c r="CA549" i="1"/>
  <c r="BZ549" i="1"/>
  <c r="BY549" i="1"/>
  <c r="BX549" i="1"/>
  <c r="BU549" i="1"/>
  <c r="BN549" i="1"/>
  <c r="BS549" i="1" s="1"/>
  <c r="BA549" i="1"/>
  <c r="AZ549" i="1"/>
  <c r="AY549" i="1"/>
  <c r="AX549" i="1"/>
  <c r="AW549" i="1"/>
  <c r="AV549" i="1"/>
  <c r="AT549" i="1"/>
  <c r="AS549" i="1"/>
  <c r="CS548" i="1"/>
  <c r="CR548" i="1"/>
  <c r="CQ548" i="1"/>
  <c r="CP548" i="1"/>
  <c r="CO548" i="1"/>
  <c r="CN548" i="1"/>
  <c r="CL548" i="1"/>
  <c r="CK548" i="1"/>
  <c r="CJ548" i="1"/>
  <c r="CI548" i="1"/>
  <c r="CH548" i="1"/>
  <c r="CG548" i="1"/>
  <c r="CF548" i="1"/>
  <c r="CD548" i="1"/>
  <c r="CC548" i="1"/>
  <c r="CB548" i="1"/>
  <c r="CA548" i="1"/>
  <c r="BZ548" i="1"/>
  <c r="BY548" i="1"/>
  <c r="BX548" i="1"/>
  <c r="BU548" i="1"/>
  <c r="BN548" i="1"/>
  <c r="BS548" i="1" s="1"/>
  <c r="BA548" i="1"/>
  <c r="AZ548" i="1"/>
  <c r="AY548" i="1"/>
  <c r="AX548" i="1"/>
  <c r="AW548" i="1"/>
  <c r="AV548" i="1"/>
  <c r="AT548" i="1"/>
  <c r="AS548" i="1"/>
  <c r="CS547" i="1"/>
  <c r="CR547" i="1"/>
  <c r="CQ547" i="1"/>
  <c r="CP547" i="1"/>
  <c r="CO547" i="1"/>
  <c r="CN547" i="1"/>
  <c r="CL547" i="1"/>
  <c r="CK547" i="1"/>
  <c r="CJ547" i="1"/>
  <c r="CI547" i="1"/>
  <c r="CH547" i="1"/>
  <c r="CG547" i="1"/>
  <c r="CF547" i="1"/>
  <c r="CD547" i="1"/>
  <c r="CC547" i="1"/>
  <c r="CB547" i="1"/>
  <c r="CA547" i="1"/>
  <c r="BZ547" i="1"/>
  <c r="BY547" i="1"/>
  <c r="BX547" i="1"/>
  <c r="BU547" i="1"/>
  <c r="BN547" i="1"/>
  <c r="BS547" i="1" s="1"/>
  <c r="BA547" i="1"/>
  <c r="AZ547" i="1"/>
  <c r="AY547" i="1"/>
  <c r="AX547" i="1"/>
  <c r="AW547" i="1"/>
  <c r="AV547" i="1"/>
  <c r="AT547" i="1"/>
  <c r="AS547" i="1"/>
  <c r="CS546" i="1"/>
  <c r="CR546" i="1"/>
  <c r="CQ546" i="1"/>
  <c r="CP546" i="1"/>
  <c r="CO546" i="1"/>
  <c r="CN546" i="1"/>
  <c r="CL546" i="1"/>
  <c r="CK546" i="1"/>
  <c r="CJ546" i="1"/>
  <c r="CI546" i="1"/>
  <c r="CH546" i="1"/>
  <c r="CG546" i="1"/>
  <c r="CF546" i="1"/>
  <c r="CD546" i="1"/>
  <c r="CC546" i="1"/>
  <c r="CB546" i="1"/>
  <c r="CA546" i="1"/>
  <c r="BZ546" i="1"/>
  <c r="BY546" i="1"/>
  <c r="BX546" i="1"/>
  <c r="BU546" i="1"/>
  <c r="BN546" i="1"/>
  <c r="BS546" i="1" s="1"/>
  <c r="BA546" i="1"/>
  <c r="AZ546" i="1"/>
  <c r="AY546" i="1"/>
  <c r="AX546" i="1"/>
  <c r="AW546" i="1"/>
  <c r="AV546" i="1"/>
  <c r="AT546" i="1"/>
  <c r="AS546" i="1"/>
  <c r="CS545" i="1"/>
  <c r="CR545" i="1"/>
  <c r="CQ545" i="1"/>
  <c r="CP545" i="1"/>
  <c r="CO545" i="1"/>
  <c r="CN545" i="1"/>
  <c r="CL545" i="1"/>
  <c r="CK545" i="1"/>
  <c r="CJ545" i="1"/>
  <c r="CI545" i="1"/>
  <c r="CH545" i="1"/>
  <c r="CG545" i="1"/>
  <c r="CF545" i="1"/>
  <c r="CD545" i="1"/>
  <c r="CC545" i="1"/>
  <c r="CB545" i="1"/>
  <c r="CA545" i="1"/>
  <c r="BZ545" i="1"/>
  <c r="BY545" i="1"/>
  <c r="BX545" i="1"/>
  <c r="BU545" i="1"/>
  <c r="BN545" i="1"/>
  <c r="BS545" i="1" s="1"/>
  <c r="BA545" i="1"/>
  <c r="AZ545" i="1"/>
  <c r="AY545" i="1"/>
  <c r="AX545" i="1"/>
  <c r="AW545" i="1"/>
  <c r="AV545" i="1"/>
  <c r="AT545" i="1"/>
  <c r="AS545" i="1"/>
  <c r="CS544" i="1"/>
  <c r="CR544" i="1"/>
  <c r="CQ544" i="1"/>
  <c r="CP544" i="1"/>
  <c r="CO544" i="1"/>
  <c r="CN544" i="1"/>
  <c r="CL544" i="1"/>
  <c r="CK544" i="1"/>
  <c r="CJ544" i="1"/>
  <c r="CI544" i="1"/>
  <c r="CH544" i="1"/>
  <c r="CG544" i="1"/>
  <c r="CF544" i="1"/>
  <c r="CD544" i="1"/>
  <c r="CC544" i="1"/>
  <c r="CB544" i="1"/>
  <c r="CA544" i="1"/>
  <c r="BZ544" i="1"/>
  <c r="BY544" i="1"/>
  <c r="BX544" i="1"/>
  <c r="BU544" i="1"/>
  <c r="BN544" i="1"/>
  <c r="BS544" i="1" s="1"/>
  <c r="BA544" i="1"/>
  <c r="AZ544" i="1"/>
  <c r="AY544" i="1"/>
  <c r="AX544" i="1"/>
  <c r="AW544" i="1"/>
  <c r="AV544" i="1"/>
  <c r="AT544" i="1"/>
  <c r="AS544" i="1"/>
  <c r="CS543" i="1"/>
  <c r="CR543" i="1"/>
  <c r="CQ543" i="1"/>
  <c r="CP543" i="1"/>
  <c r="CO543" i="1"/>
  <c r="CN543" i="1"/>
  <c r="CL543" i="1"/>
  <c r="CK543" i="1"/>
  <c r="CJ543" i="1"/>
  <c r="CI543" i="1"/>
  <c r="CH543" i="1"/>
  <c r="CG543" i="1"/>
  <c r="CF543" i="1"/>
  <c r="CD543" i="1"/>
  <c r="CC543" i="1"/>
  <c r="CB543" i="1"/>
  <c r="CA543" i="1"/>
  <c r="BZ543" i="1"/>
  <c r="BY543" i="1"/>
  <c r="BX543" i="1"/>
  <c r="BU543" i="1"/>
  <c r="BN543" i="1"/>
  <c r="BS543" i="1" s="1"/>
  <c r="BA543" i="1"/>
  <c r="AZ543" i="1"/>
  <c r="AY543" i="1"/>
  <c r="AX543" i="1"/>
  <c r="AW543" i="1"/>
  <c r="AV543" i="1"/>
  <c r="AT543" i="1"/>
  <c r="AS543" i="1"/>
  <c r="CS542" i="1"/>
  <c r="CR542" i="1"/>
  <c r="CQ542" i="1"/>
  <c r="CP542" i="1"/>
  <c r="CO542" i="1"/>
  <c r="CN542" i="1"/>
  <c r="CL542" i="1"/>
  <c r="CK542" i="1"/>
  <c r="CJ542" i="1"/>
  <c r="CI542" i="1"/>
  <c r="CH542" i="1"/>
  <c r="CG542" i="1"/>
  <c r="CF542" i="1"/>
  <c r="CD542" i="1"/>
  <c r="CC542" i="1"/>
  <c r="CB542" i="1"/>
  <c r="CA542" i="1"/>
  <c r="BZ542" i="1"/>
  <c r="BY542" i="1"/>
  <c r="BX542" i="1"/>
  <c r="BU542" i="1"/>
  <c r="BN542" i="1"/>
  <c r="BS542" i="1" s="1"/>
  <c r="BA542" i="1"/>
  <c r="AZ542" i="1"/>
  <c r="AY542" i="1"/>
  <c r="AX542" i="1"/>
  <c r="AW542" i="1"/>
  <c r="AV542" i="1"/>
  <c r="AT542" i="1"/>
  <c r="AS542" i="1"/>
  <c r="CS541" i="1"/>
  <c r="CR541" i="1"/>
  <c r="CQ541" i="1"/>
  <c r="CP541" i="1"/>
  <c r="CO541" i="1"/>
  <c r="CN541" i="1"/>
  <c r="CL541" i="1"/>
  <c r="CK541" i="1"/>
  <c r="CJ541" i="1"/>
  <c r="CI541" i="1"/>
  <c r="CH541" i="1"/>
  <c r="CG541" i="1"/>
  <c r="CF541" i="1"/>
  <c r="CD541" i="1"/>
  <c r="CC541" i="1"/>
  <c r="CB541" i="1"/>
  <c r="CA541" i="1"/>
  <c r="BZ541" i="1"/>
  <c r="BY541" i="1"/>
  <c r="BX541" i="1"/>
  <c r="BU541" i="1"/>
  <c r="BN541" i="1"/>
  <c r="BS541" i="1" s="1"/>
  <c r="BA541" i="1"/>
  <c r="AZ541" i="1"/>
  <c r="AY541" i="1"/>
  <c r="AX541" i="1"/>
  <c r="AW541" i="1"/>
  <c r="AV541" i="1"/>
  <c r="AT541" i="1"/>
  <c r="AS541" i="1"/>
  <c r="CS540" i="1"/>
  <c r="CR540" i="1"/>
  <c r="CQ540" i="1"/>
  <c r="CP540" i="1"/>
  <c r="CO540" i="1"/>
  <c r="CN540" i="1"/>
  <c r="CL540" i="1"/>
  <c r="CK540" i="1"/>
  <c r="CJ540" i="1"/>
  <c r="CI540" i="1"/>
  <c r="CH540" i="1"/>
  <c r="CG540" i="1"/>
  <c r="CF540" i="1"/>
  <c r="CD540" i="1"/>
  <c r="CC540" i="1"/>
  <c r="CB540" i="1"/>
  <c r="CA540" i="1"/>
  <c r="BZ540" i="1"/>
  <c r="BY540" i="1"/>
  <c r="BX540" i="1"/>
  <c r="BU540" i="1"/>
  <c r="BN540" i="1"/>
  <c r="BS540" i="1" s="1"/>
  <c r="BA540" i="1"/>
  <c r="AZ540" i="1"/>
  <c r="AY540" i="1"/>
  <c r="AX540" i="1"/>
  <c r="AW540" i="1"/>
  <c r="AV540" i="1"/>
  <c r="AT540" i="1"/>
  <c r="AS540" i="1"/>
  <c r="CS539" i="1"/>
  <c r="CR539" i="1"/>
  <c r="CQ539" i="1"/>
  <c r="CP539" i="1"/>
  <c r="CO539" i="1"/>
  <c r="CN539" i="1"/>
  <c r="CL539" i="1"/>
  <c r="CK539" i="1"/>
  <c r="CJ539" i="1"/>
  <c r="CI539" i="1"/>
  <c r="CH539" i="1"/>
  <c r="CG539" i="1"/>
  <c r="CF539" i="1"/>
  <c r="CD539" i="1"/>
  <c r="CC539" i="1"/>
  <c r="CB539" i="1"/>
  <c r="CA539" i="1"/>
  <c r="BZ539" i="1"/>
  <c r="BY539" i="1"/>
  <c r="BX539" i="1"/>
  <c r="BU539" i="1"/>
  <c r="BN539" i="1"/>
  <c r="BS539" i="1" s="1"/>
  <c r="BA539" i="1"/>
  <c r="AZ539" i="1"/>
  <c r="AY539" i="1"/>
  <c r="AX539" i="1"/>
  <c r="AW539" i="1"/>
  <c r="AV539" i="1"/>
  <c r="AT539" i="1"/>
  <c r="AS539" i="1"/>
  <c r="CS538" i="1"/>
  <c r="CR538" i="1"/>
  <c r="CQ538" i="1"/>
  <c r="CP538" i="1"/>
  <c r="CO538" i="1"/>
  <c r="CN538" i="1"/>
  <c r="CL538" i="1"/>
  <c r="CK538" i="1"/>
  <c r="CJ538" i="1"/>
  <c r="CI538" i="1"/>
  <c r="CH538" i="1"/>
  <c r="CG538" i="1"/>
  <c r="CF538" i="1"/>
  <c r="CD538" i="1"/>
  <c r="CC538" i="1"/>
  <c r="CB538" i="1"/>
  <c r="CA538" i="1"/>
  <c r="BZ538" i="1"/>
  <c r="BY538" i="1"/>
  <c r="BX538" i="1"/>
  <c r="BU538" i="1"/>
  <c r="BN538" i="1"/>
  <c r="BS538" i="1" s="1"/>
  <c r="BA538" i="1"/>
  <c r="AZ538" i="1"/>
  <c r="AY538" i="1"/>
  <c r="AX538" i="1"/>
  <c r="AW538" i="1"/>
  <c r="AV538" i="1"/>
  <c r="AT538" i="1"/>
  <c r="AS538" i="1"/>
  <c r="CS537" i="1"/>
  <c r="CR537" i="1"/>
  <c r="CQ537" i="1"/>
  <c r="CP537" i="1"/>
  <c r="CO537" i="1"/>
  <c r="CN537" i="1"/>
  <c r="CL537" i="1"/>
  <c r="CK537" i="1"/>
  <c r="CJ537" i="1"/>
  <c r="CI537" i="1"/>
  <c r="CH537" i="1"/>
  <c r="CG537" i="1"/>
  <c r="CF537" i="1"/>
  <c r="CD537" i="1"/>
  <c r="CC537" i="1"/>
  <c r="CB537" i="1"/>
  <c r="CA537" i="1"/>
  <c r="BZ537" i="1"/>
  <c r="BY537" i="1"/>
  <c r="BX537" i="1"/>
  <c r="BU537" i="1"/>
  <c r="BN537" i="1"/>
  <c r="BS537" i="1" s="1"/>
  <c r="BA537" i="1"/>
  <c r="AZ537" i="1"/>
  <c r="AY537" i="1"/>
  <c r="AX537" i="1"/>
  <c r="AW537" i="1"/>
  <c r="AV537" i="1"/>
  <c r="AT537" i="1"/>
  <c r="AS537" i="1"/>
  <c r="CS536" i="1"/>
  <c r="CR536" i="1"/>
  <c r="CQ536" i="1"/>
  <c r="CP536" i="1"/>
  <c r="CO536" i="1"/>
  <c r="CN536" i="1"/>
  <c r="CL536" i="1"/>
  <c r="CK536" i="1"/>
  <c r="CJ536" i="1"/>
  <c r="CI536" i="1"/>
  <c r="CH536" i="1"/>
  <c r="CG536" i="1"/>
  <c r="CF536" i="1"/>
  <c r="CD536" i="1"/>
  <c r="CC536" i="1"/>
  <c r="CB536" i="1"/>
  <c r="CA536" i="1"/>
  <c r="BZ536" i="1"/>
  <c r="BY536" i="1"/>
  <c r="BX536" i="1"/>
  <c r="BU536" i="1"/>
  <c r="BN536" i="1"/>
  <c r="BS536" i="1" s="1"/>
  <c r="BA536" i="1"/>
  <c r="AZ536" i="1"/>
  <c r="AY536" i="1"/>
  <c r="AX536" i="1"/>
  <c r="AW536" i="1"/>
  <c r="AV536" i="1"/>
  <c r="AT536" i="1"/>
  <c r="AS536" i="1"/>
  <c r="CS535" i="1"/>
  <c r="CR535" i="1"/>
  <c r="CQ535" i="1"/>
  <c r="CP535" i="1"/>
  <c r="CO535" i="1"/>
  <c r="CN535" i="1"/>
  <c r="CL535" i="1"/>
  <c r="CK535" i="1"/>
  <c r="CJ535" i="1"/>
  <c r="CI535" i="1"/>
  <c r="CH535" i="1"/>
  <c r="CG535" i="1"/>
  <c r="CF535" i="1"/>
  <c r="CD535" i="1"/>
  <c r="CC535" i="1"/>
  <c r="CB535" i="1"/>
  <c r="CA535" i="1"/>
  <c r="BZ535" i="1"/>
  <c r="BY535" i="1"/>
  <c r="BX535" i="1"/>
  <c r="BU535" i="1"/>
  <c r="BN535" i="1"/>
  <c r="BS535" i="1" s="1"/>
  <c r="BA535" i="1"/>
  <c r="AZ535" i="1"/>
  <c r="AY535" i="1"/>
  <c r="AX535" i="1"/>
  <c r="AW535" i="1"/>
  <c r="AV535" i="1"/>
  <c r="AT535" i="1"/>
  <c r="AS535" i="1"/>
  <c r="CS534" i="1"/>
  <c r="CR534" i="1"/>
  <c r="CQ534" i="1"/>
  <c r="CP534" i="1"/>
  <c r="CO534" i="1"/>
  <c r="CN534" i="1"/>
  <c r="CL534" i="1"/>
  <c r="CK534" i="1"/>
  <c r="CJ534" i="1"/>
  <c r="CI534" i="1"/>
  <c r="CH534" i="1"/>
  <c r="CG534" i="1"/>
  <c r="CF534" i="1"/>
  <c r="CD534" i="1"/>
  <c r="CC534" i="1"/>
  <c r="CB534" i="1"/>
  <c r="CA534" i="1"/>
  <c r="BZ534" i="1"/>
  <c r="BY534" i="1"/>
  <c r="BX534" i="1"/>
  <c r="BU534" i="1"/>
  <c r="BN534" i="1"/>
  <c r="BS534" i="1" s="1"/>
  <c r="BA534" i="1"/>
  <c r="AZ534" i="1"/>
  <c r="AY534" i="1"/>
  <c r="AX534" i="1"/>
  <c r="AW534" i="1"/>
  <c r="AV534" i="1"/>
  <c r="AT534" i="1"/>
  <c r="AS534" i="1"/>
  <c r="CS533" i="1"/>
  <c r="CR533" i="1"/>
  <c r="CQ533" i="1"/>
  <c r="CP533" i="1"/>
  <c r="CO533" i="1"/>
  <c r="CN533" i="1"/>
  <c r="CL533" i="1"/>
  <c r="CK533" i="1"/>
  <c r="CJ533" i="1"/>
  <c r="CI533" i="1"/>
  <c r="CH533" i="1"/>
  <c r="CG533" i="1"/>
  <c r="CF533" i="1"/>
  <c r="CD533" i="1"/>
  <c r="CC533" i="1"/>
  <c r="CB533" i="1"/>
  <c r="CA533" i="1"/>
  <c r="BZ533" i="1"/>
  <c r="BY533" i="1"/>
  <c r="BX533" i="1"/>
  <c r="BU533" i="1"/>
  <c r="BN533" i="1"/>
  <c r="BS533" i="1" s="1"/>
  <c r="BA533" i="1"/>
  <c r="AZ533" i="1"/>
  <c r="AY533" i="1"/>
  <c r="AX533" i="1"/>
  <c r="AW533" i="1"/>
  <c r="AV533" i="1"/>
  <c r="AT533" i="1"/>
  <c r="AS533" i="1"/>
  <c r="CS532" i="1"/>
  <c r="CR532" i="1"/>
  <c r="CQ532" i="1"/>
  <c r="CP532" i="1"/>
  <c r="CO532" i="1"/>
  <c r="CN532" i="1"/>
  <c r="CL532" i="1"/>
  <c r="CK532" i="1"/>
  <c r="CJ532" i="1"/>
  <c r="CI532" i="1"/>
  <c r="CH532" i="1"/>
  <c r="CG532" i="1"/>
  <c r="CF532" i="1"/>
  <c r="CD532" i="1"/>
  <c r="CC532" i="1"/>
  <c r="CB532" i="1"/>
  <c r="CA532" i="1"/>
  <c r="BZ532" i="1"/>
  <c r="BY532" i="1"/>
  <c r="BX532" i="1"/>
  <c r="BU532" i="1"/>
  <c r="BN532" i="1"/>
  <c r="BS532" i="1" s="1"/>
  <c r="BA532" i="1"/>
  <c r="AZ532" i="1"/>
  <c r="AY532" i="1"/>
  <c r="AX532" i="1"/>
  <c r="AW532" i="1"/>
  <c r="AV532" i="1"/>
  <c r="AT532" i="1"/>
  <c r="AS532" i="1"/>
  <c r="CS531" i="1"/>
  <c r="CR531" i="1"/>
  <c r="CQ531" i="1"/>
  <c r="CP531" i="1"/>
  <c r="CO531" i="1"/>
  <c r="CN531" i="1"/>
  <c r="CL531" i="1"/>
  <c r="CK531" i="1"/>
  <c r="CJ531" i="1"/>
  <c r="CI531" i="1"/>
  <c r="CH531" i="1"/>
  <c r="CG531" i="1"/>
  <c r="CF531" i="1"/>
  <c r="CD531" i="1"/>
  <c r="CC531" i="1"/>
  <c r="CB531" i="1"/>
  <c r="CA531" i="1"/>
  <c r="BZ531" i="1"/>
  <c r="BY531" i="1"/>
  <c r="BX531" i="1"/>
  <c r="BU531" i="1"/>
  <c r="BN531" i="1"/>
  <c r="BS531" i="1" s="1"/>
  <c r="BA531" i="1"/>
  <c r="AZ531" i="1"/>
  <c r="AY531" i="1"/>
  <c r="AX531" i="1"/>
  <c r="AW531" i="1"/>
  <c r="AV531" i="1"/>
  <c r="AT531" i="1"/>
  <c r="AS531" i="1"/>
  <c r="CS530" i="1"/>
  <c r="CR530" i="1"/>
  <c r="CQ530" i="1"/>
  <c r="CP530" i="1"/>
  <c r="CO530" i="1"/>
  <c r="CN530" i="1"/>
  <c r="CL530" i="1"/>
  <c r="CK530" i="1"/>
  <c r="CJ530" i="1"/>
  <c r="CI530" i="1"/>
  <c r="CH530" i="1"/>
  <c r="CG530" i="1"/>
  <c r="CF530" i="1"/>
  <c r="CD530" i="1"/>
  <c r="CC530" i="1"/>
  <c r="CB530" i="1"/>
  <c r="CA530" i="1"/>
  <c r="BZ530" i="1"/>
  <c r="BY530" i="1"/>
  <c r="BX530" i="1"/>
  <c r="BU530" i="1"/>
  <c r="BN530" i="1"/>
  <c r="BS530" i="1" s="1"/>
  <c r="BA530" i="1"/>
  <c r="AZ530" i="1"/>
  <c r="AY530" i="1"/>
  <c r="AX530" i="1"/>
  <c r="AW530" i="1"/>
  <c r="AV530" i="1"/>
  <c r="AT530" i="1"/>
  <c r="AS530" i="1"/>
  <c r="CS529" i="1"/>
  <c r="CR529" i="1"/>
  <c r="CQ529" i="1"/>
  <c r="CP529" i="1"/>
  <c r="CO529" i="1"/>
  <c r="CN529" i="1"/>
  <c r="CL529" i="1"/>
  <c r="CK529" i="1"/>
  <c r="CJ529" i="1"/>
  <c r="CI529" i="1"/>
  <c r="CH529" i="1"/>
  <c r="CG529" i="1"/>
  <c r="CF529" i="1"/>
  <c r="CD529" i="1"/>
  <c r="CC529" i="1"/>
  <c r="CB529" i="1"/>
  <c r="CA529" i="1"/>
  <c r="BZ529" i="1"/>
  <c r="BY529" i="1"/>
  <c r="BX529" i="1"/>
  <c r="BU529" i="1"/>
  <c r="BN529" i="1"/>
  <c r="BS529" i="1" s="1"/>
  <c r="BA529" i="1"/>
  <c r="AZ529" i="1"/>
  <c r="AY529" i="1"/>
  <c r="AX529" i="1"/>
  <c r="AW529" i="1"/>
  <c r="AV529" i="1"/>
  <c r="AT529" i="1"/>
  <c r="AS529" i="1"/>
  <c r="CS528" i="1"/>
  <c r="CR528" i="1"/>
  <c r="CQ528" i="1"/>
  <c r="CP528" i="1"/>
  <c r="CO528" i="1"/>
  <c r="CN528" i="1"/>
  <c r="CL528" i="1"/>
  <c r="CK528" i="1"/>
  <c r="CJ528" i="1"/>
  <c r="CI528" i="1"/>
  <c r="CH528" i="1"/>
  <c r="CG528" i="1"/>
  <c r="CF528" i="1"/>
  <c r="CD528" i="1"/>
  <c r="CC528" i="1"/>
  <c r="CB528" i="1"/>
  <c r="CA528" i="1"/>
  <c r="BZ528" i="1"/>
  <c r="BY528" i="1"/>
  <c r="BX528" i="1"/>
  <c r="BU528" i="1"/>
  <c r="BN528" i="1"/>
  <c r="BS528" i="1" s="1"/>
  <c r="BA528" i="1"/>
  <c r="AZ528" i="1"/>
  <c r="AY528" i="1"/>
  <c r="AX528" i="1"/>
  <c r="AW528" i="1"/>
  <c r="AV528" i="1"/>
  <c r="AT528" i="1"/>
  <c r="AS528" i="1"/>
  <c r="CS527" i="1"/>
  <c r="CR527" i="1"/>
  <c r="CQ527" i="1"/>
  <c r="CP527" i="1"/>
  <c r="CO527" i="1"/>
  <c r="CN527" i="1"/>
  <c r="CL527" i="1"/>
  <c r="CK527" i="1"/>
  <c r="CJ527" i="1"/>
  <c r="CI527" i="1"/>
  <c r="CH527" i="1"/>
  <c r="CG527" i="1"/>
  <c r="CF527" i="1"/>
  <c r="CD527" i="1"/>
  <c r="CC527" i="1"/>
  <c r="CB527" i="1"/>
  <c r="CA527" i="1"/>
  <c r="BZ527" i="1"/>
  <c r="BY527" i="1"/>
  <c r="BX527" i="1"/>
  <c r="BU527" i="1"/>
  <c r="BN527" i="1"/>
  <c r="BS527" i="1" s="1"/>
  <c r="BA527" i="1"/>
  <c r="AZ527" i="1"/>
  <c r="AY527" i="1"/>
  <c r="AX527" i="1"/>
  <c r="AW527" i="1"/>
  <c r="AV527" i="1"/>
  <c r="AT527" i="1"/>
  <c r="AS527" i="1"/>
  <c r="CS526" i="1"/>
  <c r="CR526" i="1"/>
  <c r="CQ526" i="1"/>
  <c r="CP526" i="1"/>
  <c r="CO526" i="1"/>
  <c r="CN526" i="1"/>
  <c r="CL526" i="1"/>
  <c r="CK526" i="1"/>
  <c r="CJ526" i="1"/>
  <c r="CI526" i="1"/>
  <c r="CH526" i="1"/>
  <c r="CG526" i="1"/>
  <c r="CF526" i="1"/>
  <c r="CD526" i="1"/>
  <c r="CC526" i="1"/>
  <c r="CB526" i="1"/>
  <c r="CA526" i="1"/>
  <c r="BZ526" i="1"/>
  <c r="BY526" i="1"/>
  <c r="BX526" i="1"/>
  <c r="BU526" i="1"/>
  <c r="BN526" i="1"/>
  <c r="BS526" i="1" s="1"/>
  <c r="BA526" i="1"/>
  <c r="AZ526" i="1"/>
  <c r="AY526" i="1"/>
  <c r="AX526" i="1"/>
  <c r="AW526" i="1"/>
  <c r="AV526" i="1"/>
  <c r="AT526" i="1"/>
  <c r="AS526" i="1"/>
  <c r="CS525" i="1"/>
  <c r="CR525" i="1"/>
  <c r="CQ525" i="1"/>
  <c r="CP525" i="1"/>
  <c r="CO525" i="1"/>
  <c r="CN525" i="1"/>
  <c r="CL525" i="1"/>
  <c r="CK525" i="1"/>
  <c r="CJ525" i="1"/>
  <c r="CI525" i="1"/>
  <c r="CH525" i="1"/>
  <c r="CG525" i="1"/>
  <c r="CF525" i="1"/>
  <c r="CD525" i="1"/>
  <c r="CC525" i="1"/>
  <c r="CB525" i="1"/>
  <c r="CA525" i="1"/>
  <c r="BZ525" i="1"/>
  <c r="BY525" i="1"/>
  <c r="BX525" i="1"/>
  <c r="BU525" i="1"/>
  <c r="BN525" i="1"/>
  <c r="BS525" i="1" s="1"/>
  <c r="BA525" i="1"/>
  <c r="AZ525" i="1"/>
  <c r="AY525" i="1"/>
  <c r="AX525" i="1"/>
  <c r="AW525" i="1"/>
  <c r="AV525" i="1"/>
  <c r="AT525" i="1"/>
  <c r="AS525" i="1"/>
  <c r="CS524" i="1"/>
  <c r="CR524" i="1"/>
  <c r="CQ524" i="1"/>
  <c r="CP524" i="1"/>
  <c r="CO524" i="1"/>
  <c r="CN524" i="1"/>
  <c r="CL524" i="1"/>
  <c r="CK524" i="1"/>
  <c r="CJ524" i="1"/>
  <c r="CI524" i="1"/>
  <c r="CH524" i="1"/>
  <c r="CG524" i="1"/>
  <c r="CF524" i="1"/>
  <c r="CD524" i="1"/>
  <c r="CC524" i="1"/>
  <c r="CB524" i="1"/>
  <c r="CA524" i="1"/>
  <c r="BZ524" i="1"/>
  <c r="BY524" i="1"/>
  <c r="BX524" i="1"/>
  <c r="BU524" i="1"/>
  <c r="BN524" i="1"/>
  <c r="BS524" i="1" s="1"/>
  <c r="BA524" i="1"/>
  <c r="AZ524" i="1"/>
  <c r="AY524" i="1"/>
  <c r="AX524" i="1"/>
  <c r="AW524" i="1"/>
  <c r="AV524" i="1"/>
  <c r="AT524" i="1"/>
  <c r="AS524" i="1"/>
  <c r="CS523" i="1"/>
  <c r="CR523" i="1"/>
  <c r="CQ523" i="1"/>
  <c r="CP523" i="1"/>
  <c r="CO523" i="1"/>
  <c r="CN523" i="1"/>
  <c r="CL523" i="1"/>
  <c r="CK523" i="1"/>
  <c r="CJ523" i="1"/>
  <c r="CI523" i="1"/>
  <c r="CH523" i="1"/>
  <c r="CG523" i="1"/>
  <c r="CF523" i="1"/>
  <c r="CD523" i="1"/>
  <c r="CC523" i="1"/>
  <c r="CB523" i="1"/>
  <c r="CA523" i="1"/>
  <c r="BZ523" i="1"/>
  <c r="BY523" i="1"/>
  <c r="BX523" i="1"/>
  <c r="BU523" i="1"/>
  <c r="BN523" i="1"/>
  <c r="BS523" i="1" s="1"/>
  <c r="BA523" i="1"/>
  <c r="AZ523" i="1"/>
  <c r="AY523" i="1"/>
  <c r="AX523" i="1"/>
  <c r="AW523" i="1"/>
  <c r="AV523" i="1"/>
  <c r="AT523" i="1"/>
  <c r="AS523" i="1"/>
  <c r="CS522" i="1"/>
  <c r="CR522" i="1"/>
  <c r="CQ522" i="1"/>
  <c r="CP522" i="1"/>
  <c r="CO522" i="1"/>
  <c r="CN522" i="1"/>
  <c r="CL522" i="1"/>
  <c r="CK522" i="1"/>
  <c r="CJ522" i="1"/>
  <c r="CI522" i="1"/>
  <c r="CH522" i="1"/>
  <c r="CG522" i="1"/>
  <c r="CF522" i="1"/>
  <c r="CD522" i="1"/>
  <c r="CC522" i="1"/>
  <c r="CB522" i="1"/>
  <c r="CA522" i="1"/>
  <c r="BZ522" i="1"/>
  <c r="BY522" i="1"/>
  <c r="BX522" i="1"/>
  <c r="BU522" i="1"/>
  <c r="BN522" i="1"/>
  <c r="BS522" i="1" s="1"/>
  <c r="BA522" i="1"/>
  <c r="AZ522" i="1"/>
  <c r="AY522" i="1"/>
  <c r="AX522" i="1"/>
  <c r="AW522" i="1"/>
  <c r="AV522" i="1"/>
  <c r="AT522" i="1"/>
  <c r="AS522" i="1"/>
  <c r="CS521" i="1"/>
  <c r="CR521" i="1"/>
  <c r="CQ521" i="1"/>
  <c r="CP521" i="1"/>
  <c r="CO521" i="1"/>
  <c r="CN521" i="1"/>
  <c r="CL521" i="1"/>
  <c r="CK521" i="1"/>
  <c r="CJ521" i="1"/>
  <c r="CI521" i="1"/>
  <c r="CH521" i="1"/>
  <c r="CG521" i="1"/>
  <c r="CF521" i="1"/>
  <c r="CD521" i="1"/>
  <c r="CC521" i="1"/>
  <c r="CB521" i="1"/>
  <c r="CA521" i="1"/>
  <c r="BZ521" i="1"/>
  <c r="BY521" i="1"/>
  <c r="BX521" i="1"/>
  <c r="BU521" i="1"/>
  <c r="BN521" i="1"/>
  <c r="BS521" i="1" s="1"/>
  <c r="BA521" i="1"/>
  <c r="AZ521" i="1"/>
  <c r="AY521" i="1"/>
  <c r="AX521" i="1"/>
  <c r="AW521" i="1"/>
  <c r="AV521" i="1"/>
  <c r="AT521" i="1"/>
  <c r="AS521" i="1"/>
  <c r="CS520" i="1"/>
  <c r="CR520" i="1"/>
  <c r="CQ520" i="1"/>
  <c r="CP520" i="1"/>
  <c r="CO520" i="1"/>
  <c r="CN520" i="1"/>
  <c r="CL520" i="1"/>
  <c r="CK520" i="1"/>
  <c r="CJ520" i="1"/>
  <c r="CI520" i="1"/>
  <c r="CH520" i="1"/>
  <c r="CG520" i="1"/>
  <c r="CF520" i="1"/>
  <c r="CD520" i="1"/>
  <c r="CC520" i="1"/>
  <c r="CB520" i="1"/>
  <c r="CA520" i="1"/>
  <c r="BZ520" i="1"/>
  <c r="BY520" i="1"/>
  <c r="BX520" i="1"/>
  <c r="BU520" i="1"/>
  <c r="BN520" i="1"/>
  <c r="BS520" i="1" s="1"/>
  <c r="BA520" i="1"/>
  <c r="AZ520" i="1"/>
  <c r="AY520" i="1"/>
  <c r="AX520" i="1"/>
  <c r="AW520" i="1"/>
  <c r="AV520" i="1"/>
  <c r="AT520" i="1"/>
  <c r="AS520" i="1"/>
  <c r="CS519" i="1"/>
  <c r="CR519" i="1"/>
  <c r="CQ519" i="1"/>
  <c r="CP519" i="1"/>
  <c r="CO519" i="1"/>
  <c r="CN519" i="1"/>
  <c r="CL519" i="1"/>
  <c r="CK519" i="1"/>
  <c r="CJ519" i="1"/>
  <c r="CI519" i="1"/>
  <c r="CH519" i="1"/>
  <c r="CG519" i="1"/>
  <c r="CF519" i="1"/>
  <c r="CD519" i="1"/>
  <c r="CC519" i="1"/>
  <c r="CB519" i="1"/>
  <c r="CA519" i="1"/>
  <c r="BZ519" i="1"/>
  <c r="BY519" i="1"/>
  <c r="BX519" i="1"/>
  <c r="BU519" i="1"/>
  <c r="BN519" i="1"/>
  <c r="BS519" i="1" s="1"/>
  <c r="BA519" i="1"/>
  <c r="AZ519" i="1"/>
  <c r="AY519" i="1"/>
  <c r="AX519" i="1"/>
  <c r="AW519" i="1"/>
  <c r="AV519" i="1"/>
  <c r="AT519" i="1"/>
  <c r="AS519" i="1"/>
  <c r="CS518" i="1"/>
  <c r="CR518" i="1"/>
  <c r="CQ518" i="1"/>
  <c r="CP518" i="1"/>
  <c r="CO518" i="1"/>
  <c r="CN518" i="1"/>
  <c r="CL518" i="1"/>
  <c r="CK518" i="1"/>
  <c r="CJ518" i="1"/>
  <c r="CI518" i="1"/>
  <c r="CH518" i="1"/>
  <c r="CG518" i="1"/>
  <c r="CF518" i="1"/>
  <c r="CD518" i="1"/>
  <c r="CC518" i="1"/>
  <c r="CB518" i="1"/>
  <c r="CA518" i="1"/>
  <c r="BZ518" i="1"/>
  <c r="BY518" i="1"/>
  <c r="BX518" i="1"/>
  <c r="BU518" i="1"/>
  <c r="BN518" i="1"/>
  <c r="BS518" i="1" s="1"/>
  <c r="BA518" i="1"/>
  <c r="AZ518" i="1"/>
  <c r="AY518" i="1"/>
  <c r="AX518" i="1"/>
  <c r="AW518" i="1"/>
  <c r="AV518" i="1"/>
  <c r="AT518" i="1"/>
  <c r="AS518" i="1"/>
  <c r="CS517" i="1"/>
  <c r="CR517" i="1"/>
  <c r="CQ517" i="1"/>
  <c r="CP517" i="1"/>
  <c r="CO517" i="1"/>
  <c r="CN517" i="1"/>
  <c r="CL517" i="1"/>
  <c r="CK517" i="1"/>
  <c r="CJ517" i="1"/>
  <c r="CI517" i="1"/>
  <c r="CH517" i="1"/>
  <c r="CG517" i="1"/>
  <c r="CF517" i="1"/>
  <c r="CD517" i="1"/>
  <c r="CC517" i="1"/>
  <c r="CB517" i="1"/>
  <c r="CA517" i="1"/>
  <c r="BZ517" i="1"/>
  <c r="BY517" i="1"/>
  <c r="BX517" i="1"/>
  <c r="BU517" i="1"/>
  <c r="BN517" i="1"/>
  <c r="BS517" i="1" s="1"/>
  <c r="BA517" i="1"/>
  <c r="AZ517" i="1"/>
  <c r="AY517" i="1"/>
  <c r="AX517" i="1"/>
  <c r="AW517" i="1"/>
  <c r="AV517" i="1"/>
  <c r="AT517" i="1"/>
  <c r="AS517" i="1"/>
  <c r="CS516" i="1"/>
  <c r="CR516" i="1"/>
  <c r="CQ516" i="1"/>
  <c r="CP516" i="1"/>
  <c r="CO516" i="1"/>
  <c r="CN516" i="1"/>
  <c r="CL516" i="1"/>
  <c r="CK516" i="1"/>
  <c r="CJ516" i="1"/>
  <c r="CI516" i="1"/>
  <c r="CH516" i="1"/>
  <c r="CG516" i="1"/>
  <c r="CF516" i="1"/>
  <c r="CD516" i="1"/>
  <c r="CC516" i="1"/>
  <c r="CB516" i="1"/>
  <c r="CA516" i="1"/>
  <c r="BZ516" i="1"/>
  <c r="BY516" i="1"/>
  <c r="BX516" i="1"/>
  <c r="BU516" i="1"/>
  <c r="BN516" i="1"/>
  <c r="BS516" i="1" s="1"/>
  <c r="BA516" i="1"/>
  <c r="AZ516" i="1"/>
  <c r="AY516" i="1"/>
  <c r="AX516" i="1"/>
  <c r="AW516" i="1"/>
  <c r="AV516" i="1"/>
  <c r="AT516" i="1"/>
  <c r="AS516" i="1"/>
  <c r="CS515" i="1"/>
  <c r="CR515" i="1"/>
  <c r="CQ515" i="1"/>
  <c r="CP515" i="1"/>
  <c r="CO515" i="1"/>
  <c r="CN515" i="1"/>
  <c r="CL515" i="1"/>
  <c r="CK515" i="1"/>
  <c r="CJ515" i="1"/>
  <c r="CI515" i="1"/>
  <c r="CH515" i="1"/>
  <c r="CG515" i="1"/>
  <c r="CF515" i="1"/>
  <c r="CD515" i="1"/>
  <c r="CC515" i="1"/>
  <c r="CB515" i="1"/>
  <c r="CA515" i="1"/>
  <c r="BZ515" i="1"/>
  <c r="BY515" i="1"/>
  <c r="BX515" i="1"/>
  <c r="BU515" i="1"/>
  <c r="BN515" i="1"/>
  <c r="BS515" i="1" s="1"/>
  <c r="BA515" i="1"/>
  <c r="AZ515" i="1"/>
  <c r="AY515" i="1"/>
  <c r="AX515" i="1"/>
  <c r="AW515" i="1"/>
  <c r="AV515" i="1"/>
  <c r="AT515" i="1"/>
  <c r="AS515" i="1"/>
  <c r="CS514" i="1"/>
  <c r="CR514" i="1"/>
  <c r="CQ514" i="1"/>
  <c r="CP514" i="1"/>
  <c r="CO514" i="1"/>
  <c r="CN514" i="1"/>
  <c r="CL514" i="1"/>
  <c r="CK514" i="1"/>
  <c r="CJ514" i="1"/>
  <c r="CI514" i="1"/>
  <c r="CH514" i="1"/>
  <c r="CG514" i="1"/>
  <c r="CF514" i="1"/>
  <c r="CD514" i="1"/>
  <c r="CC514" i="1"/>
  <c r="CB514" i="1"/>
  <c r="CA514" i="1"/>
  <c r="BZ514" i="1"/>
  <c r="BY514" i="1"/>
  <c r="BX514" i="1"/>
  <c r="BU514" i="1"/>
  <c r="BN514" i="1"/>
  <c r="BS514" i="1" s="1"/>
  <c r="BA514" i="1"/>
  <c r="AZ514" i="1"/>
  <c r="AY514" i="1"/>
  <c r="AX514" i="1"/>
  <c r="AW514" i="1"/>
  <c r="AV514" i="1"/>
  <c r="AT514" i="1"/>
  <c r="AS514" i="1"/>
  <c r="CS513" i="1"/>
  <c r="CR513" i="1"/>
  <c r="CQ513" i="1"/>
  <c r="CP513" i="1"/>
  <c r="CO513" i="1"/>
  <c r="CN513" i="1"/>
  <c r="CL513" i="1"/>
  <c r="CK513" i="1"/>
  <c r="CJ513" i="1"/>
  <c r="CI513" i="1"/>
  <c r="CH513" i="1"/>
  <c r="CG513" i="1"/>
  <c r="CF513" i="1"/>
  <c r="CD513" i="1"/>
  <c r="CC513" i="1"/>
  <c r="CB513" i="1"/>
  <c r="CA513" i="1"/>
  <c r="BZ513" i="1"/>
  <c r="BY513" i="1"/>
  <c r="BX513" i="1"/>
  <c r="BU513" i="1"/>
  <c r="BN513" i="1"/>
  <c r="BS513" i="1" s="1"/>
  <c r="BA513" i="1"/>
  <c r="AZ513" i="1"/>
  <c r="AY513" i="1"/>
  <c r="AX513" i="1"/>
  <c r="AW513" i="1"/>
  <c r="AV513" i="1"/>
  <c r="AT513" i="1"/>
  <c r="AS513" i="1"/>
  <c r="CS512" i="1"/>
  <c r="CR512" i="1"/>
  <c r="CQ512" i="1"/>
  <c r="CP512" i="1"/>
  <c r="CO512" i="1"/>
  <c r="CN512" i="1"/>
  <c r="CL512" i="1"/>
  <c r="CK512" i="1"/>
  <c r="CJ512" i="1"/>
  <c r="CI512" i="1"/>
  <c r="CH512" i="1"/>
  <c r="CG512" i="1"/>
  <c r="CF512" i="1"/>
  <c r="CD512" i="1"/>
  <c r="CC512" i="1"/>
  <c r="CB512" i="1"/>
  <c r="CA512" i="1"/>
  <c r="BZ512" i="1"/>
  <c r="BY512" i="1"/>
  <c r="BX512" i="1"/>
  <c r="BU512" i="1"/>
  <c r="BN512" i="1"/>
  <c r="BS512" i="1" s="1"/>
  <c r="BA512" i="1"/>
  <c r="AZ512" i="1"/>
  <c r="AY512" i="1"/>
  <c r="AX512" i="1"/>
  <c r="AW512" i="1"/>
  <c r="AV512" i="1"/>
  <c r="AT512" i="1"/>
  <c r="AS512" i="1"/>
  <c r="CS511" i="1"/>
  <c r="CR511" i="1"/>
  <c r="CQ511" i="1"/>
  <c r="CP511" i="1"/>
  <c r="CO511" i="1"/>
  <c r="CN511" i="1"/>
  <c r="CL511" i="1"/>
  <c r="CK511" i="1"/>
  <c r="CJ511" i="1"/>
  <c r="CI511" i="1"/>
  <c r="CH511" i="1"/>
  <c r="CG511" i="1"/>
  <c r="CF511" i="1"/>
  <c r="CD511" i="1"/>
  <c r="CC511" i="1"/>
  <c r="CB511" i="1"/>
  <c r="CA511" i="1"/>
  <c r="BZ511" i="1"/>
  <c r="BY511" i="1"/>
  <c r="BX511" i="1"/>
  <c r="BU511" i="1"/>
  <c r="BN511" i="1"/>
  <c r="BS511" i="1" s="1"/>
  <c r="BA511" i="1"/>
  <c r="AZ511" i="1"/>
  <c r="AY511" i="1"/>
  <c r="AX511" i="1"/>
  <c r="AW511" i="1"/>
  <c r="AV511" i="1"/>
  <c r="AT511" i="1"/>
  <c r="AS511" i="1"/>
  <c r="CS510" i="1"/>
  <c r="CR510" i="1"/>
  <c r="CQ510" i="1"/>
  <c r="CP510" i="1"/>
  <c r="CO510" i="1"/>
  <c r="CN510" i="1"/>
  <c r="CL510" i="1"/>
  <c r="CK510" i="1"/>
  <c r="CJ510" i="1"/>
  <c r="CI510" i="1"/>
  <c r="CH510" i="1"/>
  <c r="CG510" i="1"/>
  <c r="CF510" i="1"/>
  <c r="CD510" i="1"/>
  <c r="CC510" i="1"/>
  <c r="CB510" i="1"/>
  <c r="CA510" i="1"/>
  <c r="BZ510" i="1"/>
  <c r="BY510" i="1"/>
  <c r="BX510" i="1"/>
  <c r="BU510" i="1"/>
  <c r="BN510" i="1"/>
  <c r="BS510" i="1" s="1"/>
  <c r="BA510" i="1"/>
  <c r="AZ510" i="1"/>
  <c r="AY510" i="1"/>
  <c r="AX510" i="1"/>
  <c r="AW510" i="1"/>
  <c r="AV510" i="1"/>
  <c r="AT510" i="1"/>
  <c r="AS510" i="1"/>
  <c r="CS509" i="1"/>
  <c r="CR509" i="1"/>
  <c r="CQ509" i="1"/>
  <c r="CP509" i="1"/>
  <c r="CO509" i="1"/>
  <c r="CN509" i="1"/>
  <c r="CL509" i="1"/>
  <c r="CK509" i="1"/>
  <c r="CJ509" i="1"/>
  <c r="CI509" i="1"/>
  <c r="CH509" i="1"/>
  <c r="CG509" i="1"/>
  <c r="CF509" i="1"/>
  <c r="CD509" i="1"/>
  <c r="CC509" i="1"/>
  <c r="CB509" i="1"/>
  <c r="CA509" i="1"/>
  <c r="BZ509" i="1"/>
  <c r="BY509" i="1"/>
  <c r="BX509" i="1"/>
  <c r="BU509" i="1"/>
  <c r="BN509" i="1"/>
  <c r="BS509" i="1" s="1"/>
  <c r="BA509" i="1"/>
  <c r="AZ509" i="1"/>
  <c r="AY509" i="1"/>
  <c r="AX509" i="1"/>
  <c r="AW509" i="1"/>
  <c r="AV509" i="1"/>
  <c r="AT509" i="1"/>
  <c r="AS509" i="1"/>
  <c r="CS508" i="1"/>
  <c r="CR508" i="1"/>
  <c r="CQ508" i="1"/>
  <c r="CP508" i="1"/>
  <c r="CO508" i="1"/>
  <c r="CN508" i="1"/>
  <c r="CL508" i="1"/>
  <c r="CK508" i="1"/>
  <c r="CJ508" i="1"/>
  <c r="CI508" i="1"/>
  <c r="CH508" i="1"/>
  <c r="CG508" i="1"/>
  <c r="CF508" i="1"/>
  <c r="CD508" i="1"/>
  <c r="CC508" i="1"/>
  <c r="CB508" i="1"/>
  <c r="CA508" i="1"/>
  <c r="BZ508" i="1"/>
  <c r="BY508" i="1"/>
  <c r="BX508" i="1"/>
  <c r="BU508" i="1"/>
  <c r="BN508" i="1"/>
  <c r="BS508" i="1" s="1"/>
  <c r="BA508" i="1"/>
  <c r="AZ508" i="1"/>
  <c r="AY508" i="1"/>
  <c r="AX508" i="1"/>
  <c r="AW508" i="1"/>
  <c r="AV508" i="1"/>
  <c r="AT508" i="1"/>
  <c r="AS508" i="1"/>
  <c r="CS507" i="1"/>
  <c r="CR507" i="1"/>
  <c r="CQ507" i="1"/>
  <c r="CP507" i="1"/>
  <c r="CO507" i="1"/>
  <c r="CN507" i="1"/>
  <c r="CL507" i="1"/>
  <c r="CK507" i="1"/>
  <c r="CJ507" i="1"/>
  <c r="CI507" i="1"/>
  <c r="CH507" i="1"/>
  <c r="CG507" i="1"/>
  <c r="CF507" i="1"/>
  <c r="CD507" i="1"/>
  <c r="CC507" i="1"/>
  <c r="CB507" i="1"/>
  <c r="CA507" i="1"/>
  <c r="BZ507" i="1"/>
  <c r="BY507" i="1"/>
  <c r="BX507" i="1"/>
  <c r="BU507" i="1"/>
  <c r="BN507" i="1"/>
  <c r="BS507" i="1" s="1"/>
  <c r="BA507" i="1"/>
  <c r="AZ507" i="1"/>
  <c r="AY507" i="1"/>
  <c r="AX507" i="1"/>
  <c r="AW507" i="1"/>
  <c r="AV507" i="1"/>
  <c r="AT507" i="1"/>
  <c r="AS507" i="1"/>
  <c r="CS506" i="1"/>
  <c r="CR506" i="1"/>
  <c r="CQ506" i="1"/>
  <c r="CP506" i="1"/>
  <c r="CO506" i="1"/>
  <c r="CN506" i="1"/>
  <c r="CL506" i="1"/>
  <c r="CK506" i="1"/>
  <c r="CJ506" i="1"/>
  <c r="CI506" i="1"/>
  <c r="CH506" i="1"/>
  <c r="CG506" i="1"/>
  <c r="CF506" i="1"/>
  <c r="CD506" i="1"/>
  <c r="CC506" i="1"/>
  <c r="CB506" i="1"/>
  <c r="CA506" i="1"/>
  <c r="BZ506" i="1"/>
  <c r="BY506" i="1"/>
  <c r="BX506" i="1"/>
  <c r="BU506" i="1"/>
  <c r="BN506" i="1"/>
  <c r="BS506" i="1" s="1"/>
  <c r="BA506" i="1"/>
  <c r="AZ506" i="1"/>
  <c r="AY506" i="1"/>
  <c r="AX506" i="1"/>
  <c r="AW506" i="1"/>
  <c r="AV506" i="1"/>
  <c r="AT506" i="1"/>
  <c r="AS506" i="1"/>
  <c r="CS505" i="1"/>
  <c r="CR505" i="1"/>
  <c r="CQ505" i="1"/>
  <c r="CP505" i="1"/>
  <c r="CO505" i="1"/>
  <c r="CN505" i="1"/>
  <c r="CL505" i="1"/>
  <c r="CK505" i="1"/>
  <c r="CJ505" i="1"/>
  <c r="CI505" i="1"/>
  <c r="CH505" i="1"/>
  <c r="CG505" i="1"/>
  <c r="CF505" i="1"/>
  <c r="CD505" i="1"/>
  <c r="CC505" i="1"/>
  <c r="CB505" i="1"/>
  <c r="CA505" i="1"/>
  <c r="BZ505" i="1"/>
  <c r="BY505" i="1"/>
  <c r="BX505" i="1"/>
  <c r="BU505" i="1"/>
  <c r="BN505" i="1"/>
  <c r="BS505" i="1" s="1"/>
  <c r="BA505" i="1"/>
  <c r="AZ505" i="1"/>
  <c r="AY505" i="1"/>
  <c r="AX505" i="1"/>
  <c r="AW505" i="1"/>
  <c r="AV505" i="1"/>
  <c r="AT505" i="1"/>
  <c r="AS505" i="1"/>
  <c r="CS504" i="1"/>
  <c r="CR504" i="1"/>
  <c r="CQ504" i="1"/>
  <c r="CP504" i="1"/>
  <c r="CO504" i="1"/>
  <c r="CN504" i="1"/>
  <c r="CL504" i="1"/>
  <c r="CK504" i="1"/>
  <c r="CJ504" i="1"/>
  <c r="CI504" i="1"/>
  <c r="CH504" i="1"/>
  <c r="CG504" i="1"/>
  <c r="CF504" i="1"/>
  <c r="CD504" i="1"/>
  <c r="CC504" i="1"/>
  <c r="CB504" i="1"/>
  <c r="CA504" i="1"/>
  <c r="BZ504" i="1"/>
  <c r="BY504" i="1"/>
  <c r="BX504" i="1"/>
  <c r="BU504" i="1"/>
  <c r="BN504" i="1"/>
  <c r="BS504" i="1" s="1"/>
  <c r="BA504" i="1"/>
  <c r="AZ504" i="1"/>
  <c r="AY504" i="1"/>
  <c r="AX504" i="1"/>
  <c r="AW504" i="1"/>
  <c r="AV504" i="1"/>
  <c r="AT504" i="1"/>
  <c r="AS504" i="1"/>
  <c r="CS503" i="1"/>
  <c r="CR503" i="1"/>
  <c r="CQ503" i="1"/>
  <c r="CP503" i="1"/>
  <c r="CO503" i="1"/>
  <c r="CN503" i="1"/>
  <c r="CL503" i="1"/>
  <c r="CK503" i="1"/>
  <c r="CJ503" i="1"/>
  <c r="CI503" i="1"/>
  <c r="CH503" i="1"/>
  <c r="CG503" i="1"/>
  <c r="CF503" i="1"/>
  <c r="CD503" i="1"/>
  <c r="CC503" i="1"/>
  <c r="CB503" i="1"/>
  <c r="CA503" i="1"/>
  <c r="BZ503" i="1"/>
  <c r="BY503" i="1"/>
  <c r="BX503" i="1"/>
  <c r="BU503" i="1"/>
  <c r="BN503" i="1"/>
  <c r="BS503" i="1" s="1"/>
  <c r="BA503" i="1"/>
  <c r="AZ503" i="1"/>
  <c r="AY503" i="1"/>
  <c r="AX503" i="1"/>
  <c r="AW503" i="1"/>
  <c r="AV503" i="1"/>
  <c r="AT503" i="1"/>
  <c r="AS503" i="1"/>
  <c r="CS502" i="1"/>
  <c r="CR502" i="1"/>
  <c r="CQ502" i="1"/>
  <c r="CP502" i="1"/>
  <c r="CO502" i="1"/>
  <c r="CN502" i="1"/>
  <c r="CL502" i="1"/>
  <c r="CK502" i="1"/>
  <c r="CJ502" i="1"/>
  <c r="CI502" i="1"/>
  <c r="CH502" i="1"/>
  <c r="CG502" i="1"/>
  <c r="CF502" i="1"/>
  <c r="CD502" i="1"/>
  <c r="CC502" i="1"/>
  <c r="CB502" i="1"/>
  <c r="CA502" i="1"/>
  <c r="BZ502" i="1"/>
  <c r="BY502" i="1"/>
  <c r="BX502" i="1"/>
  <c r="BU502" i="1"/>
  <c r="BN502" i="1"/>
  <c r="BS502" i="1" s="1"/>
  <c r="BA502" i="1"/>
  <c r="AZ502" i="1"/>
  <c r="AY502" i="1"/>
  <c r="AX502" i="1"/>
  <c r="AW502" i="1"/>
  <c r="AV502" i="1"/>
  <c r="AT502" i="1"/>
  <c r="AS502" i="1"/>
  <c r="CS501" i="1"/>
  <c r="CR501" i="1"/>
  <c r="CQ501" i="1"/>
  <c r="CP501" i="1"/>
  <c r="CO501" i="1"/>
  <c r="CN501" i="1"/>
  <c r="CL501" i="1"/>
  <c r="CK501" i="1"/>
  <c r="CJ501" i="1"/>
  <c r="CI501" i="1"/>
  <c r="CH501" i="1"/>
  <c r="CG501" i="1"/>
  <c r="CF501" i="1"/>
  <c r="CD501" i="1"/>
  <c r="CC501" i="1"/>
  <c r="CB501" i="1"/>
  <c r="CA501" i="1"/>
  <c r="BZ501" i="1"/>
  <c r="BY501" i="1"/>
  <c r="BX501" i="1"/>
  <c r="BU501" i="1"/>
  <c r="BN501" i="1"/>
  <c r="BS501" i="1" s="1"/>
  <c r="BA501" i="1"/>
  <c r="AZ501" i="1"/>
  <c r="AY501" i="1"/>
  <c r="AX501" i="1"/>
  <c r="AW501" i="1"/>
  <c r="AV501" i="1"/>
  <c r="AT501" i="1"/>
  <c r="AS501" i="1"/>
  <c r="CS500" i="1"/>
  <c r="CR500" i="1"/>
  <c r="CQ500" i="1"/>
  <c r="CP500" i="1"/>
  <c r="CO500" i="1"/>
  <c r="CN500" i="1"/>
  <c r="CL500" i="1"/>
  <c r="CK500" i="1"/>
  <c r="CJ500" i="1"/>
  <c r="CI500" i="1"/>
  <c r="CH500" i="1"/>
  <c r="CG500" i="1"/>
  <c r="CF500" i="1"/>
  <c r="CD500" i="1"/>
  <c r="CC500" i="1"/>
  <c r="CB500" i="1"/>
  <c r="CA500" i="1"/>
  <c r="BZ500" i="1"/>
  <c r="BY500" i="1"/>
  <c r="BX500" i="1"/>
  <c r="BU500" i="1"/>
  <c r="BN500" i="1"/>
  <c r="BS500" i="1" s="1"/>
  <c r="BA500" i="1"/>
  <c r="AZ500" i="1"/>
  <c r="AY500" i="1"/>
  <c r="AX500" i="1"/>
  <c r="AW500" i="1"/>
  <c r="AV500" i="1"/>
  <c r="AT500" i="1"/>
  <c r="AS500" i="1"/>
  <c r="CS499" i="1"/>
  <c r="CR499" i="1"/>
  <c r="CQ499" i="1"/>
  <c r="CP499" i="1"/>
  <c r="CO499" i="1"/>
  <c r="CN499" i="1"/>
  <c r="CL499" i="1"/>
  <c r="CK499" i="1"/>
  <c r="CJ499" i="1"/>
  <c r="CI499" i="1"/>
  <c r="CH499" i="1"/>
  <c r="CG499" i="1"/>
  <c r="CF499" i="1"/>
  <c r="CD499" i="1"/>
  <c r="CC499" i="1"/>
  <c r="CB499" i="1"/>
  <c r="CA499" i="1"/>
  <c r="BZ499" i="1"/>
  <c r="BY499" i="1"/>
  <c r="BX499" i="1"/>
  <c r="BU499" i="1"/>
  <c r="BN499" i="1"/>
  <c r="BS499" i="1" s="1"/>
  <c r="BA499" i="1"/>
  <c r="AZ499" i="1"/>
  <c r="AY499" i="1"/>
  <c r="AX499" i="1"/>
  <c r="AW499" i="1"/>
  <c r="AV499" i="1"/>
  <c r="AT499" i="1"/>
  <c r="AS499" i="1"/>
  <c r="CS498" i="1"/>
  <c r="CR498" i="1"/>
  <c r="CQ498" i="1"/>
  <c r="CP498" i="1"/>
  <c r="CO498" i="1"/>
  <c r="CN498" i="1"/>
  <c r="CL498" i="1"/>
  <c r="CK498" i="1"/>
  <c r="CJ498" i="1"/>
  <c r="CI498" i="1"/>
  <c r="CH498" i="1"/>
  <c r="CG498" i="1"/>
  <c r="CF498" i="1"/>
  <c r="CD498" i="1"/>
  <c r="CC498" i="1"/>
  <c r="CB498" i="1"/>
  <c r="CA498" i="1"/>
  <c r="BZ498" i="1"/>
  <c r="BY498" i="1"/>
  <c r="BX498" i="1"/>
  <c r="BU498" i="1"/>
  <c r="BN498" i="1"/>
  <c r="BS498" i="1" s="1"/>
  <c r="BA498" i="1"/>
  <c r="AZ498" i="1"/>
  <c r="AY498" i="1"/>
  <c r="AX498" i="1"/>
  <c r="AW498" i="1"/>
  <c r="AV498" i="1"/>
  <c r="AT498" i="1"/>
  <c r="AS498" i="1"/>
  <c r="CS497" i="1"/>
  <c r="CR497" i="1"/>
  <c r="CQ497" i="1"/>
  <c r="CP497" i="1"/>
  <c r="CO497" i="1"/>
  <c r="CN497" i="1"/>
  <c r="CL497" i="1"/>
  <c r="CK497" i="1"/>
  <c r="CJ497" i="1"/>
  <c r="CI497" i="1"/>
  <c r="CH497" i="1"/>
  <c r="CG497" i="1"/>
  <c r="CF497" i="1"/>
  <c r="CD497" i="1"/>
  <c r="CC497" i="1"/>
  <c r="CB497" i="1"/>
  <c r="CA497" i="1"/>
  <c r="BZ497" i="1"/>
  <c r="BY497" i="1"/>
  <c r="BX497" i="1"/>
  <c r="BU497" i="1"/>
  <c r="BN497" i="1"/>
  <c r="BS497" i="1" s="1"/>
  <c r="BA497" i="1"/>
  <c r="AZ497" i="1"/>
  <c r="AY497" i="1"/>
  <c r="AX497" i="1"/>
  <c r="AW497" i="1"/>
  <c r="AV497" i="1"/>
  <c r="AT497" i="1"/>
  <c r="AS497" i="1"/>
  <c r="CS496" i="1"/>
  <c r="CR496" i="1"/>
  <c r="CQ496" i="1"/>
  <c r="CP496" i="1"/>
  <c r="CO496" i="1"/>
  <c r="CN496" i="1"/>
  <c r="CL496" i="1"/>
  <c r="CK496" i="1"/>
  <c r="CJ496" i="1"/>
  <c r="CI496" i="1"/>
  <c r="CH496" i="1"/>
  <c r="CG496" i="1"/>
  <c r="CF496" i="1"/>
  <c r="CD496" i="1"/>
  <c r="CC496" i="1"/>
  <c r="CB496" i="1"/>
  <c r="CA496" i="1"/>
  <c r="BZ496" i="1"/>
  <c r="BY496" i="1"/>
  <c r="BX496" i="1"/>
  <c r="BU496" i="1"/>
  <c r="BN496" i="1"/>
  <c r="BS496" i="1" s="1"/>
  <c r="BA496" i="1"/>
  <c r="AZ496" i="1"/>
  <c r="AY496" i="1"/>
  <c r="AX496" i="1"/>
  <c r="AW496" i="1"/>
  <c r="AV496" i="1"/>
  <c r="AT496" i="1"/>
  <c r="AS496" i="1"/>
  <c r="CS495" i="1"/>
  <c r="CR495" i="1"/>
  <c r="CQ495" i="1"/>
  <c r="CP495" i="1"/>
  <c r="CO495" i="1"/>
  <c r="CN495" i="1"/>
  <c r="CL495" i="1"/>
  <c r="CK495" i="1"/>
  <c r="CJ495" i="1"/>
  <c r="CI495" i="1"/>
  <c r="CH495" i="1"/>
  <c r="CG495" i="1"/>
  <c r="CF495" i="1"/>
  <c r="CD495" i="1"/>
  <c r="CC495" i="1"/>
  <c r="CB495" i="1"/>
  <c r="CA495" i="1"/>
  <c r="BZ495" i="1"/>
  <c r="BY495" i="1"/>
  <c r="BX495" i="1"/>
  <c r="BU495" i="1"/>
  <c r="BN495" i="1"/>
  <c r="BS495" i="1" s="1"/>
  <c r="BA495" i="1"/>
  <c r="AZ495" i="1"/>
  <c r="AY495" i="1"/>
  <c r="AX495" i="1"/>
  <c r="AW495" i="1"/>
  <c r="AV495" i="1"/>
  <c r="AT495" i="1"/>
  <c r="AS495" i="1"/>
  <c r="CS494" i="1"/>
  <c r="CR494" i="1"/>
  <c r="CQ494" i="1"/>
  <c r="CP494" i="1"/>
  <c r="CO494" i="1"/>
  <c r="CN494" i="1"/>
  <c r="CL494" i="1"/>
  <c r="CK494" i="1"/>
  <c r="CJ494" i="1"/>
  <c r="CI494" i="1"/>
  <c r="CH494" i="1"/>
  <c r="CG494" i="1"/>
  <c r="CF494" i="1"/>
  <c r="CD494" i="1"/>
  <c r="CC494" i="1"/>
  <c r="CB494" i="1"/>
  <c r="CA494" i="1"/>
  <c r="BZ494" i="1"/>
  <c r="BY494" i="1"/>
  <c r="BX494" i="1"/>
  <c r="BU494" i="1"/>
  <c r="BN494" i="1"/>
  <c r="BS494" i="1" s="1"/>
  <c r="BA494" i="1"/>
  <c r="AZ494" i="1"/>
  <c r="AY494" i="1"/>
  <c r="AX494" i="1"/>
  <c r="AW494" i="1"/>
  <c r="AV494" i="1"/>
  <c r="AT494" i="1"/>
  <c r="AS494" i="1"/>
  <c r="CS493" i="1"/>
  <c r="CR493" i="1"/>
  <c r="CQ493" i="1"/>
  <c r="CP493" i="1"/>
  <c r="CO493" i="1"/>
  <c r="CN493" i="1"/>
  <c r="CL493" i="1"/>
  <c r="CK493" i="1"/>
  <c r="CJ493" i="1"/>
  <c r="CI493" i="1"/>
  <c r="CH493" i="1"/>
  <c r="CG493" i="1"/>
  <c r="CF493" i="1"/>
  <c r="CD493" i="1"/>
  <c r="CC493" i="1"/>
  <c r="CB493" i="1"/>
  <c r="CA493" i="1"/>
  <c r="BZ493" i="1"/>
  <c r="BY493" i="1"/>
  <c r="BX493" i="1"/>
  <c r="BU493" i="1"/>
  <c r="BN493" i="1"/>
  <c r="BS493" i="1" s="1"/>
  <c r="BA493" i="1"/>
  <c r="AZ493" i="1"/>
  <c r="AY493" i="1"/>
  <c r="AX493" i="1"/>
  <c r="AW493" i="1"/>
  <c r="AV493" i="1"/>
  <c r="AT493" i="1"/>
  <c r="AS493" i="1"/>
  <c r="CS492" i="1"/>
  <c r="CR492" i="1"/>
  <c r="CQ492" i="1"/>
  <c r="CP492" i="1"/>
  <c r="CO492" i="1"/>
  <c r="CN492" i="1"/>
  <c r="CL492" i="1"/>
  <c r="CK492" i="1"/>
  <c r="CJ492" i="1"/>
  <c r="CI492" i="1"/>
  <c r="CH492" i="1"/>
  <c r="CG492" i="1"/>
  <c r="CF492" i="1"/>
  <c r="CD492" i="1"/>
  <c r="CC492" i="1"/>
  <c r="CB492" i="1"/>
  <c r="CA492" i="1"/>
  <c r="BZ492" i="1"/>
  <c r="BY492" i="1"/>
  <c r="BX492" i="1"/>
  <c r="BU492" i="1"/>
  <c r="BN492" i="1"/>
  <c r="BS492" i="1" s="1"/>
  <c r="BA492" i="1"/>
  <c r="AZ492" i="1"/>
  <c r="AY492" i="1"/>
  <c r="AX492" i="1"/>
  <c r="AW492" i="1"/>
  <c r="AV492" i="1"/>
  <c r="AT492" i="1"/>
  <c r="AS492" i="1"/>
  <c r="CS491" i="1"/>
  <c r="CR491" i="1"/>
  <c r="CQ491" i="1"/>
  <c r="CP491" i="1"/>
  <c r="CO491" i="1"/>
  <c r="CN491" i="1"/>
  <c r="CL491" i="1"/>
  <c r="CK491" i="1"/>
  <c r="CJ491" i="1"/>
  <c r="CI491" i="1"/>
  <c r="CH491" i="1"/>
  <c r="CG491" i="1"/>
  <c r="CF491" i="1"/>
  <c r="CD491" i="1"/>
  <c r="CC491" i="1"/>
  <c r="CB491" i="1"/>
  <c r="CA491" i="1"/>
  <c r="BZ491" i="1"/>
  <c r="BY491" i="1"/>
  <c r="BX491" i="1"/>
  <c r="BU491" i="1"/>
  <c r="BN491" i="1"/>
  <c r="BS491" i="1" s="1"/>
  <c r="BA491" i="1"/>
  <c r="AZ491" i="1"/>
  <c r="AY491" i="1"/>
  <c r="AX491" i="1"/>
  <c r="AW491" i="1"/>
  <c r="AV491" i="1"/>
  <c r="AT491" i="1"/>
  <c r="AS491" i="1"/>
  <c r="CS490" i="1"/>
  <c r="CR490" i="1"/>
  <c r="CQ490" i="1"/>
  <c r="CP490" i="1"/>
  <c r="CO490" i="1"/>
  <c r="CN490" i="1"/>
  <c r="CL490" i="1"/>
  <c r="CK490" i="1"/>
  <c r="CJ490" i="1"/>
  <c r="CI490" i="1"/>
  <c r="CH490" i="1"/>
  <c r="CG490" i="1"/>
  <c r="CF490" i="1"/>
  <c r="CD490" i="1"/>
  <c r="CC490" i="1"/>
  <c r="CB490" i="1"/>
  <c r="CA490" i="1"/>
  <c r="BZ490" i="1"/>
  <c r="BY490" i="1"/>
  <c r="BX490" i="1"/>
  <c r="BU490" i="1"/>
  <c r="BN490" i="1"/>
  <c r="BS490" i="1" s="1"/>
  <c r="BA490" i="1"/>
  <c r="AZ490" i="1"/>
  <c r="AY490" i="1"/>
  <c r="AX490" i="1"/>
  <c r="AW490" i="1"/>
  <c r="AV490" i="1"/>
  <c r="AT490" i="1"/>
  <c r="AS490" i="1"/>
  <c r="CS489" i="1"/>
  <c r="CR489" i="1"/>
  <c r="CQ489" i="1"/>
  <c r="CP489" i="1"/>
  <c r="CO489" i="1"/>
  <c r="CN489" i="1"/>
  <c r="CL489" i="1"/>
  <c r="CK489" i="1"/>
  <c r="CJ489" i="1"/>
  <c r="CI489" i="1"/>
  <c r="CH489" i="1"/>
  <c r="CG489" i="1"/>
  <c r="CF489" i="1"/>
  <c r="CD489" i="1"/>
  <c r="CC489" i="1"/>
  <c r="CB489" i="1"/>
  <c r="CA489" i="1"/>
  <c r="BZ489" i="1"/>
  <c r="BY489" i="1"/>
  <c r="BX489" i="1"/>
  <c r="BU489" i="1"/>
  <c r="BN489" i="1"/>
  <c r="BS489" i="1" s="1"/>
  <c r="BA489" i="1"/>
  <c r="AZ489" i="1"/>
  <c r="AY489" i="1"/>
  <c r="AX489" i="1"/>
  <c r="AW489" i="1"/>
  <c r="AV489" i="1"/>
  <c r="AT489" i="1"/>
  <c r="AS489" i="1"/>
  <c r="CS488" i="1"/>
  <c r="CR488" i="1"/>
  <c r="CQ488" i="1"/>
  <c r="CP488" i="1"/>
  <c r="CO488" i="1"/>
  <c r="CN488" i="1"/>
  <c r="CL488" i="1"/>
  <c r="CK488" i="1"/>
  <c r="CJ488" i="1"/>
  <c r="CI488" i="1"/>
  <c r="CH488" i="1"/>
  <c r="CG488" i="1"/>
  <c r="CF488" i="1"/>
  <c r="CD488" i="1"/>
  <c r="CC488" i="1"/>
  <c r="CB488" i="1"/>
  <c r="CA488" i="1"/>
  <c r="BZ488" i="1"/>
  <c r="BY488" i="1"/>
  <c r="BX488" i="1"/>
  <c r="BU488" i="1"/>
  <c r="BN488" i="1"/>
  <c r="BS488" i="1" s="1"/>
  <c r="BA488" i="1"/>
  <c r="AZ488" i="1"/>
  <c r="AY488" i="1"/>
  <c r="AX488" i="1"/>
  <c r="AW488" i="1"/>
  <c r="AV488" i="1"/>
  <c r="AT488" i="1"/>
  <c r="AS488" i="1"/>
  <c r="CS487" i="1"/>
  <c r="CR487" i="1"/>
  <c r="CQ487" i="1"/>
  <c r="CP487" i="1"/>
  <c r="CO487" i="1"/>
  <c r="CN487" i="1"/>
  <c r="CL487" i="1"/>
  <c r="CK487" i="1"/>
  <c r="CJ487" i="1"/>
  <c r="CI487" i="1"/>
  <c r="CH487" i="1"/>
  <c r="CG487" i="1"/>
  <c r="CF487" i="1"/>
  <c r="CD487" i="1"/>
  <c r="CC487" i="1"/>
  <c r="CB487" i="1"/>
  <c r="CA487" i="1"/>
  <c r="BZ487" i="1"/>
  <c r="BY487" i="1"/>
  <c r="BX487" i="1"/>
  <c r="BU487" i="1"/>
  <c r="BN487" i="1"/>
  <c r="BS487" i="1" s="1"/>
  <c r="BA487" i="1"/>
  <c r="AZ487" i="1"/>
  <c r="AY487" i="1"/>
  <c r="AX487" i="1"/>
  <c r="AW487" i="1"/>
  <c r="AV487" i="1"/>
  <c r="AT487" i="1"/>
  <c r="AS487" i="1"/>
  <c r="CS486" i="1"/>
  <c r="CR486" i="1"/>
  <c r="CQ486" i="1"/>
  <c r="CP486" i="1"/>
  <c r="CO486" i="1"/>
  <c r="CN486" i="1"/>
  <c r="CL486" i="1"/>
  <c r="CK486" i="1"/>
  <c r="CJ486" i="1"/>
  <c r="CI486" i="1"/>
  <c r="CH486" i="1"/>
  <c r="CG486" i="1"/>
  <c r="CF486" i="1"/>
  <c r="CD486" i="1"/>
  <c r="CC486" i="1"/>
  <c r="CB486" i="1"/>
  <c r="CA486" i="1"/>
  <c r="BZ486" i="1"/>
  <c r="BY486" i="1"/>
  <c r="BX486" i="1"/>
  <c r="BU486" i="1"/>
  <c r="BN486" i="1"/>
  <c r="BS486" i="1" s="1"/>
  <c r="BA486" i="1"/>
  <c r="AZ486" i="1"/>
  <c r="AY486" i="1"/>
  <c r="AX486" i="1"/>
  <c r="AW486" i="1"/>
  <c r="AV486" i="1"/>
  <c r="AT486" i="1"/>
  <c r="AS486" i="1"/>
  <c r="CS485" i="1"/>
  <c r="CR485" i="1"/>
  <c r="CQ485" i="1"/>
  <c r="CP485" i="1"/>
  <c r="CO485" i="1"/>
  <c r="CN485" i="1"/>
  <c r="CL485" i="1"/>
  <c r="CK485" i="1"/>
  <c r="CJ485" i="1"/>
  <c r="CI485" i="1"/>
  <c r="CH485" i="1"/>
  <c r="CG485" i="1"/>
  <c r="CF485" i="1"/>
  <c r="CD485" i="1"/>
  <c r="CC485" i="1"/>
  <c r="CB485" i="1"/>
  <c r="CA485" i="1"/>
  <c r="BZ485" i="1"/>
  <c r="BY485" i="1"/>
  <c r="BX485" i="1"/>
  <c r="BU485" i="1"/>
  <c r="BN485" i="1"/>
  <c r="BS485" i="1" s="1"/>
  <c r="BA485" i="1"/>
  <c r="AZ485" i="1"/>
  <c r="AY485" i="1"/>
  <c r="AX485" i="1"/>
  <c r="AW485" i="1"/>
  <c r="AV485" i="1"/>
  <c r="AT485" i="1"/>
  <c r="AS485" i="1"/>
  <c r="CS484" i="1"/>
  <c r="CR484" i="1"/>
  <c r="CQ484" i="1"/>
  <c r="CP484" i="1"/>
  <c r="CO484" i="1"/>
  <c r="CN484" i="1"/>
  <c r="CL484" i="1"/>
  <c r="CK484" i="1"/>
  <c r="CJ484" i="1"/>
  <c r="CI484" i="1"/>
  <c r="CH484" i="1"/>
  <c r="CG484" i="1"/>
  <c r="CF484" i="1"/>
  <c r="CD484" i="1"/>
  <c r="CC484" i="1"/>
  <c r="CB484" i="1"/>
  <c r="CA484" i="1"/>
  <c r="BZ484" i="1"/>
  <c r="BY484" i="1"/>
  <c r="BX484" i="1"/>
  <c r="BU484" i="1"/>
  <c r="BN484" i="1"/>
  <c r="BS484" i="1" s="1"/>
  <c r="BA484" i="1"/>
  <c r="AZ484" i="1"/>
  <c r="AY484" i="1"/>
  <c r="AX484" i="1"/>
  <c r="AW484" i="1"/>
  <c r="AV484" i="1"/>
  <c r="AT484" i="1"/>
  <c r="AS484" i="1"/>
  <c r="CS483" i="1"/>
  <c r="CR483" i="1"/>
  <c r="CQ483" i="1"/>
  <c r="CP483" i="1"/>
  <c r="CO483" i="1"/>
  <c r="CN483" i="1"/>
  <c r="CL483" i="1"/>
  <c r="CK483" i="1"/>
  <c r="CJ483" i="1"/>
  <c r="CI483" i="1"/>
  <c r="CH483" i="1"/>
  <c r="CG483" i="1"/>
  <c r="CF483" i="1"/>
  <c r="CD483" i="1"/>
  <c r="CC483" i="1"/>
  <c r="CB483" i="1"/>
  <c r="CA483" i="1"/>
  <c r="BZ483" i="1"/>
  <c r="BY483" i="1"/>
  <c r="BX483" i="1"/>
  <c r="BU483" i="1"/>
  <c r="BN483" i="1"/>
  <c r="BS483" i="1" s="1"/>
  <c r="BA483" i="1"/>
  <c r="AZ483" i="1"/>
  <c r="AY483" i="1"/>
  <c r="AX483" i="1"/>
  <c r="AW483" i="1"/>
  <c r="AV483" i="1"/>
  <c r="AT483" i="1"/>
  <c r="AS483" i="1"/>
  <c r="CS482" i="1"/>
  <c r="CR482" i="1"/>
  <c r="CQ482" i="1"/>
  <c r="CP482" i="1"/>
  <c r="CO482" i="1"/>
  <c r="CN482" i="1"/>
  <c r="CL482" i="1"/>
  <c r="CK482" i="1"/>
  <c r="CJ482" i="1"/>
  <c r="CI482" i="1"/>
  <c r="CH482" i="1"/>
  <c r="CG482" i="1"/>
  <c r="CF482" i="1"/>
  <c r="CD482" i="1"/>
  <c r="CC482" i="1"/>
  <c r="CB482" i="1"/>
  <c r="CA482" i="1"/>
  <c r="BZ482" i="1"/>
  <c r="BY482" i="1"/>
  <c r="BX482" i="1"/>
  <c r="BU482" i="1"/>
  <c r="BN482" i="1"/>
  <c r="BS482" i="1" s="1"/>
  <c r="BA482" i="1"/>
  <c r="AZ482" i="1"/>
  <c r="AY482" i="1"/>
  <c r="AX482" i="1"/>
  <c r="AW482" i="1"/>
  <c r="AV482" i="1"/>
  <c r="AT482" i="1"/>
  <c r="AS482" i="1"/>
  <c r="CS481" i="1"/>
  <c r="CR481" i="1"/>
  <c r="CQ481" i="1"/>
  <c r="CP481" i="1"/>
  <c r="CO481" i="1"/>
  <c r="CN481" i="1"/>
  <c r="CL481" i="1"/>
  <c r="CK481" i="1"/>
  <c r="CJ481" i="1"/>
  <c r="CI481" i="1"/>
  <c r="CH481" i="1"/>
  <c r="CG481" i="1"/>
  <c r="CF481" i="1"/>
  <c r="CD481" i="1"/>
  <c r="CC481" i="1"/>
  <c r="CB481" i="1"/>
  <c r="CA481" i="1"/>
  <c r="BZ481" i="1"/>
  <c r="BY481" i="1"/>
  <c r="BX481" i="1"/>
  <c r="BU481" i="1"/>
  <c r="BN481" i="1"/>
  <c r="BS481" i="1" s="1"/>
  <c r="BA481" i="1"/>
  <c r="AZ481" i="1"/>
  <c r="AY481" i="1"/>
  <c r="AX481" i="1"/>
  <c r="AW481" i="1"/>
  <c r="AV481" i="1"/>
  <c r="AT481" i="1"/>
  <c r="AS481" i="1"/>
  <c r="CS480" i="1"/>
  <c r="CR480" i="1"/>
  <c r="CQ480" i="1"/>
  <c r="CP480" i="1"/>
  <c r="CO480" i="1"/>
  <c r="CN480" i="1"/>
  <c r="CL480" i="1"/>
  <c r="CK480" i="1"/>
  <c r="CJ480" i="1"/>
  <c r="CI480" i="1"/>
  <c r="CH480" i="1"/>
  <c r="CG480" i="1"/>
  <c r="CF480" i="1"/>
  <c r="CD480" i="1"/>
  <c r="CC480" i="1"/>
  <c r="CB480" i="1"/>
  <c r="CA480" i="1"/>
  <c r="BZ480" i="1"/>
  <c r="BY480" i="1"/>
  <c r="BX480" i="1"/>
  <c r="BU480" i="1"/>
  <c r="BN480" i="1"/>
  <c r="BS480" i="1" s="1"/>
  <c r="BA480" i="1"/>
  <c r="AZ480" i="1"/>
  <c r="AY480" i="1"/>
  <c r="AX480" i="1"/>
  <c r="AW480" i="1"/>
  <c r="AV480" i="1"/>
  <c r="AT480" i="1"/>
  <c r="AS480" i="1"/>
  <c r="CS479" i="1"/>
  <c r="CR479" i="1"/>
  <c r="CQ479" i="1"/>
  <c r="CP479" i="1"/>
  <c r="CO479" i="1"/>
  <c r="CN479" i="1"/>
  <c r="CL479" i="1"/>
  <c r="CK479" i="1"/>
  <c r="CJ479" i="1"/>
  <c r="CI479" i="1"/>
  <c r="CH479" i="1"/>
  <c r="CG479" i="1"/>
  <c r="CF479" i="1"/>
  <c r="CD479" i="1"/>
  <c r="CC479" i="1"/>
  <c r="CB479" i="1"/>
  <c r="CA479" i="1"/>
  <c r="BZ479" i="1"/>
  <c r="BY479" i="1"/>
  <c r="BX479" i="1"/>
  <c r="BU479" i="1"/>
  <c r="BN479" i="1"/>
  <c r="BS479" i="1" s="1"/>
  <c r="BA479" i="1"/>
  <c r="AZ479" i="1"/>
  <c r="AY479" i="1"/>
  <c r="AX479" i="1"/>
  <c r="AW479" i="1"/>
  <c r="AV479" i="1"/>
  <c r="AT479" i="1"/>
  <c r="AS479" i="1"/>
  <c r="CS478" i="1"/>
  <c r="CR478" i="1"/>
  <c r="CQ478" i="1"/>
  <c r="CP478" i="1"/>
  <c r="CO478" i="1"/>
  <c r="CN478" i="1"/>
  <c r="CL478" i="1"/>
  <c r="CK478" i="1"/>
  <c r="CJ478" i="1"/>
  <c r="CI478" i="1"/>
  <c r="CH478" i="1"/>
  <c r="CG478" i="1"/>
  <c r="CF478" i="1"/>
  <c r="CD478" i="1"/>
  <c r="CC478" i="1"/>
  <c r="CB478" i="1"/>
  <c r="CA478" i="1"/>
  <c r="BZ478" i="1"/>
  <c r="BY478" i="1"/>
  <c r="BX478" i="1"/>
  <c r="BU478" i="1"/>
  <c r="BN478" i="1"/>
  <c r="BS478" i="1" s="1"/>
  <c r="BA478" i="1"/>
  <c r="AZ478" i="1"/>
  <c r="AY478" i="1"/>
  <c r="AX478" i="1"/>
  <c r="AW478" i="1"/>
  <c r="AV478" i="1"/>
  <c r="AT478" i="1"/>
  <c r="AS478" i="1"/>
  <c r="CS477" i="1"/>
  <c r="CR477" i="1"/>
  <c r="CQ477" i="1"/>
  <c r="CP477" i="1"/>
  <c r="CO477" i="1"/>
  <c r="CN477" i="1"/>
  <c r="CL477" i="1"/>
  <c r="CK477" i="1"/>
  <c r="CJ477" i="1"/>
  <c r="CI477" i="1"/>
  <c r="CH477" i="1"/>
  <c r="CG477" i="1"/>
  <c r="CF477" i="1"/>
  <c r="CD477" i="1"/>
  <c r="CC477" i="1"/>
  <c r="CB477" i="1"/>
  <c r="CA477" i="1"/>
  <c r="BZ477" i="1"/>
  <c r="BY477" i="1"/>
  <c r="BX477" i="1"/>
  <c r="BU477" i="1"/>
  <c r="BN477" i="1"/>
  <c r="BS477" i="1" s="1"/>
  <c r="BA477" i="1"/>
  <c r="AZ477" i="1"/>
  <c r="AY477" i="1"/>
  <c r="AX477" i="1"/>
  <c r="AW477" i="1"/>
  <c r="AV477" i="1"/>
  <c r="AT477" i="1"/>
  <c r="AS477" i="1"/>
  <c r="CS476" i="1"/>
  <c r="CR476" i="1"/>
  <c r="CQ476" i="1"/>
  <c r="CP476" i="1"/>
  <c r="CO476" i="1"/>
  <c r="CN476" i="1"/>
  <c r="CL476" i="1"/>
  <c r="CK476" i="1"/>
  <c r="CJ476" i="1"/>
  <c r="CI476" i="1"/>
  <c r="CH476" i="1"/>
  <c r="CG476" i="1"/>
  <c r="CF476" i="1"/>
  <c r="CD476" i="1"/>
  <c r="CC476" i="1"/>
  <c r="CB476" i="1"/>
  <c r="CA476" i="1"/>
  <c r="BZ476" i="1"/>
  <c r="BY476" i="1"/>
  <c r="BX476" i="1"/>
  <c r="BU476" i="1"/>
  <c r="BN476" i="1"/>
  <c r="BS476" i="1" s="1"/>
  <c r="BA476" i="1"/>
  <c r="AZ476" i="1"/>
  <c r="AY476" i="1"/>
  <c r="AX476" i="1"/>
  <c r="AW476" i="1"/>
  <c r="AV476" i="1"/>
  <c r="AT476" i="1"/>
  <c r="AS476" i="1"/>
  <c r="CS475" i="1"/>
  <c r="CR475" i="1"/>
  <c r="CQ475" i="1"/>
  <c r="CP475" i="1"/>
  <c r="CO475" i="1"/>
  <c r="CN475" i="1"/>
  <c r="CL475" i="1"/>
  <c r="CK475" i="1"/>
  <c r="CJ475" i="1"/>
  <c r="CI475" i="1"/>
  <c r="CH475" i="1"/>
  <c r="CG475" i="1"/>
  <c r="CF475" i="1"/>
  <c r="CD475" i="1"/>
  <c r="CC475" i="1"/>
  <c r="CB475" i="1"/>
  <c r="CA475" i="1"/>
  <c r="BZ475" i="1"/>
  <c r="BY475" i="1"/>
  <c r="BX475" i="1"/>
  <c r="BU475" i="1"/>
  <c r="BN475" i="1"/>
  <c r="BS475" i="1" s="1"/>
  <c r="BA475" i="1"/>
  <c r="AZ475" i="1"/>
  <c r="AY475" i="1"/>
  <c r="AX475" i="1"/>
  <c r="AW475" i="1"/>
  <c r="AV475" i="1"/>
  <c r="AT475" i="1"/>
  <c r="AS475" i="1"/>
  <c r="CS474" i="1"/>
  <c r="CR474" i="1"/>
  <c r="CQ474" i="1"/>
  <c r="CP474" i="1"/>
  <c r="CO474" i="1"/>
  <c r="CN474" i="1"/>
  <c r="CL474" i="1"/>
  <c r="CK474" i="1"/>
  <c r="CJ474" i="1"/>
  <c r="CI474" i="1"/>
  <c r="CH474" i="1"/>
  <c r="CG474" i="1"/>
  <c r="CF474" i="1"/>
  <c r="CD474" i="1"/>
  <c r="CC474" i="1"/>
  <c r="CB474" i="1"/>
  <c r="CA474" i="1"/>
  <c r="BZ474" i="1"/>
  <c r="BY474" i="1"/>
  <c r="BX474" i="1"/>
  <c r="BU474" i="1"/>
  <c r="BN474" i="1"/>
  <c r="BS474" i="1" s="1"/>
  <c r="BA474" i="1"/>
  <c r="AZ474" i="1"/>
  <c r="AY474" i="1"/>
  <c r="AX474" i="1"/>
  <c r="AW474" i="1"/>
  <c r="AV474" i="1"/>
  <c r="AT474" i="1"/>
  <c r="AS474" i="1"/>
  <c r="CS473" i="1"/>
  <c r="CR473" i="1"/>
  <c r="CQ473" i="1"/>
  <c r="CP473" i="1"/>
  <c r="CO473" i="1"/>
  <c r="CN473" i="1"/>
  <c r="CL473" i="1"/>
  <c r="CK473" i="1"/>
  <c r="CJ473" i="1"/>
  <c r="CI473" i="1"/>
  <c r="CH473" i="1"/>
  <c r="CG473" i="1"/>
  <c r="CF473" i="1"/>
  <c r="CD473" i="1"/>
  <c r="CC473" i="1"/>
  <c r="CB473" i="1"/>
  <c r="CA473" i="1"/>
  <c r="BZ473" i="1"/>
  <c r="BY473" i="1"/>
  <c r="BX473" i="1"/>
  <c r="BU473" i="1"/>
  <c r="BN473" i="1"/>
  <c r="BS473" i="1" s="1"/>
  <c r="BA473" i="1"/>
  <c r="AZ473" i="1"/>
  <c r="AY473" i="1"/>
  <c r="AX473" i="1"/>
  <c r="AW473" i="1"/>
  <c r="AV473" i="1"/>
  <c r="AT473" i="1"/>
  <c r="AS473" i="1"/>
  <c r="CS472" i="1"/>
  <c r="CR472" i="1"/>
  <c r="CQ472" i="1"/>
  <c r="CP472" i="1"/>
  <c r="CO472" i="1"/>
  <c r="CN472" i="1"/>
  <c r="CL472" i="1"/>
  <c r="CK472" i="1"/>
  <c r="CJ472" i="1"/>
  <c r="CI472" i="1"/>
  <c r="CH472" i="1"/>
  <c r="CG472" i="1"/>
  <c r="CF472" i="1"/>
  <c r="CD472" i="1"/>
  <c r="CC472" i="1"/>
  <c r="CB472" i="1"/>
  <c r="CA472" i="1"/>
  <c r="BZ472" i="1"/>
  <c r="BY472" i="1"/>
  <c r="BX472" i="1"/>
  <c r="BU472" i="1"/>
  <c r="BN472" i="1"/>
  <c r="BS472" i="1" s="1"/>
  <c r="BA472" i="1"/>
  <c r="AZ472" i="1"/>
  <c r="AY472" i="1"/>
  <c r="AX472" i="1"/>
  <c r="AW472" i="1"/>
  <c r="AV472" i="1"/>
  <c r="AT472" i="1"/>
  <c r="AS472" i="1"/>
  <c r="CS471" i="1"/>
  <c r="CR471" i="1"/>
  <c r="CQ471" i="1"/>
  <c r="CP471" i="1"/>
  <c r="CO471" i="1"/>
  <c r="CN471" i="1"/>
  <c r="CL471" i="1"/>
  <c r="CK471" i="1"/>
  <c r="CJ471" i="1"/>
  <c r="CI471" i="1"/>
  <c r="CH471" i="1"/>
  <c r="CG471" i="1"/>
  <c r="CF471" i="1"/>
  <c r="CD471" i="1"/>
  <c r="CC471" i="1"/>
  <c r="CB471" i="1"/>
  <c r="CA471" i="1"/>
  <c r="BZ471" i="1"/>
  <c r="BY471" i="1"/>
  <c r="BX471" i="1"/>
  <c r="BU471" i="1"/>
  <c r="BN471" i="1"/>
  <c r="BS471" i="1" s="1"/>
  <c r="BA471" i="1"/>
  <c r="AZ471" i="1"/>
  <c r="AY471" i="1"/>
  <c r="AX471" i="1"/>
  <c r="AW471" i="1"/>
  <c r="AV471" i="1"/>
  <c r="AT471" i="1"/>
  <c r="AS471" i="1"/>
  <c r="CS470" i="1"/>
  <c r="CR470" i="1"/>
  <c r="CQ470" i="1"/>
  <c r="CP470" i="1"/>
  <c r="CO470" i="1"/>
  <c r="CN470" i="1"/>
  <c r="CL470" i="1"/>
  <c r="CK470" i="1"/>
  <c r="CJ470" i="1"/>
  <c r="CI470" i="1"/>
  <c r="CH470" i="1"/>
  <c r="CG470" i="1"/>
  <c r="CF470" i="1"/>
  <c r="CD470" i="1"/>
  <c r="CC470" i="1"/>
  <c r="CB470" i="1"/>
  <c r="CA470" i="1"/>
  <c r="BZ470" i="1"/>
  <c r="BY470" i="1"/>
  <c r="BX470" i="1"/>
  <c r="BU470" i="1"/>
  <c r="BN470" i="1"/>
  <c r="BS470" i="1" s="1"/>
  <c r="BA470" i="1"/>
  <c r="AZ470" i="1"/>
  <c r="AY470" i="1"/>
  <c r="AX470" i="1"/>
  <c r="AW470" i="1"/>
  <c r="AV470" i="1"/>
  <c r="AT470" i="1"/>
  <c r="AS470" i="1"/>
  <c r="CS469" i="1"/>
  <c r="CR469" i="1"/>
  <c r="CQ469" i="1"/>
  <c r="CP469" i="1"/>
  <c r="CO469" i="1"/>
  <c r="CN469" i="1"/>
  <c r="CL469" i="1"/>
  <c r="CK469" i="1"/>
  <c r="CJ469" i="1"/>
  <c r="CI469" i="1"/>
  <c r="CH469" i="1"/>
  <c r="CG469" i="1"/>
  <c r="CF469" i="1"/>
  <c r="CD469" i="1"/>
  <c r="CC469" i="1"/>
  <c r="CB469" i="1"/>
  <c r="CA469" i="1"/>
  <c r="BZ469" i="1"/>
  <c r="BY469" i="1"/>
  <c r="BX469" i="1"/>
  <c r="BU469" i="1"/>
  <c r="BN469" i="1"/>
  <c r="BS469" i="1" s="1"/>
  <c r="BA469" i="1"/>
  <c r="AZ469" i="1"/>
  <c r="AY469" i="1"/>
  <c r="AX469" i="1"/>
  <c r="AW469" i="1"/>
  <c r="AV469" i="1"/>
  <c r="AT469" i="1"/>
  <c r="AS469" i="1"/>
  <c r="CS468" i="1"/>
  <c r="CR468" i="1"/>
  <c r="CQ468" i="1"/>
  <c r="CP468" i="1"/>
  <c r="CO468" i="1"/>
  <c r="CN468" i="1"/>
  <c r="CL468" i="1"/>
  <c r="CK468" i="1"/>
  <c r="CJ468" i="1"/>
  <c r="CI468" i="1"/>
  <c r="CH468" i="1"/>
  <c r="CG468" i="1"/>
  <c r="CF468" i="1"/>
  <c r="CD468" i="1"/>
  <c r="CC468" i="1"/>
  <c r="CB468" i="1"/>
  <c r="CA468" i="1"/>
  <c r="BZ468" i="1"/>
  <c r="BY468" i="1"/>
  <c r="BX468" i="1"/>
  <c r="BU468" i="1"/>
  <c r="BN468" i="1"/>
  <c r="BS468" i="1" s="1"/>
  <c r="BA468" i="1"/>
  <c r="AZ468" i="1"/>
  <c r="AY468" i="1"/>
  <c r="AX468" i="1"/>
  <c r="AW468" i="1"/>
  <c r="AV468" i="1"/>
  <c r="AT468" i="1"/>
  <c r="AS468" i="1"/>
  <c r="CS467" i="1"/>
  <c r="CR467" i="1"/>
  <c r="CQ467" i="1"/>
  <c r="CP467" i="1"/>
  <c r="CO467" i="1"/>
  <c r="CN467" i="1"/>
  <c r="CL467" i="1"/>
  <c r="CK467" i="1"/>
  <c r="CJ467" i="1"/>
  <c r="CI467" i="1"/>
  <c r="CH467" i="1"/>
  <c r="CG467" i="1"/>
  <c r="CF467" i="1"/>
  <c r="CD467" i="1"/>
  <c r="CC467" i="1"/>
  <c r="CB467" i="1"/>
  <c r="CA467" i="1"/>
  <c r="BZ467" i="1"/>
  <c r="BY467" i="1"/>
  <c r="BX467" i="1"/>
  <c r="BU467" i="1"/>
  <c r="BN467" i="1"/>
  <c r="BS467" i="1" s="1"/>
  <c r="BA467" i="1"/>
  <c r="AZ467" i="1"/>
  <c r="AY467" i="1"/>
  <c r="AX467" i="1"/>
  <c r="AW467" i="1"/>
  <c r="AV467" i="1"/>
  <c r="AT467" i="1"/>
  <c r="AS467" i="1"/>
  <c r="CS466" i="1"/>
  <c r="CR466" i="1"/>
  <c r="CQ466" i="1"/>
  <c r="CP466" i="1"/>
  <c r="CO466" i="1"/>
  <c r="CN466" i="1"/>
  <c r="CL466" i="1"/>
  <c r="CK466" i="1"/>
  <c r="CJ466" i="1"/>
  <c r="CI466" i="1"/>
  <c r="CH466" i="1"/>
  <c r="CG466" i="1"/>
  <c r="CF466" i="1"/>
  <c r="CD466" i="1"/>
  <c r="CC466" i="1"/>
  <c r="CB466" i="1"/>
  <c r="CA466" i="1"/>
  <c r="BZ466" i="1"/>
  <c r="BY466" i="1"/>
  <c r="BX466" i="1"/>
  <c r="BU466" i="1"/>
  <c r="BN466" i="1"/>
  <c r="BS466" i="1" s="1"/>
  <c r="BA466" i="1"/>
  <c r="AZ466" i="1"/>
  <c r="AY466" i="1"/>
  <c r="AX466" i="1"/>
  <c r="AW466" i="1"/>
  <c r="AV466" i="1"/>
  <c r="AT466" i="1"/>
  <c r="AS466" i="1"/>
  <c r="CS465" i="1"/>
  <c r="CR465" i="1"/>
  <c r="CQ465" i="1"/>
  <c r="CP465" i="1"/>
  <c r="CO465" i="1"/>
  <c r="CN465" i="1"/>
  <c r="CL465" i="1"/>
  <c r="CK465" i="1"/>
  <c r="CJ465" i="1"/>
  <c r="CI465" i="1"/>
  <c r="CH465" i="1"/>
  <c r="CG465" i="1"/>
  <c r="CF465" i="1"/>
  <c r="CD465" i="1"/>
  <c r="CC465" i="1"/>
  <c r="CB465" i="1"/>
  <c r="CA465" i="1"/>
  <c r="BZ465" i="1"/>
  <c r="BY465" i="1"/>
  <c r="BX465" i="1"/>
  <c r="BU465" i="1"/>
  <c r="BN465" i="1"/>
  <c r="BS465" i="1" s="1"/>
  <c r="BA465" i="1"/>
  <c r="AZ465" i="1"/>
  <c r="AY465" i="1"/>
  <c r="AX465" i="1"/>
  <c r="AW465" i="1"/>
  <c r="AV465" i="1"/>
  <c r="AT465" i="1"/>
  <c r="AS465" i="1"/>
  <c r="CS464" i="1"/>
  <c r="CR464" i="1"/>
  <c r="CQ464" i="1"/>
  <c r="CP464" i="1"/>
  <c r="CO464" i="1"/>
  <c r="CN464" i="1"/>
  <c r="CL464" i="1"/>
  <c r="CK464" i="1"/>
  <c r="CJ464" i="1"/>
  <c r="CI464" i="1"/>
  <c r="CH464" i="1"/>
  <c r="CG464" i="1"/>
  <c r="CF464" i="1"/>
  <c r="CD464" i="1"/>
  <c r="CC464" i="1"/>
  <c r="CB464" i="1"/>
  <c r="CA464" i="1"/>
  <c r="BZ464" i="1"/>
  <c r="BY464" i="1"/>
  <c r="BX464" i="1"/>
  <c r="BU464" i="1"/>
  <c r="BN464" i="1"/>
  <c r="BS464" i="1" s="1"/>
  <c r="BA464" i="1"/>
  <c r="AZ464" i="1"/>
  <c r="AY464" i="1"/>
  <c r="AX464" i="1"/>
  <c r="AW464" i="1"/>
  <c r="AV464" i="1"/>
  <c r="AT464" i="1"/>
  <c r="AS464" i="1"/>
  <c r="CS463" i="1"/>
  <c r="CR463" i="1"/>
  <c r="CQ463" i="1"/>
  <c r="CP463" i="1"/>
  <c r="CO463" i="1"/>
  <c r="CN463" i="1"/>
  <c r="CL463" i="1"/>
  <c r="CK463" i="1"/>
  <c r="CJ463" i="1"/>
  <c r="CI463" i="1"/>
  <c r="CH463" i="1"/>
  <c r="CG463" i="1"/>
  <c r="CF463" i="1"/>
  <c r="CD463" i="1"/>
  <c r="CC463" i="1"/>
  <c r="CB463" i="1"/>
  <c r="CA463" i="1"/>
  <c r="BZ463" i="1"/>
  <c r="BY463" i="1"/>
  <c r="BX463" i="1"/>
  <c r="BU463" i="1"/>
  <c r="BN463" i="1"/>
  <c r="BS463" i="1" s="1"/>
  <c r="BA463" i="1"/>
  <c r="AZ463" i="1"/>
  <c r="AY463" i="1"/>
  <c r="AX463" i="1"/>
  <c r="AW463" i="1"/>
  <c r="AV463" i="1"/>
  <c r="AT463" i="1"/>
  <c r="AS463" i="1"/>
  <c r="CS462" i="1"/>
  <c r="CR462" i="1"/>
  <c r="CQ462" i="1"/>
  <c r="CP462" i="1"/>
  <c r="CO462" i="1"/>
  <c r="CN462" i="1"/>
  <c r="CL462" i="1"/>
  <c r="CK462" i="1"/>
  <c r="CJ462" i="1"/>
  <c r="CI462" i="1"/>
  <c r="CH462" i="1"/>
  <c r="CG462" i="1"/>
  <c r="CF462" i="1"/>
  <c r="CD462" i="1"/>
  <c r="CC462" i="1"/>
  <c r="CB462" i="1"/>
  <c r="CA462" i="1"/>
  <c r="BZ462" i="1"/>
  <c r="BY462" i="1"/>
  <c r="BX462" i="1"/>
  <c r="BU462" i="1"/>
  <c r="BN462" i="1"/>
  <c r="BS462" i="1" s="1"/>
  <c r="BA462" i="1"/>
  <c r="AZ462" i="1"/>
  <c r="AY462" i="1"/>
  <c r="AX462" i="1"/>
  <c r="AW462" i="1"/>
  <c r="AV462" i="1"/>
  <c r="AT462" i="1"/>
  <c r="AS462" i="1"/>
  <c r="CS461" i="1"/>
  <c r="CR461" i="1"/>
  <c r="CQ461" i="1"/>
  <c r="CP461" i="1"/>
  <c r="CO461" i="1"/>
  <c r="CN461" i="1"/>
  <c r="CL461" i="1"/>
  <c r="CK461" i="1"/>
  <c r="CJ461" i="1"/>
  <c r="CI461" i="1"/>
  <c r="CH461" i="1"/>
  <c r="CG461" i="1"/>
  <c r="CF461" i="1"/>
  <c r="CD461" i="1"/>
  <c r="CC461" i="1"/>
  <c r="CB461" i="1"/>
  <c r="CA461" i="1"/>
  <c r="BZ461" i="1"/>
  <c r="BY461" i="1"/>
  <c r="BX461" i="1"/>
  <c r="BU461" i="1"/>
  <c r="BN461" i="1"/>
  <c r="BS461" i="1" s="1"/>
  <c r="BA461" i="1"/>
  <c r="AZ461" i="1"/>
  <c r="AY461" i="1"/>
  <c r="AX461" i="1"/>
  <c r="AW461" i="1"/>
  <c r="AV461" i="1"/>
  <c r="AT461" i="1"/>
  <c r="AS461" i="1"/>
  <c r="CS460" i="1"/>
  <c r="CR460" i="1"/>
  <c r="CQ460" i="1"/>
  <c r="CP460" i="1"/>
  <c r="CO460" i="1"/>
  <c r="CN460" i="1"/>
  <c r="CL460" i="1"/>
  <c r="CK460" i="1"/>
  <c r="CJ460" i="1"/>
  <c r="CI460" i="1"/>
  <c r="CH460" i="1"/>
  <c r="CG460" i="1"/>
  <c r="CF460" i="1"/>
  <c r="CD460" i="1"/>
  <c r="CC460" i="1"/>
  <c r="CB460" i="1"/>
  <c r="CA460" i="1"/>
  <c r="BZ460" i="1"/>
  <c r="BY460" i="1"/>
  <c r="BX460" i="1"/>
  <c r="BU460" i="1"/>
  <c r="BN460" i="1"/>
  <c r="BS460" i="1" s="1"/>
  <c r="BA460" i="1"/>
  <c r="AZ460" i="1"/>
  <c r="AY460" i="1"/>
  <c r="AX460" i="1"/>
  <c r="AW460" i="1"/>
  <c r="AV460" i="1"/>
  <c r="AT460" i="1"/>
  <c r="AS460" i="1"/>
  <c r="CS459" i="1"/>
  <c r="CR459" i="1"/>
  <c r="CQ459" i="1"/>
  <c r="CP459" i="1"/>
  <c r="CO459" i="1"/>
  <c r="CN459" i="1"/>
  <c r="CL459" i="1"/>
  <c r="CK459" i="1"/>
  <c r="CJ459" i="1"/>
  <c r="CI459" i="1"/>
  <c r="CH459" i="1"/>
  <c r="CG459" i="1"/>
  <c r="CF459" i="1"/>
  <c r="CD459" i="1"/>
  <c r="CC459" i="1"/>
  <c r="CB459" i="1"/>
  <c r="CA459" i="1"/>
  <c r="BZ459" i="1"/>
  <c r="BY459" i="1"/>
  <c r="BX459" i="1"/>
  <c r="BU459" i="1"/>
  <c r="BN459" i="1"/>
  <c r="BS459" i="1" s="1"/>
  <c r="BA459" i="1"/>
  <c r="AZ459" i="1"/>
  <c r="AY459" i="1"/>
  <c r="AX459" i="1"/>
  <c r="AW459" i="1"/>
  <c r="AV459" i="1"/>
  <c r="AT459" i="1"/>
  <c r="AS459" i="1"/>
  <c r="CS458" i="1"/>
  <c r="CR458" i="1"/>
  <c r="CQ458" i="1"/>
  <c r="CP458" i="1"/>
  <c r="CO458" i="1"/>
  <c r="CN458" i="1"/>
  <c r="CL458" i="1"/>
  <c r="CK458" i="1"/>
  <c r="CJ458" i="1"/>
  <c r="CI458" i="1"/>
  <c r="CH458" i="1"/>
  <c r="CG458" i="1"/>
  <c r="CF458" i="1"/>
  <c r="CD458" i="1"/>
  <c r="CC458" i="1"/>
  <c r="CB458" i="1"/>
  <c r="CA458" i="1"/>
  <c r="BZ458" i="1"/>
  <c r="BY458" i="1"/>
  <c r="BX458" i="1"/>
  <c r="BU458" i="1"/>
  <c r="BN458" i="1"/>
  <c r="BS458" i="1" s="1"/>
  <c r="BA458" i="1"/>
  <c r="AZ458" i="1"/>
  <c r="AY458" i="1"/>
  <c r="AX458" i="1"/>
  <c r="AW458" i="1"/>
  <c r="AV458" i="1"/>
  <c r="AT458" i="1"/>
  <c r="AS458" i="1"/>
  <c r="CS457" i="1"/>
  <c r="CR457" i="1"/>
  <c r="CQ457" i="1"/>
  <c r="CP457" i="1"/>
  <c r="CO457" i="1"/>
  <c r="CN457" i="1"/>
  <c r="CL457" i="1"/>
  <c r="CK457" i="1"/>
  <c r="CJ457" i="1"/>
  <c r="CI457" i="1"/>
  <c r="CH457" i="1"/>
  <c r="CG457" i="1"/>
  <c r="CF457" i="1"/>
  <c r="CD457" i="1"/>
  <c r="CC457" i="1"/>
  <c r="CB457" i="1"/>
  <c r="CA457" i="1"/>
  <c r="BZ457" i="1"/>
  <c r="BY457" i="1"/>
  <c r="BX457" i="1"/>
  <c r="BU457" i="1"/>
  <c r="BN457" i="1"/>
  <c r="BS457" i="1" s="1"/>
  <c r="BA457" i="1"/>
  <c r="AZ457" i="1"/>
  <c r="AY457" i="1"/>
  <c r="AX457" i="1"/>
  <c r="AW457" i="1"/>
  <c r="AV457" i="1"/>
  <c r="AT457" i="1"/>
  <c r="AS457" i="1"/>
  <c r="CS456" i="1"/>
  <c r="CR456" i="1"/>
  <c r="CQ456" i="1"/>
  <c r="CP456" i="1"/>
  <c r="CO456" i="1"/>
  <c r="CN456" i="1"/>
  <c r="CL456" i="1"/>
  <c r="CK456" i="1"/>
  <c r="CJ456" i="1"/>
  <c r="CI456" i="1"/>
  <c r="CH456" i="1"/>
  <c r="CG456" i="1"/>
  <c r="CF456" i="1"/>
  <c r="CD456" i="1"/>
  <c r="CC456" i="1"/>
  <c r="CB456" i="1"/>
  <c r="CA456" i="1"/>
  <c r="BZ456" i="1"/>
  <c r="BY456" i="1"/>
  <c r="BX456" i="1"/>
  <c r="BU456" i="1"/>
  <c r="BN456" i="1"/>
  <c r="BS456" i="1" s="1"/>
  <c r="BA456" i="1"/>
  <c r="AZ456" i="1"/>
  <c r="AY456" i="1"/>
  <c r="AX456" i="1"/>
  <c r="AW456" i="1"/>
  <c r="AV456" i="1"/>
  <c r="AT456" i="1"/>
  <c r="AS456" i="1"/>
  <c r="CS455" i="1"/>
  <c r="CR455" i="1"/>
  <c r="CQ455" i="1"/>
  <c r="CP455" i="1"/>
  <c r="CO455" i="1"/>
  <c r="CN455" i="1"/>
  <c r="CL455" i="1"/>
  <c r="CK455" i="1"/>
  <c r="CJ455" i="1"/>
  <c r="CI455" i="1"/>
  <c r="CH455" i="1"/>
  <c r="CG455" i="1"/>
  <c r="CF455" i="1"/>
  <c r="CD455" i="1"/>
  <c r="CC455" i="1"/>
  <c r="CB455" i="1"/>
  <c r="CA455" i="1"/>
  <c r="BZ455" i="1"/>
  <c r="BY455" i="1"/>
  <c r="BX455" i="1"/>
  <c r="BU455" i="1"/>
  <c r="BN455" i="1"/>
  <c r="BS455" i="1" s="1"/>
  <c r="BA455" i="1"/>
  <c r="AZ455" i="1"/>
  <c r="AY455" i="1"/>
  <c r="AX455" i="1"/>
  <c r="AW455" i="1"/>
  <c r="AV455" i="1"/>
  <c r="AT455" i="1"/>
  <c r="AS455" i="1"/>
  <c r="CS454" i="1"/>
  <c r="CR454" i="1"/>
  <c r="CQ454" i="1"/>
  <c r="CP454" i="1"/>
  <c r="CO454" i="1"/>
  <c r="CN454" i="1"/>
  <c r="CL454" i="1"/>
  <c r="CK454" i="1"/>
  <c r="CJ454" i="1"/>
  <c r="CI454" i="1"/>
  <c r="CH454" i="1"/>
  <c r="CG454" i="1"/>
  <c r="CF454" i="1"/>
  <c r="CD454" i="1"/>
  <c r="CC454" i="1"/>
  <c r="CB454" i="1"/>
  <c r="CA454" i="1"/>
  <c r="BZ454" i="1"/>
  <c r="BY454" i="1"/>
  <c r="BX454" i="1"/>
  <c r="BU454" i="1"/>
  <c r="BN454" i="1"/>
  <c r="BS454" i="1" s="1"/>
  <c r="BA454" i="1"/>
  <c r="AZ454" i="1"/>
  <c r="AY454" i="1"/>
  <c r="AX454" i="1"/>
  <c r="AW454" i="1"/>
  <c r="AV454" i="1"/>
  <c r="AT454" i="1"/>
  <c r="AS454" i="1"/>
  <c r="CS453" i="1"/>
  <c r="CR453" i="1"/>
  <c r="CQ453" i="1"/>
  <c r="CP453" i="1"/>
  <c r="CO453" i="1"/>
  <c r="CN453" i="1"/>
  <c r="CL453" i="1"/>
  <c r="CK453" i="1"/>
  <c r="CJ453" i="1"/>
  <c r="CI453" i="1"/>
  <c r="CH453" i="1"/>
  <c r="CG453" i="1"/>
  <c r="CF453" i="1"/>
  <c r="CD453" i="1"/>
  <c r="CC453" i="1"/>
  <c r="CB453" i="1"/>
  <c r="CA453" i="1"/>
  <c r="BZ453" i="1"/>
  <c r="BY453" i="1"/>
  <c r="BX453" i="1"/>
  <c r="BU453" i="1"/>
  <c r="BN453" i="1"/>
  <c r="BS453" i="1" s="1"/>
  <c r="BA453" i="1"/>
  <c r="AZ453" i="1"/>
  <c r="AY453" i="1"/>
  <c r="AX453" i="1"/>
  <c r="AW453" i="1"/>
  <c r="AV453" i="1"/>
  <c r="AT453" i="1"/>
  <c r="AS453" i="1"/>
  <c r="CS452" i="1"/>
  <c r="CR452" i="1"/>
  <c r="CQ452" i="1"/>
  <c r="CP452" i="1"/>
  <c r="CO452" i="1"/>
  <c r="CN452" i="1"/>
  <c r="CL452" i="1"/>
  <c r="CK452" i="1"/>
  <c r="CJ452" i="1"/>
  <c r="CI452" i="1"/>
  <c r="CH452" i="1"/>
  <c r="CG452" i="1"/>
  <c r="CF452" i="1"/>
  <c r="CD452" i="1"/>
  <c r="CC452" i="1"/>
  <c r="CB452" i="1"/>
  <c r="CA452" i="1"/>
  <c r="BZ452" i="1"/>
  <c r="BY452" i="1"/>
  <c r="BX452" i="1"/>
  <c r="BU452" i="1"/>
  <c r="BN452" i="1"/>
  <c r="BS452" i="1" s="1"/>
  <c r="BA452" i="1"/>
  <c r="AZ452" i="1"/>
  <c r="AY452" i="1"/>
  <c r="AX452" i="1"/>
  <c r="AW452" i="1"/>
  <c r="AV452" i="1"/>
  <c r="AT452" i="1"/>
  <c r="AS452" i="1"/>
  <c r="CS451" i="1"/>
  <c r="CR451" i="1"/>
  <c r="CQ451" i="1"/>
  <c r="CP451" i="1"/>
  <c r="CO451" i="1"/>
  <c r="CN451" i="1"/>
  <c r="CL451" i="1"/>
  <c r="CK451" i="1"/>
  <c r="CJ451" i="1"/>
  <c r="CI451" i="1"/>
  <c r="CH451" i="1"/>
  <c r="CG451" i="1"/>
  <c r="CF451" i="1"/>
  <c r="CD451" i="1"/>
  <c r="CC451" i="1"/>
  <c r="CB451" i="1"/>
  <c r="CA451" i="1"/>
  <c r="BZ451" i="1"/>
  <c r="BY451" i="1"/>
  <c r="BX451" i="1"/>
  <c r="BU451" i="1"/>
  <c r="BN451" i="1"/>
  <c r="BS451" i="1" s="1"/>
  <c r="BA451" i="1"/>
  <c r="AZ451" i="1"/>
  <c r="AY451" i="1"/>
  <c r="AX451" i="1"/>
  <c r="AW451" i="1"/>
  <c r="AV451" i="1"/>
  <c r="AT451" i="1"/>
  <c r="AS451" i="1"/>
  <c r="CS450" i="1"/>
  <c r="CR450" i="1"/>
  <c r="CQ450" i="1"/>
  <c r="CP450" i="1"/>
  <c r="CO450" i="1"/>
  <c r="CN450" i="1"/>
  <c r="CL450" i="1"/>
  <c r="CK450" i="1"/>
  <c r="CJ450" i="1"/>
  <c r="CI450" i="1"/>
  <c r="CH450" i="1"/>
  <c r="CG450" i="1"/>
  <c r="CF450" i="1"/>
  <c r="CD450" i="1"/>
  <c r="CC450" i="1"/>
  <c r="CB450" i="1"/>
  <c r="CA450" i="1"/>
  <c r="BZ450" i="1"/>
  <c r="BY450" i="1"/>
  <c r="BX450" i="1"/>
  <c r="BU450" i="1"/>
  <c r="BN450" i="1"/>
  <c r="BS450" i="1" s="1"/>
  <c r="BA450" i="1"/>
  <c r="AZ450" i="1"/>
  <c r="AY450" i="1"/>
  <c r="AX450" i="1"/>
  <c r="AW450" i="1"/>
  <c r="AV450" i="1"/>
  <c r="AT450" i="1"/>
  <c r="AS450" i="1"/>
  <c r="CS449" i="1"/>
  <c r="CR449" i="1"/>
  <c r="CQ449" i="1"/>
  <c r="CP449" i="1"/>
  <c r="CO449" i="1"/>
  <c r="CN449" i="1"/>
  <c r="CL449" i="1"/>
  <c r="CK449" i="1"/>
  <c r="CJ449" i="1"/>
  <c r="CI449" i="1"/>
  <c r="CH449" i="1"/>
  <c r="CG449" i="1"/>
  <c r="CF449" i="1"/>
  <c r="CD449" i="1"/>
  <c r="CC449" i="1"/>
  <c r="CB449" i="1"/>
  <c r="CA449" i="1"/>
  <c r="BZ449" i="1"/>
  <c r="BY449" i="1"/>
  <c r="BX449" i="1"/>
  <c r="BU449" i="1"/>
  <c r="BN449" i="1"/>
  <c r="BS449" i="1" s="1"/>
  <c r="BA449" i="1"/>
  <c r="AZ449" i="1"/>
  <c r="AY449" i="1"/>
  <c r="AX449" i="1"/>
  <c r="AW449" i="1"/>
  <c r="AV449" i="1"/>
  <c r="AT449" i="1"/>
  <c r="AS449" i="1"/>
  <c r="CS448" i="1"/>
  <c r="CR448" i="1"/>
  <c r="CQ448" i="1"/>
  <c r="CP448" i="1"/>
  <c r="CO448" i="1"/>
  <c r="CN448" i="1"/>
  <c r="CL448" i="1"/>
  <c r="CK448" i="1"/>
  <c r="CJ448" i="1"/>
  <c r="CI448" i="1"/>
  <c r="CH448" i="1"/>
  <c r="CG448" i="1"/>
  <c r="CF448" i="1"/>
  <c r="CD448" i="1"/>
  <c r="CC448" i="1"/>
  <c r="CB448" i="1"/>
  <c r="CA448" i="1"/>
  <c r="BZ448" i="1"/>
  <c r="BY448" i="1"/>
  <c r="BX448" i="1"/>
  <c r="BU448" i="1"/>
  <c r="BN448" i="1"/>
  <c r="BS448" i="1" s="1"/>
  <c r="BA448" i="1"/>
  <c r="AZ448" i="1"/>
  <c r="AY448" i="1"/>
  <c r="AX448" i="1"/>
  <c r="AW448" i="1"/>
  <c r="AV448" i="1"/>
  <c r="AT448" i="1"/>
  <c r="AS448" i="1"/>
  <c r="CS447" i="1"/>
  <c r="CR447" i="1"/>
  <c r="CQ447" i="1"/>
  <c r="CP447" i="1"/>
  <c r="CO447" i="1"/>
  <c r="CN447" i="1"/>
  <c r="CL447" i="1"/>
  <c r="CK447" i="1"/>
  <c r="CJ447" i="1"/>
  <c r="CI447" i="1"/>
  <c r="CH447" i="1"/>
  <c r="CG447" i="1"/>
  <c r="CF447" i="1"/>
  <c r="CD447" i="1"/>
  <c r="CC447" i="1"/>
  <c r="CB447" i="1"/>
  <c r="CA447" i="1"/>
  <c r="BZ447" i="1"/>
  <c r="BY447" i="1"/>
  <c r="BX447" i="1"/>
  <c r="BU447" i="1"/>
  <c r="BN447" i="1"/>
  <c r="BS447" i="1" s="1"/>
  <c r="BA447" i="1"/>
  <c r="AZ447" i="1"/>
  <c r="AY447" i="1"/>
  <c r="AX447" i="1"/>
  <c r="AW447" i="1"/>
  <c r="AV447" i="1"/>
  <c r="AT447" i="1"/>
  <c r="AS447" i="1"/>
  <c r="CS446" i="1"/>
  <c r="CR446" i="1"/>
  <c r="CQ446" i="1"/>
  <c r="CP446" i="1"/>
  <c r="CO446" i="1"/>
  <c r="CN446" i="1"/>
  <c r="CL446" i="1"/>
  <c r="CK446" i="1"/>
  <c r="CJ446" i="1"/>
  <c r="CI446" i="1"/>
  <c r="CH446" i="1"/>
  <c r="CG446" i="1"/>
  <c r="CF446" i="1"/>
  <c r="CD446" i="1"/>
  <c r="CC446" i="1"/>
  <c r="CB446" i="1"/>
  <c r="CA446" i="1"/>
  <c r="BZ446" i="1"/>
  <c r="BY446" i="1"/>
  <c r="BX446" i="1"/>
  <c r="BU446" i="1"/>
  <c r="BN446" i="1"/>
  <c r="BS446" i="1" s="1"/>
  <c r="BA446" i="1"/>
  <c r="AZ446" i="1"/>
  <c r="AY446" i="1"/>
  <c r="AX446" i="1"/>
  <c r="AW446" i="1"/>
  <c r="AV446" i="1"/>
  <c r="AT446" i="1"/>
  <c r="AS446" i="1"/>
  <c r="CS445" i="1"/>
  <c r="CR445" i="1"/>
  <c r="CQ445" i="1"/>
  <c r="CP445" i="1"/>
  <c r="CO445" i="1"/>
  <c r="CN445" i="1"/>
  <c r="CL445" i="1"/>
  <c r="CK445" i="1"/>
  <c r="CJ445" i="1"/>
  <c r="CI445" i="1"/>
  <c r="CH445" i="1"/>
  <c r="CG445" i="1"/>
  <c r="CF445" i="1"/>
  <c r="CD445" i="1"/>
  <c r="CC445" i="1"/>
  <c r="CB445" i="1"/>
  <c r="CA445" i="1"/>
  <c r="BZ445" i="1"/>
  <c r="BY445" i="1"/>
  <c r="BX445" i="1"/>
  <c r="BU445" i="1"/>
  <c r="BN445" i="1"/>
  <c r="BS445" i="1" s="1"/>
  <c r="BA445" i="1"/>
  <c r="AZ445" i="1"/>
  <c r="AY445" i="1"/>
  <c r="AX445" i="1"/>
  <c r="AW445" i="1"/>
  <c r="AV445" i="1"/>
  <c r="AT445" i="1"/>
  <c r="AS445" i="1"/>
  <c r="CS444" i="1"/>
  <c r="CR444" i="1"/>
  <c r="CQ444" i="1"/>
  <c r="CP444" i="1"/>
  <c r="CO444" i="1"/>
  <c r="CN444" i="1"/>
  <c r="CL444" i="1"/>
  <c r="CK444" i="1"/>
  <c r="CJ444" i="1"/>
  <c r="CI444" i="1"/>
  <c r="CH444" i="1"/>
  <c r="CG444" i="1"/>
  <c r="CF444" i="1"/>
  <c r="CD444" i="1"/>
  <c r="CC444" i="1"/>
  <c r="CB444" i="1"/>
  <c r="CA444" i="1"/>
  <c r="BZ444" i="1"/>
  <c r="BY444" i="1"/>
  <c r="BX444" i="1"/>
  <c r="BU444" i="1"/>
  <c r="BN444" i="1"/>
  <c r="BS444" i="1" s="1"/>
  <c r="BA444" i="1"/>
  <c r="AZ444" i="1"/>
  <c r="AY444" i="1"/>
  <c r="AX444" i="1"/>
  <c r="AW444" i="1"/>
  <c r="AV444" i="1"/>
  <c r="AT444" i="1"/>
  <c r="AS444" i="1"/>
  <c r="CS443" i="1"/>
  <c r="CR443" i="1"/>
  <c r="CQ443" i="1"/>
  <c r="CP443" i="1"/>
  <c r="CO443" i="1"/>
  <c r="CN443" i="1"/>
  <c r="CL443" i="1"/>
  <c r="CK443" i="1"/>
  <c r="CJ443" i="1"/>
  <c r="CI443" i="1"/>
  <c r="CH443" i="1"/>
  <c r="CG443" i="1"/>
  <c r="CF443" i="1"/>
  <c r="CD443" i="1"/>
  <c r="CC443" i="1"/>
  <c r="CB443" i="1"/>
  <c r="CA443" i="1"/>
  <c r="BZ443" i="1"/>
  <c r="BY443" i="1"/>
  <c r="BX443" i="1"/>
  <c r="BU443" i="1"/>
  <c r="BN443" i="1"/>
  <c r="BS443" i="1" s="1"/>
  <c r="BA443" i="1"/>
  <c r="AZ443" i="1"/>
  <c r="AY443" i="1"/>
  <c r="AX443" i="1"/>
  <c r="AW443" i="1"/>
  <c r="AV443" i="1"/>
  <c r="AT443" i="1"/>
  <c r="AS443" i="1"/>
  <c r="CS442" i="1"/>
  <c r="CR442" i="1"/>
  <c r="CQ442" i="1"/>
  <c r="CP442" i="1"/>
  <c r="CO442" i="1"/>
  <c r="CN442" i="1"/>
  <c r="CL442" i="1"/>
  <c r="CK442" i="1"/>
  <c r="CJ442" i="1"/>
  <c r="CI442" i="1"/>
  <c r="CH442" i="1"/>
  <c r="CG442" i="1"/>
  <c r="CF442" i="1"/>
  <c r="CD442" i="1"/>
  <c r="CC442" i="1"/>
  <c r="CB442" i="1"/>
  <c r="CA442" i="1"/>
  <c r="BZ442" i="1"/>
  <c r="BY442" i="1"/>
  <c r="BX442" i="1"/>
  <c r="BU442" i="1"/>
  <c r="BN442" i="1"/>
  <c r="BS442" i="1" s="1"/>
  <c r="BA442" i="1"/>
  <c r="AZ442" i="1"/>
  <c r="AY442" i="1"/>
  <c r="AX442" i="1"/>
  <c r="AW442" i="1"/>
  <c r="AV442" i="1"/>
  <c r="AT442" i="1"/>
  <c r="AS442" i="1"/>
  <c r="CS441" i="1"/>
  <c r="CR441" i="1"/>
  <c r="CQ441" i="1"/>
  <c r="CP441" i="1"/>
  <c r="CO441" i="1"/>
  <c r="CN441" i="1"/>
  <c r="CL441" i="1"/>
  <c r="CK441" i="1"/>
  <c r="CJ441" i="1"/>
  <c r="CI441" i="1"/>
  <c r="CH441" i="1"/>
  <c r="CG441" i="1"/>
  <c r="CF441" i="1"/>
  <c r="CD441" i="1"/>
  <c r="CC441" i="1"/>
  <c r="CB441" i="1"/>
  <c r="CA441" i="1"/>
  <c r="BZ441" i="1"/>
  <c r="BY441" i="1"/>
  <c r="BX441" i="1"/>
  <c r="BU441" i="1"/>
  <c r="BN441" i="1"/>
  <c r="BS441" i="1" s="1"/>
  <c r="BA441" i="1"/>
  <c r="AZ441" i="1"/>
  <c r="AY441" i="1"/>
  <c r="AX441" i="1"/>
  <c r="AW441" i="1"/>
  <c r="AV441" i="1"/>
  <c r="AT441" i="1"/>
  <c r="AS441" i="1"/>
  <c r="CS440" i="1"/>
  <c r="CR440" i="1"/>
  <c r="CQ440" i="1"/>
  <c r="CP440" i="1"/>
  <c r="CO440" i="1"/>
  <c r="CN440" i="1"/>
  <c r="CL440" i="1"/>
  <c r="CK440" i="1"/>
  <c r="CJ440" i="1"/>
  <c r="CI440" i="1"/>
  <c r="CH440" i="1"/>
  <c r="CG440" i="1"/>
  <c r="CF440" i="1"/>
  <c r="CD440" i="1"/>
  <c r="CC440" i="1"/>
  <c r="CB440" i="1"/>
  <c r="CA440" i="1"/>
  <c r="BZ440" i="1"/>
  <c r="BY440" i="1"/>
  <c r="BX440" i="1"/>
  <c r="BU440" i="1"/>
  <c r="BN440" i="1"/>
  <c r="BS440" i="1" s="1"/>
  <c r="BA440" i="1"/>
  <c r="AZ440" i="1"/>
  <c r="AY440" i="1"/>
  <c r="AX440" i="1"/>
  <c r="AW440" i="1"/>
  <c r="AV440" i="1"/>
  <c r="AT440" i="1"/>
  <c r="AS440" i="1"/>
  <c r="CS439" i="1"/>
  <c r="CR439" i="1"/>
  <c r="CQ439" i="1"/>
  <c r="CP439" i="1"/>
  <c r="CO439" i="1"/>
  <c r="CN439" i="1"/>
  <c r="CL439" i="1"/>
  <c r="CK439" i="1"/>
  <c r="CJ439" i="1"/>
  <c r="CI439" i="1"/>
  <c r="CH439" i="1"/>
  <c r="CG439" i="1"/>
  <c r="CF439" i="1"/>
  <c r="CD439" i="1"/>
  <c r="CC439" i="1"/>
  <c r="CB439" i="1"/>
  <c r="CA439" i="1"/>
  <c r="BZ439" i="1"/>
  <c r="BY439" i="1"/>
  <c r="BX439" i="1"/>
  <c r="BU439" i="1"/>
  <c r="BN439" i="1"/>
  <c r="BS439" i="1" s="1"/>
  <c r="BA439" i="1"/>
  <c r="AZ439" i="1"/>
  <c r="AY439" i="1"/>
  <c r="AX439" i="1"/>
  <c r="AW439" i="1"/>
  <c r="AV439" i="1"/>
  <c r="AT439" i="1"/>
  <c r="AS439" i="1"/>
  <c r="CS438" i="1"/>
  <c r="CR438" i="1"/>
  <c r="CQ438" i="1"/>
  <c r="CP438" i="1"/>
  <c r="CO438" i="1"/>
  <c r="CN438" i="1"/>
  <c r="CL438" i="1"/>
  <c r="CK438" i="1"/>
  <c r="CJ438" i="1"/>
  <c r="CI438" i="1"/>
  <c r="CH438" i="1"/>
  <c r="CG438" i="1"/>
  <c r="CF438" i="1"/>
  <c r="CD438" i="1"/>
  <c r="CC438" i="1"/>
  <c r="CB438" i="1"/>
  <c r="CA438" i="1"/>
  <c r="BZ438" i="1"/>
  <c r="BY438" i="1"/>
  <c r="BX438" i="1"/>
  <c r="BU438" i="1"/>
  <c r="BN438" i="1"/>
  <c r="BS438" i="1" s="1"/>
  <c r="BA438" i="1"/>
  <c r="AZ438" i="1"/>
  <c r="AY438" i="1"/>
  <c r="AX438" i="1"/>
  <c r="AW438" i="1"/>
  <c r="AV438" i="1"/>
  <c r="AT438" i="1"/>
  <c r="AS438" i="1"/>
  <c r="CS437" i="1"/>
  <c r="CR437" i="1"/>
  <c r="CQ437" i="1"/>
  <c r="CP437" i="1"/>
  <c r="CO437" i="1"/>
  <c r="CN437" i="1"/>
  <c r="CL437" i="1"/>
  <c r="CK437" i="1"/>
  <c r="CJ437" i="1"/>
  <c r="CI437" i="1"/>
  <c r="CH437" i="1"/>
  <c r="CG437" i="1"/>
  <c r="CF437" i="1"/>
  <c r="CD437" i="1"/>
  <c r="CC437" i="1"/>
  <c r="CB437" i="1"/>
  <c r="CA437" i="1"/>
  <c r="BZ437" i="1"/>
  <c r="BY437" i="1"/>
  <c r="BX437" i="1"/>
  <c r="BU437" i="1"/>
  <c r="BN437" i="1"/>
  <c r="BS437" i="1" s="1"/>
  <c r="BA437" i="1"/>
  <c r="AZ437" i="1"/>
  <c r="AY437" i="1"/>
  <c r="AX437" i="1"/>
  <c r="AW437" i="1"/>
  <c r="AV437" i="1"/>
  <c r="AT437" i="1"/>
  <c r="AS437" i="1"/>
  <c r="CS436" i="1"/>
  <c r="CR436" i="1"/>
  <c r="CQ436" i="1"/>
  <c r="CP436" i="1"/>
  <c r="CO436" i="1"/>
  <c r="CN436" i="1"/>
  <c r="CL436" i="1"/>
  <c r="CK436" i="1"/>
  <c r="CJ436" i="1"/>
  <c r="CI436" i="1"/>
  <c r="CH436" i="1"/>
  <c r="CG436" i="1"/>
  <c r="CF436" i="1"/>
  <c r="CD436" i="1"/>
  <c r="CC436" i="1"/>
  <c r="CB436" i="1"/>
  <c r="CA436" i="1"/>
  <c r="BZ436" i="1"/>
  <c r="BY436" i="1"/>
  <c r="BX436" i="1"/>
  <c r="BU436" i="1"/>
  <c r="BN436" i="1"/>
  <c r="BS436" i="1" s="1"/>
  <c r="BA436" i="1"/>
  <c r="AZ436" i="1"/>
  <c r="AY436" i="1"/>
  <c r="AX436" i="1"/>
  <c r="AW436" i="1"/>
  <c r="AV436" i="1"/>
  <c r="AT436" i="1"/>
  <c r="AS436" i="1"/>
  <c r="CS435" i="1"/>
  <c r="CR435" i="1"/>
  <c r="CQ435" i="1"/>
  <c r="CP435" i="1"/>
  <c r="CO435" i="1"/>
  <c r="CN435" i="1"/>
  <c r="CL435" i="1"/>
  <c r="CK435" i="1"/>
  <c r="CJ435" i="1"/>
  <c r="CI435" i="1"/>
  <c r="CH435" i="1"/>
  <c r="CG435" i="1"/>
  <c r="CF435" i="1"/>
  <c r="CD435" i="1"/>
  <c r="CC435" i="1"/>
  <c r="CB435" i="1"/>
  <c r="CA435" i="1"/>
  <c r="BZ435" i="1"/>
  <c r="BY435" i="1"/>
  <c r="BX435" i="1"/>
  <c r="BU435" i="1"/>
  <c r="BN435" i="1"/>
  <c r="BS435" i="1" s="1"/>
  <c r="BA435" i="1"/>
  <c r="AZ435" i="1"/>
  <c r="AY435" i="1"/>
  <c r="AX435" i="1"/>
  <c r="AW435" i="1"/>
  <c r="AV435" i="1"/>
  <c r="AT435" i="1"/>
  <c r="AS435" i="1"/>
  <c r="CS434" i="1"/>
  <c r="CR434" i="1"/>
  <c r="CQ434" i="1"/>
  <c r="CP434" i="1"/>
  <c r="CO434" i="1"/>
  <c r="CN434" i="1"/>
  <c r="CL434" i="1"/>
  <c r="CK434" i="1"/>
  <c r="CJ434" i="1"/>
  <c r="CI434" i="1"/>
  <c r="CH434" i="1"/>
  <c r="CG434" i="1"/>
  <c r="CF434" i="1"/>
  <c r="CD434" i="1"/>
  <c r="CC434" i="1"/>
  <c r="CB434" i="1"/>
  <c r="CA434" i="1"/>
  <c r="BZ434" i="1"/>
  <c r="BY434" i="1"/>
  <c r="BX434" i="1"/>
  <c r="BU434" i="1"/>
  <c r="BN434" i="1"/>
  <c r="BS434" i="1" s="1"/>
  <c r="BA434" i="1"/>
  <c r="AZ434" i="1"/>
  <c r="AY434" i="1"/>
  <c r="AX434" i="1"/>
  <c r="AW434" i="1"/>
  <c r="AV434" i="1"/>
  <c r="AT434" i="1"/>
  <c r="AS434" i="1"/>
  <c r="CS433" i="1"/>
  <c r="CR433" i="1"/>
  <c r="CQ433" i="1"/>
  <c r="CP433" i="1"/>
  <c r="CO433" i="1"/>
  <c r="CN433" i="1"/>
  <c r="CL433" i="1"/>
  <c r="CK433" i="1"/>
  <c r="CJ433" i="1"/>
  <c r="CI433" i="1"/>
  <c r="CH433" i="1"/>
  <c r="CG433" i="1"/>
  <c r="CF433" i="1"/>
  <c r="CD433" i="1"/>
  <c r="CC433" i="1"/>
  <c r="CB433" i="1"/>
  <c r="CA433" i="1"/>
  <c r="BZ433" i="1"/>
  <c r="BY433" i="1"/>
  <c r="BX433" i="1"/>
  <c r="BU433" i="1"/>
  <c r="BN433" i="1"/>
  <c r="BS433" i="1" s="1"/>
  <c r="BA433" i="1"/>
  <c r="AZ433" i="1"/>
  <c r="AY433" i="1"/>
  <c r="AX433" i="1"/>
  <c r="AW433" i="1"/>
  <c r="AV433" i="1"/>
  <c r="AT433" i="1"/>
  <c r="AS433" i="1"/>
  <c r="CS432" i="1"/>
  <c r="CR432" i="1"/>
  <c r="CQ432" i="1"/>
  <c r="CP432" i="1"/>
  <c r="CO432" i="1"/>
  <c r="CN432" i="1"/>
  <c r="CL432" i="1"/>
  <c r="CK432" i="1"/>
  <c r="CJ432" i="1"/>
  <c r="CI432" i="1"/>
  <c r="CH432" i="1"/>
  <c r="CG432" i="1"/>
  <c r="CF432" i="1"/>
  <c r="CD432" i="1"/>
  <c r="CC432" i="1"/>
  <c r="CB432" i="1"/>
  <c r="CA432" i="1"/>
  <c r="BZ432" i="1"/>
  <c r="BY432" i="1"/>
  <c r="BX432" i="1"/>
  <c r="BU432" i="1"/>
  <c r="BN432" i="1"/>
  <c r="BS432" i="1" s="1"/>
  <c r="BA432" i="1"/>
  <c r="AZ432" i="1"/>
  <c r="AY432" i="1"/>
  <c r="AX432" i="1"/>
  <c r="AW432" i="1"/>
  <c r="AV432" i="1"/>
  <c r="AT432" i="1"/>
  <c r="AS432" i="1"/>
  <c r="CS431" i="1"/>
  <c r="CR431" i="1"/>
  <c r="CQ431" i="1"/>
  <c r="CP431" i="1"/>
  <c r="CO431" i="1"/>
  <c r="CN431" i="1"/>
  <c r="CL431" i="1"/>
  <c r="CK431" i="1"/>
  <c r="CJ431" i="1"/>
  <c r="CI431" i="1"/>
  <c r="CH431" i="1"/>
  <c r="CG431" i="1"/>
  <c r="CF431" i="1"/>
  <c r="CD431" i="1"/>
  <c r="CC431" i="1"/>
  <c r="CB431" i="1"/>
  <c r="CA431" i="1"/>
  <c r="BZ431" i="1"/>
  <c r="BY431" i="1"/>
  <c r="BX431" i="1"/>
  <c r="BU431" i="1"/>
  <c r="BN431" i="1"/>
  <c r="BS431" i="1" s="1"/>
  <c r="BA431" i="1"/>
  <c r="AZ431" i="1"/>
  <c r="AY431" i="1"/>
  <c r="AX431" i="1"/>
  <c r="AW431" i="1"/>
  <c r="AV431" i="1"/>
  <c r="AT431" i="1"/>
  <c r="AS431" i="1"/>
  <c r="CS430" i="1"/>
  <c r="CR430" i="1"/>
  <c r="CQ430" i="1"/>
  <c r="CP430" i="1"/>
  <c r="CO430" i="1"/>
  <c r="CN430" i="1"/>
  <c r="CL430" i="1"/>
  <c r="CK430" i="1"/>
  <c r="CJ430" i="1"/>
  <c r="CI430" i="1"/>
  <c r="CH430" i="1"/>
  <c r="CG430" i="1"/>
  <c r="CF430" i="1"/>
  <c r="CD430" i="1"/>
  <c r="CC430" i="1"/>
  <c r="CB430" i="1"/>
  <c r="CA430" i="1"/>
  <c r="BZ430" i="1"/>
  <c r="BY430" i="1"/>
  <c r="BX430" i="1"/>
  <c r="BU430" i="1"/>
  <c r="BN430" i="1"/>
  <c r="BS430" i="1" s="1"/>
  <c r="BA430" i="1"/>
  <c r="AZ430" i="1"/>
  <c r="AY430" i="1"/>
  <c r="AX430" i="1"/>
  <c r="AW430" i="1"/>
  <c r="AV430" i="1"/>
  <c r="AT430" i="1"/>
  <c r="AS430" i="1"/>
  <c r="CS429" i="1"/>
  <c r="CR429" i="1"/>
  <c r="CQ429" i="1"/>
  <c r="CP429" i="1"/>
  <c r="CO429" i="1"/>
  <c r="CN429" i="1"/>
  <c r="CL429" i="1"/>
  <c r="CK429" i="1"/>
  <c r="CJ429" i="1"/>
  <c r="CI429" i="1"/>
  <c r="CH429" i="1"/>
  <c r="CG429" i="1"/>
  <c r="CF429" i="1"/>
  <c r="CD429" i="1"/>
  <c r="CC429" i="1"/>
  <c r="CB429" i="1"/>
  <c r="CA429" i="1"/>
  <c r="BZ429" i="1"/>
  <c r="BY429" i="1"/>
  <c r="BX429" i="1"/>
  <c r="BU429" i="1"/>
  <c r="BN429" i="1"/>
  <c r="BS429" i="1" s="1"/>
  <c r="BA429" i="1"/>
  <c r="AZ429" i="1"/>
  <c r="AY429" i="1"/>
  <c r="AX429" i="1"/>
  <c r="AW429" i="1"/>
  <c r="AV429" i="1"/>
  <c r="AT429" i="1"/>
  <c r="AS429" i="1"/>
  <c r="CS428" i="1"/>
  <c r="CR428" i="1"/>
  <c r="CQ428" i="1"/>
  <c r="CP428" i="1"/>
  <c r="CO428" i="1"/>
  <c r="CN428" i="1"/>
  <c r="CL428" i="1"/>
  <c r="CK428" i="1"/>
  <c r="CJ428" i="1"/>
  <c r="CI428" i="1"/>
  <c r="CH428" i="1"/>
  <c r="CG428" i="1"/>
  <c r="CF428" i="1"/>
  <c r="CD428" i="1"/>
  <c r="CC428" i="1"/>
  <c r="CB428" i="1"/>
  <c r="CA428" i="1"/>
  <c r="BZ428" i="1"/>
  <c r="BY428" i="1"/>
  <c r="BX428" i="1"/>
  <c r="BU428" i="1"/>
  <c r="BN428" i="1"/>
  <c r="BS428" i="1" s="1"/>
  <c r="BA428" i="1"/>
  <c r="AZ428" i="1"/>
  <c r="AY428" i="1"/>
  <c r="AX428" i="1"/>
  <c r="AW428" i="1"/>
  <c r="AV428" i="1"/>
  <c r="AT428" i="1"/>
  <c r="AS428" i="1"/>
  <c r="CS427" i="1"/>
  <c r="CR427" i="1"/>
  <c r="CQ427" i="1"/>
  <c r="CP427" i="1"/>
  <c r="CO427" i="1"/>
  <c r="CN427" i="1"/>
  <c r="CL427" i="1"/>
  <c r="CK427" i="1"/>
  <c r="CJ427" i="1"/>
  <c r="CI427" i="1"/>
  <c r="CH427" i="1"/>
  <c r="CG427" i="1"/>
  <c r="CF427" i="1"/>
  <c r="CD427" i="1"/>
  <c r="CC427" i="1"/>
  <c r="CB427" i="1"/>
  <c r="CA427" i="1"/>
  <c r="BZ427" i="1"/>
  <c r="BY427" i="1"/>
  <c r="BX427" i="1"/>
  <c r="BU427" i="1"/>
  <c r="BN427" i="1"/>
  <c r="BS427" i="1" s="1"/>
  <c r="BA427" i="1"/>
  <c r="AZ427" i="1"/>
  <c r="AY427" i="1"/>
  <c r="AX427" i="1"/>
  <c r="AW427" i="1"/>
  <c r="AV427" i="1"/>
  <c r="AT427" i="1"/>
  <c r="AS427" i="1"/>
  <c r="CS426" i="1"/>
  <c r="CR426" i="1"/>
  <c r="CQ426" i="1"/>
  <c r="CP426" i="1"/>
  <c r="CO426" i="1"/>
  <c r="CN426" i="1"/>
  <c r="CL426" i="1"/>
  <c r="CK426" i="1"/>
  <c r="CJ426" i="1"/>
  <c r="CI426" i="1"/>
  <c r="CH426" i="1"/>
  <c r="CG426" i="1"/>
  <c r="CF426" i="1"/>
  <c r="CD426" i="1"/>
  <c r="CC426" i="1"/>
  <c r="CB426" i="1"/>
  <c r="CA426" i="1"/>
  <c r="BZ426" i="1"/>
  <c r="BY426" i="1"/>
  <c r="BX426" i="1"/>
  <c r="BU426" i="1"/>
  <c r="BN426" i="1"/>
  <c r="BS426" i="1" s="1"/>
  <c r="BA426" i="1"/>
  <c r="AZ426" i="1"/>
  <c r="AY426" i="1"/>
  <c r="AX426" i="1"/>
  <c r="AW426" i="1"/>
  <c r="AV426" i="1"/>
  <c r="AT426" i="1"/>
  <c r="AS426" i="1"/>
  <c r="CS425" i="1"/>
  <c r="CR425" i="1"/>
  <c r="CQ425" i="1"/>
  <c r="CP425" i="1"/>
  <c r="CO425" i="1"/>
  <c r="CN425" i="1"/>
  <c r="CL425" i="1"/>
  <c r="CK425" i="1"/>
  <c r="CJ425" i="1"/>
  <c r="CI425" i="1"/>
  <c r="CH425" i="1"/>
  <c r="CG425" i="1"/>
  <c r="CF425" i="1"/>
  <c r="CD425" i="1"/>
  <c r="CC425" i="1"/>
  <c r="CB425" i="1"/>
  <c r="CA425" i="1"/>
  <c r="BZ425" i="1"/>
  <c r="BY425" i="1"/>
  <c r="BX425" i="1"/>
  <c r="BU425" i="1"/>
  <c r="BN425" i="1"/>
  <c r="BS425" i="1" s="1"/>
  <c r="BA425" i="1"/>
  <c r="AZ425" i="1"/>
  <c r="AY425" i="1"/>
  <c r="AX425" i="1"/>
  <c r="AW425" i="1"/>
  <c r="AV425" i="1"/>
  <c r="AT425" i="1"/>
  <c r="AS425" i="1"/>
  <c r="CS424" i="1"/>
  <c r="CR424" i="1"/>
  <c r="CQ424" i="1"/>
  <c r="CP424" i="1"/>
  <c r="CO424" i="1"/>
  <c r="CN424" i="1"/>
  <c r="CL424" i="1"/>
  <c r="CK424" i="1"/>
  <c r="CJ424" i="1"/>
  <c r="CI424" i="1"/>
  <c r="CH424" i="1"/>
  <c r="CG424" i="1"/>
  <c r="CF424" i="1"/>
  <c r="CD424" i="1"/>
  <c r="CC424" i="1"/>
  <c r="CB424" i="1"/>
  <c r="CA424" i="1"/>
  <c r="BZ424" i="1"/>
  <c r="BY424" i="1"/>
  <c r="BX424" i="1"/>
  <c r="BU424" i="1"/>
  <c r="BN424" i="1"/>
  <c r="BS424" i="1" s="1"/>
  <c r="BA424" i="1"/>
  <c r="AZ424" i="1"/>
  <c r="AY424" i="1"/>
  <c r="AX424" i="1"/>
  <c r="AW424" i="1"/>
  <c r="AV424" i="1"/>
  <c r="AT424" i="1"/>
  <c r="AS424" i="1"/>
  <c r="CS423" i="1"/>
  <c r="CR423" i="1"/>
  <c r="CQ423" i="1"/>
  <c r="CP423" i="1"/>
  <c r="CO423" i="1"/>
  <c r="CN423" i="1"/>
  <c r="CL423" i="1"/>
  <c r="CK423" i="1"/>
  <c r="CJ423" i="1"/>
  <c r="CI423" i="1"/>
  <c r="CH423" i="1"/>
  <c r="CG423" i="1"/>
  <c r="CF423" i="1"/>
  <c r="CD423" i="1"/>
  <c r="CC423" i="1"/>
  <c r="CB423" i="1"/>
  <c r="CA423" i="1"/>
  <c r="BZ423" i="1"/>
  <c r="BY423" i="1"/>
  <c r="BX423" i="1"/>
  <c r="BU423" i="1"/>
  <c r="BN423" i="1"/>
  <c r="BS423" i="1" s="1"/>
  <c r="BA423" i="1"/>
  <c r="AZ423" i="1"/>
  <c r="AY423" i="1"/>
  <c r="AX423" i="1"/>
  <c r="AW423" i="1"/>
  <c r="AV423" i="1"/>
  <c r="AT423" i="1"/>
  <c r="AS423" i="1"/>
  <c r="CS422" i="1"/>
  <c r="CR422" i="1"/>
  <c r="CQ422" i="1"/>
  <c r="CP422" i="1"/>
  <c r="CO422" i="1"/>
  <c r="CN422" i="1"/>
  <c r="CL422" i="1"/>
  <c r="CK422" i="1"/>
  <c r="CJ422" i="1"/>
  <c r="CI422" i="1"/>
  <c r="CH422" i="1"/>
  <c r="CG422" i="1"/>
  <c r="CF422" i="1"/>
  <c r="CD422" i="1"/>
  <c r="CC422" i="1"/>
  <c r="CB422" i="1"/>
  <c r="CA422" i="1"/>
  <c r="BZ422" i="1"/>
  <c r="BY422" i="1"/>
  <c r="BX422" i="1"/>
  <c r="BU422" i="1"/>
  <c r="BN422" i="1"/>
  <c r="BS422" i="1" s="1"/>
  <c r="BA422" i="1"/>
  <c r="AZ422" i="1"/>
  <c r="AY422" i="1"/>
  <c r="AX422" i="1"/>
  <c r="AW422" i="1"/>
  <c r="AV422" i="1"/>
  <c r="AT422" i="1"/>
  <c r="AS422" i="1"/>
  <c r="CS421" i="1"/>
  <c r="CR421" i="1"/>
  <c r="CQ421" i="1"/>
  <c r="CP421" i="1"/>
  <c r="CO421" i="1"/>
  <c r="CN421" i="1"/>
  <c r="CL421" i="1"/>
  <c r="CK421" i="1"/>
  <c r="CJ421" i="1"/>
  <c r="CI421" i="1"/>
  <c r="CH421" i="1"/>
  <c r="CG421" i="1"/>
  <c r="CF421" i="1"/>
  <c r="CD421" i="1"/>
  <c r="CC421" i="1"/>
  <c r="CB421" i="1"/>
  <c r="CA421" i="1"/>
  <c r="BZ421" i="1"/>
  <c r="BY421" i="1"/>
  <c r="BX421" i="1"/>
  <c r="BU421" i="1"/>
  <c r="BN421" i="1"/>
  <c r="BS421" i="1" s="1"/>
  <c r="BA421" i="1"/>
  <c r="AZ421" i="1"/>
  <c r="AY421" i="1"/>
  <c r="AX421" i="1"/>
  <c r="AW421" i="1"/>
  <c r="AV421" i="1"/>
  <c r="AT421" i="1"/>
  <c r="AS421" i="1"/>
  <c r="CS420" i="1"/>
  <c r="CR420" i="1"/>
  <c r="CQ420" i="1"/>
  <c r="CP420" i="1"/>
  <c r="CO420" i="1"/>
  <c r="CN420" i="1"/>
  <c r="CL420" i="1"/>
  <c r="CK420" i="1"/>
  <c r="CJ420" i="1"/>
  <c r="CI420" i="1"/>
  <c r="CH420" i="1"/>
  <c r="CG420" i="1"/>
  <c r="CF420" i="1"/>
  <c r="CD420" i="1"/>
  <c r="CC420" i="1"/>
  <c r="CB420" i="1"/>
  <c r="CA420" i="1"/>
  <c r="BZ420" i="1"/>
  <c r="BY420" i="1"/>
  <c r="BX420" i="1"/>
  <c r="BU420" i="1"/>
  <c r="BN420" i="1"/>
  <c r="BS420" i="1" s="1"/>
  <c r="BA420" i="1"/>
  <c r="AZ420" i="1"/>
  <c r="AY420" i="1"/>
  <c r="AX420" i="1"/>
  <c r="AW420" i="1"/>
  <c r="AV420" i="1"/>
  <c r="AT420" i="1"/>
  <c r="AS420" i="1"/>
  <c r="CS419" i="1"/>
  <c r="CR419" i="1"/>
  <c r="CQ419" i="1"/>
  <c r="CP419" i="1"/>
  <c r="CO419" i="1"/>
  <c r="CN419" i="1"/>
  <c r="CL419" i="1"/>
  <c r="CK419" i="1"/>
  <c r="CJ419" i="1"/>
  <c r="CI419" i="1"/>
  <c r="CH419" i="1"/>
  <c r="CG419" i="1"/>
  <c r="CF419" i="1"/>
  <c r="CD419" i="1"/>
  <c r="CC419" i="1"/>
  <c r="CB419" i="1"/>
  <c r="CA419" i="1"/>
  <c r="BZ419" i="1"/>
  <c r="BY419" i="1"/>
  <c r="BX419" i="1"/>
  <c r="BU419" i="1"/>
  <c r="BN419" i="1"/>
  <c r="BS419" i="1" s="1"/>
  <c r="BA419" i="1"/>
  <c r="AZ419" i="1"/>
  <c r="AY419" i="1"/>
  <c r="AX419" i="1"/>
  <c r="AW419" i="1"/>
  <c r="AV419" i="1"/>
  <c r="AT419" i="1"/>
  <c r="AS419" i="1"/>
  <c r="CS418" i="1"/>
  <c r="CR418" i="1"/>
  <c r="CQ418" i="1"/>
  <c r="CP418" i="1"/>
  <c r="CO418" i="1"/>
  <c r="CN418" i="1"/>
  <c r="CL418" i="1"/>
  <c r="CK418" i="1"/>
  <c r="CJ418" i="1"/>
  <c r="CI418" i="1"/>
  <c r="CH418" i="1"/>
  <c r="CG418" i="1"/>
  <c r="CF418" i="1"/>
  <c r="CD418" i="1"/>
  <c r="CC418" i="1"/>
  <c r="CB418" i="1"/>
  <c r="CA418" i="1"/>
  <c r="BZ418" i="1"/>
  <c r="BY418" i="1"/>
  <c r="BX418" i="1"/>
  <c r="BU418" i="1"/>
  <c r="BN418" i="1"/>
  <c r="BS418" i="1" s="1"/>
  <c r="BA418" i="1"/>
  <c r="AZ418" i="1"/>
  <c r="AY418" i="1"/>
  <c r="AX418" i="1"/>
  <c r="AW418" i="1"/>
  <c r="AV418" i="1"/>
  <c r="AT418" i="1"/>
  <c r="AS418" i="1"/>
  <c r="CS417" i="1"/>
  <c r="CR417" i="1"/>
  <c r="CQ417" i="1"/>
  <c r="CP417" i="1"/>
  <c r="CO417" i="1"/>
  <c r="CN417" i="1"/>
  <c r="CL417" i="1"/>
  <c r="CK417" i="1"/>
  <c r="CJ417" i="1"/>
  <c r="CI417" i="1"/>
  <c r="CH417" i="1"/>
  <c r="CG417" i="1"/>
  <c r="CF417" i="1"/>
  <c r="CD417" i="1"/>
  <c r="CC417" i="1"/>
  <c r="CB417" i="1"/>
  <c r="CA417" i="1"/>
  <c r="BZ417" i="1"/>
  <c r="BY417" i="1"/>
  <c r="BX417" i="1"/>
  <c r="BU417" i="1"/>
  <c r="BN417" i="1"/>
  <c r="BS417" i="1" s="1"/>
  <c r="BA417" i="1"/>
  <c r="AZ417" i="1"/>
  <c r="AY417" i="1"/>
  <c r="AX417" i="1"/>
  <c r="AW417" i="1"/>
  <c r="AV417" i="1"/>
  <c r="AT417" i="1"/>
  <c r="AS417" i="1"/>
  <c r="CS416" i="1"/>
  <c r="CR416" i="1"/>
  <c r="CQ416" i="1"/>
  <c r="CP416" i="1"/>
  <c r="CO416" i="1"/>
  <c r="CN416" i="1"/>
  <c r="CL416" i="1"/>
  <c r="CK416" i="1"/>
  <c r="CJ416" i="1"/>
  <c r="CI416" i="1"/>
  <c r="CH416" i="1"/>
  <c r="CG416" i="1"/>
  <c r="CF416" i="1"/>
  <c r="CD416" i="1"/>
  <c r="CC416" i="1"/>
  <c r="CB416" i="1"/>
  <c r="CA416" i="1"/>
  <c r="BZ416" i="1"/>
  <c r="BY416" i="1"/>
  <c r="BX416" i="1"/>
  <c r="BU416" i="1"/>
  <c r="BN416" i="1"/>
  <c r="BS416" i="1" s="1"/>
  <c r="BA416" i="1"/>
  <c r="AZ416" i="1"/>
  <c r="AY416" i="1"/>
  <c r="AX416" i="1"/>
  <c r="AW416" i="1"/>
  <c r="AV416" i="1"/>
  <c r="AT416" i="1"/>
  <c r="AS416" i="1"/>
  <c r="CS415" i="1"/>
  <c r="CR415" i="1"/>
  <c r="CQ415" i="1"/>
  <c r="CP415" i="1"/>
  <c r="CO415" i="1"/>
  <c r="CN415" i="1"/>
  <c r="CL415" i="1"/>
  <c r="CK415" i="1"/>
  <c r="CJ415" i="1"/>
  <c r="CI415" i="1"/>
  <c r="CH415" i="1"/>
  <c r="CG415" i="1"/>
  <c r="CF415" i="1"/>
  <c r="CD415" i="1"/>
  <c r="CC415" i="1"/>
  <c r="CB415" i="1"/>
  <c r="CA415" i="1"/>
  <c r="BZ415" i="1"/>
  <c r="BY415" i="1"/>
  <c r="BX415" i="1"/>
  <c r="BU415" i="1"/>
  <c r="BN415" i="1"/>
  <c r="BS415" i="1" s="1"/>
  <c r="BA415" i="1"/>
  <c r="AZ415" i="1"/>
  <c r="AY415" i="1"/>
  <c r="AX415" i="1"/>
  <c r="AW415" i="1"/>
  <c r="AV415" i="1"/>
  <c r="AT415" i="1"/>
  <c r="AS415" i="1"/>
  <c r="CS414" i="1"/>
  <c r="CR414" i="1"/>
  <c r="CQ414" i="1"/>
  <c r="CP414" i="1"/>
  <c r="CO414" i="1"/>
  <c r="CN414" i="1"/>
  <c r="CL414" i="1"/>
  <c r="CK414" i="1"/>
  <c r="CJ414" i="1"/>
  <c r="CI414" i="1"/>
  <c r="CH414" i="1"/>
  <c r="CG414" i="1"/>
  <c r="CF414" i="1"/>
  <c r="CD414" i="1"/>
  <c r="CC414" i="1"/>
  <c r="CB414" i="1"/>
  <c r="CA414" i="1"/>
  <c r="BZ414" i="1"/>
  <c r="BY414" i="1"/>
  <c r="BX414" i="1"/>
  <c r="BU414" i="1"/>
  <c r="BN414" i="1"/>
  <c r="BS414" i="1" s="1"/>
  <c r="BA414" i="1"/>
  <c r="AZ414" i="1"/>
  <c r="AY414" i="1"/>
  <c r="AX414" i="1"/>
  <c r="AW414" i="1"/>
  <c r="AV414" i="1"/>
  <c r="AT414" i="1"/>
  <c r="AS414" i="1"/>
  <c r="CS413" i="1"/>
  <c r="CR413" i="1"/>
  <c r="CQ413" i="1"/>
  <c r="CP413" i="1"/>
  <c r="CO413" i="1"/>
  <c r="CN413" i="1"/>
  <c r="CL413" i="1"/>
  <c r="CK413" i="1"/>
  <c r="CJ413" i="1"/>
  <c r="CI413" i="1"/>
  <c r="CH413" i="1"/>
  <c r="CG413" i="1"/>
  <c r="CF413" i="1"/>
  <c r="CD413" i="1"/>
  <c r="CC413" i="1"/>
  <c r="CB413" i="1"/>
  <c r="CA413" i="1"/>
  <c r="BZ413" i="1"/>
  <c r="BY413" i="1"/>
  <c r="BX413" i="1"/>
  <c r="BU413" i="1"/>
  <c r="BN413" i="1"/>
  <c r="BS413" i="1" s="1"/>
  <c r="BA413" i="1"/>
  <c r="AZ413" i="1"/>
  <c r="AY413" i="1"/>
  <c r="AX413" i="1"/>
  <c r="AW413" i="1"/>
  <c r="AV413" i="1"/>
  <c r="AT413" i="1"/>
  <c r="AS413" i="1"/>
  <c r="CS412" i="1"/>
  <c r="CR412" i="1"/>
  <c r="CQ412" i="1"/>
  <c r="CP412" i="1"/>
  <c r="CO412" i="1"/>
  <c r="CN412" i="1"/>
  <c r="CL412" i="1"/>
  <c r="CK412" i="1"/>
  <c r="CJ412" i="1"/>
  <c r="CI412" i="1"/>
  <c r="CH412" i="1"/>
  <c r="CG412" i="1"/>
  <c r="CF412" i="1"/>
  <c r="CD412" i="1"/>
  <c r="CC412" i="1"/>
  <c r="CB412" i="1"/>
  <c r="CA412" i="1"/>
  <c r="BZ412" i="1"/>
  <c r="BY412" i="1"/>
  <c r="BX412" i="1"/>
  <c r="BU412" i="1"/>
  <c r="BN412" i="1"/>
  <c r="BS412" i="1" s="1"/>
  <c r="BA412" i="1"/>
  <c r="AZ412" i="1"/>
  <c r="AY412" i="1"/>
  <c r="AX412" i="1"/>
  <c r="AW412" i="1"/>
  <c r="AV412" i="1"/>
  <c r="AT412" i="1"/>
  <c r="AS412" i="1"/>
  <c r="CS411" i="1"/>
  <c r="CR411" i="1"/>
  <c r="CQ411" i="1"/>
  <c r="CP411" i="1"/>
  <c r="CO411" i="1"/>
  <c r="CN411" i="1"/>
  <c r="CL411" i="1"/>
  <c r="CK411" i="1"/>
  <c r="CJ411" i="1"/>
  <c r="CI411" i="1"/>
  <c r="CH411" i="1"/>
  <c r="CG411" i="1"/>
  <c r="CF411" i="1"/>
  <c r="CD411" i="1"/>
  <c r="CC411" i="1"/>
  <c r="CB411" i="1"/>
  <c r="CA411" i="1"/>
  <c r="BZ411" i="1"/>
  <c r="BY411" i="1"/>
  <c r="BX411" i="1"/>
  <c r="BU411" i="1"/>
  <c r="BN411" i="1"/>
  <c r="BS411" i="1" s="1"/>
  <c r="BA411" i="1"/>
  <c r="AZ411" i="1"/>
  <c r="AY411" i="1"/>
  <c r="AX411" i="1"/>
  <c r="AW411" i="1"/>
  <c r="AV411" i="1"/>
  <c r="AT411" i="1"/>
  <c r="AS411" i="1"/>
  <c r="CS410" i="1"/>
  <c r="CR410" i="1"/>
  <c r="CQ410" i="1"/>
  <c r="CP410" i="1"/>
  <c r="CO410" i="1"/>
  <c r="CN410" i="1"/>
  <c r="CL410" i="1"/>
  <c r="CK410" i="1"/>
  <c r="CJ410" i="1"/>
  <c r="CI410" i="1"/>
  <c r="CH410" i="1"/>
  <c r="CG410" i="1"/>
  <c r="CF410" i="1"/>
  <c r="CD410" i="1"/>
  <c r="CC410" i="1"/>
  <c r="CB410" i="1"/>
  <c r="CA410" i="1"/>
  <c r="BZ410" i="1"/>
  <c r="BY410" i="1"/>
  <c r="BX410" i="1"/>
  <c r="BU410" i="1"/>
  <c r="BN410" i="1"/>
  <c r="BS410" i="1" s="1"/>
  <c r="BA410" i="1"/>
  <c r="AZ410" i="1"/>
  <c r="AY410" i="1"/>
  <c r="AX410" i="1"/>
  <c r="AW410" i="1"/>
  <c r="AV410" i="1"/>
  <c r="AT410" i="1"/>
  <c r="AS410" i="1"/>
  <c r="CS409" i="1"/>
  <c r="CR409" i="1"/>
  <c r="CQ409" i="1"/>
  <c r="CP409" i="1"/>
  <c r="CO409" i="1"/>
  <c r="CN409" i="1"/>
  <c r="CL409" i="1"/>
  <c r="CK409" i="1"/>
  <c r="CJ409" i="1"/>
  <c r="CI409" i="1"/>
  <c r="CH409" i="1"/>
  <c r="CG409" i="1"/>
  <c r="CF409" i="1"/>
  <c r="CD409" i="1"/>
  <c r="CC409" i="1"/>
  <c r="CB409" i="1"/>
  <c r="CA409" i="1"/>
  <c r="BZ409" i="1"/>
  <c r="BY409" i="1"/>
  <c r="BX409" i="1"/>
  <c r="BU409" i="1"/>
  <c r="BN409" i="1"/>
  <c r="BS409" i="1" s="1"/>
  <c r="BA409" i="1"/>
  <c r="AZ409" i="1"/>
  <c r="AY409" i="1"/>
  <c r="AX409" i="1"/>
  <c r="AW409" i="1"/>
  <c r="AV409" i="1"/>
  <c r="AT409" i="1"/>
  <c r="AS409" i="1"/>
  <c r="CS408" i="1"/>
  <c r="CR408" i="1"/>
  <c r="CQ408" i="1"/>
  <c r="CP408" i="1"/>
  <c r="CO408" i="1"/>
  <c r="CN408" i="1"/>
  <c r="CL408" i="1"/>
  <c r="CK408" i="1"/>
  <c r="CJ408" i="1"/>
  <c r="CI408" i="1"/>
  <c r="CH408" i="1"/>
  <c r="CG408" i="1"/>
  <c r="CF408" i="1"/>
  <c r="CD408" i="1"/>
  <c r="CC408" i="1"/>
  <c r="CB408" i="1"/>
  <c r="CA408" i="1"/>
  <c r="BZ408" i="1"/>
  <c r="BY408" i="1"/>
  <c r="BX408" i="1"/>
  <c r="BU408" i="1"/>
  <c r="BN408" i="1"/>
  <c r="BS408" i="1" s="1"/>
  <c r="BA408" i="1"/>
  <c r="AZ408" i="1"/>
  <c r="AY408" i="1"/>
  <c r="AX408" i="1"/>
  <c r="AW408" i="1"/>
  <c r="AV408" i="1"/>
  <c r="AT408" i="1"/>
  <c r="AS408" i="1"/>
  <c r="CS407" i="1"/>
  <c r="CR407" i="1"/>
  <c r="CQ407" i="1"/>
  <c r="CP407" i="1"/>
  <c r="CO407" i="1"/>
  <c r="CN407" i="1"/>
  <c r="CL407" i="1"/>
  <c r="CK407" i="1"/>
  <c r="CJ407" i="1"/>
  <c r="CI407" i="1"/>
  <c r="CH407" i="1"/>
  <c r="CG407" i="1"/>
  <c r="CF407" i="1"/>
  <c r="CD407" i="1"/>
  <c r="CC407" i="1"/>
  <c r="CB407" i="1"/>
  <c r="CA407" i="1"/>
  <c r="BZ407" i="1"/>
  <c r="BY407" i="1"/>
  <c r="BX407" i="1"/>
  <c r="BU407" i="1"/>
  <c r="BN407" i="1"/>
  <c r="BS407" i="1" s="1"/>
  <c r="BA407" i="1"/>
  <c r="AZ407" i="1"/>
  <c r="AY407" i="1"/>
  <c r="AX407" i="1"/>
  <c r="AW407" i="1"/>
  <c r="AV407" i="1"/>
  <c r="AT407" i="1"/>
  <c r="AS407" i="1"/>
  <c r="CS406" i="1"/>
  <c r="CR406" i="1"/>
  <c r="CQ406" i="1"/>
  <c r="CP406" i="1"/>
  <c r="CO406" i="1"/>
  <c r="CN406" i="1"/>
  <c r="CL406" i="1"/>
  <c r="CK406" i="1"/>
  <c r="CJ406" i="1"/>
  <c r="CI406" i="1"/>
  <c r="CH406" i="1"/>
  <c r="CG406" i="1"/>
  <c r="CF406" i="1"/>
  <c r="CD406" i="1"/>
  <c r="CC406" i="1"/>
  <c r="CB406" i="1"/>
  <c r="CA406" i="1"/>
  <c r="BZ406" i="1"/>
  <c r="BY406" i="1"/>
  <c r="BX406" i="1"/>
  <c r="BU406" i="1"/>
  <c r="BN406" i="1"/>
  <c r="BS406" i="1" s="1"/>
  <c r="BA406" i="1"/>
  <c r="AZ406" i="1"/>
  <c r="AY406" i="1"/>
  <c r="AX406" i="1"/>
  <c r="AW406" i="1"/>
  <c r="AV406" i="1"/>
  <c r="AT406" i="1"/>
  <c r="AS406" i="1"/>
  <c r="CS405" i="1"/>
  <c r="CR405" i="1"/>
  <c r="CQ405" i="1"/>
  <c r="CP405" i="1"/>
  <c r="CO405" i="1"/>
  <c r="CN405" i="1"/>
  <c r="CL405" i="1"/>
  <c r="CK405" i="1"/>
  <c r="CJ405" i="1"/>
  <c r="CI405" i="1"/>
  <c r="CH405" i="1"/>
  <c r="CG405" i="1"/>
  <c r="CF405" i="1"/>
  <c r="CD405" i="1"/>
  <c r="CC405" i="1"/>
  <c r="CB405" i="1"/>
  <c r="CA405" i="1"/>
  <c r="BZ405" i="1"/>
  <c r="BY405" i="1"/>
  <c r="BX405" i="1"/>
  <c r="BU405" i="1"/>
  <c r="BN405" i="1"/>
  <c r="BS405" i="1" s="1"/>
  <c r="BA405" i="1"/>
  <c r="AZ405" i="1"/>
  <c r="AY405" i="1"/>
  <c r="AX405" i="1"/>
  <c r="AW405" i="1"/>
  <c r="AV405" i="1"/>
  <c r="AT405" i="1"/>
  <c r="AS405" i="1"/>
  <c r="CS404" i="1"/>
  <c r="CR404" i="1"/>
  <c r="CQ404" i="1"/>
  <c r="CP404" i="1"/>
  <c r="CO404" i="1"/>
  <c r="CN404" i="1"/>
  <c r="CL404" i="1"/>
  <c r="CK404" i="1"/>
  <c r="CJ404" i="1"/>
  <c r="CI404" i="1"/>
  <c r="CH404" i="1"/>
  <c r="CG404" i="1"/>
  <c r="CF404" i="1"/>
  <c r="CD404" i="1"/>
  <c r="CC404" i="1"/>
  <c r="CB404" i="1"/>
  <c r="CA404" i="1"/>
  <c r="BZ404" i="1"/>
  <c r="BY404" i="1"/>
  <c r="BX404" i="1"/>
  <c r="BU404" i="1"/>
  <c r="BN404" i="1"/>
  <c r="BS404" i="1" s="1"/>
  <c r="BA404" i="1"/>
  <c r="AZ404" i="1"/>
  <c r="AY404" i="1"/>
  <c r="AX404" i="1"/>
  <c r="AW404" i="1"/>
  <c r="AV404" i="1"/>
  <c r="AT404" i="1"/>
  <c r="AS404" i="1"/>
  <c r="CS403" i="1"/>
  <c r="CR403" i="1"/>
  <c r="CQ403" i="1"/>
  <c r="CP403" i="1"/>
  <c r="CO403" i="1"/>
  <c r="CN403" i="1"/>
  <c r="CL403" i="1"/>
  <c r="CK403" i="1"/>
  <c r="CJ403" i="1"/>
  <c r="CI403" i="1"/>
  <c r="CH403" i="1"/>
  <c r="CG403" i="1"/>
  <c r="CF403" i="1"/>
  <c r="CD403" i="1"/>
  <c r="CC403" i="1"/>
  <c r="CB403" i="1"/>
  <c r="CA403" i="1"/>
  <c r="BZ403" i="1"/>
  <c r="BY403" i="1"/>
  <c r="BX403" i="1"/>
  <c r="BU403" i="1"/>
  <c r="BN403" i="1"/>
  <c r="BS403" i="1" s="1"/>
  <c r="BA403" i="1"/>
  <c r="AZ403" i="1"/>
  <c r="AY403" i="1"/>
  <c r="AX403" i="1"/>
  <c r="AW403" i="1"/>
  <c r="AV403" i="1"/>
  <c r="AT403" i="1"/>
  <c r="AS403" i="1"/>
  <c r="CS402" i="1"/>
  <c r="CR402" i="1"/>
  <c r="CQ402" i="1"/>
  <c r="CP402" i="1"/>
  <c r="CO402" i="1"/>
  <c r="CN402" i="1"/>
  <c r="CL402" i="1"/>
  <c r="CK402" i="1"/>
  <c r="CJ402" i="1"/>
  <c r="CI402" i="1"/>
  <c r="CH402" i="1"/>
  <c r="CG402" i="1"/>
  <c r="CF402" i="1"/>
  <c r="CD402" i="1"/>
  <c r="CC402" i="1"/>
  <c r="CB402" i="1"/>
  <c r="CA402" i="1"/>
  <c r="BZ402" i="1"/>
  <c r="BY402" i="1"/>
  <c r="BX402" i="1"/>
  <c r="BU402" i="1"/>
  <c r="BN402" i="1"/>
  <c r="BS402" i="1" s="1"/>
  <c r="BA402" i="1"/>
  <c r="AZ402" i="1"/>
  <c r="AY402" i="1"/>
  <c r="AX402" i="1"/>
  <c r="AW402" i="1"/>
  <c r="AV402" i="1"/>
  <c r="AT402" i="1"/>
  <c r="AS402" i="1"/>
  <c r="CS401" i="1"/>
  <c r="CR401" i="1"/>
  <c r="CQ401" i="1"/>
  <c r="CP401" i="1"/>
  <c r="CO401" i="1"/>
  <c r="CN401" i="1"/>
  <c r="CL401" i="1"/>
  <c r="CK401" i="1"/>
  <c r="CJ401" i="1"/>
  <c r="CI401" i="1"/>
  <c r="CH401" i="1"/>
  <c r="CG401" i="1"/>
  <c r="CF401" i="1"/>
  <c r="CD401" i="1"/>
  <c r="CC401" i="1"/>
  <c r="CB401" i="1"/>
  <c r="CA401" i="1"/>
  <c r="BZ401" i="1"/>
  <c r="BY401" i="1"/>
  <c r="BX401" i="1"/>
  <c r="BU401" i="1"/>
  <c r="BN401" i="1"/>
  <c r="BS401" i="1" s="1"/>
  <c r="BA401" i="1"/>
  <c r="AZ401" i="1"/>
  <c r="AY401" i="1"/>
  <c r="AX401" i="1"/>
  <c r="AW401" i="1"/>
  <c r="AV401" i="1"/>
  <c r="AT401" i="1"/>
  <c r="AS401" i="1"/>
  <c r="CS400" i="1"/>
  <c r="CR400" i="1"/>
  <c r="CQ400" i="1"/>
  <c r="CP400" i="1"/>
  <c r="CO400" i="1"/>
  <c r="CN400" i="1"/>
  <c r="CL400" i="1"/>
  <c r="CK400" i="1"/>
  <c r="CJ400" i="1"/>
  <c r="CI400" i="1"/>
  <c r="CH400" i="1"/>
  <c r="CG400" i="1"/>
  <c r="CF400" i="1"/>
  <c r="CD400" i="1"/>
  <c r="CC400" i="1"/>
  <c r="CB400" i="1"/>
  <c r="CA400" i="1"/>
  <c r="BZ400" i="1"/>
  <c r="BY400" i="1"/>
  <c r="BX400" i="1"/>
  <c r="BU400" i="1"/>
  <c r="BN400" i="1"/>
  <c r="BS400" i="1" s="1"/>
  <c r="BA400" i="1"/>
  <c r="AZ400" i="1"/>
  <c r="AY400" i="1"/>
  <c r="AX400" i="1"/>
  <c r="AW400" i="1"/>
  <c r="AV400" i="1"/>
  <c r="AT400" i="1"/>
  <c r="AS400" i="1"/>
  <c r="CS399" i="1"/>
  <c r="CR399" i="1"/>
  <c r="CQ399" i="1"/>
  <c r="CP399" i="1"/>
  <c r="CO399" i="1"/>
  <c r="CN399" i="1"/>
  <c r="CL399" i="1"/>
  <c r="CK399" i="1"/>
  <c r="CJ399" i="1"/>
  <c r="CI399" i="1"/>
  <c r="CH399" i="1"/>
  <c r="CG399" i="1"/>
  <c r="CF399" i="1"/>
  <c r="CD399" i="1"/>
  <c r="CC399" i="1"/>
  <c r="CB399" i="1"/>
  <c r="CA399" i="1"/>
  <c r="BZ399" i="1"/>
  <c r="BY399" i="1"/>
  <c r="BX399" i="1"/>
  <c r="BU399" i="1"/>
  <c r="BN399" i="1"/>
  <c r="BS399" i="1" s="1"/>
  <c r="BA399" i="1"/>
  <c r="AZ399" i="1"/>
  <c r="AY399" i="1"/>
  <c r="AX399" i="1"/>
  <c r="AW399" i="1"/>
  <c r="AV399" i="1"/>
  <c r="AT399" i="1"/>
  <c r="AS399" i="1"/>
  <c r="CS398" i="1"/>
  <c r="CR398" i="1"/>
  <c r="CQ398" i="1"/>
  <c r="CP398" i="1"/>
  <c r="CO398" i="1"/>
  <c r="CN398" i="1"/>
  <c r="CL398" i="1"/>
  <c r="CK398" i="1"/>
  <c r="CJ398" i="1"/>
  <c r="CI398" i="1"/>
  <c r="CH398" i="1"/>
  <c r="CG398" i="1"/>
  <c r="CF398" i="1"/>
  <c r="CD398" i="1"/>
  <c r="CC398" i="1"/>
  <c r="CB398" i="1"/>
  <c r="CA398" i="1"/>
  <c r="BZ398" i="1"/>
  <c r="BY398" i="1"/>
  <c r="BX398" i="1"/>
  <c r="BU398" i="1"/>
  <c r="BN398" i="1"/>
  <c r="BS398" i="1" s="1"/>
  <c r="BA398" i="1"/>
  <c r="AZ398" i="1"/>
  <c r="AY398" i="1"/>
  <c r="AX398" i="1"/>
  <c r="AW398" i="1"/>
  <c r="AV398" i="1"/>
  <c r="AT398" i="1"/>
  <c r="AS398" i="1"/>
  <c r="CS397" i="1"/>
  <c r="CR397" i="1"/>
  <c r="CQ397" i="1"/>
  <c r="CP397" i="1"/>
  <c r="CO397" i="1"/>
  <c r="CN397" i="1"/>
  <c r="CL397" i="1"/>
  <c r="CK397" i="1"/>
  <c r="CJ397" i="1"/>
  <c r="CI397" i="1"/>
  <c r="CH397" i="1"/>
  <c r="CG397" i="1"/>
  <c r="CF397" i="1"/>
  <c r="CD397" i="1"/>
  <c r="CC397" i="1"/>
  <c r="CB397" i="1"/>
  <c r="CA397" i="1"/>
  <c r="BZ397" i="1"/>
  <c r="BY397" i="1"/>
  <c r="BX397" i="1"/>
  <c r="BU397" i="1"/>
  <c r="BN397" i="1"/>
  <c r="BS397" i="1" s="1"/>
  <c r="BA397" i="1"/>
  <c r="AZ397" i="1"/>
  <c r="AY397" i="1"/>
  <c r="AX397" i="1"/>
  <c r="AW397" i="1"/>
  <c r="AV397" i="1"/>
  <c r="AT397" i="1"/>
  <c r="AS397" i="1"/>
  <c r="CS396" i="1"/>
  <c r="CR396" i="1"/>
  <c r="CQ396" i="1"/>
  <c r="CP396" i="1"/>
  <c r="CO396" i="1"/>
  <c r="CN396" i="1"/>
  <c r="CL396" i="1"/>
  <c r="CK396" i="1"/>
  <c r="CJ396" i="1"/>
  <c r="CI396" i="1"/>
  <c r="CH396" i="1"/>
  <c r="CG396" i="1"/>
  <c r="CF396" i="1"/>
  <c r="CD396" i="1"/>
  <c r="CC396" i="1"/>
  <c r="CB396" i="1"/>
  <c r="CA396" i="1"/>
  <c r="BZ396" i="1"/>
  <c r="BY396" i="1"/>
  <c r="BX396" i="1"/>
  <c r="BU396" i="1"/>
  <c r="BN396" i="1"/>
  <c r="BS396" i="1" s="1"/>
  <c r="BA396" i="1"/>
  <c r="AZ396" i="1"/>
  <c r="AY396" i="1"/>
  <c r="AX396" i="1"/>
  <c r="AW396" i="1"/>
  <c r="AV396" i="1"/>
  <c r="AT396" i="1"/>
  <c r="AS396" i="1"/>
  <c r="CS395" i="1"/>
  <c r="CR395" i="1"/>
  <c r="CQ395" i="1"/>
  <c r="CP395" i="1"/>
  <c r="CO395" i="1"/>
  <c r="CN395" i="1"/>
  <c r="CL395" i="1"/>
  <c r="CK395" i="1"/>
  <c r="CJ395" i="1"/>
  <c r="CI395" i="1"/>
  <c r="CH395" i="1"/>
  <c r="CG395" i="1"/>
  <c r="CF395" i="1"/>
  <c r="CD395" i="1"/>
  <c r="CC395" i="1"/>
  <c r="CB395" i="1"/>
  <c r="CA395" i="1"/>
  <c r="BZ395" i="1"/>
  <c r="BY395" i="1"/>
  <c r="BX395" i="1"/>
  <c r="BU395" i="1"/>
  <c r="BN395" i="1"/>
  <c r="BS395" i="1" s="1"/>
  <c r="BA395" i="1"/>
  <c r="AZ395" i="1"/>
  <c r="AY395" i="1"/>
  <c r="AX395" i="1"/>
  <c r="AW395" i="1"/>
  <c r="AV395" i="1"/>
  <c r="AT395" i="1"/>
  <c r="AS395" i="1"/>
  <c r="CS394" i="1"/>
  <c r="CR394" i="1"/>
  <c r="CQ394" i="1"/>
  <c r="CP394" i="1"/>
  <c r="CO394" i="1"/>
  <c r="CN394" i="1"/>
  <c r="CL394" i="1"/>
  <c r="CK394" i="1"/>
  <c r="CJ394" i="1"/>
  <c r="CI394" i="1"/>
  <c r="CH394" i="1"/>
  <c r="CG394" i="1"/>
  <c r="CF394" i="1"/>
  <c r="CD394" i="1"/>
  <c r="CC394" i="1"/>
  <c r="CB394" i="1"/>
  <c r="CA394" i="1"/>
  <c r="BZ394" i="1"/>
  <c r="BY394" i="1"/>
  <c r="BX394" i="1"/>
  <c r="BU394" i="1"/>
  <c r="BN394" i="1"/>
  <c r="BS394" i="1" s="1"/>
  <c r="BA394" i="1"/>
  <c r="AZ394" i="1"/>
  <c r="AY394" i="1"/>
  <c r="AX394" i="1"/>
  <c r="AW394" i="1"/>
  <c r="AV394" i="1"/>
  <c r="AT394" i="1"/>
  <c r="AS394" i="1"/>
  <c r="CS393" i="1"/>
  <c r="CR393" i="1"/>
  <c r="CQ393" i="1"/>
  <c r="CP393" i="1"/>
  <c r="CO393" i="1"/>
  <c r="CN393" i="1"/>
  <c r="CL393" i="1"/>
  <c r="CK393" i="1"/>
  <c r="CJ393" i="1"/>
  <c r="CI393" i="1"/>
  <c r="CH393" i="1"/>
  <c r="CG393" i="1"/>
  <c r="CF393" i="1"/>
  <c r="CD393" i="1"/>
  <c r="CC393" i="1"/>
  <c r="CB393" i="1"/>
  <c r="CA393" i="1"/>
  <c r="BZ393" i="1"/>
  <c r="BY393" i="1"/>
  <c r="BX393" i="1"/>
  <c r="BU393" i="1"/>
  <c r="BN393" i="1"/>
  <c r="BS393" i="1" s="1"/>
  <c r="BA393" i="1"/>
  <c r="AZ393" i="1"/>
  <c r="AY393" i="1"/>
  <c r="AX393" i="1"/>
  <c r="AW393" i="1"/>
  <c r="AV393" i="1"/>
  <c r="AT393" i="1"/>
  <c r="AS393" i="1"/>
  <c r="CS392" i="1"/>
  <c r="CR392" i="1"/>
  <c r="CQ392" i="1"/>
  <c r="CP392" i="1"/>
  <c r="CO392" i="1"/>
  <c r="CN392" i="1"/>
  <c r="CL392" i="1"/>
  <c r="CK392" i="1"/>
  <c r="CJ392" i="1"/>
  <c r="CI392" i="1"/>
  <c r="CH392" i="1"/>
  <c r="CG392" i="1"/>
  <c r="CF392" i="1"/>
  <c r="CD392" i="1"/>
  <c r="CC392" i="1"/>
  <c r="CB392" i="1"/>
  <c r="CA392" i="1"/>
  <c r="BZ392" i="1"/>
  <c r="BY392" i="1"/>
  <c r="BX392" i="1"/>
  <c r="BU392" i="1"/>
  <c r="BN392" i="1"/>
  <c r="BS392" i="1" s="1"/>
  <c r="BA392" i="1"/>
  <c r="AZ392" i="1"/>
  <c r="AY392" i="1"/>
  <c r="AX392" i="1"/>
  <c r="AW392" i="1"/>
  <c r="AV392" i="1"/>
  <c r="AT392" i="1"/>
  <c r="AS392" i="1"/>
  <c r="CS391" i="1"/>
  <c r="CR391" i="1"/>
  <c r="CQ391" i="1"/>
  <c r="CP391" i="1"/>
  <c r="CO391" i="1"/>
  <c r="CN391" i="1"/>
  <c r="CL391" i="1"/>
  <c r="CK391" i="1"/>
  <c r="CJ391" i="1"/>
  <c r="CI391" i="1"/>
  <c r="CH391" i="1"/>
  <c r="CG391" i="1"/>
  <c r="CF391" i="1"/>
  <c r="CD391" i="1"/>
  <c r="CC391" i="1"/>
  <c r="CB391" i="1"/>
  <c r="CA391" i="1"/>
  <c r="BZ391" i="1"/>
  <c r="BY391" i="1"/>
  <c r="BX391" i="1"/>
  <c r="BU391" i="1"/>
  <c r="BN391" i="1"/>
  <c r="BS391" i="1" s="1"/>
  <c r="BA391" i="1"/>
  <c r="AZ391" i="1"/>
  <c r="AY391" i="1"/>
  <c r="AX391" i="1"/>
  <c r="AW391" i="1"/>
  <c r="AV391" i="1"/>
  <c r="AT391" i="1"/>
  <c r="AS391" i="1"/>
  <c r="CS390" i="1"/>
  <c r="CR390" i="1"/>
  <c r="CQ390" i="1"/>
  <c r="CP390" i="1"/>
  <c r="CO390" i="1"/>
  <c r="CN390" i="1"/>
  <c r="CL390" i="1"/>
  <c r="CK390" i="1"/>
  <c r="CJ390" i="1"/>
  <c r="CI390" i="1"/>
  <c r="CH390" i="1"/>
  <c r="CG390" i="1"/>
  <c r="CF390" i="1"/>
  <c r="CD390" i="1"/>
  <c r="CC390" i="1"/>
  <c r="CB390" i="1"/>
  <c r="CA390" i="1"/>
  <c r="BZ390" i="1"/>
  <c r="BY390" i="1"/>
  <c r="BX390" i="1"/>
  <c r="BU390" i="1"/>
  <c r="BN390" i="1"/>
  <c r="BS390" i="1" s="1"/>
  <c r="BA390" i="1"/>
  <c r="AZ390" i="1"/>
  <c r="AY390" i="1"/>
  <c r="AX390" i="1"/>
  <c r="AW390" i="1"/>
  <c r="AV390" i="1"/>
  <c r="AT390" i="1"/>
  <c r="AS390" i="1"/>
  <c r="CS389" i="1"/>
  <c r="CR389" i="1"/>
  <c r="CQ389" i="1"/>
  <c r="CP389" i="1"/>
  <c r="CO389" i="1"/>
  <c r="CN389" i="1"/>
  <c r="CL389" i="1"/>
  <c r="CK389" i="1"/>
  <c r="CJ389" i="1"/>
  <c r="CI389" i="1"/>
  <c r="CH389" i="1"/>
  <c r="CG389" i="1"/>
  <c r="CF389" i="1"/>
  <c r="CD389" i="1"/>
  <c r="CC389" i="1"/>
  <c r="CB389" i="1"/>
  <c r="CA389" i="1"/>
  <c r="BZ389" i="1"/>
  <c r="BY389" i="1"/>
  <c r="BX389" i="1"/>
  <c r="BU389" i="1"/>
  <c r="BN389" i="1"/>
  <c r="BS389" i="1" s="1"/>
  <c r="BA389" i="1"/>
  <c r="AZ389" i="1"/>
  <c r="AY389" i="1"/>
  <c r="AX389" i="1"/>
  <c r="AW389" i="1"/>
  <c r="AV389" i="1"/>
  <c r="AT389" i="1"/>
  <c r="AS389" i="1"/>
  <c r="CS388" i="1"/>
  <c r="CR388" i="1"/>
  <c r="CQ388" i="1"/>
  <c r="CP388" i="1"/>
  <c r="CO388" i="1"/>
  <c r="CN388" i="1"/>
  <c r="CL388" i="1"/>
  <c r="CK388" i="1"/>
  <c r="CJ388" i="1"/>
  <c r="CI388" i="1"/>
  <c r="CH388" i="1"/>
  <c r="CG388" i="1"/>
  <c r="CF388" i="1"/>
  <c r="CD388" i="1"/>
  <c r="CC388" i="1"/>
  <c r="CB388" i="1"/>
  <c r="CA388" i="1"/>
  <c r="BZ388" i="1"/>
  <c r="BY388" i="1"/>
  <c r="BX388" i="1"/>
  <c r="BU388" i="1"/>
  <c r="BN388" i="1"/>
  <c r="BS388" i="1" s="1"/>
  <c r="BA388" i="1"/>
  <c r="AZ388" i="1"/>
  <c r="AY388" i="1"/>
  <c r="AX388" i="1"/>
  <c r="AW388" i="1"/>
  <c r="AV388" i="1"/>
  <c r="AT388" i="1"/>
  <c r="AS388" i="1"/>
  <c r="CS387" i="1"/>
  <c r="CR387" i="1"/>
  <c r="CQ387" i="1"/>
  <c r="CP387" i="1"/>
  <c r="CO387" i="1"/>
  <c r="CN387" i="1"/>
  <c r="CL387" i="1"/>
  <c r="CK387" i="1"/>
  <c r="CJ387" i="1"/>
  <c r="CI387" i="1"/>
  <c r="CH387" i="1"/>
  <c r="CG387" i="1"/>
  <c r="CF387" i="1"/>
  <c r="CD387" i="1"/>
  <c r="CC387" i="1"/>
  <c r="CB387" i="1"/>
  <c r="CA387" i="1"/>
  <c r="BZ387" i="1"/>
  <c r="BY387" i="1"/>
  <c r="BX387" i="1"/>
  <c r="BU387" i="1"/>
  <c r="BN387" i="1"/>
  <c r="BS387" i="1" s="1"/>
  <c r="BA387" i="1"/>
  <c r="AZ387" i="1"/>
  <c r="AY387" i="1"/>
  <c r="AX387" i="1"/>
  <c r="AW387" i="1"/>
  <c r="AV387" i="1"/>
  <c r="AT387" i="1"/>
  <c r="AS387" i="1"/>
  <c r="CS386" i="1"/>
  <c r="CR386" i="1"/>
  <c r="CQ386" i="1"/>
  <c r="CP386" i="1"/>
  <c r="CO386" i="1"/>
  <c r="CN386" i="1"/>
  <c r="CL386" i="1"/>
  <c r="CK386" i="1"/>
  <c r="CJ386" i="1"/>
  <c r="CI386" i="1"/>
  <c r="CH386" i="1"/>
  <c r="CG386" i="1"/>
  <c r="CF386" i="1"/>
  <c r="CD386" i="1"/>
  <c r="CC386" i="1"/>
  <c r="CB386" i="1"/>
  <c r="CA386" i="1"/>
  <c r="BZ386" i="1"/>
  <c r="BY386" i="1"/>
  <c r="BX386" i="1"/>
  <c r="BU386" i="1"/>
  <c r="BN386" i="1"/>
  <c r="BS386" i="1" s="1"/>
  <c r="BA386" i="1"/>
  <c r="AZ386" i="1"/>
  <c r="AY386" i="1"/>
  <c r="AX386" i="1"/>
  <c r="AW386" i="1"/>
  <c r="AV386" i="1"/>
  <c r="AT386" i="1"/>
  <c r="AS386" i="1"/>
  <c r="CS385" i="1"/>
  <c r="CR385" i="1"/>
  <c r="CQ385" i="1"/>
  <c r="CP385" i="1"/>
  <c r="CO385" i="1"/>
  <c r="CN385" i="1"/>
  <c r="CL385" i="1"/>
  <c r="CK385" i="1"/>
  <c r="CJ385" i="1"/>
  <c r="CI385" i="1"/>
  <c r="CH385" i="1"/>
  <c r="CG385" i="1"/>
  <c r="CF385" i="1"/>
  <c r="CD385" i="1"/>
  <c r="CC385" i="1"/>
  <c r="CB385" i="1"/>
  <c r="CA385" i="1"/>
  <c r="BZ385" i="1"/>
  <c r="BY385" i="1"/>
  <c r="BX385" i="1"/>
  <c r="BU385" i="1"/>
  <c r="BN385" i="1"/>
  <c r="BS385" i="1" s="1"/>
  <c r="BA385" i="1"/>
  <c r="AZ385" i="1"/>
  <c r="AY385" i="1"/>
  <c r="AX385" i="1"/>
  <c r="AW385" i="1"/>
  <c r="AV385" i="1"/>
  <c r="AT385" i="1"/>
  <c r="AS385" i="1"/>
  <c r="CS384" i="1"/>
  <c r="CR384" i="1"/>
  <c r="CQ384" i="1"/>
  <c r="CP384" i="1"/>
  <c r="CO384" i="1"/>
  <c r="CN384" i="1"/>
  <c r="CL384" i="1"/>
  <c r="CK384" i="1"/>
  <c r="CJ384" i="1"/>
  <c r="CI384" i="1"/>
  <c r="CH384" i="1"/>
  <c r="CG384" i="1"/>
  <c r="CF384" i="1"/>
  <c r="CD384" i="1"/>
  <c r="CC384" i="1"/>
  <c r="CB384" i="1"/>
  <c r="CA384" i="1"/>
  <c r="BZ384" i="1"/>
  <c r="BY384" i="1"/>
  <c r="BX384" i="1"/>
  <c r="BU384" i="1"/>
  <c r="BN384" i="1"/>
  <c r="BS384" i="1" s="1"/>
  <c r="BA384" i="1"/>
  <c r="AZ384" i="1"/>
  <c r="AY384" i="1"/>
  <c r="AX384" i="1"/>
  <c r="AW384" i="1"/>
  <c r="AV384" i="1"/>
  <c r="AT384" i="1"/>
  <c r="AS384" i="1"/>
  <c r="CS383" i="1"/>
  <c r="CR383" i="1"/>
  <c r="CQ383" i="1"/>
  <c r="CP383" i="1"/>
  <c r="CO383" i="1"/>
  <c r="CN383" i="1"/>
  <c r="CL383" i="1"/>
  <c r="CK383" i="1"/>
  <c r="CJ383" i="1"/>
  <c r="CI383" i="1"/>
  <c r="CH383" i="1"/>
  <c r="CG383" i="1"/>
  <c r="CF383" i="1"/>
  <c r="CD383" i="1"/>
  <c r="CC383" i="1"/>
  <c r="CB383" i="1"/>
  <c r="CA383" i="1"/>
  <c r="BZ383" i="1"/>
  <c r="BY383" i="1"/>
  <c r="BX383" i="1"/>
  <c r="BU383" i="1"/>
  <c r="BN383" i="1"/>
  <c r="BS383" i="1" s="1"/>
  <c r="BA383" i="1"/>
  <c r="AZ383" i="1"/>
  <c r="AY383" i="1"/>
  <c r="AX383" i="1"/>
  <c r="AW383" i="1"/>
  <c r="AV383" i="1"/>
  <c r="AT383" i="1"/>
  <c r="AS383" i="1"/>
  <c r="CS382" i="1"/>
  <c r="CR382" i="1"/>
  <c r="CQ382" i="1"/>
  <c r="CP382" i="1"/>
  <c r="CO382" i="1"/>
  <c r="CN382" i="1"/>
  <c r="CL382" i="1"/>
  <c r="CK382" i="1"/>
  <c r="CJ382" i="1"/>
  <c r="CI382" i="1"/>
  <c r="CH382" i="1"/>
  <c r="CG382" i="1"/>
  <c r="CF382" i="1"/>
  <c r="CD382" i="1"/>
  <c r="CC382" i="1"/>
  <c r="CB382" i="1"/>
  <c r="CA382" i="1"/>
  <c r="BZ382" i="1"/>
  <c r="BY382" i="1"/>
  <c r="BX382" i="1"/>
  <c r="BU382" i="1"/>
  <c r="BN382" i="1"/>
  <c r="BS382" i="1" s="1"/>
  <c r="BA382" i="1"/>
  <c r="AZ382" i="1"/>
  <c r="AY382" i="1"/>
  <c r="AX382" i="1"/>
  <c r="AW382" i="1"/>
  <c r="AV382" i="1"/>
  <c r="AT382" i="1"/>
  <c r="AS382" i="1"/>
  <c r="CS381" i="1"/>
  <c r="CR381" i="1"/>
  <c r="CQ381" i="1"/>
  <c r="CP381" i="1"/>
  <c r="CO381" i="1"/>
  <c r="CN381" i="1"/>
  <c r="CL381" i="1"/>
  <c r="CK381" i="1"/>
  <c r="CJ381" i="1"/>
  <c r="CI381" i="1"/>
  <c r="CH381" i="1"/>
  <c r="CG381" i="1"/>
  <c r="CF381" i="1"/>
  <c r="CD381" i="1"/>
  <c r="CC381" i="1"/>
  <c r="CB381" i="1"/>
  <c r="CA381" i="1"/>
  <c r="BZ381" i="1"/>
  <c r="BY381" i="1"/>
  <c r="BX381" i="1"/>
  <c r="BU381" i="1"/>
  <c r="BN381" i="1"/>
  <c r="BS381" i="1" s="1"/>
  <c r="BA381" i="1"/>
  <c r="AZ381" i="1"/>
  <c r="AY381" i="1"/>
  <c r="AX381" i="1"/>
  <c r="AW381" i="1"/>
  <c r="AV381" i="1"/>
  <c r="AT381" i="1"/>
  <c r="AS381" i="1"/>
  <c r="CS380" i="1"/>
  <c r="CR380" i="1"/>
  <c r="CQ380" i="1"/>
  <c r="CP380" i="1"/>
  <c r="CO380" i="1"/>
  <c r="CN380" i="1"/>
  <c r="CL380" i="1"/>
  <c r="CK380" i="1"/>
  <c r="CJ380" i="1"/>
  <c r="CI380" i="1"/>
  <c r="CH380" i="1"/>
  <c r="CG380" i="1"/>
  <c r="CF380" i="1"/>
  <c r="CD380" i="1"/>
  <c r="CC380" i="1"/>
  <c r="CB380" i="1"/>
  <c r="CA380" i="1"/>
  <c r="BZ380" i="1"/>
  <c r="BY380" i="1"/>
  <c r="BX380" i="1"/>
  <c r="BU380" i="1"/>
  <c r="BN380" i="1"/>
  <c r="BS380" i="1" s="1"/>
  <c r="BA380" i="1"/>
  <c r="AZ380" i="1"/>
  <c r="AY380" i="1"/>
  <c r="AX380" i="1"/>
  <c r="AW380" i="1"/>
  <c r="AV380" i="1"/>
  <c r="AT380" i="1"/>
  <c r="AS380" i="1"/>
  <c r="CS379" i="1"/>
  <c r="CR379" i="1"/>
  <c r="CQ379" i="1"/>
  <c r="CP379" i="1"/>
  <c r="CO379" i="1"/>
  <c r="CN379" i="1"/>
  <c r="CL379" i="1"/>
  <c r="CK379" i="1"/>
  <c r="CJ379" i="1"/>
  <c r="CI379" i="1"/>
  <c r="CH379" i="1"/>
  <c r="CG379" i="1"/>
  <c r="CF379" i="1"/>
  <c r="CD379" i="1"/>
  <c r="CC379" i="1"/>
  <c r="CB379" i="1"/>
  <c r="CA379" i="1"/>
  <c r="BZ379" i="1"/>
  <c r="BY379" i="1"/>
  <c r="BX379" i="1"/>
  <c r="BU379" i="1"/>
  <c r="BN379" i="1"/>
  <c r="BS379" i="1" s="1"/>
  <c r="BA379" i="1"/>
  <c r="AZ379" i="1"/>
  <c r="AY379" i="1"/>
  <c r="AX379" i="1"/>
  <c r="AW379" i="1"/>
  <c r="AV379" i="1"/>
  <c r="AT379" i="1"/>
  <c r="AS379" i="1"/>
  <c r="CS378" i="1"/>
  <c r="CR378" i="1"/>
  <c r="CQ378" i="1"/>
  <c r="CP378" i="1"/>
  <c r="CO378" i="1"/>
  <c r="CN378" i="1"/>
  <c r="CL378" i="1"/>
  <c r="CK378" i="1"/>
  <c r="CJ378" i="1"/>
  <c r="CI378" i="1"/>
  <c r="CH378" i="1"/>
  <c r="CG378" i="1"/>
  <c r="CF378" i="1"/>
  <c r="CD378" i="1"/>
  <c r="CC378" i="1"/>
  <c r="CB378" i="1"/>
  <c r="CA378" i="1"/>
  <c r="BZ378" i="1"/>
  <c r="BY378" i="1"/>
  <c r="BX378" i="1"/>
  <c r="BU378" i="1"/>
  <c r="BN378" i="1"/>
  <c r="BS378" i="1" s="1"/>
  <c r="BA378" i="1"/>
  <c r="AZ378" i="1"/>
  <c r="AY378" i="1"/>
  <c r="AX378" i="1"/>
  <c r="AW378" i="1"/>
  <c r="AV378" i="1"/>
  <c r="AT378" i="1"/>
  <c r="AS378" i="1"/>
  <c r="CS377" i="1"/>
  <c r="CR377" i="1"/>
  <c r="CQ377" i="1"/>
  <c r="CP377" i="1"/>
  <c r="CO377" i="1"/>
  <c r="CN377" i="1"/>
  <c r="CL377" i="1"/>
  <c r="CK377" i="1"/>
  <c r="CJ377" i="1"/>
  <c r="CI377" i="1"/>
  <c r="CH377" i="1"/>
  <c r="CG377" i="1"/>
  <c r="CF377" i="1"/>
  <c r="CD377" i="1"/>
  <c r="CC377" i="1"/>
  <c r="CB377" i="1"/>
  <c r="CA377" i="1"/>
  <c r="BZ377" i="1"/>
  <c r="BY377" i="1"/>
  <c r="BX377" i="1"/>
  <c r="BU377" i="1"/>
  <c r="BN377" i="1"/>
  <c r="BS377" i="1" s="1"/>
  <c r="BA377" i="1"/>
  <c r="AZ377" i="1"/>
  <c r="AY377" i="1"/>
  <c r="AX377" i="1"/>
  <c r="AW377" i="1"/>
  <c r="AV377" i="1"/>
  <c r="AT377" i="1"/>
  <c r="AS377" i="1"/>
  <c r="CS376" i="1"/>
  <c r="CR376" i="1"/>
  <c r="CQ376" i="1"/>
  <c r="CP376" i="1"/>
  <c r="CO376" i="1"/>
  <c r="CN376" i="1"/>
  <c r="CL376" i="1"/>
  <c r="CK376" i="1"/>
  <c r="CJ376" i="1"/>
  <c r="CI376" i="1"/>
  <c r="CH376" i="1"/>
  <c r="CG376" i="1"/>
  <c r="CF376" i="1"/>
  <c r="CD376" i="1"/>
  <c r="CC376" i="1"/>
  <c r="CB376" i="1"/>
  <c r="CA376" i="1"/>
  <c r="BZ376" i="1"/>
  <c r="BY376" i="1"/>
  <c r="BX376" i="1"/>
  <c r="BU376" i="1"/>
  <c r="BN376" i="1"/>
  <c r="BS376" i="1" s="1"/>
  <c r="BA376" i="1"/>
  <c r="AZ376" i="1"/>
  <c r="AY376" i="1"/>
  <c r="AX376" i="1"/>
  <c r="AW376" i="1"/>
  <c r="AV376" i="1"/>
  <c r="AT376" i="1"/>
  <c r="AS376" i="1"/>
  <c r="CS375" i="1"/>
  <c r="CR375" i="1"/>
  <c r="CQ375" i="1"/>
  <c r="CP375" i="1"/>
  <c r="CO375" i="1"/>
  <c r="CN375" i="1"/>
  <c r="CL375" i="1"/>
  <c r="CK375" i="1"/>
  <c r="CJ375" i="1"/>
  <c r="CI375" i="1"/>
  <c r="CH375" i="1"/>
  <c r="CG375" i="1"/>
  <c r="CF375" i="1"/>
  <c r="CD375" i="1"/>
  <c r="CC375" i="1"/>
  <c r="CB375" i="1"/>
  <c r="CA375" i="1"/>
  <c r="BZ375" i="1"/>
  <c r="BY375" i="1"/>
  <c r="BX375" i="1"/>
  <c r="BU375" i="1"/>
  <c r="BN375" i="1"/>
  <c r="BS375" i="1" s="1"/>
  <c r="BA375" i="1"/>
  <c r="AZ375" i="1"/>
  <c r="AY375" i="1"/>
  <c r="AX375" i="1"/>
  <c r="AW375" i="1"/>
  <c r="AV375" i="1"/>
  <c r="AT375" i="1"/>
  <c r="AS375" i="1"/>
  <c r="CS374" i="1"/>
  <c r="CR374" i="1"/>
  <c r="CQ374" i="1"/>
  <c r="CP374" i="1"/>
  <c r="CO374" i="1"/>
  <c r="CN374" i="1"/>
  <c r="CL374" i="1"/>
  <c r="CK374" i="1"/>
  <c r="CJ374" i="1"/>
  <c r="CI374" i="1"/>
  <c r="CH374" i="1"/>
  <c r="CG374" i="1"/>
  <c r="CF374" i="1"/>
  <c r="CD374" i="1"/>
  <c r="CC374" i="1"/>
  <c r="CB374" i="1"/>
  <c r="CA374" i="1"/>
  <c r="BZ374" i="1"/>
  <c r="BY374" i="1"/>
  <c r="BX374" i="1"/>
  <c r="BU374" i="1"/>
  <c r="BN374" i="1"/>
  <c r="BS374" i="1" s="1"/>
  <c r="BA374" i="1"/>
  <c r="AZ374" i="1"/>
  <c r="AY374" i="1"/>
  <c r="AX374" i="1"/>
  <c r="AW374" i="1"/>
  <c r="AV374" i="1"/>
  <c r="AT374" i="1"/>
  <c r="AS374" i="1"/>
  <c r="CS373" i="1"/>
  <c r="CR373" i="1"/>
  <c r="CQ373" i="1"/>
  <c r="CP373" i="1"/>
  <c r="CO373" i="1"/>
  <c r="CN373" i="1"/>
  <c r="CL373" i="1"/>
  <c r="CK373" i="1"/>
  <c r="CJ373" i="1"/>
  <c r="CI373" i="1"/>
  <c r="CH373" i="1"/>
  <c r="CG373" i="1"/>
  <c r="CF373" i="1"/>
  <c r="CD373" i="1"/>
  <c r="CC373" i="1"/>
  <c r="CB373" i="1"/>
  <c r="CA373" i="1"/>
  <c r="BZ373" i="1"/>
  <c r="BY373" i="1"/>
  <c r="BX373" i="1"/>
  <c r="BU373" i="1"/>
  <c r="BN373" i="1"/>
  <c r="BS373" i="1" s="1"/>
  <c r="BA373" i="1"/>
  <c r="AZ373" i="1"/>
  <c r="AY373" i="1"/>
  <c r="AX373" i="1"/>
  <c r="AW373" i="1"/>
  <c r="AV373" i="1"/>
  <c r="AT373" i="1"/>
  <c r="AS373" i="1"/>
  <c r="CS372" i="1"/>
  <c r="CR372" i="1"/>
  <c r="CQ372" i="1"/>
  <c r="CP372" i="1"/>
  <c r="CO372" i="1"/>
  <c r="CN372" i="1"/>
  <c r="CL372" i="1"/>
  <c r="CK372" i="1"/>
  <c r="CJ372" i="1"/>
  <c r="CI372" i="1"/>
  <c r="CH372" i="1"/>
  <c r="CG372" i="1"/>
  <c r="CF372" i="1"/>
  <c r="CD372" i="1"/>
  <c r="CC372" i="1"/>
  <c r="CB372" i="1"/>
  <c r="CA372" i="1"/>
  <c r="BZ372" i="1"/>
  <c r="BY372" i="1"/>
  <c r="BX372" i="1"/>
  <c r="BU372" i="1"/>
  <c r="BN372" i="1"/>
  <c r="BS372" i="1" s="1"/>
  <c r="BA372" i="1"/>
  <c r="AZ372" i="1"/>
  <c r="AY372" i="1"/>
  <c r="AX372" i="1"/>
  <c r="AW372" i="1"/>
  <c r="AV372" i="1"/>
  <c r="AT372" i="1"/>
  <c r="AS372" i="1"/>
  <c r="CS371" i="1"/>
  <c r="CR371" i="1"/>
  <c r="CQ371" i="1"/>
  <c r="CP371" i="1"/>
  <c r="CO371" i="1"/>
  <c r="CN371" i="1"/>
  <c r="CL371" i="1"/>
  <c r="CK371" i="1"/>
  <c r="CJ371" i="1"/>
  <c r="CI371" i="1"/>
  <c r="CH371" i="1"/>
  <c r="CG371" i="1"/>
  <c r="CF371" i="1"/>
  <c r="CD371" i="1"/>
  <c r="CC371" i="1"/>
  <c r="CB371" i="1"/>
  <c r="CA371" i="1"/>
  <c r="BZ371" i="1"/>
  <c r="BY371" i="1"/>
  <c r="BX371" i="1"/>
  <c r="BU371" i="1"/>
  <c r="BN371" i="1"/>
  <c r="BS371" i="1" s="1"/>
  <c r="BA371" i="1"/>
  <c r="AZ371" i="1"/>
  <c r="AY371" i="1"/>
  <c r="AX371" i="1"/>
  <c r="AW371" i="1"/>
  <c r="AV371" i="1"/>
  <c r="AT371" i="1"/>
  <c r="AS371" i="1"/>
  <c r="CS370" i="1"/>
  <c r="CR370" i="1"/>
  <c r="CQ370" i="1"/>
  <c r="CP370" i="1"/>
  <c r="CO370" i="1"/>
  <c r="CN370" i="1"/>
  <c r="CL370" i="1"/>
  <c r="CK370" i="1"/>
  <c r="CJ370" i="1"/>
  <c r="CI370" i="1"/>
  <c r="CH370" i="1"/>
  <c r="CG370" i="1"/>
  <c r="CF370" i="1"/>
  <c r="CD370" i="1"/>
  <c r="CC370" i="1"/>
  <c r="CB370" i="1"/>
  <c r="CA370" i="1"/>
  <c r="BZ370" i="1"/>
  <c r="BY370" i="1"/>
  <c r="BX370" i="1"/>
  <c r="BU370" i="1"/>
  <c r="BN370" i="1"/>
  <c r="BS370" i="1" s="1"/>
  <c r="BA370" i="1"/>
  <c r="AZ370" i="1"/>
  <c r="AY370" i="1"/>
  <c r="AX370" i="1"/>
  <c r="AW370" i="1"/>
  <c r="AV370" i="1"/>
  <c r="AT370" i="1"/>
  <c r="AS370" i="1"/>
  <c r="CS369" i="1"/>
  <c r="CR369" i="1"/>
  <c r="CQ369" i="1"/>
  <c r="CP369" i="1"/>
  <c r="CO369" i="1"/>
  <c r="CN369" i="1"/>
  <c r="CL369" i="1"/>
  <c r="CK369" i="1"/>
  <c r="CJ369" i="1"/>
  <c r="CI369" i="1"/>
  <c r="CH369" i="1"/>
  <c r="CG369" i="1"/>
  <c r="CF369" i="1"/>
  <c r="CD369" i="1"/>
  <c r="CC369" i="1"/>
  <c r="CB369" i="1"/>
  <c r="CA369" i="1"/>
  <c r="BZ369" i="1"/>
  <c r="BY369" i="1"/>
  <c r="BX369" i="1"/>
  <c r="BU369" i="1"/>
  <c r="BN369" i="1"/>
  <c r="BS369" i="1" s="1"/>
  <c r="BA369" i="1"/>
  <c r="AZ369" i="1"/>
  <c r="AY369" i="1"/>
  <c r="AX369" i="1"/>
  <c r="AW369" i="1"/>
  <c r="AV369" i="1"/>
  <c r="AT369" i="1"/>
  <c r="AS369" i="1"/>
  <c r="CS368" i="1"/>
  <c r="CR368" i="1"/>
  <c r="CQ368" i="1"/>
  <c r="CP368" i="1"/>
  <c r="CO368" i="1"/>
  <c r="CN368" i="1"/>
  <c r="CL368" i="1"/>
  <c r="CK368" i="1"/>
  <c r="CJ368" i="1"/>
  <c r="CI368" i="1"/>
  <c r="CH368" i="1"/>
  <c r="CG368" i="1"/>
  <c r="CF368" i="1"/>
  <c r="CD368" i="1"/>
  <c r="CC368" i="1"/>
  <c r="CB368" i="1"/>
  <c r="CA368" i="1"/>
  <c r="BZ368" i="1"/>
  <c r="BY368" i="1"/>
  <c r="BX368" i="1"/>
  <c r="BU368" i="1"/>
  <c r="BN368" i="1"/>
  <c r="BS368" i="1" s="1"/>
  <c r="BA368" i="1"/>
  <c r="AZ368" i="1"/>
  <c r="AY368" i="1"/>
  <c r="AX368" i="1"/>
  <c r="AW368" i="1"/>
  <c r="AV368" i="1"/>
  <c r="AT368" i="1"/>
  <c r="AS368" i="1"/>
  <c r="CS367" i="1"/>
  <c r="CR367" i="1"/>
  <c r="CQ367" i="1"/>
  <c r="CP367" i="1"/>
  <c r="CO367" i="1"/>
  <c r="CN367" i="1"/>
  <c r="CL367" i="1"/>
  <c r="CK367" i="1"/>
  <c r="CJ367" i="1"/>
  <c r="CI367" i="1"/>
  <c r="CH367" i="1"/>
  <c r="CG367" i="1"/>
  <c r="CF367" i="1"/>
  <c r="CD367" i="1"/>
  <c r="CC367" i="1"/>
  <c r="CB367" i="1"/>
  <c r="CA367" i="1"/>
  <c r="BZ367" i="1"/>
  <c r="BY367" i="1"/>
  <c r="BX367" i="1"/>
  <c r="BU367" i="1"/>
  <c r="BN367" i="1"/>
  <c r="BS367" i="1" s="1"/>
  <c r="BA367" i="1"/>
  <c r="AZ367" i="1"/>
  <c r="AY367" i="1"/>
  <c r="AX367" i="1"/>
  <c r="AW367" i="1"/>
  <c r="AV367" i="1"/>
  <c r="AT367" i="1"/>
  <c r="AS367" i="1"/>
  <c r="CS366" i="1"/>
  <c r="CR366" i="1"/>
  <c r="CQ366" i="1"/>
  <c r="CP366" i="1"/>
  <c r="CO366" i="1"/>
  <c r="CN366" i="1"/>
  <c r="CL366" i="1"/>
  <c r="CK366" i="1"/>
  <c r="CJ366" i="1"/>
  <c r="CI366" i="1"/>
  <c r="CH366" i="1"/>
  <c r="CG366" i="1"/>
  <c r="CF366" i="1"/>
  <c r="CD366" i="1"/>
  <c r="CC366" i="1"/>
  <c r="CB366" i="1"/>
  <c r="CA366" i="1"/>
  <c r="BZ366" i="1"/>
  <c r="BY366" i="1"/>
  <c r="BX366" i="1"/>
  <c r="BU366" i="1"/>
  <c r="BN366" i="1"/>
  <c r="BS366" i="1" s="1"/>
  <c r="BA366" i="1"/>
  <c r="AZ366" i="1"/>
  <c r="AY366" i="1"/>
  <c r="AX366" i="1"/>
  <c r="AW366" i="1"/>
  <c r="AV366" i="1"/>
  <c r="AT366" i="1"/>
  <c r="AS366" i="1"/>
  <c r="CS365" i="1"/>
  <c r="CR365" i="1"/>
  <c r="CQ365" i="1"/>
  <c r="CP365" i="1"/>
  <c r="CO365" i="1"/>
  <c r="CN365" i="1"/>
  <c r="CL365" i="1"/>
  <c r="CK365" i="1"/>
  <c r="CJ365" i="1"/>
  <c r="CI365" i="1"/>
  <c r="CH365" i="1"/>
  <c r="CG365" i="1"/>
  <c r="CF365" i="1"/>
  <c r="CD365" i="1"/>
  <c r="CC365" i="1"/>
  <c r="CB365" i="1"/>
  <c r="CA365" i="1"/>
  <c r="BZ365" i="1"/>
  <c r="BY365" i="1"/>
  <c r="BX365" i="1"/>
  <c r="BU365" i="1"/>
  <c r="BN365" i="1"/>
  <c r="BS365" i="1" s="1"/>
  <c r="BA365" i="1"/>
  <c r="AZ365" i="1"/>
  <c r="AY365" i="1"/>
  <c r="AX365" i="1"/>
  <c r="AW365" i="1"/>
  <c r="AV365" i="1"/>
  <c r="AT365" i="1"/>
  <c r="AS365" i="1"/>
  <c r="CS364" i="1"/>
  <c r="CR364" i="1"/>
  <c r="CQ364" i="1"/>
  <c r="CP364" i="1"/>
  <c r="CO364" i="1"/>
  <c r="CN364" i="1"/>
  <c r="CL364" i="1"/>
  <c r="CK364" i="1"/>
  <c r="CJ364" i="1"/>
  <c r="CI364" i="1"/>
  <c r="CH364" i="1"/>
  <c r="CG364" i="1"/>
  <c r="CF364" i="1"/>
  <c r="CD364" i="1"/>
  <c r="CC364" i="1"/>
  <c r="CB364" i="1"/>
  <c r="CA364" i="1"/>
  <c r="BZ364" i="1"/>
  <c r="BY364" i="1"/>
  <c r="BX364" i="1"/>
  <c r="BU364" i="1"/>
  <c r="BN364" i="1"/>
  <c r="BS364" i="1" s="1"/>
  <c r="BA364" i="1"/>
  <c r="AZ364" i="1"/>
  <c r="AY364" i="1"/>
  <c r="AX364" i="1"/>
  <c r="AW364" i="1"/>
  <c r="AV364" i="1"/>
  <c r="AT364" i="1"/>
  <c r="AS364" i="1"/>
  <c r="CS363" i="1"/>
  <c r="CR363" i="1"/>
  <c r="CQ363" i="1"/>
  <c r="CP363" i="1"/>
  <c r="CO363" i="1"/>
  <c r="CN363" i="1"/>
  <c r="CL363" i="1"/>
  <c r="CK363" i="1"/>
  <c r="CJ363" i="1"/>
  <c r="CI363" i="1"/>
  <c r="CH363" i="1"/>
  <c r="CG363" i="1"/>
  <c r="CF363" i="1"/>
  <c r="CD363" i="1"/>
  <c r="CC363" i="1"/>
  <c r="CB363" i="1"/>
  <c r="CA363" i="1"/>
  <c r="BZ363" i="1"/>
  <c r="BY363" i="1"/>
  <c r="BX363" i="1"/>
  <c r="BU363" i="1"/>
  <c r="BN363" i="1"/>
  <c r="BS363" i="1" s="1"/>
  <c r="BA363" i="1"/>
  <c r="AZ363" i="1"/>
  <c r="AY363" i="1"/>
  <c r="AX363" i="1"/>
  <c r="AW363" i="1"/>
  <c r="AV363" i="1"/>
  <c r="AT363" i="1"/>
  <c r="AS363" i="1"/>
  <c r="CS362" i="1"/>
  <c r="CR362" i="1"/>
  <c r="CQ362" i="1"/>
  <c r="CP362" i="1"/>
  <c r="CO362" i="1"/>
  <c r="CN362" i="1"/>
  <c r="CL362" i="1"/>
  <c r="CK362" i="1"/>
  <c r="CJ362" i="1"/>
  <c r="CI362" i="1"/>
  <c r="CH362" i="1"/>
  <c r="CG362" i="1"/>
  <c r="CF362" i="1"/>
  <c r="CD362" i="1"/>
  <c r="CC362" i="1"/>
  <c r="CB362" i="1"/>
  <c r="CA362" i="1"/>
  <c r="BZ362" i="1"/>
  <c r="BY362" i="1"/>
  <c r="BX362" i="1"/>
  <c r="BU362" i="1"/>
  <c r="BN362" i="1"/>
  <c r="BS362" i="1" s="1"/>
  <c r="BA362" i="1"/>
  <c r="AZ362" i="1"/>
  <c r="AY362" i="1"/>
  <c r="AX362" i="1"/>
  <c r="AW362" i="1"/>
  <c r="AV362" i="1"/>
  <c r="AT362" i="1"/>
  <c r="AS362" i="1"/>
  <c r="CS361" i="1"/>
  <c r="CR361" i="1"/>
  <c r="CQ361" i="1"/>
  <c r="CP361" i="1"/>
  <c r="CO361" i="1"/>
  <c r="CN361" i="1"/>
  <c r="CL361" i="1"/>
  <c r="CK361" i="1"/>
  <c r="CJ361" i="1"/>
  <c r="CI361" i="1"/>
  <c r="CH361" i="1"/>
  <c r="CG361" i="1"/>
  <c r="CF361" i="1"/>
  <c r="CD361" i="1"/>
  <c r="CC361" i="1"/>
  <c r="CB361" i="1"/>
  <c r="CA361" i="1"/>
  <c r="BZ361" i="1"/>
  <c r="BY361" i="1"/>
  <c r="BX361" i="1"/>
  <c r="BU361" i="1"/>
  <c r="BN361" i="1"/>
  <c r="BS361" i="1" s="1"/>
  <c r="BA361" i="1"/>
  <c r="AZ361" i="1"/>
  <c r="AY361" i="1"/>
  <c r="AX361" i="1"/>
  <c r="AW361" i="1"/>
  <c r="AV361" i="1"/>
  <c r="AT361" i="1"/>
  <c r="AS361" i="1"/>
  <c r="CS360" i="1"/>
  <c r="CR360" i="1"/>
  <c r="CQ360" i="1"/>
  <c r="CP360" i="1"/>
  <c r="CO360" i="1"/>
  <c r="CN360" i="1"/>
  <c r="CL360" i="1"/>
  <c r="CK360" i="1"/>
  <c r="CJ360" i="1"/>
  <c r="CI360" i="1"/>
  <c r="CH360" i="1"/>
  <c r="CG360" i="1"/>
  <c r="CF360" i="1"/>
  <c r="CD360" i="1"/>
  <c r="CC360" i="1"/>
  <c r="CB360" i="1"/>
  <c r="CA360" i="1"/>
  <c r="BZ360" i="1"/>
  <c r="BY360" i="1"/>
  <c r="BX360" i="1"/>
  <c r="BU360" i="1"/>
  <c r="BN360" i="1"/>
  <c r="BS360" i="1" s="1"/>
  <c r="BA360" i="1"/>
  <c r="AZ360" i="1"/>
  <c r="AY360" i="1"/>
  <c r="AX360" i="1"/>
  <c r="AW360" i="1"/>
  <c r="AV360" i="1"/>
  <c r="AT360" i="1"/>
  <c r="AS360" i="1"/>
  <c r="CS359" i="1"/>
  <c r="CR359" i="1"/>
  <c r="CQ359" i="1"/>
  <c r="CP359" i="1"/>
  <c r="CO359" i="1"/>
  <c r="CN359" i="1"/>
  <c r="CL359" i="1"/>
  <c r="CK359" i="1"/>
  <c r="CJ359" i="1"/>
  <c r="CI359" i="1"/>
  <c r="CH359" i="1"/>
  <c r="CG359" i="1"/>
  <c r="CF359" i="1"/>
  <c r="CD359" i="1"/>
  <c r="CC359" i="1"/>
  <c r="CB359" i="1"/>
  <c r="CA359" i="1"/>
  <c r="BZ359" i="1"/>
  <c r="BY359" i="1"/>
  <c r="BX359" i="1"/>
  <c r="BU359" i="1"/>
  <c r="BN359" i="1"/>
  <c r="BS359" i="1" s="1"/>
  <c r="BA359" i="1"/>
  <c r="AZ359" i="1"/>
  <c r="AY359" i="1"/>
  <c r="AX359" i="1"/>
  <c r="AW359" i="1"/>
  <c r="AV359" i="1"/>
  <c r="AT359" i="1"/>
  <c r="AS359" i="1"/>
  <c r="CS358" i="1"/>
  <c r="CR358" i="1"/>
  <c r="CQ358" i="1"/>
  <c r="CP358" i="1"/>
  <c r="CO358" i="1"/>
  <c r="CN358" i="1"/>
  <c r="CL358" i="1"/>
  <c r="CK358" i="1"/>
  <c r="CJ358" i="1"/>
  <c r="CI358" i="1"/>
  <c r="CH358" i="1"/>
  <c r="CG358" i="1"/>
  <c r="CF358" i="1"/>
  <c r="CD358" i="1"/>
  <c r="CC358" i="1"/>
  <c r="CB358" i="1"/>
  <c r="CA358" i="1"/>
  <c r="BZ358" i="1"/>
  <c r="BY358" i="1"/>
  <c r="BX358" i="1"/>
  <c r="BU358" i="1"/>
  <c r="BN358" i="1"/>
  <c r="BS358" i="1" s="1"/>
  <c r="BA358" i="1"/>
  <c r="AZ358" i="1"/>
  <c r="AY358" i="1"/>
  <c r="AX358" i="1"/>
  <c r="AW358" i="1"/>
  <c r="AV358" i="1"/>
  <c r="AT358" i="1"/>
  <c r="AS358" i="1"/>
  <c r="CS357" i="1"/>
  <c r="CR357" i="1"/>
  <c r="CQ357" i="1"/>
  <c r="CP357" i="1"/>
  <c r="CO357" i="1"/>
  <c r="CN357" i="1"/>
  <c r="CL357" i="1"/>
  <c r="CK357" i="1"/>
  <c r="CJ357" i="1"/>
  <c r="CI357" i="1"/>
  <c r="CH357" i="1"/>
  <c r="CG357" i="1"/>
  <c r="CF357" i="1"/>
  <c r="CD357" i="1"/>
  <c r="CC357" i="1"/>
  <c r="CB357" i="1"/>
  <c r="CA357" i="1"/>
  <c r="BZ357" i="1"/>
  <c r="BY357" i="1"/>
  <c r="BX357" i="1"/>
  <c r="BU357" i="1"/>
  <c r="BN357" i="1"/>
  <c r="BS357" i="1" s="1"/>
  <c r="BA357" i="1"/>
  <c r="AZ357" i="1"/>
  <c r="AY357" i="1"/>
  <c r="AX357" i="1"/>
  <c r="AW357" i="1"/>
  <c r="AV357" i="1"/>
  <c r="AT357" i="1"/>
  <c r="AS357" i="1"/>
  <c r="CS356" i="1"/>
  <c r="CR356" i="1"/>
  <c r="CQ356" i="1"/>
  <c r="CP356" i="1"/>
  <c r="CO356" i="1"/>
  <c r="CN356" i="1"/>
  <c r="CL356" i="1"/>
  <c r="CK356" i="1"/>
  <c r="CJ356" i="1"/>
  <c r="CI356" i="1"/>
  <c r="CH356" i="1"/>
  <c r="CG356" i="1"/>
  <c r="CF356" i="1"/>
  <c r="CD356" i="1"/>
  <c r="CC356" i="1"/>
  <c r="CB356" i="1"/>
  <c r="CA356" i="1"/>
  <c r="BZ356" i="1"/>
  <c r="BY356" i="1"/>
  <c r="BX356" i="1"/>
  <c r="BU356" i="1"/>
  <c r="BN356" i="1"/>
  <c r="BS356" i="1" s="1"/>
  <c r="BA356" i="1"/>
  <c r="AZ356" i="1"/>
  <c r="AY356" i="1"/>
  <c r="AX356" i="1"/>
  <c r="AW356" i="1"/>
  <c r="AV356" i="1"/>
  <c r="AT356" i="1"/>
  <c r="AS356" i="1"/>
  <c r="CS355" i="1"/>
  <c r="CR355" i="1"/>
  <c r="CQ355" i="1"/>
  <c r="CP355" i="1"/>
  <c r="CO355" i="1"/>
  <c r="CN355" i="1"/>
  <c r="CL355" i="1"/>
  <c r="CK355" i="1"/>
  <c r="CJ355" i="1"/>
  <c r="CI355" i="1"/>
  <c r="CH355" i="1"/>
  <c r="CG355" i="1"/>
  <c r="CF355" i="1"/>
  <c r="CD355" i="1"/>
  <c r="CC355" i="1"/>
  <c r="CB355" i="1"/>
  <c r="CA355" i="1"/>
  <c r="BZ355" i="1"/>
  <c r="BY355" i="1"/>
  <c r="BX355" i="1"/>
  <c r="BU355" i="1"/>
  <c r="BN355" i="1"/>
  <c r="BS355" i="1" s="1"/>
  <c r="BA355" i="1"/>
  <c r="AZ355" i="1"/>
  <c r="AY355" i="1"/>
  <c r="AX355" i="1"/>
  <c r="AW355" i="1"/>
  <c r="AV355" i="1"/>
  <c r="AT355" i="1"/>
  <c r="AS355" i="1"/>
  <c r="CS354" i="1"/>
  <c r="CR354" i="1"/>
  <c r="CQ354" i="1"/>
  <c r="CP354" i="1"/>
  <c r="CO354" i="1"/>
  <c r="CN354" i="1"/>
  <c r="CL354" i="1"/>
  <c r="CK354" i="1"/>
  <c r="CJ354" i="1"/>
  <c r="CI354" i="1"/>
  <c r="CH354" i="1"/>
  <c r="CG354" i="1"/>
  <c r="CF354" i="1"/>
  <c r="CD354" i="1"/>
  <c r="CC354" i="1"/>
  <c r="CB354" i="1"/>
  <c r="CA354" i="1"/>
  <c r="BZ354" i="1"/>
  <c r="BY354" i="1"/>
  <c r="BX354" i="1"/>
  <c r="BU354" i="1"/>
  <c r="BN354" i="1"/>
  <c r="BS354" i="1" s="1"/>
  <c r="BA354" i="1"/>
  <c r="AZ354" i="1"/>
  <c r="AY354" i="1"/>
  <c r="AX354" i="1"/>
  <c r="AW354" i="1"/>
  <c r="AV354" i="1"/>
  <c r="AT354" i="1"/>
  <c r="AS354" i="1"/>
  <c r="CS353" i="1"/>
  <c r="CR353" i="1"/>
  <c r="CQ353" i="1"/>
  <c r="CP353" i="1"/>
  <c r="CO353" i="1"/>
  <c r="CN353" i="1"/>
  <c r="CL353" i="1"/>
  <c r="CK353" i="1"/>
  <c r="CJ353" i="1"/>
  <c r="CI353" i="1"/>
  <c r="CH353" i="1"/>
  <c r="CG353" i="1"/>
  <c r="CF353" i="1"/>
  <c r="CD353" i="1"/>
  <c r="CC353" i="1"/>
  <c r="CB353" i="1"/>
  <c r="CA353" i="1"/>
  <c r="BZ353" i="1"/>
  <c r="BY353" i="1"/>
  <c r="BX353" i="1"/>
  <c r="BU353" i="1"/>
  <c r="BN353" i="1"/>
  <c r="BS353" i="1" s="1"/>
  <c r="BA353" i="1"/>
  <c r="AZ353" i="1"/>
  <c r="AY353" i="1"/>
  <c r="AX353" i="1"/>
  <c r="AW353" i="1"/>
  <c r="AV353" i="1"/>
  <c r="AT353" i="1"/>
  <c r="AS353" i="1"/>
  <c r="CS352" i="1"/>
  <c r="CR352" i="1"/>
  <c r="CQ352" i="1"/>
  <c r="CP352" i="1"/>
  <c r="CO352" i="1"/>
  <c r="CN352" i="1"/>
  <c r="CL352" i="1"/>
  <c r="CK352" i="1"/>
  <c r="CJ352" i="1"/>
  <c r="CI352" i="1"/>
  <c r="CH352" i="1"/>
  <c r="CG352" i="1"/>
  <c r="CF352" i="1"/>
  <c r="CD352" i="1"/>
  <c r="CC352" i="1"/>
  <c r="CB352" i="1"/>
  <c r="CA352" i="1"/>
  <c r="BZ352" i="1"/>
  <c r="BY352" i="1"/>
  <c r="BX352" i="1"/>
  <c r="BU352" i="1"/>
  <c r="BN352" i="1"/>
  <c r="BS352" i="1" s="1"/>
  <c r="BA352" i="1"/>
  <c r="AZ352" i="1"/>
  <c r="AY352" i="1"/>
  <c r="AX352" i="1"/>
  <c r="AW352" i="1"/>
  <c r="AV352" i="1"/>
  <c r="AT352" i="1"/>
  <c r="AS352" i="1"/>
  <c r="CS351" i="1"/>
  <c r="CR351" i="1"/>
  <c r="CQ351" i="1"/>
  <c r="CP351" i="1"/>
  <c r="CO351" i="1"/>
  <c r="CN351" i="1"/>
  <c r="CL351" i="1"/>
  <c r="CK351" i="1"/>
  <c r="CJ351" i="1"/>
  <c r="CI351" i="1"/>
  <c r="CH351" i="1"/>
  <c r="CG351" i="1"/>
  <c r="CF351" i="1"/>
  <c r="CD351" i="1"/>
  <c r="CC351" i="1"/>
  <c r="CB351" i="1"/>
  <c r="CA351" i="1"/>
  <c r="BZ351" i="1"/>
  <c r="BY351" i="1"/>
  <c r="BX351" i="1"/>
  <c r="BU351" i="1"/>
  <c r="BN351" i="1"/>
  <c r="BS351" i="1" s="1"/>
  <c r="BA351" i="1"/>
  <c r="AZ351" i="1"/>
  <c r="AY351" i="1"/>
  <c r="AX351" i="1"/>
  <c r="AW351" i="1"/>
  <c r="AV351" i="1"/>
  <c r="AT351" i="1"/>
  <c r="AS351" i="1"/>
  <c r="CS350" i="1"/>
  <c r="CR350" i="1"/>
  <c r="CQ350" i="1"/>
  <c r="CP350" i="1"/>
  <c r="CO350" i="1"/>
  <c r="CN350" i="1"/>
  <c r="CL350" i="1"/>
  <c r="CK350" i="1"/>
  <c r="CJ350" i="1"/>
  <c r="CI350" i="1"/>
  <c r="CH350" i="1"/>
  <c r="CG350" i="1"/>
  <c r="CF350" i="1"/>
  <c r="CD350" i="1"/>
  <c r="CC350" i="1"/>
  <c r="CB350" i="1"/>
  <c r="CA350" i="1"/>
  <c r="BZ350" i="1"/>
  <c r="BY350" i="1"/>
  <c r="BX350" i="1"/>
  <c r="BU350" i="1"/>
  <c r="BN350" i="1"/>
  <c r="BS350" i="1" s="1"/>
  <c r="BA350" i="1"/>
  <c r="AZ350" i="1"/>
  <c r="AY350" i="1"/>
  <c r="AX350" i="1"/>
  <c r="AW350" i="1"/>
  <c r="AV350" i="1"/>
  <c r="AT350" i="1"/>
  <c r="AS350" i="1"/>
  <c r="CS349" i="1"/>
  <c r="CR349" i="1"/>
  <c r="CQ349" i="1"/>
  <c r="CP349" i="1"/>
  <c r="CO349" i="1"/>
  <c r="CN349" i="1"/>
  <c r="CL349" i="1"/>
  <c r="CK349" i="1"/>
  <c r="CJ349" i="1"/>
  <c r="CI349" i="1"/>
  <c r="CH349" i="1"/>
  <c r="CG349" i="1"/>
  <c r="CF349" i="1"/>
  <c r="CD349" i="1"/>
  <c r="CC349" i="1"/>
  <c r="CB349" i="1"/>
  <c r="CA349" i="1"/>
  <c r="BZ349" i="1"/>
  <c r="BY349" i="1"/>
  <c r="BX349" i="1"/>
  <c r="BU349" i="1"/>
  <c r="BN349" i="1"/>
  <c r="BS349" i="1" s="1"/>
  <c r="BA349" i="1"/>
  <c r="AZ349" i="1"/>
  <c r="AY349" i="1"/>
  <c r="AX349" i="1"/>
  <c r="AW349" i="1"/>
  <c r="AV349" i="1"/>
  <c r="AT349" i="1"/>
  <c r="AS349" i="1"/>
  <c r="CS348" i="1"/>
  <c r="CR348" i="1"/>
  <c r="CQ348" i="1"/>
  <c r="CP348" i="1"/>
  <c r="CO348" i="1"/>
  <c r="CN348" i="1"/>
  <c r="CL348" i="1"/>
  <c r="CK348" i="1"/>
  <c r="CJ348" i="1"/>
  <c r="CI348" i="1"/>
  <c r="CH348" i="1"/>
  <c r="CG348" i="1"/>
  <c r="CF348" i="1"/>
  <c r="CD348" i="1"/>
  <c r="CC348" i="1"/>
  <c r="CB348" i="1"/>
  <c r="CA348" i="1"/>
  <c r="BZ348" i="1"/>
  <c r="BY348" i="1"/>
  <c r="BX348" i="1"/>
  <c r="BU348" i="1"/>
  <c r="BN348" i="1"/>
  <c r="BS348" i="1" s="1"/>
  <c r="BA348" i="1"/>
  <c r="AZ348" i="1"/>
  <c r="AY348" i="1"/>
  <c r="AX348" i="1"/>
  <c r="AW348" i="1"/>
  <c r="AV348" i="1"/>
  <c r="AT348" i="1"/>
  <c r="AS348" i="1"/>
  <c r="CS347" i="1"/>
  <c r="CR347" i="1"/>
  <c r="CQ347" i="1"/>
  <c r="CP347" i="1"/>
  <c r="CO347" i="1"/>
  <c r="CN347" i="1"/>
  <c r="CL347" i="1"/>
  <c r="CK347" i="1"/>
  <c r="CJ347" i="1"/>
  <c r="CI347" i="1"/>
  <c r="CH347" i="1"/>
  <c r="CG347" i="1"/>
  <c r="CF347" i="1"/>
  <c r="CD347" i="1"/>
  <c r="CC347" i="1"/>
  <c r="CB347" i="1"/>
  <c r="CA347" i="1"/>
  <c r="BZ347" i="1"/>
  <c r="BY347" i="1"/>
  <c r="BX347" i="1"/>
  <c r="BU347" i="1"/>
  <c r="BN347" i="1"/>
  <c r="BS347" i="1" s="1"/>
  <c r="BA347" i="1"/>
  <c r="AZ347" i="1"/>
  <c r="AY347" i="1"/>
  <c r="AX347" i="1"/>
  <c r="AW347" i="1"/>
  <c r="AV347" i="1"/>
  <c r="AT347" i="1"/>
  <c r="AS347" i="1"/>
  <c r="CS346" i="1"/>
  <c r="CR346" i="1"/>
  <c r="CQ346" i="1"/>
  <c r="CP346" i="1"/>
  <c r="CO346" i="1"/>
  <c r="CN346" i="1"/>
  <c r="CL346" i="1"/>
  <c r="CK346" i="1"/>
  <c r="CJ346" i="1"/>
  <c r="CI346" i="1"/>
  <c r="CH346" i="1"/>
  <c r="CG346" i="1"/>
  <c r="CF346" i="1"/>
  <c r="CD346" i="1"/>
  <c r="CC346" i="1"/>
  <c r="CB346" i="1"/>
  <c r="CA346" i="1"/>
  <c r="BZ346" i="1"/>
  <c r="BY346" i="1"/>
  <c r="BX346" i="1"/>
  <c r="BU346" i="1"/>
  <c r="BN346" i="1"/>
  <c r="BS346" i="1" s="1"/>
  <c r="BA346" i="1"/>
  <c r="AZ346" i="1"/>
  <c r="AY346" i="1"/>
  <c r="AX346" i="1"/>
  <c r="AW346" i="1"/>
  <c r="AV346" i="1"/>
  <c r="AT346" i="1"/>
  <c r="AS346" i="1"/>
  <c r="CS345" i="1"/>
  <c r="CR345" i="1"/>
  <c r="CQ345" i="1"/>
  <c r="CP345" i="1"/>
  <c r="CO345" i="1"/>
  <c r="CN345" i="1"/>
  <c r="CL345" i="1"/>
  <c r="CK345" i="1"/>
  <c r="CJ345" i="1"/>
  <c r="CI345" i="1"/>
  <c r="CH345" i="1"/>
  <c r="CG345" i="1"/>
  <c r="CF345" i="1"/>
  <c r="CD345" i="1"/>
  <c r="CC345" i="1"/>
  <c r="CB345" i="1"/>
  <c r="CA345" i="1"/>
  <c r="BZ345" i="1"/>
  <c r="BY345" i="1"/>
  <c r="BX345" i="1"/>
  <c r="BU345" i="1"/>
  <c r="BN345" i="1"/>
  <c r="BS345" i="1" s="1"/>
  <c r="BA345" i="1"/>
  <c r="AZ345" i="1"/>
  <c r="AY345" i="1"/>
  <c r="AX345" i="1"/>
  <c r="AW345" i="1"/>
  <c r="AV345" i="1"/>
  <c r="AT345" i="1"/>
  <c r="AS345" i="1"/>
  <c r="CS344" i="1"/>
  <c r="CR344" i="1"/>
  <c r="CQ344" i="1"/>
  <c r="CP344" i="1"/>
  <c r="CO344" i="1"/>
  <c r="CN344" i="1"/>
  <c r="CL344" i="1"/>
  <c r="CK344" i="1"/>
  <c r="CJ344" i="1"/>
  <c r="CI344" i="1"/>
  <c r="CH344" i="1"/>
  <c r="CG344" i="1"/>
  <c r="CF344" i="1"/>
  <c r="CD344" i="1"/>
  <c r="CC344" i="1"/>
  <c r="CB344" i="1"/>
  <c r="CA344" i="1"/>
  <c r="BZ344" i="1"/>
  <c r="BY344" i="1"/>
  <c r="BX344" i="1"/>
  <c r="BU344" i="1"/>
  <c r="BN344" i="1"/>
  <c r="BS344" i="1" s="1"/>
  <c r="BA344" i="1"/>
  <c r="AZ344" i="1"/>
  <c r="AY344" i="1"/>
  <c r="AX344" i="1"/>
  <c r="AW344" i="1"/>
  <c r="AV344" i="1"/>
  <c r="AT344" i="1"/>
  <c r="AS344" i="1"/>
  <c r="CS343" i="1"/>
  <c r="CR343" i="1"/>
  <c r="CQ343" i="1"/>
  <c r="CP343" i="1"/>
  <c r="CO343" i="1"/>
  <c r="CN343" i="1"/>
  <c r="CL343" i="1"/>
  <c r="CK343" i="1"/>
  <c r="CJ343" i="1"/>
  <c r="CI343" i="1"/>
  <c r="CH343" i="1"/>
  <c r="CG343" i="1"/>
  <c r="CF343" i="1"/>
  <c r="CD343" i="1"/>
  <c r="CC343" i="1"/>
  <c r="CB343" i="1"/>
  <c r="CA343" i="1"/>
  <c r="BZ343" i="1"/>
  <c r="BY343" i="1"/>
  <c r="BX343" i="1"/>
  <c r="BU343" i="1"/>
  <c r="BN343" i="1"/>
  <c r="BS343" i="1" s="1"/>
  <c r="BA343" i="1"/>
  <c r="AZ343" i="1"/>
  <c r="AY343" i="1"/>
  <c r="AX343" i="1"/>
  <c r="AW343" i="1"/>
  <c r="AV343" i="1"/>
  <c r="AT343" i="1"/>
  <c r="AS343" i="1"/>
  <c r="CS342" i="1"/>
  <c r="CR342" i="1"/>
  <c r="CQ342" i="1"/>
  <c r="CP342" i="1"/>
  <c r="CO342" i="1"/>
  <c r="CN342" i="1"/>
  <c r="CL342" i="1"/>
  <c r="CK342" i="1"/>
  <c r="CJ342" i="1"/>
  <c r="CI342" i="1"/>
  <c r="CH342" i="1"/>
  <c r="CG342" i="1"/>
  <c r="CF342" i="1"/>
  <c r="CD342" i="1"/>
  <c r="CC342" i="1"/>
  <c r="CB342" i="1"/>
  <c r="CA342" i="1"/>
  <c r="BZ342" i="1"/>
  <c r="BY342" i="1"/>
  <c r="BX342" i="1"/>
  <c r="BU342" i="1"/>
  <c r="BN342" i="1"/>
  <c r="BS342" i="1" s="1"/>
  <c r="BA342" i="1"/>
  <c r="AZ342" i="1"/>
  <c r="AY342" i="1"/>
  <c r="AX342" i="1"/>
  <c r="AW342" i="1"/>
  <c r="AV342" i="1"/>
  <c r="AT342" i="1"/>
  <c r="AS342" i="1"/>
  <c r="CS341" i="1"/>
  <c r="CR341" i="1"/>
  <c r="CQ341" i="1"/>
  <c r="CP341" i="1"/>
  <c r="CO341" i="1"/>
  <c r="CN341" i="1"/>
  <c r="CL341" i="1"/>
  <c r="CK341" i="1"/>
  <c r="CJ341" i="1"/>
  <c r="CI341" i="1"/>
  <c r="CH341" i="1"/>
  <c r="CG341" i="1"/>
  <c r="CF341" i="1"/>
  <c r="CD341" i="1"/>
  <c r="CC341" i="1"/>
  <c r="CB341" i="1"/>
  <c r="CA341" i="1"/>
  <c r="BZ341" i="1"/>
  <c r="BY341" i="1"/>
  <c r="BX341" i="1"/>
  <c r="BU341" i="1"/>
  <c r="BN341" i="1"/>
  <c r="BS341" i="1" s="1"/>
  <c r="BA341" i="1"/>
  <c r="AZ341" i="1"/>
  <c r="AY341" i="1"/>
  <c r="AX341" i="1"/>
  <c r="AW341" i="1"/>
  <c r="AV341" i="1"/>
  <c r="AT341" i="1"/>
  <c r="AS341" i="1"/>
  <c r="CS340" i="1"/>
  <c r="CR340" i="1"/>
  <c r="CQ340" i="1"/>
  <c r="CP340" i="1"/>
  <c r="CO340" i="1"/>
  <c r="CN340" i="1"/>
  <c r="CL340" i="1"/>
  <c r="CK340" i="1"/>
  <c r="CJ340" i="1"/>
  <c r="CI340" i="1"/>
  <c r="CH340" i="1"/>
  <c r="CG340" i="1"/>
  <c r="CF340" i="1"/>
  <c r="CD340" i="1"/>
  <c r="CC340" i="1"/>
  <c r="CB340" i="1"/>
  <c r="CA340" i="1"/>
  <c r="BZ340" i="1"/>
  <c r="BY340" i="1"/>
  <c r="BX340" i="1"/>
  <c r="BU340" i="1"/>
  <c r="BN340" i="1"/>
  <c r="BS340" i="1" s="1"/>
  <c r="BA340" i="1"/>
  <c r="AZ340" i="1"/>
  <c r="AY340" i="1"/>
  <c r="AX340" i="1"/>
  <c r="AW340" i="1"/>
  <c r="AV340" i="1"/>
  <c r="AT340" i="1"/>
  <c r="AS340" i="1"/>
  <c r="CS339" i="1"/>
  <c r="CR339" i="1"/>
  <c r="CQ339" i="1"/>
  <c r="CP339" i="1"/>
  <c r="CO339" i="1"/>
  <c r="CN339" i="1"/>
  <c r="CL339" i="1"/>
  <c r="CK339" i="1"/>
  <c r="CJ339" i="1"/>
  <c r="CI339" i="1"/>
  <c r="CH339" i="1"/>
  <c r="CG339" i="1"/>
  <c r="CF339" i="1"/>
  <c r="CD339" i="1"/>
  <c r="CC339" i="1"/>
  <c r="CB339" i="1"/>
  <c r="CA339" i="1"/>
  <c r="BZ339" i="1"/>
  <c r="BY339" i="1"/>
  <c r="BX339" i="1"/>
  <c r="BU339" i="1"/>
  <c r="BN339" i="1"/>
  <c r="BS339" i="1" s="1"/>
  <c r="BA339" i="1"/>
  <c r="AZ339" i="1"/>
  <c r="AY339" i="1"/>
  <c r="AX339" i="1"/>
  <c r="AW339" i="1"/>
  <c r="AV339" i="1"/>
  <c r="AT339" i="1"/>
  <c r="AS339" i="1"/>
  <c r="CS338" i="1"/>
  <c r="CR338" i="1"/>
  <c r="CQ338" i="1"/>
  <c r="CP338" i="1"/>
  <c r="CO338" i="1"/>
  <c r="CN338" i="1"/>
  <c r="CL338" i="1"/>
  <c r="CK338" i="1"/>
  <c r="CJ338" i="1"/>
  <c r="CI338" i="1"/>
  <c r="CH338" i="1"/>
  <c r="CG338" i="1"/>
  <c r="CF338" i="1"/>
  <c r="CD338" i="1"/>
  <c r="CC338" i="1"/>
  <c r="CB338" i="1"/>
  <c r="CA338" i="1"/>
  <c r="BZ338" i="1"/>
  <c r="BY338" i="1"/>
  <c r="BX338" i="1"/>
  <c r="BU338" i="1"/>
  <c r="BN338" i="1"/>
  <c r="BS338" i="1" s="1"/>
  <c r="BA338" i="1"/>
  <c r="AZ338" i="1"/>
  <c r="AY338" i="1"/>
  <c r="AX338" i="1"/>
  <c r="AW338" i="1"/>
  <c r="AV338" i="1"/>
  <c r="AT338" i="1"/>
  <c r="AS338" i="1"/>
  <c r="CS337" i="1"/>
  <c r="CR337" i="1"/>
  <c r="CQ337" i="1"/>
  <c r="CP337" i="1"/>
  <c r="CO337" i="1"/>
  <c r="CN337" i="1"/>
  <c r="CL337" i="1"/>
  <c r="CK337" i="1"/>
  <c r="CJ337" i="1"/>
  <c r="CI337" i="1"/>
  <c r="CH337" i="1"/>
  <c r="CG337" i="1"/>
  <c r="CF337" i="1"/>
  <c r="CD337" i="1"/>
  <c r="CC337" i="1"/>
  <c r="CB337" i="1"/>
  <c r="CA337" i="1"/>
  <c r="BZ337" i="1"/>
  <c r="BY337" i="1"/>
  <c r="BX337" i="1"/>
  <c r="BU337" i="1"/>
  <c r="BN337" i="1"/>
  <c r="BS337" i="1" s="1"/>
  <c r="BA337" i="1"/>
  <c r="AZ337" i="1"/>
  <c r="AY337" i="1"/>
  <c r="AX337" i="1"/>
  <c r="AW337" i="1"/>
  <c r="AV337" i="1"/>
  <c r="AT337" i="1"/>
  <c r="AS337" i="1"/>
  <c r="CS336" i="1"/>
  <c r="CR336" i="1"/>
  <c r="CQ336" i="1"/>
  <c r="CP336" i="1"/>
  <c r="CO336" i="1"/>
  <c r="CN336" i="1"/>
  <c r="CL336" i="1"/>
  <c r="CK336" i="1"/>
  <c r="CJ336" i="1"/>
  <c r="CI336" i="1"/>
  <c r="CH336" i="1"/>
  <c r="CG336" i="1"/>
  <c r="CF336" i="1"/>
  <c r="CD336" i="1"/>
  <c r="CC336" i="1"/>
  <c r="CB336" i="1"/>
  <c r="CA336" i="1"/>
  <c r="BZ336" i="1"/>
  <c r="BY336" i="1"/>
  <c r="BX336" i="1"/>
  <c r="BU336" i="1"/>
  <c r="BN336" i="1"/>
  <c r="BS336" i="1" s="1"/>
  <c r="BA336" i="1"/>
  <c r="AZ336" i="1"/>
  <c r="AY336" i="1"/>
  <c r="AX336" i="1"/>
  <c r="AW336" i="1"/>
  <c r="AV336" i="1"/>
  <c r="AT336" i="1"/>
  <c r="AS336" i="1"/>
  <c r="CS335" i="1"/>
  <c r="CR335" i="1"/>
  <c r="CQ335" i="1"/>
  <c r="CP335" i="1"/>
  <c r="CO335" i="1"/>
  <c r="CN335" i="1"/>
  <c r="CL335" i="1"/>
  <c r="CK335" i="1"/>
  <c r="CJ335" i="1"/>
  <c r="CI335" i="1"/>
  <c r="CH335" i="1"/>
  <c r="CG335" i="1"/>
  <c r="CF335" i="1"/>
  <c r="CD335" i="1"/>
  <c r="CC335" i="1"/>
  <c r="CB335" i="1"/>
  <c r="CA335" i="1"/>
  <c r="BZ335" i="1"/>
  <c r="BY335" i="1"/>
  <c r="BX335" i="1"/>
  <c r="BU335" i="1"/>
  <c r="BN335" i="1"/>
  <c r="BS335" i="1" s="1"/>
  <c r="BA335" i="1"/>
  <c r="AZ335" i="1"/>
  <c r="AY335" i="1"/>
  <c r="AX335" i="1"/>
  <c r="AW335" i="1"/>
  <c r="AV335" i="1"/>
  <c r="AT335" i="1"/>
  <c r="AS335" i="1"/>
  <c r="CS334" i="1"/>
  <c r="CR334" i="1"/>
  <c r="CQ334" i="1"/>
  <c r="CP334" i="1"/>
  <c r="CO334" i="1"/>
  <c r="CN334" i="1"/>
  <c r="CL334" i="1"/>
  <c r="CK334" i="1"/>
  <c r="CJ334" i="1"/>
  <c r="CI334" i="1"/>
  <c r="CH334" i="1"/>
  <c r="CG334" i="1"/>
  <c r="CF334" i="1"/>
  <c r="CD334" i="1"/>
  <c r="CC334" i="1"/>
  <c r="CB334" i="1"/>
  <c r="CA334" i="1"/>
  <c r="BZ334" i="1"/>
  <c r="BY334" i="1"/>
  <c r="BX334" i="1"/>
  <c r="BU334" i="1"/>
  <c r="BN334" i="1"/>
  <c r="BS334" i="1" s="1"/>
  <c r="BA334" i="1"/>
  <c r="AZ334" i="1"/>
  <c r="AY334" i="1"/>
  <c r="AX334" i="1"/>
  <c r="AW334" i="1"/>
  <c r="AV334" i="1"/>
  <c r="AT334" i="1"/>
  <c r="AS334" i="1"/>
  <c r="CS333" i="1"/>
  <c r="CR333" i="1"/>
  <c r="CQ333" i="1"/>
  <c r="CP333" i="1"/>
  <c r="CO333" i="1"/>
  <c r="CN333" i="1"/>
  <c r="CL333" i="1"/>
  <c r="CK333" i="1"/>
  <c r="CJ333" i="1"/>
  <c r="CI333" i="1"/>
  <c r="CH333" i="1"/>
  <c r="CG333" i="1"/>
  <c r="CF333" i="1"/>
  <c r="CD333" i="1"/>
  <c r="CC333" i="1"/>
  <c r="CB333" i="1"/>
  <c r="CA333" i="1"/>
  <c r="BZ333" i="1"/>
  <c r="BY333" i="1"/>
  <c r="BX333" i="1"/>
  <c r="BU333" i="1"/>
  <c r="BN333" i="1"/>
  <c r="BS333" i="1" s="1"/>
  <c r="BA333" i="1"/>
  <c r="AZ333" i="1"/>
  <c r="AY333" i="1"/>
  <c r="AX333" i="1"/>
  <c r="AW333" i="1"/>
  <c r="AV333" i="1"/>
  <c r="AT333" i="1"/>
  <c r="AS333" i="1"/>
  <c r="CS332" i="1"/>
  <c r="CR332" i="1"/>
  <c r="CQ332" i="1"/>
  <c r="CP332" i="1"/>
  <c r="CO332" i="1"/>
  <c r="CN332" i="1"/>
  <c r="CL332" i="1"/>
  <c r="CK332" i="1"/>
  <c r="CJ332" i="1"/>
  <c r="CI332" i="1"/>
  <c r="CH332" i="1"/>
  <c r="CG332" i="1"/>
  <c r="CF332" i="1"/>
  <c r="CD332" i="1"/>
  <c r="CC332" i="1"/>
  <c r="CB332" i="1"/>
  <c r="CA332" i="1"/>
  <c r="BZ332" i="1"/>
  <c r="BY332" i="1"/>
  <c r="BX332" i="1"/>
  <c r="BU332" i="1"/>
  <c r="BN332" i="1"/>
  <c r="BS332" i="1" s="1"/>
  <c r="BA332" i="1"/>
  <c r="AZ332" i="1"/>
  <c r="AY332" i="1"/>
  <c r="AX332" i="1"/>
  <c r="AW332" i="1"/>
  <c r="AV332" i="1"/>
  <c r="AT332" i="1"/>
  <c r="AS332" i="1"/>
  <c r="CS331" i="1"/>
  <c r="CR331" i="1"/>
  <c r="CQ331" i="1"/>
  <c r="CP331" i="1"/>
  <c r="CO331" i="1"/>
  <c r="CN331" i="1"/>
  <c r="CL331" i="1"/>
  <c r="CK331" i="1"/>
  <c r="CJ331" i="1"/>
  <c r="CI331" i="1"/>
  <c r="CH331" i="1"/>
  <c r="CG331" i="1"/>
  <c r="CF331" i="1"/>
  <c r="CD331" i="1"/>
  <c r="CC331" i="1"/>
  <c r="CB331" i="1"/>
  <c r="CA331" i="1"/>
  <c r="BZ331" i="1"/>
  <c r="BY331" i="1"/>
  <c r="BX331" i="1"/>
  <c r="BU331" i="1"/>
  <c r="BN331" i="1"/>
  <c r="BS331" i="1" s="1"/>
  <c r="BA331" i="1"/>
  <c r="AZ331" i="1"/>
  <c r="AY331" i="1"/>
  <c r="AX331" i="1"/>
  <c r="AW331" i="1"/>
  <c r="AV331" i="1"/>
  <c r="AT331" i="1"/>
  <c r="AS331" i="1"/>
  <c r="CS330" i="1"/>
  <c r="CR330" i="1"/>
  <c r="CQ330" i="1"/>
  <c r="CP330" i="1"/>
  <c r="CO330" i="1"/>
  <c r="CN330" i="1"/>
  <c r="CL330" i="1"/>
  <c r="CK330" i="1"/>
  <c r="CJ330" i="1"/>
  <c r="CI330" i="1"/>
  <c r="CH330" i="1"/>
  <c r="CG330" i="1"/>
  <c r="CF330" i="1"/>
  <c r="CD330" i="1"/>
  <c r="CC330" i="1"/>
  <c r="CB330" i="1"/>
  <c r="CA330" i="1"/>
  <c r="BZ330" i="1"/>
  <c r="BY330" i="1"/>
  <c r="BX330" i="1"/>
  <c r="BU330" i="1"/>
  <c r="BN330" i="1"/>
  <c r="BS330" i="1" s="1"/>
  <c r="BA330" i="1"/>
  <c r="AZ330" i="1"/>
  <c r="AY330" i="1"/>
  <c r="AX330" i="1"/>
  <c r="AW330" i="1"/>
  <c r="AV330" i="1"/>
  <c r="AT330" i="1"/>
  <c r="AS330" i="1"/>
  <c r="CS329" i="1"/>
  <c r="CR329" i="1"/>
  <c r="CQ329" i="1"/>
  <c r="CP329" i="1"/>
  <c r="CO329" i="1"/>
  <c r="CN329" i="1"/>
  <c r="CL329" i="1"/>
  <c r="CK329" i="1"/>
  <c r="CJ329" i="1"/>
  <c r="CI329" i="1"/>
  <c r="CH329" i="1"/>
  <c r="CG329" i="1"/>
  <c r="CF329" i="1"/>
  <c r="CD329" i="1"/>
  <c r="CC329" i="1"/>
  <c r="CB329" i="1"/>
  <c r="CA329" i="1"/>
  <c r="BZ329" i="1"/>
  <c r="BY329" i="1"/>
  <c r="BX329" i="1"/>
  <c r="BU329" i="1"/>
  <c r="BN329" i="1"/>
  <c r="BS329" i="1" s="1"/>
  <c r="BA329" i="1"/>
  <c r="AZ329" i="1"/>
  <c r="AY329" i="1"/>
  <c r="AX329" i="1"/>
  <c r="AW329" i="1"/>
  <c r="AV329" i="1"/>
  <c r="AT329" i="1"/>
  <c r="AS329" i="1"/>
  <c r="CS328" i="1"/>
  <c r="CR328" i="1"/>
  <c r="CQ328" i="1"/>
  <c r="CP328" i="1"/>
  <c r="CO328" i="1"/>
  <c r="CN328" i="1"/>
  <c r="CL328" i="1"/>
  <c r="CK328" i="1"/>
  <c r="CJ328" i="1"/>
  <c r="CI328" i="1"/>
  <c r="CH328" i="1"/>
  <c r="CG328" i="1"/>
  <c r="CF328" i="1"/>
  <c r="CD328" i="1"/>
  <c r="CC328" i="1"/>
  <c r="CB328" i="1"/>
  <c r="CA328" i="1"/>
  <c r="BZ328" i="1"/>
  <c r="BY328" i="1"/>
  <c r="BX328" i="1"/>
  <c r="BU328" i="1"/>
  <c r="BN328" i="1"/>
  <c r="BS328" i="1" s="1"/>
  <c r="BA328" i="1"/>
  <c r="AZ328" i="1"/>
  <c r="AY328" i="1"/>
  <c r="AX328" i="1"/>
  <c r="AW328" i="1"/>
  <c r="AV328" i="1"/>
  <c r="AT328" i="1"/>
  <c r="AS328" i="1"/>
  <c r="CS327" i="1"/>
  <c r="CR327" i="1"/>
  <c r="CQ327" i="1"/>
  <c r="CP327" i="1"/>
  <c r="CO327" i="1"/>
  <c r="CN327" i="1"/>
  <c r="CL327" i="1"/>
  <c r="CK327" i="1"/>
  <c r="CJ327" i="1"/>
  <c r="CI327" i="1"/>
  <c r="CH327" i="1"/>
  <c r="CG327" i="1"/>
  <c r="CF327" i="1"/>
  <c r="CD327" i="1"/>
  <c r="CC327" i="1"/>
  <c r="CB327" i="1"/>
  <c r="CA327" i="1"/>
  <c r="BZ327" i="1"/>
  <c r="BY327" i="1"/>
  <c r="BX327" i="1"/>
  <c r="BU327" i="1"/>
  <c r="BN327" i="1"/>
  <c r="BS327" i="1" s="1"/>
  <c r="BA327" i="1"/>
  <c r="AZ327" i="1"/>
  <c r="AY327" i="1"/>
  <c r="AX327" i="1"/>
  <c r="AW327" i="1"/>
  <c r="AV327" i="1"/>
  <c r="AT327" i="1"/>
  <c r="AS327" i="1"/>
  <c r="CS326" i="1"/>
  <c r="CR326" i="1"/>
  <c r="CQ326" i="1"/>
  <c r="CP326" i="1"/>
  <c r="CO326" i="1"/>
  <c r="CN326" i="1"/>
  <c r="CL326" i="1"/>
  <c r="CK326" i="1"/>
  <c r="CJ326" i="1"/>
  <c r="CI326" i="1"/>
  <c r="CH326" i="1"/>
  <c r="CG326" i="1"/>
  <c r="CF326" i="1"/>
  <c r="CD326" i="1"/>
  <c r="CC326" i="1"/>
  <c r="CB326" i="1"/>
  <c r="CA326" i="1"/>
  <c r="BZ326" i="1"/>
  <c r="BY326" i="1"/>
  <c r="BX326" i="1"/>
  <c r="BU326" i="1"/>
  <c r="BN326" i="1"/>
  <c r="BS326" i="1" s="1"/>
  <c r="BA326" i="1"/>
  <c r="AZ326" i="1"/>
  <c r="AY326" i="1"/>
  <c r="AX326" i="1"/>
  <c r="AW326" i="1"/>
  <c r="AV326" i="1"/>
  <c r="AT326" i="1"/>
  <c r="AS326" i="1"/>
  <c r="CS325" i="1"/>
  <c r="CR325" i="1"/>
  <c r="CQ325" i="1"/>
  <c r="CP325" i="1"/>
  <c r="CO325" i="1"/>
  <c r="CN325" i="1"/>
  <c r="CL325" i="1"/>
  <c r="CK325" i="1"/>
  <c r="CJ325" i="1"/>
  <c r="CI325" i="1"/>
  <c r="CH325" i="1"/>
  <c r="CG325" i="1"/>
  <c r="CF325" i="1"/>
  <c r="CD325" i="1"/>
  <c r="CC325" i="1"/>
  <c r="CB325" i="1"/>
  <c r="CA325" i="1"/>
  <c r="BZ325" i="1"/>
  <c r="BY325" i="1"/>
  <c r="BX325" i="1"/>
  <c r="BU325" i="1"/>
  <c r="BN325" i="1"/>
  <c r="BS325" i="1" s="1"/>
  <c r="BA325" i="1"/>
  <c r="AZ325" i="1"/>
  <c r="AY325" i="1"/>
  <c r="AX325" i="1"/>
  <c r="AW325" i="1"/>
  <c r="AV325" i="1"/>
  <c r="AT325" i="1"/>
  <c r="AS325" i="1"/>
  <c r="CS324" i="1"/>
  <c r="CR324" i="1"/>
  <c r="CQ324" i="1"/>
  <c r="CP324" i="1"/>
  <c r="CO324" i="1"/>
  <c r="CN324" i="1"/>
  <c r="CL324" i="1"/>
  <c r="CK324" i="1"/>
  <c r="CJ324" i="1"/>
  <c r="CI324" i="1"/>
  <c r="CH324" i="1"/>
  <c r="CG324" i="1"/>
  <c r="CF324" i="1"/>
  <c r="CD324" i="1"/>
  <c r="CC324" i="1"/>
  <c r="CB324" i="1"/>
  <c r="CA324" i="1"/>
  <c r="BZ324" i="1"/>
  <c r="BY324" i="1"/>
  <c r="BX324" i="1"/>
  <c r="BU324" i="1"/>
  <c r="BN324" i="1"/>
  <c r="BS324" i="1" s="1"/>
  <c r="BA324" i="1"/>
  <c r="AZ324" i="1"/>
  <c r="AY324" i="1"/>
  <c r="AX324" i="1"/>
  <c r="AW324" i="1"/>
  <c r="AV324" i="1"/>
  <c r="AT324" i="1"/>
  <c r="AS324" i="1"/>
  <c r="CS323" i="1"/>
  <c r="CR323" i="1"/>
  <c r="CQ323" i="1"/>
  <c r="CP323" i="1"/>
  <c r="CO323" i="1"/>
  <c r="CN323" i="1"/>
  <c r="CL323" i="1"/>
  <c r="CK323" i="1"/>
  <c r="CJ323" i="1"/>
  <c r="CI323" i="1"/>
  <c r="CH323" i="1"/>
  <c r="CG323" i="1"/>
  <c r="CF323" i="1"/>
  <c r="CD323" i="1"/>
  <c r="CC323" i="1"/>
  <c r="CB323" i="1"/>
  <c r="CA323" i="1"/>
  <c r="BZ323" i="1"/>
  <c r="BY323" i="1"/>
  <c r="BX323" i="1"/>
  <c r="BU323" i="1"/>
  <c r="BN323" i="1"/>
  <c r="BS323" i="1" s="1"/>
  <c r="BA323" i="1"/>
  <c r="AZ323" i="1"/>
  <c r="AY323" i="1"/>
  <c r="AX323" i="1"/>
  <c r="AW323" i="1"/>
  <c r="AV323" i="1"/>
  <c r="AT323" i="1"/>
  <c r="AS323" i="1"/>
  <c r="CS322" i="1"/>
  <c r="CR322" i="1"/>
  <c r="CQ322" i="1"/>
  <c r="CP322" i="1"/>
  <c r="CO322" i="1"/>
  <c r="CN322" i="1"/>
  <c r="CL322" i="1"/>
  <c r="CK322" i="1"/>
  <c r="CJ322" i="1"/>
  <c r="CI322" i="1"/>
  <c r="CH322" i="1"/>
  <c r="CG322" i="1"/>
  <c r="CF322" i="1"/>
  <c r="CD322" i="1"/>
  <c r="CC322" i="1"/>
  <c r="CB322" i="1"/>
  <c r="CA322" i="1"/>
  <c r="BZ322" i="1"/>
  <c r="BY322" i="1"/>
  <c r="BX322" i="1"/>
  <c r="BU322" i="1"/>
  <c r="BN322" i="1"/>
  <c r="BS322" i="1" s="1"/>
  <c r="BA322" i="1"/>
  <c r="AZ322" i="1"/>
  <c r="AY322" i="1"/>
  <c r="AX322" i="1"/>
  <c r="AW322" i="1"/>
  <c r="AV322" i="1"/>
  <c r="AT322" i="1"/>
  <c r="AS322" i="1"/>
  <c r="CS321" i="1"/>
  <c r="CR321" i="1"/>
  <c r="CQ321" i="1"/>
  <c r="CP321" i="1"/>
  <c r="CO321" i="1"/>
  <c r="CN321" i="1"/>
  <c r="CL321" i="1"/>
  <c r="CK321" i="1"/>
  <c r="CJ321" i="1"/>
  <c r="CI321" i="1"/>
  <c r="CH321" i="1"/>
  <c r="CG321" i="1"/>
  <c r="CF321" i="1"/>
  <c r="CD321" i="1"/>
  <c r="CC321" i="1"/>
  <c r="CB321" i="1"/>
  <c r="CA321" i="1"/>
  <c r="BZ321" i="1"/>
  <c r="BY321" i="1"/>
  <c r="BX321" i="1"/>
  <c r="BU321" i="1"/>
  <c r="BN321" i="1"/>
  <c r="BS321" i="1" s="1"/>
  <c r="BA321" i="1"/>
  <c r="AZ321" i="1"/>
  <c r="AY321" i="1"/>
  <c r="AX321" i="1"/>
  <c r="AW321" i="1"/>
  <c r="AV321" i="1"/>
  <c r="AT321" i="1"/>
  <c r="AS321" i="1"/>
  <c r="CS320" i="1"/>
  <c r="CR320" i="1"/>
  <c r="CQ320" i="1"/>
  <c r="CP320" i="1"/>
  <c r="CO320" i="1"/>
  <c r="CN320" i="1"/>
  <c r="CL320" i="1"/>
  <c r="CK320" i="1"/>
  <c r="CJ320" i="1"/>
  <c r="CI320" i="1"/>
  <c r="CH320" i="1"/>
  <c r="CG320" i="1"/>
  <c r="CF320" i="1"/>
  <c r="CD320" i="1"/>
  <c r="CC320" i="1"/>
  <c r="CB320" i="1"/>
  <c r="CA320" i="1"/>
  <c r="BZ320" i="1"/>
  <c r="BY320" i="1"/>
  <c r="BX320" i="1"/>
  <c r="BU320" i="1"/>
  <c r="BN320" i="1"/>
  <c r="BS320" i="1" s="1"/>
  <c r="BA320" i="1"/>
  <c r="AZ320" i="1"/>
  <c r="AY320" i="1"/>
  <c r="AX320" i="1"/>
  <c r="AW320" i="1"/>
  <c r="AV320" i="1"/>
  <c r="AT320" i="1"/>
  <c r="AS320" i="1"/>
  <c r="CS319" i="1"/>
  <c r="CR319" i="1"/>
  <c r="CQ319" i="1"/>
  <c r="CP319" i="1"/>
  <c r="CO319" i="1"/>
  <c r="CN319" i="1"/>
  <c r="CL319" i="1"/>
  <c r="CK319" i="1"/>
  <c r="CJ319" i="1"/>
  <c r="CI319" i="1"/>
  <c r="CH319" i="1"/>
  <c r="CG319" i="1"/>
  <c r="CF319" i="1"/>
  <c r="CD319" i="1"/>
  <c r="CC319" i="1"/>
  <c r="CB319" i="1"/>
  <c r="CA319" i="1"/>
  <c r="BZ319" i="1"/>
  <c r="BY319" i="1"/>
  <c r="BX319" i="1"/>
  <c r="BU319" i="1"/>
  <c r="BN319" i="1"/>
  <c r="BS319" i="1" s="1"/>
  <c r="BA319" i="1"/>
  <c r="AZ319" i="1"/>
  <c r="AY319" i="1"/>
  <c r="AX319" i="1"/>
  <c r="AW319" i="1"/>
  <c r="AV319" i="1"/>
  <c r="AT319" i="1"/>
  <c r="AS319" i="1"/>
  <c r="CS318" i="1"/>
  <c r="CR318" i="1"/>
  <c r="CQ318" i="1"/>
  <c r="CP318" i="1"/>
  <c r="CO318" i="1"/>
  <c r="CN318" i="1"/>
  <c r="CL318" i="1"/>
  <c r="CK318" i="1"/>
  <c r="CJ318" i="1"/>
  <c r="CI318" i="1"/>
  <c r="CH318" i="1"/>
  <c r="CG318" i="1"/>
  <c r="CF318" i="1"/>
  <c r="CD318" i="1"/>
  <c r="CC318" i="1"/>
  <c r="CB318" i="1"/>
  <c r="CA318" i="1"/>
  <c r="BZ318" i="1"/>
  <c r="BY318" i="1"/>
  <c r="BX318" i="1"/>
  <c r="BU318" i="1"/>
  <c r="BN318" i="1"/>
  <c r="BS318" i="1" s="1"/>
  <c r="BA318" i="1"/>
  <c r="AZ318" i="1"/>
  <c r="AY318" i="1"/>
  <c r="AX318" i="1"/>
  <c r="AW318" i="1"/>
  <c r="AV318" i="1"/>
  <c r="AT318" i="1"/>
  <c r="AS318" i="1"/>
  <c r="CS317" i="1"/>
  <c r="CR317" i="1"/>
  <c r="CQ317" i="1"/>
  <c r="CP317" i="1"/>
  <c r="CO317" i="1"/>
  <c r="CN317" i="1"/>
  <c r="CL317" i="1"/>
  <c r="CK317" i="1"/>
  <c r="CJ317" i="1"/>
  <c r="CI317" i="1"/>
  <c r="CH317" i="1"/>
  <c r="CG317" i="1"/>
  <c r="CF317" i="1"/>
  <c r="CD317" i="1"/>
  <c r="CC317" i="1"/>
  <c r="CB317" i="1"/>
  <c r="CA317" i="1"/>
  <c r="BZ317" i="1"/>
  <c r="BY317" i="1"/>
  <c r="BX317" i="1"/>
  <c r="BU317" i="1"/>
  <c r="BN317" i="1"/>
  <c r="BS317" i="1" s="1"/>
  <c r="BA317" i="1"/>
  <c r="AZ317" i="1"/>
  <c r="AY317" i="1"/>
  <c r="AX317" i="1"/>
  <c r="AW317" i="1"/>
  <c r="AV317" i="1"/>
  <c r="AT317" i="1"/>
  <c r="AS317" i="1"/>
  <c r="CS316" i="1"/>
  <c r="CR316" i="1"/>
  <c r="CQ316" i="1"/>
  <c r="CP316" i="1"/>
  <c r="CO316" i="1"/>
  <c r="CN316" i="1"/>
  <c r="CL316" i="1"/>
  <c r="CK316" i="1"/>
  <c r="CJ316" i="1"/>
  <c r="CI316" i="1"/>
  <c r="CH316" i="1"/>
  <c r="CG316" i="1"/>
  <c r="CF316" i="1"/>
  <c r="CD316" i="1"/>
  <c r="CC316" i="1"/>
  <c r="CB316" i="1"/>
  <c r="CA316" i="1"/>
  <c r="BZ316" i="1"/>
  <c r="BY316" i="1"/>
  <c r="BX316" i="1"/>
  <c r="BU316" i="1"/>
  <c r="BN316" i="1"/>
  <c r="BS316" i="1" s="1"/>
  <c r="BA316" i="1"/>
  <c r="AZ316" i="1"/>
  <c r="AY316" i="1"/>
  <c r="AX316" i="1"/>
  <c r="AW316" i="1"/>
  <c r="AV316" i="1"/>
  <c r="AT316" i="1"/>
  <c r="AS316" i="1"/>
  <c r="CS315" i="1"/>
  <c r="CR315" i="1"/>
  <c r="CQ315" i="1"/>
  <c r="CP315" i="1"/>
  <c r="CO315" i="1"/>
  <c r="CN315" i="1"/>
  <c r="CL315" i="1"/>
  <c r="CK315" i="1"/>
  <c r="CJ315" i="1"/>
  <c r="CI315" i="1"/>
  <c r="CH315" i="1"/>
  <c r="CG315" i="1"/>
  <c r="CF315" i="1"/>
  <c r="CD315" i="1"/>
  <c r="CC315" i="1"/>
  <c r="CB315" i="1"/>
  <c r="CA315" i="1"/>
  <c r="BZ315" i="1"/>
  <c r="BY315" i="1"/>
  <c r="BX315" i="1"/>
  <c r="BU315" i="1"/>
  <c r="BN315" i="1"/>
  <c r="BS315" i="1" s="1"/>
  <c r="BA315" i="1"/>
  <c r="AZ315" i="1"/>
  <c r="AY315" i="1"/>
  <c r="AX315" i="1"/>
  <c r="AW315" i="1"/>
  <c r="AV315" i="1"/>
  <c r="AT315" i="1"/>
  <c r="AS315" i="1"/>
  <c r="CS314" i="1"/>
  <c r="CR314" i="1"/>
  <c r="CQ314" i="1"/>
  <c r="CP314" i="1"/>
  <c r="CO314" i="1"/>
  <c r="CN314" i="1"/>
  <c r="CL314" i="1"/>
  <c r="CK314" i="1"/>
  <c r="CJ314" i="1"/>
  <c r="CI314" i="1"/>
  <c r="CH314" i="1"/>
  <c r="CG314" i="1"/>
  <c r="CF314" i="1"/>
  <c r="CD314" i="1"/>
  <c r="CC314" i="1"/>
  <c r="CB314" i="1"/>
  <c r="CA314" i="1"/>
  <c r="BZ314" i="1"/>
  <c r="BY314" i="1"/>
  <c r="BX314" i="1"/>
  <c r="BU314" i="1"/>
  <c r="BN314" i="1"/>
  <c r="BS314" i="1" s="1"/>
  <c r="BA314" i="1"/>
  <c r="AZ314" i="1"/>
  <c r="AY314" i="1"/>
  <c r="AX314" i="1"/>
  <c r="AW314" i="1"/>
  <c r="AV314" i="1"/>
  <c r="AT314" i="1"/>
  <c r="AS314" i="1"/>
  <c r="CS313" i="1"/>
  <c r="CR313" i="1"/>
  <c r="CQ313" i="1"/>
  <c r="CP313" i="1"/>
  <c r="CO313" i="1"/>
  <c r="CN313" i="1"/>
  <c r="CL313" i="1"/>
  <c r="CK313" i="1"/>
  <c r="CJ313" i="1"/>
  <c r="CI313" i="1"/>
  <c r="CH313" i="1"/>
  <c r="CG313" i="1"/>
  <c r="CF313" i="1"/>
  <c r="CD313" i="1"/>
  <c r="CC313" i="1"/>
  <c r="CB313" i="1"/>
  <c r="CA313" i="1"/>
  <c r="BZ313" i="1"/>
  <c r="BY313" i="1"/>
  <c r="BX313" i="1"/>
  <c r="BU313" i="1"/>
  <c r="BN313" i="1"/>
  <c r="BS313" i="1" s="1"/>
  <c r="BA313" i="1"/>
  <c r="AZ313" i="1"/>
  <c r="AY313" i="1"/>
  <c r="AX313" i="1"/>
  <c r="AW313" i="1"/>
  <c r="AV313" i="1"/>
  <c r="AT313" i="1"/>
  <c r="AS313" i="1"/>
  <c r="CS312" i="1"/>
  <c r="CR312" i="1"/>
  <c r="CQ312" i="1"/>
  <c r="CP312" i="1"/>
  <c r="CO312" i="1"/>
  <c r="CN312" i="1"/>
  <c r="CL312" i="1"/>
  <c r="CK312" i="1"/>
  <c r="CJ312" i="1"/>
  <c r="CI312" i="1"/>
  <c r="CH312" i="1"/>
  <c r="CG312" i="1"/>
  <c r="CF312" i="1"/>
  <c r="CD312" i="1"/>
  <c r="CC312" i="1"/>
  <c r="CB312" i="1"/>
  <c r="CA312" i="1"/>
  <c r="BZ312" i="1"/>
  <c r="BY312" i="1"/>
  <c r="BX312" i="1"/>
  <c r="BU312" i="1"/>
  <c r="BN312" i="1"/>
  <c r="BS312" i="1" s="1"/>
  <c r="BA312" i="1"/>
  <c r="AZ312" i="1"/>
  <c r="AY312" i="1"/>
  <c r="AX312" i="1"/>
  <c r="AW312" i="1"/>
  <c r="AV312" i="1"/>
  <c r="AT312" i="1"/>
  <c r="AS312" i="1"/>
  <c r="CS311" i="1"/>
  <c r="CR311" i="1"/>
  <c r="CQ311" i="1"/>
  <c r="CP311" i="1"/>
  <c r="CO311" i="1"/>
  <c r="CN311" i="1"/>
  <c r="CL311" i="1"/>
  <c r="CK311" i="1"/>
  <c r="CJ311" i="1"/>
  <c r="CI311" i="1"/>
  <c r="CH311" i="1"/>
  <c r="CG311" i="1"/>
  <c r="CF311" i="1"/>
  <c r="CD311" i="1"/>
  <c r="CC311" i="1"/>
  <c r="CB311" i="1"/>
  <c r="CA311" i="1"/>
  <c r="BZ311" i="1"/>
  <c r="BY311" i="1"/>
  <c r="BX311" i="1"/>
  <c r="BU311" i="1"/>
  <c r="BN311" i="1"/>
  <c r="BS311" i="1" s="1"/>
  <c r="BA311" i="1"/>
  <c r="AZ311" i="1"/>
  <c r="AY311" i="1"/>
  <c r="AX311" i="1"/>
  <c r="AW311" i="1"/>
  <c r="AV311" i="1"/>
  <c r="AT311" i="1"/>
  <c r="AS311" i="1"/>
  <c r="CS310" i="1"/>
  <c r="CR310" i="1"/>
  <c r="CQ310" i="1"/>
  <c r="CP310" i="1"/>
  <c r="CO310" i="1"/>
  <c r="CN310" i="1"/>
  <c r="CL310" i="1"/>
  <c r="CK310" i="1"/>
  <c r="CJ310" i="1"/>
  <c r="CI310" i="1"/>
  <c r="CH310" i="1"/>
  <c r="CG310" i="1"/>
  <c r="CF310" i="1"/>
  <c r="CD310" i="1"/>
  <c r="CC310" i="1"/>
  <c r="CB310" i="1"/>
  <c r="CA310" i="1"/>
  <c r="BZ310" i="1"/>
  <c r="BY310" i="1"/>
  <c r="BX310" i="1"/>
  <c r="BU310" i="1"/>
  <c r="BN310" i="1"/>
  <c r="BS310" i="1" s="1"/>
  <c r="BA310" i="1"/>
  <c r="AZ310" i="1"/>
  <c r="AY310" i="1"/>
  <c r="AX310" i="1"/>
  <c r="AW310" i="1"/>
  <c r="AV310" i="1"/>
  <c r="AT310" i="1"/>
  <c r="AS310" i="1"/>
  <c r="CS309" i="1"/>
  <c r="CR309" i="1"/>
  <c r="CQ309" i="1"/>
  <c r="CP309" i="1"/>
  <c r="CO309" i="1"/>
  <c r="CN309" i="1"/>
  <c r="CL309" i="1"/>
  <c r="CK309" i="1"/>
  <c r="CJ309" i="1"/>
  <c r="CI309" i="1"/>
  <c r="CH309" i="1"/>
  <c r="CG309" i="1"/>
  <c r="CF309" i="1"/>
  <c r="CD309" i="1"/>
  <c r="CC309" i="1"/>
  <c r="CB309" i="1"/>
  <c r="CA309" i="1"/>
  <c r="BZ309" i="1"/>
  <c r="BY309" i="1"/>
  <c r="BX309" i="1"/>
  <c r="BU309" i="1"/>
  <c r="BN309" i="1"/>
  <c r="BS309" i="1" s="1"/>
  <c r="BA309" i="1"/>
  <c r="AZ309" i="1"/>
  <c r="AY309" i="1"/>
  <c r="AX309" i="1"/>
  <c r="AW309" i="1"/>
  <c r="AV309" i="1"/>
  <c r="AT309" i="1"/>
  <c r="AS309" i="1"/>
  <c r="CS308" i="1"/>
  <c r="CR308" i="1"/>
  <c r="CQ308" i="1"/>
  <c r="CP308" i="1"/>
  <c r="CO308" i="1"/>
  <c r="CN308" i="1"/>
  <c r="CL308" i="1"/>
  <c r="CK308" i="1"/>
  <c r="CJ308" i="1"/>
  <c r="CI308" i="1"/>
  <c r="CH308" i="1"/>
  <c r="CG308" i="1"/>
  <c r="CF308" i="1"/>
  <c r="CD308" i="1"/>
  <c r="CC308" i="1"/>
  <c r="CB308" i="1"/>
  <c r="CA308" i="1"/>
  <c r="BZ308" i="1"/>
  <c r="BY308" i="1"/>
  <c r="BX308" i="1"/>
  <c r="BU308" i="1"/>
  <c r="BN308" i="1"/>
  <c r="BS308" i="1" s="1"/>
  <c r="BA308" i="1"/>
  <c r="AZ308" i="1"/>
  <c r="AY308" i="1"/>
  <c r="AX308" i="1"/>
  <c r="AW308" i="1"/>
  <c r="AV308" i="1"/>
  <c r="AT308" i="1"/>
  <c r="AS308" i="1"/>
  <c r="CS307" i="1"/>
  <c r="CR307" i="1"/>
  <c r="CQ307" i="1"/>
  <c r="CP307" i="1"/>
  <c r="CO307" i="1"/>
  <c r="CN307" i="1"/>
  <c r="CL307" i="1"/>
  <c r="CK307" i="1"/>
  <c r="CJ307" i="1"/>
  <c r="CI307" i="1"/>
  <c r="CH307" i="1"/>
  <c r="CG307" i="1"/>
  <c r="CF307" i="1"/>
  <c r="CD307" i="1"/>
  <c r="CC307" i="1"/>
  <c r="CB307" i="1"/>
  <c r="CA307" i="1"/>
  <c r="BZ307" i="1"/>
  <c r="BY307" i="1"/>
  <c r="BX307" i="1"/>
  <c r="BU307" i="1"/>
  <c r="BN307" i="1"/>
  <c r="BS307" i="1" s="1"/>
  <c r="BA307" i="1"/>
  <c r="AZ307" i="1"/>
  <c r="AY307" i="1"/>
  <c r="AX307" i="1"/>
  <c r="AW307" i="1"/>
  <c r="AV307" i="1"/>
  <c r="AT307" i="1"/>
  <c r="AS307" i="1"/>
  <c r="CS306" i="1"/>
  <c r="CR306" i="1"/>
  <c r="CQ306" i="1"/>
  <c r="CP306" i="1"/>
  <c r="CO306" i="1"/>
  <c r="CN306" i="1"/>
  <c r="CL306" i="1"/>
  <c r="CK306" i="1"/>
  <c r="CJ306" i="1"/>
  <c r="CI306" i="1"/>
  <c r="CH306" i="1"/>
  <c r="CG306" i="1"/>
  <c r="CF306" i="1"/>
  <c r="CD306" i="1"/>
  <c r="CC306" i="1"/>
  <c r="CB306" i="1"/>
  <c r="CA306" i="1"/>
  <c r="BZ306" i="1"/>
  <c r="BY306" i="1"/>
  <c r="BX306" i="1"/>
  <c r="BU306" i="1"/>
  <c r="BN306" i="1"/>
  <c r="BS306" i="1" s="1"/>
  <c r="BA306" i="1"/>
  <c r="AZ306" i="1"/>
  <c r="AY306" i="1"/>
  <c r="AX306" i="1"/>
  <c r="AW306" i="1"/>
  <c r="AV306" i="1"/>
  <c r="AT306" i="1"/>
  <c r="AS306" i="1"/>
  <c r="CS305" i="1"/>
  <c r="CR305" i="1"/>
  <c r="CQ305" i="1"/>
  <c r="CP305" i="1"/>
  <c r="CO305" i="1"/>
  <c r="CN305" i="1"/>
  <c r="CL305" i="1"/>
  <c r="CK305" i="1"/>
  <c r="CJ305" i="1"/>
  <c r="CI305" i="1"/>
  <c r="CH305" i="1"/>
  <c r="CG305" i="1"/>
  <c r="CF305" i="1"/>
  <c r="CD305" i="1"/>
  <c r="CC305" i="1"/>
  <c r="CB305" i="1"/>
  <c r="CA305" i="1"/>
  <c r="BZ305" i="1"/>
  <c r="BY305" i="1"/>
  <c r="BX305" i="1"/>
  <c r="BU305" i="1"/>
  <c r="BN305" i="1"/>
  <c r="BS305" i="1" s="1"/>
  <c r="BA305" i="1"/>
  <c r="AZ305" i="1"/>
  <c r="AY305" i="1"/>
  <c r="AX305" i="1"/>
  <c r="AW305" i="1"/>
  <c r="AV305" i="1"/>
  <c r="AT305" i="1"/>
  <c r="AS305" i="1"/>
  <c r="CS304" i="1"/>
  <c r="CR304" i="1"/>
  <c r="CQ304" i="1"/>
  <c r="CP304" i="1"/>
  <c r="CO304" i="1"/>
  <c r="CN304" i="1"/>
  <c r="CL304" i="1"/>
  <c r="CK304" i="1"/>
  <c r="CJ304" i="1"/>
  <c r="CI304" i="1"/>
  <c r="CH304" i="1"/>
  <c r="CG304" i="1"/>
  <c r="CF304" i="1"/>
  <c r="CD304" i="1"/>
  <c r="CC304" i="1"/>
  <c r="CB304" i="1"/>
  <c r="CA304" i="1"/>
  <c r="BZ304" i="1"/>
  <c r="BY304" i="1"/>
  <c r="BX304" i="1"/>
  <c r="BU304" i="1"/>
  <c r="BN304" i="1"/>
  <c r="BS304" i="1" s="1"/>
  <c r="BA304" i="1"/>
  <c r="AZ304" i="1"/>
  <c r="AY304" i="1"/>
  <c r="AX304" i="1"/>
  <c r="AW304" i="1"/>
  <c r="AV304" i="1"/>
  <c r="AT304" i="1"/>
  <c r="AS304" i="1"/>
  <c r="CS303" i="1"/>
  <c r="CR303" i="1"/>
  <c r="CQ303" i="1"/>
  <c r="CP303" i="1"/>
  <c r="CO303" i="1"/>
  <c r="CN303" i="1"/>
  <c r="CL303" i="1"/>
  <c r="CK303" i="1"/>
  <c r="CJ303" i="1"/>
  <c r="CI303" i="1"/>
  <c r="CH303" i="1"/>
  <c r="CG303" i="1"/>
  <c r="CF303" i="1"/>
  <c r="CD303" i="1"/>
  <c r="CC303" i="1"/>
  <c r="CB303" i="1"/>
  <c r="CA303" i="1"/>
  <c r="BZ303" i="1"/>
  <c r="BY303" i="1"/>
  <c r="BX303" i="1"/>
  <c r="BU303" i="1"/>
  <c r="BN303" i="1"/>
  <c r="BS303" i="1" s="1"/>
  <c r="BA303" i="1"/>
  <c r="AZ303" i="1"/>
  <c r="AY303" i="1"/>
  <c r="AX303" i="1"/>
  <c r="AW303" i="1"/>
  <c r="AV303" i="1"/>
  <c r="AT303" i="1"/>
  <c r="AS303" i="1"/>
  <c r="CS302" i="1"/>
  <c r="CR302" i="1"/>
  <c r="CQ302" i="1"/>
  <c r="CP302" i="1"/>
  <c r="CO302" i="1"/>
  <c r="CN302" i="1"/>
  <c r="CL302" i="1"/>
  <c r="CK302" i="1"/>
  <c r="CJ302" i="1"/>
  <c r="CI302" i="1"/>
  <c r="CH302" i="1"/>
  <c r="CG302" i="1"/>
  <c r="CF302" i="1"/>
  <c r="CD302" i="1"/>
  <c r="CC302" i="1"/>
  <c r="CB302" i="1"/>
  <c r="CA302" i="1"/>
  <c r="BZ302" i="1"/>
  <c r="BY302" i="1"/>
  <c r="BX302" i="1"/>
  <c r="BU302" i="1"/>
  <c r="BN302" i="1"/>
  <c r="BS302" i="1" s="1"/>
  <c r="BA302" i="1"/>
  <c r="AZ302" i="1"/>
  <c r="AY302" i="1"/>
  <c r="AX302" i="1"/>
  <c r="AW302" i="1"/>
  <c r="AV302" i="1"/>
  <c r="AT302" i="1"/>
  <c r="AS302" i="1"/>
  <c r="CS301" i="1"/>
  <c r="CR301" i="1"/>
  <c r="CQ301" i="1"/>
  <c r="CP301" i="1"/>
  <c r="CO301" i="1"/>
  <c r="CN301" i="1"/>
  <c r="CL301" i="1"/>
  <c r="CK301" i="1"/>
  <c r="CJ301" i="1"/>
  <c r="CI301" i="1"/>
  <c r="CH301" i="1"/>
  <c r="CG301" i="1"/>
  <c r="CF301" i="1"/>
  <c r="CD301" i="1"/>
  <c r="CC301" i="1"/>
  <c r="CB301" i="1"/>
  <c r="CA301" i="1"/>
  <c r="BZ301" i="1"/>
  <c r="BY301" i="1"/>
  <c r="BX301" i="1"/>
  <c r="BU301" i="1"/>
  <c r="BN301" i="1"/>
  <c r="BS301" i="1" s="1"/>
  <c r="BA301" i="1"/>
  <c r="AZ301" i="1"/>
  <c r="AY301" i="1"/>
  <c r="AX301" i="1"/>
  <c r="AW301" i="1"/>
  <c r="AV301" i="1"/>
  <c r="AT301" i="1"/>
  <c r="AS301" i="1"/>
  <c r="CS300" i="1"/>
  <c r="CR300" i="1"/>
  <c r="CQ300" i="1"/>
  <c r="CP300" i="1"/>
  <c r="CO300" i="1"/>
  <c r="CN300" i="1"/>
  <c r="CL300" i="1"/>
  <c r="CK300" i="1"/>
  <c r="CJ300" i="1"/>
  <c r="CI300" i="1"/>
  <c r="CH300" i="1"/>
  <c r="CG300" i="1"/>
  <c r="CF300" i="1"/>
  <c r="CD300" i="1"/>
  <c r="CC300" i="1"/>
  <c r="CB300" i="1"/>
  <c r="CA300" i="1"/>
  <c r="BZ300" i="1"/>
  <c r="BY300" i="1"/>
  <c r="BX300" i="1"/>
  <c r="BU300" i="1"/>
  <c r="BN300" i="1"/>
  <c r="BS300" i="1" s="1"/>
  <c r="BA300" i="1"/>
  <c r="AZ300" i="1"/>
  <c r="AY300" i="1"/>
  <c r="AX300" i="1"/>
  <c r="AW300" i="1"/>
  <c r="AV300" i="1"/>
  <c r="AT300" i="1"/>
  <c r="AS300" i="1"/>
  <c r="CS299" i="1"/>
  <c r="CR299" i="1"/>
  <c r="CQ299" i="1"/>
  <c r="CP299" i="1"/>
  <c r="CO299" i="1"/>
  <c r="CN299" i="1"/>
  <c r="CL299" i="1"/>
  <c r="CK299" i="1"/>
  <c r="CJ299" i="1"/>
  <c r="CI299" i="1"/>
  <c r="CH299" i="1"/>
  <c r="CG299" i="1"/>
  <c r="CF299" i="1"/>
  <c r="CD299" i="1"/>
  <c r="CC299" i="1"/>
  <c r="CB299" i="1"/>
  <c r="CA299" i="1"/>
  <c r="BZ299" i="1"/>
  <c r="BY299" i="1"/>
  <c r="BX299" i="1"/>
  <c r="BU299" i="1"/>
  <c r="BN299" i="1"/>
  <c r="BS299" i="1" s="1"/>
  <c r="BA299" i="1"/>
  <c r="AZ299" i="1"/>
  <c r="AY299" i="1"/>
  <c r="AX299" i="1"/>
  <c r="AW299" i="1"/>
  <c r="AV299" i="1"/>
  <c r="AT299" i="1"/>
  <c r="AS299" i="1"/>
  <c r="CS298" i="1"/>
  <c r="CR298" i="1"/>
  <c r="CQ298" i="1"/>
  <c r="CP298" i="1"/>
  <c r="CO298" i="1"/>
  <c r="CN298" i="1"/>
  <c r="CL298" i="1"/>
  <c r="CK298" i="1"/>
  <c r="CJ298" i="1"/>
  <c r="CI298" i="1"/>
  <c r="CH298" i="1"/>
  <c r="CG298" i="1"/>
  <c r="CF298" i="1"/>
  <c r="CD298" i="1"/>
  <c r="CC298" i="1"/>
  <c r="CB298" i="1"/>
  <c r="CA298" i="1"/>
  <c r="BZ298" i="1"/>
  <c r="BY298" i="1"/>
  <c r="BX298" i="1"/>
  <c r="BU298" i="1"/>
  <c r="BN298" i="1"/>
  <c r="BS298" i="1" s="1"/>
  <c r="BA298" i="1"/>
  <c r="AZ298" i="1"/>
  <c r="AY298" i="1"/>
  <c r="AX298" i="1"/>
  <c r="AW298" i="1"/>
  <c r="AV298" i="1"/>
  <c r="AT298" i="1"/>
  <c r="AS298" i="1"/>
  <c r="CS297" i="1"/>
  <c r="CR297" i="1"/>
  <c r="CQ297" i="1"/>
  <c r="CP297" i="1"/>
  <c r="CO297" i="1"/>
  <c r="CN297" i="1"/>
  <c r="CL297" i="1"/>
  <c r="CK297" i="1"/>
  <c r="CJ297" i="1"/>
  <c r="CI297" i="1"/>
  <c r="CH297" i="1"/>
  <c r="CG297" i="1"/>
  <c r="CF297" i="1"/>
  <c r="CD297" i="1"/>
  <c r="CC297" i="1"/>
  <c r="CB297" i="1"/>
  <c r="CA297" i="1"/>
  <c r="BZ297" i="1"/>
  <c r="BY297" i="1"/>
  <c r="BX297" i="1"/>
  <c r="BU297" i="1"/>
  <c r="BN297" i="1"/>
  <c r="BS297" i="1" s="1"/>
  <c r="BA297" i="1"/>
  <c r="AZ297" i="1"/>
  <c r="AY297" i="1"/>
  <c r="AX297" i="1"/>
  <c r="AW297" i="1"/>
  <c r="AV297" i="1"/>
  <c r="AT297" i="1"/>
  <c r="AS297" i="1"/>
  <c r="CS296" i="1"/>
  <c r="CR296" i="1"/>
  <c r="CQ296" i="1"/>
  <c r="CP296" i="1"/>
  <c r="CO296" i="1"/>
  <c r="CN296" i="1"/>
  <c r="CL296" i="1"/>
  <c r="CK296" i="1"/>
  <c r="CJ296" i="1"/>
  <c r="CI296" i="1"/>
  <c r="CH296" i="1"/>
  <c r="CG296" i="1"/>
  <c r="CF296" i="1"/>
  <c r="CD296" i="1"/>
  <c r="CC296" i="1"/>
  <c r="CB296" i="1"/>
  <c r="CA296" i="1"/>
  <c r="BZ296" i="1"/>
  <c r="BY296" i="1"/>
  <c r="BX296" i="1"/>
  <c r="BU296" i="1"/>
  <c r="BN296" i="1"/>
  <c r="BS296" i="1" s="1"/>
  <c r="BA296" i="1"/>
  <c r="AZ296" i="1"/>
  <c r="AY296" i="1"/>
  <c r="AX296" i="1"/>
  <c r="AW296" i="1"/>
  <c r="AV296" i="1"/>
  <c r="AT296" i="1"/>
  <c r="AS296" i="1"/>
  <c r="CS295" i="1"/>
  <c r="CR295" i="1"/>
  <c r="CQ295" i="1"/>
  <c r="CP295" i="1"/>
  <c r="CO295" i="1"/>
  <c r="CN295" i="1"/>
  <c r="CL295" i="1"/>
  <c r="CK295" i="1"/>
  <c r="CJ295" i="1"/>
  <c r="CI295" i="1"/>
  <c r="CH295" i="1"/>
  <c r="CG295" i="1"/>
  <c r="CF295" i="1"/>
  <c r="CD295" i="1"/>
  <c r="CC295" i="1"/>
  <c r="CB295" i="1"/>
  <c r="CA295" i="1"/>
  <c r="BZ295" i="1"/>
  <c r="BY295" i="1"/>
  <c r="BX295" i="1"/>
  <c r="BU295" i="1"/>
  <c r="BN295" i="1"/>
  <c r="BS295" i="1" s="1"/>
  <c r="BA295" i="1"/>
  <c r="AZ295" i="1"/>
  <c r="AY295" i="1"/>
  <c r="AX295" i="1"/>
  <c r="AW295" i="1"/>
  <c r="AV295" i="1"/>
  <c r="AT295" i="1"/>
  <c r="AS295" i="1"/>
  <c r="CS294" i="1"/>
  <c r="CR294" i="1"/>
  <c r="CQ294" i="1"/>
  <c r="CP294" i="1"/>
  <c r="CO294" i="1"/>
  <c r="CN294" i="1"/>
  <c r="CL294" i="1"/>
  <c r="CK294" i="1"/>
  <c r="CJ294" i="1"/>
  <c r="CI294" i="1"/>
  <c r="CH294" i="1"/>
  <c r="CG294" i="1"/>
  <c r="CF294" i="1"/>
  <c r="CD294" i="1"/>
  <c r="CC294" i="1"/>
  <c r="CB294" i="1"/>
  <c r="CA294" i="1"/>
  <c r="BZ294" i="1"/>
  <c r="BY294" i="1"/>
  <c r="BX294" i="1"/>
  <c r="BU294" i="1"/>
  <c r="BN294" i="1"/>
  <c r="BS294" i="1" s="1"/>
  <c r="BA294" i="1"/>
  <c r="AZ294" i="1"/>
  <c r="AY294" i="1"/>
  <c r="AX294" i="1"/>
  <c r="AW294" i="1"/>
  <c r="AV294" i="1"/>
  <c r="AT294" i="1"/>
  <c r="AS294" i="1"/>
  <c r="CS293" i="1"/>
  <c r="CR293" i="1"/>
  <c r="CQ293" i="1"/>
  <c r="CP293" i="1"/>
  <c r="CO293" i="1"/>
  <c r="CN293" i="1"/>
  <c r="CL293" i="1"/>
  <c r="CK293" i="1"/>
  <c r="CJ293" i="1"/>
  <c r="CI293" i="1"/>
  <c r="CH293" i="1"/>
  <c r="CG293" i="1"/>
  <c r="CF293" i="1"/>
  <c r="CD293" i="1"/>
  <c r="CC293" i="1"/>
  <c r="CB293" i="1"/>
  <c r="CA293" i="1"/>
  <c r="BZ293" i="1"/>
  <c r="BY293" i="1"/>
  <c r="BX293" i="1"/>
  <c r="BU293" i="1"/>
  <c r="BN293" i="1"/>
  <c r="BS293" i="1" s="1"/>
  <c r="BA293" i="1"/>
  <c r="AZ293" i="1"/>
  <c r="AY293" i="1"/>
  <c r="AX293" i="1"/>
  <c r="AW293" i="1"/>
  <c r="AV293" i="1"/>
  <c r="AT293" i="1"/>
  <c r="AS293" i="1"/>
  <c r="CS292" i="1"/>
  <c r="CR292" i="1"/>
  <c r="CQ292" i="1"/>
  <c r="CP292" i="1"/>
  <c r="CO292" i="1"/>
  <c r="CN292" i="1"/>
  <c r="CL292" i="1"/>
  <c r="CK292" i="1"/>
  <c r="CJ292" i="1"/>
  <c r="CI292" i="1"/>
  <c r="CH292" i="1"/>
  <c r="CG292" i="1"/>
  <c r="CF292" i="1"/>
  <c r="CD292" i="1"/>
  <c r="CC292" i="1"/>
  <c r="CB292" i="1"/>
  <c r="CA292" i="1"/>
  <c r="BZ292" i="1"/>
  <c r="BY292" i="1"/>
  <c r="BX292" i="1"/>
  <c r="BU292" i="1"/>
  <c r="BN292" i="1"/>
  <c r="BS292" i="1" s="1"/>
  <c r="BA292" i="1"/>
  <c r="AZ292" i="1"/>
  <c r="AY292" i="1"/>
  <c r="AX292" i="1"/>
  <c r="AW292" i="1"/>
  <c r="AV292" i="1"/>
  <c r="AT292" i="1"/>
  <c r="AS292" i="1"/>
  <c r="CS291" i="1"/>
  <c r="CR291" i="1"/>
  <c r="CQ291" i="1"/>
  <c r="CP291" i="1"/>
  <c r="CO291" i="1"/>
  <c r="CN291" i="1"/>
  <c r="CL291" i="1"/>
  <c r="CK291" i="1"/>
  <c r="CJ291" i="1"/>
  <c r="CI291" i="1"/>
  <c r="CH291" i="1"/>
  <c r="CG291" i="1"/>
  <c r="CF291" i="1"/>
  <c r="CD291" i="1"/>
  <c r="CC291" i="1"/>
  <c r="CB291" i="1"/>
  <c r="CA291" i="1"/>
  <c r="BZ291" i="1"/>
  <c r="BY291" i="1"/>
  <c r="BX291" i="1"/>
  <c r="BU291" i="1"/>
  <c r="BN291" i="1"/>
  <c r="BS291" i="1" s="1"/>
  <c r="BA291" i="1"/>
  <c r="AZ291" i="1"/>
  <c r="AY291" i="1"/>
  <c r="AX291" i="1"/>
  <c r="AW291" i="1"/>
  <c r="AV291" i="1"/>
  <c r="AT291" i="1"/>
  <c r="AS291" i="1"/>
  <c r="CS290" i="1"/>
  <c r="CR290" i="1"/>
  <c r="CQ290" i="1"/>
  <c r="CP290" i="1"/>
  <c r="CO290" i="1"/>
  <c r="CN290" i="1"/>
  <c r="CL290" i="1"/>
  <c r="CK290" i="1"/>
  <c r="CJ290" i="1"/>
  <c r="CI290" i="1"/>
  <c r="CH290" i="1"/>
  <c r="CG290" i="1"/>
  <c r="CF290" i="1"/>
  <c r="CD290" i="1"/>
  <c r="CC290" i="1"/>
  <c r="CB290" i="1"/>
  <c r="CA290" i="1"/>
  <c r="BZ290" i="1"/>
  <c r="BY290" i="1"/>
  <c r="BX290" i="1"/>
  <c r="BU290" i="1"/>
  <c r="BN290" i="1"/>
  <c r="BS290" i="1" s="1"/>
  <c r="BA290" i="1"/>
  <c r="AZ290" i="1"/>
  <c r="AY290" i="1"/>
  <c r="AX290" i="1"/>
  <c r="AW290" i="1"/>
  <c r="AV290" i="1"/>
  <c r="AT290" i="1"/>
  <c r="AS290" i="1"/>
  <c r="CS289" i="1"/>
  <c r="CR289" i="1"/>
  <c r="CQ289" i="1"/>
  <c r="CP289" i="1"/>
  <c r="CO289" i="1"/>
  <c r="CN289" i="1"/>
  <c r="CL289" i="1"/>
  <c r="CK289" i="1"/>
  <c r="CJ289" i="1"/>
  <c r="CI289" i="1"/>
  <c r="CH289" i="1"/>
  <c r="CG289" i="1"/>
  <c r="CF289" i="1"/>
  <c r="CD289" i="1"/>
  <c r="CC289" i="1"/>
  <c r="CB289" i="1"/>
  <c r="CA289" i="1"/>
  <c r="BZ289" i="1"/>
  <c r="BY289" i="1"/>
  <c r="BX289" i="1"/>
  <c r="BU289" i="1"/>
  <c r="BN289" i="1"/>
  <c r="BS289" i="1" s="1"/>
  <c r="BA289" i="1"/>
  <c r="AZ289" i="1"/>
  <c r="AY289" i="1"/>
  <c r="AX289" i="1"/>
  <c r="AW289" i="1"/>
  <c r="AV289" i="1"/>
  <c r="AT289" i="1"/>
  <c r="AS289" i="1"/>
  <c r="CS288" i="1"/>
  <c r="CR288" i="1"/>
  <c r="CQ288" i="1"/>
  <c r="CP288" i="1"/>
  <c r="CO288" i="1"/>
  <c r="CN288" i="1"/>
  <c r="CL288" i="1"/>
  <c r="CK288" i="1"/>
  <c r="CJ288" i="1"/>
  <c r="CI288" i="1"/>
  <c r="CH288" i="1"/>
  <c r="CG288" i="1"/>
  <c r="CF288" i="1"/>
  <c r="CD288" i="1"/>
  <c r="CC288" i="1"/>
  <c r="CB288" i="1"/>
  <c r="CA288" i="1"/>
  <c r="BZ288" i="1"/>
  <c r="BY288" i="1"/>
  <c r="BX288" i="1"/>
  <c r="BU288" i="1"/>
  <c r="BN288" i="1"/>
  <c r="BS288" i="1" s="1"/>
  <c r="BA288" i="1"/>
  <c r="AZ288" i="1"/>
  <c r="AY288" i="1"/>
  <c r="AX288" i="1"/>
  <c r="AW288" i="1"/>
  <c r="AV288" i="1"/>
  <c r="AT288" i="1"/>
  <c r="AS288" i="1"/>
  <c r="CS287" i="1"/>
  <c r="CR287" i="1"/>
  <c r="CQ287" i="1"/>
  <c r="CP287" i="1"/>
  <c r="CO287" i="1"/>
  <c r="CN287" i="1"/>
  <c r="CL287" i="1"/>
  <c r="CK287" i="1"/>
  <c r="CJ287" i="1"/>
  <c r="CI287" i="1"/>
  <c r="CH287" i="1"/>
  <c r="CG287" i="1"/>
  <c r="CF287" i="1"/>
  <c r="CD287" i="1"/>
  <c r="CC287" i="1"/>
  <c r="CB287" i="1"/>
  <c r="CA287" i="1"/>
  <c r="BZ287" i="1"/>
  <c r="BY287" i="1"/>
  <c r="BX287" i="1"/>
  <c r="BU287" i="1"/>
  <c r="BN287" i="1"/>
  <c r="BS287" i="1" s="1"/>
  <c r="BA287" i="1"/>
  <c r="AZ287" i="1"/>
  <c r="AY287" i="1"/>
  <c r="AX287" i="1"/>
  <c r="AW287" i="1"/>
  <c r="AV287" i="1"/>
  <c r="AT287" i="1"/>
  <c r="AS287" i="1"/>
  <c r="CS286" i="1"/>
  <c r="CR286" i="1"/>
  <c r="CQ286" i="1"/>
  <c r="CP286" i="1"/>
  <c r="CO286" i="1"/>
  <c r="CN286" i="1"/>
  <c r="CL286" i="1"/>
  <c r="CK286" i="1"/>
  <c r="CJ286" i="1"/>
  <c r="CI286" i="1"/>
  <c r="CH286" i="1"/>
  <c r="CG286" i="1"/>
  <c r="CF286" i="1"/>
  <c r="CD286" i="1"/>
  <c r="CC286" i="1"/>
  <c r="CB286" i="1"/>
  <c r="CA286" i="1"/>
  <c r="BZ286" i="1"/>
  <c r="BY286" i="1"/>
  <c r="BX286" i="1"/>
  <c r="BU286" i="1"/>
  <c r="BN286" i="1"/>
  <c r="BS286" i="1" s="1"/>
  <c r="BA286" i="1"/>
  <c r="AZ286" i="1"/>
  <c r="AY286" i="1"/>
  <c r="AX286" i="1"/>
  <c r="AW286" i="1"/>
  <c r="AV286" i="1"/>
  <c r="AT286" i="1"/>
  <c r="AS286" i="1"/>
  <c r="CS285" i="1"/>
  <c r="CR285" i="1"/>
  <c r="CQ285" i="1"/>
  <c r="CP285" i="1"/>
  <c r="CO285" i="1"/>
  <c r="CN285" i="1"/>
  <c r="CL285" i="1"/>
  <c r="CK285" i="1"/>
  <c r="CJ285" i="1"/>
  <c r="CI285" i="1"/>
  <c r="CH285" i="1"/>
  <c r="CG285" i="1"/>
  <c r="CF285" i="1"/>
  <c r="CD285" i="1"/>
  <c r="CC285" i="1"/>
  <c r="CB285" i="1"/>
  <c r="CA285" i="1"/>
  <c r="BZ285" i="1"/>
  <c r="BY285" i="1"/>
  <c r="BX285" i="1"/>
  <c r="BU285" i="1"/>
  <c r="BN285" i="1"/>
  <c r="BS285" i="1" s="1"/>
  <c r="BA285" i="1"/>
  <c r="AZ285" i="1"/>
  <c r="AY285" i="1"/>
  <c r="AX285" i="1"/>
  <c r="AW285" i="1"/>
  <c r="AV285" i="1"/>
  <c r="AT285" i="1"/>
  <c r="AS285" i="1"/>
  <c r="CS284" i="1"/>
  <c r="CR284" i="1"/>
  <c r="CQ284" i="1"/>
  <c r="CP284" i="1"/>
  <c r="CO284" i="1"/>
  <c r="CN284" i="1"/>
  <c r="CL284" i="1"/>
  <c r="CK284" i="1"/>
  <c r="CJ284" i="1"/>
  <c r="CI284" i="1"/>
  <c r="CH284" i="1"/>
  <c r="CG284" i="1"/>
  <c r="CF284" i="1"/>
  <c r="CD284" i="1"/>
  <c r="CC284" i="1"/>
  <c r="CB284" i="1"/>
  <c r="CA284" i="1"/>
  <c r="BZ284" i="1"/>
  <c r="BY284" i="1"/>
  <c r="BX284" i="1"/>
  <c r="BU284" i="1"/>
  <c r="BN284" i="1"/>
  <c r="BS284" i="1" s="1"/>
  <c r="BA284" i="1"/>
  <c r="AZ284" i="1"/>
  <c r="AY284" i="1"/>
  <c r="AX284" i="1"/>
  <c r="AW284" i="1"/>
  <c r="AV284" i="1"/>
  <c r="AT284" i="1"/>
  <c r="AS284" i="1"/>
  <c r="CS283" i="1"/>
  <c r="CR283" i="1"/>
  <c r="CQ283" i="1"/>
  <c r="CP283" i="1"/>
  <c r="CO283" i="1"/>
  <c r="CN283" i="1"/>
  <c r="CL283" i="1"/>
  <c r="CK283" i="1"/>
  <c r="CJ283" i="1"/>
  <c r="CI283" i="1"/>
  <c r="CH283" i="1"/>
  <c r="CG283" i="1"/>
  <c r="CF283" i="1"/>
  <c r="CD283" i="1"/>
  <c r="CC283" i="1"/>
  <c r="CB283" i="1"/>
  <c r="CA283" i="1"/>
  <c r="BZ283" i="1"/>
  <c r="BY283" i="1"/>
  <c r="BX283" i="1"/>
  <c r="BU283" i="1"/>
  <c r="BN283" i="1"/>
  <c r="BS283" i="1" s="1"/>
  <c r="BA283" i="1"/>
  <c r="AZ283" i="1"/>
  <c r="AY283" i="1"/>
  <c r="AX283" i="1"/>
  <c r="AW283" i="1"/>
  <c r="AV283" i="1"/>
  <c r="AT283" i="1"/>
  <c r="AS283" i="1"/>
  <c r="CS282" i="1"/>
  <c r="CR282" i="1"/>
  <c r="CQ282" i="1"/>
  <c r="CP282" i="1"/>
  <c r="CO282" i="1"/>
  <c r="CN282" i="1"/>
  <c r="CL282" i="1"/>
  <c r="CK282" i="1"/>
  <c r="CJ282" i="1"/>
  <c r="CI282" i="1"/>
  <c r="CH282" i="1"/>
  <c r="CG282" i="1"/>
  <c r="CF282" i="1"/>
  <c r="CD282" i="1"/>
  <c r="CC282" i="1"/>
  <c r="CB282" i="1"/>
  <c r="CA282" i="1"/>
  <c r="BZ282" i="1"/>
  <c r="BY282" i="1"/>
  <c r="BX282" i="1"/>
  <c r="BU282" i="1"/>
  <c r="BN282" i="1"/>
  <c r="BS282" i="1" s="1"/>
  <c r="BA282" i="1"/>
  <c r="AZ282" i="1"/>
  <c r="AY282" i="1"/>
  <c r="AX282" i="1"/>
  <c r="AW282" i="1"/>
  <c r="AV282" i="1"/>
  <c r="AT282" i="1"/>
  <c r="AS282" i="1"/>
  <c r="CS281" i="1"/>
  <c r="CR281" i="1"/>
  <c r="CQ281" i="1"/>
  <c r="CP281" i="1"/>
  <c r="CO281" i="1"/>
  <c r="CN281" i="1"/>
  <c r="CL281" i="1"/>
  <c r="CK281" i="1"/>
  <c r="CJ281" i="1"/>
  <c r="CI281" i="1"/>
  <c r="CH281" i="1"/>
  <c r="CG281" i="1"/>
  <c r="CF281" i="1"/>
  <c r="CD281" i="1"/>
  <c r="CC281" i="1"/>
  <c r="CB281" i="1"/>
  <c r="CA281" i="1"/>
  <c r="BZ281" i="1"/>
  <c r="BY281" i="1"/>
  <c r="BX281" i="1"/>
  <c r="BU281" i="1"/>
  <c r="BN281" i="1"/>
  <c r="BS281" i="1" s="1"/>
  <c r="BA281" i="1"/>
  <c r="AZ281" i="1"/>
  <c r="AY281" i="1"/>
  <c r="AX281" i="1"/>
  <c r="AW281" i="1"/>
  <c r="AV281" i="1"/>
  <c r="AT281" i="1"/>
  <c r="AS281" i="1"/>
  <c r="CS280" i="1"/>
  <c r="CR280" i="1"/>
  <c r="CQ280" i="1"/>
  <c r="CP280" i="1"/>
  <c r="CO280" i="1"/>
  <c r="CN280" i="1"/>
  <c r="CL280" i="1"/>
  <c r="CK280" i="1"/>
  <c r="CJ280" i="1"/>
  <c r="CI280" i="1"/>
  <c r="CH280" i="1"/>
  <c r="CG280" i="1"/>
  <c r="CF280" i="1"/>
  <c r="CD280" i="1"/>
  <c r="CC280" i="1"/>
  <c r="CB280" i="1"/>
  <c r="CA280" i="1"/>
  <c r="BZ280" i="1"/>
  <c r="BY280" i="1"/>
  <c r="BX280" i="1"/>
  <c r="BU280" i="1"/>
  <c r="BN280" i="1"/>
  <c r="BS280" i="1" s="1"/>
  <c r="BA280" i="1"/>
  <c r="AZ280" i="1"/>
  <c r="AY280" i="1"/>
  <c r="AX280" i="1"/>
  <c r="AW280" i="1"/>
  <c r="AV280" i="1"/>
  <c r="AT280" i="1"/>
  <c r="AS280" i="1"/>
  <c r="CS279" i="1"/>
  <c r="CR279" i="1"/>
  <c r="CQ279" i="1"/>
  <c r="CP279" i="1"/>
  <c r="CO279" i="1"/>
  <c r="CN279" i="1"/>
  <c r="CL279" i="1"/>
  <c r="CK279" i="1"/>
  <c r="CJ279" i="1"/>
  <c r="CI279" i="1"/>
  <c r="CH279" i="1"/>
  <c r="CG279" i="1"/>
  <c r="CF279" i="1"/>
  <c r="CD279" i="1"/>
  <c r="CC279" i="1"/>
  <c r="CB279" i="1"/>
  <c r="CA279" i="1"/>
  <c r="BZ279" i="1"/>
  <c r="BY279" i="1"/>
  <c r="BX279" i="1"/>
  <c r="BU279" i="1"/>
  <c r="BN279" i="1"/>
  <c r="BS279" i="1" s="1"/>
  <c r="BA279" i="1"/>
  <c r="AZ279" i="1"/>
  <c r="AY279" i="1"/>
  <c r="AX279" i="1"/>
  <c r="AW279" i="1"/>
  <c r="AV279" i="1"/>
  <c r="AT279" i="1"/>
  <c r="AS279" i="1"/>
  <c r="CS278" i="1"/>
  <c r="CR278" i="1"/>
  <c r="CQ278" i="1"/>
  <c r="CP278" i="1"/>
  <c r="CO278" i="1"/>
  <c r="CN278" i="1"/>
  <c r="CL278" i="1"/>
  <c r="CK278" i="1"/>
  <c r="CJ278" i="1"/>
  <c r="CI278" i="1"/>
  <c r="CH278" i="1"/>
  <c r="CG278" i="1"/>
  <c r="CF278" i="1"/>
  <c r="CD278" i="1"/>
  <c r="CC278" i="1"/>
  <c r="CB278" i="1"/>
  <c r="CA278" i="1"/>
  <c r="BZ278" i="1"/>
  <c r="BY278" i="1"/>
  <c r="BX278" i="1"/>
  <c r="BU278" i="1"/>
  <c r="BN278" i="1"/>
  <c r="BS278" i="1" s="1"/>
  <c r="BA278" i="1"/>
  <c r="AZ278" i="1"/>
  <c r="AY278" i="1"/>
  <c r="AX278" i="1"/>
  <c r="AW278" i="1"/>
  <c r="AV278" i="1"/>
  <c r="AT278" i="1"/>
  <c r="AS278" i="1"/>
  <c r="CS277" i="1"/>
  <c r="CR277" i="1"/>
  <c r="CQ277" i="1"/>
  <c r="CP277" i="1"/>
  <c r="CO277" i="1"/>
  <c r="CN277" i="1"/>
  <c r="CL277" i="1"/>
  <c r="CK277" i="1"/>
  <c r="CJ277" i="1"/>
  <c r="CI277" i="1"/>
  <c r="CH277" i="1"/>
  <c r="CG277" i="1"/>
  <c r="CF277" i="1"/>
  <c r="CD277" i="1"/>
  <c r="CC277" i="1"/>
  <c r="CB277" i="1"/>
  <c r="CA277" i="1"/>
  <c r="BZ277" i="1"/>
  <c r="BY277" i="1"/>
  <c r="BX277" i="1"/>
  <c r="BU277" i="1"/>
  <c r="BN277" i="1"/>
  <c r="BS277" i="1" s="1"/>
  <c r="BA277" i="1"/>
  <c r="AZ277" i="1"/>
  <c r="AY277" i="1"/>
  <c r="AX277" i="1"/>
  <c r="AW277" i="1"/>
  <c r="AV277" i="1"/>
  <c r="AT277" i="1"/>
  <c r="AS277" i="1"/>
  <c r="CS276" i="1"/>
  <c r="CR276" i="1"/>
  <c r="CQ276" i="1"/>
  <c r="CP276" i="1"/>
  <c r="CO276" i="1"/>
  <c r="CN276" i="1"/>
  <c r="CL276" i="1"/>
  <c r="CK276" i="1"/>
  <c r="CJ276" i="1"/>
  <c r="CI276" i="1"/>
  <c r="CH276" i="1"/>
  <c r="CG276" i="1"/>
  <c r="CF276" i="1"/>
  <c r="CD276" i="1"/>
  <c r="CC276" i="1"/>
  <c r="CB276" i="1"/>
  <c r="CA276" i="1"/>
  <c r="BZ276" i="1"/>
  <c r="BY276" i="1"/>
  <c r="BX276" i="1"/>
  <c r="BU276" i="1"/>
  <c r="BN276" i="1"/>
  <c r="BS276" i="1" s="1"/>
  <c r="BA276" i="1"/>
  <c r="AZ276" i="1"/>
  <c r="AY276" i="1"/>
  <c r="AX276" i="1"/>
  <c r="AW276" i="1"/>
  <c r="AV276" i="1"/>
  <c r="AT276" i="1"/>
  <c r="AS276" i="1"/>
  <c r="CS275" i="1"/>
  <c r="CR275" i="1"/>
  <c r="CQ275" i="1"/>
  <c r="CP275" i="1"/>
  <c r="CO275" i="1"/>
  <c r="CN275" i="1"/>
  <c r="CL275" i="1"/>
  <c r="CK275" i="1"/>
  <c r="CJ275" i="1"/>
  <c r="CI275" i="1"/>
  <c r="CH275" i="1"/>
  <c r="CG275" i="1"/>
  <c r="CF275" i="1"/>
  <c r="CD275" i="1"/>
  <c r="CC275" i="1"/>
  <c r="CB275" i="1"/>
  <c r="CA275" i="1"/>
  <c r="BZ275" i="1"/>
  <c r="BY275" i="1"/>
  <c r="BX275" i="1"/>
  <c r="BU275" i="1"/>
  <c r="BN275" i="1"/>
  <c r="BS275" i="1" s="1"/>
  <c r="BA275" i="1"/>
  <c r="AZ275" i="1"/>
  <c r="AY275" i="1"/>
  <c r="AX275" i="1"/>
  <c r="AW275" i="1"/>
  <c r="AV275" i="1"/>
  <c r="AT275" i="1"/>
  <c r="AS275" i="1"/>
  <c r="CS274" i="1"/>
  <c r="CR274" i="1"/>
  <c r="CQ274" i="1"/>
  <c r="CP274" i="1"/>
  <c r="CO274" i="1"/>
  <c r="CN274" i="1"/>
  <c r="CL274" i="1"/>
  <c r="CK274" i="1"/>
  <c r="CJ274" i="1"/>
  <c r="CI274" i="1"/>
  <c r="CH274" i="1"/>
  <c r="CG274" i="1"/>
  <c r="CF274" i="1"/>
  <c r="CD274" i="1"/>
  <c r="CC274" i="1"/>
  <c r="CB274" i="1"/>
  <c r="CA274" i="1"/>
  <c r="BZ274" i="1"/>
  <c r="BY274" i="1"/>
  <c r="BX274" i="1"/>
  <c r="BU274" i="1"/>
  <c r="BN274" i="1"/>
  <c r="BS274" i="1" s="1"/>
  <c r="BA274" i="1"/>
  <c r="AZ274" i="1"/>
  <c r="AY274" i="1"/>
  <c r="AX274" i="1"/>
  <c r="AW274" i="1"/>
  <c r="AV274" i="1"/>
  <c r="AT274" i="1"/>
  <c r="AS274" i="1"/>
  <c r="CS273" i="1"/>
  <c r="CR273" i="1"/>
  <c r="CQ273" i="1"/>
  <c r="CP273" i="1"/>
  <c r="CO273" i="1"/>
  <c r="CN273" i="1"/>
  <c r="CL273" i="1"/>
  <c r="CK273" i="1"/>
  <c r="CJ273" i="1"/>
  <c r="CI273" i="1"/>
  <c r="CH273" i="1"/>
  <c r="CG273" i="1"/>
  <c r="CF273" i="1"/>
  <c r="CD273" i="1"/>
  <c r="CC273" i="1"/>
  <c r="CB273" i="1"/>
  <c r="CA273" i="1"/>
  <c r="BZ273" i="1"/>
  <c r="BY273" i="1"/>
  <c r="BX273" i="1"/>
  <c r="BU273" i="1"/>
  <c r="BN273" i="1"/>
  <c r="BS273" i="1" s="1"/>
  <c r="BA273" i="1"/>
  <c r="AZ273" i="1"/>
  <c r="AY273" i="1"/>
  <c r="AX273" i="1"/>
  <c r="AW273" i="1"/>
  <c r="AV273" i="1"/>
  <c r="AT273" i="1"/>
  <c r="AS273" i="1"/>
  <c r="CS272" i="1"/>
  <c r="CR272" i="1"/>
  <c r="CQ272" i="1"/>
  <c r="CP272" i="1"/>
  <c r="CO272" i="1"/>
  <c r="CN272" i="1"/>
  <c r="CL272" i="1"/>
  <c r="CK272" i="1"/>
  <c r="CJ272" i="1"/>
  <c r="CI272" i="1"/>
  <c r="CH272" i="1"/>
  <c r="CG272" i="1"/>
  <c r="CF272" i="1"/>
  <c r="CD272" i="1"/>
  <c r="CC272" i="1"/>
  <c r="CB272" i="1"/>
  <c r="CA272" i="1"/>
  <c r="BZ272" i="1"/>
  <c r="BY272" i="1"/>
  <c r="BX272" i="1"/>
  <c r="BU272" i="1"/>
  <c r="BN272" i="1"/>
  <c r="BS272" i="1" s="1"/>
  <c r="BA272" i="1"/>
  <c r="AZ272" i="1"/>
  <c r="AY272" i="1"/>
  <c r="AX272" i="1"/>
  <c r="AW272" i="1"/>
  <c r="AV272" i="1"/>
  <c r="AT272" i="1"/>
  <c r="AS272" i="1"/>
  <c r="CS271" i="1"/>
  <c r="CR271" i="1"/>
  <c r="CQ271" i="1"/>
  <c r="CP271" i="1"/>
  <c r="CO271" i="1"/>
  <c r="CN271" i="1"/>
  <c r="CL271" i="1"/>
  <c r="CK271" i="1"/>
  <c r="CJ271" i="1"/>
  <c r="CI271" i="1"/>
  <c r="CH271" i="1"/>
  <c r="CG271" i="1"/>
  <c r="CF271" i="1"/>
  <c r="CD271" i="1"/>
  <c r="CC271" i="1"/>
  <c r="CB271" i="1"/>
  <c r="CA271" i="1"/>
  <c r="BZ271" i="1"/>
  <c r="BY271" i="1"/>
  <c r="BX271" i="1"/>
  <c r="BU271" i="1"/>
  <c r="BN271" i="1"/>
  <c r="BS271" i="1" s="1"/>
  <c r="BA271" i="1"/>
  <c r="AZ271" i="1"/>
  <c r="AY271" i="1"/>
  <c r="AX271" i="1"/>
  <c r="AW271" i="1"/>
  <c r="AV271" i="1"/>
  <c r="AT271" i="1"/>
  <c r="AS271" i="1"/>
  <c r="CS270" i="1"/>
  <c r="CR270" i="1"/>
  <c r="CQ270" i="1"/>
  <c r="CP270" i="1"/>
  <c r="CO270" i="1"/>
  <c r="CN270" i="1"/>
  <c r="CL270" i="1"/>
  <c r="CK270" i="1"/>
  <c r="CJ270" i="1"/>
  <c r="CI270" i="1"/>
  <c r="CH270" i="1"/>
  <c r="CG270" i="1"/>
  <c r="CF270" i="1"/>
  <c r="CD270" i="1"/>
  <c r="CC270" i="1"/>
  <c r="CB270" i="1"/>
  <c r="CA270" i="1"/>
  <c r="BZ270" i="1"/>
  <c r="BY270" i="1"/>
  <c r="BX270" i="1"/>
  <c r="BU270" i="1"/>
  <c r="BN270" i="1"/>
  <c r="BS270" i="1" s="1"/>
  <c r="BA270" i="1"/>
  <c r="AZ270" i="1"/>
  <c r="AY270" i="1"/>
  <c r="AX270" i="1"/>
  <c r="AW270" i="1"/>
  <c r="AV270" i="1"/>
  <c r="AT270" i="1"/>
  <c r="AS270" i="1"/>
  <c r="CS269" i="1"/>
  <c r="CR269" i="1"/>
  <c r="CQ269" i="1"/>
  <c r="CP269" i="1"/>
  <c r="CO269" i="1"/>
  <c r="CN269" i="1"/>
  <c r="CL269" i="1"/>
  <c r="CK269" i="1"/>
  <c r="CJ269" i="1"/>
  <c r="CI269" i="1"/>
  <c r="CH269" i="1"/>
  <c r="CG269" i="1"/>
  <c r="CF269" i="1"/>
  <c r="CD269" i="1"/>
  <c r="CC269" i="1"/>
  <c r="CB269" i="1"/>
  <c r="CA269" i="1"/>
  <c r="BZ269" i="1"/>
  <c r="BY269" i="1"/>
  <c r="BX269" i="1"/>
  <c r="BU269" i="1"/>
  <c r="BN269" i="1"/>
  <c r="BS269" i="1" s="1"/>
  <c r="BA269" i="1"/>
  <c r="AZ269" i="1"/>
  <c r="AY269" i="1"/>
  <c r="AX269" i="1"/>
  <c r="AW269" i="1"/>
  <c r="AV269" i="1"/>
  <c r="AT269" i="1"/>
  <c r="AS269" i="1"/>
  <c r="CS268" i="1"/>
  <c r="CR268" i="1"/>
  <c r="CQ268" i="1"/>
  <c r="CP268" i="1"/>
  <c r="CO268" i="1"/>
  <c r="CN268" i="1"/>
  <c r="CL268" i="1"/>
  <c r="CK268" i="1"/>
  <c r="CJ268" i="1"/>
  <c r="CI268" i="1"/>
  <c r="CH268" i="1"/>
  <c r="CG268" i="1"/>
  <c r="CF268" i="1"/>
  <c r="CD268" i="1"/>
  <c r="CC268" i="1"/>
  <c r="CB268" i="1"/>
  <c r="CA268" i="1"/>
  <c r="BZ268" i="1"/>
  <c r="BY268" i="1"/>
  <c r="BX268" i="1"/>
  <c r="BU268" i="1"/>
  <c r="BN268" i="1"/>
  <c r="BS268" i="1" s="1"/>
  <c r="BA268" i="1"/>
  <c r="AZ268" i="1"/>
  <c r="AY268" i="1"/>
  <c r="AX268" i="1"/>
  <c r="AW268" i="1"/>
  <c r="AV268" i="1"/>
  <c r="AT268" i="1"/>
  <c r="AS268" i="1"/>
  <c r="CS267" i="1"/>
  <c r="CR267" i="1"/>
  <c r="CQ267" i="1"/>
  <c r="CP267" i="1"/>
  <c r="CO267" i="1"/>
  <c r="CN267" i="1"/>
  <c r="CL267" i="1"/>
  <c r="CK267" i="1"/>
  <c r="CJ267" i="1"/>
  <c r="CI267" i="1"/>
  <c r="CH267" i="1"/>
  <c r="CG267" i="1"/>
  <c r="CF267" i="1"/>
  <c r="CD267" i="1"/>
  <c r="CC267" i="1"/>
  <c r="CB267" i="1"/>
  <c r="CA267" i="1"/>
  <c r="BZ267" i="1"/>
  <c r="BY267" i="1"/>
  <c r="BX267" i="1"/>
  <c r="BU267" i="1"/>
  <c r="BN267" i="1"/>
  <c r="BS267" i="1" s="1"/>
  <c r="BA267" i="1"/>
  <c r="AZ267" i="1"/>
  <c r="AY267" i="1"/>
  <c r="AX267" i="1"/>
  <c r="AW267" i="1"/>
  <c r="AV267" i="1"/>
  <c r="AT267" i="1"/>
  <c r="AS267" i="1"/>
  <c r="CS266" i="1"/>
  <c r="CR266" i="1"/>
  <c r="CQ266" i="1"/>
  <c r="CP266" i="1"/>
  <c r="CO266" i="1"/>
  <c r="CN266" i="1"/>
  <c r="CL266" i="1"/>
  <c r="CK266" i="1"/>
  <c r="CJ266" i="1"/>
  <c r="CI266" i="1"/>
  <c r="CH266" i="1"/>
  <c r="CG266" i="1"/>
  <c r="CF266" i="1"/>
  <c r="CD266" i="1"/>
  <c r="CC266" i="1"/>
  <c r="CB266" i="1"/>
  <c r="CA266" i="1"/>
  <c r="BZ266" i="1"/>
  <c r="BY266" i="1"/>
  <c r="BX266" i="1"/>
  <c r="BU266" i="1"/>
  <c r="BN266" i="1"/>
  <c r="BS266" i="1" s="1"/>
  <c r="BA266" i="1"/>
  <c r="AZ266" i="1"/>
  <c r="AY266" i="1"/>
  <c r="AX266" i="1"/>
  <c r="AW266" i="1"/>
  <c r="AV266" i="1"/>
  <c r="AT266" i="1"/>
  <c r="AS266" i="1"/>
  <c r="CS265" i="1"/>
  <c r="CR265" i="1"/>
  <c r="CQ265" i="1"/>
  <c r="CP265" i="1"/>
  <c r="CO265" i="1"/>
  <c r="CN265" i="1"/>
  <c r="CL265" i="1"/>
  <c r="CK265" i="1"/>
  <c r="CJ265" i="1"/>
  <c r="CI265" i="1"/>
  <c r="CH265" i="1"/>
  <c r="CG265" i="1"/>
  <c r="CF265" i="1"/>
  <c r="CD265" i="1"/>
  <c r="CC265" i="1"/>
  <c r="CB265" i="1"/>
  <c r="CA265" i="1"/>
  <c r="BZ265" i="1"/>
  <c r="BY265" i="1"/>
  <c r="BX265" i="1"/>
  <c r="BU265" i="1"/>
  <c r="BN265" i="1"/>
  <c r="BS265" i="1" s="1"/>
  <c r="BA265" i="1"/>
  <c r="AZ265" i="1"/>
  <c r="AY265" i="1"/>
  <c r="AX265" i="1"/>
  <c r="AW265" i="1"/>
  <c r="AV265" i="1"/>
  <c r="AT265" i="1"/>
  <c r="AS265" i="1"/>
  <c r="CS264" i="1"/>
  <c r="CR264" i="1"/>
  <c r="CQ264" i="1"/>
  <c r="CP264" i="1"/>
  <c r="CO264" i="1"/>
  <c r="CN264" i="1"/>
  <c r="CL264" i="1"/>
  <c r="CK264" i="1"/>
  <c r="CJ264" i="1"/>
  <c r="CI264" i="1"/>
  <c r="CH264" i="1"/>
  <c r="CG264" i="1"/>
  <c r="CF264" i="1"/>
  <c r="CD264" i="1"/>
  <c r="CC264" i="1"/>
  <c r="CB264" i="1"/>
  <c r="CA264" i="1"/>
  <c r="BZ264" i="1"/>
  <c r="BY264" i="1"/>
  <c r="BX264" i="1"/>
  <c r="BU264" i="1"/>
  <c r="BN264" i="1"/>
  <c r="BS264" i="1" s="1"/>
  <c r="BA264" i="1"/>
  <c r="AZ264" i="1"/>
  <c r="AY264" i="1"/>
  <c r="AX264" i="1"/>
  <c r="AW264" i="1"/>
  <c r="AV264" i="1"/>
  <c r="AT264" i="1"/>
  <c r="AS264" i="1"/>
  <c r="CS263" i="1"/>
  <c r="CR263" i="1"/>
  <c r="CQ263" i="1"/>
  <c r="CP263" i="1"/>
  <c r="CO263" i="1"/>
  <c r="CN263" i="1"/>
  <c r="CL263" i="1"/>
  <c r="CK263" i="1"/>
  <c r="CJ263" i="1"/>
  <c r="CI263" i="1"/>
  <c r="CH263" i="1"/>
  <c r="CG263" i="1"/>
  <c r="CF263" i="1"/>
  <c r="CD263" i="1"/>
  <c r="CC263" i="1"/>
  <c r="CB263" i="1"/>
  <c r="CA263" i="1"/>
  <c r="BZ263" i="1"/>
  <c r="BY263" i="1"/>
  <c r="BX263" i="1"/>
  <c r="BU263" i="1"/>
  <c r="BN263" i="1"/>
  <c r="BS263" i="1" s="1"/>
  <c r="BA263" i="1"/>
  <c r="AZ263" i="1"/>
  <c r="AY263" i="1"/>
  <c r="AX263" i="1"/>
  <c r="AW263" i="1"/>
  <c r="AV263" i="1"/>
  <c r="AT263" i="1"/>
  <c r="AS263" i="1"/>
  <c r="CS262" i="1"/>
  <c r="CR262" i="1"/>
  <c r="CQ262" i="1"/>
  <c r="CP262" i="1"/>
  <c r="CO262" i="1"/>
  <c r="CN262" i="1"/>
  <c r="CL262" i="1"/>
  <c r="CK262" i="1"/>
  <c r="CJ262" i="1"/>
  <c r="CI262" i="1"/>
  <c r="CH262" i="1"/>
  <c r="CG262" i="1"/>
  <c r="CF262" i="1"/>
  <c r="CD262" i="1"/>
  <c r="CC262" i="1"/>
  <c r="CB262" i="1"/>
  <c r="CA262" i="1"/>
  <c r="BZ262" i="1"/>
  <c r="BY262" i="1"/>
  <c r="BX262" i="1"/>
  <c r="BU262" i="1"/>
  <c r="BN262" i="1"/>
  <c r="BS262" i="1" s="1"/>
  <c r="BA262" i="1"/>
  <c r="AZ262" i="1"/>
  <c r="AY262" i="1"/>
  <c r="AX262" i="1"/>
  <c r="AW262" i="1"/>
  <c r="AV262" i="1"/>
  <c r="AT262" i="1"/>
  <c r="AS262" i="1"/>
  <c r="CS261" i="1"/>
  <c r="CR261" i="1"/>
  <c r="CQ261" i="1"/>
  <c r="CP261" i="1"/>
  <c r="CO261" i="1"/>
  <c r="CN261" i="1"/>
  <c r="CL261" i="1"/>
  <c r="CK261" i="1"/>
  <c r="CJ261" i="1"/>
  <c r="CI261" i="1"/>
  <c r="CH261" i="1"/>
  <c r="CG261" i="1"/>
  <c r="CF261" i="1"/>
  <c r="CD261" i="1"/>
  <c r="CC261" i="1"/>
  <c r="CB261" i="1"/>
  <c r="CA261" i="1"/>
  <c r="BZ261" i="1"/>
  <c r="BY261" i="1"/>
  <c r="BX261" i="1"/>
  <c r="BU261" i="1"/>
  <c r="BN261" i="1"/>
  <c r="BS261" i="1" s="1"/>
  <c r="BA261" i="1"/>
  <c r="AZ261" i="1"/>
  <c r="AY261" i="1"/>
  <c r="AX261" i="1"/>
  <c r="AW261" i="1"/>
  <c r="AV261" i="1"/>
  <c r="AT261" i="1"/>
  <c r="AS261" i="1"/>
  <c r="CS260" i="1"/>
  <c r="CR260" i="1"/>
  <c r="CQ260" i="1"/>
  <c r="CP260" i="1"/>
  <c r="CO260" i="1"/>
  <c r="CN260" i="1"/>
  <c r="CL260" i="1"/>
  <c r="CK260" i="1"/>
  <c r="CJ260" i="1"/>
  <c r="CI260" i="1"/>
  <c r="CH260" i="1"/>
  <c r="CG260" i="1"/>
  <c r="CF260" i="1"/>
  <c r="CD260" i="1"/>
  <c r="CC260" i="1"/>
  <c r="CB260" i="1"/>
  <c r="CA260" i="1"/>
  <c r="BZ260" i="1"/>
  <c r="BY260" i="1"/>
  <c r="BX260" i="1"/>
  <c r="BU260" i="1"/>
  <c r="BN260" i="1"/>
  <c r="BS260" i="1" s="1"/>
  <c r="BA260" i="1"/>
  <c r="AZ260" i="1"/>
  <c r="AY260" i="1"/>
  <c r="AX260" i="1"/>
  <c r="AW260" i="1"/>
  <c r="AV260" i="1"/>
  <c r="AT260" i="1"/>
  <c r="AS260" i="1"/>
  <c r="CS259" i="1"/>
  <c r="CR259" i="1"/>
  <c r="CQ259" i="1"/>
  <c r="CP259" i="1"/>
  <c r="CO259" i="1"/>
  <c r="CN259" i="1"/>
  <c r="CL259" i="1"/>
  <c r="CK259" i="1"/>
  <c r="CJ259" i="1"/>
  <c r="CI259" i="1"/>
  <c r="CH259" i="1"/>
  <c r="CG259" i="1"/>
  <c r="CF259" i="1"/>
  <c r="CD259" i="1"/>
  <c r="CC259" i="1"/>
  <c r="CB259" i="1"/>
  <c r="CA259" i="1"/>
  <c r="BZ259" i="1"/>
  <c r="BY259" i="1"/>
  <c r="BX259" i="1"/>
  <c r="BU259" i="1"/>
  <c r="BN259" i="1"/>
  <c r="BS259" i="1" s="1"/>
  <c r="BA259" i="1"/>
  <c r="AZ259" i="1"/>
  <c r="AY259" i="1"/>
  <c r="AX259" i="1"/>
  <c r="AW259" i="1"/>
  <c r="AV259" i="1"/>
  <c r="AT259" i="1"/>
  <c r="AS259" i="1"/>
  <c r="CS258" i="1"/>
  <c r="CR258" i="1"/>
  <c r="CQ258" i="1"/>
  <c r="CP258" i="1"/>
  <c r="CO258" i="1"/>
  <c r="CN258" i="1"/>
  <c r="CL258" i="1"/>
  <c r="CK258" i="1"/>
  <c r="CJ258" i="1"/>
  <c r="CI258" i="1"/>
  <c r="CH258" i="1"/>
  <c r="CG258" i="1"/>
  <c r="CF258" i="1"/>
  <c r="CD258" i="1"/>
  <c r="CC258" i="1"/>
  <c r="CB258" i="1"/>
  <c r="CA258" i="1"/>
  <c r="BZ258" i="1"/>
  <c r="BY258" i="1"/>
  <c r="BX258" i="1"/>
  <c r="BU258" i="1"/>
  <c r="BN258" i="1"/>
  <c r="BS258" i="1" s="1"/>
  <c r="BA258" i="1"/>
  <c r="AZ258" i="1"/>
  <c r="AY258" i="1"/>
  <c r="AX258" i="1"/>
  <c r="AW258" i="1"/>
  <c r="AV258" i="1"/>
  <c r="AT258" i="1"/>
  <c r="AS258" i="1"/>
  <c r="CS257" i="1"/>
  <c r="CR257" i="1"/>
  <c r="CQ257" i="1"/>
  <c r="CP257" i="1"/>
  <c r="CO257" i="1"/>
  <c r="CN257" i="1"/>
  <c r="CL257" i="1"/>
  <c r="CK257" i="1"/>
  <c r="CJ257" i="1"/>
  <c r="CI257" i="1"/>
  <c r="CH257" i="1"/>
  <c r="CG257" i="1"/>
  <c r="CF257" i="1"/>
  <c r="CD257" i="1"/>
  <c r="CC257" i="1"/>
  <c r="CB257" i="1"/>
  <c r="CA257" i="1"/>
  <c r="BZ257" i="1"/>
  <c r="BY257" i="1"/>
  <c r="BX257" i="1"/>
  <c r="BU257" i="1"/>
  <c r="BN257" i="1"/>
  <c r="BS257" i="1" s="1"/>
  <c r="BA257" i="1"/>
  <c r="AZ257" i="1"/>
  <c r="AY257" i="1"/>
  <c r="AX257" i="1"/>
  <c r="AW257" i="1"/>
  <c r="AV257" i="1"/>
  <c r="AT257" i="1"/>
  <c r="AS257" i="1"/>
  <c r="CS256" i="1"/>
  <c r="CR256" i="1"/>
  <c r="CQ256" i="1"/>
  <c r="CP256" i="1"/>
  <c r="CO256" i="1"/>
  <c r="CN256" i="1"/>
  <c r="CL256" i="1"/>
  <c r="CK256" i="1"/>
  <c r="CJ256" i="1"/>
  <c r="CI256" i="1"/>
  <c r="CH256" i="1"/>
  <c r="CG256" i="1"/>
  <c r="CF256" i="1"/>
  <c r="CD256" i="1"/>
  <c r="CC256" i="1"/>
  <c r="CB256" i="1"/>
  <c r="CA256" i="1"/>
  <c r="BZ256" i="1"/>
  <c r="BY256" i="1"/>
  <c r="BX256" i="1"/>
  <c r="BU256" i="1"/>
  <c r="BN256" i="1"/>
  <c r="BS256" i="1" s="1"/>
  <c r="BA256" i="1"/>
  <c r="AZ256" i="1"/>
  <c r="AY256" i="1"/>
  <c r="AX256" i="1"/>
  <c r="AW256" i="1"/>
  <c r="AV256" i="1"/>
  <c r="AT256" i="1"/>
  <c r="AS256" i="1"/>
  <c r="CS255" i="1"/>
  <c r="CR255" i="1"/>
  <c r="CQ255" i="1"/>
  <c r="CP255" i="1"/>
  <c r="CO255" i="1"/>
  <c r="CN255" i="1"/>
  <c r="CL255" i="1"/>
  <c r="CK255" i="1"/>
  <c r="CJ255" i="1"/>
  <c r="CI255" i="1"/>
  <c r="CH255" i="1"/>
  <c r="CG255" i="1"/>
  <c r="CF255" i="1"/>
  <c r="CD255" i="1"/>
  <c r="CC255" i="1"/>
  <c r="CB255" i="1"/>
  <c r="CA255" i="1"/>
  <c r="BZ255" i="1"/>
  <c r="BY255" i="1"/>
  <c r="BX255" i="1"/>
  <c r="BU255" i="1"/>
  <c r="BN255" i="1"/>
  <c r="BS255" i="1" s="1"/>
  <c r="BA255" i="1"/>
  <c r="AZ255" i="1"/>
  <c r="AY255" i="1"/>
  <c r="AX255" i="1"/>
  <c r="AW255" i="1"/>
  <c r="AV255" i="1"/>
  <c r="AT255" i="1"/>
  <c r="AS255" i="1"/>
  <c r="CS254" i="1"/>
  <c r="CR254" i="1"/>
  <c r="CQ254" i="1"/>
  <c r="CP254" i="1"/>
  <c r="CO254" i="1"/>
  <c r="CN254" i="1"/>
  <c r="CL254" i="1"/>
  <c r="CK254" i="1"/>
  <c r="CJ254" i="1"/>
  <c r="CI254" i="1"/>
  <c r="CH254" i="1"/>
  <c r="CG254" i="1"/>
  <c r="CF254" i="1"/>
  <c r="CD254" i="1"/>
  <c r="CC254" i="1"/>
  <c r="CB254" i="1"/>
  <c r="CA254" i="1"/>
  <c r="BZ254" i="1"/>
  <c r="BY254" i="1"/>
  <c r="BX254" i="1"/>
  <c r="BU254" i="1"/>
  <c r="BN254" i="1"/>
  <c r="BS254" i="1" s="1"/>
  <c r="BA254" i="1"/>
  <c r="AZ254" i="1"/>
  <c r="AY254" i="1"/>
  <c r="AX254" i="1"/>
  <c r="AW254" i="1"/>
  <c r="AV254" i="1"/>
  <c r="AT254" i="1"/>
  <c r="AS254" i="1"/>
  <c r="CS253" i="1"/>
  <c r="CR253" i="1"/>
  <c r="CQ253" i="1"/>
  <c r="CP253" i="1"/>
  <c r="CO253" i="1"/>
  <c r="CN253" i="1"/>
  <c r="CL253" i="1"/>
  <c r="CK253" i="1"/>
  <c r="CJ253" i="1"/>
  <c r="CI253" i="1"/>
  <c r="CH253" i="1"/>
  <c r="CG253" i="1"/>
  <c r="CF253" i="1"/>
  <c r="CD253" i="1"/>
  <c r="CC253" i="1"/>
  <c r="CB253" i="1"/>
  <c r="CA253" i="1"/>
  <c r="BZ253" i="1"/>
  <c r="BY253" i="1"/>
  <c r="BX253" i="1"/>
  <c r="BU253" i="1"/>
  <c r="BN253" i="1"/>
  <c r="BS253" i="1" s="1"/>
  <c r="BA253" i="1"/>
  <c r="AZ253" i="1"/>
  <c r="AY253" i="1"/>
  <c r="AX253" i="1"/>
  <c r="AW253" i="1"/>
  <c r="AV253" i="1"/>
  <c r="AT253" i="1"/>
  <c r="AS253" i="1"/>
  <c r="CS252" i="1"/>
  <c r="CR252" i="1"/>
  <c r="CQ252" i="1"/>
  <c r="CP252" i="1"/>
  <c r="CO252" i="1"/>
  <c r="CN252" i="1"/>
  <c r="CL252" i="1"/>
  <c r="CK252" i="1"/>
  <c r="CJ252" i="1"/>
  <c r="CI252" i="1"/>
  <c r="CH252" i="1"/>
  <c r="CG252" i="1"/>
  <c r="CF252" i="1"/>
  <c r="CD252" i="1"/>
  <c r="CC252" i="1"/>
  <c r="CB252" i="1"/>
  <c r="CA252" i="1"/>
  <c r="BZ252" i="1"/>
  <c r="BY252" i="1"/>
  <c r="BX252" i="1"/>
  <c r="BU252" i="1"/>
  <c r="BN252" i="1"/>
  <c r="BS252" i="1" s="1"/>
  <c r="BA252" i="1"/>
  <c r="AZ252" i="1"/>
  <c r="AY252" i="1"/>
  <c r="AX252" i="1"/>
  <c r="AW252" i="1"/>
  <c r="AV252" i="1"/>
  <c r="AT252" i="1"/>
  <c r="AS252" i="1"/>
  <c r="CS251" i="1"/>
  <c r="CR251" i="1"/>
  <c r="CQ251" i="1"/>
  <c r="CP251" i="1"/>
  <c r="CO251" i="1"/>
  <c r="CN251" i="1"/>
  <c r="CL251" i="1"/>
  <c r="CK251" i="1"/>
  <c r="CJ251" i="1"/>
  <c r="CI251" i="1"/>
  <c r="CH251" i="1"/>
  <c r="CG251" i="1"/>
  <c r="CF251" i="1"/>
  <c r="CD251" i="1"/>
  <c r="CC251" i="1"/>
  <c r="CB251" i="1"/>
  <c r="CA251" i="1"/>
  <c r="BZ251" i="1"/>
  <c r="BY251" i="1"/>
  <c r="BX251" i="1"/>
  <c r="BU251" i="1"/>
  <c r="BN251" i="1"/>
  <c r="BS251" i="1" s="1"/>
  <c r="BA251" i="1"/>
  <c r="AZ251" i="1"/>
  <c r="AY251" i="1"/>
  <c r="AX251" i="1"/>
  <c r="AW251" i="1"/>
  <c r="AV251" i="1"/>
  <c r="AT251" i="1"/>
  <c r="AS251" i="1"/>
  <c r="CS250" i="1"/>
  <c r="CR250" i="1"/>
  <c r="CQ250" i="1"/>
  <c r="CP250" i="1"/>
  <c r="CO250" i="1"/>
  <c r="CN250" i="1"/>
  <c r="CL250" i="1"/>
  <c r="CK250" i="1"/>
  <c r="CJ250" i="1"/>
  <c r="CI250" i="1"/>
  <c r="CH250" i="1"/>
  <c r="CG250" i="1"/>
  <c r="CF250" i="1"/>
  <c r="CD250" i="1"/>
  <c r="CC250" i="1"/>
  <c r="CB250" i="1"/>
  <c r="CA250" i="1"/>
  <c r="BZ250" i="1"/>
  <c r="BY250" i="1"/>
  <c r="BX250" i="1"/>
  <c r="BU250" i="1"/>
  <c r="BN250" i="1"/>
  <c r="BS250" i="1" s="1"/>
  <c r="BA250" i="1"/>
  <c r="AZ250" i="1"/>
  <c r="AY250" i="1"/>
  <c r="AX250" i="1"/>
  <c r="AW250" i="1"/>
  <c r="AV250" i="1"/>
  <c r="AT250" i="1"/>
  <c r="AS250" i="1"/>
  <c r="CS249" i="1"/>
  <c r="CR249" i="1"/>
  <c r="CQ249" i="1"/>
  <c r="CP249" i="1"/>
  <c r="CO249" i="1"/>
  <c r="CN249" i="1"/>
  <c r="CL249" i="1"/>
  <c r="CK249" i="1"/>
  <c r="CJ249" i="1"/>
  <c r="CI249" i="1"/>
  <c r="CH249" i="1"/>
  <c r="CG249" i="1"/>
  <c r="CF249" i="1"/>
  <c r="CD249" i="1"/>
  <c r="CC249" i="1"/>
  <c r="CB249" i="1"/>
  <c r="CA249" i="1"/>
  <c r="BZ249" i="1"/>
  <c r="BY249" i="1"/>
  <c r="BX249" i="1"/>
  <c r="BU249" i="1"/>
  <c r="BN249" i="1"/>
  <c r="BS249" i="1" s="1"/>
  <c r="BA249" i="1"/>
  <c r="AZ249" i="1"/>
  <c r="AY249" i="1"/>
  <c r="AX249" i="1"/>
  <c r="AW249" i="1"/>
  <c r="AV249" i="1"/>
  <c r="AT249" i="1"/>
  <c r="AS249" i="1"/>
  <c r="CS248" i="1"/>
  <c r="CR248" i="1"/>
  <c r="CQ248" i="1"/>
  <c r="CP248" i="1"/>
  <c r="CO248" i="1"/>
  <c r="CN248" i="1"/>
  <c r="CL248" i="1"/>
  <c r="CK248" i="1"/>
  <c r="CJ248" i="1"/>
  <c r="CI248" i="1"/>
  <c r="CH248" i="1"/>
  <c r="CG248" i="1"/>
  <c r="CF248" i="1"/>
  <c r="CD248" i="1"/>
  <c r="CC248" i="1"/>
  <c r="CB248" i="1"/>
  <c r="CA248" i="1"/>
  <c r="BZ248" i="1"/>
  <c r="BY248" i="1"/>
  <c r="BX248" i="1"/>
  <c r="BU248" i="1"/>
  <c r="BN248" i="1"/>
  <c r="BS248" i="1" s="1"/>
  <c r="BA248" i="1"/>
  <c r="AZ248" i="1"/>
  <c r="AY248" i="1"/>
  <c r="AX248" i="1"/>
  <c r="AW248" i="1"/>
  <c r="AV248" i="1"/>
  <c r="AT248" i="1"/>
  <c r="AS248" i="1"/>
  <c r="CS247" i="1"/>
  <c r="CR247" i="1"/>
  <c r="CQ247" i="1"/>
  <c r="CP247" i="1"/>
  <c r="CO247" i="1"/>
  <c r="CN247" i="1"/>
  <c r="CL247" i="1"/>
  <c r="CK247" i="1"/>
  <c r="CJ247" i="1"/>
  <c r="CI247" i="1"/>
  <c r="CH247" i="1"/>
  <c r="CG247" i="1"/>
  <c r="CF247" i="1"/>
  <c r="CD247" i="1"/>
  <c r="CC247" i="1"/>
  <c r="CB247" i="1"/>
  <c r="CA247" i="1"/>
  <c r="BZ247" i="1"/>
  <c r="BY247" i="1"/>
  <c r="BX247" i="1"/>
  <c r="BU247" i="1"/>
  <c r="BN247" i="1"/>
  <c r="BS247" i="1" s="1"/>
  <c r="BA247" i="1"/>
  <c r="AZ247" i="1"/>
  <c r="AY247" i="1"/>
  <c r="AX247" i="1"/>
  <c r="AW247" i="1"/>
  <c r="AV247" i="1"/>
  <c r="AT247" i="1"/>
  <c r="AS247" i="1"/>
  <c r="CS246" i="1"/>
  <c r="CR246" i="1"/>
  <c r="CQ246" i="1"/>
  <c r="CP246" i="1"/>
  <c r="CO246" i="1"/>
  <c r="CN246" i="1"/>
  <c r="CL246" i="1"/>
  <c r="CK246" i="1"/>
  <c r="CJ246" i="1"/>
  <c r="CI246" i="1"/>
  <c r="CH246" i="1"/>
  <c r="CG246" i="1"/>
  <c r="CF246" i="1"/>
  <c r="CD246" i="1"/>
  <c r="CC246" i="1"/>
  <c r="CB246" i="1"/>
  <c r="CA246" i="1"/>
  <c r="BZ246" i="1"/>
  <c r="BY246" i="1"/>
  <c r="BX246" i="1"/>
  <c r="BU246" i="1"/>
  <c r="BN246" i="1"/>
  <c r="BS246" i="1" s="1"/>
  <c r="BA246" i="1"/>
  <c r="AZ246" i="1"/>
  <c r="AY246" i="1"/>
  <c r="AX246" i="1"/>
  <c r="AW246" i="1"/>
  <c r="AV246" i="1"/>
  <c r="AT246" i="1"/>
  <c r="AS246" i="1"/>
  <c r="CS245" i="1"/>
  <c r="CR245" i="1"/>
  <c r="CQ245" i="1"/>
  <c r="CP245" i="1"/>
  <c r="CO245" i="1"/>
  <c r="CN245" i="1"/>
  <c r="CL245" i="1"/>
  <c r="CK245" i="1"/>
  <c r="CJ245" i="1"/>
  <c r="CI245" i="1"/>
  <c r="CH245" i="1"/>
  <c r="CG245" i="1"/>
  <c r="CF245" i="1"/>
  <c r="CD245" i="1"/>
  <c r="CC245" i="1"/>
  <c r="CB245" i="1"/>
  <c r="CA245" i="1"/>
  <c r="BZ245" i="1"/>
  <c r="BY245" i="1"/>
  <c r="BX245" i="1"/>
  <c r="BU245" i="1"/>
  <c r="BN245" i="1"/>
  <c r="BS245" i="1" s="1"/>
  <c r="BA245" i="1"/>
  <c r="AZ245" i="1"/>
  <c r="AY245" i="1"/>
  <c r="AX245" i="1"/>
  <c r="AW245" i="1"/>
  <c r="AV245" i="1"/>
  <c r="AT245" i="1"/>
  <c r="AS245" i="1"/>
  <c r="CS244" i="1"/>
  <c r="CR244" i="1"/>
  <c r="CQ244" i="1"/>
  <c r="CP244" i="1"/>
  <c r="CO244" i="1"/>
  <c r="CN244" i="1"/>
  <c r="CL244" i="1"/>
  <c r="CK244" i="1"/>
  <c r="CJ244" i="1"/>
  <c r="CI244" i="1"/>
  <c r="CH244" i="1"/>
  <c r="CG244" i="1"/>
  <c r="CF244" i="1"/>
  <c r="CD244" i="1"/>
  <c r="CC244" i="1"/>
  <c r="CB244" i="1"/>
  <c r="CA244" i="1"/>
  <c r="BZ244" i="1"/>
  <c r="BY244" i="1"/>
  <c r="BX244" i="1"/>
  <c r="BU244" i="1"/>
  <c r="BN244" i="1"/>
  <c r="BS244" i="1" s="1"/>
  <c r="BA244" i="1"/>
  <c r="AZ244" i="1"/>
  <c r="AY244" i="1"/>
  <c r="AX244" i="1"/>
  <c r="AW244" i="1"/>
  <c r="AV244" i="1"/>
  <c r="AT244" i="1"/>
  <c r="AS244" i="1"/>
  <c r="CS243" i="1"/>
  <c r="CR243" i="1"/>
  <c r="CQ243" i="1"/>
  <c r="CP243" i="1"/>
  <c r="CO243" i="1"/>
  <c r="CN243" i="1"/>
  <c r="CL243" i="1"/>
  <c r="CK243" i="1"/>
  <c r="CJ243" i="1"/>
  <c r="CI243" i="1"/>
  <c r="CH243" i="1"/>
  <c r="CG243" i="1"/>
  <c r="CF243" i="1"/>
  <c r="CD243" i="1"/>
  <c r="CC243" i="1"/>
  <c r="CB243" i="1"/>
  <c r="CA243" i="1"/>
  <c r="BZ243" i="1"/>
  <c r="BY243" i="1"/>
  <c r="BX243" i="1"/>
  <c r="BU243" i="1"/>
  <c r="BN243" i="1"/>
  <c r="BS243" i="1" s="1"/>
  <c r="BA243" i="1"/>
  <c r="AZ243" i="1"/>
  <c r="AY243" i="1"/>
  <c r="AX243" i="1"/>
  <c r="AW243" i="1"/>
  <c r="AV243" i="1"/>
  <c r="AT243" i="1"/>
  <c r="AS243" i="1"/>
  <c r="CS242" i="1"/>
  <c r="CR242" i="1"/>
  <c r="CQ242" i="1"/>
  <c r="CP242" i="1"/>
  <c r="CO242" i="1"/>
  <c r="CN242" i="1"/>
  <c r="CL242" i="1"/>
  <c r="CK242" i="1"/>
  <c r="CJ242" i="1"/>
  <c r="CI242" i="1"/>
  <c r="CH242" i="1"/>
  <c r="CG242" i="1"/>
  <c r="CF242" i="1"/>
  <c r="CD242" i="1"/>
  <c r="CC242" i="1"/>
  <c r="CB242" i="1"/>
  <c r="CA242" i="1"/>
  <c r="BZ242" i="1"/>
  <c r="BY242" i="1"/>
  <c r="BX242" i="1"/>
  <c r="BU242" i="1"/>
  <c r="BN242" i="1"/>
  <c r="BS242" i="1" s="1"/>
  <c r="BA242" i="1"/>
  <c r="AZ242" i="1"/>
  <c r="AY242" i="1"/>
  <c r="AX242" i="1"/>
  <c r="AW242" i="1"/>
  <c r="AV242" i="1"/>
  <c r="AT242" i="1"/>
  <c r="AS242" i="1"/>
  <c r="CS241" i="1"/>
  <c r="CR241" i="1"/>
  <c r="CQ241" i="1"/>
  <c r="CP241" i="1"/>
  <c r="CO241" i="1"/>
  <c r="CN241" i="1"/>
  <c r="CL241" i="1"/>
  <c r="CK241" i="1"/>
  <c r="CJ241" i="1"/>
  <c r="CI241" i="1"/>
  <c r="CH241" i="1"/>
  <c r="CG241" i="1"/>
  <c r="CF241" i="1"/>
  <c r="CD241" i="1"/>
  <c r="CC241" i="1"/>
  <c r="CB241" i="1"/>
  <c r="CA241" i="1"/>
  <c r="BZ241" i="1"/>
  <c r="BY241" i="1"/>
  <c r="BX241" i="1"/>
  <c r="BU241" i="1"/>
  <c r="BN241" i="1"/>
  <c r="BS241" i="1" s="1"/>
  <c r="BA241" i="1"/>
  <c r="AZ241" i="1"/>
  <c r="AY241" i="1"/>
  <c r="AX241" i="1"/>
  <c r="AW241" i="1"/>
  <c r="AV241" i="1"/>
  <c r="AT241" i="1"/>
  <c r="AS241" i="1"/>
  <c r="CS240" i="1"/>
  <c r="CR240" i="1"/>
  <c r="CQ240" i="1"/>
  <c r="CP240" i="1"/>
  <c r="CO240" i="1"/>
  <c r="CN240" i="1"/>
  <c r="CL240" i="1"/>
  <c r="CK240" i="1"/>
  <c r="CJ240" i="1"/>
  <c r="CI240" i="1"/>
  <c r="CH240" i="1"/>
  <c r="CG240" i="1"/>
  <c r="CF240" i="1"/>
  <c r="CD240" i="1"/>
  <c r="CC240" i="1"/>
  <c r="CB240" i="1"/>
  <c r="CA240" i="1"/>
  <c r="BZ240" i="1"/>
  <c r="BY240" i="1"/>
  <c r="BX240" i="1"/>
  <c r="BU240" i="1"/>
  <c r="BN240" i="1"/>
  <c r="BS240" i="1" s="1"/>
  <c r="BA240" i="1"/>
  <c r="AZ240" i="1"/>
  <c r="AY240" i="1"/>
  <c r="AX240" i="1"/>
  <c r="AW240" i="1"/>
  <c r="AV240" i="1"/>
  <c r="AT240" i="1"/>
  <c r="AS240" i="1"/>
  <c r="CS239" i="1"/>
  <c r="CR239" i="1"/>
  <c r="CQ239" i="1"/>
  <c r="CP239" i="1"/>
  <c r="CO239" i="1"/>
  <c r="CN239" i="1"/>
  <c r="CL239" i="1"/>
  <c r="CK239" i="1"/>
  <c r="CJ239" i="1"/>
  <c r="CI239" i="1"/>
  <c r="CH239" i="1"/>
  <c r="CG239" i="1"/>
  <c r="CF239" i="1"/>
  <c r="CD239" i="1"/>
  <c r="CC239" i="1"/>
  <c r="CB239" i="1"/>
  <c r="CA239" i="1"/>
  <c r="BZ239" i="1"/>
  <c r="BY239" i="1"/>
  <c r="BX239" i="1"/>
  <c r="BU239" i="1"/>
  <c r="BN239" i="1"/>
  <c r="BS239" i="1" s="1"/>
  <c r="BA239" i="1"/>
  <c r="AZ239" i="1"/>
  <c r="AY239" i="1"/>
  <c r="AX239" i="1"/>
  <c r="AW239" i="1"/>
  <c r="AV239" i="1"/>
  <c r="AT239" i="1"/>
  <c r="AS239" i="1"/>
  <c r="CS238" i="1"/>
  <c r="CR238" i="1"/>
  <c r="CQ238" i="1"/>
  <c r="CP238" i="1"/>
  <c r="CO238" i="1"/>
  <c r="CN238" i="1"/>
  <c r="CL238" i="1"/>
  <c r="CK238" i="1"/>
  <c r="CJ238" i="1"/>
  <c r="CI238" i="1"/>
  <c r="CH238" i="1"/>
  <c r="CG238" i="1"/>
  <c r="CF238" i="1"/>
  <c r="CD238" i="1"/>
  <c r="CC238" i="1"/>
  <c r="CB238" i="1"/>
  <c r="CA238" i="1"/>
  <c r="BZ238" i="1"/>
  <c r="BY238" i="1"/>
  <c r="BX238" i="1"/>
  <c r="BU238" i="1"/>
  <c r="BN238" i="1"/>
  <c r="BS238" i="1" s="1"/>
  <c r="BA238" i="1"/>
  <c r="AZ238" i="1"/>
  <c r="AY238" i="1"/>
  <c r="AX238" i="1"/>
  <c r="AW238" i="1"/>
  <c r="AV238" i="1"/>
  <c r="AT238" i="1"/>
  <c r="AS238" i="1"/>
  <c r="CS237" i="1"/>
  <c r="CR237" i="1"/>
  <c r="CQ237" i="1"/>
  <c r="CP237" i="1"/>
  <c r="CO237" i="1"/>
  <c r="CN237" i="1"/>
  <c r="CL237" i="1"/>
  <c r="CK237" i="1"/>
  <c r="CJ237" i="1"/>
  <c r="CI237" i="1"/>
  <c r="CH237" i="1"/>
  <c r="CG237" i="1"/>
  <c r="CF237" i="1"/>
  <c r="CD237" i="1"/>
  <c r="CC237" i="1"/>
  <c r="CB237" i="1"/>
  <c r="CA237" i="1"/>
  <c r="BZ237" i="1"/>
  <c r="BY237" i="1"/>
  <c r="BX237" i="1"/>
  <c r="BU237" i="1"/>
  <c r="BN237" i="1"/>
  <c r="BS237" i="1" s="1"/>
  <c r="BA237" i="1"/>
  <c r="AZ237" i="1"/>
  <c r="AY237" i="1"/>
  <c r="AX237" i="1"/>
  <c r="AW237" i="1"/>
  <c r="AV237" i="1"/>
  <c r="AT237" i="1"/>
  <c r="AS237" i="1"/>
  <c r="CS236" i="1"/>
  <c r="CR236" i="1"/>
  <c r="CQ236" i="1"/>
  <c r="CP236" i="1"/>
  <c r="CO236" i="1"/>
  <c r="CN236" i="1"/>
  <c r="CL236" i="1"/>
  <c r="CK236" i="1"/>
  <c r="CJ236" i="1"/>
  <c r="CI236" i="1"/>
  <c r="CH236" i="1"/>
  <c r="CG236" i="1"/>
  <c r="CF236" i="1"/>
  <c r="CD236" i="1"/>
  <c r="CC236" i="1"/>
  <c r="CB236" i="1"/>
  <c r="CA236" i="1"/>
  <c r="BZ236" i="1"/>
  <c r="BY236" i="1"/>
  <c r="BX236" i="1"/>
  <c r="BU236" i="1"/>
  <c r="BN236" i="1"/>
  <c r="BS236" i="1" s="1"/>
  <c r="BA236" i="1"/>
  <c r="AZ236" i="1"/>
  <c r="AY236" i="1"/>
  <c r="AX236" i="1"/>
  <c r="AW236" i="1"/>
  <c r="AV236" i="1"/>
  <c r="AT236" i="1"/>
  <c r="AS236" i="1"/>
  <c r="CS235" i="1"/>
  <c r="CR235" i="1"/>
  <c r="CQ235" i="1"/>
  <c r="CP235" i="1"/>
  <c r="CO235" i="1"/>
  <c r="CN235" i="1"/>
  <c r="CL235" i="1"/>
  <c r="CK235" i="1"/>
  <c r="CJ235" i="1"/>
  <c r="CI235" i="1"/>
  <c r="CH235" i="1"/>
  <c r="CG235" i="1"/>
  <c r="CF235" i="1"/>
  <c r="CD235" i="1"/>
  <c r="CC235" i="1"/>
  <c r="CB235" i="1"/>
  <c r="CA235" i="1"/>
  <c r="BZ235" i="1"/>
  <c r="BY235" i="1"/>
  <c r="BX235" i="1"/>
  <c r="BU235" i="1"/>
  <c r="BN235" i="1"/>
  <c r="BS235" i="1" s="1"/>
  <c r="BA235" i="1"/>
  <c r="AZ235" i="1"/>
  <c r="AY235" i="1"/>
  <c r="AX235" i="1"/>
  <c r="AW235" i="1"/>
  <c r="AV235" i="1"/>
  <c r="AT235" i="1"/>
  <c r="AS235" i="1"/>
  <c r="CS234" i="1"/>
  <c r="CR234" i="1"/>
  <c r="CQ234" i="1"/>
  <c r="CP234" i="1"/>
  <c r="CO234" i="1"/>
  <c r="CN234" i="1"/>
  <c r="CL234" i="1"/>
  <c r="CK234" i="1"/>
  <c r="CJ234" i="1"/>
  <c r="CI234" i="1"/>
  <c r="CH234" i="1"/>
  <c r="CG234" i="1"/>
  <c r="CF234" i="1"/>
  <c r="CD234" i="1"/>
  <c r="CC234" i="1"/>
  <c r="CB234" i="1"/>
  <c r="CA234" i="1"/>
  <c r="BZ234" i="1"/>
  <c r="BY234" i="1"/>
  <c r="BX234" i="1"/>
  <c r="BU234" i="1"/>
  <c r="BN234" i="1"/>
  <c r="BS234" i="1" s="1"/>
  <c r="BA234" i="1"/>
  <c r="AZ234" i="1"/>
  <c r="AY234" i="1"/>
  <c r="AX234" i="1"/>
  <c r="AW234" i="1"/>
  <c r="AV234" i="1"/>
  <c r="AT234" i="1"/>
  <c r="AS234" i="1"/>
  <c r="CS233" i="1"/>
  <c r="CR233" i="1"/>
  <c r="CQ233" i="1"/>
  <c r="CP233" i="1"/>
  <c r="CO233" i="1"/>
  <c r="CN233" i="1"/>
  <c r="CL233" i="1"/>
  <c r="CK233" i="1"/>
  <c r="CJ233" i="1"/>
  <c r="CI233" i="1"/>
  <c r="CH233" i="1"/>
  <c r="CG233" i="1"/>
  <c r="CF233" i="1"/>
  <c r="CD233" i="1"/>
  <c r="CC233" i="1"/>
  <c r="CB233" i="1"/>
  <c r="CA233" i="1"/>
  <c r="BZ233" i="1"/>
  <c r="BY233" i="1"/>
  <c r="BX233" i="1"/>
  <c r="BU233" i="1"/>
  <c r="BN233" i="1"/>
  <c r="BS233" i="1" s="1"/>
  <c r="BA233" i="1"/>
  <c r="AZ233" i="1"/>
  <c r="AY233" i="1"/>
  <c r="AX233" i="1"/>
  <c r="AW233" i="1"/>
  <c r="AV233" i="1"/>
  <c r="AT233" i="1"/>
  <c r="AS233" i="1"/>
  <c r="CS232" i="1"/>
  <c r="CR232" i="1"/>
  <c r="CQ232" i="1"/>
  <c r="CP232" i="1"/>
  <c r="CO232" i="1"/>
  <c r="CN232" i="1"/>
  <c r="CL232" i="1"/>
  <c r="CK232" i="1"/>
  <c r="CJ232" i="1"/>
  <c r="CI232" i="1"/>
  <c r="CH232" i="1"/>
  <c r="CG232" i="1"/>
  <c r="CF232" i="1"/>
  <c r="CD232" i="1"/>
  <c r="CC232" i="1"/>
  <c r="CB232" i="1"/>
  <c r="CA232" i="1"/>
  <c r="BZ232" i="1"/>
  <c r="BY232" i="1"/>
  <c r="BX232" i="1"/>
  <c r="BU232" i="1"/>
  <c r="BN232" i="1"/>
  <c r="BS232" i="1" s="1"/>
  <c r="BA232" i="1"/>
  <c r="AZ232" i="1"/>
  <c r="AY232" i="1"/>
  <c r="AX232" i="1"/>
  <c r="AW232" i="1"/>
  <c r="AV232" i="1"/>
  <c r="AT232" i="1"/>
  <c r="AS232" i="1"/>
  <c r="CS231" i="1"/>
  <c r="CR231" i="1"/>
  <c r="CQ231" i="1"/>
  <c r="CP231" i="1"/>
  <c r="CO231" i="1"/>
  <c r="CN231" i="1"/>
  <c r="CL231" i="1"/>
  <c r="CK231" i="1"/>
  <c r="CJ231" i="1"/>
  <c r="CI231" i="1"/>
  <c r="CH231" i="1"/>
  <c r="CG231" i="1"/>
  <c r="CF231" i="1"/>
  <c r="CD231" i="1"/>
  <c r="CC231" i="1"/>
  <c r="CB231" i="1"/>
  <c r="CA231" i="1"/>
  <c r="BZ231" i="1"/>
  <c r="BY231" i="1"/>
  <c r="BX231" i="1"/>
  <c r="BU231" i="1"/>
  <c r="BN231" i="1"/>
  <c r="BS231" i="1" s="1"/>
  <c r="BA231" i="1"/>
  <c r="AZ231" i="1"/>
  <c r="AY231" i="1"/>
  <c r="AX231" i="1"/>
  <c r="AW231" i="1"/>
  <c r="AV231" i="1"/>
  <c r="AT231" i="1"/>
  <c r="AS231" i="1"/>
  <c r="CS230" i="1"/>
  <c r="CR230" i="1"/>
  <c r="CQ230" i="1"/>
  <c r="CP230" i="1"/>
  <c r="CO230" i="1"/>
  <c r="CN230" i="1"/>
  <c r="CL230" i="1"/>
  <c r="CK230" i="1"/>
  <c r="CJ230" i="1"/>
  <c r="CI230" i="1"/>
  <c r="CH230" i="1"/>
  <c r="CG230" i="1"/>
  <c r="CF230" i="1"/>
  <c r="CD230" i="1"/>
  <c r="CC230" i="1"/>
  <c r="CB230" i="1"/>
  <c r="CA230" i="1"/>
  <c r="BZ230" i="1"/>
  <c r="BY230" i="1"/>
  <c r="BX230" i="1"/>
  <c r="BU230" i="1"/>
  <c r="BN230" i="1"/>
  <c r="BS230" i="1" s="1"/>
  <c r="BA230" i="1"/>
  <c r="AZ230" i="1"/>
  <c r="AY230" i="1"/>
  <c r="AX230" i="1"/>
  <c r="AW230" i="1"/>
  <c r="AV230" i="1"/>
  <c r="AT230" i="1"/>
  <c r="AS230" i="1"/>
  <c r="CS229" i="1"/>
  <c r="CR229" i="1"/>
  <c r="CQ229" i="1"/>
  <c r="CP229" i="1"/>
  <c r="CO229" i="1"/>
  <c r="CN229" i="1"/>
  <c r="CL229" i="1"/>
  <c r="CK229" i="1"/>
  <c r="CJ229" i="1"/>
  <c r="CI229" i="1"/>
  <c r="CH229" i="1"/>
  <c r="CG229" i="1"/>
  <c r="CF229" i="1"/>
  <c r="CD229" i="1"/>
  <c r="CC229" i="1"/>
  <c r="CB229" i="1"/>
  <c r="CA229" i="1"/>
  <c r="BZ229" i="1"/>
  <c r="BY229" i="1"/>
  <c r="BX229" i="1"/>
  <c r="BU229" i="1"/>
  <c r="BN229" i="1"/>
  <c r="BS229" i="1" s="1"/>
  <c r="BA229" i="1"/>
  <c r="AZ229" i="1"/>
  <c r="AY229" i="1"/>
  <c r="AX229" i="1"/>
  <c r="AW229" i="1"/>
  <c r="AV229" i="1"/>
  <c r="AT229" i="1"/>
  <c r="AS229" i="1"/>
  <c r="CS228" i="1"/>
  <c r="CR228" i="1"/>
  <c r="CQ228" i="1"/>
  <c r="CP228" i="1"/>
  <c r="CO228" i="1"/>
  <c r="CN228" i="1"/>
  <c r="CL228" i="1"/>
  <c r="CK228" i="1"/>
  <c r="CJ228" i="1"/>
  <c r="CI228" i="1"/>
  <c r="CH228" i="1"/>
  <c r="CG228" i="1"/>
  <c r="CF228" i="1"/>
  <c r="CD228" i="1"/>
  <c r="CC228" i="1"/>
  <c r="CB228" i="1"/>
  <c r="CA228" i="1"/>
  <c r="BZ228" i="1"/>
  <c r="BY228" i="1"/>
  <c r="BX228" i="1"/>
  <c r="BU228" i="1"/>
  <c r="BN228" i="1"/>
  <c r="BS228" i="1" s="1"/>
  <c r="BA228" i="1"/>
  <c r="AZ228" i="1"/>
  <c r="AY228" i="1"/>
  <c r="AX228" i="1"/>
  <c r="AW228" i="1"/>
  <c r="AV228" i="1"/>
  <c r="AT228" i="1"/>
  <c r="AS228" i="1"/>
  <c r="CS227" i="1"/>
  <c r="CR227" i="1"/>
  <c r="CQ227" i="1"/>
  <c r="CP227" i="1"/>
  <c r="CO227" i="1"/>
  <c r="CN227" i="1"/>
  <c r="CL227" i="1"/>
  <c r="CK227" i="1"/>
  <c r="CJ227" i="1"/>
  <c r="CI227" i="1"/>
  <c r="CH227" i="1"/>
  <c r="CG227" i="1"/>
  <c r="CF227" i="1"/>
  <c r="CD227" i="1"/>
  <c r="CC227" i="1"/>
  <c r="CB227" i="1"/>
  <c r="CA227" i="1"/>
  <c r="BZ227" i="1"/>
  <c r="BY227" i="1"/>
  <c r="BX227" i="1"/>
  <c r="BU227" i="1"/>
  <c r="BN227" i="1"/>
  <c r="BS227" i="1" s="1"/>
  <c r="BA227" i="1"/>
  <c r="AZ227" i="1"/>
  <c r="AY227" i="1"/>
  <c r="AX227" i="1"/>
  <c r="AW227" i="1"/>
  <c r="AV227" i="1"/>
  <c r="AT227" i="1"/>
  <c r="AS227" i="1"/>
  <c r="CS226" i="1"/>
  <c r="CR226" i="1"/>
  <c r="CQ226" i="1"/>
  <c r="CP226" i="1"/>
  <c r="CO226" i="1"/>
  <c r="CN226" i="1"/>
  <c r="CL226" i="1"/>
  <c r="CK226" i="1"/>
  <c r="CJ226" i="1"/>
  <c r="CI226" i="1"/>
  <c r="CH226" i="1"/>
  <c r="CG226" i="1"/>
  <c r="CF226" i="1"/>
  <c r="CD226" i="1"/>
  <c r="CC226" i="1"/>
  <c r="CB226" i="1"/>
  <c r="CA226" i="1"/>
  <c r="BZ226" i="1"/>
  <c r="BY226" i="1"/>
  <c r="BX226" i="1"/>
  <c r="BU226" i="1"/>
  <c r="BN226" i="1"/>
  <c r="BS226" i="1" s="1"/>
  <c r="BA226" i="1"/>
  <c r="AZ226" i="1"/>
  <c r="AY226" i="1"/>
  <c r="AX226" i="1"/>
  <c r="AW226" i="1"/>
  <c r="AV226" i="1"/>
  <c r="AT226" i="1"/>
  <c r="AS226" i="1"/>
  <c r="CS225" i="1"/>
  <c r="CR225" i="1"/>
  <c r="CQ225" i="1"/>
  <c r="CP225" i="1"/>
  <c r="CO225" i="1"/>
  <c r="CN225" i="1"/>
  <c r="CL225" i="1"/>
  <c r="CK225" i="1"/>
  <c r="CJ225" i="1"/>
  <c r="CI225" i="1"/>
  <c r="CH225" i="1"/>
  <c r="CG225" i="1"/>
  <c r="CF225" i="1"/>
  <c r="CD225" i="1"/>
  <c r="CC225" i="1"/>
  <c r="CB225" i="1"/>
  <c r="CA225" i="1"/>
  <c r="BZ225" i="1"/>
  <c r="BY225" i="1"/>
  <c r="BX225" i="1"/>
  <c r="BU225" i="1"/>
  <c r="BN225" i="1"/>
  <c r="BS225" i="1" s="1"/>
  <c r="BA225" i="1"/>
  <c r="AZ225" i="1"/>
  <c r="AY225" i="1"/>
  <c r="AX225" i="1"/>
  <c r="AW225" i="1"/>
  <c r="AV225" i="1"/>
  <c r="AT225" i="1"/>
  <c r="AS225" i="1"/>
  <c r="CS224" i="1"/>
  <c r="CR224" i="1"/>
  <c r="CQ224" i="1"/>
  <c r="CP224" i="1"/>
  <c r="CO224" i="1"/>
  <c r="CN224" i="1"/>
  <c r="CL224" i="1"/>
  <c r="CK224" i="1"/>
  <c r="CJ224" i="1"/>
  <c r="CI224" i="1"/>
  <c r="CH224" i="1"/>
  <c r="CG224" i="1"/>
  <c r="CF224" i="1"/>
  <c r="CD224" i="1"/>
  <c r="CC224" i="1"/>
  <c r="CB224" i="1"/>
  <c r="CA224" i="1"/>
  <c r="BZ224" i="1"/>
  <c r="BY224" i="1"/>
  <c r="BX224" i="1"/>
  <c r="BU224" i="1"/>
  <c r="BN224" i="1"/>
  <c r="BS224" i="1" s="1"/>
  <c r="BA224" i="1"/>
  <c r="AZ224" i="1"/>
  <c r="AY224" i="1"/>
  <c r="AX224" i="1"/>
  <c r="AW224" i="1"/>
  <c r="AV224" i="1"/>
  <c r="AT224" i="1"/>
  <c r="AS224" i="1"/>
  <c r="CS223" i="1"/>
  <c r="CR223" i="1"/>
  <c r="CQ223" i="1"/>
  <c r="CP223" i="1"/>
  <c r="CO223" i="1"/>
  <c r="CN223" i="1"/>
  <c r="CL223" i="1"/>
  <c r="CK223" i="1"/>
  <c r="CJ223" i="1"/>
  <c r="CI223" i="1"/>
  <c r="CH223" i="1"/>
  <c r="CG223" i="1"/>
  <c r="CF223" i="1"/>
  <c r="CD223" i="1"/>
  <c r="CC223" i="1"/>
  <c r="CB223" i="1"/>
  <c r="CA223" i="1"/>
  <c r="BZ223" i="1"/>
  <c r="BY223" i="1"/>
  <c r="BX223" i="1"/>
  <c r="BU223" i="1"/>
  <c r="BN223" i="1"/>
  <c r="BS223" i="1" s="1"/>
  <c r="BA223" i="1"/>
  <c r="AZ223" i="1"/>
  <c r="AY223" i="1"/>
  <c r="AX223" i="1"/>
  <c r="AW223" i="1"/>
  <c r="AV223" i="1"/>
  <c r="AT223" i="1"/>
  <c r="AS223" i="1"/>
  <c r="CS222" i="1"/>
  <c r="CR222" i="1"/>
  <c r="CQ222" i="1"/>
  <c r="CP222" i="1"/>
  <c r="CO222" i="1"/>
  <c r="CN222" i="1"/>
  <c r="CL222" i="1"/>
  <c r="CK222" i="1"/>
  <c r="CJ222" i="1"/>
  <c r="CI222" i="1"/>
  <c r="CH222" i="1"/>
  <c r="CG222" i="1"/>
  <c r="CF222" i="1"/>
  <c r="CD222" i="1"/>
  <c r="CC222" i="1"/>
  <c r="CB222" i="1"/>
  <c r="CA222" i="1"/>
  <c r="BZ222" i="1"/>
  <c r="BY222" i="1"/>
  <c r="BX222" i="1"/>
  <c r="BU222" i="1"/>
  <c r="BN222" i="1"/>
  <c r="BS222" i="1" s="1"/>
  <c r="BA222" i="1"/>
  <c r="AZ222" i="1"/>
  <c r="AY222" i="1"/>
  <c r="AX222" i="1"/>
  <c r="AW222" i="1"/>
  <c r="AV222" i="1"/>
  <c r="AT222" i="1"/>
  <c r="AS222" i="1"/>
  <c r="CS221" i="1"/>
  <c r="CR221" i="1"/>
  <c r="CQ221" i="1"/>
  <c r="CP221" i="1"/>
  <c r="CO221" i="1"/>
  <c r="CN221" i="1"/>
  <c r="CL221" i="1"/>
  <c r="CK221" i="1"/>
  <c r="CJ221" i="1"/>
  <c r="CI221" i="1"/>
  <c r="CH221" i="1"/>
  <c r="CG221" i="1"/>
  <c r="CF221" i="1"/>
  <c r="CD221" i="1"/>
  <c r="CC221" i="1"/>
  <c r="CB221" i="1"/>
  <c r="CA221" i="1"/>
  <c r="BZ221" i="1"/>
  <c r="BY221" i="1"/>
  <c r="BX221" i="1"/>
  <c r="BU221" i="1"/>
  <c r="BN221" i="1"/>
  <c r="BS221" i="1" s="1"/>
  <c r="BA221" i="1"/>
  <c r="AZ221" i="1"/>
  <c r="AY221" i="1"/>
  <c r="AX221" i="1"/>
  <c r="AW221" i="1"/>
  <c r="AV221" i="1"/>
  <c r="AT221" i="1"/>
  <c r="AS221" i="1"/>
  <c r="CS220" i="1"/>
  <c r="CR220" i="1"/>
  <c r="CQ220" i="1"/>
  <c r="CP220" i="1"/>
  <c r="CO220" i="1"/>
  <c r="CN220" i="1"/>
  <c r="CL220" i="1"/>
  <c r="CK220" i="1"/>
  <c r="CJ220" i="1"/>
  <c r="CI220" i="1"/>
  <c r="CH220" i="1"/>
  <c r="CG220" i="1"/>
  <c r="CF220" i="1"/>
  <c r="CD220" i="1"/>
  <c r="CC220" i="1"/>
  <c r="CB220" i="1"/>
  <c r="CA220" i="1"/>
  <c r="BZ220" i="1"/>
  <c r="BY220" i="1"/>
  <c r="BX220" i="1"/>
  <c r="BU220" i="1"/>
  <c r="BN220" i="1"/>
  <c r="BS220" i="1" s="1"/>
  <c r="BA220" i="1"/>
  <c r="AZ220" i="1"/>
  <c r="AY220" i="1"/>
  <c r="AX220" i="1"/>
  <c r="AW220" i="1"/>
  <c r="AV220" i="1"/>
  <c r="AT220" i="1"/>
  <c r="AS220" i="1"/>
  <c r="CS219" i="1"/>
  <c r="CR219" i="1"/>
  <c r="CQ219" i="1"/>
  <c r="CP219" i="1"/>
  <c r="CO219" i="1"/>
  <c r="CN219" i="1"/>
  <c r="CL219" i="1"/>
  <c r="CK219" i="1"/>
  <c r="CJ219" i="1"/>
  <c r="CI219" i="1"/>
  <c r="CH219" i="1"/>
  <c r="CG219" i="1"/>
  <c r="CF219" i="1"/>
  <c r="CD219" i="1"/>
  <c r="CC219" i="1"/>
  <c r="CB219" i="1"/>
  <c r="CA219" i="1"/>
  <c r="BZ219" i="1"/>
  <c r="BY219" i="1"/>
  <c r="BX219" i="1"/>
  <c r="BU219" i="1"/>
  <c r="BN219" i="1"/>
  <c r="BS219" i="1" s="1"/>
  <c r="BA219" i="1"/>
  <c r="AZ219" i="1"/>
  <c r="AY219" i="1"/>
  <c r="AX219" i="1"/>
  <c r="AW219" i="1"/>
  <c r="AV219" i="1"/>
  <c r="AT219" i="1"/>
  <c r="AS219" i="1"/>
  <c r="CS218" i="1"/>
  <c r="CR218" i="1"/>
  <c r="CQ218" i="1"/>
  <c r="CP218" i="1"/>
  <c r="CO218" i="1"/>
  <c r="CN218" i="1"/>
  <c r="CL218" i="1"/>
  <c r="CK218" i="1"/>
  <c r="CJ218" i="1"/>
  <c r="CI218" i="1"/>
  <c r="CH218" i="1"/>
  <c r="CG218" i="1"/>
  <c r="CF218" i="1"/>
  <c r="CD218" i="1"/>
  <c r="CC218" i="1"/>
  <c r="CB218" i="1"/>
  <c r="CA218" i="1"/>
  <c r="BZ218" i="1"/>
  <c r="BY218" i="1"/>
  <c r="BX218" i="1"/>
  <c r="BU218" i="1"/>
  <c r="BN218" i="1"/>
  <c r="BS218" i="1" s="1"/>
  <c r="BA218" i="1"/>
  <c r="AZ218" i="1"/>
  <c r="AY218" i="1"/>
  <c r="AX218" i="1"/>
  <c r="AW218" i="1"/>
  <c r="AV218" i="1"/>
  <c r="AT218" i="1"/>
  <c r="AS218" i="1"/>
  <c r="CS217" i="1"/>
  <c r="CR217" i="1"/>
  <c r="CQ217" i="1"/>
  <c r="CP217" i="1"/>
  <c r="CO217" i="1"/>
  <c r="CN217" i="1"/>
  <c r="CL217" i="1"/>
  <c r="CK217" i="1"/>
  <c r="CJ217" i="1"/>
  <c r="CI217" i="1"/>
  <c r="CH217" i="1"/>
  <c r="CG217" i="1"/>
  <c r="CF217" i="1"/>
  <c r="CD217" i="1"/>
  <c r="CC217" i="1"/>
  <c r="CB217" i="1"/>
  <c r="CA217" i="1"/>
  <c r="BZ217" i="1"/>
  <c r="BY217" i="1"/>
  <c r="BX217" i="1"/>
  <c r="BU217" i="1"/>
  <c r="BN217" i="1"/>
  <c r="BS217" i="1" s="1"/>
  <c r="BA217" i="1"/>
  <c r="AZ217" i="1"/>
  <c r="AY217" i="1"/>
  <c r="AX217" i="1"/>
  <c r="AW217" i="1"/>
  <c r="AV217" i="1"/>
  <c r="AT217" i="1"/>
  <c r="AS217" i="1"/>
  <c r="CS216" i="1"/>
  <c r="CR216" i="1"/>
  <c r="CQ216" i="1"/>
  <c r="CP216" i="1"/>
  <c r="CO216" i="1"/>
  <c r="CN216" i="1"/>
  <c r="CL216" i="1"/>
  <c r="CK216" i="1"/>
  <c r="CJ216" i="1"/>
  <c r="CI216" i="1"/>
  <c r="CH216" i="1"/>
  <c r="CG216" i="1"/>
  <c r="CF216" i="1"/>
  <c r="CD216" i="1"/>
  <c r="CC216" i="1"/>
  <c r="CB216" i="1"/>
  <c r="CA216" i="1"/>
  <c r="BZ216" i="1"/>
  <c r="BY216" i="1"/>
  <c r="BX216" i="1"/>
  <c r="BU216" i="1"/>
  <c r="BN216" i="1"/>
  <c r="BS216" i="1" s="1"/>
  <c r="BA216" i="1"/>
  <c r="AZ216" i="1"/>
  <c r="AY216" i="1"/>
  <c r="AX216" i="1"/>
  <c r="AW216" i="1"/>
  <c r="AV216" i="1"/>
  <c r="AT216" i="1"/>
  <c r="AS216" i="1"/>
  <c r="CS215" i="1"/>
  <c r="CR215" i="1"/>
  <c r="CQ215" i="1"/>
  <c r="CP215" i="1"/>
  <c r="CO215" i="1"/>
  <c r="CN215" i="1"/>
  <c r="CL215" i="1"/>
  <c r="CK215" i="1"/>
  <c r="CJ215" i="1"/>
  <c r="CI215" i="1"/>
  <c r="CH215" i="1"/>
  <c r="CG215" i="1"/>
  <c r="CF215" i="1"/>
  <c r="CD215" i="1"/>
  <c r="CC215" i="1"/>
  <c r="CB215" i="1"/>
  <c r="CA215" i="1"/>
  <c r="BZ215" i="1"/>
  <c r="BY215" i="1"/>
  <c r="BX215" i="1"/>
  <c r="BU215" i="1"/>
  <c r="BN215" i="1"/>
  <c r="BS215" i="1" s="1"/>
  <c r="BA215" i="1"/>
  <c r="AZ215" i="1"/>
  <c r="AY215" i="1"/>
  <c r="AX215" i="1"/>
  <c r="AW215" i="1"/>
  <c r="AV215" i="1"/>
  <c r="AT215" i="1"/>
  <c r="AS215" i="1"/>
  <c r="CS214" i="1"/>
  <c r="CR214" i="1"/>
  <c r="CQ214" i="1"/>
  <c r="CP214" i="1"/>
  <c r="CO214" i="1"/>
  <c r="CN214" i="1"/>
  <c r="CL214" i="1"/>
  <c r="CK214" i="1"/>
  <c r="CJ214" i="1"/>
  <c r="CI214" i="1"/>
  <c r="CH214" i="1"/>
  <c r="CG214" i="1"/>
  <c r="CF214" i="1"/>
  <c r="CD214" i="1"/>
  <c r="CC214" i="1"/>
  <c r="CB214" i="1"/>
  <c r="CA214" i="1"/>
  <c r="BZ214" i="1"/>
  <c r="BY214" i="1"/>
  <c r="BX214" i="1"/>
  <c r="BU214" i="1"/>
  <c r="BN214" i="1"/>
  <c r="BS214" i="1" s="1"/>
  <c r="BA214" i="1"/>
  <c r="AZ214" i="1"/>
  <c r="AY214" i="1"/>
  <c r="AX214" i="1"/>
  <c r="AW214" i="1"/>
  <c r="AV214" i="1"/>
  <c r="AT214" i="1"/>
  <c r="AS214" i="1"/>
  <c r="CS213" i="1"/>
  <c r="CR213" i="1"/>
  <c r="CQ213" i="1"/>
  <c r="CP213" i="1"/>
  <c r="CO213" i="1"/>
  <c r="CN213" i="1"/>
  <c r="CL213" i="1"/>
  <c r="CK213" i="1"/>
  <c r="CJ213" i="1"/>
  <c r="CI213" i="1"/>
  <c r="CH213" i="1"/>
  <c r="CG213" i="1"/>
  <c r="CF213" i="1"/>
  <c r="CD213" i="1"/>
  <c r="CC213" i="1"/>
  <c r="CB213" i="1"/>
  <c r="CA213" i="1"/>
  <c r="BZ213" i="1"/>
  <c r="BY213" i="1"/>
  <c r="BX213" i="1"/>
  <c r="BU213" i="1"/>
  <c r="BN213" i="1"/>
  <c r="BS213" i="1" s="1"/>
  <c r="BA213" i="1"/>
  <c r="AZ213" i="1"/>
  <c r="AY213" i="1"/>
  <c r="AX213" i="1"/>
  <c r="AW213" i="1"/>
  <c r="AV213" i="1"/>
  <c r="AT213" i="1"/>
  <c r="AS213" i="1"/>
  <c r="CS212" i="1"/>
  <c r="CR212" i="1"/>
  <c r="CQ212" i="1"/>
  <c r="CP212" i="1"/>
  <c r="CO212" i="1"/>
  <c r="CN212" i="1"/>
  <c r="CL212" i="1"/>
  <c r="CK212" i="1"/>
  <c r="CJ212" i="1"/>
  <c r="CI212" i="1"/>
  <c r="CH212" i="1"/>
  <c r="CG212" i="1"/>
  <c r="CF212" i="1"/>
  <c r="CD212" i="1"/>
  <c r="CC212" i="1"/>
  <c r="CB212" i="1"/>
  <c r="CA212" i="1"/>
  <c r="BZ212" i="1"/>
  <c r="BY212" i="1"/>
  <c r="BX212" i="1"/>
  <c r="BU212" i="1"/>
  <c r="BN212" i="1"/>
  <c r="BS212" i="1" s="1"/>
  <c r="BA212" i="1"/>
  <c r="AZ212" i="1"/>
  <c r="AY212" i="1"/>
  <c r="AX212" i="1"/>
  <c r="AW212" i="1"/>
  <c r="AV212" i="1"/>
  <c r="AT212" i="1"/>
  <c r="AS212" i="1"/>
  <c r="CS211" i="1"/>
  <c r="CR211" i="1"/>
  <c r="CQ211" i="1"/>
  <c r="CP211" i="1"/>
  <c r="CO211" i="1"/>
  <c r="CN211" i="1"/>
  <c r="CL211" i="1"/>
  <c r="CK211" i="1"/>
  <c r="CJ211" i="1"/>
  <c r="CI211" i="1"/>
  <c r="CH211" i="1"/>
  <c r="CG211" i="1"/>
  <c r="CF211" i="1"/>
  <c r="CD211" i="1"/>
  <c r="CC211" i="1"/>
  <c r="CB211" i="1"/>
  <c r="CA211" i="1"/>
  <c r="BZ211" i="1"/>
  <c r="BY211" i="1"/>
  <c r="BX211" i="1"/>
  <c r="BU211" i="1"/>
  <c r="BN211" i="1"/>
  <c r="BS211" i="1" s="1"/>
  <c r="BA211" i="1"/>
  <c r="AZ211" i="1"/>
  <c r="AY211" i="1"/>
  <c r="AX211" i="1"/>
  <c r="AW211" i="1"/>
  <c r="AV211" i="1"/>
  <c r="AT211" i="1"/>
  <c r="AS211" i="1"/>
  <c r="CS210" i="1"/>
  <c r="CR210" i="1"/>
  <c r="CQ210" i="1"/>
  <c r="CP210" i="1"/>
  <c r="CO210" i="1"/>
  <c r="CN210" i="1"/>
  <c r="CL210" i="1"/>
  <c r="CK210" i="1"/>
  <c r="CJ210" i="1"/>
  <c r="CI210" i="1"/>
  <c r="CH210" i="1"/>
  <c r="CG210" i="1"/>
  <c r="CF210" i="1"/>
  <c r="CD210" i="1"/>
  <c r="CC210" i="1"/>
  <c r="CB210" i="1"/>
  <c r="CA210" i="1"/>
  <c r="BZ210" i="1"/>
  <c r="BY210" i="1"/>
  <c r="BX210" i="1"/>
  <c r="BU210" i="1"/>
  <c r="BN210" i="1"/>
  <c r="BS210" i="1" s="1"/>
  <c r="BA210" i="1"/>
  <c r="AZ210" i="1"/>
  <c r="AY210" i="1"/>
  <c r="AX210" i="1"/>
  <c r="AW210" i="1"/>
  <c r="AV210" i="1"/>
  <c r="AT210" i="1"/>
  <c r="AS210" i="1"/>
  <c r="CS209" i="1"/>
  <c r="CR209" i="1"/>
  <c r="CQ209" i="1"/>
  <c r="CP209" i="1"/>
  <c r="CO209" i="1"/>
  <c r="CN209" i="1"/>
  <c r="CL209" i="1"/>
  <c r="CK209" i="1"/>
  <c r="CJ209" i="1"/>
  <c r="CI209" i="1"/>
  <c r="CH209" i="1"/>
  <c r="CG209" i="1"/>
  <c r="CF209" i="1"/>
  <c r="CD209" i="1"/>
  <c r="CC209" i="1"/>
  <c r="CB209" i="1"/>
  <c r="CA209" i="1"/>
  <c r="BZ209" i="1"/>
  <c r="BY209" i="1"/>
  <c r="BX209" i="1"/>
  <c r="BU209" i="1"/>
  <c r="BN209" i="1"/>
  <c r="BS209" i="1" s="1"/>
  <c r="BA209" i="1"/>
  <c r="AZ209" i="1"/>
  <c r="AY209" i="1"/>
  <c r="AX209" i="1"/>
  <c r="AW209" i="1"/>
  <c r="AV209" i="1"/>
  <c r="AT209" i="1"/>
  <c r="AS209" i="1"/>
  <c r="CS208" i="1"/>
  <c r="CR208" i="1"/>
  <c r="CQ208" i="1"/>
  <c r="CP208" i="1"/>
  <c r="CO208" i="1"/>
  <c r="CN208" i="1"/>
  <c r="CL208" i="1"/>
  <c r="CK208" i="1"/>
  <c r="CJ208" i="1"/>
  <c r="CI208" i="1"/>
  <c r="CH208" i="1"/>
  <c r="CG208" i="1"/>
  <c r="CF208" i="1"/>
  <c r="CD208" i="1"/>
  <c r="CC208" i="1"/>
  <c r="CB208" i="1"/>
  <c r="CA208" i="1"/>
  <c r="BZ208" i="1"/>
  <c r="BY208" i="1"/>
  <c r="BX208" i="1"/>
  <c r="BU208" i="1"/>
  <c r="BN208" i="1"/>
  <c r="BS208" i="1" s="1"/>
  <c r="BA208" i="1"/>
  <c r="AZ208" i="1"/>
  <c r="AY208" i="1"/>
  <c r="AX208" i="1"/>
  <c r="AW208" i="1"/>
  <c r="AV208" i="1"/>
  <c r="AT208" i="1"/>
  <c r="AS208" i="1"/>
  <c r="CS207" i="1"/>
  <c r="CR207" i="1"/>
  <c r="CQ207" i="1"/>
  <c r="CP207" i="1"/>
  <c r="CO207" i="1"/>
  <c r="CN207" i="1"/>
  <c r="CL207" i="1"/>
  <c r="CK207" i="1"/>
  <c r="CJ207" i="1"/>
  <c r="CI207" i="1"/>
  <c r="CH207" i="1"/>
  <c r="CG207" i="1"/>
  <c r="CF207" i="1"/>
  <c r="CD207" i="1"/>
  <c r="CC207" i="1"/>
  <c r="CB207" i="1"/>
  <c r="CA207" i="1"/>
  <c r="BZ207" i="1"/>
  <c r="BY207" i="1"/>
  <c r="BX207" i="1"/>
  <c r="BU207" i="1"/>
  <c r="BN207" i="1"/>
  <c r="BS207" i="1" s="1"/>
  <c r="BA207" i="1"/>
  <c r="AZ207" i="1"/>
  <c r="AY207" i="1"/>
  <c r="AX207" i="1"/>
  <c r="AW207" i="1"/>
  <c r="AV207" i="1"/>
  <c r="AT207" i="1"/>
  <c r="AS207" i="1"/>
  <c r="CS206" i="1"/>
  <c r="CR206" i="1"/>
  <c r="CQ206" i="1"/>
  <c r="CP206" i="1"/>
  <c r="CO206" i="1"/>
  <c r="CN206" i="1"/>
  <c r="CL206" i="1"/>
  <c r="CK206" i="1"/>
  <c r="CJ206" i="1"/>
  <c r="CI206" i="1"/>
  <c r="CH206" i="1"/>
  <c r="CG206" i="1"/>
  <c r="CF206" i="1"/>
  <c r="CD206" i="1"/>
  <c r="CC206" i="1"/>
  <c r="CB206" i="1"/>
  <c r="CA206" i="1"/>
  <c r="BZ206" i="1"/>
  <c r="BY206" i="1"/>
  <c r="BX206" i="1"/>
  <c r="BU206" i="1"/>
  <c r="BN206" i="1"/>
  <c r="BS206" i="1" s="1"/>
  <c r="BA206" i="1"/>
  <c r="AZ206" i="1"/>
  <c r="AY206" i="1"/>
  <c r="AX206" i="1"/>
  <c r="AW206" i="1"/>
  <c r="AV206" i="1"/>
  <c r="AT206" i="1"/>
  <c r="AS206" i="1"/>
  <c r="CS205" i="1"/>
  <c r="CR205" i="1"/>
  <c r="CQ205" i="1"/>
  <c r="CP205" i="1"/>
  <c r="CO205" i="1"/>
  <c r="CN205" i="1"/>
  <c r="CL205" i="1"/>
  <c r="CK205" i="1"/>
  <c r="CJ205" i="1"/>
  <c r="CI205" i="1"/>
  <c r="CH205" i="1"/>
  <c r="CG205" i="1"/>
  <c r="CF205" i="1"/>
  <c r="CD205" i="1"/>
  <c r="CC205" i="1"/>
  <c r="CB205" i="1"/>
  <c r="CA205" i="1"/>
  <c r="BZ205" i="1"/>
  <c r="BY205" i="1"/>
  <c r="BX205" i="1"/>
  <c r="BU205" i="1"/>
  <c r="BN205" i="1"/>
  <c r="BS205" i="1" s="1"/>
  <c r="BA205" i="1"/>
  <c r="AZ205" i="1"/>
  <c r="AY205" i="1"/>
  <c r="AX205" i="1"/>
  <c r="AW205" i="1"/>
  <c r="AV205" i="1"/>
  <c r="AT205" i="1"/>
  <c r="AS205" i="1"/>
  <c r="CS204" i="1"/>
  <c r="CR204" i="1"/>
  <c r="CQ204" i="1"/>
  <c r="CP204" i="1"/>
  <c r="CO204" i="1"/>
  <c r="CN204" i="1"/>
  <c r="CL204" i="1"/>
  <c r="CK204" i="1"/>
  <c r="CJ204" i="1"/>
  <c r="CI204" i="1"/>
  <c r="CH204" i="1"/>
  <c r="CG204" i="1"/>
  <c r="CF204" i="1"/>
  <c r="CD204" i="1"/>
  <c r="CC204" i="1"/>
  <c r="CB204" i="1"/>
  <c r="CA204" i="1"/>
  <c r="BZ204" i="1"/>
  <c r="BY204" i="1"/>
  <c r="BX204" i="1"/>
  <c r="BU204" i="1"/>
  <c r="BN204" i="1"/>
  <c r="BS204" i="1" s="1"/>
  <c r="BA204" i="1"/>
  <c r="AZ204" i="1"/>
  <c r="AY204" i="1"/>
  <c r="AX204" i="1"/>
  <c r="AW204" i="1"/>
  <c r="AV204" i="1"/>
  <c r="AT204" i="1"/>
  <c r="AS204" i="1"/>
  <c r="CS203" i="1"/>
  <c r="CR203" i="1"/>
  <c r="CQ203" i="1"/>
  <c r="CP203" i="1"/>
  <c r="CO203" i="1"/>
  <c r="CN203" i="1"/>
  <c r="CL203" i="1"/>
  <c r="CK203" i="1"/>
  <c r="CJ203" i="1"/>
  <c r="CI203" i="1"/>
  <c r="CH203" i="1"/>
  <c r="CG203" i="1"/>
  <c r="CF203" i="1"/>
  <c r="CD203" i="1"/>
  <c r="CC203" i="1"/>
  <c r="CB203" i="1"/>
  <c r="CA203" i="1"/>
  <c r="BZ203" i="1"/>
  <c r="BY203" i="1"/>
  <c r="BX203" i="1"/>
  <c r="BU203" i="1"/>
  <c r="BN203" i="1"/>
  <c r="BS203" i="1" s="1"/>
  <c r="BA203" i="1"/>
  <c r="AZ203" i="1"/>
  <c r="AY203" i="1"/>
  <c r="AX203" i="1"/>
  <c r="AW203" i="1"/>
  <c r="AV203" i="1"/>
  <c r="AT203" i="1"/>
  <c r="AS203" i="1"/>
  <c r="CS202" i="1"/>
  <c r="CR202" i="1"/>
  <c r="CQ202" i="1"/>
  <c r="CP202" i="1"/>
  <c r="CO202" i="1"/>
  <c r="CN202" i="1"/>
  <c r="CL202" i="1"/>
  <c r="CK202" i="1"/>
  <c r="CJ202" i="1"/>
  <c r="CI202" i="1"/>
  <c r="CH202" i="1"/>
  <c r="CG202" i="1"/>
  <c r="CF202" i="1"/>
  <c r="CD202" i="1"/>
  <c r="CC202" i="1"/>
  <c r="CB202" i="1"/>
  <c r="CA202" i="1"/>
  <c r="BZ202" i="1"/>
  <c r="BY202" i="1"/>
  <c r="BX202" i="1"/>
  <c r="BU202" i="1"/>
  <c r="BN202" i="1"/>
  <c r="BS202" i="1" s="1"/>
  <c r="BA202" i="1"/>
  <c r="AZ202" i="1"/>
  <c r="AY202" i="1"/>
  <c r="AX202" i="1"/>
  <c r="AW202" i="1"/>
  <c r="AV202" i="1"/>
  <c r="AT202" i="1"/>
  <c r="AS202" i="1"/>
  <c r="CS201" i="1"/>
  <c r="CR201" i="1"/>
  <c r="CQ201" i="1"/>
  <c r="CP201" i="1"/>
  <c r="CO201" i="1"/>
  <c r="CN201" i="1"/>
  <c r="CL201" i="1"/>
  <c r="CK201" i="1"/>
  <c r="CJ201" i="1"/>
  <c r="CI201" i="1"/>
  <c r="CH201" i="1"/>
  <c r="CG201" i="1"/>
  <c r="CF201" i="1"/>
  <c r="CD201" i="1"/>
  <c r="CC201" i="1"/>
  <c r="CB201" i="1"/>
  <c r="CA201" i="1"/>
  <c r="BZ201" i="1"/>
  <c r="BY201" i="1"/>
  <c r="BX201" i="1"/>
  <c r="BU201" i="1"/>
  <c r="BN201" i="1"/>
  <c r="BS201" i="1" s="1"/>
  <c r="BA201" i="1"/>
  <c r="AZ201" i="1"/>
  <c r="AY201" i="1"/>
  <c r="AX201" i="1"/>
  <c r="AW201" i="1"/>
  <c r="AV201" i="1"/>
  <c r="AT201" i="1"/>
  <c r="AS201" i="1"/>
  <c r="CS200" i="1"/>
  <c r="CR200" i="1"/>
  <c r="CQ200" i="1"/>
  <c r="CP200" i="1"/>
  <c r="CO200" i="1"/>
  <c r="CN200" i="1"/>
  <c r="CL200" i="1"/>
  <c r="CK200" i="1"/>
  <c r="CJ200" i="1"/>
  <c r="CI200" i="1"/>
  <c r="CH200" i="1"/>
  <c r="CG200" i="1"/>
  <c r="CF200" i="1"/>
  <c r="CD200" i="1"/>
  <c r="CC200" i="1"/>
  <c r="CB200" i="1"/>
  <c r="CA200" i="1"/>
  <c r="BZ200" i="1"/>
  <c r="BY200" i="1"/>
  <c r="BX200" i="1"/>
  <c r="BU200" i="1"/>
  <c r="BN200" i="1"/>
  <c r="BS200" i="1" s="1"/>
  <c r="BA200" i="1"/>
  <c r="AZ200" i="1"/>
  <c r="AY200" i="1"/>
  <c r="AX200" i="1"/>
  <c r="AW200" i="1"/>
  <c r="AV200" i="1"/>
  <c r="AT200" i="1"/>
  <c r="AS200" i="1"/>
  <c r="CS199" i="1"/>
  <c r="CR199" i="1"/>
  <c r="CQ199" i="1"/>
  <c r="CP199" i="1"/>
  <c r="CO199" i="1"/>
  <c r="CN199" i="1"/>
  <c r="CL199" i="1"/>
  <c r="CK199" i="1"/>
  <c r="CJ199" i="1"/>
  <c r="CI199" i="1"/>
  <c r="CH199" i="1"/>
  <c r="CG199" i="1"/>
  <c r="CF199" i="1"/>
  <c r="CD199" i="1"/>
  <c r="CC199" i="1"/>
  <c r="CB199" i="1"/>
  <c r="CA199" i="1"/>
  <c r="BZ199" i="1"/>
  <c r="BY199" i="1"/>
  <c r="BX199" i="1"/>
  <c r="BU199" i="1"/>
  <c r="BN199" i="1"/>
  <c r="BS199" i="1" s="1"/>
  <c r="BA199" i="1"/>
  <c r="AZ199" i="1"/>
  <c r="AY199" i="1"/>
  <c r="AX199" i="1"/>
  <c r="AW199" i="1"/>
  <c r="AV199" i="1"/>
  <c r="AT199" i="1"/>
  <c r="AS199" i="1"/>
  <c r="CS198" i="1"/>
  <c r="CR198" i="1"/>
  <c r="CQ198" i="1"/>
  <c r="CP198" i="1"/>
  <c r="CO198" i="1"/>
  <c r="CN198" i="1"/>
  <c r="CL198" i="1"/>
  <c r="CK198" i="1"/>
  <c r="CJ198" i="1"/>
  <c r="CI198" i="1"/>
  <c r="CH198" i="1"/>
  <c r="CG198" i="1"/>
  <c r="CF198" i="1"/>
  <c r="CD198" i="1"/>
  <c r="CC198" i="1"/>
  <c r="CB198" i="1"/>
  <c r="CA198" i="1"/>
  <c r="BZ198" i="1"/>
  <c r="BY198" i="1"/>
  <c r="BX198" i="1"/>
  <c r="BU198" i="1"/>
  <c r="BN198" i="1"/>
  <c r="BS198" i="1" s="1"/>
  <c r="BA198" i="1"/>
  <c r="AZ198" i="1"/>
  <c r="AY198" i="1"/>
  <c r="AX198" i="1"/>
  <c r="AW198" i="1"/>
  <c r="AV198" i="1"/>
  <c r="AT198" i="1"/>
  <c r="AS198" i="1"/>
  <c r="CS197" i="1"/>
  <c r="CR197" i="1"/>
  <c r="CQ197" i="1"/>
  <c r="CP197" i="1"/>
  <c r="CO197" i="1"/>
  <c r="CN197" i="1"/>
  <c r="CL197" i="1"/>
  <c r="CK197" i="1"/>
  <c r="CJ197" i="1"/>
  <c r="CI197" i="1"/>
  <c r="CH197" i="1"/>
  <c r="CG197" i="1"/>
  <c r="CF197" i="1"/>
  <c r="CD197" i="1"/>
  <c r="CC197" i="1"/>
  <c r="CB197" i="1"/>
  <c r="CA197" i="1"/>
  <c r="BZ197" i="1"/>
  <c r="BY197" i="1"/>
  <c r="BX197" i="1"/>
  <c r="BU197" i="1"/>
  <c r="BN197" i="1"/>
  <c r="BS197" i="1" s="1"/>
  <c r="BA197" i="1"/>
  <c r="AZ197" i="1"/>
  <c r="AY197" i="1"/>
  <c r="AX197" i="1"/>
  <c r="AW197" i="1"/>
  <c r="AV197" i="1"/>
  <c r="AT197" i="1"/>
  <c r="AS197" i="1"/>
  <c r="CS196" i="1"/>
  <c r="CR196" i="1"/>
  <c r="CQ196" i="1"/>
  <c r="CP196" i="1"/>
  <c r="CO196" i="1"/>
  <c r="CN196" i="1"/>
  <c r="CL196" i="1"/>
  <c r="CK196" i="1"/>
  <c r="CJ196" i="1"/>
  <c r="CI196" i="1"/>
  <c r="CH196" i="1"/>
  <c r="CG196" i="1"/>
  <c r="CF196" i="1"/>
  <c r="CD196" i="1"/>
  <c r="CC196" i="1"/>
  <c r="CB196" i="1"/>
  <c r="CA196" i="1"/>
  <c r="BZ196" i="1"/>
  <c r="BY196" i="1"/>
  <c r="BX196" i="1"/>
  <c r="BU196" i="1"/>
  <c r="BN196" i="1"/>
  <c r="BS196" i="1" s="1"/>
  <c r="BA196" i="1"/>
  <c r="AZ196" i="1"/>
  <c r="AY196" i="1"/>
  <c r="AX196" i="1"/>
  <c r="AW196" i="1"/>
  <c r="AV196" i="1"/>
  <c r="AT196" i="1"/>
  <c r="AS196" i="1"/>
  <c r="CS195" i="1"/>
  <c r="CR195" i="1"/>
  <c r="CQ195" i="1"/>
  <c r="CP195" i="1"/>
  <c r="CO195" i="1"/>
  <c r="CN195" i="1"/>
  <c r="CL195" i="1"/>
  <c r="CK195" i="1"/>
  <c r="CJ195" i="1"/>
  <c r="CI195" i="1"/>
  <c r="CH195" i="1"/>
  <c r="CG195" i="1"/>
  <c r="CF195" i="1"/>
  <c r="CD195" i="1"/>
  <c r="CC195" i="1"/>
  <c r="CB195" i="1"/>
  <c r="CA195" i="1"/>
  <c r="BZ195" i="1"/>
  <c r="BY195" i="1"/>
  <c r="BX195" i="1"/>
  <c r="BU195" i="1"/>
  <c r="BN195" i="1"/>
  <c r="BS195" i="1" s="1"/>
  <c r="BA195" i="1"/>
  <c r="AZ195" i="1"/>
  <c r="AY195" i="1"/>
  <c r="AX195" i="1"/>
  <c r="AW195" i="1"/>
  <c r="AV195" i="1"/>
  <c r="AT195" i="1"/>
  <c r="AS195" i="1"/>
  <c r="CS194" i="1"/>
  <c r="CR194" i="1"/>
  <c r="CQ194" i="1"/>
  <c r="CP194" i="1"/>
  <c r="CO194" i="1"/>
  <c r="CN194" i="1"/>
  <c r="CL194" i="1"/>
  <c r="CK194" i="1"/>
  <c r="CJ194" i="1"/>
  <c r="CI194" i="1"/>
  <c r="CH194" i="1"/>
  <c r="CG194" i="1"/>
  <c r="CF194" i="1"/>
  <c r="CD194" i="1"/>
  <c r="CC194" i="1"/>
  <c r="CB194" i="1"/>
  <c r="CA194" i="1"/>
  <c r="BZ194" i="1"/>
  <c r="BY194" i="1"/>
  <c r="BX194" i="1"/>
  <c r="BU194" i="1"/>
  <c r="BN194" i="1"/>
  <c r="BS194" i="1" s="1"/>
  <c r="BA194" i="1"/>
  <c r="AZ194" i="1"/>
  <c r="AY194" i="1"/>
  <c r="AX194" i="1"/>
  <c r="AW194" i="1"/>
  <c r="AV194" i="1"/>
  <c r="AT194" i="1"/>
  <c r="AS194" i="1"/>
  <c r="CS193" i="1"/>
  <c r="CR193" i="1"/>
  <c r="CQ193" i="1"/>
  <c r="CP193" i="1"/>
  <c r="CO193" i="1"/>
  <c r="CN193" i="1"/>
  <c r="CL193" i="1"/>
  <c r="CK193" i="1"/>
  <c r="CJ193" i="1"/>
  <c r="CI193" i="1"/>
  <c r="CH193" i="1"/>
  <c r="CG193" i="1"/>
  <c r="CF193" i="1"/>
  <c r="CD193" i="1"/>
  <c r="CC193" i="1"/>
  <c r="CB193" i="1"/>
  <c r="CA193" i="1"/>
  <c r="BZ193" i="1"/>
  <c r="BY193" i="1"/>
  <c r="BX193" i="1"/>
  <c r="BU193" i="1"/>
  <c r="BN193" i="1"/>
  <c r="BS193" i="1" s="1"/>
  <c r="BA193" i="1"/>
  <c r="AZ193" i="1"/>
  <c r="AY193" i="1"/>
  <c r="AX193" i="1"/>
  <c r="AW193" i="1"/>
  <c r="AV193" i="1"/>
  <c r="AT193" i="1"/>
  <c r="AS193" i="1"/>
  <c r="CS192" i="1"/>
  <c r="CR192" i="1"/>
  <c r="CQ192" i="1"/>
  <c r="CP192" i="1"/>
  <c r="CO192" i="1"/>
  <c r="CN192" i="1"/>
  <c r="CL192" i="1"/>
  <c r="CK192" i="1"/>
  <c r="CJ192" i="1"/>
  <c r="CI192" i="1"/>
  <c r="CH192" i="1"/>
  <c r="CG192" i="1"/>
  <c r="CF192" i="1"/>
  <c r="CD192" i="1"/>
  <c r="CC192" i="1"/>
  <c r="CB192" i="1"/>
  <c r="CA192" i="1"/>
  <c r="BZ192" i="1"/>
  <c r="BY192" i="1"/>
  <c r="BX192" i="1"/>
  <c r="BU192" i="1"/>
  <c r="BN192" i="1"/>
  <c r="BS192" i="1" s="1"/>
  <c r="BA192" i="1"/>
  <c r="AZ192" i="1"/>
  <c r="AY192" i="1"/>
  <c r="AX192" i="1"/>
  <c r="AW192" i="1"/>
  <c r="AV192" i="1"/>
  <c r="AT192" i="1"/>
  <c r="AS192" i="1"/>
  <c r="CS191" i="1"/>
  <c r="CR191" i="1"/>
  <c r="CQ191" i="1"/>
  <c r="CP191" i="1"/>
  <c r="CO191" i="1"/>
  <c r="CN191" i="1"/>
  <c r="CL191" i="1"/>
  <c r="CK191" i="1"/>
  <c r="CJ191" i="1"/>
  <c r="CI191" i="1"/>
  <c r="CH191" i="1"/>
  <c r="CG191" i="1"/>
  <c r="CF191" i="1"/>
  <c r="CD191" i="1"/>
  <c r="CC191" i="1"/>
  <c r="CB191" i="1"/>
  <c r="CA191" i="1"/>
  <c r="BZ191" i="1"/>
  <c r="BY191" i="1"/>
  <c r="BX191" i="1"/>
  <c r="BU191" i="1"/>
  <c r="BN191" i="1"/>
  <c r="BS191" i="1" s="1"/>
  <c r="BA191" i="1"/>
  <c r="AZ191" i="1"/>
  <c r="AY191" i="1"/>
  <c r="AX191" i="1"/>
  <c r="AW191" i="1"/>
  <c r="AV191" i="1"/>
  <c r="AT191" i="1"/>
  <c r="AS191" i="1"/>
  <c r="CS190" i="1"/>
  <c r="CR190" i="1"/>
  <c r="CQ190" i="1"/>
  <c r="CP190" i="1"/>
  <c r="CO190" i="1"/>
  <c r="CN190" i="1"/>
  <c r="CL190" i="1"/>
  <c r="CK190" i="1"/>
  <c r="CJ190" i="1"/>
  <c r="CI190" i="1"/>
  <c r="CH190" i="1"/>
  <c r="CG190" i="1"/>
  <c r="CF190" i="1"/>
  <c r="CD190" i="1"/>
  <c r="CC190" i="1"/>
  <c r="CB190" i="1"/>
  <c r="CA190" i="1"/>
  <c r="BZ190" i="1"/>
  <c r="BY190" i="1"/>
  <c r="BX190" i="1"/>
  <c r="BU190" i="1"/>
  <c r="BN190" i="1"/>
  <c r="BS190" i="1" s="1"/>
  <c r="BA190" i="1"/>
  <c r="AZ190" i="1"/>
  <c r="AY190" i="1"/>
  <c r="AX190" i="1"/>
  <c r="AW190" i="1"/>
  <c r="AV190" i="1"/>
  <c r="AT190" i="1"/>
  <c r="AS190" i="1"/>
  <c r="CS189" i="1"/>
  <c r="CR189" i="1"/>
  <c r="CQ189" i="1"/>
  <c r="CP189" i="1"/>
  <c r="CO189" i="1"/>
  <c r="CN189" i="1"/>
  <c r="CL189" i="1"/>
  <c r="CK189" i="1"/>
  <c r="CJ189" i="1"/>
  <c r="CI189" i="1"/>
  <c r="CH189" i="1"/>
  <c r="CG189" i="1"/>
  <c r="CF189" i="1"/>
  <c r="CD189" i="1"/>
  <c r="CC189" i="1"/>
  <c r="CB189" i="1"/>
  <c r="CA189" i="1"/>
  <c r="BZ189" i="1"/>
  <c r="BY189" i="1"/>
  <c r="BX189" i="1"/>
  <c r="BU189" i="1"/>
  <c r="BN189" i="1"/>
  <c r="BS189" i="1" s="1"/>
  <c r="BA189" i="1"/>
  <c r="AZ189" i="1"/>
  <c r="AY189" i="1"/>
  <c r="AX189" i="1"/>
  <c r="AW189" i="1"/>
  <c r="AV189" i="1"/>
  <c r="AT189" i="1"/>
  <c r="AS189" i="1"/>
  <c r="CS188" i="1"/>
  <c r="CR188" i="1"/>
  <c r="CQ188" i="1"/>
  <c r="CP188" i="1"/>
  <c r="CO188" i="1"/>
  <c r="CN188" i="1"/>
  <c r="CL188" i="1"/>
  <c r="CK188" i="1"/>
  <c r="CJ188" i="1"/>
  <c r="CI188" i="1"/>
  <c r="CH188" i="1"/>
  <c r="CG188" i="1"/>
  <c r="CF188" i="1"/>
  <c r="CD188" i="1"/>
  <c r="CC188" i="1"/>
  <c r="CB188" i="1"/>
  <c r="CA188" i="1"/>
  <c r="BZ188" i="1"/>
  <c r="BY188" i="1"/>
  <c r="BX188" i="1"/>
  <c r="BU188" i="1"/>
  <c r="BN188" i="1"/>
  <c r="BS188" i="1" s="1"/>
  <c r="BA188" i="1"/>
  <c r="AZ188" i="1"/>
  <c r="AY188" i="1"/>
  <c r="AX188" i="1"/>
  <c r="AW188" i="1"/>
  <c r="AV188" i="1"/>
  <c r="AT188" i="1"/>
  <c r="AS188" i="1"/>
  <c r="CS187" i="1"/>
  <c r="CR187" i="1"/>
  <c r="CQ187" i="1"/>
  <c r="CP187" i="1"/>
  <c r="CO187" i="1"/>
  <c r="CN187" i="1"/>
  <c r="CL187" i="1"/>
  <c r="CK187" i="1"/>
  <c r="CJ187" i="1"/>
  <c r="CI187" i="1"/>
  <c r="CH187" i="1"/>
  <c r="CG187" i="1"/>
  <c r="CF187" i="1"/>
  <c r="CD187" i="1"/>
  <c r="CC187" i="1"/>
  <c r="CB187" i="1"/>
  <c r="CA187" i="1"/>
  <c r="BZ187" i="1"/>
  <c r="BY187" i="1"/>
  <c r="BX187" i="1"/>
  <c r="BU187" i="1"/>
  <c r="BN187" i="1"/>
  <c r="BS187" i="1" s="1"/>
  <c r="BA187" i="1"/>
  <c r="AZ187" i="1"/>
  <c r="AY187" i="1"/>
  <c r="AX187" i="1"/>
  <c r="AW187" i="1"/>
  <c r="AV187" i="1"/>
  <c r="AT187" i="1"/>
  <c r="AS187" i="1"/>
  <c r="CS186" i="1"/>
  <c r="CR186" i="1"/>
  <c r="CQ186" i="1"/>
  <c r="CP186" i="1"/>
  <c r="CO186" i="1"/>
  <c r="CN186" i="1"/>
  <c r="CL186" i="1"/>
  <c r="CK186" i="1"/>
  <c r="CJ186" i="1"/>
  <c r="CI186" i="1"/>
  <c r="CH186" i="1"/>
  <c r="CG186" i="1"/>
  <c r="CF186" i="1"/>
  <c r="CD186" i="1"/>
  <c r="CC186" i="1"/>
  <c r="CB186" i="1"/>
  <c r="CA186" i="1"/>
  <c r="BZ186" i="1"/>
  <c r="BY186" i="1"/>
  <c r="BX186" i="1"/>
  <c r="BU186" i="1"/>
  <c r="BN186" i="1"/>
  <c r="BS186" i="1" s="1"/>
  <c r="BA186" i="1"/>
  <c r="AZ186" i="1"/>
  <c r="AY186" i="1"/>
  <c r="AX186" i="1"/>
  <c r="AW186" i="1"/>
  <c r="AV186" i="1"/>
  <c r="AT186" i="1"/>
  <c r="AS186" i="1"/>
  <c r="CS185" i="1"/>
  <c r="CR185" i="1"/>
  <c r="CQ185" i="1"/>
  <c r="CP185" i="1"/>
  <c r="CO185" i="1"/>
  <c r="CN185" i="1"/>
  <c r="CL185" i="1"/>
  <c r="CK185" i="1"/>
  <c r="CJ185" i="1"/>
  <c r="CI185" i="1"/>
  <c r="CH185" i="1"/>
  <c r="CG185" i="1"/>
  <c r="CF185" i="1"/>
  <c r="CD185" i="1"/>
  <c r="CC185" i="1"/>
  <c r="CB185" i="1"/>
  <c r="CA185" i="1"/>
  <c r="BZ185" i="1"/>
  <c r="BY185" i="1"/>
  <c r="BX185" i="1"/>
  <c r="BU185" i="1"/>
  <c r="BN185" i="1"/>
  <c r="BS185" i="1" s="1"/>
  <c r="BA185" i="1"/>
  <c r="AZ185" i="1"/>
  <c r="AY185" i="1"/>
  <c r="AX185" i="1"/>
  <c r="AW185" i="1"/>
  <c r="AV185" i="1"/>
  <c r="AT185" i="1"/>
  <c r="AS185" i="1"/>
  <c r="CS184" i="1"/>
  <c r="CR184" i="1"/>
  <c r="CQ184" i="1"/>
  <c r="CP184" i="1"/>
  <c r="CO184" i="1"/>
  <c r="CN184" i="1"/>
  <c r="CL184" i="1"/>
  <c r="CK184" i="1"/>
  <c r="CJ184" i="1"/>
  <c r="CI184" i="1"/>
  <c r="CH184" i="1"/>
  <c r="CG184" i="1"/>
  <c r="CF184" i="1"/>
  <c r="CD184" i="1"/>
  <c r="CC184" i="1"/>
  <c r="CB184" i="1"/>
  <c r="CA184" i="1"/>
  <c r="BZ184" i="1"/>
  <c r="BY184" i="1"/>
  <c r="BX184" i="1"/>
  <c r="BU184" i="1"/>
  <c r="BN184" i="1"/>
  <c r="BS184" i="1" s="1"/>
  <c r="BA184" i="1"/>
  <c r="AZ184" i="1"/>
  <c r="AY184" i="1"/>
  <c r="AX184" i="1"/>
  <c r="AW184" i="1"/>
  <c r="AV184" i="1"/>
  <c r="AT184" i="1"/>
  <c r="AS184" i="1"/>
  <c r="CS183" i="1"/>
  <c r="CR183" i="1"/>
  <c r="CQ183" i="1"/>
  <c r="CP183" i="1"/>
  <c r="CO183" i="1"/>
  <c r="CN183" i="1"/>
  <c r="CL183" i="1"/>
  <c r="CK183" i="1"/>
  <c r="CJ183" i="1"/>
  <c r="CI183" i="1"/>
  <c r="CH183" i="1"/>
  <c r="CG183" i="1"/>
  <c r="CF183" i="1"/>
  <c r="CD183" i="1"/>
  <c r="CC183" i="1"/>
  <c r="CB183" i="1"/>
  <c r="CA183" i="1"/>
  <c r="BZ183" i="1"/>
  <c r="BY183" i="1"/>
  <c r="BX183" i="1"/>
  <c r="BU183" i="1"/>
  <c r="BN183" i="1"/>
  <c r="BS183" i="1" s="1"/>
  <c r="BA183" i="1"/>
  <c r="AZ183" i="1"/>
  <c r="AY183" i="1"/>
  <c r="AX183" i="1"/>
  <c r="AW183" i="1"/>
  <c r="AV183" i="1"/>
  <c r="AT183" i="1"/>
  <c r="AS183" i="1"/>
  <c r="CS182" i="1"/>
  <c r="CR182" i="1"/>
  <c r="CQ182" i="1"/>
  <c r="CP182" i="1"/>
  <c r="CO182" i="1"/>
  <c r="CN182" i="1"/>
  <c r="CL182" i="1"/>
  <c r="CK182" i="1"/>
  <c r="CJ182" i="1"/>
  <c r="CI182" i="1"/>
  <c r="CH182" i="1"/>
  <c r="CG182" i="1"/>
  <c r="CF182" i="1"/>
  <c r="CD182" i="1"/>
  <c r="CC182" i="1"/>
  <c r="CB182" i="1"/>
  <c r="CA182" i="1"/>
  <c r="BZ182" i="1"/>
  <c r="BY182" i="1"/>
  <c r="BX182" i="1"/>
  <c r="BU182" i="1"/>
  <c r="BN182" i="1"/>
  <c r="BS182" i="1" s="1"/>
  <c r="BA182" i="1"/>
  <c r="AZ182" i="1"/>
  <c r="AY182" i="1"/>
  <c r="AX182" i="1"/>
  <c r="AW182" i="1"/>
  <c r="AV182" i="1"/>
  <c r="AT182" i="1"/>
  <c r="AS182" i="1"/>
  <c r="CS181" i="1"/>
  <c r="CR181" i="1"/>
  <c r="CQ181" i="1"/>
  <c r="CP181" i="1"/>
  <c r="CO181" i="1"/>
  <c r="CN181" i="1"/>
  <c r="CL181" i="1"/>
  <c r="CK181" i="1"/>
  <c r="CJ181" i="1"/>
  <c r="CI181" i="1"/>
  <c r="CH181" i="1"/>
  <c r="CG181" i="1"/>
  <c r="CF181" i="1"/>
  <c r="CD181" i="1"/>
  <c r="CC181" i="1"/>
  <c r="CB181" i="1"/>
  <c r="CA181" i="1"/>
  <c r="BZ181" i="1"/>
  <c r="BY181" i="1"/>
  <c r="BX181" i="1"/>
  <c r="BU181" i="1"/>
  <c r="BN181" i="1"/>
  <c r="BS181" i="1" s="1"/>
  <c r="BA181" i="1"/>
  <c r="AZ181" i="1"/>
  <c r="AY181" i="1"/>
  <c r="AX181" i="1"/>
  <c r="AW181" i="1"/>
  <c r="AV181" i="1"/>
  <c r="AT181" i="1"/>
  <c r="AS181" i="1"/>
  <c r="CS180" i="1"/>
  <c r="CR180" i="1"/>
  <c r="CQ180" i="1"/>
  <c r="CP180" i="1"/>
  <c r="CO180" i="1"/>
  <c r="CN180" i="1"/>
  <c r="CL180" i="1"/>
  <c r="CK180" i="1"/>
  <c r="CJ180" i="1"/>
  <c r="CI180" i="1"/>
  <c r="CH180" i="1"/>
  <c r="CG180" i="1"/>
  <c r="CF180" i="1"/>
  <c r="CD180" i="1"/>
  <c r="CC180" i="1"/>
  <c r="CB180" i="1"/>
  <c r="CA180" i="1"/>
  <c r="BZ180" i="1"/>
  <c r="BY180" i="1"/>
  <c r="BX180" i="1"/>
  <c r="BU180" i="1"/>
  <c r="BN180" i="1"/>
  <c r="BS180" i="1" s="1"/>
  <c r="BA180" i="1"/>
  <c r="AZ180" i="1"/>
  <c r="AY180" i="1"/>
  <c r="AX180" i="1"/>
  <c r="AW180" i="1"/>
  <c r="AV180" i="1"/>
  <c r="AT180" i="1"/>
  <c r="AS180" i="1"/>
  <c r="CS179" i="1"/>
  <c r="CR179" i="1"/>
  <c r="CQ179" i="1"/>
  <c r="CP179" i="1"/>
  <c r="CO179" i="1"/>
  <c r="CN179" i="1"/>
  <c r="CL179" i="1"/>
  <c r="CK179" i="1"/>
  <c r="CJ179" i="1"/>
  <c r="CI179" i="1"/>
  <c r="CH179" i="1"/>
  <c r="CG179" i="1"/>
  <c r="CF179" i="1"/>
  <c r="CD179" i="1"/>
  <c r="CC179" i="1"/>
  <c r="CB179" i="1"/>
  <c r="CA179" i="1"/>
  <c r="BZ179" i="1"/>
  <c r="BY179" i="1"/>
  <c r="BX179" i="1"/>
  <c r="BU179" i="1"/>
  <c r="BN179" i="1"/>
  <c r="BS179" i="1" s="1"/>
  <c r="BA179" i="1"/>
  <c r="AZ179" i="1"/>
  <c r="AY179" i="1"/>
  <c r="AX179" i="1"/>
  <c r="AW179" i="1"/>
  <c r="AV179" i="1"/>
  <c r="AT179" i="1"/>
  <c r="AS179" i="1"/>
  <c r="CS178" i="1"/>
  <c r="CR178" i="1"/>
  <c r="CQ178" i="1"/>
  <c r="CP178" i="1"/>
  <c r="CO178" i="1"/>
  <c r="CN178" i="1"/>
  <c r="CL178" i="1"/>
  <c r="CK178" i="1"/>
  <c r="CJ178" i="1"/>
  <c r="CI178" i="1"/>
  <c r="CH178" i="1"/>
  <c r="CG178" i="1"/>
  <c r="CF178" i="1"/>
  <c r="CD178" i="1"/>
  <c r="CC178" i="1"/>
  <c r="CB178" i="1"/>
  <c r="CA178" i="1"/>
  <c r="BZ178" i="1"/>
  <c r="BY178" i="1"/>
  <c r="BX178" i="1"/>
  <c r="BU178" i="1"/>
  <c r="BN178" i="1"/>
  <c r="BS178" i="1" s="1"/>
  <c r="BA178" i="1"/>
  <c r="AZ178" i="1"/>
  <c r="AY178" i="1"/>
  <c r="AX178" i="1"/>
  <c r="AW178" i="1"/>
  <c r="AV178" i="1"/>
  <c r="AT178" i="1"/>
  <c r="AS178" i="1"/>
  <c r="CS177" i="1"/>
  <c r="CR177" i="1"/>
  <c r="CQ177" i="1"/>
  <c r="CP177" i="1"/>
  <c r="CO177" i="1"/>
  <c r="CN177" i="1"/>
  <c r="CL177" i="1"/>
  <c r="CK177" i="1"/>
  <c r="CJ177" i="1"/>
  <c r="CI177" i="1"/>
  <c r="CH177" i="1"/>
  <c r="CG177" i="1"/>
  <c r="CF177" i="1"/>
  <c r="CD177" i="1"/>
  <c r="CC177" i="1"/>
  <c r="CB177" i="1"/>
  <c r="CA177" i="1"/>
  <c r="BZ177" i="1"/>
  <c r="BY177" i="1"/>
  <c r="BX177" i="1"/>
  <c r="BU177" i="1"/>
  <c r="BN177" i="1"/>
  <c r="BS177" i="1" s="1"/>
  <c r="BA177" i="1"/>
  <c r="AZ177" i="1"/>
  <c r="AY177" i="1"/>
  <c r="AX177" i="1"/>
  <c r="AW177" i="1"/>
  <c r="AV177" i="1"/>
  <c r="AT177" i="1"/>
  <c r="AS177" i="1"/>
  <c r="CS176" i="1"/>
  <c r="CR176" i="1"/>
  <c r="CQ176" i="1"/>
  <c r="CP176" i="1"/>
  <c r="CO176" i="1"/>
  <c r="CN176" i="1"/>
  <c r="CL176" i="1"/>
  <c r="CK176" i="1"/>
  <c r="CJ176" i="1"/>
  <c r="CI176" i="1"/>
  <c r="CH176" i="1"/>
  <c r="CG176" i="1"/>
  <c r="CF176" i="1"/>
  <c r="CD176" i="1"/>
  <c r="CC176" i="1"/>
  <c r="CB176" i="1"/>
  <c r="CA176" i="1"/>
  <c r="BZ176" i="1"/>
  <c r="BY176" i="1"/>
  <c r="BX176" i="1"/>
  <c r="BU176" i="1"/>
  <c r="BN176" i="1"/>
  <c r="BS176" i="1" s="1"/>
  <c r="BA176" i="1"/>
  <c r="AZ176" i="1"/>
  <c r="AY176" i="1"/>
  <c r="AX176" i="1"/>
  <c r="AW176" i="1"/>
  <c r="AV176" i="1"/>
  <c r="AT176" i="1"/>
  <c r="AS176" i="1"/>
  <c r="CS175" i="1"/>
  <c r="CR175" i="1"/>
  <c r="CQ175" i="1"/>
  <c r="CP175" i="1"/>
  <c r="CO175" i="1"/>
  <c r="CN175" i="1"/>
  <c r="CL175" i="1"/>
  <c r="CK175" i="1"/>
  <c r="CJ175" i="1"/>
  <c r="CI175" i="1"/>
  <c r="CH175" i="1"/>
  <c r="CG175" i="1"/>
  <c r="CF175" i="1"/>
  <c r="CD175" i="1"/>
  <c r="CC175" i="1"/>
  <c r="CB175" i="1"/>
  <c r="CA175" i="1"/>
  <c r="BZ175" i="1"/>
  <c r="BY175" i="1"/>
  <c r="BX175" i="1"/>
  <c r="BU175" i="1"/>
  <c r="BN175" i="1"/>
  <c r="BS175" i="1" s="1"/>
  <c r="BA175" i="1"/>
  <c r="AZ175" i="1"/>
  <c r="AY175" i="1"/>
  <c r="AX175" i="1"/>
  <c r="AW175" i="1"/>
  <c r="AV175" i="1"/>
  <c r="AT175" i="1"/>
  <c r="AS175" i="1"/>
  <c r="CS174" i="1"/>
  <c r="CR174" i="1"/>
  <c r="CQ174" i="1"/>
  <c r="CP174" i="1"/>
  <c r="CO174" i="1"/>
  <c r="CN174" i="1"/>
  <c r="CL174" i="1"/>
  <c r="CK174" i="1"/>
  <c r="CJ174" i="1"/>
  <c r="CI174" i="1"/>
  <c r="CH174" i="1"/>
  <c r="CG174" i="1"/>
  <c r="CF174" i="1"/>
  <c r="CD174" i="1"/>
  <c r="CC174" i="1"/>
  <c r="CB174" i="1"/>
  <c r="CA174" i="1"/>
  <c r="BZ174" i="1"/>
  <c r="BY174" i="1"/>
  <c r="BX174" i="1"/>
  <c r="BU174" i="1"/>
  <c r="BN174" i="1"/>
  <c r="BS174" i="1" s="1"/>
  <c r="BA174" i="1"/>
  <c r="AZ174" i="1"/>
  <c r="AY174" i="1"/>
  <c r="AX174" i="1"/>
  <c r="AW174" i="1"/>
  <c r="AV174" i="1"/>
  <c r="AT174" i="1"/>
  <c r="AS174" i="1"/>
  <c r="CS173" i="1"/>
  <c r="CR173" i="1"/>
  <c r="CQ173" i="1"/>
  <c r="CP173" i="1"/>
  <c r="CO173" i="1"/>
  <c r="CN173" i="1"/>
  <c r="CL173" i="1"/>
  <c r="CK173" i="1"/>
  <c r="CJ173" i="1"/>
  <c r="CI173" i="1"/>
  <c r="CH173" i="1"/>
  <c r="CG173" i="1"/>
  <c r="CF173" i="1"/>
  <c r="CD173" i="1"/>
  <c r="CC173" i="1"/>
  <c r="CB173" i="1"/>
  <c r="CA173" i="1"/>
  <c r="BZ173" i="1"/>
  <c r="BY173" i="1"/>
  <c r="BX173" i="1"/>
  <c r="BU173" i="1"/>
  <c r="BN173" i="1"/>
  <c r="BS173" i="1" s="1"/>
  <c r="BA173" i="1"/>
  <c r="AZ173" i="1"/>
  <c r="AY173" i="1"/>
  <c r="AX173" i="1"/>
  <c r="AW173" i="1"/>
  <c r="AV173" i="1"/>
  <c r="AT173" i="1"/>
  <c r="AS173" i="1"/>
  <c r="CS172" i="1"/>
  <c r="CR172" i="1"/>
  <c r="CQ172" i="1"/>
  <c r="CP172" i="1"/>
  <c r="CO172" i="1"/>
  <c r="CN172" i="1"/>
  <c r="CL172" i="1"/>
  <c r="CK172" i="1"/>
  <c r="CJ172" i="1"/>
  <c r="CI172" i="1"/>
  <c r="CH172" i="1"/>
  <c r="CG172" i="1"/>
  <c r="CF172" i="1"/>
  <c r="CD172" i="1"/>
  <c r="CC172" i="1"/>
  <c r="CB172" i="1"/>
  <c r="CA172" i="1"/>
  <c r="BZ172" i="1"/>
  <c r="BY172" i="1"/>
  <c r="BX172" i="1"/>
  <c r="BU172" i="1"/>
  <c r="BN172" i="1"/>
  <c r="BS172" i="1" s="1"/>
  <c r="BA172" i="1"/>
  <c r="AZ172" i="1"/>
  <c r="AY172" i="1"/>
  <c r="AX172" i="1"/>
  <c r="AW172" i="1"/>
  <c r="AV172" i="1"/>
  <c r="AT172" i="1"/>
  <c r="AS172" i="1"/>
  <c r="CS171" i="1"/>
  <c r="CR171" i="1"/>
  <c r="CQ171" i="1"/>
  <c r="CP171" i="1"/>
  <c r="CO171" i="1"/>
  <c r="CN171" i="1"/>
  <c r="CL171" i="1"/>
  <c r="CK171" i="1"/>
  <c r="CJ171" i="1"/>
  <c r="CI171" i="1"/>
  <c r="CH171" i="1"/>
  <c r="CG171" i="1"/>
  <c r="CF171" i="1"/>
  <c r="CD171" i="1"/>
  <c r="CC171" i="1"/>
  <c r="CB171" i="1"/>
  <c r="CA171" i="1"/>
  <c r="BZ171" i="1"/>
  <c r="BY171" i="1"/>
  <c r="BX171" i="1"/>
  <c r="BU171" i="1"/>
  <c r="BN171" i="1"/>
  <c r="BS171" i="1" s="1"/>
  <c r="BA171" i="1"/>
  <c r="AZ171" i="1"/>
  <c r="AY171" i="1"/>
  <c r="AX171" i="1"/>
  <c r="AW171" i="1"/>
  <c r="AV171" i="1"/>
  <c r="AT171" i="1"/>
  <c r="AS171" i="1"/>
  <c r="CS170" i="1"/>
  <c r="CR170" i="1"/>
  <c r="CQ170" i="1"/>
  <c r="CP170" i="1"/>
  <c r="CO170" i="1"/>
  <c r="CN170" i="1"/>
  <c r="CL170" i="1"/>
  <c r="CK170" i="1"/>
  <c r="CJ170" i="1"/>
  <c r="CI170" i="1"/>
  <c r="CH170" i="1"/>
  <c r="CG170" i="1"/>
  <c r="CF170" i="1"/>
  <c r="CD170" i="1"/>
  <c r="CC170" i="1"/>
  <c r="CB170" i="1"/>
  <c r="CA170" i="1"/>
  <c r="BZ170" i="1"/>
  <c r="BY170" i="1"/>
  <c r="BX170" i="1"/>
  <c r="BU170" i="1"/>
  <c r="BN170" i="1"/>
  <c r="BS170" i="1" s="1"/>
  <c r="BA170" i="1"/>
  <c r="AZ170" i="1"/>
  <c r="AY170" i="1"/>
  <c r="AX170" i="1"/>
  <c r="AW170" i="1"/>
  <c r="AV170" i="1"/>
  <c r="AT170" i="1"/>
  <c r="AS170" i="1"/>
  <c r="CS169" i="1"/>
  <c r="CR169" i="1"/>
  <c r="CQ169" i="1"/>
  <c r="CP169" i="1"/>
  <c r="CO169" i="1"/>
  <c r="CN169" i="1"/>
  <c r="CL169" i="1"/>
  <c r="CK169" i="1"/>
  <c r="CJ169" i="1"/>
  <c r="CI169" i="1"/>
  <c r="CH169" i="1"/>
  <c r="CG169" i="1"/>
  <c r="CF169" i="1"/>
  <c r="CD169" i="1"/>
  <c r="CC169" i="1"/>
  <c r="CB169" i="1"/>
  <c r="CA169" i="1"/>
  <c r="BZ169" i="1"/>
  <c r="BY169" i="1"/>
  <c r="BX169" i="1"/>
  <c r="BU169" i="1"/>
  <c r="BN169" i="1"/>
  <c r="BS169" i="1" s="1"/>
  <c r="BA169" i="1"/>
  <c r="AZ169" i="1"/>
  <c r="AY169" i="1"/>
  <c r="AX169" i="1"/>
  <c r="AW169" i="1"/>
  <c r="AV169" i="1"/>
  <c r="AT169" i="1"/>
  <c r="AS169" i="1"/>
  <c r="CS168" i="1"/>
  <c r="CR168" i="1"/>
  <c r="CQ168" i="1"/>
  <c r="CP168" i="1"/>
  <c r="CO168" i="1"/>
  <c r="CN168" i="1"/>
  <c r="CL168" i="1"/>
  <c r="CK168" i="1"/>
  <c r="CJ168" i="1"/>
  <c r="CI168" i="1"/>
  <c r="CH168" i="1"/>
  <c r="CG168" i="1"/>
  <c r="CF168" i="1"/>
  <c r="CD168" i="1"/>
  <c r="CC168" i="1"/>
  <c r="CB168" i="1"/>
  <c r="CA168" i="1"/>
  <c r="BZ168" i="1"/>
  <c r="BY168" i="1"/>
  <c r="BX168" i="1"/>
  <c r="BU168" i="1"/>
  <c r="BN168" i="1"/>
  <c r="BS168" i="1" s="1"/>
  <c r="BA168" i="1"/>
  <c r="AZ168" i="1"/>
  <c r="AY168" i="1"/>
  <c r="AX168" i="1"/>
  <c r="AW168" i="1"/>
  <c r="AV168" i="1"/>
  <c r="AT168" i="1"/>
  <c r="AS168" i="1"/>
  <c r="CS167" i="1"/>
  <c r="CR167" i="1"/>
  <c r="CQ167" i="1"/>
  <c r="CP167" i="1"/>
  <c r="CO167" i="1"/>
  <c r="CN167" i="1"/>
  <c r="CL167" i="1"/>
  <c r="CK167" i="1"/>
  <c r="CJ167" i="1"/>
  <c r="CI167" i="1"/>
  <c r="CH167" i="1"/>
  <c r="CG167" i="1"/>
  <c r="CF167" i="1"/>
  <c r="CD167" i="1"/>
  <c r="CC167" i="1"/>
  <c r="CB167" i="1"/>
  <c r="CA167" i="1"/>
  <c r="BZ167" i="1"/>
  <c r="BY167" i="1"/>
  <c r="BX167" i="1"/>
  <c r="BU167" i="1"/>
  <c r="BN167" i="1"/>
  <c r="BS167" i="1" s="1"/>
  <c r="BA167" i="1"/>
  <c r="AZ167" i="1"/>
  <c r="AY167" i="1"/>
  <c r="AX167" i="1"/>
  <c r="AW167" i="1"/>
  <c r="AV167" i="1"/>
  <c r="AT167" i="1"/>
  <c r="AS167" i="1"/>
  <c r="CS166" i="1"/>
  <c r="CR166" i="1"/>
  <c r="CQ166" i="1"/>
  <c r="CP166" i="1"/>
  <c r="CO166" i="1"/>
  <c r="CN166" i="1"/>
  <c r="CL166" i="1"/>
  <c r="CK166" i="1"/>
  <c r="CJ166" i="1"/>
  <c r="CI166" i="1"/>
  <c r="CH166" i="1"/>
  <c r="CG166" i="1"/>
  <c r="CF166" i="1"/>
  <c r="CD166" i="1"/>
  <c r="CC166" i="1"/>
  <c r="CB166" i="1"/>
  <c r="CA166" i="1"/>
  <c r="BZ166" i="1"/>
  <c r="BY166" i="1"/>
  <c r="BX166" i="1"/>
  <c r="BU166" i="1"/>
  <c r="BN166" i="1"/>
  <c r="BS166" i="1" s="1"/>
  <c r="BA166" i="1"/>
  <c r="AZ166" i="1"/>
  <c r="AY166" i="1"/>
  <c r="AX166" i="1"/>
  <c r="AW166" i="1"/>
  <c r="AV166" i="1"/>
  <c r="AT166" i="1"/>
  <c r="AS166" i="1"/>
  <c r="CS165" i="1"/>
  <c r="CR165" i="1"/>
  <c r="CQ165" i="1"/>
  <c r="CP165" i="1"/>
  <c r="CO165" i="1"/>
  <c r="CN165" i="1"/>
  <c r="CL165" i="1"/>
  <c r="CK165" i="1"/>
  <c r="CJ165" i="1"/>
  <c r="CI165" i="1"/>
  <c r="CH165" i="1"/>
  <c r="CG165" i="1"/>
  <c r="CF165" i="1"/>
  <c r="CD165" i="1"/>
  <c r="CC165" i="1"/>
  <c r="CB165" i="1"/>
  <c r="CA165" i="1"/>
  <c r="BZ165" i="1"/>
  <c r="BY165" i="1"/>
  <c r="BX165" i="1"/>
  <c r="BU165" i="1"/>
  <c r="BN165" i="1"/>
  <c r="BS165" i="1" s="1"/>
  <c r="BA165" i="1"/>
  <c r="AZ165" i="1"/>
  <c r="AY165" i="1"/>
  <c r="AX165" i="1"/>
  <c r="AW165" i="1"/>
  <c r="AV165" i="1"/>
  <c r="AT165" i="1"/>
  <c r="AS165" i="1"/>
  <c r="CS164" i="1"/>
  <c r="CR164" i="1"/>
  <c r="CQ164" i="1"/>
  <c r="CP164" i="1"/>
  <c r="CO164" i="1"/>
  <c r="CN164" i="1"/>
  <c r="CL164" i="1"/>
  <c r="CK164" i="1"/>
  <c r="CJ164" i="1"/>
  <c r="CI164" i="1"/>
  <c r="CH164" i="1"/>
  <c r="CG164" i="1"/>
  <c r="CF164" i="1"/>
  <c r="CD164" i="1"/>
  <c r="CC164" i="1"/>
  <c r="CB164" i="1"/>
  <c r="CA164" i="1"/>
  <c r="BZ164" i="1"/>
  <c r="BY164" i="1"/>
  <c r="BX164" i="1"/>
  <c r="BU164" i="1"/>
  <c r="BN164" i="1"/>
  <c r="BS164" i="1" s="1"/>
  <c r="BA164" i="1"/>
  <c r="AZ164" i="1"/>
  <c r="AY164" i="1"/>
  <c r="AX164" i="1"/>
  <c r="AW164" i="1"/>
  <c r="AV164" i="1"/>
  <c r="AT164" i="1"/>
  <c r="AS164" i="1"/>
  <c r="CS163" i="1"/>
  <c r="CR163" i="1"/>
  <c r="CQ163" i="1"/>
  <c r="CP163" i="1"/>
  <c r="CO163" i="1"/>
  <c r="CN163" i="1"/>
  <c r="CL163" i="1"/>
  <c r="CK163" i="1"/>
  <c r="CJ163" i="1"/>
  <c r="CI163" i="1"/>
  <c r="CH163" i="1"/>
  <c r="CG163" i="1"/>
  <c r="CF163" i="1"/>
  <c r="CD163" i="1"/>
  <c r="CC163" i="1"/>
  <c r="CB163" i="1"/>
  <c r="CA163" i="1"/>
  <c r="BZ163" i="1"/>
  <c r="BY163" i="1"/>
  <c r="BX163" i="1"/>
  <c r="BU163" i="1"/>
  <c r="BN163" i="1"/>
  <c r="BS163" i="1" s="1"/>
  <c r="BA163" i="1"/>
  <c r="AZ163" i="1"/>
  <c r="AY163" i="1"/>
  <c r="AX163" i="1"/>
  <c r="AW163" i="1"/>
  <c r="AV163" i="1"/>
  <c r="AT163" i="1"/>
  <c r="AS163" i="1"/>
  <c r="CS162" i="1"/>
  <c r="CR162" i="1"/>
  <c r="CQ162" i="1"/>
  <c r="CP162" i="1"/>
  <c r="CO162" i="1"/>
  <c r="CN162" i="1"/>
  <c r="CL162" i="1"/>
  <c r="CK162" i="1"/>
  <c r="CJ162" i="1"/>
  <c r="CI162" i="1"/>
  <c r="CH162" i="1"/>
  <c r="CG162" i="1"/>
  <c r="CF162" i="1"/>
  <c r="CD162" i="1"/>
  <c r="CC162" i="1"/>
  <c r="CB162" i="1"/>
  <c r="CA162" i="1"/>
  <c r="BZ162" i="1"/>
  <c r="BY162" i="1"/>
  <c r="BX162" i="1"/>
  <c r="BU162" i="1"/>
  <c r="BN162" i="1"/>
  <c r="BS162" i="1" s="1"/>
  <c r="BA162" i="1"/>
  <c r="AZ162" i="1"/>
  <c r="AY162" i="1"/>
  <c r="AX162" i="1"/>
  <c r="AW162" i="1"/>
  <c r="AV162" i="1"/>
  <c r="AT162" i="1"/>
  <c r="AS162" i="1"/>
  <c r="CS161" i="1"/>
  <c r="CR161" i="1"/>
  <c r="CQ161" i="1"/>
  <c r="CP161" i="1"/>
  <c r="CO161" i="1"/>
  <c r="CN161" i="1"/>
  <c r="CL161" i="1"/>
  <c r="CK161" i="1"/>
  <c r="CJ161" i="1"/>
  <c r="CI161" i="1"/>
  <c r="CH161" i="1"/>
  <c r="CG161" i="1"/>
  <c r="CF161" i="1"/>
  <c r="CD161" i="1"/>
  <c r="CC161" i="1"/>
  <c r="CB161" i="1"/>
  <c r="CA161" i="1"/>
  <c r="BZ161" i="1"/>
  <c r="BY161" i="1"/>
  <c r="BX161" i="1"/>
  <c r="BU161" i="1"/>
  <c r="BN161" i="1"/>
  <c r="BS161" i="1" s="1"/>
  <c r="BA161" i="1"/>
  <c r="AZ161" i="1"/>
  <c r="AY161" i="1"/>
  <c r="AX161" i="1"/>
  <c r="AW161" i="1"/>
  <c r="AV161" i="1"/>
  <c r="AT161" i="1"/>
  <c r="AS161" i="1"/>
  <c r="CS160" i="1"/>
  <c r="CR160" i="1"/>
  <c r="CQ160" i="1"/>
  <c r="CP160" i="1"/>
  <c r="CO160" i="1"/>
  <c r="CN160" i="1"/>
  <c r="CL160" i="1"/>
  <c r="CK160" i="1"/>
  <c r="CJ160" i="1"/>
  <c r="CI160" i="1"/>
  <c r="CH160" i="1"/>
  <c r="CG160" i="1"/>
  <c r="CF160" i="1"/>
  <c r="CD160" i="1"/>
  <c r="CC160" i="1"/>
  <c r="CB160" i="1"/>
  <c r="CA160" i="1"/>
  <c r="BZ160" i="1"/>
  <c r="BY160" i="1"/>
  <c r="BX160" i="1"/>
  <c r="BU160" i="1"/>
  <c r="BN160" i="1"/>
  <c r="BS160" i="1" s="1"/>
  <c r="BA160" i="1"/>
  <c r="AZ160" i="1"/>
  <c r="AY160" i="1"/>
  <c r="AX160" i="1"/>
  <c r="AW160" i="1"/>
  <c r="AV160" i="1"/>
  <c r="AT160" i="1"/>
  <c r="AS160" i="1"/>
  <c r="CS159" i="1"/>
  <c r="CR159" i="1"/>
  <c r="CQ159" i="1"/>
  <c r="CP159" i="1"/>
  <c r="CO159" i="1"/>
  <c r="CN159" i="1"/>
  <c r="CL159" i="1"/>
  <c r="CK159" i="1"/>
  <c r="CJ159" i="1"/>
  <c r="CI159" i="1"/>
  <c r="CH159" i="1"/>
  <c r="CG159" i="1"/>
  <c r="CF159" i="1"/>
  <c r="CD159" i="1"/>
  <c r="CC159" i="1"/>
  <c r="CB159" i="1"/>
  <c r="CA159" i="1"/>
  <c r="BZ159" i="1"/>
  <c r="BY159" i="1"/>
  <c r="BX159" i="1"/>
  <c r="BU159" i="1"/>
  <c r="BN159" i="1"/>
  <c r="BS159" i="1" s="1"/>
  <c r="BA159" i="1"/>
  <c r="AZ159" i="1"/>
  <c r="AY159" i="1"/>
  <c r="AX159" i="1"/>
  <c r="AW159" i="1"/>
  <c r="AV159" i="1"/>
  <c r="AT159" i="1"/>
  <c r="AS159" i="1"/>
  <c r="CS158" i="1"/>
  <c r="CR158" i="1"/>
  <c r="CQ158" i="1"/>
  <c r="CP158" i="1"/>
  <c r="CO158" i="1"/>
  <c r="CN158" i="1"/>
  <c r="CL158" i="1"/>
  <c r="CK158" i="1"/>
  <c r="CJ158" i="1"/>
  <c r="CI158" i="1"/>
  <c r="CH158" i="1"/>
  <c r="CG158" i="1"/>
  <c r="CF158" i="1"/>
  <c r="CD158" i="1"/>
  <c r="CC158" i="1"/>
  <c r="CB158" i="1"/>
  <c r="CA158" i="1"/>
  <c r="BZ158" i="1"/>
  <c r="BY158" i="1"/>
  <c r="BX158" i="1"/>
  <c r="BU158" i="1"/>
  <c r="BN158" i="1"/>
  <c r="BS158" i="1" s="1"/>
  <c r="BA158" i="1"/>
  <c r="AZ158" i="1"/>
  <c r="AY158" i="1"/>
  <c r="AX158" i="1"/>
  <c r="AW158" i="1"/>
  <c r="AV158" i="1"/>
  <c r="AT158" i="1"/>
  <c r="AS158" i="1"/>
  <c r="CS157" i="1"/>
  <c r="CR157" i="1"/>
  <c r="CQ157" i="1"/>
  <c r="CP157" i="1"/>
  <c r="CO157" i="1"/>
  <c r="CN157" i="1"/>
  <c r="CL157" i="1"/>
  <c r="CK157" i="1"/>
  <c r="CJ157" i="1"/>
  <c r="CI157" i="1"/>
  <c r="CH157" i="1"/>
  <c r="CG157" i="1"/>
  <c r="CF157" i="1"/>
  <c r="CD157" i="1"/>
  <c r="CC157" i="1"/>
  <c r="CB157" i="1"/>
  <c r="CA157" i="1"/>
  <c r="BZ157" i="1"/>
  <c r="BY157" i="1"/>
  <c r="BX157" i="1"/>
  <c r="BU157" i="1"/>
  <c r="BN157" i="1"/>
  <c r="BS157" i="1" s="1"/>
  <c r="BA157" i="1"/>
  <c r="AZ157" i="1"/>
  <c r="AY157" i="1"/>
  <c r="AX157" i="1"/>
  <c r="AW157" i="1"/>
  <c r="AV157" i="1"/>
  <c r="AT157" i="1"/>
  <c r="AS157" i="1"/>
  <c r="CS156" i="1"/>
  <c r="CR156" i="1"/>
  <c r="CQ156" i="1"/>
  <c r="CP156" i="1"/>
  <c r="CO156" i="1"/>
  <c r="CN156" i="1"/>
  <c r="CL156" i="1"/>
  <c r="CK156" i="1"/>
  <c r="CJ156" i="1"/>
  <c r="CI156" i="1"/>
  <c r="CH156" i="1"/>
  <c r="CG156" i="1"/>
  <c r="CF156" i="1"/>
  <c r="CD156" i="1"/>
  <c r="CC156" i="1"/>
  <c r="CB156" i="1"/>
  <c r="CA156" i="1"/>
  <c r="BZ156" i="1"/>
  <c r="BY156" i="1"/>
  <c r="BX156" i="1"/>
  <c r="BU156" i="1"/>
  <c r="BN156" i="1"/>
  <c r="BS156" i="1" s="1"/>
  <c r="BA156" i="1"/>
  <c r="AZ156" i="1"/>
  <c r="AY156" i="1"/>
  <c r="AX156" i="1"/>
  <c r="AW156" i="1"/>
  <c r="AV156" i="1"/>
  <c r="AT156" i="1"/>
  <c r="AS156" i="1"/>
  <c r="CS155" i="1"/>
  <c r="CR155" i="1"/>
  <c r="CQ155" i="1"/>
  <c r="CP155" i="1"/>
  <c r="CO155" i="1"/>
  <c r="CN155" i="1"/>
  <c r="CL155" i="1"/>
  <c r="CK155" i="1"/>
  <c r="CJ155" i="1"/>
  <c r="CI155" i="1"/>
  <c r="CH155" i="1"/>
  <c r="CG155" i="1"/>
  <c r="CF155" i="1"/>
  <c r="CD155" i="1"/>
  <c r="CC155" i="1"/>
  <c r="CB155" i="1"/>
  <c r="CA155" i="1"/>
  <c r="BZ155" i="1"/>
  <c r="BY155" i="1"/>
  <c r="BX155" i="1"/>
  <c r="BU155" i="1"/>
  <c r="BN155" i="1"/>
  <c r="BS155" i="1" s="1"/>
  <c r="BA155" i="1"/>
  <c r="AZ155" i="1"/>
  <c r="AY155" i="1"/>
  <c r="AX155" i="1"/>
  <c r="AW155" i="1"/>
  <c r="AV155" i="1"/>
  <c r="AT155" i="1"/>
  <c r="AS155" i="1"/>
  <c r="CS154" i="1"/>
  <c r="CR154" i="1"/>
  <c r="CQ154" i="1"/>
  <c r="CP154" i="1"/>
  <c r="CO154" i="1"/>
  <c r="CN154" i="1"/>
  <c r="CL154" i="1"/>
  <c r="CK154" i="1"/>
  <c r="CJ154" i="1"/>
  <c r="CI154" i="1"/>
  <c r="CH154" i="1"/>
  <c r="CG154" i="1"/>
  <c r="CF154" i="1"/>
  <c r="CD154" i="1"/>
  <c r="CC154" i="1"/>
  <c r="CB154" i="1"/>
  <c r="CA154" i="1"/>
  <c r="BZ154" i="1"/>
  <c r="BY154" i="1"/>
  <c r="BX154" i="1"/>
  <c r="BU154" i="1"/>
  <c r="BN154" i="1"/>
  <c r="BS154" i="1" s="1"/>
  <c r="BA154" i="1"/>
  <c r="AZ154" i="1"/>
  <c r="AY154" i="1"/>
  <c r="AX154" i="1"/>
  <c r="AW154" i="1"/>
  <c r="AV154" i="1"/>
  <c r="AT154" i="1"/>
  <c r="AS154" i="1"/>
  <c r="CS153" i="1"/>
  <c r="CR153" i="1"/>
  <c r="CQ153" i="1"/>
  <c r="CP153" i="1"/>
  <c r="CO153" i="1"/>
  <c r="CN153" i="1"/>
  <c r="CL153" i="1"/>
  <c r="CK153" i="1"/>
  <c r="CJ153" i="1"/>
  <c r="CI153" i="1"/>
  <c r="CH153" i="1"/>
  <c r="CG153" i="1"/>
  <c r="CF153" i="1"/>
  <c r="CD153" i="1"/>
  <c r="CC153" i="1"/>
  <c r="CB153" i="1"/>
  <c r="CA153" i="1"/>
  <c r="BZ153" i="1"/>
  <c r="BY153" i="1"/>
  <c r="BX153" i="1"/>
  <c r="BU153" i="1"/>
  <c r="BN153" i="1"/>
  <c r="BS153" i="1" s="1"/>
  <c r="BA153" i="1"/>
  <c r="AZ153" i="1"/>
  <c r="AY153" i="1"/>
  <c r="AX153" i="1"/>
  <c r="AW153" i="1"/>
  <c r="AV153" i="1"/>
  <c r="AT153" i="1"/>
  <c r="AS153" i="1"/>
  <c r="CS152" i="1"/>
  <c r="CR152" i="1"/>
  <c r="CQ152" i="1"/>
  <c r="CP152" i="1"/>
  <c r="CO152" i="1"/>
  <c r="CN152" i="1"/>
  <c r="CL152" i="1"/>
  <c r="CK152" i="1"/>
  <c r="CJ152" i="1"/>
  <c r="CI152" i="1"/>
  <c r="CH152" i="1"/>
  <c r="CG152" i="1"/>
  <c r="CF152" i="1"/>
  <c r="CD152" i="1"/>
  <c r="CC152" i="1"/>
  <c r="CB152" i="1"/>
  <c r="CA152" i="1"/>
  <c r="BZ152" i="1"/>
  <c r="BY152" i="1"/>
  <c r="BX152" i="1"/>
  <c r="BU152" i="1"/>
  <c r="BN152" i="1"/>
  <c r="BS152" i="1" s="1"/>
  <c r="BA152" i="1"/>
  <c r="AZ152" i="1"/>
  <c r="AY152" i="1"/>
  <c r="AX152" i="1"/>
  <c r="AW152" i="1"/>
  <c r="AV152" i="1"/>
  <c r="AT152" i="1"/>
  <c r="AS152" i="1"/>
  <c r="CS151" i="1"/>
  <c r="CR151" i="1"/>
  <c r="CQ151" i="1"/>
  <c r="CP151" i="1"/>
  <c r="CO151" i="1"/>
  <c r="CN151" i="1"/>
  <c r="CL151" i="1"/>
  <c r="CK151" i="1"/>
  <c r="CJ151" i="1"/>
  <c r="CI151" i="1"/>
  <c r="CH151" i="1"/>
  <c r="CG151" i="1"/>
  <c r="CF151" i="1"/>
  <c r="CD151" i="1"/>
  <c r="CC151" i="1"/>
  <c r="CB151" i="1"/>
  <c r="CA151" i="1"/>
  <c r="BZ151" i="1"/>
  <c r="BY151" i="1"/>
  <c r="BX151" i="1"/>
  <c r="BU151" i="1"/>
  <c r="BN151" i="1"/>
  <c r="BS151" i="1" s="1"/>
  <c r="BA151" i="1"/>
  <c r="AZ151" i="1"/>
  <c r="AY151" i="1"/>
  <c r="AX151" i="1"/>
  <c r="AW151" i="1"/>
  <c r="AV151" i="1"/>
  <c r="AT151" i="1"/>
  <c r="AS151" i="1"/>
  <c r="CS150" i="1"/>
  <c r="CR150" i="1"/>
  <c r="CQ150" i="1"/>
  <c r="CP150" i="1"/>
  <c r="CO150" i="1"/>
  <c r="CN150" i="1"/>
  <c r="CL150" i="1"/>
  <c r="CK150" i="1"/>
  <c r="CJ150" i="1"/>
  <c r="CI150" i="1"/>
  <c r="CH150" i="1"/>
  <c r="CG150" i="1"/>
  <c r="CF150" i="1"/>
  <c r="CD150" i="1"/>
  <c r="CC150" i="1"/>
  <c r="CB150" i="1"/>
  <c r="CA150" i="1"/>
  <c r="BZ150" i="1"/>
  <c r="BY150" i="1"/>
  <c r="BX150" i="1"/>
  <c r="BU150" i="1"/>
  <c r="BN150" i="1"/>
  <c r="BS150" i="1" s="1"/>
  <c r="BA150" i="1"/>
  <c r="AZ150" i="1"/>
  <c r="AY150" i="1"/>
  <c r="AX150" i="1"/>
  <c r="AW150" i="1"/>
  <c r="AV150" i="1"/>
  <c r="AT150" i="1"/>
  <c r="AS150" i="1"/>
  <c r="CS149" i="1"/>
  <c r="CR149" i="1"/>
  <c r="CQ149" i="1"/>
  <c r="CP149" i="1"/>
  <c r="CO149" i="1"/>
  <c r="CN149" i="1"/>
  <c r="CL149" i="1"/>
  <c r="CK149" i="1"/>
  <c r="CJ149" i="1"/>
  <c r="CI149" i="1"/>
  <c r="CH149" i="1"/>
  <c r="CG149" i="1"/>
  <c r="CF149" i="1"/>
  <c r="CD149" i="1"/>
  <c r="CC149" i="1"/>
  <c r="CB149" i="1"/>
  <c r="CA149" i="1"/>
  <c r="BZ149" i="1"/>
  <c r="BY149" i="1"/>
  <c r="BX149" i="1"/>
  <c r="BU149" i="1"/>
  <c r="BN149" i="1"/>
  <c r="BS149" i="1" s="1"/>
  <c r="BA149" i="1"/>
  <c r="AZ149" i="1"/>
  <c r="AY149" i="1"/>
  <c r="AX149" i="1"/>
  <c r="AW149" i="1"/>
  <c r="AV149" i="1"/>
  <c r="AT149" i="1"/>
  <c r="AS149" i="1"/>
  <c r="CS148" i="1"/>
  <c r="CR148" i="1"/>
  <c r="CQ148" i="1"/>
  <c r="CP148" i="1"/>
  <c r="CO148" i="1"/>
  <c r="CN148" i="1"/>
  <c r="CL148" i="1"/>
  <c r="CK148" i="1"/>
  <c r="CJ148" i="1"/>
  <c r="CI148" i="1"/>
  <c r="CH148" i="1"/>
  <c r="CG148" i="1"/>
  <c r="CF148" i="1"/>
  <c r="CD148" i="1"/>
  <c r="CC148" i="1"/>
  <c r="CB148" i="1"/>
  <c r="CA148" i="1"/>
  <c r="BZ148" i="1"/>
  <c r="BY148" i="1"/>
  <c r="BX148" i="1"/>
  <c r="BU148" i="1"/>
  <c r="BN148" i="1"/>
  <c r="BS148" i="1" s="1"/>
  <c r="BA148" i="1"/>
  <c r="AZ148" i="1"/>
  <c r="AY148" i="1"/>
  <c r="AX148" i="1"/>
  <c r="AW148" i="1"/>
  <c r="AV148" i="1"/>
  <c r="AT148" i="1"/>
  <c r="AS148" i="1"/>
  <c r="CS147" i="1"/>
  <c r="CR147" i="1"/>
  <c r="CQ147" i="1"/>
  <c r="CP147" i="1"/>
  <c r="CO147" i="1"/>
  <c r="CN147" i="1"/>
  <c r="CL147" i="1"/>
  <c r="CK147" i="1"/>
  <c r="CJ147" i="1"/>
  <c r="CI147" i="1"/>
  <c r="CH147" i="1"/>
  <c r="CG147" i="1"/>
  <c r="CF147" i="1"/>
  <c r="CD147" i="1"/>
  <c r="CC147" i="1"/>
  <c r="CB147" i="1"/>
  <c r="CA147" i="1"/>
  <c r="BZ147" i="1"/>
  <c r="BY147" i="1"/>
  <c r="BX147" i="1"/>
  <c r="BU147" i="1"/>
  <c r="BN147" i="1"/>
  <c r="BS147" i="1" s="1"/>
  <c r="BA147" i="1"/>
  <c r="AZ147" i="1"/>
  <c r="AY147" i="1"/>
  <c r="AX147" i="1"/>
  <c r="AW147" i="1"/>
  <c r="AV147" i="1"/>
  <c r="AT147" i="1"/>
  <c r="AS147" i="1"/>
  <c r="CS146" i="1"/>
  <c r="CR146" i="1"/>
  <c r="CQ146" i="1"/>
  <c r="CP146" i="1"/>
  <c r="CO146" i="1"/>
  <c r="CN146" i="1"/>
  <c r="CL146" i="1"/>
  <c r="CK146" i="1"/>
  <c r="CJ146" i="1"/>
  <c r="CI146" i="1"/>
  <c r="CH146" i="1"/>
  <c r="CG146" i="1"/>
  <c r="CF146" i="1"/>
  <c r="CD146" i="1"/>
  <c r="CC146" i="1"/>
  <c r="CB146" i="1"/>
  <c r="CA146" i="1"/>
  <c r="BZ146" i="1"/>
  <c r="BY146" i="1"/>
  <c r="BX146" i="1"/>
  <c r="BU146" i="1"/>
  <c r="BN146" i="1"/>
  <c r="BS146" i="1" s="1"/>
  <c r="BA146" i="1"/>
  <c r="AZ146" i="1"/>
  <c r="AY146" i="1"/>
  <c r="AX146" i="1"/>
  <c r="AW146" i="1"/>
  <c r="AV146" i="1"/>
  <c r="AT146" i="1"/>
  <c r="AS146" i="1"/>
  <c r="CS145" i="1"/>
  <c r="CR145" i="1"/>
  <c r="CQ145" i="1"/>
  <c r="CP145" i="1"/>
  <c r="CO145" i="1"/>
  <c r="CN145" i="1"/>
  <c r="CL145" i="1"/>
  <c r="CK145" i="1"/>
  <c r="CJ145" i="1"/>
  <c r="CI145" i="1"/>
  <c r="CH145" i="1"/>
  <c r="CG145" i="1"/>
  <c r="CF145" i="1"/>
  <c r="CD145" i="1"/>
  <c r="CC145" i="1"/>
  <c r="CB145" i="1"/>
  <c r="CA145" i="1"/>
  <c r="BZ145" i="1"/>
  <c r="BY145" i="1"/>
  <c r="BX145" i="1"/>
  <c r="BU145" i="1"/>
  <c r="BN145" i="1"/>
  <c r="BS145" i="1" s="1"/>
  <c r="BA145" i="1"/>
  <c r="AZ145" i="1"/>
  <c r="AY145" i="1"/>
  <c r="AX145" i="1"/>
  <c r="AW145" i="1"/>
  <c r="AV145" i="1"/>
  <c r="AT145" i="1"/>
  <c r="AS145" i="1"/>
  <c r="CS144" i="1"/>
  <c r="CR144" i="1"/>
  <c r="CQ144" i="1"/>
  <c r="CP144" i="1"/>
  <c r="CO144" i="1"/>
  <c r="CN144" i="1"/>
  <c r="CL144" i="1"/>
  <c r="CK144" i="1"/>
  <c r="CJ144" i="1"/>
  <c r="CI144" i="1"/>
  <c r="CH144" i="1"/>
  <c r="CG144" i="1"/>
  <c r="CF144" i="1"/>
  <c r="CD144" i="1"/>
  <c r="CC144" i="1"/>
  <c r="CB144" i="1"/>
  <c r="CA144" i="1"/>
  <c r="BZ144" i="1"/>
  <c r="BY144" i="1"/>
  <c r="BX144" i="1"/>
  <c r="BU144" i="1"/>
  <c r="BN144" i="1"/>
  <c r="BS144" i="1" s="1"/>
  <c r="BA144" i="1"/>
  <c r="AZ144" i="1"/>
  <c r="AY144" i="1"/>
  <c r="AX144" i="1"/>
  <c r="AW144" i="1"/>
  <c r="AV144" i="1"/>
  <c r="AT144" i="1"/>
  <c r="AS144" i="1"/>
  <c r="CS143" i="1"/>
  <c r="CR143" i="1"/>
  <c r="CQ143" i="1"/>
  <c r="CP143" i="1"/>
  <c r="CO143" i="1"/>
  <c r="CN143" i="1"/>
  <c r="CL143" i="1"/>
  <c r="CK143" i="1"/>
  <c r="CJ143" i="1"/>
  <c r="CI143" i="1"/>
  <c r="CH143" i="1"/>
  <c r="CG143" i="1"/>
  <c r="CF143" i="1"/>
  <c r="CD143" i="1"/>
  <c r="CC143" i="1"/>
  <c r="CB143" i="1"/>
  <c r="CA143" i="1"/>
  <c r="BZ143" i="1"/>
  <c r="BY143" i="1"/>
  <c r="BX143" i="1"/>
  <c r="BU143" i="1"/>
  <c r="BN143" i="1"/>
  <c r="BS143" i="1" s="1"/>
  <c r="BA143" i="1"/>
  <c r="AZ143" i="1"/>
  <c r="AY143" i="1"/>
  <c r="AX143" i="1"/>
  <c r="AW143" i="1"/>
  <c r="AV143" i="1"/>
  <c r="AT143" i="1"/>
  <c r="AS143" i="1"/>
  <c r="CS142" i="1"/>
  <c r="CR142" i="1"/>
  <c r="CQ142" i="1"/>
  <c r="CP142" i="1"/>
  <c r="CO142" i="1"/>
  <c r="CN142" i="1"/>
  <c r="CL142" i="1"/>
  <c r="CK142" i="1"/>
  <c r="CJ142" i="1"/>
  <c r="CI142" i="1"/>
  <c r="CH142" i="1"/>
  <c r="CG142" i="1"/>
  <c r="CF142" i="1"/>
  <c r="CD142" i="1"/>
  <c r="CC142" i="1"/>
  <c r="CB142" i="1"/>
  <c r="CA142" i="1"/>
  <c r="BZ142" i="1"/>
  <c r="BY142" i="1"/>
  <c r="BX142" i="1"/>
  <c r="BU142" i="1"/>
  <c r="BN142" i="1"/>
  <c r="BS142" i="1" s="1"/>
  <c r="BA142" i="1"/>
  <c r="AZ142" i="1"/>
  <c r="AY142" i="1"/>
  <c r="AX142" i="1"/>
  <c r="AW142" i="1"/>
  <c r="AV142" i="1"/>
  <c r="AT142" i="1"/>
  <c r="AS142" i="1"/>
  <c r="CS141" i="1"/>
  <c r="CR141" i="1"/>
  <c r="CQ141" i="1"/>
  <c r="CP141" i="1"/>
  <c r="CO141" i="1"/>
  <c r="CN141" i="1"/>
  <c r="CL141" i="1"/>
  <c r="CK141" i="1"/>
  <c r="CJ141" i="1"/>
  <c r="CI141" i="1"/>
  <c r="CH141" i="1"/>
  <c r="CG141" i="1"/>
  <c r="CF141" i="1"/>
  <c r="CD141" i="1"/>
  <c r="CC141" i="1"/>
  <c r="CB141" i="1"/>
  <c r="CA141" i="1"/>
  <c r="BZ141" i="1"/>
  <c r="BY141" i="1"/>
  <c r="BX141" i="1"/>
  <c r="BU141" i="1"/>
  <c r="BN141" i="1"/>
  <c r="BS141" i="1" s="1"/>
  <c r="BA141" i="1"/>
  <c r="AZ141" i="1"/>
  <c r="AY141" i="1"/>
  <c r="AX141" i="1"/>
  <c r="AW141" i="1"/>
  <c r="AV141" i="1"/>
  <c r="AT141" i="1"/>
  <c r="AS141" i="1"/>
  <c r="CS140" i="1"/>
  <c r="CR140" i="1"/>
  <c r="CQ140" i="1"/>
  <c r="CP140" i="1"/>
  <c r="CO140" i="1"/>
  <c r="CN140" i="1"/>
  <c r="CL140" i="1"/>
  <c r="CK140" i="1"/>
  <c r="CJ140" i="1"/>
  <c r="CI140" i="1"/>
  <c r="CH140" i="1"/>
  <c r="CG140" i="1"/>
  <c r="CF140" i="1"/>
  <c r="CD140" i="1"/>
  <c r="CC140" i="1"/>
  <c r="CB140" i="1"/>
  <c r="CA140" i="1"/>
  <c r="BZ140" i="1"/>
  <c r="BY140" i="1"/>
  <c r="BX140" i="1"/>
  <c r="BU140" i="1"/>
  <c r="BN140" i="1"/>
  <c r="BS140" i="1" s="1"/>
  <c r="BA140" i="1"/>
  <c r="AZ140" i="1"/>
  <c r="AY140" i="1"/>
  <c r="AX140" i="1"/>
  <c r="AW140" i="1"/>
  <c r="AV140" i="1"/>
  <c r="AT140" i="1"/>
  <c r="AS140" i="1"/>
  <c r="CS139" i="1"/>
  <c r="CR139" i="1"/>
  <c r="CQ139" i="1"/>
  <c r="CP139" i="1"/>
  <c r="CO139" i="1"/>
  <c r="CN139" i="1"/>
  <c r="CL139" i="1"/>
  <c r="CK139" i="1"/>
  <c r="CJ139" i="1"/>
  <c r="CI139" i="1"/>
  <c r="CH139" i="1"/>
  <c r="CG139" i="1"/>
  <c r="CF139" i="1"/>
  <c r="CD139" i="1"/>
  <c r="CC139" i="1"/>
  <c r="CB139" i="1"/>
  <c r="CA139" i="1"/>
  <c r="BZ139" i="1"/>
  <c r="BY139" i="1"/>
  <c r="BX139" i="1"/>
  <c r="BU139" i="1"/>
  <c r="BN139" i="1"/>
  <c r="BS139" i="1" s="1"/>
  <c r="BA139" i="1"/>
  <c r="AZ139" i="1"/>
  <c r="AY139" i="1"/>
  <c r="AX139" i="1"/>
  <c r="AW139" i="1"/>
  <c r="AV139" i="1"/>
  <c r="AT139" i="1"/>
  <c r="AS139" i="1"/>
  <c r="CS138" i="1"/>
  <c r="CR138" i="1"/>
  <c r="CQ138" i="1"/>
  <c r="CP138" i="1"/>
  <c r="CO138" i="1"/>
  <c r="CN138" i="1"/>
  <c r="CL138" i="1"/>
  <c r="CK138" i="1"/>
  <c r="CJ138" i="1"/>
  <c r="CI138" i="1"/>
  <c r="CH138" i="1"/>
  <c r="CG138" i="1"/>
  <c r="CF138" i="1"/>
  <c r="CD138" i="1"/>
  <c r="CC138" i="1"/>
  <c r="CB138" i="1"/>
  <c r="CA138" i="1"/>
  <c r="BZ138" i="1"/>
  <c r="BY138" i="1"/>
  <c r="BX138" i="1"/>
  <c r="BU138" i="1"/>
  <c r="BN138" i="1"/>
  <c r="BS138" i="1" s="1"/>
  <c r="BA138" i="1"/>
  <c r="AZ138" i="1"/>
  <c r="AY138" i="1"/>
  <c r="AX138" i="1"/>
  <c r="AW138" i="1"/>
  <c r="AV138" i="1"/>
  <c r="AT138" i="1"/>
  <c r="AS138" i="1"/>
  <c r="CS137" i="1"/>
  <c r="CR137" i="1"/>
  <c r="CQ137" i="1"/>
  <c r="CP137" i="1"/>
  <c r="CO137" i="1"/>
  <c r="CN137" i="1"/>
  <c r="CL137" i="1"/>
  <c r="CK137" i="1"/>
  <c r="CJ137" i="1"/>
  <c r="CI137" i="1"/>
  <c r="CH137" i="1"/>
  <c r="CG137" i="1"/>
  <c r="CF137" i="1"/>
  <c r="CD137" i="1"/>
  <c r="CC137" i="1"/>
  <c r="CB137" i="1"/>
  <c r="CA137" i="1"/>
  <c r="BZ137" i="1"/>
  <c r="BY137" i="1"/>
  <c r="BX137" i="1"/>
  <c r="BU137" i="1"/>
  <c r="BN137" i="1"/>
  <c r="BS137" i="1" s="1"/>
  <c r="BA137" i="1"/>
  <c r="AZ137" i="1"/>
  <c r="AY137" i="1"/>
  <c r="AX137" i="1"/>
  <c r="AW137" i="1"/>
  <c r="AV137" i="1"/>
  <c r="AT137" i="1"/>
  <c r="AS137" i="1"/>
  <c r="CS136" i="1"/>
  <c r="CR136" i="1"/>
  <c r="CQ136" i="1"/>
  <c r="CP136" i="1"/>
  <c r="CO136" i="1"/>
  <c r="CN136" i="1"/>
  <c r="CL136" i="1"/>
  <c r="CK136" i="1"/>
  <c r="CJ136" i="1"/>
  <c r="CI136" i="1"/>
  <c r="CH136" i="1"/>
  <c r="CG136" i="1"/>
  <c r="CF136" i="1"/>
  <c r="CD136" i="1"/>
  <c r="CC136" i="1"/>
  <c r="CB136" i="1"/>
  <c r="CA136" i="1"/>
  <c r="BZ136" i="1"/>
  <c r="BY136" i="1"/>
  <c r="BX136" i="1"/>
  <c r="BU136" i="1"/>
  <c r="BN136" i="1"/>
  <c r="BS136" i="1" s="1"/>
  <c r="BA136" i="1"/>
  <c r="AZ136" i="1"/>
  <c r="AY136" i="1"/>
  <c r="AX136" i="1"/>
  <c r="AW136" i="1"/>
  <c r="AV136" i="1"/>
  <c r="AT136" i="1"/>
  <c r="AS136" i="1"/>
  <c r="CS135" i="1"/>
  <c r="CR135" i="1"/>
  <c r="CQ135" i="1"/>
  <c r="CP135" i="1"/>
  <c r="CO135" i="1"/>
  <c r="CN135" i="1"/>
  <c r="CL135" i="1"/>
  <c r="CK135" i="1"/>
  <c r="CJ135" i="1"/>
  <c r="CI135" i="1"/>
  <c r="CH135" i="1"/>
  <c r="CG135" i="1"/>
  <c r="CF135" i="1"/>
  <c r="CD135" i="1"/>
  <c r="CC135" i="1"/>
  <c r="CB135" i="1"/>
  <c r="CA135" i="1"/>
  <c r="BZ135" i="1"/>
  <c r="BY135" i="1"/>
  <c r="BX135" i="1"/>
  <c r="BU135" i="1"/>
  <c r="BN135" i="1"/>
  <c r="BS135" i="1" s="1"/>
  <c r="BA135" i="1"/>
  <c r="AZ135" i="1"/>
  <c r="AY135" i="1"/>
  <c r="AX135" i="1"/>
  <c r="AW135" i="1"/>
  <c r="AV135" i="1"/>
  <c r="AT135" i="1"/>
  <c r="AS135" i="1"/>
  <c r="CS134" i="1"/>
  <c r="CR134" i="1"/>
  <c r="CQ134" i="1"/>
  <c r="CP134" i="1"/>
  <c r="CO134" i="1"/>
  <c r="CN134" i="1"/>
  <c r="CL134" i="1"/>
  <c r="CK134" i="1"/>
  <c r="CJ134" i="1"/>
  <c r="CI134" i="1"/>
  <c r="CH134" i="1"/>
  <c r="CG134" i="1"/>
  <c r="CF134" i="1"/>
  <c r="CD134" i="1"/>
  <c r="CC134" i="1"/>
  <c r="CB134" i="1"/>
  <c r="CA134" i="1"/>
  <c r="BZ134" i="1"/>
  <c r="BY134" i="1"/>
  <c r="BX134" i="1"/>
  <c r="BU134" i="1"/>
  <c r="BN134" i="1"/>
  <c r="BS134" i="1" s="1"/>
  <c r="BA134" i="1"/>
  <c r="AZ134" i="1"/>
  <c r="AY134" i="1"/>
  <c r="AX134" i="1"/>
  <c r="AW134" i="1"/>
  <c r="AV134" i="1"/>
  <c r="AT134" i="1"/>
  <c r="AS134" i="1"/>
  <c r="CS133" i="1"/>
  <c r="CR133" i="1"/>
  <c r="CQ133" i="1"/>
  <c r="CP133" i="1"/>
  <c r="CO133" i="1"/>
  <c r="CN133" i="1"/>
  <c r="CL133" i="1"/>
  <c r="CK133" i="1"/>
  <c r="CJ133" i="1"/>
  <c r="CI133" i="1"/>
  <c r="CH133" i="1"/>
  <c r="CG133" i="1"/>
  <c r="CF133" i="1"/>
  <c r="CD133" i="1"/>
  <c r="CC133" i="1"/>
  <c r="CB133" i="1"/>
  <c r="CA133" i="1"/>
  <c r="BZ133" i="1"/>
  <c r="BY133" i="1"/>
  <c r="BX133" i="1"/>
  <c r="BU133" i="1"/>
  <c r="BN133" i="1"/>
  <c r="BS133" i="1" s="1"/>
  <c r="BA133" i="1"/>
  <c r="AZ133" i="1"/>
  <c r="AY133" i="1"/>
  <c r="AX133" i="1"/>
  <c r="AW133" i="1"/>
  <c r="AV133" i="1"/>
  <c r="AT133" i="1"/>
  <c r="AS133" i="1"/>
  <c r="CS132" i="1"/>
  <c r="CR132" i="1"/>
  <c r="CQ132" i="1"/>
  <c r="CP132" i="1"/>
  <c r="CO132" i="1"/>
  <c r="CN132" i="1"/>
  <c r="CL132" i="1"/>
  <c r="CK132" i="1"/>
  <c r="CJ132" i="1"/>
  <c r="CI132" i="1"/>
  <c r="CH132" i="1"/>
  <c r="CG132" i="1"/>
  <c r="CF132" i="1"/>
  <c r="CD132" i="1"/>
  <c r="CC132" i="1"/>
  <c r="CB132" i="1"/>
  <c r="CA132" i="1"/>
  <c r="BZ132" i="1"/>
  <c r="BY132" i="1"/>
  <c r="BX132" i="1"/>
  <c r="BU132" i="1"/>
  <c r="BN132" i="1"/>
  <c r="BS132" i="1" s="1"/>
  <c r="BA132" i="1"/>
  <c r="AZ132" i="1"/>
  <c r="AY132" i="1"/>
  <c r="AX132" i="1"/>
  <c r="AW132" i="1"/>
  <c r="AV132" i="1"/>
  <c r="AT132" i="1"/>
  <c r="AS132" i="1"/>
  <c r="CS131" i="1"/>
  <c r="CR131" i="1"/>
  <c r="CQ131" i="1"/>
  <c r="CP131" i="1"/>
  <c r="CO131" i="1"/>
  <c r="CN131" i="1"/>
  <c r="CL131" i="1"/>
  <c r="CK131" i="1"/>
  <c r="CJ131" i="1"/>
  <c r="CI131" i="1"/>
  <c r="CH131" i="1"/>
  <c r="CG131" i="1"/>
  <c r="CF131" i="1"/>
  <c r="CD131" i="1"/>
  <c r="CC131" i="1"/>
  <c r="CB131" i="1"/>
  <c r="CA131" i="1"/>
  <c r="BZ131" i="1"/>
  <c r="BY131" i="1"/>
  <c r="BX131" i="1"/>
  <c r="BU131" i="1"/>
  <c r="BN131" i="1"/>
  <c r="BS131" i="1" s="1"/>
  <c r="BA131" i="1"/>
  <c r="AZ131" i="1"/>
  <c r="AY131" i="1"/>
  <c r="AX131" i="1"/>
  <c r="AW131" i="1"/>
  <c r="AV131" i="1"/>
  <c r="AT131" i="1"/>
  <c r="AS131" i="1"/>
  <c r="CS130" i="1"/>
  <c r="CR130" i="1"/>
  <c r="CQ130" i="1"/>
  <c r="CP130" i="1"/>
  <c r="CO130" i="1"/>
  <c r="CN130" i="1"/>
  <c r="CL130" i="1"/>
  <c r="CK130" i="1"/>
  <c r="CJ130" i="1"/>
  <c r="CI130" i="1"/>
  <c r="CH130" i="1"/>
  <c r="CG130" i="1"/>
  <c r="CF130" i="1"/>
  <c r="CD130" i="1"/>
  <c r="CC130" i="1"/>
  <c r="CB130" i="1"/>
  <c r="CA130" i="1"/>
  <c r="BZ130" i="1"/>
  <c r="BY130" i="1"/>
  <c r="BX130" i="1"/>
  <c r="BU130" i="1"/>
  <c r="BN130" i="1"/>
  <c r="BS130" i="1" s="1"/>
  <c r="BA130" i="1"/>
  <c r="AZ130" i="1"/>
  <c r="AY130" i="1"/>
  <c r="AX130" i="1"/>
  <c r="AW130" i="1"/>
  <c r="AV130" i="1"/>
  <c r="AT130" i="1"/>
  <c r="AS130" i="1"/>
  <c r="CS129" i="1"/>
  <c r="CR129" i="1"/>
  <c r="CQ129" i="1"/>
  <c r="CP129" i="1"/>
  <c r="CO129" i="1"/>
  <c r="CN129" i="1"/>
  <c r="CL129" i="1"/>
  <c r="CK129" i="1"/>
  <c r="CJ129" i="1"/>
  <c r="CI129" i="1"/>
  <c r="CH129" i="1"/>
  <c r="CG129" i="1"/>
  <c r="CF129" i="1"/>
  <c r="CD129" i="1"/>
  <c r="CC129" i="1"/>
  <c r="CB129" i="1"/>
  <c r="CA129" i="1"/>
  <c r="BZ129" i="1"/>
  <c r="BY129" i="1"/>
  <c r="BX129" i="1"/>
  <c r="BU129" i="1"/>
  <c r="BN129" i="1"/>
  <c r="BS129" i="1" s="1"/>
  <c r="BA129" i="1"/>
  <c r="AZ129" i="1"/>
  <c r="AY129" i="1"/>
  <c r="AX129" i="1"/>
  <c r="AW129" i="1"/>
  <c r="AV129" i="1"/>
  <c r="AT129" i="1"/>
  <c r="AS129" i="1"/>
  <c r="CS128" i="1"/>
  <c r="CR128" i="1"/>
  <c r="CQ128" i="1"/>
  <c r="CP128" i="1"/>
  <c r="CO128" i="1"/>
  <c r="CN128" i="1"/>
  <c r="CL128" i="1"/>
  <c r="CK128" i="1"/>
  <c r="CJ128" i="1"/>
  <c r="CI128" i="1"/>
  <c r="CH128" i="1"/>
  <c r="CG128" i="1"/>
  <c r="CF128" i="1"/>
  <c r="CD128" i="1"/>
  <c r="CC128" i="1"/>
  <c r="CB128" i="1"/>
  <c r="CA128" i="1"/>
  <c r="BZ128" i="1"/>
  <c r="BY128" i="1"/>
  <c r="BX128" i="1"/>
  <c r="BU128" i="1"/>
  <c r="BN128" i="1"/>
  <c r="BS128" i="1" s="1"/>
  <c r="BA128" i="1"/>
  <c r="AZ128" i="1"/>
  <c r="AY128" i="1"/>
  <c r="AX128" i="1"/>
  <c r="AW128" i="1"/>
  <c r="AV128" i="1"/>
  <c r="AT128" i="1"/>
  <c r="AS128" i="1"/>
  <c r="CS127" i="1"/>
  <c r="CR127" i="1"/>
  <c r="CQ127" i="1"/>
  <c r="CP127" i="1"/>
  <c r="CO127" i="1"/>
  <c r="CN127" i="1"/>
  <c r="CL127" i="1"/>
  <c r="CK127" i="1"/>
  <c r="CJ127" i="1"/>
  <c r="CI127" i="1"/>
  <c r="CH127" i="1"/>
  <c r="CG127" i="1"/>
  <c r="CF127" i="1"/>
  <c r="CD127" i="1"/>
  <c r="CC127" i="1"/>
  <c r="CB127" i="1"/>
  <c r="CA127" i="1"/>
  <c r="BZ127" i="1"/>
  <c r="BY127" i="1"/>
  <c r="BX127" i="1"/>
  <c r="BU127" i="1"/>
  <c r="BN127" i="1"/>
  <c r="BS127" i="1" s="1"/>
  <c r="BA127" i="1"/>
  <c r="AZ127" i="1"/>
  <c r="AY127" i="1"/>
  <c r="AX127" i="1"/>
  <c r="AW127" i="1"/>
  <c r="AV127" i="1"/>
  <c r="AT127" i="1"/>
  <c r="AS127" i="1"/>
  <c r="CS126" i="1"/>
  <c r="CR126" i="1"/>
  <c r="CQ126" i="1"/>
  <c r="CP126" i="1"/>
  <c r="CO126" i="1"/>
  <c r="CN126" i="1"/>
  <c r="CL126" i="1"/>
  <c r="CK126" i="1"/>
  <c r="CJ126" i="1"/>
  <c r="CI126" i="1"/>
  <c r="CH126" i="1"/>
  <c r="CG126" i="1"/>
  <c r="CF126" i="1"/>
  <c r="CD126" i="1"/>
  <c r="CC126" i="1"/>
  <c r="CB126" i="1"/>
  <c r="CA126" i="1"/>
  <c r="BZ126" i="1"/>
  <c r="BY126" i="1"/>
  <c r="BX126" i="1"/>
  <c r="BU126" i="1"/>
  <c r="BN126" i="1"/>
  <c r="BS126" i="1" s="1"/>
  <c r="BA126" i="1"/>
  <c r="AZ126" i="1"/>
  <c r="AY126" i="1"/>
  <c r="AX126" i="1"/>
  <c r="AW126" i="1"/>
  <c r="AV126" i="1"/>
  <c r="AT126" i="1"/>
  <c r="AS126" i="1"/>
  <c r="CX125" i="1"/>
  <c r="CS125" i="1"/>
  <c r="CR125" i="1"/>
  <c r="CQ125" i="1"/>
  <c r="CP125" i="1"/>
  <c r="CO125" i="1"/>
  <c r="CN125" i="1"/>
  <c r="CL125" i="1"/>
  <c r="CK125" i="1"/>
  <c r="CJ125" i="1"/>
  <c r="CI125" i="1"/>
  <c r="CH125" i="1"/>
  <c r="CG125" i="1"/>
  <c r="CF125" i="1"/>
  <c r="CD125" i="1"/>
  <c r="CC125" i="1"/>
  <c r="CB125" i="1"/>
  <c r="CA125" i="1"/>
  <c r="BZ125" i="1"/>
  <c r="BY125" i="1"/>
  <c r="BX125" i="1"/>
  <c r="BU125" i="1"/>
  <c r="BN125" i="1"/>
  <c r="BS125" i="1" s="1"/>
  <c r="BA125" i="1"/>
  <c r="AZ125" i="1"/>
  <c r="AY125" i="1"/>
  <c r="AX125" i="1"/>
  <c r="AW125" i="1"/>
  <c r="AV125" i="1"/>
  <c r="AT125" i="1"/>
  <c r="AS125" i="1"/>
  <c r="CS124" i="1"/>
  <c r="CR124" i="1"/>
  <c r="CQ124" i="1"/>
  <c r="CP124" i="1"/>
  <c r="CO124" i="1"/>
  <c r="CN124" i="1"/>
  <c r="CL124" i="1"/>
  <c r="CK124" i="1"/>
  <c r="CJ124" i="1"/>
  <c r="CI124" i="1"/>
  <c r="CH124" i="1"/>
  <c r="CG124" i="1"/>
  <c r="CF124" i="1"/>
  <c r="CD124" i="1"/>
  <c r="CC124" i="1"/>
  <c r="CB124" i="1"/>
  <c r="CA124" i="1"/>
  <c r="BZ124" i="1"/>
  <c r="BY124" i="1"/>
  <c r="BX124" i="1"/>
  <c r="BU124" i="1"/>
  <c r="BN124" i="1"/>
  <c r="BS124" i="1" s="1"/>
  <c r="BA124" i="1"/>
  <c r="AZ124" i="1"/>
  <c r="AY124" i="1"/>
  <c r="AX124" i="1"/>
  <c r="AW124" i="1"/>
  <c r="AV124" i="1"/>
  <c r="AT124" i="1"/>
  <c r="AS124" i="1"/>
  <c r="CS123" i="1"/>
  <c r="CR123" i="1"/>
  <c r="CQ123" i="1"/>
  <c r="CP123" i="1"/>
  <c r="CO123" i="1"/>
  <c r="CN123" i="1"/>
  <c r="CL123" i="1"/>
  <c r="CK123" i="1"/>
  <c r="CJ123" i="1"/>
  <c r="CI123" i="1"/>
  <c r="CH123" i="1"/>
  <c r="CG123" i="1"/>
  <c r="CF123" i="1"/>
  <c r="CD123" i="1"/>
  <c r="CC123" i="1"/>
  <c r="CB123" i="1"/>
  <c r="CA123" i="1"/>
  <c r="BZ123" i="1"/>
  <c r="BY123" i="1"/>
  <c r="BX123" i="1"/>
  <c r="BU123" i="1"/>
  <c r="BN123" i="1"/>
  <c r="BS123" i="1" s="1"/>
  <c r="BA123" i="1"/>
  <c r="AZ123" i="1"/>
  <c r="AY123" i="1"/>
  <c r="AX123" i="1"/>
  <c r="AW123" i="1"/>
  <c r="AV123" i="1"/>
  <c r="AT123" i="1"/>
  <c r="AS123" i="1"/>
  <c r="CS122" i="1"/>
  <c r="CR122" i="1"/>
  <c r="CQ122" i="1"/>
  <c r="CP122" i="1"/>
  <c r="CO122" i="1"/>
  <c r="CN122" i="1"/>
  <c r="CL122" i="1"/>
  <c r="CK122" i="1"/>
  <c r="CJ122" i="1"/>
  <c r="CI122" i="1"/>
  <c r="CH122" i="1"/>
  <c r="CG122" i="1"/>
  <c r="CF122" i="1"/>
  <c r="CD122" i="1"/>
  <c r="CC122" i="1"/>
  <c r="CB122" i="1"/>
  <c r="CA122" i="1"/>
  <c r="BZ122" i="1"/>
  <c r="BY122" i="1"/>
  <c r="BX122" i="1"/>
  <c r="BU122" i="1"/>
  <c r="BN122" i="1"/>
  <c r="BS122" i="1" s="1"/>
  <c r="BA122" i="1"/>
  <c r="AZ122" i="1"/>
  <c r="AY122" i="1"/>
  <c r="AX122" i="1"/>
  <c r="AW122" i="1"/>
  <c r="AV122" i="1"/>
  <c r="AT122" i="1"/>
  <c r="AS122" i="1"/>
  <c r="CS121" i="1"/>
  <c r="CR121" i="1"/>
  <c r="CQ121" i="1"/>
  <c r="CP121" i="1"/>
  <c r="CO121" i="1"/>
  <c r="CN121" i="1"/>
  <c r="CL121" i="1"/>
  <c r="CK121" i="1"/>
  <c r="CJ121" i="1"/>
  <c r="CI121" i="1"/>
  <c r="CH121" i="1"/>
  <c r="CG121" i="1"/>
  <c r="CF121" i="1"/>
  <c r="CD121" i="1"/>
  <c r="CC121" i="1"/>
  <c r="CB121" i="1"/>
  <c r="CA121" i="1"/>
  <c r="BZ121" i="1"/>
  <c r="BY121" i="1"/>
  <c r="BX121" i="1"/>
  <c r="BU121" i="1"/>
  <c r="BN121" i="1"/>
  <c r="BS121" i="1" s="1"/>
  <c r="BA121" i="1"/>
  <c r="AZ121" i="1"/>
  <c r="AY121" i="1"/>
  <c r="AX121" i="1"/>
  <c r="AW121" i="1"/>
  <c r="AV121" i="1"/>
  <c r="AT121" i="1"/>
  <c r="AS121" i="1"/>
  <c r="CS120" i="1"/>
  <c r="CR120" i="1"/>
  <c r="CQ120" i="1"/>
  <c r="CP120" i="1"/>
  <c r="CO120" i="1"/>
  <c r="CN120" i="1"/>
  <c r="CL120" i="1"/>
  <c r="CK120" i="1"/>
  <c r="CJ120" i="1"/>
  <c r="CI120" i="1"/>
  <c r="CH120" i="1"/>
  <c r="CG120" i="1"/>
  <c r="CF120" i="1"/>
  <c r="CD120" i="1"/>
  <c r="CC120" i="1"/>
  <c r="CB120" i="1"/>
  <c r="CA120" i="1"/>
  <c r="BZ120" i="1"/>
  <c r="BY120" i="1"/>
  <c r="BX120" i="1"/>
  <c r="BU120" i="1"/>
  <c r="BN120" i="1"/>
  <c r="BS120" i="1" s="1"/>
  <c r="BA120" i="1"/>
  <c r="AZ120" i="1"/>
  <c r="AY120" i="1"/>
  <c r="AX120" i="1"/>
  <c r="AW120" i="1"/>
  <c r="AV120" i="1"/>
  <c r="AT120" i="1"/>
  <c r="AS120" i="1"/>
  <c r="CS119" i="1"/>
  <c r="CR119" i="1"/>
  <c r="CQ119" i="1"/>
  <c r="CP119" i="1"/>
  <c r="CO119" i="1"/>
  <c r="CN119" i="1"/>
  <c r="CL119" i="1"/>
  <c r="CK119" i="1"/>
  <c r="CJ119" i="1"/>
  <c r="CI119" i="1"/>
  <c r="CH119" i="1"/>
  <c r="CG119" i="1"/>
  <c r="CF119" i="1"/>
  <c r="CD119" i="1"/>
  <c r="CC119" i="1"/>
  <c r="CB119" i="1"/>
  <c r="CA119" i="1"/>
  <c r="BZ119" i="1"/>
  <c r="BY119" i="1"/>
  <c r="BX119" i="1"/>
  <c r="BU119" i="1"/>
  <c r="BN119" i="1"/>
  <c r="BS119" i="1" s="1"/>
  <c r="BA119" i="1"/>
  <c r="AZ119" i="1"/>
  <c r="AY119" i="1"/>
  <c r="AX119" i="1"/>
  <c r="AW119" i="1"/>
  <c r="AV119" i="1"/>
  <c r="AT119" i="1"/>
  <c r="AS119" i="1"/>
  <c r="CS118" i="1"/>
  <c r="CR118" i="1"/>
  <c r="CQ118" i="1"/>
  <c r="CP118" i="1"/>
  <c r="CO118" i="1"/>
  <c r="CN118" i="1"/>
  <c r="CL118" i="1"/>
  <c r="CK118" i="1"/>
  <c r="CJ118" i="1"/>
  <c r="CI118" i="1"/>
  <c r="CH118" i="1"/>
  <c r="CG118" i="1"/>
  <c r="CF118" i="1"/>
  <c r="CD118" i="1"/>
  <c r="CC118" i="1"/>
  <c r="CB118" i="1"/>
  <c r="CA118" i="1"/>
  <c r="BZ118" i="1"/>
  <c r="BY118" i="1"/>
  <c r="BX118" i="1"/>
  <c r="BU118" i="1"/>
  <c r="BN118" i="1"/>
  <c r="BS118" i="1" s="1"/>
  <c r="BA118" i="1"/>
  <c r="AZ118" i="1"/>
  <c r="AY118" i="1"/>
  <c r="AX118" i="1"/>
  <c r="AW118" i="1"/>
  <c r="AV118" i="1"/>
  <c r="AT118" i="1"/>
  <c r="AS118" i="1"/>
  <c r="CS117" i="1"/>
  <c r="CR117" i="1"/>
  <c r="CQ117" i="1"/>
  <c r="CP117" i="1"/>
  <c r="CO117" i="1"/>
  <c r="CN117" i="1"/>
  <c r="CL117" i="1"/>
  <c r="CK117" i="1"/>
  <c r="CJ117" i="1"/>
  <c r="CI117" i="1"/>
  <c r="CH117" i="1"/>
  <c r="CG117" i="1"/>
  <c r="CF117" i="1"/>
  <c r="CD117" i="1"/>
  <c r="CC117" i="1"/>
  <c r="CB117" i="1"/>
  <c r="CA117" i="1"/>
  <c r="BZ117" i="1"/>
  <c r="BY117" i="1"/>
  <c r="BX117" i="1"/>
  <c r="BU117" i="1"/>
  <c r="BN117" i="1"/>
  <c r="BS117" i="1" s="1"/>
  <c r="BA117" i="1"/>
  <c r="AZ117" i="1"/>
  <c r="AY117" i="1"/>
  <c r="AX117" i="1"/>
  <c r="AW117" i="1"/>
  <c r="AV117" i="1"/>
  <c r="AT117" i="1"/>
  <c r="AS117" i="1"/>
  <c r="CX116" i="1"/>
  <c r="CS116" i="1"/>
  <c r="CR116" i="1"/>
  <c r="CQ116" i="1"/>
  <c r="CP116" i="1"/>
  <c r="CO116" i="1"/>
  <c r="CN116" i="1"/>
  <c r="CL116" i="1"/>
  <c r="CK116" i="1"/>
  <c r="CJ116" i="1"/>
  <c r="CI116" i="1"/>
  <c r="CH116" i="1"/>
  <c r="CG116" i="1"/>
  <c r="CF116" i="1"/>
  <c r="CD116" i="1"/>
  <c r="CC116" i="1"/>
  <c r="CB116" i="1"/>
  <c r="CA116" i="1"/>
  <c r="BZ116" i="1"/>
  <c r="BY116" i="1"/>
  <c r="BX116" i="1"/>
  <c r="BU116" i="1"/>
  <c r="BN116" i="1"/>
  <c r="BS116" i="1" s="1"/>
  <c r="BA116" i="1"/>
  <c r="AZ116" i="1"/>
  <c r="AY116" i="1"/>
  <c r="AX116" i="1"/>
  <c r="AW116" i="1"/>
  <c r="AV116" i="1"/>
  <c r="AT116" i="1"/>
  <c r="AS116" i="1"/>
  <c r="CX115" i="1"/>
  <c r="CS115" i="1"/>
  <c r="CR115" i="1"/>
  <c r="CQ115" i="1"/>
  <c r="CP115" i="1"/>
  <c r="CO115" i="1"/>
  <c r="CN115" i="1"/>
  <c r="CL115" i="1"/>
  <c r="CK115" i="1"/>
  <c r="CJ115" i="1"/>
  <c r="CI115" i="1"/>
  <c r="CH115" i="1"/>
  <c r="CG115" i="1"/>
  <c r="CF115" i="1"/>
  <c r="CD115" i="1"/>
  <c r="CC115" i="1"/>
  <c r="CB115" i="1"/>
  <c r="CA115" i="1"/>
  <c r="BZ115" i="1"/>
  <c r="BY115" i="1"/>
  <c r="BX115" i="1"/>
  <c r="BU115" i="1"/>
  <c r="BN115" i="1"/>
  <c r="BS115" i="1" s="1"/>
  <c r="BA115" i="1"/>
  <c r="AZ115" i="1"/>
  <c r="AY115" i="1"/>
  <c r="AX115" i="1"/>
  <c r="AW115" i="1"/>
  <c r="AV115" i="1"/>
  <c r="AT115" i="1"/>
  <c r="AS115" i="1"/>
  <c r="CX114" i="1"/>
  <c r="CS114" i="1"/>
  <c r="CR114" i="1"/>
  <c r="CQ114" i="1"/>
  <c r="CP114" i="1"/>
  <c r="CO114" i="1"/>
  <c r="CN114" i="1"/>
  <c r="CL114" i="1"/>
  <c r="CK114" i="1"/>
  <c r="CJ114" i="1"/>
  <c r="CI114" i="1"/>
  <c r="CH114" i="1"/>
  <c r="CG114" i="1"/>
  <c r="CF114" i="1"/>
  <c r="CD114" i="1"/>
  <c r="CC114" i="1"/>
  <c r="CB114" i="1"/>
  <c r="CA114" i="1"/>
  <c r="BZ114" i="1"/>
  <c r="BY114" i="1"/>
  <c r="BX114" i="1"/>
  <c r="BU114" i="1"/>
  <c r="BN114" i="1"/>
  <c r="BS114" i="1" s="1"/>
  <c r="BA114" i="1"/>
  <c r="AZ114" i="1"/>
  <c r="AY114" i="1"/>
  <c r="AX114" i="1"/>
  <c r="AW114" i="1"/>
  <c r="AV114" i="1"/>
  <c r="AT114" i="1"/>
  <c r="AS114" i="1"/>
  <c r="CS113" i="1"/>
  <c r="CR113" i="1"/>
  <c r="CQ113" i="1"/>
  <c r="CP113" i="1"/>
  <c r="CO113" i="1"/>
  <c r="CN113" i="1"/>
  <c r="CL113" i="1"/>
  <c r="CK113" i="1"/>
  <c r="CJ113" i="1"/>
  <c r="CI113" i="1"/>
  <c r="CH113" i="1"/>
  <c r="CG113" i="1"/>
  <c r="CF113" i="1"/>
  <c r="CD113" i="1"/>
  <c r="CC113" i="1"/>
  <c r="CB113" i="1"/>
  <c r="CA113" i="1"/>
  <c r="BZ113" i="1"/>
  <c r="BY113" i="1"/>
  <c r="BX113" i="1"/>
  <c r="BU113" i="1"/>
  <c r="BN113" i="1"/>
  <c r="BS113" i="1" s="1"/>
  <c r="BA113" i="1"/>
  <c r="AZ113" i="1"/>
  <c r="AY113" i="1"/>
  <c r="AX113" i="1"/>
  <c r="AW113" i="1"/>
  <c r="AV113" i="1"/>
  <c r="AT113" i="1"/>
  <c r="AS113" i="1"/>
  <c r="CS112" i="1"/>
  <c r="CR112" i="1"/>
  <c r="CQ112" i="1"/>
  <c r="CP112" i="1"/>
  <c r="CO112" i="1"/>
  <c r="CN112" i="1"/>
  <c r="CL112" i="1"/>
  <c r="CK112" i="1"/>
  <c r="CJ112" i="1"/>
  <c r="CI112" i="1"/>
  <c r="CH112" i="1"/>
  <c r="CG112" i="1"/>
  <c r="CF112" i="1"/>
  <c r="CD112" i="1"/>
  <c r="CC112" i="1"/>
  <c r="CB112" i="1"/>
  <c r="CA112" i="1"/>
  <c r="BZ112" i="1"/>
  <c r="BY112" i="1"/>
  <c r="BX112" i="1"/>
  <c r="BU112" i="1"/>
  <c r="BN112" i="1"/>
  <c r="BS112" i="1" s="1"/>
  <c r="BA112" i="1"/>
  <c r="AZ112" i="1"/>
  <c r="AY112" i="1"/>
  <c r="AX112" i="1"/>
  <c r="AW112" i="1"/>
  <c r="AV112" i="1"/>
  <c r="AT112" i="1"/>
  <c r="AS112" i="1"/>
  <c r="CS111" i="1"/>
  <c r="CR111" i="1"/>
  <c r="CQ111" i="1"/>
  <c r="CP111" i="1"/>
  <c r="CO111" i="1"/>
  <c r="CN111" i="1"/>
  <c r="CL111" i="1"/>
  <c r="CK111" i="1"/>
  <c r="CJ111" i="1"/>
  <c r="CI111" i="1"/>
  <c r="CH111" i="1"/>
  <c r="CG111" i="1"/>
  <c r="CF111" i="1"/>
  <c r="CD111" i="1"/>
  <c r="CC111" i="1"/>
  <c r="CB111" i="1"/>
  <c r="CA111" i="1"/>
  <c r="BZ111" i="1"/>
  <c r="BY111" i="1"/>
  <c r="BX111" i="1"/>
  <c r="BU111" i="1"/>
  <c r="BN111" i="1"/>
  <c r="BS111" i="1" s="1"/>
  <c r="BA111" i="1"/>
  <c r="AZ111" i="1"/>
  <c r="AY111" i="1"/>
  <c r="AX111" i="1"/>
  <c r="AW111" i="1"/>
  <c r="AV111" i="1"/>
  <c r="AT111" i="1"/>
  <c r="AS111" i="1"/>
  <c r="CS110" i="1"/>
  <c r="CR110" i="1"/>
  <c r="CQ110" i="1"/>
  <c r="CP110" i="1"/>
  <c r="CO110" i="1"/>
  <c r="CN110" i="1"/>
  <c r="CL110" i="1"/>
  <c r="CK110" i="1"/>
  <c r="CJ110" i="1"/>
  <c r="CI110" i="1"/>
  <c r="CH110" i="1"/>
  <c r="CG110" i="1"/>
  <c r="CF110" i="1"/>
  <c r="CD110" i="1"/>
  <c r="CC110" i="1"/>
  <c r="CB110" i="1"/>
  <c r="CA110" i="1"/>
  <c r="BZ110" i="1"/>
  <c r="BY110" i="1"/>
  <c r="BX110" i="1"/>
  <c r="BU110" i="1"/>
  <c r="BN110" i="1"/>
  <c r="BS110" i="1" s="1"/>
  <c r="BA110" i="1"/>
  <c r="AZ110" i="1"/>
  <c r="AY110" i="1"/>
  <c r="AX110" i="1"/>
  <c r="AW110" i="1"/>
  <c r="AV110" i="1"/>
  <c r="AT110" i="1"/>
  <c r="AS110" i="1"/>
  <c r="CS109" i="1"/>
  <c r="CR109" i="1"/>
  <c r="CQ109" i="1"/>
  <c r="CP109" i="1"/>
  <c r="CO109" i="1"/>
  <c r="CN109" i="1"/>
  <c r="CL109" i="1"/>
  <c r="CK109" i="1"/>
  <c r="CJ109" i="1"/>
  <c r="CI109" i="1"/>
  <c r="CH109" i="1"/>
  <c r="CG109" i="1"/>
  <c r="CF109" i="1"/>
  <c r="CD109" i="1"/>
  <c r="CC109" i="1"/>
  <c r="CB109" i="1"/>
  <c r="CA109" i="1"/>
  <c r="BZ109" i="1"/>
  <c r="BY109" i="1"/>
  <c r="BX109" i="1"/>
  <c r="BU109" i="1"/>
  <c r="BN109" i="1"/>
  <c r="BS109" i="1" s="1"/>
  <c r="BA109" i="1"/>
  <c r="AZ109" i="1"/>
  <c r="AY109" i="1"/>
  <c r="AX109" i="1"/>
  <c r="AW109" i="1"/>
  <c r="AV109" i="1"/>
  <c r="AT109" i="1"/>
  <c r="AS109" i="1"/>
  <c r="CX108" i="1"/>
  <c r="CS108" i="1"/>
  <c r="CR108" i="1"/>
  <c r="CQ108" i="1"/>
  <c r="CP108" i="1"/>
  <c r="CO108" i="1"/>
  <c r="CN108" i="1"/>
  <c r="CL108" i="1"/>
  <c r="CK108" i="1"/>
  <c r="CJ108" i="1"/>
  <c r="CI108" i="1"/>
  <c r="CH108" i="1"/>
  <c r="CG108" i="1"/>
  <c r="CF108" i="1"/>
  <c r="CD108" i="1"/>
  <c r="CC108" i="1"/>
  <c r="CB108" i="1"/>
  <c r="CA108" i="1"/>
  <c r="BZ108" i="1"/>
  <c r="BY108" i="1"/>
  <c r="BX108" i="1"/>
  <c r="BU108" i="1"/>
  <c r="BN108" i="1"/>
  <c r="BS108" i="1" s="1"/>
  <c r="BA108" i="1"/>
  <c r="AZ108" i="1"/>
  <c r="AY108" i="1"/>
  <c r="AX108" i="1"/>
  <c r="AW108" i="1"/>
  <c r="AV108" i="1"/>
  <c r="AT108" i="1"/>
  <c r="AS108" i="1"/>
  <c r="CX107" i="1"/>
  <c r="CS107" i="1"/>
  <c r="CR107" i="1"/>
  <c r="CQ107" i="1"/>
  <c r="CP107" i="1"/>
  <c r="CO107" i="1"/>
  <c r="CN107" i="1"/>
  <c r="CL107" i="1"/>
  <c r="CK107" i="1"/>
  <c r="CJ107" i="1"/>
  <c r="CI107" i="1"/>
  <c r="CH107" i="1"/>
  <c r="CG107" i="1"/>
  <c r="CF107" i="1"/>
  <c r="CD107" i="1"/>
  <c r="CC107" i="1"/>
  <c r="CB107" i="1"/>
  <c r="CA107" i="1"/>
  <c r="BZ107" i="1"/>
  <c r="BY107" i="1"/>
  <c r="BX107" i="1"/>
  <c r="BU107" i="1"/>
  <c r="BN107" i="1"/>
  <c r="BS107" i="1" s="1"/>
  <c r="BA107" i="1"/>
  <c r="AZ107" i="1"/>
  <c r="AY107" i="1"/>
  <c r="AX107" i="1"/>
  <c r="AW107" i="1"/>
  <c r="AV107" i="1"/>
  <c r="AT107" i="1"/>
  <c r="AS107" i="1"/>
  <c r="CX106" i="1"/>
  <c r="CS106" i="1"/>
  <c r="CR106" i="1"/>
  <c r="CQ106" i="1"/>
  <c r="CP106" i="1"/>
  <c r="CO106" i="1"/>
  <c r="CN106" i="1"/>
  <c r="CL106" i="1"/>
  <c r="CK106" i="1"/>
  <c r="CJ106" i="1"/>
  <c r="CI106" i="1"/>
  <c r="CH106" i="1"/>
  <c r="CG106" i="1"/>
  <c r="CF106" i="1"/>
  <c r="CD106" i="1"/>
  <c r="CC106" i="1"/>
  <c r="CB106" i="1"/>
  <c r="CA106" i="1"/>
  <c r="BZ106" i="1"/>
  <c r="BY106" i="1"/>
  <c r="BX106" i="1"/>
  <c r="BU106" i="1"/>
  <c r="BN106" i="1"/>
  <c r="BS106" i="1" s="1"/>
  <c r="BA106" i="1"/>
  <c r="AZ106" i="1"/>
  <c r="AY106" i="1"/>
  <c r="AX106" i="1"/>
  <c r="AW106" i="1"/>
  <c r="AV106" i="1"/>
  <c r="AT106" i="1"/>
  <c r="AS106" i="1"/>
  <c r="CX105" i="1"/>
  <c r="CS105" i="1"/>
  <c r="CR105" i="1"/>
  <c r="CQ105" i="1"/>
  <c r="CP105" i="1"/>
  <c r="CO105" i="1"/>
  <c r="CN105" i="1"/>
  <c r="CL105" i="1"/>
  <c r="CK105" i="1"/>
  <c r="CJ105" i="1"/>
  <c r="CI105" i="1"/>
  <c r="CH105" i="1"/>
  <c r="CG105" i="1"/>
  <c r="CF105" i="1"/>
  <c r="CD105" i="1"/>
  <c r="CC105" i="1"/>
  <c r="CB105" i="1"/>
  <c r="CA105" i="1"/>
  <c r="BZ105" i="1"/>
  <c r="BY105" i="1"/>
  <c r="BX105" i="1"/>
  <c r="BU105" i="1"/>
  <c r="BN105" i="1"/>
  <c r="BS105" i="1" s="1"/>
  <c r="BA105" i="1"/>
  <c r="AZ105" i="1"/>
  <c r="AY105" i="1"/>
  <c r="AX105" i="1"/>
  <c r="AW105" i="1"/>
  <c r="AV105" i="1"/>
  <c r="AT105" i="1"/>
  <c r="AS105" i="1"/>
  <c r="CX104" i="1"/>
  <c r="CS104" i="1"/>
  <c r="CR104" i="1"/>
  <c r="CQ104" i="1"/>
  <c r="CP104" i="1"/>
  <c r="CO104" i="1"/>
  <c r="CN104" i="1"/>
  <c r="CL104" i="1"/>
  <c r="CK104" i="1"/>
  <c r="CJ104" i="1"/>
  <c r="CI104" i="1"/>
  <c r="CH104" i="1"/>
  <c r="CG104" i="1"/>
  <c r="CF104" i="1"/>
  <c r="CD104" i="1"/>
  <c r="CC104" i="1"/>
  <c r="CB104" i="1"/>
  <c r="CA104" i="1"/>
  <c r="BZ104" i="1"/>
  <c r="BY104" i="1"/>
  <c r="BX104" i="1"/>
  <c r="BU104" i="1"/>
  <c r="BN104" i="1"/>
  <c r="BS104" i="1" s="1"/>
  <c r="BA104" i="1"/>
  <c r="AZ104" i="1"/>
  <c r="AY104" i="1"/>
  <c r="AX104" i="1"/>
  <c r="AW104" i="1"/>
  <c r="AV104" i="1"/>
  <c r="AT104" i="1"/>
  <c r="AS104" i="1"/>
  <c r="CS103" i="1"/>
  <c r="CR103" i="1"/>
  <c r="CQ103" i="1"/>
  <c r="CP103" i="1"/>
  <c r="CO103" i="1"/>
  <c r="CN103" i="1"/>
  <c r="CL103" i="1"/>
  <c r="CK103" i="1"/>
  <c r="CJ103" i="1"/>
  <c r="CI103" i="1"/>
  <c r="CH103" i="1"/>
  <c r="CG103" i="1"/>
  <c r="CF103" i="1"/>
  <c r="CD103" i="1"/>
  <c r="CC103" i="1"/>
  <c r="CB103" i="1"/>
  <c r="CA103" i="1"/>
  <c r="BZ103" i="1"/>
  <c r="BY103" i="1"/>
  <c r="BX103" i="1"/>
  <c r="BU103" i="1"/>
  <c r="BN103" i="1"/>
  <c r="BS103" i="1" s="1"/>
  <c r="BA103" i="1"/>
  <c r="AZ103" i="1"/>
  <c r="AY103" i="1"/>
  <c r="AX103" i="1"/>
  <c r="AW103" i="1"/>
  <c r="AV103" i="1"/>
  <c r="AT103" i="1"/>
  <c r="AS103" i="1"/>
  <c r="CS102" i="1"/>
  <c r="CR102" i="1"/>
  <c r="CQ102" i="1"/>
  <c r="CP102" i="1"/>
  <c r="CO102" i="1"/>
  <c r="CN102" i="1"/>
  <c r="CL102" i="1"/>
  <c r="CK102" i="1"/>
  <c r="CJ102" i="1"/>
  <c r="CI102" i="1"/>
  <c r="CH102" i="1"/>
  <c r="CG102" i="1"/>
  <c r="CF102" i="1"/>
  <c r="CD102" i="1"/>
  <c r="CC102" i="1"/>
  <c r="CB102" i="1"/>
  <c r="CA102" i="1"/>
  <c r="BZ102" i="1"/>
  <c r="BY102" i="1"/>
  <c r="BX102" i="1"/>
  <c r="BU102" i="1"/>
  <c r="BN102" i="1"/>
  <c r="BS102" i="1" s="1"/>
  <c r="BA102" i="1"/>
  <c r="AZ102" i="1"/>
  <c r="AY102" i="1"/>
  <c r="AX102" i="1"/>
  <c r="AW102" i="1"/>
  <c r="AV102" i="1"/>
  <c r="AT102" i="1"/>
  <c r="AS102" i="1"/>
  <c r="CS101" i="1"/>
  <c r="CR101" i="1"/>
  <c r="CQ101" i="1"/>
  <c r="CP101" i="1"/>
  <c r="CO101" i="1"/>
  <c r="CN101" i="1"/>
  <c r="CL101" i="1"/>
  <c r="CK101" i="1"/>
  <c r="CJ101" i="1"/>
  <c r="CI101" i="1"/>
  <c r="CH101" i="1"/>
  <c r="CG101" i="1"/>
  <c r="CF101" i="1"/>
  <c r="CD101" i="1"/>
  <c r="CC101" i="1"/>
  <c r="CB101" i="1"/>
  <c r="CA101" i="1"/>
  <c r="BZ101" i="1"/>
  <c r="BY101" i="1"/>
  <c r="BX101" i="1"/>
  <c r="BU101" i="1"/>
  <c r="BN101" i="1"/>
  <c r="BS101" i="1" s="1"/>
  <c r="BA101" i="1"/>
  <c r="AZ101" i="1"/>
  <c r="AY101" i="1"/>
  <c r="AX101" i="1"/>
  <c r="AW101" i="1"/>
  <c r="AV101" i="1"/>
  <c r="AT101" i="1"/>
  <c r="AS101" i="1"/>
  <c r="CS100" i="1"/>
  <c r="CR100" i="1"/>
  <c r="CQ100" i="1"/>
  <c r="CP100" i="1"/>
  <c r="CO100" i="1"/>
  <c r="CN100" i="1"/>
  <c r="CL100" i="1"/>
  <c r="CK100" i="1"/>
  <c r="CJ100" i="1"/>
  <c r="CI100" i="1"/>
  <c r="CH100" i="1"/>
  <c r="CG100" i="1"/>
  <c r="CF100" i="1"/>
  <c r="CD100" i="1"/>
  <c r="CC100" i="1"/>
  <c r="CB100" i="1"/>
  <c r="CA100" i="1"/>
  <c r="BZ100" i="1"/>
  <c r="BY100" i="1"/>
  <c r="BX100" i="1"/>
  <c r="BU100" i="1"/>
  <c r="BN100" i="1"/>
  <c r="BS100" i="1" s="1"/>
  <c r="BA100" i="1"/>
  <c r="AZ100" i="1"/>
  <c r="AY100" i="1"/>
  <c r="AX100" i="1"/>
  <c r="AW100" i="1"/>
  <c r="AV100" i="1"/>
  <c r="AT100" i="1"/>
  <c r="AS100" i="1"/>
  <c r="CS99" i="1"/>
  <c r="CR99" i="1"/>
  <c r="CQ99" i="1"/>
  <c r="CP99" i="1"/>
  <c r="CO99" i="1"/>
  <c r="CN99" i="1"/>
  <c r="CL99" i="1"/>
  <c r="CK99" i="1"/>
  <c r="CJ99" i="1"/>
  <c r="CI99" i="1"/>
  <c r="CH99" i="1"/>
  <c r="CG99" i="1"/>
  <c r="CF99" i="1"/>
  <c r="CD99" i="1"/>
  <c r="CC99" i="1"/>
  <c r="CB99" i="1"/>
  <c r="CA99" i="1"/>
  <c r="BZ99" i="1"/>
  <c r="BY99" i="1"/>
  <c r="BX99" i="1"/>
  <c r="BU99" i="1"/>
  <c r="BN99" i="1"/>
  <c r="BS99" i="1" s="1"/>
  <c r="BA99" i="1"/>
  <c r="AZ99" i="1"/>
  <c r="AY99" i="1"/>
  <c r="AX99" i="1"/>
  <c r="AW99" i="1"/>
  <c r="AV99" i="1"/>
  <c r="AT99" i="1"/>
  <c r="AS99" i="1"/>
  <c r="CS98" i="1"/>
  <c r="CR98" i="1"/>
  <c r="CQ98" i="1"/>
  <c r="CP98" i="1"/>
  <c r="CO98" i="1"/>
  <c r="CN98" i="1"/>
  <c r="CL98" i="1"/>
  <c r="CK98" i="1"/>
  <c r="CJ98" i="1"/>
  <c r="CI98" i="1"/>
  <c r="CH98" i="1"/>
  <c r="CG98" i="1"/>
  <c r="CF98" i="1"/>
  <c r="CD98" i="1"/>
  <c r="CC98" i="1"/>
  <c r="CB98" i="1"/>
  <c r="CA98" i="1"/>
  <c r="BZ98" i="1"/>
  <c r="BY98" i="1"/>
  <c r="BX98" i="1"/>
  <c r="BU98" i="1"/>
  <c r="BN98" i="1"/>
  <c r="BS98" i="1" s="1"/>
  <c r="BA98" i="1"/>
  <c r="AZ98" i="1"/>
  <c r="AY98" i="1"/>
  <c r="AX98" i="1"/>
  <c r="AW98" i="1"/>
  <c r="AV98" i="1"/>
  <c r="AT98" i="1"/>
  <c r="AS98" i="1"/>
  <c r="CS97" i="1"/>
  <c r="CR97" i="1"/>
  <c r="CQ97" i="1"/>
  <c r="CP97" i="1"/>
  <c r="CO97" i="1"/>
  <c r="CN97" i="1"/>
  <c r="CL97" i="1"/>
  <c r="CK97" i="1"/>
  <c r="CJ97" i="1"/>
  <c r="CI97" i="1"/>
  <c r="CH97" i="1"/>
  <c r="CG97" i="1"/>
  <c r="CF97" i="1"/>
  <c r="CD97" i="1"/>
  <c r="CC97" i="1"/>
  <c r="CB97" i="1"/>
  <c r="CA97" i="1"/>
  <c r="BZ97" i="1"/>
  <c r="BY97" i="1"/>
  <c r="BX97" i="1"/>
  <c r="BU97" i="1"/>
  <c r="BN97" i="1"/>
  <c r="BS97" i="1" s="1"/>
  <c r="BA97" i="1"/>
  <c r="AZ97" i="1"/>
  <c r="AY97" i="1"/>
  <c r="AX97" i="1"/>
  <c r="AW97" i="1"/>
  <c r="AV97" i="1"/>
  <c r="AT97" i="1"/>
  <c r="AS97" i="1"/>
  <c r="CS96" i="1"/>
  <c r="CR96" i="1"/>
  <c r="CQ96" i="1"/>
  <c r="CP96" i="1"/>
  <c r="CO96" i="1"/>
  <c r="CN96" i="1"/>
  <c r="CL96" i="1"/>
  <c r="CK96" i="1"/>
  <c r="CJ96" i="1"/>
  <c r="CI96" i="1"/>
  <c r="CH96" i="1"/>
  <c r="CG96" i="1"/>
  <c r="CF96" i="1"/>
  <c r="CD96" i="1"/>
  <c r="CC96" i="1"/>
  <c r="CB96" i="1"/>
  <c r="CA96" i="1"/>
  <c r="BZ96" i="1"/>
  <c r="BY96" i="1"/>
  <c r="BX96" i="1"/>
  <c r="BU96" i="1"/>
  <c r="BN96" i="1"/>
  <c r="BS96" i="1" s="1"/>
  <c r="BA96" i="1"/>
  <c r="AZ96" i="1"/>
  <c r="AY96" i="1"/>
  <c r="AX96" i="1"/>
  <c r="AW96" i="1"/>
  <c r="AV96" i="1"/>
  <c r="AT96" i="1"/>
  <c r="AS96" i="1"/>
  <c r="CX95" i="1"/>
  <c r="CX117" i="1" s="1"/>
  <c r="CS95" i="1"/>
  <c r="CR95" i="1"/>
  <c r="CQ95" i="1"/>
  <c r="CP95" i="1"/>
  <c r="CO95" i="1"/>
  <c r="CN95" i="1"/>
  <c r="CL95" i="1"/>
  <c r="CK95" i="1"/>
  <c r="CJ95" i="1"/>
  <c r="CI95" i="1"/>
  <c r="CH95" i="1"/>
  <c r="CG95" i="1"/>
  <c r="CF95" i="1"/>
  <c r="CD95" i="1"/>
  <c r="CC95" i="1"/>
  <c r="CB95" i="1"/>
  <c r="CA95" i="1"/>
  <c r="BZ95" i="1"/>
  <c r="BY95" i="1"/>
  <c r="BX95" i="1"/>
  <c r="BU95" i="1"/>
  <c r="BN95" i="1"/>
  <c r="BS95" i="1" s="1"/>
  <c r="BA95" i="1"/>
  <c r="AZ95" i="1"/>
  <c r="AY95" i="1"/>
  <c r="AX95" i="1"/>
  <c r="AW95" i="1"/>
  <c r="AV95" i="1"/>
  <c r="AT95" i="1"/>
  <c r="AS95" i="1"/>
  <c r="CS94" i="1"/>
  <c r="CR94" i="1"/>
  <c r="CQ94" i="1"/>
  <c r="CP94" i="1"/>
  <c r="CO94" i="1"/>
  <c r="CN94" i="1"/>
  <c r="CL94" i="1"/>
  <c r="CK94" i="1"/>
  <c r="CJ94" i="1"/>
  <c r="CI94" i="1"/>
  <c r="CH94" i="1"/>
  <c r="CG94" i="1"/>
  <c r="CF94" i="1"/>
  <c r="CD94" i="1"/>
  <c r="CC94" i="1"/>
  <c r="CB94" i="1"/>
  <c r="CA94" i="1"/>
  <c r="BZ94" i="1"/>
  <c r="BY94" i="1"/>
  <c r="BX94" i="1"/>
  <c r="BU94" i="1"/>
  <c r="BN94" i="1"/>
  <c r="BS94" i="1" s="1"/>
  <c r="BA94" i="1"/>
  <c r="AZ94" i="1"/>
  <c r="AY94" i="1"/>
  <c r="AX94" i="1"/>
  <c r="AW94" i="1"/>
  <c r="AV94" i="1"/>
  <c r="AT94" i="1"/>
  <c r="AS94" i="1"/>
  <c r="CS93" i="1"/>
  <c r="CR93" i="1"/>
  <c r="CQ93" i="1"/>
  <c r="CP93" i="1"/>
  <c r="CO93" i="1"/>
  <c r="CN93" i="1"/>
  <c r="CL93" i="1"/>
  <c r="CK93" i="1"/>
  <c r="CJ93" i="1"/>
  <c r="CI93" i="1"/>
  <c r="CH93" i="1"/>
  <c r="CG93" i="1"/>
  <c r="CF93" i="1"/>
  <c r="CD93" i="1"/>
  <c r="CC93" i="1"/>
  <c r="CB93" i="1"/>
  <c r="CA93" i="1"/>
  <c r="BZ93" i="1"/>
  <c r="BY93" i="1"/>
  <c r="BX93" i="1"/>
  <c r="BU93" i="1"/>
  <c r="BN93" i="1"/>
  <c r="BS93" i="1" s="1"/>
  <c r="BA93" i="1"/>
  <c r="AZ93" i="1"/>
  <c r="AY93" i="1"/>
  <c r="AX93" i="1"/>
  <c r="AW93" i="1"/>
  <c r="AV93" i="1"/>
  <c r="AT93" i="1"/>
  <c r="AS93" i="1"/>
  <c r="CS92" i="1"/>
  <c r="CR92" i="1"/>
  <c r="CQ92" i="1"/>
  <c r="CP92" i="1"/>
  <c r="CO92" i="1"/>
  <c r="CN92" i="1"/>
  <c r="CL92" i="1"/>
  <c r="CK92" i="1"/>
  <c r="CJ92" i="1"/>
  <c r="CI92" i="1"/>
  <c r="CH92" i="1"/>
  <c r="CG92" i="1"/>
  <c r="CF92" i="1"/>
  <c r="CD92" i="1"/>
  <c r="CC92" i="1"/>
  <c r="CB92" i="1"/>
  <c r="CA92" i="1"/>
  <c r="BZ92" i="1"/>
  <c r="BY92" i="1"/>
  <c r="BX92" i="1"/>
  <c r="BU92" i="1"/>
  <c r="BN92" i="1"/>
  <c r="BS92" i="1" s="1"/>
  <c r="BA92" i="1"/>
  <c r="AZ92" i="1"/>
  <c r="AY92" i="1"/>
  <c r="AX92" i="1"/>
  <c r="AW92" i="1"/>
  <c r="AV92" i="1"/>
  <c r="AT92" i="1"/>
  <c r="AS92" i="1"/>
  <c r="CS91" i="1"/>
  <c r="CR91" i="1"/>
  <c r="CQ91" i="1"/>
  <c r="CP91" i="1"/>
  <c r="CO91" i="1"/>
  <c r="CN91" i="1"/>
  <c r="CL91" i="1"/>
  <c r="CK91" i="1"/>
  <c r="CJ91" i="1"/>
  <c r="CI91" i="1"/>
  <c r="CH91" i="1"/>
  <c r="CG91" i="1"/>
  <c r="CF91" i="1"/>
  <c r="CD91" i="1"/>
  <c r="CC91" i="1"/>
  <c r="CB91" i="1"/>
  <c r="CA91" i="1"/>
  <c r="BZ91" i="1"/>
  <c r="BY91" i="1"/>
  <c r="BX91" i="1"/>
  <c r="BU91" i="1"/>
  <c r="BN91" i="1"/>
  <c r="BS91" i="1" s="1"/>
  <c r="BA91" i="1"/>
  <c r="AZ91" i="1"/>
  <c r="AY91" i="1"/>
  <c r="AX91" i="1"/>
  <c r="AW91" i="1"/>
  <c r="AV91" i="1"/>
  <c r="AT91" i="1"/>
  <c r="AS91" i="1"/>
  <c r="CS90" i="1"/>
  <c r="CR90" i="1"/>
  <c r="CQ90" i="1"/>
  <c r="CP90" i="1"/>
  <c r="CO90" i="1"/>
  <c r="CN90" i="1"/>
  <c r="CL90" i="1"/>
  <c r="CK90" i="1"/>
  <c r="CJ90" i="1"/>
  <c r="CI90" i="1"/>
  <c r="CH90" i="1"/>
  <c r="CG90" i="1"/>
  <c r="CF90" i="1"/>
  <c r="CD90" i="1"/>
  <c r="CC90" i="1"/>
  <c r="CB90" i="1"/>
  <c r="CA90" i="1"/>
  <c r="BZ90" i="1"/>
  <c r="BY90" i="1"/>
  <c r="BX90" i="1"/>
  <c r="BU90" i="1"/>
  <c r="BN90" i="1"/>
  <c r="BS90" i="1" s="1"/>
  <c r="BA90" i="1"/>
  <c r="AZ90" i="1"/>
  <c r="AY90" i="1"/>
  <c r="AX90" i="1"/>
  <c r="AW90" i="1"/>
  <c r="AV90" i="1"/>
  <c r="AT90" i="1"/>
  <c r="AS90" i="1"/>
  <c r="CS89" i="1"/>
  <c r="CR89" i="1"/>
  <c r="CQ89" i="1"/>
  <c r="CP89" i="1"/>
  <c r="CO89" i="1"/>
  <c r="CN89" i="1"/>
  <c r="CL89" i="1"/>
  <c r="CK89" i="1"/>
  <c r="CJ89" i="1"/>
  <c r="CI89" i="1"/>
  <c r="CH89" i="1"/>
  <c r="CG89" i="1"/>
  <c r="CF89" i="1"/>
  <c r="CD89" i="1"/>
  <c r="CC89" i="1"/>
  <c r="CB89" i="1"/>
  <c r="CA89" i="1"/>
  <c r="BZ89" i="1"/>
  <c r="BY89" i="1"/>
  <c r="BX89" i="1"/>
  <c r="BU89" i="1"/>
  <c r="BN89" i="1"/>
  <c r="BS89" i="1" s="1"/>
  <c r="BA89" i="1"/>
  <c r="AZ89" i="1"/>
  <c r="AY89" i="1"/>
  <c r="AX89" i="1"/>
  <c r="AW89" i="1"/>
  <c r="AV89" i="1"/>
  <c r="AT89" i="1"/>
  <c r="AS89" i="1"/>
  <c r="DB88" i="1"/>
  <c r="DA88" i="1"/>
  <c r="CZ88" i="1"/>
  <c r="CS88" i="1"/>
  <c r="CR88" i="1"/>
  <c r="CQ88" i="1"/>
  <c r="CP88" i="1"/>
  <c r="CO88" i="1"/>
  <c r="CN88" i="1"/>
  <c r="CL88" i="1"/>
  <c r="CK88" i="1"/>
  <c r="CJ88" i="1"/>
  <c r="CI88" i="1"/>
  <c r="CH88" i="1"/>
  <c r="CG88" i="1"/>
  <c r="CF88" i="1"/>
  <c r="CD88" i="1"/>
  <c r="CC88" i="1"/>
  <c r="CB88" i="1"/>
  <c r="CA88" i="1"/>
  <c r="BZ88" i="1"/>
  <c r="BY88" i="1"/>
  <c r="BX88" i="1"/>
  <c r="BU88" i="1"/>
  <c r="BN88" i="1"/>
  <c r="BS88" i="1" s="1"/>
  <c r="BA88" i="1"/>
  <c r="AZ88" i="1"/>
  <c r="AY88" i="1"/>
  <c r="AX88" i="1"/>
  <c r="AW88" i="1"/>
  <c r="AV88" i="1"/>
  <c r="AT88" i="1"/>
  <c r="AS88" i="1"/>
  <c r="CS87" i="1"/>
  <c r="CR87" i="1"/>
  <c r="CQ87" i="1"/>
  <c r="CP87" i="1"/>
  <c r="CO87" i="1"/>
  <c r="CN87" i="1"/>
  <c r="CL87" i="1"/>
  <c r="CK87" i="1"/>
  <c r="CJ87" i="1"/>
  <c r="CI87" i="1"/>
  <c r="CH87" i="1"/>
  <c r="CG87" i="1"/>
  <c r="CF87" i="1"/>
  <c r="CD87" i="1"/>
  <c r="CC87" i="1"/>
  <c r="CB87" i="1"/>
  <c r="CA87" i="1"/>
  <c r="BZ87" i="1"/>
  <c r="BY87" i="1"/>
  <c r="BX87" i="1"/>
  <c r="BU87" i="1"/>
  <c r="BN87" i="1"/>
  <c r="BS87" i="1" s="1"/>
  <c r="BA87" i="1"/>
  <c r="AZ87" i="1"/>
  <c r="AY87" i="1"/>
  <c r="AX87" i="1"/>
  <c r="AW87" i="1"/>
  <c r="AV87" i="1"/>
  <c r="AT87" i="1"/>
  <c r="AS87" i="1"/>
  <c r="DL86" i="1"/>
  <c r="CS86" i="1"/>
  <c r="CR86" i="1"/>
  <c r="CQ86" i="1"/>
  <c r="CP86" i="1"/>
  <c r="CO86" i="1"/>
  <c r="CN86" i="1"/>
  <c r="CL86" i="1"/>
  <c r="CK86" i="1"/>
  <c r="CJ86" i="1"/>
  <c r="CI86" i="1"/>
  <c r="CH86" i="1"/>
  <c r="CG86" i="1"/>
  <c r="CF86" i="1"/>
  <c r="CD86" i="1"/>
  <c r="CC86" i="1"/>
  <c r="CB86" i="1"/>
  <c r="CA86" i="1"/>
  <c r="BZ86" i="1"/>
  <c r="BY86" i="1"/>
  <c r="BX86" i="1"/>
  <c r="BU86" i="1"/>
  <c r="BN86" i="1"/>
  <c r="BS86" i="1" s="1"/>
  <c r="BA86" i="1"/>
  <c r="AZ86" i="1"/>
  <c r="AY86" i="1"/>
  <c r="AX86" i="1"/>
  <c r="AW86" i="1"/>
  <c r="AV86" i="1"/>
  <c r="AT86" i="1"/>
  <c r="AS86" i="1"/>
  <c r="DG85" i="1"/>
  <c r="DB85" i="1"/>
  <c r="DA85" i="1"/>
  <c r="CZ85" i="1"/>
  <c r="CS85" i="1"/>
  <c r="CR85" i="1"/>
  <c r="CQ85" i="1"/>
  <c r="CP85" i="1"/>
  <c r="CO85" i="1"/>
  <c r="CN85" i="1"/>
  <c r="CL85" i="1"/>
  <c r="CK85" i="1"/>
  <c r="CJ85" i="1"/>
  <c r="CI85" i="1"/>
  <c r="CH85" i="1"/>
  <c r="CG85" i="1"/>
  <c r="CF85" i="1"/>
  <c r="CD85" i="1"/>
  <c r="CC85" i="1"/>
  <c r="CB85" i="1"/>
  <c r="CA85" i="1"/>
  <c r="BZ85" i="1"/>
  <c r="BY85" i="1"/>
  <c r="BX85" i="1"/>
  <c r="BU85" i="1"/>
  <c r="BN85" i="1"/>
  <c r="BS85" i="1" s="1"/>
  <c r="BA85" i="1"/>
  <c r="AZ85" i="1"/>
  <c r="AY85" i="1"/>
  <c r="AX85" i="1"/>
  <c r="AW85" i="1"/>
  <c r="AV85" i="1"/>
  <c r="AT85" i="1"/>
  <c r="AS85" i="1"/>
  <c r="DL84" i="1"/>
  <c r="CS84" i="1"/>
  <c r="CR84" i="1"/>
  <c r="CQ84" i="1"/>
  <c r="CP84" i="1"/>
  <c r="CO84" i="1"/>
  <c r="CN84" i="1"/>
  <c r="CL84" i="1"/>
  <c r="CK84" i="1"/>
  <c r="CJ84" i="1"/>
  <c r="CI84" i="1"/>
  <c r="CH84" i="1"/>
  <c r="CG84" i="1"/>
  <c r="CF84" i="1"/>
  <c r="CD84" i="1"/>
  <c r="CC84" i="1"/>
  <c r="CB84" i="1"/>
  <c r="CA84" i="1"/>
  <c r="BZ84" i="1"/>
  <c r="BY84" i="1"/>
  <c r="BX84" i="1"/>
  <c r="BU84" i="1"/>
  <c r="BN84" i="1"/>
  <c r="BS84" i="1" s="1"/>
  <c r="BA84" i="1"/>
  <c r="AZ84" i="1"/>
  <c r="AY84" i="1"/>
  <c r="AX84" i="1"/>
  <c r="AW84" i="1"/>
  <c r="AV84" i="1"/>
  <c r="AT84" i="1"/>
  <c r="AS84" i="1"/>
  <c r="DL83" i="1"/>
  <c r="DJ83" i="1"/>
  <c r="DG83" i="1"/>
  <c r="CS83" i="1"/>
  <c r="CR83" i="1"/>
  <c r="CQ83" i="1"/>
  <c r="CP83" i="1"/>
  <c r="CO83" i="1"/>
  <c r="CN83" i="1"/>
  <c r="CL83" i="1"/>
  <c r="CK83" i="1"/>
  <c r="CJ83" i="1"/>
  <c r="CI83" i="1"/>
  <c r="CH83" i="1"/>
  <c r="CG83" i="1"/>
  <c r="CF83" i="1"/>
  <c r="CD83" i="1"/>
  <c r="CC83" i="1"/>
  <c r="CB83" i="1"/>
  <c r="CA83" i="1"/>
  <c r="BZ83" i="1"/>
  <c r="BY83" i="1"/>
  <c r="BX83" i="1"/>
  <c r="BU83" i="1"/>
  <c r="BN83" i="1"/>
  <c r="BS83" i="1" s="1"/>
  <c r="BA83" i="1"/>
  <c r="AZ83" i="1"/>
  <c r="AY83" i="1"/>
  <c r="AX83" i="1"/>
  <c r="AW83" i="1"/>
  <c r="AV83" i="1"/>
  <c r="AT83" i="1"/>
  <c r="AS83" i="1"/>
  <c r="DJ82" i="1"/>
  <c r="CS82" i="1"/>
  <c r="CR82" i="1"/>
  <c r="CQ82" i="1"/>
  <c r="CP82" i="1"/>
  <c r="CO82" i="1"/>
  <c r="CN82" i="1"/>
  <c r="CL82" i="1"/>
  <c r="CK82" i="1"/>
  <c r="CJ82" i="1"/>
  <c r="CI82" i="1"/>
  <c r="CH82" i="1"/>
  <c r="CG82" i="1"/>
  <c r="CF82" i="1"/>
  <c r="CD82" i="1"/>
  <c r="CC82" i="1"/>
  <c r="CB82" i="1"/>
  <c r="CA82" i="1"/>
  <c r="BZ82" i="1"/>
  <c r="BY82" i="1"/>
  <c r="BX82" i="1"/>
  <c r="BU82" i="1"/>
  <c r="BN82" i="1"/>
  <c r="BS82" i="1" s="1"/>
  <c r="BA82" i="1"/>
  <c r="AZ82" i="1"/>
  <c r="AY82" i="1"/>
  <c r="AX82" i="1"/>
  <c r="AW82" i="1"/>
  <c r="AV82" i="1"/>
  <c r="AT82" i="1"/>
  <c r="AS82" i="1"/>
  <c r="CS81" i="1"/>
  <c r="CR81" i="1"/>
  <c r="CQ81" i="1"/>
  <c r="CP81" i="1"/>
  <c r="CO81" i="1"/>
  <c r="CN81" i="1"/>
  <c r="CL81" i="1"/>
  <c r="CK81" i="1"/>
  <c r="CJ81" i="1"/>
  <c r="CI81" i="1"/>
  <c r="CH81" i="1"/>
  <c r="CG81" i="1"/>
  <c r="CF81" i="1"/>
  <c r="CD81" i="1"/>
  <c r="CC81" i="1"/>
  <c r="CB81" i="1"/>
  <c r="CA81" i="1"/>
  <c r="BZ81" i="1"/>
  <c r="BY81" i="1"/>
  <c r="BX81" i="1"/>
  <c r="BU81" i="1"/>
  <c r="BN81" i="1"/>
  <c r="BS81" i="1" s="1"/>
  <c r="BA81" i="1"/>
  <c r="AZ81" i="1"/>
  <c r="AY81" i="1"/>
  <c r="AX81" i="1"/>
  <c r="AW81" i="1"/>
  <c r="AV81" i="1"/>
  <c r="AT81" i="1"/>
  <c r="AS81" i="1"/>
  <c r="CZ80" i="1"/>
  <c r="CS80" i="1"/>
  <c r="CR80" i="1"/>
  <c r="CQ80" i="1"/>
  <c r="CP80" i="1"/>
  <c r="CO80" i="1"/>
  <c r="CN80" i="1"/>
  <c r="CL80" i="1"/>
  <c r="CK80" i="1"/>
  <c r="CJ80" i="1"/>
  <c r="CI80" i="1"/>
  <c r="CH80" i="1"/>
  <c r="CG80" i="1"/>
  <c r="CF80" i="1"/>
  <c r="CD80" i="1"/>
  <c r="CC80" i="1"/>
  <c r="CB80" i="1"/>
  <c r="CA80" i="1"/>
  <c r="BZ80" i="1"/>
  <c r="BY80" i="1"/>
  <c r="BX80" i="1"/>
  <c r="BU80" i="1"/>
  <c r="BN80" i="1"/>
  <c r="BS80" i="1" s="1"/>
  <c r="BA80" i="1"/>
  <c r="AZ80" i="1"/>
  <c r="AY80" i="1"/>
  <c r="AX80" i="1"/>
  <c r="AW80" i="1"/>
  <c r="AV80" i="1"/>
  <c r="AT80" i="1"/>
  <c r="AS80" i="1"/>
  <c r="DE79" i="1"/>
  <c r="CS79" i="1"/>
  <c r="CR79" i="1"/>
  <c r="CQ79" i="1"/>
  <c r="CP79" i="1"/>
  <c r="CO79" i="1"/>
  <c r="CN79" i="1"/>
  <c r="CL79" i="1"/>
  <c r="CK79" i="1"/>
  <c r="CJ79" i="1"/>
  <c r="CI79" i="1"/>
  <c r="CH79" i="1"/>
  <c r="CG79" i="1"/>
  <c r="CF79" i="1"/>
  <c r="CD79" i="1"/>
  <c r="CC79" i="1"/>
  <c r="CB79" i="1"/>
  <c r="CA79" i="1"/>
  <c r="BZ79" i="1"/>
  <c r="BY79" i="1"/>
  <c r="BX79" i="1"/>
  <c r="BU79" i="1"/>
  <c r="BN79" i="1"/>
  <c r="BS79" i="1" s="1"/>
  <c r="BA79" i="1"/>
  <c r="AZ79" i="1"/>
  <c r="AY79" i="1"/>
  <c r="AX79" i="1"/>
  <c r="AW79" i="1"/>
  <c r="AV79" i="1"/>
  <c r="AT79" i="1"/>
  <c r="AS79" i="1"/>
  <c r="DG78" i="1"/>
  <c r="CS78" i="1"/>
  <c r="CR78" i="1"/>
  <c r="CQ78" i="1"/>
  <c r="CP78" i="1"/>
  <c r="CO78" i="1"/>
  <c r="CN78" i="1"/>
  <c r="CL78" i="1"/>
  <c r="CK78" i="1"/>
  <c r="CJ78" i="1"/>
  <c r="CI78" i="1"/>
  <c r="CH78" i="1"/>
  <c r="CG78" i="1"/>
  <c r="CF78" i="1"/>
  <c r="CD78" i="1"/>
  <c r="CC78" i="1"/>
  <c r="CB78" i="1"/>
  <c r="CA78" i="1"/>
  <c r="BZ78" i="1"/>
  <c r="BY78" i="1"/>
  <c r="BX78" i="1"/>
  <c r="BU78" i="1"/>
  <c r="BN78" i="1"/>
  <c r="BS78" i="1" s="1"/>
  <c r="BA78" i="1"/>
  <c r="AZ78" i="1"/>
  <c r="AY78" i="1"/>
  <c r="AX78" i="1"/>
  <c r="AW78" i="1"/>
  <c r="AV78" i="1"/>
  <c r="AT78" i="1"/>
  <c r="AS78" i="1"/>
  <c r="CS77" i="1"/>
  <c r="CR77" i="1"/>
  <c r="CQ77" i="1"/>
  <c r="CP77" i="1"/>
  <c r="CO77" i="1"/>
  <c r="CN77" i="1"/>
  <c r="CL77" i="1"/>
  <c r="CK77" i="1"/>
  <c r="CJ77" i="1"/>
  <c r="CI77" i="1"/>
  <c r="CH77" i="1"/>
  <c r="CG77" i="1"/>
  <c r="CF77" i="1"/>
  <c r="CD77" i="1"/>
  <c r="CC77" i="1"/>
  <c r="CB77" i="1"/>
  <c r="CA77" i="1"/>
  <c r="BZ77" i="1"/>
  <c r="BY77" i="1"/>
  <c r="BX77" i="1"/>
  <c r="BU77" i="1"/>
  <c r="BN77" i="1"/>
  <c r="BS77" i="1" s="1"/>
  <c r="BA77" i="1"/>
  <c r="AZ77" i="1"/>
  <c r="AY77" i="1"/>
  <c r="AX77" i="1"/>
  <c r="AW77" i="1"/>
  <c r="AV77" i="1"/>
  <c r="AT77" i="1"/>
  <c r="AS77" i="1"/>
  <c r="CS76" i="1"/>
  <c r="CR76" i="1"/>
  <c r="CQ76" i="1"/>
  <c r="CP76" i="1"/>
  <c r="CO76" i="1"/>
  <c r="CN76" i="1"/>
  <c r="CL76" i="1"/>
  <c r="CK76" i="1"/>
  <c r="CJ76" i="1"/>
  <c r="CI76" i="1"/>
  <c r="CH76" i="1"/>
  <c r="CG76" i="1"/>
  <c r="CF76" i="1"/>
  <c r="CD76" i="1"/>
  <c r="CC76" i="1"/>
  <c r="CB76" i="1"/>
  <c r="CA76" i="1"/>
  <c r="BZ76" i="1"/>
  <c r="BY76" i="1"/>
  <c r="BX76" i="1"/>
  <c r="BU76" i="1"/>
  <c r="BN76" i="1"/>
  <c r="BS76" i="1" s="1"/>
  <c r="BA76" i="1"/>
  <c r="AZ76" i="1"/>
  <c r="AY76" i="1"/>
  <c r="AX76" i="1"/>
  <c r="AW76" i="1"/>
  <c r="AV76" i="1"/>
  <c r="AT76" i="1"/>
  <c r="AS76" i="1"/>
  <c r="DL75" i="1"/>
  <c r="DG75" i="1"/>
  <c r="CS75" i="1"/>
  <c r="CR75" i="1"/>
  <c r="CQ75" i="1"/>
  <c r="CP75" i="1"/>
  <c r="CO75" i="1"/>
  <c r="CN75" i="1"/>
  <c r="CL75" i="1"/>
  <c r="CK75" i="1"/>
  <c r="CJ75" i="1"/>
  <c r="CI75" i="1"/>
  <c r="CH75" i="1"/>
  <c r="CG75" i="1"/>
  <c r="CF75" i="1"/>
  <c r="CD75" i="1"/>
  <c r="CC75" i="1"/>
  <c r="CB75" i="1"/>
  <c r="CA75" i="1"/>
  <c r="BZ75" i="1"/>
  <c r="BY75" i="1"/>
  <c r="BX75" i="1"/>
  <c r="BU75" i="1"/>
  <c r="BN75" i="1"/>
  <c r="BS75" i="1" s="1"/>
  <c r="BA75" i="1"/>
  <c r="AZ75" i="1"/>
  <c r="AY75" i="1"/>
  <c r="AX75" i="1"/>
  <c r="AW75" i="1"/>
  <c r="AV75" i="1"/>
  <c r="AT75" i="1"/>
  <c r="AS75" i="1"/>
  <c r="DL74" i="1"/>
  <c r="DG74" i="1"/>
  <c r="CS74" i="1"/>
  <c r="CR74" i="1"/>
  <c r="CQ74" i="1"/>
  <c r="CP74" i="1"/>
  <c r="CO74" i="1"/>
  <c r="CN74" i="1"/>
  <c r="CL74" i="1"/>
  <c r="CK74" i="1"/>
  <c r="CJ74" i="1"/>
  <c r="CI74" i="1"/>
  <c r="CH74" i="1"/>
  <c r="CG74" i="1"/>
  <c r="CF74" i="1"/>
  <c r="CD74" i="1"/>
  <c r="CC74" i="1"/>
  <c r="CB74" i="1"/>
  <c r="CA74" i="1"/>
  <c r="BZ74" i="1"/>
  <c r="BY74" i="1"/>
  <c r="BX74" i="1"/>
  <c r="BU74" i="1"/>
  <c r="BN74" i="1"/>
  <c r="BS74" i="1" s="1"/>
  <c r="BA74" i="1"/>
  <c r="AZ74" i="1"/>
  <c r="AY74" i="1"/>
  <c r="AX74" i="1"/>
  <c r="AW74" i="1"/>
  <c r="AV74" i="1"/>
  <c r="AT74" i="1"/>
  <c r="AS74" i="1"/>
  <c r="DL73" i="1"/>
  <c r="DG73" i="1"/>
  <c r="CS73" i="1"/>
  <c r="CR73" i="1"/>
  <c r="CQ73" i="1"/>
  <c r="CP73" i="1"/>
  <c r="CO73" i="1"/>
  <c r="CN73" i="1"/>
  <c r="CL73" i="1"/>
  <c r="CK73" i="1"/>
  <c r="CJ73" i="1"/>
  <c r="CI73" i="1"/>
  <c r="CH73" i="1"/>
  <c r="CG73" i="1"/>
  <c r="CF73" i="1"/>
  <c r="CD73" i="1"/>
  <c r="CC73" i="1"/>
  <c r="CB73" i="1"/>
  <c r="CA73" i="1"/>
  <c r="BZ73" i="1"/>
  <c r="BY73" i="1"/>
  <c r="BX73" i="1"/>
  <c r="BU73" i="1"/>
  <c r="BN73" i="1"/>
  <c r="BS73" i="1" s="1"/>
  <c r="BA73" i="1"/>
  <c r="AZ73" i="1"/>
  <c r="AY73" i="1"/>
  <c r="AX73" i="1"/>
  <c r="AW73" i="1"/>
  <c r="AV73" i="1"/>
  <c r="AT73" i="1"/>
  <c r="AS73" i="1"/>
  <c r="DL72" i="1"/>
  <c r="DG72" i="1"/>
  <c r="CS72" i="1"/>
  <c r="CR72" i="1"/>
  <c r="CQ72" i="1"/>
  <c r="CP72" i="1"/>
  <c r="CO72" i="1"/>
  <c r="CN72" i="1"/>
  <c r="CL72" i="1"/>
  <c r="CK72" i="1"/>
  <c r="CJ72" i="1"/>
  <c r="CI72" i="1"/>
  <c r="CH72" i="1"/>
  <c r="CG72" i="1"/>
  <c r="CF72" i="1"/>
  <c r="CD72" i="1"/>
  <c r="CC72" i="1"/>
  <c r="CB72" i="1"/>
  <c r="CA72" i="1"/>
  <c r="BZ72" i="1"/>
  <c r="BY72" i="1"/>
  <c r="BX72" i="1"/>
  <c r="BU72" i="1"/>
  <c r="BN72" i="1"/>
  <c r="BS72" i="1" s="1"/>
  <c r="BA72" i="1"/>
  <c r="AZ72" i="1"/>
  <c r="AY72" i="1"/>
  <c r="AX72" i="1"/>
  <c r="AW72" i="1"/>
  <c r="AV72" i="1"/>
  <c r="AT72" i="1"/>
  <c r="AS72" i="1"/>
  <c r="DL71" i="1"/>
  <c r="DG71" i="1"/>
  <c r="CS71" i="1"/>
  <c r="CR71" i="1"/>
  <c r="CQ71" i="1"/>
  <c r="CP71" i="1"/>
  <c r="CO71" i="1"/>
  <c r="CN71" i="1"/>
  <c r="CL71" i="1"/>
  <c r="CK71" i="1"/>
  <c r="CJ71" i="1"/>
  <c r="CI71" i="1"/>
  <c r="CH71" i="1"/>
  <c r="CG71" i="1"/>
  <c r="CF71" i="1"/>
  <c r="CD71" i="1"/>
  <c r="CC71" i="1"/>
  <c r="CB71" i="1"/>
  <c r="CA71" i="1"/>
  <c r="BZ71" i="1"/>
  <c r="BY71" i="1"/>
  <c r="BX71" i="1"/>
  <c r="BU71" i="1"/>
  <c r="BN71" i="1"/>
  <c r="BS71" i="1" s="1"/>
  <c r="BA71" i="1"/>
  <c r="AZ71" i="1"/>
  <c r="AY71" i="1"/>
  <c r="AX71" i="1"/>
  <c r="AW71" i="1"/>
  <c r="AV71" i="1"/>
  <c r="AT71" i="1"/>
  <c r="AS71" i="1"/>
  <c r="DL70" i="1"/>
  <c r="DG70" i="1"/>
  <c r="CZ70" i="1"/>
  <c r="CS70" i="1"/>
  <c r="CR70" i="1"/>
  <c r="CQ70" i="1"/>
  <c r="CP70" i="1"/>
  <c r="CO70" i="1"/>
  <c r="CN70" i="1"/>
  <c r="CL70" i="1"/>
  <c r="CK70" i="1"/>
  <c r="CJ70" i="1"/>
  <c r="CI70" i="1"/>
  <c r="CH70" i="1"/>
  <c r="CG70" i="1"/>
  <c r="CF70" i="1"/>
  <c r="CD70" i="1"/>
  <c r="CC70" i="1"/>
  <c r="CB70" i="1"/>
  <c r="CA70" i="1"/>
  <c r="BZ70" i="1"/>
  <c r="BY70" i="1"/>
  <c r="BX70" i="1"/>
  <c r="BU70" i="1"/>
  <c r="BN70" i="1"/>
  <c r="BS70" i="1" s="1"/>
  <c r="BA70" i="1"/>
  <c r="AZ70" i="1"/>
  <c r="AY70" i="1"/>
  <c r="AX70" i="1"/>
  <c r="AW70" i="1"/>
  <c r="AV70" i="1"/>
  <c r="AT70" i="1"/>
  <c r="AS70" i="1"/>
  <c r="DL69" i="1"/>
  <c r="DJ69" i="1"/>
  <c r="DG69" i="1"/>
  <c r="DE69" i="1"/>
  <c r="CZ69" i="1"/>
  <c r="CS69" i="1"/>
  <c r="CR69" i="1"/>
  <c r="CQ69" i="1"/>
  <c r="CP69" i="1"/>
  <c r="CO69" i="1"/>
  <c r="CN69" i="1"/>
  <c r="CL69" i="1"/>
  <c r="CK69" i="1"/>
  <c r="CJ69" i="1"/>
  <c r="CI69" i="1"/>
  <c r="CH69" i="1"/>
  <c r="CG69" i="1"/>
  <c r="CF69" i="1"/>
  <c r="CD69" i="1"/>
  <c r="CC69" i="1"/>
  <c r="CB69" i="1"/>
  <c r="CA69" i="1"/>
  <c r="BZ69" i="1"/>
  <c r="BY69" i="1"/>
  <c r="BX69" i="1"/>
  <c r="BU69" i="1"/>
  <c r="BN69" i="1"/>
  <c r="BS69" i="1" s="1"/>
  <c r="BA69" i="1"/>
  <c r="AZ69" i="1"/>
  <c r="AY69" i="1"/>
  <c r="AX69" i="1"/>
  <c r="AW69" i="1"/>
  <c r="AV69" i="1"/>
  <c r="AT69" i="1"/>
  <c r="AS69" i="1"/>
  <c r="AJ69" i="1"/>
  <c r="AI69" i="1"/>
  <c r="AE69" i="1"/>
  <c r="DL68" i="1"/>
  <c r="DG68" i="1"/>
  <c r="DE68" i="1"/>
  <c r="CZ68" i="1"/>
  <c r="CS68" i="1"/>
  <c r="CR68" i="1"/>
  <c r="CQ68" i="1"/>
  <c r="CP68" i="1"/>
  <c r="CO68" i="1"/>
  <c r="CN68" i="1"/>
  <c r="CL68" i="1"/>
  <c r="CK68" i="1"/>
  <c r="CJ68" i="1"/>
  <c r="CI68" i="1"/>
  <c r="CH68" i="1"/>
  <c r="CG68" i="1"/>
  <c r="CF68" i="1"/>
  <c r="CD68" i="1"/>
  <c r="CC68" i="1"/>
  <c r="CB68" i="1"/>
  <c r="CA68" i="1"/>
  <c r="BZ68" i="1"/>
  <c r="BY68" i="1"/>
  <c r="BX68" i="1"/>
  <c r="BU68" i="1"/>
  <c r="BN68" i="1"/>
  <c r="BS68" i="1" s="1"/>
  <c r="BA68" i="1"/>
  <c r="AZ68" i="1"/>
  <c r="AY68" i="1"/>
  <c r="AX68" i="1"/>
  <c r="AW68" i="1"/>
  <c r="AV68" i="1"/>
  <c r="AT68" i="1"/>
  <c r="AS68" i="1"/>
  <c r="DL67" i="1"/>
  <c r="DJ67" i="1"/>
  <c r="DG67" i="1"/>
  <c r="DE67" i="1"/>
  <c r="CZ67" i="1"/>
  <c r="CS67" i="1"/>
  <c r="CR67" i="1"/>
  <c r="CQ67" i="1"/>
  <c r="CP67" i="1"/>
  <c r="CO67" i="1"/>
  <c r="CN67" i="1"/>
  <c r="CL67" i="1"/>
  <c r="CK67" i="1"/>
  <c r="CJ67" i="1"/>
  <c r="CI67" i="1"/>
  <c r="CH67" i="1"/>
  <c r="CG67" i="1"/>
  <c r="CF67" i="1"/>
  <c r="CD67" i="1"/>
  <c r="CC67" i="1"/>
  <c r="CB67" i="1"/>
  <c r="CA67" i="1"/>
  <c r="BZ67" i="1"/>
  <c r="BY67" i="1"/>
  <c r="BX67" i="1"/>
  <c r="BU67" i="1"/>
  <c r="BN67" i="1"/>
  <c r="BS67" i="1" s="1"/>
  <c r="BA67" i="1"/>
  <c r="AZ67" i="1"/>
  <c r="AY67" i="1"/>
  <c r="AX67" i="1"/>
  <c r="AW67" i="1"/>
  <c r="AV67" i="1"/>
  <c r="AT67" i="1"/>
  <c r="AS67" i="1"/>
  <c r="DL66" i="1"/>
  <c r="DG66" i="1"/>
  <c r="CZ66" i="1"/>
  <c r="CS66" i="1"/>
  <c r="CR66" i="1"/>
  <c r="CQ66" i="1"/>
  <c r="CP66" i="1"/>
  <c r="CO66" i="1"/>
  <c r="CN66" i="1"/>
  <c r="CL66" i="1"/>
  <c r="CK66" i="1"/>
  <c r="CJ66" i="1"/>
  <c r="CI66" i="1"/>
  <c r="CH66" i="1"/>
  <c r="CG66" i="1"/>
  <c r="CF66" i="1"/>
  <c r="CD66" i="1"/>
  <c r="CC66" i="1"/>
  <c r="CB66" i="1"/>
  <c r="CA66" i="1"/>
  <c r="BZ66" i="1"/>
  <c r="BY66" i="1"/>
  <c r="BX66" i="1"/>
  <c r="BU66" i="1"/>
  <c r="BN66" i="1"/>
  <c r="BS66" i="1" s="1"/>
  <c r="BA66" i="1"/>
  <c r="AZ66" i="1"/>
  <c r="AY66" i="1"/>
  <c r="AX66" i="1"/>
  <c r="AW66" i="1"/>
  <c r="AV66" i="1"/>
  <c r="AT66" i="1"/>
  <c r="AS66" i="1"/>
  <c r="DL65" i="1"/>
  <c r="DG65" i="1"/>
  <c r="CZ65" i="1"/>
  <c r="CS65" i="1"/>
  <c r="CR65" i="1"/>
  <c r="CQ65" i="1"/>
  <c r="CP65" i="1"/>
  <c r="CO65" i="1"/>
  <c r="CN65" i="1"/>
  <c r="CL65" i="1"/>
  <c r="CK65" i="1"/>
  <c r="CJ65" i="1"/>
  <c r="CI65" i="1"/>
  <c r="CH65" i="1"/>
  <c r="CG65" i="1"/>
  <c r="CF65" i="1"/>
  <c r="CD65" i="1"/>
  <c r="CC65" i="1"/>
  <c r="CB65" i="1"/>
  <c r="CA65" i="1"/>
  <c r="BZ65" i="1"/>
  <c r="BY65" i="1"/>
  <c r="BX65" i="1"/>
  <c r="BU65" i="1"/>
  <c r="BN65" i="1"/>
  <c r="BS65" i="1" s="1"/>
  <c r="BA65" i="1"/>
  <c r="AZ65" i="1"/>
  <c r="AY65" i="1"/>
  <c r="AX65" i="1"/>
  <c r="AW65" i="1"/>
  <c r="AV65" i="1"/>
  <c r="AT65" i="1"/>
  <c r="AS65" i="1"/>
  <c r="DL64" i="1"/>
  <c r="DG64" i="1"/>
  <c r="DB64" i="1"/>
  <c r="DA64" i="1"/>
  <c r="CZ64" i="1"/>
  <c r="CS64" i="1"/>
  <c r="CR64" i="1"/>
  <c r="CQ64" i="1"/>
  <c r="CP64" i="1"/>
  <c r="CO64" i="1"/>
  <c r="CN64" i="1"/>
  <c r="CL64" i="1"/>
  <c r="CK64" i="1"/>
  <c r="CJ64" i="1"/>
  <c r="CI64" i="1"/>
  <c r="CH64" i="1"/>
  <c r="CG64" i="1"/>
  <c r="CF64" i="1"/>
  <c r="CD64" i="1"/>
  <c r="CC64" i="1"/>
  <c r="CB64" i="1"/>
  <c r="CA64" i="1"/>
  <c r="BZ64" i="1"/>
  <c r="BY64" i="1"/>
  <c r="BX64" i="1"/>
  <c r="BU64" i="1"/>
  <c r="BN64" i="1"/>
  <c r="BS64" i="1" s="1"/>
  <c r="BA64" i="1"/>
  <c r="AZ64" i="1"/>
  <c r="AY64" i="1"/>
  <c r="AX64" i="1"/>
  <c r="AW64" i="1"/>
  <c r="AV64" i="1"/>
  <c r="AT64" i="1"/>
  <c r="AS64" i="1"/>
  <c r="AH64" i="1"/>
  <c r="AK64" i="1" s="1"/>
  <c r="DL63" i="1"/>
  <c r="DG63" i="1"/>
  <c r="DB63" i="1"/>
  <c r="DA63" i="1"/>
  <c r="CZ63" i="1"/>
  <c r="CS63" i="1"/>
  <c r="CR63" i="1"/>
  <c r="CQ63" i="1"/>
  <c r="CP63" i="1"/>
  <c r="CO63" i="1"/>
  <c r="CN63" i="1"/>
  <c r="CL63" i="1"/>
  <c r="CK63" i="1"/>
  <c r="CJ63" i="1"/>
  <c r="CI63" i="1"/>
  <c r="CH63" i="1"/>
  <c r="CG63" i="1"/>
  <c r="CF63" i="1"/>
  <c r="CD63" i="1"/>
  <c r="CC63" i="1"/>
  <c r="CB63" i="1"/>
  <c r="CA63" i="1"/>
  <c r="BZ63" i="1"/>
  <c r="BY63" i="1"/>
  <c r="BX63" i="1"/>
  <c r="BU63" i="1"/>
  <c r="BN63" i="1"/>
  <c r="BS63" i="1" s="1"/>
  <c r="BA63" i="1"/>
  <c r="AZ63" i="1"/>
  <c r="AY63" i="1"/>
  <c r="AX63" i="1"/>
  <c r="AW63" i="1"/>
  <c r="AV63" i="1"/>
  <c r="AT63" i="1"/>
  <c r="AS63" i="1"/>
  <c r="AL63" i="1"/>
  <c r="AH63" i="1"/>
  <c r="AK63" i="1" s="1"/>
  <c r="DL62" i="1"/>
  <c r="DG62" i="1"/>
  <c r="CZ62" i="1"/>
  <c r="CS62" i="1"/>
  <c r="CR62" i="1"/>
  <c r="CQ62" i="1"/>
  <c r="CP62" i="1"/>
  <c r="CO62" i="1"/>
  <c r="CN62" i="1"/>
  <c r="CL62" i="1"/>
  <c r="CK62" i="1"/>
  <c r="CJ62" i="1"/>
  <c r="CI62" i="1"/>
  <c r="CH62" i="1"/>
  <c r="CG62" i="1"/>
  <c r="CF62" i="1"/>
  <c r="CD62" i="1"/>
  <c r="CC62" i="1"/>
  <c r="CB62" i="1"/>
  <c r="CA62" i="1"/>
  <c r="BZ62" i="1"/>
  <c r="BY62" i="1"/>
  <c r="BX62" i="1"/>
  <c r="BU62" i="1"/>
  <c r="BN62" i="1"/>
  <c r="BS62" i="1" s="1"/>
  <c r="BA62" i="1"/>
  <c r="AZ62" i="1"/>
  <c r="AY62" i="1"/>
  <c r="AX62" i="1"/>
  <c r="AW62" i="1"/>
  <c r="AV62" i="1"/>
  <c r="AT62" i="1"/>
  <c r="AS62" i="1"/>
  <c r="AH62" i="1"/>
  <c r="AK62" i="1" s="1"/>
  <c r="DL61" i="1"/>
  <c r="DG61" i="1"/>
  <c r="DA61" i="1"/>
  <c r="CZ61" i="1"/>
  <c r="CS61" i="1"/>
  <c r="CR61" i="1"/>
  <c r="CQ61" i="1"/>
  <c r="CP61" i="1"/>
  <c r="CO61" i="1"/>
  <c r="CN61" i="1"/>
  <c r="CL61" i="1"/>
  <c r="CK61" i="1"/>
  <c r="CJ61" i="1"/>
  <c r="CI61" i="1"/>
  <c r="CH61" i="1"/>
  <c r="CG61" i="1"/>
  <c r="CF61" i="1"/>
  <c r="CD61" i="1"/>
  <c r="CC61" i="1"/>
  <c r="CB61" i="1"/>
  <c r="CA61" i="1"/>
  <c r="BZ61" i="1"/>
  <c r="BY61" i="1"/>
  <c r="BX61" i="1"/>
  <c r="BU61" i="1"/>
  <c r="BN61" i="1"/>
  <c r="BS61" i="1" s="1"/>
  <c r="BA61" i="1"/>
  <c r="AZ61" i="1"/>
  <c r="AY61" i="1"/>
  <c r="AX61" i="1"/>
  <c r="AW61" i="1"/>
  <c r="AV61" i="1"/>
  <c r="AT61" i="1"/>
  <c r="AS61" i="1"/>
  <c r="AH61" i="1"/>
  <c r="AK61" i="1" s="1"/>
  <c r="DL60" i="1"/>
  <c r="DG60" i="1"/>
  <c r="CZ60" i="1"/>
  <c r="CS60" i="1"/>
  <c r="CR60" i="1"/>
  <c r="CQ60" i="1"/>
  <c r="CP60" i="1"/>
  <c r="CO60" i="1"/>
  <c r="CN60" i="1"/>
  <c r="CL60" i="1"/>
  <c r="CK60" i="1"/>
  <c r="CJ60" i="1"/>
  <c r="CI60" i="1"/>
  <c r="CH60" i="1"/>
  <c r="CG60" i="1"/>
  <c r="CF60" i="1"/>
  <c r="CD60" i="1"/>
  <c r="CC60" i="1"/>
  <c r="CB60" i="1"/>
  <c r="CA60" i="1"/>
  <c r="BZ60" i="1"/>
  <c r="BY60" i="1"/>
  <c r="BX60" i="1"/>
  <c r="BU60" i="1"/>
  <c r="BN60" i="1"/>
  <c r="BS60" i="1" s="1"/>
  <c r="BA60" i="1"/>
  <c r="AZ60" i="1"/>
  <c r="AY60" i="1"/>
  <c r="AX60" i="1"/>
  <c r="AW60" i="1"/>
  <c r="AV60" i="1"/>
  <c r="AT60" i="1"/>
  <c r="AS60" i="1"/>
  <c r="AH60" i="1"/>
  <c r="AK60" i="1" s="1"/>
  <c r="DL59" i="1"/>
  <c r="DG59" i="1"/>
  <c r="CZ59" i="1"/>
  <c r="CS59" i="1"/>
  <c r="CR59" i="1"/>
  <c r="CQ59" i="1"/>
  <c r="CP59" i="1"/>
  <c r="CO59" i="1"/>
  <c r="CN59" i="1"/>
  <c r="CL59" i="1"/>
  <c r="CK59" i="1"/>
  <c r="CJ59" i="1"/>
  <c r="CI59" i="1"/>
  <c r="CH59" i="1"/>
  <c r="CG59" i="1"/>
  <c r="CF59" i="1"/>
  <c r="CD59" i="1"/>
  <c r="CC59" i="1"/>
  <c r="CB59" i="1"/>
  <c r="CA59" i="1"/>
  <c r="BZ59" i="1"/>
  <c r="BY59" i="1"/>
  <c r="BX59" i="1"/>
  <c r="BU59" i="1"/>
  <c r="BN59" i="1"/>
  <c r="BS59" i="1" s="1"/>
  <c r="BA59" i="1"/>
  <c r="AZ59" i="1"/>
  <c r="AY59" i="1"/>
  <c r="AX59" i="1"/>
  <c r="AW59" i="1"/>
  <c r="AV59" i="1"/>
  <c r="AT59" i="1"/>
  <c r="AS59" i="1"/>
  <c r="AH59" i="1"/>
  <c r="AK59" i="1" s="1"/>
  <c r="CS58" i="1"/>
  <c r="CR58" i="1"/>
  <c r="CQ58" i="1"/>
  <c r="CP58" i="1"/>
  <c r="CO58" i="1"/>
  <c r="CN58" i="1"/>
  <c r="CL58" i="1"/>
  <c r="CK58" i="1"/>
  <c r="CJ58" i="1"/>
  <c r="CI58" i="1"/>
  <c r="CH58" i="1"/>
  <c r="CG58" i="1"/>
  <c r="CF58" i="1"/>
  <c r="CD58" i="1"/>
  <c r="CC58" i="1"/>
  <c r="CB58" i="1"/>
  <c r="CA58" i="1"/>
  <c r="BZ58" i="1"/>
  <c r="BY58" i="1"/>
  <c r="BX58" i="1"/>
  <c r="BU58" i="1"/>
  <c r="BN58" i="1"/>
  <c r="BS58" i="1" s="1"/>
  <c r="BA58" i="1"/>
  <c r="AZ58" i="1"/>
  <c r="AY58" i="1"/>
  <c r="AX58" i="1"/>
  <c r="AW58" i="1"/>
  <c r="AV58" i="1"/>
  <c r="AT58" i="1"/>
  <c r="AS58" i="1"/>
  <c r="AL58" i="1"/>
  <c r="AH58" i="1"/>
  <c r="AK58" i="1" s="1"/>
  <c r="CS57" i="1"/>
  <c r="CR57" i="1"/>
  <c r="CQ57" i="1"/>
  <c r="CP57" i="1"/>
  <c r="CO57" i="1"/>
  <c r="CN57" i="1"/>
  <c r="CL57" i="1"/>
  <c r="CK57" i="1"/>
  <c r="CJ57" i="1"/>
  <c r="CI57" i="1"/>
  <c r="CH57" i="1"/>
  <c r="CG57" i="1"/>
  <c r="CF57" i="1"/>
  <c r="CD57" i="1"/>
  <c r="CC57" i="1"/>
  <c r="CB57" i="1"/>
  <c r="CA57" i="1"/>
  <c r="BZ57" i="1"/>
  <c r="BY57" i="1"/>
  <c r="BX57" i="1"/>
  <c r="BU57" i="1"/>
  <c r="BN57" i="1"/>
  <c r="BS57" i="1" s="1"/>
  <c r="BA57" i="1"/>
  <c r="AZ57" i="1"/>
  <c r="AY57" i="1"/>
  <c r="AX57" i="1"/>
  <c r="AW57" i="1"/>
  <c r="AV57" i="1"/>
  <c r="AT57" i="1"/>
  <c r="AS57" i="1"/>
  <c r="CS56" i="1"/>
  <c r="CR56" i="1"/>
  <c r="CQ56" i="1"/>
  <c r="CP56" i="1"/>
  <c r="CO56" i="1"/>
  <c r="CN56" i="1"/>
  <c r="CL56" i="1"/>
  <c r="CK56" i="1"/>
  <c r="CJ56" i="1"/>
  <c r="CI56" i="1"/>
  <c r="CH56" i="1"/>
  <c r="CG56" i="1"/>
  <c r="CF56" i="1"/>
  <c r="CD56" i="1"/>
  <c r="CC56" i="1"/>
  <c r="CB56" i="1"/>
  <c r="CA56" i="1"/>
  <c r="BZ56" i="1"/>
  <c r="BY56" i="1"/>
  <c r="BX56" i="1"/>
  <c r="BU56" i="1"/>
  <c r="BN56" i="1"/>
  <c r="BS56" i="1" s="1"/>
  <c r="BA56" i="1"/>
  <c r="AZ56" i="1"/>
  <c r="AY56" i="1"/>
  <c r="AX56" i="1"/>
  <c r="AW56" i="1"/>
  <c r="AV56" i="1"/>
  <c r="AT56" i="1"/>
  <c r="AS56" i="1"/>
  <c r="AH56" i="1"/>
  <c r="AK56" i="1" s="1"/>
  <c r="CS55" i="1"/>
  <c r="CR55" i="1"/>
  <c r="CQ55" i="1"/>
  <c r="CP55" i="1"/>
  <c r="CO55" i="1"/>
  <c r="CN55" i="1"/>
  <c r="CL55" i="1"/>
  <c r="CK55" i="1"/>
  <c r="CJ55" i="1"/>
  <c r="CI55" i="1"/>
  <c r="CH55" i="1"/>
  <c r="CG55" i="1"/>
  <c r="CF55" i="1"/>
  <c r="CD55" i="1"/>
  <c r="CC55" i="1"/>
  <c r="CB55" i="1"/>
  <c r="CA55" i="1"/>
  <c r="BZ55" i="1"/>
  <c r="BY55" i="1"/>
  <c r="BX55" i="1"/>
  <c r="BU55" i="1"/>
  <c r="BN55" i="1"/>
  <c r="BS55" i="1" s="1"/>
  <c r="BA55" i="1"/>
  <c r="AZ55" i="1"/>
  <c r="AY55" i="1"/>
  <c r="AX55" i="1"/>
  <c r="AW55" i="1"/>
  <c r="AV55" i="1"/>
  <c r="AT55" i="1"/>
  <c r="AS55" i="1"/>
  <c r="CS54" i="1"/>
  <c r="CR54" i="1"/>
  <c r="CQ54" i="1"/>
  <c r="CP54" i="1"/>
  <c r="CO54" i="1"/>
  <c r="CN54" i="1"/>
  <c r="CL54" i="1"/>
  <c r="CK54" i="1"/>
  <c r="CJ54" i="1"/>
  <c r="CI54" i="1"/>
  <c r="CH54" i="1"/>
  <c r="CG54" i="1"/>
  <c r="CF54" i="1"/>
  <c r="CD54" i="1"/>
  <c r="CC54" i="1"/>
  <c r="CB54" i="1"/>
  <c r="CA54" i="1"/>
  <c r="BZ54" i="1"/>
  <c r="BY54" i="1"/>
  <c r="BX54" i="1"/>
  <c r="BU54" i="1"/>
  <c r="BN54" i="1"/>
  <c r="BS54" i="1" s="1"/>
  <c r="BA54" i="1"/>
  <c r="AZ54" i="1"/>
  <c r="AY54" i="1"/>
  <c r="AX54" i="1"/>
  <c r="AW54" i="1"/>
  <c r="AV54" i="1"/>
  <c r="AT54" i="1"/>
  <c r="AS54" i="1"/>
  <c r="CS53" i="1"/>
  <c r="CR53" i="1"/>
  <c r="CQ53" i="1"/>
  <c r="CP53" i="1"/>
  <c r="CO53" i="1"/>
  <c r="CN53" i="1"/>
  <c r="CL53" i="1"/>
  <c r="CK53" i="1"/>
  <c r="CJ53" i="1"/>
  <c r="CI53" i="1"/>
  <c r="CH53" i="1"/>
  <c r="CG53" i="1"/>
  <c r="CF53" i="1"/>
  <c r="CD53" i="1"/>
  <c r="CC53" i="1"/>
  <c r="CB53" i="1"/>
  <c r="CA53" i="1"/>
  <c r="BZ53" i="1"/>
  <c r="BY53" i="1"/>
  <c r="BX53" i="1"/>
  <c r="BU53" i="1"/>
  <c r="BN53" i="1"/>
  <c r="BS53" i="1" s="1"/>
  <c r="BA53" i="1"/>
  <c r="AZ53" i="1"/>
  <c r="AY53" i="1"/>
  <c r="AX53" i="1"/>
  <c r="AW53" i="1"/>
  <c r="AV53" i="1"/>
  <c r="AT53" i="1"/>
  <c r="AS53" i="1"/>
  <c r="AO53" i="1"/>
  <c r="AN53" i="1"/>
  <c r="AM53" i="1"/>
  <c r="AL53" i="1"/>
  <c r="CS52" i="1"/>
  <c r="CR52" i="1"/>
  <c r="CQ52" i="1"/>
  <c r="CP52" i="1"/>
  <c r="CO52" i="1"/>
  <c r="CN52" i="1"/>
  <c r="CL52" i="1"/>
  <c r="CK52" i="1"/>
  <c r="CJ52" i="1"/>
  <c r="CI52" i="1"/>
  <c r="CH52" i="1"/>
  <c r="CG52" i="1"/>
  <c r="CF52" i="1"/>
  <c r="CD52" i="1"/>
  <c r="CC52" i="1"/>
  <c r="CB52" i="1"/>
  <c r="CA52" i="1"/>
  <c r="BZ52" i="1"/>
  <c r="BY52" i="1"/>
  <c r="BX52" i="1"/>
  <c r="BU52" i="1"/>
  <c r="BN52" i="1"/>
  <c r="BS52" i="1" s="1"/>
  <c r="BA52" i="1"/>
  <c r="AZ52" i="1"/>
  <c r="AY52" i="1"/>
  <c r="AX52" i="1"/>
  <c r="AW52" i="1"/>
  <c r="AV52" i="1"/>
  <c r="AT52" i="1"/>
  <c r="AS52" i="1"/>
  <c r="CS51" i="1"/>
  <c r="CR51" i="1"/>
  <c r="CQ51" i="1"/>
  <c r="CP51" i="1"/>
  <c r="CO51" i="1"/>
  <c r="CN51" i="1"/>
  <c r="CL51" i="1"/>
  <c r="CK51" i="1"/>
  <c r="CJ51" i="1"/>
  <c r="CI51" i="1"/>
  <c r="CH51" i="1"/>
  <c r="CG51" i="1"/>
  <c r="CF51" i="1"/>
  <c r="CD51" i="1"/>
  <c r="CC51" i="1"/>
  <c r="CB51" i="1"/>
  <c r="CA51" i="1"/>
  <c r="BZ51" i="1"/>
  <c r="BY51" i="1"/>
  <c r="BX51" i="1"/>
  <c r="BU51" i="1"/>
  <c r="BN51" i="1"/>
  <c r="BS51" i="1" s="1"/>
  <c r="BA51" i="1"/>
  <c r="AZ51" i="1"/>
  <c r="AY51" i="1"/>
  <c r="AX51" i="1"/>
  <c r="AW51" i="1"/>
  <c r="AV51" i="1"/>
  <c r="AT51" i="1"/>
  <c r="AS51" i="1"/>
  <c r="AB51" i="1"/>
  <c r="CS50" i="1"/>
  <c r="CR50" i="1"/>
  <c r="CQ50" i="1"/>
  <c r="CP50" i="1"/>
  <c r="CO50" i="1"/>
  <c r="CN50" i="1"/>
  <c r="CL50" i="1"/>
  <c r="CK50" i="1"/>
  <c r="CJ50" i="1"/>
  <c r="CI50" i="1"/>
  <c r="CH50" i="1"/>
  <c r="CG50" i="1"/>
  <c r="CF50" i="1"/>
  <c r="CD50" i="1"/>
  <c r="CC50" i="1"/>
  <c r="CB50" i="1"/>
  <c r="CA50" i="1"/>
  <c r="BZ50" i="1"/>
  <c r="BY50" i="1"/>
  <c r="BX50" i="1"/>
  <c r="BU50" i="1"/>
  <c r="BN50" i="1"/>
  <c r="BS50" i="1" s="1"/>
  <c r="BA50" i="1"/>
  <c r="AZ50" i="1"/>
  <c r="AY50" i="1"/>
  <c r="AX50" i="1"/>
  <c r="AW50" i="1"/>
  <c r="AV50" i="1"/>
  <c r="AT50" i="1"/>
  <c r="AS50" i="1"/>
  <c r="CS49" i="1"/>
  <c r="CR49" i="1"/>
  <c r="CQ49" i="1"/>
  <c r="CP49" i="1"/>
  <c r="CO49" i="1"/>
  <c r="CN49" i="1"/>
  <c r="CL49" i="1"/>
  <c r="CK49" i="1"/>
  <c r="CJ49" i="1"/>
  <c r="CI49" i="1"/>
  <c r="CH49" i="1"/>
  <c r="CG49" i="1"/>
  <c r="CF49" i="1"/>
  <c r="CD49" i="1"/>
  <c r="CC49" i="1"/>
  <c r="CB49" i="1"/>
  <c r="CA49" i="1"/>
  <c r="BZ49" i="1"/>
  <c r="BY49" i="1"/>
  <c r="BX49" i="1"/>
  <c r="BU49" i="1"/>
  <c r="BN49" i="1"/>
  <c r="BS49" i="1" s="1"/>
  <c r="BA49" i="1"/>
  <c r="AZ49" i="1"/>
  <c r="AY49" i="1"/>
  <c r="AX49" i="1"/>
  <c r="AW49" i="1"/>
  <c r="AV49" i="1"/>
  <c r="AT49" i="1"/>
  <c r="AS49" i="1"/>
  <c r="AH49" i="1"/>
  <c r="AK49" i="1" s="1"/>
  <c r="CS48" i="1"/>
  <c r="CR48" i="1"/>
  <c r="CQ48" i="1"/>
  <c r="CP48" i="1"/>
  <c r="CO48" i="1"/>
  <c r="CN48" i="1"/>
  <c r="CL48" i="1"/>
  <c r="CK48" i="1"/>
  <c r="CJ48" i="1"/>
  <c r="CI48" i="1"/>
  <c r="CH48" i="1"/>
  <c r="CG48" i="1"/>
  <c r="CF48" i="1"/>
  <c r="CD48" i="1"/>
  <c r="CC48" i="1"/>
  <c r="CB48" i="1"/>
  <c r="CA48" i="1"/>
  <c r="BZ48" i="1"/>
  <c r="BY48" i="1"/>
  <c r="BX48" i="1"/>
  <c r="BU48" i="1"/>
  <c r="BN48" i="1"/>
  <c r="BS48" i="1" s="1"/>
  <c r="BA48" i="1"/>
  <c r="AZ48" i="1"/>
  <c r="AY48" i="1"/>
  <c r="AX48" i="1"/>
  <c r="AW48" i="1"/>
  <c r="AV48" i="1"/>
  <c r="AT48" i="1"/>
  <c r="AS48" i="1"/>
  <c r="CS47" i="1"/>
  <c r="CR47" i="1"/>
  <c r="CQ47" i="1"/>
  <c r="CP47" i="1"/>
  <c r="CO47" i="1"/>
  <c r="CN47" i="1"/>
  <c r="CL47" i="1"/>
  <c r="CK47" i="1"/>
  <c r="CJ47" i="1"/>
  <c r="CI47" i="1"/>
  <c r="CH47" i="1"/>
  <c r="CG47" i="1"/>
  <c r="CF47" i="1"/>
  <c r="CD47" i="1"/>
  <c r="CC47" i="1"/>
  <c r="CB47" i="1"/>
  <c r="CA47" i="1"/>
  <c r="BZ47" i="1"/>
  <c r="BY47" i="1"/>
  <c r="BX47" i="1"/>
  <c r="BU47" i="1"/>
  <c r="BN47" i="1"/>
  <c r="BS47" i="1" s="1"/>
  <c r="BA47" i="1"/>
  <c r="AZ47" i="1"/>
  <c r="AY47" i="1"/>
  <c r="AX47" i="1"/>
  <c r="AW47" i="1"/>
  <c r="AV47" i="1"/>
  <c r="AT47" i="1"/>
  <c r="AS47" i="1"/>
  <c r="CS46" i="1"/>
  <c r="CR46" i="1"/>
  <c r="CQ46" i="1"/>
  <c r="CP46" i="1"/>
  <c r="CO46" i="1"/>
  <c r="CN46" i="1"/>
  <c r="CL46" i="1"/>
  <c r="CK46" i="1"/>
  <c r="CJ46" i="1"/>
  <c r="CI46" i="1"/>
  <c r="CH46" i="1"/>
  <c r="CG46" i="1"/>
  <c r="CF46" i="1"/>
  <c r="CD46" i="1"/>
  <c r="CC46" i="1"/>
  <c r="CB46" i="1"/>
  <c r="CA46" i="1"/>
  <c r="BZ46" i="1"/>
  <c r="BY46" i="1"/>
  <c r="BX46" i="1"/>
  <c r="BU46" i="1"/>
  <c r="BN46" i="1"/>
  <c r="BS46" i="1" s="1"/>
  <c r="BA46" i="1"/>
  <c r="AZ46" i="1"/>
  <c r="AY46" i="1"/>
  <c r="AX46" i="1"/>
  <c r="AW46" i="1"/>
  <c r="AV46" i="1"/>
  <c r="AT46" i="1"/>
  <c r="AS46" i="1"/>
  <c r="AJ46" i="1"/>
  <c r="AI46" i="1"/>
  <c r="CX45" i="1"/>
  <c r="CS45" i="1"/>
  <c r="CR45" i="1"/>
  <c r="CQ45" i="1"/>
  <c r="CP45" i="1"/>
  <c r="CO45" i="1"/>
  <c r="CN45" i="1"/>
  <c r="CL45" i="1"/>
  <c r="CK45" i="1"/>
  <c r="CJ45" i="1"/>
  <c r="CI45" i="1"/>
  <c r="CH45" i="1"/>
  <c r="CG45" i="1"/>
  <c r="CF45" i="1"/>
  <c r="CD45" i="1"/>
  <c r="CC45" i="1"/>
  <c r="CB45" i="1"/>
  <c r="CA45" i="1"/>
  <c r="BZ45" i="1"/>
  <c r="BY45" i="1"/>
  <c r="BX45" i="1"/>
  <c r="BU45" i="1"/>
  <c r="BN45" i="1"/>
  <c r="BS45" i="1" s="1"/>
  <c r="BA45" i="1"/>
  <c r="AZ45" i="1"/>
  <c r="AY45" i="1"/>
  <c r="AX45" i="1"/>
  <c r="AW45" i="1"/>
  <c r="AV45" i="1"/>
  <c r="AT45" i="1"/>
  <c r="AS45" i="1"/>
  <c r="AJ45" i="1"/>
  <c r="AI45" i="1"/>
  <c r="AE45" i="1"/>
  <c r="CX44" i="1"/>
  <c r="CX122" i="1" s="1"/>
  <c r="CS44" i="1"/>
  <c r="CR44" i="1"/>
  <c r="CQ44" i="1"/>
  <c r="CP44" i="1"/>
  <c r="CO44" i="1"/>
  <c r="CN44" i="1"/>
  <c r="CL44" i="1"/>
  <c r="CK44" i="1"/>
  <c r="CJ44" i="1"/>
  <c r="CI44" i="1"/>
  <c r="CH44" i="1"/>
  <c r="CG44" i="1"/>
  <c r="CF44" i="1"/>
  <c r="CD44" i="1"/>
  <c r="CC44" i="1"/>
  <c r="CB44" i="1"/>
  <c r="CA44" i="1"/>
  <c r="BZ44" i="1"/>
  <c r="BY44" i="1"/>
  <c r="BX44" i="1"/>
  <c r="BU44" i="1"/>
  <c r="BN44" i="1"/>
  <c r="BS44" i="1" s="1"/>
  <c r="BA44" i="1"/>
  <c r="AZ44" i="1"/>
  <c r="AY44" i="1"/>
  <c r="AX44" i="1"/>
  <c r="AW44" i="1"/>
  <c r="AV44" i="1"/>
  <c r="AT44" i="1"/>
  <c r="AS44" i="1"/>
  <c r="CX43" i="1"/>
  <c r="CX121" i="1" s="1"/>
  <c r="CS43" i="1"/>
  <c r="CR43" i="1"/>
  <c r="CQ43" i="1"/>
  <c r="CP43" i="1"/>
  <c r="CO43" i="1"/>
  <c r="CN43" i="1"/>
  <c r="CL43" i="1"/>
  <c r="CK43" i="1"/>
  <c r="CJ43" i="1"/>
  <c r="CI43" i="1"/>
  <c r="CH43" i="1"/>
  <c r="CG43" i="1"/>
  <c r="CF43" i="1"/>
  <c r="CD43" i="1"/>
  <c r="CC43" i="1"/>
  <c r="CB43" i="1"/>
  <c r="CA43" i="1"/>
  <c r="BZ43" i="1"/>
  <c r="BY43" i="1"/>
  <c r="BX43" i="1"/>
  <c r="BU43" i="1"/>
  <c r="BN43" i="1"/>
  <c r="BS43" i="1" s="1"/>
  <c r="BA43" i="1"/>
  <c r="AZ43" i="1"/>
  <c r="AY43" i="1"/>
  <c r="AX43" i="1"/>
  <c r="AW43" i="1"/>
  <c r="AV43" i="1"/>
  <c r="AT43" i="1"/>
  <c r="AS43" i="1"/>
  <c r="CS42" i="1"/>
  <c r="CR42" i="1"/>
  <c r="CQ42" i="1"/>
  <c r="CP42" i="1"/>
  <c r="CO42" i="1"/>
  <c r="CN42" i="1"/>
  <c r="CL42" i="1"/>
  <c r="CK42" i="1"/>
  <c r="CJ42" i="1"/>
  <c r="CI42" i="1"/>
  <c r="CH42" i="1"/>
  <c r="CG42" i="1"/>
  <c r="CF42" i="1"/>
  <c r="CD42" i="1"/>
  <c r="CC42" i="1"/>
  <c r="CB42" i="1"/>
  <c r="CA42" i="1"/>
  <c r="BZ42" i="1"/>
  <c r="BY42" i="1"/>
  <c r="BX42" i="1"/>
  <c r="BU42" i="1"/>
  <c r="BN42" i="1"/>
  <c r="BS42" i="1" s="1"/>
  <c r="BA42" i="1"/>
  <c r="AZ42" i="1"/>
  <c r="AY42" i="1"/>
  <c r="AX42" i="1"/>
  <c r="AW42" i="1"/>
  <c r="AV42" i="1"/>
  <c r="AT42" i="1"/>
  <c r="AS42" i="1"/>
  <c r="CS41" i="1"/>
  <c r="CR41" i="1"/>
  <c r="CQ41" i="1"/>
  <c r="CP41" i="1"/>
  <c r="CO41" i="1"/>
  <c r="CN41" i="1"/>
  <c r="CL41" i="1"/>
  <c r="CK41" i="1"/>
  <c r="CJ41" i="1"/>
  <c r="CI41" i="1"/>
  <c r="CH41" i="1"/>
  <c r="CG41" i="1"/>
  <c r="CF41" i="1"/>
  <c r="CD41" i="1"/>
  <c r="CC41" i="1"/>
  <c r="CB41" i="1"/>
  <c r="CA41" i="1"/>
  <c r="BZ41" i="1"/>
  <c r="BY41" i="1"/>
  <c r="BX41" i="1"/>
  <c r="BU41" i="1"/>
  <c r="BN41" i="1"/>
  <c r="BS41" i="1" s="1"/>
  <c r="BA41" i="1"/>
  <c r="AZ41" i="1"/>
  <c r="AY41" i="1"/>
  <c r="AX41" i="1"/>
  <c r="AW41" i="1"/>
  <c r="AV41" i="1"/>
  <c r="AT41" i="1"/>
  <c r="AS41" i="1"/>
  <c r="CS40" i="1"/>
  <c r="CR40" i="1"/>
  <c r="CQ40" i="1"/>
  <c r="CP40" i="1"/>
  <c r="CO40" i="1"/>
  <c r="CN40" i="1"/>
  <c r="CL40" i="1"/>
  <c r="CK40" i="1"/>
  <c r="CJ40" i="1"/>
  <c r="CI40" i="1"/>
  <c r="CH40" i="1"/>
  <c r="CG40" i="1"/>
  <c r="CF40" i="1"/>
  <c r="CD40" i="1"/>
  <c r="CC40" i="1"/>
  <c r="CB40" i="1"/>
  <c r="CA40" i="1"/>
  <c r="BZ40" i="1"/>
  <c r="BY40" i="1"/>
  <c r="BX40" i="1"/>
  <c r="BU40" i="1"/>
  <c r="BN40" i="1"/>
  <c r="BS40" i="1" s="1"/>
  <c r="BA40" i="1"/>
  <c r="AZ40" i="1"/>
  <c r="AY40" i="1"/>
  <c r="AX40" i="1"/>
  <c r="AW40" i="1"/>
  <c r="AV40" i="1"/>
  <c r="AT40" i="1"/>
  <c r="AS40" i="1"/>
  <c r="CS39" i="1"/>
  <c r="CR39" i="1"/>
  <c r="CQ39" i="1"/>
  <c r="CP39" i="1"/>
  <c r="CO39" i="1"/>
  <c r="CN39" i="1"/>
  <c r="CL39" i="1"/>
  <c r="CK39" i="1"/>
  <c r="CJ39" i="1"/>
  <c r="CI39" i="1"/>
  <c r="CH39" i="1"/>
  <c r="CG39" i="1"/>
  <c r="CF39" i="1"/>
  <c r="CD39" i="1"/>
  <c r="CC39" i="1"/>
  <c r="CB39" i="1"/>
  <c r="CA39" i="1"/>
  <c r="BZ39" i="1"/>
  <c r="BY39" i="1"/>
  <c r="BX39" i="1"/>
  <c r="BU39" i="1"/>
  <c r="BN39" i="1"/>
  <c r="BS39" i="1" s="1"/>
  <c r="BA39" i="1"/>
  <c r="AZ39" i="1"/>
  <c r="AY39" i="1"/>
  <c r="AX39" i="1"/>
  <c r="AW39" i="1"/>
  <c r="AV39" i="1"/>
  <c r="AT39" i="1"/>
  <c r="AS39" i="1"/>
  <c r="AH39" i="1"/>
  <c r="AK39" i="1" s="1"/>
  <c r="CS38" i="1"/>
  <c r="CR38" i="1"/>
  <c r="CQ38" i="1"/>
  <c r="CP38" i="1"/>
  <c r="CO38" i="1"/>
  <c r="CN38" i="1"/>
  <c r="CL38" i="1"/>
  <c r="CK38" i="1"/>
  <c r="CJ38" i="1"/>
  <c r="CI38" i="1"/>
  <c r="CH38" i="1"/>
  <c r="CG38" i="1"/>
  <c r="CF38" i="1"/>
  <c r="CD38" i="1"/>
  <c r="CC38" i="1"/>
  <c r="CB38" i="1"/>
  <c r="CA38" i="1"/>
  <c r="BZ38" i="1"/>
  <c r="BY38" i="1"/>
  <c r="BX38" i="1"/>
  <c r="BU38" i="1"/>
  <c r="BN38" i="1"/>
  <c r="BS38" i="1" s="1"/>
  <c r="BA38" i="1"/>
  <c r="AZ38" i="1"/>
  <c r="AY38" i="1"/>
  <c r="AX38" i="1"/>
  <c r="AW38" i="1"/>
  <c r="AV38" i="1"/>
  <c r="AT38" i="1"/>
  <c r="AS38" i="1"/>
  <c r="CS37" i="1"/>
  <c r="CR37" i="1"/>
  <c r="CQ37" i="1"/>
  <c r="CP37" i="1"/>
  <c r="CO37" i="1"/>
  <c r="CN37" i="1"/>
  <c r="CL37" i="1"/>
  <c r="CK37" i="1"/>
  <c r="CJ37" i="1"/>
  <c r="CI37" i="1"/>
  <c r="CH37" i="1"/>
  <c r="CG37" i="1"/>
  <c r="CF37" i="1"/>
  <c r="CD37" i="1"/>
  <c r="CC37" i="1"/>
  <c r="CB37" i="1"/>
  <c r="CA37" i="1"/>
  <c r="BZ37" i="1"/>
  <c r="BY37" i="1"/>
  <c r="BX37" i="1"/>
  <c r="BU37" i="1"/>
  <c r="BN37" i="1"/>
  <c r="BS37" i="1" s="1"/>
  <c r="BA37" i="1"/>
  <c r="AZ37" i="1"/>
  <c r="AY37" i="1"/>
  <c r="AX37" i="1"/>
  <c r="AW37" i="1"/>
  <c r="AV37" i="1"/>
  <c r="AT37" i="1"/>
  <c r="AS37" i="1"/>
  <c r="CS36" i="1"/>
  <c r="CR36" i="1"/>
  <c r="CQ36" i="1"/>
  <c r="CP36" i="1"/>
  <c r="CO36" i="1"/>
  <c r="CN36" i="1"/>
  <c r="CL36" i="1"/>
  <c r="CK36" i="1"/>
  <c r="CJ36" i="1"/>
  <c r="CI36" i="1"/>
  <c r="CH36" i="1"/>
  <c r="CG36" i="1"/>
  <c r="CF36" i="1"/>
  <c r="CD36" i="1"/>
  <c r="CC36" i="1"/>
  <c r="CB36" i="1"/>
  <c r="CA36" i="1"/>
  <c r="BZ36" i="1"/>
  <c r="BY36" i="1"/>
  <c r="BX36" i="1"/>
  <c r="BU36" i="1"/>
  <c r="BN36" i="1"/>
  <c r="BS36" i="1" s="1"/>
  <c r="BA36" i="1"/>
  <c r="AZ36" i="1"/>
  <c r="AY36" i="1"/>
  <c r="AX36" i="1"/>
  <c r="AW36" i="1"/>
  <c r="AV36" i="1"/>
  <c r="AT36" i="1"/>
  <c r="AS36" i="1"/>
  <c r="CX35" i="1"/>
  <c r="CS35" i="1"/>
  <c r="CR35" i="1"/>
  <c r="CQ35" i="1"/>
  <c r="CP35" i="1"/>
  <c r="CO35" i="1"/>
  <c r="CN35" i="1"/>
  <c r="CL35" i="1"/>
  <c r="CK35" i="1"/>
  <c r="CJ35" i="1"/>
  <c r="CI35" i="1"/>
  <c r="CH35" i="1"/>
  <c r="CG35" i="1"/>
  <c r="CF35" i="1"/>
  <c r="CD35" i="1"/>
  <c r="CC35" i="1"/>
  <c r="CB35" i="1"/>
  <c r="CA35" i="1"/>
  <c r="BZ35" i="1"/>
  <c r="BY35" i="1"/>
  <c r="BX35" i="1"/>
  <c r="BU35" i="1"/>
  <c r="BN35" i="1"/>
  <c r="BS35" i="1" s="1"/>
  <c r="BA35" i="1"/>
  <c r="AZ35" i="1"/>
  <c r="AY35" i="1"/>
  <c r="AX35" i="1"/>
  <c r="AW35" i="1"/>
  <c r="AV35" i="1"/>
  <c r="AT35" i="1"/>
  <c r="AS35" i="1"/>
  <c r="CS34" i="1"/>
  <c r="CR34" i="1"/>
  <c r="CQ34" i="1"/>
  <c r="CP34" i="1"/>
  <c r="CO34" i="1"/>
  <c r="CN34" i="1"/>
  <c r="CL34" i="1"/>
  <c r="CK34" i="1"/>
  <c r="CJ34" i="1"/>
  <c r="CI34" i="1"/>
  <c r="CH34" i="1"/>
  <c r="CG34" i="1"/>
  <c r="CF34" i="1"/>
  <c r="CD34" i="1"/>
  <c r="CC34" i="1"/>
  <c r="CB34" i="1"/>
  <c r="CA34" i="1"/>
  <c r="BZ34" i="1"/>
  <c r="BY34" i="1"/>
  <c r="BX34" i="1"/>
  <c r="BU34" i="1"/>
  <c r="BN34" i="1"/>
  <c r="BS34" i="1" s="1"/>
  <c r="BA34" i="1"/>
  <c r="AZ34" i="1"/>
  <c r="AY34" i="1"/>
  <c r="AX34" i="1"/>
  <c r="AW34" i="1"/>
  <c r="AV34" i="1"/>
  <c r="AT34" i="1"/>
  <c r="AS34" i="1"/>
  <c r="AH34" i="1"/>
  <c r="AK34" i="1" s="1"/>
  <c r="CX33" i="1"/>
  <c r="CS33" i="1"/>
  <c r="CR33" i="1"/>
  <c r="CQ33" i="1"/>
  <c r="CP33" i="1"/>
  <c r="CO33" i="1"/>
  <c r="CN33" i="1"/>
  <c r="CL33" i="1"/>
  <c r="CK33" i="1"/>
  <c r="CJ33" i="1"/>
  <c r="CI33" i="1"/>
  <c r="CH33" i="1"/>
  <c r="CG33" i="1"/>
  <c r="CF33" i="1"/>
  <c r="CD33" i="1"/>
  <c r="CC33" i="1"/>
  <c r="CB33" i="1"/>
  <c r="CA33" i="1"/>
  <c r="BZ33" i="1"/>
  <c r="BY33" i="1"/>
  <c r="BX33" i="1"/>
  <c r="BU33" i="1"/>
  <c r="BN33" i="1"/>
  <c r="BS33" i="1" s="1"/>
  <c r="BA33" i="1"/>
  <c r="AZ33" i="1"/>
  <c r="AY33" i="1"/>
  <c r="AX33" i="1"/>
  <c r="AW33" i="1"/>
  <c r="AV33" i="1"/>
  <c r="AT33" i="1"/>
  <c r="AS33" i="1"/>
  <c r="AJ33" i="1"/>
  <c r="AI33" i="1"/>
  <c r="CS32" i="1"/>
  <c r="CR32" i="1"/>
  <c r="CQ32" i="1"/>
  <c r="CP32" i="1"/>
  <c r="CO32" i="1"/>
  <c r="CN32" i="1"/>
  <c r="CL32" i="1"/>
  <c r="CK32" i="1"/>
  <c r="CJ32" i="1"/>
  <c r="CI32" i="1"/>
  <c r="CH32" i="1"/>
  <c r="CG32" i="1"/>
  <c r="CF32" i="1"/>
  <c r="CD32" i="1"/>
  <c r="CC32" i="1"/>
  <c r="CB32" i="1"/>
  <c r="CA32" i="1"/>
  <c r="BZ32" i="1"/>
  <c r="BY32" i="1"/>
  <c r="BX32" i="1"/>
  <c r="BU32" i="1"/>
  <c r="BN32" i="1"/>
  <c r="BS32" i="1" s="1"/>
  <c r="BA32" i="1"/>
  <c r="AZ32" i="1"/>
  <c r="AY32" i="1"/>
  <c r="AX32" i="1"/>
  <c r="AW32" i="1"/>
  <c r="AV32" i="1"/>
  <c r="AT32" i="1"/>
  <c r="AS32" i="1"/>
  <c r="AJ32" i="1"/>
  <c r="AI32" i="1"/>
  <c r="CS31" i="1"/>
  <c r="CR31" i="1"/>
  <c r="CQ31" i="1"/>
  <c r="CP31" i="1"/>
  <c r="CO31" i="1"/>
  <c r="CN31" i="1"/>
  <c r="CL31" i="1"/>
  <c r="CK31" i="1"/>
  <c r="CJ31" i="1"/>
  <c r="CI31" i="1"/>
  <c r="CH31" i="1"/>
  <c r="CG31" i="1"/>
  <c r="CF31" i="1"/>
  <c r="CD31" i="1"/>
  <c r="CC31" i="1"/>
  <c r="CB31" i="1"/>
  <c r="CA31" i="1"/>
  <c r="BZ31" i="1"/>
  <c r="BY31" i="1"/>
  <c r="BX31" i="1"/>
  <c r="BU31" i="1"/>
  <c r="BN31" i="1"/>
  <c r="BS31" i="1" s="1"/>
  <c r="BA31" i="1"/>
  <c r="AZ31" i="1"/>
  <c r="AY31" i="1"/>
  <c r="AX31" i="1"/>
  <c r="AW31" i="1"/>
  <c r="AV31" i="1"/>
  <c r="AT31" i="1"/>
  <c r="AS31" i="1"/>
  <c r="AJ31" i="1"/>
  <c r="AI31" i="1"/>
  <c r="CS30" i="1"/>
  <c r="CR30" i="1"/>
  <c r="CQ30" i="1"/>
  <c r="CP30" i="1"/>
  <c r="CO30" i="1"/>
  <c r="CN30" i="1"/>
  <c r="CL30" i="1"/>
  <c r="CK30" i="1"/>
  <c r="CJ30" i="1"/>
  <c r="CI30" i="1"/>
  <c r="CH30" i="1"/>
  <c r="CG30" i="1"/>
  <c r="CF30" i="1"/>
  <c r="CD30" i="1"/>
  <c r="CC30" i="1"/>
  <c r="CB30" i="1"/>
  <c r="CA30" i="1"/>
  <c r="BZ30" i="1"/>
  <c r="BY30" i="1"/>
  <c r="BX30" i="1"/>
  <c r="BU30" i="1"/>
  <c r="BN30" i="1"/>
  <c r="BS30" i="1" s="1"/>
  <c r="BA30" i="1"/>
  <c r="AZ30" i="1"/>
  <c r="AY30" i="1"/>
  <c r="AX30" i="1"/>
  <c r="AW30" i="1"/>
  <c r="AV30" i="1"/>
  <c r="AT30" i="1"/>
  <c r="AS30" i="1"/>
  <c r="AJ30" i="1"/>
  <c r="AI30" i="1"/>
  <c r="CS29" i="1"/>
  <c r="CR29" i="1"/>
  <c r="CQ29" i="1"/>
  <c r="CP29" i="1"/>
  <c r="CO29" i="1"/>
  <c r="CN29" i="1"/>
  <c r="CL29" i="1"/>
  <c r="CK29" i="1"/>
  <c r="CJ29" i="1"/>
  <c r="CI29" i="1"/>
  <c r="CH29" i="1"/>
  <c r="CG29" i="1"/>
  <c r="CF29" i="1"/>
  <c r="CD29" i="1"/>
  <c r="CC29" i="1"/>
  <c r="CB29" i="1"/>
  <c r="CA29" i="1"/>
  <c r="BZ29" i="1"/>
  <c r="BY29" i="1"/>
  <c r="BX29" i="1"/>
  <c r="BU29" i="1"/>
  <c r="BN29" i="1"/>
  <c r="BS29" i="1" s="1"/>
  <c r="BA29" i="1"/>
  <c r="AZ29" i="1"/>
  <c r="AY29" i="1"/>
  <c r="AX29" i="1"/>
  <c r="AW29" i="1"/>
  <c r="AV29" i="1"/>
  <c r="AT29" i="1"/>
  <c r="AS29" i="1"/>
  <c r="AJ29" i="1"/>
  <c r="AI29" i="1"/>
  <c r="CS28" i="1"/>
  <c r="CR28" i="1"/>
  <c r="CQ28" i="1"/>
  <c r="CP28" i="1"/>
  <c r="CO28" i="1"/>
  <c r="CN28" i="1"/>
  <c r="CL28" i="1"/>
  <c r="CK28" i="1"/>
  <c r="CJ28" i="1"/>
  <c r="CI28" i="1"/>
  <c r="CH28" i="1"/>
  <c r="CG28" i="1"/>
  <c r="CF28" i="1"/>
  <c r="CD28" i="1"/>
  <c r="CC28" i="1"/>
  <c r="CB28" i="1"/>
  <c r="CA28" i="1"/>
  <c r="BZ28" i="1"/>
  <c r="BY28" i="1"/>
  <c r="BX28" i="1"/>
  <c r="BU28" i="1"/>
  <c r="BN28" i="1"/>
  <c r="BS28" i="1" s="1"/>
  <c r="BA28" i="1"/>
  <c r="AZ28" i="1"/>
  <c r="AY28" i="1"/>
  <c r="AX28" i="1"/>
  <c r="AW28" i="1"/>
  <c r="AV28" i="1"/>
  <c r="AT28" i="1"/>
  <c r="AS28" i="1"/>
  <c r="AJ28" i="1"/>
  <c r="AI28" i="1"/>
  <c r="CS27" i="1"/>
  <c r="CR27" i="1"/>
  <c r="CQ27" i="1"/>
  <c r="CP27" i="1"/>
  <c r="CO27" i="1"/>
  <c r="CN27" i="1"/>
  <c r="CL27" i="1"/>
  <c r="CK27" i="1"/>
  <c r="CJ27" i="1"/>
  <c r="CI27" i="1"/>
  <c r="CH27" i="1"/>
  <c r="CG27" i="1"/>
  <c r="CF27" i="1"/>
  <c r="CD27" i="1"/>
  <c r="CC27" i="1"/>
  <c r="CB27" i="1"/>
  <c r="CA27" i="1"/>
  <c r="BZ27" i="1"/>
  <c r="BY27" i="1"/>
  <c r="BX27" i="1"/>
  <c r="BU27" i="1"/>
  <c r="BN27" i="1"/>
  <c r="BS27" i="1" s="1"/>
  <c r="BA27" i="1"/>
  <c r="AZ27" i="1"/>
  <c r="AY27" i="1"/>
  <c r="AX27" i="1"/>
  <c r="AW27" i="1"/>
  <c r="AV27" i="1"/>
  <c r="AT27" i="1"/>
  <c r="AS27" i="1"/>
  <c r="AJ27" i="1"/>
  <c r="AI27" i="1"/>
  <c r="CS26" i="1"/>
  <c r="CR26" i="1"/>
  <c r="CQ26" i="1"/>
  <c r="CP26" i="1"/>
  <c r="CO26" i="1"/>
  <c r="CN26" i="1"/>
  <c r="CL26" i="1"/>
  <c r="CK26" i="1"/>
  <c r="CJ26" i="1"/>
  <c r="CI26" i="1"/>
  <c r="CH26" i="1"/>
  <c r="CG26" i="1"/>
  <c r="CF26" i="1"/>
  <c r="CD26" i="1"/>
  <c r="CC26" i="1"/>
  <c r="CB26" i="1"/>
  <c r="CA26" i="1"/>
  <c r="BZ26" i="1"/>
  <c r="BY26" i="1"/>
  <c r="BX26" i="1"/>
  <c r="BU26" i="1"/>
  <c r="BN26" i="1"/>
  <c r="BS26" i="1" s="1"/>
  <c r="BA26" i="1"/>
  <c r="AZ26" i="1"/>
  <c r="AY26" i="1"/>
  <c r="AX26" i="1"/>
  <c r="AW26" i="1"/>
  <c r="AV26" i="1"/>
  <c r="AT26" i="1"/>
  <c r="AS26" i="1"/>
  <c r="AL26" i="1"/>
  <c r="AM26" i="1" s="1"/>
  <c r="AH26" i="1"/>
  <c r="AK26" i="1" s="1"/>
  <c r="CS25" i="1"/>
  <c r="CR25" i="1"/>
  <c r="CQ25" i="1"/>
  <c r="CP25" i="1"/>
  <c r="CO25" i="1"/>
  <c r="CN25" i="1"/>
  <c r="CL25" i="1"/>
  <c r="CK25" i="1"/>
  <c r="CJ25" i="1"/>
  <c r="CI25" i="1"/>
  <c r="CH25" i="1"/>
  <c r="CG25" i="1"/>
  <c r="CF25" i="1"/>
  <c r="CD25" i="1"/>
  <c r="CC25" i="1"/>
  <c r="CB25" i="1"/>
  <c r="CA25" i="1"/>
  <c r="BZ25" i="1"/>
  <c r="BY25" i="1"/>
  <c r="BX25" i="1"/>
  <c r="BU25" i="1"/>
  <c r="BN25" i="1"/>
  <c r="BS25" i="1" s="1"/>
  <c r="BA25" i="1"/>
  <c r="AZ25" i="1"/>
  <c r="AY25" i="1"/>
  <c r="AX25" i="1"/>
  <c r="AW25" i="1"/>
  <c r="AV25" i="1"/>
  <c r="AT25" i="1"/>
  <c r="AS25" i="1"/>
  <c r="CS24" i="1"/>
  <c r="CR24" i="1"/>
  <c r="CQ24" i="1"/>
  <c r="CP24" i="1"/>
  <c r="CO24" i="1"/>
  <c r="CN24" i="1"/>
  <c r="CL24" i="1"/>
  <c r="CK24" i="1"/>
  <c r="CJ24" i="1"/>
  <c r="CI24" i="1"/>
  <c r="CH24" i="1"/>
  <c r="CG24" i="1"/>
  <c r="CF24" i="1"/>
  <c r="CD24" i="1"/>
  <c r="CC24" i="1"/>
  <c r="CB24" i="1"/>
  <c r="CA24" i="1"/>
  <c r="BZ24" i="1"/>
  <c r="BY24" i="1"/>
  <c r="BX24" i="1"/>
  <c r="BU24" i="1"/>
  <c r="BN24" i="1"/>
  <c r="BS24" i="1" s="1"/>
  <c r="BA24" i="1"/>
  <c r="AZ24" i="1"/>
  <c r="AY24" i="1"/>
  <c r="AX24" i="1"/>
  <c r="AW24" i="1"/>
  <c r="AV24" i="1"/>
  <c r="AT24" i="1"/>
  <c r="AS24" i="1"/>
  <c r="CS23" i="1"/>
  <c r="CR23" i="1"/>
  <c r="CQ23" i="1"/>
  <c r="CP23" i="1"/>
  <c r="CO23" i="1"/>
  <c r="CN23" i="1"/>
  <c r="CL23" i="1"/>
  <c r="CK23" i="1"/>
  <c r="CJ23" i="1"/>
  <c r="CI23" i="1"/>
  <c r="CH23" i="1"/>
  <c r="CG23" i="1"/>
  <c r="CF23" i="1"/>
  <c r="CD23" i="1"/>
  <c r="CC23" i="1"/>
  <c r="CB23" i="1"/>
  <c r="CA23" i="1"/>
  <c r="BZ23" i="1"/>
  <c r="BY23" i="1"/>
  <c r="BX23" i="1"/>
  <c r="BU23" i="1"/>
  <c r="BN23" i="1"/>
  <c r="BS23" i="1" s="1"/>
  <c r="BA23" i="1"/>
  <c r="AZ23" i="1"/>
  <c r="AY23" i="1"/>
  <c r="AX23" i="1"/>
  <c r="AW23" i="1"/>
  <c r="AV23" i="1"/>
  <c r="AT23" i="1"/>
  <c r="AS23" i="1"/>
  <c r="CS22" i="1"/>
  <c r="CR22" i="1"/>
  <c r="CQ22" i="1"/>
  <c r="CP22" i="1"/>
  <c r="CO22" i="1"/>
  <c r="CN22" i="1"/>
  <c r="CL22" i="1"/>
  <c r="CK22" i="1"/>
  <c r="CJ22" i="1"/>
  <c r="CI22" i="1"/>
  <c r="CH22" i="1"/>
  <c r="CG22" i="1"/>
  <c r="CF22" i="1"/>
  <c r="CD22" i="1"/>
  <c r="CC22" i="1"/>
  <c r="CB22" i="1"/>
  <c r="CA22" i="1"/>
  <c r="BZ22" i="1"/>
  <c r="BY22" i="1"/>
  <c r="BX22" i="1"/>
  <c r="BU22" i="1"/>
  <c r="BN22" i="1"/>
  <c r="BS22" i="1" s="1"/>
  <c r="BA22" i="1"/>
  <c r="AZ22" i="1"/>
  <c r="AY22" i="1"/>
  <c r="AX22" i="1"/>
  <c r="AW22" i="1"/>
  <c r="AV22" i="1"/>
  <c r="AT22" i="1"/>
  <c r="AS22" i="1"/>
  <c r="CX21" i="1"/>
  <c r="CS21" i="1"/>
  <c r="CR21" i="1"/>
  <c r="CQ21" i="1"/>
  <c r="CP21" i="1"/>
  <c r="CO21" i="1"/>
  <c r="CN21" i="1"/>
  <c r="CL21" i="1"/>
  <c r="CK21" i="1"/>
  <c r="CJ21" i="1"/>
  <c r="CI21" i="1"/>
  <c r="CH21" i="1"/>
  <c r="CG21" i="1"/>
  <c r="CF21" i="1"/>
  <c r="CD21" i="1"/>
  <c r="CC21" i="1"/>
  <c r="CB21" i="1"/>
  <c r="CA21" i="1"/>
  <c r="BZ21" i="1"/>
  <c r="BY21" i="1"/>
  <c r="BX21" i="1"/>
  <c r="BU21" i="1"/>
  <c r="BN21" i="1"/>
  <c r="BS21" i="1" s="1"/>
  <c r="BA21" i="1"/>
  <c r="AZ21" i="1"/>
  <c r="AY21" i="1"/>
  <c r="AX21" i="1"/>
  <c r="AW21" i="1"/>
  <c r="AV21" i="1"/>
  <c r="AT21" i="1"/>
  <c r="AS21" i="1"/>
  <c r="CS20" i="1"/>
  <c r="CR20" i="1"/>
  <c r="CQ20" i="1"/>
  <c r="CP20" i="1"/>
  <c r="CO20" i="1"/>
  <c r="CN20" i="1"/>
  <c r="CL20" i="1"/>
  <c r="CK20" i="1"/>
  <c r="CJ20" i="1"/>
  <c r="CI20" i="1"/>
  <c r="CH20" i="1"/>
  <c r="CG20" i="1"/>
  <c r="CF20" i="1"/>
  <c r="CD20" i="1"/>
  <c r="CC20" i="1"/>
  <c r="CB20" i="1"/>
  <c r="CA20" i="1"/>
  <c r="BZ20" i="1"/>
  <c r="BY20" i="1"/>
  <c r="BX20" i="1"/>
  <c r="BU20" i="1"/>
  <c r="BN20" i="1"/>
  <c r="BS20" i="1" s="1"/>
  <c r="BA20" i="1"/>
  <c r="AZ20" i="1"/>
  <c r="AY20" i="1"/>
  <c r="AX20" i="1"/>
  <c r="AW20" i="1"/>
  <c r="AV20" i="1"/>
  <c r="AT20" i="1"/>
  <c r="AS20" i="1"/>
  <c r="CS19" i="1"/>
  <c r="CR19" i="1"/>
  <c r="CQ19" i="1"/>
  <c r="CP19" i="1"/>
  <c r="CO19" i="1"/>
  <c r="CN19" i="1"/>
  <c r="CL19" i="1"/>
  <c r="CK19" i="1"/>
  <c r="CJ19" i="1"/>
  <c r="CI19" i="1"/>
  <c r="CH19" i="1"/>
  <c r="CG19" i="1"/>
  <c r="CF19" i="1"/>
  <c r="CD19" i="1"/>
  <c r="CC19" i="1"/>
  <c r="CB19" i="1"/>
  <c r="CA19" i="1"/>
  <c r="BZ19" i="1"/>
  <c r="BY19" i="1"/>
  <c r="BX19" i="1"/>
  <c r="BU19" i="1"/>
  <c r="BN19" i="1"/>
  <c r="BS19" i="1" s="1"/>
  <c r="BA19" i="1"/>
  <c r="AZ19" i="1"/>
  <c r="AY19" i="1"/>
  <c r="AX19" i="1"/>
  <c r="AW19" i="1"/>
  <c r="AV19" i="1"/>
  <c r="AT19" i="1"/>
  <c r="AS19" i="1"/>
  <c r="CS18" i="1"/>
  <c r="CR18" i="1"/>
  <c r="CQ18" i="1"/>
  <c r="CP18" i="1"/>
  <c r="CO18" i="1"/>
  <c r="CN18" i="1"/>
  <c r="CL18" i="1"/>
  <c r="CK18" i="1"/>
  <c r="CJ18" i="1"/>
  <c r="CI18" i="1"/>
  <c r="CH18" i="1"/>
  <c r="CG18" i="1"/>
  <c r="CF18" i="1"/>
  <c r="CD18" i="1"/>
  <c r="CC18" i="1"/>
  <c r="CB18" i="1"/>
  <c r="CA18" i="1"/>
  <c r="BZ18" i="1"/>
  <c r="BY18" i="1"/>
  <c r="BX18" i="1"/>
  <c r="BU18" i="1"/>
  <c r="BN18" i="1"/>
  <c r="BS18" i="1" s="1"/>
  <c r="BA18" i="1"/>
  <c r="AZ18" i="1"/>
  <c r="AY18" i="1"/>
  <c r="AX18" i="1"/>
  <c r="AW18" i="1"/>
  <c r="AV18" i="1"/>
  <c r="AT18" i="1"/>
  <c r="AS18" i="1"/>
  <c r="CS17" i="1"/>
  <c r="CR17" i="1"/>
  <c r="CQ17" i="1"/>
  <c r="CP17" i="1"/>
  <c r="CO17" i="1"/>
  <c r="CN17" i="1"/>
  <c r="CL17" i="1"/>
  <c r="CK17" i="1"/>
  <c r="CJ17" i="1"/>
  <c r="CI17" i="1"/>
  <c r="CH17" i="1"/>
  <c r="CG17" i="1"/>
  <c r="CF17" i="1"/>
  <c r="CD17" i="1"/>
  <c r="CC17" i="1"/>
  <c r="CB17" i="1"/>
  <c r="CA17" i="1"/>
  <c r="BZ17" i="1"/>
  <c r="BY17" i="1"/>
  <c r="BX17" i="1"/>
  <c r="BU17" i="1"/>
  <c r="BN17" i="1"/>
  <c r="BS17" i="1" s="1"/>
  <c r="BA17" i="1"/>
  <c r="AZ17" i="1"/>
  <c r="AY17" i="1"/>
  <c r="AX17" i="1"/>
  <c r="AW17" i="1"/>
  <c r="AV17" i="1"/>
  <c r="AT17" i="1"/>
  <c r="AS17" i="1"/>
  <c r="CS16" i="1"/>
  <c r="CR16" i="1"/>
  <c r="CQ16" i="1"/>
  <c r="CP16" i="1"/>
  <c r="CO16" i="1"/>
  <c r="CN16" i="1"/>
  <c r="CL16" i="1"/>
  <c r="CK16" i="1"/>
  <c r="CJ16" i="1"/>
  <c r="CI16" i="1"/>
  <c r="CH16" i="1"/>
  <c r="CG16" i="1"/>
  <c r="CF16" i="1"/>
  <c r="CD16" i="1"/>
  <c r="CC16" i="1"/>
  <c r="CB16" i="1"/>
  <c r="CA16" i="1"/>
  <c r="BZ16" i="1"/>
  <c r="BY16" i="1"/>
  <c r="BX16" i="1"/>
  <c r="BU16" i="1"/>
  <c r="BN16" i="1"/>
  <c r="BS16" i="1" s="1"/>
  <c r="BA16" i="1"/>
  <c r="AZ16" i="1"/>
  <c r="AY16" i="1"/>
  <c r="AX16" i="1"/>
  <c r="AW16" i="1"/>
  <c r="AV16" i="1"/>
  <c r="AT16" i="1"/>
  <c r="AS16" i="1"/>
  <c r="CS15" i="1"/>
  <c r="CR15" i="1"/>
  <c r="CQ15" i="1"/>
  <c r="CP15" i="1"/>
  <c r="CO15" i="1"/>
  <c r="CN15" i="1"/>
  <c r="CL15" i="1"/>
  <c r="CK15" i="1"/>
  <c r="CJ15" i="1"/>
  <c r="CI15" i="1"/>
  <c r="CH15" i="1"/>
  <c r="CG15" i="1"/>
  <c r="CF15" i="1"/>
  <c r="CD15" i="1"/>
  <c r="CC15" i="1"/>
  <c r="CB15" i="1"/>
  <c r="CA15" i="1"/>
  <c r="BZ15" i="1"/>
  <c r="BY15" i="1"/>
  <c r="BX15" i="1"/>
  <c r="BU15" i="1"/>
  <c r="BN15" i="1"/>
  <c r="BS15" i="1" s="1"/>
  <c r="BA15" i="1"/>
  <c r="AZ15" i="1"/>
  <c r="AY15" i="1"/>
  <c r="AX15" i="1"/>
  <c r="AW15" i="1"/>
  <c r="AV15" i="1"/>
  <c r="AT15" i="1"/>
  <c r="AS15" i="1"/>
  <c r="CS14" i="1"/>
  <c r="CR14" i="1"/>
  <c r="CQ14" i="1"/>
  <c r="CP14" i="1"/>
  <c r="CO14" i="1"/>
  <c r="CN14" i="1"/>
  <c r="CL14" i="1"/>
  <c r="CK14" i="1"/>
  <c r="CJ14" i="1"/>
  <c r="CI14" i="1"/>
  <c r="CH14" i="1"/>
  <c r="CG14" i="1"/>
  <c r="CF14" i="1"/>
  <c r="CD14" i="1"/>
  <c r="CC14" i="1"/>
  <c r="CB14" i="1"/>
  <c r="CA14" i="1"/>
  <c r="BZ14" i="1"/>
  <c r="BY14" i="1"/>
  <c r="BX14" i="1"/>
  <c r="BU14" i="1"/>
  <c r="BN14" i="1"/>
  <c r="BS14" i="1" s="1"/>
  <c r="BA14" i="1"/>
  <c r="AZ14" i="1"/>
  <c r="AY14" i="1"/>
  <c r="AX14" i="1"/>
  <c r="AW14" i="1"/>
  <c r="AV14" i="1"/>
  <c r="AT14" i="1"/>
  <c r="AS14" i="1"/>
  <c r="CS13" i="1"/>
  <c r="CR13" i="1"/>
  <c r="CQ13" i="1"/>
  <c r="CP13" i="1"/>
  <c r="CO13" i="1"/>
  <c r="CN13" i="1"/>
  <c r="CL13" i="1"/>
  <c r="CK13" i="1"/>
  <c r="CJ13" i="1"/>
  <c r="CI13" i="1"/>
  <c r="CH13" i="1"/>
  <c r="CG13" i="1"/>
  <c r="CF13" i="1"/>
  <c r="CD13" i="1"/>
  <c r="CC13" i="1"/>
  <c r="CB13" i="1"/>
  <c r="CA13" i="1"/>
  <c r="BZ13" i="1"/>
  <c r="BY13" i="1"/>
  <c r="BX13" i="1"/>
  <c r="BU13" i="1"/>
  <c r="BN13" i="1"/>
  <c r="BS13" i="1" s="1"/>
  <c r="BA13" i="1"/>
  <c r="AZ13" i="1"/>
  <c r="AY13" i="1"/>
  <c r="AX13" i="1"/>
  <c r="AW13" i="1"/>
  <c r="AV13" i="1"/>
  <c r="AT13" i="1"/>
  <c r="AS13" i="1"/>
  <c r="CS12" i="1"/>
  <c r="CR12" i="1"/>
  <c r="CQ12" i="1"/>
  <c r="CP12" i="1"/>
  <c r="CO12" i="1"/>
  <c r="CN12" i="1"/>
  <c r="CL12" i="1"/>
  <c r="CK12" i="1"/>
  <c r="CJ12" i="1"/>
  <c r="CI12" i="1"/>
  <c r="CH12" i="1"/>
  <c r="CG12" i="1"/>
  <c r="CF12" i="1"/>
  <c r="CD12" i="1"/>
  <c r="CC12" i="1"/>
  <c r="CB12" i="1"/>
  <c r="CA12" i="1"/>
  <c r="BZ12" i="1"/>
  <c r="BY12" i="1"/>
  <c r="BX12" i="1"/>
  <c r="BU12" i="1"/>
  <c r="BN12" i="1"/>
  <c r="BS12" i="1" s="1"/>
  <c r="BA12" i="1"/>
  <c r="AZ12" i="1"/>
  <c r="AY12" i="1"/>
  <c r="AX12" i="1"/>
  <c r="AW12" i="1"/>
  <c r="AV12" i="1"/>
  <c r="AT12" i="1"/>
  <c r="AS12" i="1"/>
  <c r="CV11" i="1"/>
  <c r="CU11" i="1"/>
  <c r="CT11" i="1"/>
  <c r="CS11" i="1"/>
  <c r="CR11" i="1"/>
  <c r="CQ11" i="1"/>
  <c r="CP11" i="1"/>
  <c r="CO11" i="1"/>
  <c r="CN11" i="1"/>
  <c r="CL11" i="1"/>
  <c r="CK11" i="1"/>
  <c r="CJ11" i="1"/>
  <c r="CI11" i="1"/>
  <c r="CH11" i="1"/>
  <c r="CG11" i="1"/>
  <c r="CF11" i="1"/>
  <c r="CD11" i="1"/>
  <c r="CC11" i="1"/>
  <c r="CB11" i="1"/>
  <c r="CA11" i="1"/>
  <c r="BZ11" i="1"/>
  <c r="BY11" i="1"/>
  <c r="BX11" i="1"/>
  <c r="BU11" i="1"/>
  <c r="BN11" i="1"/>
  <c r="BS11" i="1" s="1"/>
  <c r="BA11" i="1"/>
  <c r="AZ11" i="1"/>
  <c r="AY11" i="1"/>
  <c r="AX11" i="1"/>
  <c r="AW11" i="1"/>
  <c r="AV11" i="1"/>
  <c r="AT11" i="1"/>
  <c r="AS11" i="1"/>
  <c r="CV10" i="1"/>
  <c r="CU10" i="1"/>
  <c r="CT10" i="1"/>
  <c r="CS10" i="1"/>
  <c r="CR10" i="1"/>
  <c r="CQ10" i="1"/>
  <c r="CP10" i="1"/>
  <c r="CO10" i="1"/>
  <c r="CN10" i="1"/>
  <c r="CL10" i="1"/>
  <c r="CK10" i="1"/>
  <c r="CJ10" i="1"/>
  <c r="CI10" i="1"/>
  <c r="CH10" i="1"/>
  <c r="CG10" i="1"/>
  <c r="CF10" i="1"/>
  <c r="CD10" i="1"/>
  <c r="CC10" i="1"/>
  <c r="CB10" i="1"/>
  <c r="CA10" i="1"/>
  <c r="BZ10" i="1"/>
  <c r="BY10" i="1"/>
  <c r="BX10" i="1"/>
  <c r="BU10" i="1"/>
  <c r="BN10" i="1"/>
  <c r="BS10" i="1" s="1"/>
  <c r="BA10" i="1"/>
  <c r="AZ10" i="1"/>
  <c r="AY10" i="1"/>
  <c r="AX10" i="1"/>
  <c r="AW10" i="1"/>
  <c r="AV10" i="1"/>
  <c r="AT10" i="1"/>
  <c r="AS10" i="1"/>
  <c r="AL10" i="1"/>
  <c r="AK10" i="1"/>
  <c r="AJ10" i="1"/>
  <c r="AI10" i="1"/>
  <c r="AH10" i="1"/>
  <c r="AG10" i="1"/>
  <c r="AF10" i="1"/>
  <c r="AE10" i="1"/>
  <c r="CV9" i="1"/>
  <c r="CU9" i="1"/>
  <c r="CT9" i="1"/>
  <c r="CS9" i="1"/>
  <c r="CR9" i="1"/>
  <c r="CQ9" i="1"/>
  <c r="CP9" i="1"/>
  <c r="CO9" i="1"/>
  <c r="CN9" i="1"/>
  <c r="CL9" i="1"/>
  <c r="CK9" i="1"/>
  <c r="CJ9" i="1"/>
  <c r="CI9" i="1"/>
  <c r="CH9" i="1"/>
  <c r="CG9" i="1"/>
  <c r="CF9" i="1"/>
  <c r="CD9" i="1"/>
  <c r="CC9" i="1"/>
  <c r="CB9" i="1"/>
  <c r="CA9" i="1"/>
  <c r="BZ9" i="1"/>
  <c r="BY9" i="1"/>
  <c r="BX9" i="1"/>
  <c r="BU9" i="1"/>
  <c r="BN9" i="1"/>
  <c r="BS9" i="1" s="1"/>
  <c r="BA9" i="1"/>
  <c r="AZ9" i="1"/>
  <c r="AY9" i="1"/>
  <c r="AX9" i="1"/>
  <c r="AW9" i="1"/>
  <c r="AV9" i="1"/>
  <c r="AT9" i="1"/>
  <c r="AS9" i="1"/>
  <c r="CV8" i="1"/>
  <c r="CU8" i="1"/>
  <c r="CT8" i="1"/>
  <c r="CS8" i="1"/>
  <c r="CR8" i="1"/>
  <c r="CQ8" i="1"/>
  <c r="CP8" i="1"/>
  <c r="CO8" i="1"/>
  <c r="CN8" i="1"/>
  <c r="CL8" i="1"/>
  <c r="CK8" i="1"/>
  <c r="CJ8" i="1"/>
  <c r="CI8" i="1"/>
  <c r="CH8" i="1"/>
  <c r="CG8" i="1"/>
  <c r="CF8" i="1"/>
  <c r="CD8" i="1"/>
  <c r="CC8" i="1"/>
  <c r="CB8" i="1"/>
  <c r="CA8" i="1"/>
  <c r="BZ8" i="1"/>
  <c r="BY8" i="1"/>
  <c r="BX8" i="1"/>
  <c r="BU8" i="1"/>
  <c r="BN8" i="1"/>
  <c r="BS8" i="1" s="1"/>
  <c r="BA8" i="1"/>
  <c r="AZ8" i="1"/>
  <c r="AY8" i="1"/>
  <c r="AX8" i="1"/>
  <c r="AW8" i="1"/>
  <c r="AV8" i="1"/>
  <c r="AT8" i="1"/>
  <c r="AS8" i="1"/>
  <c r="CV7" i="1"/>
  <c r="CU7" i="1"/>
  <c r="CT7" i="1"/>
  <c r="CS7" i="1"/>
  <c r="CR7" i="1"/>
  <c r="CQ7" i="1"/>
  <c r="CP7" i="1"/>
  <c r="CO7" i="1"/>
  <c r="CN7" i="1"/>
  <c r="CL7" i="1"/>
  <c r="CK7" i="1"/>
  <c r="CJ7" i="1"/>
  <c r="CI7" i="1"/>
  <c r="CH7" i="1"/>
  <c r="CG7" i="1"/>
  <c r="CF7" i="1"/>
  <c r="CD7" i="1"/>
  <c r="CC7" i="1"/>
  <c r="CB7" i="1"/>
  <c r="CA7" i="1"/>
  <c r="BZ7" i="1"/>
  <c r="BY7" i="1"/>
  <c r="BX7" i="1"/>
  <c r="BU7" i="1"/>
  <c r="BN7" i="1"/>
  <c r="BS7" i="1" s="1"/>
  <c r="BA7" i="1"/>
  <c r="AZ7" i="1"/>
  <c r="AY7" i="1"/>
  <c r="AX7" i="1"/>
  <c r="AW7" i="1"/>
  <c r="AV7" i="1"/>
  <c r="AT7" i="1"/>
  <c r="AS7" i="1"/>
  <c r="CV6" i="1"/>
  <c r="CU6" i="1"/>
  <c r="CT6" i="1"/>
  <c r="CS6" i="1"/>
  <c r="CR6" i="1"/>
  <c r="CQ6" i="1"/>
  <c r="CP6" i="1"/>
  <c r="CO6" i="1"/>
  <c r="CN6" i="1"/>
  <c r="CL6" i="1"/>
  <c r="CK6" i="1"/>
  <c r="CJ6" i="1"/>
  <c r="CI6" i="1"/>
  <c r="CH6" i="1"/>
  <c r="CG6" i="1"/>
  <c r="CF6" i="1"/>
  <c r="CD6" i="1"/>
  <c r="CC6" i="1"/>
  <c r="CB6" i="1"/>
  <c r="CA6" i="1"/>
  <c r="BZ6" i="1"/>
  <c r="BY6" i="1"/>
  <c r="BX6" i="1"/>
  <c r="BU6" i="1"/>
  <c r="BN6" i="1"/>
  <c r="BS6" i="1" s="1"/>
  <c r="BA6" i="1"/>
  <c r="AZ6" i="1"/>
  <c r="AY6" i="1"/>
  <c r="AX6" i="1"/>
  <c r="AW6" i="1"/>
  <c r="AV6" i="1"/>
  <c r="AT6" i="1"/>
  <c r="AS6" i="1"/>
  <c r="CV5" i="1"/>
  <c r="CU5" i="1"/>
  <c r="CT5" i="1"/>
  <c r="CS5" i="1"/>
  <c r="CR5" i="1"/>
  <c r="CQ5" i="1"/>
  <c r="CP5" i="1"/>
  <c r="CO5" i="1"/>
  <c r="CN5" i="1"/>
  <c r="CL5" i="1"/>
  <c r="CK5" i="1"/>
  <c r="CJ5" i="1"/>
  <c r="CI5" i="1"/>
  <c r="CH5" i="1"/>
  <c r="CG5" i="1"/>
  <c r="CF5" i="1"/>
  <c r="CD5" i="1"/>
  <c r="CC5" i="1"/>
  <c r="CB5" i="1"/>
  <c r="CA5" i="1"/>
  <c r="BZ5" i="1"/>
  <c r="BY5" i="1"/>
  <c r="BX5" i="1"/>
  <c r="BN5" i="1"/>
  <c r="BS5" i="1" s="1"/>
  <c r="BA5" i="1"/>
  <c r="AZ5" i="1"/>
  <c r="AY5" i="1"/>
  <c r="AX5" i="1"/>
  <c r="AW5" i="1"/>
  <c r="AV5" i="1"/>
  <c r="AT5" i="1"/>
  <c r="AS5" i="1"/>
  <c r="CV4" i="1"/>
  <c r="CU4" i="1"/>
  <c r="CT4" i="1"/>
  <c r="CS4" i="1"/>
  <c r="CR4" i="1"/>
  <c r="CQ4" i="1"/>
  <c r="CP4" i="1"/>
  <c r="CO4" i="1"/>
  <c r="CN4" i="1"/>
  <c r="CL4" i="1"/>
  <c r="CK4" i="1"/>
  <c r="CJ4" i="1"/>
  <c r="CI4" i="1"/>
  <c r="CH4" i="1"/>
  <c r="CG4" i="1"/>
  <c r="CF4" i="1"/>
  <c r="CD4" i="1"/>
  <c r="CC4" i="1"/>
  <c r="CA4" i="1"/>
  <c r="BZ4" i="1"/>
  <c r="BY4" i="1"/>
  <c r="AH48" i="1" s="1"/>
  <c r="AK48" i="1" s="1"/>
  <c r="BX4" i="1"/>
  <c r="BN4" i="1"/>
  <c r="BS4" i="1" s="1"/>
  <c r="BA4" i="1"/>
  <c r="AZ4" i="1"/>
  <c r="AY4" i="1"/>
  <c r="AX4" i="1"/>
  <c r="AW4" i="1"/>
  <c r="AV4" i="1"/>
  <c r="AT4" i="1"/>
  <c r="AS4" i="1"/>
  <c r="BZ1" i="1"/>
  <c r="AH71" i="1" a="1"/>
  <c r="AH50" i="1" a="1"/>
  <c r="AH47" i="1" a="1"/>
  <c r="CX34" i="1" l="1"/>
  <c r="DE85" i="1"/>
  <c r="CX29" i="1"/>
  <c r="CX32" i="1"/>
  <c r="DB61" i="1"/>
  <c r="DE64" i="1"/>
  <c r="DA60" i="1"/>
  <c r="DJ64" i="1"/>
  <c r="DA80" i="1"/>
  <c r="DE83" i="1"/>
  <c r="I94" i="8"/>
  <c r="I12" i="8"/>
  <c r="CX18" i="1" s="1"/>
  <c r="CZ55" i="1"/>
  <c r="I43" i="8"/>
  <c r="CX49" i="1" s="1"/>
  <c r="AH41" i="1"/>
  <c r="AK41" i="1" s="1"/>
  <c r="CM611" i="1"/>
  <c r="CM1044" i="1"/>
  <c r="BV1360" i="1"/>
  <c r="S1360" i="1" s="1"/>
  <c r="BR1360" i="1" s="1"/>
  <c r="CE1360" i="1" s="1"/>
  <c r="AL24" i="1"/>
  <c r="AM24" i="1" s="1"/>
  <c r="CM541" i="1"/>
  <c r="BV611" i="1"/>
  <c r="S611" i="1" s="1"/>
  <c r="BR611" i="1" s="1"/>
  <c r="BV975" i="1"/>
  <c r="BQ975" i="1" s="1"/>
  <c r="BT975" i="1" s="1"/>
  <c r="BV1023" i="1"/>
  <c r="BQ1023" i="1" s="1"/>
  <c r="BO1023" i="1" s="1"/>
  <c r="CM1141" i="1"/>
  <c r="AL23" i="1"/>
  <c r="AM23" i="1" s="1"/>
  <c r="BV24" i="1"/>
  <c r="BW24" i="1" s="1"/>
  <c r="AL31" i="1"/>
  <c r="AM31" i="1" s="1"/>
  <c r="BV125" i="1"/>
  <c r="BW125" i="1" s="1"/>
  <c r="CM324" i="1"/>
  <c r="CM803" i="1"/>
  <c r="BV1297" i="1"/>
  <c r="BW1297" i="1" s="1"/>
  <c r="CM1355" i="1"/>
  <c r="BV1369" i="1"/>
  <c r="BW1369" i="1" s="1"/>
  <c r="BV1417" i="1"/>
  <c r="BQ1417" i="1" s="1"/>
  <c r="CM1475" i="1"/>
  <c r="AL18" i="1"/>
  <c r="AM18" i="1" s="1"/>
  <c r="AL27" i="1"/>
  <c r="AM27" i="1" s="1"/>
  <c r="BV55" i="1"/>
  <c r="S55" i="1" s="1"/>
  <c r="BR55" i="1" s="1"/>
  <c r="BV616" i="1"/>
  <c r="S616" i="1" s="1"/>
  <c r="BR616" i="1" s="1"/>
  <c r="CM742" i="1"/>
  <c r="CM910" i="1"/>
  <c r="BV1227" i="1"/>
  <c r="BQ1227" i="1" s="1"/>
  <c r="BV1331" i="1"/>
  <c r="BW1331" i="1" s="1"/>
  <c r="BV1313" i="1"/>
  <c r="BQ1313" i="1" s="1"/>
  <c r="AH24" i="1"/>
  <c r="AK24" i="1" s="1"/>
  <c r="CM464" i="1"/>
  <c r="CM1016" i="1"/>
  <c r="CM1304" i="1"/>
  <c r="CM1328" i="1"/>
  <c r="CM1352" i="1"/>
  <c r="CM1448" i="1"/>
  <c r="BV21" i="1"/>
  <c r="S21" i="1" s="1"/>
  <c r="BR21" i="1" s="1"/>
  <c r="AL32" i="1"/>
  <c r="AM32" i="1" s="1"/>
  <c r="CM46" i="1"/>
  <c r="BV119" i="1"/>
  <c r="S119" i="1" s="1"/>
  <c r="BR119" i="1" s="1"/>
  <c r="CM64" i="1"/>
  <c r="BV341" i="1"/>
  <c r="BW341" i="1" s="1"/>
  <c r="BV437" i="1"/>
  <c r="BW437" i="1" s="1"/>
  <c r="BV1037" i="1"/>
  <c r="BQ1037" i="1" s="1"/>
  <c r="AU1325" i="1"/>
  <c r="CM191" i="1"/>
  <c r="BV425" i="1"/>
  <c r="S425" i="1" s="1"/>
  <c r="BR425" i="1" s="1"/>
  <c r="AL13" i="1"/>
  <c r="AM13" i="1" s="1"/>
  <c r="CM104" i="1"/>
  <c r="CM1348" i="1"/>
  <c r="CM306" i="1"/>
  <c r="AL30" i="1"/>
  <c r="AM30" i="1" s="1"/>
  <c r="BV187" i="1"/>
  <c r="BQ187" i="1" s="1"/>
  <c r="BO187" i="1" s="1"/>
  <c r="CM1373" i="1"/>
  <c r="BV287" i="1"/>
  <c r="BW287" i="1" s="1"/>
  <c r="BV359" i="1"/>
  <c r="S359" i="1" s="1"/>
  <c r="BR359" i="1" s="1"/>
  <c r="BV1415" i="1"/>
  <c r="S1415" i="1" s="1"/>
  <c r="BR1415" i="1" s="1"/>
  <c r="CM702" i="1"/>
  <c r="CM1350" i="1"/>
  <c r="CM1422" i="1"/>
  <c r="AL16" i="1"/>
  <c r="AM16" i="1" s="1"/>
  <c r="CM1436" i="1"/>
  <c r="BV1450" i="1"/>
  <c r="S1450" i="1" s="1"/>
  <c r="BR1450" i="1" s="1"/>
  <c r="CE1450" i="1" s="1"/>
  <c r="AL25" i="1"/>
  <c r="AM25" i="1" s="1"/>
  <c r="BV342" i="1"/>
  <c r="S342" i="1" s="1"/>
  <c r="BR342" i="1" s="1"/>
  <c r="CM616" i="1"/>
  <c r="CM1456" i="1"/>
  <c r="CM590" i="1"/>
  <c r="CM782" i="1"/>
  <c r="AH20" i="1"/>
  <c r="AK20" i="1" s="1"/>
  <c r="AL20" i="1"/>
  <c r="AM20" i="1" s="1"/>
  <c r="CM562" i="1"/>
  <c r="CM572" i="1"/>
  <c r="CM1148" i="1"/>
  <c r="CM1316" i="1"/>
  <c r="CM1467" i="1"/>
  <c r="CM278" i="1"/>
  <c r="BV340" i="1"/>
  <c r="S340" i="1" s="1"/>
  <c r="BR340" i="1" s="1"/>
  <c r="CM422" i="1"/>
  <c r="CM446" i="1"/>
  <c r="BV621" i="1"/>
  <c r="BW621" i="1" s="1"/>
  <c r="CM751" i="1"/>
  <c r="BV1461" i="1"/>
  <c r="BQ1461" i="1" s="1"/>
  <c r="BV4" i="1"/>
  <c r="CM294" i="1"/>
  <c r="CM318" i="1"/>
  <c r="CM342" i="1"/>
  <c r="CM623" i="1"/>
  <c r="CM791" i="1"/>
  <c r="CM815" i="1"/>
  <c r="BV829" i="1"/>
  <c r="BW829" i="1" s="1"/>
  <c r="CM313" i="1"/>
  <c r="CM385" i="1"/>
  <c r="CM618" i="1"/>
  <c r="CM930" i="1"/>
  <c r="CM1122" i="1"/>
  <c r="CM194" i="1"/>
  <c r="CM362" i="1"/>
  <c r="BV376" i="1"/>
  <c r="BQ376" i="1" s="1"/>
  <c r="CM1315" i="1"/>
  <c r="CM1339" i="1"/>
  <c r="BV1353" i="1"/>
  <c r="BQ1353" i="1" s="1"/>
  <c r="CM1363" i="1"/>
  <c r="CM7" i="1"/>
  <c r="AH23" i="1"/>
  <c r="AK23" i="1" s="1"/>
  <c r="CM120" i="1"/>
  <c r="BV343" i="1"/>
  <c r="BQ343" i="1" s="1"/>
  <c r="BT343" i="1" s="1"/>
  <c r="BV367" i="1"/>
  <c r="BQ367" i="1" s="1"/>
  <c r="CM706" i="1"/>
  <c r="BV744" i="1"/>
  <c r="BQ744" i="1" s="1"/>
  <c r="BO744" i="1" s="1"/>
  <c r="BV792" i="1"/>
  <c r="S792" i="1" s="1"/>
  <c r="BR792" i="1" s="1"/>
  <c r="CM826" i="1"/>
  <c r="CM1018" i="1"/>
  <c r="BV607" i="1"/>
  <c r="BQ607" i="1" s="1"/>
  <c r="BT607" i="1" s="1"/>
  <c r="BV703" i="1"/>
  <c r="BW703" i="1" s="1"/>
  <c r="AU93" i="1"/>
  <c r="CM243" i="1"/>
  <c r="CM298" i="1"/>
  <c r="CM1234" i="1"/>
  <c r="CM393" i="1"/>
  <c r="CM192" i="1"/>
  <c r="CM336" i="1"/>
  <c r="BV1248" i="1"/>
  <c r="S1248" i="1" s="1"/>
  <c r="BR1248" i="1" s="1"/>
  <c r="CE1248" i="1" s="1"/>
  <c r="CM1295" i="1"/>
  <c r="CM984" i="1"/>
  <c r="CM1385" i="1"/>
  <c r="AL21" i="1"/>
  <c r="AM21" i="1" s="1"/>
  <c r="AH25" i="1"/>
  <c r="AK25" i="1" s="1"/>
  <c r="AL14" i="1"/>
  <c r="AM14" i="1" s="1"/>
  <c r="BV226" i="1"/>
  <c r="S226" i="1" s="1"/>
  <c r="BR226" i="1" s="1"/>
  <c r="CM329" i="1"/>
  <c r="BV346" i="1"/>
  <c r="S346" i="1" s="1"/>
  <c r="BR346" i="1" s="1"/>
  <c r="CM437" i="1"/>
  <c r="CM449" i="1"/>
  <c r="BV677" i="1"/>
  <c r="BW677" i="1" s="1"/>
  <c r="BV1078" i="1"/>
  <c r="S1078" i="1" s="1"/>
  <c r="BR1078" i="1" s="1"/>
  <c r="CE1078" i="1" s="1"/>
  <c r="CM418" i="1"/>
  <c r="BV91" i="1"/>
  <c r="BW91" i="1" s="1"/>
  <c r="CM114" i="1"/>
  <c r="CM183" i="1"/>
  <c r="CM195" i="1"/>
  <c r="BV272" i="1"/>
  <c r="BW272" i="1" s="1"/>
  <c r="CM339" i="1"/>
  <c r="BV596" i="1"/>
  <c r="BQ596" i="1" s="1"/>
  <c r="BV469" i="1"/>
  <c r="S469" i="1" s="1"/>
  <c r="BR469" i="1" s="1"/>
  <c r="BV1273" i="1"/>
  <c r="S1273" i="1" s="1"/>
  <c r="BR1273" i="1" s="1"/>
  <c r="BV546" i="1"/>
  <c r="S546" i="1" s="1"/>
  <c r="BR546" i="1" s="1"/>
  <c r="BV419" i="1"/>
  <c r="BW419" i="1" s="1"/>
  <c r="BV124" i="1"/>
  <c r="BQ124" i="1" s="1"/>
  <c r="BT124" i="1" s="1"/>
  <c r="BV436" i="1"/>
  <c r="S436" i="1" s="1"/>
  <c r="BR436" i="1" s="1"/>
  <c r="BV47" i="1"/>
  <c r="BQ47" i="1" s="1"/>
  <c r="CM117" i="1"/>
  <c r="CM407" i="1"/>
  <c r="CM1127" i="1"/>
  <c r="BV165" i="1"/>
  <c r="BW165" i="1" s="1"/>
  <c r="BV309" i="1"/>
  <c r="BQ309" i="1" s="1"/>
  <c r="BT309" i="1" s="1"/>
  <c r="CM412" i="1"/>
  <c r="BV453" i="1"/>
  <c r="BW453" i="1" s="1"/>
  <c r="BV525" i="1"/>
  <c r="BQ525" i="1" s="1"/>
  <c r="BT525" i="1" s="1"/>
  <c r="BV1185" i="1"/>
  <c r="S1185" i="1" s="1"/>
  <c r="BR1185" i="1" s="1"/>
  <c r="CM60" i="1"/>
  <c r="BV68" i="1"/>
  <c r="BW68" i="1" s="1"/>
  <c r="BV113" i="1"/>
  <c r="BQ113" i="1" s="1"/>
  <c r="BO113" i="1" s="1"/>
  <c r="BV194" i="1"/>
  <c r="S194" i="1" s="1"/>
  <c r="BR194" i="1" s="1"/>
  <c r="BV638" i="1"/>
  <c r="BQ638" i="1" s="1"/>
  <c r="BV794" i="1"/>
  <c r="S794" i="1" s="1"/>
  <c r="BR794" i="1" s="1"/>
  <c r="BV986" i="1"/>
  <c r="BW986" i="1" s="1"/>
  <c r="BV998" i="1"/>
  <c r="BW998" i="1" s="1"/>
  <c r="BV1034" i="1"/>
  <c r="S1034" i="1" s="1"/>
  <c r="BR1034" i="1" s="1"/>
  <c r="CE1034" i="1" s="1"/>
  <c r="CM1053" i="1"/>
  <c r="BV1058" i="1"/>
  <c r="BW1058" i="1" s="1"/>
  <c r="CM1065" i="1"/>
  <c r="CM1089" i="1"/>
  <c r="CM806" i="1"/>
  <c r="CM54" i="1"/>
  <c r="BV192" i="1"/>
  <c r="BQ192" i="1" s="1"/>
  <c r="BV228" i="1"/>
  <c r="S228" i="1" s="1"/>
  <c r="BR228" i="1" s="1"/>
  <c r="BV444" i="1"/>
  <c r="S444" i="1" s="1"/>
  <c r="BR444" i="1" s="1"/>
  <c r="CM511" i="1"/>
  <c r="CM1183" i="1"/>
  <c r="CM456" i="1"/>
  <c r="BV1049" i="1"/>
  <c r="S1049" i="1" s="1"/>
  <c r="BR1049" i="1" s="1"/>
  <c r="BV524" i="1"/>
  <c r="BQ524" i="1" s="1"/>
  <c r="BT524" i="1" s="1"/>
  <c r="CM83" i="1"/>
  <c r="AU337" i="1"/>
  <c r="CM380" i="1"/>
  <c r="AU1035" i="1"/>
  <c r="CM1481" i="1"/>
  <c r="BV69" i="1"/>
  <c r="BQ69" i="1" s="1"/>
  <c r="AU824" i="1"/>
  <c r="BV848" i="1"/>
  <c r="S848" i="1" s="1"/>
  <c r="BR848" i="1" s="1"/>
  <c r="BV1251" i="1"/>
  <c r="BW1251" i="1" s="1"/>
  <c r="CM1035" i="1"/>
  <c r="BV32" i="1"/>
  <c r="BW32" i="1" s="1"/>
  <c r="BV865" i="1"/>
  <c r="BQ865" i="1" s="1"/>
  <c r="BT865" i="1" s="1"/>
  <c r="BV196" i="1"/>
  <c r="S196" i="1" s="1"/>
  <c r="BR196" i="1" s="1"/>
  <c r="CM474" i="1"/>
  <c r="CM637" i="1"/>
  <c r="CM750" i="1"/>
  <c r="BV935" i="1"/>
  <c r="BW935" i="1" s="1"/>
  <c r="CM47" i="1"/>
  <c r="CM225" i="1"/>
  <c r="CM525" i="1"/>
  <c r="CM736" i="1"/>
  <c r="CM1470" i="1"/>
  <c r="CM753" i="1"/>
  <c r="BV180" i="1"/>
  <c r="BW180" i="1" s="1"/>
  <c r="AU233" i="1"/>
  <c r="CM240" i="1"/>
  <c r="CM758" i="1"/>
  <c r="BV763" i="1"/>
  <c r="BQ763" i="1" s="1"/>
  <c r="CM144" i="1"/>
  <c r="CM902" i="1"/>
  <c r="BV943" i="1"/>
  <c r="BQ943" i="1" s="1"/>
  <c r="BO943" i="1" s="1"/>
  <c r="BV1027" i="1"/>
  <c r="BQ1027" i="1" s="1"/>
  <c r="BT1027" i="1" s="1"/>
  <c r="CM1046" i="1"/>
  <c r="CM1262" i="1"/>
  <c r="BV1267" i="1"/>
  <c r="BQ1267" i="1" s="1"/>
  <c r="BT1267" i="1" s="1"/>
  <c r="CM93" i="1"/>
  <c r="CM190" i="1"/>
  <c r="BV231" i="1"/>
  <c r="BW231" i="1" s="1"/>
  <c r="CM756" i="1"/>
  <c r="CM1166" i="1"/>
  <c r="CM1478" i="1"/>
  <c r="CM737" i="1"/>
  <c r="CM1495" i="1"/>
  <c r="BV392" i="1"/>
  <c r="BW392" i="1" s="1"/>
  <c r="CM399" i="1"/>
  <c r="CM838" i="1"/>
  <c r="CM1027" i="1"/>
  <c r="CM45" i="1"/>
  <c r="BV311" i="1"/>
  <c r="BQ311" i="1" s="1"/>
  <c r="BO311" i="1" s="1"/>
  <c r="CM366" i="1"/>
  <c r="CM639" i="1"/>
  <c r="CM651" i="1"/>
  <c r="BV656" i="1"/>
  <c r="S656" i="1" s="1"/>
  <c r="BR656" i="1" s="1"/>
  <c r="BV728" i="1"/>
  <c r="S728" i="1" s="1"/>
  <c r="BR728" i="1" s="1"/>
  <c r="BV613" i="1"/>
  <c r="S613" i="1" s="1"/>
  <c r="BR613" i="1" s="1"/>
  <c r="BV891" i="1"/>
  <c r="BW891" i="1" s="1"/>
  <c r="CM1032" i="1"/>
  <c r="BV1322" i="1"/>
  <c r="S1322" i="1" s="1"/>
  <c r="BR1322" i="1" s="1"/>
  <c r="CE1322" i="1" s="1"/>
  <c r="BV1334" i="1"/>
  <c r="BQ1334" i="1" s="1"/>
  <c r="BO1334" i="1" s="1"/>
  <c r="BV1370" i="1"/>
  <c r="S1370" i="1" s="1"/>
  <c r="BR1370" i="1" s="1"/>
  <c r="CE1370" i="1" s="1"/>
  <c r="CM1449" i="1"/>
  <c r="BV1454" i="1"/>
  <c r="BQ1454" i="1" s="1"/>
  <c r="CM1461" i="1"/>
  <c r="BV1478" i="1"/>
  <c r="BQ1478" i="1" s="1"/>
  <c r="BO1478" i="1" s="1"/>
  <c r="CM1485" i="1"/>
  <c r="CM256" i="1"/>
  <c r="BV261" i="1"/>
  <c r="S261" i="1" s="1"/>
  <c r="BR261" i="1" s="1"/>
  <c r="BV400" i="1"/>
  <c r="BW400" i="1" s="1"/>
  <c r="BV649" i="1"/>
  <c r="S649" i="1" s="1"/>
  <c r="BR649" i="1" s="1"/>
  <c r="CM656" i="1"/>
  <c r="BV685" i="1"/>
  <c r="S685" i="1" s="1"/>
  <c r="BR685" i="1" s="1"/>
  <c r="BV697" i="1"/>
  <c r="BW697" i="1" s="1"/>
  <c r="CM113" i="1"/>
  <c r="CM589" i="1"/>
  <c r="CM867" i="1"/>
  <c r="BV872" i="1"/>
  <c r="BW872" i="1" s="1"/>
  <c r="CM17" i="1"/>
  <c r="BV254" i="1"/>
  <c r="S254" i="1" s="1"/>
  <c r="BR254" i="1" s="1"/>
  <c r="CM280" i="1"/>
  <c r="CM388" i="1"/>
  <c r="AU793" i="1"/>
  <c r="BV1126" i="1"/>
  <c r="BW1126" i="1" s="1"/>
  <c r="CM872" i="1"/>
  <c r="CM1030" i="1"/>
  <c r="BV1500" i="1"/>
  <c r="BW1500" i="1" s="1"/>
  <c r="AU211" i="1"/>
  <c r="CM333" i="1"/>
  <c r="CM357" i="1"/>
  <c r="BV362" i="1"/>
  <c r="BW362" i="1" s="1"/>
  <c r="CM455" i="1"/>
  <c r="AU472" i="1"/>
  <c r="CM563" i="1"/>
  <c r="BV568" i="1"/>
  <c r="BQ568" i="1" s="1"/>
  <c r="CM1452" i="1"/>
  <c r="CM199" i="1"/>
  <c r="CM259" i="1"/>
  <c r="BV264" i="1"/>
  <c r="S264" i="1" s="1"/>
  <c r="BR264" i="1" s="1"/>
  <c r="CM374" i="1"/>
  <c r="CM441" i="1"/>
  <c r="AU477" i="1"/>
  <c r="BV489" i="1"/>
  <c r="S489" i="1" s="1"/>
  <c r="BR489" i="1" s="1"/>
  <c r="AU712" i="1"/>
  <c r="AU839" i="1"/>
  <c r="BV985" i="1"/>
  <c r="BQ985" i="1" s="1"/>
  <c r="BO985" i="1" s="1"/>
  <c r="CM992" i="1"/>
  <c r="CM1004" i="1"/>
  <c r="BV1481" i="1"/>
  <c r="BW1481" i="1" s="1"/>
  <c r="CM1289" i="1"/>
  <c r="BV1486" i="1"/>
  <c r="S1486" i="1" s="1"/>
  <c r="BR1486" i="1" s="1"/>
  <c r="CE1486" i="1" s="1"/>
  <c r="BV154" i="1"/>
  <c r="S154" i="1" s="1"/>
  <c r="BR154" i="1" s="1"/>
  <c r="BV166" i="1"/>
  <c r="BQ166" i="1" s="1"/>
  <c r="BO166" i="1" s="1"/>
  <c r="BV178" i="1"/>
  <c r="S178" i="1" s="1"/>
  <c r="BR178" i="1" s="1"/>
  <c r="CM664" i="1"/>
  <c r="BV1117" i="1"/>
  <c r="BQ1117" i="1" s="1"/>
  <c r="BO1117" i="1" s="1"/>
  <c r="CM100" i="1"/>
  <c r="CM348" i="1"/>
  <c r="BV849" i="1"/>
  <c r="S849" i="1" s="1"/>
  <c r="BR849" i="1" s="1"/>
  <c r="CM1263" i="1"/>
  <c r="CM1117" i="1"/>
  <c r="AU1122" i="1"/>
  <c r="CM42" i="1"/>
  <c r="BV576" i="1"/>
  <c r="BW576" i="1" s="1"/>
  <c r="CM583" i="1"/>
  <c r="CM722" i="1"/>
  <c r="CM947" i="1"/>
  <c r="BV952" i="1"/>
  <c r="S952" i="1" s="1"/>
  <c r="BR952" i="1" s="1"/>
  <c r="CE952" i="1" s="1"/>
  <c r="CM959" i="1"/>
  <c r="CM1026" i="1"/>
  <c r="BV1079" i="1"/>
  <c r="S1079" i="1" s="1"/>
  <c r="BR1079" i="1" s="1"/>
  <c r="CM1292" i="1"/>
  <c r="CM631" i="1"/>
  <c r="CM40" i="1"/>
  <c r="BV1139" i="1"/>
  <c r="BW1139" i="1" s="1"/>
  <c r="CM533" i="1"/>
  <c r="CM545" i="1"/>
  <c r="BV1223" i="1"/>
  <c r="S1223" i="1" s="1"/>
  <c r="BR1223" i="1" s="1"/>
  <c r="CM1333" i="1"/>
  <c r="BV1386" i="1"/>
  <c r="BW1386" i="1" s="1"/>
  <c r="CM1417" i="1"/>
  <c r="BV1446" i="1"/>
  <c r="S1446" i="1" s="1"/>
  <c r="BR1446" i="1" s="1"/>
  <c r="CE1446" i="1" s="1"/>
  <c r="BV150" i="1"/>
  <c r="BW150" i="1" s="1"/>
  <c r="BV435" i="1"/>
  <c r="S435" i="1" s="1"/>
  <c r="BR435" i="1" s="1"/>
  <c r="CM442" i="1"/>
  <c r="CM569" i="1"/>
  <c r="CM823" i="1"/>
  <c r="CM1036" i="1"/>
  <c r="BV1053" i="1"/>
  <c r="BQ1053" i="1" s="1"/>
  <c r="BV1156" i="1"/>
  <c r="S1156" i="1" s="1"/>
  <c r="BR1156" i="1" s="1"/>
  <c r="CE1156" i="1" s="1"/>
  <c r="AU1470" i="1"/>
  <c r="BV289" i="1"/>
  <c r="S289" i="1" s="1"/>
  <c r="BR289" i="1" s="1"/>
  <c r="BV416" i="1"/>
  <c r="BQ416" i="1" s="1"/>
  <c r="BV447" i="1"/>
  <c r="BW447" i="1" s="1"/>
  <c r="CM1132" i="1"/>
  <c r="BV1271" i="1"/>
  <c r="BW1271" i="1" s="1"/>
  <c r="CM454" i="1"/>
  <c r="BV1288" i="1"/>
  <c r="BW1288" i="1" s="1"/>
  <c r="BV912" i="1"/>
  <c r="S912" i="1" s="1"/>
  <c r="BR912" i="1" s="1"/>
  <c r="CE912" i="1" s="1"/>
  <c r="CM919" i="1"/>
  <c r="CM471" i="1"/>
  <c r="BV651" i="1"/>
  <c r="BQ651" i="1" s="1"/>
  <c r="BO651" i="1" s="1"/>
  <c r="CM1070" i="1"/>
  <c r="BV147" i="1"/>
  <c r="S147" i="1" s="1"/>
  <c r="BR147" i="1" s="1"/>
  <c r="BV183" i="1"/>
  <c r="S183" i="1" s="1"/>
  <c r="BR183" i="1" s="1"/>
  <c r="BV197" i="1"/>
  <c r="BW197" i="1" s="1"/>
  <c r="CM204" i="1"/>
  <c r="BV990" i="1"/>
  <c r="BW990" i="1" s="1"/>
  <c r="BV1052" i="1"/>
  <c r="S1052" i="1" s="1"/>
  <c r="BR1052" i="1" s="1"/>
  <c r="CE1052" i="1" s="1"/>
  <c r="CM1059" i="1"/>
  <c r="BV1064" i="1"/>
  <c r="BQ1064" i="1" s="1"/>
  <c r="BO1064" i="1" s="1"/>
  <c r="CM1152" i="1"/>
  <c r="BV1157" i="1"/>
  <c r="BW1157" i="1" s="1"/>
  <c r="BV481" i="1"/>
  <c r="BQ481" i="1" s="1"/>
  <c r="BT481" i="1" s="1"/>
  <c r="BV627" i="1"/>
  <c r="S627" i="1" s="1"/>
  <c r="BR627" i="1" s="1"/>
  <c r="BV658" i="1"/>
  <c r="S658" i="1" s="1"/>
  <c r="BR658" i="1" s="1"/>
  <c r="BV670" i="1"/>
  <c r="S670" i="1" s="1"/>
  <c r="BR670" i="1" s="1"/>
  <c r="BV682" i="1"/>
  <c r="S682" i="1" s="1"/>
  <c r="BR682" i="1" s="1"/>
  <c r="BV971" i="1"/>
  <c r="S971" i="1" s="1"/>
  <c r="BR971" i="1" s="1"/>
  <c r="BV1217" i="1"/>
  <c r="S1217" i="1" s="1"/>
  <c r="BR1217" i="1" s="1"/>
  <c r="BV30" i="1"/>
  <c r="S30" i="1" s="1"/>
  <c r="BR30" i="1" s="1"/>
  <c r="BV53" i="1"/>
  <c r="BQ53" i="1" s="1"/>
  <c r="BV393" i="1"/>
  <c r="BQ393" i="1" s="1"/>
  <c r="BT393" i="1" s="1"/>
  <c r="AU541" i="1"/>
  <c r="CM560" i="1"/>
  <c r="CM622" i="1"/>
  <c r="CM978" i="1"/>
  <c r="BV983" i="1"/>
  <c r="S983" i="1" s="1"/>
  <c r="BR983" i="1" s="1"/>
  <c r="CM1040" i="1"/>
  <c r="BV1045" i="1"/>
  <c r="S1045" i="1" s="1"/>
  <c r="BR1045" i="1" s="1"/>
  <c r="CM1100" i="1"/>
  <c r="BV1105" i="1"/>
  <c r="BQ1105" i="1" s="1"/>
  <c r="BO1105" i="1" s="1"/>
  <c r="CM1112" i="1"/>
  <c r="CM1255" i="1"/>
  <c r="BV1260" i="1"/>
  <c r="BW1260" i="1" s="1"/>
  <c r="BV1423" i="1"/>
  <c r="S1423" i="1" s="1"/>
  <c r="BR1423" i="1" s="1"/>
  <c r="CM1430" i="1"/>
  <c r="CM1442" i="1"/>
  <c r="CM1473" i="1"/>
  <c r="AU128" i="1"/>
  <c r="BV188" i="1"/>
  <c r="S188" i="1" s="1"/>
  <c r="BR188" i="1" s="1"/>
  <c r="AU214" i="1"/>
  <c r="CM233" i="1"/>
  <c r="BV245" i="1"/>
  <c r="S245" i="1" s="1"/>
  <c r="BR245" i="1" s="1"/>
  <c r="CM264" i="1"/>
  <c r="CM443" i="1"/>
  <c r="CM103" i="1"/>
  <c r="CM152" i="1"/>
  <c r="CM226" i="1"/>
  <c r="CM283" i="1"/>
  <c r="BV288" i="1"/>
  <c r="S288" i="1" s="1"/>
  <c r="BR288" i="1" s="1"/>
  <c r="CM321" i="1"/>
  <c r="CM424" i="1"/>
  <c r="CM553" i="1"/>
  <c r="CM835" i="1"/>
  <c r="CM1045" i="1"/>
  <c r="CM1093" i="1"/>
  <c r="CM1105" i="1"/>
  <c r="CM1205" i="1"/>
  <c r="CM245" i="1"/>
  <c r="CM257" i="1"/>
  <c r="CM859" i="1"/>
  <c r="CM909" i="1"/>
  <c r="CM1174" i="1"/>
  <c r="AU331" i="1"/>
  <c r="BV391" i="1"/>
  <c r="S391" i="1" s="1"/>
  <c r="BR391" i="1" s="1"/>
  <c r="CM410" i="1"/>
  <c r="BV434" i="1"/>
  <c r="S434" i="1" s="1"/>
  <c r="BR434" i="1" s="1"/>
  <c r="CM766" i="1"/>
  <c r="CM778" i="1"/>
  <c r="CM852" i="1"/>
  <c r="CM871" i="1"/>
  <c r="CM890" i="1"/>
  <c r="BV1457" i="1"/>
  <c r="BW1457" i="1" s="1"/>
  <c r="BV415" i="1"/>
  <c r="S415" i="1" s="1"/>
  <c r="BR415" i="1" s="1"/>
  <c r="BV484" i="1"/>
  <c r="S484" i="1" s="1"/>
  <c r="BR484" i="1" s="1"/>
  <c r="BV661" i="1"/>
  <c r="S661" i="1" s="1"/>
  <c r="BR661" i="1" s="1"/>
  <c r="CM833" i="1"/>
  <c r="BV838" i="1"/>
  <c r="BQ838" i="1" s="1"/>
  <c r="BT838" i="1" s="1"/>
  <c r="BV857" i="1"/>
  <c r="S857" i="1" s="1"/>
  <c r="BR857" i="1" s="1"/>
  <c r="CM945" i="1"/>
  <c r="CM1000" i="1"/>
  <c r="BV1005" i="1"/>
  <c r="S1005" i="1" s="1"/>
  <c r="BR1005" i="1" s="1"/>
  <c r="AU1024" i="1"/>
  <c r="CM1179" i="1"/>
  <c r="BV1208" i="1"/>
  <c r="S1208" i="1" s="1"/>
  <c r="BR1208" i="1" s="1"/>
  <c r="CE1208" i="1" s="1"/>
  <c r="BV1337" i="1"/>
  <c r="BW1337" i="1" s="1"/>
  <c r="CM150" i="1"/>
  <c r="BV186" i="1"/>
  <c r="BQ186" i="1" s="1"/>
  <c r="CM200" i="1"/>
  <c r="BV1036" i="1"/>
  <c r="S1036" i="1" s="1"/>
  <c r="BR1036" i="1" s="1"/>
  <c r="CE1036" i="1" s="1"/>
  <c r="CM1079" i="1"/>
  <c r="BV642" i="1"/>
  <c r="BQ642" i="1" s="1"/>
  <c r="BT642" i="1" s="1"/>
  <c r="CM697" i="1"/>
  <c r="BV1165" i="1"/>
  <c r="BQ1165" i="1" s="1"/>
  <c r="BT1165" i="1" s="1"/>
  <c r="CM1172" i="1"/>
  <c r="BV1201" i="1"/>
  <c r="BW1201" i="1" s="1"/>
  <c r="AU1354" i="1"/>
  <c r="BV99" i="1"/>
  <c r="BQ99" i="1" s="1"/>
  <c r="BT99" i="1" s="1"/>
  <c r="AU191" i="1"/>
  <c r="BV198" i="1"/>
  <c r="S198" i="1" s="1"/>
  <c r="BR198" i="1" s="1"/>
  <c r="BV310" i="1"/>
  <c r="BW310" i="1" s="1"/>
  <c r="AU389" i="1"/>
  <c r="BV401" i="1"/>
  <c r="S401" i="1" s="1"/>
  <c r="BR401" i="1" s="1"/>
  <c r="BV432" i="1"/>
  <c r="S432" i="1" s="1"/>
  <c r="BR432" i="1" s="1"/>
  <c r="AU967" i="1"/>
  <c r="CM1005" i="1"/>
  <c r="CM1096" i="1"/>
  <c r="BV1101" i="1"/>
  <c r="S1101" i="1" s="1"/>
  <c r="BR1101" i="1" s="1"/>
  <c r="CM1108" i="1"/>
  <c r="CM1330" i="1"/>
  <c r="BV1431" i="1"/>
  <c r="BW1431" i="1" s="1"/>
  <c r="BV458" i="1"/>
  <c r="BW458" i="1" s="1"/>
  <c r="BV628" i="1"/>
  <c r="BQ628" i="1" s="1"/>
  <c r="BT628" i="1" s="1"/>
  <c r="BV1170" i="1"/>
  <c r="S1170" i="1" s="1"/>
  <c r="BR1170" i="1" s="1"/>
  <c r="CE1170" i="1" s="1"/>
  <c r="BV1194" i="1"/>
  <c r="BQ1194" i="1" s="1"/>
  <c r="BO1194" i="1" s="1"/>
  <c r="CM1486" i="1"/>
  <c r="BV27" i="1"/>
  <c r="BQ27" i="1" s="1"/>
  <c r="BO27" i="1" s="1"/>
  <c r="CM27" i="1"/>
  <c r="CM222" i="1"/>
  <c r="CM291" i="1"/>
  <c r="CM401" i="1"/>
  <c r="CM549" i="1"/>
  <c r="BV554" i="1"/>
  <c r="BQ554" i="1" s="1"/>
  <c r="BV786" i="1"/>
  <c r="S786" i="1" s="1"/>
  <c r="BR786" i="1" s="1"/>
  <c r="CM793" i="1"/>
  <c r="CM924" i="1"/>
  <c r="CM1113" i="1"/>
  <c r="BV1237" i="1"/>
  <c r="S1237" i="1" s="1"/>
  <c r="BR1237" i="1" s="1"/>
  <c r="BV1304" i="1"/>
  <c r="BQ1304" i="1" s="1"/>
  <c r="CM1347" i="1"/>
  <c r="BV1352" i="1"/>
  <c r="S1352" i="1" s="1"/>
  <c r="BR1352" i="1" s="1"/>
  <c r="CE1352" i="1" s="1"/>
  <c r="CM1359" i="1"/>
  <c r="BV1364" i="1"/>
  <c r="BQ1364" i="1" s="1"/>
  <c r="CM1407" i="1"/>
  <c r="CM1419" i="1"/>
  <c r="BV1424" i="1"/>
  <c r="S1424" i="1" s="1"/>
  <c r="BR1424" i="1" s="1"/>
  <c r="CE1424" i="1" s="1"/>
  <c r="BV84" i="1"/>
  <c r="BW84" i="1" s="1"/>
  <c r="BV239" i="1"/>
  <c r="S239" i="1" s="1"/>
  <c r="BR239" i="1" s="1"/>
  <c r="CM303" i="1"/>
  <c r="CM334" i="1"/>
  <c r="CM458" i="1"/>
  <c r="CM470" i="1"/>
  <c r="CM506" i="1"/>
  <c r="CM707" i="1"/>
  <c r="CM817" i="1"/>
  <c r="CM881" i="1"/>
  <c r="BV910" i="1"/>
  <c r="BQ910" i="1" s="1"/>
  <c r="CM960" i="1"/>
  <c r="BV1008" i="1"/>
  <c r="BW1008" i="1" s="1"/>
  <c r="BV1211" i="1"/>
  <c r="BQ1211" i="1" s="1"/>
  <c r="BT1211" i="1" s="1"/>
  <c r="BV1472" i="1"/>
  <c r="BQ1472" i="1" s="1"/>
  <c r="BV411" i="1"/>
  <c r="BQ411" i="1" s="1"/>
  <c r="CM518" i="1"/>
  <c r="BV547" i="1"/>
  <c r="BW547" i="1" s="1"/>
  <c r="BV590" i="1"/>
  <c r="S590" i="1" s="1"/>
  <c r="BR590" i="1" s="1"/>
  <c r="AU633" i="1"/>
  <c r="BV903" i="1"/>
  <c r="BW903" i="1" s="1"/>
  <c r="CM499" i="1"/>
  <c r="BV803" i="1"/>
  <c r="BQ803" i="1" s="1"/>
  <c r="BT803" i="1" s="1"/>
  <c r="CM941" i="1"/>
  <c r="BV1123" i="1"/>
  <c r="S1123" i="1" s="1"/>
  <c r="BR1123" i="1" s="1"/>
  <c r="CM146" i="1"/>
  <c r="CM158" i="1"/>
  <c r="BV201" i="1"/>
  <c r="BQ201" i="1" s="1"/>
  <c r="BO201" i="1" s="1"/>
  <c r="BV294" i="1"/>
  <c r="BW294" i="1" s="1"/>
  <c r="AU344" i="1"/>
  <c r="CM547" i="1"/>
  <c r="CM640" i="1"/>
  <c r="CM676" i="1"/>
  <c r="AU693" i="1"/>
  <c r="AU846" i="1"/>
  <c r="CM1063" i="1"/>
  <c r="AU1477" i="1"/>
  <c r="CM232" i="1"/>
  <c r="BV237" i="1"/>
  <c r="BQ237" i="1" s="1"/>
  <c r="BO237" i="1" s="1"/>
  <c r="CM251" i="1"/>
  <c r="BV256" i="1"/>
  <c r="BQ256" i="1" s="1"/>
  <c r="CM263" i="1"/>
  <c r="CM270" i="1"/>
  <c r="CM344" i="1"/>
  <c r="CM368" i="1"/>
  <c r="CM645" i="1"/>
  <c r="BV662" i="1"/>
  <c r="S662" i="1" s="1"/>
  <c r="BR662" i="1" s="1"/>
  <c r="CM669" i="1"/>
  <c r="BV698" i="1"/>
  <c r="BQ698" i="1" s="1"/>
  <c r="AU994" i="1"/>
  <c r="AU1092" i="1"/>
  <c r="CM1137" i="1"/>
  <c r="CM1216" i="1"/>
  <c r="BV1221" i="1"/>
  <c r="S1221" i="1" s="1"/>
  <c r="BR1221" i="1" s="1"/>
  <c r="BV1228" i="1"/>
  <c r="BW1228" i="1" s="1"/>
  <c r="AU1422" i="1"/>
  <c r="BV59" i="1"/>
  <c r="BW59" i="1" s="1"/>
  <c r="BV70" i="1"/>
  <c r="S70" i="1" s="1"/>
  <c r="BR70" i="1" s="1"/>
  <c r="CM102" i="1"/>
  <c r="BV557" i="1"/>
  <c r="S557" i="1" s="1"/>
  <c r="BR557" i="1" s="1"/>
  <c r="CM1116" i="1"/>
  <c r="CM1204" i="1"/>
  <c r="BV1427" i="1"/>
  <c r="S1427" i="1" s="1"/>
  <c r="BR1427" i="1" s="1"/>
  <c r="BV57" i="1"/>
  <c r="S57" i="1" s="1"/>
  <c r="BR57" i="1" s="1"/>
  <c r="BV72" i="1"/>
  <c r="S72" i="1" s="1"/>
  <c r="BR72" i="1" s="1"/>
  <c r="CM698" i="1"/>
  <c r="CM846" i="1"/>
  <c r="BV999" i="1"/>
  <c r="BQ999" i="1" s="1"/>
  <c r="BT999" i="1" s="1"/>
  <c r="BV1011" i="1"/>
  <c r="S1011" i="1" s="1"/>
  <c r="BR1011" i="1" s="1"/>
  <c r="CM35" i="1"/>
  <c r="BV46" i="1"/>
  <c r="BQ46" i="1" s="1"/>
  <c r="CM180" i="1"/>
  <c r="BV230" i="1"/>
  <c r="BQ230" i="1" s="1"/>
  <c r="BT230" i="1" s="1"/>
  <c r="BV330" i="1"/>
  <c r="BW330" i="1" s="1"/>
  <c r="BV433" i="1"/>
  <c r="BW433" i="1" s="1"/>
  <c r="CM588" i="1"/>
  <c r="BV1432" i="1"/>
  <c r="BQ1432" i="1" s="1"/>
  <c r="BO1432" i="1" s="1"/>
  <c r="CM33" i="1"/>
  <c r="CM70" i="1"/>
  <c r="BV185" i="1"/>
  <c r="BQ185" i="1" s="1"/>
  <c r="BT185" i="1" s="1"/>
  <c r="CM478" i="1"/>
  <c r="CM679" i="1"/>
  <c r="BV751" i="1"/>
  <c r="BW751" i="1" s="1"/>
  <c r="AU782" i="1"/>
  <c r="CM844" i="1"/>
  <c r="CM944" i="1"/>
  <c r="BV1269" i="1"/>
  <c r="BW1269" i="1" s="1"/>
  <c r="BV216" i="1"/>
  <c r="S216" i="1" s="1"/>
  <c r="BR216" i="1" s="1"/>
  <c r="CM242" i="1"/>
  <c r="CM292" i="1"/>
  <c r="BV297" i="1"/>
  <c r="S297" i="1" s="1"/>
  <c r="BR297" i="1" s="1"/>
  <c r="CM378" i="1"/>
  <c r="AU414" i="1"/>
  <c r="CM1128" i="1"/>
  <c r="CM1147" i="1"/>
  <c r="BV1365" i="1"/>
  <c r="S1365" i="1" s="1"/>
  <c r="BR1365" i="1" s="1"/>
  <c r="BV16" i="1"/>
  <c r="BW16" i="1" s="1"/>
  <c r="BV83" i="1"/>
  <c r="S83" i="1" s="1"/>
  <c r="BR83" i="1" s="1"/>
  <c r="BV98" i="1"/>
  <c r="BQ98" i="1" s="1"/>
  <c r="CM660" i="1"/>
  <c r="BV665" i="1"/>
  <c r="BQ665" i="1" s="1"/>
  <c r="BT665" i="1" s="1"/>
  <c r="CM672" i="1"/>
  <c r="CM684" i="1"/>
  <c r="CM1269" i="1"/>
  <c r="BV1401" i="1"/>
  <c r="BQ1401" i="1" s="1"/>
  <c r="CM9" i="1"/>
  <c r="AU859" i="1"/>
  <c r="BV152" i="1"/>
  <c r="S152" i="1" s="1"/>
  <c r="BR152" i="1" s="1"/>
  <c r="BV159" i="1"/>
  <c r="S159" i="1" s="1"/>
  <c r="BR159" i="1" s="1"/>
  <c r="BV171" i="1"/>
  <c r="BW171" i="1" s="1"/>
  <c r="CM178" i="1"/>
  <c r="BV263" i="1"/>
  <c r="BW263" i="1" s="1"/>
  <c r="CM284" i="1"/>
  <c r="CM310" i="1"/>
  <c r="CM317" i="1"/>
  <c r="CM343" i="1"/>
  <c r="CM475" i="1"/>
  <c r="CM494" i="1"/>
  <c r="CM537" i="1"/>
  <c r="BV625" i="1"/>
  <c r="S625" i="1" s="1"/>
  <c r="BR625" i="1" s="1"/>
  <c r="CM653" i="1"/>
  <c r="AU677" i="1"/>
  <c r="CM786" i="1"/>
  <c r="BV810" i="1"/>
  <c r="BW810" i="1" s="1"/>
  <c r="CM885" i="1"/>
  <c r="BV890" i="1"/>
  <c r="BW890" i="1" s="1"/>
  <c r="CM897" i="1"/>
  <c r="CM954" i="1"/>
  <c r="CM999" i="1"/>
  <c r="BV1044" i="1"/>
  <c r="BW1044" i="1" s="1"/>
  <c r="CM1167" i="1"/>
  <c r="BV1191" i="1"/>
  <c r="BW1191" i="1" s="1"/>
  <c r="CM1198" i="1"/>
  <c r="BV1362" i="1"/>
  <c r="BW1362" i="1" s="1"/>
  <c r="BV1393" i="1"/>
  <c r="BW1393" i="1" s="1"/>
  <c r="CM1438" i="1"/>
  <c r="CM580" i="1"/>
  <c r="AU760" i="1"/>
  <c r="CM1288" i="1"/>
  <c r="AU1300" i="1"/>
  <c r="BV62" i="1"/>
  <c r="S62" i="1" s="1"/>
  <c r="BR62" i="1" s="1"/>
  <c r="BV88" i="1"/>
  <c r="S88" i="1" s="1"/>
  <c r="BR88" i="1" s="1"/>
  <c r="BV97" i="1"/>
  <c r="BQ97" i="1" s="1"/>
  <c r="BT97" i="1" s="1"/>
  <c r="CM126" i="1"/>
  <c r="BV327" i="1"/>
  <c r="S327" i="1" s="1"/>
  <c r="BR327" i="1" s="1"/>
  <c r="BV405" i="1"/>
  <c r="BW405" i="1" s="1"/>
  <c r="CM438" i="1"/>
  <c r="CM466" i="1"/>
  <c r="BV485" i="1"/>
  <c r="S485" i="1" s="1"/>
  <c r="BR485" i="1" s="1"/>
  <c r="BV509" i="1"/>
  <c r="S509" i="1" s="1"/>
  <c r="BR509" i="1" s="1"/>
  <c r="CM535" i="1"/>
  <c r="CM573" i="1"/>
  <c r="BV578" i="1"/>
  <c r="S578" i="1" s="1"/>
  <c r="BR578" i="1" s="1"/>
  <c r="CM604" i="1"/>
  <c r="BV623" i="1"/>
  <c r="S623" i="1" s="1"/>
  <c r="BR623" i="1" s="1"/>
  <c r="CM670" i="1"/>
  <c r="BV725" i="1"/>
  <c r="S725" i="1" s="1"/>
  <c r="BR725" i="1" s="1"/>
  <c r="CM784" i="1"/>
  <c r="BV907" i="1"/>
  <c r="BQ907" i="1" s="1"/>
  <c r="BT907" i="1" s="1"/>
  <c r="BV914" i="1"/>
  <c r="BQ914" i="1" s="1"/>
  <c r="BT914" i="1" s="1"/>
  <c r="CM997" i="1"/>
  <c r="CM1134" i="1"/>
  <c r="BV1146" i="1"/>
  <c r="S1146" i="1" s="1"/>
  <c r="BR1146" i="1" s="1"/>
  <c r="CE1146" i="1" s="1"/>
  <c r="CM1184" i="1"/>
  <c r="CM1248" i="1"/>
  <c r="CM1405" i="1"/>
  <c r="BV1410" i="1"/>
  <c r="S1410" i="1" s="1"/>
  <c r="BR1410" i="1" s="1"/>
  <c r="CE1410" i="1" s="1"/>
  <c r="CM1462" i="1"/>
  <c r="BV1467" i="1"/>
  <c r="BQ1467" i="1" s="1"/>
  <c r="BT1467" i="1" s="1"/>
  <c r="BV1493" i="1"/>
  <c r="BW1493" i="1" s="1"/>
  <c r="CM62" i="1"/>
  <c r="CM143" i="1"/>
  <c r="BV242" i="1"/>
  <c r="S242" i="1" s="1"/>
  <c r="BR242" i="1" s="1"/>
  <c r="CM275" i="1"/>
  <c r="CM459" i="1"/>
  <c r="BV464" i="1"/>
  <c r="BW464" i="1" s="1"/>
  <c r="CM485" i="1"/>
  <c r="BV490" i="1"/>
  <c r="S490" i="1" s="1"/>
  <c r="BR490" i="1" s="1"/>
  <c r="CM497" i="1"/>
  <c r="CM528" i="1"/>
  <c r="CM540" i="1"/>
  <c r="BV602" i="1"/>
  <c r="S602" i="1" s="1"/>
  <c r="BR602" i="1" s="1"/>
  <c r="CM644" i="1"/>
  <c r="BV668" i="1"/>
  <c r="BW668" i="1" s="1"/>
  <c r="CM675" i="1"/>
  <c r="BV694" i="1"/>
  <c r="BW694" i="1" s="1"/>
  <c r="BV706" i="1"/>
  <c r="S706" i="1" s="1"/>
  <c r="BR706" i="1" s="1"/>
  <c r="BV718" i="1"/>
  <c r="S718" i="1" s="1"/>
  <c r="BR718" i="1" s="1"/>
  <c r="BV770" i="1"/>
  <c r="BW770" i="1" s="1"/>
  <c r="CM777" i="1"/>
  <c r="CM796" i="1"/>
  <c r="AU801" i="1"/>
  <c r="CM829" i="1"/>
  <c r="BV841" i="1"/>
  <c r="S841" i="1" s="1"/>
  <c r="BR841" i="1" s="1"/>
  <c r="BV926" i="1"/>
  <c r="BQ926" i="1" s="1"/>
  <c r="CM1009" i="1"/>
  <c r="CM1056" i="1"/>
  <c r="BV1092" i="1"/>
  <c r="BQ1092" i="1" s="1"/>
  <c r="BT1092" i="1" s="1"/>
  <c r="CM1099" i="1"/>
  <c r="BV1104" i="1"/>
  <c r="S1104" i="1" s="1"/>
  <c r="BR1104" i="1" s="1"/>
  <c r="CE1104" i="1" s="1"/>
  <c r="BV1151" i="1"/>
  <c r="BQ1151" i="1" s="1"/>
  <c r="BT1151" i="1" s="1"/>
  <c r="BV1163" i="1"/>
  <c r="BQ1163" i="1" s="1"/>
  <c r="BV1182" i="1"/>
  <c r="BW1182" i="1" s="1"/>
  <c r="BV1279" i="1"/>
  <c r="S1279" i="1" s="1"/>
  <c r="BR1279" i="1" s="1"/>
  <c r="BV1298" i="1"/>
  <c r="S1298" i="1" s="1"/>
  <c r="BR1298" i="1" s="1"/>
  <c r="CE1298" i="1" s="1"/>
  <c r="CM1336" i="1"/>
  <c r="BV1434" i="1"/>
  <c r="BW1434" i="1" s="1"/>
  <c r="BV1448" i="1"/>
  <c r="BW1448" i="1" s="1"/>
  <c r="CM1455" i="1"/>
  <c r="AU1460" i="1"/>
  <c r="CM1474" i="1"/>
  <c r="CM169" i="1"/>
  <c r="BV893" i="1"/>
  <c r="BW893" i="1" s="1"/>
  <c r="CM1042" i="1"/>
  <c r="BV1479" i="1"/>
  <c r="S1479" i="1" s="1"/>
  <c r="BR1479" i="1" s="1"/>
  <c r="CM26" i="1"/>
  <c r="BV247" i="1"/>
  <c r="S247" i="1" s="1"/>
  <c r="BR247" i="1" s="1"/>
  <c r="BV318" i="1"/>
  <c r="BQ318" i="1" s="1"/>
  <c r="CM351" i="1"/>
  <c r="AU382" i="1"/>
  <c r="BV448" i="1"/>
  <c r="S448" i="1" s="1"/>
  <c r="BR448" i="1" s="1"/>
  <c r="CM564" i="1"/>
  <c r="BV569" i="1"/>
  <c r="S569" i="1" s="1"/>
  <c r="BR569" i="1" s="1"/>
  <c r="CM614" i="1"/>
  <c r="BV654" i="1"/>
  <c r="BQ654" i="1" s="1"/>
  <c r="BV692" i="1"/>
  <c r="BW692" i="1" s="1"/>
  <c r="CM744" i="1"/>
  <c r="CM801" i="1"/>
  <c r="CM820" i="1"/>
  <c r="CM834" i="1"/>
  <c r="BV886" i="1"/>
  <c r="BW886" i="1" s="1"/>
  <c r="CM893" i="1"/>
  <c r="BV898" i="1"/>
  <c r="S898" i="1" s="1"/>
  <c r="BR898" i="1" s="1"/>
  <c r="CE898" i="1" s="1"/>
  <c r="BV936" i="1"/>
  <c r="BW936" i="1" s="1"/>
  <c r="BV1059" i="1"/>
  <c r="S1059" i="1" s="1"/>
  <c r="BR1059" i="1" s="1"/>
  <c r="CM1066" i="1"/>
  <c r="BV1187" i="1"/>
  <c r="S1187" i="1" s="1"/>
  <c r="BR1187" i="1" s="1"/>
  <c r="BV1199" i="1"/>
  <c r="BW1199" i="1" s="1"/>
  <c r="CM1310" i="1"/>
  <c r="BV1315" i="1"/>
  <c r="BQ1315" i="1" s="1"/>
  <c r="CM1365" i="1"/>
  <c r="AU1498" i="1"/>
  <c r="BV195" i="1"/>
  <c r="BQ195" i="1" s="1"/>
  <c r="BT195" i="1" s="1"/>
  <c r="BV202" i="1"/>
  <c r="S202" i="1" s="1"/>
  <c r="BR202" i="1" s="1"/>
  <c r="CM228" i="1"/>
  <c r="BV278" i="1"/>
  <c r="S278" i="1" s="1"/>
  <c r="BR278" i="1" s="1"/>
  <c r="BV304" i="1"/>
  <c r="BQ304" i="1" s="1"/>
  <c r="CM325" i="1"/>
  <c r="CM375" i="1"/>
  <c r="CM415" i="1"/>
  <c r="BV462" i="1"/>
  <c r="S462" i="1" s="1"/>
  <c r="BR462" i="1" s="1"/>
  <c r="CM495" i="1"/>
  <c r="CM507" i="1"/>
  <c r="BV512" i="1"/>
  <c r="S512" i="1" s="1"/>
  <c r="BR512" i="1" s="1"/>
  <c r="BV600" i="1"/>
  <c r="BQ600" i="1" s="1"/>
  <c r="BO600" i="1" s="1"/>
  <c r="BV633" i="1"/>
  <c r="BW633" i="1" s="1"/>
  <c r="CM642" i="1"/>
  <c r="CM680" i="1"/>
  <c r="CM699" i="1"/>
  <c r="BV704" i="1"/>
  <c r="S704" i="1" s="1"/>
  <c r="BR704" i="1" s="1"/>
  <c r="CM711" i="1"/>
  <c r="BV768" i="1"/>
  <c r="BW768" i="1" s="1"/>
  <c r="CM775" i="1"/>
  <c r="CM794" i="1"/>
  <c r="BV799" i="1"/>
  <c r="BQ799" i="1" s="1"/>
  <c r="BT799" i="1" s="1"/>
  <c r="CM912" i="1"/>
  <c r="CM1007" i="1"/>
  <c r="BV1012" i="1"/>
  <c r="BW1012" i="1" s="1"/>
  <c r="CM1085" i="1"/>
  <c r="CM1109" i="1"/>
  <c r="BV1149" i="1"/>
  <c r="BW1149" i="1" s="1"/>
  <c r="CM1156" i="1"/>
  <c r="BV1180" i="1"/>
  <c r="BQ1180" i="1" s="1"/>
  <c r="CM1251" i="1"/>
  <c r="BV1277" i="1"/>
  <c r="S1277" i="1" s="1"/>
  <c r="BR1277" i="1" s="1"/>
  <c r="BV1289" i="1"/>
  <c r="BW1289" i="1" s="1"/>
  <c r="CM1453" i="1"/>
  <c r="CM1358" i="1"/>
  <c r="CM134" i="1"/>
  <c r="CM186" i="1"/>
  <c r="CM202" i="1"/>
  <c r="CM214" i="1"/>
  <c r="CM304" i="1"/>
  <c r="BV373" i="1"/>
  <c r="S373" i="1" s="1"/>
  <c r="BR373" i="1" s="1"/>
  <c r="CM387" i="1"/>
  <c r="AU453" i="1"/>
  <c r="CM500" i="1"/>
  <c r="BV505" i="1"/>
  <c r="BW505" i="1" s="1"/>
  <c r="BV517" i="1"/>
  <c r="S517" i="1" s="1"/>
  <c r="BR517" i="1" s="1"/>
  <c r="BV574" i="1"/>
  <c r="S574" i="1" s="1"/>
  <c r="BR574" i="1" s="1"/>
  <c r="CM619" i="1"/>
  <c r="CM666" i="1"/>
  <c r="CM716" i="1"/>
  <c r="BV721" i="1"/>
  <c r="BW721" i="1" s="1"/>
  <c r="CM768" i="1"/>
  <c r="CM780" i="1"/>
  <c r="CM799" i="1"/>
  <c r="CM860" i="1"/>
  <c r="CM936" i="1"/>
  <c r="AU960" i="1"/>
  <c r="CM993" i="1"/>
  <c r="CM1012" i="1"/>
  <c r="BV1031" i="1"/>
  <c r="S1031" i="1" s="1"/>
  <c r="BR1031" i="1" s="1"/>
  <c r="BV1038" i="1"/>
  <c r="BQ1038" i="1" s="1"/>
  <c r="CM1071" i="1"/>
  <c r="BV1076" i="1"/>
  <c r="BW1076" i="1" s="1"/>
  <c r="BV1107" i="1"/>
  <c r="BW1107" i="1" s="1"/>
  <c r="BV1154" i="1"/>
  <c r="BQ1154" i="1" s="1"/>
  <c r="CM1161" i="1"/>
  <c r="AU1204" i="1"/>
  <c r="AU1223" i="1"/>
  <c r="CM1256" i="1"/>
  <c r="CM1270" i="1"/>
  <c r="CM1382" i="1"/>
  <c r="CM1477" i="1"/>
  <c r="CM127" i="1"/>
  <c r="BV158" i="1"/>
  <c r="S158" i="1" s="1"/>
  <c r="BR158" i="1" s="1"/>
  <c r="CM207" i="1"/>
  <c r="BV212" i="1"/>
  <c r="S212" i="1" s="1"/>
  <c r="BR212" i="1" s="1"/>
  <c r="AU219" i="1"/>
  <c r="BV302" i="1"/>
  <c r="BQ302" i="1" s="1"/>
  <c r="CM323" i="1"/>
  <c r="BV335" i="1"/>
  <c r="S335" i="1" s="1"/>
  <c r="BR335" i="1" s="1"/>
  <c r="BV399" i="1"/>
  <c r="BW399" i="1" s="1"/>
  <c r="CM453" i="1"/>
  <c r="CM481" i="1"/>
  <c r="BV486" i="1"/>
  <c r="BQ486" i="1" s="1"/>
  <c r="CM493" i="1"/>
  <c r="CM536" i="1"/>
  <c r="BV548" i="1"/>
  <c r="S548" i="1" s="1"/>
  <c r="BR548" i="1" s="1"/>
  <c r="CM678" i="1"/>
  <c r="CM709" i="1"/>
  <c r="CM721" i="1"/>
  <c r="BV726" i="1"/>
  <c r="BW726" i="1" s="1"/>
  <c r="CM761" i="1"/>
  <c r="BV766" i="1"/>
  <c r="BQ766" i="1" s="1"/>
  <c r="CM785" i="1"/>
  <c r="CM818" i="1"/>
  <c r="BV915" i="1"/>
  <c r="S915" i="1" s="1"/>
  <c r="BR915" i="1" s="1"/>
  <c r="CM929" i="1"/>
  <c r="BV934" i="1"/>
  <c r="BW934" i="1" s="1"/>
  <c r="CM948" i="1"/>
  <c r="AU953" i="1"/>
  <c r="CM1024" i="1"/>
  <c r="BV1050" i="1"/>
  <c r="BW1050" i="1" s="1"/>
  <c r="CM1107" i="1"/>
  <c r="BV1119" i="1"/>
  <c r="S1119" i="1" s="1"/>
  <c r="BR1119" i="1" s="1"/>
  <c r="CM1154" i="1"/>
  <c r="AU1159" i="1"/>
  <c r="CM1282" i="1"/>
  <c r="CM1332" i="1"/>
  <c r="CM1451" i="1"/>
  <c r="CM1496" i="1"/>
  <c r="CM567" i="1"/>
  <c r="BV572" i="1"/>
  <c r="BW572" i="1" s="1"/>
  <c r="BV683" i="1"/>
  <c r="BW683" i="1" s="1"/>
  <c r="CM690" i="1"/>
  <c r="BV695" i="1"/>
  <c r="BQ695" i="1" s="1"/>
  <c r="BO695" i="1" s="1"/>
  <c r="BV830" i="1"/>
  <c r="S830" i="1" s="1"/>
  <c r="BR830" i="1" s="1"/>
  <c r="CM865" i="1"/>
  <c r="CM896" i="1"/>
  <c r="BV977" i="1"/>
  <c r="BW977" i="1" s="1"/>
  <c r="BV1062" i="1"/>
  <c r="S1062" i="1" s="1"/>
  <c r="BR1062" i="1" s="1"/>
  <c r="CE1062" i="1" s="1"/>
  <c r="CM1268" i="1"/>
  <c r="BV1306" i="1"/>
  <c r="BW1306" i="1" s="1"/>
  <c r="CM1313" i="1"/>
  <c r="CM1344" i="1"/>
  <c r="BV1482" i="1"/>
  <c r="BQ1482" i="1" s="1"/>
  <c r="BV36" i="1"/>
  <c r="BW36" i="1" s="1"/>
  <c r="CM38" i="1"/>
  <c r="AU107" i="1"/>
  <c r="CM109" i="1"/>
  <c r="CM184" i="1"/>
  <c r="CM81" i="1"/>
  <c r="BV87" i="1"/>
  <c r="BW87" i="1" s="1"/>
  <c r="BV89" i="1"/>
  <c r="S89" i="1" s="1"/>
  <c r="BR89" i="1" s="1"/>
  <c r="CM125" i="1"/>
  <c r="BV236" i="1"/>
  <c r="S236" i="1" s="1"/>
  <c r="BR236" i="1" s="1"/>
  <c r="CM262" i="1"/>
  <c r="CM295" i="1"/>
  <c r="CM359" i="1"/>
  <c r="CM411" i="1"/>
  <c r="CM479" i="1"/>
  <c r="BV565" i="1"/>
  <c r="BW565" i="1" s="1"/>
  <c r="BV622" i="1"/>
  <c r="S622" i="1" s="1"/>
  <c r="BR622" i="1" s="1"/>
  <c r="CM657" i="1"/>
  <c r="BV731" i="1"/>
  <c r="S731" i="1" s="1"/>
  <c r="BR731" i="1" s="1"/>
  <c r="BV745" i="1"/>
  <c r="BW745" i="1" s="1"/>
  <c r="CM790" i="1"/>
  <c r="BV802" i="1"/>
  <c r="BQ802" i="1" s="1"/>
  <c r="BV814" i="1"/>
  <c r="S814" i="1" s="1"/>
  <c r="BR814" i="1" s="1"/>
  <c r="BV821" i="1"/>
  <c r="BQ821" i="1" s="1"/>
  <c r="BO821" i="1" s="1"/>
  <c r="CM870" i="1"/>
  <c r="CM877" i="1"/>
  <c r="BV951" i="1"/>
  <c r="BW951" i="1" s="1"/>
  <c r="CM970" i="1"/>
  <c r="BV982" i="1"/>
  <c r="S982" i="1" s="1"/>
  <c r="BR982" i="1" s="1"/>
  <c r="CE982" i="1" s="1"/>
  <c r="BV1124" i="1"/>
  <c r="BW1124" i="1" s="1"/>
  <c r="BV1152" i="1"/>
  <c r="S1152" i="1" s="1"/>
  <c r="BR1152" i="1" s="1"/>
  <c r="CE1152" i="1" s="1"/>
  <c r="BV1164" i="1"/>
  <c r="BW1164" i="1" s="1"/>
  <c r="BV1176" i="1"/>
  <c r="BQ1176" i="1" s="1"/>
  <c r="CM1306" i="1"/>
  <c r="BV1311" i="1"/>
  <c r="BQ1311" i="1" s="1"/>
  <c r="CM1318" i="1"/>
  <c r="BV1323" i="1"/>
  <c r="BQ1323" i="1" s="1"/>
  <c r="BT1323" i="1" s="1"/>
  <c r="CM6" i="1"/>
  <c r="CM10" i="1"/>
  <c r="AL17" i="1"/>
  <c r="AM17" i="1" s="1"/>
  <c r="CM36" i="1"/>
  <c r="BV63" i="1"/>
  <c r="BQ63" i="1" s="1"/>
  <c r="BO63" i="1" s="1"/>
  <c r="CM87" i="1"/>
  <c r="AU96" i="1"/>
  <c r="BV103" i="1"/>
  <c r="BQ103" i="1" s="1"/>
  <c r="BT103" i="1" s="1"/>
  <c r="BV112" i="1"/>
  <c r="BQ112" i="1" s="1"/>
  <c r="BV123" i="1"/>
  <c r="S123" i="1" s="1"/>
  <c r="BR123" i="1" s="1"/>
  <c r="CM163" i="1"/>
  <c r="BV168" i="1"/>
  <c r="S168" i="1" s="1"/>
  <c r="BR168" i="1" s="1"/>
  <c r="CM236" i="1"/>
  <c r="CM255" i="1"/>
  <c r="BV369" i="1"/>
  <c r="S369" i="1" s="1"/>
  <c r="BR369" i="1" s="1"/>
  <c r="BV520" i="1"/>
  <c r="S520" i="1" s="1"/>
  <c r="BR520" i="1" s="1"/>
  <c r="CM527" i="1"/>
  <c r="BV589" i="1"/>
  <c r="BW589" i="1" s="1"/>
  <c r="CM688" i="1"/>
  <c r="BV736" i="1"/>
  <c r="S736" i="1" s="1"/>
  <c r="BR736" i="1" s="1"/>
  <c r="CM745" i="1"/>
  <c r="BV757" i="1"/>
  <c r="S757" i="1" s="1"/>
  <c r="BR757" i="1" s="1"/>
  <c r="CM828" i="1"/>
  <c r="CM894" i="1"/>
  <c r="CM932" i="1"/>
  <c r="BV944" i="1"/>
  <c r="BW944" i="1" s="1"/>
  <c r="CM951" i="1"/>
  <c r="CM963" i="1"/>
  <c r="AU975" i="1"/>
  <c r="CM1048" i="1"/>
  <c r="AU1233" i="1"/>
  <c r="CM1240" i="1"/>
  <c r="CM1354" i="1"/>
  <c r="AU1359" i="1"/>
  <c r="AU1409" i="1"/>
  <c r="BV1440" i="1"/>
  <c r="BW1440" i="1" s="1"/>
  <c r="CM1487" i="1"/>
  <c r="BV1492" i="1"/>
  <c r="BW1492" i="1" s="1"/>
  <c r="CM25" i="1"/>
  <c r="BV41" i="1"/>
  <c r="S41" i="1" s="1"/>
  <c r="BR41" i="1" s="1"/>
  <c r="CM49" i="1"/>
  <c r="CM96" i="1"/>
  <c r="BV135" i="1"/>
  <c r="S135" i="1" s="1"/>
  <c r="BR135" i="1" s="1"/>
  <c r="CM198" i="1"/>
  <c r="AU241" i="1"/>
  <c r="BV312" i="1"/>
  <c r="S312" i="1" s="1"/>
  <c r="BR312" i="1" s="1"/>
  <c r="CM326" i="1"/>
  <c r="CM390" i="1"/>
  <c r="CM397" i="1"/>
  <c r="BV456" i="1"/>
  <c r="S456" i="1" s="1"/>
  <c r="BR456" i="1" s="1"/>
  <c r="CM484" i="1"/>
  <c r="BV532" i="1"/>
  <c r="S532" i="1" s="1"/>
  <c r="BR532" i="1" s="1"/>
  <c r="CM577" i="1"/>
  <c r="CM596" i="1"/>
  <c r="BV601" i="1"/>
  <c r="BW601" i="1" s="1"/>
  <c r="CM608" i="1"/>
  <c r="BV620" i="1"/>
  <c r="BQ620" i="1" s="1"/>
  <c r="BT620" i="1" s="1"/>
  <c r="BV634" i="1"/>
  <c r="S634" i="1" s="1"/>
  <c r="BR634" i="1" s="1"/>
  <c r="CM643" i="1"/>
  <c r="BV667" i="1"/>
  <c r="S667" i="1" s="1"/>
  <c r="BR667" i="1" s="1"/>
  <c r="CM674" i="1"/>
  <c r="CM681" i="1"/>
  <c r="CM700" i="1"/>
  <c r="BV717" i="1"/>
  <c r="BW717" i="1" s="1"/>
  <c r="CM738" i="1"/>
  <c r="BV800" i="1"/>
  <c r="BQ800" i="1" s="1"/>
  <c r="BT800" i="1" s="1"/>
  <c r="CM1008" i="1"/>
  <c r="BV1020" i="1"/>
  <c r="BW1020" i="1" s="1"/>
  <c r="CM1157" i="1"/>
  <c r="BV1162" i="1"/>
  <c r="BW1162" i="1" s="1"/>
  <c r="CM1233" i="1"/>
  <c r="BV1383" i="1"/>
  <c r="S1383" i="1" s="1"/>
  <c r="BR1383" i="1" s="1"/>
  <c r="AU1402" i="1"/>
  <c r="CM1428" i="1"/>
  <c r="BV1433" i="1"/>
  <c r="BW1433" i="1" s="1"/>
  <c r="BV1477" i="1"/>
  <c r="BQ1477" i="1" s="1"/>
  <c r="BT1477" i="1" s="1"/>
  <c r="CM123" i="1"/>
  <c r="CM203" i="1"/>
  <c r="AU265" i="1"/>
  <c r="BV291" i="1"/>
  <c r="BQ291" i="1" s="1"/>
  <c r="BT291" i="1" s="1"/>
  <c r="BV298" i="1"/>
  <c r="S298" i="1" s="1"/>
  <c r="BR298" i="1" s="1"/>
  <c r="CM369" i="1"/>
  <c r="AU482" i="1"/>
  <c r="CM513" i="1"/>
  <c r="CM532" i="1"/>
  <c r="CM544" i="1"/>
  <c r="BV575" i="1"/>
  <c r="BQ575" i="1" s="1"/>
  <c r="BT575" i="1" s="1"/>
  <c r="BV587" i="1"/>
  <c r="S587" i="1" s="1"/>
  <c r="BR587" i="1" s="1"/>
  <c r="BV594" i="1"/>
  <c r="BQ594" i="1" s="1"/>
  <c r="BO594" i="1" s="1"/>
  <c r="CM648" i="1"/>
  <c r="CM705" i="1"/>
  <c r="CM840" i="1"/>
  <c r="BV847" i="1"/>
  <c r="S847" i="1" s="1"/>
  <c r="BR847" i="1" s="1"/>
  <c r="AU904" i="1"/>
  <c r="BV973" i="1"/>
  <c r="BW973" i="1" s="1"/>
  <c r="CM1013" i="1"/>
  <c r="BV1025" i="1"/>
  <c r="S1025" i="1" s="1"/>
  <c r="BR1025" i="1" s="1"/>
  <c r="BV1077" i="1"/>
  <c r="BW1077" i="1" s="1"/>
  <c r="BV1084" i="1"/>
  <c r="S1084" i="1" s="1"/>
  <c r="BR1084" i="1" s="1"/>
  <c r="CE1084" i="1" s="1"/>
  <c r="CM1091" i="1"/>
  <c r="BV1136" i="1"/>
  <c r="S1136" i="1" s="1"/>
  <c r="BR1136" i="1" s="1"/>
  <c r="CE1136" i="1" s="1"/>
  <c r="BV1205" i="1"/>
  <c r="S1205" i="1" s="1"/>
  <c r="BR1205" i="1" s="1"/>
  <c r="CM1257" i="1"/>
  <c r="BV1283" i="1"/>
  <c r="BW1283" i="1" s="1"/>
  <c r="CM1290" i="1"/>
  <c r="CM1297" i="1"/>
  <c r="BV1333" i="1"/>
  <c r="S1333" i="1" s="1"/>
  <c r="BR1333" i="1" s="1"/>
  <c r="BV1407" i="1"/>
  <c r="S1407" i="1" s="1"/>
  <c r="BR1407" i="1" s="1"/>
  <c r="CM1433" i="1"/>
  <c r="CM1459" i="1"/>
  <c r="BV1497" i="1"/>
  <c r="S1497" i="1" s="1"/>
  <c r="BR1497" i="1" s="1"/>
  <c r="BV1490" i="1"/>
  <c r="BQ1490" i="1" s="1"/>
  <c r="AH47" i="1"/>
  <c r="AK47" i="1" s="1"/>
  <c r="AH50" i="1"/>
  <c r="AK50" i="1" s="1"/>
  <c r="AK51" i="1"/>
  <c r="AH71" i="1"/>
  <c r="AK71" i="1" s="1"/>
  <c r="CM335" i="1"/>
  <c r="CM652" i="1"/>
  <c r="CM300" i="1"/>
  <c r="AU305" i="1"/>
  <c r="AU1212" i="1"/>
  <c r="BV1212" i="1"/>
  <c r="BQ1212" i="1" s="1"/>
  <c r="AU815" i="1"/>
  <c r="BV815" i="1"/>
  <c r="BQ815" i="1" s="1"/>
  <c r="DA77" i="1"/>
  <c r="CM487" i="1"/>
  <c r="CM508" i="1"/>
  <c r="CM1138" i="1"/>
  <c r="AU1226" i="1"/>
  <c r="CM293" i="1"/>
  <c r="AU321" i="1"/>
  <c r="BV20" i="1"/>
  <c r="BW20" i="1" s="1"/>
  <c r="CM37" i="1"/>
  <c r="BV44" i="1"/>
  <c r="BW44" i="1" s="1"/>
  <c r="BV52" i="1"/>
  <c r="S52" i="1" s="1"/>
  <c r="BR52" i="1" s="1"/>
  <c r="CM68" i="1"/>
  <c r="CM92" i="1"/>
  <c r="BV270" i="1"/>
  <c r="BW270" i="1" s="1"/>
  <c r="CM272" i="1"/>
  <c r="BV349" i="1"/>
  <c r="S349" i="1" s="1"/>
  <c r="BR349" i="1" s="1"/>
  <c r="CM363" i="1"/>
  <c r="BV375" i="1"/>
  <c r="BQ375" i="1" s="1"/>
  <c r="BV396" i="1"/>
  <c r="S396" i="1" s="1"/>
  <c r="BR396" i="1" s="1"/>
  <c r="CM417" i="1"/>
  <c r="BV422" i="1"/>
  <c r="BQ422" i="1" s="1"/>
  <c r="BT422" i="1" s="1"/>
  <c r="BV443" i="1"/>
  <c r="BW443" i="1" s="1"/>
  <c r="BV450" i="1"/>
  <c r="BW450" i="1" s="1"/>
  <c r="CM739" i="1"/>
  <c r="BV784" i="1"/>
  <c r="S784" i="1" s="1"/>
  <c r="BR784" i="1" s="1"/>
  <c r="BV831" i="1"/>
  <c r="BW831" i="1" s="1"/>
  <c r="CM880" i="1"/>
  <c r="CM1061" i="1"/>
  <c r="CM1226" i="1"/>
  <c r="AU1245" i="1"/>
  <c r="BV1257" i="1"/>
  <c r="S1257" i="1" s="1"/>
  <c r="BR1257" i="1" s="1"/>
  <c r="CM1491" i="1"/>
  <c r="CM50" i="1"/>
  <c r="AU28" i="1"/>
  <c r="CM235" i="1"/>
  <c r="CM354" i="1"/>
  <c r="AU1132" i="1"/>
  <c r="CM16" i="1"/>
  <c r="AU664" i="1"/>
  <c r="AU249" i="1"/>
  <c r="AU282" i="1"/>
  <c r="CM361" i="1"/>
  <c r="BV1172" i="1"/>
  <c r="S1172" i="1" s="1"/>
  <c r="BR1172" i="1" s="1"/>
  <c r="CE1172" i="1" s="1"/>
  <c r="BV1397" i="1"/>
  <c r="BQ1397" i="1" s="1"/>
  <c r="BT1397" i="1" s="1"/>
  <c r="AU240" i="1"/>
  <c r="AU275" i="1"/>
  <c r="CM636" i="1"/>
  <c r="CM582" i="1"/>
  <c r="AU775" i="1"/>
  <c r="BV1326" i="1"/>
  <c r="S1326" i="1" s="1"/>
  <c r="BR1326" i="1" s="1"/>
  <c r="CE1326" i="1" s="1"/>
  <c r="CM149" i="1"/>
  <c r="AU205" i="1"/>
  <c r="BV385" i="1"/>
  <c r="BW385" i="1" s="1"/>
  <c r="AU641" i="1"/>
  <c r="AU681" i="1"/>
  <c r="AU1015" i="1"/>
  <c r="AU1057" i="1"/>
  <c r="CM1104" i="1"/>
  <c r="AU280" i="1"/>
  <c r="CM542" i="1"/>
  <c r="BV573" i="1"/>
  <c r="BQ573" i="1" s="1"/>
  <c r="BV714" i="1"/>
  <c r="BQ714" i="1" s="1"/>
  <c r="AU761" i="1"/>
  <c r="CM1165" i="1"/>
  <c r="CM1196" i="1"/>
  <c r="CM1371" i="1"/>
  <c r="AU106" i="1"/>
  <c r="BV117" i="1"/>
  <c r="S117" i="1" s="1"/>
  <c r="BR117" i="1" s="1"/>
  <c r="BV126" i="1"/>
  <c r="S126" i="1" s="1"/>
  <c r="BR126" i="1" s="1"/>
  <c r="CM135" i="1"/>
  <c r="CM168" i="1"/>
  <c r="BV252" i="1"/>
  <c r="BQ252" i="1" s="1"/>
  <c r="BV259" i="1"/>
  <c r="BQ259" i="1" s="1"/>
  <c r="BT259" i="1" s="1"/>
  <c r="CM266" i="1"/>
  <c r="BV336" i="1"/>
  <c r="BQ336" i="1" s="1"/>
  <c r="CM345" i="1"/>
  <c r="CM352" i="1"/>
  <c r="CM554" i="1"/>
  <c r="CM606" i="1"/>
  <c r="BV618" i="1"/>
  <c r="BQ618" i="1" s="1"/>
  <c r="BT618" i="1" s="1"/>
  <c r="BV653" i="1"/>
  <c r="S653" i="1" s="1"/>
  <c r="BR653" i="1" s="1"/>
  <c r="BV660" i="1"/>
  <c r="S660" i="1" s="1"/>
  <c r="BR660" i="1" s="1"/>
  <c r="BV719" i="1"/>
  <c r="BW719" i="1" s="1"/>
  <c r="CM980" i="1"/>
  <c r="CM1001" i="1"/>
  <c r="AU1022" i="1"/>
  <c r="AU1036" i="1"/>
  <c r="AU1043" i="1"/>
  <c r="BV1121" i="1"/>
  <c r="BW1121" i="1" s="1"/>
  <c r="BV1144" i="1"/>
  <c r="S1144" i="1" s="1"/>
  <c r="BR1144" i="1" s="1"/>
  <c r="CE1144" i="1" s="1"/>
  <c r="CM1281" i="1"/>
  <c r="AU1331" i="1"/>
  <c r="CM1414" i="1"/>
  <c r="BV1426" i="1"/>
  <c r="BQ1426" i="1" s="1"/>
  <c r="BO1426" i="1" s="1"/>
  <c r="CM1440" i="1"/>
  <c r="CM1499" i="1"/>
  <c r="CM671" i="1"/>
  <c r="BV672" i="1"/>
  <c r="BQ672" i="1" s="1"/>
  <c r="CM559" i="1"/>
  <c r="AU1230" i="1"/>
  <c r="CM1244" i="1"/>
  <c r="AU1327" i="1"/>
  <c r="BV77" i="1"/>
  <c r="S77" i="1" s="1"/>
  <c r="BR77" i="1" s="1"/>
  <c r="CM79" i="1"/>
  <c r="BV96" i="1"/>
  <c r="BW96" i="1" s="1"/>
  <c r="BV109" i="1"/>
  <c r="BW109" i="1" s="1"/>
  <c r="BV129" i="1"/>
  <c r="S129" i="1" s="1"/>
  <c r="BR129" i="1" s="1"/>
  <c r="CM164" i="1"/>
  <c r="BV176" i="1"/>
  <c r="S176" i="1" s="1"/>
  <c r="BR176" i="1" s="1"/>
  <c r="BV227" i="1"/>
  <c r="S227" i="1" s="1"/>
  <c r="BR227" i="1" s="1"/>
  <c r="BV234" i="1"/>
  <c r="BQ234" i="1" s="1"/>
  <c r="BT234" i="1" s="1"/>
  <c r="BV454" i="1"/>
  <c r="BW454" i="1" s="1"/>
  <c r="CM491" i="1"/>
  <c r="CM517" i="1"/>
  <c r="CM776" i="1"/>
  <c r="BV807" i="1"/>
  <c r="BQ807" i="1" s="1"/>
  <c r="CM814" i="1"/>
  <c r="AU828" i="1"/>
  <c r="BV863" i="1"/>
  <c r="BQ863" i="1" s="1"/>
  <c r="BV889" i="1"/>
  <c r="S889" i="1" s="1"/>
  <c r="BR889" i="1" s="1"/>
  <c r="AU908" i="1"/>
  <c r="CM917" i="1"/>
  <c r="BV922" i="1"/>
  <c r="BQ922" i="1" s="1"/>
  <c r="BV929" i="1"/>
  <c r="S929" i="1" s="1"/>
  <c r="BR929" i="1" s="1"/>
  <c r="BV955" i="1"/>
  <c r="S955" i="1" s="1"/>
  <c r="BR955" i="1" s="1"/>
  <c r="BV962" i="1"/>
  <c r="BW962" i="1" s="1"/>
  <c r="BV981" i="1"/>
  <c r="BQ981" i="1" s="1"/>
  <c r="BO981" i="1" s="1"/>
  <c r="CM1197" i="1"/>
  <c r="CM1211" i="1"/>
  <c r="CM1237" i="1"/>
  <c r="BV1261" i="1"/>
  <c r="S1261" i="1" s="1"/>
  <c r="BR1261" i="1" s="1"/>
  <c r="BV1282" i="1"/>
  <c r="BQ1282" i="1" s="1"/>
  <c r="BT1282" i="1" s="1"/>
  <c r="BV1320" i="1"/>
  <c r="BV1358" i="1"/>
  <c r="S1358" i="1" s="1"/>
  <c r="BR1358" i="1" s="1"/>
  <c r="CE1358" i="1" s="1"/>
  <c r="CM1372" i="1"/>
  <c r="BV1377" i="1"/>
  <c r="S1377" i="1" s="1"/>
  <c r="BR1377" i="1" s="1"/>
  <c r="CM1410" i="1"/>
  <c r="CM5" i="1"/>
  <c r="AU485" i="1"/>
  <c r="AU315" i="1"/>
  <c r="CM1022" i="1"/>
  <c r="BV145" i="1"/>
  <c r="BQ145" i="1" s="1"/>
  <c r="BV334" i="1"/>
  <c r="BW334" i="1" s="1"/>
  <c r="AU222" i="1"/>
  <c r="CM231" i="1"/>
  <c r="CM52" i="1"/>
  <c r="CM831" i="1"/>
  <c r="CM1343" i="1"/>
  <c r="CM1464" i="1"/>
  <c r="AU269" i="1"/>
  <c r="CM1291" i="1"/>
  <c r="BV1359" i="1"/>
  <c r="S1359" i="1" s="1"/>
  <c r="BR1359" i="1" s="1"/>
  <c r="CM185" i="1"/>
  <c r="BV75" i="1"/>
  <c r="S75" i="1" s="1"/>
  <c r="BR75" i="1" s="1"/>
  <c r="CM77" i="1"/>
  <c r="BV107" i="1"/>
  <c r="BW107" i="1" s="1"/>
  <c r="AU141" i="1"/>
  <c r="CM176" i="1"/>
  <c r="BV181" i="1"/>
  <c r="BQ181" i="1" s="1"/>
  <c r="CM206" i="1"/>
  <c r="CM365" i="1"/>
  <c r="CM426" i="1"/>
  <c r="BV431" i="1"/>
  <c r="BQ431" i="1" s="1"/>
  <c r="CM477" i="1"/>
  <c r="CM529" i="1"/>
  <c r="CM748" i="1"/>
  <c r="CM762" i="1"/>
  <c r="BV967" i="1"/>
  <c r="S967" i="1" s="1"/>
  <c r="BR967" i="1" s="1"/>
  <c r="CM981" i="1"/>
  <c r="CM1095" i="1"/>
  <c r="AU85" i="1"/>
  <c r="CM196" i="1"/>
  <c r="AU837" i="1"/>
  <c r="AU858" i="1"/>
  <c r="AU1256" i="1"/>
  <c r="BV60" i="1"/>
  <c r="S60" i="1" s="1"/>
  <c r="BR60" i="1" s="1"/>
  <c r="CM63" i="1"/>
  <c r="BV114" i="1"/>
  <c r="S114" i="1" s="1"/>
  <c r="BR114" i="1" s="1"/>
  <c r="CM148" i="1"/>
  <c r="CM155" i="1"/>
  <c r="BV204" i="1"/>
  <c r="S204" i="1" s="1"/>
  <c r="BR204" i="1" s="1"/>
  <c r="BV351" i="1"/>
  <c r="S351" i="1" s="1"/>
  <c r="BR351" i="1" s="1"/>
  <c r="CM419" i="1"/>
  <c r="BV438" i="1"/>
  <c r="BW438" i="1" s="1"/>
  <c r="CM447" i="1"/>
  <c r="BV461" i="1"/>
  <c r="S461" i="1" s="1"/>
  <c r="BR461" i="1" s="1"/>
  <c r="BV501" i="1"/>
  <c r="BW501" i="1" s="1"/>
  <c r="BV527" i="1"/>
  <c r="BW527" i="1" s="1"/>
  <c r="BV534" i="1"/>
  <c r="S534" i="1" s="1"/>
  <c r="BR534" i="1" s="1"/>
  <c r="BV767" i="1"/>
  <c r="S767" i="1" s="1"/>
  <c r="BR767" i="1" s="1"/>
  <c r="BV833" i="1"/>
  <c r="S833" i="1" s="1"/>
  <c r="BR833" i="1" s="1"/>
  <c r="AU868" i="1"/>
  <c r="CM901" i="1"/>
  <c r="CM995" i="1"/>
  <c r="BV1014" i="1"/>
  <c r="S1014" i="1" s="1"/>
  <c r="BR1014" i="1" s="1"/>
  <c r="CE1014" i="1" s="1"/>
  <c r="CM1261" i="1"/>
  <c r="CM1301" i="1"/>
  <c r="BV937" i="1"/>
  <c r="BW937" i="1" s="1"/>
  <c r="AU756" i="1"/>
  <c r="CM845" i="1"/>
  <c r="AU1475" i="1"/>
  <c r="CM740" i="1"/>
  <c r="AU1128" i="1"/>
  <c r="AU1362" i="1"/>
  <c r="AU1419" i="1"/>
  <c r="AU1329" i="1"/>
  <c r="CM646" i="1"/>
  <c r="AU1100" i="1"/>
  <c r="CM886" i="1"/>
  <c r="AU1263" i="1"/>
  <c r="AU79" i="1"/>
  <c r="CM71" i="1"/>
  <c r="CM75" i="1"/>
  <c r="BV116" i="1"/>
  <c r="S116" i="1" s="1"/>
  <c r="BR116" i="1" s="1"/>
  <c r="CM118" i="1"/>
  <c r="BV328" i="1"/>
  <c r="S328" i="1" s="1"/>
  <c r="BR328" i="1" s="1"/>
  <c r="BV370" i="1"/>
  <c r="BQ370" i="1" s="1"/>
  <c r="BO370" i="1" s="1"/>
  <c r="BV424" i="1"/>
  <c r="BQ424" i="1" s="1"/>
  <c r="BV475" i="1"/>
  <c r="BW475" i="1" s="1"/>
  <c r="BV494" i="1"/>
  <c r="S494" i="1" s="1"/>
  <c r="BR494" i="1" s="1"/>
  <c r="BV713" i="1"/>
  <c r="S713" i="1" s="1"/>
  <c r="BR713" i="1" s="1"/>
  <c r="BV732" i="1"/>
  <c r="S732" i="1" s="1"/>
  <c r="BR732" i="1" s="1"/>
  <c r="BV746" i="1"/>
  <c r="BW746" i="1" s="1"/>
  <c r="BV760" i="1"/>
  <c r="BW760" i="1" s="1"/>
  <c r="BV854" i="1"/>
  <c r="S854" i="1" s="1"/>
  <c r="BR854" i="1" s="1"/>
  <c r="BV861" i="1"/>
  <c r="BQ861" i="1" s="1"/>
  <c r="BV1129" i="1"/>
  <c r="BQ1129" i="1" s="1"/>
  <c r="CM1176" i="1"/>
  <c r="BV1188" i="1"/>
  <c r="BW1188" i="1" s="1"/>
  <c r="BV1200" i="1"/>
  <c r="BQ1200" i="1" s="1"/>
  <c r="BO1200" i="1" s="1"/>
  <c r="BV1214" i="1"/>
  <c r="S1214" i="1" s="1"/>
  <c r="BR1214" i="1" s="1"/>
  <c r="CE1214" i="1" s="1"/>
  <c r="CM1275" i="1"/>
  <c r="AU167" i="1"/>
  <c r="AU871" i="1"/>
  <c r="CM1014" i="1"/>
  <c r="AU1222" i="1"/>
  <c r="BV34" i="1"/>
  <c r="S34" i="1" s="1"/>
  <c r="BR34" i="1" s="1"/>
  <c r="CM76" i="1"/>
  <c r="CM121" i="1"/>
  <c r="BV128" i="1"/>
  <c r="S128" i="1" s="1"/>
  <c r="BR128" i="1" s="1"/>
  <c r="BV175" i="1"/>
  <c r="S175" i="1" s="1"/>
  <c r="BR175" i="1" s="1"/>
  <c r="CM177" i="1"/>
  <c r="BV182" i="1"/>
  <c r="S182" i="1" s="1"/>
  <c r="BR182" i="1" s="1"/>
  <c r="BV221" i="1"/>
  <c r="S221" i="1" s="1"/>
  <c r="BR221" i="1" s="1"/>
  <c r="BV235" i="1"/>
  <c r="S235" i="1" s="1"/>
  <c r="BR235" i="1" s="1"/>
  <c r="CM246" i="1"/>
  <c r="BV251" i="1"/>
  <c r="BQ251" i="1" s="1"/>
  <c r="BO251" i="1" s="1"/>
  <c r="BV316" i="1"/>
  <c r="S316" i="1" s="1"/>
  <c r="BR316" i="1" s="1"/>
  <c r="CM330" i="1"/>
  <c r="CM360" i="1"/>
  <c r="BV365" i="1"/>
  <c r="BW365" i="1" s="1"/>
  <c r="BV372" i="1"/>
  <c r="S372" i="1" s="1"/>
  <c r="BR372" i="1" s="1"/>
  <c r="CM435" i="1"/>
  <c r="BV442" i="1"/>
  <c r="S442" i="1" s="1"/>
  <c r="BR442" i="1" s="1"/>
  <c r="BV507" i="1"/>
  <c r="BW507" i="1" s="1"/>
  <c r="AU514" i="1"/>
  <c r="CM530" i="1"/>
  <c r="CM551" i="1"/>
  <c r="CM610" i="1"/>
  <c r="BV652" i="1"/>
  <c r="BQ652" i="1" s="1"/>
  <c r="CM741" i="1"/>
  <c r="BV762" i="1"/>
  <c r="S762" i="1" s="1"/>
  <c r="BR762" i="1" s="1"/>
  <c r="CM783" i="1"/>
  <c r="CM804" i="1"/>
  <c r="AU874" i="1"/>
  <c r="CM900" i="1"/>
  <c r="CM989" i="1"/>
  <c r="CM1003" i="1"/>
  <c r="BV1054" i="1"/>
  <c r="S1054" i="1" s="1"/>
  <c r="BR1054" i="1" s="1"/>
  <c r="CE1054" i="1" s="1"/>
  <c r="BV1225" i="1"/>
  <c r="S1225" i="1" s="1"/>
  <c r="BR1225" i="1" s="1"/>
  <c r="CM1246" i="1"/>
  <c r="CM1274" i="1"/>
  <c r="CM1307" i="1"/>
  <c r="CM1361" i="1"/>
  <c r="CM1458" i="1"/>
  <c r="CM1479" i="1"/>
  <c r="BV1491" i="1"/>
  <c r="BQ1491" i="1" s="1"/>
  <c r="BT1491" i="1" s="1"/>
  <c r="AU963" i="1"/>
  <c r="BV1215" i="1"/>
  <c r="BW1215" i="1" s="1"/>
  <c r="CM1222" i="1"/>
  <c r="AU1295" i="1"/>
  <c r="AU1394" i="1"/>
  <c r="AU628" i="1"/>
  <c r="AU355" i="1"/>
  <c r="AU1051" i="1"/>
  <c r="CM663" i="1"/>
  <c r="AU123" i="1"/>
  <c r="AU253" i="1"/>
  <c r="AU402" i="1"/>
  <c r="CM1126" i="1"/>
  <c r="AU1140" i="1"/>
  <c r="AU1199" i="1"/>
  <c r="BV1349" i="1"/>
  <c r="BW1349" i="1" s="1"/>
  <c r="CM1427" i="1"/>
  <c r="AU836" i="1"/>
  <c r="CM1443" i="1"/>
  <c r="AU1495" i="1"/>
  <c r="AU65" i="1"/>
  <c r="BV153" i="1"/>
  <c r="BQ153" i="1" s="1"/>
  <c r="BO153" i="1" s="1"/>
  <c r="AU397" i="1"/>
  <c r="BV439" i="1"/>
  <c r="S439" i="1" s="1"/>
  <c r="BR439" i="1" s="1"/>
  <c r="AU511" i="1"/>
  <c r="AU930" i="1"/>
  <c r="AU1316" i="1"/>
  <c r="CM1325" i="1"/>
  <c r="BV1344" i="1"/>
  <c r="BW1344" i="1" s="1"/>
  <c r="BV179" i="1"/>
  <c r="BW179" i="1" s="1"/>
  <c r="AU1161" i="1"/>
  <c r="CM1408" i="1"/>
  <c r="CM1441" i="1"/>
  <c r="CM425" i="1"/>
  <c r="AU437" i="1"/>
  <c r="AU696" i="1"/>
  <c r="AU792" i="1"/>
  <c r="AU32" i="1"/>
  <c r="CM86" i="1"/>
  <c r="AU110" i="1"/>
  <c r="BV130" i="1"/>
  <c r="S130" i="1" s="1"/>
  <c r="BR130" i="1" s="1"/>
  <c r="BV170" i="1"/>
  <c r="S170" i="1" s="1"/>
  <c r="BR170" i="1" s="1"/>
  <c r="BV207" i="1"/>
  <c r="S207" i="1" s="1"/>
  <c r="BR207" i="1" s="1"/>
  <c r="CM253" i="1"/>
  <c r="CM288" i="1"/>
  <c r="CM332" i="1"/>
  <c r="AU353" i="1"/>
  <c r="BV360" i="1"/>
  <c r="S360" i="1" s="1"/>
  <c r="BR360" i="1" s="1"/>
  <c r="CM516" i="1"/>
  <c r="BV523" i="1"/>
  <c r="S523" i="1" s="1"/>
  <c r="BR523" i="1" s="1"/>
  <c r="BV530" i="1"/>
  <c r="S530" i="1" s="1"/>
  <c r="BR530" i="1" s="1"/>
  <c r="BV537" i="1"/>
  <c r="S537" i="1" s="1"/>
  <c r="BR537" i="1" s="1"/>
  <c r="BV591" i="1"/>
  <c r="S591" i="1" s="1"/>
  <c r="BR591" i="1" s="1"/>
  <c r="CM612" i="1"/>
  <c r="CM626" i="1"/>
  <c r="AU640" i="1"/>
  <c r="CM654" i="1"/>
  <c r="AU748" i="1"/>
  <c r="CM792" i="1"/>
  <c r="BV797" i="1"/>
  <c r="BW797" i="1" s="1"/>
  <c r="CM811" i="1"/>
  <c r="BV825" i="1"/>
  <c r="S825" i="1" s="1"/>
  <c r="BR825" i="1" s="1"/>
  <c r="BV900" i="1"/>
  <c r="BQ900" i="1" s="1"/>
  <c r="AU1010" i="1"/>
  <c r="BV1033" i="1"/>
  <c r="BQ1033" i="1" s="1"/>
  <c r="BV1075" i="1"/>
  <c r="S1075" i="1" s="1"/>
  <c r="BR1075" i="1" s="1"/>
  <c r="CM1077" i="1"/>
  <c r="BV1115" i="1"/>
  <c r="BQ1115" i="1" s="1"/>
  <c r="BO1115" i="1" s="1"/>
  <c r="CM1260" i="1"/>
  <c r="CM1302" i="1"/>
  <c r="BV1321" i="1"/>
  <c r="BW1321" i="1" s="1"/>
  <c r="CM1349" i="1"/>
  <c r="BV225" i="1"/>
  <c r="BQ225" i="1" s="1"/>
  <c r="BT225" i="1" s="1"/>
  <c r="CM241" i="1"/>
  <c r="AU290" i="1"/>
  <c r="CM555" i="1"/>
  <c r="AU553" i="1"/>
  <c r="CM67" i="1"/>
  <c r="CM137" i="1"/>
  <c r="BV200" i="1"/>
  <c r="BQ200" i="1" s="1"/>
  <c r="BT200" i="1" s="1"/>
  <c r="BV279" i="1"/>
  <c r="BQ279" i="1" s="1"/>
  <c r="BV300" i="1"/>
  <c r="CM346" i="1"/>
  <c r="CM353" i="1"/>
  <c r="BV358" i="1"/>
  <c r="S358" i="1" s="1"/>
  <c r="BR358" i="1" s="1"/>
  <c r="BV407" i="1"/>
  <c r="BQ407" i="1" s="1"/>
  <c r="BV421" i="1"/>
  <c r="S421" i="1" s="1"/>
  <c r="BR421" i="1" s="1"/>
  <c r="CM451" i="1"/>
  <c r="CM467" i="1"/>
  <c r="BV563" i="1"/>
  <c r="S563" i="1" s="1"/>
  <c r="BR563" i="1" s="1"/>
  <c r="BV577" i="1"/>
  <c r="S577" i="1" s="1"/>
  <c r="BR577" i="1" s="1"/>
  <c r="CM647" i="1"/>
  <c r="BV666" i="1"/>
  <c r="BQ666" i="1" s="1"/>
  <c r="BV708" i="1"/>
  <c r="BW708" i="1" s="1"/>
  <c r="CM715" i="1"/>
  <c r="BV755" i="1"/>
  <c r="S755" i="1" s="1"/>
  <c r="BR755" i="1" s="1"/>
  <c r="CM764" i="1"/>
  <c r="BV776" i="1"/>
  <c r="S776" i="1" s="1"/>
  <c r="BR776" i="1" s="1"/>
  <c r="BV832" i="1"/>
  <c r="S832" i="1" s="1"/>
  <c r="BR832" i="1" s="1"/>
  <c r="CM848" i="1"/>
  <c r="CM907" i="1"/>
  <c r="CM921" i="1"/>
  <c r="CM940" i="1"/>
  <c r="BV954" i="1"/>
  <c r="S954" i="1" s="1"/>
  <c r="BR954" i="1" s="1"/>
  <c r="CE954" i="1" s="1"/>
  <c r="BV961" i="1"/>
  <c r="BQ961" i="1" s="1"/>
  <c r="BV968" i="1"/>
  <c r="S968" i="1" s="1"/>
  <c r="BR968" i="1" s="1"/>
  <c r="CE968" i="1" s="1"/>
  <c r="CM1010" i="1"/>
  <c r="BV1024" i="1"/>
  <c r="S1024" i="1" s="1"/>
  <c r="BR1024" i="1" s="1"/>
  <c r="CE1024" i="1" s="1"/>
  <c r="CM1049" i="1"/>
  <c r="BV1061" i="1"/>
  <c r="BW1061" i="1" s="1"/>
  <c r="BV1108" i="1"/>
  <c r="BQ1108" i="1" s="1"/>
  <c r="BO1108" i="1" s="1"/>
  <c r="BV1171" i="1"/>
  <c r="S1171" i="1" s="1"/>
  <c r="BR1171" i="1" s="1"/>
  <c r="CM1178" i="1"/>
  <c r="BV1206" i="1"/>
  <c r="S1206" i="1" s="1"/>
  <c r="BR1206" i="1" s="1"/>
  <c r="CE1206" i="1" s="1"/>
  <c r="BV1347" i="1"/>
  <c r="BQ1347" i="1" s="1"/>
  <c r="BO1347" i="1" s="1"/>
  <c r="CM1380" i="1"/>
  <c r="CM1399" i="1"/>
  <c r="BV1451" i="1"/>
  <c r="BQ1451" i="1" s="1"/>
  <c r="BT1451" i="1" s="1"/>
  <c r="DB54" i="1"/>
  <c r="DD18" i="1" s="1"/>
  <c r="DE63" i="1"/>
  <c r="DA79" i="1"/>
  <c r="DE75" i="1"/>
  <c r="DJ75" i="1"/>
  <c r="CM312" i="1"/>
  <c r="BV1395" i="1"/>
  <c r="BQ1395" i="1" s="1"/>
  <c r="BO1395" i="1" s="1"/>
  <c r="CM124" i="1"/>
  <c r="CM252" i="1"/>
  <c r="CM391" i="1"/>
  <c r="BV497" i="1"/>
  <c r="S497" i="1" s="1"/>
  <c r="BR497" i="1" s="1"/>
  <c r="AU527" i="1"/>
  <c r="BV737" i="1"/>
  <c r="BW737" i="1" s="1"/>
  <c r="AU838" i="1"/>
  <c r="BV1015" i="1"/>
  <c r="S1015" i="1" s="1"/>
  <c r="BR1015" i="1" s="1"/>
  <c r="AU1395" i="1"/>
  <c r="CM1484" i="1"/>
  <c r="BV1496" i="1"/>
  <c r="BQ1496" i="1" s="1"/>
  <c r="CM48" i="1"/>
  <c r="AU89" i="1"/>
  <c r="CM1028" i="1"/>
  <c r="AU1147" i="1"/>
  <c r="AU1154" i="1"/>
  <c r="AU6" i="1"/>
  <c r="AU10" i="1"/>
  <c r="CM122" i="1"/>
  <c r="BV292" i="1"/>
  <c r="S292" i="1" s="1"/>
  <c r="BR292" i="1" s="1"/>
  <c r="CM746" i="1"/>
  <c r="CM755" i="1"/>
  <c r="BV866" i="1"/>
  <c r="BW866" i="1" s="1"/>
  <c r="AU1138" i="1"/>
  <c r="BV1138" i="1"/>
  <c r="BW1138" i="1" s="1"/>
  <c r="CM460" i="1"/>
  <c r="CM476" i="1"/>
  <c r="AU834" i="1"/>
  <c r="BV906" i="1"/>
  <c r="S906" i="1" s="1"/>
  <c r="BR906" i="1" s="1"/>
  <c r="CE906" i="1" s="1"/>
  <c r="AU906" i="1"/>
  <c r="BV840" i="1"/>
  <c r="S840" i="1" s="1"/>
  <c r="BR840" i="1" s="1"/>
  <c r="CM21" i="1"/>
  <c r="AU23" i="1"/>
  <c r="AU25" i="1"/>
  <c r="AU55" i="1"/>
  <c r="AU248" i="1"/>
  <c r="BV248" i="1"/>
  <c r="S248" i="1" s="1"/>
  <c r="BR248" i="1" s="1"/>
  <c r="BV157" i="1"/>
  <c r="BW157" i="1" s="1"/>
  <c r="AU474" i="1"/>
  <c r="BV688" i="1"/>
  <c r="BQ688" i="1" s="1"/>
  <c r="BT688" i="1" s="1"/>
  <c r="AU709" i="1"/>
  <c r="AU1372" i="1"/>
  <c r="BV51" i="1"/>
  <c r="BQ51" i="1" s="1"/>
  <c r="BO51" i="1" s="1"/>
  <c r="AU408" i="1"/>
  <c r="BV49" i="1"/>
  <c r="BQ49" i="1" s="1"/>
  <c r="CM230" i="1"/>
  <c r="CM825" i="1"/>
  <c r="CM41" i="1"/>
  <c r="CM429" i="1"/>
  <c r="AU800" i="1"/>
  <c r="CM1118" i="1"/>
  <c r="CM1445" i="1"/>
  <c r="CM1471" i="1"/>
  <c r="BV76" i="1"/>
  <c r="BW76" i="1" s="1"/>
  <c r="AU235" i="1"/>
  <c r="AU369" i="1"/>
  <c r="BV427" i="1"/>
  <c r="BQ427" i="1" s="1"/>
  <c r="CM463" i="1"/>
  <c r="BV477" i="1"/>
  <c r="BW477" i="1" s="1"/>
  <c r="BV793" i="1"/>
  <c r="S793" i="1" s="1"/>
  <c r="BR793" i="1" s="1"/>
  <c r="BV908" i="1"/>
  <c r="S908" i="1" s="1"/>
  <c r="BR908" i="1" s="1"/>
  <c r="CE908" i="1" s="1"/>
  <c r="BV909" i="1"/>
  <c r="BQ909" i="1" s="1"/>
  <c r="AU1265" i="1"/>
  <c r="BV1314" i="1"/>
  <c r="BQ1314" i="1" s="1"/>
  <c r="BO1314" i="1" s="1"/>
  <c r="CM1457" i="1"/>
  <c r="BV1462" i="1"/>
  <c r="BQ1462" i="1" s="1"/>
  <c r="BV31" i="1"/>
  <c r="BQ31" i="1" s="1"/>
  <c r="BO31" i="1" s="1"/>
  <c r="AU31" i="1"/>
  <c r="BV160" i="1"/>
  <c r="S160" i="1" s="1"/>
  <c r="BR160" i="1" s="1"/>
  <c r="BV167" i="1"/>
  <c r="S167" i="1" s="1"/>
  <c r="BR167" i="1" s="1"/>
  <c r="CM219" i="1"/>
  <c r="BV258" i="1"/>
  <c r="S258" i="1" s="1"/>
  <c r="BR258" i="1" s="1"/>
  <c r="CM420" i="1"/>
  <c r="CM570" i="1"/>
  <c r="CM598" i="1"/>
  <c r="CM807" i="1"/>
  <c r="BV812" i="1"/>
  <c r="S812" i="1" s="1"/>
  <c r="BR812" i="1" s="1"/>
  <c r="AU916" i="1"/>
  <c r="BV916" i="1"/>
  <c r="S916" i="1" s="1"/>
  <c r="BR916" i="1" s="1"/>
  <c r="CE916" i="1" s="1"/>
  <c r="CM1069" i="1"/>
  <c r="CM1076" i="1"/>
  <c r="BV1300" i="1"/>
  <c r="BW1300" i="1" s="1"/>
  <c r="BV1419" i="1"/>
  <c r="BW1419" i="1" s="1"/>
  <c r="CM1429" i="1"/>
  <c r="BV120" i="1"/>
  <c r="BW120" i="1" s="1"/>
  <c r="AU329" i="1"/>
  <c r="BV467" i="1"/>
  <c r="S467" i="1" s="1"/>
  <c r="BR467" i="1" s="1"/>
  <c r="AU941" i="1"/>
  <c r="CM43" i="1"/>
  <c r="BV707" i="1"/>
  <c r="BW707" i="1" s="1"/>
  <c r="AU707" i="1"/>
  <c r="AU1060" i="1"/>
  <c r="BV1060" i="1"/>
  <c r="BQ1060" i="1" s="1"/>
  <c r="AU18" i="1"/>
  <c r="BV18" i="1"/>
  <c r="BW18" i="1" s="1"/>
  <c r="AU22" i="1"/>
  <c r="AU137" i="1"/>
  <c r="AU256" i="1"/>
  <c r="AU805" i="1"/>
  <c r="AU907" i="1"/>
  <c r="CM66" i="1"/>
  <c r="CM130" i="1"/>
  <c r="CM208" i="1"/>
  <c r="CM337" i="1"/>
  <c r="CM432" i="1"/>
  <c r="CM482" i="1"/>
  <c r="AU501" i="1"/>
  <c r="CM1067" i="1"/>
  <c r="CM1207" i="1"/>
  <c r="CM1277" i="1"/>
  <c r="AU1399" i="1"/>
  <c r="AU1453" i="1"/>
  <c r="BV1453" i="1"/>
  <c r="S1453" i="1" s="1"/>
  <c r="BR1453" i="1" s="1"/>
  <c r="BV1439" i="1"/>
  <c r="BQ1439" i="1" s="1"/>
  <c r="BO1439" i="1" s="1"/>
  <c r="AU8" i="1"/>
  <c r="AU622" i="1"/>
  <c r="AU741" i="1"/>
  <c r="BV741" i="1"/>
  <c r="BQ741" i="1" s="1"/>
  <c r="BT741" i="1" s="1"/>
  <c r="AU750" i="1"/>
  <c r="AU879" i="1"/>
  <c r="AU1194" i="1"/>
  <c r="AU114" i="1"/>
  <c r="AU728" i="1"/>
  <c r="AU927" i="1"/>
  <c r="CM1494" i="1"/>
  <c r="BV465" i="1"/>
  <c r="S465" i="1" s="1"/>
  <c r="BR465" i="1" s="1"/>
  <c r="CM934" i="1"/>
  <c r="AU1148" i="1"/>
  <c r="AU102" i="1"/>
  <c r="AU104" i="1"/>
  <c r="CM8" i="1"/>
  <c r="CM12" i="1"/>
  <c r="CM14" i="1"/>
  <c r="CM115" i="1"/>
  <c r="BV140" i="1"/>
  <c r="BW140" i="1" s="1"/>
  <c r="BV326" i="1"/>
  <c r="S326" i="1" s="1"/>
  <c r="BR326" i="1" s="1"/>
  <c r="CM356" i="1"/>
  <c r="CM400" i="1"/>
  <c r="AU464" i="1"/>
  <c r="BV552" i="1"/>
  <c r="S552" i="1" s="1"/>
  <c r="BR552" i="1" s="1"/>
  <c r="BV664" i="1"/>
  <c r="S664" i="1" s="1"/>
  <c r="BR664" i="1" s="1"/>
  <c r="BV756" i="1"/>
  <c r="BW756" i="1" s="1"/>
  <c r="BV1026" i="1"/>
  <c r="S1026" i="1" s="1"/>
  <c r="BR1026" i="1" s="1"/>
  <c r="CE1026" i="1" s="1"/>
  <c r="CM1149" i="1"/>
  <c r="CM1219" i="1"/>
  <c r="BV1376" i="1"/>
  <c r="S1376" i="1" s="1"/>
  <c r="BR1376" i="1" s="1"/>
  <c r="CE1376" i="1" s="1"/>
  <c r="BV193" i="1"/>
  <c r="BW193" i="1" s="1"/>
  <c r="CM217" i="1"/>
  <c r="AU625" i="1"/>
  <c r="AU1272" i="1"/>
  <c r="AU1286" i="1"/>
  <c r="CM1362" i="1"/>
  <c r="AU119" i="1"/>
  <c r="AU12" i="1"/>
  <c r="CM24" i="1"/>
  <c r="CM31" i="1"/>
  <c r="AU67" i="1"/>
  <c r="BV100" i="1"/>
  <c r="BW100" i="1" s="1"/>
  <c r="BV146" i="1"/>
  <c r="BW146" i="1" s="1"/>
  <c r="CM193" i="1"/>
  <c r="CM215" i="1"/>
  <c r="BV241" i="1"/>
  <c r="S241" i="1" s="1"/>
  <c r="BR241" i="1" s="1"/>
  <c r="BV244" i="1"/>
  <c r="S244" i="1" s="1"/>
  <c r="BR244" i="1" s="1"/>
  <c r="BV246" i="1"/>
  <c r="S246" i="1" s="1"/>
  <c r="BR246" i="1" s="1"/>
  <c r="CM248" i="1"/>
  <c r="CM250" i="1"/>
  <c r="BV285" i="1"/>
  <c r="BQ285" i="1" s="1"/>
  <c r="CM296" i="1"/>
  <c r="AU312" i="1"/>
  <c r="CM314" i="1"/>
  <c r="CM409" i="1"/>
  <c r="BV500" i="1"/>
  <c r="BQ500" i="1" s="1"/>
  <c r="CM502" i="1"/>
  <c r="BV518" i="1"/>
  <c r="BQ518" i="1" s="1"/>
  <c r="BV529" i="1"/>
  <c r="S529" i="1" s="1"/>
  <c r="BR529" i="1" s="1"/>
  <c r="BV536" i="1"/>
  <c r="BQ536" i="1" s="1"/>
  <c r="CM538" i="1"/>
  <c r="BV610" i="1"/>
  <c r="BQ610" i="1" s="1"/>
  <c r="BO610" i="1" s="1"/>
  <c r="BV612" i="1"/>
  <c r="S612" i="1" s="1"/>
  <c r="BR612" i="1" s="1"/>
  <c r="AU700" i="1"/>
  <c r="BV836" i="1"/>
  <c r="BW836" i="1" s="1"/>
  <c r="AU978" i="1"/>
  <c r="AU987" i="1"/>
  <c r="BV1001" i="1"/>
  <c r="BQ1001" i="1" s="1"/>
  <c r="BO1001" i="1" s="1"/>
  <c r="BV1035" i="1"/>
  <c r="BW1035" i="1" s="1"/>
  <c r="CM1168" i="1"/>
  <c r="BV1173" i="1"/>
  <c r="BQ1173" i="1" s="1"/>
  <c r="BV1233" i="1"/>
  <c r="BV1249" i="1"/>
  <c r="S1249" i="1" s="1"/>
  <c r="BR1249" i="1" s="1"/>
  <c r="AU1339" i="1"/>
  <c r="CM1482" i="1"/>
  <c r="CM153" i="1"/>
  <c r="CM552" i="1"/>
  <c r="AU651" i="1"/>
  <c r="AU901" i="1"/>
  <c r="AU928" i="1"/>
  <c r="CM1143" i="1"/>
  <c r="CM719" i="1"/>
  <c r="AU810" i="1"/>
  <c r="CM1171" i="1"/>
  <c r="AU1349" i="1"/>
  <c r="CM189" i="1"/>
  <c r="AU491" i="1"/>
  <c r="AU498" i="1"/>
  <c r="AU821" i="1"/>
  <c r="AU1109" i="1"/>
  <c r="CM1300" i="1"/>
  <c r="CM1379" i="1"/>
  <c r="AU42" i="1"/>
  <c r="CM276" i="1"/>
  <c r="AU459" i="1"/>
  <c r="BV459" i="1"/>
  <c r="S459" i="1" s="1"/>
  <c r="BR459" i="1" s="1"/>
  <c r="CM1006" i="1"/>
  <c r="AU1407" i="1"/>
  <c r="AU1430" i="1"/>
  <c r="AU50" i="1"/>
  <c r="AU78" i="1"/>
  <c r="AH30" i="1"/>
  <c r="AK30" i="1" s="1"/>
  <c r="CM812" i="1"/>
  <c r="CM403" i="1"/>
  <c r="AU1356" i="1"/>
  <c r="AU1363" i="1"/>
  <c r="CM1492" i="1"/>
  <c r="AU66" i="1"/>
  <c r="CM151" i="1"/>
  <c r="CM165" i="1"/>
  <c r="CM174" i="1"/>
  <c r="AU227" i="1"/>
  <c r="CM229" i="1"/>
  <c r="AU356" i="1"/>
  <c r="AU466" i="1"/>
  <c r="CM617" i="1"/>
  <c r="AU717" i="1"/>
  <c r="AU899" i="1"/>
  <c r="AU926" i="1"/>
  <c r="BV933" i="1"/>
  <c r="S933" i="1" s="1"/>
  <c r="BR933" i="1" s="1"/>
  <c r="AU1130" i="1"/>
  <c r="BV1444" i="1"/>
  <c r="BW1444" i="1" s="1"/>
  <c r="CM74" i="1"/>
  <c r="CM78" i="1"/>
  <c r="CM80" i="1"/>
  <c r="BV90" i="1"/>
  <c r="BQ90" i="1" s="1"/>
  <c r="BV133" i="1"/>
  <c r="S133" i="1" s="1"/>
  <c r="BR133" i="1" s="1"/>
  <c r="AU149" i="1"/>
  <c r="BV163" i="1"/>
  <c r="BW163" i="1" s="1"/>
  <c r="BV172" i="1"/>
  <c r="S172" i="1" s="1"/>
  <c r="BR172" i="1" s="1"/>
  <c r="AU216" i="1"/>
  <c r="CM218" i="1"/>
  <c r="BV249" i="1"/>
  <c r="CM260" i="1"/>
  <c r="CM281" i="1"/>
  <c r="AU288" i="1"/>
  <c r="CM383" i="1"/>
  <c r="BV388" i="1"/>
  <c r="BQ388" i="1" s="1"/>
  <c r="BV446" i="1"/>
  <c r="BQ446" i="1" s="1"/>
  <c r="BV455" i="1"/>
  <c r="S455" i="1" s="1"/>
  <c r="BR455" i="1" s="1"/>
  <c r="CM457" i="1"/>
  <c r="CM585" i="1"/>
  <c r="BV592" i="1"/>
  <c r="BQ592" i="1" s="1"/>
  <c r="AU606" i="1"/>
  <c r="BV626" i="1"/>
  <c r="BW626" i="1" s="1"/>
  <c r="BV640" i="1"/>
  <c r="BW640" i="1" s="1"/>
  <c r="AU660" i="1"/>
  <c r="BV678" i="1"/>
  <c r="S678" i="1" s="1"/>
  <c r="BR678" i="1" s="1"/>
  <c r="AU701" i="1"/>
  <c r="BV701" i="1"/>
  <c r="BW701" i="1" s="1"/>
  <c r="CM703" i="1"/>
  <c r="AU724" i="1"/>
  <c r="BV963" i="1"/>
  <c r="BW963" i="1" s="1"/>
  <c r="AU1075" i="1"/>
  <c r="BV1091" i="1"/>
  <c r="S1091" i="1" s="1"/>
  <c r="BR1091" i="1" s="1"/>
  <c r="CM1121" i="1"/>
  <c r="CM1229" i="1"/>
  <c r="BV1340" i="1"/>
  <c r="BQ1340" i="1" s="1"/>
  <c r="BV1391" i="1"/>
  <c r="BW1391" i="1" s="1"/>
  <c r="CM1444" i="1"/>
  <c r="CM1206" i="1"/>
  <c r="AU147" i="1"/>
  <c r="CM322" i="1"/>
  <c r="AU354" i="1"/>
  <c r="AU363" i="1"/>
  <c r="CM578" i="1"/>
  <c r="AU118" i="1"/>
  <c r="AU320" i="1"/>
  <c r="AU597" i="1"/>
  <c r="CM320" i="1"/>
  <c r="AU368" i="1"/>
  <c r="AU558" i="1"/>
  <c r="AU913" i="1"/>
  <c r="CM1098" i="1"/>
  <c r="AU1103" i="1"/>
  <c r="BV1239" i="1"/>
  <c r="S1239" i="1" s="1"/>
  <c r="BR1239" i="1" s="1"/>
  <c r="BV1460" i="1"/>
  <c r="BQ1460" i="1" s="1"/>
  <c r="BT1460" i="1" s="1"/>
  <c r="BV715" i="1"/>
  <c r="BQ715" i="1" s="1"/>
  <c r="CM855" i="1"/>
  <c r="AU1029" i="1"/>
  <c r="CM1195" i="1"/>
  <c r="AU13" i="1"/>
  <c r="BV15" i="1"/>
  <c r="S15" i="1" s="1"/>
  <c r="BR15" i="1" s="1"/>
  <c r="AU245" i="1"/>
  <c r="CM297" i="1"/>
  <c r="CM592" i="1"/>
  <c r="AU631" i="1"/>
  <c r="CM694" i="1"/>
  <c r="AU708" i="1"/>
  <c r="AU715" i="1"/>
  <c r="AU853" i="1"/>
  <c r="AU931" i="1"/>
  <c r="AU1211" i="1"/>
  <c r="CM1236" i="1"/>
  <c r="CM1280" i="1"/>
  <c r="CM140" i="1"/>
  <c r="BV624" i="1"/>
  <c r="S624" i="1" s="1"/>
  <c r="BR624" i="1" s="1"/>
  <c r="CM658" i="1"/>
  <c r="AU667" i="1"/>
  <c r="AU938" i="1"/>
  <c r="AU986" i="1"/>
  <c r="CM1029" i="1"/>
  <c r="AU1105" i="1"/>
  <c r="BV1285" i="1"/>
  <c r="S1285" i="1" s="1"/>
  <c r="BR1285" i="1" s="1"/>
  <c r="AU1285" i="1"/>
  <c r="BV1373" i="1"/>
  <c r="S1373" i="1" s="1"/>
  <c r="BR1373" i="1" s="1"/>
  <c r="AU1403" i="1"/>
  <c r="CM1435" i="1"/>
  <c r="AU201" i="1"/>
  <c r="AU431" i="1"/>
  <c r="CM708" i="1"/>
  <c r="AU1500" i="1"/>
  <c r="AU199" i="1"/>
  <c r="AU254" i="1"/>
  <c r="AU352" i="1"/>
  <c r="AU361" i="1"/>
  <c r="AU404" i="1"/>
  <c r="BV720" i="1"/>
  <c r="AU720" i="1"/>
  <c r="AU831" i="1"/>
  <c r="AU922" i="1"/>
  <c r="BV1022" i="1"/>
  <c r="S1022" i="1" s="1"/>
  <c r="BR1022" i="1" s="1"/>
  <c r="CE1022" i="1" s="1"/>
  <c r="AU1191" i="1"/>
  <c r="CM1308" i="1"/>
  <c r="AU1454" i="1"/>
  <c r="CM166" i="1"/>
  <c r="BV184" i="1"/>
  <c r="BW184" i="1" s="1"/>
  <c r="AU188" i="1"/>
  <c r="BV206" i="1"/>
  <c r="S206" i="1" s="1"/>
  <c r="BR206" i="1" s="1"/>
  <c r="BV208" i="1"/>
  <c r="CM212" i="1"/>
  <c r="CM221" i="1"/>
  <c r="CM268" i="1"/>
  <c r="BV449" i="1"/>
  <c r="S449" i="1" s="1"/>
  <c r="BR449" i="1" s="1"/>
  <c r="BV476" i="1"/>
  <c r="S476" i="1" s="1"/>
  <c r="BR476" i="1" s="1"/>
  <c r="BV506" i="1"/>
  <c r="S506" i="1" s="1"/>
  <c r="BR506" i="1" s="1"/>
  <c r="BV542" i="1"/>
  <c r="S542" i="1" s="1"/>
  <c r="BR542" i="1" s="1"/>
  <c r="CM574" i="1"/>
  <c r="CM581" i="1"/>
  <c r="BV586" i="1"/>
  <c r="BW586" i="1" s="1"/>
  <c r="AU595" i="1"/>
  <c r="AU654" i="1"/>
  <c r="CM720" i="1"/>
  <c r="BV801" i="1"/>
  <c r="S801" i="1" s="1"/>
  <c r="BR801" i="1" s="1"/>
  <c r="CM858" i="1"/>
  <c r="AU872" i="1"/>
  <c r="CM888" i="1"/>
  <c r="AU893" i="1"/>
  <c r="CM895" i="1"/>
  <c r="BV1230" i="1"/>
  <c r="S1230" i="1" s="1"/>
  <c r="BR1230" i="1" s="1"/>
  <c r="CE1230" i="1" s="1"/>
  <c r="AU1239" i="1"/>
  <c r="BV1253" i="1"/>
  <c r="S1253" i="1" s="1"/>
  <c r="BR1253" i="1" s="1"/>
  <c r="AU1260" i="1"/>
  <c r="AU1290" i="1"/>
  <c r="AU1297" i="1"/>
  <c r="AU571" i="1"/>
  <c r="AU686" i="1"/>
  <c r="AU704" i="1"/>
  <c r="BV1055" i="1"/>
  <c r="BQ1055" i="1" s="1"/>
  <c r="BT1055" i="1" s="1"/>
  <c r="CM1110" i="1"/>
  <c r="AU1270" i="1"/>
  <c r="CM1403" i="1"/>
  <c r="BV33" i="1"/>
  <c r="S33" i="1" s="1"/>
  <c r="BR33" i="1" s="1"/>
  <c r="AU37" i="1"/>
  <c r="BV79" i="1"/>
  <c r="BQ79" i="1" s="1"/>
  <c r="AU95" i="1"/>
  <c r="CM116" i="1"/>
  <c r="CM131" i="1"/>
  <c r="BV138" i="1"/>
  <c r="BQ138" i="1" s="1"/>
  <c r="BT138" i="1" s="1"/>
  <c r="AU161" i="1"/>
  <c r="CM187" i="1"/>
  <c r="BV271" i="1"/>
  <c r="BW271" i="1" s="1"/>
  <c r="CM273" i="1"/>
  <c r="CM289" i="1"/>
  <c r="BV296" i="1"/>
  <c r="BQ296" i="1" s="1"/>
  <c r="CM316" i="1"/>
  <c r="AU384" i="1"/>
  <c r="CM402" i="1"/>
  <c r="BV413" i="1"/>
  <c r="BQ413" i="1" s="1"/>
  <c r="BT413" i="1" s="1"/>
  <c r="BV478" i="1"/>
  <c r="S478" i="1" s="1"/>
  <c r="BR478" i="1" s="1"/>
  <c r="BV492" i="1"/>
  <c r="BQ492" i="1" s="1"/>
  <c r="BT492" i="1" s="1"/>
  <c r="CM519" i="1"/>
  <c r="AU711" i="1"/>
  <c r="BV795" i="1"/>
  <c r="BW795" i="1" s="1"/>
  <c r="CM889" i="1"/>
  <c r="AU914" i="1"/>
  <c r="CM1080" i="1"/>
  <c r="AU1115" i="1"/>
  <c r="BV1238" i="1"/>
  <c r="S1238" i="1" s="1"/>
  <c r="BR1238" i="1" s="1"/>
  <c r="CE1238" i="1" s="1"/>
  <c r="CM1247" i="1"/>
  <c r="BV1254" i="1"/>
  <c r="BW1254" i="1" s="1"/>
  <c r="BV1309" i="1"/>
  <c r="BW1309" i="1" s="1"/>
  <c r="CM307" i="1"/>
  <c r="AU695" i="1"/>
  <c r="BV779" i="1"/>
  <c r="BW779" i="1" s="1"/>
  <c r="AU841" i="1"/>
  <c r="CM1057" i="1"/>
  <c r="BV1286" i="1"/>
  <c r="S1286" i="1" s="1"/>
  <c r="BR1286" i="1" s="1"/>
  <c r="CE1286" i="1" s="1"/>
  <c r="BV19" i="1"/>
  <c r="BW19" i="1" s="1"/>
  <c r="CM95" i="1"/>
  <c r="CM97" i="1"/>
  <c r="CM112" i="1"/>
  <c r="CM154" i="1"/>
  <c r="BV229" i="1"/>
  <c r="S229" i="1" s="1"/>
  <c r="BR229" i="1" s="1"/>
  <c r="BV364" i="1"/>
  <c r="BW364" i="1" s="1"/>
  <c r="CM377" i="1"/>
  <c r="BV398" i="1"/>
  <c r="BQ398" i="1" s="1"/>
  <c r="BT398" i="1" s="1"/>
  <c r="CM462" i="1"/>
  <c r="CM501" i="1"/>
  <c r="CM510" i="1"/>
  <c r="BV528" i="1"/>
  <c r="BQ528" i="1" s="1"/>
  <c r="CM548" i="1"/>
  <c r="CM571" i="1"/>
  <c r="CM668" i="1"/>
  <c r="BV675" i="1"/>
  <c r="BW675" i="1" s="1"/>
  <c r="BV693" i="1"/>
  <c r="BQ693" i="1" s="1"/>
  <c r="BV817" i="1"/>
  <c r="S817" i="1" s="1"/>
  <c r="BR817" i="1" s="1"/>
  <c r="CM819" i="1"/>
  <c r="CM857" i="1"/>
  <c r="CM864" i="1"/>
  <c r="BV953" i="1"/>
  <c r="BW953" i="1" s="1"/>
  <c r="AU955" i="1"/>
  <c r="BV996" i="1"/>
  <c r="BW996" i="1" s="1"/>
  <c r="BV1010" i="1"/>
  <c r="S1010" i="1" s="1"/>
  <c r="BR1010" i="1" s="1"/>
  <c r="CE1010" i="1" s="1"/>
  <c r="BV1069" i="1"/>
  <c r="BW1069" i="1" s="1"/>
  <c r="AU1076" i="1"/>
  <c r="AU1085" i="1"/>
  <c r="CM1124" i="1"/>
  <c r="CM1144" i="1"/>
  <c r="CM1151" i="1"/>
  <c r="CM1160" i="1"/>
  <c r="BV1316" i="1"/>
  <c r="S1316" i="1" s="1"/>
  <c r="BR1316" i="1" s="1"/>
  <c r="CE1316" i="1" s="1"/>
  <c r="CM1334" i="1"/>
  <c r="CM1341" i="1"/>
  <c r="BV1348" i="1"/>
  <c r="S1348" i="1" s="1"/>
  <c r="BR1348" i="1" s="1"/>
  <c r="CE1348" i="1" s="1"/>
  <c r="CM1378" i="1"/>
  <c r="BV1232" i="1"/>
  <c r="BQ1232" i="1" s="1"/>
  <c r="CM1250" i="1"/>
  <c r="BV1466" i="1"/>
  <c r="BQ1466" i="1" s="1"/>
  <c r="AU27" i="1"/>
  <c r="AU40" i="1"/>
  <c r="CM56" i="1"/>
  <c r="BV74" i="1"/>
  <c r="S74" i="1" s="1"/>
  <c r="BR74" i="1" s="1"/>
  <c r="AU132" i="1"/>
  <c r="AU148" i="1"/>
  <c r="BV162" i="1"/>
  <c r="S162" i="1" s="1"/>
  <c r="BR162" i="1" s="1"/>
  <c r="AU173" i="1"/>
  <c r="AU182" i="1"/>
  <c r="BV210" i="1"/>
  <c r="AU232" i="1"/>
  <c r="CM265" i="1"/>
  <c r="AU299" i="1"/>
  <c r="AU301" i="1"/>
  <c r="AU317" i="1"/>
  <c r="BV333" i="1"/>
  <c r="BW333" i="1" s="1"/>
  <c r="BV403" i="1"/>
  <c r="BV488" i="1"/>
  <c r="BQ488" i="1" s="1"/>
  <c r="BT488" i="1" s="1"/>
  <c r="BV502" i="1"/>
  <c r="BQ502" i="1" s="1"/>
  <c r="BT502" i="1" s="1"/>
  <c r="CM524" i="1"/>
  <c r="BV549" i="1"/>
  <c r="BW549" i="1" s="1"/>
  <c r="CM576" i="1"/>
  <c r="BV581" i="1"/>
  <c r="BQ581" i="1" s="1"/>
  <c r="BO581" i="1" s="1"/>
  <c r="AU588" i="1"/>
  <c r="CM597" i="1"/>
  <c r="CM613" i="1"/>
  <c r="CM620" i="1"/>
  <c r="AU638" i="1"/>
  <c r="CM714" i="1"/>
  <c r="CM723" i="1"/>
  <c r="CM730" i="1"/>
  <c r="BV820" i="1"/>
  <c r="S820" i="1" s="1"/>
  <c r="BR820" i="1" s="1"/>
  <c r="CM822" i="1"/>
  <c r="BV851" i="1"/>
  <c r="BW851" i="1" s="1"/>
  <c r="CM876" i="1"/>
  <c r="CM883" i="1"/>
  <c r="BV897" i="1"/>
  <c r="BQ897" i="1" s="1"/>
  <c r="BO897" i="1" s="1"/>
  <c r="CM899" i="1"/>
  <c r="BV904" i="1"/>
  <c r="BW904" i="1" s="1"/>
  <c r="CM933" i="1"/>
  <c r="BV949" i="1"/>
  <c r="S949" i="1" s="1"/>
  <c r="BR949" i="1" s="1"/>
  <c r="BV974" i="1"/>
  <c r="BQ974" i="1" s="1"/>
  <c r="CM985" i="1"/>
  <c r="AU1006" i="1"/>
  <c r="BV1125" i="1"/>
  <c r="BW1125" i="1" s="1"/>
  <c r="BV1127" i="1"/>
  <c r="S1127" i="1" s="1"/>
  <c r="BR1127" i="1" s="1"/>
  <c r="CM1129" i="1"/>
  <c r="BV1145" i="1"/>
  <c r="BW1145" i="1" s="1"/>
  <c r="AU1209" i="1"/>
  <c r="BV1216" i="1"/>
  <c r="CM1218" i="1"/>
  <c r="CM1241" i="1"/>
  <c r="CM1273" i="1"/>
  <c r="BV1287" i="1"/>
  <c r="BW1287" i="1" s="1"/>
  <c r="CM1296" i="1"/>
  <c r="CM1397" i="1"/>
  <c r="BV1418" i="1"/>
  <c r="S1418" i="1" s="1"/>
  <c r="BR1418" i="1" s="1"/>
  <c r="CE1418" i="1" s="1"/>
  <c r="AU98" i="1"/>
  <c r="AU121" i="1"/>
  <c r="CM543" i="1"/>
  <c r="CM602" i="1"/>
  <c r="AU689" i="1"/>
  <c r="AU786" i="1"/>
  <c r="AU1081" i="1"/>
  <c r="BV1301" i="1"/>
  <c r="BQ1301" i="1" s="1"/>
  <c r="BO1301" i="1" s="1"/>
  <c r="BV1317" i="1"/>
  <c r="BQ1317" i="1" s="1"/>
  <c r="AU1367" i="1"/>
  <c r="BV1390" i="1"/>
  <c r="BW1390" i="1" s="1"/>
  <c r="AU1497" i="1"/>
  <c r="AU34" i="1"/>
  <c r="CM98" i="1"/>
  <c r="AU113" i="1"/>
  <c r="CM129" i="1"/>
  <c r="AU143" i="1"/>
  <c r="BV211" i="1"/>
  <c r="BQ211" i="1" s="1"/>
  <c r="BV220" i="1"/>
  <c r="BQ220" i="1" s="1"/>
  <c r="BT220" i="1" s="1"/>
  <c r="BV286" i="1"/>
  <c r="S286" i="1" s="1"/>
  <c r="BR286" i="1" s="1"/>
  <c r="AU306" i="1"/>
  <c r="CM389" i="1"/>
  <c r="AU429" i="1"/>
  <c r="BV440" i="1"/>
  <c r="BQ440" i="1" s="1"/>
  <c r="BT440" i="1" s="1"/>
  <c r="BV460" i="1"/>
  <c r="BW460" i="1" s="1"/>
  <c r="AU469" i="1"/>
  <c r="CM503" i="1"/>
  <c r="BV510" i="1"/>
  <c r="BQ510" i="1" s="1"/>
  <c r="BT510" i="1" s="1"/>
  <c r="CM512" i="1"/>
  <c r="BV519" i="1"/>
  <c r="BW519" i="1" s="1"/>
  <c r="CM523" i="1"/>
  <c r="BV539" i="1"/>
  <c r="AU550" i="1"/>
  <c r="AU564" i="1"/>
  <c r="BV723" i="1"/>
  <c r="BW723" i="1" s="1"/>
  <c r="AU752" i="1"/>
  <c r="BV777" i="1"/>
  <c r="BQ777" i="1" s="1"/>
  <c r="BT777" i="1" s="1"/>
  <c r="CM788" i="1"/>
  <c r="CM836" i="1"/>
  <c r="CM861" i="1"/>
  <c r="CM920" i="1"/>
  <c r="BV959" i="1"/>
  <c r="S959" i="1" s="1"/>
  <c r="BR959" i="1" s="1"/>
  <c r="CM988" i="1"/>
  <c r="BV1063" i="1"/>
  <c r="S1063" i="1" s="1"/>
  <c r="BR1063" i="1" s="1"/>
  <c r="CM1090" i="1"/>
  <c r="CM1092" i="1"/>
  <c r="AU1099" i="1"/>
  <c r="BV1140" i="1"/>
  <c r="BQ1140" i="1" s="1"/>
  <c r="CM1142" i="1"/>
  <c r="CM1158" i="1"/>
  <c r="CM1215" i="1"/>
  <c r="CM1217" i="1"/>
  <c r="CM1224" i="1"/>
  <c r="BV1231" i="1"/>
  <c r="BW1231" i="1" s="1"/>
  <c r="CM1267" i="1"/>
  <c r="AU1333" i="1"/>
  <c r="CM1360" i="1"/>
  <c r="AU1404" i="1"/>
  <c r="CM1413" i="1"/>
  <c r="CM1431" i="1"/>
  <c r="BV73" i="1"/>
  <c r="S73" i="1" s="1"/>
  <c r="BR73" i="1" s="1"/>
  <c r="CM90" i="1"/>
  <c r="CM107" i="1"/>
  <c r="CM139" i="1"/>
  <c r="AU171" i="1"/>
  <c r="CM173" i="1"/>
  <c r="CM188" i="1"/>
  <c r="CM216" i="1"/>
  <c r="CM238" i="1"/>
  <c r="BV262" i="1"/>
  <c r="BQ262" i="1" s="1"/>
  <c r="BV280" i="1"/>
  <c r="S280" i="1" s="1"/>
  <c r="BR280" i="1" s="1"/>
  <c r="CM327" i="1"/>
  <c r="AU383" i="1"/>
  <c r="CM392" i="1"/>
  <c r="BV397" i="1"/>
  <c r="S397" i="1" s="1"/>
  <c r="BR397" i="1" s="1"/>
  <c r="AU412" i="1"/>
  <c r="AU445" i="1"/>
  <c r="AU452" i="1"/>
  <c r="BV472" i="1"/>
  <c r="S472" i="1" s="1"/>
  <c r="BR472" i="1" s="1"/>
  <c r="CM483" i="1"/>
  <c r="AU524" i="1"/>
  <c r="CM526" i="1"/>
  <c r="CM650" i="1"/>
  <c r="CM665" i="1"/>
  <c r="CM692" i="1"/>
  <c r="BV699" i="1"/>
  <c r="S699" i="1" s="1"/>
  <c r="BR699" i="1" s="1"/>
  <c r="AU755" i="1"/>
  <c r="BV764" i="1"/>
  <c r="S764" i="1" s="1"/>
  <c r="BR764" i="1" s="1"/>
  <c r="BV789" i="1"/>
  <c r="BQ789" i="1" s="1"/>
  <c r="BT789" i="1" s="1"/>
  <c r="AU855" i="1"/>
  <c r="BV862" i="1"/>
  <c r="S862" i="1" s="1"/>
  <c r="BR862" i="1" s="1"/>
  <c r="BV869" i="1"/>
  <c r="S869" i="1" s="1"/>
  <c r="BR869" i="1" s="1"/>
  <c r="BV921" i="1"/>
  <c r="CM939" i="1"/>
  <c r="AU964" i="1"/>
  <c r="CM998" i="1"/>
  <c r="AU1012" i="1"/>
  <c r="CM1023" i="1"/>
  <c r="CM1034" i="1"/>
  <c r="AU1066" i="1"/>
  <c r="BV1073" i="1"/>
  <c r="BW1073" i="1" s="1"/>
  <c r="CM1084" i="1"/>
  <c r="BV1093" i="1"/>
  <c r="BW1093" i="1" s="1"/>
  <c r="AU1168" i="1"/>
  <c r="AU1175" i="1"/>
  <c r="CM1209" i="1"/>
  <c r="BV1243" i="1"/>
  <c r="BQ1243" i="1" s="1"/>
  <c r="BV1252" i="1"/>
  <c r="BQ1252" i="1" s="1"/>
  <c r="BV1302" i="1"/>
  <c r="BQ1302" i="1" s="1"/>
  <c r="CM1345" i="1"/>
  <c r="AU1432" i="1"/>
  <c r="CM1434" i="1"/>
  <c r="CM254" i="1"/>
  <c r="AU281" i="1"/>
  <c r="BV308" i="1"/>
  <c r="BW308" i="1" s="1"/>
  <c r="BV366" i="1"/>
  <c r="AU393" i="1"/>
  <c r="AU417" i="1"/>
  <c r="BV426" i="1"/>
  <c r="BW426" i="1" s="1"/>
  <c r="CM488" i="1"/>
  <c r="BV513" i="1"/>
  <c r="S513" i="1" s="1"/>
  <c r="BR513" i="1" s="1"/>
  <c r="AU522" i="1"/>
  <c r="BV526" i="1"/>
  <c r="S526" i="1" s="1"/>
  <c r="BR526" i="1" s="1"/>
  <c r="CM600" i="1"/>
  <c r="BV671" i="1"/>
  <c r="S671" i="1" s="1"/>
  <c r="BR671" i="1" s="1"/>
  <c r="CM673" i="1"/>
  <c r="BV680" i="1"/>
  <c r="BQ680" i="1" s="1"/>
  <c r="AU722" i="1"/>
  <c r="BV738" i="1"/>
  <c r="BQ738" i="1" s="1"/>
  <c r="BO738" i="1" s="1"/>
  <c r="BV787" i="1"/>
  <c r="S787" i="1" s="1"/>
  <c r="BR787" i="1" s="1"/>
  <c r="CM789" i="1"/>
  <c r="BV835" i="1"/>
  <c r="BV839" i="1"/>
  <c r="BQ839" i="1" s="1"/>
  <c r="BO839" i="1" s="1"/>
  <c r="CM841" i="1"/>
  <c r="CM884" i="1"/>
  <c r="AU920" i="1"/>
  <c r="CM922" i="1"/>
  <c r="CM938" i="1"/>
  <c r="CM969" i="1"/>
  <c r="AU976" i="1"/>
  <c r="CM994" i="1"/>
  <c r="BV1087" i="1"/>
  <c r="BQ1087" i="1" s="1"/>
  <c r="BT1087" i="1" s="1"/>
  <c r="CM1186" i="1"/>
  <c r="AU1298" i="1"/>
  <c r="CM1370" i="1"/>
  <c r="AU1375" i="1"/>
  <c r="AU1393" i="1"/>
  <c r="CM1411" i="1"/>
  <c r="CM1418" i="1"/>
  <c r="CM1420" i="1"/>
  <c r="BV1443" i="1"/>
  <c r="BW1443" i="1" s="1"/>
  <c r="CM1497" i="1"/>
  <c r="AU979" i="1"/>
  <c r="AU988" i="1"/>
  <c r="CM1051" i="1"/>
  <c r="CM1060" i="1"/>
  <c r="CM1191" i="1"/>
  <c r="CM1202" i="1"/>
  <c r="CM1213" i="1"/>
  <c r="CM1242" i="1"/>
  <c r="AU1258" i="1"/>
  <c r="AU1267" i="1"/>
  <c r="AU1303" i="1"/>
  <c r="CM1314" i="1"/>
  <c r="CM1366" i="1"/>
  <c r="CM1500" i="1"/>
  <c r="BV238" i="1"/>
  <c r="BQ238" i="1" s="1"/>
  <c r="BV255" i="1"/>
  <c r="BW255" i="1" s="1"/>
  <c r="CM315" i="1"/>
  <c r="BV322" i="1"/>
  <c r="BW322" i="1" s="1"/>
  <c r="CM382" i="1"/>
  <c r="CM398" i="1"/>
  <c r="AU420" i="1"/>
  <c r="BV473" i="1"/>
  <c r="BW473" i="1" s="1"/>
  <c r="CM509" i="1"/>
  <c r="BV538" i="1"/>
  <c r="S538" i="1" s="1"/>
  <c r="BR538" i="1" s="1"/>
  <c r="AU608" i="1"/>
  <c r="BV632" i="1"/>
  <c r="S632" i="1" s="1"/>
  <c r="BR632" i="1" s="1"/>
  <c r="BV641" i="1"/>
  <c r="S641" i="1" s="1"/>
  <c r="BR641" i="1" s="1"/>
  <c r="AU652" i="1"/>
  <c r="AU665" i="1"/>
  <c r="CM734" i="1"/>
  <c r="CM754" i="1"/>
  <c r="AU814" i="1"/>
  <c r="BV816" i="1"/>
  <c r="S816" i="1" s="1"/>
  <c r="BR816" i="1" s="1"/>
  <c r="AU827" i="1"/>
  <c r="BV867" i="1"/>
  <c r="S867" i="1" s="1"/>
  <c r="BR867" i="1" s="1"/>
  <c r="CM869" i="1"/>
  <c r="BV876" i="1"/>
  <c r="BV885" i="1"/>
  <c r="S885" i="1" s="1"/>
  <c r="BR885" i="1" s="1"/>
  <c r="AU894" i="1"/>
  <c r="CM916" i="1"/>
  <c r="CM925" i="1"/>
  <c r="AU970" i="1"/>
  <c r="CM979" i="1"/>
  <c r="AU1020" i="1"/>
  <c r="CM1058" i="1"/>
  <c r="CM1074" i="1"/>
  <c r="BV1153" i="1"/>
  <c r="S1153" i="1" s="1"/>
  <c r="BR1153" i="1" s="1"/>
  <c r="CM1180" i="1"/>
  <c r="CM1276" i="1"/>
  <c r="CM1285" i="1"/>
  <c r="AU1364" i="1"/>
  <c r="AU1371" i="1"/>
  <c r="CM1423" i="1"/>
  <c r="AU1471" i="1"/>
  <c r="CX30" i="1"/>
  <c r="CX27" i="1"/>
  <c r="I32" i="8"/>
  <c r="CX38" i="1" s="1"/>
  <c r="CX123" i="1"/>
  <c r="DJ70" i="1"/>
  <c r="DJ72" i="1"/>
  <c r="CX118" i="1"/>
  <c r="CX119" i="1"/>
  <c r="DA57" i="1"/>
  <c r="DC21" i="1" s="1"/>
  <c r="DB57" i="1"/>
  <c r="DD21" i="1" s="1"/>
  <c r="DJ63" i="1"/>
  <c r="DB80" i="1"/>
  <c r="AU607" i="1"/>
  <c r="BV92" i="1"/>
  <c r="S92" i="1" s="1"/>
  <c r="BR92" i="1" s="1"/>
  <c r="AU900" i="1"/>
  <c r="AU616" i="1"/>
  <c r="AU764" i="1"/>
  <c r="AU17" i="1"/>
  <c r="BV17" i="1"/>
  <c r="S17" i="1" s="1"/>
  <c r="BR17" i="1" s="1"/>
  <c r="BV65" i="1"/>
  <c r="BW65" i="1" s="1"/>
  <c r="BV106" i="1"/>
  <c r="BV141" i="1"/>
  <c r="BW141" i="1" s="1"/>
  <c r="BV219" i="1"/>
  <c r="BV282" i="1"/>
  <c r="BV295" i="1"/>
  <c r="S295" i="1" s="1"/>
  <c r="BR295" i="1" s="1"/>
  <c r="BV384" i="1"/>
  <c r="BW384" i="1" s="1"/>
  <c r="BV562" i="1"/>
  <c r="S562" i="1" s="1"/>
  <c r="BR562" i="1" s="1"/>
  <c r="BV593" i="1"/>
  <c r="BW593" i="1" s="1"/>
  <c r="BV639" i="1"/>
  <c r="BV700" i="1"/>
  <c r="BW700" i="1" s="1"/>
  <c r="BV702" i="1"/>
  <c r="BW702" i="1" s="1"/>
  <c r="CM724" i="1"/>
  <c r="CM868" i="1"/>
  <c r="BV877" i="1"/>
  <c r="BW877" i="1" s="1"/>
  <c r="BV995" i="1"/>
  <c r="CM1323" i="1"/>
  <c r="AU130" i="1"/>
  <c r="AU518" i="1"/>
  <c r="AU60" i="1"/>
  <c r="CM108" i="1"/>
  <c r="BW616" i="1"/>
  <c r="AH45" i="1"/>
  <c r="DB72" i="1" s="1"/>
  <c r="CM575" i="1"/>
  <c r="DB83" i="1"/>
  <c r="BV22" i="1"/>
  <c r="CM182" i="1"/>
  <c r="BV267" i="1"/>
  <c r="S267" i="1" s="1"/>
  <c r="BR267" i="1" s="1"/>
  <c r="BV511" i="1"/>
  <c r="S511" i="1" s="1"/>
  <c r="BR511" i="1" s="1"/>
  <c r="CM641" i="1"/>
  <c r="BV722" i="1"/>
  <c r="BV964" i="1"/>
  <c r="S964" i="1" s="1"/>
  <c r="BR964" i="1" s="1"/>
  <c r="CE964" i="1" s="1"/>
  <c r="AU1458" i="1"/>
  <c r="BV1458" i="1"/>
  <c r="BW1458" i="1" s="1"/>
  <c r="CM13" i="1"/>
  <c r="CM15" i="1"/>
  <c r="AU94" i="1"/>
  <c r="BV94" i="1"/>
  <c r="BQ94" i="1" s="1"/>
  <c r="BV265" i="1"/>
  <c r="CM384" i="1"/>
  <c r="BV637" i="1"/>
  <c r="S637" i="1" s="1"/>
  <c r="BR637" i="1" s="1"/>
  <c r="AU637" i="1"/>
  <c r="CM770" i="1"/>
  <c r="BV902" i="1"/>
  <c r="BW902" i="1" s="1"/>
  <c r="CM904" i="1"/>
  <c r="BV1067" i="1"/>
  <c r="BV1130" i="1"/>
  <c r="BV1290" i="1"/>
  <c r="BQ1290" i="1" s="1"/>
  <c r="AU1090" i="1"/>
  <c r="BV1090" i="1"/>
  <c r="S1090" i="1" s="1"/>
  <c r="BR1090" i="1" s="1"/>
  <c r="CE1090" i="1" s="1"/>
  <c r="AU1268" i="1"/>
  <c r="BV1268" i="1"/>
  <c r="BQ1268" i="1" s="1"/>
  <c r="BO1268" i="1" s="1"/>
  <c r="CX11" i="1"/>
  <c r="AU75" i="1"/>
  <c r="BV203" i="1"/>
  <c r="S203" i="1" s="1"/>
  <c r="BR203" i="1" s="1"/>
  <c r="AU203" i="1"/>
  <c r="AU478" i="1"/>
  <c r="AU492" i="1"/>
  <c r="AU598" i="1"/>
  <c r="AU646" i="1"/>
  <c r="BV646" i="1"/>
  <c r="AU808" i="1"/>
  <c r="AU1206" i="1"/>
  <c r="AU1317" i="1"/>
  <c r="AU213" i="1"/>
  <c r="BV213" i="1"/>
  <c r="S213" i="1" s="1"/>
  <c r="BR213" i="1" s="1"/>
  <c r="AU380" i="1"/>
  <c r="BV749" i="1"/>
  <c r="BQ749" i="1" s="1"/>
  <c r="AU749" i="1"/>
  <c r="AU1257" i="1"/>
  <c r="AU1423" i="1"/>
  <c r="AU159" i="1"/>
  <c r="CM531" i="1"/>
  <c r="AU614" i="1"/>
  <c r="BV1387" i="1"/>
  <c r="BW1387" i="1" s="1"/>
  <c r="AU53" i="1"/>
  <c r="AN28" i="1"/>
  <c r="AU860" i="1"/>
  <c r="BV860" i="1"/>
  <c r="AU1023" i="1"/>
  <c r="AU1079" i="1"/>
  <c r="AU59" i="1"/>
  <c r="CM159" i="1"/>
  <c r="AU168" i="1"/>
  <c r="CM205" i="1"/>
  <c r="CM209" i="1"/>
  <c r="AU296" i="1"/>
  <c r="CM587" i="1"/>
  <c r="AU612" i="1"/>
  <c r="AU1189" i="1"/>
  <c r="CM157" i="1"/>
  <c r="CM261" i="1"/>
  <c r="AU376" i="1"/>
  <c r="AU547" i="1"/>
  <c r="AU745" i="1"/>
  <c r="AU769" i="1"/>
  <c r="BV769" i="1"/>
  <c r="BW769" i="1" s="1"/>
  <c r="AU832" i="1"/>
  <c r="BV846" i="1"/>
  <c r="BW846" i="1" s="1"/>
  <c r="AU996" i="1"/>
  <c r="AU1446" i="1"/>
  <c r="AU111" i="1"/>
  <c r="BV111" i="1"/>
  <c r="BQ111" i="1" s="1"/>
  <c r="AU164" i="1"/>
  <c r="BV164" i="1"/>
  <c r="BW164" i="1" s="1"/>
  <c r="CM197" i="1"/>
  <c r="AU450" i="1"/>
  <c r="BV499" i="1"/>
  <c r="BW499" i="1" s="1"/>
  <c r="AU499" i="1"/>
  <c r="CM1038" i="1"/>
  <c r="AU1097" i="1"/>
  <c r="DB82" i="1"/>
  <c r="CM44" i="1"/>
  <c r="AU109" i="1"/>
  <c r="BV151" i="1"/>
  <c r="S151" i="1" s="1"/>
  <c r="BR151" i="1" s="1"/>
  <c r="AU346" i="1"/>
  <c r="BV470" i="1"/>
  <c r="BW470" i="1" s="1"/>
  <c r="BV608" i="1"/>
  <c r="BQ608" i="1" s="1"/>
  <c r="CM686" i="1"/>
  <c r="BV828" i="1"/>
  <c r="CM849" i="1"/>
  <c r="AU985" i="1"/>
  <c r="CM987" i="1"/>
  <c r="BV1019" i="1"/>
  <c r="S1019" i="1" s="1"/>
  <c r="BR1019" i="1" s="1"/>
  <c r="CM496" i="1"/>
  <c r="AU1425" i="1"/>
  <c r="AU718" i="1"/>
  <c r="CM51" i="1"/>
  <c r="AU81" i="1"/>
  <c r="BV81" i="1"/>
  <c r="S81" i="1" s="1"/>
  <c r="BR81" i="1" s="1"/>
  <c r="BV132" i="1"/>
  <c r="BQ132" i="1" s="1"/>
  <c r="BV23" i="1"/>
  <c r="S23" i="1" s="1"/>
  <c r="BR23" i="1" s="1"/>
  <c r="CM72" i="1"/>
  <c r="CM85" i="1"/>
  <c r="CM105" i="1"/>
  <c r="BV320" i="1"/>
  <c r="BV344" i="1"/>
  <c r="BW344" i="1" s="1"/>
  <c r="BV368" i="1"/>
  <c r="CM534" i="1"/>
  <c r="BQ616" i="1"/>
  <c r="BO616" i="1" s="1"/>
  <c r="CM638" i="1"/>
  <c r="CM732" i="1"/>
  <c r="BV754" i="1"/>
  <c r="BV855" i="1"/>
  <c r="BQ855" i="1" s="1"/>
  <c r="AU856" i="1"/>
  <c r="BV856" i="1"/>
  <c r="BW856" i="1" s="1"/>
  <c r="BV1183" i="1"/>
  <c r="BQ1183" i="1" s="1"/>
  <c r="BT1183" i="1" s="1"/>
  <c r="AU1183" i="1"/>
  <c r="CM1329" i="1"/>
  <c r="BV1381" i="1"/>
  <c r="AU1381" i="1"/>
  <c r="AU736" i="1"/>
  <c r="AU166" i="1"/>
  <c r="CM101" i="1"/>
  <c r="AU225" i="1"/>
  <c r="CM18" i="1"/>
  <c r="BV173" i="1"/>
  <c r="S173" i="1" s="1"/>
  <c r="BR173" i="1" s="1"/>
  <c r="BV205" i="1"/>
  <c r="S205" i="1" s="1"/>
  <c r="BR205" i="1" s="1"/>
  <c r="CM290" i="1"/>
  <c r="CM355" i="1"/>
  <c r="BV390" i="1"/>
  <c r="CM461" i="1"/>
  <c r="BV588" i="1"/>
  <c r="S588" i="1" s="1"/>
  <c r="BR588" i="1" s="1"/>
  <c r="AU959" i="1"/>
  <c r="AU1167" i="1"/>
  <c r="BV1167" i="1"/>
  <c r="AU61" i="1"/>
  <c r="BV61" i="1"/>
  <c r="BW61" i="1" s="1"/>
  <c r="CM175" i="1"/>
  <c r="AU277" i="1"/>
  <c r="AU680" i="1"/>
  <c r="CM1192" i="1"/>
  <c r="BV35" i="1"/>
  <c r="BW35" i="1" s="1"/>
  <c r="BV80" i="1"/>
  <c r="BQ80" i="1" s="1"/>
  <c r="BV143" i="1"/>
  <c r="S143" i="1" s="1"/>
  <c r="BR143" i="1" s="1"/>
  <c r="CM145" i="1"/>
  <c r="AU190" i="1"/>
  <c r="BV190" i="1"/>
  <c r="AU194" i="1"/>
  <c r="AU196" i="1"/>
  <c r="CM237" i="1"/>
  <c r="CM286" i="1"/>
  <c r="AU504" i="1"/>
  <c r="BV504" i="1"/>
  <c r="BQ504" i="1" s="1"/>
  <c r="BO504" i="1" s="1"/>
  <c r="BV515" i="1"/>
  <c r="S515" i="1" s="1"/>
  <c r="BR515" i="1" s="1"/>
  <c r="BV595" i="1"/>
  <c r="BW595" i="1" s="1"/>
  <c r="BV604" i="1"/>
  <c r="BW604" i="1" s="1"/>
  <c r="CM717" i="1"/>
  <c r="BV879" i="1"/>
  <c r="BQ879" i="1" s="1"/>
  <c r="CM1181" i="1"/>
  <c r="BV1218" i="1"/>
  <c r="AU1218" i="1"/>
  <c r="CM1287" i="1"/>
  <c r="AU1294" i="1"/>
  <c r="BV1294" i="1"/>
  <c r="BW1294" i="1" s="1"/>
  <c r="AU1352" i="1"/>
  <c r="AU698" i="1"/>
  <c r="AU1414" i="1"/>
  <c r="BV1414" i="1"/>
  <c r="S1414" i="1" s="1"/>
  <c r="BR1414" i="1" s="1"/>
  <c r="CE1414" i="1" s="1"/>
  <c r="AH46" i="1"/>
  <c r="AK46" i="1" s="1"/>
  <c r="AU139" i="1"/>
  <c r="BV139" i="1"/>
  <c r="BQ139" i="1" s="1"/>
  <c r="BO139" i="1" s="1"/>
  <c r="DE82" i="1"/>
  <c r="AU4" i="1"/>
  <c r="AU36" i="1"/>
  <c r="BV1174" i="1"/>
  <c r="S1174" i="1" s="1"/>
  <c r="BR1174" i="1" s="1"/>
  <c r="CE1174" i="1" s="1"/>
  <c r="AU1174" i="1"/>
  <c r="AU5" i="1"/>
  <c r="AU20" i="1"/>
  <c r="AU136" i="1"/>
  <c r="BV136" i="1"/>
  <c r="BQ136" i="1" s="1"/>
  <c r="BT136" i="1" s="1"/>
  <c r="BV579" i="1"/>
  <c r="BW579" i="1" s="1"/>
  <c r="AU579" i="1"/>
  <c r="AU781" i="1"/>
  <c r="BV781" i="1"/>
  <c r="BV1112" i="1"/>
  <c r="BW1112" i="1" s="1"/>
  <c r="AU1112" i="1"/>
  <c r="AU560" i="1"/>
  <c r="BV560" i="1"/>
  <c r="S560" i="1" s="1"/>
  <c r="BR560" i="1" s="1"/>
  <c r="AU742" i="1"/>
  <c r="BV1259" i="1"/>
  <c r="BW1259" i="1" s="1"/>
  <c r="AU174" i="1"/>
  <c r="AU738" i="1"/>
  <c r="AU90" i="1"/>
  <c r="AU157" i="1"/>
  <c r="BV209" i="1"/>
  <c r="BW209" i="1" s="1"/>
  <c r="AU83" i="1"/>
  <c r="CX17" i="1"/>
  <c r="AU156" i="1"/>
  <c r="BV156" i="1"/>
  <c r="AU223" i="1"/>
  <c r="BV243" i="1"/>
  <c r="S243" i="1" s="1"/>
  <c r="BR243" i="1" s="1"/>
  <c r="CM331" i="1"/>
  <c r="BV11" i="1"/>
  <c r="BV13" i="1"/>
  <c r="S13" i="1" s="1"/>
  <c r="BR13" i="1" s="1"/>
  <c r="AU58" i="1"/>
  <c r="BV58" i="1"/>
  <c r="S58" i="1" s="1"/>
  <c r="BR58" i="1" s="1"/>
  <c r="CM61" i="1"/>
  <c r="CM89" i="1"/>
  <c r="CM171" i="1"/>
  <c r="AU192" i="1"/>
  <c r="CM249" i="1"/>
  <c r="BV269" i="1"/>
  <c r="BW269" i="1" s="1"/>
  <c r="CM414" i="1"/>
  <c r="CM566" i="1"/>
  <c r="AU656" i="1"/>
  <c r="BV712" i="1"/>
  <c r="CM772" i="1"/>
  <c r="AU820" i="1"/>
  <c r="CM957" i="1"/>
  <c r="CM966" i="1"/>
  <c r="AU1323" i="1"/>
  <c r="CM439" i="1"/>
  <c r="AU463" i="1"/>
  <c r="BV463" i="1"/>
  <c r="S463" i="1" s="1"/>
  <c r="BR463" i="1" s="1"/>
  <c r="CM579" i="1"/>
  <c r="AU658" i="1"/>
  <c r="AU713" i="1"/>
  <c r="CM269" i="1"/>
  <c r="CM11" i="1"/>
  <c r="CM23" i="1"/>
  <c r="BV28" i="1"/>
  <c r="BQ28" i="1" s="1"/>
  <c r="BT28" i="1" s="1"/>
  <c r="BV38" i="1"/>
  <c r="S38" i="1" s="1"/>
  <c r="BR38" i="1" s="1"/>
  <c r="CM136" i="1"/>
  <c r="CM147" i="1"/>
  <c r="AU180" i="1"/>
  <c r="AU207" i="1"/>
  <c r="CM223" i="1"/>
  <c r="BV233" i="1"/>
  <c r="BQ233" i="1" s="1"/>
  <c r="BO233" i="1" s="1"/>
  <c r="AU237" i="1"/>
  <c r="AU257" i="1"/>
  <c r="CM267" i="1"/>
  <c r="CM279" i="1"/>
  <c r="BV348" i="1"/>
  <c r="CM371" i="1"/>
  <c r="CM599" i="1"/>
  <c r="CM624" i="1"/>
  <c r="BV650" i="1"/>
  <c r="BQ650" i="1" s="1"/>
  <c r="CM677" i="1"/>
  <c r="AU688" i="1"/>
  <c r="CM713" i="1"/>
  <c r="BV724" i="1"/>
  <c r="S724" i="1" s="1"/>
  <c r="BR724" i="1" s="1"/>
  <c r="AU737" i="1"/>
  <c r="AU807" i="1"/>
  <c r="BV873" i="1"/>
  <c r="BQ873" i="1" s="1"/>
  <c r="CM906" i="1"/>
  <c r="CM983" i="1"/>
  <c r="AU1063" i="1"/>
  <c r="BV1103" i="1"/>
  <c r="AU1156" i="1"/>
  <c r="BV1226" i="1"/>
  <c r="AU1283" i="1"/>
  <c r="AU1292" i="1"/>
  <c r="CM1356" i="1"/>
  <c r="AU46" i="1"/>
  <c r="AU73" i="1"/>
  <c r="AU297" i="1"/>
  <c r="AU323" i="1"/>
  <c r="AU338" i="1"/>
  <c r="BV338" i="1"/>
  <c r="BW338" i="1" s="1"/>
  <c r="AU378" i="1"/>
  <c r="AU410" i="1"/>
  <c r="AU440" i="1"/>
  <c r="AU509" i="1"/>
  <c r="CM633" i="1"/>
  <c r="AU812" i="1"/>
  <c r="AU816" i="1"/>
  <c r="AU929" i="1"/>
  <c r="CM942" i="1"/>
  <c r="CM247" i="1"/>
  <c r="AU309" i="1"/>
  <c r="CM340" i="1"/>
  <c r="AU419" i="1"/>
  <c r="CM423" i="1"/>
  <c r="BV451" i="1"/>
  <c r="BQ451" i="1" s="1"/>
  <c r="CM522" i="1"/>
  <c r="AU556" i="1"/>
  <c r="AU587" i="1"/>
  <c r="AU591" i="1"/>
  <c r="AU676" i="1"/>
  <c r="BV676" i="1"/>
  <c r="BQ676" i="1" s="1"/>
  <c r="AU1484" i="1"/>
  <c r="AU530" i="1"/>
  <c r="CM595" i="1"/>
  <c r="BV880" i="1"/>
  <c r="BW880" i="1" s="1"/>
  <c r="AU1017" i="1"/>
  <c r="BV1017" i="1"/>
  <c r="BQ1017" i="1" s="1"/>
  <c r="CM1050" i="1"/>
  <c r="AU1179" i="1"/>
  <c r="AU1277" i="1"/>
  <c r="AU1310" i="1"/>
  <c r="BV1330" i="1"/>
  <c r="BW1330" i="1" s="1"/>
  <c r="AU1330" i="1"/>
  <c r="AU1350" i="1"/>
  <c r="AU19" i="1"/>
  <c r="AU421" i="1"/>
  <c r="AU507" i="1"/>
  <c r="AU82" i="1"/>
  <c r="BV82" i="1"/>
  <c r="BQ82" i="1" s="1"/>
  <c r="BO82" i="1" s="1"/>
  <c r="CM4" i="1"/>
  <c r="BV12" i="1"/>
  <c r="BW12" i="1" s="1"/>
  <c r="CM22" i="1"/>
  <c r="AU33" i="1"/>
  <c r="BV48" i="1"/>
  <c r="S48" i="1" s="1"/>
  <c r="BR48" i="1" s="1"/>
  <c r="CM55" i="1"/>
  <c r="BV64" i="1"/>
  <c r="BQ64" i="1" s="1"/>
  <c r="CM73" i="1"/>
  <c r="AU87" i="1"/>
  <c r="AU112" i="1"/>
  <c r="BV137" i="1"/>
  <c r="S137" i="1" s="1"/>
  <c r="BR137" i="1" s="1"/>
  <c r="CM141" i="1"/>
  <c r="AU150" i="1"/>
  <c r="CM156" i="1"/>
  <c r="CM160" i="1"/>
  <c r="AU200" i="1"/>
  <c r="CM213" i="1"/>
  <c r="BV240" i="1"/>
  <c r="BW240" i="1" s="1"/>
  <c r="BV266" i="1"/>
  <c r="BV303" i="1"/>
  <c r="S303" i="1" s="1"/>
  <c r="BR303" i="1" s="1"/>
  <c r="CM305" i="1"/>
  <c r="BV317" i="1"/>
  <c r="BW317" i="1" s="1"/>
  <c r="BV319" i="1"/>
  <c r="S319" i="1" s="1"/>
  <c r="BR319" i="1" s="1"/>
  <c r="BV321" i="1"/>
  <c r="BQ321" i="1" s="1"/>
  <c r="AU374" i="1"/>
  <c r="AU400" i="1"/>
  <c r="AU406" i="1"/>
  <c r="BV417" i="1"/>
  <c r="BW417" i="1" s="1"/>
  <c r="CM421" i="1"/>
  <c r="BV430" i="1"/>
  <c r="BQ430" i="1" s="1"/>
  <c r="CM434" i="1"/>
  <c r="AU678" i="1"/>
  <c r="CM729" i="1"/>
  <c r="BV740" i="1"/>
  <c r="S740" i="1" s="1"/>
  <c r="BR740" i="1" s="1"/>
  <c r="AU744" i="1"/>
  <c r="CM854" i="1"/>
  <c r="BV927" i="1"/>
  <c r="BQ927" i="1" s="1"/>
  <c r="AU973" i="1"/>
  <c r="AU997" i="1"/>
  <c r="BV1137" i="1"/>
  <c r="BW1137" i="1" s="1"/>
  <c r="AU1137" i="1"/>
  <c r="AU1244" i="1"/>
  <c r="AU1357" i="1"/>
  <c r="BV1357" i="1"/>
  <c r="CM1404" i="1"/>
  <c r="AU1491" i="1"/>
  <c r="DB84" i="1"/>
  <c r="CM19" i="1"/>
  <c r="AU127" i="1"/>
  <c r="AU238" i="1"/>
  <c r="CM301" i="1"/>
  <c r="CM319" i="1"/>
  <c r="AU776" i="1"/>
  <c r="AU892" i="1"/>
  <c r="BV892" i="1"/>
  <c r="BW892" i="1" s="1"/>
  <c r="AU1039" i="1"/>
  <c r="AU133" i="1"/>
  <c r="AU183" i="1"/>
  <c r="AU185" i="1"/>
  <c r="AU208" i="1"/>
  <c r="AU236" i="1"/>
  <c r="AU471" i="1"/>
  <c r="AU484" i="1"/>
  <c r="AU572" i="1"/>
  <c r="AU576" i="1"/>
  <c r="AU710" i="1"/>
  <c r="BV710" i="1"/>
  <c r="S710" i="1" s="1"/>
  <c r="BR710" i="1" s="1"/>
  <c r="AU759" i="1"/>
  <c r="AU844" i="1"/>
  <c r="AU1093" i="1"/>
  <c r="CM1097" i="1"/>
  <c r="AU1102" i="1"/>
  <c r="BV1102" i="1"/>
  <c r="AU1264" i="1"/>
  <c r="BV1264" i="1"/>
  <c r="BW1264" i="1" s="1"/>
  <c r="AU313" i="1"/>
  <c r="BV956" i="1"/>
  <c r="AU956" i="1"/>
  <c r="BV1095" i="1"/>
  <c r="S1095" i="1" s="1"/>
  <c r="BR1095" i="1" s="1"/>
  <c r="AU14" i="1"/>
  <c r="AU16" i="1"/>
  <c r="AU7" i="1"/>
  <c r="DE81" i="1"/>
  <c r="AU84" i="1"/>
  <c r="AU129" i="1"/>
  <c r="BV144" i="1"/>
  <c r="BW144" i="1" s="1"/>
  <c r="CM258" i="1"/>
  <c r="AU347" i="1"/>
  <c r="AU458" i="1"/>
  <c r="AU460" i="1"/>
  <c r="AU516" i="1"/>
  <c r="AU789" i="1"/>
  <c r="AU1133" i="1"/>
  <c r="BV1133" i="1"/>
  <c r="BQ1133" i="1" s="1"/>
  <c r="BT1133" i="1" s="1"/>
  <c r="BV1195" i="1"/>
  <c r="AU1420" i="1"/>
  <c r="BV1420" i="1"/>
  <c r="S1420" i="1" s="1"/>
  <c r="BR1420" i="1" s="1"/>
  <c r="CE1420" i="1" s="1"/>
  <c r="CX7" i="1"/>
  <c r="DJ81" i="1"/>
  <c r="AU97" i="1"/>
  <c r="AU165" i="1"/>
  <c r="CM181" i="1"/>
  <c r="BV189" i="1"/>
  <c r="BW189" i="1" s="1"/>
  <c r="AU189" i="1"/>
  <c r="AU345" i="1"/>
  <c r="AU362" i="1"/>
  <c r="CM364" i="1"/>
  <c r="CM539" i="1"/>
  <c r="AU672" i="1"/>
  <c r="AU890" i="1"/>
  <c r="AU991" i="1"/>
  <c r="BV1071" i="1"/>
  <c r="BQ1071" i="1" s="1"/>
  <c r="AU1195" i="1"/>
  <c r="AU1225" i="1"/>
  <c r="AU1438" i="1"/>
  <c r="CX6" i="1"/>
  <c r="AU21" i="1"/>
  <c r="AU41" i="1"/>
  <c r="BV54" i="1"/>
  <c r="BQ54" i="1" s="1"/>
  <c r="BO54" i="1" s="1"/>
  <c r="AU175" i="1"/>
  <c r="CM179" i="1"/>
  <c r="AU195" i="1"/>
  <c r="AU341" i="1"/>
  <c r="CM347" i="1"/>
  <c r="AU360" i="1"/>
  <c r="AU456" i="1"/>
  <c r="AU533" i="1"/>
  <c r="AU568" i="1"/>
  <c r="AU670" i="1"/>
  <c r="AU721" i="1"/>
  <c r="AU1227" i="1"/>
  <c r="AU1416" i="1"/>
  <c r="BV1416" i="1"/>
  <c r="BQ1416" i="1" s="1"/>
  <c r="AU1427" i="1"/>
  <c r="BV45" i="1"/>
  <c r="S45" i="1" s="1"/>
  <c r="BR45" i="1" s="1"/>
  <c r="AU62" i="1"/>
  <c r="AU72" i="1"/>
  <c r="CM91" i="1"/>
  <c r="CM133" i="1"/>
  <c r="AU140" i="1"/>
  <c r="BV161" i="1"/>
  <c r="BQ161" i="1" s="1"/>
  <c r="BO161" i="1" s="1"/>
  <c r="BV169" i="1"/>
  <c r="BQ169" i="1" s="1"/>
  <c r="CM210" i="1"/>
  <c r="BV214" i="1"/>
  <c r="S214" i="1" s="1"/>
  <c r="BR214" i="1" s="1"/>
  <c r="CM220" i="1"/>
  <c r="CM234" i="1"/>
  <c r="CM287" i="1"/>
  <c r="CM328" i="1"/>
  <c r="CM445" i="1"/>
  <c r="CM480" i="1"/>
  <c r="BV566" i="1"/>
  <c r="BW566" i="1" s="1"/>
  <c r="AU570" i="1"/>
  <c r="BV630" i="1"/>
  <c r="CM649" i="1"/>
  <c r="CM683" i="1"/>
  <c r="BV730" i="1"/>
  <c r="S730" i="1" s="1"/>
  <c r="BR730" i="1" s="1"/>
  <c r="AU751" i="1"/>
  <c r="AU785" i="1"/>
  <c r="BV785" i="1"/>
  <c r="BQ785" i="1" s="1"/>
  <c r="AU798" i="1"/>
  <c r="CM965" i="1"/>
  <c r="AU1116" i="1"/>
  <c r="BV1116" i="1"/>
  <c r="BQ1116" i="1" s="1"/>
  <c r="BT1116" i="1" s="1"/>
  <c r="BV1389" i="1"/>
  <c r="AU1389" i="1"/>
  <c r="CM1409" i="1"/>
  <c r="CM1460" i="1"/>
  <c r="CM427" i="1"/>
  <c r="BV496" i="1"/>
  <c r="BW496" i="1" s="1"/>
  <c r="BV498" i="1"/>
  <c r="AU508" i="1"/>
  <c r="AU512" i="1"/>
  <c r="BV514" i="1"/>
  <c r="BQ514" i="1" s="1"/>
  <c r="CM568" i="1"/>
  <c r="CM591" i="1"/>
  <c r="BV686" i="1"/>
  <c r="BV690" i="1"/>
  <c r="BW690" i="1" s="1"/>
  <c r="BV748" i="1"/>
  <c r="BQ748" i="1" s="1"/>
  <c r="BV750" i="1"/>
  <c r="BV752" i="1"/>
  <c r="BV772" i="1"/>
  <c r="BQ772" i="1" s="1"/>
  <c r="AU772" i="1"/>
  <c r="AU799" i="1"/>
  <c r="BV852" i="1"/>
  <c r="S852" i="1" s="1"/>
  <c r="BR852" i="1" s="1"/>
  <c r="BV871" i="1"/>
  <c r="S871" i="1" s="1"/>
  <c r="BR871" i="1" s="1"/>
  <c r="BV989" i="1"/>
  <c r="BW989" i="1" s="1"/>
  <c r="AU1089" i="1"/>
  <c r="BV1122" i="1"/>
  <c r="BW1122" i="1" s="1"/>
  <c r="CM1193" i="1"/>
  <c r="AU1255" i="1"/>
  <c r="BV1281" i="1"/>
  <c r="S1281" i="1" s="1"/>
  <c r="BR1281" i="1" s="1"/>
  <c r="BV1325" i="1"/>
  <c r="BW1325" i="1" s="1"/>
  <c r="AU1336" i="1"/>
  <c r="CM1400" i="1"/>
  <c r="AU124" i="1"/>
  <c r="AU138" i="1"/>
  <c r="AU142" i="1"/>
  <c r="AU152" i="1"/>
  <c r="AU187" i="1"/>
  <c r="AU215" i="1"/>
  <c r="AU221" i="1"/>
  <c r="AU294" i="1"/>
  <c r="AU428" i="1"/>
  <c r="CM430" i="1"/>
  <c r="AU826" i="1"/>
  <c r="AU865" i="1"/>
  <c r="AU919" i="1"/>
  <c r="AU977" i="1"/>
  <c r="AU1083" i="1"/>
  <c r="BV1083" i="1"/>
  <c r="BQ1083" i="1" s="1"/>
  <c r="BV1328" i="1"/>
  <c r="BQ1328" i="1" s="1"/>
  <c r="CM69" i="1"/>
  <c r="AU74" i="1"/>
  <c r="BV86" i="1"/>
  <c r="S86" i="1" s="1"/>
  <c r="BR86" i="1" s="1"/>
  <c r="BV110" i="1"/>
  <c r="AU117" i="1"/>
  <c r="CM138" i="1"/>
  <c r="CM142" i="1"/>
  <c r="CM162" i="1"/>
  <c r="CM211" i="1"/>
  <c r="CM244" i="1"/>
  <c r="AU268" i="1"/>
  <c r="BV284" i="1"/>
  <c r="S284" i="1" s="1"/>
  <c r="BR284" i="1" s="1"/>
  <c r="BV306" i="1"/>
  <c r="S306" i="1" s="1"/>
  <c r="BR306" i="1" s="1"/>
  <c r="BV350" i="1"/>
  <c r="BW350" i="1" s="1"/>
  <c r="BV352" i="1"/>
  <c r="BW352" i="1" s="1"/>
  <c r="CM370" i="1"/>
  <c r="BV387" i="1"/>
  <c r="S387" i="1" s="1"/>
  <c r="BR387" i="1" s="1"/>
  <c r="AU409" i="1"/>
  <c r="CM413" i="1"/>
  <c r="CM428" i="1"/>
  <c r="BV457" i="1"/>
  <c r="S457" i="1" s="1"/>
  <c r="BR457" i="1" s="1"/>
  <c r="AU461" i="1"/>
  <c r="BV474" i="1"/>
  <c r="S474" i="1" s="1"/>
  <c r="BR474" i="1" s="1"/>
  <c r="BV550" i="1"/>
  <c r="AU569" i="1"/>
  <c r="BV571" i="1"/>
  <c r="BW571" i="1" s="1"/>
  <c r="AU573" i="1"/>
  <c r="CM630" i="1"/>
  <c r="CM726" i="1"/>
  <c r="CM728" i="1"/>
  <c r="BV818" i="1"/>
  <c r="S818" i="1" s="1"/>
  <c r="BR818" i="1" s="1"/>
  <c r="BV822" i="1"/>
  <c r="BV824" i="1"/>
  <c r="S824" i="1" s="1"/>
  <c r="BR824" i="1" s="1"/>
  <c r="CM923" i="1"/>
  <c r="AU949" i="1"/>
  <c r="AU962" i="1"/>
  <c r="CM977" i="1"/>
  <c r="BV992" i="1"/>
  <c r="S992" i="1" s="1"/>
  <c r="BR992" i="1" s="1"/>
  <c r="CE992" i="1" s="1"/>
  <c r="CM1041" i="1"/>
  <c r="CM1083" i="1"/>
  <c r="CM1131" i="1"/>
  <c r="CM1146" i="1"/>
  <c r="AU1181" i="1"/>
  <c r="AU1319" i="1"/>
  <c r="CM1321" i="1"/>
  <c r="BV1445" i="1"/>
  <c r="AU1445" i="1"/>
  <c r="AU1482" i="1"/>
  <c r="AU1489" i="1"/>
  <c r="AU542" i="1"/>
  <c r="BV544" i="1"/>
  <c r="BQ544" i="1" s="1"/>
  <c r="BT544" i="1" s="1"/>
  <c r="BV765" i="1"/>
  <c r="S765" i="1" s="1"/>
  <c r="BR765" i="1" s="1"/>
  <c r="AU765" i="1"/>
  <c r="AU804" i="1"/>
  <c r="CM958" i="1"/>
  <c r="AU1155" i="1"/>
  <c r="CM1159" i="1"/>
  <c r="BV1190" i="1"/>
  <c r="BQ1190" i="1" s="1"/>
  <c r="AU1306" i="1"/>
  <c r="AU1313" i="1"/>
  <c r="CM1425" i="1"/>
  <c r="AU398" i="1"/>
  <c r="AU468" i="1"/>
  <c r="CM515" i="1"/>
  <c r="AU536" i="1"/>
  <c r="CM550" i="1"/>
  <c r="AU563" i="1"/>
  <c r="CM603" i="1"/>
  <c r="AU771" i="1"/>
  <c r="AU794" i="1"/>
  <c r="BV796" i="1"/>
  <c r="S796" i="1" s="1"/>
  <c r="BR796" i="1" s="1"/>
  <c r="CM808" i="1"/>
  <c r="AU1044" i="1"/>
  <c r="CM1081" i="1"/>
  <c r="AU1170" i="1"/>
  <c r="AU1228" i="1"/>
  <c r="AU57" i="1"/>
  <c r="CM65" i="1"/>
  <c r="BV78" i="1"/>
  <c r="BW78" i="1" s="1"/>
  <c r="AU99" i="1"/>
  <c r="BV101" i="1"/>
  <c r="S101" i="1" s="1"/>
  <c r="BR101" i="1" s="1"/>
  <c r="CM110" i="1"/>
  <c r="BV121" i="1"/>
  <c r="BW121" i="1" s="1"/>
  <c r="CM128" i="1"/>
  <c r="CM132" i="1"/>
  <c r="AU172" i="1"/>
  <c r="AU184" i="1"/>
  <c r="BV224" i="1"/>
  <c r="S224" i="1" s="1"/>
  <c r="BR224" i="1" s="1"/>
  <c r="AU272" i="1"/>
  <c r="BV274" i="1"/>
  <c r="BW274" i="1" s="1"/>
  <c r="CM282" i="1"/>
  <c r="BV363" i="1"/>
  <c r="BQ363" i="1" s="1"/>
  <c r="AU365" i="1"/>
  <c r="AU373" i="1"/>
  <c r="BV379" i="1"/>
  <c r="S379" i="1" s="1"/>
  <c r="BR379" i="1" s="1"/>
  <c r="CM381" i="1"/>
  <c r="AU396" i="1"/>
  <c r="AU416" i="1"/>
  <c r="AU443" i="1"/>
  <c r="AU447" i="1"/>
  <c r="CM472" i="1"/>
  <c r="BV483" i="1"/>
  <c r="BQ483" i="1" s="1"/>
  <c r="AU483" i="1"/>
  <c r="BV493" i="1"/>
  <c r="BQ493" i="1" s="1"/>
  <c r="BV540" i="1"/>
  <c r="S540" i="1" s="1"/>
  <c r="BR540" i="1" s="1"/>
  <c r="AU580" i="1"/>
  <c r="CM627" i="1"/>
  <c r="AU629" i="1"/>
  <c r="AU635" i="1"/>
  <c r="CM691" i="1"/>
  <c r="CM693" i="1"/>
  <c r="CM767" i="1"/>
  <c r="AU796" i="1"/>
  <c r="CM798" i="1"/>
  <c r="CM802" i="1"/>
  <c r="AU887" i="1"/>
  <c r="BV887" i="1"/>
  <c r="S887" i="1" s="1"/>
  <c r="BR887" i="1" s="1"/>
  <c r="CM915" i="1"/>
  <c r="BV984" i="1"/>
  <c r="AU984" i="1"/>
  <c r="AU1014" i="1"/>
  <c r="AU1177" i="1"/>
  <c r="AU1472" i="1"/>
  <c r="BV50" i="1"/>
  <c r="BW50" i="1" s="1"/>
  <c r="CM239" i="1"/>
  <c r="CM302" i="1"/>
  <c r="BV339" i="1"/>
  <c r="BQ339" i="1" s="1"/>
  <c r="BV377" i="1"/>
  <c r="BW377" i="1" s="1"/>
  <c r="BV441" i="1"/>
  <c r="BQ441" i="1" s="1"/>
  <c r="BT441" i="1" s="1"/>
  <c r="BV445" i="1"/>
  <c r="S445" i="1" s="1"/>
  <c r="BR445" i="1" s="1"/>
  <c r="BV466" i="1"/>
  <c r="S466" i="1" s="1"/>
  <c r="BR466" i="1" s="1"/>
  <c r="CM468" i="1"/>
  <c r="BV491" i="1"/>
  <c r="S491" i="1" s="1"/>
  <c r="BR491" i="1" s="1"/>
  <c r="AU671" i="1"/>
  <c r="CM913" i="1"/>
  <c r="AU1134" i="1"/>
  <c r="BV1134" i="1"/>
  <c r="BQ1134" i="1" s="1"/>
  <c r="BV1384" i="1"/>
  <c r="S1384" i="1" s="1"/>
  <c r="BR1384" i="1" s="1"/>
  <c r="CE1384" i="1" s="1"/>
  <c r="AU1397" i="1"/>
  <c r="CM1421" i="1"/>
  <c r="AU76" i="1"/>
  <c r="CM88" i="1"/>
  <c r="BV105" i="1"/>
  <c r="BQ105" i="1" s="1"/>
  <c r="BV149" i="1"/>
  <c r="S149" i="1" s="1"/>
  <c r="BR149" i="1" s="1"/>
  <c r="CM170" i="1"/>
  <c r="BV199" i="1"/>
  <c r="S199" i="1" s="1"/>
  <c r="BR199" i="1" s="1"/>
  <c r="AU212" i="1"/>
  <c r="BV218" i="1"/>
  <c r="BW218" i="1" s="1"/>
  <c r="CM274" i="1"/>
  <c r="BV331" i="1"/>
  <c r="S331" i="1" s="1"/>
  <c r="BR331" i="1" s="1"/>
  <c r="AU333" i="1"/>
  <c r="BV357" i="1"/>
  <c r="BW357" i="1" s="1"/>
  <c r="CM379" i="1"/>
  <c r="CM396" i="1"/>
  <c r="BV414" i="1"/>
  <c r="BW414" i="1" s="1"/>
  <c r="CM416" i="1"/>
  <c r="CM433" i="1"/>
  <c r="BV487" i="1"/>
  <c r="S487" i="1" s="1"/>
  <c r="BR487" i="1" s="1"/>
  <c r="CM505" i="1"/>
  <c r="AU578" i="1"/>
  <c r="CM601" i="1"/>
  <c r="CM625" i="1"/>
  <c r="CM629" i="1"/>
  <c r="BV631" i="1"/>
  <c r="CM635" i="1"/>
  <c r="CM661" i="1"/>
  <c r="AU673" i="1"/>
  <c r="BV673" i="1"/>
  <c r="BQ673" i="1" s="1"/>
  <c r="BT673" i="1" s="1"/>
  <c r="CM689" i="1"/>
  <c r="AU697" i="1"/>
  <c r="AU699" i="1"/>
  <c r="AU703" i="1"/>
  <c r="BV705" i="1"/>
  <c r="BW705" i="1" s="1"/>
  <c r="BV709" i="1"/>
  <c r="S709" i="1" s="1"/>
  <c r="BR709" i="1" s="1"/>
  <c r="AU719" i="1"/>
  <c r="CM743" i="1"/>
  <c r="CM757" i="1"/>
  <c r="CM769" i="1"/>
  <c r="CM800" i="1"/>
  <c r="AU911" i="1"/>
  <c r="CM926" i="1"/>
  <c r="BV969" i="1"/>
  <c r="BQ969" i="1" s="1"/>
  <c r="CM971" i="1"/>
  <c r="AU1119" i="1"/>
  <c r="AU1164" i="1"/>
  <c r="BV1166" i="1"/>
  <c r="BV1263" i="1"/>
  <c r="S1263" i="1" s="1"/>
  <c r="BR1263" i="1" s="1"/>
  <c r="BV1265" i="1"/>
  <c r="S1265" i="1" s="1"/>
  <c r="BR1265" i="1" s="1"/>
  <c r="CM1278" i="1"/>
  <c r="BV1380" i="1"/>
  <c r="CM1406" i="1"/>
  <c r="AU1439" i="1"/>
  <c r="AU519" i="1"/>
  <c r="AU575" i="1"/>
  <c r="BV645" i="1"/>
  <c r="S645" i="1" s="1"/>
  <c r="BR645" i="1" s="1"/>
  <c r="AU645" i="1"/>
  <c r="AU723" i="1"/>
  <c r="AU727" i="1"/>
  <c r="AU731" i="1"/>
  <c r="AU770" i="1"/>
  <c r="AU869" i="1"/>
  <c r="AU1027" i="1"/>
  <c r="CM1130" i="1"/>
  <c r="CM1170" i="1"/>
  <c r="CM1283" i="1"/>
  <c r="AU1426" i="1"/>
  <c r="CM404" i="1"/>
  <c r="BV9" i="1"/>
  <c r="CM39" i="1"/>
  <c r="AU43" i="1"/>
  <c r="AU52" i="1"/>
  <c r="CM84" i="1"/>
  <c r="CM119" i="1"/>
  <c r="AU134" i="1"/>
  <c r="BV148" i="1"/>
  <c r="S148" i="1" s="1"/>
  <c r="BR148" i="1" s="1"/>
  <c r="AU220" i="1"/>
  <c r="CM224" i="1"/>
  <c r="AU226" i="1"/>
  <c r="AU258" i="1"/>
  <c r="BV260" i="1"/>
  <c r="BV273" i="1"/>
  <c r="S273" i="1" s="1"/>
  <c r="BR273" i="1" s="1"/>
  <c r="CM277" i="1"/>
  <c r="AU283" i="1"/>
  <c r="AU285" i="1"/>
  <c r="BV382" i="1"/>
  <c r="BQ382" i="1" s="1"/>
  <c r="BV386" i="1"/>
  <c r="BW386" i="1" s="1"/>
  <c r="AU422" i="1"/>
  <c r="CM436" i="1"/>
  <c r="AU444" i="1"/>
  <c r="CM452" i="1"/>
  <c r="CM521" i="1"/>
  <c r="AU539" i="1"/>
  <c r="BV553" i="1"/>
  <c r="S553" i="1" s="1"/>
  <c r="BR553" i="1" s="1"/>
  <c r="BV555" i="1"/>
  <c r="BQ555" i="1" s="1"/>
  <c r="CM557" i="1"/>
  <c r="CM561" i="1"/>
  <c r="AU600" i="1"/>
  <c r="AU624" i="1"/>
  <c r="AU653" i="1"/>
  <c r="AU661" i="1"/>
  <c r="CM682" i="1"/>
  <c r="BV696" i="1"/>
  <c r="CM774" i="1"/>
  <c r="CM842" i="1"/>
  <c r="AU867" i="1"/>
  <c r="AU888" i="1"/>
  <c r="BV931" i="1"/>
  <c r="AU939" i="1"/>
  <c r="BV950" i="1"/>
  <c r="CM975" i="1"/>
  <c r="BV1096" i="1"/>
  <c r="BW1096" i="1" s="1"/>
  <c r="BV1120" i="1"/>
  <c r="BW1120" i="1" s="1"/>
  <c r="CM1145" i="1"/>
  <c r="AU1162" i="1"/>
  <c r="AU1279" i="1"/>
  <c r="CM1317" i="1"/>
  <c r="AU1383" i="1"/>
  <c r="AU1396" i="1"/>
  <c r="BV1396" i="1"/>
  <c r="BQ1396" i="1" s="1"/>
  <c r="CM1398" i="1"/>
  <c r="AU1450" i="1"/>
  <c r="CM1465" i="1"/>
  <c r="BV1474" i="1"/>
  <c r="S1474" i="1" s="1"/>
  <c r="BR1474" i="1" s="1"/>
  <c r="CE1474" i="1" s="1"/>
  <c r="CM1476" i="1"/>
  <c r="CM1298" i="1"/>
  <c r="AU1309" i="1"/>
  <c r="CM1335" i="1"/>
  <c r="BV1342" i="1"/>
  <c r="BQ1342" i="1" s="1"/>
  <c r="BV1392" i="1"/>
  <c r="S1392" i="1" s="1"/>
  <c r="BR1392" i="1" s="1"/>
  <c r="CE1392" i="1" s="1"/>
  <c r="AU1392" i="1"/>
  <c r="CM1394" i="1"/>
  <c r="CM1424" i="1"/>
  <c r="AU1433" i="1"/>
  <c r="AU1461" i="1"/>
  <c r="AU1496" i="1"/>
  <c r="AU1040" i="1"/>
  <c r="AU1047" i="1"/>
  <c r="CM1135" i="1"/>
  <c r="AU1322" i="1"/>
  <c r="AU1388" i="1"/>
  <c r="AU1442" i="1"/>
  <c r="BV1442" i="1"/>
  <c r="BW1442" i="1" s="1"/>
  <c r="CM34" i="1"/>
  <c r="BV56" i="1"/>
  <c r="S56" i="1" s="1"/>
  <c r="BR56" i="1" s="1"/>
  <c r="CM59" i="1"/>
  <c r="AU230" i="1"/>
  <c r="CM372" i="1"/>
  <c r="CM586" i="1"/>
  <c r="AU605" i="1"/>
  <c r="AU609" i="1"/>
  <c r="AU619" i="1"/>
  <c r="AU716" i="1"/>
  <c r="AU791" i="1"/>
  <c r="AU797" i="1"/>
  <c r="BV823" i="1"/>
  <c r="AU823" i="1"/>
  <c r="AU845" i="1"/>
  <c r="AU925" i="1"/>
  <c r="BV1086" i="1"/>
  <c r="BW1086" i="1" s="1"/>
  <c r="AU1129" i="1"/>
  <c r="AU1171" i="1"/>
  <c r="BV1197" i="1"/>
  <c r="S1197" i="1" s="1"/>
  <c r="BR1197" i="1" s="1"/>
  <c r="CM1243" i="1"/>
  <c r="CM1375" i="1"/>
  <c r="AU1390" i="1"/>
  <c r="AU70" i="1"/>
  <c r="BV108" i="1"/>
  <c r="AU115" i="1"/>
  <c r="CM167" i="1"/>
  <c r="BV177" i="1"/>
  <c r="BQ177" i="1" s="1"/>
  <c r="AU204" i="1"/>
  <c r="BV276" i="1"/>
  <c r="CM299" i="1"/>
  <c r="CM350" i="1"/>
  <c r="BV354" i="1"/>
  <c r="S354" i="1" s="1"/>
  <c r="BR354" i="1" s="1"/>
  <c r="AU413" i="1"/>
  <c r="CM431" i="1"/>
  <c r="BV482" i="1"/>
  <c r="BQ482" i="1" s="1"/>
  <c r="CM489" i="1"/>
  <c r="BV558" i="1"/>
  <c r="BW558" i="1" s="1"/>
  <c r="CM584" i="1"/>
  <c r="CM594" i="1"/>
  <c r="CM634" i="1"/>
  <c r="AU675" i="1"/>
  <c r="AU683" i="1"/>
  <c r="CM687" i="1"/>
  <c r="CM718" i="1"/>
  <c r="CM759" i="1"/>
  <c r="BV761" i="1"/>
  <c r="BQ761" i="1" s="1"/>
  <c r="AU795" i="1"/>
  <c r="AU833" i="1"/>
  <c r="AU891" i="1"/>
  <c r="CM961" i="1"/>
  <c r="BV976" i="1"/>
  <c r="BW976" i="1" s="1"/>
  <c r="BV1030" i="1"/>
  <c r="BQ1030" i="1" s="1"/>
  <c r="BV1032" i="1"/>
  <c r="CM1062" i="1"/>
  <c r="CM1073" i="1"/>
  <c r="CM1150" i="1"/>
  <c r="CM1252" i="1"/>
  <c r="CM1254" i="1"/>
  <c r="AU1271" i="1"/>
  <c r="BV1303" i="1"/>
  <c r="S1303" i="1" s="1"/>
  <c r="BR1303" i="1" s="1"/>
  <c r="CM1401" i="1"/>
  <c r="BV307" i="1"/>
  <c r="CM308" i="1"/>
  <c r="CM498" i="1"/>
  <c r="AU552" i="1"/>
  <c r="CM558" i="1"/>
  <c r="AU725" i="1"/>
  <c r="AU768" i="1"/>
  <c r="AU847" i="1"/>
  <c r="CM1025" i="1"/>
  <c r="AU1059" i="1"/>
  <c r="CM1078" i="1"/>
  <c r="AU1087" i="1"/>
  <c r="AU1188" i="1"/>
  <c r="CM1235" i="1"/>
  <c r="AU1291" i="1"/>
  <c r="BV1293" i="1"/>
  <c r="AU1293" i="1"/>
  <c r="CM1368" i="1"/>
  <c r="CM1383" i="1"/>
  <c r="AU1451" i="1"/>
  <c r="AU326" i="1"/>
  <c r="BV332" i="1"/>
  <c r="CM367" i="1"/>
  <c r="BV371" i="1"/>
  <c r="BW371" i="1" s="1"/>
  <c r="BV395" i="1"/>
  <c r="S395" i="1" s="1"/>
  <c r="BR395" i="1" s="1"/>
  <c r="AU433" i="1"/>
  <c r="AU435" i="1"/>
  <c r="CM440" i="1"/>
  <c r="CM448" i="1"/>
  <c r="CM486" i="1"/>
  <c r="CM490" i="1"/>
  <c r="CM492" i="1"/>
  <c r="CM514" i="1"/>
  <c r="AU554" i="1"/>
  <c r="AU649" i="1"/>
  <c r="CM727" i="1"/>
  <c r="AU729" i="1"/>
  <c r="CM752" i="1"/>
  <c r="AU835" i="1"/>
  <c r="AU876" i="1"/>
  <c r="AU945" i="1"/>
  <c r="AU1117" i="1"/>
  <c r="AU1215" i="1"/>
  <c r="CM1223" i="1"/>
  <c r="BV324" i="1"/>
  <c r="S324" i="1" s="1"/>
  <c r="BR324" i="1" s="1"/>
  <c r="CM349" i="1"/>
  <c r="AU385" i="1"/>
  <c r="CM395" i="1"/>
  <c r="AU403" i="1"/>
  <c r="CM444" i="1"/>
  <c r="CM450" i="1"/>
  <c r="CM504" i="1"/>
  <c r="AU523" i="1"/>
  <c r="CM546" i="1"/>
  <c r="AU603" i="1"/>
  <c r="CM621" i="1"/>
  <c r="CM628" i="1"/>
  <c r="BV647" i="1"/>
  <c r="S647" i="1" s="1"/>
  <c r="BR647" i="1" s="1"/>
  <c r="BV663" i="1"/>
  <c r="BV674" i="1"/>
  <c r="CM704" i="1"/>
  <c r="CM710" i="1"/>
  <c r="BV743" i="1"/>
  <c r="S743" i="1" s="1"/>
  <c r="BR743" i="1" s="1"/>
  <c r="AU784" i="1"/>
  <c r="CM851" i="1"/>
  <c r="CM863" i="1"/>
  <c r="AU895" i="1"/>
  <c r="CM918" i="1"/>
  <c r="CM972" i="1"/>
  <c r="CM976" i="1"/>
  <c r="AU1072" i="1"/>
  <c r="AU1111" i="1"/>
  <c r="AU1165" i="1"/>
  <c r="CM1221" i="1"/>
  <c r="BV1240" i="1"/>
  <c r="BQ1240" i="1" s="1"/>
  <c r="AU1287" i="1"/>
  <c r="BV1295" i="1"/>
  <c r="BQ1295" i="1" s="1"/>
  <c r="CM1305" i="1"/>
  <c r="CM1340" i="1"/>
  <c r="CM1353" i="1"/>
  <c r="BV1400" i="1"/>
  <c r="BW1400" i="1" s="1"/>
  <c r="AU1400" i="1"/>
  <c r="CM1432" i="1"/>
  <c r="AU1443" i="1"/>
  <c r="CM605" i="1"/>
  <c r="CM607" i="1"/>
  <c r="CM609" i="1"/>
  <c r="CM615" i="1"/>
  <c r="BV643" i="1"/>
  <c r="BQ643" i="1" s="1"/>
  <c r="CM662" i="1"/>
  <c r="CM695" i="1"/>
  <c r="BV778" i="1"/>
  <c r="S778" i="1" s="1"/>
  <c r="BR778" i="1" s="1"/>
  <c r="AU803" i="1"/>
  <c r="CM809" i="1"/>
  <c r="CM813" i="1"/>
  <c r="CM931" i="1"/>
  <c r="CM943" i="1"/>
  <c r="CM1002" i="1"/>
  <c r="BV1057" i="1"/>
  <c r="BQ1057" i="1" s="1"/>
  <c r="AU1061" i="1"/>
  <c r="CM1101" i="1"/>
  <c r="BV1114" i="1"/>
  <c r="BW1114" i="1" s="1"/>
  <c r="AU1151" i="1"/>
  <c r="AU1153" i="1"/>
  <c r="AU1243" i="1"/>
  <c r="AU1266" i="1"/>
  <c r="CM1426" i="1"/>
  <c r="CM1447" i="1"/>
  <c r="BV1455" i="1"/>
  <c r="BQ1455" i="1" s="1"/>
  <c r="BT1455" i="1" s="1"/>
  <c r="AU1457" i="1"/>
  <c r="CM1463" i="1"/>
  <c r="AU655" i="1"/>
  <c r="BV657" i="1"/>
  <c r="BQ657" i="1" s="1"/>
  <c r="BO657" i="1" s="1"/>
  <c r="AU668" i="1"/>
  <c r="CM725" i="1"/>
  <c r="CM733" i="1"/>
  <c r="AU739" i="1"/>
  <c r="BV739" i="1"/>
  <c r="BW739" i="1" s="1"/>
  <c r="AU788" i="1"/>
  <c r="AU850" i="1"/>
  <c r="BV868" i="1"/>
  <c r="BQ868" i="1" s="1"/>
  <c r="BV878" i="1"/>
  <c r="BW878" i="1" s="1"/>
  <c r="CM903" i="1"/>
  <c r="CM905" i="1"/>
  <c r="CM1017" i="1"/>
  <c r="BV1041" i="1"/>
  <c r="BQ1041" i="1" s="1"/>
  <c r="BO1041" i="1" s="1"/>
  <c r="CM1043" i="1"/>
  <c r="AU1131" i="1"/>
  <c r="BV1135" i="1"/>
  <c r="S1135" i="1" s="1"/>
  <c r="BR1135" i="1" s="1"/>
  <c r="CM1139" i="1"/>
  <c r="AU1231" i="1"/>
  <c r="AU1275" i="1"/>
  <c r="AU1314" i="1"/>
  <c r="CM1387" i="1"/>
  <c r="CM1393" i="1"/>
  <c r="AU1492" i="1"/>
  <c r="BV659" i="1"/>
  <c r="BQ659" i="1" s="1"/>
  <c r="BO659" i="1" s="1"/>
  <c r="AU679" i="1"/>
  <c r="CM712" i="1"/>
  <c r="CM731" i="1"/>
  <c r="BV790" i="1"/>
  <c r="S790" i="1" s="1"/>
  <c r="BR790" i="1" s="1"/>
  <c r="CM821" i="1"/>
  <c r="CM928" i="1"/>
  <c r="AU932" i="1"/>
  <c r="BV932" i="1"/>
  <c r="BQ932" i="1" s="1"/>
  <c r="BT932" i="1" s="1"/>
  <c r="AU934" i="1"/>
  <c r="BV938" i="1"/>
  <c r="BW938" i="1" s="1"/>
  <c r="CM946" i="1"/>
  <c r="CM964" i="1"/>
  <c r="CM968" i="1"/>
  <c r="AU1003" i="1"/>
  <c r="AU1041" i="1"/>
  <c r="BV1213" i="1"/>
  <c r="BV1229" i="1"/>
  <c r="BQ1229" i="1" s="1"/>
  <c r="CM1239" i="1"/>
  <c r="CM1342" i="1"/>
  <c r="CM1389" i="1"/>
  <c r="AU1490" i="1"/>
  <c r="CM805" i="1"/>
  <c r="AU843" i="1"/>
  <c r="AU981" i="1"/>
  <c r="AU1046" i="1"/>
  <c r="AU1054" i="1"/>
  <c r="AU1144" i="1"/>
  <c r="BV1247" i="1"/>
  <c r="BW1247" i="1" s="1"/>
  <c r="CM1271" i="1"/>
  <c r="AU1284" i="1"/>
  <c r="AU1318" i="1"/>
  <c r="BV1494" i="1"/>
  <c r="AU1494" i="1"/>
  <c r="AU766" i="1"/>
  <c r="AU783" i="1"/>
  <c r="AU935" i="1"/>
  <c r="AU937" i="1"/>
  <c r="AU947" i="1"/>
  <c r="CM1115" i="1"/>
  <c r="CM1173" i="1"/>
  <c r="CM1175" i="1"/>
  <c r="AU1186" i="1"/>
  <c r="CM1232" i="1"/>
  <c r="AU1247" i="1"/>
  <c r="AU1335" i="1"/>
  <c r="AU1365" i="1"/>
  <c r="CM1369" i="1"/>
  <c r="AU1434" i="1"/>
  <c r="CM1483" i="1"/>
  <c r="CM747" i="1"/>
  <c r="CM749" i="1"/>
  <c r="CM773" i="1"/>
  <c r="CM824" i="1"/>
  <c r="CM830" i="1"/>
  <c r="BV834" i="1"/>
  <c r="CM843" i="1"/>
  <c r="AU849" i="1"/>
  <c r="CM862" i="1"/>
  <c r="CM949" i="1"/>
  <c r="BV1066" i="1"/>
  <c r="CM1086" i="1"/>
  <c r="BV1099" i="1"/>
  <c r="S1099" i="1" s="1"/>
  <c r="BR1099" i="1" s="1"/>
  <c r="CM1111" i="1"/>
  <c r="AU1126" i="1"/>
  <c r="CM1228" i="1"/>
  <c r="AU1234" i="1"/>
  <c r="CM1253" i="1"/>
  <c r="CM1312" i="1"/>
  <c r="BV1329" i="1"/>
  <c r="BQ1329" i="1" s="1"/>
  <c r="CM1337" i="1"/>
  <c r="AU1376" i="1"/>
  <c r="BV1403" i="1"/>
  <c r="S1403" i="1" s="1"/>
  <c r="BR1403" i="1" s="1"/>
  <c r="CM1454" i="1"/>
  <c r="AU923" i="1"/>
  <c r="AU933" i="1"/>
  <c r="AU968" i="1"/>
  <c r="BV988" i="1"/>
  <c r="BV994" i="1"/>
  <c r="BV1051" i="1"/>
  <c r="CM1052" i="1"/>
  <c r="CM1054" i="1"/>
  <c r="CM1140" i="1"/>
  <c r="AU1146" i="1"/>
  <c r="BV1192" i="1"/>
  <c r="BW1192" i="1" s="1"/>
  <c r="CM1199" i="1"/>
  <c r="AU1217" i="1"/>
  <c r="AU1241" i="1"/>
  <c r="CM1245" i="1"/>
  <c r="CM1249" i="1"/>
  <c r="BV1276" i="1"/>
  <c r="S1276" i="1" s="1"/>
  <c r="BR1276" i="1" s="1"/>
  <c r="CE1276" i="1" s="1"/>
  <c r="AU1276" i="1"/>
  <c r="BV1305" i="1"/>
  <c r="S1305" i="1" s="1"/>
  <c r="BR1305" i="1" s="1"/>
  <c r="CM1311" i="1"/>
  <c r="AU1361" i="1"/>
  <c r="AU1386" i="1"/>
  <c r="CM1388" i="1"/>
  <c r="BV1408" i="1"/>
  <c r="S1408" i="1" s="1"/>
  <c r="BR1408" i="1" s="1"/>
  <c r="CE1408" i="1" s="1"/>
  <c r="CM1412" i="1"/>
  <c r="BV1498" i="1"/>
  <c r="BQ1498" i="1" s="1"/>
  <c r="BT1498" i="1" s="1"/>
  <c r="CM1082" i="1"/>
  <c r="AU1104" i="1"/>
  <c r="AU1196" i="1"/>
  <c r="AU1202" i="1"/>
  <c r="CM1266" i="1"/>
  <c r="CM1294" i="1"/>
  <c r="AU1302" i="1"/>
  <c r="AU1417" i="1"/>
  <c r="BV930" i="1"/>
  <c r="BW930" i="1" s="1"/>
  <c r="AU961" i="1"/>
  <c r="CM990" i="1"/>
  <c r="AU998" i="1"/>
  <c r="AU1000" i="1"/>
  <c r="CM1106" i="1"/>
  <c r="CM1125" i="1"/>
  <c r="CM1162" i="1"/>
  <c r="CM1188" i="1"/>
  <c r="AU1198" i="1"/>
  <c r="AU1252" i="1"/>
  <c r="BV1312" i="1"/>
  <c r="BQ1312" i="1" s="1"/>
  <c r="AU1326" i="1"/>
  <c r="BV1449" i="1"/>
  <c r="BQ1449" i="1" s="1"/>
  <c r="AU1488" i="1"/>
  <c r="CM1238" i="1"/>
  <c r="CM1303" i="1"/>
  <c r="CM1309" i="1"/>
  <c r="CM1319" i="1"/>
  <c r="CM1331" i="1"/>
  <c r="CM1377" i="1"/>
  <c r="BV1428" i="1"/>
  <c r="BQ1428" i="1" s="1"/>
  <c r="BT1428" i="1" s="1"/>
  <c r="BV1430" i="1"/>
  <c r="BQ1430" i="1" s="1"/>
  <c r="BV1471" i="1"/>
  <c r="BW1471" i="1" s="1"/>
  <c r="CM1493" i="1"/>
  <c r="AU1499" i="1"/>
  <c r="CM1490" i="1"/>
  <c r="AU1476" i="1"/>
  <c r="CM1155" i="1"/>
  <c r="AU1163" i="1"/>
  <c r="CM1194" i="1"/>
  <c r="CM1210" i="1"/>
  <c r="CM1227" i="1"/>
  <c r="CM1231" i="1"/>
  <c r="BV1235" i="1"/>
  <c r="BW1235" i="1" s="1"/>
  <c r="CM1320" i="1"/>
  <c r="BV1343" i="1"/>
  <c r="BW1343" i="1" s="1"/>
  <c r="CM1357" i="1"/>
  <c r="BV1398" i="1"/>
  <c r="S1398" i="1" s="1"/>
  <c r="BR1398" i="1" s="1"/>
  <c r="CE1398" i="1" s="1"/>
  <c r="BV1404" i="1"/>
  <c r="BV1412" i="1"/>
  <c r="BW1412" i="1" s="1"/>
  <c r="BV1435" i="1"/>
  <c r="BW1435" i="1" s="1"/>
  <c r="CM1437" i="1"/>
  <c r="CM1439" i="1"/>
  <c r="CM1450" i="1"/>
  <c r="CM1472" i="1"/>
  <c r="CM1498" i="1"/>
  <c r="BV853" i="1"/>
  <c r="BQ853" i="1" s="1"/>
  <c r="AU864" i="1"/>
  <c r="CM874" i="1"/>
  <c r="CM878" i="1"/>
  <c r="CM892" i="1"/>
  <c r="CM908" i="1"/>
  <c r="AU921" i="1"/>
  <c r="CM952" i="1"/>
  <c r="BV960" i="1"/>
  <c r="CM967" i="1"/>
  <c r="AU1007" i="1"/>
  <c r="BV1009" i="1"/>
  <c r="BW1009" i="1" s="1"/>
  <c r="AU1045" i="1"/>
  <c r="CM1064" i="1"/>
  <c r="CM1072" i="1"/>
  <c r="AU1078" i="1"/>
  <c r="AU1082" i="1"/>
  <c r="BV1088" i="1"/>
  <c r="S1088" i="1" s="1"/>
  <c r="BR1088" i="1" s="1"/>
  <c r="CE1088" i="1" s="1"/>
  <c r="BV1100" i="1"/>
  <c r="S1100" i="1" s="1"/>
  <c r="BR1100" i="1" s="1"/>
  <c r="CE1100" i="1" s="1"/>
  <c r="CM1114" i="1"/>
  <c r="CM1120" i="1"/>
  <c r="AU1136" i="1"/>
  <c r="BV1148" i="1"/>
  <c r="AU1157" i="1"/>
  <c r="BV1193" i="1"/>
  <c r="CM1200" i="1"/>
  <c r="CM1208" i="1"/>
  <c r="CM1212" i="1"/>
  <c r="CM1214" i="1"/>
  <c r="BV1222" i="1"/>
  <c r="BQ1222" i="1" s="1"/>
  <c r="AU1224" i="1"/>
  <c r="BV1258" i="1"/>
  <c r="BQ1258" i="1" s="1"/>
  <c r="CM1374" i="1"/>
  <c r="CM1396" i="1"/>
  <c r="BV1406" i="1"/>
  <c r="BQ1406" i="1" s="1"/>
  <c r="BO1406" i="1" s="1"/>
  <c r="CM1466" i="1"/>
  <c r="AU1468" i="1"/>
  <c r="CM1480" i="1"/>
  <c r="CM1489" i="1"/>
  <c r="AU1493" i="1"/>
  <c r="BV1475" i="1"/>
  <c r="BQ1475" i="1" s="1"/>
  <c r="DA68" i="1"/>
  <c r="DA54" i="1"/>
  <c r="DB68" i="1"/>
  <c r="DE72" i="1"/>
  <c r="I44" i="8"/>
  <c r="CX50" i="1" s="1"/>
  <c r="CX120" i="1" s="1"/>
  <c r="DJ60" i="1"/>
  <c r="DE70" i="1"/>
  <c r="DE71" i="1"/>
  <c r="DA56" i="1"/>
  <c r="DC20" i="1" s="1"/>
  <c r="CZ56" i="1" s="1"/>
  <c r="DE61" i="1"/>
  <c r="DJ71" i="1"/>
  <c r="DE74" i="1"/>
  <c r="DB60" i="1"/>
  <c r="CX109" i="1" s="1"/>
  <c r="CX112" i="1" s="1"/>
  <c r="DJ61" i="1"/>
  <c r="DJ74" i="1"/>
  <c r="DE60" i="1"/>
  <c r="I14" i="8"/>
  <c r="CX20" i="1" s="1"/>
  <c r="CX124" i="1" s="1"/>
  <c r="F2" i="5"/>
  <c r="AU669" i="1"/>
  <c r="BV669" i="1"/>
  <c r="CX12" i="1"/>
  <c r="AU29" i="1"/>
  <c r="BV29" i="1"/>
  <c r="BV39" i="1"/>
  <c r="AU39" i="1"/>
  <c r="AU322" i="1"/>
  <c r="AH69" i="1"/>
  <c r="DB75" i="1" s="1"/>
  <c r="BV131" i="1"/>
  <c r="AU131" i="1"/>
  <c r="AU163" i="1"/>
  <c r="AU763" i="1"/>
  <c r="AU154" i="1"/>
  <c r="AU202" i="1"/>
  <c r="AU239" i="1"/>
  <c r="AU446" i="1"/>
  <c r="AU685" i="1"/>
  <c r="DE80" i="1"/>
  <c r="AU574" i="1"/>
  <c r="AU584" i="1"/>
  <c r="BV584" i="1"/>
  <c r="AU177" i="1"/>
  <c r="AU487" i="1"/>
  <c r="AU730" i="1"/>
  <c r="AU69" i="1"/>
  <c r="AU218" i="1"/>
  <c r="AU557" i="1"/>
  <c r="AU565" i="1"/>
  <c r="AU77" i="1"/>
  <c r="AU274" i="1"/>
  <c r="AU386" i="1"/>
  <c r="AU424" i="1"/>
  <c r="AU432" i="1"/>
  <c r="AU470" i="1"/>
  <c r="AU493" i="1"/>
  <c r="AU555" i="1"/>
  <c r="BV394" i="1"/>
  <c r="AU394" i="1"/>
  <c r="BV406" i="1"/>
  <c r="BV418" i="1"/>
  <c r="AU418" i="1"/>
  <c r="AU426" i="1"/>
  <c r="AU538" i="1"/>
  <c r="AU144" i="1"/>
  <c r="AU392" i="1"/>
  <c r="AU434" i="1"/>
  <c r="AU809" i="1"/>
  <c r="BV809" i="1"/>
  <c r="AU811" i="1"/>
  <c r="BV811" i="1"/>
  <c r="AU35" i="1"/>
  <c r="AU155" i="1"/>
  <c r="BV155" i="1"/>
  <c r="AU229" i="1"/>
  <c r="BV314" i="1"/>
  <c r="AU314" i="1"/>
  <c r="AU840" i="1"/>
  <c r="BV40" i="1"/>
  <c r="AU48" i="1"/>
  <c r="BV67" i="1"/>
  <c r="CM94" i="1"/>
  <c r="BV174" i="1"/>
  <c r="BV222" i="1"/>
  <c r="CM227" i="1"/>
  <c r="AU298" i="1"/>
  <c r="AU381" i="1"/>
  <c r="BV381" i="1"/>
  <c r="BV409" i="1"/>
  <c r="AU857" i="1"/>
  <c r="AU965" i="1"/>
  <c r="BV965" i="1"/>
  <c r="CM32" i="1"/>
  <c r="BV127" i="1"/>
  <c r="AU224" i="1"/>
  <c r="CM373" i="1"/>
  <c r="BV383" i="1"/>
  <c r="CM696" i="1"/>
  <c r="AU753" i="1"/>
  <c r="BV753" i="1"/>
  <c r="CM1153" i="1"/>
  <c r="BV1094" i="1"/>
  <c r="AU1094" i="1"/>
  <c r="AU45" i="1"/>
  <c r="BV66" i="1"/>
  <c r="CM99" i="1"/>
  <c r="BV134" i="1"/>
  <c r="BV253" i="1"/>
  <c r="AU293" i="1"/>
  <c r="BV293" i="1"/>
  <c r="AU336" i="1"/>
  <c r="AU449" i="1"/>
  <c r="AU599" i="1"/>
  <c r="BV599" i="1"/>
  <c r="AU169" i="1"/>
  <c r="AU372" i="1"/>
  <c r="AU690" i="1"/>
  <c r="BV1018" i="1"/>
  <c r="AU1018" i="1"/>
  <c r="CM1075" i="1"/>
  <c r="AU145" i="1"/>
  <c r="AU342" i="1"/>
  <c r="AU349" i="1"/>
  <c r="BV1150" i="1"/>
  <c r="AU1150" i="1"/>
  <c r="CX16" i="1"/>
  <c r="AN31" i="1"/>
  <c r="AU68" i="1"/>
  <c r="AU267" i="1"/>
  <c r="DJ80" i="1"/>
  <c r="AU30" i="1"/>
  <c r="BV142" i="1"/>
  <c r="CX10" i="1"/>
  <c r="CX14" i="1"/>
  <c r="CX15" i="1" s="1"/>
  <c r="AU217" i="1"/>
  <c r="BV217" i="1"/>
  <c r="AU44" i="1"/>
  <c r="BV71" i="1"/>
  <c r="AU71" i="1"/>
  <c r="AU244" i="1"/>
  <c r="AU273" i="1"/>
  <c r="AU451" i="1"/>
  <c r="AU531" i="1"/>
  <c r="BV531" i="1"/>
  <c r="BV875" i="1"/>
  <c r="AU875" i="1"/>
  <c r="AU903" i="1"/>
  <c r="AU24" i="1"/>
  <c r="AU64" i="1"/>
  <c r="AU15" i="1"/>
  <c r="AU873" i="1"/>
  <c r="AU92" i="1"/>
  <c r="AU401" i="1"/>
  <c r="AU767" i="1"/>
  <c r="AU126" i="1"/>
  <c r="AU209" i="1"/>
  <c r="AU328" i="1"/>
  <c r="BV687" i="1"/>
  <c r="AU687" i="1"/>
  <c r="AU1013" i="1"/>
  <c r="BV1013" i="1"/>
  <c r="AU310" i="1"/>
  <c r="AU448" i="1"/>
  <c r="BV582" i="1"/>
  <c r="AU582" i="1"/>
  <c r="AU643" i="1"/>
  <c r="CX13" i="1"/>
  <c r="BV250" i="1"/>
  <c r="AU250" i="1"/>
  <c r="AU559" i="1"/>
  <c r="BV559" i="1"/>
  <c r="BV734" i="1"/>
  <c r="AU734" i="1"/>
  <c r="AU480" i="1"/>
  <c r="BV480" i="1"/>
  <c r="AU662" i="1"/>
  <c r="AL28" i="1"/>
  <c r="AM28" i="1" s="1"/>
  <c r="AH21" i="1"/>
  <c r="AK21" i="1" s="1"/>
  <c r="AN32" i="1"/>
  <c r="AH36" i="1"/>
  <c r="AK36" i="1" s="1"/>
  <c r="AH16" i="1"/>
  <c r="AK16" i="1" s="1"/>
  <c r="AH18" i="1"/>
  <c r="AK18" i="1" s="1"/>
  <c r="AH37" i="1"/>
  <c r="AK37" i="1" s="1"/>
  <c r="AH32" i="1"/>
  <c r="AK32" i="1" s="1"/>
  <c r="BV26" i="1"/>
  <c r="AU26" i="1"/>
  <c r="AU495" i="1"/>
  <c r="BV495" i="1"/>
  <c r="AU567" i="1"/>
  <c r="BV567" i="1"/>
  <c r="AU732" i="1"/>
  <c r="BV758" i="1"/>
  <c r="AU758" i="1"/>
  <c r="AH43" i="1"/>
  <c r="AK43" i="1" s="1"/>
  <c r="AH66" i="1"/>
  <c r="AK66" i="1" s="1"/>
  <c r="AU101" i="1"/>
  <c r="BV122" i="1"/>
  <c r="AU122" i="1"/>
  <c r="AU289" i="1"/>
  <c r="AU377" i="1"/>
  <c r="AU611" i="1"/>
  <c r="AU1077" i="1"/>
  <c r="AH55" i="1"/>
  <c r="AK55" i="1" s="1"/>
  <c r="CX8" i="1"/>
  <c r="CM57" i="1"/>
  <c r="BV95" i="1"/>
  <c r="CM111" i="1"/>
  <c r="CM271" i="1"/>
  <c r="BV277" i="1"/>
  <c r="BV374" i="1"/>
  <c r="AU500" i="1"/>
  <c r="BV901" i="1"/>
  <c r="AU905" i="1"/>
  <c r="BV905" i="1"/>
  <c r="BV1081" i="1"/>
  <c r="AU286" i="1"/>
  <c r="AU830" i="1"/>
  <c r="BV896" i="1"/>
  <c r="AU896" i="1"/>
  <c r="AU952" i="1"/>
  <c r="AU295" i="1"/>
  <c r="AU339" i="1"/>
  <c r="BV8" i="1"/>
  <c r="AU51" i="1"/>
  <c r="AU54" i="1"/>
  <c r="AU86" i="1"/>
  <c r="CM106" i="1"/>
  <c r="CM358" i="1"/>
  <c r="AU441" i="1"/>
  <c r="BV771" i="1"/>
  <c r="CM950" i="1"/>
  <c r="BV1004" i="1"/>
  <c r="AU1004" i="1"/>
  <c r="AU105" i="1"/>
  <c r="AU262" i="1"/>
  <c r="BV283" i="1"/>
  <c r="AU387" i="1"/>
  <c r="AU526" i="1"/>
  <c r="BV1000" i="1"/>
  <c r="AU264" i="1"/>
  <c r="AU648" i="1"/>
  <c r="BV648" i="1"/>
  <c r="BV1250" i="1"/>
  <c r="AU1250" i="1"/>
  <c r="AU206" i="1"/>
  <c r="AU473" i="1"/>
  <c r="AU596" i="1"/>
  <c r="AU1002" i="1"/>
  <c r="BV1002" i="1"/>
  <c r="AH65" i="1"/>
  <c r="AK65" i="1" s="1"/>
  <c r="AU47" i="1"/>
  <c r="AU108" i="1"/>
  <c r="BV5" i="1"/>
  <c r="BM5" i="1" s="1"/>
  <c r="AH70" i="1" s="1"/>
  <c r="AK70" i="1" s="1"/>
  <c r="CM20" i="1"/>
  <c r="BV25" i="1"/>
  <c r="BV85" i="1"/>
  <c r="AU100" i="1"/>
  <c r="AU198" i="1"/>
  <c r="AU292" i="1"/>
  <c r="CM376" i="1"/>
  <c r="CM405" i="1"/>
  <c r="AU423" i="1"/>
  <c r="BV423" i="1"/>
  <c r="BV429" i="1"/>
  <c r="AU577" i="1"/>
  <c r="AU585" i="1"/>
  <c r="BV585" i="1"/>
  <c r="AU912" i="1"/>
  <c r="BV945" i="1"/>
  <c r="BV1355" i="1"/>
  <c r="AU1355" i="1"/>
  <c r="CX9" i="1"/>
  <c r="AU255" i="1"/>
  <c r="AU304" i="1"/>
  <c r="AU325" i="1"/>
  <c r="BV325" i="1"/>
  <c r="AU475" i="1"/>
  <c r="BV14" i="1"/>
  <c r="AH53" i="1"/>
  <c r="AK53" i="1" s="1"/>
  <c r="AU88" i="1"/>
  <c r="AU91" i="1"/>
  <c r="AU162" i="1"/>
  <c r="AU228" i="1"/>
  <c r="AU243" i="1"/>
  <c r="AU259" i="1"/>
  <c r="CM311" i="1"/>
  <c r="BV313" i="1"/>
  <c r="AU395" i="1"/>
  <c r="AU602" i="1"/>
  <c r="BV614" i="1"/>
  <c r="BV881" i="1"/>
  <c r="AU881" i="1"/>
  <c r="AU1016" i="1"/>
  <c r="BV1016" i="1"/>
  <c r="AU151" i="1"/>
  <c r="AU158" i="1"/>
  <c r="CM201" i="1"/>
  <c r="BV232" i="1"/>
  <c r="BV290" i="1"/>
  <c r="AU427" i="1"/>
  <c r="AU506" i="1"/>
  <c r="BV508" i="1"/>
  <c r="AU521" i="1"/>
  <c r="BV521" i="1"/>
  <c r="AU543" i="1"/>
  <c r="BV543" i="1"/>
  <c r="AU545" i="1"/>
  <c r="BV545" i="1"/>
  <c r="AU848" i="1"/>
  <c r="BV850" i="1"/>
  <c r="AU852" i="1"/>
  <c r="BV345" i="1"/>
  <c r="AU357" i="1"/>
  <c r="BV378" i="1"/>
  <c r="BV452" i="1"/>
  <c r="AU1107" i="1"/>
  <c r="AU503" i="1"/>
  <c r="BV503" i="1"/>
  <c r="AU540" i="1"/>
  <c r="AU617" i="1"/>
  <c r="BV617" i="1"/>
  <c r="AU780" i="1"/>
  <c r="BV780" i="1"/>
  <c r="BV1169" i="1"/>
  <c r="AU1169" i="1"/>
  <c r="AU176" i="1"/>
  <c r="AU181" i="1"/>
  <c r="AU261" i="1"/>
  <c r="BV301" i="1"/>
  <c r="BV389" i="1"/>
  <c r="AU454" i="1"/>
  <c r="CM465" i="1"/>
  <c r="AU467" i="1"/>
  <c r="AU490" i="1"/>
  <c r="AU562" i="1"/>
  <c r="BV580" i="1"/>
  <c r="CM955" i="1"/>
  <c r="AU1086" i="1"/>
  <c r="AU1187" i="1"/>
  <c r="AU1305" i="1"/>
  <c r="AU438" i="1"/>
  <c r="BV619" i="1"/>
  <c r="AU957" i="1"/>
  <c r="BV957" i="1"/>
  <c r="AU1011" i="1"/>
  <c r="AU1065" i="1"/>
  <c r="BV1065" i="1"/>
  <c r="CM1177" i="1"/>
  <c r="AU958" i="1"/>
  <c r="BV958" i="1"/>
  <c r="AU242" i="1"/>
  <c r="AU586" i="1"/>
  <c r="AH44" i="1"/>
  <c r="AU276" i="1"/>
  <c r="AU479" i="1"/>
  <c r="BV479" i="1"/>
  <c r="AU825" i="1"/>
  <c r="AU889" i="1"/>
  <c r="BV924" i="1"/>
  <c r="AU924" i="1"/>
  <c r="AU951" i="1"/>
  <c r="AU1050" i="1"/>
  <c r="AU1070" i="1"/>
  <c r="BV1070" i="1"/>
  <c r="AU231" i="1"/>
  <c r="AU330" i="1"/>
  <c r="AU411" i="1"/>
  <c r="AU525" i="1"/>
  <c r="AU566" i="1"/>
  <c r="AU593" i="1"/>
  <c r="AU632" i="1"/>
  <c r="AU706" i="1"/>
  <c r="AU898" i="1"/>
  <c r="AU1143" i="1"/>
  <c r="BV1143" i="1"/>
  <c r="AU1182" i="1"/>
  <c r="BV1480" i="1"/>
  <c r="AU1480" i="1"/>
  <c r="AU266" i="1"/>
  <c r="AU300" i="1"/>
  <c r="AU318" i="1"/>
  <c r="AU502" i="1"/>
  <c r="AU726" i="1"/>
  <c r="BV733" i="1"/>
  <c r="AU733" i="1"/>
  <c r="BV1048" i="1"/>
  <c r="AU1048" i="1"/>
  <c r="BV1068" i="1"/>
  <c r="AU1068" i="1"/>
  <c r="AU1378" i="1"/>
  <c r="BV1378" i="1"/>
  <c r="DA76" i="1"/>
  <c r="DJ79" i="1"/>
  <c r="CM28" i="1"/>
  <c r="CM29" i="1"/>
  <c r="AU80" i="1"/>
  <c r="AU125" i="1"/>
  <c r="AU234" i="1"/>
  <c r="BV257" i="1"/>
  <c r="AU263" i="1"/>
  <c r="AU324" i="1"/>
  <c r="AU327" i="1"/>
  <c r="BV356" i="1"/>
  <c r="AU388" i="1"/>
  <c r="CM406" i="1"/>
  <c r="BV408" i="1"/>
  <c r="AU481" i="1"/>
  <c r="AU515" i="1"/>
  <c r="AU532" i="1"/>
  <c r="AU537" i="1"/>
  <c r="AU549" i="1"/>
  <c r="AU613" i="1"/>
  <c r="AU636" i="1"/>
  <c r="BV636" i="1"/>
  <c r="AU659" i="1"/>
  <c r="BV782" i="1"/>
  <c r="AU863" i="1"/>
  <c r="BV919" i="1"/>
  <c r="BV928" i="1"/>
  <c r="AU942" i="1"/>
  <c r="BV942" i="1"/>
  <c r="CM956" i="1"/>
  <c r="AU995" i="1"/>
  <c r="AU1135" i="1"/>
  <c r="CM1293" i="1"/>
  <c r="AU179" i="1"/>
  <c r="AU442" i="1"/>
  <c r="AU11" i="1"/>
  <c r="CM30" i="1"/>
  <c r="AU38" i="1"/>
  <c r="BV43" i="1"/>
  <c r="CM82" i="1"/>
  <c r="AU103" i="1"/>
  <c r="AU116" i="1"/>
  <c r="BV223" i="1"/>
  <c r="AU251" i="1"/>
  <c r="AU291" i="1"/>
  <c r="BV353" i="1"/>
  <c r="CM386" i="1"/>
  <c r="CM394" i="1"/>
  <c r="AU534" i="1"/>
  <c r="CM593" i="1"/>
  <c r="BV605" i="1"/>
  <c r="BV716" i="1"/>
  <c r="BV1028" i="1"/>
  <c r="AU1028" i="1"/>
  <c r="CM1133" i="1"/>
  <c r="AU842" i="1"/>
  <c r="BV842" i="1"/>
  <c r="AU969" i="1"/>
  <c r="AU371" i="1"/>
  <c r="AU1466" i="1"/>
  <c r="DA78" i="1"/>
  <c r="AU774" i="1"/>
  <c r="BV774" i="1"/>
  <c r="AU49" i="1"/>
  <c r="AU153" i="1"/>
  <c r="AU160" i="1"/>
  <c r="AU193" i="1"/>
  <c r="AU197" i="1"/>
  <c r="AU364" i="1"/>
  <c r="AU379" i="1"/>
  <c r="AU494" i="1"/>
  <c r="AU1259" i="1"/>
  <c r="BV1308" i="1"/>
  <c r="AU1308" i="1"/>
  <c r="AU146" i="1"/>
  <c r="AU332" i="1"/>
  <c r="AU350" i="1"/>
  <c r="AU615" i="1"/>
  <c r="BV615" i="1"/>
  <c r="AU817" i="1"/>
  <c r="AU880" i="1"/>
  <c r="BV882" i="1"/>
  <c r="AU882" i="1"/>
  <c r="AU1106" i="1"/>
  <c r="BV1106" i="1"/>
  <c r="BV10" i="1"/>
  <c r="BV42" i="1"/>
  <c r="AU120" i="1"/>
  <c r="AU178" i="1"/>
  <c r="AU370" i="1"/>
  <c r="AU425" i="1"/>
  <c r="AU583" i="1"/>
  <c r="BV583" i="1"/>
  <c r="AU620" i="1"/>
  <c r="AU663" i="1"/>
  <c r="AU779" i="1"/>
  <c r="AU1021" i="1"/>
  <c r="BV1021" i="1"/>
  <c r="BV1207" i="1"/>
  <c r="AU1207" i="1"/>
  <c r="AU1360" i="1"/>
  <c r="AU746" i="1"/>
  <c r="BV993" i="1"/>
  <c r="AU993" i="1"/>
  <c r="AU610" i="1"/>
  <c r="AU740" i="1"/>
  <c r="BV819" i="1"/>
  <c r="AU819" i="1"/>
  <c r="AU9" i="1"/>
  <c r="AU56" i="1"/>
  <c r="CM58" i="1"/>
  <c r="AU63" i="1"/>
  <c r="BV102" i="1"/>
  <c r="BV115" i="1"/>
  <c r="AU135" i="1"/>
  <c r="CM161" i="1"/>
  <c r="CM172" i="1"/>
  <c r="BV268" i="1"/>
  <c r="BV281" i="1"/>
  <c r="CM285" i="1"/>
  <c r="AU287" i="1"/>
  <c r="BV299" i="1"/>
  <c r="BV305" i="1"/>
  <c r="BV323" i="1"/>
  <c r="CM338" i="1"/>
  <c r="AU390" i="1"/>
  <c r="BV410" i="1"/>
  <c r="AU455" i="1"/>
  <c r="AU476" i="1"/>
  <c r="AU488" i="1"/>
  <c r="AU496" i="1"/>
  <c r="AU529" i="1"/>
  <c r="BV742" i="1"/>
  <c r="BV747" i="1"/>
  <c r="AU747" i="1"/>
  <c r="CM810" i="1"/>
  <c r="CM882" i="1"/>
  <c r="BV1097" i="1"/>
  <c r="AU1328" i="1"/>
  <c r="AU319" i="1"/>
  <c r="AU551" i="1"/>
  <c r="BV551" i="1"/>
  <c r="AU684" i="1"/>
  <c r="BV684" i="1"/>
  <c r="AU702" i="1"/>
  <c r="AU773" i="1"/>
  <c r="BV773" i="1"/>
  <c r="AU944" i="1"/>
  <c r="AU1034" i="1"/>
  <c r="AH67" i="1"/>
  <c r="AK67" i="1" s="1"/>
  <c r="CM53" i="1"/>
  <c r="BV118" i="1"/>
  <c r="AU186" i="1"/>
  <c r="BV191" i="1"/>
  <c r="AU246" i="1"/>
  <c r="BV275" i="1"/>
  <c r="AU308" i="1"/>
  <c r="BV337" i="1"/>
  <c r="AU359" i="1"/>
  <c r="BV402" i="1"/>
  <c r="BV420" i="1"/>
  <c r="AU430" i="1"/>
  <c r="AU457" i="1"/>
  <c r="CM473" i="1"/>
  <c r="AU528" i="1"/>
  <c r="BV570" i="1"/>
  <c r="BV598" i="1"/>
  <c r="BV609" i="1"/>
  <c r="AU647" i="1"/>
  <c r="BV681" i="1"/>
  <c r="AU757" i="1"/>
  <c r="CM765" i="1"/>
  <c r="AU851" i="1"/>
  <c r="AU861" i="1"/>
  <c r="BV895" i="1"/>
  <c r="CM1020" i="1"/>
  <c r="CM1284" i="1"/>
  <c r="BV7" i="1"/>
  <c r="BV93" i="1"/>
  <c r="CM309" i="1"/>
  <c r="BV315" i="1"/>
  <c r="BV329" i="1"/>
  <c r="BV355" i="1"/>
  <c r="CM520" i="1"/>
  <c r="BV522" i="1"/>
  <c r="BV533" i="1"/>
  <c r="AU548" i="1"/>
  <c r="CM565" i="1"/>
  <c r="BV606" i="1"/>
  <c r="AU618" i="1"/>
  <c r="AU621" i="1"/>
  <c r="BV644" i="1"/>
  <c r="AU644" i="1"/>
  <c r="BV1109" i="1"/>
  <c r="AU1288" i="1"/>
  <c r="AU1387" i="1"/>
  <c r="BV1425" i="1"/>
  <c r="BV1203" i="1"/>
  <c r="AU1203" i="1"/>
  <c r="BV1345" i="1"/>
  <c r="AU1345" i="1"/>
  <c r="BV37" i="1"/>
  <c r="AU278" i="1"/>
  <c r="AU340" i="1"/>
  <c r="AU405" i="1"/>
  <c r="AU581" i="1"/>
  <c r="AU870" i="1"/>
  <c r="BV870" i="1"/>
  <c r="BV980" i="1"/>
  <c r="AU980" i="1"/>
  <c r="AU992" i="1"/>
  <c r="AU1019" i="1"/>
  <c r="AU1058" i="1"/>
  <c r="AU1160" i="1"/>
  <c r="BV1160" i="1"/>
  <c r="AU1190" i="1"/>
  <c r="AU1343" i="1"/>
  <c r="AU1469" i="1"/>
  <c r="BV1469" i="1"/>
  <c r="AU170" i="1"/>
  <c r="AU260" i="1"/>
  <c r="AU351" i="1"/>
  <c r="AU486" i="1"/>
  <c r="AU561" i="1"/>
  <c r="BV561" i="1"/>
  <c r="AU762" i="1"/>
  <c r="AU806" i="1"/>
  <c r="BV806" i="1"/>
  <c r="AU1031" i="1"/>
  <c r="BV6" i="1"/>
  <c r="BV104" i="1"/>
  <c r="AU210" i="1"/>
  <c r="BV215" i="1"/>
  <c r="AU307" i="1"/>
  <c r="CM341" i="1"/>
  <c r="BV347" i="1"/>
  <c r="AU358" i="1"/>
  <c r="BV361" i="1"/>
  <c r="AU391" i="1"/>
  <c r="AU436" i="1"/>
  <c r="CM469" i="1"/>
  <c r="BV471" i="1"/>
  <c r="AU535" i="1"/>
  <c r="BV535" i="1"/>
  <c r="BV541" i="1"/>
  <c r="AU544" i="1"/>
  <c r="AU589" i="1"/>
  <c r="AU592" i="1"/>
  <c r="BV603" i="1"/>
  <c r="BV629" i="1"/>
  <c r="BV635" i="1"/>
  <c r="CM655" i="1"/>
  <c r="AU657" i="1"/>
  <c r="AU754" i="1"/>
  <c r="CM839" i="1"/>
  <c r="CM953" i="1"/>
  <c r="CM962" i="1"/>
  <c r="AU1026" i="1"/>
  <c r="CM1047" i="1"/>
  <c r="CM1102" i="1"/>
  <c r="AU271" i="1"/>
  <c r="AU303" i="1"/>
  <c r="AU335" i="1"/>
  <c r="AU367" i="1"/>
  <c r="AU399" i="1"/>
  <c r="BV428" i="1"/>
  <c r="AU517" i="1"/>
  <c r="BV556" i="1"/>
  <c r="AU601" i="1"/>
  <c r="AU604" i="1"/>
  <c r="AU627" i="1"/>
  <c r="AU714" i="1"/>
  <c r="BV775" i="1"/>
  <c r="BV826" i="1"/>
  <c r="BV837" i="1"/>
  <c r="BV844" i="1"/>
  <c r="CM879" i="1"/>
  <c r="CM891" i="1"/>
  <c r="BV917" i="1"/>
  <c r="AU917" i="1"/>
  <c r="CM935" i="1"/>
  <c r="CM937" i="1"/>
  <c r="AU954" i="1"/>
  <c r="BV987" i="1"/>
  <c r="BV1006" i="1"/>
  <c r="CM1011" i="1"/>
  <c r="BV1056" i="1"/>
  <c r="AU1056" i="1"/>
  <c r="AU1142" i="1"/>
  <c r="BV1142" i="1"/>
  <c r="AU1262" i="1"/>
  <c r="BV1262" i="1"/>
  <c r="AU1366" i="1"/>
  <c r="BV1366" i="1"/>
  <c r="BV1368" i="1"/>
  <c r="AU1368" i="1"/>
  <c r="AU1441" i="1"/>
  <c r="BV1441" i="1"/>
  <c r="AU252" i="1"/>
  <c r="AU284" i="1"/>
  <c r="AU316" i="1"/>
  <c r="AU348" i="1"/>
  <c r="AU462" i="1"/>
  <c r="AU778" i="1"/>
  <c r="BV946" i="1"/>
  <c r="AU946" i="1"/>
  <c r="AU1312" i="1"/>
  <c r="BV1459" i="1"/>
  <c r="AU1459" i="1"/>
  <c r="AU270" i="1"/>
  <c r="AU302" i="1"/>
  <c r="AU334" i="1"/>
  <c r="AU366" i="1"/>
  <c r="AU407" i="1"/>
  <c r="AU415" i="1"/>
  <c r="AU465" i="1"/>
  <c r="AU489" i="1"/>
  <c r="AU639" i="1"/>
  <c r="AU1053" i="1"/>
  <c r="AU1353" i="1"/>
  <c r="AU247" i="1"/>
  <c r="AU279" i="1"/>
  <c r="AU311" i="1"/>
  <c r="AU343" i="1"/>
  <c r="AU375" i="1"/>
  <c r="CM408" i="1"/>
  <c r="AU439" i="1"/>
  <c r="AU510" i="1"/>
  <c r="BV516" i="1"/>
  <c r="CM556" i="1"/>
  <c r="BV597" i="1"/>
  <c r="AU626" i="1"/>
  <c r="AU691" i="1"/>
  <c r="BV691" i="1"/>
  <c r="AU694" i="1"/>
  <c r="AU705" i="1"/>
  <c r="BV783" i="1"/>
  <c r="CM982" i="1"/>
  <c r="BV1029" i="1"/>
  <c r="AU1042" i="1"/>
  <c r="BV1042" i="1"/>
  <c r="AU1067" i="1"/>
  <c r="AU1120" i="1"/>
  <c r="CM1390" i="1"/>
  <c r="BV1413" i="1"/>
  <c r="AU1413" i="1"/>
  <c r="AU936" i="1"/>
  <c r="AU1062" i="1"/>
  <c r="AU1073" i="1"/>
  <c r="AU1080" i="1"/>
  <c r="BV1080" i="1"/>
  <c r="AU1125" i="1"/>
  <c r="AU497" i="1"/>
  <c r="AU546" i="1"/>
  <c r="AU623" i="1"/>
  <c r="AU787" i="1"/>
  <c r="AU877" i="1"/>
  <c r="AU943" i="1"/>
  <c r="AU966" i="1"/>
  <c r="BV966" i="1"/>
  <c r="AU1123" i="1"/>
  <c r="AU1127" i="1"/>
  <c r="BV1463" i="1"/>
  <c r="AU1463" i="1"/>
  <c r="AU505" i="1"/>
  <c r="AU520" i="1"/>
  <c r="AU594" i="1"/>
  <c r="AU692" i="1"/>
  <c r="BV735" i="1"/>
  <c r="AU735" i="1"/>
  <c r="AU1096" i="1"/>
  <c r="AU1114" i="1"/>
  <c r="BV468" i="1"/>
  <c r="AU513" i="1"/>
  <c r="BV564" i="1"/>
  <c r="AU590" i="1"/>
  <c r="BV689" i="1"/>
  <c r="BV804" i="1"/>
  <c r="CM827" i="1"/>
  <c r="BV843" i="1"/>
  <c r="BV864" i="1"/>
  <c r="BV874" i="1"/>
  <c r="BV884" i="1"/>
  <c r="AU884" i="1"/>
  <c r="AU948" i="1"/>
  <c r="BV948" i="1"/>
  <c r="CM1033" i="1"/>
  <c r="BV1047" i="1"/>
  <c r="BV1082" i="1"/>
  <c r="AU630" i="1"/>
  <c r="CM632" i="1"/>
  <c r="BV729" i="1"/>
  <c r="AU777" i="1"/>
  <c r="BV788" i="1"/>
  <c r="BV791" i="1"/>
  <c r="BV808" i="1"/>
  <c r="AU818" i="1"/>
  <c r="CM853" i="1"/>
  <c r="BV858" i="1"/>
  <c r="CM898" i="1"/>
  <c r="BV978" i="1"/>
  <c r="BV997" i="1"/>
  <c r="CM1021" i="1"/>
  <c r="AU1124" i="1"/>
  <c r="AU1246" i="1"/>
  <c r="BV1246" i="1"/>
  <c r="BV1270" i="1"/>
  <c r="BV1307" i="1"/>
  <c r="AU1307" i="1"/>
  <c r="BV1318" i="1"/>
  <c r="BV380" i="1"/>
  <c r="BV412" i="1"/>
  <c r="AU634" i="1"/>
  <c r="AU666" i="1"/>
  <c r="AU829" i="1"/>
  <c r="CM856" i="1"/>
  <c r="CM873" i="1"/>
  <c r="BV913" i="1"/>
  <c r="CM914" i="1"/>
  <c r="BV970" i="1"/>
  <c r="BV1007" i="1"/>
  <c r="BV1089" i="1"/>
  <c r="AU1145" i="1"/>
  <c r="BV1204" i="1"/>
  <c r="CM1384" i="1"/>
  <c r="AU1436" i="1"/>
  <c r="BV1436" i="1"/>
  <c r="AU1465" i="1"/>
  <c r="BV1465" i="1"/>
  <c r="AU790" i="1"/>
  <c r="BV813" i="1"/>
  <c r="AU813" i="1"/>
  <c r="AU866" i="1"/>
  <c r="AU918" i="1"/>
  <c r="BV918" i="1"/>
  <c r="BV940" i="1"/>
  <c r="AU940" i="1"/>
  <c r="AU1001" i="1"/>
  <c r="AU1009" i="1"/>
  <c r="BV1346" i="1"/>
  <c r="AU1346" i="1"/>
  <c r="BV404" i="1"/>
  <c r="AU642" i="1"/>
  <c r="CM659" i="1"/>
  <c r="BV679" i="1"/>
  <c r="CM701" i="1"/>
  <c r="CM735" i="1"/>
  <c r="CM760" i="1"/>
  <c r="CM763" i="1"/>
  <c r="AU885" i="1"/>
  <c r="BV888" i="1"/>
  <c r="AU910" i="1"/>
  <c r="BV920" i="1"/>
  <c r="BV923" i="1"/>
  <c r="AU972" i="1"/>
  <c r="BV972" i="1"/>
  <c r="CM986" i="1"/>
  <c r="AU1032" i="1"/>
  <c r="BV1043" i="1"/>
  <c r="CM1068" i="1"/>
  <c r="AU1074" i="1"/>
  <c r="BV1074" i="1"/>
  <c r="AU1091" i="1"/>
  <c r="BV1110" i="1"/>
  <c r="AU1110" i="1"/>
  <c r="AU1235" i="1"/>
  <c r="CM1259" i="1"/>
  <c r="AU1373" i="1"/>
  <c r="CM685" i="1"/>
  <c r="CM779" i="1"/>
  <c r="BV798" i="1"/>
  <c r="CM816" i="1"/>
  <c r="CM850" i="1"/>
  <c r="BV859" i="1"/>
  <c r="AU878" i="1"/>
  <c r="AU902" i="1"/>
  <c r="BV941" i="1"/>
  <c r="CM1015" i="1"/>
  <c r="AU1098" i="1"/>
  <c r="BV1098" i="1"/>
  <c r="BV1132" i="1"/>
  <c r="CM1185" i="1"/>
  <c r="BV1244" i="1"/>
  <c r="CM1326" i="1"/>
  <c r="CM1351" i="1"/>
  <c r="AU1411" i="1"/>
  <c r="BV1411" i="1"/>
  <c r="BV1422" i="1"/>
  <c r="CM667" i="1"/>
  <c r="AU674" i="1"/>
  <c r="AU743" i="1"/>
  <c r="CM795" i="1"/>
  <c r="AU802" i="1"/>
  <c r="CM974" i="1"/>
  <c r="BV991" i="1"/>
  <c r="AU1025" i="1"/>
  <c r="AU1030" i="1"/>
  <c r="CM1037" i="1"/>
  <c r="BV1039" i="1"/>
  <c r="AU1088" i="1"/>
  <c r="BV1284" i="1"/>
  <c r="BV1332" i="1"/>
  <c r="AU1332" i="1"/>
  <c r="BV1338" i="1"/>
  <c r="AU1338" i="1"/>
  <c r="AU1219" i="1"/>
  <c r="BV1219" i="1"/>
  <c r="BV655" i="1"/>
  <c r="BV883" i="1"/>
  <c r="AU883" i="1"/>
  <c r="AU950" i="1"/>
  <c r="AU1049" i="1"/>
  <c r="AU1052" i="1"/>
  <c r="BV1141" i="1"/>
  <c r="AU1141" i="1"/>
  <c r="CM1182" i="1"/>
  <c r="AU1184" i="1"/>
  <c r="BV1184" i="1"/>
  <c r="BV1241" i="1"/>
  <c r="BV1310" i="1"/>
  <c r="AU1344" i="1"/>
  <c r="AU682" i="1"/>
  <c r="BV759" i="1"/>
  <c r="CM991" i="1"/>
  <c r="CM1031" i="1"/>
  <c r="BV1046" i="1"/>
  <c r="BV1128" i="1"/>
  <c r="BV1131" i="1"/>
  <c r="AU1139" i="1"/>
  <c r="BV1196" i="1"/>
  <c r="CM1230" i="1"/>
  <c r="BV1278" i="1"/>
  <c r="AU1278" i="1"/>
  <c r="AU1370" i="1"/>
  <c r="AU650" i="1"/>
  <c r="BV727" i="1"/>
  <c r="CM787" i="1"/>
  <c r="CM797" i="1"/>
  <c r="AU862" i="1"/>
  <c r="BV894" i="1"/>
  <c r="AU915" i="1"/>
  <c r="BV925" i="1"/>
  <c r="AU989" i="1"/>
  <c r="CM1019" i="1"/>
  <c r="CM1055" i="1"/>
  <c r="CM1088" i="1"/>
  <c r="BV1177" i="1"/>
  <c r="BV1198" i="1"/>
  <c r="AU1208" i="1"/>
  <c r="AU1273" i="1"/>
  <c r="AU1299" i="1"/>
  <c r="BV1299" i="1"/>
  <c r="AU1384" i="1"/>
  <c r="CM1416" i="1"/>
  <c r="AU1220" i="1"/>
  <c r="BV1220" i="1"/>
  <c r="BV1236" i="1"/>
  <c r="AU1236" i="1"/>
  <c r="AU1483" i="1"/>
  <c r="BV1483" i="1"/>
  <c r="BV711" i="1"/>
  <c r="CM771" i="1"/>
  <c r="CM781" i="1"/>
  <c r="BV805" i="1"/>
  <c r="BV827" i="1"/>
  <c r="CM832" i="1"/>
  <c r="CM847" i="1"/>
  <c r="CM866" i="1"/>
  <c r="AU897" i="1"/>
  <c r="BV911" i="1"/>
  <c r="AU982" i="1"/>
  <c r="AU999" i="1"/>
  <c r="AU1005" i="1"/>
  <c r="AU1008" i="1"/>
  <c r="AU1071" i="1"/>
  <c r="AU1095" i="1"/>
  <c r="BV1118" i="1"/>
  <c r="AU1118" i="1"/>
  <c r="BV1179" i="1"/>
  <c r="CM1264" i="1"/>
  <c r="BV1335" i="1"/>
  <c r="AU1379" i="1"/>
  <c r="BV1379" i="1"/>
  <c r="AU1429" i="1"/>
  <c r="BV1429" i="1"/>
  <c r="AU909" i="1"/>
  <c r="AU1069" i="1"/>
  <c r="AU1282" i="1"/>
  <c r="AU1410" i="1"/>
  <c r="BV845" i="1"/>
  <c r="CM875" i="1"/>
  <c r="BV939" i="1"/>
  <c r="CM973" i="1"/>
  <c r="BV979" i="1"/>
  <c r="AU983" i="1"/>
  <c r="CM996" i="1"/>
  <c r="BV1085" i="1"/>
  <c r="CM1094" i="1"/>
  <c r="AU1108" i="1"/>
  <c r="AU1158" i="1"/>
  <c r="BV1158" i="1"/>
  <c r="BV1209" i="1"/>
  <c r="BV1224" i="1"/>
  <c r="BV1255" i="1"/>
  <c r="CM1468" i="1"/>
  <c r="AU886" i="1"/>
  <c r="AU971" i="1"/>
  <c r="AU1037" i="1"/>
  <c r="AU1113" i="1"/>
  <c r="BV1113" i="1"/>
  <c r="AU1201" i="1"/>
  <c r="BV1382" i="1"/>
  <c r="AU1382" i="1"/>
  <c r="CM837" i="1"/>
  <c r="BV899" i="1"/>
  <c r="AU1033" i="1"/>
  <c r="BV1040" i="1"/>
  <c r="CM1119" i="1"/>
  <c r="AU1149" i="1"/>
  <c r="AU1152" i="1"/>
  <c r="AU1173" i="1"/>
  <c r="AU1193" i="1"/>
  <c r="AU1351" i="1"/>
  <c r="BV1351" i="1"/>
  <c r="AU1428" i="1"/>
  <c r="AU1213" i="1"/>
  <c r="AU1281" i="1"/>
  <c r="AU822" i="1"/>
  <c r="AU854" i="1"/>
  <c r="AU990" i="1"/>
  <c r="AU1221" i="1"/>
  <c r="AU1253" i="1"/>
  <c r="AU1311" i="1"/>
  <c r="CM887" i="1"/>
  <c r="CM911" i="1"/>
  <c r="BV1003" i="1"/>
  <c r="BV1072" i="1"/>
  <c r="CM1087" i="1"/>
  <c r="CM1103" i="1"/>
  <c r="BV1181" i="1"/>
  <c r="AU1296" i="1"/>
  <c r="BV1296" i="1"/>
  <c r="AU1301" i="1"/>
  <c r="CM1346" i="1"/>
  <c r="BV1473" i="1"/>
  <c r="AU1473" i="1"/>
  <c r="BV1487" i="1"/>
  <c r="AU1487" i="1"/>
  <c r="AU1038" i="1"/>
  <c r="BV1178" i="1"/>
  <c r="AU1178" i="1"/>
  <c r="AU1214" i="1"/>
  <c r="AU1251" i="1"/>
  <c r="CM1367" i="1"/>
  <c r="AU1385" i="1"/>
  <c r="BV1385" i="1"/>
  <c r="BV1452" i="1"/>
  <c r="AU1452" i="1"/>
  <c r="CM1039" i="1"/>
  <c r="AU1055" i="1"/>
  <c r="AU1064" i="1"/>
  <c r="AU1238" i="1"/>
  <c r="CM1376" i="1"/>
  <c r="CM1395" i="1"/>
  <c r="BV1447" i="1"/>
  <c r="AU1447" i="1"/>
  <c r="CM1469" i="1"/>
  <c r="AU1485" i="1"/>
  <c r="BV1485" i="1"/>
  <c r="CM927" i="1"/>
  <c r="BV947" i="1"/>
  <c r="AU974" i="1"/>
  <c r="AU1101" i="1"/>
  <c r="CM1123" i="1"/>
  <c r="AU1172" i="1"/>
  <c r="AU1180" i="1"/>
  <c r="CM1189" i="1"/>
  <c r="CM1203" i="1"/>
  <c r="CM1225" i="1"/>
  <c r="AU1240" i="1"/>
  <c r="AU1269" i="1"/>
  <c r="CM1299" i="1"/>
  <c r="AU1304" i="1"/>
  <c r="CM1324" i="1"/>
  <c r="BV1356" i="1"/>
  <c r="BV1361" i="1"/>
  <c r="AU1449" i="1"/>
  <c r="AU1464" i="1"/>
  <c r="BV1464" i="1"/>
  <c r="AU1121" i="1"/>
  <c r="CM1136" i="1"/>
  <c r="BV1159" i="1"/>
  <c r="CM1190" i="1"/>
  <c r="AU1192" i="1"/>
  <c r="BV1202" i="1"/>
  <c r="BV1266" i="1"/>
  <c r="CM1392" i="1"/>
  <c r="BV1394" i="1"/>
  <c r="BV1489" i="1"/>
  <c r="AU1084" i="1"/>
  <c r="BV1147" i="1"/>
  <c r="AU1237" i="1"/>
  <c r="BV1242" i="1"/>
  <c r="AU1242" i="1"/>
  <c r="BV1245" i="1"/>
  <c r="CM1258" i="1"/>
  <c r="CM1327" i="1"/>
  <c r="BV1354" i="1"/>
  <c r="AU1444" i="1"/>
  <c r="BV1484" i="1"/>
  <c r="BV1111" i="1"/>
  <c r="AU1166" i="1"/>
  <c r="AU1254" i="1"/>
  <c r="BV1291" i="1"/>
  <c r="BV1374" i="1"/>
  <c r="AU1374" i="1"/>
  <c r="AU1406" i="1"/>
  <c r="BV1421" i="1"/>
  <c r="AU1421" i="1"/>
  <c r="AU1431" i="1"/>
  <c r="CM1187" i="1"/>
  <c r="BV1367" i="1"/>
  <c r="AU1391" i="1"/>
  <c r="AU1486" i="1"/>
  <c r="CM1164" i="1"/>
  <c r="BV1175" i="1"/>
  <c r="BV1186" i="1"/>
  <c r="BV1189" i="1"/>
  <c r="CM1265" i="1"/>
  <c r="CM1272" i="1"/>
  <c r="BV1339" i="1"/>
  <c r="BV1372" i="1"/>
  <c r="AU1418" i="1"/>
  <c r="AU1435" i="1"/>
  <c r="BV1468" i="1"/>
  <c r="BV1274" i="1"/>
  <c r="AU1274" i="1"/>
  <c r="CM1322" i="1"/>
  <c r="BV1327" i="1"/>
  <c r="AU1342" i="1"/>
  <c r="AU1412" i="1"/>
  <c r="AU1440" i="1"/>
  <c r="BV1470" i="1"/>
  <c r="AU1200" i="1"/>
  <c r="AU1229" i="1"/>
  <c r="AU1249" i="1"/>
  <c r="AU1321" i="1"/>
  <c r="CM1163" i="1"/>
  <c r="AU1185" i="1"/>
  <c r="AU1232" i="1"/>
  <c r="BV1280" i="1"/>
  <c r="AU1280" i="1"/>
  <c r="BV1292" i="1"/>
  <c r="AU1358" i="1"/>
  <c r="CM1415" i="1"/>
  <c r="BV1437" i="1"/>
  <c r="AU1437" i="1"/>
  <c r="AU1456" i="1"/>
  <c r="BV1456" i="1"/>
  <c r="AU1341" i="1"/>
  <c r="BV1341" i="1"/>
  <c r="BV1375" i="1"/>
  <c r="BV1402" i="1"/>
  <c r="AU1408" i="1"/>
  <c r="AU1455" i="1"/>
  <c r="CM1488" i="1"/>
  <c r="AU1216" i="1"/>
  <c r="AU1334" i="1"/>
  <c r="AU1369" i="1"/>
  <c r="CM1381" i="1"/>
  <c r="AU1467" i="1"/>
  <c r="AU1377" i="1"/>
  <c r="AU1380" i="1"/>
  <c r="CM1402" i="1"/>
  <c r="CM1446" i="1"/>
  <c r="BV1275" i="1"/>
  <c r="CM1286" i="1"/>
  <c r="AU1289" i="1"/>
  <c r="BV1363" i="1"/>
  <c r="CM1391" i="1"/>
  <c r="AU1424" i="1"/>
  <c r="BV1438" i="1"/>
  <c r="AU1481" i="1"/>
  <c r="BV1168" i="1"/>
  <c r="AU1261" i="1"/>
  <c r="CM1338" i="1"/>
  <c r="BV1155" i="1"/>
  <c r="BV1161" i="1"/>
  <c r="CM1169" i="1"/>
  <c r="AU1197" i="1"/>
  <c r="BV1210" i="1"/>
  <c r="AU1210" i="1"/>
  <c r="CM1220" i="1"/>
  <c r="BV1256" i="1"/>
  <c r="CM1279" i="1"/>
  <c r="BV1336" i="1"/>
  <c r="AU1347" i="1"/>
  <c r="BV1476" i="1"/>
  <c r="BV1495" i="1"/>
  <c r="AU1176" i="1"/>
  <c r="AU1205" i="1"/>
  <c r="BV1234" i="1"/>
  <c r="AU1320" i="1"/>
  <c r="BV1324" i="1"/>
  <c r="AU1324" i="1"/>
  <c r="AU1337" i="1"/>
  <c r="CM1201" i="1"/>
  <c r="AU1248" i="1"/>
  <c r="BV1272" i="1"/>
  <c r="BV1319" i="1"/>
  <c r="AU1340" i="1"/>
  <c r="AU1348" i="1"/>
  <c r="AU1478" i="1"/>
  <c r="AU1315" i="1"/>
  <c r="BV1350" i="1"/>
  <c r="BV1399" i="1"/>
  <c r="AU1415" i="1"/>
  <c r="AU1462" i="1"/>
  <c r="BV1488" i="1"/>
  <c r="CM1364" i="1"/>
  <c r="BV1371" i="1"/>
  <c r="CM1386" i="1"/>
  <c r="AU1398" i="1"/>
  <c r="AU1474" i="1"/>
  <c r="BV1499" i="1"/>
  <c r="AU1405" i="1"/>
  <c r="BV1405" i="1"/>
  <c r="BV1409" i="1"/>
  <c r="AU1401" i="1"/>
  <c r="AU1448" i="1"/>
  <c r="AU1479" i="1"/>
  <c r="BV1388" i="1"/>
  <c r="BW1037" i="1" l="1"/>
  <c r="BW55" i="1"/>
  <c r="BQ55" i="1"/>
  <c r="CZ57" i="1"/>
  <c r="S1227" i="1"/>
  <c r="BR1227" i="1" s="1"/>
  <c r="CE1227" i="1" s="1"/>
  <c r="BW1227" i="1"/>
  <c r="S125" i="1"/>
  <c r="BR125" i="1" s="1"/>
  <c r="BB125" i="1" s="1"/>
  <c r="S341" i="1"/>
  <c r="BR341" i="1" s="1"/>
  <c r="CE341" i="1" s="1"/>
  <c r="S1417" i="1"/>
  <c r="BR1417" i="1" s="1"/>
  <c r="CE1417" i="1" s="1"/>
  <c r="BW1417" i="1"/>
  <c r="BQ1360" i="1"/>
  <c r="BT1023" i="1"/>
  <c r="BQ1369" i="1"/>
  <c r="BO1369" i="1" s="1"/>
  <c r="BW1360" i="1"/>
  <c r="S1369" i="1"/>
  <c r="BR1369" i="1" s="1"/>
  <c r="CE1369" i="1" s="1"/>
  <c r="BQ125" i="1"/>
  <c r="BO125" i="1" s="1"/>
  <c r="BQ341" i="1"/>
  <c r="BT341" i="1" s="1"/>
  <c r="BQ437" i="1"/>
  <c r="BO437" i="1" s="1"/>
  <c r="BW21" i="1"/>
  <c r="S1297" i="1"/>
  <c r="BR1297" i="1" s="1"/>
  <c r="CE1297" i="1" s="1"/>
  <c r="S24" i="1"/>
  <c r="BR24" i="1" s="1"/>
  <c r="CE24" i="1" s="1"/>
  <c r="BW119" i="1"/>
  <c r="BQ1297" i="1"/>
  <c r="BO1297" i="1" s="1"/>
  <c r="BQ24" i="1"/>
  <c r="BO24" i="1" s="1"/>
  <c r="BW1023" i="1"/>
  <c r="S1023" i="1"/>
  <c r="BR1023" i="1" s="1"/>
  <c r="BB1023" i="1" s="1"/>
  <c r="BW611" i="1"/>
  <c r="BQ611" i="1"/>
  <c r="BT611" i="1" s="1"/>
  <c r="BQ1331" i="1"/>
  <c r="BT1331" i="1" s="1"/>
  <c r="BW955" i="1"/>
  <c r="S1331" i="1"/>
  <c r="BR1331" i="1" s="1"/>
  <c r="CE1331" i="1" s="1"/>
  <c r="S1313" i="1"/>
  <c r="BR1313" i="1" s="1"/>
  <c r="CE1313" i="1" s="1"/>
  <c r="S975" i="1"/>
  <c r="BR975" i="1" s="1"/>
  <c r="CE975" i="1" s="1"/>
  <c r="BO975" i="1"/>
  <c r="BW1313" i="1"/>
  <c r="S4" i="1"/>
  <c r="BR4" i="1" s="1"/>
  <c r="CB4" i="1"/>
  <c r="BO124" i="1"/>
  <c r="BW975" i="1"/>
  <c r="BQ287" i="1"/>
  <c r="BO287" i="1" s="1"/>
  <c r="CE125" i="1"/>
  <c r="CE1099" i="1"/>
  <c r="BB1099" i="1"/>
  <c r="CE743" i="1"/>
  <c r="BB743" i="1"/>
  <c r="CE1303" i="1"/>
  <c r="BB1303" i="1"/>
  <c r="CE354" i="1"/>
  <c r="BB354" i="1"/>
  <c r="CE148" i="1"/>
  <c r="BB148" i="1"/>
  <c r="CE645" i="1"/>
  <c r="BB645" i="1"/>
  <c r="CE1263" i="1"/>
  <c r="BB1263" i="1"/>
  <c r="CE466" i="1"/>
  <c r="BB466" i="1"/>
  <c r="CE379" i="1"/>
  <c r="BB379" i="1"/>
  <c r="CE796" i="1"/>
  <c r="BB796" i="1"/>
  <c r="CE818" i="1"/>
  <c r="BB818" i="1"/>
  <c r="CE474" i="1"/>
  <c r="BB474" i="1"/>
  <c r="CE86" i="1"/>
  <c r="BB86" i="1"/>
  <c r="CE1095" i="1"/>
  <c r="BB1095" i="1"/>
  <c r="CE710" i="1"/>
  <c r="BB710" i="1"/>
  <c r="CE319" i="1"/>
  <c r="BB319" i="1"/>
  <c r="CE137" i="1"/>
  <c r="BB137" i="1"/>
  <c r="CE724" i="1"/>
  <c r="BB724" i="1"/>
  <c r="CE38" i="1"/>
  <c r="BB38" i="1"/>
  <c r="CE463" i="1"/>
  <c r="BB463" i="1"/>
  <c r="CE13" i="1"/>
  <c r="BB13" i="1"/>
  <c r="CE560" i="1"/>
  <c r="BB560" i="1"/>
  <c r="CE143" i="1"/>
  <c r="BB143" i="1"/>
  <c r="CE588" i="1"/>
  <c r="BB588" i="1"/>
  <c r="CE151" i="1"/>
  <c r="BB151" i="1"/>
  <c r="CE17" i="1"/>
  <c r="BB17" i="1"/>
  <c r="CE885" i="1"/>
  <c r="BB885" i="1"/>
  <c r="CE632" i="1"/>
  <c r="BB632" i="1"/>
  <c r="CE787" i="1"/>
  <c r="BB787" i="1"/>
  <c r="CE699" i="1"/>
  <c r="BB699" i="1"/>
  <c r="CE959" i="1"/>
  <c r="BB959" i="1"/>
  <c r="CE162" i="1"/>
  <c r="BB162" i="1"/>
  <c r="CE449" i="1"/>
  <c r="BB449" i="1"/>
  <c r="CE1373" i="1"/>
  <c r="BB1373" i="1"/>
  <c r="CE172" i="1"/>
  <c r="BB172" i="1"/>
  <c r="CE241" i="1"/>
  <c r="BB241" i="1"/>
  <c r="CE465" i="1"/>
  <c r="BB465" i="1"/>
  <c r="CE167" i="1"/>
  <c r="BB167" i="1"/>
  <c r="CE832" i="1"/>
  <c r="BB832" i="1"/>
  <c r="CE577" i="1"/>
  <c r="BB577" i="1"/>
  <c r="CE421" i="1"/>
  <c r="BB421" i="1"/>
  <c r="CE530" i="1"/>
  <c r="BB530" i="1"/>
  <c r="CE207" i="1"/>
  <c r="BB207" i="1"/>
  <c r="CE372" i="1"/>
  <c r="BB372" i="1"/>
  <c r="CE316" i="1"/>
  <c r="BB316" i="1"/>
  <c r="CE221" i="1"/>
  <c r="BB221" i="1"/>
  <c r="CE128" i="1"/>
  <c r="BB128" i="1"/>
  <c r="CE494" i="1"/>
  <c r="BB494" i="1"/>
  <c r="CE328" i="1"/>
  <c r="BB328" i="1"/>
  <c r="CE60" i="1"/>
  <c r="BB60" i="1"/>
  <c r="CE967" i="1"/>
  <c r="BB967" i="1"/>
  <c r="CE1359" i="1"/>
  <c r="BB1359" i="1"/>
  <c r="CE1377" i="1"/>
  <c r="BB1377" i="1"/>
  <c r="CE929" i="1"/>
  <c r="BB929" i="1"/>
  <c r="CE889" i="1"/>
  <c r="BB889" i="1"/>
  <c r="CE117" i="1"/>
  <c r="BB117" i="1"/>
  <c r="CE349" i="1"/>
  <c r="BB349" i="1"/>
  <c r="CE1407" i="1"/>
  <c r="BB1407" i="1"/>
  <c r="CE587" i="1"/>
  <c r="BB587" i="1"/>
  <c r="CE1383" i="1"/>
  <c r="BB1383" i="1"/>
  <c r="CE667" i="1"/>
  <c r="BB667" i="1"/>
  <c r="CE532" i="1"/>
  <c r="BB532" i="1"/>
  <c r="CE41" i="1"/>
  <c r="BB41" i="1"/>
  <c r="CE736" i="1"/>
  <c r="BB736" i="1"/>
  <c r="CE520" i="1"/>
  <c r="BB520" i="1"/>
  <c r="CE168" i="1"/>
  <c r="BB168" i="1"/>
  <c r="CE622" i="1"/>
  <c r="BB622" i="1"/>
  <c r="CE158" i="1"/>
  <c r="BB158" i="1"/>
  <c r="CE517" i="1"/>
  <c r="BB517" i="1"/>
  <c r="CE1187" i="1"/>
  <c r="BB1187" i="1"/>
  <c r="CE448" i="1"/>
  <c r="BB448" i="1"/>
  <c r="CE247" i="1"/>
  <c r="BB247" i="1"/>
  <c r="CE242" i="1"/>
  <c r="BB242" i="1"/>
  <c r="CE725" i="1"/>
  <c r="BB725" i="1"/>
  <c r="CE578" i="1"/>
  <c r="BB578" i="1"/>
  <c r="CE485" i="1"/>
  <c r="BB485" i="1"/>
  <c r="CE327" i="1"/>
  <c r="BB327" i="1"/>
  <c r="CE62" i="1"/>
  <c r="BB62" i="1"/>
  <c r="CE159" i="1"/>
  <c r="BB159" i="1"/>
  <c r="CE1011" i="1"/>
  <c r="BB1011" i="1"/>
  <c r="CE72" i="1"/>
  <c r="BB72" i="1"/>
  <c r="CE1123" i="1"/>
  <c r="BB1123" i="1"/>
  <c r="CE391" i="1"/>
  <c r="BB391" i="1"/>
  <c r="CE1045" i="1"/>
  <c r="BB1045" i="1"/>
  <c r="CE682" i="1"/>
  <c r="BB682" i="1"/>
  <c r="CE1223" i="1"/>
  <c r="BB1223" i="1"/>
  <c r="CE178" i="1"/>
  <c r="BB178" i="1"/>
  <c r="CE848" i="1"/>
  <c r="BB848" i="1"/>
  <c r="CE546" i="1"/>
  <c r="BB546" i="1"/>
  <c r="CE792" i="1"/>
  <c r="BB792" i="1"/>
  <c r="CE425" i="1"/>
  <c r="BB425" i="1"/>
  <c r="CE647" i="1"/>
  <c r="BB647" i="1"/>
  <c r="CE1197" i="1"/>
  <c r="BB1197" i="1"/>
  <c r="CE709" i="1"/>
  <c r="BB709" i="1"/>
  <c r="CE487" i="1"/>
  <c r="BB487" i="1"/>
  <c r="CE331" i="1"/>
  <c r="BB331" i="1"/>
  <c r="CE199" i="1"/>
  <c r="BB199" i="1"/>
  <c r="CE445" i="1"/>
  <c r="BB445" i="1"/>
  <c r="CE871" i="1"/>
  <c r="BB871" i="1"/>
  <c r="CE740" i="1"/>
  <c r="BB740" i="1"/>
  <c r="CE205" i="1"/>
  <c r="BB205" i="1"/>
  <c r="CE81" i="1"/>
  <c r="BB81" i="1"/>
  <c r="CE213" i="1"/>
  <c r="BB213" i="1"/>
  <c r="CE637" i="1"/>
  <c r="BB637" i="1"/>
  <c r="CE511" i="1"/>
  <c r="BB511" i="1"/>
  <c r="CE616" i="1"/>
  <c r="BB616" i="1"/>
  <c r="CE92" i="1"/>
  <c r="BB92" i="1"/>
  <c r="CE816" i="1"/>
  <c r="BB816" i="1"/>
  <c r="CE671" i="1"/>
  <c r="BB671" i="1"/>
  <c r="CE513" i="1"/>
  <c r="BB513" i="1"/>
  <c r="CE73" i="1"/>
  <c r="BB73" i="1"/>
  <c r="CE1127" i="1"/>
  <c r="BB1127" i="1"/>
  <c r="CE817" i="1"/>
  <c r="BB817" i="1"/>
  <c r="CE542" i="1"/>
  <c r="BB542" i="1"/>
  <c r="CE206" i="1"/>
  <c r="BB206" i="1"/>
  <c r="CE624" i="1"/>
  <c r="BB624" i="1"/>
  <c r="CE1249" i="1"/>
  <c r="BB1249" i="1"/>
  <c r="CE664" i="1"/>
  <c r="BB664" i="1"/>
  <c r="CE1453" i="1"/>
  <c r="BB1453" i="1"/>
  <c r="CE812" i="1"/>
  <c r="BB812" i="1"/>
  <c r="CE160" i="1"/>
  <c r="BB160" i="1"/>
  <c r="CE248" i="1"/>
  <c r="BB248" i="1"/>
  <c r="CE776" i="1"/>
  <c r="BB776" i="1"/>
  <c r="CE563" i="1"/>
  <c r="BB563" i="1"/>
  <c r="CE1075" i="1"/>
  <c r="BB1075" i="1"/>
  <c r="CE825" i="1"/>
  <c r="BB825" i="1"/>
  <c r="CE523" i="1"/>
  <c r="BB523" i="1"/>
  <c r="CE170" i="1"/>
  <c r="BB170" i="1"/>
  <c r="CE182" i="1"/>
  <c r="BB182" i="1"/>
  <c r="CE833" i="1"/>
  <c r="BB833" i="1"/>
  <c r="CE1261" i="1"/>
  <c r="BB1261" i="1"/>
  <c r="CE129" i="1"/>
  <c r="BB129" i="1"/>
  <c r="CE77" i="1"/>
  <c r="BB77" i="1"/>
  <c r="CE1257" i="1"/>
  <c r="BB1257" i="1"/>
  <c r="CE396" i="1"/>
  <c r="BB396" i="1"/>
  <c r="CE52" i="1"/>
  <c r="BB52" i="1"/>
  <c r="CE1497" i="1"/>
  <c r="BB1497" i="1"/>
  <c r="CE1333" i="1"/>
  <c r="BB1333" i="1"/>
  <c r="CE135" i="1"/>
  <c r="BB135" i="1"/>
  <c r="CE369" i="1"/>
  <c r="BB369" i="1"/>
  <c r="CE89" i="1"/>
  <c r="BB89" i="1"/>
  <c r="CE373" i="1"/>
  <c r="BB373" i="1"/>
  <c r="CE704" i="1"/>
  <c r="BB704" i="1"/>
  <c r="CE202" i="1"/>
  <c r="BB202" i="1"/>
  <c r="CE1279" i="1"/>
  <c r="BB1279" i="1"/>
  <c r="CE718" i="1"/>
  <c r="BB718" i="1"/>
  <c r="CE625" i="1"/>
  <c r="BB625" i="1"/>
  <c r="CE152" i="1"/>
  <c r="BB152" i="1"/>
  <c r="CE1365" i="1"/>
  <c r="BB1365" i="1"/>
  <c r="CE216" i="1"/>
  <c r="BB216" i="1"/>
  <c r="CE57" i="1"/>
  <c r="BB57" i="1"/>
  <c r="CE557" i="1"/>
  <c r="BB557" i="1"/>
  <c r="CE1237" i="1"/>
  <c r="BB1237" i="1"/>
  <c r="CE786" i="1"/>
  <c r="BB786" i="1"/>
  <c r="CE1101" i="1"/>
  <c r="BB1101" i="1"/>
  <c r="CE432" i="1"/>
  <c r="BB432" i="1"/>
  <c r="CE198" i="1"/>
  <c r="BB198" i="1"/>
  <c r="CE661" i="1"/>
  <c r="BB661" i="1"/>
  <c r="CE188" i="1"/>
  <c r="BB188" i="1"/>
  <c r="CE30" i="1"/>
  <c r="BB30" i="1"/>
  <c r="CE670" i="1"/>
  <c r="BB670" i="1"/>
  <c r="CE183" i="1"/>
  <c r="BB183" i="1"/>
  <c r="CE685" i="1"/>
  <c r="BB685" i="1"/>
  <c r="CE261" i="1"/>
  <c r="BB261" i="1"/>
  <c r="CE613" i="1"/>
  <c r="BB613" i="1"/>
  <c r="CE1049" i="1"/>
  <c r="BB1049" i="1"/>
  <c r="CE444" i="1"/>
  <c r="BB444" i="1"/>
  <c r="CE794" i="1"/>
  <c r="BB794" i="1"/>
  <c r="CE436" i="1"/>
  <c r="BB436" i="1"/>
  <c r="CE1273" i="1"/>
  <c r="BB1273" i="1"/>
  <c r="CE226" i="1"/>
  <c r="BB226" i="1"/>
  <c r="CE340" i="1"/>
  <c r="BB340" i="1"/>
  <c r="CE611" i="1"/>
  <c r="BB611" i="1"/>
  <c r="BB1486" i="1"/>
  <c r="BB1474" i="1"/>
  <c r="BB1450" i="1"/>
  <c r="BB1446" i="1"/>
  <c r="BB1418" i="1"/>
  <c r="BB1414" i="1"/>
  <c r="BB1410" i="1"/>
  <c r="BB1398" i="1"/>
  <c r="BB1370" i="1"/>
  <c r="BB1358" i="1"/>
  <c r="BB1326" i="1"/>
  <c r="BB1322" i="1"/>
  <c r="BB1298" i="1"/>
  <c r="BB1286" i="1"/>
  <c r="BB1238" i="1"/>
  <c r="BB1230" i="1"/>
  <c r="BB1214" i="1"/>
  <c r="BB1206" i="1"/>
  <c r="BB1174" i="1"/>
  <c r="BB1170" i="1"/>
  <c r="BB1146" i="1"/>
  <c r="BB1090" i="1"/>
  <c r="BB1078" i="1"/>
  <c r="BB1062" i="1"/>
  <c r="BB1054" i="1"/>
  <c r="BB1034" i="1"/>
  <c r="BB1026" i="1"/>
  <c r="BB1022" i="1"/>
  <c r="BB1014" i="1"/>
  <c r="BB1010" i="1"/>
  <c r="BB982" i="1"/>
  <c r="BB954" i="1"/>
  <c r="BB906" i="1"/>
  <c r="BB898" i="1"/>
  <c r="CE55" i="1"/>
  <c r="BB55" i="1"/>
  <c r="CE1305" i="1"/>
  <c r="BB1305" i="1"/>
  <c r="CE1403" i="1"/>
  <c r="BB1403" i="1"/>
  <c r="CE790" i="1"/>
  <c r="BB790" i="1"/>
  <c r="CE1135" i="1"/>
  <c r="BB1135" i="1"/>
  <c r="CE324" i="1"/>
  <c r="BB324" i="1"/>
  <c r="CE395" i="1"/>
  <c r="BB395" i="1"/>
  <c r="CE553" i="1"/>
  <c r="BB553" i="1"/>
  <c r="CE273" i="1"/>
  <c r="BB273" i="1"/>
  <c r="CE491" i="1"/>
  <c r="BB491" i="1"/>
  <c r="CE887" i="1"/>
  <c r="BB887" i="1"/>
  <c r="CE540" i="1"/>
  <c r="BB540" i="1"/>
  <c r="CE101" i="1"/>
  <c r="BB101" i="1"/>
  <c r="CE824" i="1"/>
  <c r="BB824" i="1"/>
  <c r="CE457" i="1"/>
  <c r="BB457" i="1"/>
  <c r="CE387" i="1"/>
  <c r="BB387" i="1"/>
  <c r="CE306" i="1"/>
  <c r="BB306" i="1"/>
  <c r="CE852" i="1"/>
  <c r="BB852" i="1"/>
  <c r="CE730" i="1"/>
  <c r="BB730" i="1"/>
  <c r="CE214" i="1"/>
  <c r="BB214" i="1"/>
  <c r="CE48" i="1"/>
  <c r="BB48" i="1"/>
  <c r="CE58" i="1"/>
  <c r="BB58" i="1"/>
  <c r="CE515" i="1"/>
  <c r="BB515" i="1"/>
  <c r="CE173" i="1"/>
  <c r="BB173" i="1"/>
  <c r="CE203" i="1"/>
  <c r="BB203" i="1"/>
  <c r="CE267" i="1"/>
  <c r="BB267" i="1"/>
  <c r="CE295" i="1"/>
  <c r="BB295" i="1"/>
  <c r="CE538" i="1"/>
  <c r="BB538" i="1"/>
  <c r="CE869" i="1"/>
  <c r="BB869" i="1"/>
  <c r="CE764" i="1"/>
  <c r="BB764" i="1"/>
  <c r="CE1063" i="1"/>
  <c r="BB1063" i="1"/>
  <c r="CE286" i="1"/>
  <c r="BB286" i="1"/>
  <c r="CE949" i="1"/>
  <c r="BB949" i="1"/>
  <c r="CE229" i="1"/>
  <c r="BB229" i="1"/>
  <c r="CE478" i="1"/>
  <c r="BB478" i="1"/>
  <c r="CE1253" i="1"/>
  <c r="BB1253" i="1"/>
  <c r="CE801" i="1"/>
  <c r="BB801" i="1"/>
  <c r="CE506" i="1"/>
  <c r="BB506" i="1"/>
  <c r="CE1285" i="1"/>
  <c r="BB1285" i="1"/>
  <c r="CE1239" i="1"/>
  <c r="BB1239" i="1"/>
  <c r="CE678" i="1"/>
  <c r="BB678" i="1"/>
  <c r="CE455" i="1"/>
  <c r="BB455" i="1"/>
  <c r="CE933" i="1"/>
  <c r="BB933" i="1"/>
  <c r="CE459" i="1"/>
  <c r="BB459" i="1"/>
  <c r="CE246" i="1"/>
  <c r="BB246" i="1"/>
  <c r="CE552" i="1"/>
  <c r="BB552" i="1"/>
  <c r="CE326" i="1"/>
  <c r="BB326" i="1"/>
  <c r="CE258" i="1"/>
  <c r="BB258" i="1"/>
  <c r="CE793" i="1"/>
  <c r="BB793" i="1"/>
  <c r="CE292" i="1"/>
  <c r="BB292" i="1"/>
  <c r="CE1015" i="1"/>
  <c r="BB1015" i="1"/>
  <c r="CE497" i="1"/>
  <c r="BB497" i="1"/>
  <c r="CE358" i="1"/>
  <c r="BB358" i="1"/>
  <c r="CE591" i="1"/>
  <c r="BB591" i="1"/>
  <c r="CE130" i="1"/>
  <c r="BB130" i="1"/>
  <c r="CE1225" i="1"/>
  <c r="BB1225" i="1"/>
  <c r="CE762" i="1"/>
  <c r="BB762" i="1"/>
  <c r="CE442" i="1"/>
  <c r="BB442" i="1"/>
  <c r="CE732" i="1"/>
  <c r="BB732" i="1"/>
  <c r="CE116" i="1"/>
  <c r="BB116" i="1"/>
  <c r="CE767" i="1"/>
  <c r="BB767" i="1"/>
  <c r="CE461" i="1"/>
  <c r="BB461" i="1"/>
  <c r="CE351" i="1"/>
  <c r="BB351" i="1"/>
  <c r="CE114" i="1"/>
  <c r="BB114" i="1"/>
  <c r="CE75" i="1"/>
  <c r="BB75" i="1"/>
  <c r="CE227" i="1"/>
  <c r="BB227" i="1"/>
  <c r="CE660" i="1"/>
  <c r="BB660" i="1"/>
  <c r="CE1205" i="1"/>
  <c r="BB1205" i="1"/>
  <c r="CE634" i="1"/>
  <c r="BB634" i="1"/>
  <c r="CE456" i="1"/>
  <c r="BB456" i="1"/>
  <c r="CE312" i="1"/>
  <c r="BB312" i="1"/>
  <c r="CE757" i="1"/>
  <c r="BB757" i="1"/>
  <c r="CE123" i="1"/>
  <c r="BB123" i="1"/>
  <c r="CE814" i="1"/>
  <c r="BB814" i="1"/>
  <c r="CE731" i="1"/>
  <c r="BB731" i="1"/>
  <c r="CE830" i="1"/>
  <c r="BB830" i="1"/>
  <c r="CE1119" i="1"/>
  <c r="BB1119" i="1"/>
  <c r="CE915" i="1"/>
  <c r="BB915" i="1"/>
  <c r="CE335" i="1"/>
  <c r="BB335" i="1"/>
  <c r="CE212" i="1"/>
  <c r="BB212" i="1"/>
  <c r="CE1031" i="1"/>
  <c r="BB1031" i="1"/>
  <c r="CE1277" i="1"/>
  <c r="BB1277" i="1"/>
  <c r="CE462" i="1"/>
  <c r="BB462" i="1"/>
  <c r="CE1059" i="1"/>
  <c r="BB1059" i="1"/>
  <c r="CE569" i="1"/>
  <c r="BB569" i="1"/>
  <c r="CE1479" i="1"/>
  <c r="BB1479" i="1"/>
  <c r="CE706" i="1"/>
  <c r="BB706" i="1"/>
  <c r="CE623" i="1"/>
  <c r="BB623" i="1"/>
  <c r="CE297" i="1"/>
  <c r="BB297" i="1"/>
  <c r="CE1427" i="1"/>
  <c r="BB1427" i="1"/>
  <c r="CE662" i="1"/>
  <c r="BB662" i="1"/>
  <c r="CE590" i="1"/>
  <c r="BB590" i="1"/>
  <c r="CE401" i="1"/>
  <c r="BB401" i="1"/>
  <c r="CE857" i="1"/>
  <c r="BB857" i="1"/>
  <c r="CE484" i="1"/>
  <c r="BB484" i="1"/>
  <c r="CE434" i="1"/>
  <c r="BB434" i="1"/>
  <c r="CE245" i="1"/>
  <c r="BB245" i="1"/>
  <c r="CE1423" i="1"/>
  <c r="BB1423" i="1"/>
  <c r="CE983" i="1"/>
  <c r="BB983" i="1"/>
  <c r="CE1217" i="1"/>
  <c r="BB1217" i="1"/>
  <c r="CE658" i="1"/>
  <c r="BB658" i="1"/>
  <c r="CE147" i="1"/>
  <c r="BB147" i="1"/>
  <c r="CE289" i="1"/>
  <c r="BB289" i="1"/>
  <c r="CE435" i="1"/>
  <c r="BB435" i="1"/>
  <c r="CE154" i="1"/>
  <c r="BB154" i="1"/>
  <c r="CE254" i="1"/>
  <c r="BB254" i="1"/>
  <c r="CE728" i="1"/>
  <c r="BB728" i="1"/>
  <c r="CE228" i="1"/>
  <c r="BB228" i="1"/>
  <c r="CE469" i="1"/>
  <c r="BB469" i="1"/>
  <c r="CE342" i="1"/>
  <c r="BB342" i="1"/>
  <c r="CE1415" i="1"/>
  <c r="BB1415" i="1"/>
  <c r="CE21" i="1"/>
  <c r="BB21" i="1"/>
  <c r="CE778" i="1"/>
  <c r="BB778" i="1"/>
  <c r="CE56" i="1"/>
  <c r="BB56" i="1"/>
  <c r="CE1265" i="1"/>
  <c r="BB1265" i="1"/>
  <c r="CE149" i="1"/>
  <c r="BB149" i="1"/>
  <c r="CE224" i="1"/>
  <c r="BB224" i="1"/>
  <c r="CE765" i="1"/>
  <c r="BB765" i="1"/>
  <c r="CE284" i="1"/>
  <c r="BB284" i="1"/>
  <c r="CE1281" i="1"/>
  <c r="BB1281" i="1"/>
  <c r="CE45" i="1"/>
  <c r="BB45" i="1"/>
  <c r="CE303" i="1"/>
  <c r="BB303" i="1"/>
  <c r="CE243" i="1"/>
  <c r="BB243" i="1"/>
  <c r="CE23" i="1"/>
  <c r="BB23" i="1"/>
  <c r="CE1019" i="1"/>
  <c r="BB1019" i="1"/>
  <c r="CE562" i="1"/>
  <c r="BB562" i="1"/>
  <c r="CE1153" i="1"/>
  <c r="BB1153" i="1"/>
  <c r="CE867" i="1"/>
  <c r="BB867" i="1"/>
  <c r="CE641" i="1"/>
  <c r="BB641" i="1"/>
  <c r="CE526" i="1"/>
  <c r="BB526" i="1"/>
  <c r="CE862" i="1"/>
  <c r="BB862" i="1"/>
  <c r="CE472" i="1"/>
  <c r="BB472" i="1"/>
  <c r="CE397" i="1"/>
  <c r="BB397" i="1"/>
  <c r="CE280" i="1"/>
  <c r="BB280" i="1"/>
  <c r="CE820" i="1"/>
  <c r="BB820" i="1"/>
  <c r="CE74" i="1"/>
  <c r="BB74" i="1"/>
  <c r="CE33" i="1"/>
  <c r="BB33" i="1"/>
  <c r="CE476" i="1"/>
  <c r="BB476" i="1"/>
  <c r="CE15" i="1"/>
  <c r="BB15" i="1"/>
  <c r="CE1091" i="1"/>
  <c r="BB1091" i="1"/>
  <c r="CE133" i="1"/>
  <c r="BB133" i="1"/>
  <c r="CE612" i="1"/>
  <c r="BB612" i="1"/>
  <c r="CE529" i="1"/>
  <c r="BB529" i="1"/>
  <c r="CE244" i="1"/>
  <c r="BB244" i="1"/>
  <c r="CE467" i="1"/>
  <c r="BB467" i="1"/>
  <c r="CE840" i="1"/>
  <c r="BB840" i="1"/>
  <c r="CE1171" i="1"/>
  <c r="BB1171" i="1"/>
  <c r="CE755" i="1"/>
  <c r="BB755" i="1"/>
  <c r="CE537" i="1"/>
  <c r="BB537" i="1"/>
  <c r="CE360" i="1"/>
  <c r="BB360" i="1"/>
  <c r="CE439" i="1"/>
  <c r="BB439" i="1"/>
  <c r="CE235" i="1"/>
  <c r="BB235" i="1"/>
  <c r="CE175" i="1"/>
  <c r="BB175" i="1"/>
  <c r="CE34" i="1"/>
  <c r="BB34" i="1"/>
  <c r="CE854" i="1"/>
  <c r="BB854" i="1"/>
  <c r="CE713" i="1"/>
  <c r="BB713" i="1"/>
  <c r="CE534" i="1"/>
  <c r="BB534" i="1"/>
  <c r="CE204" i="1"/>
  <c r="BB204" i="1"/>
  <c r="CE955" i="1"/>
  <c r="BB955" i="1"/>
  <c r="CE176" i="1"/>
  <c r="BB176" i="1"/>
  <c r="CE653" i="1"/>
  <c r="BB653" i="1"/>
  <c r="CE126" i="1"/>
  <c r="BB126" i="1"/>
  <c r="CE784" i="1"/>
  <c r="BB784" i="1"/>
  <c r="CE1025" i="1"/>
  <c r="BB1025" i="1"/>
  <c r="CE847" i="1"/>
  <c r="BB847" i="1"/>
  <c r="CE298" i="1"/>
  <c r="BB298" i="1"/>
  <c r="CE236" i="1"/>
  <c r="BB236" i="1"/>
  <c r="CE548" i="1"/>
  <c r="BB548" i="1"/>
  <c r="CE574" i="1"/>
  <c r="BB574" i="1"/>
  <c r="CE512" i="1"/>
  <c r="BB512" i="1"/>
  <c r="CE278" i="1"/>
  <c r="BB278" i="1"/>
  <c r="CE841" i="1"/>
  <c r="BB841" i="1"/>
  <c r="CE602" i="1"/>
  <c r="BB602" i="1"/>
  <c r="CE490" i="1"/>
  <c r="BB490" i="1"/>
  <c r="CE509" i="1"/>
  <c r="BB509" i="1"/>
  <c r="CE88" i="1"/>
  <c r="BB88" i="1"/>
  <c r="CE83" i="1"/>
  <c r="BB83" i="1"/>
  <c r="CE70" i="1"/>
  <c r="BB70" i="1"/>
  <c r="CE1221" i="1"/>
  <c r="BB1221" i="1"/>
  <c r="CE239" i="1"/>
  <c r="BB239" i="1"/>
  <c r="CE1005" i="1"/>
  <c r="BB1005" i="1"/>
  <c r="CE415" i="1"/>
  <c r="BB415" i="1"/>
  <c r="CE288" i="1"/>
  <c r="BB288" i="1"/>
  <c r="CE971" i="1"/>
  <c r="BB971" i="1"/>
  <c r="CE627" i="1"/>
  <c r="BB627" i="1"/>
  <c r="CE1079" i="1"/>
  <c r="BB1079" i="1"/>
  <c r="CE849" i="1"/>
  <c r="BB849" i="1"/>
  <c r="CE489" i="1"/>
  <c r="BB489" i="1"/>
  <c r="CE264" i="1"/>
  <c r="BB264" i="1"/>
  <c r="CE649" i="1"/>
  <c r="BB649" i="1"/>
  <c r="CE656" i="1"/>
  <c r="BB656" i="1"/>
  <c r="CE196" i="1"/>
  <c r="BB196" i="1"/>
  <c r="CE194" i="1"/>
  <c r="BB194" i="1"/>
  <c r="CE1185" i="1"/>
  <c r="BB1185" i="1"/>
  <c r="CE346" i="1"/>
  <c r="BB346" i="1"/>
  <c r="CE359" i="1"/>
  <c r="BB359" i="1"/>
  <c r="CE119" i="1"/>
  <c r="BB119" i="1"/>
  <c r="BB1424" i="1"/>
  <c r="BB1420" i="1"/>
  <c r="BB1408" i="1"/>
  <c r="BB1392" i="1"/>
  <c r="BB1384" i="1"/>
  <c r="BB1376" i="1"/>
  <c r="BB1360" i="1"/>
  <c r="BB1352" i="1"/>
  <c r="BB1348" i="1"/>
  <c r="BB1316" i="1"/>
  <c r="BB1276" i="1"/>
  <c r="BB1248" i="1"/>
  <c r="BB1208" i="1"/>
  <c r="BB1172" i="1"/>
  <c r="BB1156" i="1"/>
  <c r="BB1152" i="1"/>
  <c r="BB1144" i="1"/>
  <c r="BB1136" i="1"/>
  <c r="BB1104" i="1"/>
  <c r="BB1100" i="1"/>
  <c r="BB1088" i="1"/>
  <c r="BB1084" i="1"/>
  <c r="BB1052" i="1"/>
  <c r="BB1036" i="1"/>
  <c r="BB1024" i="1"/>
  <c r="BB992" i="1"/>
  <c r="BB968" i="1"/>
  <c r="BB964" i="1"/>
  <c r="BB952" i="1"/>
  <c r="BB916" i="1"/>
  <c r="BB912" i="1"/>
  <c r="BB908" i="1"/>
  <c r="AH22" i="1"/>
  <c r="AK22" i="1" s="1"/>
  <c r="BQ119" i="1"/>
  <c r="BT119" i="1" s="1"/>
  <c r="S1037" i="1"/>
  <c r="BR1037" i="1" s="1"/>
  <c r="BW98" i="1"/>
  <c r="BW1450" i="1"/>
  <c r="BQ21" i="1"/>
  <c r="BT21" i="1" s="1"/>
  <c r="S437" i="1"/>
  <c r="BR437" i="1" s="1"/>
  <c r="BW425" i="1"/>
  <c r="BQ425" i="1"/>
  <c r="BO425" i="1" s="1"/>
  <c r="S98" i="1"/>
  <c r="BR98" i="1" s="1"/>
  <c r="BQ399" i="1"/>
  <c r="BT399" i="1" s="1"/>
  <c r="S1353" i="1"/>
  <c r="BR1353" i="1" s="1"/>
  <c r="BQ713" i="1"/>
  <c r="BT713" i="1" s="1"/>
  <c r="BW1353" i="1"/>
  <c r="BW713" i="1"/>
  <c r="BW111" i="1"/>
  <c r="S111" i="1"/>
  <c r="BR111" i="1" s="1"/>
  <c r="BW187" i="1"/>
  <c r="BW124" i="1"/>
  <c r="BT187" i="1"/>
  <c r="S187" i="1"/>
  <c r="BR187" i="1" s="1"/>
  <c r="BT166" i="1"/>
  <c r="BW789" i="1"/>
  <c r="S1083" i="1"/>
  <c r="BR1083" i="1" s="1"/>
  <c r="BW132" i="1"/>
  <c r="BW359" i="1"/>
  <c r="BQ604" i="1"/>
  <c r="BT604" i="1" s="1"/>
  <c r="BQ1450" i="1"/>
  <c r="BT1450" i="1" s="1"/>
  <c r="BQ342" i="1"/>
  <c r="BT342" i="1" s="1"/>
  <c r="S287" i="1"/>
  <c r="BR287" i="1" s="1"/>
  <c r="BW342" i="1"/>
  <c r="BQ728" i="1"/>
  <c r="BT728" i="1" s="1"/>
  <c r="BQ1415" i="1"/>
  <c r="BO1415" i="1" s="1"/>
  <c r="BQ1337" i="1"/>
  <c r="BO1337" i="1" s="1"/>
  <c r="BW1415" i="1"/>
  <c r="BW254" i="1"/>
  <c r="BQ359" i="1"/>
  <c r="BO359" i="1" s="1"/>
  <c r="BO343" i="1"/>
  <c r="S124" i="1"/>
  <c r="BR124" i="1" s="1"/>
  <c r="S399" i="1"/>
  <c r="BR399" i="1" s="1"/>
  <c r="BO838" i="1"/>
  <c r="BW786" i="1"/>
  <c r="BQ1149" i="1"/>
  <c r="BO1149" i="1" s="1"/>
  <c r="S1461" i="1"/>
  <c r="BR1461" i="1" s="1"/>
  <c r="BW1180" i="1"/>
  <c r="BW1461" i="1"/>
  <c r="S185" i="1"/>
  <c r="BR185" i="1" s="1"/>
  <c r="BW1083" i="1"/>
  <c r="S962" i="1"/>
  <c r="BR962" i="1" s="1"/>
  <c r="S1149" i="1"/>
  <c r="BR1149" i="1" s="1"/>
  <c r="BW1223" i="1"/>
  <c r="S1481" i="1"/>
  <c r="BR1481" i="1" s="1"/>
  <c r="BW340" i="1"/>
  <c r="BW185" i="1"/>
  <c r="BQ1223" i="1"/>
  <c r="BT1223" i="1" s="1"/>
  <c r="S618" i="1"/>
  <c r="BR618" i="1" s="1"/>
  <c r="BQ340" i="1"/>
  <c r="BT340" i="1" s="1"/>
  <c r="BQ4" i="1"/>
  <c r="BO4" i="1" s="1"/>
  <c r="BQ756" i="1"/>
  <c r="BO756" i="1" s="1"/>
  <c r="BQ792" i="1"/>
  <c r="BO792" i="1" s="1"/>
  <c r="AH17" i="1"/>
  <c r="AK17" i="1" s="1"/>
  <c r="BW792" i="1"/>
  <c r="BW292" i="1"/>
  <c r="S683" i="1"/>
  <c r="BR683" i="1" s="1"/>
  <c r="BW1311" i="1"/>
  <c r="BQ135" i="1"/>
  <c r="BO135" i="1" s="1"/>
  <c r="BW113" i="1"/>
  <c r="BW135" i="1"/>
  <c r="BW573" i="1"/>
  <c r="BW373" i="1"/>
  <c r="BW4" i="1"/>
  <c r="BW1200" i="1"/>
  <c r="S1311" i="1"/>
  <c r="BR1311" i="1" s="1"/>
  <c r="BQ180" i="1"/>
  <c r="BO180" i="1" s="1"/>
  <c r="BW1208" i="1"/>
  <c r="BW1451" i="1"/>
  <c r="BQ442" i="1"/>
  <c r="BO442" i="1" s="1"/>
  <c r="BQ703" i="1"/>
  <c r="BO703" i="1" s="1"/>
  <c r="BQ656" i="1"/>
  <c r="BO656" i="1" s="1"/>
  <c r="BW628" i="1"/>
  <c r="BQ658" i="1"/>
  <c r="BO658" i="1" s="1"/>
  <c r="S628" i="1"/>
  <c r="BR628" i="1" s="1"/>
  <c r="BQ1156" i="1"/>
  <c r="BO1156" i="1" s="1"/>
  <c r="BQ84" i="1"/>
  <c r="BO84" i="1" s="1"/>
  <c r="BW1156" i="1"/>
  <c r="BQ704" i="1"/>
  <c r="BT704" i="1" s="1"/>
  <c r="BQ507" i="1"/>
  <c r="BT507" i="1" s="1"/>
  <c r="BO607" i="1"/>
  <c r="BQ683" i="1"/>
  <c r="BT683" i="1" s="1"/>
  <c r="BW794" i="1"/>
  <c r="S1364" i="1"/>
  <c r="BR1364" i="1" s="1"/>
  <c r="S607" i="1"/>
  <c r="BR607" i="1" s="1"/>
  <c r="BQ330" i="1"/>
  <c r="BT330" i="1" s="1"/>
  <c r="S1020" i="1"/>
  <c r="BR1020" i="1" s="1"/>
  <c r="BW728" i="1"/>
  <c r="S703" i="1"/>
  <c r="BR703" i="1" s="1"/>
  <c r="BQ794" i="1"/>
  <c r="BT794" i="1" s="1"/>
  <c r="S903" i="1"/>
  <c r="BR903" i="1" s="1"/>
  <c r="BO230" i="1"/>
  <c r="S481" i="1"/>
  <c r="BR481" i="1" s="1"/>
  <c r="BQ847" i="1"/>
  <c r="BO847" i="1" s="1"/>
  <c r="S1229" i="1"/>
  <c r="BR1229" i="1" s="1"/>
  <c r="BO1323" i="1"/>
  <c r="BW682" i="1"/>
  <c r="BW69" i="1"/>
  <c r="S310" i="1"/>
  <c r="BR310" i="1" s="1"/>
  <c r="BW656" i="1"/>
  <c r="BW481" i="1"/>
  <c r="BW607" i="1"/>
  <c r="S829" i="1"/>
  <c r="BR829" i="1" s="1"/>
  <c r="S1337" i="1"/>
  <c r="BR1337" i="1" s="1"/>
  <c r="BQ1095" i="1"/>
  <c r="BT1095" i="1" s="1"/>
  <c r="S1027" i="1"/>
  <c r="BR1027" i="1" s="1"/>
  <c r="S1154" i="1"/>
  <c r="BR1154" i="1" s="1"/>
  <c r="BQ893" i="1"/>
  <c r="BT893" i="1" s="1"/>
  <c r="BQ627" i="1"/>
  <c r="BO627" i="1" s="1"/>
  <c r="BW309" i="1"/>
  <c r="BW776" i="1"/>
  <c r="BW658" i="1"/>
  <c r="BQ589" i="1"/>
  <c r="BO589" i="1" s="1"/>
  <c r="BW1154" i="1"/>
  <c r="BQ776" i="1"/>
  <c r="BT776" i="1" s="1"/>
  <c r="BQ88" i="1"/>
  <c r="BT88" i="1" s="1"/>
  <c r="BQ621" i="1"/>
  <c r="BO621" i="1" s="1"/>
  <c r="S998" i="1"/>
  <c r="BR998" i="1" s="1"/>
  <c r="BW718" i="1"/>
  <c r="BQ289" i="1"/>
  <c r="BT289" i="1" s="1"/>
  <c r="BW638" i="1"/>
  <c r="BO1397" i="1"/>
  <c r="BW194" i="1"/>
  <c r="BW88" i="1"/>
  <c r="BW245" i="1"/>
  <c r="BW627" i="1"/>
  <c r="BW1486" i="1"/>
  <c r="BQ718" i="1"/>
  <c r="BT718" i="1" s="1"/>
  <c r="S97" i="1"/>
  <c r="BR97" i="1" s="1"/>
  <c r="S638" i="1"/>
  <c r="BR638" i="1" s="1"/>
  <c r="BQ194" i="1"/>
  <c r="BO194" i="1" s="1"/>
  <c r="BQ670" i="1"/>
  <c r="BO670" i="1" s="1"/>
  <c r="S986" i="1"/>
  <c r="BR986" i="1" s="1"/>
  <c r="BW335" i="1"/>
  <c r="BQ1011" i="1"/>
  <c r="BT1011" i="1" s="1"/>
  <c r="BW198" i="1"/>
  <c r="S893" i="1"/>
  <c r="BR893" i="1" s="1"/>
  <c r="BO1027" i="1"/>
  <c r="BQ1486" i="1"/>
  <c r="BO1486" i="1" s="1"/>
  <c r="BW1187" i="1"/>
  <c r="BQ1344" i="1"/>
  <c r="BO1344" i="1" s="1"/>
  <c r="BW262" i="1"/>
  <c r="BW97" i="1"/>
  <c r="BQ83" i="1"/>
  <c r="BO83" i="1" s="1"/>
  <c r="S262" i="1"/>
  <c r="BR262" i="1" s="1"/>
  <c r="BW188" i="1"/>
  <c r="BW865" i="1"/>
  <c r="BW83" i="1"/>
  <c r="BW952" i="1"/>
  <c r="BQ986" i="1"/>
  <c r="BT986" i="1" s="1"/>
  <c r="BQ335" i="1"/>
  <c r="BO335" i="1" s="1"/>
  <c r="BQ537" i="1"/>
  <c r="BT537" i="1" s="1"/>
  <c r="BW1011" i="1"/>
  <c r="BW289" i="1"/>
  <c r="BW670" i="1"/>
  <c r="BQ1026" i="1"/>
  <c r="BO1026" i="1" s="1"/>
  <c r="BQ1139" i="1"/>
  <c r="BT1139" i="1" s="1"/>
  <c r="BT985" i="1"/>
  <c r="BQ872" i="1"/>
  <c r="BO872" i="1" s="1"/>
  <c r="BQ489" i="1"/>
  <c r="BT489" i="1" s="1"/>
  <c r="S69" i="1"/>
  <c r="BR69" i="1" s="1"/>
  <c r="BQ458" i="1"/>
  <c r="BT458" i="1" s="1"/>
  <c r="S621" i="1"/>
  <c r="BR621" i="1" s="1"/>
  <c r="S1199" i="1"/>
  <c r="BR1199" i="1" s="1"/>
  <c r="BQ829" i="1"/>
  <c r="BO829" i="1" s="1"/>
  <c r="S1139" i="1"/>
  <c r="BR1139" i="1" s="1"/>
  <c r="S872" i="1"/>
  <c r="BR872" i="1" s="1"/>
  <c r="BW613" i="1"/>
  <c r="BW489" i="1"/>
  <c r="BW848" i="1"/>
  <c r="BW469" i="1"/>
  <c r="S596" i="1"/>
  <c r="BR596" i="1" s="1"/>
  <c r="BW1240" i="1"/>
  <c r="BQ469" i="1"/>
  <c r="BO469" i="1" s="1"/>
  <c r="S416" i="1"/>
  <c r="BR416" i="1" s="1"/>
  <c r="BO97" i="1"/>
  <c r="BW1248" i="1"/>
  <c r="S1165" i="1"/>
  <c r="BR1165" i="1" s="1"/>
  <c r="BW376" i="1"/>
  <c r="S447" i="1"/>
  <c r="BR447" i="1" s="1"/>
  <c r="S763" i="1"/>
  <c r="BR763" i="1" s="1"/>
  <c r="BQ1288" i="1"/>
  <c r="BT1288" i="1" s="1"/>
  <c r="BW661" i="1"/>
  <c r="S1431" i="1"/>
  <c r="BR1431" i="1" s="1"/>
  <c r="BQ447" i="1"/>
  <c r="BO447" i="1" s="1"/>
  <c r="BW763" i="1"/>
  <c r="S376" i="1"/>
  <c r="BR376" i="1" s="1"/>
  <c r="BW1027" i="1"/>
  <c r="S868" i="1"/>
  <c r="BR868" i="1" s="1"/>
  <c r="BW1170" i="1"/>
  <c r="BW698" i="1"/>
  <c r="BQ989" i="1"/>
  <c r="BT989" i="1" s="1"/>
  <c r="S433" i="1"/>
  <c r="BR433" i="1" s="1"/>
  <c r="S698" i="1"/>
  <c r="BR698" i="1" s="1"/>
  <c r="S989" i="1"/>
  <c r="BR989" i="1" s="1"/>
  <c r="BQ433" i="1"/>
  <c r="BT433" i="1" s="1"/>
  <c r="BQ419" i="1"/>
  <c r="BT419" i="1" s="1"/>
  <c r="BQ1431" i="1"/>
  <c r="BO1431" i="1" s="1"/>
  <c r="BT1314" i="1"/>
  <c r="BW1364" i="1"/>
  <c r="S330" i="1"/>
  <c r="BR330" i="1" s="1"/>
  <c r="AH31" i="1"/>
  <c r="AK31" i="1" s="1"/>
  <c r="BW1352" i="1"/>
  <c r="BW444" i="1"/>
  <c r="BO618" i="1"/>
  <c r="BW900" i="1"/>
  <c r="BW1095" i="1"/>
  <c r="S1033" i="1"/>
  <c r="BR1033" i="1" s="1"/>
  <c r="BQ661" i="1"/>
  <c r="BO661" i="1" s="1"/>
  <c r="S744" i="1"/>
  <c r="BR744" i="1" s="1"/>
  <c r="BQ1020" i="1"/>
  <c r="BO1020" i="1" s="1"/>
  <c r="BW548" i="1"/>
  <c r="BQ667" i="1"/>
  <c r="BT667" i="1" s="1"/>
  <c r="BW1472" i="1"/>
  <c r="BQ198" i="1"/>
  <c r="BO198" i="1" s="1"/>
  <c r="BQ1035" i="1"/>
  <c r="BT1035" i="1" s="1"/>
  <c r="BQ602" i="1"/>
  <c r="BO602" i="1" s="1"/>
  <c r="S1035" i="1"/>
  <c r="BR1035" i="1" s="1"/>
  <c r="S1180" i="1"/>
  <c r="BR1180" i="1" s="1"/>
  <c r="S322" i="1"/>
  <c r="BR322" i="1" s="1"/>
  <c r="BQ936" i="1"/>
  <c r="BT936" i="1" s="1"/>
  <c r="S1451" i="1"/>
  <c r="BR1451" i="1" s="1"/>
  <c r="BQ955" i="1"/>
  <c r="BT955" i="1" s="1"/>
  <c r="BW1176" i="1"/>
  <c r="BQ1076" i="1"/>
  <c r="BO1076" i="1" s="1"/>
  <c r="S936" i="1"/>
  <c r="BR936" i="1" s="1"/>
  <c r="BQ159" i="1"/>
  <c r="BO159" i="1" s="1"/>
  <c r="BQ1352" i="1"/>
  <c r="BO1352" i="1" s="1"/>
  <c r="S343" i="1"/>
  <c r="BR343" i="1" s="1"/>
  <c r="S453" i="1"/>
  <c r="BR453" i="1" s="1"/>
  <c r="BQ297" i="1"/>
  <c r="BO297" i="1" s="1"/>
  <c r="S1176" i="1"/>
  <c r="BR1176" i="1" s="1"/>
  <c r="BQ453" i="1"/>
  <c r="BT453" i="1" s="1"/>
  <c r="BW1453" i="1"/>
  <c r="BW57" i="1"/>
  <c r="BW800" i="1"/>
  <c r="BW297" i="1"/>
  <c r="BQ1215" i="1"/>
  <c r="BT1215" i="1" s="1"/>
  <c r="BW1140" i="1"/>
  <c r="S717" i="1"/>
  <c r="BR717" i="1" s="1"/>
  <c r="BQ1208" i="1"/>
  <c r="BO1208" i="1" s="1"/>
  <c r="BT113" i="1"/>
  <c r="BW642" i="1"/>
  <c r="BW367" i="1"/>
  <c r="BW744" i="1"/>
  <c r="BQ548" i="1"/>
  <c r="BO548" i="1" s="1"/>
  <c r="BW1497" i="1"/>
  <c r="S1215" i="1"/>
  <c r="BR1215" i="1" s="1"/>
  <c r="S697" i="1"/>
  <c r="BR697" i="1" s="1"/>
  <c r="S367" i="1"/>
  <c r="BR367" i="1" s="1"/>
  <c r="BW1087" i="1"/>
  <c r="BQ182" i="1"/>
  <c r="BO182" i="1" s="1"/>
  <c r="BW343" i="1"/>
  <c r="S1472" i="1"/>
  <c r="BR1472" i="1" s="1"/>
  <c r="S1393" i="1"/>
  <c r="BR1393" i="1" s="1"/>
  <c r="S1269" i="1"/>
  <c r="BR1269" i="1" s="1"/>
  <c r="S714" i="1"/>
  <c r="BR714" i="1" s="1"/>
  <c r="BQ1269" i="1"/>
  <c r="BO1269" i="1" s="1"/>
  <c r="S1008" i="1"/>
  <c r="BR1008" i="1" s="1"/>
  <c r="BW1211" i="1"/>
  <c r="BW667" i="1"/>
  <c r="BQ951" i="1"/>
  <c r="BT951" i="1" s="1"/>
  <c r="S1087" i="1"/>
  <c r="BR1087" i="1" s="1"/>
  <c r="BQ373" i="1"/>
  <c r="BT373" i="1" s="1"/>
  <c r="S113" i="1"/>
  <c r="BR113" i="1" s="1"/>
  <c r="BW1446" i="1"/>
  <c r="BQ1237" i="1"/>
  <c r="BO1237" i="1" s="1"/>
  <c r="BQ576" i="1"/>
  <c r="BO576" i="1" s="1"/>
  <c r="S1362" i="1"/>
  <c r="BR1362" i="1" s="1"/>
  <c r="S1076" i="1"/>
  <c r="BR1076" i="1" s="1"/>
  <c r="BW1268" i="1"/>
  <c r="S1268" i="1"/>
  <c r="BR1268" i="1" s="1"/>
  <c r="BW1427" i="1"/>
  <c r="BQ1285" i="1"/>
  <c r="BT1285" i="1" s="1"/>
  <c r="BO1116" i="1"/>
  <c r="S576" i="1"/>
  <c r="BR576" i="1" s="1"/>
  <c r="BO999" i="1"/>
  <c r="BQ1362" i="1"/>
  <c r="BT1362" i="1" s="1"/>
  <c r="BQ1052" i="1"/>
  <c r="BO1052" i="1" s="1"/>
  <c r="BT943" i="1"/>
  <c r="BQ1008" i="1"/>
  <c r="BO1008" i="1" s="1"/>
  <c r="BW653" i="1"/>
  <c r="BQ1171" i="1"/>
  <c r="BT1171" i="1" s="1"/>
  <c r="BW1171" i="1"/>
  <c r="S900" i="1"/>
  <c r="BR900" i="1" s="1"/>
  <c r="BQ444" i="1"/>
  <c r="BO444" i="1" s="1"/>
  <c r="S969" i="1"/>
  <c r="BR969" i="1" s="1"/>
  <c r="BQ1248" i="1"/>
  <c r="BO1248" i="1" s="1"/>
  <c r="BQ1427" i="1"/>
  <c r="BT1427" i="1" s="1"/>
  <c r="BW600" i="1"/>
  <c r="BQ697" i="1"/>
  <c r="BO697" i="1" s="1"/>
  <c r="S589" i="1"/>
  <c r="BR589" i="1" s="1"/>
  <c r="BW256" i="1"/>
  <c r="S789" i="1"/>
  <c r="BR789" i="1" s="1"/>
  <c r="BW602" i="1"/>
  <c r="BQ653" i="1"/>
  <c r="BT653" i="1" s="1"/>
  <c r="S180" i="1"/>
  <c r="BR180" i="1" s="1"/>
  <c r="BW1052" i="1"/>
  <c r="BQ668" i="1"/>
  <c r="BO668" i="1" s="1"/>
  <c r="BQ263" i="1"/>
  <c r="BO263" i="1" s="1"/>
  <c r="S1038" i="1"/>
  <c r="BR1038" i="1" s="1"/>
  <c r="S263" i="1"/>
  <c r="BR263" i="1" s="1"/>
  <c r="BQ68" i="1"/>
  <c r="BT68" i="1" s="1"/>
  <c r="S951" i="1"/>
  <c r="BR951" i="1" s="1"/>
  <c r="S308" i="1"/>
  <c r="BR308" i="1" s="1"/>
  <c r="BQ57" i="1"/>
  <c r="BT57" i="1" s="1"/>
  <c r="S525" i="1"/>
  <c r="BR525" i="1" s="1"/>
  <c r="BO789" i="1"/>
  <c r="BW999" i="1"/>
  <c r="BW1101" i="1"/>
  <c r="S568" i="1"/>
  <c r="BR568" i="1" s="1"/>
  <c r="BW838" i="1"/>
  <c r="BW512" i="1"/>
  <c r="BQ89" i="1"/>
  <c r="BO89" i="1" s="1"/>
  <c r="BW568" i="1"/>
  <c r="BQ369" i="1"/>
  <c r="BO369" i="1" s="1"/>
  <c r="BQ982" i="1"/>
  <c r="BT982" i="1" s="1"/>
  <c r="S171" i="1"/>
  <c r="BR171" i="1" s="1"/>
  <c r="BQ694" i="1"/>
  <c r="BT694" i="1" s="1"/>
  <c r="BQ150" i="1"/>
  <c r="BT150" i="1" s="1"/>
  <c r="BQ308" i="1"/>
  <c r="BO308" i="1" s="1"/>
  <c r="BW590" i="1"/>
  <c r="S256" i="1"/>
  <c r="BR256" i="1" s="1"/>
  <c r="S1454" i="1"/>
  <c r="BR1454" i="1" s="1"/>
  <c r="BQ1157" i="1"/>
  <c r="BT1157" i="1" s="1"/>
  <c r="BQ183" i="1"/>
  <c r="BO183" i="1" s="1"/>
  <c r="BQ637" i="1"/>
  <c r="BT637" i="1" s="1"/>
  <c r="BW236" i="1"/>
  <c r="S197" i="1"/>
  <c r="BR197" i="1" s="1"/>
  <c r="BW587" i="1"/>
  <c r="S865" i="1"/>
  <c r="BR865" i="1" s="1"/>
  <c r="S109" i="1"/>
  <c r="BR109" i="1" s="1"/>
  <c r="BQ1260" i="1"/>
  <c r="BO1260" i="1" s="1"/>
  <c r="BQ898" i="1"/>
  <c r="BT898" i="1" s="1"/>
  <c r="S150" i="1"/>
  <c r="BR150" i="1" s="1"/>
  <c r="BQ590" i="1"/>
  <c r="BO590" i="1" s="1"/>
  <c r="BQ226" i="1"/>
  <c r="BT226" i="1" s="1"/>
  <c r="BW524" i="1"/>
  <c r="BQ346" i="1"/>
  <c r="BT346" i="1" s="1"/>
  <c r="BW346" i="1"/>
  <c r="BW1033" i="1"/>
  <c r="BT311" i="1"/>
  <c r="BW1054" i="1"/>
  <c r="S524" i="1"/>
  <c r="BR524" i="1" s="1"/>
  <c r="BQ990" i="1"/>
  <c r="BT990" i="1" s="1"/>
  <c r="BQ1164" i="1"/>
  <c r="BO1164" i="1" s="1"/>
  <c r="S633" i="1"/>
  <c r="BR633" i="1" s="1"/>
  <c r="S937" i="1"/>
  <c r="BR937" i="1" s="1"/>
  <c r="BQ953" i="1"/>
  <c r="BO953" i="1" s="1"/>
  <c r="S594" i="1"/>
  <c r="BR594" i="1" s="1"/>
  <c r="S1282" i="1"/>
  <c r="BR1282" i="1" s="1"/>
  <c r="BW849" i="1"/>
  <c r="BQ1359" i="1"/>
  <c r="BT1359" i="1" s="1"/>
  <c r="BW641" i="1"/>
  <c r="S1107" i="1"/>
  <c r="BR1107" i="1" s="1"/>
  <c r="BW1146" i="1"/>
  <c r="BW226" i="1"/>
  <c r="BQ825" i="1"/>
  <c r="BO825" i="1" s="1"/>
  <c r="S411" i="1"/>
  <c r="BR411" i="1" s="1"/>
  <c r="BQ1492" i="1"/>
  <c r="BT1492" i="1" s="1"/>
  <c r="BQ1448" i="1"/>
  <c r="BO1448" i="1" s="1"/>
  <c r="S990" i="1"/>
  <c r="BR990" i="1" s="1"/>
  <c r="S694" i="1"/>
  <c r="BR694" i="1" s="1"/>
  <c r="BW435" i="1"/>
  <c r="BO628" i="1"/>
  <c r="S668" i="1"/>
  <c r="BR668" i="1" s="1"/>
  <c r="S1164" i="1"/>
  <c r="BR1164" i="1" s="1"/>
  <c r="BW563" i="1"/>
  <c r="BQ706" i="1"/>
  <c r="BT706" i="1" s="1"/>
  <c r="BW1038" i="1"/>
  <c r="BQ1101" i="1"/>
  <c r="BT1101" i="1" s="1"/>
  <c r="BW1078" i="1"/>
  <c r="BQ1300" i="1"/>
  <c r="BO1300" i="1" s="1"/>
  <c r="BQ1049" i="1"/>
  <c r="BO1049" i="1" s="1"/>
  <c r="BQ114" i="1"/>
  <c r="BT114" i="1" s="1"/>
  <c r="BW401" i="1"/>
  <c r="S68" i="1"/>
  <c r="BR68" i="1" s="1"/>
  <c r="S1260" i="1"/>
  <c r="BR1260" i="1" s="1"/>
  <c r="S1211" i="1"/>
  <c r="BR1211" i="1" s="1"/>
  <c r="BQ1005" i="1"/>
  <c r="BO1005" i="1" s="1"/>
  <c r="BW525" i="1"/>
  <c r="S309" i="1"/>
  <c r="BR309" i="1" s="1"/>
  <c r="BQ1152" i="1"/>
  <c r="BT1152" i="1" s="1"/>
  <c r="BW982" i="1"/>
  <c r="BQ236" i="1"/>
  <c r="BT236" i="1" s="1"/>
  <c r="S1157" i="1"/>
  <c r="BR1157" i="1" s="1"/>
  <c r="BQ587" i="1"/>
  <c r="BO587" i="1" s="1"/>
  <c r="BO1092" i="1"/>
  <c r="S1349" i="1"/>
  <c r="BR1349" i="1" s="1"/>
  <c r="BT1115" i="1"/>
  <c r="BQ1124" i="1"/>
  <c r="BT1124" i="1" s="1"/>
  <c r="S44" i="1"/>
  <c r="BR44" i="1" s="1"/>
  <c r="BQ1349" i="1"/>
  <c r="BO1349" i="1" s="1"/>
  <c r="BQ1119" i="1"/>
  <c r="BT1119" i="1" s="1"/>
  <c r="BW1014" i="1"/>
  <c r="BW407" i="1"/>
  <c r="S1058" i="1"/>
  <c r="BR1058" i="1" s="1"/>
  <c r="BW624" i="1"/>
  <c r="S1124" i="1"/>
  <c r="BR1124" i="1" s="1"/>
  <c r="BW168" i="1"/>
  <c r="BW411" i="1"/>
  <c r="BW311" i="1"/>
  <c r="BQ44" i="1"/>
  <c r="BO44" i="1" s="1"/>
  <c r="BQ857" i="1"/>
  <c r="BO857" i="1" s="1"/>
  <c r="S392" i="1"/>
  <c r="BR392" i="1" s="1"/>
  <c r="BW685" i="1"/>
  <c r="S677" i="1"/>
  <c r="BR677" i="1" s="1"/>
  <c r="BQ172" i="1"/>
  <c r="BO172" i="1" s="1"/>
  <c r="BQ96" i="1"/>
  <c r="BT96" i="1" s="1"/>
  <c r="BQ435" i="1"/>
  <c r="BT435" i="1" s="1"/>
  <c r="BW72" i="1"/>
  <c r="BW216" i="1"/>
  <c r="BW861" i="1"/>
  <c r="BW89" i="1"/>
  <c r="BT1105" i="1"/>
  <c r="S220" i="1"/>
  <c r="BR220" i="1" s="1"/>
  <c r="BW41" i="1"/>
  <c r="S861" i="1"/>
  <c r="BR861" i="1" s="1"/>
  <c r="BQ168" i="1"/>
  <c r="BT168" i="1" s="1"/>
  <c r="BW825" i="1"/>
  <c r="BO1211" i="1"/>
  <c r="S547" i="1"/>
  <c r="BR547" i="1" s="1"/>
  <c r="BW1496" i="1"/>
  <c r="BW1119" i="1"/>
  <c r="BQ1014" i="1"/>
  <c r="BT1014" i="1" s="1"/>
  <c r="BQ1058" i="1"/>
  <c r="BO1058" i="1" s="1"/>
  <c r="BQ494" i="1"/>
  <c r="BO494" i="1" s="1"/>
  <c r="BQ649" i="1"/>
  <c r="BO649" i="1" s="1"/>
  <c r="BQ129" i="1"/>
  <c r="BO129" i="1" s="1"/>
  <c r="BW432" i="1"/>
  <c r="S311" i="1"/>
  <c r="BR311" i="1" s="1"/>
  <c r="BQ392" i="1"/>
  <c r="BO392" i="1" s="1"/>
  <c r="BQ235" i="1"/>
  <c r="BT235" i="1" s="1"/>
  <c r="BQ685" i="1"/>
  <c r="BT685" i="1" s="1"/>
  <c r="BW1490" i="1"/>
  <c r="BQ677" i="1"/>
  <c r="BT677" i="1" s="1"/>
  <c r="S96" i="1"/>
  <c r="BR96" i="1" s="1"/>
  <c r="BQ1419" i="1"/>
  <c r="BT1419" i="1" s="1"/>
  <c r="BW1064" i="1"/>
  <c r="S1105" i="1"/>
  <c r="BR1105" i="1" s="1"/>
  <c r="S237" i="1"/>
  <c r="BR237" i="1" s="1"/>
  <c r="BT594" i="1"/>
  <c r="BQ354" i="1"/>
  <c r="BT354" i="1" s="1"/>
  <c r="S999" i="1"/>
  <c r="BR999" i="1" s="1"/>
  <c r="S1254" i="1"/>
  <c r="BR1254" i="1" s="1"/>
  <c r="BW1152" i="1"/>
  <c r="S1053" i="1"/>
  <c r="BR1053" i="1" s="1"/>
  <c r="BQ849" i="1"/>
  <c r="BO849" i="1" s="1"/>
  <c r="BW114" i="1"/>
  <c r="BW1108" i="1"/>
  <c r="BW1049" i="1"/>
  <c r="BW183" i="1"/>
  <c r="BQ41" i="1"/>
  <c r="BO41" i="1" s="1"/>
  <c r="BQ1078" i="1"/>
  <c r="BO1078" i="1" s="1"/>
  <c r="BQ786" i="1"/>
  <c r="BT786" i="1" s="1"/>
  <c r="BW649" i="1"/>
  <c r="BW129" i="1"/>
  <c r="BW421" i="1"/>
  <c r="BQ432" i="1"/>
  <c r="BO432" i="1" s="1"/>
  <c r="BW235" i="1"/>
  <c r="BW1304" i="1"/>
  <c r="BQ1298" i="1"/>
  <c r="BO1298" i="1" s="1"/>
  <c r="BO525" i="1"/>
  <c r="BQ1497" i="1"/>
  <c r="BT1497" i="1" s="1"/>
  <c r="BQ633" i="1"/>
  <c r="BT633" i="1" s="1"/>
  <c r="BQ1393" i="1"/>
  <c r="BO1393" i="1" s="1"/>
  <c r="S1347" i="1"/>
  <c r="BR1347" i="1" s="1"/>
  <c r="S107" i="1"/>
  <c r="BR107" i="1" s="1"/>
  <c r="BW1105" i="1"/>
  <c r="S91" i="1"/>
  <c r="BR91" i="1" s="1"/>
  <c r="S838" i="1"/>
  <c r="BR838" i="1" s="1"/>
  <c r="BQ937" i="1"/>
  <c r="BT937" i="1" s="1"/>
  <c r="BW1005" i="1"/>
  <c r="BQ91" i="1"/>
  <c r="BT91" i="1" s="1"/>
  <c r="BW1053" i="1"/>
  <c r="BW1466" i="1"/>
  <c r="BW594" i="1"/>
  <c r="BW907" i="1"/>
  <c r="BW1408" i="1"/>
  <c r="BW817" i="1"/>
  <c r="BW494" i="1"/>
  <c r="BQ60" i="1"/>
  <c r="BT60" i="1" s="1"/>
  <c r="BQ1225" i="1"/>
  <c r="BO1225" i="1" s="1"/>
  <c r="BW660" i="1"/>
  <c r="BQ660" i="1"/>
  <c r="BT660" i="1" s="1"/>
  <c r="S909" i="1"/>
  <c r="BR909" i="1" s="1"/>
  <c r="BQ717" i="1"/>
  <c r="BT717" i="1" s="1"/>
  <c r="BQ817" i="1"/>
  <c r="BT817" i="1" s="1"/>
  <c r="BW60" i="1"/>
  <c r="BQ264" i="1"/>
  <c r="BT264" i="1" s="1"/>
  <c r="S165" i="1"/>
  <c r="BR165" i="1" s="1"/>
  <c r="BQ216" i="1"/>
  <c r="BO216" i="1" s="1"/>
  <c r="S573" i="1"/>
  <c r="BR573" i="1" s="1"/>
  <c r="S1304" i="1"/>
  <c r="BR1304" i="1" s="1"/>
  <c r="BQ72" i="1"/>
  <c r="BT72" i="1" s="1"/>
  <c r="BW1347" i="1"/>
  <c r="BW981" i="1"/>
  <c r="BQ401" i="1"/>
  <c r="BT401" i="1" s="1"/>
  <c r="BW237" i="1"/>
  <c r="S907" i="1"/>
  <c r="BR907" i="1" s="1"/>
  <c r="BW1225" i="1"/>
  <c r="BW1237" i="1"/>
  <c r="BW618" i="1"/>
  <c r="BW264" i="1"/>
  <c r="BW77" i="1"/>
  <c r="BQ165" i="1"/>
  <c r="BO165" i="1" s="1"/>
  <c r="S800" i="1"/>
  <c r="BR800" i="1" s="1"/>
  <c r="BQ362" i="1"/>
  <c r="BT362" i="1" s="1"/>
  <c r="BQ1044" i="1"/>
  <c r="BO1044" i="1" s="1"/>
  <c r="S362" i="1"/>
  <c r="BR362" i="1" s="1"/>
  <c r="BQ983" i="1"/>
  <c r="BO983" i="1" s="1"/>
  <c r="BQ436" i="1"/>
  <c r="BO436" i="1" s="1"/>
  <c r="BW654" i="1"/>
  <c r="BW910" i="1"/>
  <c r="BQ710" i="1"/>
  <c r="BT710" i="1" s="1"/>
  <c r="BQ707" i="1"/>
  <c r="BO707" i="1" s="1"/>
  <c r="BO620" i="1"/>
  <c r="S651" i="1"/>
  <c r="BR651" i="1" s="1"/>
  <c r="BW53" i="1"/>
  <c r="S935" i="1"/>
  <c r="BR935" i="1" s="1"/>
  <c r="S166" i="1"/>
  <c r="BR166" i="1" s="1"/>
  <c r="BW103" i="1"/>
  <c r="S1044" i="1"/>
  <c r="BR1044" i="1" s="1"/>
  <c r="S231" i="1"/>
  <c r="BR231" i="1" s="1"/>
  <c r="S897" i="1"/>
  <c r="BR897" i="1" s="1"/>
  <c r="BQ278" i="1"/>
  <c r="BT278" i="1" s="1"/>
  <c r="S419" i="1"/>
  <c r="BR419" i="1" s="1"/>
  <c r="BW166" i="1"/>
  <c r="BQ1481" i="1"/>
  <c r="BO1481" i="1" s="1"/>
  <c r="BQ692" i="1"/>
  <c r="BO692" i="1" s="1"/>
  <c r="BQ814" i="1"/>
  <c r="BT814" i="1" s="1"/>
  <c r="BW983" i="1"/>
  <c r="S554" i="1"/>
  <c r="BR554" i="1" s="1"/>
  <c r="BQ123" i="1"/>
  <c r="BT123" i="1" s="1"/>
  <c r="S910" i="1"/>
  <c r="BR910" i="1" s="1"/>
  <c r="S665" i="1"/>
  <c r="BR665" i="1" s="1"/>
  <c r="S751" i="1"/>
  <c r="BR751" i="1" s="1"/>
  <c r="BQ464" i="1"/>
  <c r="BT464" i="1" s="1"/>
  <c r="BQ935" i="1"/>
  <c r="BT935" i="1" s="1"/>
  <c r="BQ70" i="1"/>
  <c r="BO70" i="1" s="1"/>
  <c r="BW70" i="1"/>
  <c r="S32" i="1"/>
  <c r="BR32" i="1" s="1"/>
  <c r="S1267" i="1"/>
  <c r="BR1267" i="1" s="1"/>
  <c r="BQ836" i="1"/>
  <c r="BO836" i="1" s="1"/>
  <c r="BW178" i="1"/>
  <c r="S1283" i="1"/>
  <c r="BR1283" i="1" s="1"/>
  <c r="BQ16" i="1"/>
  <c r="BO16" i="1" s="1"/>
  <c r="BQ294" i="1"/>
  <c r="BO294" i="1" s="1"/>
  <c r="S721" i="1"/>
  <c r="BR721" i="1" s="1"/>
  <c r="S1500" i="1"/>
  <c r="BR1500" i="1" s="1"/>
  <c r="S836" i="1"/>
  <c r="BR836" i="1" s="1"/>
  <c r="S225" i="1"/>
  <c r="BR225" i="1" s="1"/>
  <c r="BW1151" i="1"/>
  <c r="S333" i="1"/>
  <c r="BR333" i="1" s="1"/>
  <c r="BW47" i="1"/>
  <c r="BW154" i="1"/>
  <c r="S294" i="1"/>
  <c r="BR294" i="1" s="1"/>
  <c r="BQ298" i="1"/>
  <c r="BT298" i="1" s="1"/>
  <c r="BW554" i="1"/>
  <c r="S654" i="1"/>
  <c r="BR654" i="1" s="1"/>
  <c r="S464" i="1"/>
  <c r="BR464" i="1" s="1"/>
  <c r="S192" i="1"/>
  <c r="BR192" i="1" s="1"/>
  <c r="S1163" i="1"/>
  <c r="BR1163" i="1" s="1"/>
  <c r="BQ334" i="1"/>
  <c r="BO334" i="1" s="1"/>
  <c r="BQ147" i="1"/>
  <c r="BO147" i="1" s="1"/>
  <c r="BQ154" i="1"/>
  <c r="BO154" i="1" s="1"/>
  <c r="BO492" i="1"/>
  <c r="BW1426" i="1"/>
  <c r="BW1267" i="1"/>
  <c r="BQ1271" i="1"/>
  <c r="BT1271" i="1" s="1"/>
  <c r="BW1482" i="1"/>
  <c r="BO1467" i="1"/>
  <c r="BQ1322" i="1"/>
  <c r="BT1322" i="1" s="1"/>
  <c r="BW1432" i="1"/>
  <c r="BQ998" i="1"/>
  <c r="BO998" i="1" s="1"/>
  <c r="BW596" i="1"/>
  <c r="BQ358" i="1"/>
  <c r="BO358" i="1" s="1"/>
  <c r="BQ952" i="1"/>
  <c r="BO952" i="1" s="1"/>
  <c r="S451" i="1"/>
  <c r="BR451" i="1" s="1"/>
  <c r="S1271" i="1"/>
  <c r="BR1271" i="1" s="1"/>
  <c r="BW1322" i="1"/>
  <c r="BW879" i="1"/>
  <c r="S1151" i="1"/>
  <c r="BR1151" i="1" s="1"/>
  <c r="BW985" i="1"/>
  <c r="S47" i="1"/>
  <c r="BR47" i="1" s="1"/>
  <c r="BW358" i="1"/>
  <c r="BT370" i="1"/>
  <c r="BW99" i="1"/>
  <c r="BW80" i="1"/>
  <c r="BO865" i="1"/>
  <c r="BW302" i="1"/>
  <c r="BW298" i="1"/>
  <c r="BW1401" i="1"/>
  <c r="BW897" i="1"/>
  <c r="BQ578" i="1"/>
  <c r="BO578" i="1" s="1"/>
  <c r="BW196" i="1"/>
  <c r="S527" i="1"/>
  <c r="BR527" i="1" s="1"/>
  <c r="S53" i="1"/>
  <c r="BR53" i="1" s="1"/>
  <c r="BW1478" i="1"/>
  <c r="BQ30" i="1"/>
  <c r="BT30" i="1" s="1"/>
  <c r="BW546" i="1"/>
  <c r="S302" i="1"/>
  <c r="BR302" i="1" s="1"/>
  <c r="BQ546" i="1"/>
  <c r="BO546" i="1" s="1"/>
  <c r="BQ623" i="1"/>
  <c r="BT623" i="1" s="1"/>
  <c r="BW46" i="1"/>
  <c r="S963" i="1"/>
  <c r="BR963" i="1" s="1"/>
  <c r="BW278" i="1"/>
  <c r="BW873" i="1"/>
  <c r="BQ547" i="1"/>
  <c r="BT547" i="1" s="1"/>
  <c r="BW230" i="1"/>
  <c r="BQ391" i="1"/>
  <c r="BT391" i="1" s="1"/>
  <c r="S46" i="1"/>
  <c r="BR46" i="1" s="1"/>
  <c r="BW145" i="1"/>
  <c r="BQ484" i="1"/>
  <c r="BO484" i="1" s="1"/>
  <c r="BQ736" i="1"/>
  <c r="BT736" i="1" s="1"/>
  <c r="BT1334" i="1"/>
  <c r="S766" i="1"/>
  <c r="BR766" i="1" s="1"/>
  <c r="S230" i="1"/>
  <c r="BR230" i="1" s="1"/>
  <c r="BW391" i="1"/>
  <c r="S186" i="1"/>
  <c r="BR186" i="1" s="1"/>
  <c r="S1092" i="1"/>
  <c r="BR1092" i="1" s="1"/>
  <c r="S1064" i="1"/>
  <c r="BR1064" i="1" s="1"/>
  <c r="BO800" i="1"/>
  <c r="BW312" i="1"/>
  <c r="BO103" i="1"/>
  <c r="BW569" i="1"/>
  <c r="BQ231" i="1"/>
  <c r="BO231" i="1" s="1"/>
  <c r="S393" i="1"/>
  <c r="BR393" i="1" s="1"/>
  <c r="BW228" i="1"/>
  <c r="BW651" i="1"/>
  <c r="BQ527" i="1"/>
  <c r="BO527" i="1" s="1"/>
  <c r="S985" i="1"/>
  <c r="BR985" i="1" s="1"/>
  <c r="S1391" i="1"/>
  <c r="BR1391" i="1" s="1"/>
  <c r="BQ490" i="1"/>
  <c r="BO490" i="1" s="1"/>
  <c r="S1251" i="1"/>
  <c r="BR1251" i="1" s="1"/>
  <c r="BW867" i="1"/>
  <c r="BW467" i="1"/>
  <c r="S1386" i="1"/>
  <c r="BR1386" i="1" s="1"/>
  <c r="BW1010" i="1"/>
  <c r="BW1079" i="1"/>
  <c r="BQ1251" i="1"/>
  <c r="BO1251" i="1" s="1"/>
  <c r="BW1104" i="1"/>
  <c r="S438" i="1"/>
  <c r="BR438" i="1" s="1"/>
  <c r="BQ32" i="1"/>
  <c r="BO32" i="1" s="1"/>
  <c r="BQ1424" i="1"/>
  <c r="BO1424" i="1" s="1"/>
  <c r="BW1239" i="1"/>
  <c r="BQ1400" i="1"/>
  <c r="BT1400" i="1" s="1"/>
  <c r="BQ1091" i="1"/>
  <c r="BT1091" i="1" s="1"/>
  <c r="BW1090" i="1"/>
  <c r="BQ1010" i="1"/>
  <c r="BT1010" i="1" s="1"/>
  <c r="BW1123" i="1"/>
  <c r="BQ1079" i="1"/>
  <c r="BT1079" i="1" s="1"/>
  <c r="BQ1410" i="1"/>
  <c r="BT1410" i="1" s="1"/>
  <c r="BW803" i="1"/>
  <c r="BQ1104" i="1"/>
  <c r="BO1104" i="1" s="1"/>
  <c r="BW706" i="1"/>
  <c r="BW1034" i="1"/>
  <c r="S36" i="1"/>
  <c r="BR36" i="1" s="1"/>
  <c r="BW971" i="1"/>
  <c r="BQ662" i="1"/>
  <c r="BT662" i="1" s="1"/>
  <c r="S802" i="1"/>
  <c r="BR802" i="1" s="1"/>
  <c r="BW192" i="1"/>
  <c r="BW239" i="1"/>
  <c r="BQ196" i="1"/>
  <c r="BO196" i="1" s="1"/>
  <c r="BO803" i="1"/>
  <c r="S1401" i="1"/>
  <c r="BR1401" i="1" s="1"/>
  <c r="BW814" i="1"/>
  <c r="BW578" i="1"/>
  <c r="BW291" i="1"/>
  <c r="BW123" i="1"/>
  <c r="BO1151" i="1"/>
  <c r="BW436" i="1"/>
  <c r="BW665" i="1"/>
  <c r="BQ228" i="1"/>
  <c r="BO228" i="1" s="1"/>
  <c r="BO1267" i="1"/>
  <c r="BQ415" i="1"/>
  <c r="BT415" i="1" s="1"/>
  <c r="BW147" i="1"/>
  <c r="BW30" i="1"/>
  <c r="BQ1500" i="1"/>
  <c r="BO1500" i="1" s="1"/>
  <c r="BQ1283" i="1"/>
  <c r="BO1283" i="1" s="1"/>
  <c r="S1050" i="1"/>
  <c r="BR1050" i="1" s="1"/>
  <c r="BW201" i="1"/>
  <c r="BW490" i="1"/>
  <c r="BW1001" i="1"/>
  <c r="BQ963" i="1"/>
  <c r="BT963" i="1" s="1"/>
  <c r="BQ625" i="1"/>
  <c r="BT625" i="1" s="1"/>
  <c r="BQ891" i="1"/>
  <c r="BT891" i="1" s="1"/>
  <c r="S272" i="1"/>
  <c r="BR272" i="1" s="1"/>
  <c r="BW943" i="1"/>
  <c r="S891" i="1"/>
  <c r="BR891" i="1" s="1"/>
  <c r="BW326" i="1"/>
  <c r="BW799" i="1"/>
  <c r="BQ1201" i="1"/>
  <c r="BO1201" i="1" s="1"/>
  <c r="S943" i="1"/>
  <c r="BR943" i="1" s="1"/>
  <c r="S799" i="1"/>
  <c r="BR799" i="1" s="1"/>
  <c r="BQ971" i="1"/>
  <c r="BO971" i="1" s="1"/>
  <c r="BQ239" i="1"/>
  <c r="BT239" i="1" s="1"/>
  <c r="BW1454" i="1"/>
  <c r="BQ1239" i="1"/>
  <c r="BO1239" i="1" s="1"/>
  <c r="BW1273" i="1"/>
  <c r="BW1091" i="1"/>
  <c r="BQ1090" i="1"/>
  <c r="BO1090" i="1" s="1"/>
  <c r="BW1174" i="1"/>
  <c r="BW1410" i="1"/>
  <c r="S803" i="1"/>
  <c r="BR803" i="1" s="1"/>
  <c r="BW1022" i="1"/>
  <c r="BW442" i="1"/>
  <c r="BO932" i="1"/>
  <c r="BQ1015" i="1"/>
  <c r="BT1015" i="1" s="1"/>
  <c r="BQ613" i="1"/>
  <c r="BT613" i="1" s="1"/>
  <c r="BQ1107" i="1"/>
  <c r="BT1107" i="1" s="1"/>
  <c r="BQ848" i="1"/>
  <c r="BT848" i="1" s="1"/>
  <c r="BQ244" i="1"/>
  <c r="BO244" i="1" s="1"/>
  <c r="BQ36" i="1"/>
  <c r="BO36" i="1" s="1"/>
  <c r="S450" i="1"/>
  <c r="BR450" i="1" s="1"/>
  <c r="BW434" i="1"/>
  <c r="BW662" i="1"/>
  <c r="BW802" i="1"/>
  <c r="S1117" i="1"/>
  <c r="BR1117" i="1" s="1"/>
  <c r="BQ1185" i="1"/>
  <c r="BT1185" i="1" s="1"/>
  <c r="BQ254" i="1"/>
  <c r="BT254" i="1" s="1"/>
  <c r="S1478" i="1"/>
  <c r="BR1478" i="1" s="1"/>
  <c r="BQ178" i="1"/>
  <c r="BO178" i="1" s="1"/>
  <c r="S16" i="1"/>
  <c r="BR16" i="1" s="1"/>
  <c r="BW1163" i="1"/>
  <c r="S879" i="1"/>
  <c r="BR879" i="1" s="1"/>
  <c r="BQ1217" i="1"/>
  <c r="BT1217" i="1" s="1"/>
  <c r="BW625" i="1"/>
  <c r="BQ1050" i="1"/>
  <c r="BT1050" i="1" s="1"/>
  <c r="BQ1135" i="1"/>
  <c r="BO1135" i="1" s="1"/>
  <c r="S201" i="1"/>
  <c r="BR201" i="1" s="1"/>
  <c r="S99" i="1"/>
  <c r="BR99" i="1" s="1"/>
  <c r="S1287" i="1"/>
  <c r="BR1287" i="1" s="1"/>
  <c r="BW1217" i="1"/>
  <c r="BQ1214" i="1"/>
  <c r="BO1214" i="1" s="1"/>
  <c r="S460" i="1"/>
  <c r="BR460" i="1" s="1"/>
  <c r="BQ38" i="1"/>
  <c r="BO38" i="1" s="1"/>
  <c r="BW634" i="1"/>
  <c r="BW821" i="1"/>
  <c r="S1201" i="1"/>
  <c r="BR1201" i="1" s="1"/>
  <c r="S82" i="1"/>
  <c r="BR82" i="1" s="1"/>
  <c r="BQ1287" i="1"/>
  <c r="BT1287" i="1" s="1"/>
  <c r="BQ1386" i="1"/>
  <c r="BT1386" i="1" s="1"/>
  <c r="S1460" i="1"/>
  <c r="BR1460" i="1" s="1"/>
  <c r="BW1214" i="1"/>
  <c r="BW1370" i="1"/>
  <c r="BQ467" i="1"/>
  <c r="BT467" i="1" s="1"/>
  <c r="BQ272" i="1"/>
  <c r="BT272" i="1" s="1"/>
  <c r="BQ912" i="1"/>
  <c r="BT912" i="1" s="1"/>
  <c r="S84" i="1"/>
  <c r="BR84" i="1" s="1"/>
  <c r="BW212" i="1"/>
  <c r="BW912" i="1"/>
  <c r="BW1365" i="1"/>
  <c r="BQ1123" i="1"/>
  <c r="BO1123" i="1" s="1"/>
  <c r="BQ1034" i="1"/>
  <c r="BO1034" i="1" s="1"/>
  <c r="BQ1199" i="1"/>
  <c r="BT1199" i="1" s="1"/>
  <c r="BQ1273" i="1"/>
  <c r="BT1273" i="1" s="1"/>
  <c r="BQ1084" i="1"/>
  <c r="BO1084" i="1" s="1"/>
  <c r="BQ1174" i="1"/>
  <c r="BT1174" i="1" s="1"/>
  <c r="BW1117" i="1"/>
  <c r="S1344" i="1"/>
  <c r="BR1344" i="1" s="1"/>
  <c r="BQ764" i="1"/>
  <c r="BT764" i="1" s="1"/>
  <c r="BW244" i="1"/>
  <c r="BW112" i="1"/>
  <c r="BQ450" i="1"/>
  <c r="BO450" i="1" s="1"/>
  <c r="BQ434" i="1"/>
  <c r="BT434" i="1" s="1"/>
  <c r="S1432" i="1"/>
  <c r="BR1432" i="1" s="1"/>
  <c r="S620" i="1"/>
  <c r="BR620" i="1" s="1"/>
  <c r="BW736" i="1"/>
  <c r="BW1185" i="1"/>
  <c r="BQ319" i="1"/>
  <c r="BT319" i="1" s="1"/>
  <c r="BQ292" i="1"/>
  <c r="BT292" i="1" s="1"/>
  <c r="BW416" i="1"/>
  <c r="BW354" i="1"/>
  <c r="BW319" i="1"/>
  <c r="BW182" i="1"/>
  <c r="BO291" i="1"/>
  <c r="BQ721" i="1"/>
  <c r="BO721" i="1" s="1"/>
  <c r="BT1194" i="1"/>
  <c r="BO220" i="1"/>
  <c r="BQ1365" i="1"/>
  <c r="BO1365" i="1" s="1"/>
  <c r="S1108" i="1"/>
  <c r="BR1108" i="1" s="1"/>
  <c r="S1482" i="1"/>
  <c r="BR1482" i="1" s="1"/>
  <c r="S1288" i="1"/>
  <c r="BR1288" i="1" s="1"/>
  <c r="BQ867" i="1"/>
  <c r="BT867" i="1" s="1"/>
  <c r="S1492" i="1"/>
  <c r="BR1492" i="1" s="1"/>
  <c r="BW1424" i="1"/>
  <c r="BW1460" i="1"/>
  <c r="BQ634" i="1"/>
  <c r="BO634" i="1" s="1"/>
  <c r="BQ421" i="1"/>
  <c r="BT421" i="1" s="1"/>
  <c r="BW51" i="1"/>
  <c r="BQ171" i="1"/>
  <c r="BO171" i="1" s="1"/>
  <c r="BW1298" i="1"/>
  <c r="S414" i="1"/>
  <c r="BR414" i="1" s="1"/>
  <c r="BO1460" i="1"/>
  <c r="S1200" i="1"/>
  <c r="BR1200" i="1" s="1"/>
  <c r="S1400" i="1"/>
  <c r="BR1400" i="1" s="1"/>
  <c r="S692" i="1"/>
  <c r="BR692" i="1" s="1"/>
  <c r="S1001" i="1"/>
  <c r="BR1001" i="1" s="1"/>
  <c r="BW138" i="1"/>
  <c r="BQ241" i="1"/>
  <c r="BT241" i="1" s="1"/>
  <c r="BW857" i="1"/>
  <c r="BQ1054" i="1"/>
  <c r="BO1054" i="1" s="1"/>
  <c r="BW1449" i="1"/>
  <c r="BW220" i="1"/>
  <c r="S112" i="1"/>
  <c r="BR112" i="1" s="1"/>
  <c r="BW186" i="1"/>
  <c r="BT651" i="1"/>
  <c r="BO907" i="1"/>
  <c r="BW1334" i="1"/>
  <c r="BQ1370" i="1"/>
  <c r="BO1370" i="1" s="1"/>
  <c r="S291" i="1"/>
  <c r="BR291" i="1" s="1"/>
  <c r="BW242" i="1"/>
  <c r="BW1205" i="1"/>
  <c r="BO1087" i="1"/>
  <c r="S873" i="1"/>
  <c r="BR873" i="1" s="1"/>
  <c r="BQ242" i="1"/>
  <c r="BO242" i="1" s="1"/>
  <c r="BW221" i="1"/>
  <c r="BT237" i="1"/>
  <c r="BQ519" i="1"/>
  <c r="BT519" i="1" s="1"/>
  <c r="BW172" i="1"/>
  <c r="S519" i="1"/>
  <c r="BR519" i="1" s="1"/>
  <c r="BO665" i="1"/>
  <c r="BO393" i="1"/>
  <c r="BW1420" i="1"/>
  <c r="BW1165" i="1"/>
  <c r="BW1455" i="1"/>
  <c r="BW853" i="1"/>
  <c r="BW1430" i="1"/>
  <c r="BT1200" i="1"/>
  <c r="S853" i="1"/>
  <c r="BR853" i="1" s="1"/>
  <c r="BQ1420" i="1"/>
  <c r="BT1420" i="1" s="1"/>
  <c r="BW227" i="1"/>
  <c r="BW887" i="1"/>
  <c r="S1190" i="1"/>
  <c r="BR1190" i="1" s="1"/>
  <c r="BT1268" i="1"/>
  <c r="BW159" i="1"/>
  <c r="BW1279" i="1"/>
  <c r="BW1190" i="1"/>
  <c r="BW463" i="1"/>
  <c r="BW537" i="1"/>
  <c r="BQ1279" i="1"/>
  <c r="BT1279" i="1" s="1"/>
  <c r="S400" i="1"/>
  <c r="BR400" i="1" s="1"/>
  <c r="BW620" i="1"/>
  <c r="BQ400" i="1"/>
  <c r="BO400" i="1" s="1"/>
  <c r="BW764" i="1"/>
  <c r="BQ385" i="1"/>
  <c r="BT385" i="1" s="1"/>
  <c r="BQ13" i="1"/>
  <c r="BO13" i="1" s="1"/>
  <c r="BQ310" i="1"/>
  <c r="BO310" i="1" s="1"/>
  <c r="BQ1446" i="1"/>
  <c r="S385" i="1"/>
  <c r="BR385" i="1" s="1"/>
  <c r="BW13" i="1"/>
  <c r="BW484" i="1"/>
  <c r="S1126" i="1"/>
  <c r="BR1126" i="1" s="1"/>
  <c r="BQ1126" i="1"/>
  <c r="S501" i="1"/>
  <c r="BR501" i="1" s="1"/>
  <c r="BW623" i="1"/>
  <c r="BW1036" i="1"/>
  <c r="BQ1036" i="1"/>
  <c r="BW1144" i="1"/>
  <c r="S1334" i="1"/>
  <c r="BR1334" i="1" s="1"/>
  <c r="S821" i="1"/>
  <c r="BR821" i="1" s="1"/>
  <c r="BW211" i="1"/>
  <c r="S492" i="1"/>
  <c r="BR492" i="1" s="1"/>
  <c r="BQ866" i="1"/>
  <c r="BO866" i="1" s="1"/>
  <c r="S866" i="1"/>
  <c r="BR866" i="1" s="1"/>
  <c r="BQ462" i="1"/>
  <c r="BO462" i="1" s="1"/>
  <c r="BQ1182" i="1"/>
  <c r="BT1182" i="1" s="1"/>
  <c r="BQ797" i="1"/>
  <c r="BT797" i="1" s="1"/>
  <c r="BW152" i="1"/>
  <c r="BW725" i="1"/>
  <c r="BQ557" i="1"/>
  <c r="BO557" i="1" s="1"/>
  <c r="BW261" i="1"/>
  <c r="BQ751" i="1"/>
  <c r="BT751" i="1" s="1"/>
  <c r="BQ725" i="1"/>
  <c r="BT725" i="1" s="1"/>
  <c r="BQ1138" i="1"/>
  <c r="BT1138" i="1" s="1"/>
  <c r="BQ1191" i="1"/>
  <c r="BT1191" i="1" s="1"/>
  <c r="S741" i="1"/>
  <c r="BR741" i="1" s="1"/>
  <c r="S1182" i="1"/>
  <c r="BR1182" i="1" s="1"/>
  <c r="BO1165" i="1"/>
  <c r="S211" i="1"/>
  <c r="BR211" i="1" s="1"/>
  <c r="S1395" i="1"/>
  <c r="BR1395" i="1" s="1"/>
  <c r="S846" i="1"/>
  <c r="BR846" i="1" s="1"/>
  <c r="BQ591" i="1"/>
  <c r="BT591" i="1" s="1"/>
  <c r="BQ846" i="1"/>
  <c r="BO846" i="1" s="1"/>
  <c r="BQ197" i="1"/>
  <c r="BO197" i="1" s="1"/>
  <c r="BW1333" i="1"/>
  <c r="BW492" i="1"/>
  <c r="S797" i="1"/>
  <c r="BR797" i="1" s="1"/>
  <c r="BQ1277" i="1"/>
  <c r="BT1277" i="1" s="1"/>
  <c r="BQ1440" i="1"/>
  <c r="BO1440" i="1" s="1"/>
  <c r="S1289" i="1"/>
  <c r="BR1289" i="1" s="1"/>
  <c r="BQ1333" i="1"/>
  <c r="BT1333" i="1" s="1"/>
  <c r="BQ1045" i="1"/>
  <c r="BT1045" i="1" s="1"/>
  <c r="BW1277" i="1"/>
  <c r="BW1116" i="1"/>
  <c r="S1440" i="1"/>
  <c r="BR1440" i="1" s="1"/>
  <c r="BQ1289" i="1"/>
  <c r="BT1289" i="1" s="1"/>
  <c r="BW1045" i="1"/>
  <c r="BW801" i="1"/>
  <c r="S1125" i="1"/>
  <c r="BR1125" i="1" s="1"/>
  <c r="BW462" i="1"/>
  <c r="BQ152" i="1"/>
  <c r="BT152" i="1" s="1"/>
  <c r="BW557" i="1"/>
  <c r="BQ261" i="1"/>
  <c r="BT261" i="1" s="1"/>
  <c r="S1191" i="1"/>
  <c r="BR1191" i="1" s="1"/>
  <c r="BQ1125" i="1"/>
  <c r="BO1125" i="1" s="1"/>
  <c r="S601" i="1"/>
  <c r="BR601" i="1" s="1"/>
  <c r="S1466" i="1"/>
  <c r="BR1466" i="1" s="1"/>
  <c r="S87" i="1"/>
  <c r="BR87" i="1" s="1"/>
  <c r="BQ903" i="1"/>
  <c r="BO903" i="1" s="1"/>
  <c r="BW1407" i="1"/>
  <c r="BQ757" i="1"/>
  <c r="BT757" i="1" s="1"/>
  <c r="BW704" i="1"/>
  <c r="BQ831" i="1"/>
  <c r="BT831" i="1" s="1"/>
  <c r="BQ1407" i="1"/>
  <c r="BT1407" i="1" s="1"/>
  <c r="BO99" i="1"/>
  <c r="BW757" i="1"/>
  <c r="BQ787" i="1"/>
  <c r="BO787" i="1" s="1"/>
  <c r="BO225" i="1"/>
  <c r="BW1194" i="1"/>
  <c r="S815" i="1"/>
  <c r="BR815" i="1" s="1"/>
  <c r="BQ530" i="1"/>
  <c r="BT530" i="1" s="1"/>
  <c r="BW27" i="1"/>
  <c r="S851" i="1"/>
  <c r="BR851" i="1" s="1"/>
  <c r="BO481" i="1"/>
  <c r="BW1015" i="1"/>
  <c r="BW451" i="1"/>
  <c r="BW714" i="1"/>
  <c r="BQ221" i="1"/>
  <c r="BO221" i="1" s="1"/>
  <c r="S1194" i="1"/>
  <c r="BR1194" i="1" s="1"/>
  <c r="BO642" i="1"/>
  <c r="BO259" i="1"/>
  <c r="BW530" i="1"/>
  <c r="BW38" i="1"/>
  <c r="BQ175" i="1"/>
  <c r="BT175" i="1" s="1"/>
  <c r="S1264" i="1"/>
  <c r="BR1264" i="1" s="1"/>
  <c r="S443" i="1"/>
  <c r="BR443" i="1" s="1"/>
  <c r="BQ793" i="1"/>
  <c r="BT793" i="1" s="1"/>
  <c r="BQ443" i="1"/>
  <c r="BO443" i="1" s="1"/>
  <c r="BW793" i="1"/>
  <c r="BW908" i="1"/>
  <c r="BQ745" i="1"/>
  <c r="BO745" i="1" s="1"/>
  <c r="BQ1221" i="1"/>
  <c r="BT1221" i="1" s="1"/>
  <c r="BW1221" i="1"/>
  <c r="BQ1254" i="1"/>
  <c r="BT1254" i="1" s="1"/>
  <c r="BQ1100" i="1"/>
  <c r="BO1100" i="1" s="1"/>
  <c r="BW225" i="1"/>
  <c r="BQ678" i="1"/>
  <c r="BO678" i="1" s="1"/>
  <c r="S138" i="1"/>
  <c r="BR138" i="1" s="1"/>
  <c r="S1462" i="1"/>
  <c r="BR1462" i="1" s="1"/>
  <c r="BO256" i="1"/>
  <c r="BT256" i="1"/>
  <c r="BW1134" i="1"/>
  <c r="BW693" i="1"/>
  <c r="S1134" i="1"/>
  <c r="BR1134" i="1" s="1"/>
  <c r="BT1432" i="1"/>
  <c r="S675" i="1"/>
  <c r="BR675" i="1" s="1"/>
  <c r="BQ109" i="1"/>
  <c r="BT109" i="1" s="1"/>
  <c r="BQ768" i="1"/>
  <c r="BT768" i="1" s="1"/>
  <c r="BQ801" i="1"/>
  <c r="BO801" i="1" s="1"/>
  <c r="S768" i="1"/>
  <c r="BR768" i="1" s="1"/>
  <c r="S1416" i="1"/>
  <c r="BR1416" i="1" s="1"/>
  <c r="BW544" i="1"/>
  <c r="BW54" i="1"/>
  <c r="BW1416" i="1"/>
  <c r="S544" i="1"/>
  <c r="BR544" i="1" s="1"/>
  <c r="S54" i="1"/>
  <c r="BR54" i="1" s="1"/>
  <c r="S318" i="1"/>
  <c r="BR318" i="1" s="1"/>
  <c r="BQ569" i="1"/>
  <c r="BO569" i="1" s="1"/>
  <c r="BW1092" i="1"/>
  <c r="BW815" i="1"/>
  <c r="BW523" i="1"/>
  <c r="BQ1099" i="1"/>
  <c r="BO1099" i="1" s="1"/>
  <c r="BW1135" i="1"/>
  <c r="BQ1228" i="1"/>
  <c r="BT1228" i="1" s="1"/>
  <c r="BW1099" i="1"/>
  <c r="BQ871" i="1"/>
  <c r="BO871" i="1" s="1"/>
  <c r="S1457" i="1"/>
  <c r="BR1457" i="1" s="1"/>
  <c r="S930" i="1"/>
  <c r="BR930" i="1" s="1"/>
  <c r="BW415" i="1"/>
  <c r="BQ601" i="1"/>
  <c r="BO601" i="1" s="1"/>
  <c r="BW422" i="1"/>
  <c r="BQ286" i="1"/>
  <c r="BT286" i="1" s="1"/>
  <c r="BT54" i="1"/>
  <c r="BW304" i="1"/>
  <c r="S80" i="1"/>
  <c r="BR80" i="1" s="1"/>
  <c r="S1490" i="1"/>
  <c r="BR1490" i="1" s="1"/>
  <c r="S1448" i="1"/>
  <c r="BR1448" i="1" s="1"/>
  <c r="BQ1170" i="1"/>
  <c r="BO1170" i="1" s="1"/>
  <c r="BT600" i="1"/>
  <c r="BQ523" i="1"/>
  <c r="BO523" i="1" s="1"/>
  <c r="BQ212" i="1"/>
  <c r="BT212" i="1" s="1"/>
  <c r="BQ1471" i="1"/>
  <c r="BO1471" i="1" s="1"/>
  <c r="S1455" i="1"/>
  <c r="BR1455" i="1" s="1"/>
  <c r="S1228" i="1"/>
  <c r="BR1228" i="1" s="1"/>
  <c r="BQ1457" i="1"/>
  <c r="BO1457" i="1" s="1"/>
  <c r="BQ1146" i="1"/>
  <c r="BT1146" i="1" s="1"/>
  <c r="BQ379" i="1"/>
  <c r="BT379" i="1" s="1"/>
  <c r="BW170" i="1"/>
  <c r="BQ1187" i="1"/>
  <c r="BO1187" i="1" s="1"/>
  <c r="BQ188" i="1"/>
  <c r="BO188" i="1" s="1"/>
  <c r="BW286" i="1"/>
  <c r="S304" i="1"/>
  <c r="BR304" i="1" s="1"/>
  <c r="S1467" i="1"/>
  <c r="BR1467" i="1" s="1"/>
  <c r="BW288" i="1"/>
  <c r="S27" i="1"/>
  <c r="BR27" i="1" s="1"/>
  <c r="BO195" i="1"/>
  <c r="S1471" i="1"/>
  <c r="BR1471" i="1" s="1"/>
  <c r="BQ852" i="1"/>
  <c r="BO852" i="1" s="1"/>
  <c r="BQ887" i="1"/>
  <c r="BO887" i="1" s="1"/>
  <c r="BW1467" i="1"/>
  <c r="BW898" i="1"/>
  <c r="BW784" i="1"/>
  <c r="BO138" i="1"/>
  <c r="BQ59" i="1"/>
  <c r="BT59" i="1" s="1"/>
  <c r="S59" i="1"/>
  <c r="BR59" i="1" s="1"/>
  <c r="BQ245" i="1"/>
  <c r="BT245" i="1" s="1"/>
  <c r="BQ854" i="1"/>
  <c r="BO854" i="1" s="1"/>
  <c r="BW732" i="1"/>
  <c r="S953" i="1"/>
  <c r="BR953" i="1" s="1"/>
  <c r="BW854" i="1"/>
  <c r="BW1129" i="1"/>
  <c r="BT27" i="1"/>
  <c r="BQ288" i="1"/>
  <c r="BO288" i="1" s="1"/>
  <c r="S770" i="1"/>
  <c r="BR770" i="1" s="1"/>
  <c r="BT201" i="1"/>
  <c r="BO185" i="1"/>
  <c r="S642" i="1"/>
  <c r="BR642" i="1" s="1"/>
  <c r="S831" i="1"/>
  <c r="BR831" i="1" s="1"/>
  <c r="S1496" i="1"/>
  <c r="BR1496" i="1" s="1"/>
  <c r="BW393" i="1"/>
  <c r="BW431" i="1"/>
  <c r="BO1451" i="1"/>
  <c r="BQ770" i="1"/>
  <c r="BT770" i="1" s="1"/>
  <c r="BQ1423" i="1"/>
  <c r="BO1423" i="1" s="1"/>
  <c r="BO799" i="1"/>
  <c r="BW847" i="1"/>
  <c r="S103" i="1"/>
  <c r="BR103" i="1" s="1"/>
  <c r="BW1423" i="1"/>
  <c r="BQ1205" i="1"/>
  <c r="BT1205" i="1" s="1"/>
  <c r="BT695" i="1"/>
  <c r="BQ501" i="1"/>
  <c r="BT501" i="1" s="1"/>
  <c r="S726" i="1"/>
  <c r="BR726" i="1" s="1"/>
  <c r="S693" i="1"/>
  <c r="BR693" i="1" s="1"/>
  <c r="BQ726" i="1"/>
  <c r="BT726" i="1" s="1"/>
  <c r="BW1395" i="1"/>
  <c r="BQ675" i="1"/>
  <c r="BT675" i="1" s="1"/>
  <c r="BW678" i="1"/>
  <c r="S458" i="1"/>
  <c r="BR458" i="1" s="1"/>
  <c r="S145" i="1"/>
  <c r="BR145" i="1" s="1"/>
  <c r="BQ682" i="1"/>
  <c r="BT682" i="1" s="1"/>
  <c r="BQ1408" i="1"/>
  <c r="BT1408" i="1" s="1"/>
  <c r="BW1315" i="1"/>
  <c r="BW1265" i="1"/>
  <c r="S483" i="1"/>
  <c r="BR483" i="1" s="1"/>
  <c r="BW75" i="1"/>
  <c r="S934" i="1"/>
  <c r="BR934" i="1" s="1"/>
  <c r="S251" i="1"/>
  <c r="BR251" i="1" s="1"/>
  <c r="BQ333" i="1"/>
  <c r="BT333" i="1" s="1"/>
  <c r="BQ107" i="1"/>
  <c r="BT107" i="1" s="1"/>
  <c r="BW439" i="1"/>
  <c r="BQ176" i="1"/>
  <c r="BT176" i="1" s="1"/>
  <c r="BQ475" i="1"/>
  <c r="BO475" i="1" s="1"/>
  <c r="BQ158" i="1"/>
  <c r="BT158" i="1" s="1"/>
  <c r="BW318" i="1"/>
  <c r="BW868" i="1"/>
  <c r="BQ316" i="1"/>
  <c r="BO316" i="1" s="1"/>
  <c r="BW1462" i="1"/>
  <c r="S1129" i="1"/>
  <c r="BR1129" i="1" s="1"/>
  <c r="BW204" i="1"/>
  <c r="S1443" i="1"/>
  <c r="BR1443" i="1" s="1"/>
  <c r="BQ973" i="1"/>
  <c r="BO973" i="1" s="1"/>
  <c r="BW1060" i="1"/>
  <c r="BQ478" i="1"/>
  <c r="BT478" i="1" s="1"/>
  <c r="S454" i="1"/>
  <c r="BR454" i="1" s="1"/>
  <c r="BQ472" i="1"/>
  <c r="BT472" i="1" s="1"/>
  <c r="BQ465" i="1"/>
  <c r="BT465" i="1" s="1"/>
  <c r="BW766" i="1"/>
  <c r="S1433" i="1"/>
  <c r="BR1433" i="1" s="1"/>
  <c r="BQ1443" i="1"/>
  <c r="BO1443" i="1" s="1"/>
  <c r="BW1075" i="1"/>
  <c r="BQ1321" i="1"/>
  <c r="BO1321" i="1" s="1"/>
  <c r="BW1261" i="1"/>
  <c r="BQ930" i="1"/>
  <c r="BO930" i="1" s="1"/>
  <c r="BW914" i="1"/>
  <c r="S926" i="1"/>
  <c r="BR926" i="1" s="1"/>
  <c r="S973" i="1"/>
  <c r="BR973" i="1" s="1"/>
  <c r="BW1359" i="1"/>
  <c r="S1060" i="1"/>
  <c r="BR1060" i="1" s="1"/>
  <c r="BQ739" i="1"/>
  <c r="BT739" i="1" s="1"/>
  <c r="BQ908" i="1"/>
  <c r="BO908" i="1" s="1"/>
  <c r="BQ512" i="1"/>
  <c r="BO512" i="1" s="1"/>
  <c r="BW841" i="1"/>
  <c r="BW478" i="1"/>
  <c r="BW959" i="1"/>
  <c r="BW472" i="1"/>
  <c r="BW852" i="1"/>
  <c r="BW465" i="1"/>
  <c r="S505" i="1"/>
  <c r="BR505" i="1" s="1"/>
  <c r="BQ830" i="1"/>
  <c r="BO830" i="1" s="1"/>
  <c r="BW181" i="1"/>
  <c r="BQ732" i="1"/>
  <c r="BO732" i="1" s="1"/>
  <c r="S672" i="1"/>
  <c r="BR672" i="1" s="1"/>
  <c r="BQ405" i="1"/>
  <c r="BT405" i="1" s="1"/>
  <c r="S810" i="1"/>
  <c r="BR810" i="1" s="1"/>
  <c r="BQ841" i="1"/>
  <c r="BO841" i="1" s="1"/>
  <c r="S1188" i="1"/>
  <c r="BR1188" i="1" s="1"/>
  <c r="BQ810" i="1"/>
  <c r="BQ1433" i="1"/>
  <c r="BT1433" i="1" s="1"/>
  <c r="BW1183" i="1"/>
  <c r="BQ1261" i="1"/>
  <c r="BO1261" i="1" s="1"/>
  <c r="S914" i="1"/>
  <c r="BR914" i="1" s="1"/>
  <c r="BQ1153" i="1"/>
  <c r="BT1153" i="1" s="1"/>
  <c r="S680" i="1"/>
  <c r="BR680" i="1" s="1"/>
  <c r="BQ886" i="1"/>
  <c r="BO886" i="1" s="1"/>
  <c r="BW1031" i="1"/>
  <c r="BQ959" i="1"/>
  <c r="BO959" i="1" s="1"/>
  <c r="BQ505" i="1"/>
  <c r="BT505" i="1" s="1"/>
  <c r="BO575" i="1"/>
  <c r="BW830" i="1"/>
  <c r="BQ1077" i="1"/>
  <c r="BT1077" i="1" s="1"/>
  <c r="S181" i="1"/>
  <c r="BR181" i="1" s="1"/>
  <c r="BW202" i="1"/>
  <c r="BQ1012" i="1"/>
  <c r="BO1012" i="1" s="1"/>
  <c r="BW672" i="1"/>
  <c r="S405" i="1"/>
  <c r="BR405" i="1" s="1"/>
  <c r="BQ1383" i="1"/>
  <c r="BO1383" i="1" s="1"/>
  <c r="BQ1358" i="1"/>
  <c r="BT1358" i="1" s="1"/>
  <c r="S1115" i="1"/>
  <c r="BR1115" i="1" s="1"/>
  <c r="BW915" i="1"/>
  <c r="BQ1434" i="1"/>
  <c r="BT1434" i="1" s="1"/>
  <c r="BW680" i="1"/>
  <c r="BO741" i="1"/>
  <c r="BQ1022" i="1"/>
  <c r="BO1022" i="1" s="1"/>
  <c r="S886" i="1"/>
  <c r="BR886" i="1" s="1"/>
  <c r="BW1383" i="1"/>
  <c r="BW855" i="1"/>
  <c r="BW1212" i="1"/>
  <c r="S746" i="1"/>
  <c r="BR746" i="1" s="1"/>
  <c r="BQ622" i="1"/>
  <c r="BT622" i="1" s="1"/>
  <c r="BW666" i="1"/>
  <c r="S1077" i="1"/>
  <c r="BR1077" i="1" s="1"/>
  <c r="BQ229" i="1"/>
  <c r="BO229" i="1" s="1"/>
  <c r="BQ202" i="1"/>
  <c r="BO202" i="1" s="1"/>
  <c r="BW1282" i="1"/>
  <c r="S1012" i="1"/>
  <c r="BR1012" i="1" s="1"/>
  <c r="BW486" i="1"/>
  <c r="S270" i="1"/>
  <c r="BR270" i="1" s="1"/>
  <c r="BW485" i="1"/>
  <c r="BT251" i="1"/>
  <c r="BQ1493" i="1"/>
  <c r="BO510" i="1"/>
  <c r="BW158" i="1"/>
  <c r="S745" i="1"/>
  <c r="BR745" i="1" s="1"/>
  <c r="BQ372" i="1"/>
  <c r="BT372" i="1" s="1"/>
  <c r="BW1377" i="1"/>
  <c r="BW1084" i="1"/>
  <c r="BW1477" i="1"/>
  <c r="BQ890" i="1"/>
  <c r="BO890" i="1" s="1"/>
  <c r="BQ454" i="1"/>
  <c r="BT454" i="1" s="1"/>
  <c r="BW926" i="1"/>
  <c r="BQ563" i="1"/>
  <c r="BT563" i="1" s="1"/>
  <c r="BW1153" i="1"/>
  <c r="BQ1031" i="1"/>
  <c r="BT1031" i="1" s="1"/>
  <c r="BQ746" i="1"/>
  <c r="BT746" i="1" s="1"/>
  <c r="BQ485" i="1"/>
  <c r="BT485" i="1" s="1"/>
  <c r="S1323" i="1"/>
  <c r="BR1323" i="1" s="1"/>
  <c r="BW1115" i="1"/>
  <c r="BQ915" i="1"/>
  <c r="BO915" i="1" s="1"/>
  <c r="BW909" i="1"/>
  <c r="BQ207" i="1"/>
  <c r="BT207" i="1" s="1"/>
  <c r="BQ1136" i="1"/>
  <c r="BO1136" i="1" s="1"/>
  <c r="BW375" i="1"/>
  <c r="S855" i="1"/>
  <c r="BR855" i="1" s="1"/>
  <c r="S1212" i="1"/>
  <c r="BR1212" i="1" s="1"/>
  <c r="BW622" i="1"/>
  <c r="S666" i="1"/>
  <c r="BR666" i="1" s="1"/>
  <c r="BQ87" i="1"/>
  <c r="BT87" i="1" s="1"/>
  <c r="BQ506" i="1"/>
  <c r="BO506" i="1" s="1"/>
  <c r="S486" i="1"/>
  <c r="BR486" i="1" s="1"/>
  <c r="S1493" i="1"/>
  <c r="BR1493" i="1" s="1"/>
  <c r="S1321" i="1"/>
  <c r="BR1321" i="1" s="1"/>
  <c r="BQ1025" i="1"/>
  <c r="BO1025" i="1" s="1"/>
  <c r="S1183" i="1"/>
  <c r="BR1183" i="1" s="1"/>
  <c r="BW476" i="1"/>
  <c r="BW229" i="1"/>
  <c r="BW1358" i="1"/>
  <c r="S1434" i="1"/>
  <c r="BR1434" i="1" s="1"/>
  <c r="BW1323" i="1"/>
  <c r="S1306" i="1"/>
  <c r="BR1306" i="1" s="1"/>
  <c r="BW1257" i="1"/>
  <c r="BQ1231" i="1"/>
  <c r="BO1231" i="1" s="1"/>
  <c r="S608" i="1"/>
  <c r="BR608" i="1" s="1"/>
  <c r="BW207" i="1"/>
  <c r="BW1136" i="1"/>
  <c r="BW532" i="1"/>
  <c r="S375" i="1"/>
  <c r="BR375" i="1" s="1"/>
  <c r="BQ565" i="1"/>
  <c r="BO565" i="1" s="1"/>
  <c r="BW506" i="1"/>
  <c r="S146" i="1"/>
  <c r="BR146" i="1" s="1"/>
  <c r="BW509" i="1"/>
  <c r="BQ542" i="1"/>
  <c r="BO542" i="1" s="1"/>
  <c r="BQ130" i="1"/>
  <c r="BT130" i="1" s="1"/>
  <c r="BW351" i="1"/>
  <c r="S1449" i="1"/>
  <c r="BR1449" i="1" s="1"/>
  <c r="S1086" i="1"/>
  <c r="BR1086" i="1" s="1"/>
  <c r="BW474" i="1"/>
  <c r="S890" i="1"/>
  <c r="BR890" i="1" s="1"/>
  <c r="S565" i="1"/>
  <c r="BR565" i="1" s="1"/>
  <c r="BW387" i="1"/>
  <c r="S1491" i="1"/>
  <c r="BR1491" i="1" s="1"/>
  <c r="BQ671" i="1"/>
  <c r="BO671" i="1" s="1"/>
  <c r="BW369" i="1"/>
  <c r="BW592" i="1"/>
  <c r="BQ719" i="1"/>
  <c r="BO719" i="1" s="1"/>
  <c r="BW396" i="1"/>
  <c r="BQ1376" i="1"/>
  <c r="BO1376" i="1" s="1"/>
  <c r="BQ387" i="1"/>
  <c r="BO387" i="1" s="1"/>
  <c r="BQ247" i="1"/>
  <c r="BO247" i="1" s="1"/>
  <c r="BQ77" i="1"/>
  <c r="BO77" i="1" s="1"/>
  <c r="BW731" i="1"/>
  <c r="BW517" i="1"/>
  <c r="BW500" i="1"/>
  <c r="BO422" i="1"/>
  <c r="BW62" i="1"/>
  <c r="BW52" i="1"/>
  <c r="BW448" i="1"/>
  <c r="S760" i="1"/>
  <c r="BR760" i="1" s="1"/>
  <c r="BQ977" i="1"/>
  <c r="BT977" i="1" s="1"/>
  <c r="BW398" i="1"/>
  <c r="BW577" i="1"/>
  <c r="S600" i="1"/>
  <c r="BR600" i="1" s="1"/>
  <c r="S398" i="1"/>
  <c r="BR398" i="1" s="1"/>
  <c r="BQ517" i="1"/>
  <c r="BT517" i="1" s="1"/>
  <c r="S28" i="1"/>
  <c r="BR28" i="1" s="1"/>
  <c r="S856" i="1"/>
  <c r="BR856" i="1" s="1"/>
  <c r="BQ509" i="1"/>
  <c r="BT509" i="1" s="1"/>
  <c r="S981" i="1"/>
  <c r="BR981" i="1" s="1"/>
  <c r="BW1491" i="1"/>
  <c r="BW1281" i="1"/>
  <c r="S592" i="1"/>
  <c r="BR592" i="1" s="1"/>
  <c r="S1294" i="1"/>
  <c r="BR1294" i="1" s="1"/>
  <c r="BW63" i="1"/>
  <c r="BW575" i="1"/>
  <c r="BW247" i="1"/>
  <c r="BW81" i="1"/>
  <c r="S473" i="1"/>
  <c r="BR473" i="1" s="1"/>
  <c r="BQ456" i="1"/>
  <c r="BO456" i="1" s="1"/>
  <c r="BW101" i="1"/>
  <c r="BW1057" i="1"/>
  <c r="BT63" i="1"/>
  <c r="BQ52" i="1"/>
  <c r="BO52" i="1" s="1"/>
  <c r="BQ448" i="1"/>
  <c r="BO448" i="1" s="1"/>
  <c r="S719" i="1"/>
  <c r="BR719" i="1" s="1"/>
  <c r="BQ760" i="1"/>
  <c r="BT760" i="1" s="1"/>
  <c r="BQ1059" i="1"/>
  <c r="BW1317" i="1"/>
  <c r="BW234" i="1"/>
  <c r="BW372" i="1"/>
  <c r="S153" i="1"/>
  <c r="BR153" i="1" s="1"/>
  <c r="BW23" i="1"/>
  <c r="BO1477" i="1"/>
  <c r="BW710" i="1"/>
  <c r="BQ577" i="1"/>
  <c r="BT577" i="1" s="1"/>
  <c r="BQ731" i="1"/>
  <c r="BT731" i="1" s="1"/>
  <c r="BW1397" i="1"/>
  <c r="BQ1075" i="1"/>
  <c r="BT1075" i="1" s="1"/>
  <c r="S510" i="1"/>
  <c r="BR510" i="1" s="1"/>
  <c r="BW933" i="1"/>
  <c r="S1121" i="1"/>
  <c r="BR1121" i="1" s="1"/>
  <c r="S63" i="1"/>
  <c r="BR63" i="1" s="1"/>
  <c r="S575" i="1"/>
  <c r="BR575" i="1" s="1"/>
  <c r="BO914" i="1"/>
  <c r="BW1172" i="1"/>
  <c r="BQ189" i="1"/>
  <c r="BO189" i="1" s="1"/>
  <c r="BQ520" i="1"/>
  <c r="BO520" i="1" s="1"/>
  <c r="BQ81" i="1"/>
  <c r="BO81" i="1" s="1"/>
  <c r="BQ574" i="1"/>
  <c r="BT574" i="1" s="1"/>
  <c r="BQ473" i="1"/>
  <c r="BT473" i="1" s="1"/>
  <c r="BW456" i="1"/>
  <c r="BQ101" i="1"/>
  <c r="BT101" i="1" s="1"/>
  <c r="BW349" i="1"/>
  <c r="BQ62" i="1"/>
  <c r="BT62" i="1" s="1"/>
  <c r="BW755" i="1"/>
  <c r="BO1491" i="1"/>
  <c r="BW1059" i="1"/>
  <c r="BQ170" i="1"/>
  <c r="BO170" i="1" s="1"/>
  <c r="S234" i="1"/>
  <c r="BR234" i="1" s="1"/>
  <c r="BQ351" i="1"/>
  <c r="BO351" i="1" s="1"/>
  <c r="S977" i="1"/>
  <c r="BR977" i="1" s="1"/>
  <c r="BQ1062" i="1"/>
  <c r="BO1062" i="1" s="1"/>
  <c r="BW574" i="1"/>
  <c r="BQ349" i="1"/>
  <c r="BO349" i="1" s="1"/>
  <c r="BQ755" i="1"/>
  <c r="BT755" i="1" s="1"/>
  <c r="BQ364" i="1"/>
  <c r="BT364" i="1" s="1"/>
  <c r="BQ312" i="1"/>
  <c r="BO312" i="1" s="1"/>
  <c r="BW153" i="1"/>
  <c r="BQ1086" i="1"/>
  <c r="BT1086" i="1" s="1"/>
  <c r="BW1062" i="1"/>
  <c r="BW1025" i="1"/>
  <c r="BQ532" i="1"/>
  <c r="BT532" i="1" s="1"/>
  <c r="BQ227" i="1"/>
  <c r="BO227" i="1" s="1"/>
  <c r="S500" i="1"/>
  <c r="BR500" i="1" s="1"/>
  <c r="BW671" i="1"/>
  <c r="BW1479" i="1"/>
  <c r="BQ1121" i="1"/>
  <c r="BO1121" i="1" s="1"/>
  <c r="S1328" i="1"/>
  <c r="BR1328" i="1" s="1"/>
  <c r="BQ779" i="1"/>
  <c r="BT779" i="1" s="1"/>
  <c r="BQ1172" i="1"/>
  <c r="BT1172" i="1" s="1"/>
  <c r="BQ562" i="1"/>
  <c r="BO562" i="1" s="1"/>
  <c r="BW520" i="1"/>
  <c r="BW148" i="1"/>
  <c r="S1162" i="1"/>
  <c r="BR1162" i="1" s="1"/>
  <c r="BQ1479" i="1"/>
  <c r="BO1479" i="1" s="1"/>
  <c r="S708" i="1"/>
  <c r="BR708" i="1" s="1"/>
  <c r="S1073" i="1"/>
  <c r="BR1073" i="1" s="1"/>
  <c r="BQ1325" i="1"/>
  <c r="BT1325" i="1" s="1"/>
  <c r="BQ457" i="1"/>
  <c r="BO457" i="1" s="1"/>
  <c r="BW1328" i="1"/>
  <c r="BW130" i="1"/>
  <c r="S779" i="1"/>
  <c r="BR779" i="1" s="1"/>
  <c r="S944" i="1"/>
  <c r="BR944" i="1" s="1"/>
  <c r="BQ365" i="1"/>
  <c r="BT365" i="1" s="1"/>
  <c r="BQ148" i="1"/>
  <c r="BT148" i="1" s="1"/>
  <c r="BQ1061" i="1"/>
  <c r="BT1061" i="1" s="1"/>
  <c r="BQ1093" i="1"/>
  <c r="BO1093" i="1" s="1"/>
  <c r="BQ157" i="1"/>
  <c r="BT157" i="1" s="1"/>
  <c r="BW695" i="1"/>
  <c r="BW327" i="1"/>
  <c r="BQ326" i="1"/>
  <c r="BO326" i="1" s="1"/>
  <c r="BO234" i="1"/>
  <c r="BW1206" i="1"/>
  <c r="BT153" i="1"/>
  <c r="BQ572" i="1"/>
  <c r="BO572" i="1" s="1"/>
  <c r="BQ1306" i="1"/>
  <c r="BO1306" i="1" s="1"/>
  <c r="BQ856" i="1"/>
  <c r="BO856" i="1" s="1"/>
  <c r="BW741" i="1"/>
  <c r="BQ396" i="1"/>
  <c r="BO396" i="1" s="1"/>
  <c r="S1397" i="1"/>
  <c r="BR1397" i="1" s="1"/>
  <c r="BQ1162" i="1"/>
  <c r="BT1162" i="1" s="1"/>
  <c r="BT1347" i="1"/>
  <c r="S1315" i="1"/>
  <c r="BR1315" i="1" s="1"/>
  <c r="BQ708" i="1"/>
  <c r="BO708" i="1" s="1"/>
  <c r="BQ1073" i="1"/>
  <c r="BT1073" i="1" s="1"/>
  <c r="BW457" i="1"/>
  <c r="BQ944" i="1"/>
  <c r="BO944" i="1" s="1"/>
  <c r="BQ934" i="1"/>
  <c r="BT934" i="1" s="1"/>
  <c r="BW540" i="1"/>
  <c r="S365" i="1"/>
  <c r="BR365" i="1" s="1"/>
  <c r="S78" i="1"/>
  <c r="BR78" i="1" s="1"/>
  <c r="BQ439" i="1"/>
  <c r="BO439" i="1" s="1"/>
  <c r="S1061" i="1"/>
  <c r="BR1061" i="1" s="1"/>
  <c r="S144" i="1"/>
  <c r="BR144" i="1" s="1"/>
  <c r="S475" i="1"/>
  <c r="BR475" i="1" s="1"/>
  <c r="S1093" i="1"/>
  <c r="BR1093" i="1" s="1"/>
  <c r="S695" i="1"/>
  <c r="BR695" i="1" s="1"/>
  <c r="BQ327" i="1"/>
  <c r="BT327" i="1" s="1"/>
  <c r="S195" i="1"/>
  <c r="BR195" i="1" s="1"/>
  <c r="BQ1206" i="1"/>
  <c r="BO1206" i="1" s="1"/>
  <c r="S572" i="1"/>
  <c r="BR572" i="1" s="1"/>
  <c r="S422" i="1"/>
  <c r="BR422" i="1" s="1"/>
  <c r="BW395" i="1"/>
  <c r="S1477" i="1"/>
  <c r="BR1477" i="1" s="1"/>
  <c r="BQ1377" i="1"/>
  <c r="BT1377" i="1" s="1"/>
  <c r="BW1055" i="1"/>
  <c r="BQ1265" i="1"/>
  <c r="BT1265" i="1" s="1"/>
  <c r="BW483" i="1"/>
  <c r="BQ75" i="1"/>
  <c r="BO75" i="1" s="1"/>
  <c r="BW251" i="1"/>
  <c r="BQ540" i="1"/>
  <c r="BT540" i="1" s="1"/>
  <c r="BO398" i="1"/>
  <c r="BQ78" i="1"/>
  <c r="BT78" i="1" s="1"/>
  <c r="BO413" i="1"/>
  <c r="BW176" i="1"/>
  <c r="BW316" i="1"/>
  <c r="BW195" i="1"/>
  <c r="BQ204" i="1"/>
  <c r="BT204" i="1" s="1"/>
  <c r="DA71" i="1"/>
  <c r="BO1317" i="1"/>
  <c r="BT1317" i="1"/>
  <c r="BO974" i="1"/>
  <c r="BT974" i="1"/>
  <c r="S300" i="1"/>
  <c r="BR300" i="1" s="1"/>
  <c r="BW300" i="1"/>
  <c r="BQ300" i="1"/>
  <c r="BQ1316" i="1"/>
  <c r="BO1316" i="1" s="1"/>
  <c r="BQ1442" i="1"/>
  <c r="BO1442" i="1" s="1"/>
  <c r="BQ1114" i="1"/>
  <c r="BO1114" i="1" s="1"/>
  <c r="BW1243" i="1"/>
  <c r="S1444" i="1"/>
  <c r="BR1444" i="1" s="1"/>
  <c r="BW807" i="1"/>
  <c r="BW528" i="1"/>
  <c r="BO1498" i="1"/>
  <c r="S723" i="1"/>
  <c r="BR723" i="1" s="1"/>
  <c r="S610" i="1"/>
  <c r="BR610" i="1" s="1"/>
  <c r="BW927" i="1"/>
  <c r="BQ515" i="1"/>
  <c r="BT515" i="1" s="1"/>
  <c r="BW968" i="1"/>
  <c r="BW336" i="1"/>
  <c r="BW252" i="1"/>
  <c r="S279" i="1"/>
  <c r="BR279" i="1" s="1"/>
  <c r="BQ833" i="1"/>
  <c r="BO833" i="1" s="1"/>
  <c r="BW832" i="1"/>
  <c r="BQ624" i="1"/>
  <c r="BT624" i="1" s="1"/>
  <c r="S1439" i="1"/>
  <c r="BR1439" i="1" s="1"/>
  <c r="BW1316" i="1"/>
  <c r="S1442" i="1"/>
  <c r="BR1442" i="1" s="1"/>
  <c r="BQ1444" i="1"/>
  <c r="BO1444" i="1" s="1"/>
  <c r="S807" i="1"/>
  <c r="BR807" i="1" s="1"/>
  <c r="S528" i="1"/>
  <c r="BR528" i="1" s="1"/>
  <c r="S863" i="1"/>
  <c r="BR863" i="1" s="1"/>
  <c r="S336" i="1"/>
  <c r="BR336" i="1" s="1"/>
  <c r="BW833" i="1"/>
  <c r="BQ538" i="1"/>
  <c r="BO538" i="1" s="1"/>
  <c r="BQ832" i="1"/>
  <c r="BT832" i="1" s="1"/>
  <c r="BQ20" i="1"/>
  <c r="BW1439" i="1"/>
  <c r="S1138" i="1"/>
  <c r="BR1138" i="1" s="1"/>
  <c r="S839" i="1"/>
  <c r="BR839" i="1" s="1"/>
  <c r="BQ762" i="1"/>
  <c r="BO762" i="1" s="1"/>
  <c r="BW863" i="1"/>
  <c r="S604" i="1"/>
  <c r="BR604" i="1" s="1"/>
  <c r="BW538" i="1"/>
  <c r="BQ34" i="1"/>
  <c r="BT34" i="1" s="1"/>
  <c r="BW591" i="1"/>
  <c r="BW612" i="1"/>
  <c r="S20" i="1"/>
  <c r="BR20" i="1" s="1"/>
  <c r="BQ61" i="1"/>
  <c r="BT61" i="1" s="1"/>
  <c r="S1426" i="1"/>
  <c r="BR1426" i="1" s="1"/>
  <c r="BW839" i="1"/>
  <c r="BQ1264" i="1"/>
  <c r="BT1264" i="1" s="1"/>
  <c r="BW762" i="1"/>
  <c r="BO502" i="1"/>
  <c r="BW34" i="1"/>
  <c r="BW787" i="1"/>
  <c r="BQ612" i="1"/>
  <c r="BT612" i="1" s="1"/>
  <c r="BQ929" i="1"/>
  <c r="BO929" i="1" s="1"/>
  <c r="BQ529" i="1"/>
  <c r="BO529" i="1" s="1"/>
  <c r="BW889" i="1"/>
  <c r="S739" i="1"/>
  <c r="BR739" i="1" s="1"/>
  <c r="BO777" i="1"/>
  <c r="BQ357" i="1"/>
  <c r="BT357" i="1" s="1"/>
  <c r="BQ626" i="1"/>
  <c r="BO626" i="1" s="1"/>
  <c r="BT233" i="1"/>
  <c r="BT738" i="1"/>
  <c r="S1317" i="1"/>
  <c r="BR1317" i="1" s="1"/>
  <c r="BW1100" i="1"/>
  <c r="BW929" i="1"/>
  <c r="S18" i="1"/>
  <c r="BR18" i="1" s="1"/>
  <c r="S200" i="1"/>
  <c r="BR200" i="1" s="1"/>
  <c r="BQ767" i="1"/>
  <c r="BO767" i="1" s="1"/>
  <c r="S357" i="1"/>
  <c r="BR357" i="1" s="1"/>
  <c r="BW267" i="1"/>
  <c r="BT1395" i="1"/>
  <c r="BW117" i="1"/>
  <c r="BT1426" i="1"/>
  <c r="BW49" i="1"/>
  <c r="BW767" i="1"/>
  <c r="BQ702" i="1"/>
  <c r="BT702" i="1" s="1"/>
  <c r="S76" i="1"/>
  <c r="BR76" i="1" s="1"/>
  <c r="S1301" i="1"/>
  <c r="BR1301" i="1" s="1"/>
  <c r="BQ117" i="1"/>
  <c r="BQ1257" i="1"/>
  <c r="BQ267" i="1"/>
  <c r="BT267" i="1" s="1"/>
  <c r="BQ463" i="1"/>
  <c r="BO463" i="1" s="1"/>
  <c r="S702" i="1"/>
  <c r="BR702" i="1" s="1"/>
  <c r="BW58" i="1"/>
  <c r="BW1301" i="1"/>
  <c r="S536" i="1"/>
  <c r="BR536" i="1" s="1"/>
  <c r="BQ116" i="1"/>
  <c r="BT116" i="1" s="1"/>
  <c r="BQ1453" i="1"/>
  <c r="BO1453" i="1" s="1"/>
  <c r="S49" i="1"/>
  <c r="BR49" i="1" s="1"/>
  <c r="BQ889" i="1"/>
  <c r="BT889" i="1" s="1"/>
  <c r="BW922" i="1"/>
  <c r="BQ593" i="1"/>
  <c r="BO593" i="1" s="1"/>
  <c r="BQ949" i="1"/>
  <c r="BT949" i="1" s="1"/>
  <c r="BQ76" i="1"/>
  <c r="BT76" i="1" s="1"/>
  <c r="BT51" i="1"/>
  <c r="BW116" i="1"/>
  <c r="BQ128" i="1"/>
  <c r="BT128" i="1" s="1"/>
  <c r="S407" i="1"/>
  <c r="BR407" i="1" s="1"/>
  <c r="BQ58" i="1"/>
  <c r="BT58" i="1" s="1"/>
  <c r="BQ1137" i="1"/>
  <c r="BT1137" i="1" s="1"/>
  <c r="BQ586" i="1"/>
  <c r="BT586" i="1" s="1"/>
  <c r="S427" i="1"/>
  <c r="BR427" i="1" s="1"/>
  <c r="BQ497" i="1"/>
  <c r="S738" i="1"/>
  <c r="BR738" i="1" s="1"/>
  <c r="BQ33" i="1"/>
  <c r="BT33" i="1" s="1"/>
  <c r="S1343" i="1"/>
  <c r="BR1343" i="1" s="1"/>
  <c r="BW502" i="1"/>
  <c r="BW1088" i="1"/>
  <c r="S593" i="1"/>
  <c r="BR593" i="1" s="1"/>
  <c r="BQ1435" i="1"/>
  <c r="BT1435" i="1" s="1"/>
  <c r="S1435" i="1"/>
  <c r="BR1435" i="1" s="1"/>
  <c r="BQ1197" i="1"/>
  <c r="BO1197" i="1" s="1"/>
  <c r="S1412" i="1"/>
  <c r="BR1412" i="1" s="1"/>
  <c r="BQ1348" i="1"/>
  <c r="BT1348" i="1" s="1"/>
  <c r="BW724" i="1"/>
  <c r="S1055" i="1"/>
  <c r="BR1055" i="1" s="1"/>
  <c r="BW175" i="1"/>
  <c r="BQ640" i="1"/>
  <c r="BT640" i="1" s="1"/>
  <c r="S922" i="1"/>
  <c r="BR922" i="1" s="1"/>
  <c r="BW906" i="1"/>
  <c r="BQ193" i="1"/>
  <c r="BT193" i="1" s="1"/>
  <c r="BQ632" i="1"/>
  <c r="BO632" i="1" s="1"/>
  <c r="BW1376" i="1"/>
  <c r="BQ534" i="1"/>
  <c r="BT534" i="1" s="1"/>
  <c r="BQ962" i="1"/>
  <c r="BO962" i="1" s="1"/>
  <c r="S595" i="1"/>
  <c r="BR595" i="1" s="1"/>
  <c r="BW949" i="1"/>
  <c r="BW74" i="1"/>
  <c r="BW126" i="1"/>
  <c r="BW1024" i="1"/>
  <c r="BW233" i="1"/>
  <c r="S334" i="1"/>
  <c r="BR334" i="1" s="1"/>
  <c r="BW738" i="1"/>
  <c r="BW200" i="1"/>
  <c r="S1498" i="1"/>
  <c r="BR1498" i="1" s="1"/>
  <c r="BQ700" i="1"/>
  <c r="BT700" i="1" s="1"/>
  <c r="BQ1412" i="1"/>
  <c r="BO1412" i="1" s="1"/>
  <c r="BW33" i="1"/>
  <c r="S518" i="1"/>
  <c r="BR518" i="1" s="1"/>
  <c r="S259" i="1"/>
  <c r="BR259" i="1" s="1"/>
  <c r="BW1232" i="1"/>
  <c r="BQ1192" i="1"/>
  <c r="BO1192" i="1" s="1"/>
  <c r="S878" i="1"/>
  <c r="BR878" i="1" s="1"/>
  <c r="BW632" i="1"/>
  <c r="BW534" i="1"/>
  <c r="BW676" i="1"/>
  <c r="BQ595" i="1"/>
  <c r="BT595" i="1" s="1"/>
  <c r="BW816" i="1"/>
  <c r="BO200" i="1"/>
  <c r="BQ18" i="1"/>
  <c r="BT981" i="1"/>
  <c r="BQ1238" i="1"/>
  <c r="BT1238" i="1" s="1"/>
  <c r="S1137" i="1"/>
  <c r="BR1137" i="1" s="1"/>
  <c r="S586" i="1"/>
  <c r="BR586" i="1" s="1"/>
  <c r="S1240" i="1"/>
  <c r="BR1240" i="1" s="1"/>
  <c r="BW427" i="1"/>
  <c r="BW497" i="1"/>
  <c r="S932" i="1"/>
  <c r="BR932" i="1" s="1"/>
  <c r="S1231" i="1"/>
  <c r="BR1231" i="1" s="1"/>
  <c r="BW1295" i="1"/>
  <c r="S1295" i="1"/>
  <c r="BR1295" i="1" s="1"/>
  <c r="BW1498" i="1"/>
  <c r="BQ1088" i="1"/>
  <c r="BO1088" i="1" s="1"/>
  <c r="BW259" i="1"/>
  <c r="BQ549" i="1"/>
  <c r="BT549" i="1" s="1"/>
  <c r="BT610" i="1"/>
  <c r="S51" i="1"/>
  <c r="BR51" i="1" s="1"/>
  <c r="BQ126" i="1"/>
  <c r="BT126" i="1" s="1"/>
  <c r="BO28" i="1"/>
  <c r="BW1229" i="1"/>
  <c r="BW1326" i="1"/>
  <c r="BT1439" i="1"/>
  <c r="BW699" i="1"/>
  <c r="S1192" i="1"/>
  <c r="BR1192" i="1" s="1"/>
  <c r="S1041" i="1"/>
  <c r="BR1041" i="1" s="1"/>
  <c r="BQ476" i="1"/>
  <c r="BO476" i="1" s="1"/>
  <c r="BQ878" i="1"/>
  <c r="BO878" i="1" s="1"/>
  <c r="BQ740" i="1"/>
  <c r="BO740" i="1" s="1"/>
  <c r="S193" i="1"/>
  <c r="BR193" i="1" s="1"/>
  <c r="BW461" i="1"/>
  <c r="S364" i="1"/>
  <c r="BR364" i="1" s="1"/>
  <c r="BQ916" i="1"/>
  <c r="BT916" i="1" s="1"/>
  <c r="BT1041" i="1"/>
  <c r="BW137" i="1"/>
  <c r="BW445" i="1"/>
  <c r="BQ438" i="1"/>
  <c r="BT438" i="1" s="1"/>
  <c r="BT1108" i="1"/>
  <c r="S370" i="1"/>
  <c r="BR370" i="1" s="1"/>
  <c r="BQ100" i="1"/>
  <c r="BO100" i="1" s="1"/>
  <c r="BQ360" i="1"/>
  <c r="BO360" i="1" s="1"/>
  <c r="BQ904" i="1"/>
  <c r="BT904" i="1" s="1"/>
  <c r="S549" i="1"/>
  <c r="BR549" i="1" s="1"/>
  <c r="BQ65" i="1"/>
  <c r="BT65" i="1" s="1"/>
  <c r="BW1396" i="1"/>
  <c r="S431" i="1"/>
  <c r="BR431" i="1" s="1"/>
  <c r="BW487" i="1"/>
  <c r="BQ784" i="1"/>
  <c r="BT784" i="1" s="1"/>
  <c r="BQ179" i="1"/>
  <c r="BT179" i="1" s="1"/>
  <c r="BQ816" i="1"/>
  <c r="BO816" i="1" s="1"/>
  <c r="S974" i="1"/>
  <c r="BR974" i="1" s="1"/>
  <c r="BQ1024" i="1"/>
  <c r="BO1024" i="1" s="1"/>
  <c r="BW967" i="1"/>
  <c r="S1320" i="1"/>
  <c r="BR1320" i="1" s="1"/>
  <c r="BW1320" i="1"/>
  <c r="BQ1320" i="1"/>
  <c r="BQ641" i="1"/>
  <c r="BT641" i="1" s="1"/>
  <c r="S233" i="1"/>
  <c r="BR233" i="1" s="1"/>
  <c r="BQ812" i="1"/>
  <c r="BT812" i="1" s="1"/>
  <c r="BW518" i="1"/>
  <c r="BW1475" i="1"/>
  <c r="S1252" i="1"/>
  <c r="BR1252" i="1" s="1"/>
  <c r="BQ877" i="1"/>
  <c r="BO877" i="1" s="1"/>
  <c r="BQ906" i="1"/>
  <c r="BT906" i="1" s="1"/>
  <c r="BW812" i="1"/>
  <c r="BW379" i="1"/>
  <c r="S502" i="1"/>
  <c r="BR502" i="1" s="1"/>
  <c r="BW1197" i="1"/>
  <c r="BW1348" i="1"/>
  <c r="BQ724" i="1"/>
  <c r="BT724" i="1" s="1"/>
  <c r="S640" i="1"/>
  <c r="BR640" i="1" s="1"/>
  <c r="BW1041" i="1"/>
  <c r="BW90" i="1"/>
  <c r="S1330" i="1"/>
  <c r="BR1330" i="1" s="1"/>
  <c r="S1300" i="1"/>
  <c r="BR1300" i="1" s="1"/>
  <c r="BQ1326" i="1"/>
  <c r="BO1326" i="1" s="1"/>
  <c r="BQ699" i="1"/>
  <c r="BO699" i="1" s="1"/>
  <c r="BW761" i="1"/>
  <c r="BQ765" i="1"/>
  <c r="BO765" i="1" s="1"/>
  <c r="BW954" i="1"/>
  <c r="S961" i="1"/>
  <c r="BR961" i="1" s="1"/>
  <c r="BQ461" i="1"/>
  <c r="BT461" i="1" s="1"/>
  <c r="BW133" i="1"/>
  <c r="BW916" i="1"/>
  <c r="S927" i="1"/>
  <c r="BR927" i="1" s="1"/>
  <c r="BW1474" i="1"/>
  <c r="BW370" i="1"/>
  <c r="S100" i="1"/>
  <c r="BR100" i="1" s="1"/>
  <c r="BW360" i="1"/>
  <c r="BW449" i="1"/>
  <c r="BQ306" i="1"/>
  <c r="BO306" i="1" s="1"/>
  <c r="S904" i="1"/>
  <c r="BR904" i="1" s="1"/>
  <c r="S65" i="1"/>
  <c r="BR65" i="1" s="1"/>
  <c r="BQ964" i="1"/>
  <c r="BO964" i="1" s="1"/>
  <c r="S1396" i="1"/>
  <c r="BR1396" i="1" s="1"/>
  <c r="BQ73" i="1"/>
  <c r="BT73" i="1" s="1"/>
  <c r="S179" i="1"/>
  <c r="BR179" i="1" s="1"/>
  <c r="BQ270" i="1"/>
  <c r="BO270" i="1" s="1"/>
  <c r="BQ1145" i="1"/>
  <c r="BW974" i="1"/>
  <c r="S1309" i="1"/>
  <c r="BR1309" i="1" s="1"/>
  <c r="BW542" i="1"/>
  <c r="BQ967" i="1"/>
  <c r="BT967" i="1" s="1"/>
  <c r="BW128" i="1"/>
  <c r="BW529" i="1"/>
  <c r="S700" i="1"/>
  <c r="BR700" i="1" s="1"/>
  <c r="BW932" i="1"/>
  <c r="S1475" i="1"/>
  <c r="BR1475" i="1" s="1"/>
  <c r="BQ1390" i="1"/>
  <c r="BT1390" i="1" s="1"/>
  <c r="BQ1330" i="1"/>
  <c r="BT1330" i="1" s="1"/>
  <c r="S761" i="1"/>
  <c r="BR761" i="1" s="1"/>
  <c r="BQ954" i="1"/>
  <c r="BO954" i="1" s="1"/>
  <c r="BW961" i="1"/>
  <c r="S579" i="1"/>
  <c r="BR579" i="1" s="1"/>
  <c r="BQ133" i="1"/>
  <c r="BO133" i="1" s="1"/>
  <c r="BQ1474" i="1"/>
  <c r="BO1474" i="1" s="1"/>
  <c r="S90" i="1"/>
  <c r="BR90" i="1" s="1"/>
  <c r="BQ449" i="1"/>
  <c r="BT449" i="1" s="1"/>
  <c r="BW306" i="1"/>
  <c r="BW94" i="1"/>
  <c r="S507" i="1"/>
  <c r="BR507" i="1" s="1"/>
  <c r="S163" i="1"/>
  <c r="BR163" i="1" s="1"/>
  <c r="BW840" i="1"/>
  <c r="S35" i="1"/>
  <c r="BR35" i="1" s="1"/>
  <c r="BW652" i="1"/>
  <c r="S652" i="1"/>
  <c r="BR652" i="1" s="1"/>
  <c r="S424" i="1"/>
  <c r="BR424" i="1" s="1"/>
  <c r="BW1302" i="1"/>
  <c r="BQ1144" i="1"/>
  <c r="BT1144" i="1" s="1"/>
  <c r="BQ1309" i="1"/>
  <c r="BT1309" i="1" s="1"/>
  <c r="BQ579" i="1"/>
  <c r="BO579" i="1" s="1"/>
  <c r="S737" i="1"/>
  <c r="BR737" i="1" s="1"/>
  <c r="BT616" i="1"/>
  <c r="BW321" i="1"/>
  <c r="BW515" i="1"/>
  <c r="BQ968" i="1"/>
  <c r="BO968" i="1" s="1"/>
  <c r="BT821" i="1"/>
  <c r="S252" i="1"/>
  <c r="BR252" i="1" s="1"/>
  <c r="BQ328" i="1"/>
  <c r="BT328" i="1" s="1"/>
  <c r="S94" i="1"/>
  <c r="BR94" i="1" s="1"/>
  <c r="BW279" i="1"/>
  <c r="BQ163" i="1"/>
  <c r="BO163" i="1" s="1"/>
  <c r="BQ840" i="1"/>
  <c r="BO840" i="1" s="1"/>
  <c r="BQ35" i="1"/>
  <c r="BT35" i="1" s="1"/>
  <c r="BW424" i="1"/>
  <c r="BO488" i="1"/>
  <c r="BO1055" i="1"/>
  <c r="S626" i="1"/>
  <c r="BR626" i="1" s="1"/>
  <c r="BQ1343" i="1"/>
  <c r="BO1343" i="1" s="1"/>
  <c r="BW488" i="1"/>
  <c r="BW536" i="1"/>
  <c r="BW1252" i="1"/>
  <c r="S488" i="1"/>
  <c r="BR488" i="1" s="1"/>
  <c r="S1390" i="1"/>
  <c r="BR1390" i="1" s="1"/>
  <c r="S1114" i="1"/>
  <c r="BR1114" i="1" s="1"/>
  <c r="S1243" i="1"/>
  <c r="BR1243" i="1" s="1"/>
  <c r="BQ933" i="1"/>
  <c r="BO933" i="1" s="1"/>
  <c r="BQ723" i="1"/>
  <c r="BO723" i="1" s="1"/>
  <c r="BW610" i="1"/>
  <c r="BQ414" i="1"/>
  <c r="BT414" i="1" s="1"/>
  <c r="S321" i="1"/>
  <c r="BR321" i="1" s="1"/>
  <c r="BW328" i="1"/>
  <c r="BQ1188" i="1"/>
  <c r="BT1188" i="1" s="1"/>
  <c r="BO1302" i="1"/>
  <c r="BT1302" i="1"/>
  <c r="S120" i="1"/>
  <c r="BR120" i="1" s="1"/>
  <c r="BW869" i="1"/>
  <c r="S996" i="1"/>
  <c r="BR996" i="1" s="1"/>
  <c r="BW862" i="1"/>
  <c r="BW258" i="1"/>
  <c r="BW992" i="1"/>
  <c r="BQ1418" i="1"/>
  <c r="BT1418" i="1" s="1"/>
  <c r="BW1285" i="1"/>
  <c r="S1140" i="1"/>
  <c r="BR1140" i="1" s="1"/>
  <c r="BQ992" i="1"/>
  <c r="BT992" i="1" s="1"/>
  <c r="BW790" i="1"/>
  <c r="S650" i="1"/>
  <c r="BR650" i="1" s="1"/>
  <c r="BW413" i="1"/>
  <c r="BQ120" i="1"/>
  <c r="BT120" i="1" s="1"/>
  <c r="BW511" i="1"/>
  <c r="DJ76" i="1"/>
  <c r="BQ996" i="1"/>
  <c r="BQ851" i="1"/>
  <c r="BW1233" i="1"/>
  <c r="BQ1233" i="1"/>
  <c r="S1233" i="1"/>
  <c r="BR1233" i="1" s="1"/>
  <c r="BW1418" i="1"/>
  <c r="BQ790" i="1"/>
  <c r="BO790" i="1" s="1"/>
  <c r="BW650" i="1"/>
  <c r="BW1026" i="1"/>
  <c r="S756" i="1"/>
  <c r="BR756" i="1" s="1"/>
  <c r="BQ137" i="1"/>
  <c r="BT137" i="1" s="1"/>
  <c r="S413" i="1"/>
  <c r="BR413" i="1" s="1"/>
  <c r="S157" i="1"/>
  <c r="BR157" i="1" s="1"/>
  <c r="BQ511" i="1"/>
  <c r="BO511" i="1" s="1"/>
  <c r="BQ460" i="1"/>
  <c r="BW241" i="1"/>
  <c r="BT139" i="1"/>
  <c r="BQ1063" i="1"/>
  <c r="BT1063" i="1" s="1"/>
  <c r="BQ249" i="1"/>
  <c r="S249" i="1"/>
  <c r="BR249" i="1" s="1"/>
  <c r="BW249" i="1"/>
  <c r="S210" i="1"/>
  <c r="BR210" i="1" s="1"/>
  <c r="BW210" i="1"/>
  <c r="BQ210" i="1"/>
  <c r="S1017" i="1"/>
  <c r="BR1017" i="1" s="1"/>
  <c r="BW1403" i="1"/>
  <c r="BT1478" i="1"/>
  <c r="S338" i="1"/>
  <c r="BR338" i="1" s="1"/>
  <c r="S921" i="1"/>
  <c r="BR921" i="1" s="1"/>
  <c r="BW921" i="1"/>
  <c r="BQ921" i="1"/>
  <c r="BO1340" i="1"/>
  <c r="BT1340" i="1"/>
  <c r="S366" i="1"/>
  <c r="BR366" i="1" s="1"/>
  <c r="BQ366" i="1"/>
  <c r="BQ271" i="1"/>
  <c r="S271" i="1"/>
  <c r="BR271" i="1" s="1"/>
  <c r="BW1340" i="1"/>
  <c r="BW1373" i="1"/>
  <c r="BW796" i="1"/>
  <c r="BO1428" i="1"/>
  <c r="BW440" i="1"/>
  <c r="BQ459" i="1"/>
  <c r="BO459" i="1" s="1"/>
  <c r="S285" i="1"/>
  <c r="BR285" i="1" s="1"/>
  <c r="S388" i="1"/>
  <c r="BR388" i="1" s="1"/>
  <c r="S1340" i="1"/>
  <c r="BR1340" i="1" s="1"/>
  <c r="BQ796" i="1"/>
  <c r="BO796" i="1" s="1"/>
  <c r="S440" i="1"/>
  <c r="BR440" i="1" s="1"/>
  <c r="BW388" i="1"/>
  <c r="BT31" i="1"/>
  <c r="S255" i="1"/>
  <c r="BR255" i="1" s="1"/>
  <c r="S209" i="1"/>
  <c r="BR209" i="1" s="1"/>
  <c r="BQ552" i="1"/>
  <c r="BT552" i="1" s="1"/>
  <c r="BQ344" i="1"/>
  <c r="BT344" i="1" s="1"/>
  <c r="S1419" i="1"/>
  <c r="BR1419" i="1" s="1"/>
  <c r="BQ1286" i="1"/>
  <c r="BO1286" i="1" s="1"/>
  <c r="S1232" i="1"/>
  <c r="BR1232" i="1" s="1"/>
  <c r="BQ645" i="1"/>
  <c r="BO645" i="1" s="1"/>
  <c r="BQ1127" i="1"/>
  <c r="BT1127" i="1" s="1"/>
  <c r="BQ558" i="1"/>
  <c r="BO558" i="1" s="1"/>
  <c r="BW1398" i="1"/>
  <c r="BW459" i="1"/>
  <c r="BW777" i="1"/>
  <c r="BW504" i="1"/>
  <c r="S189" i="1"/>
  <c r="BR189" i="1" s="1"/>
  <c r="BQ255" i="1"/>
  <c r="BO255" i="1" s="1"/>
  <c r="BT897" i="1"/>
  <c r="BW177" i="1"/>
  <c r="BQ331" i="1"/>
  <c r="BT331" i="1" s="1"/>
  <c r="BQ144" i="1"/>
  <c r="BT144" i="1" s="1"/>
  <c r="BW552" i="1"/>
  <c r="BT82" i="1"/>
  <c r="BQ496" i="1"/>
  <c r="BT496" i="1" s="1"/>
  <c r="BQ1253" i="1"/>
  <c r="BO1253" i="1" s="1"/>
  <c r="S1314" i="1"/>
  <c r="BR1314" i="1" s="1"/>
  <c r="BQ701" i="1"/>
  <c r="BT701" i="1" s="1"/>
  <c r="BW581" i="1"/>
  <c r="S1145" i="1"/>
  <c r="BR1145" i="1" s="1"/>
  <c r="BW1216" i="1"/>
  <c r="S1216" i="1"/>
  <c r="BR1216" i="1" s="1"/>
  <c r="BQ1216" i="1"/>
  <c r="BT285" i="1"/>
  <c r="BO285" i="1"/>
  <c r="BQ445" i="1"/>
  <c r="BT445" i="1" s="1"/>
  <c r="BQ258" i="1"/>
  <c r="BT258" i="1" s="1"/>
  <c r="BT504" i="1"/>
  <c r="BW772" i="1"/>
  <c r="BW513" i="1"/>
  <c r="BQ338" i="1"/>
  <c r="BO338" i="1" s="1"/>
  <c r="BQ19" i="1"/>
  <c r="BT19" i="1" s="1"/>
  <c r="BW876" i="1"/>
  <c r="S876" i="1"/>
  <c r="BR876" i="1" s="1"/>
  <c r="BQ876" i="1"/>
  <c r="BW285" i="1"/>
  <c r="BW151" i="1"/>
  <c r="BW446" i="1"/>
  <c r="BQ209" i="1"/>
  <c r="BT209" i="1" s="1"/>
  <c r="S446" i="1"/>
  <c r="BR446" i="1" s="1"/>
  <c r="BQ1373" i="1"/>
  <c r="BO1373" i="1" s="1"/>
  <c r="S581" i="1"/>
  <c r="BR581" i="1" s="1"/>
  <c r="BW1063" i="1"/>
  <c r="BW1286" i="1"/>
  <c r="BQ976" i="1"/>
  <c r="BT976" i="1" s="1"/>
  <c r="BQ885" i="1"/>
  <c r="BT885" i="1" s="1"/>
  <c r="BW645" i="1"/>
  <c r="BW1127" i="1"/>
  <c r="S1312" i="1"/>
  <c r="BR1312" i="1" s="1"/>
  <c r="BW510" i="1"/>
  <c r="S1325" i="1"/>
  <c r="BR1325" i="1" s="1"/>
  <c r="BQ1398" i="1"/>
  <c r="BT1398" i="1" s="1"/>
  <c r="BQ737" i="1"/>
  <c r="BT737" i="1" s="1"/>
  <c r="BQ880" i="1"/>
  <c r="BT880" i="1" s="1"/>
  <c r="BQ143" i="1"/>
  <c r="BO143" i="1" s="1"/>
  <c r="S777" i="1"/>
  <c r="BR777" i="1" s="1"/>
  <c r="S504" i="1"/>
  <c r="BR504" i="1" s="1"/>
  <c r="BQ397" i="1"/>
  <c r="BT397" i="1" s="1"/>
  <c r="S571" i="1"/>
  <c r="BR571" i="1" s="1"/>
  <c r="S177" i="1"/>
  <c r="BR177" i="1" s="1"/>
  <c r="BW331" i="1"/>
  <c r="BQ160" i="1"/>
  <c r="BO160" i="1" s="1"/>
  <c r="BW248" i="1"/>
  <c r="BQ206" i="1"/>
  <c r="BT206" i="1" s="1"/>
  <c r="S496" i="1"/>
  <c r="BR496" i="1" s="1"/>
  <c r="BQ74" i="1"/>
  <c r="BO74" i="1" s="1"/>
  <c r="BQ146" i="1"/>
  <c r="BT146" i="1" s="1"/>
  <c r="BO309" i="1"/>
  <c r="BW1253" i="1"/>
  <c r="BW1314" i="1"/>
  <c r="S701" i="1"/>
  <c r="BR701" i="1" s="1"/>
  <c r="BQ248" i="1"/>
  <c r="BT248" i="1" s="1"/>
  <c r="S1133" i="1"/>
  <c r="BR1133" i="1" s="1"/>
  <c r="BQ1391" i="1"/>
  <c r="BT1391" i="1" s="1"/>
  <c r="BW455" i="1"/>
  <c r="BQ15" i="1"/>
  <c r="BT15" i="1" s="1"/>
  <c r="S470" i="1"/>
  <c r="BR470" i="1" s="1"/>
  <c r="S976" i="1"/>
  <c r="BR976" i="1" s="1"/>
  <c r="BQ1235" i="1"/>
  <c r="BO1235" i="1" s="1"/>
  <c r="BW885" i="1"/>
  <c r="BW1312" i="1"/>
  <c r="S296" i="1"/>
  <c r="BR296" i="1" s="1"/>
  <c r="S880" i="1"/>
  <c r="BR880" i="1" s="1"/>
  <c r="BW366" i="1"/>
  <c r="BW143" i="1"/>
  <c r="BO440" i="1"/>
  <c r="BT744" i="1"/>
  <c r="BW397" i="1"/>
  <c r="BQ571" i="1"/>
  <c r="BT571" i="1" s="1"/>
  <c r="S31" i="1"/>
  <c r="BR31" i="1" s="1"/>
  <c r="BQ246" i="1"/>
  <c r="BT246" i="1" s="1"/>
  <c r="BQ466" i="1"/>
  <c r="BO466" i="1" s="1"/>
  <c r="S61" i="1"/>
  <c r="BR61" i="1" s="1"/>
  <c r="BW206" i="1"/>
  <c r="BQ274" i="1"/>
  <c r="BO274" i="1" s="1"/>
  <c r="BQ820" i="1"/>
  <c r="BT820" i="1" s="1"/>
  <c r="S1259" i="1"/>
  <c r="BR1259" i="1" s="1"/>
  <c r="S208" i="1"/>
  <c r="BR208" i="1" s="1"/>
  <c r="BW208" i="1"/>
  <c r="BQ208" i="1"/>
  <c r="BQ491" i="1"/>
  <c r="BO491" i="1" s="1"/>
  <c r="S274" i="1"/>
  <c r="BR274" i="1" s="1"/>
  <c r="BW160" i="1"/>
  <c r="BW664" i="1"/>
  <c r="BW820" i="1"/>
  <c r="BQ720" i="1"/>
  <c r="S720" i="1"/>
  <c r="BR720" i="1" s="1"/>
  <c r="BW720" i="1"/>
  <c r="BW1017" i="1"/>
  <c r="S707" i="1"/>
  <c r="BR707" i="1" s="1"/>
  <c r="BW491" i="1"/>
  <c r="BQ1403" i="1"/>
  <c r="BT1403" i="1" s="1"/>
  <c r="BQ1249" i="1"/>
  <c r="BT1249" i="1" s="1"/>
  <c r="BW214" i="1"/>
  <c r="BW1133" i="1"/>
  <c r="S772" i="1"/>
  <c r="BR772" i="1" s="1"/>
  <c r="BW1249" i="1"/>
  <c r="BQ151" i="1"/>
  <c r="BO151" i="1" s="1"/>
  <c r="BW238" i="1"/>
  <c r="BW296" i="1"/>
  <c r="BQ560" i="1"/>
  <c r="BT560" i="1" s="1"/>
  <c r="BQ664" i="1"/>
  <c r="BT664" i="1" s="1"/>
  <c r="BW1238" i="1"/>
  <c r="S1116" i="1"/>
  <c r="BR1116" i="1" s="1"/>
  <c r="BT1301" i="1"/>
  <c r="BW871" i="1"/>
  <c r="BW608" i="1"/>
  <c r="S1247" i="1"/>
  <c r="BR1247" i="1" s="1"/>
  <c r="BW167" i="1"/>
  <c r="S350" i="1"/>
  <c r="BR350" i="1" s="1"/>
  <c r="BW1305" i="1"/>
  <c r="BQ1009" i="1"/>
  <c r="BO1009" i="1" s="1"/>
  <c r="S371" i="1"/>
  <c r="BR371" i="1" s="1"/>
  <c r="BW162" i="1"/>
  <c r="S50" i="1"/>
  <c r="BR50" i="1" s="1"/>
  <c r="BQ426" i="1"/>
  <c r="BO426" i="1" s="1"/>
  <c r="BW28" i="1"/>
  <c r="BW73" i="1"/>
  <c r="S1302" i="1"/>
  <c r="BR1302" i="1" s="1"/>
  <c r="S835" i="1"/>
  <c r="BR835" i="1" s="1"/>
  <c r="BW835" i="1"/>
  <c r="BQ835" i="1"/>
  <c r="BT427" i="1"/>
  <c r="BO427" i="1"/>
  <c r="S426" i="1"/>
  <c r="BR426" i="1" s="1"/>
  <c r="S218" i="1"/>
  <c r="BR218" i="1" s="1"/>
  <c r="BQ92" i="1"/>
  <c r="BO92" i="1" s="1"/>
  <c r="BQ513" i="1"/>
  <c r="BT513" i="1" s="1"/>
  <c r="BQ470" i="1"/>
  <c r="BO470" i="1" s="1"/>
  <c r="S1235" i="1"/>
  <c r="BR1235" i="1" s="1"/>
  <c r="BW246" i="1"/>
  <c r="BQ167" i="1"/>
  <c r="BO167" i="1" s="1"/>
  <c r="S1173" i="1"/>
  <c r="BR1173" i="1" s="1"/>
  <c r="BW715" i="1"/>
  <c r="S715" i="1"/>
  <c r="BR715" i="1" s="1"/>
  <c r="BQ1305" i="1"/>
  <c r="BT1305" i="1" s="1"/>
  <c r="S1009" i="1"/>
  <c r="BR1009" i="1" s="1"/>
  <c r="BQ162" i="1"/>
  <c r="BT162" i="1" s="1"/>
  <c r="BO1133" i="1"/>
  <c r="BQ1384" i="1"/>
  <c r="BT1384" i="1" s="1"/>
  <c r="BT581" i="1"/>
  <c r="BW79" i="1"/>
  <c r="S555" i="1"/>
  <c r="BR555" i="1" s="1"/>
  <c r="S238" i="1"/>
  <c r="BR238" i="1" s="1"/>
  <c r="BT1001" i="1"/>
  <c r="S184" i="1"/>
  <c r="BR184" i="1" s="1"/>
  <c r="BW92" i="1"/>
  <c r="BT839" i="1"/>
  <c r="BT318" i="1"/>
  <c r="BO318" i="1"/>
  <c r="S363" i="1"/>
  <c r="BR363" i="1" s="1"/>
  <c r="BQ324" i="1"/>
  <c r="BO324" i="1" s="1"/>
  <c r="BQ243" i="1"/>
  <c r="BT243" i="1" s="1"/>
  <c r="S1406" i="1"/>
  <c r="BR1406" i="1" s="1"/>
  <c r="BQ1230" i="1"/>
  <c r="BO1230" i="1" s="1"/>
  <c r="BW1406" i="1"/>
  <c r="BW1173" i="1"/>
  <c r="BW1230" i="1"/>
  <c r="S1069" i="1"/>
  <c r="BR1069" i="1" s="1"/>
  <c r="BW560" i="1"/>
  <c r="S1120" i="1"/>
  <c r="BR1120" i="1" s="1"/>
  <c r="S477" i="1"/>
  <c r="BR477" i="1" s="1"/>
  <c r="BW1384" i="1"/>
  <c r="BQ566" i="1"/>
  <c r="BO566" i="1" s="1"/>
  <c r="S79" i="1"/>
  <c r="BR79" i="1" s="1"/>
  <c r="BQ526" i="1"/>
  <c r="BT526" i="1" s="1"/>
  <c r="BW555" i="1"/>
  <c r="BW15" i="1"/>
  <c r="BQ184" i="1"/>
  <c r="BT184" i="1" s="1"/>
  <c r="BQ322" i="1"/>
  <c r="BO322" i="1" s="1"/>
  <c r="BQ1259" i="1"/>
  <c r="BO1259" i="1" s="1"/>
  <c r="BO688" i="1"/>
  <c r="BW139" i="1"/>
  <c r="BQ455" i="1"/>
  <c r="BO455" i="1" s="1"/>
  <c r="BQ1247" i="1"/>
  <c r="BT1247" i="1" s="1"/>
  <c r="BW778" i="1"/>
  <c r="BQ371" i="1"/>
  <c r="BT371" i="1" s="1"/>
  <c r="BQ350" i="1"/>
  <c r="BT350" i="1" s="1"/>
  <c r="BW324" i="1"/>
  <c r="BQ1120" i="1"/>
  <c r="BO1120" i="1" s="1"/>
  <c r="BQ1069" i="1"/>
  <c r="BT1069" i="1" s="1"/>
  <c r="BQ477" i="1"/>
  <c r="BT477" i="1" s="1"/>
  <c r="BW740" i="1"/>
  <c r="S566" i="1"/>
  <c r="BR566" i="1" s="1"/>
  <c r="BQ280" i="1"/>
  <c r="BT280" i="1" s="1"/>
  <c r="BW562" i="1"/>
  <c r="BW526" i="1"/>
  <c r="BW31" i="1"/>
  <c r="S140" i="1"/>
  <c r="BR140" i="1" s="1"/>
  <c r="BQ869" i="1"/>
  <c r="BT869" i="1" s="1"/>
  <c r="BQ539" i="1"/>
  <c r="BW539" i="1"/>
  <c r="S539" i="1"/>
  <c r="BR539" i="1" s="1"/>
  <c r="BW403" i="1"/>
  <c r="BQ403" i="1"/>
  <c r="S403" i="1"/>
  <c r="BR403" i="1" s="1"/>
  <c r="BQ795" i="1"/>
  <c r="S795" i="1"/>
  <c r="BR795" i="1" s="1"/>
  <c r="BW280" i="1"/>
  <c r="BQ140" i="1"/>
  <c r="BT140" i="1" s="1"/>
  <c r="BQ862" i="1"/>
  <c r="S19" i="1"/>
  <c r="BR19" i="1" s="1"/>
  <c r="BW688" i="1"/>
  <c r="S688" i="1"/>
  <c r="BR688" i="1" s="1"/>
  <c r="BT296" i="1"/>
  <c r="BO296" i="1"/>
  <c r="BW1329" i="1"/>
  <c r="BW105" i="1"/>
  <c r="S690" i="1"/>
  <c r="BR690" i="1" s="1"/>
  <c r="BO136" i="1"/>
  <c r="BQ213" i="1"/>
  <c r="BO213" i="1" s="1"/>
  <c r="BO441" i="1"/>
  <c r="S352" i="1"/>
  <c r="BR352" i="1" s="1"/>
  <c r="BQ352" i="1"/>
  <c r="S390" i="1"/>
  <c r="BR390" i="1" s="1"/>
  <c r="BW390" i="1"/>
  <c r="BQ390" i="1"/>
  <c r="BQ1458" i="1"/>
  <c r="S1458" i="1"/>
  <c r="BR1458" i="1" s="1"/>
  <c r="BO376" i="1"/>
  <c r="BT376" i="1"/>
  <c r="S190" i="1"/>
  <c r="BR190" i="1" s="1"/>
  <c r="BW190" i="1"/>
  <c r="BQ190" i="1"/>
  <c r="BW1258" i="1"/>
  <c r="BQ1294" i="1"/>
  <c r="BO1294" i="1" s="1"/>
  <c r="S105" i="1"/>
  <c r="BR105" i="1" s="1"/>
  <c r="BW969" i="1"/>
  <c r="BW45" i="1"/>
  <c r="BW673" i="1"/>
  <c r="BQ17" i="1"/>
  <c r="BO17" i="1" s="1"/>
  <c r="BW136" i="1"/>
  <c r="S332" i="1"/>
  <c r="BR332" i="1" s="1"/>
  <c r="BQ332" i="1"/>
  <c r="BW332" i="1"/>
  <c r="S1329" i="1"/>
  <c r="BR1329" i="1" s="1"/>
  <c r="S1258" i="1"/>
  <c r="BR1258" i="1" s="1"/>
  <c r="BQ45" i="1"/>
  <c r="BT45" i="1" s="1"/>
  <c r="S673" i="1"/>
  <c r="BR673" i="1" s="1"/>
  <c r="S136" i="1"/>
  <c r="BR136" i="1" s="1"/>
  <c r="S307" i="1"/>
  <c r="BR307" i="1" s="1"/>
  <c r="BW307" i="1"/>
  <c r="BQ307" i="1"/>
  <c r="BW752" i="1"/>
  <c r="BQ752" i="1"/>
  <c r="S752" i="1"/>
  <c r="BR752" i="1" s="1"/>
  <c r="S712" i="1"/>
  <c r="BR712" i="1" s="1"/>
  <c r="BQ712" i="1"/>
  <c r="BW712" i="1"/>
  <c r="S384" i="1"/>
  <c r="BR384" i="1" s="1"/>
  <c r="BQ384" i="1"/>
  <c r="BW960" i="1"/>
  <c r="S960" i="1"/>
  <c r="BR960" i="1" s="1"/>
  <c r="BQ960" i="1"/>
  <c r="S558" i="1"/>
  <c r="BR558" i="1" s="1"/>
  <c r="S156" i="1"/>
  <c r="BR156" i="1" s="1"/>
  <c r="BQ156" i="1"/>
  <c r="BW950" i="1"/>
  <c r="BQ950" i="1"/>
  <c r="BT430" i="1"/>
  <c r="BO430" i="1"/>
  <c r="S1222" i="1"/>
  <c r="BR1222" i="1" s="1"/>
  <c r="S1112" i="1"/>
  <c r="BR1112" i="1" s="1"/>
  <c r="S269" i="1"/>
  <c r="BR269" i="1" s="1"/>
  <c r="S514" i="1"/>
  <c r="BR514" i="1" s="1"/>
  <c r="BW205" i="1"/>
  <c r="BW339" i="1"/>
  <c r="S169" i="1"/>
  <c r="BR169" i="1" s="1"/>
  <c r="BT161" i="1"/>
  <c r="BQ730" i="1"/>
  <c r="BT730" i="1" s="1"/>
  <c r="BW785" i="1"/>
  <c r="BW273" i="1"/>
  <c r="BW48" i="1"/>
  <c r="BQ487" i="1"/>
  <c r="BO487" i="1" s="1"/>
  <c r="S64" i="1"/>
  <c r="BR64" i="1" s="1"/>
  <c r="BW1193" i="1"/>
  <c r="S1193" i="1"/>
  <c r="BR1193" i="1" s="1"/>
  <c r="BQ1193" i="1"/>
  <c r="BO853" i="1"/>
  <c r="BT853" i="1"/>
  <c r="BW1213" i="1"/>
  <c r="BQ1213" i="1"/>
  <c r="S1213" i="1"/>
  <c r="BR1213" i="1" s="1"/>
  <c r="BW1032" i="1"/>
  <c r="S1032" i="1"/>
  <c r="BR1032" i="1" s="1"/>
  <c r="BQ1032" i="1"/>
  <c r="BQ276" i="1"/>
  <c r="S276" i="1"/>
  <c r="BR276" i="1" s="1"/>
  <c r="BW276" i="1"/>
  <c r="S110" i="1"/>
  <c r="BR110" i="1" s="1"/>
  <c r="BW110" i="1"/>
  <c r="BQ110" i="1"/>
  <c r="S1226" i="1"/>
  <c r="BR1226" i="1" s="1"/>
  <c r="BW1226" i="1"/>
  <c r="BQ1226" i="1"/>
  <c r="BQ995" i="1"/>
  <c r="S995" i="1"/>
  <c r="BR995" i="1" s="1"/>
  <c r="BW995" i="1"/>
  <c r="S646" i="1"/>
  <c r="BR646" i="1" s="1"/>
  <c r="BQ646" i="1"/>
  <c r="BQ368" i="1"/>
  <c r="BW368" i="1"/>
  <c r="S368" i="1"/>
  <c r="BR368" i="1" s="1"/>
  <c r="BT1071" i="1"/>
  <c r="BO1071" i="1"/>
  <c r="BW749" i="1"/>
  <c r="BQ377" i="1"/>
  <c r="BO377" i="1" s="1"/>
  <c r="S344" i="1"/>
  <c r="BR344" i="1" s="1"/>
  <c r="BQ1380" i="1"/>
  <c r="BW1380" i="1"/>
  <c r="BQ141" i="1"/>
  <c r="S141" i="1"/>
  <c r="BR141" i="1" s="1"/>
  <c r="S749" i="1"/>
  <c r="BR749" i="1" s="1"/>
  <c r="BW931" i="1"/>
  <c r="BQ931" i="1"/>
  <c r="S931" i="1"/>
  <c r="BR931" i="1" s="1"/>
  <c r="BQ822" i="1"/>
  <c r="BW822" i="1"/>
  <c r="S822" i="1"/>
  <c r="BR822" i="1" s="1"/>
  <c r="BQ50" i="1"/>
  <c r="BT50" i="1" s="1"/>
  <c r="BQ269" i="1"/>
  <c r="BO269" i="1" s="1"/>
  <c r="BW514" i="1"/>
  <c r="BO536" i="1"/>
  <c r="BT536" i="1"/>
  <c r="S1357" i="1"/>
  <c r="BR1357" i="1" s="1"/>
  <c r="BW1357" i="1"/>
  <c r="BQ1357" i="1"/>
  <c r="S339" i="1"/>
  <c r="BR339" i="1" s="1"/>
  <c r="BT657" i="1"/>
  <c r="BW1381" i="1"/>
  <c r="BQ1381" i="1"/>
  <c r="S1381" i="1"/>
  <c r="BR1381" i="1" s="1"/>
  <c r="BT55" i="1"/>
  <c r="BO55" i="1"/>
  <c r="S430" i="1"/>
  <c r="BR430" i="1" s="1"/>
  <c r="BO544" i="1"/>
  <c r="BW86" i="1"/>
  <c r="S132" i="1"/>
  <c r="BR132" i="1" s="1"/>
  <c r="BW363" i="1"/>
  <c r="S1057" i="1"/>
  <c r="BR1057" i="1" s="1"/>
  <c r="BW382" i="1"/>
  <c r="S382" i="1"/>
  <c r="BR382" i="1" s="1"/>
  <c r="BQ218" i="1"/>
  <c r="BO218" i="1" s="1"/>
  <c r="BT483" i="1"/>
  <c r="BO483" i="1"/>
  <c r="BW303" i="1"/>
  <c r="BQ303" i="1"/>
  <c r="BW1103" i="1"/>
  <c r="S1103" i="1"/>
  <c r="BR1103" i="1" s="1"/>
  <c r="BQ1103" i="1"/>
  <c r="BO815" i="1"/>
  <c r="BT815" i="1"/>
  <c r="S164" i="1"/>
  <c r="BR164" i="1" s="1"/>
  <c r="BQ164" i="1"/>
  <c r="BW284" i="1"/>
  <c r="BW169" i="1"/>
  <c r="S260" i="1"/>
  <c r="BR260" i="1" s="1"/>
  <c r="BQ260" i="1"/>
  <c r="BW260" i="1"/>
  <c r="BW173" i="1"/>
  <c r="BT1430" i="1"/>
  <c r="BO1430" i="1"/>
  <c r="S1102" i="1"/>
  <c r="BR1102" i="1" s="1"/>
  <c r="BQ1102" i="1"/>
  <c r="BW1102" i="1"/>
  <c r="BQ86" i="1"/>
  <c r="BO86" i="1" s="1"/>
  <c r="S785" i="1"/>
  <c r="BR785" i="1" s="1"/>
  <c r="BW964" i="1"/>
  <c r="BQ48" i="1"/>
  <c r="BO48" i="1" s="1"/>
  <c r="BW64" i="1"/>
  <c r="BW1148" i="1"/>
  <c r="S1148" i="1"/>
  <c r="BR1148" i="1" s="1"/>
  <c r="BQ1148" i="1"/>
  <c r="BW1066" i="1"/>
  <c r="S1066" i="1"/>
  <c r="BR1066" i="1" s="1"/>
  <c r="BQ1066" i="1"/>
  <c r="S1380" i="1"/>
  <c r="BR1380" i="1" s="1"/>
  <c r="BQ1281" i="1"/>
  <c r="BO1281" i="1" s="1"/>
  <c r="S877" i="1"/>
  <c r="BR877" i="1" s="1"/>
  <c r="BW1030" i="1"/>
  <c r="BW637" i="1"/>
  <c r="BQ1414" i="1"/>
  <c r="BT1414" i="1" s="1"/>
  <c r="BQ1392" i="1"/>
  <c r="BT1392" i="1" s="1"/>
  <c r="BQ1096" i="1"/>
  <c r="BT1096" i="1" s="1"/>
  <c r="S1030" i="1"/>
  <c r="BR1030" i="1" s="1"/>
  <c r="BW243" i="1"/>
  <c r="S676" i="1"/>
  <c r="BR676" i="1" s="1"/>
  <c r="BQ317" i="1"/>
  <c r="BO317" i="1" s="1"/>
  <c r="S1051" i="1"/>
  <c r="BR1051" i="1" s="1"/>
  <c r="BQ1051" i="1"/>
  <c r="BW1051" i="1"/>
  <c r="BW984" i="1"/>
  <c r="BQ984" i="1"/>
  <c r="S984" i="1"/>
  <c r="BR984" i="1" s="1"/>
  <c r="BQ1445" i="1"/>
  <c r="S1445" i="1"/>
  <c r="BR1445" i="1" s="1"/>
  <c r="BW1445" i="1"/>
  <c r="S550" i="1"/>
  <c r="BR550" i="1" s="1"/>
  <c r="BQ550" i="1"/>
  <c r="BW550" i="1"/>
  <c r="BW266" i="1"/>
  <c r="S266" i="1"/>
  <c r="BR266" i="1" s="1"/>
  <c r="BQ266" i="1"/>
  <c r="S265" i="1"/>
  <c r="BR265" i="1" s="1"/>
  <c r="BW265" i="1"/>
  <c r="BQ265" i="1"/>
  <c r="BW219" i="1"/>
  <c r="BQ219" i="1"/>
  <c r="BQ417" i="1"/>
  <c r="S417" i="1"/>
  <c r="BR417" i="1" s="1"/>
  <c r="S1293" i="1"/>
  <c r="BR1293" i="1" s="1"/>
  <c r="BQ1293" i="1"/>
  <c r="BW1293" i="1"/>
  <c r="BW823" i="1"/>
  <c r="S823" i="1"/>
  <c r="BR823" i="1" s="1"/>
  <c r="BQ823" i="1"/>
  <c r="S106" i="1"/>
  <c r="BR106" i="1" s="1"/>
  <c r="BQ106" i="1"/>
  <c r="BW106" i="1"/>
  <c r="BW1067" i="1"/>
  <c r="BQ1067" i="1"/>
  <c r="S1067" i="1"/>
  <c r="BR1067" i="1" s="1"/>
  <c r="BQ824" i="1"/>
  <c r="BT824" i="1" s="1"/>
  <c r="BT98" i="1"/>
  <c r="BO98" i="1"/>
  <c r="BQ173" i="1"/>
  <c r="BO173" i="1" s="1"/>
  <c r="BW1414" i="1"/>
  <c r="S659" i="1"/>
  <c r="BR659" i="1" s="1"/>
  <c r="S994" i="1"/>
  <c r="BR994" i="1" s="1"/>
  <c r="BQ994" i="1"/>
  <c r="BW994" i="1"/>
  <c r="S1218" i="1"/>
  <c r="BR1218" i="1" s="1"/>
  <c r="BQ1218" i="1"/>
  <c r="BW1218" i="1"/>
  <c r="BT111" i="1"/>
  <c r="BO111" i="1"/>
  <c r="BW1392" i="1"/>
  <c r="S1071" i="1"/>
  <c r="BR1071" i="1" s="1"/>
  <c r="BQ1303" i="1"/>
  <c r="BO1303" i="1" s="1"/>
  <c r="BQ121" i="1"/>
  <c r="BT121" i="1" s="1"/>
  <c r="S499" i="1"/>
  <c r="BR499" i="1" s="1"/>
  <c r="BW659" i="1"/>
  <c r="BW156" i="1"/>
  <c r="BQ23" i="1"/>
  <c r="BO23" i="1" s="1"/>
  <c r="BW161" i="1"/>
  <c r="BQ474" i="1"/>
  <c r="BT474" i="1" s="1"/>
  <c r="BW295" i="1"/>
  <c r="S317" i="1"/>
  <c r="BR317" i="1" s="1"/>
  <c r="S988" i="1"/>
  <c r="BR988" i="1" s="1"/>
  <c r="BW988" i="1"/>
  <c r="BQ988" i="1"/>
  <c r="S938" i="1"/>
  <c r="BR938" i="1" s="1"/>
  <c r="BQ938" i="1"/>
  <c r="BW11" i="1"/>
  <c r="BQ11" i="1"/>
  <c r="S11" i="1"/>
  <c r="BR11" i="1" s="1"/>
  <c r="BW781" i="1"/>
  <c r="BQ781" i="1"/>
  <c r="S781" i="1"/>
  <c r="BR781" i="1" s="1"/>
  <c r="BQ588" i="1"/>
  <c r="BW588" i="1"/>
  <c r="S828" i="1"/>
  <c r="BR828" i="1" s="1"/>
  <c r="BW828" i="1"/>
  <c r="BQ828" i="1"/>
  <c r="BT94" i="1"/>
  <c r="BO94" i="1"/>
  <c r="BO1455" i="1"/>
  <c r="BW663" i="1"/>
  <c r="S663" i="1"/>
  <c r="BR663" i="1" s="1"/>
  <c r="BQ663" i="1"/>
  <c r="BQ498" i="1"/>
  <c r="BW498" i="1"/>
  <c r="S498" i="1"/>
  <c r="BR498" i="1" s="1"/>
  <c r="BQ499" i="1"/>
  <c r="BT499" i="1" s="1"/>
  <c r="BQ295" i="1"/>
  <c r="BO295" i="1" s="1"/>
  <c r="S161" i="1"/>
  <c r="BR161" i="1" s="1"/>
  <c r="S441" i="1"/>
  <c r="BR441" i="1" s="1"/>
  <c r="BW149" i="1"/>
  <c r="AK45" i="1"/>
  <c r="S834" i="1"/>
  <c r="BR834" i="1" s="1"/>
  <c r="BW834" i="1"/>
  <c r="BQ834" i="1"/>
  <c r="BQ56" i="1"/>
  <c r="BW56" i="1"/>
  <c r="BW1389" i="1"/>
  <c r="S1389" i="1"/>
  <c r="BR1389" i="1" s="1"/>
  <c r="BQ1389" i="1"/>
  <c r="BQ22" i="1"/>
  <c r="BW22" i="1"/>
  <c r="S22" i="1"/>
  <c r="BR22" i="1" s="1"/>
  <c r="BW1071" i="1"/>
  <c r="BW818" i="1"/>
  <c r="BW441" i="1"/>
  <c r="BQ199" i="1"/>
  <c r="BT199" i="1" s="1"/>
  <c r="BW213" i="1"/>
  <c r="BW709" i="1"/>
  <c r="BQ149" i="1"/>
  <c r="BO149" i="1" s="1"/>
  <c r="DE76" i="1"/>
  <c r="S1404" i="1"/>
  <c r="BR1404" i="1" s="1"/>
  <c r="BW1404" i="1"/>
  <c r="BQ1404" i="1"/>
  <c r="BQ1494" i="1"/>
  <c r="BW1494" i="1"/>
  <c r="S1494" i="1"/>
  <c r="BR1494" i="1" s="1"/>
  <c r="BT486" i="1"/>
  <c r="BO486" i="1"/>
  <c r="BQ639" i="1"/>
  <c r="BW639" i="1"/>
  <c r="S639" i="1"/>
  <c r="BR639" i="1" s="1"/>
  <c r="BT659" i="1"/>
  <c r="BW674" i="1"/>
  <c r="S674" i="1"/>
  <c r="BR674" i="1" s="1"/>
  <c r="BQ674" i="1"/>
  <c r="BW730" i="1"/>
  <c r="AH68" i="1"/>
  <c r="AK68" i="1" s="1"/>
  <c r="BO302" i="1"/>
  <c r="BT302" i="1"/>
  <c r="BW430" i="1"/>
  <c r="S1096" i="1"/>
  <c r="BR1096" i="1" s="1"/>
  <c r="BW1303" i="1"/>
  <c r="BW1019" i="1"/>
  <c r="BW657" i="1"/>
  <c r="BW1428" i="1"/>
  <c r="S1122" i="1"/>
  <c r="BR1122" i="1" s="1"/>
  <c r="BT1117" i="1"/>
  <c r="S139" i="1"/>
  <c r="BR139" i="1" s="1"/>
  <c r="BQ818" i="1"/>
  <c r="BT818" i="1" s="1"/>
  <c r="BW17" i="1"/>
  <c r="BW748" i="1"/>
  <c r="BW199" i="1"/>
  <c r="S902" i="1"/>
  <c r="BR902" i="1" s="1"/>
  <c r="BQ709" i="1"/>
  <c r="BT709" i="1" s="1"/>
  <c r="BW224" i="1"/>
  <c r="BW643" i="1"/>
  <c r="AH42" i="1"/>
  <c r="DB87" i="1" s="1"/>
  <c r="S860" i="1"/>
  <c r="BR860" i="1" s="1"/>
  <c r="BQ860" i="1"/>
  <c r="BW860" i="1"/>
  <c r="BQ386" i="1"/>
  <c r="S386" i="1"/>
  <c r="BR386" i="1" s="1"/>
  <c r="BO1462" i="1"/>
  <c r="BT1462" i="1"/>
  <c r="BQ1130" i="1"/>
  <c r="S1130" i="1"/>
  <c r="BR1130" i="1" s="1"/>
  <c r="BW1222" i="1"/>
  <c r="BT1064" i="1"/>
  <c r="BQ108" i="1"/>
  <c r="S108" i="1"/>
  <c r="BR108" i="1" s="1"/>
  <c r="BW108" i="1"/>
  <c r="BW630" i="1"/>
  <c r="S630" i="1"/>
  <c r="BR630" i="1" s="1"/>
  <c r="BQ630" i="1"/>
  <c r="S950" i="1"/>
  <c r="BR950" i="1" s="1"/>
  <c r="S121" i="1"/>
  <c r="BR121" i="1" s="1"/>
  <c r="BT1406" i="1"/>
  <c r="BO524" i="1"/>
  <c r="S657" i="1"/>
  <c r="BR657" i="1" s="1"/>
  <c r="BQ1387" i="1"/>
  <c r="BT1387" i="1" s="1"/>
  <c r="S1342" i="1"/>
  <c r="BR1342" i="1" s="1"/>
  <c r="S1428" i="1"/>
  <c r="BR1428" i="1" s="1"/>
  <c r="BQ1263" i="1"/>
  <c r="BO1263" i="1" s="1"/>
  <c r="BQ1122" i="1"/>
  <c r="BO1122" i="1" s="1"/>
  <c r="BQ1276" i="1"/>
  <c r="BO1276" i="1" s="1"/>
  <c r="BO1282" i="1"/>
  <c r="BW765" i="1"/>
  <c r="S1387" i="1"/>
  <c r="BR1387" i="1" s="1"/>
  <c r="S219" i="1"/>
  <c r="BR219" i="1" s="1"/>
  <c r="BW482" i="1"/>
  <c r="BQ203" i="1"/>
  <c r="BT203" i="1" s="1"/>
  <c r="BQ395" i="1"/>
  <c r="BT395" i="1" s="1"/>
  <c r="S748" i="1"/>
  <c r="BR748" i="1" s="1"/>
  <c r="BW82" i="1"/>
  <c r="BQ902" i="1"/>
  <c r="BT902" i="1" s="1"/>
  <c r="BQ224" i="1"/>
  <c r="BT224" i="1" s="1"/>
  <c r="BW493" i="1"/>
  <c r="S643" i="1"/>
  <c r="BR643" i="1" s="1"/>
  <c r="BO673" i="1"/>
  <c r="BW553" i="1"/>
  <c r="BQ553" i="1"/>
  <c r="BT608" i="1"/>
  <c r="BO608" i="1"/>
  <c r="BQ214" i="1"/>
  <c r="BT214" i="1" s="1"/>
  <c r="S956" i="1"/>
  <c r="BR956" i="1" s="1"/>
  <c r="BW956" i="1"/>
  <c r="BQ956" i="1"/>
  <c r="BW282" i="1"/>
  <c r="S282" i="1"/>
  <c r="BR282" i="1" s="1"/>
  <c r="BQ282" i="1"/>
  <c r="BW686" i="1"/>
  <c r="BQ686" i="1"/>
  <c r="S686" i="1"/>
  <c r="BR686" i="1" s="1"/>
  <c r="BW646" i="1"/>
  <c r="BQ284" i="1"/>
  <c r="BT284" i="1" s="1"/>
  <c r="S320" i="1"/>
  <c r="BR320" i="1" s="1"/>
  <c r="BW320" i="1"/>
  <c r="BQ320" i="1"/>
  <c r="BQ12" i="1"/>
  <c r="S12" i="1"/>
  <c r="BR12" i="1" s="1"/>
  <c r="BO321" i="1"/>
  <c r="BT321" i="1"/>
  <c r="BQ722" i="1"/>
  <c r="S722" i="1"/>
  <c r="BR722" i="1" s="1"/>
  <c r="BW722" i="1"/>
  <c r="BQ1112" i="1"/>
  <c r="BT1112" i="1" s="1"/>
  <c r="S696" i="1"/>
  <c r="BR696" i="1" s="1"/>
  <c r="BQ696" i="1"/>
  <c r="BW696" i="1"/>
  <c r="S1166" i="1"/>
  <c r="BR1166" i="1" s="1"/>
  <c r="BW1166" i="1"/>
  <c r="BQ1166" i="1"/>
  <c r="BW1167" i="1"/>
  <c r="S1167" i="1"/>
  <c r="BR1167" i="1" s="1"/>
  <c r="BQ1167" i="1"/>
  <c r="BT1163" i="1"/>
  <c r="BO1163" i="1"/>
  <c r="S240" i="1"/>
  <c r="BR240" i="1" s="1"/>
  <c r="BQ240" i="1"/>
  <c r="BQ1019" i="1"/>
  <c r="BO1019" i="1" s="1"/>
  <c r="BW1342" i="1"/>
  <c r="BQ778" i="1"/>
  <c r="BO778" i="1" s="1"/>
  <c r="BW203" i="1"/>
  <c r="BQ690" i="1"/>
  <c r="BT690" i="1" s="1"/>
  <c r="BW466" i="1"/>
  <c r="S493" i="1"/>
  <c r="BR493" i="1" s="1"/>
  <c r="S9" i="1"/>
  <c r="BR9" i="1" s="1"/>
  <c r="BQ9" i="1"/>
  <c r="BW9" i="1"/>
  <c r="BW754" i="1"/>
  <c r="S754" i="1"/>
  <c r="BR754" i="1" s="1"/>
  <c r="BQ754" i="1"/>
  <c r="BT211" i="1"/>
  <c r="BO211" i="1"/>
  <c r="BW750" i="1"/>
  <c r="BQ750" i="1"/>
  <c r="S750" i="1"/>
  <c r="BR750" i="1" s="1"/>
  <c r="BO1258" i="1"/>
  <c r="BT1258" i="1"/>
  <c r="BW1290" i="1"/>
  <c r="S1290" i="1"/>
  <c r="BR1290" i="1" s="1"/>
  <c r="S377" i="1"/>
  <c r="BR377" i="1" s="1"/>
  <c r="BW824" i="1"/>
  <c r="BQ348" i="1"/>
  <c r="BW348" i="1"/>
  <c r="S348" i="1"/>
  <c r="BR348" i="1" s="1"/>
  <c r="BQ273" i="1"/>
  <c r="BO273" i="1" s="1"/>
  <c r="BQ631" i="1"/>
  <c r="BW631" i="1"/>
  <c r="S631" i="1"/>
  <c r="BR631" i="1" s="1"/>
  <c r="BQ205" i="1"/>
  <c r="BO205" i="1" s="1"/>
  <c r="BW1263" i="1"/>
  <c r="BW1130" i="1"/>
  <c r="BW1276" i="1"/>
  <c r="BQ705" i="1"/>
  <c r="BT705" i="1" s="1"/>
  <c r="BQ647" i="1"/>
  <c r="BT647" i="1" s="1"/>
  <c r="S482" i="1"/>
  <c r="BR482" i="1" s="1"/>
  <c r="BQ743" i="1"/>
  <c r="BO743" i="1" s="1"/>
  <c r="BO1183" i="1"/>
  <c r="S892" i="1"/>
  <c r="BR892" i="1" s="1"/>
  <c r="S1430" i="1"/>
  <c r="BR1430" i="1" s="1"/>
  <c r="S705" i="1"/>
  <c r="BR705" i="1" s="1"/>
  <c r="BW647" i="1"/>
  <c r="BW743" i="1"/>
  <c r="BQ892" i="1"/>
  <c r="BT892" i="1" s="1"/>
  <c r="BQ1195" i="1"/>
  <c r="BW1195" i="1"/>
  <c r="S1195" i="1"/>
  <c r="BR1195" i="1" s="1"/>
  <c r="S769" i="1"/>
  <c r="BR769" i="1" s="1"/>
  <c r="BQ769" i="1"/>
  <c r="BO407" i="1"/>
  <c r="BT407" i="1"/>
  <c r="CX99" i="1"/>
  <c r="CX97" i="1"/>
  <c r="CX98" i="1"/>
  <c r="CX96" i="1"/>
  <c r="DC18" i="1"/>
  <c r="CZ54" i="1" s="1"/>
  <c r="CX111" i="1"/>
  <c r="CX110" i="1"/>
  <c r="CX113" i="1" s="1"/>
  <c r="BO1243" i="1"/>
  <c r="BT1243" i="1"/>
  <c r="BW134" i="1"/>
  <c r="BQ134" i="1"/>
  <c r="S134" i="1"/>
  <c r="BR134" i="1" s="1"/>
  <c r="BW1405" i="1"/>
  <c r="BQ1405" i="1"/>
  <c r="S1405" i="1"/>
  <c r="BR1405" i="1" s="1"/>
  <c r="BW911" i="1"/>
  <c r="BQ911" i="1"/>
  <c r="S911" i="1"/>
  <c r="BR911" i="1" s="1"/>
  <c r="BW1039" i="1"/>
  <c r="BQ1039" i="1"/>
  <c r="S1039" i="1"/>
  <c r="BR1039" i="1" s="1"/>
  <c r="BW798" i="1"/>
  <c r="BQ798" i="1"/>
  <c r="S798" i="1"/>
  <c r="BR798" i="1" s="1"/>
  <c r="BO1180" i="1"/>
  <c r="BT1180" i="1"/>
  <c r="S402" i="1"/>
  <c r="BR402" i="1" s="1"/>
  <c r="BQ402" i="1"/>
  <c r="BW402" i="1"/>
  <c r="S1021" i="1"/>
  <c r="BR1021" i="1" s="1"/>
  <c r="BQ1021" i="1"/>
  <c r="BW1021" i="1"/>
  <c r="BQ1308" i="1"/>
  <c r="BW1308" i="1"/>
  <c r="S1308" i="1"/>
  <c r="BR1308" i="1" s="1"/>
  <c r="BW617" i="1"/>
  <c r="BQ617" i="1"/>
  <c r="S617" i="1"/>
  <c r="BR617" i="1" s="1"/>
  <c r="S374" i="1"/>
  <c r="BR374" i="1" s="1"/>
  <c r="BQ374" i="1"/>
  <c r="BW374" i="1"/>
  <c r="BT766" i="1"/>
  <c r="BO766" i="1"/>
  <c r="BO80" i="1"/>
  <c r="BT80" i="1"/>
  <c r="BW1234" i="1"/>
  <c r="BQ1234" i="1"/>
  <c r="S1234" i="1"/>
  <c r="BR1234" i="1" s="1"/>
  <c r="BW1292" i="1"/>
  <c r="S1292" i="1"/>
  <c r="BR1292" i="1" s="1"/>
  <c r="BQ1292" i="1"/>
  <c r="S759" i="1"/>
  <c r="BR759" i="1" s="1"/>
  <c r="BQ759" i="1"/>
  <c r="BW759" i="1"/>
  <c r="S735" i="1"/>
  <c r="BR735" i="1" s="1"/>
  <c r="BQ735" i="1"/>
  <c r="BW735" i="1"/>
  <c r="S323" i="1"/>
  <c r="BR323" i="1" s="1"/>
  <c r="BW323" i="1"/>
  <c r="BQ323" i="1"/>
  <c r="BO514" i="1"/>
  <c r="BT514" i="1"/>
  <c r="BO367" i="1"/>
  <c r="BT367" i="1"/>
  <c r="BQ1250" i="1"/>
  <c r="S1250" i="1"/>
  <c r="BR1250" i="1" s="1"/>
  <c r="BW1250" i="1"/>
  <c r="BW771" i="1"/>
  <c r="BQ771" i="1"/>
  <c r="S771" i="1"/>
  <c r="BR771" i="1" s="1"/>
  <c r="S253" i="1"/>
  <c r="BR253" i="1" s="1"/>
  <c r="BW253" i="1"/>
  <c r="BQ253" i="1"/>
  <c r="S997" i="1"/>
  <c r="BR997" i="1" s="1"/>
  <c r="BW997" i="1"/>
  <c r="BQ997" i="1"/>
  <c r="BW215" i="1"/>
  <c r="BQ215" i="1"/>
  <c r="S215" i="1"/>
  <c r="BR215" i="1" s="1"/>
  <c r="BQ522" i="1"/>
  <c r="S522" i="1"/>
  <c r="BR522" i="1" s="1"/>
  <c r="BW522" i="1"/>
  <c r="BO861" i="1"/>
  <c r="BT861" i="1"/>
  <c r="BT1369" i="1"/>
  <c r="BW1048" i="1"/>
  <c r="BQ1048" i="1"/>
  <c r="S1048" i="1"/>
  <c r="BR1048" i="1" s="1"/>
  <c r="S924" i="1"/>
  <c r="BR924" i="1" s="1"/>
  <c r="BW924" i="1"/>
  <c r="BQ924" i="1"/>
  <c r="BQ687" i="1"/>
  <c r="BW687" i="1"/>
  <c r="S687" i="1"/>
  <c r="BR687" i="1" s="1"/>
  <c r="BO1496" i="1"/>
  <c r="BT1496" i="1"/>
  <c r="BW39" i="1"/>
  <c r="BQ39" i="1"/>
  <c r="S39" i="1"/>
  <c r="BR39" i="1" s="1"/>
  <c r="BQ1489" i="1"/>
  <c r="S1489" i="1"/>
  <c r="BR1489" i="1" s="1"/>
  <c r="BW1489" i="1"/>
  <c r="S1485" i="1"/>
  <c r="BR1485" i="1" s="1"/>
  <c r="BW1485" i="1"/>
  <c r="BQ1485" i="1"/>
  <c r="BQ1429" i="1"/>
  <c r="S1429" i="1"/>
  <c r="BR1429" i="1" s="1"/>
  <c r="BW1429" i="1"/>
  <c r="S679" i="1"/>
  <c r="BR679" i="1" s="1"/>
  <c r="BW679" i="1"/>
  <c r="BQ679" i="1"/>
  <c r="BQ1465" i="1"/>
  <c r="S1465" i="1"/>
  <c r="BR1465" i="1" s="1"/>
  <c r="BW1465" i="1"/>
  <c r="S689" i="1"/>
  <c r="BR689" i="1" s="1"/>
  <c r="BW689" i="1"/>
  <c r="BQ689" i="1"/>
  <c r="S1029" i="1"/>
  <c r="BR1029" i="1" s="1"/>
  <c r="BW1029" i="1"/>
  <c r="BQ1029" i="1"/>
  <c r="BW635" i="1"/>
  <c r="BQ635" i="1"/>
  <c r="S635" i="1"/>
  <c r="BR635" i="1" s="1"/>
  <c r="BW37" i="1"/>
  <c r="BQ37" i="1"/>
  <c r="S37" i="1"/>
  <c r="BR37" i="1" s="1"/>
  <c r="BW747" i="1"/>
  <c r="S747" i="1"/>
  <c r="BR747" i="1" s="1"/>
  <c r="BQ747" i="1"/>
  <c r="BO1360" i="1"/>
  <c r="BT1360" i="1"/>
  <c r="BW1499" i="1"/>
  <c r="S1499" i="1"/>
  <c r="BR1499" i="1" s="1"/>
  <c r="BQ1499" i="1"/>
  <c r="BW1363" i="1"/>
  <c r="S1363" i="1"/>
  <c r="BR1363" i="1" s="1"/>
  <c r="BQ1363" i="1"/>
  <c r="S1468" i="1"/>
  <c r="BR1468" i="1" s="1"/>
  <c r="BW1468" i="1"/>
  <c r="BQ1468" i="1"/>
  <c r="BQ1484" i="1"/>
  <c r="S1484" i="1"/>
  <c r="BR1484" i="1" s="1"/>
  <c r="BW1484" i="1"/>
  <c r="BT1417" i="1"/>
  <c r="BO1417" i="1"/>
  <c r="BW1040" i="1"/>
  <c r="S1040" i="1"/>
  <c r="BR1040" i="1" s="1"/>
  <c r="BQ1040" i="1"/>
  <c r="BQ1198" i="1"/>
  <c r="S1198" i="1"/>
  <c r="BR1198" i="1" s="1"/>
  <c r="BW1198" i="1"/>
  <c r="S1244" i="1"/>
  <c r="BR1244" i="1" s="1"/>
  <c r="BW1244" i="1"/>
  <c r="BQ1244" i="1"/>
  <c r="S629" i="1"/>
  <c r="BR629" i="1" s="1"/>
  <c r="BQ629" i="1"/>
  <c r="BW629" i="1"/>
  <c r="BW104" i="1"/>
  <c r="S104" i="1"/>
  <c r="BR104" i="1" s="1"/>
  <c r="BQ104" i="1"/>
  <c r="BQ980" i="1"/>
  <c r="S980" i="1"/>
  <c r="BR980" i="1" s="1"/>
  <c r="BW980" i="1"/>
  <c r="BQ1109" i="1"/>
  <c r="BW1109" i="1"/>
  <c r="S1109" i="1"/>
  <c r="BR1109" i="1" s="1"/>
  <c r="S355" i="1"/>
  <c r="BR355" i="1" s="1"/>
  <c r="BW355" i="1"/>
  <c r="BQ355" i="1"/>
  <c r="BW773" i="1"/>
  <c r="BQ773" i="1"/>
  <c r="S773" i="1"/>
  <c r="BR773" i="1" s="1"/>
  <c r="BW742" i="1"/>
  <c r="S742" i="1"/>
  <c r="BR742" i="1" s="1"/>
  <c r="BQ742" i="1"/>
  <c r="BW305" i="1"/>
  <c r="BQ305" i="1"/>
  <c r="S305" i="1"/>
  <c r="BR305" i="1" s="1"/>
  <c r="BT375" i="1"/>
  <c r="BO375" i="1"/>
  <c r="BO855" i="1"/>
  <c r="BT855" i="1"/>
  <c r="S614" i="1"/>
  <c r="BR614" i="1" s="1"/>
  <c r="BW614" i="1"/>
  <c r="BQ614" i="1"/>
  <c r="BT785" i="1"/>
  <c r="BO785" i="1"/>
  <c r="BW875" i="1"/>
  <c r="BQ875" i="1"/>
  <c r="S875" i="1"/>
  <c r="BR875" i="1" s="1"/>
  <c r="CX103" i="1"/>
  <c r="CX102" i="1"/>
  <c r="BO424" i="1"/>
  <c r="BT424" i="1"/>
  <c r="BQ1345" i="1"/>
  <c r="BW1345" i="1"/>
  <c r="S1345" i="1"/>
  <c r="BR1345" i="1" s="1"/>
  <c r="BQ599" i="1"/>
  <c r="BW599" i="1"/>
  <c r="S599" i="1"/>
  <c r="BR599" i="1" s="1"/>
  <c r="BW1399" i="1"/>
  <c r="S1399" i="1"/>
  <c r="BR1399" i="1" s="1"/>
  <c r="BQ1399" i="1"/>
  <c r="BW1256" i="1"/>
  <c r="BQ1256" i="1"/>
  <c r="S1256" i="1"/>
  <c r="BR1256" i="1" s="1"/>
  <c r="BQ1375" i="1"/>
  <c r="S1375" i="1"/>
  <c r="BR1375" i="1" s="1"/>
  <c r="BW1375" i="1"/>
  <c r="BT1342" i="1"/>
  <c r="BO1342" i="1"/>
  <c r="BW1382" i="1"/>
  <c r="BQ1382" i="1"/>
  <c r="S1382" i="1"/>
  <c r="BR1382" i="1" s="1"/>
  <c r="BW1179" i="1"/>
  <c r="S1179" i="1"/>
  <c r="BR1179" i="1" s="1"/>
  <c r="BQ1179" i="1"/>
  <c r="BW940" i="1"/>
  <c r="BQ940" i="1"/>
  <c r="S940" i="1"/>
  <c r="BR940" i="1" s="1"/>
  <c r="BW1307" i="1"/>
  <c r="S1307" i="1"/>
  <c r="BR1307" i="1" s="1"/>
  <c r="BQ1307" i="1"/>
  <c r="BO1313" i="1"/>
  <c r="BT1313" i="1"/>
  <c r="BQ844" i="1"/>
  <c r="BW844" i="1"/>
  <c r="S844" i="1"/>
  <c r="BR844" i="1" s="1"/>
  <c r="BW471" i="1"/>
  <c r="S471" i="1"/>
  <c r="BR471" i="1" s="1"/>
  <c r="BQ471" i="1"/>
  <c r="BW806" i="1"/>
  <c r="BQ806" i="1"/>
  <c r="S806" i="1"/>
  <c r="BR806" i="1" s="1"/>
  <c r="S609" i="1"/>
  <c r="BR609" i="1" s="1"/>
  <c r="BW609" i="1"/>
  <c r="BQ609" i="1"/>
  <c r="BW115" i="1"/>
  <c r="BQ115" i="1"/>
  <c r="S115" i="1"/>
  <c r="BR115" i="1" s="1"/>
  <c r="BO482" i="1"/>
  <c r="BT482" i="1"/>
  <c r="CX5" i="1"/>
  <c r="AK44" i="1"/>
  <c r="S301" i="1"/>
  <c r="BR301" i="1" s="1"/>
  <c r="BQ301" i="1"/>
  <c r="BW301" i="1"/>
  <c r="BQ313" i="1"/>
  <c r="BW313" i="1"/>
  <c r="S313" i="1"/>
  <c r="BR313" i="1" s="1"/>
  <c r="BQ1000" i="1"/>
  <c r="BW1000" i="1"/>
  <c r="S1000" i="1"/>
  <c r="BR1000" i="1" s="1"/>
  <c r="BW122" i="1"/>
  <c r="BQ122" i="1"/>
  <c r="S122" i="1"/>
  <c r="BR122" i="1" s="1"/>
  <c r="BT748" i="1"/>
  <c r="BO748" i="1"/>
  <c r="S71" i="1"/>
  <c r="BR71" i="1" s="1"/>
  <c r="BW71" i="1"/>
  <c r="BQ71" i="1"/>
  <c r="BO1057" i="1"/>
  <c r="BT1057" i="1"/>
  <c r="BW174" i="1"/>
  <c r="BQ174" i="1"/>
  <c r="S174" i="1"/>
  <c r="BR174" i="1" s="1"/>
  <c r="BO1396" i="1"/>
  <c r="BT1396" i="1"/>
  <c r="BT652" i="1"/>
  <c r="BO652" i="1"/>
  <c r="S598" i="1"/>
  <c r="BR598" i="1" s="1"/>
  <c r="BW598" i="1"/>
  <c r="BQ598" i="1"/>
  <c r="BQ102" i="1"/>
  <c r="S102" i="1"/>
  <c r="BR102" i="1" s="1"/>
  <c r="BW102" i="1"/>
  <c r="BW223" i="1"/>
  <c r="BQ223" i="1"/>
  <c r="S223" i="1"/>
  <c r="BR223" i="1" s="1"/>
  <c r="BW452" i="1"/>
  <c r="S452" i="1"/>
  <c r="BR452" i="1" s="1"/>
  <c r="BQ452" i="1"/>
  <c r="BT105" i="1"/>
  <c r="BO105" i="1"/>
  <c r="BO1037" i="1"/>
  <c r="BT1037" i="1"/>
  <c r="BW26" i="1"/>
  <c r="BQ26" i="1"/>
  <c r="S26" i="1"/>
  <c r="BR26" i="1" s="1"/>
  <c r="BW314" i="1"/>
  <c r="BQ314" i="1"/>
  <c r="S314" i="1"/>
  <c r="BR314" i="1" s="1"/>
  <c r="BW418" i="1"/>
  <c r="BQ418" i="1"/>
  <c r="S418" i="1"/>
  <c r="BR418" i="1" s="1"/>
  <c r="BW337" i="1"/>
  <c r="BQ337" i="1"/>
  <c r="S337" i="1"/>
  <c r="BR337" i="1" s="1"/>
  <c r="S6" i="1"/>
  <c r="BR6" i="1" s="1"/>
  <c r="BQ6" i="1"/>
  <c r="BW6" i="1"/>
  <c r="S1074" i="1"/>
  <c r="BR1074" i="1" s="1"/>
  <c r="BW1074" i="1"/>
  <c r="BQ1074" i="1"/>
  <c r="BQ531" i="1"/>
  <c r="S531" i="1"/>
  <c r="BR531" i="1" s="1"/>
  <c r="BW531" i="1"/>
  <c r="BW1181" i="1"/>
  <c r="S1181" i="1"/>
  <c r="BR1181" i="1" s="1"/>
  <c r="BQ1181" i="1"/>
  <c r="BW1379" i="1"/>
  <c r="BQ1379" i="1"/>
  <c r="S1379" i="1"/>
  <c r="BR1379" i="1" s="1"/>
  <c r="BW1132" i="1"/>
  <c r="BQ1132" i="1"/>
  <c r="S1132" i="1"/>
  <c r="BR1132" i="1" s="1"/>
  <c r="S1028" i="1"/>
  <c r="BR1028" i="1" s="1"/>
  <c r="BW1028" i="1"/>
  <c r="BQ1028" i="1"/>
  <c r="S290" i="1"/>
  <c r="BR290" i="1" s="1"/>
  <c r="BW290" i="1"/>
  <c r="BQ290" i="1"/>
  <c r="BQ1082" i="1"/>
  <c r="BW1082" i="1"/>
  <c r="S1082" i="1"/>
  <c r="BR1082" i="1" s="1"/>
  <c r="S850" i="1"/>
  <c r="BR850" i="1" s="1"/>
  <c r="BW850" i="1"/>
  <c r="BQ850" i="1"/>
  <c r="BW758" i="1"/>
  <c r="S758" i="1"/>
  <c r="BR758" i="1" s="1"/>
  <c r="BQ758" i="1"/>
  <c r="BT64" i="1"/>
  <c r="BO64" i="1"/>
  <c r="BQ1335" i="1"/>
  <c r="BW1335" i="1"/>
  <c r="S1335" i="1"/>
  <c r="BR1335" i="1" s="1"/>
  <c r="S353" i="1"/>
  <c r="BR353" i="1" s="1"/>
  <c r="BW353" i="1"/>
  <c r="BQ353" i="1"/>
  <c r="BW1355" i="1"/>
  <c r="S1355" i="1"/>
  <c r="BR1355" i="1" s="1"/>
  <c r="BQ1355" i="1"/>
  <c r="BO763" i="1"/>
  <c r="BT763" i="1"/>
  <c r="BW979" i="1"/>
  <c r="S979" i="1"/>
  <c r="BR979" i="1" s="1"/>
  <c r="BQ979" i="1"/>
  <c r="BO79" i="1"/>
  <c r="BT79" i="1"/>
  <c r="BW585" i="1"/>
  <c r="S585" i="1"/>
  <c r="BR585" i="1" s="1"/>
  <c r="BQ585" i="1"/>
  <c r="BW648" i="1"/>
  <c r="BQ648" i="1"/>
  <c r="S648" i="1"/>
  <c r="BR648" i="1" s="1"/>
  <c r="S1350" i="1"/>
  <c r="BR1350" i="1" s="1"/>
  <c r="BQ1350" i="1"/>
  <c r="BW1350" i="1"/>
  <c r="S1255" i="1"/>
  <c r="BR1255" i="1" s="1"/>
  <c r="BQ1255" i="1"/>
  <c r="BW1255" i="1"/>
  <c r="S939" i="1"/>
  <c r="BR939" i="1" s="1"/>
  <c r="BQ939" i="1"/>
  <c r="BW939" i="1"/>
  <c r="BW1338" i="1"/>
  <c r="S1338" i="1"/>
  <c r="BR1338" i="1" s="1"/>
  <c r="BQ1338" i="1"/>
  <c r="S918" i="1"/>
  <c r="BR918" i="1" s="1"/>
  <c r="BQ918" i="1"/>
  <c r="BW918" i="1"/>
  <c r="S1270" i="1"/>
  <c r="BR1270" i="1" s="1"/>
  <c r="BW1270" i="1"/>
  <c r="BQ1270" i="1"/>
  <c r="S837" i="1"/>
  <c r="BR837" i="1" s="1"/>
  <c r="BW837" i="1"/>
  <c r="BQ837" i="1"/>
  <c r="BQ644" i="1"/>
  <c r="BW644" i="1"/>
  <c r="S644" i="1"/>
  <c r="BR644" i="1" s="1"/>
  <c r="BO1475" i="1"/>
  <c r="BT1475" i="1"/>
  <c r="S1189" i="1"/>
  <c r="BR1189" i="1" s="1"/>
  <c r="BW1189" i="1"/>
  <c r="BQ1189" i="1"/>
  <c r="BW808" i="1"/>
  <c r="BQ808" i="1"/>
  <c r="S808" i="1"/>
  <c r="BR808" i="1" s="1"/>
  <c r="S884" i="1"/>
  <c r="BR884" i="1" s="1"/>
  <c r="BQ884" i="1"/>
  <c r="BW884" i="1"/>
  <c r="S1463" i="1"/>
  <c r="BR1463" i="1" s="1"/>
  <c r="BW1463" i="1"/>
  <c r="BQ1463" i="1"/>
  <c r="BW826" i="1"/>
  <c r="BQ826" i="1"/>
  <c r="S826" i="1"/>
  <c r="BR826" i="1" s="1"/>
  <c r="BW1378" i="1"/>
  <c r="S1378" i="1"/>
  <c r="BR1378" i="1" s="1"/>
  <c r="BQ1378" i="1"/>
  <c r="BW1065" i="1"/>
  <c r="S1065" i="1"/>
  <c r="BR1065" i="1" s="1"/>
  <c r="BQ1065" i="1"/>
  <c r="BT1212" i="1"/>
  <c r="BO1212" i="1"/>
  <c r="S901" i="1"/>
  <c r="BR901" i="1" s="1"/>
  <c r="BW901" i="1"/>
  <c r="BQ901" i="1"/>
  <c r="S1018" i="1"/>
  <c r="BR1018" i="1" s="1"/>
  <c r="BQ1018" i="1"/>
  <c r="BW1018" i="1"/>
  <c r="BO304" i="1"/>
  <c r="BT304" i="1"/>
  <c r="BT638" i="1"/>
  <c r="BO638" i="1"/>
  <c r="S406" i="1"/>
  <c r="BR406" i="1" s="1"/>
  <c r="BQ406" i="1"/>
  <c r="BW406" i="1"/>
  <c r="BQ1210" i="1"/>
  <c r="BW1210" i="1"/>
  <c r="S1210" i="1"/>
  <c r="BR1210" i="1" s="1"/>
  <c r="S1341" i="1"/>
  <c r="BR1341" i="1" s="1"/>
  <c r="BW1341" i="1"/>
  <c r="BQ1341" i="1"/>
  <c r="BQ1186" i="1"/>
  <c r="S1186" i="1"/>
  <c r="BR1186" i="1" s="1"/>
  <c r="BW1186" i="1"/>
  <c r="S1421" i="1"/>
  <c r="BR1421" i="1" s="1"/>
  <c r="BQ1421" i="1"/>
  <c r="BW1421" i="1"/>
  <c r="BO1329" i="1"/>
  <c r="BT1329" i="1"/>
  <c r="BQ1072" i="1"/>
  <c r="S1072" i="1"/>
  <c r="BR1072" i="1" s="1"/>
  <c r="BW1072" i="1"/>
  <c r="S845" i="1"/>
  <c r="BR845" i="1" s="1"/>
  <c r="BW845" i="1"/>
  <c r="BQ845" i="1"/>
  <c r="BO1401" i="1"/>
  <c r="BT1401" i="1"/>
  <c r="BW972" i="1"/>
  <c r="BQ972" i="1"/>
  <c r="S972" i="1"/>
  <c r="BR972" i="1" s="1"/>
  <c r="S1346" i="1"/>
  <c r="BR1346" i="1" s="1"/>
  <c r="BW1346" i="1"/>
  <c r="BQ1346" i="1"/>
  <c r="S1204" i="1"/>
  <c r="BR1204" i="1" s="1"/>
  <c r="BW1204" i="1"/>
  <c r="BQ1204" i="1"/>
  <c r="BQ791" i="1"/>
  <c r="BW791" i="1"/>
  <c r="S791" i="1"/>
  <c r="BR791" i="1" s="1"/>
  <c r="BQ874" i="1"/>
  <c r="S874" i="1"/>
  <c r="BR874" i="1" s="1"/>
  <c r="BW874" i="1"/>
  <c r="BT1312" i="1"/>
  <c r="BO1312" i="1"/>
  <c r="BT1053" i="1"/>
  <c r="BO1053" i="1"/>
  <c r="BQ1441" i="1"/>
  <c r="BW1441" i="1"/>
  <c r="S1441" i="1"/>
  <c r="BR1441" i="1" s="1"/>
  <c r="S1056" i="1"/>
  <c r="BR1056" i="1" s="1"/>
  <c r="BQ1056" i="1"/>
  <c r="BW1056" i="1"/>
  <c r="BW775" i="1"/>
  <c r="BQ775" i="1"/>
  <c r="S775" i="1"/>
  <c r="BR775" i="1" s="1"/>
  <c r="BQ1480" i="1"/>
  <c r="S1480" i="1"/>
  <c r="BR1480" i="1" s="1"/>
  <c r="BW1480" i="1"/>
  <c r="S545" i="1"/>
  <c r="BR545" i="1" s="1"/>
  <c r="BQ545" i="1"/>
  <c r="BW545" i="1"/>
  <c r="S669" i="1"/>
  <c r="BR669" i="1" s="1"/>
  <c r="BQ669" i="1"/>
  <c r="BW669" i="1"/>
  <c r="BT1454" i="1"/>
  <c r="BO1454" i="1"/>
  <c r="S329" i="1"/>
  <c r="BR329" i="1" s="1"/>
  <c r="BW329" i="1"/>
  <c r="BQ329" i="1"/>
  <c r="BO1472" i="1"/>
  <c r="BT1472" i="1"/>
  <c r="BW1495" i="1"/>
  <c r="BQ1495" i="1"/>
  <c r="S1495" i="1"/>
  <c r="BR1495" i="1" s="1"/>
  <c r="BW1459" i="1"/>
  <c r="BQ1459" i="1"/>
  <c r="S1459" i="1"/>
  <c r="BR1459" i="1" s="1"/>
  <c r="BO910" i="1"/>
  <c r="BT910" i="1"/>
  <c r="BO1030" i="1"/>
  <c r="BT1030" i="1"/>
  <c r="BQ1169" i="1"/>
  <c r="BW1169" i="1"/>
  <c r="S1169" i="1"/>
  <c r="BR1169" i="1" s="1"/>
  <c r="BW827" i="1"/>
  <c r="BQ827" i="1"/>
  <c r="S827" i="1"/>
  <c r="BR827" i="1" s="1"/>
  <c r="S275" i="1"/>
  <c r="BR275" i="1" s="1"/>
  <c r="BW275" i="1"/>
  <c r="BQ275" i="1"/>
  <c r="S257" i="1"/>
  <c r="BR257" i="1" s="1"/>
  <c r="BW257" i="1"/>
  <c r="BQ257" i="1"/>
  <c r="S559" i="1"/>
  <c r="BR559" i="1" s="1"/>
  <c r="BQ559" i="1"/>
  <c r="BW559" i="1"/>
  <c r="BW1371" i="1"/>
  <c r="S1371" i="1"/>
  <c r="BR1371" i="1" s="1"/>
  <c r="BQ1371" i="1"/>
  <c r="BQ1469" i="1"/>
  <c r="S1469" i="1"/>
  <c r="BR1469" i="1" s="1"/>
  <c r="BW1469" i="1"/>
  <c r="BT676" i="1"/>
  <c r="BO676" i="1"/>
  <c r="S753" i="1"/>
  <c r="BR753" i="1" s="1"/>
  <c r="BQ753" i="1"/>
  <c r="BW753" i="1"/>
  <c r="S1367" i="1"/>
  <c r="BR1367" i="1" s="1"/>
  <c r="BQ1367" i="1"/>
  <c r="BW1367" i="1"/>
  <c r="BW783" i="1"/>
  <c r="S783" i="1"/>
  <c r="BR783" i="1" s="1"/>
  <c r="BQ783" i="1"/>
  <c r="BO961" i="1"/>
  <c r="BT961" i="1"/>
  <c r="S268" i="1"/>
  <c r="BR268" i="1" s="1"/>
  <c r="BW268" i="1"/>
  <c r="BQ268" i="1"/>
  <c r="S1047" i="1"/>
  <c r="BR1047" i="1" s="1"/>
  <c r="BW1047" i="1"/>
  <c r="BQ1047" i="1"/>
  <c r="BT1154" i="1"/>
  <c r="BO1154" i="1"/>
  <c r="S389" i="1"/>
  <c r="BR389" i="1" s="1"/>
  <c r="BQ389" i="1"/>
  <c r="BW389" i="1"/>
  <c r="BQ1081" i="1"/>
  <c r="BW1081" i="1"/>
  <c r="S1081" i="1"/>
  <c r="BR1081" i="1" s="1"/>
  <c r="S480" i="1"/>
  <c r="BR480" i="1" s="1"/>
  <c r="BQ480" i="1"/>
  <c r="BW480" i="1"/>
  <c r="S1141" i="1"/>
  <c r="BR1141" i="1" s="1"/>
  <c r="BW1141" i="1"/>
  <c r="BQ1141" i="1"/>
  <c r="S1318" i="1"/>
  <c r="BR1318" i="1" s="1"/>
  <c r="BW1318" i="1"/>
  <c r="BQ1318" i="1"/>
  <c r="S118" i="1"/>
  <c r="BR118" i="1" s="1"/>
  <c r="BW118" i="1"/>
  <c r="BQ118" i="1"/>
  <c r="S283" i="1"/>
  <c r="BR283" i="1" s="1"/>
  <c r="BW283" i="1"/>
  <c r="BQ283" i="1"/>
  <c r="BT573" i="1"/>
  <c r="BO573" i="1"/>
  <c r="S1402" i="1"/>
  <c r="BR1402" i="1" s="1"/>
  <c r="BW1402" i="1"/>
  <c r="BQ1402" i="1"/>
  <c r="BW1483" i="1"/>
  <c r="S1483" i="1"/>
  <c r="BR1483" i="1" s="1"/>
  <c r="BQ1483" i="1"/>
  <c r="S948" i="1"/>
  <c r="BR948" i="1" s="1"/>
  <c r="BW948" i="1"/>
  <c r="BQ948" i="1"/>
  <c r="BQ1097" i="1"/>
  <c r="BW1097" i="1"/>
  <c r="S1097" i="1"/>
  <c r="BR1097" i="1" s="1"/>
  <c r="BT90" i="1"/>
  <c r="BO90" i="1"/>
  <c r="BQ905" i="1"/>
  <c r="S905" i="1"/>
  <c r="BR905" i="1" s="1"/>
  <c r="BW905" i="1"/>
  <c r="S29" i="1"/>
  <c r="BR29" i="1" s="1"/>
  <c r="BQ29" i="1"/>
  <c r="BW29" i="1"/>
  <c r="BT1290" i="1"/>
  <c r="BO1290" i="1"/>
  <c r="BW894" i="1"/>
  <c r="BQ894" i="1"/>
  <c r="S894" i="1"/>
  <c r="BR894" i="1" s="1"/>
  <c r="BT568" i="1"/>
  <c r="BO568" i="1"/>
  <c r="S1196" i="1"/>
  <c r="BR1196" i="1" s="1"/>
  <c r="BW1196" i="1"/>
  <c r="BQ1196" i="1"/>
  <c r="BW1246" i="1"/>
  <c r="BQ1246" i="1"/>
  <c r="S1246" i="1"/>
  <c r="BR1246" i="1" s="1"/>
  <c r="S691" i="1"/>
  <c r="BR691" i="1" s="1"/>
  <c r="BQ691" i="1"/>
  <c r="BW691" i="1"/>
  <c r="BQ1160" i="1"/>
  <c r="S1160" i="1"/>
  <c r="BR1160" i="1" s="1"/>
  <c r="BW1160" i="1"/>
  <c r="BW1203" i="1"/>
  <c r="BQ1203" i="1"/>
  <c r="S1203" i="1"/>
  <c r="BR1203" i="1" s="1"/>
  <c r="BQ1425" i="1"/>
  <c r="BW1425" i="1"/>
  <c r="S1425" i="1"/>
  <c r="BR1425" i="1" s="1"/>
  <c r="S993" i="1"/>
  <c r="BR993" i="1" s="1"/>
  <c r="BW993" i="1"/>
  <c r="BQ993" i="1"/>
  <c r="S882" i="1"/>
  <c r="BR882" i="1" s="1"/>
  <c r="BW882" i="1"/>
  <c r="BQ882" i="1"/>
  <c r="BO863" i="1"/>
  <c r="BT863" i="1"/>
  <c r="S1070" i="1"/>
  <c r="BR1070" i="1" s="1"/>
  <c r="BW1070" i="1"/>
  <c r="BQ1070" i="1"/>
  <c r="BW567" i="1"/>
  <c r="BQ567" i="1"/>
  <c r="S567" i="1"/>
  <c r="BR567" i="1" s="1"/>
  <c r="BQ1470" i="1"/>
  <c r="BW1470" i="1"/>
  <c r="S1470" i="1"/>
  <c r="BR1470" i="1" s="1"/>
  <c r="S1175" i="1"/>
  <c r="BR1175" i="1" s="1"/>
  <c r="BQ1175" i="1"/>
  <c r="BW1175" i="1"/>
  <c r="BW1266" i="1"/>
  <c r="BQ1266" i="1"/>
  <c r="S1266" i="1"/>
  <c r="BR1266" i="1" s="1"/>
  <c r="S1003" i="1"/>
  <c r="BR1003" i="1" s="1"/>
  <c r="BQ1003" i="1"/>
  <c r="BW1003" i="1"/>
  <c r="BW1351" i="1"/>
  <c r="BQ1351" i="1"/>
  <c r="S1351" i="1"/>
  <c r="BR1351" i="1" s="1"/>
  <c r="BO1364" i="1"/>
  <c r="BT1364" i="1"/>
  <c r="S941" i="1"/>
  <c r="BR941" i="1" s="1"/>
  <c r="BW941" i="1"/>
  <c r="BQ941" i="1"/>
  <c r="BQ788" i="1"/>
  <c r="BW788" i="1"/>
  <c r="S788" i="1"/>
  <c r="BR788" i="1" s="1"/>
  <c r="S864" i="1"/>
  <c r="BR864" i="1" s="1"/>
  <c r="BW864" i="1"/>
  <c r="BQ864" i="1"/>
  <c r="BO1315" i="1"/>
  <c r="BT1315" i="1"/>
  <c r="BO1017" i="1"/>
  <c r="BT1017" i="1"/>
  <c r="S570" i="1"/>
  <c r="BR570" i="1" s="1"/>
  <c r="BW570" i="1"/>
  <c r="BQ570" i="1"/>
  <c r="BT411" i="1"/>
  <c r="BO411" i="1"/>
  <c r="BW378" i="1"/>
  <c r="BQ378" i="1"/>
  <c r="S378" i="1"/>
  <c r="BR378" i="1" s="1"/>
  <c r="BQ85" i="1"/>
  <c r="S85" i="1"/>
  <c r="BR85" i="1" s="1"/>
  <c r="BW85" i="1"/>
  <c r="BO969" i="1"/>
  <c r="BT969" i="1"/>
  <c r="BW250" i="1"/>
  <c r="BQ250" i="1"/>
  <c r="S250" i="1"/>
  <c r="BR250" i="1" s="1"/>
  <c r="BO416" i="1"/>
  <c r="BT416" i="1"/>
  <c r="S394" i="1"/>
  <c r="BR394" i="1" s="1"/>
  <c r="BW394" i="1"/>
  <c r="BQ394" i="1"/>
  <c r="BQ1280" i="1"/>
  <c r="BW1280" i="1"/>
  <c r="S1280" i="1"/>
  <c r="BR1280" i="1" s="1"/>
  <c r="BQ1361" i="1"/>
  <c r="BW1361" i="1"/>
  <c r="S1361" i="1"/>
  <c r="BR1361" i="1" s="1"/>
  <c r="BW1177" i="1"/>
  <c r="S1177" i="1"/>
  <c r="BR1177" i="1" s="1"/>
  <c r="BQ1177" i="1"/>
  <c r="BQ603" i="1"/>
  <c r="S603" i="1"/>
  <c r="BR603" i="1" s="1"/>
  <c r="BW603" i="1"/>
  <c r="BW615" i="1"/>
  <c r="BQ615" i="1"/>
  <c r="S615" i="1"/>
  <c r="BR615" i="1" s="1"/>
  <c r="BW782" i="1"/>
  <c r="BQ782" i="1"/>
  <c r="S782" i="1"/>
  <c r="BR782" i="1" s="1"/>
  <c r="BT715" i="1"/>
  <c r="BO715" i="1"/>
  <c r="BO446" i="1"/>
  <c r="BT446" i="1"/>
  <c r="S404" i="1"/>
  <c r="BR404" i="1" s="1"/>
  <c r="BW404" i="1"/>
  <c r="BQ404" i="1"/>
  <c r="BQ281" i="1"/>
  <c r="BW281" i="1"/>
  <c r="S281" i="1"/>
  <c r="BR281" i="1" s="1"/>
  <c r="BW222" i="1"/>
  <c r="BQ222" i="1"/>
  <c r="S222" i="1"/>
  <c r="BR222" i="1" s="1"/>
  <c r="BQ636" i="1"/>
  <c r="S636" i="1"/>
  <c r="BR636" i="1" s="1"/>
  <c r="BW636" i="1"/>
  <c r="S1447" i="1"/>
  <c r="BR1447" i="1" s="1"/>
  <c r="BW1447" i="1"/>
  <c r="BQ1447" i="1"/>
  <c r="BW858" i="1"/>
  <c r="S858" i="1"/>
  <c r="BR858" i="1" s="1"/>
  <c r="BQ858" i="1"/>
  <c r="BT879" i="1"/>
  <c r="BO879" i="1"/>
  <c r="BO1060" i="1"/>
  <c r="BT1060" i="1"/>
  <c r="BT1353" i="1"/>
  <c r="BO1353" i="1"/>
  <c r="BO761" i="1"/>
  <c r="BT761" i="1"/>
  <c r="BT1466" i="1"/>
  <c r="BO1466" i="1"/>
  <c r="BO181" i="1"/>
  <c r="BT181" i="1"/>
  <c r="BW1339" i="1"/>
  <c r="BQ1339" i="1"/>
  <c r="S1339" i="1"/>
  <c r="BR1339" i="1" s="1"/>
  <c r="S923" i="1"/>
  <c r="BR923" i="1" s="1"/>
  <c r="BQ923" i="1"/>
  <c r="BW923" i="1"/>
  <c r="BW1089" i="1"/>
  <c r="S1089" i="1"/>
  <c r="BR1089" i="1" s="1"/>
  <c r="BQ1089" i="1"/>
  <c r="BQ842" i="1"/>
  <c r="S842" i="1"/>
  <c r="BR842" i="1" s="1"/>
  <c r="BW842" i="1"/>
  <c r="BO186" i="1"/>
  <c r="BT186" i="1"/>
  <c r="BO873" i="1"/>
  <c r="BT873" i="1"/>
  <c r="BW383" i="1"/>
  <c r="BQ383" i="1"/>
  <c r="S383" i="1"/>
  <c r="BR383" i="1" s="1"/>
  <c r="BO1038" i="1"/>
  <c r="BT1038" i="1"/>
  <c r="BO643" i="1"/>
  <c r="BT643" i="1"/>
  <c r="BO672" i="1"/>
  <c r="BT672" i="1"/>
  <c r="BW1275" i="1"/>
  <c r="BQ1275" i="1"/>
  <c r="S1275" i="1"/>
  <c r="BR1275" i="1" s="1"/>
  <c r="BQ1385" i="1"/>
  <c r="BW1385" i="1"/>
  <c r="S1385" i="1"/>
  <c r="BR1385" i="1" s="1"/>
  <c r="BQ978" i="1"/>
  <c r="S978" i="1"/>
  <c r="BR978" i="1" s="1"/>
  <c r="BW978" i="1"/>
  <c r="BQ1142" i="1"/>
  <c r="S1142" i="1"/>
  <c r="BR1142" i="1" s="1"/>
  <c r="BW1142" i="1"/>
  <c r="BO363" i="1"/>
  <c r="BT363" i="1"/>
  <c r="BW191" i="1"/>
  <c r="BQ191" i="1"/>
  <c r="S191" i="1"/>
  <c r="BR191" i="1" s="1"/>
  <c r="BW1488" i="1"/>
  <c r="BQ1488" i="1"/>
  <c r="S1488" i="1"/>
  <c r="BR1488" i="1" s="1"/>
  <c r="BW1278" i="1"/>
  <c r="BQ1278" i="1"/>
  <c r="S1278" i="1"/>
  <c r="BR1278" i="1" s="1"/>
  <c r="S1336" i="1"/>
  <c r="BR1336" i="1" s="1"/>
  <c r="BQ1336" i="1"/>
  <c r="BW1336" i="1"/>
  <c r="S582" i="1"/>
  <c r="BR582" i="1" s="1"/>
  <c r="BW582" i="1"/>
  <c r="BQ582" i="1"/>
  <c r="BO382" i="1"/>
  <c r="BT382" i="1"/>
  <c r="BT1416" i="1"/>
  <c r="BO1416" i="1"/>
  <c r="BW1178" i="1"/>
  <c r="BQ1178" i="1"/>
  <c r="S1178" i="1"/>
  <c r="BR1178" i="1" s="1"/>
  <c r="BW1006" i="1"/>
  <c r="BQ1006" i="1"/>
  <c r="S1006" i="1"/>
  <c r="BR1006" i="1" s="1"/>
  <c r="BT714" i="1"/>
  <c r="BO714" i="1"/>
  <c r="S1456" i="1"/>
  <c r="BR1456" i="1" s="1"/>
  <c r="BW1456" i="1"/>
  <c r="BQ1456" i="1"/>
  <c r="S729" i="1"/>
  <c r="BR729" i="1" s="1"/>
  <c r="BW729" i="1"/>
  <c r="BQ729" i="1"/>
  <c r="BT1083" i="1"/>
  <c r="BO1083" i="1"/>
  <c r="BW43" i="1"/>
  <c r="BQ43" i="1"/>
  <c r="S43" i="1"/>
  <c r="BR43" i="1" s="1"/>
  <c r="BT650" i="1"/>
  <c r="BO650" i="1"/>
  <c r="S217" i="1"/>
  <c r="BR217" i="1" s="1"/>
  <c r="BW217" i="1"/>
  <c r="BQ217" i="1"/>
  <c r="S1236" i="1"/>
  <c r="BR1236" i="1" s="1"/>
  <c r="BW1236" i="1"/>
  <c r="BQ1236" i="1"/>
  <c r="S655" i="1"/>
  <c r="BR655" i="1" s="1"/>
  <c r="BQ655" i="1"/>
  <c r="BW655" i="1"/>
  <c r="BW1366" i="1"/>
  <c r="BQ1366" i="1"/>
  <c r="S1366" i="1"/>
  <c r="BR1366" i="1" s="1"/>
  <c r="BW928" i="1"/>
  <c r="BQ928" i="1"/>
  <c r="S928" i="1"/>
  <c r="BR928" i="1" s="1"/>
  <c r="S1143" i="1"/>
  <c r="BR1143" i="1" s="1"/>
  <c r="BW1143" i="1"/>
  <c r="BQ1143" i="1"/>
  <c r="BQ521" i="1"/>
  <c r="BW521" i="1"/>
  <c r="S521" i="1"/>
  <c r="BR521" i="1" s="1"/>
  <c r="BQ1159" i="1"/>
  <c r="BW1159" i="1"/>
  <c r="S1159" i="1"/>
  <c r="BR1159" i="1" s="1"/>
  <c r="BQ888" i="1"/>
  <c r="BW888" i="1"/>
  <c r="S888" i="1"/>
  <c r="BR888" i="1" s="1"/>
  <c r="BT1229" i="1"/>
  <c r="BO1229" i="1"/>
  <c r="S361" i="1"/>
  <c r="BR361" i="1" s="1"/>
  <c r="BW361" i="1"/>
  <c r="BQ361" i="1"/>
  <c r="BT1190" i="1"/>
  <c r="BO1190" i="1"/>
  <c r="BO922" i="1"/>
  <c r="BT922" i="1"/>
  <c r="BW919" i="1"/>
  <c r="BQ919" i="1"/>
  <c r="S919" i="1"/>
  <c r="BR919" i="1" s="1"/>
  <c r="BQ780" i="1"/>
  <c r="BW780" i="1"/>
  <c r="S780" i="1"/>
  <c r="BR780" i="1" s="1"/>
  <c r="BQ25" i="1"/>
  <c r="BW25" i="1"/>
  <c r="S25" i="1"/>
  <c r="BR25" i="1" s="1"/>
  <c r="BQ1004" i="1"/>
  <c r="BW1004" i="1"/>
  <c r="S1004" i="1"/>
  <c r="BR1004" i="1" s="1"/>
  <c r="BW8" i="1"/>
  <c r="BQ8" i="1"/>
  <c r="S8" i="1"/>
  <c r="BR8" i="1" s="1"/>
  <c r="S896" i="1"/>
  <c r="BR896" i="1" s="1"/>
  <c r="BW896" i="1"/>
  <c r="BQ896" i="1"/>
  <c r="BT145" i="1"/>
  <c r="BO145" i="1"/>
  <c r="BO493" i="1"/>
  <c r="BT493" i="1"/>
  <c r="S584" i="1"/>
  <c r="BR584" i="1" s="1"/>
  <c r="BW584" i="1"/>
  <c r="BQ584" i="1"/>
  <c r="S131" i="1"/>
  <c r="BR131" i="1" s="1"/>
  <c r="BW131" i="1"/>
  <c r="BQ131" i="1"/>
  <c r="S1110" i="1"/>
  <c r="BR1110" i="1" s="1"/>
  <c r="BW1110" i="1"/>
  <c r="BQ1110" i="1"/>
  <c r="S1436" i="1"/>
  <c r="BR1436" i="1" s="1"/>
  <c r="BQ1436" i="1"/>
  <c r="BW1436" i="1"/>
  <c r="S564" i="1"/>
  <c r="BR564" i="1" s="1"/>
  <c r="BQ564" i="1"/>
  <c r="BW564" i="1"/>
  <c r="BQ870" i="1"/>
  <c r="BW870" i="1"/>
  <c r="S870" i="1"/>
  <c r="BR870" i="1" s="1"/>
  <c r="S299" i="1"/>
  <c r="BR299" i="1" s="1"/>
  <c r="BW299" i="1"/>
  <c r="BQ299" i="1"/>
  <c r="S1356" i="1"/>
  <c r="BR1356" i="1" s="1"/>
  <c r="BQ1356" i="1"/>
  <c r="BW1356" i="1"/>
  <c r="S899" i="1"/>
  <c r="BR899" i="1" s="1"/>
  <c r="BW899" i="1"/>
  <c r="BQ899" i="1"/>
  <c r="BT192" i="1"/>
  <c r="BO192" i="1"/>
  <c r="BQ1085" i="1"/>
  <c r="BW1085" i="1"/>
  <c r="S1085" i="1"/>
  <c r="BR1085" i="1" s="1"/>
  <c r="BQ619" i="1"/>
  <c r="BW619" i="1"/>
  <c r="S619" i="1"/>
  <c r="BR619" i="1" s="1"/>
  <c r="BT1295" i="1"/>
  <c r="BO1295" i="1"/>
  <c r="BO909" i="1"/>
  <c r="BT909" i="1"/>
  <c r="BQ66" i="1"/>
  <c r="BW66" i="1"/>
  <c r="S66" i="1"/>
  <c r="BR66" i="1" s="1"/>
  <c r="BQ1413" i="1"/>
  <c r="S1413" i="1"/>
  <c r="BR1413" i="1" s="1"/>
  <c r="BW1413" i="1"/>
  <c r="DA73" i="1"/>
  <c r="DE77" i="1"/>
  <c r="DJ77" i="1"/>
  <c r="DJ78" i="1"/>
  <c r="DA74" i="1"/>
  <c r="AK69" i="1"/>
  <c r="BW232" i="1"/>
  <c r="BQ232" i="1"/>
  <c r="S232" i="1"/>
  <c r="BR232" i="1" s="1"/>
  <c r="S1150" i="1"/>
  <c r="BR1150" i="1" s="1"/>
  <c r="BW1150" i="1"/>
  <c r="BQ1150" i="1"/>
  <c r="BW774" i="1"/>
  <c r="S774" i="1"/>
  <c r="BR774" i="1" s="1"/>
  <c r="BQ774" i="1"/>
  <c r="S942" i="1"/>
  <c r="BR942" i="1" s="1"/>
  <c r="BW942" i="1"/>
  <c r="BQ942" i="1"/>
  <c r="BO518" i="1"/>
  <c r="BT518" i="1"/>
  <c r="BW543" i="1"/>
  <c r="BQ543" i="1"/>
  <c r="S543" i="1"/>
  <c r="BR543" i="1" s="1"/>
  <c r="S325" i="1"/>
  <c r="BR325" i="1" s="1"/>
  <c r="BW325" i="1"/>
  <c r="BQ325" i="1"/>
  <c r="BO279" i="1"/>
  <c r="BT279" i="1"/>
  <c r="BO1173" i="1"/>
  <c r="BT1173" i="1"/>
  <c r="BW1241" i="1"/>
  <c r="BQ1241" i="1"/>
  <c r="S1241" i="1"/>
  <c r="BR1241" i="1" s="1"/>
  <c r="BQ1007" i="1"/>
  <c r="BW1007" i="1"/>
  <c r="S1007" i="1"/>
  <c r="BR1007" i="1" s="1"/>
  <c r="BQ345" i="1"/>
  <c r="BW345" i="1"/>
  <c r="S345" i="1"/>
  <c r="BR345" i="1" s="1"/>
  <c r="BQ429" i="1"/>
  <c r="BW429" i="1"/>
  <c r="S429" i="1"/>
  <c r="BR429" i="1" s="1"/>
  <c r="BT252" i="1"/>
  <c r="BO252" i="1"/>
  <c r="S1422" i="1"/>
  <c r="BR1422" i="1" s="1"/>
  <c r="BQ1422" i="1"/>
  <c r="BW1422" i="1"/>
  <c r="BW843" i="1"/>
  <c r="BQ843" i="1"/>
  <c r="S843" i="1"/>
  <c r="BR843" i="1" s="1"/>
  <c r="BW597" i="1"/>
  <c r="S597" i="1"/>
  <c r="BR597" i="1" s="1"/>
  <c r="BQ597" i="1"/>
  <c r="BW946" i="1"/>
  <c r="S946" i="1"/>
  <c r="BR946" i="1" s="1"/>
  <c r="BQ946" i="1"/>
  <c r="S561" i="1"/>
  <c r="BR561" i="1" s="1"/>
  <c r="BW561" i="1"/>
  <c r="BQ561" i="1"/>
  <c r="S423" i="1"/>
  <c r="BR423" i="1" s="1"/>
  <c r="BW423" i="1"/>
  <c r="BQ423" i="1"/>
  <c r="BW1374" i="1"/>
  <c r="S1374" i="1"/>
  <c r="BR1374" i="1" s="1"/>
  <c r="BQ1374" i="1"/>
  <c r="S987" i="1"/>
  <c r="BR987" i="1" s="1"/>
  <c r="BQ987" i="1"/>
  <c r="BW987" i="1"/>
  <c r="BO926" i="1"/>
  <c r="BT926" i="1"/>
  <c r="BT528" i="1"/>
  <c r="BO528" i="1"/>
  <c r="BQ410" i="1"/>
  <c r="S410" i="1"/>
  <c r="BR410" i="1" s="1"/>
  <c r="BW410" i="1"/>
  <c r="BW583" i="1"/>
  <c r="S583" i="1"/>
  <c r="BR583" i="1" s="1"/>
  <c r="BQ583" i="1"/>
  <c r="BW408" i="1"/>
  <c r="S408" i="1"/>
  <c r="BR408" i="1" s="1"/>
  <c r="BQ408" i="1"/>
  <c r="BO388" i="1"/>
  <c r="BT388" i="1"/>
  <c r="BQ958" i="1"/>
  <c r="S958" i="1"/>
  <c r="BR958" i="1" s="1"/>
  <c r="BW958" i="1"/>
  <c r="BO554" i="1"/>
  <c r="BT554" i="1"/>
  <c r="BW508" i="1"/>
  <c r="BQ508" i="1"/>
  <c r="S508" i="1"/>
  <c r="BR508" i="1" s="1"/>
  <c r="BT262" i="1"/>
  <c r="BO262" i="1"/>
  <c r="BO1227" i="1"/>
  <c r="BT1227" i="1"/>
  <c r="BO1033" i="1"/>
  <c r="BT1033" i="1"/>
  <c r="BT69" i="1"/>
  <c r="BO69" i="1"/>
  <c r="BO666" i="1"/>
  <c r="BT666" i="1"/>
  <c r="BQ142" i="1"/>
  <c r="S142" i="1"/>
  <c r="BR142" i="1" s="1"/>
  <c r="BW142" i="1"/>
  <c r="BO698" i="1"/>
  <c r="BT698" i="1"/>
  <c r="BW409" i="1"/>
  <c r="S409" i="1"/>
  <c r="BR409" i="1" s="1"/>
  <c r="BQ409" i="1"/>
  <c r="BW40" i="1"/>
  <c r="BQ40" i="1"/>
  <c r="S40" i="1"/>
  <c r="BR40" i="1" s="1"/>
  <c r="BQ811" i="1"/>
  <c r="S811" i="1"/>
  <c r="BR811" i="1" s="1"/>
  <c r="BW811" i="1"/>
  <c r="BO46" i="1"/>
  <c r="BT46" i="1"/>
  <c r="BT1461" i="1"/>
  <c r="BO1461" i="1"/>
  <c r="BO1176" i="1"/>
  <c r="BT1176" i="1"/>
  <c r="BT693" i="1"/>
  <c r="BO693" i="1"/>
  <c r="S468" i="1"/>
  <c r="BR468" i="1" s="1"/>
  <c r="BW468" i="1"/>
  <c r="BQ468" i="1"/>
  <c r="BO47" i="1"/>
  <c r="BT47" i="1"/>
  <c r="S380" i="1"/>
  <c r="BR380" i="1" s="1"/>
  <c r="BW380" i="1"/>
  <c r="BQ380" i="1"/>
  <c r="S965" i="1"/>
  <c r="BR965" i="1" s="1"/>
  <c r="BQ965" i="1"/>
  <c r="BW965" i="1"/>
  <c r="BQ1354" i="1"/>
  <c r="S1354" i="1"/>
  <c r="BR1354" i="1" s="1"/>
  <c r="BW1354" i="1"/>
  <c r="BO500" i="1"/>
  <c r="BT500" i="1"/>
  <c r="S1372" i="1"/>
  <c r="BR1372" i="1" s="1"/>
  <c r="BW1372" i="1"/>
  <c r="BQ1372" i="1"/>
  <c r="BW711" i="1"/>
  <c r="BQ711" i="1"/>
  <c r="S711" i="1"/>
  <c r="BR711" i="1" s="1"/>
  <c r="BW1043" i="1"/>
  <c r="S1043" i="1"/>
  <c r="BR1043" i="1" s="1"/>
  <c r="BQ1043" i="1"/>
  <c r="S1094" i="1"/>
  <c r="BR1094" i="1" s="1"/>
  <c r="BW1094" i="1"/>
  <c r="BQ1094" i="1"/>
  <c r="BT1482" i="1"/>
  <c r="BO1482" i="1"/>
  <c r="BW1202" i="1"/>
  <c r="BQ1202" i="1"/>
  <c r="S1202" i="1"/>
  <c r="BR1202" i="1" s="1"/>
  <c r="BW1224" i="1"/>
  <c r="BQ1224" i="1"/>
  <c r="S1224" i="1"/>
  <c r="BR1224" i="1" s="1"/>
  <c r="BO1252" i="1"/>
  <c r="BT1252" i="1"/>
  <c r="BQ1080" i="1"/>
  <c r="BW1080" i="1"/>
  <c r="S1080" i="1"/>
  <c r="BR1080" i="1" s="1"/>
  <c r="BO177" i="1"/>
  <c r="BT177" i="1"/>
  <c r="BQ1245" i="1"/>
  <c r="BW1245" i="1"/>
  <c r="S1245" i="1"/>
  <c r="BR1245" i="1" s="1"/>
  <c r="BT1449" i="1"/>
  <c r="BO1449" i="1"/>
  <c r="BW1368" i="1"/>
  <c r="BQ1368" i="1"/>
  <c r="S1368" i="1"/>
  <c r="BR1368" i="1" s="1"/>
  <c r="BO1240" i="1"/>
  <c r="BT1240" i="1"/>
  <c r="BQ1272" i="1"/>
  <c r="S1272" i="1"/>
  <c r="BR1272" i="1" s="1"/>
  <c r="BW1272" i="1"/>
  <c r="BW1299" i="1"/>
  <c r="S1299" i="1"/>
  <c r="BR1299" i="1" s="1"/>
  <c r="BQ1299" i="1"/>
  <c r="BQ859" i="1"/>
  <c r="S859" i="1"/>
  <c r="BR859" i="1" s="1"/>
  <c r="BW859" i="1"/>
  <c r="S606" i="1"/>
  <c r="BR606" i="1" s="1"/>
  <c r="BQ606" i="1"/>
  <c r="BW606" i="1"/>
  <c r="S580" i="1"/>
  <c r="BR580" i="1" s="1"/>
  <c r="BQ580" i="1"/>
  <c r="BW580" i="1"/>
  <c r="S95" i="1"/>
  <c r="BR95" i="1" s="1"/>
  <c r="BQ95" i="1"/>
  <c r="BW95" i="1"/>
  <c r="BQ1487" i="1"/>
  <c r="BW1487" i="1"/>
  <c r="S1487" i="1"/>
  <c r="BR1487" i="1" s="1"/>
  <c r="BQ1209" i="1"/>
  <c r="BW1209" i="1"/>
  <c r="S1209" i="1"/>
  <c r="BR1209" i="1" s="1"/>
  <c r="BO927" i="1"/>
  <c r="BT927" i="1"/>
  <c r="BQ881" i="1"/>
  <c r="S881" i="1"/>
  <c r="BR881" i="1" s="1"/>
  <c r="BW881" i="1"/>
  <c r="S5" i="1"/>
  <c r="BR5" i="1" s="1"/>
  <c r="BB5" i="1" s="1"/>
  <c r="BW5" i="1"/>
  <c r="BQ5" i="1"/>
  <c r="BT654" i="1"/>
  <c r="BO654" i="1"/>
  <c r="S1013" i="1"/>
  <c r="BR1013" i="1" s="1"/>
  <c r="BQ1013" i="1"/>
  <c r="BW1013" i="1"/>
  <c r="S381" i="1"/>
  <c r="BR381" i="1" s="1"/>
  <c r="BW381" i="1"/>
  <c r="BQ381" i="1"/>
  <c r="S155" i="1"/>
  <c r="BR155" i="1" s="1"/>
  <c r="BW155" i="1"/>
  <c r="BQ155" i="1"/>
  <c r="BW1296" i="1"/>
  <c r="S1296" i="1"/>
  <c r="BR1296" i="1" s="1"/>
  <c r="BQ1296" i="1"/>
  <c r="BW991" i="1"/>
  <c r="BQ991" i="1"/>
  <c r="S991" i="1"/>
  <c r="BR991" i="1" s="1"/>
  <c r="S315" i="1"/>
  <c r="BR315" i="1" s="1"/>
  <c r="BW315" i="1"/>
  <c r="BQ315" i="1"/>
  <c r="BW503" i="1"/>
  <c r="BQ503" i="1"/>
  <c r="S503" i="1"/>
  <c r="BR503" i="1" s="1"/>
  <c r="BO132" i="1"/>
  <c r="BT132" i="1"/>
  <c r="BQ805" i="1"/>
  <c r="BW805" i="1"/>
  <c r="S805" i="1"/>
  <c r="BR805" i="1" s="1"/>
  <c r="BO53" i="1"/>
  <c r="BT53" i="1"/>
  <c r="S277" i="1"/>
  <c r="BR277" i="1" s="1"/>
  <c r="BW277" i="1"/>
  <c r="BQ277" i="1"/>
  <c r="BO807" i="1"/>
  <c r="BT807" i="1"/>
  <c r="BO680" i="1"/>
  <c r="BT680" i="1"/>
  <c r="BO336" i="1"/>
  <c r="BT336" i="1"/>
  <c r="S681" i="1"/>
  <c r="BR681" i="1" s="1"/>
  <c r="BW681" i="1"/>
  <c r="BQ681" i="1"/>
  <c r="S925" i="1"/>
  <c r="BR925" i="1" s="1"/>
  <c r="BW925" i="1"/>
  <c r="BQ925" i="1"/>
  <c r="BQ1098" i="1"/>
  <c r="S1098" i="1"/>
  <c r="BR1098" i="1" s="1"/>
  <c r="BW1098" i="1"/>
  <c r="BQ966" i="1"/>
  <c r="S966" i="1"/>
  <c r="BR966" i="1" s="1"/>
  <c r="BW966" i="1"/>
  <c r="BQ1106" i="1"/>
  <c r="S1106" i="1"/>
  <c r="BR1106" i="1" s="1"/>
  <c r="BW1106" i="1"/>
  <c r="BO1232" i="1"/>
  <c r="BT1232" i="1"/>
  <c r="S957" i="1"/>
  <c r="BR957" i="1" s="1"/>
  <c r="BQ957" i="1"/>
  <c r="BW957" i="1"/>
  <c r="BT1490" i="1"/>
  <c r="BO1490" i="1"/>
  <c r="BQ1161" i="1"/>
  <c r="BW1161" i="1"/>
  <c r="S1161" i="1"/>
  <c r="BR1161" i="1" s="1"/>
  <c r="BW883" i="1"/>
  <c r="S883" i="1"/>
  <c r="BR883" i="1" s="1"/>
  <c r="BQ883" i="1"/>
  <c r="S67" i="1"/>
  <c r="BR67" i="1" s="1"/>
  <c r="BW67" i="1"/>
  <c r="BQ67" i="1"/>
  <c r="BT1129" i="1"/>
  <c r="BO1129" i="1"/>
  <c r="S1002" i="1"/>
  <c r="BR1002" i="1" s="1"/>
  <c r="BW1002" i="1"/>
  <c r="BQ1002" i="1"/>
  <c r="BQ1388" i="1"/>
  <c r="S1388" i="1"/>
  <c r="BR1388" i="1" s="1"/>
  <c r="BW1388" i="1"/>
  <c r="BW1242" i="1"/>
  <c r="BQ1242" i="1"/>
  <c r="S1242" i="1"/>
  <c r="BR1242" i="1" s="1"/>
  <c r="BW1437" i="1"/>
  <c r="S1437" i="1"/>
  <c r="BR1437" i="1" s="1"/>
  <c r="BQ1437" i="1"/>
  <c r="BQ1168" i="1"/>
  <c r="BW1168" i="1"/>
  <c r="S1168" i="1"/>
  <c r="BR1168" i="1" s="1"/>
  <c r="BQ1473" i="1"/>
  <c r="BW1473" i="1"/>
  <c r="S1473" i="1"/>
  <c r="BR1473" i="1" s="1"/>
  <c r="S347" i="1"/>
  <c r="BR347" i="1" s="1"/>
  <c r="BW347" i="1"/>
  <c r="BQ347" i="1"/>
  <c r="S819" i="1"/>
  <c r="BR819" i="1" s="1"/>
  <c r="BQ819" i="1"/>
  <c r="BW819" i="1"/>
  <c r="S1464" i="1"/>
  <c r="BR1464" i="1" s="1"/>
  <c r="BW1464" i="1"/>
  <c r="BQ1464" i="1"/>
  <c r="S1113" i="1"/>
  <c r="BR1113" i="1" s="1"/>
  <c r="BW1113" i="1"/>
  <c r="BQ1113" i="1"/>
  <c r="BT1222" i="1"/>
  <c r="BO1222" i="1"/>
  <c r="S1046" i="1"/>
  <c r="BR1046" i="1" s="1"/>
  <c r="BW1046" i="1"/>
  <c r="BQ1046" i="1"/>
  <c r="BW1184" i="1"/>
  <c r="BQ1184" i="1"/>
  <c r="S1184" i="1"/>
  <c r="BR1184" i="1" s="1"/>
  <c r="BW913" i="1"/>
  <c r="S913" i="1"/>
  <c r="BR913" i="1" s="1"/>
  <c r="BQ913" i="1"/>
  <c r="BQ1262" i="1"/>
  <c r="BW1262" i="1"/>
  <c r="S1262" i="1"/>
  <c r="BR1262" i="1" s="1"/>
  <c r="S10" i="1"/>
  <c r="BR10" i="1" s="1"/>
  <c r="BQ10" i="1"/>
  <c r="BW10" i="1"/>
  <c r="BO1311" i="1"/>
  <c r="BT1311" i="1"/>
  <c r="BQ716" i="1"/>
  <c r="BW716" i="1"/>
  <c r="S716" i="1"/>
  <c r="BR716" i="1" s="1"/>
  <c r="S1068" i="1"/>
  <c r="BR1068" i="1" s="1"/>
  <c r="BW1068" i="1"/>
  <c r="BQ1068" i="1"/>
  <c r="BW479" i="1"/>
  <c r="S479" i="1"/>
  <c r="BR479" i="1" s="1"/>
  <c r="BQ479" i="1"/>
  <c r="BT169" i="1"/>
  <c r="BO169" i="1"/>
  <c r="BW734" i="1"/>
  <c r="S734" i="1"/>
  <c r="BR734" i="1" s="1"/>
  <c r="BQ734" i="1"/>
  <c r="BO112" i="1"/>
  <c r="BT112" i="1"/>
  <c r="BW127" i="1"/>
  <c r="BQ127" i="1"/>
  <c r="S127" i="1"/>
  <c r="BR127" i="1" s="1"/>
  <c r="S809" i="1"/>
  <c r="BR809" i="1" s="1"/>
  <c r="BQ809" i="1"/>
  <c r="BW809" i="1"/>
  <c r="BT1304" i="1"/>
  <c r="BO1304" i="1"/>
  <c r="BT596" i="1"/>
  <c r="BO596" i="1"/>
  <c r="BT238" i="1"/>
  <c r="BO238" i="1"/>
  <c r="S1476" i="1"/>
  <c r="BR1476" i="1" s="1"/>
  <c r="BQ1476" i="1"/>
  <c r="BW1476" i="1"/>
  <c r="BQ412" i="1"/>
  <c r="BW412" i="1"/>
  <c r="S412" i="1"/>
  <c r="BR412" i="1" s="1"/>
  <c r="BQ684" i="1"/>
  <c r="BW684" i="1"/>
  <c r="S684" i="1"/>
  <c r="BR684" i="1" s="1"/>
  <c r="BW93" i="1"/>
  <c r="S93" i="1"/>
  <c r="BR93" i="1" s="1"/>
  <c r="BQ93" i="1"/>
  <c r="BW7" i="1"/>
  <c r="S7" i="1"/>
  <c r="BR7" i="1" s="1"/>
  <c r="BQ7" i="1"/>
  <c r="BQ1394" i="1"/>
  <c r="BW1394" i="1"/>
  <c r="S1394" i="1"/>
  <c r="BR1394" i="1" s="1"/>
  <c r="BT772" i="1"/>
  <c r="BO772" i="1"/>
  <c r="S917" i="1"/>
  <c r="BR917" i="1" s="1"/>
  <c r="BW917" i="1"/>
  <c r="BQ917" i="1"/>
  <c r="BW541" i="1"/>
  <c r="S541" i="1"/>
  <c r="BR541" i="1" s="1"/>
  <c r="BQ541" i="1"/>
  <c r="BT592" i="1"/>
  <c r="BO592" i="1"/>
  <c r="BO49" i="1"/>
  <c r="BT49" i="1"/>
  <c r="BO1140" i="1"/>
  <c r="BT1140" i="1"/>
  <c r="S535" i="1"/>
  <c r="BR535" i="1" s="1"/>
  <c r="BW535" i="1"/>
  <c r="BQ535" i="1"/>
  <c r="BQ1118" i="1"/>
  <c r="S1118" i="1"/>
  <c r="BR1118" i="1" s="1"/>
  <c r="BW1118" i="1"/>
  <c r="BQ727" i="1"/>
  <c r="BW727" i="1"/>
  <c r="S727" i="1"/>
  <c r="BR727" i="1" s="1"/>
  <c r="BW1310" i="1"/>
  <c r="S1310" i="1"/>
  <c r="BR1310" i="1" s="1"/>
  <c r="BQ1310" i="1"/>
  <c r="S551" i="1"/>
  <c r="BR551" i="1" s="1"/>
  <c r="BQ551" i="1"/>
  <c r="BW551" i="1"/>
  <c r="S1319" i="1"/>
  <c r="BR1319" i="1" s="1"/>
  <c r="BQ1319" i="1"/>
  <c r="BW1319" i="1"/>
  <c r="BQ1131" i="1"/>
  <c r="S1131" i="1"/>
  <c r="BR1131" i="1" s="1"/>
  <c r="BW1131" i="1"/>
  <c r="BW1332" i="1"/>
  <c r="BQ1332" i="1"/>
  <c r="S1332" i="1"/>
  <c r="BR1332" i="1" s="1"/>
  <c r="S920" i="1"/>
  <c r="BR920" i="1" s="1"/>
  <c r="BW920" i="1"/>
  <c r="BQ920" i="1"/>
  <c r="BT555" i="1"/>
  <c r="BO555" i="1"/>
  <c r="BQ1155" i="1"/>
  <c r="S1155" i="1"/>
  <c r="BR1155" i="1" s="1"/>
  <c r="BW1155" i="1"/>
  <c r="BW1284" i="1"/>
  <c r="BQ1284" i="1"/>
  <c r="S1284" i="1"/>
  <c r="BR1284" i="1" s="1"/>
  <c r="BT749" i="1"/>
  <c r="BO749" i="1"/>
  <c r="S1016" i="1"/>
  <c r="BR1016" i="1" s="1"/>
  <c r="BQ1016" i="1"/>
  <c r="BW1016" i="1"/>
  <c r="S495" i="1"/>
  <c r="BR495" i="1" s="1"/>
  <c r="BW495" i="1"/>
  <c r="BQ495" i="1"/>
  <c r="S1220" i="1"/>
  <c r="BR1220" i="1" s="1"/>
  <c r="BQ1220" i="1"/>
  <c r="BW1220" i="1"/>
  <c r="BW1128" i="1"/>
  <c r="S1128" i="1"/>
  <c r="BR1128" i="1" s="1"/>
  <c r="BQ1128" i="1"/>
  <c r="BW1411" i="1"/>
  <c r="BQ1411" i="1"/>
  <c r="S1411" i="1"/>
  <c r="BR1411" i="1" s="1"/>
  <c r="S1327" i="1"/>
  <c r="BR1327" i="1" s="1"/>
  <c r="BW1327" i="1"/>
  <c r="BQ1327" i="1"/>
  <c r="BW1291" i="1"/>
  <c r="BQ1291" i="1"/>
  <c r="S1291" i="1"/>
  <c r="BR1291" i="1" s="1"/>
  <c r="BW970" i="1"/>
  <c r="S970" i="1"/>
  <c r="BR970" i="1" s="1"/>
  <c r="BQ970" i="1"/>
  <c r="BQ804" i="1"/>
  <c r="BW804" i="1"/>
  <c r="S804" i="1"/>
  <c r="BR804" i="1" s="1"/>
  <c r="BW813" i="1"/>
  <c r="S813" i="1"/>
  <c r="BR813" i="1" s="1"/>
  <c r="BQ813" i="1"/>
  <c r="S516" i="1"/>
  <c r="BR516" i="1" s="1"/>
  <c r="BW516" i="1"/>
  <c r="BQ516" i="1"/>
  <c r="S556" i="1"/>
  <c r="BR556" i="1" s="1"/>
  <c r="BQ556" i="1"/>
  <c r="BW556" i="1"/>
  <c r="BO1328" i="1"/>
  <c r="BT1328" i="1"/>
  <c r="BW42" i="1"/>
  <c r="BQ42" i="1"/>
  <c r="S42" i="1"/>
  <c r="BR42" i="1" s="1"/>
  <c r="BQ1409" i="1"/>
  <c r="BW1409" i="1"/>
  <c r="S1409" i="1"/>
  <c r="BR1409" i="1" s="1"/>
  <c r="BW1324" i="1"/>
  <c r="S1324" i="1"/>
  <c r="BR1324" i="1" s="1"/>
  <c r="BQ1324" i="1"/>
  <c r="S1438" i="1"/>
  <c r="BR1438" i="1" s="1"/>
  <c r="BW1438" i="1"/>
  <c r="BQ1438" i="1"/>
  <c r="S1274" i="1"/>
  <c r="BR1274" i="1" s="1"/>
  <c r="BW1274" i="1"/>
  <c r="BQ1274" i="1"/>
  <c r="BQ1111" i="1"/>
  <c r="S1111" i="1"/>
  <c r="BR1111" i="1" s="1"/>
  <c r="BW1111" i="1"/>
  <c r="BQ1147" i="1"/>
  <c r="BW1147" i="1"/>
  <c r="S1147" i="1"/>
  <c r="BR1147" i="1" s="1"/>
  <c r="BW947" i="1"/>
  <c r="BQ947" i="1"/>
  <c r="S947" i="1"/>
  <c r="BR947" i="1" s="1"/>
  <c r="BW1452" i="1"/>
  <c r="BQ1452" i="1"/>
  <c r="S1452" i="1"/>
  <c r="BR1452" i="1" s="1"/>
  <c r="S1158" i="1"/>
  <c r="BR1158" i="1" s="1"/>
  <c r="BQ1158" i="1"/>
  <c r="BW1158" i="1"/>
  <c r="BW1219" i="1"/>
  <c r="S1219" i="1"/>
  <c r="BR1219" i="1" s="1"/>
  <c r="BQ1219" i="1"/>
  <c r="BO1134" i="1"/>
  <c r="BT1134" i="1"/>
  <c r="BQ1042" i="1"/>
  <c r="BW1042" i="1"/>
  <c r="S1042" i="1"/>
  <c r="BR1042" i="1" s="1"/>
  <c r="BW428" i="1"/>
  <c r="BQ428" i="1"/>
  <c r="S428" i="1"/>
  <c r="BR428" i="1" s="1"/>
  <c r="BW533" i="1"/>
  <c r="BQ533" i="1"/>
  <c r="S533" i="1"/>
  <c r="BR533" i="1" s="1"/>
  <c r="BW895" i="1"/>
  <c r="BQ895" i="1"/>
  <c r="S895" i="1"/>
  <c r="BR895" i="1" s="1"/>
  <c r="BQ420" i="1"/>
  <c r="S420" i="1"/>
  <c r="BR420" i="1" s="1"/>
  <c r="BW420" i="1"/>
  <c r="S1207" i="1"/>
  <c r="BR1207" i="1" s="1"/>
  <c r="BQ1207" i="1"/>
  <c r="BW1207" i="1"/>
  <c r="BW605" i="1"/>
  <c r="S605" i="1"/>
  <c r="BR605" i="1" s="1"/>
  <c r="BQ605" i="1"/>
  <c r="BQ356" i="1"/>
  <c r="S356" i="1"/>
  <c r="BR356" i="1" s="1"/>
  <c r="BW356" i="1"/>
  <c r="BW733" i="1"/>
  <c r="S733" i="1"/>
  <c r="BR733" i="1" s="1"/>
  <c r="BQ733" i="1"/>
  <c r="BW14" i="1"/>
  <c r="BQ14" i="1"/>
  <c r="S14" i="1"/>
  <c r="BR14" i="1" s="1"/>
  <c r="S945" i="1"/>
  <c r="BR945" i="1" s="1"/>
  <c r="BW945" i="1"/>
  <c r="BQ945" i="1"/>
  <c r="BT339" i="1"/>
  <c r="BO339" i="1"/>
  <c r="BT900" i="1"/>
  <c r="BO900" i="1"/>
  <c r="BT451" i="1"/>
  <c r="BO451" i="1"/>
  <c r="S293" i="1"/>
  <c r="BR293" i="1" s="1"/>
  <c r="BW293" i="1"/>
  <c r="BQ293" i="1"/>
  <c r="BT431" i="1"/>
  <c r="BO431" i="1"/>
  <c r="BO802" i="1"/>
  <c r="BT802" i="1"/>
  <c r="BO868" i="1"/>
  <c r="BT868" i="1"/>
  <c r="BB1227" i="1" l="1"/>
  <c r="AN27" i="1"/>
  <c r="AN30" i="1"/>
  <c r="BB341" i="1"/>
  <c r="BB1417" i="1"/>
  <c r="BT125" i="1"/>
  <c r="BO341" i="1"/>
  <c r="BB24" i="1"/>
  <c r="BT437" i="1"/>
  <c r="BB1297" i="1"/>
  <c r="BO611" i="1"/>
  <c r="CE1023" i="1"/>
  <c r="BT1297" i="1"/>
  <c r="BT24" i="1"/>
  <c r="BB1369" i="1"/>
  <c r="BB1331" i="1"/>
  <c r="BO119" i="1"/>
  <c r="BT425" i="1"/>
  <c r="BB975" i="1"/>
  <c r="BB1313" i="1"/>
  <c r="BT287" i="1"/>
  <c r="BO1331" i="1"/>
  <c r="BT359" i="1"/>
  <c r="AN29" i="1"/>
  <c r="AH57" i="1"/>
  <c r="AK57" i="1" s="1"/>
  <c r="AL22" i="1"/>
  <c r="AM22" i="1" s="1"/>
  <c r="BB4" i="1"/>
  <c r="AH15" i="1"/>
  <c r="AK15" i="1" s="1"/>
  <c r="AH29" i="1"/>
  <c r="AK29" i="1" s="1"/>
  <c r="BO1221" i="1"/>
  <c r="BT1415" i="1"/>
  <c r="AL15" i="1"/>
  <c r="AM15" i="1" s="1"/>
  <c r="AL29" i="1"/>
  <c r="AM29" i="1" s="1"/>
  <c r="BO713" i="1"/>
  <c r="CE4" i="1"/>
  <c r="BO21" i="1"/>
  <c r="CE420" i="1"/>
  <c r="BB420" i="1"/>
  <c r="CE1274" i="1"/>
  <c r="BB1274" i="1"/>
  <c r="CE1411" i="1"/>
  <c r="BB1411" i="1"/>
  <c r="CE1131" i="1"/>
  <c r="BB1131" i="1"/>
  <c r="CE809" i="1"/>
  <c r="BB809" i="1"/>
  <c r="CE1046" i="1"/>
  <c r="BB1046" i="1"/>
  <c r="CE1002" i="1"/>
  <c r="BB1002" i="1"/>
  <c r="CE991" i="1"/>
  <c r="BB991" i="1"/>
  <c r="CE1487" i="1"/>
  <c r="BB1487" i="1"/>
  <c r="CE711" i="1"/>
  <c r="BB711" i="1"/>
  <c r="CE131" i="1"/>
  <c r="BB131" i="1"/>
  <c r="CE1339" i="1"/>
  <c r="BB1339" i="1"/>
  <c r="CE1447" i="1"/>
  <c r="BB1447" i="1"/>
  <c r="CE1177" i="1"/>
  <c r="BB1177" i="1"/>
  <c r="CE1351" i="1"/>
  <c r="BB1351" i="1"/>
  <c r="CE1470" i="1"/>
  <c r="BB1470" i="1"/>
  <c r="CE993" i="1"/>
  <c r="BB993" i="1"/>
  <c r="CE691" i="1"/>
  <c r="BB691" i="1"/>
  <c r="CE389" i="1"/>
  <c r="BB389" i="1"/>
  <c r="CE783" i="1"/>
  <c r="BB783" i="1"/>
  <c r="CE1169" i="1"/>
  <c r="BB1169" i="1"/>
  <c r="CE884" i="1"/>
  <c r="BB884" i="1"/>
  <c r="CE533" i="1"/>
  <c r="BB533" i="1"/>
  <c r="CE1219" i="1"/>
  <c r="BB1219" i="1"/>
  <c r="CE1158" i="1"/>
  <c r="BB1158" i="1"/>
  <c r="CE947" i="1"/>
  <c r="BB947" i="1"/>
  <c r="CE1324" i="1"/>
  <c r="BB1324" i="1"/>
  <c r="CE556" i="1"/>
  <c r="BB556" i="1"/>
  <c r="CE1284" i="1"/>
  <c r="BB1284" i="1"/>
  <c r="CE1155" i="1"/>
  <c r="BB1155" i="1"/>
  <c r="CE1310" i="1"/>
  <c r="BB1310" i="1"/>
  <c r="CE93" i="1"/>
  <c r="BB93" i="1"/>
  <c r="CE127" i="1"/>
  <c r="BB127" i="1"/>
  <c r="CE716" i="1"/>
  <c r="BB716" i="1"/>
  <c r="CE1262" i="1"/>
  <c r="BB1262" i="1"/>
  <c r="CE913" i="1"/>
  <c r="BB913" i="1"/>
  <c r="CE1113" i="1"/>
  <c r="BB1113" i="1"/>
  <c r="CE67" i="1"/>
  <c r="BB67" i="1"/>
  <c r="CE1161" i="1"/>
  <c r="BB1161" i="1"/>
  <c r="CE681" i="1"/>
  <c r="BB681" i="1"/>
  <c r="CE805" i="1"/>
  <c r="BB805" i="1"/>
  <c r="CE881" i="1"/>
  <c r="BB881" i="1"/>
  <c r="CE1209" i="1"/>
  <c r="BB1209" i="1"/>
  <c r="CE95" i="1"/>
  <c r="BB95" i="1"/>
  <c r="CE859" i="1"/>
  <c r="BB859" i="1"/>
  <c r="CE1080" i="1"/>
  <c r="BB1080" i="1"/>
  <c r="CE1202" i="1"/>
  <c r="BB1202" i="1"/>
  <c r="CE1372" i="1"/>
  <c r="BB1372" i="1"/>
  <c r="CE1354" i="1"/>
  <c r="BB1354" i="1"/>
  <c r="CE965" i="1"/>
  <c r="BB965" i="1"/>
  <c r="CE468" i="1"/>
  <c r="BB468" i="1"/>
  <c r="CE40" i="1"/>
  <c r="BB40" i="1"/>
  <c r="CE409" i="1"/>
  <c r="BB409" i="1"/>
  <c r="CE410" i="1"/>
  <c r="BB410" i="1"/>
  <c r="CE987" i="1"/>
  <c r="BB987" i="1"/>
  <c r="CE843" i="1"/>
  <c r="BB843" i="1"/>
  <c r="CE429" i="1"/>
  <c r="BB429" i="1"/>
  <c r="CE774" i="1"/>
  <c r="BB774" i="1"/>
  <c r="CE1150" i="1"/>
  <c r="BB1150" i="1"/>
  <c r="CE619" i="1"/>
  <c r="BB619" i="1"/>
  <c r="CE299" i="1"/>
  <c r="BB299" i="1"/>
  <c r="CE1110" i="1"/>
  <c r="BB1110" i="1"/>
  <c r="CE25" i="1"/>
  <c r="BB25" i="1"/>
  <c r="CE521" i="1"/>
  <c r="BB521" i="1"/>
  <c r="CE217" i="1"/>
  <c r="BB217" i="1"/>
  <c r="CE729" i="1"/>
  <c r="BB729" i="1"/>
  <c r="CE1278" i="1"/>
  <c r="BB1278" i="1"/>
  <c r="CE1142" i="1"/>
  <c r="BB1142" i="1"/>
  <c r="CE1275" i="1"/>
  <c r="BB1275" i="1"/>
  <c r="CE404" i="1"/>
  <c r="BB404" i="1"/>
  <c r="CE615" i="1"/>
  <c r="BB615" i="1"/>
  <c r="CE603" i="1"/>
  <c r="BB603" i="1"/>
  <c r="CE1280" i="1"/>
  <c r="BB1280" i="1"/>
  <c r="CE250" i="1"/>
  <c r="BB250" i="1"/>
  <c r="CE378" i="1"/>
  <c r="BB378" i="1"/>
  <c r="CE941" i="1"/>
  <c r="BB941" i="1"/>
  <c r="CE1003" i="1"/>
  <c r="BB1003" i="1"/>
  <c r="CE882" i="1"/>
  <c r="BB882" i="1"/>
  <c r="CE1425" i="1"/>
  <c r="BB1425" i="1"/>
  <c r="CE1246" i="1"/>
  <c r="BB1246" i="1"/>
  <c r="CE894" i="1"/>
  <c r="BB894" i="1"/>
  <c r="CE1483" i="1"/>
  <c r="BB1483" i="1"/>
  <c r="CE1402" i="1"/>
  <c r="BB1402" i="1"/>
  <c r="CE118" i="1"/>
  <c r="BB118" i="1"/>
  <c r="CE1047" i="1"/>
  <c r="BB1047" i="1"/>
  <c r="CE257" i="1"/>
  <c r="BB257" i="1"/>
  <c r="CE827" i="1"/>
  <c r="BB827" i="1"/>
  <c r="CE329" i="1"/>
  <c r="BB329" i="1"/>
  <c r="CE545" i="1"/>
  <c r="BB545" i="1"/>
  <c r="CE1480" i="1"/>
  <c r="BB1480" i="1"/>
  <c r="CE775" i="1"/>
  <c r="BB775" i="1"/>
  <c r="CE791" i="1"/>
  <c r="BB791" i="1"/>
  <c r="CE1346" i="1"/>
  <c r="BB1346" i="1"/>
  <c r="CE845" i="1"/>
  <c r="BB845" i="1"/>
  <c r="CE1421" i="1"/>
  <c r="BB1421" i="1"/>
  <c r="CE406" i="1"/>
  <c r="BB406" i="1"/>
  <c r="CE1463" i="1"/>
  <c r="BB1463" i="1"/>
  <c r="CE808" i="1"/>
  <c r="BB808" i="1"/>
  <c r="CE644" i="1"/>
  <c r="BB644" i="1"/>
  <c r="CE1270" i="1"/>
  <c r="BB1270" i="1"/>
  <c r="CE1255" i="1"/>
  <c r="BB1255" i="1"/>
  <c r="CE648" i="1"/>
  <c r="BB648" i="1"/>
  <c r="CE585" i="1"/>
  <c r="BB585" i="1"/>
  <c r="CE1028" i="1"/>
  <c r="BB1028" i="1"/>
  <c r="CE1379" i="1"/>
  <c r="BB1379" i="1"/>
  <c r="CE1181" i="1"/>
  <c r="BB1181" i="1"/>
  <c r="CE6" i="1"/>
  <c r="BB6" i="1"/>
  <c r="CE418" i="1"/>
  <c r="BB418" i="1"/>
  <c r="CE223" i="1"/>
  <c r="BB223" i="1"/>
  <c r="CE102" i="1"/>
  <c r="BB102" i="1"/>
  <c r="CE598" i="1"/>
  <c r="BB598" i="1"/>
  <c r="CE71" i="1"/>
  <c r="BB71" i="1"/>
  <c r="CE609" i="1"/>
  <c r="BB609" i="1"/>
  <c r="CE614" i="1"/>
  <c r="BB614" i="1"/>
  <c r="CE355" i="1"/>
  <c r="BB355" i="1"/>
  <c r="CE104" i="1"/>
  <c r="BB104" i="1"/>
  <c r="CE629" i="1"/>
  <c r="BB629" i="1"/>
  <c r="CE1040" i="1"/>
  <c r="BB1040" i="1"/>
  <c r="CE635" i="1"/>
  <c r="BB635" i="1"/>
  <c r="CE689" i="1"/>
  <c r="BB689" i="1"/>
  <c r="CE1429" i="1"/>
  <c r="BB1429" i="1"/>
  <c r="CE1485" i="1"/>
  <c r="BB1485" i="1"/>
  <c r="CE39" i="1"/>
  <c r="BB39" i="1"/>
  <c r="CE759" i="1"/>
  <c r="BB759" i="1"/>
  <c r="CE1234" i="1"/>
  <c r="BB1234" i="1"/>
  <c r="CE798" i="1"/>
  <c r="BB798" i="1"/>
  <c r="CE134" i="1"/>
  <c r="BB134" i="1"/>
  <c r="CE1195" i="1"/>
  <c r="BB1195" i="1"/>
  <c r="CE892" i="1"/>
  <c r="BB892" i="1"/>
  <c r="CE722" i="1"/>
  <c r="BB722" i="1"/>
  <c r="CE12" i="1"/>
  <c r="BB12" i="1"/>
  <c r="CE320" i="1"/>
  <c r="BB320" i="1"/>
  <c r="CE1387" i="1"/>
  <c r="BB1387" i="1"/>
  <c r="CE121" i="1"/>
  <c r="BB121" i="1"/>
  <c r="CE139" i="1"/>
  <c r="BB139" i="1"/>
  <c r="CE22" i="1"/>
  <c r="BB22" i="1"/>
  <c r="CE1389" i="1"/>
  <c r="BB1389" i="1"/>
  <c r="CE781" i="1"/>
  <c r="BB781" i="1"/>
  <c r="CE265" i="1"/>
  <c r="BB265" i="1"/>
  <c r="CE1445" i="1"/>
  <c r="BB1445" i="1"/>
  <c r="CE1148" i="1"/>
  <c r="BB1148" i="1"/>
  <c r="CE1057" i="1"/>
  <c r="BB1057" i="1"/>
  <c r="CE1381" i="1"/>
  <c r="BB1381" i="1"/>
  <c r="CE339" i="1"/>
  <c r="BB339" i="1"/>
  <c r="CE931" i="1"/>
  <c r="BB931" i="1"/>
  <c r="CE141" i="1"/>
  <c r="BB141" i="1"/>
  <c r="CE344" i="1"/>
  <c r="BB344" i="1"/>
  <c r="CE276" i="1"/>
  <c r="BB276" i="1"/>
  <c r="CE169" i="1"/>
  <c r="BB169" i="1"/>
  <c r="CE269" i="1"/>
  <c r="BB269" i="1"/>
  <c r="CE156" i="1"/>
  <c r="BB156" i="1"/>
  <c r="CE136" i="1"/>
  <c r="BB136" i="1"/>
  <c r="CE1329" i="1"/>
  <c r="BB1329" i="1"/>
  <c r="CE688" i="1"/>
  <c r="BB688" i="1"/>
  <c r="CE403" i="1"/>
  <c r="BB403" i="1"/>
  <c r="CE566" i="1"/>
  <c r="BB566" i="1"/>
  <c r="CE238" i="1"/>
  <c r="BB238" i="1"/>
  <c r="CE835" i="1"/>
  <c r="BB835" i="1"/>
  <c r="CE1247" i="1"/>
  <c r="BB1247" i="1"/>
  <c r="CE1116" i="1"/>
  <c r="BB1116" i="1"/>
  <c r="CE772" i="1"/>
  <c r="BB772" i="1"/>
  <c r="CE177" i="1"/>
  <c r="BB177" i="1"/>
  <c r="CE777" i="1"/>
  <c r="BB777" i="1"/>
  <c r="CE446" i="1"/>
  <c r="BB446" i="1"/>
  <c r="CE1145" i="1"/>
  <c r="BB1145" i="1"/>
  <c r="CE1340" i="1"/>
  <c r="BB1340" i="1"/>
  <c r="CE366" i="1"/>
  <c r="BB366" i="1"/>
  <c r="CE210" i="1"/>
  <c r="BB210" i="1"/>
  <c r="CE756" i="1"/>
  <c r="BB756" i="1"/>
  <c r="CE1114" i="1"/>
  <c r="BB1114" i="1"/>
  <c r="CE424" i="1"/>
  <c r="BB424" i="1"/>
  <c r="CE761" i="1"/>
  <c r="BB761" i="1"/>
  <c r="CE1396" i="1"/>
  <c r="BB1396" i="1"/>
  <c r="CE1300" i="1"/>
  <c r="BB1300" i="1"/>
  <c r="CE640" i="1"/>
  <c r="BB640" i="1"/>
  <c r="CE502" i="1"/>
  <c r="BB502" i="1"/>
  <c r="CE974" i="1"/>
  <c r="BB974" i="1"/>
  <c r="CE549" i="1"/>
  <c r="BB549" i="1"/>
  <c r="CE370" i="1"/>
  <c r="BB370" i="1"/>
  <c r="CE259" i="1"/>
  <c r="BB259" i="1"/>
  <c r="CE334" i="1"/>
  <c r="BB334" i="1"/>
  <c r="CE1055" i="1"/>
  <c r="BB1055" i="1"/>
  <c r="CE738" i="1"/>
  <c r="BB738" i="1"/>
  <c r="CE20" i="1"/>
  <c r="BB20" i="1"/>
  <c r="CE839" i="1"/>
  <c r="BB839" i="1"/>
  <c r="CE863" i="1"/>
  <c r="BB863" i="1"/>
  <c r="CE1442" i="1"/>
  <c r="BB1442" i="1"/>
  <c r="CE572" i="1"/>
  <c r="BB572" i="1"/>
  <c r="CE695" i="1"/>
  <c r="BB695" i="1"/>
  <c r="CE1061" i="1"/>
  <c r="BB1061" i="1"/>
  <c r="CE1073" i="1"/>
  <c r="BB1073" i="1"/>
  <c r="CE234" i="1"/>
  <c r="BB234" i="1"/>
  <c r="CE575" i="1"/>
  <c r="BB575" i="1"/>
  <c r="CE510" i="1"/>
  <c r="BB510" i="1"/>
  <c r="CE153" i="1"/>
  <c r="BB153" i="1"/>
  <c r="CE856" i="1"/>
  <c r="BB856" i="1"/>
  <c r="CE600" i="1"/>
  <c r="BB600" i="1"/>
  <c r="CE760" i="1"/>
  <c r="BB760" i="1"/>
  <c r="CE890" i="1"/>
  <c r="BB890" i="1"/>
  <c r="CE146" i="1"/>
  <c r="BB146" i="1"/>
  <c r="CE1434" i="1"/>
  <c r="BB1434" i="1"/>
  <c r="CE1183" i="1"/>
  <c r="BB1183" i="1"/>
  <c r="CE486" i="1"/>
  <c r="BB486" i="1"/>
  <c r="CE270" i="1"/>
  <c r="BB270" i="1"/>
  <c r="CE914" i="1"/>
  <c r="BB914" i="1"/>
  <c r="CE693" i="1"/>
  <c r="BB693" i="1"/>
  <c r="CE642" i="1"/>
  <c r="BB642" i="1"/>
  <c r="CE953" i="1"/>
  <c r="BB953" i="1"/>
  <c r="CE59" i="1"/>
  <c r="BB59" i="1"/>
  <c r="CE1471" i="1"/>
  <c r="BB1471" i="1"/>
  <c r="CE1467" i="1"/>
  <c r="BB1467" i="1"/>
  <c r="CE1448" i="1"/>
  <c r="BB1448" i="1"/>
  <c r="CE318" i="1"/>
  <c r="BB318" i="1"/>
  <c r="CE1264" i="1"/>
  <c r="BB1264" i="1"/>
  <c r="CE851" i="1"/>
  <c r="BB851" i="1"/>
  <c r="CE1466" i="1"/>
  <c r="BB1466" i="1"/>
  <c r="CE1125" i="1"/>
  <c r="BB1125" i="1"/>
  <c r="CE1440" i="1"/>
  <c r="BB1440" i="1"/>
  <c r="CE797" i="1"/>
  <c r="BB797" i="1"/>
  <c r="CE211" i="1"/>
  <c r="BB211" i="1"/>
  <c r="CE1334" i="1"/>
  <c r="BB1334" i="1"/>
  <c r="CE1400" i="1"/>
  <c r="BB1400" i="1"/>
  <c r="CE1344" i="1"/>
  <c r="BB1344" i="1"/>
  <c r="CE82" i="1"/>
  <c r="BB82" i="1"/>
  <c r="CE1287" i="1"/>
  <c r="BB1287" i="1"/>
  <c r="CE803" i="1"/>
  <c r="BB803" i="1"/>
  <c r="CE1050" i="1"/>
  <c r="BB1050" i="1"/>
  <c r="CE802" i="1"/>
  <c r="BB802" i="1"/>
  <c r="CE1391" i="1"/>
  <c r="BB1391" i="1"/>
  <c r="CE1092" i="1"/>
  <c r="BB1092" i="1"/>
  <c r="CE766" i="1"/>
  <c r="BB766" i="1"/>
  <c r="CE527" i="1"/>
  <c r="BB527" i="1"/>
  <c r="CE47" i="1"/>
  <c r="BB47" i="1"/>
  <c r="CE464" i="1"/>
  <c r="BB464" i="1"/>
  <c r="CE294" i="1"/>
  <c r="BB294" i="1"/>
  <c r="CE721" i="1"/>
  <c r="BB721" i="1"/>
  <c r="CE751" i="1"/>
  <c r="BB751" i="1"/>
  <c r="CE554" i="1"/>
  <c r="BB554" i="1"/>
  <c r="CE897" i="1"/>
  <c r="BB897" i="1"/>
  <c r="CE166" i="1"/>
  <c r="BB166" i="1"/>
  <c r="CE573" i="1"/>
  <c r="BB573" i="1"/>
  <c r="CE1254" i="1"/>
  <c r="BB1254" i="1"/>
  <c r="CE237" i="1"/>
  <c r="BB237" i="1"/>
  <c r="CE96" i="1"/>
  <c r="BB96" i="1"/>
  <c r="CE392" i="1"/>
  <c r="BB392" i="1"/>
  <c r="CE1058" i="1"/>
  <c r="BB1058" i="1"/>
  <c r="CE1349" i="1"/>
  <c r="BB1349" i="1"/>
  <c r="CE68" i="1"/>
  <c r="BB68" i="1"/>
  <c r="CE197" i="1"/>
  <c r="BB197" i="1"/>
  <c r="CE308" i="1"/>
  <c r="BB308" i="1"/>
  <c r="CE1038" i="1"/>
  <c r="BB1038" i="1"/>
  <c r="CE180" i="1"/>
  <c r="BB180" i="1"/>
  <c r="CE900" i="1"/>
  <c r="BB900" i="1"/>
  <c r="CE1362" i="1"/>
  <c r="BB1362" i="1"/>
  <c r="CE113" i="1"/>
  <c r="BB113" i="1"/>
  <c r="CE714" i="1"/>
  <c r="BB714" i="1"/>
  <c r="CE697" i="1"/>
  <c r="BB697" i="1"/>
  <c r="CE343" i="1"/>
  <c r="BB343" i="1"/>
  <c r="CE330" i="1"/>
  <c r="BB330" i="1"/>
  <c r="CE433" i="1"/>
  <c r="BB433" i="1"/>
  <c r="CE868" i="1"/>
  <c r="BB868" i="1"/>
  <c r="CE763" i="1"/>
  <c r="BB763" i="1"/>
  <c r="CE69" i="1"/>
  <c r="BB69" i="1"/>
  <c r="CE262" i="1"/>
  <c r="BB262" i="1"/>
  <c r="CE893" i="1"/>
  <c r="BB893" i="1"/>
  <c r="CE986" i="1"/>
  <c r="BB986" i="1"/>
  <c r="CE97" i="1"/>
  <c r="BB97" i="1"/>
  <c r="CE481" i="1"/>
  <c r="BB481" i="1"/>
  <c r="CE703" i="1"/>
  <c r="BB703" i="1"/>
  <c r="CE607" i="1"/>
  <c r="BB607" i="1"/>
  <c r="CE683" i="1"/>
  <c r="BB683" i="1"/>
  <c r="CE618" i="1"/>
  <c r="BB618" i="1"/>
  <c r="CE1481" i="1"/>
  <c r="BB1481" i="1"/>
  <c r="CE1461" i="1"/>
  <c r="BB1461" i="1"/>
  <c r="CE399" i="1"/>
  <c r="BB399" i="1"/>
  <c r="CE1083" i="1"/>
  <c r="BB1083" i="1"/>
  <c r="CE1353" i="1"/>
  <c r="BB1353" i="1"/>
  <c r="CE14" i="1"/>
  <c r="BB14" i="1"/>
  <c r="CE428" i="1"/>
  <c r="BB428" i="1"/>
  <c r="CE516" i="1"/>
  <c r="BB516" i="1"/>
  <c r="CE1128" i="1"/>
  <c r="BB1128" i="1"/>
  <c r="CE10" i="1"/>
  <c r="BB10" i="1"/>
  <c r="CE1464" i="1"/>
  <c r="BB1464" i="1"/>
  <c r="CE1388" i="1"/>
  <c r="BB1388" i="1"/>
  <c r="CE1106" i="1"/>
  <c r="BB1106" i="1"/>
  <c r="CE1296" i="1"/>
  <c r="BB1296" i="1"/>
  <c r="CE946" i="1"/>
  <c r="BB946" i="1"/>
  <c r="CE543" i="1"/>
  <c r="BB543" i="1"/>
  <c r="CE1336" i="1"/>
  <c r="BB1336" i="1"/>
  <c r="CE978" i="1"/>
  <c r="BB978" i="1"/>
  <c r="CE842" i="1"/>
  <c r="BB842" i="1"/>
  <c r="CE858" i="1"/>
  <c r="BB858" i="1"/>
  <c r="CE788" i="1"/>
  <c r="BB788" i="1"/>
  <c r="CE1070" i="1"/>
  <c r="BB1070" i="1"/>
  <c r="CE1160" i="1"/>
  <c r="BB1160" i="1"/>
  <c r="CE29" i="1"/>
  <c r="BB29" i="1"/>
  <c r="CE268" i="1"/>
  <c r="BB268" i="1"/>
  <c r="CE275" i="1"/>
  <c r="BB275" i="1"/>
  <c r="CE1210" i="1"/>
  <c r="BB1210" i="1"/>
  <c r="CE826" i="1"/>
  <c r="BB826" i="1"/>
  <c r="CE1335" i="1"/>
  <c r="BB1335" i="1"/>
  <c r="CE293" i="1"/>
  <c r="BB293" i="1"/>
  <c r="CE605" i="1"/>
  <c r="BB605" i="1"/>
  <c r="CE1207" i="1"/>
  <c r="BB1207" i="1"/>
  <c r="CE895" i="1"/>
  <c r="BB895" i="1"/>
  <c r="CE1452" i="1"/>
  <c r="BB1452" i="1"/>
  <c r="CE42" i="1"/>
  <c r="BB42" i="1"/>
  <c r="CE813" i="1"/>
  <c r="BB813" i="1"/>
  <c r="CE1291" i="1"/>
  <c r="BB1291" i="1"/>
  <c r="CE1016" i="1"/>
  <c r="BB1016" i="1"/>
  <c r="CE1394" i="1"/>
  <c r="BB1394" i="1"/>
  <c r="CE7" i="1"/>
  <c r="BB7" i="1"/>
  <c r="CE412" i="1"/>
  <c r="BB412" i="1"/>
  <c r="CE347" i="1"/>
  <c r="BB347" i="1"/>
  <c r="CE1168" i="1"/>
  <c r="BB1168" i="1"/>
  <c r="CE1437" i="1"/>
  <c r="BB1437" i="1"/>
  <c r="CE1098" i="1"/>
  <c r="BB1098" i="1"/>
  <c r="CE925" i="1"/>
  <c r="BB925" i="1"/>
  <c r="CE277" i="1"/>
  <c r="BB277" i="1"/>
  <c r="CE503" i="1"/>
  <c r="BB503" i="1"/>
  <c r="CE1013" i="1"/>
  <c r="BB1013" i="1"/>
  <c r="CE1224" i="1"/>
  <c r="BB1224" i="1"/>
  <c r="CE1043" i="1"/>
  <c r="BB1043" i="1"/>
  <c r="CE142" i="1"/>
  <c r="BB142" i="1"/>
  <c r="CE508" i="1"/>
  <c r="BB508" i="1"/>
  <c r="CE958" i="1"/>
  <c r="BB958" i="1"/>
  <c r="CE583" i="1"/>
  <c r="BB583" i="1"/>
  <c r="CE561" i="1"/>
  <c r="BB561" i="1"/>
  <c r="CE1422" i="1"/>
  <c r="BB1422" i="1"/>
  <c r="CE1241" i="1"/>
  <c r="BB1241" i="1"/>
  <c r="CE232" i="1"/>
  <c r="BB232" i="1"/>
  <c r="CE66" i="1"/>
  <c r="BB66" i="1"/>
  <c r="CE1356" i="1"/>
  <c r="BB1356" i="1"/>
  <c r="CE870" i="1"/>
  <c r="BB870" i="1"/>
  <c r="CE1436" i="1"/>
  <c r="BB1436" i="1"/>
  <c r="CE896" i="1"/>
  <c r="BB896" i="1"/>
  <c r="CE1004" i="1"/>
  <c r="BB1004" i="1"/>
  <c r="CE1159" i="1"/>
  <c r="BB1159" i="1"/>
  <c r="CE1143" i="1"/>
  <c r="BB1143" i="1"/>
  <c r="CE1366" i="1"/>
  <c r="BB1366" i="1"/>
  <c r="CE1236" i="1"/>
  <c r="BB1236" i="1"/>
  <c r="CE43" i="1"/>
  <c r="BB43" i="1"/>
  <c r="CE1178" i="1"/>
  <c r="BB1178" i="1"/>
  <c r="CE1385" i="1"/>
  <c r="BB1385" i="1"/>
  <c r="CE383" i="1"/>
  <c r="BB383" i="1"/>
  <c r="CE636" i="1"/>
  <c r="BB636" i="1"/>
  <c r="CE782" i="1"/>
  <c r="BB782" i="1"/>
  <c r="CE1361" i="1"/>
  <c r="BB1361" i="1"/>
  <c r="CE394" i="1"/>
  <c r="BB394" i="1"/>
  <c r="CE1266" i="1"/>
  <c r="BB1266" i="1"/>
  <c r="CE1196" i="1"/>
  <c r="BB1196" i="1"/>
  <c r="CE905" i="1"/>
  <c r="BB905" i="1"/>
  <c r="CE1097" i="1"/>
  <c r="BB1097" i="1"/>
  <c r="CE283" i="1"/>
  <c r="BB283" i="1"/>
  <c r="CE480" i="1"/>
  <c r="BB480" i="1"/>
  <c r="CE1371" i="1"/>
  <c r="BB1371" i="1"/>
  <c r="CE559" i="1"/>
  <c r="BB559" i="1"/>
  <c r="CE1495" i="1"/>
  <c r="BB1495" i="1"/>
  <c r="CE669" i="1"/>
  <c r="BB669" i="1"/>
  <c r="CE1056" i="1"/>
  <c r="BB1056" i="1"/>
  <c r="CE1204" i="1"/>
  <c r="BB1204" i="1"/>
  <c r="CE972" i="1"/>
  <c r="BB972" i="1"/>
  <c r="CE1378" i="1"/>
  <c r="BB1378" i="1"/>
  <c r="CE1189" i="1"/>
  <c r="BB1189" i="1"/>
  <c r="CE837" i="1"/>
  <c r="BB837" i="1"/>
  <c r="CE1338" i="1"/>
  <c r="BB1338" i="1"/>
  <c r="CE939" i="1"/>
  <c r="BB939" i="1"/>
  <c r="CE979" i="1"/>
  <c r="BB979" i="1"/>
  <c r="CE758" i="1"/>
  <c r="BB758" i="1"/>
  <c r="CE850" i="1"/>
  <c r="BB850" i="1"/>
  <c r="CE290" i="1"/>
  <c r="BB290" i="1"/>
  <c r="CE1132" i="1"/>
  <c r="BB1132" i="1"/>
  <c r="CE531" i="1"/>
  <c r="BB531" i="1"/>
  <c r="CE1074" i="1"/>
  <c r="BB1074" i="1"/>
  <c r="CE337" i="1"/>
  <c r="BB337" i="1"/>
  <c r="CE174" i="1"/>
  <c r="BB174" i="1"/>
  <c r="CE313" i="1"/>
  <c r="BB313" i="1"/>
  <c r="CE806" i="1"/>
  <c r="BB806" i="1"/>
  <c r="CE471" i="1"/>
  <c r="BB471" i="1"/>
  <c r="CE1307" i="1"/>
  <c r="BB1307" i="1"/>
  <c r="CE1382" i="1"/>
  <c r="BB1382" i="1"/>
  <c r="CE1256" i="1"/>
  <c r="BB1256" i="1"/>
  <c r="CE1399" i="1"/>
  <c r="BB1399" i="1"/>
  <c r="CE875" i="1"/>
  <c r="BB875" i="1"/>
  <c r="CE305" i="1"/>
  <c r="BB305" i="1"/>
  <c r="CE742" i="1"/>
  <c r="BB742" i="1"/>
  <c r="CE1109" i="1"/>
  <c r="BB1109" i="1"/>
  <c r="CE980" i="1"/>
  <c r="BB980" i="1"/>
  <c r="CE1198" i="1"/>
  <c r="BB1198" i="1"/>
  <c r="CE1484" i="1"/>
  <c r="BB1484" i="1"/>
  <c r="CE1468" i="1"/>
  <c r="BB1468" i="1"/>
  <c r="CE37" i="1"/>
  <c r="BB37" i="1"/>
  <c r="CE1029" i="1"/>
  <c r="BB1029" i="1"/>
  <c r="CE687" i="1"/>
  <c r="BB687" i="1"/>
  <c r="CE215" i="1"/>
  <c r="BB215" i="1"/>
  <c r="CE253" i="1"/>
  <c r="BB253" i="1"/>
  <c r="CE735" i="1"/>
  <c r="BB735" i="1"/>
  <c r="CE374" i="1"/>
  <c r="BB374" i="1"/>
  <c r="CE1308" i="1"/>
  <c r="BB1308" i="1"/>
  <c r="CE402" i="1"/>
  <c r="BB402" i="1"/>
  <c r="CE1405" i="1"/>
  <c r="BB1405" i="1"/>
  <c r="CE754" i="1"/>
  <c r="BB754" i="1"/>
  <c r="CE9" i="1"/>
  <c r="BB9" i="1"/>
  <c r="CE696" i="1"/>
  <c r="BB696" i="1"/>
  <c r="CE657" i="1"/>
  <c r="BB657" i="1"/>
  <c r="CE950" i="1"/>
  <c r="BB950" i="1"/>
  <c r="CE639" i="1"/>
  <c r="BB639" i="1"/>
  <c r="CE828" i="1"/>
  <c r="BB828" i="1"/>
  <c r="CE1071" i="1"/>
  <c r="BB1071" i="1"/>
  <c r="CE823" i="1"/>
  <c r="BB823" i="1"/>
  <c r="CE1293" i="1"/>
  <c r="BB1293" i="1"/>
  <c r="CE676" i="1"/>
  <c r="BB676" i="1"/>
  <c r="CE877" i="1"/>
  <c r="BB877" i="1"/>
  <c r="CE1066" i="1"/>
  <c r="BB1066" i="1"/>
  <c r="CE785" i="1"/>
  <c r="BB785" i="1"/>
  <c r="CE1102" i="1"/>
  <c r="BB1102" i="1"/>
  <c r="CE430" i="1"/>
  <c r="BB430" i="1"/>
  <c r="CE822" i="1"/>
  <c r="BB822" i="1"/>
  <c r="CE368" i="1"/>
  <c r="BB368" i="1"/>
  <c r="CE646" i="1"/>
  <c r="BB646" i="1"/>
  <c r="CE1213" i="1"/>
  <c r="BB1213" i="1"/>
  <c r="CE64" i="1"/>
  <c r="BB64" i="1"/>
  <c r="CE1112" i="1"/>
  <c r="BB1112" i="1"/>
  <c r="CE558" i="1"/>
  <c r="BB558" i="1"/>
  <c r="CE712" i="1"/>
  <c r="BB712" i="1"/>
  <c r="CE673" i="1"/>
  <c r="BB673" i="1"/>
  <c r="CE105" i="1"/>
  <c r="BB105" i="1"/>
  <c r="CE1458" i="1"/>
  <c r="BB1458" i="1"/>
  <c r="CE390" i="1"/>
  <c r="BB390" i="1"/>
  <c r="CE1069" i="1"/>
  <c r="BB1069" i="1"/>
  <c r="CE363" i="1"/>
  <c r="BB363" i="1"/>
  <c r="CE555" i="1"/>
  <c r="BB555" i="1"/>
  <c r="CE715" i="1"/>
  <c r="BB715" i="1"/>
  <c r="CE1302" i="1"/>
  <c r="BB1302" i="1"/>
  <c r="CE50" i="1"/>
  <c r="BB50" i="1"/>
  <c r="CE720" i="1"/>
  <c r="BB720" i="1"/>
  <c r="CE880" i="1"/>
  <c r="BB880" i="1"/>
  <c r="CE701" i="1"/>
  <c r="BB701" i="1"/>
  <c r="CE571" i="1"/>
  <c r="BB571" i="1"/>
  <c r="CE1325" i="1"/>
  <c r="BB1325" i="1"/>
  <c r="CE189" i="1"/>
  <c r="BB189" i="1"/>
  <c r="CE1232" i="1"/>
  <c r="BB1232" i="1"/>
  <c r="CE388" i="1"/>
  <c r="BB388" i="1"/>
  <c r="CE271" i="1"/>
  <c r="BB271" i="1"/>
  <c r="CE921" i="1"/>
  <c r="BB921" i="1"/>
  <c r="CE1017" i="1"/>
  <c r="BB1017" i="1"/>
  <c r="CE157" i="1"/>
  <c r="BB157" i="1"/>
  <c r="CE1233" i="1"/>
  <c r="BB1233" i="1"/>
  <c r="CE1140" i="1"/>
  <c r="BB1140" i="1"/>
  <c r="CE120" i="1"/>
  <c r="BB120" i="1"/>
  <c r="CE1390" i="1"/>
  <c r="BB1390" i="1"/>
  <c r="CE252" i="1"/>
  <c r="BB252" i="1"/>
  <c r="CE652" i="1"/>
  <c r="BB652" i="1"/>
  <c r="CE163" i="1"/>
  <c r="BB163" i="1"/>
  <c r="CE579" i="1"/>
  <c r="BB579" i="1"/>
  <c r="CE700" i="1"/>
  <c r="BB700" i="1"/>
  <c r="CE1330" i="1"/>
  <c r="BB1330" i="1"/>
  <c r="CE1252" i="1"/>
  <c r="BB1252" i="1"/>
  <c r="CE233" i="1"/>
  <c r="BB233" i="1"/>
  <c r="CE1320" i="1"/>
  <c r="BB1320" i="1"/>
  <c r="CE431" i="1"/>
  <c r="BB431" i="1"/>
  <c r="CE193" i="1"/>
  <c r="BB193" i="1"/>
  <c r="CE1041" i="1"/>
  <c r="BB1041" i="1"/>
  <c r="CE51" i="1"/>
  <c r="BB51" i="1"/>
  <c r="CE1231" i="1"/>
  <c r="BB1231" i="1"/>
  <c r="CE1240" i="1"/>
  <c r="BB1240" i="1"/>
  <c r="CE878" i="1"/>
  <c r="BB878" i="1"/>
  <c r="CE518" i="1"/>
  <c r="BB518" i="1"/>
  <c r="CE1498" i="1"/>
  <c r="BB1498" i="1"/>
  <c r="CE922" i="1"/>
  <c r="BB922" i="1"/>
  <c r="CE1435" i="1"/>
  <c r="BB1435" i="1"/>
  <c r="CE702" i="1"/>
  <c r="BB702" i="1"/>
  <c r="CE200" i="1"/>
  <c r="BB200" i="1"/>
  <c r="CE1317" i="1"/>
  <c r="BB1317" i="1"/>
  <c r="CE604" i="1"/>
  <c r="BB604" i="1"/>
  <c r="CE1138" i="1"/>
  <c r="BB1138" i="1"/>
  <c r="CE528" i="1"/>
  <c r="BB528" i="1"/>
  <c r="CE610" i="1"/>
  <c r="BB610" i="1"/>
  <c r="CE300" i="1"/>
  <c r="BB300" i="1"/>
  <c r="CE1477" i="1"/>
  <c r="BB1477" i="1"/>
  <c r="CE1093" i="1"/>
  <c r="BB1093" i="1"/>
  <c r="CE1397" i="1"/>
  <c r="BB1397" i="1"/>
  <c r="CE708" i="1"/>
  <c r="BB708" i="1"/>
  <c r="CE1328" i="1"/>
  <c r="BB1328" i="1"/>
  <c r="CE500" i="1"/>
  <c r="BB500" i="1"/>
  <c r="CE63" i="1"/>
  <c r="BB63" i="1"/>
  <c r="CE473" i="1"/>
  <c r="BB473" i="1"/>
  <c r="CE28" i="1"/>
  <c r="BB28" i="1"/>
  <c r="CE1491" i="1"/>
  <c r="BB1491" i="1"/>
  <c r="CE1212" i="1"/>
  <c r="BB1212" i="1"/>
  <c r="CE1323" i="1"/>
  <c r="BB1323" i="1"/>
  <c r="CE746" i="1"/>
  <c r="BB746" i="1"/>
  <c r="CE886" i="1"/>
  <c r="BB886" i="1"/>
  <c r="CE1188" i="1"/>
  <c r="BB1188" i="1"/>
  <c r="CE672" i="1"/>
  <c r="BB672" i="1"/>
  <c r="CE505" i="1"/>
  <c r="BB505" i="1"/>
  <c r="CE973" i="1"/>
  <c r="BB973" i="1"/>
  <c r="CE1433" i="1"/>
  <c r="BB1433" i="1"/>
  <c r="CE454" i="1"/>
  <c r="BB454" i="1"/>
  <c r="CE1443" i="1"/>
  <c r="BB1443" i="1"/>
  <c r="CE483" i="1"/>
  <c r="BB483" i="1"/>
  <c r="CE726" i="1"/>
  <c r="BB726" i="1"/>
  <c r="CE304" i="1"/>
  <c r="BB304" i="1"/>
  <c r="CE1228" i="1"/>
  <c r="BB1228" i="1"/>
  <c r="CE1490" i="1"/>
  <c r="BB1490" i="1"/>
  <c r="CE930" i="1"/>
  <c r="BB930" i="1"/>
  <c r="CE54" i="1"/>
  <c r="BB54" i="1"/>
  <c r="CE1134" i="1"/>
  <c r="BB1134" i="1"/>
  <c r="CE601" i="1"/>
  <c r="BB601" i="1"/>
  <c r="CE1289" i="1"/>
  <c r="BB1289" i="1"/>
  <c r="CE492" i="1"/>
  <c r="BB492" i="1"/>
  <c r="CE501" i="1"/>
  <c r="BB501" i="1"/>
  <c r="CE873" i="1"/>
  <c r="BB873" i="1"/>
  <c r="CE291" i="1"/>
  <c r="BB291" i="1"/>
  <c r="CE1200" i="1"/>
  <c r="BB1200" i="1"/>
  <c r="CE1288" i="1"/>
  <c r="BB1288" i="1"/>
  <c r="CE620" i="1"/>
  <c r="BB620" i="1"/>
  <c r="CE1460" i="1"/>
  <c r="BB1460" i="1"/>
  <c r="CE1201" i="1"/>
  <c r="BB1201" i="1"/>
  <c r="CE460" i="1"/>
  <c r="BB460" i="1"/>
  <c r="CE99" i="1"/>
  <c r="BB99" i="1"/>
  <c r="CE16" i="1"/>
  <c r="BB16" i="1"/>
  <c r="CE272" i="1"/>
  <c r="BB272" i="1"/>
  <c r="CE985" i="1"/>
  <c r="BB985" i="1"/>
  <c r="CE393" i="1"/>
  <c r="BB393" i="1"/>
  <c r="CE186" i="1"/>
  <c r="BB186" i="1"/>
  <c r="CE46" i="1"/>
  <c r="BB46" i="1"/>
  <c r="CE1271" i="1"/>
  <c r="BB1271" i="1"/>
  <c r="CE654" i="1"/>
  <c r="BB654" i="1"/>
  <c r="CE225" i="1"/>
  <c r="BB225" i="1"/>
  <c r="CE665" i="1"/>
  <c r="BB665" i="1"/>
  <c r="CE231" i="1"/>
  <c r="BB231" i="1"/>
  <c r="CE935" i="1"/>
  <c r="BB935" i="1"/>
  <c r="CE907" i="1"/>
  <c r="BB907" i="1"/>
  <c r="CE107" i="1"/>
  <c r="BB107" i="1"/>
  <c r="CE999" i="1"/>
  <c r="BB999" i="1"/>
  <c r="CE1105" i="1"/>
  <c r="BB1105" i="1"/>
  <c r="CE220" i="1"/>
  <c r="BB220" i="1"/>
  <c r="CE44" i="1"/>
  <c r="BB44" i="1"/>
  <c r="CE937" i="1"/>
  <c r="BB937" i="1"/>
  <c r="CE524" i="1"/>
  <c r="BB524" i="1"/>
  <c r="CE109" i="1"/>
  <c r="BB109" i="1"/>
  <c r="CE1454" i="1"/>
  <c r="BB1454" i="1"/>
  <c r="CE951" i="1"/>
  <c r="BB951" i="1"/>
  <c r="CE589" i="1"/>
  <c r="BB589" i="1"/>
  <c r="CE576" i="1"/>
  <c r="BB576" i="1"/>
  <c r="CE1268" i="1"/>
  <c r="BB1268" i="1"/>
  <c r="CE1269" i="1"/>
  <c r="BB1269" i="1"/>
  <c r="CE1215" i="1"/>
  <c r="BB1215" i="1"/>
  <c r="CE717" i="1"/>
  <c r="BB717" i="1"/>
  <c r="CE1176" i="1"/>
  <c r="BB1176" i="1"/>
  <c r="CE322" i="1"/>
  <c r="BB322" i="1"/>
  <c r="CE1033" i="1"/>
  <c r="BB1033" i="1"/>
  <c r="CE1431" i="1"/>
  <c r="BB1431" i="1"/>
  <c r="CE447" i="1"/>
  <c r="BB447" i="1"/>
  <c r="CE596" i="1"/>
  <c r="BB596" i="1"/>
  <c r="CE1199" i="1"/>
  <c r="BB1199" i="1"/>
  <c r="CE1337" i="1"/>
  <c r="BB1337" i="1"/>
  <c r="CE1364" i="1"/>
  <c r="BB1364" i="1"/>
  <c r="CE185" i="1"/>
  <c r="BB185" i="1"/>
  <c r="CE124" i="1"/>
  <c r="BB124" i="1"/>
  <c r="CE437" i="1"/>
  <c r="BB437" i="1"/>
  <c r="CE1037" i="1"/>
  <c r="BB1037" i="1"/>
  <c r="CE733" i="1"/>
  <c r="BB733" i="1"/>
  <c r="CE1147" i="1"/>
  <c r="BB1147" i="1"/>
  <c r="CE804" i="1"/>
  <c r="BB804" i="1"/>
  <c r="CE1220" i="1"/>
  <c r="BB1220" i="1"/>
  <c r="CE1319" i="1"/>
  <c r="BB1319" i="1"/>
  <c r="CE1068" i="1"/>
  <c r="BB1068" i="1"/>
  <c r="CE957" i="1"/>
  <c r="BB957" i="1"/>
  <c r="CE155" i="1"/>
  <c r="BB155" i="1"/>
  <c r="CE580" i="1"/>
  <c r="BB580" i="1"/>
  <c r="CE1245" i="1"/>
  <c r="BB1245" i="1"/>
  <c r="CE1085" i="1"/>
  <c r="BB1085" i="1"/>
  <c r="CE780" i="1"/>
  <c r="BB780" i="1"/>
  <c r="CE945" i="1"/>
  <c r="BB945" i="1"/>
  <c r="CE356" i="1"/>
  <c r="BB356" i="1"/>
  <c r="CE1042" i="1"/>
  <c r="BB1042" i="1"/>
  <c r="CE1438" i="1"/>
  <c r="BB1438" i="1"/>
  <c r="CE1409" i="1"/>
  <c r="BB1409" i="1"/>
  <c r="CE1327" i="1"/>
  <c r="BB1327" i="1"/>
  <c r="CE495" i="1"/>
  <c r="BB495" i="1"/>
  <c r="CE920" i="1"/>
  <c r="BB920" i="1"/>
  <c r="CE551" i="1"/>
  <c r="BB551" i="1"/>
  <c r="CE727" i="1"/>
  <c r="BB727" i="1"/>
  <c r="CE1118" i="1"/>
  <c r="BB1118" i="1"/>
  <c r="CE535" i="1"/>
  <c r="BB535" i="1"/>
  <c r="CE541" i="1"/>
  <c r="BB541" i="1"/>
  <c r="CE917" i="1"/>
  <c r="BB917" i="1"/>
  <c r="CE684" i="1"/>
  <c r="BB684" i="1"/>
  <c r="CE1476" i="1"/>
  <c r="BB1476" i="1"/>
  <c r="CE734" i="1"/>
  <c r="BB734" i="1"/>
  <c r="CE1184" i="1"/>
  <c r="BB1184" i="1"/>
  <c r="CE819" i="1"/>
  <c r="BB819" i="1"/>
  <c r="CE1473" i="1"/>
  <c r="BB1473" i="1"/>
  <c r="CE883" i="1"/>
  <c r="BB883" i="1"/>
  <c r="CE966" i="1"/>
  <c r="BB966" i="1"/>
  <c r="CE315" i="1"/>
  <c r="BB315" i="1"/>
  <c r="CE381" i="1"/>
  <c r="BB381" i="1"/>
  <c r="CE606" i="1"/>
  <c r="BB606" i="1"/>
  <c r="CE1272" i="1"/>
  <c r="BB1272" i="1"/>
  <c r="CE1368" i="1"/>
  <c r="BB1368" i="1"/>
  <c r="CE811" i="1"/>
  <c r="BB811" i="1"/>
  <c r="CE408" i="1"/>
  <c r="BB408" i="1"/>
  <c r="CE1374" i="1"/>
  <c r="BB1374" i="1"/>
  <c r="CE423" i="1"/>
  <c r="BB423" i="1"/>
  <c r="CE597" i="1"/>
  <c r="BB597" i="1"/>
  <c r="CE1007" i="1"/>
  <c r="BB1007" i="1"/>
  <c r="CE325" i="1"/>
  <c r="BB325" i="1"/>
  <c r="CE942" i="1"/>
  <c r="BB942" i="1"/>
  <c r="CE899" i="1"/>
  <c r="BB899" i="1"/>
  <c r="CE564" i="1"/>
  <c r="BB564" i="1"/>
  <c r="CE584" i="1"/>
  <c r="BB584" i="1"/>
  <c r="CE8" i="1"/>
  <c r="BB8" i="1"/>
  <c r="CE919" i="1"/>
  <c r="BB919" i="1"/>
  <c r="CE888" i="1"/>
  <c r="BB888" i="1"/>
  <c r="CE928" i="1"/>
  <c r="BB928" i="1"/>
  <c r="CE655" i="1"/>
  <c r="BB655" i="1"/>
  <c r="CE1006" i="1"/>
  <c r="BB1006" i="1"/>
  <c r="CE582" i="1"/>
  <c r="BB582" i="1"/>
  <c r="CE191" i="1"/>
  <c r="BB191" i="1"/>
  <c r="CE1089" i="1"/>
  <c r="BB1089" i="1"/>
  <c r="CE923" i="1"/>
  <c r="BB923" i="1"/>
  <c r="CE281" i="1"/>
  <c r="BB281" i="1"/>
  <c r="CE85" i="1"/>
  <c r="BB85" i="1"/>
  <c r="CE864" i="1"/>
  <c r="BB864" i="1"/>
  <c r="CE1175" i="1"/>
  <c r="BB1175" i="1"/>
  <c r="CE567" i="1"/>
  <c r="BB567" i="1"/>
  <c r="CE948" i="1"/>
  <c r="BB948" i="1"/>
  <c r="CE1141" i="1"/>
  <c r="BB1141" i="1"/>
  <c r="CE1081" i="1"/>
  <c r="BB1081" i="1"/>
  <c r="CE753" i="1"/>
  <c r="BB753" i="1"/>
  <c r="CE1469" i="1"/>
  <c r="BB1469" i="1"/>
  <c r="CE1459" i="1"/>
  <c r="BB1459" i="1"/>
  <c r="CE1441" i="1"/>
  <c r="BB1441" i="1"/>
  <c r="CE874" i="1"/>
  <c r="BB874" i="1"/>
  <c r="CE1072" i="1"/>
  <c r="BB1072" i="1"/>
  <c r="CE1186" i="1"/>
  <c r="BB1186" i="1"/>
  <c r="CE1341" i="1"/>
  <c r="BB1341" i="1"/>
  <c r="CE901" i="1"/>
  <c r="BB901" i="1"/>
  <c r="CE1065" i="1"/>
  <c r="BB1065" i="1"/>
  <c r="CE1355" i="1"/>
  <c r="BB1355" i="1"/>
  <c r="CE353" i="1"/>
  <c r="BB353" i="1"/>
  <c r="CE1082" i="1"/>
  <c r="BB1082" i="1"/>
  <c r="CE26" i="1"/>
  <c r="BB26" i="1"/>
  <c r="CE452" i="1"/>
  <c r="BB452" i="1"/>
  <c r="CE1000" i="1"/>
  <c r="BB1000" i="1"/>
  <c r="CE301" i="1"/>
  <c r="BB301" i="1"/>
  <c r="CE1345" i="1"/>
  <c r="BB1345" i="1"/>
  <c r="CE1499" i="1"/>
  <c r="BB1499" i="1"/>
  <c r="CE1465" i="1"/>
  <c r="BB1465" i="1"/>
  <c r="CE679" i="1"/>
  <c r="BB679" i="1"/>
  <c r="CE1489" i="1"/>
  <c r="BB1489" i="1"/>
  <c r="CE924" i="1"/>
  <c r="BB924" i="1"/>
  <c r="CE997" i="1"/>
  <c r="BB997" i="1"/>
  <c r="CE771" i="1"/>
  <c r="BB771" i="1"/>
  <c r="CE1250" i="1"/>
  <c r="BB1250" i="1"/>
  <c r="CE323" i="1"/>
  <c r="BB323" i="1"/>
  <c r="CE1292" i="1"/>
  <c r="BB1292" i="1"/>
  <c r="CE617" i="1"/>
  <c r="BB617" i="1"/>
  <c r="CE1021" i="1"/>
  <c r="BB1021" i="1"/>
  <c r="CE911" i="1"/>
  <c r="BB911" i="1"/>
  <c r="CE705" i="1"/>
  <c r="BB705" i="1"/>
  <c r="CE631" i="1"/>
  <c r="BB631" i="1"/>
  <c r="CE348" i="1"/>
  <c r="BB348" i="1"/>
  <c r="CE377" i="1"/>
  <c r="BB377" i="1"/>
  <c r="CE493" i="1"/>
  <c r="BB493" i="1"/>
  <c r="CE240" i="1"/>
  <c r="BB240" i="1"/>
  <c r="CE1167" i="1"/>
  <c r="BB1167" i="1"/>
  <c r="CE1166" i="1"/>
  <c r="BB1166" i="1"/>
  <c r="CE643" i="1"/>
  <c r="BB643" i="1"/>
  <c r="CE1428" i="1"/>
  <c r="BB1428" i="1"/>
  <c r="CE108" i="1"/>
  <c r="BB108" i="1"/>
  <c r="CE1130" i="1"/>
  <c r="BB1130" i="1"/>
  <c r="CE386" i="1"/>
  <c r="BB386" i="1"/>
  <c r="CE860" i="1"/>
  <c r="BB860" i="1"/>
  <c r="CE1122" i="1"/>
  <c r="BB1122" i="1"/>
  <c r="CE674" i="1"/>
  <c r="BB674" i="1"/>
  <c r="CE1494" i="1"/>
  <c r="BB1494" i="1"/>
  <c r="CE834" i="1"/>
  <c r="BB834" i="1"/>
  <c r="CE441" i="1"/>
  <c r="BB441" i="1"/>
  <c r="CE498" i="1"/>
  <c r="BB498" i="1"/>
  <c r="CE663" i="1"/>
  <c r="BB663" i="1"/>
  <c r="CE988" i="1"/>
  <c r="BB988" i="1"/>
  <c r="CE499" i="1"/>
  <c r="BB499" i="1"/>
  <c r="CE994" i="1"/>
  <c r="BB994" i="1"/>
  <c r="CE1067" i="1"/>
  <c r="BB1067" i="1"/>
  <c r="CE417" i="1"/>
  <c r="BB417" i="1"/>
  <c r="CE266" i="1"/>
  <c r="BB266" i="1"/>
  <c r="CE550" i="1"/>
  <c r="BB550" i="1"/>
  <c r="CE984" i="1"/>
  <c r="BB984" i="1"/>
  <c r="CE382" i="1"/>
  <c r="BB382" i="1"/>
  <c r="CE132" i="1"/>
  <c r="BB132" i="1"/>
  <c r="CE110" i="1"/>
  <c r="BB110" i="1"/>
  <c r="CE1222" i="1"/>
  <c r="BB1222" i="1"/>
  <c r="CE384" i="1"/>
  <c r="BB384" i="1"/>
  <c r="CE752" i="1"/>
  <c r="BB752" i="1"/>
  <c r="CE190" i="1"/>
  <c r="BB190" i="1"/>
  <c r="CE19" i="1"/>
  <c r="BB19" i="1"/>
  <c r="CE795" i="1"/>
  <c r="BB795" i="1"/>
  <c r="CE477" i="1"/>
  <c r="BB477" i="1"/>
  <c r="CE1406" i="1"/>
  <c r="BB1406" i="1"/>
  <c r="CE184" i="1"/>
  <c r="BB184" i="1"/>
  <c r="CE1235" i="1"/>
  <c r="BB1235" i="1"/>
  <c r="CE218" i="1"/>
  <c r="BB218" i="1"/>
  <c r="CE350" i="1"/>
  <c r="BB350" i="1"/>
  <c r="CE707" i="1"/>
  <c r="BB707" i="1"/>
  <c r="CE274" i="1"/>
  <c r="BB274" i="1"/>
  <c r="CE208" i="1"/>
  <c r="BB208" i="1"/>
  <c r="CE31" i="1"/>
  <c r="BB31" i="1"/>
  <c r="CE296" i="1"/>
  <c r="BB296" i="1"/>
  <c r="CE976" i="1"/>
  <c r="BB976" i="1"/>
  <c r="CE581" i="1"/>
  <c r="BB581" i="1"/>
  <c r="CE876" i="1"/>
  <c r="BB876" i="1"/>
  <c r="CE1216" i="1"/>
  <c r="BB1216" i="1"/>
  <c r="CE209" i="1"/>
  <c r="BB209" i="1"/>
  <c r="CE440" i="1"/>
  <c r="BB440" i="1"/>
  <c r="CE285" i="1"/>
  <c r="BB285" i="1"/>
  <c r="CE338" i="1"/>
  <c r="BB338" i="1"/>
  <c r="CE249" i="1"/>
  <c r="BB249" i="1"/>
  <c r="CE413" i="1"/>
  <c r="BB413" i="1"/>
  <c r="CE650" i="1"/>
  <c r="BB650" i="1"/>
  <c r="CE321" i="1"/>
  <c r="BB321" i="1"/>
  <c r="CE488" i="1"/>
  <c r="BB488" i="1"/>
  <c r="CE507" i="1"/>
  <c r="BB507" i="1"/>
  <c r="CE90" i="1"/>
  <c r="BB90" i="1"/>
  <c r="CE1309" i="1"/>
  <c r="BB1309" i="1"/>
  <c r="CE179" i="1"/>
  <c r="BB179" i="1"/>
  <c r="CE65" i="1"/>
  <c r="BB65" i="1"/>
  <c r="CE927" i="1"/>
  <c r="BB927" i="1"/>
  <c r="CE961" i="1"/>
  <c r="BB961" i="1"/>
  <c r="CE1192" i="1"/>
  <c r="BB1192" i="1"/>
  <c r="CE932" i="1"/>
  <c r="BB932" i="1"/>
  <c r="CE586" i="1"/>
  <c r="BB586" i="1"/>
  <c r="CE595" i="1"/>
  <c r="BB595" i="1"/>
  <c r="CE1343" i="1"/>
  <c r="BB1343" i="1"/>
  <c r="CE427" i="1"/>
  <c r="BB427" i="1"/>
  <c r="CE407" i="1"/>
  <c r="BB407" i="1"/>
  <c r="CE536" i="1"/>
  <c r="BB536" i="1"/>
  <c r="CE1301" i="1"/>
  <c r="BB1301" i="1"/>
  <c r="CE18" i="1"/>
  <c r="BB18" i="1"/>
  <c r="CE1426" i="1"/>
  <c r="BB1426" i="1"/>
  <c r="CE807" i="1"/>
  <c r="BB807" i="1"/>
  <c r="CE1439" i="1"/>
  <c r="BB1439" i="1"/>
  <c r="CE723" i="1"/>
  <c r="BB723" i="1"/>
  <c r="CE1444" i="1"/>
  <c r="BB1444" i="1"/>
  <c r="CE195" i="1"/>
  <c r="BB195" i="1"/>
  <c r="CE475" i="1"/>
  <c r="BB475" i="1"/>
  <c r="CE78" i="1"/>
  <c r="BB78" i="1"/>
  <c r="CE1315" i="1"/>
  <c r="BB1315" i="1"/>
  <c r="CE944" i="1"/>
  <c r="BB944" i="1"/>
  <c r="CE977" i="1"/>
  <c r="BB977" i="1"/>
  <c r="CE1121" i="1"/>
  <c r="BB1121" i="1"/>
  <c r="CE719" i="1"/>
  <c r="BB719" i="1"/>
  <c r="CE1294" i="1"/>
  <c r="BB1294" i="1"/>
  <c r="CE981" i="1"/>
  <c r="BB981" i="1"/>
  <c r="CE1086" i="1"/>
  <c r="BB1086" i="1"/>
  <c r="CE1306" i="1"/>
  <c r="BB1306" i="1"/>
  <c r="CE1321" i="1"/>
  <c r="BB1321" i="1"/>
  <c r="CE855" i="1"/>
  <c r="BB855" i="1"/>
  <c r="CE745" i="1"/>
  <c r="BB745" i="1"/>
  <c r="CE1012" i="1"/>
  <c r="BB1012" i="1"/>
  <c r="CE1077" i="1"/>
  <c r="BB1077" i="1"/>
  <c r="CE405" i="1"/>
  <c r="BB405" i="1"/>
  <c r="CE181" i="1"/>
  <c r="BB181" i="1"/>
  <c r="CE680" i="1"/>
  <c r="BB680" i="1"/>
  <c r="CE926" i="1"/>
  <c r="BB926" i="1"/>
  <c r="CE251" i="1"/>
  <c r="BB251" i="1"/>
  <c r="CE145" i="1"/>
  <c r="BB145" i="1"/>
  <c r="CE103" i="1"/>
  <c r="BB103" i="1"/>
  <c r="CE1496" i="1"/>
  <c r="BB1496" i="1"/>
  <c r="CE27" i="1"/>
  <c r="BB27" i="1"/>
  <c r="CE1455" i="1"/>
  <c r="BB1455" i="1"/>
  <c r="CE80" i="1"/>
  <c r="BB80" i="1"/>
  <c r="CE1457" i="1"/>
  <c r="BB1457" i="1"/>
  <c r="CE544" i="1"/>
  <c r="BB544" i="1"/>
  <c r="CE1416" i="1"/>
  <c r="BB1416" i="1"/>
  <c r="CE1462" i="1"/>
  <c r="BB1462" i="1"/>
  <c r="CE1194" i="1"/>
  <c r="BB1194" i="1"/>
  <c r="CE846" i="1"/>
  <c r="BB846" i="1"/>
  <c r="CE1182" i="1"/>
  <c r="BB1182" i="1"/>
  <c r="CE385" i="1"/>
  <c r="BB385" i="1"/>
  <c r="CE400" i="1"/>
  <c r="BB400" i="1"/>
  <c r="CE1190" i="1"/>
  <c r="BB1190" i="1"/>
  <c r="CE853" i="1"/>
  <c r="BB853" i="1"/>
  <c r="CE1001" i="1"/>
  <c r="BB1001" i="1"/>
  <c r="CE1482" i="1"/>
  <c r="BB1482" i="1"/>
  <c r="CE1432" i="1"/>
  <c r="BB1432" i="1"/>
  <c r="CE201" i="1"/>
  <c r="BB201" i="1"/>
  <c r="CE1117" i="1"/>
  <c r="BB1117" i="1"/>
  <c r="CE450" i="1"/>
  <c r="BB450" i="1"/>
  <c r="CE799" i="1"/>
  <c r="BB799" i="1"/>
  <c r="CE438" i="1"/>
  <c r="BB438" i="1"/>
  <c r="CE1251" i="1"/>
  <c r="BB1251" i="1"/>
  <c r="CE1151" i="1"/>
  <c r="BB1151" i="1"/>
  <c r="CE451" i="1"/>
  <c r="BB451" i="1"/>
  <c r="CE1163" i="1"/>
  <c r="BB1163" i="1"/>
  <c r="CE836" i="1"/>
  <c r="BB836" i="1"/>
  <c r="CE1267" i="1"/>
  <c r="BB1267" i="1"/>
  <c r="CE910" i="1"/>
  <c r="BB910" i="1"/>
  <c r="CE419" i="1"/>
  <c r="BB419" i="1"/>
  <c r="CE1044" i="1"/>
  <c r="BB1044" i="1"/>
  <c r="CE800" i="1"/>
  <c r="BB800" i="1"/>
  <c r="CE165" i="1"/>
  <c r="BB165" i="1"/>
  <c r="CE838" i="1"/>
  <c r="BB838" i="1"/>
  <c r="CE1347" i="1"/>
  <c r="BB1347" i="1"/>
  <c r="CE1053" i="1"/>
  <c r="BB1053" i="1"/>
  <c r="CE311" i="1"/>
  <c r="BB311" i="1"/>
  <c r="CE677" i="1"/>
  <c r="BB677" i="1"/>
  <c r="CE1124" i="1"/>
  <c r="BB1124" i="1"/>
  <c r="CE1211" i="1"/>
  <c r="BB1211" i="1"/>
  <c r="CE1164" i="1"/>
  <c r="BB1164" i="1"/>
  <c r="CE694" i="1"/>
  <c r="BB694" i="1"/>
  <c r="CE411" i="1"/>
  <c r="BB411" i="1"/>
  <c r="CE1107" i="1"/>
  <c r="BB1107" i="1"/>
  <c r="CE1282" i="1"/>
  <c r="BB1282" i="1"/>
  <c r="CE633" i="1"/>
  <c r="BB633" i="1"/>
  <c r="CE150" i="1"/>
  <c r="BB150" i="1"/>
  <c r="CE865" i="1"/>
  <c r="BB865" i="1"/>
  <c r="CE256" i="1"/>
  <c r="BB256" i="1"/>
  <c r="CE568" i="1"/>
  <c r="BB568" i="1"/>
  <c r="CE525" i="1"/>
  <c r="BB525" i="1"/>
  <c r="CE969" i="1"/>
  <c r="BB969" i="1"/>
  <c r="CE1087" i="1"/>
  <c r="BB1087" i="1"/>
  <c r="CE1008" i="1"/>
  <c r="BB1008" i="1"/>
  <c r="CE1393" i="1"/>
  <c r="BB1393" i="1"/>
  <c r="CE1180" i="1"/>
  <c r="BB1180" i="1"/>
  <c r="CE989" i="1"/>
  <c r="BB989" i="1"/>
  <c r="CE376" i="1"/>
  <c r="BB376" i="1"/>
  <c r="CE416" i="1"/>
  <c r="BB416" i="1"/>
  <c r="CE872" i="1"/>
  <c r="BB872" i="1"/>
  <c r="CE621" i="1"/>
  <c r="BB621" i="1"/>
  <c r="CE1154" i="1"/>
  <c r="BB1154" i="1"/>
  <c r="CE829" i="1"/>
  <c r="BB829" i="1"/>
  <c r="CE310" i="1"/>
  <c r="BB310" i="1"/>
  <c r="CE1229" i="1"/>
  <c r="BB1229" i="1"/>
  <c r="CE903" i="1"/>
  <c r="BB903" i="1"/>
  <c r="CE1020" i="1"/>
  <c r="BB1020" i="1"/>
  <c r="CE628" i="1"/>
  <c r="BB628" i="1"/>
  <c r="CE1149" i="1"/>
  <c r="BB1149" i="1"/>
  <c r="CE287" i="1"/>
  <c r="BB287" i="1"/>
  <c r="CE98" i="1"/>
  <c r="BB98" i="1"/>
  <c r="CE1111" i="1"/>
  <c r="BB1111" i="1"/>
  <c r="CE970" i="1"/>
  <c r="BB970" i="1"/>
  <c r="CE1332" i="1"/>
  <c r="BB1332" i="1"/>
  <c r="CE479" i="1"/>
  <c r="BB479" i="1"/>
  <c r="CE1242" i="1"/>
  <c r="BB1242" i="1"/>
  <c r="CE1299" i="1"/>
  <c r="BB1299" i="1"/>
  <c r="CE1094" i="1"/>
  <c r="BB1094" i="1"/>
  <c r="CE380" i="1"/>
  <c r="BB380" i="1"/>
  <c r="CE345" i="1"/>
  <c r="BB345" i="1"/>
  <c r="CE1413" i="1"/>
  <c r="BB1413" i="1"/>
  <c r="CE361" i="1"/>
  <c r="BB361" i="1"/>
  <c r="CE1456" i="1"/>
  <c r="BB1456" i="1"/>
  <c r="CE1488" i="1"/>
  <c r="BB1488" i="1"/>
  <c r="CE222" i="1"/>
  <c r="BB222" i="1"/>
  <c r="CE570" i="1"/>
  <c r="BB570" i="1"/>
  <c r="CE1203" i="1"/>
  <c r="BB1203" i="1"/>
  <c r="CE1318" i="1"/>
  <c r="BB1318" i="1"/>
  <c r="CE1367" i="1"/>
  <c r="BB1367" i="1"/>
  <c r="CE1018" i="1"/>
  <c r="BB1018" i="1"/>
  <c r="CE918" i="1"/>
  <c r="BB918" i="1"/>
  <c r="CE1350" i="1"/>
  <c r="BB1350" i="1"/>
  <c r="CE314" i="1"/>
  <c r="BB314" i="1"/>
  <c r="CE122" i="1"/>
  <c r="BB122" i="1"/>
  <c r="CE115" i="1"/>
  <c r="BB115" i="1"/>
  <c r="CE844" i="1"/>
  <c r="BB844" i="1"/>
  <c r="CE940" i="1"/>
  <c r="BB940" i="1"/>
  <c r="CE1179" i="1"/>
  <c r="BB1179" i="1"/>
  <c r="CE1375" i="1"/>
  <c r="BB1375" i="1"/>
  <c r="CE599" i="1"/>
  <c r="BB599" i="1"/>
  <c r="CE773" i="1"/>
  <c r="BB773" i="1"/>
  <c r="CE1244" i="1"/>
  <c r="BB1244" i="1"/>
  <c r="CE1363" i="1"/>
  <c r="BB1363" i="1"/>
  <c r="CE747" i="1"/>
  <c r="BB747" i="1"/>
  <c r="CE1048" i="1"/>
  <c r="BB1048" i="1"/>
  <c r="CE522" i="1"/>
  <c r="BB522" i="1"/>
  <c r="CE1039" i="1"/>
  <c r="BB1039" i="1"/>
  <c r="CE769" i="1"/>
  <c r="BB769" i="1"/>
  <c r="CE1430" i="1"/>
  <c r="BB1430" i="1"/>
  <c r="CE482" i="1"/>
  <c r="BB482" i="1"/>
  <c r="CE1290" i="1"/>
  <c r="BB1290" i="1"/>
  <c r="CE750" i="1"/>
  <c r="BB750" i="1"/>
  <c r="CE686" i="1"/>
  <c r="BB686" i="1"/>
  <c r="CE282" i="1"/>
  <c r="BB282" i="1"/>
  <c r="CE956" i="1"/>
  <c r="BB956" i="1"/>
  <c r="CE748" i="1"/>
  <c r="BB748" i="1"/>
  <c r="CE219" i="1"/>
  <c r="BB219" i="1"/>
  <c r="CE1342" i="1"/>
  <c r="BB1342" i="1"/>
  <c r="CE630" i="1"/>
  <c r="BB630" i="1"/>
  <c r="CE902" i="1"/>
  <c r="BB902" i="1"/>
  <c r="CE1096" i="1"/>
  <c r="BB1096" i="1"/>
  <c r="CE1404" i="1"/>
  <c r="BB1404" i="1"/>
  <c r="CE161" i="1"/>
  <c r="BB161" i="1"/>
  <c r="CE11" i="1"/>
  <c r="BB11" i="1"/>
  <c r="CE938" i="1"/>
  <c r="BB938" i="1"/>
  <c r="CE317" i="1"/>
  <c r="BB317" i="1"/>
  <c r="CE1218" i="1"/>
  <c r="BB1218" i="1"/>
  <c r="CE659" i="1"/>
  <c r="BB659" i="1"/>
  <c r="CE106" i="1"/>
  <c r="BB106" i="1"/>
  <c r="CE1051" i="1"/>
  <c r="BB1051" i="1"/>
  <c r="CE1030" i="1"/>
  <c r="BB1030" i="1"/>
  <c r="CE1380" i="1"/>
  <c r="BB1380" i="1"/>
  <c r="CE260" i="1"/>
  <c r="BB260" i="1"/>
  <c r="CE164" i="1"/>
  <c r="BB164" i="1"/>
  <c r="CE1103" i="1"/>
  <c r="BB1103" i="1"/>
  <c r="CE1357" i="1"/>
  <c r="BB1357" i="1"/>
  <c r="CE749" i="1"/>
  <c r="BB749" i="1"/>
  <c r="CE995" i="1"/>
  <c r="BB995" i="1"/>
  <c r="CE1226" i="1"/>
  <c r="BB1226" i="1"/>
  <c r="CE1032" i="1"/>
  <c r="BB1032" i="1"/>
  <c r="CE1193" i="1"/>
  <c r="BB1193" i="1"/>
  <c r="CE514" i="1"/>
  <c r="BB514" i="1"/>
  <c r="CE960" i="1"/>
  <c r="BB960" i="1"/>
  <c r="CE307" i="1"/>
  <c r="BB307" i="1"/>
  <c r="CE1258" i="1"/>
  <c r="BB1258" i="1"/>
  <c r="CE332" i="1"/>
  <c r="BB332" i="1"/>
  <c r="CE352" i="1"/>
  <c r="BB352" i="1"/>
  <c r="CE690" i="1"/>
  <c r="BB690" i="1"/>
  <c r="CE539" i="1"/>
  <c r="BB539" i="1"/>
  <c r="CE140" i="1"/>
  <c r="BB140" i="1"/>
  <c r="CE79" i="1"/>
  <c r="BB79" i="1"/>
  <c r="CE1120" i="1"/>
  <c r="BB1120" i="1"/>
  <c r="CE1009" i="1"/>
  <c r="BB1009" i="1"/>
  <c r="CE1173" i="1"/>
  <c r="BB1173" i="1"/>
  <c r="CE426" i="1"/>
  <c r="BB426" i="1"/>
  <c r="CE371" i="1"/>
  <c r="BB371" i="1"/>
  <c r="CE1259" i="1"/>
  <c r="BB1259" i="1"/>
  <c r="CE61" i="1"/>
  <c r="BB61" i="1"/>
  <c r="CE470" i="1"/>
  <c r="BB470" i="1"/>
  <c r="CE1133" i="1"/>
  <c r="BB1133" i="1"/>
  <c r="CE496" i="1"/>
  <c r="BB496" i="1"/>
  <c r="CE504" i="1"/>
  <c r="BB504" i="1"/>
  <c r="CE1312" i="1"/>
  <c r="BB1312" i="1"/>
  <c r="CE1314" i="1"/>
  <c r="BB1314" i="1"/>
  <c r="CE1419" i="1"/>
  <c r="BB1419" i="1"/>
  <c r="CE255" i="1"/>
  <c r="BB255" i="1"/>
  <c r="CE996" i="1"/>
  <c r="BB996" i="1"/>
  <c r="CE1243" i="1"/>
  <c r="BB1243" i="1"/>
  <c r="CE626" i="1"/>
  <c r="BB626" i="1"/>
  <c r="CE94" i="1"/>
  <c r="BB94" i="1"/>
  <c r="CE737" i="1"/>
  <c r="BB737" i="1"/>
  <c r="CE35" i="1"/>
  <c r="BB35" i="1"/>
  <c r="CE1475" i="1"/>
  <c r="BB1475" i="1"/>
  <c r="CE904" i="1"/>
  <c r="BB904" i="1"/>
  <c r="CE100" i="1"/>
  <c r="BB100" i="1"/>
  <c r="CE364" i="1"/>
  <c r="BB364" i="1"/>
  <c r="CE1295" i="1"/>
  <c r="BB1295" i="1"/>
  <c r="CE1137" i="1"/>
  <c r="BB1137" i="1"/>
  <c r="CE1412" i="1"/>
  <c r="BB1412" i="1"/>
  <c r="CE593" i="1"/>
  <c r="BB593" i="1"/>
  <c r="CE49" i="1"/>
  <c r="BB49" i="1"/>
  <c r="CE76" i="1"/>
  <c r="BB76" i="1"/>
  <c r="CE357" i="1"/>
  <c r="BB357" i="1"/>
  <c r="CE739" i="1"/>
  <c r="BB739" i="1"/>
  <c r="CE336" i="1"/>
  <c r="BB336" i="1"/>
  <c r="CE279" i="1"/>
  <c r="BB279" i="1"/>
  <c r="CE422" i="1"/>
  <c r="BB422" i="1"/>
  <c r="CE144" i="1"/>
  <c r="BB144" i="1"/>
  <c r="CE365" i="1"/>
  <c r="BB365" i="1"/>
  <c r="CE779" i="1"/>
  <c r="BB779" i="1"/>
  <c r="CE1162" i="1"/>
  <c r="BB1162" i="1"/>
  <c r="CE592" i="1"/>
  <c r="BB592" i="1"/>
  <c r="CE398" i="1"/>
  <c r="BB398" i="1"/>
  <c r="CE565" i="1"/>
  <c r="BB565" i="1"/>
  <c r="CE1449" i="1"/>
  <c r="BB1449" i="1"/>
  <c r="CE375" i="1"/>
  <c r="BB375" i="1"/>
  <c r="CE608" i="1"/>
  <c r="BB608" i="1"/>
  <c r="CE1493" i="1"/>
  <c r="BB1493" i="1"/>
  <c r="CE666" i="1"/>
  <c r="BB666" i="1"/>
  <c r="CE1115" i="1"/>
  <c r="BB1115" i="1"/>
  <c r="CE810" i="1"/>
  <c r="BB810" i="1"/>
  <c r="CE1060" i="1"/>
  <c r="BB1060" i="1"/>
  <c r="CE1129" i="1"/>
  <c r="BB1129" i="1"/>
  <c r="CE934" i="1"/>
  <c r="BB934" i="1"/>
  <c r="CE458" i="1"/>
  <c r="BB458" i="1"/>
  <c r="CE831" i="1"/>
  <c r="BB831" i="1"/>
  <c r="CE770" i="1"/>
  <c r="BB770" i="1"/>
  <c r="CE768" i="1"/>
  <c r="BB768" i="1"/>
  <c r="CE675" i="1"/>
  <c r="BB675" i="1"/>
  <c r="CE138" i="1"/>
  <c r="BB138" i="1"/>
  <c r="CE443" i="1"/>
  <c r="BB443" i="1"/>
  <c r="CE815" i="1"/>
  <c r="BB815" i="1"/>
  <c r="CE87" i="1"/>
  <c r="BB87" i="1"/>
  <c r="CE1191" i="1"/>
  <c r="BB1191" i="1"/>
  <c r="CE1395" i="1"/>
  <c r="BB1395" i="1"/>
  <c r="CE741" i="1"/>
  <c r="BB741" i="1"/>
  <c r="CE866" i="1"/>
  <c r="BB866" i="1"/>
  <c r="CE821" i="1"/>
  <c r="BB821" i="1"/>
  <c r="CE1126" i="1"/>
  <c r="BB1126" i="1"/>
  <c r="CE519" i="1"/>
  <c r="BB519" i="1"/>
  <c r="CE112" i="1"/>
  <c r="BB112" i="1"/>
  <c r="CE692" i="1"/>
  <c r="BB692" i="1"/>
  <c r="CE414" i="1"/>
  <c r="BB414" i="1"/>
  <c r="CE1492" i="1"/>
  <c r="BB1492" i="1"/>
  <c r="CE1108" i="1"/>
  <c r="BB1108" i="1"/>
  <c r="CE84" i="1"/>
  <c r="BB84" i="1"/>
  <c r="CE879" i="1"/>
  <c r="BB879" i="1"/>
  <c r="CE1478" i="1"/>
  <c r="BB1478" i="1"/>
  <c r="CE943" i="1"/>
  <c r="BB943" i="1"/>
  <c r="CE891" i="1"/>
  <c r="BB891" i="1"/>
  <c r="CE1401" i="1"/>
  <c r="BB1401" i="1"/>
  <c r="CE36" i="1"/>
  <c r="BB36" i="1"/>
  <c r="CE1386" i="1"/>
  <c r="BB1386" i="1"/>
  <c r="CE1064" i="1"/>
  <c r="BB1064" i="1"/>
  <c r="CE230" i="1"/>
  <c r="BB230" i="1"/>
  <c r="CE963" i="1"/>
  <c r="BB963" i="1"/>
  <c r="CE302" i="1"/>
  <c r="BB302" i="1"/>
  <c r="CE53" i="1"/>
  <c r="BB53" i="1"/>
  <c r="CE192" i="1"/>
  <c r="BB192" i="1"/>
  <c r="CE333" i="1"/>
  <c r="BB333" i="1"/>
  <c r="CE1500" i="1"/>
  <c r="BB1500" i="1"/>
  <c r="CE1283" i="1"/>
  <c r="BB1283" i="1"/>
  <c r="CE32" i="1"/>
  <c r="BB32" i="1"/>
  <c r="CE651" i="1"/>
  <c r="BB651" i="1"/>
  <c r="CE362" i="1"/>
  <c r="BB362" i="1"/>
  <c r="CE1304" i="1"/>
  <c r="BB1304" i="1"/>
  <c r="CE909" i="1"/>
  <c r="BB909" i="1"/>
  <c r="CE91" i="1"/>
  <c r="BB91" i="1"/>
  <c r="CE547" i="1"/>
  <c r="BB547" i="1"/>
  <c r="CE861" i="1"/>
  <c r="BB861" i="1"/>
  <c r="CE1157" i="1"/>
  <c r="BB1157" i="1"/>
  <c r="CE309" i="1"/>
  <c r="BB309" i="1"/>
  <c r="CE1260" i="1"/>
  <c r="BB1260" i="1"/>
  <c r="CE668" i="1"/>
  <c r="BB668" i="1"/>
  <c r="CE990" i="1"/>
  <c r="BB990" i="1"/>
  <c r="CE594" i="1"/>
  <c r="BB594" i="1"/>
  <c r="CE171" i="1"/>
  <c r="BB171" i="1"/>
  <c r="CE263" i="1"/>
  <c r="BB263" i="1"/>
  <c r="CE789" i="1"/>
  <c r="BB789" i="1"/>
  <c r="CE1076" i="1"/>
  <c r="BB1076" i="1"/>
  <c r="CE1472" i="1"/>
  <c r="BB1472" i="1"/>
  <c r="CE367" i="1"/>
  <c r="BB367" i="1"/>
  <c r="CE453" i="1"/>
  <c r="BB453" i="1"/>
  <c r="CE936" i="1"/>
  <c r="BB936" i="1"/>
  <c r="CE1451" i="1"/>
  <c r="BB1451" i="1"/>
  <c r="CE1035" i="1"/>
  <c r="BB1035" i="1"/>
  <c r="CE744" i="1"/>
  <c r="BB744" i="1"/>
  <c r="CE698" i="1"/>
  <c r="BB698" i="1"/>
  <c r="CE1165" i="1"/>
  <c r="BB1165" i="1"/>
  <c r="CE1139" i="1"/>
  <c r="BB1139" i="1"/>
  <c r="CE638" i="1"/>
  <c r="BB638" i="1"/>
  <c r="CE998" i="1"/>
  <c r="BB998" i="1"/>
  <c r="CE1027" i="1"/>
  <c r="BB1027" i="1"/>
  <c r="CE1311" i="1"/>
  <c r="BB1311" i="1"/>
  <c r="CE962" i="1"/>
  <c r="BB962" i="1"/>
  <c r="CE187" i="1"/>
  <c r="BB187" i="1"/>
  <c r="CE111" i="1"/>
  <c r="BB111" i="1"/>
  <c r="BT557" i="1"/>
  <c r="BO399" i="1"/>
  <c r="BO507" i="1"/>
  <c r="BO718" i="1"/>
  <c r="BO537" i="1"/>
  <c r="BT308" i="1"/>
  <c r="BT1156" i="1"/>
  <c r="BT1076" i="1"/>
  <c r="BO706" i="1"/>
  <c r="BT180" i="1"/>
  <c r="BO1450" i="1"/>
  <c r="BO604" i="1"/>
  <c r="BT670" i="1"/>
  <c r="BT70" i="1"/>
  <c r="BT1054" i="1"/>
  <c r="BT589" i="1"/>
  <c r="BO330" i="1"/>
  <c r="BO728" i="1"/>
  <c r="BT334" i="1"/>
  <c r="BO342" i="1"/>
  <c r="BT13" i="1"/>
  <c r="BO241" i="1"/>
  <c r="BT442" i="1"/>
  <c r="BO415" i="1"/>
  <c r="BO1095" i="1"/>
  <c r="BO893" i="1"/>
  <c r="BT335" i="1"/>
  <c r="BO704" i="1"/>
  <c r="BO936" i="1"/>
  <c r="BO433" i="1"/>
  <c r="BT1149" i="1"/>
  <c r="BT1026" i="1"/>
  <c r="BO937" i="1"/>
  <c r="BO464" i="1"/>
  <c r="BO547" i="1"/>
  <c r="BT1337" i="1"/>
  <c r="BT1034" i="1"/>
  <c r="BO683" i="1"/>
  <c r="BO986" i="1"/>
  <c r="BT4" i="1"/>
  <c r="BO1410" i="1"/>
  <c r="BT84" i="1"/>
  <c r="BT1393" i="1"/>
  <c r="BO1119" i="1"/>
  <c r="BO340" i="1"/>
  <c r="BT756" i="1"/>
  <c r="BO289" i="1"/>
  <c r="BT1431" i="1"/>
  <c r="BO434" i="1"/>
  <c r="BT792" i="1"/>
  <c r="BO123" i="1"/>
  <c r="BO419" i="1"/>
  <c r="BO1223" i="1"/>
  <c r="BO1434" i="1"/>
  <c r="BT469" i="1"/>
  <c r="BT1044" i="1"/>
  <c r="BO1139" i="1"/>
  <c r="BT658" i="1"/>
  <c r="BT83" i="1"/>
  <c r="BO298" i="1"/>
  <c r="BT829" i="1"/>
  <c r="BO236" i="1"/>
  <c r="BO667" i="1"/>
  <c r="BO1035" i="1"/>
  <c r="BO1427" i="1"/>
  <c r="BO373" i="1"/>
  <c r="BT656" i="1"/>
  <c r="BO989" i="1"/>
  <c r="BT490" i="1"/>
  <c r="BT135" i="1"/>
  <c r="BO794" i="1"/>
  <c r="BT1248" i="1"/>
  <c r="BT703" i="1"/>
  <c r="BO354" i="1"/>
  <c r="BT1344" i="1"/>
  <c r="BO88" i="1"/>
  <c r="BT847" i="1"/>
  <c r="BO709" i="1"/>
  <c r="BT661" i="1"/>
  <c r="BT444" i="1"/>
  <c r="BT41" i="1"/>
  <c r="BO786" i="1"/>
  <c r="BT198" i="1"/>
  <c r="BT1123" i="1"/>
  <c r="BT1260" i="1"/>
  <c r="BT159" i="1"/>
  <c r="BO951" i="1"/>
  <c r="BT194" i="1"/>
  <c r="BT627" i="1"/>
  <c r="BT621" i="1"/>
  <c r="BO776" i="1"/>
  <c r="BT787" i="1"/>
  <c r="BO1285" i="1"/>
  <c r="BO967" i="1"/>
  <c r="BT1049" i="1"/>
  <c r="BO1011" i="1"/>
  <c r="BO725" i="1"/>
  <c r="BO1061" i="1"/>
  <c r="BO1254" i="1"/>
  <c r="BT1486" i="1"/>
  <c r="BT1214" i="1"/>
  <c r="BO158" i="1"/>
  <c r="BT1349" i="1"/>
  <c r="BT1020" i="1"/>
  <c r="BT182" i="1"/>
  <c r="BT872" i="1"/>
  <c r="BT216" i="1"/>
  <c r="BO114" i="1"/>
  <c r="BO458" i="1"/>
  <c r="BT801" i="1"/>
  <c r="BT1084" i="1"/>
  <c r="BO1191" i="1"/>
  <c r="BT1100" i="1"/>
  <c r="BT183" i="1"/>
  <c r="BO736" i="1"/>
  <c r="BO1288" i="1"/>
  <c r="BO1171" i="1"/>
  <c r="BO1289" i="1"/>
  <c r="BO963" i="1"/>
  <c r="BO1050" i="1"/>
  <c r="BO990" i="1"/>
  <c r="BT196" i="1"/>
  <c r="BO489" i="1"/>
  <c r="BO710" i="1"/>
  <c r="BO391" i="1"/>
  <c r="BT1352" i="1"/>
  <c r="BO530" i="1"/>
  <c r="BT721" i="1"/>
  <c r="BO935" i="1"/>
  <c r="BT310" i="1"/>
  <c r="BT578" i="1"/>
  <c r="BT1164" i="1"/>
  <c r="BO168" i="1"/>
  <c r="BO1101" i="1"/>
  <c r="BT297" i="1"/>
  <c r="BO401" i="1"/>
  <c r="BT1052" i="1"/>
  <c r="BO91" i="1"/>
  <c r="BT602" i="1"/>
  <c r="BT1135" i="1"/>
  <c r="BO264" i="1"/>
  <c r="BT1008" i="1"/>
  <c r="BT263" i="1"/>
  <c r="BT447" i="1"/>
  <c r="BO453" i="1"/>
  <c r="BT668" i="1"/>
  <c r="BT1269" i="1"/>
  <c r="BO633" i="1"/>
  <c r="BT1058" i="1"/>
  <c r="BO662" i="1"/>
  <c r="BO1362" i="1"/>
  <c r="BT707" i="1"/>
  <c r="BO613" i="1"/>
  <c r="BO272" i="1"/>
  <c r="BT432" i="1"/>
  <c r="BO1079" i="1"/>
  <c r="BT587" i="1"/>
  <c r="BT697" i="1"/>
  <c r="BO235" i="1"/>
  <c r="BO226" i="1"/>
  <c r="BT527" i="1"/>
  <c r="BO364" i="1"/>
  <c r="BO904" i="1"/>
  <c r="BT349" i="1"/>
  <c r="BT165" i="1"/>
  <c r="BT1298" i="1"/>
  <c r="BO757" i="1"/>
  <c r="BO150" i="1"/>
  <c r="BO1217" i="1"/>
  <c r="BO1124" i="1"/>
  <c r="BT983" i="1"/>
  <c r="BO346" i="1"/>
  <c r="BO1215" i="1"/>
  <c r="BT1090" i="1"/>
  <c r="BT866" i="1"/>
  <c r="BT962" i="1"/>
  <c r="BO362" i="1"/>
  <c r="BO660" i="1"/>
  <c r="BT1170" i="1"/>
  <c r="BO817" i="1"/>
  <c r="BO955" i="1"/>
  <c r="BT1225" i="1"/>
  <c r="BO685" i="1"/>
  <c r="BO1419" i="1"/>
  <c r="BO292" i="1"/>
  <c r="BO1433" i="1"/>
  <c r="BT548" i="1"/>
  <c r="BT1208" i="1"/>
  <c r="BO519" i="1"/>
  <c r="BO1497" i="1"/>
  <c r="BO694" i="1"/>
  <c r="BT841" i="1"/>
  <c r="BO60" i="1"/>
  <c r="BO982" i="1"/>
  <c r="BT1251" i="1"/>
  <c r="BT1104" i="1"/>
  <c r="BT1500" i="1"/>
  <c r="BT1383" i="1"/>
  <c r="BO96" i="1"/>
  <c r="BO912" i="1"/>
  <c r="BT436" i="1"/>
  <c r="BT369" i="1"/>
  <c r="BO653" i="1"/>
  <c r="BT520" i="1"/>
  <c r="BT576" i="1"/>
  <c r="BO435" i="1"/>
  <c r="BT523" i="1"/>
  <c r="BO934" i="1"/>
  <c r="BT1283" i="1"/>
  <c r="BT529" i="1"/>
  <c r="BT1237" i="1"/>
  <c r="BT1448" i="1"/>
  <c r="BT825" i="1"/>
  <c r="BT1481" i="1"/>
  <c r="BO717" i="1"/>
  <c r="BO623" i="1"/>
  <c r="BT89" i="1"/>
  <c r="BO677" i="1"/>
  <c r="BO764" i="1"/>
  <c r="BO891" i="1"/>
  <c r="BO1107" i="1"/>
  <c r="BT36" i="1"/>
  <c r="BO1157" i="1"/>
  <c r="BO72" i="1"/>
  <c r="BO1014" i="1"/>
  <c r="BT154" i="1"/>
  <c r="BO637" i="1"/>
  <c r="BO1420" i="1"/>
  <c r="BT953" i="1"/>
  <c r="BO1492" i="1"/>
  <c r="BT484" i="1"/>
  <c r="BT678" i="1"/>
  <c r="BT590" i="1"/>
  <c r="BT1005" i="1"/>
  <c r="BO675" i="1"/>
  <c r="BT1306" i="1"/>
  <c r="BT147" i="1"/>
  <c r="BO1273" i="1"/>
  <c r="BO1400" i="1"/>
  <c r="BT836" i="1"/>
  <c r="BT172" i="1"/>
  <c r="BT1078" i="1"/>
  <c r="BT44" i="1"/>
  <c r="BT392" i="1"/>
  <c r="BO848" i="1"/>
  <c r="BO1322" i="1"/>
  <c r="BT649" i="1"/>
  <c r="BT466" i="1"/>
  <c r="BO1152" i="1"/>
  <c r="BO1359" i="1"/>
  <c r="BT1300" i="1"/>
  <c r="BO1138" i="1"/>
  <c r="BT244" i="1"/>
  <c r="BT129" i="1"/>
  <c r="BO1174" i="1"/>
  <c r="BO1015" i="1"/>
  <c r="BO898" i="1"/>
  <c r="BT857" i="1"/>
  <c r="BT81" i="1"/>
  <c r="BO68" i="1"/>
  <c r="BT494" i="1"/>
  <c r="BT1365" i="1"/>
  <c r="BT849" i="1"/>
  <c r="BO625" i="1"/>
  <c r="BO57" i="1"/>
  <c r="BO1392" i="1"/>
  <c r="BO1249" i="1"/>
  <c r="BO261" i="1"/>
  <c r="BO751" i="1"/>
  <c r="AH13" i="1"/>
  <c r="AK13" i="1" s="1"/>
  <c r="AH27" i="1"/>
  <c r="AK27" i="1" s="1"/>
  <c r="BT1239" i="1"/>
  <c r="BO319" i="1"/>
  <c r="BO1010" i="1"/>
  <c r="BT1125" i="1"/>
  <c r="BT952" i="1"/>
  <c r="BT358" i="1"/>
  <c r="BO867" i="1"/>
  <c r="BT1424" i="1"/>
  <c r="BT998" i="1"/>
  <c r="BT745" i="1"/>
  <c r="BO1287" i="1"/>
  <c r="BO977" i="1"/>
  <c r="BT450" i="1"/>
  <c r="BT971" i="1"/>
  <c r="BO1386" i="1"/>
  <c r="BT1136" i="1"/>
  <c r="BT294" i="1"/>
  <c r="BT231" i="1"/>
  <c r="BO465" i="1"/>
  <c r="BT601" i="1"/>
  <c r="BO461" i="1"/>
  <c r="BO254" i="1"/>
  <c r="BT178" i="1"/>
  <c r="BT242" i="1"/>
  <c r="BT16" i="1"/>
  <c r="BO1185" i="1"/>
  <c r="BO239" i="1"/>
  <c r="BT32" i="1"/>
  <c r="BO814" i="1"/>
  <c r="BO1199" i="1"/>
  <c r="BO768" i="1"/>
  <c r="BO278" i="1"/>
  <c r="BT546" i="1"/>
  <c r="BT723" i="1"/>
  <c r="BO591" i="1"/>
  <c r="BT228" i="1"/>
  <c r="BO1091" i="1"/>
  <c r="BO30" i="1"/>
  <c r="BO1271" i="1"/>
  <c r="BT38" i="1"/>
  <c r="BT1201" i="1"/>
  <c r="BO45" i="1"/>
  <c r="BT692" i="1"/>
  <c r="BO467" i="1"/>
  <c r="BT188" i="1"/>
  <c r="BO116" i="1"/>
  <c r="BT75" i="1"/>
  <c r="BT1479" i="1"/>
  <c r="BT671" i="1"/>
  <c r="BT221" i="1"/>
  <c r="BO624" i="1"/>
  <c r="BO1435" i="1"/>
  <c r="BT1009" i="1"/>
  <c r="BT830" i="1"/>
  <c r="BT929" i="1"/>
  <c r="BT247" i="1"/>
  <c r="BO1086" i="1"/>
  <c r="BO770" i="1"/>
  <c r="BT1197" i="1"/>
  <c r="BO1390" i="1"/>
  <c r="BO812" i="1"/>
  <c r="BT634" i="1"/>
  <c r="BO832" i="1"/>
  <c r="BO532" i="1"/>
  <c r="BT856" i="1"/>
  <c r="BO1333" i="1"/>
  <c r="BO258" i="1"/>
  <c r="BT1444" i="1"/>
  <c r="BO421" i="1"/>
  <c r="BT171" i="1"/>
  <c r="BT197" i="1"/>
  <c r="BO746" i="1"/>
  <c r="BT1187" i="1"/>
  <c r="BO207" i="1"/>
  <c r="BO797" i="1"/>
  <c r="BO731" i="1"/>
  <c r="BO152" i="1"/>
  <c r="BO76" i="1"/>
  <c r="BT1370" i="1"/>
  <c r="BT767" i="1"/>
  <c r="BO379" i="1"/>
  <c r="BO1228" i="1"/>
  <c r="BO485" i="1"/>
  <c r="BO916" i="1"/>
  <c r="BO505" i="1"/>
  <c r="BT1062" i="1"/>
  <c r="BT1261" i="1"/>
  <c r="BO1407" i="1"/>
  <c r="BT930" i="1"/>
  <c r="BT1316" i="1"/>
  <c r="BO175" i="1"/>
  <c r="BO405" i="1"/>
  <c r="BO1377" i="1"/>
  <c r="BO1348" i="1"/>
  <c r="BO1264" i="1"/>
  <c r="BO1279" i="1"/>
  <c r="BO372" i="1"/>
  <c r="BT732" i="1"/>
  <c r="BO1358" i="1"/>
  <c r="BT887" i="1"/>
  <c r="BT396" i="1"/>
  <c r="BO577" i="1"/>
  <c r="BT387" i="1"/>
  <c r="BT151" i="1"/>
  <c r="BO640" i="1"/>
  <c r="BT846" i="1"/>
  <c r="BO1144" i="1"/>
  <c r="BT1126" i="1"/>
  <c r="BO1126" i="1"/>
  <c r="BT796" i="1"/>
  <c r="BT400" i="1"/>
  <c r="BO793" i="1"/>
  <c r="BT852" i="1"/>
  <c r="BO385" i="1"/>
  <c r="BT1012" i="1"/>
  <c r="BO109" i="1"/>
  <c r="BO1182" i="1"/>
  <c r="BT170" i="1"/>
  <c r="BO128" i="1"/>
  <c r="BT572" i="1"/>
  <c r="BT542" i="1"/>
  <c r="BT167" i="1"/>
  <c r="BT1440" i="1"/>
  <c r="BO224" i="1"/>
  <c r="BO87" i="1"/>
  <c r="BO1325" i="1"/>
  <c r="BT443" i="1"/>
  <c r="BO438" i="1"/>
  <c r="BT903" i="1"/>
  <c r="BO949" i="1"/>
  <c r="BO1075" i="1"/>
  <c r="BT708" i="1"/>
  <c r="BT1412" i="1"/>
  <c r="BT871" i="1"/>
  <c r="BT1442" i="1"/>
  <c r="BO700" i="1"/>
  <c r="BO1403" i="1"/>
  <c r="BO1162" i="1"/>
  <c r="BT915" i="1"/>
  <c r="BT565" i="1"/>
  <c r="BT77" i="1"/>
  <c r="BO286" i="1"/>
  <c r="BO193" i="1"/>
  <c r="BO1277" i="1"/>
  <c r="BO1446" i="1"/>
  <c r="BT1446" i="1"/>
  <c r="BO612" i="1"/>
  <c r="BT456" i="1"/>
  <c r="BT1036" i="1"/>
  <c r="BO1036" i="1"/>
  <c r="BT462" i="1"/>
  <c r="BT322" i="1"/>
  <c r="BT579" i="1"/>
  <c r="BT17" i="1"/>
  <c r="BO889" i="1"/>
  <c r="BO831" i="1"/>
  <c r="BT558" i="1"/>
  <c r="BO1045" i="1"/>
  <c r="BT306" i="1"/>
  <c r="BO107" i="1"/>
  <c r="BT538" i="1"/>
  <c r="BT1443" i="1"/>
  <c r="BO1305" i="1"/>
  <c r="BO328" i="1"/>
  <c r="BT1099" i="1"/>
  <c r="BO501" i="1"/>
  <c r="BO245" i="1"/>
  <c r="BO365" i="1"/>
  <c r="BO333" i="1"/>
  <c r="BT1457" i="1"/>
  <c r="BO148" i="1"/>
  <c r="BT1206" i="1"/>
  <c r="BT854" i="1"/>
  <c r="BO760" i="1"/>
  <c r="BO212" i="1"/>
  <c r="BO473" i="1"/>
  <c r="BO1205" i="1"/>
  <c r="BT1025" i="1"/>
  <c r="BO1146" i="1"/>
  <c r="BO1408" i="1"/>
  <c r="BT569" i="1"/>
  <c r="BT1376" i="1"/>
  <c r="BO59" i="1"/>
  <c r="BT1321" i="1"/>
  <c r="BO682" i="1"/>
  <c r="BT1423" i="1"/>
  <c r="BO280" i="1"/>
  <c r="BT189" i="1"/>
  <c r="BO885" i="1"/>
  <c r="BO472" i="1"/>
  <c r="BO454" i="1"/>
  <c r="BT626" i="1"/>
  <c r="BO1077" i="1"/>
  <c r="BT511" i="1"/>
  <c r="BT288" i="1"/>
  <c r="BT227" i="1"/>
  <c r="BT475" i="1"/>
  <c r="BO449" i="1"/>
  <c r="BT448" i="1"/>
  <c r="BT457" i="1"/>
  <c r="BT1093" i="1"/>
  <c r="BT1022" i="1"/>
  <c r="BO157" i="1"/>
  <c r="BO726" i="1"/>
  <c r="BT1471" i="1"/>
  <c r="BO130" i="1"/>
  <c r="BO595" i="1"/>
  <c r="BO906" i="1"/>
  <c r="BO65" i="1"/>
  <c r="BO540" i="1"/>
  <c r="BT52" i="1"/>
  <c r="BO641" i="1"/>
  <c r="BO176" i="1"/>
  <c r="BT133" i="1"/>
  <c r="BT765" i="1"/>
  <c r="BO61" i="1"/>
  <c r="BO755" i="1"/>
  <c r="BT1120" i="1"/>
  <c r="BO1414" i="1"/>
  <c r="BT312" i="1"/>
  <c r="BT1286" i="1"/>
  <c r="BO137" i="1"/>
  <c r="BO563" i="1"/>
  <c r="BT218" i="1"/>
  <c r="BO101" i="1"/>
  <c r="BO204" i="1"/>
  <c r="BT719" i="1"/>
  <c r="BO1059" i="1"/>
  <c r="BT1059" i="1"/>
  <c r="BT562" i="1"/>
  <c r="BT1453" i="1"/>
  <c r="BT890" i="1"/>
  <c r="BT1326" i="1"/>
  <c r="BO371" i="1"/>
  <c r="BO146" i="1"/>
  <c r="BT908" i="1"/>
  <c r="BO739" i="1"/>
  <c r="BT1231" i="1"/>
  <c r="BO1073" i="1"/>
  <c r="BO779" i="1"/>
  <c r="BT878" i="1"/>
  <c r="BO976" i="1"/>
  <c r="BO509" i="1"/>
  <c r="BO34" i="1"/>
  <c r="BT833" i="1"/>
  <c r="BT1474" i="1"/>
  <c r="BO478" i="1"/>
  <c r="BT699" i="1"/>
  <c r="BO140" i="1"/>
  <c r="BT1121" i="1"/>
  <c r="BT973" i="1"/>
  <c r="BO1069" i="1"/>
  <c r="BO1265" i="1"/>
  <c r="BT1373" i="1"/>
  <c r="BO1153" i="1"/>
  <c r="BO1330" i="1"/>
  <c r="BO517" i="1"/>
  <c r="BT351" i="1"/>
  <c r="BO62" i="1"/>
  <c r="BO78" i="1"/>
  <c r="BT439" i="1"/>
  <c r="BO574" i="1"/>
  <c r="BT506" i="1"/>
  <c r="BO622" i="1"/>
  <c r="BO1493" i="1"/>
  <c r="BT1493" i="1"/>
  <c r="BT326" i="1"/>
  <c r="BO1172" i="1"/>
  <c r="BO414" i="1"/>
  <c r="BT229" i="1"/>
  <c r="BO1096" i="1"/>
  <c r="BT944" i="1"/>
  <c r="BT459" i="1"/>
  <c r="BT877" i="1"/>
  <c r="BO327" i="1"/>
  <c r="BT476" i="1"/>
  <c r="BT1343" i="1"/>
  <c r="BT360" i="1"/>
  <c r="BO1031" i="1"/>
  <c r="BT886" i="1"/>
  <c r="BT512" i="1"/>
  <c r="BT740" i="1"/>
  <c r="BT143" i="1"/>
  <c r="BO243" i="1"/>
  <c r="BT316" i="1"/>
  <c r="BT762" i="1"/>
  <c r="BT810" i="1"/>
  <c r="BO810" i="1"/>
  <c r="BT202" i="1"/>
  <c r="BT959" i="1"/>
  <c r="BO206" i="1"/>
  <c r="BO33" i="1"/>
  <c r="DA86" i="1"/>
  <c r="BO179" i="1"/>
  <c r="BT1145" i="1"/>
  <c r="BO1145" i="1"/>
  <c r="BO1188" i="1"/>
  <c r="BT270" i="1"/>
  <c r="BT463" i="1"/>
  <c r="BO586" i="1"/>
  <c r="BO702" i="1"/>
  <c r="BO184" i="1"/>
  <c r="BT1114" i="1"/>
  <c r="BO209" i="1"/>
  <c r="BT1253" i="1"/>
  <c r="BO784" i="1"/>
  <c r="BO19" i="1"/>
  <c r="BO126" i="1"/>
  <c r="BT1303" i="1"/>
  <c r="BT455" i="1"/>
  <c r="BT1088" i="1"/>
  <c r="BO18" i="1"/>
  <c r="BT18" i="1"/>
  <c r="BO724" i="1"/>
  <c r="BO496" i="1"/>
  <c r="BO513" i="1"/>
  <c r="BT816" i="1"/>
  <c r="BT300" i="1"/>
  <c r="BO300" i="1"/>
  <c r="BT964" i="1"/>
  <c r="BO350" i="1"/>
  <c r="BT160" i="1"/>
  <c r="BO144" i="1"/>
  <c r="BT1257" i="1"/>
  <c r="BO1257" i="1"/>
  <c r="BT790" i="1"/>
  <c r="BO344" i="1"/>
  <c r="BO267" i="1"/>
  <c r="BO58" i="1"/>
  <c r="BT324" i="1"/>
  <c r="BT100" i="1"/>
  <c r="BT954" i="1"/>
  <c r="BT632" i="1"/>
  <c r="BT593" i="1"/>
  <c r="BO203" i="1"/>
  <c r="BO1238" i="1"/>
  <c r="BO15" i="1"/>
  <c r="BO73" i="1"/>
  <c r="BT274" i="1"/>
  <c r="BO248" i="1"/>
  <c r="BO499" i="1"/>
  <c r="BT840" i="1"/>
  <c r="BT255" i="1"/>
  <c r="BO552" i="1"/>
  <c r="BT1192" i="1"/>
  <c r="BO701" i="1"/>
  <c r="BT1320" i="1"/>
  <c r="BO1320" i="1"/>
  <c r="BO35" i="1"/>
  <c r="BT74" i="1"/>
  <c r="BT487" i="1"/>
  <c r="BT1122" i="1"/>
  <c r="BO515" i="1"/>
  <c r="BT1230" i="1"/>
  <c r="BO549" i="1"/>
  <c r="BT1024" i="1"/>
  <c r="BT497" i="1"/>
  <c r="BO497" i="1"/>
  <c r="BT117" i="1"/>
  <c r="BO117" i="1"/>
  <c r="BO534" i="1"/>
  <c r="BO357" i="1"/>
  <c r="BO20" i="1"/>
  <c r="BT20" i="1"/>
  <c r="BO1387" i="1"/>
  <c r="BO1247" i="1"/>
  <c r="BT933" i="1"/>
  <c r="BT470" i="1"/>
  <c r="BO1137" i="1"/>
  <c r="BT163" i="1"/>
  <c r="BT968" i="1"/>
  <c r="BT273" i="1"/>
  <c r="BO121" i="1"/>
  <c r="BO1309" i="1"/>
  <c r="BT876" i="1"/>
  <c r="BO876" i="1"/>
  <c r="BT851" i="1"/>
  <c r="BO851" i="1"/>
  <c r="BT1235" i="1"/>
  <c r="BT645" i="1"/>
  <c r="BO1127" i="1"/>
  <c r="BT208" i="1"/>
  <c r="BO208" i="1"/>
  <c r="BT996" i="1"/>
  <c r="BO996" i="1"/>
  <c r="BO539" i="1"/>
  <c r="BT539" i="1"/>
  <c r="BT778" i="1"/>
  <c r="BO869" i="1"/>
  <c r="BO460" i="1"/>
  <c r="BT460" i="1"/>
  <c r="BT1294" i="1"/>
  <c r="BT566" i="1"/>
  <c r="BO1391" i="1"/>
  <c r="BT92" i="1"/>
  <c r="BT426" i="1"/>
  <c r="BT317" i="1"/>
  <c r="BO395" i="1"/>
  <c r="BO474" i="1"/>
  <c r="BO1384" i="1"/>
  <c r="BT377" i="1"/>
  <c r="BT149" i="1"/>
  <c r="BO1418" i="1"/>
  <c r="BO992" i="1"/>
  <c r="BO880" i="1"/>
  <c r="BO892" i="1"/>
  <c r="BO647" i="1"/>
  <c r="BO331" i="1"/>
  <c r="BO271" i="1"/>
  <c r="BT271" i="1"/>
  <c r="BO560" i="1"/>
  <c r="BT338" i="1"/>
  <c r="BO397" i="1"/>
  <c r="BO664" i="1"/>
  <c r="BO120" i="1"/>
  <c r="BO1398" i="1"/>
  <c r="BO162" i="1"/>
  <c r="BO477" i="1"/>
  <c r="BT48" i="1"/>
  <c r="BO249" i="1"/>
  <c r="BT249" i="1"/>
  <c r="BT1259" i="1"/>
  <c r="BO835" i="1"/>
  <c r="BT835" i="1"/>
  <c r="BT366" i="1"/>
  <c r="BO366" i="1"/>
  <c r="BO1063" i="1"/>
  <c r="BO824" i="1"/>
  <c r="BO902" i="1"/>
  <c r="BO445" i="1"/>
  <c r="BT491" i="1"/>
  <c r="BO571" i="1"/>
  <c r="BO690" i="1"/>
  <c r="BT86" i="1"/>
  <c r="BT720" i="1"/>
  <c r="BO720" i="1"/>
  <c r="BO526" i="1"/>
  <c r="DE84" i="1"/>
  <c r="DJ85" i="1"/>
  <c r="BT173" i="1"/>
  <c r="BO730" i="1"/>
  <c r="BO795" i="1"/>
  <c r="BT795" i="1"/>
  <c r="BT1019" i="1"/>
  <c r="BO50" i="1"/>
  <c r="BT269" i="1"/>
  <c r="BO820" i="1"/>
  <c r="BO1233" i="1"/>
  <c r="BT1233" i="1"/>
  <c r="AK42" i="1"/>
  <c r="BO1216" i="1"/>
  <c r="BT1216" i="1"/>
  <c r="BT862" i="1"/>
  <c r="BO862" i="1"/>
  <c r="BO921" i="1"/>
  <c r="BT921" i="1"/>
  <c r="BO246" i="1"/>
  <c r="BT23" i="1"/>
  <c r="BO284" i="1"/>
  <c r="BO737" i="1"/>
  <c r="BT403" i="1"/>
  <c r="BO403" i="1"/>
  <c r="BT210" i="1"/>
  <c r="BO210" i="1"/>
  <c r="BT828" i="1"/>
  <c r="BO828" i="1"/>
  <c r="BT282" i="1"/>
  <c r="BO282" i="1"/>
  <c r="BT368" i="1"/>
  <c r="BO368" i="1"/>
  <c r="BT823" i="1"/>
  <c r="BO823" i="1"/>
  <c r="BT1066" i="1"/>
  <c r="BO1066" i="1"/>
  <c r="BO818" i="1"/>
  <c r="BT1281" i="1"/>
  <c r="BT1167" i="1"/>
  <c r="BO1167" i="1"/>
  <c r="BO750" i="1"/>
  <c r="BT750" i="1"/>
  <c r="BT108" i="1"/>
  <c r="BO108" i="1"/>
  <c r="BT646" i="1"/>
  <c r="BO646" i="1"/>
  <c r="BT1213" i="1"/>
  <c r="BO1213" i="1"/>
  <c r="BT1458" i="1"/>
  <c r="BO1458" i="1"/>
  <c r="BT164" i="1"/>
  <c r="BO164" i="1"/>
  <c r="BO769" i="1"/>
  <c r="BT769" i="1"/>
  <c r="BT631" i="1"/>
  <c r="BO631" i="1"/>
  <c r="BT9" i="1"/>
  <c r="BO9" i="1"/>
  <c r="BO386" i="1"/>
  <c r="BT386" i="1"/>
  <c r="BT1293" i="1"/>
  <c r="BO1293" i="1"/>
  <c r="BT1381" i="1"/>
  <c r="BO1381" i="1"/>
  <c r="BT156" i="1"/>
  <c r="BO156" i="1"/>
  <c r="BO214" i="1"/>
  <c r="BO22" i="1"/>
  <c r="BT22" i="1"/>
  <c r="BT498" i="1"/>
  <c r="BO498" i="1"/>
  <c r="BT938" i="1"/>
  <c r="BO938" i="1"/>
  <c r="BT994" i="1"/>
  <c r="BO994" i="1"/>
  <c r="BT1445" i="1"/>
  <c r="BO1445" i="1"/>
  <c r="BO1148" i="1"/>
  <c r="BT1148" i="1"/>
  <c r="BO1193" i="1"/>
  <c r="BT1193" i="1"/>
  <c r="BT712" i="1"/>
  <c r="BO712" i="1"/>
  <c r="BO722" i="1"/>
  <c r="BT722" i="1"/>
  <c r="BO988" i="1"/>
  <c r="BT988" i="1"/>
  <c r="BT417" i="1"/>
  <c r="BO417" i="1"/>
  <c r="BO984" i="1"/>
  <c r="BT984" i="1"/>
  <c r="BO1103" i="1"/>
  <c r="BT1103" i="1"/>
  <c r="BO141" i="1"/>
  <c r="BT141" i="1"/>
  <c r="BT1226" i="1"/>
  <c r="BO1226" i="1"/>
  <c r="BT1263" i="1"/>
  <c r="BO1112" i="1"/>
  <c r="BO348" i="1"/>
  <c r="BT348" i="1"/>
  <c r="BT860" i="1"/>
  <c r="BO860" i="1"/>
  <c r="BO1389" i="1"/>
  <c r="BT1389" i="1"/>
  <c r="BT663" i="1"/>
  <c r="BO663" i="1"/>
  <c r="BO219" i="1"/>
  <c r="BT219" i="1"/>
  <c r="BO352" i="1"/>
  <c r="BT352" i="1"/>
  <c r="BT639" i="1"/>
  <c r="BO639" i="1"/>
  <c r="BT956" i="1"/>
  <c r="BO956" i="1"/>
  <c r="BO1130" i="1"/>
  <c r="BT1130" i="1"/>
  <c r="BT110" i="1"/>
  <c r="BO110" i="1"/>
  <c r="BO199" i="1"/>
  <c r="BT743" i="1"/>
  <c r="BO320" i="1"/>
  <c r="BT320" i="1"/>
  <c r="BO1380" i="1"/>
  <c r="BT1380" i="1"/>
  <c r="BO960" i="1"/>
  <c r="BT960" i="1"/>
  <c r="BO588" i="1"/>
  <c r="BT588" i="1"/>
  <c r="BT260" i="1"/>
  <c r="BO260" i="1"/>
  <c r="BT781" i="1"/>
  <c r="BO781" i="1"/>
  <c r="BT1494" i="1"/>
  <c r="BO1494" i="1"/>
  <c r="BT307" i="1"/>
  <c r="BO307" i="1"/>
  <c r="BO1166" i="1"/>
  <c r="BT1166" i="1"/>
  <c r="BT205" i="1"/>
  <c r="BT950" i="1"/>
  <c r="BO950" i="1"/>
  <c r="BT12" i="1"/>
  <c r="BO12" i="1"/>
  <c r="BT1051" i="1"/>
  <c r="BO1051" i="1"/>
  <c r="BT1404" i="1"/>
  <c r="BO1404" i="1"/>
  <c r="BT822" i="1"/>
  <c r="BO822" i="1"/>
  <c r="BO11" i="1"/>
  <c r="BT11" i="1"/>
  <c r="BT1195" i="1"/>
  <c r="BO1195" i="1"/>
  <c r="BT752" i="1"/>
  <c r="BO752" i="1"/>
  <c r="BT240" i="1"/>
  <c r="BO240" i="1"/>
  <c r="BT56" i="1"/>
  <c r="BO56" i="1"/>
  <c r="BT265" i="1"/>
  <c r="BO265" i="1"/>
  <c r="BT190" i="1"/>
  <c r="BO190" i="1"/>
  <c r="BO266" i="1"/>
  <c r="BT266" i="1"/>
  <c r="BT106" i="1"/>
  <c r="BO106" i="1"/>
  <c r="BO754" i="1"/>
  <c r="BT754" i="1"/>
  <c r="BO995" i="1"/>
  <c r="BT995" i="1"/>
  <c r="BO931" i="1"/>
  <c r="BT931" i="1"/>
  <c r="BT553" i="1"/>
  <c r="BO553" i="1"/>
  <c r="BO1357" i="1"/>
  <c r="BT1357" i="1"/>
  <c r="BT295" i="1"/>
  <c r="BO630" i="1"/>
  <c r="BT630" i="1"/>
  <c r="BO674" i="1"/>
  <c r="BT674" i="1"/>
  <c r="BT834" i="1"/>
  <c r="BO834" i="1"/>
  <c r="BO276" i="1"/>
  <c r="BT276" i="1"/>
  <c r="BT390" i="1"/>
  <c r="BO390" i="1"/>
  <c r="BO705" i="1"/>
  <c r="BT1218" i="1"/>
  <c r="BO1218" i="1"/>
  <c r="BT332" i="1"/>
  <c r="BO332" i="1"/>
  <c r="BT1276" i="1"/>
  <c r="BO303" i="1"/>
  <c r="BT303" i="1"/>
  <c r="BT213" i="1"/>
  <c r="BO1032" i="1"/>
  <c r="BT1032" i="1"/>
  <c r="BT384" i="1"/>
  <c r="BO384" i="1"/>
  <c r="BT696" i="1"/>
  <c r="BO696" i="1"/>
  <c r="BO550" i="1"/>
  <c r="BT550" i="1"/>
  <c r="BT686" i="1"/>
  <c r="BO686" i="1"/>
  <c r="BO1067" i="1"/>
  <c r="BT1067" i="1"/>
  <c r="BO1102" i="1"/>
  <c r="BT1102" i="1"/>
  <c r="BT580" i="1"/>
  <c r="BO580" i="1"/>
  <c r="BO788" i="1"/>
  <c r="BT788" i="1"/>
  <c r="BO1470" i="1"/>
  <c r="BT1470" i="1"/>
  <c r="BO545" i="1"/>
  <c r="BT545" i="1"/>
  <c r="BO1186" i="1"/>
  <c r="BT1186" i="1"/>
  <c r="BT1181" i="1"/>
  <c r="BO1181" i="1"/>
  <c r="BT26" i="1"/>
  <c r="BO26" i="1"/>
  <c r="BO798" i="1"/>
  <c r="BT798" i="1"/>
  <c r="BT127" i="1"/>
  <c r="BO127" i="1"/>
  <c r="BO883" i="1"/>
  <c r="BT883" i="1"/>
  <c r="BO774" i="1"/>
  <c r="BT774" i="1"/>
  <c r="BO66" i="1"/>
  <c r="BT66" i="1"/>
  <c r="BT564" i="1"/>
  <c r="BO564" i="1"/>
  <c r="BO923" i="1"/>
  <c r="BT923" i="1"/>
  <c r="BT1447" i="1"/>
  <c r="BO1447" i="1"/>
  <c r="BT1177" i="1"/>
  <c r="BO1177" i="1"/>
  <c r="BO1425" i="1"/>
  <c r="BT1425" i="1"/>
  <c r="BO1367" i="1"/>
  <c r="BT1367" i="1"/>
  <c r="BT1341" i="1"/>
  <c r="BO1341" i="1"/>
  <c r="BO1018" i="1"/>
  <c r="BT1018" i="1"/>
  <c r="BT122" i="1"/>
  <c r="BO122" i="1"/>
  <c r="BO305" i="1"/>
  <c r="BT305" i="1"/>
  <c r="BO1484" i="1"/>
  <c r="BT1484" i="1"/>
  <c r="BO37" i="1"/>
  <c r="BT37" i="1"/>
  <c r="BT323" i="1"/>
  <c r="BO323" i="1"/>
  <c r="BO1332" i="1"/>
  <c r="BT1332" i="1"/>
  <c r="BO684" i="1"/>
  <c r="BT684" i="1"/>
  <c r="BT1262" i="1"/>
  <c r="BO1262" i="1"/>
  <c r="BO1098" i="1"/>
  <c r="BT1098" i="1"/>
  <c r="BO1013" i="1"/>
  <c r="BT1013" i="1"/>
  <c r="BO711" i="1"/>
  <c r="BT711" i="1"/>
  <c r="BO217" i="1"/>
  <c r="BT217" i="1"/>
  <c r="BO978" i="1"/>
  <c r="BT978" i="1"/>
  <c r="BT383" i="1"/>
  <c r="BO383" i="1"/>
  <c r="BT567" i="1"/>
  <c r="BO567" i="1"/>
  <c r="BT1459" i="1"/>
  <c r="BO1459" i="1"/>
  <c r="BT808" i="1"/>
  <c r="BO808" i="1"/>
  <c r="BO844" i="1"/>
  <c r="BT844" i="1"/>
  <c r="BT253" i="1"/>
  <c r="BO253" i="1"/>
  <c r="BT617" i="1"/>
  <c r="BO617" i="1"/>
  <c r="BT1345" i="1"/>
  <c r="BO1345" i="1"/>
  <c r="BO1029" i="1"/>
  <c r="BT1029" i="1"/>
  <c r="BO281" i="1"/>
  <c r="BT281" i="1"/>
  <c r="BT585" i="1"/>
  <c r="BO585" i="1"/>
  <c r="BT1074" i="1"/>
  <c r="BO1074" i="1"/>
  <c r="BO452" i="1"/>
  <c r="BT452" i="1"/>
  <c r="BO1499" i="1"/>
  <c r="BT1499" i="1"/>
  <c r="BO533" i="1"/>
  <c r="BT533" i="1"/>
  <c r="BT1155" i="1"/>
  <c r="BO1155" i="1"/>
  <c r="BT131" i="1"/>
  <c r="BO131" i="1"/>
  <c r="BT928" i="1"/>
  <c r="BO928" i="1"/>
  <c r="BT191" i="1"/>
  <c r="BO191" i="1"/>
  <c r="BT782" i="1"/>
  <c r="BO782" i="1"/>
  <c r="BT691" i="1"/>
  <c r="BO691" i="1"/>
  <c r="BO1047" i="1"/>
  <c r="BT1047" i="1"/>
  <c r="BT901" i="1"/>
  <c r="BO901" i="1"/>
  <c r="BO939" i="1"/>
  <c r="BT939" i="1"/>
  <c r="BO1028" i="1"/>
  <c r="BT1028" i="1"/>
  <c r="BT689" i="1"/>
  <c r="BO689" i="1"/>
  <c r="BT997" i="1"/>
  <c r="BO997" i="1"/>
  <c r="BO1405" i="1"/>
  <c r="BT1405" i="1"/>
  <c r="BO1080" i="1"/>
  <c r="BT1080" i="1"/>
  <c r="BO1375" i="1"/>
  <c r="BT1375" i="1"/>
  <c r="BO1411" i="1"/>
  <c r="BT1411" i="1"/>
  <c r="BT423" i="1"/>
  <c r="BO423" i="1"/>
  <c r="BT174" i="1"/>
  <c r="BO174" i="1"/>
  <c r="BT924" i="1"/>
  <c r="BO924" i="1"/>
  <c r="BO420" i="1"/>
  <c r="BT420" i="1"/>
  <c r="BT275" i="1"/>
  <c r="BO275" i="1"/>
  <c r="BT1385" i="1"/>
  <c r="BO1385" i="1"/>
  <c r="BT1409" i="1"/>
  <c r="BO1409" i="1"/>
  <c r="BT1336" i="1"/>
  <c r="BO1336" i="1"/>
  <c r="BT561" i="1"/>
  <c r="BO561" i="1"/>
  <c r="BO1351" i="1"/>
  <c r="BT1351" i="1"/>
  <c r="BT733" i="1"/>
  <c r="BO733" i="1"/>
  <c r="BT535" i="1"/>
  <c r="BO535" i="1"/>
  <c r="BO1437" i="1"/>
  <c r="BT1437" i="1"/>
  <c r="BT381" i="1"/>
  <c r="BO381" i="1"/>
  <c r="BT429" i="1"/>
  <c r="BO429" i="1"/>
  <c r="BT1178" i="1"/>
  <c r="BO1178" i="1"/>
  <c r="BO827" i="1"/>
  <c r="BT827" i="1"/>
  <c r="BO313" i="1"/>
  <c r="BT313" i="1"/>
  <c r="BO759" i="1"/>
  <c r="BT759" i="1"/>
  <c r="BT1021" i="1"/>
  <c r="BO1021" i="1"/>
  <c r="BT947" i="1"/>
  <c r="BO947" i="1"/>
  <c r="BO1184" i="1"/>
  <c r="BT1184" i="1"/>
  <c r="BO859" i="1"/>
  <c r="BT859" i="1"/>
  <c r="BT1245" i="1"/>
  <c r="BO1245" i="1"/>
  <c r="BT1354" i="1"/>
  <c r="BO1354" i="1"/>
  <c r="BT896" i="1"/>
  <c r="BO896" i="1"/>
  <c r="BT919" i="1"/>
  <c r="BO919" i="1"/>
  <c r="BT1402" i="1"/>
  <c r="BO1402" i="1"/>
  <c r="BO314" i="1"/>
  <c r="BT314" i="1"/>
  <c r="BT71" i="1"/>
  <c r="BO71" i="1"/>
  <c r="BT609" i="1"/>
  <c r="BO609" i="1"/>
  <c r="BO1179" i="1"/>
  <c r="BT1179" i="1"/>
  <c r="BO1198" i="1"/>
  <c r="BT1198" i="1"/>
  <c r="BT428" i="1"/>
  <c r="BO428" i="1"/>
  <c r="BT970" i="1"/>
  <c r="BO970" i="1"/>
  <c r="BT495" i="1"/>
  <c r="BO495" i="1"/>
  <c r="BT957" i="1"/>
  <c r="BO957" i="1"/>
  <c r="BT1296" i="1"/>
  <c r="BO1296" i="1"/>
  <c r="BT1209" i="1"/>
  <c r="BO1209" i="1"/>
  <c r="BT1299" i="1"/>
  <c r="BO1299" i="1"/>
  <c r="BT325" i="1"/>
  <c r="BO325" i="1"/>
  <c r="BT232" i="1"/>
  <c r="BO232" i="1"/>
  <c r="BO584" i="1"/>
  <c r="BT584" i="1"/>
  <c r="BT636" i="1"/>
  <c r="BO636" i="1"/>
  <c r="BO615" i="1"/>
  <c r="BT615" i="1"/>
  <c r="BT1246" i="1"/>
  <c r="BO1246" i="1"/>
  <c r="BT406" i="1"/>
  <c r="BO406" i="1"/>
  <c r="BT1255" i="1"/>
  <c r="BO1255" i="1"/>
  <c r="BO301" i="1"/>
  <c r="BT301" i="1"/>
  <c r="BO1109" i="1"/>
  <c r="BT1109" i="1"/>
  <c r="BT1040" i="1"/>
  <c r="BO1040" i="1"/>
  <c r="BO771" i="1"/>
  <c r="BT771" i="1"/>
  <c r="BT1327" i="1"/>
  <c r="BO1327" i="1"/>
  <c r="BT1464" i="1"/>
  <c r="BO1464" i="1"/>
  <c r="BO1368" i="1"/>
  <c r="BT1368" i="1"/>
  <c r="BT118" i="1"/>
  <c r="BO118" i="1"/>
  <c r="BT918" i="1"/>
  <c r="BO918" i="1"/>
  <c r="BO1372" i="1"/>
  <c r="BT1372" i="1"/>
  <c r="BT1131" i="1"/>
  <c r="BO1131" i="1"/>
  <c r="BO681" i="1"/>
  <c r="BT681" i="1"/>
  <c r="BO468" i="1"/>
  <c r="BT468" i="1"/>
  <c r="BT1480" i="1"/>
  <c r="BO1480" i="1"/>
  <c r="BO648" i="1"/>
  <c r="BT648" i="1"/>
  <c r="BO1000" i="1"/>
  <c r="BT1000" i="1"/>
  <c r="BT1413" i="1"/>
  <c r="BO1413" i="1"/>
  <c r="BO418" i="1"/>
  <c r="BT418" i="1"/>
  <c r="BT1399" i="1"/>
  <c r="BO1399" i="1"/>
  <c r="BO42" i="1"/>
  <c r="BT42" i="1"/>
  <c r="BT991" i="1"/>
  <c r="BO991" i="1"/>
  <c r="BT946" i="1"/>
  <c r="BO946" i="1"/>
  <c r="BO619" i="1"/>
  <c r="BT619" i="1"/>
  <c r="BT1003" i="1"/>
  <c r="BO1003" i="1"/>
  <c r="BT1469" i="1"/>
  <c r="BO1469" i="1"/>
  <c r="BT874" i="1"/>
  <c r="BO874" i="1"/>
  <c r="BT804" i="1"/>
  <c r="BO804" i="1"/>
  <c r="BO356" i="1"/>
  <c r="BT356" i="1"/>
  <c r="BO551" i="1"/>
  <c r="BT551" i="1"/>
  <c r="BT1394" i="1"/>
  <c r="BO1394" i="1"/>
  <c r="BT1046" i="1"/>
  <c r="BO1046" i="1"/>
  <c r="BT819" i="1"/>
  <c r="BO819" i="1"/>
  <c r="BT1094" i="1"/>
  <c r="BO1094" i="1"/>
  <c r="BT965" i="1"/>
  <c r="BO965" i="1"/>
  <c r="BO597" i="1"/>
  <c r="BT597" i="1"/>
  <c r="BO345" i="1"/>
  <c r="BT345" i="1"/>
  <c r="BO1275" i="1"/>
  <c r="BT1275" i="1"/>
  <c r="BT791" i="1"/>
  <c r="BO791" i="1"/>
  <c r="BO826" i="1"/>
  <c r="BT826" i="1"/>
  <c r="BO644" i="1"/>
  <c r="BT644" i="1"/>
  <c r="BO402" i="1"/>
  <c r="BT402" i="1"/>
  <c r="BT1324" i="1"/>
  <c r="BO1324" i="1"/>
  <c r="BO257" i="1"/>
  <c r="BT257" i="1"/>
  <c r="BO899" i="1"/>
  <c r="BT899" i="1"/>
  <c r="BT1468" i="1"/>
  <c r="BO1468" i="1"/>
  <c r="BT734" i="1"/>
  <c r="BO734" i="1"/>
  <c r="BT1339" i="1"/>
  <c r="BO1339" i="1"/>
  <c r="BT93" i="1"/>
  <c r="BO93" i="1"/>
  <c r="BO1143" i="1"/>
  <c r="BT1143" i="1"/>
  <c r="BO353" i="1"/>
  <c r="BT353" i="1"/>
  <c r="BT735" i="1"/>
  <c r="BO735" i="1"/>
  <c r="BO895" i="1"/>
  <c r="BT895" i="1"/>
  <c r="BT1356" i="1"/>
  <c r="BO1356" i="1"/>
  <c r="BT1189" i="1"/>
  <c r="BO1189" i="1"/>
  <c r="BO1244" i="1"/>
  <c r="BT1244" i="1"/>
  <c r="BO410" i="1"/>
  <c r="BT410" i="1"/>
  <c r="BT780" i="1"/>
  <c r="BO780" i="1"/>
  <c r="BT845" i="1"/>
  <c r="BO845" i="1"/>
  <c r="BT115" i="1"/>
  <c r="BO115" i="1"/>
  <c r="BO1048" i="1"/>
  <c r="BT1048" i="1"/>
  <c r="BT43" i="1"/>
  <c r="BO43" i="1"/>
  <c r="BO1483" i="1"/>
  <c r="BT1483" i="1"/>
  <c r="BO842" i="1"/>
  <c r="BT842" i="1"/>
  <c r="BT380" i="1"/>
  <c r="BO380" i="1"/>
  <c r="BO980" i="1"/>
  <c r="BT980" i="1"/>
  <c r="BO543" i="1"/>
  <c r="BT543" i="1"/>
  <c r="BT299" i="1"/>
  <c r="BO299" i="1"/>
  <c r="BT1366" i="1"/>
  <c r="BO1366" i="1"/>
  <c r="BO729" i="1"/>
  <c r="BT729" i="1"/>
  <c r="BT222" i="1"/>
  <c r="BO222" i="1"/>
  <c r="BO394" i="1"/>
  <c r="BT394" i="1"/>
  <c r="BO378" i="1"/>
  <c r="BT378" i="1"/>
  <c r="BO1169" i="1"/>
  <c r="BT1169" i="1"/>
  <c r="BT6" i="1"/>
  <c r="BO6" i="1"/>
  <c r="BT104" i="1"/>
  <c r="BO104" i="1"/>
  <c r="BO1250" i="1"/>
  <c r="BT1250" i="1"/>
  <c r="BO1292" i="1"/>
  <c r="BT1292" i="1"/>
  <c r="BT134" i="1"/>
  <c r="BO134" i="1"/>
  <c r="BO727" i="1"/>
  <c r="BT727" i="1"/>
  <c r="BO1068" i="1"/>
  <c r="BT1068" i="1"/>
  <c r="BO25" i="1"/>
  <c r="BT25" i="1"/>
  <c r="BO1355" i="1"/>
  <c r="BT1355" i="1"/>
  <c r="BO1210" i="1"/>
  <c r="BT1210" i="1"/>
  <c r="BO39" i="1"/>
  <c r="BT39" i="1"/>
  <c r="BO1476" i="1"/>
  <c r="BT1476" i="1"/>
  <c r="BT155" i="1"/>
  <c r="BO155" i="1"/>
  <c r="BO948" i="1"/>
  <c r="BT948" i="1"/>
  <c r="BT1161" i="1"/>
  <c r="BO1161" i="1"/>
  <c r="BT355" i="1"/>
  <c r="BO355" i="1"/>
  <c r="BT1452" i="1"/>
  <c r="BO1452" i="1"/>
  <c r="BT805" i="1"/>
  <c r="BO805" i="1"/>
  <c r="BO1335" i="1"/>
  <c r="BT1335" i="1"/>
  <c r="BO1085" i="1"/>
  <c r="BT1085" i="1"/>
  <c r="BT882" i="1"/>
  <c r="BO882" i="1"/>
  <c r="BT347" i="1"/>
  <c r="BO347" i="1"/>
  <c r="BT277" i="1"/>
  <c r="BO277" i="1"/>
  <c r="BT95" i="1"/>
  <c r="BO95" i="1"/>
  <c r="BO1272" i="1"/>
  <c r="BT1272" i="1"/>
  <c r="BT40" i="1"/>
  <c r="BO40" i="1"/>
  <c r="BT408" i="1"/>
  <c r="BO408" i="1"/>
  <c r="BT1374" i="1"/>
  <c r="BO1374" i="1"/>
  <c r="BO843" i="1"/>
  <c r="BT843" i="1"/>
  <c r="BT1278" i="1"/>
  <c r="BO1278" i="1"/>
  <c r="BT864" i="1"/>
  <c r="BO864" i="1"/>
  <c r="BO480" i="1"/>
  <c r="BT480" i="1"/>
  <c r="BT1346" i="1"/>
  <c r="BO1346" i="1"/>
  <c r="BO1463" i="1"/>
  <c r="BT1463" i="1"/>
  <c r="BO1350" i="1"/>
  <c r="BT1350" i="1"/>
  <c r="BO1132" i="1"/>
  <c r="BT1132" i="1"/>
  <c r="BT471" i="1"/>
  <c r="BO471" i="1"/>
  <c r="BO522" i="1"/>
  <c r="BT522" i="1"/>
  <c r="BT479" i="1"/>
  <c r="BO479" i="1"/>
  <c r="BO389" i="1"/>
  <c r="BT389" i="1"/>
  <c r="BO742" i="1"/>
  <c r="BT742" i="1"/>
  <c r="BT813" i="1"/>
  <c r="BO813" i="1"/>
  <c r="BO508" i="1"/>
  <c r="BT508" i="1"/>
  <c r="BO1436" i="1"/>
  <c r="BT1436" i="1"/>
  <c r="BO913" i="1"/>
  <c r="BT913" i="1"/>
  <c r="BO598" i="1"/>
  <c r="BT598" i="1"/>
  <c r="BT1128" i="1"/>
  <c r="BO1128" i="1"/>
  <c r="BT1473" i="1"/>
  <c r="BO1473" i="1"/>
  <c r="BO1110" i="1"/>
  <c r="BT1110" i="1"/>
  <c r="BT1160" i="1"/>
  <c r="BO1160" i="1"/>
  <c r="BO1495" i="1"/>
  <c r="BT1495" i="1"/>
  <c r="BT773" i="1"/>
  <c r="BO773" i="1"/>
  <c r="BO917" i="1"/>
  <c r="BT917" i="1"/>
  <c r="BT315" i="1"/>
  <c r="BO315" i="1"/>
  <c r="BT1141" i="1"/>
  <c r="BO1141" i="1"/>
  <c r="BO1220" i="1"/>
  <c r="BT1220" i="1"/>
  <c r="BT5" i="1"/>
  <c r="BO5" i="1"/>
  <c r="BT1072" i="1"/>
  <c r="BO1072" i="1"/>
  <c r="BO850" i="1"/>
  <c r="BT850" i="1"/>
  <c r="BO1465" i="1"/>
  <c r="BT1465" i="1"/>
  <c r="BT1147" i="1"/>
  <c r="BO1147" i="1"/>
  <c r="BT8" i="1"/>
  <c r="BO8" i="1"/>
  <c r="BT1266" i="1"/>
  <c r="BO1266" i="1"/>
  <c r="BT1371" i="1"/>
  <c r="BO1371" i="1"/>
  <c r="BT10" i="1"/>
  <c r="BO10" i="1"/>
  <c r="BT503" i="1"/>
  <c r="BO503" i="1"/>
  <c r="BO1007" i="1"/>
  <c r="BT1007" i="1"/>
  <c r="BT888" i="1"/>
  <c r="BO888" i="1"/>
  <c r="BT603" i="1"/>
  <c r="BO603" i="1"/>
  <c r="BT1175" i="1"/>
  <c r="BO1175" i="1"/>
  <c r="BO993" i="1"/>
  <c r="BT993" i="1"/>
  <c r="BT775" i="1"/>
  <c r="BO775" i="1"/>
  <c r="BT1421" i="1"/>
  <c r="BO1421" i="1"/>
  <c r="BT1065" i="1"/>
  <c r="BO1065" i="1"/>
  <c r="BT599" i="1"/>
  <c r="BO599" i="1"/>
  <c r="BT687" i="1"/>
  <c r="BO687" i="1"/>
  <c r="BO1438" i="1"/>
  <c r="BT1438" i="1"/>
  <c r="BO1118" i="1"/>
  <c r="BT1118" i="1"/>
  <c r="BO941" i="1"/>
  <c r="BT941" i="1"/>
  <c r="BT521" i="1"/>
  <c r="BO521" i="1"/>
  <c r="BT102" i="1"/>
  <c r="BO102" i="1"/>
  <c r="BO635" i="1"/>
  <c r="BT635" i="1"/>
  <c r="BO1158" i="1"/>
  <c r="BT1158" i="1"/>
  <c r="BO412" i="1"/>
  <c r="BT412" i="1"/>
  <c r="BT1082" i="1"/>
  <c r="BO1082" i="1"/>
  <c r="BO1361" i="1"/>
  <c r="BT1361" i="1"/>
  <c r="BO753" i="1"/>
  <c r="BT753" i="1"/>
  <c r="BT1006" i="1"/>
  <c r="BO1006" i="1"/>
  <c r="BT669" i="1"/>
  <c r="BO669" i="1"/>
  <c r="BO1256" i="1"/>
  <c r="BT1256" i="1"/>
  <c r="BT1070" i="1"/>
  <c r="BO1070" i="1"/>
  <c r="BT1308" i="1"/>
  <c r="BO1308" i="1"/>
  <c r="BO361" i="1"/>
  <c r="BT361" i="1"/>
  <c r="BT614" i="1"/>
  <c r="BO614" i="1"/>
  <c r="BT716" i="1"/>
  <c r="BO716" i="1"/>
  <c r="BO1196" i="1"/>
  <c r="BT1196" i="1"/>
  <c r="BO1204" i="1"/>
  <c r="BT1204" i="1"/>
  <c r="BO811" i="1"/>
  <c r="BT811" i="1"/>
  <c r="BT374" i="1"/>
  <c r="BO374" i="1"/>
  <c r="BO1042" i="1"/>
  <c r="BT1042" i="1"/>
  <c r="BT1111" i="1"/>
  <c r="BO1111" i="1"/>
  <c r="BO1106" i="1"/>
  <c r="BT1106" i="1"/>
  <c r="BT655" i="1"/>
  <c r="BO655" i="1"/>
  <c r="BT783" i="1"/>
  <c r="BO783" i="1"/>
  <c r="BO329" i="1"/>
  <c r="BT329" i="1"/>
  <c r="BT979" i="1"/>
  <c r="BO979" i="1"/>
  <c r="BO875" i="1"/>
  <c r="BT875" i="1"/>
  <c r="BO747" i="1"/>
  <c r="BT747" i="1"/>
  <c r="BT215" i="1"/>
  <c r="BO215" i="1"/>
  <c r="BT925" i="1"/>
  <c r="BO925" i="1"/>
  <c r="BO1203" i="1"/>
  <c r="BT1203" i="1"/>
  <c r="BT1441" i="1"/>
  <c r="BO1441" i="1"/>
  <c r="BT1039" i="1"/>
  <c r="BO1039" i="1"/>
  <c r="BT583" i="1"/>
  <c r="BO583" i="1"/>
  <c r="BT1284" i="1"/>
  <c r="BO1284" i="1"/>
  <c r="BT1307" i="1"/>
  <c r="BO1307" i="1"/>
  <c r="BO1097" i="1"/>
  <c r="BT1097" i="1"/>
  <c r="BO911" i="1"/>
  <c r="BT911" i="1"/>
  <c r="BO1202" i="1"/>
  <c r="BT1202" i="1"/>
  <c r="BT1338" i="1"/>
  <c r="BO1338" i="1"/>
  <c r="BT1363" i="1"/>
  <c r="BO1363" i="1"/>
  <c r="BO67" i="1"/>
  <c r="BT67" i="1"/>
  <c r="BO290" i="1"/>
  <c r="BT290" i="1"/>
  <c r="BO1280" i="1"/>
  <c r="BT1280" i="1"/>
  <c r="BT894" i="1"/>
  <c r="BO894" i="1"/>
  <c r="BT605" i="1"/>
  <c r="BO605" i="1"/>
  <c r="BT85" i="1"/>
  <c r="BO85" i="1"/>
  <c r="BT293" i="1"/>
  <c r="BO293" i="1"/>
  <c r="BO987" i="1"/>
  <c r="BT987" i="1"/>
  <c r="BT404" i="1"/>
  <c r="BO404" i="1"/>
  <c r="BT29" i="1"/>
  <c r="BO29" i="1"/>
  <c r="BT806" i="1"/>
  <c r="BO806" i="1"/>
  <c r="BT679" i="1"/>
  <c r="BO679" i="1"/>
  <c r="BT1016" i="1"/>
  <c r="BO1016" i="1"/>
  <c r="BT1242" i="1"/>
  <c r="BO1242" i="1"/>
  <c r="BT1310" i="1"/>
  <c r="BO1310" i="1"/>
  <c r="BO1113" i="1"/>
  <c r="BT1113" i="1"/>
  <c r="BT516" i="1"/>
  <c r="BO516" i="1"/>
  <c r="BO881" i="1"/>
  <c r="BT881" i="1"/>
  <c r="BO1456" i="1"/>
  <c r="BT1456" i="1"/>
  <c r="BO559" i="1"/>
  <c r="BT559" i="1"/>
  <c r="BT14" i="1"/>
  <c r="BO14" i="1"/>
  <c r="BO1207" i="1"/>
  <c r="BT1207" i="1"/>
  <c r="BO1291" i="1"/>
  <c r="BT1291" i="1"/>
  <c r="BT920" i="1"/>
  <c r="BO920" i="1"/>
  <c r="BT809" i="1"/>
  <c r="BO809" i="1"/>
  <c r="BT1388" i="1"/>
  <c r="BO1388" i="1"/>
  <c r="BT1043" i="1"/>
  <c r="BO1043" i="1"/>
  <c r="BO1422" i="1"/>
  <c r="BT1422" i="1"/>
  <c r="BO1241" i="1"/>
  <c r="BT1241" i="1"/>
  <c r="BO942" i="1"/>
  <c r="BT942" i="1"/>
  <c r="BO582" i="1"/>
  <c r="BT582" i="1"/>
  <c r="BT1488" i="1"/>
  <c r="BO1488" i="1"/>
  <c r="BT858" i="1"/>
  <c r="BO858" i="1"/>
  <c r="BO570" i="1"/>
  <c r="BT570" i="1"/>
  <c r="BT283" i="1"/>
  <c r="BO283" i="1"/>
  <c r="BT1379" i="1"/>
  <c r="BO1379" i="1"/>
  <c r="BT223" i="1"/>
  <c r="BO223" i="1"/>
  <c r="BO629" i="1"/>
  <c r="BT629" i="1"/>
  <c r="BO1429" i="1"/>
  <c r="BT1429" i="1"/>
  <c r="BO1234" i="1"/>
  <c r="BT1234" i="1"/>
  <c r="BO337" i="1"/>
  <c r="BT337" i="1"/>
  <c r="BO1224" i="1"/>
  <c r="BT1224" i="1"/>
  <c r="BO1489" i="1"/>
  <c r="BT1489" i="1"/>
  <c r="BT541" i="1"/>
  <c r="BO541" i="1"/>
  <c r="BO606" i="1"/>
  <c r="BT606" i="1"/>
  <c r="BO250" i="1"/>
  <c r="BT250" i="1"/>
  <c r="BO1318" i="1"/>
  <c r="BT1318" i="1"/>
  <c r="BT531" i="1"/>
  <c r="BO531" i="1"/>
  <c r="BT142" i="1"/>
  <c r="BO142" i="1"/>
  <c r="BT1168" i="1"/>
  <c r="BO1168" i="1"/>
  <c r="BT940" i="1"/>
  <c r="BO940" i="1"/>
  <c r="BO1319" i="1"/>
  <c r="BT1319" i="1"/>
  <c r="BO1150" i="1"/>
  <c r="BT1150" i="1"/>
  <c r="BO945" i="1"/>
  <c r="BT945" i="1"/>
  <c r="BT958" i="1"/>
  <c r="BO958" i="1"/>
  <c r="BT268" i="1"/>
  <c r="BO268" i="1"/>
  <c r="BO837" i="1"/>
  <c r="BT837" i="1"/>
  <c r="BT1487" i="1"/>
  <c r="BO1487" i="1"/>
  <c r="BO1382" i="1"/>
  <c r="BT1382" i="1"/>
  <c r="CE5" i="1"/>
  <c r="AH28" i="1"/>
  <c r="AK28" i="1" s="1"/>
  <c r="AH38" i="1"/>
  <c r="AH14" i="1"/>
  <c r="AK14" i="1" s="1"/>
  <c r="BT556" i="1"/>
  <c r="BO556" i="1"/>
  <c r="BT7" i="1"/>
  <c r="BO7" i="1"/>
  <c r="BO1274" i="1"/>
  <c r="BT1274" i="1"/>
  <c r="BT409" i="1"/>
  <c r="BO409" i="1"/>
  <c r="BT1089" i="1"/>
  <c r="BO1089" i="1"/>
  <c r="BO1219" i="1"/>
  <c r="BT1219" i="1"/>
  <c r="BO1002" i="1"/>
  <c r="BT1002" i="1"/>
  <c r="BO966" i="1"/>
  <c r="BT966" i="1"/>
  <c r="BT870" i="1"/>
  <c r="BO870" i="1"/>
  <c r="BT1004" i="1"/>
  <c r="BO1004" i="1"/>
  <c r="BO1159" i="1"/>
  <c r="BT1159" i="1"/>
  <c r="BO1236" i="1"/>
  <c r="BT1236" i="1"/>
  <c r="BO1142" i="1"/>
  <c r="BT1142" i="1"/>
  <c r="BO905" i="1"/>
  <c r="BT905" i="1"/>
  <c r="BO1081" i="1"/>
  <c r="BT1081" i="1"/>
  <c r="BO1056" i="1"/>
  <c r="BT1056" i="1"/>
  <c r="BO972" i="1"/>
  <c r="BT972" i="1"/>
  <c r="BT1378" i="1"/>
  <c r="BO1378" i="1"/>
  <c r="BO884" i="1"/>
  <c r="BT884" i="1"/>
  <c r="BO1270" i="1"/>
  <c r="BT1270" i="1"/>
  <c r="BT758" i="1"/>
  <c r="BO758" i="1"/>
  <c r="BT1485" i="1"/>
  <c r="BO1485" i="1"/>
  <c r="AH40" i="1" l="1"/>
  <c r="AK40" i="1" s="1"/>
  <c r="BU4" i="1"/>
  <c r="AL33" i="1" s="1"/>
  <c r="AM33" i="1" s="1"/>
  <c r="AL19" i="1"/>
  <c r="AM19" i="1" s="1"/>
  <c r="AK38" i="1"/>
  <c r="AH52" i="1"/>
  <c r="AK52" i="1" s="1"/>
  <c r="BU5" i="1"/>
  <c r="AH33" i="1" s="1"/>
  <c r="AK33" i="1" s="1"/>
  <c r="AH19" i="1" l="1"/>
  <c r="AK19" i="1" s="1"/>
  <c r="AN33" i="1"/>
  <c r="AN35" i="1" s="1"/>
  <c r="AH54" i="1" s="1"/>
  <c r="AK54" i="1" s="1"/>
  <c r="AM35" i="1"/>
  <c r="AH35" i="1" s="1"/>
  <c r="AK3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S4" authorId="0" shapeId="0" xr:uid="{54F92645-A2D5-407A-A902-3FB6F03F78CB}">
      <text>
        <r>
          <rPr>
            <b/>
            <sz val="9"/>
            <color indexed="81"/>
            <rFont val="Tahoma"/>
            <family val="2"/>
          </rPr>
          <t xml:space="preserve">Author: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<sst xmlns="http://schemas.openxmlformats.org/spreadsheetml/2006/main" count="10223" uniqueCount="726">
  <si>
    <t xml:space="preserve">section number </t>
  </si>
  <si>
    <t xml:space="preserve">from </t>
  </si>
  <si>
    <t xml:space="preserve">to </t>
  </si>
  <si>
    <t xml:space="preserve">soil type </t>
  </si>
  <si>
    <t>asphalted</t>
  </si>
  <si>
    <t>rocky</t>
  </si>
  <si>
    <t>normal</t>
  </si>
  <si>
    <t>road type</t>
  </si>
  <si>
    <t>sub</t>
  </si>
  <si>
    <t>point</t>
  </si>
  <si>
    <t>joint</t>
  </si>
  <si>
    <t>grid</t>
  </si>
  <si>
    <t>pole</t>
  </si>
  <si>
    <t>ss</t>
  </si>
  <si>
    <t>main</t>
  </si>
  <si>
    <t>length ( M)</t>
  </si>
  <si>
    <t xml:space="preserve">surface finishing  </t>
  </si>
  <si>
    <t>mini-trench</t>
  </si>
  <si>
    <t>not asphalted</t>
  </si>
  <si>
    <t>MILLING AND REPAVING</t>
  </si>
  <si>
    <t>30 10 10 201</t>
  </si>
  <si>
    <t>30 10 10 202</t>
  </si>
  <si>
    <t>30 10 10 203</t>
  </si>
  <si>
    <t>30 10 10 204</t>
  </si>
  <si>
    <t>30 10 10 213</t>
  </si>
  <si>
    <t>30 10 10 214</t>
  </si>
  <si>
    <t>30 10 10 215</t>
  </si>
  <si>
    <t>30 10 10 216</t>
  </si>
  <si>
    <t>30 10 10 301</t>
  </si>
  <si>
    <t>30 10 10 304</t>
  </si>
  <si>
    <t>30 60 10 001</t>
  </si>
  <si>
    <t>30 60 10 004</t>
  </si>
  <si>
    <t>30 40 10 202</t>
  </si>
  <si>
    <t>30 70 10 005</t>
  </si>
  <si>
    <t>30 70 10 001</t>
  </si>
  <si>
    <t>30 70 40 001</t>
  </si>
  <si>
    <t>30 70 20 001</t>
  </si>
  <si>
    <t>number of MV cables</t>
  </si>
  <si>
    <t>number of LV cables</t>
  </si>
  <si>
    <t>MV WIDTH</t>
  </si>
  <si>
    <t>LV WIDTH</t>
  </si>
  <si>
    <t>ITEM</t>
  </si>
  <si>
    <t>30 10 10 307</t>
  </si>
  <si>
    <t>MV1</t>
  </si>
  <si>
    <t>MV2</t>
  </si>
  <si>
    <t>MV3</t>
  </si>
  <si>
    <t>MV4</t>
  </si>
  <si>
    <t>LV1-3</t>
  </si>
  <si>
    <t>LV4</t>
  </si>
  <si>
    <t>item</t>
  </si>
  <si>
    <t>DC</t>
  </si>
  <si>
    <t>MB</t>
  </si>
  <si>
    <t>CU AS</t>
  </si>
  <si>
    <t>CU SOIL</t>
  </si>
  <si>
    <t>Road Cross</t>
  </si>
  <si>
    <t>pipes supply</t>
  </si>
  <si>
    <t>ROCKY % IN SR</t>
  </si>
  <si>
    <t>ASPHAT</t>
  </si>
  <si>
    <t>HT  LAYING</t>
  </si>
  <si>
    <t>ASPHALT COMP</t>
  </si>
  <si>
    <t>MC1 RC2</t>
  </si>
  <si>
    <t>MAKING JOINTS</t>
  </si>
  <si>
    <t>MAKING TERMINATION</t>
  </si>
  <si>
    <t>Exc.
Type</t>
  </si>
  <si>
    <t>MV1 SOIL</t>
  </si>
  <si>
    <t>MV2 SOIL</t>
  </si>
  <si>
    <t>MV3 SOIL</t>
  </si>
  <si>
    <t>MV4 SOIL</t>
  </si>
  <si>
    <t>LV1-3 SOIL</t>
  </si>
  <si>
    <t>LV4 SOIL</t>
  </si>
  <si>
    <t>normal&amp;rocky</t>
  </si>
  <si>
    <t>30 10 10 209</t>
  </si>
  <si>
    <t>unit price</t>
  </si>
  <si>
    <t>30 10 10 101</t>
  </si>
  <si>
    <t>30 10 10 102</t>
  </si>
  <si>
    <t>30 10 10 105</t>
  </si>
  <si>
    <t>30 10 10 107</t>
  </si>
  <si>
    <t>30 10 10 108</t>
  </si>
  <si>
    <t>30 10 10 106</t>
  </si>
  <si>
    <t>new mat backfill as per Baladia specs</t>
  </si>
  <si>
    <t>COST</t>
  </si>
  <si>
    <t>ROCKY AMOUNT</t>
  </si>
  <si>
    <t>MUNICIPALITY REQUIREMENTS</t>
  </si>
  <si>
    <t>NEW MATERIAL</t>
  </si>
  <si>
    <t>same material</t>
  </si>
  <si>
    <t>31 10 00 016</t>
  </si>
  <si>
    <t>VLF TEST FOR CABLE LINK</t>
  </si>
  <si>
    <t>30 40 10 102</t>
  </si>
  <si>
    <t>30 20 10 002</t>
  </si>
  <si>
    <t xml:space="preserve">SOIL CLASSIFICATION </t>
  </si>
  <si>
    <t>M</t>
  </si>
  <si>
    <t>M3</t>
  </si>
  <si>
    <t>SR</t>
  </si>
  <si>
    <t>M2</t>
  </si>
  <si>
    <t>EACH</t>
  </si>
  <si>
    <t>AMOUNT</t>
  </si>
  <si>
    <t>UNIT</t>
  </si>
  <si>
    <t>UNIT PRICE</t>
  </si>
  <si>
    <t>NEW BACKFILL MATERIALS</t>
  </si>
  <si>
    <t>SAME EXCAVATED MATERIALS</t>
  </si>
  <si>
    <t>UNFINNISHED EXC WITH NEW MAT BACKFILL</t>
  </si>
  <si>
    <t>ASPHALTED EXC WITH SAME MAT BACKFILL</t>
  </si>
  <si>
    <t>new ss</t>
  </si>
  <si>
    <t>mini-trench LV</t>
  </si>
  <si>
    <t>mini-trench MV</t>
  </si>
  <si>
    <t>30 10 20 001</t>
  </si>
  <si>
    <t>30 10 20 002</t>
  </si>
  <si>
    <t xml:space="preserve">UGC WORKS BOQ </t>
  </si>
  <si>
    <t>SETTING</t>
  </si>
  <si>
    <t>4*300</t>
  </si>
  <si>
    <t>4*185</t>
  </si>
  <si>
    <t>4*70</t>
  </si>
  <si>
    <t>LT  LAYING 300</t>
  </si>
  <si>
    <t>LT  LAYING to 185</t>
  </si>
  <si>
    <t>30 40 10 101</t>
  </si>
  <si>
    <t>GVData</t>
  </si>
  <si>
    <t>GVData0</t>
  </si>
  <si>
    <t>(end)</t>
  </si>
  <si>
    <t>ClassificationTagSetId</t>
  </si>
  <si>
    <t>e16409a7-1700-4153-9090-3955bc2f0ae8</t>
  </si>
  <si>
    <t>Classification</t>
  </si>
  <si>
    <t>عام / Public</t>
  </si>
  <si>
    <t>ComplianceTagSetId</t>
  </si>
  <si>
    <t>f14fc1f1-8950-40d5-8a29-45909da947d6</t>
  </si>
  <si>
    <t>FileId</t>
  </si>
  <si>
    <t>f940c2bc-86ed-4b51-9c5e-e792c81d5202</t>
  </si>
  <si>
    <t>UserId</t>
  </si>
  <si>
    <t>Mohammad S. Abdulmanaf</t>
  </si>
  <si>
    <t>TagDateTime</t>
  </si>
  <si>
    <t>Distribution</t>
  </si>
  <si>
    <t>داخلي / Internal</t>
  </si>
  <si>
    <t>ClassificationHash</t>
  </si>
  <si>
    <t>{classification_guid}</t>
  </si>
  <si>
    <t>ComplianceHash</t>
  </si>
  <si>
    <t>{compliance_guid}</t>
  </si>
  <si>
    <t>DistributionHash</t>
  </si>
  <si>
    <t>{distribution_guid}</t>
  </si>
  <si>
    <t>ew0KICAiZG9jSUQiOiAiZjk0MGMyYmMtODZlZC00YjUxLTljNWUtZTc5MmM4MWQ1MjAyIiwNCiAgInRhZ3NldF8wMDRkZWEzM184NzUxXzQzOTlfYTc2ZV85NWYzNzFjYjQxMTlfZGlzdHJpYnV0aW9uIjogIkludGVybmFsIiwNCiAgInRhZ3NldF9lMTY0MDlhN18x</t>
  </si>
  <si>
    <t>GVData1</t>
  </si>
  <si>
    <t>NzAwXzQxNTNfOTA5MF8zOTU1YmMyZjBhZThfY2xhc3NpZmljYXRpb24iOiAiUHVibGljIiwNCiAgIkhlYWRlckxlZnQiOiAiIiwNCiAgIkhlYWRlckNlbnRlciI6ICJcdTAwMjZLMDA4MDA0XHUwMDI2MTBDbGFzc2lmaWVkIGFzIFB1YmxpYyBJbnRlcm5hbCBieSBT</t>
  </si>
  <si>
    <t>RUMgLSBcdTA2MjdcdTA2NDRcdTA2MzRcdTA2MzFcdTA2NDNcdTA2MjkgXHUwNjI3XHUwNjQ0XHUwNjMzXHUwNjM5XHUwNjQ4XHUwNjJGXHUwNjRBXHUwNjI5IFx1MDY0NFx1MDY0NFx1MDY0M1x1MDY0N1x1MDYzMVx1MDYyOFx1MDYyN1x1MDYyMSBcdTA2NDVcdTA2</t>
  </si>
  <si>
    <t>GVData2</t>
  </si>
  <si>
    <t>GVData3</t>
  </si>
  <si>
    <t>MzVcdTA2NDZcdTA2NDEgXHUwNjM5XHUwNjI3XHUwNjQ1IChcdTA2MkZcdTA2MjdcdTA2MkVcdTA2NDRcdTA2NEEpICIsDQogICJIZWFkZXJSaWdodCI6ICIiLA0KICAiRm9vdGVyTGVmdCI6ICIiLA0KICAiRm9vdGVyQ2VudGVyIjogIlx1MDAyNkswMDgwMDRcdTAw</t>
  </si>
  <si>
    <t>MjYxMENsYXNzaWZpZWQgYXMgUHVibGljIEludGVybmFsIGJ5IFNFQyAtIFx1MDYyN1x1MDY0NFx1MDYzNFx1MDYzMVx1MDY0M1x1MDYyOSBcdTA2MjdcdTA2NDRcdTA2MzNcdTA2MzlcdTA2NDhcdTA2MkZcdTA2NEFcdTA2MjkgXHUwNjQ0XHUwNjQ0XHUwNjQzXHUw</t>
  </si>
  <si>
    <t>GVData4</t>
  </si>
  <si>
    <t>GVData5</t>
  </si>
  <si>
    <t>NjQ3XHUwNjMxXHUwNjI4XHUwNjI3XHUwNjIxIFx1MDY0NVx1MDYzNVx1MDY0Nlx1MDY0MSBcdTA2MzlcdTA2MjdcdTA2NDUgKFx1MDYyRlx1MDYyN1x1MDYyRVx1MDY0NFx1MDY0QSkgIiwNCiAgIkZvb3RlclJpZ2h0IjogIiINCn0=</t>
  </si>
  <si>
    <t>MV ADD</t>
  </si>
  <si>
    <t>manual</t>
  </si>
  <si>
    <t>30 10 30 001</t>
  </si>
  <si>
    <t>30 60 20 001</t>
  </si>
  <si>
    <t>Manual excavation in any soil type</t>
  </si>
  <si>
    <t>manual m3</t>
  </si>
  <si>
    <t>البند الإضافي للفرادة</t>
  </si>
  <si>
    <t>MOT</t>
  </si>
  <si>
    <t>تقييم رش مادتي MC1/RC2</t>
  </si>
  <si>
    <t xml:space="preserve">اختبار دك الاسفلت </t>
  </si>
  <si>
    <t>اختبار تصنيف التربة</t>
  </si>
  <si>
    <t>عمل نهاية كيبل ثلاثي جهد 15 ك ف للكيبل اكبر من 3*185 حتى 3*500 مم2</t>
  </si>
  <si>
    <t xml:space="preserve">تمديد كيبل رباعي جهد منخفض اكبر من 4*185 حتى 4*500 </t>
  </si>
  <si>
    <t>حفرية كيبل ج متوسط لعدد (1) كيبل تربة عادية مسفلتة والردم بمواد دفان جديدة  حسب اشتراطات الأمانة</t>
  </si>
  <si>
    <t>حفرية كيبل ج متوسط لعدد (2) كيبل تربة عادية مسفلتة والردم بمواد دفان جديدة  حسب اشتراطات الأمانة</t>
  </si>
  <si>
    <t>حفرية كيبل ج متوسط لعدد (3) كيبل تربة عادية مسفلتة والردم بمواد دفان جديدة  حسب اشتراطات الأمانة</t>
  </si>
  <si>
    <t>حفرية كيبل ج متوسط لعدد (4) كيبل تربة عادية مسفلتة والردم بمواد دفان جديدة  حسب اشتراطات الأمانة</t>
  </si>
  <si>
    <t>حفرية كيبل ج منخفض لعدد (1-3) كيبل تربة عادية مسفلتة والردم بمواد دفان جديدة  حسب اشتراطات الأمانة</t>
  </si>
  <si>
    <t>حفرية كيبل ج منخفض لعدد (4) كيبل تربة عادية مسفلتة والردم بمواد دفان جديدة  حسب اشتراطات الأمانة</t>
  </si>
  <si>
    <t>حفرية بالمتر المكعب تربة عادية مسفلتة والردم بمواد دفان جديدة  حسب اشتراطات الأمانة</t>
  </si>
  <si>
    <t>حفرية كيبل ج متوسط لعدد (1) كيبل تربة عادية غير مسفلتة والردم بمواد دفان جديدة  حسب اشتراطات الأمانة</t>
  </si>
  <si>
    <t>حفرية كيبل ج متوسط لعدد (2) كيبل تربة عادية غير مسفلتة والردم بمواد دفان جديدة  حسب اشتراطات الأمانة</t>
  </si>
  <si>
    <t>حفرية كيبل ج متوسط لعدد (3) كيبل تربة عادية غير مسفلتة والردم بمواد دفان جديدة  حسب اشتراطات الأمانة</t>
  </si>
  <si>
    <t>حفرية كيبل ج متوسط لعدد (4) كيبل تربة عادية غير مسفلتة والردم بمواد دفان جديدة  حسب اشتراطات الأمانة</t>
  </si>
  <si>
    <t>حفرية كيبل ج منخفض لعدد (1-3) كيبل تربة عادية غير مسفلتة والردم بمواد دفان جديدة  حسب اشتراطات الأمانة</t>
  </si>
  <si>
    <t>حفرية كيبل ج منخفض لعدد (4) كيبل تربة عادية غير مسفلتة والردم بمواد دفان جديدة  حسب اشتراطات الأمانة</t>
  </si>
  <si>
    <t>حفرية بالمتر المكعب تربة عادية غير  مسفلتة والردم بمواد دفان جديدة  حسب اشتراطات الأمانة</t>
  </si>
  <si>
    <t>النسبة الإضافية للحفر في التربة الصخرية</t>
  </si>
  <si>
    <t xml:space="preserve">حفر دقيق لعدد 1 كيبل جهد متوسط بعرض 20 سم و الدفان بالخرسانة </t>
  </si>
  <si>
    <t xml:space="preserve">حفر دقيق لعدد (1-2) كيبل جهد منخفض بعرض 20 سم و الدفان بالخرسانة </t>
  </si>
  <si>
    <t>إعادة سفلتة في الشوارع الفرعية والرئسية</t>
  </si>
  <si>
    <t xml:space="preserve">كشط و إعادة سلفتة باستخدام الفرادة </t>
  </si>
  <si>
    <t xml:space="preserve">تمديد كيبل ثلاثي  جهد متوسط اكبر من 4*185 حتى 4*500 </t>
  </si>
  <si>
    <t xml:space="preserve">تمديد كيبل رباعي جهد منخفض حتى   4*185 </t>
  </si>
  <si>
    <t xml:space="preserve">الحفر اليدوي في أي تربة </t>
  </si>
  <si>
    <t>المبلغ الإضافي للسفلتة باستخدام الفرادة للعرض اكبر من 1 ام</t>
  </si>
  <si>
    <t>توريد و تمديد مواسير PVC  كلاس 4 مقاس 150:200 مللي</t>
  </si>
  <si>
    <t>حفرية كيبل ج متوسط لعدد (1) كيبل تربة عادية مسفلتة والردم بمواد دفان جديدة  حسب اشتراطات وزارة النقل</t>
  </si>
  <si>
    <t>حفرية كيبل ج متوسط لعدد (2) كيبل تربة عادية مسفلتة والردم بمواد دفان جديدة  حسب اشتراطات وزارة النقل</t>
  </si>
  <si>
    <t>حفرية كيبل ج متوسط لعدد (3) كيبل تربة عادية مسفلتة والردم بمواد دفان جديدة  حسب اشتراطات وزارة النقل</t>
  </si>
  <si>
    <t>حفرية كيبل ج متوسط لعدد (4) كيبل تربة عادية مسفلتة والردم بمواد دفان جديدة  حسب اشتراطات وزارة النقل</t>
  </si>
  <si>
    <t>حفرية كيبل ج منخفض لعدد (1-3) كيبل تربة عادية مسفلتة والردم بمواد دفان جديدة  حسب اشتراطات وزارة النقل</t>
  </si>
  <si>
    <t>حفرية كيبل ج منخفض لعدد (4) كيبل تربة عادية مسفلتة والردم بمواد دفان جديدة  حسب اشتراطات وزارة النقل</t>
  </si>
  <si>
    <t>حفرية بالمتر المكعب تربة عادية مسفلتة والردم بمواد دفان جديدة  حسب اشتراطات وزارة النقل</t>
  </si>
  <si>
    <t>MV1 MOT</t>
  </si>
  <si>
    <t>MV2 MOT</t>
  </si>
  <si>
    <t>MV3 MOT</t>
  </si>
  <si>
    <t>MV4 MOT</t>
  </si>
  <si>
    <t>LV1-3 MOT</t>
  </si>
  <si>
    <t>LV4 MOT</t>
  </si>
  <si>
    <t>CU AS MOT</t>
  </si>
  <si>
    <t>إعادة سفلتة في الطرق التابعة لوزارة النقل</t>
  </si>
  <si>
    <t>ASPHAT MOT</t>
  </si>
  <si>
    <t>FARADAH ADDITION</t>
  </si>
  <si>
    <t>30 10 10 221</t>
  </si>
  <si>
    <t>30 10 10 222</t>
  </si>
  <si>
    <t>30 10 10 224</t>
  </si>
  <si>
    <t>30 10 10 223</t>
  </si>
  <si>
    <t>30 10 10 111</t>
  </si>
  <si>
    <t>30 10 10 112</t>
  </si>
  <si>
    <t>30 10 10 306</t>
  </si>
  <si>
    <t>30 60 10 002</t>
  </si>
  <si>
    <t>30 60 10 003</t>
  </si>
  <si>
    <t>كمية الإعادة</t>
  </si>
  <si>
    <t>كمية الكشط</t>
  </si>
  <si>
    <t>عرض الحفر  المحسوب /المدخل</t>
  </si>
  <si>
    <t>EXC. WIDTH</t>
  </si>
  <si>
    <t>M &amp; R WIDTH</t>
  </si>
  <si>
    <t>REMARKS</t>
  </si>
  <si>
    <t>30 10 10 303</t>
  </si>
  <si>
    <t>30 10 10 308</t>
  </si>
  <si>
    <t>30 40 40 106</t>
  </si>
  <si>
    <t>%</t>
  </si>
  <si>
    <t>30 60 20 003</t>
  </si>
  <si>
    <t>pipes</t>
  </si>
  <si>
    <t>النسبة المئوية الإضافية لحفر موقع  مرصوف بالبلاط او الخرسانة</t>
  </si>
  <si>
    <t>PAVED EXC PRICE</t>
  </si>
  <si>
    <t>توريد و دهان كيبل جهد متوسط بمادة مضادة للحريق</t>
  </si>
  <si>
    <t>1446-02-21T08:27:52Z</t>
  </si>
  <si>
    <t>special</t>
  </si>
  <si>
    <t>special exc m3</t>
  </si>
  <si>
    <t xml:space="preserve">خلع و إعادة تركيب بلاط متداخل </t>
  </si>
  <si>
    <t xml:space="preserve">توريد و تركيب بلاط ارصفة خرساني </t>
  </si>
  <si>
    <t xml:space="preserve">توريد و تركيب بلاط أرصفة خرساني </t>
  </si>
  <si>
    <t>Paved interlock</t>
  </si>
  <si>
    <t>Paved conc.tiles</t>
  </si>
  <si>
    <t>interlock</t>
  </si>
  <si>
    <t>conc tiles</t>
  </si>
  <si>
    <t>special reasphalting</t>
  </si>
  <si>
    <t>paved in general</t>
  </si>
  <si>
    <t xml:space="preserve">soil compaction test </t>
  </si>
  <si>
    <t>ص 16 SDCS-02-17</t>
  </si>
  <si>
    <t xml:space="preserve">اختبار دك التربة </t>
  </si>
  <si>
    <t>عرض الإعادة</t>
  </si>
  <si>
    <t>PIPES</t>
  </si>
  <si>
    <t>HDD</t>
  </si>
  <si>
    <t xml:space="preserve">ثقب أفقي عدد 1 ماسورة </t>
  </si>
  <si>
    <t xml:space="preserve">ثقب أفقي عدد 2 ماسورة </t>
  </si>
  <si>
    <t>30 20 20 001</t>
  </si>
  <si>
    <t>30 20 20 002</t>
  </si>
  <si>
    <t>30 20 20 003</t>
  </si>
  <si>
    <t>30 20 20 004</t>
  </si>
  <si>
    <t xml:space="preserve">ثقب أفقي عدد 4 ماسورة </t>
  </si>
  <si>
    <t xml:space="preserve">ثقب أفقي عدد4 ماسورة </t>
  </si>
  <si>
    <t xml:space="preserve">ثقب أفقي عدد 6 ماسورة </t>
  </si>
  <si>
    <t xml:space="preserve">ثقب أفقي عدد6 ماسورة </t>
  </si>
  <si>
    <t>normal exc std width</t>
  </si>
  <si>
    <t>normal exc std asphalt</t>
  </si>
  <si>
    <t>Std. asphalt width</t>
  </si>
  <si>
    <t>EXC. DEPTH</t>
  </si>
  <si>
    <t>المبلغ الإضافي  عند تمديد كابل ج.متوسط /منخفض للتوصيل على عامود شامل الماسورة والقفيز</t>
  </si>
  <si>
    <t>توصيل كيبل على عامود</t>
  </si>
  <si>
    <t>30 40 40 201</t>
  </si>
  <si>
    <t>LV ADD 70</t>
  </si>
  <si>
    <t>LV ADD 185</t>
  </si>
  <si>
    <t>LV ADD 300</t>
  </si>
  <si>
    <t>JOINT 4*300</t>
  </si>
  <si>
    <t>JOINT 4*185</t>
  </si>
  <si>
    <t>JOINT 4*70</t>
  </si>
  <si>
    <t>30 50 10 102</t>
  </si>
  <si>
    <t>عملة وصلة مستقيمة لكيبل جهد منخفض &gt; 185</t>
  </si>
  <si>
    <t>عملة وصلة مستقيمة لكيبل جهد منخفض &lt;= 185</t>
  </si>
  <si>
    <t>30 50 10 101</t>
  </si>
  <si>
    <t>MINIMUM ASPHALT EXC WIDTH</t>
  </si>
  <si>
    <t>LVW - MVW</t>
  </si>
  <si>
    <t>MV JOINTS</t>
  </si>
  <si>
    <t>MV TER</t>
  </si>
  <si>
    <t>M4</t>
  </si>
  <si>
    <t>LV TER &gt;185</t>
  </si>
  <si>
    <t>LV TER &lt;185</t>
  </si>
  <si>
    <t>تركيب نهاية طرفية لكيبل جهد منخفض رباعي &gt; 185</t>
  </si>
  <si>
    <t>تركيب نهاية طرفية لكيبل جهد منخفض رباعي &lt;= 185</t>
  </si>
  <si>
    <t>30 50 10 302</t>
  </si>
  <si>
    <t>30 50 10 301</t>
  </si>
  <si>
    <t>MV TRANS JOINT</t>
  </si>
  <si>
    <t>j transition</t>
  </si>
  <si>
    <t>new DC</t>
  </si>
  <si>
    <t>new MB</t>
  </si>
  <si>
    <t xml:space="preserve">عمل وصلة مستقيمة انتقالية بين كابلين جهد متوسط 15 ك ف </t>
  </si>
  <si>
    <t>REPLACEMENT</t>
  </si>
  <si>
    <t>new MRMU</t>
  </si>
  <si>
    <t>new dc</t>
  </si>
  <si>
    <t>30 90 10 102</t>
  </si>
  <si>
    <t>VOLTAGE</t>
  </si>
  <si>
    <t>33 KV</t>
  </si>
  <si>
    <t>13.8 KV</t>
  </si>
  <si>
    <t>500 KVA</t>
  </si>
  <si>
    <t>1000 KVA</t>
  </si>
  <si>
    <t>1500 KVA</t>
  </si>
  <si>
    <t>RMU 4WAY 400A</t>
  </si>
  <si>
    <t>TYPE</t>
  </si>
  <si>
    <t>LV ITEM</t>
  </si>
  <si>
    <t>LV AMOUNT</t>
  </si>
  <si>
    <t>LV DESCRIPTION</t>
  </si>
  <si>
    <t>MV DESCRIPTION</t>
  </si>
  <si>
    <t>CABLE AL 4*300</t>
  </si>
  <si>
    <t>CABLE AL 4*185</t>
  </si>
  <si>
    <t>CABLE AL 4*70</t>
  </si>
  <si>
    <t>4*300 JOINT</t>
  </si>
  <si>
    <t>4*185 JOINT</t>
  </si>
  <si>
    <t>4*70 JOINT</t>
  </si>
  <si>
    <t>PILLAR 400A WITH BASE</t>
  </si>
  <si>
    <t>TERM KIT,STR,PM,1KV,4X70MM2,AL</t>
  </si>
  <si>
    <t>TERM KIT,STR,1KV,4X185MM2,AL</t>
  </si>
  <si>
    <t>TERM KIT,STR,1KV,4X300MM2,AL</t>
  </si>
  <si>
    <t xml:space="preserve">RMU 3WAY 400A </t>
  </si>
  <si>
    <t>MV ITEM 13.8</t>
  </si>
  <si>
    <t>MV item 33</t>
  </si>
  <si>
    <t>13.8 KV amount</t>
  </si>
  <si>
    <t>33 kv amount</t>
  </si>
  <si>
    <t>MRMU 3WAY 630A/400A</t>
  </si>
  <si>
    <t>MRMU 3WAY 630A/630A</t>
  </si>
  <si>
    <t>MRMU 4WAY 630A/400A</t>
  </si>
  <si>
    <t>500 KVA UNIT MULTI CB 230/400V</t>
  </si>
  <si>
    <t>1000 KVA UNIT MULTI CB 230/400V</t>
  </si>
  <si>
    <t>1500 KVA UNIT MULTI CB 230/400V</t>
  </si>
  <si>
    <t>500 KVA UNIT MULTI CB DUAL</t>
  </si>
  <si>
    <t>1000 KVA UNIT MULTI CB DUAL</t>
  </si>
  <si>
    <t>1500 KVA UNIT MULTI CB DUAL</t>
  </si>
  <si>
    <t>1000 KVA UNIT MCB 230/400V</t>
  </si>
  <si>
    <t>1000 KVA UNIT MCB DUAL</t>
  </si>
  <si>
    <t>1500 KVA UNIT MCB 230/400V</t>
  </si>
  <si>
    <t>1500 KVA UNIT MCB DUAL</t>
  </si>
  <si>
    <t xml:space="preserve">500 KVA UNIT MCB  230/400V </t>
  </si>
  <si>
    <t>JOINT STR 3*500</t>
  </si>
  <si>
    <t>JOINT STR 3*400</t>
  </si>
  <si>
    <t>JOINT TRANSITION 500-300</t>
  </si>
  <si>
    <t xml:space="preserve">RMU SELECTION </t>
  </si>
  <si>
    <t xml:space="preserve">NEW </t>
  </si>
  <si>
    <t xml:space="preserve">UNIT TR SELECTION </t>
  </si>
  <si>
    <t xml:space="preserve"> RATING</t>
  </si>
  <si>
    <t>SECONDARY V</t>
  </si>
  <si>
    <t>230/400 V</t>
  </si>
  <si>
    <t>DUAL</t>
  </si>
  <si>
    <t>MULTI CB</t>
  </si>
  <si>
    <t>MAIN CB</t>
  </si>
  <si>
    <t xml:space="preserve">JOINT TRANSITION 500-185 </t>
  </si>
  <si>
    <t>JOINT TRANSITION 400-240</t>
  </si>
  <si>
    <t>TER 3*500 RA</t>
  </si>
  <si>
    <t>TER 3*500 STR ID</t>
  </si>
  <si>
    <t>TER 3*500 STR ODR</t>
  </si>
  <si>
    <t>TER 3*400 RA</t>
  </si>
  <si>
    <t>TER 3*400 STR ID</t>
  </si>
  <si>
    <t>TER 3*400 STR ODR</t>
  </si>
  <si>
    <t>TER 3*240 RA</t>
  </si>
  <si>
    <t>TER 1*50 STR</t>
  </si>
  <si>
    <t>CABLE 3*500</t>
  </si>
  <si>
    <t>CABLE 3*400</t>
  </si>
  <si>
    <t>CABLE 1*50</t>
  </si>
  <si>
    <t>ter 70</t>
  </si>
  <si>
    <t>ter 185</t>
  </si>
  <si>
    <t xml:space="preserve">500 KVA UNIT MCB  DUAL </t>
  </si>
  <si>
    <t>RA  TER</t>
  </si>
  <si>
    <t>STR IND TER</t>
  </si>
  <si>
    <t>STR ODR TER</t>
  </si>
  <si>
    <t>GROUNDING ITEM</t>
  </si>
  <si>
    <t>GROUNDING AMOUNT</t>
  </si>
  <si>
    <t>GROUNDING DESCRIPTION</t>
  </si>
  <si>
    <t>CONDUCTOR,70SQMM,BR,CU</t>
  </si>
  <si>
    <t>LUG,35,CU</t>
  </si>
  <si>
    <t>LUG,70,CU</t>
  </si>
  <si>
    <t>CONDUCTOR,35SQMM,BR,CU</t>
  </si>
  <si>
    <t>ROD,GRD,16MM,2400MM,CU</t>
  </si>
  <si>
    <t>ROD,GRD,16MM,1200MM,CU</t>
  </si>
  <si>
    <t xml:space="preserve">CLAMP,GRD,BRZ,35-70SQMM CU,16MM DIA </t>
  </si>
  <si>
    <t>TER 3*300 RA ,15 KV</t>
  </si>
  <si>
    <t>TER 3*185 RA , 33 KV</t>
  </si>
  <si>
    <t>CABLE,1KV, AL,4C,300</t>
  </si>
  <si>
    <t>CABLE,1KV, AL,4C,185</t>
  </si>
  <si>
    <t>CABLE,1KV, AL,4C,70</t>
  </si>
  <si>
    <t>JOINT KIT,1KV,4X300,AL</t>
  </si>
  <si>
    <t>JOINT KIT,1KV,4X185,AL</t>
  </si>
  <si>
    <t>JOINT KIT,1KV,4X70,AL</t>
  </si>
  <si>
    <t>PILLAR,DIST,LV,400A WITH BASE</t>
  </si>
  <si>
    <t>JOINT KIT,15KV,3X500,AL</t>
  </si>
  <si>
    <t>JOINT KIT,36KV,3X400,AL</t>
  </si>
  <si>
    <t>JOINT KIT,TRANSITION,15KV,3X300-500,CU-AL</t>
  </si>
  <si>
    <t>JOINT KIT,TRANSITION,15KV,3X185-500,CU-AL</t>
  </si>
  <si>
    <t>JOINT KIT,TRANSITION,36KV,3X240-400,CU-AL</t>
  </si>
  <si>
    <t>TERM,RT/ELBOW,15KV,3X500,AL</t>
  </si>
  <si>
    <t>TERM,STR,15KV,3X500,AL,I/D</t>
  </si>
  <si>
    <t>TERM,STR,15KV,3X500,AL,ODR</t>
  </si>
  <si>
    <t>TERM,RT/ELBOW,15KV,3X300,CU</t>
  </si>
  <si>
    <t>TERM,RT/ELBOW,33KV,3X240,CU</t>
  </si>
  <si>
    <t>TERM,RT/ELBOW,36KV,3X400,AL</t>
  </si>
  <si>
    <t>TERM,STR,36KV,3X400,AL,I/D</t>
  </si>
  <si>
    <t>CABLE,15KV,AL,3C,500</t>
  </si>
  <si>
    <t>CABLE,36KV,AL,3C,400</t>
  </si>
  <si>
    <t>lugs 70</t>
  </si>
  <si>
    <t>lugs 185</t>
  </si>
  <si>
    <t>lugs 300</t>
  </si>
  <si>
    <t>LUG,300,AL</t>
  </si>
  <si>
    <t>LUG,185,AL</t>
  </si>
  <si>
    <t>LUG,70,AL</t>
  </si>
  <si>
    <t xml:space="preserve">equipment related works </t>
  </si>
  <si>
    <t>تركيب محطة وحدة حتى ويشمل سعة 1000 ك.ف.أ</t>
  </si>
  <si>
    <t>تركيب محطة وحدة اكبر من 1000 حتى ويشمل سعة 1500 ك.ف.أ</t>
  </si>
  <si>
    <t>30 90 20 203</t>
  </si>
  <si>
    <t>30 90 20 204</t>
  </si>
  <si>
    <t>تركيب لوحة توزيع فرعية بقاعدتها ) الجزء السفلي ( مصنوعة من األلياف</t>
  </si>
  <si>
    <t>تأريض لوحة توزيع رئيسية / فرعية بتركيب قضيبي )2( تأريض</t>
  </si>
  <si>
    <t>توريد وصب خرسانة اسمنتية عادية</t>
  </si>
  <si>
    <t>31 00 10 001</t>
  </si>
  <si>
    <t>40 10 00 015</t>
  </si>
  <si>
    <t>40 10 00 014</t>
  </si>
  <si>
    <t>توريد وصب خرسانة أسمنتية مسلحة</t>
  </si>
  <si>
    <t>توريد حصباء و فردها بسماكة 10-15 سم</t>
  </si>
  <si>
    <t>30 80 20 107</t>
  </si>
  <si>
    <t>توريد و تركيب أو إنشاء بالموقع قاعدة خرسانية لمفاتيح حلقية أو وحدة قياس جهد متوسط أي نوع</t>
  </si>
  <si>
    <t>30 80 20 101</t>
  </si>
  <si>
    <t>توريد وتركيب عمود حماية واحد )1( لمعدة ارضية</t>
  </si>
  <si>
    <t>60 40 00 002</t>
  </si>
  <si>
    <t>تركيب وحدة حلقات رئيسية اي نوع أو وحدة قياس لكبار المشتركين</t>
  </si>
  <si>
    <t>30 90 20 101</t>
  </si>
  <si>
    <t>استبدال وحدة حلقية رئيسية اي نوع أو وحدة قياس لكبار المشتركين</t>
  </si>
  <si>
    <t>30 90 20 301</t>
  </si>
  <si>
    <t>استبدال اي محطة وحدة بأخرى سعة حتى ويشمل 1000 ك.ف.أ</t>
  </si>
  <si>
    <t>30 90 20 404</t>
  </si>
  <si>
    <t>استبدال أي محطة وحدة بأخرى اكبر من 1000 حتى ويشمل سعة 1500 ك.ف.أ</t>
  </si>
  <si>
    <t>30 90 20 406</t>
  </si>
  <si>
    <t>31 00 20 001</t>
  </si>
  <si>
    <t>تمديد كابل مفرد احادي القلب جهد متوسط مقاس حتى ويشمل 185 مم,2 نحاس أوألمنيوم</t>
  </si>
  <si>
    <t>30 40 10 203</t>
  </si>
  <si>
    <t>تركيب نهاية طرفية مستقيمة / زاوية قائمة لكابل أحادي القلب ) للفازه الواحدة ( 15 ك.ف. أي مقاس</t>
  </si>
  <si>
    <t>30 50 20 405</t>
  </si>
  <si>
    <t>unit</t>
  </si>
  <si>
    <t>WORK ITEM</t>
  </si>
  <si>
    <t>WORK DESCRIPTION</t>
  </si>
  <si>
    <t>MAT ITEM</t>
  </si>
  <si>
    <t>MAT DESCRIPTION</t>
  </si>
  <si>
    <t>تأريض معدة / معدات أرضية في حيز او غرفة  محولات ولوحات أي مقاس  (( بتركيب أربعة )4( قضبان تأريض  تربة عادية / رملية</t>
  </si>
  <si>
    <t>Type</t>
  </si>
  <si>
    <t xml:space="preserve">CB  SELECTION </t>
  </si>
  <si>
    <t>METER BOXES SELECTION</t>
  </si>
  <si>
    <t>SINGLE</t>
  </si>
  <si>
    <t>DOUBLE</t>
  </si>
  <si>
    <t>QUADRABLE</t>
  </si>
  <si>
    <t>METER,DIG,WC,133/230/400V,10(100)A</t>
  </si>
  <si>
    <t>METER,DIG,WC,133/230/400V,20(160)A</t>
  </si>
  <si>
    <t>METER,CT,133/230/400V,1.5(6)A</t>
  </si>
  <si>
    <t>BREAKER, 20 A</t>
  </si>
  <si>
    <t>BREAKER, 30 A</t>
  </si>
  <si>
    <t>BREAKER, 40 A</t>
  </si>
  <si>
    <t>BREAKER, 50 A</t>
  </si>
  <si>
    <t>BREAKER, 70 A</t>
  </si>
  <si>
    <t>BREAKER, 100 A</t>
  </si>
  <si>
    <t>BREAKER, 125 A</t>
  </si>
  <si>
    <t>BREAKER, 150 A</t>
  </si>
  <si>
    <t>BREAKER, 200 A</t>
  </si>
  <si>
    <t>BREAKER, 250 A</t>
  </si>
  <si>
    <t>BREAKER, 300 A</t>
  </si>
  <si>
    <t>BREAKER, 400 A</t>
  </si>
  <si>
    <t>BREAKER, 500 A</t>
  </si>
  <si>
    <t>BREAKER, 600 A</t>
  </si>
  <si>
    <t>BREAKER, 800 A</t>
  </si>
  <si>
    <t>CT-200/5A</t>
  </si>
  <si>
    <t>CT-250/5A</t>
  </si>
  <si>
    <t>CT-300/5A</t>
  </si>
  <si>
    <t>CT-400/5A</t>
  </si>
  <si>
    <t>CT-500/5A</t>
  </si>
  <si>
    <t>CT-600/5A</t>
  </si>
  <si>
    <t>CABLE,CNTRL,12CORE</t>
  </si>
  <si>
    <t>BOX METER,1 ,DIR,UPTO 160A,O/D</t>
  </si>
  <si>
    <t>BOX METER,2 CUST,DIR,UPTO 160A,O/D</t>
  </si>
  <si>
    <t>BOX METER,4 CUST,DIR,UPTO 160A,O/D</t>
  </si>
  <si>
    <t>BOX METER,1 CUST,CT,200/250A,O/D</t>
  </si>
  <si>
    <t>BOX METER,1 CUST,CT,300/400A,O/D</t>
  </si>
  <si>
    <t>BOX METER,1 CUST,CT,500/600A,O/D</t>
  </si>
  <si>
    <t>BOX METER,1 CUST,CT,800A,O/D</t>
  </si>
  <si>
    <t>CT 200/250</t>
  </si>
  <si>
    <t>CT 300/400</t>
  </si>
  <si>
    <t>CT 500/600</t>
  </si>
  <si>
    <t>تركيب وتوصيل صندوق بعداد آحادي اى مقاس/نوع</t>
  </si>
  <si>
    <t>50 10 10 001</t>
  </si>
  <si>
    <t>تركيب وتوصيل صندوق بعدادين اى مقاس/نوع</t>
  </si>
  <si>
    <t>50 10 10 003</t>
  </si>
  <si>
    <t>تركيب وتوصيل صندوق 4 عدادات اى مقاس/نوع</t>
  </si>
  <si>
    <t>50 10 10 004</t>
  </si>
  <si>
    <t>تركيب وتوصيل صندوق بعداد محول تيار مع ملحقاته، أو عداد بمحول تيار منفصل</t>
  </si>
  <si>
    <t>50 10 10 002</t>
  </si>
  <si>
    <t>تأريض من ) 1 ( الى ) 4 ( عدادات )محول تيار أو توصيل مباشر( بصندوق واحد او اكثر في تربة عادية</t>
  </si>
  <si>
    <t>50 70 00 001</t>
  </si>
  <si>
    <t>Section Number</t>
  </si>
  <si>
    <t>From</t>
  </si>
  <si>
    <t>To</t>
  </si>
  <si>
    <t>Length
(M)</t>
  </si>
  <si>
    <t xml:space="preserve">Surface Finishing  </t>
  </si>
  <si>
    <t xml:space="preserve">Soil Type </t>
  </si>
  <si>
    <t>Road Type</t>
  </si>
  <si>
    <t>No. of LV cables</t>
  </si>
  <si>
    <t>No. of MV cables</t>
  </si>
  <si>
    <t/>
  </si>
  <si>
    <t>BOX METER,1 CUST,CT,REMOT ,O/D</t>
  </si>
  <si>
    <t>MINIMUM NOT-ASPHALTED EXC WIDTH</t>
  </si>
  <si>
    <t>التكعيب لتعويض اشتراط الحد الأدنى الترابي</t>
  </si>
  <si>
    <t>التكعيب لتعويض اشتراط الحد الأدنى الأسفلتي</t>
  </si>
  <si>
    <t>التكعيب لتعويض الزيادة عن 4 كابلات ترابي و أسفلت</t>
  </si>
  <si>
    <t>30 80 20 106</t>
  </si>
  <si>
    <t>NEW LOCACTION</t>
  </si>
  <si>
    <t>EX LOCATION</t>
  </si>
  <si>
    <t>توريد و تركيب أو إنشاء بالموقع لقاعدة خرسانية لمحطة وحدة  حتى و يشمل 1000 ك .ف.أ</t>
  </si>
  <si>
    <t>30 80 20 105</t>
  </si>
  <si>
    <t>توريد و تركيب أو إنشاء بالموقع لقاعدة خرسانية لمحطة وحدة  أكبر من 1000 ك .ف.أ حتى و يشمل 1500 ك.ف.أ</t>
  </si>
  <si>
    <t xml:space="preserve">2- عند استخدام نوع الحفر عادي normal  يتم احتساب عرض الإعادة 1.3 عند اختيار الشارع فرعي و 1.6 عند اختيار الشارع رئيسي -  و في حالة تحديد عرض للإعادة أقل من ذلك يتم أخذه في الإعتبار و عند تحديد عرض للإعادة أكبر من ذلك يتم تجاهله </t>
  </si>
  <si>
    <t xml:space="preserve">3- عند إستخدام نوع الحفر special  يلزم تحديد أبعاد الحفر  ( عرض و عمق) و عرض الإعادة - و يستخدم هذا النوع لمربعات اللحام - و الحفريات التي تزيد عن المواصفات مثل التمديد على أكثر من طبقة - أو الخ .. و يكون بالمتر المكعب </t>
  </si>
  <si>
    <t xml:space="preserve">4- في حالة وجود كشط و فرد يلزم تحديد عرض الكشط في العامود المخصص 
- كما يلزم تحديد نوع الحساب في الخلية G3  في شيت الإعدادات :
الإعادة ثم الكشط ( يتم إحتساب الإعادة و الكشط و الإعادة بكامل العرض )
الكشط ثم الإعادة ( يتم إحتساب الإعادة و الكشط والإعادة مخصوم منه عرض الكشط ) </t>
  </si>
  <si>
    <t xml:space="preserve">5- في حالة قطع طريق من خلال حفر  و مواسير يتم اختيار PIPES 
- في حالة قطع من خلال ثقب أفقي : يتم اختيار HDD  - ولا يتم اختيار نوع حفر او نوع تربة </t>
  </si>
  <si>
    <t>7- في حساب أطوال الكابلات و التمديد يتم  اضافة 3 متر للمحطة و 30 لمحطة التحويل و1 متر للحام و  10 م للعامود   3 م للمحطة و 2 للصندوق و 1.5 للكابينة</t>
  </si>
  <si>
    <t>8- يجب اختيار نوع الردم في الحفريات الترابية سواء كان الردم بنفس نواتج الحفر او بمواد دفان جديدة تحدد في الخلية E2</t>
  </si>
  <si>
    <t>MILLING AND REPAVING CALCULATION</t>
  </si>
  <si>
    <t xml:space="preserve"> BACKFILLING  MATERIAL FOR UNFINNISHED EXC</t>
  </si>
  <si>
    <t xml:space="preserve">1- عند إختيار نوع الحفر ميني ترنش يتم احتساب عرض الكشط 1م و لا يلزم تعبئة عرض الإعادة  و لا عرض الكشط </t>
  </si>
  <si>
    <t>توريد مواد دفان لرفع مستوى / منسوب مسار الكابلات و قواعد المحطات الجديدة</t>
  </si>
  <si>
    <t>30 10 30 002</t>
  </si>
  <si>
    <t>30 10 10 210</t>
  </si>
  <si>
    <t>إختبار هبوط الخرسانة في الموقع قبل الإستخدام مع قياس درجة الحرارة</t>
  </si>
  <si>
    <t xml:space="preserve">إختبار هبوط الخرسانة </t>
  </si>
  <si>
    <t>30 70 30 0001</t>
  </si>
  <si>
    <t>USER</t>
  </si>
  <si>
    <t>Complete M&amp;R area</t>
  </si>
  <si>
    <t>M&amp;R area - asphalting area</t>
  </si>
  <si>
    <t xml:space="preserve">ثقب أفقي عدد 8 ماسورة </t>
  </si>
  <si>
    <t xml:space="preserve">ثقب أفقي عدد 10 ماسورة </t>
  </si>
  <si>
    <t xml:space="preserve">ثقب أفقي عدد8 ماسورة </t>
  </si>
  <si>
    <t xml:space="preserve">ثقب أفقي عدد10ماسورة </t>
  </si>
  <si>
    <t>30 20 20 005</t>
  </si>
  <si>
    <t>30 20 20 006</t>
  </si>
  <si>
    <t xml:space="preserve">UGC BOQ </t>
  </si>
  <si>
    <t>30 10 10 211</t>
  </si>
  <si>
    <t>30 10 10 212</t>
  </si>
  <si>
    <t xml:space="preserve">NEW BACKFILLL </t>
  </si>
  <si>
    <t>SAME BACKFIL</t>
  </si>
  <si>
    <t>CU SOIL AMANA</t>
  </si>
  <si>
    <t>B COMPLETE</t>
  </si>
  <si>
    <t>C COMPLETE</t>
  </si>
  <si>
    <t>GRID ONLY</t>
  </si>
  <si>
    <t>OTHERS ONLY</t>
  </si>
  <si>
    <t>Usage limit</t>
  </si>
  <si>
    <t>Select Language</t>
  </si>
  <si>
    <t>Set Language button</t>
  </si>
  <si>
    <t>Language Settings</t>
  </si>
  <si>
    <t>200 BOQs  59 $</t>
  </si>
  <si>
    <t>400 BOQs  99 $</t>
  </si>
  <si>
    <t>100 BOQs  39 $</t>
  </si>
  <si>
    <t>BOQs Credit</t>
  </si>
  <si>
    <t>Top Up Credit</t>
  </si>
  <si>
    <t>pay button</t>
  </si>
  <si>
    <t>Refresh button</t>
  </si>
  <si>
    <t>Contact</t>
  </si>
  <si>
    <t>ugc.boq@gmail.com</t>
  </si>
  <si>
    <t>BOQs done</t>
  </si>
  <si>
    <t>MAC</t>
  </si>
  <si>
    <t>PASSWORD</t>
  </si>
  <si>
    <t>Activated User</t>
  </si>
  <si>
    <t>Updates</t>
  </si>
  <si>
    <t>Current version</t>
  </si>
  <si>
    <t>Available Version</t>
  </si>
  <si>
    <t>English</t>
  </si>
  <si>
    <t>Arabic</t>
  </si>
  <si>
    <t>مواسير</t>
  </si>
  <si>
    <t xml:space="preserve">ثقب أفقي </t>
  </si>
  <si>
    <t>مسفلت</t>
  </si>
  <si>
    <t>ترابي</t>
  </si>
  <si>
    <t>بلاط متداخل</t>
  </si>
  <si>
    <t>بلاط خرساني</t>
  </si>
  <si>
    <t>صخرية</t>
  </si>
  <si>
    <t>عادية</t>
  </si>
  <si>
    <t>فرعي</t>
  </si>
  <si>
    <t>رئيسي</t>
  </si>
  <si>
    <t>مواصلات</t>
  </si>
  <si>
    <t>مفتوح</t>
  </si>
  <si>
    <t>مايكرو ترنش</t>
  </si>
  <si>
    <t>يدوي</t>
  </si>
  <si>
    <t>خاص</t>
  </si>
  <si>
    <t>نقطة</t>
  </si>
  <si>
    <t>لحام</t>
  </si>
  <si>
    <t>لحام انتقالي</t>
  </si>
  <si>
    <t>محطة</t>
  </si>
  <si>
    <t>محطة تحويل</t>
  </si>
  <si>
    <t>عامود</t>
  </si>
  <si>
    <t>كابينة</t>
  </si>
  <si>
    <t>كابينة جديدة</t>
  </si>
  <si>
    <t>صندوق</t>
  </si>
  <si>
    <t>رقم المقطع</t>
  </si>
  <si>
    <t>من</t>
  </si>
  <si>
    <t>الى</t>
  </si>
  <si>
    <t>الطول (م)</t>
  </si>
  <si>
    <t>نوع الحفر</t>
  </si>
  <si>
    <t>عدد كابلات ج متوسط</t>
  </si>
  <si>
    <t>عدد كابلات ج منخ</t>
  </si>
  <si>
    <t>تشطيب السطح</t>
  </si>
  <si>
    <t>نوع التربة</t>
  </si>
  <si>
    <t>نوع الطريق</t>
  </si>
  <si>
    <t>قطع الطريق</t>
  </si>
  <si>
    <t>عرض الحفر</t>
  </si>
  <si>
    <t>عمق الحفر</t>
  </si>
  <si>
    <t>ASPHALT WIDTH</t>
  </si>
  <si>
    <t>عرض الأسفلت</t>
  </si>
  <si>
    <t>ملاحظات</t>
  </si>
  <si>
    <t>مقايسة مشاريع كابلات</t>
  </si>
  <si>
    <t>رصيد المقايسات</t>
  </si>
  <si>
    <t>المستخدم</t>
  </si>
  <si>
    <t>الإعدادات</t>
  </si>
  <si>
    <t>اشتراطات البلدية</t>
  </si>
  <si>
    <t>مواد الدفان للحفرية الترابية</t>
  </si>
  <si>
    <t>حساب الكشط و الفرد</t>
  </si>
  <si>
    <t>الحد الأدنى للحفر الأسفلتي</t>
  </si>
  <si>
    <t>الحدالأدنى للحفر الترابي</t>
  </si>
  <si>
    <t>الجهد</t>
  </si>
  <si>
    <t>مواد دفان جديدة</t>
  </si>
  <si>
    <t>نفس نواتج الحفر</t>
  </si>
  <si>
    <t>مساحة الكشط - عرض الإعادة</t>
  </si>
  <si>
    <t>إختيار نوع RMU</t>
  </si>
  <si>
    <t>النوع</t>
  </si>
  <si>
    <t>جديد</t>
  </si>
  <si>
    <t>استبدال</t>
  </si>
  <si>
    <t>موقع جديد</t>
  </si>
  <si>
    <t>موقع قائم</t>
  </si>
  <si>
    <t>اختيار المحطات</t>
  </si>
  <si>
    <t>القدرة</t>
  </si>
  <si>
    <t>الجهد الثانوي</t>
  </si>
  <si>
    <t>اعدادات الللغة</t>
  </si>
  <si>
    <t>اختار اللغة</t>
  </si>
  <si>
    <t>تفعيل اللغة</t>
  </si>
  <si>
    <t>للتواصل</t>
  </si>
  <si>
    <t>اختيار القاطع</t>
  </si>
  <si>
    <t>الكمية</t>
  </si>
  <si>
    <t>اختيار الصناديق</t>
  </si>
  <si>
    <t>بنود الأعمال</t>
  </si>
  <si>
    <t>الوحدة</t>
  </si>
  <si>
    <t>وصف العمل</t>
  </si>
  <si>
    <t>سعر الوحدة</t>
  </si>
  <si>
    <t>التكلفة</t>
  </si>
  <si>
    <t>بنود المواد</t>
  </si>
  <si>
    <t>وصف المادة</t>
  </si>
  <si>
    <t xml:space="preserve">حدود الاستخدام </t>
  </si>
  <si>
    <t>زيادة الرصيد</t>
  </si>
  <si>
    <t>التحديثات</t>
  </si>
  <si>
    <t xml:space="preserve">رقم الإصدار الحالي </t>
  </si>
  <si>
    <t>آخر اصدار متاح</t>
  </si>
  <si>
    <t xml:space="preserve">Download Latest Version </t>
  </si>
  <si>
    <t>تحميل الإصدار الجديد</t>
  </si>
  <si>
    <t>العربية</t>
  </si>
  <si>
    <t>عرض الكشط و الفرد</t>
  </si>
  <si>
    <t>كامل مساحة الكشط والفرد</t>
  </si>
  <si>
    <t>1- If the  type of excavation is selected to be mini-trench you need not to fill Asphalt width or M&amp;R width</t>
  </si>
  <si>
    <t>2- If the  type of excavation is selected to be normal  the reasphalting width will be 1.3m in subsidiary roads and 1.6 if the street type is selected main . And if the asphalting width is manually specified in column Q it will be considered only if it is lower than 1.3 or 1.6 based on the street type</t>
  </si>
  <si>
    <t>3- If the type of excavation is selected to be special , the dimensions of excavation needs to be specified ( the depth and width of excavation and width of reasphalting ) - this type is used for jointing squares and the non standard excavation like multi layer cables cable excavations  ... and it is calcualted in cubic meter</t>
  </si>
  <si>
    <t>4- if there is Milling &amp; Repaving you should specify the M&amp;R width in column R in sheet "DATA" . 
- Also you need to select  the type of M&amp;R calculation in cell G3 in sheet "REF&amp;SETTINGS"
*if you select Asphalting then milling (Both Asphalting and Milling &amp; Repaving will be calculated for the while width)
*if you select Millling  then Asphalting (Asphalting will be calculated  and Milling &amp; repaving of the whole area - Asphalting area)</t>
  </si>
  <si>
    <t>5- In case of crossing roads  using pipes select PIPES  from column N  in sheet "DATA"
* In case of crossing roads using  HDD  select HDD  from column N  in sheet "DATA"</t>
  </si>
  <si>
    <t xml:space="preserve">6- بنود الحفر بالمتر المكعب التكميلية :
- في حالة الزيادة عن 4 كابلات يتم إحتساب التكعيب بشكل  آلي
- في حالة تحديد الحد الأدنى لعرض الحفر الأسفلتي في شيت الإعدادات في خلية G3  - يتم احتساب الفرق بين عرض  الحفر لبنود  المتر الطولي و الحد الأدنى المتر المكعب 
- كذلك في حالة تحديد حد أدنى لعرض الحفر الترابي في شيت الإعدادات
* في حالة وضع الحد الأدنى صفر لن يتم احتساب تكعيب لتعويض الحد الأدنى </t>
  </si>
  <si>
    <t xml:space="preserve">6- Complementary excavation items in cubic meters   :
- it will be automatically calculated in case of more than 4 cables 
- In case of selecting  minimum excavation width in cell G5 in sheet "REF&amp;SETTINGS" ,  the cubic meter items will be calculated based on the difference betwen minimum excavation width and exc. width for meter run exc. items 
- In case of entereing  0 in the cell G5 in sheet "REF&amp;SETTINGS" so there will be  no complementary cubic meter excacvation </t>
  </si>
  <si>
    <t>7- When calculating cables length 3m is added for substation entrance and 2m for box and 1.5m for DC  and 1 m for joint and 10 m for pole and 30 m for Grid station</t>
  </si>
  <si>
    <t>8 -You can select the type of backfilling for un-asphalted excavations from cell E2 in REF&amp;SETTINGS sheet</t>
  </si>
  <si>
    <t xml:space="preserve">9- الفرشة الخرسانية العادية بسماكة 15 سم و أبعاد 4*5 = 3 م3 
الإطار الخرساني المسلح بإرتفاع 60 سم و سمك 20 سم و أبعاد 4*5 = 2 م3 </t>
  </si>
  <si>
    <t xml:space="preserve">10- في حالة إشتراك كابلات جهد منخفض مع كابلات جهد متوسط - يتم إحتساب حفرية الجهد المتوسط و حساب الزيادة في العرض بالمتر المكعب في حالة كان عرض الحفر للجهد المنخفض أكبر </t>
  </si>
  <si>
    <t xml:space="preserve">11-  إذا تم إستخدام الأداة من خلال التخطيط في إعداد مقايسة : و تضمن العمل  لحام إنتقالي تقوم الأداة بإحتساب عمل واحد و مادتين 500-185 و 500-300 لجتنب تعطل الشداون و يمكن إرجاع المادة الزائدة  - كذلك إذا تضمن العمل تبديل RMU  يتم إضافة 4 نهايات 2 من نوع 300 و 2 من نوع 185 </t>
  </si>
  <si>
    <t xml:space="preserve">12-  إذا تم إستخدام الأداة من خلال التخطيط في إعداد مقايسة : و تضمن العمل  لحام إنتقالي تقوم الأداة بإحتساب عمل واحد و مادتين 500-185 و 500-300 لجتنب تعطل الشداون و يمكن إرجاع المادة الزائدة  - كذلك إذا تضمن العمل تبديل RMU  يتم إضافة 4 نهايات 2 من نوع 300 و 2 من نوع 185 </t>
  </si>
  <si>
    <t>9- Under substation plain concrete layer thickness is considered here 15 cm and dimension 4*5 = 3 m3</t>
  </si>
  <si>
    <t>10- When LV cables shares excavation route with MV  cables , the MV excavation items are used and cubic meter excavation items is added if the LV exc. Width is more than MV exc. Width</t>
  </si>
  <si>
    <t xml:space="preserve">11- "J transition is used " selected the tool consider both 500-185 &amp; 300-300 in the BOQ  as the size of old cable is not known before when preparing BOQ by planners . Same thing with termination when replacing RMU </t>
  </si>
  <si>
    <t xml:space="preserve"> </t>
  </si>
  <si>
    <t xml:space="preserve">المرجع و طريقة الإستخدام </t>
  </si>
  <si>
    <t xml:space="preserve">Surface Finishing </t>
  </si>
  <si>
    <t>Last Purchase date</t>
  </si>
  <si>
    <t>Email</t>
  </si>
  <si>
    <t>Password</t>
  </si>
  <si>
    <t>Sign Up Date</t>
  </si>
  <si>
    <t>test@example.com</t>
  </si>
  <si>
    <t>mypassword123</t>
  </si>
  <si>
    <t>15/02/2025</t>
  </si>
  <si>
    <t>test2@example.com</t>
  </si>
  <si>
    <t>16/02/2025</t>
  </si>
  <si>
    <t>test3@example.com</t>
  </si>
  <si>
    <t>engfortrack@gmail.com</t>
  </si>
  <si>
    <t>basha</t>
  </si>
  <si>
    <t>engabushaban@gmail.com</t>
  </si>
  <si>
    <t>asdd</t>
  </si>
  <si>
    <t>17/02/2025</t>
  </si>
  <si>
    <t>test5@example.com</t>
  </si>
  <si>
    <t>test8@example.com</t>
  </si>
  <si>
    <t>test20@example.com</t>
  </si>
  <si>
    <t>eng.mohamad.shaban@gmail.com</t>
  </si>
  <si>
    <t>20/02/2025</t>
  </si>
  <si>
    <t>Last Top Up</t>
  </si>
  <si>
    <t>FGconsulting@gmail.com</t>
  </si>
  <si>
    <t>pass</t>
  </si>
  <si>
    <t>Special Exc.</t>
  </si>
  <si>
    <t>msabdulmanaf@se.com.sa</t>
  </si>
  <si>
    <t>21/05/2025</t>
  </si>
  <si>
    <t>Concrete</t>
  </si>
  <si>
    <t xml:space="preserve">إصلاح الممرات الجانبية المرصوفة بالخرسانة </t>
  </si>
  <si>
    <t>30 60 20 009</t>
  </si>
  <si>
    <t>CONCRETE</t>
  </si>
  <si>
    <t xml:space="preserve">تقييم بلاط الأرصفة </t>
  </si>
  <si>
    <t>30 70 20 002</t>
  </si>
  <si>
    <t>تعيين نسبة الأسفلت و التدرج الحبيبي</t>
  </si>
  <si>
    <t>اختبار مارشال( الثبات .. الفاقد في الثبات )</t>
  </si>
  <si>
    <t>30 70 40 002</t>
  </si>
  <si>
    <t>30 70 40 003</t>
  </si>
  <si>
    <t>point (angle)</t>
  </si>
  <si>
    <t>تنفيذ عمليات تشغيلية من أجل اصدار تصريح عمل على الجهد المنخفض</t>
  </si>
  <si>
    <t>30 90 10 515</t>
  </si>
  <si>
    <t>Contact US</t>
  </si>
  <si>
    <t>update counter</t>
  </si>
  <si>
    <t>Projects Done</t>
  </si>
  <si>
    <t>Column 1</t>
  </si>
  <si>
    <t>Added</t>
  </si>
  <si>
    <t>17/10/2025</t>
  </si>
  <si>
    <t>18/10/2025</t>
  </si>
  <si>
    <t>ASPHALT
 WIDTH</t>
  </si>
  <si>
    <t>M &amp; R
 WIDTH</t>
  </si>
  <si>
    <t>Email sent successfully</t>
  </si>
  <si>
    <t>carimbikeee@gmail.com</t>
  </si>
  <si>
    <t>20/10/2025</t>
  </si>
  <si>
    <t>Contact us :</t>
  </si>
  <si>
    <t>website
https://mo-account.github.io/boqusers/BOQ.html</t>
  </si>
  <si>
    <t xml:space="preserve">Version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</si>
</sst>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"/>
    <numFmt numFmtId="168" formatCode="[$]dd/mm/yyyy;@" x16r2:formatCode16="[$-en-NG,1]dd/mm/yyyy;@"/>
  </numFmts>
  <fonts count="5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5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charset val="178"/>
      <scheme val="minor"/>
    </font>
    <font>
      <sz val="14"/>
      <color rgb="FF0000FF"/>
      <name val="Arial"/>
      <family val="2"/>
    </font>
    <font>
      <sz val="20"/>
      <color rgb="FF0000FF"/>
      <name val="Arial"/>
      <family val="2"/>
    </font>
    <font>
      <sz val="13"/>
      <color theme="1"/>
      <name val="Calibri"/>
      <family val="2"/>
      <scheme val="minor"/>
    </font>
    <font>
      <b/>
      <i/>
      <sz val="11"/>
      <color rgb="FFFF0000"/>
      <name val="Comic Sans MS"/>
      <family val="4"/>
    </font>
    <font>
      <b/>
      <i/>
      <sz val="13"/>
      <color rgb="FFFF0000"/>
      <name val="Comic Sans MS"/>
      <family val="4"/>
    </font>
    <font>
      <sz val="15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5"/>
      <color rgb="FF0070C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7"/>
      <color theme="10"/>
      <name val="Freestyle Script"/>
      <family val="4"/>
    </font>
    <font>
      <sz val="17"/>
      <color rgb="FFFFFF00"/>
      <name val="Freestyle Script"/>
      <family val="4"/>
    </font>
    <font>
      <sz val="18"/>
      <color rgb="FF3D2EFA"/>
      <name val="Calibri"/>
      <family val="2"/>
      <scheme val="minor"/>
    </font>
    <font>
      <sz val="14"/>
      <color rgb="FF3D2EFA"/>
      <name val="Calibri"/>
      <family val="2"/>
      <scheme val="minor"/>
    </font>
    <font>
      <sz val="11"/>
      <color rgb="FF3D2EFA"/>
      <name val="Calibri"/>
      <family val="2"/>
      <scheme val="minor"/>
    </font>
    <font>
      <b/>
      <sz val="11.5"/>
      <color rgb="FF3D2EFA"/>
      <name val="Times New Roman"/>
      <family val="1"/>
    </font>
    <font>
      <sz val="18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3D2EFA"/>
      <name val="Calibri"/>
      <family val="2"/>
      <scheme val="minor"/>
    </font>
    <font>
      <sz val="22"/>
      <color rgb="FFC00000"/>
      <name val="Calibri"/>
      <family val="2"/>
      <scheme val="minor"/>
    </font>
    <font>
      <b/>
      <i/>
      <sz val="15"/>
      <color rgb="FFFF0000"/>
      <name val="Arial Black"/>
      <family val="2"/>
    </font>
    <font>
      <b/>
      <sz val="10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0"/>
      <name val="72 Black"/>
      <family val="2"/>
    </font>
    <font>
      <b/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FF00"/>
      <name val="Calibri"/>
      <family val="2"/>
      <scheme val="minor"/>
    </font>
    <font>
      <sz val="18"/>
      <color rgb="FFFF0066"/>
      <name val="Calibri"/>
      <family val="2"/>
      <scheme val="minor"/>
    </font>
    <font>
      <sz val="18"/>
      <color rgb="FFFFFF00"/>
      <name val="Calibri"/>
      <family val="2"/>
      <scheme val="minor"/>
    </font>
    <font>
      <sz val="16"/>
      <color rgb="FF3D2EFA"/>
      <name val="Calibri"/>
      <family val="2"/>
      <scheme val="minor"/>
    </font>
    <font>
      <b/>
      <sz val="15"/>
      <color rgb="FF00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i/>
      <sz val="16"/>
      <color rgb="FFFF0000"/>
      <name val="Arial Black"/>
      <family val="2"/>
    </font>
    <font>
      <b/>
      <i/>
      <sz val="18"/>
      <color rgb="FFFF0000"/>
      <name val="Arial Black"/>
      <family val="2"/>
    </font>
    <font>
      <b/>
      <i/>
      <sz val="20"/>
      <color rgb="FFFF0000"/>
      <name val="Arial Black"/>
      <family val="2"/>
    </font>
    <font>
      <b/>
      <i/>
      <sz val="22"/>
      <color rgb="FFFF0000"/>
      <name val="Arial Black"/>
      <family val="2"/>
    </font>
    <font>
      <sz val="16"/>
      <color rgb="FFFF0000"/>
      <name val="Calibri"/>
      <family val="2"/>
    </font>
    <font>
      <sz val="11"/>
      <color rgb="FF000000"/>
      <name val="Calibri"/>
      <family val="2"/>
    </font>
    <font>
      <sz val="16"/>
      <color rgb="FFFFFF00"/>
      <name val="Calibri"/>
      <family val="2"/>
      <scheme val="minor"/>
    </font>
    <font>
      <sz val="22"/>
      <color rgb="FFFF0000"/>
      <name val="Calibri"/>
      <family val="2"/>
      <scheme val="minor"/>
    </font>
    <font>
      <u/>
      <sz val="18"/>
      <color rgb="FFFF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B050"/>
        <bgColor indexed="64"/>
      </patternFill>
    </fill>
  </fills>
  <borders count="39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double">
        <color indexed="64"/>
      </left>
      <right/>
      <top style="double">
        <color theme="0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9">
    <xf numFmtId="0" fontId="0" fillId="0" borderId="0" xfId="0"/>
    <xf numFmtId="0" fontId="5" fillId="2" borderId="0" xfId="0" applyFont="1" applyFill="1" applyAlignment="1" applyProtection="1">
      <alignment horizontal="center" vertical="center"/>
      <protection hidden="1"/>
    </xf>
    <xf numFmtId="0" fontId="15" fillId="0" borderId="1" xfId="0" applyFont="1" applyBorder="1" applyAlignment="1" applyProtection="1">
      <alignment horizontal="center"/>
      <protection locked="0"/>
    </xf>
    <xf numFmtId="164" fontId="15" fillId="0" borderId="1" xfId="0" applyNumberFormat="1" applyFont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vertical="center"/>
      <protection hidden="1"/>
    </xf>
    <xf numFmtId="0" fontId="19" fillId="6" borderId="3" xfId="1" applyFont="1" applyFill="1" applyBorder="1" applyAlignment="1" applyProtection="1">
      <alignment horizontal="center" vertical="center"/>
      <protection hidden="1"/>
    </xf>
    <xf numFmtId="0" fontId="20" fillId="2" borderId="3" xfId="0" applyFont="1" applyFill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49" fontId="0" fillId="0" borderId="0" xfId="0" applyNumberFormat="1" applyProtection="1">
      <protection hidden="1"/>
    </xf>
    <xf numFmtId="0" fontId="15" fillId="0" borderId="1" xfId="0" applyFont="1" applyBorder="1" applyAlignment="1" applyProtection="1">
      <alignment horizontal="center"/>
      <protection hidden="1"/>
    </xf>
    <xf numFmtId="164" fontId="15" fillId="0" borderId="1" xfId="0" applyNumberFormat="1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10" borderId="0" xfId="0" applyFill="1" applyProtection="1">
      <protection hidden="1"/>
    </xf>
    <xf numFmtId="0" fontId="0" fillId="2" borderId="7" xfId="0" applyFill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5" fillId="6" borderId="1" xfId="0" applyFont="1" applyFill="1" applyBorder="1" applyAlignment="1" applyProtection="1">
      <alignment horizontal="center"/>
      <protection hidden="1"/>
    </xf>
    <xf numFmtId="164" fontId="15" fillId="12" borderId="1" xfId="0" applyNumberFormat="1" applyFont="1" applyFill="1" applyBorder="1" applyAlignment="1" applyProtection="1">
      <alignment horizontal="center"/>
      <protection hidden="1"/>
    </xf>
    <xf numFmtId="0" fontId="16" fillId="13" borderId="1" xfId="0" applyFont="1" applyFill="1" applyBorder="1" applyAlignment="1" applyProtection="1">
      <alignment horizontal="center"/>
      <protection hidden="1"/>
    </xf>
    <xf numFmtId="2" fontId="15" fillId="14" borderId="1" xfId="0" applyNumberFormat="1" applyFont="1" applyFill="1" applyBorder="1" applyAlignment="1" applyProtection="1">
      <alignment horizontal="center"/>
      <protection hidden="1"/>
    </xf>
    <xf numFmtId="164" fontId="15" fillId="14" borderId="1" xfId="0" applyNumberFormat="1" applyFont="1" applyFill="1" applyBorder="1" applyAlignment="1" applyProtection="1">
      <alignment horizontal="center"/>
      <protection hidden="1"/>
    </xf>
    <xf numFmtId="164" fontId="15" fillId="0" borderId="1" xfId="0" applyNumberFormat="1" applyFont="1" applyBorder="1" applyAlignment="1" applyProtection="1">
      <alignment horizontal="center" wrapText="1"/>
      <protection hidden="1"/>
    </xf>
    <xf numFmtId="0" fontId="0" fillId="6" borderId="0" xfId="0" applyFill="1" applyProtection="1">
      <protection hidden="1"/>
    </xf>
    <xf numFmtId="0" fontId="0" fillId="6" borderId="0" xfId="0" applyFill="1" applyAlignment="1" applyProtection="1">
      <alignment horizontal="centerContinuous"/>
      <protection hidden="1"/>
    </xf>
    <xf numFmtId="2" fontId="6" fillId="6" borderId="0" xfId="0" applyNumberFormat="1" applyFont="1" applyFill="1" applyAlignment="1" applyProtection="1">
      <alignment horizontal="centerContinuous"/>
      <protection hidden="1"/>
    </xf>
    <xf numFmtId="0" fontId="15" fillId="6" borderId="0" xfId="0" applyFont="1" applyFill="1" applyAlignment="1" applyProtection="1">
      <alignment horizontal="center"/>
      <protection hidden="1"/>
    </xf>
    <xf numFmtId="164" fontId="15" fillId="6" borderId="0" xfId="0" applyNumberFormat="1" applyFont="1" applyFill="1" applyAlignment="1" applyProtection="1">
      <alignment horizontal="center"/>
      <protection hidden="1"/>
    </xf>
    <xf numFmtId="0" fontId="1" fillId="6" borderId="0" xfId="0" applyFont="1" applyFill="1" applyAlignment="1" applyProtection="1">
      <alignment horizontal="center"/>
      <protection hidden="1"/>
    </xf>
    <xf numFmtId="0" fontId="16" fillId="6" borderId="0" xfId="0" applyFont="1" applyFill="1" applyAlignment="1" applyProtection="1">
      <alignment horizont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3" borderId="1" xfId="0" applyFont="1" applyFill="1" applyBorder="1" applyAlignment="1" applyProtection="1">
      <alignment horizontal="center"/>
      <protection hidden="1"/>
    </xf>
    <xf numFmtId="0" fontId="4" fillId="8" borderId="4" xfId="0" applyFont="1" applyFill="1" applyBorder="1" applyAlignment="1" applyProtection="1">
      <alignment horizontal="center"/>
      <protection hidden="1"/>
    </xf>
    <xf numFmtId="0" fontId="0" fillId="5" borderId="4" xfId="0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center"/>
      <protection hidden="1"/>
    </xf>
    <xf numFmtId="0" fontId="13" fillId="5" borderId="4" xfId="0" applyFont="1" applyFill="1" applyBorder="1" applyAlignment="1" applyProtection="1">
      <alignment horizontal="center"/>
      <protection hidden="1"/>
    </xf>
    <xf numFmtId="0" fontId="22" fillId="11" borderId="4" xfId="0" applyFont="1" applyFill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7" fillId="5" borderId="4" xfId="0" applyFont="1" applyFill="1" applyBorder="1" applyAlignment="1" applyProtection="1">
      <alignment horizontal="center" readingOrder="1"/>
      <protection hidden="1"/>
    </xf>
    <xf numFmtId="0" fontId="10" fillId="8" borderId="4" xfId="0" applyFont="1" applyFill="1" applyBorder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4" fontId="7" fillId="5" borderId="4" xfId="0" applyNumberFormat="1" applyFont="1" applyFill="1" applyBorder="1" applyAlignment="1" applyProtection="1">
      <alignment horizontal="center" readingOrder="1"/>
      <protection hidden="1"/>
    </xf>
    <xf numFmtId="164" fontId="10" fillId="8" borderId="4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 readingOrder="2"/>
      <protection hidden="1"/>
    </xf>
    <xf numFmtId="164" fontId="0" fillId="11" borderId="4" xfId="0" applyNumberFormat="1" applyFill="1" applyBorder="1" applyAlignment="1" applyProtection="1">
      <alignment horizontal="center"/>
      <protection hidden="1"/>
    </xf>
    <xf numFmtId="0" fontId="10" fillId="5" borderId="4" xfId="0" applyFont="1" applyFill="1" applyBorder="1" applyAlignment="1" applyProtection="1">
      <alignment horizontal="center"/>
      <protection hidden="1"/>
    </xf>
    <xf numFmtId="166" fontId="7" fillId="5" borderId="4" xfId="0" applyNumberFormat="1" applyFont="1" applyFill="1" applyBorder="1" applyAlignment="1" applyProtection="1">
      <alignment horizontal="center" readingOrder="1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7" fillId="5" borderId="0" xfId="0" applyFont="1" applyFill="1" applyAlignment="1" applyProtection="1">
      <alignment horizontal="center" readingOrder="1"/>
      <protection hidden="1"/>
    </xf>
    <xf numFmtId="0" fontId="4" fillId="7" borderId="4" xfId="0" applyFont="1" applyFill="1" applyBorder="1" applyAlignment="1" applyProtection="1">
      <alignment horizontal="center"/>
      <protection hidden="1"/>
    </xf>
    <xf numFmtId="0" fontId="4" fillId="7" borderId="4" xfId="0" applyFont="1" applyFill="1" applyBorder="1" applyAlignment="1" applyProtection="1">
      <alignment horizontal="center" readingOrder="1"/>
      <protection hidden="1"/>
    </xf>
    <xf numFmtId="0" fontId="7" fillId="5" borderId="4" xfId="0" applyFont="1" applyFill="1" applyBorder="1" applyAlignment="1" applyProtection="1">
      <alignment horizontal="center"/>
      <protection hidden="1"/>
    </xf>
    <xf numFmtId="164" fontId="15" fillId="12" borderId="1" xfId="0" applyNumberFormat="1" applyFon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/>
      <protection locked="0"/>
    </xf>
    <xf numFmtId="164" fontId="15" fillId="14" borderId="1" xfId="0" applyNumberFormat="1" applyFont="1" applyFill="1" applyBorder="1" applyAlignment="1" applyProtection="1">
      <alignment horizontal="center"/>
      <protection locked="0"/>
    </xf>
    <xf numFmtId="0" fontId="23" fillId="0" borderId="0" xfId="0" applyFont="1" applyAlignment="1" applyProtection="1">
      <alignment wrapText="1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4" fillId="6" borderId="0" xfId="0" applyFont="1" applyFill="1" applyProtection="1">
      <protection hidden="1"/>
    </xf>
    <xf numFmtId="164" fontId="1" fillId="0" borderId="4" xfId="0" applyNumberFormat="1" applyFont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7" fillId="9" borderId="4" xfId="0" applyFont="1" applyFill="1" applyBorder="1" applyAlignment="1" applyProtection="1">
      <alignment horizontal="center" readingOrder="1"/>
      <protection hidden="1"/>
    </xf>
    <xf numFmtId="0" fontId="10" fillId="9" borderId="4" xfId="0" applyFont="1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alignment horizontal="center" readingOrder="1"/>
      <protection hidden="1"/>
    </xf>
    <xf numFmtId="0" fontId="0" fillId="9" borderId="0" xfId="0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1" fillId="15" borderId="1" xfId="0" applyFont="1" applyFill="1" applyBorder="1" applyAlignment="1" applyProtection="1">
      <alignment horizontal="center"/>
      <protection locked="0"/>
    </xf>
    <xf numFmtId="164" fontId="0" fillId="8" borderId="4" xfId="0" applyNumberFormat="1" applyFill="1" applyBorder="1" applyAlignment="1" applyProtection="1">
      <alignment horizontal="center"/>
      <protection hidden="1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1" fillId="5" borderId="14" xfId="0" applyFont="1" applyFill="1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28" fillId="0" borderId="14" xfId="0" applyFont="1" applyBorder="1" applyAlignment="1" applyProtection="1">
      <alignment horizontal="center"/>
      <protection hidden="1"/>
    </xf>
    <xf numFmtId="0" fontId="29" fillId="0" borderId="14" xfId="0" applyFont="1" applyBorder="1" applyAlignment="1" applyProtection="1">
      <alignment horizontal="center"/>
      <protection hidden="1"/>
    </xf>
    <xf numFmtId="0" fontId="0" fillId="6" borderId="14" xfId="0" applyFill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23" fillId="0" borderId="14" xfId="0" applyFont="1" applyBorder="1" applyAlignment="1" applyProtection="1">
      <alignment horizontal="center"/>
      <protection hidden="1"/>
    </xf>
    <xf numFmtId="0" fontId="23" fillId="0" borderId="0" xfId="0" applyFont="1" applyProtection="1">
      <protection hidden="1"/>
    </xf>
    <xf numFmtId="0" fontId="23" fillId="0" borderId="0" xfId="0" applyFont="1" applyAlignment="1" applyProtection="1">
      <alignment horizontal="center"/>
      <protection hidden="1"/>
    </xf>
    <xf numFmtId="0" fontId="29" fillId="0" borderId="0" xfId="0" applyFont="1" applyProtection="1">
      <protection hidden="1"/>
    </xf>
    <xf numFmtId="0" fontId="30" fillId="0" borderId="0" xfId="0" applyFont="1" applyProtection="1">
      <protection hidden="1"/>
    </xf>
    <xf numFmtId="0" fontId="0" fillId="0" borderId="14" xfId="0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0" fillId="2" borderId="0" xfId="0" applyFill="1"/>
    <xf numFmtId="3" fontId="18" fillId="5" borderId="1" xfId="0" applyNumberFormat="1" applyFont="1" applyFill="1" applyBorder="1" applyAlignment="1" applyProtection="1">
      <alignment horizontal="center" vertical="center"/>
      <protection hidden="1"/>
    </xf>
    <xf numFmtId="165" fontId="6" fillId="6" borderId="1" xfId="0" applyNumberFormat="1" applyFont="1" applyFill="1" applyBorder="1" applyAlignment="1" applyProtection="1">
      <alignment horizontal="center" vertical="center"/>
      <protection hidden="1"/>
    </xf>
    <xf numFmtId="165" fontId="32" fillId="6" borderId="1" xfId="0" applyNumberFormat="1" applyFont="1" applyFill="1" applyBorder="1" applyAlignment="1" applyProtection="1">
      <alignment horizontal="center" vertical="center"/>
      <protection hidden="1"/>
    </xf>
    <xf numFmtId="165" fontId="33" fillId="6" borderId="1" xfId="0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vertical="center"/>
    </xf>
    <xf numFmtId="0" fontId="4" fillId="8" borderId="0" xfId="0" applyFont="1" applyFill="1" applyAlignment="1" applyProtection="1">
      <alignment horizontal="center"/>
      <protection hidden="1"/>
    </xf>
    <xf numFmtId="17" fontId="1" fillId="3" borderId="1" xfId="0" applyNumberFormat="1" applyFont="1" applyFill="1" applyBorder="1" applyAlignment="1" applyProtection="1">
      <alignment horizontal="center"/>
      <protection hidden="1"/>
    </xf>
    <xf numFmtId="1" fontId="0" fillId="0" borderId="0" xfId="0" applyNumberFormat="1"/>
    <xf numFmtId="0" fontId="36" fillId="18" borderId="4" xfId="0" applyFont="1" applyFill="1" applyBorder="1" applyAlignment="1">
      <alignment horizontal="center" vertical="center"/>
    </xf>
    <xf numFmtId="0" fontId="36" fillId="19" borderId="4" xfId="0" applyFont="1" applyFill="1" applyBorder="1" applyAlignment="1">
      <alignment horizontal="left" vertical="center"/>
    </xf>
    <xf numFmtId="167" fontId="7" fillId="5" borderId="4" xfId="0" applyNumberFormat="1" applyFont="1" applyFill="1" applyBorder="1" applyAlignment="1" applyProtection="1">
      <alignment horizontal="center" readingOrder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0" borderId="14" xfId="0" applyFont="1" applyBorder="1" applyAlignment="1" applyProtection="1">
      <alignment horizontal="center" vertical="center" wrapText="1"/>
      <protection hidden="1"/>
    </xf>
    <xf numFmtId="0" fontId="6" fillId="0" borderId="14" xfId="0" applyFont="1" applyBorder="1" applyAlignment="1" applyProtection="1">
      <alignment horizontal="center" vertical="center" wrapText="1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horizontal="center"/>
      <protection hidden="1"/>
    </xf>
    <xf numFmtId="0" fontId="38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Protection="1">
      <protection hidden="1"/>
    </xf>
    <xf numFmtId="0" fontId="32" fillId="21" borderId="1" xfId="0" applyFont="1" applyFill="1" applyBorder="1" applyAlignment="1" applyProtection="1">
      <alignment horizontal="center" vertical="center"/>
      <protection hidden="1"/>
    </xf>
    <xf numFmtId="165" fontId="32" fillId="21" borderId="1" xfId="0" applyNumberFormat="1" applyFont="1" applyFill="1" applyBorder="1" applyAlignment="1" applyProtection="1">
      <alignment horizontal="center" vertical="center"/>
      <protection hidden="1"/>
    </xf>
    <xf numFmtId="0" fontId="6" fillId="21" borderId="1" xfId="0" applyFont="1" applyFill="1" applyBorder="1" applyAlignment="1" applyProtection="1">
      <alignment horizontal="center" vertical="center"/>
      <protection hidden="1"/>
    </xf>
    <xf numFmtId="0" fontId="6" fillId="21" borderId="1" xfId="0" applyFont="1" applyFill="1" applyBorder="1" applyAlignment="1" applyProtection="1">
      <alignment horizontal="center" vertical="center" wrapText="1"/>
      <protection hidden="1"/>
    </xf>
    <xf numFmtId="0" fontId="33" fillId="21" borderId="1" xfId="0" applyFont="1" applyFill="1" applyBorder="1" applyAlignment="1" applyProtection="1">
      <alignment horizontal="center" vertical="center"/>
      <protection hidden="1"/>
    </xf>
    <xf numFmtId="165" fontId="33" fillId="21" borderId="1" xfId="0" applyNumberFormat="1" applyFont="1" applyFill="1" applyBorder="1" applyAlignment="1" applyProtection="1">
      <alignment horizontal="center" vertical="center"/>
      <protection hidden="1"/>
    </xf>
    <xf numFmtId="0" fontId="27" fillId="21" borderId="1" xfId="0" applyFont="1" applyFill="1" applyBorder="1" applyAlignment="1" applyProtection="1">
      <alignment horizontal="center" vertical="center"/>
      <protection hidden="1"/>
    </xf>
    <xf numFmtId="0" fontId="27" fillId="21" borderId="1" xfId="0" applyFont="1" applyFill="1" applyBorder="1" applyAlignment="1" applyProtection="1">
      <alignment horizontal="center" vertical="center" wrapText="1"/>
      <protection hidden="1"/>
    </xf>
    <xf numFmtId="165" fontId="27" fillId="21" borderId="1" xfId="0" applyNumberFormat="1" applyFont="1" applyFill="1" applyBorder="1" applyAlignment="1" applyProtection="1">
      <alignment horizontal="center" vertical="center"/>
      <protection hidden="1"/>
    </xf>
    <xf numFmtId="165" fontId="6" fillId="21" borderId="1" xfId="0" applyNumberFormat="1" applyFont="1" applyFill="1" applyBorder="1" applyAlignment="1" applyProtection="1">
      <alignment horizontal="center" vertical="center"/>
      <protection hidden="1"/>
    </xf>
    <xf numFmtId="1" fontId="32" fillId="21" borderId="1" xfId="0" applyNumberFormat="1" applyFont="1" applyFill="1" applyBorder="1" applyAlignment="1" applyProtection="1">
      <alignment horizontal="center" vertical="center"/>
      <protection hidden="1"/>
    </xf>
    <xf numFmtId="1" fontId="34" fillId="21" borderId="1" xfId="0" applyNumberFormat="1" applyFont="1" applyFill="1" applyBorder="1" applyAlignment="1" applyProtection="1">
      <alignment horizontal="center" vertical="center"/>
      <protection hidden="1"/>
    </xf>
    <xf numFmtId="165" fontId="34" fillId="21" borderId="1" xfId="0" applyNumberFormat="1" applyFont="1" applyFill="1" applyBorder="1" applyAlignment="1" applyProtection="1">
      <alignment horizontal="center" vertical="center"/>
      <protection hidden="1"/>
    </xf>
    <xf numFmtId="0" fontId="31" fillId="21" borderId="1" xfId="0" applyFont="1" applyFill="1" applyBorder="1" applyAlignment="1" applyProtection="1">
      <alignment horizontal="center" vertical="center"/>
      <protection hidden="1"/>
    </xf>
    <xf numFmtId="165" fontId="31" fillId="21" borderId="1" xfId="0" applyNumberFormat="1" applyFont="1" applyFill="1" applyBorder="1" applyAlignment="1" applyProtection="1">
      <alignment horizontal="center" vertical="center"/>
      <protection hidden="1"/>
    </xf>
    <xf numFmtId="0" fontId="14" fillId="16" borderId="0" xfId="0" applyFont="1" applyFill="1" applyAlignment="1" applyProtection="1">
      <alignment horizontal="center"/>
      <protection hidden="1"/>
    </xf>
    <xf numFmtId="0" fontId="0" fillId="0" borderId="14" xfId="0" applyBorder="1" applyProtection="1">
      <protection locked="0"/>
    </xf>
    <xf numFmtId="0" fontId="17" fillId="2" borderId="24" xfId="0" applyFont="1" applyFill="1" applyBorder="1" applyAlignment="1" applyProtection="1">
      <alignment vertical="center"/>
      <protection hidden="1"/>
    </xf>
    <xf numFmtId="0" fontId="4" fillId="6" borderId="14" xfId="0" applyFont="1" applyFill="1" applyBorder="1" applyAlignment="1" applyProtection="1">
      <alignment horizontal="center" vertical="center"/>
      <protection locked="0"/>
    </xf>
    <xf numFmtId="0" fontId="45" fillId="2" borderId="13" xfId="0" applyFont="1" applyFill="1" applyBorder="1" applyAlignment="1" applyProtection="1">
      <alignment horizontal="center" vertical="center" wrapText="1"/>
      <protection hidden="1"/>
    </xf>
    <xf numFmtId="0" fontId="14" fillId="0" borderId="0" xfId="0" applyFont="1"/>
    <xf numFmtId="0" fontId="26" fillId="2" borderId="27" xfId="1" applyFont="1" applyFill="1" applyBorder="1" applyAlignment="1" applyProtection="1">
      <alignment vertical="center" wrapText="1"/>
      <protection hidden="1"/>
    </xf>
    <xf numFmtId="0" fontId="16" fillId="22" borderId="1" xfId="0" applyFont="1" applyFill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30" xfId="0" applyBorder="1" applyAlignment="1">
      <alignment horizontal="center"/>
    </xf>
    <xf numFmtId="0" fontId="1" fillId="0" borderId="30" xfId="0" applyFont="1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5" fillId="6" borderId="14" xfId="0" applyFont="1" applyFill="1" applyBorder="1" applyAlignment="1" applyProtection="1">
      <alignment horizontal="right" vertical="center" wrapText="1" readingOrder="2"/>
      <protection hidden="1"/>
    </xf>
    <xf numFmtId="0" fontId="0" fillId="0" borderId="0" xfId="0" applyAlignment="1">
      <alignment readingOrder="2"/>
    </xf>
    <xf numFmtId="0" fontId="1" fillId="0" borderId="4" xfId="0" applyFont="1" applyBorder="1" applyProtection="1">
      <protection hidden="1"/>
    </xf>
    <xf numFmtId="0" fontId="5" fillId="6" borderId="14" xfId="0" applyFont="1" applyFill="1" applyBorder="1" applyAlignment="1" applyProtection="1">
      <alignment horizontal="center" vertical="center" wrapText="1" readingOrder="2"/>
      <protection hidden="1"/>
    </xf>
    <xf numFmtId="0" fontId="1" fillId="0" borderId="4" xfId="0" applyFont="1" applyBorder="1" applyAlignment="1" applyProtection="1">
      <alignment horizontal="left" vertical="center" readingOrder="1"/>
      <protection hidden="1"/>
    </xf>
    <xf numFmtId="0" fontId="1" fillId="0" borderId="4" xfId="0" applyFont="1" applyBorder="1" applyAlignment="1" applyProtection="1">
      <alignment horizontal="left" vertical="center"/>
      <protection hidden="1"/>
    </xf>
    <xf numFmtId="0" fontId="1" fillId="6" borderId="4" xfId="0" applyFont="1" applyFill="1" applyBorder="1" applyAlignment="1" applyProtection="1">
      <alignment horizontal="left" vertical="center" readingOrder="1"/>
      <protection hidden="1"/>
    </xf>
    <xf numFmtId="0" fontId="1" fillId="6" borderId="4" xfId="0" applyFont="1" applyFill="1" applyBorder="1" applyAlignment="1" applyProtection="1">
      <alignment horizontal="left" vertical="center"/>
      <protection hidden="1"/>
    </xf>
    <xf numFmtId="0" fontId="5" fillId="6" borderId="17" xfId="0" applyFont="1" applyFill="1" applyBorder="1" applyAlignment="1" applyProtection="1">
      <alignment horizontal="right" vertical="center" readingOrder="2"/>
      <protection hidden="1"/>
    </xf>
    <xf numFmtId="0" fontId="5" fillId="6" borderId="18" xfId="0" applyFont="1" applyFill="1" applyBorder="1" applyAlignment="1" applyProtection="1">
      <alignment horizontal="right" vertical="center" wrapText="1" readingOrder="2"/>
      <protection hidden="1"/>
    </xf>
    <xf numFmtId="0" fontId="37" fillId="6" borderId="14" xfId="0" applyFont="1" applyFill="1" applyBorder="1" applyAlignment="1" applyProtection="1">
      <alignment horizontal="right" vertical="center" wrapText="1" readingOrder="2"/>
      <protection hidden="1"/>
    </xf>
    <xf numFmtId="0" fontId="37" fillId="6" borderId="18" xfId="0" applyFont="1" applyFill="1" applyBorder="1" applyAlignment="1" applyProtection="1">
      <alignment horizontal="right" vertical="center" wrapText="1" readingOrder="2"/>
      <protection hidden="1"/>
    </xf>
    <xf numFmtId="0" fontId="37" fillId="6" borderId="17" xfId="0" applyFont="1" applyFill="1" applyBorder="1" applyAlignment="1" applyProtection="1">
      <alignment horizontal="right" vertical="center" wrapText="1" readingOrder="2"/>
      <protection hidden="1"/>
    </xf>
    <xf numFmtId="0" fontId="5" fillId="6" borderId="17" xfId="0" applyFont="1" applyFill="1" applyBorder="1" applyAlignment="1" applyProtection="1">
      <alignment horizontal="center" vertical="center" wrapText="1" readingOrder="1"/>
      <protection hidden="1"/>
    </xf>
    <xf numFmtId="0" fontId="5" fillId="6" borderId="17" xfId="0" applyFont="1" applyFill="1" applyBorder="1" applyAlignment="1" applyProtection="1">
      <alignment horizontal="center" vertical="center" wrapText="1" readingOrder="2"/>
      <protection hidden="1"/>
    </xf>
    <xf numFmtId="0" fontId="14" fillId="0" borderId="31" xfId="0" applyFont="1" applyBorder="1" applyAlignment="1" applyProtection="1">
      <alignment horizontal="center"/>
      <protection locked="0"/>
    </xf>
    <xf numFmtId="0" fontId="14" fillId="0" borderId="30" xfId="0" applyFont="1" applyBorder="1" applyAlignment="1" applyProtection="1">
      <alignment horizontal="center" vertical="center"/>
      <protection hidden="1"/>
    </xf>
    <xf numFmtId="0" fontId="14" fillId="0" borderId="31" xfId="0" applyFont="1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33" fillId="5" borderId="30" xfId="0" applyFont="1" applyFill="1" applyBorder="1" applyAlignment="1" applyProtection="1">
      <alignment horizontal="center"/>
      <protection hidden="1"/>
    </xf>
    <xf numFmtId="0" fontId="46" fillId="2" borderId="13" xfId="0" applyFont="1" applyFill="1" applyBorder="1" applyAlignment="1" applyProtection="1">
      <alignment horizontal="center" vertical="center" wrapText="1"/>
      <protection hidden="1"/>
    </xf>
    <xf numFmtId="1" fontId="16" fillId="25" borderId="1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168" fontId="0" fillId="0" borderId="0" xfId="0" applyNumberFormat="1" applyAlignment="1" applyProtection="1">
      <alignment horizontal="center"/>
      <protection hidden="1"/>
    </xf>
    <xf numFmtId="0" fontId="44" fillId="2" borderId="26" xfId="0" applyFont="1" applyFill="1" applyBorder="1" applyAlignment="1" applyProtection="1">
      <alignment vertical="center"/>
      <protection hidden="1"/>
    </xf>
    <xf numFmtId="0" fontId="44" fillId="2" borderId="27" xfId="0" applyFont="1" applyFill="1" applyBorder="1" applyAlignment="1" applyProtection="1">
      <alignment vertical="center"/>
      <protection hidden="1"/>
    </xf>
    <xf numFmtId="0" fontId="3" fillId="0" borderId="0" xfId="1" applyAlignment="1" applyProtection="1">
      <alignment horizontal="center"/>
      <protection hidden="1"/>
    </xf>
    <xf numFmtId="0" fontId="44" fillId="2" borderId="35" xfId="0" applyFont="1" applyFill="1" applyBorder="1" applyAlignment="1" applyProtection="1">
      <alignment horizontal="center" vertical="center" wrapText="1"/>
      <protection hidden="1"/>
    </xf>
    <xf numFmtId="0" fontId="45" fillId="2" borderId="35" xfId="0" applyFont="1" applyFill="1" applyBorder="1" applyAlignment="1" applyProtection="1">
      <alignment horizontal="center" vertical="center" wrapText="1"/>
      <protection hidden="1"/>
    </xf>
    <xf numFmtId="0" fontId="50" fillId="4" borderId="1" xfId="0" applyFont="1" applyFill="1" applyBorder="1" applyAlignment="1" applyProtection="1">
      <alignment vertical="center" wrapText="1"/>
      <protection hidden="1"/>
    </xf>
    <xf numFmtId="2" fontId="0" fillId="0" borderId="0" xfId="0" applyNumberFormat="1" applyProtection="1">
      <protection hidden="1"/>
    </xf>
    <xf numFmtId="49" fontId="48" fillId="20" borderId="1" xfId="0" applyNumberFormat="1" applyFont="1" applyFill="1" applyBorder="1" applyAlignment="1" applyProtection="1">
      <alignment horizontal="center" vertical="center"/>
      <protection locked="0"/>
    </xf>
    <xf numFmtId="0" fontId="16" fillId="21" borderId="1" xfId="0" applyFont="1" applyFill="1" applyBorder="1" applyAlignment="1" applyProtection="1">
      <alignment horizontal="center" vertical="center"/>
      <protection locked="0"/>
    </xf>
    <xf numFmtId="2" fontId="16" fillId="21" borderId="1" xfId="0" applyNumberFormat="1" applyFont="1" applyFill="1" applyBorder="1" applyAlignment="1" applyProtection="1">
      <alignment horizontal="center" vertical="center"/>
      <protection locked="0"/>
    </xf>
    <xf numFmtId="1" fontId="16" fillId="25" borderId="1" xfId="0" applyNumberFormat="1" applyFont="1" applyFill="1" applyBorder="1" applyAlignment="1" applyProtection="1">
      <alignment horizontal="center" vertical="center"/>
      <protection hidden="1"/>
    </xf>
    <xf numFmtId="0" fontId="16" fillId="25" borderId="1" xfId="0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164" fontId="16" fillId="12" borderId="6" xfId="0" applyNumberFormat="1" applyFont="1" applyFill="1" applyBorder="1" applyAlignment="1" applyProtection="1">
      <alignment horizontal="center" vertical="center"/>
      <protection locked="0"/>
    </xf>
    <xf numFmtId="2" fontId="16" fillId="26" borderId="1" xfId="0" applyNumberFormat="1" applyFont="1" applyFill="1" applyBorder="1" applyAlignment="1" applyProtection="1">
      <alignment horizontal="center" vertical="center"/>
      <protection locked="0"/>
    </xf>
    <xf numFmtId="164" fontId="16" fillId="21" borderId="1" xfId="0" applyNumberFormat="1" applyFont="1" applyFill="1" applyBorder="1" applyAlignment="1" applyProtection="1">
      <alignment horizontal="center" vertical="center"/>
      <protection locked="0"/>
    </xf>
    <xf numFmtId="164" fontId="16" fillId="12" borderId="1" xfId="0" applyNumberFormat="1" applyFont="1" applyFill="1" applyBorder="1" applyAlignment="1" applyProtection="1">
      <alignment horizontal="center" vertical="center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164" fontId="16" fillId="26" borderId="1" xfId="0" applyNumberFormat="1" applyFont="1" applyFill="1" applyBorder="1" applyAlignment="1" applyProtection="1">
      <alignment horizontal="center" vertical="center"/>
      <protection locked="0"/>
    </xf>
    <xf numFmtId="0" fontId="16" fillId="22" borderId="1" xfId="0" applyFont="1" applyFill="1" applyBorder="1" applyAlignment="1" applyProtection="1">
      <alignment horizontal="center" vertical="center"/>
      <protection locked="0"/>
    </xf>
    <xf numFmtId="164" fontId="16" fillId="24" borderId="1" xfId="0" applyNumberFormat="1" applyFont="1" applyFill="1" applyBorder="1" applyAlignment="1" applyProtection="1">
      <alignment horizontal="center" vertical="center"/>
      <protection locked="0"/>
    </xf>
    <xf numFmtId="164" fontId="16" fillId="23" borderId="1" xfId="0" applyNumberFormat="1" applyFont="1" applyFill="1" applyBorder="1" applyAlignment="1" applyProtection="1">
      <alignment horizontal="center" vertical="center"/>
      <protection locked="0"/>
    </xf>
    <xf numFmtId="2" fontId="16" fillId="23" borderId="1" xfId="0" applyNumberFormat="1" applyFont="1" applyFill="1" applyBorder="1" applyAlignment="1" applyProtection="1">
      <alignment horizontal="center" vertical="center"/>
      <protection locked="0"/>
    </xf>
    <xf numFmtId="49" fontId="49" fillId="15" borderId="1" xfId="0" applyNumberFormat="1" applyFont="1" applyFill="1" applyBorder="1" applyAlignment="1" applyProtection="1">
      <alignment horizontal="center" vertical="center"/>
      <protection locked="0"/>
    </xf>
    <xf numFmtId="164" fontId="16" fillId="0" borderId="1" xfId="0" applyNumberFormat="1" applyFont="1" applyBorder="1" applyAlignment="1" applyProtection="1">
      <alignment horizontal="center" vertical="center"/>
      <protection locked="0"/>
    </xf>
    <xf numFmtId="0" fontId="38" fillId="27" borderId="0" xfId="0" applyFont="1" applyFill="1" applyAlignment="1" applyProtection="1">
      <alignment vertical="center"/>
      <protection hidden="1"/>
    </xf>
    <xf numFmtId="0" fontId="0" fillId="27" borderId="0" xfId="0" applyFill="1" applyProtection="1">
      <protection hidden="1"/>
    </xf>
    <xf numFmtId="0" fontId="0" fillId="27" borderId="0" xfId="0" applyFill="1" applyAlignment="1" applyProtection="1">
      <alignment horizontal="centerContinuous"/>
      <protection hidden="1"/>
    </xf>
    <xf numFmtId="0" fontId="15" fillId="27" borderId="0" xfId="0" applyFont="1" applyFill="1" applyAlignment="1" applyProtection="1">
      <alignment horizontal="center"/>
      <protection hidden="1"/>
    </xf>
    <xf numFmtId="2" fontId="6" fillId="27" borderId="0" xfId="0" applyNumberFormat="1" applyFont="1" applyFill="1" applyAlignment="1" applyProtection="1">
      <alignment horizontal="centerContinuous"/>
      <protection hidden="1"/>
    </xf>
    <xf numFmtId="0" fontId="44" fillId="2" borderId="13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/>
      <protection hidden="1"/>
    </xf>
    <xf numFmtId="0" fontId="12" fillId="4" borderId="5" xfId="0" applyFont="1" applyFill="1" applyBorder="1" applyAlignment="1" applyProtection="1">
      <alignment horizontal="center" vertical="center" wrapText="1"/>
      <protection hidden="1"/>
    </xf>
    <xf numFmtId="0" fontId="12" fillId="4" borderId="6" xfId="0" applyFont="1" applyFill="1" applyBorder="1" applyAlignment="1" applyProtection="1">
      <alignment horizontal="center" vertical="center" wrapText="1"/>
      <protection hidden="1"/>
    </xf>
    <xf numFmtId="0" fontId="50" fillId="4" borderId="12" xfId="0" applyFont="1" applyFill="1" applyBorder="1" applyAlignment="1" applyProtection="1">
      <alignment horizontal="center" vertical="center" wrapText="1"/>
      <protection hidden="1"/>
    </xf>
    <xf numFmtId="0" fontId="50" fillId="4" borderId="6" xfId="0" applyFont="1" applyFill="1" applyBorder="1" applyAlignment="1" applyProtection="1">
      <alignment horizontal="center" vertical="center" wrapText="1"/>
      <protection hidden="1"/>
    </xf>
    <xf numFmtId="0" fontId="46" fillId="2" borderId="2" xfId="0" applyFont="1" applyFill="1" applyBorder="1" applyAlignment="1" applyProtection="1">
      <alignment horizontal="right" vertical="center"/>
      <protection hidden="1"/>
    </xf>
    <xf numFmtId="0" fontId="46" fillId="2" borderId="3" xfId="0" applyFont="1" applyFill="1" applyBorder="1" applyAlignment="1" applyProtection="1">
      <alignment horizontal="right" vertical="center"/>
      <protection hidden="1"/>
    </xf>
    <xf numFmtId="0" fontId="25" fillId="2" borderId="3" xfId="1" applyFont="1" applyFill="1" applyBorder="1" applyAlignment="1" applyProtection="1">
      <alignment horizontal="center" vertical="center" wrapText="1"/>
      <protection hidden="1"/>
    </xf>
    <xf numFmtId="0" fontId="25" fillId="2" borderId="3" xfId="1" applyFont="1" applyFill="1" applyBorder="1" applyAlignment="1" applyProtection="1">
      <alignment horizontal="center" vertical="center"/>
      <protection hidden="1"/>
    </xf>
    <xf numFmtId="0" fontId="26" fillId="2" borderId="3" xfId="1" applyFont="1" applyFill="1" applyBorder="1" applyAlignment="1" applyProtection="1">
      <alignment horizontal="center" vertical="center"/>
      <protection hidden="1"/>
    </xf>
    <xf numFmtId="0" fontId="11" fillId="4" borderId="5" xfId="0" applyFont="1" applyFill="1" applyBorder="1" applyAlignment="1" applyProtection="1">
      <alignment horizontal="center" vertical="center" wrapText="1"/>
      <protection hidden="1"/>
    </xf>
    <xf numFmtId="0" fontId="11" fillId="4" borderId="6" xfId="0" applyFont="1" applyFill="1" applyBorder="1" applyAlignment="1" applyProtection="1">
      <alignment horizontal="center" vertical="center" wrapText="1"/>
      <protection hidden="1"/>
    </xf>
    <xf numFmtId="0" fontId="12" fillId="4" borderId="5" xfId="0" applyFont="1" applyFill="1" applyBorder="1" applyAlignment="1" applyProtection="1">
      <alignment horizontal="left" vertical="center" textRotation="180" wrapText="1"/>
      <protection hidden="1"/>
    </xf>
    <xf numFmtId="0" fontId="12" fillId="4" borderId="6" xfId="0" applyFont="1" applyFill="1" applyBorder="1" applyAlignment="1" applyProtection="1">
      <alignment horizontal="left" vertical="center" textRotation="180" wrapText="1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1" xfId="0" applyFont="1" applyBorder="1" applyAlignment="1" applyProtection="1">
      <alignment horizontal="center" vertical="center" wrapText="1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7" fillId="2" borderId="2" xfId="0" applyFont="1" applyFill="1" applyBorder="1" applyAlignment="1" applyProtection="1">
      <alignment horizontal="right" vertical="center"/>
      <protection hidden="1"/>
    </xf>
    <xf numFmtId="0" fontId="17" fillId="2" borderId="3" xfId="0" applyFont="1" applyFill="1" applyBorder="1" applyAlignment="1" applyProtection="1">
      <alignment horizontal="right" vertical="center"/>
      <protection hidden="1"/>
    </xf>
    <xf numFmtId="0" fontId="18" fillId="5" borderId="1" xfId="0" applyFont="1" applyFill="1" applyBorder="1" applyAlignment="1" applyProtection="1">
      <alignment horizontal="center" vertical="center"/>
      <protection hidden="1"/>
    </xf>
    <xf numFmtId="1" fontId="18" fillId="17" borderId="1" xfId="0" applyNumberFormat="1" applyFont="1" applyFill="1" applyBorder="1" applyAlignment="1" applyProtection="1">
      <alignment horizontal="center" vertical="center"/>
      <protection hidden="1"/>
    </xf>
    <xf numFmtId="0" fontId="18" fillId="17" borderId="1" xfId="0" applyFont="1" applyFill="1" applyBorder="1" applyAlignment="1" applyProtection="1">
      <alignment horizontal="center" vertical="center"/>
      <protection hidden="1"/>
    </xf>
    <xf numFmtId="0" fontId="18" fillId="5" borderId="1" xfId="0" applyFont="1" applyFill="1" applyBorder="1" applyAlignment="1" applyProtection="1">
      <alignment horizontal="center" vertical="center" wrapText="1"/>
      <protection hidden="1"/>
    </xf>
    <xf numFmtId="0" fontId="46" fillId="2" borderId="28" xfId="0" applyFont="1" applyFill="1" applyBorder="1" applyAlignment="1" applyProtection="1">
      <alignment horizontal="center" vertical="center" wrapText="1"/>
      <protection hidden="1"/>
    </xf>
    <xf numFmtId="0" fontId="46" fillId="2" borderId="25" xfId="0" applyFont="1" applyFill="1" applyBorder="1" applyAlignment="1" applyProtection="1">
      <alignment horizontal="center" vertical="center" wrapText="1"/>
      <protection hidden="1"/>
    </xf>
    <xf numFmtId="0" fontId="50" fillId="4" borderId="12" xfId="0" applyFont="1" applyFill="1" applyBorder="1" applyAlignment="1" applyProtection="1">
      <alignment horizontal="left" vertical="center" wrapText="1"/>
      <protection hidden="1"/>
    </xf>
    <xf numFmtId="0" fontId="50" fillId="4" borderId="6" xfId="0" applyFont="1" applyFill="1" applyBorder="1" applyAlignment="1" applyProtection="1">
      <alignment horizontal="left" vertical="center" wrapText="1"/>
      <protection hidden="1"/>
    </xf>
    <xf numFmtId="0" fontId="51" fillId="4" borderId="5" xfId="0" applyFont="1" applyFill="1" applyBorder="1" applyAlignment="1" applyProtection="1">
      <alignment horizontal="left" vertical="center" wrapText="1"/>
      <protection hidden="1"/>
    </xf>
    <xf numFmtId="0" fontId="51" fillId="4" borderId="6" xfId="0" applyFont="1" applyFill="1" applyBorder="1" applyAlignment="1" applyProtection="1">
      <alignment horizontal="left" vertical="center" wrapText="1"/>
      <protection hidden="1"/>
    </xf>
    <xf numFmtId="0" fontId="50" fillId="4" borderId="12" xfId="0" applyFont="1" applyFill="1" applyBorder="1" applyAlignment="1" applyProtection="1">
      <alignment vertical="center" wrapText="1"/>
      <protection hidden="1"/>
    </xf>
    <xf numFmtId="0" fontId="50" fillId="21" borderId="6" xfId="0" applyFont="1" applyFill="1" applyBorder="1" applyAlignment="1" applyProtection="1">
      <alignment vertical="center" wrapText="1"/>
      <protection hidden="1"/>
    </xf>
    <xf numFmtId="0" fontId="50" fillId="4" borderId="6" xfId="0" applyFont="1" applyFill="1" applyBorder="1" applyAlignment="1" applyProtection="1">
      <alignment vertical="center" wrapText="1"/>
      <protection hidden="1"/>
    </xf>
    <xf numFmtId="0" fontId="51" fillId="4" borderId="32" xfId="0" applyFont="1" applyFill="1" applyBorder="1" applyAlignment="1" applyProtection="1">
      <alignment horizontal="left" vertical="center" wrapText="1"/>
      <protection hidden="1"/>
    </xf>
    <xf numFmtId="0" fontId="51" fillId="4" borderId="2" xfId="0" applyFont="1" applyFill="1" applyBorder="1" applyAlignment="1" applyProtection="1">
      <alignment horizontal="left" vertical="center" wrapText="1"/>
      <protection hidden="1"/>
    </xf>
    <xf numFmtId="0" fontId="35" fillId="4" borderId="33" xfId="0" applyFont="1" applyFill="1" applyBorder="1" applyAlignment="1" applyProtection="1">
      <alignment horizontal="left" vertical="center" wrapText="1"/>
      <protection hidden="1"/>
    </xf>
    <xf numFmtId="0" fontId="35" fillId="4" borderId="34" xfId="0" applyFont="1" applyFill="1" applyBorder="1" applyAlignment="1" applyProtection="1">
      <alignment horizontal="left" vertical="center" wrapText="1"/>
      <protection hidden="1"/>
    </xf>
    <xf numFmtId="0" fontId="56" fillId="2" borderId="28" xfId="0" applyFont="1" applyFill="1" applyBorder="1" applyAlignment="1" applyProtection="1">
      <alignment horizontal="center" vertical="center" wrapText="1"/>
      <protection hidden="1"/>
    </xf>
    <xf numFmtId="0" fontId="56" fillId="2" borderId="29" xfId="0" applyFont="1" applyFill="1" applyBorder="1" applyAlignment="1" applyProtection="1">
      <alignment horizontal="center" vertical="center" wrapText="1"/>
      <protection hidden="1"/>
    </xf>
    <xf numFmtId="0" fontId="50" fillId="21" borderId="6" xfId="0" applyFont="1" applyFill="1" applyBorder="1" applyAlignment="1" applyProtection="1">
      <alignment horizontal="left" vertical="center" wrapText="1"/>
      <protection hidden="1"/>
    </xf>
    <xf numFmtId="0" fontId="35" fillId="4" borderId="12" xfId="0" applyFont="1" applyFill="1" applyBorder="1" applyAlignment="1" applyProtection="1">
      <alignment horizontal="left" vertical="center" textRotation="180" wrapText="1"/>
      <protection hidden="1"/>
    </xf>
    <xf numFmtId="0" fontId="35" fillId="21" borderId="6" xfId="0" applyFont="1" applyFill="1" applyBorder="1" applyAlignment="1" applyProtection="1">
      <alignment horizontal="left" vertical="center" textRotation="180" wrapText="1"/>
      <protection hidden="1"/>
    </xf>
    <xf numFmtId="0" fontId="50" fillId="4" borderId="1" xfId="0" applyFont="1" applyFill="1" applyBorder="1" applyAlignment="1" applyProtection="1">
      <alignment horizontal="left" vertical="center" wrapText="1"/>
      <protection hidden="1"/>
    </xf>
    <xf numFmtId="0" fontId="35" fillId="4" borderId="6" xfId="0" applyFont="1" applyFill="1" applyBorder="1" applyAlignment="1" applyProtection="1">
      <alignment horizontal="left" vertical="center" textRotation="180" wrapText="1"/>
      <protection hidden="1"/>
    </xf>
    <xf numFmtId="0" fontId="51" fillId="4" borderId="12" xfId="0" applyFont="1" applyFill="1" applyBorder="1" applyAlignment="1" applyProtection="1">
      <alignment horizontal="center" vertical="center" wrapText="1"/>
      <protection hidden="1"/>
    </xf>
    <xf numFmtId="0" fontId="51" fillId="21" borderId="6" xfId="0" applyFont="1" applyFill="1" applyBorder="1" applyAlignment="1" applyProtection="1">
      <alignment horizontal="center" vertical="center" wrapText="1"/>
      <protection hidden="1"/>
    </xf>
    <xf numFmtId="0" fontId="52" fillId="4" borderId="12" xfId="0" applyFont="1" applyFill="1" applyBorder="1" applyAlignment="1" applyProtection="1">
      <alignment horizontal="center" vertical="center" wrapText="1"/>
      <protection hidden="1"/>
    </xf>
    <xf numFmtId="0" fontId="52" fillId="21" borderId="6" xfId="0" applyFont="1" applyFill="1" applyBorder="1" applyAlignment="1" applyProtection="1">
      <alignment horizontal="center" vertical="center" wrapText="1"/>
      <protection hidden="1"/>
    </xf>
    <xf numFmtId="0" fontId="53" fillId="4" borderId="12" xfId="0" applyFont="1" applyFill="1" applyBorder="1" applyAlignment="1" applyProtection="1">
      <alignment horizontal="left" vertical="center" wrapText="1"/>
      <protection hidden="1"/>
    </xf>
    <xf numFmtId="0" fontId="53" fillId="21" borderId="6" xfId="0" applyFont="1" applyFill="1" applyBorder="1" applyAlignment="1" applyProtection="1">
      <alignment horizontal="left" vertical="center" wrapText="1"/>
      <protection hidden="1"/>
    </xf>
    <xf numFmtId="0" fontId="33" fillId="5" borderId="30" xfId="0" applyFont="1" applyFill="1" applyBorder="1" applyAlignment="1" applyProtection="1">
      <alignment horizontal="center"/>
      <protection hidden="1"/>
    </xf>
    <xf numFmtId="0" fontId="47" fillId="0" borderId="30" xfId="0" applyFont="1" applyBorder="1" applyAlignment="1" applyProtection="1">
      <alignment horizontal="center"/>
      <protection hidden="1"/>
    </xf>
    <xf numFmtId="0" fontId="33" fillId="5" borderId="31" xfId="0" applyFont="1" applyFill="1" applyBorder="1" applyAlignment="1" applyProtection="1">
      <alignment horizontal="center"/>
      <protection hidden="1"/>
    </xf>
    <xf numFmtId="0" fontId="3" fillId="0" borderId="30" xfId="1" applyBorder="1" applyAlignment="1" applyProtection="1">
      <alignment horizontal="center"/>
      <protection hidden="1"/>
    </xf>
    <xf numFmtId="0" fontId="10" fillId="16" borderId="16" xfId="0" applyFont="1" applyFill="1" applyBorder="1" applyAlignment="1" applyProtection="1">
      <alignment horizontal="center"/>
      <protection hidden="1"/>
    </xf>
    <xf numFmtId="0" fontId="10" fillId="16" borderId="18" xfId="0" applyFont="1" applyFill="1" applyBorder="1" applyAlignment="1" applyProtection="1">
      <alignment horizontal="center"/>
      <protection hidden="1"/>
    </xf>
    <xf numFmtId="0" fontId="14" fillId="16" borderId="15" xfId="0" applyFont="1" applyFill="1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14" fillId="16" borderId="0" xfId="0" applyFont="1" applyFill="1" applyAlignment="1" applyProtection="1">
      <alignment horizontal="center"/>
      <protection hidden="1"/>
    </xf>
    <xf numFmtId="0" fontId="14" fillId="16" borderId="19" xfId="0" applyFont="1" applyFill="1" applyBorder="1" applyAlignment="1" applyProtection="1">
      <alignment horizontal="center"/>
      <protection hidden="1"/>
    </xf>
    <xf numFmtId="0" fontId="14" fillId="16" borderId="20" xfId="0" applyFont="1" applyFill="1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1" fillId="5" borderId="16" xfId="0" applyFont="1" applyFill="1" applyBorder="1" applyAlignment="1" applyProtection="1">
      <alignment horizontal="center"/>
      <protection hidden="1"/>
    </xf>
    <xf numFmtId="0" fontId="1" fillId="5" borderId="17" xfId="0" applyFont="1" applyFill="1" applyBorder="1" applyAlignment="1" applyProtection="1">
      <alignment horizontal="center"/>
      <protection hidden="1"/>
    </xf>
    <xf numFmtId="0" fontId="1" fillId="5" borderId="18" xfId="0" applyFont="1" applyFill="1" applyBorder="1" applyAlignment="1" applyProtection="1">
      <alignment horizontal="center"/>
      <protection hidden="1"/>
    </xf>
    <xf numFmtId="0" fontId="12" fillId="6" borderId="0" xfId="0" applyFont="1" applyFill="1" applyAlignment="1" applyProtection="1">
      <alignment horizontal="center" vertical="center" wrapText="1"/>
      <protection hidden="1"/>
    </xf>
    <xf numFmtId="0" fontId="12" fillId="27" borderId="0" xfId="0" applyFont="1" applyFill="1" applyAlignment="1" applyProtection="1">
      <alignment horizontal="center" vertical="center" wrapText="1"/>
      <protection hidden="1"/>
    </xf>
    <xf numFmtId="0" fontId="39" fillId="10" borderId="0" xfId="0" applyFont="1" applyFill="1" applyAlignment="1" applyProtection="1">
      <alignment horizontal="center"/>
      <protection hidden="1"/>
    </xf>
    <xf numFmtId="0" fontId="43" fillId="5" borderId="14" xfId="0" applyFont="1" applyFill="1" applyBorder="1" applyAlignment="1" applyProtection="1">
      <alignment horizontal="center"/>
      <protection hidden="1"/>
    </xf>
    <xf numFmtId="0" fontId="33" fillId="0" borderId="36" xfId="0" applyFont="1" applyBorder="1" applyAlignment="1" applyProtection="1">
      <alignment horizontal="center" vertical="center"/>
      <protection hidden="1"/>
    </xf>
    <xf numFmtId="0" fontId="33" fillId="0" borderId="37" xfId="0" applyFont="1" applyBorder="1" applyAlignment="1" applyProtection="1">
      <alignment horizontal="center" vertical="center"/>
      <protection hidden="1"/>
    </xf>
    <xf numFmtId="0" fontId="33" fillId="0" borderId="38" xfId="0" applyFont="1" applyBorder="1" applyAlignment="1" applyProtection="1">
      <alignment horizontal="center" vertical="center"/>
      <protection hidden="1"/>
    </xf>
    <xf numFmtId="0" fontId="33" fillId="0" borderId="2" xfId="1" applyFont="1" applyBorder="1" applyAlignment="1" applyProtection="1">
      <alignment horizontal="center" vertical="center"/>
      <protection hidden="1"/>
    </xf>
    <xf numFmtId="0" fontId="33" fillId="0" borderId="3" xfId="0" applyFont="1" applyBorder="1" applyAlignment="1" applyProtection="1">
      <alignment horizontal="center" vertical="center"/>
      <protection hidden="1"/>
    </xf>
    <xf numFmtId="0" fontId="33" fillId="0" borderId="34" xfId="0" applyFont="1" applyBorder="1" applyAlignment="1" applyProtection="1">
      <alignment horizontal="center" vertical="center"/>
      <protection hidden="1"/>
    </xf>
    <xf numFmtId="0" fontId="57" fillId="6" borderId="36" xfId="0" applyFont="1" applyFill="1" applyBorder="1" applyAlignment="1" applyProtection="1">
      <alignment horizontal="center" vertical="center" wrapText="1"/>
      <protection hidden="1"/>
    </xf>
    <xf numFmtId="0" fontId="57" fillId="6" borderId="37" xfId="0" applyFont="1" applyFill="1" applyBorder="1" applyAlignment="1" applyProtection="1">
      <alignment horizontal="center" vertical="center"/>
      <protection hidden="1"/>
    </xf>
    <xf numFmtId="0" fontId="57" fillId="6" borderId="38" xfId="0" applyFont="1" applyFill="1" applyBorder="1" applyAlignment="1" applyProtection="1">
      <alignment horizontal="center" vertical="center"/>
      <protection hidden="1"/>
    </xf>
    <xf numFmtId="0" fontId="58" fillId="6" borderId="36" xfId="1" applyFont="1" applyFill="1" applyBorder="1" applyAlignment="1" applyProtection="1">
      <alignment horizontal="center" vertical="center" wrapText="1"/>
      <protection hidden="1"/>
    </xf>
    <xf numFmtId="0" fontId="43" fillId="6" borderId="37" xfId="0" applyFont="1" applyFill="1" applyBorder="1" applyAlignment="1" applyProtection="1">
      <alignment horizontal="center" vertical="center"/>
      <protection hidden="1"/>
    </xf>
    <xf numFmtId="0" fontId="43" fillId="6" borderId="38" xfId="0" applyFont="1" applyFill="1" applyBorder="1" applyAlignment="1" applyProtection="1">
      <alignment horizontal="center" vertical="center"/>
      <protection hidden="1"/>
    </xf>
    <xf numFmtId="0" fontId="44" fillId="2" borderId="13" xfId="0" applyFont="1" applyFill="1" applyBorder="1" applyAlignment="1" applyProtection="1">
      <alignment horizontal="left" vertical="center" wrapText="1"/>
      <protection hidden="1"/>
    </xf>
  </cellXfs>
  <cellStyles count="2">
    <cellStyle name="Hyperlink" xfId="1" builtinId="8"/>
    <cellStyle name="Normal" xfId="0" builtinId="0"/>
  </cellStyles>
  <dxfs count="4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theme="9" tint="-0.25098422193060094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0066"/>
      <color rgb="FF3D2EFA"/>
      <color rgb="FFFFE181"/>
      <color rgb="FFEEEEEE"/>
      <color rgb="FFFFCA21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120650</xdr:colOff>
          <xdr:row>0</xdr:row>
          <xdr:rowOff>184150</xdr:rowOff>
        </xdr:from>
        <xdr:to>
          <xdr:col>1</xdr:col>
          <xdr:colOff>723900</xdr:colOff>
          <xdr:row>0</xdr:row>
          <xdr:rowOff>495300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184150</xdr:rowOff>
        </xdr:from>
        <xdr:to>
          <xdr:col>13</xdr:col>
          <xdr:colOff>635000</xdr:colOff>
          <xdr:row>0</xdr:row>
          <xdr:rowOff>501650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BOQ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190500</xdr:rowOff>
        </xdr:from>
        <xdr:to>
          <xdr:col>0</xdr:col>
          <xdr:colOff>1181100</xdr:colOff>
          <xdr:row>0</xdr:row>
          <xdr:rowOff>711200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57150</xdr:rowOff>
        </xdr:from>
        <xdr:to>
          <xdr:col>4</xdr:col>
          <xdr:colOff>895350</xdr:colOff>
          <xdr:row>0</xdr:row>
          <xdr:rowOff>755650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BOQ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387350</xdr:colOff>
          <xdr:row>0</xdr:row>
          <xdr:rowOff>76200</xdr:rowOff>
        </xdr:from>
        <xdr:to>
          <xdr:col>7</xdr:col>
          <xdr:colOff>342900</xdr:colOff>
          <xdr:row>0</xdr:row>
          <xdr:rowOff>717550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Sign In Sign UP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177800</xdr:colOff>
          <xdr:row>0</xdr:row>
          <xdr:rowOff>82550</xdr:rowOff>
        </xdr:from>
        <xdr:to>
          <xdr:col>16</xdr:col>
          <xdr:colOff>1003300</xdr:colOff>
          <xdr:row>0</xdr:row>
          <xdr:rowOff>723900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Update Credit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82550</xdr:colOff>
          <xdr:row>0</xdr:row>
          <xdr:rowOff>82550</xdr:rowOff>
        </xdr:from>
        <xdr:to>
          <xdr:col>15</xdr:col>
          <xdr:colOff>850900</xdr:colOff>
          <xdr:row>0</xdr:row>
          <xdr:rowOff>723900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Top up Credit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38100</xdr:rowOff>
        </xdr:from>
        <xdr:to>
          <xdr:col>1</xdr:col>
          <xdr:colOff>1346200</xdr:colOff>
          <xdr:row>2</xdr:row>
          <xdr:rowOff>438150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Language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FB047-4B6D-43C1-BFF7-25CA9164C339}">
  <we:reference id="wa200007447" version="1.0.0.0" store="en-US" storeType="OMEX"/>
  <we:alternateReferences>
    <we:reference id="wa200007447" version="1.0.0.0" store="wa200007447" storeType="OMEX"/>
  </we:alternateReferences>
  <we:properties>
    <we:property name="hello" value="{&quot;name&quot;:&quot;hello&quot;,&quot;signature&quot;:&quot;HELLO(name)&quot;,&quot;description&quot;:&quot;Returns a greeting&quot;,&quot;code&quot;:&quot;def hello(name):\n    \&quot;\&quot;\&quot; Returns a greeting. \&quot;\&quot;\&quot;\n    return f\&quot;Hello {name}!\&quot;\n    \n# Arguments to test the function.\ntest_cases = [\n    [\&quot;Nancy\&quot;],\n    [\&quot;Ming\&quot;]\n]&quot;,&quot;resultLine&quot;:&quot;\n\nresult = hello(arg1)&quot;,&quot;formula&quot;:&quot;=LAMBDA(name, BOARDFLARE.EXEC(\&quot;workbook-settings:hello\&quot;, name))&quot;,&quot;timestamp&quot;:&quot;2025-02-16T19:50:21.912Z&quot;,&quot;uid&quot;:&quot;anonymous&quot;,&quot;excelExample&quot;:null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ugc.boq@gmail.com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mo-account.github.io/boqusers/BOQ.html" TargetMode="External"/><Relationship Id="rId1" Type="http://schemas.openxmlformats.org/officeDocument/2006/relationships/hyperlink" Target="mailto:ugc.boq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N2121"/>
  <sheetViews>
    <sheetView topLeftCell="S1" zoomScale="80" zoomScaleNormal="80" zoomScaleSheetLayoutView="100" workbookViewId="0">
      <pane ySplit="3" topLeftCell="A4" activePane="bottomLeft" state="frozen"/>
      <selection activeCell="T16" sqref="T16"/>
      <selection pane="bottomLeft" activeCell="W2" sqref="W2:W8"/>
    </sheetView>
  </sheetViews>
  <sheetFormatPr defaultColWidth="9" defaultRowHeight="14.5" x14ac:dyDescent="0.35"/>
  <cols>
    <col min="1" max="1" width="11.90625" style="8" customWidth="1"/>
    <col min="2" max="2" width="15.81640625" style="8" bestFit="1" customWidth="1"/>
    <col min="3" max="3" width="13.08984375" style="8" bestFit="1" customWidth="1"/>
    <col min="4" max="4" width="9.08984375" style="8" customWidth="1"/>
    <col min="5" max="5" width="14.36328125" style="8" bestFit="1" customWidth="1"/>
    <col min="6" max="6" width="10.90625" style="8" customWidth="1"/>
    <col min="7" max="7" width="10.36328125" style="8" customWidth="1"/>
    <col min="8" max="8" width="6.6328125" style="8" customWidth="1"/>
    <col min="9" max="9" width="6.81640625" style="8" customWidth="1"/>
    <col min="10" max="10" width="5.81640625" style="8" customWidth="1"/>
    <col min="11" max="11" width="19" style="8" customWidth="1"/>
    <col min="12" max="12" width="9" style="8"/>
    <col min="13" max="13" width="7.08984375" style="8" customWidth="1"/>
    <col min="14" max="14" width="11.453125" style="8" customWidth="1"/>
    <col min="15" max="15" width="10.6328125" style="8" customWidth="1"/>
    <col min="16" max="16" width="9.90625" style="8" customWidth="1"/>
    <col min="17" max="17" width="12.81640625" style="8" customWidth="1"/>
    <col min="18" max="18" width="15.6328125" style="8" customWidth="1"/>
    <col min="19" max="19" width="13.81640625" style="8" customWidth="1"/>
    <col min="20" max="20" width="72.08984375" style="8" customWidth="1"/>
    <col min="21" max="21" width="9" style="8" customWidth="1"/>
    <col min="22" max="22" width="16.6328125" style="8" hidden="1" customWidth="1"/>
    <col min="23" max="23" width="36.7265625" style="8" hidden="1" customWidth="1"/>
    <col min="24" max="30" width="9" style="8" hidden="1" customWidth="1"/>
    <col min="31" max="31" width="97" style="31" hidden="1" customWidth="1"/>
    <col min="32" max="32" width="10.453125" style="31" hidden="1" customWidth="1"/>
    <col min="33" max="33" width="69.08984375" style="31" hidden="1" customWidth="1"/>
    <col min="34" max="34" width="17.6328125" style="31" hidden="1" customWidth="1"/>
    <col min="35" max="35" width="32.08984375" style="31" hidden="1" customWidth="1"/>
    <col min="36" max="36" width="11.90625" style="31" hidden="1" customWidth="1"/>
    <col min="37" max="37" width="10.08984375" style="31" hidden="1" customWidth="1"/>
    <col min="38" max="38" width="20.08984375" style="31" hidden="1" customWidth="1"/>
    <col min="39" max="39" width="13" style="31" hidden="1" customWidth="1"/>
    <col min="40" max="40" width="18" style="31" hidden="1" customWidth="1"/>
    <col min="41" max="41" width="14.81640625" style="31" hidden="1" customWidth="1"/>
    <col min="42" max="42" width="15.6328125" style="31" hidden="1" customWidth="1"/>
    <col min="43" max="43" width="11.1796875" style="31" hidden="1" customWidth="1"/>
    <col min="44" max="44" width="19.36328125" style="8" hidden="1" customWidth="1"/>
    <col min="45" max="46" width="10" style="8" hidden="1" customWidth="1"/>
    <col min="47" max="47" width="17.6328125" style="8" hidden="1" customWidth="1"/>
    <col min="48" max="54" width="15" style="8" hidden="1" customWidth="1"/>
    <col min="55" max="55" width="37.6328125" style="8" hidden="1" customWidth="1"/>
    <col min="56" max="56" width="20.36328125" style="8" hidden="1" customWidth="1"/>
    <col min="57" max="57" width="17.36328125" style="8" hidden="1" customWidth="1"/>
    <col min="58" max="58" width="24.36328125" style="8" hidden="1" customWidth="1"/>
    <col min="59" max="59" width="14.36328125" style="8" hidden="1" customWidth="1"/>
    <col min="60" max="60" width="12.81640625" style="8" hidden="1" customWidth="1"/>
    <col min="61" max="68" width="9" style="8" hidden="1" customWidth="1"/>
    <col min="69" max="69" width="8.1796875" style="8" hidden="1" customWidth="1"/>
    <col min="70" max="70" width="11" style="8" hidden="1" customWidth="1"/>
    <col min="71" max="71" width="9.453125" style="8" hidden="1" customWidth="1"/>
    <col min="72" max="72" width="14.81640625" style="8" hidden="1" customWidth="1"/>
    <col min="73" max="73" width="10.1796875" style="8" hidden="1" customWidth="1"/>
    <col min="74" max="75" width="9" style="8" hidden="1" customWidth="1"/>
    <col min="76" max="76" width="13" style="8" hidden="1" customWidth="1"/>
    <col min="77" max="77" width="9" style="8" hidden="1" customWidth="1"/>
    <col min="78" max="78" width="10.1796875" style="8" hidden="1" customWidth="1"/>
    <col min="79" max="80" width="9" style="8" hidden="1" customWidth="1"/>
    <col min="81" max="81" width="10.81640625" style="8" hidden="1" customWidth="1"/>
    <col min="82" max="87" width="9" style="8" hidden="1" customWidth="1"/>
    <col min="88" max="88" width="9.81640625" style="8" hidden="1" customWidth="1"/>
    <col min="89" max="95" width="9" style="8" hidden="1" customWidth="1"/>
    <col min="96" max="96" width="11.08984375" style="8" hidden="1" customWidth="1"/>
    <col min="97" max="97" width="11.81640625" style="8" hidden="1" customWidth="1"/>
    <col min="98" max="100" width="9" style="8" hidden="1" customWidth="1"/>
    <col min="101" max="101" width="17.36328125" style="8" hidden="1" customWidth="1"/>
    <col min="102" max="103" width="20.1796875" style="8" hidden="1" customWidth="1"/>
    <col min="104" max="104" width="118.6328125" style="8" hidden="1" customWidth="1"/>
    <col min="105" max="105" width="18.81640625" style="8" hidden="1" customWidth="1"/>
    <col min="106" max="106" width="16.1796875" style="8" hidden="1" customWidth="1"/>
    <col min="107" max="107" width="9" style="8" hidden="1" customWidth="1"/>
    <col min="108" max="110" width="20.1796875" style="8" customWidth="1"/>
    <col min="111" max="111" width="49.36328125" style="8" bestFit="1" customWidth="1"/>
    <col min="112" max="112" width="39.7265625" style="8" customWidth="1"/>
    <col min="113" max="113" width="17.36328125" style="8" bestFit="1" customWidth="1"/>
    <col min="114" max="114" width="20.36328125" style="8" bestFit="1" customWidth="1"/>
    <col min="115" max="115" width="8.36328125" style="8" bestFit="1" customWidth="1"/>
    <col min="116" max="116" width="48.36328125" style="8" bestFit="1" customWidth="1"/>
    <col min="117" max="117" width="39.7265625" style="8" customWidth="1"/>
    <col min="118" max="118" width="18.81640625" style="8" customWidth="1"/>
    <col min="119" max="16384" width="9" style="8"/>
  </cols>
  <sheetData>
    <row r="1" spans="1:106" ht="65.400000000000006" customHeight="1" thickBot="1" x14ac:dyDescent="0.5">
      <c r="A1" s="217" t="s">
        <v>107</v>
      </c>
      <c r="B1" s="218"/>
      <c r="C1" s="218"/>
      <c r="D1" s="218"/>
      <c r="E1" s="218"/>
      <c r="F1" s="218"/>
      <c r="G1" s="219"/>
      <c r="H1" s="220"/>
      <c r="I1" s="220"/>
      <c r="J1" s="220"/>
      <c r="K1" s="221"/>
      <c r="L1" s="6"/>
      <c r="M1" s="6"/>
      <c r="N1" s="6"/>
      <c r="O1" s="231"/>
      <c r="P1" s="232"/>
      <c r="Q1" s="232"/>
      <c r="R1" s="232"/>
      <c r="S1" s="232"/>
      <c r="T1" s="232"/>
      <c r="V1" s="8" t="s">
        <v>559</v>
      </c>
      <c r="W1" s="145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1"/>
      <c r="AT1" s="1"/>
      <c r="AU1" s="1"/>
      <c r="AV1" s="1"/>
      <c r="AW1" s="1"/>
      <c r="AX1" s="1"/>
      <c r="AY1" s="1"/>
      <c r="AZ1" s="1"/>
      <c r="BA1" s="1"/>
      <c r="BB1" s="1"/>
      <c r="BC1" s="31" t="s">
        <v>242</v>
      </c>
      <c r="BD1" s="31"/>
      <c r="BO1" s="228" t="s">
        <v>502</v>
      </c>
      <c r="BP1" s="228"/>
      <c r="BQ1" s="56" t="s">
        <v>213</v>
      </c>
      <c r="BR1" s="57" t="s">
        <v>211</v>
      </c>
      <c r="BS1" s="57" t="s">
        <v>212</v>
      </c>
      <c r="BT1" s="228" t="s">
        <v>503</v>
      </c>
      <c r="BU1" s="228" t="s">
        <v>504</v>
      </c>
      <c r="BV1" s="228" t="s">
        <v>254</v>
      </c>
      <c r="BW1" s="228" t="s">
        <v>255</v>
      </c>
      <c r="BX1" s="58" t="s">
        <v>19</v>
      </c>
      <c r="BY1" s="57" t="s">
        <v>222</v>
      </c>
      <c r="BZ1" s="8">
        <f>IF(AND(E4="special",F4&lt;5),O4*P4*D4,IF(AND(E4="special",F4&gt;4),(O4*P4-(1.2*0.8))*D4,0))</f>
        <v>0</v>
      </c>
      <c r="CF1" s="59" t="s">
        <v>282</v>
      </c>
      <c r="CG1" s="8" t="s">
        <v>274</v>
      </c>
      <c r="CH1" s="8" t="s">
        <v>273</v>
      </c>
      <c r="CI1" s="59" t="s">
        <v>264</v>
      </c>
      <c r="CJ1" s="59" t="s">
        <v>265</v>
      </c>
      <c r="CK1" s="59" t="s">
        <v>266</v>
      </c>
      <c r="CL1" s="59" t="s">
        <v>276</v>
      </c>
      <c r="CM1" s="59" t="s">
        <v>277</v>
      </c>
      <c r="CN1" s="8" t="s">
        <v>289</v>
      </c>
      <c r="CO1" s="8" t="s">
        <v>357</v>
      </c>
      <c r="CP1" s="8" t="s">
        <v>358</v>
      </c>
      <c r="CQ1" s="8" t="s">
        <v>360</v>
      </c>
      <c r="CR1" s="8" t="s">
        <v>361</v>
      </c>
      <c r="CS1" s="8" t="s">
        <v>362</v>
      </c>
      <c r="CT1" s="8" t="s">
        <v>396</v>
      </c>
      <c r="CU1" s="8" t="s">
        <v>397</v>
      </c>
      <c r="CV1" s="8" t="s">
        <v>398</v>
      </c>
    </row>
    <row r="2" spans="1:106" ht="39" customHeight="1" thickTop="1" x14ac:dyDescent="0.45">
      <c r="A2" s="213" t="s">
        <v>0</v>
      </c>
      <c r="B2" s="213" t="s">
        <v>1</v>
      </c>
      <c r="C2" s="213" t="s">
        <v>2</v>
      </c>
      <c r="D2" s="213" t="s">
        <v>15</v>
      </c>
      <c r="E2" s="213" t="s">
        <v>63</v>
      </c>
      <c r="F2" s="213" t="s">
        <v>37</v>
      </c>
      <c r="G2" s="213" t="s">
        <v>38</v>
      </c>
      <c r="H2" s="224" t="s">
        <v>109</v>
      </c>
      <c r="I2" s="224" t="s">
        <v>110</v>
      </c>
      <c r="J2" s="224" t="s">
        <v>111</v>
      </c>
      <c r="K2" s="222" t="s">
        <v>16</v>
      </c>
      <c r="L2" s="213" t="s">
        <v>3</v>
      </c>
      <c r="M2" s="213" t="s">
        <v>7</v>
      </c>
      <c r="N2" s="213" t="s">
        <v>54</v>
      </c>
      <c r="O2" s="213" t="s">
        <v>214</v>
      </c>
      <c r="P2" s="213" t="s">
        <v>257</v>
      </c>
      <c r="Q2" s="213" t="s">
        <v>604</v>
      </c>
      <c r="R2" s="215" t="s">
        <v>215</v>
      </c>
      <c r="S2" s="213" t="s">
        <v>256</v>
      </c>
      <c r="T2" s="213" t="s">
        <v>216</v>
      </c>
      <c r="V2" s="8" t="s">
        <v>558</v>
      </c>
      <c r="W2" s="146"/>
      <c r="AE2" s="60"/>
      <c r="AF2" s="31" t="s">
        <v>242</v>
      </c>
      <c r="AG2" s="61" t="s">
        <v>4</v>
      </c>
      <c r="AH2" s="61" t="s">
        <v>5</v>
      </c>
      <c r="AI2" s="61"/>
      <c r="AJ2" s="61"/>
      <c r="AK2" s="61"/>
      <c r="AL2" s="8" t="s">
        <v>83</v>
      </c>
      <c r="AM2" s="61" t="s">
        <v>8</v>
      </c>
      <c r="AN2" s="61"/>
      <c r="AO2" s="61"/>
      <c r="AP2" s="61" t="s">
        <v>9</v>
      </c>
      <c r="AQ2" s="61" t="s">
        <v>9</v>
      </c>
      <c r="AR2" s="61" t="s">
        <v>6</v>
      </c>
      <c r="AS2" s="61" t="s">
        <v>39</v>
      </c>
      <c r="AT2" s="61" t="s">
        <v>40</v>
      </c>
      <c r="AU2" s="60" t="s">
        <v>272</v>
      </c>
      <c r="AV2" s="60" t="s">
        <v>41</v>
      </c>
      <c r="AW2" s="60" t="s">
        <v>148</v>
      </c>
      <c r="AX2" s="60" t="s">
        <v>261</v>
      </c>
      <c r="AY2" s="60" t="s">
        <v>262</v>
      </c>
      <c r="AZ2" s="60" t="s">
        <v>263</v>
      </c>
      <c r="BA2" s="60" t="s">
        <v>153</v>
      </c>
      <c r="BB2" s="60" t="s">
        <v>154</v>
      </c>
      <c r="BC2" s="31" t="s">
        <v>243</v>
      </c>
      <c r="BD2" s="31"/>
      <c r="BO2" s="229"/>
      <c r="BP2" s="229"/>
      <c r="BR2" s="226" t="s">
        <v>211</v>
      </c>
      <c r="BS2" s="226" t="s">
        <v>212</v>
      </c>
      <c r="BT2" s="229"/>
      <c r="BU2" s="229"/>
      <c r="BV2" s="229"/>
      <c r="BW2" s="229"/>
      <c r="BX2" s="226"/>
      <c r="BY2" s="57"/>
      <c r="BZ2" s="209" t="s">
        <v>228</v>
      </c>
      <c r="CA2" s="208" t="s">
        <v>234</v>
      </c>
      <c r="CB2" s="8" t="s">
        <v>235</v>
      </c>
      <c r="CC2" s="210" t="s">
        <v>236</v>
      </c>
      <c r="CD2" s="211" t="s">
        <v>237</v>
      </c>
      <c r="CE2" s="208" t="s">
        <v>241</v>
      </c>
      <c r="CF2" s="59"/>
    </row>
    <row r="3" spans="1:106" ht="24" customHeight="1" thickBot="1" x14ac:dyDescent="0.5">
      <c r="A3" s="214"/>
      <c r="B3" s="214"/>
      <c r="C3" s="214"/>
      <c r="D3" s="214"/>
      <c r="E3" s="214"/>
      <c r="F3" s="214"/>
      <c r="G3" s="214"/>
      <c r="H3" s="225"/>
      <c r="I3" s="225"/>
      <c r="J3" s="225"/>
      <c r="K3" s="223"/>
      <c r="L3" s="214"/>
      <c r="M3" s="214"/>
      <c r="N3" s="214"/>
      <c r="O3" s="214"/>
      <c r="P3" s="214"/>
      <c r="Q3" s="214"/>
      <c r="R3" s="216"/>
      <c r="S3" s="214"/>
      <c r="T3" s="214"/>
      <c r="V3" s="8" t="s">
        <v>552</v>
      </c>
      <c r="W3" s="146"/>
      <c r="AE3" s="60"/>
      <c r="AF3" s="31" t="s">
        <v>243</v>
      </c>
      <c r="AG3" s="31" t="s">
        <v>18</v>
      </c>
      <c r="AH3" s="31" t="s">
        <v>6</v>
      </c>
      <c r="AL3" s="8" t="s">
        <v>84</v>
      </c>
      <c r="AM3" s="31" t="s">
        <v>14</v>
      </c>
      <c r="AP3" s="31" t="s">
        <v>10</v>
      </c>
      <c r="AQ3" s="31" t="s">
        <v>10</v>
      </c>
      <c r="AR3" s="31" t="s">
        <v>17</v>
      </c>
      <c r="AS3" s="61"/>
      <c r="AT3" s="61"/>
      <c r="AU3" s="60"/>
      <c r="AV3" s="60"/>
      <c r="AW3" s="60"/>
      <c r="AX3" s="60"/>
      <c r="AY3" s="60"/>
      <c r="AZ3" s="60"/>
      <c r="BA3" s="60"/>
      <c r="BB3" s="60"/>
      <c r="BC3" s="31"/>
      <c r="BD3" s="31"/>
      <c r="BM3" s="8" t="s">
        <v>701</v>
      </c>
      <c r="BO3" s="230"/>
      <c r="BP3" s="230"/>
      <c r="BR3" s="227"/>
      <c r="BS3" s="227"/>
      <c r="BT3" s="230"/>
      <c r="BU3" s="230"/>
      <c r="BV3" s="230"/>
      <c r="BW3" s="230"/>
      <c r="BX3" s="227"/>
      <c r="BY3" s="57"/>
      <c r="BZ3" s="209"/>
      <c r="CA3" s="208"/>
      <c r="CC3" s="210"/>
      <c r="CD3" s="211"/>
      <c r="CE3" s="208"/>
    </row>
    <row r="4" spans="1:106" ht="25.25" customHeight="1" thickTop="1" thickBot="1" x14ac:dyDescent="0.55000000000000004">
      <c r="A4" s="109"/>
      <c r="B4" s="10"/>
      <c r="C4" s="10"/>
      <c r="D4" s="11"/>
      <c r="E4" s="10"/>
      <c r="F4" s="10"/>
      <c r="G4" s="19"/>
      <c r="H4" s="19"/>
      <c r="I4" s="19"/>
      <c r="J4" s="19"/>
      <c r="K4" s="10"/>
      <c r="L4" s="10"/>
      <c r="M4" s="10"/>
      <c r="N4" s="10"/>
      <c r="O4" s="18"/>
      <c r="P4" s="18"/>
      <c r="Q4" s="20"/>
      <c r="R4" s="20"/>
      <c r="S4" s="16">
        <f t="shared" ref="S4:S67" si="0">IF(AND(K4="asphalted",M4="sub",BV4&lt;=1,BV4&gt;0),1+2*0.15,IF(AND(K4="asphalted",OR(M4="main",M4="MOT"),BV4&lt;=1,BV4&gt;0),1+2*0.3,IF(AND(K4="asphalted",M4="sub",BV4&gt;1),BV4+2*0.15,IF(AND(K4="asphalted",OR(M4="main",M4="MOT"),BV4&gt;1),BV4+2*0.3,0))))</f>
        <v>0</v>
      </c>
      <c r="T4" s="11"/>
      <c r="V4" s="8" t="s">
        <v>561</v>
      </c>
      <c r="W4" s="179"/>
      <c r="AG4" s="31" t="s">
        <v>232</v>
      </c>
      <c r="AM4" s="31" t="s">
        <v>155</v>
      </c>
      <c r="AP4" s="31" t="s">
        <v>283</v>
      </c>
      <c r="AQ4" s="31" t="s">
        <v>283</v>
      </c>
      <c r="AR4" s="31" t="s">
        <v>149</v>
      </c>
      <c r="AS4" s="31">
        <f t="shared" ref="AS4:AS67" si="1">IF(F4=1,0.4,IF(F4&gt;1,F4*0.3,0))</f>
        <v>0</v>
      </c>
      <c r="AT4" s="31">
        <f t="shared" ref="AT4:AT67" si="2">IF(AND(G4&lt;4,G4&gt;0),0.4,IF(G4&gt;3,0.4+(G4-3)*0.1,0))</f>
        <v>0</v>
      </c>
      <c r="AU4" s="31">
        <f t="shared" ref="AU4:AU67" si="3">AT4-AS4</f>
        <v>0</v>
      </c>
      <c r="AV4" s="31">
        <f t="shared" ref="AV4:AV67" si="4">IF(AND(OR(OR(E4="normal",E4="special"),E4="special"),F4=0,G4&gt;0,G4&lt;5),"LV"&amp;G4,IF(AND(OR(OR(E4="normal",E4="special"),E4="special"),F4=0,G4&gt;4),"LVCU",IF(AND(OR(OR(E4="normal",E4="special"),E4="special"),F4&gt;4),"MVCU",IF(AND(OR(OR(E4="normal",E4="special"),E4="special"),F4&gt;0,F4&lt;5),"MV"&amp;F4,IF(AND(E4="mini-trench",F4=1),"mini-trench MV",IF(AND(E4="mini-trench",G4&lt;3,G4&lt;&gt;0),"mini-trench LV",0))))))</f>
        <v>0</v>
      </c>
      <c r="AW4" s="31">
        <f t="shared" ref="AW4:AW67" si="5">IF(B4="joint",F4,0)+IF(C4="joint",F4,0)+IF(OR(B4="new ss",B4="ss"),F4*3)+IF(B4="pole",F4*10)+IF(OR(C4="new ss",C4="ss"),F4*3)+IF(C4="pole",F4*10)+IF(B4="grid",F4*30)+IF(C4="grid",F4*30)</f>
        <v>0</v>
      </c>
      <c r="AX4" s="31">
        <f t="shared" ref="AX4:AX67" si="6">IF(J4&gt;0,IF(OR(B4="ss",C4="ss"),J4*3,0)+IF(OR(B4="new ss",C4="new ss"),J4*3,0)+IF(OR(B4="DC",C4="DC"),J4*1.5,0)+IF(OR(B4="new DC",C4="new DC"),J4*1.5,0)+IF(OR(B4="MB",C4="MB"),J4*2,0)+IF(OR(B4="pole",C4="pole"),J4*10,0),0)</f>
        <v>0</v>
      </c>
      <c r="AY4" s="31">
        <f t="shared" ref="AY4:AY67" si="7">IF(I4&gt;0,IF(OR(B4="ss",C4="ss"),I4*3,0)+IF(OR(B4="new ss",C4="new ss"),I4*3,0)+IF(OR(B4="DC",C4="DC"),I4*1.5,0)+IF(OR(B4="new DC",C4="new DC"),J4*1.5,0)+IF(OR(B4="MB",C4="MB"),I4*2,0)+IF(OR(B4="pole",C4="pole"),I4*10,0),0)</f>
        <v>0</v>
      </c>
      <c r="AZ4" s="31">
        <f t="shared" ref="AZ4:AZ67" si="8">IF(H4&gt;0,IF(OR(B4="ss",C4="ss"),H4*3,0)+IF(OR(B4="new ss",C4="new ss"),H4*3,0)+IF(OR(B4="DC",C4="DC"),H4*2,0)+IF(OR(B4="new DC",C4="new DC"),H4*1.5,0)+IF(OR(B4="MB",C4="MB"),H4*2,0)+IF(OR(B4="pole",C4="pole"),H4*10,0)+IF(OR(B4="pole",C4="pole"),H4*10,0),0)</f>
        <v>0</v>
      </c>
      <c r="BA4" s="31">
        <f t="shared" ref="BA4:BA67" si="9">IF(E4="manual",IF(AU4&lt;0,D4*AS4*0.8,IF(AND(AS4&gt;0,AU4&gt;0),D4*AS4*0.8+D4*AU4*0.65,IF(AND(AS4=0,AT4&gt;0),D4*AT4*0.65,0))),0)</f>
        <v>0</v>
      </c>
      <c r="BB4" s="31">
        <f>IFERROR(IF(BN4&gt;0,0,IF(AND(E4="normal",(BR4/D4)&gt;1),BR4,0)),0)</f>
        <v>0</v>
      </c>
      <c r="BD4" s="31"/>
      <c r="BE4" s="62"/>
      <c r="BL4" s="183"/>
      <c r="BM4" s="8">
        <f>IF(AND(E4&lt;&gt;"special",K4="Concrete"),D4*BV4,IF(AND(E4="special",K4="Concrete"),D4*O4,0))</f>
        <v>0</v>
      </c>
      <c r="BN4" s="8">
        <f t="shared" ref="BN4:BN67" si="10">IFERROR(IF(AND(K4="asphalted",E4="mini-trench",R4=""),1*D4,IF(AND(K4="asphalted",R4&gt;0,MandRcalc="Complete M&amp;R area"),R4*D4,IF(AND(K4="asphalted",R4&gt;0,MandRcalc="M&amp;R area - asphalting area"),(R4-BR4/D4)*D4,0))),0)</f>
        <v>0</v>
      </c>
      <c r="BO4" s="8">
        <f t="shared" ref="BO4:BO67" si="11">IF(BQ4&lt;MINEXCNA,0,IF(AND(E4="normal",F4&lt;5,G4&lt;12,K4&lt;&gt;"asphalted",AT4&gt;AS4,AS4&lt;&gt;0),(BQ4-AT4)*0.65,IF(AND(E4="normal",F4&lt;5,G4&lt;12,K4&lt;&gt;"asphalted",AS4&gt;=AT4),(BQ4-AS4)*0.8,IF(AND(E4="normal",F4&lt;5,G4&lt;12,K4&lt;&gt;"asphalted",AT4&gt;0,AS4=0),(BQ4-AT4)*0.65,0)))*D4)</f>
        <v>0</v>
      </c>
      <c r="BQ4" s="8">
        <f t="shared" ref="BQ4:BQ67" si="12">IF(E4="special",O4,IF(AND(OR(E4="normal",E4="manual"),O4="",K4="asphalted",BV4&lt;=MINEXC),MINEXC,IF(AND(OR(E4="normal",E4="manual"),O4&lt;&gt;"",K4="asphalted"),MIN(O4,BV4),IF(AND(OR(E4="normal",E4="manual"),O4="",K4&lt;&gt;"asphalted",BV4&lt;=MINEXCNA),MINEXCNA,IF(AND(OR(E4="normal",E4="manual"),O4&lt;&gt;"",K4&lt;&gt;"asphalted"),MIN(O4,BV4),BV4)))))</f>
        <v>0</v>
      </c>
      <c r="BR4" s="63">
        <f t="shared" ref="BR4:BR67" si="13">IFERROR(IF(AND(E4&lt;&gt;"mini-trecnh",K4="asphalted",Q4&lt;&gt;"",S4=0),D4*Q4,IF(AND(E4&lt;&gt;"mini-trecnh",K4="asphalted",Q4&lt;&gt;"",S4&lt;&gt;0),D4*MIN(Q4,S4),IF(AND(E4&lt;&gt;"mini-trecnh",K4="asphalted",Q4=""),D4*S4,0))),0)</f>
        <v>0</v>
      </c>
      <c r="BS4" s="63">
        <f>BN4 + IF(BN4&gt;0,IF(R3=0, R4, 0) + IF(R5=0, R4, 0),0)</f>
        <v>0</v>
      </c>
      <c r="BT4" s="63">
        <f t="shared" ref="BT4:BT67" si="14">IF(BQ4&lt;MINEXC,0,IF(AND(E4="normal",F4&lt;5,G4&lt;12,K4="asphalted",AT4&gt;AS4,AS4&lt;&gt;0),(BQ4-AT4)*0.65,IF(AND(E4="normal",F4&lt;5,G4&lt;12,K4="asphalted",AS4&gt;=AT4),(BQ4-AS4)*0.8,IF(AND(E4="normal",F4&lt;5,G4&lt;12,K4="asphalted",AT4&gt;0,AS4=0),(BQ4-AT4)*0.65,0)))*D4)</f>
        <v>0</v>
      </c>
      <c r="BU4" s="63">
        <f t="shared" ref="BU4:BU67" si="15">IF(E4="",0,IF(OR(BT4&gt;0,BO4&gt;0),0,IF(AND(F4&gt;4,G4=0),(BQ4-1.2)*D4*0.8,IF(AND(G4&gt;4,F4=0),(BQ4-0.4)*D4*0.65,IF(OR(AND(G4&gt;4,F4&gt;0),AND(F4&gt;4,G4&gt;0)),(IF(AS4&gt;1.2,(AS4-1.2)*D4*0.8,0)+IF(AT4&gt;AS4,(AT4-AS4)*D4*0.65,0)),0)))))</f>
        <v>0</v>
      </c>
      <c r="BV4" s="57">
        <f t="shared" ref="BV4:BV67" si="16">IF(AND(E4&lt;&gt;"mini-trench",E4&lt;&gt;"special"),MAX(AS4:AT4),0)</f>
        <v>0</v>
      </c>
      <c r="BW4" s="57">
        <f t="shared" ref="BW4:BW67" si="17">IF(AND(E4&lt;&gt;"mini-trench",E4&lt;&gt;"special",BV4&gt;0,BV4&lt;1,K4="asphalted"),IF(O4&lt;&gt;"",MIN(O4,1),1),IF(AND(E4&lt;&gt;"mini-trench",E4&lt;&gt;"special",BV4&gt;0,BV4&gt;1,K4="asphalted"),BV4,0))</f>
        <v>0</v>
      </c>
      <c r="BX4" s="57">
        <f>IF(AND(K4="asphalted",R4&gt;0,MandRcalc="Asphalting then M&amp;R"),R4*D4,IF(AND(K4="asphalted",R4&gt;0,MandRcalc="Milling then Repaving"),(R4-BR4/D4)*D4,0))</f>
        <v>0</v>
      </c>
      <c r="BY4" s="57">
        <f>IF(AND(OR(N4="PIPES"),K4=""),D4*(F4+G4),0)</f>
        <v>0</v>
      </c>
      <c r="BZ4" s="8">
        <f t="shared" ref="BZ4:BZ67" si="18">IF(E4="special",O4*P4*D4-D4*IF(AV4="MV1",0.8*0.4,IF(AV4="MV2",0.8*0.6,IF(AV4="MV3",0.8*0.9,IF(OR(AV4="MV4",AV4="MVCU"),0.8*1.2,IF(AV4="LV1-3",0.65*0.4,IF(OR(AV4="LV4",AV4="LVCU"),0.65*0.5)))))),0)</f>
        <v>0</v>
      </c>
      <c r="CA4" s="8">
        <f t="shared" ref="CA4:CA67" si="19">IF(AND(E4&lt;&gt;"special",K4="Paved interlock"),D4*BV4,IF(AND(E4="special",K4="Paved interlock"),D4*O4,0))</f>
        <v>0</v>
      </c>
      <c r="CB4" s="8">
        <f t="shared" ref="CB4:CB67" si="20">IF(AND(E4&lt;&gt;"special",K4="Paved conc.tiles"),D4*BV4,IF(AND(E4="special",K4="Paved conc.tiles"),D4*O4,0))</f>
        <v>0</v>
      </c>
      <c r="CC4" s="8">
        <f t="shared" ref="CC4:CC67" si="21">IF(AND(E4="special",K4="asphalted"),D4*Q4,0)</f>
        <v>0</v>
      </c>
      <c r="CD4" s="8">
        <f t="shared" ref="CD4:CD67" si="22">IF(OR(K4="Paved interlock",K4="Paved conc.tiles"),1,0)</f>
        <v>0</v>
      </c>
      <c r="CE4" s="8">
        <f t="shared" ref="CE4:CE67" si="23">IFERROR(BR4/D4,0)</f>
        <v>0</v>
      </c>
      <c r="CF4" s="8">
        <f t="shared" ref="CF4:CF67" si="24">IF(AND(F4&gt;0,B4="j transition"),F4,0)+IF(AND(F4&gt;0,C4="j transition"),F4,0)</f>
        <v>0</v>
      </c>
      <c r="CG4" s="8">
        <f t="shared" ref="CG4:CG67" si="25">IF(AND(F4&gt;0,OR(B4="grid",B4="ss",B4="pole",B4="new ss")),F4,0)+IF(AND(F4&gt;0,OR(C4="grid",C4="ss",C4="pole",C4="new ss")),F4,0)</f>
        <v>0</v>
      </c>
      <c r="CH4" s="8">
        <f t="shared" ref="CH4:CH67" si="26">IF(AND(F4&gt;0,B4="joint"),F4,0)+IF(AND(F4&gt;0,C4="joint"),F4,0)+IF(AND(F4&gt;0,B4="j transition"),F4,0)+IF(AND(F4&gt;0,C4="j transition"),F4,0)</f>
        <v>0</v>
      </c>
      <c r="CI4" s="8">
        <f t="shared" ref="CI4:CI67" si="27">IF(AND(H4&gt;0,B4="joint"),H4,0)+IF(AND(H4&gt;0,C4="joint"),H4,0)</f>
        <v>0</v>
      </c>
      <c r="CJ4" s="8">
        <f t="shared" ref="CJ4:CJ67" si="28">IF(AND(I4&gt;0,B4="joint"),I4,0)+IF(AND(I4&gt;0,C4="joint"),I4,0)</f>
        <v>0</v>
      </c>
      <c r="CK4" s="8">
        <f t="shared" ref="CK4:CK67" si="29">IF(AND(J4&gt;0,B4="joint"),J4,0)+IF(AND(J4&gt;0,C4="joint"),J4,0)</f>
        <v>0</v>
      </c>
      <c r="CL4" s="8">
        <f t="shared" ref="CL4:CL67" si="30">IF(AND(H4&gt;0,OR(B4="ss",B4="new ss",B4="DC",B4="new DC")),H4,0)+IF(AND(H4&gt;0,OR(C4="new ss",C4="ss",C4="DC",C4="new DC")),H4,0)</f>
        <v>0</v>
      </c>
      <c r="CM4" s="8">
        <f t="shared" ref="CM4:CM67" si="31">CO4+CP4</f>
        <v>0</v>
      </c>
      <c r="CN4" s="8">
        <f t="shared" ref="CN4:CN67" si="32">IF(OR(B4="new DC",C4="new DC"),H4,0)</f>
        <v>0</v>
      </c>
      <c r="CO4" s="8">
        <f t="shared" ref="CO4:CO67" si="33">IF(AND(J4&gt;0,OR(B4="ss",B4="new ss",B4="DC",B4="new DC")),J4,0)+IF(AND(J4&gt;0,OR(C4="new ss",C4="ss",C4="DC",C4="new DC")),J4,0)</f>
        <v>0</v>
      </c>
      <c r="CP4" s="8">
        <f t="shared" ref="CP4:CP67" si="34">IF(AND(I4&gt;0,OR(B4="ss",B4="new ss",B4="DC",B4="new DC")),I4,0)+IF(AND(I4&gt;0,OR(C4="new ss",C4="ss",C4="DC",C4="new DC")),I4,0)</f>
        <v>0</v>
      </c>
      <c r="CQ4" s="8">
        <f t="shared" ref="CQ4:CQ67" si="35">IF(AND(F4&gt;0,OR(B4="ss",B4="new ss")),F4,0)+IF(AND(F4&gt;0,OR(C4="ss",C4="new ss")),F4,0)</f>
        <v>0</v>
      </c>
      <c r="CR4" s="8">
        <f t="shared" ref="CR4:CR67" si="36">IF(AND(F4&gt;0,OR(B4="grid")),F4,0)+IF(AND(F4&gt;0,OR(C4="grid")),F4,0)</f>
        <v>0</v>
      </c>
      <c r="CS4" s="8">
        <f t="shared" ref="CS4:CS67" si="37">IF(AND(F4&gt;0,OR(B4="pole")),F4,0)+IF(AND(F4&gt;0,OR(C4="pole")),F4,0)</f>
        <v>0</v>
      </c>
      <c r="CT4" s="8">
        <f t="shared" ref="CT4:CT11" si="38">IF(AND(J4&gt;0,OR(B4="MB",B4="new MB")),J4,0)+IF(AND(J4&gt;0,OR(C4="MB",C4="new MB")),J4,0)*4</f>
        <v>0</v>
      </c>
      <c r="CU4" s="8">
        <f t="shared" ref="CU4:CU11" si="39">IF(AND(I4&gt;0,OR(B4="MB",B4="new MB")),I4,0)+IF(AND(I4&gt;0,OR(C4="MB",C4="new MB")),I4,0)*4</f>
        <v>0</v>
      </c>
      <c r="CV4" s="8">
        <f t="shared" ref="CV4:CV11" si="40">IF(AND(H4&gt;0,OR(B4="MB",B4="new MB")),H4,0)+IF(AND(H4&gt;0,OR(C4="MB",C4="new MB")),H4,0)*4</f>
        <v>0</v>
      </c>
      <c r="CW4" s="76" t="s">
        <v>299</v>
      </c>
      <c r="CX4" s="76" t="s">
        <v>300</v>
      </c>
      <c r="CY4" s="76" t="s">
        <v>433</v>
      </c>
      <c r="CZ4" s="76" t="s">
        <v>301</v>
      </c>
      <c r="DA4" s="74"/>
      <c r="DB4" s="74"/>
    </row>
    <row r="5" spans="1:106" ht="25.25" customHeight="1" thickTop="1" thickBot="1" x14ac:dyDescent="0.55000000000000004">
      <c r="A5" s="32"/>
      <c r="B5" s="10"/>
      <c r="C5" s="10"/>
      <c r="D5" s="11"/>
      <c r="E5" s="10"/>
      <c r="F5" s="10"/>
      <c r="G5" s="19"/>
      <c r="H5" s="19"/>
      <c r="I5" s="19"/>
      <c r="J5" s="19"/>
      <c r="K5" s="10"/>
      <c r="L5" s="10"/>
      <c r="M5" s="10"/>
      <c r="N5" s="10"/>
      <c r="O5" s="18"/>
      <c r="P5" s="18"/>
      <c r="Q5" s="20"/>
      <c r="R5" s="20"/>
      <c r="S5" s="16">
        <f t="shared" si="0"/>
        <v>0</v>
      </c>
      <c r="T5" s="11"/>
      <c r="V5" s="8" t="s">
        <v>560</v>
      </c>
      <c r="AG5" s="31" t="s">
        <v>233</v>
      </c>
      <c r="AP5" s="31" t="s">
        <v>13</v>
      </c>
      <c r="AQ5" s="31" t="s">
        <v>13</v>
      </c>
      <c r="AR5" s="31" t="s">
        <v>227</v>
      </c>
      <c r="AS5" s="31">
        <f t="shared" si="1"/>
        <v>0</v>
      </c>
      <c r="AT5" s="31">
        <f t="shared" si="2"/>
        <v>0</v>
      </c>
      <c r="AU5" s="31">
        <f t="shared" si="3"/>
        <v>0</v>
      </c>
      <c r="AV5" s="31">
        <f t="shared" si="4"/>
        <v>0</v>
      </c>
      <c r="AW5" s="31">
        <f t="shared" si="5"/>
        <v>0</v>
      </c>
      <c r="AX5" s="31">
        <f t="shared" si="6"/>
        <v>0</v>
      </c>
      <c r="AY5" s="31">
        <f t="shared" si="7"/>
        <v>0</v>
      </c>
      <c r="AZ5" s="31">
        <f t="shared" si="8"/>
        <v>0</v>
      </c>
      <c r="BA5" s="31">
        <f t="shared" si="9"/>
        <v>0</v>
      </c>
      <c r="BB5" s="31">
        <f t="shared" ref="BB5:BB68" si="41">IFERROR(IF(BN5&gt;0,0,IF(AND(E5="normal",(BR5/D5)&gt;1),BR5,0)),0)</f>
        <v>0</v>
      </c>
      <c r="BD5" s="31"/>
      <c r="BE5" s="62"/>
      <c r="BL5" s="183"/>
      <c r="BM5" s="8">
        <f t="shared" ref="BM5:BM68" si="42">IF(AND(E5&lt;&gt;"special",K5="Concrete"),D5*BV5,IF(AND(E5="special",K5="Concrete"),D5*O5,0))</f>
        <v>0</v>
      </c>
      <c r="BN5" s="8">
        <f t="shared" si="10"/>
        <v>0</v>
      </c>
      <c r="BO5" s="8">
        <f t="shared" si="11"/>
        <v>0</v>
      </c>
      <c r="BQ5" s="8">
        <f t="shared" si="12"/>
        <v>0</v>
      </c>
      <c r="BR5" s="63">
        <f t="shared" si="13"/>
        <v>0</v>
      </c>
      <c r="BS5" s="63">
        <f t="shared" ref="BS5:BS68" si="43">BN5 + IF(BN5&gt;0,IF(R4=0, R5, 0) + IF(R6=0, R5, 0),0)</f>
        <v>0</v>
      </c>
      <c r="BT5" s="63">
        <f t="shared" si="14"/>
        <v>0</v>
      </c>
      <c r="BU5" s="63">
        <f t="shared" si="15"/>
        <v>0</v>
      </c>
      <c r="BV5" s="57">
        <f t="shared" si="16"/>
        <v>0</v>
      </c>
      <c r="BW5" s="57">
        <f t="shared" si="17"/>
        <v>0</v>
      </c>
      <c r="BX5" s="57">
        <f t="shared" ref="BX5:BX68" si="44">IF(AND(R5&gt;0,MandRcalc="Asphalting then M&amp;R"),R5*D5,IF(AND(R5&gt;0,MandRcalc="Milling then Repaving"),(R5-BR5)*D5,0))</f>
        <v>0</v>
      </c>
      <c r="BY5" s="57">
        <f t="shared" ref="BY5:BY27" si="45">IF(AND(OR(N5="YES",N5="HDD",N5="EX PIPES"),K5=""),D5*(F5+G5),0)</f>
        <v>0</v>
      </c>
      <c r="BZ5" s="8">
        <f t="shared" si="18"/>
        <v>0</v>
      </c>
      <c r="CA5" s="8">
        <f t="shared" si="19"/>
        <v>0</v>
      </c>
      <c r="CB5" s="8">
        <f t="shared" si="20"/>
        <v>0</v>
      </c>
      <c r="CC5" s="8">
        <f t="shared" si="21"/>
        <v>0</v>
      </c>
      <c r="CD5" s="8">
        <f t="shared" si="22"/>
        <v>0</v>
      </c>
      <c r="CE5" s="8">
        <f t="shared" si="23"/>
        <v>0</v>
      </c>
      <c r="CF5" s="8">
        <f t="shared" si="24"/>
        <v>0</v>
      </c>
      <c r="CG5" s="8">
        <f t="shared" si="25"/>
        <v>0</v>
      </c>
      <c r="CH5" s="8">
        <f t="shared" si="26"/>
        <v>0</v>
      </c>
      <c r="CI5" s="8">
        <f t="shared" si="27"/>
        <v>0</v>
      </c>
      <c r="CJ5" s="8">
        <f t="shared" si="28"/>
        <v>0</v>
      </c>
      <c r="CK5" s="8">
        <f t="shared" si="29"/>
        <v>0</v>
      </c>
      <c r="CL5" s="8">
        <f t="shared" si="30"/>
        <v>0</v>
      </c>
      <c r="CM5" s="8">
        <f t="shared" si="31"/>
        <v>0</v>
      </c>
      <c r="CN5" s="8">
        <f t="shared" si="32"/>
        <v>0</v>
      </c>
      <c r="CO5" s="8">
        <f t="shared" si="33"/>
        <v>0</v>
      </c>
      <c r="CP5" s="8">
        <f t="shared" si="34"/>
        <v>0</v>
      </c>
      <c r="CQ5" s="8">
        <f t="shared" si="35"/>
        <v>0</v>
      </c>
      <c r="CR5" s="8">
        <f t="shared" si="36"/>
        <v>0</v>
      </c>
      <c r="CS5" s="8">
        <f t="shared" si="37"/>
        <v>0</v>
      </c>
      <c r="CT5" s="8">
        <f t="shared" si="38"/>
        <v>0</v>
      </c>
      <c r="CU5" s="8">
        <f t="shared" si="39"/>
        <v>0</v>
      </c>
      <c r="CV5" s="8">
        <f t="shared" si="40"/>
        <v>0</v>
      </c>
      <c r="CW5" s="75">
        <v>1010101007</v>
      </c>
      <c r="CX5" s="75">
        <f>$AH$44</f>
        <v>0</v>
      </c>
      <c r="CY5" s="75" t="s">
        <v>90</v>
      </c>
      <c r="CZ5" s="74" t="s">
        <v>375</v>
      </c>
      <c r="DA5" s="74"/>
      <c r="DB5" s="74"/>
    </row>
    <row r="6" spans="1:106" ht="25.25" customHeight="1" thickTop="1" thickBot="1" x14ac:dyDescent="0.55000000000000004">
      <c r="A6" s="32"/>
      <c r="B6" s="10"/>
      <c r="C6" s="10"/>
      <c r="D6" s="11"/>
      <c r="E6" s="10"/>
      <c r="F6" s="10"/>
      <c r="G6" s="19"/>
      <c r="H6" s="19"/>
      <c r="I6" s="19"/>
      <c r="J6" s="19"/>
      <c r="K6" s="10"/>
      <c r="L6" s="10"/>
      <c r="M6" s="10"/>
      <c r="N6" s="10"/>
      <c r="O6" s="18"/>
      <c r="P6" s="18"/>
      <c r="Q6" s="20"/>
      <c r="R6" s="20"/>
      <c r="S6" s="16">
        <f t="shared" si="0"/>
        <v>0</v>
      </c>
      <c r="T6" s="11"/>
      <c r="V6" s="8" t="s">
        <v>672</v>
      </c>
      <c r="W6" s="176"/>
      <c r="AG6" s="31" t="s">
        <v>698</v>
      </c>
      <c r="AP6" s="31" t="s">
        <v>102</v>
      </c>
      <c r="AQ6" s="31" t="s">
        <v>102</v>
      </c>
      <c r="AR6" s="31"/>
      <c r="AS6" s="31">
        <f t="shared" si="1"/>
        <v>0</v>
      </c>
      <c r="AT6" s="31">
        <f t="shared" si="2"/>
        <v>0</v>
      </c>
      <c r="AU6" s="31">
        <f t="shared" si="3"/>
        <v>0</v>
      </c>
      <c r="AV6" s="31">
        <f t="shared" si="4"/>
        <v>0</v>
      </c>
      <c r="AW6" s="31">
        <f t="shared" si="5"/>
        <v>0</v>
      </c>
      <c r="AX6" s="31">
        <f t="shared" si="6"/>
        <v>0</v>
      </c>
      <c r="AY6" s="31">
        <f t="shared" si="7"/>
        <v>0</v>
      </c>
      <c r="AZ6" s="31">
        <f t="shared" si="8"/>
        <v>0</v>
      </c>
      <c r="BA6" s="31">
        <f t="shared" si="9"/>
        <v>0</v>
      </c>
      <c r="BB6" s="31">
        <f t="shared" si="41"/>
        <v>0</v>
      </c>
      <c r="BD6" s="31"/>
      <c r="BE6" s="62"/>
      <c r="BL6" s="183"/>
      <c r="BM6" s="8">
        <f t="shared" si="42"/>
        <v>0</v>
      </c>
      <c r="BN6" s="8">
        <f t="shared" si="10"/>
        <v>0</v>
      </c>
      <c r="BO6" s="8">
        <f t="shared" si="11"/>
        <v>0</v>
      </c>
      <c r="BQ6" s="8">
        <f t="shared" si="12"/>
        <v>0</v>
      </c>
      <c r="BR6" s="63">
        <f t="shared" si="13"/>
        <v>0</v>
      </c>
      <c r="BS6" s="63">
        <f t="shared" si="43"/>
        <v>0</v>
      </c>
      <c r="BT6" s="63">
        <f t="shared" si="14"/>
        <v>0</v>
      </c>
      <c r="BU6" s="63">
        <f t="shared" si="15"/>
        <v>0</v>
      </c>
      <c r="BV6" s="57">
        <f t="shared" si="16"/>
        <v>0</v>
      </c>
      <c r="BW6" s="57">
        <f t="shared" si="17"/>
        <v>0</v>
      </c>
      <c r="BX6" s="57">
        <f t="shared" si="44"/>
        <v>0</v>
      </c>
      <c r="BY6" s="57">
        <f t="shared" si="45"/>
        <v>0</v>
      </c>
      <c r="BZ6" s="8">
        <f t="shared" si="18"/>
        <v>0</v>
      </c>
      <c r="CA6" s="8">
        <f t="shared" si="19"/>
        <v>0</v>
      </c>
      <c r="CB6" s="8">
        <f t="shared" si="20"/>
        <v>0</v>
      </c>
      <c r="CC6" s="8">
        <f t="shared" si="21"/>
        <v>0</v>
      </c>
      <c r="CD6" s="8">
        <f t="shared" si="22"/>
        <v>0</v>
      </c>
      <c r="CE6" s="8">
        <f t="shared" si="23"/>
        <v>0</v>
      </c>
      <c r="CF6" s="8">
        <f t="shared" si="24"/>
        <v>0</v>
      </c>
      <c r="CG6" s="8">
        <f t="shared" si="25"/>
        <v>0</v>
      </c>
      <c r="CH6" s="8">
        <f t="shared" si="26"/>
        <v>0</v>
      </c>
      <c r="CI6" s="8">
        <f t="shared" si="27"/>
        <v>0</v>
      </c>
      <c r="CJ6" s="8">
        <f t="shared" si="28"/>
        <v>0</v>
      </c>
      <c r="CK6" s="8">
        <f t="shared" si="29"/>
        <v>0</v>
      </c>
      <c r="CL6" s="8">
        <f t="shared" si="30"/>
        <v>0</v>
      </c>
      <c r="CM6" s="8">
        <f t="shared" si="31"/>
        <v>0</v>
      </c>
      <c r="CN6" s="8">
        <f t="shared" si="32"/>
        <v>0</v>
      </c>
      <c r="CO6" s="8">
        <f t="shared" si="33"/>
        <v>0</v>
      </c>
      <c r="CP6" s="8">
        <f t="shared" si="34"/>
        <v>0</v>
      </c>
      <c r="CQ6" s="8">
        <f t="shared" si="35"/>
        <v>0</v>
      </c>
      <c r="CR6" s="8">
        <f t="shared" si="36"/>
        <v>0</v>
      </c>
      <c r="CS6" s="8">
        <f t="shared" si="37"/>
        <v>0</v>
      </c>
      <c r="CT6" s="8">
        <f t="shared" si="38"/>
        <v>0</v>
      </c>
      <c r="CU6" s="8">
        <f t="shared" si="39"/>
        <v>0</v>
      </c>
      <c r="CV6" s="8">
        <f t="shared" si="40"/>
        <v>0</v>
      </c>
      <c r="CW6" s="75">
        <v>1010101006</v>
      </c>
      <c r="CX6" s="75">
        <f>SUMPRODUCT(I4:I1500,D4:D1500)+SUM(AY4:AY1500)</f>
        <v>0</v>
      </c>
      <c r="CY6" s="75" t="s">
        <v>90</v>
      </c>
      <c r="CZ6" s="74" t="s">
        <v>376</v>
      </c>
      <c r="DA6" s="74"/>
      <c r="DB6" s="74"/>
    </row>
    <row r="7" spans="1:106" ht="25.25" customHeight="1" thickTop="1" thickBot="1" x14ac:dyDescent="0.55000000000000004">
      <c r="A7" s="32"/>
      <c r="B7" s="10"/>
      <c r="C7" s="10"/>
      <c r="D7" s="11"/>
      <c r="E7" s="10"/>
      <c r="F7" s="10"/>
      <c r="G7" s="19"/>
      <c r="H7" s="19"/>
      <c r="I7" s="19"/>
      <c r="J7" s="19"/>
      <c r="K7" s="10"/>
      <c r="L7" s="10"/>
      <c r="M7" s="10"/>
      <c r="N7" s="10"/>
      <c r="O7" s="18"/>
      <c r="P7" s="18"/>
      <c r="Q7" s="20"/>
      <c r="R7" s="20"/>
      <c r="S7" s="16">
        <f t="shared" si="0"/>
        <v>0</v>
      </c>
      <c r="T7" s="11"/>
      <c r="V7" s="8" t="s">
        <v>712</v>
      </c>
      <c r="AP7" s="31" t="s">
        <v>11</v>
      </c>
      <c r="AQ7" s="31" t="s">
        <v>11</v>
      </c>
      <c r="AR7" s="31"/>
      <c r="AS7" s="31">
        <f t="shared" si="1"/>
        <v>0</v>
      </c>
      <c r="AT7" s="31">
        <f t="shared" si="2"/>
        <v>0</v>
      </c>
      <c r="AU7" s="31">
        <f t="shared" si="3"/>
        <v>0</v>
      </c>
      <c r="AV7" s="31">
        <f t="shared" si="4"/>
        <v>0</v>
      </c>
      <c r="AW7" s="31">
        <f t="shared" si="5"/>
        <v>0</v>
      </c>
      <c r="AX7" s="31">
        <f t="shared" si="6"/>
        <v>0</v>
      </c>
      <c r="AY7" s="31">
        <f t="shared" si="7"/>
        <v>0</v>
      </c>
      <c r="AZ7" s="31">
        <f t="shared" si="8"/>
        <v>0</v>
      </c>
      <c r="BA7" s="31">
        <f t="shared" si="9"/>
        <v>0</v>
      </c>
      <c r="BB7" s="31">
        <f t="shared" si="41"/>
        <v>0</v>
      </c>
      <c r="BD7" s="31"/>
      <c r="BE7" s="62"/>
      <c r="BL7" s="183"/>
      <c r="BM7" s="8">
        <f t="shared" si="42"/>
        <v>0</v>
      </c>
      <c r="BN7" s="8">
        <f t="shared" si="10"/>
        <v>0</v>
      </c>
      <c r="BO7" s="8">
        <f t="shared" si="11"/>
        <v>0</v>
      </c>
      <c r="BQ7" s="8">
        <f t="shared" si="12"/>
        <v>0</v>
      </c>
      <c r="BR7" s="63">
        <f t="shared" si="13"/>
        <v>0</v>
      </c>
      <c r="BS7" s="63">
        <f t="shared" si="43"/>
        <v>0</v>
      </c>
      <c r="BT7" s="63">
        <f t="shared" si="14"/>
        <v>0</v>
      </c>
      <c r="BU7" s="63">
        <f t="shared" si="15"/>
        <v>0</v>
      </c>
      <c r="BV7" s="57">
        <f t="shared" si="16"/>
        <v>0</v>
      </c>
      <c r="BW7" s="57">
        <f t="shared" si="17"/>
        <v>0</v>
      </c>
      <c r="BX7" s="57">
        <f t="shared" si="44"/>
        <v>0</v>
      </c>
      <c r="BY7" s="57">
        <f t="shared" si="45"/>
        <v>0</v>
      </c>
      <c r="BZ7" s="8">
        <f t="shared" si="18"/>
        <v>0</v>
      </c>
      <c r="CA7" s="8">
        <f t="shared" si="19"/>
        <v>0</v>
      </c>
      <c r="CB7" s="8">
        <f t="shared" si="20"/>
        <v>0</v>
      </c>
      <c r="CC7" s="8">
        <f t="shared" si="21"/>
        <v>0</v>
      </c>
      <c r="CD7" s="8">
        <f t="shared" si="22"/>
        <v>0</v>
      </c>
      <c r="CE7" s="8">
        <f t="shared" si="23"/>
        <v>0</v>
      </c>
      <c r="CF7" s="8">
        <f t="shared" si="24"/>
        <v>0</v>
      </c>
      <c r="CG7" s="8">
        <f t="shared" si="25"/>
        <v>0</v>
      </c>
      <c r="CH7" s="8">
        <f t="shared" si="26"/>
        <v>0</v>
      </c>
      <c r="CI7" s="8">
        <f t="shared" si="27"/>
        <v>0</v>
      </c>
      <c r="CJ7" s="8">
        <f t="shared" si="28"/>
        <v>0</v>
      </c>
      <c r="CK7" s="8">
        <f t="shared" si="29"/>
        <v>0</v>
      </c>
      <c r="CL7" s="8">
        <f t="shared" si="30"/>
        <v>0</v>
      </c>
      <c r="CM7" s="8">
        <f t="shared" si="31"/>
        <v>0</v>
      </c>
      <c r="CN7" s="8">
        <f t="shared" si="32"/>
        <v>0</v>
      </c>
      <c r="CO7" s="8">
        <f t="shared" si="33"/>
        <v>0</v>
      </c>
      <c r="CP7" s="8">
        <f t="shared" si="34"/>
        <v>0</v>
      </c>
      <c r="CQ7" s="8">
        <f t="shared" si="35"/>
        <v>0</v>
      </c>
      <c r="CR7" s="8">
        <f t="shared" si="36"/>
        <v>0</v>
      </c>
      <c r="CS7" s="8">
        <f t="shared" si="37"/>
        <v>0</v>
      </c>
      <c r="CT7" s="8">
        <f t="shared" si="38"/>
        <v>0</v>
      </c>
      <c r="CU7" s="8">
        <f t="shared" si="39"/>
        <v>0</v>
      </c>
      <c r="CV7" s="8">
        <f t="shared" si="40"/>
        <v>0</v>
      </c>
      <c r="CW7" s="75">
        <v>1010101005</v>
      </c>
      <c r="CX7" s="75">
        <f>SUMPRODUCT(J4:J1500,D4:D1500)+SUM(AX4:AX1500)</f>
        <v>0</v>
      </c>
      <c r="CY7" s="75" t="s">
        <v>90</v>
      </c>
      <c r="CZ7" s="74" t="s">
        <v>377</v>
      </c>
      <c r="DA7" s="74"/>
      <c r="DB7" s="74"/>
    </row>
    <row r="8" spans="1:106" ht="25.25" customHeight="1" thickTop="1" thickBot="1" x14ac:dyDescent="0.55000000000000004">
      <c r="A8" s="109"/>
      <c r="B8" s="10"/>
      <c r="C8" s="10"/>
      <c r="D8" s="11"/>
      <c r="E8" s="10"/>
      <c r="F8" s="10"/>
      <c r="G8" s="19"/>
      <c r="H8" s="19"/>
      <c r="I8" s="19"/>
      <c r="J8" s="19"/>
      <c r="K8" s="10"/>
      <c r="L8" s="10"/>
      <c r="M8" s="10"/>
      <c r="N8" s="10"/>
      <c r="O8" s="18"/>
      <c r="P8" s="18"/>
      <c r="Q8" s="20"/>
      <c r="R8" s="20"/>
      <c r="S8" s="16">
        <f t="shared" si="0"/>
        <v>0</v>
      </c>
      <c r="T8" s="11"/>
      <c r="AP8" s="31" t="s">
        <v>12</v>
      </c>
      <c r="AQ8" s="31" t="s">
        <v>12</v>
      </c>
      <c r="AR8" s="31"/>
      <c r="AS8" s="31">
        <f t="shared" si="1"/>
        <v>0</v>
      </c>
      <c r="AT8" s="31">
        <f t="shared" si="2"/>
        <v>0</v>
      </c>
      <c r="AU8" s="31">
        <f t="shared" si="3"/>
        <v>0</v>
      </c>
      <c r="AV8" s="31">
        <f t="shared" si="4"/>
        <v>0</v>
      </c>
      <c r="AW8" s="31">
        <f t="shared" si="5"/>
        <v>0</v>
      </c>
      <c r="AX8" s="31">
        <f t="shared" si="6"/>
        <v>0</v>
      </c>
      <c r="AY8" s="31">
        <f t="shared" si="7"/>
        <v>0</v>
      </c>
      <c r="AZ8" s="31">
        <f t="shared" si="8"/>
        <v>0</v>
      </c>
      <c r="BA8" s="31">
        <f t="shared" si="9"/>
        <v>0</v>
      </c>
      <c r="BB8" s="31">
        <f t="shared" si="41"/>
        <v>0</v>
      </c>
      <c r="BC8" s="31"/>
      <c r="BE8" s="62"/>
      <c r="BL8" s="183"/>
      <c r="BM8" s="8">
        <f t="shared" si="42"/>
        <v>0</v>
      </c>
      <c r="BN8" s="8">
        <f t="shared" si="10"/>
        <v>0</v>
      </c>
      <c r="BO8" s="8">
        <f t="shared" si="11"/>
        <v>0</v>
      </c>
      <c r="BQ8" s="8">
        <f t="shared" si="12"/>
        <v>0</v>
      </c>
      <c r="BR8" s="63">
        <f t="shared" si="13"/>
        <v>0</v>
      </c>
      <c r="BS8" s="63">
        <f t="shared" si="43"/>
        <v>0</v>
      </c>
      <c r="BT8" s="63">
        <f t="shared" si="14"/>
        <v>0</v>
      </c>
      <c r="BU8" s="63">
        <f t="shared" si="15"/>
        <v>0</v>
      </c>
      <c r="BV8" s="57">
        <f t="shared" si="16"/>
        <v>0</v>
      </c>
      <c r="BW8" s="57">
        <f t="shared" si="17"/>
        <v>0</v>
      </c>
      <c r="BX8" s="57">
        <f t="shared" si="44"/>
        <v>0</v>
      </c>
      <c r="BY8" s="57">
        <f t="shared" si="45"/>
        <v>0</v>
      </c>
      <c r="BZ8" s="8">
        <f t="shared" si="18"/>
        <v>0</v>
      </c>
      <c r="CA8" s="8">
        <f t="shared" si="19"/>
        <v>0</v>
      </c>
      <c r="CB8" s="8">
        <f t="shared" si="20"/>
        <v>0</v>
      </c>
      <c r="CC8" s="8">
        <f t="shared" si="21"/>
        <v>0</v>
      </c>
      <c r="CD8" s="8">
        <f t="shared" si="22"/>
        <v>0</v>
      </c>
      <c r="CE8" s="8">
        <f t="shared" si="23"/>
        <v>0</v>
      </c>
      <c r="CF8" s="8">
        <f t="shared" si="24"/>
        <v>0</v>
      </c>
      <c r="CG8" s="8">
        <f t="shared" si="25"/>
        <v>0</v>
      </c>
      <c r="CH8" s="8">
        <f t="shared" si="26"/>
        <v>0</v>
      </c>
      <c r="CI8" s="8">
        <f t="shared" si="27"/>
        <v>0</v>
      </c>
      <c r="CJ8" s="8">
        <f t="shared" si="28"/>
        <v>0</v>
      </c>
      <c r="CK8" s="8">
        <f t="shared" si="29"/>
        <v>0</v>
      </c>
      <c r="CL8" s="8">
        <f t="shared" si="30"/>
        <v>0</v>
      </c>
      <c r="CM8" s="8">
        <f t="shared" si="31"/>
        <v>0</v>
      </c>
      <c r="CN8" s="8">
        <f t="shared" si="32"/>
        <v>0</v>
      </c>
      <c r="CO8" s="8">
        <f t="shared" si="33"/>
        <v>0</v>
      </c>
      <c r="CP8" s="8">
        <f t="shared" si="34"/>
        <v>0</v>
      </c>
      <c r="CQ8" s="8">
        <f t="shared" si="35"/>
        <v>0</v>
      </c>
      <c r="CR8" s="8">
        <f t="shared" si="36"/>
        <v>0</v>
      </c>
      <c r="CS8" s="8">
        <f t="shared" si="37"/>
        <v>0</v>
      </c>
      <c r="CT8" s="8">
        <f t="shared" si="38"/>
        <v>0</v>
      </c>
      <c r="CU8" s="8">
        <f t="shared" si="39"/>
        <v>0</v>
      </c>
      <c r="CV8" s="8">
        <f t="shared" si="40"/>
        <v>0</v>
      </c>
      <c r="CW8" s="75">
        <v>1010301001</v>
      </c>
      <c r="CX8" s="75">
        <f>SUM(CO4:CO1500)</f>
        <v>0</v>
      </c>
      <c r="CY8" s="75" t="s">
        <v>94</v>
      </c>
      <c r="CZ8" s="74" t="s">
        <v>310</v>
      </c>
      <c r="DA8" s="74"/>
      <c r="DB8" s="74"/>
    </row>
    <row r="9" spans="1:106" ht="25.25" customHeight="1" thickTop="1" thickBot="1" x14ac:dyDescent="0.55000000000000004">
      <c r="A9" s="32"/>
      <c r="B9" s="10"/>
      <c r="C9" s="10"/>
      <c r="D9" s="11"/>
      <c r="E9" s="10"/>
      <c r="F9" s="10"/>
      <c r="G9" s="19"/>
      <c r="H9" s="19"/>
      <c r="I9" s="19"/>
      <c r="J9" s="19"/>
      <c r="K9" s="10"/>
      <c r="L9" s="10"/>
      <c r="M9" s="10"/>
      <c r="N9" s="10"/>
      <c r="O9" s="18"/>
      <c r="P9" s="18"/>
      <c r="Q9" s="20"/>
      <c r="R9" s="20"/>
      <c r="S9" s="16">
        <f t="shared" si="0"/>
        <v>0</v>
      </c>
      <c r="T9" s="11"/>
      <c r="AP9" s="31" t="s">
        <v>50</v>
      </c>
      <c r="AQ9" s="31" t="s">
        <v>50</v>
      </c>
      <c r="AS9" s="31">
        <f t="shared" si="1"/>
        <v>0</v>
      </c>
      <c r="AT9" s="31">
        <f t="shared" si="2"/>
        <v>0</v>
      </c>
      <c r="AU9" s="31">
        <f t="shared" si="3"/>
        <v>0</v>
      </c>
      <c r="AV9" s="31">
        <f t="shared" si="4"/>
        <v>0</v>
      </c>
      <c r="AW9" s="31">
        <f t="shared" si="5"/>
        <v>0</v>
      </c>
      <c r="AX9" s="31">
        <f t="shared" si="6"/>
        <v>0</v>
      </c>
      <c r="AY9" s="31">
        <f t="shared" si="7"/>
        <v>0</v>
      </c>
      <c r="AZ9" s="31">
        <f t="shared" si="8"/>
        <v>0</v>
      </c>
      <c r="BA9" s="31">
        <f t="shared" si="9"/>
        <v>0</v>
      </c>
      <c r="BB9" s="31">
        <f t="shared" si="41"/>
        <v>0</v>
      </c>
      <c r="BC9" s="31"/>
      <c r="BE9" s="62"/>
      <c r="BL9" s="183"/>
      <c r="BM9" s="8">
        <f t="shared" si="42"/>
        <v>0</v>
      </c>
      <c r="BN9" s="8">
        <f t="shared" si="10"/>
        <v>0</v>
      </c>
      <c r="BO9" s="8">
        <f t="shared" si="11"/>
        <v>0</v>
      </c>
      <c r="BQ9" s="8">
        <f t="shared" si="12"/>
        <v>0</v>
      </c>
      <c r="BR9" s="63">
        <f t="shared" si="13"/>
        <v>0</v>
      </c>
      <c r="BS9" s="63">
        <f t="shared" si="43"/>
        <v>0</v>
      </c>
      <c r="BT9" s="63">
        <f t="shared" si="14"/>
        <v>0</v>
      </c>
      <c r="BU9" s="63">
        <f t="shared" si="15"/>
        <v>0</v>
      </c>
      <c r="BV9" s="57">
        <f t="shared" si="16"/>
        <v>0</v>
      </c>
      <c r="BW9" s="57">
        <f t="shared" si="17"/>
        <v>0</v>
      </c>
      <c r="BX9" s="57">
        <f t="shared" si="44"/>
        <v>0</v>
      </c>
      <c r="BY9" s="57">
        <f t="shared" si="45"/>
        <v>0</v>
      </c>
      <c r="BZ9" s="8">
        <f t="shared" si="18"/>
        <v>0</v>
      </c>
      <c r="CA9" s="8">
        <f t="shared" si="19"/>
        <v>0</v>
      </c>
      <c r="CB9" s="8">
        <f t="shared" si="20"/>
        <v>0</v>
      </c>
      <c r="CC9" s="8">
        <f t="shared" si="21"/>
        <v>0</v>
      </c>
      <c r="CD9" s="8">
        <f t="shared" si="22"/>
        <v>0</v>
      </c>
      <c r="CE9" s="8">
        <f t="shared" si="23"/>
        <v>0</v>
      </c>
      <c r="CF9" s="8">
        <f t="shared" si="24"/>
        <v>0</v>
      </c>
      <c r="CG9" s="8">
        <f t="shared" si="25"/>
        <v>0</v>
      </c>
      <c r="CH9" s="8">
        <f t="shared" si="26"/>
        <v>0</v>
      </c>
      <c r="CI9" s="8">
        <f t="shared" si="27"/>
        <v>0</v>
      </c>
      <c r="CJ9" s="8">
        <f t="shared" si="28"/>
        <v>0</v>
      </c>
      <c r="CK9" s="8">
        <f t="shared" si="29"/>
        <v>0</v>
      </c>
      <c r="CL9" s="8">
        <f t="shared" si="30"/>
        <v>0</v>
      </c>
      <c r="CM9" s="8">
        <f t="shared" si="31"/>
        <v>0</v>
      </c>
      <c r="CN9" s="8">
        <f t="shared" si="32"/>
        <v>0</v>
      </c>
      <c r="CO9" s="8">
        <f t="shared" si="33"/>
        <v>0</v>
      </c>
      <c r="CP9" s="8">
        <f t="shared" si="34"/>
        <v>0</v>
      </c>
      <c r="CQ9" s="8">
        <f t="shared" si="35"/>
        <v>0</v>
      </c>
      <c r="CR9" s="8">
        <f t="shared" si="36"/>
        <v>0</v>
      </c>
      <c r="CS9" s="8">
        <f t="shared" si="37"/>
        <v>0</v>
      </c>
      <c r="CT9" s="8">
        <f t="shared" si="38"/>
        <v>0</v>
      </c>
      <c r="CU9" s="8">
        <f t="shared" si="39"/>
        <v>0</v>
      </c>
      <c r="CV9" s="8">
        <f t="shared" si="40"/>
        <v>0</v>
      </c>
      <c r="CW9" s="75">
        <v>1010301002</v>
      </c>
      <c r="CX9" s="75">
        <f>SUM(CP4:CP1500)</f>
        <v>0</v>
      </c>
      <c r="CY9" s="75" t="s">
        <v>94</v>
      </c>
      <c r="CZ9" s="74" t="s">
        <v>311</v>
      </c>
      <c r="DA9" s="74"/>
      <c r="DB9" s="74"/>
    </row>
    <row r="10" spans="1:106" ht="25.25" customHeight="1" thickTop="1" thickBot="1" x14ac:dyDescent="0.55000000000000004">
      <c r="A10" s="32"/>
      <c r="B10" s="10"/>
      <c r="C10" s="10"/>
      <c r="D10" s="11"/>
      <c r="E10" s="10"/>
      <c r="F10" s="10"/>
      <c r="G10" s="19"/>
      <c r="H10" s="19"/>
      <c r="I10" s="19"/>
      <c r="J10" s="19"/>
      <c r="K10" s="10"/>
      <c r="L10" s="10"/>
      <c r="M10" s="10"/>
      <c r="N10" s="17"/>
      <c r="O10" s="18"/>
      <c r="P10" s="18"/>
      <c r="Q10" s="20"/>
      <c r="R10" s="20"/>
      <c r="S10" s="16">
        <f t="shared" si="0"/>
        <v>0</v>
      </c>
      <c r="T10" s="11"/>
      <c r="AE10" s="31">
        <f>COLUMN()</f>
        <v>31</v>
      </c>
      <c r="AF10" s="31">
        <f>COLUMN()</f>
        <v>32</v>
      </c>
      <c r="AG10" s="31">
        <f>COLUMN()</f>
        <v>33</v>
      </c>
      <c r="AH10" s="31">
        <f>COLUMN()</f>
        <v>34</v>
      </c>
      <c r="AI10" s="31">
        <f>COLUMN()</f>
        <v>35</v>
      </c>
      <c r="AJ10" s="31">
        <f>COLUMN()</f>
        <v>36</v>
      </c>
      <c r="AK10" s="31">
        <f>COLUMN()</f>
        <v>37</v>
      </c>
      <c r="AL10" s="31">
        <f>COLUMN()</f>
        <v>38</v>
      </c>
      <c r="AM10" s="31">
        <v>38</v>
      </c>
      <c r="AN10" s="31">
        <v>39</v>
      </c>
      <c r="AP10" s="8" t="s">
        <v>284</v>
      </c>
      <c r="AQ10" s="8" t="s">
        <v>284</v>
      </c>
      <c r="AS10" s="31">
        <f t="shared" si="1"/>
        <v>0</v>
      </c>
      <c r="AT10" s="31">
        <f t="shared" si="2"/>
        <v>0</v>
      </c>
      <c r="AU10" s="31">
        <f t="shared" si="3"/>
        <v>0</v>
      </c>
      <c r="AV10" s="31">
        <f t="shared" si="4"/>
        <v>0</v>
      </c>
      <c r="AW10" s="31">
        <f t="shared" si="5"/>
        <v>0</v>
      </c>
      <c r="AX10" s="31">
        <f t="shared" si="6"/>
        <v>0</v>
      </c>
      <c r="AY10" s="31">
        <f t="shared" si="7"/>
        <v>0</v>
      </c>
      <c r="AZ10" s="31">
        <f t="shared" si="8"/>
        <v>0</v>
      </c>
      <c r="BA10" s="31">
        <f t="shared" si="9"/>
        <v>0</v>
      </c>
      <c r="BB10" s="31">
        <f t="shared" si="41"/>
        <v>0</v>
      </c>
      <c r="BC10" s="31"/>
      <c r="BD10" s="31"/>
      <c r="BE10" s="62"/>
      <c r="BL10" s="183"/>
      <c r="BM10" s="8">
        <f t="shared" si="42"/>
        <v>0</v>
      </c>
      <c r="BN10" s="8">
        <f t="shared" si="10"/>
        <v>0</v>
      </c>
      <c r="BO10" s="8">
        <f t="shared" si="11"/>
        <v>0</v>
      </c>
      <c r="BQ10" s="8">
        <f t="shared" si="12"/>
        <v>0</v>
      </c>
      <c r="BR10" s="63">
        <f t="shared" si="13"/>
        <v>0</v>
      </c>
      <c r="BS10" s="63">
        <f t="shared" si="43"/>
        <v>0</v>
      </c>
      <c r="BT10" s="63">
        <f t="shared" si="14"/>
        <v>0</v>
      </c>
      <c r="BU10" s="63">
        <f t="shared" si="15"/>
        <v>0</v>
      </c>
      <c r="BV10" s="57">
        <f t="shared" si="16"/>
        <v>0</v>
      </c>
      <c r="BW10" s="57">
        <f t="shared" si="17"/>
        <v>0</v>
      </c>
      <c r="BX10" s="57">
        <f t="shared" si="44"/>
        <v>0</v>
      </c>
      <c r="BY10" s="57">
        <f t="shared" si="45"/>
        <v>0</v>
      </c>
      <c r="BZ10" s="8">
        <f t="shared" si="18"/>
        <v>0</v>
      </c>
      <c r="CA10" s="8">
        <f t="shared" si="19"/>
        <v>0</v>
      </c>
      <c r="CB10" s="8">
        <f t="shared" si="20"/>
        <v>0</v>
      </c>
      <c r="CC10" s="8">
        <f t="shared" si="21"/>
        <v>0</v>
      </c>
      <c r="CD10" s="8">
        <f t="shared" si="22"/>
        <v>0</v>
      </c>
      <c r="CE10" s="8">
        <f t="shared" si="23"/>
        <v>0</v>
      </c>
      <c r="CF10" s="8">
        <f t="shared" si="24"/>
        <v>0</v>
      </c>
      <c r="CG10" s="8">
        <f t="shared" si="25"/>
        <v>0</v>
      </c>
      <c r="CH10" s="8">
        <f t="shared" si="26"/>
        <v>0</v>
      </c>
      <c r="CI10" s="8">
        <f t="shared" si="27"/>
        <v>0</v>
      </c>
      <c r="CJ10" s="8">
        <f t="shared" si="28"/>
        <v>0</v>
      </c>
      <c r="CK10" s="8">
        <f t="shared" si="29"/>
        <v>0</v>
      </c>
      <c r="CL10" s="8">
        <f t="shared" si="30"/>
        <v>0</v>
      </c>
      <c r="CM10" s="8">
        <f t="shared" si="31"/>
        <v>0</v>
      </c>
      <c r="CN10" s="8">
        <f t="shared" si="32"/>
        <v>0</v>
      </c>
      <c r="CO10" s="8">
        <f t="shared" si="33"/>
        <v>0</v>
      </c>
      <c r="CP10" s="8">
        <f t="shared" si="34"/>
        <v>0</v>
      </c>
      <c r="CQ10" s="8">
        <f t="shared" si="35"/>
        <v>0</v>
      </c>
      <c r="CR10" s="8">
        <f t="shared" si="36"/>
        <v>0</v>
      </c>
      <c r="CS10" s="8">
        <f t="shared" si="37"/>
        <v>0</v>
      </c>
      <c r="CT10" s="8">
        <f t="shared" si="38"/>
        <v>0</v>
      </c>
      <c r="CU10" s="8">
        <f t="shared" si="39"/>
        <v>0</v>
      </c>
      <c r="CV10" s="8">
        <f t="shared" si="40"/>
        <v>0</v>
      </c>
      <c r="CW10" s="75">
        <v>1010301003</v>
      </c>
      <c r="CX10" s="75">
        <f>SUM(CL4:CL1500)</f>
        <v>0</v>
      </c>
      <c r="CY10" s="75" t="s">
        <v>94</v>
      </c>
      <c r="CZ10" s="74" t="s">
        <v>312</v>
      </c>
      <c r="DA10" s="74"/>
      <c r="DB10" s="74"/>
    </row>
    <row r="11" spans="1:106" ht="25.25" customHeight="1" thickTop="1" thickBot="1" x14ac:dyDescent="0.55000000000000004">
      <c r="A11" s="32"/>
      <c r="B11" s="10"/>
      <c r="C11" s="10"/>
      <c r="D11" s="11"/>
      <c r="E11" s="10"/>
      <c r="F11" s="10"/>
      <c r="G11" s="19"/>
      <c r="H11" s="19"/>
      <c r="I11" s="19"/>
      <c r="J11" s="19"/>
      <c r="K11" s="10"/>
      <c r="L11" s="10"/>
      <c r="M11" s="10"/>
      <c r="N11" s="17"/>
      <c r="O11" s="18"/>
      <c r="P11" s="18"/>
      <c r="Q11" s="20"/>
      <c r="R11" s="20"/>
      <c r="S11" s="16">
        <f t="shared" si="0"/>
        <v>0</v>
      </c>
      <c r="T11" s="11"/>
      <c r="AI11" s="31" t="s">
        <v>79</v>
      </c>
      <c r="AP11" s="31" t="s">
        <v>708</v>
      </c>
      <c r="AQ11" s="31" t="s">
        <v>51</v>
      </c>
      <c r="AR11" s="31"/>
      <c r="AS11" s="31">
        <f t="shared" si="1"/>
        <v>0</v>
      </c>
      <c r="AT11" s="31">
        <f t="shared" si="2"/>
        <v>0</v>
      </c>
      <c r="AU11" s="31">
        <f t="shared" si="3"/>
        <v>0</v>
      </c>
      <c r="AV11" s="31">
        <f t="shared" si="4"/>
        <v>0</v>
      </c>
      <c r="AW11" s="31">
        <f t="shared" si="5"/>
        <v>0</v>
      </c>
      <c r="AX11" s="31">
        <f t="shared" si="6"/>
        <v>0</v>
      </c>
      <c r="AY11" s="31">
        <f t="shared" si="7"/>
        <v>0</v>
      </c>
      <c r="AZ11" s="31">
        <f t="shared" si="8"/>
        <v>0</v>
      </c>
      <c r="BA11" s="31">
        <f t="shared" si="9"/>
        <v>0</v>
      </c>
      <c r="BB11" s="31">
        <f t="shared" si="41"/>
        <v>0</v>
      </c>
      <c r="BC11" s="31"/>
      <c r="BD11" s="31"/>
      <c r="BE11" s="62"/>
      <c r="BL11" s="183"/>
      <c r="BM11" s="8">
        <f t="shared" si="42"/>
        <v>0</v>
      </c>
      <c r="BN11" s="8">
        <f t="shared" si="10"/>
        <v>0</v>
      </c>
      <c r="BO11" s="8">
        <f t="shared" si="11"/>
        <v>0</v>
      </c>
      <c r="BQ11" s="8">
        <f t="shared" si="12"/>
        <v>0</v>
      </c>
      <c r="BR11" s="63">
        <f t="shared" si="13"/>
        <v>0</v>
      </c>
      <c r="BS11" s="63">
        <f t="shared" si="43"/>
        <v>0</v>
      </c>
      <c r="BT11" s="63">
        <f t="shared" si="14"/>
        <v>0</v>
      </c>
      <c r="BU11" s="63">
        <f t="shared" si="15"/>
        <v>0</v>
      </c>
      <c r="BV11" s="57">
        <f t="shared" si="16"/>
        <v>0</v>
      </c>
      <c r="BW11" s="57">
        <f t="shared" si="17"/>
        <v>0</v>
      </c>
      <c r="BX11" s="57">
        <f t="shared" si="44"/>
        <v>0</v>
      </c>
      <c r="BY11" s="57">
        <f t="shared" si="45"/>
        <v>0</v>
      </c>
      <c r="BZ11" s="8">
        <f t="shared" si="18"/>
        <v>0</v>
      </c>
      <c r="CA11" s="8">
        <f t="shared" si="19"/>
        <v>0</v>
      </c>
      <c r="CB11" s="8">
        <f t="shared" si="20"/>
        <v>0</v>
      </c>
      <c r="CC11" s="8">
        <f t="shared" si="21"/>
        <v>0</v>
      </c>
      <c r="CD11" s="8">
        <f t="shared" si="22"/>
        <v>0</v>
      </c>
      <c r="CE11" s="8">
        <f t="shared" si="23"/>
        <v>0</v>
      </c>
      <c r="CF11" s="8">
        <f t="shared" si="24"/>
        <v>0</v>
      </c>
      <c r="CG11" s="8">
        <f t="shared" si="25"/>
        <v>0</v>
      </c>
      <c r="CH11" s="8">
        <f t="shared" si="26"/>
        <v>0</v>
      </c>
      <c r="CI11" s="8">
        <f t="shared" si="27"/>
        <v>0</v>
      </c>
      <c r="CJ11" s="8">
        <f t="shared" si="28"/>
        <v>0</v>
      </c>
      <c r="CK11" s="8">
        <f t="shared" si="29"/>
        <v>0</v>
      </c>
      <c r="CL11" s="8">
        <f t="shared" si="30"/>
        <v>0</v>
      </c>
      <c r="CM11" s="8">
        <f t="shared" si="31"/>
        <v>0</v>
      </c>
      <c r="CN11" s="8">
        <f t="shared" si="32"/>
        <v>0</v>
      </c>
      <c r="CO11" s="8">
        <f t="shared" si="33"/>
        <v>0</v>
      </c>
      <c r="CP11" s="8">
        <f t="shared" si="34"/>
        <v>0</v>
      </c>
      <c r="CQ11" s="8">
        <f t="shared" si="35"/>
        <v>0</v>
      </c>
      <c r="CR11" s="8">
        <f t="shared" si="36"/>
        <v>0</v>
      </c>
      <c r="CS11" s="8">
        <f t="shared" si="37"/>
        <v>0</v>
      </c>
      <c r="CT11" s="8">
        <f t="shared" si="38"/>
        <v>0</v>
      </c>
      <c r="CU11" s="8">
        <f t="shared" si="39"/>
        <v>0</v>
      </c>
      <c r="CV11" s="8">
        <f t="shared" si="40"/>
        <v>0</v>
      </c>
      <c r="CW11" s="75">
        <v>1010201003</v>
      </c>
      <c r="CX11" s="75">
        <f>SUM(CI4:CI1500)</f>
        <v>0</v>
      </c>
      <c r="CY11" s="75" t="s">
        <v>94</v>
      </c>
      <c r="CZ11" s="74" t="s">
        <v>378</v>
      </c>
      <c r="DA11" s="74"/>
      <c r="DB11" s="74"/>
    </row>
    <row r="12" spans="1:106" ht="25.25" customHeight="1" thickTop="1" thickBot="1" x14ac:dyDescent="0.55000000000000004">
      <c r="A12" s="109"/>
      <c r="B12" s="10"/>
      <c r="C12" s="10"/>
      <c r="D12" s="11"/>
      <c r="E12" s="10"/>
      <c r="F12" s="10"/>
      <c r="G12" s="19"/>
      <c r="H12" s="19"/>
      <c r="I12" s="19"/>
      <c r="J12" s="19"/>
      <c r="K12" s="10"/>
      <c r="L12" s="10"/>
      <c r="M12" s="10"/>
      <c r="N12" s="10"/>
      <c r="O12" s="18"/>
      <c r="P12" s="18"/>
      <c r="Q12" s="20"/>
      <c r="R12" s="20"/>
      <c r="S12" s="16">
        <f t="shared" si="0"/>
        <v>0</v>
      </c>
      <c r="T12" s="11"/>
      <c r="AG12" s="34"/>
      <c r="AH12" s="35" t="s">
        <v>70</v>
      </c>
      <c r="AI12" s="35" t="s">
        <v>49</v>
      </c>
      <c r="AJ12" s="35" t="s">
        <v>72</v>
      </c>
      <c r="AK12" s="36" t="s">
        <v>80</v>
      </c>
      <c r="AL12" s="33" t="s">
        <v>81</v>
      </c>
      <c r="AM12" s="33" t="s">
        <v>80</v>
      </c>
      <c r="AN12" s="37" t="s">
        <v>224</v>
      </c>
      <c r="AQ12" s="31" t="s">
        <v>285</v>
      </c>
      <c r="AR12" s="31"/>
      <c r="AS12" s="31">
        <f t="shared" si="1"/>
        <v>0</v>
      </c>
      <c r="AT12" s="31">
        <f t="shared" si="2"/>
        <v>0</v>
      </c>
      <c r="AU12" s="31">
        <f t="shared" si="3"/>
        <v>0</v>
      </c>
      <c r="AV12" s="31">
        <f t="shared" si="4"/>
        <v>0</v>
      </c>
      <c r="AW12" s="31">
        <f t="shared" si="5"/>
        <v>0</v>
      </c>
      <c r="AX12" s="31">
        <f t="shared" si="6"/>
        <v>0</v>
      </c>
      <c r="AY12" s="31">
        <f t="shared" si="7"/>
        <v>0</v>
      </c>
      <c r="AZ12" s="31">
        <f t="shared" si="8"/>
        <v>0</v>
      </c>
      <c r="BA12" s="31">
        <f t="shared" si="9"/>
        <v>0</v>
      </c>
      <c r="BB12" s="31">
        <f t="shared" si="41"/>
        <v>0</v>
      </c>
      <c r="BC12" s="31"/>
      <c r="BD12" s="31"/>
      <c r="BE12" s="62"/>
      <c r="BL12" s="183"/>
      <c r="BM12" s="8">
        <f t="shared" si="42"/>
        <v>0</v>
      </c>
      <c r="BN12" s="8">
        <f t="shared" si="10"/>
        <v>0</v>
      </c>
      <c r="BO12" s="8">
        <f t="shared" si="11"/>
        <v>0</v>
      </c>
      <c r="BQ12" s="8">
        <f t="shared" si="12"/>
        <v>0</v>
      </c>
      <c r="BR12" s="63">
        <f t="shared" si="13"/>
        <v>0</v>
      </c>
      <c r="BS12" s="63">
        <f t="shared" si="43"/>
        <v>0</v>
      </c>
      <c r="BT12" s="63">
        <f t="shared" si="14"/>
        <v>0</v>
      </c>
      <c r="BU12" s="63">
        <f t="shared" si="15"/>
        <v>0</v>
      </c>
      <c r="BV12" s="57">
        <f t="shared" si="16"/>
        <v>0</v>
      </c>
      <c r="BW12" s="57">
        <f t="shared" si="17"/>
        <v>0</v>
      </c>
      <c r="BX12" s="57">
        <f t="shared" si="44"/>
        <v>0</v>
      </c>
      <c r="BY12" s="57">
        <f t="shared" si="45"/>
        <v>0</v>
      </c>
      <c r="BZ12" s="8">
        <f t="shared" si="18"/>
        <v>0</v>
      </c>
      <c r="CA12" s="8">
        <f t="shared" si="19"/>
        <v>0</v>
      </c>
      <c r="CB12" s="8">
        <f t="shared" si="20"/>
        <v>0</v>
      </c>
      <c r="CC12" s="8">
        <f t="shared" si="21"/>
        <v>0</v>
      </c>
      <c r="CD12" s="8">
        <f t="shared" si="22"/>
        <v>0</v>
      </c>
      <c r="CE12" s="8">
        <f t="shared" si="23"/>
        <v>0</v>
      </c>
      <c r="CF12" s="8">
        <f t="shared" si="24"/>
        <v>0</v>
      </c>
      <c r="CG12" s="8">
        <f t="shared" si="25"/>
        <v>0</v>
      </c>
      <c r="CH12" s="8">
        <f t="shared" si="26"/>
        <v>0</v>
      </c>
      <c r="CI12" s="8">
        <f t="shared" si="27"/>
        <v>0</v>
      </c>
      <c r="CJ12" s="8">
        <f t="shared" si="28"/>
        <v>0</v>
      </c>
      <c r="CK12" s="8">
        <f t="shared" si="29"/>
        <v>0</v>
      </c>
      <c r="CL12" s="8">
        <f t="shared" si="30"/>
        <v>0</v>
      </c>
      <c r="CM12" s="8">
        <f t="shared" si="31"/>
        <v>0</v>
      </c>
      <c r="CN12" s="8">
        <f t="shared" si="32"/>
        <v>0</v>
      </c>
      <c r="CO12" s="8">
        <f t="shared" si="33"/>
        <v>0</v>
      </c>
      <c r="CP12" s="8">
        <f t="shared" si="34"/>
        <v>0</v>
      </c>
      <c r="CQ12" s="8">
        <f t="shared" si="35"/>
        <v>0</v>
      </c>
      <c r="CR12" s="8">
        <f t="shared" si="36"/>
        <v>0</v>
      </c>
      <c r="CS12" s="8">
        <f t="shared" si="37"/>
        <v>0</v>
      </c>
      <c r="CT12" s="8">
        <f>IF(AND(J12&gt;0,OR(B12="MB",B12="new MB")),J12,0)*4+IF(AND(J12&gt;0,OR(C12="MB",C12="new MB")),J12,0)*4</f>
        <v>0</v>
      </c>
      <c r="CU12" s="8">
        <f>IF(AND(I12&gt;0,OR(B12="MB",B12="new MB")),I12,0)*4+IF(AND(I12&gt;0,OR(C12="MB",C12="new MB")),I12,0)*4</f>
        <v>0</v>
      </c>
      <c r="CV12" s="8">
        <f>IF(AND(H12&gt;0,OR(B12="MB",B12="new MB")),H12,0)*4+IF(AND(H12&gt;0,OR(C12="MB",C12="new MB")),H12,0)*4</f>
        <v>0</v>
      </c>
      <c r="CW12" s="75">
        <v>1010201002</v>
      </c>
      <c r="CX12" s="75">
        <f>SUM(CJ4:CJ1501)</f>
        <v>0</v>
      </c>
      <c r="CY12" s="75" t="s">
        <v>94</v>
      </c>
      <c r="CZ12" s="74" t="s">
        <v>379</v>
      </c>
      <c r="DA12" s="74"/>
      <c r="DB12" s="74"/>
    </row>
    <row r="13" spans="1:106" ht="25.25" customHeight="1" thickTop="1" thickBot="1" x14ac:dyDescent="0.55000000000000004">
      <c r="A13" s="32"/>
      <c r="B13" s="10"/>
      <c r="C13" s="10"/>
      <c r="D13" s="11"/>
      <c r="E13" s="10"/>
      <c r="F13" s="10"/>
      <c r="G13" s="19"/>
      <c r="H13" s="19"/>
      <c r="I13" s="19"/>
      <c r="J13" s="19"/>
      <c r="K13" s="10"/>
      <c r="L13" s="10"/>
      <c r="M13" s="10"/>
      <c r="N13" s="10"/>
      <c r="O13" s="18"/>
      <c r="P13" s="18"/>
      <c r="Q13" s="20"/>
      <c r="R13" s="20"/>
      <c r="S13" s="16">
        <f t="shared" si="0"/>
        <v>0</v>
      </c>
      <c r="T13" s="11"/>
      <c r="AE13" s="38" t="s">
        <v>161</v>
      </c>
      <c r="AF13" s="31" t="s">
        <v>90</v>
      </c>
      <c r="AG13" s="35" t="s">
        <v>43</v>
      </c>
      <c r="AH13" s="39">
        <f>SUMIFS(D4:D1500,AV4:AV1500,"MV1",BR4:BR1500,"&gt;0",M4:M1500,"&lt;&gt;MOT")</f>
        <v>0</v>
      </c>
      <c r="AI13" s="39" t="s">
        <v>24</v>
      </c>
      <c r="AJ13" s="39">
        <v>69</v>
      </c>
      <c r="AK13" s="36">
        <f t="shared" ref="AK13:AK34" si="46">AJ13*AH13</f>
        <v>0</v>
      </c>
      <c r="AL13" s="40">
        <f>SUMIFS(D4:D1500,AV4:AV1500,"MV1",BR4:BR1500,"&gt;0",M4:M1500,"&lt;&gt;MOT",L4:L1500,"rocky")</f>
        <v>0</v>
      </c>
      <c r="AM13" s="40">
        <f t="shared" ref="AM13:AM33" si="47">AL13*AJ13</f>
        <v>0</v>
      </c>
      <c r="AN13" s="41"/>
      <c r="AQ13" s="31" t="s">
        <v>288</v>
      </c>
      <c r="AR13" s="31"/>
      <c r="AS13" s="31">
        <f t="shared" si="1"/>
        <v>0</v>
      </c>
      <c r="AT13" s="31">
        <f t="shared" si="2"/>
        <v>0</v>
      </c>
      <c r="AU13" s="31">
        <f t="shared" si="3"/>
        <v>0</v>
      </c>
      <c r="AV13" s="31">
        <f t="shared" si="4"/>
        <v>0</v>
      </c>
      <c r="AW13" s="31">
        <f t="shared" si="5"/>
        <v>0</v>
      </c>
      <c r="AX13" s="31">
        <f t="shared" si="6"/>
        <v>0</v>
      </c>
      <c r="AY13" s="31">
        <f t="shared" si="7"/>
        <v>0</v>
      </c>
      <c r="AZ13" s="31">
        <f t="shared" si="8"/>
        <v>0</v>
      </c>
      <c r="BA13" s="31">
        <f t="shared" si="9"/>
        <v>0</v>
      </c>
      <c r="BB13" s="31">
        <f t="shared" si="41"/>
        <v>0</v>
      </c>
      <c r="BC13" s="31"/>
      <c r="BD13" s="31"/>
      <c r="BE13" s="62"/>
      <c r="BL13" s="183"/>
      <c r="BM13" s="8">
        <f t="shared" si="42"/>
        <v>0</v>
      </c>
      <c r="BN13" s="8">
        <f t="shared" si="10"/>
        <v>0</v>
      </c>
      <c r="BO13" s="8">
        <f t="shared" si="11"/>
        <v>0</v>
      </c>
      <c r="BQ13" s="8">
        <f t="shared" si="12"/>
        <v>0</v>
      </c>
      <c r="BR13" s="63">
        <f t="shared" si="13"/>
        <v>0</v>
      </c>
      <c r="BS13" s="63">
        <f t="shared" si="43"/>
        <v>0</v>
      </c>
      <c r="BT13" s="63">
        <f t="shared" si="14"/>
        <v>0</v>
      </c>
      <c r="BU13" s="63">
        <f t="shared" si="15"/>
        <v>0</v>
      </c>
      <c r="BV13" s="57">
        <f t="shared" si="16"/>
        <v>0</v>
      </c>
      <c r="BW13" s="57">
        <f t="shared" si="17"/>
        <v>0</v>
      </c>
      <c r="BX13" s="57">
        <f t="shared" si="44"/>
        <v>0</v>
      </c>
      <c r="BY13" s="57">
        <f t="shared" si="45"/>
        <v>0</v>
      </c>
      <c r="BZ13" s="8">
        <f t="shared" si="18"/>
        <v>0</v>
      </c>
      <c r="CA13" s="8">
        <f t="shared" si="19"/>
        <v>0</v>
      </c>
      <c r="CB13" s="8">
        <f t="shared" si="20"/>
        <v>0</v>
      </c>
      <c r="CC13" s="8">
        <f t="shared" si="21"/>
        <v>0</v>
      </c>
      <c r="CD13" s="8">
        <f t="shared" si="22"/>
        <v>0</v>
      </c>
      <c r="CE13" s="8">
        <f t="shared" si="23"/>
        <v>0</v>
      </c>
      <c r="CF13" s="8">
        <f t="shared" si="24"/>
        <v>0</v>
      </c>
      <c r="CG13" s="8">
        <f t="shared" si="25"/>
        <v>0</v>
      </c>
      <c r="CH13" s="8">
        <f t="shared" si="26"/>
        <v>0</v>
      </c>
      <c r="CI13" s="8">
        <f t="shared" si="27"/>
        <v>0</v>
      </c>
      <c r="CJ13" s="8">
        <f t="shared" si="28"/>
        <v>0</v>
      </c>
      <c r="CK13" s="8">
        <f t="shared" si="29"/>
        <v>0</v>
      </c>
      <c r="CL13" s="8">
        <f t="shared" si="30"/>
        <v>0</v>
      </c>
      <c r="CM13" s="8">
        <f t="shared" si="31"/>
        <v>0</v>
      </c>
      <c r="CN13" s="8">
        <f t="shared" si="32"/>
        <v>0</v>
      </c>
      <c r="CO13" s="8">
        <f t="shared" si="33"/>
        <v>0</v>
      </c>
      <c r="CP13" s="8">
        <f t="shared" si="34"/>
        <v>0</v>
      </c>
      <c r="CQ13" s="8">
        <f t="shared" si="35"/>
        <v>0</v>
      </c>
      <c r="CR13" s="8">
        <f t="shared" si="36"/>
        <v>0</v>
      </c>
      <c r="CS13" s="8">
        <f t="shared" si="37"/>
        <v>0</v>
      </c>
      <c r="CT13" s="8">
        <f t="shared" ref="CT13:CT76" si="48">IF(AND(J13&gt;0,OR(B13="MB",B13="new MB")),J13,0)*4+IF(AND(J13&gt;0,OR(C13="MB",C13="new MB")),J13,0)*4</f>
        <v>0</v>
      </c>
      <c r="CU13" s="8">
        <f t="shared" ref="CU13:CU76" si="49">IF(AND(I13&gt;0,OR(B13="MB",B13="new MB")),I13,0)*4+IF(AND(I13&gt;0,OR(C13="MB",C13="new MB")),I13,0)*4</f>
        <v>0</v>
      </c>
      <c r="CV13" s="8">
        <f t="shared" ref="CV13:CV76" si="50">IF(AND(H13&gt;0,OR(B13="MB",B13="new MB")),H13,0)*4+IF(AND(H13&gt;0,OR(C13="MB",C13="new MB")),H13,0)*4</f>
        <v>0</v>
      </c>
      <c r="CW13" s="75">
        <v>1010201001</v>
      </c>
      <c r="CX13" s="75">
        <f>SUM(CK4:CK1501)</f>
        <v>0</v>
      </c>
      <c r="CY13" s="75" t="s">
        <v>94</v>
      </c>
      <c r="CZ13" s="74" t="s">
        <v>380</v>
      </c>
      <c r="DA13" s="74"/>
      <c r="DB13" s="74"/>
    </row>
    <row r="14" spans="1:106" ht="25.25" customHeight="1" thickTop="1" thickBot="1" x14ac:dyDescent="0.55000000000000004">
      <c r="A14" s="32"/>
      <c r="B14" s="10"/>
      <c r="C14" s="10"/>
      <c r="D14" s="11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8"/>
      <c r="P14" s="18"/>
      <c r="Q14" s="20"/>
      <c r="R14" s="20"/>
      <c r="S14" s="16">
        <f t="shared" si="0"/>
        <v>0</v>
      </c>
      <c r="T14" s="11"/>
      <c r="AE14" s="38" t="s">
        <v>162</v>
      </c>
      <c r="AF14" s="31" t="s">
        <v>90</v>
      </c>
      <c r="AG14" s="35" t="s">
        <v>44</v>
      </c>
      <c r="AH14" s="39">
        <f>SUMIFS(D4:D1500,AV4:AV1500,"MV2",BR4:BR1500,"&gt;0",M4:M1500,"&lt;&gt;MOT")</f>
        <v>0</v>
      </c>
      <c r="AI14" s="39" t="s">
        <v>25</v>
      </c>
      <c r="AJ14" s="39">
        <v>86</v>
      </c>
      <c r="AK14" s="36">
        <f t="shared" si="46"/>
        <v>0</v>
      </c>
      <c r="AL14" s="40">
        <f>SUMIFS(D4:D1500,AV4:AV1500,"MV2",BR4:BR1500,"&gt;0",M4:M1500,"&lt;&gt;MOT",L4:L1500,"rocky")</f>
        <v>0</v>
      </c>
      <c r="AM14" s="40">
        <f t="shared" si="47"/>
        <v>0</v>
      </c>
      <c r="AN14" s="41"/>
      <c r="AR14" s="31"/>
      <c r="AS14" s="31">
        <f t="shared" si="1"/>
        <v>0</v>
      </c>
      <c r="AT14" s="31">
        <f t="shared" si="2"/>
        <v>0</v>
      </c>
      <c r="AU14" s="31">
        <f t="shared" si="3"/>
        <v>0</v>
      </c>
      <c r="AV14" s="31">
        <f t="shared" si="4"/>
        <v>0</v>
      </c>
      <c r="AW14" s="31">
        <f t="shared" si="5"/>
        <v>0</v>
      </c>
      <c r="AX14" s="31">
        <f t="shared" si="6"/>
        <v>0</v>
      </c>
      <c r="AY14" s="31">
        <f t="shared" si="7"/>
        <v>0</v>
      </c>
      <c r="AZ14" s="31">
        <f t="shared" si="8"/>
        <v>0</v>
      </c>
      <c r="BA14" s="31">
        <f t="shared" si="9"/>
        <v>0</v>
      </c>
      <c r="BB14" s="31">
        <f t="shared" si="41"/>
        <v>0</v>
      </c>
      <c r="BC14" s="31"/>
      <c r="BD14" s="31"/>
      <c r="BE14" s="62"/>
      <c r="BL14" s="183"/>
      <c r="BM14" s="8">
        <f t="shared" si="42"/>
        <v>0</v>
      </c>
      <c r="BN14" s="8">
        <f t="shared" si="10"/>
        <v>0</v>
      </c>
      <c r="BO14" s="8">
        <f t="shared" si="11"/>
        <v>0</v>
      </c>
      <c r="BQ14" s="8">
        <f t="shared" si="12"/>
        <v>0</v>
      </c>
      <c r="BR14" s="63">
        <f t="shared" si="13"/>
        <v>0</v>
      </c>
      <c r="BS14" s="63">
        <f t="shared" si="43"/>
        <v>0</v>
      </c>
      <c r="BT14" s="63">
        <f t="shared" si="14"/>
        <v>0</v>
      </c>
      <c r="BU14" s="63">
        <f t="shared" si="15"/>
        <v>0</v>
      </c>
      <c r="BV14" s="57">
        <f t="shared" si="16"/>
        <v>0</v>
      </c>
      <c r="BW14" s="57">
        <f t="shared" si="17"/>
        <v>0</v>
      </c>
      <c r="BX14" s="57">
        <f t="shared" si="44"/>
        <v>0</v>
      </c>
      <c r="BY14" s="57">
        <f t="shared" si="45"/>
        <v>0</v>
      </c>
      <c r="BZ14" s="8">
        <f t="shared" si="18"/>
        <v>0</v>
      </c>
      <c r="CA14" s="8">
        <f t="shared" si="19"/>
        <v>0</v>
      </c>
      <c r="CB14" s="8">
        <f t="shared" si="20"/>
        <v>0</v>
      </c>
      <c r="CC14" s="8">
        <f t="shared" si="21"/>
        <v>0</v>
      </c>
      <c r="CD14" s="8">
        <f t="shared" si="22"/>
        <v>0</v>
      </c>
      <c r="CE14" s="8">
        <f t="shared" si="23"/>
        <v>0</v>
      </c>
      <c r="CF14" s="8">
        <f t="shared" si="24"/>
        <v>0</v>
      </c>
      <c r="CG14" s="8">
        <f t="shared" si="25"/>
        <v>0</v>
      </c>
      <c r="CH14" s="8">
        <f t="shared" si="26"/>
        <v>0</v>
      </c>
      <c r="CI14" s="8">
        <f t="shared" si="27"/>
        <v>0</v>
      </c>
      <c r="CJ14" s="8">
        <f t="shared" si="28"/>
        <v>0</v>
      </c>
      <c r="CK14" s="8">
        <f t="shared" si="29"/>
        <v>0</v>
      </c>
      <c r="CL14" s="8">
        <f t="shared" si="30"/>
        <v>0</v>
      </c>
      <c r="CM14" s="8">
        <f t="shared" si="31"/>
        <v>0</v>
      </c>
      <c r="CN14" s="8">
        <f t="shared" si="32"/>
        <v>0</v>
      </c>
      <c r="CO14" s="8">
        <f t="shared" si="33"/>
        <v>0</v>
      </c>
      <c r="CP14" s="8">
        <f t="shared" si="34"/>
        <v>0</v>
      </c>
      <c r="CQ14" s="8">
        <f t="shared" si="35"/>
        <v>0</v>
      </c>
      <c r="CR14" s="8">
        <f t="shared" si="36"/>
        <v>0</v>
      </c>
      <c r="CS14" s="8">
        <f t="shared" si="37"/>
        <v>0</v>
      </c>
      <c r="CT14" s="8">
        <f t="shared" si="48"/>
        <v>0</v>
      </c>
      <c r="CU14" s="8">
        <f t="shared" si="49"/>
        <v>0</v>
      </c>
      <c r="CV14" s="8">
        <f t="shared" si="50"/>
        <v>0</v>
      </c>
      <c r="CW14" s="75">
        <v>1010401001</v>
      </c>
      <c r="CX14" s="75">
        <f>SUM(CN4:CN1500)</f>
        <v>0</v>
      </c>
      <c r="CY14" s="75" t="s">
        <v>94</v>
      </c>
      <c r="CZ14" s="74" t="s">
        <v>381</v>
      </c>
      <c r="DA14" s="74"/>
      <c r="DB14" s="74"/>
    </row>
    <row r="15" spans="1:106" ht="25.25" customHeight="1" thickTop="1" thickBot="1" x14ac:dyDescent="0.55000000000000004">
      <c r="A15" s="32"/>
      <c r="B15" s="10"/>
      <c r="C15" s="10"/>
      <c r="D15" s="11"/>
      <c r="E15" s="10"/>
      <c r="F15" s="10"/>
      <c r="G15" s="19"/>
      <c r="H15" s="19"/>
      <c r="I15" s="19"/>
      <c r="J15" s="19"/>
      <c r="K15" s="10"/>
      <c r="L15" s="10"/>
      <c r="M15" s="10"/>
      <c r="N15" s="10"/>
      <c r="O15" s="18"/>
      <c r="P15" s="18"/>
      <c r="Q15" s="20"/>
      <c r="R15" s="20"/>
      <c r="S15" s="16">
        <f t="shared" si="0"/>
        <v>0</v>
      </c>
      <c r="T15" s="11"/>
      <c r="AE15" s="38" t="s">
        <v>163</v>
      </c>
      <c r="AF15" s="31" t="s">
        <v>90</v>
      </c>
      <c r="AG15" s="35" t="s">
        <v>45</v>
      </c>
      <c r="AH15" s="39">
        <f>SUMIFS(D4:D1500,AV4:AV1500,"MV3",BR4:BR1500,"&gt;0",M4:M1500,"&lt;&gt;MOT")</f>
        <v>0</v>
      </c>
      <c r="AI15" s="39" t="s">
        <v>26</v>
      </c>
      <c r="AJ15" s="39">
        <v>110</v>
      </c>
      <c r="AK15" s="36">
        <f t="shared" si="46"/>
        <v>0</v>
      </c>
      <c r="AL15" s="40">
        <f>SUMIFS(D4:D1500,AV4:AV1500,"MV3",BR4:BR1500,"&gt;0",M4:M1500,"&lt;&gt;MOT",L4:L1500,"rocky")</f>
        <v>0</v>
      </c>
      <c r="AM15" s="40">
        <f t="shared" si="47"/>
        <v>0</v>
      </c>
      <c r="AN15" s="41"/>
      <c r="AR15" s="31"/>
      <c r="AS15" s="31">
        <f t="shared" si="1"/>
        <v>0</v>
      </c>
      <c r="AT15" s="31">
        <f t="shared" si="2"/>
        <v>0</v>
      </c>
      <c r="AU15" s="31">
        <f t="shared" si="3"/>
        <v>0</v>
      </c>
      <c r="AV15" s="31">
        <f t="shared" si="4"/>
        <v>0</v>
      </c>
      <c r="AW15" s="31">
        <f t="shared" si="5"/>
        <v>0</v>
      </c>
      <c r="AX15" s="31">
        <f t="shared" si="6"/>
        <v>0</v>
      </c>
      <c r="AY15" s="31">
        <f t="shared" si="7"/>
        <v>0</v>
      </c>
      <c r="AZ15" s="31">
        <f t="shared" si="8"/>
        <v>0</v>
      </c>
      <c r="BA15" s="31">
        <f t="shared" si="9"/>
        <v>0</v>
      </c>
      <c r="BB15" s="31">
        <f t="shared" si="41"/>
        <v>0</v>
      </c>
      <c r="BC15" s="31"/>
      <c r="BD15" s="31"/>
      <c r="BE15" s="62"/>
      <c r="BM15" s="8">
        <f t="shared" si="42"/>
        <v>0</v>
      </c>
      <c r="BN15" s="8">
        <f t="shared" si="10"/>
        <v>0</v>
      </c>
      <c r="BO15" s="8">
        <f t="shared" si="11"/>
        <v>0</v>
      </c>
      <c r="BQ15" s="8">
        <f t="shared" si="12"/>
        <v>0</v>
      </c>
      <c r="BR15" s="63">
        <f t="shared" si="13"/>
        <v>0</v>
      </c>
      <c r="BS15" s="63">
        <f t="shared" si="43"/>
        <v>0</v>
      </c>
      <c r="BT15" s="63">
        <f t="shared" si="14"/>
        <v>0</v>
      </c>
      <c r="BU15" s="63">
        <f t="shared" si="15"/>
        <v>0</v>
      </c>
      <c r="BV15" s="57">
        <f t="shared" si="16"/>
        <v>0</v>
      </c>
      <c r="BW15" s="57">
        <f t="shared" si="17"/>
        <v>0</v>
      </c>
      <c r="BX15" s="57">
        <f t="shared" si="44"/>
        <v>0</v>
      </c>
      <c r="BY15" s="57">
        <f t="shared" si="45"/>
        <v>0</v>
      </c>
      <c r="BZ15" s="8">
        <f t="shared" si="18"/>
        <v>0</v>
      </c>
      <c r="CA15" s="8">
        <f t="shared" si="19"/>
        <v>0</v>
      </c>
      <c r="CB15" s="8">
        <f t="shared" si="20"/>
        <v>0</v>
      </c>
      <c r="CC15" s="8">
        <f t="shared" si="21"/>
        <v>0</v>
      </c>
      <c r="CD15" s="8">
        <f t="shared" si="22"/>
        <v>0</v>
      </c>
      <c r="CE15" s="8">
        <f t="shared" si="23"/>
        <v>0</v>
      </c>
      <c r="CF15" s="8">
        <f t="shared" si="24"/>
        <v>0</v>
      </c>
      <c r="CG15" s="8">
        <f t="shared" si="25"/>
        <v>0</v>
      </c>
      <c r="CH15" s="8">
        <f t="shared" si="26"/>
        <v>0</v>
      </c>
      <c r="CI15" s="8">
        <f t="shared" si="27"/>
        <v>0</v>
      </c>
      <c r="CJ15" s="8">
        <f t="shared" si="28"/>
        <v>0</v>
      </c>
      <c r="CK15" s="8">
        <f t="shared" si="29"/>
        <v>0</v>
      </c>
      <c r="CL15" s="8">
        <f t="shared" si="30"/>
        <v>0</v>
      </c>
      <c r="CM15" s="8">
        <f t="shared" si="31"/>
        <v>0</v>
      </c>
      <c r="CN15" s="8">
        <f t="shared" si="32"/>
        <v>0</v>
      </c>
      <c r="CO15" s="8">
        <f t="shared" si="33"/>
        <v>0</v>
      </c>
      <c r="CP15" s="8">
        <f t="shared" si="34"/>
        <v>0</v>
      </c>
      <c r="CQ15" s="8">
        <f t="shared" si="35"/>
        <v>0</v>
      </c>
      <c r="CR15" s="8">
        <f t="shared" si="36"/>
        <v>0</v>
      </c>
      <c r="CS15" s="8">
        <f t="shared" si="37"/>
        <v>0</v>
      </c>
      <c r="CT15" s="8">
        <f t="shared" si="48"/>
        <v>0</v>
      </c>
      <c r="CU15" s="8">
        <f t="shared" si="49"/>
        <v>0</v>
      </c>
      <c r="CV15" s="8">
        <f t="shared" si="50"/>
        <v>0</v>
      </c>
      <c r="CW15" s="75">
        <v>1050301016</v>
      </c>
      <c r="CX15" s="75">
        <f>SUM(CV4:CV1500)+CX14*3</f>
        <v>0</v>
      </c>
      <c r="CY15" s="75" t="s">
        <v>94</v>
      </c>
      <c r="CZ15" s="74" t="s">
        <v>399</v>
      </c>
      <c r="DA15" s="74"/>
      <c r="DB15" s="74"/>
    </row>
    <row r="16" spans="1:106" ht="25.25" customHeight="1" thickTop="1" thickBot="1" x14ac:dyDescent="0.55000000000000004">
      <c r="A16" s="32"/>
      <c r="B16" s="10"/>
      <c r="C16" s="10"/>
      <c r="D16" s="11"/>
      <c r="E16" s="10"/>
      <c r="F16" s="10"/>
      <c r="G16" s="19"/>
      <c r="H16" s="19"/>
      <c r="I16" s="19"/>
      <c r="J16" s="19"/>
      <c r="K16" s="10"/>
      <c r="L16" s="10"/>
      <c r="M16" s="10"/>
      <c r="N16" s="10"/>
      <c r="O16" s="18"/>
      <c r="P16" s="18"/>
      <c r="Q16" s="20"/>
      <c r="R16" s="20"/>
      <c r="S16" s="16">
        <f t="shared" si="0"/>
        <v>0</v>
      </c>
      <c r="T16" s="11"/>
      <c r="AE16" s="38" t="s">
        <v>164</v>
      </c>
      <c r="AF16" s="31" t="s">
        <v>90</v>
      </c>
      <c r="AG16" s="35" t="s">
        <v>46</v>
      </c>
      <c r="AH16" s="42">
        <f>SUMIFS(D4:D1500,AV4:AV1500,"MV4",BR4:BR1500,"&gt;0",M4:M1500,"&lt;&gt;MOT")+SUMIFS(D4:D1500,AV4:AV1500,"MVCU",BR4:BR1500,"&gt;0",M4:M1500,"&lt;&gt;MOT")</f>
        <v>0</v>
      </c>
      <c r="AI16" s="39" t="s">
        <v>27</v>
      </c>
      <c r="AJ16" s="39">
        <v>133</v>
      </c>
      <c r="AK16" s="36">
        <f t="shared" si="46"/>
        <v>0</v>
      </c>
      <c r="AL16" s="43">
        <f>SUMIFS(D4:D1500,AV4:AV1500,"MV4",BR4:BR1500,"&gt;0",M4:M1500,"&lt;&gt;MOT",L4:L1500,"rocky")+SUMIFS(D4:D1500,AV4:AV1500,"MVCU",BR4:BR1500,"&gt;0",M4:M1500,"&lt;&gt;MOT",L4:L1500,"rocky")</f>
        <v>0</v>
      </c>
      <c r="AM16" s="40">
        <f t="shared" si="47"/>
        <v>0</v>
      </c>
      <c r="AN16" s="41"/>
      <c r="AR16" s="31"/>
      <c r="AS16" s="31">
        <f t="shared" si="1"/>
        <v>0</v>
      </c>
      <c r="AT16" s="31">
        <f t="shared" si="2"/>
        <v>0</v>
      </c>
      <c r="AU16" s="31">
        <f t="shared" si="3"/>
        <v>0</v>
      </c>
      <c r="AV16" s="31">
        <f t="shared" si="4"/>
        <v>0</v>
      </c>
      <c r="AW16" s="31">
        <f t="shared" si="5"/>
        <v>0</v>
      </c>
      <c r="AX16" s="31">
        <f t="shared" si="6"/>
        <v>0</v>
      </c>
      <c r="AY16" s="31">
        <f t="shared" si="7"/>
        <v>0</v>
      </c>
      <c r="AZ16" s="31">
        <f t="shared" si="8"/>
        <v>0</v>
      </c>
      <c r="BA16" s="31">
        <f t="shared" si="9"/>
        <v>0</v>
      </c>
      <c r="BB16" s="31">
        <f t="shared" si="41"/>
        <v>0</v>
      </c>
      <c r="BC16" s="31"/>
      <c r="BD16" s="31"/>
      <c r="BE16" s="62"/>
      <c r="BM16" s="8">
        <f t="shared" si="42"/>
        <v>0</v>
      </c>
      <c r="BN16" s="8">
        <f t="shared" si="10"/>
        <v>0</v>
      </c>
      <c r="BO16" s="8">
        <f t="shared" si="11"/>
        <v>0</v>
      </c>
      <c r="BQ16" s="8">
        <f t="shared" si="12"/>
        <v>0</v>
      </c>
      <c r="BR16" s="63">
        <f t="shared" si="13"/>
        <v>0</v>
      </c>
      <c r="BS16" s="63">
        <f t="shared" si="43"/>
        <v>0</v>
      </c>
      <c r="BT16" s="63">
        <f t="shared" si="14"/>
        <v>0</v>
      </c>
      <c r="BU16" s="63">
        <f t="shared" si="15"/>
        <v>0</v>
      </c>
      <c r="BV16" s="57">
        <f t="shared" si="16"/>
        <v>0</v>
      </c>
      <c r="BW16" s="57">
        <f t="shared" si="17"/>
        <v>0</v>
      </c>
      <c r="BX16" s="57">
        <f t="shared" si="44"/>
        <v>0</v>
      </c>
      <c r="BY16" s="57">
        <f t="shared" si="45"/>
        <v>0</v>
      </c>
      <c r="BZ16" s="8">
        <f t="shared" si="18"/>
        <v>0</v>
      </c>
      <c r="CA16" s="8">
        <f t="shared" si="19"/>
        <v>0</v>
      </c>
      <c r="CB16" s="8">
        <f t="shared" si="20"/>
        <v>0</v>
      </c>
      <c r="CC16" s="8">
        <f t="shared" si="21"/>
        <v>0</v>
      </c>
      <c r="CD16" s="8">
        <f t="shared" si="22"/>
        <v>0</v>
      </c>
      <c r="CE16" s="8">
        <f t="shared" si="23"/>
        <v>0</v>
      </c>
      <c r="CF16" s="8">
        <f t="shared" si="24"/>
        <v>0</v>
      </c>
      <c r="CG16" s="8">
        <f t="shared" si="25"/>
        <v>0</v>
      </c>
      <c r="CH16" s="8">
        <f t="shared" si="26"/>
        <v>0</v>
      </c>
      <c r="CI16" s="8">
        <f t="shared" si="27"/>
        <v>0</v>
      </c>
      <c r="CJ16" s="8">
        <f t="shared" si="28"/>
        <v>0</v>
      </c>
      <c r="CK16" s="8">
        <f t="shared" si="29"/>
        <v>0</v>
      </c>
      <c r="CL16" s="8">
        <f t="shared" si="30"/>
        <v>0</v>
      </c>
      <c r="CM16" s="8">
        <f t="shared" si="31"/>
        <v>0</v>
      </c>
      <c r="CN16" s="8">
        <f t="shared" si="32"/>
        <v>0</v>
      </c>
      <c r="CO16" s="8">
        <f t="shared" si="33"/>
        <v>0</v>
      </c>
      <c r="CP16" s="8">
        <f t="shared" si="34"/>
        <v>0</v>
      </c>
      <c r="CQ16" s="8">
        <f t="shared" si="35"/>
        <v>0</v>
      </c>
      <c r="CR16" s="8">
        <f t="shared" si="36"/>
        <v>0</v>
      </c>
      <c r="CS16" s="8">
        <f t="shared" si="37"/>
        <v>0</v>
      </c>
      <c r="CT16" s="8">
        <f t="shared" si="48"/>
        <v>0</v>
      </c>
      <c r="CU16" s="8">
        <f t="shared" si="49"/>
        <v>0</v>
      </c>
      <c r="CV16" s="8">
        <f t="shared" si="50"/>
        <v>0</v>
      </c>
      <c r="CW16" s="75">
        <v>1050301009</v>
      </c>
      <c r="CX16" s="75">
        <f>SUM(CU4:CU1500)</f>
        <v>0</v>
      </c>
      <c r="CY16" s="75" t="s">
        <v>94</v>
      </c>
      <c r="CZ16" s="74" t="s">
        <v>400</v>
      </c>
      <c r="DA16" s="74"/>
      <c r="DB16" s="74"/>
    </row>
    <row r="17" spans="1:108" ht="25.25" customHeight="1" thickTop="1" thickBot="1" x14ac:dyDescent="0.55000000000000004">
      <c r="A17" s="32"/>
      <c r="B17" s="10"/>
      <c r="C17" s="10"/>
      <c r="D17" s="11"/>
      <c r="E17" s="10"/>
      <c r="F17" s="10"/>
      <c r="G17" s="19"/>
      <c r="H17" s="19"/>
      <c r="I17" s="19"/>
      <c r="J17" s="19"/>
      <c r="K17" s="10"/>
      <c r="L17" s="10"/>
      <c r="M17" s="10"/>
      <c r="N17" s="10"/>
      <c r="O17" s="18"/>
      <c r="P17" s="18"/>
      <c r="Q17" s="20"/>
      <c r="R17" s="20"/>
      <c r="S17" s="16">
        <f t="shared" si="0"/>
        <v>0</v>
      </c>
      <c r="T17" s="11"/>
      <c r="AE17" s="44" t="s">
        <v>165</v>
      </c>
      <c r="AF17" s="31" t="s">
        <v>90</v>
      </c>
      <c r="AG17" s="35" t="s">
        <v>47</v>
      </c>
      <c r="AH17" s="42">
        <f>SUMIFS(D4:D1500,AV4:AV1500,"LV1",BR4:BR1500,"&gt;0",M4:M1500,"&lt;&gt;MOT")+SUMIFS(D4:D1500,AV4:AV1500,"LV2",BR4:BR1500,"&gt;0",M4:M1500,"&lt;&gt;MOT")+SUMIFS(D4:D1500,AV4:AV1500,"LV3",BR4:BR1500,"&gt;0",M4:M1500,"&lt;&gt;MOT")</f>
        <v>0</v>
      </c>
      <c r="AI17" s="39" t="s">
        <v>76</v>
      </c>
      <c r="AJ17" s="39">
        <v>72</v>
      </c>
      <c r="AK17" s="36">
        <f t="shared" si="46"/>
        <v>0</v>
      </c>
      <c r="AL17" s="43">
        <f>SUMIFS(D4:D1500,AV4:AV1500,"LV1",BR4:BR1500,"&gt;0",M4:M1500,"&lt;&gt;MOT",L4:L1500,"rocky")+SUMIFS(D4:D1500,AV4:AV1500,"LV2",BR4:BR1500,"&gt;0",M4:M1500,"&lt;&gt;MOT",L4:L1500,"rocky")+SUMIFS(D4:D1500,AV4:AV1500,"LV3",BR4:BR1500,"&gt;0",M4:M1500,"&lt;&gt;MOT",L4:L1500,"rocky")</f>
        <v>0</v>
      </c>
      <c r="AM17" s="40">
        <f t="shared" si="47"/>
        <v>0</v>
      </c>
      <c r="AN17" s="45"/>
      <c r="AR17" s="31"/>
      <c r="AS17" s="31">
        <f t="shared" si="1"/>
        <v>0</v>
      </c>
      <c r="AT17" s="31">
        <f t="shared" si="2"/>
        <v>0</v>
      </c>
      <c r="AU17" s="31">
        <f t="shared" si="3"/>
        <v>0</v>
      </c>
      <c r="AV17" s="31">
        <f t="shared" si="4"/>
        <v>0</v>
      </c>
      <c r="AW17" s="31">
        <f t="shared" si="5"/>
        <v>0</v>
      </c>
      <c r="AX17" s="31">
        <f t="shared" si="6"/>
        <v>0</v>
      </c>
      <c r="AY17" s="31">
        <f t="shared" si="7"/>
        <v>0</v>
      </c>
      <c r="AZ17" s="31">
        <f t="shared" si="8"/>
        <v>0</v>
      </c>
      <c r="BA17" s="31">
        <f t="shared" si="9"/>
        <v>0</v>
      </c>
      <c r="BB17" s="31">
        <f t="shared" si="41"/>
        <v>0</v>
      </c>
      <c r="BC17" s="31"/>
      <c r="BD17" s="31"/>
      <c r="BE17" s="62"/>
      <c r="BM17" s="8">
        <f t="shared" si="42"/>
        <v>0</v>
      </c>
      <c r="BN17" s="8">
        <f t="shared" si="10"/>
        <v>0</v>
      </c>
      <c r="BO17" s="8">
        <f t="shared" si="11"/>
        <v>0</v>
      </c>
      <c r="BQ17" s="8">
        <f t="shared" si="12"/>
        <v>0</v>
      </c>
      <c r="BR17" s="63">
        <f t="shared" si="13"/>
        <v>0</v>
      </c>
      <c r="BS17" s="63">
        <f t="shared" si="43"/>
        <v>0</v>
      </c>
      <c r="BT17" s="63">
        <f t="shared" si="14"/>
        <v>0</v>
      </c>
      <c r="BU17" s="63">
        <f t="shared" si="15"/>
        <v>0</v>
      </c>
      <c r="BV17" s="57">
        <f t="shared" si="16"/>
        <v>0</v>
      </c>
      <c r="BW17" s="57">
        <f t="shared" si="17"/>
        <v>0</v>
      </c>
      <c r="BX17" s="57">
        <f t="shared" si="44"/>
        <v>0</v>
      </c>
      <c r="BY17" s="57">
        <f t="shared" si="45"/>
        <v>0</v>
      </c>
      <c r="BZ17" s="8">
        <f t="shared" si="18"/>
        <v>0</v>
      </c>
      <c r="CA17" s="8">
        <f t="shared" si="19"/>
        <v>0</v>
      </c>
      <c r="CB17" s="8">
        <f t="shared" si="20"/>
        <v>0</v>
      </c>
      <c r="CC17" s="8">
        <f t="shared" si="21"/>
        <v>0</v>
      </c>
      <c r="CD17" s="8">
        <f t="shared" si="22"/>
        <v>0</v>
      </c>
      <c r="CE17" s="8">
        <f t="shared" si="23"/>
        <v>0</v>
      </c>
      <c r="CF17" s="8">
        <f t="shared" si="24"/>
        <v>0</v>
      </c>
      <c r="CG17" s="8">
        <f t="shared" si="25"/>
        <v>0</v>
      </c>
      <c r="CH17" s="8">
        <f t="shared" si="26"/>
        <v>0</v>
      </c>
      <c r="CI17" s="8">
        <f t="shared" si="27"/>
        <v>0</v>
      </c>
      <c r="CJ17" s="8">
        <f t="shared" si="28"/>
        <v>0</v>
      </c>
      <c r="CK17" s="8">
        <f t="shared" si="29"/>
        <v>0</v>
      </c>
      <c r="CL17" s="8">
        <f t="shared" si="30"/>
        <v>0</v>
      </c>
      <c r="CM17" s="8">
        <f t="shared" si="31"/>
        <v>0</v>
      </c>
      <c r="CN17" s="8">
        <f t="shared" si="32"/>
        <v>0</v>
      </c>
      <c r="CO17" s="8">
        <f t="shared" si="33"/>
        <v>0</v>
      </c>
      <c r="CP17" s="8">
        <f t="shared" si="34"/>
        <v>0</v>
      </c>
      <c r="CQ17" s="8">
        <f t="shared" si="35"/>
        <v>0</v>
      </c>
      <c r="CR17" s="8">
        <f t="shared" si="36"/>
        <v>0</v>
      </c>
      <c r="CS17" s="8">
        <f t="shared" si="37"/>
        <v>0</v>
      </c>
      <c r="CT17" s="8">
        <f t="shared" si="48"/>
        <v>0</v>
      </c>
      <c r="CU17" s="8">
        <f t="shared" si="49"/>
        <v>0</v>
      </c>
      <c r="CV17" s="8">
        <f t="shared" si="50"/>
        <v>0</v>
      </c>
      <c r="CW17" s="75">
        <v>1050301006</v>
      </c>
      <c r="CX17" s="75">
        <f>SUM(CT4:CT1500)</f>
        <v>0</v>
      </c>
      <c r="CY17" s="75" t="s">
        <v>94</v>
      </c>
      <c r="CZ17" s="74" t="s">
        <v>401</v>
      </c>
      <c r="DA17" s="74"/>
      <c r="DB17" s="74"/>
    </row>
    <row r="18" spans="1:108" ht="25.25" customHeight="1" thickTop="1" thickBot="1" x14ac:dyDescent="0.55000000000000004">
      <c r="A18" s="32"/>
      <c r="B18" s="10"/>
      <c r="C18" s="10"/>
      <c r="D18" s="11"/>
      <c r="E18" s="10"/>
      <c r="F18" s="10"/>
      <c r="G18" s="19"/>
      <c r="H18" s="19"/>
      <c r="I18" s="19"/>
      <c r="J18" s="19"/>
      <c r="K18" s="10"/>
      <c r="L18" s="10"/>
      <c r="M18" s="10"/>
      <c r="N18" s="10"/>
      <c r="O18" s="18"/>
      <c r="P18" s="18"/>
      <c r="Q18" s="20"/>
      <c r="R18" s="20"/>
      <c r="S18" s="16">
        <f t="shared" si="0"/>
        <v>0</v>
      </c>
      <c r="T18" s="11"/>
      <c r="AE18" s="44" t="s">
        <v>166</v>
      </c>
      <c r="AF18" s="31" t="s">
        <v>90</v>
      </c>
      <c r="AG18" s="35" t="s">
        <v>48</v>
      </c>
      <c r="AH18" s="42">
        <f>SUMIFS(D4:D1500,AV4:AV1500,"LV4",BR4:BR1500,"&gt;0",M4:M1500,"&lt;&gt;MOT")+SUMIFS(D4:D1500,AV4:AV1500,"LVCU",BR4:BR1500,"&gt;0",M4:M1500,"&lt;&gt;MOT")</f>
        <v>0</v>
      </c>
      <c r="AI18" s="39" t="s">
        <v>77</v>
      </c>
      <c r="AJ18" s="39">
        <v>87</v>
      </c>
      <c r="AK18" s="36">
        <f t="shared" si="46"/>
        <v>0</v>
      </c>
      <c r="AL18" s="43">
        <f>SUMIFS(D4:D1500,AV4:AV1500,"LV4",BR4:BR1500,"&gt;0",M4:M1500,"&lt;&gt;MOT",L4:L1500,"rocky")+SUMIFS(D4:D1500,AV4:AV1500,"LVCU",BR4:BR1500,"&gt;0",M4:M1500,"&lt;&gt;MOT",L4:L1500,"rocky")</f>
        <v>0</v>
      </c>
      <c r="AM18" s="40">
        <f t="shared" si="47"/>
        <v>0</v>
      </c>
      <c r="AN18" s="45"/>
      <c r="AR18" s="31"/>
      <c r="AS18" s="31">
        <f t="shared" si="1"/>
        <v>0</v>
      </c>
      <c r="AT18" s="31">
        <f t="shared" si="2"/>
        <v>0</v>
      </c>
      <c r="AU18" s="31">
        <f t="shared" si="3"/>
        <v>0</v>
      </c>
      <c r="AV18" s="31">
        <f t="shared" si="4"/>
        <v>0</v>
      </c>
      <c r="AW18" s="31">
        <f t="shared" si="5"/>
        <v>0</v>
      </c>
      <c r="AX18" s="31">
        <f t="shared" si="6"/>
        <v>0</v>
      </c>
      <c r="AY18" s="31">
        <f t="shared" si="7"/>
        <v>0</v>
      </c>
      <c r="AZ18" s="31">
        <f t="shared" si="8"/>
        <v>0</v>
      </c>
      <c r="BA18" s="31">
        <f t="shared" si="9"/>
        <v>0</v>
      </c>
      <c r="BB18" s="31">
        <f t="shared" si="41"/>
        <v>0</v>
      </c>
      <c r="BC18" s="31"/>
      <c r="BD18" s="31"/>
      <c r="BE18" s="62"/>
      <c r="BM18" s="8">
        <f t="shared" si="42"/>
        <v>0</v>
      </c>
      <c r="BN18" s="8">
        <f t="shared" si="10"/>
        <v>0</v>
      </c>
      <c r="BO18" s="8">
        <f t="shared" si="11"/>
        <v>0</v>
      </c>
      <c r="BQ18" s="8">
        <f t="shared" si="12"/>
        <v>0</v>
      </c>
      <c r="BR18" s="63">
        <f t="shared" si="13"/>
        <v>0</v>
      </c>
      <c r="BS18" s="63">
        <f t="shared" si="43"/>
        <v>0</v>
      </c>
      <c r="BT18" s="63">
        <f t="shared" si="14"/>
        <v>0</v>
      </c>
      <c r="BU18" s="63">
        <f t="shared" si="15"/>
        <v>0</v>
      </c>
      <c r="BV18" s="57">
        <f t="shared" si="16"/>
        <v>0</v>
      </c>
      <c r="BW18" s="57">
        <f t="shared" si="17"/>
        <v>0</v>
      </c>
      <c r="BX18" s="57">
        <f t="shared" si="44"/>
        <v>0</v>
      </c>
      <c r="BY18" s="57">
        <f t="shared" si="45"/>
        <v>0</v>
      </c>
      <c r="BZ18" s="8">
        <f t="shared" si="18"/>
        <v>0</v>
      </c>
      <c r="CA18" s="8">
        <f t="shared" si="19"/>
        <v>0</v>
      </c>
      <c r="CB18" s="8">
        <f t="shared" si="20"/>
        <v>0</v>
      </c>
      <c r="CC18" s="8">
        <f t="shared" si="21"/>
        <v>0</v>
      </c>
      <c r="CD18" s="8">
        <f t="shared" si="22"/>
        <v>0</v>
      </c>
      <c r="CE18" s="8">
        <f t="shared" si="23"/>
        <v>0</v>
      </c>
      <c r="CF18" s="8">
        <f t="shared" si="24"/>
        <v>0</v>
      </c>
      <c r="CG18" s="8">
        <f t="shared" si="25"/>
        <v>0</v>
      </c>
      <c r="CH18" s="8">
        <f t="shared" si="26"/>
        <v>0</v>
      </c>
      <c r="CI18" s="8">
        <f t="shared" si="27"/>
        <v>0</v>
      </c>
      <c r="CJ18" s="8">
        <f t="shared" si="28"/>
        <v>0</v>
      </c>
      <c r="CK18" s="8">
        <f t="shared" si="29"/>
        <v>0</v>
      </c>
      <c r="CL18" s="8">
        <f t="shared" si="30"/>
        <v>0</v>
      </c>
      <c r="CM18" s="8">
        <f t="shared" si="31"/>
        <v>0</v>
      </c>
      <c r="CN18" s="8">
        <f t="shared" si="32"/>
        <v>0</v>
      </c>
      <c r="CO18" s="8">
        <f t="shared" si="33"/>
        <v>0</v>
      </c>
      <c r="CP18" s="8">
        <f t="shared" si="34"/>
        <v>0</v>
      </c>
      <c r="CQ18" s="8">
        <f t="shared" si="35"/>
        <v>0</v>
      </c>
      <c r="CR18" s="8">
        <f t="shared" si="36"/>
        <v>0</v>
      </c>
      <c r="CS18" s="8">
        <f t="shared" si="37"/>
        <v>0</v>
      </c>
      <c r="CT18" s="8">
        <f t="shared" si="48"/>
        <v>0</v>
      </c>
      <c r="CU18" s="8">
        <f t="shared" si="49"/>
        <v>0</v>
      </c>
      <c r="CV18" s="8">
        <f t="shared" si="50"/>
        <v>0</v>
      </c>
      <c r="CW18" s="87">
        <v>1030201001</v>
      </c>
      <c r="CX18" s="75">
        <f>'Equipment Selection'!I12</f>
        <v>0</v>
      </c>
      <c r="CY18" s="75" t="s">
        <v>94</v>
      </c>
      <c r="CZ18" s="86" t="s">
        <v>445</v>
      </c>
      <c r="DA18" s="74"/>
      <c r="DB18" s="74"/>
      <c r="DC18" s="8" t="str">
        <f>IF(DA54&gt;0,"13.8KV,400/200A,95KV BIL","")</f>
        <v/>
      </c>
      <c r="DD18" s="8" t="str">
        <f>IF(DB54&gt;0,"33KV,400/100A,200KV BIL","")</f>
        <v/>
      </c>
    </row>
    <row r="19" spans="1:108" ht="25.25" customHeight="1" thickTop="1" thickBot="1" x14ac:dyDescent="0.55000000000000004">
      <c r="A19" s="32"/>
      <c r="B19" s="10"/>
      <c r="C19" s="10"/>
      <c r="D19" s="11"/>
      <c r="E19" s="10"/>
      <c r="F19" s="10"/>
      <c r="G19" s="19"/>
      <c r="H19" s="19"/>
      <c r="I19" s="19"/>
      <c r="J19" s="19"/>
      <c r="K19" s="10"/>
      <c r="L19" s="10"/>
      <c r="M19" s="10"/>
      <c r="N19" s="10"/>
      <c r="O19" s="18"/>
      <c r="P19" s="18"/>
      <c r="Q19" s="20"/>
      <c r="R19" s="20"/>
      <c r="S19" s="16">
        <f t="shared" si="0"/>
        <v>0</v>
      </c>
      <c r="T19" s="11"/>
      <c r="AE19" s="38" t="s">
        <v>167</v>
      </c>
      <c r="AF19" s="31" t="s">
        <v>91</v>
      </c>
      <c r="AG19" s="46" t="s">
        <v>52</v>
      </c>
      <c r="AH19" s="47">
        <f>SUMIFS(BT4:BT1500,M4:M1500,"&lt;&gt;MOT",K4:K1500,"asphalted")+SUMIFS(BU4:BU1500,M4:M1500,"&lt;&gt;MOT",K4:K1500,"asphalted")+SUMIFS(BZ4:BZ1500,M4:M1500,"&lt;&gt;MOT",K4:K1500,"asphalted")</f>
        <v>0</v>
      </c>
      <c r="AI19" s="39" t="s">
        <v>29</v>
      </c>
      <c r="AJ19" s="39">
        <v>158</v>
      </c>
      <c r="AK19" s="36">
        <f t="shared" si="46"/>
        <v>0</v>
      </c>
      <c r="AL19" s="43">
        <f>SUMIFS(BT4:BT1500,M4:M1500,"&lt;&gt;MOT",K4:K1500,"asphalted",L4:L1500,"rocky")+SUMIFS(BU4:BU1500,M4:M1500,"&lt;&gt;MOT",K4:K1500,"asphalted",L4:L1500,"rocky")</f>
        <v>0</v>
      </c>
      <c r="AM19" s="40">
        <f t="shared" si="47"/>
        <v>0</v>
      </c>
      <c r="AN19" s="41"/>
      <c r="AR19" s="31"/>
      <c r="AS19" s="31">
        <f t="shared" si="1"/>
        <v>0</v>
      </c>
      <c r="AT19" s="31">
        <f t="shared" si="2"/>
        <v>0</v>
      </c>
      <c r="AU19" s="31">
        <f t="shared" si="3"/>
        <v>0</v>
      </c>
      <c r="AV19" s="31">
        <f t="shared" si="4"/>
        <v>0</v>
      </c>
      <c r="AW19" s="31">
        <f t="shared" si="5"/>
        <v>0</v>
      </c>
      <c r="AX19" s="31">
        <f t="shared" si="6"/>
        <v>0</v>
      </c>
      <c r="AY19" s="31">
        <f t="shared" si="7"/>
        <v>0</v>
      </c>
      <c r="AZ19" s="31">
        <f t="shared" si="8"/>
        <v>0</v>
      </c>
      <c r="BA19" s="31">
        <f t="shared" si="9"/>
        <v>0</v>
      </c>
      <c r="BB19" s="31">
        <f t="shared" si="41"/>
        <v>0</v>
      </c>
      <c r="BC19" s="31" t="s">
        <v>100</v>
      </c>
      <c r="BD19" s="31"/>
      <c r="BE19" s="212" t="s">
        <v>101</v>
      </c>
      <c r="BF19" s="212"/>
      <c r="BM19" s="8">
        <f t="shared" si="42"/>
        <v>0</v>
      </c>
      <c r="BN19" s="8">
        <f t="shared" si="10"/>
        <v>0</v>
      </c>
      <c r="BO19" s="8">
        <f t="shared" si="11"/>
        <v>0</v>
      </c>
      <c r="BQ19" s="8">
        <f t="shared" si="12"/>
        <v>0</v>
      </c>
      <c r="BR19" s="63">
        <f t="shared" si="13"/>
        <v>0</v>
      </c>
      <c r="BS19" s="63">
        <f t="shared" si="43"/>
        <v>0</v>
      </c>
      <c r="BT19" s="63">
        <f t="shared" si="14"/>
        <v>0</v>
      </c>
      <c r="BU19" s="63">
        <f t="shared" si="15"/>
        <v>0</v>
      </c>
      <c r="BV19" s="57">
        <f t="shared" si="16"/>
        <v>0</v>
      </c>
      <c r="BW19" s="57">
        <f t="shared" si="17"/>
        <v>0</v>
      </c>
      <c r="BX19" s="57">
        <f t="shared" si="44"/>
        <v>0</v>
      </c>
      <c r="BY19" s="57">
        <f t="shared" si="45"/>
        <v>0</v>
      </c>
      <c r="BZ19" s="8">
        <f t="shared" si="18"/>
        <v>0</v>
      </c>
      <c r="CA19" s="8">
        <f t="shared" si="19"/>
        <v>0</v>
      </c>
      <c r="CB19" s="8">
        <f t="shared" si="20"/>
        <v>0</v>
      </c>
      <c r="CC19" s="8">
        <f t="shared" si="21"/>
        <v>0</v>
      </c>
      <c r="CD19" s="8">
        <f t="shared" si="22"/>
        <v>0</v>
      </c>
      <c r="CE19" s="8">
        <f t="shared" si="23"/>
        <v>0</v>
      </c>
      <c r="CF19" s="8">
        <f t="shared" si="24"/>
        <v>0</v>
      </c>
      <c r="CG19" s="8">
        <f t="shared" si="25"/>
        <v>0</v>
      </c>
      <c r="CH19" s="8">
        <f t="shared" si="26"/>
        <v>0</v>
      </c>
      <c r="CI19" s="8">
        <f t="shared" si="27"/>
        <v>0</v>
      </c>
      <c r="CJ19" s="8">
        <f t="shared" si="28"/>
        <v>0</v>
      </c>
      <c r="CK19" s="8">
        <f t="shared" si="29"/>
        <v>0</v>
      </c>
      <c r="CL19" s="8">
        <f t="shared" si="30"/>
        <v>0</v>
      </c>
      <c r="CM19" s="8">
        <f t="shared" si="31"/>
        <v>0</v>
      </c>
      <c r="CN19" s="8">
        <f t="shared" si="32"/>
        <v>0</v>
      </c>
      <c r="CO19" s="8">
        <f t="shared" si="33"/>
        <v>0</v>
      </c>
      <c r="CP19" s="8">
        <f t="shared" si="34"/>
        <v>0</v>
      </c>
      <c r="CQ19" s="8">
        <f t="shared" si="35"/>
        <v>0</v>
      </c>
      <c r="CR19" s="8">
        <f t="shared" si="36"/>
        <v>0</v>
      </c>
      <c r="CS19" s="8">
        <f t="shared" si="37"/>
        <v>0</v>
      </c>
      <c r="CT19" s="8">
        <f t="shared" si="48"/>
        <v>0</v>
      </c>
      <c r="CU19" s="8">
        <f t="shared" si="49"/>
        <v>0</v>
      </c>
      <c r="CV19" s="8">
        <f t="shared" si="50"/>
        <v>0</v>
      </c>
      <c r="CW19" s="87">
        <v>1030201002</v>
      </c>
      <c r="CX19" s="75">
        <f>'Equipment Selection'!I13</f>
        <v>0</v>
      </c>
      <c r="CY19" s="75" t="s">
        <v>94</v>
      </c>
      <c r="CZ19" s="86" t="s">
        <v>446</v>
      </c>
      <c r="DA19" s="74"/>
      <c r="DB19" s="74"/>
      <c r="DC19" s="8" t="str">
        <f>IF(DA55&gt;0,"13.8KV,400/200A,95KV BIL","")</f>
        <v/>
      </c>
      <c r="DD19" s="8" t="str">
        <f>IF(DB55&gt;0,"33KV,400/100A,200KV BIL","")</f>
        <v/>
      </c>
    </row>
    <row r="20" spans="1:108" ht="25.25" customHeight="1" thickTop="1" thickBot="1" x14ac:dyDescent="0.55000000000000004">
      <c r="A20" s="32"/>
      <c r="B20" s="10"/>
      <c r="C20" s="10"/>
      <c r="D20" s="11"/>
      <c r="E20" s="10"/>
      <c r="F20" s="10"/>
      <c r="G20" s="19"/>
      <c r="H20" s="19"/>
      <c r="I20" s="19"/>
      <c r="J20" s="19"/>
      <c r="K20" s="10"/>
      <c r="L20" s="10"/>
      <c r="M20" s="10"/>
      <c r="N20" s="10"/>
      <c r="O20" s="18"/>
      <c r="P20" s="18"/>
      <c r="Q20" s="20"/>
      <c r="R20" s="20"/>
      <c r="S20" s="16">
        <f t="shared" si="0"/>
        <v>0</v>
      </c>
      <c r="T20" s="11"/>
      <c r="AE20" s="38" t="s">
        <v>185</v>
      </c>
      <c r="AF20" s="31" t="s">
        <v>90</v>
      </c>
      <c r="AG20" s="35" t="s">
        <v>192</v>
      </c>
      <c r="AH20" s="39">
        <f>SUMIFS(D4:D1500,AV4:AV1500,"MV1",BR4:BR1500,"&gt;0",M4:M1500,"MOT")</f>
        <v>0</v>
      </c>
      <c r="AI20" s="39" t="s">
        <v>202</v>
      </c>
      <c r="AJ20" s="39">
        <v>75</v>
      </c>
      <c r="AK20" s="36">
        <f t="shared" si="46"/>
        <v>0</v>
      </c>
      <c r="AL20" s="40">
        <f>SUMIFS(D4:D1500,AV4:AV1500,"MV1",BR4:BR1500,"&gt;0",M4:M1500,"MOT",L4:L1500,"rocky")</f>
        <v>0</v>
      </c>
      <c r="AM20" s="40">
        <f t="shared" si="47"/>
        <v>0</v>
      </c>
      <c r="AN20" s="41"/>
      <c r="AR20" s="31"/>
      <c r="AS20" s="31">
        <f t="shared" si="1"/>
        <v>0</v>
      </c>
      <c r="AT20" s="31">
        <f t="shared" si="2"/>
        <v>0</v>
      </c>
      <c r="AU20" s="31">
        <f t="shared" si="3"/>
        <v>0</v>
      </c>
      <c r="AV20" s="31">
        <f t="shared" si="4"/>
        <v>0</v>
      </c>
      <c r="AW20" s="31">
        <f t="shared" si="5"/>
        <v>0</v>
      </c>
      <c r="AX20" s="31">
        <f t="shared" si="6"/>
        <v>0</v>
      </c>
      <c r="AY20" s="31">
        <f t="shared" si="7"/>
        <v>0</v>
      </c>
      <c r="AZ20" s="31">
        <f t="shared" si="8"/>
        <v>0</v>
      </c>
      <c r="BA20" s="31">
        <f t="shared" si="9"/>
        <v>0</v>
      </c>
      <c r="BB20" s="31">
        <f t="shared" si="41"/>
        <v>0</v>
      </c>
      <c r="BC20" s="31"/>
      <c r="BD20" s="31"/>
      <c r="BE20" s="64"/>
      <c r="BF20" s="64"/>
      <c r="BM20" s="8">
        <f t="shared" si="42"/>
        <v>0</v>
      </c>
      <c r="BN20" s="8">
        <f t="shared" si="10"/>
        <v>0</v>
      </c>
      <c r="BO20" s="8">
        <f t="shared" si="11"/>
        <v>0</v>
      </c>
      <c r="BQ20" s="8">
        <f t="shared" si="12"/>
        <v>0</v>
      </c>
      <c r="BR20" s="63">
        <f t="shared" si="13"/>
        <v>0</v>
      </c>
      <c r="BS20" s="63">
        <f t="shared" si="43"/>
        <v>0</v>
      </c>
      <c r="BT20" s="63">
        <f t="shared" si="14"/>
        <v>0</v>
      </c>
      <c r="BU20" s="63">
        <f t="shared" si="15"/>
        <v>0</v>
      </c>
      <c r="BV20" s="57">
        <f t="shared" si="16"/>
        <v>0</v>
      </c>
      <c r="BW20" s="57">
        <f t="shared" si="17"/>
        <v>0</v>
      </c>
      <c r="BX20" s="57">
        <f t="shared" si="44"/>
        <v>0</v>
      </c>
      <c r="BY20" s="57">
        <f t="shared" si="45"/>
        <v>0</v>
      </c>
      <c r="BZ20" s="8">
        <f t="shared" si="18"/>
        <v>0</v>
      </c>
      <c r="CA20" s="8">
        <f t="shared" si="19"/>
        <v>0</v>
      </c>
      <c r="CB20" s="8">
        <f t="shared" si="20"/>
        <v>0</v>
      </c>
      <c r="CC20" s="8">
        <f t="shared" si="21"/>
        <v>0</v>
      </c>
      <c r="CD20" s="8">
        <f t="shared" si="22"/>
        <v>0</v>
      </c>
      <c r="CE20" s="8">
        <f t="shared" si="23"/>
        <v>0</v>
      </c>
      <c r="CF20" s="8">
        <f t="shared" si="24"/>
        <v>0</v>
      </c>
      <c r="CG20" s="8">
        <f t="shared" si="25"/>
        <v>0</v>
      </c>
      <c r="CH20" s="8">
        <f t="shared" si="26"/>
        <v>0</v>
      </c>
      <c r="CI20" s="8">
        <f t="shared" si="27"/>
        <v>0</v>
      </c>
      <c r="CJ20" s="8">
        <f t="shared" si="28"/>
        <v>0</v>
      </c>
      <c r="CK20" s="8">
        <f t="shared" si="29"/>
        <v>0</v>
      </c>
      <c r="CL20" s="8">
        <f t="shared" si="30"/>
        <v>0</v>
      </c>
      <c r="CM20" s="8">
        <f t="shared" si="31"/>
        <v>0</v>
      </c>
      <c r="CN20" s="8">
        <f t="shared" si="32"/>
        <v>0</v>
      </c>
      <c r="CO20" s="8">
        <f t="shared" si="33"/>
        <v>0</v>
      </c>
      <c r="CP20" s="8">
        <f t="shared" si="34"/>
        <v>0</v>
      </c>
      <c r="CQ20" s="8">
        <f t="shared" si="35"/>
        <v>0</v>
      </c>
      <c r="CR20" s="8">
        <f t="shared" si="36"/>
        <v>0</v>
      </c>
      <c r="CS20" s="8">
        <f t="shared" si="37"/>
        <v>0</v>
      </c>
      <c r="CT20" s="8">
        <f t="shared" si="48"/>
        <v>0</v>
      </c>
      <c r="CU20" s="8">
        <f t="shared" si="49"/>
        <v>0</v>
      </c>
      <c r="CV20" s="8">
        <f t="shared" si="50"/>
        <v>0</v>
      </c>
      <c r="CW20" s="87">
        <v>1030201003</v>
      </c>
      <c r="CX20" s="75">
        <f>'Equipment Selection'!$I$14</f>
        <v>0</v>
      </c>
      <c r="CY20" s="75" t="s">
        <v>94</v>
      </c>
      <c r="CZ20" s="86" t="s">
        <v>447</v>
      </c>
      <c r="DA20" s="74"/>
      <c r="DB20" s="74"/>
      <c r="DC20" s="8" t="str">
        <f>IF(DA56&gt;0,"13.8KV,630/400A,95KV/110KV BIL","")</f>
        <v/>
      </c>
      <c r="DD20" s="8" t="str">
        <f>IF(DB56&gt;0,"33KV,630/400A,170/200KV BIL","")</f>
        <v/>
      </c>
    </row>
    <row r="21" spans="1:108" ht="25.25" customHeight="1" thickTop="1" thickBot="1" x14ac:dyDescent="0.55000000000000004">
      <c r="A21" s="32"/>
      <c r="B21" s="10"/>
      <c r="C21" s="10"/>
      <c r="D21" s="11"/>
      <c r="E21" s="10"/>
      <c r="F21" s="10"/>
      <c r="G21" s="19"/>
      <c r="H21" s="19"/>
      <c r="I21" s="19"/>
      <c r="J21" s="19"/>
      <c r="K21" s="10"/>
      <c r="L21" s="10"/>
      <c r="M21" s="10"/>
      <c r="N21" s="10"/>
      <c r="O21" s="18"/>
      <c r="P21" s="18"/>
      <c r="Q21" s="20"/>
      <c r="R21" s="20"/>
      <c r="S21" s="16">
        <f t="shared" si="0"/>
        <v>0</v>
      </c>
      <c r="T21" s="11"/>
      <c r="AE21" s="38" t="s">
        <v>186</v>
      </c>
      <c r="AF21" s="31" t="s">
        <v>90</v>
      </c>
      <c r="AG21" s="35" t="s">
        <v>193</v>
      </c>
      <c r="AH21" s="39">
        <f>SUMIFS(D4:D1500,AV4:AV1500,"MV2",BR4:BR1500,"&gt;0",M4:M1500,"MOT")</f>
        <v>0</v>
      </c>
      <c r="AI21" s="39" t="s">
        <v>203</v>
      </c>
      <c r="AJ21" s="39">
        <v>95</v>
      </c>
      <c r="AK21" s="36">
        <f t="shared" si="46"/>
        <v>0</v>
      </c>
      <c r="AL21" s="40">
        <f>SUMIFS(D4:D1500,AV4:AV1500,"MV2",BR4:BR1500,"&gt;0",M4:M1500,"MOT",L4:L1500,"rocky")</f>
        <v>0</v>
      </c>
      <c r="AM21" s="40">
        <f t="shared" si="47"/>
        <v>0</v>
      </c>
      <c r="AN21" s="41"/>
      <c r="AR21" s="31"/>
      <c r="AS21" s="31">
        <f t="shared" si="1"/>
        <v>0</v>
      </c>
      <c r="AT21" s="31">
        <f t="shared" si="2"/>
        <v>0</v>
      </c>
      <c r="AU21" s="31">
        <f t="shared" si="3"/>
        <v>0</v>
      </c>
      <c r="AV21" s="31">
        <f t="shared" si="4"/>
        <v>0</v>
      </c>
      <c r="AW21" s="31">
        <f t="shared" si="5"/>
        <v>0</v>
      </c>
      <c r="AX21" s="31">
        <f t="shared" si="6"/>
        <v>0</v>
      </c>
      <c r="AY21" s="31">
        <f t="shared" si="7"/>
        <v>0</v>
      </c>
      <c r="AZ21" s="31">
        <f t="shared" si="8"/>
        <v>0</v>
      </c>
      <c r="BA21" s="31">
        <f t="shared" si="9"/>
        <v>0</v>
      </c>
      <c r="BB21" s="31">
        <f t="shared" si="41"/>
        <v>0</v>
      </c>
      <c r="BC21" s="31"/>
      <c r="BD21" s="31"/>
      <c r="BE21" s="64"/>
      <c r="BF21" s="64"/>
      <c r="BM21" s="8">
        <f t="shared" si="42"/>
        <v>0</v>
      </c>
      <c r="BN21" s="8">
        <f t="shared" si="10"/>
        <v>0</v>
      </c>
      <c r="BO21" s="8">
        <f t="shared" si="11"/>
        <v>0</v>
      </c>
      <c r="BQ21" s="8">
        <f t="shared" si="12"/>
        <v>0</v>
      </c>
      <c r="BR21" s="63">
        <f t="shared" si="13"/>
        <v>0</v>
      </c>
      <c r="BS21" s="63">
        <f t="shared" si="43"/>
        <v>0</v>
      </c>
      <c r="BT21" s="63">
        <f t="shared" si="14"/>
        <v>0</v>
      </c>
      <c r="BU21" s="63">
        <f t="shared" si="15"/>
        <v>0</v>
      </c>
      <c r="BV21" s="57">
        <f t="shared" si="16"/>
        <v>0</v>
      </c>
      <c r="BW21" s="57">
        <f t="shared" si="17"/>
        <v>0</v>
      </c>
      <c r="BX21" s="57">
        <f t="shared" si="44"/>
        <v>0</v>
      </c>
      <c r="BY21" s="57">
        <f t="shared" si="45"/>
        <v>0</v>
      </c>
      <c r="BZ21" s="8">
        <f t="shared" si="18"/>
        <v>0</v>
      </c>
      <c r="CA21" s="8">
        <f t="shared" si="19"/>
        <v>0</v>
      </c>
      <c r="CB21" s="8">
        <f t="shared" si="20"/>
        <v>0</v>
      </c>
      <c r="CC21" s="8">
        <f t="shared" si="21"/>
        <v>0</v>
      </c>
      <c r="CD21" s="8">
        <f t="shared" si="22"/>
        <v>0</v>
      </c>
      <c r="CE21" s="8">
        <f t="shared" si="23"/>
        <v>0</v>
      </c>
      <c r="CF21" s="8">
        <f t="shared" si="24"/>
        <v>0</v>
      </c>
      <c r="CG21" s="8">
        <f t="shared" si="25"/>
        <v>0</v>
      </c>
      <c r="CH21" s="8">
        <f t="shared" si="26"/>
        <v>0</v>
      </c>
      <c r="CI21" s="8">
        <f t="shared" si="27"/>
        <v>0</v>
      </c>
      <c r="CJ21" s="8">
        <f t="shared" si="28"/>
        <v>0</v>
      </c>
      <c r="CK21" s="8">
        <f t="shared" si="29"/>
        <v>0</v>
      </c>
      <c r="CL21" s="8">
        <f t="shared" si="30"/>
        <v>0</v>
      </c>
      <c r="CM21" s="8">
        <f t="shared" si="31"/>
        <v>0</v>
      </c>
      <c r="CN21" s="8">
        <f t="shared" si="32"/>
        <v>0</v>
      </c>
      <c r="CO21" s="8">
        <f t="shared" si="33"/>
        <v>0</v>
      </c>
      <c r="CP21" s="8">
        <f t="shared" si="34"/>
        <v>0</v>
      </c>
      <c r="CQ21" s="8">
        <f t="shared" si="35"/>
        <v>0</v>
      </c>
      <c r="CR21" s="8">
        <f t="shared" si="36"/>
        <v>0</v>
      </c>
      <c r="CS21" s="8">
        <f t="shared" si="37"/>
        <v>0</v>
      </c>
      <c r="CT21" s="8">
        <f t="shared" si="48"/>
        <v>0</v>
      </c>
      <c r="CU21" s="8">
        <f t="shared" si="49"/>
        <v>0</v>
      </c>
      <c r="CV21" s="8">
        <f t="shared" si="50"/>
        <v>0</v>
      </c>
      <c r="CW21" s="87">
        <v>1030301001</v>
      </c>
      <c r="CX21" s="75">
        <f>'Equipment Selection'!I15</f>
        <v>0</v>
      </c>
      <c r="CY21" s="75" t="s">
        <v>94</v>
      </c>
      <c r="CZ21" s="87" t="s">
        <v>448</v>
      </c>
      <c r="DA21" s="74"/>
      <c r="DB21" s="74"/>
      <c r="DC21" s="8" t="str">
        <f>IF(DA57&gt;0,"13.8KV,630A,95KV BIL","")</f>
        <v/>
      </c>
      <c r="DD21" s="8" t="str">
        <f>IF(DB57&gt;0,"36KV,36,200KV BIL","")</f>
        <v/>
      </c>
    </row>
    <row r="22" spans="1:108" ht="25.25" customHeight="1" thickTop="1" thickBot="1" x14ac:dyDescent="0.55000000000000004">
      <c r="A22" s="32"/>
      <c r="B22" s="10"/>
      <c r="C22" s="10"/>
      <c r="D22" s="11"/>
      <c r="E22" s="10"/>
      <c r="F22" s="10"/>
      <c r="G22" s="19"/>
      <c r="H22" s="19"/>
      <c r="I22" s="19"/>
      <c r="J22" s="19"/>
      <c r="K22" s="10"/>
      <c r="L22" s="10"/>
      <c r="M22" s="10"/>
      <c r="N22" s="10"/>
      <c r="O22" s="18"/>
      <c r="P22" s="18"/>
      <c r="Q22" s="20"/>
      <c r="R22" s="20"/>
      <c r="S22" s="16">
        <f t="shared" si="0"/>
        <v>0</v>
      </c>
      <c r="T22" s="11"/>
      <c r="AE22" s="38" t="s">
        <v>187</v>
      </c>
      <c r="AF22" s="31" t="s">
        <v>90</v>
      </c>
      <c r="AG22" s="35" t="s">
        <v>194</v>
      </c>
      <c r="AH22" s="39">
        <f>SUMIFS(D4:D1500,AV4:AV1500,"MV3",BR4:BR1500,"&gt;0",M4:M1500,"MOT")</f>
        <v>0</v>
      </c>
      <c r="AI22" s="39" t="s">
        <v>205</v>
      </c>
      <c r="AJ22" s="39">
        <v>122</v>
      </c>
      <c r="AK22" s="36">
        <f t="shared" si="46"/>
        <v>0</v>
      </c>
      <c r="AL22" s="40">
        <f>SUMIFS(D4:D1500,AV4:AV1500,"MV3",BR4:BR1500,"&gt;0",M4:M1500,"MOT",L4:L1500,"rocky")</f>
        <v>0</v>
      </c>
      <c r="AM22" s="40">
        <f t="shared" si="47"/>
        <v>0</v>
      </c>
      <c r="AN22" s="41"/>
      <c r="AR22" s="31"/>
      <c r="AS22" s="31">
        <f t="shared" si="1"/>
        <v>0</v>
      </c>
      <c r="AT22" s="31">
        <f t="shared" si="2"/>
        <v>0</v>
      </c>
      <c r="AU22" s="31">
        <f t="shared" si="3"/>
        <v>0</v>
      </c>
      <c r="AV22" s="31">
        <f t="shared" si="4"/>
        <v>0</v>
      </c>
      <c r="AW22" s="31">
        <f t="shared" si="5"/>
        <v>0</v>
      </c>
      <c r="AX22" s="31">
        <f t="shared" si="6"/>
        <v>0</v>
      </c>
      <c r="AY22" s="31">
        <f t="shared" si="7"/>
        <v>0</v>
      </c>
      <c r="AZ22" s="31">
        <f t="shared" si="8"/>
        <v>0</v>
      </c>
      <c r="BA22" s="31">
        <f t="shared" si="9"/>
        <v>0</v>
      </c>
      <c r="BB22" s="31">
        <f t="shared" si="41"/>
        <v>0</v>
      </c>
      <c r="BC22" s="31"/>
      <c r="BD22" s="31"/>
      <c r="BE22" s="64"/>
      <c r="BF22" s="64"/>
      <c r="BM22" s="8">
        <f t="shared" si="42"/>
        <v>0</v>
      </c>
      <c r="BN22" s="8">
        <f t="shared" si="10"/>
        <v>0</v>
      </c>
      <c r="BO22" s="8">
        <f t="shared" si="11"/>
        <v>0</v>
      </c>
      <c r="BQ22" s="8">
        <f t="shared" si="12"/>
        <v>0</v>
      </c>
      <c r="BR22" s="63">
        <f t="shared" si="13"/>
        <v>0</v>
      </c>
      <c r="BS22" s="63">
        <f t="shared" si="43"/>
        <v>0</v>
      </c>
      <c r="BT22" s="63">
        <f t="shared" si="14"/>
        <v>0</v>
      </c>
      <c r="BU22" s="63">
        <f t="shared" si="15"/>
        <v>0</v>
      </c>
      <c r="BV22" s="57">
        <f t="shared" si="16"/>
        <v>0</v>
      </c>
      <c r="BW22" s="57">
        <f t="shared" si="17"/>
        <v>0</v>
      </c>
      <c r="BX22" s="57">
        <f t="shared" si="44"/>
        <v>0</v>
      </c>
      <c r="BY22" s="57">
        <f t="shared" si="45"/>
        <v>0</v>
      </c>
      <c r="BZ22" s="8">
        <f t="shared" si="18"/>
        <v>0</v>
      </c>
      <c r="CA22" s="8">
        <f t="shared" si="19"/>
        <v>0</v>
      </c>
      <c r="CB22" s="8">
        <f t="shared" si="20"/>
        <v>0</v>
      </c>
      <c r="CC22" s="8">
        <f t="shared" si="21"/>
        <v>0</v>
      </c>
      <c r="CD22" s="8">
        <f t="shared" si="22"/>
        <v>0</v>
      </c>
      <c r="CE22" s="8">
        <f t="shared" si="23"/>
        <v>0</v>
      </c>
      <c r="CF22" s="8">
        <f t="shared" si="24"/>
        <v>0</v>
      </c>
      <c r="CG22" s="8">
        <f t="shared" si="25"/>
        <v>0</v>
      </c>
      <c r="CH22" s="8">
        <f t="shared" si="26"/>
        <v>0</v>
      </c>
      <c r="CI22" s="8">
        <f t="shared" si="27"/>
        <v>0</v>
      </c>
      <c r="CJ22" s="8">
        <f t="shared" si="28"/>
        <v>0</v>
      </c>
      <c r="CK22" s="8">
        <f t="shared" si="29"/>
        <v>0</v>
      </c>
      <c r="CL22" s="8">
        <f t="shared" si="30"/>
        <v>0</v>
      </c>
      <c r="CM22" s="8">
        <f t="shared" si="31"/>
        <v>0</v>
      </c>
      <c r="CN22" s="8">
        <f t="shared" si="32"/>
        <v>0</v>
      </c>
      <c r="CO22" s="8">
        <f t="shared" si="33"/>
        <v>0</v>
      </c>
      <c r="CP22" s="8">
        <f t="shared" si="34"/>
        <v>0</v>
      </c>
      <c r="CQ22" s="8">
        <f t="shared" si="35"/>
        <v>0</v>
      </c>
      <c r="CR22" s="8">
        <f t="shared" si="36"/>
        <v>0</v>
      </c>
      <c r="CS22" s="8">
        <f t="shared" si="37"/>
        <v>0</v>
      </c>
      <c r="CT22" s="8">
        <f t="shared" si="48"/>
        <v>0</v>
      </c>
      <c r="CU22" s="8">
        <f t="shared" si="49"/>
        <v>0</v>
      </c>
      <c r="CV22" s="8">
        <f t="shared" si="50"/>
        <v>0</v>
      </c>
      <c r="CW22" s="87">
        <v>1030301002</v>
      </c>
      <c r="CX22" s="75">
        <f>'Equipment Selection'!I16</f>
        <v>0</v>
      </c>
      <c r="CY22" s="75" t="s">
        <v>94</v>
      </c>
      <c r="CZ22" s="87" t="s">
        <v>449</v>
      </c>
      <c r="DA22" s="74"/>
      <c r="DB22" s="74"/>
      <c r="DC22" s="8" t="str">
        <f>IF(DA58&gt;0,"13.8KV,630/400A,95KV/110KV BIL","")</f>
        <v/>
      </c>
      <c r="DD22" s="8" t="str">
        <f>IF(DB58&gt;0,"36KV,630A/400A,170/200KV BIL","")</f>
        <v/>
      </c>
    </row>
    <row r="23" spans="1:108" ht="25.25" customHeight="1" thickTop="1" thickBot="1" x14ac:dyDescent="0.55000000000000004">
      <c r="A23" s="32"/>
      <c r="B23" s="10"/>
      <c r="C23" s="10"/>
      <c r="D23" s="11"/>
      <c r="E23" s="10"/>
      <c r="F23" s="10"/>
      <c r="G23" s="19"/>
      <c r="H23" s="19"/>
      <c r="I23" s="19"/>
      <c r="J23" s="19"/>
      <c r="K23" s="10"/>
      <c r="L23" s="10"/>
      <c r="M23" s="10"/>
      <c r="N23" s="10"/>
      <c r="O23" s="18"/>
      <c r="P23" s="18"/>
      <c r="Q23" s="20"/>
      <c r="R23" s="20"/>
      <c r="S23" s="16">
        <f t="shared" si="0"/>
        <v>0</v>
      </c>
      <c r="T23" s="11"/>
      <c r="AE23" s="38" t="s">
        <v>188</v>
      </c>
      <c r="AF23" s="31" t="s">
        <v>90</v>
      </c>
      <c r="AG23" s="35" t="s">
        <v>195</v>
      </c>
      <c r="AH23" s="42">
        <f>SUMIFS(D4:D1500,AV4:AV1500,"MV4",BR4:BR1500,"&gt;0",M4:M1500,"MOT")+SUMIFS(D4:D1500,AV4:AV1500,"MVCU",BR4:BR1500,"&gt;0",M4:M1500,"MOT")</f>
        <v>0</v>
      </c>
      <c r="AI23" s="39" t="s">
        <v>204</v>
      </c>
      <c r="AJ23" s="39">
        <v>147</v>
      </c>
      <c r="AK23" s="36">
        <f t="shared" si="46"/>
        <v>0</v>
      </c>
      <c r="AL23" s="43">
        <f>SUMIFS(D4:D1500,AV4:AV1500,"MV4",BR4:BR1500,"&gt;0",M4:M1500,"MOT",L4:L1500,"rocky")+SUMIFS(D4:D1500,AV4:AV1500,"MVCU",BR4:BR1500,"&gt;0",M4:M1500,"MOT",L4:L1500,"rocky")</f>
        <v>0</v>
      </c>
      <c r="AM23" s="40">
        <f t="shared" si="47"/>
        <v>0</v>
      </c>
      <c r="AN23" s="41"/>
      <c r="AR23" s="31"/>
      <c r="AS23" s="31">
        <f t="shared" si="1"/>
        <v>0</v>
      </c>
      <c r="AT23" s="31">
        <f t="shared" si="2"/>
        <v>0</v>
      </c>
      <c r="AU23" s="31">
        <f t="shared" si="3"/>
        <v>0</v>
      </c>
      <c r="AV23" s="31">
        <f t="shared" si="4"/>
        <v>0</v>
      </c>
      <c r="AW23" s="31">
        <f t="shared" si="5"/>
        <v>0</v>
      </c>
      <c r="AX23" s="31">
        <f t="shared" si="6"/>
        <v>0</v>
      </c>
      <c r="AY23" s="31">
        <f t="shared" si="7"/>
        <v>0</v>
      </c>
      <c r="AZ23" s="31">
        <f t="shared" si="8"/>
        <v>0</v>
      </c>
      <c r="BA23" s="31">
        <f t="shared" si="9"/>
        <v>0</v>
      </c>
      <c r="BB23" s="31">
        <f t="shared" si="41"/>
        <v>0</v>
      </c>
      <c r="BC23" s="31"/>
      <c r="BD23" s="31"/>
      <c r="BE23" s="64"/>
      <c r="BF23" s="64"/>
      <c r="BM23" s="8">
        <f t="shared" si="42"/>
        <v>0</v>
      </c>
      <c r="BN23" s="8">
        <f t="shared" si="10"/>
        <v>0</v>
      </c>
      <c r="BO23" s="8">
        <f t="shared" si="11"/>
        <v>0</v>
      </c>
      <c r="BQ23" s="8">
        <f t="shared" si="12"/>
        <v>0</v>
      </c>
      <c r="BR23" s="63">
        <f t="shared" si="13"/>
        <v>0</v>
      </c>
      <c r="BS23" s="63">
        <f t="shared" si="43"/>
        <v>0</v>
      </c>
      <c r="BT23" s="63">
        <f t="shared" si="14"/>
        <v>0</v>
      </c>
      <c r="BU23" s="63">
        <f t="shared" si="15"/>
        <v>0</v>
      </c>
      <c r="BV23" s="57">
        <f t="shared" si="16"/>
        <v>0</v>
      </c>
      <c r="BW23" s="57">
        <f t="shared" si="17"/>
        <v>0</v>
      </c>
      <c r="BX23" s="57">
        <f t="shared" si="44"/>
        <v>0</v>
      </c>
      <c r="BY23" s="57">
        <f t="shared" si="45"/>
        <v>0</v>
      </c>
      <c r="BZ23" s="8">
        <f t="shared" si="18"/>
        <v>0</v>
      </c>
      <c r="CA23" s="8">
        <f t="shared" si="19"/>
        <v>0</v>
      </c>
      <c r="CB23" s="8">
        <f t="shared" si="20"/>
        <v>0</v>
      </c>
      <c r="CC23" s="8">
        <f t="shared" si="21"/>
        <v>0</v>
      </c>
      <c r="CD23" s="8">
        <f t="shared" si="22"/>
        <v>0</v>
      </c>
      <c r="CE23" s="8">
        <f t="shared" si="23"/>
        <v>0</v>
      </c>
      <c r="CF23" s="8">
        <f t="shared" si="24"/>
        <v>0</v>
      </c>
      <c r="CG23" s="8">
        <f t="shared" si="25"/>
        <v>0</v>
      </c>
      <c r="CH23" s="8">
        <f t="shared" si="26"/>
        <v>0</v>
      </c>
      <c r="CI23" s="8">
        <f t="shared" si="27"/>
        <v>0</v>
      </c>
      <c r="CJ23" s="8">
        <f t="shared" si="28"/>
        <v>0</v>
      </c>
      <c r="CK23" s="8">
        <f t="shared" si="29"/>
        <v>0</v>
      </c>
      <c r="CL23" s="8">
        <f t="shared" si="30"/>
        <v>0</v>
      </c>
      <c r="CM23" s="8">
        <f t="shared" si="31"/>
        <v>0</v>
      </c>
      <c r="CN23" s="8">
        <f t="shared" si="32"/>
        <v>0</v>
      </c>
      <c r="CO23" s="8">
        <f t="shared" si="33"/>
        <v>0</v>
      </c>
      <c r="CP23" s="8">
        <f t="shared" si="34"/>
        <v>0</v>
      </c>
      <c r="CQ23" s="8">
        <f t="shared" si="35"/>
        <v>0</v>
      </c>
      <c r="CR23" s="8">
        <f t="shared" si="36"/>
        <v>0</v>
      </c>
      <c r="CS23" s="8">
        <f t="shared" si="37"/>
        <v>0</v>
      </c>
      <c r="CT23" s="8">
        <f t="shared" si="48"/>
        <v>0</v>
      </c>
      <c r="CU23" s="8">
        <f t="shared" si="49"/>
        <v>0</v>
      </c>
      <c r="CV23" s="8">
        <f t="shared" si="50"/>
        <v>0</v>
      </c>
      <c r="CW23" s="87">
        <v>1030301003</v>
      </c>
      <c r="CX23" s="75">
        <f>'Equipment Selection'!I17</f>
        <v>0</v>
      </c>
      <c r="CY23" s="75" t="s">
        <v>94</v>
      </c>
      <c r="CZ23" s="87" t="s">
        <v>450</v>
      </c>
      <c r="DA23" s="74"/>
      <c r="DB23" s="74"/>
    </row>
    <row r="24" spans="1:108" ht="25.25" customHeight="1" thickTop="1" thickBot="1" x14ac:dyDescent="0.55000000000000004">
      <c r="A24" s="32"/>
      <c r="B24" s="10"/>
      <c r="C24" s="10"/>
      <c r="D24" s="11"/>
      <c r="E24" s="10"/>
      <c r="F24" s="10"/>
      <c r="G24" s="19"/>
      <c r="H24" s="19"/>
      <c r="I24" s="19"/>
      <c r="J24" s="19"/>
      <c r="K24" s="10"/>
      <c r="L24" s="10"/>
      <c r="M24" s="10"/>
      <c r="N24" s="10"/>
      <c r="O24" s="18"/>
      <c r="P24" s="18"/>
      <c r="Q24" s="20"/>
      <c r="R24" s="20"/>
      <c r="S24" s="16">
        <f t="shared" si="0"/>
        <v>0</v>
      </c>
      <c r="T24" s="11"/>
      <c r="AE24" s="44" t="s">
        <v>189</v>
      </c>
      <c r="AF24" s="31" t="s">
        <v>90</v>
      </c>
      <c r="AG24" s="35" t="s">
        <v>196</v>
      </c>
      <c r="AH24" s="42">
        <f>SUMIFS(D4:D1500,AV4:AV1500,"LV1",BR4:BR1500,"&gt;0",M4:M1500,"MOT")+SUMIFS(D4:D1500,AV4:AV1500,"LV2",BR4:BR1500,"&gt;0",M4:M1500,"MOT")+SUMIFS(D4:D1500,AV4:AV1500,"LV3",BR4:BR1500,"&gt;0",M4:M1500,"MOT")</f>
        <v>0</v>
      </c>
      <c r="AI24" s="39" t="s">
        <v>206</v>
      </c>
      <c r="AJ24" s="39">
        <v>77</v>
      </c>
      <c r="AK24" s="36">
        <f t="shared" si="46"/>
        <v>0</v>
      </c>
      <c r="AL24" s="43">
        <f>SUMIFS(D4:D1500,AV4:AV1500,"LV1",BR4:BR1500,"&gt;0",M4:M1500,"MOT",L4:L1500,"rocky")+SUMIFS(D4:D1500,AV4:AV1500,"LV2",BR4:BR1500,"&gt;0",M4:M1500,"MOT",L4:L1500,"rocky")+SUMIFS(D4:D1500,AV4:AV1500,"LV3",BR4:BR1500,"&gt;0",M4:M1500,"MOT",L4:L1500,"rocky")</f>
        <v>0</v>
      </c>
      <c r="AM24" s="40">
        <f t="shared" si="47"/>
        <v>0</v>
      </c>
      <c r="AN24" s="41"/>
      <c r="AR24" s="31"/>
      <c r="AS24" s="31">
        <f t="shared" si="1"/>
        <v>0</v>
      </c>
      <c r="AT24" s="31">
        <f t="shared" si="2"/>
        <v>0</v>
      </c>
      <c r="AU24" s="31">
        <f t="shared" si="3"/>
        <v>0</v>
      </c>
      <c r="AV24" s="31">
        <f t="shared" si="4"/>
        <v>0</v>
      </c>
      <c r="AW24" s="31">
        <f t="shared" si="5"/>
        <v>0</v>
      </c>
      <c r="AX24" s="31">
        <f t="shared" si="6"/>
        <v>0</v>
      </c>
      <c r="AY24" s="31">
        <f t="shared" si="7"/>
        <v>0</v>
      </c>
      <c r="AZ24" s="31">
        <f t="shared" si="8"/>
        <v>0</v>
      </c>
      <c r="BA24" s="31">
        <f t="shared" si="9"/>
        <v>0</v>
      </c>
      <c r="BB24" s="31">
        <f t="shared" si="41"/>
        <v>0</v>
      </c>
      <c r="BC24" s="31"/>
      <c r="BD24" s="31"/>
      <c r="BE24" s="64"/>
      <c r="BF24" s="64"/>
      <c r="BM24" s="8">
        <f t="shared" si="42"/>
        <v>0</v>
      </c>
      <c r="BN24" s="8">
        <f t="shared" si="10"/>
        <v>0</v>
      </c>
      <c r="BO24" s="8">
        <f t="shared" si="11"/>
        <v>0</v>
      </c>
      <c r="BQ24" s="8">
        <f t="shared" si="12"/>
        <v>0</v>
      </c>
      <c r="BR24" s="63">
        <f t="shared" si="13"/>
        <v>0</v>
      </c>
      <c r="BS24" s="63">
        <f t="shared" si="43"/>
        <v>0</v>
      </c>
      <c r="BT24" s="63">
        <f t="shared" si="14"/>
        <v>0</v>
      </c>
      <c r="BU24" s="63">
        <f t="shared" si="15"/>
        <v>0</v>
      </c>
      <c r="BV24" s="57">
        <f t="shared" si="16"/>
        <v>0</v>
      </c>
      <c r="BW24" s="57">
        <f t="shared" si="17"/>
        <v>0</v>
      </c>
      <c r="BX24" s="57">
        <f t="shared" si="44"/>
        <v>0</v>
      </c>
      <c r="BY24" s="57">
        <f t="shared" si="45"/>
        <v>0</v>
      </c>
      <c r="BZ24" s="8">
        <f t="shared" si="18"/>
        <v>0</v>
      </c>
      <c r="CA24" s="8">
        <f t="shared" si="19"/>
        <v>0</v>
      </c>
      <c r="CB24" s="8">
        <f t="shared" si="20"/>
        <v>0</v>
      </c>
      <c r="CC24" s="8">
        <f t="shared" si="21"/>
        <v>0</v>
      </c>
      <c r="CD24" s="8">
        <f t="shared" si="22"/>
        <v>0</v>
      </c>
      <c r="CE24" s="8">
        <f t="shared" si="23"/>
        <v>0</v>
      </c>
      <c r="CF24" s="8">
        <f t="shared" si="24"/>
        <v>0</v>
      </c>
      <c r="CG24" s="8">
        <f t="shared" si="25"/>
        <v>0</v>
      </c>
      <c r="CH24" s="8">
        <f t="shared" si="26"/>
        <v>0</v>
      </c>
      <c r="CI24" s="8">
        <f t="shared" si="27"/>
        <v>0</v>
      </c>
      <c r="CJ24" s="8">
        <f t="shared" si="28"/>
        <v>0</v>
      </c>
      <c r="CK24" s="8">
        <f t="shared" si="29"/>
        <v>0</v>
      </c>
      <c r="CL24" s="8">
        <f t="shared" si="30"/>
        <v>0</v>
      </c>
      <c r="CM24" s="8">
        <f t="shared" si="31"/>
        <v>0</v>
      </c>
      <c r="CN24" s="8">
        <f t="shared" si="32"/>
        <v>0</v>
      </c>
      <c r="CO24" s="8">
        <f t="shared" si="33"/>
        <v>0</v>
      </c>
      <c r="CP24" s="8">
        <f t="shared" si="34"/>
        <v>0</v>
      </c>
      <c r="CQ24" s="8">
        <f t="shared" si="35"/>
        <v>0</v>
      </c>
      <c r="CR24" s="8">
        <f t="shared" si="36"/>
        <v>0</v>
      </c>
      <c r="CS24" s="8">
        <f t="shared" si="37"/>
        <v>0</v>
      </c>
      <c r="CT24" s="8">
        <f t="shared" si="48"/>
        <v>0</v>
      </c>
      <c r="CU24" s="8">
        <f t="shared" si="49"/>
        <v>0</v>
      </c>
      <c r="CV24" s="8">
        <f t="shared" si="50"/>
        <v>0</v>
      </c>
      <c r="CW24" s="87">
        <v>1030301004</v>
      </c>
      <c r="CX24" s="75">
        <f>'Equipment Selection'!I18</f>
        <v>0</v>
      </c>
      <c r="CY24" s="75" t="s">
        <v>94</v>
      </c>
      <c r="CZ24" s="87" t="s">
        <v>451</v>
      </c>
      <c r="DA24" s="74"/>
      <c r="DB24" s="74"/>
    </row>
    <row r="25" spans="1:108" ht="25.25" customHeight="1" thickTop="1" thickBot="1" x14ac:dyDescent="0.55000000000000004">
      <c r="A25" s="32"/>
      <c r="B25" s="10"/>
      <c r="C25" s="10"/>
      <c r="D25" s="11"/>
      <c r="E25" s="10"/>
      <c r="F25" s="10"/>
      <c r="G25" s="19"/>
      <c r="H25" s="19"/>
      <c r="I25" s="19"/>
      <c r="J25" s="19"/>
      <c r="K25" s="10"/>
      <c r="L25" s="10"/>
      <c r="M25" s="10"/>
      <c r="N25" s="10"/>
      <c r="O25" s="18"/>
      <c r="P25" s="18"/>
      <c r="Q25" s="20"/>
      <c r="R25" s="20"/>
      <c r="S25" s="16">
        <f t="shared" si="0"/>
        <v>0</v>
      </c>
      <c r="T25" s="11"/>
      <c r="AE25" s="44" t="s">
        <v>190</v>
      </c>
      <c r="AF25" s="31" t="s">
        <v>90</v>
      </c>
      <c r="AG25" s="35" t="s">
        <v>197</v>
      </c>
      <c r="AH25" s="42">
        <f>SUMIFS(D4:D1500,AV4:AV1500,"LV4",BR4:BR1500,"&gt;0",M4:M1500,"MOT")+SUMIFS(D4:D1500,AV4:AV1500,"LVCU",BR4:BR1500,"&gt;0",M4:M1500,"MOT")</f>
        <v>0</v>
      </c>
      <c r="AI25" s="39" t="s">
        <v>207</v>
      </c>
      <c r="AJ25" s="39">
        <v>94</v>
      </c>
      <c r="AK25" s="36">
        <f t="shared" si="46"/>
        <v>0</v>
      </c>
      <c r="AL25" s="43">
        <f>SUMIFS(D4:D1500,AV4:AV1500,"LV4",BR4:BR1500,"&gt;0",M4:M1500,"MOT",L4:L1500,"rocky")+SUMIFS(D4:D1500,AV4:AV1500,"LVCU",BR4:BR1500,"&gt;0",M4:M1500,"MOT",L4:L1500,"rocky")</f>
        <v>0</v>
      </c>
      <c r="AM25" s="40">
        <f t="shared" si="47"/>
        <v>0</v>
      </c>
      <c r="AN25" s="41"/>
      <c r="AR25" s="31"/>
      <c r="AS25" s="31">
        <f t="shared" si="1"/>
        <v>0</v>
      </c>
      <c r="AT25" s="31">
        <f t="shared" si="2"/>
        <v>0</v>
      </c>
      <c r="AU25" s="31">
        <f t="shared" si="3"/>
        <v>0</v>
      </c>
      <c r="AV25" s="31">
        <f t="shared" si="4"/>
        <v>0</v>
      </c>
      <c r="AW25" s="31">
        <f t="shared" si="5"/>
        <v>0</v>
      </c>
      <c r="AX25" s="31">
        <f t="shared" si="6"/>
        <v>0</v>
      </c>
      <c r="AY25" s="31">
        <f t="shared" si="7"/>
        <v>0</v>
      </c>
      <c r="AZ25" s="31">
        <f t="shared" si="8"/>
        <v>0</v>
      </c>
      <c r="BA25" s="31">
        <f t="shared" si="9"/>
        <v>0</v>
      </c>
      <c r="BB25" s="31">
        <f t="shared" si="41"/>
        <v>0</v>
      </c>
      <c r="BC25" s="31"/>
      <c r="BD25" s="31"/>
      <c r="BE25" s="64"/>
      <c r="BF25" s="64"/>
      <c r="BM25" s="8">
        <f t="shared" si="42"/>
        <v>0</v>
      </c>
      <c r="BN25" s="8">
        <f t="shared" si="10"/>
        <v>0</v>
      </c>
      <c r="BO25" s="8">
        <f t="shared" si="11"/>
        <v>0</v>
      </c>
      <c r="BQ25" s="8">
        <f t="shared" si="12"/>
        <v>0</v>
      </c>
      <c r="BR25" s="63">
        <f t="shared" si="13"/>
        <v>0</v>
      </c>
      <c r="BS25" s="63">
        <f t="shared" si="43"/>
        <v>0</v>
      </c>
      <c r="BT25" s="63">
        <f t="shared" si="14"/>
        <v>0</v>
      </c>
      <c r="BU25" s="63">
        <f t="shared" si="15"/>
        <v>0</v>
      </c>
      <c r="BV25" s="57">
        <f t="shared" si="16"/>
        <v>0</v>
      </c>
      <c r="BW25" s="57">
        <f t="shared" si="17"/>
        <v>0</v>
      </c>
      <c r="BX25" s="57">
        <f t="shared" si="44"/>
        <v>0</v>
      </c>
      <c r="BY25" s="57">
        <f t="shared" si="45"/>
        <v>0</v>
      </c>
      <c r="BZ25" s="8">
        <f t="shared" si="18"/>
        <v>0</v>
      </c>
      <c r="CA25" s="8">
        <f t="shared" si="19"/>
        <v>0</v>
      </c>
      <c r="CB25" s="8">
        <f t="shared" si="20"/>
        <v>0</v>
      </c>
      <c r="CC25" s="8">
        <f t="shared" si="21"/>
        <v>0</v>
      </c>
      <c r="CD25" s="8">
        <f t="shared" si="22"/>
        <v>0</v>
      </c>
      <c r="CE25" s="8">
        <f t="shared" si="23"/>
        <v>0</v>
      </c>
      <c r="CF25" s="8">
        <f t="shared" si="24"/>
        <v>0</v>
      </c>
      <c r="CG25" s="8">
        <f t="shared" si="25"/>
        <v>0</v>
      </c>
      <c r="CH25" s="8">
        <f t="shared" si="26"/>
        <v>0</v>
      </c>
      <c r="CI25" s="8">
        <f t="shared" si="27"/>
        <v>0</v>
      </c>
      <c r="CJ25" s="8">
        <f t="shared" si="28"/>
        <v>0</v>
      </c>
      <c r="CK25" s="8">
        <f t="shared" si="29"/>
        <v>0</v>
      </c>
      <c r="CL25" s="8">
        <f t="shared" si="30"/>
        <v>0</v>
      </c>
      <c r="CM25" s="8">
        <f t="shared" si="31"/>
        <v>0</v>
      </c>
      <c r="CN25" s="8">
        <f t="shared" si="32"/>
        <v>0</v>
      </c>
      <c r="CO25" s="8">
        <f t="shared" si="33"/>
        <v>0</v>
      </c>
      <c r="CP25" s="8">
        <f t="shared" si="34"/>
        <v>0</v>
      </c>
      <c r="CQ25" s="8">
        <f t="shared" si="35"/>
        <v>0</v>
      </c>
      <c r="CR25" s="8">
        <f t="shared" si="36"/>
        <v>0</v>
      </c>
      <c r="CS25" s="8">
        <f t="shared" si="37"/>
        <v>0</v>
      </c>
      <c r="CT25" s="8">
        <f t="shared" si="48"/>
        <v>0</v>
      </c>
      <c r="CU25" s="8">
        <f t="shared" si="49"/>
        <v>0</v>
      </c>
      <c r="CV25" s="8">
        <f t="shared" si="50"/>
        <v>0</v>
      </c>
      <c r="CW25" s="87">
        <v>1030301005</v>
      </c>
      <c r="CX25" s="75">
        <f>'Equipment Selection'!I19</f>
        <v>0</v>
      </c>
      <c r="CY25" s="75" t="s">
        <v>94</v>
      </c>
      <c r="CZ25" s="87" t="s">
        <v>452</v>
      </c>
      <c r="DA25" s="74"/>
      <c r="DB25" s="74"/>
    </row>
    <row r="26" spans="1:108" ht="25.25" customHeight="1" thickTop="1" thickBot="1" x14ac:dyDescent="0.55000000000000004">
      <c r="A26" s="32"/>
      <c r="B26" s="10"/>
      <c r="C26" s="10"/>
      <c r="D26" s="11"/>
      <c r="E26" s="10"/>
      <c r="F26" s="10"/>
      <c r="G26" s="19"/>
      <c r="H26" s="19"/>
      <c r="I26" s="19"/>
      <c r="J26" s="19"/>
      <c r="K26" s="10"/>
      <c r="L26" s="10"/>
      <c r="M26" s="10"/>
      <c r="N26" s="10"/>
      <c r="O26" s="18"/>
      <c r="P26" s="18"/>
      <c r="Q26" s="20"/>
      <c r="R26" s="20"/>
      <c r="S26" s="16">
        <f t="shared" si="0"/>
        <v>0</v>
      </c>
      <c r="T26" s="11"/>
      <c r="AE26" s="70" t="s">
        <v>191</v>
      </c>
      <c r="AF26" s="31" t="s">
        <v>91</v>
      </c>
      <c r="AG26" s="46" t="s">
        <v>198</v>
      </c>
      <c r="AH26" s="42">
        <f>SUMIFS(BT4:BT1500,M4:M1500,"MOT",K4:K1500,"asphalted")+SUMIFS(BU4:BU1500,M4:M1500,"MOT",K4:K1500,"asphalted")+SUMIFS(BZ4:BZ1500,M4:M1500,"MOT",K4:K1500,"asphalted")</f>
        <v>0</v>
      </c>
      <c r="AI26" s="39" t="s">
        <v>208</v>
      </c>
      <c r="AJ26" s="39">
        <v>164</v>
      </c>
      <c r="AK26" s="36">
        <f t="shared" si="46"/>
        <v>0</v>
      </c>
      <c r="AL26" s="43">
        <f>SUMIFS(BT4:BT1500,M4:M1500,"MOT",K4:K1500,"asphalted",L4:L1500,"rocky")+SUMIFS(BU4:BU1500,M4:M1500,"MOT",K4:K1500,"asphalted",L4:L1500,"rocky")</f>
        <v>0</v>
      </c>
      <c r="AM26" s="40">
        <f t="shared" si="47"/>
        <v>0</v>
      </c>
      <c r="AN26" s="41"/>
      <c r="AR26" s="31"/>
      <c r="AS26" s="31">
        <f t="shared" si="1"/>
        <v>0</v>
      </c>
      <c r="AT26" s="31">
        <f t="shared" si="2"/>
        <v>0</v>
      </c>
      <c r="AU26" s="31">
        <f t="shared" si="3"/>
        <v>0</v>
      </c>
      <c r="AV26" s="31">
        <f t="shared" si="4"/>
        <v>0</v>
      </c>
      <c r="AW26" s="31">
        <f t="shared" si="5"/>
        <v>0</v>
      </c>
      <c r="AX26" s="31">
        <f t="shared" si="6"/>
        <v>0</v>
      </c>
      <c r="AY26" s="31">
        <f t="shared" si="7"/>
        <v>0</v>
      </c>
      <c r="AZ26" s="31">
        <f t="shared" si="8"/>
        <v>0</v>
      </c>
      <c r="BA26" s="31">
        <f t="shared" si="9"/>
        <v>0</v>
      </c>
      <c r="BB26" s="31">
        <f t="shared" si="41"/>
        <v>0</v>
      </c>
      <c r="BC26" s="31" t="s">
        <v>538</v>
      </c>
      <c r="BD26" s="31"/>
      <c r="BE26" s="64" t="s">
        <v>539</v>
      </c>
      <c r="BF26" s="64"/>
      <c r="BM26" s="8">
        <f t="shared" si="42"/>
        <v>0</v>
      </c>
      <c r="BN26" s="8">
        <f t="shared" si="10"/>
        <v>0</v>
      </c>
      <c r="BO26" s="8">
        <f t="shared" si="11"/>
        <v>0</v>
      </c>
      <c r="BQ26" s="8">
        <f t="shared" si="12"/>
        <v>0</v>
      </c>
      <c r="BR26" s="63">
        <f t="shared" si="13"/>
        <v>0</v>
      </c>
      <c r="BS26" s="63">
        <f t="shared" si="43"/>
        <v>0</v>
      </c>
      <c r="BT26" s="63">
        <f t="shared" si="14"/>
        <v>0</v>
      </c>
      <c r="BU26" s="63">
        <f t="shared" si="15"/>
        <v>0</v>
      </c>
      <c r="BV26" s="57">
        <f t="shared" si="16"/>
        <v>0</v>
      </c>
      <c r="BW26" s="57">
        <f t="shared" si="17"/>
        <v>0</v>
      </c>
      <c r="BX26" s="57">
        <f t="shared" si="44"/>
        <v>0</v>
      </c>
      <c r="BY26" s="57">
        <f t="shared" si="45"/>
        <v>0</v>
      </c>
      <c r="BZ26" s="8">
        <f t="shared" si="18"/>
        <v>0</v>
      </c>
      <c r="CA26" s="8">
        <f t="shared" si="19"/>
        <v>0</v>
      </c>
      <c r="CB26" s="8">
        <f t="shared" si="20"/>
        <v>0</v>
      </c>
      <c r="CC26" s="8">
        <f t="shared" si="21"/>
        <v>0</v>
      </c>
      <c r="CD26" s="8">
        <f t="shared" si="22"/>
        <v>0</v>
      </c>
      <c r="CE26" s="8">
        <f t="shared" si="23"/>
        <v>0</v>
      </c>
      <c r="CF26" s="8">
        <f t="shared" si="24"/>
        <v>0</v>
      </c>
      <c r="CG26" s="8">
        <f t="shared" si="25"/>
        <v>0</v>
      </c>
      <c r="CH26" s="8">
        <f t="shared" si="26"/>
        <v>0</v>
      </c>
      <c r="CI26" s="8">
        <f t="shared" si="27"/>
        <v>0</v>
      </c>
      <c r="CJ26" s="8">
        <f t="shared" si="28"/>
        <v>0</v>
      </c>
      <c r="CK26" s="8">
        <f t="shared" si="29"/>
        <v>0</v>
      </c>
      <c r="CL26" s="8">
        <f t="shared" si="30"/>
        <v>0</v>
      </c>
      <c r="CM26" s="8">
        <f t="shared" si="31"/>
        <v>0</v>
      </c>
      <c r="CN26" s="8">
        <f t="shared" si="32"/>
        <v>0</v>
      </c>
      <c r="CO26" s="8">
        <f t="shared" si="33"/>
        <v>0</v>
      </c>
      <c r="CP26" s="8">
        <f t="shared" si="34"/>
        <v>0</v>
      </c>
      <c r="CQ26" s="8">
        <f t="shared" si="35"/>
        <v>0</v>
      </c>
      <c r="CR26" s="8">
        <f t="shared" si="36"/>
        <v>0</v>
      </c>
      <c r="CS26" s="8">
        <f t="shared" si="37"/>
        <v>0</v>
      </c>
      <c r="CT26" s="8">
        <f t="shared" si="48"/>
        <v>0</v>
      </c>
      <c r="CU26" s="8">
        <f t="shared" si="49"/>
        <v>0</v>
      </c>
      <c r="CV26" s="8">
        <f t="shared" si="50"/>
        <v>0</v>
      </c>
      <c r="CW26" s="87">
        <v>1030301006</v>
      </c>
      <c r="CX26" s="75">
        <f>'Equipment Selection'!I20</f>
        <v>0</v>
      </c>
      <c r="CY26" s="75" t="s">
        <v>94</v>
      </c>
      <c r="CZ26" s="87" t="s">
        <v>453</v>
      </c>
      <c r="DA26" s="74"/>
      <c r="DB26" s="74"/>
    </row>
    <row r="27" spans="1:108" ht="25.25" customHeight="1" thickTop="1" thickBot="1" x14ac:dyDescent="0.55000000000000004">
      <c r="A27" s="32"/>
      <c r="B27" s="10"/>
      <c r="C27" s="10"/>
      <c r="D27" s="11"/>
      <c r="E27" s="10"/>
      <c r="F27" s="10"/>
      <c r="G27" s="19"/>
      <c r="H27" s="19"/>
      <c r="I27" s="19"/>
      <c r="J27" s="19"/>
      <c r="K27" s="10"/>
      <c r="L27" s="10"/>
      <c r="M27" s="10"/>
      <c r="N27" s="10"/>
      <c r="O27" s="18"/>
      <c r="P27" s="18"/>
      <c r="Q27" s="20"/>
      <c r="R27" s="20"/>
      <c r="S27" s="16">
        <f t="shared" si="0"/>
        <v>0</v>
      </c>
      <c r="T27" s="11"/>
      <c r="AE27" s="38" t="s">
        <v>168</v>
      </c>
      <c r="AF27" s="31" t="s">
        <v>90</v>
      </c>
      <c r="AG27" s="35" t="s">
        <v>64</v>
      </c>
      <c r="AH27" s="39">
        <f>SUMIFS(D4:D1500,AV4:AV1500,"MV1",BR4:BR1500,"=0",K4:K1500,"&lt;&gt;")</f>
        <v>0</v>
      </c>
      <c r="AI27" s="39" t="str">
        <f>IF('REF&amp;SETTINGS'!$H$3='REF&amp;SETTINGS'!$J$3,$BC27,IF('REF&amp;SETTINGS'!H$3='REF&amp;SETTINGS'!J$4,$BE27))</f>
        <v>30 10 10 209</v>
      </c>
      <c r="AJ27" s="39">
        <f>IF('REF&amp;SETTINGS'!$H$3='REF&amp;SETTINGS'!$J$3,BD27,IF('REF&amp;SETTINGS'!I$3='REF&amp;SETTINGS'!#REF!,BF27))</f>
        <v>58</v>
      </c>
      <c r="AK27" s="36">
        <f t="shared" si="46"/>
        <v>0</v>
      </c>
      <c r="AL27" s="40">
        <f>SUMIFS(D4:D1500,AV4:AV1500,"MV1",BR4:BR1500,"=0",L4:L1500,"rocky")</f>
        <v>0</v>
      </c>
      <c r="AM27" s="40">
        <f t="shared" si="47"/>
        <v>0</v>
      </c>
      <c r="AN27" s="41">
        <f>SUMIFS(CA4:CA1500,AV4:AV1500,"MV1")*AJ27+SUMIFS(CB4:CB1500,AV4:AV1500,"MV1")*AJ27</f>
        <v>0</v>
      </c>
      <c r="AR27" s="31"/>
      <c r="AS27" s="31">
        <f t="shared" si="1"/>
        <v>0</v>
      </c>
      <c r="AT27" s="31">
        <f t="shared" si="2"/>
        <v>0</v>
      </c>
      <c r="AU27" s="31">
        <f t="shared" si="3"/>
        <v>0</v>
      </c>
      <c r="AV27" s="31">
        <f t="shared" si="4"/>
        <v>0</v>
      </c>
      <c r="AW27" s="31">
        <f t="shared" si="5"/>
        <v>0</v>
      </c>
      <c r="AX27" s="31">
        <f t="shared" si="6"/>
        <v>0</v>
      </c>
      <c r="AY27" s="31">
        <f t="shared" si="7"/>
        <v>0</v>
      </c>
      <c r="AZ27" s="31">
        <f t="shared" si="8"/>
        <v>0</v>
      </c>
      <c r="BA27" s="31">
        <f t="shared" si="9"/>
        <v>0</v>
      </c>
      <c r="BB27" s="31">
        <f t="shared" si="41"/>
        <v>0</v>
      </c>
      <c r="BC27" s="39" t="s">
        <v>71</v>
      </c>
      <c r="BD27" s="39">
        <v>58</v>
      </c>
      <c r="BE27" s="65" t="s">
        <v>20</v>
      </c>
      <c r="BF27" s="66">
        <v>46</v>
      </c>
      <c r="BG27" s="31" t="s">
        <v>43</v>
      </c>
      <c r="BM27" s="8">
        <f t="shared" si="42"/>
        <v>0</v>
      </c>
      <c r="BN27" s="8">
        <f t="shared" si="10"/>
        <v>0</v>
      </c>
      <c r="BO27" s="8">
        <f t="shared" si="11"/>
        <v>0</v>
      </c>
      <c r="BQ27" s="8">
        <f t="shared" si="12"/>
        <v>0</v>
      </c>
      <c r="BR27" s="63">
        <f t="shared" si="13"/>
        <v>0</v>
      </c>
      <c r="BS27" s="63">
        <f t="shared" si="43"/>
        <v>0</v>
      </c>
      <c r="BT27" s="63">
        <f t="shared" si="14"/>
        <v>0</v>
      </c>
      <c r="BU27" s="63">
        <f t="shared" si="15"/>
        <v>0</v>
      </c>
      <c r="BV27" s="57">
        <f t="shared" si="16"/>
        <v>0</v>
      </c>
      <c r="BW27" s="57">
        <f t="shared" si="17"/>
        <v>0</v>
      </c>
      <c r="BX27" s="57">
        <f t="shared" si="44"/>
        <v>0</v>
      </c>
      <c r="BY27" s="57">
        <f t="shared" si="45"/>
        <v>0</v>
      </c>
      <c r="BZ27" s="8">
        <f t="shared" si="18"/>
        <v>0</v>
      </c>
      <c r="CA27" s="8">
        <f t="shared" si="19"/>
        <v>0</v>
      </c>
      <c r="CB27" s="8">
        <f t="shared" si="20"/>
        <v>0</v>
      </c>
      <c r="CC27" s="8">
        <f t="shared" si="21"/>
        <v>0</v>
      </c>
      <c r="CD27" s="8">
        <f t="shared" si="22"/>
        <v>0</v>
      </c>
      <c r="CE27" s="8">
        <f t="shared" si="23"/>
        <v>0</v>
      </c>
      <c r="CF27" s="8">
        <f t="shared" si="24"/>
        <v>0</v>
      </c>
      <c r="CG27" s="8">
        <f t="shared" si="25"/>
        <v>0</v>
      </c>
      <c r="CH27" s="8">
        <f t="shared" si="26"/>
        <v>0</v>
      </c>
      <c r="CI27" s="8">
        <f t="shared" si="27"/>
        <v>0</v>
      </c>
      <c r="CJ27" s="8">
        <f t="shared" si="28"/>
        <v>0</v>
      </c>
      <c r="CK27" s="8">
        <f t="shared" si="29"/>
        <v>0</v>
      </c>
      <c r="CL27" s="8">
        <f t="shared" si="30"/>
        <v>0</v>
      </c>
      <c r="CM27" s="8">
        <f t="shared" si="31"/>
        <v>0</v>
      </c>
      <c r="CN27" s="8">
        <f t="shared" si="32"/>
        <v>0</v>
      </c>
      <c r="CO27" s="8">
        <f t="shared" si="33"/>
        <v>0</v>
      </c>
      <c r="CP27" s="8">
        <f t="shared" si="34"/>
        <v>0</v>
      </c>
      <c r="CQ27" s="8">
        <f t="shared" si="35"/>
        <v>0</v>
      </c>
      <c r="CR27" s="8">
        <f t="shared" si="36"/>
        <v>0</v>
      </c>
      <c r="CS27" s="8">
        <f t="shared" si="37"/>
        <v>0</v>
      </c>
      <c r="CT27" s="8">
        <f t="shared" si="48"/>
        <v>0</v>
      </c>
      <c r="CU27" s="8">
        <f t="shared" si="49"/>
        <v>0</v>
      </c>
      <c r="CV27" s="8">
        <f t="shared" si="50"/>
        <v>0</v>
      </c>
      <c r="CW27" s="87">
        <v>1030301007</v>
      </c>
      <c r="CX27" s="75">
        <f>'Equipment Selection'!I21</f>
        <v>0</v>
      </c>
      <c r="CY27" s="75" t="s">
        <v>94</v>
      </c>
      <c r="CZ27" s="87" t="s">
        <v>454</v>
      </c>
      <c r="DA27" s="74"/>
      <c r="DB27" s="74"/>
    </row>
    <row r="28" spans="1:108" ht="25.25" customHeight="1" thickTop="1" thickBot="1" x14ac:dyDescent="0.55000000000000004">
      <c r="A28" s="32"/>
      <c r="B28" s="10"/>
      <c r="C28" s="10"/>
      <c r="D28" s="11"/>
      <c r="E28" s="10"/>
      <c r="F28" s="10"/>
      <c r="G28" s="19"/>
      <c r="H28" s="19"/>
      <c r="I28" s="19"/>
      <c r="J28" s="19"/>
      <c r="K28" s="10"/>
      <c r="L28" s="10"/>
      <c r="M28" s="10"/>
      <c r="N28" s="10"/>
      <c r="O28" s="18"/>
      <c r="P28" s="18"/>
      <c r="Q28" s="20"/>
      <c r="R28" s="20"/>
      <c r="S28" s="16">
        <f t="shared" si="0"/>
        <v>0</v>
      </c>
      <c r="T28" s="11"/>
      <c r="AE28" s="38" t="s">
        <v>169</v>
      </c>
      <c r="AF28" s="31" t="s">
        <v>90</v>
      </c>
      <c r="AG28" s="35" t="s">
        <v>65</v>
      </c>
      <c r="AH28" s="39">
        <f>SUMIFS(D4:D1500,AV4:AV1500,"MV2",BR4:BR1500,"=0",K4:K1500,"&lt;&gt;")</f>
        <v>0</v>
      </c>
      <c r="AI28" s="39" t="str">
        <f>IF('REF&amp;SETTINGS'!$H$3='REF&amp;SETTINGS'!$J$3,$BC28,IF('REF&amp;SETTINGS'!H$3='REF&amp;SETTINGS'!J$4,$BE28))</f>
        <v>30 10 10 210</v>
      </c>
      <c r="AJ28" s="39">
        <f>IF('REF&amp;SETTINGS'!$H$3='REF&amp;SETTINGS'!$J$3,BD28,IF('REF&amp;SETTINGS'!I$3='REF&amp;SETTINGS'!#REF!,BF28))</f>
        <v>71</v>
      </c>
      <c r="AK28" s="36">
        <f t="shared" si="46"/>
        <v>0</v>
      </c>
      <c r="AL28" s="40">
        <f>SUMIFS(D4:D1500,AV4:AV1500,"MV2",BR4:BR1500,"=0",L4:L1500,"rocky")</f>
        <v>0</v>
      </c>
      <c r="AM28" s="40">
        <f t="shared" si="47"/>
        <v>0</v>
      </c>
      <c r="AN28" s="41">
        <f>SUMIFS(CA4:CA1500,AV4:AV1500,"MV2")*AJ28+SUMIFS(CB4:CB1500,AV4:AV1500,"MV2")*AJ28</f>
        <v>0</v>
      </c>
      <c r="AR28" s="31"/>
      <c r="AS28" s="31">
        <f t="shared" si="1"/>
        <v>0</v>
      </c>
      <c r="AT28" s="31">
        <f t="shared" si="2"/>
        <v>0</v>
      </c>
      <c r="AU28" s="31">
        <f t="shared" si="3"/>
        <v>0</v>
      </c>
      <c r="AV28" s="31">
        <f t="shared" si="4"/>
        <v>0</v>
      </c>
      <c r="AW28" s="31">
        <f t="shared" si="5"/>
        <v>0</v>
      </c>
      <c r="AX28" s="31">
        <f t="shared" si="6"/>
        <v>0</v>
      </c>
      <c r="AY28" s="31">
        <f t="shared" si="7"/>
        <v>0</v>
      </c>
      <c r="AZ28" s="31">
        <f t="shared" si="8"/>
        <v>0</v>
      </c>
      <c r="BA28" s="31">
        <f t="shared" si="9"/>
        <v>0</v>
      </c>
      <c r="BB28" s="31">
        <f t="shared" si="41"/>
        <v>0</v>
      </c>
      <c r="BC28" s="39" t="s">
        <v>522</v>
      </c>
      <c r="BD28" s="39">
        <v>71</v>
      </c>
      <c r="BE28" s="65" t="s">
        <v>21</v>
      </c>
      <c r="BF28" s="66">
        <v>59</v>
      </c>
      <c r="BG28" s="31" t="s">
        <v>44</v>
      </c>
      <c r="BM28" s="8">
        <f t="shared" si="42"/>
        <v>0</v>
      </c>
      <c r="BN28" s="8">
        <f t="shared" si="10"/>
        <v>0</v>
      </c>
      <c r="BO28" s="8">
        <f t="shared" si="11"/>
        <v>0</v>
      </c>
      <c r="BQ28" s="8">
        <f t="shared" si="12"/>
        <v>0</v>
      </c>
      <c r="BR28" s="63">
        <f t="shared" si="13"/>
        <v>0</v>
      </c>
      <c r="BS28" s="63">
        <f t="shared" si="43"/>
        <v>0</v>
      </c>
      <c r="BT28" s="63">
        <f t="shared" si="14"/>
        <v>0</v>
      </c>
      <c r="BU28" s="63">
        <f t="shared" si="15"/>
        <v>0</v>
      </c>
      <c r="BV28" s="57">
        <f t="shared" si="16"/>
        <v>0</v>
      </c>
      <c r="BW28" s="57">
        <f t="shared" si="17"/>
        <v>0</v>
      </c>
      <c r="BX28" s="57">
        <f t="shared" si="44"/>
        <v>0</v>
      </c>
      <c r="BY28" s="57">
        <f>IF(AND(OR(N28="HDD",N28="EX PIPES"),K28=""),D28*(F28+G28),0)</f>
        <v>0</v>
      </c>
      <c r="BZ28" s="8">
        <f t="shared" si="18"/>
        <v>0</v>
      </c>
      <c r="CA28" s="8">
        <f t="shared" si="19"/>
        <v>0</v>
      </c>
      <c r="CB28" s="8">
        <f t="shared" si="20"/>
        <v>0</v>
      </c>
      <c r="CC28" s="8">
        <f t="shared" si="21"/>
        <v>0</v>
      </c>
      <c r="CD28" s="8">
        <f t="shared" si="22"/>
        <v>0</v>
      </c>
      <c r="CE28" s="8">
        <f t="shared" si="23"/>
        <v>0</v>
      </c>
      <c r="CF28" s="8">
        <f t="shared" si="24"/>
        <v>0</v>
      </c>
      <c r="CG28" s="8">
        <f t="shared" si="25"/>
        <v>0</v>
      </c>
      <c r="CH28" s="8">
        <f t="shared" si="26"/>
        <v>0</v>
      </c>
      <c r="CI28" s="8">
        <f t="shared" si="27"/>
        <v>0</v>
      </c>
      <c r="CJ28" s="8">
        <f t="shared" si="28"/>
        <v>0</v>
      </c>
      <c r="CK28" s="8">
        <f t="shared" si="29"/>
        <v>0</v>
      </c>
      <c r="CL28" s="8">
        <f t="shared" si="30"/>
        <v>0</v>
      </c>
      <c r="CM28" s="8">
        <f t="shared" si="31"/>
        <v>0</v>
      </c>
      <c r="CN28" s="8">
        <f t="shared" si="32"/>
        <v>0</v>
      </c>
      <c r="CO28" s="8">
        <f t="shared" si="33"/>
        <v>0</v>
      </c>
      <c r="CP28" s="8">
        <f t="shared" si="34"/>
        <v>0</v>
      </c>
      <c r="CQ28" s="8">
        <f t="shared" si="35"/>
        <v>0</v>
      </c>
      <c r="CR28" s="8">
        <f t="shared" si="36"/>
        <v>0</v>
      </c>
      <c r="CS28" s="8">
        <f t="shared" si="37"/>
        <v>0</v>
      </c>
      <c r="CT28" s="8">
        <f t="shared" si="48"/>
        <v>0</v>
      </c>
      <c r="CU28" s="8">
        <f t="shared" si="49"/>
        <v>0</v>
      </c>
      <c r="CV28" s="8">
        <f t="shared" si="50"/>
        <v>0</v>
      </c>
      <c r="CW28" s="87">
        <v>1030301008</v>
      </c>
      <c r="CX28" s="75">
        <f>'Equipment Selection'!I22</f>
        <v>0</v>
      </c>
      <c r="CY28" s="75" t="s">
        <v>94</v>
      </c>
      <c r="CZ28" s="87" t="s">
        <v>455</v>
      </c>
      <c r="DA28" s="74"/>
      <c r="DB28" s="74"/>
    </row>
    <row r="29" spans="1:108" ht="22" thickTop="1" thickBot="1" x14ac:dyDescent="0.55000000000000004">
      <c r="A29" s="32"/>
      <c r="B29" s="10"/>
      <c r="C29" s="10"/>
      <c r="D29" s="11"/>
      <c r="E29" s="10"/>
      <c r="F29" s="10"/>
      <c r="G29" s="19"/>
      <c r="H29" s="19"/>
      <c r="I29" s="19"/>
      <c r="J29" s="19"/>
      <c r="K29" s="10"/>
      <c r="L29" s="10"/>
      <c r="M29" s="10"/>
      <c r="N29" s="10"/>
      <c r="O29" s="18"/>
      <c r="P29" s="18"/>
      <c r="Q29" s="20"/>
      <c r="R29" s="20"/>
      <c r="S29" s="16">
        <f t="shared" si="0"/>
        <v>0</v>
      </c>
      <c r="T29" s="11"/>
      <c r="AE29" s="38" t="s">
        <v>170</v>
      </c>
      <c r="AF29" s="31" t="s">
        <v>90</v>
      </c>
      <c r="AG29" s="35" t="s">
        <v>66</v>
      </c>
      <c r="AH29" s="39">
        <f>SUMIFS(D4:D1500,AV4:AV1500,"MV3",BR4:BR1500,"=0",K4:K1500,"&lt;&gt;")</f>
        <v>0</v>
      </c>
      <c r="AI29" s="39" t="str">
        <f>IF('REF&amp;SETTINGS'!$H$3='REF&amp;SETTINGS'!$J$3,$BC29,IF('REF&amp;SETTINGS'!H$3='REF&amp;SETTINGS'!J$4,$BE29))</f>
        <v>30 10 10 211</v>
      </c>
      <c r="AJ29" s="39">
        <f>IF('REF&amp;SETTINGS'!$H$3='REF&amp;SETTINGS'!$J$3,BD29,IF('REF&amp;SETTINGS'!I$3='REF&amp;SETTINGS'!#REF!,BF29))</f>
        <v>95</v>
      </c>
      <c r="AK29" s="36">
        <f t="shared" si="46"/>
        <v>0</v>
      </c>
      <c r="AL29" s="40">
        <f>SUMIFS(D4:D1500,AV4:AV1500,"MV3",BR4:BR1500,"=0",L4:L1500,"rocky")</f>
        <v>0</v>
      </c>
      <c r="AM29" s="40">
        <f t="shared" si="47"/>
        <v>0</v>
      </c>
      <c r="AN29" s="41">
        <f>SUMIFS(CA4:CA1500,AV4:AV1500,"MV3")*AJ29+SUMIFS(CB4:CB1500,AV4:AV1500,"MV3")*AJ29</f>
        <v>0</v>
      </c>
      <c r="AR29" s="31"/>
      <c r="AS29" s="31">
        <f t="shared" si="1"/>
        <v>0</v>
      </c>
      <c r="AT29" s="31">
        <f t="shared" si="2"/>
        <v>0</v>
      </c>
      <c r="AU29" s="31">
        <f t="shared" si="3"/>
        <v>0</v>
      </c>
      <c r="AV29" s="31">
        <f t="shared" si="4"/>
        <v>0</v>
      </c>
      <c r="AW29" s="31">
        <f t="shared" si="5"/>
        <v>0</v>
      </c>
      <c r="AX29" s="31">
        <f t="shared" si="6"/>
        <v>0</v>
      </c>
      <c r="AY29" s="31">
        <f t="shared" si="7"/>
        <v>0</v>
      </c>
      <c r="AZ29" s="31">
        <f t="shared" si="8"/>
        <v>0</v>
      </c>
      <c r="BA29" s="31">
        <f t="shared" si="9"/>
        <v>0</v>
      </c>
      <c r="BB29" s="31">
        <f t="shared" si="41"/>
        <v>0</v>
      </c>
      <c r="BC29" s="39" t="s">
        <v>536</v>
      </c>
      <c r="BD29" s="39">
        <v>95</v>
      </c>
      <c r="BE29" s="65" t="s">
        <v>22</v>
      </c>
      <c r="BF29" s="66">
        <v>75</v>
      </c>
      <c r="BG29" s="31" t="s">
        <v>45</v>
      </c>
      <c r="BM29" s="8">
        <f t="shared" si="42"/>
        <v>0</v>
      </c>
      <c r="BN29" s="8">
        <f t="shared" si="10"/>
        <v>0</v>
      </c>
      <c r="BO29" s="8">
        <f t="shared" si="11"/>
        <v>0</v>
      </c>
      <c r="BQ29" s="8">
        <f t="shared" si="12"/>
        <v>0</v>
      </c>
      <c r="BR29" s="63">
        <f t="shared" si="13"/>
        <v>0</v>
      </c>
      <c r="BS29" s="63">
        <f t="shared" si="43"/>
        <v>0</v>
      </c>
      <c r="BT29" s="63">
        <f t="shared" si="14"/>
        <v>0</v>
      </c>
      <c r="BU29" s="63">
        <f t="shared" si="15"/>
        <v>0</v>
      </c>
      <c r="BV29" s="57">
        <f t="shared" si="16"/>
        <v>0</v>
      </c>
      <c r="BW29" s="57">
        <f t="shared" si="17"/>
        <v>0</v>
      </c>
      <c r="BX29" s="57">
        <f t="shared" si="44"/>
        <v>0</v>
      </c>
      <c r="BY29" s="57">
        <f t="shared" ref="BY29:BY92" si="51">IF(AND(OR(N29="YES",N29="HDD",N29="EX PIPES"),K29=""),D29*(F29+G29),0)</f>
        <v>0</v>
      </c>
      <c r="BZ29" s="8">
        <f t="shared" si="18"/>
        <v>0</v>
      </c>
      <c r="CA29" s="8">
        <f t="shared" si="19"/>
        <v>0</v>
      </c>
      <c r="CB29" s="8">
        <f t="shared" si="20"/>
        <v>0</v>
      </c>
      <c r="CC29" s="8">
        <f t="shared" si="21"/>
        <v>0</v>
      </c>
      <c r="CD29" s="8">
        <f t="shared" si="22"/>
        <v>0</v>
      </c>
      <c r="CE29" s="8">
        <f t="shared" si="23"/>
        <v>0</v>
      </c>
      <c r="CF29" s="8">
        <f t="shared" si="24"/>
        <v>0</v>
      </c>
      <c r="CG29" s="8">
        <f t="shared" si="25"/>
        <v>0</v>
      </c>
      <c r="CH29" s="8">
        <f t="shared" si="26"/>
        <v>0</v>
      </c>
      <c r="CI29" s="8">
        <f t="shared" si="27"/>
        <v>0</v>
      </c>
      <c r="CJ29" s="8">
        <f t="shared" si="28"/>
        <v>0</v>
      </c>
      <c r="CK29" s="8">
        <f t="shared" si="29"/>
        <v>0</v>
      </c>
      <c r="CL29" s="8">
        <f t="shared" si="30"/>
        <v>0</v>
      </c>
      <c r="CM29" s="8">
        <f t="shared" si="31"/>
        <v>0</v>
      </c>
      <c r="CN29" s="8">
        <f t="shared" si="32"/>
        <v>0</v>
      </c>
      <c r="CO29" s="8">
        <f t="shared" si="33"/>
        <v>0</v>
      </c>
      <c r="CP29" s="8">
        <f t="shared" si="34"/>
        <v>0</v>
      </c>
      <c r="CQ29" s="8">
        <f t="shared" si="35"/>
        <v>0</v>
      </c>
      <c r="CR29" s="8">
        <f t="shared" si="36"/>
        <v>0</v>
      </c>
      <c r="CS29" s="8">
        <f t="shared" si="37"/>
        <v>0</v>
      </c>
      <c r="CT29" s="8">
        <f t="shared" si="48"/>
        <v>0</v>
      </c>
      <c r="CU29" s="8">
        <f t="shared" si="49"/>
        <v>0</v>
      </c>
      <c r="CV29" s="8">
        <f t="shared" si="50"/>
        <v>0</v>
      </c>
      <c r="CW29" s="87">
        <v>1030301009</v>
      </c>
      <c r="CX29" s="75">
        <f>'Equipment Selection'!I23</f>
        <v>0</v>
      </c>
      <c r="CY29" s="75" t="s">
        <v>94</v>
      </c>
      <c r="CZ29" s="87" t="s">
        <v>456</v>
      </c>
      <c r="DA29" s="74"/>
      <c r="DB29" s="74"/>
    </row>
    <row r="30" spans="1:108" ht="25.25" customHeight="1" thickTop="1" thickBot="1" x14ac:dyDescent="0.55000000000000004">
      <c r="A30" s="32"/>
      <c r="B30" s="10"/>
      <c r="C30" s="10"/>
      <c r="D30" s="11"/>
      <c r="E30" s="10"/>
      <c r="F30" s="10"/>
      <c r="G30" s="19"/>
      <c r="H30" s="19"/>
      <c r="I30" s="19"/>
      <c r="J30" s="19"/>
      <c r="K30" s="10"/>
      <c r="L30" s="10"/>
      <c r="M30" s="10"/>
      <c r="N30" s="10"/>
      <c r="O30" s="18"/>
      <c r="P30" s="18"/>
      <c r="Q30" s="20"/>
      <c r="R30" s="20"/>
      <c r="S30" s="16">
        <f t="shared" si="0"/>
        <v>0</v>
      </c>
      <c r="T30" s="11"/>
      <c r="AE30" s="38" t="s">
        <v>171</v>
      </c>
      <c r="AF30" s="31" t="s">
        <v>90</v>
      </c>
      <c r="AG30" s="35" t="s">
        <v>67</v>
      </c>
      <c r="AH30" s="42">
        <f>SUMIFS(D4:D1500,AV4:AV1500,"MV4",BR4:BR1500,"=0",K4:K1500,"&lt;&gt;asphalted")+SUMIFS(D4:D1500,AV4:AV1500,"MVCU",BR4:BR1500,"=0",K4:K1500,"&lt;&gt;asphalted")</f>
        <v>0</v>
      </c>
      <c r="AI30" s="39" t="str">
        <f>IF('REF&amp;SETTINGS'!$H$3='REF&amp;SETTINGS'!$J$3,$BC30,IF('REF&amp;SETTINGS'!H$3='REF&amp;SETTINGS'!J$4,$BE30))</f>
        <v>30 10 10 212</v>
      </c>
      <c r="AJ30" s="39">
        <f>IF('REF&amp;SETTINGS'!$H$3='REF&amp;SETTINGS'!$J$3,BD30,IF('REF&amp;SETTINGS'!I$3='REF&amp;SETTINGS'!#REF!,BF30))</f>
        <v>119</v>
      </c>
      <c r="AK30" s="36">
        <f t="shared" si="46"/>
        <v>0</v>
      </c>
      <c r="AL30" s="43">
        <f>SUMIFS(D4:D1500,AV4:AV1500,"MV4",BR4:BR1500,"=0",K4:K1500,"&lt;&gt;asphalted",L4:L1500,"rocky")+SUMIFS(D4:D1500,AV4:AV1500,"MVCU",BR4:BR1500,"=0",K4:K1500,"&lt;&gt;asphalted",L4:L1500,"rocky")</f>
        <v>0</v>
      </c>
      <c r="AM30" s="40">
        <f t="shared" si="47"/>
        <v>0</v>
      </c>
      <c r="AN30" s="41">
        <f>SUMIFS(CA4:CA1500,AV4:AV1500,"MV1")*AJ30+SUMIFS(CB4:CB1500,AV4:AV1500,"MV1")*AJ30</f>
        <v>0</v>
      </c>
      <c r="AR30" s="31"/>
      <c r="AS30" s="31">
        <f t="shared" si="1"/>
        <v>0</v>
      </c>
      <c r="AT30" s="31">
        <f t="shared" si="2"/>
        <v>0</v>
      </c>
      <c r="AU30" s="31">
        <f t="shared" si="3"/>
        <v>0</v>
      </c>
      <c r="AV30" s="31">
        <f t="shared" si="4"/>
        <v>0</v>
      </c>
      <c r="AW30" s="31">
        <f t="shared" si="5"/>
        <v>0</v>
      </c>
      <c r="AX30" s="31">
        <f t="shared" si="6"/>
        <v>0</v>
      </c>
      <c r="AY30" s="31">
        <f t="shared" si="7"/>
        <v>0</v>
      </c>
      <c r="AZ30" s="31">
        <f t="shared" si="8"/>
        <v>0</v>
      </c>
      <c r="BA30" s="31">
        <f t="shared" si="9"/>
        <v>0</v>
      </c>
      <c r="BB30" s="31">
        <f t="shared" si="41"/>
        <v>0</v>
      </c>
      <c r="BC30" s="39" t="s">
        <v>537</v>
      </c>
      <c r="BD30" s="39">
        <v>119</v>
      </c>
      <c r="BE30" s="65" t="s">
        <v>23</v>
      </c>
      <c r="BF30" s="66">
        <v>93</v>
      </c>
      <c r="BG30" s="31" t="s">
        <v>46</v>
      </c>
      <c r="BM30" s="8">
        <f t="shared" si="42"/>
        <v>0</v>
      </c>
      <c r="BN30" s="8">
        <f t="shared" si="10"/>
        <v>0</v>
      </c>
      <c r="BO30" s="8">
        <f t="shared" si="11"/>
        <v>0</v>
      </c>
      <c r="BQ30" s="8">
        <f t="shared" si="12"/>
        <v>0</v>
      </c>
      <c r="BR30" s="63">
        <f t="shared" si="13"/>
        <v>0</v>
      </c>
      <c r="BS30" s="63">
        <f t="shared" si="43"/>
        <v>0</v>
      </c>
      <c r="BT30" s="63">
        <f t="shared" si="14"/>
        <v>0</v>
      </c>
      <c r="BU30" s="63">
        <f t="shared" si="15"/>
        <v>0</v>
      </c>
      <c r="BV30" s="57">
        <f t="shared" si="16"/>
        <v>0</v>
      </c>
      <c r="BW30" s="57">
        <f t="shared" si="17"/>
        <v>0</v>
      </c>
      <c r="BX30" s="57">
        <f t="shared" si="44"/>
        <v>0</v>
      </c>
      <c r="BY30" s="57">
        <f t="shared" si="51"/>
        <v>0</v>
      </c>
      <c r="BZ30" s="8">
        <f t="shared" si="18"/>
        <v>0</v>
      </c>
      <c r="CA30" s="8">
        <f t="shared" si="19"/>
        <v>0</v>
      </c>
      <c r="CB30" s="8">
        <f t="shared" si="20"/>
        <v>0</v>
      </c>
      <c r="CC30" s="8">
        <f t="shared" si="21"/>
        <v>0</v>
      </c>
      <c r="CD30" s="8">
        <f t="shared" si="22"/>
        <v>0</v>
      </c>
      <c r="CE30" s="8">
        <f t="shared" si="23"/>
        <v>0</v>
      </c>
      <c r="CF30" s="8">
        <f t="shared" si="24"/>
        <v>0</v>
      </c>
      <c r="CG30" s="8">
        <f t="shared" si="25"/>
        <v>0</v>
      </c>
      <c r="CH30" s="8">
        <f t="shared" si="26"/>
        <v>0</v>
      </c>
      <c r="CI30" s="8">
        <f t="shared" si="27"/>
        <v>0</v>
      </c>
      <c r="CJ30" s="8">
        <f t="shared" si="28"/>
        <v>0</v>
      </c>
      <c r="CK30" s="8">
        <f t="shared" si="29"/>
        <v>0</v>
      </c>
      <c r="CL30" s="8">
        <f t="shared" si="30"/>
        <v>0</v>
      </c>
      <c r="CM30" s="8">
        <f t="shared" si="31"/>
        <v>0</v>
      </c>
      <c r="CN30" s="8">
        <f t="shared" si="32"/>
        <v>0</v>
      </c>
      <c r="CO30" s="8">
        <f t="shared" si="33"/>
        <v>0</v>
      </c>
      <c r="CP30" s="8">
        <f t="shared" si="34"/>
        <v>0</v>
      </c>
      <c r="CQ30" s="8">
        <f t="shared" si="35"/>
        <v>0</v>
      </c>
      <c r="CR30" s="8">
        <f t="shared" si="36"/>
        <v>0</v>
      </c>
      <c r="CS30" s="8">
        <f t="shared" si="37"/>
        <v>0</v>
      </c>
      <c r="CT30" s="8">
        <f t="shared" si="48"/>
        <v>0</v>
      </c>
      <c r="CU30" s="8">
        <f t="shared" si="49"/>
        <v>0</v>
      </c>
      <c r="CV30" s="8">
        <f t="shared" si="50"/>
        <v>0</v>
      </c>
      <c r="CW30" s="87">
        <v>1030301010</v>
      </c>
      <c r="CX30" s="75">
        <f>'Equipment Selection'!I24</f>
        <v>0</v>
      </c>
      <c r="CY30" s="75" t="s">
        <v>94</v>
      </c>
      <c r="CZ30" s="87" t="s">
        <v>457</v>
      </c>
      <c r="DA30" s="74"/>
      <c r="DB30" s="74"/>
    </row>
    <row r="31" spans="1:108" ht="25.25" customHeight="1" thickTop="1" thickBot="1" x14ac:dyDescent="0.55000000000000004">
      <c r="A31" s="32"/>
      <c r="B31" s="10"/>
      <c r="C31" s="10"/>
      <c r="D31" s="11"/>
      <c r="E31" s="10"/>
      <c r="F31" s="10"/>
      <c r="G31" s="19"/>
      <c r="H31" s="19"/>
      <c r="I31" s="19"/>
      <c r="J31" s="19"/>
      <c r="K31" s="10"/>
      <c r="L31" s="10"/>
      <c r="M31" s="10"/>
      <c r="N31" s="10"/>
      <c r="O31" s="18"/>
      <c r="P31" s="18"/>
      <c r="Q31" s="20"/>
      <c r="R31" s="20"/>
      <c r="S31" s="16">
        <f t="shared" si="0"/>
        <v>0</v>
      </c>
      <c r="T31" s="11"/>
      <c r="AE31" s="44" t="s">
        <v>172</v>
      </c>
      <c r="AF31" s="31" t="s">
        <v>90</v>
      </c>
      <c r="AG31" s="35" t="s">
        <v>68</v>
      </c>
      <c r="AH31" s="42">
        <f>SUMIFS(D4:D31500,AV4:AV31500,"LV1",BR4:BR31500,"=0",K4:K31500,"&lt;&gt;")+SUMIFS(D4:D31500,AV4:AV31500,"LV2",BR4:BR31500,"=0")+SUMIFS(D4:D31500,AV4:AV31500,"LV3",BR4:BR31500,"=0",K4:K31500,"&lt;&gt;")</f>
        <v>0</v>
      </c>
      <c r="AI31" s="39" t="str">
        <f>IF('REF&amp;SETTINGS'!$H$3='REF&amp;SETTINGS'!$J$3,$BC31,IF('REF&amp;SETTINGS'!H$3='REF&amp;SETTINGS'!J$4,$BE31))</f>
        <v>30 10 10 105</v>
      </c>
      <c r="AJ31" s="39">
        <f>IF('REF&amp;SETTINGS'!$H$3='REF&amp;SETTINGS'!$J$3,BD31,IF('REF&amp;SETTINGS'!I$3='REF&amp;SETTINGS'!#REF!,BF31))</f>
        <v>54</v>
      </c>
      <c r="AK31" s="36">
        <f t="shared" si="46"/>
        <v>0</v>
      </c>
      <c r="AL31" s="43">
        <f>SUMIFS(D4:D1500,AV4:AV1500,"LV1",BR4:BR1500,"=0",L4:L1500,"rocky")+SUMIFS(D4:D1500,AV4:AV1500,"LV2",BR4:BR1500,"=0",L4:L1500,"rocky")+SUMIFS(D4:D1500,AV4:AV1500,"LV3",BR4:BR1500,"=0",L4:L1500,"rocky")</f>
        <v>0</v>
      </c>
      <c r="AM31" s="40">
        <f t="shared" si="47"/>
        <v>0</v>
      </c>
      <c r="AN31" s="41">
        <f>SUMIFS(D4:D1500,AV4:AV1500,"LV1",CD4:CD1500,1)*AJ31+SUMIFS(D4:D1500,AV4:AV1500,"LV2",CD4:CD1500,1)*AJ31+SUMIFS(D4:D1500,AV4:AV1500,"LV3",CD4:CD1500,1)*AJ31</f>
        <v>0</v>
      </c>
      <c r="AR31" s="31"/>
      <c r="AS31" s="31">
        <f t="shared" si="1"/>
        <v>0</v>
      </c>
      <c r="AT31" s="31">
        <f t="shared" si="2"/>
        <v>0</v>
      </c>
      <c r="AU31" s="31">
        <f t="shared" si="3"/>
        <v>0</v>
      </c>
      <c r="AV31" s="31">
        <f t="shared" si="4"/>
        <v>0</v>
      </c>
      <c r="AW31" s="31">
        <f t="shared" si="5"/>
        <v>0</v>
      </c>
      <c r="AX31" s="31">
        <f t="shared" si="6"/>
        <v>0</v>
      </c>
      <c r="AY31" s="31">
        <f t="shared" si="7"/>
        <v>0</v>
      </c>
      <c r="AZ31" s="31">
        <f t="shared" si="8"/>
        <v>0</v>
      </c>
      <c r="BA31" s="31">
        <f t="shared" si="9"/>
        <v>0</v>
      </c>
      <c r="BB31" s="31">
        <f t="shared" si="41"/>
        <v>0</v>
      </c>
      <c r="BC31" s="39" t="s">
        <v>75</v>
      </c>
      <c r="BD31" s="39">
        <v>54</v>
      </c>
      <c r="BE31" s="65" t="s">
        <v>73</v>
      </c>
      <c r="BF31" s="66">
        <v>45</v>
      </c>
      <c r="BG31" s="31" t="s">
        <v>47</v>
      </c>
      <c r="BM31" s="8">
        <f t="shared" si="42"/>
        <v>0</v>
      </c>
      <c r="BN31" s="8">
        <f t="shared" si="10"/>
        <v>0</v>
      </c>
      <c r="BO31" s="8">
        <f t="shared" si="11"/>
        <v>0</v>
      </c>
      <c r="BQ31" s="8">
        <f t="shared" si="12"/>
        <v>0</v>
      </c>
      <c r="BR31" s="63">
        <f t="shared" si="13"/>
        <v>0</v>
      </c>
      <c r="BS31" s="63">
        <f t="shared" si="43"/>
        <v>0</v>
      </c>
      <c r="BT31" s="63">
        <f t="shared" si="14"/>
        <v>0</v>
      </c>
      <c r="BU31" s="63">
        <f t="shared" si="15"/>
        <v>0</v>
      </c>
      <c r="BV31" s="57">
        <f t="shared" si="16"/>
        <v>0</v>
      </c>
      <c r="BW31" s="57">
        <f t="shared" si="17"/>
        <v>0</v>
      </c>
      <c r="BX31" s="57">
        <f t="shared" si="44"/>
        <v>0</v>
      </c>
      <c r="BY31" s="57">
        <f t="shared" si="51"/>
        <v>0</v>
      </c>
      <c r="BZ31" s="8">
        <f t="shared" si="18"/>
        <v>0</v>
      </c>
      <c r="CA31" s="8">
        <f t="shared" si="19"/>
        <v>0</v>
      </c>
      <c r="CB31" s="8">
        <f t="shared" si="20"/>
        <v>0</v>
      </c>
      <c r="CC31" s="8">
        <f t="shared" si="21"/>
        <v>0</v>
      </c>
      <c r="CD31" s="8">
        <f t="shared" si="22"/>
        <v>0</v>
      </c>
      <c r="CE31" s="8">
        <f t="shared" si="23"/>
        <v>0</v>
      </c>
      <c r="CF31" s="8">
        <f t="shared" si="24"/>
        <v>0</v>
      </c>
      <c r="CG31" s="8">
        <f t="shared" si="25"/>
        <v>0</v>
      </c>
      <c r="CH31" s="8">
        <f t="shared" si="26"/>
        <v>0</v>
      </c>
      <c r="CI31" s="8">
        <f t="shared" si="27"/>
        <v>0</v>
      </c>
      <c r="CJ31" s="8">
        <f t="shared" si="28"/>
        <v>0</v>
      </c>
      <c r="CK31" s="8">
        <f t="shared" si="29"/>
        <v>0</v>
      </c>
      <c r="CL31" s="8">
        <f t="shared" si="30"/>
        <v>0</v>
      </c>
      <c r="CM31" s="8">
        <f t="shared" si="31"/>
        <v>0</v>
      </c>
      <c r="CN31" s="8">
        <f t="shared" si="32"/>
        <v>0</v>
      </c>
      <c r="CO31" s="8">
        <f t="shared" si="33"/>
        <v>0</v>
      </c>
      <c r="CP31" s="8">
        <f t="shared" si="34"/>
        <v>0</v>
      </c>
      <c r="CQ31" s="8">
        <f t="shared" si="35"/>
        <v>0</v>
      </c>
      <c r="CR31" s="8">
        <f t="shared" si="36"/>
        <v>0</v>
      </c>
      <c r="CS31" s="8">
        <f t="shared" si="37"/>
        <v>0</v>
      </c>
      <c r="CT31" s="8">
        <f t="shared" si="48"/>
        <v>0</v>
      </c>
      <c r="CU31" s="8">
        <f t="shared" si="49"/>
        <v>0</v>
      </c>
      <c r="CV31" s="8">
        <f t="shared" si="50"/>
        <v>0</v>
      </c>
      <c r="CW31" s="87">
        <v>1030301011</v>
      </c>
      <c r="CX31" s="75">
        <f>'Equipment Selection'!I25</f>
        <v>0</v>
      </c>
      <c r="CY31" s="75" t="s">
        <v>94</v>
      </c>
      <c r="CZ31" s="87" t="s">
        <v>458</v>
      </c>
      <c r="DA31" s="74"/>
      <c r="DB31" s="74"/>
    </row>
    <row r="32" spans="1:108" ht="25.25" customHeight="1" thickTop="1" thickBot="1" x14ac:dyDescent="0.55000000000000004">
      <c r="A32" s="32"/>
      <c r="B32" s="10"/>
      <c r="C32" s="10"/>
      <c r="D32" s="11"/>
      <c r="E32" s="10"/>
      <c r="F32" s="10"/>
      <c r="G32" s="19"/>
      <c r="H32" s="19"/>
      <c r="I32" s="19"/>
      <c r="J32" s="19"/>
      <c r="K32" s="10"/>
      <c r="L32" s="10"/>
      <c r="M32" s="10"/>
      <c r="N32" s="10"/>
      <c r="O32" s="18"/>
      <c r="P32" s="18"/>
      <c r="Q32" s="20"/>
      <c r="R32" s="20"/>
      <c r="S32" s="16">
        <f t="shared" si="0"/>
        <v>0</v>
      </c>
      <c r="T32" s="11"/>
      <c r="AE32" s="44" t="s">
        <v>173</v>
      </c>
      <c r="AF32" s="31" t="s">
        <v>90</v>
      </c>
      <c r="AG32" s="35" t="s">
        <v>69</v>
      </c>
      <c r="AH32" s="42">
        <f>SUMIFS(D4:D1500,AV4:AV1500,"LV4",BR4:BR1500,"=0",K4:K1500,"&lt;&gt;")+SUMIFS(D4:D1500,AV4:AV1500,"LVCU",BR4:BR1500,"=0",K4:K1500,"&lt;&gt;")</f>
        <v>0</v>
      </c>
      <c r="AI32" s="39" t="str">
        <f>IF('REF&amp;SETTINGS'!$H$3='REF&amp;SETTINGS'!$J$3,$BC32,IF('REF&amp;SETTINGS'!H$3='REF&amp;SETTINGS'!J$4,$BE32))</f>
        <v>30 10 10 106</v>
      </c>
      <c r="AJ32" s="39">
        <f>IF('REF&amp;SETTINGS'!$H$3='REF&amp;SETTINGS'!$J$3,BD32,IF('REF&amp;SETTINGS'!I$3='REF&amp;SETTINGS'!#REF!,BF32))</f>
        <v>69</v>
      </c>
      <c r="AK32" s="36">
        <f t="shared" si="46"/>
        <v>0</v>
      </c>
      <c r="AL32" s="40">
        <f>SUMIFS(D4:D1500,AV4:AV1500,"LV4",BR4:BR1500,"=0",L4:L1500,"rocky")</f>
        <v>0</v>
      </c>
      <c r="AM32" s="40">
        <f t="shared" si="47"/>
        <v>0</v>
      </c>
      <c r="AN32" s="41">
        <f>SUMIFS(CA4:CA1500,AV4:AV1500,"LV4")*AJ32+SUMIFS(CB4:CB1500,AV4:AV1500,"LV4")*AJ32</f>
        <v>0</v>
      </c>
      <c r="AR32" s="31"/>
      <c r="AS32" s="31">
        <f t="shared" si="1"/>
        <v>0</v>
      </c>
      <c r="AT32" s="31">
        <f t="shared" si="2"/>
        <v>0</v>
      </c>
      <c r="AU32" s="31">
        <f t="shared" si="3"/>
        <v>0</v>
      </c>
      <c r="AV32" s="31">
        <f t="shared" si="4"/>
        <v>0</v>
      </c>
      <c r="AW32" s="31">
        <f t="shared" si="5"/>
        <v>0</v>
      </c>
      <c r="AX32" s="31">
        <f t="shared" si="6"/>
        <v>0</v>
      </c>
      <c r="AY32" s="31">
        <f t="shared" si="7"/>
        <v>0</v>
      </c>
      <c r="AZ32" s="31">
        <f t="shared" si="8"/>
        <v>0</v>
      </c>
      <c r="BA32" s="31">
        <f t="shared" si="9"/>
        <v>0</v>
      </c>
      <c r="BB32" s="31">
        <f t="shared" si="41"/>
        <v>0</v>
      </c>
      <c r="BC32" s="39" t="s">
        <v>78</v>
      </c>
      <c r="BD32" s="39">
        <v>69</v>
      </c>
      <c r="BE32" s="65" t="s">
        <v>74</v>
      </c>
      <c r="BF32" s="67">
        <v>58</v>
      </c>
      <c r="BG32" s="31" t="s">
        <v>48</v>
      </c>
      <c r="BM32" s="8">
        <f t="shared" si="42"/>
        <v>0</v>
      </c>
      <c r="BN32" s="8">
        <f t="shared" si="10"/>
        <v>0</v>
      </c>
      <c r="BO32" s="8">
        <f t="shared" si="11"/>
        <v>0</v>
      </c>
      <c r="BQ32" s="8">
        <f t="shared" si="12"/>
        <v>0</v>
      </c>
      <c r="BR32" s="63">
        <f t="shared" si="13"/>
        <v>0</v>
      </c>
      <c r="BS32" s="63">
        <f t="shared" si="43"/>
        <v>0</v>
      </c>
      <c r="BT32" s="63">
        <f t="shared" si="14"/>
        <v>0</v>
      </c>
      <c r="BU32" s="63">
        <f t="shared" si="15"/>
        <v>0</v>
      </c>
      <c r="BV32" s="57">
        <f t="shared" si="16"/>
        <v>0</v>
      </c>
      <c r="BW32" s="57">
        <f t="shared" si="17"/>
        <v>0</v>
      </c>
      <c r="BX32" s="57">
        <f t="shared" si="44"/>
        <v>0</v>
      </c>
      <c r="BY32" s="57">
        <f t="shared" si="51"/>
        <v>0</v>
      </c>
      <c r="BZ32" s="8">
        <f t="shared" si="18"/>
        <v>0</v>
      </c>
      <c r="CA32" s="8">
        <f t="shared" si="19"/>
        <v>0</v>
      </c>
      <c r="CB32" s="8">
        <f t="shared" si="20"/>
        <v>0</v>
      </c>
      <c r="CC32" s="8">
        <f t="shared" si="21"/>
        <v>0</v>
      </c>
      <c r="CD32" s="8">
        <f t="shared" si="22"/>
        <v>0</v>
      </c>
      <c r="CE32" s="8">
        <f t="shared" si="23"/>
        <v>0</v>
      </c>
      <c r="CF32" s="8">
        <f t="shared" si="24"/>
        <v>0</v>
      </c>
      <c r="CG32" s="8">
        <f t="shared" si="25"/>
        <v>0</v>
      </c>
      <c r="CH32" s="8">
        <f t="shared" si="26"/>
        <v>0</v>
      </c>
      <c r="CI32" s="8">
        <f t="shared" si="27"/>
        <v>0</v>
      </c>
      <c r="CJ32" s="8">
        <f t="shared" si="28"/>
        <v>0</v>
      </c>
      <c r="CK32" s="8">
        <f t="shared" si="29"/>
        <v>0</v>
      </c>
      <c r="CL32" s="8">
        <f t="shared" si="30"/>
        <v>0</v>
      </c>
      <c r="CM32" s="8">
        <f t="shared" si="31"/>
        <v>0</v>
      </c>
      <c r="CN32" s="8">
        <f t="shared" si="32"/>
        <v>0</v>
      </c>
      <c r="CO32" s="8">
        <f t="shared" si="33"/>
        <v>0</v>
      </c>
      <c r="CP32" s="8">
        <f t="shared" si="34"/>
        <v>0</v>
      </c>
      <c r="CQ32" s="8">
        <f t="shared" si="35"/>
        <v>0</v>
      </c>
      <c r="CR32" s="8">
        <f t="shared" si="36"/>
        <v>0</v>
      </c>
      <c r="CS32" s="8">
        <f t="shared" si="37"/>
        <v>0</v>
      </c>
      <c r="CT32" s="8">
        <f t="shared" si="48"/>
        <v>0</v>
      </c>
      <c r="CU32" s="8">
        <f t="shared" si="49"/>
        <v>0</v>
      </c>
      <c r="CV32" s="8">
        <f t="shared" si="50"/>
        <v>0</v>
      </c>
      <c r="CW32" s="87">
        <v>1030301012</v>
      </c>
      <c r="CX32" s="75">
        <f>'Equipment Selection'!I26</f>
        <v>0</v>
      </c>
      <c r="CY32" s="75" t="s">
        <v>94</v>
      </c>
      <c r="CZ32" s="87" t="s">
        <v>459</v>
      </c>
      <c r="DA32" s="74"/>
      <c r="DB32" s="74"/>
    </row>
    <row r="33" spans="1:106" ht="25.25" customHeight="1" thickTop="1" thickBot="1" x14ac:dyDescent="0.55000000000000004">
      <c r="A33" s="32"/>
      <c r="B33" s="10"/>
      <c r="C33" s="10"/>
      <c r="D33" s="11"/>
      <c r="E33" s="10"/>
      <c r="F33" s="10"/>
      <c r="G33" s="19"/>
      <c r="H33" s="19"/>
      <c r="I33" s="19"/>
      <c r="J33" s="19"/>
      <c r="K33" s="10"/>
      <c r="L33" s="10"/>
      <c r="M33" s="10"/>
      <c r="N33" s="10"/>
      <c r="O33" s="18"/>
      <c r="P33" s="18"/>
      <c r="Q33" s="20"/>
      <c r="R33" s="20"/>
      <c r="S33" s="16">
        <f t="shared" si="0"/>
        <v>0</v>
      </c>
      <c r="T33" s="11"/>
      <c r="AE33" s="70" t="s">
        <v>174</v>
      </c>
      <c r="AF33" s="31" t="s">
        <v>91</v>
      </c>
      <c r="AG33" s="35" t="s">
        <v>53</v>
      </c>
      <c r="AH33" s="113">
        <f>SUMIFS(BO4:BO1500,K4:K1500,"&lt;&gt;asphalted")+SUMIFS(BU4:BU1500,K4:K1500,"&lt;&gt;asphalted")+SUMIFS(BZ4:BZ1500,K4:K1500,"&lt;&gt;asphalted")</f>
        <v>0</v>
      </c>
      <c r="AI33" s="39" t="str">
        <f>IF('REF&amp;SETTINGS'!$H$3='REF&amp;SETTINGS'!$J$3,$BC33,IF('REF&amp;SETTINGS'!H$3='REF&amp;SETTINGS'!J$4,$BE33))</f>
        <v>30 10 10 303</v>
      </c>
      <c r="AJ33" s="39">
        <f>IF('REF&amp;SETTINGS'!$H$3='REF&amp;SETTINGS'!$J$3,BD33,IF('REF&amp;SETTINGS'!I$3='REF&amp;SETTINGS'!#REF!,BF33))</f>
        <v>129</v>
      </c>
      <c r="AK33" s="36">
        <f t="shared" si="46"/>
        <v>0</v>
      </c>
      <c r="AL33" s="73">
        <f>SUMIFS(BT4:BT1500,K4:K1500,"&lt;&gt;asphalted",L4:L1500,"rocky")+SUMIFS(BU4:BU1500,K4:K1500,"&lt;&gt;asphalted",L4:L1500,"rocky")</f>
        <v>0</v>
      </c>
      <c r="AM33" s="40">
        <f t="shared" si="47"/>
        <v>0</v>
      </c>
      <c r="AN33" s="45">
        <f>SUMIFS(BT4:BT1500,CD4:CD1500,1)*AJ33+SUMIFS(BU4:BU1500,CD4:CD1500,1)*AJ33+SUMIFS(BZ4:BZ1500,CD4:CD1500,1)*AJ33</f>
        <v>0</v>
      </c>
      <c r="AR33" s="31"/>
      <c r="AS33" s="31">
        <f t="shared" si="1"/>
        <v>0</v>
      </c>
      <c r="AT33" s="31">
        <f t="shared" si="2"/>
        <v>0</v>
      </c>
      <c r="AU33" s="31">
        <f t="shared" si="3"/>
        <v>0</v>
      </c>
      <c r="AV33" s="31">
        <f t="shared" si="4"/>
        <v>0</v>
      </c>
      <c r="AW33" s="31">
        <f t="shared" si="5"/>
        <v>0</v>
      </c>
      <c r="AX33" s="31">
        <f t="shared" si="6"/>
        <v>0</v>
      </c>
      <c r="AY33" s="31">
        <f t="shared" si="7"/>
        <v>0</v>
      </c>
      <c r="AZ33" s="31">
        <f t="shared" si="8"/>
        <v>0</v>
      </c>
      <c r="BA33" s="31">
        <f t="shared" si="9"/>
        <v>0</v>
      </c>
      <c r="BB33" s="31">
        <f t="shared" si="41"/>
        <v>0</v>
      </c>
      <c r="BC33" s="39" t="s">
        <v>217</v>
      </c>
      <c r="BD33" s="39">
        <v>129</v>
      </c>
      <c r="BE33" s="65" t="s">
        <v>28</v>
      </c>
      <c r="BF33" s="67">
        <v>114</v>
      </c>
      <c r="BG33" s="31" t="s">
        <v>540</v>
      </c>
      <c r="BM33" s="8">
        <f t="shared" si="42"/>
        <v>0</v>
      </c>
      <c r="BN33" s="8">
        <f t="shared" si="10"/>
        <v>0</v>
      </c>
      <c r="BO33" s="8">
        <f t="shared" si="11"/>
        <v>0</v>
      </c>
      <c r="BQ33" s="8">
        <f t="shared" si="12"/>
        <v>0</v>
      </c>
      <c r="BR33" s="63">
        <f t="shared" si="13"/>
        <v>0</v>
      </c>
      <c r="BS33" s="63">
        <f t="shared" si="43"/>
        <v>0</v>
      </c>
      <c r="BT33" s="63">
        <f t="shared" si="14"/>
        <v>0</v>
      </c>
      <c r="BU33" s="63">
        <f t="shared" si="15"/>
        <v>0</v>
      </c>
      <c r="BV33" s="57">
        <f t="shared" si="16"/>
        <v>0</v>
      </c>
      <c r="BW33" s="57">
        <f t="shared" si="17"/>
        <v>0</v>
      </c>
      <c r="BX33" s="57">
        <f t="shared" si="44"/>
        <v>0</v>
      </c>
      <c r="BY33" s="57">
        <f t="shared" si="51"/>
        <v>0</v>
      </c>
      <c r="BZ33" s="8">
        <f t="shared" si="18"/>
        <v>0</v>
      </c>
      <c r="CA33" s="8">
        <f t="shared" si="19"/>
        <v>0</v>
      </c>
      <c r="CB33" s="8">
        <f t="shared" si="20"/>
        <v>0</v>
      </c>
      <c r="CC33" s="8">
        <f t="shared" si="21"/>
        <v>0</v>
      </c>
      <c r="CD33" s="8">
        <f t="shared" si="22"/>
        <v>0</v>
      </c>
      <c r="CE33" s="8">
        <f t="shared" si="23"/>
        <v>0</v>
      </c>
      <c r="CF33" s="8">
        <f t="shared" si="24"/>
        <v>0</v>
      </c>
      <c r="CG33" s="8">
        <f t="shared" si="25"/>
        <v>0</v>
      </c>
      <c r="CH33" s="8">
        <f t="shared" si="26"/>
        <v>0</v>
      </c>
      <c r="CI33" s="8">
        <f t="shared" si="27"/>
        <v>0</v>
      </c>
      <c r="CJ33" s="8">
        <f t="shared" si="28"/>
        <v>0</v>
      </c>
      <c r="CK33" s="8">
        <f t="shared" si="29"/>
        <v>0</v>
      </c>
      <c r="CL33" s="8">
        <f t="shared" si="30"/>
        <v>0</v>
      </c>
      <c r="CM33" s="8">
        <f t="shared" si="31"/>
        <v>0</v>
      </c>
      <c r="CN33" s="8">
        <f t="shared" si="32"/>
        <v>0</v>
      </c>
      <c r="CO33" s="8">
        <f t="shared" si="33"/>
        <v>0</v>
      </c>
      <c r="CP33" s="8">
        <f t="shared" si="34"/>
        <v>0</v>
      </c>
      <c r="CQ33" s="8">
        <f t="shared" si="35"/>
        <v>0</v>
      </c>
      <c r="CR33" s="8">
        <f t="shared" si="36"/>
        <v>0</v>
      </c>
      <c r="CS33" s="8">
        <f t="shared" si="37"/>
        <v>0</v>
      </c>
      <c r="CT33" s="8">
        <f t="shared" si="48"/>
        <v>0</v>
      </c>
      <c r="CU33" s="8">
        <f t="shared" si="49"/>
        <v>0</v>
      </c>
      <c r="CV33" s="8">
        <f t="shared" si="50"/>
        <v>0</v>
      </c>
      <c r="CW33" s="87">
        <v>1030301013</v>
      </c>
      <c r="CX33" s="75">
        <f>'Equipment Selection'!I27</f>
        <v>0</v>
      </c>
      <c r="CY33" s="75" t="s">
        <v>94</v>
      </c>
      <c r="CZ33" s="87" t="s">
        <v>460</v>
      </c>
      <c r="DA33" s="74"/>
      <c r="DB33" s="74"/>
    </row>
    <row r="34" spans="1:106" ht="25.25" customHeight="1" thickTop="1" thickBot="1" x14ac:dyDescent="0.55000000000000004">
      <c r="A34" s="32"/>
      <c r="B34" s="10"/>
      <c r="C34" s="10"/>
      <c r="D34" s="11"/>
      <c r="E34" s="10"/>
      <c r="F34" s="10"/>
      <c r="G34" s="19"/>
      <c r="H34" s="19"/>
      <c r="I34" s="19"/>
      <c r="J34" s="19"/>
      <c r="K34" s="10"/>
      <c r="L34" s="10"/>
      <c r="M34" s="10"/>
      <c r="N34" s="10"/>
      <c r="O34" s="18"/>
      <c r="P34" s="18"/>
      <c r="Q34" s="20"/>
      <c r="R34" s="20"/>
      <c r="S34" s="16">
        <f t="shared" si="0"/>
        <v>0</v>
      </c>
      <c r="T34" s="11"/>
      <c r="AE34" s="70" t="s">
        <v>182</v>
      </c>
      <c r="AF34" s="31" t="s">
        <v>275</v>
      </c>
      <c r="AG34" s="35" t="s">
        <v>152</v>
      </c>
      <c r="AH34" s="39">
        <f>SUMIFS(BA4:BA1500,E4:E1500,"manual")</f>
        <v>0</v>
      </c>
      <c r="AI34" s="39" t="s">
        <v>150</v>
      </c>
      <c r="AJ34" s="39">
        <v>145</v>
      </c>
      <c r="AK34" s="36">
        <f t="shared" si="46"/>
        <v>0</v>
      </c>
      <c r="AL34" s="48">
        <v>0</v>
      </c>
      <c r="AM34" s="40">
        <v>0</v>
      </c>
      <c r="AN34" s="41"/>
      <c r="AR34" s="31"/>
      <c r="AS34" s="31">
        <f t="shared" si="1"/>
        <v>0</v>
      </c>
      <c r="AT34" s="31">
        <f t="shared" si="2"/>
        <v>0</v>
      </c>
      <c r="AU34" s="31">
        <f t="shared" si="3"/>
        <v>0</v>
      </c>
      <c r="AV34" s="31">
        <f t="shared" si="4"/>
        <v>0</v>
      </c>
      <c r="AW34" s="31">
        <f t="shared" si="5"/>
        <v>0</v>
      </c>
      <c r="AX34" s="31">
        <f t="shared" si="6"/>
        <v>0</v>
      </c>
      <c r="AY34" s="31">
        <f t="shared" si="7"/>
        <v>0</v>
      </c>
      <c r="AZ34" s="31">
        <f t="shared" si="8"/>
        <v>0</v>
      </c>
      <c r="BA34" s="31">
        <f t="shared" si="9"/>
        <v>0</v>
      </c>
      <c r="BB34" s="31">
        <f t="shared" si="41"/>
        <v>0</v>
      </c>
      <c r="BC34" s="49"/>
      <c r="BD34" s="49"/>
      <c r="BE34" s="68"/>
      <c r="BF34" s="69"/>
      <c r="BM34" s="8">
        <f t="shared" si="42"/>
        <v>0</v>
      </c>
      <c r="BN34" s="8">
        <f t="shared" si="10"/>
        <v>0</v>
      </c>
      <c r="BO34" s="8">
        <f t="shared" si="11"/>
        <v>0</v>
      </c>
      <c r="BQ34" s="8">
        <f t="shared" si="12"/>
        <v>0</v>
      </c>
      <c r="BR34" s="63">
        <f t="shared" si="13"/>
        <v>0</v>
      </c>
      <c r="BS34" s="63">
        <f t="shared" si="43"/>
        <v>0</v>
      </c>
      <c r="BT34" s="63">
        <f t="shared" si="14"/>
        <v>0</v>
      </c>
      <c r="BU34" s="63">
        <f t="shared" si="15"/>
        <v>0</v>
      </c>
      <c r="BV34" s="57">
        <f t="shared" si="16"/>
        <v>0</v>
      </c>
      <c r="BW34" s="57">
        <f t="shared" si="17"/>
        <v>0</v>
      </c>
      <c r="BX34" s="57">
        <f t="shared" si="44"/>
        <v>0</v>
      </c>
      <c r="BY34" s="57">
        <f t="shared" si="51"/>
        <v>0</v>
      </c>
      <c r="BZ34" s="8">
        <f t="shared" si="18"/>
        <v>0</v>
      </c>
      <c r="CA34" s="8">
        <f t="shared" si="19"/>
        <v>0</v>
      </c>
      <c r="CB34" s="8">
        <f t="shared" si="20"/>
        <v>0</v>
      </c>
      <c r="CC34" s="8">
        <f t="shared" si="21"/>
        <v>0</v>
      </c>
      <c r="CD34" s="8">
        <f t="shared" si="22"/>
        <v>0</v>
      </c>
      <c r="CE34" s="8">
        <f t="shared" si="23"/>
        <v>0</v>
      </c>
      <c r="CF34" s="8">
        <f t="shared" si="24"/>
        <v>0</v>
      </c>
      <c r="CG34" s="8">
        <f t="shared" si="25"/>
        <v>0</v>
      </c>
      <c r="CH34" s="8">
        <f t="shared" si="26"/>
        <v>0</v>
      </c>
      <c r="CI34" s="8">
        <f t="shared" si="27"/>
        <v>0</v>
      </c>
      <c r="CJ34" s="8">
        <f t="shared" si="28"/>
        <v>0</v>
      </c>
      <c r="CK34" s="8">
        <f t="shared" si="29"/>
        <v>0</v>
      </c>
      <c r="CL34" s="8">
        <f t="shared" si="30"/>
        <v>0</v>
      </c>
      <c r="CM34" s="8">
        <f t="shared" si="31"/>
        <v>0</v>
      </c>
      <c r="CN34" s="8">
        <f t="shared" si="32"/>
        <v>0</v>
      </c>
      <c r="CO34" s="8">
        <f t="shared" si="33"/>
        <v>0</v>
      </c>
      <c r="CP34" s="8">
        <f t="shared" si="34"/>
        <v>0</v>
      </c>
      <c r="CQ34" s="8">
        <f t="shared" si="35"/>
        <v>0</v>
      </c>
      <c r="CR34" s="8">
        <f t="shared" si="36"/>
        <v>0</v>
      </c>
      <c r="CS34" s="8">
        <f t="shared" si="37"/>
        <v>0</v>
      </c>
      <c r="CT34" s="8">
        <f t="shared" si="48"/>
        <v>0</v>
      </c>
      <c r="CU34" s="8">
        <f t="shared" si="49"/>
        <v>0</v>
      </c>
      <c r="CV34" s="8">
        <f t="shared" si="50"/>
        <v>0</v>
      </c>
      <c r="CW34" s="87">
        <v>1030301014</v>
      </c>
      <c r="CX34" s="75">
        <f>'Equipment Selection'!I28</f>
        <v>0</v>
      </c>
      <c r="CY34" s="75" t="s">
        <v>94</v>
      </c>
      <c r="CZ34" s="87" t="s">
        <v>461</v>
      </c>
      <c r="DA34" s="74"/>
      <c r="DB34" s="74"/>
    </row>
    <row r="35" spans="1:106" ht="25.25" customHeight="1" thickTop="1" thickBot="1" x14ac:dyDescent="0.5">
      <c r="A35" s="32"/>
      <c r="B35" s="10"/>
      <c r="C35" s="10"/>
      <c r="D35" s="11"/>
      <c r="E35" s="10"/>
      <c r="F35" s="10"/>
      <c r="G35" s="19"/>
      <c r="H35" s="19"/>
      <c r="I35" s="19"/>
      <c r="J35" s="19"/>
      <c r="K35" s="10"/>
      <c r="L35" s="10"/>
      <c r="M35" s="10"/>
      <c r="N35" s="10"/>
      <c r="O35" s="18"/>
      <c r="P35" s="18"/>
      <c r="Q35" s="20"/>
      <c r="R35" s="20"/>
      <c r="S35" s="16">
        <f t="shared" si="0"/>
        <v>0</v>
      </c>
      <c r="T35" s="11"/>
      <c r="AE35" s="38" t="s">
        <v>175</v>
      </c>
      <c r="AF35" s="31" t="s">
        <v>92</v>
      </c>
      <c r="AG35" s="50" t="s">
        <v>56</v>
      </c>
      <c r="AH35" s="50">
        <f>AM35</f>
        <v>0</v>
      </c>
      <c r="AI35" s="51" t="s">
        <v>42</v>
      </c>
      <c r="AJ35" s="51">
        <v>0.2</v>
      </c>
      <c r="AK35" s="50">
        <f>AH35*AJ35</f>
        <v>0</v>
      </c>
      <c r="AL35" s="50"/>
      <c r="AM35" s="50">
        <f>SUM(AM13:AM34)</f>
        <v>0</v>
      </c>
      <c r="AN35" s="31">
        <f>SUM(AN13:AN34)</f>
        <v>0</v>
      </c>
      <c r="AR35" s="31"/>
      <c r="AS35" s="31">
        <f t="shared" si="1"/>
        <v>0</v>
      </c>
      <c r="AT35" s="31">
        <f t="shared" si="2"/>
        <v>0</v>
      </c>
      <c r="AU35" s="31">
        <f t="shared" si="3"/>
        <v>0</v>
      </c>
      <c r="AV35" s="31">
        <f t="shared" si="4"/>
        <v>0</v>
      </c>
      <c r="AW35" s="31">
        <f t="shared" si="5"/>
        <v>0</v>
      </c>
      <c r="AX35" s="31">
        <f t="shared" si="6"/>
        <v>0</v>
      </c>
      <c r="AY35" s="31">
        <f t="shared" si="7"/>
        <v>0</v>
      </c>
      <c r="AZ35" s="31">
        <f t="shared" si="8"/>
        <v>0</v>
      </c>
      <c r="BA35" s="31">
        <f t="shared" si="9"/>
        <v>0</v>
      </c>
      <c r="BB35" s="31">
        <f t="shared" si="41"/>
        <v>0</v>
      </c>
      <c r="BC35" s="31"/>
      <c r="BD35" s="31"/>
      <c r="BM35" s="8">
        <f t="shared" si="42"/>
        <v>0</v>
      </c>
      <c r="BN35" s="8">
        <f t="shared" si="10"/>
        <v>0</v>
      </c>
      <c r="BO35" s="8">
        <f t="shared" si="11"/>
        <v>0</v>
      </c>
      <c r="BQ35" s="8">
        <f t="shared" si="12"/>
        <v>0</v>
      </c>
      <c r="BR35" s="63">
        <f t="shared" si="13"/>
        <v>0</v>
      </c>
      <c r="BS35" s="63">
        <f t="shared" si="43"/>
        <v>0</v>
      </c>
      <c r="BT35" s="63">
        <f t="shared" si="14"/>
        <v>0</v>
      </c>
      <c r="BU35" s="63">
        <f t="shared" si="15"/>
        <v>0</v>
      </c>
      <c r="BV35" s="57">
        <f t="shared" si="16"/>
        <v>0</v>
      </c>
      <c r="BW35" s="57">
        <f t="shared" si="17"/>
        <v>0</v>
      </c>
      <c r="BX35" s="57">
        <f t="shared" si="44"/>
        <v>0</v>
      </c>
      <c r="BY35" s="57">
        <f t="shared" si="51"/>
        <v>0</v>
      </c>
      <c r="BZ35" s="8">
        <f t="shared" si="18"/>
        <v>0</v>
      </c>
      <c r="CA35" s="8">
        <f t="shared" si="19"/>
        <v>0</v>
      </c>
      <c r="CB35" s="8">
        <f t="shared" si="20"/>
        <v>0</v>
      </c>
      <c r="CC35" s="8">
        <f t="shared" si="21"/>
        <v>0</v>
      </c>
      <c r="CD35" s="8">
        <f t="shared" si="22"/>
        <v>0</v>
      </c>
      <c r="CE35" s="8">
        <f t="shared" si="23"/>
        <v>0</v>
      </c>
      <c r="CF35" s="8">
        <f t="shared" si="24"/>
        <v>0</v>
      </c>
      <c r="CG35" s="8">
        <f t="shared" si="25"/>
        <v>0</v>
      </c>
      <c r="CH35" s="8">
        <f t="shared" si="26"/>
        <v>0</v>
      </c>
      <c r="CI35" s="8">
        <f t="shared" si="27"/>
        <v>0</v>
      </c>
      <c r="CJ35" s="8">
        <f t="shared" si="28"/>
        <v>0</v>
      </c>
      <c r="CK35" s="8">
        <f t="shared" si="29"/>
        <v>0</v>
      </c>
      <c r="CL35" s="8">
        <f t="shared" si="30"/>
        <v>0</v>
      </c>
      <c r="CM35" s="8">
        <f t="shared" si="31"/>
        <v>0</v>
      </c>
      <c r="CN35" s="8">
        <f t="shared" si="32"/>
        <v>0</v>
      </c>
      <c r="CO35" s="8">
        <f t="shared" si="33"/>
        <v>0</v>
      </c>
      <c r="CP35" s="8">
        <f t="shared" si="34"/>
        <v>0</v>
      </c>
      <c r="CQ35" s="8">
        <f t="shared" si="35"/>
        <v>0</v>
      </c>
      <c r="CR35" s="8">
        <f t="shared" si="36"/>
        <v>0</v>
      </c>
      <c r="CS35" s="8">
        <f t="shared" si="37"/>
        <v>0</v>
      </c>
      <c r="CT35" s="8">
        <f t="shared" si="48"/>
        <v>0</v>
      </c>
      <c r="CU35" s="8">
        <f t="shared" si="49"/>
        <v>0</v>
      </c>
      <c r="CV35" s="8">
        <f t="shared" si="50"/>
        <v>0</v>
      </c>
      <c r="CW35" s="87">
        <v>1030301015</v>
      </c>
      <c r="CX35" s="75">
        <f>'Equipment Selection'!I29</f>
        <v>0</v>
      </c>
      <c r="CY35" s="75" t="s">
        <v>94</v>
      </c>
      <c r="CZ35" s="87" t="s">
        <v>462</v>
      </c>
      <c r="DA35" s="74"/>
      <c r="DB35" s="74"/>
    </row>
    <row r="36" spans="1:106" ht="25.25" customHeight="1" thickTop="1" thickBot="1" x14ac:dyDescent="0.55000000000000004">
      <c r="A36" s="32"/>
      <c r="B36" s="10"/>
      <c r="C36" s="10"/>
      <c r="D36" s="11"/>
      <c r="E36" s="10"/>
      <c r="F36" s="10"/>
      <c r="G36" s="19"/>
      <c r="H36" s="19"/>
      <c r="I36" s="19"/>
      <c r="J36" s="19"/>
      <c r="K36" s="10"/>
      <c r="L36" s="10"/>
      <c r="M36" s="10"/>
      <c r="N36" s="10"/>
      <c r="O36" s="18"/>
      <c r="P36" s="18"/>
      <c r="Q36" s="20"/>
      <c r="R36" s="20"/>
      <c r="S36" s="16">
        <f t="shared" si="0"/>
        <v>0</v>
      </c>
      <c r="T36" s="11"/>
      <c r="AE36" s="38" t="s">
        <v>176</v>
      </c>
      <c r="AF36" s="31" t="s">
        <v>90</v>
      </c>
      <c r="AG36" s="35" t="s">
        <v>104</v>
      </c>
      <c r="AH36" s="39">
        <f>SUMIFS(D4:D1500,AV4:AV1500,"mini-trench MV")</f>
        <v>0</v>
      </c>
      <c r="AI36" s="39" t="s">
        <v>106</v>
      </c>
      <c r="AJ36" s="39">
        <v>107</v>
      </c>
      <c r="AK36" s="36">
        <f t="shared" ref="AK36:AK74" si="52">AJ36*AH36</f>
        <v>0</v>
      </c>
      <c r="AL36" s="40"/>
      <c r="AM36" s="40"/>
      <c r="AP36" s="34"/>
      <c r="AQ36" s="34"/>
      <c r="AR36" s="31"/>
      <c r="AS36" s="31">
        <f t="shared" si="1"/>
        <v>0</v>
      </c>
      <c r="AT36" s="31">
        <f t="shared" si="2"/>
        <v>0</v>
      </c>
      <c r="AU36" s="31">
        <f t="shared" si="3"/>
        <v>0</v>
      </c>
      <c r="AV36" s="31">
        <f t="shared" si="4"/>
        <v>0</v>
      </c>
      <c r="AW36" s="31">
        <f t="shared" si="5"/>
        <v>0</v>
      </c>
      <c r="AX36" s="31">
        <f t="shared" si="6"/>
        <v>0</v>
      </c>
      <c r="AY36" s="31">
        <f t="shared" si="7"/>
        <v>0</v>
      </c>
      <c r="AZ36" s="31">
        <f t="shared" si="8"/>
        <v>0</v>
      </c>
      <c r="BA36" s="31">
        <f t="shared" si="9"/>
        <v>0</v>
      </c>
      <c r="BB36" s="31">
        <f t="shared" si="41"/>
        <v>0</v>
      </c>
      <c r="BC36" s="31"/>
      <c r="BD36" s="31"/>
      <c r="BM36" s="8">
        <f t="shared" si="42"/>
        <v>0</v>
      </c>
      <c r="BN36" s="8">
        <f t="shared" si="10"/>
        <v>0</v>
      </c>
      <c r="BO36" s="8">
        <f t="shared" si="11"/>
        <v>0</v>
      </c>
      <c r="BQ36" s="8">
        <f t="shared" si="12"/>
        <v>0</v>
      </c>
      <c r="BR36" s="63">
        <f t="shared" si="13"/>
        <v>0</v>
      </c>
      <c r="BS36" s="63">
        <f t="shared" si="43"/>
        <v>0</v>
      </c>
      <c r="BT36" s="63">
        <f t="shared" si="14"/>
        <v>0</v>
      </c>
      <c r="BU36" s="63">
        <f t="shared" si="15"/>
        <v>0</v>
      </c>
      <c r="BV36" s="57">
        <f t="shared" si="16"/>
        <v>0</v>
      </c>
      <c r="BW36" s="57">
        <f t="shared" si="17"/>
        <v>0</v>
      </c>
      <c r="BX36" s="57">
        <f t="shared" si="44"/>
        <v>0</v>
      </c>
      <c r="BY36" s="57">
        <f t="shared" si="51"/>
        <v>0</v>
      </c>
      <c r="BZ36" s="8">
        <f t="shared" si="18"/>
        <v>0</v>
      </c>
      <c r="CA36" s="8">
        <f t="shared" si="19"/>
        <v>0</v>
      </c>
      <c r="CB36" s="8">
        <f t="shared" si="20"/>
        <v>0</v>
      </c>
      <c r="CC36" s="8">
        <f t="shared" si="21"/>
        <v>0</v>
      </c>
      <c r="CD36" s="8">
        <f t="shared" si="22"/>
        <v>0</v>
      </c>
      <c r="CE36" s="8">
        <f t="shared" si="23"/>
        <v>0</v>
      </c>
      <c r="CF36" s="8">
        <f t="shared" si="24"/>
        <v>0</v>
      </c>
      <c r="CG36" s="8">
        <f t="shared" si="25"/>
        <v>0</v>
      </c>
      <c r="CH36" s="8">
        <f t="shared" si="26"/>
        <v>0</v>
      </c>
      <c r="CI36" s="8">
        <f t="shared" si="27"/>
        <v>0</v>
      </c>
      <c r="CJ36" s="8">
        <f t="shared" si="28"/>
        <v>0</v>
      </c>
      <c r="CK36" s="8">
        <f t="shared" si="29"/>
        <v>0</v>
      </c>
      <c r="CL36" s="8">
        <f t="shared" si="30"/>
        <v>0</v>
      </c>
      <c r="CM36" s="8">
        <f t="shared" si="31"/>
        <v>0</v>
      </c>
      <c r="CN36" s="8">
        <f t="shared" si="32"/>
        <v>0</v>
      </c>
      <c r="CO36" s="8">
        <f t="shared" si="33"/>
        <v>0</v>
      </c>
      <c r="CP36" s="8">
        <f t="shared" si="34"/>
        <v>0</v>
      </c>
      <c r="CQ36" s="8">
        <f t="shared" si="35"/>
        <v>0</v>
      </c>
      <c r="CR36" s="8">
        <f t="shared" si="36"/>
        <v>0</v>
      </c>
      <c r="CS36" s="8">
        <f t="shared" si="37"/>
        <v>0</v>
      </c>
      <c r="CT36" s="8">
        <f t="shared" si="48"/>
        <v>0</v>
      </c>
      <c r="CU36" s="8">
        <f t="shared" si="49"/>
        <v>0</v>
      </c>
      <c r="CV36" s="8">
        <f t="shared" si="50"/>
        <v>0</v>
      </c>
      <c r="CW36" s="87">
        <v>1030401002</v>
      </c>
      <c r="CX36" s="75">
        <f>'Equipment Selection'!I30</f>
        <v>0</v>
      </c>
      <c r="CY36" s="75" t="s">
        <v>94</v>
      </c>
      <c r="CZ36" s="87" t="s">
        <v>463</v>
      </c>
      <c r="DA36" s="74"/>
      <c r="DB36" s="74"/>
    </row>
    <row r="37" spans="1:106" ht="25.25" customHeight="1" thickTop="1" thickBot="1" x14ac:dyDescent="0.55000000000000004">
      <c r="A37" s="32"/>
      <c r="B37" s="10"/>
      <c r="C37" s="10"/>
      <c r="D37" s="11"/>
      <c r="E37" s="10"/>
      <c r="F37" s="10"/>
      <c r="G37" s="19"/>
      <c r="H37" s="19"/>
      <c r="I37" s="19"/>
      <c r="J37" s="19"/>
      <c r="K37" s="10"/>
      <c r="L37" s="10"/>
      <c r="M37" s="10"/>
      <c r="N37" s="10"/>
      <c r="O37" s="18"/>
      <c r="P37" s="18"/>
      <c r="Q37" s="20"/>
      <c r="R37" s="20"/>
      <c r="S37" s="16">
        <f t="shared" si="0"/>
        <v>0</v>
      </c>
      <c r="T37" s="11"/>
      <c r="AE37" s="44" t="s">
        <v>177</v>
      </c>
      <c r="AF37" s="31" t="s">
        <v>90</v>
      </c>
      <c r="AG37" s="35" t="s">
        <v>103</v>
      </c>
      <c r="AH37" s="39">
        <f>SUMIFS(D4:D1500,AV4:AV1500,"mini-trench LV")</f>
        <v>0</v>
      </c>
      <c r="AI37" s="39" t="s">
        <v>105</v>
      </c>
      <c r="AJ37" s="39">
        <v>96</v>
      </c>
      <c r="AK37" s="36">
        <f t="shared" si="52"/>
        <v>0</v>
      </c>
      <c r="AL37" s="40"/>
      <c r="AM37" s="40"/>
      <c r="AP37" s="34"/>
      <c r="AQ37" s="34"/>
      <c r="AR37" s="31"/>
      <c r="AS37" s="31">
        <f t="shared" si="1"/>
        <v>0</v>
      </c>
      <c r="AT37" s="31">
        <f t="shared" si="2"/>
        <v>0</v>
      </c>
      <c r="AU37" s="31">
        <f t="shared" si="3"/>
        <v>0</v>
      </c>
      <c r="AV37" s="31">
        <f t="shared" si="4"/>
        <v>0</v>
      </c>
      <c r="AW37" s="31">
        <f t="shared" si="5"/>
        <v>0</v>
      </c>
      <c r="AX37" s="31">
        <f t="shared" si="6"/>
        <v>0</v>
      </c>
      <c r="AY37" s="31">
        <f t="shared" si="7"/>
        <v>0</v>
      </c>
      <c r="AZ37" s="31">
        <f t="shared" si="8"/>
        <v>0</v>
      </c>
      <c r="BA37" s="31">
        <f t="shared" si="9"/>
        <v>0</v>
      </c>
      <c r="BB37" s="31">
        <f t="shared" si="41"/>
        <v>0</v>
      </c>
      <c r="BC37" s="31"/>
      <c r="BD37" s="31"/>
      <c r="BM37" s="8">
        <f t="shared" si="42"/>
        <v>0</v>
      </c>
      <c r="BN37" s="8">
        <f t="shared" si="10"/>
        <v>0</v>
      </c>
      <c r="BO37" s="8">
        <f t="shared" si="11"/>
        <v>0</v>
      </c>
      <c r="BQ37" s="8">
        <f t="shared" si="12"/>
        <v>0</v>
      </c>
      <c r="BR37" s="63">
        <f t="shared" si="13"/>
        <v>0</v>
      </c>
      <c r="BS37" s="63">
        <f t="shared" si="43"/>
        <v>0</v>
      </c>
      <c r="BT37" s="63">
        <f t="shared" si="14"/>
        <v>0</v>
      </c>
      <c r="BU37" s="63">
        <f t="shared" si="15"/>
        <v>0</v>
      </c>
      <c r="BV37" s="57">
        <f t="shared" si="16"/>
        <v>0</v>
      </c>
      <c r="BW37" s="57">
        <f t="shared" si="17"/>
        <v>0</v>
      </c>
      <c r="BX37" s="57">
        <f t="shared" si="44"/>
        <v>0</v>
      </c>
      <c r="BY37" s="57">
        <f t="shared" si="51"/>
        <v>0</v>
      </c>
      <c r="BZ37" s="8">
        <f t="shared" si="18"/>
        <v>0</v>
      </c>
      <c r="CA37" s="8">
        <f t="shared" si="19"/>
        <v>0</v>
      </c>
      <c r="CB37" s="8">
        <f t="shared" si="20"/>
        <v>0</v>
      </c>
      <c r="CC37" s="8">
        <f t="shared" si="21"/>
        <v>0</v>
      </c>
      <c r="CD37" s="8">
        <f t="shared" si="22"/>
        <v>0</v>
      </c>
      <c r="CE37" s="8">
        <f t="shared" si="23"/>
        <v>0</v>
      </c>
      <c r="CF37" s="8">
        <f t="shared" si="24"/>
        <v>0</v>
      </c>
      <c r="CG37" s="8">
        <f t="shared" si="25"/>
        <v>0</v>
      </c>
      <c r="CH37" s="8">
        <f t="shared" si="26"/>
        <v>0</v>
      </c>
      <c r="CI37" s="8">
        <f t="shared" si="27"/>
        <v>0</v>
      </c>
      <c r="CJ37" s="8">
        <f t="shared" si="28"/>
        <v>0</v>
      </c>
      <c r="CK37" s="8">
        <f t="shared" si="29"/>
        <v>0</v>
      </c>
      <c r="CL37" s="8">
        <f t="shared" si="30"/>
        <v>0</v>
      </c>
      <c r="CM37" s="8">
        <f t="shared" si="31"/>
        <v>0</v>
      </c>
      <c r="CN37" s="8">
        <f t="shared" si="32"/>
        <v>0</v>
      </c>
      <c r="CO37" s="8">
        <f t="shared" si="33"/>
        <v>0</v>
      </c>
      <c r="CP37" s="8">
        <f t="shared" si="34"/>
        <v>0</v>
      </c>
      <c r="CQ37" s="8">
        <f t="shared" si="35"/>
        <v>0</v>
      </c>
      <c r="CR37" s="8">
        <f t="shared" si="36"/>
        <v>0</v>
      </c>
      <c r="CS37" s="8">
        <f t="shared" si="37"/>
        <v>0</v>
      </c>
      <c r="CT37" s="8">
        <f t="shared" si="48"/>
        <v>0</v>
      </c>
      <c r="CU37" s="8">
        <f t="shared" si="49"/>
        <v>0</v>
      </c>
      <c r="CV37" s="8">
        <f t="shared" si="50"/>
        <v>0</v>
      </c>
      <c r="CW37" s="87">
        <v>1030401003</v>
      </c>
      <c r="CX37" s="75">
        <f>'Equipment Selection'!I31</f>
        <v>0</v>
      </c>
      <c r="CY37" s="75" t="s">
        <v>94</v>
      </c>
      <c r="CZ37" s="87" t="s">
        <v>464</v>
      </c>
      <c r="DA37" s="74"/>
      <c r="DB37" s="74"/>
    </row>
    <row r="38" spans="1:106" ht="25.25" customHeight="1" thickTop="1" thickBot="1" x14ac:dyDescent="0.55000000000000004">
      <c r="A38" s="32"/>
      <c r="B38" s="10"/>
      <c r="C38" s="10"/>
      <c r="D38" s="11"/>
      <c r="E38" s="10"/>
      <c r="F38" s="10"/>
      <c r="G38" s="19"/>
      <c r="H38" s="19"/>
      <c r="I38" s="19"/>
      <c r="J38" s="19"/>
      <c r="K38" s="10"/>
      <c r="L38" s="10"/>
      <c r="M38" s="10"/>
      <c r="N38" s="10"/>
      <c r="O38" s="18"/>
      <c r="P38" s="18"/>
      <c r="Q38" s="20"/>
      <c r="R38" s="20"/>
      <c r="S38" s="16">
        <f t="shared" si="0"/>
        <v>0</v>
      </c>
      <c r="T38" s="11"/>
      <c r="AE38" s="38" t="s">
        <v>178</v>
      </c>
      <c r="AF38" s="31" t="s">
        <v>93</v>
      </c>
      <c r="AG38" s="35" t="s">
        <v>57</v>
      </c>
      <c r="AH38" s="39">
        <f>SUMIF(M4:M1500,"&lt;&gt;MOT",BR4:BR1500)</f>
        <v>0</v>
      </c>
      <c r="AI38" s="39" t="s">
        <v>30</v>
      </c>
      <c r="AJ38" s="39">
        <v>114</v>
      </c>
      <c r="AK38" s="36">
        <f t="shared" si="52"/>
        <v>0</v>
      </c>
      <c r="AP38" s="34"/>
      <c r="AQ38" s="34"/>
      <c r="AR38" s="31"/>
      <c r="AS38" s="31">
        <f t="shared" si="1"/>
        <v>0</v>
      </c>
      <c r="AT38" s="31">
        <f t="shared" si="2"/>
        <v>0</v>
      </c>
      <c r="AU38" s="31">
        <f t="shared" si="3"/>
        <v>0</v>
      </c>
      <c r="AV38" s="31">
        <f t="shared" si="4"/>
        <v>0</v>
      </c>
      <c r="AW38" s="31">
        <f t="shared" si="5"/>
        <v>0</v>
      </c>
      <c r="AX38" s="31">
        <f t="shared" si="6"/>
        <v>0</v>
      </c>
      <c r="AY38" s="31">
        <f t="shared" si="7"/>
        <v>0</v>
      </c>
      <c r="AZ38" s="31">
        <f t="shared" si="8"/>
        <v>0</v>
      </c>
      <c r="BA38" s="31">
        <f t="shared" si="9"/>
        <v>0</v>
      </c>
      <c r="BB38" s="31">
        <f t="shared" si="41"/>
        <v>0</v>
      </c>
      <c r="BC38" s="31"/>
      <c r="BD38" s="31"/>
      <c r="BM38" s="8">
        <f t="shared" si="42"/>
        <v>0</v>
      </c>
      <c r="BN38" s="8">
        <f t="shared" si="10"/>
        <v>0</v>
      </c>
      <c r="BO38" s="8">
        <f t="shared" si="11"/>
        <v>0</v>
      </c>
      <c r="BQ38" s="8">
        <f t="shared" si="12"/>
        <v>0</v>
      </c>
      <c r="BR38" s="63">
        <f t="shared" si="13"/>
        <v>0</v>
      </c>
      <c r="BS38" s="63">
        <f t="shared" si="43"/>
        <v>0</v>
      </c>
      <c r="BT38" s="63">
        <f t="shared" si="14"/>
        <v>0</v>
      </c>
      <c r="BU38" s="63">
        <f t="shared" si="15"/>
        <v>0</v>
      </c>
      <c r="BV38" s="57">
        <f t="shared" si="16"/>
        <v>0</v>
      </c>
      <c r="BW38" s="57">
        <f t="shared" si="17"/>
        <v>0</v>
      </c>
      <c r="BX38" s="57">
        <f t="shared" si="44"/>
        <v>0</v>
      </c>
      <c r="BY38" s="57">
        <f t="shared" si="51"/>
        <v>0</v>
      </c>
      <c r="BZ38" s="8">
        <f t="shared" si="18"/>
        <v>0</v>
      </c>
      <c r="CA38" s="8">
        <f t="shared" si="19"/>
        <v>0</v>
      </c>
      <c r="CB38" s="8">
        <f t="shared" si="20"/>
        <v>0</v>
      </c>
      <c r="CC38" s="8">
        <f t="shared" si="21"/>
        <v>0</v>
      </c>
      <c r="CD38" s="8">
        <f t="shared" si="22"/>
        <v>0</v>
      </c>
      <c r="CE38" s="8">
        <f t="shared" si="23"/>
        <v>0</v>
      </c>
      <c r="CF38" s="8">
        <f t="shared" si="24"/>
        <v>0</v>
      </c>
      <c r="CG38" s="8">
        <f t="shared" si="25"/>
        <v>0</v>
      </c>
      <c r="CH38" s="8">
        <f t="shared" si="26"/>
        <v>0</v>
      </c>
      <c r="CI38" s="8">
        <f t="shared" si="27"/>
        <v>0</v>
      </c>
      <c r="CJ38" s="8">
        <f t="shared" si="28"/>
        <v>0</v>
      </c>
      <c r="CK38" s="8">
        <f t="shared" si="29"/>
        <v>0</v>
      </c>
      <c r="CL38" s="8">
        <f t="shared" si="30"/>
        <v>0</v>
      </c>
      <c r="CM38" s="8">
        <f t="shared" si="31"/>
        <v>0</v>
      </c>
      <c r="CN38" s="8">
        <f t="shared" si="32"/>
        <v>0</v>
      </c>
      <c r="CO38" s="8">
        <f t="shared" si="33"/>
        <v>0</v>
      </c>
      <c r="CP38" s="8">
        <f t="shared" si="34"/>
        <v>0</v>
      </c>
      <c r="CQ38" s="8">
        <f t="shared" si="35"/>
        <v>0</v>
      </c>
      <c r="CR38" s="8">
        <f t="shared" si="36"/>
        <v>0</v>
      </c>
      <c r="CS38" s="8">
        <f t="shared" si="37"/>
        <v>0</v>
      </c>
      <c r="CT38" s="8">
        <f t="shared" si="48"/>
        <v>0</v>
      </c>
      <c r="CU38" s="8">
        <f t="shared" si="49"/>
        <v>0</v>
      </c>
      <c r="CV38" s="8">
        <f t="shared" si="50"/>
        <v>0</v>
      </c>
      <c r="CW38" s="87">
        <v>1030401004</v>
      </c>
      <c r="CX38" s="75">
        <f>'Equipment Selection'!I32</f>
        <v>0</v>
      </c>
      <c r="CY38" s="75" t="s">
        <v>94</v>
      </c>
      <c r="CZ38" s="87" t="s">
        <v>465</v>
      </c>
      <c r="DA38" s="74"/>
      <c r="DB38" s="74"/>
    </row>
    <row r="39" spans="1:106" ht="25.25" customHeight="1" thickTop="1" thickBot="1" x14ac:dyDescent="0.55000000000000004">
      <c r="A39" s="32"/>
      <c r="B39" s="10"/>
      <c r="C39" s="10"/>
      <c r="D39" s="11"/>
      <c r="E39" s="10"/>
      <c r="F39" s="10"/>
      <c r="G39" s="19"/>
      <c r="H39" s="19"/>
      <c r="I39" s="19"/>
      <c r="J39" s="19"/>
      <c r="K39" s="10"/>
      <c r="L39" s="10"/>
      <c r="M39" s="10"/>
      <c r="N39" s="10"/>
      <c r="O39" s="18"/>
      <c r="P39" s="18"/>
      <c r="Q39" s="20"/>
      <c r="R39" s="20"/>
      <c r="S39" s="16">
        <f t="shared" si="0"/>
        <v>0</v>
      </c>
      <c r="T39" s="11"/>
      <c r="AE39" s="38" t="s">
        <v>199</v>
      </c>
      <c r="AF39" s="31" t="s">
        <v>93</v>
      </c>
      <c r="AG39" s="35" t="s">
        <v>200</v>
      </c>
      <c r="AH39" s="39">
        <f>SUMIF(M4:M1500,"MOT",BR4:BR1500)</f>
        <v>0</v>
      </c>
      <c r="AI39" s="39" t="s">
        <v>209</v>
      </c>
      <c r="AJ39" s="39">
        <v>124</v>
      </c>
      <c r="AK39" s="36">
        <f t="shared" si="52"/>
        <v>0</v>
      </c>
      <c r="AP39" s="34"/>
      <c r="AQ39" s="34"/>
      <c r="AR39" s="31"/>
      <c r="AS39" s="31">
        <f t="shared" si="1"/>
        <v>0</v>
      </c>
      <c r="AT39" s="31">
        <f t="shared" si="2"/>
        <v>0</v>
      </c>
      <c r="AU39" s="31">
        <f t="shared" si="3"/>
        <v>0</v>
      </c>
      <c r="AV39" s="31">
        <f t="shared" si="4"/>
        <v>0</v>
      </c>
      <c r="AW39" s="31">
        <f t="shared" si="5"/>
        <v>0</v>
      </c>
      <c r="AX39" s="31">
        <f t="shared" si="6"/>
        <v>0</v>
      </c>
      <c r="AY39" s="31">
        <f t="shared" si="7"/>
        <v>0</v>
      </c>
      <c r="AZ39" s="31">
        <f t="shared" si="8"/>
        <v>0</v>
      </c>
      <c r="BA39" s="31">
        <f t="shared" si="9"/>
        <v>0</v>
      </c>
      <c r="BB39" s="31">
        <f t="shared" si="41"/>
        <v>0</v>
      </c>
      <c r="BC39" s="31"/>
      <c r="BD39" s="31"/>
      <c r="BM39" s="8">
        <f t="shared" si="42"/>
        <v>0</v>
      </c>
      <c r="BN39" s="8">
        <f t="shared" si="10"/>
        <v>0</v>
      </c>
      <c r="BO39" s="8">
        <f t="shared" si="11"/>
        <v>0</v>
      </c>
      <c r="BQ39" s="8">
        <f t="shared" si="12"/>
        <v>0</v>
      </c>
      <c r="BR39" s="63">
        <f t="shared" si="13"/>
        <v>0</v>
      </c>
      <c r="BS39" s="63">
        <f t="shared" si="43"/>
        <v>0</v>
      </c>
      <c r="BT39" s="63">
        <f t="shared" si="14"/>
        <v>0</v>
      </c>
      <c r="BU39" s="63">
        <f t="shared" si="15"/>
        <v>0</v>
      </c>
      <c r="BV39" s="57">
        <f t="shared" si="16"/>
        <v>0</v>
      </c>
      <c r="BW39" s="57">
        <f t="shared" si="17"/>
        <v>0</v>
      </c>
      <c r="BX39" s="57">
        <f t="shared" si="44"/>
        <v>0</v>
      </c>
      <c r="BY39" s="57">
        <f t="shared" si="51"/>
        <v>0</v>
      </c>
      <c r="BZ39" s="8">
        <f t="shared" si="18"/>
        <v>0</v>
      </c>
      <c r="CA39" s="8">
        <f t="shared" si="19"/>
        <v>0</v>
      </c>
      <c r="CB39" s="8">
        <f t="shared" si="20"/>
        <v>0</v>
      </c>
      <c r="CC39" s="8">
        <f t="shared" si="21"/>
        <v>0</v>
      </c>
      <c r="CD39" s="8">
        <f t="shared" si="22"/>
        <v>0</v>
      </c>
      <c r="CE39" s="8">
        <f t="shared" si="23"/>
        <v>0</v>
      </c>
      <c r="CF39" s="8">
        <f t="shared" si="24"/>
        <v>0</v>
      </c>
      <c r="CG39" s="8">
        <f t="shared" si="25"/>
        <v>0</v>
      </c>
      <c r="CH39" s="8">
        <f t="shared" si="26"/>
        <v>0</v>
      </c>
      <c r="CI39" s="8">
        <f t="shared" si="27"/>
        <v>0</v>
      </c>
      <c r="CJ39" s="8">
        <f t="shared" si="28"/>
        <v>0</v>
      </c>
      <c r="CK39" s="8">
        <f t="shared" si="29"/>
        <v>0</v>
      </c>
      <c r="CL39" s="8">
        <f t="shared" si="30"/>
        <v>0</v>
      </c>
      <c r="CM39" s="8">
        <f t="shared" si="31"/>
        <v>0</v>
      </c>
      <c r="CN39" s="8">
        <f t="shared" si="32"/>
        <v>0</v>
      </c>
      <c r="CO39" s="8">
        <f t="shared" si="33"/>
        <v>0</v>
      </c>
      <c r="CP39" s="8">
        <f t="shared" si="34"/>
        <v>0</v>
      </c>
      <c r="CQ39" s="8">
        <f t="shared" si="35"/>
        <v>0</v>
      </c>
      <c r="CR39" s="8">
        <f t="shared" si="36"/>
        <v>0</v>
      </c>
      <c r="CS39" s="8">
        <f t="shared" si="37"/>
        <v>0</v>
      </c>
      <c r="CT39" s="8">
        <f t="shared" si="48"/>
        <v>0</v>
      </c>
      <c r="CU39" s="8">
        <f t="shared" si="49"/>
        <v>0</v>
      </c>
      <c r="CV39" s="8">
        <f t="shared" si="50"/>
        <v>0</v>
      </c>
      <c r="CW39" s="87">
        <v>1030401005</v>
      </c>
      <c r="CX39" s="75">
        <f>'Equipment Selection'!I33</f>
        <v>0</v>
      </c>
      <c r="CY39" s="75" t="s">
        <v>94</v>
      </c>
      <c r="CZ39" s="87" t="s">
        <v>466</v>
      </c>
      <c r="DA39" s="74"/>
      <c r="DB39" s="74"/>
    </row>
    <row r="40" spans="1:106" ht="25.25" customHeight="1" thickTop="1" thickBot="1" x14ac:dyDescent="0.55000000000000004">
      <c r="A40" s="32"/>
      <c r="B40" s="10"/>
      <c r="C40" s="10"/>
      <c r="D40" s="11"/>
      <c r="E40" s="10"/>
      <c r="F40" s="10"/>
      <c r="G40" s="19"/>
      <c r="H40" s="19"/>
      <c r="I40" s="19"/>
      <c r="J40" s="19"/>
      <c r="K40" s="10"/>
      <c r="L40" s="10"/>
      <c r="M40" s="10"/>
      <c r="N40" s="10"/>
      <c r="O40" s="18"/>
      <c r="P40" s="18"/>
      <c r="Q40" s="20"/>
      <c r="R40" s="20"/>
      <c r="S40" s="16">
        <f t="shared" si="0"/>
        <v>0</v>
      </c>
      <c r="T40" s="11"/>
      <c r="AE40" s="38" t="s">
        <v>183</v>
      </c>
      <c r="AF40" s="31" t="s">
        <v>93</v>
      </c>
      <c r="AG40" s="35" t="s">
        <v>201</v>
      </c>
      <c r="AH40" s="39">
        <f>SUM(BB4:BB1500)</f>
        <v>0</v>
      </c>
      <c r="AI40" s="39" t="s">
        <v>210</v>
      </c>
      <c r="AJ40" s="39">
        <v>24</v>
      </c>
      <c r="AK40" s="36">
        <f t="shared" si="52"/>
        <v>0</v>
      </c>
      <c r="AP40" s="34"/>
      <c r="AQ40" s="34"/>
      <c r="AR40" s="31"/>
      <c r="AS40" s="31">
        <f t="shared" si="1"/>
        <v>0</v>
      </c>
      <c r="AT40" s="31">
        <f t="shared" si="2"/>
        <v>0</v>
      </c>
      <c r="AU40" s="31">
        <f t="shared" si="3"/>
        <v>0</v>
      </c>
      <c r="AV40" s="31">
        <f t="shared" si="4"/>
        <v>0</v>
      </c>
      <c r="AW40" s="31">
        <f t="shared" si="5"/>
        <v>0</v>
      </c>
      <c r="AX40" s="31">
        <f t="shared" si="6"/>
        <v>0</v>
      </c>
      <c r="AY40" s="31">
        <f t="shared" si="7"/>
        <v>0</v>
      </c>
      <c r="AZ40" s="31">
        <f t="shared" si="8"/>
        <v>0</v>
      </c>
      <c r="BA40" s="31">
        <f t="shared" si="9"/>
        <v>0</v>
      </c>
      <c r="BB40" s="31">
        <f t="shared" si="41"/>
        <v>0</v>
      </c>
      <c r="BC40" s="31"/>
      <c r="BD40" s="31"/>
      <c r="BM40" s="8">
        <f t="shared" si="42"/>
        <v>0</v>
      </c>
      <c r="BN40" s="8">
        <f t="shared" si="10"/>
        <v>0</v>
      </c>
      <c r="BO40" s="8">
        <f t="shared" si="11"/>
        <v>0</v>
      </c>
      <c r="BQ40" s="8">
        <f t="shared" si="12"/>
        <v>0</v>
      </c>
      <c r="BR40" s="63">
        <f t="shared" si="13"/>
        <v>0</v>
      </c>
      <c r="BS40" s="63">
        <f t="shared" si="43"/>
        <v>0</v>
      </c>
      <c r="BT40" s="63">
        <f t="shared" si="14"/>
        <v>0</v>
      </c>
      <c r="BU40" s="63">
        <f t="shared" si="15"/>
        <v>0</v>
      </c>
      <c r="BV40" s="57">
        <f t="shared" si="16"/>
        <v>0</v>
      </c>
      <c r="BW40" s="57">
        <f t="shared" si="17"/>
        <v>0</v>
      </c>
      <c r="BX40" s="57">
        <f t="shared" si="44"/>
        <v>0</v>
      </c>
      <c r="BY40" s="57">
        <f t="shared" si="51"/>
        <v>0</v>
      </c>
      <c r="BZ40" s="8">
        <f t="shared" si="18"/>
        <v>0</v>
      </c>
      <c r="CA40" s="8">
        <f t="shared" si="19"/>
        <v>0</v>
      </c>
      <c r="CB40" s="8">
        <f t="shared" si="20"/>
        <v>0</v>
      </c>
      <c r="CC40" s="8">
        <f t="shared" si="21"/>
        <v>0</v>
      </c>
      <c r="CD40" s="8">
        <f t="shared" si="22"/>
        <v>0</v>
      </c>
      <c r="CE40" s="8">
        <f t="shared" si="23"/>
        <v>0</v>
      </c>
      <c r="CF40" s="8">
        <f t="shared" si="24"/>
        <v>0</v>
      </c>
      <c r="CG40" s="8">
        <f t="shared" si="25"/>
        <v>0</v>
      </c>
      <c r="CH40" s="8">
        <f t="shared" si="26"/>
        <v>0</v>
      </c>
      <c r="CI40" s="8">
        <f t="shared" si="27"/>
        <v>0</v>
      </c>
      <c r="CJ40" s="8">
        <f t="shared" si="28"/>
        <v>0</v>
      </c>
      <c r="CK40" s="8">
        <f t="shared" si="29"/>
        <v>0</v>
      </c>
      <c r="CL40" s="8">
        <f t="shared" si="30"/>
        <v>0</v>
      </c>
      <c r="CM40" s="8">
        <f t="shared" si="31"/>
        <v>0</v>
      </c>
      <c r="CN40" s="8">
        <f t="shared" si="32"/>
        <v>0</v>
      </c>
      <c r="CO40" s="8">
        <f t="shared" si="33"/>
        <v>0</v>
      </c>
      <c r="CP40" s="8">
        <f t="shared" si="34"/>
        <v>0</v>
      </c>
      <c r="CQ40" s="8">
        <f t="shared" si="35"/>
        <v>0</v>
      </c>
      <c r="CR40" s="8">
        <f t="shared" si="36"/>
        <v>0</v>
      </c>
      <c r="CS40" s="8">
        <f t="shared" si="37"/>
        <v>0</v>
      </c>
      <c r="CT40" s="8">
        <f t="shared" si="48"/>
        <v>0</v>
      </c>
      <c r="CU40" s="8">
        <f t="shared" si="49"/>
        <v>0</v>
      </c>
      <c r="CV40" s="8">
        <f t="shared" si="50"/>
        <v>0</v>
      </c>
      <c r="CW40" s="87">
        <v>1030401006</v>
      </c>
      <c r="CX40" s="75">
        <f>'Equipment Selection'!I34</f>
        <v>0</v>
      </c>
      <c r="CY40" s="75" t="s">
        <v>94</v>
      </c>
      <c r="CZ40" s="87" t="s">
        <v>467</v>
      </c>
      <c r="DA40" s="74"/>
      <c r="DB40" s="74"/>
    </row>
    <row r="41" spans="1:106" ht="25.25" customHeight="1" thickTop="1" thickBot="1" x14ac:dyDescent="0.55000000000000004">
      <c r="A41" s="32"/>
      <c r="B41" s="10"/>
      <c r="C41" s="10"/>
      <c r="D41" s="11"/>
      <c r="E41" s="10"/>
      <c r="F41" s="10"/>
      <c r="G41" s="19"/>
      <c r="H41" s="19"/>
      <c r="I41" s="19"/>
      <c r="J41" s="19"/>
      <c r="K41" s="10"/>
      <c r="L41" s="10"/>
      <c r="M41" s="10"/>
      <c r="N41" s="10"/>
      <c r="O41" s="18"/>
      <c r="P41" s="18"/>
      <c r="Q41" s="20"/>
      <c r="R41" s="20"/>
      <c r="S41" s="16">
        <f t="shared" si="0"/>
        <v>0</v>
      </c>
      <c r="T41" s="11"/>
      <c r="AE41" s="38" t="s">
        <v>179</v>
      </c>
      <c r="AF41" s="31" t="s">
        <v>93</v>
      </c>
      <c r="AG41" s="46" t="s">
        <v>19</v>
      </c>
      <c r="AH41" s="42">
        <f>SUM(BS4:BS1500)</f>
        <v>0</v>
      </c>
      <c r="AI41" s="39" t="s">
        <v>31</v>
      </c>
      <c r="AJ41" s="39">
        <v>86</v>
      </c>
      <c r="AK41" s="36">
        <f t="shared" si="52"/>
        <v>0</v>
      </c>
      <c r="AP41" s="34"/>
      <c r="AQ41" s="34"/>
      <c r="AR41" s="31"/>
      <c r="AS41" s="31">
        <f t="shared" si="1"/>
        <v>0</v>
      </c>
      <c r="AT41" s="31">
        <f t="shared" si="2"/>
        <v>0</v>
      </c>
      <c r="AU41" s="31">
        <f t="shared" si="3"/>
        <v>0</v>
      </c>
      <c r="AV41" s="31">
        <f t="shared" si="4"/>
        <v>0</v>
      </c>
      <c r="AW41" s="31">
        <f t="shared" si="5"/>
        <v>0</v>
      </c>
      <c r="AX41" s="31">
        <f t="shared" si="6"/>
        <v>0</v>
      </c>
      <c r="AY41" s="31">
        <f t="shared" si="7"/>
        <v>0</v>
      </c>
      <c r="AZ41" s="31">
        <f t="shared" si="8"/>
        <v>0</v>
      </c>
      <c r="BA41" s="31">
        <f t="shared" si="9"/>
        <v>0</v>
      </c>
      <c r="BB41" s="31">
        <f t="shared" si="41"/>
        <v>0</v>
      </c>
      <c r="BC41" s="31"/>
      <c r="BD41" s="31"/>
      <c r="BM41" s="8">
        <f t="shared" si="42"/>
        <v>0</v>
      </c>
      <c r="BN41" s="8">
        <f t="shared" si="10"/>
        <v>0</v>
      </c>
      <c r="BO41" s="8">
        <f t="shared" si="11"/>
        <v>0</v>
      </c>
      <c r="BQ41" s="8">
        <f t="shared" si="12"/>
        <v>0</v>
      </c>
      <c r="BR41" s="63">
        <f t="shared" si="13"/>
        <v>0</v>
      </c>
      <c r="BS41" s="63">
        <f t="shared" si="43"/>
        <v>0</v>
      </c>
      <c r="BT41" s="63">
        <f t="shared" si="14"/>
        <v>0</v>
      </c>
      <c r="BU41" s="63">
        <f t="shared" si="15"/>
        <v>0</v>
      </c>
      <c r="BV41" s="57">
        <f t="shared" si="16"/>
        <v>0</v>
      </c>
      <c r="BW41" s="57">
        <f t="shared" si="17"/>
        <v>0</v>
      </c>
      <c r="BX41" s="57">
        <f t="shared" si="44"/>
        <v>0</v>
      </c>
      <c r="BY41" s="57">
        <f t="shared" si="51"/>
        <v>0</v>
      </c>
      <c r="BZ41" s="8">
        <f t="shared" si="18"/>
        <v>0</v>
      </c>
      <c r="CA41" s="8">
        <f t="shared" si="19"/>
        <v>0</v>
      </c>
      <c r="CB41" s="8">
        <f t="shared" si="20"/>
        <v>0</v>
      </c>
      <c r="CC41" s="8">
        <f t="shared" si="21"/>
        <v>0</v>
      </c>
      <c r="CD41" s="8">
        <f t="shared" si="22"/>
        <v>0</v>
      </c>
      <c r="CE41" s="8">
        <f t="shared" si="23"/>
        <v>0</v>
      </c>
      <c r="CF41" s="8">
        <f t="shared" si="24"/>
        <v>0</v>
      </c>
      <c r="CG41" s="8">
        <f t="shared" si="25"/>
        <v>0</v>
      </c>
      <c r="CH41" s="8">
        <f t="shared" si="26"/>
        <v>0</v>
      </c>
      <c r="CI41" s="8">
        <f t="shared" si="27"/>
        <v>0</v>
      </c>
      <c r="CJ41" s="8">
        <f t="shared" si="28"/>
        <v>0</v>
      </c>
      <c r="CK41" s="8">
        <f t="shared" si="29"/>
        <v>0</v>
      </c>
      <c r="CL41" s="8">
        <f t="shared" si="30"/>
        <v>0</v>
      </c>
      <c r="CM41" s="8">
        <f t="shared" si="31"/>
        <v>0</v>
      </c>
      <c r="CN41" s="8">
        <f t="shared" si="32"/>
        <v>0</v>
      </c>
      <c r="CO41" s="8">
        <f t="shared" si="33"/>
        <v>0</v>
      </c>
      <c r="CP41" s="8">
        <f t="shared" si="34"/>
        <v>0</v>
      </c>
      <c r="CQ41" s="8">
        <f t="shared" si="35"/>
        <v>0</v>
      </c>
      <c r="CR41" s="8">
        <f t="shared" si="36"/>
        <v>0</v>
      </c>
      <c r="CS41" s="8">
        <f t="shared" si="37"/>
        <v>0</v>
      </c>
      <c r="CT41" s="8">
        <f t="shared" si="48"/>
        <v>0</v>
      </c>
      <c r="CU41" s="8">
        <f t="shared" si="49"/>
        <v>0</v>
      </c>
      <c r="CV41" s="8">
        <f t="shared" si="50"/>
        <v>0</v>
      </c>
      <c r="CW41" s="87">
        <v>1030401007</v>
      </c>
      <c r="CX41" s="75">
        <f>'Equipment Selection'!I35</f>
        <v>0</v>
      </c>
      <c r="CY41" s="75" t="s">
        <v>94</v>
      </c>
      <c r="CZ41" s="87" t="s">
        <v>468</v>
      </c>
      <c r="DA41" s="74"/>
      <c r="DB41" s="74"/>
    </row>
    <row r="42" spans="1:106" ht="25.25" customHeight="1" thickTop="1" thickBot="1" x14ac:dyDescent="0.55000000000000004">
      <c r="A42" s="32"/>
      <c r="B42" s="10"/>
      <c r="C42" s="10"/>
      <c r="D42" s="11"/>
      <c r="E42" s="10"/>
      <c r="F42" s="10"/>
      <c r="G42" s="19"/>
      <c r="H42" s="19"/>
      <c r="I42" s="19"/>
      <c r="J42" s="19"/>
      <c r="K42" s="10"/>
      <c r="L42" s="10"/>
      <c r="M42" s="10"/>
      <c r="N42" s="10"/>
      <c r="O42" s="18"/>
      <c r="P42" s="18"/>
      <c r="Q42" s="20"/>
      <c r="R42" s="20"/>
      <c r="S42" s="16">
        <f t="shared" si="0"/>
        <v>0</v>
      </c>
      <c r="T42" s="11"/>
      <c r="AE42" s="38" t="s">
        <v>180</v>
      </c>
      <c r="AF42" s="31" t="s">
        <v>90</v>
      </c>
      <c r="AG42" s="35" t="s">
        <v>58</v>
      </c>
      <c r="AH42" s="39">
        <f>SUMPRODUCT(F4:F1500,D4:D1500)+SUM(AW4:AW1500)+2*AH45</f>
        <v>0</v>
      </c>
      <c r="AI42" s="39" t="s">
        <v>32</v>
      </c>
      <c r="AJ42" s="39">
        <v>11</v>
      </c>
      <c r="AK42" s="36">
        <f t="shared" si="52"/>
        <v>0</v>
      </c>
      <c r="AR42" s="31"/>
      <c r="AS42" s="31">
        <f t="shared" si="1"/>
        <v>0</v>
      </c>
      <c r="AT42" s="31">
        <f t="shared" si="2"/>
        <v>0</v>
      </c>
      <c r="AU42" s="31">
        <f t="shared" si="3"/>
        <v>0</v>
      </c>
      <c r="AV42" s="31">
        <f t="shared" si="4"/>
        <v>0</v>
      </c>
      <c r="AW42" s="31">
        <f t="shared" si="5"/>
        <v>0</v>
      </c>
      <c r="AX42" s="31">
        <f t="shared" si="6"/>
        <v>0</v>
      </c>
      <c r="AY42" s="31">
        <f t="shared" si="7"/>
        <v>0</v>
      </c>
      <c r="AZ42" s="31">
        <f t="shared" si="8"/>
        <v>0</v>
      </c>
      <c r="BA42" s="31">
        <f t="shared" si="9"/>
        <v>0</v>
      </c>
      <c r="BB42" s="31">
        <f t="shared" si="41"/>
        <v>0</v>
      </c>
      <c r="BC42" s="31"/>
      <c r="BD42" s="31"/>
      <c r="BM42" s="8">
        <f t="shared" si="42"/>
        <v>0</v>
      </c>
      <c r="BN42" s="8">
        <f t="shared" si="10"/>
        <v>0</v>
      </c>
      <c r="BO42" s="8">
        <f t="shared" si="11"/>
        <v>0</v>
      </c>
      <c r="BQ42" s="8">
        <f t="shared" si="12"/>
        <v>0</v>
      </c>
      <c r="BR42" s="63">
        <f t="shared" si="13"/>
        <v>0</v>
      </c>
      <c r="BS42" s="63">
        <f t="shared" si="43"/>
        <v>0</v>
      </c>
      <c r="BT42" s="63">
        <f t="shared" si="14"/>
        <v>0</v>
      </c>
      <c r="BU42" s="63">
        <f t="shared" si="15"/>
        <v>0</v>
      </c>
      <c r="BV42" s="57">
        <f t="shared" si="16"/>
        <v>0</v>
      </c>
      <c r="BW42" s="57">
        <f t="shared" si="17"/>
        <v>0</v>
      </c>
      <c r="BX42" s="57">
        <f t="shared" si="44"/>
        <v>0</v>
      </c>
      <c r="BY42" s="57">
        <f t="shared" si="51"/>
        <v>0</v>
      </c>
      <c r="BZ42" s="8">
        <f t="shared" si="18"/>
        <v>0</v>
      </c>
      <c r="CA42" s="8">
        <f t="shared" si="19"/>
        <v>0</v>
      </c>
      <c r="CB42" s="8">
        <f t="shared" si="20"/>
        <v>0</v>
      </c>
      <c r="CC42" s="8">
        <f t="shared" si="21"/>
        <v>0</v>
      </c>
      <c r="CD42" s="8">
        <f t="shared" si="22"/>
        <v>0</v>
      </c>
      <c r="CE42" s="8">
        <f t="shared" si="23"/>
        <v>0</v>
      </c>
      <c r="CF42" s="8">
        <f t="shared" si="24"/>
        <v>0</v>
      </c>
      <c r="CG42" s="8">
        <f t="shared" si="25"/>
        <v>0</v>
      </c>
      <c r="CH42" s="8">
        <f t="shared" si="26"/>
        <v>0</v>
      </c>
      <c r="CI42" s="8">
        <f t="shared" si="27"/>
        <v>0</v>
      </c>
      <c r="CJ42" s="8">
        <f t="shared" si="28"/>
        <v>0</v>
      </c>
      <c r="CK42" s="8">
        <f t="shared" si="29"/>
        <v>0</v>
      </c>
      <c r="CL42" s="8">
        <f t="shared" si="30"/>
        <v>0</v>
      </c>
      <c r="CM42" s="8">
        <f t="shared" si="31"/>
        <v>0</v>
      </c>
      <c r="CN42" s="8">
        <f t="shared" si="32"/>
        <v>0</v>
      </c>
      <c r="CO42" s="8">
        <f t="shared" si="33"/>
        <v>0</v>
      </c>
      <c r="CP42" s="8">
        <f t="shared" si="34"/>
        <v>0</v>
      </c>
      <c r="CQ42" s="8">
        <f t="shared" si="35"/>
        <v>0</v>
      </c>
      <c r="CR42" s="8">
        <f t="shared" si="36"/>
        <v>0</v>
      </c>
      <c r="CS42" s="8">
        <f t="shared" si="37"/>
        <v>0</v>
      </c>
      <c r="CT42" s="8">
        <f t="shared" si="48"/>
        <v>0</v>
      </c>
      <c r="CU42" s="8">
        <f t="shared" si="49"/>
        <v>0</v>
      </c>
      <c r="CV42" s="8">
        <f t="shared" si="50"/>
        <v>0</v>
      </c>
      <c r="CW42" s="87">
        <v>1030101001</v>
      </c>
      <c r="CX42" s="75">
        <f>'Equipment Selection'!$I$36</f>
        <v>0</v>
      </c>
      <c r="CY42" s="75" t="s">
        <v>94</v>
      </c>
      <c r="CZ42" s="87" t="s">
        <v>470</v>
      </c>
      <c r="DA42" s="74"/>
      <c r="DB42" s="74"/>
    </row>
    <row r="43" spans="1:106" ht="22" thickTop="1" thickBot="1" x14ac:dyDescent="0.55000000000000004">
      <c r="A43" s="32"/>
      <c r="B43" s="10"/>
      <c r="C43" s="10"/>
      <c r="D43" s="11"/>
      <c r="E43" s="10"/>
      <c r="F43" s="10"/>
      <c r="G43" s="19"/>
      <c r="H43" s="19"/>
      <c r="I43" s="19"/>
      <c r="J43" s="19"/>
      <c r="K43" s="10"/>
      <c r="L43" s="10"/>
      <c r="M43" s="10"/>
      <c r="N43" s="10"/>
      <c r="O43" s="18"/>
      <c r="P43" s="18"/>
      <c r="Q43" s="20"/>
      <c r="R43" s="20"/>
      <c r="S43" s="16">
        <f t="shared" si="0"/>
        <v>0</v>
      </c>
      <c r="T43" s="22"/>
      <c r="AE43" s="38" t="s">
        <v>181</v>
      </c>
      <c r="AF43" s="31" t="s">
        <v>90</v>
      </c>
      <c r="AG43" s="35" t="s">
        <v>113</v>
      </c>
      <c r="AH43" s="39">
        <f>SUMPRODUCT(J4:J1500,D4:D1500)+SUMPRODUCT(I4:I1500,D4:D1500)+SUM(AX4:AX1500)+SUM(AY4:AY1500)</f>
        <v>0</v>
      </c>
      <c r="AI43" s="39" t="s">
        <v>114</v>
      </c>
      <c r="AJ43" s="39">
        <v>8</v>
      </c>
      <c r="AK43" s="36">
        <f t="shared" si="52"/>
        <v>0</v>
      </c>
      <c r="AR43" s="31"/>
      <c r="AS43" s="31">
        <f t="shared" si="1"/>
        <v>0</v>
      </c>
      <c r="AT43" s="31">
        <f t="shared" si="2"/>
        <v>0</v>
      </c>
      <c r="AU43" s="31">
        <f t="shared" si="3"/>
        <v>0</v>
      </c>
      <c r="AV43" s="31">
        <f t="shared" si="4"/>
        <v>0</v>
      </c>
      <c r="AW43" s="31">
        <f t="shared" si="5"/>
        <v>0</v>
      </c>
      <c r="AX43" s="31">
        <f t="shared" si="6"/>
        <v>0</v>
      </c>
      <c r="AY43" s="31">
        <f t="shared" si="7"/>
        <v>0</v>
      </c>
      <c r="AZ43" s="31">
        <f t="shared" si="8"/>
        <v>0</v>
      </c>
      <c r="BA43" s="31">
        <f t="shared" si="9"/>
        <v>0</v>
      </c>
      <c r="BB43" s="31">
        <f t="shared" si="41"/>
        <v>0</v>
      </c>
      <c r="BC43" s="31"/>
      <c r="BD43" s="31"/>
      <c r="BM43" s="8">
        <f t="shared" si="42"/>
        <v>0</v>
      </c>
      <c r="BN43" s="8">
        <f t="shared" si="10"/>
        <v>0</v>
      </c>
      <c r="BO43" s="8">
        <f t="shared" si="11"/>
        <v>0</v>
      </c>
      <c r="BQ43" s="8">
        <f t="shared" si="12"/>
        <v>0</v>
      </c>
      <c r="BR43" s="63">
        <f t="shared" si="13"/>
        <v>0</v>
      </c>
      <c r="BS43" s="63">
        <f t="shared" si="43"/>
        <v>0</v>
      </c>
      <c r="BT43" s="63">
        <f t="shared" si="14"/>
        <v>0</v>
      </c>
      <c r="BU43" s="63">
        <f t="shared" si="15"/>
        <v>0</v>
      </c>
      <c r="BV43" s="57">
        <f t="shared" si="16"/>
        <v>0</v>
      </c>
      <c r="BW43" s="57">
        <f t="shared" si="17"/>
        <v>0</v>
      </c>
      <c r="BX43" s="57">
        <f t="shared" si="44"/>
        <v>0</v>
      </c>
      <c r="BY43" s="57">
        <f t="shared" si="51"/>
        <v>0</v>
      </c>
      <c r="BZ43" s="8">
        <f t="shared" si="18"/>
        <v>0</v>
      </c>
      <c r="CA43" s="8">
        <f t="shared" si="19"/>
        <v>0</v>
      </c>
      <c r="CB43" s="8">
        <f t="shared" si="20"/>
        <v>0</v>
      </c>
      <c r="CC43" s="8">
        <f t="shared" si="21"/>
        <v>0</v>
      </c>
      <c r="CD43" s="8">
        <f t="shared" si="22"/>
        <v>0</v>
      </c>
      <c r="CE43" s="8">
        <f t="shared" si="23"/>
        <v>0</v>
      </c>
      <c r="CF43" s="8">
        <f t="shared" si="24"/>
        <v>0</v>
      </c>
      <c r="CG43" s="8">
        <f t="shared" si="25"/>
        <v>0</v>
      </c>
      <c r="CH43" s="8">
        <f t="shared" si="26"/>
        <v>0</v>
      </c>
      <c r="CI43" s="8">
        <f t="shared" si="27"/>
        <v>0</v>
      </c>
      <c r="CJ43" s="8">
        <f t="shared" si="28"/>
        <v>0</v>
      </c>
      <c r="CK43" s="8">
        <f t="shared" si="29"/>
        <v>0</v>
      </c>
      <c r="CL43" s="8">
        <f t="shared" si="30"/>
        <v>0</v>
      </c>
      <c r="CM43" s="8">
        <f t="shared" si="31"/>
        <v>0</v>
      </c>
      <c r="CN43" s="8">
        <f t="shared" si="32"/>
        <v>0</v>
      </c>
      <c r="CO43" s="8">
        <f t="shared" si="33"/>
        <v>0</v>
      </c>
      <c r="CP43" s="8">
        <f t="shared" si="34"/>
        <v>0</v>
      </c>
      <c r="CQ43" s="8">
        <f t="shared" si="35"/>
        <v>0</v>
      </c>
      <c r="CR43" s="8">
        <f t="shared" si="36"/>
        <v>0</v>
      </c>
      <c r="CS43" s="8">
        <f t="shared" si="37"/>
        <v>0</v>
      </c>
      <c r="CT43" s="8">
        <f t="shared" si="48"/>
        <v>0</v>
      </c>
      <c r="CU43" s="8">
        <f t="shared" si="49"/>
        <v>0</v>
      </c>
      <c r="CV43" s="8">
        <f t="shared" si="50"/>
        <v>0</v>
      </c>
      <c r="CW43" s="87">
        <v>1030101002</v>
      </c>
      <c r="CX43" s="75">
        <f>'Equipment Selection'!I37</f>
        <v>0</v>
      </c>
      <c r="CY43" s="75" t="s">
        <v>94</v>
      </c>
      <c r="CZ43" s="87" t="s">
        <v>471</v>
      </c>
      <c r="DA43" s="74"/>
      <c r="DB43" s="74"/>
    </row>
    <row r="44" spans="1:106" ht="25.25" customHeight="1" thickTop="1" thickBot="1" x14ac:dyDescent="0.55000000000000004">
      <c r="A44" s="32"/>
      <c r="B44" s="10"/>
      <c r="C44" s="10"/>
      <c r="D44" s="11"/>
      <c r="E44" s="10"/>
      <c r="F44" s="10"/>
      <c r="G44" s="19"/>
      <c r="H44" s="19"/>
      <c r="I44" s="19"/>
      <c r="J44" s="19"/>
      <c r="K44" s="10"/>
      <c r="L44" s="10"/>
      <c r="M44" s="10"/>
      <c r="N44" s="10"/>
      <c r="O44" s="18"/>
      <c r="P44" s="18"/>
      <c r="Q44" s="20"/>
      <c r="R44" s="20"/>
      <c r="S44" s="16">
        <f t="shared" si="0"/>
        <v>0</v>
      </c>
      <c r="T44" s="11"/>
      <c r="AE44" s="38" t="s">
        <v>160</v>
      </c>
      <c r="AF44" s="31" t="s">
        <v>90</v>
      </c>
      <c r="AG44" s="35" t="s">
        <v>112</v>
      </c>
      <c r="AH44" s="39">
        <f>SUMPRODUCT(H4:H1500,D4:D1500)+SUM(AZ4:AZ1500)</f>
        <v>0</v>
      </c>
      <c r="AI44" s="39" t="s">
        <v>87</v>
      </c>
      <c r="AJ44" s="39">
        <v>9</v>
      </c>
      <c r="AK44" s="36">
        <f t="shared" si="52"/>
        <v>0</v>
      </c>
      <c r="AR44" s="31"/>
      <c r="AS44" s="31">
        <f t="shared" si="1"/>
        <v>0</v>
      </c>
      <c r="AT44" s="31">
        <f t="shared" si="2"/>
        <v>0</v>
      </c>
      <c r="AU44" s="31">
        <f t="shared" si="3"/>
        <v>0</v>
      </c>
      <c r="AV44" s="31">
        <f t="shared" si="4"/>
        <v>0</v>
      </c>
      <c r="AW44" s="31">
        <f t="shared" si="5"/>
        <v>0</v>
      </c>
      <c r="AX44" s="31">
        <f t="shared" si="6"/>
        <v>0</v>
      </c>
      <c r="AY44" s="31">
        <f t="shared" si="7"/>
        <v>0</v>
      </c>
      <c r="AZ44" s="31">
        <f t="shared" si="8"/>
        <v>0</v>
      </c>
      <c r="BA44" s="31">
        <f t="shared" si="9"/>
        <v>0</v>
      </c>
      <c r="BB44" s="31">
        <f t="shared" si="41"/>
        <v>0</v>
      </c>
      <c r="BC44" s="31"/>
      <c r="BD44" s="31"/>
      <c r="BM44" s="8">
        <f t="shared" si="42"/>
        <v>0</v>
      </c>
      <c r="BN44" s="8">
        <f t="shared" si="10"/>
        <v>0</v>
      </c>
      <c r="BO44" s="8">
        <f t="shared" si="11"/>
        <v>0</v>
      </c>
      <c r="BQ44" s="8">
        <f t="shared" si="12"/>
        <v>0</v>
      </c>
      <c r="BR44" s="63">
        <f t="shared" si="13"/>
        <v>0</v>
      </c>
      <c r="BS44" s="63">
        <f t="shared" si="43"/>
        <v>0</v>
      </c>
      <c r="BT44" s="63">
        <f t="shared" si="14"/>
        <v>0</v>
      </c>
      <c r="BU44" s="63">
        <f t="shared" si="15"/>
        <v>0</v>
      </c>
      <c r="BV44" s="57">
        <f t="shared" si="16"/>
        <v>0</v>
      </c>
      <c r="BW44" s="57">
        <f t="shared" si="17"/>
        <v>0</v>
      </c>
      <c r="BX44" s="57">
        <f t="shared" si="44"/>
        <v>0</v>
      </c>
      <c r="BY44" s="57">
        <f t="shared" si="51"/>
        <v>0</v>
      </c>
      <c r="BZ44" s="8">
        <f t="shared" si="18"/>
        <v>0</v>
      </c>
      <c r="CA44" s="8">
        <f t="shared" si="19"/>
        <v>0</v>
      </c>
      <c r="CB44" s="8">
        <f t="shared" si="20"/>
        <v>0</v>
      </c>
      <c r="CC44" s="8">
        <f t="shared" si="21"/>
        <v>0</v>
      </c>
      <c r="CD44" s="8">
        <f t="shared" si="22"/>
        <v>0</v>
      </c>
      <c r="CE44" s="8">
        <f t="shared" si="23"/>
        <v>0</v>
      </c>
      <c r="CF44" s="8">
        <f t="shared" si="24"/>
        <v>0</v>
      </c>
      <c r="CG44" s="8">
        <f t="shared" si="25"/>
        <v>0</v>
      </c>
      <c r="CH44" s="8">
        <f t="shared" si="26"/>
        <v>0</v>
      </c>
      <c r="CI44" s="8">
        <f t="shared" si="27"/>
        <v>0</v>
      </c>
      <c r="CJ44" s="8">
        <f t="shared" si="28"/>
        <v>0</v>
      </c>
      <c r="CK44" s="8">
        <f t="shared" si="29"/>
        <v>0</v>
      </c>
      <c r="CL44" s="8">
        <f t="shared" si="30"/>
        <v>0</v>
      </c>
      <c r="CM44" s="8">
        <f t="shared" si="31"/>
        <v>0</v>
      </c>
      <c r="CN44" s="8">
        <f t="shared" si="32"/>
        <v>0</v>
      </c>
      <c r="CO44" s="8">
        <f t="shared" si="33"/>
        <v>0</v>
      </c>
      <c r="CP44" s="8">
        <f t="shared" si="34"/>
        <v>0</v>
      </c>
      <c r="CQ44" s="8">
        <f t="shared" si="35"/>
        <v>0</v>
      </c>
      <c r="CR44" s="8">
        <f t="shared" si="36"/>
        <v>0</v>
      </c>
      <c r="CS44" s="8">
        <f t="shared" si="37"/>
        <v>0</v>
      </c>
      <c r="CT44" s="8">
        <f t="shared" si="48"/>
        <v>0</v>
      </c>
      <c r="CU44" s="8">
        <f t="shared" si="49"/>
        <v>0</v>
      </c>
      <c r="CV44" s="8">
        <f t="shared" si="50"/>
        <v>0</v>
      </c>
      <c r="CW44" s="87">
        <v>1030101003</v>
      </c>
      <c r="CX44" s="75">
        <f>'Equipment Selection'!I38</f>
        <v>0</v>
      </c>
      <c r="CY44" s="75" t="s">
        <v>94</v>
      </c>
      <c r="CZ44" s="87" t="s">
        <v>472</v>
      </c>
      <c r="DA44" s="74"/>
      <c r="DB44" s="74"/>
    </row>
    <row r="45" spans="1:106" ht="25.25" customHeight="1" thickTop="1" thickBot="1" x14ac:dyDescent="0.55000000000000004">
      <c r="A45" s="32"/>
      <c r="B45" s="10"/>
      <c r="C45" s="10"/>
      <c r="D45" s="11"/>
      <c r="E45" s="10"/>
      <c r="F45" s="10"/>
      <c r="G45" s="19"/>
      <c r="H45" s="19"/>
      <c r="I45" s="19"/>
      <c r="J45" s="19"/>
      <c r="K45" s="10"/>
      <c r="L45" s="10"/>
      <c r="M45" s="10"/>
      <c r="N45" s="10"/>
      <c r="O45" s="18"/>
      <c r="P45" s="18"/>
      <c r="Q45" s="21"/>
      <c r="R45" s="20"/>
      <c r="S45" s="16">
        <f t="shared" si="0"/>
        <v>0</v>
      </c>
      <c r="T45" s="11"/>
      <c r="AE45" s="44" t="str">
        <f>"عمل لحام كيبل ثلاثي  للكيبل اكبر من 3*185 حتى 3*500 مم2"&amp; voltage</f>
        <v>عمل لحام كيبل ثلاثي  للكيبل اكبر من 3*185 حتى 3*500 مم213.8 KV</v>
      </c>
      <c r="AF45" s="31" t="s">
        <v>94</v>
      </c>
      <c r="AG45" s="35" t="s">
        <v>61</v>
      </c>
      <c r="AH45" s="39">
        <f>SUM(CH4:CH1500)+INT(SUMPRODUCT(F4:F1500,D4:D1500)/500)</f>
        <v>0</v>
      </c>
      <c r="AI45" s="39" t="str">
        <f>IF(voltage="13.8 KV","30 50 20 102",IF(voltage="33 KV","30 50 20 104",0))</f>
        <v>30 50 20 102</v>
      </c>
      <c r="AJ45" s="39">
        <f>IF(voltage="13.8 KV",825,IF(voltage="33 KV",883,0))</f>
        <v>825</v>
      </c>
      <c r="AK45" s="36">
        <f t="shared" si="52"/>
        <v>0</v>
      </c>
      <c r="AR45" s="31"/>
      <c r="AS45" s="31">
        <f t="shared" si="1"/>
        <v>0</v>
      </c>
      <c r="AT45" s="31">
        <f t="shared" si="2"/>
        <v>0</v>
      </c>
      <c r="AU45" s="31">
        <f t="shared" si="3"/>
        <v>0</v>
      </c>
      <c r="AV45" s="31">
        <f t="shared" si="4"/>
        <v>0</v>
      </c>
      <c r="AW45" s="31">
        <f t="shared" si="5"/>
        <v>0</v>
      </c>
      <c r="AX45" s="31">
        <f t="shared" si="6"/>
        <v>0</v>
      </c>
      <c r="AY45" s="31">
        <f t="shared" si="7"/>
        <v>0</v>
      </c>
      <c r="AZ45" s="31">
        <f t="shared" si="8"/>
        <v>0</v>
      </c>
      <c r="BA45" s="31">
        <f t="shared" si="9"/>
        <v>0</v>
      </c>
      <c r="BB45" s="31">
        <f t="shared" si="41"/>
        <v>0</v>
      </c>
      <c r="BC45" s="31"/>
      <c r="BD45" s="31"/>
      <c r="BM45" s="8">
        <f t="shared" si="42"/>
        <v>0</v>
      </c>
      <c r="BN45" s="8">
        <f t="shared" si="10"/>
        <v>0</v>
      </c>
      <c r="BO45" s="8">
        <f t="shared" si="11"/>
        <v>0</v>
      </c>
      <c r="BQ45" s="8">
        <f t="shared" si="12"/>
        <v>0</v>
      </c>
      <c r="BR45" s="63">
        <f t="shared" si="13"/>
        <v>0</v>
      </c>
      <c r="BS45" s="63">
        <f t="shared" si="43"/>
        <v>0</v>
      </c>
      <c r="BT45" s="63">
        <f t="shared" si="14"/>
        <v>0</v>
      </c>
      <c r="BU45" s="63">
        <f t="shared" si="15"/>
        <v>0</v>
      </c>
      <c r="BV45" s="57">
        <f t="shared" si="16"/>
        <v>0</v>
      </c>
      <c r="BW45" s="57">
        <f t="shared" si="17"/>
        <v>0</v>
      </c>
      <c r="BX45" s="57">
        <f t="shared" si="44"/>
        <v>0</v>
      </c>
      <c r="BY45" s="57">
        <f t="shared" si="51"/>
        <v>0</v>
      </c>
      <c r="BZ45" s="8">
        <f t="shared" si="18"/>
        <v>0</v>
      </c>
      <c r="CA45" s="8">
        <f t="shared" si="19"/>
        <v>0</v>
      </c>
      <c r="CB45" s="8">
        <f t="shared" si="20"/>
        <v>0</v>
      </c>
      <c r="CC45" s="8">
        <f t="shared" si="21"/>
        <v>0</v>
      </c>
      <c r="CD45" s="8">
        <f t="shared" si="22"/>
        <v>0</v>
      </c>
      <c r="CE45" s="8">
        <f t="shared" si="23"/>
        <v>0</v>
      </c>
      <c r="CF45" s="8">
        <f t="shared" si="24"/>
        <v>0</v>
      </c>
      <c r="CG45" s="8">
        <f t="shared" si="25"/>
        <v>0</v>
      </c>
      <c r="CH45" s="8">
        <f t="shared" si="26"/>
        <v>0</v>
      </c>
      <c r="CI45" s="8">
        <f t="shared" si="27"/>
        <v>0</v>
      </c>
      <c r="CJ45" s="8">
        <f t="shared" si="28"/>
        <v>0</v>
      </c>
      <c r="CK45" s="8">
        <f t="shared" si="29"/>
        <v>0</v>
      </c>
      <c r="CL45" s="8">
        <f t="shared" si="30"/>
        <v>0</v>
      </c>
      <c r="CM45" s="8">
        <f t="shared" si="31"/>
        <v>0</v>
      </c>
      <c r="CN45" s="8">
        <f t="shared" si="32"/>
        <v>0</v>
      </c>
      <c r="CO45" s="8">
        <f t="shared" si="33"/>
        <v>0</v>
      </c>
      <c r="CP45" s="8">
        <f t="shared" si="34"/>
        <v>0</v>
      </c>
      <c r="CQ45" s="8">
        <f t="shared" si="35"/>
        <v>0</v>
      </c>
      <c r="CR45" s="8">
        <f t="shared" si="36"/>
        <v>0</v>
      </c>
      <c r="CS45" s="8">
        <f t="shared" si="37"/>
        <v>0</v>
      </c>
      <c r="CT45" s="8">
        <f t="shared" si="48"/>
        <v>0</v>
      </c>
      <c r="CU45" s="8">
        <f t="shared" si="49"/>
        <v>0</v>
      </c>
      <c r="CV45" s="8">
        <f t="shared" si="50"/>
        <v>0</v>
      </c>
      <c r="CW45" s="87">
        <v>1030101004</v>
      </c>
      <c r="CX45" s="75">
        <f>'Equipment Selection'!I39</f>
        <v>0</v>
      </c>
      <c r="CY45" s="75" t="s">
        <v>94</v>
      </c>
      <c r="CZ45" s="87" t="s">
        <v>473</v>
      </c>
      <c r="DA45" s="74"/>
      <c r="DB45" s="74"/>
    </row>
    <row r="46" spans="1:106" ht="25.25" customHeight="1" thickTop="1" thickBot="1" x14ac:dyDescent="0.55000000000000004">
      <c r="A46" s="32"/>
      <c r="B46" s="10"/>
      <c r="C46" s="10"/>
      <c r="D46" s="11"/>
      <c r="E46" s="10"/>
      <c r="F46" s="10"/>
      <c r="G46" s="19"/>
      <c r="H46" s="19"/>
      <c r="I46" s="19"/>
      <c r="J46" s="19"/>
      <c r="K46" s="10"/>
      <c r="L46" s="10"/>
      <c r="M46" s="10"/>
      <c r="N46" s="10"/>
      <c r="O46" s="18"/>
      <c r="P46" s="18"/>
      <c r="Q46" s="21"/>
      <c r="R46" s="20"/>
      <c r="S46" s="16">
        <f t="shared" si="0"/>
        <v>0</v>
      </c>
      <c r="T46" s="11"/>
      <c r="AE46" s="38" t="s">
        <v>159</v>
      </c>
      <c r="AF46" s="31" t="s">
        <v>94</v>
      </c>
      <c r="AG46" s="35" t="s">
        <v>62</v>
      </c>
      <c r="AH46" s="39">
        <f>SUM(CG4:CG1500)</f>
        <v>0</v>
      </c>
      <c r="AI46" s="39" t="str">
        <f>IF(voltage="13.8 KV","30 50 20 402",IF(voltage="33 KV","30 50 20 404",0))</f>
        <v>30 50 20 402</v>
      </c>
      <c r="AJ46" s="39">
        <f>IF(voltage="13.8 KV",704,IF(voltage="33 KV",810,0))</f>
        <v>704</v>
      </c>
      <c r="AK46" s="36">
        <f t="shared" si="52"/>
        <v>0</v>
      </c>
      <c r="AR46" s="31"/>
      <c r="AS46" s="31">
        <f t="shared" si="1"/>
        <v>0</v>
      </c>
      <c r="AT46" s="31">
        <f t="shared" si="2"/>
        <v>0</v>
      </c>
      <c r="AU46" s="31">
        <f t="shared" si="3"/>
        <v>0</v>
      </c>
      <c r="AV46" s="31">
        <f t="shared" si="4"/>
        <v>0</v>
      </c>
      <c r="AW46" s="31">
        <f t="shared" si="5"/>
        <v>0</v>
      </c>
      <c r="AX46" s="31">
        <f t="shared" si="6"/>
        <v>0</v>
      </c>
      <c r="AY46" s="31">
        <f t="shared" si="7"/>
        <v>0</v>
      </c>
      <c r="AZ46" s="31">
        <f t="shared" si="8"/>
        <v>0</v>
      </c>
      <c r="BA46" s="31">
        <f t="shared" si="9"/>
        <v>0</v>
      </c>
      <c r="BB46" s="31">
        <f t="shared" si="41"/>
        <v>0</v>
      </c>
      <c r="BC46" s="31"/>
      <c r="BD46" s="31"/>
      <c r="BM46" s="8">
        <f t="shared" si="42"/>
        <v>0</v>
      </c>
      <c r="BN46" s="8">
        <f t="shared" si="10"/>
        <v>0</v>
      </c>
      <c r="BO46" s="8">
        <f t="shared" si="11"/>
        <v>0</v>
      </c>
      <c r="BQ46" s="8">
        <f t="shared" si="12"/>
        <v>0</v>
      </c>
      <c r="BR46" s="63">
        <f t="shared" si="13"/>
        <v>0</v>
      </c>
      <c r="BS46" s="63">
        <f t="shared" si="43"/>
        <v>0</v>
      </c>
      <c r="BT46" s="63">
        <f t="shared" si="14"/>
        <v>0</v>
      </c>
      <c r="BU46" s="63">
        <f t="shared" si="15"/>
        <v>0</v>
      </c>
      <c r="BV46" s="57">
        <f t="shared" si="16"/>
        <v>0</v>
      </c>
      <c r="BW46" s="57">
        <f t="shared" si="17"/>
        <v>0</v>
      </c>
      <c r="BX46" s="57">
        <f t="shared" si="44"/>
        <v>0</v>
      </c>
      <c r="BY46" s="57">
        <f t="shared" si="51"/>
        <v>0</v>
      </c>
      <c r="BZ46" s="8">
        <f t="shared" si="18"/>
        <v>0</v>
      </c>
      <c r="CA46" s="8">
        <f t="shared" si="19"/>
        <v>0</v>
      </c>
      <c r="CB46" s="8">
        <f t="shared" si="20"/>
        <v>0</v>
      </c>
      <c r="CC46" s="8">
        <f t="shared" si="21"/>
        <v>0</v>
      </c>
      <c r="CD46" s="8">
        <f t="shared" si="22"/>
        <v>0</v>
      </c>
      <c r="CE46" s="8">
        <f t="shared" si="23"/>
        <v>0</v>
      </c>
      <c r="CF46" s="8">
        <f t="shared" si="24"/>
        <v>0</v>
      </c>
      <c r="CG46" s="8">
        <f t="shared" si="25"/>
        <v>0</v>
      </c>
      <c r="CH46" s="8">
        <f t="shared" si="26"/>
        <v>0</v>
      </c>
      <c r="CI46" s="8">
        <f t="shared" si="27"/>
        <v>0</v>
      </c>
      <c r="CJ46" s="8">
        <f t="shared" si="28"/>
        <v>0</v>
      </c>
      <c r="CK46" s="8">
        <f t="shared" si="29"/>
        <v>0</v>
      </c>
      <c r="CL46" s="8">
        <f t="shared" si="30"/>
        <v>0</v>
      </c>
      <c r="CM46" s="8">
        <f t="shared" si="31"/>
        <v>0</v>
      </c>
      <c r="CN46" s="8">
        <f t="shared" si="32"/>
        <v>0</v>
      </c>
      <c r="CO46" s="8">
        <f t="shared" si="33"/>
        <v>0</v>
      </c>
      <c r="CP46" s="8">
        <f t="shared" si="34"/>
        <v>0</v>
      </c>
      <c r="CQ46" s="8">
        <f t="shared" si="35"/>
        <v>0</v>
      </c>
      <c r="CR46" s="8">
        <f t="shared" si="36"/>
        <v>0</v>
      </c>
      <c r="CS46" s="8">
        <f t="shared" si="37"/>
        <v>0</v>
      </c>
      <c r="CT46" s="8">
        <f t="shared" si="48"/>
        <v>0</v>
      </c>
      <c r="CU46" s="8">
        <f t="shared" si="49"/>
        <v>0</v>
      </c>
      <c r="CV46" s="8">
        <f t="shared" si="50"/>
        <v>0</v>
      </c>
      <c r="CW46" s="87">
        <v>1030101005</v>
      </c>
      <c r="CX46" s="75">
        <f>'Equipment Selection'!I40</f>
        <v>0</v>
      </c>
      <c r="CY46" s="75" t="s">
        <v>94</v>
      </c>
      <c r="CZ46" s="87" t="s">
        <v>474</v>
      </c>
      <c r="DA46" s="74"/>
      <c r="DB46" s="74"/>
    </row>
    <row r="47" spans="1:106" ht="25.25" customHeight="1" thickTop="1" thickBot="1" x14ac:dyDescent="0.55000000000000004">
      <c r="A47" s="32"/>
      <c r="B47" s="10"/>
      <c r="C47" s="10"/>
      <c r="D47" s="11"/>
      <c r="E47" s="10"/>
      <c r="F47" s="10"/>
      <c r="G47" s="19"/>
      <c r="H47" s="19"/>
      <c r="I47" s="19"/>
      <c r="J47" s="19"/>
      <c r="K47" s="10"/>
      <c r="L47" s="10"/>
      <c r="M47" s="10"/>
      <c r="N47" s="10"/>
      <c r="O47" s="18"/>
      <c r="P47" s="18"/>
      <c r="Q47" s="21"/>
      <c r="R47" s="20"/>
      <c r="S47" s="16">
        <f t="shared" si="0"/>
        <v>0</v>
      </c>
      <c r="T47" s="11"/>
      <c r="AE47" s="44" t="s">
        <v>240</v>
      </c>
      <c r="AF47" s="31" t="s">
        <v>94</v>
      </c>
      <c r="AG47" s="35" t="s">
        <v>238</v>
      </c>
      <c r="AH47" s="39" cm="1">
        <f t="array" aca="1" ref="AH47" ca="1">soilComp()</f>
        <v>0</v>
      </c>
      <c r="AI47" s="39" t="s">
        <v>33</v>
      </c>
      <c r="AJ47" s="39">
        <v>102</v>
      </c>
      <c r="AK47" s="36">
        <f t="shared" ca="1" si="52"/>
        <v>0</v>
      </c>
      <c r="AL47" s="31" t="s">
        <v>239</v>
      </c>
      <c r="AR47" s="31"/>
      <c r="AS47" s="31">
        <f t="shared" si="1"/>
        <v>0</v>
      </c>
      <c r="AT47" s="31">
        <f t="shared" si="2"/>
        <v>0</v>
      </c>
      <c r="AU47" s="31">
        <f t="shared" si="3"/>
        <v>0</v>
      </c>
      <c r="AV47" s="31">
        <f t="shared" si="4"/>
        <v>0</v>
      </c>
      <c r="AW47" s="31">
        <f t="shared" si="5"/>
        <v>0</v>
      </c>
      <c r="AX47" s="31">
        <f t="shared" si="6"/>
        <v>0</v>
      </c>
      <c r="AY47" s="31">
        <f t="shared" si="7"/>
        <v>0</v>
      </c>
      <c r="AZ47" s="31">
        <f t="shared" si="8"/>
        <v>0</v>
      </c>
      <c r="BA47" s="31">
        <f t="shared" si="9"/>
        <v>0</v>
      </c>
      <c r="BB47" s="31">
        <f t="shared" si="41"/>
        <v>0</v>
      </c>
      <c r="BC47" s="31"/>
      <c r="BD47" s="31"/>
      <c r="BM47" s="8">
        <f t="shared" si="42"/>
        <v>0</v>
      </c>
      <c r="BN47" s="8">
        <f t="shared" si="10"/>
        <v>0</v>
      </c>
      <c r="BO47" s="8">
        <f t="shared" si="11"/>
        <v>0</v>
      </c>
      <c r="BQ47" s="8">
        <f t="shared" si="12"/>
        <v>0</v>
      </c>
      <c r="BR47" s="63">
        <f t="shared" si="13"/>
        <v>0</v>
      </c>
      <c r="BS47" s="63">
        <f t="shared" si="43"/>
        <v>0</v>
      </c>
      <c r="BT47" s="63">
        <f t="shared" si="14"/>
        <v>0</v>
      </c>
      <c r="BU47" s="63">
        <f t="shared" si="15"/>
        <v>0</v>
      </c>
      <c r="BV47" s="57">
        <f t="shared" si="16"/>
        <v>0</v>
      </c>
      <c r="BW47" s="57">
        <f t="shared" si="17"/>
        <v>0</v>
      </c>
      <c r="BX47" s="57">
        <f t="shared" si="44"/>
        <v>0</v>
      </c>
      <c r="BY47" s="57">
        <f t="shared" si="51"/>
        <v>0</v>
      </c>
      <c r="BZ47" s="8">
        <f t="shared" si="18"/>
        <v>0</v>
      </c>
      <c r="CA47" s="8">
        <f t="shared" si="19"/>
        <v>0</v>
      </c>
      <c r="CB47" s="8">
        <f t="shared" si="20"/>
        <v>0</v>
      </c>
      <c r="CC47" s="8">
        <f t="shared" si="21"/>
        <v>0</v>
      </c>
      <c r="CD47" s="8">
        <f t="shared" si="22"/>
        <v>0</v>
      </c>
      <c r="CE47" s="8">
        <f t="shared" si="23"/>
        <v>0</v>
      </c>
      <c r="CF47" s="8">
        <f t="shared" si="24"/>
        <v>0</v>
      </c>
      <c r="CG47" s="8">
        <f t="shared" si="25"/>
        <v>0</v>
      </c>
      <c r="CH47" s="8">
        <f t="shared" si="26"/>
        <v>0</v>
      </c>
      <c r="CI47" s="8">
        <f t="shared" si="27"/>
        <v>0</v>
      </c>
      <c r="CJ47" s="8">
        <f t="shared" si="28"/>
        <v>0</v>
      </c>
      <c r="CK47" s="8">
        <f t="shared" si="29"/>
        <v>0</v>
      </c>
      <c r="CL47" s="8">
        <f t="shared" si="30"/>
        <v>0</v>
      </c>
      <c r="CM47" s="8">
        <f t="shared" si="31"/>
        <v>0</v>
      </c>
      <c r="CN47" s="8">
        <f t="shared" si="32"/>
        <v>0</v>
      </c>
      <c r="CO47" s="8">
        <f t="shared" si="33"/>
        <v>0</v>
      </c>
      <c r="CP47" s="8">
        <f t="shared" si="34"/>
        <v>0</v>
      </c>
      <c r="CQ47" s="8">
        <f t="shared" si="35"/>
        <v>0</v>
      </c>
      <c r="CR47" s="8">
        <f t="shared" si="36"/>
        <v>0</v>
      </c>
      <c r="CS47" s="8">
        <f t="shared" si="37"/>
        <v>0</v>
      </c>
      <c r="CT47" s="8">
        <f t="shared" si="48"/>
        <v>0</v>
      </c>
      <c r="CU47" s="8">
        <f t="shared" si="49"/>
        <v>0</v>
      </c>
      <c r="CV47" s="8">
        <f t="shared" si="50"/>
        <v>0</v>
      </c>
      <c r="CW47" s="87">
        <v>1030101006</v>
      </c>
      <c r="CX47" s="75">
        <f>'Equipment Selection'!I41</f>
        <v>0</v>
      </c>
      <c r="CY47" s="75" t="s">
        <v>94</v>
      </c>
      <c r="CZ47" s="87" t="s">
        <v>475</v>
      </c>
      <c r="DA47" s="74"/>
      <c r="DB47" s="74"/>
    </row>
    <row r="48" spans="1:106" ht="25.25" customHeight="1" thickTop="1" thickBot="1" x14ac:dyDescent="0.55000000000000004">
      <c r="A48" s="32"/>
      <c r="B48" s="10"/>
      <c r="C48" s="10"/>
      <c r="D48" s="11"/>
      <c r="E48" s="10"/>
      <c r="F48" s="10"/>
      <c r="G48" s="19"/>
      <c r="H48" s="19"/>
      <c r="I48" s="19"/>
      <c r="J48" s="19"/>
      <c r="K48" s="10"/>
      <c r="L48" s="10"/>
      <c r="M48" s="10"/>
      <c r="N48" s="10"/>
      <c r="O48" s="18"/>
      <c r="P48" s="18"/>
      <c r="Q48" s="21"/>
      <c r="R48" s="20"/>
      <c r="S48" s="16">
        <f t="shared" si="0"/>
        <v>0</v>
      </c>
      <c r="T48" s="11"/>
      <c r="AE48" s="44" t="s">
        <v>184</v>
      </c>
      <c r="AF48" s="31" t="s">
        <v>90</v>
      </c>
      <c r="AG48" s="35" t="s">
        <v>55</v>
      </c>
      <c r="AH48" s="39">
        <f>SUMIF(N4:N1500,"PIPES",BY4:BY1500)</f>
        <v>0</v>
      </c>
      <c r="AI48" s="39" t="s">
        <v>88</v>
      </c>
      <c r="AJ48" s="39">
        <v>53</v>
      </c>
      <c r="AK48" s="36">
        <f t="shared" si="52"/>
        <v>0</v>
      </c>
      <c r="AR48" s="31"/>
      <c r="AS48" s="31">
        <f t="shared" si="1"/>
        <v>0</v>
      </c>
      <c r="AT48" s="31">
        <f t="shared" si="2"/>
        <v>0</v>
      </c>
      <c r="AU48" s="31">
        <f t="shared" si="3"/>
        <v>0</v>
      </c>
      <c r="AV48" s="31">
        <f t="shared" si="4"/>
        <v>0</v>
      </c>
      <c r="AW48" s="31">
        <f t="shared" si="5"/>
        <v>0</v>
      </c>
      <c r="AX48" s="31">
        <f t="shared" si="6"/>
        <v>0</v>
      </c>
      <c r="AY48" s="31">
        <f t="shared" si="7"/>
        <v>0</v>
      </c>
      <c r="AZ48" s="31">
        <f t="shared" si="8"/>
        <v>0</v>
      </c>
      <c r="BA48" s="31">
        <f t="shared" si="9"/>
        <v>0</v>
      </c>
      <c r="BB48" s="31">
        <f t="shared" si="41"/>
        <v>0</v>
      </c>
      <c r="BC48" s="31"/>
      <c r="BD48" s="31"/>
      <c r="BM48" s="8">
        <f t="shared" si="42"/>
        <v>0</v>
      </c>
      <c r="BN48" s="8">
        <f t="shared" si="10"/>
        <v>0</v>
      </c>
      <c r="BO48" s="8">
        <f t="shared" si="11"/>
        <v>0</v>
      </c>
      <c r="BQ48" s="8">
        <f t="shared" si="12"/>
        <v>0</v>
      </c>
      <c r="BR48" s="63">
        <f t="shared" si="13"/>
        <v>0</v>
      </c>
      <c r="BS48" s="63">
        <f t="shared" si="43"/>
        <v>0</v>
      </c>
      <c r="BT48" s="63">
        <f t="shared" si="14"/>
        <v>0</v>
      </c>
      <c r="BU48" s="63">
        <f t="shared" si="15"/>
        <v>0</v>
      </c>
      <c r="BV48" s="57">
        <f t="shared" si="16"/>
        <v>0</v>
      </c>
      <c r="BW48" s="57">
        <f t="shared" si="17"/>
        <v>0</v>
      </c>
      <c r="BX48" s="57">
        <f t="shared" si="44"/>
        <v>0</v>
      </c>
      <c r="BY48" s="57">
        <f t="shared" si="51"/>
        <v>0</v>
      </c>
      <c r="BZ48" s="8">
        <f t="shared" si="18"/>
        <v>0</v>
      </c>
      <c r="CA48" s="8">
        <f t="shared" si="19"/>
        <v>0</v>
      </c>
      <c r="CB48" s="8">
        <f t="shared" si="20"/>
        <v>0</v>
      </c>
      <c r="CC48" s="8">
        <f t="shared" si="21"/>
        <v>0</v>
      </c>
      <c r="CD48" s="8">
        <f t="shared" si="22"/>
        <v>0</v>
      </c>
      <c r="CE48" s="8">
        <f t="shared" si="23"/>
        <v>0</v>
      </c>
      <c r="CF48" s="8">
        <f t="shared" si="24"/>
        <v>0</v>
      </c>
      <c r="CG48" s="8">
        <f t="shared" si="25"/>
        <v>0</v>
      </c>
      <c r="CH48" s="8">
        <f t="shared" si="26"/>
        <v>0</v>
      </c>
      <c r="CI48" s="8">
        <f t="shared" si="27"/>
        <v>0</v>
      </c>
      <c r="CJ48" s="8">
        <f t="shared" si="28"/>
        <v>0</v>
      </c>
      <c r="CK48" s="8">
        <f t="shared" si="29"/>
        <v>0</v>
      </c>
      <c r="CL48" s="8">
        <f t="shared" si="30"/>
        <v>0</v>
      </c>
      <c r="CM48" s="8">
        <f t="shared" si="31"/>
        <v>0</v>
      </c>
      <c r="CN48" s="8">
        <f t="shared" si="32"/>
        <v>0</v>
      </c>
      <c r="CO48" s="8">
        <f t="shared" si="33"/>
        <v>0</v>
      </c>
      <c r="CP48" s="8">
        <f t="shared" si="34"/>
        <v>0</v>
      </c>
      <c r="CQ48" s="8">
        <f t="shared" si="35"/>
        <v>0</v>
      </c>
      <c r="CR48" s="8">
        <f t="shared" si="36"/>
        <v>0</v>
      </c>
      <c r="CS48" s="8">
        <f t="shared" si="37"/>
        <v>0</v>
      </c>
      <c r="CT48" s="8">
        <f t="shared" si="48"/>
        <v>0</v>
      </c>
      <c r="CU48" s="8">
        <f t="shared" si="49"/>
        <v>0</v>
      </c>
      <c r="CV48" s="8">
        <f t="shared" si="50"/>
        <v>0</v>
      </c>
      <c r="CW48" s="87">
        <v>1030101007</v>
      </c>
      <c r="CX48" s="75">
        <f>'Equipment Selection'!I42</f>
        <v>0</v>
      </c>
      <c r="CY48" s="75" t="s">
        <v>94</v>
      </c>
      <c r="CZ48" s="87" t="s">
        <v>476</v>
      </c>
      <c r="DA48" s="74"/>
      <c r="DB48" s="74"/>
    </row>
    <row r="49" spans="1:116" ht="25.25" customHeight="1" thickTop="1" thickBot="1" x14ac:dyDescent="0.55000000000000004">
      <c r="A49" s="32"/>
      <c r="B49" s="10"/>
      <c r="C49" s="10"/>
      <c r="D49" s="11"/>
      <c r="E49" s="10"/>
      <c r="F49" s="10"/>
      <c r="G49" s="19"/>
      <c r="H49" s="19"/>
      <c r="I49" s="19"/>
      <c r="J49" s="19"/>
      <c r="K49" s="10"/>
      <c r="L49" s="10"/>
      <c r="M49" s="10"/>
      <c r="N49" s="10"/>
      <c r="O49" s="18"/>
      <c r="P49" s="18"/>
      <c r="Q49" s="21"/>
      <c r="R49" s="20"/>
      <c r="S49" s="16">
        <f t="shared" si="0"/>
        <v>0</v>
      </c>
      <c r="T49" s="11"/>
      <c r="AE49" s="38" t="s">
        <v>158</v>
      </c>
      <c r="AF49" s="31" t="s">
        <v>94</v>
      </c>
      <c r="AG49" s="35" t="s">
        <v>89</v>
      </c>
      <c r="AH49" s="39">
        <f>INT(SUMIF(E4:E1500,"normal",D4:D1500)/1000)</f>
        <v>0</v>
      </c>
      <c r="AI49" s="39" t="s">
        <v>34</v>
      </c>
      <c r="AJ49" s="39">
        <v>168</v>
      </c>
      <c r="AK49" s="36">
        <f t="shared" si="52"/>
        <v>0</v>
      </c>
      <c r="AL49" s="31" t="s">
        <v>239</v>
      </c>
      <c r="AR49" s="31"/>
      <c r="AS49" s="31">
        <f t="shared" si="1"/>
        <v>0</v>
      </c>
      <c r="AT49" s="31">
        <f t="shared" si="2"/>
        <v>0</v>
      </c>
      <c r="AU49" s="31">
        <f t="shared" si="3"/>
        <v>0</v>
      </c>
      <c r="AV49" s="31">
        <f t="shared" si="4"/>
        <v>0</v>
      </c>
      <c r="AW49" s="31">
        <f t="shared" si="5"/>
        <v>0</v>
      </c>
      <c r="AX49" s="31">
        <f t="shared" si="6"/>
        <v>0</v>
      </c>
      <c r="AY49" s="31">
        <f t="shared" si="7"/>
        <v>0</v>
      </c>
      <c r="AZ49" s="31">
        <f t="shared" si="8"/>
        <v>0</v>
      </c>
      <c r="BA49" s="31">
        <f t="shared" si="9"/>
        <v>0</v>
      </c>
      <c r="BB49" s="31">
        <f t="shared" si="41"/>
        <v>0</v>
      </c>
      <c r="BC49" s="31"/>
      <c r="BD49" s="31"/>
      <c r="BM49" s="8">
        <f t="shared" si="42"/>
        <v>0</v>
      </c>
      <c r="BN49" s="8">
        <f t="shared" si="10"/>
        <v>0</v>
      </c>
      <c r="BO49" s="8">
        <f t="shared" si="11"/>
        <v>0</v>
      </c>
      <c r="BQ49" s="8">
        <f t="shared" si="12"/>
        <v>0</v>
      </c>
      <c r="BR49" s="63">
        <f t="shared" si="13"/>
        <v>0</v>
      </c>
      <c r="BS49" s="63">
        <f t="shared" si="43"/>
        <v>0</v>
      </c>
      <c r="BT49" s="63">
        <f t="shared" si="14"/>
        <v>0</v>
      </c>
      <c r="BU49" s="63">
        <f t="shared" si="15"/>
        <v>0</v>
      </c>
      <c r="BV49" s="57">
        <f t="shared" si="16"/>
        <v>0</v>
      </c>
      <c r="BW49" s="57">
        <f t="shared" si="17"/>
        <v>0</v>
      </c>
      <c r="BX49" s="57">
        <f t="shared" si="44"/>
        <v>0</v>
      </c>
      <c r="BY49" s="57">
        <f t="shared" si="51"/>
        <v>0</v>
      </c>
      <c r="BZ49" s="8">
        <f t="shared" si="18"/>
        <v>0</v>
      </c>
      <c r="CA49" s="8">
        <f t="shared" si="19"/>
        <v>0</v>
      </c>
      <c r="CB49" s="8">
        <f t="shared" si="20"/>
        <v>0</v>
      </c>
      <c r="CC49" s="8">
        <f t="shared" si="21"/>
        <v>0</v>
      </c>
      <c r="CD49" s="8">
        <f t="shared" si="22"/>
        <v>0</v>
      </c>
      <c r="CE49" s="8">
        <f t="shared" si="23"/>
        <v>0</v>
      </c>
      <c r="CF49" s="8">
        <f t="shared" si="24"/>
        <v>0</v>
      </c>
      <c r="CG49" s="8">
        <f t="shared" si="25"/>
        <v>0</v>
      </c>
      <c r="CH49" s="8">
        <f t="shared" si="26"/>
        <v>0</v>
      </c>
      <c r="CI49" s="8">
        <f t="shared" si="27"/>
        <v>0</v>
      </c>
      <c r="CJ49" s="8">
        <f t="shared" si="28"/>
        <v>0</v>
      </c>
      <c r="CK49" s="8">
        <f t="shared" si="29"/>
        <v>0</v>
      </c>
      <c r="CL49" s="8">
        <f t="shared" si="30"/>
        <v>0</v>
      </c>
      <c r="CM49" s="8">
        <f t="shared" si="31"/>
        <v>0</v>
      </c>
      <c r="CN49" s="8">
        <f t="shared" si="32"/>
        <v>0</v>
      </c>
      <c r="CO49" s="8">
        <f t="shared" si="33"/>
        <v>0</v>
      </c>
      <c r="CP49" s="8">
        <f t="shared" si="34"/>
        <v>0</v>
      </c>
      <c r="CQ49" s="8">
        <f t="shared" si="35"/>
        <v>0</v>
      </c>
      <c r="CR49" s="8">
        <f t="shared" si="36"/>
        <v>0</v>
      </c>
      <c r="CS49" s="8">
        <f t="shared" si="37"/>
        <v>0</v>
      </c>
      <c r="CT49" s="8">
        <f t="shared" si="48"/>
        <v>0</v>
      </c>
      <c r="CU49" s="8">
        <f t="shared" si="49"/>
        <v>0</v>
      </c>
      <c r="CV49" s="8">
        <f t="shared" si="50"/>
        <v>0</v>
      </c>
      <c r="CW49" s="87">
        <v>1030501002</v>
      </c>
      <c r="CX49" s="75">
        <f>'Equipment Selection'!I43</f>
        <v>0</v>
      </c>
      <c r="CY49" s="75" t="s">
        <v>90</v>
      </c>
      <c r="CZ49" s="87" t="s">
        <v>469</v>
      </c>
      <c r="DA49" s="74"/>
      <c r="DB49" s="74"/>
    </row>
    <row r="50" spans="1:116" ht="25.25" customHeight="1" thickTop="1" thickBot="1" x14ac:dyDescent="0.55000000000000004">
      <c r="A50" s="32"/>
      <c r="B50" s="10"/>
      <c r="C50" s="10"/>
      <c r="D50" s="11"/>
      <c r="E50" s="10"/>
      <c r="F50" s="10"/>
      <c r="G50" s="19"/>
      <c r="H50" s="19"/>
      <c r="I50" s="19"/>
      <c r="J50" s="19"/>
      <c r="K50" s="10"/>
      <c r="L50" s="10"/>
      <c r="M50" s="10"/>
      <c r="N50" s="10"/>
      <c r="O50" s="18"/>
      <c r="P50" s="18"/>
      <c r="Q50" s="21"/>
      <c r="R50" s="20"/>
      <c r="S50" s="16">
        <f t="shared" si="0"/>
        <v>0</v>
      </c>
      <c r="T50" s="11"/>
      <c r="AE50" s="38" t="s">
        <v>157</v>
      </c>
      <c r="AF50" s="31" t="s">
        <v>94</v>
      </c>
      <c r="AG50" s="35" t="s">
        <v>59</v>
      </c>
      <c r="AH50" s="39" cm="1">
        <f t="array" aca="1" ref="AH50" ca="1">AsComp()</f>
        <v>0</v>
      </c>
      <c r="AI50" s="52" t="s">
        <v>35</v>
      </c>
      <c r="AJ50" s="39">
        <v>119</v>
      </c>
      <c r="AK50" s="36">
        <f t="shared" ca="1" si="52"/>
        <v>0</v>
      </c>
      <c r="AR50" s="31"/>
      <c r="AS50" s="31">
        <f t="shared" si="1"/>
        <v>0</v>
      </c>
      <c r="AT50" s="31">
        <f t="shared" si="2"/>
        <v>0</v>
      </c>
      <c r="AU50" s="31">
        <f t="shared" si="3"/>
        <v>0</v>
      </c>
      <c r="AV50" s="31">
        <f t="shared" si="4"/>
        <v>0</v>
      </c>
      <c r="AW50" s="31">
        <f t="shared" si="5"/>
        <v>0</v>
      </c>
      <c r="AX50" s="31">
        <f t="shared" si="6"/>
        <v>0</v>
      </c>
      <c r="AY50" s="31">
        <f t="shared" si="7"/>
        <v>0</v>
      </c>
      <c r="AZ50" s="31">
        <f t="shared" si="8"/>
        <v>0</v>
      </c>
      <c r="BA50" s="31">
        <f t="shared" si="9"/>
        <v>0</v>
      </c>
      <c r="BB50" s="31">
        <f t="shared" si="41"/>
        <v>0</v>
      </c>
      <c r="BC50" s="31"/>
      <c r="BD50" s="31"/>
      <c r="BM50" s="8">
        <f t="shared" si="42"/>
        <v>0</v>
      </c>
      <c r="BN50" s="8">
        <f t="shared" si="10"/>
        <v>0</v>
      </c>
      <c r="BO50" s="8">
        <f t="shared" si="11"/>
        <v>0</v>
      </c>
      <c r="BQ50" s="8">
        <f t="shared" si="12"/>
        <v>0</v>
      </c>
      <c r="BR50" s="63">
        <f t="shared" si="13"/>
        <v>0</v>
      </c>
      <c r="BS50" s="63">
        <f t="shared" si="43"/>
        <v>0</v>
      </c>
      <c r="BT50" s="63">
        <f t="shared" si="14"/>
        <v>0</v>
      </c>
      <c r="BU50" s="63">
        <f t="shared" si="15"/>
        <v>0</v>
      </c>
      <c r="BV50" s="57">
        <f t="shared" si="16"/>
        <v>0</v>
      </c>
      <c r="BW50" s="57">
        <f t="shared" si="17"/>
        <v>0</v>
      </c>
      <c r="BX50" s="57">
        <f t="shared" si="44"/>
        <v>0</v>
      </c>
      <c r="BY50" s="57">
        <f t="shared" si="51"/>
        <v>0</v>
      </c>
      <c r="BZ50" s="8">
        <f t="shared" si="18"/>
        <v>0</v>
      </c>
      <c r="CA50" s="8">
        <f t="shared" si="19"/>
        <v>0</v>
      </c>
      <c r="CB50" s="8">
        <f t="shared" si="20"/>
        <v>0</v>
      </c>
      <c r="CC50" s="8">
        <f t="shared" si="21"/>
        <v>0</v>
      </c>
      <c r="CD50" s="8">
        <f t="shared" si="22"/>
        <v>0</v>
      </c>
      <c r="CE50" s="8">
        <f t="shared" si="23"/>
        <v>0</v>
      </c>
      <c r="CF50" s="8">
        <f t="shared" si="24"/>
        <v>0</v>
      </c>
      <c r="CG50" s="8">
        <f t="shared" si="25"/>
        <v>0</v>
      </c>
      <c r="CH50" s="8">
        <f t="shared" si="26"/>
        <v>0</v>
      </c>
      <c r="CI50" s="8">
        <f t="shared" si="27"/>
        <v>0</v>
      </c>
      <c r="CJ50" s="8">
        <f t="shared" si="28"/>
        <v>0</v>
      </c>
      <c r="CK50" s="8">
        <f t="shared" si="29"/>
        <v>0</v>
      </c>
      <c r="CL50" s="8">
        <f t="shared" si="30"/>
        <v>0</v>
      </c>
      <c r="CM50" s="8">
        <f t="shared" si="31"/>
        <v>0</v>
      </c>
      <c r="CN50" s="8">
        <f t="shared" si="32"/>
        <v>0</v>
      </c>
      <c r="CO50" s="8">
        <f t="shared" si="33"/>
        <v>0</v>
      </c>
      <c r="CP50" s="8">
        <f t="shared" si="34"/>
        <v>0</v>
      </c>
      <c r="CQ50" s="8">
        <f t="shared" si="35"/>
        <v>0</v>
      </c>
      <c r="CR50" s="8">
        <f t="shared" si="36"/>
        <v>0</v>
      </c>
      <c r="CS50" s="8">
        <f t="shared" si="37"/>
        <v>0</v>
      </c>
      <c r="CT50" s="8">
        <f t="shared" si="48"/>
        <v>0</v>
      </c>
      <c r="CU50" s="8">
        <f t="shared" si="49"/>
        <v>0</v>
      </c>
      <c r="CV50" s="8">
        <f t="shared" si="50"/>
        <v>0</v>
      </c>
      <c r="CW50" s="75">
        <v>1030101008</v>
      </c>
      <c r="CX50" s="75">
        <f>'Equipment Selection'!$I$44</f>
        <v>0</v>
      </c>
      <c r="CY50" s="75" t="s">
        <v>94</v>
      </c>
      <c r="CZ50" s="87" t="s">
        <v>500</v>
      </c>
      <c r="DA50" s="74"/>
      <c r="DB50" s="74"/>
    </row>
    <row r="51" spans="1:116" ht="22" thickTop="1" thickBot="1" x14ac:dyDescent="0.55000000000000004">
      <c r="A51" s="32"/>
      <c r="B51" s="10"/>
      <c r="C51" s="10"/>
      <c r="D51" s="11"/>
      <c r="E51" s="10"/>
      <c r="F51" s="10"/>
      <c r="G51" s="19"/>
      <c r="H51" s="19"/>
      <c r="I51" s="19"/>
      <c r="J51" s="19"/>
      <c r="K51" s="10"/>
      <c r="L51" s="10"/>
      <c r="M51" s="10"/>
      <c r="N51" s="10"/>
      <c r="O51" s="18"/>
      <c r="P51" s="18"/>
      <c r="Q51" s="21"/>
      <c r="R51" s="20"/>
      <c r="S51" s="16">
        <f t="shared" si="0"/>
        <v>0</v>
      </c>
      <c r="T51" s="11"/>
      <c r="AB51" s="8">
        <f>SUMIF(B4:B1500,"ss",F4:F1500)+SUMIF(C4:C1500,"ss",F4:F1500)</f>
        <v>0</v>
      </c>
      <c r="AE51" s="38" t="s">
        <v>523</v>
      </c>
      <c r="AF51" s="31" t="s">
        <v>94</v>
      </c>
      <c r="AG51" s="35" t="s">
        <v>524</v>
      </c>
      <c r="AH51" s="39">
        <f>ROUNDUP(SUMIF(E4:E1500,"mini-trench",D4:D1500)/300,0)</f>
        <v>0</v>
      </c>
      <c r="AI51" s="52" t="s">
        <v>525</v>
      </c>
      <c r="AJ51" s="39">
        <v>95</v>
      </c>
      <c r="AK51" s="36">
        <f t="shared" si="52"/>
        <v>0</v>
      </c>
      <c r="AR51" s="31"/>
      <c r="AS51" s="31">
        <f t="shared" si="1"/>
        <v>0</v>
      </c>
      <c r="AT51" s="31">
        <f t="shared" si="2"/>
        <v>0</v>
      </c>
      <c r="AU51" s="31">
        <f t="shared" si="3"/>
        <v>0</v>
      </c>
      <c r="AV51" s="31">
        <f t="shared" si="4"/>
        <v>0</v>
      </c>
      <c r="AW51" s="31">
        <f t="shared" si="5"/>
        <v>0</v>
      </c>
      <c r="AX51" s="31">
        <f t="shared" si="6"/>
        <v>0</v>
      </c>
      <c r="AY51" s="31">
        <f t="shared" si="7"/>
        <v>0</v>
      </c>
      <c r="AZ51" s="31">
        <f t="shared" si="8"/>
        <v>0</v>
      </c>
      <c r="BA51" s="31">
        <f t="shared" si="9"/>
        <v>0</v>
      </c>
      <c r="BB51" s="31">
        <f t="shared" si="41"/>
        <v>0</v>
      </c>
      <c r="BC51" s="31"/>
      <c r="BD51" s="31"/>
      <c r="BM51" s="8">
        <f t="shared" si="42"/>
        <v>0</v>
      </c>
      <c r="BN51" s="8">
        <f t="shared" si="10"/>
        <v>0</v>
      </c>
      <c r="BO51" s="8">
        <f t="shared" si="11"/>
        <v>0</v>
      </c>
      <c r="BQ51" s="8">
        <f t="shared" si="12"/>
        <v>0</v>
      </c>
      <c r="BR51" s="63">
        <f t="shared" si="13"/>
        <v>0</v>
      </c>
      <c r="BS51" s="63">
        <f t="shared" si="43"/>
        <v>0</v>
      </c>
      <c r="BT51" s="63">
        <f t="shared" si="14"/>
        <v>0</v>
      </c>
      <c r="BU51" s="63">
        <f t="shared" si="15"/>
        <v>0</v>
      </c>
      <c r="BV51" s="57">
        <f t="shared" si="16"/>
        <v>0</v>
      </c>
      <c r="BW51" s="57">
        <f t="shared" si="17"/>
        <v>0</v>
      </c>
      <c r="BX51" s="57">
        <f t="shared" si="44"/>
        <v>0</v>
      </c>
      <c r="BY51" s="57">
        <f t="shared" si="51"/>
        <v>0</v>
      </c>
      <c r="BZ51" s="8">
        <f t="shared" si="18"/>
        <v>0</v>
      </c>
      <c r="CA51" s="8">
        <f t="shared" si="19"/>
        <v>0</v>
      </c>
      <c r="CB51" s="8">
        <f t="shared" si="20"/>
        <v>0</v>
      </c>
      <c r="CC51" s="8">
        <f t="shared" si="21"/>
        <v>0</v>
      </c>
      <c r="CD51" s="8">
        <f t="shared" si="22"/>
        <v>0</v>
      </c>
      <c r="CE51" s="8">
        <f t="shared" si="23"/>
        <v>0</v>
      </c>
      <c r="CF51" s="8">
        <f t="shared" si="24"/>
        <v>0</v>
      </c>
      <c r="CG51" s="8">
        <f t="shared" si="25"/>
        <v>0</v>
      </c>
      <c r="CH51" s="8">
        <f t="shared" si="26"/>
        <v>0</v>
      </c>
      <c r="CI51" s="8">
        <f t="shared" si="27"/>
        <v>0</v>
      </c>
      <c r="CJ51" s="8">
        <f t="shared" si="28"/>
        <v>0</v>
      </c>
      <c r="CK51" s="8">
        <f t="shared" si="29"/>
        <v>0</v>
      </c>
      <c r="CL51" s="8">
        <f t="shared" si="30"/>
        <v>0</v>
      </c>
      <c r="CM51" s="8">
        <f t="shared" si="31"/>
        <v>0</v>
      </c>
      <c r="CN51" s="8">
        <f t="shared" si="32"/>
        <v>0</v>
      </c>
      <c r="CO51" s="8">
        <f t="shared" si="33"/>
        <v>0</v>
      </c>
      <c r="CP51" s="8">
        <f t="shared" si="34"/>
        <v>0</v>
      </c>
      <c r="CQ51" s="8">
        <f t="shared" si="35"/>
        <v>0</v>
      </c>
      <c r="CR51" s="8">
        <f t="shared" si="36"/>
        <v>0</v>
      </c>
      <c r="CS51" s="8">
        <f t="shared" si="37"/>
        <v>0</v>
      </c>
      <c r="CT51" s="8">
        <f t="shared" si="48"/>
        <v>0</v>
      </c>
      <c r="CU51" s="8">
        <f t="shared" si="49"/>
        <v>0</v>
      </c>
      <c r="CV51" s="8">
        <f t="shared" si="50"/>
        <v>0</v>
      </c>
      <c r="CW51" s="75"/>
      <c r="CX51" s="75"/>
      <c r="CY51" s="75"/>
      <c r="CZ51" s="74"/>
      <c r="DA51" s="74"/>
      <c r="DB51" s="74"/>
    </row>
    <row r="52" spans="1:116" ht="22" thickTop="1" thickBot="1" x14ac:dyDescent="0.55000000000000004">
      <c r="A52" s="32"/>
      <c r="B52" s="10"/>
      <c r="C52" s="10"/>
      <c r="D52" s="11"/>
      <c r="E52" s="10"/>
      <c r="F52" s="10"/>
      <c r="G52" s="19"/>
      <c r="H52" s="19"/>
      <c r="I52" s="19"/>
      <c r="J52" s="19"/>
      <c r="K52" s="10"/>
      <c r="L52" s="10"/>
      <c r="M52" s="10"/>
      <c r="N52" s="10"/>
      <c r="O52" s="18"/>
      <c r="P52" s="18"/>
      <c r="Q52" s="21"/>
      <c r="R52" s="20"/>
      <c r="S52" s="16">
        <f t="shared" si="0"/>
        <v>0</v>
      </c>
      <c r="T52" s="11"/>
      <c r="AE52" s="38" t="s">
        <v>156</v>
      </c>
      <c r="AF52" s="31" t="s">
        <v>94</v>
      </c>
      <c r="AG52" s="35" t="s">
        <v>60</v>
      </c>
      <c r="AH52" s="39">
        <f>IF(AH38&lt;&gt;0,IF(ROUND(AH38/500,1)&lt;1,1,ROUND(AH38/500,0)),0)</f>
        <v>0</v>
      </c>
      <c r="AI52" s="52" t="s">
        <v>36</v>
      </c>
      <c r="AJ52" s="39">
        <v>54</v>
      </c>
      <c r="AK52" s="36">
        <f t="shared" si="52"/>
        <v>0</v>
      </c>
      <c r="AL52" s="31" t="s">
        <v>541</v>
      </c>
      <c r="AM52" s="31" t="s">
        <v>542</v>
      </c>
      <c r="AN52" s="31" t="s">
        <v>543</v>
      </c>
      <c r="AO52" s="31" t="s">
        <v>544</v>
      </c>
      <c r="AR52" s="31"/>
      <c r="AS52" s="31">
        <f t="shared" si="1"/>
        <v>0</v>
      </c>
      <c r="AT52" s="31">
        <f t="shared" si="2"/>
        <v>0</v>
      </c>
      <c r="AU52" s="31">
        <f t="shared" si="3"/>
        <v>0</v>
      </c>
      <c r="AV52" s="31">
        <f t="shared" si="4"/>
        <v>0</v>
      </c>
      <c r="AW52" s="31">
        <f t="shared" si="5"/>
        <v>0</v>
      </c>
      <c r="AX52" s="31">
        <f t="shared" si="6"/>
        <v>0</v>
      </c>
      <c r="AY52" s="31">
        <f t="shared" si="7"/>
        <v>0</v>
      </c>
      <c r="AZ52" s="31">
        <f t="shared" si="8"/>
        <v>0</v>
      </c>
      <c r="BA52" s="31">
        <f t="shared" si="9"/>
        <v>0</v>
      </c>
      <c r="BB52" s="31">
        <f t="shared" si="41"/>
        <v>0</v>
      </c>
      <c r="BC52" s="31"/>
      <c r="BD52" s="31"/>
      <c r="BM52" s="8">
        <f t="shared" si="42"/>
        <v>0</v>
      </c>
      <c r="BN52" s="8">
        <f t="shared" si="10"/>
        <v>0</v>
      </c>
      <c r="BO52" s="8">
        <f t="shared" si="11"/>
        <v>0</v>
      </c>
      <c r="BQ52" s="8">
        <f t="shared" si="12"/>
        <v>0</v>
      </c>
      <c r="BR52" s="63">
        <f t="shared" si="13"/>
        <v>0</v>
      </c>
      <c r="BS52" s="63">
        <f t="shared" si="43"/>
        <v>0</v>
      </c>
      <c r="BT52" s="63">
        <f t="shared" si="14"/>
        <v>0</v>
      </c>
      <c r="BU52" s="63">
        <f t="shared" si="15"/>
        <v>0</v>
      </c>
      <c r="BV52" s="57">
        <f t="shared" si="16"/>
        <v>0</v>
      </c>
      <c r="BW52" s="57">
        <f t="shared" si="17"/>
        <v>0</v>
      </c>
      <c r="BX52" s="57">
        <f t="shared" si="44"/>
        <v>0</v>
      </c>
      <c r="BY52" s="57">
        <f t="shared" si="51"/>
        <v>0</v>
      </c>
      <c r="BZ52" s="8">
        <f t="shared" si="18"/>
        <v>0</v>
      </c>
      <c r="CA52" s="8">
        <f t="shared" si="19"/>
        <v>0</v>
      </c>
      <c r="CB52" s="8">
        <f t="shared" si="20"/>
        <v>0</v>
      </c>
      <c r="CC52" s="8">
        <f t="shared" si="21"/>
        <v>0</v>
      </c>
      <c r="CD52" s="8">
        <f t="shared" si="22"/>
        <v>0</v>
      </c>
      <c r="CE52" s="8">
        <f t="shared" si="23"/>
        <v>0</v>
      </c>
      <c r="CF52" s="8">
        <f t="shared" si="24"/>
        <v>0</v>
      </c>
      <c r="CG52" s="8">
        <f t="shared" si="25"/>
        <v>0</v>
      </c>
      <c r="CH52" s="8">
        <f t="shared" si="26"/>
        <v>0</v>
      </c>
      <c r="CI52" s="8">
        <f t="shared" si="27"/>
        <v>0</v>
      </c>
      <c r="CJ52" s="8">
        <f t="shared" si="28"/>
        <v>0</v>
      </c>
      <c r="CK52" s="8">
        <f t="shared" si="29"/>
        <v>0</v>
      </c>
      <c r="CL52" s="8">
        <f t="shared" si="30"/>
        <v>0</v>
      </c>
      <c r="CM52" s="8">
        <f t="shared" si="31"/>
        <v>0</v>
      </c>
      <c r="CN52" s="8">
        <f t="shared" si="32"/>
        <v>0</v>
      </c>
      <c r="CO52" s="8">
        <f t="shared" si="33"/>
        <v>0</v>
      </c>
      <c r="CP52" s="8">
        <f t="shared" si="34"/>
        <v>0</v>
      </c>
      <c r="CQ52" s="8">
        <f t="shared" si="35"/>
        <v>0</v>
      </c>
      <c r="CR52" s="8">
        <f t="shared" si="36"/>
        <v>0</v>
      </c>
      <c r="CS52" s="8">
        <f t="shared" si="37"/>
        <v>0</v>
      </c>
      <c r="CT52" s="8">
        <f t="shared" si="48"/>
        <v>0</v>
      </c>
      <c r="CU52" s="8">
        <f t="shared" si="49"/>
        <v>0</v>
      </c>
      <c r="CV52" s="8">
        <f t="shared" si="50"/>
        <v>0</v>
      </c>
      <c r="CW52" s="75"/>
      <c r="CX52" s="75"/>
      <c r="CY52" s="75"/>
      <c r="CZ52" s="74"/>
      <c r="DA52" s="74"/>
      <c r="DB52" s="74"/>
    </row>
    <row r="53" spans="1:116" ht="25.25" customHeight="1" thickTop="1" thickBot="1" x14ac:dyDescent="0.55000000000000004">
      <c r="A53" s="32"/>
      <c r="B53" s="10"/>
      <c r="C53" s="10"/>
      <c r="D53" s="11"/>
      <c r="E53" s="10"/>
      <c r="F53" s="10"/>
      <c r="G53" s="19"/>
      <c r="H53" s="19"/>
      <c r="I53" s="19"/>
      <c r="J53" s="19"/>
      <c r="K53" s="10"/>
      <c r="L53" s="10"/>
      <c r="M53" s="10"/>
      <c r="N53" s="10"/>
      <c r="O53" s="18"/>
      <c r="P53" s="18"/>
      <c r="Q53" s="21"/>
      <c r="R53" s="20"/>
      <c r="S53" s="16">
        <f t="shared" si="0"/>
        <v>0</v>
      </c>
      <c r="T53" s="11"/>
      <c r="AE53" s="38" t="s">
        <v>86</v>
      </c>
      <c r="AF53" s="31" t="s">
        <v>94</v>
      </c>
      <c r="AG53" s="35" t="s">
        <v>86</v>
      </c>
      <c r="AH53" s="39">
        <f>IF(AND(AN53=0,AL53&lt;&gt;AM53),MAX(AL53:AM53),IF(AND(AN53&lt;&gt;0,AO53&gt;=AN53),AO53,0))</f>
        <v>0</v>
      </c>
      <c r="AI53" s="39" t="s">
        <v>85</v>
      </c>
      <c r="AJ53" s="39">
        <v>2930</v>
      </c>
      <c r="AK53" s="36">
        <f t="shared" si="52"/>
        <v>0</v>
      </c>
      <c r="AL53" s="31">
        <f>SUMIF(B4:B1500,"grid",F4:F1500)+ SUMIF(B4:B1500,"ss",F4:F1500)+ SUMIF(B4:B1500,"joint",F4:F1500)+ SUMIF(B4:B1500,"j transition",F4:F1500)+SUMIF(B4:B1500,"pole",F4:F1500)</f>
        <v>0</v>
      </c>
      <c r="AM53" s="31">
        <f>+SUMIF(C4:C1500,"grid",F4:F1500)+ SUMIF(C4:C1500,"ss",F4:F1500)+ SUMIF(C4:C1500,"joint",F4:F1500)+ SUMIF(C4:C1500,"j transition",F4:F1500)+SUMIF(C4:C1500,"pole",F4:F1500)</f>
        <v>0</v>
      </c>
      <c r="AN53" s="31">
        <f>SUMIF(B4:B1500,"grid",F4:F1500)+ SUMIF(C4:C1500,"grid",F4:F1500)</f>
        <v>0</v>
      </c>
      <c r="AO53" s="31">
        <f xml:space="preserve"> SUMIF(B4:B1500,"ss",F4:F1500)+ SUMIF(B4:B1500,"joint",F4:F1500)+ SUMIF(B4:B1500,"j transition",F4:F1500)+ SUMIF(C4:C1500,"ss",F4:F1500)+ SUMIF(C4:C1500,"joint",F4:F1500)+ SUMIF(C4:C1500,"j transition",F4:F1500)++SUMIF(B4:B1500,"pole",F4:F1500)+SUMIF(C4:C1500,"pole",F4:F1500)</f>
        <v>0</v>
      </c>
      <c r="AR53" s="31"/>
      <c r="AS53" s="31">
        <f t="shared" si="1"/>
        <v>0</v>
      </c>
      <c r="AT53" s="31">
        <f t="shared" si="2"/>
        <v>0</v>
      </c>
      <c r="AU53" s="31">
        <f t="shared" si="3"/>
        <v>0</v>
      </c>
      <c r="AV53" s="31">
        <f t="shared" si="4"/>
        <v>0</v>
      </c>
      <c r="AW53" s="31">
        <f t="shared" si="5"/>
        <v>0</v>
      </c>
      <c r="AX53" s="31">
        <f t="shared" si="6"/>
        <v>0</v>
      </c>
      <c r="AY53" s="31">
        <f t="shared" si="7"/>
        <v>0</v>
      </c>
      <c r="AZ53" s="31">
        <f t="shared" si="8"/>
        <v>0</v>
      </c>
      <c r="BA53" s="31">
        <f t="shared" si="9"/>
        <v>0</v>
      </c>
      <c r="BB53" s="31">
        <f t="shared" si="41"/>
        <v>0</v>
      </c>
      <c r="BC53" s="31"/>
      <c r="BD53" s="31"/>
      <c r="BM53" s="8">
        <f t="shared" si="42"/>
        <v>0</v>
      </c>
      <c r="BN53" s="8">
        <f t="shared" si="10"/>
        <v>0</v>
      </c>
      <c r="BO53" s="8">
        <f t="shared" si="11"/>
        <v>0</v>
      </c>
      <c r="BQ53" s="8">
        <f t="shared" si="12"/>
        <v>0</v>
      </c>
      <c r="BR53" s="63">
        <f t="shared" si="13"/>
        <v>0</v>
      </c>
      <c r="BS53" s="63">
        <f t="shared" si="43"/>
        <v>0</v>
      </c>
      <c r="BT53" s="63">
        <f t="shared" si="14"/>
        <v>0</v>
      </c>
      <c r="BU53" s="63">
        <f t="shared" si="15"/>
        <v>0</v>
      </c>
      <c r="BV53" s="57">
        <f t="shared" si="16"/>
        <v>0</v>
      </c>
      <c r="BW53" s="57">
        <f t="shared" si="17"/>
        <v>0</v>
      </c>
      <c r="BX53" s="57">
        <f t="shared" si="44"/>
        <v>0</v>
      </c>
      <c r="BY53" s="57">
        <f t="shared" si="51"/>
        <v>0</v>
      </c>
      <c r="BZ53" s="8">
        <f t="shared" si="18"/>
        <v>0</v>
      </c>
      <c r="CA53" s="8">
        <f t="shared" si="19"/>
        <v>0</v>
      </c>
      <c r="CB53" s="8">
        <f t="shared" si="20"/>
        <v>0</v>
      </c>
      <c r="CC53" s="8">
        <f t="shared" si="21"/>
        <v>0</v>
      </c>
      <c r="CD53" s="8">
        <f t="shared" si="22"/>
        <v>0</v>
      </c>
      <c r="CE53" s="8">
        <f t="shared" si="23"/>
        <v>0</v>
      </c>
      <c r="CF53" s="8">
        <f t="shared" si="24"/>
        <v>0</v>
      </c>
      <c r="CG53" s="8">
        <f t="shared" si="25"/>
        <v>0</v>
      </c>
      <c r="CH53" s="8">
        <f t="shared" si="26"/>
        <v>0</v>
      </c>
      <c r="CI53" s="8">
        <f t="shared" si="27"/>
        <v>0</v>
      </c>
      <c r="CJ53" s="8">
        <f t="shared" si="28"/>
        <v>0</v>
      </c>
      <c r="CK53" s="8">
        <f t="shared" si="29"/>
        <v>0</v>
      </c>
      <c r="CL53" s="8">
        <f t="shared" si="30"/>
        <v>0</v>
      </c>
      <c r="CM53" s="8">
        <f t="shared" si="31"/>
        <v>0</v>
      </c>
      <c r="CN53" s="8">
        <f t="shared" si="32"/>
        <v>0</v>
      </c>
      <c r="CO53" s="8">
        <f t="shared" si="33"/>
        <v>0</v>
      </c>
      <c r="CP53" s="8">
        <f t="shared" si="34"/>
        <v>0</v>
      </c>
      <c r="CQ53" s="8">
        <f t="shared" si="35"/>
        <v>0</v>
      </c>
      <c r="CR53" s="8">
        <f t="shared" si="36"/>
        <v>0</v>
      </c>
      <c r="CS53" s="8">
        <f t="shared" si="37"/>
        <v>0</v>
      </c>
      <c r="CT53" s="8">
        <f t="shared" si="48"/>
        <v>0</v>
      </c>
      <c r="CU53" s="8">
        <f t="shared" si="49"/>
        <v>0</v>
      </c>
      <c r="CV53" s="8">
        <f t="shared" si="50"/>
        <v>0</v>
      </c>
      <c r="CW53" s="76" t="s">
        <v>314</v>
      </c>
      <c r="CX53" s="76" t="s">
        <v>315</v>
      </c>
      <c r="CY53" s="76"/>
      <c r="CZ53" s="76" t="s">
        <v>302</v>
      </c>
      <c r="DA53" s="76" t="s">
        <v>316</v>
      </c>
      <c r="DB53" s="76" t="s">
        <v>317</v>
      </c>
    </row>
    <row r="54" spans="1:116" ht="25.25" customHeight="1" thickTop="1" thickBot="1" x14ac:dyDescent="0.55000000000000004">
      <c r="A54" s="32"/>
      <c r="B54" s="10"/>
      <c r="C54" s="10"/>
      <c r="D54" s="11"/>
      <c r="E54" s="10"/>
      <c r="F54" s="10"/>
      <c r="G54" s="19"/>
      <c r="H54" s="19"/>
      <c r="I54" s="19"/>
      <c r="J54" s="19"/>
      <c r="K54" s="10"/>
      <c r="L54" s="10"/>
      <c r="M54" s="10"/>
      <c r="N54" s="10"/>
      <c r="O54" s="18"/>
      <c r="P54" s="18"/>
      <c r="Q54" s="21"/>
      <c r="R54" s="20"/>
      <c r="S54" s="16">
        <f t="shared" si="0"/>
        <v>0</v>
      </c>
      <c r="T54" s="11"/>
      <c r="AE54" s="38" t="s">
        <v>223</v>
      </c>
      <c r="AF54" s="31" t="s">
        <v>220</v>
      </c>
      <c r="AG54" s="35" t="s">
        <v>223</v>
      </c>
      <c r="AH54" s="39">
        <f>AN35</f>
        <v>0</v>
      </c>
      <c r="AI54" s="39" t="s">
        <v>218</v>
      </c>
      <c r="AJ54" s="39">
        <v>7.0000000000000007E-2</v>
      </c>
      <c r="AK54" s="36">
        <f t="shared" si="52"/>
        <v>0</v>
      </c>
      <c r="AR54" s="31"/>
      <c r="AS54" s="31">
        <f t="shared" si="1"/>
        <v>0</v>
      </c>
      <c r="AT54" s="31">
        <f t="shared" si="2"/>
        <v>0</v>
      </c>
      <c r="AU54" s="31">
        <f t="shared" si="3"/>
        <v>0</v>
      </c>
      <c r="AV54" s="31">
        <f t="shared" si="4"/>
        <v>0</v>
      </c>
      <c r="AW54" s="31">
        <f t="shared" si="5"/>
        <v>0</v>
      </c>
      <c r="AX54" s="31">
        <f t="shared" si="6"/>
        <v>0</v>
      </c>
      <c r="AY54" s="31">
        <f t="shared" si="7"/>
        <v>0</v>
      </c>
      <c r="AZ54" s="31">
        <f t="shared" si="8"/>
        <v>0</v>
      </c>
      <c r="BA54" s="31">
        <f t="shared" si="9"/>
        <v>0</v>
      </c>
      <c r="BB54" s="31">
        <f t="shared" si="41"/>
        <v>0</v>
      </c>
      <c r="BC54" s="31"/>
      <c r="BD54" s="31"/>
      <c r="BM54" s="8">
        <f t="shared" si="42"/>
        <v>0</v>
      </c>
      <c r="BN54" s="8">
        <f t="shared" si="10"/>
        <v>0</v>
      </c>
      <c r="BO54" s="8">
        <f t="shared" si="11"/>
        <v>0</v>
      </c>
      <c r="BQ54" s="8">
        <f t="shared" si="12"/>
        <v>0</v>
      </c>
      <c r="BR54" s="63">
        <f t="shared" si="13"/>
        <v>0</v>
      </c>
      <c r="BS54" s="63">
        <f t="shared" si="43"/>
        <v>0</v>
      </c>
      <c r="BT54" s="63">
        <f t="shared" si="14"/>
        <v>0</v>
      </c>
      <c r="BU54" s="63">
        <f t="shared" si="15"/>
        <v>0</v>
      </c>
      <c r="BV54" s="57">
        <f t="shared" si="16"/>
        <v>0</v>
      </c>
      <c r="BW54" s="57">
        <f t="shared" si="17"/>
        <v>0</v>
      </c>
      <c r="BX54" s="57">
        <f t="shared" si="44"/>
        <v>0</v>
      </c>
      <c r="BY54" s="57">
        <f t="shared" si="51"/>
        <v>0</v>
      </c>
      <c r="BZ54" s="8">
        <f t="shared" si="18"/>
        <v>0</v>
      </c>
      <c r="CA54" s="8">
        <f t="shared" si="19"/>
        <v>0</v>
      </c>
      <c r="CB54" s="8">
        <f t="shared" si="20"/>
        <v>0</v>
      </c>
      <c r="CC54" s="8">
        <f t="shared" si="21"/>
        <v>0</v>
      </c>
      <c r="CD54" s="8">
        <f t="shared" si="22"/>
        <v>0</v>
      </c>
      <c r="CE54" s="8">
        <f t="shared" si="23"/>
        <v>0</v>
      </c>
      <c r="CF54" s="8">
        <f t="shared" si="24"/>
        <v>0</v>
      </c>
      <c r="CG54" s="8">
        <f t="shared" si="25"/>
        <v>0</v>
      </c>
      <c r="CH54" s="8">
        <f t="shared" si="26"/>
        <v>0</v>
      </c>
      <c r="CI54" s="8">
        <f t="shared" si="27"/>
        <v>0</v>
      </c>
      <c r="CJ54" s="8">
        <f t="shared" si="28"/>
        <v>0</v>
      </c>
      <c r="CK54" s="8">
        <f t="shared" si="29"/>
        <v>0</v>
      </c>
      <c r="CL54" s="8">
        <f t="shared" si="30"/>
        <v>0</v>
      </c>
      <c r="CM54" s="8">
        <f t="shared" si="31"/>
        <v>0</v>
      </c>
      <c r="CN54" s="8">
        <f t="shared" si="32"/>
        <v>0</v>
      </c>
      <c r="CO54" s="8">
        <f t="shared" si="33"/>
        <v>0</v>
      </c>
      <c r="CP54" s="8">
        <f t="shared" si="34"/>
        <v>0</v>
      </c>
      <c r="CQ54" s="8">
        <f t="shared" si="35"/>
        <v>0</v>
      </c>
      <c r="CR54" s="8">
        <f t="shared" si="36"/>
        <v>0</v>
      </c>
      <c r="CS54" s="8">
        <f t="shared" si="37"/>
        <v>0</v>
      </c>
      <c r="CT54" s="8">
        <f t="shared" si="48"/>
        <v>0</v>
      </c>
      <c r="CU54" s="8">
        <f t="shared" si="49"/>
        <v>0</v>
      </c>
      <c r="CV54" s="8">
        <f t="shared" si="50"/>
        <v>0</v>
      </c>
      <c r="CW54" s="77">
        <v>1010701001</v>
      </c>
      <c r="CX54" s="77">
        <v>1010701002</v>
      </c>
      <c r="CY54" s="77" t="s">
        <v>94</v>
      </c>
      <c r="CZ54" s="78" t="str">
        <f>"RMU,2LBS+1CB,O/D, 3WAY " &amp;DC18&amp;DD18</f>
        <v xml:space="preserve">RMU,2LBS+1CB,O/D, 3WAY </v>
      </c>
      <c r="DA54" s="78">
        <f>'Equipment Selection'!K47</f>
        <v>0</v>
      </c>
      <c r="DB54" s="78">
        <f>'Equipment Selection'!L47</f>
        <v>0</v>
      </c>
    </row>
    <row r="55" spans="1:116" ht="25.25" customHeight="1" thickTop="1" thickBot="1" x14ac:dyDescent="0.55000000000000004">
      <c r="A55" s="32"/>
      <c r="B55" s="10"/>
      <c r="C55" s="10"/>
      <c r="D55" s="11"/>
      <c r="E55" s="10"/>
      <c r="F55" s="10"/>
      <c r="G55" s="19"/>
      <c r="H55" s="19"/>
      <c r="I55" s="19"/>
      <c r="J55" s="19"/>
      <c r="K55" s="10"/>
      <c r="L55" s="10"/>
      <c r="M55" s="10"/>
      <c r="N55" s="10"/>
      <c r="O55" s="18"/>
      <c r="P55" s="18"/>
      <c r="Q55" s="21"/>
      <c r="R55" s="20"/>
      <c r="S55" s="16">
        <f t="shared" si="0"/>
        <v>0</v>
      </c>
      <c r="T55" s="11"/>
      <c r="AE55" s="38" t="s">
        <v>229</v>
      </c>
      <c r="AF55" s="31" t="s">
        <v>93</v>
      </c>
      <c r="AG55" s="35" t="s">
        <v>229</v>
      </c>
      <c r="AH55" s="39">
        <f>SUM(CA4:CA1500)</f>
        <v>0</v>
      </c>
      <c r="AI55" s="39" t="s">
        <v>151</v>
      </c>
      <c r="AJ55" s="39">
        <v>44</v>
      </c>
      <c r="AK55" s="36">
        <f t="shared" si="52"/>
        <v>0</v>
      </c>
      <c r="AR55" s="31"/>
      <c r="AS55" s="31">
        <f t="shared" si="1"/>
        <v>0</v>
      </c>
      <c r="AT55" s="31">
        <f t="shared" si="2"/>
        <v>0</v>
      </c>
      <c r="AU55" s="31">
        <f t="shared" si="3"/>
        <v>0</v>
      </c>
      <c r="AV55" s="31">
        <f t="shared" si="4"/>
        <v>0</v>
      </c>
      <c r="AW55" s="31">
        <f t="shared" si="5"/>
        <v>0</v>
      </c>
      <c r="AX55" s="31">
        <f t="shared" si="6"/>
        <v>0</v>
      </c>
      <c r="AY55" s="31">
        <f t="shared" si="7"/>
        <v>0</v>
      </c>
      <c r="AZ55" s="31">
        <f t="shared" si="8"/>
        <v>0</v>
      </c>
      <c r="BA55" s="31">
        <f t="shared" si="9"/>
        <v>0</v>
      </c>
      <c r="BB55" s="31">
        <f t="shared" si="41"/>
        <v>0</v>
      </c>
      <c r="BC55" s="31"/>
      <c r="BD55" s="31"/>
      <c r="BM55" s="8">
        <f t="shared" si="42"/>
        <v>0</v>
      </c>
      <c r="BN55" s="8">
        <f t="shared" si="10"/>
        <v>0</v>
      </c>
      <c r="BO55" s="8">
        <f t="shared" si="11"/>
        <v>0</v>
      </c>
      <c r="BQ55" s="8">
        <f t="shared" si="12"/>
        <v>0</v>
      </c>
      <c r="BR55" s="63">
        <f t="shared" si="13"/>
        <v>0</v>
      </c>
      <c r="BS55" s="63">
        <f t="shared" si="43"/>
        <v>0</v>
      </c>
      <c r="BT55" s="63">
        <f t="shared" si="14"/>
        <v>0</v>
      </c>
      <c r="BU55" s="63">
        <f t="shared" si="15"/>
        <v>0</v>
      </c>
      <c r="BV55" s="57">
        <f t="shared" si="16"/>
        <v>0</v>
      </c>
      <c r="BW55" s="57">
        <f t="shared" si="17"/>
        <v>0</v>
      </c>
      <c r="BX55" s="57">
        <f t="shared" si="44"/>
        <v>0</v>
      </c>
      <c r="BY55" s="57">
        <f t="shared" si="51"/>
        <v>0</v>
      </c>
      <c r="BZ55" s="8">
        <f t="shared" si="18"/>
        <v>0</v>
      </c>
      <c r="CA55" s="8">
        <f t="shared" si="19"/>
        <v>0</v>
      </c>
      <c r="CB55" s="8">
        <f t="shared" si="20"/>
        <v>0</v>
      </c>
      <c r="CC55" s="8">
        <f t="shared" si="21"/>
        <v>0</v>
      </c>
      <c r="CD55" s="8">
        <f t="shared" si="22"/>
        <v>0</v>
      </c>
      <c r="CE55" s="8">
        <f t="shared" si="23"/>
        <v>0</v>
      </c>
      <c r="CF55" s="8">
        <f t="shared" si="24"/>
        <v>0</v>
      </c>
      <c r="CG55" s="8">
        <f t="shared" si="25"/>
        <v>0</v>
      </c>
      <c r="CH55" s="8">
        <f t="shared" si="26"/>
        <v>0</v>
      </c>
      <c r="CI55" s="8">
        <f t="shared" si="27"/>
        <v>0</v>
      </c>
      <c r="CJ55" s="8">
        <f t="shared" si="28"/>
        <v>0</v>
      </c>
      <c r="CK55" s="8">
        <f t="shared" si="29"/>
        <v>0</v>
      </c>
      <c r="CL55" s="8">
        <f t="shared" si="30"/>
        <v>0</v>
      </c>
      <c r="CM55" s="8">
        <f t="shared" si="31"/>
        <v>0</v>
      </c>
      <c r="CN55" s="8">
        <f t="shared" si="32"/>
        <v>0</v>
      </c>
      <c r="CO55" s="8">
        <f t="shared" si="33"/>
        <v>0</v>
      </c>
      <c r="CP55" s="8">
        <f t="shared" si="34"/>
        <v>0</v>
      </c>
      <c r="CQ55" s="8">
        <f t="shared" si="35"/>
        <v>0</v>
      </c>
      <c r="CR55" s="8">
        <f t="shared" si="36"/>
        <v>0</v>
      </c>
      <c r="CS55" s="8">
        <f t="shared" si="37"/>
        <v>0</v>
      </c>
      <c r="CT55" s="8">
        <f t="shared" si="48"/>
        <v>0</v>
      </c>
      <c r="CU55" s="8">
        <f t="shared" si="49"/>
        <v>0</v>
      </c>
      <c r="CV55" s="8">
        <f t="shared" si="50"/>
        <v>0</v>
      </c>
      <c r="CW55" s="77">
        <v>1010702001</v>
      </c>
      <c r="CX55" s="77">
        <v>1010702002</v>
      </c>
      <c r="CY55" s="77" t="s">
        <v>94</v>
      </c>
      <c r="CZ55" s="78" t="str">
        <f>"RMU,2LBS+1CB,O/D, 4WAY " &amp;DC19&amp;DD19</f>
        <v xml:space="preserve">RMU,2LBS+1CB,O/D, 4WAY </v>
      </c>
      <c r="DA55" s="78">
        <f>'Equipment Selection'!K48</f>
        <v>0</v>
      </c>
      <c r="DB55" s="78">
        <f>'Equipment Selection'!L48</f>
        <v>0</v>
      </c>
    </row>
    <row r="56" spans="1:116" ht="22" thickTop="1" thickBot="1" x14ac:dyDescent="0.55000000000000004">
      <c r="A56" s="32"/>
      <c r="B56" s="10"/>
      <c r="C56" s="10"/>
      <c r="D56" s="11"/>
      <c r="E56" s="10"/>
      <c r="F56" s="10"/>
      <c r="G56" s="19"/>
      <c r="H56" s="19"/>
      <c r="I56" s="19"/>
      <c r="J56" s="19"/>
      <c r="K56" s="10"/>
      <c r="L56" s="10"/>
      <c r="M56" s="10"/>
      <c r="N56" s="10"/>
      <c r="O56" s="18"/>
      <c r="P56" s="18"/>
      <c r="Q56" s="21"/>
      <c r="R56" s="20"/>
      <c r="S56" s="16">
        <f t="shared" si="0"/>
        <v>0</v>
      </c>
      <c r="T56" s="11"/>
      <c r="AE56" s="38" t="s">
        <v>225</v>
      </c>
      <c r="AF56" s="8" t="s">
        <v>90</v>
      </c>
      <c r="AG56" s="35" t="s">
        <v>225</v>
      </c>
      <c r="AH56" s="39">
        <f>(COUNTIF(B4:B1500,"grid")*SUMIF(B4:B1500,"grid",F4:F1500)+COUNTIF(C4:C1500,"grid")*SUMIF(C4:C1500,"grid",F4:F1500))*30</f>
        <v>0</v>
      </c>
      <c r="AI56" s="39" t="s">
        <v>219</v>
      </c>
      <c r="AJ56" s="39">
        <v>143</v>
      </c>
      <c r="AK56" s="36">
        <f t="shared" si="52"/>
        <v>0</v>
      </c>
      <c r="AR56" s="31"/>
      <c r="AS56" s="31">
        <f t="shared" si="1"/>
        <v>0</v>
      </c>
      <c r="AT56" s="31">
        <f t="shared" si="2"/>
        <v>0</v>
      </c>
      <c r="AU56" s="31">
        <f t="shared" si="3"/>
        <v>0</v>
      </c>
      <c r="AV56" s="31">
        <f t="shared" si="4"/>
        <v>0</v>
      </c>
      <c r="AW56" s="31">
        <f t="shared" si="5"/>
        <v>0</v>
      </c>
      <c r="AX56" s="31">
        <f t="shared" si="6"/>
        <v>0</v>
      </c>
      <c r="AY56" s="31">
        <f t="shared" si="7"/>
        <v>0</v>
      </c>
      <c r="AZ56" s="31">
        <f t="shared" si="8"/>
        <v>0</v>
      </c>
      <c r="BA56" s="31">
        <f t="shared" si="9"/>
        <v>0</v>
      </c>
      <c r="BB56" s="31">
        <f t="shared" si="41"/>
        <v>0</v>
      </c>
      <c r="BC56" s="31"/>
      <c r="BD56" s="31"/>
      <c r="BM56" s="8">
        <f t="shared" si="42"/>
        <v>0</v>
      </c>
      <c r="BN56" s="8">
        <f t="shared" si="10"/>
        <v>0</v>
      </c>
      <c r="BO56" s="8">
        <f t="shared" si="11"/>
        <v>0</v>
      </c>
      <c r="BQ56" s="8">
        <f t="shared" si="12"/>
        <v>0</v>
      </c>
      <c r="BR56" s="63">
        <f t="shared" si="13"/>
        <v>0</v>
      </c>
      <c r="BS56" s="63">
        <f t="shared" si="43"/>
        <v>0</v>
      </c>
      <c r="BT56" s="63">
        <f t="shared" si="14"/>
        <v>0</v>
      </c>
      <c r="BU56" s="63">
        <f t="shared" si="15"/>
        <v>0</v>
      </c>
      <c r="BV56" s="57">
        <f t="shared" si="16"/>
        <v>0</v>
      </c>
      <c r="BW56" s="57">
        <f t="shared" si="17"/>
        <v>0</v>
      </c>
      <c r="BX56" s="57">
        <f t="shared" si="44"/>
        <v>0</v>
      </c>
      <c r="BY56" s="57">
        <f t="shared" si="51"/>
        <v>0</v>
      </c>
      <c r="BZ56" s="8">
        <f t="shared" si="18"/>
        <v>0</v>
      </c>
      <c r="CA56" s="8">
        <f t="shared" si="19"/>
        <v>0</v>
      </c>
      <c r="CB56" s="8">
        <f t="shared" si="20"/>
        <v>0</v>
      </c>
      <c r="CC56" s="8">
        <f t="shared" si="21"/>
        <v>0</v>
      </c>
      <c r="CD56" s="8">
        <f t="shared" si="22"/>
        <v>0</v>
      </c>
      <c r="CE56" s="8">
        <f t="shared" si="23"/>
        <v>0</v>
      </c>
      <c r="CF56" s="8">
        <f t="shared" si="24"/>
        <v>0</v>
      </c>
      <c r="CG56" s="8">
        <f t="shared" si="25"/>
        <v>0</v>
      </c>
      <c r="CH56" s="8">
        <f t="shared" si="26"/>
        <v>0</v>
      </c>
      <c r="CI56" s="8">
        <f t="shared" si="27"/>
        <v>0</v>
      </c>
      <c r="CJ56" s="8">
        <f t="shared" si="28"/>
        <v>0</v>
      </c>
      <c r="CK56" s="8">
        <f t="shared" si="29"/>
        <v>0</v>
      </c>
      <c r="CL56" s="8">
        <f t="shared" si="30"/>
        <v>0</v>
      </c>
      <c r="CM56" s="8">
        <f t="shared" si="31"/>
        <v>0</v>
      </c>
      <c r="CN56" s="8">
        <f t="shared" si="32"/>
        <v>0</v>
      </c>
      <c r="CO56" s="8">
        <f t="shared" si="33"/>
        <v>0</v>
      </c>
      <c r="CP56" s="8">
        <f t="shared" si="34"/>
        <v>0</v>
      </c>
      <c r="CQ56" s="8">
        <f t="shared" si="35"/>
        <v>0</v>
      </c>
      <c r="CR56" s="8">
        <f t="shared" si="36"/>
        <v>0</v>
      </c>
      <c r="CS56" s="8">
        <f t="shared" si="37"/>
        <v>0</v>
      </c>
      <c r="CT56" s="8">
        <f t="shared" si="48"/>
        <v>0</v>
      </c>
      <c r="CU56" s="8">
        <f t="shared" si="49"/>
        <v>0</v>
      </c>
      <c r="CV56" s="8">
        <f t="shared" si="50"/>
        <v>0</v>
      </c>
      <c r="CW56" s="77">
        <v>1010801001</v>
      </c>
      <c r="CX56" s="77">
        <v>1010801003</v>
      </c>
      <c r="CY56" s="77" t="s">
        <v>94</v>
      </c>
      <c r="CZ56" s="78" t="str">
        <f>"MRMU,2LBS+1CB,ID, 3WAY " &amp;DC20&amp;DD20</f>
        <v xml:space="preserve">MRMU,2LBS+1CB,ID, 3WAY </v>
      </c>
      <c r="DA56" s="78">
        <f>'Equipment Selection'!K49</f>
        <v>0</v>
      </c>
      <c r="DB56" s="78">
        <f>'Equipment Selection'!L49</f>
        <v>0</v>
      </c>
    </row>
    <row r="57" spans="1:116" ht="25.25" customHeight="1" thickTop="1" thickBot="1" x14ac:dyDescent="0.55000000000000004">
      <c r="A57" s="32"/>
      <c r="B57" s="17"/>
      <c r="C57" s="17"/>
      <c r="D57" s="11"/>
      <c r="E57" s="10"/>
      <c r="F57" s="10"/>
      <c r="G57" s="19"/>
      <c r="H57" s="19"/>
      <c r="I57" s="19"/>
      <c r="J57" s="19"/>
      <c r="K57" s="10"/>
      <c r="L57" s="10"/>
      <c r="M57" s="10"/>
      <c r="N57" s="10"/>
      <c r="O57" s="18"/>
      <c r="P57" s="18"/>
      <c r="Q57" s="21"/>
      <c r="R57" s="20"/>
      <c r="S57" s="16">
        <f t="shared" si="0"/>
        <v>0</v>
      </c>
      <c r="T57" s="11"/>
      <c r="AE57" s="31" t="s">
        <v>231</v>
      </c>
      <c r="AF57" s="31" t="s">
        <v>93</v>
      </c>
      <c r="AG57" s="35" t="s">
        <v>230</v>
      </c>
      <c r="AH57" s="39">
        <f>SUM(CB4:CB1500)</f>
        <v>0</v>
      </c>
      <c r="AI57" s="39" t="s">
        <v>221</v>
      </c>
      <c r="AJ57" s="39">
        <v>77</v>
      </c>
      <c r="AK57" s="36">
        <f t="shared" si="52"/>
        <v>0</v>
      </c>
      <c r="AR57" s="31"/>
      <c r="AS57" s="31">
        <f t="shared" si="1"/>
        <v>0</v>
      </c>
      <c r="AT57" s="31">
        <f t="shared" si="2"/>
        <v>0</v>
      </c>
      <c r="AU57" s="31">
        <f t="shared" si="3"/>
        <v>0</v>
      </c>
      <c r="AV57" s="31">
        <f t="shared" si="4"/>
        <v>0</v>
      </c>
      <c r="AW57" s="31">
        <f t="shared" si="5"/>
        <v>0</v>
      </c>
      <c r="AX57" s="31">
        <f t="shared" si="6"/>
        <v>0</v>
      </c>
      <c r="AY57" s="31">
        <f t="shared" si="7"/>
        <v>0</v>
      </c>
      <c r="AZ57" s="31">
        <f t="shared" si="8"/>
        <v>0</v>
      </c>
      <c r="BA57" s="31">
        <f t="shared" si="9"/>
        <v>0</v>
      </c>
      <c r="BB57" s="31">
        <f t="shared" si="41"/>
        <v>0</v>
      </c>
      <c r="BC57" s="31"/>
      <c r="BD57" s="31"/>
      <c r="BM57" s="8">
        <f t="shared" si="42"/>
        <v>0</v>
      </c>
      <c r="BN57" s="8">
        <f t="shared" si="10"/>
        <v>0</v>
      </c>
      <c r="BO57" s="8">
        <f t="shared" si="11"/>
        <v>0</v>
      </c>
      <c r="BQ57" s="8">
        <f t="shared" si="12"/>
        <v>0</v>
      </c>
      <c r="BR57" s="63">
        <f t="shared" si="13"/>
        <v>0</v>
      </c>
      <c r="BS57" s="63">
        <f t="shared" si="43"/>
        <v>0</v>
      </c>
      <c r="BT57" s="63">
        <f t="shared" si="14"/>
        <v>0</v>
      </c>
      <c r="BU57" s="63">
        <f t="shared" si="15"/>
        <v>0</v>
      </c>
      <c r="BV57" s="57">
        <f t="shared" si="16"/>
        <v>0</v>
      </c>
      <c r="BW57" s="57">
        <f t="shared" si="17"/>
        <v>0</v>
      </c>
      <c r="BX57" s="57">
        <f t="shared" si="44"/>
        <v>0</v>
      </c>
      <c r="BY57" s="57">
        <f t="shared" si="51"/>
        <v>0</v>
      </c>
      <c r="BZ57" s="8">
        <f t="shared" si="18"/>
        <v>0</v>
      </c>
      <c r="CA57" s="8">
        <f t="shared" si="19"/>
        <v>0</v>
      </c>
      <c r="CB57" s="8">
        <f t="shared" si="20"/>
        <v>0</v>
      </c>
      <c r="CC57" s="8">
        <f t="shared" si="21"/>
        <v>0</v>
      </c>
      <c r="CD57" s="8">
        <f t="shared" si="22"/>
        <v>0</v>
      </c>
      <c r="CE57" s="8">
        <f t="shared" si="23"/>
        <v>0</v>
      </c>
      <c r="CF57" s="8">
        <f t="shared" si="24"/>
        <v>0</v>
      </c>
      <c r="CG57" s="8">
        <f t="shared" si="25"/>
        <v>0</v>
      </c>
      <c r="CH57" s="8">
        <f t="shared" si="26"/>
        <v>0</v>
      </c>
      <c r="CI57" s="8">
        <f t="shared" si="27"/>
        <v>0</v>
      </c>
      <c r="CJ57" s="8">
        <f t="shared" si="28"/>
        <v>0</v>
      </c>
      <c r="CK57" s="8">
        <f t="shared" si="29"/>
        <v>0</v>
      </c>
      <c r="CL57" s="8">
        <f t="shared" si="30"/>
        <v>0</v>
      </c>
      <c r="CM57" s="8">
        <f t="shared" si="31"/>
        <v>0</v>
      </c>
      <c r="CN57" s="8">
        <f t="shared" si="32"/>
        <v>0</v>
      </c>
      <c r="CO57" s="8">
        <f t="shared" si="33"/>
        <v>0</v>
      </c>
      <c r="CP57" s="8">
        <f t="shared" si="34"/>
        <v>0</v>
      </c>
      <c r="CQ57" s="8">
        <f t="shared" si="35"/>
        <v>0</v>
      </c>
      <c r="CR57" s="8">
        <f t="shared" si="36"/>
        <v>0</v>
      </c>
      <c r="CS57" s="8">
        <f t="shared" si="37"/>
        <v>0</v>
      </c>
      <c r="CT57" s="8">
        <f t="shared" si="48"/>
        <v>0</v>
      </c>
      <c r="CU57" s="8">
        <f t="shared" si="49"/>
        <v>0</v>
      </c>
      <c r="CV57" s="8">
        <f t="shared" si="50"/>
        <v>0</v>
      </c>
      <c r="CW57" s="77">
        <v>1010801002</v>
      </c>
      <c r="CX57" s="77">
        <v>1010801004</v>
      </c>
      <c r="CY57" s="77" t="s">
        <v>94</v>
      </c>
      <c r="CZ57" s="78" t="str">
        <f>"MRMU,2LBS+1CB,ID, 3WAY " &amp;DC21&amp;DD21</f>
        <v xml:space="preserve">MRMU,2LBS+1CB,ID, 3WAY </v>
      </c>
      <c r="DA57" s="78">
        <f>'Equipment Selection'!K50</f>
        <v>0</v>
      </c>
      <c r="DB57" s="78">
        <f>'Equipment Selection'!L50</f>
        <v>0</v>
      </c>
    </row>
    <row r="58" spans="1:116" ht="25.25" customHeight="1" thickTop="1" thickBot="1" x14ac:dyDescent="0.55000000000000004">
      <c r="A58" s="32"/>
      <c r="B58" s="10"/>
      <c r="C58" s="10"/>
      <c r="D58" s="11"/>
      <c r="E58" s="10"/>
      <c r="F58" s="10"/>
      <c r="G58" s="19"/>
      <c r="H58" s="19"/>
      <c r="I58" s="19"/>
      <c r="J58" s="19"/>
      <c r="K58" s="10"/>
      <c r="L58" s="10"/>
      <c r="M58" s="10"/>
      <c r="N58" s="10"/>
      <c r="O58" s="18"/>
      <c r="P58" s="18"/>
      <c r="Q58" s="21"/>
      <c r="R58" s="20"/>
      <c r="S58" s="16">
        <f t="shared" si="0"/>
        <v>0</v>
      </c>
      <c r="T58" s="11"/>
      <c r="AE58" s="38" t="s">
        <v>244</v>
      </c>
      <c r="AF58" s="31" t="s">
        <v>90</v>
      </c>
      <c r="AG58" s="35" t="s">
        <v>244</v>
      </c>
      <c r="AH58" s="39">
        <f>SUMIFS(D4:D1500,N4:N1500,"HDD",F4:F1500,1)</f>
        <v>0</v>
      </c>
      <c r="AI58" s="39" t="s">
        <v>246</v>
      </c>
      <c r="AJ58" s="39">
        <v>1520</v>
      </c>
      <c r="AK58" s="36">
        <f t="shared" si="52"/>
        <v>0</v>
      </c>
      <c r="AL58" s="31">
        <f>SUMIFS(D4:D1500,N4:N1500,"HDD",F4:F1500,"&gt;10")</f>
        <v>0</v>
      </c>
      <c r="AR58" s="31"/>
      <c r="AS58" s="31">
        <f t="shared" si="1"/>
        <v>0</v>
      </c>
      <c r="AT58" s="31">
        <f t="shared" si="2"/>
        <v>0</v>
      </c>
      <c r="AU58" s="31">
        <f t="shared" si="3"/>
        <v>0</v>
      </c>
      <c r="AV58" s="31">
        <f t="shared" si="4"/>
        <v>0</v>
      </c>
      <c r="AW58" s="31">
        <f t="shared" si="5"/>
        <v>0</v>
      </c>
      <c r="AX58" s="31">
        <f t="shared" si="6"/>
        <v>0</v>
      </c>
      <c r="AY58" s="31">
        <f t="shared" si="7"/>
        <v>0</v>
      </c>
      <c r="AZ58" s="31">
        <f t="shared" si="8"/>
        <v>0</v>
      </c>
      <c r="BA58" s="31">
        <f t="shared" si="9"/>
        <v>0</v>
      </c>
      <c r="BB58" s="31">
        <f t="shared" si="41"/>
        <v>0</v>
      </c>
      <c r="BC58" s="31"/>
      <c r="BD58" s="31"/>
      <c r="BM58" s="8">
        <f t="shared" si="42"/>
        <v>0</v>
      </c>
      <c r="BN58" s="8">
        <f t="shared" si="10"/>
        <v>0</v>
      </c>
      <c r="BO58" s="8">
        <f t="shared" si="11"/>
        <v>0</v>
      </c>
      <c r="BQ58" s="8">
        <f t="shared" si="12"/>
        <v>0</v>
      </c>
      <c r="BR58" s="63">
        <f t="shared" si="13"/>
        <v>0</v>
      </c>
      <c r="BS58" s="63">
        <f t="shared" si="43"/>
        <v>0</v>
      </c>
      <c r="BT58" s="63">
        <f t="shared" si="14"/>
        <v>0</v>
      </c>
      <c r="BU58" s="63">
        <f t="shared" si="15"/>
        <v>0</v>
      </c>
      <c r="BV58" s="57">
        <f t="shared" si="16"/>
        <v>0</v>
      </c>
      <c r="BW58" s="57">
        <f t="shared" si="17"/>
        <v>0</v>
      </c>
      <c r="BX58" s="57">
        <f t="shared" si="44"/>
        <v>0</v>
      </c>
      <c r="BY58" s="57">
        <f t="shared" si="51"/>
        <v>0</v>
      </c>
      <c r="BZ58" s="8">
        <f t="shared" si="18"/>
        <v>0</v>
      </c>
      <c r="CA58" s="8">
        <f t="shared" si="19"/>
        <v>0</v>
      </c>
      <c r="CB58" s="8">
        <f t="shared" si="20"/>
        <v>0</v>
      </c>
      <c r="CC58" s="8">
        <f t="shared" si="21"/>
        <v>0</v>
      </c>
      <c r="CD58" s="8">
        <f t="shared" si="22"/>
        <v>0</v>
      </c>
      <c r="CE58" s="8">
        <f t="shared" si="23"/>
        <v>0</v>
      </c>
      <c r="CF58" s="8">
        <f t="shared" si="24"/>
        <v>0</v>
      </c>
      <c r="CG58" s="8">
        <f t="shared" si="25"/>
        <v>0</v>
      </c>
      <c r="CH58" s="8">
        <f t="shared" si="26"/>
        <v>0</v>
      </c>
      <c r="CI58" s="8">
        <f t="shared" si="27"/>
        <v>0</v>
      </c>
      <c r="CJ58" s="8">
        <f t="shared" si="28"/>
        <v>0</v>
      </c>
      <c r="CK58" s="8">
        <f t="shared" si="29"/>
        <v>0</v>
      </c>
      <c r="CL58" s="8">
        <f t="shared" si="30"/>
        <v>0</v>
      </c>
      <c r="CM58" s="8">
        <f t="shared" si="31"/>
        <v>0</v>
      </c>
      <c r="CN58" s="8">
        <f t="shared" si="32"/>
        <v>0</v>
      </c>
      <c r="CO58" s="8">
        <f t="shared" si="33"/>
        <v>0</v>
      </c>
      <c r="CP58" s="8">
        <f t="shared" si="34"/>
        <v>0</v>
      </c>
      <c r="CQ58" s="8">
        <f t="shared" si="35"/>
        <v>0</v>
      </c>
      <c r="CR58" s="8">
        <f t="shared" si="36"/>
        <v>0</v>
      </c>
      <c r="CS58" s="8">
        <f t="shared" si="37"/>
        <v>0</v>
      </c>
      <c r="CT58" s="8">
        <f t="shared" si="48"/>
        <v>0</v>
      </c>
      <c r="CU58" s="8">
        <f t="shared" si="49"/>
        <v>0</v>
      </c>
      <c r="CV58" s="8">
        <f t="shared" si="50"/>
        <v>0</v>
      </c>
      <c r="CW58" s="77">
        <v>1010802001</v>
      </c>
      <c r="CX58" s="77">
        <v>1010802002</v>
      </c>
      <c r="CY58" s="77" t="s">
        <v>94</v>
      </c>
      <c r="CZ58" s="78" t="str">
        <f>"MRMU,3LBS+1CB,ID, 4WAY " &amp;DC22&amp;DD22</f>
        <v xml:space="preserve">MRMU,3LBS+1CB,ID, 4WAY </v>
      </c>
      <c r="DA58" s="78">
        <f>'Equipment Selection'!K51</f>
        <v>0</v>
      </c>
      <c r="DB58" s="78">
        <f>'Equipment Selection'!L51</f>
        <v>0</v>
      </c>
      <c r="DD58" s="76" t="s">
        <v>315</v>
      </c>
      <c r="DE58" s="76" t="s">
        <v>317</v>
      </c>
      <c r="DF58" s="76" t="s">
        <v>433</v>
      </c>
      <c r="DG58" s="76" t="s">
        <v>302</v>
      </c>
      <c r="DH58" s="76"/>
      <c r="DI58" s="76" t="s">
        <v>314</v>
      </c>
      <c r="DJ58" s="76" t="s">
        <v>316</v>
      </c>
      <c r="DK58" s="76"/>
      <c r="DL58" s="76" t="s">
        <v>302</v>
      </c>
    </row>
    <row r="59" spans="1:116" ht="25.25" customHeight="1" thickTop="1" thickBot="1" x14ac:dyDescent="0.55000000000000004">
      <c r="A59" s="32"/>
      <c r="B59" s="10"/>
      <c r="C59" s="10"/>
      <c r="D59" s="11"/>
      <c r="E59" s="10"/>
      <c r="F59" s="10"/>
      <c r="G59" s="19"/>
      <c r="H59" s="19"/>
      <c r="I59" s="19"/>
      <c r="J59" s="19"/>
      <c r="K59" s="10"/>
      <c r="L59" s="10"/>
      <c r="M59" s="10"/>
      <c r="N59" s="10"/>
      <c r="O59" s="18"/>
      <c r="P59" s="18"/>
      <c r="Q59" s="21"/>
      <c r="R59" s="20"/>
      <c r="S59" s="16">
        <f t="shared" si="0"/>
        <v>0</v>
      </c>
      <c r="T59" s="11"/>
      <c r="AE59" s="38" t="s">
        <v>245</v>
      </c>
      <c r="AF59" s="31" t="s">
        <v>90</v>
      </c>
      <c r="AG59" s="35" t="s">
        <v>245</v>
      </c>
      <c r="AH59" s="39">
        <f>SUMIFS(D4:D1500,N4:N1500,"HDD",F4:F1500,2)</f>
        <v>0</v>
      </c>
      <c r="AI59" s="39" t="s">
        <v>247</v>
      </c>
      <c r="AJ59" s="39">
        <v>2073</v>
      </c>
      <c r="AK59" s="36">
        <f t="shared" si="52"/>
        <v>0</v>
      </c>
      <c r="AR59" s="31"/>
      <c r="AS59" s="31">
        <f t="shared" si="1"/>
        <v>0</v>
      </c>
      <c r="AT59" s="31">
        <f t="shared" si="2"/>
        <v>0</v>
      </c>
      <c r="AU59" s="31">
        <f t="shared" si="3"/>
        <v>0</v>
      </c>
      <c r="AV59" s="31">
        <f t="shared" si="4"/>
        <v>0</v>
      </c>
      <c r="AW59" s="31">
        <f t="shared" si="5"/>
        <v>0</v>
      </c>
      <c r="AX59" s="31">
        <f t="shared" si="6"/>
        <v>0</v>
      </c>
      <c r="AY59" s="31">
        <f t="shared" si="7"/>
        <v>0</v>
      </c>
      <c r="AZ59" s="31">
        <f t="shared" si="8"/>
        <v>0</v>
      </c>
      <c r="BA59" s="31">
        <f t="shared" si="9"/>
        <v>0</v>
      </c>
      <c r="BB59" s="31">
        <f t="shared" si="41"/>
        <v>0</v>
      </c>
      <c r="BC59" s="31"/>
      <c r="BD59" s="31"/>
      <c r="BM59" s="8">
        <f t="shared" si="42"/>
        <v>0</v>
      </c>
      <c r="BN59" s="8">
        <f t="shared" si="10"/>
        <v>0</v>
      </c>
      <c r="BO59" s="8">
        <f t="shared" si="11"/>
        <v>0</v>
      </c>
      <c r="BQ59" s="8">
        <f t="shared" si="12"/>
        <v>0</v>
      </c>
      <c r="BR59" s="63">
        <f t="shared" si="13"/>
        <v>0</v>
      </c>
      <c r="BS59" s="63">
        <f t="shared" si="43"/>
        <v>0</v>
      </c>
      <c r="BT59" s="63">
        <f t="shared" si="14"/>
        <v>0</v>
      </c>
      <c r="BU59" s="63">
        <f t="shared" si="15"/>
        <v>0</v>
      </c>
      <c r="BV59" s="57">
        <f t="shared" si="16"/>
        <v>0</v>
      </c>
      <c r="BW59" s="57">
        <f t="shared" si="17"/>
        <v>0</v>
      </c>
      <c r="BX59" s="57">
        <f t="shared" si="44"/>
        <v>0</v>
      </c>
      <c r="BY59" s="57">
        <f t="shared" si="51"/>
        <v>0</v>
      </c>
      <c r="BZ59" s="8">
        <f t="shared" si="18"/>
        <v>0</v>
      </c>
      <c r="CA59" s="8">
        <f t="shared" si="19"/>
        <v>0</v>
      </c>
      <c r="CB59" s="8">
        <f t="shared" si="20"/>
        <v>0</v>
      </c>
      <c r="CC59" s="8">
        <f t="shared" si="21"/>
        <v>0</v>
      </c>
      <c r="CD59" s="8">
        <f t="shared" si="22"/>
        <v>0</v>
      </c>
      <c r="CE59" s="8">
        <f t="shared" si="23"/>
        <v>0</v>
      </c>
      <c r="CF59" s="8">
        <f t="shared" si="24"/>
        <v>0</v>
      </c>
      <c r="CG59" s="8">
        <f t="shared" si="25"/>
        <v>0</v>
      </c>
      <c r="CH59" s="8">
        <f t="shared" si="26"/>
        <v>0</v>
      </c>
      <c r="CI59" s="8">
        <f t="shared" si="27"/>
        <v>0</v>
      </c>
      <c r="CJ59" s="8">
        <f t="shared" si="28"/>
        <v>0</v>
      </c>
      <c r="CK59" s="8">
        <f t="shared" si="29"/>
        <v>0</v>
      </c>
      <c r="CL59" s="8">
        <f t="shared" si="30"/>
        <v>0</v>
      </c>
      <c r="CM59" s="8">
        <f t="shared" si="31"/>
        <v>0</v>
      </c>
      <c r="CN59" s="8">
        <f t="shared" si="32"/>
        <v>0</v>
      </c>
      <c r="CO59" s="8">
        <f t="shared" si="33"/>
        <v>0</v>
      </c>
      <c r="CP59" s="8">
        <f t="shared" si="34"/>
        <v>0</v>
      </c>
      <c r="CQ59" s="8">
        <f t="shared" si="35"/>
        <v>0</v>
      </c>
      <c r="CR59" s="8">
        <f t="shared" si="36"/>
        <v>0</v>
      </c>
      <c r="CS59" s="8">
        <f t="shared" si="37"/>
        <v>0</v>
      </c>
      <c r="CT59" s="8">
        <f t="shared" si="48"/>
        <v>0</v>
      </c>
      <c r="CU59" s="8">
        <f t="shared" si="49"/>
        <v>0</v>
      </c>
      <c r="CV59" s="8">
        <f t="shared" si="50"/>
        <v>0</v>
      </c>
      <c r="CW59" s="75">
        <v>1010601001</v>
      </c>
      <c r="CX59" s="75">
        <v>1010601005</v>
      </c>
      <c r="CY59" s="77" t="s">
        <v>94</v>
      </c>
      <c r="CZ59" s="74" t="str">
        <f>"500 KVA UNIT MULTI CB 230/400V "&amp;voltage</f>
        <v>500 KVA UNIT MULTI CB 230/400V 13.8 KV</v>
      </c>
      <c r="DA59" s="74">
        <f>'Equipment Selection'!K52</f>
        <v>0</v>
      </c>
      <c r="DB59" s="74">
        <f>'Equipment Selection'!L52</f>
        <v>0</v>
      </c>
      <c r="DD59" s="77">
        <v>1010701002</v>
      </c>
      <c r="DE59" s="78">
        <f>'Equipment Selection'!L47</f>
        <v>0</v>
      </c>
      <c r="DF59" s="77" t="s">
        <v>94</v>
      </c>
      <c r="DG59" s="78" t="str">
        <f>"RMU,2LBS+1CB,O/D, 3WAY " &amp;DJ23&amp;DK23</f>
        <v xml:space="preserve">RMU,2LBS+1CB,O/D, 3WAY </v>
      </c>
      <c r="DH59" s="78"/>
      <c r="DI59" s="77">
        <v>1010701001</v>
      </c>
      <c r="DJ59" s="78">
        <f>'Equipment Selection'!K47</f>
        <v>0</v>
      </c>
      <c r="DK59" s="77" t="s">
        <v>94</v>
      </c>
      <c r="DL59" s="78" t="str">
        <f>"RMU,2LBS+1CB,O/D, 3WAY " &amp;DO23&amp;DP23</f>
        <v xml:space="preserve">RMU,2LBS+1CB,O/D, 3WAY </v>
      </c>
    </row>
    <row r="60" spans="1:116" ht="25.25" customHeight="1" thickTop="1" thickBot="1" x14ac:dyDescent="0.55000000000000004">
      <c r="A60" s="32"/>
      <c r="B60" s="10"/>
      <c r="C60" s="10"/>
      <c r="D60" s="11"/>
      <c r="E60" s="10"/>
      <c r="F60" s="10"/>
      <c r="G60" s="19"/>
      <c r="H60" s="19"/>
      <c r="I60" s="19"/>
      <c r="J60" s="19"/>
      <c r="K60" s="10"/>
      <c r="L60" s="10"/>
      <c r="M60" s="10"/>
      <c r="N60" s="10"/>
      <c r="O60" s="18"/>
      <c r="P60" s="18"/>
      <c r="Q60" s="21"/>
      <c r="R60" s="20"/>
      <c r="S60" s="16">
        <f t="shared" si="0"/>
        <v>0</v>
      </c>
      <c r="T60" s="11"/>
      <c r="AE60" s="38" t="s">
        <v>251</v>
      </c>
      <c r="AF60" s="31" t="s">
        <v>90</v>
      </c>
      <c r="AG60" s="35" t="s">
        <v>250</v>
      </c>
      <c r="AH60" s="39">
        <f>SUM(IF((N4:N1500="HDD")*(F4:F1500=3)+(N4:N1500="HDD")*(F4:F1500=4), D4:D1500))</f>
        <v>0</v>
      </c>
      <c r="AI60" s="39" t="s">
        <v>248</v>
      </c>
      <c r="AJ60" s="39">
        <v>2778</v>
      </c>
      <c r="AK60" s="36">
        <f t="shared" si="52"/>
        <v>0</v>
      </c>
      <c r="AR60" s="31"/>
      <c r="AS60" s="31">
        <f t="shared" si="1"/>
        <v>0</v>
      </c>
      <c r="AT60" s="31">
        <f t="shared" si="2"/>
        <v>0</v>
      </c>
      <c r="AU60" s="31">
        <f t="shared" si="3"/>
        <v>0</v>
      </c>
      <c r="AV60" s="31">
        <f t="shared" si="4"/>
        <v>0</v>
      </c>
      <c r="AW60" s="31">
        <f t="shared" si="5"/>
        <v>0</v>
      </c>
      <c r="AX60" s="31">
        <f t="shared" si="6"/>
        <v>0</v>
      </c>
      <c r="AY60" s="31">
        <f t="shared" si="7"/>
        <v>0</v>
      </c>
      <c r="AZ60" s="31">
        <f t="shared" si="8"/>
        <v>0</v>
      </c>
      <c r="BA60" s="31">
        <f t="shared" si="9"/>
        <v>0</v>
      </c>
      <c r="BB60" s="31">
        <f t="shared" si="41"/>
        <v>0</v>
      </c>
      <c r="BC60" s="31"/>
      <c r="BD60" s="31"/>
      <c r="BM60" s="8">
        <f t="shared" si="42"/>
        <v>0</v>
      </c>
      <c r="BN60" s="8">
        <f t="shared" si="10"/>
        <v>0</v>
      </c>
      <c r="BO60" s="8">
        <f t="shared" si="11"/>
        <v>0</v>
      </c>
      <c r="BQ60" s="8">
        <f t="shared" si="12"/>
        <v>0</v>
      </c>
      <c r="BR60" s="63">
        <f t="shared" si="13"/>
        <v>0</v>
      </c>
      <c r="BS60" s="63">
        <f t="shared" si="43"/>
        <v>0</v>
      </c>
      <c r="BT60" s="63">
        <f t="shared" si="14"/>
        <v>0</v>
      </c>
      <c r="BU60" s="63">
        <f t="shared" si="15"/>
        <v>0</v>
      </c>
      <c r="BV60" s="57">
        <f t="shared" si="16"/>
        <v>0</v>
      </c>
      <c r="BW60" s="57">
        <f t="shared" si="17"/>
        <v>0</v>
      </c>
      <c r="BX60" s="57">
        <f t="shared" si="44"/>
        <v>0</v>
      </c>
      <c r="BY60" s="57">
        <f t="shared" si="51"/>
        <v>0</v>
      </c>
      <c r="BZ60" s="8">
        <f t="shared" si="18"/>
        <v>0</v>
      </c>
      <c r="CA60" s="8">
        <f t="shared" si="19"/>
        <v>0</v>
      </c>
      <c r="CB60" s="8">
        <f t="shared" si="20"/>
        <v>0</v>
      </c>
      <c r="CC60" s="8">
        <f t="shared" si="21"/>
        <v>0</v>
      </c>
      <c r="CD60" s="8">
        <f t="shared" si="22"/>
        <v>0</v>
      </c>
      <c r="CE60" s="8">
        <f t="shared" si="23"/>
        <v>0</v>
      </c>
      <c r="CF60" s="8">
        <f t="shared" si="24"/>
        <v>0</v>
      </c>
      <c r="CG60" s="8">
        <f t="shared" si="25"/>
        <v>0</v>
      </c>
      <c r="CH60" s="8">
        <f t="shared" si="26"/>
        <v>0</v>
      </c>
      <c r="CI60" s="8">
        <f t="shared" si="27"/>
        <v>0</v>
      </c>
      <c r="CJ60" s="8">
        <f t="shared" si="28"/>
        <v>0</v>
      </c>
      <c r="CK60" s="8">
        <f t="shared" si="29"/>
        <v>0</v>
      </c>
      <c r="CL60" s="8">
        <f t="shared" si="30"/>
        <v>0</v>
      </c>
      <c r="CM60" s="8">
        <f t="shared" si="31"/>
        <v>0</v>
      </c>
      <c r="CN60" s="8">
        <f t="shared" si="32"/>
        <v>0</v>
      </c>
      <c r="CO60" s="8">
        <f t="shared" si="33"/>
        <v>0</v>
      </c>
      <c r="CP60" s="8">
        <f t="shared" si="34"/>
        <v>0</v>
      </c>
      <c r="CQ60" s="8">
        <f t="shared" si="35"/>
        <v>0</v>
      </c>
      <c r="CR60" s="8">
        <f t="shared" si="36"/>
        <v>0</v>
      </c>
      <c r="CS60" s="8">
        <f t="shared" si="37"/>
        <v>0</v>
      </c>
      <c r="CT60" s="8">
        <f t="shared" si="48"/>
        <v>0</v>
      </c>
      <c r="CU60" s="8">
        <f t="shared" si="49"/>
        <v>0</v>
      </c>
      <c r="CV60" s="8">
        <f t="shared" si="50"/>
        <v>0</v>
      </c>
      <c r="CW60" s="75">
        <v>1010601002</v>
      </c>
      <c r="CX60" s="75">
        <v>1010601006</v>
      </c>
      <c r="CY60" s="77" t="s">
        <v>94</v>
      </c>
      <c r="CZ60" s="74" t="str">
        <f>"500 KVA UNIT MCB  230/400V "&amp;voltage</f>
        <v>500 KVA UNIT MCB  230/400V 13.8 KV</v>
      </c>
      <c r="DA60" s="74">
        <f>'Equipment Selection'!K53</f>
        <v>0</v>
      </c>
      <c r="DB60" s="74">
        <f>'Equipment Selection'!L53</f>
        <v>0</v>
      </c>
      <c r="DD60" s="77">
        <v>1010702002</v>
      </c>
      <c r="DE60" s="78">
        <f>'Equipment Selection'!L48</f>
        <v>0</v>
      </c>
      <c r="DF60" s="77" t="s">
        <v>94</v>
      </c>
      <c r="DG60" s="78" t="str">
        <f>"RMU,2LBS+1CB,O/D, 4WAY " &amp;DJ24&amp;DK24</f>
        <v xml:space="preserve">RMU,2LBS+1CB,O/D, 4WAY </v>
      </c>
      <c r="DH60" s="78"/>
      <c r="DI60" s="77">
        <v>1010702001</v>
      </c>
      <c r="DJ60" s="78">
        <f>'Equipment Selection'!K48</f>
        <v>0</v>
      </c>
      <c r="DK60" s="77" t="s">
        <v>94</v>
      </c>
      <c r="DL60" s="78" t="str">
        <f>"RMU,2LBS+1CB,O/D, 4WAY " &amp;DO24&amp;DP24</f>
        <v xml:space="preserve">RMU,2LBS+1CB,O/D, 4WAY </v>
      </c>
    </row>
    <row r="61" spans="1:116" ht="25.25" customHeight="1" thickTop="1" thickBot="1" x14ac:dyDescent="0.55000000000000004">
      <c r="A61" s="32"/>
      <c r="B61" s="10"/>
      <c r="C61" s="10"/>
      <c r="D61" s="11"/>
      <c r="E61" s="10"/>
      <c r="F61" s="10"/>
      <c r="G61" s="19"/>
      <c r="H61" s="19"/>
      <c r="I61" s="19"/>
      <c r="J61" s="19"/>
      <c r="K61" s="10"/>
      <c r="L61" s="10"/>
      <c r="M61" s="10"/>
      <c r="N61" s="10"/>
      <c r="O61" s="18"/>
      <c r="P61" s="18"/>
      <c r="Q61" s="21"/>
      <c r="R61" s="20"/>
      <c r="S61" s="16">
        <f t="shared" si="0"/>
        <v>0</v>
      </c>
      <c r="T61" s="11"/>
      <c r="AE61" s="38" t="s">
        <v>253</v>
      </c>
      <c r="AF61" s="31" t="s">
        <v>90</v>
      </c>
      <c r="AG61" s="35" t="s">
        <v>252</v>
      </c>
      <c r="AH61" s="39">
        <f>SUM(IF((N4:N1500="HDD")*(F4:F1500=5)+(N4:N1500="HDD")*(F4:F1500=6), D4:D1500))</f>
        <v>0</v>
      </c>
      <c r="AI61" s="39" t="s">
        <v>249</v>
      </c>
      <c r="AJ61" s="39">
        <v>3567</v>
      </c>
      <c r="AK61" s="36">
        <f t="shared" si="52"/>
        <v>0</v>
      </c>
      <c r="AR61" s="31"/>
      <c r="AS61" s="31">
        <f t="shared" si="1"/>
        <v>0</v>
      </c>
      <c r="AT61" s="31">
        <f t="shared" si="2"/>
        <v>0</v>
      </c>
      <c r="AU61" s="31">
        <f t="shared" si="3"/>
        <v>0</v>
      </c>
      <c r="AV61" s="31">
        <f t="shared" si="4"/>
        <v>0</v>
      </c>
      <c r="AW61" s="31">
        <f t="shared" si="5"/>
        <v>0</v>
      </c>
      <c r="AX61" s="31">
        <f t="shared" si="6"/>
        <v>0</v>
      </c>
      <c r="AY61" s="31">
        <f t="shared" si="7"/>
        <v>0</v>
      </c>
      <c r="AZ61" s="31">
        <f t="shared" si="8"/>
        <v>0</v>
      </c>
      <c r="BA61" s="31">
        <f t="shared" si="9"/>
        <v>0</v>
      </c>
      <c r="BB61" s="31">
        <f t="shared" si="41"/>
        <v>0</v>
      </c>
      <c r="BC61" s="31"/>
      <c r="BD61" s="31"/>
      <c r="BM61" s="8">
        <f t="shared" si="42"/>
        <v>0</v>
      </c>
      <c r="BN61" s="8">
        <f t="shared" si="10"/>
        <v>0</v>
      </c>
      <c r="BO61" s="8">
        <f t="shared" si="11"/>
        <v>0</v>
      </c>
      <c r="BQ61" s="8">
        <f t="shared" si="12"/>
        <v>0</v>
      </c>
      <c r="BR61" s="63">
        <f t="shared" si="13"/>
        <v>0</v>
      </c>
      <c r="BS61" s="63">
        <f t="shared" si="43"/>
        <v>0</v>
      </c>
      <c r="BT61" s="63">
        <f t="shared" si="14"/>
        <v>0</v>
      </c>
      <c r="BU61" s="63">
        <f t="shared" si="15"/>
        <v>0</v>
      </c>
      <c r="BV61" s="57">
        <f t="shared" si="16"/>
        <v>0</v>
      </c>
      <c r="BW61" s="57">
        <f t="shared" si="17"/>
        <v>0</v>
      </c>
      <c r="BX61" s="57">
        <f t="shared" si="44"/>
        <v>0</v>
      </c>
      <c r="BY61" s="57">
        <f t="shared" si="51"/>
        <v>0</v>
      </c>
      <c r="BZ61" s="8">
        <f t="shared" si="18"/>
        <v>0</v>
      </c>
      <c r="CA61" s="8">
        <f t="shared" si="19"/>
        <v>0</v>
      </c>
      <c r="CB61" s="8">
        <f t="shared" si="20"/>
        <v>0</v>
      </c>
      <c r="CC61" s="8">
        <f t="shared" si="21"/>
        <v>0</v>
      </c>
      <c r="CD61" s="8">
        <f t="shared" si="22"/>
        <v>0</v>
      </c>
      <c r="CE61" s="8">
        <f t="shared" si="23"/>
        <v>0</v>
      </c>
      <c r="CF61" s="8">
        <f t="shared" si="24"/>
        <v>0</v>
      </c>
      <c r="CG61" s="8">
        <f t="shared" si="25"/>
        <v>0</v>
      </c>
      <c r="CH61" s="8">
        <f t="shared" si="26"/>
        <v>0</v>
      </c>
      <c r="CI61" s="8">
        <f t="shared" si="27"/>
        <v>0</v>
      </c>
      <c r="CJ61" s="8">
        <f t="shared" si="28"/>
        <v>0</v>
      </c>
      <c r="CK61" s="8">
        <f t="shared" si="29"/>
        <v>0</v>
      </c>
      <c r="CL61" s="8">
        <f t="shared" si="30"/>
        <v>0</v>
      </c>
      <c r="CM61" s="8">
        <f t="shared" si="31"/>
        <v>0</v>
      </c>
      <c r="CN61" s="8">
        <f t="shared" si="32"/>
        <v>0</v>
      </c>
      <c r="CO61" s="8">
        <f t="shared" si="33"/>
        <v>0</v>
      </c>
      <c r="CP61" s="8">
        <f t="shared" si="34"/>
        <v>0</v>
      </c>
      <c r="CQ61" s="8">
        <f t="shared" si="35"/>
        <v>0</v>
      </c>
      <c r="CR61" s="8">
        <f t="shared" si="36"/>
        <v>0</v>
      </c>
      <c r="CS61" s="8">
        <f t="shared" si="37"/>
        <v>0</v>
      </c>
      <c r="CT61" s="8">
        <f t="shared" si="48"/>
        <v>0</v>
      </c>
      <c r="CU61" s="8">
        <f t="shared" si="49"/>
        <v>0</v>
      </c>
      <c r="CV61" s="8">
        <f t="shared" si="50"/>
        <v>0</v>
      </c>
      <c r="CW61" s="75">
        <v>1010601003</v>
      </c>
      <c r="CX61" s="75">
        <v>1010601007</v>
      </c>
      <c r="CY61" s="77" t="s">
        <v>94</v>
      </c>
      <c r="CZ61" s="74" t="str">
        <f>"500 KVA UNIT MULTI CB DUAL "&amp;voltage</f>
        <v>500 KVA UNIT MULTI CB DUAL 13.8 KV</v>
      </c>
      <c r="DA61" s="74">
        <f>'Equipment Selection'!K54</f>
        <v>0</v>
      </c>
      <c r="DB61" s="74">
        <f>'Equipment Selection'!L54</f>
        <v>0</v>
      </c>
      <c r="DD61" s="77">
        <v>1010801003</v>
      </c>
      <c r="DE61" s="78">
        <f>'Equipment Selection'!L49</f>
        <v>0</v>
      </c>
      <c r="DF61" s="77" t="s">
        <v>94</v>
      </c>
      <c r="DG61" s="78" t="str">
        <f>"MRMU,2LBS+1CB,ID, 3WAY " &amp;DJ25&amp;DK25</f>
        <v xml:space="preserve">MRMU,2LBS+1CB,ID, 3WAY </v>
      </c>
      <c r="DH61" s="78"/>
      <c r="DI61" s="77">
        <v>1010801001</v>
      </c>
      <c r="DJ61" s="78">
        <f>'Equipment Selection'!K49</f>
        <v>0</v>
      </c>
      <c r="DK61" s="77" t="s">
        <v>94</v>
      </c>
      <c r="DL61" s="78" t="str">
        <f>"MRMU,2LBS+1CB,ID, 3WAY " &amp;DO25&amp;DP25</f>
        <v xml:space="preserve">MRMU,2LBS+1CB,ID, 3WAY </v>
      </c>
    </row>
    <row r="62" spans="1:116" ht="25.25" customHeight="1" thickTop="1" thickBot="1" x14ac:dyDescent="0.55000000000000004">
      <c r="A62" s="32"/>
      <c r="B62" s="10"/>
      <c r="C62" s="10"/>
      <c r="D62" s="11"/>
      <c r="E62" s="10"/>
      <c r="F62" s="10"/>
      <c r="G62" s="19"/>
      <c r="H62" s="19"/>
      <c r="I62" s="19"/>
      <c r="J62" s="19"/>
      <c r="K62" s="10"/>
      <c r="L62" s="10"/>
      <c r="M62" s="10"/>
      <c r="N62" s="10"/>
      <c r="O62" s="18"/>
      <c r="P62" s="18"/>
      <c r="Q62" s="21"/>
      <c r="R62" s="20"/>
      <c r="S62" s="16">
        <f t="shared" si="0"/>
        <v>0</v>
      </c>
      <c r="T62" s="11"/>
      <c r="AE62" s="38" t="s">
        <v>531</v>
      </c>
      <c r="AF62" s="31" t="s">
        <v>90</v>
      </c>
      <c r="AG62" s="35" t="s">
        <v>529</v>
      </c>
      <c r="AH62" s="39">
        <f>SUM(IF((N4:N1500="HDD")*(F4:F1500=7)+(N4:N1500="HDD")*(F4:F1500=8), D4:D1500))</f>
        <v>0</v>
      </c>
      <c r="AI62" s="39" t="s">
        <v>533</v>
      </c>
      <c r="AJ62" s="39">
        <v>4302</v>
      </c>
      <c r="AK62" s="36">
        <f t="shared" si="52"/>
        <v>0</v>
      </c>
      <c r="AR62" s="31"/>
      <c r="AS62" s="31">
        <f t="shared" si="1"/>
        <v>0</v>
      </c>
      <c r="AT62" s="31">
        <f t="shared" si="2"/>
        <v>0</v>
      </c>
      <c r="AU62" s="31">
        <f t="shared" si="3"/>
        <v>0</v>
      </c>
      <c r="AV62" s="31">
        <f t="shared" si="4"/>
        <v>0</v>
      </c>
      <c r="AW62" s="31">
        <f t="shared" si="5"/>
        <v>0</v>
      </c>
      <c r="AX62" s="31">
        <f t="shared" si="6"/>
        <v>0</v>
      </c>
      <c r="AY62" s="31">
        <f t="shared" si="7"/>
        <v>0</v>
      </c>
      <c r="AZ62" s="31">
        <f t="shared" si="8"/>
        <v>0</v>
      </c>
      <c r="BA62" s="31">
        <f t="shared" si="9"/>
        <v>0</v>
      </c>
      <c r="BB62" s="31">
        <f t="shared" si="41"/>
        <v>0</v>
      </c>
      <c r="BC62" s="31"/>
      <c r="BD62" s="31"/>
      <c r="BM62" s="8">
        <f t="shared" si="42"/>
        <v>0</v>
      </c>
      <c r="BN62" s="8">
        <f t="shared" si="10"/>
        <v>0</v>
      </c>
      <c r="BO62" s="8">
        <f t="shared" si="11"/>
        <v>0</v>
      </c>
      <c r="BQ62" s="8">
        <f t="shared" si="12"/>
        <v>0</v>
      </c>
      <c r="BR62" s="63">
        <f t="shared" si="13"/>
        <v>0</v>
      </c>
      <c r="BS62" s="63">
        <f t="shared" si="43"/>
        <v>0</v>
      </c>
      <c r="BT62" s="63">
        <f t="shared" si="14"/>
        <v>0</v>
      </c>
      <c r="BU62" s="63">
        <f t="shared" si="15"/>
        <v>0</v>
      </c>
      <c r="BV62" s="57">
        <f t="shared" si="16"/>
        <v>0</v>
      </c>
      <c r="BW62" s="57">
        <f t="shared" si="17"/>
        <v>0</v>
      </c>
      <c r="BX62" s="57">
        <f t="shared" si="44"/>
        <v>0</v>
      </c>
      <c r="BY62" s="57">
        <f t="shared" si="51"/>
        <v>0</v>
      </c>
      <c r="BZ62" s="8">
        <f t="shared" si="18"/>
        <v>0</v>
      </c>
      <c r="CA62" s="8">
        <f t="shared" si="19"/>
        <v>0</v>
      </c>
      <c r="CB62" s="8">
        <f t="shared" si="20"/>
        <v>0</v>
      </c>
      <c r="CC62" s="8">
        <f t="shared" si="21"/>
        <v>0</v>
      </c>
      <c r="CD62" s="8">
        <f t="shared" si="22"/>
        <v>0</v>
      </c>
      <c r="CE62" s="8">
        <f t="shared" si="23"/>
        <v>0</v>
      </c>
      <c r="CF62" s="8">
        <f t="shared" si="24"/>
        <v>0</v>
      </c>
      <c r="CG62" s="8">
        <f t="shared" si="25"/>
        <v>0</v>
      </c>
      <c r="CH62" s="8">
        <f t="shared" si="26"/>
        <v>0</v>
      </c>
      <c r="CI62" s="8">
        <f t="shared" si="27"/>
        <v>0</v>
      </c>
      <c r="CJ62" s="8">
        <f t="shared" si="28"/>
        <v>0</v>
      </c>
      <c r="CK62" s="8">
        <f t="shared" si="29"/>
        <v>0</v>
      </c>
      <c r="CL62" s="8">
        <f t="shared" si="30"/>
        <v>0</v>
      </c>
      <c r="CM62" s="8">
        <f t="shared" si="31"/>
        <v>0</v>
      </c>
      <c r="CN62" s="8">
        <f t="shared" si="32"/>
        <v>0</v>
      </c>
      <c r="CO62" s="8">
        <f t="shared" si="33"/>
        <v>0</v>
      </c>
      <c r="CP62" s="8">
        <f t="shared" si="34"/>
        <v>0</v>
      </c>
      <c r="CQ62" s="8">
        <f t="shared" si="35"/>
        <v>0</v>
      </c>
      <c r="CR62" s="8">
        <f t="shared" si="36"/>
        <v>0</v>
      </c>
      <c r="CS62" s="8">
        <f t="shared" si="37"/>
        <v>0</v>
      </c>
      <c r="CT62" s="8">
        <f t="shared" si="48"/>
        <v>0</v>
      </c>
      <c r="CU62" s="8">
        <f t="shared" si="49"/>
        <v>0</v>
      </c>
      <c r="CV62" s="8">
        <f t="shared" si="50"/>
        <v>0</v>
      </c>
      <c r="CW62" s="75">
        <v>1010601004</v>
      </c>
      <c r="CX62" s="75">
        <v>1010601008</v>
      </c>
      <c r="CY62" s="77" t="s">
        <v>94</v>
      </c>
      <c r="CZ62" s="74" t="str">
        <f>"500 KVA UNIT MCB DUAL "&amp;voltage</f>
        <v>500 KVA UNIT MCB DUAL 13.8 KV</v>
      </c>
      <c r="DA62" s="74">
        <f>'Equipment Selection'!K55</f>
        <v>0</v>
      </c>
      <c r="DB62" s="74">
        <f>'Equipment Selection'!L55</f>
        <v>0</v>
      </c>
      <c r="DD62" s="77">
        <v>1010801004</v>
      </c>
      <c r="DE62" s="78">
        <f>'Equipment Selection'!L50</f>
        <v>0</v>
      </c>
      <c r="DF62" s="77" t="s">
        <v>94</v>
      </c>
      <c r="DG62" s="78" t="str">
        <f>"MRMU,2LBS+1CB,ID, 3WAY " &amp;DJ26&amp;DK26</f>
        <v xml:space="preserve">MRMU,2LBS+1CB,ID, 3WAY </v>
      </c>
      <c r="DH62" s="78"/>
      <c r="DI62" s="77">
        <v>1010801002</v>
      </c>
      <c r="DJ62" s="78">
        <f>'Equipment Selection'!K50</f>
        <v>0</v>
      </c>
      <c r="DK62" s="77" t="s">
        <v>94</v>
      </c>
      <c r="DL62" s="78" t="str">
        <f>"MRMU,2LBS+1CB,ID, 3WAY " &amp;DO26&amp;DP26</f>
        <v xml:space="preserve">MRMU,2LBS+1CB,ID, 3WAY </v>
      </c>
    </row>
    <row r="63" spans="1:116" ht="25.25" customHeight="1" thickTop="1" thickBot="1" x14ac:dyDescent="0.55000000000000004">
      <c r="A63" s="32"/>
      <c r="B63" s="10"/>
      <c r="C63" s="10"/>
      <c r="D63" s="11"/>
      <c r="E63" s="10"/>
      <c r="F63" s="10"/>
      <c r="G63" s="19"/>
      <c r="H63" s="19"/>
      <c r="I63" s="19"/>
      <c r="J63" s="19"/>
      <c r="K63" s="10"/>
      <c r="L63" s="10"/>
      <c r="M63" s="10"/>
      <c r="N63" s="10"/>
      <c r="O63" s="18"/>
      <c r="P63" s="18"/>
      <c r="Q63" s="21"/>
      <c r="R63" s="20"/>
      <c r="S63" s="16">
        <f t="shared" si="0"/>
        <v>0</v>
      </c>
      <c r="T63" s="11"/>
      <c r="AE63" s="38" t="s">
        <v>532</v>
      </c>
      <c r="AF63" s="31" t="s">
        <v>90</v>
      </c>
      <c r="AG63" s="35" t="s">
        <v>530</v>
      </c>
      <c r="AH63" s="39">
        <f>SUM(IF((N4:N1500="HDD")*(F4:F1500=9)+(N4:N1500="HDD")*(F4:F1500=10), D4:D1500))</f>
        <v>0</v>
      </c>
      <c r="AI63" s="39" t="s">
        <v>534</v>
      </c>
      <c r="AJ63" s="39">
        <v>5051</v>
      </c>
      <c r="AK63" s="36">
        <f t="shared" si="52"/>
        <v>0</v>
      </c>
      <c r="AL63" s="31">
        <f>MOD(11,10)</f>
        <v>1</v>
      </c>
      <c r="AR63" s="31"/>
      <c r="AS63" s="31">
        <f t="shared" si="1"/>
        <v>0</v>
      </c>
      <c r="AT63" s="31">
        <f t="shared" si="2"/>
        <v>0</v>
      </c>
      <c r="AU63" s="31">
        <f t="shared" si="3"/>
        <v>0</v>
      </c>
      <c r="AV63" s="31">
        <f t="shared" si="4"/>
        <v>0</v>
      </c>
      <c r="AW63" s="31">
        <f t="shared" si="5"/>
        <v>0</v>
      </c>
      <c r="AX63" s="31">
        <f t="shared" si="6"/>
        <v>0</v>
      </c>
      <c r="AY63" s="31">
        <f t="shared" si="7"/>
        <v>0</v>
      </c>
      <c r="AZ63" s="31">
        <f t="shared" si="8"/>
        <v>0</v>
      </c>
      <c r="BA63" s="31">
        <f t="shared" si="9"/>
        <v>0</v>
      </c>
      <c r="BB63" s="31">
        <f t="shared" si="41"/>
        <v>0</v>
      </c>
      <c r="BC63" s="31"/>
      <c r="BD63" s="31"/>
      <c r="BM63" s="8">
        <f t="shared" si="42"/>
        <v>0</v>
      </c>
      <c r="BN63" s="8">
        <f t="shared" si="10"/>
        <v>0</v>
      </c>
      <c r="BO63" s="8">
        <f t="shared" si="11"/>
        <v>0</v>
      </c>
      <c r="BQ63" s="8">
        <f t="shared" si="12"/>
        <v>0</v>
      </c>
      <c r="BR63" s="63">
        <f t="shared" si="13"/>
        <v>0</v>
      </c>
      <c r="BS63" s="63">
        <f t="shared" si="43"/>
        <v>0</v>
      </c>
      <c r="BT63" s="63">
        <f t="shared" si="14"/>
        <v>0</v>
      </c>
      <c r="BU63" s="63">
        <f t="shared" si="15"/>
        <v>0</v>
      </c>
      <c r="BV63" s="57">
        <f t="shared" si="16"/>
        <v>0</v>
      </c>
      <c r="BW63" s="57">
        <f t="shared" si="17"/>
        <v>0</v>
      </c>
      <c r="BX63" s="57">
        <f t="shared" si="44"/>
        <v>0</v>
      </c>
      <c r="BY63" s="57">
        <f t="shared" si="51"/>
        <v>0</v>
      </c>
      <c r="BZ63" s="8">
        <f t="shared" si="18"/>
        <v>0</v>
      </c>
      <c r="CA63" s="8">
        <f t="shared" si="19"/>
        <v>0</v>
      </c>
      <c r="CB63" s="8">
        <f t="shared" si="20"/>
        <v>0</v>
      </c>
      <c r="CC63" s="8">
        <f t="shared" si="21"/>
        <v>0</v>
      </c>
      <c r="CD63" s="8">
        <f t="shared" si="22"/>
        <v>0</v>
      </c>
      <c r="CE63" s="8">
        <f t="shared" si="23"/>
        <v>0</v>
      </c>
      <c r="CF63" s="8">
        <f t="shared" si="24"/>
        <v>0</v>
      </c>
      <c r="CG63" s="8">
        <f t="shared" si="25"/>
        <v>0</v>
      </c>
      <c r="CH63" s="8">
        <f t="shared" si="26"/>
        <v>0</v>
      </c>
      <c r="CI63" s="8">
        <f t="shared" si="27"/>
        <v>0</v>
      </c>
      <c r="CJ63" s="8">
        <f t="shared" si="28"/>
        <v>0</v>
      </c>
      <c r="CK63" s="8">
        <f t="shared" si="29"/>
        <v>0</v>
      </c>
      <c r="CL63" s="8">
        <f t="shared" si="30"/>
        <v>0</v>
      </c>
      <c r="CM63" s="8">
        <f t="shared" si="31"/>
        <v>0</v>
      </c>
      <c r="CN63" s="8">
        <f t="shared" si="32"/>
        <v>0</v>
      </c>
      <c r="CO63" s="8">
        <f t="shared" si="33"/>
        <v>0</v>
      </c>
      <c r="CP63" s="8">
        <f t="shared" si="34"/>
        <v>0</v>
      </c>
      <c r="CQ63" s="8">
        <f t="shared" si="35"/>
        <v>0</v>
      </c>
      <c r="CR63" s="8">
        <f t="shared" si="36"/>
        <v>0</v>
      </c>
      <c r="CS63" s="8">
        <f t="shared" si="37"/>
        <v>0</v>
      </c>
      <c r="CT63" s="8">
        <f t="shared" si="48"/>
        <v>0</v>
      </c>
      <c r="CU63" s="8">
        <f t="shared" si="49"/>
        <v>0</v>
      </c>
      <c r="CV63" s="8">
        <f t="shared" si="50"/>
        <v>0</v>
      </c>
      <c r="CW63" s="75">
        <v>1010602001</v>
      </c>
      <c r="CX63" s="75">
        <v>1010602005</v>
      </c>
      <c r="CY63" s="77" t="s">
        <v>94</v>
      </c>
      <c r="CZ63" s="74" t="str">
        <f>"1000 KVA UNIT MULTI CB 230/400V "&amp;voltage</f>
        <v>1000 KVA UNIT MULTI CB 230/400V 13.8 KV</v>
      </c>
      <c r="DA63" s="74">
        <f>'Equipment Selection'!K56</f>
        <v>0</v>
      </c>
      <c r="DB63" s="74">
        <f>'Equipment Selection'!L56</f>
        <v>0</v>
      </c>
      <c r="DD63" s="77">
        <v>1010802002</v>
      </c>
      <c r="DE63" s="78">
        <f>'Equipment Selection'!L51</f>
        <v>0</v>
      </c>
      <c r="DF63" s="77" t="s">
        <v>94</v>
      </c>
      <c r="DG63" s="78" t="str">
        <f>"MRMU,3LBS+1CB,ID, 4WAY " &amp;DJ27&amp;DK27</f>
        <v xml:space="preserve">MRMU,3LBS+1CB,ID, 4WAY </v>
      </c>
      <c r="DH63" s="78"/>
      <c r="DI63" s="77">
        <v>1010802001</v>
      </c>
      <c r="DJ63" s="78">
        <f>'Equipment Selection'!K51</f>
        <v>0</v>
      </c>
      <c r="DK63" s="77" t="s">
        <v>94</v>
      </c>
      <c r="DL63" s="78" t="str">
        <f>"MRMU,3LBS+1CB,ID, 4WAY " &amp;DO27&amp;DP27</f>
        <v xml:space="preserve">MRMU,3LBS+1CB,ID, 4WAY </v>
      </c>
    </row>
    <row r="64" spans="1:116" ht="25.25" customHeight="1" thickTop="1" thickBot="1" x14ac:dyDescent="0.55000000000000004">
      <c r="A64" s="32"/>
      <c r="B64" s="10"/>
      <c r="C64" s="10"/>
      <c r="D64" s="11"/>
      <c r="E64" s="10"/>
      <c r="F64" s="10"/>
      <c r="G64" s="19"/>
      <c r="H64" s="19"/>
      <c r="I64" s="19"/>
      <c r="J64" s="19"/>
      <c r="K64" s="10"/>
      <c r="L64" s="10"/>
      <c r="M64" s="10"/>
      <c r="N64" s="10"/>
      <c r="O64" s="18"/>
      <c r="P64" s="18"/>
      <c r="Q64" s="21"/>
      <c r="R64" s="20"/>
      <c r="S64" s="16">
        <f t="shared" si="0"/>
        <v>0</v>
      </c>
      <c r="T64" s="11"/>
      <c r="AE64" s="38" t="s">
        <v>258</v>
      </c>
      <c r="AF64" s="31" t="s">
        <v>90</v>
      </c>
      <c r="AG64" s="35" t="s">
        <v>259</v>
      </c>
      <c r="AH64" s="39">
        <f>(SUMIF(B4:B1500,"pole",F4:F1500)+SUMIF(B4:B1500,"pole",G4:G1500)+SUMIF(C4:C1500,"pole",F4:F1500)+SUMIF(C4:C1500,"pole",G4:G1500))*10</f>
        <v>0</v>
      </c>
      <c r="AI64" s="39" t="s">
        <v>260</v>
      </c>
      <c r="AJ64" s="39">
        <v>48</v>
      </c>
      <c r="AK64" s="36">
        <f t="shared" si="52"/>
        <v>0</v>
      </c>
      <c r="AR64" s="31"/>
      <c r="AS64" s="31">
        <f t="shared" si="1"/>
        <v>0</v>
      </c>
      <c r="AT64" s="31">
        <f t="shared" si="2"/>
        <v>0</v>
      </c>
      <c r="AU64" s="31">
        <f t="shared" si="3"/>
        <v>0</v>
      </c>
      <c r="AV64" s="31">
        <f t="shared" si="4"/>
        <v>0</v>
      </c>
      <c r="AW64" s="31">
        <f t="shared" si="5"/>
        <v>0</v>
      </c>
      <c r="AX64" s="31">
        <f t="shared" si="6"/>
        <v>0</v>
      </c>
      <c r="AY64" s="31">
        <f t="shared" si="7"/>
        <v>0</v>
      </c>
      <c r="AZ64" s="31">
        <f t="shared" si="8"/>
        <v>0</v>
      </c>
      <c r="BA64" s="31">
        <f t="shared" si="9"/>
        <v>0</v>
      </c>
      <c r="BB64" s="31">
        <f t="shared" si="41"/>
        <v>0</v>
      </c>
      <c r="BC64" s="31"/>
      <c r="BD64" s="31"/>
      <c r="BM64" s="8">
        <f t="shared" si="42"/>
        <v>0</v>
      </c>
      <c r="BN64" s="8">
        <f t="shared" si="10"/>
        <v>0</v>
      </c>
      <c r="BO64" s="8">
        <f t="shared" si="11"/>
        <v>0</v>
      </c>
      <c r="BQ64" s="8">
        <f t="shared" si="12"/>
        <v>0</v>
      </c>
      <c r="BR64" s="63">
        <f t="shared" si="13"/>
        <v>0</v>
      </c>
      <c r="BS64" s="63">
        <f t="shared" si="43"/>
        <v>0</v>
      </c>
      <c r="BT64" s="63">
        <f t="shared" si="14"/>
        <v>0</v>
      </c>
      <c r="BU64" s="63">
        <f t="shared" si="15"/>
        <v>0</v>
      </c>
      <c r="BV64" s="57">
        <f t="shared" si="16"/>
        <v>0</v>
      </c>
      <c r="BW64" s="57">
        <f t="shared" si="17"/>
        <v>0</v>
      </c>
      <c r="BX64" s="57">
        <f t="shared" si="44"/>
        <v>0</v>
      </c>
      <c r="BY64" s="57">
        <f t="shared" si="51"/>
        <v>0</v>
      </c>
      <c r="BZ64" s="8">
        <f t="shared" si="18"/>
        <v>0</v>
      </c>
      <c r="CA64" s="8">
        <f t="shared" si="19"/>
        <v>0</v>
      </c>
      <c r="CB64" s="8">
        <f t="shared" si="20"/>
        <v>0</v>
      </c>
      <c r="CC64" s="8">
        <f t="shared" si="21"/>
        <v>0</v>
      </c>
      <c r="CD64" s="8">
        <f t="shared" si="22"/>
        <v>0</v>
      </c>
      <c r="CE64" s="8">
        <f t="shared" si="23"/>
        <v>0</v>
      </c>
      <c r="CF64" s="8">
        <f t="shared" si="24"/>
        <v>0</v>
      </c>
      <c r="CG64" s="8">
        <f t="shared" si="25"/>
        <v>0</v>
      </c>
      <c r="CH64" s="8">
        <f t="shared" si="26"/>
        <v>0</v>
      </c>
      <c r="CI64" s="8">
        <f t="shared" si="27"/>
        <v>0</v>
      </c>
      <c r="CJ64" s="8">
        <f t="shared" si="28"/>
        <v>0</v>
      </c>
      <c r="CK64" s="8">
        <f t="shared" si="29"/>
        <v>0</v>
      </c>
      <c r="CL64" s="8">
        <f t="shared" si="30"/>
        <v>0</v>
      </c>
      <c r="CM64" s="8">
        <f t="shared" si="31"/>
        <v>0</v>
      </c>
      <c r="CN64" s="8">
        <f t="shared" si="32"/>
        <v>0</v>
      </c>
      <c r="CO64" s="8">
        <f t="shared" si="33"/>
        <v>0</v>
      </c>
      <c r="CP64" s="8">
        <f t="shared" si="34"/>
        <v>0</v>
      </c>
      <c r="CQ64" s="8">
        <f t="shared" si="35"/>
        <v>0</v>
      </c>
      <c r="CR64" s="8">
        <f t="shared" si="36"/>
        <v>0</v>
      </c>
      <c r="CS64" s="8">
        <f t="shared" si="37"/>
        <v>0</v>
      </c>
      <c r="CT64" s="8">
        <f t="shared" si="48"/>
        <v>0</v>
      </c>
      <c r="CU64" s="8">
        <f t="shared" si="49"/>
        <v>0</v>
      </c>
      <c r="CV64" s="8">
        <f t="shared" si="50"/>
        <v>0</v>
      </c>
      <c r="CW64" s="75">
        <v>1010602002</v>
      </c>
      <c r="CX64" s="75">
        <v>1010602006</v>
      </c>
      <c r="CY64" s="77" t="s">
        <v>94</v>
      </c>
      <c r="CZ64" s="74" t="str">
        <f>"1000 KVA UNIT MCB 230/400V "&amp;voltage</f>
        <v>1000 KVA UNIT MCB 230/400V 13.8 KV</v>
      </c>
      <c r="DA64" s="74">
        <f>'Equipment Selection'!K57</f>
        <v>0</v>
      </c>
      <c r="DB64" s="74">
        <f>'Equipment Selection'!L57</f>
        <v>0</v>
      </c>
      <c r="DD64" s="75">
        <v>1010601005</v>
      </c>
      <c r="DE64" s="74">
        <f>'Equipment Selection'!L52</f>
        <v>0</v>
      </c>
      <c r="DF64" s="77" t="s">
        <v>94</v>
      </c>
      <c r="DG64" s="74" t="str">
        <f>"500 KVA UNIT MULTI CB 230/400V "&amp;voltage</f>
        <v>500 KVA UNIT MULTI CB 230/400V 13.8 KV</v>
      </c>
      <c r="DH64" s="74"/>
      <c r="DI64" s="75">
        <v>1010601001</v>
      </c>
      <c r="DJ64" s="74">
        <f>'Equipment Selection'!K52</f>
        <v>0</v>
      </c>
      <c r="DK64" s="77" t="s">
        <v>94</v>
      </c>
      <c r="DL64" s="74" t="str">
        <f>"500 KVA UNIT MULTI CB 230/400V "&amp;voltage</f>
        <v>500 KVA UNIT MULTI CB 230/400V 13.8 KV</v>
      </c>
    </row>
    <row r="65" spans="1:116" ht="25.25" customHeight="1" thickTop="1" thickBot="1" x14ac:dyDescent="0.55000000000000004">
      <c r="A65" s="32"/>
      <c r="B65" s="10"/>
      <c r="C65" s="10"/>
      <c r="D65" s="11"/>
      <c r="E65" s="10"/>
      <c r="F65" s="10"/>
      <c r="G65" s="19"/>
      <c r="H65" s="19"/>
      <c r="I65" s="19"/>
      <c r="J65" s="19"/>
      <c r="K65" s="10"/>
      <c r="L65" s="10"/>
      <c r="M65" s="10"/>
      <c r="N65" s="10"/>
      <c r="O65" s="18"/>
      <c r="P65" s="18"/>
      <c r="Q65" s="21"/>
      <c r="R65" s="20"/>
      <c r="S65" s="16">
        <f t="shared" si="0"/>
        <v>0</v>
      </c>
      <c r="T65" s="11"/>
      <c r="AE65" s="38" t="s">
        <v>268</v>
      </c>
      <c r="AF65" s="31" t="s">
        <v>94</v>
      </c>
      <c r="AG65" s="35" t="s">
        <v>268</v>
      </c>
      <c r="AH65" s="39">
        <f>SUM(CI4:CI1500)</f>
        <v>0</v>
      </c>
      <c r="AI65" s="39" t="s">
        <v>267</v>
      </c>
      <c r="AJ65" s="39">
        <v>65</v>
      </c>
      <c r="AK65" s="36">
        <f t="shared" si="52"/>
        <v>0</v>
      </c>
      <c r="AR65" s="31"/>
      <c r="AS65" s="31">
        <f t="shared" si="1"/>
        <v>0</v>
      </c>
      <c r="AT65" s="31">
        <f t="shared" si="2"/>
        <v>0</v>
      </c>
      <c r="AU65" s="31">
        <f t="shared" si="3"/>
        <v>0</v>
      </c>
      <c r="AV65" s="31">
        <f t="shared" si="4"/>
        <v>0</v>
      </c>
      <c r="AW65" s="31">
        <f t="shared" si="5"/>
        <v>0</v>
      </c>
      <c r="AX65" s="31">
        <f t="shared" si="6"/>
        <v>0</v>
      </c>
      <c r="AY65" s="31">
        <f t="shared" si="7"/>
        <v>0</v>
      </c>
      <c r="AZ65" s="31">
        <f t="shared" si="8"/>
        <v>0</v>
      </c>
      <c r="BA65" s="31">
        <f t="shared" si="9"/>
        <v>0</v>
      </c>
      <c r="BB65" s="31">
        <f t="shared" si="41"/>
        <v>0</v>
      </c>
      <c r="BC65" s="31"/>
      <c r="BD65" s="31"/>
      <c r="BM65" s="8">
        <f t="shared" si="42"/>
        <v>0</v>
      </c>
      <c r="BN65" s="8">
        <f t="shared" si="10"/>
        <v>0</v>
      </c>
      <c r="BO65" s="8">
        <f t="shared" si="11"/>
        <v>0</v>
      </c>
      <c r="BQ65" s="8">
        <f t="shared" si="12"/>
        <v>0</v>
      </c>
      <c r="BR65" s="63">
        <f t="shared" si="13"/>
        <v>0</v>
      </c>
      <c r="BS65" s="63">
        <f t="shared" si="43"/>
        <v>0</v>
      </c>
      <c r="BT65" s="63">
        <f t="shared" si="14"/>
        <v>0</v>
      </c>
      <c r="BU65" s="63">
        <f t="shared" si="15"/>
        <v>0</v>
      </c>
      <c r="BV65" s="57">
        <f t="shared" si="16"/>
        <v>0</v>
      </c>
      <c r="BW65" s="57">
        <f t="shared" si="17"/>
        <v>0</v>
      </c>
      <c r="BX65" s="57">
        <f t="shared" si="44"/>
        <v>0</v>
      </c>
      <c r="BY65" s="57">
        <f t="shared" si="51"/>
        <v>0</v>
      </c>
      <c r="BZ65" s="8">
        <f t="shared" si="18"/>
        <v>0</v>
      </c>
      <c r="CA65" s="8">
        <f t="shared" si="19"/>
        <v>0</v>
      </c>
      <c r="CB65" s="8">
        <f t="shared" si="20"/>
        <v>0</v>
      </c>
      <c r="CC65" s="8">
        <f t="shared" si="21"/>
        <v>0</v>
      </c>
      <c r="CD65" s="8">
        <f t="shared" si="22"/>
        <v>0</v>
      </c>
      <c r="CE65" s="8">
        <f t="shared" si="23"/>
        <v>0</v>
      </c>
      <c r="CF65" s="8">
        <f t="shared" si="24"/>
        <v>0</v>
      </c>
      <c r="CG65" s="8">
        <f t="shared" si="25"/>
        <v>0</v>
      </c>
      <c r="CH65" s="8">
        <f t="shared" si="26"/>
        <v>0</v>
      </c>
      <c r="CI65" s="8">
        <f t="shared" si="27"/>
        <v>0</v>
      </c>
      <c r="CJ65" s="8">
        <f t="shared" si="28"/>
        <v>0</v>
      </c>
      <c r="CK65" s="8">
        <f t="shared" si="29"/>
        <v>0</v>
      </c>
      <c r="CL65" s="8">
        <f t="shared" si="30"/>
        <v>0</v>
      </c>
      <c r="CM65" s="8">
        <f t="shared" si="31"/>
        <v>0</v>
      </c>
      <c r="CN65" s="8">
        <f t="shared" si="32"/>
        <v>0</v>
      </c>
      <c r="CO65" s="8">
        <f t="shared" si="33"/>
        <v>0</v>
      </c>
      <c r="CP65" s="8">
        <f t="shared" si="34"/>
        <v>0</v>
      </c>
      <c r="CQ65" s="8">
        <f t="shared" si="35"/>
        <v>0</v>
      </c>
      <c r="CR65" s="8">
        <f t="shared" si="36"/>
        <v>0</v>
      </c>
      <c r="CS65" s="8">
        <f t="shared" si="37"/>
        <v>0</v>
      </c>
      <c r="CT65" s="8">
        <f t="shared" si="48"/>
        <v>0</v>
      </c>
      <c r="CU65" s="8">
        <f t="shared" si="49"/>
        <v>0</v>
      </c>
      <c r="CV65" s="8">
        <f t="shared" si="50"/>
        <v>0</v>
      </c>
      <c r="CW65" s="75">
        <v>1010602003</v>
      </c>
      <c r="CX65" s="75">
        <v>1010602007</v>
      </c>
      <c r="CY65" s="77" t="s">
        <v>94</v>
      </c>
      <c r="CZ65" s="74" t="str">
        <f>"1000 KVA UNIT MULTI CB DUAL "&amp;voltage</f>
        <v>1000 KVA UNIT MULTI CB DUAL 13.8 KV</v>
      </c>
      <c r="DA65" s="74">
        <f>'Equipment Selection'!K58</f>
        <v>0</v>
      </c>
      <c r="DB65" s="74">
        <f>'Equipment Selection'!L58</f>
        <v>0</v>
      </c>
      <c r="DD65" s="75">
        <v>1010601006</v>
      </c>
      <c r="DE65" s="74">
        <f>'Equipment Selection'!L53</f>
        <v>0</v>
      </c>
      <c r="DF65" s="77" t="s">
        <v>94</v>
      </c>
      <c r="DG65" s="74" t="str">
        <f>"500 KVA UNIT MCB  230/400V "&amp;voltage</f>
        <v>500 KVA UNIT MCB  230/400V 13.8 KV</v>
      </c>
      <c r="DH65" s="74"/>
      <c r="DI65" s="75">
        <v>1010601002</v>
      </c>
      <c r="DJ65" s="74">
        <f>'Equipment Selection'!K53</f>
        <v>0</v>
      </c>
      <c r="DK65" s="77" t="s">
        <v>94</v>
      </c>
      <c r="DL65" s="74" t="str">
        <f>"500 KVA UNIT MCB  230/400V "&amp;voltage</f>
        <v>500 KVA UNIT MCB  230/400V 13.8 KV</v>
      </c>
    </row>
    <row r="66" spans="1:116" ht="25.25" customHeight="1" thickTop="1" thickBot="1" x14ac:dyDescent="0.55000000000000004">
      <c r="A66" s="32"/>
      <c r="B66" s="10"/>
      <c r="C66" s="10"/>
      <c r="D66" s="11"/>
      <c r="E66" s="10"/>
      <c r="F66" s="10"/>
      <c r="G66" s="19"/>
      <c r="H66" s="19"/>
      <c r="I66" s="19"/>
      <c r="J66" s="19"/>
      <c r="K66" s="10"/>
      <c r="L66" s="10"/>
      <c r="M66" s="10"/>
      <c r="N66" s="10"/>
      <c r="O66" s="18"/>
      <c r="P66" s="18"/>
      <c r="Q66" s="21"/>
      <c r="R66" s="20"/>
      <c r="S66" s="16">
        <f t="shared" si="0"/>
        <v>0</v>
      </c>
      <c r="T66" s="11"/>
      <c r="AE66" s="38" t="s">
        <v>269</v>
      </c>
      <c r="AF66" s="31" t="s">
        <v>94</v>
      </c>
      <c r="AG66" s="35" t="s">
        <v>269</v>
      </c>
      <c r="AH66" s="39">
        <f>SUM(CJ4:CK1500)</f>
        <v>0</v>
      </c>
      <c r="AI66" s="39" t="s">
        <v>270</v>
      </c>
      <c r="AJ66" s="39">
        <v>23</v>
      </c>
      <c r="AK66" s="36">
        <f t="shared" si="52"/>
        <v>0</v>
      </c>
      <c r="AR66" s="31"/>
      <c r="AS66" s="31">
        <f t="shared" si="1"/>
        <v>0</v>
      </c>
      <c r="AT66" s="31">
        <f t="shared" si="2"/>
        <v>0</v>
      </c>
      <c r="AU66" s="31">
        <f t="shared" si="3"/>
        <v>0</v>
      </c>
      <c r="AV66" s="31">
        <f t="shared" si="4"/>
        <v>0</v>
      </c>
      <c r="AW66" s="31">
        <f t="shared" si="5"/>
        <v>0</v>
      </c>
      <c r="AX66" s="31">
        <f t="shared" si="6"/>
        <v>0</v>
      </c>
      <c r="AY66" s="31">
        <f t="shared" si="7"/>
        <v>0</v>
      </c>
      <c r="AZ66" s="31">
        <f t="shared" si="8"/>
        <v>0</v>
      </c>
      <c r="BA66" s="31">
        <f t="shared" si="9"/>
        <v>0</v>
      </c>
      <c r="BB66" s="31">
        <f t="shared" si="41"/>
        <v>0</v>
      </c>
      <c r="BC66" s="31"/>
      <c r="BD66" s="31"/>
      <c r="BM66" s="8">
        <f t="shared" si="42"/>
        <v>0</v>
      </c>
      <c r="BN66" s="8">
        <f t="shared" si="10"/>
        <v>0</v>
      </c>
      <c r="BO66" s="8">
        <f t="shared" si="11"/>
        <v>0</v>
      </c>
      <c r="BQ66" s="8">
        <f t="shared" si="12"/>
        <v>0</v>
      </c>
      <c r="BR66" s="63">
        <f t="shared" si="13"/>
        <v>0</v>
      </c>
      <c r="BS66" s="63">
        <f t="shared" si="43"/>
        <v>0</v>
      </c>
      <c r="BT66" s="63">
        <f t="shared" si="14"/>
        <v>0</v>
      </c>
      <c r="BU66" s="63">
        <f t="shared" si="15"/>
        <v>0</v>
      </c>
      <c r="BV66" s="57">
        <f t="shared" si="16"/>
        <v>0</v>
      </c>
      <c r="BW66" s="57">
        <f t="shared" si="17"/>
        <v>0</v>
      </c>
      <c r="BX66" s="57">
        <f t="shared" si="44"/>
        <v>0</v>
      </c>
      <c r="BY66" s="57">
        <f t="shared" si="51"/>
        <v>0</v>
      </c>
      <c r="BZ66" s="8">
        <f t="shared" si="18"/>
        <v>0</v>
      </c>
      <c r="CA66" s="8">
        <f t="shared" si="19"/>
        <v>0</v>
      </c>
      <c r="CB66" s="8">
        <f t="shared" si="20"/>
        <v>0</v>
      </c>
      <c r="CC66" s="8">
        <f t="shared" si="21"/>
        <v>0</v>
      </c>
      <c r="CD66" s="8">
        <f t="shared" si="22"/>
        <v>0</v>
      </c>
      <c r="CE66" s="8">
        <f t="shared" si="23"/>
        <v>0</v>
      </c>
      <c r="CF66" s="8">
        <f t="shared" si="24"/>
        <v>0</v>
      </c>
      <c r="CG66" s="8">
        <f t="shared" si="25"/>
        <v>0</v>
      </c>
      <c r="CH66" s="8">
        <f t="shared" si="26"/>
        <v>0</v>
      </c>
      <c r="CI66" s="8">
        <f t="shared" si="27"/>
        <v>0</v>
      </c>
      <c r="CJ66" s="8">
        <f t="shared" si="28"/>
        <v>0</v>
      </c>
      <c r="CK66" s="8">
        <f t="shared" si="29"/>
        <v>0</v>
      </c>
      <c r="CL66" s="8">
        <f t="shared" si="30"/>
        <v>0</v>
      </c>
      <c r="CM66" s="8">
        <f t="shared" si="31"/>
        <v>0</v>
      </c>
      <c r="CN66" s="8">
        <f t="shared" si="32"/>
        <v>0</v>
      </c>
      <c r="CO66" s="8">
        <f t="shared" si="33"/>
        <v>0</v>
      </c>
      <c r="CP66" s="8">
        <f t="shared" si="34"/>
        <v>0</v>
      </c>
      <c r="CQ66" s="8">
        <f t="shared" si="35"/>
        <v>0</v>
      </c>
      <c r="CR66" s="8">
        <f t="shared" si="36"/>
        <v>0</v>
      </c>
      <c r="CS66" s="8">
        <f t="shared" si="37"/>
        <v>0</v>
      </c>
      <c r="CT66" s="8">
        <f t="shared" si="48"/>
        <v>0</v>
      </c>
      <c r="CU66" s="8">
        <f t="shared" si="49"/>
        <v>0</v>
      </c>
      <c r="CV66" s="8">
        <f t="shared" si="50"/>
        <v>0</v>
      </c>
      <c r="CW66" s="75">
        <v>1010602004</v>
      </c>
      <c r="CX66" s="75">
        <v>1010602008</v>
      </c>
      <c r="CY66" s="77" t="s">
        <v>94</v>
      </c>
      <c r="CZ66" s="74" t="str">
        <f>"1000 KVA UNIT MCB DUAL "&amp;voltage</f>
        <v>1000 KVA UNIT MCB DUAL 13.8 KV</v>
      </c>
      <c r="DA66" s="74">
        <f>'Equipment Selection'!K59</f>
        <v>0</v>
      </c>
      <c r="DB66" s="74">
        <f>'Equipment Selection'!L59</f>
        <v>0</v>
      </c>
      <c r="DD66" s="75">
        <v>1010601007</v>
      </c>
      <c r="DE66" s="74">
        <f>'Equipment Selection'!L54</f>
        <v>0</v>
      </c>
      <c r="DF66" s="77" t="s">
        <v>94</v>
      </c>
      <c r="DG66" s="74" t="str">
        <f>"500 KVA UNIT MULTI CB DUAL "&amp;voltage</f>
        <v>500 KVA UNIT MULTI CB DUAL 13.8 KV</v>
      </c>
      <c r="DH66" s="74"/>
      <c r="DI66" s="75">
        <v>1010601003</v>
      </c>
      <c r="DJ66" s="74">
        <f>'Equipment Selection'!K54</f>
        <v>0</v>
      </c>
      <c r="DK66" s="77" t="s">
        <v>94</v>
      </c>
      <c r="DL66" s="74" t="str">
        <f>"500 KVA UNIT MULTI CB DUAL "&amp;voltage</f>
        <v>500 KVA UNIT MULTI CB DUAL 13.8 KV</v>
      </c>
    </row>
    <row r="67" spans="1:116" ht="25.25" customHeight="1" thickTop="1" thickBot="1" x14ac:dyDescent="0.55000000000000004">
      <c r="A67" s="32"/>
      <c r="B67" s="10"/>
      <c r="C67" s="10"/>
      <c r="D67" s="11"/>
      <c r="E67" s="10"/>
      <c r="F67" s="10"/>
      <c r="G67" s="19"/>
      <c r="H67" s="19"/>
      <c r="I67" s="19"/>
      <c r="J67" s="19"/>
      <c r="K67" s="10"/>
      <c r="L67" s="10"/>
      <c r="M67" s="10"/>
      <c r="N67" s="10"/>
      <c r="O67" s="18"/>
      <c r="P67" s="18"/>
      <c r="Q67" s="21"/>
      <c r="R67" s="20"/>
      <c r="S67" s="16">
        <f t="shared" si="0"/>
        <v>0</v>
      </c>
      <c r="T67" s="11"/>
      <c r="AE67" s="38" t="s">
        <v>278</v>
      </c>
      <c r="AF67" s="31" t="s">
        <v>94</v>
      </c>
      <c r="AG67" s="35" t="s">
        <v>278</v>
      </c>
      <c r="AH67" s="39">
        <f>SUM(CL4:CL1500)</f>
        <v>0</v>
      </c>
      <c r="AI67" s="39" t="s">
        <v>280</v>
      </c>
      <c r="AJ67" s="39">
        <v>248</v>
      </c>
      <c r="AK67" s="36">
        <f t="shared" si="52"/>
        <v>0</v>
      </c>
      <c r="AR67" s="31"/>
      <c r="AS67" s="31">
        <f t="shared" si="1"/>
        <v>0</v>
      </c>
      <c r="AT67" s="31">
        <f t="shared" si="2"/>
        <v>0</v>
      </c>
      <c r="AU67" s="31">
        <f t="shared" si="3"/>
        <v>0</v>
      </c>
      <c r="AV67" s="31">
        <f t="shared" si="4"/>
        <v>0</v>
      </c>
      <c r="AW67" s="31">
        <f t="shared" si="5"/>
        <v>0</v>
      </c>
      <c r="AX67" s="31">
        <f t="shared" si="6"/>
        <v>0</v>
      </c>
      <c r="AY67" s="31">
        <f t="shared" si="7"/>
        <v>0</v>
      </c>
      <c r="AZ67" s="31">
        <f t="shared" si="8"/>
        <v>0</v>
      </c>
      <c r="BA67" s="31">
        <f t="shared" si="9"/>
        <v>0</v>
      </c>
      <c r="BB67" s="31">
        <f t="shared" si="41"/>
        <v>0</v>
      </c>
      <c r="BC67" s="31"/>
      <c r="BD67" s="31"/>
      <c r="BM67" s="8">
        <f t="shared" si="42"/>
        <v>0</v>
      </c>
      <c r="BN67" s="8">
        <f t="shared" si="10"/>
        <v>0</v>
      </c>
      <c r="BO67" s="8">
        <f t="shared" si="11"/>
        <v>0</v>
      </c>
      <c r="BQ67" s="8">
        <f t="shared" si="12"/>
        <v>0</v>
      </c>
      <c r="BR67" s="63">
        <f t="shared" si="13"/>
        <v>0</v>
      </c>
      <c r="BS67" s="63">
        <f t="shared" si="43"/>
        <v>0</v>
      </c>
      <c r="BT67" s="63">
        <f t="shared" si="14"/>
        <v>0</v>
      </c>
      <c r="BU67" s="63">
        <f t="shared" si="15"/>
        <v>0</v>
      </c>
      <c r="BV67" s="57">
        <f t="shared" si="16"/>
        <v>0</v>
      </c>
      <c r="BW67" s="57">
        <f t="shared" si="17"/>
        <v>0</v>
      </c>
      <c r="BX67" s="57">
        <f t="shared" si="44"/>
        <v>0</v>
      </c>
      <c r="BY67" s="57">
        <f t="shared" si="51"/>
        <v>0</v>
      </c>
      <c r="BZ67" s="8">
        <f t="shared" si="18"/>
        <v>0</v>
      </c>
      <c r="CA67" s="8">
        <f t="shared" si="19"/>
        <v>0</v>
      </c>
      <c r="CB67" s="8">
        <f t="shared" si="20"/>
        <v>0</v>
      </c>
      <c r="CC67" s="8">
        <f t="shared" si="21"/>
        <v>0</v>
      </c>
      <c r="CD67" s="8">
        <f t="shared" si="22"/>
        <v>0</v>
      </c>
      <c r="CE67" s="8">
        <f t="shared" si="23"/>
        <v>0</v>
      </c>
      <c r="CF67" s="8">
        <f t="shared" si="24"/>
        <v>0</v>
      </c>
      <c r="CG67" s="8">
        <f t="shared" si="25"/>
        <v>0</v>
      </c>
      <c r="CH67" s="8">
        <f t="shared" si="26"/>
        <v>0</v>
      </c>
      <c r="CI67" s="8">
        <f t="shared" si="27"/>
        <v>0</v>
      </c>
      <c r="CJ67" s="8">
        <f t="shared" si="28"/>
        <v>0</v>
      </c>
      <c r="CK67" s="8">
        <f t="shared" si="29"/>
        <v>0</v>
      </c>
      <c r="CL67" s="8">
        <f t="shared" si="30"/>
        <v>0</v>
      </c>
      <c r="CM67" s="8">
        <f t="shared" si="31"/>
        <v>0</v>
      </c>
      <c r="CN67" s="8">
        <f t="shared" si="32"/>
        <v>0</v>
      </c>
      <c r="CO67" s="8">
        <f t="shared" si="33"/>
        <v>0</v>
      </c>
      <c r="CP67" s="8">
        <f t="shared" si="34"/>
        <v>0</v>
      </c>
      <c r="CQ67" s="8">
        <f t="shared" si="35"/>
        <v>0</v>
      </c>
      <c r="CR67" s="8">
        <f t="shared" si="36"/>
        <v>0</v>
      </c>
      <c r="CS67" s="8">
        <f t="shared" si="37"/>
        <v>0</v>
      </c>
      <c r="CT67" s="8">
        <f t="shared" si="48"/>
        <v>0</v>
      </c>
      <c r="CU67" s="8">
        <f t="shared" si="49"/>
        <v>0</v>
      </c>
      <c r="CV67" s="8">
        <f t="shared" si="50"/>
        <v>0</v>
      </c>
      <c r="CW67" s="75">
        <v>1010603001</v>
      </c>
      <c r="CX67" s="75">
        <v>1010603005</v>
      </c>
      <c r="CY67" s="77" t="s">
        <v>94</v>
      </c>
      <c r="CZ67" s="74" t="str">
        <f>"1500 KVA UNIT MULTI CB 230/400V "&amp;voltage</f>
        <v>1500 KVA UNIT MULTI CB 230/400V 13.8 KV</v>
      </c>
      <c r="DA67" s="74">
        <f>'Equipment Selection'!K60</f>
        <v>0</v>
      </c>
      <c r="DB67" s="74">
        <f>'Equipment Selection'!L60</f>
        <v>0</v>
      </c>
      <c r="DD67" s="75">
        <v>1010601008</v>
      </c>
      <c r="DE67" s="74">
        <f>'Equipment Selection'!L55</f>
        <v>0</v>
      </c>
      <c r="DF67" s="77" t="s">
        <v>94</v>
      </c>
      <c r="DG67" s="74" t="str">
        <f>"500 KVA UNIT MCB DUAL "&amp;voltage</f>
        <v>500 KVA UNIT MCB DUAL 13.8 KV</v>
      </c>
      <c r="DH67" s="74"/>
      <c r="DI67" s="75">
        <v>1010601004</v>
      </c>
      <c r="DJ67" s="74">
        <f>'Equipment Selection'!K55</f>
        <v>0</v>
      </c>
      <c r="DK67" s="77" t="s">
        <v>94</v>
      </c>
      <c r="DL67" s="74" t="str">
        <f>"500 KVA UNIT MCB DUAL "&amp;voltage</f>
        <v>500 KVA UNIT MCB DUAL 13.8 KV</v>
      </c>
    </row>
    <row r="68" spans="1:116" ht="25.25" customHeight="1" thickTop="1" thickBot="1" x14ac:dyDescent="0.55000000000000004">
      <c r="A68" s="32"/>
      <c r="B68" s="10"/>
      <c r="C68" s="10"/>
      <c r="D68" s="11"/>
      <c r="E68" s="10"/>
      <c r="F68" s="10"/>
      <c r="G68" s="19"/>
      <c r="H68" s="19"/>
      <c r="I68" s="19"/>
      <c r="J68" s="19"/>
      <c r="K68" s="10"/>
      <c r="L68" s="10"/>
      <c r="M68" s="10"/>
      <c r="N68" s="10"/>
      <c r="O68" s="18"/>
      <c r="P68" s="18"/>
      <c r="Q68" s="21"/>
      <c r="R68" s="20"/>
      <c r="S68" s="16">
        <f t="shared" ref="S68:S131" si="53">IF(AND(K68="asphalted",M68="sub",BV68&lt;=1,BV68&gt;0),1+2*0.15,IF(AND(K68="asphalted",OR(M68="main",M68="MOT"),BV68&lt;=1,BV68&gt;0),1+2*0.3,IF(AND(K68="asphalted",M68="sub",BV68&gt;1),BV68+2*0.15,IF(AND(K68="asphalted",OR(M68="main",M68="MOT"),BV68&gt;1),BV68+2*0.3,0))))</f>
        <v>0</v>
      </c>
      <c r="T68" s="11"/>
      <c r="AE68" s="38" t="s">
        <v>279</v>
      </c>
      <c r="AF68" s="31" t="s">
        <v>94</v>
      </c>
      <c r="AG68" s="35" t="s">
        <v>279</v>
      </c>
      <c r="AH68" s="39">
        <f>SUM(CM4:CM1500)</f>
        <v>0</v>
      </c>
      <c r="AI68" s="39" t="s">
        <v>281</v>
      </c>
      <c r="AJ68" s="39">
        <v>196</v>
      </c>
      <c r="AK68" s="36">
        <f t="shared" si="52"/>
        <v>0</v>
      </c>
      <c r="AR68" s="31"/>
      <c r="AS68" s="31">
        <f t="shared" ref="AS68:AS131" si="54">IF(F68=1,0.4,IF(F68&gt;1,F68*0.3,0))</f>
        <v>0</v>
      </c>
      <c r="AT68" s="31">
        <f t="shared" ref="AT68:AT131" si="55">IF(AND(G68&lt;4,G68&gt;0),0.4,IF(G68&gt;3,0.4+(G68-3)*0.1,0))</f>
        <v>0</v>
      </c>
      <c r="AU68" s="31">
        <f t="shared" ref="AU68:AU131" si="56">AT68-AS68</f>
        <v>0</v>
      </c>
      <c r="AV68" s="31">
        <f t="shared" ref="AV68:AV131" si="57">IF(AND(OR(OR(E68="normal",E68="special"),E68="special"),F68=0,G68&gt;0,G68&lt;5),"LV"&amp;G68,IF(AND(OR(OR(E68="normal",E68="special"),E68="special"),F68=0,G68&gt;4),"LVCU",IF(AND(OR(OR(E68="normal",E68="special"),E68="special"),F68&gt;4),"MVCU",IF(AND(OR(OR(E68="normal",E68="special"),E68="special"),F68&gt;0,F68&lt;5),"MV"&amp;F68,IF(AND(E68="mini-trench",F68=1),"mini-trench MV",IF(AND(E68="mini-trench",G68&lt;3,G68&lt;&gt;0),"mini-trench LV",0))))))</f>
        <v>0</v>
      </c>
      <c r="AW68" s="31">
        <f t="shared" ref="AW68:AW131" si="58">IF(B68="joint",F68,0)+IF(C68="joint",F68,0)+IF(OR(B68="new ss",B68="ss"),F68*3)+IF(B68="pole",F68*10)+IF(OR(C68="new ss",C68="ss"),F68*3)+IF(C68="pole",F68*10)+IF(B68="grid",F68*30)+IF(C68="grid",F68*30)</f>
        <v>0</v>
      </c>
      <c r="AX68" s="31">
        <f t="shared" ref="AX68:AX131" si="59">IF(J68&gt;0,IF(OR(B68="ss",C68="ss"),J68*3,0)+IF(OR(B68="new ss",C68="new ss"),J68*3,0)+IF(OR(B68="DC",C68="DC"),J68*1.5,0)+IF(OR(B68="new DC",C68="new DC"),J68*1.5,0)+IF(OR(B68="MB",C68="MB"),J68*2,0)+IF(OR(B68="pole",C68="pole"),J68*10,0),0)</f>
        <v>0</v>
      </c>
      <c r="AY68" s="31">
        <f t="shared" ref="AY68:AY131" si="60">IF(I68&gt;0,IF(OR(B68="ss",C68="ss"),I68*3,0)+IF(OR(B68="new ss",C68="new ss"),I68*3,0)+IF(OR(B68="DC",C68="DC"),I68*1.5,0)+IF(OR(B68="new DC",C68="new DC"),J68*1.5,0)+IF(OR(B68="MB",C68="MB"),I68*2,0)+IF(OR(B68="pole",C68="pole"),I68*10,0),0)</f>
        <v>0</v>
      </c>
      <c r="AZ68" s="31">
        <f t="shared" ref="AZ68:AZ131" si="61">IF(H68&gt;0,IF(OR(B68="ss",C68="ss"),H68*3,0)+IF(OR(B68="new ss",C68="new ss"),H68*3,0)+IF(OR(B68="DC",C68="DC"),H68*2,0)+IF(OR(B68="new DC",C68="new DC"),H68*1.5,0)+IF(OR(B68="MB",C68="MB"),H68*2,0)+IF(OR(B68="pole",C68="pole"),H68*10,0)+IF(OR(B68="pole",C68="pole"),H68*10,0),0)</f>
        <v>0</v>
      </c>
      <c r="BA68" s="31">
        <f t="shared" ref="BA68:BA131" si="62">IF(E68="manual",IF(AU68&lt;0,D68*AS68*0.8,IF(AND(AS68&gt;0,AU68&gt;0),D68*AS68*0.8+D68*AU68*0.65,IF(AND(AS68=0,AT68&gt;0),D68*AT68*0.65,0))),0)</f>
        <v>0</v>
      </c>
      <c r="BB68" s="31">
        <f t="shared" si="41"/>
        <v>0</v>
      </c>
      <c r="BC68" s="31"/>
      <c r="BD68" s="31"/>
      <c r="BM68" s="8">
        <f t="shared" si="42"/>
        <v>0</v>
      </c>
      <c r="BN68" s="8">
        <f t="shared" ref="BN68:BN131" si="63">IFERROR(IF(AND(K68="asphalted",E68="mini-trench",R68=""),1*D68,IF(AND(K68="asphalted",R68&gt;0,MandRcalc="Complete M&amp;R area"),R68*D68,IF(AND(K68="asphalted",R68&gt;0,MandRcalc="M&amp;R area - asphalting area"),(R68-BR68/D68)*D68,0))),0)</f>
        <v>0</v>
      </c>
      <c r="BO68" s="8">
        <f t="shared" ref="BO68:BO131" si="64">IF(BQ68&lt;MINEXCNA,0,IF(AND(E68="normal",F68&lt;5,G68&lt;12,K68&lt;&gt;"asphalted",AT68&gt;AS68,AS68&lt;&gt;0),(BQ68-AT68)*0.65,IF(AND(E68="normal",F68&lt;5,G68&lt;12,K68&lt;&gt;"asphalted",AS68&gt;=AT68),(BQ68-AS68)*0.8,IF(AND(E68="normal",F68&lt;5,G68&lt;12,K68&lt;&gt;"asphalted",AT68&gt;0,AS68=0),(BQ68-AT68)*0.65,0)))*D68)</f>
        <v>0</v>
      </c>
      <c r="BQ68" s="8">
        <f t="shared" ref="BQ68:BQ131" si="65">IF(E68="special",O68,IF(AND(OR(E68="normal",E68="manual"),O68="",K68="asphalted",BV68&lt;=MINEXC),MINEXC,IF(AND(OR(E68="normal",E68="manual"),O68&lt;&gt;"",K68="asphalted"),MIN(O68,BV68),IF(AND(OR(E68="normal",E68="manual"),O68="",K68&lt;&gt;"asphalted",BV68&lt;=MINEXCNA),MINEXCNA,IF(AND(OR(E68="normal",E68="manual"),O68&lt;&gt;"",K68&lt;&gt;"asphalted"),MIN(O68,BV68),BV68)))))</f>
        <v>0</v>
      </c>
      <c r="BR68" s="63">
        <f t="shared" ref="BR68:BR131" si="66">IFERROR(IF(AND(E68&lt;&gt;"mini-trecnh",K68="asphalted",Q68&lt;&gt;"",S68=0),D68*Q68,IF(AND(E68&lt;&gt;"mini-trecnh",K68="asphalted",Q68&lt;&gt;"",S68&lt;&gt;0),D68*MIN(Q68,S68),IF(AND(E68&lt;&gt;"mini-trecnh",K68="asphalted",Q68=""),D68*S68,0))),0)</f>
        <v>0</v>
      </c>
      <c r="BS68" s="63">
        <f t="shared" si="43"/>
        <v>0</v>
      </c>
      <c r="BT68" s="63">
        <f t="shared" ref="BT68:BT131" si="67">IF(BQ68&lt;MINEXC,0,IF(AND(E68="normal",F68&lt;5,G68&lt;12,K68="asphalted",AT68&gt;AS68,AS68&lt;&gt;0),(BQ68-AT68)*0.65,IF(AND(E68="normal",F68&lt;5,G68&lt;12,K68="asphalted",AS68&gt;=AT68),(BQ68-AS68)*0.8,IF(AND(E68="normal",F68&lt;5,G68&lt;12,K68="asphalted",AT68&gt;0,AS68=0),(BQ68-AT68)*0.65,0)))*D68)</f>
        <v>0</v>
      </c>
      <c r="BU68" s="63">
        <f t="shared" ref="BU68:BU131" si="68">IF(E68="",0,IF(OR(BT68&gt;0,BO68&gt;0),0,IF(AND(F68&gt;4,G68=0),(BQ68-1.2)*D68*0.8,IF(AND(G68&gt;4,F68=0),(BQ68-0.4)*D68*0.65,IF(OR(AND(G68&gt;4,F68&gt;0),AND(F68&gt;4,G68&gt;0)),(IF(AS68&gt;1.2,(AS68-1.2)*D68*0.8,0)+IF(AT68&gt;AS68,(AT68-AS68)*D68*0.65,0)),0)))))</f>
        <v>0</v>
      </c>
      <c r="BV68" s="57">
        <f t="shared" ref="BV68:BV131" si="69">IF(AND(E68&lt;&gt;"mini-trench",E68&lt;&gt;"special"),MAX(AS68:AT68),0)</f>
        <v>0</v>
      </c>
      <c r="BW68" s="57">
        <f t="shared" ref="BW68:BW131" si="70">IF(AND(E68&lt;&gt;"mini-trench",E68&lt;&gt;"special",BV68&gt;0,BV68&lt;1,K68="asphalted"),IF(O68&lt;&gt;"",MIN(O68,1),1),IF(AND(E68&lt;&gt;"mini-trench",E68&lt;&gt;"special",BV68&gt;0,BV68&gt;1,K68="asphalted"),BV68,0))</f>
        <v>0</v>
      </c>
      <c r="BX68" s="57">
        <f t="shared" si="44"/>
        <v>0</v>
      </c>
      <c r="BY68" s="57">
        <f t="shared" si="51"/>
        <v>0</v>
      </c>
      <c r="BZ68" s="8">
        <f t="shared" ref="BZ68:BZ131" si="71">IF(E68="special",O68*P68*D68-D68*IF(AV68="MV1",0.8*0.4,IF(AV68="MV2",0.8*0.6,IF(AV68="MV3",0.8*0.9,IF(OR(AV68="MV4",AV68="MVCU"),0.8*1.2,IF(AV68="LV1-3",0.65*0.4,IF(OR(AV68="LV4",AV68="LVCU"),0.65*0.5)))))),0)</f>
        <v>0</v>
      </c>
      <c r="CA68" s="8">
        <f t="shared" ref="CA68:CA131" si="72">IF(AND(E68&lt;&gt;"special",K68="Paved interlock"),D68*BV68,IF(AND(E68="special",K68="Paved interlock"),D68*O68,0))</f>
        <v>0</v>
      </c>
      <c r="CB68" s="8">
        <f t="shared" ref="CB68:CB131" si="73">IF(AND(E68&lt;&gt;"special",K68="Paved conc.tiles"),D68*BV68,IF(AND(E68="special",K68="Paved conc.tiles"),D68*O68,0))</f>
        <v>0</v>
      </c>
      <c r="CC68" s="8">
        <f t="shared" ref="CC68:CC131" si="74">IF(AND(E68="special",K68="asphalted"),D68*Q68,0)</f>
        <v>0</v>
      </c>
      <c r="CD68" s="8">
        <f t="shared" ref="CD68:CD131" si="75">IF(OR(K68="Paved interlock",K68="Paved conc.tiles"),1,0)</f>
        <v>0</v>
      </c>
      <c r="CE68" s="8">
        <f t="shared" ref="CE68:CE131" si="76">IFERROR(BR68/D68,0)</f>
        <v>0</v>
      </c>
      <c r="CF68" s="8">
        <f t="shared" ref="CF68:CF131" si="77">IF(AND(F68&gt;0,B68="j transition"),F68,0)+IF(AND(F68&gt;0,C68="j transition"),F68,0)</f>
        <v>0</v>
      </c>
      <c r="CG68" s="8">
        <f t="shared" ref="CG68:CG131" si="78">IF(AND(F68&gt;0,OR(B68="grid",B68="ss",B68="pole",B68="new ss")),F68,0)+IF(AND(F68&gt;0,OR(C68="grid",C68="ss",C68="pole",C68="new ss")),F68,0)</f>
        <v>0</v>
      </c>
      <c r="CH68" s="8">
        <f t="shared" ref="CH68:CH131" si="79">IF(AND(F68&gt;0,B68="joint"),F68,0)+IF(AND(F68&gt;0,C68="joint"),F68,0)+IF(AND(F68&gt;0,B68="j transition"),F68,0)+IF(AND(F68&gt;0,C68="j transition"),F68,0)</f>
        <v>0</v>
      </c>
      <c r="CI68" s="8">
        <f t="shared" ref="CI68:CI131" si="80">IF(AND(H68&gt;0,B68="joint"),H68,0)+IF(AND(H68&gt;0,C68="joint"),H68,0)</f>
        <v>0</v>
      </c>
      <c r="CJ68" s="8">
        <f t="shared" ref="CJ68:CJ131" si="81">IF(AND(I68&gt;0,B68="joint"),I68,0)+IF(AND(I68&gt;0,C68="joint"),I68,0)</f>
        <v>0</v>
      </c>
      <c r="CK68" s="8">
        <f t="shared" ref="CK68:CK131" si="82">IF(AND(J68&gt;0,B68="joint"),J68,0)+IF(AND(J68&gt;0,C68="joint"),J68,0)</f>
        <v>0</v>
      </c>
      <c r="CL68" s="8">
        <f t="shared" ref="CL68:CL131" si="83">IF(AND(H68&gt;0,OR(B68="ss",B68="new ss",B68="DC",B68="new DC")),H68,0)+IF(AND(H68&gt;0,OR(C68="new ss",C68="ss",C68="DC",C68="new DC")),H68,0)</f>
        <v>0</v>
      </c>
      <c r="CM68" s="8">
        <f t="shared" ref="CM68:CM131" si="84">CO68+CP68</f>
        <v>0</v>
      </c>
      <c r="CN68" s="8">
        <f t="shared" ref="CN68:CN131" si="85">IF(OR(B68="new DC",C68="new DC"),H68,0)</f>
        <v>0</v>
      </c>
      <c r="CO68" s="8">
        <f t="shared" ref="CO68:CO131" si="86">IF(AND(J68&gt;0,OR(B68="ss",B68="new ss",B68="DC",B68="new DC")),J68,0)+IF(AND(J68&gt;0,OR(C68="new ss",C68="ss",C68="DC",C68="new DC")),J68,0)</f>
        <v>0</v>
      </c>
      <c r="CP68" s="8">
        <f t="shared" ref="CP68:CP131" si="87">IF(AND(I68&gt;0,OR(B68="ss",B68="new ss",B68="DC",B68="new DC")),I68,0)+IF(AND(I68&gt;0,OR(C68="new ss",C68="ss",C68="DC",C68="new DC")),I68,0)</f>
        <v>0</v>
      </c>
      <c r="CQ68" s="8">
        <f t="shared" ref="CQ68:CQ131" si="88">IF(AND(F68&gt;0,OR(B68="ss",B68="new ss")),F68,0)+IF(AND(F68&gt;0,OR(C68="ss",C68="new ss")),F68,0)</f>
        <v>0</v>
      </c>
      <c r="CR68" s="8">
        <f t="shared" ref="CR68:CR131" si="89">IF(AND(F68&gt;0,OR(B68="grid")),F68,0)+IF(AND(F68&gt;0,OR(C68="grid")),F68,0)</f>
        <v>0</v>
      </c>
      <c r="CS68" s="8">
        <f t="shared" ref="CS68:CS131" si="90">IF(AND(F68&gt;0,OR(B68="pole")),F68,0)+IF(AND(F68&gt;0,OR(C68="pole")),F68,0)</f>
        <v>0</v>
      </c>
      <c r="CT68" s="8">
        <f t="shared" si="48"/>
        <v>0</v>
      </c>
      <c r="CU68" s="8">
        <f t="shared" si="49"/>
        <v>0</v>
      </c>
      <c r="CV68" s="8">
        <f t="shared" si="50"/>
        <v>0</v>
      </c>
      <c r="CW68" s="75">
        <v>1010603002</v>
      </c>
      <c r="CX68" s="75">
        <v>1010603006</v>
      </c>
      <c r="CY68" s="77" t="s">
        <v>94</v>
      </c>
      <c r="CZ68" s="74" t="str">
        <f>"1500 KVA UNIT MCB 230/400V "&amp;voltage</f>
        <v>1500 KVA UNIT MCB 230/400V 13.8 KV</v>
      </c>
      <c r="DA68" s="74">
        <f>'Equipment Selection'!K61</f>
        <v>0</v>
      </c>
      <c r="DB68" s="74">
        <f>'Equipment Selection'!L61</f>
        <v>0</v>
      </c>
      <c r="DD68" s="75">
        <v>1010602005</v>
      </c>
      <c r="DE68" s="74">
        <f>'Equipment Selection'!L56</f>
        <v>0</v>
      </c>
      <c r="DF68" s="77" t="s">
        <v>94</v>
      </c>
      <c r="DG68" s="74" t="str">
        <f>"1000 KVA UNIT MULTI CB 230/400V "&amp;voltage</f>
        <v>1000 KVA UNIT MULTI CB 230/400V 13.8 KV</v>
      </c>
      <c r="DH68" s="74"/>
      <c r="DI68" s="75">
        <v>1010602001</v>
      </c>
      <c r="DJ68" s="74">
        <f>'Equipment Selection'!K56</f>
        <v>0</v>
      </c>
      <c r="DK68" s="77" t="s">
        <v>94</v>
      </c>
      <c r="DL68" s="74" t="str">
        <f>"1000 KVA UNIT MULTI CB 230/400V "&amp;voltage</f>
        <v>1000 KVA UNIT MULTI CB 230/400V 13.8 KV</v>
      </c>
    </row>
    <row r="69" spans="1:116" ht="25.25" customHeight="1" thickTop="1" thickBot="1" x14ac:dyDescent="0.55000000000000004">
      <c r="A69" s="32"/>
      <c r="B69" s="10"/>
      <c r="C69" s="10"/>
      <c r="D69" s="11"/>
      <c r="E69" s="10"/>
      <c r="F69" s="10"/>
      <c r="G69" s="19"/>
      <c r="H69" s="19"/>
      <c r="I69" s="19"/>
      <c r="J69" s="19"/>
      <c r="K69" s="10"/>
      <c r="L69" s="10"/>
      <c r="M69" s="10"/>
      <c r="N69" s="10"/>
      <c r="O69" s="18"/>
      <c r="P69" s="18"/>
      <c r="Q69" s="21"/>
      <c r="R69" s="20"/>
      <c r="S69" s="16">
        <f t="shared" si="53"/>
        <v>0</v>
      </c>
      <c r="T69" s="11"/>
      <c r="AE69" s="38" t="str">
        <f>"عمل وصلة مستقيمة انتقالية بين كابلين جهد متوسط "&amp;voltage</f>
        <v>عمل وصلة مستقيمة انتقالية بين كابلين جهد متوسط 13.8 KV</v>
      </c>
      <c r="AF69" s="31" t="s">
        <v>94</v>
      </c>
      <c r="AG69" s="35" t="s">
        <v>286</v>
      </c>
      <c r="AH69" s="39">
        <f>SUM(CF4:CF1500)</f>
        <v>0</v>
      </c>
      <c r="AI69" s="39" t="str">
        <f>IF(voltage="13.8 KV","30 50 20 201",IF(voltage="33 KV","30 50 20 202",0))</f>
        <v>30 50 20 201</v>
      </c>
      <c r="AJ69" s="39">
        <f>IF(voltage="13.8 KV",638,IF(voltage="33 KV",800,0))</f>
        <v>638</v>
      </c>
      <c r="AK69" s="36">
        <f t="shared" si="52"/>
        <v>0</v>
      </c>
      <c r="AR69" s="31"/>
      <c r="AS69" s="31">
        <f t="shared" si="54"/>
        <v>0</v>
      </c>
      <c r="AT69" s="31">
        <f t="shared" si="55"/>
        <v>0</v>
      </c>
      <c r="AU69" s="31">
        <f t="shared" si="56"/>
        <v>0</v>
      </c>
      <c r="AV69" s="31">
        <f t="shared" si="57"/>
        <v>0</v>
      </c>
      <c r="AW69" s="31">
        <f t="shared" si="58"/>
        <v>0</v>
      </c>
      <c r="AX69" s="31">
        <f t="shared" si="59"/>
        <v>0</v>
      </c>
      <c r="AY69" s="31">
        <f t="shared" si="60"/>
        <v>0</v>
      </c>
      <c r="AZ69" s="31">
        <f t="shared" si="61"/>
        <v>0</v>
      </c>
      <c r="BA69" s="31">
        <f t="shared" si="62"/>
        <v>0</v>
      </c>
      <c r="BB69" s="31">
        <f t="shared" ref="BB69:BB132" si="91">IFERROR(IF(BN69&gt;0,0,IF(AND(E69="normal",(BR69/D69)&gt;1),BR69,0)),0)</f>
        <v>0</v>
      </c>
      <c r="BC69" s="31"/>
      <c r="BD69" s="31"/>
      <c r="BM69" s="8">
        <f t="shared" ref="BM69:BM132" si="92">IF(AND(E69&lt;&gt;"special",K69="Concrete"),D69*BV69,IF(AND(E69="special",K69="Concrete"),D69*O69,0))</f>
        <v>0</v>
      </c>
      <c r="BN69" s="8">
        <f t="shared" si="63"/>
        <v>0</v>
      </c>
      <c r="BO69" s="8">
        <f t="shared" si="64"/>
        <v>0</v>
      </c>
      <c r="BQ69" s="8">
        <f t="shared" si="65"/>
        <v>0</v>
      </c>
      <c r="BR69" s="63">
        <f t="shared" si="66"/>
        <v>0</v>
      </c>
      <c r="BS69" s="63">
        <f t="shared" ref="BS69:BS132" si="93">BN69 + IF(BN69&gt;0,IF(R68=0, R69, 0) + IF(R70=0, R69, 0),0)</f>
        <v>0</v>
      </c>
      <c r="BT69" s="63">
        <f t="shared" si="67"/>
        <v>0</v>
      </c>
      <c r="BU69" s="63">
        <f t="shared" si="68"/>
        <v>0</v>
      </c>
      <c r="BV69" s="57">
        <f t="shared" si="69"/>
        <v>0</v>
      </c>
      <c r="BW69" s="57">
        <f t="shared" si="70"/>
        <v>0</v>
      </c>
      <c r="BX69" s="57">
        <f t="shared" ref="BX69:BX132" si="94">IF(AND(R69&gt;0,MandRcalc="Asphalting then M&amp;R"),R69*D69,IF(AND(R69&gt;0,MandRcalc="Milling then Repaving"),(R69-BR69)*D69,0))</f>
        <v>0</v>
      </c>
      <c r="BY69" s="57">
        <f t="shared" si="51"/>
        <v>0</v>
      </c>
      <c r="BZ69" s="8">
        <f t="shared" si="71"/>
        <v>0</v>
      </c>
      <c r="CA69" s="8">
        <f t="shared" si="72"/>
        <v>0</v>
      </c>
      <c r="CB69" s="8">
        <f t="shared" si="73"/>
        <v>0</v>
      </c>
      <c r="CC69" s="8">
        <f t="shared" si="74"/>
        <v>0</v>
      </c>
      <c r="CD69" s="8">
        <f t="shared" si="75"/>
        <v>0</v>
      </c>
      <c r="CE69" s="8">
        <f t="shared" si="76"/>
        <v>0</v>
      </c>
      <c r="CF69" s="8">
        <f t="shared" si="77"/>
        <v>0</v>
      </c>
      <c r="CG69" s="8">
        <f t="shared" si="78"/>
        <v>0</v>
      </c>
      <c r="CH69" s="8">
        <f t="shared" si="79"/>
        <v>0</v>
      </c>
      <c r="CI69" s="8">
        <f t="shared" si="80"/>
        <v>0</v>
      </c>
      <c r="CJ69" s="8">
        <f t="shared" si="81"/>
        <v>0</v>
      </c>
      <c r="CK69" s="8">
        <f t="shared" si="82"/>
        <v>0</v>
      </c>
      <c r="CL69" s="8">
        <f t="shared" si="83"/>
        <v>0</v>
      </c>
      <c r="CM69" s="8">
        <f t="shared" si="84"/>
        <v>0</v>
      </c>
      <c r="CN69" s="8">
        <f t="shared" si="85"/>
        <v>0</v>
      </c>
      <c r="CO69" s="8">
        <f t="shared" si="86"/>
        <v>0</v>
      </c>
      <c r="CP69" s="8">
        <f t="shared" si="87"/>
        <v>0</v>
      </c>
      <c r="CQ69" s="8">
        <f t="shared" si="88"/>
        <v>0</v>
      </c>
      <c r="CR69" s="8">
        <f t="shared" si="89"/>
        <v>0</v>
      </c>
      <c r="CS69" s="8">
        <f t="shared" si="90"/>
        <v>0</v>
      </c>
      <c r="CT69" s="8">
        <f t="shared" si="48"/>
        <v>0</v>
      </c>
      <c r="CU69" s="8">
        <f t="shared" si="49"/>
        <v>0</v>
      </c>
      <c r="CV69" s="8">
        <f t="shared" si="50"/>
        <v>0</v>
      </c>
      <c r="CW69" s="75">
        <v>1010603003</v>
      </c>
      <c r="CX69" s="75">
        <v>1010603007</v>
      </c>
      <c r="CY69" s="77" t="s">
        <v>94</v>
      </c>
      <c r="CZ69" s="74" t="str">
        <f>"1500 KVA UNIT MULTI CB DUAL "&amp;voltage</f>
        <v>1500 KVA UNIT MULTI CB DUAL 13.8 KV</v>
      </c>
      <c r="DA69" s="74">
        <f>'Equipment Selection'!K62</f>
        <v>0</v>
      </c>
      <c r="DB69" s="74">
        <f>'Equipment Selection'!L62</f>
        <v>0</v>
      </c>
      <c r="DD69" s="75">
        <v>1010602006</v>
      </c>
      <c r="DE69" s="74">
        <f>'Equipment Selection'!L57</f>
        <v>0</v>
      </c>
      <c r="DF69" s="77" t="s">
        <v>94</v>
      </c>
      <c r="DG69" s="74" t="str">
        <f>"1000 KVA UNIT MCB 230/400V "&amp;voltage</f>
        <v>1000 KVA UNIT MCB 230/400V 13.8 KV</v>
      </c>
      <c r="DH69" s="74"/>
      <c r="DI69" s="75">
        <v>1010602002</v>
      </c>
      <c r="DJ69" s="74">
        <f>'Equipment Selection'!K57</f>
        <v>0</v>
      </c>
      <c r="DK69" s="77" t="s">
        <v>94</v>
      </c>
      <c r="DL69" s="74" t="str">
        <f>"1000 KVA UNIT MCB 230/400V "&amp;voltage</f>
        <v>1000 KVA UNIT MCB 230/400V 13.8 KV</v>
      </c>
    </row>
    <row r="70" spans="1:116" ht="25.25" customHeight="1" thickTop="1" thickBot="1" x14ac:dyDescent="0.55000000000000004">
      <c r="A70" s="32"/>
      <c r="B70" s="10"/>
      <c r="C70" s="10"/>
      <c r="D70" s="11"/>
      <c r="E70" s="10"/>
      <c r="F70" s="10"/>
      <c r="G70" s="19"/>
      <c r="H70" s="19"/>
      <c r="I70" s="19"/>
      <c r="J70" s="19"/>
      <c r="K70" s="10"/>
      <c r="L70" s="10"/>
      <c r="M70" s="10"/>
      <c r="N70" s="10"/>
      <c r="O70" s="18"/>
      <c r="P70" s="18"/>
      <c r="Q70" s="21"/>
      <c r="R70" s="20"/>
      <c r="S70" s="16">
        <f t="shared" si="53"/>
        <v>0</v>
      </c>
      <c r="T70" s="11"/>
      <c r="AE70" s="38" t="s">
        <v>699</v>
      </c>
      <c r="AF70" s="31" t="s">
        <v>93</v>
      </c>
      <c r="AG70" s="35" t="s">
        <v>699</v>
      </c>
      <c r="AH70" s="39">
        <f>SUM(BM4:BM1500)</f>
        <v>0</v>
      </c>
      <c r="AI70" s="39" t="s">
        <v>700</v>
      </c>
      <c r="AJ70" s="39">
        <v>64</v>
      </c>
      <c r="AK70" s="36">
        <f t="shared" si="52"/>
        <v>0</v>
      </c>
      <c r="AR70" s="31"/>
      <c r="AS70" s="31">
        <f t="shared" si="54"/>
        <v>0</v>
      </c>
      <c r="AT70" s="31">
        <f t="shared" si="55"/>
        <v>0</v>
      </c>
      <c r="AU70" s="31">
        <f t="shared" si="56"/>
        <v>0</v>
      </c>
      <c r="AV70" s="31">
        <f t="shared" si="57"/>
        <v>0</v>
      </c>
      <c r="AW70" s="31">
        <f t="shared" si="58"/>
        <v>0</v>
      </c>
      <c r="AX70" s="31">
        <f t="shared" si="59"/>
        <v>0</v>
      </c>
      <c r="AY70" s="31">
        <f t="shared" si="60"/>
        <v>0</v>
      </c>
      <c r="AZ70" s="31">
        <f t="shared" si="61"/>
        <v>0</v>
      </c>
      <c r="BA70" s="31">
        <f t="shared" si="62"/>
        <v>0</v>
      </c>
      <c r="BB70" s="31">
        <f t="shared" si="91"/>
        <v>0</v>
      </c>
      <c r="BC70" s="31"/>
      <c r="BD70" s="31"/>
      <c r="BM70" s="8">
        <f t="shared" si="92"/>
        <v>0</v>
      </c>
      <c r="BN70" s="8">
        <f t="shared" si="63"/>
        <v>0</v>
      </c>
      <c r="BO70" s="8">
        <f t="shared" si="64"/>
        <v>0</v>
      </c>
      <c r="BQ70" s="8">
        <f t="shared" si="65"/>
        <v>0</v>
      </c>
      <c r="BR70" s="63">
        <f t="shared" si="66"/>
        <v>0</v>
      </c>
      <c r="BS70" s="63">
        <f t="shared" si="93"/>
        <v>0</v>
      </c>
      <c r="BT70" s="63">
        <f t="shared" si="67"/>
        <v>0</v>
      </c>
      <c r="BU70" s="63">
        <f t="shared" si="68"/>
        <v>0</v>
      </c>
      <c r="BV70" s="57">
        <f t="shared" si="69"/>
        <v>0</v>
      </c>
      <c r="BW70" s="57">
        <f t="shared" si="70"/>
        <v>0</v>
      </c>
      <c r="BX70" s="57">
        <f t="shared" si="94"/>
        <v>0</v>
      </c>
      <c r="BY70" s="57">
        <f t="shared" si="51"/>
        <v>0</v>
      </c>
      <c r="BZ70" s="8">
        <f t="shared" si="71"/>
        <v>0</v>
      </c>
      <c r="CA70" s="8">
        <f t="shared" si="72"/>
        <v>0</v>
      </c>
      <c r="CB70" s="8">
        <f t="shared" si="73"/>
        <v>0</v>
      </c>
      <c r="CC70" s="8">
        <f t="shared" si="74"/>
        <v>0</v>
      </c>
      <c r="CD70" s="8">
        <f t="shared" si="75"/>
        <v>0</v>
      </c>
      <c r="CE70" s="8">
        <f t="shared" si="76"/>
        <v>0</v>
      </c>
      <c r="CF70" s="8">
        <f t="shared" si="77"/>
        <v>0</v>
      </c>
      <c r="CG70" s="8">
        <f t="shared" si="78"/>
        <v>0</v>
      </c>
      <c r="CH70" s="8">
        <f t="shared" si="79"/>
        <v>0</v>
      </c>
      <c r="CI70" s="8">
        <f t="shared" si="80"/>
        <v>0</v>
      </c>
      <c r="CJ70" s="8">
        <f t="shared" si="81"/>
        <v>0</v>
      </c>
      <c r="CK70" s="8">
        <f t="shared" si="82"/>
        <v>0</v>
      </c>
      <c r="CL70" s="8">
        <f t="shared" si="83"/>
        <v>0</v>
      </c>
      <c r="CM70" s="8">
        <f t="shared" si="84"/>
        <v>0</v>
      </c>
      <c r="CN70" s="8">
        <f t="shared" si="85"/>
        <v>0</v>
      </c>
      <c r="CO70" s="8">
        <f t="shared" si="86"/>
        <v>0</v>
      </c>
      <c r="CP70" s="8">
        <f t="shared" si="87"/>
        <v>0</v>
      </c>
      <c r="CQ70" s="8">
        <f t="shared" si="88"/>
        <v>0</v>
      </c>
      <c r="CR70" s="8">
        <f t="shared" si="89"/>
        <v>0</v>
      </c>
      <c r="CS70" s="8">
        <f t="shared" si="90"/>
        <v>0</v>
      </c>
      <c r="CT70" s="8">
        <f t="shared" si="48"/>
        <v>0</v>
      </c>
      <c r="CU70" s="8">
        <f t="shared" si="49"/>
        <v>0</v>
      </c>
      <c r="CV70" s="8">
        <f t="shared" si="50"/>
        <v>0</v>
      </c>
      <c r="CW70" s="75">
        <v>1010603004</v>
      </c>
      <c r="CX70" s="75">
        <v>1010603008</v>
      </c>
      <c r="CY70" s="77" t="s">
        <v>94</v>
      </c>
      <c r="CZ70" s="74" t="str">
        <f>"1500 KVA UNIT MCB DUAL "&amp;voltage</f>
        <v>1500 KVA UNIT MCB DUAL 13.8 KV</v>
      </c>
      <c r="DA70" s="74">
        <f>'Equipment Selection'!K63</f>
        <v>0</v>
      </c>
      <c r="DB70" s="74">
        <f>'Equipment Selection'!L63</f>
        <v>0</v>
      </c>
      <c r="DD70" s="75">
        <v>1010602007</v>
      </c>
      <c r="DE70" s="74">
        <f>'Equipment Selection'!L58</f>
        <v>0</v>
      </c>
      <c r="DF70" s="77" t="s">
        <v>94</v>
      </c>
      <c r="DG70" s="74" t="str">
        <f>"1000 KVA UNIT MULTI CB DUAL "&amp;voltage</f>
        <v>1000 KVA UNIT MULTI CB DUAL 13.8 KV</v>
      </c>
      <c r="DH70" s="74"/>
      <c r="DI70" s="75">
        <v>1010602003</v>
      </c>
      <c r="DJ70" s="74">
        <f>'Equipment Selection'!K58</f>
        <v>0</v>
      </c>
      <c r="DK70" s="77" t="s">
        <v>94</v>
      </c>
      <c r="DL70" s="74" t="str">
        <f>"1000 KVA UNIT MULTI CB DUAL "&amp;voltage</f>
        <v>1000 KVA UNIT MULTI CB DUAL 13.8 KV</v>
      </c>
    </row>
    <row r="71" spans="1:116" ht="25.25" customHeight="1" thickTop="1" thickBot="1" x14ac:dyDescent="0.55000000000000004">
      <c r="A71" s="32"/>
      <c r="B71" s="10"/>
      <c r="C71" s="10"/>
      <c r="D71" s="11"/>
      <c r="E71" s="10"/>
      <c r="F71" s="10"/>
      <c r="G71" s="19"/>
      <c r="H71" s="19"/>
      <c r="I71" s="19"/>
      <c r="J71" s="19"/>
      <c r="K71" s="10"/>
      <c r="L71" s="10"/>
      <c r="M71" s="10"/>
      <c r="N71" s="10"/>
      <c r="O71" s="18"/>
      <c r="P71" s="18"/>
      <c r="Q71" s="21"/>
      <c r="R71" s="20"/>
      <c r="S71" s="16">
        <f t="shared" si="53"/>
        <v>0</v>
      </c>
      <c r="T71" s="11"/>
      <c r="AE71" s="31" t="s">
        <v>702</v>
      </c>
      <c r="AF71" s="31" t="s">
        <v>94</v>
      </c>
      <c r="AG71" s="35" t="s">
        <v>702</v>
      </c>
      <c r="AH71" s="39" cm="1">
        <f t="array" ref="AH71">cnfv("Concrete")</f>
        <v>0</v>
      </c>
      <c r="AI71" s="39" t="s">
        <v>703</v>
      </c>
      <c r="AJ71" s="39">
        <v>52</v>
      </c>
      <c r="AK71" s="36">
        <f t="shared" si="52"/>
        <v>0</v>
      </c>
      <c r="AR71" s="31"/>
      <c r="AS71" s="31">
        <f t="shared" si="54"/>
        <v>0</v>
      </c>
      <c r="AT71" s="31">
        <f t="shared" si="55"/>
        <v>0</v>
      </c>
      <c r="AU71" s="31">
        <f t="shared" si="56"/>
        <v>0</v>
      </c>
      <c r="AV71" s="31">
        <f t="shared" si="57"/>
        <v>0</v>
      </c>
      <c r="AW71" s="31">
        <f t="shared" si="58"/>
        <v>0</v>
      </c>
      <c r="AX71" s="31">
        <f t="shared" si="59"/>
        <v>0</v>
      </c>
      <c r="AY71" s="31">
        <f t="shared" si="60"/>
        <v>0</v>
      </c>
      <c r="AZ71" s="31">
        <f t="shared" si="61"/>
        <v>0</v>
      </c>
      <c r="BA71" s="31">
        <f t="shared" si="62"/>
        <v>0</v>
      </c>
      <c r="BB71" s="31">
        <f t="shared" si="91"/>
        <v>0</v>
      </c>
      <c r="BC71" s="31"/>
      <c r="BD71" s="31"/>
      <c r="BM71" s="8">
        <f t="shared" si="92"/>
        <v>0</v>
      </c>
      <c r="BN71" s="8">
        <f t="shared" si="63"/>
        <v>0</v>
      </c>
      <c r="BO71" s="8">
        <f t="shared" si="64"/>
        <v>0</v>
      </c>
      <c r="BQ71" s="8">
        <f t="shared" si="65"/>
        <v>0</v>
      </c>
      <c r="BR71" s="63">
        <f t="shared" si="66"/>
        <v>0</v>
      </c>
      <c r="BS71" s="63">
        <f t="shared" si="93"/>
        <v>0</v>
      </c>
      <c r="BT71" s="63">
        <f t="shared" si="67"/>
        <v>0</v>
      </c>
      <c r="BU71" s="63">
        <f t="shared" si="68"/>
        <v>0</v>
      </c>
      <c r="BV71" s="57">
        <f t="shared" si="69"/>
        <v>0</v>
      </c>
      <c r="BW71" s="57">
        <f t="shared" si="70"/>
        <v>0</v>
      </c>
      <c r="BX71" s="57">
        <f t="shared" si="94"/>
        <v>0</v>
      </c>
      <c r="BY71" s="57">
        <f t="shared" si="51"/>
        <v>0</v>
      </c>
      <c r="BZ71" s="8">
        <f t="shared" si="71"/>
        <v>0</v>
      </c>
      <c r="CA71" s="8">
        <f t="shared" si="72"/>
        <v>0</v>
      </c>
      <c r="CB71" s="8">
        <f t="shared" si="73"/>
        <v>0</v>
      </c>
      <c r="CC71" s="8">
        <f t="shared" si="74"/>
        <v>0</v>
      </c>
      <c r="CD71" s="8">
        <f t="shared" si="75"/>
        <v>0</v>
      </c>
      <c r="CE71" s="8">
        <f t="shared" si="76"/>
        <v>0</v>
      </c>
      <c r="CF71" s="8">
        <f t="shared" si="77"/>
        <v>0</v>
      </c>
      <c r="CG71" s="8">
        <f t="shared" si="78"/>
        <v>0</v>
      </c>
      <c r="CH71" s="8">
        <f t="shared" si="79"/>
        <v>0</v>
      </c>
      <c r="CI71" s="8">
        <f t="shared" si="80"/>
        <v>0</v>
      </c>
      <c r="CJ71" s="8">
        <f t="shared" si="81"/>
        <v>0</v>
      </c>
      <c r="CK71" s="8">
        <f t="shared" si="82"/>
        <v>0</v>
      </c>
      <c r="CL71" s="8">
        <f t="shared" si="83"/>
        <v>0</v>
      </c>
      <c r="CM71" s="8">
        <f t="shared" si="84"/>
        <v>0</v>
      </c>
      <c r="CN71" s="8">
        <f t="shared" si="85"/>
        <v>0</v>
      </c>
      <c r="CO71" s="8">
        <f t="shared" si="86"/>
        <v>0</v>
      </c>
      <c r="CP71" s="8">
        <f t="shared" si="87"/>
        <v>0</v>
      </c>
      <c r="CQ71" s="8">
        <f t="shared" si="88"/>
        <v>0</v>
      </c>
      <c r="CR71" s="8">
        <f t="shared" si="89"/>
        <v>0</v>
      </c>
      <c r="CS71" s="8">
        <f t="shared" si="90"/>
        <v>0</v>
      </c>
      <c r="CT71" s="8">
        <f t="shared" si="48"/>
        <v>0</v>
      </c>
      <c r="CU71" s="8">
        <f t="shared" si="49"/>
        <v>0</v>
      </c>
      <c r="CV71" s="8">
        <f t="shared" si="50"/>
        <v>0</v>
      </c>
      <c r="CW71" s="77">
        <v>1010202002</v>
      </c>
      <c r="CX71" s="77"/>
      <c r="CY71" s="77" t="s">
        <v>94</v>
      </c>
      <c r="CZ71" s="78" t="s">
        <v>382</v>
      </c>
      <c r="DA71" s="78">
        <f>IF(voltage="13.8 KV",AH45,0)</f>
        <v>0</v>
      </c>
      <c r="DB71" s="78"/>
      <c r="DD71" s="75">
        <v>1010602008</v>
      </c>
      <c r="DE71" s="74">
        <f>'Equipment Selection'!L59</f>
        <v>0</v>
      </c>
      <c r="DF71" s="77" t="s">
        <v>94</v>
      </c>
      <c r="DG71" s="74" t="str">
        <f>"1000 KVA UNIT MCB DUAL "&amp;voltage</f>
        <v>1000 KVA UNIT MCB DUAL 13.8 KV</v>
      </c>
      <c r="DH71" s="74"/>
      <c r="DI71" s="75">
        <v>1010602004</v>
      </c>
      <c r="DJ71" s="74">
        <f>'Equipment Selection'!K59</f>
        <v>0</v>
      </c>
      <c r="DK71" s="77" t="s">
        <v>94</v>
      </c>
      <c r="DL71" s="74" t="str">
        <f>"1000 KVA UNIT MCB DUAL "&amp;voltage</f>
        <v>1000 KVA UNIT MCB DUAL 13.8 KV</v>
      </c>
    </row>
    <row r="72" spans="1:116" ht="25.25" customHeight="1" thickTop="1" thickBot="1" x14ac:dyDescent="0.55000000000000004">
      <c r="A72" s="32"/>
      <c r="B72" s="10"/>
      <c r="C72" s="10"/>
      <c r="D72" s="11"/>
      <c r="E72" s="10"/>
      <c r="F72" s="10"/>
      <c r="G72" s="19"/>
      <c r="H72" s="19"/>
      <c r="I72" s="19"/>
      <c r="J72" s="19"/>
      <c r="K72" s="10"/>
      <c r="L72" s="10"/>
      <c r="M72" s="10"/>
      <c r="N72" s="10"/>
      <c r="O72" s="18"/>
      <c r="P72" s="18"/>
      <c r="Q72" s="21"/>
      <c r="R72" s="20"/>
      <c r="S72" s="16">
        <f t="shared" si="53"/>
        <v>0</v>
      </c>
      <c r="T72" s="11"/>
      <c r="AE72" s="35" t="s">
        <v>704</v>
      </c>
      <c r="AF72" s="31" t="s">
        <v>94</v>
      </c>
      <c r="AG72" s="35" t="s">
        <v>704</v>
      </c>
      <c r="AH72" s="39">
        <v>1</v>
      </c>
      <c r="AI72" s="39" t="s">
        <v>706</v>
      </c>
      <c r="AJ72" s="39">
        <v>227</v>
      </c>
      <c r="AK72" s="36">
        <f t="shared" si="52"/>
        <v>227</v>
      </c>
      <c r="AR72" s="31"/>
      <c r="AS72" s="31">
        <f t="shared" si="54"/>
        <v>0</v>
      </c>
      <c r="AT72" s="31">
        <f t="shared" si="55"/>
        <v>0</v>
      </c>
      <c r="AU72" s="31">
        <f t="shared" si="56"/>
        <v>0</v>
      </c>
      <c r="AV72" s="31">
        <f t="shared" si="57"/>
        <v>0</v>
      </c>
      <c r="AW72" s="31">
        <f t="shared" si="58"/>
        <v>0</v>
      </c>
      <c r="AX72" s="31">
        <f t="shared" si="59"/>
        <v>0</v>
      </c>
      <c r="AY72" s="31">
        <f t="shared" si="60"/>
        <v>0</v>
      </c>
      <c r="AZ72" s="31">
        <f t="shared" si="61"/>
        <v>0</v>
      </c>
      <c r="BA72" s="31">
        <f t="shared" si="62"/>
        <v>0</v>
      </c>
      <c r="BB72" s="31">
        <f t="shared" si="91"/>
        <v>0</v>
      </c>
      <c r="BC72" s="31"/>
      <c r="BD72" s="31"/>
      <c r="BM72" s="8">
        <f t="shared" si="92"/>
        <v>0</v>
      </c>
      <c r="BN72" s="8">
        <f t="shared" si="63"/>
        <v>0</v>
      </c>
      <c r="BO72" s="8">
        <f t="shared" si="64"/>
        <v>0</v>
      </c>
      <c r="BQ72" s="8">
        <f t="shared" si="65"/>
        <v>0</v>
      </c>
      <c r="BR72" s="63">
        <f t="shared" si="66"/>
        <v>0</v>
      </c>
      <c r="BS72" s="63">
        <f t="shared" si="93"/>
        <v>0</v>
      </c>
      <c r="BT72" s="63">
        <f t="shared" si="67"/>
        <v>0</v>
      </c>
      <c r="BU72" s="63">
        <f t="shared" si="68"/>
        <v>0</v>
      </c>
      <c r="BV72" s="57">
        <f t="shared" si="69"/>
        <v>0</v>
      </c>
      <c r="BW72" s="57">
        <f t="shared" si="70"/>
        <v>0</v>
      </c>
      <c r="BX72" s="57">
        <f t="shared" si="94"/>
        <v>0</v>
      </c>
      <c r="BY72" s="57">
        <f t="shared" si="51"/>
        <v>0</v>
      </c>
      <c r="BZ72" s="8">
        <f t="shared" si="71"/>
        <v>0</v>
      </c>
      <c r="CA72" s="8">
        <f t="shared" si="72"/>
        <v>0</v>
      </c>
      <c r="CB72" s="8">
        <f t="shared" si="73"/>
        <v>0</v>
      </c>
      <c r="CC72" s="8">
        <f t="shared" si="74"/>
        <v>0</v>
      </c>
      <c r="CD72" s="8">
        <f t="shared" si="75"/>
        <v>0</v>
      </c>
      <c r="CE72" s="8">
        <f t="shared" si="76"/>
        <v>0</v>
      </c>
      <c r="CF72" s="8">
        <f t="shared" si="77"/>
        <v>0</v>
      </c>
      <c r="CG72" s="8">
        <f t="shared" si="78"/>
        <v>0</v>
      </c>
      <c r="CH72" s="8">
        <f t="shared" si="79"/>
        <v>0</v>
      </c>
      <c r="CI72" s="8">
        <f t="shared" si="80"/>
        <v>0</v>
      </c>
      <c r="CJ72" s="8">
        <f t="shared" si="81"/>
        <v>0</v>
      </c>
      <c r="CK72" s="8">
        <f t="shared" si="82"/>
        <v>0</v>
      </c>
      <c r="CL72" s="8">
        <f t="shared" si="83"/>
        <v>0</v>
      </c>
      <c r="CM72" s="8">
        <f t="shared" si="84"/>
        <v>0</v>
      </c>
      <c r="CN72" s="8">
        <f t="shared" si="85"/>
        <v>0</v>
      </c>
      <c r="CO72" s="8">
        <f t="shared" si="86"/>
        <v>0</v>
      </c>
      <c r="CP72" s="8">
        <f t="shared" si="87"/>
        <v>0</v>
      </c>
      <c r="CQ72" s="8">
        <f t="shared" si="88"/>
        <v>0</v>
      </c>
      <c r="CR72" s="8">
        <f t="shared" si="89"/>
        <v>0</v>
      </c>
      <c r="CS72" s="8">
        <f t="shared" si="90"/>
        <v>0</v>
      </c>
      <c r="CT72" s="8">
        <f t="shared" si="48"/>
        <v>0</v>
      </c>
      <c r="CU72" s="8">
        <f t="shared" si="49"/>
        <v>0</v>
      </c>
      <c r="CV72" s="8">
        <f t="shared" si="50"/>
        <v>0</v>
      </c>
      <c r="CW72" s="77"/>
      <c r="CX72" s="77">
        <v>1010203003</v>
      </c>
      <c r="CY72" s="77" t="s">
        <v>94</v>
      </c>
      <c r="CZ72" s="78" t="s">
        <v>383</v>
      </c>
      <c r="DA72" s="78">
        <v>0</v>
      </c>
      <c r="DB72" s="78">
        <f>IF(voltage="33 KV",AH45,0)</f>
        <v>0</v>
      </c>
      <c r="DD72" s="75">
        <v>1010603005</v>
      </c>
      <c r="DE72" s="74">
        <f>'Equipment Selection'!L60</f>
        <v>0</v>
      </c>
      <c r="DF72" s="77" t="s">
        <v>94</v>
      </c>
      <c r="DG72" s="74" t="str">
        <f>"1500 KVA UNIT MULTI CB 230/400V "&amp;voltage</f>
        <v>1500 KVA UNIT MULTI CB 230/400V 13.8 KV</v>
      </c>
      <c r="DH72" s="74"/>
      <c r="DI72" s="75">
        <v>1010603001</v>
      </c>
      <c r="DJ72" s="74">
        <f>'Equipment Selection'!K60</f>
        <v>0</v>
      </c>
      <c r="DK72" s="77" t="s">
        <v>94</v>
      </c>
      <c r="DL72" s="74" t="str">
        <f>"1500 KVA UNIT MULTI CB 230/400V "&amp;voltage</f>
        <v>1500 KVA UNIT MULTI CB 230/400V 13.8 KV</v>
      </c>
    </row>
    <row r="73" spans="1:116" ht="25.25" customHeight="1" thickTop="1" thickBot="1" x14ac:dyDescent="0.55000000000000004">
      <c r="A73" s="32"/>
      <c r="B73" s="10"/>
      <c r="C73" s="10"/>
      <c r="D73" s="11"/>
      <c r="E73" s="10"/>
      <c r="F73" s="10"/>
      <c r="G73" s="19"/>
      <c r="H73" s="19"/>
      <c r="I73" s="19"/>
      <c r="J73" s="19"/>
      <c r="K73" s="10"/>
      <c r="L73" s="10"/>
      <c r="M73" s="10"/>
      <c r="N73" s="10"/>
      <c r="O73" s="18"/>
      <c r="P73" s="18"/>
      <c r="Q73" s="21"/>
      <c r="R73" s="20"/>
      <c r="S73" s="16">
        <f t="shared" si="53"/>
        <v>0</v>
      </c>
      <c r="T73" s="11"/>
      <c r="AE73" s="35" t="s">
        <v>705</v>
      </c>
      <c r="AF73" s="31" t="s">
        <v>94</v>
      </c>
      <c r="AG73" s="35" t="s">
        <v>705</v>
      </c>
      <c r="AH73" s="39">
        <v>1</v>
      </c>
      <c r="AI73" s="39" t="s">
        <v>707</v>
      </c>
      <c r="AJ73" s="39">
        <v>314</v>
      </c>
      <c r="AK73" s="36">
        <f t="shared" si="52"/>
        <v>314</v>
      </c>
      <c r="AR73" s="31"/>
      <c r="AS73" s="31">
        <f t="shared" si="54"/>
        <v>0</v>
      </c>
      <c r="AT73" s="31">
        <f t="shared" si="55"/>
        <v>0</v>
      </c>
      <c r="AU73" s="31">
        <f t="shared" si="56"/>
        <v>0</v>
      </c>
      <c r="AV73" s="31">
        <f t="shared" si="57"/>
        <v>0</v>
      </c>
      <c r="AW73" s="31">
        <f t="shared" si="58"/>
        <v>0</v>
      </c>
      <c r="AX73" s="31">
        <f t="shared" si="59"/>
        <v>0</v>
      </c>
      <c r="AY73" s="31">
        <f t="shared" si="60"/>
        <v>0</v>
      </c>
      <c r="AZ73" s="31">
        <f t="shared" si="61"/>
        <v>0</v>
      </c>
      <c r="BA73" s="31">
        <f t="shared" si="62"/>
        <v>0</v>
      </c>
      <c r="BB73" s="31">
        <f t="shared" si="91"/>
        <v>0</v>
      </c>
      <c r="BC73" s="31"/>
      <c r="BD73" s="31"/>
      <c r="BM73" s="8">
        <f t="shared" si="92"/>
        <v>0</v>
      </c>
      <c r="BN73" s="8">
        <f t="shared" si="63"/>
        <v>0</v>
      </c>
      <c r="BO73" s="8">
        <f t="shared" si="64"/>
        <v>0</v>
      </c>
      <c r="BQ73" s="8">
        <f t="shared" si="65"/>
        <v>0</v>
      </c>
      <c r="BR73" s="63">
        <f t="shared" si="66"/>
        <v>0</v>
      </c>
      <c r="BS73" s="63">
        <f t="shared" si="93"/>
        <v>0</v>
      </c>
      <c r="BT73" s="63">
        <f t="shared" si="67"/>
        <v>0</v>
      </c>
      <c r="BU73" s="63">
        <f t="shared" si="68"/>
        <v>0</v>
      </c>
      <c r="BV73" s="57">
        <f t="shared" si="69"/>
        <v>0</v>
      </c>
      <c r="BW73" s="57">
        <f t="shared" si="70"/>
        <v>0</v>
      </c>
      <c r="BX73" s="57">
        <f t="shared" si="94"/>
        <v>0</v>
      </c>
      <c r="BY73" s="57">
        <f t="shared" si="51"/>
        <v>0</v>
      </c>
      <c r="BZ73" s="8">
        <f t="shared" si="71"/>
        <v>0</v>
      </c>
      <c r="CA73" s="8">
        <f t="shared" si="72"/>
        <v>0</v>
      </c>
      <c r="CB73" s="8">
        <f t="shared" si="73"/>
        <v>0</v>
      </c>
      <c r="CC73" s="8">
        <f t="shared" si="74"/>
        <v>0</v>
      </c>
      <c r="CD73" s="8">
        <f t="shared" si="75"/>
        <v>0</v>
      </c>
      <c r="CE73" s="8">
        <f t="shared" si="76"/>
        <v>0</v>
      </c>
      <c r="CF73" s="8">
        <f t="shared" si="77"/>
        <v>0</v>
      </c>
      <c r="CG73" s="8">
        <f t="shared" si="78"/>
        <v>0</v>
      </c>
      <c r="CH73" s="8">
        <f t="shared" si="79"/>
        <v>0</v>
      </c>
      <c r="CI73" s="8">
        <f t="shared" si="80"/>
        <v>0</v>
      </c>
      <c r="CJ73" s="8">
        <f t="shared" si="81"/>
        <v>0</v>
      </c>
      <c r="CK73" s="8">
        <f t="shared" si="82"/>
        <v>0</v>
      </c>
      <c r="CL73" s="8">
        <f t="shared" si="83"/>
        <v>0</v>
      </c>
      <c r="CM73" s="8">
        <f t="shared" si="84"/>
        <v>0</v>
      </c>
      <c r="CN73" s="8">
        <f t="shared" si="85"/>
        <v>0</v>
      </c>
      <c r="CO73" s="8">
        <f t="shared" si="86"/>
        <v>0</v>
      </c>
      <c r="CP73" s="8">
        <f t="shared" si="87"/>
        <v>0</v>
      </c>
      <c r="CQ73" s="8">
        <f t="shared" si="88"/>
        <v>0</v>
      </c>
      <c r="CR73" s="8">
        <f t="shared" si="89"/>
        <v>0</v>
      </c>
      <c r="CS73" s="8">
        <f t="shared" si="90"/>
        <v>0</v>
      </c>
      <c r="CT73" s="8">
        <f t="shared" si="48"/>
        <v>0</v>
      </c>
      <c r="CU73" s="8">
        <f t="shared" si="49"/>
        <v>0</v>
      </c>
      <c r="CV73" s="8">
        <f t="shared" si="50"/>
        <v>0</v>
      </c>
      <c r="CW73" s="77">
        <v>1010202010</v>
      </c>
      <c r="CX73" s="77"/>
      <c r="CY73" s="77" t="s">
        <v>94</v>
      </c>
      <c r="CZ73" s="78" t="s">
        <v>384</v>
      </c>
      <c r="DA73" s="78">
        <f>IF(voltage="13.8 KV",AH69,0)</f>
        <v>0</v>
      </c>
      <c r="DB73" s="78"/>
      <c r="DD73" s="75">
        <v>1010603006</v>
      </c>
      <c r="DE73" s="74">
        <f>'Equipment Selection'!L61</f>
        <v>0</v>
      </c>
      <c r="DF73" s="77" t="s">
        <v>94</v>
      </c>
      <c r="DG73" s="74" t="str">
        <f>"1500 KVA UNIT MCB 230/400V "&amp;voltage</f>
        <v>1500 KVA UNIT MCB 230/400V 13.8 KV</v>
      </c>
      <c r="DH73" s="74"/>
      <c r="DI73" s="75">
        <v>1010603002</v>
      </c>
      <c r="DJ73" s="74">
        <f>'Equipment Selection'!K61</f>
        <v>0</v>
      </c>
      <c r="DK73" s="77" t="s">
        <v>94</v>
      </c>
      <c r="DL73" s="74" t="str">
        <f>"1500 KVA UNIT MCB 230/400V "&amp;voltage</f>
        <v>1500 KVA UNIT MCB 230/400V 13.8 KV</v>
      </c>
    </row>
    <row r="74" spans="1:116" ht="25.25" customHeight="1" thickTop="1" thickBot="1" x14ac:dyDescent="0.55000000000000004">
      <c r="A74" s="32"/>
      <c r="B74" s="10"/>
      <c r="C74" s="10"/>
      <c r="D74" s="11"/>
      <c r="E74" s="10"/>
      <c r="F74" s="10"/>
      <c r="G74" s="19"/>
      <c r="H74" s="19"/>
      <c r="I74" s="19"/>
      <c r="J74" s="19"/>
      <c r="K74" s="10"/>
      <c r="L74" s="10"/>
      <c r="M74" s="10"/>
      <c r="N74" s="10"/>
      <c r="O74" s="18"/>
      <c r="P74" s="18"/>
      <c r="Q74" s="21"/>
      <c r="R74" s="20"/>
      <c r="S74" s="16">
        <f t="shared" si="53"/>
        <v>0</v>
      </c>
      <c r="T74" s="11"/>
      <c r="AE74" s="35" t="s">
        <v>709</v>
      </c>
      <c r="AF74" s="31" t="s">
        <v>94</v>
      </c>
      <c r="AG74" s="35" t="s">
        <v>709</v>
      </c>
      <c r="AH74" s="39">
        <f>IF(AND(SUM(F4:F1500)=0,SUM(G4:G1500)&gt;0),2,0)</f>
        <v>0</v>
      </c>
      <c r="AI74" s="39" t="s">
        <v>710</v>
      </c>
      <c r="AJ74" s="39">
        <v>50</v>
      </c>
      <c r="AK74" s="36">
        <f t="shared" si="52"/>
        <v>0</v>
      </c>
      <c r="AR74" s="31"/>
      <c r="AS74" s="31">
        <f t="shared" si="54"/>
        <v>0</v>
      </c>
      <c r="AT74" s="31">
        <f t="shared" si="55"/>
        <v>0</v>
      </c>
      <c r="AU74" s="31">
        <f t="shared" si="56"/>
        <v>0</v>
      </c>
      <c r="AV74" s="31">
        <f t="shared" si="57"/>
        <v>0</v>
      </c>
      <c r="AW74" s="31">
        <f t="shared" si="58"/>
        <v>0</v>
      </c>
      <c r="AX74" s="31">
        <f t="shared" si="59"/>
        <v>0</v>
      </c>
      <c r="AY74" s="31">
        <f t="shared" si="60"/>
        <v>0</v>
      </c>
      <c r="AZ74" s="31">
        <f t="shared" si="61"/>
        <v>0</v>
      </c>
      <c r="BA74" s="31">
        <f t="shared" si="62"/>
        <v>0</v>
      </c>
      <c r="BB74" s="31">
        <f t="shared" si="91"/>
        <v>0</v>
      </c>
      <c r="BC74" s="31"/>
      <c r="BD74" s="31"/>
      <c r="BM74" s="8">
        <f t="shared" si="92"/>
        <v>0</v>
      </c>
      <c r="BN74" s="8">
        <f t="shared" si="63"/>
        <v>0</v>
      </c>
      <c r="BO74" s="8">
        <f t="shared" si="64"/>
        <v>0</v>
      </c>
      <c r="BQ74" s="8">
        <f t="shared" si="65"/>
        <v>0</v>
      </c>
      <c r="BR74" s="63">
        <f t="shared" si="66"/>
        <v>0</v>
      </c>
      <c r="BS74" s="63">
        <f t="shared" si="93"/>
        <v>0</v>
      </c>
      <c r="BT74" s="63">
        <f t="shared" si="67"/>
        <v>0</v>
      </c>
      <c r="BU74" s="63">
        <f t="shared" si="68"/>
        <v>0</v>
      </c>
      <c r="BV74" s="57">
        <f t="shared" si="69"/>
        <v>0</v>
      </c>
      <c r="BW74" s="57">
        <f t="shared" si="70"/>
        <v>0</v>
      </c>
      <c r="BX74" s="57">
        <f t="shared" si="94"/>
        <v>0</v>
      </c>
      <c r="BY74" s="57">
        <f t="shared" si="51"/>
        <v>0</v>
      </c>
      <c r="BZ74" s="8">
        <f t="shared" si="71"/>
        <v>0</v>
      </c>
      <c r="CA74" s="8">
        <f t="shared" si="72"/>
        <v>0</v>
      </c>
      <c r="CB74" s="8">
        <f t="shared" si="73"/>
        <v>0</v>
      </c>
      <c r="CC74" s="8">
        <f t="shared" si="74"/>
        <v>0</v>
      </c>
      <c r="CD74" s="8">
        <f t="shared" si="75"/>
        <v>0</v>
      </c>
      <c r="CE74" s="8">
        <f t="shared" si="76"/>
        <v>0</v>
      </c>
      <c r="CF74" s="8">
        <f t="shared" si="77"/>
        <v>0</v>
      </c>
      <c r="CG74" s="8">
        <f t="shared" si="78"/>
        <v>0</v>
      </c>
      <c r="CH74" s="8">
        <f t="shared" si="79"/>
        <v>0</v>
      </c>
      <c r="CI74" s="8">
        <f t="shared" si="80"/>
        <v>0</v>
      </c>
      <c r="CJ74" s="8">
        <f t="shared" si="81"/>
        <v>0</v>
      </c>
      <c r="CK74" s="8">
        <f t="shared" si="82"/>
        <v>0</v>
      </c>
      <c r="CL74" s="8">
        <f t="shared" si="83"/>
        <v>0</v>
      </c>
      <c r="CM74" s="8">
        <f t="shared" si="84"/>
        <v>0</v>
      </c>
      <c r="CN74" s="8">
        <f t="shared" si="85"/>
        <v>0</v>
      </c>
      <c r="CO74" s="8">
        <f t="shared" si="86"/>
        <v>0</v>
      </c>
      <c r="CP74" s="8">
        <f t="shared" si="87"/>
        <v>0</v>
      </c>
      <c r="CQ74" s="8">
        <f t="shared" si="88"/>
        <v>0</v>
      </c>
      <c r="CR74" s="8">
        <f t="shared" si="89"/>
        <v>0</v>
      </c>
      <c r="CS74" s="8">
        <f t="shared" si="90"/>
        <v>0</v>
      </c>
      <c r="CT74" s="8">
        <f t="shared" si="48"/>
        <v>0</v>
      </c>
      <c r="CU74" s="8">
        <f t="shared" si="49"/>
        <v>0</v>
      </c>
      <c r="CV74" s="8">
        <f t="shared" si="50"/>
        <v>0</v>
      </c>
      <c r="CW74" s="77">
        <v>1010202009</v>
      </c>
      <c r="CX74" s="77"/>
      <c r="CY74" s="77" t="s">
        <v>94</v>
      </c>
      <c r="CZ74" s="78" t="s">
        <v>385</v>
      </c>
      <c r="DA74" s="78">
        <f>IF(voltage="13.8 KV",AH69,0)</f>
        <v>0</v>
      </c>
      <c r="DB74" s="78"/>
      <c r="DD74" s="75">
        <v>1010603007</v>
      </c>
      <c r="DE74" s="74">
        <f>'Equipment Selection'!L62</f>
        <v>0</v>
      </c>
      <c r="DF74" s="77" t="s">
        <v>94</v>
      </c>
      <c r="DG74" s="74" t="str">
        <f>"1500 KVA UNIT MULTI CB DUAL "&amp;voltage</f>
        <v>1500 KVA UNIT MULTI CB DUAL 13.8 KV</v>
      </c>
      <c r="DH74" s="74"/>
      <c r="DI74" s="75">
        <v>1010603003</v>
      </c>
      <c r="DJ74" s="74">
        <f>'Equipment Selection'!K62</f>
        <v>0</v>
      </c>
      <c r="DK74" s="77" t="s">
        <v>94</v>
      </c>
      <c r="DL74" s="74" t="str">
        <f>"1500 KVA UNIT MULTI CB DUAL "&amp;voltage</f>
        <v>1500 KVA UNIT MULTI CB DUAL 13.8 KV</v>
      </c>
    </row>
    <row r="75" spans="1:116" ht="25.25" customHeight="1" thickTop="1" thickBot="1" x14ac:dyDescent="0.5">
      <c r="A75" s="32"/>
      <c r="B75" s="10"/>
      <c r="C75" s="10"/>
      <c r="D75" s="11"/>
      <c r="E75" s="10"/>
      <c r="F75" s="10"/>
      <c r="G75" s="19"/>
      <c r="H75" s="19"/>
      <c r="I75" s="19"/>
      <c r="J75" s="19"/>
      <c r="K75" s="10"/>
      <c r="L75" s="10"/>
      <c r="M75" s="10"/>
      <c r="N75" s="10"/>
      <c r="O75" s="18"/>
      <c r="P75" s="18"/>
      <c r="Q75" s="21"/>
      <c r="R75" s="20"/>
      <c r="S75" s="16">
        <f t="shared" si="53"/>
        <v>0</v>
      </c>
      <c r="T75" s="11"/>
      <c r="AR75" s="31"/>
      <c r="AS75" s="31">
        <f t="shared" si="54"/>
        <v>0</v>
      </c>
      <c r="AT75" s="31">
        <f t="shared" si="55"/>
        <v>0</v>
      </c>
      <c r="AU75" s="31">
        <f t="shared" si="56"/>
        <v>0</v>
      </c>
      <c r="AV75" s="31">
        <f t="shared" si="57"/>
        <v>0</v>
      </c>
      <c r="AW75" s="31">
        <f t="shared" si="58"/>
        <v>0</v>
      </c>
      <c r="AX75" s="31">
        <f t="shared" si="59"/>
        <v>0</v>
      </c>
      <c r="AY75" s="31">
        <f t="shared" si="60"/>
        <v>0</v>
      </c>
      <c r="AZ75" s="31">
        <f t="shared" si="61"/>
        <v>0</v>
      </c>
      <c r="BA75" s="31">
        <f t="shared" si="62"/>
        <v>0</v>
      </c>
      <c r="BB75" s="31">
        <f t="shared" si="91"/>
        <v>0</v>
      </c>
      <c r="BC75" s="31"/>
      <c r="BD75" s="31"/>
      <c r="BM75" s="8">
        <f t="shared" si="92"/>
        <v>0</v>
      </c>
      <c r="BN75" s="8">
        <f t="shared" si="63"/>
        <v>0</v>
      </c>
      <c r="BO75" s="8">
        <f t="shared" si="64"/>
        <v>0</v>
      </c>
      <c r="BQ75" s="8">
        <f t="shared" si="65"/>
        <v>0</v>
      </c>
      <c r="BR75" s="63">
        <f t="shared" si="66"/>
        <v>0</v>
      </c>
      <c r="BS75" s="63">
        <f t="shared" si="93"/>
        <v>0</v>
      </c>
      <c r="BT75" s="63">
        <f t="shared" si="67"/>
        <v>0</v>
      </c>
      <c r="BU75" s="63">
        <f t="shared" si="68"/>
        <v>0</v>
      </c>
      <c r="BV75" s="57">
        <f t="shared" si="69"/>
        <v>0</v>
      </c>
      <c r="BW75" s="57">
        <f t="shared" si="70"/>
        <v>0</v>
      </c>
      <c r="BX75" s="57">
        <f t="shared" si="94"/>
        <v>0</v>
      </c>
      <c r="BY75" s="57">
        <f t="shared" si="51"/>
        <v>0</v>
      </c>
      <c r="BZ75" s="8">
        <f t="shared" si="71"/>
        <v>0</v>
      </c>
      <c r="CA75" s="8">
        <f t="shared" si="72"/>
        <v>0</v>
      </c>
      <c r="CB75" s="8">
        <f t="shared" si="73"/>
        <v>0</v>
      </c>
      <c r="CC75" s="8">
        <f t="shared" si="74"/>
        <v>0</v>
      </c>
      <c r="CD75" s="8">
        <f t="shared" si="75"/>
        <v>0</v>
      </c>
      <c r="CE75" s="8">
        <f t="shared" si="76"/>
        <v>0</v>
      </c>
      <c r="CF75" s="8">
        <f t="shared" si="77"/>
        <v>0</v>
      </c>
      <c r="CG75" s="8">
        <f t="shared" si="78"/>
        <v>0</v>
      </c>
      <c r="CH75" s="8">
        <f t="shared" si="79"/>
        <v>0</v>
      </c>
      <c r="CI75" s="8">
        <f t="shared" si="80"/>
        <v>0</v>
      </c>
      <c r="CJ75" s="8">
        <f t="shared" si="81"/>
        <v>0</v>
      </c>
      <c r="CK75" s="8">
        <f t="shared" si="82"/>
        <v>0</v>
      </c>
      <c r="CL75" s="8">
        <f t="shared" si="83"/>
        <v>0</v>
      </c>
      <c r="CM75" s="8">
        <f t="shared" si="84"/>
        <v>0</v>
      </c>
      <c r="CN75" s="8">
        <f t="shared" si="85"/>
        <v>0</v>
      </c>
      <c r="CO75" s="8">
        <f t="shared" si="86"/>
        <v>0</v>
      </c>
      <c r="CP75" s="8">
        <f t="shared" si="87"/>
        <v>0</v>
      </c>
      <c r="CQ75" s="8">
        <f t="shared" si="88"/>
        <v>0</v>
      </c>
      <c r="CR75" s="8">
        <f t="shared" si="89"/>
        <v>0</v>
      </c>
      <c r="CS75" s="8">
        <f t="shared" si="90"/>
        <v>0</v>
      </c>
      <c r="CT75" s="8">
        <f t="shared" si="48"/>
        <v>0</v>
      </c>
      <c r="CU75" s="8">
        <f t="shared" si="49"/>
        <v>0</v>
      </c>
      <c r="CV75" s="8">
        <f t="shared" si="50"/>
        <v>0</v>
      </c>
      <c r="CW75" s="77"/>
      <c r="CX75" s="77">
        <v>1010203005</v>
      </c>
      <c r="CY75" s="77" t="s">
        <v>94</v>
      </c>
      <c r="CZ75" s="78" t="s">
        <v>386</v>
      </c>
      <c r="DA75" s="78">
        <v>0</v>
      </c>
      <c r="DB75" s="78">
        <f>IF(voltage="33 KV",AH69,0)</f>
        <v>0</v>
      </c>
      <c r="DD75" s="75">
        <v>1010603008</v>
      </c>
      <c r="DE75" s="74">
        <f>'Equipment Selection'!L63</f>
        <v>0</v>
      </c>
      <c r="DF75" s="77" t="s">
        <v>94</v>
      </c>
      <c r="DG75" s="74" t="str">
        <f>"1500 KVA UNIT MCB DUAL "&amp;voltage</f>
        <v>1500 KVA UNIT MCB DUAL 13.8 KV</v>
      </c>
      <c r="DH75" s="74"/>
      <c r="DI75" s="75">
        <v>1010603004</v>
      </c>
      <c r="DJ75" s="74">
        <f>'Equipment Selection'!K63</f>
        <v>0</v>
      </c>
      <c r="DK75" s="77" t="s">
        <v>94</v>
      </c>
      <c r="DL75" s="74" t="str">
        <f>"1500 KVA UNIT MCB DUAL "&amp;voltage</f>
        <v>1500 KVA UNIT MCB DUAL 13.8 KV</v>
      </c>
    </row>
    <row r="76" spans="1:116" ht="25.25" customHeight="1" thickTop="1" thickBot="1" x14ac:dyDescent="0.5">
      <c r="A76" s="32"/>
      <c r="B76" s="10"/>
      <c r="C76" s="10"/>
      <c r="D76" s="11"/>
      <c r="E76" s="10"/>
      <c r="F76" s="10"/>
      <c r="G76" s="19"/>
      <c r="H76" s="19"/>
      <c r="I76" s="19"/>
      <c r="J76" s="19"/>
      <c r="K76" s="10"/>
      <c r="L76" s="10"/>
      <c r="M76" s="10"/>
      <c r="N76" s="10"/>
      <c r="O76" s="18"/>
      <c r="P76" s="18"/>
      <c r="Q76" s="21"/>
      <c r="R76" s="20"/>
      <c r="S76" s="16">
        <f t="shared" si="53"/>
        <v>0</v>
      </c>
      <c r="T76" s="11"/>
      <c r="AR76" s="31"/>
      <c r="AS76" s="31">
        <f t="shared" si="54"/>
        <v>0</v>
      </c>
      <c r="AT76" s="31">
        <f t="shared" si="55"/>
        <v>0</v>
      </c>
      <c r="AU76" s="31">
        <f t="shared" si="56"/>
        <v>0</v>
      </c>
      <c r="AV76" s="31">
        <f t="shared" si="57"/>
        <v>0</v>
      </c>
      <c r="AW76" s="31">
        <f t="shared" si="58"/>
        <v>0</v>
      </c>
      <c r="AX76" s="31">
        <f t="shared" si="59"/>
        <v>0</v>
      </c>
      <c r="AY76" s="31">
        <f t="shared" si="60"/>
        <v>0</v>
      </c>
      <c r="AZ76" s="31">
        <f t="shared" si="61"/>
        <v>0</v>
      </c>
      <c r="BA76" s="31">
        <f t="shared" si="62"/>
        <v>0</v>
      </c>
      <c r="BB76" s="31">
        <f t="shared" si="91"/>
        <v>0</v>
      </c>
      <c r="BC76" s="31"/>
      <c r="BD76" s="31"/>
      <c r="BM76" s="8">
        <f t="shared" si="92"/>
        <v>0</v>
      </c>
      <c r="BN76" s="8">
        <f t="shared" si="63"/>
        <v>0</v>
      </c>
      <c r="BO76" s="8">
        <f t="shared" si="64"/>
        <v>0</v>
      </c>
      <c r="BQ76" s="8">
        <f t="shared" si="65"/>
        <v>0</v>
      </c>
      <c r="BR76" s="63">
        <f t="shared" si="66"/>
        <v>0</v>
      </c>
      <c r="BS76" s="63">
        <f t="shared" si="93"/>
        <v>0</v>
      </c>
      <c r="BT76" s="63">
        <f t="shared" si="67"/>
        <v>0</v>
      </c>
      <c r="BU76" s="63">
        <f t="shared" si="68"/>
        <v>0</v>
      </c>
      <c r="BV76" s="57">
        <f t="shared" si="69"/>
        <v>0</v>
      </c>
      <c r="BW76" s="57">
        <f t="shared" si="70"/>
        <v>0</v>
      </c>
      <c r="BX76" s="57">
        <f t="shared" si="94"/>
        <v>0</v>
      </c>
      <c r="BY76" s="57">
        <f t="shared" si="51"/>
        <v>0</v>
      </c>
      <c r="BZ76" s="8">
        <f t="shared" si="71"/>
        <v>0</v>
      </c>
      <c r="CA76" s="8">
        <f t="shared" si="72"/>
        <v>0</v>
      </c>
      <c r="CB76" s="8">
        <f t="shared" si="73"/>
        <v>0</v>
      </c>
      <c r="CC76" s="8">
        <f t="shared" si="74"/>
        <v>0</v>
      </c>
      <c r="CD76" s="8">
        <f t="shared" si="75"/>
        <v>0</v>
      </c>
      <c r="CE76" s="8">
        <f t="shared" si="76"/>
        <v>0</v>
      </c>
      <c r="CF76" s="8">
        <f t="shared" si="77"/>
        <v>0</v>
      </c>
      <c r="CG76" s="8">
        <f t="shared" si="78"/>
        <v>0</v>
      </c>
      <c r="CH76" s="8">
        <f t="shared" si="79"/>
        <v>0</v>
      </c>
      <c r="CI76" s="8">
        <f t="shared" si="80"/>
        <v>0</v>
      </c>
      <c r="CJ76" s="8">
        <f t="shared" si="81"/>
        <v>0</v>
      </c>
      <c r="CK76" s="8">
        <f t="shared" si="82"/>
        <v>0</v>
      </c>
      <c r="CL76" s="8">
        <f t="shared" si="83"/>
        <v>0</v>
      </c>
      <c r="CM76" s="8">
        <f t="shared" si="84"/>
        <v>0</v>
      </c>
      <c r="CN76" s="8">
        <f t="shared" si="85"/>
        <v>0</v>
      </c>
      <c r="CO76" s="8">
        <f t="shared" si="86"/>
        <v>0</v>
      </c>
      <c r="CP76" s="8">
        <f t="shared" si="87"/>
        <v>0</v>
      </c>
      <c r="CQ76" s="8">
        <f t="shared" si="88"/>
        <v>0</v>
      </c>
      <c r="CR76" s="8">
        <f t="shared" si="89"/>
        <v>0</v>
      </c>
      <c r="CS76" s="8">
        <f t="shared" si="90"/>
        <v>0</v>
      </c>
      <c r="CT76" s="8">
        <f t="shared" si="48"/>
        <v>0</v>
      </c>
      <c r="CU76" s="8">
        <f t="shared" si="49"/>
        <v>0</v>
      </c>
      <c r="CV76" s="8">
        <f t="shared" si="50"/>
        <v>0</v>
      </c>
      <c r="CW76" s="79">
        <v>1010302007</v>
      </c>
      <c r="CX76" s="79"/>
      <c r="CY76" s="77" t="s">
        <v>94</v>
      </c>
      <c r="CZ76" s="80" t="s">
        <v>387</v>
      </c>
      <c r="DA76" s="80">
        <f>IF(voltage="13.8 KV",SUM(CQ4:CQ1500),0)</f>
        <v>0</v>
      </c>
      <c r="DB76" s="80"/>
      <c r="DD76" s="77">
        <v>1010203003</v>
      </c>
      <c r="DE76" s="78">
        <f>AH45</f>
        <v>0</v>
      </c>
      <c r="DF76" s="77" t="s">
        <v>94</v>
      </c>
      <c r="DG76" s="78" t="s">
        <v>383</v>
      </c>
      <c r="DH76" s="78"/>
      <c r="DI76" s="77">
        <v>1010202002</v>
      </c>
      <c r="DJ76" s="78">
        <f>AH45</f>
        <v>0</v>
      </c>
      <c r="DK76" s="77" t="s">
        <v>94</v>
      </c>
      <c r="DL76" s="78" t="s">
        <v>382</v>
      </c>
    </row>
    <row r="77" spans="1:116" ht="25.25" customHeight="1" thickTop="1" thickBot="1" x14ac:dyDescent="0.5">
      <c r="A77" s="32"/>
      <c r="B77" s="10"/>
      <c r="C77" s="10"/>
      <c r="D77" s="11"/>
      <c r="E77" s="10"/>
      <c r="F77" s="10"/>
      <c r="G77" s="19"/>
      <c r="H77" s="19"/>
      <c r="I77" s="19"/>
      <c r="J77" s="19"/>
      <c r="K77" s="10"/>
      <c r="L77" s="10"/>
      <c r="M77" s="10"/>
      <c r="N77" s="10"/>
      <c r="O77" s="18"/>
      <c r="P77" s="18"/>
      <c r="Q77" s="21"/>
      <c r="R77" s="20"/>
      <c r="S77" s="16">
        <f t="shared" si="53"/>
        <v>0</v>
      </c>
      <c r="T77" s="11"/>
      <c r="AR77" s="31"/>
      <c r="AS77" s="31">
        <f t="shared" si="54"/>
        <v>0</v>
      </c>
      <c r="AT77" s="31">
        <f t="shared" si="55"/>
        <v>0</v>
      </c>
      <c r="AU77" s="31">
        <f t="shared" si="56"/>
        <v>0</v>
      </c>
      <c r="AV77" s="31">
        <f t="shared" si="57"/>
        <v>0</v>
      </c>
      <c r="AW77" s="31">
        <f t="shared" si="58"/>
        <v>0</v>
      </c>
      <c r="AX77" s="31">
        <f t="shared" si="59"/>
        <v>0</v>
      </c>
      <c r="AY77" s="31">
        <f t="shared" si="60"/>
        <v>0</v>
      </c>
      <c r="AZ77" s="31">
        <f t="shared" si="61"/>
        <v>0</v>
      </c>
      <c r="BA77" s="31">
        <f t="shared" si="62"/>
        <v>0</v>
      </c>
      <c r="BB77" s="31">
        <f t="shared" si="91"/>
        <v>0</v>
      </c>
      <c r="BC77" s="31"/>
      <c r="BD77" s="31"/>
      <c r="BM77" s="8">
        <f t="shared" si="92"/>
        <v>0</v>
      </c>
      <c r="BN77" s="8">
        <f t="shared" si="63"/>
        <v>0</v>
      </c>
      <c r="BO77" s="8">
        <f t="shared" si="64"/>
        <v>0</v>
      </c>
      <c r="BQ77" s="8">
        <f t="shared" si="65"/>
        <v>0</v>
      </c>
      <c r="BR77" s="63">
        <f t="shared" si="66"/>
        <v>0</v>
      </c>
      <c r="BS77" s="63">
        <f t="shared" si="93"/>
        <v>0</v>
      </c>
      <c r="BT77" s="63">
        <f t="shared" si="67"/>
        <v>0</v>
      </c>
      <c r="BU77" s="63">
        <f t="shared" si="68"/>
        <v>0</v>
      </c>
      <c r="BV77" s="57">
        <f t="shared" si="69"/>
        <v>0</v>
      </c>
      <c r="BW77" s="57">
        <f t="shared" si="70"/>
        <v>0</v>
      </c>
      <c r="BX77" s="57">
        <f t="shared" si="94"/>
        <v>0</v>
      </c>
      <c r="BY77" s="57">
        <f t="shared" si="51"/>
        <v>0</v>
      </c>
      <c r="BZ77" s="8">
        <f t="shared" si="71"/>
        <v>0</v>
      </c>
      <c r="CA77" s="8">
        <f t="shared" si="72"/>
        <v>0</v>
      </c>
      <c r="CB77" s="8">
        <f t="shared" si="73"/>
        <v>0</v>
      </c>
      <c r="CC77" s="8">
        <f t="shared" si="74"/>
        <v>0</v>
      </c>
      <c r="CD77" s="8">
        <f t="shared" si="75"/>
        <v>0</v>
      </c>
      <c r="CE77" s="8">
        <f t="shared" si="76"/>
        <v>0</v>
      </c>
      <c r="CF77" s="8">
        <f t="shared" si="77"/>
        <v>0</v>
      </c>
      <c r="CG77" s="8">
        <f t="shared" si="78"/>
        <v>0</v>
      </c>
      <c r="CH77" s="8">
        <f t="shared" si="79"/>
        <v>0</v>
      </c>
      <c r="CI77" s="8">
        <f t="shared" si="80"/>
        <v>0</v>
      </c>
      <c r="CJ77" s="8">
        <f t="shared" si="81"/>
        <v>0</v>
      </c>
      <c r="CK77" s="8">
        <f t="shared" si="82"/>
        <v>0</v>
      </c>
      <c r="CL77" s="8">
        <f t="shared" si="83"/>
        <v>0</v>
      </c>
      <c r="CM77" s="8">
        <f t="shared" si="84"/>
        <v>0</v>
      </c>
      <c r="CN77" s="8">
        <f t="shared" si="85"/>
        <v>0</v>
      </c>
      <c r="CO77" s="8">
        <f t="shared" si="86"/>
        <v>0</v>
      </c>
      <c r="CP77" s="8">
        <f t="shared" si="87"/>
        <v>0</v>
      </c>
      <c r="CQ77" s="8">
        <f t="shared" si="88"/>
        <v>0</v>
      </c>
      <c r="CR77" s="8">
        <f t="shared" si="89"/>
        <v>0</v>
      </c>
      <c r="CS77" s="8">
        <f t="shared" si="90"/>
        <v>0</v>
      </c>
      <c r="CT77" s="8">
        <f t="shared" ref="CT77:CT140" si="95">IF(AND(J77&gt;0,OR(B77="MB",B77="new MB")),J77,0)*4+IF(AND(J77&gt;0,OR(C77="MB",C77="new MB")),J77,0)*4</f>
        <v>0</v>
      </c>
      <c r="CU77" s="8">
        <f t="shared" ref="CU77:CU140" si="96">IF(AND(I77&gt;0,OR(B77="MB",B77="new MB")),I77,0)*4+IF(AND(I77&gt;0,OR(C77="MB",C77="new MB")),I77,0)*4</f>
        <v>0</v>
      </c>
      <c r="CV77" s="8">
        <f t="shared" ref="CV77:CV140" si="97">IF(AND(H77&gt;0,OR(B77="MB",B77="new MB")),H77,0)*4+IF(AND(H77&gt;0,OR(C77="MB",C77="new MB")),H77,0)*4</f>
        <v>0</v>
      </c>
      <c r="CW77" s="79">
        <v>1010302004</v>
      </c>
      <c r="CX77" s="79"/>
      <c r="CY77" s="77" t="s">
        <v>94</v>
      </c>
      <c r="CZ77" s="80" t="s">
        <v>388</v>
      </c>
      <c r="DA77" s="80">
        <f>IF(voltage="13.8 KV",SUM(CR4:CR1500),0)</f>
        <v>0</v>
      </c>
      <c r="DB77" s="80"/>
      <c r="DD77" s="77">
        <v>1010203005</v>
      </c>
      <c r="DE77" s="78">
        <f>AH69</f>
        <v>0</v>
      </c>
      <c r="DF77" s="77" t="s">
        <v>94</v>
      </c>
      <c r="DG77" s="78" t="s">
        <v>386</v>
      </c>
      <c r="DH77" s="78"/>
      <c r="DI77" s="77">
        <v>1010202010</v>
      </c>
      <c r="DJ77" s="78">
        <f>AH69</f>
        <v>0</v>
      </c>
      <c r="DK77" s="77" t="s">
        <v>94</v>
      </c>
      <c r="DL77" s="78" t="s">
        <v>384</v>
      </c>
    </row>
    <row r="78" spans="1:116" ht="25.25" customHeight="1" thickTop="1" thickBot="1" x14ac:dyDescent="0.5">
      <c r="A78" s="32"/>
      <c r="B78" s="10"/>
      <c r="C78" s="10"/>
      <c r="D78" s="11"/>
      <c r="E78" s="10"/>
      <c r="F78" s="10"/>
      <c r="G78" s="19"/>
      <c r="H78" s="19"/>
      <c r="I78" s="19"/>
      <c r="J78" s="19"/>
      <c r="K78" s="10"/>
      <c r="L78" s="10"/>
      <c r="M78" s="10"/>
      <c r="N78" s="10"/>
      <c r="O78" s="18"/>
      <c r="P78" s="18"/>
      <c r="Q78" s="21"/>
      <c r="R78" s="20"/>
      <c r="S78" s="16">
        <f t="shared" si="53"/>
        <v>0</v>
      </c>
      <c r="T78" s="11"/>
      <c r="AR78" s="31"/>
      <c r="AS78" s="31">
        <f t="shared" si="54"/>
        <v>0</v>
      </c>
      <c r="AT78" s="31">
        <f t="shared" si="55"/>
        <v>0</v>
      </c>
      <c r="AU78" s="31">
        <f t="shared" si="56"/>
        <v>0</v>
      </c>
      <c r="AV78" s="31">
        <f t="shared" si="57"/>
        <v>0</v>
      </c>
      <c r="AW78" s="31">
        <f t="shared" si="58"/>
        <v>0</v>
      </c>
      <c r="AX78" s="31">
        <f t="shared" si="59"/>
        <v>0</v>
      </c>
      <c r="AY78" s="31">
        <f t="shared" si="60"/>
        <v>0</v>
      </c>
      <c r="AZ78" s="31">
        <f t="shared" si="61"/>
        <v>0</v>
      </c>
      <c r="BA78" s="31">
        <f t="shared" si="62"/>
        <v>0</v>
      </c>
      <c r="BB78" s="31">
        <f t="shared" si="91"/>
        <v>0</v>
      </c>
      <c r="BC78" s="31"/>
      <c r="BD78" s="31"/>
      <c r="BM78" s="8">
        <f t="shared" si="92"/>
        <v>0</v>
      </c>
      <c r="BN78" s="8">
        <f t="shared" si="63"/>
        <v>0</v>
      </c>
      <c r="BO78" s="8">
        <f t="shared" si="64"/>
        <v>0</v>
      </c>
      <c r="BQ78" s="8">
        <f t="shared" si="65"/>
        <v>0</v>
      </c>
      <c r="BR78" s="63">
        <f t="shared" si="66"/>
        <v>0</v>
      </c>
      <c r="BS78" s="63">
        <f t="shared" si="93"/>
        <v>0</v>
      </c>
      <c r="BT78" s="63">
        <f t="shared" si="67"/>
        <v>0</v>
      </c>
      <c r="BU78" s="63">
        <f t="shared" si="68"/>
        <v>0</v>
      </c>
      <c r="BV78" s="57">
        <f t="shared" si="69"/>
        <v>0</v>
      </c>
      <c r="BW78" s="57">
        <f t="shared" si="70"/>
        <v>0</v>
      </c>
      <c r="BX78" s="57">
        <f t="shared" si="94"/>
        <v>0</v>
      </c>
      <c r="BY78" s="57">
        <f t="shared" si="51"/>
        <v>0</v>
      </c>
      <c r="BZ78" s="8">
        <f t="shared" si="71"/>
        <v>0</v>
      </c>
      <c r="CA78" s="8">
        <f t="shared" si="72"/>
        <v>0</v>
      </c>
      <c r="CB78" s="8">
        <f t="shared" si="73"/>
        <v>0</v>
      </c>
      <c r="CC78" s="8">
        <f t="shared" si="74"/>
        <v>0</v>
      </c>
      <c r="CD78" s="8">
        <f t="shared" si="75"/>
        <v>0</v>
      </c>
      <c r="CE78" s="8">
        <f t="shared" si="76"/>
        <v>0</v>
      </c>
      <c r="CF78" s="8">
        <f t="shared" si="77"/>
        <v>0</v>
      </c>
      <c r="CG78" s="8">
        <f t="shared" si="78"/>
        <v>0</v>
      </c>
      <c r="CH78" s="8">
        <f t="shared" si="79"/>
        <v>0</v>
      </c>
      <c r="CI78" s="8">
        <f t="shared" si="80"/>
        <v>0</v>
      </c>
      <c r="CJ78" s="8">
        <f t="shared" si="81"/>
        <v>0</v>
      </c>
      <c r="CK78" s="8">
        <f t="shared" si="82"/>
        <v>0</v>
      </c>
      <c r="CL78" s="8">
        <f t="shared" si="83"/>
        <v>0</v>
      </c>
      <c r="CM78" s="8">
        <f t="shared" si="84"/>
        <v>0</v>
      </c>
      <c r="CN78" s="8">
        <f t="shared" si="85"/>
        <v>0</v>
      </c>
      <c r="CO78" s="8">
        <f t="shared" si="86"/>
        <v>0</v>
      </c>
      <c r="CP78" s="8">
        <f t="shared" si="87"/>
        <v>0</v>
      </c>
      <c r="CQ78" s="8">
        <f t="shared" si="88"/>
        <v>0</v>
      </c>
      <c r="CR78" s="8">
        <f t="shared" si="89"/>
        <v>0</v>
      </c>
      <c r="CS78" s="8">
        <f t="shared" si="90"/>
        <v>0</v>
      </c>
      <c r="CT78" s="8">
        <f t="shared" si="95"/>
        <v>0</v>
      </c>
      <c r="CU78" s="8">
        <f t="shared" si="96"/>
        <v>0</v>
      </c>
      <c r="CV78" s="8">
        <f t="shared" si="97"/>
        <v>0</v>
      </c>
      <c r="CW78" s="79">
        <v>1010302003</v>
      </c>
      <c r="CX78" s="79"/>
      <c r="CY78" s="77" t="s">
        <v>94</v>
      </c>
      <c r="CZ78" s="80" t="s">
        <v>389</v>
      </c>
      <c r="DA78" s="79">
        <f>IF(voltage="13.8 KV",SUM(CS4:CS1500),0)</f>
        <v>0</v>
      </c>
      <c r="DB78" s="79"/>
      <c r="DD78" s="79">
        <v>2010303003</v>
      </c>
      <c r="DE78" s="79">
        <f>'Equipment Selection'!$M$4</f>
        <v>0</v>
      </c>
      <c r="DF78" s="77" t="s">
        <v>94</v>
      </c>
      <c r="DG78" s="80" t="str">
        <f>"TERM,RT/ELBOW,3X185,CU "&amp;voltage</f>
        <v>TERM,RT/ELBOW,3X185,CU 13.8 KV</v>
      </c>
      <c r="DH78" s="80"/>
      <c r="DI78" s="77">
        <v>1010202009</v>
      </c>
      <c r="DJ78" s="78">
        <f>AH69</f>
        <v>0</v>
      </c>
      <c r="DK78" s="77" t="s">
        <v>94</v>
      </c>
      <c r="DL78" s="78" t="s">
        <v>385</v>
      </c>
    </row>
    <row r="79" spans="1:116" ht="25.25" customHeight="1" thickTop="1" thickBot="1" x14ac:dyDescent="0.5">
      <c r="A79" s="32"/>
      <c r="B79" s="10"/>
      <c r="C79" s="10"/>
      <c r="D79" s="11"/>
      <c r="E79" s="10"/>
      <c r="F79" s="10"/>
      <c r="G79" s="19"/>
      <c r="H79" s="19"/>
      <c r="I79" s="19"/>
      <c r="J79" s="19"/>
      <c r="K79" s="10"/>
      <c r="L79" s="10"/>
      <c r="M79" s="10"/>
      <c r="N79" s="10"/>
      <c r="O79" s="18"/>
      <c r="P79" s="18"/>
      <c r="Q79" s="21"/>
      <c r="R79" s="20"/>
      <c r="S79" s="16">
        <f t="shared" si="53"/>
        <v>0</v>
      </c>
      <c r="T79" s="11"/>
      <c r="AR79" s="31"/>
      <c r="AS79" s="31">
        <f t="shared" si="54"/>
        <v>0</v>
      </c>
      <c r="AT79" s="31">
        <f t="shared" si="55"/>
        <v>0</v>
      </c>
      <c r="AU79" s="31">
        <f t="shared" si="56"/>
        <v>0</v>
      </c>
      <c r="AV79" s="31">
        <f t="shared" si="57"/>
        <v>0</v>
      </c>
      <c r="AW79" s="31">
        <f t="shared" si="58"/>
        <v>0</v>
      </c>
      <c r="AX79" s="31">
        <f t="shared" si="59"/>
        <v>0</v>
      </c>
      <c r="AY79" s="31">
        <f t="shared" si="60"/>
        <v>0</v>
      </c>
      <c r="AZ79" s="31">
        <f t="shared" si="61"/>
        <v>0</v>
      </c>
      <c r="BA79" s="31">
        <f t="shared" si="62"/>
        <v>0</v>
      </c>
      <c r="BB79" s="31">
        <f t="shared" si="91"/>
        <v>0</v>
      </c>
      <c r="BC79" s="31"/>
      <c r="BD79" s="31"/>
      <c r="BM79" s="8">
        <f t="shared" si="92"/>
        <v>0</v>
      </c>
      <c r="BN79" s="8">
        <f t="shared" si="63"/>
        <v>0</v>
      </c>
      <c r="BO79" s="8">
        <f t="shared" si="64"/>
        <v>0</v>
      </c>
      <c r="BQ79" s="8">
        <f t="shared" si="65"/>
        <v>0</v>
      </c>
      <c r="BR79" s="63">
        <f t="shared" si="66"/>
        <v>0</v>
      </c>
      <c r="BS79" s="63">
        <f t="shared" si="93"/>
        <v>0</v>
      </c>
      <c r="BT79" s="63">
        <f t="shared" si="67"/>
        <v>0</v>
      </c>
      <c r="BU79" s="63">
        <f t="shared" si="68"/>
        <v>0</v>
      </c>
      <c r="BV79" s="57">
        <f t="shared" si="69"/>
        <v>0</v>
      </c>
      <c r="BW79" s="57">
        <f t="shared" si="70"/>
        <v>0</v>
      </c>
      <c r="BX79" s="57">
        <f t="shared" si="94"/>
        <v>0</v>
      </c>
      <c r="BY79" s="57">
        <f t="shared" si="51"/>
        <v>0</v>
      </c>
      <c r="BZ79" s="8">
        <f t="shared" si="71"/>
        <v>0</v>
      </c>
      <c r="CA79" s="8">
        <f t="shared" si="72"/>
        <v>0</v>
      </c>
      <c r="CB79" s="8">
        <f t="shared" si="73"/>
        <v>0</v>
      </c>
      <c r="CC79" s="8">
        <f t="shared" si="74"/>
        <v>0</v>
      </c>
      <c r="CD79" s="8">
        <f t="shared" si="75"/>
        <v>0</v>
      </c>
      <c r="CE79" s="8">
        <f t="shared" si="76"/>
        <v>0</v>
      </c>
      <c r="CF79" s="8">
        <f t="shared" si="77"/>
        <v>0</v>
      </c>
      <c r="CG79" s="8">
        <f t="shared" si="78"/>
        <v>0</v>
      </c>
      <c r="CH79" s="8">
        <f t="shared" si="79"/>
        <v>0</v>
      </c>
      <c r="CI79" s="8">
        <f t="shared" si="80"/>
        <v>0</v>
      </c>
      <c r="CJ79" s="8">
        <f t="shared" si="81"/>
        <v>0</v>
      </c>
      <c r="CK79" s="8">
        <f t="shared" si="82"/>
        <v>0</v>
      </c>
      <c r="CL79" s="8">
        <f t="shared" si="83"/>
        <v>0</v>
      </c>
      <c r="CM79" s="8">
        <f t="shared" si="84"/>
        <v>0</v>
      </c>
      <c r="CN79" s="8">
        <f t="shared" si="85"/>
        <v>0</v>
      </c>
      <c r="CO79" s="8">
        <f t="shared" si="86"/>
        <v>0</v>
      </c>
      <c r="CP79" s="8">
        <f t="shared" si="87"/>
        <v>0</v>
      </c>
      <c r="CQ79" s="8">
        <f t="shared" si="88"/>
        <v>0</v>
      </c>
      <c r="CR79" s="8">
        <f t="shared" si="89"/>
        <v>0</v>
      </c>
      <c r="CS79" s="8">
        <f t="shared" si="90"/>
        <v>0</v>
      </c>
      <c r="CT79" s="8">
        <f t="shared" si="95"/>
        <v>0</v>
      </c>
      <c r="CU79" s="8">
        <f t="shared" si="96"/>
        <v>0</v>
      </c>
      <c r="CV79" s="8">
        <f t="shared" si="97"/>
        <v>0</v>
      </c>
      <c r="CW79" s="79">
        <v>2010302006</v>
      </c>
      <c r="CX79" s="79"/>
      <c r="CY79" s="77" t="s">
        <v>94</v>
      </c>
      <c r="CZ79" s="80" t="s">
        <v>390</v>
      </c>
      <c r="DA79" s="79">
        <f>IF(voltage="13.8 KV",'Equipment Selection'!$K$72,0)</f>
        <v>0</v>
      </c>
      <c r="DB79" s="79"/>
      <c r="DD79" s="79">
        <v>1010303011</v>
      </c>
      <c r="DE79" s="79">
        <f>'Equipment Selection'!$M$4</f>
        <v>0</v>
      </c>
      <c r="DF79" s="77" t="s">
        <v>94</v>
      </c>
      <c r="DG79" s="80" t="s">
        <v>391</v>
      </c>
      <c r="DH79" s="80"/>
      <c r="DI79" s="79">
        <v>1010302007</v>
      </c>
      <c r="DJ79" s="80">
        <f>SUM(CQ4:CQ1500)</f>
        <v>0</v>
      </c>
      <c r="DK79" s="77" t="s">
        <v>94</v>
      </c>
      <c r="DL79" s="80" t="s">
        <v>387</v>
      </c>
    </row>
    <row r="80" spans="1:116" ht="25.25" customHeight="1" thickTop="1" thickBot="1" x14ac:dyDescent="0.5">
      <c r="A80" s="32"/>
      <c r="B80" s="10"/>
      <c r="C80" s="10"/>
      <c r="D80" s="11"/>
      <c r="E80" s="10"/>
      <c r="F80" s="10"/>
      <c r="G80" s="19"/>
      <c r="H80" s="19"/>
      <c r="I80" s="19"/>
      <c r="J80" s="19"/>
      <c r="K80" s="10"/>
      <c r="L80" s="10"/>
      <c r="M80" s="10"/>
      <c r="N80" s="10"/>
      <c r="O80" s="18"/>
      <c r="P80" s="18"/>
      <c r="Q80" s="21"/>
      <c r="R80" s="20"/>
      <c r="S80" s="16">
        <f t="shared" si="53"/>
        <v>0</v>
      </c>
      <c r="T80" s="11"/>
      <c r="AR80" s="31"/>
      <c r="AS80" s="31">
        <f t="shared" si="54"/>
        <v>0</v>
      </c>
      <c r="AT80" s="31">
        <f t="shared" si="55"/>
        <v>0</v>
      </c>
      <c r="AU80" s="31">
        <f t="shared" si="56"/>
        <v>0</v>
      </c>
      <c r="AV80" s="31">
        <f t="shared" si="57"/>
        <v>0</v>
      </c>
      <c r="AW80" s="31">
        <f t="shared" si="58"/>
        <v>0</v>
      </c>
      <c r="AX80" s="31">
        <f t="shared" si="59"/>
        <v>0</v>
      </c>
      <c r="AY80" s="31">
        <f t="shared" si="60"/>
        <v>0</v>
      </c>
      <c r="AZ80" s="31">
        <f t="shared" si="61"/>
        <v>0</v>
      </c>
      <c r="BA80" s="31">
        <f t="shared" si="62"/>
        <v>0</v>
      </c>
      <c r="BB80" s="31">
        <f t="shared" si="91"/>
        <v>0</v>
      </c>
      <c r="BC80" s="31"/>
      <c r="BD80" s="31"/>
      <c r="BM80" s="8">
        <f t="shared" si="92"/>
        <v>0</v>
      </c>
      <c r="BN80" s="8">
        <f t="shared" si="63"/>
        <v>0</v>
      </c>
      <c r="BO80" s="8">
        <f t="shared" si="64"/>
        <v>0</v>
      </c>
      <c r="BQ80" s="8">
        <f t="shared" si="65"/>
        <v>0</v>
      </c>
      <c r="BR80" s="63">
        <f t="shared" si="66"/>
        <v>0</v>
      </c>
      <c r="BS80" s="63">
        <f t="shared" si="93"/>
        <v>0</v>
      </c>
      <c r="BT80" s="63">
        <f t="shared" si="67"/>
        <v>0</v>
      </c>
      <c r="BU80" s="63">
        <f t="shared" si="68"/>
        <v>0</v>
      </c>
      <c r="BV80" s="57">
        <f t="shared" si="69"/>
        <v>0</v>
      </c>
      <c r="BW80" s="57">
        <f t="shared" si="70"/>
        <v>0</v>
      </c>
      <c r="BX80" s="57">
        <f t="shared" si="94"/>
        <v>0</v>
      </c>
      <c r="BY80" s="57">
        <f t="shared" si="51"/>
        <v>0</v>
      </c>
      <c r="BZ80" s="8">
        <f t="shared" si="71"/>
        <v>0</v>
      </c>
      <c r="CA80" s="8">
        <f t="shared" si="72"/>
        <v>0</v>
      </c>
      <c r="CB80" s="8">
        <f t="shared" si="73"/>
        <v>0</v>
      </c>
      <c r="CC80" s="8">
        <f t="shared" si="74"/>
        <v>0</v>
      </c>
      <c r="CD80" s="8">
        <f t="shared" si="75"/>
        <v>0</v>
      </c>
      <c r="CE80" s="8">
        <f t="shared" si="76"/>
        <v>0</v>
      </c>
      <c r="CF80" s="8">
        <f t="shared" si="77"/>
        <v>0</v>
      </c>
      <c r="CG80" s="8">
        <f t="shared" si="78"/>
        <v>0</v>
      </c>
      <c r="CH80" s="8">
        <f t="shared" si="79"/>
        <v>0</v>
      </c>
      <c r="CI80" s="8">
        <f t="shared" si="80"/>
        <v>0</v>
      </c>
      <c r="CJ80" s="8">
        <f t="shared" si="81"/>
        <v>0</v>
      </c>
      <c r="CK80" s="8">
        <f t="shared" si="82"/>
        <v>0</v>
      </c>
      <c r="CL80" s="8">
        <f t="shared" si="83"/>
        <v>0</v>
      </c>
      <c r="CM80" s="8">
        <f t="shared" si="84"/>
        <v>0</v>
      </c>
      <c r="CN80" s="8">
        <f t="shared" si="85"/>
        <v>0</v>
      </c>
      <c r="CO80" s="8">
        <f t="shared" si="86"/>
        <v>0</v>
      </c>
      <c r="CP80" s="8">
        <f t="shared" si="87"/>
        <v>0</v>
      </c>
      <c r="CQ80" s="8">
        <f t="shared" si="88"/>
        <v>0</v>
      </c>
      <c r="CR80" s="8">
        <f t="shared" si="89"/>
        <v>0</v>
      </c>
      <c r="CS80" s="8">
        <f t="shared" si="90"/>
        <v>0</v>
      </c>
      <c r="CT80" s="8">
        <f t="shared" si="95"/>
        <v>0</v>
      </c>
      <c r="CU80" s="8">
        <f t="shared" si="96"/>
        <v>0</v>
      </c>
      <c r="CV80" s="8">
        <f t="shared" si="97"/>
        <v>0</v>
      </c>
      <c r="CW80" s="79">
        <v>2010302005</v>
      </c>
      <c r="CX80" s="79">
        <v>2010303003</v>
      </c>
      <c r="CY80" s="77" t="s">
        <v>94</v>
      </c>
      <c r="CZ80" s="80" t="str">
        <f>"TERM,RT/ELBOW,3X185,CU "&amp;voltage</f>
        <v>TERM,RT/ELBOW,3X185,CU 13.8 KV</v>
      </c>
      <c r="DA80" s="79">
        <f>IF(voltage="13.8 KV",'Equipment Selection'!$K$72,0)</f>
        <v>0</v>
      </c>
      <c r="DB80" s="79">
        <f>IF(voltage="33 KV",'Equipment Selection'!$K$72,0)</f>
        <v>0</v>
      </c>
      <c r="DD80" s="79">
        <v>1010303012</v>
      </c>
      <c r="DE80" s="79">
        <f>SUM(CQ4:CQ1500)</f>
        <v>0</v>
      </c>
      <c r="DF80" s="77" t="s">
        <v>94</v>
      </c>
      <c r="DG80" s="80" t="s">
        <v>392</v>
      </c>
      <c r="DH80" s="80"/>
      <c r="DI80" s="79">
        <v>1010302004</v>
      </c>
      <c r="DJ80" s="80">
        <f>SUM(CR4:CR1500)</f>
        <v>0</v>
      </c>
      <c r="DK80" s="77" t="s">
        <v>94</v>
      </c>
      <c r="DL80" s="80" t="s">
        <v>388</v>
      </c>
    </row>
    <row r="81" spans="1:118" ht="25.25" customHeight="1" thickTop="1" thickBot="1" x14ac:dyDescent="0.5">
      <c r="A81" s="32"/>
      <c r="B81" s="10"/>
      <c r="C81" s="10"/>
      <c r="D81" s="11"/>
      <c r="E81" s="10"/>
      <c r="F81" s="10"/>
      <c r="G81" s="19"/>
      <c r="H81" s="19"/>
      <c r="I81" s="19"/>
      <c r="J81" s="19"/>
      <c r="K81" s="10"/>
      <c r="L81" s="10"/>
      <c r="M81" s="10"/>
      <c r="N81" s="10"/>
      <c r="O81" s="18"/>
      <c r="P81" s="18"/>
      <c r="Q81" s="21"/>
      <c r="R81" s="20"/>
      <c r="S81" s="16">
        <f t="shared" si="53"/>
        <v>0</v>
      </c>
      <c r="T81" s="11"/>
      <c r="AR81" s="31"/>
      <c r="AS81" s="31">
        <f t="shared" si="54"/>
        <v>0</v>
      </c>
      <c r="AT81" s="31">
        <f t="shared" si="55"/>
        <v>0</v>
      </c>
      <c r="AU81" s="31">
        <f t="shared" si="56"/>
        <v>0</v>
      </c>
      <c r="AV81" s="31">
        <f t="shared" si="57"/>
        <v>0</v>
      </c>
      <c r="AW81" s="31">
        <f t="shared" si="58"/>
        <v>0</v>
      </c>
      <c r="AX81" s="31">
        <f t="shared" si="59"/>
        <v>0</v>
      </c>
      <c r="AY81" s="31">
        <f t="shared" si="60"/>
        <v>0</v>
      </c>
      <c r="AZ81" s="31">
        <f t="shared" si="61"/>
        <v>0</v>
      </c>
      <c r="BA81" s="31">
        <f t="shared" si="62"/>
        <v>0</v>
      </c>
      <c r="BB81" s="31">
        <f t="shared" si="91"/>
        <v>0</v>
      </c>
      <c r="BC81" s="31"/>
      <c r="BD81" s="31"/>
      <c r="BM81" s="8">
        <f t="shared" si="92"/>
        <v>0</v>
      </c>
      <c r="BN81" s="8">
        <f t="shared" si="63"/>
        <v>0</v>
      </c>
      <c r="BO81" s="8">
        <f t="shared" si="64"/>
        <v>0</v>
      </c>
      <c r="BQ81" s="8">
        <f t="shared" si="65"/>
        <v>0</v>
      </c>
      <c r="BR81" s="63">
        <f t="shared" si="66"/>
        <v>0</v>
      </c>
      <c r="BS81" s="63">
        <f t="shared" si="93"/>
        <v>0</v>
      </c>
      <c r="BT81" s="63">
        <f t="shared" si="67"/>
        <v>0</v>
      </c>
      <c r="BU81" s="63">
        <f t="shared" si="68"/>
        <v>0</v>
      </c>
      <c r="BV81" s="57">
        <f t="shared" si="69"/>
        <v>0</v>
      </c>
      <c r="BW81" s="57">
        <f t="shared" si="70"/>
        <v>0</v>
      </c>
      <c r="BX81" s="57">
        <f t="shared" si="94"/>
        <v>0</v>
      </c>
      <c r="BY81" s="57">
        <f t="shared" si="51"/>
        <v>0</v>
      </c>
      <c r="BZ81" s="8">
        <f t="shared" si="71"/>
        <v>0</v>
      </c>
      <c r="CA81" s="8">
        <f t="shared" si="72"/>
        <v>0</v>
      </c>
      <c r="CB81" s="8">
        <f t="shared" si="73"/>
        <v>0</v>
      </c>
      <c r="CC81" s="8">
        <f t="shared" si="74"/>
        <v>0</v>
      </c>
      <c r="CD81" s="8">
        <f t="shared" si="75"/>
        <v>0</v>
      </c>
      <c r="CE81" s="8">
        <f t="shared" si="76"/>
        <v>0</v>
      </c>
      <c r="CF81" s="8">
        <f t="shared" si="77"/>
        <v>0</v>
      </c>
      <c r="CG81" s="8">
        <f t="shared" si="78"/>
        <v>0</v>
      </c>
      <c r="CH81" s="8">
        <f t="shared" si="79"/>
        <v>0</v>
      </c>
      <c r="CI81" s="8">
        <f t="shared" si="80"/>
        <v>0</v>
      </c>
      <c r="CJ81" s="8">
        <f t="shared" si="81"/>
        <v>0</v>
      </c>
      <c r="CK81" s="8">
        <f t="shared" si="82"/>
        <v>0</v>
      </c>
      <c r="CL81" s="8">
        <f t="shared" si="83"/>
        <v>0</v>
      </c>
      <c r="CM81" s="8">
        <f t="shared" si="84"/>
        <v>0</v>
      </c>
      <c r="CN81" s="8">
        <f t="shared" si="85"/>
        <v>0</v>
      </c>
      <c r="CO81" s="8">
        <f t="shared" si="86"/>
        <v>0</v>
      </c>
      <c r="CP81" s="8">
        <f t="shared" si="87"/>
        <v>0</v>
      </c>
      <c r="CQ81" s="8">
        <f t="shared" si="88"/>
        <v>0</v>
      </c>
      <c r="CR81" s="8">
        <f t="shared" si="89"/>
        <v>0</v>
      </c>
      <c r="CS81" s="8">
        <f t="shared" si="90"/>
        <v>0</v>
      </c>
      <c r="CT81" s="8">
        <f t="shared" si="95"/>
        <v>0</v>
      </c>
      <c r="CU81" s="8">
        <f t="shared" si="96"/>
        <v>0</v>
      </c>
      <c r="CV81" s="8">
        <f t="shared" si="97"/>
        <v>0</v>
      </c>
      <c r="CW81" s="79"/>
      <c r="CX81" s="79">
        <v>1010303011</v>
      </c>
      <c r="CY81" s="77" t="s">
        <v>94</v>
      </c>
      <c r="CZ81" s="80" t="s">
        <v>391</v>
      </c>
      <c r="DA81" s="79"/>
      <c r="DB81" s="79">
        <f>IF(voltage="33 KV",'Equipment Selection'!$K$72,0)</f>
        <v>0</v>
      </c>
      <c r="DD81" s="79">
        <v>1010303007</v>
      </c>
      <c r="DE81" s="79">
        <f>SUM(CR4:CR1500)</f>
        <v>0</v>
      </c>
      <c r="DF81" s="77" t="s">
        <v>94</v>
      </c>
      <c r="DG81" s="80" t="s">
        <v>393</v>
      </c>
      <c r="DH81" s="80"/>
      <c r="DI81" s="79">
        <v>1010302003</v>
      </c>
      <c r="DJ81" s="79">
        <f>SUM(CS4:CS1500)</f>
        <v>0</v>
      </c>
      <c r="DK81" s="77" t="s">
        <v>94</v>
      </c>
      <c r="DL81" s="80" t="s">
        <v>389</v>
      </c>
    </row>
    <row r="82" spans="1:118" ht="25.25" customHeight="1" thickTop="1" thickBot="1" x14ac:dyDescent="0.5">
      <c r="A82" s="32"/>
      <c r="B82" s="10"/>
      <c r="C82" s="10"/>
      <c r="D82" s="11"/>
      <c r="E82" s="10"/>
      <c r="F82" s="10"/>
      <c r="G82" s="19"/>
      <c r="H82" s="19"/>
      <c r="I82" s="19"/>
      <c r="J82" s="19"/>
      <c r="K82" s="10"/>
      <c r="L82" s="10"/>
      <c r="M82" s="10"/>
      <c r="N82" s="10"/>
      <c r="O82" s="18"/>
      <c r="P82" s="18"/>
      <c r="Q82" s="21"/>
      <c r="R82" s="20"/>
      <c r="S82" s="16">
        <f t="shared" si="53"/>
        <v>0</v>
      </c>
      <c r="T82" s="11"/>
      <c r="AR82" s="31"/>
      <c r="AS82" s="31">
        <f t="shared" si="54"/>
        <v>0</v>
      </c>
      <c r="AT82" s="31">
        <f t="shared" si="55"/>
        <v>0</v>
      </c>
      <c r="AU82" s="31">
        <f t="shared" si="56"/>
        <v>0</v>
      </c>
      <c r="AV82" s="31">
        <f t="shared" si="57"/>
        <v>0</v>
      </c>
      <c r="AW82" s="31">
        <f t="shared" si="58"/>
        <v>0</v>
      </c>
      <c r="AX82" s="31">
        <f t="shared" si="59"/>
        <v>0</v>
      </c>
      <c r="AY82" s="31">
        <f t="shared" si="60"/>
        <v>0</v>
      </c>
      <c r="AZ82" s="31">
        <f t="shared" si="61"/>
        <v>0</v>
      </c>
      <c r="BA82" s="31">
        <f t="shared" si="62"/>
        <v>0</v>
      </c>
      <c r="BB82" s="31">
        <f t="shared" si="91"/>
        <v>0</v>
      </c>
      <c r="BC82" s="31"/>
      <c r="BD82" s="31"/>
      <c r="BM82" s="8">
        <f t="shared" si="92"/>
        <v>0</v>
      </c>
      <c r="BN82" s="8">
        <f t="shared" si="63"/>
        <v>0</v>
      </c>
      <c r="BO82" s="8">
        <f t="shared" si="64"/>
        <v>0</v>
      </c>
      <c r="BQ82" s="8">
        <f t="shared" si="65"/>
        <v>0</v>
      </c>
      <c r="BR82" s="63">
        <f t="shared" si="66"/>
        <v>0</v>
      </c>
      <c r="BS82" s="63">
        <f t="shared" si="93"/>
        <v>0</v>
      </c>
      <c r="BT82" s="63">
        <f t="shared" si="67"/>
        <v>0</v>
      </c>
      <c r="BU82" s="63">
        <f t="shared" si="68"/>
        <v>0</v>
      </c>
      <c r="BV82" s="57">
        <f t="shared" si="69"/>
        <v>0</v>
      </c>
      <c r="BW82" s="57">
        <f t="shared" si="70"/>
        <v>0</v>
      </c>
      <c r="BX82" s="57">
        <f t="shared" si="94"/>
        <v>0</v>
      </c>
      <c r="BY82" s="57">
        <f t="shared" si="51"/>
        <v>0</v>
      </c>
      <c r="BZ82" s="8">
        <f t="shared" si="71"/>
        <v>0</v>
      </c>
      <c r="CA82" s="8">
        <f t="shared" si="72"/>
        <v>0</v>
      </c>
      <c r="CB82" s="8">
        <f t="shared" si="73"/>
        <v>0</v>
      </c>
      <c r="CC82" s="8">
        <f t="shared" si="74"/>
        <v>0</v>
      </c>
      <c r="CD82" s="8">
        <f t="shared" si="75"/>
        <v>0</v>
      </c>
      <c r="CE82" s="8">
        <f t="shared" si="76"/>
        <v>0</v>
      </c>
      <c r="CF82" s="8">
        <f t="shared" si="77"/>
        <v>0</v>
      </c>
      <c r="CG82" s="8">
        <f t="shared" si="78"/>
        <v>0</v>
      </c>
      <c r="CH82" s="8">
        <f t="shared" si="79"/>
        <v>0</v>
      </c>
      <c r="CI82" s="8">
        <f t="shared" si="80"/>
        <v>0</v>
      </c>
      <c r="CJ82" s="8">
        <f t="shared" si="81"/>
        <v>0</v>
      </c>
      <c r="CK82" s="8">
        <f t="shared" si="82"/>
        <v>0</v>
      </c>
      <c r="CL82" s="8">
        <f t="shared" si="83"/>
        <v>0</v>
      </c>
      <c r="CM82" s="8">
        <f t="shared" si="84"/>
        <v>0</v>
      </c>
      <c r="CN82" s="8">
        <f t="shared" si="85"/>
        <v>0</v>
      </c>
      <c r="CO82" s="8">
        <f t="shared" si="86"/>
        <v>0</v>
      </c>
      <c r="CP82" s="8">
        <f t="shared" si="87"/>
        <v>0</v>
      </c>
      <c r="CQ82" s="8">
        <f t="shared" si="88"/>
        <v>0</v>
      </c>
      <c r="CR82" s="8">
        <f t="shared" si="89"/>
        <v>0</v>
      </c>
      <c r="CS82" s="8">
        <f t="shared" si="90"/>
        <v>0</v>
      </c>
      <c r="CT82" s="8">
        <f t="shared" si="95"/>
        <v>0</v>
      </c>
      <c r="CU82" s="8">
        <f t="shared" si="96"/>
        <v>0</v>
      </c>
      <c r="CV82" s="8">
        <f t="shared" si="97"/>
        <v>0</v>
      </c>
      <c r="CW82" s="79"/>
      <c r="CX82" s="79">
        <v>1010303012</v>
      </c>
      <c r="CY82" s="77" t="s">
        <v>94</v>
      </c>
      <c r="CZ82" s="80" t="s">
        <v>392</v>
      </c>
      <c r="DA82" s="93"/>
      <c r="DB82" s="79">
        <f>IF(voltage="33 KV",SUM(CQ4:CQ1500),0)</f>
        <v>0</v>
      </c>
      <c r="DD82" s="79">
        <v>1010303008</v>
      </c>
      <c r="DE82" s="79">
        <f>SUM(CS4:CS1505)</f>
        <v>0</v>
      </c>
      <c r="DF82" s="77" t="s">
        <v>94</v>
      </c>
      <c r="DG82" s="80" t="s">
        <v>351</v>
      </c>
      <c r="DH82" s="80"/>
      <c r="DI82" s="79">
        <v>2010302006</v>
      </c>
      <c r="DJ82" s="79">
        <f>'Equipment Selection'!$M$4</f>
        <v>0</v>
      </c>
      <c r="DK82" s="77" t="s">
        <v>94</v>
      </c>
      <c r="DL82" s="80" t="s">
        <v>390</v>
      </c>
    </row>
    <row r="83" spans="1:118" ht="20.5" thickTop="1" thickBot="1" x14ac:dyDescent="0.5">
      <c r="A83" s="32"/>
      <c r="B83" s="10"/>
      <c r="C83" s="10"/>
      <c r="D83" s="11"/>
      <c r="E83" s="10"/>
      <c r="F83" s="10"/>
      <c r="G83" s="19"/>
      <c r="H83" s="19"/>
      <c r="I83" s="19"/>
      <c r="J83" s="19"/>
      <c r="K83" s="10"/>
      <c r="L83" s="10"/>
      <c r="M83" s="10"/>
      <c r="N83" s="10"/>
      <c r="O83" s="18"/>
      <c r="P83" s="18"/>
      <c r="Q83" s="21"/>
      <c r="R83" s="20"/>
      <c r="S83" s="16">
        <f t="shared" si="53"/>
        <v>0</v>
      </c>
      <c r="T83" s="11"/>
      <c r="AR83" s="31"/>
      <c r="AS83" s="31">
        <f t="shared" si="54"/>
        <v>0</v>
      </c>
      <c r="AT83" s="31">
        <f t="shared" si="55"/>
        <v>0</v>
      </c>
      <c r="AU83" s="31">
        <f t="shared" si="56"/>
        <v>0</v>
      </c>
      <c r="AV83" s="31">
        <f t="shared" si="57"/>
        <v>0</v>
      </c>
      <c r="AW83" s="31">
        <f t="shared" si="58"/>
        <v>0</v>
      </c>
      <c r="AX83" s="31">
        <f t="shared" si="59"/>
        <v>0</v>
      </c>
      <c r="AY83" s="31">
        <f t="shared" si="60"/>
        <v>0</v>
      </c>
      <c r="AZ83" s="31">
        <f t="shared" si="61"/>
        <v>0</v>
      </c>
      <c r="BA83" s="31">
        <f t="shared" si="62"/>
        <v>0</v>
      </c>
      <c r="BB83" s="31">
        <f t="shared" si="91"/>
        <v>0</v>
      </c>
      <c r="BC83" s="31"/>
      <c r="BD83" s="31"/>
      <c r="BM83" s="8">
        <f t="shared" si="92"/>
        <v>0</v>
      </c>
      <c r="BN83" s="8">
        <f t="shared" si="63"/>
        <v>0</v>
      </c>
      <c r="BO83" s="8">
        <f t="shared" si="64"/>
        <v>0</v>
      </c>
      <c r="BQ83" s="8">
        <f t="shared" si="65"/>
        <v>0</v>
      </c>
      <c r="BR83" s="63">
        <f t="shared" si="66"/>
        <v>0</v>
      </c>
      <c r="BS83" s="63">
        <f t="shared" si="93"/>
        <v>0</v>
      </c>
      <c r="BT83" s="63">
        <f t="shared" si="67"/>
        <v>0</v>
      </c>
      <c r="BU83" s="63">
        <f t="shared" si="68"/>
        <v>0</v>
      </c>
      <c r="BV83" s="57">
        <f t="shared" si="69"/>
        <v>0</v>
      </c>
      <c r="BW83" s="57">
        <f t="shared" si="70"/>
        <v>0</v>
      </c>
      <c r="BX83" s="57">
        <f t="shared" si="94"/>
        <v>0</v>
      </c>
      <c r="BY83" s="57">
        <f t="shared" si="51"/>
        <v>0</v>
      </c>
      <c r="BZ83" s="8">
        <f t="shared" si="71"/>
        <v>0</v>
      </c>
      <c r="CA83" s="8">
        <f t="shared" si="72"/>
        <v>0</v>
      </c>
      <c r="CB83" s="8">
        <f t="shared" si="73"/>
        <v>0</v>
      </c>
      <c r="CC83" s="8">
        <f t="shared" si="74"/>
        <v>0</v>
      </c>
      <c r="CD83" s="8">
        <f t="shared" si="75"/>
        <v>0</v>
      </c>
      <c r="CE83" s="8">
        <f t="shared" si="76"/>
        <v>0</v>
      </c>
      <c r="CF83" s="8">
        <f t="shared" si="77"/>
        <v>0</v>
      </c>
      <c r="CG83" s="8">
        <f t="shared" si="78"/>
        <v>0</v>
      </c>
      <c r="CH83" s="8">
        <f t="shared" si="79"/>
        <v>0</v>
      </c>
      <c r="CI83" s="8">
        <f t="shared" si="80"/>
        <v>0</v>
      </c>
      <c r="CJ83" s="8">
        <f t="shared" si="81"/>
        <v>0</v>
      </c>
      <c r="CK83" s="8">
        <f t="shared" si="82"/>
        <v>0</v>
      </c>
      <c r="CL83" s="8">
        <f t="shared" si="83"/>
        <v>0</v>
      </c>
      <c r="CM83" s="8">
        <f t="shared" si="84"/>
        <v>0</v>
      </c>
      <c r="CN83" s="8">
        <f t="shared" si="85"/>
        <v>0</v>
      </c>
      <c r="CO83" s="8">
        <f t="shared" si="86"/>
        <v>0</v>
      </c>
      <c r="CP83" s="8">
        <f t="shared" si="87"/>
        <v>0</v>
      </c>
      <c r="CQ83" s="8">
        <f t="shared" si="88"/>
        <v>0</v>
      </c>
      <c r="CR83" s="8">
        <f t="shared" si="89"/>
        <v>0</v>
      </c>
      <c r="CS83" s="8">
        <f t="shared" si="90"/>
        <v>0</v>
      </c>
      <c r="CT83" s="8">
        <f t="shared" si="95"/>
        <v>0</v>
      </c>
      <c r="CU83" s="8">
        <f t="shared" si="96"/>
        <v>0</v>
      </c>
      <c r="CV83" s="8">
        <f t="shared" si="97"/>
        <v>0</v>
      </c>
      <c r="CW83" s="79"/>
      <c r="CX83" s="79">
        <v>1010303007</v>
      </c>
      <c r="CY83" s="77" t="s">
        <v>94</v>
      </c>
      <c r="CZ83" s="80" t="s">
        <v>393</v>
      </c>
      <c r="DA83" s="93"/>
      <c r="DB83" s="79">
        <f>IF(voltage="33 KV",SUM(CR4:CR1500),0)</f>
        <v>0</v>
      </c>
      <c r="DD83" s="79">
        <v>1010303009</v>
      </c>
      <c r="DE83" s="79">
        <f>'Equipment Selection'!$K$78</f>
        <v>0</v>
      </c>
      <c r="DF83" s="77" t="s">
        <v>94</v>
      </c>
      <c r="DG83" s="79" t="str">
        <f>"TERM,RT/ELBOW,1X50,CU "&amp;voltage</f>
        <v>TERM,RT/ELBOW,1X50,CU 13.8 KV</v>
      </c>
      <c r="DH83" s="79"/>
      <c r="DI83" s="79">
        <v>2010302005</v>
      </c>
      <c r="DJ83" s="79">
        <f>'Equipment Selection'!$M$4</f>
        <v>0</v>
      </c>
      <c r="DK83" s="77" t="s">
        <v>94</v>
      </c>
      <c r="DL83" s="80" t="str">
        <f>"TERM,RT/ELBOW,3X185,CU "&amp;voltage</f>
        <v>TERM,RT/ELBOW,3X185,CU 13.8 KV</v>
      </c>
    </row>
    <row r="84" spans="1:118" ht="20.5" thickTop="1" thickBot="1" x14ac:dyDescent="0.5">
      <c r="A84" s="32"/>
      <c r="B84" s="10"/>
      <c r="C84" s="10"/>
      <c r="D84" s="11"/>
      <c r="E84" s="10"/>
      <c r="F84" s="10"/>
      <c r="G84" s="19"/>
      <c r="H84" s="19"/>
      <c r="I84" s="19"/>
      <c r="J84" s="19"/>
      <c r="K84" s="10"/>
      <c r="L84" s="10"/>
      <c r="M84" s="10"/>
      <c r="N84" s="10"/>
      <c r="O84" s="18"/>
      <c r="P84" s="18"/>
      <c r="Q84" s="21"/>
      <c r="R84" s="20"/>
      <c r="S84" s="16">
        <f t="shared" si="53"/>
        <v>0</v>
      </c>
      <c r="T84" s="11"/>
      <c r="AR84" s="31"/>
      <c r="AS84" s="31">
        <f t="shared" si="54"/>
        <v>0</v>
      </c>
      <c r="AT84" s="31">
        <f t="shared" si="55"/>
        <v>0</v>
      </c>
      <c r="AU84" s="31">
        <f t="shared" si="56"/>
        <v>0</v>
      </c>
      <c r="AV84" s="31">
        <f t="shared" si="57"/>
        <v>0</v>
      </c>
      <c r="AW84" s="31">
        <f t="shared" si="58"/>
        <v>0</v>
      </c>
      <c r="AX84" s="31">
        <f t="shared" si="59"/>
        <v>0</v>
      </c>
      <c r="AY84" s="31">
        <f t="shared" si="60"/>
        <v>0</v>
      </c>
      <c r="AZ84" s="31">
        <f t="shared" si="61"/>
        <v>0</v>
      </c>
      <c r="BA84" s="31">
        <f t="shared" si="62"/>
        <v>0</v>
      </c>
      <c r="BB84" s="31">
        <f t="shared" si="91"/>
        <v>0</v>
      </c>
      <c r="BC84" s="31"/>
      <c r="BD84" s="31"/>
      <c r="BM84" s="8">
        <f t="shared" si="92"/>
        <v>0</v>
      </c>
      <c r="BN84" s="8">
        <f t="shared" si="63"/>
        <v>0</v>
      </c>
      <c r="BO84" s="8">
        <f t="shared" si="64"/>
        <v>0</v>
      </c>
      <c r="BQ84" s="8">
        <f t="shared" si="65"/>
        <v>0</v>
      </c>
      <c r="BR84" s="63">
        <f t="shared" si="66"/>
        <v>0</v>
      </c>
      <c r="BS84" s="63">
        <f t="shared" si="93"/>
        <v>0</v>
      </c>
      <c r="BT84" s="63">
        <f t="shared" si="67"/>
        <v>0</v>
      </c>
      <c r="BU84" s="63">
        <f t="shared" si="68"/>
        <v>0</v>
      </c>
      <c r="BV84" s="57">
        <f t="shared" si="69"/>
        <v>0</v>
      </c>
      <c r="BW84" s="57">
        <f t="shared" si="70"/>
        <v>0</v>
      </c>
      <c r="BX84" s="57">
        <f t="shared" si="94"/>
        <v>0</v>
      </c>
      <c r="BY84" s="57">
        <f t="shared" si="51"/>
        <v>0</v>
      </c>
      <c r="BZ84" s="8">
        <f t="shared" si="71"/>
        <v>0</v>
      </c>
      <c r="CA84" s="8">
        <f t="shared" si="72"/>
        <v>0</v>
      </c>
      <c r="CB84" s="8">
        <f t="shared" si="73"/>
        <v>0</v>
      </c>
      <c r="CC84" s="8">
        <f t="shared" si="74"/>
        <v>0</v>
      </c>
      <c r="CD84" s="8">
        <f t="shared" si="75"/>
        <v>0</v>
      </c>
      <c r="CE84" s="8">
        <f t="shared" si="76"/>
        <v>0</v>
      </c>
      <c r="CF84" s="8">
        <f t="shared" si="77"/>
        <v>0</v>
      </c>
      <c r="CG84" s="8">
        <f t="shared" si="78"/>
        <v>0</v>
      </c>
      <c r="CH84" s="8">
        <f t="shared" si="79"/>
        <v>0</v>
      </c>
      <c r="CI84" s="8">
        <f t="shared" si="80"/>
        <v>0</v>
      </c>
      <c r="CJ84" s="8">
        <f t="shared" si="81"/>
        <v>0</v>
      </c>
      <c r="CK84" s="8">
        <f t="shared" si="82"/>
        <v>0</v>
      </c>
      <c r="CL84" s="8">
        <f t="shared" si="83"/>
        <v>0</v>
      </c>
      <c r="CM84" s="8">
        <f t="shared" si="84"/>
        <v>0</v>
      </c>
      <c r="CN84" s="8">
        <f t="shared" si="85"/>
        <v>0</v>
      </c>
      <c r="CO84" s="8">
        <f t="shared" si="86"/>
        <v>0</v>
      </c>
      <c r="CP84" s="8">
        <f t="shared" si="87"/>
        <v>0</v>
      </c>
      <c r="CQ84" s="8">
        <f t="shared" si="88"/>
        <v>0</v>
      </c>
      <c r="CR84" s="8">
        <f t="shared" si="89"/>
        <v>0</v>
      </c>
      <c r="CS84" s="8">
        <f t="shared" si="90"/>
        <v>0</v>
      </c>
      <c r="CT84" s="8">
        <f t="shared" si="95"/>
        <v>0</v>
      </c>
      <c r="CU84" s="8">
        <f t="shared" si="96"/>
        <v>0</v>
      </c>
      <c r="CV84" s="8">
        <f t="shared" si="97"/>
        <v>0</v>
      </c>
      <c r="CW84" s="79"/>
      <c r="CX84" s="79">
        <v>1010303008</v>
      </c>
      <c r="CY84" s="77" t="s">
        <v>94</v>
      </c>
      <c r="CZ84" s="80" t="s">
        <v>351</v>
      </c>
      <c r="DB84" s="79">
        <f>IF(voltage="33 KV",SUM(CS4:CS1500),0)</f>
        <v>0</v>
      </c>
      <c r="DD84" s="77">
        <v>1010103004</v>
      </c>
      <c r="DE84" s="77">
        <f>$AH$42</f>
        <v>0</v>
      </c>
      <c r="DF84" s="77" t="s">
        <v>90</v>
      </c>
      <c r="DG84" s="78" t="s">
        <v>395</v>
      </c>
      <c r="DH84" s="78"/>
      <c r="DI84" s="79">
        <v>1010302005</v>
      </c>
      <c r="DJ84" s="79">
        <f>'Equipment Selection'!$K$78</f>
        <v>0</v>
      </c>
      <c r="DK84" s="77" t="s">
        <v>94</v>
      </c>
      <c r="DL84" s="79" t="str">
        <f>"TERM,RT/ELBOW,1X50,CU "&amp;voltage</f>
        <v>TERM,RT/ELBOW,1X50,CU 13.8 KV</v>
      </c>
    </row>
    <row r="85" spans="1:118" ht="25.25" customHeight="1" thickTop="1" thickBot="1" x14ac:dyDescent="0.5">
      <c r="A85" s="32"/>
      <c r="B85" s="10"/>
      <c r="C85" s="10"/>
      <c r="D85" s="11"/>
      <c r="E85" s="10"/>
      <c r="F85" s="10"/>
      <c r="G85" s="19"/>
      <c r="H85" s="19"/>
      <c r="I85" s="19"/>
      <c r="J85" s="19"/>
      <c r="K85" s="10"/>
      <c r="L85" s="10"/>
      <c r="M85" s="10"/>
      <c r="N85" s="10"/>
      <c r="O85" s="18"/>
      <c r="P85" s="18"/>
      <c r="Q85" s="21"/>
      <c r="R85" s="20"/>
      <c r="S85" s="16">
        <f t="shared" si="53"/>
        <v>0</v>
      </c>
      <c r="T85" s="11"/>
      <c r="AR85" s="31"/>
      <c r="AS85" s="31">
        <f t="shared" si="54"/>
        <v>0</v>
      </c>
      <c r="AT85" s="31">
        <f t="shared" si="55"/>
        <v>0</v>
      </c>
      <c r="AU85" s="31">
        <f t="shared" si="56"/>
        <v>0</v>
      </c>
      <c r="AV85" s="31">
        <f t="shared" si="57"/>
        <v>0</v>
      </c>
      <c r="AW85" s="31">
        <f t="shared" si="58"/>
        <v>0</v>
      </c>
      <c r="AX85" s="31">
        <f t="shared" si="59"/>
        <v>0</v>
      </c>
      <c r="AY85" s="31">
        <f t="shared" si="60"/>
        <v>0</v>
      </c>
      <c r="AZ85" s="31">
        <f t="shared" si="61"/>
        <v>0</v>
      </c>
      <c r="BA85" s="31">
        <f t="shared" si="62"/>
        <v>0</v>
      </c>
      <c r="BB85" s="31">
        <f t="shared" si="91"/>
        <v>0</v>
      </c>
      <c r="BC85" s="31"/>
      <c r="BD85" s="31"/>
      <c r="BM85" s="8">
        <f t="shared" si="92"/>
        <v>0</v>
      </c>
      <c r="BN85" s="8">
        <f t="shared" si="63"/>
        <v>0</v>
      </c>
      <c r="BO85" s="8">
        <f t="shared" si="64"/>
        <v>0</v>
      </c>
      <c r="BQ85" s="8">
        <f t="shared" si="65"/>
        <v>0</v>
      </c>
      <c r="BR85" s="63">
        <f t="shared" si="66"/>
        <v>0</v>
      </c>
      <c r="BS85" s="63">
        <f t="shared" si="93"/>
        <v>0</v>
      </c>
      <c r="BT85" s="63">
        <f t="shared" si="67"/>
        <v>0</v>
      </c>
      <c r="BU85" s="63">
        <f t="shared" si="68"/>
        <v>0</v>
      </c>
      <c r="BV85" s="57">
        <f t="shared" si="69"/>
        <v>0</v>
      </c>
      <c r="BW85" s="57">
        <f t="shared" si="70"/>
        <v>0</v>
      </c>
      <c r="BX85" s="57">
        <f t="shared" si="94"/>
        <v>0</v>
      </c>
      <c r="BY85" s="57">
        <f t="shared" si="51"/>
        <v>0</v>
      </c>
      <c r="BZ85" s="8">
        <f t="shared" si="71"/>
        <v>0</v>
      </c>
      <c r="CA85" s="8">
        <f t="shared" si="72"/>
        <v>0</v>
      </c>
      <c r="CB85" s="8">
        <f t="shared" si="73"/>
        <v>0</v>
      </c>
      <c r="CC85" s="8">
        <f t="shared" si="74"/>
        <v>0</v>
      </c>
      <c r="CD85" s="8">
        <f t="shared" si="75"/>
        <v>0</v>
      </c>
      <c r="CE85" s="8">
        <f t="shared" si="76"/>
        <v>0</v>
      </c>
      <c r="CF85" s="8">
        <f t="shared" si="77"/>
        <v>0</v>
      </c>
      <c r="CG85" s="8">
        <f t="shared" si="78"/>
        <v>0</v>
      </c>
      <c r="CH85" s="8">
        <f t="shared" si="79"/>
        <v>0</v>
      </c>
      <c r="CI85" s="8">
        <f t="shared" si="80"/>
        <v>0</v>
      </c>
      <c r="CJ85" s="8">
        <f t="shared" si="81"/>
        <v>0</v>
      </c>
      <c r="CK85" s="8">
        <f t="shared" si="82"/>
        <v>0</v>
      </c>
      <c r="CL85" s="8">
        <f t="shared" si="83"/>
        <v>0</v>
      </c>
      <c r="CM85" s="8">
        <f t="shared" si="84"/>
        <v>0</v>
      </c>
      <c r="CN85" s="8">
        <f t="shared" si="85"/>
        <v>0</v>
      </c>
      <c r="CO85" s="8">
        <f t="shared" si="86"/>
        <v>0</v>
      </c>
      <c r="CP85" s="8">
        <f t="shared" si="87"/>
        <v>0</v>
      </c>
      <c r="CQ85" s="8">
        <f t="shared" si="88"/>
        <v>0</v>
      </c>
      <c r="CR85" s="8">
        <f t="shared" si="89"/>
        <v>0</v>
      </c>
      <c r="CS85" s="8">
        <f t="shared" si="90"/>
        <v>0</v>
      </c>
      <c r="CT85" s="8">
        <f t="shared" si="95"/>
        <v>0</v>
      </c>
      <c r="CU85" s="8">
        <f t="shared" si="96"/>
        <v>0</v>
      </c>
      <c r="CV85" s="8">
        <f t="shared" si="97"/>
        <v>0</v>
      </c>
      <c r="CW85" s="79">
        <v>1010302005</v>
      </c>
      <c r="CX85" s="79">
        <v>1010303009</v>
      </c>
      <c r="CY85" s="77" t="s">
        <v>94</v>
      </c>
      <c r="CZ85" s="79" t="str">
        <f>"TERM,RT/ELBOW,1X50,CU "&amp;voltage</f>
        <v>TERM,RT/ELBOW,1X50,CU 13.8 KV</v>
      </c>
      <c r="DA85" s="79">
        <f>'Equipment Selection'!$K$78</f>
        <v>0</v>
      </c>
      <c r="DB85" s="79">
        <f>IF(voltage="33 KV",'Equipment Selection'!$K$78,0)</f>
        <v>0</v>
      </c>
      <c r="DD85" s="77">
        <v>1010103001</v>
      </c>
      <c r="DE85" s="77">
        <f>'Equipment Selection'!$K$81</f>
        <v>0</v>
      </c>
      <c r="DF85" s="77" t="s">
        <v>90</v>
      </c>
      <c r="DG85" s="78" t="str">
        <f>"CABLE,15KV,CU,1C,50 "&amp;voltage</f>
        <v>CABLE,15KV,CU,1C,50 13.8 KV</v>
      </c>
      <c r="DH85" s="78"/>
      <c r="DI85" s="77">
        <v>1010102003</v>
      </c>
      <c r="DJ85" s="77">
        <f>$AH$42</f>
        <v>0</v>
      </c>
      <c r="DK85" s="77" t="s">
        <v>90</v>
      </c>
      <c r="DL85" s="78" t="s">
        <v>394</v>
      </c>
    </row>
    <row r="86" spans="1:118" ht="25.25" customHeight="1" thickTop="1" thickBot="1" x14ac:dyDescent="0.5">
      <c r="A86" s="32"/>
      <c r="B86" s="10"/>
      <c r="C86" s="10"/>
      <c r="D86" s="11"/>
      <c r="E86" s="10"/>
      <c r="F86" s="10"/>
      <c r="G86" s="19"/>
      <c r="H86" s="19"/>
      <c r="I86" s="19"/>
      <c r="J86" s="19"/>
      <c r="K86" s="10"/>
      <c r="L86" s="10"/>
      <c r="M86" s="10"/>
      <c r="N86" s="10"/>
      <c r="O86" s="18"/>
      <c r="P86" s="18"/>
      <c r="Q86" s="21"/>
      <c r="R86" s="20"/>
      <c r="S86" s="16">
        <f t="shared" si="53"/>
        <v>0</v>
      </c>
      <c r="T86" s="11"/>
      <c r="AR86" s="31"/>
      <c r="AS86" s="31">
        <f t="shared" si="54"/>
        <v>0</v>
      </c>
      <c r="AT86" s="31">
        <f t="shared" si="55"/>
        <v>0</v>
      </c>
      <c r="AU86" s="31">
        <f t="shared" si="56"/>
        <v>0</v>
      </c>
      <c r="AV86" s="31">
        <f t="shared" si="57"/>
        <v>0</v>
      </c>
      <c r="AW86" s="31">
        <f t="shared" si="58"/>
        <v>0</v>
      </c>
      <c r="AX86" s="31">
        <f t="shared" si="59"/>
        <v>0</v>
      </c>
      <c r="AY86" s="31">
        <f t="shared" si="60"/>
        <v>0</v>
      </c>
      <c r="AZ86" s="31">
        <f t="shared" si="61"/>
        <v>0</v>
      </c>
      <c r="BA86" s="31">
        <f t="shared" si="62"/>
        <v>0</v>
      </c>
      <c r="BB86" s="31">
        <f t="shared" si="91"/>
        <v>0</v>
      </c>
      <c r="BC86" s="31"/>
      <c r="BD86" s="31"/>
      <c r="BM86" s="8">
        <f t="shared" si="92"/>
        <v>0</v>
      </c>
      <c r="BN86" s="8">
        <f t="shared" si="63"/>
        <v>0</v>
      </c>
      <c r="BO86" s="8">
        <f t="shared" si="64"/>
        <v>0</v>
      </c>
      <c r="BQ86" s="8">
        <f t="shared" si="65"/>
        <v>0</v>
      </c>
      <c r="BR86" s="63">
        <f t="shared" si="66"/>
        <v>0</v>
      </c>
      <c r="BS86" s="63">
        <f t="shared" si="93"/>
        <v>0</v>
      </c>
      <c r="BT86" s="63">
        <f t="shared" si="67"/>
        <v>0</v>
      </c>
      <c r="BU86" s="63">
        <f t="shared" si="68"/>
        <v>0</v>
      </c>
      <c r="BV86" s="57">
        <f t="shared" si="69"/>
        <v>0</v>
      </c>
      <c r="BW86" s="57">
        <f t="shared" si="70"/>
        <v>0</v>
      </c>
      <c r="BX86" s="57">
        <f t="shared" si="94"/>
        <v>0</v>
      </c>
      <c r="BY86" s="57">
        <f t="shared" si="51"/>
        <v>0</v>
      </c>
      <c r="BZ86" s="8">
        <f t="shared" si="71"/>
        <v>0</v>
      </c>
      <c r="CA86" s="8">
        <f t="shared" si="72"/>
        <v>0</v>
      </c>
      <c r="CB86" s="8">
        <f t="shared" si="73"/>
        <v>0</v>
      </c>
      <c r="CC86" s="8">
        <f t="shared" si="74"/>
        <v>0</v>
      </c>
      <c r="CD86" s="8">
        <f t="shared" si="75"/>
        <v>0</v>
      </c>
      <c r="CE86" s="8">
        <f t="shared" si="76"/>
        <v>0</v>
      </c>
      <c r="CF86" s="8">
        <f t="shared" si="77"/>
        <v>0</v>
      </c>
      <c r="CG86" s="8">
        <f t="shared" si="78"/>
        <v>0</v>
      </c>
      <c r="CH86" s="8">
        <f t="shared" si="79"/>
        <v>0</v>
      </c>
      <c r="CI86" s="8">
        <f t="shared" si="80"/>
        <v>0</v>
      </c>
      <c r="CJ86" s="8">
        <f t="shared" si="81"/>
        <v>0</v>
      </c>
      <c r="CK86" s="8">
        <f t="shared" si="82"/>
        <v>0</v>
      </c>
      <c r="CL86" s="8">
        <f t="shared" si="83"/>
        <v>0</v>
      </c>
      <c r="CM86" s="8">
        <f t="shared" si="84"/>
        <v>0</v>
      </c>
      <c r="CN86" s="8">
        <f t="shared" si="85"/>
        <v>0</v>
      </c>
      <c r="CO86" s="8">
        <f t="shared" si="86"/>
        <v>0</v>
      </c>
      <c r="CP86" s="8">
        <f t="shared" si="87"/>
        <v>0</v>
      </c>
      <c r="CQ86" s="8">
        <f t="shared" si="88"/>
        <v>0</v>
      </c>
      <c r="CR86" s="8">
        <f t="shared" si="89"/>
        <v>0</v>
      </c>
      <c r="CS86" s="8">
        <f t="shared" si="90"/>
        <v>0</v>
      </c>
      <c r="CT86" s="8">
        <f t="shared" si="95"/>
        <v>0</v>
      </c>
      <c r="CU86" s="8">
        <f t="shared" si="96"/>
        <v>0</v>
      </c>
      <c r="CV86" s="8">
        <f t="shared" si="97"/>
        <v>0</v>
      </c>
      <c r="CW86" s="77">
        <v>1010102003</v>
      </c>
      <c r="CX86" s="77"/>
      <c r="CY86" s="77" t="s">
        <v>90</v>
      </c>
      <c r="CZ86" s="78" t="s">
        <v>394</v>
      </c>
      <c r="DA86" s="77">
        <f>IF(voltage="13.8 KV",$AH$42,0)</f>
        <v>0</v>
      </c>
      <c r="DB86" s="77"/>
      <c r="DD86" s="75"/>
      <c r="DE86" s="75"/>
      <c r="DF86" s="175"/>
      <c r="DI86" s="77">
        <v>1010102001</v>
      </c>
      <c r="DJ86" s="77">
        <f>'Equipment Selection'!$K$81</f>
        <v>0</v>
      </c>
      <c r="DK86" s="77" t="s">
        <v>90</v>
      </c>
      <c r="DL86" s="78" t="str">
        <f>"CABLE,15KV,CU,1C,50 "&amp;voltage</f>
        <v>CABLE,15KV,CU,1C,50 13.8 KV</v>
      </c>
    </row>
    <row r="87" spans="1:118" ht="25.25" customHeight="1" thickTop="1" thickBot="1" x14ac:dyDescent="0.5">
      <c r="A87" s="32"/>
      <c r="B87" s="10"/>
      <c r="C87" s="10"/>
      <c r="D87" s="11"/>
      <c r="E87" s="10"/>
      <c r="F87" s="10"/>
      <c r="G87" s="19"/>
      <c r="H87" s="19"/>
      <c r="I87" s="19"/>
      <c r="J87" s="19"/>
      <c r="K87" s="10"/>
      <c r="L87" s="10"/>
      <c r="M87" s="10"/>
      <c r="N87" s="10"/>
      <c r="O87" s="18"/>
      <c r="P87" s="18"/>
      <c r="Q87" s="21"/>
      <c r="R87" s="20"/>
      <c r="S87" s="16">
        <f t="shared" si="53"/>
        <v>0</v>
      </c>
      <c r="T87" s="11"/>
      <c r="AR87" s="31"/>
      <c r="AS87" s="31">
        <f t="shared" si="54"/>
        <v>0</v>
      </c>
      <c r="AT87" s="31">
        <f t="shared" si="55"/>
        <v>0</v>
      </c>
      <c r="AU87" s="31">
        <f t="shared" si="56"/>
        <v>0</v>
      </c>
      <c r="AV87" s="31">
        <f t="shared" si="57"/>
        <v>0</v>
      </c>
      <c r="AW87" s="31">
        <f t="shared" si="58"/>
        <v>0</v>
      </c>
      <c r="AX87" s="31">
        <f t="shared" si="59"/>
        <v>0</v>
      </c>
      <c r="AY87" s="31">
        <f t="shared" si="60"/>
        <v>0</v>
      </c>
      <c r="AZ87" s="31">
        <f t="shared" si="61"/>
        <v>0</v>
      </c>
      <c r="BA87" s="31">
        <f t="shared" si="62"/>
        <v>0</v>
      </c>
      <c r="BB87" s="31">
        <f t="shared" si="91"/>
        <v>0</v>
      </c>
      <c r="BC87" s="31"/>
      <c r="BD87" s="31"/>
      <c r="BM87" s="8">
        <f t="shared" si="92"/>
        <v>0</v>
      </c>
      <c r="BN87" s="8">
        <f t="shared" si="63"/>
        <v>0</v>
      </c>
      <c r="BO87" s="8">
        <f t="shared" si="64"/>
        <v>0</v>
      </c>
      <c r="BQ87" s="8">
        <f t="shared" si="65"/>
        <v>0</v>
      </c>
      <c r="BR87" s="63">
        <f t="shared" si="66"/>
        <v>0</v>
      </c>
      <c r="BS87" s="63">
        <f t="shared" si="93"/>
        <v>0</v>
      </c>
      <c r="BT87" s="63">
        <f t="shared" si="67"/>
        <v>0</v>
      </c>
      <c r="BU87" s="63">
        <f t="shared" si="68"/>
        <v>0</v>
      </c>
      <c r="BV87" s="57">
        <f t="shared" si="69"/>
        <v>0</v>
      </c>
      <c r="BW87" s="57">
        <f t="shared" si="70"/>
        <v>0</v>
      </c>
      <c r="BX87" s="57">
        <f t="shared" si="94"/>
        <v>0</v>
      </c>
      <c r="BY87" s="57">
        <f t="shared" si="51"/>
        <v>0</v>
      </c>
      <c r="BZ87" s="8">
        <f t="shared" si="71"/>
        <v>0</v>
      </c>
      <c r="CA87" s="8">
        <f t="shared" si="72"/>
        <v>0</v>
      </c>
      <c r="CB87" s="8">
        <f t="shared" si="73"/>
        <v>0</v>
      </c>
      <c r="CC87" s="8">
        <f t="shared" si="74"/>
        <v>0</v>
      </c>
      <c r="CD87" s="8">
        <f t="shared" si="75"/>
        <v>0</v>
      </c>
      <c r="CE87" s="8">
        <f t="shared" si="76"/>
        <v>0</v>
      </c>
      <c r="CF87" s="8">
        <f t="shared" si="77"/>
        <v>0</v>
      </c>
      <c r="CG87" s="8">
        <f t="shared" si="78"/>
        <v>0</v>
      </c>
      <c r="CH87" s="8">
        <f t="shared" si="79"/>
        <v>0</v>
      </c>
      <c r="CI87" s="8">
        <f t="shared" si="80"/>
        <v>0</v>
      </c>
      <c r="CJ87" s="8">
        <f t="shared" si="81"/>
        <v>0</v>
      </c>
      <c r="CK87" s="8">
        <f t="shared" si="82"/>
        <v>0</v>
      </c>
      <c r="CL87" s="8">
        <f t="shared" si="83"/>
        <v>0</v>
      </c>
      <c r="CM87" s="8">
        <f t="shared" si="84"/>
        <v>0</v>
      </c>
      <c r="CN87" s="8">
        <f t="shared" si="85"/>
        <v>0</v>
      </c>
      <c r="CO87" s="8">
        <f t="shared" si="86"/>
        <v>0</v>
      </c>
      <c r="CP87" s="8">
        <f t="shared" si="87"/>
        <v>0</v>
      </c>
      <c r="CQ87" s="8">
        <f t="shared" si="88"/>
        <v>0</v>
      </c>
      <c r="CR87" s="8">
        <f t="shared" si="89"/>
        <v>0</v>
      </c>
      <c r="CS87" s="8">
        <f t="shared" si="90"/>
        <v>0</v>
      </c>
      <c r="CT87" s="8">
        <f t="shared" si="95"/>
        <v>0</v>
      </c>
      <c r="CU87" s="8">
        <f t="shared" si="96"/>
        <v>0</v>
      </c>
      <c r="CV87" s="8">
        <f t="shared" si="97"/>
        <v>0</v>
      </c>
      <c r="CW87" s="77"/>
      <c r="CX87" s="77">
        <v>1010103004</v>
      </c>
      <c r="CY87" s="77" t="s">
        <v>90</v>
      </c>
      <c r="CZ87" s="78" t="s">
        <v>395</v>
      </c>
      <c r="DA87" s="77"/>
      <c r="DB87" s="77">
        <f>IF(voltage="33 KV",$AH$42,0)</f>
        <v>0</v>
      </c>
      <c r="DK87" s="75"/>
      <c r="DL87" s="75"/>
      <c r="DM87" s="75"/>
      <c r="DN87" s="75"/>
    </row>
    <row r="88" spans="1:118" ht="25.25" customHeight="1" thickTop="1" thickBot="1" x14ac:dyDescent="0.5">
      <c r="A88" s="32"/>
      <c r="B88" s="10"/>
      <c r="C88" s="10"/>
      <c r="D88" s="11"/>
      <c r="E88" s="10"/>
      <c r="F88" s="10"/>
      <c r="G88" s="19"/>
      <c r="H88" s="19"/>
      <c r="I88" s="19"/>
      <c r="J88" s="19"/>
      <c r="K88" s="10"/>
      <c r="L88" s="10"/>
      <c r="M88" s="10"/>
      <c r="N88" s="10"/>
      <c r="O88" s="18"/>
      <c r="P88" s="18"/>
      <c r="Q88" s="21"/>
      <c r="R88" s="20"/>
      <c r="S88" s="16">
        <f t="shared" si="53"/>
        <v>0</v>
      </c>
      <c r="T88" s="11"/>
      <c r="AR88" s="31"/>
      <c r="AS88" s="31">
        <f t="shared" si="54"/>
        <v>0</v>
      </c>
      <c r="AT88" s="31">
        <f t="shared" si="55"/>
        <v>0</v>
      </c>
      <c r="AU88" s="31">
        <f t="shared" si="56"/>
        <v>0</v>
      </c>
      <c r="AV88" s="31">
        <f t="shared" si="57"/>
        <v>0</v>
      </c>
      <c r="AW88" s="31">
        <f t="shared" si="58"/>
        <v>0</v>
      </c>
      <c r="AX88" s="31">
        <f t="shared" si="59"/>
        <v>0</v>
      </c>
      <c r="AY88" s="31">
        <f t="shared" si="60"/>
        <v>0</v>
      </c>
      <c r="AZ88" s="31">
        <f t="shared" si="61"/>
        <v>0</v>
      </c>
      <c r="BA88" s="31">
        <f t="shared" si="62"/>
        <v>0</v>
      </c>
      <c r="BB88" s="31">
        <f t="shared" si="91"/>
        <v>0</v>
      </c>
      <c r="BC88" s="31"/>
      <c r="BD88" s="31"/>
      <c r="BM88" s="8">
        <f t="shared" si="92"/>
        <v>0</v>
      </c>
      <c r="BN88" s="8">
        <f t="shared" si="63"/>
        <v>0</v>
      </c>
      <c r="BO88" s="8">
        <f t="shared" si="64"/>
        <v>0</v>
      </c>
      <c r="BQ88" s="8">
        <f t="shared" si="65"/>
        <v>0</v>
      </c>
      <c r="BR88" s="63">
        <f t="shared" si="66"/>
        <v>0</v>
      </c>
      <c r="BS88" s="63">
        <f t="shared" si="93"/>
        <v>0</v>
      </c>
      <c r="BT88" s="63">
        <f t="shared" si="67"/>
        <v>0</v>
      </c>
      <c r="BU88" s="63">
        <f t="shared" si="68"/>
        <v>0</v>
      </c>
      <c r="BV88" s="57">
        <f t="shared" si="69"/>
        <v>0</v>
      </c>
      <c r="BW88" s="57">
        <f t="shared" si="70"/>
        <v>0</v>
      </c>
      <c r="BX88" s="57">
        <f t="shared" si="94"/>
        <v>0</v>
      </c>
      <c r="BY88" s="57">
        <f t="shared" si="51"/>
        <v>0</v>
      </c>
      <c r="BZ88" s="8">
        <f t="shared" si="71"/>
        <v>0</v>
      </c>
      <c r="CA88" s="8">
        <f t="shared" si="72"/>
        <v>0</v>
      </c>
      <c r="CB88" s="8">
        <f t="shared" si="73"/>
        <v>0</v>
      </c>
      <c r="CC88" s="8">
        <f t="shared" si="74"/>
        <v>0</v>
      </c>
      <c r="CD88" s="8">
        <f t="shared" si="75"/>
        <v>0</v>
      </c>
      <c r="CE88" s="8">
        <f t="shared" si="76"/>
        <v>0</v>
      </c>
      <c r="CF88" s="8">
        <f t="shared" si="77"/>
        <v>0</v>
      </c>
      <c r="CG88" s="8">
        <f t="shared" si="78"/>
        <v>0</v>
      </c>
      <c r="CH88" s="8">
        <f t="shared" si="79"/>
        <v>0</v>
      </c>
      <c r="CI88" s="8">
        <f t="shared" si="80"/>
        <v>0</v>
      </c>
      <c r="CJ88" s="8">
        <f t="shared" si="81"/>
        <v>0</v>
      </c>
      <c r="CK88" s="8">
        <f t="shared" si="82"/>
        <v>0</v>
      </c>
      <c r="CL88" s="8">
        <f t="shared" si="83"/>
        <v>0</v>
      </c>
      <c r="CM88" s="8">
        <f t="shared" si="84"/>
        <v>0</v>
      </c>
      <c r="CN88" s="8">
        <f t="shared" si="85"/>
        <v>0</v>
      </c>
      <c r="CO88" s="8">
        <f t="shared" si="86"/>
        <v>0</v>
      </c>
      <c r="CP88" s="8">
        <f t="shared" si="87"/>
        <v>0</v>
      </c>
      <c r="CQ88" s="8">
        <f t="shared" si="88"/>
        <v>0</v>
      </c>
      <c r="CR88" s="8">
        <f t="shared" si="89"/>
        <v>0</v>
      </c>
      <c r="CS88" s="8">
        <f t="shared" si="90"/>
        <v>0</v>
      </c>
      <c r="CT88" s="8">
        <f t="shared" si="95"/>
        <v>0</v>
      </c>
      <c r="CU88" s="8">
        <f t="shared" si="96"/>
        <v>0</v>
      </c>
      <c r="CV88" s="8">
        <f t="shared" si="97"/>
        <v>0</v>
      </c>
      <c r="CW88" s="77">
        <v>1010102001</v>
      </c>
      <c r="CX88" s="77">
        <v>1010103001</v>
      </c>
      <c r="CY88" s="77" t="s">
        <v>90</v>
      </c>
      <c r="CZ88" s="78" t="str">
        <f>"CABLE,15KV,CU,1C,50 "&amp;voltage</f>
        <v>CABLE,15KV,CU,1C,50 13.8 KV</v>
      </c>
      <c r="DA88" s="77">
        <f>'Equipment Selection'!$K$81</f>
        <v>0</v>
      </c>
      <c r="DB88" s="77">
        <f>IF(voltage="33 KV",'Equipment Selection'!$K$81,0)</f>
        <v>0</v>
      </c>
    </row>
    <row r="89" spans="1:118" ht="25.25" customHeight="1" thickTop="1" thickBot="1" x14ac:dyDescent="0.5">
      <c r="A89" s="32"/>
      <c r="B89" s="10"/>
      <c r="C89" s="10"/>
      <c r="D89" s="11"/>
      <c r="E89" s="10"/>
      <c r="F89" s="10"/>
      <c r="G89" s="19"/>
      <c r="H89" s="19"/>
      <c r="I89" s="19"/>
      <c r="J89" s="19"/>
      <c r="K89" s="10"/>
      <c r="L89" s="10"/>
      <c r="M89" s="10"/>
      <c r="N89" s="10"/>
      <c r="O89" s="18"/>
      <c r="P89" s="18"/>
      <c r="Q89" s="21"/>
      <c r="R89" s="20"/>
      <c r="S89" s="16">
        <f t="shared" si="53"/>
        <v>0</v>
      </c>
      <c r="T89" s="11"/>
      <c r="AR89" s="31"/>
      <c r="AS89" s="31">
        <f t="shared" si="54"/>
        <v>0</v>
      </c>
      <c r="AT89" s="31">
        <f t="shared" si="55"/>
        <v>0</v>
      </c>
      <c r="AU89" s="31">
        <f t="shared" si="56"/>
        <v>0</v>
      </c>
      <c r="AV89" s="31">
        <f t="shared" si="57"/>
        <v>0</v>
      </c>
      <c r="AW89" s="31">
        <f t="shared" si="58"/>
        <v>0</v>
      </c>
      <c r="AX89" s="31">
        <f t="shared" si="59"/>
        <v>0</v>
      </c>
      <c r="AY89" s="31">
        <f t="shared" si="60"/>
        <v>0</v>
      </c>
      <c r="AZ89" s="31">
        <f t="shared" si="61"/>
        <v>0</v>
      </c>
      <c r="BA89" s="31">
        <f t="shared" si="62"/>
        <v>0</v>
      </c>
      <c r="BB89" s="31">
        <f t="shared" si="91"/>
        <v>0</v>
      </c>
      <c r="BC89" s="31"/>
      <c r="BD89" s="31"/>
      <c r="BM89" s="8">
        <f t="shared" si="92"/>
        <v>0</v>
      </c>
      <c r="BN89" s="8">
        <f t="shared" si="63"/>
        <v>0</v>
      </c>
      <c r="BO89" s="8">
        <f t="shared" si="64"/>
        <v>0</v>
      </c>
      <c r="BQ89" s="8">
        <f t="shared" si="65"/>
        <v>0</v>
      </c>
      <c r="BR89" s="63">
        <f t="shared" si="66"/>
        <v>0</v>
      </c>
      <c r="BS89" s="63">
        <f t="shared" si="93"/>
        <v>0</v>
      </c>
      <c r="BT89" s="63">
        <f t="shared" si="67"/>
        <v>0</v>
      </c>
      <c r="BU89" s="63">
        <f t="shared" si="68"/>
        <v>0</v>
      </c>
      <c r="BV89" s="57">
        <f t="shared" si="69"/>
        <v>0</v>
      </c>
      <c r="BW89" s="57">
        <f t="shared" si="70"/>
        <v>0</v>
      </c>
      <c r="BX89" s="57">
        <f t="shared" si="94"/>
        <v>0</v>
      </c>
      <c r="BY89" s="57">
        <f t="shared" si="51"/>
        <v>0</v>
      </c>
      <c r="BZ89" s="8">
        <f t="shared" si="71"/>
        <v>0</v>
      </c>
      <c r="CA89" s="8">
        <f t="shared" si="72"/>
        <v>0</v>
      </c>
      <c r="CB89" s="8">
        <f t="shared" si="73"/>
        <v>0</v>
      </c>
      <c r="CC89" s="8">
        <f t="shared" si="74"/>
        <v>0</v>
      </c>
      <c r="CD89" s="8">
        <f t="shared" si="75"/>
        <v>0</v>
      </c>
      <c r="CE89" s="8">
        <f t="shared" si="76"/>
        <v>0</v>
      </c>
      <c r="CF89" s="8">
        <f t="shared" si="77"/>
        <v>0</v>
      </c>
      <c r="CG89" s="8">
        <f t="shared" si="78"/>
        <v>0</v>
      </c>
      <c r="CH89" s="8">
        <f t="shared" si="79"/>
        <v>0</v>
      </c>
      <c r="CI89" s="8">
        <f t="shared" si="80"/>
        <v>0</v>
      </c>
      <c r="CJ89" s="8">
        <f t="shared" si="81"/>
        <v>0</v>
      </c>
      <c r="CK89" s="8">
        <f t="shared" si="82"/>
        <v>0</v>
      </c>
      <c r="CL89" s="8">
        <f t="shared" si="83"/>
        <v>0</v>
      </c>
      <c r="CM89" s="8">
        <f t="shared" si="84"/>
        <v>0</v>
      </c>
      <c r="CN89" s="8">
        <f t="shared" si="85"/>
        <v>0</v>
      </c>
      <c r="CO89" s="8">
        <f t="shared" si="86"/>
        <v>0</v>
      </c>
      <c r="CP89" s="8">
        <f t="shared" si="87"/>
        <v>0</v>
      </c>
      <c r="CQ89" s="8">
        <f t="shared" si="88"/>
        <v>0</v>
      </c>
      <c r="CR89" s="8">
        <f t="shared" si="89"/>
        <v>0</v>
      </c>
      <c r="CS89" s="8">
        <f t="shared" si="90"/>
        <v>0</v>
      </c>
      <c r="CT89" s="8">
        <f t="shared" si="95"/>
        <v>0</v>
      </c>
      <c r="CU89" s="8">
        <f t="shared" si="96"/>
        <v>0</v>
      </c>
      <c r="CV89" s="8">
        <f t="shared" si="97"/>
        <v>0</v>
      </c>
      <c r="CW89" s="75"/>
      <c r="CX89" s="75"/>
      <c r="CY89" s="75"/>
      <c r="CZ89" s="75"/>
      <c r="DA89" s="75"/>
      <c r="DB89" s="75"/>
    </row>
    <row r="90" spans="1:118" ht="25.25" customHeight="1" thickTop="1" thickBot="1" x14ac:dyDescent="0.5">
      <c r="A90" s="32"/>
      <c r="B90" s="10"/>
      <c r="C90" s="10"/>
      <c r="D90" s="11"/>
      <c r="E90" s="10"/>
      <c r="F90" s="10"/>
      <c r="G90" s="19"/>
      <c r="H90" s="19"/>
      <c r="I90" s="19"/>
      <c r="J90" s="19"/>
      <c r="K90" s="10"/>
      <c r="L90" s="10"/>
      <c r="M90" s="10"/>
      <c r="N90" s="10"/>
      <c r="O90" s="18"/>
      <c r="P90" s="18"/>
      <c r="Q90" s="21"/>
      <c r="R90" s="20"/>
      <c r="S90" s="16">
        <f t="shared" si="53"/>
        <v>0</v>
      </c>
      <c r="T90" s="11"/>
      <c r="AR90" s="31"/>
      <c r="AS90" s="31">
        <f t="shared" si="54"/>
        <v>0</v>
      </c>
      <c r="AT90" s="31">
        <f t="shared" si="55"/>
        <v>0</v>
      </c>
      <c r="AU90" s="31">
        <f t="shared" si="56"/>
        <v>0</v>
      </c>
      <c r="AV90" s="31">
        <f t="shared" si="57"/>
        <v>0</v>
      </c>
      <c r="AW90" s="31">
        <f t="shared" si="58"/>
        <v>0</v>
      </c>
      <c r="AX90" s="31">
        <f t="shared" si="59"/>
        <v>0</v>
      </c>
      <c r="AY90" s="31">
        <f t="shared" si="60"/>
        <v>0</v>
      </c>
      <c r="AZ90" s="31">
        <f t="shared" si="61"/>
        <v>0</v>
      </c>
      <c r="BA90" s="31">
        <f t="shared" si="62"/>
        <v>0</v>
      </c>
      <c r="BB90" s="31">
        <f t="shared" si="91"/>
        <v>0</v>
      </c>
      <c r="BC90" s="31"/>
      <c r="BD90" s="31"/>
      <c r="BM90" s="8">
        <f t="shared" si="92"/>
        <v>0</v>
      </c>
      <c r="BN90" s="8">
        <f t="shared" si="63"/>
        <v>0</v>
      </c>
      <c r="BO90" s="8">
        <f t="shared" si="64"/>
        <v>0</v>
      </c>
      <c r="BQ90" s="8">
        <f t="shared" si="65"/>
        <v>0</v>
      </c>
      <c r="BR90" s="63">
        <f t="shared" si="66"/>
        <v>0</v>
      </c>
      <c r="BS90" s="63">
        <f t="shared" si="93"/>
        <v>0</v>
      </c>
      <c r="BT90" s="63">
        <f t="shared" si="67"/>
        <v>0</v>
      </c>
      <c r="BU90" s="63">
        <f t="shared" si="68"/>
        <v>0</v>
      </c>
      <c r="BV90" s="57">
        <f t="shared" si="69"/>
        <v>0</v>
      </c>
      <c r="BW90" s="57">
        <f t="shared" si="70"/>
        <v>0</v>
      </c>
      <c r="BX90" s="57">
        <f t="shared" si="94"/>
        <v>0</v>
      </c>
      <c r="BY90" s="57">
        <f t="shared" si="51"/>
        <v>0</v>
      </c>
      <c r="BZ90" s="8">
        <f t="shared" si="71"/>
        <v>0</v>
      </c>
      <c r="CA90" s="8">
        <f t="shared" si="72"/>
        <v>0</v>
      </c>
      <c r="CB90" s="8">
        <f t="shared" si="73"/>
        <v>0</v>
      </c>
      <c r="CC90" s="8">
        <f t="shared" si="74"/>
        <v>0</v>
      </c>
      <c r="CD90" s="8">
        <f t="shared" si="75"/>
        <v>0</v>
      </c>
      <c r="CE90" s="8">
        <f t="shared" si="76"/>
        <v>0</v>
      </c>
      <c r="CF90" s="8">
        <f t="shared" si="77"/>
        <v>0</v>
      </c>
      <c r="CG90" s="8">
        <f t="shared" si="78"/>
        <v>0</v>
      </c>
      <c r="CH90" s="8">
        <f t="shared" si="79"/>
        <v>0</v>
      </c>
      <c r="CI90" s="8">
        <f t="shared" si="80"/>
        <v>0</v>
      </c>
      <c r="CJ90" s="8">
        <f t="shared" si="81"/>
        <v>0</v>
      </c>
      <c r="CK90" s="8">
        <f t="shared" si="82"/>
        <v>0</v>
      </c>
      <c r="CL90" s="8">
        <f t="shared" si="83"/>
        <v>0</v>
      </c>
      <c r="CM90" s="8">
        <f t="shared" si="84"/>
        <v>0</v>
      </c>
      <c r="CN90" s="8">
        <f t="shared" si="85"/>
        <v>0</v>
      </c>
      <c r="CO90" s="8">
        <f t="shared" si="86"/>
        <v>0</v>
      </c>
      <c r="CP90" s="8">
        <f t="shared" si="87"/>
        <v>0</v>
      </c>
      <c r="CQ90" s="8">
        <f t="shared" si="88"/>
        <v>0</v>
      </c>
      <c r="CR90" s="8">
        <f t="shared" si="89"/>
        <v>0</v>
      </c>
      <c r="CS90" s="8">
        <f t="shared" si="90"/>
        <v>0</v>
      </c>
      <c r="CT90" s="8">
        <f t="shared" si="95"/>
        <v>0</v>
      </c>
      <c r="CU90" s="8">
        <f t="shared" si="96"/>
        <v>0</v>
      </c>
      <c r="CV90" s="8">
        <f t="shared" si="97"/>
        <v>0</v>
      </c>
    </row>
    <row r="91" spans="1:118" ht="25.25" customHeight="1" thickTop="1" thickBot="1" x14ac:dyDescent="0.5">
      <c r="A91" s="32"/>
      <c r="B91" s="10"/>
      <c r="C91" s="10"/>
      <c r="D91" s="11"/>
      <c r="E91" s="10"/>
      <c r="F91" s="10"/>
      <c r="G91" s="19"/>
      <c r="H91" s="19"/>
      <c r="I91" s="19"/>
      <c r="J91" s="19"/>
      <c r="K91" s="10"/>
      <c r="L91" s="10"/>
      <c r="M91" s="10"/>
      <c r="N91" s="10"/>
      <c r="O91" s="18"/>
      <c r="P91" s="18"/>
      <c r="Q91" s="21"/>
      <c r="R91" s="20"/>
      <c r="S91" s="16">
        <f t="shared" si="53"/>
        <v>0</v>
      </c>
      <c r="T91" s="11"/>
      <c r="AR91" s="31"/>
      <c r="AS91" s="31">
        <f t="shared" si="54"/>
        <v>0</v>
      </c>
      <c r="AT91" s="31">
        <f t="shared" si="55"/>
        <v>0</v>
      </c>
      <c r="AU91" s="31">
        <f t="shared" si="56"/>
        <v>0</v>
      </c>
      <c r="AV91" s="31">
        <f t="shared" si="57"/>
        <v>0</v>
      </c>
      <c r="AW91" s="31">
        <f t="shared" si="58"/>
        <v>0</v>
      </c>
      <c r="AX91" s="31">
        <f t="shared" si="59"/>
        <v>0</v>
      </c>
      <c r="AY91" s="31">
        <f t="shared" si="60"/>
        <v>0</v>
      </c>
      <c r="AZ91" s="31">
        <f t="shared" si="61"/>
        <v>0</v>
      </c>
      <c r="BA91" s="31">
        <f t="shared" si="62"/>
        <v>0</v>
      </c>
      <c r="BB91" s="31">
        <f t="shared" si="91"/>
        <v>0</v>
      </c>
      <c r="BC91" s="31"/>
      <c r="BD91" s="31"/>
      <c r="BM91" s="8">
        <f t="shared" si="92"/>
        <v>0</v>
      </c>
      <c r="BN91" s="8">
        <f t="shared" si="63"/>
        <v>0</v>
      </c>
      <c r="BO91" s="8">
        <f t="shared" si="64"/>
        <v>0</v>
      </c>
      <c r="BQ91" s="8">
        <f t="shared" si="65"/>
        <v>0</v>
      </c>
      <c r="BR91" s="63">
        <f t="shared" si="66"/>
        <v>0</v>
      </c>
      <c r="BS91" s="63">
        <f t="shared" si="93"/>
        <v>0</v>
      </c>
      <c r="BT91" s="63">
        <f t="shared" si="67"/>
        <v>0</v>
      </c>
      <c r="BU91" s="63">
        <f t="shared" si="68"/>
        <v>0</v>
      </c>
      <c r="BV91" s="57">
        <f t="shared" si="69"/>
        <v>0</v>
      </c>
      <c r="BW91" s="57">
        <f t="shared" si="70"/>
        <v>0</v>
      </c>
      <c r="BX91" s="57">
        <f t="shared" si="94"/>
        <v>0</v>
      </c>
      <c r="BY91" s="57">
        <f t="shared" si="51"/>
        <v>0</v>
      </c>
      <c r="BZ91" s="8">
        <f t="shared" si="71"/>
        <v>0</v>
      </c>
      <c r="CA91" s="8">
        <f t="shared" si="72"/>
        <v>0</v>
      </c>
      <c r="CB91" s="8">
        <f t="shared" si="73"/>
        <v>0</v>
      </c>
      <c r="CC91" s="8">
        <f t="shared" si="74"/>
        <v>0</v>
      </c>
      <c r="CD91" s="8">
        <f t="shared" si="75"/>
        <v>0</v>
      </c>
      <c r="CE91" s="8">
        <f t="shared" si="76"/>
        <v>0</v>
      </c>
      <c r="CF91" s="8">
        <f t="shared" si="77"/>
        <v>0</v>
      </c>
      <c r="CG91" s="8">
        <f t="shared" si="78"/>
        <v>0</v>
      </c>
      <c r="CH91" s="8">
        <f t="shared" si="79"/>
        <v>0</v>
      </c>
      <c r="CI91" s="8">
        <f t="shared" si="80"/>
        <v>0</v>
      </c>
      <c r="CJ91" s="8">
        <f t="shared" si="81"/>
        <v>0</v>
      </c>
      <c r="CK91" s="8">
        <f t="shared" si="82"/>
        <v>0</v>
      </c>
      <c r="CL91" s="8">
        <f t="shared" si="83"/>
        <v>0</v>
      </c>
      <c r="CM91" s="8">
        <f t="shared" si="84"/>
        <v>0</v>
      </c>
      <c r="CN91" s="8">
        <f t="shared" si="85"/>
        <v>0</v>
      </c>
      <c r="CO91" s="8">
        <f t="shared" si="86"/>
        <v>0</v>
      </c>
      <c r="CP91" s="8">
        <f t="shared" si="87"/>
        <v>0</v>
      </c>
      <c r="CQ91" s="8">
        <f t="shared" si="88"/>
        <v>0</v>
      </c>
      <c r="CR91" s="8">
        <f t="shared" si="89"/>
        <v>0</v>
      </c>
      <c r="CS91" s="8">
        <f t="shared" si="90"/>
        <v>0</v>
      </c>
      <c r="CT91" s="8">
        <f t="shared" si="95"/>
        <v>0</v>
      </c>
      <c r="CU91" s="8">
        <f t="shared" si="96"/>
        <v>0</v>
      </c>
      <c r="CV91" s="8">
        <f t="shared" si="97"/>
        <v>0</v>
      </c>
    </row>
    <row r="92" spans="1:118" ht="25.25" customHeight="1" thickTop="1" thickBot="1" x14ac:dyDescent="0.5">
      <c r="A92" s="32"/>
      <c r="B92" s="10"/>
      <c r="C92" s="10"/>
      <c r="D92" s="11"/>
      <c r="E92" s="10"/>
      <c r="F92" s="10"/>
      <c r="G92" s="19"/>
      <c r="H92" s="19"/>
      <c r="I92" s="19"/>
      <c r="J92" s="19"/>
      <c r="K92" s="10"/>
      <c r="L92" s="10"/>
      <c r="M92" s="10"/>
      <c r="N92" s="10"/>
      <c r="O92" s="18"/>
      <c r="P92" s="18"/>
      <c r="Q92" s="21"/>
      <c r="R92" s="20"/>
      <c r="S92" s="16">
        <f t="shared" si="53"/>
        <v>0</v>
      </c>
      <c r="T92" s="11"/>
      <c r="AR92" s="31"/>
      <c r="AS92" s="31">
        <f t="shared" si="54"/>
        <v>0</v>
      </c>
      <c r="AT92" s="31">
        <f t="shared" si="55"/>
        <v>0</v>
      </c>
      <c r="AU92" s="31">
        <f t="shared" si="56"/>
        <v>0</v>
      </c>
      <c r="AV92" s="31">
        <f t="shared" si="57"/>
        <v>0</v>
      </c>
      <c r="AW92" s="31">
        <f t="shared" si="58"/>
        <v>0</v>
      </c>
      <c r="AX92" s="31">
        <f t="shared" si="59"/>
        <v>0</v>
      </c>
      <c r="AY92" s="31">
        <f t="shared" si="60"/>
        <v>0</v>
      </c>
      <c r="AZ92" s="31">
        <f t="shared" si="61"/>
        <v>0</v>
      </c>
      <c r="BA92" s="31">
        <f t="shared" si="62"/>
        <v>0</v>
      </c>
      <c r="BB92" s="31">
        <f t="shared" si="91"/>
        <v>0</v>
      </c>
      <c r="BC92" s="31"/>
      <c r="BD92" s="31"/>
      <c r="BM92" s="8">
        <f t="shared" si="92"/>
        <v>0</v>
      </c>
      <c r="BN92" s="8">
        <f t="shared" si="63"/>
        <v>0</v>
      </c>
      <c r="BO92" s="8">
        <f t="shared" si="64"/>
        <v>0</v>
      </c>
      <c r="BQ92" s="8">
        <f t="shared" si="65"/>
        <v>0</v>
      </c>
      <c r="BR92" s="63">
        <f t="shared" si="66"/>
        <v>0</v>
      </c>
      <c r="BS92" s="63">
        <f t="shared" si="93"/>
        <v>0</v>
      </c>
      <c r="BT92" s="63">
        <f t="shared" si="67"/>
        <v>0</v>
      </c>
      <c r="BU92" s="63">
        <f t="shared" si="68"/>
        <v>0</v>
      </c>
      <c r="BV92" s="57">
        <f t="shared" si="69"/>
        <v>0</v>
      </c>
      <c r="BW92" s="57">
        <f t="shared" si="70"/>
        <v>0</v>
      </c>
      <c r="BX92" s="57">
        <f t="shared" si="94"/>
        <v>0</v>
      </c>
      <c r="BY92" s="57">
        <f t="shared" si="51"/>
        <v>0</v>
      </c>
      <c r="BZ92" s="8">
        <f t="shared" si="71"/>
        <v>0</v>
      </c>
      <c r="CA92" s="8">
        <f t="shared" si="72"/>
        <v>0</v>
      </c>
      <c r="CB92" s="8">
        <f t="shared" si="73"/>
        <v>0</v>
      </c>
      <c r="CC92" s="8">
        <f t="shared" si="74"/>
        <v>0</v>
      </c>
      <c r="CD92" s="8">
        <f t="shared" si="75"/>
        <v>0</v>
      </c>
      <c r="CE92" s="8">
        <f t="shared" si="76"/>
        <v>0</v>
      </c>
      <c r="CF92" s="8">
        <f t="shared" si="77"/>
        <v>0</v>
      </c>
      <c r="CG92" s="8">
        <f t="shared" si="78"/>
        <v>0</v>
      </c>
      <c r="CH92" s="8">
        <f t="shared" si="79"/>
        <v>0</v>
      </c>
      <c r="CI92" s="8">
        <f t="shared" si="80"/>
        <v>0</v>
      </c>
      <c r="CJ92" s="8">
        <f t="shared" si="81"/>
        <v>0</v>
      </c>
      <c r="CK92" s="8">
        <f t="shared" si="82"/>
        <v>0</v>
      </c>
      <c r="CL92" s="8">
        <f t="shared" si="83"/>
        <v>0</v>
      </c>
      <c r="CM92" s="8">
        <f t="shared" si="84"/>
        <v>0</v>
      </c>
      <c r="CN92" s="8">
        <f t="shared" si="85"/>
        <v>0</v>
      </c>
      <c r="CO92" s="8">
        <f t="shared" si="86"/>
        <v>0</v>
      </c>
      <c r="CP92" s="8">
        <f t="shared" si="87"/>
        <v>0</v>
      </c>
      <c r="CQ92" s="8">
        <f t="shared" si="88"/>
        <v>0</v>
      </c>
      <c r="CR92" s="8">
        <f t="shared" si="89"/>
        <v>0</v>
      </c>
      <c r="CS92" s="8">
        <f t="shared" si="90"/>
        <v>0</v>
      </c>
      <c r="CT92" s="8">
        <f t="shared" si="95"/>
        <v>0</v>
      </c>
      <c r="CU92" s="8">
        <f t="shared" si="96"/>
        <v>0</v>
      </c>
      <c r="CV92" s="8">
        <f t="shared" si="97"/>
        <v>0</v>
      </c>
      <c r="CW92" s="81" t="s">
        <v>363</v>
      </c>
      <c r="CX92" s="81" t="s">
        <v>364</v>
      </c>
      <c r="CY92" s="81"/>
      <c r="CZ92" s="81" t="s">
        <v>365</v>
      </c>
    </row>
    <row r="93" spans="1:118" ht="25.25" customHeight="1" thickTop="1" thickBot="1" x14ac:dyDescent="0.5">
      <c r="A93" s="32"/>
      <c r="B93" s="10"/>
      <c r="C93" s="10"/>
      <c r="D93" s="11"/>
      <c r="E93" s="10"/>
      <c r="F93" s="10"/>
      <c r="G93" s="19"/>
      <c r="H93" s="19"/>
      <c r="I93" s="19"/>
      <c r="J93" s="19"/>
      <c r="K93" s="10"/>
      <c r="L93" s="10"/>
      <c r="M93" s="10"/>
      <c r="N93" s="10"/>
      <c r="O93" s="18"/>
      <c r="P93" s="18"/>
      <c r="Q93" s="21"/>
      <c r="R93" s="20"/>
      <c r="S93" s="16">
        <f t="shared" si="53"/>
        <v>0</v>
      </c>
      <c r="T93" s="11"/>
      <c r="AR93" s="31"/>
      <c r="AS93" s="31">
        <f t="shared" si="54"/>
        <v>0</v>
      </c>
      <c r="AT93" s="31">
        <f t="shared" si="55"/>
        <v>0</v>
      </c>
      <c r="AU93" s="31">
        <f t="shared" si="56"/>
        <v>0</v>
      </c>
      <c r="AV93" s="31">
        <f t="shared" si="57"/>
        <v>0</v>
      </c>
      <c r="AW93" s="31">
        <f t="shared" si="58"/>
        <v>0</v>
      </c>
      <c r="AX93" s="31">
        <f t="shared" si="59"/>
        <v>0</v>
      </c>
      <c r="AY93" s="31">
        <f t="shared" si="60"/>
        <v>0</v>
      </c>
      <c r="AZ93" s="31">
        <f t="shared" si="61"/>
        <v>0</v>
      </c>
      <c r="BA93" s="31">
        <f t="shared" si="62"/>
        <v>0</v>
      </c>
      <c r="BB93" s="31">
        <f t="shared" si="91"/>
        <v>0</v>
      </c>
      <c r="BC93" s="31"/>
      <c r="BD93" s="31"/>
      <c r="BM93" s="8">
        <f t="shared" si="92"/>
        <v>0</v>
      </c>
      <c r="BN93" s="8">
        <f t="shared" si="63"/>
        <v>0</v>
      </c>
      <c r="BO93" s="8">
        <f t="shared" si="64"/>
        <v>0</v>
      </c>
      <c r="BQ93" s="8">
        <f t="shared" si="65"/>
        <v>0</v>
      </c>
      <c r="BR93" s="63">
        <f t="shared" si="66"/>
        <v>0</v>
      </c>
      <c r="BS93" s="63">
        <f t="shared" si="93"/>
        <v>0</v>
      </c>
      <c r="BT93" s="63">
        <f t="shared" si="67"/>
        <v>0</v>
      </c>
      <c r="BU93" s="63">
        <f t="shared" si="68"/>
        <v>0</v>
      </c>
      <c r="BV93" s="57">
        <f t="shared" si="69"/>
        <v>0</v>
      </c>
      <c r="BW93" s="57">
        <f t="shared" si="70"/>
        <v>0</v>
      </c>
      <c r="BX93" s="57">
        <f t="shared" si="94"/>
        <v>0</v>
      </c>
      <c r="BY93" s="57">
        <f t="shared" ref="BY93:BY156" si="98">IF(AND(OR(N93="YES",N93="HDD",N93="EX PIPES"),K93=""),D93*(F93+G93),0)</f>
        <v>0</v>
      </c>
      <c r="BZ93" s="8">
        <f t="shared" si="71"/>
        <v>0</v>
      </c>
      <c r="CA93" s="8">
        <f t="shared" si="72"/>
        <v>0</v>
      </c>
      <c r="CB93" s="8">
        <f t="shared" si="73"/>
        <v>0</v>
      </c>
      <c r="CC93" s="8">
        <f t="shared" si="74"/>
        <v>0</v>
      </c>
      <c r="CD93" s="8">
        <f t="shared" si="75"/>
        <v>0</v>
      </c>
      <c r="CE93" s="8">
        <f t="shared" si="76"/>
        <v>0</v>
      </c>
      <c r="CF93" s="8">
        <f t="shared" si="77"/>
        <v>0</v>
      </c>
      <c r="CG93" s="8">
        <f t="shared" si="78"/>
        <v>0</v>
      </c>
      <c r="CH93" s="8">
        <f t="shared" si="79"/>
        <v>0</v>
      </c>
      <c r="CI93" s="8">
        <f t="shared" si="80"/>
        <v>0</v>
      </c>
      <c r="CJ93" s="8">
        <f t="shared" si="81"/>
        <v>0</v>
      </c>
      <c r="CK93" s="8">
        <f t="shared" si="82"/>
        <v>0</v>
      </c>
      <c r="CL93" s="8">
        <f t="shared" si="83"/>
        <v>0</v>
      </c>
      <c r="CM93" s="8">
        <f t="shared" si="84"/>
        <v>0</v>
      </c>
      <c r="CN93" s="8">
        <f t="shared" si="85"/>
        <v>0</v>
      </c>
      <c r="CO93" s="8">
        <f t="shared" si="86"/>
        <v>0</v>
      </c>
      <c r="CP93" s="8">
        <f t="shared" si="87"/>
        <v>0</v>
      </c>
      <c r="CQ93" s="8">
        <f t="shared" si="88"/>
        <v>0</v>
      </c>
      <c r="CR93" s="8">
        <f t="shared" si="89"/>
        <v>0</v>
      </c>
      <c r="CS93" s="8">
        <f t="shared" si="90"/>
        <v>0</v>
      </c>
      <c r="CT93" s="8">
        <f t="shared" si="95"/>
        <v>0</v>
      </c>
      <c r="CU93" s="8">
        <f t="shared" si="96"/>
        <v>0</v>
      </c>
      <c r="CV93" s="8">
        <f t="shared" si="97"/>
        <v>0</v>
      </c>
      <c r="CW93" s="82">
        <v>1040101002</v>
      </c>
      <c r="CX93" s="82">
        <f>'Equipment Selection'!I88</f>
        <v>0</v>
      </c>
      <c r="CY93" s="82" t="s">
        <v>90</v>
      </c>
      <c r="CZ93" s="82" t="s">
        <v>366</v>
      </c>
    </row>
    <row r="94" spans="1:118" ht="25.25" customHeight="1" thickTop="1" thickBot="1" x14ac:dyDescent="0.5">
      <c r="A94" s="32"/>
      <c r="B94" s="10"/>
      <c r="C94" s="10"/>
      <c r="D94" s="11"/>
      <c r="E94" s="10"/>
      <c r="F94" s="10"/>
      <c r="G94" s="19"/>
      <c r="H94" s="19"/>
      <c r="I94" s="19"/>
      <c r="J94" s="19"/>
      <c r="K94" s="10"/>
      <c r="L94" s="10"/>
      <c r="M94" s="10"/>
      <c r="N94" s="10"/>
      <c r="O94" s="18"/>
      <c r="P94" s="18"/>
      <c r="Q94" s="21"/>
      <c r="R94" s="20"/>
      <c r="S94" s="16">
        <f t="shared" si="53"/>
        <v>0</v>
      </c>
      <c r="T94" s="11"/>
      <c r="AR94" s="31"/>
      <c r="AS94" s="31">
        <f t="shared" si="54"/>
        <v>0</v>
      </c>
      <c r="AT94" s="31">
        <f t="shared" si="55"/>
        <v>0</v>
      </c>
      <c r="AU94" s="31">
        <f t="shared" si="56"/>
        <v>0</v>
      </c>
      <c r="AV94" s="31">
        <f t="shared" si="57"/>
        <v>0</v>
      </c>
      <c r="AW94" s="31">
        <f t="shared" si="58"/>
        <v>0</v>
      </c>
      <c r="AX94" s="31">
        <f t="shared" si="59"/>
        <v>0</v>
      </c>
      <c r="AY94" s="31">
        <f t="shared" si="60"/>
        <v>0</v>
      </c>
      <c r="AZ94" s="31">
        <f t="shared" si="61"/>
        <v>0</v>
      </c>
      <c r="BA94" s="31">
        <f t="shared" si="62"/>
        <v>0</v>
      </c>
      <c r="BB94" s="31">
        <f t="shared" si="91"/>
        <v>0</v>
      </c>
      <c r="BC94" s="31"/>
      <c r="BD94" s="31"/>
      <c r="BM94" s="8">
        <f t="shared" si="92"/>
        <v>0</v>
      </c>
      <c r="BN94" s="8">
        <f t="shared" si="63"/>
        <v>0</v>
      </c>
      <c r="BO94" s="8">
        <f t="shared" si="64"/>
        <v>0</v>
      </c>
      <c r="BQ94" s="8">
        <f t="shared" si="65"/>
        <v>0</v>
      </c>
      <c r="BR94" s="63">
        <f t="shared" si="66"/>
        <v>0</v>
      </c>
      <c r="BS94" s="63">
        <f t="shared" si="93"/>
        <v>0</v>
      </c>
      <c r="BT94" s="63">
        <f t="shared" si="67"/>
        <v>0</v>
      </c>
      <c r="BU94" s="63">
        <f t="shared" si="68"/>
        <v>0</v>
      </c>
      <c r="BV94" s="57">
        <f t="shared" si="69"/>
        <v>0</v>
      </c>
      <c r="BW94" s="57">
        <f t="shared" si="70"/>
        <v>0</v>
      </c>
      <c r="BX94" s="57">
        <f t="shared" si="94"/>
        <v>0</v>
      </c>
      <c r="BY94" s="57">
        <f t="shared" si="98"/>
        <v>0</v>
      </c>
      <c r="BZ94" s="8">
        <f t="shared" si="71"/>
        <v>0</v>
      </c>
      <c r="CA94" s="8">
        <f t="shared" si="72"/>
        <v>0</v>
      </c>
      <c r="CB94" s="8">
        <f t="shared" si="73"/>
        <v>0</v>
      </c>
      <c r="CC94" s="8">
        <f t="shared" si="74"/>
        <v>0</v>
      </c>
      <c r="CD94" s="8">
        <f t="shared" si="75"/>
        <v>0</v>
      </c>
      <c r="CE94" s="8">
        <f t="shared" si="76"/>
        <v>0</v>
      </c>
      <c r="CF94" s="8">
        <f t="shared" si="77"/>
        <v>0</v>
      </c>
      <c r="CG94" s="8">
        <f t="shared" si="78"/>
        <v>0</v>
      </c>
      <c r="CH94" s="8">
        <f t="shared" si="79"/>
        <v>0</v>
      </c>
      <c r="CI94" s="8">
        <f t="shared" si="80"/>
        <v>0</v>
      </c>
      <c r="CJ94" s="8">
        <f t="shared" si="81"/>
        <v>0</v>
      </c>
      <c r="CK94" s="8">
        <f t="shared" si="82"/>
        <v>0</v>
      </c>
      <c r="CL94" s="8">
        <f t="shared" si="83"/>
        <v>0</v>
      </c>
      <c r="CM94" s="8">
        <f t="shared" si="84"/>
        <v>0</v>
      </c>
      <c r="CN94" s="8">
        <f t="shared" si="85"/>
        <v>0</v>
      </c>
      <c r="CO94" s="8">
        <f t="shared" si="86"/>
        <v>0</v>
      </c>
      <c r="CP94" s="8">
        <f t="shared" si="87"/>
        <v>0</v>
      </c>
      <c r="CQ94" s="8">
        <f t="shared" si="88"/>
        <v>0</v>
      </c>
      <c r="CR94" s="8">
        <f t="shared" si="89"/>
        <v>0</v>
      </c>
      <c r="CS94" s="8">
        <f t="shared" si="90"/>
        <v>0</v>
      </c>
      <c r="CT94" s="8">
        <f t="shared" si="95"/>
        <v>0</v>
      </c>
      <c r="CU94" s="8">
        <f t="shared" si="96"/>
        <v>0</v>
      </c>
      <c r="CV94" s="8">
        <f t="shared" si="97"/>
        <v>0</v>
      </c>
      <c r="CW94" s="82">
        <v>1050301005</v>
      </c>
      <c r="CX94" s="82">
        <f>'Equipment Selection'!I89</f>
        <v>0</v>
      </c>
      <c r="CY94" s="82" t="s">
        <v>94</v>
      </c>
      <c r="CZ94" s="82" t="s">
        <v>368</v>
      </c>
    </row>
    <row r="95" spans="1:118" ht="25.25" customHeight="1" thickTop="1" thickBot="1" x14ac:dyDescent="0.5">
      <c r="A95" s="32"/>
      <c r="B95" s="10"/>
      <c r="C95" s="10"/>
      <c r="D95" s="11"/>
      <c r="E95" s="10"/>
      <c r="F95" s="10"/>
      <c r="G95" s="19"/>
      <c r="H95" s="19"/>
      <c r="I95" s="19"/>
      <c r="J95" s="19"/>
      <c r="K95" s="10"/>
      <c r="L95" s="10"/>
      <c r="M95" s="10"/>
      <c r="N95" s="10"/>
      <c r="O95" s="18"/>
      <c r="P95" s="18"/>
      <c r="Q95" s="21"/>
      <c r="R95" s="20"/>
      <c r="S95" s="16">
        <f t="shared" si="53"/>
        <v>0</v>
      </c>
      <c r="T95" s="11"/>
      <c r="AR95" s="31"/>
      <c r="AS95" s="31">
        <f t="shared" si="54"/>
        <v>0</v>
      </c>
      <c r="AT95" s="31">
        <f t="shared" si="55"/>
        <v>0</v>
      </c>
      <c r="AU95" s="31">
        <f t="shared" si="56"/>
        <v>0</v>
      </c>
      <c r="AV95" s="31">
        <f t="shared" si="57"/>
        <v>0</v>
      </c>
      <c r="AW95" s="31">
        <f t="shared" si="58"/>
        <v>0</v>
      </c>
      <c r="AX95" s="31">
        <f t="shared" si="59"/>
        <v>0</v>
      </c>
      <c r="AY95" s="31">
        <f t="shared" si="60"/>
        <v>0</v>
      </c>
      <c r="AZ95" s="31">
        <f t="shared" si="61"/>
        <v>0</v>
      </c>
      <c r="BA95" s="31">
        <f t="shared" si="62"/>
        <v>0</v>
      </c>
      <c r="BB95" s="31">
        <f t="shared" si="91"/>
        <v>0</v>
      </c>
      <c r="BC95" s="31"/>
      <c r="BD95" s="31"/>
      <c r="BM95" s="8">
        <f t="shared" si="92"/>
        <v>0</v>
      </c>
      <c r="BN95" s="8">
        <f t="shared" si="63"/>
        <v>0</v>
      </c>
      <c r="BO95" s="8">
        <f t="shared" si="64"/>
        <v>0</v>
      </c>
      <c r="BQ95" s="8">
        <f t="shared" si="65"/>
        <v>0</v>
      </c>
      <c r="BR95" s="63">
        <f t="shared" si="66"/>
        <v>0</v>
      </c>
      <c r="BS95" s="63">
        <f t="shared" si="93"/>
        <v>0</v>
      </c>
      <c r="BT95" s="63">
        <f t="shared" si="67"/>
        <v>0</v>
      </c>
      <c r="BU95" s="63">
        <f t="shared" si="68"/>
        <v>0</v>
      </c>
      <c r="BV95" s="57">
        <f t="shared" si="69"/>
        <v>0</v>
      </c>
      <c r="BW95" s="57">
        <f t="shared" si="70"/>
        <v>0</v>
      </c>
      <c r="BX95" s="57">
        <f t="shared" si="94"/>
        <v>0</v>
      </c>
      <c r="BY95" s="57">
        <f t="shared" si="98"/>
        <v>0</v>
      </c>
      <c r="BZ95" s="8">
        <f t="shared" si="71"/>
        <v>0</v>
      </c>
      <c r="CA95" s="8">
        <f t="shared" si="72"/>
        <v>0</v>
      </c>
      <c r="CB95" s="8">
        <f t="shared" si="73"/>
        <v>0</v>
      </c>
      <c r="CC95" s="8">
        <f t="shared" si="74"/>
        <v>0</v>
      </c>
      <c r="CD95" s="8">
        <f t="shared" si="75"/>
        <v>0</v>
      </c>
      <c r="CE95" s="8">
        <f t="shared" si="76"/>
        <v>0</v>
      </c>
      <c r="CF95" s="8">
        <f t="shared" si="77"/>
        <v>0</v>
      </c>
      <c r="CG95" s="8">
        <f t="shared" si="78"/>
        <v>0</v>
      </c>
      <c r="CH95" s="8">
        <f t="shared" si="79"/>
        <v>0</v>
      </c>
      <c r="CI95" s="8">
        <f t="shared" si="80"/>
        <v>0</v>
      </c>
      <c r="CJ95" s="8">
        <f t="shared" si="81"/>
        <v>0</v>
      </c>
      <c r="CK95" s="8">
        <f t="shared" si="82"/>
        <v>0</v>
      </c>
      <c r="CL95" s="8">
        <f t="shared" si="83"/>
        <v>0</v>
      </c>
      <c r="CM95" s="8">
        <f t="shared" si="84"/>
        <v>0</v>
      </c>
      <c r="CN95" s="8">
        <f t="shared" si="85"/>
        <v>0</v>
      </c>
      <c r="CO95" s="8">
        <f t="shared" si="86"/>
        <v>0</v>
      </c>
      <c r="CP95" s="8">
        <f t="shared" si="87"/>
        <v>0</v>
      </c>
      <c r="CQ95" s="8">
        <f t="shared" si="88"/>
        <v>0</v>
      </c>
      <c r="CR95" s="8">
        <f t="shared" si="89"/>
        <v>0</v>
      </c>
      <c r="CS95" s="8">
        <f t="shared" si="90"/>
        <v>0</v>
      </c>
      <c r="CT95" s="8">
        <f t="shared" si="95"/>
        <v>0</v>
      </c>
      <c r="CU95" s="8">
        <f t="shared" si="96"/>
        <v>0</v>
      </c>
      <c r="CV95" s="8">
        <f t="shared" si="97"/>
        <v>0</v>
      </c>
      <c r="CW95" s="82">
        <v>1040202002</v>
      </c>
      <c r="CX95" s="82">
        <f>'Equipment Selection'!I90</f>
        <v>0</v>
      </c>
      <c r="CY95" s="82" t="s">
        <v>94</v>
      </c>
      <c r="CZ95" s="82" t="s">
        <v>370</v>
      </c>
    </row>
    <row r="96" spans="1:118" ht="25.25" customHeight="1" thickTop="1" thickBot="1" x14ac:dyDescent="0.5">
      <c r="A96" s="32"/>
      <c r="B96" s="10"/>
      <c r="C96" s="10"/>
      <c r="D96" s="11"/>
      <c r="E96" s="10"/>
      <c r="F96" s="10"/>
      <c r="G96" s="19"/>
      <c r="H96" s="19"/>
      <c r="I96" s="19"/>
      <c r="J96" s="19"/>
      <c r="K96" s="10"/>
      <c r="L96" s="10"/>
      <c r="M96" s="10"/>
      <c r="N96" s="10"/>
      <c r="O96" s="18"/>
      <c r="P96" s="18"/>
      <c r="Q96" s="21"/>
      <c r="R96" s="20"/>
      <c r="S96" s="16">
        <f t="shared" si="53"/>
        <v>0</v>
      </c>
      <c r="T96" s="11"/>
      <c r="AR96" s="31"/>
      <c r="AS96" s="31">
        <f t="shared" si="54"/>
        <v>0</v>
      </c>
      <c r="AT96" s="31">
        <f t="shared" si="55"/>
        <v>0</v>
      </c>
      <c r="AU96" s="31">
        <f t="shared" si="56"/>
        <v>0</v>
      </c>
      <c r="AV96" s="31">
        <f t="shared" si="57"/>
        <v>0</v>
      </c>
      <c r="AW96" s="31">
        <f t="shared" si="58"/>
        <v>0</v>
      </c>
      <c r="AX96" s="31">
        <f t="shared" si="59"/>
        <v>0</v>
      </c>
      <c r="AY96" s="31">
        <f t="shared" si="60"/>
        <v>0</v>
      </c>
      <c r="AZ96" s="31">
        <f t="shared" si="61"/>
        <v>0</v>
      </c>
      <c r="BA96" s="31">
        <f t="shared" si="62"/>
        <v>0</v>
      </c>
      <c r="BB96" s="31">
        <f t="shared" si="91"/>
        <v>0</v>
      </c>
      <c r="BC96" s="31"/>
      <c r="BD96" s="31"/>
      <c r="BM96" s="8">
        <f t="shared" si="92"/>
        <v>0</v>
      </c>
      <c r="BN96" s="8">
        <f t="shared" si="63"/>
        <v>0</v>
      </c>
      <c r="BO96" s="8">
        <f t="shared" si="64"/>
        <v>0</v>
      </c>
      <c r="BQ96" s="8">
        <f t="shared" si="65"/>
        <v>0</v>
      </c>
      <c r="BR96" s="63">
        <f t="shared" si="66"/>
        <v>0</v>
      </c>
      <c r="BS96" s="63">
        <f t="shared" si="93"/>
        <v>0</v>
      </c>
      <c r="BT96" s="63">
        <f t="shared" si="67"/>
        <v>0</v>
      </c>
      <c r="BU96" s="63">
        <f t="shared" si="68"/>
        <v>0</v>
      </c>
      <c r="BV96" s="57">
        <f t="shared" si="69"/>
        <v>0</v>
      </c>
      <c r="BW96" s="57">
        <f t="shared" si="70"/>
        <v>0</v>
      </c>
      <c r="BX96" s="57">
        <f t="shared" si="94"/>
        <v>0</v>
      </c>
      <c r="BY96" s="57">
        <f t="shared" si="98"/>
        <v>0</v>
      </c>
      <c r="BZ96" s="8">
        <f t="shared" si="71"/>
        <v>0</v>
      </c>
      <c r="CA96" s="8">
        <f t="shared" si="72"/>
        <v>0</v>
      </c>
      <c r="CB96" s="8">
        <f t="shared" si="73"/>
        <v>0</v>
      </c>
      <c r="CC96" s="8">
        <f t="shared" si="74"/>
        <v>0</v>
      </c>
      <c r="CD96" s="8">
        <f t="shared" si="75"/>
        <v>0</v>
      </c>
      <c r="CE96" s="8">
        <f t="shared" si="76"/>
        <v>0</v>
      </c>
      <c r="CF96" s="8">
        <f t="shared" si="77"/>
        <v>0</v>
      </c>
      <c r="CG96" s="8">
        <f t="shared" si="78"/>
        <v>0</v>
      </c>
      <c r="CH96" s="8">
        <f t="shared" si="79"/>
        <v>0</v>
      </c>
      <c r="CI96" s="8">
        <f t="shared" si="80"/>
        <v>0</v>
      </c>
      <c r="CJ96" s="8">
        <f t="shared" si="81"/>
        <v>0</v>
      </c>
      <c r="CK96" s="8">
        <f t="shared" si="82"/>
        <v>0</v>
      </c>
      <c r="CL96" s="8">
        <f t="shared" si="83"/>
        <v>0</v>
      </c>
      <c r="CM96" s="8">
        <f t="shared" si="84"/>
        <v>0</v>
      </c>
      <c r="CN96" s="8">
        <f t="shared" si="85"/>
        <v>0</v>
      </c>
      <c r="CO96" s="8">
        <f t="shared" si="86"/>
        <v>0</v>
      </c>
      <c r="CP96" s="8">
        <f t="shared" si="87"/>
        <v>0</v>
      </c>
      <c r="CQ96" s="8">
        <f t="shared" si="88"/>
        <v>0</v>
      </c>
      <c r="CR96" s="8">
        <f t="shared" si="89"/>
        <v>0</v>
      </c>
      <c r="CS96" s="8">
        <f t="shared" si="90"/>
        <v>0</v>
      </c>
      <c r="CT96" s="8">
        <f t="shared" si="95"/>
        <v>0</v>
      </c>
      <c r="CU96" s="8">
        <f t="shared" si="96"/>
        <v>0</v>
      </c>
      <c r="CV96" s="8">
        <f t="shared" si="97"/>
        <v>0</v>
      </c>
      <c r="CW96" s="83">
        <v>1040101001</v>
      </c>
      <c r="CX96" s="83">
        <f>SUM(CN4:CN1500)*10+2*ROUNDUP(SUM(CX18:CX20)/4,0)</f>
        <v>0</v>
      </c>
      <c r="CY96" s="82" t="s">
        <v>90</v>
      </c>
      <c r="CZ96" s="83" t="s">
        <v>369</v>
      </c>
    </row>
    <row r="97" spans="1:105" ht="25.25" customHeight="1" thickTop="1" thickBot="1" x14ac:dyDescent="0.5">
      <c r="A97" s="32"/>
      <c r="B97" s="10"/>
      <c r="C97" s="10"/>
      <c r="D97" s="11"/>
      <c r="E97" s="10"/>
      <c r="F97" s="10"/>
      <c r="G97" s="19"/>
      <c r="H97" s="19"/>
      <c r="I97" s="19"/>
      <c r="J97" s="19"/>
      <c r="K97" s="10"/>
      <c r="L97" s="10"/>
      <c r="M97" s="10"/>
      <c r="N97" s="10"/>
      <c r="O97" s="18"/>
      <c r="P97" s="18"/>
      <c r="Q97" s="21"/>
      <c r="R97" s="20"/>
      <c r="S97" s="16">
        <f t="shared" si="53"/>
        <v>0</v>
      </c>
      <c r="T97" s="11"/>
      <c r="AR97" s="31"/>
      <c r="AS97" s="31">
        <f t="shared" si="54"/>
        <v>0</v>
      </c>
      <c r="AT97" s="31">
        <f t="shared" si="55"/>
        <v>0</v>
      </c>
      <c r="AU97" s="31">
        <f t="shared" si="56"/>
        <v>0</v>
      </c>
      <c r="AV97" s="31">
        <f t="shared" si="57"/>
        <v>0</v>
      </c>
      <c r="AW97" s="31">
        <f t="shared" si="58"/>
        <v>0</v>
      </c>
      <c r="AX97" s="31">
        <f t="shared" si="59"/>
        <v>0</v>
      </c>
      <c r="AY97" s="31">
        <f t="shared" si="60"/>
        <v>0</v>
      </c>
      <c r="AZ97" s="31">
        <f t="shared" si="61"/>
        <v>0</v>
      </c>
      <c r="BA97" s="31">
        <f t="shared" si="62"/>
        <v>0</v>
      </c>
      <c r="BB97" s="31">
        <f t="shared" si="91"/>
        <v>0</v>
      </c>
      <c r="BC97" s="31"/>
      <c r="BD97" s="31"/>
      <c r="BM97" s="8">
        <f t="shared" si="92"/>
        <v>0</v>
      </c>
      <c r="BN97" s="8">
        <f t="shared" si="63"/>
        <v>0</v>
      </c>
      <c r="BO97" s="8">
        <f t="shared" si="64"/>
        <v>0</v>
      </c>
      <c r="BQ97" s="8">
        <f t="shared" si="65"/>
        <v>0</v>
      </c>
      <c r="BR97" s="63">
        <f t="shared" si="66"/>
        <v>0</v>
      </c>
      <c r="BS97" s="63">
        <f t="shared" si="93"/>
        <v>0</v>
      </c>
      <c r="BT97" s="63">
        <f t="shared" si="67"/>
        <v>0</v>
      </c>
      <c r="BU97" s="63">
        <f t="shared" si="68"/>
        <v>0</v>
      </c>
      <c r="BV97" s="57">
        <f t="shared" si="69"/>
        <v>0</v>
      </c>
      <c r="BW97" s="57">
        <f t="shared" si="70"/>
        <v>0</v>
      </c>
      <c r="BX97" s="57">
        <f t="shared" si="94"/>
        <v>0</v>
      </c>
      <c r="BY97" s="57">
        <f t="shared" si="98"/>
        <v>0</v>
      </c>
      <c r="BZ97" s="8">
        <f t="shared" si="71"/>
        <v>0</v>
      </c>
      <c r="CA97" s="8">
        <f t="shared" si="72"/>
        <v>0</v>
      </c>
      <c r="CB97" s="8">
        <f t="shared" si="73"/>
        <v>0</v>
      </c>
      <c r="CC97" s="8">
        <f t="shared" si="74"/>
        <v>0</v>
      </c>
      <c r="CD97" s="8">
        <f t="shared" si="75"/>
        <v>0</v>
      </c>
      <c r="CE97" s="8">
        <f t="shared" si="76"/>
        <v>0</v>
      </c>
      <c r="CF97" s="8">
        <f t="shared" si="77"/>
        <v>0</v>
      </c>
      <c r="CG97" s="8">
        <f t="shared" si="78"/>
        <v>0</v>
      </c>
      <c r="CH97" s="8">
        <f t="shared" si="79"/>
        <v>0</v>
      </c>
      <c r="CI97" s="8">
        <f t="shared" si="80"/>
        <v>0</v>
      </c>
      <c r="CJ97" s="8">
        <f t="shared" si="81"/>
        <v>0</v>
      </c>
      <c r="CK97" s="8">
        <f t="shared" si="82"/>
        <v>0</v>
      </c>
      <c r="CL97" s="8">
        <f t="shared" si="83"/>
        <v>0</v>
      </c>
      <c r="CM97" s="8">
        <f t="shared" si="84"/>
        <v>0</v>
      </c>
      <c r="CN97" s="8">
        <f t="shared" si="85"/>
        <v>0</v>
      </c>
      <c r="CO97" s="8">
        <f t="shared" si="86"/>
        <v>0</v>
      </c>
      <c r="CP97" s="8">
        <f t="shared" si="87"/>
        <v>0</v>
      </c>
      <c r="CQ97" s="8">
        <f t="shared" si="88"/>
        <v>0</v>
      </c>
      <c r="CR97" s="8">
        <f t="shared" si="89"/>
        <v>0</v>
      </c>
      <c r="CS97" s="8">
        <f t="shared" si="90"/>
        <v>0</v>
      </c>
      <c r="CT97" s="8">
        <f t="shared" si="95"/>
        <v>0</v>
      </c>
      <c r="CU97" s="8">
        <f t="shared" si="96"/>
        <v>0</v>
      </c>
      <c r="CV97" s="8">
        <f t="shared" si="97"/>
        <v>0</v>
      </c>
      <c r="CW97" s="84">
        <v>1050301003</v>
      </c>
      <c r="CX97" s="83">
        <f>SUM(CN4:CN1500)*2++ROUNDUP(SUM(CX18:CX20)/4,0)</f>
        <v>0</v>
      </c>
      <c r="CY97" s="82" t="s">
        <v>94</v>
      </c>
      <c r="CZ97" s="83" t="s">
        <v>367</v>
      </c>
    </row>
    <row r="98" spans="1:105" ht="25.25" customHeight="1" thickTop="1" thickBot="1" x14ac:dyDescent="0.5">
      <c r="A98" s="32"/>
      <c r="B98" s="10"/>
      <c r="C98" s="10"/>
      <c r="D98" s="11"/>
      <c r="E98" s="10"/>
      <c r="F98" s="10"/>
      <c r="G98" s="19"/>
      <c r="H98" s="19"/>
      <c r="I98" s="19"/>
      <c r="J98" s="19"/>
      <c r="K98" s="10"/>
      <c r="L98" s="10"/>
      <c r="M98" s="10"/>
      <c r="N98" s="10"/>
      <c r="O98" s="18"/>
      <c r="P98" s="18"/>
      <c r="Q98" s="21"/>
      <c r="R98" s="20"/>
      <c r="S98" s="16">
        <f t="shared" si="53"/>
        <v>0</v>
      </c>
      <c r="T98" s="11"/>
      <c r="AR98" s="31"/>
      <c r="AS98" s="31">
        <f t="shared" si="54"/>
        <v>0</v>
      </c>
      <c r="AT98" s="31">
        <f t="shared" si="55"/>
        <v>0</v>
      </c>
      <c r="AU98" s="31">
        <f t="shared" si="56"/>
        <v>0</v>
      </c>
      <c r="AV98" s="31">
        <f t="shared" si="57"/>
        <v>0</v>
      </c>
      <c r="AW98" s="31">
        <f t="shared" si="58"/>
        <v>0</v>
      </c>
      <c r="AX98" s="31">
        <f t="shared" si="59"/>
        <v>0</v>
      </c>
      <c r="AY98" s="31">
        <f t="shared" si="60"/>
        <v>0</v>
      </c>
      <c r="AZ98" s="31">
        <f t="shared" si="61"/>
        <v>0</v>
      </c>
      <c r="BA98" s="31">
        <f t="shared" si="62"/>
        <v>0</v>
      </c>
      <c r="BB98" s="31">
        <f t="shared" si="91"/>
        <v>0</v>
      </c>
      <c r="BC98" s="31"/>
      <c r="BD98" s="31"/>
      <c r="BM98" s="8">
        <f t="shared" si="92"/>
        <v>0</v>
      </c>
      <c r="BN98" s="8">
        <f t="shared" si="63"/>
        <v>0</v>
      </c>
      <c r="BO98" s="8">
        <f t="shared" si="64"/>
        <v>0</v>
      </c>
      <c r="BQ98" s="8">
        <f t="shared" si="65"/>
        <v>0</v>
      </c>
      <c r="BR98" s="63">
        <f t="shared" si="66"/>
        <v>0</v>
      </c>
      <c r="BS98" s="63">
        <f t="shared" si="93"/>
        <v>0</v>
      </c>
      <c r="BT98" s="63">
        <f t="shared" si="67"/>
        <v>0</v>
      </c>
      <c r="BU98" s="63">
        <f t="shared" si="68"/>
        <v>0</v>
      </c>
      <c r="BV98" s="57">
        <f t="shared" si="69"/>
        <v>0</v>
      </c>
      <c r="BW98" s="57">
        <f t="shared" si="70"/>
        <v>0</v>
      </c>
      <c r="BX98" s="57">
        <f t="shared" si="94"/>
        <v>0</v>
      </c>
      <c r="BY98" s="57">
        <f t="shared" si="98"/>
        <v>0</v>
      </c>
      <c r="BZ98" s="8">
        <f t="shared" si="71"/>
        <v>0</v>
      </c>
      <c r="CA98" s="8">
        <f t="shared" si="72"/>
        <v>0</v>
      </c>
      <c r="CB98" s="8">
        <f t="shared" si="73"/>
        <v>0</v>
      </c>
      <c r="CC98" s="8">
        <f t="shared" si="74"/>
        <v>0</v>
      </c>
      <c r="CD98" s="8">
        <f t="shared" si="75"/>
        <v>0</v>
      </c>
      <c r="CE98" s="8">
        <f t="shared" si="76"/>
        <v>0</v>
      </c>
      <c r="CF98" s="8">
        <f t="shared" si="77"/>
        <v>0</v>
      </c>
      <c r="CG98" s="8">
        <f t="shared" si="78"/>
        <v>0</v>
      </c>
      <c r="CH98" s="8">
        <f t="shared" si="79"/>
        <v>0</v>
      </c>
      <c r="CI98" s="8">
        <f t="shared" si="80"/>
        <v>0</v>
      </c>
      <c r="CJ98" s="8">
        <f t="shared" si="81"/>
        <v>0</v>
      </c>
      <c r="CK98" s="8">
        <f t="shared" si="82"/>
        <v>0</v>
      </c>
      <c r="CL98" s="8">
        <f t="shared" si="83"/>
        <v>0</v>
      </c>
      <c r="CM98" s="8">
        <f t="shared" si="84"/>
        <v>0</v>
      </c>
      <c r="CN98" s="8">
        <f t="shared" si="85"/>
        <v>0</v>
      </c>
      <c r="CO98" s="8">
        <f t="shared" si="86"/>
        <v>0</v>
      </c>
      <c r="CP98" s="8">
        <f t="shared" si="87"/>
        <v>0</v>
      </c>
      <c r="CQ98" s="8">
        <f t="shared" si="88"/>
        <v>0</v>
      </c>
      <c r="CR98" s="8">
        <f t="shared" si="89"/>
        <v>0</v>
      </c>
      <c r="CS98" s="8">
        <f t="shared" si="90"/>
        <v>0</v>
      </c>
      <c r="CT98" s="8">
        <f t="shared" si="95"/>
        <v>0</v>
      </c>
      <c r="CU98" s="8">
        <f t="shared" si="96"/>
        <v>0</v>
      </c>
      <c r="CV98" s="8">
        <f t="shared" si="97"/>
        <v>0</v>
      </c>
      <c r="CW98" s="83">
        <v>1040202001</v>
      </c>
      <c r="CX98" s="83">
        <f>SUM(CN4:CN1500)*2+ROUNDUP(SUM(CX18:CX20)/4,0)</f>
        <v>0</v>
      </c>
      <c r="CY98" s="82" t="s">
        <v>94</v>
      </c>
      <c r="CZ98" s="83" t="s">
        <v>371</v>
      </c>
    </row>
    <row r="99" spans="1:105" ht="25.25" customHeight="1" thickTop="1" thickBot="1" x14ac:dyDescent="0.5">
      <c r="A99" s="32"/>
      <c r="B99" s="10"/>
      <c r="C99" s="10"/>
      <c r="D99" s="11"/>
      <c r="E99" s="10"/>
      <c r="F99" s="10"/>
      <c r="G99" s="19"/>
      <c r="H99" s="19"/>
      <c r="I99" s="19"/>
      <c r="J99" s="19"/>
      <c r="K99" s="10"/>
      <c r="L99" s="10"/>
      <c r="M99" s="10"/>
      <c r="N99" s="10"/>
      <c r="O99" s="18"/>
      <c r="P99" s="18"/>
      <c r="Q99" s="21"/>
      <c r="R99" s="20"/>
      <c r="S99" s="16">
        <f t="shared" si="53"/>
        <v>0</v>
      </c>
      <c r="T99" s="11"/>
      <c r="AR99" s="31"/>
      <c r="AS99" s="31">
        <f t="shared" si="54"/>
        <v>0</v>
      </c>
      <c r="AT99" s="31">
        <f t="shared" si="55"/>
        <v>0</v>
      </c>
      <c r="AU99" s="31">
        <f t="shared" si="56"/>
        <v>0</v>
      </c>
      <c r="AV99" s="31">
        <f t="shared" si="57"/>
        <v>0</v>
      </c>
      <c r="AW99" s="31">
        <f t="shared" si="58"/>
        <v>0</v>
      </c>
      <c r="AX99" s="31">
        <f t="shared" si="59"/>
        <v>0</v>
      </c>
      <c r="AY99" s="31">
        <f t="shared" si="60"/>
        <v>0</v>
      </c>
      <c r="AZ99" s="31">
        <f t="shared" si="61"/>
        <v>0</v>
      </c>
      <c r="BA99" s="31">
        <f t="shared" si="62"/>
        <v>0</v>
      </c>
      <c r="BB99" s="31">
        <f t="shared" si="91"/>
        <v>0</v>
      </c>
      <c r="BC99" s="31"/>
      <c r="BD99" s="31"/>
      <c r="BM99" s="8">
        <f t="shared" si="92"/>
        <v>0</v>
      </c>
      <c r="BN99" s="8">
        <f t="shared" si="63"/>
        <v>0</v>
      </c>
      <c r="BO99" s="8">
        <f t="shared" si="64"/>
        <v>0</v>
      </c>
      <c r="BQ99" s="8">
        <f t="shared" si="65"/>
        <v>0</v>
      </c>
      <c r="BR99" s="63">
        <f t="shared" si="66"/>
        <v>0</v>
      </c>
      <c r="BS99" s="63">
        <f t="shared" si="93"/>
        <v>0</v>
      </c>
      <c r="BT99" s="63">
        <f t="shared" si="67"/>
        <v>0</v>
      </c>
      <c r="BU99" s="63">
        <f t="shared" si="68"/>
        <v>0</v>
      </c>
      <c r="BV99" s="57">
        <f t="shared" si="69"/>
        <v>0</v>
      </c>
      <c r="BW99" s="57">
        <f t="shared" si="70"/>
        <v>0</v>
      </c>
      <c r="BX99" s="57">
        <f t="shared" si="94"/>
        <v>0</v>
      </c>
      <c r="BY99" s="57">
        <f t="shared" si="98"/>
        <v>0</v>
      </c>
      <c r="BZ99" s="8">
        <f t="shared" si="71"/>
        <v>0</v>
      </c>
      <c r="CA99" s="8">
        <f t="shared" si="72"/>
        <v>0</v>
      </c>
      <c r="CB99" s="8">
        <f t="shared" si="73"/>
        <v>0</v>
      </c>
      <c r="CC99" s="8">
        <f t="shared" si="74"/>
        <v>0</v>
      </c>
      <c r="CD99" s="8">
        <f t="shared" si="75"/>
        <v>0</v>
      </c>
      <c r="CE99" s="8">
        <f t="shared" si="76"/>
        <v>0</v>
      </c>
      <c r="CF99" s="8">
        <f t="shared" si="77"/>
        <v>0</v>
      </c>
      <c r="CG99" s="8">
        <f t="shared" si="78"/>
        <v>0</v>
      </c>
      <c r="CH99" s="8">
        <f t="shared" si="79"/>
        <v>0</v>
      </c>
      <c r="CI99" s="8">
        <f t="shared" si="80"/>
        <v>0</v>
      </c>
      <c r="CJ99" s="8">
        <f t="shared" si="81"/>
        <v>0</v>
      </c>
      <c r="CK99" s="8">
        <f t="shared" si="82"/>
        <v>0</v>
      </c>
      <c r="CL99" s="8">
        <f t="shared" si="83"/>
        <v>0</v>
      </c>
      <c r="CM99" s="8">
        <f t="shared" si="84"/>
        <v>0</v>
      </c>
      <c r="CN99" s="8">
        <f t="shared" si="85"/>
        <v>0</v>
      </c>
      <c r="CO99" s="8">
        <f t="shared" si="86"/>
        <v>0</v>
      </c>
      <c r="CP99" s="8">
        <f t="shared" si="87"/>
        <v>0</v>
      </c>
      <c r="CQ99" s="8">
        <f t="shared" si="88"/>
        <v>0</v>
      </c>
      <c r="CR99" s="8">
        <f t="shared" si="89"/>
        <v>0</v>
      </c>
      <c r="CS99" s="8">
        <f t="shared" si="90"/>
        <v>0</v>
      </c>
      <c r="CT99" s="8">
        <f t="shared" si="95"/>
        <v>0</v>
      </c>
      <c r="CU99" s="8">
        <f t="shared" si="96"/>
        <v>0</v>
      </c>
      <c r="CV99" s="8">
        <f t="shared" si="97"/>
        <v>0</v>
      </c>
      <c r="CW99" s="81">
        <v>1049901001</v>
      </c>
      <c r="CX99" s="81">
        <f>SUM(CN4:CN1500)*2+'Equipment Selection'!I94+ROUNDUP(SUM(CX18:CX20)/4,0)</f>
        <v>0</v>
      </c>
      <c r="CY99" s="82" t="s">
        <v>94</v>
      </c>
      <c r="CZ99" s="81" t="s">
        <v>372</v>
      </c>
    </row>
    <row r="100" spans="1:105" ht="25.25" customHeight="1" thickTop="1" thickBot="1" x14ac:dyDescent="0.5">
      <c r="A100" s="32"/>
      <c r="B100" s="10"/>
      <c r="C100" s="10"/>
      <c r="D100" s="11"/>
      <c r="E100" s="10"/>
      <c r="F100" s="10"/>
      <c r="G100" s="19"/>
      <c r="H100" s="19"/>
      <c r="I100" s="19"/>
      <c r="J100" s="19"/>
      <c r="K100" s="10"/>
      <c r="L100" s="10"/>
      <c r="M100" s="10"/>
      <c r="N100" s="10"/>
      <c r="O100" s="18"/>
      <c r="P100" s="18"/>
      <c r="Q100" s="21"/>
      <c r="R100" s="20"/>
      <c r="S100" s="16">
        <f t="shared" si="53"/>
        <v>0</v>
      </c>
      <c r="T100" s="11"/>
      <c r="AR100" s="31"/>
      <c r="AS100" s="31">
        <f t="shared" si="54"/>
        <v>0</v>
      </c>
      <c r="AT100" s="31">
        <f t="shared" si="55"/>
        <v>0</v>
      </c>
      <c r="AU100" s="31">
        <f t="shared" si="56"/>
        <v>0</v>
      </c>
      <c r="AV100" s="31">
        <f t="shared" si="57"/>
        <v>0</v>
      </c>
      <c r="AW100" s="31">
        <f t="shared" si="58"/>
        <v>0</v>
      </c>
      <c r="AX100" s="31">
        <f t="shared" si="59"/>
        <v>0</v>
      </c>
      <c r="AY100" s="31">
        <f t="shared" si="60"/>
        <v>0</v>
      </c>
      <c r="AZ100" s="31">
        <f t="shared" si="61"/>
        <v>0</v>
      </c>
      <c r="BA100" s="31">
        <f t="shared" si="62"/>
        <v>0</v>
      </c>
      <c r="BB100" s="31">
        <f t="shared" si="91"/>
        <v>0</v>
      </c>
      <c r="BC100" s="31"/>
      <c r="BD100" s="31"/>
      <c r="BM100" s="8">
        <f t="shared" si="92"/>
        <v>0</v>
      </c>
      <c r="BN100" s="8">
        <f t="shared" si="63"/>
        <v>0</v>
      </c>
      <c r="BO100" s="8">
        <f t="shared" si="64"/>
        <v>0</v>
      </c>
      <c r="BQ100" s="8">
        <f t="shared" si="65"/>
        <v>0</v>
      </c>
      <c r="BR100" s="63">
        <f t="shared" si="66"/>
        <v>0</v>
      </c>
      <c r="BS100" s="63">
        <f t="shared" si="93"/>
        <v>0</v>
      </c>
      <c r="BT100" s="63">
        <f t="shared" si="67"/>
        <v>0</v>
      </c>
      <c r="BU100" s="63">
        <f t="shared" si="68"/>
        <v>0</v>
      </c>
      <c r="BV100" s="57">
        <f t="shared" si="69"/>
        <v>0</v>
      </c>
      <c r="BW100" s="57">
        <f t="shared" si="70"/>
        <v>0</v>
      </c>
      <c r="BX100" s="57">
        <f t="shared" si="94"/>
        <v>0</v>
      </c>
      <c r="BY100" s="57">
        <f t="shared" si="98"/>
        <v>0</v>
      </c>
      <c r="BZ100" s="8">
        <f t="shared" si="71"/>
        <v>0</v>
      </c>
      <c r="CA100" s="8">
        <f t="shared" si="72"/>
        <v>0</v>
      </c>
      <c r="CB100" s="8">
        <f t="shared" si="73"/>
        <v>0</v>
      </c>
      <c r="CC100" s="8">
        <f t="shared" si="74"/>
        <v>0</v>
      </c>
      <c r="CD100" s="8">
        <f t="shared" si="75"/>
        <v>0</v>
      </c>
      <c r="CE100" s="8">
        <f t="shared" si="76"/>
        <v>0</v>
      </c>
      <c r="CF100" s="8">
        <f t="shared" si="77"/>
        <v>0</v>
      </c>
      <c r="CG100" s="8">
        <f t="shared" si="78"/>
        <v>0</v>
      </c>
      <c r="CH100" s="8">
        <f t="shared" si="79"/>
        <v>0</v>
      </c>
      <c r="CI100" s="8">
        <f t="shared" si="80"/>
        <v>0</v>
      </c>
      <c r="CJ100" s="8">
        <f t="shared" si="81"/>
        <v>0</v>
      </c>
      <c r="CK100" s="8">
        <f t="shared" si="82"/>
        <v>0</v>
      </c>
      <c r="CL100" s="8">
        <f t="shared" si="83"/>
        <v>0</v>
      </c>
      <c r="CM100" s="8">
        <f t="shared" si="84"/>
        <v>0</v>
      </c>
      <c r="CN100" s="8">
        <f t="shared" si="85"/>
        <v>0</v>
      </c>
      <c r="CO100" s="8">
        <f t="shared" si="86"/>
        <v>0</v>
      </c>
      <c r="CP100" s="8">
        <f t="shared" si="87"/>
        <v>0</v>
      </c>
      <c r="CQ100" s="8">
        <f t="shared" si="88"/>
        <v>0</v>
      </c>
      <c r="CR100" s="8">
        <f t="shared" si="89"/>
        <v>0</v>
      </c>
      <c r="CS100" s="8">
        <f t="shared" si="90"/>
        <v>0</v>
      </c>
      <c r="CT100" s="8">
        <f t="shared" si="95"/>
        <v>0</v>
      </c>
      <c r="CU100" s="8">
        <f t="shared" si="96"/>
        <v>0</v>
      </c>
      <c r="CV100" s="8">
        <f t="shared" si="97"/>
        <v>0</v>
      </c>
    </row>
    <row r="101" spans="1:105" ht="25.25" customHeight="1" thickTop="1" thickBot="1" x14ac:dyDescent="0.5">
      <c r="A101" s="32"/>
      <c r="B101" s="10"/>
      <c r="C101" s="10"/>
      <c r="D101" s="11"/>
      <c r="E101" s="10"/>
      <c r="F101" s="10"/>
      <c r="G101" s="19"/>
      <c r="H101" s="19"/>
      <c r="I101" s="19"/>
      <c r="J101" s="19"/>
      <c r="K101" s="10"/>
      <c r="L101" s="10"/>
      <c r="M101" s="10"/>
      <c r="N101" s="10"/>
      <c r="O101" s="18"/>
      <c r="P101" s="18"/>
      <c r="Q101" s="21"/>
      <c r="R101" s="20"/>
      <c r="S101" s="16">
        <f t="shared" si="53"/>
        <v>0</v>
      </c>
      <c r="T101" s="11"/>
      <c r="AR101" s="31"/>
      <c r="AS101" s="31">
        <f t="shared" si="54"/>
        <v>0</v>
      </c>
      <c r="AT101" s="31">
        <f t="shared" si="55"/>
        <v>0</v>
      </c>
      <c r="AU101" s="31">
        <f t="shared" si="56"/>
        <v>0</v>
      </c>
      <c r="AV101" s="31">
        <f t="shared" si="57"/>
        <v>0</v>
      </c>
      <c r="AW101" s="31">
        <f t="shared" si="58"/>
        <v>0</v>
      </c>
      <c r="AX101" s="31">
        <f t="shared" si="59"/>
        <v>0</v>
      </c>
      <c r="AY101" s="31">
        <f t="shared" si="60"/>
        <v>0</v>
      </c>
      <c r="AZ101" s="31">
        <f t="shared" si="61"/>
        <v>0</v>
      </c>
      <c r="BA101" s="31">
        <f t="shared" si="62"/>
        <v>0</v>
      </c>
      <c r="BB101" s="31">
        <f t="shared" si="91"/>
        <v>0</v>
      </c>
      <c r="BC101" s="31"/>
      <c r="BD101" s="31"/>
      <c r="BM101" s="8">
        <f t="shared" si="92"/>
        <v>0</v>
      </c>
      <c r="BN101" s="8">
        <f t="shared" si="63"/>
        <v>0</v>
      </c>
      <c r="BO101" s="8">
        <f t="shared" si="64"/>
        <v>0</v>
      </c>
      <c r="BQ101" s="8">
        <f t="shared" si="65"/>
        <v>0</v>
      </c>
      <c r="BR101" s="63">
        <f t="shared" si="66"/>
        <v>0</v>
      </c>
      <c r="BS101" s="63">
        <f t="shared" si="93"/>
        <v>0</v>
      </c>
      <c r="BT101" s="63">
        <f t="shared" si="67"/>
        <v>0</v>
      </c>
      <c r="BU101" s="63">
        <f t="shared" si="68"/>
        <v>0</v>
      </c>
      <c r="BV101" s="57">
        <f t="shared" si="69"/>
        <v>0</v>
      </c>
      <c r="BW101" s="57">
        <f t="shared" si="70"/>
        <v>0</v>
      </c>
      <c r="BX101" s="57">
        <f t="shared" si="94"/>
        <v>0</v>
      </c>
      <c r="BY101" s="57">
        <f t="shared" si="98"/>
        <v>0</v>
      </c>
      <c r="BZ101" s="8">
        <f t="shared" si="71"/>
        <v>0</v>
      </c>
      <c r="CA101" s="8">
        <f t="shared" si="72"/>
        <v>0</v>
      </c>
      <c r="CB101" s="8">
        <f t="shared" si="73"/>
        <v>0</v>
      </c>
      <c r="CC101" s="8">
        <f t="shared" si="74"/>
        <v>0</v>
      </c>
      <c r="CD101" s="8">
        <f t="shared" si="75"/>
        <v>0</v>
      </c>
      <c r="CE101" s="8">
        <f t="shared" si="76"/>
        <v>0</v>
      </c>
      <c r="CF101" s="8">
        <f t="shared" si="77"/>
        <v>0</v>
      </c>
      <c r="CG101" s="8">
        <f t="shared" si="78"/>
        <v>0</v>
      </c>
      <c r="CH101" s="8">
        <f t="shared" si="79"/>
        <v>0</v>
      </c>
      <c r="CI101" s="8">
        <f t="shared" si="80"/>
        <v>0</v>
      </c>
      <c r="CJ101" s="8">
        <f t="shared" si="81"/>
        <v>0</v>
      </c>
      <c r="CK101" s="8">
        <f t="shared" si="82"/>
        <v>0</v>
      </c>
      <c r="CL101" s="8">
        <f t="shared" si="83"/>
        <v>0</v>
      </c>
      <c r="CM101" s="8">
        <f t="shared" si="84"/>
        <v>0</v>
      </c>
      <c r="CN101" s="8">
        <f t="shared" si="85"/>
        <v>0</v>
      </c>
      <c r="CO101" s="8">
        <f t="shared" si="86"/>
        <v>0</v>
      </c>
      <c r="CP101" s="8">
        <f t="shared" si="87"/>
        <v>0</v>
      </c>
      <c r="CQ101" s="8">
        <f t="shared" si="88"/>
        <v>0</v>
      </c>
      <c r="CR101" s="8">
        <f t="shared" si="89"/>
        <v>0</v>
      </c>
      <c r="CS101" s="8">
        <f t="shared" si="90"/>
        <v>0</v>
      </c>
      <c r="CT101" s="8">
        <f t="shared" si="95"/>
        <v>0</v>
      </c>
      <c r="CU101" s="8">
        <f t="shared" si="96"/>
        <v>0</v>
      </c>
      <c r="CV101" s="8">
        <f t="shared" si="97"/>
        <v>0</v>
      </c>
      <c r="CZ101" s="31" t="s">
        <v>402</v>
      </c>
    </row>
    <row r="102" spans="1:105" ht="25.25" customHeight="1" thickTop="1" thickBot="1" x14ac:dyDescent="0.5">
      <c r="A102" s="32"/>
      <c r="B102" s="10"/>
      <c r="C102" s="10"/>
      <c r="D102" s="11"/>
      <c r="E102" s="10"/>
      <c r="F102" s="10"/>
      <c r="G102" s="19"/>
      <c r="H102" s="19"/>
      <c r="I102" s="19"/>
      <c r="J102" s="19"/>
      <c r="K102" s="10"/>
      <c r="L102" s="10"/>
      <c r="M102" s="10"/>
      <c r="N102" s="10"/>
      <c r="O102" s="18"/>
      <c r="P102" s="18"/>
      <c r="Q102" s="21"/>
      <c r="R102" s="20"/>
      <c r="S102" s="16">
        <f t="shared" si="53"/>
        <v>0</v>
      </c>
      <c r="T102" s="11"/>
      <c r="AR102" s="31"/>
      <c r="AS102" s="31">
        <f t="shared" si="54"/>
        <v>0</v>
      </c>
      <c r="AT102" s="31">
        <f t="shared" si="55"/>
        <v>0</v>
      </c>
      <c r="AU102" s="31">
        <f t="shared" si="56"/>
        <v>0</v>
      </c>
      <c r="AV102" s="31">
        <f t="shared" si="57"/>
        <v>0</v>
      </c>
      <c r="AW102" s="31">
        <f t="shared" si="58"/>
        <v>0</v>
      </c>
      <c r="AX102" s="31">
        <f t="shared" si="59"/>
        <v>0</v>
      </c>
      <c r="AY102" s="31">
        <f t="shared" si="60"/>
        <v>0</v>
      </c>
      <c r="AZ102" s="31">
        <f t="shared" si="61"/>
        <v>0</v>
      </c>
      <c r="BA102" s="31">
        <f t="shared" si="62"/>
        <v>0</v>
      </c>
      <c r="BB102" s="31">
        <f t="shared" si="91"/>
        <v>0</v>
      </c>
      <c r="BC102" s="31"/>
      <c r="BD102" s="31"/>
      <c r="BM102" s="8">
        <f t="shared" si="92"/>
        <v>0</v>
      </c>
      <c r="BN102" s="8">
        <f t="shared" si="63"/>
        <v>0</v>
      </c>
      <c r="BO102" s="8">
        <f t="shared" si="64"/>
        <v>0</v>
      </c>
      <c r="BQ102" s="8">
        <f t="shared" si="65"/>
        <v>0</v>
      </c>
      <c r="BR102" s="63">
        <f t="shared" si="66"/>
        <v>0</v>
      </c>
      <c r="BS102" s="63">
        <f t="shared" si="93"/>
        <v>0</v>
      </c>
      <c r="BT102" s="63">
        <f t="shared" si="67"/>
        <v>0</v>
      </c>
      <c r="BU102" s="63">
        <f t="shared" si="68"/>
        <v>0</v>
      </c>
      <c r="BV102" s="57">
        <f t="shared" si="69"/>
        <v>0</v>
      </c>
      <c r="BW102" s="57">
        <f t="shared" si="70"/>
        <v>0</v>
      </c>
      <c r="BX102" s="57">
        <f t="shared" si="94"/>
        <v>0</v>
      </c>
      <c r="BY102" s="57">
        <f t="shared" si="98"/>
        <v>0</v>
      </c>
      <c r="BZ102" s="8">
        <f t="shared" si="71"/>
        <v>0</v>
      </c>
      <c r="CA102" s="8">
        <f t="shared" si="72"/>
        <v>0</v>
      </c>
      <c r="CB102" s="8">
        <f t="shared" si="73"/>
        <v>0</v>
      </c>
      <c r="CC102" s="8">
        <f t="shared" si="74"/>
        <v>0</v>
      </c>
      <c r="CD102" s="8">
        <f t="shared" si="75"/>
        <v>0</v>
      </c>
      <c r="CE102" s="8">
        <f t="shared" si="76"/>
        <v>0</v>
      </c>
      <c r="CF102" s="8">
        <f t="shared" si="77"/>
        <v>0</v>
      </c>
      <c r="CG102" s="8">
        <f t="shared" si="78"/>
        <v>0</v>
      </c>
      <c r="CH102" s="8">
        <f t="shared" si="79"/>
        <v>0</v>
      </c>
      <c r="CI102" s="8">
        <f t="shared" si="80"/>
        <v>0</v>
      </c>
      <c r="CJ102" s="8">
        <f t="shared" si="81"/>
        <v>0</v>
      </c>
      <c r="CK102" s="8">
        <f t="shared" si="82"/>
        <v>0</v>
      </c>
      <c r="CL102" s="8">
        <f t="shared" si="83"/>
        <v>0</v>
      </c>
      <c r="CM102" s="8">
        <f t="shared" si="84"/>
        <v>0</v>
      </c>
      <c r="CN102" s="8">
        <f t="shared" si="85"/>
        <v>0</v>
      </c>
      <c r="CO102" s="8">
        <f t="shared" si="86"/>
        <v>0</v>
      </c>
      <c r="CP102" s="8">
        <f t="shared" si="87"/>
        <v>0</v>
      </c>
      <c r="CQ102" s="8">
        <f t="shared" si="88"/>
        <v>0</v>
      </c>
      <c r="CR102" s="8">
        <f t="shared" si="89"/>
        <v>0</v>
      </c>
      <c r="CS102" s="8">
        <f t="shared" si="90"/>
        <v>0</v>
      </c>
      <c r="CT102" s="8">
        <f t="shared" si="95"/>
        <v>0</v>
      </c>
      <c r="CU102" s="8">
        <f t="shared" si="96"/>
        <v>0</v>
      </c>
      <c r="CV102" s="8">
        <f t="shared" si="97"/>
        <v>0</v>
      </c>
      <c r="CW102" s="100" t="s">
        <v>290</v>
      </c>
      <c r="CX102" s="100">
        <f>$CX$14</f>
        <v>0</v>
      </c>
      <c r="CY102" s="100" t="s">
        <v>94</v>
      </c>
      <c r="CZ102" s="101" t="s">
        <v>407</v>
      </c>
      <c r="DA102" s="100">
        <v>362</v>
      </c>
    </row>
    <row r="103" spans="1:105" ht="25.25" customHeight="1" thickTop="1" thickBot="1" x14ac:dyDescent="0.5">
      <c r="A103" s="32"/>
      <c r="B103" s="10"/>
      <c r="C103" s="10"/>
      <c r="D103" s="11"/>
      <c r="E103" s="10"/>
      <c r="F103" s="10"/>
      <c r="G103" s="19"/>
      <c r="H103" s="19"/>
      <c r="I103" s="19"/>
      <c r="J103" s="19"/>
      <c r="K103" s="10"/>
      <c r="L103" s="10"/>
      <c r="M103" s="10"/>
      <c r="N103" s="10"/>
      <c r="O103" s="18"/>
      <c r="P103" s="18"/>
      <c r="Q103" s="21"/>
      <c r="R103" s="20"/>
      <c r="S103" s="16">
        <f t="shared" si="53"/>
        <v>0</v>
      </c>
      <c r="T103" s="11"/>
      <c r="AR103" s="31"/>
      <c r="AS103" s="31">
        <f t="shared" si="54"/>
        <v>0</v>
      </c>
      <c r="AT103" s="31">
        <f t="shared" si="55"/>
        <v>0</v>
      </c>
      <c r="AU103" s="31">
        <f t="shared" si="56"/>
        <v>0</v>
      </c>
      <c r="AV103" s="31">
        <f t="shared" si="57"/>
        <v>0</v>
      </c>
      <c r="AW103" s="31">
        <f t="shared" si="58"/>
        <v>0</v>
      </c>
      <c r="AX103" s="31">
        <f t="shared" si="59"/>
        <v>0</v>
      </c>
      <c r="AY103" s="31">
        <f t="shared" si="60"/>
        <v>0</v>
      </c>
      <c r="AZ103" s="31">
        <f t="shared" si="61"/>
        <v>0</v>
      </c>
      <c r="BA103" s="31">
        <f t="shared" si="62"/>
        <v>0</v>
      </c>
      <c r="BB103" s="31">
        <f t="shared" si="91"/>
        <v>0</v>
      </c>
      <c r="BC103" s="31"/>
      <c r="BD103" s="31"/>
      <c r="BM103" s="8">
        <f t="shared" si="92"/>
        <v>0</v>
      </c>
      <c r="BN103" s="8">
        <f t="shared" si="63"/>
        <v>0</v>
      </c>
      <c r="BO103" s="8">
        <f t="shared" si="64"/>
        <v>0</v>
      </c>
      <c r="BQ103" s="8">
        <f t="shared" si="65"/>
        <v>0</v>
      </c>
      <c r="BR103" s="63">
        <f t="shared" si="66"/>
        <v>0</v>
      </c>
      <c r="BS103" s="63">
        <f t="shared" si="93"/>
        <v>0</v>
      </c>
      <c r="BT103" s="63">
        <f t="shared" si="67"/>
        <v>0</v>
      </c>
      <c r="BU103" s="63">
        <f t="shared" si="68"/>
        <v>0</v>
      </c>
      <c r="BV103" s="57">
        <f t="shared" si="69"/>
        <v>0</v>
      </c>
      <c r="BW103" s="57">
        <f t="shared" si="70"/>
        <v>0</v>
      </c>
      <c r="BX103" s="57">
        <f t="shared" si="94"/>
        <v>0</v>
      </c>
      <c r="BY103" s="57">
        <f t="shared" si="98"/>
        <v>0</v>
      </c>
      <c r="BZ103" s="8">
        <f t="shared" si="71"/>
        <v>0</v>
      </c>
      <c r="CA103" s="8">
        <f t="shared" si="72"/>
        <v>0</v>
      </c>
      <c r="CB103" s="8">
        <f t="shared" si="73"/>
        <v>0</v>
      </c>
      <c r="CC103" s="8">
        <f t="shared" si="74"/>
        <v>0</v>
      </c>
      <c r="CD103" s="8">
        <f t="shared" si="75"/>
        <v>0</v>
      </c>
      <c r="CE103" s="8">
        <f t="shared" si="76"/>
        <v>0</v>
      </c>
      <c r="CF103" s="8">
        <f t="shared" si="77"/>
        <v>0</v>
      </c>
      <c r="CG103" s="8">
        <f t="shared" si="78"/>
        <v>0</v>
      </c>
      <c r="CH103" s="8">
        <f t="shared" si="79"/>
        <v>0</v>
      </c>
      <c r="CI103" s="8">
        <f t="shared" si="80"/>
        <v>0</v>
      </c>
      <c r="CJ103" s="8">
        <f t="shared" si="81"/>
        <v>0</v>
      </c>
      <c r="CK103" s="8">
        <f t="shared" si="82"/>
        <v>0</v>
      </c>
      <c r="CL103" s="8">
        <f t="shared" si="83"/>
        <v>0</v>
      </c>
      <c r="CM103" s="8">
        <f t="shared" si="84"/>
        <v>0</v>
      </c>
      <c r="CN103" s="8">
        <f t="shared" si="85"/>
        <v>0</v>
      </c>
      <c r="CO103" s="8">
        <f t="shared" si="86"/>
        <v>0</v>
      </c>
      <c r="CP103" s="8">
        <f t="shared" si="87"/>
        <v>0</v>
      </c>
      <c r="CQ103" s="8">
        <f t="shared" si="88"/>
        <v>0</v>
      </c>
      <c r="CR103" s="8">
        <f t="shared" si="89"/>
        <v>0</v>
      </c>
      <c r="CS103" s="8">
        <f t="shared" si="90"/>
        <v>0</v>
      </c>
      <c r="CT103" s="8">
        <f t="shared" si="95"/>
        <v>0</v>
      </c>
      <c r="CU103" s="8">
        <f t="shared" si="96"/>
        <v>0</v>
      </c>
      <c r="CV103" s="8">
        <f t="shared" si="97"/>
        <v>0</v>
      </c>
      <c r="CW103" s="100" t="s">
        <v>410</v>
      </c>
      <c r="CX103" s="100">
        <f>$CX$14</f>
        <v>0</v>
      </c>
      <c r="CY103" s="100" t="s">
        <v>94</v>
      </c>
      <c r="CZ103" s="101" t="s">
        <v>408</v>
      </c>
      <c r="DA103" s="100">
        <v>144</v>
      </c>
    </row>
    <row r="104" spans="1:105" ht="25.25" customHeight="1" thickTop="1" thickBot="1" x14ac:dyDescent="0.5">
      <c r="A104" s="32"/>
      <c r="B104" s="10"/>
      <c r="C104" s="10"/>
      <c r="D104" s="11"/>
      <c r="E104" s="10"/>
      <c r="F104" s="10"/>
      <c r="G104" s="19"/>
      <c r="H104" s="19"/>
      <c r="I104" s="19"/>
      <c r="J104" s="19"/>
      <c r="K104" s="10"/>
      <c r="L104" s="10"/>
      <c r="M104" s="10"/>
      <c r="N104" s="10"/>
      <c r="O104" s="18"/>
      <c r="P104" s="18"/>
      <c r="Q104" s="21"/>
      <c r="R104" s="20"/>
      <c r="S104" s="16">
        <f t="shared" si="53"/>
        <v>0</v>
      </c>
      <c r="T104" s="11"/>
      <c r="AR104" s="31"/>
      <c r="AS104" s="31">
        <f t="shared" si="54"/>
        <v>0</v>
      </c>
      <c r="AT104" s="31">
        <f t="shared" si="55"/>
        <v>0</v>
      </c>
      <c r="AU104" s="31">
        <f t="shared" si="56"/>
        <v>0</v>
      </c>
      <c r="AV104" s="31">
        <f t="shared" si="57"/>
        <v>0</v>
      </c>
      <c r="AW104" s="31">
        <f t="shared" si="58"/>
        <v>0</v>
      </c>
      <c r="AX104" s="31">
        <f t="shared" si="59"/>
        <v>0</v>
      </c>
      <c r="AY104" s="31">
        <f t="shared" si="60"/>
        <v>0</v>
      </c>
      <c r="AZ104" s="31">
        <f t="shared" si="61"/>
        <v>0</v>
      </c>
      <c r="BA104" s="31">
        <f t="shared" si="62"/>
        <v>0</v>
      </c>
      <c r="BB104" s="31">
        <f t="shared" si="91"/>
        <v>0</v>
      </c>
      <c r="BC104" s="31"/>
      <c r="BD104" s="31"/>
      <c r="BM104" s="8">
        <f t="shared" si="92"/>
        <v>0</v>
      </c>
      <c r="BN104" s="8">
        <f t="shared" si="63"/>
        <v>0</v>
      </c>
      <c r="BO104" s="8">
        <f t="shared" si="64"/>
        <v>0</v>
      </c>
      <c r="BQ104" s="8">
        <f t="shared" si="65"/>
        <v>0</v>
      </c>
      <c r="BR104" s="63">
        <f t="shared" si="66"/>
        <v>0</v>
      </c>
      <c r="BS104" s="63">
        <f t="shared" si="93"/>
        <v>0</v>
      </c>
      <c r="BT104" s="63">
        <f t="shared" si="67"/>
        <v>0</v>
      </c>
      <c r="BU104" s="63">
        <f t="shared" si="68"/>
        <v>0</v>
      </c>
      <c r="BV104" s="57">
        <f t="shared" si="69"/>
        <v>0</v>
      </c>
      <c r="BW104" s="57">
        <f t="shared" si="70"/>
        <v>0</v>
      </c>
      <c r="BX104" s="57">
        <f t="shared" si="94"/>
        <v>0</v>
      </c>
      <c r="BY104" s="57">
        <f t="shared" si="98"/>
        <v>0</v>
      </c>
      <c r="BZ104" s="8">
        <f t="shared" si="71"/>
        <v>0</v>
      </c>
      <c r="CA104" s="8">
        <f t="shared" si="72"/>
        <v>0</v>
      </c>
      <c r="CB104" s="8">
        <f t="shared" si="73"/>
        <v>0</v>
      </c>
      <c r="CC104" s="8">
        <f t="shared" si="74"/>
        <v>0</v>
      </c>
      <c r="CD104" s="8">
        <f t="shared" si="75"/>
        <v>0</v>
      </c>
      <c r="CE104" s="8">
        <f t="shared" si="76"/>
        <v>0</v>
      </c>
      <c r="CF104" s="8">
        <f t="shared" si="77"/>
        <v>0</v>
      </c>
      <c r="CG104" s="8">
        <f t="shared" si="78"/>
        <v>0</v>
      </c>
      <c r="CH104" s="8">
        <f t="shared" si="79"/>
        <v>0</v>
      </c>
      <c r="CI104" s="8">
        <f t="shared" si="80"/>
        <v>0</v>
      </c>
      <c r="CJ104" s="8">
        <f t="shared" si="81"/>
        <v>0</v>
      </c>
      <c r="CK104" s="8">
        <f t="shared" si="82"/>
        <v>0</v>
      </c>
      <c r="CL104" s="8">
        <f t="shared" si="83"/>
        <v>0</v>
      </c>
      <c r="CM104" s="8">
        <f t="shared" si="84"/>
        <v>0</v>
      </c>
      <c r="CN104" s="8">
        <f t="shared" si="85"/>
        <v>0</v>
      </c>
      <c r="CO104" s="8">
        <f t="shared" si="86"/>
        <v>0</v>
      </c>
      <c r="CP104" s="8">
        <f t="shared" si="87"/>
        <v>0</v>
      </c>
      <c r="CQ104" s="8">
        <f t="shared" si="88"/>
        <v>0</v>
      </c>
      <c r="CR104" s="8">
        <f t="shared" si="89"/>
        <v>0</v>
      </c>
      <c r="CS104" s="8">
        <f t="shared" si="90"/>
        <v>0</v>
      </c>
      <c r="CT104" s="8">
        <f t="shared" si="95"/>
        <v>0</v>
      </c>
      <c r="CU104" s="8">
        <f t="shared" si="96"/>
        <v>0</v>
      </c>
      <c r="CV104" s="8">
        <f t="shared" si="97"/>
        <v>0</v>
      </c>
      <c r="CW104" s="100" t="s">
        <v>411</v>
      </c>
      <c r="CX104" s="100">
        <f>MAX('Equipment Selection'!F3:F5,'Equipment Selection'!F8:F10)*3</f>
        <v>0</v>
      </c>
      <c r="CY104" s="100" t="s">
        <v>91</v>
      </c>
      <c r="CZ104" s="101" t="s">
        <v>409</v>
      </c>
      <c r="DA104" s="100">
        <v>297</v>
      </c>
    </row>
    <row r="105" spans="1:105" ht="25.25" customHeight="1" thickTop="1" thickBot="1" x14ac:dyDescent="0.5">
      <c r="A105" s="32"/>
      <c r="B105" s="10"/>
      <c r="C105" s="10"/>
      <c r="D105" s="11"/>
      <c r="E105" s="10"/>
      <c r="F105" s="10"/>
      <c r="G105" s="19"/>
      <c r="H105" s="19"/>
      <c r="I105" s="19"/>
      <c r="J105" s="19"/>
      <c r="K105" s="10"/>
      <c r="L105" s="10"/>
      <c r="M105" s="10"/>
      <c r="N105" s="10"/>
      <c r="O105" s="18"/>
      <c r="P105" s="18"/>
      <c r="Q105" s="21"/>
      <c r="R105" s="20"/>
      <c r="S105" s="16">
        <f t="shared" si="53"/>
        <v>0</v>
      </c>
      <c r="T105" s="11"/>
      <c r="AR105" s="31"/>
      <c r="AS105" s="31">
        <f t="shared" si="54"/>
        <v>0</v>
      </c>
      <c r="AT105" s="31">
        <f t="shared" si="55"/>
        <v>0</v>
      </c>
      <c r="AU105" s="31">
        <f t="shared" si="56"/>
        <v>0</v>
      </c>
      <c r="AV105" s="31">
        <f t="shared" si="57"/>
        <v>0</v>
      </c>
      <c r="AW105" s="31">
        <f t="shared" si="58"/>
        <v>0</v>
      </c>
      <c r="AX105" s="31">
        <f t="shared" si="59"/>
        <v>0</v>
      </c>
      <c r="AY105" s="31">
        <f t="shared" si="60"/>
        <v>0</v>
      </c>
      <c r="AZ105" s="31">
        <f t="shared" si="61"/>
        <v>0</v>
      </c>
      <c r="BA105" s="31">
        <f t="shared" si="62"/>
        <v>0</v>
      </c>
      <c r="BB105" s="31">
        <f t="shared" si="91"/>
        <v>0</v>
      </c>
      <c r="BC105" s="31"/>
      <c r="BD105" s="31"/>
      <c r="BM105" s="8">
        <f t="shared" si="92"/>
        <v>0</v>
      </c>
      <c r="BN105" s="8">
        <f t="shared" si="63"/>
        <v>0</v>
      </c>
      <c r="BO105" s="8">
        <f t="shared" si="64"/>
        <v>0</v>
      </c>
      <c r="BQ105" s="8">
        <f t="shared" si="65"/>
        <v>0</v>
      </c>
      <c r="BR105" s="63">
        <f t="shared" si="66"/>
        <v>0</v>
      </c>
      <c r="BS105" s="63">
        <f t="shared" si="93"/>
        <v>0</v>
      </c>
      <c r="BT105" s="63">
        <f t="shared" si="67"/>
        <v>0</v>
      </c>
      <c r="BU105" s="63">
        <f t="shared" si="68"/>
        <v>0</v>
      </c>
      <c r="BV105" s="57">
        <f t="shared" si="69"/>
        <v>0</v>
      </c>
      <c r="BW105" s="57">
        <f t="shared" si="70"/>
        <v>0</v>
      </c>
      <c r="BX105" s="57">
        <f t="shared" si="94"/>
        <v>0</v>
      </c>
      <c r="BY105" s="57">
        <f t="shared" si="98"/>
        <v>0</v>
      </c>
      <c r="BZ105" s="8">
        <f t="shared" si="71"/>
        <v>0</v>
      </c>
      <c r="CA105" s="8">
        <f t="shared" si="72"/>
        <v>0</v>
      </c>
      <c r="CB105" s="8">
        <f t="shared" si="73"/>
        <v>0</v>
      </c>
      <c r="CC105" s="8">
        <f t="shared" si="74"/>
        <v>0</v>
      </c>
      <c r="CD105" s="8">
        <f t="shared" si="75"/>
        <v>0</v>
      </c>
      <c r="CE105" s="8">
        <f t="shared" si="76"/>
        <v>0</v>
      </c>
      <c r="CF105" s="8">
        <f t="shared" si="77"/>
        <v>0</v>
      </c>
      <c r="CG105" s="8">
        <f t="shared" si="78"/>
        <v>0</v>
      </c>
      <c r="CH105" s="8">
        <f t="shared" si="79"/>
        <v>0</v>
      </c>
      <c r="CI105" s="8">
        <f t="shared" si="80"/>
        <v>0</v>
      </c>
      <c r="CJ105" s="8">
        <f t="shared" si="81"/>
        <v>0</v>
      </c>
      <c r="CK105" s="8">
        <f t="shared" si="82"/>
        <v>0</v>
      </c>
      <c r="CL105" s="8">
        <f t="shared" si="83"/>
        <v>0</v>
      </c>
      <c r="CM105" s="8">
        <f t="shared" si="84"/>
        <v>0</v>
      </c>
      <c r="CN105" s="8">
        <f t="shared" si="85"/>
        <v>0</v>
      </c>
      <c r="CO105" s="8">
        <f t="shared" si="86"/>
        <v>0</v>
      </c>
      <c r="CP105" s="8">
        <f t="shared" si="87"/>
        <v>0</v>
      </c>
      <c r="CQ105" s="8">
        <f t="shared" si="88"/>
        <v>0</v>
      </c>
      <c r="CR105" s="8">
        <f t="shared" si="89"/>
        <v>0</v>
      </c>
      <c r="CS105" s="8">
        <f t="shared" si="90"/>
        <v>0</v>
      </c>
      <c r="CT105" s="8">
        <f t="shared" si="95"/>
        <v>0</v>
      </c>
      <c r="CU105" s="8">
        <f t="shared" si="96"/>
        <v>0</v>
      </c>
      <c r="CV105" s="8">
        <f t="shared" si="97"/>
        <v>0</v>
      </c>
      <c r="CW105" s="100" t="s">
        <v>412</v>
      </c>
      <c r="CX105" s="100">
        <f>MAX('Equipment Selection'!F3:F5,'Equipment Selection'!F8:F10)*2</f>
        <v>0</v>
      </c>
      <c r="CY105" s="100" t="s">
        <v>275</v>
      </c>
      <c r="CZ105" s="101" t="s">
        <v>413</v>
      </c>
      <c r="DA105" s="100">
        <v>627</v>
      </c>
    </row>
    <row r="106" spans="1:105" ht="25.25" customHeight="1" thickTop="1" thickBot="1" x14ac:dyDescent="0.5">
      <c r="A106" s="32"/>
      <c r="B106" s="10"/>
      <c r="C106" s="10"/>
      <c r="D106" s="11"/>
      <c r="E106" s="10"/>
      <c r="F106" s="10"/>
      <c r="G106" s="19"/>
      <c r="H106" s="19"/>
      <c r="I106" s="19"/>
      <c r="J106" s="19"/>
      <c r="K106" s="10"/>
      <c r="L106" s="10"/>
      <c r="M106" s="10"/>
      <c r="N106" s="10"/>
      <c r="O106" s="18"/>
      <c r="P106" s="18"/>
      <c r="Q106" s="21"/>
      <c r="R106" s="20"/>
      <c r="S106" s="16">
        <f t="shared" si="53"/>
        <v>0</v>
      </c>
      <c r="T106" s="11"/>
      <c r="AR106" s="31"/>
      <c r="AS106" s="31">
        <f t="shared" si="54"/>
        <v>0</v>
      </c>
      <c r="AT106" s="31">
        <f t="shared" si="55"/>
        <v>0</v>
      </c>
      <c r="AU106" s="31">
        <f t="shared" si="56"/>
        <v>0</v>
      </c>
      <c r="AV106" s="31">
        <f t="shared" si="57"/>
        <v>0</v>
      </c>
      <c r="AW106" s="31">
        <f t="shared" si="58"/>
        <v>0</v>
      </c>
      <c r="AX106" s="31">
        <f t="shared" si="59"/>
        <v>0</v>
      </c>
      <c r="AY106" s="31">
        <f t="shared" si="60"/>
        <v>0</v>
      </c>
      <c r="AZ106" s="31">
        <f t="shared" si="61"/>
        <v>0</v>
      </c>
      <c r="BA106" s="31">
        <f t="shared" si="62"/>
        <v>0</v>
      </c>
      <c r="BB106" s="31">
        <f t="shared" si="91"/>
        <v>0</v>
      </c>
      <c r="BC106" s="31"/>
      <c r="BD106" s="31"/>
      <c r="BM106" s="8">
        <f t="shared" si="92"/>
        <v>0</v>
      </c>
      <c r="BN106" s="8">
        <f t="shared" si="63"/>
        <v>0</v>
      </c>
      <c r="BO106" s="8">
        <f t="shared" si="64"/>
        <v>0</v>
      </c>
      <c r="BQ106" s="8">
        <f t="shared" si="65"/>
        <v>0</v>
      </c>
      <c r="BR106" s="63">
        <f t="shared" si="66"/>
        <v>0</v>
      </c>
      <c r="BS106" s="63">
        <f t="shared" si="93"/>
        <v>0</v>
      </c>
      <c r="BT106" s="63">
        <f t="shared" si="67"/>
        <v>0</v>
      </c>
      <c r="BU106" s="63">
        <f t="shared" si="68"/>
        <v>0</v>
      </c>
      <c r="BV106" s="57">
        <f t="shared" si="69"/>
        <v>0</v>
      </c>
      <c r="BW106" s="57">
        <f t="shared" si="70"/>
        <v>0</v>
      </c>
      <c r="BX106" s="57">
        <f t="shared" si="94"/>
        <v>0</v>
      </c>
      <c r="BY106" s="57">
        <f t="shared" si="98"/>
        <v>0</v>
      </c>
      <c r="BZ106" s="8">
        <f t="shared" si="71"/>
        <v>0</v>
      </c>
      <c r="CA106" s="8">
        <f t="shared" si="72"/>
        <v>0</v>
      </c>
      <c r="CB106" s="8">
        <f t="shared" si="73"/>
        <v>0</v>
      </c>
      <c r="CC106" s="8">
        <f t="shared" si="74"/>
        <v>0</v>
      </c>
      <c r="CD106" s="8">
        <f t="shared" si="75"/>
        <v>0</v>
      </c>
      <c r="CE106" s="8">
        <f t="shared" si="76"/>
        <v>0</v>
      </c>
      <c r="CF106" s="8">
        <f t="shared" si="77"/>
        <v>0</v>
      </c>
      <c r="CG106" s="8">
        <f t="shared" si="78"/>
        <v>0</v>
      </c>
      <c r="CH106" s="8">
        <f t="shared" si="79"/>
        <v>0</v>
      </c>
      <c r="CI106" s="8">
        <f t="shared" si="80"/>
        <v>0</v>
      </c>
      <c r="CJ106" s="8">
        <f t="shared" si="81"/>
        <v>0</v>
      </c>
      <c r="CK106" s="8">
        <f t="shared" si="82"/>
        <v>0</v>
      </c>
      <c r="CL106" s="8">
        <f t="shared" si="83"/>
        <v>0</v>
      </c>
      <c r="CM106" s="8">
        <f t="shared" si="84"/>
        <v>0</v>
      </c>
      <c r="CN106" s="8">
        <f t="shared" si="85"/>
        <v>0</v>
      </c>
      <c r="CO106" s="8">
        <f t="shared" si="86"/>
        <v>0</v>
      </c>
      <c r="CP106" s="8">
        <f t="shared" si="87"/>
        <v>0</v>
      </c>
      <c r="CQ106" s="8">
        <f t="shared" si="88"/>
        <v>0</v>
      </c>
      <c r="CR106" s="8">
        <f t="shared" si="89"/>
        <v>0</v>
      </c>
      <c r="CS106" s="8">
        <f t="shared" si="90"/>
        <v>0</v>
      </c>
      <c r="CT106" s="8">
        <f t="shared" si="95"/>
        <v>0</v>
      </c>
      <c r="CU106" s="8">
        <f t="shared" si="96"/>
        <v>0</v>
      </c>
      <c r="CV106" s="8">
        <f t="shared" si="97"/>
        <v>0</v>
      </c>
      <c r="CW106" s="100" t="s">
        <v>415</v>
      </c>
      <c r="CX106" s="100">
        <f>MAX('Equipment Selection'!F3:F5,'Equipment Selection'!F8:F10)*2</f>
        <v>0</v>
      </c>
      <c r="CY106" s="100" t="s">
        <v>91</v>
      </c>
      <c r="CZ106" s="101" t="s">
        <v>414</v>
      </c>
      <c r="DA106" s="100">
        <v>62</v>
      </c>
    </row>
    <row r="107" spans="1:105" ht="25.25" customHeight="1" thickTop="1" thickBot="1" x14ac:dyDescent="0.5">
      <c r="A107" s="32"/>
      <c r="B107" s="10"/>
      <c r="C107" s="10"/>
      <c r="D107" s="11"/>
      <c r="E107" s="10"/>
      <c r="F107" s="10"/>
      <c r="G107" s="19"/>
      <c r="H107" s="19"/>
      <c r="I107" s="19"/>
      <c r="J107" s="19"/>
      <c r="K107" s="10"/>
      <c r="L107" s="10"/>
      <c r="M107" s="10"/>
      <c r="N107" s="10"/>
      <c r="O107" s="18"/>
      <c r="P107" s="18"/>
      <c r="Q107" s="21"/>
      <c r="R107" s="20"/>
      <c r="S107" s="16">
        <f t="shared" si="53"/>
        <v>0</v>
      </c>
      <c r="T107" s="11"/>
      <c r="AR107" s="31"/>
      <c r="AS107" s="31">
        <f t="shared" si="54"/>
        <v>0</v>
      </c>
      <c r="AT107" s="31">
        <f t="shared" si="55"/>
        <v>0</v>
      </c>
      <c r="AU107" s="31">
        <f t="shared" si="56"/>
        <v>0</v>
      </c>
      <c r="AV107" s="31">
        <f t="shared" si="57"/>
        <v>0</v>
      </c>
      <c r="AW107" s="31">
        <f t="shared" si="58"/>
        <v>0</v>
      </c>
      <c r="AX107" s="31">
        <f t="shared" si="59"/>
        <v>0</v>
      </c>
      <c r="AY107" s="31">
        <f t="shared" si="60"/>
        <v>0</v>
      </c>
      <c r="AZ107" s="31">
        <f t="shared" si="61"/>
        <v>0</v>
      </c>
      <c r="BA107" s="31">
        <f t="shared" si="62"/>
        <v>0</v>
      </c>
      <c r="BB107" s="31">
        <f t="shared" si="91"/>
        <v>0</v>
      </c>
      <c r="BC107" s="31"/>
      <c r="BD107" s="31"/>
      <c r="BM107" s="8">
        <f t="shared" si="92"/>
        <v>0</v>
      </c>
      <c r="BN107" s="8">
        <f t="shared" si="63"/>
        <v>0</v>
      </c>
      <c r="BO107" s="8">
        <f t="shared" si="64"/>
        <v>0</v>
      </c>
      <c r="BQ107" s="8">
        <f t="shared" si="65"/>
        <v>0</v>
      </c>
      <c r="BR107" s="63">
        <f t="shared" si="66"/>
        <v>0</v>
      </c>
      <c r="BS107" s="63">
        <f t="shared" si="93"/>
        <v>0</v>
      </c>
      <c r="BT107" s="63">
        <f t="shared" si="67"/>
        <v>0</v>
      </c>
      <c r="BU107" s="63">
        <f t="shared" si="68"/>
        <v>0</v>
      </c>
      <c r="BV107" s="57">
        <f t="shared" si="69"/>
        <v>0</v>
      </c>
      <c r="BW107" s="57">
        <f t="shared" si="70"/>
        <v>0</v>
      </c>
      <c r="BX107" s="57">
        <f t="shared" si="94"/>
        <v>0</v>
      </c>
      <c r="BY107" s="57">
        <f t="shared" si="98"/>
        <v>0</v>
      </c>
      <c r="BZ107" s="8">
        <f t="shared" si="71"/>
        <v>0</v>
      </c>
      <c r="CA107" s="8">
        <f t="shared" si="72"/>
        <v>0</v>
      </c>
      <c r="CB107" s="8">
        <f t="shared" si="73"/>
        <v>0</v>
      </c>
      <c r="CC107" s="8">
        <f t="shared" si="74"/>
        <v>0</v>
      </c>
      <c r="CD107" s="8">
        <f t="shared" si="75"/>
        <v>0</v>
      </c>
      <c r="CE107" s="8">
        <f t="shared" si="76"/>
        <v>0</v>
      </c>
      <c r="CF107" s="8">
        <f t="shared" si="77"/>
        <v>0</v>
      </c>
      <c r="CG107" s="8">
        <f t="shared" si="78"/>
        <v>0</v>
      </c>
      <c r="CH107" s="8">
        <f t="shared" si="79"/>
        <v>0</v>
      </c>
      <c r="CI107" s="8">
        <f t="shared" si="80"/>
        <v>0</v>
      </c>
      <c r="CJ107" s="8">
        <f t="shared" si="81"/>
        <v>0</v>
      </c>
      <c r="CK107" s="8">
        <f t="shared" si="82"/>
        <v>0</v>
      </c>
      <c r="CL107" s="8">
        <f t="shared" si="83"/>
        <v>0</v>
      </c>
      <c r="CM107" s="8">
        <f t="shared" si="84"/>
        <v>0</v>
      </c>
      <c r="CN107" s="8">
        <f t="shared" si="85"/>
        <v>0</v>
      </c>
      <c r="CO107" s="8">
        <f t="shared" si="86"/>
        <v>0</v>
      </c>
      <c r="CP107" s="8">
        <f t="shared" si="87"/>
        <v>0</v>
      </c>
      <c r="CQ107" s="8">
        <f t="shared" si="88"/>
        <v>0</v>
      </c>
      <c r="CR107" s="8">
        <f t="shared" si="89"/>
        <v>0</v>
      </c>
      <c r="CS107" s="8">
        <f t="shared" si="90"/>
        <v>0</v>
      </c>
      <c r="CT107" s="8">
        <f t="shared" si="95"/>
        <v>0</v>
      </c>
      <c r="CU107" s="8">
        <f t="shared" si="96"/>
        <v>0</v>
      </c>
      <c r="CV107" s="8">
        <f t="shared" si="97"/>
        <v>0</v>
      </c>
      <c r="CW107" s="100" t="s">
        <v>419</v>
      </c>
      <c r="CX107" s="100">
        <f>MAX('Equipment Selection'!F3:F5,'Equipment Selection'!F8:F10)*0</f>
        <v>0</v>
      </c>
      <c r="CY107" s="100" t="s">
        <v>94</v>
      </c>
      <c r="CZ107" s="101" t="s">
        <v>418</v>
      </c>
      <c r="DA107" s="100">
        <v>305</v>
      </c>
    </row>
    <row r="108" spans="1:105" ht="25.25" customHeight="1" thickTop="1" thickBot="1" x14ac:dyDescent="0.5">
      <c r="A108" s="32"/>
      <c r="B108" s="10"/>
      <c r="C108" s="10"/>
      <c r="D108" s="11"/>
      <c r="E108" s="10"/>
      <c r="F108" s="10"/>
      <c r="G108" s="19"/>
      <c r="H108" s="19"/>
      <c r="I108" s="19"/>
      <c r="J108" s="19"/>
      <c r="K108" s="10"/>
      <c r="L108" s="10"/>
      <c r="M108" s="10"/>
      <c r="N108" s="10"/>
      <c r="O108" s="18"/>
      <c r="P108" s="18"/>
      <c r="Q108" s="21"/>
      <c r="R108" s="20"/>
      <c r="S108" s="16">
        <f t="shared" si="53"/>
        <v>0</v>
      </c>
      <c r="T108" s="11"/>
      <c r="AR108" s="31"/>
      <c r="AS108" s="31">
        <f t="shared" si="54"/>
        <v>0</v>
      </c>
      <c r="AT108" s="31">
        <f t="shared" si="55"/>
        <v>0</v>
      </c>
      <c r="AU108" s="31">
        <f t="shared" si="56"/>
        <v>0</v>
      </c>
      <c r="AV108" s="31">
        <f t="shared" si="57"/>
        <v>0</v>
      </c>
      <c r="AW108" s="31">
        <f t="shared" si="58"/>
        <v>0</v>
      </c>
      <c r="AX108" s="31">
        <f t="shared" si="59"/>
        <v>0</v>
      </c>
      <c r="AY108" s="31">
        <f t="shared" si="60"/>
        <v>0</v>
      </c>
      <c r="AZ108" s="31">
        <f t="shared" si="61"/>
        <v>0</v>
      </c>
      <c r="BA108" s="31">
        <f t="shared" si="62"/>
        <v>0</v>
      </c>
      <c r="BB108" s="31">
        <f t="shared" si="91"/>
        <v>0</v>
      </c>
      <c r="BC108" s="31"/>
      <c r="BD108" s="31"/>
      <c r="BM108" s="8">
        <f t="shared" si="92"/>
        <v>0</v>
      </c>
      <c r="BN108" s="8">
        <f t="shared" si="63"/>
        <v>0</v>
      </c>
      <c r="BO108" s="8">
        <f t="shared" si="64"/>
        <v>0</v>
      </c>
      <c r="BQ108" s="8">
        <f t="shared" si="65"/>
        <v>0</v>
      </c>
      <c r="BR108" s="63">
        <f t="shared" si="66"/>
        <v>0</v>
      </c>
      <c r="BS108" s="63">
        <f t="shared" si="93"/>
        <v>0</v>
      </c>
      <c r="BT108" s="63">
        <f t="shared" si="67"/>
        <v>0</v>
      </c>
      <c r="BU108" s="63">
        <f t="shared" si="68"/>
        <v>0</v>
      </c>
      <c r="BV108" s="57">
        <f t="shared" si="69"/>
        <v>0</v>
      </c>
      <c r="BW108" s="57">
        <f t="shared" si="70"/>
        <v>0</v>
      </c>
      <c r="BX108" s="57">
        <f t="shared" si="94"/>
        <v>0</v>
      </c>
      <c r="BY108" s="57">
        <f t="shared" si="98"/>
        <v>0</v>
      </c>
      <c r="BZ108" s="8">
        <f t="shared" si="71"/>
        <v>0</v>
      </c>
      <c r="CA108" s="8">
        <f t="shared" si="72"/>
        <v>0</v>
      </c>
      <c r="CB108" s="8">
        <f t="shared" si="73"/>
        <v>0</v>
      </c>
      <c r="CC108" s="8">
        <f t="shared" si="74"/>
        <v>0</v>
      </c>
      <c r="CD108" s="8">
        <f t="shared" si="75"/>
        <v>0</v>
      </c>
      <c r="CE108" s="8">
        <f t="shared" si="76"/>
        <v>0</v>
      </c>
      <c r="CF108" s="8">
        <f t="shared" si="77"/>
        <v>0</v>
      </c>
      <c r="CG108" s="8">
        <f t="shared" si="78"/>
        <v>0</v>
      </c>
      <c r="CH108" s="8">
        <f t="shared" si="79"/>
        <v>0</v>
      </c>
      <c r="CI108" s="8">
        <f t="shared" si="80"/>
        <v>0</v>
      </c>
      <c r="CJ108" s="8">
        <f t="shared" si="81"/>
        <v>0</v>
      </c>
      <c r="CK108" s="8">
        <f t="shared" si="82"/>
        <v>0</v>
      </c>
      <c r="CL108" s="8">
        <f t="shared" si="83"/>
        <v>0</v>
      </c>
      <c r="CM108" s="8">
        <f t="shared" si="84"/>
        <v>0</v>
      </c>
      <c r="CN108" s="8">
        <f t="shared" si="85"/>
        <v>0</v>
      </c>
      <c r="CO108" s="8">
        <f t="shared" si="86"/>
        <v>0</v>
      </c>
      <c r="CP108" s="8">
        <f t="shared" si="87"/>
        <v>0</v>
      </c>
      <c r="CQ108" s="8">
        <f t="shared" si="88"/>
        <v>0</v>
      </c>
      <c r="CR108" s="8">
        <f t="shared" si="89"/>
        <v>0</v>
      </c>
      <c r="CS108" s="8">
        <f t="shared" si="90"/>
        <v>0</v>
      </c>
      <c r="CT108" s="8">
        <f t="shared" si="95"/>
        <v>0</v>
      </c>
      <c r="CU108" s="8">
        <f t="shared" si="96"/>
        <v>0</v>
      </c>
      <c r="CV108" s="8">
        <f t="shared" si="97"/>
        <v>0</v>
      </c>
      <c r="CW108" s="100" t="s">
        <v>417</v>
      </c>
      <c r="CX108" s="100">
        <f>SUM('Equipment Selection'!D3:D5)</f>
        <v>0</v>
      </c>
      <c r="CY108" s="100" t="s">
        <v>94</v>
      </c>
      <c r="CZ108" s="101" t="s">
        <v>416</v>
      </c>
      <c r="DA108" s="100">
        <v>796</v>
      </c>
    </row>
    <row r="109" spans="1:105" ht="25.25" customHeight="1" thickTop="1" thickBot="1" x14ac:dyDescent="0.5">
      <c r="A109" s="32"/>
      <c r="B109" s="10"/>
      <c r="C109" s="10"/>
      <c r="D109" s="11"/>
      <c r="E109" s="10"/>
      <c r="F109" s="10"/>
      <c r="G109" s="19"/>
      <c r="H109" s="19"/>
      <c r="I109" s="19"/>
      <c r="J109" s="19"/>
      <c r="K109" s="10"/>
      <c r="L109" s="10"/>
      <c r="M109" s="10"/>
      <c r="N109" s="10"/>
      <c r="O109" s="18"/>
      <c r="P109" s="18"/>
      <c r="Q109" s="21"/>
      <c r="R109" s="20"/>
      <c r="S109" s="16">
        <f t="shared" si="53"/>
        <v>0</v>
      </c>
      <c r="T109" s="11"/>
      <c r="AR109" s="31"/>
      <c r="AS109" s="31">
        <f t="shared" si="54"/>
        <v>0</v>
      </c>
      <c r="AT109" s="31">
        <f t="shared" si="55"/>
        <v>0</v>
      </c>
      <c r="AU109" s="31">
        <f t="shared" si="56"/>
        <v>0</v>
      </c>
      <c r="AV109" s="31">
        <f t="shared" si="57"/>
        <v>0</v>
      </c>
      <c r="AW109" s="31">
        <f t="shared" si="58"/>
        <v>0</v>
      </c>
      <c r="AX109" s="31">
        <f t="shared" si="59"/>
        <v>0</v>
      </c>
      <c r="AY109" s="31">
        <f t="shared" si="60"/>
        <v>0</v>
      </c>
      <c r="AZ109" s="31">
        <f t="shared" si="61"/>
        <v>0</v>
      </c>
      <c r="BA109" s="31">
        <f t="shared" si="62"/>
        <v>0</v>
      </c>
      <c r="BB109" s="31">
        <f t="shared" si="91"/>
        <v>0</v>
      </c>
      <c r="BC109" s="31"/>
      <c r="BD109" s="31"/>
      <c r="BM109" s="8">
        <f t="shared" si="92"/>
        <v>0</v>
      </c>
      <c r="BN109" s="8">
        <f t="shared" si="63"/>
        <v>0</v>
      </c>
      <c r="BO109" s="8">
        <f t="shared" si="64"/>
        <v>0</v>
      </c>
      <c r="BQ109" s="8">
        <f t="shared" si="65"/>
        <v>0</v>
      </c>
      <c r="BR109" s="63">
        <f t="shared" si="66"/>
        <v>0</v>
      </c>
      <c r="BS109" s="63">
        <f t="shared" si="93"/>
        <v>0</v>
      </c>
      <c r="BT109" s="63">
        <f t="shared" si="67"/>
        <v>0</v>
      </c>
      <c r="BU109" s="63">
        <f t="shared" si="68"/>
        <v>0</v>
      </c>
      <c r="BV109" s="57">
        <f t="shared" si="69"/>
        <v>0</v>
      </c>
      <c r="BW109" s="57">
        <f t="shared" si="70"/>
        <v>0</v>
      </c>
      <c r="BX109" s="57">
        <f t="shared" si="94"/>
        <v>0</v>
      </c>
      <c r="BY109" s="57">
        <f t="shared" si="98"/>
        <v>0</v>
      </c>
      <c r="BZ109" s="8">
        <f t="shared" si="71"/>
        <v>0</v>
      </c>
      <c r="CA109" s="8">
        <f t="shared" si="72"/>
        <v>0</v>
      </c>
      <c r="CB109" s="8">
        <f t="shared" si="73"/>
        <v>0</v>
      </c>
      <c r="CC109" s="8">
        <f t="shared" si="74"/>
        <v>0</v>
      </c>
      <c r="CD109" s="8">
        <f t="shared" si="75"/>
        <v>0</v>
      </c>
      <c r="CE109" s="8">
        <f t="shared" si="76"/>
        <v>0</v>
      </c>
      <c r="CF109" s="8">
        <f t="shared" si="77"/>
        <v>0</v>
      </c>
      <c r="CG109" s="8">
        <f t="shared" si="78"/>
        <v>0</v>
      </c>
      <c r="CH109" s="8">
        <f t="shared" si="79"/>
        <v>0</v>
      </c>
      <c r="CI109" s="8">
        <f t="shared" si="80"/>
        <v>0</v>
      </c>
      <c r="CJ109" s="8">
        <f t="shared" si="81"/>
        <v>0</v>
      </c>
      <c r="CK109" s="8">
        <f t="shared" si="82"/>
        <v>0</v>
      </c>
      <c r="CL109" s="8">
        <f t="shared" si="83"/>
        <v>0</v>
      </c>
      <c r="CM109" s="8">
        <f t="shared" si="84"/>
        <v>0</v>
      </c>
      <c r="CN109" s="8">
        <f t="shared" si="85"/>
        <v>0</v>
      </c>
      <c r="CO109" s="8">
        <f t="shared" si="86"/>
        <v>0</v>
      </c>
      <c r="CP109" s="8">
        <f t="shared" si="87"/>
        <v>0</v>
      </c>
      <c r="CQ109" s="8">
        <f t="shared" si="88"/>
        <v>0</v>
      </c>
      <c r="CR109" s="8">
        <f t="shared" si="89"/>
        <v>0</v>
      </c>
      <c r="CS109" s="8">
        <f t="shared" si="90"/>
        <v>0</v>
      </c>
      <c r="CT109" s="8">
        <f t="shared" si="95"/>
        <v>0</v>
      </c>
      <c r="CU109" s="8">
        <f t="shared" si="96"/>
        <v>0</v>
      </c>
      <c r="CV109" s="8">
        <f t="shared" si="97"/>
        <v>0</v>
      </c>
      <c r="CW109" s="100" t="s">
        <v>509</v>
      </c>
      <c r="CX109" s="100">
        <f>SUM(DA59:DB66)</f>
        <v>0</v>
      </c>
      <c r="CY109" s="100" t="s">
        <v>94</v>
      </c>
      <c r="CZ109" s="101" t="s">
        <v>508</v>
      </c>
      <c r="DA109" s="100">
        <v>2156</v>
      </c>
    </row>
    <row r="110" spans="1:105" ht="25.25" customHeight="1" thickTop="1" thickBot="1" x14ac:dyDescent="0.5">
      <c r="A110" s="32"/>
      <c r="B110" s="10"/>
      <c r="C110" s="10"/>
      <c r="D110" s="11"/>
      <c r="E110" s="10"/>
      <c r="F110" s="10"/>
      <c r="G110" s="19"/>
      <c r="H110" s="19"/>
      <c r="I110" s="19"/>
      <c r="J110" s="19"/>
      <c r="K110" s="10"/>
      <c r="L110" s="10"/>
      <c r="M110" s="10"/>
      <c r="N110" s="10"/>
      <c r="O110" s="18"/>
      <c r="P110" s="18"/>
      <c r="Q110" s="21"/>
      <c r="R110" s="20"/>
      <c r="S110" s="16">
        <f t="shared" si="53"/>
        <v>0</v>
      </c>
      <c r="T110" s="11"/>
      <c r="AR110" s="31"/>
      <c r="AS110" s="31">
        <f t="shared" si="54"/>
        <v>0</v>
      </c>
      <c r="AT110" s="31">
        <f t="shared" si="55"/>
        <v>0</v>
      </c>
      <c r="AU110" s="31">
        <f t="shared" si="56"/>
        <v>0</v>
      </c>
      <c r="AV110" s="31">
        <f t="shared" si="57"/>
        <v>0</v>
      </c>
      <c r="AW110" s="31">
        <f t="shared" si="58"/>
        <v>0</v>
      </c>
      <c r="AX110" s="31">
        <f t="shared" si="59"/>
        <v>0</v>
      </c>
      <c r="AY110" s="31">
        <f t="shared" si="60"/>
        <v>0</v>
      </c>
      <c r="AZ110" s="31">
        <f t="shared" si="61"/>
        <v>0</v>
      </c>
      <c r="BA110" s="31">
        <f t="shared" si="62"/>
        <v>0</v>
      </c>
      <c r="BB110" s="31">
        <f t="shared" si="91"/>
        <v>0</v>
      </c>
      <c r="BC110" s="31"/>
      <c r="BD110" s="31"/>
      <c r="BM110" s="8">
        <f t="shared" si="92"/>
        <v>0</v>
      </c>
      <c r="BN110" s="8">
        <f t="shared" si="63"/>
        <v>0</v>
      </c>
      <c r="BO110" s="8">
        <f t="shared" si="64"/>
        <v>0</v>
      </c>
      <c r="BQ110" s="8">
        <f t="shared" si="65"/>
        <v>0</v>
      </c>
      <c r="BR110" s="63">
        <f t="shared" si="66"/>
        <v>0</v>
      </c>
      <c r="BS110" s="63">
        <f t="shared" si="93"/>
        <v>0</v>
      </c>
      <c r="BT110" s="63">
        <f t="shared" si="67"/>
        <v>0</v>
      </c>
      <c r="BU110" s="63">
        <f t="shared" si="68"/>
        <v>0</v>
      </c>
      <c r="BV110" s="57">
        <f t="shared" si="69"/>
        <v>0</v>
      </c>
      <c r="BW110" s="57">
        <f t="shared" si="70"/>
        <v>0</v>
      </c>
      <c r="BX110" s="57">
        <f t="shared" si="94"/>
        <v>0</v>
      </c>
      <c r="BY110" s="57">
        <f t="shared" si="98"/>
        <v>0</v>
      </c>
      <c r="BZ110" s="8">
        <f t="shared" si="71"/>
        <v>0</v>
      </c>
      <c r="CA110" s="8">
        <f t="shared" si="72"/>
        <v>0</v>
      </c>
      <c r="CB110" s="8">
        <f t="shared" si="73"/>
        <v>0</v>
      </c>
      <c r="CC110" s="8">
        <f t="shared" si="74"/>
        <v>0</v>
      </c>
      <c r="CD110" s="8">
        <f t="shared" si="75"/>
        <v>0</v>
      </c>
      <c r="CE110" s="8">
        <f t="shared" si="76"/>
        <v>0</v>
      </c>
      <c r="CF110" s="8">
        <f t="shared" si="77"/>
        <v>0</v>
      </c>
      <c r="CG110" s="8">
        <f t="shared" si="78"/>
        <v>0</v>
      </c>
      <c r="CH110" s="8">
        <f t="shared" si="79"/>
        <v>0</v>
      </c>
      <c r="CI110" s="8">
        <f t="shared" si="80"/>
        <v>0</v>
      </c>
      <c r="CJ110" s="8">
        <f t="shared" si="81"/>
        <v>0</v>
      </c>
      <c r="CK110" s="8">
        <f t="shared" si="82"/>
        <v>0</v>
      </c>
      <c r="CL110" s="8">
        <f t="shared" si="83"/>
        <v>0</v>
      </c>
      <c r="CM110" s="8">
        <f t="shared" si="84"/>
        <v>0</v>
      </c>
      <c r="CN110" s="8">
        <f t="shared" si="85"/>
        <v>0</v>
      </c>
      <c r="CO110" s="8">
        <f t="shared" si="86"/>
        <v>0</v>
      </c>
      <c r="CP110" s="8">
        <f t="shared" si="87"/>
        <v>0</v>
      </c>
      <c r="CQ110" s="8">
        <f t="shared" si="88"/>
        <v>0</v>
      </c>
      <c r="CR110" s="8">
        <f t="shared" si="89"/>
        <v>0</v>
      </c>
      <c r="CS110" s="8">
        <f t="shared" si="90"/>
        <v>0</v>
      </c>
      <c r="CT110" s="8">
        <f t="shared" si="95"/>
        <v>0</v>
      </c>
      <c r="CU110" s="8">
        <f t="shared" si="96"/>
        <v>0</v>
      </c>
      <c r="CV110" s="8">
        <f t="shared" si="97"/>
        <v>0</v>
      </c>
      <c r="CW110" s="100" t="s">
        <v>505</v>
      </c>
      <c r="CX110" s="100">
        <f>SUM(DA68:DB70)</f>
        <v>0</v>
      </c>
      <c r="CY110" s="100" t="s">
        <v>94</v>
      </c>
      <c r="CZ110" s="101" t="s">
        <v>510</v>
      </c>
      <c r="DA110" s="100">
        <v>3179</v>
      </c>
    </row>
    <row r="111" spans="1:105" ht="25.25" customHeight="1" thickTop="1" thickBot="1" x14ac:dyDescent="0.5">
      <c r="A111" s="32"/>
      <c r="B111" s="10"/>
      <c r="C111" s="10"/>
      <c r="D111" s="11"/>
      <c r="E111" s="10"/>
      <c r="F111" s="10"/>
      <c r="G111" s="19"/>
      <c r="H111" s="19"/>
      <c r="I111" s="19"/>
      <c r="J111" s="19"/>
      <c r="K111" s="10"/>
      <c r="L111" s="10"/>
      <c r="M111" s="10"/>
      <c r="N111" s="10"/>
      <c r="O111" s="18"/>
      <c r="P111" s="18"/>
      <c r="Q111" s="21"/>
      <c r="R111" s="20"/>
      <c r="S111" s="16">
        <f t="shared" si="53"/>
        <v>0</v>
      </c>
      <c r="T111" s="11"/>
      <c r="AR111" s="31"/>
      <c r="AS111" s="31">
        <f t="shared" si="54"/>
        <v>0</v>
      </c>
      <c r="AT111" s="31">
        <f t="shared" si="55"/>
        <v>0</v>
      </c>
      <c r="AU111" s="31">
        <f t="shared" si="56"/>
        <v>0</v>
      </c>
      <c r="AV111" s="31">
        <f t="shared" si="57"/>
        <v>0</v>
      </c>
      <c r="AW111" s="31">
        <f t="shared" si="58"/>
        <v>0</v>
      </c>
      <c r="AX111" s="31">
        <f t="shared" si="59"/>
        <v>0</v>
      </c>
      <c r="AY111" s="31">
        <f t="shared" si="60"/>
        <v>0</v>
      </c>
      <c r="AZ111" s="31">
        <f t="shared" si="61"/>
        <v>0</v>
      </c>
      <c r="BA111" s="31">
        <f t="shared" si="62"/>
        <v>0</v>
      </c>
      <c r="BB111" s="31">
        <f t="shared" si="91"/>
        <v>0</v>
      </c>
      <c r="BC111" s="31"/>
      <c r="BD111" s="31"/>
      <c r="BM111" s="8">
        <f t="shared" si="92"/>
        <v>0</v>
      </c>
      <c r="BN111" s="8">
        <f t="shared" si="63"/>
        <v>0</v>
      </c>
      <c r="BO111" s="8">
        <f t="shared" si="64"/>
        <v>0</v>
      </c>
      <c r="BQ111" s="8">
        <f t="shared" si="65"/>
        <v>0</v>
      </c>
      <c r="BR111" s="63">
        <f t="shared" si="66"/>
        <v>0</v>
      </c>
      <c r="BS111" s="63">
        <f t="shared" si="93"/>
        <v>0</v>
      </c>
      <c r="BT111" s="63">
        <f t="shared" si="67"/>
        <v>0</v>
      </c>
      <c r="BU111" s="63">
        <f t="shared" si="68"/>
        <v>0</v>
      </c>
      <c r="BV111" s="57">
        <f t="shared" si="69"/>
        <v>0</v>
      </c>
      <c r="BW111" s="57">
        <f t="shared" si="70"/>
        <v>0</v>
      </c>
      <c r="BX111" s="57">
        <f t="shared" si="94"/>
        <v>0</v>
      </c>
      <c r="BY111" s="57">
        <f t="shared" si="98"/>
        <v>0</v>
      </c>
      <c r="BZ111" s="8">
        <f t="shared" si="71"/>
        <v>0</v>
      </c>
      <c r="CA111" s="8">
        <f t="shared" si="72"/>
        <v>0</v>
      </c>
      <c r="CB111" s="8">
        <f t="shared" si="73"/>
        <v>0</v>
      </c>
      <c r="CC111" s="8">
        <f t="shared" si="74"/>
        <v>0</v>
      </c>
      <c r="CD111" s="8">
        <f t="shared" si="75"/>
        <v>0</v>
      </c>
      <c r="CE111" s="8">
        <f t="shared" si="76"/>
        <v>0</v>
      </c>
      <c r="CF111" s="8">
        <f t="shared" si="77"/>
        <v>0</v>
      </c>
      <c r="CG111" s="8">
        <f t="shared" si="78"/>
        <v>0</v>
      </c>
      <c r="CH111" s="8">
        <f t="shared" si="79"/>
        <v>0</v>
      </c>
      <c r="CI111" s="8">
        <f t="shared" si="80"/>
        <v>0</v>
      </c>
      <c r="CJ111" s="8">
        <f t="shared" si="81"/>
        <v>0</v>
      </c>
      <c r="CK111" s="8">
        <f t="shared" si="82"/>
        <v>0</v>
      </c>
      <c r="CL111" s="8">
        <f t="shared" si="83"/>
        <v>0</v>
      </c>
      <c r="CM111" s="8">
        <f t="shared" si="84"/>
        <v>0</v>
      </c>
      <c r="CN111" s="8">
        <f t="shared" si="85"/>
        <v>0</v>
      </c>
      <c r="CO111" s="8">
        <f t="shared" si="86"/>
        <v>0</v>
      </c>
      <c r="CP111" s="8">
        <f t="shared" si="87"/>
        <v>0</v>
      </c>
      <c r="CQ111" s="8">
        <f t="shared" si="88"/>
        <v>0</v>
      </c>
      <c r="CR111" s="8">
        <f t="shared" si="89"/>
        <v>0</v>
      </c>
      <c r="CS111" s="8">
        <f t="shared" si="90"/>
        <v>0</v>
      </c>
      <c r="CT111" s="8">
        <f t="shared" si="95"/>
        <v>0</v>
      </c>
      <c r="CU111" s="8">
        <f t="shared" si="96"/>
        <v>0</v>
      </c>
      <c r="CV111" s="8">
        <f t="shared" si="97"/>
        <v>0</v>
      </c>
      <c r="CW111" s="100" t="s">
        <v>421</v>
      </c>
      <c r="CX111" s="100">
        <f>SUM(DA54:DB58)</f>
        <v>0</v>
      </c>
      <c r="CY111" s="100" t="s">
        <v>94</v>
      </c>
      <c r="CZ111" s="101" t="s">
        <v>420</v>
      </c>
      <c r="DA111" s="100">
        <v>610</v>
      </c>
    </row>
    <row r="112" spans="1:105" ht="25.25" customHeight="1" thickTop="1" thickBot="1" x14ac:dyDescent="0.5">
      <c r="A112" s="32"/>
      <c r="B112" s="10"/>
      <c r="C112" s="10"/>
      <c r="D112" s="11"/>
      <c r="E112" s="10"/>
      <c r="F112" s="10"/>
      <c r="G112" s="19"/>
      <c r="H112" s="19"/>
      <c r="I112" s="19"/>
      <c r="J112" s="19"/>
      <c r="K112" s="10"/>
      <c r="L112" s="10"/>
      <c r="M112" s="10"/>
      <c r="N112" s="10"/>
      <c r="O112" s="18"/>
      <c r="P112" s="18"/>
      <c r="Q112" s="21"/>
      <c r="R112" s="20"/>
      <c r="S112" s="16">
        <f t="shared" si="53"/>
        <v>0</v>
      </c>
      <c r="T112" s="11"/>
      <c r="AR112" s="31"/>
      <c r="AS112" s="31">
        <f t="shared" si="54"/>
        <v>0</v>
      </c>
      <c r="AT112" s="31">
        <f t="shared" si="55"/>
        <v>0</v>
      </c>
      <c r="AU112" s="31">
        <f t="shared" si="56"/>
        <v>0</v>
      </c>
      <c r="AV112" s="31">
        <f t="shared" si="57"/>
        <v>0</v>
      </c>
      <c r="AW112" s="31">
        <f t="shared" si="58"/>
        <v>0</v>
      </c>
      <c r="AX112" s="31">
        <f t="shared" si="59"/>
        <v>0</v>
      </c>
      <c r="AY112" s="31">
        <f t="shared" si="60"/>
        <v>0</v>
      </c>
      <c r="AZ112" s="31">
        <f t="shared" si="61"/>
        <v>0</v>
      </c>
      <c r="BA112" s="31">
        <f t="shared" si="62"/>
        <v>0</v>
      </c>
      <c r="BB112" s="31">
        <f t="shared" si="91"/>
        <v>0</v>
      </c>
      <c r="BC112" s="31"/>
      <c r="BD112" s="31"/>
      <c r="BM112" s="8">
        <f t="shared" si="92"/>
        <v>0</v>
      </c>
      <c r="BN112" s="8">
        <f t="shared" si="63"/>
        <v>0</v>
      </c>
      <c r="BO112" s="8">
        <f t="shared" si="64"/>
        <v>0</v>
      </c>
      <c r="BQ112" s="8">
        <f t="shared" si="65"/>
        <v>0</v>
      </c>
      <c r="BR112" s="63">
        <f t="shared" si="66"/>
        <v>0</v>
      </c>
      <c r="BS112" s="63">
        <f t="shared" si="93"/>
        <v>0</v>
      </c>
      <c r="BT112" s="63">
        <f t="shared" si="67"/>
        <v>0</v>
      </c>
      <c r="BU112" s="63">
        <f t="shared" si="68"/>
        <v>0</v>
      </c>
      <c r="BV112" s="57">
        <f t="shared" si="69"/>
        <v>0</v>
      </c>
      <c r="BW112" s="57">
        <f t="shared" si="70"/>
        <v>0</v>
      </c>
      <c r="BX112" s="57">
        <f t="shared" si="94"/>
        <v>0</v>
      </c>
      <c r="BY112" s="57">
        <f t="shared" si="98"/>
        <v>0</v>
      </c>
      <c r="BZ112" s="8">
        <f t="shared" si="71"/>
        <v>0</v>
      </c>
      <c r="CA112" s="8">
        <f t="shared" si="72"/>
        <v>0</v>
      </c>
      <c r="CB112" s="8">
        <f t="shared" si="73"/>
        <v>0</v>
      </c>
      <c r="CC112" s="8">
        <f t="shared" si="74"/>
        <v>0</v>
      </c>
      <c r="CD112" s="8">
        <f t="shared" si="75"/>
        <v>0</v>
      </c>
      <c r="CE112" s="8">
        <f t="shared" si="76"/>
        <v>0</v>
      </c>
      <c r="CF112" s="8">
        <f t="shared" si="77"/>
        <v>0</v>
      </c>
      <c r="CG112" s="8">
        <f t="shared" si="78"/>
        <v>0</v>
      </c>
      <c r="CH112" s="8">
        <f t="shared" si="79"/>
        <v>0</v>
      </c>
      <c r="CI112" s="8">
        <f t="shared" si="80"/>
        <v>0</v>
      </c>
      <c r="CJ112" s="8">
        <f t="shared" si="81"/>
        <v>0</v>
      </c>
      <c r="CK112" s="8">
        <f t="shared" si="82"/>
        <v>0</v>
      </c>
      <c r="CL112" s="8">
        <f t="shared" si="83"/>
        <v>0</v>
      </c>
      <c r="CM112" s="8">
        <f t="shared" si="84"/>
        <v>0</v>
      </c>
      <c r="CN112" s="8">
        <f t="shared" si="85"/>
        <v>0</v>
      </c>
      <c r="CO112" s="8">
        <f t="shared" si="86"/>
        <v>0</v>
      </c>
      <c r="CP112" s="8">
        <f t="shared" si="87"/>
        <v>0</v>
      </c>
      <c r="CQ112" s="8">
        <f t="shared" si="88"/>
        <v>0</v>
      </c>
      <c r="CR112" s="8">
        <f t="shared" si="89"/>
        <v>0</v>
      </c>
      <c r="CS112" s="8">
        <f t="shared" si="90"/>
        <v>0</v>
      </c>
      <c r="CT112" s="8">
        <f t="shared" si="95"/>
        <v>0</v>
      </c>
      <c r="CU112" s="8">
        <f t="shared" si="96"/>
        <v>0</v>
      </c>
      <c r="CV112" s="8">
        <f t="shared" si="97"/>
        <v>0</v>
      </c>
      <c r="CW112" s="100" t="s">
        <v>405</v>
      </c>
      <c r="CX112" s="100">
        <f>CX109</f>
        <v>0</v>
      </c>
      <c r="CY112" s="100" t="s">
        <v>94</v>
      </c>
      <c r="CZ112" s="101" t="s">
        <v>403</v>
      </c>
      <c r="DA112" s="100">
        <v>1565</v>
      </c>
    </row>
    <row r="113" spans="1:105" ht="25.25" customHeight="1" thickTop="1" thickBot="1" x14ac:dyDescent="0.5">
      <c r="A113" s="32"/>
      <c r="B113" s="10"/>
      <c r="C113" s="10"/>
      <c r="D113" s="11"/>
      <c r="E113" s="10"/>
      <c r="F113" s="10"/>
      <c r="G113" s="19"/>
      <c r="H113" s="19"/>
      <c r="I113" s="19"/>
      <c r="J113" s="19"/>
      <c r="K113" s="10"/>
      <c r="L113" s="10"/>
      <c r="M113" s="10"/>
      <c r="N113" s="10"/>
      <c r="O113" s="18"/>
      <c r="P113" s="18"/>
      <c r="Q113" s="21"/>
      <c r="R113" s="20"/>
      <c r="S113" s="16">
        <f t="shared" si="53"/>
        <v>0</v>
      </c>
      <c r="T113" s="11"/>
      <c r="AR113" s="31"/>
      <c r="AS113" s="31">
        <f t="shared" si="54"/>
        <v>0</v>
      </c>
      <c r="AT113" s="31">
        <f t="shared" si="55"/>
        <v>0</v>
      </c>
      <c r="AU113" s="31">
        <f t="shared" si="56"/>
        <v>0</v>
      </c>
      <c r="AV113" s="31">
        <f t="shared" si="57"/>
        <v>0</v>
      </c>
      <c r="AW113" s="31">
        <f t="shared" si="58"/>
        <v>0</v>
      </c>
      <c r="AX113" s="31">
        <f t="shared" si="59"/>
        <v>0</v>
      </c>
      <c r="AY113" s="31">
        <f t="shared" si="60"/>
        <v>0</v>
      </c>
      <c r="AZ113" s="31">
        <f t="shared" si="61"/>
        <v>0</v>
      </c>
      <c r="BA113" s="31">
        <f t="shared" si="62"/>
        <v>0</v>
      </c>
      <c r="BB113" s="31">
        <f t="shared" si="91"/>
        <v>0</v>
      </c>
      <c r="BC113" s="31"/>
      <c r="BD113" s="31"/>
      <c r="BM113" s="8">
        <f t="shared" si="92"/>
        <v>0</v>
      </c>
      <c r="BN113" s="8">
        <f t="shared" si="63"/>
        <v>0</v>
      </c>
      <c r="BO113" s="8">
        <f t="shared" si="64"/>
        <v>0</v>
      </c>
      <c r="BQ113" s="8">
        <f t="shared" si="65"/>
        <v>0</v>
      </c>
      <c r="BR113" s="63">
        <f t="shared" si="66"/>
        <v>0</v>
      </c>
      <c r="BS113" s="63">
        <f t="shared" si="93"/>
        <v>0</v>
      </c>
      <c r="BT113" s="63">
        <f t="shared" si="67"/>
        <v>0</v>
      </c>
      <c r="BU113" s="63">
        <f t="shared" si="68"/>
        <v>0</v>
      </c>
      <c r="BV113" s="57">
        <f t="shared" si="69"/>
        <v>0</v>
      </c>
      <c r="BW113" s="57">
        <f t="shared" si="70"/>
        <v>0</v>
      </c>
      <c r="BX113" s="57">
        <f t="shared" si="94"/>
        <v>0</v>
      </c>
      <c r="BY113" s="57">
        <f t="shared" si="98"/>
        <v>0</v>
      </c>
      <c r="BZ113" s="8">
        <f t="shared" si="71"/>
        <v>0</v>
      </c>
      <c r="CA113" s="8">
        <f t="shared" si="72"/>
        <v>0</v>
      </c>
      <c r="CB113" s="8">
        <f t="shared" si="73"/>
        <v>0</v>
      </c>
      <c r="CC113" s="8">
        <f t="shared" si="74"/>
        <v>0</v>
      </c>
      <c r="CD113" s="8">
        <f t="shared" si="75"/>
        <v>0</v>
      </c>
      <c r="CE113" s="8">
        <f t="shared" si="76"/>
        <v>0</v>
      </c>
      <c r="CF113" s="8">
        <f t="shared" si="77"/>
        <v>0</v>
      </c>
      <c r="CG113" s="8">
        <f t="shared" si="78"/>
        <v>0</v>
      </c>
      <c r="CH113" s="8">
        <f t="shared" si="79"/>
        <v>0</v>
      </c>
      <c r="CI113" s="8">
        <f t="shared" si="80"/>
        <v>0</v>
      </c>
      <c r="CJ113" s="8">
        <f t="shared" si="81"/>
        <v>0</v>
      </c>
      <c r="CK113" s="8">
        <f t="shared" si="82"/>
        <v>0</v>
      </c>
      <c r="CL113" s="8">
        <f t="shared" si="83"/>
        <v>0</v>
      </c>
      <c r="CM113" s="8">
        <f t="shared" si="84"/>
        <v>0</v>
      </c>
      <c r="CN113" s="8">
        <f t="shared" si="85"/>
        <v>0</v>
      </c>
      <c r="CO113" s="8">
        <f t="shared" si="86"/>
        <v>0</v>
      </c>
      <c r="CP113" s="8">
        <f t="shared" si="87"/>
        <v>0</v>
      </c>
      <c r="CQ113" s="8">
        <f t="shared" si="88"/>
        <v>0</v>
      </c>
      <c r="CR113" s="8">
        <f t="shared" si="89"/>
        <v>0</v>
      </c>
      <c r="CS113" s="8">
        <f t="shared" si="90"/>
        <v>0</v>
      </c>
      <c r="CT113" s="8">
        <f t="shared" si="95"/>
        <v>0</v>
      </c>
      <c r="CU113" s="8">
        <f t="shared" si="96"/>
        <v>0</v>
      </c>
      <c r="CV113" s="8">
        <f t="shared" si="97"/>
        <v>0</v>
      </c>
      <c r="CW113" s="100" t="s">
        <v>406</v>
      </c>
      <c r="CX113" s="100">
        <f>CX110</f>
        <v>0</v>
      </c>
      <c r="CY113" s="100" t="s">
        <v>94</v>
      </c>
      <c r="CZ113" s="101" t="s">
        <v>404</v>
      </c>
      <c r="DA113" s="100">
        <v>1793</v>
      </c>
    </row>
    <row r="114" spans="1:105" ht="25.25" customHeight="1" thickTop="1" thickBot="1" x14ac:dyDescent="0.5">
      <c r="A114" s="32"/>
      <c r="B114" s="10"/>
      <c r="C114" s="10"/>
      <c r="D114" s="11"/>
      <c r="E114" s="10"/>
      <c r="F114" s="10"/>
      <c r="G114" s="19"/>
      <c r="H114" s="19"/>
      <c r="I114" s="19"/>
      <c r="J114" s="19"/>
      <c r="K114" s="10"/>
      <c r="L114" s="10"/>
      <c r="M114" s="10"/>
      <c r="N114" s="10"/>
      <c r="O114" s="18"/>
      <c r="P114" s="18"/>
      <c r="Q114" s="21"/>
      <c r="R114" s="20"/>
      <c r="S114" s="16">
        <f t="shared" si="53"/>
        <v>0</v>
      </c>
      <c r="T114" s="11"/>
      <c r="AR114" s="31"/>
      <c r="AS114" s="31">
        <f t="shared" si="54"/>
        <v>0</v>
      </c>
      <c r="AT114" s="31">
        <f t="shared" si="55"/>
        <v>0</v>
      </c>
      <c r="AU114" s="31">
        <f t="shared" si="56"/>
        <v>0</v>
      </c>
      <c r="AV114" s="31">
        <f t="shared" si="57"/>
        <v>0</v>
      </c>
      <c r="AW114" s="31">
        <f t="shared" si="58"/>
        <v>0</v>
      </c>
      <c r="AX114" s="31">
        <f t="shared" si="59"/>
        <v>0</v>
      </c>
      <c r="AY114" s="31">
        <f t="shared" si="60"/>
        <v>0</v>
      </c>
      <c r="AZ114" s="31">
        <f t="shared" si="61"/>
        <v>0</v>
      </c>
      <c r="BA114" s="31">
        <f t="shared" si="62"/>
        <v>0</v>
      </c>
      <c r="BB114" s="31">
        <f t="shared" si="91"/>
        <v>0</v>
      </c>
      <c r="BC114" s="31"/>
      <c r="BD114" s="31"/>
      <c r="BM114" s="8">
        <f t="shared" si="92"/>
        <v>0</v>
      </c>
      <c r="BN114" s="8">
        <f t="shared" si="63"/>
        <v>0</v>
      </c>
      <c r="BO114" s="8">
        <f t="shared" si="64"/>
        <v>0</v>
      </c>
      <c r="BQ114" s="8">
        <f t="shared" si="65"/>
        <v>0</v>
      </c>
      <c r="BR114" s="63">
        <f t="shared" si="66"/>
        <v>0</v>
      </c>
      <c r="BS114" s="63">
        <f t="shared" si="93"/>
        <v>0</v>
      </c>
      <c r="BT114" s="63">
        <f t="shared" si="67"/>
        <v>0</v>
      </c>
      <c r="BU114" s="63">
        <f t="shared" si="68"/>
        <v>0</v>
      </c>
      <c r="BV114" s="57">
        <f t="shared" si="69"/>
        <v>0</v>
      </c>
      <c r="BW114" s="57">
        <f t="shared" si="70"/>
        <v>0</v>
      </c>
      <c r="BX114" s="57">
        <f t="shared" si="94"/>
        <v>0</v>
      </c>
      <c r="BY114" s="57">
        <f t="shared" si="98"/>
        <v>0</v>
      </c>
      <c r="BZ114" s="8">
        <f t="shared" si="71"/>
        <v>0</v>
      </c>
      <c r="CA114" s="8">
        <f t="shared" si="72"/>
        <v>0</v>
      </c>
      <c r="CB114" s="8">
        <f t="shared" si="73"/>
        <v>0</v>
      </c>
      <c r="CC114" s="8">
        <f t="shared" si="74"/>
        <v>0</v>
      </c>
      <c r="CD114" s="8">
        <f t="shared" si="75"/>
        <v>0</v>
      </c>
      <c r="CE114" s="8">
        <f t="shared" si="76"/>
        <v>0</v>
      </c>
      <c r="CF114" s="8">
        <f t="shared" si="77"/>
        <v>0</v>
      </c>
      <c r="CG114" s="8">
        <f t="shared" si="78"/>
        <v>0</v>
      </c>
      <c r="CH114" s="8">
        <f t="shared" si="79"/>
        <v>0</v>
      </c>
      <c r="CI114" s="8">
        <f t="shared" si="80"/>
        <v>0</v>
      </c>
      <c r="CJ114" s="8">
        <f t="shared" si="81"/>
        <v>0</v>
      </c>
      <c r="CK114" s="8">
        <f t="shared" si="82"/>
        <v>0</v>
      </c>
      <c r="CL114" s="8">
        <f t="shared" si="83"/>
        <v>0</v>
      </c>
      <c r="CM114" s="8">
        <f t="shared" si="84"/>
        <v>0</v>
      </c>
      <c r="CN114" s="8">
        <f t="shared" si="85"/>
        <v>0</v>
      </c>
      <c r="CO114" s="8">
        <f t="shared" si="86"/>
        <v>0</v>
      </c>
      <c r="CP114" s="8">
        <f t="shared" si="87"/>
        <v>0</v>
      </c>
      <c r="CQ114" s="8">
        <f t="shared" si="88"/>
        <v>0</v>
      </c>
      <c r="CR114" s="8">
        <f t="shared" si="89"/>
        <v>0</v>
      </c>
      <c r="CS114" s="8">
        <f t="shared" si="90"/>
        <v>0</v>
      </c>
      <c r="CT114" s="8">
        <f t="shared" si="95"/>
        <v>0</v>
      </c>
      <c r="CU114" s="8">
        <f t="shared" si="96"/>
        <v>0</v>
      </c>
      <c r="CV114" s="8">
        <f t="shared" si="97"/>
        <v>0</v>
      </c>
      <c r="CW114" s="100" t="s">
        <v>423</v>
      </c>
      <c r="CX114" s="100">
        <f>SUM('Equipment Selection'!E3:E5)</f>
        <v>0</v>
      </c>
      <c r="CY114" s="100" t="s">
        <v>94</v>
      </c>
      <c r="CZ114" s="101" t="s">
        <v>422</v>
      </c>
      <c r="DA114" s="100">
        <v>707</v>
      </c>
    </row>
    <row r="115" spans="1:105" ht="25.25" customHeight="1" thickTop="1" thickBot="1" x14ac:dyDescent="0.5">
      <c r="A115" s="32"/>
      <c r="B115" s="10"/>
      <c r="C115" s="10"/>
      <c r="D115" s="11"/>
      <c r="E115" s="10"/>
      <c r="F115" s="10"/>
      <c r="G115" s="19"/>
      <c r="H115" s="19"/>
      <c r="I115" s="19"/>
      <c r="J115" s="19"/>
      <c r="K115" s="10"/>
      <c r="L115" s="10"/>
      <c r="M115" s="10"/>
      <c r="N115" s="10"/>
      <c r="O115" s="18"/>
      <c r="P115" s="18"/>
      <c r="Q115" s="21"/>
      <c r="R115" s="20"/>
      <c r="S115" s="16">
        <f t="shared" si="53"/>
        <v>0</v>
      </c>
      <c r="T115" s="11"/>
      <c r="AR115" s="31"/>
      <c r="AS115" s="31">
        <f t="shared" si="54"/>
        <v>0</v>
      </c>
      <c r="AT115" s="31">
        <f t="shared" si="55"/>
        <v>0</v>
      </c>
      <c r="AU115" s="31">
        <f t="shared" si="56"/>
        <v>0</v>
      </c>
      <c r="AV115" s="31">
        <f t="shared" si="57"/>
        <v>0</v>
      </c>
      <c r="AW115" s="31">
        <f t="shared" si="58"/>
        <v>0</v>
      </c>
      <c r="AX115" s="31">
        <f t="shared" si="59"/>
        <v>0</v>
      </c>
      <c r="AY115" s="31">
        <f t="shared" si="60"/>
        <v>0</v>
      </c>
      <c r="AZ115" s="31">
        <f t="shared" si="61"/>
        <v>0</v>
      </c>
      <c r="BA115" s="31">
        <f t="shared" si="62"/>
        <v>0</v>
      </c>
      <c r="BB115" s="31">
        <f t="shared" si="91"/>
        <v>0</v>
      </c>
      <c r="BC115" s="31"/>
      <c r="BD115" s="31"/>
      <c r="BM115" s="8">
        <f t="shared" si="92"/>
        <v>0</v>
      </c>
      <c r="BN115" s="8">
        <f t="shared" si="63"/>
        <v>0</v>
      </c>
      <c r="BO115" s="8">
        <f t="shared" si="64"/>
        <v>0</v>
      </c>
      <c r="BQ115" s="8">
        <f t="shared" si="65"/>
        <v>0</v>
      </c>
      <c r="BR115" s="63">
        <f t="shared" si="66"/>
        <v>0</v>
      </c>
      <c r="BS115" s="63">
        <f t="shared" si="93"/>
        <v>0</v>
      </c>
      <c r="BT115" s="63">
        <f t="shared" si="67"/>
        <v>0</v>
      </c>
      <c r="BU115" s="63">
        <f t="shared" si="68"/>
        <v>0</v>
      </c>
      <c r="BV115" s="57">
        <f t="shared" si="69"/>
        <v>0</v>
      </c>
      <c r="BW115" s="57">
        <f t="shared" si="70"/>
        <v>0</v>
      </c>
      <c r="BX115" s="57">
        <f t="shared" si="94"/>
        <v>0</v>
      </c>
      <c r="BY115" s="57">
        <f t="shared" si="98"/>
        <v>0</v>
      </c>
      <c r="BZ115" s="8">
        <f t="shared" si="71"/>
        <v>0</v>
      </c>
      <c r="CA115" s="8">
        <f t="shared" si="72"/>
        <v>0</v>
      </c>
      <c r="CB115" s="8">
        <f t="shared" si="73"/>
        <v>0</v>
      </c>
      <c r="CC115" s="8">
        <f t="shared" si="74"/>
        <v>0</v>
      </c>
      <c r="CD115" s="8">
        <f t="shared" si="75"/>
        <v>0</v>
      </c>
      <c r="CE115" s="8">
        <f t="shared" si="76"/>
        <v>0</v>
      </c>
      <c r="CF115" s="8">
        <f t="shared" si="77"/>
        <v>0</v>
      </c>
      <c r="CG115" s="8">
        <f t="shared" si="78"/>
        <v>0</v>
      </c>
      <c r="CH115" s="8">
        <f t="shared" si="79"/>
        <v>0</v>
      </c>
      <c r="CI115" s="8">
        <f t="shared" si="80"/>
        <v>0</v>
      </c>
      <c r="CJ115" s="8">
        <f t="shared" si="81"/>
        <v>0</v>
      </c>
      <c r="CK115" s="8">
        <f t="shared" si="82"/>
        <v>0</v>
      </c>
      <c r="CL115" s="8">
        <f t="shared" si="83"/>
        <v>0</v>
      </c>
      <c r="CM115" s="8">
        <f t="shared" si="84"/>
        <v>0</v>
      </c>
      <c r="CN115" s="8">
        <f t="shared" si="85"/>
        <v>0</v>
      </c>
      <c r="CO115" s="8">
        <f t="shared" si="86"/>
        <v>0</v>
      </c>
      <c r="CP115" s="8">
        <f t="shared" si="87"/>
        <v>0</v>
      </c>
      <c r="CQ115" s="8">
        <f t="shared" si="88"/>
        <v>0</v>
      </c>
      <c r="CR115" s="8">
        <f t="shared" si="89"/>
        <v>0</v>
      </c>
      <c r="CS115" s="8">
        <f t="shared" si="90"/>
        <v>0</v>
      </c>
      <c r="CT115" s="8">
        <f t="shared" si="95"/>
        <v>0</v>
      </c>
      <c r="CU115" s="8">
        <f t="shared" si="96"/>
        <v>0</v>
      </c>
      <c r="CV115" s="8">
        <f t="shared" si="97"/>
        <v>0</v>
      </c>
      <c r="CW115" s="100" t="s">
        <v>425</v>
      </c>
      <c r="CX115" s="100">
        <f>SUMIFS('Equipment Selection'!E8:E10,'Equipment Selection'!B8:B10,"500 KVA",'Equipment Selection'!B8:B10,"1000 KVA")</f>
        <v>0</v>
      </c>
      <c r="CY115" s="100" t="s">
        <v>94</v>
      </c>
      <c r="CZ115" s="101" t="s">
        <v>424</v>
      </c>
      <c r="DA115" s="100">
        <v>1783</v>
      </c>
    </row>
    <row r="116" spans="1:105" ht="25.25" customHeight="1" thickTop="1" thickBot="1" x14ac:dyDescent="0.5">
      <c r="A116" s="32"/>
      <c r="B116" s="10"/>
      <c r="C116" s="10"/>
      <c r="D116" s="11"/>
      <c r="E116" s="10"/>
      <c r="F116" s="10"/>
      <c r="G116" s="19"/>
      <c r="H116" s="19"/>
      <c r="I116" s="19"/>
      <c r="J116" s="19"/>
      <c r="K116" s="10"/>
      <c r="L116" s="10"/>
      <c r="M116" s="10"/>
      <c r="N116" s="10"/>
      <c r="O116" s="18"/>
      <c r="P116" s="18"/>
      <c r="Q116" s="21"/>
      <c r="R116" s="20"/>
      <c r="S116" s="16">
        <f t="shared" si="53"/>
        <v>0</v>
      </c>
      <c r="T116" s="11"/>
      <c r="AR116" s="31"/>
      <c r="AS116" s="31">
        <f t="shared" si="54"/>
        <v>0</v>
      </c>
      <c r="AT116" s="31">
        <f t="shared" si="55"/>
        <v>0</v>
      </c>
      <c r="AU116" s="31">
        <f t="shared" si="56"/>
        <v>0</v>
      </c>
      <c r="AV116" s="31">
        <f t="shared" si="57"/>
        <v>0</v>
      </c>
      <c r="AW116" s="31">
        <f t="shared" si="58"/>
        <v>0</v>
      </c>
      <c r="AX116" s="31">
        <f t="shared" si="59"/>
        <v>0</v>
      </c>
      <c r="AY116" s="31">
        <f t="shared" si="60"/>
        <v>0</v>
      </c>
      <c r="AZ116" s="31">
        <f t="shared" si="61"/>
        <v>0</v>
      </c>
      <c r="BA116" s="31">
        <f t="shared" si="62"/>
        <v>0</v>
      </c>
      <c r="BB116" s="31">
        <f t="shared" si="91"/>
        <v>0</v>
      </c>
      <c r="BC116" s="31"/>
      <c r="BD116" s="31"/>
      <c r="BM116" s="8">
        <f t="shared" si="92"/>
        <v>0</v>
      </c>
      <c r="BN116" s="8">
        <f t="shared" si="63"/>
        <v>0</v>
      </c>
      <c r="BO116" s="8">
        <f t="shared" si="64"/>
        <v>0</v>
      </c>
      <c r="BQ116" s="8">
        <f t="shared" si="65"/>
        <v>0</v>
      </c>
      <c r="BR116" s="63">
        <f t="shared" si="66"/>
        <v>0</v>
      </c>
      <c r="BS116" s="63">
        <f t="shared" si="93"/>
        <v>0</v>
      </c>
      <c r="BT116" s="63">
        <f t="shared" si="67"/>
        <v>0</v>
      </c>
      <c r="BU116" s="63">
        <f t="shared" si="68"/>
        <v>0</v>
      </c>
      <c r="BV116" s="57">
        <f t="shared" si="69"/>
        <v>0</v>
      </c>
      <c r="BW116" s="57">
        <f t="shared" si="70"/>
        <v>0</v>
      </c>
      <c r="BX116" s="57">
        <f t="shared" si="94"/>
        <v>0</v>
      </c>
      <c r="BY116" s="57">
        <f t="shared" si="98"/>
        <v>0</v>
      </c>
      <c r="BZ116" s="8">
        <f t="shared" si="71"/>
        <v>0</v>
      </c>
      <c r="CA116" s="8">
        <f t="shared" si="72"/>
        <v>0</v>
      </c>
      <c r="CB116" s="8">
        <f t="shared" si="73"/>
        <v>0</v>
      </c>
      <c r="CC116" s="8">
        <f t="shared" si="74"/>
        <v>0</v>
      </c>
      <c r="CD116" s="8">
        <f t="shared" si="75"/>
        <v>0</v>
      </c>
      <c r="CE116" s="8">
        <f t="shared" si="76"/>
        <v>0</v>
      </c>
      <c r="CF116" s="8">
        <f t="shared" si="77"/>
        <v>0</v>
      </c>
      <c r="CG116" s="8">
        <f t="shared" si="78"/>
        <v>0</v>
      </c>
      <c r="CH116" s="8">
        <f t="shared" si="79"/>
        <v>0</v>
      </c>
      <c r="CI116" s="8">
        <f t="shared" si="80"/>
        <v>0</v>
      </c>
      <c r="CJ116" s="8">
        <f t="shared" si="81"/>
        <v>0</v>
      </c>
      <c r="CK116" s="8">
        <f t="shared" si="82"/>
        <v>0</v>
      </c>
      <c r="CL116" s="8">
        <f t="shared" si="83"/>
        <v>0</v>
      </c>
      <c r="CM116" s="8">
        <f t="shared" si="84"/>
        <v>0</v>
      </c>
      <c r="CN116" s="8">
        <f t="shared" si="85"/>
        <v>0</v>
      </c>
      <c r="CO116" s="8">
        <f t="shared" si="86"/>
        <v>0</v>
      </c>
      <c r="CP116" s="8">
        <f t="shared" si="87"/>
        <v>0</v>
      </c>
      <c r="CQ116" s="8">
        <f t="shared" si="88"/>
        <v>0</v>
      </c>
      <c r="CR116" s="8">
        <f t="shared" si="89"/>
        <v>0</v>
      </c>
      <c r="CS116" s="8">
        <f t="shared" si="90"/>
        <v>0</v>
      </c>
      <c r="CT116" s="8">
        <f t="shared" si="95"/>
        <v>0</v>
      </c>
      <c r="CU116" s="8">
        <f t="shared" si="96"/>
        <v>0</v>
      </c>
      <c r="CV116" s="8">
        <f t="shared" si="97"/>
        <v>0</v>
      </c>
      <c r="CW116" s="100" t="s">
        <v>427</v>
      </c>
      <c r="CX116" s="100">
        <f>SUMIFS('Equipment Selection'!E8:E10,'Equipment Selection'!B8:B10,"1500 KVA")</f>
        <v>0</v>
      </c>
      <c r="CY116" s="100" t="s">
        <v>94</v>
      </c>
      <c r="CZ116" s="101" t="s">
        <v>426</v>
      </c>
      <c r="DA116" s="100">
        <v>2613</v>
      </c>
    </row>
    <row r="117" spans="1:105" ht="25.25" customHeight="1" thickTop="1" thickBot="1" x14ac:dyDescent="0.5">
      <c r="A117" s="32"/>
      <c r="B117" s="10"/>
      <c r="C117" s="10"/>
      <c r="D117" s="11"/>
      <c r="E117" s="10"/>
      <c r="F117" s="10"/>
      <c r="G117" s="19"/>
      <c r="H117" s="19"/>
      <c r="I117" s="19"/>
      <c r="J117" s="19"/>
      <c r="K117" s="10"/>
      <c r="L117" s="10"/>
      <c r="M117" s="10"/>
      <c r="N117" s="10"/>
      <c r="O117" s="18"/>
      <c r="P117" s="18"/>
      <c r="Q117" s="21"/>
      <c r="R117" s="20"/>
      <c r="S117" s="16">
        <f t="shared" si="53"/>
        <v>0</v>
      </c>
      <c r="T117" s="11"/>
      <c r="AR117" s="31"/>
      <c r="AS117" s="31">
        <f t="shared" si="54"/>
        <v>0</v>
      </c>
      <c r="AT117" s="31">
        <f t="shared" si="55"/>
        <v>0</v>
      </c>
      <c r="AU117" s="31">
        <f t="shared" si="56"/>
        <v>0</v>
      </c>
      <c r="AV117" s="31">
        <f t="shared" si="57"/>
        <v>0</v>
      </c>
      <c r="AW117" s="31">
        <f t="shared" si="58"/>
        <v>0</v>
      </c>
      <c r="AX117" s="31">
        <f t="shared" si="59"/>
        <v>0</v>
      </c>
      <c r="AY117" s="31">
        <f t="shared" si="60"/>
        <v>0</v>
      </c>
      <c r="AZ117" s="31">
        <f t="shared" si="61"/>
        <v>0</v>
      </c>
      <c r="BA117" s="31">
        <f t="shared" si="62"/>
        <v>0</v>
      </c>
      <c r="BB117" s="31">
        <f t="shared" si="91"/>
        <v>0</v>
      </c>
      <c r="BC117" s="31"/>
      <c r="BD117" s="31"/>
      <c r="BM117" s="8">
        <f t="shared" si="92"/>
        <v>0</v>
      </c>
      <c r="BN117" s="8">
        <f t="shared" si="63"/>
        <v>0</v>
      </c>
      <c r="BO117" s="8">
        <f t="shared" si="64"/>
        <v>0</v>
      </c>
      <c r="BQ117" s="8">
        <f t="shared" si="65"/>
        <v>0</v>
      </c>
      <c r="BR117" s="63">
        <f t="shared" si="66"/>
        <v>0</v>
      </c>
      <c r="BS117" s="63">
        <f t="shared" si="93"/>
        <v>0</v>
      </c>
      <c r="BT117" s="63">
        <f t="shared" si="67"/>
        <v>0</v>
      </c>
      <c r="BU117" s="63">
        <f t="shared" si="68"/>
        <v>0</v>
      </c>
      <c r="BV117" s="57">
        <f t="shared" si="69"/>
        <v>0</v>
      </c>
      <c r="BW117" s="57">
        <f t="shared" si="70"/>
        <v>0</v>
      </c>
      <c r="BX117" s="57">
        <f t="shared" si="94"/>
        <v>0</v>
      </c>
      <c r="BY117" s="57">
        <f t="shared" si="98"/>
        <v>0</v>
      </c>
      <c r="BZ117" s="8">
        <f t="shared" si="71"/>
        <v>0</v>
      </c>
      <c r="CA117" s="8">
        <f t="shared" si="72"/>
        <v>0</v>
      </c>
      <c r="CB117" s="8">
        <f t="shared" si="73"/>
        <v>0</v>
      </c>
      <c r="CC117" s="8">
        <f t="shared" si="74"/>
        <v>0</v>
      </c>
      <c r="CD117" s="8">
        <f t="shared" si="75"/>
        <v>0</v>
      </c>
      <c r="CE117" s="8">
        <f t="shared" si="76"/>
        <v>0</v>
      </c>
      <c r="CF117" s="8">
        <f t="shared" si="77"/>
        <v>0</v>
      </c>
      <c r="CG117" s="8">
        <f t="shared" si="78"/>
        <v>0</v>
      </c>
      <c r="CH117" s="8">
        <f t="shared" si="79"/>
        <v>0</v>
      </c>
      <c r="CI117" s="8">
        <f t="shared" si="80"/>
        <v>0</v>
      </c>
      <c r="CJ117" s="8">
        <f t="shared" si="81"/>
        <v>0</v>
      </c>
      <c r="CK117" s="8">
        <f t="shared" si="82"/>
        <v>0</v>
      </c>
      <c r="CL117" s="8">
        <f t="shared" si="83"/>
        <v>0</v>
      </c>
      <c r="CM117" s="8">
        <f t="shared" si="84"/>
        <v>0</v>
      </c>
      <c r="CN117" s="8">
        <f t="shared" si="85"/>
        <v>0</v>
      </c>
      <c r="CO117" s="8">
        <f t="shared" si="86"/>
        <v>0</v>
      </c>
      <c r="CP117" s="8">
        <f t="shared" si="87"/>
        <v>0</v>
      </c>
      <c r="CQ117" s="8">
        <f t="shared" si="88"/>
        <v>0</v>
      </c>
      <c r="CR117" s="8">
        <f t="shared" si="89"/>
        <v>0</v>
      </c>
      <c r="CS117" s="8">
        <f t="shared" si="90"/>
        <v>0</v>
      </c>
      <c r="CT117" s="8">
        <f t="shared" si="95"/>
        <v>0</v>
      </c>
      <c r="CU117" s="8">
        <f t="shared" si="96"/>
        <v>0</v>
      </c>
      <c r="CV117" s="8">
        <f t="shared" si="97"/>
        <v>0</v>
      </c>
      <c r="CW117" s="100" t="s">
        <v>428</v>
      </c>
      <c r="CX117" s="100">
        <f>INT(CX95/4)</f>
        <v>0</v>
      </c>
      <c r="CY117" s="100" t="s">
        <v>94</v>
      </c>
      <c r="CZ117" s="101" t="s">
        <v>438</v>
      </c>
      <c r="DA117" s="100">
        <v>311</v>
      </c>
    </row>
    <row r="118" spans="1:105" ht="25.25" customHeight="1" thickTop="1" thickBot="1" x14ac:dyDescent="0.5">
      <c r="A118" s="32"/>
      <c r="B118" s="10"/>
      <c r="C118" s="10"/>
      <c r="D118" s="11"/>
      <c r="E118" s="10"/>
      <c r="F118" s="10"/>
      <c r="G118" s="19"/>
      <c r="H118" s="19"/>
      <c r="I118" s="19"/>
      <c r="J118" s="19"/>
      <c r="K118" s="10"/>
      <c r="L118" s="10"/>
      <c r="M118" s="10"/>
      <c r="N118" s="10"/>
      <c r="O118" s="18"/>
      <c r="P118" s="18"/>
      <c r="Q118" s="21"/>
      <c r="R118" s="20"/>
      <c r="S118" s="16">
        <f t="shared" si="53"/>
        <v>0</v>
      </c>
      <c r="T118" s="11"/>
      <c r="AR118" s="31"/>
      <c r="AS118" s="31">
        <f t="shared" si="54"/>
        <v>0</v>
      </c>
      <c r="AT118" s="31">
        <f t="shared" si="55"/>
        <v>0</v>
      </c>
      <c r="AU118" s="31">
        <f t="shared" si="56"/>
        <v>0</v>
      </c>
      <c r="AV118" s="31">
        <f t="shared" si="57"/>
        <v>0</v>
      </c>
      <c r="AW118" s="31">
        <f t="shared" si="58"/>
        <v>0</v>
      </c>
      <c r="AX118" s="31">
        <f t="shared" si="59"/>
        <v>0</v>
      </c>
      <c r="AY118" s="31">
        <f t="shared" si="60"/>
        <v>0</v>
      </c>
      <c r="AZ118" s="31">
        <f t="shared" si="61"/>
        <v>0</v>
      </c>
      <c r="BA118" s="31">
        <f t="shared" si="62"/>
        <v>0</v>
      </c>
      <c r="BB118" s="31">
        <f t="shared" si="91"/>
        <v>0</v>
      </c>
      <c r="BC118" s="31"/>
      <c r="BD118" s="31"/>
      <c r="BM118" s="8">
        <f t="shared" si="92"/>
        <v>0</v>
      </c>
      <c r="BN118" s="8">
        <f t="shared" si="63"/>
        <v>0</v>
      </c>
      <c r="BO118" s="8">
        <f t="shared" si="64"/>
        <v>0</v>
      </c>
      <c r="BQ118" s="8">
        <f t="shared" si="65"/>
        <v>0</v>
      </c>
      <c r="BR118" s="63">
        <f t="shared" si="66"/>
        <v>0</v>
      </c>
      <c r="BS118" s="63">
        <f t="shared" si="93"/>
        <v>0</v>
      </c>
      <c r="BT118" s="63">
        <f t="shared" si="67"/>
        <v>0</v>
      </c>
      <c r="BU118" s="63">
        <f t="shared" si="68"/>
        <v>0</v>
      </c>
      <c r="BV118" s="57">
        <f t="shared" si="69"/>
        <v>0</v>
      </c>
      <c r="BW118" s="57">
        <f t="shared" si="70"/>
        <v>0</v>
      </c>
      <c r="BX118" s="57">
        <f t="shared" si="94"/>
        <v>0</v>
      </c>
      <c r="BY118" s="57">
        <f t="shared" si="98"/>
        <v>0</v>
      </c>
      <c r="BZ118" s="8">
        <f t="shared" si="71"/>
        <v>0</v>
      </c>
      <c r="CA118" s="8">
        <f t="shared" si="72"/>
        <v>0</v>
      </c>
      <c r="CB118" s="8">
        <f t="shared" si="73"/>
        <v>0</v>
      </c>
      <c r="CC118" s="8">
        <f t="shared" si="74"/>
        <v>0</v>
      </c>
      <c r="CD118" s="8">
        <f t="shared" si="75"/>
        <v>0</v>
      </c>
      <c r="CE118" s="8">
        <f t="shared" si="76"/>
        <v>0</v>
      </c>
      <c r="CF118" s="8">
        <f t="shared" si="77"/>
        <v>0</v>
      </c>
      <c r="CG118" s="8">
        <f t="shared" si="78"/>
        <v>0</v>
      </c>
      <c r="CH118" s="8">
        <f t="shared" si="79"/>
        <v>0</v>
      </c>
      <c r="CI118" s="8">
        <f t="shared" si="80"/>
        <v>0</v>
      </c>
      <c r="CJ118" s="8">
        <f t="shared" si="81"/>
        <v>0</v>
      </c>
      <c r="CK118" s="8">
        <f t="shared" si="82"/>
        <v>0</v>
      </c>
      <c r="CL118" s="8">
        <f t="shared" si="83"/>
        <v>0</v>
      </c>
      <c r="CM118" s="8">
        <f t="shared" si="84"/>
        <v>0</v>
      </c>
      <c r="CN118" s="8">
        <f t="shared" si="85"/>
        <v>0</v>
      </c>
      <c r="CO118" s="8">
        <f t="shared" si="86"/>
        <v>0</v>
      </c>
      <c r="CP118" s="8">
        <f t="shared" si="87"/>
        <v>0</v>
      </c>
      <c r="CQ118" s="8">
        <f t="shared" si="88"/>
        <v>0</v>
      </c>
      <c r="CR118" s="8">
        <f t="shared" si="89"/>
        <v>0</v>
      </c>
      <c r="CS118" s="8">
        <f t="shared" si="90"/>
        <v>0</v>
      </c>
      <c r="CT118" s="8">
        <f t="shared" si="95"/>
        <v>0</v>
      </c>
      <c r="CU118" s="8">
        <f t="shared" si="96"/>
        <v>0</v>
      </c>
      <c r="CV118" s="8">
        <f t="shared" si="97"/>
        <v>0</v>
      </c>
      <c r="CW118" s="100" t="s">
        <v>430</v>
      </c>
      <c r="CX118" s="100">
        <f>MAX(DA88,DB88)</f>
        <v>0</v>
      </c>
      <c r="CY118" s="100" t="s">
        <v>90</v>
      </c>
      <c r="CZ118" s="101" t="s">
        <v>429</v>
      </c>
      <c r="DA118" s="100">
        <v>7</v>
      </c>
    </row>
    <row r="119" spans="1:105" ht="25.25" customHeight="1" thickTop="1" thickBot="1" x14ac:dyDescent="0.5">
      <c r="A119" s="32"/>
      <c r="B119" s="10"/>
      <c r="C119" s="10"/>
      <c r="D119" s="11"/>
      <c r="E119" s="10"/>
      <c r="F119" s="10"/>
      <c r="G119" s="19"/>
      <c r="H119" s="19"/>
      <c r="I119" s="19"/>
      <c r="J119" s="19"/>
      <c r="K119" s="10"/>
      <c r="L119" s="10"/>
      <c r="M119" s="10"/>
      <c r="N119" s="10"/>
      <c r="O119" s="18"/>
      <c r="P119" s="18"/>
      <c r="Q119" s="21"/>
      <c r="R119" s="20"/>
      <c r="S119" s="16">
        <f t="shared" si="53"/>
        <v>0</v>
      </c>
      <c r="T119" s="11"/>
      <c r="AR119" s="31"/>
      <c r="AS119" s="31">
        <f t="shared" si="54"/>
        <v>0</v>
      </c>
      <c r="AT119" s="31">
        <f t="shared" si="55"/>
        <v>0</v>
      </c>
      <c r="AU119" s="31">
        <f t="shared" si="56"/>
        <v>0</v>
      </c>
      <c r="AV119" s="31">
        <f t="shared" si="57"/>
        <v>0</v>
      </c>
      <c r="AW119" s="31">
        <f t="shared" si="58"/>
        <v>0</v>
      </c>
      <c r="AX119" s="31">
        <f t="shared" si="59"/>
        <v>0</v>
      </c>
      <c r="AY119" s="31">
        <f t="shared" si="60"/>
        <v>0</v>
      </c>
      <c r="AZ119" s="31">
        <f t="shared" si="61"/>
        <v>0</v>
      </c>
      <c r="BA119" s="31">
        <f t="shared" si="62"/>
        <v>0</v>
      </c>
      <c r="BB119" s="31">
        <f t="shared" si="91"/>
        <v>0</v>
      </c>
      <c r="BC119" s="31"/>
      <c r="BD119" s="31"/>
      <c r="BM119" s="8">
        <f t="shared" si="92"/>
        <v>0</v>
      </c>
      <c r="BN119" s="8">
        <f t="shared" si="63"/>
        <v>0</v>
      </c>
      <c r="BO119" s="8">
        <f t="shared" si="64"/>
        <v>0</v>
      </c>
      <c r="BQ119" s="8">
        <f t="shared" si="65"/>
        <v>0</v>
      </c>
      <c r="BR119" s="63">
        <f t="shared" si="66"/>
        <v>0</v>
      </c>
      <c r="BS119" s="63">
        <f t="shared" si="93"/>
        <v>0</v>
      </c>
      <c r="BT119" s="63">
        <f t="shared" si="67"/>
        <v>0</v>
      </c>
      <c r="BU119" s="63">
        <f t="shared" si="68"/>
        <v>0</v>
      </c>
      <c r="BV119" s="57">
        <f t="shared" si="69"/>
        <v>0</v>
      </c>
      <c r="BW119" s="57">
        <f t="shared" si="70"/>
        <v>0</v>
      </c>
      <c r="BX119" s="57">
        <f t="shared" si="94"/>
        <v>0</v>
      </c>
      <c r="BY119" s="57">
        <f t="shared" si="98"/>
        <v>0</v>
      </c>
      <c r="BZ119" s="8">
        <f t="shared" si="71"/>
        <v>0</v>
      </c>
      <c r="CA119" s="8">
        <f t="shared" si="72"/>
        <v>0</v>
      </c>
      <c r="CB119" s="8">
        <f t="shared" si="73"/>
        <v>0</v>
      </c>
      <c r="CC119" s="8">
        <f t="shared" si="74"/>
        <v>0</v>
      </c>
      <c r="CD119" s="8">
        <f t="shared" si="75"/>
        <v>0</v>
      </c>
      <c r="CE119" s="8">
        <f t="shared" si="76"/>
        <v>0</v>
      </c>
      <c r="CF119" s="8">
        <f t="shared" si="77"/>
        <v>0</v>
      </c>
      <c r="CG119" s="8">
        <f t="shared" si="78"/>
        <v>0</v>
      </c>
      <c r="CH119" s="8">
        <f t="shared" si="79"/>
        <v>0</v>
      </c>
      <c r="CI119" s="8">
        <f t="shared" si="80"/>
        <v>0</v>
      </c>
      <c r="CJ119" s="8">
        <f t="shared" si="81"/>
        <v>0</v>
      </c>
      <c r="CK119" s="8">
        <f t="shared" si="82"/>
        <v>0</v>
      </c>
      <c r="CL119" s="8">
        <f t="shared" si="83"/>
        <v>0</v>
      </c>
      <c r="CM119" s="8">
        <f t="shared" si="84"/>
        <v>0</v>
      </c>
      <c r="CN119" s="8">
        <f t="shared" si="85"/>
        <v>0</v>
      </c>
      <c r="CO119" s="8">
        <f t="shared" si="86"/>
        <v>0</v>
      </c>
      <c r="CP119" s="8">
        <f t="shared" si="87"/>
        <v>0</v>
      </c>
      <c r="CQ119" s="8">
        <f t="shared" si="88"/>
        <v>0</v>
      </c>
      <c r="CR119" s="8">
        <f t="shared" si="89"/>
        <v>0</v>
      </c>
      <c r="CS119" s="8">
        <f t="shared" si="90"/>
        <v>0</v>
      </c>
      <c r="CT119" s="8">
        <f t="shared" si="95"/>
        <v>0</v>
      </c>
      <c r="CU119" s="8">
        <f t="shared" si="96"/>
        <v>0</v>
      </c>
      <c r="CV119" s="8">
        <f t="shared" si="97"/>
        <v>0</v>
      </c>
      <c r="CW119" s="100" t="s">
        <v>432</v>
      </c>
      <c r="CX119" s="100">
        <f>MAX(DA85:DB85)</f>
        <v>0</v>
      </c>
      <c r="CY119" s="100" t="s">
        <v>94</v>
      </c>
      <c r="CZ119" s="101" t="s">
        <v>431</v>
      </c>
      <c r="DA119" s="100">
        <v>290</v>
      </c>
    </row>
    <row r="120" spans="1:105" ht="25.25" customHeight="1" thickTop="1" thickBot="1" x14ac:dyDescent="0.5">
      <c r="A120" s="32"/>
      <c r="B120" s="10"/>
      <c r="C120" s="10"/>
      <c r="D120" s="11"/>
      <c r="E120" s="10"/>
      <c r="F120" s="10"/>
      <c r="G120" s="19"/>
      <c r="H120" s="19"/>
      <c r="I120" s="19"/>
      <c r="J120" s="19"/>
      <c r="K120" s="10"/>
      <c r="L120" s="10"/>
      <c r="M120" s="10"/>
      <c r="N120" s="10"/>
      <c r="O120" s="18"/>
      <c r="P120" s="18"/>
      <c r="Q120" s="21"/>
      <c r="R120" s="20"/>
      <c r="S120" s="16">
        <f t="shared" si="53"/>
        <v>0</v>
      </c>
      <c r="T120" s="11"/>
      <c r="AR120" s="31"/>
      <c r="AS120" s="31">
        <f t="shared" si="54"/>
        <v>0</v>
      </c>
      <c r="AT120" s="31">
        <f t="shared" si="55"/>
        <v>0</v>
      </c>
      <c r="AU120" s="31">
        <f t="shared" si="56"/>
        <v>0</v>
      </c>
      <c r="AV120" s="31">
        <f t="shared" si="57"/>
        <v>0</v>
      </c>
      <c r="AW120" s="31">
        <f t="shared" si="58"/>
        <v>0</v>
      </c>
      <c r="AX120" s="31">
        <f t="shared" si="59"/>
        <v>0</v>
      </c>
      <c r="AY120" s="31">
        <f t="shared" si="60"/>
        <v>0</v>
      </c>
      <c r="AZ120" s="31">
        <f t="shared" si="61"/>
        <v>0</v>
      </c>
      <c r="BA120" s="31">
        <f t="shared" si="62"/>
        <v>0</v>
      </c>
      <c r="BB120" s="31">
        <f t="shared" si="91"/>
        <v>0</v>
      </c>
      <c r="BC120" s="31"/>
      <c r="BD120" s="31"/>
      <c r="BM120" s="8">
        <f t="shared" si="92"/>
        <v>0</v>
      </c>
      <c r="BN120" s="8">
        <f t="shared" si="63"/>
        <v>0</v>
      </c>
      <c r="BO120" s="8">
        <f t="shared" si="64"/>
        <v>0</v>
      </c>
      <c r="BQ120" s="8">
        <f t="shared" si="65"/>
        <v>0</v>
      </c>
      <c r="BR120" s="63">
        <f t="shared" si="66"/>
        <v>0</v>
      </c>
      <c r="BS120" s="63">
        <f t="shared" si="93"/>
        <v>0</v>
      </c>
      <c r="BT120" s="63">
        <f t="shared" si="67"/>
        <v>0</v>
      </c>
      <c r="BU120" s="63">
        <f t="shared" si="68"/>
        <v>0</v>
      </c>
      <c r="BV120" s="57">
        <f t="shared" si="69"/>
        <v>0</v>
      </c>
      <c r="BW120" s="57">
        <f t="shared" si="70"/>
        <v>0</v>
      </c>
      <c r="BX120" s="57">
        <f t="shared" si="94"/>
        <v>0</v>
      </c>
      <c r="BY120" s="57">
        <f t="shared" si="98"/>
        <v>0</v>
      </c>
      <c r="BZ120" s="8">
        <f t="shared" si="71"/>
        <v>0</v>
      </c>
      <c r="CA120" s="8">
        <f t="shared" si="72"/>
        <v>0</v>
      </c>
      <c r="CB120" s="8">
        <f t="shared" si="73"/>
        <v>0</v>
      </c>
      <c r="CC120" s="8">
        <f t="shared" si="74"/>
        <v>0</v>
      </c>
      <c r="CD120" s="8">
        <f t="shared" si="75"/>
        <v>0</v>
      </c>
      <c r="CE120" s="8">
        <f t="shared" si="76"/>
        <v>0</v>
      </c>
      <c r="CF120" s="8">
        <f t="shared" si="77"/>
        <v>0</v>
      </c>
      <c r="CG120" s="8">
        <f t="shared" si="78"/>
        <v>0</v>
      </c>
      <c r="CH120" s="8">
        <f t="shared" si="79"/>
        <v>0</v>
      </c>
      <c r="CI120" s="8">
        <f t="shared" si="80"/>
        <v>0</v>
      </c>
      <c r="CJ120" s="8">
        <f t="shared" si="81"/>
        <v>0</v>
      </c>
      <c r="CK120" s="8">
        <f t="shared" si="82"/>
        <v>0</v>
      </c>
      <c r="CL120" s="8">
        <f t="shared" si="83"/>
        <v>0</v>
      </c>
      <c r="CM120" s="8">
        <f t="shared" si="84"/>
        <v>0</v>
      </c>
      <c r="CN120" s="8">
        <f t="shared" si="85"/>
        <v>0</v>
      </c>
      <c r="CO120" s="8">
        <f t="shared" si="86"/>
        <v>0</v>
      </c>
      <c r="CP120" s="8">
        <f t="shared" si="87"/>
        <v>0</v>
      </c>
      <c r="CQ120" s="8">
        <f t="shared" si="88"/>
        <v>0</v>
      </c>
      <c r="CR120" s="8">
        <f t="shared" si="89"/>
        <v>0</v>
      </c>
      <c r="CS120" s="8">
        <f t="shared" si="90"/>
        <v>0</v>
      </c>
      <c r="CT120" s="8">
        <f t="shared" si="95"/>
        <v>0</v>
      </c>
      <c r="CU120" s="8">
        <f t="shared" si="96"/>
        <v>0</v>
      </c>
      <c r="CV120" s="8">
        <f t="shared" si="97"/>
        <v>0</v>
      </c>
      <c r="CW120" s="100" t="s">
        <v>481</v>
      </c>
      <c r="CX120" s="100">
        <f>$CX$42+$CX$50</f>
        <v>0</v>
      </c>
      <c r="CY120" s="100" t="s">
        <v>94</v>
      </c>
      <c r="CZ120" s="101" t="s">
        <v>480</v>
      </c>
      <c r="DA120" s="100">
        <v>214</v>
      </c>
    </row>
    <row r="121" spans="1:105" ht="25.25" customHeight="1" thickTop="1" thickBot="1" x14ac:dyDescent="0.5">
      <c r="A121" s="32"/>
      <c r="B121" s="10"/>
      <c r="C121" s="10"/>
      <c r="D121" s="11"/>
      <c r="E121" s="10"/>
      <c r="F121" s="10"/>
      <c r="G121" s="19"/>
      <c r="H121" s="19"/>
      <c r="I121" s="19"/>
      <c r="J121" s="19"/>
      <c r="K121" s="10"/>
      <c r="L121" s="10"/>
      <c r="M121" s="10"/>
      <c r="N121" s="10"/>
      <c r="O121" s="18"/>
      <c r="P121" s="18"/>
      <c r="Q121" s="21"/>
      <c r="R121" s="20"/>
      <c r="S121" s="16">
        <f t="shared" si="53"/>
        <v>0</v>
      </c>
      <c r="T121" s="11"/>
      <c r="AR121" s="31"/>
      <c r="AS121" s="31">
        <f t="shared" si="54"/>
        <v>0</v>
      </c>
      <c r="AT121" s="31">
        <f t="shared" si="55"/>
        <v>0</v>
      </c>
      <c r="AU121" s="31">
        <f t="shared" si="56"/>
        <v>0</v>
      </c>
      <c r="AV121" s="31">
        <f t="shared" si="57"/>
        <v>0</v>
      </c>
      <c r="AW121" s="31">
        <f t="shared" si="58"/>
        <v>0</v>
      </c>
      <c r="AX121" s="31">
        <f t="shared" si="59"/>
        <v>0</v>
      </c>
      <c r="AY121" s="31">
        <f t="shared" si="60"/>
        <v>0</v>
      </c>
      <c r="AZ121" s="31">
        <f t="shared" si="61"/>
        <v>0</v>
      </c>
      <c r="BA121" s="31">
        <f t="shared" si="62"/>
        <v>0</v>
      </c>
      <c r="BB121" s="31">
        <f t="shared" si="91"/>
        <v>0</v>
      </c>
      <c r="BC121" s="31"/>
      <c r="BD121" s="31"/>
      <c r="BM121" s="8">
        <f t="shared" si="92"/>
        <v>0</v>
      </c>
      <c r="BN121" s="8">
        <f t="shared" si="63"/>
        <v>0</v>
      </c>
      <c r="BO121" s="8">
        <f t="shared" si="64"/>
        <v>0</v>
      </c>
      <c r="BQ121" s="8">
        <f t="shared" si="65"/>
        <v>0</v>
      </c>
      <c r="BR121" s="63">
        <f t="shared" si="66"/>
        <v>0</v>
      </c>
      <c r="BS121" s="63">
        <f t="shared" si="93"/>
        <v>0</v>
      </c>
      <c r="BT121" s="63">
        <f t="shared" si="67"/>
        <v>0</v>
      </c>
      <c r="BU121" s="63">
        <f t="shared" si="68"/>
        <v>0</v>
      </c>
      <c r="BV121" s="57">
        <f t="shared" si="69"/>
        <v>0</v>
      </c>
      <c r="BW121" s="57">
        <f t="shared" si="70"/>
        <v>0</v>
      </c>
      <c r="BX121" s="57">
        <f t="shared" si="94"/>
        <v>0</v>
      </c>
      <c r="BY121" s="57">
        <f t="shared" si="98"/>
        <v>0</v>
      </c>
      <c r="BZ121" s="8">
        <f t="shared" si="71"/>
        <v>0</v>
      </c>
      <c r="CA121" s="8">
        <f t="shared" si="72"/>
        <v>0</v>
      </c>
      <c r="CB121" s="8">
        <f t="shared" si="73"/>
        <v>0</v>
      </c>
      <c r="CC121" s="8">
        <f t="shared" si="74"/>
        <v>0</v>
      </c>
      <c r="CD121" s="8">
        <f t="shared" si="75"/>
        <v>0</v>
      </c>
      <c r="CE121" s="8">
        <f t="shared" si="76"/>
        <v>0</v>
      </c>
      <c r="CF121" s="8">
        <f t="shared" si="77"/>
        <v>0</v>
      </c>
      <c r="CG121" s="8">
        <f t="shared" si="78"/>
        <v>0</v>
      </c>
      <c r="CH121" s="8">
        <f t="shared" si="79"/>
        <v>0</v>
      </c>
      <c r="CI121" s="8">
        <f t="shared" si="80"/>
        <v>0</v>
      </c>
      <c r="CJ121" s="8">
        <f t="shared" si="81"/>
        <v>0</v>
      </c>
      <c r="CK121" s="8">
        <f t="shared" si="82"/>
        <v>0</v>
      </c>
      <c r="CL121" s="8">
        <f t="shared" si="83"/>
        <v>0</v>
      </c>
      <c r="CM121" s="8">
        <f t="shared" si="84"/>
        <v>0</v>
      </c>
      <c r="CN121" s="8">
        <f t="shared" si="85"/>
        <v>0</v>
      </c>
      <c r="CO121" s="8">
        <f t="shared" si="86"/>
        <v>0</v>
      </c>
      <c r="CP121" s="8">
        <f t="shared" si="87"/>
        <v>0</v>
      </c>
      <c r="CQ121" s="8">
        <f t="shared" si="88"/>
        <v>0</v>
      </c>
      <c r="CR121" s="8">
        <f t="shared" si="89"/>
        <v>0</v>
      </c>
      <c r="CS121" s="8">
        <f t="shared" si="90"/>
        <v>0</v>
      </c>
      <c r="CT121" s="8">
        <f t="shared" si="95"/>
        <v>0</v>
      </c>
      <c r="CU121" s="8">
        <f t="shared" si="96"/>
        <v>0</v>
      </c>
      <c r="CV121" s="8">
        <f t="shared" si="97"/>
        <v>0</v>
      </c>
      <c r="CW121" s="100" t="s">
        <v>483</v>
      </c>
      <c r="CX121" s="100">
        <f>$CX$43</f>
        <v>0</v>
      </c>
      <c r="CY121" s="100" t="s">
        <v>94</v>
      </c>
      <c r="CZ121" s="101" t="s">
        <v>482</v>
      </c>
      <c r="DA121" s="100">
        <v>250</v>
      </c>
    </row>
    <row r="122" spans="1:105" ht="25.25" customHeight="1" thickTop="1" thickBot="1" x14ac:dyDescent="0.5">
      <c r="A122" s="32"/>
      <c r="B122" s="10"/>
      <c r="C122" s="10"/>
      <c r="D122" s="11"/>
      <c r="E122" s="10"/>
      <c r="F122" s="10"/>
      <c r="G122" s="19"/>
      <c r="H122" s="19"/>
      <c r="I122" s="19"/>
      <c r="J122" s="19"/>
      <c r="K122" s="10"/>
      <c r="L122" s="10"/>
      <c r="M122" s="10"/>
      <c r="N122" s="10"/>
      <c r="O122" s="18"/>
      <c r="P122" s="18"/>
      <c r="Q122" s="21"/>
      <c r="R122" s="20"/>
      <c r="S122" s="16">
        <f t="shared" si="53"/>
        <v>0</v>
      </c>
      <c r="T122" s="11"/>
      <c r="AR122" s="31"/>
      <c r="AS122" s="31">
        <f t="shared" si="54"/>
        <v>0</v>
      </c>
      <c r="AT122" s="31">
        <f t="shared" si="55"/>
        <v>0</v>
      </c>
      <c r="AU122" s="31">
        <f t="shared" si="56"/>
        <v>0</v>
      </c>
      <c r="AV122" s="31">
        <f t="shared" si="57"/>
        <v>0</v>
      </c>
      <c r="AW122" s="31">
        <f t="shared" si="58"/>
        <v>0</v>
      </c>
      <c r="AX122" s="31">
        <f t="shared" si="59"/>
        <v>0</v>
      </c>
      <c r="AY122" s="31">
        <f t="shared" si="60"/>
        <v>0</v>
      </c>
      <c r="AZ122" s="31">
        <f t="shared" si="61"/>
        <v>0</v>
      </c>
      <c r="BA122" s="31">
        <f t="shared" si="62"/>
        <v>0</v>
      </c>
      <c r="BB122" s="31">
        <f t="shared" si="91"/>
        <v>0</v>
      </c>
      <c r="BC122" s="31"/>
      <c r="BD122" s="31"/>
      <c r="BM122" s="8">
        <f t="shared" si="92"/>
        <v>0</v>
      </c>
      <c r="BN122" s="8">
        <f t="shared" si="63"/>
        <v>0</v>
      </c>
      <c r="BO122" s="8">
        <f t="shared" si="64"/>
        <v>0</v>
      </c>
      <c r="BQ122" s="8">
        <f t="shared" si="65"/>
        <v>0</v>
      </c>
      <c r="BR122" s="63">
        <f t="shared" si="66"/>
        <v>0</v>
      </c>
      <c r="BS122" s="63">
        <f t="shared" si="93"/>
        <v>0</v>
      </c>
      <c r="BT122" s="63">
        <f t="shared" si="67"/>
        <v>0</v>
      </c>
      <c r="BU122" s="63">
        <f t="shared" si="68"/>
        <v>0</v>
      </c>
      <c r="BV122" s="57">
        <f t="shared" si="69"/>
        <v>0</v>
      </c>
      <c r="BW122" s="57">
        <f t="shared" si="70"/>
        <v>0</v>
      </c>
      <c r="BX122" s="57">
        <f t="shared" si="94"/>
        <v>0</v>
      </c>
      <c r="BY122" s="57">
        <f t="shared" si="98"/>
        <v>0</v>
      </c>
      <c r="BZ122" s="8">
        <f t="shared" si="71"/>
        <v>0</v>
      </c>
      <c r="CA122" s="8">
        <f t="shared" si="72"/>
        <v>0</v>
      </c>
      <c r="CB122" s="8">
        <f t="shared" si="73"/>
        <v>0</v>
      </c>
      <c r="CC122" s="8">
        <f t="shared" si="74"/>
        <v>0</v>
      </c>
      <c r="CD122" s="8">
        <f t="shared" si="75"/>
        <v>0</v>
      </c>
      <c r="CE122" s="8">
        <f t="shared" si="76"/>
        <v>0</v>
      </c>
      <c r="CF122" s="8">
        <f t="shared" si="77"/>
        <v>0</v>
      </c>
      <c r="CG122" s="8">
        <f t="shared" si="78"/>
        <v>0</v>
      </c>
      <c r="CH122" s="8">
        <f t="shared" si="79"/>
        <v>0</v>
      </c>
      <c r="CI122" s="8">
        <f t="shared" si="80"/>
        <v>0</v>
      </c>
      <c r="CJ122" s="8">
        <f t="shared" si="81"/>
        <v>0</v>
      </c>
      <c r="CK122" s="8">
        <f t="shared" si="82"/>
        <v>0</v>
      </c>
      <c r="CL122" s="8">
        <f t="shared" si="83"/>
        <v>0</v>
      </c>
      <c r="CM122" s="8">
        <f t="shared" si="84"/>
        <v>0</v>
      </c>
      <c r="CN122" s="8">
        <f t="shared" si="85"/>
        <v>0</v>
      </c>
      <c r="CO122" s="8">
        <f t="shared" si="86"/>
        <v>0</v>
      </c>
      <c r="CP122" s="8">
        <f t="shared" si="87"/>
        <v>0</v>
      </c>
      <c r="CQ122" s="8">
        <f t="shared" si="88"/>
        <v>0</v>
      </c>
      <c r="CR122" s="8">
        <f t="shared" si="89"/>
        <v>0</v>
      </c>
      <c r="CS122" s="8">
        <f t="shared" si="90"/>
        <v>0</v>
      </c>
      <c r="CT122" s="8">
        <f t="shared" si="95"/>
        <v>0</v>
      </c>
      <c r="CU122" s="8">
        <f t="shared" si="96"/>
        <v>0</v>
      </c>
      <c r="CV122" s="8">
        <f t="shared" si="97"/>
        <v>0</v>
      </c>
      <c r="CW122" s="100" t="s">
        <v>485</v>
      </c>
      <c r="CX122" s="100">
        <f>$CX$44</f>
        <v>0</v>
      </c>
      <c r="CY122" s="100" t="s">
        <v>94</v>
      </c>
      <c r="CZ122" s="101" t="s">
        <v>484</v>
      </c>
      <c r="DA122" s="100">
        <v>285</v>
      </c>
    </row>
    <row r="123" spans="1:105" ht="25.25" customHeight="1" thickTop="1" thickBot="1" x14ac:dyDescent="0.5">
      <c r="A123" s="32"/>
      <c r="B123" s="10"/>
      <c r="C123" s="10"/>
      <c r="D123" s="11"/>
      <c r="E123" s="10"/>
      <c r="F123" s="10"/>
      <c r="G123" s="19"/>
      <c r="H123" s="19"/>
      <c r="I123" s="19"/>
      <c r="J123" s="19"/>
      <c r="K123" s="10"/>
      <c r="L123" s="10"/>
      <c r="M123" s="10"/>
      <c r="N123" s="10"/>
      <c r="O123" s="18"/>
      <c r="P123" s="18"/>
      <c r="Q123" s="21"/>
      <c r="R123" s="20"/>
      <c r="S123" s="16">
        <f t="shared" si="53"/>
        <v>0</v>
      </c>
      <c r="T123" s="11"/>
      <c r="AR123" s="31"/>
      <c r="AS123" s="31">
        <f t="shared" si="54"/>
        <v>0</v>
      </c>
      <c r="AT123" s="31">
        <f t="shared" si="55"/>
        <v>0</v>
      </c>
      <c r="AU123" s="31">
        <f t="shared" si="56"/>
        <v>0</v>
      </c>
      <c r="AV123" s="31">
        <f t="shared" si="57"/>
        <v>0</v>
      </c>
      <c r="AW123" s="31">
        <f t="shared" si="58"/>
        <v>0</v>
      </c>
      <c r="AX123" s="31">
        <f t="shared" si="59"/>
        <v>0</v>
      </c>
      <c r="AY123" s="31">
        <f t="shared" si="60"/>
        <v>0</v>
      </c>
      <c r="AZ123" s="31">
        <f t="shared" si="61"/>
        <v>0</v>
      </c>
      <c r="BA123" s="31">
        <f t="shared" si="62"/>
        <v>0</v>
      </c>
      <c r="BB123" s="31">
        <f t="shared" si="91"/>
        <v>0</v>
      </c>
      <c r="BC123" s="31"/>
      <c r="BD123" s="31"/>
      <c r="BM123" s="8">
        <f t="shared" si="92"/>
        <v>0</v>
      </c>
      <c r="BN123" s="8">
        <f t="shared" si="63"/>
        <v>0</v>
      </c>
      <c r="BO123" s="8">
        <f t="shared" si="64"/>
        <v>0</v>
      </c>
      <c r="BQ123" s="8">
        <f t="shared" si="65"/>
        <v>0</v>
      </c>
      <c r="BR123" s="63">
        <f t="shared" si="66"/>
        <v>0</v>
      </c>
      <c r="BS123" s="63">
        <f t="shared" si="93"/>
        <v>0</v>
      </c>
      <c r="BT123" s="63">
        <f t="shared" si="67"/>
        <v>0</v>
      </c>
      <c r="BU123" s="63">
        <f t="shared" si="68"/>
        <v>0</v>
      </c>
      <c r="BV123" s="57">
        <f t="shared" si="69"/>
        <v>0</v>
      </c>
      <c r="BW123" s="57">
        <f t="shared" si="70"/>
        <v>0</v>
      </c>
      <c r="BX123" s="57">
        <f t="shared" si="94"/>
        <v>0</v>
      </c>
      <c r="BY123" s="57">
        <f t="shared" si="98"/>
        <v>0</v>
      </c>
      <c r="BZ123" s="8">
        <f t="shared" si="71"/>
        <v>0</v>
      </c>
      <c r="CA123" s="8">
        <f t="shared" si="72"/>
        <v>0</v>
      </c>
      <c r="CB123" s="8">
        <f t="shared" si="73"/>
        <v>0</v>
      </c>
      <c r="CC123" s="8">
        <f t="shared" si="74"/>
        <v>0</v>
      </c>
      <c r="CD123" s="8">
        <f t="shared" si="75"/>
        <v>0</v>
      </c>
      <c r="CE123" s="8">
        <f t="shared" si="76"/>
        <v>0</v>
      </c>
      <c r="CF123" s="8">
        <f t="shared" si="77"/>
        <v>0</v>
      </c>
      <c r="CG123" s="8">
        <f t="shared" si="78"/>
        <v>0</v>
      </c>
      <c r="CH123" s="8">
        <f t="shared" si="79"/>
        <v>0</v>
      </c>
      <c r="CI123" s="8">
        <f t="shared" si="80"/>
        <v>0</v>
      </c>
      <c r="CJ123" s="8">
        <f t="shared" si="81"/>
        <v>0</v>
      </c>
      <c r="CK123" s="8">
        <f t="shared" si="82"/>
        <v>0</v>
      </c>
      <c r="CL123" s="8">
        <f t="shared" si="83"/>
        <v>0</v>
      </c>
      <c r="CM123" s="8">
        <f t="shared" si="84"/>
        <v>0</v>
      </c>
      <c r="CN123" s="8">
        <f t="shared" si="85"/>
        <v>0</v>
      </c>
      <c r="CO123" s="8">
        <f t="shared" si="86"/>
        <v>0</v>
      </c>
      <c r="CP123" s="8">
        <f t="shared" si="87"/>
        <v>0</v>
      </c>
      <c r="CQ123" s="8">
        <f t="shared" si="88"/>
        <v>0</v>
      </c>
      <c r="CR123" s="8">
        <f t="shared" si="89"/>
        <v>0</v>
      </c>
      <c r="CS123" s="8">
        <f t="shared" si="90"/>
        <v>0</v>
      </c>
      <c r="CT123" s="8">
        <f t="shared" si="95"/>
        <v>0</v>
      </c>
      <c r="CU123" s="8">
        <f t="shared" si="96"/>
        <v>0</v>
      </c>
      <c r="CV123" s="8">
        <f t="shared" si="97"/>
        <v>0</v>
      </c>
      <c r="CW123" s="100" t="s">
        <v>487</v>
      </c>
      <c r="CX123" s="100">
        <f>SUM(CX45:CX48)</f>
        <v>0</v>
      </c>
      <c r="CY123" s="100" t="s">
        <v>94</v>
      </c>
      <c r="CZ123" s="100" t="s">
        <v>486</v>
      </c>
      <c r="DA123" s="100">
        <v>238</v>
      </c>
    </row>
    <row r="124" spans="1:105" ht="25.25" customHeight="1" thickTop="1" thickBot="1" x14ac:dyDescent="0.5">
      <c r="A124" s="32"/>
      <c r="B124" s="10"/>
      <c r="C124" s="10"/>
      <c r="D124" s="11"/>
      <c r="E124" s="10"/>
      <c r="F124" s="10"/>
      <c r="G124" s="19"/>
      <c r="H124" s="19"/>
      <c r="I124" s="19"/>
      <c r="J124" s="19"/>
      <c r="K124" s="10"/>
      <c r="L124" s="10"/>
      <c r="M124" s="10"/>
      <c r="N124" s="10"/>
      <c r="O124" s="18"/>
      <c r="P124" s="18"/>
      <c r="Q124" s="21"/>
      <c r="R124" s="20"/>
      <c r="S124" s="16">
        <f t="shared" si="53"/>
        <v>0</v>
      </c>
      <c r="T124" s="11"/>
      <c r="AR124" s="31"/>
      <c r="AS124" s="31">
        <f t="shared" si="54"/>
        <v>0</v>
      </c>
      <c r="AT124" s="31">
        <f t="shared" si="55"/>
        <v>0</v>
      </c>
      <c r="AU124" s="31">
        <f t="shared" si="56"/>
        <v>0</v>
      </c>
      <c r="AV124" s="31">
        <f t="shared" si="57"/>
        <v>0</v>
      </c>
      <c r="AW124" s="31">
        <f t="shared" si="58"/>
        <v>0</v>
      </c>
      <c r="AX124" s="31">
        <f t="shared" si="59"/>
        <v>0</v>
      </c>
      <c r="AY124" s="31">
        <f t="shared" si="60"/>
        <v>0</v>
      </c>
      <c r="AZ124" s="31">
        <f t="shared" si="61"/>
        <v>0</v>
      </c>
      <c r="BA124" s="31">
        <f t="shared" si="62"/>
        <v>0</v>
      </c>
      <c r="BB124" s="31">
        <f t="shared" si="91"/>
        <v>0</v>
      </c>
      <c r="BC124" s="31"/>
      <c r="BD124" s="31"/>
      <c r="BM124" s="8">
        <f t="shared" si="92"/>
        <v>0</v>
      </c>
      <c r="BN124" s="8">
        <f t="shared" si="63"/>
        <v>0</v>
      </c>
      <c r="BO124" s="8">
        <f t="shared" si="64"/>
        <v>0</v>
      </c>
      <c r="BQ124" s="8">
        <f t="shared" si="65"/>
        <v>0</v>
      </c>
      <c r="BR124" s="63">
        <f t="shared" si="66"/>
        <v>0</v>
      </c>
      <c r="BS124" s="63">
        <f t="shared" si="93"/>
        <v>0</v>
      </c>
      <c r="BT124" s="63">
        <f t="shared" si="67"/>
        <v>0</v>
      </c>
      <c r="BU124" s="63">
        <f t="shared" si="68"/>
        <v>0</v>
      </c>
      <c r="BV124" s="57">
        <f t="shared" si="69"/>
        <v>0</v>
      </c>
      <c r="BW124" s="57">
        <f t="shared" si="70"/>
        <v>0</v>
      </c>
      <c r="BX124" s="57">
        <f t="shared" si="94"/>
        <v>0</v>
      </c>
      <c r="BY124" s="57">
        <f t="shared" si="98"/>
        <v>0</v>
      </c>
      <c r="BZ124" s="8">
        <f t="shared" si="71"/>
        <v>0</v>
      </c>
      <c r="CA124" s="8">
        <f t="shared" si="72"/>
        <v>0</v>
      </c>
      <c r="CB124" s="8">
        <f t="shared" si="73"/>
        <v>0</v>
      </c>
      <c r="CC124" s="8">
        <f t="shared" si="74"/>
        <v>0</v>
      </c>
      <c r="CD124" s="8">
        <f t="shared" si="75"/>
        <v>0</v>
      </c>
      <c r="CE124" s="8">
        <f t="shared" si="76"/>
        <v>0</v>
      </c>
      <c r="CF124" s="8">
        <f t="shared" si="77"/>
        <v>0</v>
      </c>
      <c r="CG124" s="8">
        <f t="shared" si="78"/>
        <v>0</v>
      </c>
      <c r="CH124" s="8">
        <f t="shared" si="79"/>
        <v>0</v>
      </c>
      <c r="CI124" s="8">
        <f t="shared" si="80"/>
        <v>0</v>
      </c>
      <c r="CJ124" s="8">
        <f t="shared" si="81"/>
        <v>0</v>
      </c>
      <c r="CK124" s="8">
        <f t="shared" si="82"/>
        <v>0</v>
      </c>
      <c r="CL124" s="8">
        <f t="shared" si="83"/>
        <v>0</v>
      </c>
      <c r="CM124" s="8">
        <f t="shared" si="84"/>
        <v>0</v>
      </c>
      <c r="CN124" s="8">
        <f t="shared" si="85"/>
        <v>0</v>
      </c>
      <c r="CO124" s="8">
        <f t="shared" si="86"/>
        <v>0</v>
      </c>
      <c r="CP124" s="8">
        <f t="shared" si="87"/>
        <v>0</v>
      </c>
      <c r="CQ124" s="8">
        <f t="shared" si="88"/>
        <v>0</v>
      </c>
      <c r="CR124" s="8">
        <f t="shared" si="89"/>
        <v>0</v>
      </c>
      <c r="CS124" s="8">
        <f t="shared" si="90"/>
        <v>0</v>
      </c>
      <c r="CT124" s="8">
        <f t="shared" si="95"/>
        <v>0</v>
      </c>
      <c r="CU124" s="8">
        <f t="shared" si="96"/>
        <v>0</v>
      </c>
      <c r="CV124" s="8">
        <f t="shared" si="97"/>
        <v>0</v>
      </c>
      <c r="CW124" s="100" t="s">
        <v>489</v>
      </c>
      <c r="CX124" s="100">
        <f>ROUNDUP(SUM(CX18:CX20)/4,0)</f>
        <v>0</v>
      </c>
      <c r="CY124" s="100" t="s">
        <v>94</v>
      </c>
      <c r="CZ124" s="100" t="s">
        <v>488</v>
      </c>
      <c r="DA124" s="100">
        <v>138</v>
      </c>
    </row>
    <row r="125" spans="1:105" ht="25.25" customHeight="1" thickTop="1" thickBot="1" x14ac:dyDescent="0.5">
      <c r="A125" s="32"/>
      <c r="B125" s="10"/>
      <c r="C125" s="10"/>
      <c r="D125" s="11"/>
      <c r="E125" s="10"/>
      <c r="F125" s="10"/>
      <c r="G125" s="19"/>
      <c r="H125" s="19"/>
      <c r="I125" s="19"/>
      <c r="J125" s="19"/>
      <c r="K125" s="10"/>
      <c r="L125" s="10"/>
      <c r="M125" s="10"/>
      <c r="N125" s="10"/>
      <c r="O125" s="18"/>
      <c r="P125" s="18"/>
      <c r="Q125" s="21"/>
      <c r="R125" s="20"/>
      <c r="S125" s="16">
        <f t="shared" si="53"/>
        <v>0</v>
      </c>
      <c r="T125" s="11"/>
      <c r="AR125" s="31"/>
      <c r="AS125" s="31">
        <f t="shared" si="54"/>
        <v>0</v>
      </c>
      <c r="AT125" s="31">
        <f t="shared" si="55"/>
        <v>0</v>
      </c>
      <c r="AU125" s="31">
        <f t="shared" si="56"/>
        <v>0</v>
      </c>
      <c r="AV125" s="31">
        <f t="shared" si="57"/>
        <v>0</v>
      </c>
      <c r="AW125" s="31">
        <f t="shared" si="58"/>
        <v>0</v>
      </c>
      <c r="AX125" s="31">
        <f t="shared" si="59"/>
        <v>0</v>
      </c>
      <c r="AY125" s="31">
        <f t="shared" si="60"/>
        <v>0</v>
      </c>
      <c r="AZ125" s="31">
        <f t="shared" si="61"/>
        <v>0</v>
      </c>
      <c r="BA125" s="31">
        <f t="shared" si="62"/>
        <v>0</v>
      </c>
      <c r="BB125" s="31">
        <f t="shared" si="91"/>
        <v>0</v>
      </c>
      <c r="BC125" s="31"/>
      <c r="BD125" s="31"/>
      <c r="BM125" s="8">
        <f t="shared" si="92"/>
        <v>0</v>
      </c>
      <c r="BN125" s="8">
        <f t="shared" si="63"/>
        <v>0</v>
      </c>
      <c r="BO125" s="8">
        <f t="shared" si="64"/>
        <v>0</v>
      </c>
      <c r="BQ125" s="8">
        <f t="shared" si="65"/>
        <v>0</v>
      </c>
      <c r="BR125" s="63">
        <f t="shared" si="66"/>
        <v>0</v>
      </c>
      <c r="BS125" s="63">
        <f t="shared" si="93"/>
        <v>0</v>
      </c>
      <c r="BT125" s="63">
        <f t="shared" si="67"/>
        <v>0</v>
      </c>
      <c r="BU125" s="63">
        <f t="shared" si="68"/>
        <v>0</v>
      </c>
      <c r="BV125" s="57">
        <f t="shared" si="69"/>
        <v>0</v>
      </c>
      <c r="BW125" s="57">
        <f t="shared" si="70"/>
        <v>0</v>
      </c>
      <c r="BX125" s="57">
        <f t="shared" si="94"/>
        <v>0</v>
      </c>
      <c r="BY125" s="57">
        <f t="shared" si="98"/>
        <v>0</v>
      </c>
      <c r="BZ125" s="8">
        <f t="shared" si="71"/>
        <v>0</v>
      </c>
      <c r="CA125" s="8">
        <f t="shared" si="72"/>
        <v>0</v>
      </c>
      <c r="CB125" s="8">
        <f t="shared" si="73"/>
        <v>0</v>
      </c>
      <c r="CC125" s="8">
        <f t="shared" si="74"/>
        <v>0</v>
      </c>
      <c r="CD125" s="8">
        <f t="shared" si="75"/>
        <v>0</v>
      </c>
      <c r="CE125" s="8">
        <f t="shared" si="76"/>
        <v>0</v>
      </c>
      <c r="CF125" s="8">
        <f t="shared" si="77"/>
        <v>0</v>
      </c>
      <c r="CG125" s="8">
        <f t="shared" si="78"/>
        <v>0</v>
      </c>
      <c r="CH125" s="8">
        <f t="shared" si="79"/>
        <v>0</v>
      </c>
      <c r="CI125" s="8">
        <f t="shared" si="80"/>
        <v>0</v>
      </c>
      <c r="CJ125" s="8">
        <f t="shared" si="81"/>
        <v>0</v>
      </c>
      <c r="CK125" s="8">
        <f t="shared" si="82"/>
        <v>0</v>
      </c>
      <c r="CL125" s="8">
        <f t="shared" si="83"/>
        <v>0</v>
      </c>
      <c r="CM125" s="8">
        <f t="shared" si="84"/>
        <v>0</v>
      </c>
      <c r="CN125" s="8">
        <f t="shared" si="85"/>
        <v>0</v>
      </c>
      <c r="CO125" s="8">
        <f t="shared" si="86"/>
        <v>0</v>
      </c>
      <c r="CP125" s="8">
        <f t="shared" si="87"/>
        <v>0</v>
      </c>
      <c r="CQ125" s="8">
        <f t="shared" si="88"/>
        <v>0</v>
      </c>
      <c r="CR125" s="8">
        <f t="shared" si="89"/>
        <v>0</v>
      </c>
      <c r="CS125" s="8">
        <f t="shared" si="90"/>
        <v>0</v>
      </c>
      <c r="CT125" s="8">
        <f t="shared" si="95"/>
        <v>0</v>
      </c>
      <c r="CU125" s="8">
        <f t="shared" si="96"/>
        <v>0</v>
      </c>
      <c r="CV125" s="8">
        <f t="shared" si="97"/>
        <v>0</v>
      </c>
      <c r="CW125" s="100" t="s">
        <v>521</v>
      </c>
      <c r="CX125" s="100">
        <f>MAX('Equipment Selection'!F3:F5,'Equipment Selection'!F8:F10)*7</f>
        <v>0</v>
      </c>
      <c r="CY125" s="100" t="s">
        <v>91</v>
      </c>
      <c r="CZ125" s="101" t="s">
        <v>520</v>
      </c>
      <c r="DA125" s="100">
        <v>32</v>
      </c>
    </row>
    <row r="126" spans="1:105" ht="25.25" customHeight="1" thickTop="1" thickBot="1" x14ac:dyDescent="0.5">
      <c r="A126" s="32"/>
      <c r="B126" s="10"/>
      <c r="C126" s="10"/>
      <c r="D126" s="11"/>
      <c r="E126" s="10"/>
      <c r="F126" s="10"/>
      <c r="G126" s="19"/>
      <c r="H126" s="19"/>
      <c r="I126" s="19"/>
      <c r="J126" s="19"/>
      <c r="K126" s="10"/>
      <c r="L126" s="10"/>
      <c r="M126" s="10"/>
      <c r="N126" s="10"/>
      <c r="O126" s="18"/>
      <c r="P126" s="18"/>
      <c r="Q126" s="21"/>
      <c r="R126" s="20"/>
      <c r="S126" s="16">
        <f t="shared" si="53"/>
        <v>0</v>
      </c>
      <c r="T126" s="11"/>
      <c r="AR126" s="31"/>
      <c r="AS126" s="31">
        <f t="shared" si="54"/>
        <v>0</v>
      </c>
      <c r="AT126" s="31">
        <f t="shared" si="55"/>
        <v>0</v>
      </c>
      <c r="AU126" s="31">
        <f t="shared" si="56"/>
        <v>0</v>
      </c>
      <c r="AV126" s="31">
        <f t="shared" si="57"/>
        <v>0</v>
      </c>
      <c r="AW126" s="31">
        <f t="shared" si="58"/>
        <v>0</v>
      </c>
      <c r="AX126" s="31">
        <f t="shared" si="59"/>
        <v>0</v>
      </c>
      <c r="AY126" s="31">
        <f t="shared" si="60"/>
        <v>0</v>
      </c>
      <c r="AZ126" s="31">
        <f t="shared" si="61"/>
        <v>0</v>
      </c>
      <c r="BA126" s="31">
        <f t="shared" si="62"/>
        <v>0</v>
      </c>
      <c r="BB126" s="31">
        <f t="shared" si="91"/>
        <v>0</v>
      </c>
      <c r="BC126" s="31"/>
      <c r="BD126" s="31"/>
      <c r="BM126" s="8">
        <f t="shared" si="92"/>
        <v>0</v>
      </c>
      <c r="BN126" s="8">
        <f t="shared" si="63"/>
        <v>0</v>
      </c>
      <c r="BO126" s="8">
        <f t="shared" si="64"/>
        <v>0</v>
      </c>
      <c r="BQ126" s="8">
        <f t="shared" si="65"/>
        <v>0</v>
      </c>
      <c r="BR126" s="63">
        <f t="shared" si="66"/>
        <v>0</v>
      </c>
      <c r="BS126" s="63">
        <f t="shared" si="93"/>
        <v>0</v>
      </c>
      <c r="BT126" s="63">
        <f t="shared" si="67"/>
        <v>0</v>
      </c>
      <c r="BU126" s="63">
        <f t="shared" si="68"/>
        <v>0</v>
      </c>
      <c r="BV126" s="57">
        <f t="shared" si="69"/>
        <v>0</v>
      </c>
      <c r="BW126" s="57">
        <f t="shared" si="70"/>
        <v>0</v>
      </c>
      <c r="BX126" s="57">
        <f t="shared" si="94"/>
        <v>0</v>
      </c>
      <c r="BY126" s="57">
        <f t="shared" si="98"/>
        <v>0</v>
      </c>
      <c r="BZ126" s="8">
        <f t="shared" si="71"/>
        <v>0</v>
      </c>
      <c r="CA126" s="8">
        <f t="shared" si="72"/>
        <v>0</v>
      </c>
      <c r="CB126" s="8">
        <f t="shared" si="73"/>
        <v>0</v>
      </c>
      <c r="CC126" s="8">
        <f t="shared" si="74"/>
        <v>0</v>
      </c>
      <c r="CD126" s="8">
        <f t="shared" si="75"/>
        <v>0</v>
      </c>
      <c r="CE126" s="8">
        <f t="shared" si="76"/>
        <v>0</v>
      </c>
      <c r="CF126" s="8">
        <f t="shared" si="77"/>
        <v>0</v>
      </c>
      <c r="CG126" s="8">
        <f t="shared" si="78"/>
        <v>0</v>
      </c>
      <c r="CH126" s="8">
        <f t="shared" si="79"/>
        <v>0</v>
      </c>
      <c r="CI126" s="8">
        <f t="shared" si="80"/>
        <v>0</v>
      </c>
      <c r="CJ126" s="8">
        <f t="shared" si="81"/>
        <v>0</v>
      </c>
      <c r="CK126" s="8">
        <f t="shared" si="82"/>
        <v>0</v>
      </c>
      <c r="CL126" s="8">
        <f t="shared" si="83"/>
        <v>0</v>
      </c>
      <c r="CM126" s="8">
        <f t="shared" si="84"/>
        <v>0</v>
      </c>
      <c r="CN126" s="8">
        <f t="shared" si="85"/>
        <v>0</v>
      </c>
      <c r="CO126" s="8">
        <f t="shared" si="86"/>
        <v>0</v>
      </c>
      <c r="CP126" s="8">
        <f t="shared" si="87"/>
        <v>0</v>
      </c>
      <c r="CQ126" s="8">
        <f t="shared" si="88"/>
        <v>0</v>
      </c>
      <c r="CR126" s="8">
        <f t="shared" si="89"/>
        <v>0</v>
      </c>
      <c r="CS126" s="8">
        <f t="shared" si="90"/>
        <v>0</v>
      </c>
      <c r="CT126" s="8">
        <f t="shared" si="95"/>
        <v>0</v>
      </c>
      <c r="CU126" s="8">
        <f t="shared" si="96"/>
        <v>0</v>
      </c>
      <c r="CV126" s="8">
        <f t="shared" si="97"/>
        <v>0</v>
      </c>
    </row>
    <row r="127" spans="1:105" ht="25.25" customHeight="1" thickTop="1" thickBot="1" x14ac:dyDescent="0.5">
      <c r="A127" s="32"/>
      <c r="B127" s="10"/>
      <c r="C127" s="10"/>
      <c r="D127" s="11"/>
      <c r="E127" s="10"/>
      <c r="F127" s="10"/>
      <c r="G127" s="19"/>
      <c r="H127" s="19"/>
      <c r="I127" s="19"/>
      <c r="J127" s="19"/>
      <c r="K127" s="10"/>
      <c r="L127" s="10"/>
      <c r="M127" s="10"/>
      <c r="N127" s="10"/>
      <c r="O127" s="18"/>
      <c r="P127" s="18"/>
      <c r="Q127" s="21"/>
      <c r="R127" s="20"/>
      <c r="S127" s="16">
        <f t="shared" si="53"/>
        <v>0</v>
      </c>
      <c r="T127" s="11"/>
      <c r="AR127" s="31"/>
      <c r="AS127" s="31">
        <f t="shared" si="54"/>
        <v>0</v>
      </c>
      <c r="AT127" s="31">
        <f t="shared" si="55"/>
        <v>0</v>
      </c>
      <c r="AU127" s="31">
        <f t="shared" si="56"/>
        <v>0</v>
      </c>
      <c r="AV127" s="31">
        <f t="shared" si="57"/>
        <v>0</v>
      </c>
      <c r="AW127" s="31">
        <f t="shared" si="58"/>
        <v>0</v>
      </c>
      <c r="AX127" s="31">
        <f t="shared" si="59"/>
        <v>0</v>
      </c>
      <c r="AY127" s="31">
        <f t="shared" si="60"/>
        <v>0</v>
      </c>
      <c r="AZ127" s="31">
        <f t="shared" si="61"/>
        <v>0</v>
      </c>
      <c r="BA127" s="31">
        <f t="shared" si="62"/>
        <v>0</v>
      </c>
      <c r="BB127" s="31">
        <f t="shared" si="91"/>
        <v>0</v>
      </c>
      <c r="BC127" s="31"/>
      <c r="BD127" s="31"/>
      <c r="BM127" s="8">
        <f t="shared" si="92"/>
        <v>0</v>
      </c>
      <c r="BN127" s="8">
        <f t="shared" si="63"/>
        <v>0</v>
      </c>
      <c r="BO127" s="8">
        <f t="shared" si="64"/>
        <v>0</v>
      </c>
      <c r="BQ127" s="8">
        <f t="shared" si="65"/>
        <v>0</v>
      </c>
      <c r="BR127" s="63">
        <f t="shared" si="66"/>
        <v>0</v>
      </c>
      <c r="BS127" s="63">
        <f t="shared" si="93"/>
        <v>0</v>
      </c>
      <c r="BT127" s="63">
        <f t="shared" si="67"/>
        <v>0</v>
      </c>
      <c r="BU127" s="63">
        <f t="shared" si="68"/>
        <v>0</v>
      </c>
      <c r="BV127" s="57">
        <f t="shared" si="69"/>
        <v>0</v>
      </c>
      <c r="BW127" s="57">
        <f t="shared" si="70"/>
        <v>0</v>
      </c>
      <c r="BX127" s="57">
        <f t="shared" si="94"/>
        <v>0</v>
      </c>
      <c r="BY127" s="57">
        <f t="shared" si="98"/>
        <v>0</v>
      </c>
      <c r="BZ127" s="8">
        <f t="shared" si="71"/>
        <v>0</v>
      </c>
      <c r="CA127" s="8">
        <f t="shared" si="72"/>
        <v>0</v>
      </c>
      <c r="CB127" s="8">
        <f t="shared" si="73"/>
        <v>0</v>
      </c>
      <c r="CC127" s="8">
        <f t="shared" si="74"/>
        <v>0</v>
      </c>
      <c r="CD127" s="8">
        <f t="shared" si="75"/>
        <v>0</v>
      </c>
      <c r="CE127" s="8">
        <f t="shared" si="76"/>
        <v>0</v>
      </c>
      <c r="CF127" s="8">
        <f t="shared" si="77"/>
        <v>0</v>
      </c>
      <c r="CG127" s="8">
        <f t="shared" si="78"/>
        <v>0</v>
      </c>
      <c r="CH127" s="8">
        <f t="shared" si="79"/>
        <v>0</v>
      </c>
      <c r="CI127" s="8">
        <f t="shared" si="80"/>
        <v>0</v>
      </c>
      <c r="CJ127" s="8">
        <f t="shared" si="81"/>
        <v>0</v>
      </c>
      <c r="CK127" s="8">
        <f t="shared" si="82"/>
        <v>0</v>
      </c>
      <c r="CL127" s="8">
        <f t="shared" si="83"/>
        <v>0</v>
      </c>
      <c r="CM127" s="8">
        <f t="shared" si="84"/>
        <v>0</v>
      </c>
      <c r="CN127" s="8">
        <f t="shared" si="85"/>
        <v>0</v>
      </c>
      <c r="CO127" s="8">
        <f t="shared" si="86"/>
        <v>0</v>
      </c>
      <c r="CP127" s="8">
        <f t="shared" si="87"/>
        <v>0</v>
      </c>
      <c r="CQ127" s="8">
        <f t="shared" si="88"/>
        <v>0</v>
      </c>
      <c r="CR127" s="8">
        <f t="shared" si="89"/>
        <v>0</v>
      </c>
      <c r="CS127" s="8">
        <f t="shared" si="90"/>
        <v>0</v>
      </c>
      <c r="CT127" s="8">
        <f t="shared" si="95"/>
        <v>0</v>
      </c>
      <c r="CU127" s="8">
        <f t="shared" si="96"/>
        <v>0</v>
      </c>
      <c r="CV127" s="8">
        <f t="shared" si="97"/>
        <v>0</v>
      </c>
    </row>
    <row r="128" spans="1:105" ht="25.25" customHeight="1" thickTop="1" thickBot="1" x14ac:dyDescent="0.5">
      <c r="A128" s="32"/>
      <c r="B128" s="10"/>
      <c r="C128" s="10"/>
      <c r="D128" s="11"/>
      <c r="E128" s="10"/>
      <c r="F128" s="10"/>
      <c r="G128" s="19"/>
      <c r="H128" s="19"/>
      <c r="I128" s="19"/>
      <c r="J128" s="19"/>
      <c r="K128" s="10"/>
      <c r="L128" s="10"/>
      <c r="M128" s="10"/>
      <c r="N128" s="10"/>
      <c r="O128" s="18"/>
      <c r="P128" s="18"/>
      <c r="Q128" s="21"/>
      <c r="R128" s="20"/>
      <c r="S128" s="16">
        <f t="shared" si="53"/>
        <v>0</v>
      </c>
      <c r="T128" s="11"/>
      <c r="AR128" s="31"/>
      <c r="AS128" s="31">
        <f t="shared" si="54"/>
        <v>0</v>
      </c>
      <c r="AT128" s="31">
        <f t="shared" si="55"/>
        <v>0</v>
      </c>
      <c r="AU128" s="31">
        <f t="shared" si="56"/>
        <v>0</v>
      </c>
      <c r="AV128" s="31">
        <f t="shared" si="57"/>
        <v>0</v>
      </c>
      <c r="AW128" s="31">
        <f t="shared" si="58"/>
        <v>0</v>
      </c>
      <c r="AX128" s="31">
        <f t="shared" si="59"/>
        <v>0</v>
      </c>
      <c r="AY128" s="31">
        <f t="shared" si="60"/>
        <v>0</v>
      </c>
      <c r="AZ128" s="31">
        <f t="shared" si="61"/>
        <v>0</v>
      </c>
      <c r="BA128" s="31">
        <f t="shared" si="62"/>
        <v>0</v>
      </c>
      <c r="BB128" s="31">
        <f t="shared" si="91"/>
        <v>0</v>
      </c>
      <c r="BC128" s="31"/>
      <c r="BD128" s="31"/>
      <c r="BM128" s="8">
        <f t="shared" si="92"/>
        <v>0</v>
      </c>
      <c r="BN128" s="8">
        <f t="shared" si="63"/>
        <v>0</v>
      </c>
      <c r="BO128" s="8">
        <f t="shared" si="64"/>
        <v>0</v>
      </c>
      <c r="BQ128" s="8">
        <f t="shared" si="65"/>
        <v>0</v>
      </c>
      <c r="BR128" s="63">
        <f t="shared" si="66"/>
        <v>0</v>
      </c>
      <c r="BS128" s="63">
        <f t="shared" si="93"/>
        <v>0</v>
      </c>
      <c r="BT128" s="63">
        <f t="shared" si="67"/>
        <v>0</v>
      </c>
      <c r="BU128" s="63">
        <f t="shared" si="68"/>
        <v>0</v>
      </c>
      <c r="BV128" s="57">
        <f t="shared" si="69"/>
        <v>0</v>
      </c>
      <c r="BW128" s="57">
        <f t="shared" si="70"/>
        <v>0</v>
      </c>
      <c r="BX128" s="57">
        <f t="shared" si="94"/>
        <v>0</v>
      </c>
      <c r="BY128" s="57">
        <f t="shared" si="98"/>
        <v>0</v>
      </c>
      <c r="BZ128" s="8">
        <f t="shared" si="71"/>
        <v>0</v>
      </c>
      <c r="CA128" s="8">
        <f t="shared" si="72"/>
        <v>0</v>
      </c>
      <c r="CB128" s="8">
        <f t="shared" si="73"/>
        <v>0</v>
      </c>
      <c r="CC128" s="8">
        <f t="shared" si="74"/>
        <v>0</v>
      </c>
      <c r="CD128" s="8">
        <f t="shared" si="75"/>
        <v>0</v>
      </c>
      <c r="CE128" s="8">
        <f t="shared" si="76"/>
        <v>0</v>
      </c>
      <c r="CF128" s="8">
        <f t="shared" si="77"/>
        <v>0</v>
      </c>
      <c r="CG128" s="8">
        <f t="shared" si="78"/>
        <v>0</v>
      </c>
      <c r="CH128" s="8">
        <f t="shared" si="79"/>
        <v>0</v>
      </c>
      <c r="CI128" s="8">
        <f t="shared" si="80"/>
        <v>0</v>
      </c>
      <c r="CJ128" s="8">
        <f t="shared" si="81"/>
        <v>0</v>
      </c>
      <c r="CK128" s="8">
        <f t="shared" si="82"/>
        <v>0</v>
      </c>
      <c r="CL128" s="8">
        <f t="shared" si="83"/>
        <v>0</v>
      </c>
      <c r="CM128" s="8">
        <f t="shared" si="84"/>
        <v>0</v>
      </c>
      <c r="CN128" s="8">
        <f t="shared" si="85"/>
        <v>0</v>
      </c>
      <c r="CO128" s="8">
        <f t="shared" si="86"/>
        <v>0</v>
      </c>
      <c r="CP128" s="8">
        <f t="shared" si="87"/>
        <v>0</v>
      </c>
      <c r="CQ128" s="8">
        <f t="shared" si="88"/>
        <v>0</v>
      </c>
      <c r="CR128" s="8">
        <f t="shared" si="89"/>
        <v>0</v>
      </c>
      <c r="CS128" s="8">
        <f t="shared" si="90"/>
        <v>0</v>
      </c>
      <c r="CT128" s="8">
        <f t="shared" si="95"/>
        <v>0</v>
      </c>
      <c r="CU128" s="8">
        <f t="shared" si="96"/>
        <v>0</v>
      </c>
      <c r="CV128" s="8">
        <f t="shared" si="97"/>
        <v>0</v>
      </c>
    </row>
    <row r="129" spans="1:100" ht="25.25" customHeight="1" thickTop="1" thickBot="1" x14ac:dyDescent="0.5">
      <c r="A129" s="32"/>
      <c r="B129" s="10"/>
      <c r="C129" s="10"/>
      <c r="D129" s="11"/>
      <c r="E129" s="10"/>
      <c r="F129" s="10"/>
      <c r="G129" s="19"/>
      <c r="H129" s="19"/>
      <c r="I129" s="19"/>
      <c r="J129" s="19"/>
      <c r="K129" s="10"/>
      <c r="L129" s="10"/>
      <c r="M129" s="10"/>
      <c r="N129" s="10"/>
      <c r="O129" s="18"/>
      <c r="P129" s="18"/>
      <c r="Q129" s="21"/>
      <c r="R129" s="20"/>
      <c r="S129" s="16">
        <f t="shared" si="53"/>
        <v>0</v>
      </c>
      <c r="T129" s="11"/>
      <c r="AR129" s="31"/>
      <c r="AS129" s="31">
        <f t="shared" si="54"/>
        <v>0</v>
      </c>
      <c r="AT129" s="31">
        <f t="shared" si="55"/>
        <v>0</v>
      </c>
      <c r="AU129" s="31">
        <f t="shared" si="56"/>
        <v>0</v>
      </c>
      <c r="AV129" s="31">
        <f t="shared" si="57"/>
        <v>0</v>
      </c>
      <c r="AW129" s="31">
        <f t="shared" si="58"/>
        <v>0</v>
      </c>
      <c r="AX129" s="31">
        <f t="shared" si="59"/>
        <v>0</v>
      </c>
      <c r="AY129" s="31">
        <f t="shared" si="60"/>
        <v>0</v>
      </c>
      <c r="AZ129" s="31">
        <f t="shared" si="61"/>
        <v>0</v>
      </c>
      <c r="BA129" s="31">
        <f t="shared" si="62"/>
        <v>0</v>
      </c>
      <c r="BB129" s="31">
        <f t="shared" si="91"/>
        <v>0</v>
      </c>
      <c r="BC129" s="31"/>
      <c r="BD129" s="31"/>
      <c r="BM129" s="8">
        <f t="shared" si="92"/>
        <v>0</v>
      </c>
      <c r="BN129" s="8">
        <f t="shared" si="63"/>
        <v>0</v>
      </c>
      <c r="BO129" s="8">
        <f t="shared" si="64"/>
        <v>0</v>
      </c>
      <c r="BQ129" s="8">
        <f t="shared" si="65"/>
        <v>0</v>
      </c>
      <c r="BR129" s="63">
        <f t="shared" si="66"/>
        <v>0</v>
      </c>
      <c r="BS129" s="63">
        <f t="shared" si="93"/>
        <v>0</v>
      </c>
      <c r="BT129" s="63">
        <f t="shared" si="67"/>
        <v>0</v>
      </c>
      <c r="BU129" s="63">
        <f t="shared" si="68"/>
        <v>0</v>
      </c>
      <c r="BV129" s="57">
        <f t="shared" si="69"/>
        <v>0</v>
      </c>
      <c r="BW129" s="57">
        <f t="shared" si="70"/>
        <v>0</v>
      </c>
      <c r="BX129" s="57">
        <f t="shared" si="94"/>
        <v>0</v>
      </c>
      <c r="BY129" s="57">
        <f t="shared" si="98"/>
        <v>0</v>
      </c>
      <c r="BZ129" s="8">
        <f t="shared" si="71"/>
        <v>0</v>
      </c>
      <c r="CA129" s="8">
        <f t="shared" si="72"/>
        <v>0</v>
      </c>
      <c r="CB129" s="8">
        <f t="shared" si="73"/>
        <v>0</v>
      </c>
      <c r="CC129" s="8">
        <f t="shared" si="74"/>
        <v>0</v>
      </c>
      <c r="CD129" s="8">
        <f t="shared" si="75"/>
        <v>0</v>
      </c>
      <c r="CE129" s="8">
        <f t="shared" si="76"/>
        <v>0</v>
      </c>
      <c r="CF129" s="8">
        <f t="shared" si="77"/>
        <v>0</v>
      </c>
      <c r="CG129" s="8">
        <f t="shared" si="78"/>
        <v>0</v>
      </c>
      <c r="CH129" s="8">
        <f t="shared" si="79"/>
        <v>0</v>
      </c>
      <c r="CI129" s="8">
        <f t="shared" si="80"/>
        <v>0</v>
      </c>
      <c r="CJ129" s="8">
        <f t="shared" si="81"/>
        <v>0</v>
      </c>
      <c r="CK129" s="8">
        <f t="shared" si="82"/>
        <v>0</v>
      </c>
      <c r="CL129" s="8">
        <f t="shared" si="83"/>
        <v>0</v>
      </c>
      <c r="CM129" s="8">
        <f t="shared" si="84"/>
        <v>0</v>
      </c>
      <c r="CN129" s="8">
        <f t="shared" si="85"/>
        <v>0</v>
      </c>
      <c r="CO129" s="8">
        <f t="shared" si="86"/>
        <v>0</v>
      </c>
      <c r="CP129" s="8">
        <f t="shared" si="87"/>
        <v>0</v>
      </c>
      <c r="CQ129" s="8">
        <f t="shared" si="88"/>
        <v>0</v>
      </c>
      <c r="CR129" s="8">
        <f t="shared" si="89"/>
        <v>0</v>
      </c>
      <c r="CS129" s="8">
        <f t="shared" si="90"/>
        <v>0</v>
      </c>
      <c r="CT129" s="8">
        <f t="shared" si="95"/>
        <v>0</v>
      </c>
      <c r="CU129" s="8">
        <f t="shared" si="96"/>
        <v>0</v>
      </c>
      <c r="CV129" s="8">
        <f t="shared" si="97"/>
        <v>0</v>
      </c>
    </row>
    <row r="130" spans="1:100" ht="25.25" customHeight="1" thickTop="1" thickBot="1" x14ac:dyDescent="0.5">
      <c r="A130" s="32"/>
      <c r="B130" s="10"/>
      <c r="C130" s="10"/>
      <c r="D130" s="11"/>
      <c r="E130" s="10"/>
      <c r="F130" s="10"/>
      <c r="G130" s="19"/>
      <c r="H130" s="19"/>
      <c r="I130" s="19"/>
      <c r="J130" s="19"/>
      <c r="K130" s="10"/>
      <c r="L130" s="10"/>
      <c r="M130" s="10"/>
      <c r="N130" s="10"/>
      <c r="O130" s="18"/>
      <c r="P130" s="18"/>
      <c r="Q130" s="21"/>
      <c r="R130" s="20"/>
      <c r="S130" s="16">
        <f t="shared" si="53"/>
        <v>0</v>
      </c>
      <c r="T130" s="11"/>
      <c r="AR130" s="31"/>
      <c r="AS130" s="31">
        <f t="shared" si="54"/>
        <v>0</v>
      </c>
      <c r="AT130" s="31">
        <f t="shared" si="55"/>
        <v>0</v>
      </c>
      <c r="AU130" s="31">
        <f t="shared" si="56"/>
        <v>0</v>
      </c>
      <c r="AV130" s="31">
        <f t="shared" si="57"/>
        <v>0</v>
      </c>
      <c r="AW130" s="31">
        <f t="shared" si="58"/>
        <v>0</v>
      </c>
      <c r="AX130" s="31">
        <f t="shared" si="59"/>
        <v>0</v>
      </c>
      <c r="AY130" s="31">
        <f t="shared" si="60"/>
        <v>0</v>
      </c>
      <c r="AZ130" s="31">
        <f t="shared" si="61"/>
        <v>0</v>
      </c>
      <c r="BA130" s="31">
        <f t="shared" si="62"/>
        <v>0</v>
      </c>
      <c r="BB130" s="31">
        <f t="shared" si="91"/>
        <v>0</v>
      </c>
      <c r="BC130" s="31"/>
      <c r="BD130" s="31"/>
      <c r="BM130" s="8">
        <f t="shared" si="92"/>
        <v>0</v>
      </c>
      <c r="BN130" s="8">
        <f t="shared" si="63"/>
        <v>0</v>
      </c>
      <c r="BO130" s="8">
        <f t="shared" si="64"/>
        <v>0</v>
      </c>
      <c r="BQ130" s="8">
        <f t="shared" si="65"/>
        <v>0</v>
      </c>
      <c r="BR130" s="63">
        <f t="shared" si="66"/>
        <v>0</v>
      </c>
      <c r="BS130" s="63">
        <f t="shared" si="93"/>
        <v>0</v>
      </c>
      <c r="BT130" s="63">
        <f t="shared" si="67"/>
        <v>0</v>
      </c>
      <c r="BU130" s="63">
        <f t="shared" si="68"/>
        <v>0</v>
      </c>
      <c r="BV130" s="57">
        <f t="shared" si="69"/>
        <v>0</v>
      </c>
      <c r="BW130" s="57">
        <f t="shared" si="70"/>
        <v>0</v>
      </c>
      <c r="BX130" s="57">
        <f t="shared" si="94"/>
        <v>0</v>
      </c>
      <c r="BY130" s="57">
        <f t="shared" si="98"/>
        <v>0</v>
      </c>
      <c r="BZ130" s="8">
        <f t="shared" si="71"/>
        <v>0</v>
      </c>
      <c r="CA130" s="8">
        <f t="shared" si="72"/>
        <v>0</v>
      </c>
      <c r="CB130" s="8">
        <f t="shared" si="73"/>
        <v>0</v>
      </c>
      <c r="CC130" s="8">
        <f t="shared" si="74"/>
        <v>0</v>
      </c>
      <c r="CD130" s="8">
        <f t="shared" si="75"/>
        <v>0</v>
      </c>
      <c r="CE130" s="8">
        <f t="shared" si="76"/>
        <v>0</v>
      </c>
      <c r="CF130" s="8">
        <f t="shared" si="77"/>
        <v>0</v>
      </c>
      <c r="CG130" s="8">
        <f t="shared" si="78"/>
        <v>0</v>
      </c>
      <c r="CH130" s="8">
        <f t="shared" si="79"/>
        <v>0</v>
      </c>
      <c r="CI130" s="8">
        <f t="shared" si="80"/>
        <v>0</v>
      </c>
      <c r="CJ130" s="8">
        <f t="shared" si="81"/>
        <v>0</v>
      </c>
      <c r="CK130" s="8">
        <f t="shared" si="82"/>
        <v>0</v>
      </c>
      <c r="CL130" s="8">
        <f t="shared" si="83"/>
        <v>0</v>
      </c>
      <c r="CM130" s="8">
        <f t="shared" si="84"/>
        <v>0</v>
      </c>
      <c r="CN130" s="8">
        <f t="shared" si="85"/>
        <v>0</v>
      </c>
      <c r="CO130" s="8">
        <f t="shared" si="86"/>
        <v>0</v>
      </c>
      <c r="CP130" s="8">
        <f t="shared" si="87"/>
        <v>0</v>
      </c>
      <c r="CQ130" s="8">
        <f t="shared" si="88"/>
        <v>0</v>
      </c>
      <c r="CR130" s="8">
        <f t="shared" si="89"/>
        <v>0</v>
      </c>
      <c r="CS130" s="8">
        <f t="shared" si="90"/>
        <v>0</v>
      </c>
      <c r="CT130" s="8">
        <f t="shared" si="95"/>
        <v>0</v>
      </c>
      <c r="CU130" s="8">
        <f t="shared" si="96"/>
        <v>0</v>
      </c>
      <c r="CV130" s="8">
        <f t="shared" si="97"/>
        <v>0</v>
      </c>
    </row>
    <row r="131" spans="1:100" ht="25.25" customHeight="1" thickTop="1" thickBot="1" x14ac:dyDescent="0.5">
      <c r="A131" s="32"/>
      <c r="B131" s="10"/>
      <c r="C131" s="10"/>
      <c r="D131" s="11"/>
      <c r="E131" s="10"/>
      <c r="F131" s="10"/>
      <c r="G131" s="19"/>
      <c r="H131" s="19"/>
      <c r="I131" s="19"/>
      <c r="J131" s="19"/>
      <c r="K131" s="10"/>
      <c r="L131" s="10"/>
      <c r="M131" s="10"/>
      <c r="N131" s="10"/>
      <c r="O131" s="18"/>
      <c r="P131" s="18"/>
      <c r="Q131" s="21"/>
      <c r="R131" s="20"/>
      <c r="S131" s="16">
        <f t="shared" si="53"/>
        <v>0</v>
      </c>
      <c r="T131" s="11"/>
      <c r="AR131" s="31"/>
      <c r="AS131" s="31">
        <f t="shared" si="54"/>
        <v>0</v>
      </c>
      <c r="AT131" s="31">
        <f t="shared" si="55"/>
        <v>0</v>
      </c>
      <c r="AU131" s="31">
        <f t="shared" si="56"/>
        <v>0</v>
      </c>
      <c r="AV131" s="31">
        <f t="shared" si="57"/>
        <v>0</v>
      </c>
      <c r="AW131" s="31">
        <f t="shared" si="58"/>
        <v>0</v>
      </c>
      <c r="AX131" s="31">
        <f t="shared" si="59"/>
        <v>0</v>
      </c>
      <c r="AY131" s="31">
        <f t="shared" si="60"/>
        <v>0</v>
      </c>
      <c r="AZ131" s="31">
        <f t="shared" si="61"/>
        <v>0</v>
      </c>
      <c r="BA131" s="31">
        <f t="shared" si="62"/>
        <v>0</v>
      </c>
      <c r="BB131" s="31">
        <f t="shared" si="91"/>
        <v>0</v>
      </c>
      <c r="BC131" s="31"/>
      <c r="BD131" s="31"/>
      <c r="BM131" s="8">
        <f t="shared" si="92"/>
        <v>0</v>
      </c>
      <c r="BN131" s="8">
        <f t="shared" si="63"/>
        <v>0</v>
      </c>
      <c r="BO131" s="8">
        <f t="shared" si="64"/>
        <v>0</v>
      </c>
      <c r="BQ131" s="8">
        <f t="shared" si="65"/>
        <v>0</v>
      </c>
      <c r="BR131" s="63">
        <f t="shared" si="66"/>
        <v>0</v>
      </c>
      <c r="BS131" s="63">
        <f t="shared" si="93"/>
        <v>0</v>
      </c>
      <c r="BT131" s="63">
        <f t="shared" si="67"/>
        <v>0</v>
      </c>
      <c r="BU131" s="63">
        <f t="shared" si="68"/>
        <v>0</v>
      </c>
      <c r="BV131" s="57">
        <f t="shared" si="69"/>
        <v>0</v>
      </c>
      <c r="BW131" s="57">
        <f t="shared" si="70"/>
        <v>0</v>
      </c>
      <c r="BX131" s="57">
        <f t="shared" si="94"/>
        <v>0</v>
      </c>
      <c r="BY131" s="57">
        <f t="shared" si="98"/>
        <v>0</v>
      </c>
      <c r="BZ131" s="8">
        <f t="shared" si="71"/>
        <v>0</v>
      </c>
      <c r="CA131" s="8">
        <f t="shared" si="72"/>
        <v>0</v>
      </c>
      <c r="CB131" s="8">
        <f t="shared" si="73"/>
        <v>0</v>
      </c>
      <c r="CC131" s="8">
        <f t="shared" si="74"/>
        <v>0</v>
      </c>
      <c r="CD131" s="8">
        <f t="shared" si="75"/>
        <v>0</v>
      </c>
      <c r="CE131" s="8">
        <f t="shared" si="76"/>
        <v>0</v>
      </c>
      <c r="CF131" s="8">
        <f t="shared" si="77"/>
        <v>0</v>
      </c>
      <c r="CG131" s="8">
        <f t="shared" si="78"/>
        <v>0</v>
      </c>
      <c r="CH131" s="8">
        <f t="shared" si="79"/>
        <v>0</v>
      </c>
      <c r="CI131" s="8">
        <f t="shared" si="80"/>
        <v>0</v>
      </c>
      <c r="CJ131" s="8">
        <f t="shared" si="81"/>
        <v>0</v>
      </c>
      <c r="CK131" s="8">
        <f t="shared" si="82"/>
        <v>0</v>
      </c>
      <c r="CL131" s="8">
        <f t="shared" si="83"/>
        <v>0</v>
      </c>
      <c r="CM131" s="8">
        <f t="shared" si="84"/>
        <v>0</v>
      </c>
      <c r="CN131" s="8">
        <f t="shared" si="85"/>
        <v>0</v>
      </c>
      <c r="CO131" s="8">
        <f t="shared" si="86"/>
        <v>0</v>
      </c>
      <c r="CP131" s="8">
        <f t="shared" si="87"/>
        <v>0</v>
      </c>
      <c r="CQ131" s="8">
        <f t="shared" si="88"/>
        <v>0</v>
      </c>
      <c r="CR131" s="8">
        <f t="shared" si="89"/>
        <v>0</v>
      </c>
      <c r="CS131" s="8">
        <f t="shared" si="90"/>
        <v>0</v>
      </c>
      <c r="CT131" s="8">
        <f t="shared" si="95"/>
        <v>0</v>
      </c>
      <c r="CU131" s="8">
        <f t="shared" si="96"/>
        <v>0</v>
      </c>
      <c r="CV131" s="8">
        <f t="shared" si="97"/>
        <v>0</v>
      </c>
    </row>
    <row r="132" spans="1:100" ht="25.25" customHeight="1" thickTop="1" thickBot="1" x14ac:dyDescent="0.5">
      <c r="A132" s="32"/>
      <c r="B132" s="10"/>
      <c r="C132" s="10"/>
      <c r="D132" s="11"/>
      <c r="E132" s="10"/>
      <c r="F132" s="10"/>
      <c r="G132" s="19"/>
      <c r="H132" s="19"/>
      <c r="I132" s="19"/>
      <c r="J132" s="19"/>
      <c r="K132" s="10"/>
      <c r="L132" s="10"/>
      <c r="M132" s="10"/>
      <c r="N132" s="10"/>
      <c r="O132" s="18"/>
      <c r="P132" s="18"/>
      <c r="Q132" s="21"/>
      <c r="R132" s="20"/>
      <c r="S132" s="16">
        <f t="shared" ref="S132:S195" si="99">IF(AND(K132="asphalted",M132="sub",BV132&lt;=1,BV132&gt;0),1+2*0.15,IF(AND(K132="asphalted",OR(M132="main",M132="MOT"),BV132&lt;=1,BV132&gt;0),1+2*0.3,IF(AND(K132="asphalted",M132="sub",BV132&gt;1),BV132+2*0.15,IF(AND(K132="asphalted",OR(M132="main",M132="MOT"),BV132&gt;1),BV132+2*0.3,0))))</f>
        <v>0</v>
      </c>
      <c r="T132" s="11"/>
      <c r="AR132" s="31"/>
      <c r="AS132" s="31">
        <f t="shared" ref="AS132:AS195" si="100">IF(F132=1,0.4,IF(F132&gt;1,F132*0.3,0))</f>
        <v>0</v>
      </c>
      <c r="AT132" s="31">
        <f t="shared" ref="AT132:AT195" si="101">IF(AND(G132&lt;4,G132&gt;0),0.4,IF(G132&gt;3,0.4+(G132-3)*0.1,0))</f>
        <v>0</v>
      </c>
      <c r="AU132" s="31">
        <f t="shared" ref="AU132:AU195" si="102">AT132-AS132</f>
        <v>0</v>
      </c>
      <c r="AV132" s="31">
        <f t="shared" ref="AV132:AV195" si="103">IF(AND(OR(OR(E132="normal",E132="special"),E132="special"),F132=0,G132&gt;0,G132&lt;5),"LV"&amp;G132,IF(AND(OR(OR(E132="normal",E132="special"),E132="special"),F132=0,G132&gt;4),"LVCU",IF(AND(OR(OR(E132="normal",E132="special"),E132="special"),F132&gt;4),"MVCU",IF(AND(OR(OR(E132="normal",E132="special"),E132="special"),F132&gt;0,F132&lt;5),"MV"&amp;F132,IF(AND(E132="mini-trench",F132=1),"mini-trench MV",IF(AND(E132="mini-trench",G132&lt;3,G132&lt;&gt;0),"mini-trench LV",0))))))</f>
        <v>0</v>
      </c>
      <c r="AW132" s="31">
        <f t="shared" ref="AW132:AW195" si="104">IF(B132="joint",F132,0)+IF(C132="joint",F132,0)+IF(OR(B132="new ss",B132="ss"),F132*3)+IF(B132="pole",F132*10)+IF(OR(C132="new ss",C132="ss"),F132*3)+IF(C132="pole",F132*10)+IF(B132="grid",F132*30)+IF(C132="grid",F132*30)</f>
        <v>0</v>
      </c>
      <c r="AX132" s="31">
        <f t="shared" ref="AX132:AX195" si="105">IF(J132&gt;0,IF(OR(B132="ss",C132="ss"),J132*3,0)+IF(OR(B132="new ss",C132="new ss"),J132*3,0)+IF(OR(B132="DC",C132="DC"),J132*1.5,0)+IF(OR(B132="new DC",C132="new DC"),J132*1.5,0)+IF(OR(B132="MB",C132="MB"),J132*2,0)+IF(OR(B132="pole",C132="pole"),J132*10,0),0)</f>
        <v>0</v>
      </c>
      <c r="AY132" s="31">
        <f t="shared" ref="AY132:AY195" si="106">IF(I132&gt;0,IF(OR(B132="ss",C132="ss"),I132*3,0)+IF(OR(B132="new ss",C132="new ss"),I132*3,0)+IF(OR(B132="DC",C132="DC"),I132*1.5,0)+IF(OR(B132="new DC",C132="new DC"),J132*1.5,0)+IF(OR(B132="MB",C132="MB"),I132*2,0)+IF(OR(B132="pole",C132="pole"),I132*10,0),0)</f>
        <v>0</v>
      </c>
      <c r="AZ132" s="31">
        <f t="shared" ref="AZ132:AZ195" si="107">IF(H132&gt;0,IF(OR(B132="ss",C132="ss"),H132*3,0)+IF(OR(B132="new ss",C132="new ss"),H132*3,0)+IF(OR(B132="DC",C132="DC"),H132*2,0)+IF(OR(B132="new DC",C132="new DC"),H132*1.5,0)+IF(OR(B132="MB",C132="MB"),H132*2,0)+IF(OR(B132="pole",C132="pole"),H132*10,0)+IF(OR(B132="pole",C132="pole"),H132*10,0),0)</f>
        <v>0</v>
      </c>
      <c r="BA132" s="31">
        <f t="shared" ref="BA132:BA195" si="108">IF(E132="manual",IF(AU132&lt;0,D132*AS132*0.8,IF(AND(AS132&gt;0,AU132&gt;0),D132*AS132*0.8+D132*AU132*0.65,IF(AND(AS132=0,AT132&gt;0),D132*AT132*0.65,0))),0)</f>
        <v>0</v>
      </c>
      <c r="BB132" s="31">
        <f t="shared" si="91"/>
        <v>0</v>
      </c>
      <c r="BC132" s="31"/>
      <c r="BD132" s="31"/>
      <c r="BM132" s="8">
        <f t="shared" si="92"/>
        <v>0</v>
      </c>
      <c r="BN132" s="8">
        <f t="shared" ref="BN132:BN195" si="109">IFERROR(IF(AND(K132="asphalted",E132="mini-trench",R132=""),1*D132,IF(AND(K132="asphalted",R132&gt;0,MandRcalc="Complete M&amp;R area"),R132*D132,IF(AND(K132="asphalted",R132&gt;0,MandRcalc="M&amp;R area - asphalting area"),(R132-BR132/D132)*D132,0))),0)</f>
        <v>0</v>
      </c>
      <c r="BO132" s="8">
        <f t="shared" ref="BO132:BO195" si="110">IF(BQ132&lt;MINEXCNA,0,IF(AND(E132="normal",F132&lt;5,G132&lt;12,K132&lt;&gt;"asphalted",AT132&gt;AS132,AS132&lt;&gt;0),(BQ132-AT132)*0.65,IF(AND(E132="normal",F132&lt;5,G132&lt;12,K132&lt;&gt;"asphalted",AS132&gt;=AT132),(BQ132-AS132)*0.8,IF(AND(E132="normal",F132&lt;5,G132&lt;12,K132&lt;&gt;"asphalted",AT132&gt;0,AS132=0),(BQ132-AT132)*0.65,0)))*D132)</f>
        <v>0</v>
      </c>
      <c r="BQ132" s="8">
        <f t="shared" ref="BQ132:BQ195" si="111">IF(E132="special",O132,IF(AND(OR(E132="normal",E132="manual"),O132="",K132="asphalted",BV132&lt;=MINEXC),MINEXC,IF(AND(OR(E132="normal",E132="manual"),O132&lt;&gt;"",K132="asphalted"),MIN(O132,BV132),IF(AND(OR(E132="normal",E132="manual"),O132="",K132&lt;&gt;"asphalted",BV132&lt;=MINEXCNA),MINEXCNA,IF(AND(OR(E132="normal",E132="manual"),O132&lt;&gt;"",K132&lt;&gt;"asphalted"),MIN(O132,BV132),BV132)))))</f>
        <v>0</v>
      </c>
      <c r="BR132" s="63">
        <f t="shared" ref="BR132:BR195" si="112">IFERROR(IF(AND(E132&lt;&gt;"mini-trecnh",K132="asphalted",Q132&lt;&gt;"",S132=0),D132*Q132,IF(AND(E132&lt;&gt;"mini-trecnh",K132="asphalted",Q132&lt;&gt;"",S132&lt;&gt;0),D132*MIN(Q132,S132),IF(AND(E132&lt;&gt;"mini-trecnh",K132="asphalted",Q132=""),D132*S132,0))),0)</f>
        <v>0</v>
      </c>
      <c r="BS132" s="63">
        <f t="shared" si="93"/>
        <v>0</v>
      </c>
      <c r="BT132" s="63">
        <f t="shared" ref="BT132:BT195" si="113">IF(BQ132&lt;MINEXC,0,IF(AND(E132="normal",F132&lt;5,G132&lt;12,K132="asphalted",AT132&gt;AS132,AS132&lt;&gt;0),(BQ132-AT132)*0.65,IF(AND(E132="normal",F132&lt;5,G132&lt;12,K132="asphalted",AS132&gt;=AT132),(BQ132-AS132)*0.8,IF(AND(E132="normal",F132&lt;5,G132&lt;12,K132="asphalted",AT132&gt;0,AS132=0),(BQ132-AT132)*0.65,0)))*D132)</f>
        <v>0</v>
      </c>
      <c r="BU132" s="63">
        <f t="shared" ref="BU132:BU195" si="114">IF(E132="",0,IF(OR(BT132&gt;0,BO132&gt;0),0,IF(AND(F132&gt;4,G132=0),(BQ132-1.2)*D132*0.8,IF(AND(G132&gt;4,F132=0),(BQ132-0.4)*D132*0.65,IF(OR(AND(G132&gt;4,F132&gt;0),AND(F132&gt;4,G132&gt;0)),(IF(AS132&gt;1.2,(AS132-1.2)*D132*0.8,0)+IF(AT132&gt;AS132,(AT132-AS132)*D132*0.65,0)),0)))))</f>
        <v>0</v>
      </c>
      <c r="BV132" s="57">
        <f t="shared" ref="BV132:BV195" si="115">IF(AND(E132&lt;&gt;"mini-trench",E132&lt;&gt;"special"),MAX(AS132:AT132),0)</f>
        <v>0</v>
      </c>
      <c r="BW132" s="57">
        <f t="shared" ref="BW132:BW195" si="116">IF(AND(E132&lt;&gt;"mini-trench",E132&lt;&gt;"special",BV132&gt;0,BV132&lt;1,K132="asphalted"),IF(O132&lt;&gt;"",MIN(O132,1),1),IF(AND(E132&lt;&gt;"mini-trench",E132&lt;&gt;"special",BV132&gt;0,BV132&gt;1,K132="asphalted"),BV132,0))</f>
        <v>0</v>
      </c>
      <c r="BX132" s="57">
        <f t="shared" si="94"/>
        <v>0</v>
      </c>
      <c r="BY132" s="57">
        <f t="shared" si="98"/>
        <v>0</v>
      </c>
      <c r="BZ132" s="8">
        <f t="shared" ref="BZ132:BZ195" si="117">IF(E132="special",O132*P132*D132-D132*IF(AV132="MV1",0.8*0.4,IF(AV132="MV2",0.8*0.6,IF(AV132="MV3",0.8*0.9,IF(OR(AV132="MV4",AV132="MVCU"),0.8*1.2,IF(AV132="LV1-3",0.65*0.4,IF(OR(AV132="LV4",AV132="LVCU"),0.65*0.5)))))),0)</f>
        <v>0</v>
      </c>
      <c r="CA132" s="8">
        <f t="shared" ref="CA132:CA195" si="118">IF(AND(E132&lt;&gt;"special",K132="Paved interlock"),D132*BV132,IF(AND(E132="special",K132="Paved interlock"),D132*O132,0))</f>
        <v>0</v>
      </c>
      <c r="CB132" s="8">
        <f t="shared" ref="CB132:CB195" si="119">IF(AND(E132&lt;&gt;"special",K132="Paved conc.tiles"),D132*BV132,IF(AND(E132="special",K132="Paved conc.tiles"),D132*O132,0))</f>
        <v>0</v>
      </c>
      <c r="CC132" s="8">
        <f t="shared" ref="CC132:CC195" si="120">IF(AND(E132="special",K132="asphalted"),D132*Q132,0)</f>
        <v>0</v>
      </c>
      <c r="CD132" s="8">
        <f t="shared" ref="CD132:CD195" si="121">IF(OR(K132="Paved interlock",K132="Paved conc.tiles"),1,0)</f>
        <v>0</v>
      </c>
      <c r="CE132" s="8">
        <f t="shared" ref="CE132:CE195" si="122">IFERROR(BR132/D132,0)</f>
        <v>0</v>
      </c>
      <c r="CF132" s="8">
        <f t="shared" ref="CF132:CF195" si="123">IF(AND(F132&gt;0,B132="j transition"),F132,0)+IF(AND(F132&gt;0,C132="j transition"),F132,0)</f>
        <v>0</v>
      </c>
      <c r="CG132" s="8">
        <f t="shared" ref="CG132:CG195" si="124">IF(AND(F132&gt;0,OR(B132="grid",B132="ss",B132="pole",B132="new ss")),F132,0)+IF(AND(F132&gt;0,OR(C132="grid",C132="ss",C132="pole",C132="new ss")),F132,0)</f>
        <v>0</v>
      </c>
      <c r="CH132" s="8">
        <f t="shared" ref="CH132:CH195" si="125">IF(AND(F132&gt;0,B132="joint"),F132,0)+IF(AND(F132&gt;0,C132="joint"),F132,0)+IF(AND(F132&gt;0,B132="j transition"),F132,0)+IF(AND(F132&gt;0,C132="j transition"),F132,0)</f>
        <v>0</v>
      </c>
      <c r="CI132" s="8">
        <f t="shared" ref="CI132:CI195" si="126">IF(AND(H132&gt;0,B132="joint"),H132,0)+IF(AND(H132&gt;0,C132="joint"),H132,0)</f>
        <v>0</v>
      </c>
      <c r="CJ132" s="8">
        <f t="shared" ref="CJ132:CJ195" si="127">IF(AND(I132&gt;0,B132="joint"),I132,0)+IF(AND(I132&gt;0,C132="joint"),I132,0)</f>
        <v>0</v>
      </c>
      <c r="CK132" s="8">
        <f t="shared" ref="CK132:CK195" si="128">IF(AND(J132&gt;0,B132="joint"),J132,0)+IF(AND(J132&gt;0,C132="joint"),J132,0)</f>
        <v>0</v>
      </c>
      <c r="CL132" s="8">
        <f t="shared" ref="CL132:CL195" si="129">IF(AND(H132&gt;0,OR(B132="ss",B132="new ss",B132="DC",B132="new DC")),H132,0)+IF(AND(H132&gt;0,OR(C132="new ss",C132="ss",C132="DC",C132="new DC")),H132,0)</f>
        <v>0</v>
      </c>
      <c r="CM132" s="8">
        <f t="shared" ref="CM132:CM195" si="130">CO132+CP132</f>
        <v>0</v>
      </c>
      <c r="CN132" s="8">
        <f t="shared" ref="CN132:CN195" si="131">IF(OR(B132="new DC",C132="new DC"),H132,0)</f>
        <v>0</v>
      </c>
      <c r="CO132" s="8">
        <f t="shared" ref="CO132:CO195" si="132">IF(AND(J132&gt;0,OR(B132="ss",B132="new ss",B132="DC",B132="new DC")),J132,0)+IF(AND(J132&gt;0,OR(C132="new ss",C132="ss",C132="DC",C132="new DC")),J132,0)</f>
        <v>0</v>
      </c>
      <c r="CP132" s="8">
        <f t="shared" ref="CP132:CP195" si="133">IF(AND(I132&gt;0,OR(B132="ss",B132="new ss",B132="DC",B132="new DC")),I132,0)+IF(AND(I132&gt;0,OR(C132="new ss",C132="ss",C132="DC",C132="new DC")),I132,0)</f>
        <v>0</v>
      </c>
      <c r="CQ132" s="8">
        <f t="shared" ref="CQ132:CQ195" si="134">IF(AND(F132&gt;0,OR(B132="ss",B132="new ss")),F132,0)+IF(AND(F132&gt;0,OR(C132="ss",C132="new ss")),F132,0)</f>
        <v>0</v>
      </c>
      <c r="CR132" s="8">
        <f t="shared" ref="CR132:CR195" si="135">IF(AND(F132&gt;0,OR(B132="grid")),F132,0)+IF(AND(F132&gt;0,OR(C132="grid")),F132,0)</f>
        <v>0</v>
      </c>
      <c r="CS132" s="8">
        <f t="shared" ref="CS132:CS195" si="136">IF(AND(F132&gt;0,OR(B132="pole")),F132,0)+IF(AND(F132&gt;0,OR(C132="pole")),F132,0)</f>
        <v>0</v>
      </c>
      <c r="CT132" s="8">
        <f t="shared" si="95"/>
        <v>0</v>
      </c>
      <c r="CU132" s="8">
        <f t="shared" si="96"/>
        <v>0</v>
      </c>
      <c r="CV132" s="8">
        <f t="shared" si="97"/>
        <v>0</v>
      </c>
    </row>
    <row r="133" spans="1:100" ht="25.25" customHeight="1" thickTop="1" thickBot="1" x14ac:dyDescent="0.5">
      <c r="A133" s="32"/>
      <c r="B133" s="10"/>
      <c r="C133" s="10"/>
      <c r="D133" s="11"/>
      <c r="E133" s="10"/>
      <c r="F133" s="10"/>
      <c r="G133" s="19"/>
      <c r="H133" s="19"/>
      <c r="I133" s="19"/>
      <c r="J133" s="19"/>
      <c r="K133" s="10"/>
      <c r="L133" s="10"/>
      <c r="M133" s="10"/>
      <c r="N133" s="10"/>
      <c r="O133" s="18"/>
      <c r="P133" s="18"/>
      <c r="Q133" s="21"/>
      <c r="R133" s="20"/>
      <c r="S133" s="16">
        <f t="shared" si="99"/>
        <v>0</v>
      </c>
      <c r="T133" s="11"/>
      <c r="AR133" s="31"/>
      <c r="AS133" s="31">
        <f t="shared" si="100"/>
        <v>0</v>
      </c>
      <c r="AT133" s="31">
        <f t="shared" si="101"/>
        <v>0</v>
      </c>
      <c r="AU133" s="31">
        <f t="shared" si="102"/>
        <v>0</v>
      </c>
      <c r="AV133" s="31">
        <f t="shared" si="103"/>
        <v>0</v>
      </c>
      <c r="AW133" s="31">
        <f t="shared" si="104"/>
        <v>0</v>
      </c>
      <c r="AX133" s="31">
        <f t="shared" si="105"/>
        <v>0</v>
      </c>
      <c r="AY133" s="31">
        <f t="shared" si="106"/>
        <v>0</v>
      </c>
      <c r="AZ133" s="31">
        <f t="shared" si="107"/>
        <v>0</v>
      </c>
      <c r="BA133" s="31">
        <f t="shared" si="108"/>
        <v>0</v>
      </c>
      <c r="BB133" s="31">
        <f t="shared" ref="BB133:BB196" si="137">IFERROR(IF(BN133&gt;0,0,IF(AND(E133="normal",(BR133/D133)&gt;1),BR133,0)),0)</f>
        <v>0</v>
      </c>
      <c r="BC133" s="31"/>
      <c r="BD133" s="31"/>
      <c r="BM133" s="8">
        <f t="shared" ref="BM133:BM196" si="138">IF(AND(E133&lt;&gt;"special",K133="Concrete"),D133*BV133,IF(AND(E133="special",K133="Concrete"),D133*O133,0))</f>
        <v>0</v>
      </c>
      <c r="BN133" s="8">
        <f t="shared" si="109"/>
        <v>0</v>
      </c>
      <c r="BO133" s="8">
        <f t="shared" si="110"/>
        <v>0</v>
      </c>
      <c r="BQ133" s="8">
        <f t="shared" si="111"/>
        <v>0</v>
      </c>
      <c r="BR133" s="63">
        <f t="shared" si="112"/>
        <v>0</v>
      </c>
      <c r="BS133" s="63">
        <f t="shared" ref="BS133:BS196" si="139">BN133 + IF(BN133&gt;0,IF(R132=0, R133, 0) + IF(R134=0, R133, 0),0)</f>
        <v>0</v>
      </c>
      <c r="BT133" s="63">
        <f t="shared" si="113"/>
        <v>0</v>
      </c>
      <c r="BU133" s="63">
        <f t="shared" si="114"/>
        <v>0</v>
      </c>
      <c r="BV133" s="57">
        <f t="shared" si="115"/>
        <v>0</v>
      </c>
      <c r="BW133" s="57">
        <f t="shared" si="116"/>
        <v>0</v>
      </c>
      <c r="BX133" s="57">
        <f t="shared" ref="BX133:BX196" si="140">IF(AND(R133&gt;0,MandRcalc="Asphalting then M&amp;R"),R133*D133,IF(AND(R133&gt;0,MandRcalc="Milling then Repaving"),(R133-BR133)*D133,0))</f>
        <v>0</v>
      </c>
      <c r="BY133" s="57">
        <f t="shared" si="98"/>
        <v>0</v>
      </c>
      <c r="BZ133" s="8">
        <f t="shared" si="117"/>
        <v>0</v>
      </c>
      <c r="CA133" s="8">
        <f t="shared" si="118"/>
        <v>0</v>
      </c>
      <c r="CB133" s="8">
        <f t="shared" si="119"/>
        <v>0</v>
      </c>
      <c r="CC133" s="8">
        <f t="shared" si="120"/>
        <v>0</v>
      </c>
      <c r="CD133" s="8">
        <f t="shared" si="121"/>
        <v>0</v>
      </c>
      <c r="CE133" s="8">
        <f t="shared" si="122"/>
        <v>0</v>
      </c>
      <c r="CF133" s="8">
        <f t="shared" si="123"/>
        <v>0</v>
      </c>
      <c r="CG133" s="8">
        <f t="shared" si="124"/>
        <v>0</v>
      </c>
      <c r="CH133" s="8">
        <f t="shared" si="125"/>
        <v>0</v>
      </c>
      <c r="CI133" s="8">
        <f t="shared" si="126"/>
        <v>0</v>
      </c>
      <c r="CJ133" s="8">
        <f t="shared" si="127"/>
        <v>0</v>
      </c>
      <c r="CK133" s="8">
        <f t="shared" si="128"/>
        <v>0</v>
      </c>
      <c r="CL133" s="8">
        <f t="shared" si="129"/>
        <v>0</v>
      </c>
      <c r="CM133" s="8">
        <f t="shared" si="130"/>
        <v>0</v>
      </c>
      <c r="CN133" s="8">
        <f t="shared" si="131"/>
        <v>0</v>
      </c>
      <c r="CO133" s="8">
        <f t="shared" si="132"/>
        <v>0</v>
      </c>
      <c r="CP133" s="8">
        <f t="shared" si="133"/>
        <v>0</v>
      </c>
      <c r="CQ133" s="8">
        <f t="shared" si="134"/>
        <v>0</v>
      </c>
      <c r="CR133" s="8">
        <f t="shared" si="135"/>
        <v>0</v>
      </c>
      <c r="CS133" s="8">
        <f t="shared" si="136"/>
        <v>0</v>
      </c>
      <c r="CT133" s="8">
        <f t="shared" si="95"/>
        <v>0</v>
      </c>
      <c r="CU133" s="8">
        <f t="shared" si="96"/>
        <v>0</v>
      </c>
      <c r="CV133" s="8">
        <f t="shared" si="97"/>
        <v>0</v>
      </c>
    </row>
    <row r="134" spans="1:100" ht="25.25" customHeight="1" thickTop="1" thickBot="1" x14ac:dyDescent="0.5">
      <c r="A134" s="32"/>
      <c r="B134" s="10"/>
      <c r="C134" s="10"/>
      <c r="D134" s="11"/>
      <c r="E134" s="10"/>
      <c r="F134" s="10"/>
      <c r="G134" s="19"/>
      <c r="H134" s="19"/>
      <c r="I134" s="19"/>
      <c r="J134" s="19"/>
      <c r="K134" s="10"/>
      <c r="L134" s="10"/>
      <c r="M134" s="10"/>
      <c r="N134" s="10"/>
      <c r="O134" s="18"/>
      <c r="P134" s="18"/>
      <c r="Q134" s="21"/>
      <c r="R134" s="20"/>
      <c r="S134" s="16">
        <f t="shared" si="99"/>
        <v>0</v>
      </c>
      <c r="T134" s="11"/>
      <c r="AR134" s="31"/>
      <c r="AS134" s="31">
        <f t="shared" si="100"/>
        <v>0</v>
      </c>
      <c r="AT134" s="31">
        <f t="shared" si="101"/>
        <v>0</v>
      </c>
      <c r="AU134" s="31">
        <f t="shared" si="102"/>
        <v>0</v>
      </c>
      <c r="AV134" s="31">
        <f t="shared" si="103"/>
        <v>0</v>
      </c>
      <c r="AW134" s="31">
        <f t="shared" si="104"/>
        <v>0</v>
      </c>
      <c r="AX134" s="31">
        <f t="shared" si="105"/>
        <v>0</v>
      </c>
      <c r="AY134" s="31">
        <f t="shared" si="106"/>
        <v>0</v>
      </c>
      <c r="AZ134" s="31">
        <f t="shared" si="107"/>
        <v>0</v>
      </c>
      <c r="BA134" s="31">
        <f t="shared" si="108"/>
        <v>0</v>
      </c>
      <c r="BB134" s="31">
        <f t="shared" si="137"/>
        <v>0</v>
      </c>
      <c r="BC134" s="31"/>
      <c r="BD134" s="31"/>
      <c r="BM134" s="8">
        <f t="shared" si="138"/>
        <v>0</v>
      </c>
      <c r="BN134" s="8">
        <f t="shared" si="109"/>
        <v>0</v>
      </c>
      <c r="BO134" s="8">
        <f t="shared" si="110"/>
        <v>0</v>
      </c>
      <c r="BQ134" s="8">
        <f t="shared" si="111"/>
        <v>0</v>
      </c>
      <c r="BR134" s="63">
        <f t="shared" si="112"/>
        <v>0</v>
      </c>
      <c r="BS134" s="63">
        <f t="shared" si="139"/>
        <v>0</v>
      </c>
      <c r="BT134" s="63">
        <f t="shared" si="113"/>
        <v>0</v>
      </c>
      <c r="BU134" s="63">
        <f t="shared" si="114"/>
        <v>0</v>
      </c>
      <c r="BV134" s="57">
        <f t="shared" si="115"/>
        <v>0</v>
      </c>
      <c r="BW134" s="57">
        <f t="shared" si="116"/>
        <v>0</v>
      </c>
      <c r="BX134" s="57">
        <f t="shared" si="140"/>
        <v>0</v>
      </c>
      <c r="BY134" s="57">
        <f t="shared" si="98"/>
        <v>0</v>
      </c>
      <c r="BZ134" s="8">
        <f t="shared" si="117"/>
        <v>0</v>
      </c>
      <c r="CA134" s="8">
        <f t="shared" si="118"/>
        <v>0</v>
      </c>
      <c r="CB134" s="8">
        <f t="shared" si="119"/>
        <v>0</v>
      </c>
      <c r="CC134" s="8">
        <f t="shared" si="120"/>
        <v>0</v>
      </c>
      <c r="CD134" s="8">
        <f t="shared" si="121"/>
        <v>0</v>
      </c>
      <c r="CE134" s="8">
        <f t="shared" si="122"/>
        <v>0</v>
      </c>
      <c r="CF134" s="8">
        <f t="shared" si="123"/>
        <v>0</v>
      </c>
      <c r="CG134" s="8">
        <f t="shared" si="124"/>
        <v>0</v>
      </c>
      <c r="CH134" s="8">
        <f t="shared" si="125"/>
        <v>0</v>
      </c>
      <c r="CI134" s="8">
        <f t="shared" si="126"/>
        <v>0</v>
      </c>
      <c r="CJ134" s="8">
        <f t="shared" si="127"/>
        <v>0</v>
      </c>
      <c r="CK134" s="8">
        <f t="shared" si="128"/>
        <v>0</v>
      </c>
      <c r="CL134" s="8">
        <f t="shared" si="129"/>
        <v>0</v>
      </c>
      <c r="CM134" s="8">
        <f t="shared" si="130"/>
        <v>0</v>
      </c>
      <c r="CN134" s="8">
        <f t="shared" si="131"/>
        <v>0</v>
      </c>
      <c r="CO134" s="8">
        <f t="shared" si="132"/>
        <v>0</v>
      </c>
      <c r="CP134" s="8">
        <f t="shared" si="133"/>
        <v>0</v>
      </c>
      <c r="CQ134" s="8">
        <f t="shared" si="134"/>
        <v>0</v>
      </c>
      <c r="CR134" s="8">
        <f t="shared" si="135"/>
        <v>0</v>
      </c>
      <c r="CS134" s="8">
        <f t="shared" si="136"/>
        <v>0</v>
      </c>
      <c r="CT134" s="8">
        <f t="shared" si="95"/>
        <v>0</v>
      </c>
      <c r="CU134" s="8">
        <f t="shared" si="96"/>
        <v>0</v>
      </c>
      <c r="CV134" s="8">
        <f t="shared" si="97"/>
        <v>0</v>
      </c>
    </row>
    <row r="135" spans="1:100" ht="25.25" customHeight="1" thickTop="1" thickBot="1" x14ac:dyDescent="0.5">
      <c r="A135" s="32"/>
      <c r="B135" s="10"/>
      <c r="C135" s="10"/>
      <c r="D135" s="11"/>
      <c r="E135" s="10"/>
      <c r="F135" s="10"/>
      <c r="G135" s="19"/>
      <c r="H135" s="19"/>
      <c r="I135" s="19"/>
      <c r="J135" s="19"/>
      <c r="K135" s="10"/>
      <c r="L135" s="10"/>
      <c r="M135" s="10"/>
      <c r="N135" s="10"/>
      <c r="O135" s="18"/>
      <c r="P135" s="18"/>
      <c r="Q135" s="21"/>
      <c r="R135" s="20"/>
      <c r="S135" s="16">
        <f t="shared" si="99"/>
        <v>0</v>
      </c>
      <c r="T135" s="11"/>
      <c r="AR135" s="31"/>
      <c r="AS135" s="31">
        <f t="shared" si="100"/>
        <v>0</v>
      </c>
      <c r="AT135" s="31">
        <f t="shared" si="101"/>
        <v>0</v>
      </c>
      <c r="AU135" s="31">
        <f t="shared" si="102"/>
        <v>0</v>
      </c>
      <c r="AV135" s="31">
        <f t="shared" si="103"/>
        <v>0</v>
      </c>
      <c r="AW135" s="31">
        <f t="shared" si="104"/>
        <v>0</v>
      </c>
      <c r="AX135" s="31">
        <f t="shared" si="105"/>
        <v>0</v>
      </c>
      <c r="AY135" s="31">
        <f t="shared" si="106"/>
        <v>0</v>
      </c>
      <c r="AZ135" s="31">
        <f t="shared" si="107"/>
        <v>0</v>
      </c>
      <c r="BA135" s="31">
        <f t="shared" si="108"/>
        <v>0</v>
      </c>
      <c r="BB135" s="31">
        <f t="shared" si="137"/>
        <v>0</v>
      </c>
      <c r="BC135" s="31"/>
      <c r="BD135" s="31"/>
      <c r="BM135" s="8">
        <f t="shared" si="138"/>
        <v>0</v>
      </c>
      <c r="BN135" s="8">
        <f t="shared" si="109"/>
        <v>0</v>
      </c>
      <c r="BO135" s="8">
        <f t="shared" si="110"/>
        <v>0</v>
      </c>
      <c r="BQ135" s="8">
        <f t="shared" si="111"/>
        <v>0</v>
      </c>
      <c r="BR135" s="63">
        <f t="shared" si="112"/>
        <v>0</v>
      </c>
      <c r="BS135" s="63">
        <f t="shared" si="139"/>
        <v>0</v>
      </c>
      <c r="BT135" s="63">
        <f t="shared" si="113"/>
        <v>0</v>
      </c>
      <c r="BU135" s="63">
        <f t="shared" si="114"/>
        <v>0</v>
      </c>
      <c r="BV135" s="57">
        <f t="shared" si="115"/>
        <v>0</v>
      </c>
      <c r="BW135" s="57">
        <f t="shared" si="116"/>
        <v>0</v>
      </c>
      <c r="BX135" s="57">
        <f t="shared" si="140"/>
        <v>0</v>
      </c>
      <c r="BY135" s="57">
        <f t="shared" si="98"/>
        <v>0</v>
      </c>
      <c r="BZ135" s="8">
        <f t="shared" si="117"/>
        <v>0</v>
      </c>
      <c r="CA135" s="8">
        <f t="shared" si="118"/>
        <v>0</v>
      </c>
      <c r="CB135" s="8">
        <f t="shared" si="119"/>
        <v>0</v>
      </c>
      <c r="CC135" s="8">
        <f t="shared" si="120"/>
        <v>0</v>
      </c>
      <c r="CD135" s="8">
        <f t="shared" si="121"/>
        <v>0</v>
      </c>
      <c r="CE135" s="8">
        <f t="shared" si="122"/>
        <v>0</v>
      </c>
      <c r="CF135" s="8">
        <f t="shared" si="123"/>
        <v>0</v>
      </c>
      <c r="CG135" s="8">
        <f t="shared" si="124"/>
        <v>0</v>
      </c>
      <c r="CH135" s="8">
        <f t="shared" si="125"/>
        <v>0</v>
      </c>
      <c r="CI135" s="8">
        <f t="shared" si="126"/>
        <v>0</v>
      </c>
      <c r="CJ135" s="8">
        <f t="shared" si="127"/>
        <v>0</v>
      </c>
      <c r="CK135" s="8">
        <f t="shared" si="128"/>
        <v>0</v>
      </c>
      <c r="CL135" s="8">
        <f t="shared" si="129"/>
        <v>0</v>
      </c>
      <c r="CM135" s="8">
        <f t="shared" si="130"/>
        <v>0</v>
      </c>
      <c r="CN135" s="8">
        <f t="shared" si="131"/>
        <v>0</v>
      </c>
      <c r="CO135" s="8">
        <f t="shared" si="132"/>
        <v>0</v>
      </c>
      <c r="CP135" s="8">
        <f t="shared" si="133"/>
        <v>0</v>
      </c>
      <c r="CQ135" s="8">
        <f t="shared" si="134"/>
        <v>0</v>
      </c>
      <c r="CR135" s="8">
        <f t="shared" si="135"/>
        <v>0</v>
      </c>
      <c r="CS135" s="8">
        <f t="shared" si="136"/>
        <v>0</v>
      </c>
      <c r="CT135" s="8">
        <f t="shared" si="95"/>
        <v>0</v>
      </c>
      <c r="CU135" s="8">
        <f t="shared" si="96"/>
        <v>0</v>
      </c>
      <c r="CV135" s="8">
        <f t="shared" si="97"/>
        <v>0</v>
      </c>
    </row>
    <row r="136" spans="1:100" ht="25.25" customHeight="1" thickTop="1" thickBot="1" x14ac:dyDescent="0.5">
      <c r="A136" s="32"/>
      <c r="B136" s="10"/>
      <c r="C136" s="10"/>
      <c r="D136" s="11"/>
      <c r="E136" s="10"/>
      <c r="F136" s="10"/>
      <c r="G136" s="19"/>
      <c r="H136" s="19"/>
      <c r="I136" s="19"/>
      <c r="J136" s="19"/>
      <c r="K136" s="10"/>
      <c r="L136" s="10"/>
      <c r="M136" s="10"/>
      <c r="N136" s="10"/>
      <c r="O136" s="18"/>
      <c r="P136" s="18"/>
      <c r="Q136" s="21"/>
      <c r="R136" s="20"/>
      <c r="S136" s="16">
        <f t="shared" si="99"/>
        <v>0</v>
      </c>
      <c r="T136" s="11"/>
      <c r="AR136" s="31"/>
      <c r="AS136" s="31">
        <f t="shared" si="100"/>
        <v>0</v>
      </c>
      <c r="AT136" s="31">
        <f t="shared" si="101"/>
        <v>0</v>
      </c>
      <c r="AU136" s="31">
        <f t="shared" si="102"/>
        <v>0</v>
      </c>
      <c r="AV136" s="31">
        <f t="shared" si="103"/>
        <v>0</v>
      </c>
      <c r="AW136" s="31">
        <f t="shared" si="104"/>
        <v>0</v>
      </c>
      <c r="AX136" s="31">
        <f t="shared" si="105"/>
        <v>0</v>
      </c>
      <c r="AY136" s="31">
        <f t="shared" si="106"/>
        <v>0</v>
      </c>
      <c r="AZ136" s="31">
        <f t="shared" si="107"/>
        <v>0</v>
      </c>
      <c r="BA136" s="31">
        <f t="shared" si="108"/>
        <v>0</v>
      </c>
      <c r="BB136" s="31">
        <f t="shared" si="137"/>
        <v>0</v>
      </c>
      <c r="BC136" s="31"/>
      <c r="BD136" s="31"/>
      <c r="BM136" s="8">
        <f t="shared" si="138"/>
        <v>0</v>
      </c>
      <c r="BN136" s="8">
        <f t="shared" si="109"/>
        <v>0</v>
      </c>
      <c r="BO136" s="8">
        <f t="shared" si="110"/>
        <v>0</v>
      </c>
      <c r="BQ136" s="8">
        <f t="shared" si="111"/>
        <v>0</v>
      </c>
      <c r="BR136" s="63">
        <f t="shared" si="112"/>
        <v>0</v>
      </c>
      <c r="BS136" s="63">
        <f t="shared" si="139"/>
        <v>0</v>
      </c>
      <c r="BT136" s="63">
        <f t="shared" si="113"/>
        <v>0</v>
      </c>
      <c r="BU136" s="63">
        <f t="shared" si="114"/>
        <v>0</v>
      </c>
      <c r="BV136" s="57">
        <f t="shared" si="115"/>
        <v>0</v>
      </c>
      <c r="BW136" s="57">
        <f t="shared" si="116"/>
        <v>0</v>
      </c>
      <c r="BX136" s="57">
        <f t="shared" si="140"/>
        <v>0</v>
      </c>
      <c r="BY136" s="57">
        <f t="shared" si="98"/>
        <v>0</v>
      </c>
      <c r="BZ136" s="8">
        <f t="shared" si="117"/>
        <v>0</v>
      </c>
      <c r="CA136" s="8">
        <f t="shared" si="118"/>
        <v>0</v>
      </c>
      <c r="CB136" s="8">
        <f t="shared" si="119"/>
        <v>0</v>
      </c>
      <c r="CC136" s="8">
        <f t="shared" si="120"/>
        <v>0</v>
      </c>
      <c r="CD136" s="8">
        <f t="shared" si="121"/>
        <v>0</v>
      </c>
      <c r="CE136" s="8">
        <f t="shared" si="122"/>
        <v>0</v>
      </c>
      <c r="CF136" s="8">
        <f t="shared" si="123"/>
        <v>0</v>
      </c>
      <c r="CG136" s="8">
        <f t="shared" si="124"/>
        <v>0</v>
      </c>
      <c r="CH136" s="8">
        <f t="shared" si="125"/>
        <v>0</v>
      </c>
      <c r="CI136" s="8">
        <f t="shared" si="126"/>
        <v>0</v>
      </c>
      <c r="CJ136" s="8">
        <f t="shared" si="127"/>
        <v>0</v>
      </c>
      <c r="CK136" s="8">
        <f t="shared" si="128"/>
        <v>0</v>
      </c>
      <c r="CL136" s="8">
        <f t="shared" si="129"/>
        <v>0</v>
      </c>
      <c r="CM136" s="8">
        <f t="shared" si="130"/>
        <v>0</v>
      </c>
      <c r="CN136" s="8">
        <f t="shared" si="131"/>
        <v>0</v>
      </c>
      <c r="CO136" s="8">
        <f t="shared" si="132"/>
        <v>0</v>
      </c>
      <c r="CP136" s="8">
        <f t="shared" si="133"/>
        <v>0</v>
      </c>
      <c r="CQ136" s="8">
        <f t="shared" si="134"/>
        <v>0</v>
      </c>
      <c r="CR136" s="8">
        <f t="shared" si="135"/>
        <v>0</v>
      </c>
      <c r="CS136" s="8">
        <f t="shared" si="136"/>
        <v>0</v>
      </c>
      <c r="CT136" s="8">
        <f t="shared" si="95"/>
        <v>0</v>
      </c>
      <c r="CU136" s="8">
        <f t="shared" si="96"/>
        <v>0</v>
      </c>
      <c r="CV136" s="8">
        <f t="shared" si="97"/>
        <v>0</v>
      </c>
    </row>
    <row r="137" spans="1:100" ht="25.25" customHeight="1" thickTop="1" thickBot="1" x14ac:dyDescent="0.5">
      <c r="A137" s="32"/>
      <c r="B137" s="10"/>
      <c r="C137" s="10"/>
      <c r="D137" s="11"/>
      <c r="E137" s="10"/>
      <c r="F137" s="10"/>
      <c r="G137" s="19"/>
      <c r="H137" s="19"/>
      <c r="I137" s="19"/>
      <c r="J137" s="19"/>
      <c r="K137" s="10"/>
      <c r="L137" s="10"/>
      <c r="M137" s="10"/>
      <c r="N137" s="10"/>
      <c r="O137" s="18"/>
      <c r="P137" s="18"/>
      <c r="Q137" s="21"/>
      <c r="R137" s="20"/>
      <c r="S137" s="16">
        <f t="shared" si="99"/>
        <v>0</v>
      </c>
      <c r="T137" s="11"/>
      <c r="AR137" s="31"/>
      <c r="AS137" s="31">
        <f t="shared" si="100"/>
        <v>0</v>
      </c>
      <c r="AT137" s="31">
        <f t="shared" si="101"/>
        <v>0</v>
      </c>
      <c r="AU137" s="31">
        <f t="shared" si="102"/>
        <v>0</v>
      </c>
      <c r="AV137" s="31">
        <f t="shared" si="103"/>
        <v>0</v>
      </c>
      <c r="AW137" s="31">
        <f t="shared" si="104"/>
        <v>0</v>
      </c>
      <c r="AX137" s="31">
        <f t="shared" si="105"/>
        <v>0</v>
      </c>
      <c r="AY137" s="31">
        <f t="shared" si="106"/>
        <v>0</v>
      </c>
      <c r="AZ137" s="31">
        <f t="shared" si="107"/>
        <v>0</v>
      </c>
      <c r="BA137" s="31">
        <f t="shared" si="108"/>
        <v>0</v>
      </c>
      <c r="BB137" s="31">
        <f t="shared" si="137"/>
        <v>0</v>
      </c>
      <c r="BC137" s="31"/>
      <c r="BD137" s="31"/>
      <c r="BM137" s="8">
        <f t="shared" si="138"/>
        <v>0</v>
      </c>
      <c r="BN137" s="8">
        <f t="shared" si="109"/>
        <v>0</v>
      </c>
      <c r="BO137" s="8">
        <f t="shared" si="110"/>
        <v>0</v>
      </c>
      <c r="BQ137" s="8">
        <f t="shared" si="111"/>
        <v>0</v>
      </c>
      <c r="BR137" s="63">
        <f t="shared" si="112"/>
        <v>0</v>
      </c>
      <c r="BS137" s="63">
        <f t="shared" si="139"/>
        <v>0</v>
      </c>
      <c r="BT137" s="63">
        <f t="shared" si="113"/>
        <v>0</v>
      </c>
      <c r="BU137" s="63">
        <f t="shared" si="114"/>
        <v>0</v>
      </c>
      <c r="BV137" s="57">
        <f t="shared" si="115"/>
        <v>0</v>
      </c>
      <c r="BW137" s="57">
        <f t="shared" si="116"/>
        <v>0</v>
      </c>
      <c r="BX137" s="57">
        <f t="shared" si="140"/>
        <v>0</v>
      </c>
      <c r="BY137" s="57">
        <f t="shared" si="98"/>
        <v>0</v>
      </c>
      <c r="BZ137" s="8">
        <f t="shared" si="117"/>
        <v>0</v>
      </c>
      <c r="CA137" s="8">
        <f t="shared" si="118"/>
        <v>0</v>
      </c>
      <c r="CB137" s="8">
        <f t="shared" si="119"/>
        <v>0</v>
      </c>
      <c r="CC137" s="8">
        <f t="shared" si="120"/>
        <v>0</v>
      </c>
      <c r="CD137" s="8">
        <f t="shared" si="121"/>
        <v>0</v>
      </c>
      <c r="CE137" s="8">
        <f t="shared" si="122"/>
        <v>0</v>
      </c>
      <c r="CF137" s="8">
        <f t="shared" si="123"/>
        <v>0</v>
      </c>
      <c r="CG137" s="8">
        <f t="shared" si="124"/>
        <v>0</v>
      </c>
      <c r="CH137" s="8">
        <f t="shared" si="125"/>
        <v>0</v>
      </c>
      <c r="CI137" s="8">
        <f t="shared" si="126"/>
        <v>0</v>
      </c>
      <c r="CJ137" s="8">
        <f t="shared" si="127"/>
        <v>0</v>
      </c>
      <c r="CK137" s="8">
        <f t="shared" si="128"/>
        <v>0</v>
      </c>
      <c r="CL137" s="8">
        <f t="shared" si="129"/>
        <v>0</v>
      </c>
      <c r="CM137" s="8">
        <f t="shared" si="130"/>
        <v>0</v>
      </c>
      <c r="CN137" s="8">
        <f t="shared" si="131"/>
        <v>0</v>
      </c>
      <c r="CO137" s="8">
        <f t="shared" si="132"/>
        <v>0</v>
      </c>
      <c r="CP137" s="8">
        <f t="shared" si="133"/>
        <v>0</v>
      </c>
      <c r="CQ137" s="8">
        <f t="shared" si="134"/>
        <v>0</v>
      </c>
      <c r="CR137" s="8">
        <f t="shared" si="135"/>
        <v>0</v>
      </c>
      <c r="CS137" s="8">
        <f t="shared" si="136"/>
        <v>0</v>
      </c>
      <c r="CT137" s="8">
        <f t="shared" si="95"/>
        <v>0</v>
      </c>
      <c r="CU137" s="8">
        <f t="shared" si="96"/>
        <v>0</v>
      </c>
      <c r="CV137" s="8">
        <f t="shared" si="97"/>
        <v>0</v>
      </c>
    </row>
    <row r="138" spans="1:100" ht="25.25" customHeight="1" thickTop="1" thickBot="1" x14ac:dyDescent="0.5">
      <c r="A138" s="32"/>
      <c r="B138" s="10"/>
      <c r="C138" s="10"/>
      <c r="D138" s="11"/>
      <c r="E138" s="10"/>
      <c r="F138" s="10"/>
      <c r="G138" s="19"/>
      <c r="H138" s="19"/>
      <c r="I138" s="19"/>
      <c r="J138" s="19"/>
      <c r="K138" s="10"/>
      <c r="L138" s="10"/>
      <c r="M138" s="10"/>
      <c r="N138" s="10"/>
      <c r="O138" s="18"/>
      <c r="P138" s="18"/>
      <c r="Q138" s="21"/>
      <c r="R138" s="20"/>
      <c r="S138" s="16">
        <f t="shared" si="99"/>
        <v>0</v>
      </c>
      <c r="T138" s="11"/>
      <c r="AR138" s="31"/>
      <c r="AS138" s="31">
        <f t="shared" si="100"/>
        <v>0</v>
      </c>
      <c r="AT138" s="31">
        <f t="shared" si="101"/>
        <v>0</v>
      </c>
      <c r="AU138" s="31">
        <f t="shared" si="102"/>
        <v>0</v>
      </c>
      <c r="AV138" s="31">
        <f t="shared" si="103"/>
        <v>0</v>
      </c>
      <c r="AW138" s="31">
        <f t="shared" si="104"/>
        <v>0</v>
      </c>
      <c r="AX138" s="31">
        <f t="shared" si="105"/>
        <v>0</v>
      </c>
      <c r="AY138" s="31">
        <f t="shared" si="106"/>
        <v>0</v>
      </c>
      <c r="AZ138" s="31">
        <f t="shared" si="107"/>
        <v>0</v>
      </c>
      <c r="BA138" s="31">
        <f t="shared" si="108"/>
        <v>0</v>
      </c>
      <c r="BB138" s="31">
        <f t="shared" si="137"/>
        <v>0</v>
      </c>
      <c r="BC138" s="31"/>
      <c r="BD138" s="31"/>
      <c r="BM138" s="8">
        <f t="shared" si="138"/>
        <v>0</v>
      </c>
      <c r="BN138" s="8">
        <f t="shared" si="109"/>
        <v>0</v>
      </c>
      <c r="BO138" s="8">
        <f t="shared" si="110"/>
        <v>0</v>
      </c>
      <c r="BQ138" s="8">
        <f t="shared" si="111"/>
        <v>0</v>
      </c>
      <c r="BR138" s="63">
        <f t="shared" si="112"/>
        <v>0</v>
      </c>
      <c r="BS138" s="63">
        <f t="shared" si="139"/>
        <v>0</v>
      </c>
      <c r="BT138" s="63">
        <f t="shared" si="113"/>
        <v>0</v>
      </c>
      <c r="BU138" s="63">
        <f t="shared" si="114"/>
        <v>0</v>
      </c>
      <c r="BV138" s="57">
        <f t="shared" si="115"/>
        <v>0</v>
      </c>
      <c r="BW138" s="57">
        <f t="shared" si="116"/>
        <v>0</v>
      </c>
      <c r="BX138" s="57">
        <f t="shared" si="140"/>
        <v>0</v>
      </c>
      <c r="BY138" s="57">
        <f t="shared" si="98"/>
        <v>0</v>
      </c>
      <c r="BZ138" s="8">
        <f t="shared" si="117"/>
        <v>0</v>
      </c>
      <c r="CA138" s="8">
        <f t="shared" si="118"/>
        <v>0</v>
      </c>
      <c r="CB138" s="8">
        <f t="shared" si="119"/>
        <v>0</v>
      </c>
      <c r="CC138" s="8">
        <f t="shared" si="120"/>
        <v>0</v>
      </c>
      <c r="CD138" s="8">
        <f t="shared" si="121"/>
        <v>0</v>
      </c>
      <c r="CE138" s="8">
        <f t="shared" si="122"/>
        <v>0</v>
      </c>
      <c r="CF138" s="8">
        <f t="shared" si="123"/>
        <v>0</v>
      </c>
      <c r="CG138" s="8">
        <f t="shared" si="124"/>
        <v>0</v>
      </c>
      <c r="CH138" s="8">
        <f t="shared" si="125"/>
        <v>0</v>
      </c>
      <c r="CI138" s="8">
        <f t="shared" si="126"/>
        <v>0</v>
      </c>
      <c r="CJ138" s="8">
        <f t="shared" si="127"/>
        <v>0</v>
      </c>
      <c r="CK138" s="8">
        <f t="shared" si="128"/>
        <v>0</v>
      </c>
      <c r="CL138" s="8">
        <f t="shared" si="129"/>
        <v>0</v>
      </c>
      <c r="CM138" s="8">
        <f t="shared" si="130"/>
        <v>0</v>
      </c>
      <c r="CN138" s="8">
        <f t="shared" si="131"/>
        <v>0</v>
      </c>
      <c r="CO138" s="8">
        <f t="shared" si="132"/>
        <v>0</v>
      </c>
      <c r="CP138" s="8">
        <f t="shared" si="133"/>
        <v>0</v>
      </c>
      <c r="CQ138" s="8">
        <f t="shared" si="134"/>
        <v>0</v>
      </c>
      <c r="CR138" s="8">
        <f t="shared" si="135"/>
        <v>0</v>
      </c>
      <c r="CS138" s="8">
        <f t="shared" si="136"/>
        <v>0</v>
      </c>
      <c r="CT138" s="8">
        <f t="shared" si="95"/>
        <v>0</v>
      </c>
      <c r="CU138" s="8">
        <f t="shared" si="96"/>
        <v>0</v>
      </c>
      <c r="CV138" s="8">
        <f t="shared" si="97"/>
        <v>0</v>
      </c>
    </row>
    <row r="139" spans="1:100" ht="25.25" customHeight="1" thickTop="1" thickBot="1" x14ac:dyDescent="0.5">
      <c r="A139" s="32"/>
      <c r="B139" s="10"/>
      <c r="C139" s="10"/>
      <c r="D139" s="11"/>
      <c r="E139" s="10"/>
      <c r="F139" s="10"/>
      <c r="G139" s="19"/>
      <c r="H139" s="19"/>
      <c r="I139" s="19"/>
      <c r="J139" s="19"/>
      <c r="K139" s="10"/>
      <c r="L139" s="10"/>
      <c r="M139" s="10"/>
      <c r="N139" s="10"/>
      <c r="O139" s="18"/>
      <c r="P139" s="18"/>
      <c r="Q139" s="21"/>
      <c r="R139" s="20"/>
      <c r="S139" s="16">
        <f t="shared" si="99"/>
        <v>0</v>
      </c>
      <c r="T139" s="11"/>
      <c r="AR139" s="31"/>
      <c r="AS139" s="31">
        <f t="shared" si="100"/>
        <v>0</v>
      </c>
      <c r="AT139" s="31">
        <f t="shared" si="101"/>
        <v>0</v>
      </c>
      <c r="AU139" s="31">
        <f t="shared" si="102"/>
        <v>0</v>
      </c>
      <c r="AV139" s="31">
        <f t="shared" si="103"/>
        <v>0</v>
      </c>
      <c r="AW139" s="31">
        <f t="shared" si="104"/>
        <v>0</v>
      </c>
      <c r="AX139" s="31">
        <f t="shared" si="105"/>
        <v>0</v>
      </c>
      <c r="AY139" s="31">
        <f t="shared" si="106"/>
        <v>0</v>
      </c>
      <c r="AZ139" s="31">
        <f t="shared" si="107"/>
        <v>0</v>
      </c>
      <c r="BA139" s="31">
        <f t="shared" si="108"/>
        <v>0</v>
      </c>
      <c r="BB139" s="31">
        <f t="shared" si="137"/>
        <v>0</v>
      </c>
      <c r="BC139" s="31"/>
      <c r="BD139" s="31"/>
      <c r="BM139" s="8">
        <f t="shared" si="138"/>
        <v>0</v>
      </c>
      <c r="BN139" s="8">
        <f t="shared" si="109"/>
        <v>0</v>
      </c>
      <c r="BO139" s="8">
        <f t="shared" si="110"/>
        <v>0</v>
      </c>
      <c r="BQ139" s="8">
        <f t="shared" si="111"/>
        <v>0</v>
      </c>
      <c r="BR139" s="63">
        <f t="shared" si="112"/>
        <v>0</v>
      </c>
      <c r="BS139" s="63">
        <f t="shared" si="139"/>
        <v>0</v>
      </c>
      <c r="BT139" s="63">
        <f t="shared" si="113"/>
        <v>0</v>
      </c>
      <c r="BU139" s="63">
        <f t="shared" si="114"/>
        <v>0</v>
      </c>
      <c r="BV139" s="57">
        <f t="shared" si="115"/>
        <v>0</v>
      </c>
      <c r="BW139" s="57">
        <f t="shared" si="116"/>
        <v>0</v>
      </c>
      <c r="BX139" s="57">
        <f t="shared" si="140"/>
        <v>0</v>
      </c>
      <c r="BY139" s="57">
        <f t="shared" si="98"/>
        <v>0</v>
      </c>
      <c r="BZ139" s="8">
        <f t="shared" si="117"/>
        <v>0</v>
      </c>
      <c r="CA139" s="8">
        <f t="shared" si="118"/>
        <v>0</v>
      </c>
      <c r="CB139" s="8">
        <f t="shared" si="119"/>
        <v>0</v>
      </c>
      <c r="CC139" s="8">
        <f t="shared" si="120"/>
        <v>0</v>
      </c>
      <c r="CD139" s="8">
        <f t="shared" si="121"/>
        <v>0</v>
      </c>
      <c r="CE139" s="8">
        <f t="shared" si="122"/>
        <v>0</v>
      </c>
      <c r="CF139" s="8">
        <f t="shared" si="123"/>
        <v>0</v>
      </c>
      <c r="CG139" s="8">
        <f t="shared" si="124"/>
        <v>0</v>
      </c>
      <c r="CH139" s="8">
        <f t="shared" si="125"/>
        <v>0</v>
      </c>
      <c r="CI139" s="8">
        <f t="shared" si="126"/>
        <v>0</v>
      </c>
      <c r="CJ139" s="8">
        <f t="shared" si="127"/>
        <v>0</v>
      </c>
      <c r="CK139" s="8">
        <f t="shared" si="128"/>
        <v>0</v>
      </c>
      <c r="CL139" s="8">
        <f t="shared" si="129"/>
        <v>0</v>
      </c>
      <c r="CM139" s="8">
        <f t="shared" si="130"/>
        <v>0</v>
      </c>
      <c r="CN139" s="8">
        <f t="shared" si="131"/>
        <v>0</v>
      </c>
      <c r="CO139" s="8">
        <f t="shared" si="132"/>
        <v>0</v>
      </c>
      <c r="CP139" s="8">
        <f t="shared" si="133"/>
        <v>0</v>
      </c>
      <c r="CQ139" s="8">
        <f t="shared" si="134"/>
        <v>0</v>
      </c>
      <c r="CR139" s="8">
        <f t="shared" si="135"/>
        <v>0</v>
      </c>
      <c r="CS139" s="8">
        <f t="shared" si="136"/>
        <v>0</v>
      </c>
      <c r="CT139" s="8">
        <f t="shared" si="95"/>
        <v>0</v>
      </c>
      <c r="CU139" s="8">
        <f t="shared" si="96"/>
        <v>0</v>
      </c>
      <c r="CV139" s="8">
        <f t="shared" si="97"/>
        <v>0</v>
      </c>
    </row>
    <row r="140" spans="1:100" ht="25.25" customHeight="1" thickTop="1" thickBot="1" x14ac:dyDescent="0.5">
      <c r="A140" s="32"/>
      <c r="B140" s="10"/>
      <c r="C140" s="10"/>
      <c r="D140" s="11"/>
      <c r="E140" s="10"/>
      <c r="F140" s="10"/>
      <c r="G140" s="19"/>
      <c r="H140" s="19"/>
      <c r="I140" s="19"/>
      <c r="J140" s="19"/>
      <c r="K140" s="10"/>
      <c r="L140" s="10"/>
      <c r="M140" s="10"/>
      <c r="N140" s="10"/>
      <c r="O140" s="18"/>
      <c r="P140" s="18"/>
      <c r="Q140" s="21"/>
      <c r="R140" s="20"/>
      <c r="S140" s="16">
        <f t="shared" si="99"/>
        <v>0</v>
      </c>
      <c r="T140" s="11"/>
      <c r="AR140" s="31"/>
      <c r="AS140" s="31">
        <f t="shared" si="100"/>
        <v>0</v>
      </c>
      <c r="AT140" s="31">
        <f t="shared" si="101"/>
        <v>0</v>
      </c>
      <c r="AU140" s="31">
        <f t="shared" si="102"/>
        <v>0</v>
      </c>
      <c r="AV140" s="31">
        <f t="shared" si="103"/>
        <v>0</v>
      </c>
      <c r="AW140" s="31">
        <f t="shared" si="104"/>
        <v>0</v>
      </c>
      <c r="AX140" s="31">
        <f t="shared" si="105"/>
        <v>0</v>
      </c>
      <c r="AY140" s="31">
        <f t="shared" si="106"/>
        <v>0</v>
      </c>
      <c r="AZ140" s="31">
        <f t="shared" si="107"/>
        <v>0</v>
      </c>
      <c r="BA140" s="31">
        <f t="shared" si="108"/>
        <v>0</v>
      </c>
      <c r="BB140" s="31">
        <f t="shared" si="137"/>
        <v>0</v>
      </c>
      <c r="BC140" s="31"/>
      <c r="BD140" s="31"/>
      <c r="BM140" s="8">
        <f t="shared" si="138"/>
        <v>0</v>
      </c>
      <c r="BN140" s="8">
        <f t="shared" si="109"/>
        <v>0</v>
      </c>
      <c r="BO140" s="8">
        <f t="shared" si="110"/>
        <v>0</v>
      </c>
      <c r="BQ140" s="8">
        <f t="shared" si="111"/>
        <v>0</v>
      </c>
      <c r="BR140" s="63">
        <f t="shared" si="112"/>
        <v>0</v>
      </c>
      <c r="BS140" s="63">
        <f t="shared" si="139"/>
        <v>0</v>
      </c>
      <c r="BT140" s="63">
        <f t="shared" si="113"/>
        <v>0</v>
      </c>
      <c r="BU140" s="63">
        <f t="shared" si="114"/>
        <v>0</v>
      </c>
      <c r="BV140" s="57">
        <f t="shared" si="115"/>
        <v>0</v>
      </c>
      <c r="BW140" s="57">
        <f t="shared" si="116"/>
        <v>0</v>
      </c>
      <c r="BX140" s="57">
        <f t="shared" si="140"/>
        <v>0</v>
      </c>
      <c r="BY140" s="57">
        <f t="shared" si="98"/>
        <v>0</v>
      </c>
      <c r="BZ140" s="8">
        <f t="shared" si="117"/>
        <v>0</v>
      </c>
      <c r="CA140" s="8">
        <f t="shared" si="118"/>
        <v>0</v>
      </c>
      <c r="CB140" s="8">
        <f t="shared" si="119"/>
        <v>0</v>
      </c>
      <c r="CC140" s="8">
        <f t="shared" si="120"/>
        <v>0</v>
      </c>
      <c r="CD140" s="8">
        <f t="shared" si="121"/>
        <v>0</v>
      </c>
      <c r="CE140" s="8">
        <f t="shared" si="122"/>
        <v>0</v>
      </c>
      <c r="CF140" s="8">
        <f t="shared" si="123"/>
        <v>0</v>
      </c>
      <c r="CG140" s="8">
        <f t="shared" si="124"/>
        <v>0</v>
      </c>
      <c r="CH140" s="8">
        <f t="shared" si="125"/>
        <v>0</v>
      </c>
      <c r="CI140" s="8">
        <f t="shared" si="126"/>
        <v>0</v>
      </c>
      <c r="CJ140" s="8">
        <f t="shared" si="127"/>
        <v>0</v>
      </c>
      <c r="CK140" s="8">
        <f t="shared" si="128"/>
        <v>0</v>
      </c>
      <c r="CL140" s="8">
        <f t="shared" si="129"/>
        <v>0</v>
      </c>
      <c r="CM140" s="8">
        <f t="shared" si="130"/>
        <v>0</v>
      </c>
      <c r="CN140" s="8">
        <f t="shared" si="131"/>
        <v>0</v>
      </c>
      <c r="CO140" s="8">
        <f t="shared" si="132"/>
        <v>0</v>
      </c>
      <c r="CP140" s="8">
        <f t="shared" si="133"/>
        <v>0</v>
      </c>
      <c r="CQ140" s="8">
        <f t="shared" si="134"/>
        <v>0</v>
      </c>
      <c r="CR140" s="8">
        <f t="shared" si="135"/>
        <v>0</v>
      </c>
      <c r="CS140" s="8">
        <f t="shared" si="136"/>
        <v>0</v>
      </c>
      <c r="CT140" s="8">
        <f t="shared" si="95"/>
        <v>0</v>
      </c>
      <c r="CU140" s="8">
        <f t="shared" si="96"/>
        <v>0</v>
      </c>
      <c r="CV140" s="8">
        <f t="shared" si="97"/>
        <v>0</v>
      </c>
    </row>
    <row r="141" spans="1:100" ht="25.25" customHeight="1" thickTop="1" thickBot="1" x14ac:dyDescent="0.5">
      <c r="A141" s="32"/>
      <c r="B141" s="10"/>
      <c r="C141" s="10"/>
      <c r="D141" s="11"/>
      <c r="E141" s="10"/>
      <c r="F141" s="10"/>
      <c r="G141" s="19"/>
      <c r="H141" s="19"/>
      <c r="I141" s="19"/>
      <c r="J141" s="19"/>
      <c r="K141" s="10"/>
      <c r="L141" s="10"/>
      <c r="M141" s="10"/>
      <c r="N141" s="10"/>
      <c r="O141" s="18"/>
      <c r="P141" s="18"/>
      <c r="Q141" s="21"/>
      <c r="R141" s="20"/>
      <c r="S141" s="16">
        <f t="shared" si="99"/>
        <v>0</v>
      </c>
      <c r="T141" s="11"/>
      <c r="AR141" s="31"/>
      <c r="AS141" s="31">
        <f t="shared" si="100"/>
        <v>0</v>
      </c>
      <c r="AT141" s="31">
        <f t="shared" si="101"/>
        <v>0</v>
      </c>
      <c r="AU141" s="31">
        <f t="shared" si="102"/>
        <v>0</v>
      </c>
      <c r="AV141" s="31">
        <f t="shared" si="103"/>
        <v>0</v>
      </c>
      <c r="AW141" s="31">
        <f t="shared" si="104"/>
        <v>0</v>
      </c>
      <c r="AX141" s="31">
        <f t="shared" si="105"/>
        <v>0</v>
      </c>
      <c r="AY141" s="31">
        <f t="shared" si="106"/>
        <v>0</v>
      </c>
      <c r="AZ141" s="31">
        <f t="shared" si="107"/>
        <v>0</v>
      </c>
      <c r="BA141" s="31">
        <f t="shared" si="108"/>
        <v>0</v>
      </c>
      <c r="BB141" s="31">
        <f t="shared" si="137"/>
        <v>0</v>
      </c>
      <c r="BC141" s="31"/>
      <c r="BD141" s="31"/>
      <c r="BM141" s="8">
        <f t="shared" si="138"/>
        <v>0</v>
      </c>
      <c r="BN141" s="8">
        <f t="shared" si="109"/>
        <v>0</v>
      </c>
      <c r="BO141" s="8">
        <f t="shared" si="110"/>
        <v>0</v>
      </c>
      <c r="BQ141" s="8">
        <f t="shared" si="111"/>
        <v>0</v>
      </c>
      <c r="BR141" s="63">
        <f t="shared" si="112"/>
        <v>0</v>
      </c>
      <c r="BS141" s="63">
        <f t="shared" si="139"/>
        <v>0</v>
      </c>
      <c r="BT141" s="63">
        <f t="shared" si="113"/>
        <v>0</v>
      </c>
      <c r="BU141" s="63">
        <f t="shared" si="114"/>
        <v>0</v>
      </c>
      <c r="BV141" s="57">
        <f t="shared" si="115"/>
        <v>0</v>
      </c>
      <c r="BW141" s="57">
        <f t="shared" si="116"/>
        <v>0</v>
      </c>
      <c r="BX141" s="57">
        <f t="shared" si="140"/>
        <v>0</v>
      </c>
      <c r="BY141" s="57">
        <f t="shared" si="98"/>
        <v>0</v>
      </c>
      <c r="BZ141" s="8">
        <f t="shared" si="117"/>
        <v>0</v>
      </c>
      <c r="CA141" s="8">
        <f t="shared" si="118"/>
        <v>0</v>
      </c>
      <c r="CB141" s="8">
        <f t="shared" si="119"/>
        <v>0</v>
      </c>
      <c r="CC141" s="8">
        <f t="shared" si="120"/>
        <v>0</v>
      </c>
      <c r="CD141" s="8">
        <f t="shared" si="121"/>
        <v>0</v>
      </c>
      <c r="CE141" s="8">
        <f t="shared" si="122"/>
        <v>0</v>
      </c>
      <c r="CF141" s="8">
        <f t="shared" si="123"/>
        <v>0</v>
      </c>
      <c r="CG141" s="8">
        <f t="shared" si="124"/>
        <v>0</v>
      </c>
      <c r="CH141" s="8">
        <f t="shared" si="125"/>
        <v>0</v>
      </c>
      <c r="CI141" s="8">
        <f t="shared" si="126"/>
        <v>0</v>
      </c>
      <c r="CJ141" s="8">
        <f t="shared" si="127"/>
        <v>0</v>
      </c>
      <c r="CK141" s="8">
        <f t="shared" si="128"/>
        <v>0</v>
      </c>
      <c r="CL141" s="8">
        <f t="shared" si="129"/>
        <v>0</v>
      </c>
      <c r="CM141" s="8">
        <f t="shared" si="130"/>
        <v>0</v>
      </c>
      <c r="CN141" s="8">
        <f t="shared" si="131"/>
        <v>0</v>
      </c>
      <c r="CO141" s="8">
        <f t="shared" si="132"/>
        <v>0</v>
      </c>
      <c r="CP141" s="8">
        <f t="shared" si="133"/>
        <v>0</v>
      </c>
      <c r="CQ141" s="8">
        <f t="shared" si="134"/>
        <v>0</v>
      </c>
      <c r="CR141" s="8">
        <f t="shared" si="135"/>
        <v>0</v>
      </c>
      <c r="CS141" s="8">
        <f t="shared" si="136"/>
        <v>0</v>
      </c>
      <c r="CT141" s="8">
        <f t="shared" ref="CT141:CT204" si="141">IF(AND(J141&gt;0,OR(B141="MB",B141="new MB")),J141,0)*4+IF(AND(J141&gt;0,OR(C141="MB",C141="new MB")),J141,0)*4</f>
        <v>0</v>
      </c>
      <c r="CU141" s="8">
        <f t="shared" ref="CU141:CU204" si="142">IF(AND(I141&gt;0,OR(B141="MB",B141="new MB")),I141,0)*4+IF(AND(I141&gt;0,OR(C141="MB",C141="new MB")),I141,0)*4</f>
        <v>0</v>
      </c>
      <c r="CV141" s="8">
        <f t="shared" ref="CV141:CV204" si="143">IF(AND(H141&gt;0,OR(B141="MB",B141="new MB")),H141,0)*4+IF(AND(H141&gt;0,OR(C141="MB",C141="new MB")),H141,0)*4</f>
        <v>0</v>
      </c>
    </row>
    <row r="142" spans="1:100" ht="25.25" customHeight="1" thickTop="1" thickBot="1" x14ac:dyDescent="0.5">
      <c r="A142" s="32"/>
      <c r="B142" s="10"/>
      <c r="C142" s="10"/>
      <c r="D142" s="11"/>
      <c r="E142" s="10"/>
      <c r="F142" s="10"/>
      <c r="G142" s="19"/>
      <c r="H142" s="19"/>
      <c r="I142" s="19"/>
      <c r="J142" s="19"/>
      <c r="K142" s="10"/>
      <c r="L142" s="10"/>
      <c r="M142" s="10"/>
      <c r="N142" s="10"/>
      <c r="O142" s="18"/>
      <c r="P142" s="18"/>
      <c r="Q142" s="21"/>
      <c r="R142" s="20"/>
      <c r="S142" s="16">
        <f t="shared" si="99"/>
        <v>0</v>
      </c>
      <c r="T142" s="11"/>
      <c r="AR142" s="31"/>
      <c r="AS142" s="31">
        <f t="shared" si="100"/>
        <v>0</v>
      </c>
      <c r="AT142" s="31">
        <f t="shared" si="101"/>
        <v>0</v>
      </c>
      <c r="AU142" s="31">
        <f t="shared" si="102"/>
        <v>0</v>
      </c>
      <c r="AV142" s="31">
        <f t="shared" si="103"/>
        <v>0</v>
      </c>
      <c r="AW142" s="31">
        <f t="shared" si="104"/>
        <v>0</v>
      </c>
      <c r="AX142" s="31">
        <f t="shared" si="105"/>
        <v>0</v>
      </c>
      <c r="AY142" s="31">
        <f t="shared" si="106"/>
        <v>0</v>
      </c>
      <c r="AZ142" s="31">
        <f t="shared" si="107"/>
        <v>0</v>
      </c>
      <c r="BA142" s="31">
        <f t="shared" si="108"/>
        <v>0</v>
      </c>
      <c r="BB142" s="31">
        <f t="shared" si="137"/>
        <v>0</v>
      </c>
      <c r="BC142" s="31"/>
      <c r="BD142" s="31"/>
      <c r="BM142" s="8">
        <f t="shared" si="138"/>
        <v>0</v>
      </c>
      <c r="BN142" s="8">
        <f t="shared" si="109"/>
        <v>0</v>
      </c>
      <c r="BO142" s="8">
        <f t="shared" si="110"/>
        <v>0</v>
      </c>
      <c r="BQ142" s="8">
        <f t="shared" si="111"/>
        <v>0</v>
      </c>
      <c r="BR142" s="63">
        <f t="shared" si="112"/>
        <v>0</v>
      </c>
      <c r="BS142" s="63">
        <f t="shared" si="139"/>
        <v>0</v>
      </c>
      <c r="BT142" s="63">
        <f t="shared" si="113"/>
        <v>0</v>
      </c>
      <c r="BU142" s="63">
        <f t="shared" si="114"/>
        <v>0</v>
      </c>
      <c r="BV142" s="57">
        <f t="shared" si="115"/>
        <v>0</v>
      </c>
      <c r="BW142" s="57">
        <f t="shared" si="116"/>
        <v>0</v>
      </c>
      <c r="BX142" s="57">
        <f t="shared" si="140"/>
        <v>0</v>
      </c>
      <c r="BY142" s="57">
        <f t="shared" si="98"/>
        <v>0</v>
      </c>
      <c r="BZ142" s="8">
        <f t="shared" si="117"/>
        <v>0</v>
      </c>
      <c r="CA142" s="8">
        <f t="shared" si="118"/>
        <v>0</v>
      </c>
      <c r="CB142" s="8">
        <f t="shared" si="119"/>
        <v>0</v>
      </c>
      <c r="CC142" s="8">
        <f t="shared" si="120"/>
        <v>0</v>
      </c>
      <c r="CD142" s="8">
        <f t="shared" si="121"/>
        <v>0</v>
      </c>
      <c r="CE142" s="8">
        <f t="shared" si="122"/>
        <v>0</v>
      </c>
      <c r="CF142" s="8">
        <f t="shared" si="123"/>
        <v>0</v>
      </c>
      <c r="CG142" s="8">
        <f t="shared" si="124"/>
        <v>0</v>
      </c>
      <c r="CH142" s="8">
        <f t="shared" si="125"/>
        <v>0</v>
      </c>
      <c r="CI142" s="8">
        <f t="shared" si="126"/>
        <v>0</v>
      </c>
      <c r="CJ142" s="8">
        <f t="shared" si="127"/>
        <v>0</v>
      </c>
      <c r="CK142" s="8">
        <f t="shared" si="128"/>
        <v>0</v>
      </c>
      <c r="CL142" s="8">
        <f t="shared" si="129"/>
        <v>0</v>
      </c>
      <c r="CM142" s="8">
        <f t="shared" si="130"/>
        <v>0</v>
      </c>
      <c r="CN142" s="8">
        <f t="shared" si="131"/>
        <v>0</v>
      </c>
      <c r="CO142" s="8">
        <f t="shared" si="132"/>
        <v>0</v>
      </c>
      <c r="CP142" s="8">
        <f t="shared" si="133"/>
        <v>0</v>
      </c>
      <c r="CQ142" s="8">
        <f t="shared" si="134"/>
        <v>0</v>
      </c>
      <c r="CR142" s="8">
        <f t="shared" si="135"/>
        <v>0</v>
      </c>
      <c r="CS142" s="8">
        <f t="shared" si="136"/>
        <v>0</v>
      </c>
      <c r="CT142" s="8">
        <f t="shared" si="141"/>
        <v>0</v>
      </c>
      <c r="CU142" s="8">
        <f t="shared" si="142"/>
        <v>0</v>
      </c>
      <c r="CV142" s="8">
        <f t="shared" si="143"/>
        <v>0</v>
      </c>
    </row>
    <row r="143" spans="1:100" ht="25.25" customHeight="1" thickTop="1" thickBot="1" x14ac:dyDescent="0.5">
      <c r="A143" s="32"/>
      <c r="B143" s="10"/>
      <c r="C143" s="10"/>
      <c r="D143" s="11"/>
      <c r="E143" s="10"/>
      <c r="F143" s="10"/>
      <c r="G143" s="19"/>
      <c r="H143" s="19"/>
      <c r="I143" s="19"/>
      <c r="J143" s="19"/>
      <c r="K143" s="10"/>
      <c r="L143" s="10"/>
      <c r="M143" s="10"/>
      <c r="N143" s="10"/>
      <c r="O143" s="18"/>
      <c r="P143" s="18"/>
      <c r="Q143" s="21"/>
      <c r="R143" s="20"/>
      <c r="S143" s="16">
        <f t="shared" si="99"/>
        <v>0</v>
      </c>
      <c r="T143" s="11"/>
      <c r="AR143" s="31"/>
      <c r="AS143" s="31">
        <f t="shared" si="100"/>
        <v>0</v>
      </c>
      <c r="AT143" s="31">
        <f t="shared" si="101"/>
        <v>0</v>
      </c>
      <c r="AU143" s="31">
        <f t="shared" si="102"/>
        <v>0</v>
      </c>
      <c r="AV143" s="31">
        <f t="shared" si="103"/>
        <v>0</v>
      </c>
      <c r="AW143" s="31">
        <f t="shared" si="104"/>
        <v>0</v>
      </c>
      <c r="AX143" s="31">
        <f t="shared" si="105"/>
        <v>0</v>
      </c>
      <c r="AY143" s="31">
        <f t="shared" si="106"/>
        <v>0</v>
      </c>
      <c r="AZ143" s="31">
        <f t="shared" si="107"/>
        <v>0</v>
      </c>
      <c r="BA143" s="31">
        <f t="shared" si="108"/>
        <v>0</v>
      </c>
      <c r="BB143" s="31">
        <f t="shared" si="137"/>
        <v>0</v>
      </c>
      <c r="BC143" s="31"/>
      <c r="BD143" s="31"/>
      <c r="BM143" s="8">
        <f t="shared" si="138"/>
        <v>0</v>
      </c>
      <c r="BN143" s="8">
        <f t="shared" si="109"/>
        <v>0</v>
      </c>
      <c r="BO143" s="8">
        <f t="shared" si="110"/>
        <v>0</v>
      </c>
      <c r="BQ143" s="8">
        <f t="shared" si="111"/>
        <v>0</v>
      </c>
      <c r="BR143" s="63">
        <f t="shared" si="112"/>
        <v>0</v>
      </c>
      <c r="BS143" s="63">
        <f t="shared" si="139"/>
        <v>0</v>
      </c>
      <c r="BT143" s="63">
        <f t="shared" si="113"/>
        <v>0</v>
      </c>
      <c r="BU143" s="63">
        <f t="shared" si="114"/>
        <v>0</v>
      </c>
      <c r="BV143" s="57">
        <f t="shared" si="115"/>
        <v>0</v>
      </c>
      <c r="BW143" s="57">
        <f t="shared" si="116"/>
        <v>0</v>
      </c>
      <c r="BX143" s="57">
        <f t="shared" si="140"/>
        <v>0</v>
      </c>
      <c r="BY143" s="57">
        <f t="shared" si="98"/>
        <v>0</v>
      </c>
      <c r="BZ143" s="8">
        <f t="shared" si="117"/>
        <v>0</v>
      </c>
      <c r="CA143" s="8">
        <f t="shared" si="118"/>
        <v>0</v>
      </c>
      <c r="CB143" s="8">
        <f t="shared" si="119"/>
        <v>0</v>
      </c>
      <c r="CC143" s="8">
        <f t="shared" si="120"/>
        <v>0</v>
      </c>
      <c r="CD143" s="8">
        <f t="shared" si="121"/>
        <v>0</v>
      </c>
      <c r="CE143" s="8">
        <f t="shared" si="122"/>
        <v>0</v>
      </c>
      <c r="CF143" s="8">
        <f t="shared" si="123"/>
        <v>0</v>
      </c>
      <c r="CG143" s="8">
        <f t="shared" si="124"/>
        <v>0</v>
      </c>
      <c r="CH143" s="8">
        <f t="shared" si="125"/>
        <v>0</v>
      </c>
      <c r="CI143" s="8">
        <f t="shared" si="126"/>
        <v>0</v>
      </c>
      <c r="CJ143" s="8">
        <f t="shared" si="127"/>
        <v>0</v>
      </c>
      <c r="CK143" s="8">
        <f t="shared" si="128"/>
        <v>0</v>
      </c>
      <c r="CL143" s="8">
        <f t="shared" si="129"/>
        <v>0</v>
      </c>
      <c r="CM143" s="8">
        <f t="shared" si="130"/>
        <v>0</v>
      </c>
      <c r="CN143" s="8">
        <f t="shared" si="131"/>
        <v>0</v>
      </c>
      <c r="CO143" s="8">
        <f t="shared" si="132"/>
        <v>0</v>
      </c>
      <c r="CP143" s="8">
        <f t="shared" si="133"/>
        <v>0</v>
      </c>
      <c r="CQ143" s="8">
        <f t="shared" si="134"/>
        <v>0</v>
      </c>
      <c r="CR143" s="8">
        <f t="shared" si="135"/>
        <v>0</v>
      </c>
      <c r="CS143" s="8">
        <f t="shared" si="136"/>
        <v>0</v>
      </c>
      <c r="CT143" s="8">
        <f t="shared" si="141"/>
        <v>0</v>
      </c>
      <c r="CU143" s="8">
        <f t="shared" si="142"/>
        <v>0</v>
      </c>
      <c r="CV143" s="8">
        <f t="shared" si="143"/>
        <v>0</v>
      </c>
    </row>
    <row r="144" spans="1:100" ht="25.25" customHeight="1" thickTop="1" thickBot="1" x14ac:dyDescent="0.5">
      <c r="A144" s="32"/>
      <c r="B144" s="10"/>
      <c r="C144" s="10"/>
      <c r="D144" s="11"/>
      <c r="E144" s="10"/>
      <c r="F144" s="10"/>
      <c r="G144" s="19"/>
      <c r="H144" s="19"/>
      <c r="I144" s="19"/>
      <c r="J144" s="19"/>
      <c r="K144" s="10"/>
      <c r="L144" s="10"/>
      <c r="M144" s="10"/>
      <c r="N144" s="10"/>
      <c r="O144" s="18"/>
      <c r="P144" s="18"/>
      <c r="Q144" s="21"/>
      <c r="R144" s="20"/>
      <c r="S144" s="16">
        <f t="shared" si="99"/>
        <v>0</v>
      </c>
      <c r="T144" s="11"/>
      <c r="AR144" s="31"/>
      <c r="AS144" s="31">
        <f t="shared" si="100"/>
        <v>0</v>
      </c>
      <c r="AT144" s="31">
        <f t="shared" si="101"/>
        <v>0</v>
      </c>
      <c r="AU144" s="31">
        <f t="shared" si="102"/>
        <v>0</v>
      </c>
      <c r="AV144" s="31">
        <f t="shared" si="103"/>
        <v>0</v>
      </c>
      <c r="AW144" s="31">
        <f t="shared" si="104"/>
        <v>0</v>
      </c>
      <c r="AX144" s="31">
        <f t="shared" si="105"/>
        <v>0</v>
      </c>
      <c r="AY144" s="31">
        <f t="shared" si="106"/>
        <v>0</v>
      </c>
      <c r="AZ144" s="31">
        <f t="shared" si="107"/>
        <v>0</v>
      </c>
      <c r="BA144" s="31">
        <f t="shared" si="108"/>
        <v>0</v>
      </c>
      <c r="BB144" s="31">
        <f t="shared" si="137"/>
        <v>0</v>
      </c>
      <c r="BC144" s="31"/>
      <c r="BD144" s="31"/>
      <c r="BM144" s="8">
        <f t="shared" si="138"/>
        <v>0</v>
      </c>
      <c r="BN144" s="8">
        <f t="shared" si="109"/>
        <v>0</v>
      </c>
      <c r="BO144" s="8">
        <f t="shared" si="110"/>
        <v>0</v>
      </c>
      <c r="BQ144" s="8">
        <f t="shared" si="111"/>
        <v>0</v>
      </c>
      <c r="BR144" s="63">
        <f t="shared" si="112"/>
        <v>0</v>
      </c>
      <c r="BS144" s="63">
        <f t="shared" si="139"/>
        <v>0</v>
      </c>
      <c r="BT144" s="63">
        <f t="shared" si="113"/>
        <v>0</v>
      </c>
      <c r="BU144" s="63">
        <f t="shared" si="114"/>
        <v>0</v>
      </c>
      <c r="BV144" s="57">
        <f t="shared" si="115"/>
        <v>0</v>
      </c>
      <c r="BW144" s="57">
        <f t="shared" si="116"/>
        <v>0</v>
      </c>
      <c r="BX144" s="57">
        <f t="shared" si="140"/>
        <v>0</v>
      </c>
      <c r="BY144" s="57">
        <f t="shared" si="98"/>
        <v>0</v>
      </c>
      <c r="BZ144" s="8">
        <f t="shared" si="117"/>
        <v>0</v>
      </c>
      <c r="CA144" s="8">
        <f t="shared" si="118"/>
        <v>0</v>
      </c>
      <c r="CB144" s="8">
        <f t="shared" si="119"/>
        <v>0</v>
      </c>
      <c r="CC144" s="8">
        <f t="shared" si="120"/>
        <v>0</v>
      </c>
      <c r="CD144" s="8">
        <f t="shared" si="121"/>
        <v>0</v>
      </c>
      <c r="CE144" s="8">
        <f t="shared" si="122"/>
        <v>0</v>
      </c>
      <c r="CF144" s="8">
        <f t="shared" si="123"/>
        <v>0</v>
      </c>
      <c r="CG144" s="8">
        <f t="shared" si="124"/>
        <v>0</v>
      </c>
      <c r="CH144" s="8">
        <f t="shared" si="125"/>
        <v>0</v>
      </c>
      <c r="CI144" s="8">
        <f t="shared" si="126"/>
        <v>0</v>
      </c>
      <c r="CJ144" s="8">
        <f t="shared" si="127"/>
        <v>0</v>
      </c>
      <c r="CK144" s="8">
        <f t="shared" si="128"/>
        <v>0</v>
      </c>
      <c r="CL144" s="8">
        <f t="shared" si="129"/>
        <v>0</v>
      </c>
      <c r="CM144" s="8">
        <f t="shared" si="130"/>
        <v>0</v>
      </c>
      <c r="CN144" s="8">
        <f t="shared" si="131"/>
        <v>0</v>
      </c>
      <c r="CO144" s="8">
        <f t="shared" si="132"/>
        <v>0</v>
      </c>
      <c r="CP144" s="8">
        <f t="shared" si="133"/>
        <v>0</v>
      </c>
      <c r="CQ144" s="8">
        <f t="shared" si="134"/>
        <v>0</v>
      </c>
      <c r="CR144" s="8">
        <f t="shared" si="135"/>
        <v>0</v>
      </c>
      <c r="CS144" s="8">
        <f t="shared" si="136"/>
        <v>0</v>
      </c>
      <c r="CT144" s="8">
        <f t="shared" si="141"/>
        <v>0</v>
      </c>
      <c r="CU144" s="8">
        <f t="shared" si="142"/>
        <v>0</v>
      </c>
      <c r="CV144" s="8">
        <f t="shared" si="143"/>
        <v>0</v>
      </c>
    </row>
    <row r="145" spans="1:100" ht="25.25" customHeight="1" thickTop="1" thickBot="1" x14ac:dyDescent="0.5">
      <c r="A145" s="32"/>
      <c r="B145" s="10"/>
      <c r="C145" s="10"/>
      <c r="D145" s="11"/>
      <c r="E145" s="10"/>
      <c r="F145" s="10"/>
      <c r="G145" s="19"/>
      <c r="H145" s="19"/>
      <c r="I145" s="19"/>
      <c r="J145" s="19"/>
      <c r="K145" s="10"/>
      <c r="L145" s="10"/>
      <c r="M145" s="10"/>
      <c r="N145" s="10"/>
      <c r="O145" s="18"/>
      <c r="P145" s="18"/>
      <c r="Q145" s="21"/>
      <c r="R145" s="20"/>
      <c r="S145" s="16">
        <f t="shared" si="99"/>
        <v>0</v>
      </c>
      <c r="T145" s="11"/>
      <c r="AR145" s="31"/>
      <c r="AS145" s="31">
        <f t="shared" si="100"/>
        <v>0</v>
      </c>
      <c r="AT145" s="31">
        <f t="shared" si="101"/>
        <v>0</v>
      </c>
      <c r="AU145" s="31">
        <f t="shared" si="102"/>
        <v>0</v>
      </c>
      <c r="AV145" s="31">
        <f t="shared" si="103"/>
        <v>0</v>
      </c>
      <c r="AW145" s="31">
        <f t="shared" si="104"/>
        <v>0</v>
      </c>
      <c r="AX145" s="31">
        <f t="shared" si="105"/>
        <v>0</v>
      </c>
      <c r="AY145" s="31">
        <f t="shared" si="106"/>
        <v>0</v>
      </c>
      <c r="AZ145" s="31">
        <f t="shared" si="107"/>
        <v>0</v>
      </c>
      <c r="BA145" s="31">
        <f t="shared" si="108"/>
        <v>0</v>
      </c>
      <c r="BB145" s="31">
        <f t="shared" si="137"/>
        <v>0</v>
      </c>
      <c r="BC145" s="31"/>
      <c r="BD145" s="31"/>
      <c r="BM145" s="8">
        <f t="shared" si="138"/>
        <v>0</v>
      </c>
      <c r="BN145" s="8">
        <f t="shared" si="109"/>
        <v>0</v>
      </c>
      <c r="BO145" s="8">
        <f t="shared" si="110"/>
        <v>0</v>
      </c>
      <c r="BQ145" s="8">
        <f t="shared" si="111"/>
        <v>0</v>
      </c>
      <c r="BR145" s="63">
        <f t="shared" si="112"/>
        <v>0</v>
      </c>
      <c r="BS145" s="63">
        <f t="shared" si="139"/>
        <v>0</v>
      </c>
      <c r="BT145" s="63">
        <f t="shared" si="113"/>
        <v>0</v>
      </c>
      <c r="BU145" s="63">
        <f t="shared" si="114"/>
        <v>0</v>
      </c>
      <c r="BV145" s="57">
        <f t="shared" si="115"/>
        <v>0</v>
      </c>
      <c r="BW145" s="57">
        <f t="shared" si="116"/>
        <v>0</v>
      </c>
      <c r="BX145" s="57">
        <f t="shared" si="140"/>
        <v>0</v>
      </c>
      <c r="BY145" s="57">
        <f t="shared" si="98"/>
        <v>0</v>
      </c>
      <c r="BZ145" s="8">
        <f t="shared" si="117"/>
        <v>0</v>
      </c>
      <c r="CA145" s="8">
        <f t="shared" si="118"/>
        <v>0</v>
      </c>
      <c r="CB145" s="8">
        <f t="shared" si="119"/>
        <v>0</v>
      </c>
      <c r="CC145" s="8">
        <f t="shared" si="120"/>
        <v>0</v>
      </c>
      <c r="CD145" s="8">
        <f t="shared" si="121"/>
        <v>0</v>
      </c>
      <c r="CE145" s="8">
        <f t="shared" si="122"/>
        <v>0</v>
      </c>
      <c r="CF145" s="8">
        <f t="shared" si="123"/>
        <v>0</v>
      </c>
      <c r="CG145" s="8">
        <f t="shared" si="124"/>
        <v>0</v>
      </c>
      <c r="CH145" s="8">
        <f t="shared" si="125"/>
        <v>0</v>
      </c>
      <c r="CI145" s="8">
        <f t="shared" si="126"/>
        <v>0</v>
      </c>
      <c r="CJ145" s="8">
        <f t="shared" si="127"/>
        <v>0</v>
      </c>
      <c r="CK145" s="8">
        <f t="shared" si="128"/>
        <v>0</v>
      </c>
      <c r="CL145" s="8">
        <f t="shared" si="129"/>
        <v>0</v>
      </c>
      <c r="CM145" s="8">
        <f t="shared" si="130"/>
        <v>0</v>
      </c>
      <c r="CN145" s="8">
        <f t="shared" si="131"/>
        <v>0</v>
      </c>
      <c r="CO145" s="8">
        <f t="shared" si="132"/>
        <v>0</v>
      </c>
      <c r="CP145" s="8">
        <f t="shared" si="133"/>
        <v>0</v>
      </c>
      <c r="CQ145" s="8">
        <f t="shared" si="134"/>
        <v>0</v>
      </c>
      <c r="CR145" s="8">
        <f t="shared" si="135"/>
        <v>0</v>
      </c>
      <c r="CS145" s="8">
        <f t="shared" si="136"/>
        <v>0</v>
      </c>
      <c r="CT145" s="8">
        <f t="shared" si="141"/>
        <v>0</v>
      </c>
      <c r="CU145" s="8">
        <f t="shared" si="142"/>
        <v>0</v>
      </c>
      <c r="CV145" s="8">
        <f t="shared" si="143"/>
        <v>0</v>
      </c>
    </row>
    <row r="146" spans="1:100" ht="25.25" customHeight="1" thickTop="1" thickBot="1" x14ac:dyDescent="0.5">
      <c r="A146" s="32"/>
      <c r="B146" s="10"/>
      <c r="C146" s="10"/>
      <c r="D146" s="11"/>
      <c r="E146" s="10"/>
      <c r="F146" s="10"/>
      <c r="G146" s="19"/>
      <c r="H146" s="19"/>
      <c r="I146" s="19"/>
      <c r="J146" s="19"/>
      <c r="K146" s="10"/>
      <c r="L146" s="10"/>
      <c r="M146" s="10"/>
      <c r="N146" s="10"/>
      <c r="O146" s="18"/>
      <c r="P146" s="18"/>
      <c r="Q146" s="21"/>
      <c r="R146" s="20"/>
      <c r="S146" s="16">
        <f t="shared" si="99"/>
        <v>0</v>
      </c>
      <c r="T146" s="11"/>
      <c r="AR146" s="31"/>
      <c r="AS146" s="31">
        <f t="shared" si="100"/>
        <v>0</v>
      </c>
      <c r="AT146" s="31">
        <f t="shared" si="101"/>
        <v>0</v>
      </c>
      <c r="AU146" s="31">
        <f t="shared" si="102"/>
        <v>0</v>
      </c>
      <c r="AV146" s="31">
        <f t="shared" si="103"/>
        <v>0</v>
      </c>
      <c r="AW146" s="31">
        <f t="shared" si="104"/>
        <v>0</v>
      </c>
      <c r="AX146" s="31">
        <f t="shared" si="105"/>
        <v>0</v>
      </c>
      <c r="AY146" s="31">
        <f t="shared" si="106"/>
        <v>0</v>
      </c>
      <c r="AZ146" s="31">
        <f t="shared" si="107"/>
        <v>0</v>
      </c>
      <c r="BA146" s="31">
        <f t="shared" si="108"/>
        <v>0</v>
      </c>
      <c r="BB146" s="31">
        <f t="shared" si="137"/>
        <v>0</v>
      </c>
      <c r="BC146" s="31"/>
      <c r="BD146" s="31"/>
      <c r="BM146" s="8">
        <f t="shared" si="138"/>
        <v>0</v>
      </c>
      <c r="BN146" s="8">
        <f t="shared" si="109"/>
        <v>0</v>
      </c>
      <c r="BO146" s="8">
        <f t="shared" si="110"/>
        <v>0</v>
      </c>
      <c r="BQ146" s="8">
        <f t="shared" si="111"/>
        <v>0</v>
      </c>
      <c r="BR146" s="63">
        <f t="shared" si="112"/>
        <v>0</v>
      </c>
      <c r="BS146" s="63">
        <f t="shared" si="139"/>
        <v>0</v>
      </c>
      <c r="BT146" s="63">
        <f t="shared" si="113"/>
        <v>0</v>
      </c>
      <c r="BU146" s="63">
        <f t="shared" si="114"/>
        <v>0</v>
      </c>
      <c r="BV146" s="57">
        <f t="shared" si="115"/>
        <v>0</v>
      </c>
      <c r="BW146" s="57">
        <f t="shared" si="116"/>
        <v>0</v>
      </c>
      <c r="BX146" s="57">
        <f t="shared" si="140"/>
        <v>0</v>
      </c>
      <c r="BY146" s="57">
        <f t="shared" si="98"/>
        <v>0</v>
      </c>
      <c r="BZ146" s="8">
        <f t="shared" si="117"/>
        <v>0</v>
      </c>
      <c r="CA146" s="8">
        <f t="shared" si="118"/>
        <v>0</v>
      </c>
      <c r="CB146" s="8">
        <f t="shared" si="119"/>
        <v>0</v>
      </c>
      <c r="CC146" s="8">
        <f t="shared" si="120"/>
        <v>0</v>
      </c>
      <c r="CD146" s="8">
        <f t="shared" si="121"/>
        <v>0</v>
      </c>
      <c r="CE146" s="8">
        <f t="shared" si="122"/>
        <v>0</v>
      </c>
      <c r="CF146" s="8">
        <f t="shared" si="123"/>
        <v>0</v>
      </c>
      <c r="CG146" s="8">
        <f t="shared" si="124"/>
        <v>0</v>
      </c>
      <c r="CH146" s="8">
        <f t="shared" si="125"/>
        <v>0</v>
      </c>
      <c r="CI146" s="8">
        <f t="shared" si="126"/>
        <v>0</v>
      </c>
      <c r="CJ146" s="8">
        <f t="shared" si="127"/>
        <v>0</v>
      </c>
      <c r="CK146" s="8">
        <f t="shared" si="128"/>
        <v>0</v>
      </c>
      <c r="CL146" s="8">
        <f t="shared" si="129"/>
        <v>0</v>
      </c>
      <c r="CM146" s="8">
        <f t="shared" si="130"/>
        <v>0</v>
      </c>
      <c r="CN146" s="8">
        <f t="shared" si="131"/>
        <v>0</v>
      </c>
      <c r="CO146" s="8">
        <f t="shared" si="132"/>
        <v>0</v>
      </c>
      <c r="CP146" s="8">
        <f t="shared" si="133"/>
        <v>0</v>
      </c>
      <c r="CQ146" s="8">
        <f t="shared" si="134"/>
        <v>0</v>
      </c>
      <c r="CR146" s="8">
        <f t="shared" si="135"/>
        <v>0</v>
      </c>
      <c r="CS146" s="8">
        <f t="shared" si="136"/>
        <v>0</v>
      </c>
      <c r="CT146" s="8">
        <f t="shared" si="141"/>
        <v>0</v>
      </c>
      <c r="CU146" s="8">
        <f t="shared" si="142"/>
        <v>0</v>
      </c>
      <c r="CV146" s="8">
        <f t="shared" si="143"/>
        <v>0</v>
      </c>
    </row>
    <row r="147" spans="1:100" ht="25.25" customHeight="1" thickTop="1" thickBot="1" x14ac:dyDescent="0.5">
      <c r="A147" s="32"/>
      <c r="B147" s="10"/>
      <c r="C147" s="10"/>
      <c r="D147" s="11"/>
      <c r="E147" s="10"/>
      <c r="F147" s="10"/>
      <c r="G147" s="19"/>
      <c r="H147" s="19"/>
      <c r="I147" s="19"/>
      <c r="J147" s="19"/>
      <c r="K147" s="10"/>
      <c r="L147" s="10"/>
      <c r="M147" s="10"/>
      <c r="N147" s="10"/>
      <c r="O147" s="18"/>
      <c r="P147" s="18"/>
      <c r="Q147" s="21"/>
      <c r="R147" s="20"/>
      <c r="S147" s="16">
        <f t="shared" si="99"/>
        <v>0</v>
      </c>
      <c r="T147" s="11"/>
      <c r="AR147" s="31"/>
      <c r="AS147" s="31">
        <f t="shared" si="100"/>
        <v>0</v>
      </c>
      <c r="AT147" s="31">
        <f t="shared" si="101"/>
        <v>0</v>
      </c>
      <c r="AU147" s="31">
        <f t="shared" si="102"/>
        <v>0</v>
      </c>
      <c r="AV147" s="31">
        <f t="shared" si="103"/>
        <v>0</v>
      </c>
      <c r="AW147" s="31">
        <f t="shared" si="104"/>
        <v>0</v>
      </c>
      <c r="AX147" s="31">
        <f t="shared" si="105"/>
        <v>0</v>
      </c>
      <c r="AY147" s="31">
        <f t="shared" si="106"/>
        <v>0</v>
      </c>
      <c r="AZ147" s="31">
        <f t="shared" si="107"/>
        <v>0</v>
      </c>
      <c r="BA147" s="31">
        <f t="shared" si="108"/>
        <v>0</v>
      </c>
      <c r="BB147" s="31">
        <f t="shared" si="137"/>
        <v>0</v>
      </c>
      <c r="BC147" s="31"/>
      <c r="BD147" s="31"/>
      <c r="BM147" s="8">
        <f t="shared" si="138"/>
        <v>0</v>
      </c>
      <c r="BN147" s="8">
        <f t="shared" si="109"/>
        <v>0</v>
      </c>
      <c r="BO147" s="8">
        <f t="shared" si="110"/>
        <v>0</v>
      </c>
      <c r="BQ147" s="8">
        <f t="shared" si="111"/>
        <v>0</v>
      </c>
      <c r="BR147" s="63">
        <f t="shared" si="112"/>
        <v>0</v>
      </c>
      <c r="BS147" s="63">
        <f t="shared" si="139"/>
        <v>0</v>
      </c>
      <c r="BT147" s="63">
        <f t="shared" si="113"/>
        <v>0</v>
      </c>
      <c r="BU147" s="63">
        <f t="shared" si="114"/>
        <v>0</v>
      </c>
      <c r="BV147" s="57">
        <f t="shared" si="115"/>
        <v>0</v>
      </c>
      <c r="BW147" s="57">
        <f t="shared" si="116"/>
        <v>0</v>
      </c>
      <c r="BX147" s="57">
        <f t="shared" si="140"/>
        <v>0</v>
      </c>
      <c r="BY147" s="57">
        <f t="shared" si="98"/>
        <v>0</v>
      </c>
      <c r="BZ147" s="8">
        <f t="shared" si="117"/>
        <v>0</v>
      </c>
      <c r="CA147" s="8">
        <f t="shared" si="118"/>
        <v>0</v>
      </c>
      <c r="CB147" s="8">
        <f t="shared" si="119"/>
        <v>0</v>
      </c>
      <c r="CC147" s="8">
        <f t="shared" si="120"/>
        <v>0</v>
      </c>
      <c r="CD147" s="8">
        <f t="shared" si="121"/>
        <v>0</v>
      </c>
      <c r="CE147" s="8">
        <f t="shared" si="122"/>
        <v>0</v>
      </c>
      <c r="CF147" s="8">
        <f t="shared" si="123"/>
        <v>0</v>
      </c>
      <c r="CG147" s="8">
        <f t="shared" si="124"/>
        <v>0</v>
      </c>
      <c r="CH147" s="8">
        <f t="shared" si="125"/>
        <v>0</v>
      </c>
      <c r="CI147" s="8">
        <f t="shared" si="126"/>
        <v>0</v>
      </c>
      <c r="CJ147" s="8">
        <f t="shared" si="127"/>
        <v>0</v>
      </c>
      <c r="CK147" s="8">
        <f t="shared" si="128"/>
        <v>0</v>
      </c>
      <c r="CL147" s="8">
        <f t="shared" si="129"/>
        <v>0</v>
      </c>
      <c r="CM147" s="8">
        <f t="shared" si="130"/>
        <v>0</v>
      </c>
      <c r="CN147" s="8">
        <f t="shared" si="131"/>
        <v>0</v>
      </c>
      <c r="CO147" s="8">
        <f t="shared" si="132"/>
        <v>0</v>
      </c>
      <c r="CP147" s="8">
        <f t="shared" si="133"/>
        <v>0</v>
      </c>
      <c r="CQ147" s="8">
        <f t="shared" si="134"/>
        <v>0</v>
      </c>
      <c r="CR147" s="8">
        <f t="shared" si="135"/>
        <v>0</v>
      </c>
      <c r="CS147" s="8">
        <f t="shared" si="136"/>
        <v>0</v>
      </c>
      <c r="CT147" s="8">
        <f t="shared" si="141"/>
        <v>0</v>
      </c>
      <c r="CU147" s="8">
        <f t="shared" si="142"/>
        <v>0</v>
      </c>
      <c r="CV147" s="8">
        <f t="shared" si="143"/>
        <v>0</v>
      </c>
    </row>
    <row r="148" spans="1:100" ht="25.25" customHeight="1" thickTop="1" thickBot="1" x14ac:dyDescent="0.5">
      <c r="A148" s="32"/>
      <c r="B148" s="10"/>
      <c r="C148" s="10"/>
      <c r="D148" s="11"/>
      <c r="E148" s="10"/>
      <c r="F148" s="10"/>
      <c r="G148" s="19"/>
      <c r="H148" s="19"/>
      <c r="I148" s="19"/>
      <c r="J148" s="19"/>
      <c r="K148" s="10"/>
      <c r="L148" s="10"/>
      <c r="M148" s="10"/>
      <c r="N148" s="10"/>
      <c r="O148" s="18"/>
      <c r="P148" s="18"/>
      <c r="Q148" s="21"/>
      <c r="R148" s="20"/>
      <c r="S148" s="16">
        <f t="shared" si="99"/>
        <v>0</v>
      </c>
      <c r="T148" s="11"/>
      <c r="AR148" s="31"/>
      <c r="AS148" s="31">
        <f t="shared" si="100"/>
        <v>0</v>
      </c>
      <c r="AT148" s="31">
        <f t="shared" si="101"/>
        <v>0</v>
      </c>
      <c r="AU148" s="31">
        <f t="shared" si="102"/>
        <v>0</v>
      </c>
      <c r="AV148" s="31">
        <f t="shared" si="103"/>
        <v>0</v>
      </c>
      <c r="AW148" s="31">
        <f t="shared" si="104"/>
        <v>0</v>
      </c>
      <c r="AX148" s="31">
        <f t="shared" si="105"/>
        <v>0</v>
      </c>
      <c r="AY148" s="31">
        <f t="shared" si="106"/>
        <v>0</v>
      </c>
      <c r="AZ148" s="31">
        <f t="shared" si="107"/>
        <v>0</v>
      </c>
      <c r="BA148" s="31">
        <f t="shared" si="108"/>
        <v>0</v>
      </c>
      <c r="BB148" s="31">
        <f t="shared" si="137"/>
        <v>0</v>
      </c>
      <c r="BC148" s="31"/>
      <c r="BD148" s="31"/>
      <c r="BM148" s="8">
        <f t="shared" si="138"/>
        <v>0</v>
      </c>
      <c r="BN148" s="8">
        <f t="shared" si="109"/>
        <v>0</v>
      </c>
      <c r="BO148" s="8">
        <f t="shared" si="110"/>
        <v>0</v>
      </c>
      <c r="BQ148" s="8">
        <f t="shared" si="111"/>
        <v>0</v>
      </c>
      <c r="BR148" s="63">
        <f t="shared" si="112"/>
        <v>0</v>
      </c>
      <c r="BS148" s="63">
        <f t="shared" si="139"/>
        <v>0</v>
      </c>
      <c r="BT148" s="63">
        <f t="shared" si="113"/>
        <v>0</v>
      </c>
      <c r="BU148" s="63">
        <f t="shared" si="114"/>
        <v>0</v>
      </c>
      <c r="BV148" s="57">
        <f t="shared" si="115"/>
        <v>0</v>
      </c>
      <c r="BW148" s="57">
        <f t="shared" si="116"/>
        <v>0</v>
      </c>
      <c r="BX148" s="57">
        <f t="shared" si="140"/>
        <v>0</v>
      </c>
      <c r="BY148" s="57">
        <f t="shared" si="98"/>
        <v>0</v>
      </c>
      <c r="BZ148" s="8">
        <f t="shared" si="117"/>
        <v>0</v>
      </c>
      <c r="CA148" s="8">
        <f t="shared" si="118"/>
        <v>0</v>
      </c>
      <c r="CB148" s="8">
        <f t="shared" si="119"/>
        <v>0</v>
      </c>
      <c r="CC148" s="8">
        <f t="shared" si="120"/>
        <v>0</v>
      </c>
      <c r="CD148" s="8">
        <f t="shared" si="121"/>
        <v>0</v>
      </c>
      <c r="CE148" s="8">
        <f t="shared" si="122"/>
        <v>0</v>
      </c>
      <c r="CF148" s="8">
        <f t="shared" si="123"/>
        <v>0</v>
      </c>
      <c r="CG148" s="8">
        <f t="shared" si="124"/>
        <v>0</v>
      </c>
      <c r="CH148" s="8">
        <f t="shared" si="125"/>
        <v>0</v>
      </c>
      <c r="CI148" s="8">
        <f t="shared" si="126"/>
        <v>0</v>
      </c>
      <c r="CJ148" s="8">
        <f t="shared" si="127"/>
        <v>0</v>
      </c>
      <c r="CK148" s="8">
        <f t="shared" si="128"/>
        <v>0</v>
      </c>
      <c r="CL148" s="8">
        <f t="shared" si="129"/>
        <v>0</v>
      </c>
      <c r="CM148" s="8">
        <f t="shared" si="130"/>
        <v>0</v>
      </c>
      <c r="CN148" s="8">
        <f t="shared" si="131"/>
        <v>0</v>
      </c>
      <c r="CO148" s="8">
        <f t="shared" si="132"/>
        <v>0</v>
      </c>
      <c r="CP148" s="8">
        <f t="shared" si="133"/>
        <v>0</v>
      </c>
      <c r="CQ148" s="8">
        <f t="shared" si="134"/>
        <v>0</v>
      </c>
      <c r="CR148" s="8">
        <f t="shared" si="135"/>
        <v>0</v>
      </c>
      <c r="CS148" s="8">
        <f t="shared" si="136"/>
        <v>0</v>
      </c>
      <c r="CT148" s="8">
        <f t="shared" si="141"/>
        <v>0</v>
      </c>
      <c r="CU148" s="8">
        <f t="shared" si="142"/>
        <v>0</v>
      </c>
      <c r="CV148" s="8">
        <f t="shared" si="143"/>
        <v>0</v>
      </c>
    </row>
    <row r="149" spans="1:100" ht="25.25" customHeight="1" thickTop="1" thickBot="1" x14ac:dyDescent="0.5">
      <c r="A149" s="32"/>
      <c r="B149" s="10"/>
      <c r="C149" s="10"/>
      <c r="D149" s="11"/>
      <c r="E149" s="10"/>
      <c r="F149" s="10"/>
      <c r="G149" s="19"/>
      <c r="H149" s="19"/>
      <c r="I149" s="19"/>
      <c r="J149" s="19"/>
      <c r="K149" s="10"/>
      <c r="L149" s="10"/>
      <c r="M149" s="10"/>
      <c r="N149" s="10"/>
      <c r="O149" s="18"/>
      <c r="P149" s="18"/>
      <c r="Q149" s="21"/>
      <c r="R149" s="20"/>
      <c r="S149" s="16">
        <f t="shared" si="99"/>
        <v>0</v>
      </c>
      <c r="T149" s="11"/>
      <c r="AR149" s="31"/>
      <c r="AS149" s="31">
        <f t="shared" si="100"/>
        <v>0</v>
      </c>
      <c r="AT149" s="31">
        <f t="shared" si="101"/>
        <v>0</v>
      </c>
      <c r="AU149" s="31">
        <f t="shared" si="102"/>
        <v>0</v>
      </c>
      <c r="AV149" s="31">
        <f t="shared" si="103"/>
        <v>0</v>
      </c>
      <c r="AW149" s="31">
        <f t="shared" si="104"/>
        <v>0</v>
      </c>
      <c r="AX149" s="31">
        <f t="shared" si="105"/>
        <v>0</v>
      </c>
      <c r="AY149" s="31">
        <f t="shared" si="106"/>
        <v>0</v>
      </c>
      <c r="AZ149" s="31">
        <f t="shared" si="107"/>
        <v>0</v>
      </c>
      <c r="BA149" s="31">
        <f t="shared" si="108"/>
        <v>0</v>
      </c>
      <c r="BB149" s="31">
        <f t="shared" si="137"/>
        <v>0</v>
      </c>
      <c r="BC149" s="31"/>
      <c r="BD149" s="31"/>
      <c r="BM149" s="8">
        <f t="shared" si="138"/>
        <v>0</v>
      </c>
      <c r="BN149" s="8">
        <f t="shared" si="109"/>
        <v>0</v>
      </c>
      <c r="BO149" s="8">
        <f t="shared" si="110"/>
        <v>0</v>
      </c>
      <c r="BQ149" s="8">
        <f t="shared" si="111"/>
        <v>0</v>
      </c>
      <c r="BR149" s="63">
        <f t="shared" si="112"/>
        <v>0</v>
      </c>
      <c r="BS149" s="63">
        <f t="shared" si="139"/>
        <v>0</v>
      </c>
      <c r="BT149" s="63">
        <f t="shared" si="113"/>
        <v>0</v>
      </c>
      <c r="BU149" s="63">
        <f t="shared" si="114"/>
        <v>0</v>
      </c>
      <c r="BV149" s="57">
        <f t="shared" si="115"/>
        <v>0</v>
      </c>
      <c r="BW149" s="57">
        <f t="shared" si="116"/>
        <v>0</v>
      </c>
      <c r="BX149" s="57">
        <f t="shared" si="140"/>
        <v>0</v>
      </c>
      <c r="BY149" s="57">
        <f t="shared" si="98"/>
        <v>0</v>
      </c>
      <c r="BZ149" s="8">
        <f t="shared" si="117"/>
        <v>0</v>
      </c>
      <c r="CA149" s="8">
        <f t="shared" si="118"/>
        <v>0</v>
      </c>
      <c r="CB149" s="8">
        <f t="shared" si="119"/>
        <v>0</v>
      </c>
      <c r="CC149" s="8">
        <f t="shared" si="120"/>
        <v>0</v>
      </c>
      <c r="CD149" s="8">
        <f t="shared" si="121"/>
        <v>0</v>
      </c>
      <c r="CE149" s="8">
        <f t="shared" si="122"/>
        <v>0</v>
      </c>
      <c r="CF149" s="8">
        <f t="shared" si="123"/>
        <v>0</v>
      </c>
      <c r="CG149" s="8">
        <f t="shared" si="124"/>
        <v>0</v>
      </c>
      <c r="CH149" s="8">
        <f t="shared" si="125"/>
        <v>0</v>
      </c>
      <c r="CI149" s="8">
        <f t="shared" si="126"/>
        <v>0</v>
      </c>
      <c r="CJ149" s="8">
        <f t="shared" si="127"/>
        <v>0</v>
      </c>
      <c r="CK149" s="8">
        <f t="shared" si="128"/>
        <v>0</v>
      </c>
      <c r="CL149" s="8">
        <f t="shared" si="129"/>
        <v>0</v>
      </c>
      <c r="CM149" s="8">
        <f t="shared" si="130"/>
        <v>0</v>
      </c>
      <c r="CN149" s="8">
        <f t="shared" si="131"/>
        <v>0</v>
      </c>
      <c r="CO149" s="8">
        <f t="shared" si="132"/>
        <v>0</v>
      </c>
      <c r="CP149" s="8">
        <f t="shared" si="133"/>
        <v>0</v>
      </c>
      <c r="CQ149" s="8">
        <f t="shared" si="134"/>
        <v>0</v>
      </c>
      <c r="CR149" s="8">
        <f t="shared" si="135"/>
        <v>0</v>
      </c>
      <c r="CS149" s="8">
        <f t="shared" si="136"/>
        <v>0</v>
      </c>
      <c r="CT149" s="8">
        <f t="shared" si="141"/>
        <v>0</v>
      </c>
      <c r="CU149" s="8">
        <f t="shared" si="142"/>
        <v>0</v>
      </c>
      <c r="CV149" s="8">
        <f t="shared" si="143"/>
        <v>0</v>
      </c>
    </row>
    <row r="150" spans="1:100" ht="25.25" customHeight="1" thickTop="1" thickBot="1" x14ac:dyDescent="0.5">
      <c r="A150" s="32"/>
      <c r="B150" s="10"/>
      <c r="C150" s="10"/>
      <c r="D150" s="11"/>
      <c r="E150" s="10"/>
      <c r="F150" s="10"/>
      <c r="G150" s="19"/>
      <c r="H150" s="19"/>
      <c r="I150" s="19"/>
      <c r="J150" s="19"/>
      <c r="K150" s="10"/>
      <c r="L150" s="10"/>
      <c r="M150" s="10"/>
      <c r="N150" s="10"/>
      <c r="O150" s="18"/>
      <c r="P150" s="18"/>
      <c r="Q150" s="21"/>
      <c r="R150" s="20"/>
      <c r="S150" s="16">
        <f t="shared" si="99"/>
        <v>0</v>
      </c>
      <c r="T150" s="11"/>
      <c r="AR150" s="31"/>
      <c r="AS150" s="31">
        <f t="shared" si="100"/>
        <v>0</v>
      </c>
      <c r="AT150" s="31">
        <f t="shared" si="101"/>
        <v>0</v>
      </c>
      <c r="AU150" s="31">
        <f t="shared" si="102"/>
        <v>0</v>
      </c>
      <c r="AV150" s="31">
        <f t="shared" si="103"/>
        <v>0</v>
      </c>
      <c r="AW150" s="31">
        <f t="shared" si="104"/>
        <v>0</v>
      </c>
      <c r="AX150" s="31">
        <f t="shared" si="105"/>
        <v>0</v>
      </c>
      <c r="AY150" s="31">
        <f t="shared" si="106"/>
        <v>0</v>
      </c>
      <c r="AZ150" s="31">
        <f t="shared" si="107"/>
        <v>0</v>
      </c>
      <c r="BA150" s="31">
        <f t="shared" si="108"/>
        <v>0</v>
      </c>
      <c r="BB150" s="31">
        <f t="shared" si="137"/>
        <v>0</v>
      </c>
      <c r="BC150" s="31"/>
      <c r="BD150" s="31"/>
      <c r="BM150" s="8">
        <f t="shared" si="138"/>
        <v>0</v>
      </c>
      <c r="BN150" s="8">
        <f t="shared" si="109"/>
        <v>0</v>
      </c>
      <c r="BO150" s="8">
        <f t="shared" si="110"/>
        <v>0</v>
      </c>
      <c r="BQ150" s="8">
        <f t="shared" si="111"/>
        <v>0</v>
      </c>
      <c r="BR150" s="63">
        <f t="shared" si="112"/>
        <v>0</v>
      </c>
      <c r="BS150" s="63">
        <f t="shared" si="139"/>
        <v>0</v>
      </c>
      <c r="BT150" s="63">
        <f t="shared" si="113"/>
        <v>0</v>
      </c>
      <c r="BU150" s="63">
        <f t="shared" si="114"/>
        <v>0</v>
      </c>
      <c r="BV150" s="57">
        <f t="shared" si="115"/>
        <v>0</v>
      </c>
      <c r="BW150" s="57">
        <f t="shared" si="116"/>
        <v>0</v>
      </c>
      <c r="BX150" s="57">
        <f t="shared" si="140"/>
        <v>0</v>
      </c>
      <c r="BY150" s="57">
        <f t="shared" si="98"/>
        <v>0</v>
      </c>
      <c r="BZ150" s="8">
        <f t="shared" si="117"/>
        <v>0</v>
      </c>
      <c r="CA150" s="8">
        <f t="shared" si="118"/>
        <v>0</v>
      </c>
      <c r="CB150" s="8">
        <f t="shared" si="119"/>
        <v>0</v>
      </c>
      <c r="CC150" s="8">
        <f t="shared" si="120"/>
        <v>0</v>
      </c>
      <c r="CD150" s="8">
        <f t="shared" si="121"/>
        <v>0</v>
      </c>
      <c r="CE150" s="8">
        <f t="shared" si="122"/>
        <v>0</v>
      </c>
      <c r="CF150" s="8">
        <f t="shared" si="123"/>
        <v>0</v>
      </c>
      <c r="CG150" s="8">
        <f t="shared" si="124"/>
        <v>0</v>
      </c>
      <c r="CH150" s="8">
        <f t="shared" si="125"/>
        <v>0</v>
      </c>
      <c r="CI150" s="8">
        <f t="shared" si="126"/>
        <v>0</v>
      </c>
      <c r="CJ150" s="8">
        <f t="shared" si="127"/>
        <v>0</v>
      </c>
      <c r="CK150" s="8">
        <f t="shared" si="128"/>
        <v>0</v>
      </c>
      <c r="CL150" s="8">
        <f t="shared" si="129"/>
        <v>0</v>
      </c>
      <c r="CM150" s="8">
        <f t="shared" si="130"/>
        <v>0</v>
      </c>
      <c r="CN150" s="8">
        <f t="shared" si="131"/>
        <v>0</v>
      </c>
      <c r="CO150" s="8">
        <f t="shared" si="132"/>
        <v>0</v>
      </c>
      <c r="CP150" s="8">
        <f t="shared" si="133"/>
        <v>0</v>
      </c>
      <c r="CQ150" s="8">
        <f t="shared" si="134"/>
        <v>0</v>
      </c>
      <c r="CR150" s="8">
        <f t="shared" si="135"/>
        <v>0</v>
      </c>
      <c r="CS150" s="8">
        <f t="shared" si="136"/>
        <v>0</v>
      </c>
      <c r="CT150" s="8">
        <f t="shared" si="141"/>
        <v>0</v>
      </c>
      <c r="CU150" s="8">
        <f t="shared" si="142"/>
        <v>0</v>
      </c>
      <c r="CV150" s="8">
        <f t="shared" si="143"/>
        <v>0</v>
      </c>
    </row>
    <row r="151" spans="1:100" ht="25.25" customHeight="1" thickTop="1" thickBot="1" x14ac:dyDescent="0.5">
      <c r="A151" s="32"/>
      <c r="B151" s="10"/>
      <c r="C151" s="10"/>
      <c r="D151" s="11"/>
      <c r="E151" s="10"/>
      <c r="F151" s="10"/>
      <c r="G151" s="19"/>
      <c r="H151" s="19"/>
      <c r="I151" s="19"/>
      <c r="J151" s="19"/>
      <c r="K151" s="10"/>
      <c r="L151" s="10"/>
      <c r="M151" s="10"/>
      <c r="N151" s="10"/>
      <c r="O151" s="18"/>
      <c r="P151" s="18"/>
      <c r="Q151" s="21"/>
      <c r="R151" s="20"/>
      <c r="S151" s="16">
        <f t="shared" si="99"/>
        <v>0</v>
      </c>
      <c r="T151" s="11"/>
      <c r="AR151" s="31"/>
      <c r="AS151" s="31">
        <f t="shared" si="100"/>
        <v>0</v>
      </c>
      <c r="AT151" s="31">
        <f t="shared" si="101"/>
        <v>0</v>
      </c>
      <c r="AU151" s="31">
        <f t="shared" si="102"/>
        <v>0</v>
      </c>
      <c r="AV151" s="31">
        <f t="shared" si="103"/>
        <v>0</v>
      </c>
      <c r="AW151" s="31">
        <f t="shared" si="104"/>
        <v>0</v>
      </c>
      <c r="AX151" s="31">
        <f t="shared" si="105"/>
        <v>0</v>
      </c>
      <c r="AY151" s="31">
        <f t="shared" si="106"/>
        <v>0</v>
      </c>
      <c r="AZ151" s="31">
        <f t="shared" si="107"/>
        <v>0</v>
      </c>
      <c r="BA151" s="31">
        <f t="shared" si="108"/>
        <v>0</v>
      </c>
      <c r="BB151" s="31">
        <f t="shared" si="137"/>
        <v>0</v>
      </c>
      <c r="BC151" s="31"/>
      <c r="BD151" s="31"/>
      <c r="BM151" s="8">
        <f t="shared" si="138"/>
        <v>0</v>
      </c>
      <c r="BN151" s="8">
        <f t="shared" si="109"/>
        <v>0</v>
      </c>
      <c r="BO151" s="8">
        <f t="shared" si="110"/>
        <v>0</v>
      </c>
      <c r="BQ151" s="8">
        <f t="shared" si="111"/>
        <v>0</v>
      </c>
      <c r="BR151" s="63">
        <f t="shared" si="112"/>
        <v>0</v>
      </c>
      <c r="BS151" s="63">
        <f t="shared" si="139"/>
        <v>0</v>
      </c>
      <c r="BT151" s="63">
        <f t="shared" si="113"/>
        <v>0</v>
      </c>
      <c r="BU151" s="63">
        <f t="shared" si="114"/>
        <v>0</v>
      </c>
      <c r="BV151" s="57">
        <f t="shared" si="115"/>
        <v>0</v>
      </c>
      <c r="BW151" s="57">
        <f t="shared" si="116"/>
        <v>0</v>
      </c>
      <c r="BX151" s="57">
        <f t="shared" si="140"/>
        <v>0</v>
      </c>
      <c r="BY151" s="57">
        <f t="shared" si="98"/>
        <v>0</v>
      </c>
      <c r="BZ151" s="8">
        <f t="shared" si="117"/>
        <v>0</v>
      </c>
      <c r="CA151" s="8">
        <f t="shared" si="118"/>
        <v>0</v>
      </c>
      <c r="CB151" s="8">
        <f t="shared" si="119"/>
        <v>0</v>
      </c>
      <c r="CC151" s="8">
        <f t="shared" si="120"/>
        <v>0</v>
      </c>
      <c r="CD151" s="8">
        <f t="shared" si="121"/>
        <v>0</v>
      </c>
      <c r="CE151" s="8">
        <f t="shared" si="122"/>
        <v>0</v>
      </c>
      <c r="CF151" s="8">
        <f t="shared" si="123"/>
        <v>0</v>
      </c>
      <c r="CG151" s="8">
        <f t="shared" si="124"/>
        <v>0</v>
      </c>
      <c r="CH151" s="8">
        <f t="shared" si="125"/>
        <v>0</v>
      </c>
      <c r="CI151" s="8">
        <f t="shared" si="126"/>
        <v>0</v>
      </c>
      <c r="CJ151" s="8">
        <f t="shared" si="127"/>
        <v>0</v>
      </c>
      <c r="CK151" s="8">
        <f t="shared" si="128"/>
        <v>0</v>
      </c>
      <c r="CL151" s="8">
        <f t="shared" si="129"/>
        <v>0</v>
      </c>
      <c r="CM151" s="8">
        <f t="shared" si="130"/>
        <v>0</v>
      </c>
      <c r="CN151" s="8">
        <f t="shared" si="131"/>
        <v>0</v>
      </c>
      <c r="CO151" s="8">
        <f t="shared" si="132"/>
        <v>0</v>
      </c>
      <c r="CP151" s="8">
        <f t="shared" si="133"/>
        <v>0</v>
      </c>
      <c r="CQ151" s="8">
        <f t="shared" si="134"/>
        <v>0</v>
      </c>
      <c r="CR151" s="8">
        <f t="shared" si="135"/>
        <v>0</v>
      </c>
      <c r="CS151" s="8">
        <f t="shared" si="136"/>
        <v>0</v>
      </c>
      <c r="CT151" s="8">
        <f t="shared" si="141"/>
        <v>0</v>
      </c>
      <c r="CU151" s="8">
        <f t="shared" si="142"/>
        <v>0</v>
      </c>
      <c r="CV151" s="8">
        <f t="shared" si="143"/>
        <v>0</v>
      </c>
    </row>
    <row r="152" spans="1:100" ht="25.25" customHeight="1" thickTop="1" thickBot="1" x14ac:dyDescent="0.5">
      <c r="A152" s="32"/>
      <c r="B152" s="10"/>
      <c r="C152" s="10"/>
      <c r="D152" s="11"/>
      <c r="E152" s="10"/>
      <c r="F152" s="10"/>
      <c r="G152" s="19"/>
      <c r="H152" s="19"/>
      <c r="I152" s="19"/>
      <c r="J152" s="19"/>
      <c r="K152" s="10"/>
      <c r="L152" s="10"/>
      <c r="M152" s="10"/>
      <c r="N152" s="10"/>
      <c r="O152" s="18"/>
      <c r="P152" s="18"/>
      <c r="Q152" s="21"/>
      <c r="R152" s="20"/>
      <c r="S152" s="16">
        <f t="shared" si="99"/>
        <v>0</v>
      </c>
      <c r="T152" s="11"/>
      <c r="AR152" s="31"/>
      <c r="AS152" s="31">
        <f t="shared" si="100"/>
        <v>0</v>
      </c>
      <c r="AT152" s="31">
        <f t="shared" si="101"/>
        <v>0</v>
      </c>
      <c r="AU152" s="31">
        <f t="shared" si="102"/>
        <v>0</v>
      </c>
      <c r="AV152" s="31">
        <f t="shared" si="103"/>
        <v>0</v>
      </c>
      <c r="AW152" s="31">
        <f t="shared" si="104"/>
        <v>0</v>
      </c>
      <c r="AX152" s="31">
        <f t="shared" si="105"/>
        <v>0</v>
      </c>
      <c r="AY152" s="31">
        <f t="shared" si="106"/>
        <v>0</v>
      </c>
      <c r="AZ152" s="31">
        <f t="shared" si="107"/>
        <v>0</v>
      </c>
      <c r="BA152" s="31">
        <f t="shared" si="108"/>
        <v>0</v>
      </c>
      <c r="BB152" s="31">
        <f t="shared" si="137"/>
        <v>0</v>
      </c>
      <c r="BC152" s="31"/>
      <c r="BD152" s="31"/>
      <c r="BM152" s="8">
        <f t="shared" si="138"/>
        <v>0</v>
      </c>
      <c r="BN152" s="8">
        <f t="shared" si="109"/>
        <v>0</v>
      </c>
      <c r="BO152" s="8">
        <f t="shared" si="110"/>
        <v>0</v>
      </c>
      <c r="BQ152" s="8">
        <f t="shared" si="111"/>
        <v>0</v>
      </c>
      <c r="BR152" s="63">
        <f t="shared" si="112"/>
        <v>0</v>
      </c>
      <c r="BS152" s="63">
        <f t="shared" si="139"/>
        <v>0</v>
      </c>
      <c r="BT152" s="63">
        <f t="shared" si="113"/>
        <v>0</v>
      </c>
      <c r="BU152" s="63">
        <f t="shared" si="114"/>
        <v>0</v>
      </c>
      <c r="BV152" s="57">
        <f t="shared" si="115"/>
        <v>0</v>
      </c>
      <c r="BW152" s="57">
        <f t="shared" si="116"/>
        <v>0</v>
      </c>
      <c r="BX152" s="57">
        <f t="shared" si="140"/>
        <v>0</v>
      </c>
      <c r="BY152" s="57">
        <f t="shared" si="98"/>
        <v>0</v>
      </c>
      <c r="BZ152" s="8">
        <f t="shared" si="117"/>
        <v>0</v>
      </c>
      <c r="CA152" s="8">
        <f t="shared" si="118"/>
        <v>0</v>
      </c>
      <c r="CB152" s="8">
        <f t="shared" si="119"/>
        <v>0</v>
      </c>
      <c r="CC152" s="8">
        <f t="shared" si="120"/>
        <v>0</v>
      </c>
      <c r="CD152" s="8">
        <f t="shared" si="121"/>
        <v>0</v>
      </c>
      <c r="CE152" s="8">
        <f t="shared" si="122"/>
        <v>0</v>
      </c>
      <c r="CF152" s="8">
        <f t="shared" si="123"/>
        <v>0</v>
      </c>
      <c r="CG152" s="8">
        <f t="shared" si="124"/>
        <v>0</v>
      </c>
      <c r="CH152" s="8">
        <f t="shared" si="125"/>
        <v>0</v>
      </c>
      <c r="CI152" s="8">
        <f t="shared" si="126"/>
        <v>0</v>
      </c>
      <c r="CJ152" s="8">
        <f t="shared" si="127"/>
        <v>0</v>
      </c>
      <c r="CK152" s="8">
        <f t="shared" si="128"/>
        <v>0</v>
      </c>
      <c r="CL152" s="8">
        <f t="shared" si="129"/>
        <v>0</v>
      </c>
      <c r="CM152" s="8">
        <f t="shared" si="130"/>
        <v>0</v>
      </c>
      <c r="CN152" s="8">
        <f t="shared" si="131"/>
        <v>0</v>
      </c>
      <c r="CO152" s="8">
        <f t="shared" si="132"/>
        <v>0</v>
      </c>
      <c r="CP152" s="8">
        <f t="shared" si="133"/>
        <v>0</v>
      </c>
      <c r="CQ152" s="8">
        <f t="shared" si="134"/>
        <v>0</v>
      </c>
      <c r="CR152" s="8">
        <f t="shared" si="135"/>
        <v>0</v>
      </c>
      <c r="CS152" s="8">
        <f t="shared" si="136"/>
        <v>0</v>
      </c>
      <c r="CT152" s="8">
        <f t="shared" si="141"/>
        <v>0</v>
      </c>
      <c r="CU152" s="8">
        <f t="shared" si="142"/>
        <v>0</v>
      </c>
      <c r="CV152" s="8">
        <f t="shared" si="143"/>
        <v>0</v>
      </c>
    </row>
    <row r="153" spans="1:100" ht="25.25" customHeight="1" thickTop="1" thickBot="1" x14ac:dyDescent="0.5">
      <c r="A153" s="32"/>
      <c r="B153" s="10"/>
      <c r="C153" s="10"/>
      <c r="D153" s="11"/>
      <c r="E153" s="10"/>
      <c r="F153" s="10"/>
      <c r="G153" s="19"/>
      <c r="H153" s="19"/>
      <c r="I153" s="19"/>
      <c r="J153" s="19"/>
      <c r="K153" s="10"/>
      <c r="L153" s="10"/>
      <c r="M153" s="10"/>
      <c r="N153" s="10"/>
      <c r="O153" s="18"/>
      <c r="P153" s="18"/>
      <c r="Q153" s="21"/>
      <c r="R153" s="20"/>
      <c r="S153" s="16">
        <f t="shared" si="99"/>
        <v>0</v>
      </c>
      <c r="T153" s="11"/>
      <c r="AR153" s="31"/>
      <c r="AS153" s="31">
        <f t="shared" si="100"/>
        <v>0</v>
      </c>
      <c r="AT153" s="31">
        <f t="shared" si="101"/>
        <v>0</v>
      </c>
      <c r="AU153" s="31">
        <f t="shared" si="102"/>
        <v>0</v>
      </c>
      <c r="AV153" s="31">
        <f t="shared" si="103"/>
        <v>0</v>
      </c>
      <c r="AW153" s="31">
        <f t="shared" si="104"/>
        <v>0</v>
      </c>
      <c r="AX153" s="31">
        <f t="shared" si="105"/>
        <v>0</v>
      </c>
      <c r="AY153" s="31">
        <f t="shared" si="106"/>
        <v>0</v>
      </c>
      <c r="AZ153" s="31">
        <f t="shared" si="107"/>
        <v>0</v>
      </c>
      <c r="BA153" s="31">
        <f t="shared" si="108"/>
        <v>0</v>
      </c>
      <c r="BB153" s="31">
        <f t="shared" si="137"/>
        <v>0</v>
      </c>
      <c r="BC153" s="31"/>
      <c r="BD153" s="31"/>
      <c r="BM153" s="8">
        <f t="shared" si="138"/>
        <v>0</v>
      </c>
      <c r="BN153" s="8">
        <f t="shared" si="109"/>
        <v>0</v>
      </c>
      <c r="BO153" s="8">
        <f t="shared" si="110"/>
        <v>0</v>
      </c>
      <c r="BQ153" s="8">
        <f t="shared" si="111"/>
        <v>0</v>
      </c>
      <c r="BR153" s="63">
        <f t="shared" si="112"/>
        <v>0</v>
      </c>
      <c r="BS153" s="63">
        <f t="shared" si="139"/>
        <v>0</v>
      </c>
      <c r="BT153" s="63">
        <f t="shared" si="113"/>
        <v>0</v>
      </c>
      <c r="BU153" s="63">
        <f t="shared" si="114"/>
        <v>0</v>
      </c>
      <c r="BV153" s="57">
        <f t="shared" si="115"/>
        <v>0</v>
      </c>
      <c r="BW153" s="57">
        <f t="shared" si="116"/>
        <v>0</v>
      </c>
      <c r="BX153" s="57">
        <f t="shared" si="140"/>
        <v>0</v>
      </c>
      <c r="BY153" s="57">
        <f t="shared" si="98"/>
        <v>0</v>
      </c>
      <c r="BZ153" s="8">
        <f t="shared" si="117"/>
        <v>0</v>
      </c>
      <c r="CA153" s="8">
        <f t="shared" si="118"/>
        <v>0</v>
      </c>
      <c r="CB153" s="8">
        <f t="shared" si="119"/>
        <v>0</v>
      </c>
      <c r="CC153" s="8">
        <f t="shared" si="120"/>
        <v>0</v>
      </c>
      <c r="CD153" s="8">
        <f t="shared" si="121"/>
        <v>0</v>
      </c>
      <c r="CE153" s="8">
        <f t="shared" si="122"/>
        <v>0</v>
      </c>
      <c r="CF153" s="8">
        <f t="shared" si="123"/>
        <v>0</v>
      </c>
      <c r="CG153" s="8">
        <f t="shared" si="124"/>
        <v>0</v>
      </c>
      <c r="CH153" s="8">
        <f t="shared" si="125"/>
        <v>0</v>
      </c>
      <c r="CI153" s="8">
        <f t="shared" si="126"/>
        <v>0</v>
      </c>
      <c r="CJ153" s="8">
        <f t="shared" si="127"/>
        <v>0</v>
      </c>
      <c r="CK153" s="8">
        <f t="shared" si="128"/>
        <v>0</v>
      </c>
      <c r="CL153" s="8">
        <f t="shared" si="129"/>
        <v>0</v>
      </c>
      <c r="CM153" s="8">
        <f t="shared" si="130"/>
        <v>0</v>
      </c>
      <c r="CN153" s="8">
        <f t="shared" si="131"/>
        <v>0</v>
      </c>
      <c r="CO153" s="8">
        <f t="shared" si="132"/>
        <v>0</v>
      </c>
      <c r="CP153" s="8">
        <f t="shared" si="133"/>
        <v>0</v>
      </c>
      <c r="CQ153" s="8">
        <f t="shared" si="134"/>
        <v>0</v>
      </c>
      <c r="CR153" s="8">
        <f t="shared" si="135"/>
        <v>0</v>
      </c>
      <c r="CS153" s="8">
        <f t="shared" si="136"/>
        <v>0</v>
      </c>
      <c r="CT153" s="8">
        <f t="shared" si="141"/>
        <v>0</v>
      </c>
      <c r="CU153" s="8">
        <f t="shared" si="142"/>
        <v>0</v>
      </c>
      <c r="CV153" s="8">
        <f t="shared" si="143"/>
        <v>0</v>
      </c>
    </row>
    <row r="154" spans="1:100" ht="25.25" customHeight="1" thickTop="1" thickBot="1" x14ac:dyDescent="0.5">
      <c r="A154" s="32"/>
      <c r="B154" s="10"/>
      <c r="C154" s="10"/>
      <c r="D154" s="11"/>
      <c r="E154" s="10"/>
      <c r="F154" s="10"/>
      <c r="G154" s="19"/>
      <c r="H154" s="19"/>
      <c r="I154" s="19"/>
      <c r="J154" s="19"/>
      <c r="K154" s="10"/>
      <c r="L154" s="10"/>
      <c r="M154" s="10"/>
      <c r="N154" s="10"/>
      <c r="O154" s="18"/>
      <c r="P154" s="18"/>
      <c r="Q154" s="21"/>
      <c r="R154" s="20"/>
      <c r="S154" s="16">
        <f t="shared" si="99"/>
        <v>0</v>
      </c>
      <c r="T154" s="11"/>
      <c r="AR154" s="31"/>
      <c r="AS154" s="31">
        <f t="shared" si="100"/>
        <v>0</v>
      </c>
      <c r="AT154" s="31">
        <f t="shared" si="101"/>
        <v>0</v>
      </c>
      <c r="AU154" s="31">
        <f t="shared" si="102"/>
        <v>0</v>
      </c>
      <c r="AV154" s="31">
        <f t="shared" si="103"/>
        <v>0</v>
      </c>
      <c r="AW154" s="31">
        <f t="shared" si="104"/>
        <v>0</v>
      </c>
      <c r="AX154" s="31">
        <f t="shared" si="105"/>
        <v>0</v>
      </c>
      <c r="AY154" s="31">
        <f t="shared" si="106"/>
        <v>0</v>
      </c>
      <c r="AZ154" s="31">
        <f t="shared" si="107"/>
        <v>0</v>
      </c>
      <c r="BA154" s="31">
        <f t="shared" si="108"/>
        <v>0</v>
      </c>
      <c r="BB154" s="31">
        <f t="shared" si="137"/>
        <v>0</v>
      </c>
      <c r="BC154" s="31"/>
      <c r="BD154" s="31"/>
      <c r="BM154" s="8">
        <f t="shared" si="138"/>
        <v>0</v>
      </c>
      <c r="BN154" s="8">
        <f t="shared" si="109"/>
        <v>0</v>
      </c>
      <c r="BO154" s="8">
        <f t="shared" si="110"/>
        <v>0</v>
      </c>
      <c r="BQ154" s="8">
        <f t="shared" si="111"/>
        <v>0</v>
      </c>
      <c r="BR154" s="63">
        <f t="shared" si="112"/>
        <v>0</v>
      </c>
      <c r="BS154" s="63">
        <f t="shared" si="139"/>
        <v>0</v>
      </c>
      <c r="BT154" s="63">
        <f t="shared" si="113"/>
        <v>0</v>
      </c>
      <c r="BU154" s="63">
        <f t="shared" si="114"/>
        <v>0</v>
      </c>
      <c r="BV154" s="57">
        <f t="shared" si="115"/>
        <v>0</v>
      </c>
      <c r="BW154" s="57">
        <f t="shared" si="116"/>
        <v>0</v>
      </c>
      <c r="BX154" s="57">
        <f t="shared" si="140"/>
        <v>0</v>
      </c>
      <c r="BY154" s="57">
        <f t="shared" si="98"/>
        <v>0</v>
      </c>
      <c r="BZ154" s="8">
        <f t="shared" si="117"/>
        <v>0</v>
      </c>
      <c r="CA154" s="8">
        <f t="shared" si="118"/>
        <v>0</v>
      </c>
      <c r="CB154" s="8">
        <f t="shared" si="119"/>
        <v>0</v>
      </c>
      <c r="CC154" s="8">
        <f t="shared" si="120"/>
        <v>0</v>
      </c>
      <c r="CD154" s="8">
        <f t="shared" si="121"/>
        <v>0</v>
      </c>
      <c r="CE154" s="8">
        <f t="shared" si="122"/>
        <v>0</v>
      </c>
      <c r="CF154" s="8">
        <f t="shared" si="123"/>
        <v>0</v>
      </c>
      <c r="CG154" s="8">
        <f t="shared" si="124"/>
        <v>0</v>
      </c>
      <c r="CH154" s="8">
        <f t="shared" si="125"/>
        <v>0</v>
      </c>
      <c r="CI154" s="8">
        <f t="shared" si="126"/>
        <v>0</v>
      </c>
      <c r="CJ154" s="8">
        <f t="shared" si="127"/>
        <v>0</v>
      </c>
      <c r="CK154" s="8">
        <f t="shared" si="128"/>
        <v>0</v>
      </c>
      <c r="CL154" s="8">
        <f t="shared" si="129"/>
        <v>0</v>
      </c>
      <c r="CM154" s="8">
        <f t="shared" si="130"/>
        <v>0</v>
      </c>
      <c r="CN154" s="8">
        <f t="shared" si="131"/>
        <v>0</v>
      </c>
      <c r="CO154" s="8">
        <f t="shared" si="132"/>
        <v>0</v>
      </c>
      <c r="CP154" s="8">
        <f t="shared" si="133"/>
        <v>0</v>
      </c>
      <c r="CQ154" s="8">
        <f t="shared" si="134"/>
        <v>0</v>
      </c>
      <c r="CR154" s="8">
        <f t="shared" si="135"/>
        <v>0</v>
      </c>
      <c r="CS154" s="8">
        <f t="shared" si="136"/>
        <v>0</v>
      </c>
      <c r="CT154" s="8">
        <f t="shared" si="141"/>
        <v>0</v>
      </c>
      <c r="CU154" s="8">
        <f t="shared" si="142"/>
        <v>0</v>
      </c>
      <c r="CV154" s="8">
        <f t="shared" si="143"/>
        <v>0</v>
      </c>
    </row>
    <row r="155" spans="1:100" ht="25.25" customHeight="1" thickTop="1" thickBot="1" x14ac:dyDescent="0.5">
      <c r="A155" s="32"/>
      <c r="B155" s="10"/>
      <c r="C155" s="10"/>
      <c r="D155" s="11"/>
      <c r="E155" s="10"/>
      <c r="F155" s="10"/>
      <c r="G155" s="19"/>
      <c r="H155" s="19"/>
      <c r="I155" s="19"/>
      <c r="J155" s="19"/>
      <c r="K155" s="10"/>
      <c r="L155" s="10"/>
      <c r="M155" s="10"/>
      <c r="N155" s="10"/>
      <c r="O155" s="18"/>
      <c r="P155" s="18"/>
      <c r="Q155" s="21"/>
      <c r="R155" s="20"/>
      <c r="S155" s="16">
        <f t="shared" si="99"/>
        <v>0</v>
      </c>
      <c r="T155" s="11"/>
      <c r="AR155" s="31"/>
      <c r="AS155" s="31">
        <f t="shared" si="100"/>
        <v>0</v>
      </c>
      <c r="AT155" s="31">
        <f t="shared" si="101"/>
        <v>0</v>
      </c>
      <c r="AU155" s="31">
        <f t="shared" si="102"/>
        <v>0</v>
      </c>
      <c r="AV155" s="31">
        <f t="shared" si="103"/>
        <v>0</v>
      </c>
      <c r="AW155" s="31">
        <f t="shared" si="104"/>
        <v>0</v>
      </c>
      <c r="AX155" s="31">
        <f t="shared" si="105"/>
        <v>0</v>
      </c>
      <c r="AY155" s="31">
        <f t="shared" si="106"/>
        <v>0</v>
      </c>
      <c r="AZ155" s="31">
        <f t="shared" si="107"/>
        <v>0</v>
      </c>
      <c r="BA155" s="31">
        <f t="shared" si="108"/>
        <v>0</v>
      </c>
      <c r="BB155" s="31">
        <f t="shared" si="137"/>
        <v>0</v>
      </c>
      <c r="BC155" s="31"/>
      <c r="BD155" s="31"/>
      <c r="BM155" s="8">
        <f t="shared" si="138"/>
        <v>0</v>
      </c>
      <c r="BN155" s="8">
        <f t="shared" si="109"/>
        <v>0</v>
      </c>
      <c r="BO155" s="8">
        <f t="shared" si="110"/>
        <v>0</v>
      </c>
      <c r="BQ155" s="8">
        <f t="shared" si="111"/>
        <v>0</v>
      </c>
      <c r="BR155" s="63">
        <f t="shared" si="112"/>
        <v>0</v>
      </c>
      <c r="BS155" s="63">
        <f t="shared" si="139"/>
        <v>0</v>
      </c>
      <c r="BT155" s="63">
        <f t="shared" si="113"/>
        <v>0</v>
      </c>
      <c r="BU155" s="63">
        <f t="shared" si="114"/>
        <v>0</v>
      </c>
      <c r="BV155" s="57">
        <f t="shared" si="115"/>
        <v>0</v>
      </c>
      <c r="BW155" s="57">
        <f t="shared" si="116"/>
        <v>0</v>
      </c>
      <c r="BX155" s="57">
        <f t="shared" si="140"/>
        <v>0</v>
      </c>
      <c r="BY155" s="57">
        <f t="shared" si="98"/>
        <v>0</v>
      </c>
      <c r="BZ155" s="8">
        <f t="shared" si="117"/>
        <v>0</v>
      </c>
      <c r="CA155" s="8">
        <f t="shared" si="118"/>
        <v>0</v>
      </c>
      <c r="CB155" s="8">
        <f t="shared" si="119"/>
        <v>0</v>
      </c>
      <c r="CC155" s="8">
        <f t="shared" si="120"/>
        <v>0</v>
      </c>
      <c r="CD155" s="8">
        <f t="shared" si="121"/>
        <v>0</v>
      </c>
      <c r="CE155" s="8">
        <f t="shared" si="122"/>
        <v>0</v>
      </c>
      <c r="CF155" s="8">
        <f t="shared" si="123"/>
        <v>0</v>
      </c>
      <c r="CG155" s="8">
        <f t="shared" si="124"/>
        <v>0</v>
      </c>
      <c r="CH155" s="8">
        <f t="shared" si="125"/>
        <v>0</v>
      </c>
      <c r="CI155" s="8">
        <f t="shared" si="126"/>
        <v>0</v>
      </c>
      <c r="CJ155" s="8">
        <f t="shared" si="127"/>
        <v>0</v>
      </c>
      <c r="CK155" s="8">
        <f t="shared" si="128"/>
        <v>0</v>
      </c>
      <c r="CL155" s="8">
        <f t="shared" si="129"/>
        <v>0</v>
      </c>
      <c r="CM155" s="8">
        <f t="shared" si="130"/>
        <v>0</v>
      </c>
      <c r="CN155" s="8">
        <f t="shared" si="131"/>
        <v>0</v>
      </c>
      <c r="CO155" s="8">
        <f t="shared" si="132"/>
        <v>0</v>
      </c>
      <c r="CP155" s="8">
        <f t="shared" si="133"/>
        <v>0</v>
      </c>
      <c r="CQ155" s="8">
        <f t="shared" si="134"/>
        <v>0</v>
      </c>
      <c r="CR155" s="8">
        <f t="shared" si="135"/>
        <v>0</v>
      </c>
      <c r="CS155" s="8">
        <f t="shared" si="136"/>
        <v>0</v>
      </c>
      <c r="CT155" s="8">
        <f t="shared" si="141"/>
        <v>0</v>
      </c>
      <c r="CU155" s="8">
        <f t="shared" si="142"/>
        <v>0</v>
      </c>
      <c r="CV155" s="8">
        <f t="shared" si="143"/>
        <v>0</v>
      </c>
    </row>
    <row r="156" spans="1:100" ht="25.25" customHeight="1" thickTop="1" thickBot="1" x14ac:dyDescent="0.5">
      <c r="A156" s="32"/>
      <c r="B156" s="10"/>
      <c r="C156" s="10"/>
      <c r="D156" s="11"/>
      <c r="E156" s="10"/>
      <c r="F156" s="10"/>
      <c r="G156" s="19"/>
      <c r="H156" s="19"/>
      <c r="I156" s="19"/>
      <c r="J156" s="19"/>
      <c r="K156" s="10"/>
      <c r="L156" s="10"/>
      <c r="M156" s="10"/>
      <c r="N156" s="10"/>
      <c r="O156" s="18"/>
      <c r="P156" s="18"/>
      <c r="Q156" s="21"/>
      <c r="R156" s="20"/>
      <c r="S156" s="16">
        <f t="shared" si="99"/>
        <v>0</v>
      </c>
      <c r="T156" s="11"/>
      <c r="AR156" s="31"/>
      <c r="AS156" s="31">
        <f t="shared" si="100"/>
        <v>0</v>
      </c>
      <c r="AT156" s="31">
        <f t="shared" si="101"/>
        <v>0</v>
      </c>
      <c r="AU156" s="31">
        <f t="shared" si="102"/>
        <v>0</v>
      </c>
      <c r="AV156" s="31">
        <f t="shared" si="103"/>
        <v>0</v>
      </c>
      <c r="AW156" s="31">
        <f t="shared" si="104"/>
        <v>0</v>
      </c>
      <c r="AX156" s="31">
        <f t="shared" si="105"/>
        <v>0</v>
      </c>
      <c r="AY156" s="31">
        <f t="shared" si="106"/>
        <v>0</v>
      </c>
      <c r="AZ156" s="31">
        <f t="shared" si="107"/>
        <v>0</v>
      </c>
      <c r="BA156" s="31">
        <f t="shared" si="108"/>
        <v>0</v>
      </c>
      <c r="BB156" s="31">
        <f t="shared" si="137"/>
        <v>0</v>
      </c>
      <c r="BC156" s="31"/>
      <c r="BD156" s="31"/>
      <c r="BM156" s="8">
        <f t="shared" si="138"/>
        <v>0</v>
      </c>
      <c r="BN156" s="8">
        <f t="shared" si="109"/>
        <v>0</v>
      </c>
      <c r="BO156" s="8">
        <f t="shared" si="110"/>
        <v>0</v>
      </c>
      <c r="BQ156" s="8">
        <f t="shared" si="111"/>
        <v>0</v>
      </c>
      <c r="BR156" s="63">
        <f t="shared" si="112"/>
        <v>0</v>
      </c>
      <c r="BS156" s="63">
        <f t="shared" si="139"/>
        <v>0</v>
      </c>
      <c r="BT156" s="63">
        <f t="shared" si="113"/>
        <v>0</v>
      </c>
      <c r="BU156" s="63">
        <f t="shared" si="114"/>
        <v>0</v>
      </c>
      <c r="BV156" s="57">
        <f t="shared" si="115"/>
        <v>0</v>
      </c>
      <c r="BW156" s="57">
        <f t="shared" si="116"/>
        <v>0</v>
      </c>
      <c r="BX156" s="57">
        <f t="shared" si="140"/>
        <v>0</v>
      </c>
      <c r="BY156" s="57">
        <f t="shared" si="98"/>
        <v>0</v>
      </c>
      <c r="BZ156" s="8">
        <f t="shared" si="117"/>
        <v>0</v>
      </c>
      <c r="CA156" s="8">
        <f t="shared" si="118"/>
        <v>0</v>
      </c>
      <c r="CB156" s="8">
        <f t="shared" si="119"/>
        <v>0</v>
      </c>
      <c r="CC156" s="8">
        <f t="shared" si="120"/>
        <v>0</v>
      </c>
      <c r="CD156" s="8">
        <f t="shared" si="121"/>
        <v>0</v>
      </c>
      <c r="CE156" s="8">
        <f t="shared" si="122"/>
        <v>0</v>
      </c>
      <c r="CF156" s="8">
        <f t="shared" si="123"/>
        <v>0</v>
      </c>
      <c r="CG156" s="8">
        <f t="shared" si="124"/>
        <v>0</v>
      </c>
      <c r="CH156" s="8">
        <f t="shared" si="125"/>
        <v>0</v>
      </c>
      <c r="CI156" s="8">
        <f t="shared" si="126"/>
        <v>0</v>
      </c>
      <c r="CJ156" s="8">
        <f t="shared" si="127"/>
        <v>0</v>
      </c>
      <c r="CK156" s="8">
        <f t="shared" si="128"/>
        <v>0</v>
      </c>
      <c r="CL156" s="8">
        <f t="shared" si="129"/>
        <v>0</v>
      </c>
      <c r="CM156" s="8">
        <f t="shared" si="130"/>
        <v>0</v>
      </c>
      <c r="CN156" s="8">
        <f t="shared" si="131"/>
        <v>0</v>
      </c>
      <c r="CO156" s="8">
        <f t="shared" si="132"/>
        <v>0</v>
      </c>
      <c r="CP156" s="8">
        <f t="shared" si="133"/>
        <v>0</v>
      </c>
      <c r="CQ156" s="8">
        <f t="shared" si="134"/>
        <v>0</v>
      </c>
      <c r="CR156" s="8">
        <f t="shared" si="135"/>
        <v>0</v>
      </c>
      <c r="CS156" s="8">
        <f t="shared" si="136"/>
        <v>0</v>
      </c>
      <c r="CT156" s="8">
        <f t="shared" si="141"/>
        <v>0</v>
      </c>
      <c r="CU156" s="8">
        <f t="shared" si="142"/>
        <v>0</v>
      </c>
      <c r="CV156" s="8">
        <f t="shared" si="143"/>
        <v>0</v>
      </c>
    </row>
    <row r="157" spans="1:100" ht="25.25" customHeight="1" thickTop="1" thickBot="1" x14ac:dyDescent="0.5">
      <c r="A157" s="32"/>
      <c r="B157" s="10"/>
      <c r="C157" s="10"/>
      <c r="D157" s="11"/>
      <c r="E157" s="10"/>
      <c r="F157" s="10"/>
      <c r="G157" s="19"/>
      <c r="H157" s="19"/>
      <c r="I157" s="19"/>
      <c r="J157" s="19"/>
      <c r="K157" s="10"/>
      <c r="L157" s="10"/>
      <c r="M157" s="10"/>
      <c r="N157" s="10"/>
      <c r="O157" s="18"/>
      <c r="P157" s="18"/>
      <c r="Q157" s="21"/>
      <c r="R157" s="20"/>
      <c r="S157" s="16">
        <f t="shared" si="99"/>
        <v>0</v>
      </c>
      <c r="T157" s="11"/>
      <c r="AR157" s="31"/>
      <c r="AS157" s="31">
        <f t="shared" si="100"/>
        <v>0</v>
      </c>
      <c r="AT157" s="31">
        <f t="shared" si="101"/>
        <v>0</v>
      </c>
      <c r="AU157" s="31">
        <f t="shared" si="102"/>
        <v>0</v>
      </c>
      <c r="AV157" s="31">
        <f t="shared" si="103"/>
        <v>0</v>
      </c>
      <c r="AW157" s="31">
        <f t="shared" si="104"/>
        <v>0</v>
      </c>
      <c r="AX157" s="31">
        <f t="shared" si="105"/>
        <v>0</v>
      </c>
      <c r="AY157" s="31">
        <f t="shared" si="106"/>
        <v>0</v>
      </c>
      <c r="AZ157" s="31">
        <f t="shared" si="107"/>
        <v>0</v>
      </c>
      <c r="BA157" s="31">
        <f t="shared" si="108"/>
        <v>0</v>
      </c>
      <c r="BB157" s="31">
        <f t="shared" si="137"/>
        <v>0</v>
      </c>
      <c r="BC157" s="31"/>
      <c r="BD157" s="31"/>
      <c r="BM157" s="8">
        <f t="shared" si="138"/>
        <v>0</v>
      </c>
      <c r="BN157" s="8">
        <f t="shared" si="109"/>
        <v>0</v>
      </c>
      <c r="BO157" s="8">
        <f t="shared" si="110"/>
        <v>0</v>
      </c>
      <c r="BQ157" s="8">
        <f t="shared" si="111"/>
        <v>0</v>
      </c>
      <c r="BR157" s="63">
        <f t="shared" si="112"/>
        <v>0</v>
      </c>
      <c r="BS157" s="63">
        <f t="shared" si="139"/>
        <v>0</v>
      </c>
      <c r="BT157" s="63">
        <f t="shared" si="113"/>
        <v>0</v>
      </c>
      <c r="BU157" s="63">
        <f t="shared" si="114"/>
        <v>0</v>
      </c>
      <c r="BV157" s="57">
        <f t="shared" si="115"/>
        <v>0</v>
      </c>
      <c r="BW157" s="57">
        <f t="shared" si="116"/>
        <v>0</v>
      </c>
      <c r="BX157" s="57">
        <f t="shared" si="140"/>
        <v>0</v>
      </c>
      <c r="BY157" s="57">
        <f t="shared" ref="BY157:BY220" si="144">IF(AND(OR(N157="YES",N157="HDD",N157="EX PIPES"),K157=""),D157*(F157+G157),0)</f>
        <v>0</v>
      </c>
      <c r="BZ157" s="8">
        <f t="shared" si="117"/>
        <v>0</v>
      </c>
      <c r="CA157" s="8">
        <f t="shared" si="118"/>
        <v>0</v>
      </c>
      <c r="CB157" s="8">
        <f t="shared" si="119"/>
        <v>0</v>
      </c>
      <c r="CC157" s="8">
        <f t="shared" si="120"/>
        <v>0</v>
      </c>
      <c r="CD157" s="8">
        <f t="shared" si="121"/>
        <v>0</v>
      </c>
      <c r="CE157" s="8">
        <f t="shared" si="122"/>
        <v>0</v>
      </c>
      <c r="CF157" s="8">
        <f t="shared" si="123"/>
        <v>0</v>
      </c>
      <c r="CG157" s="8">
        <f t="shared" si="124"/>
        <v>0</v>
      </c>
      <c r="CH157" s="8">
        <f t="shared" si="125"/>
        <v>0</v>
      </c>
      <c r="CI157" s="8">
        <f t="shared" si="126"/>
        <v>0</v>
      </c>
      <c r="CJ157" s="8">
        <f t="shared" si="127"/>
        <v>0</v>
      </c>
      <c r="CK157" s="8">
        <f t="shared" si="128"/>
        <v>0</v>
      </c>
      <c r="CL157" s="8">
        <f t="shared" si="129"/>
        <v>0</v>
      </c>
      <c r="CM157" s="8">
        <f t="shared" si="130"/>
        <v>0</v>
      </c>
      <c r="CN157" s="8">
        <f t="shared" si="131"/>
        <v>0</v>
      </c>
      <c r="CO157" s="8">
        <f t="shared" si="132"/>
        <v>0</v>
      </c>
      <c r="CP157" s="8">
        <f t="shared" si="133"/>
        <v>0</v>
      </c>
      <c r="CQ157" s="8">
        <f t="shared" si="134"/>
        <v>0</v>
      </c>
      <c r="CR157" s="8">
        <f t="shared" si="135"/>
        <v>0</v>
      </c>
      <c r="CS157" s="8">
        <f t="shared" si="136"/>
        <v>0</v>
      </c>
      <c r="CT157" s="8">
        <f t="shared" si="141"/>
        <v>0</v>
      </c>
      <c r="CU157" s="8">
        <f t="shared" si="142"/>
        <v>0</v>
      </c>
      <c r="CV157" s="8">
        <f t="shared" si="143"/>
        <v>0</v>
      </c>
    </row>
    <row r="158" spans="1:100" ht="25.25" customHeight="1" thickTop="1" thickBot="1" x14ac:dyDescent="0.5">
      <c r="A158" s="32"/>
      <c r="B158" s="10"/>
      <c r="C158" s="10"/>
      <c r="D158" s="11"/>
      <c r="E158" s="10"/>
      <c r="F158" s="10"/>
      <c r="G158" s="19"/>
      <c r="H158" s="19"/>
      <c r="I158" s="19"/>
      <c r="J158" s="19"/>
      <c r="K158" s="10"/>
      <c r="L158" s="10"/>
      <c r="M158" s="10"/>
      <c r="N158" s="10"/>
      <c r="O158" s="18"/>
      <c r="P158" s="18"/>
      <c r="Q158" s="21"/>
      <c r="R158" s="20"/>
      <c r="S158" s="16">
        <f t="shared" si="99"/>
        <v>0</v>
      </c>
      <c r="T158" s="11"/>
      <c r="AR158" s="31"/>
      <c r="AS158" s="31">
        <f t="shared" si="100"/>
        <v>0</v>
      </c>
      <c r="AT158" s="31">
        <f t="shared" si="101"/>
        <v>0</v>
      </c>
      <c r="AU158" s="31">
        <f t="shared" si="102"/>
        <v>0</v>
      </c>
      <c r="AV158" s="31">
        <f t="shared" si="103"/>
        <v>0</v>
      </c>
      <c r="AW158" s="31">
        <f t="shared" si="104"/>
        <v>0</v>
      </c>
      <c r="AX158" s="31">
        <f t="shared" si="105"/>
        <v>0</v>
      </c>
      <c r="AY158" s="31">
        <f t="shared" si="106"/>
        <v>0</v>
      </c>
      <c r="AZ158" s="31">
        <f t="shared" si="107"/>
        <v>0</v>
      </c>
      <c r="BA158" s="31">
        <f t="shared" si="108"/>
        <v>0</v>
      </c>
      <c r="BB158" s="31">
        <f t="shared" si="137"/>
        <v>0</v>
      </c>
      <c r="BC158" s="31"/>
      <c r="BD158" s="31"/>
      <c r="BM158" s="8">
        <f t="shared" si="138"/>
        <v>0</v>
      </c>
      <c r="BN158" s="8">
        <f t="shared" si="109"/>
        <v>0</v>
      </c>
      <c r="BO158" s="8">
        <f t="shared" si="110"/>
        <v>0</v>
      </c>
      <c r="BQ158" s="8">
        <f t="shared" si="111"/>
        <v>0</v>
      </c>
      <c r="BR158" s="63">
        <f t="shared" si="112"/>
        <v>0</v>
      </c>
      <c r="BS158" s="63">
        <f t="shared" si="139"/>
        <v>0</v>
      </c>
      <c r="BT158" s="63">
        <f t="shared" si="113"/>
        <v>0</v>
      </c>
      <c r="BU158" s="63">
        <f t="shared" si="114"/>
        <v>0</v>
      </c>
      <c r="BV158" s="57">
        <f t="shared" si="115"/>
        <v>0</v>
      </c>
      <c r="BW158" s="57">
        <f t="shared" si="116"/>
        <v>0</v>
      </c>
      <c r="BX158" s="57">
        <f t="shared" si="140"/>
        <v>0</v>
      </c>
      <c r="BY158" s="57">
        <f t="shared" si="144"/>
        <v>0</v>
      </c>
      <c r="BZ158" s="8">
        <f t="shared" si="117"/>
        <v>0</v>
      </c>
      <c r="CA158" s="8">
        <f t="shared" si="118"/>
        <v>0</v>
      </c>
      <c r="CB158" s="8">
        <f t="shared" si="119"/>
        <v>0</v>
      </c>
      <c r="CC158" s="8">
        <f t="shared" si="120"/>
        <v>0</v>
      </c>
      <c r="CD158" s="8">
        <f t="shared" si="121"/>
        <v>0</v>
      </c>
      <c r="CE158" s="8">
        <f t="shared" si="122"/>
        <v>0</v>
      </c>
      <c r="CF158" s="8">
        <f t="shared" si="123"/>
        <v>0</v>
      </c>
      <c r="CG158" s="8">
        <f t="shared" si="124"/>
        <v>0</v>
      </c>
      <c r="CH158" s="8">
        <f t="shared" si="125"/>
        <v>0</v>
      </c>
      <c r="CI158" s="8">
        <f t="shared" si="126"/>
        <v>0</v>
      </c>
      <c r="CJ158" s="8">
        <f t="shared" si="127"/>
        <v>0</v>
      </c>
      <c r="CK158" s="8">
        <f t="shared" si="128"/>
        <v>0</v>
      </c>
      <c r="CL158" s="8">
        <f t="shared" si="129"/>
        <v>0</v>
      </c>
      <c r="CM158" s="8">
        <f t="shared" si="130"/>
        <v>0</v>
      </c>
      <c r="CN158" s="8">
        <f t="shared" si="131"/>
        <v>0</v>
      </c>
      <c r="CO158" s="8">
        <f t="shared" si="132"/>
        <v>0</v>
      </c>
      <c r="CP158" s="8">
        <f t="shared" si="133"/>
        <v>0</v>
      </c>
      <c r="CQ158" s="8">
        <f t="shared" si="134"/>
        <v>0</v>
      </c>
      <c r="CR158" s="8">
        <f t="shared" si="135"/>
        <v>0</v>
      </c>
      <c r="CS158" s="8">
        <f t="shared" si="136"/>
        <v>0</v>
      </c>
      <c r="CT158" s="8">
        <f t="shared" si="141"/>
        <v>0</v>
      </c>
      <c r="CU158" s="8">
        <f t="shared" si="142"/>
        <v>0</v>
      </c>
      <c r="CV158" s="8">
        <f t="shared" si="143"/>
        <v>0</v>
      </c>
    </row>
    <row r="159" spans="1:100" ht="25.25" customHeight="1" thickTop="1" thickBot="1" x14ac:dyDescent="0.5">
      <c r="A159" s="32"/>
      <c r="B159" s="10"/>
      <c r="C159" s="10"/>
      <c r="D159" s="11"/>
      <c r="E159" s="10"/>
      <c r="F159" s="10"/>
      <c r="G159" s="19"/>
      <c r="H159" s="19"/>
      <c r="I159" s="19"/>
      <c r="J159" s="19"/>
      <c r="K159" s="10"/>
      <c r="L159" s="10"/>
      <c r="M159" s="10"/>
      <c r="N159" s="10"/>
      <c r="O159" s="18"/>
      <c r="P159" s="18"/>
      <c r="Q159" s="21"/>
      <c r="R159" s="20"/>
      <c r="S159" s="16">
        <f t="shared" si="99"/>
        <v>0</v>
      </c>
      <c r="T159" s="11"/>
      <c r="AR159" s="31"/>
      <c r="AS159" s="31">
        <f t="shared" si="100"/>
        <v>0</v>
      </c>
      <c r="AT159" s="31">
        <f t="shared" si="101"/>
        <v>0</v>
      </c>
      <c r="AU159" s="31">
        <f t="shared" si="102"/>
        <v>0</v>
      </c>
      <c r="AV159" s="31">
        <f t="shared" si="103"/>
        <v>0</v>
      </c>
      <c r="AW159" s="31">
        <f t="shared" si="104"/>
        <v>0</v>
      </c>
      <c r="AX159" s="31">
        <f t="shared" si="105"/>
        <v>0</v>
      </c>
      <c r="AY159" s="31">
        <f t="shared" si="106"/>
        <v>0</v>
      </c>
      <c r="AZ159" s="31">
        <f t="shared" si="107"/>
        <v>0</v>
      </c>
      <c r="BA159" s="31">
        <f t="shared" si="108"/>
        <v>0</v>
      </c>
      <c r="BB159" s="31">
        <f t="shared" si="137"/>
        <v>0</v>
      </c>
      <c r="BC159" s="31"/>
      <c r="BD159" s="31"/>
      <c r="BM159" s="8">
        <f t="shared" si="138"/>
        <v>0</v>
      </c>
      <c r="BN159" s="8">
        <f t="shared" si="109"/>
        <v>0</v>
      </c>
      <c r="BO159" s="8">
        <f t="shared" si="110"/>
        <v>0</v>
      </c>
      <c r="BQ159" s="8">
        <f t="shared" si="111"/>
        <v>0</v>
      </c>
      <c r="BR159" s="63">
        <f t="shared" si="112"/>
        <v>0</v>
      </c>
      <c r="BS159" s="63">
        <f t="shared" si="139"/>
        <v>0</v>
      </c>
      <c r="BT159" s="63">
        <f t="shared" si="113"/>
        <v>0</v>
      </c>
      <c r="BU159" s="63">
        <f t="shared" si="114"/>
        <v>0</v>
      </c>
      <c r="BV159" s="57">
        <f t="shared" si="115"/>
        <v>0</v>
      </c>
      <c r="BW159" s="57">
        <f t="shared" si="116"/>
        <v>0</v>
      </c>
      <c r="BX159" s="57">
        <f t="shared" si="140"/>
        <v>0</v>
      </c>
      <c r="BY159" s="57">
        <f t="shared" si="144"/>
        <v>0</v>
      </c>
      <c r="BZ159" s="8">
        <f t="shared" si="117"/>
        <v>0</v>
      </c>
      <c r="CA159" s="8">
        <f t="shared" si="118"/>
        <v>0</v>
      </c>
      <c r="CB159" s="8">
        <f t="shared" si="119"/>
        <v>0</v>
      </c>
      <c r="CC159" s="8">
        <f t="shared" si="120"/>
        <v>0</v>
      </c>
      <c r="CD159" s="8">
        <f t="shared" si="121"/>
        <v>0</v>
      </c>
      <c r="CE159" s="8">
        <f t="shared" si="122"/>
        <v>0</v>
      </c>
      <c r="CF159" s="8">
        <f t="shared" si="123"/>
        <v>0</v>
      </c>
      <c r="CG159" s="8">
        <f t="shared" si="124"/>
        <v>0</v>
      </c>
      <c r="CH159" s="8">
        <f t="shared" si="125"/>
        <v>0</v>
      </c>
      <c r="CI159" s="8">
        <f t="shared" si="126"/>
        <v>0</v>
      </c>
      <c r="CJ159" s="8">
        <f t="shared" si="127"/>
        <v>0</v>
      </c>
      <c r="CK159" s="8">
        <f t="shared" si="128"/>
        <v>0</v>
      </c>
      <c r="CL159" s="8">
        <f t="shared" si="129"/>
        <v>0</v>
      </c>
      <c r="CM159" s="8">
        <f t="shared" si="130"/>
        <v>0</v>
      </c>
      <c r="CN159" s="8">
        <f t="shared" si="131"/>
        <v>0</v>
      </c>
      <c r="CO159" s="8">
        <f t="shared" si="132"/>
        <v>0</v>
      </c>
      <c r="CP159" s="8">
        <f t="shared" si="133"/>
        <v>0</v>
      </c>
      <c r="CQ159" s="8">
        <f t="shared" si="134"/>
        <v>0</v>
      </c>
      <c r="CR159" s="8">
        <f t="shared" si="135"/>
        <v>0</v>
      </c>
      <c r="CS159" s="8">
        <f t="shared" si="136"/>
        <v>0</v>
      </c>
      <c r="CT159" s="8">
        <f t="shared" si="141"/>
        <v>0</v>
      </c>
      <c r="CU159" s="8">
        <f t="shared" si="142"/>
        <v>0</v>
      </c>
      <c r="CV159" s="8">
        <f t="shared" si="143"/>
        <v>0</v>
      </c>
    </row>
    <row r="160" spans="1:100" ht="25.25" customHeight="1" thickTop="1" thickBot="1" x14ac:dyDescent="0.5">
      <c r="A160" s="32"/>
      <c r="B160" s="10"/>
      <c r="C160" s="10"/>
      <c r="D160" s="11"/>
      <c r="E160" s="10"/>
      <c r="F160" s="10"/>
      <c r="G160" s="19"/>
      <c r="H160" s="19"/>
      <c r="I160" s="19"/>
      <c r="J160" s="19"/>
      <c r="K160" s="10"/>
      <c r="L160" s="10"/>
      <c r="M160" s="10"/>
      <c r="N160" s="10"/>
      <c r="O160" s="18"/>
      <c r="P160" s="18"/>
      <c r="Q160" s="21"/>
      <c r="R160" s="20"/>
      <c r="S160" s="16">
        <f t="shared" si="99"/>
        <v>0</v>
      </c>
      <c r="T160" s="11"/>
      <c r="AR160" s="31"/>
      <c r="AS160" s="31">
        <f t="shared" si="100"/>
        <v>0</v>
      </c>
      <c r="AT160" s="31">
        <f t="shared" si="101"/>
        <v>0</v>
      </c>
      <c r="AU160" s="31">
        <f t="shared" si="102"/>
        <v>0</v>
      </c>
      <c r="AV160" s="31">
        <f t="shared" si="103"/>
        <v>0</v>
      </c>
      <c r="AW160" s="31">
        <f t="shared" si="104"/>
        <v>0</v>
      </c>
      <c r="AX160" s="31">
        <f t="shared" si="105"/>
        <v>0</v>
      </c>
      <c r="AY160" s="31">
        <f t="shared" si="106"/>
        <v>0</v>
      </c>
      <c r="AZ160" s="31">
        <f t="shared" si="107"/>
        <v>0</v>
      </c>
      <c r="BA160" s="31">
        <f t="shared" si="108"/>
        <v>0</v>
      </c>
      <c r="BB160" s="31">
        <f t="shared" si="137"/>
        <v>0</v>
      </c>
      <c r="BC160" s="31"/>
      <c r="BD160" s="31"/>
      <c r="BM160" s="8">
        <f t="shared" si="138"/>
        <v>0</v>
      </c>
      <c r="BN160" s="8">
        <f t="shared" si="109"/>
        <v>0</v>
      </c>
      <c r="BO160" s="8">
        <f t="shared" si="110"/>
        <v>0</v>
      </c>
      <c r="BQ160" s="8">
        <f t="shared" si="111"/>
        <v>0</v>
      </c>
      <c r="BR160" s="63">
        <f t="shared" si="112"/>
        <v>0</v>
      </c>
      <c r="BS160" s="63">
        <f t="shared" si="139"/>
        <v>0</v>
      </c>
      <c r="BT160" s="63">
        <f t="shared" si="113"/>
        <v>0</v>
      </c>
      <c r="BU160" s="63">
        <f t="shared" si="114"/>
        <v>0</v>
      </c>
      <c r="BV160" s="57">
        <f t="shared" si="115"/>
        <v>0</v>
      </c>
      <c r="BW160" s="57">
        <f t="shared" si="116"/>
        <v>0</v>
      </c>
      <c r="BX160" s="57">
        <f t="shared" si="140"/>
        <v>0</v>
      </c>
      <c r="BY160" s="57">
        <f t="shared" si="144"/>
        <v>0</v>
      </c>
      <c r="BZ160" s="8">
        <f t="shared" si="117"/>
        <v>0</v>
      </c>
      <c r="CA160" s="8">
        <f t="shared" si="118"/>
        <v>0</v>
      </c>
      <c r="CB160" s="8">
        <f t="shared" si="119"/>
        <v>0</v>
      </c>
      <c r="CC160" s="8">
        <f t="shared" si="120"/>
        <v>0</v>
      </c>
      <c r="CD160" s="8">
        <f t="shared" si="121"/>
        <v>0</v>
      </c>
      <c r="CE160" s="8">
        <f t="shared" si="122"/>
        <v>0</v>
      </c>
      <c r="CF160" s="8">
        <f t="shared" si="123"/>
        <v>0</v>
      </c>
      <c r="CG160" s="8">
        <f t="shared" si="124"/>
        <v>0</v>
      </c>
      <c r="CH160" s="8">
        <f t="shared" si="125"/>
        <v>0</v>
      </c>
      <c r="CI160" s="8">
        <f t="shared" si="126"/>
        <v>0</v>
      </c>
      <c r="CJ160" s="8">
        <f t="shared" si="127"/>
        <v>0</v>
      </c>
      <c r="CK160" s="8">
        <f t="shared" si="128"/>
        <v>0</v>
      </c>
      <c r="CL160" s="8">
        <f t="shared" si="129"/>
        <v>0</v>
      </c>
      <c r="CM160" s="8">
        <f t="shared" si="130"/>
        <v>0</v>
      </c>
      <c r="CN160" s="8">
        <f t="shared" si="131"/>
        <v>0</v>
      </c>
      <c r="CO160" s="8">
        <f t="shared" si="132"/>
        <v>0</v>
      </c>
      <c r="CP160" s="8">
        <f t="shared" si="133"/>
        <v>0</v>
      </c>
      <c r="CQ160" s="8">
        <f t="shared" si="134"/>
        <v>0</v>
      </c>
      <c r="CR160" s="8">
        <f t="shared" si="135"/>
        <v>0</v>
      </c>
      <c r="CS160" s="8">
        <f t="shared" si="136"/>
        <v>0</v>
      </c>
      <c r="CT160" s="8">
        <f t="shared" si="141"/>
        <v>0</v>
      </c>
      <c r="CU160" s="8">
        <f t="shared" si="142"/>
        <v>0</v>
      </c>
      <c r="CV160" s="8">
        <f t="shared" si="143"/>
        <v>0</v>
      </c>
    </row>
    <row r="161" spans="1:100" ht="25.25" customHeight="1" thickTop="1" thickBot="1" x14ac:dyDescent="0.5">
      <c r="A161" s="32"/>
      <c r="B161" s="10"/>
      <c r="C161" s="10"/>
      <c r="D161" s="11"/>
      <c r="E161" s="10"/>
      <c r="F161" s="10"/>
      <c r="G161" s="19"/>
      <c r="H161" s="19"/>
      <c r="I161" s="19"/>
      <c r="J161" s="19"/>
      <c r="K161" s="10"/>
      <c r="L161" s="10"/>
      <c r="M161" s="10"/>
      <c r="N161" s="10"/>
      <c r="O161" s="18"/>
      <c r="P161" s="18"/>
      <c r="Q161" s="21"/>
      <c r="R161" s="20"/>
      <c r="S161" s="16">
        <f t="shared" si="99"/>
        <v>0</v>
      </c>
      <c r="T161" s="11"/>
      <c r="AR161" s="31"/>
      <c r="AS161" s="31">
        <f t="shared" si="100"/>
        <v>0</v>
      </c>
      <c r="AT161" s="31">
        <f t="shared" si="101"/>
        <v>0</v>
      </c>
      <c r="AU161" s="31">
        <f t="shared" si="102"/>
        <v>0</v>
      </c>
      <c r="AV161" s="31">
        <f t="shared" si="103"/>
        <v>0</v>
      </c>
      <c r="AW161" s="31">
        <f t="shared" si="104"/>
        <v>0</v>
      </c>
      <c r="AX161" s="31">
        <f t="shared" si="105"/>
        <v>0</v>
      </c>
      <c r="AY161" s="31">
        <f t="shared" si="106"/>
        <v>0</v>
      </c>
      <c r="AZ161" s="31">
        <f t="shared" si="107"/>
        <v>0</v>
      </c>
      <c r="BA161" s="31">
        <f t="shared" si="108"/>
        <v>0</v>
      </c>
      <c r="BB161" s="31">
        <f t="shared" si="137"/>
        <v>0</v>
      </c>
      <c r="BC161" s="31"/>
      <c r="BD161" s="31"/>
      <c r="BM161" s="8">
        <f t="shared" si="138"/>
        <v>0</v>
      </c>
      <c r="BN161" s="8">
        <f t="shared" si="109"/>
        <v>0</v>
      </c>
      <c r="BO161" s="8">
        <f t="shared" si="110"/>
        <v>0</v>
      </c>
      <c r="BQ161" s="8">
        <f t="shared" si="111"/>
        <v>0</v>
      </c>
      <c r="BR161" s="63">
        <f t="shared" si="112"/>
        <v>0</v>
      </c>
      <c r="BS161" s="63">
        <f t="shared" si="139"/>
        <v>0</v>
      </c>
      <c r="BT161" s="63">
        <f t="shared" si="113"/>
        <v>0</v>
      </c>
      <c r="BU161" s="63">
        <f t="shared" si="114"/>
        <v>0</v>
      </c>
      <c r="BV161" s="57">
        <f t="shared" si="115"/>
        <v>0</v>
      </c>
      <c r="BW161" s="57">
        <f t="shared" si="116"/>
        <v>0</v>
      </c>
      <c r="BX161" s="57">
        <f t="shared" si="140"/>
        <v>0</v>
      </c>
      <c r="BY161" s="57">
        <f t="shared" si="144"/>
        <v>0</v>
      </c>
      <c r="BZ161" s="8">
        <f t="shared" si="117"/>
        <v>0</v>
      </c>
      <c r="CA161" s="8">
        <f t="shared" si="118"/>
        <v>0</v>
      </c>
      <c r="CB161" s="8">
        <f t="shared" si="119"/>
        <v>0</v>
      </c>
      <c r="CC161" s="8">
        <f t="shared" si="120"/>
        <v>0</v>
      </c>
      <c r="CD161" s="8">
        <f t="shared" si="121"/>
        <v>0</v>
      </c>
      <c r="CE161" s="8">
        <f t="shared" si="122"/>
        <v>0</v>
      </c>
      <c r="CF161" s="8">
        <f t="shared" si="123"/>
        <v>0</v>
      </c>
      <c r="CG161" s="8">
        <f t="shared" si="124"/>
        <v>0</v>
      </c>
      <c r="CH161" s="8">
        <f t="shared" si="125"/>
        <v>0</v>
      </c>
      <c r="CI161" s="8">
        <f t="shared" si="126"/>
        <v>0</v>
      </c>
      <c r="CJ161" s="8">
        <f t="shared" si="127"/>
        <v>0</v>
      </c>
      <c r="CK161" s="8">
        <f t="shared" si="128"/>
        <v>0</v>
      </c>
      <c r="CL161" s="8">
        <f t="shared" si="129"/>
        <v>0</v>
      </c>
      <c r="CM161" s="8">
        <f t="shared" si="130"/>
        <v>0</v>
      </c>
      <c r="CN161" s="8">
        <f t="shared" si="131"/>
        <v>0</v>
      </c>
      <c r="CO161" s="8">
        <f t="shared" si="132"/>
        <v>0</v>
      </c>
      <c r="CP161" s="8">
        <f t="shared" si="133"/>
        <v>0</v>
      </c>
      <c r="CQ161" s="8">
        <f t="shared" si="134"/>
        <v>0</v>
      </c>
      <c r="CR161" s="8">
        <f t="shared" si="135"/>
        <v>0</v>
      </c>
      <c r="CS161" s="8">
        <f t="shared" si="136"/>
        <v>0</v>
      </c>
      <c r="CT161" s="8">
        <f t="shared" si="141"/>
        <v>0</v>
      </c>
      <c r="CU161" s="8">
        <f t="shared" si="142"/>
        <v>0</v>
      </c>
      <c r="CV161" s="8">
        <f t="shared" si="143"/>
        <v>0</v>
      </c>
    </row>
    <row r="162" spans="1:100" ht="25.25" customHeight="1" thickTop="1" thickBot="1" x14ac:dyDescent="0.5">
      <c r="A162" s="32"/>
      <c r="B162" s="10"/>
      <c r="C162" s="10"/>
      <c r="D162" s="11"/>
      <c r="E162" s="10"/>
      <c r="F162" s="10"/>
      <c r="G162" s="19"/>
      <c r="H162" s="19"/>
      <c r="I162" s="19"/>
      <c r="J162" s="19"/>
      <c r="K162" s="10"/>
      <c r="L162" s="10"/>
      <c r="M162" s="10"/>
      <c r="N162" s="10"/>
      <c r="O162" s="18"/>
      <c r="P162" s="18"/>
      <c r="Q162" s="21"/>
      <c r="R162" s="20"/>
      <c r="S162" s="16">
        <f t="shared" si="99"/>
        <v>0</v>
      </c>
      <c r="T162" s="11"/>
      <c r="AR162" s="31"/>
      <c r="AS162" s="31">
        <f t="shared" si="100"/>
        <v>0</v>
      </c>
      <c r="AT162" s="31">
        <f t="shared" si="101"/>
        <v>0</v>
      </c>
      <c r="AU162" s="31">
        <f t="shared" si="102"/>
        <v>0</v>
      </c>
      <c r="AV162" s="31">
        <f t="shared" si="103"/>
        <v>0</v>
      </c>
      <c r="AW162" s="31">
        <f t="shared" si="104"/>
        <v>0</v>
      </c>
      <c r="AX162" s="31">
        <f t="shared" si="105"/>
        <v>0</v>
      </c>
      <c r="AY162" s="31">
        <f t="shared" si="106"/>
        <v>0</v>
      </c>
      <c r="AZ162" s="31">
        <f t="shared" si="107"/>
        <v>0</v>
      </c>
      <c r="BA162" s="31">
        <f t="shared" si="108"/>
        <v>0</v>
      </c>
      <c r="BB162" s="31">
        <f t="shared" si="137"/>
        <v>0</v>
      </c>
      <c r="BC162" s="31"/>
      <c r="BD162" s="31"/>
      <c r="BM162" s="8">
        <f t="shared" si="138"/>
        <v>0</v>
      </c>
      <c r="BN162" s="8">
        <f t="shared" si="109"/>
        <v>0</v>
      </c>
      <c r="BO162" s="8">
        <f t="shared" si="110"/>
        <v>0</v>
      </c>
      <c r="BQ162" s="8">
        <f t="shared" si="111"/>
        <v>0</v>
      </c>
      <c r="BR162" s="63">
        <f t="shared" si="112"/>
        <v>0</v>
      </c>
      <c r="BS162" s="63">
        <f t="shared" si="139"/>
        <v>0</v>
      </c>
      <c r="BT162" s="63">
        <f t="shared" si="113"/>
        <v>0</v>
      </c>
      <c r="BU162" s="63">
        <f t="shared" si="114"/>
        <v>0</v>
      </c>
      <c r="BV162" s="57">
        <f t="shared" si="115"/>
        <v>0</v>
      </c>
      <c r="BW162" s="57">
        <f t="shared" si="116"/>
        <v>0</v>
      </c>
      <c r="BX162" s="57">
        <f t="shared" si="140"/>
        <v>0</v>
      </c>
      <c r="BY162" s="57">
        <f t="shared" si="144"/>
        <v>0</v>
      </c>
      <c r="BZ162" s="8">
        <f t="shared" si="117"/>
        <v>0</v>
      </c>
      <c r="CA162" s="8">
        <f t="shared" si="118"/>
        <v>0</v>
      </c>
      <c r="CB162" s="8">
        <f t="shared" si="119"/>
        <v>0</v>
      </c>
      <c r="CC162" s="8">
        <f t="shared" si="120"/>
        <v>0</v>
      </c>
      <c r="CD162" s="8">
        <f t="shared" si="121"/>
        <v>0</v>
      </c>
      <c r="CE162" s="8">
        <f t="shared" si="122"/>
        <v>0</v>
      </c>
      <c r="CF162" s="8">
        <f t="shared" si="123"/>
        <v>0</v>
      </c>
      <c r="CG162" s="8">
        <f t="shared" si="124"/>
        <v>0</v>
      </c>
      <c r="CH162" s="8">
        <f t="shared" si="125"/>
        <v>0</v>
      </c>
      <c r="CI162" s="8">
        <f t="shared" si="126"/>
        <v>0</v>
      </c>
      <c r="CJ162" s="8">
        <f t="shared" si="127"/>
        <v>0</v>
      </c>
      <c r="CK162" s="8">
        <f t="shared" si="128"/>
        <v>0</v>
      </c>
      <c r="CL162" s="8">
        <f t="shared" si="129"/>
        <v>0</v>
      </c>
      <c r="CM162" s="8">
        <f t="shared" si="130"/>
        <v>0</v>
      </c>
      <c r="CN162" s="8">
        <f t="shared" si="131"/>
        <v>0</v>
      </c>
      <c r="CO162" s="8">
        <f t="shared" si="132"/>
        <v>0</v>
      </c>
      <c r="CP162" s="8">
        <f t="shared" si="133"/>
        <v>0</v>
      </c>
      <c r="CQ162" s="8">
        <f t="shared" si="134"/>
        <v>0</v>
      </c>
      <c r="CR162" s="8">
        <f t="shared" si="135"/>
        <v>0</v>
      </c>
      <c r="CS162" s="8">
        <f t="shared" si="136"/>
        <v>0</v>
      </c>
      <c r="CT162" s="8">
        <f t="shared" si="141"/>
        <v>0</v>
      </c>
      <c r="CU162" s="8">
        <f t="shared" si="142"/>
        <v>0</v>
      </c>
      <c r="CV162" s="8">
        <f t="shared" si="143"/>
        <v>0</v>
      </c>
    </row>
    <row r="163" spans="1:100" ht="25.25" customHeight="1" thickTop="1" thickBot="1" x14ac:dyDescent="0.5">
      <c r="A163" s="32"/>
      <c r="B163" s="10"/>
      <c r="C163" s="10"/>
      <c r="D163" s="11"/>
      <c r="E163" s="10"/>
      <c r="F163" s="10"/>
      <c r="G163" s="19"/>
      <c r="H163" s="19"/>
      <c r="I163" s="19"/>
      <c r="J163" s="19"/>
      <c r="K163" s="10"/>
      <c r="L163" s="10"/>
      <c r="M163" s="10"/>
      <c r="N163" s="10"/>
      <c r="O163" s="18"/>
      <c r="P163" s="18"/>
      <c r="Q163" s="21"/>
      <c r="R163" s="20"/>
      <c r="S163" s="16">
        <f t="shared" si="99"/>
        <v>0</v>
      </c>
      <c r="T163" s="11"/>
      <c r="AR163" s="31"/>
      <c r="AS163" s="31">
        <f t="shared" si="100"/>
        <v>0</v>
      </c>
      <c r="AT163" s="31">
        <f t="shared" si="101"/>
        <v>0</v>
      </c>
      <c r="AU163" s="31">
        <f t="shared" si="102"/>
        <v>0</v>
      </c>
      <c r="AV163" s="31">
        <f t="shared" si="103"/>
        <v>0</v>
      </c>
      <c r="AW163" s="31">
        <f t="shared" si="104"/>
        <v>0</v>
      </c>
      <c r="AX163" s="31">
        <f t="shared" si="105"/>
        <v>0</v>
      </c>
      <c r="AY163" s="31">
        <f t="shared" si="106"/>
        <v>0</v>
      </c>
      <c r="AZ163" s="31">
        <f t="shared" si="107"/>
        <v>0</v>
      </c>
      <c r="BA163" s="31">
        <f t="shared" si="108"/>
        <v>0</v>
      </c>
      <c r="BB163" s="31">
        <f t="shared" si="137"/>
        <v>0</v>
      </c>
      <c r="BC163" s="31"/>
      <c r="BD163" s="31"/>
      <c r="BM163" s="8">
        <f t="shared" si="138"/>
        <v>0</v>
      </c>
      <c r="BN163" s="8">
        <f t="shared" si="109"/>
        <v>0</v>
      </c>
      <c r="BO163" s="8">
        <f t="shared" si="110"/>
        <v>0</v>
      </c>
      <c r="BQ163" s="8">
        <f t="shared" si="111"/>
        <v>0</v>
      </c>
      <c r="BR163" s="63">
        <f t="shared" si="112"/>
        <v>0</v>
      </c>
      <c r="BS163" s="63">
        <f t="shared" si="139"/>
        <v>0</v>
      </c>
      <c r="BT163" s="63">
        <f t="shared" si="113"/>
        <v>0</v>
      </c>
      <c r="BU163" s="63">
        <f t="shared" si="114"/>
        <v>0</v>
      </c>
      <c r="BV163" s="57">
        <f t="shared" si="115"/>
        <v>0</v>
      </c>
      <c r="BW163" s="57">
        <f t="shared" si="116"/>
        <v>0</v>
      </c>
      <c r="BX163" s="57">
        <f t="shared" si="140"/>
        <v>0</v>
      </c>
      <c r="BY163" s="57">
        <f t="shared" si="144"/>
        <v>0</v>
      </c>
      <c r="BZ163" s="8">
        <f t="shared" si="117"/>
        <v>0</v>
      </c>
      <c r="CA163" s="8">
        <f t="shared" si="118"/>
        <v>0</v>
      </c>
      <c r="CB163" s="8">
        <f t="shared" si="119"/>
        <v>0</v>
      </c>
      <c r="CC163" s="8">
        <f t="shared" si="120"/>
        <v>0</v>
      </c>
      <c r="CD163" s="8">
        <f t="shared" si="121"/>
        <v>0</v>
      </c>
      <c r="CE163" s="8">
        <f t="shared" si="122"/>
        <v>0</v>
      </c>
      <c r="CF163" s="8">
        <f t="shared" si="123"/>
        <v>0</v>
      </c>
      <c r="CG163" s="8">
        <f t="shared" si="124"/>
        <v>0</v>
      </c>
      <c r="CH163" s="8">
        <f t="shared" si="125"/>
        <v>0</v>
      </c>
      <c r="CI163" s="8">
        <f t="shared" si="126"/>
        <v>0</v>
      </c>
      <c r="CJ163" s="8">
        <f t="shared" si="127"/>
        <v>0</v>
      </c>
      <c r="CK163" s="8">
        <f t="shared" si="128"/>
        <v>0</v>
      </c>
      <c r="CL163" s="8">
        <f t="shared" si="129"/>
        <v>0</v>
      </c>
      <c r="CM163" s="8">
        <f t="shared" si="130"/>
        <v>0</v>
      </c>
      <c r="CN163" s="8">
        <f t="shared" si="131"/>
        <v>0</v>
      </c>
      <c r="CO163" s="8">
        <f t="shared" si="132"/>
        <v>0</v>
      </c>
      <c r="CP163" s="8">
        <f t="shared" si="133"/>
        <v>0</v>
      </c>
      <c r="CQ163" s="8">
        <f t="shared" si="134"/>
        <v>0</v>
      </c>
      <c r="CR163" s="8">
        <f t="shared" si="135"/>
        <v>0</v>
      </c>
      <c r="CS163" s="8">
        <f t="shared" si="136"/>
        <v>0</v>
      </c>
      <c r="CT163" s="8">
        <f t="shared" si="141"/>
        <v>0</v>
      </c>
      <c r="CU163" s="8">
        <f t="shared" si="142"/>
        <v>0</v>
      </c>
      <c r="CV163" s="8">
        <f t="shared" si="143"/>
        <v>0</v>
      </c>
    </row>
    <row r="164" spans="1:100" ht="25.25" customHeight="1" thickTop="1" thickBot="1" x14ac:dyDescent="0.5">
      <c r="A164" s="32"/>
      <c r="B164" s="10"/>
      <c r="C164" s="10"/>
      <c r="D164" s="11"/>
      <c r="E164" s="10"/>
      <c r="F164" s="10"/>
      <c r="G164" s="19"/>
      <c r="H164" s="19"/>
      <c r="I164" s="19"/>
      <c r="J164" s="19"/>
      <c r="K164" s="10"/>
      <c r="L164" s="10"/>
      <c r="M164" s="10"/>
      <c r="N164" s="10"/>
      <c r="O164" s="18"/>
      <c r="P164" s="18"/>
      <c r="Q164" s="21"/>
      <c r="R164" s="20"/>
      <c r="S164" s="16">
        <f t="shared" si="99"/>
        <v>0</v>
      </c>
      <c r="T164" s="11"/>
      <c r="AR164" s="31"/>
      <c r="AS164" s="31">
        <f t="shared" si="100"/>
        <v>0</v>
      </c>
      <c r="AT164" s="31">
        <f t="shared" si="101"/>
        <v>0</v>
      </c>
      <c r="AU164" s="31">
        <f t="shared" si="102"/>
        <v>0</v>
      </c>
      <c r="AV164" s="31">
        <f t="shared" si="103"/>
        <v>0</v>
      </c>
      <c r="AW164" s="31">
        <f t="shared" si="104"/>
        <v>0</v>
      </c>
      <c r="AX164" s="31">
        <f t="shared" si="105"/>
        <v>0</v>
      </c>
      <c r="AY164" s="31">
        <f t="shared" si="106"/>
        <v>0</v>
      </c>
      <c r="AZ164" s="31">
        <f t="shared" si="107"/>
        <v>0</v>
      </c>
      <c r="BA164" s="31">
        <f t="shared" si="108"/>
        <v>0</v>
      </c>
      <c r="BB164" s="31">
        <f t="shared" si="137"/>
        <v>0</v>
      </c>
      <c r="BC164" s="31"/>
      <c r="BD164" s="31"/>
      <c r="BM164" s="8">
        <f t="shared" si="138"/>
        <v>0</v>
      </c>
      <c r="BN164" s="8">
        <f t="shared" si="109"/>
        <v>0</v>
      </c>
      <c r="BO164" s="8">
        <f t="shared" si="110"/>
        <v>0</v>
      </c>
      <c r="BQ164" s="8">
        <f t="shared" si="111"/>
        <v>0</v>
      </c>
      <c r="BR164" s="63">
        <f t="shared" si="112"/>
        <v>0</v>
      </c>
      <c r="BS164" s="63">
        <f t="shared" si="139"/>
        <v>0</v>
      </c>
      <c r="BT164" s="63">
        <f t="shared" si="113"/>
        <v>0</v>
      </c>
      <c r="BU164" s="63">
        <f t="shared" si="114"/>
        <v>0</v>
      </c>
      <c r="BV164" s="57">
        <f t="shared" si="115"/>
        <v>0</v>
      </c>
      <c r="BW164" s="57">
        <f t="shared" si="116"/>
        <v>0</v>
      </c>
      <c r="BX164" s="57">
        <f t="shared" si="140"/>
        <v>0</v>
      </c>
      <c r="BY164" s="57">
        <f t="shared" si="144"/>
        <v>0</v>
      </c>
      <c r="BZ164" s="8">
        <f t="shared" si="117"/>
        <v>0</v>
      </c>
      <c r="CA164" s="8">
        <f t="shared" si="118"/>
        <v>0</v>
      </c>
      <c r="CB164" s="8">
        <f t="shared" si="119"/>
        <v>0</v>
      </c>
      <c r="CC164" s="8">
        <f t="shared" si="120"/>
        <v>0</v>
      </c>
      <c r="CD164" s="8">
        <f t="shared" si="121"/>
        <v>0</v>
      </c>
      <c r="CE164" s="8">
        <f t="shared" si="122"/>
        <v>0</v>
      </c>
      <c r="CF164" s="8">
        <f t="shared" si="123"/>
        <v>0</v>
      </c>
      <c r="CG164" s="8">
        <f t="shared" si="124"/>
        <v>0</v>
      </c>
      <c r="CH164" s="8">
        <f t="shared" si="125"/>
        <v>0</v>
      </c>
      <c r="CI164" s="8">
        <f t="shared" si="126"/>
        <v>0</v>
      </c>
      <c r="CJ164" s="8">
        <f t="shared" si="127"/>
        <v>0</v>
      </c>
      <c r="CK164" s="8">
        <f t="shared" si="128"/>
        <v>0</v>
      </c>
      <c r="CL164" s="8">
        <f t="shared" si="129"/>
        <v>0</v>
      </c>
      <c r="CM164" s="8">
        <f t="shared" si="130"/>
        <v>0</v>
      </c>
      <c r="CN164" s="8">
        <f t="shared" si="131"/>
        <v>0</v>
      </c>
      <c r="CO164" s="8">
        <f t="shared" si="132"/>
        <v>0</v>
      </c>
      <c r="CP164" s="8">
        <f t="shared" si="133"/>
        <v>0</v>
      </c>
      <c r="CQ164" s="8">
        <f t="shared" si="134"/>
        <v>0</v>
      </c>
      <c r="CR164" s="8">
        <f t="shared" si="135"/>
        <v>0</v>
      </c>
      <c r="CS164" s="8">
        <f t="shared" si="136"/>
        <v>0</v>
      </c>
      <c r="CT164" s="8">
        <f t="shared" si="141"/>
        <v>0</v>
      </c>
      <c r="CU164" s="8">
        <f t="shared" si="142"/>
        <v>0</v>
      </c>
      <c r="CV164" s="8">
        <f t="shared" si="143"/>
        <v>0</v>
      </c>
    </row>
    <row r="165" spans="1:100" ht="25.25" customHeight="1" thickTop="1" thickBot="1" x14ac:dyDescent="0.5">
      <c r="A165" s="32"/>
      <c r="B165" s="10"/>
      <c r="C165" s="10"/>
      <c r="D165" s="11"/>
      <c r="E165" s="10"/>
      <c r="F165" s="10"/>
      <c r="G165" s="19"/>
      <c r="H165" s="19"/>
      <c r="I165" s="19"/>
      <c r="J165" s="19"/>
      <c r="K165" s="10"/>
      <c r="L165" s="10"/>
      <c r="M165" s="10"/>
      <c r="N165" s="10"/>
      <c r="O165" s="18"/>
      <c r="P165" s="18"/>
      <c r="Q165" s="21"/>
      <c r="R165" s="20"/>
      <c r="S165" s="16">
        <f t="shared" si="99"/>
        <v>0</v>
      </c>
      <c r="T165" s="11"/>
      <c r="AR165" s="31"/>
      <c r="AS165" s="31">
        <f t="shared" si="100"/>
        <v>0</v>
      </c>
      <c r="AT165" s="31">
        <f t="shared" si="101"/>
        <v>0</v>
      </c>
      <c r="AU165" s="31">
        <f t="shared" si="102"/>
        <v>0</v>
      </c>
      <c r="AV165" s="31">
        <f t="shared" si="103"/>
        <v>0</v>
      </c>
      <c r="AW165" s="31">
        <f t="shared" si="104"/>
        <v>0</v>
      </c>
      <c r="AX165" s="31">
        <f t="shared" si="105"/>
        <v>0</v>
      </c>
      <c r="AY165" s="31">
        <f t="shared" si="106"/>
        <v>0</v>
      </c>
      <c r="AZ165" s="31">
        <f t="shared" si="107"/>
        <v>0</v>
      </c>
      <c r="BA165" s="31">
        <f t="shared" si="108"/>
        <v>0</v>
      </c>
      <c r="BB165" s="31">
        <f t="shared" si="137"/>
        <v>0</v>
      </c>
      <c r="BC165" s="31"/>
      <c r="BD165" s="31"/>
      <c r="BM165" s="8">
        <f t="shared" si="138"/>
        <v>0</v>
      </c>
      <c r="BN165" s="8">
        <f t="shared" si="109"/>
        <v>0</v>
      </c>
      <c r="BO165" s="8">
        <f t="shared" si="110"/>
        <v>0</v>
      </c>
      <c r="BQ165" s="8">
        <f t="shared" si="111"/>
        <v>0</v>
      </c>
      <c r="BR165" s="63">
        <f t="shared" si="112"/>
        <v>0</v>
      </c>
      <c r="BS165" s="63">
        <f t="shared" si="139"/>
        <v>0</v>
      </c>
      <c r="BT165" s="63">
        <f t="shared" si="113"/>
        <v>0</v>
      </c>
      <c r="BU165" s="63">
        <f t="shared" si="114"/>
        <v>0</v>
      </c>
      <c r="BV165" s="57">
        <f t="shared" si="115"/>
        <v>0</v>
      </c>
      <c r="BW165" s="57">
        <f t="shared" si="116"/>
        <v>0</v>
      </c>
      <c r="BX165" s="57">
        <f t="shared" si="140"/>
        <v>0</v>
      </c>
      <c r="BY165" s="57">
        <f t="shared" si="144"/>
        <v>0</v>
      </c>
      <c r="BZ165" s="8">
        <f t="shared" si="117"/>
        <v>0</v>
      </c>
      <c r="CA165" s="8">
        <f t="shared" si="118"/>
        <v>0</v>
      </c>
      <c r="CB165" s="8">
        <f t="shared" si="119"/>
        <v>0</v>
      </c>
      <c r="CC165" s="8">
        <f t="shared" si="120"/>
        <v>0</v>
      </c>
      <c r="CD165" s="8">
        <f t="shared" si="121"/>
        <v>0</v>
      </c>
      <c r="CE165" s="8">
        <f t="shared" si="122"/>
        <v>0</v>
      </c>
      <c r="CF165" s="8">
        <f t="shared" si="123"/>
        <v>0</v>
      </c>
      <c r="CG165" s="8">
        <f t="shared" si="124"/>
        <v>0</v>
      </c>
      <c r="CH165" s="8">
        <f t="shared" si="125"/>
        <v>0</v>
      </c>
      <c r="CI165" s="8">
        <f t="shared" si="126"/>
        <v>0</v>
      </c>
      <c r="CJ165" s="8">
        <f t="shared" si="127"/>
        <v>0</v>
      </c>
      <c r="CK165" s="8">
        <f t="shared" si="128"/>
        <v>0</v>
      </c>
      <c r="CL165" s="8">
        <f t="shared" si="129"/>
        <v>0</v>
      </c>
      <c r="CM165" s="8">
        <f t="shared" si="130"/>
        <v>0</v>
      </c>
      <c r="CN165" s="8">
        <f t="shared" si="131"/>
        <v>0</v>
      </c>
      <c r="CO165" s="8">
        <f t="shared" si="132"/>
        <v>0</v>
      </c>
      <c r="CP165" s="8">
        <f t="shared" si="133"/>
        <v>0</v>
      </c>
      <c r="CQ165" s="8">
        <f t="shared" si="134"/>
        <v>0</v>
      </c>
      <c r="CR165" s="8">
        <f t="shared" si="135"/>
        <v>0</v>
      </c>
      <c r="CS165" s="8">
        <f t="shared" si="136"/>
        <v>0</v>
      </c>
      <c r="CT165" s="8">
        <f t="shared" si="141"/>
        <v>0</v>
      </c>
      <c r="CU165" s="8">
        <f t="shared" si="142"/>
        <v>0</v>
      </c>
      <c r="CV165" s="8">
        <f t="shared" si="143"/>
        <v>0</v>
      </c>
    </row>
    <row r="166" spans="1:100" ht="25.25" customHeight="1" thickTop="1" thickBot="1" x14ac:dyDescent="0.5">
      <c r="A166" s="32"/>
      <c r="B166" s="10"/>
      <c r="C166" s="10"/>
      <c r="D166" s="11"/>
      <c r="E166" s="10"/>
      <c r="F166" s="10"/>
      <c r="G166" s="19"/>
      <c r="H166" s="19"/>
      <c r="I166" s="19"/>
      <c r="J166" s="19"/>
      <c r="K166" s="10"/>
      <c r="L166" s="10"/>
      <c r="M166" s="10"/>
      <c r="N166" s="10"/>
      <c r="O166" s="18"/>
      <c r="P166" s="18"/>
      <c r="Q166" s="21"/>
      <c r="R166" s="20"/>
      <c r="S166" s="16">
        <f t="shared" si="99"/>
        <v>0</v>
      </c>
      <c r="T166" s="11"/>
      <c r="AR166" s="31"/>
      <c r="AS166" s="31">
        <f t="shared" si="100"/>
        <v>0</v>
      </c>
      <c r="AT166" s="31">
        <f t="shared" si="101"/>
        <v>0</v>
      </c>
      <c r="AU166" s="31">
        <f t="shared" si="102"/>
        <v>0</v>
      </c>
      <c r="AV166" s="31">
        <f t="shared" si="103"/>
        <v>0</v>
      </c>
      <c r="AW166" s="31">
        <f t="shared" si="104"/>
        <v>0</v>
      </c>
      <c r="AX166" s="31">
        <f t="shared" si="105"/>
        <v>0</v>
      </c>
      <c r="AY166" s="31">
        <f t="shared" si="106"/>
        <v>0</v>
      </c>
      <c r="AZ166" s="31">
        <f t="shared" si="107"/>
        <v>0</v>
      </c>
      <c r="BA166" s="31">
        <f t="shared" si="108"/>
        <v>0</v>
      </c>
      <c r="BB166" s="31">
        <f t="shared" si="137"/>
        <v>0</v>
      </c>
      <c r="BC166" s="31"/>
      <c r="BD166" s="31"/>
      <c r="BM166" s="8">
        <f t="shared" si="138"/>
        <v>0</v>
      </c>
      <c r="BN166" s="8">
        <f t="shared" si="109"/>
        <v>0</v>
      </c>
      <c r="BO166" s="8">
        <f t="shared" si="110"/>
        <v>0</v>
      </c>
      <c r="BQ166" s="8">
        <f t="shared" si="111"/>
        <v>0</v>
      </c>
      <c r="BR166" s="63">
        <f t="shared" si="112"/>
        <v>0</v>
      </c>
      <c r="BS166" s="63">
        <f t="shared" si="139"/>
        <v>0</v>
      </c>
      <c r="BT166" s="63">
        <f t="shared" si="113"/>
        <v>0</v>
      </c>
      <c r="BU166" s="63">
        <f t="shared" si="114"/>
        <v>0</v>
      </c>
      <c r="BV166" s="57">
        <f t="shared" si="115"/>
        <v>0</v>
      </c>
      <c r="BW166" s="57">
        <f t="shared" si="116"/>
        <v>0</v>
      </c>
      <c r="BX166" s="57">
        <f t="shared" si="140"/>
        <v>0</v>
      </c>
      <c r="BY166" s="57">
        <f t="shared" si="144"/>
        <v>0</v>
      </c>
      <c r="BZ166" s="8">
        <f t="shared" si="117"/>
        <v>0</v>
      </c>
      <c r="CA166" s="8">
        <f t="shared" si="118"/>
        <v>0</v>
      </c>
      <c r="CB166" s="8">
        <f t="shared" si="119"/>
        <v>0</v>
      </c>
      <c r="CC166" s="8">
        <f t="shared" si="120"/>
        <v>0</v>
      </c>
      <c r="CD166" s="8">
        <f t="shared" si="121"/>
        <v>0</v>
      </c>
      <c r="CE166" s="8">
        <f t="shared" si="122"/>
        <v>0</v>
      </c>
      <c r="CF166" s="8">
        <f t="shared" si="123"/>
        <v>0</v>
      </c>
      <c r="CG166" s="8">
        <f t="shared" si="124"/>
        <v>0</v>
      </c>
      <c r="CH166" s="8">
        <f t="shared" si="125"/>
        <v>0</v>
      </c>
      <c r="CI166" s="8">
        <f t="shared" si="126"/>
        <v>0</v>
      </c>
      <c r="CJ166" s="8">
        <f t="shared" si="127"/>
        <v>0</v>
      </c>
      <c r="CK166" s="8">
        <f t="shared" si="128"/>
        <v>0</v>
      </c>
      <c r="CL166" s="8">
        <f t="shared" si="129"/>
        <v>0</v>
      </c>
      <c r="CM166" s="8">
        <f t="shared" si="130"/>
        <v>0</v>
      </c>
      <c r="CN166" s="8">
        <f t="shared" si="131"/>
        <v>0</v>
      </c>
      <c r="CO166" s="8">
        <f t="shared" si="132"/>
        <v>0</v>
      </c>
      <c r="CP166" s="8">
        <f t="shared" si="133"/>
        <v>0</v>
      </c>
      <c r="CQ166" s="8">
        <f t="shared" si="134"/>
        <v>0</v>
      </c>
      <c r="CR166" s="8">
        <f t="shared" si="135"/>
        <v>0</v>
      </c>
      <c r="CS166" s="8">
        <f t="shared" si="136"/>
        <v>0</v>
      </c>
      <c r="CT166" s="8">
        <f t="shared" si="141"/>
        <v>0</v>
      </c>
      <c r="CU166" s="8">
        <f t="shared" si="142"/>
        <v>0</v>
      </c>
      <c r="CV166" s="8">
        <f t="shared" si="143"/>
        <v>0</v>
      </c>
    </row>
    <row r="167" spans="1:100" ht="25.25" customHeight="1" thickTop="1" thickBot="1" x14ac:dyDescent="0.5">
      <c r="A167" s="32"/>
      <c r="B167" s="10"/>
      <c r="C167" s="10"/>
      <c r="D167" s="11"/>
      <c r="E167" s="10"/>
      <c r="F167" s="10"/>
      <c r="G167" s="19"/>
      <c r="H167" s="19"/>
      <c r="I167" s="19"/>
      <c r="J167" s="19"/>
      <c r="K167" s="10"/>
      <c r="L167" s="10"/>
      <c r="M167" s="10"/>
      <c r="N167" s="10"/>
      <c r="O167" s="18"/>
      <c r="P167" s="18"/>
      <c r="Q167" s="21"/>
      <c r="R167" s="20"/>
      <c r="S167" s="16">
        <f t="shared" si="99"/>
        <v>0</v>
      </c>
      <c r="T167" s="11"/>
      <c r="AR167" s="31"/>
      <c r="AS167" s="31">
        <f t="shared" si="100"/>
        <v>0</v>
      </c>
      <c r="AT167" s="31">
        <f t="shared" si="101"/>
        <v>0</v>
      </c>
      <c r="AU167" s="31">
        <f t="shared" si="102"/>
        <v>0</v>
      </c>
      <c r="AV167" s="31">
        <f t="shared" si="103"/>
        <v>0</v>
      </c>
      <c r="AW167" s="31">
        <f t="shared" si="104"/>
        <v>0</v>
      </c>
      <c r="AX167" s="31">
        <f t="shared" si="105"/>
        <v>0</v>
      </c>
      <c r="AY167" s="31">
        <f t="shared" si="106"/>
        <v>0</v>
      </c>
      <c r="AZ167" s="31">
        <f t="shared" si="107"/>
        <v>0</v>
      </c>
      <c r="BA167" s="31">
        <f t="shared" si="108"/>
        <v>0</v>
      </c>
      <c r="BB167" s="31">
        <f t="shared" si="137"/>
        <v>0</v>
      </c>
      <c r="BC167" s="31"/>
      <c r="BD167" s="31"/>
      <c r="BM167" s="8">
        <f t="shared" si="138"/>
        <v>0</v>
      </c>
      <c r="BN167" s="8">
        <f t="shared" si="109"/>
        <v>0</v>
      </c>
      <c r="BO167" s="8">
        <f t="shared" si="110"/>
        <v>0</v>
      </c>
      <c r="BQ167" s="8">
        <f t="shared" si="111"/>
        <v>0</v>
      </c>
      <c r="BR167" s="63">
        <f t="shared" si="112"/>
        <v>0</v>
      </c>
      <c r="BS167" s="63">
        <f t="shared" si="139"/>
        <v>0</v>
      </c>
      <c r="BT167" s="63">
        <f t="shared" si="113"/>
        <v>0</v>
      </c>
      <c r="BU167" s="63">
        <f t="shared" si="114"/>
        <v>0</v>
      </c>
      <c r="BV167" s="57">
        <f t="shared" si="115"/>
        <v>0</v>
      </c>
      <c r="BW167" s="57">
        <f t="shared" si="116"/>
        <v>0</v>
      </c>
      <c r="BX167" s="57">
        <f t="shared" si="140"/>
        <v>0</v>
      </c>
      <c r="BY167" s="57">
        <f t="shared" si="144"/>
        <v>0</v>
      </c>
      <c r="BZ167" s="8">
        <f t="shared" si="117"/>
        <v>0</v>
      </c>
      <c r="CA167" s="8">
        <f t="shared" si="118"/>
        <v>0</v>
      </c>
      <c r="CB167" s="8">
        <f t="shared" si="119"/>
        <v>0</v>
      </c>
      <c r="CC167" s="8">
        <f t="shared" si="120"/>
        <v>0</v>
      </c>
      <c r="CD167" s="8">
        <f t="shared" si="121"/>
        <v>0</v>
      </c>
      <c r="CE167" s="8">
        <f t="shared" si="122"/>
        <v>0</v>
      </c>
      <c r="CF167" s="8">
        <f t="shared" si="123"/>
        <v>0</v>
      </c>
      <c r="CG167" s="8">
        <f t="shared" si="124"/>
        <v>0</v>
      </c>
      <c r="CH167" s="8">
        <f t="shared" si="125"/>
        <v>0</v>
      </c>
      <c r="CI167" s="8">
        <f t="shared" si="126"/>
        <v>0</v>
      </c>
      <c r="CJ167" s="8">
        <f t="shared" si="127"/>
        <v>0</v>
      </c>
      <c r="CK167" s="8">
        <f t="shared" si="128"/>
        <v>0</v>
      </c>
      <c r="CL167" s="8">
        <f t="shared" si="129"/>
        <v>0</v>
      </c>
      <c r="CM167" s="8">
        <f t="shared" si="130"/>
        <v>0</v>
      </c>
      <c r="CN167" s="8">
        <f t="shared" si="131"/>
        <v>0</v>
      </c>
      <c r="CO167" s="8">
        <f t="shared" si="132"/>
        <v>0</v>
      </c>
      <c r="CP167" s="8">
        <f t="shared" si="133"/>
        <v>0</v>
      </c>
      <c r="CQ167" s="8">
        <f t="shared" si="134"/>
        <v>0</v>
      </c>
      <c r="CR167" s="8">
        <f t="shared" si="135"/>
        <v>0</v>
      </c>
      <c r="CS167" s="8">
        <f t="shared" si="136"/>
        <v>0</v>
      </c>
      <c r="CT167" s="8">
        <f t="shared" si="141"/>
        <v>0</v>
      </c>
      <c r="CU167" s="8">
        <f t="shared" si="142"/>
        <v>0</v>
      </c>
      <c r="CV167" s="8">
        <f t="shared" si="143"/>
        <v>0</v>
      </c>
    </row>
    <row r="168" spans="1:100" ht="25.25" customHeight="1" thickTop="1" thickBot="1" x14ac:dyDescent="0.5">
      <c r="A168" s="32"/>
      <c r="B168" s="10"/>
      <c r="C168" s="10"/>
      <c r="D168" s="11"/>
      <c r="E168" s="10"/>
      <c r="F168" s="10"/>
      <c r="G168" s="19"/>
      <c r="H168" s="19"/>
      <c r="I168" s="19"/>
      <c r="J168" s="19"/>
      <c r="K168" s="10"/>
      <c r="L168" s="10"/>
      <c r="M168" s="10"/>
      <c r="N168" s="10"/>
      <c r="O168" s="18"/>
      <c r="P168" s="18"/>
      <c r="Q168" s="21"/>
      <c r="R168" s="20"/>
      <c r="S168" s="16">
        <f t="shared" si="99"/>
        <v>0</v>
      </c>
      <c r="T168" s="11"/>
      <c r="AR168" s="31"/>
      <c r="AS168" s="31">
        <f t="shared" si="100"/>
        <v>0</v>
      </c>
      <c r="AT168" s="31">
        <f t="shared" si="101"/>
        <v>0</v>
      </c>
      <c r="AU168" s="31">
        <f t="shared" si="102"/>
        <v>0</v>
      </c>
      <c r="AV168" s="31">
        <f t="shared" si="103"/>
        <v>0</v>
      </c>
      <c r="AW168" s="31">
        <f t="shared" si="104"/>
        <v>0</v>
      </c>
      <c r="AX168" s="31">
        <f t="shared" si="105"/>
        <v>0</v>
      </c>
      <c r="AY168" s="31">
        <f t="shared" si="106"/>
        <v>0</v>
      </c>
      <c r="AZ168" s="31">
        <f t="shared" si="107"/>
        <v>0</v>
      </c>
      <c r="BA168" s="31">
        <f t="shared" si="108"/>
        <v>0</v>
      </c>
      <c r="BB168" s="31">
        <f t="shared" si="137"/>
        <v>0</v>
      </c>
      <c r="BC168" s="31"/>
      <c r="BD168" s="31"/>
      <c r="BM168" s="8">
        <f t="shared" si="138"/>
        <v>0</v>
      </c>
      <c r="BN168" s="8">
        <f t="shared" si="109"/>
        <v>0</v>
      </c>
      <c r="BO168" s="8">
        <f t="shared" si="110"/>
        <v>0</v>
      </c>
      <c r="BQ168" s="8">
        <f t="shared" si="111"/>
        <v>0</v>
      </c>
      <c r="BR168" s="63">
        <f t="shared" si="112"/>
        <v>0</v>
      </c>
      <c r="BS168" s="63">
        <f t="shared" si="139"/>
        <v>0</v>
      </c>
      <c r="BT168" s="63">
        <f t="shared" si="113"/>
        <v>0</v>
      </c>
      <c r="BU168" s="63">
        <f t="shared" si="114"/>
        <v>0</v>
      </c>
      <c r="BV168" s="57">
        <f t="shared" si="115"/>
        <v>0</v>
      </c>
      <c r="BW168" s="57">
        <f t="shared" si="116"/>
        <v>0</v>
      </c>
      <c r="BX168" s="57">
        <f t="shared" si="140"/>
        <v>0</v>
      </c>
      <c r="BY168" s="57">
        <f t="shared" si="144"/>
        <v>0</v>
      </c>
      <c r="BZ168" s="8">
        <f t="shared" si="117"/>
        <v>0</v>
      </c>
      <c r="CA168" s="8">
        <f t="shared" si="118"/>
        <v>0</v>
      </c>
      <c r="CB168" s="8">
        <f t="shared" si="119"/>
        <v>0</v>
      </c>
      <c r="CC168" s="8">
        <f t="shared" si="120"/>
        <v>0</v>
      </c>
      <c r="CD168" s="8">
        <f t="shared" si="121"/>
        <v>0</v>
      </c>
      <c r="CE168" s="8">
        <f t="shared" si="122"/>
        <v>0</v>
      </c>
      <c r="CF168" s="8">
        <f t="shared" si="123"/>
        <v>0</v>
      </c>
      <c r="CG168" s="8">
        <f t="shared" si="124"/>
        <v>0</v>
      </c>
      <c r="CH168" s="8">
        <f t="shared" si="125"/>
        <v>0</v>
      </c>
      <c r="CI168" s="8">
        <f t="shared" si="126"/>
        <v>0</v>
      </c>
      <c r="CJ168" s="8">
        <f t="shared" si="127"/>
        <v>0</v>
      </c>
      <c r="CK168" s="8">
        <f t="shared" si="128"/>
        <v>0</v>
      </c>
      <c r="CL168" s="8">
        <f t="shared" si="129"/>
        <v>0</v>
      </c>
      <c r="CM168" s="8">
        <f t="shared" si="130"/>
        <v>0</v>
      </c>
      <c r="CN168" s="8">
        <f t="shared" si="131"/>
        <v>0</v>
      </c>
      <c r="CO168" s="8">
        <f t="shared" si="132"/>
        <v>0</v>
      </c>
      <c r="CP168" s="8">
        <f t="shared" si="133"/>
        <v>0</v>
      </c>
      <c r="CQ168" s="8">
        <f t="shared" si="134"/>
        <v>0</v>
      </c>
      <c r="CR168" s="8">
        <f t="shared" si="135"/>
        <v>0</v>
      </c>
      <c r="CS168" s="8">
        <f t="shared" si="136"/>
        <v>0</v>
      </c>
      <c r="CT168" s="8">
        <f t="shared" si="141"/>
        <v>0</v>
      </c>
      <c r="CU168" s="8">
        <f t="shared" si="142"/>
        <v>0</v>
      </c>
      <c r="CV168" s="8">
        <f t="shared" si="143"/>
        <v>0</v>
      </c>
    </row>
    <row r="169" spans="1:100" ht="25.25" customHeight="1" thickTop="1" thickBot="1" x14ac:dyDescent="0.5">
      <c r="A169" s="32"/>
      <c r="B169" s="10"/>
      <c r="C169" s="10"/>
      <c r="D169" s="11"/>
      <c r="E169" s="10"/>
      <c r="F169" s="10"/>
      <c r="G169" s="19"/>
      <c r="H169" s="19"/>
      <c r="I169" s="19"/>
      <c r="J169" s="19"/>
      <c r="K169" s="10"/>
      <c r="L169" s="10"/>
      <c r="M169" s="10"/>
      <c r="N169" s="10"/>
      <c r="O169" s="18"/>
      <c r="P169" s="18"/>
      <c r="Q169" s="21"/>
      <c r="R169" s="20"/>
      <c r="S169" s="16">
        <f t="shared" si="99"/>
        <v>0</v>
      </c>
      <c r="T169" s="11"/>
      <c r="AR169" s="31"/>
      <c r="AS169" s="31">
        <f t="shared" si="100"/>
        <v>0</v>
      </c>
      <c r="AT169" s="31">
        <f t="shared" si="101"/>
        <v>0</v>
      </c>
      <c r="AU169" s="31">
        <f t="shared" si="102"/>
        <v>0</v>
      </c>
      <c r="AV169" s="31">
        <f t="shared" si="103"/>
        <v>0</v>
      </c>
      <c r="AW169" s="31">
        <f t="shared" si="104"/>
        <v>0</v>
      </c>
      <c r="AX169" s="31">
        <f t="shared" si="105"/>
        <v>0</v>
      </c>
      <c r="AY169" s="31">
        <f t="shared" si="106"/>
        <v>0</v>
      </c>
      <c r="AZ169" s="31">
        <f t="shared" si="107"/>
        <v>0</v>
      </c>
      <c r="BA169" s="31">
        <f t="shared" si="108"/>
        <v>0</v>
      </c>
      <c r="BB169" s="31">
        <f t="shared" si="137"/>
        <v>0</v>
      </c>
      <c r="BC169" s="31"/>
      <c r="BD169" s="31"/>
      <c r="BM169" s="8">
        <f t="shared" si="138"/>
        <v>0</v>
      </c>
      <c r="BN169" s="8">
        <f t="shared" si="109"/>
        <v>0</v>
      </c>
      <c r="BO169" s="8">
        <f t="shared" si="110"/>
        <v>0</v>
      </c>
      <c r="BQ169" s="8">
        <f t="shared" si="111"/>
        <v>0</v>
      </c>
      <c r="BR169" s="63">
        <f t="shared" si="112"/>
        <v>0</v>
      </c>
      <c r="BS169" s="63">
        <f t="shared" si="139"/>
        <v>0</v>
      </c>
      <c r="BT169" s="63">
        <f t="shared" si="113"/>
        <v>0</v>
      </c>
      <c r="BU169" s="63">
        <f t="shared" si="114"/>
        <v>0</v>
      </c>
      <c r="BV169" s="57">
        <f t="shared" si="115"/>
        <v>0</v>
      </c>
      <c r="BW169" s="57">
        <f t="shared" si="116"/>
        <v>0</v>
      </c>
      <c r="BX169" s="57">
        <f t="shared" si="140"/>
        <v>0</v>
      </c>
      <c r="BY169" s="57">
        <f t="shared" si="144"/>
        <v>0</v>
      </c>
      <c r="BZ169" s="8">
        <f t="shared" si="117"/>
        <v>0</v>
      </c>
      <c r="CA169" s="8">
        <f t="shared" si="118"/>
        <v>0</v>
      </c>
      <c r="CB169" s="8">
        <f t="shared" si="119"/>
        <v>0</v>
      </c>
      <c r="CC169" s="8">
        <f t="shared" si="120"/>
        <v>0</v>
      </c>
      <c r="CD169" s="8">
        <f t="shared" si="121"/>
        <v>0</v>
      </c>
      <c r="CE169" s="8">
        <f t="shared" si="122"/>
        <v>0</v>
      </c>
      <c r="CF169" s="8">
        <f t="shared" si="123"/>
        <v>0</v>
      </c>
      <c r="CG169" s="8">
        <f t="shared" si="124"/>
        <v>0</v>
      </c>
      <c r="CH169" s="8">
        <f t="shared" si="125"/>
        <v>0</v>
      </c>
      <c r="CI169" s="8">
        <f t="shared" si="126"/>
        <v>0</v>
      </c>
      <c r="CJ169" s="8">
        <f t="shared" si="127"/>
        <v>0</v>
      </c>
      <c r="CK169" s="8">
        <f t="shared" si="128"/>
        <v>0</v>
      </c>
      <c r="CL169" s="8">
        <f t="shared" si="129"/>
        <v>0</v>
      </c>
      <c r="CM169" s="8">
        <f t="shared" si="130"/>
        <v>0</v>
      </c>
      <c r="CN169" s="8">
        <f t="shared" si="131"/>
        <v>0</v>
      </c>
      <c r="CO169" s="8">
        <f t="shared" si="132"/>
        <v>0</v>
      </c>
      <c r="CP169" s="8">
        <f t="shared" si="133"/>
        <v>0</v>
      </c>
      <c r="CQ169" s="8">
        <f t="shared" si="134"/>
        <v>0</v>
      </c>
      <c r="CR169" s="8">
        <f t="shared" si="135"/>
        <v>0</v>
      </c>
      <c r="CS169" s="8">
        <f t="shared" si="136"/>
        <v>0</v>
      </c>
      <c r="CT169" s="8">
        <f t="shared" si="141"/>
        <v>0</v>
      </c>
      <c r="CU169" s="8">
        <f t="shared" si="142"/>
        <v>0</v>
      </c>
      <c r="CV169" s="8">
        <f t="shared" si="143"/>
        <v>0</v>
      </c>
    </row>
    <row r="170" spans="1:100" ht="25.25" customHeight="1" thickTop="1" thickBot="1" x14ac:dyDescent="0.5">
      <c r="A170" s="32"/>
      <c r="B170" s="10"/>
      <c r="C170" s="10"/>
      <c r="D170" s="11"/>
      <c r="E170" s="10"/>
      <c r="F170" s="10"/>
      <c r="G170" s="19"/>
      <c r="H170" s="19"/>
      <c r="I170" s="19"/>
      <c r="J170" s="19"/>
      <c r="K170" s="10"/>
      <c r="L170" s="10"/>
      <c r="M170" s="10"/>
      <c r="N170" s="10"/>
      <c r="O170" s="18"/>
      <c r="P170" s="18"/>
      <c r="Q170" s="21"/>
      <c r="R170" s="20"/>
      <c r="S170" s="16">
        <f t="shared" si="99"/>
        <v>0</v>
      </c>
      <c r="T170" s="11"/>
      <c r="AR170" s="31"/>
      <c r="AS170" s="31">
        <f t="shared" si="100"/>
        <v>0</v>
      </c>
      <c r="AT170" s="31">
        <f t="shared" si="101"/>
        <v>0</v>
      </c>
      <c r="AU170" s="31">
        <f t="shared" si="102"/>
        <v>0</v>
      </c>
      <c r="AV170" s="31">
        <f t="shared" si="103"/>
        <v>0</v>
      </c>
      <c r="AW170" s="31">
        <f t="shared" si="104"/>
        <v>0</v>
      </c>
      <c r="AX170" s="31">
        <f t="shared" si="105"/>
        <v>0</v>
      </c>
      <c r="AY170" s="31">
        <f t="shared" si="106"/>
        <v>0</v>
      </c>
      <c r="AZ170" s="31">
        <f t="shared" si="107"/>
        <v>0</v>
      </c>
      <c r="BA170" s="31">
        <f t="shared" si="108"/>
        <v>0</v>
      </c>
      <c r="BB170" s="31">
        <f t="shared" si="137"/>
        <v>0</v>
      </c>
      <c r="BC170" s="31"/>
      <c r="BD170" s="31"/>
      <c r="BM170" s="8">
        <f t="shared" si="138"/>
        <v>0</v>
      </c>
      <c r="BN170" s="8">
        <f t="shared" si="109"/>
        <v>0</v>
      </c>
      <c r="BO170" s="8">
        <f t="shared" si="110"/>
        <v>0</v>
      </c>
      <c r="BQ170" s="8">
        <f t="shared" si="111"/>
        <v>0</v>
      </c>
      <c r="BR170" s="63">
        <f t="shared" si="112"/>
        <v>0</v>
      </c>
      <c r="BS170" s="63">
        <f t="shared" si="139"/>
        <v>0</v>
      </c>
      <c r="BT170" s="63">
        <f t="shared" si="113"/>
        <v>0</v>
      </c>
      <c r="BU170" s="63">
        <f t="shared" si="114"/>
        <v>0</v>
      </c>
      <c r="BV170" s="57">
        <f t="shared" si="115"/>
        <v>0</v>
      </c>
      <c r="BW170" s="57">
        <f t="shared" si="116"/>
        <v>0</v>
      </c>
      <c r="BX170" s="57">
        <f t="shared" si="140"/>
        <v>0</v>
      </c>
      <c r="BY170" s="57">
        <f t="shared" si="144"/>
        <v>0</v>
      </c>
      <c r="BZ170" s="8">
        <f t="shared" si="117"/>
        <v>0</v>
      </c>
      <c r="CA170" s="8">
        <f t="shared" si="118"/>
        <v>0</v>
      </c>
      <c r="CB170" s="8">
        <f t="shared" si="119"/>
        <v>0</v>
      </c>
      <c r="CC170" s="8">
        <f t="shared" si="120"/>
        <v>0</v>
      </c>
      <c r="CD170" s="8">
        <f t="shared" si="121"/>
        <v>0</v>
      </c>
      <c r="CE170" s="8">
        <f t="shared" si="122"/>
        <v>0</v>
      </c>
      <c r="CF170" s="8">
        <f t="shared" si="123"/>
        <v>0</v>
      </c>
      <c r="CG170" s="8">
        <f t="shared" si="124"/>
        <v>0</v>
      </c>
      <c r="CH170" s="8">
        <f t="shared" si="125"/>
        <v>0</v>
      </c>
      <c r="CI170" s="8">
        <f t="shared" si="126"/>
        <v>0</v>
      </c>
      <c r="CJ170" s="8">
        <f t="shared" si="127"/>
        <v>0</v>
      </c>
      <c r="CK170" s="8">
        <f t="shared" si="128"/>
        <v>0</v>
      </c>
      <c r="CL170" s="8">
        <f t="shared" si="129"/>
        <v>0</v>
      </c>
      <c r="CM170" s="8">
        <f t="shared" si="130"/>
        <v>0</v>
      </c>
      <c r="CN170" s="8">
        <f t="shared" si="131"/>
        <v>0</v>
      </c>
      <c r="CO170" s="8">
        <f t="shared" si="132"/>
        <v>0</v>
      </c>
      <c r="CP170" s="8">
        <f t="shared" si="133"/>
        <v>0</v>
      </c>
      <c r="CQ170" s="8">
        <f t="shared" si="134"/>
        <v>0</v>
      </c>
      <c r="CR170" s="8">
        <f t="shared" si="135"/>
        <v>0</v>
      </c>
      <c r="CS170" s="8">
        <f t="shared" si="136"/>
        <v>0</v>
      </c>
      <c r="CT170" s="8">
        <f t="shared" si="141"/>
        <v>0</v>
      </c>
      <c r="CU170" s="8">
        <f t="shared" si="142"/>
        <v>0</v>
      </c>
      <c r="CV170" s="8">
        <f t="shared" si="143"/>
        <v>0</v>
      </c>
    </row>
    <row r="171" spans="1:100" ht="25.25" customHeight="1" thickTop="1" thickBot="1" x14ac:dyDescent="0.5">
      <c r="A171" s="32"/>
      <c r="B171" s="10"/>
      <c r="C171" s="10"/>
      <c r="D171" s="11"/>
      <c r="E171" s="10"/>
      <c r="F171" s="10"/>
      <c r="G171" s="19"/>
      <c r="H171" s="19"/>
      <c r="I171" s="19"/>
      <c r="J171" s="19"/>
      <c r="K171" s="10"/>
      <c r="L171" s="10"/>
      <c r="M171" s="10"/>
      <c r="N171" s="10"/>
      <c r="O171" s="18"/>
      <c r="P171" s="18"/>
      <c r="Q171" s="21"/>
      <c r="R171" s="20"/>
      <c r="S171" s="16">
        <f t="shared" si="99"/>
        <v>0</v>
      </c>
      <c r="T171" s="11"/>
      <c r="AR171" s="31"/>
      <c r="AS171" s="31">
        <f t="shared" si="100"/>
        <v>0</v>
      </c>
      <c r="AT171" s="31">
        <f t="shared" si="101"/>
        <v>0</v>
      </c>
      <c r="AU171" s="31">
        <f t="shared" si="102"/>
        <v>0</v>
      </c>
      <c r="AV171" s="31">
        <f t="shared" si="103"/>
        <v>0</v>
      </c>
      <c r="AW171" s="31">
        <f t="shared" si="104"/>
        <v>0</v>
      </c>
      <c r="AX171" s="31">
        <f t="shared" si="105"/>
        <v>0</v>
      </c>
      <c r="AY171" s="31">
        <f t="shared" si="106"/>
        <v>0</v>
      </c>
      <c r="AZ171" s="31">
        <f t="shared" si="107"/>
        <v>0</v>
      </c>
      <c r="BA171" s="31">
        <f t="shared" si="108"/>
        <v>0</v>
      </c>
      <c r="BB171" s="31">
        <f t="shared" si="137"/>
        <v>0</v>
      </c>
      <c r="BC171" s="31"/>
      <c r="BD171" s="31"/>
      <c r="BM171" s="8">
        <f t="shared" si="138"/>
        <v>0</v>
      </c>
      <c r="BN171" s="8">
        <f t="shared" si="109"/>
        <v>0</v>
      </c>
      <c r="BO171" s="8">
        <f t="shared" si="110"/>
        <v>0</v>
      </c>
      <c r="BQ171" s="8">
        <f t="shared" si="111"/>
        <v>0</v>
      </c>
      <c r="BR171" s="63">
        <f t="shared" si="112"/>
        <v>0</v>
      </c>
      <c r="BS171" s="63">
        <f t="shared" si="139"/>
        <v>0</v>
      </c>
      <c r="BT171" s="63">
        <f t="shared" si="113"/>
        <v>0</v>
      </c>
      <c r="BU171" s="63">
        <f t="shared" si="114"/>
        <v>0</v>
      </c>
      <c r="BV171" s="57">
        <f t="shared" si="115"/>
        <v>0</v>
      </c>
      <c r="BW171" s="57">
        <f t="shared" si="116"/>
        <v>0</v>
      </c>
      <c r="BX171" s="57">
        <f t="shared" si="140"/>
        <v>0</v>
      </c>
      <c r="BY171" s="57">
        <f t="shared" si="144"/>
        <v>0</v>
      </c>
      <c r="BZ171" s="8">
        <f t="shared" si="117"/>
        <v>0</v>
      </c>
      <c r="CA171" s="8">
        <f t="shared" si="118"/>
        <v>0</v>
      </c>
      <c r="CB171" s="8">
        <f t="shared" si="119"/>
        <v>0</v>
      </c>
      <c r="CC171" s="8">
        <f t="shared" si="120"/>
        <v>0</v>
      </c>
      <c r="CD171" s="8">
        <f t="shared" si="121"/>
        <v>0</v>
      </c>
      <c r="CE171" s="8">
        <f t="shared" si="122"/>
        <v>0</v>
      </c>
      <c r="CF171" s="8">
        <f t="shared" si="123"/>
        <v>0</v>
      </c>
      <c r="CG171" s="8">
        <f t="shared" si="124"/>
        <v>0</v>
      </c>
      <c r="CH171" s="8">
        <f t="shared" si="125"/>
        <v>0</v>
      </c>
      <c r="CI171" s="8">
        <f t="shared" si="126"/>
        <v>0</v>
      </c>
      <c r="CJ171" s="8">
        <f t="shared" si="127"/>
        <v>0</v>
      </c>
      <c r="CK171" s="8">
        <f t="shared" si="128"/>
        <v>0</v>
      </c>
      <c r="CL171" s="8">
        <f t="shared" si="129"/>
        <v>0</v>
      </c>
      <c r="CM171" s="8">
        <f t="shared" si="130"/>
        <v>0</v>
      </c>
      <c r="CN171" s="8">
        <f t="shared" si="131"/>
        <v>0</v>
      </c>
      <c r="CO171" s="8">
        <f t="shared" si="132"/>
        <v>0</v>
      </c>
      <c r="CP171" s="8">
        <f t="shared" si="133"/>
        <v>0</v>
      </c>
      <c r="CQ171" s="8">
        <f t="shared" si="134"/>
        <v>0</v>
      </c>
      <c r="CR171" s="8">
        <f t="shared" si="135"/>
        <v>0</v>
      </c>
      <c r="CS171" s="8">
        <f t="shared" si="136"/>
        <v>0</v>
      </c>
      <c r="CT171" s="8">
        <f t="shared" si="141"/>
        <v>0</v>
      </c>
      <c r="CU171" s="8">
        <f t="shared" si="142"/>
        <v>0</v>
      </c>
      <c r="CV171" s="8">
        <f t="shared" si="143"/>
        <v>0</v>
      </c>
    </row>
    <row r="172" spans="1:100" ht="25.25" customHeight="1" thickTop="1" thickBot="1" x14ac:dyDescent="0.5">
      <c r="A172" s="32"/>
      <c r="B172" s="10"/>
      <c r="C172" s="10"/>
      <c r="D172" s="11"/>
      <c r="E172" s="10"/>
      <c r="F172" s="10"/>
      <c r="G172" s="19"/>
      <c r="H172" s="19"/>
      <c r="I172" s="19"/>
      <c r="J172" s="19"/>
      <c r="K172" s="10"/>
      <c r="L172" s="10"/>
      <c r="M172" s="10"/>
      <c r="N172" s="10"/>
      <c r="O172" s="18"/>
      <c r="P172" s="18"/>
      <c r="Q172" s="21"/>
      <c r="R172" s="20"/>
      <c r="S172" s="16">
        <f t="shared" si="99"/>
        <v>0</v>
      </c>
      <c r="T172" s="11"/>
      <c r="AR172" s="31"/>
      <c r="AS172" s="31">
        <f t="shared" si="100"/>
        <v>0</v>
      </c>
      <c r="AT172" s="31">
        <f t="shared" si="101"/>
        <v>0</v>
      </c>
      <c r="AU172" s="31">
        <f t="shared" si="102"/>
        <v>0</v>
      </c>
      <c r="AV172" s="31">
        <f t="shared" si="103"/>
        <v>0</v>
      </c>
      <c r="AW172" s="31">
        <f t="shared" si="104"/>
        <v>0</v>
      </c>
      <c r="AX172" s="31">
        <f t="shared" si="105"/>
        <v>0</v>
      </c>
      <c r="AY172" s="31">
        <f t="shared" si="106"/>
        <v>0</v>
      </c>
      <c r="AZ172" s="31">
        <f t="shared" si="107"/>
        <v>0</v>
      </c>
      <c r="BA172" s="31">
        <f t="shared" si="108"/>
        <v>0</v>
      </c>
      <c r="BB172" s="31">
        <f t="shared" si="137"/>
        <v>0</v>
      </c>
      <c r="BC172" s="31"/>
      <c r="BD172" s="31"/>
      <c r="BM172" s="8">
        <f t="shared" si="138"/>
        <v>0</v>
      </c>
      <c r="BN172" s="8">
        <f t="shared" si="109"/>
        <v>0</v>
      </c>
      <c r="BO172" s="8">
        <f t="shared" si="110"/>
        <v>0</v>
      </c>
      <c r="BQ172" s="8">
        <f t="shared" si="111"/>
        <v>0</v>
      </c>
      <c r="BR172" s="63">
        <f t="shared" si="112"/>
        <v>0</v>
      </c>
      <c r="BS172" s="63">
        <f t="shared" si="139"/>
        <v>0</v>
      </c>
      <c r="BT172" s="63">
        <f t="shared" si="113"/>
        <v>0</v>
      </c>
      <c r="BU172" s="63">
        <f t="shared" si="114"/>
        <v>0</v>
      </c>
      <c r="BV172" s="57">
        <f t="shared" si="115"/>
        <v>0</v>
      </c>
      <c r="BW172" s="57">
        <f t="shared" si="116"/>
        <v>0</v>
      </c>
      <c r="BX172" s="57">
        <f t="shared" si="140"/>
        <v>0</v>
      </c>
      <c r="BY172" s="57">
        <f t="shared" si="144"/>
        <v>0</v>
      </c>
      <c r="BZ172" s="8">
        <f t="shared" si="117"/>
        <v>0</v>
      </c>
      <c r="CA172" s="8">
        <f t="shared" si="118"/>
        <v>0</v>
      </c>
      <c r="CB172" s="8">
        <f t="shared" si="119"/>
        <v>0</v>
      </c>
      <c r="CC172" s="8">
        <f t="shared" si="120"/>
        <v>0</v>
      </c>
      <c r="CD172" s="8">
        <f t="shared" si="121"/>
        <v>0</v>
      </c>
      <c r="CE172" s="8">
        <f t="shared" si="122"/>
        <v>0</v>
      </c>
      <c r="CF172" s="8">
        <f t="shared" si="123"/>
        <v>0</v>
      </c>
      <c r="CG172" s="8">
        <f t="shared" si="124"/>
        <v>0</v>
      </c>
      <c r="CH172" s="8">
        <f t="shared" si="125"/>
        <v>0</v>
      </c>
      <c r="CI172" s="8">
        <f t="shared" si="126"/>
        <v>0</v>
      </c>
      <c r="CJ172" s="8">
        <f t="shared" si="127"/>
        <v>0</v>
      </c>
      <c r="CK172" s="8">
        <f t="shared" si="128"/>
        <v>0</v>
      </c>
      <c r="CL172" s="8">
        <f t="shared" si="129"/>
        <v>0</v>
      </c>
      <c r="CM172" s="8">
        <f t="shared" si="130"/>
        <v>0</v>
      </c>
      <c r="CN172" s="8">
        <f t="shared" si="131"/>
        <v>0</v>
      </c>
      <c r="CO172" s="8">
        <f t="shared" si="132"/>
        <v>0</v>
      </c>
      <c r="CP172" s="8">
        <f t="shared" si="133"/>
        <v>0</v>
      </c>
      <c r="CQ172" s="8">
        <f t="shared" si="134"/>
        <v>0</v>
      </c>
      <c r="CR172" s="8">
        <f t="shared" si="135"/>
        <v>0</v>
      </c>
      <c r="CS172" s="8">
        <f t="shared" si="136"/>
        <v>0</v>
      </c>
      <c r="CT172" s="8">
        <f t="shared" si="141"/>
        <v>0</v>
      </c>
      <c r="CU172" s="8">
        <f t="shared" si="142"/>
        <v>0</v>
      </c>
      <c r="CV172" s="8">
        <f t="shared" si="143"/>
        <v>0</v>
      </c>
    </row>
    <row r="173" spans="1:100" ht="25.25" customHeight="1" thickTop="1" thickBot="1" x14ac:dyDescent="0.5">
      <c r="A173" s="32"/>
      <c r="B173" s="10"/>
      <c r="C173" s="10"/>
      <c r="D173" s="11"/>
      <c r="E173" s="10"/>
      <c r="F173" s="10"/>
      <c r="G173" s="19"/>
      <c r="H173" s="19"/>
      <c r="I173" s="19"/>
      <c r="J173" s="19"/>
      <c r="K173" s="10"/>
      <c r="L173" s="10"/>
      <c r="M173" s="10"/>
      <c r="N173" s="10"/>
      <c r="O173" s="18"/>
      <c r="P173" s="18"/>
      <c r="Q173" s="21"/>
      <c r="R173" s="20"/>
      <c r="S173" s="16">
        <f t="shared" si="99"/>
        <v>0</v>
      </c>
      <c r="T173" s="11"/>
      <c r="AR173" s="31"/>
      <c r="AS173" s="31">
        <f t="shared" si="100"/>
        <v>0</v>
      </c>
      <c r="AT173" s="31">
        <f t="shared" si="101"/>
        <v>0</v>
      </c>
      <c r="AU173" s="31">
        <f t="shared" si="102"/>
        <v>0</v>
      </c>
      <c r="AV173" s="31">
        <f t="shared" si="103"/>
        <v>0</v>
      </c>
      <c r="AW173" s="31">
        <f t="shared" si="104"/>
        <v>0</v>
      </c>
      <c r="AX173" s="31">
        <f t="shared" si="105"/>
        <v>0</v>
      </c>
      <c r="AY173" s="31">
        <f t="shared" si="106"/>
        <v>0</v>
      </c>
      <c r="AZ173" s="31">
        <f t="shared" si="107"/>
        <v>0</v>
      </c>
      <c r="BA173" s="31">
        <f t="shared" si="108"/>
        <v>0</v>
      </c>
      <c r="BB173" s="31">
        <f t="shared" si="137"/>
        <v>0</v>
      </c>
      <c r="BC173" s="31"/>
      <c r="BD173" s="31"/>
      <c r="BM173" s="8">
        <f t="shared" si="138"/>
        <v>0</v>
      </c>
      <c r="BN173" s="8">
        <f t="shared" si="109"/>
        <v>0</v>
      </c>
      <c r="BO173" s="8">
        <f t="shared" si="110"/>
        <v>0</v>
      </c>
      <c r="BQ173" s="8">
        <f t="shared" si="111"/>
        <v>0</v>
      </c>
      <c r="BR173" s="63">
        <f t="shared" si="112"/>
        <v>0</v>
      </c>
      <c r="BS173" s="63">
        <f t="shared" si="139"/>
        <v>0</v>
      </c>
      <c r="BT173" s="63">
        <f t="shared" si="113"/>
        <v>0</v>
      </c>
      <c r="BU173" s="63">
        <f t="shared" si="114"/>
        <v>0</v>
      </c>
      <c r="BV173" s="57">
        <f t="shared" si="115"/>
        <v>0</v>
      </c>
      <c r="BW173" s="57">
        <f t="shared" si="116"/>
        <v>0</v>
      </c>
      <c r="BX173" s="57">
        <f t="shared" si="140"/>
        <v>0</v>
      </c>
      <c r="BY173" s="57">
        <f t="shared" si="144"/>
        <v>0</v>
      </c>
      <c r="BZ173" s="8">
        <f t="shared" si="117"/>
        <v>0</v>
      </c>
      <c r="CA173" s="8">
        <f t="shared" si="118"/>
        <v>0</v>
      </c>
      <c r="CB173" s="8">
        <f t="shared" si="119"/>
        <v>0</v>
      </c>
      <c r="CC173" s="8">
        <f t="shared" si="120"/>
        <v>0</v>
      </c>
      <c r="CD173" s="8">
        <f t="shared" si="121"/>
        <v>0</v>
      </c>
      <c r="CE173" s="8">
        <f t="shared" si="122"/>
        <v>0</v>
      </c>
      <c r="CF173" s="8">
        <f t="shared" si="123"/>
        <v>0</v>
      </c>
      <c r="CG173" s="8">
        <f t="shared" si="124"/>
        <v>0</v>
      </c>
      <c r="CH173" s="8">
        <f t="shared" si="125"/>
        <v>0</v>
      </c>
      <c r="CI173" s="8">
        <f t="shared" si="126"/>
        <v>0</v>
      </c>
      <c r="CJ173" s="8">
        <f t="shared" si="127"/>
        <v>0</v>
      </c>
      <c r="CK173" s="8">
        <f t="shared" si="128"/>
        <v>0</v>
      </c>
      <c r="CL173" s="8">
        <f t="shared" si="129"/>
        <v>0</v>
      </c>
      <c r="CM173" s="8">
        <f t="shared" si="130"/>
        <v>0</v>
      </c>
      <c r="CN173" s="8">
        <f t="shared" si="131"/>
        <v>0</v>
      </c>
      <c r="CO173" s="8">
        <f t="shared" si="132"/>
        <v>0</v>
      </c>
      <c r="CP173" s="8">
        <f t="shared" si="133"/>
        <v>0</v>
      </c>
      <c r="CQ173" s="8">
        <f t="shared" si="134"/>
        <v>0</v>
      </c>
      <c r="CR173" s="8">
        <f t="shared" si="135"/>
        <v>0</v>
      </c>
      <c r="CS173" s="8">
        <f t="shared" si="136"/>
        <v>0</v>
      </c>
      <c r="CT173" s="8">
        <f t="shared" si="141"/>
        <v>0</v>
      </c>
      <c r="CU173" s="8">
        <f t="shared" si="142"/>
        <v>0</v>
      </c>
      <c r="CV173" s="8">
        <f t="shared" si="143"/>
        <v>0</v>
      </c>
    </row>
    <row r="174" spans="1:100" ht="25.25" customHeight="1" thickTop="1" thickBot="1" x14ac:dyDescent="0.5">
      <c r="A174" s="32"/>
      <c r="B174" s="10"/>
      <c r="C174" s="10"/>
      <c r="D174" s="11"/>
      <c r="E174" s="10"/>
      <c r="F174" s="10"/>
      <c r="G174" s="19"/>
      <c r="H174" s="19"/>
      <c r="I174" s="19"/>
      <c r="J174" s="19"/>
      <c r="K174" s="10"/>
      <c r="L174" s="10"/>
      <c r="M174" s="10"/>
      <c r="N174" s="10"/>
      <c r="O174" s="18"/>
      <c r="P174" s="18"/>
      <c r="Q174" s="21"/>
      <c r="R174" s="20"/>
      <c r="S174" s="16">
        <f t="shared" si="99"/>
        <v>0</v>
      </c>
      <c r="T174" s="11"/>
      <c r="AR174" s="31"/>
      <c r="AS174" s="31">
        <f t="shared" si="100"/>
        <v>0</v>
      </c>
      <c r="AT174" s="31">
        <f t="shared" si="101"/>
        <v>0</v>
      </c>
      <c r="AU174" s="31">
        <f t="shared" si="102"/>
        <v>0</v>
      </c>
      <c r="AV174" s="31">
        <f t="shared" si="103"/>
        <v>0</v>
      </c>
      <c r="AW174" s="31">
        <f t="shared" si="104"/>
        <v>0</v>
      </c>
      <c r="AX174" s="31">
        <f t="shared" si="105"/>
        <v>0</v>
      </c>
      <c r="AY174" s="31">
        <f t="shared" si="106"/>
        <v>0</v>
      </c>
      <c r="AZ174" s="31">
        <f t="shared" si="107"/>
        <v>0</v>
      </c>
      <c r="BA174" s="31">
        <f t="shared" si="108"/>
        <v>0</v>
      </c>
      <c r="BB174" s="31">
        <f t="shared" si="137"/>
        <v>0</v>
      </c>
      <c r="BC174" s="31"/>
      <c r="BD174" s="31"/>
      <c r="BM174" s="8">
        <f t="shared" si="138"/>
        <v>0</v>
      </c>
      <c r="BN174" s="8">
        <f t="shared" si="109"/>
        <v>0</v>
      </c>
      <c r="BO174" s="8">
        <f t="shared" si="110"/>
        <v>0</v>
      </c>
      <c r="BQ174" s="8">
        <f t="shared" si="111"/>
        <v>0</v>
      </c>
      <c r="BR174" s="63">
        <f t="shared" si="112"/>
        <v>0</v>
      </c>
      <c r="BS174" s="63">
        <f t="shared" si="139"/>
        <v>0</v>
      </c>
      <c r="BT174" s="63">
        <f t="shared" si="113"/>
        <v>0</v>
      </c>
      <c r="BU174" s="63">
        <f t="shared" si="114"/>
        <v>0</v>
      </c>
      <c r="BV174" s="57">
        <f t="shared" si="115"/>
        <v>0</v>
      </c>
      <c r="BW174" s="57">
        <f t="shared" si="116"/>
        <v>0</v>
      </c>
      <c r="BX174" s="57">
        <f t="shared" si="140"/>
        <v>0</v>
      </c>
      <c r="BY174" s="57">
        <f t="shared" si="144"/>
        <v>0</v>
      </c>
      <c r="BZ174" s="8">
        <f t="shared" si="117"/>
        <v>0</v>
      </c>
      <c r="CA174" s="8">
        <f t="shared" si="118"/>
        <v>0</v>
      </c>
      <c r="CB174" s="8">
        <f t="shared" si="119"/>
        <v>0</v>
      </c>
      <c r="CC174" s="8">
        <f t="shared" si="120"/>
        <v>0</v>
      </c>
      <c r="CD174" s="8">
        <f t="shared" si="121"/>
        <v>0</v>
      </c>
      <c r="CE174" s="8">
        <f t="shared" si="122"/>
        <v>0</v>
      </c>
      <c r="CF174" s="8">
        <f t="shared" si="123"/>
        <v>0</v>
      </c>
      <c r="CG174" s="8">
        <f t="shared" si="124"/>
        <v>0</v>
      </c>
      <c r="CH174" s="8">
        <f t="shared" si="125"/>
        <v>0</v>
      </c>
      <c r="CI174" s="8">
        <f t="shared" si="126"/>
        <v>0</v>
      </c>
      <c r="CJ174" s="8">
        <f t="shared" si="127"/>
        <v>0</v>
      </c>
      <c r="CK174" s="8">
        <f t="shared" si="128"/>
        <v>0</v>
      </c>
      <c r="CL174" s="8">
        <f t="shared" si="129"/>
        <v>0</v>
      </c>
      <c r="CM174" s="8">
        <f t="shared" si="130"/>
        <v>0</v>
      </c>
      <c r="CN174" s="8">
        <f t="shared" si="131"/>
        <v>0</v>
      </c>
      <c r="CO174" s="8">
        <f t="shared" si="132"/>
        <v>0</v>
      </c>
      <c r="CP174" s="8">
        <f t="shared" si="133"/>
        <v>0</v>
      </c>
      <c r="CQ174" s="8">
        <f t="shared" si="134"/>
        <v>0</v>
      </c>
      <c r="CR174" s="8">
        <f t="shared" si="135"/>
        <v>0</v>
      </c>
      <c r="CS174" s="8">
        <f t="shared" si="136"/>
        <v>0</v>
      </c>
      <c r="CT174" s="8">
        <f t="shared" si="141"/>
        <v>0</v>
      </c>
      <c r="CU174" s="8">
        <f t="shared" si="142"/>
        <v>0</v>
      </c>
      <c r="CV174" s="8">
        <f t="shared" si="143"/>
        <v>0</v>
      </c>
    </row>
    <row r="175" spans="1:100" ht="25.25" customHeight="1" thickTop="1" thickBot="1" x14ac:dyDescent="0.5">
      <c r="A175" s="32"/>
      <c r="B175" s="10"/>
      <c r="C175" s="10"/>
      <c r="D175" s="11"/>
      <c r="E175" s="10"/>
      <c r="F175" s="10"/>
      <c r="G175" s="19"/>
      <c r="H175" s="19"/>
      <c r="I175" s="19"/>
      <c r="J175" s="19"/>
      <c r="K175" s="10"/>
      <c r="L175" s="10"/>
      <c r="M175" s="10"/>
      <c r="N175" s="10"/>
      <c r="O175" s="18"/>
      <c r="P175" s="18"/>
      <c r="Q175" s="21"/>
      <c r="R175" s="20"/>
      <c r="S175" s="16">
        <f t="shared" si="99"/>
        <v>0</v>
      </c>
      <c r="T175" s="11"/>
      <c r="AR175" s="31"/>
      <c r="AS175" s="31">
        <f t="shared" si="100"/>
        <v>0</v>
      </c>
      <c r="AT175" s="31">
        <f t="shared" si="101"/>
        <v>0</v>
      </c>
      <c r="AU175" s="31">
        <f t="shared" si="102"/>
        <v>0</v>
      </c>
      <c r="AV175" s="31">
        <f t="shared" si="103"/>
        <v>0</v>
      </c>
      <c r="AW175" s="31">
        <f t="shared" si="104"/>
        <v>0</v>
      </c>
      <c r="AX175" s="31">
        <f t="shared" si="105"/>
        <v>0</v>
      </c>
      <c r="AY175" s="31">
        <f t="shared" si="106"/>
        <v>0</v>
      </c>
      <c r="AZ175" s="31">
        <f t="shared" si="107"/>
        <v>0</v>
      </c>
      <c r="BA175" s="31">
        <f t="shared" si="108"/>
        <v>0</v>
      </c>
      <c r="BB175" s="31">
        <f t="shared" si="137"/>
        <v>0</v>
      </c>
      <c r="BC175" s="31"/>
      <c r="BD175" s="31"/>
      <c r="BM175" s="8">
        <f t="shared" si="138"/>
        <v>0</v>
      </c>
      <c r="BN175" s="8">
        <f t="shared" si="109"/>
        <v>0</v>
      </c>
      <c r="BO175" s="8">
        <f t="shared" si="110"/>
        <v>0</v>
      </c>
      <c r="BQ175" s="8">
        <f t="shared" si="111"/>
        <v>0</v>
      </c>
      <c r="BR175" s="63">
        <f t="shared" si="112"/>
        <v>0</v>
      </c>
      <c r="BS175" s="63">
        <f t="shared" si="139"/>
        <v>0</v>
      </c>
      <c r="BT175" s="63">
        <f t="shared" si="113"/>
        <v>0</v>
      </c>
      <c r="BU175" s="63">
        <f t="shared" si="114"/>
        <v>0</v>
      </c>
      <c r="BV175" s="57">
        <f t="shared" si="115"/>
        <v>0</v>
      </c>
      <c r="BW175" s="57">
        <f t="shared" si="116"/>
        <v>0</v>
      </c>
      <c r="BX175" s="57">
        <f t="shared" si="140"/>
        <v>0</v>
      </c>
      <c r="BY175" s="57">
        <f t="shared" si="144"/>
        <v>0</v>
      </c>
      <c r="BZ175" s="8">
        <f t="shared" si="117"/>
        <v>0</v>
      </c>
      <c r="CA175" s="8">
        <f t="shared" si="118"/>
        <v>0</v>
      </c>
      <c r="CB175" s="8">
        <f t="shared" si="119"/>
        <v>0</v>
      </c>
      <c r="CC175" s="8">
        <f t="shared" si="120"/>
        <v>0</v>
      </c>
      <c r="CD175" s="8">
        <f t="shared" si="121"/>
        <v>0</v>
      </c>
      <c r="CE175" s="8">
        <f t="shared" si="122"/>
        <v>0</v>
      </c>
      <c r="CF175" s="8">
        <f t="shared" si="123"/>
        <v>0</v>
      </c>
      <c r="CG175" s="8">
        <f t="shared" si="124"/>
        <v>0</v>
      </c>
      <c r="CH175" s="8">
        <f t="shared" si="125"/>
        <v>0</v>
      </c>
      <c r="CI175" s="8">
        <f t="shared" si="126"/>
        <v>0</v>
      </c>
      <c r="CJ175" s="8">
        <f t="shared" si="127"/>
        <v>0</v>
      </c>
      <c r="CK175" s="8">
        <f t="shared" si="128"/>
        <v>0</v>
      </c>
      <c r="CL175" s="8">
        <f t="shared" si="129"/>
        <v>0</v>
      </c>
      <c r="CM175" s="8">
        <f t="shared" si="130"/>
        <v>0</v>
      </c>
      <c r="CN175" s="8">
        <f t="shared" si="131"/>
        <v>0</v>
      </c>
      <c r="CO175" s="8">
        <f t="shared" si="132"/>
        <v>0</v>
      </c>
      <c r="CP175" s="8">
        <f t="shared" si="133"/>
        <v>0</v>
      </c>
      <c r="CQ175" s="8">
        <f t="shared" si="134"/>
        <v>0</v>
      </c>
      <c r="CR175" s="8">
        <f t="shared" si="135"/>
        <v>0</v>
      </c>
      <c r="CS175" s="8">
        <f t="shared" si="136"/>
        <v>0</v>
      </c>
      <c r="CT175" s="8">
        <f t="shared" si="141"/>
        <v>0</v>
      </c>
      <c r="CU175" s="8">
        <f t="shared" si="142"/>
        <v>0</v>
      </c>
      <c r="CV175" s="8">
        <f t="shared" si="143"/>
        <v>0</v>
      </c>
    </row>
    <row r="176" spans="1:100" ht="25.25" customHeight="1" thickTop="1" thickBot="1" x14ac:dyDescent="0.5">
      <c r="A176" s="32"/>
      <c r="B176" s="10"/>
      <c r="C176" s="10"/>
      <c r="D176" s="11"/>
      <c r="E176" s="10"/>
      <c r="F176" s="10"/>
      <c r="G176" s="19"/>
      <c r="H176" s="19"/>
      <c r="I176" s="19"/>
      <c r="J176" s="19"/>
      <c r="K176" s="10"/>
      <c r="L176" s="10"/>
      <c r="M176" s="10"/>
      <c r="N176" s="10"/>
      <c r="O176" s="18"/>
      <c r="P176" s="18"/>
      <c r="Q176" s="21"/>
      <c r="R176" s="20"/>
      <c r="S176" s="16">
        <f t="shared" si="99"/>
        <v>0</v>
      </c>
      <c r="T176" s="11"/>
      <c r="AR176" s="31"/>
      <c r="AS176" s="31">
        <f t="shared" si="100"/>
        <v>0</v>
      </c>
      <c r="AT176" s="31">
        <f t="shared" si="101"/>
        <v>0</v>
      </c>
      <c r="AU176" s="31">
        <f t="shared" si="102"/>
        <v>0</v>
      </c>
      <c r="AV176" s="31">
        <f t="shared" si="103"/>
        <v>0</v>
      </c>
      <c r="AW176" s="31">
        <f t="shared" si="104"/>
        <v>0</v>
      </c>
      <c r="AX176" s="31">
        <f t="shared" si="105"/>
        <v>0</v>
      </c>
      <c r="AY176" s="31">
        <f t="shared" si="106"/>
        <v>0</v>
      </c>
      <c r="AZ176" s="31">
        <f t="shared" si="107"/>
        <v>0</v>
      </c>
      <c r="BA176" s="31">
        <f t="shared" si="108"/>
        <v>0</v>
      </c>
      <c r="BB176" s="31">
        <f t="shared" si="137"/>
        <v>0</v>
      </c>
      <c r="BC176" s="31"/>
      <c r="BD176" s="31"/>
      <c r="BM176" s="8">
        <f t="shared" si="138"/>
        <v>0</v>
      </c>
      <c r="BN176" s="8">
        <f t="shared" si="109"/>
        <v>0</v>
      </c>
      <c r="BO176" s="8">
        <f t="shared" si="110"/>
        <v>0</v>
      </c>
      <c r="BQ176" s="8">
        <f t="shared" si="111"/>
        <v>0</v>
      </c>
      <c r="BR176" s="63">
        <f t="shared" si="112"/>
        <v>0</v>
      </c>
      <c r="BS176" s="63">
        <f t="shared" si="139"/>
        <v>0</v>
      </c>
      <c r="BT176" s="63">
        <f t="shared" si="113"/>
        <v>0</v>
      </c>
      <c r="BU176" s="63">
        <f t="shared" si="114"/>
        <v>0</v>
      </c>
      <c r="BV176" s="57">
        <f t="shared" si="115"/>
        <v>0</v>
      </c>
      <c r="BW176" s="57">
        <f t="shared" si="116"/>
        <v>0</v>
      </c>
      <c r="BX176" s="57">
        <f t="shared" si="140"/>
        <v>0</v>
      </c>
      <c r="BY176" s="57">
        <f t="shared" si="144"/>
        <v>0</v>
      </c>
      <c r="BZ176" s="8">
        <f t="shared" si="117"/>
        <v>0</v>
      </c>
      <c r="CA176" s="8">
        <f t="shared" si="118"/>
        <v>0</v>
      </c>
      <c r="CB176" s="8">
        <f t="shared" si="119"/>
        <v>0</v>
      </c>
      <c r="CC176" s="8">
        <f t="shared" si="120"/>
        <v>0</v>
      </c>
      <c r="CD176" s="8">
        <f t="shared" si="121"/>
        <v>0</v>
      </c>
      <c r="CE176" s="8">
        <f t="shared" si="122"/>
        <v>0</v>
      </c>
      <c r="CF176" s="8">
        <f t="shared" si="123"/>
        <v>0</v>
      </c>
      <c r="CG176" s="8">
        <f t="shared" si="124"/>
        <v>0</v>
      </c>
      <c r="CH176" s="8">
        <f t="shared" si="125"/>
        <v>0</v>
      </c>
      <c r="CI176" s="8">
        <f t="shared" si="126"/>
        <v>0</v>
      </c>
      <c r="CJ176" s="8">
        <f t="shared" si="127"/>
        <v>0</v>
      </c>
      <c r="CK176" s="8">
        <f t="shared" si="128"/>
        <v>0</v>
      </c>
      <c r="CL176" s="8">
        <f t="shared" si="129"/>
        <v>0</v>
      </c>
      <c r="CM176" s="8">
        <f t="shared" si="130"/>
        <v>0</v>
      </c>
      <c r="CN176" s="8">
        <f t="shared" si="131"/>
        <v>0</v>
      </c>
      <c r="CO176" s="8">
        <f t="shared" si="132"/>
        <v>0</v>
      </c>
      <c r="CP176" s="8">
        <f t="shared" si="133"/>
        <v>0</v>
      </c>
      <c r="CQ176" s="8">
        <f t="shared" si="134"/>
        <v>0</v>
      </c>
      <c r="CR176" s="8">
        <f t="shared" si="135"/>
        <v>0</v>
      </c>
      <c r="CS176" s="8">
        <f t="shared" si="136"/>
        <v>0</v>
      </c>
      <c r="CT176" s="8">
        <f t="shared" si="141"/>
        <v>0</v>
      </c>
      <c r="CU176" s="8">
        <f t="shared" si="142"/>
        <v>0</v>
      </c>
      <c r="CV176" s="8">
        <f t="shared" si="143"/>
        <v>0</v>
      </c>
    </row>
    <row r="177" spans="1:100" ht="25.25" customHeight="1" thickTop="1" thickBot="1" x14ac:dyDescent="0.5">
      <c r="A177" s="32"/>
      <c r="B177" s="10"/>
      <c r="C177" s="10"/>
      <c r="D177" s="11"/>
      <c r="E177" s="10"/>
      <c r="F177" s="10"/>
      <c r="G177" s="19"/>
      <c r="H177" s="19"/>
      <c r="I177" s="19"/>
      <c r="J177" s="19"/>
      <c r="K177" s="10"/>
      <c r="L177" s="10"/>
      <c r="M177" s="10"/>
      <c r="N177" s="10"/>
      <c r="O177" s="18"/>
      <c r="P177" s="18"/>
      <c r="Q177" s="21"/>
      <c r="R177" s="20"/>
      <c r="S177" s="16">
        <f t="shared" si="99"/>
        <v>0</v>
      </c>
      <c r="T177" s="11"/>
      <c r="AR177" s="31"/>
      <c r="AS177" s="31">
        <f t="shared" si="100"/>
        <v>0</v>
      </c>
      <c r="AT177" s="31">
        <f t="shared" si="101"/>
        <v>0</v>
      </c>
      <c r="AU177" s="31">
        <f t="shared" si="102"/>
        <v>0</v>
      </c>
      <c r="AV177" s="31">
        <f t="shared" si="103"/>
        <v>0</v>
      </c>
      <c r="AW177" s="31">
        <f t="shared" si="104"/>
        <v>0</v>
      </c>
      <c r="AX177" s="31">
        <f t="shared" si="105"/>
        <v>0</v>
      </c>
      <c r="AY177" s="31">
        <f t="shared" si="106"/>
        <v>0</v>
      </c>
      <c r="AZ177" s="31">
        <f t="shared" si="107"/>
        <v>0</v>
      </c>
      <c r="BA177" s="31">
        <f t="shared" si="108"/>
        <v>0</v>
      </c>
      <c r="BB177" s="31">
        <f t="shared" si="137"/>
        <v>0</v>
      </c>
      <c r="BC177" s="31"/>
      <c r="BD177" s="31"/>
      <c r="BM177" s="8">
        <f t="shared" si="138"/>
        <v>0</v>
      </c>
      <c r="BN177" s="8">
        <f t="shared" si="109"/>
        <v>0</v>
      </c>
      <c r="BO177" s="8">
        <f t="shared" si="110"/>
        <v>0</v>
      </c>
      <c r="BQ177" s="8">
        <f t="shared" si="111"/>
        <v>0</v>
      </c>
      <c r="BR177" s="63">
        <f t="shared" si="112"/>
        <v>0</v>
      </c>
      <c r="BS177" s="63">
        <f t="shared" si="139"/>
        <v>0</v>
      </c>
      <c r="BT177" s="63">
        <f t="shared" si="113"/>
        <v>0</v>
      </c>
      <c r="BU177" s="63">
        <f t="shared" si="114"/>
        <v>0</v>
      </c>
      <c r="BV177" s="57">
        <f t="shared" si="115"/>
        <v>0</v>
      </c>
      <c r="BW177" s="57">
        <f t="shared" si="116"/>
        <v>0</v>
      </c>
      <c r="BX177" s="57">
        <f t="shared" si="140"/>
        <v>0</v>
      </c>
      <c r="BY177" s="57">
        <f t="shared" si="144"/>
        <v>0</v>
      </c>
      <c r="BZ177" s="8">
        <f t="shared" si="117"/>
        <v>0</v>
      </c>
      <c r="CA177" s="8">
        <f t="shared" si="118"/>
        <v>0</v>
      </c>
      <c r="CB177" s="8">
        <f t="shared" si="119"/>
        <v>0</v>
      </c>
      <c r="CC177" s="8">
        <f t="shared" si="120"/>
        <v>0</v>
      </c>
      <c r="CD177" s="8">
        <f t="shared" si="121"/>
        <v>0</v>
      </c>
      <c r="CE177" s="8">
        <f t="shared" si="122"/>
        <v>0</v>
      </c>
      <c r="CF177" s="8">
        <f t="shared" si="123"/>
        <v>0</v>
      </c>
      <c r="CG177" s="8">
        <f t="shared" si="124"/>
        <v>0</v>
      </c>
      <c r="CH177" s="8">
        <f t="shared" si="125"/>
        <v>0</v>
      </c>
      <c r="CI177" s="8">
        <f t="shared" si="126"/>
        <v>0</v>
      </c>
      <c r="CJ177" s="8">
        <f t="shared" si="127"/>
        <v>0</v>
      </c>
      <c r="CK177" s="8">
        <f t="shared" si="128"/>
        <v>0</v>
      </c>
      <c r="CL177" s="8">
        <f t="shared" si="129"/>
        <v>0</v>
      </c>
      <c r="CM177" s="8">
        <f t="shared" si="130"/>
        <v>0</v>
      </c>
      <c r="CN177" s="8">
        <f t="shared" si="131"/>
        <v>0</v>
      </c>
      <c r="CO177" s="8">
        <f t="shared" si="132"/>
        <v>0</v>
      </c>
      <c r="CP177" s="8">
        <f t="shared" si="133"/>
        <v>0</v>
      </c>
      <c r="CQ177" s="8">
        <f t="shared" si="134"/>
        <v>0</v>
      </c>
      <c r="CR177" s="8">
        <f t="shared" si="135"/>
        <v>0</v>
      </c>
      <c r="CS177" s="8">
        <f t="shared" si="136"/>
        <v>0</v>
      </c>
      <c r="CT177" s="8">
        <f t="shared" si="141"/>
        <v>0</v>
      </c>
      <c r="CU177" s="8">
        <f t="shared" si="142"/>
        <v>0</v>
      </c>
      <c r="CV177" s="8">
        <f t="shared" si="143"/>
        <v>0</v>
      </c>
    </row>
    <row r="178" spans="1:100" ht="25.25" customHeight="1" thickTop="1" thickBot="1" x14ac:dyDescent="0.5">
      <c r="A178" s="32"/>
      <c r="B178" s="10"/>
      <c r="C178" s="10"/>
      <c r="D178" s="11"/>
      <c r="E178" s="10"/>
      <c r="F178" s="10"/>
      <c r="G178" s="19"/>
      <c r="H178" s="19"/>
      <c r="I178" s="19"/>
      <c r="J178" s="19"/>
      <c r="K178" s="10"/>
      <c r="L178" s="10"/>
      <c r="M178" s="10"/>
      <c r="N178" s="10"/>
      <c r="O178" s="18"/>
      <c r="P178" s="18"/>
      <c r="Q178" s="21"/>
      <c r="R178" s="20"/>
      <c r="S178" s="16">
        <f t="shared" si="99"/>
        <v>0</v>
      </c>
      <c r="T178" s="11"/>
      <c r="AR178" s="31"/>
      <c r="AS178" s="31">
        <f t="shared" si="100"/>
        <v>0</v>
      </c>
      <c r="AT178" s="31">
        <f t="shared" si="101"/>
        <v>0</v>
      </c>
      <c r="AU178" s="31">
        <f t="shared" si="102"/>
        <v>0</v>
      </c>
      <c r="AV178" s="31">
        <f t="shared" si="103"/>
        <v>0</v>
      </c>
      <c r="AW178" s="31">
        <f t="shared" si="104"/>
        <v>0</v>
      </c>
      <c r="AX178" s="31">
        <f t="shared" si="105"/>
        <v>0</v>
      </c>
      <c r="AY178" s="31">
        <f t="shared" si="106"/>
        <v>0</v>
      </c>
      <c r="AZ178" s="31">
        <f t="shared" si="107"/>
        <v>0</v>
      </c>
      <c r="BA178" s="31">
        <f t="shared" si="108"/>
        <v>0</v>
      </c>
      <c r="BB178" s="31">
        <f t="shared" si="137"/>
        <v>0</v>
      </c>
      <c r="BC178" s="31"/>
      <c r="BD178" s="31"/>
      <c r="BM178" s="8">
        <f t="shared" si="138"/>
        <v>0</v>
      </c>
      <c r="BN178" s="8">
        <f t="shared" si="109"/>
        <v>0</v>
      </c>
      <c r="BO178" s="8">
        <f t="shared" si="110"/>
        <v>0</v>
      </c>
      <c r="BQ178" s="8">
        <f t="shared" si="111"/>
        <v>0</v>
      </c>
      <c r="BR178" s="63">
        <f t="shared" si="112"/>
        <v>0</v>
      </c>
      <c r="BS178" s="63">
        <f t="shared" si="139"/>
        <v>0</v>
      </c>
      <c r="BT178" s="63">
        <f t="shared" si="113"/>
        <v>0</v>
      </c>
      <c r="BU178" s="63">
        <f t="shared" si="114"/>
        <v>0</v>
      </c>
      <c r="BV178" s="57">
        <f t="shared" si="115"/>
        <v>0</v>
      </c>
      <c r="BW178" s="57">
        <f t="shared" si="116"/>
        <v>0</v>
      </c>
      <c r="BX178" s="57">
        <f t="shared" si="140"/>
        <v>0</v>
      </c>
      <c r="BY178" s="57">
        <f t="shared" si="144"/>
        <v>0</v>
      </c>
      <c r="BZ178" s="8">
        <f t="shared" si="117"/>
        <v>0</v>
      </c>
      <c r="CA178" s="8">
        <f t="shared" si="118"/>
        <v>0</v>
      </c>
      <c r="CB178" s="8">
        <f t="shared" si="119"/>
        <v>0</v>
      </c>
      <c r="CC178" s="8">
        <f t="shared" si="120"/>
        <v>0</v>
      </c>
      <c r="CD178" s="8">
        <f t="shared" si="121"/>
        <v>0</v>
      </c>
      <c r="CE178" s="8">
        <f t="shared" si="122"/>
        <v>0</v>
      </c>
      <c r="CF178" s="8">
        <f t="shared" si="123"/>
        <v>0</v>
      </c>
      <c r="CG178" s="8">
        <f t="shared" si="124"/>
        <v>0</v>
      </c>
      <c r="CH178" s="8">
        <f t="shared" si="125"/>
        <v>0</v>
      </c>
      <c r="CI178" s="8">
        <f t="shared" si="126"/>
        <v>0</v>
      </c>
      <c r="CJ178" s="8">
        <f t="shared" si="127"/>
        <v>0</v>
      </c>
      <c r="CK178" s="8">
        <f t="shared" si="128"/>
        <v>0</v>
      </c>
      <c r="CL178" s="8">
        <f t="shared" si="129"/>
        <v>0</v>
      </c>
      <c r="CM178" s="8">
        <f t="shared" si="130"/>
        <v>0</v>
      </c>
      <c r="CN178" s="8">
        <f t="shared" si="131"/>
        <v>0</v>
      </c>
      <c r="CO178" s="8">
        <f t="shared" si="132"/>
        <v>0</v>
      </c>
      <c r="CP178" s="8">
        <f t="shared" si="133"/>
        <v>0</v>
      </c>
      <c r="CQ178" s="8">
        <f t="shared" si="134"/>
        <v>0</v>
      </c>
      <c r="CR178" s="8">
        <f t="shared" si="135"/>
        <v>0</v>
      </c>
      <c r="CS178" s="8">
        <f t="shared" si="136"/>
        <v>0</v>
      </c>
      <c r="CT178" s="8">
        <f t="shared" si="141"/>
        <v>0</v>
      </c>
      <c r="CU178" s="8">
        <f t="shared" si="142"/>
        <v>0</v>
      </c>
      <c r="CV178" s="8">
        <f t="shared" si="143"/>
        <v>0</v>
      </c>
    </row>
    <row r="179" spans="1:100" ht="25.25" customHeight="1" thickTop="1" thickBot="1" x14ac:dyDescent="0.5">
      <c r="A179" s="32"/>
      <c r="B179" s="10"/>
      <c r="C179" s="10"/>
      <c r="D179" s="11"/>
      <c r="E179" s="10"/>
      <c r="F179" s="10"/>
      <c r="G179" s="19"/>
      <c r="H179" s="19"/>
      <c r="I179" s="19"/>
      <c r="J179" s="19"/>
      <c r="K179" s="10"/>
      <c r="L179" s="10"/>
      <c r="M179" s="10"/>
      <c r="N179" s="10"/>
      <c r="O179" s="18"/>
      <c r="P179" s="18"/>
      <c r="Q179" s="21"/>
      <c r="R179" s="20"/>
      <c r="S179" s="16">
        <f t="shared" si="99"/>
        <v>0</v>
      </c>
      <c r="T179" s="11"/>
      <c r="AR179" s="31"/>
      <c r="AS179" s="31">
        <f t="shared" si="100"/>
        <v>0</v>
      </c>
      <c r="AT179" s="31">
        <f t="shared" si="101"/>
        <v>0</v>
      </c>
      <c r="AU179" s="31">
        <f t="shared" si="102"/>
        <v>0</v>
      </c>
      <c r="AV179" s="31">
        <f t="shared" si="103"/>
        <v>0</v>
      </c>
      <c r="AW179" s="31">
        <f t="shared" si="104"/>
        <v>0</v>
      </c>
      <c r="AX179" s="31">
        <f t="shared" si="105"/>
        <v>0</v>
      </c>
      <c r="AY179" s="31">
        <f t="shared" si="106"/>
        <v>0</v>
      </c>
      <c r="AZ179" s="31">
        <f t="shared" si="107"/>
        <v>0</v>
      </c>
      <c r="BA179" s="31">
        <f t="shared" si="108"/>
        <v>0</v>
      </c>
      <c r="BB179" s="31">
        <f t="shared" si="137"/>
        <v>0</v>
      </c>
      <c r="BC179" s="31"/>
      <c r="BD179" s="31"/>
      <c r="BM179" s="8">
        <f t="shared" si="138"/>
        <v>0</v>
      </c>
      <c r="BN179" s="8">
        <f t="shared" si="109"/>
        <v>0</v>
      </c>
      <c r="BO179" s="8">
        <f t="shared" si="110"/>
        <v>0</v>
      </c>
      <c r="BQ179" s="8">
        <f t="shared" si="111"/>
        <v>0</v>
      </c>
      <c r="BR179" s="63">
        <f t="shared" si="112"/>
        <v>0</v>
      </c>
      <c r="BS179" s="63">
        <f t="shared" si="139"/>
        <v>0</v>
      </c>
      <c r="BT179" s="63">
        <f t="shared" si="113"/>
        <v>0</v>
      </c>
      <c r="BU179" s="63">
        <f t="shared" si="114"/>
        <v>0</v>
      </c>
      <c r="BV179" s="57">
        <f t="shared" si="115"/>
        <v>0</v>
      </c>
      <c r="BW179" s="57">
        <f t="shared" si="116"/>
        <v>0</v>
      </c>
      <c r="BX179" s="57">
        <f t="shared" si="140"/>
        <v>0</v>
      </c>
      <c r="BY179" s="57">
        <f t="shared" si="144"/>
        <v>0</v>
      </c>
      <c r="BZ179" s="8">
        <f t="shared" si="117"/>
        <v>0</v>
      </c>
      <c r="CA179" s="8">
        <f t="shared" si="118"/>
        <v>0</v>
      </c>
      <c r="CB179" s="8">
        <f t="shared" si="119"/>
        <v>0</v>
      </c>
      <c r="CC179" s="8">
        <f t="shared" si="120"/>
        <v>0</v>
      </c>
      <c r="CD179" s="8">
        <f t="shared" si="121"/>
        <v>0</v>
      </c>
      <c r="CE179" s="8">
        <f t="shared" si="122"/>
        <v>0</v>
      </c>
      <c r="CF179" s="8">
        <f t="shared" si="123"/>
        <v>0</v>
      </c>
      <c r="CG179" s="8">
        <f t="shared" si="124"/>
        <v>0</v>
      </c>
      <c r="CH179" s="8">
        <f t="shared" si="125"/>
        <v>0</v>
      </c>
      <c r="CI179" s="8">
        <f t="shared" si="126"/>
        <v>0</v>
      </c>
      <c r="CJ179" s="8">
        <f t="shared" si="127"/>
        <v>0</v>
      </c>
      <c r="CK179" s="8">
        <f t="shared" si="128"/>
        <v>0</v>
      </c>
      <c r="CL179" s="8">
        <f t="shared" si="129"/>
        <v>0</v>
      </c>
      <c r="CM179" s="8">
        <f t="shared" si="130"/>
        <v>0</v>
      </c>
      <c r="CN179" s="8">
        <f t="shared" si="131"/>
        <v>0</v>
      </c>
      <c r="CO179" s="8">
        <f t="shared" si="132"/>
        <v>0</v>
      </c>
      <c r="CP179" s="8">
        <f t="shared" si="133"/>
        <v>0</v>
      </c>
      <c r="CQ179" s="8">
        <f t="shared" si="134"/>
        <v>0</v>
      </c>
      <c r="CR179" s="8">
        <f t="shared" si="135"/>
        <v>0</v>
      </c>
      <c r="CS179" s="8">
        <f t="shared" si="136"/>
        <v>0</v>
      </c>
      <c r="CT179" s="8">
        <f t="shared" si="141"/>
        <v>0</v>
      </c>
      <c r="CU179" s="8">
        <f t="shared" si="142"/>
        <v>0</v>
      </c>
      <c r="CV179" s="8">
        <f t="shared" si="143"/>
        <v>0</v>
      </c>
    </row>
    <row r="180" spans="1:100" ht="25.25" customHeight="1" thickTop="1" thickBot="1" x14ac:dyDescent="0.5">
      <c r="A180" s="32"/>
      <c r="B180" s="10"/>
      <c r="C180" s="10"/>
      <c r="D180" s="11"/>
      <c r="E180" s="10"/>
      <c r="F180" s="10"/>
      <c r="G180" s="19"/>
      <c r="H180" s="19"/>
      <c r="I180" s="19"/>
      <c r="J180" s="19"/>
      <c r="K180" s="10"/>
      <c r="L180" s="10"/>
      <c r="M180" s="10"/>
      <c r="N180" s="10"/>
      <c r="O180" s="18"/>
      <c r="P180" s="18"/>
      <c r="Q180" s="21"/>
      <c r="R180" s="20"/>
      <c r="S180" s="16">
        <f t="shared" si="99"/>
        <v>0</v>
      </c>
      <c r="T180" s="11"/>
      <c r="AR180" s="31"/>
      <c r="AS180" s="31">
        <f t="shared" si="100"/>
        <v>0</v>
      </c>
      <c r="AT180" s="31">
        <f t="shared" si="101"/>
        <v>0</v>
      </c>
      <c r="AU180" s="31">
        <f t="shared" si="102"/>
        <v>0</v>
      </c>
      <c r="AV180" s="31">
        <f t="shared" si="103"/>
        <v>0</v>
      </c>
      <c r="AW180" s="31">
        <f t="shared" si="104"/>
        <v>0</v>
      </c>
      <c r="AX180" s="31">
        <f t="shared" si="105"/>
        <v>0</v>
      </c>
      <c r="AY180" s="31">
        <f t="shared" si="106"/>
        <v>0</v>
      </c>
      <c r="AZ180" s="31">
        <f t="shared" si="107"/>
        <v>0</v>
      </c>
      <c r="BA180" s="31">
        <f t="shared" si="108"/>
        <v>0</v>
      </c>
      <c r="BB180" s="31">
        <f t="shared" si="137"/>
        <v>0</v>
      </c>
      <c r="BC180" s="31"/>
      <c r="BD180" s="31"/>
      <c r="BM180" s="8">
        <f t="shared" si="138"/>
        <v>0</v>
      </c>
      <c r="BN180" s="8">
        <f t="shared" si="109"/>
        <v>0</v>
      </c>
      <c r="BO180" s="8">
        <f t="shared" si="110"/>
        <v>0</v>
      </c>
      <c r="BQ180" s="8">
        <f t="shared" si="111"/>
        <v>0</v>
      </c>
      <c r="BR180" s="63">
        <f t="shared" si="112"/>
        <v>0</v>
      </c>
      <c r="BS180" s="63">
        <f t="shared" si="139"/>
        <v>0</v>
      </c>
      <c r="BT180" s="63">
        <f t="shared" si="113"/>
        <v>0</v>
      </c>
      <c r="BU180" s="63">
        <f t="shared" si="114"/>
        <v>0</v>
      </c>
      <c r="BV180" s="57">
        <f t="shared" si="115"/>
        <v>0</v>
      </c>
      <c r="BW180" s="57">
        <f t="shared" si="116"/>
        <v>0</v>
      </c>
      <c r="BX180" s="57">
        <f t="shared" si="140"/>
        <v>0</v>
      </c>
      <c r="BY180" s="57">
        <f t="shared" si="144"/>
        <v>0</v>
      </c>
      <c r="BZ180" s="8">
        <f t="shared" si="117"/>
        <v>0</v>
      </c>
      <c r="CA180" s="8">
        <f t="shared" si="118"/>
        <v>0</v>
      </c>
      <c r="CB180" s="8">
        <f t="shared" si="119"/>
        <v>0</v>
      </c>
      <c r="CC180" s="8">
        <f t="shared" si="120"/>
        <v>0</v>
      </c>
      <c r="CD180" s="8">
        <f t="shared" si="121"/>
        <v>0</v>
      </c>
      <c r="CE180" s="8">
        <f t="shared" si="122"/>
        <v>0</v>
      </c>
      <c r="CF180" s="8">
        <f t="shared" si="123"/>
        <v>0</v>
      </c>
      <c r="CG180" s="8">
        <f t="shared" si="124"/>
        <v>0</v>
      </c>
      <c r="CH180" s="8">
        <f t="shared" si="125"/>
        <v>0</v>
      </c>
      <c r="CI180" s="8">
        <f t="shared" si="126"/>
        <v>0</v>
      </c>
      <c r="CJ180" s="8">
        <f t="shared" si="127"/>
        <v>0</v>
      </c>
      <c r="CK180" s="8">
        <f t="shared" si="128"/>
        <v>0</v>
      </c>
      <c r="CL180" s="8">
        <f t="shared" si="129"/>
        <v>0</v>
      </c>
      <c r="CM180" s="8">
        <f t="shared" si="130"/>
        <v>0</v>
      </c>
      <c r="CN180" s="8">
        <f t="shared" si="131"/>
        <v>0</v>
      </c>
      <c r="CO180" s="8">
        <f t="shared" si="132"/>
        <v>0</v>
      </c>
      <c r="CP180" s="8">
        <f t="shared" si="133"/>
        <v>0</v>
      </c>
      <c r="CQ180" s="8">
        <f t="shared" si="134"/>
        <v>0</v>
      </c>
      <c r="CR180" s="8">
        <f t="shared" si="135"/>
        <v>0</v>
      </c>
      <c r="CS180" s="8">
        <f t="shared" si="136"/>
        <v>0</v>
      </c>
      <c r="CT180" s="8">
        <f t="shared" si="141"/>
        <v>0</v>
      </c>
      <c r="CU180" s="8">
        <f t="shared" si="142"/>
        <v>0</v>
      </c>
      <c r="CV180" s="8">
        <f t="shared" si="143"/>
        <v>0</v>
      </c>
    </row>
    <row r="181" spans="1:100" ht="25.25" customHeight="1" thickTop="1" thickBot="1" x14ac:dyDescent="0.5">
      <c r="A181" s="32"/>
      <c r="B181" s="10"/>
      <c r="C181" s="10"/>
      <c r="D181" s="11"/>
      <c r="E181" s="10"/>
      <c r="F181" s="10"/>
      <c r="G181" s="19"/>
      <c r="H181" s="19"/>
      <c r="I181" s="19"/>
      <c r="J181" s="19"/>
      <c r="K181" s="10"/>
      <c r="L181" s="10"/>
      <c r="M181" s="10"/>
      <c r="N181" s="10"/>
      <c r="O181" s="18"/>
      <c r="P181" s="18"/>
      <c r="Q181" s="21"/>
      <c r="R181" s="20"/>
      <c r="S181" s="16">
        <f t="shared" si="99"/>
        <v>0</v>
      </c>
      <c r="T181" s="11"/>
      <c r="AR181" s="31"/>
      <c r="AS181" s="31">
        <f t="shared" si="100"/>
        <v>0</v>
      </c>
      <c r="AT181" s="31">
        <f t="shared" si="101"/>
        <v>0</v>
      </c>
      <c r="AU181" s="31">
        <f t="shared" si="102"/>
        <v>0</v>
      </c>
      <c r="AV181" s="31">
        <f t="shared" si="103"/>
        <v>0</v>
      </c>
      <c r="AW181" s="31">
        <f t="shared" si="104"/>
        <v>0</v>
      </c>
      <c r="AX181" s="31">
        <f t="shared" si="105"/>
        <v>0</v>
      </c>
      <c r="AY181" s="31">
        <f t="shared" si="106"/>
        <v>0</v>
      </c>
      <c r="AZ181" s="31">
        <f t="shared" si="107"/>
        <v>0</v>
      </c>
      <c r="BA181" s="31">
        <f t="shared" si="108"/>
        <v>0</v>
      </c>
      <c r="BB181" s="31">
        <f t="shared" si="137"/>
        <v>0</v>
      </c>
      <c r="BC181" s="31"/>
      <c r="BD181" s="31"/>
      <c r="BM181" s="8">
        <f t="shared" si="138"/>
        <v>0</v>
      </c>
      <c r="BN181" s="8">
        <f t="shared" si="109"/>
        <v>0</v>
      </c>
      <c r="BO181" s="8">
        <f t="shared" si="110"/>
        <v>0</v>
      </c>
      <c r="BQ181" s="8">
        <f t="shared" si="111"/>
        <v>0</v>
      </c>
      <c r="BR181" s="63">
        <f t="shared" si="112"/>
        <v>0</v>
      </c>
      <c r="BS181" s="63">
        <f t="shared" si="139"/>
        <v>0</v>
      </c>
      <c r="BT181" s="63">
        <f t="shared" si="113"/>
        <v>0</v>
      </c>
      <c r="BU181" s="63">
        <f t="shared" si="114"/>
        <v>0</v>
      </c>
      <c r="BV181" s="57">
        <f t="shared" si="115"/>
        <v>0</v>
      </c>
      <c r="BW181" s="57">
        <f t="shared" si="116"/>
        <v>0</v>
      </c>
      <c r="BX181" s="57">
        <f t="shared" si="140"/>
        <v>0</v>
      </c>
      <c r="BY181" s="57">
        <f t="shared" si="144"/>
        <v>0</v>
      </c>
      <c r="BZ181" s="8">
        <f t="shared" si="117"/>
        <v>0</v>
      </c>
      <c r="CA181" s="8">
        <f t="shared" si="118"/>
        <v>0</v>
      </c>
      <c r="CB181" s="8">
        <f t="shared" si="119"/>
        <v>0</v>
      </c>
      <c r="CC181" s="8">
        <f t="shared" si="120"/>
        <v>0</v>
      </c>
      <c r="CD181" s="8">
        <f t="shared" si="121"/>
        <v>0</v>
      </c>
      <c r="CE181" s="8">
        <f t="shared" si="122"/>
        <v>0</v>
      </c>
      <c r="CF181" s="8">
        <f t="shared" si="123"/>
        <v>0</v>
      </c>
      <c r="CG181" s="8">
        <f t="shared" si="124"/>
        <v>0</v>
      </c>
      <c r="CH181" s="8">
        <f t="shared" si="125"/>
        <v>0</v>
      </c>
      <c r="CI181" s="8">
        <f t="shared" si="126"/>
        <v>0</v>
      </c>
      <c r="CJ181" s="8">
        <f t="shared" si="127"/>
        <v>0</v>
      </c>
      <c r="CK181" s="8">
        <f t="shared" si="128"/>
        <v>0</v>
      </c>
      <c r="CL181" s="8">
        <f t="shared" si="129"/>
        <v>0</v>
      </c>
      <c r="CM181" s="8">
        <f t="shared" si="130"/>
        <v>0</v>
      </c>
      <c r="CN181" s="8">
        <f t="shared" si="131"/>
        <v>0</v>
      </c>
      <c r="CO181" s="8">
        <f t="shared" si="132"/>
        <v>0</v>
      </c>
      <c r="CP181" s="8">
        <f t="shared" si="133"/>
        <v>0</v>
      </c>
      <c r="CQ181" s="8">
        <f t="shared" si="134"/>
        <v>0</v>
      </c>
      <c r="CR181" s="8">
        <f t="shared" si="135"/>
        <v>0</v>
      </c>
      <c r="CS181" s="8">
        <f t="shared" si="136"/>
        <v>0</v>
      </c>
      <c r="CT181" s="8">
        <f t="shared" si="141"/>
        <v>0</v>
      </c>
      <c r="CU181" s="8">
        <f t="shared" si="142"/>
        <v>0</v>
      </c>
      <c r="CV181" s="8">
        <f t="shared" si="143"/>
        <v>0</v>
      </c>
    </row>
    <row r="182" spans="1:100" ht="25.25" customHeight="1" thickTop="1" thickBot="1" x14ac:dyDescent="0.5">
      <c r="A182" s="32"/>
      <c r="B182" s="10"/>
      <c r="C182" s="10"/>
      <c r="D182" s="11"/>
      <c r="E182" s="10"/>
      <c r="F182" s="10"/>
      <c r="G182" s="19"/>
      <c r="H182" s="19"/>
      <c r="I182" s="19"/>
      <c r="J182" s="19"/>
      <c r="K182" s="10"/>
      <c r="L182" s="10"/>
      <c r="M182" s="10"/>
      <c r="N182" s="10"/>
      <c r="O182" s="18"/>
      <c r="P182" s="18"/>
      <c r="Q182" s="21"/>
      <c r="R182" s="20"/>
      <c r="S182" s="16">
        <f t="shared" si="99"/>
        <v>0</v>
      </c>
      <c r="T182" s="11"/>
      <c r="AR182" s="31"/>
      <c r="AS182" s="31">
        <f t="shared" si="100"/>
        <v>0</v>
      </c>
      <c r="AT182" s="31">
        <f t="shared" si="101"/>
        <v>0</v>
      </c>
      <c r="AU182" s="31">
        <f t="shared" si="102"/>
        <v>0</v>
      </c>
      <c r="AV182" s="31">
        <f t="shared" si="103"/>
        <v>0</v>
      </c>
      <c r="AW182" s="31">
        <f t="shared" si="104"/>
        <v>0</v>
      </c>
      <c r="AX182" s="31">
        <f t="shared" si="105"/>
        <v>0</v>
      </c>
      <c r="AY182" s="31">
        <f t="shared" si="106"/>
        <v>0</v>
      </c>
      <c r="AZ182" s="31">
        <f t="shared" si="107"/>
        <v>0</v>
      </c>
      <c r="BA182" s="31">
        <f t="shared" si="108"/>
        <v>0</v>
      </c>
      <c r="BB182" s="31">
        <f t="shared" si="137"/>
        <v>0</v>
      </c>
      <c r="BC182" s="31"/>
      <c r="BD182" s="31"/>
      <c r="BM182" s="8">
        <f t="shared" si="138"/>
        <v>0</v>
      </c>
      <c r="BN182" s="8">
        <f t="shared" si="109"/>
        <v>0</v>
      </c>
      <c r="BO182" s="8">
        <f t="shared" si="110"/>
        <v>0</v>
      </c>
      <c r="BQ182" s="8">
        <f t="shared" si="111"/>
        <v>0</v>
      </c>
      <c r="BR182" s="63">
        <f t="shared" si="112"/>
        <v>0</v>
      </c>
      <c r="BS182" s="63">
        <f t="shared" si="139"/>
        <v>0</v>
      </c>
      <c r="BT182" s="63">
        <f t="shared" si="113"/>
        <v>0</v>
      </c>
      <c r="BU182" s="63">
        <f t="shared" si="114"/>
        <v>0</v>
      </c>
      <c r="BV182" s="57">
        <f t="shared" si="115"/>
        <v>0</v>
      </c>
      <c r="BW182" s="57">
        <f t="shared" si="116"/>
        <v>0</v>
      </c>
      <c r="BX182" s="57">
        <f t="shared" si="140"/>
        <v>0</v>
      </c>
      <c r="BY182" s="57">
        <f t="shared" si="144"/>
        <v>0</v>
      </c>
      <c r="BZ182" s="8">
        <f t="shared" si="117"/>
        <v>0</v>
      </c>
      <c r="CA182" s="8">
        <f t="shared" si="118"/>
        <v>0</v>
      </c>
      <c r="CB182" s="8">
        <f t="shared" si="119"/>
        <v>0</v>
      </c>
      <c r="CC182" s="8">
        <f t="shared" si="120"/>
        <v>0</v>
      </c>
      <c r="CD182" s="8">
        <f t="shared" si="121"/>
        <v>0</v>
      </c>
      <c r="CE182" s="8">
        <f t="shared" si="122"/>
        <v>0</v>
      </c>
      <c r="CF182" s="8">
        <f t="shared" si="123"/>
        <v>0</v>
      </c>
      <c r="CG182" s="8">
        <f t="shared" si="124"/>
        <v>0</v>
      </c>
      <c r="CH182" s="8">
        <f t="shared" si="125"/>
        <v>0</v>
      </c>
      <c r="CI182" s="8">
        <f t="shared" si="126"/>
        <v>0</v>
      </c>
      <c r="CJ182" s="8">
        <f t="shared" si="127"/>
        <v>0</v>
      </c>
      <c r="CK182" s="8">
        <f t="shared" si="128"/>
        <v>0</v>
      </c>
      <c r="CL182" s="8">
        <f t="shared" si="129"/>
        <v>0</v>
      </c>
      <c r="CM182" s="8">
        <f t="shared" si="130"/>
        <v>0</v>
      </c>
      <c r="CN182" s="8">
        <f t="shared" si="131"/>
        <v>0</v>
      </c>
      <c r="CO182" s="8">
        <f t="shared" si="132"/>
        <v>0</v>
      </c>
      <c r="CP182" s="8">
        <f t="shared" si="133"/>
        <v>0</v>
      </c>
      <c r="CQ182" s="8">
        <f t="shared" si="134"/>
        <v>0</v>
      </c>
      <c r="CR182" s="8">
        <f t="shared" si="135"/>
        <v>0</v>
      </c>
      <c r="CS182" s="8">
        <f t="shared" si="136"/>
        <v>0</v>
      </c>
      <c r="CT182" s="8">
        <f t="shared" si="141"/>
        <v>0</v>
      </c>
      <c r="CU182" s="8">
        <f t="shared" si="142"/>
        <v>0</v>
      </c>
      <c r="CV182" s="8">
        <f t="shared" si="143"/>
        <v>0</v>
      </c>
    </row>
    <row r="183" spans="1:100" ht="25.25" customHeight="1" thickTop="1" thickBot="1" x14ac:dyDescent="0.5">
      <c r="A183" s="32"/>
      <c r="B183" s="10"/>
      <c r="C183" s="10"/>
      <c r="D183" s="11"/>
      <c r="E183" s="10"/>
      <c r="F183" s="10"/>
      <c r="G183" s="19"/>
      <c r="H183" s="19"/>
      <c r="I183" s="19"/>
      <c r="J183" s="19"/>
      <c r="K183" s="10"/>
      <c r="L183" s="10"/>
      <c r="M183" s="10"/>
      <c r="N183" s="10"/>
      <c r="O183" s="18"/>
      <c r="P183" s="18"/>
      <c r="Q183" s="21"/>
      <c r="R183" s="20"/>
      <c r="S183" s="16">
        <f t="shared" si="99"/>
        <v>0</v>
      </c>
      <c r="T183" s="11"/>
      <c r="AR183" s="31"/>
      <c r="AS183" s="31">
        <f t="shared" si="100"/>
        <v>0</v>
      </c>
      <c r="AT183" s="31">
        <f t="shared" si="101"/>
        <v>0</v>
      </c>
      <c r="AU183" s="31">
        <f t="shared" si="102"/>
        <v>0</v>
      </c>
      <c r="AV183" s="31">
        <f t="shared" si="103"/>
        <v>0</v>
      </c>
      <c r="AW183" s="31">
        <f t="shared" si="104"/>
        <v>0</v>
      </c>
      <c r="AX183" s="31">
        <f t="shared" si="105"/>
        <v>0</v>
      </c>
      <c r="AY183" s="31">
        <f t="shared" si="106"/>
        <v>0</v>
      </c>
      <c r="AZ183" s="31">
        <f t="shared" si="107"/>
        <v>0</v>
      </c>
      <c r="BA183" s="31">
        <f t="shared" si="108"/>
        <v>0</v>
      </c>
      <c r="BB183" s="31">
        <f t="shared" si="137"/>
        <v>0</v>
      </c>
      <c r="BC183" s="31"/>
      <c r="BD183" s="31"/>
      <c r="BM183" s="8">
        <f t="shared" si="138"/>
        <v>0</v>
      </c>
      <c r="BN183" s="8">
        <f t="shared" si="109"/>
        <v>0</v>
      </c>
      <c r="BO183" s="8">
        <f t="shared" si="110"/>
        <v>0</v>
      </c>
      <c r="BQ183" s="8">
        <f t="shared" si="111"/>
        <v>0</v>
      </c>
      <c r="BR183" s="63">
        <f t="shared" si="112"/>
        <v>0</v>
      </c>
      <c r="BS183" s="63">
        <f t="shared" si="139"/>
        <v>0</v>
      </c>
      <c r="BT183" s="63">
        <f t="shared" si="113"/>
        <v>0</v>
      </c>
      <c r="BU183" s="63">
        <f t="shared" si="114"/>
        <v>0</v>
      </c>
      <c r="BV183" s="57">
        <f t="shared" si="115"/>
        <v>0</v>
      </c>
      <c r="BW183" s="57">
        <f t="shared" si="116"/>
        <v>0</v>
      </c>
      <c r="BX183" s="57">
        <f t="shared" si="140"/>
        <v>0</v>
      </c>
      <c r="BY183" s="57">
        <f t="shared" si="144"/>
        <v>0</v>
      </c>
      <c r="BZ183" s="8">
        <f t="shared" si="117"/>
        <v>0</v>
      </c>
      <c r="CA183" s="8">
        <f t="shared" si="118"/>
        <v>0</v>
      </c>
      <c r="CB183" s="8">
        <f t="shared" si="119"/>
        <v>0</v>
      </c>
      <c r="CC183" s="8">
        <f t="shared" si="120"/>
        <v>0</v>
      </c>
      <c r="CD183" s="8">
        <f t="shared" si="121"/>
        <v>0</v>
      </c>
      <c r="CE183" s="8">
        <f t="shared" si="122"/>
        <v>0</v>
      </c>
      <c r="CF183" s="8">
        <f t="shared" si="123"/>
        <v>0</v>
      </c>
      <c r="CG183" s="8">
        <f t="shared" si="124"/>
        <v>0</v>
      </c>
      <c r="CH183" s="8">
        <f t="shared" si="125"/>
        <v>0</v>
      </c>
      <c r="CI183" s="8">
        <f t="shared" si="126"/>
        <v>0</v>
      </c>
      <c r="CJ183" s="8">
        <f t="shared" si="127"/>
        <v>0</v>
      </c>
      <c r="CK183" s="8">
        <f t="shared" si="128"/>
        <v>0</v>
      </c>
      <c r="CL183" s="8">
        <f t="shared" si="129"/>
        <v>0</v>
      </c>
      <c r="CM183" s="8">
        <f t="shared" si="130"/>
        <v>0</v>
      </c>
      <c r="CN183" s="8">
        <f t="shared" si="131"/>
        <v>0</v>
      </c>
      <c r="CO183" s="8">
        <f t="shared" si="132"/>
        <v>0</v>
      </c>
      <c r="CP183" s="8">
        <f t="shared" si="133"/>
        <v>0</v>
      </c>
      <c r="CQ183" s="8">
        <f t="shared" si="134"/>
        <v>0</v>
      </c>
      <c r="CR183" s="8">
        <f t="shared" si="135"/>
        <v>0</v>
      </c>
      <c r="CS183" s="8">
        <f t="shared" si="136"/>
        <v>0</v>
      </c>
      <c r="CT183" s="8">
        <f t="shared" si="141"/>
        <v>0</v>
      </c>
      <c r="CU183" s="8">
        <f t="shared" si="142"/>
        <v>0</v>
      </c>
      <c r="CV183" s="8">
        <f t="shared" si="143"/>
        <v>0</v>
      </c>
    </row>
    <row r="184" spans="1:100" ht="25.25" customHeight="1" thickTop="1" thickBot="1" x14ac:dyDescent="0.5">
      <c r="A184" s="32"/>
      <c r="B184" s="10"/>
      <c r="C184" s="10"/>
      <c r="D184" s="11"/>
      <c r="E184" s="10"/>
      <c r="F184" s="10"/>
      <c r="G184" s="19"/>
      <c r="H184" s="19"/>
      <c r="I184" s="19"/>
      <c r="J184" s="19"/>
      <c r="K184" s="10"/>
      <c r="L184" s="10"/>
      <c r="M184" s="10"/>
      <c r="N184" s="10"/>
      <c r="O184" s="18"/>
      <c r="P184" s="18"/>
      <c r="Q184" s="21"/>
      <c r="R184" s="20"/>
      <c r="S184" s="16">
        <f t="shared" si="99"/>
        <v>0</v>
      </c>
      <c r="T184" s="11"/>
      <c r="AR184" s="31"/>
      <c r="AS184" s="31">
        <f t="shared" si="100"/>
        <v>0</v>
      </c>
      <c r="AT184" s="31">
        <f t="shared" si="101"/>
        <v>0</v>
      </c>
      <c r="AU184" s="31">
        <f t="shared" si="102"/>
        <v>0</v>
      </c>
      <c r="AV184" s="31">
        <f t="shared" si="103"/>
        <v>0</v>
      </c>
      <c r="AW184" s="31">
        <f t="shared" si="104"/>
        <v>0</v>
      </c>
      <c r="AX184" s="31">
        <f t="shared" si="105"/>
        <v>0</v>
      </c>
      <c r="AY184" s="31">
        <f t="shared" si="106"/>
        <v>0</v>
      </c>
      <c r="AZ184" s="31">
        <f t="shared" si="107"/>
        <v>0</v>
      </c>
      <c r="BA184" s="31">
        <f t="shared" si="108"/>
        <v>0</v>
      </c>
      <c r="BB184" s="31">
        <f t="shared" si="137"/>
        <v>0</v>
      </c>
      <c r="BC184" s="31"/>
      <c r="BD184" s="31"/>
      <c r="BM184" s="8">
        <f t="shared" si="138"/>
        <v>0</v>
      </c>
      <c r="BN184" s="8">
        <f t="shared" si="109"/>
        <v>0</v>
      </c>
      <c r="BO184" s="8">
        <f t="shared" si="110"/>
        <v>0</v>
      </c>
      <c r="BQ184" s="8">
        <f t="shared" si="111"/>
        <v>0</v>
      </c>
      <c r="BR184" s="63">
        <f t="shared" si="112"/>
        <v>0</v>
      </c>
      <c r="BS184" s="63">
        <f t="shared" si="139"/>
        <v>0</v>
      </c>
      <c r="BT184" s="63">
        <f t="shared" si="113"/>
        <v>0</v>
      </c>
      <c r="BU184" s="63">
        <f t="shared" si="114"/>
        <v>0</v>
      </c>
      <c r="BV184" s="57">
        <f t="shared" si="115"/>
        <v>0</v>
      </c>
      <c r="BW184" s="57">
        <f t="shared" si="116"/>
        <v>0</v>
      </c>
      <c r="BX184" s="57">
        <f t="shared" si="140"/>
        <v>0</v>
      </c>
      <c r="BY184" s="57">
        <f t="shared" si="144"/>
        <v>0</v>
      </c>
      <c r="BZ184" s="8">
        <f t="shared" si="117"/>
        <v>0</v>
      </c>
      <c r="CA184" s="8">
        <f t="shared" si="118"/>
        <v>0</v>
      </c>
      <c r="CB184" s="8">
        <f t="shared" si="119"/>
        <v>0</v>
      </c>
      <c r="CC184" s="8">
        <f t="shared" si="120"/>
        <v>0</v>
      </c>
      <c r="CD184" s="8">
        <f t="shared" si="121"/>
        <v>0</v>
      </c>
      <c r="CE184" s="8">
        <f t="shared" si="122"/>
        <v>0</v>
      </c>
      <c r="CF184" s="8">
        <f t="shared" si="123"/>
        <v>0</v>
      </c>
      <c r="CG184" s="8">
        <f t="shared" si="124"/>
        <v>0</v>
      </c>
      <c r="CH184" s="8">
        <f t="shared" si="125"/>
        <v>0</v>
      </c>
      <c r="CI184" s="8">
        <f t="shared" si="126"/>
        <v>0</v>
      </c>
      <c r="CJ184" s="8">
        <f t="shared" si="127"/>
        <v>0</v>
      </c>
      <c r="CK184" s="8">
        <f t="shared" si="128"/>
        <v>0</v>
      </c>
      <c r="CL184" s="8">
        <f t="shared" si="129"/>
        <v>0</v>
      </c>
      <c r="CM184" s="8">
        <f t="shared" si="130"/>
        <v>0</v>
      </c>
      <c r="CN184" s="8">
        <f t="shared" si="131"/>
        <v>0</v>
      </c>
      <c r="CO184" s="8">
        <f t="shared" si="132"/>
        <v>0</v>
      </c>
      <c r="CP184" s="8">
        <f t="shared" si="133"/>
        <v>0</v>
      </c>
      <c r="CQ184" s="8">
        <f t="shared" si="134"/>
        <v>0</v>
      </c>
      <c r="CR184" s="8">
        <f t="shared" si="135"/>
        <v>0</v>
      </c>
      <c r="CS184" s="8">
        <f t="shared" si="136"/>
        <v>0</v>
      </c>
      <c r="CT184" s="8">
        <f t="shared" si="141"/>
        <v>0</v>
      </c>
      <c r="CU184" s="8">
        <f t="shared" si="142"/>
        <v>0</v>
      </c>
      <c r="CV184" s="8">
        <f t="shared" si="143"/>
        <v>0</v>
      </c>
    </row>
    <row r="185" spans="1:100" ht="25.25" customHeight="1" thickTop="1" thickBot="1" x14ac:dyDescent="0.5">
      <c r="A185" s="32"/>
      <c r="B185" s="10"/>
      <c r="C185" s="10"/>
      <c r="D185" s="11"/>
      <c r="E185" s="10"/>
      <c r="F185" s="10"/>
      <c r="G185" s="19"/>
      <c r="H185" s="19"/>
      <c r="I185" s="19"/>
      <c r="J185" s="19"/>
      <c r="K185" s="10"/>
      <c r="L185" s="10"/>
      <c r="M185" s="10"/>
      <c r="N185" s="10"/>
      <c r="O185" s="18"/>
      <c r="P185" s="18"/>
      <c r="Q185" s="21"/>
      <c r="R185" s="20"/>
      <c r="S185" s="16">
        <f t="shared" si="99"/>
        <v>0</v>
      </c>
      <c r="T185" s="11"/>
      <c r="AR185" s="31"/>
      <c r="AS185" s="31">
        <f t="shared" si="100"/>
        <v>0</v>
      </c>
      <c r="AT185" s="31">
        <f t="shared" si="101"/>
        <v>0</v>
      </c>
      <c r="AU185" s="31">
        <f t="shared" si="102"/>
        <v>0</v>
      </c>
      <c r="AV185" s="31">
        <f t="shared" si="103"/>
        <v>0</v>
      </c>
      <c r="AW185" s="31">
        <f t="shared" si="104"/>
        <v>0</v>
      </c>
      <c r="AX185" s="31">
        <f t="shared" si="105"/>
        <v>0</v>
      </c>
      <c r="AY185" s="31">
        <f t="shared" si="106"/>
        <v>0</v>
      </c>
      <c r="AZ185" s="31">
        <f t="shared" si="107"/>
        <v>0</v>
      </c>
      <c r="BA185" s="31">
        <f t="shared" si="108"/>
        <v>0</v>
      </c>
      <c r="BB185" s="31">
        <f t="shared" si="137"/>
        <v>0</v>
      </c>
      <c r="BC185" s="31"/>
      <c r="BD185" s="31"/>
      <c r="BM185" s="8">
        <f t="shared" si="138"/>
        <v>0</v>
      </c>
      <c r="BN185" s="8">
        <f t="shared" si="109"/>
        <v>0</v>
      </c>
      <c r="BO185" s="8">
        <f t="shared" si="110"/>
        <v>0</v>
      </c>
      <c r="BQ185" s="8">
        <f t="shared" si="111"/>
        <v>0</v>
      </c>
      <c r="BR185" s="63">
        <f t="shared" si="112"/>
        <v>0</v>
      </c>
      <c r="BS185" s="63">
        <f t="shared" si="139"/>
        <v>0</v>
      </c>
      <c r="BT185" s="63">
        <f t="shared" si="113"/>
        <v>0</v>
      </c>
      <c r="BU185" s="63">
        <f t="shared" si="114"/>
        <v>0</v>
      </c>
      <c r="BV185" s="57">
        <f t="shared" si="115"/>
        <v>0</v>
      </c>
      <c r="BW185" s="57">
        <f t="shared" si="116"/>
        <v>0</v>
      </c>
      <c r="BX185" s="57">
        <f t="shared" si="140"/>
        <v>0</v>
      </c>
      <c r="BY185" s="57">
        <f t="shared" si="144"/>
        <v>0</v>
      </c>
      <c r="BZ185" s="8">
        <f t="shared" si="117"/>
        <v>0</v>
      </c>
      <c r="CA185" s="8">
        <f t="shared" si="118"/>
        <v>0</v>
      </c>
      <c r="CB185" s="8">
        <f t="shared" si="119"/>
        <v>0</v>
      </c>
      <c r="CC185" s="8">
        <f t="shared" si="120"/>
        <v>0</v>
      </c>
      <c r="CD185" s="8">
        <f t="shared" si="121"/>
        <v>0</v>
      </c>
      <c r="CE185" s="8">
        <f t="shared" si="122"/>
        <v>0</v>
      </c>
      <c r="CF185" s="8">
        <f t="shared" si="123"/>
        <v>0</v>
      </c>
      <c r="CG185" s="8">
        <f t="shared" si="124"/>
        <v>0</v>
      </c>
      <c r="CH185" s="8">
        <f t="shared" si="125"/>
        <v>0</v>
      </c>
      <c r="CI185" s="8">
        <f t="shared" si="126"/>
        <v>0</v>
      </c>
      <c r="CJ185" s="8">
        <f t="shared" si="127"/>
        <v>0</v>
      </c>
      <c r="CK185" s="8">
        <f t="shared" si="128"/>
        <v>0</v>
      </c>
      <c r="CL185" s="8">
        <f t="shared" si="129"/>
        <v>0</v>
      </c>
      <c r="CM185" s="8">
        <f t="shared" si="130"/>
        <v>0</v>
      </c>
      <c r="CN185" s="8">
        <f t="shared" si="131"/>
        <v>0</v>
      </c>
      <c r="CO185" s="8">
        <f t="shared" si="132"/>
        <v>0</v>
      </c>
      <c r="CP185" s="8">
        <f t="shared" si="133"/>
        <v>0</v>
      </c>
      <c r="CQ185" s="8">
        <f t="shared" si="134"/>
        <v>0</v>
      </c>
      <c r="CR185" s="8">
        <f t="shared" si="135"/>
        <v>0</v>
      </c>
      <c r="CS185" s="8">
        <f t="shared" si="136"/>
        <v>0</v>
      </c>
      <c r="CT185" s="8">
        <f t="shared" si="141"/>
        <v>0</v>
      </c>
      <c r="CU185" s="8">
        <f t="shared" si="142"/>
        <v>0</v>
      </c>
      <c r="CV185" s="8">
        <f t="shared" si="143"/>
        <v>0</v>
      </c>
    </row>
    <row r="186" spans="1:100" ht="25.25" customHeight="1" thickTop="1" thickBot="1" x14ac:dyDescent="0.5">
      <c r="A186" s="32"/>
      <c r="B186" s="10"/>
      <c r="C186" s="10"/>
      <c r="D186" s="11"/>
      <c r="E186" s="10"/>
      <c r="F186" s="10"/>
      <c r="G186" s="19"/>
      <c r="H186" s="19"/>
      <c r="I186" s="19"/>
      <c r="J186" s="19"/>
      <c r="K186" s="10"/>
      <c r="L186" s="10"/>
      <c r="M186" s="10"/>
      <c r="N186" s="10"/>
      <c r="O186" s="18"/>
      <c r="P186" s="18"/>
      <c r="Q186" s="21"/>
      <c r="R186" s="20"/>
      <c r="S186" s="16">
        <f t="shared" si="99"/>
        <v>0</v>
      </c>
      <c r="T186" s="11"/>
      <c r="AR186" s="31"/>
      <c r="AS186" s="31">
        <f t="shared" si="100"/>
        <v>0</v>
      </c>
      <c r="AT186" s="31">
        <f t="shared" si="101"/>
        <v>0</v>
      </c>
      <c r="AU186" s="31">
        <f t="shared" si="102"/>
        <v>0</v>
      </c>
      <c r="AV186" s="31">
        <f t="shared" si="103"/>
        <v>0</v>
      </c>
      <c r="AW186" s="31">
        <f t="shared" si="104"/>
        <v>0</v>
      </c>
      <c r="AX186" s="31">
        <f t="shared" si="105"/>
        <v>0</v>
      </c>
      <c r="AY186" s="31">
        <f t="shared" si="106"/>
        <v>0</v>
      </c>
      <c r="AZ186" s="31">
        <f t="shared" si="107"/>
        <v>0</v>
      </c>
      <c r="BA186" s="31">
        <f t="shared" si="108"/>
        <v>0</v>
      </c>
      <c r="BB186" s="31">
        <f t="shared" si="137"/>
        <v>0</v>
      </c>
      <c r="BC186" s="31"/>
      <c r="BD186" s="31"/>
      <c r="BM186" s="8">
        <f t="shared" si="138"/>
        <v>0</v>
      </c>
      <c r="BN186" s="8">
        <f t="shared" si="109"/>
        <v>0</v>
      </c>
      <c r="BO186" s="8">
        <f t="shared" si="110"/>
        <v>0</v>
      </c>
      <c r="BQ186" s="8">
        <f t="shared" si="111"/>
        <v>0</v>
      </c>
      <c r="BR186" s="63">
        <f t="shared" si="112"/>
        <v>0</v>
      </c>
      <c r="BS186" s="63">
        <f t="shared" si="139"/>
        <v>0</v>
      </c>
      <c r="BT186" s="63">
        <f t="shared" si="113"/>
        <v>0</v>
      </c>
      <c r="BU186" s="63">
        <f t="shared" si="114"/>
        <v>0</v>
      </c>
      <c r="BV186" s="57">
        <f t="shared" si="115"/>
        <v>0</v>
      </c>
      <c r="BW186" s="57">
        <f t="shared" si="116"/>
        <v>0</v>
      </c>
      <c r="BX186" s="57">
        <f t="shared" si="140"/>
        <v>0</v>
      </c>
      <c r="BY186" s="57">
        <f t="shared" si="144"/>
        <v>0</v>
      </c>
      <c r="BZ186" s="8">
        <f t="shared" si="117"/>
        <v>0</v>
      </c>
      <c r="CA186" s="8">
        <f t="shared" si="118"/>
        <v>0</v>
      </c>
      <c r="CB186" s="8">
        <f t="shared" si="119"/>
        <v>0</v>
      </c>
      <c r="CC186" s="8">
        <f t="shared" si="120"/>
        <v>0</v>
      </c>
      <c r="CD186" s="8">
        <f t="shared" si="121"/>
        <v>0</v>
      </c>
      <c r="CE186" s="8">
        <f t="shared" si="122"/>
        <v>0</v>
      </c>
      <c r="CF186" s="8">
        <f t="shared" si="123"/>
        <v>0</v>
      </c>
      <c r="CG186" s="8">
        <f t="shared" si="124"/>
        <v>0</v>
      </c>
      <c r="CH186" s="8">
        <f t="shared" si="125"/>
        <v>0</v>
      </c>
      <c r="CI186" s="8">
        <f t="shared" si="126"/>
        <v>0</v>
      </c>
      <c r="CJ186" s="8">
        <f t="shared" si="127"/>
        <v>0</v>
      </c>
      <c r="CK186" s="8">
        <f t="shared" si="128"/>
        <v>0</v>
      </c>
      <c r="CL186" s="8">
        <f t="shared" si="129"/>
        <v>0</v>
      </c>
      <c r="CM186" s="8">
        <f t="shared" si="130"/>
        <v>0</v>
      </c>
      <c r="CN186" s="8">
        <f t="shared" si="131"/>
        <v>0</v>
      </c>
      <c r="CO186" s="8">
        <f t="shared" si="132"/>
        <v>0</v>
      </c>
      <c r="CP186" s="8">
        <f t="shared" si="133"/>
        <v>0</v>
      </c>
      <c r="CQ186" s="8">
        <f t="shared" si="134"/>
        <v>0</v>
      </c>
      <c r="CR186" s="8">
        <f t="shared" si="135"/>
        <v>0</v>
      </c>
      <c r="CS186" s="8">
        <f t="shared" si="136"/>
        <v>0</v>
      </c>
      <c r="CT186" s="8">
        <f t="shared" si="141"/>
        <v>0</v>
      </c>
      <c r="CU186" s="8">
        <f t="shared" si="142"/>
        <v>0</v>
      </c>
      <c r="CV186" s="8">
        <f t="shared" si="143"/>
        <v>0</v>
      </c>
    </row>
    <row r="187" spans="1:100" ht="25.25" customHeight="1" thickTop="1" thickBot="1" x14ac:dyDescent="0.5">
      <c r="A187" s="32"/>
      <c r="B187" s="10"/>
      <c r="C187" s="10"/>
      <c r="D187" s="11"/>
      <c r="E187" s="10"/>
      <c r="F187" s="10"/>
      <c r="G187" s="19"/>
      <c r="H187" s="19"/>
      <c r="I187" s="19"/>
      <c r="J187" s="19"/>
      <c r="K187" s="10"/>
      <c r="L187" s="10"/>
      <c r="M187" s="10"/>
      <c r="N187" s="10"/>
      <c r="O187" s="18"/>
      <c r="P187" s="18"/>
      <c r="Q187" s="21"/>
      <c r="R187" s="20"/>
      <c r="S187" s="16">
        <f t="shared" si="99"/>
        <v>0</v>
      </c>
      <c r="T187" s="11"/>
      <c r="AR187" s="31"/>
      <c r="AS187" s="31">
        <f t="shared" si="100"/>
        <v>0</v>
      </c>
      <c r="AT187" s="31">
        <f t="shared" si="101"/>
        <v>0</v>
      </c>
      <c r="AU187" s="31">
        <f t="shared" si="102"/>
        <v>0</v>
      </c>
      <c r="AV187" s="31">
        <f t="shared" si="103"/>
        <v>0</v>
      </c>
      <c r="AW187" s="31">
        <f t="shared" si="104"/>
        <v>0</v>
      </c>
      <c r="AX187" s="31">
        <f t="shared" si="105"/>
        <v>0</v>
      </c>
      <c r="AY187" s="31">
        <f t="shared" si="106"/>
        <v>0</v>
      </c>
      <c r="AZ187" s="31">
        <f t="shared" si="107"/>
        <v>0</v>
      </c>
      <c r="BA187" s="31">
        <f t="shared" si="108"/>
        <v>0</v>
      </c>
      <c r="BB187" s="31">
        <f t="shared" si="137"/>
        <v>0</v>
      </c>
      <c r="BC187" s="31"/>
      <c r="BD187" s="31"/>
      <c r="BM187" s="8">
        <f t="shared" si="138"/>
        <v>0</v>
      </c>
      <c r="BN187" s="8">
        <f t="shared" si="109"/>
        <v>0</v>
      </c>
      <c r="BO187" s="8">
        <f t="shared" si="110"/>
        <v>0</v>
      </c>
      <c r="BQ187" s="8">
        <f t="shared" si="111"/>
        <v>0</v>
      </c>
      <c r="BR187" s="63">
        <f t="shared" si="112"/>
        <v>0</v>
      </c>
      <c r="BS187" s="63">
        <f t="shared" si="139"/>
        <v>0</v>
      </c>
      <c r="BT187" s="63">
        <f t="shared" si="113"/>
        <v>0</v>
      </c>
      <c r="BU187" s="63">
        <f t="shared" si="114"/>
        <v>0</v>
      </c>
      <c r="BV187" s="57">
        <f t="shared" si="115"/>
        <v>0</v>
      </c>
      <c r="BW187" s="57">
        <f t="shared" si="116"/>
        <v>0</v>
      </c>
      <c r="BX187" s="57">
        <f t="shared" si="140"/>
        <v>0</v>
      </c>
      <c r="BY187" s="57">
        <f t="shared" si="144"/>
        <v>0</v>
      </c>
      <c r="BZ187" s="8">
        <f t="shared" si="117"/>
        <v>0</v>
      </c>
      <c r="CA187" s="8">
        <f t="shared" si="118"/>
        <v>0</v>
      </c>
      <c r="CB187" s="8">
        <f t="shared" si="119"/>
        <v>0</v>
      </c>
      <c r="CC187" s="8">
        <f t="shared" si="120"/>
        <v>0</v>
      </c>
      <c r="CD187" s="8">
        <f t="shared" si="121"/>
        <v>0</v>
      </c>
      <c r="CE187" s="8">
        <f t="shared" si="122"/>
        <v>0</v>
      </c>
      <c r="CF187" s="8">
        <f t="shared" si="123"/>
        <v>0</v>
      </c>
      <c r="CG187" s="8">
        <f t="shared" si="124"/>
        <v>0</v>
      </c>
      <c r="CH187" s="8">
        <f t="shared" si="125"/>
        <v>0</v>
      </c>
      <c r="CI187" s="8">
        <f t="shared" si="126"/>
        <v>0</v>
      </c>
      <c r="CJ187" s="8">
        <f t="shared" si="127"/>
        <v>0</v>
      </c>
      <c r="CK187" s="8">
        <f t="shared" si="128"/>
        <v>0</v>
      </c>
      <c r="CL187" s="8">
        <f t="shared" si="129"/>
        <v>0</v>
      </c>
      <c r="CM187" s="8">
        <f t="shared" si="130"/>
        <v>0</v>
      </c>
      <c r="CN187" s="8">
        <f t="shared" si="131"/>
        <v>0</v>
      </c>
      <c r="CO187" s="8">
        <f t="shared" si="132"/>
        <v>0</v>
      </c>
      <c r="CP187" s="8">
        <f t="shared" si="133"/>
        <v>0</v>
      </c>
      <c r="CQ187" s="8">
        <f t="shared" si="134"/>
        <v>0</v>
      </c>
      <c r="CR187" s="8">
        <f t="shared" si="135"/>
        <v>0</v>
      </c>
      <c r="CS187" s="8">
        <f t="shared" si="136"/>
        <v>0</v>
      </c>
      <c r="CT187" s="8">
        <f t="shared" si="141"/>
        <v>0</v>
      </c>
      <c r="CU187" s="8">
        <f t="shared" si="142"/>
        <v>0</v>
      </c>
      <c r="CV187" s="8">
        <f t="shared" si="143"/>
        <v>0</v>
      </c>
    </row>
    <row r="188" spans="1:100" ht="25.25" customHeight="1" thickTop="1" thickBot="1" x14ac:dyDescent="0.5">
      <c r="A188" s="32"/>
      <c r="B188" s="10"/>
      <c r="C188" s="10"/>
      <c r="D188" s="11"/>
      <c r="E188" s="10"/>
      <c r="F188" s="10"/>
      <c r="G188" s="19"/>
      <c r="H188" s="19"/>
      <c r="I188" s="19"/>
      <c r="J188" s="19"/>
      <c r="K188" s="10"/>
      <c r="L188" s="10"/>
      <c r="M188" s="10"/>
      <c r="N188" s="10"/>
      <c r="O188" s="18"/>
      <c r="P188" s="18"/>
      <c r="Q188" s="21"/>
      <c r="R188" s="20"/>
      <c r="S188" s="16">
        <f t="shared" si="99"/>
        <v>0</v>
      </c>
      <c r="T188" s="11"/>
      <c r="AR188" s="31"/>
      <c r="AS188" s="31">
        <f t="shared" si="100"/>
        <v>0</v>
      </c>
      <c r="AT188" s="31">
        <f t="shared" si="101"/>
        <v>0</v>
      </c>
      <c r="AU188" s="31">
        <f t="shared" si="102"/>
        <v>0</v>
      </c>
      <c r="AV188" s="31">
        <f t="shared" si="103"/>
        <v>0</v>
      </c>
      <c r="AW188" s="31">
        <f t="shared" si="104"/>
        <v>0</v>
      </c>
      <c r="AX188" s="31">
        <f t="shared" si="105"/>
        <v>0</v>
      </c>
      <c r="AY188" s="31">
        <f t="shared" si="106"/>
        <v>0</v>
      </c>
      <c r="AZ188" s="31">
        <f t="shared" si="107"/>
        <v>0</v>
      </c>
      <c r="BA188" s="31">
        <f t="shared" si="108"/>
        <v>0</v>
      </c>
      <c r="BB188" s="31">
        <f t="shared" si="137"/>
        <v>0</v>
      </c>
      <c r="BC188" s="31"/>
      <c r="BD188" s="31"/>
      <c r="BM188" s="8">
        <f t="shared" si="138"/>
        <v>0</v>
      </c>
      <c r="BN188" s="8">
        <f t="shared" si="109"/>
        <v>0</v>
      </c>
      <c r="BO188" s="8">
        <f t="shared" si="110"/>
        <v>0</v>
      </c>
      <c r="BQ188" s="8">
        <f t="shared" si="111"/>
        <v>0</v>
      </c>
      <c r="BR188" s="63">
        <f t="shared" si="112"/>
        <v>0</v>
      </c>
      <c r="BS188" s="63">
        <f t="shared" si="139"/>
        <v>0</v>
      </c>
      <c r="BT188" s="63">
        <f t="shared" si="113"/>
        <v>0</v>
      </c>
      <c r="BU188" s="63">
        <f t="shared" si="114"/>
        <v>0</v>
      </c>
      <c r="BV188" s="57">
        <f t="shared" si="115"/>
        <v>0</v>
      </c>
      <c r="BW188" s="57">
        <f t="shared" si="116"/>
        <v>0</v>
      </c>
      <c r="BX188" s="57">
        <f t="shared" si="140"/>
        <v>0</v>
      </c>
      <c r="BY188" s="57">
        <f t="shared" si="144"/>
        <v>0</v>
      </c>
      <c r="BZ188" s="8">
        <f t="shared" si="117"/>
        <v>0</v>
      </c>
      <c r="CA188" s="8">
        <f t="shared" si="118"/>
        <v>0</v>
      </c>
      <c r="CB188" s="8">
        <f t="shared" si="119"/>
        <v>0</v>
      </c>
      <c r="CC188" s="8">
        <f t="shared" si="120"/>
        <v>0</v>
      </c>
      <c r="CD188" s="8">
        <f t="shared" si="121"/>
        <v>0</v>
      </c>
      <c r="CE188" s="8">
        <f t="shared" si="122"/>
        <v>0</v>
      </c>
      <c r="CF188" s="8">
        <f t="shared" si="123"/>
        <v>0</v>
      </c>
      <c r="CG188" s="8">
        <f t="shared" si="124"/>
        <v>0</v>
      </c>
      <c r="CH188" s="8">
        <f t="shared" si="125"/>
        <v>0</v>
      </c>
      <c r="CI188" s="8">
        <f t="shared" si="126"/>
        <v>0</v>
      </c>
      <c r="CJ188" s="8">
        <f t="shared" si="127"/>
        <v>0</v>
      </c>
      <c r="CK188" s="8">
        <f t="shared" si="128"/>
        <v>0</v>
      </c>
      <c r="CL188" s="8">
        <f t="shared" si="129"/>
        <v>0</v>
      </c>
      <c r="CM188" s="8">
        <f t="shared" si="130"/>
        <v>0</v>
      </c>
      <c r="CN188" s="8">
        <f t="shared" si="131"/>
        <v>0</v>
      </c>
      <c r="CO188" s="8">
        <f t="shared" si="132"/>
        <v>0</v>
      </c>
      <c r="CP188" s="8">
        <f t="shared" si="133"/>
        <v>0</v>
      </c>
      <c r="CQ188" s="8">
        <f t="shared" si="134"/>
        <v>0</v>
      </c>
      <c r="CR188" s="8">
        <f t="shared" si="135"/>
        <v>0</v>
      </c>
      <c r="CS188" s="8">
        <f t="shared" si="136"/>
        <v>0</v>
      </c>
      <c r="CT188" s="8">
        <f t="shared" si="141"/>
        <v>0</v>
      </c>
      <c r="CU188" s="8">
        <f t="shared" si="142"/>
        <v>0</v>
      </c>
      <c r="CV188" s="8">
        <f t="shared" si="143"/>
        <v>0</v>
      </c>
    </row>
    <row r="189" spans="1:100" ht="25.25" customHeight="1" thickTop="1" thickBot="1" x14ac:dyDescent="0.5">
      <c r="A189" s="32"/>
      <c r="B189" s="10"/>
      <c r="C189" s="10"/>
      <c r="D189" s="11"/>
      <c r="E189" s="10"/>
      <c r="F189" s="10"/>
      <c r="G189" s="19"/>
      <c r="H189" s="19"/>
      <c r="I189" s="19"/>
      <c r="J189" s="19"/>
      <c r="K189" s="10"/>
      <c r="L189" s="10"/>
      <c r="M189" s="10"/>
      <c r="N189" s="10"/>
      <c r="O189" s="18"/>
      <c r="P189" s="18"/>
      <c r="Q189" s="21"/>
      <c r="R189" s="20"/>
      <c r="S189" s="16">
        <f t="shared" si="99"/>
        <v>0</v>
      </c>
      <c r="T189" s="11"/>
      <c r="AR189" s="31"/>
      <c r="AS189" s="31">
        <f t="shared" si="100"/>
        <v>0</v>
      </c>
      <c r="AT189" s="31">
        <f t="shared" si="101"/>
        <v>0</v>
      </c>
      <c r="AU189" s="31">
        <f t="shared" si="102"/>
        <v>0</v>
      </c>
      <c r="AV189" s="31">
        <f t="shared" si="103"/>
        <v>0</v>
      </c>
      <c r="AW189" s="31">
        <f t="shared" si="104"/>
        <v>0</v>
      </c>
      <c r="AX189" s="31">
        <f t="shared" si="105"/>
        <v>0</v>
      </c>
      <c r="AY189" s="31">
        <f t="shared" si="106"/>
        <v>0</v>
      </c>
      <c r="AZ189" s="31">
        <f t="shared" si="107"/>
        <v>0</v>
      </c>
      <c r="BA189" s="31">
        <f t="shared" si="108"/>
        <v>0</v>
      </c>
      <c r="BB189" s="31">
        <f t="shared" si="137"/>
        <v>0</v>
      </c>
      <c r="BC189" s="31"/>
      <c r="BD189" s="31"/>
      <c r="BM189" s="8">
        <f t="shared" si="138"/>
        <v>0</v>
      </c>
      <c r="BN189" s="8">
        <f t="shared" si="109"/>
        <v>0</v>
      </c>
      <c r="BO189" s="8">
        <f t="shared" si="110"/>
        <v>0</v>
      </c>
      <c r="BQ189" s="8">
        <f t="shared" si="111"/>
        <v>0</v>
      </c>
      <c r="BR189" s="63">
        <f t="shared" si="112"/>
        <v>0</v>
      </c>
      <c r="BS189" s="63">
        <f t="shared" si="139"/>
        <v>0</v>
      </c>
      <c r="BT189" s="63">
        <f t="shared" si="113"/>
        <v>0</v>
      </c>
      <c r="BU189" s="63">
        <f t="shared" si="114"/>
        <v>0</v>
      </c>
      <c r="BV189" s="57">
        <f t="shared" si="115"/>
        <v>0</v>
      </c>
      <c r="BW189" s="57">
        <f t="shared" si="116"/>
        <v>0</v>
      </c>
      <c r="BX189" s="57">
        <f t="shared" si="140"/>
        <v>0</v>
      </c>
      <c r="BY189" s="57">
        <f t="shared" si="144"/>
        <v>0</v>
      </c>
      <c r="BZ189" s="8">
        <f t="shared" si="117"/>
        <v>0</v>
      </c>
      <c r="CA189" s="8">
        <f t="shared" si="118"/>
        <v>0</v>
      </c>
      <c r="CB189" s="8">
        <f t="shared" si="119"/>
        <v>0</v>
      </c>
      <c r="CC189" s="8">
        <f t="shared" si="120"/>
        <v>0</v>
      </c>
      <c r="CD189" s="8">
        <f t="shared" si="121"/>
        <v>0</v>
      </c>
      <c r="CE189" s="8">
        <f t="shared" si="122"/>
        <v>0</v>
      </c>
      <c r="CF189" s="8">
        <f t="shared" si="123"/>
        <v>0</v>
      </c>
      <c r="CG189" s="8">
        <f t="shared" si="124"/>
        <v>0</v>
      </c>
      <c r="CH189" s="8">
        <f t="shared" si="125"/>
        <v>0</v>
      </c>
      <c r="CI189" s="8">
        <f t="shared" si="126"/>
        <v>0</v>
      </c>
      <c r="CJ189" s="8">
        <f t="shared" si="127"/>
        <v>0</v>
      </c>
      <c r="CK189" s="8">
        <f t="shared" si="128"/>
        <v>0</v>
      </c>
      <c r="CL189" s="8">
        <f t="shared" si="129"/>
        <v>0</v>
      </c>
      <c r="CM189" s="8">
        <f t="shared" si="130"/>
        <v>0</v>
      </c>
      <c r="CN189" s="8">
        <f t="shared" si="131"/>
        <v>0</v>
      </c>
      <c r="CO189" s="8">
        <f t="shared" si="132"/>
        <v>0</v>
      </c>
      <c r="CP189" s="8">
        <f t="shared" si="133"/>
        <v>0</v>
      </c>
      <c r="CQ189" s="8">
        <f t="shared" si="134"/>
        <v>0</v>
      </c>
      <c r="CR189" s="8">
        <f t="shared" si="135"/>
        <v>0</v>
      </c>
      <c r="CS189" s="8">
        <f t="shared" si="136"/>
        <v>0</v>
      </c>
      <c r="CT189" s="8">
        <f t="shared" si="141"/>
        <v>0</v>
      </c>
      <c r="CU189" s="8">
        <f t="shared" si="142"/>
        <v>0</v>
      </c>
      <c r="CV189" s="8">
        <f t="shared" si="143"/>
        <v>0</v>
      </c>
    </row>
    <row r="190" spans="1:100" ht="25.25" customHeight="1" thickTop="1" thickBot="1" x14ac:dyDescent="0.5">
      <c r="A190" s="32"/>
      <c r="B190" s="10"/>
      <c r="C190" s="10"/>
      <c r="D190" s="11"/>
      <c r="E190" s="10"/>
      <c r="F190" s="10"/>
      <c r="G190" s="19"/>
      <c r="H190" s="19"/>
      <c r="I190" s="19"/>
      <c r="J190" s="19"/>
      <c r="K190" s="10"/>
      <c r="L190" s="10"/>
      <c r="M190" s="10"/>
      <c r="N190" s="10"/>
      <c r="O190" s="18"/>
      <c r="P190" s="18"/>
      <c r="Q190" s="21"/>
      <c r="R190" s="20"/>
      <c r="S190" s="16">
        <f t="shared" si="99"/>
        <v>0</v>
      </c>
      <c r="T190" s="11"/>
      <c r="AR190" s="31"/>
      <c r="AS190" s="31">
        <f t="shared" si="100"/>
        <v>0</v>
      </c>
      <c r="AT190" s="31">
        <f t="shared" si="101"/>
        <v>0</v>
      </c>
      <c r="AU190" s="31">
        <f t="shared" si="102"/>
        <v>0</v>
      </c>
      <c r="AV190" s="31">
        <f t="shared" si="103"/>
        <v>0</v>
      </c>
      <c r="AW190" s="31">
        <f t="shared" si="104"/>
        <v>0</v>
      </c>
      <c r="AX190" s="31">
        <f t="shared" si="105"/>
        <v>0</v>
      </c>
      <c r="AY190" s="31">
        <f t="shared" si="106"/>
        <v>0</v>
      </c>
      <c r="AZ190" s="31">
        <f t="shared" si="107"/>
        <v>0</v>
      </c>
      <c r="BA190" s="31">
        <f t="shared" si="108"/>
        <v>0</v>
      </c>
      <c r="BB190" s="31">
        <f t="shared" si="137"/>
        <v>0</v>
      </c>
      <c r="BC190" s="31"/>
      <c r="BD190" s="31"/>
      <c r="BM190" s="8">
        <f t="shared" si="138"/>
        <v>0</v>
      </c>
      <c r="BN190" s="8">
        <f t="shared" si="109"/>
        <v>0</v>
      </c>
      <c r="BO190" s="8">
        <f t="shared" si="110"/>
        <v>0</v>
      </c>
      <c r="BQ190" s="8">
        <f t="shared" si="111"/>
        <v>0</v>
      </c>
      <c r="BR190" s="63">
        <f t="shared" si="112"/>
        <v>0</v>
      </c>
      <c r="BS190" s="63">
        <f t="shared" si="139"/>
        <v>0</v>
      </c>
      <c r="BT190" s="63">
        <f t="shared" si="113"/>
        <v>0</v>
      </c>
      <c r="BU190" s="63">
        <f t="shared" si="114"/>
        <v>0</v>
      </c>
      <c r="BV190" s="57">
        <f t="shared" si="115"/>
        <v>0</v>
      </c>
      <c r="BW190" s="57">
        <f t="shared" si="116"/>
        <v>0</v>
      </c>
      <c r="BX190" s="57">
        <f t="shared" si="140"/>
        <v>0</v>
      </c>
      <c r="BY190" s="57">
        <f t="shared" si="144"/>
        <v>0</v>
      </c>
      <c r="BZ190" s="8">
        <f t="shared" si="117"/>
        <v>0</v>
      </c>
      <c r="CA190" s="8">
        <f t="shared" si="118"/>
        <v>0</v>
      </c>
      <c r="CB190" s="8">
        <f t="shared" si="119"/>
        <v>0</v>
      </c>
      <c r="CC190" s="8">
        <f t="shared" si="120"/>
        <v>0</v>
      </c>
      <c r="CD190" s="8">
        <f t="shared" si="121"/>
        <v>0</v>
      </c>
      <c r="CE190" s="8">
        <f t="shared" si="122"/>
        <v>0</v>
      </c>
      <c r="CF190" s="8">
        <f t="shared" si="123"/>
        <v>0</v>
      </c>
      <c r="CG190" s="8">
        <f t="shared" si="124"/>
        <v>0</v>
      </c>
      <c r="CH190" s="8">
        <f t="shared" si="125"/>
        <v>0</v>
      </c>
      <c r="CI190" s="8">
        <f t="shared" si="126"/>
        <v>0</v>
      </c>
      <c r="CJ190" s="8">
        <f t="shared" si="127"/>
        <v>0</v>
      </c>
      <c r="CK190" s="8">
        <f t="shared" si="128"/>
        <v>0</v>
      </c>
      <c r="CL190" s="8">
        <f t="shared" si="129"/>
        <v>0</v>
      </c>
      <c r="CM190" s="8">
        <f t="shared" si="130"/>
        <v>0</v>
      </c>
      <c r="CN190" s="8">
        <f t="shared" si="131"/>
        <v>0</v>
      </c>
      <c r="CO190" s="8">
        <f t="shared" si="132"/>
        <v>0</v>
      </c>
      <c r="CP190" s="8">
        <f t="shared" si="133"/>
        <v>0</v>
      </c>
      <c r="CQ190" s="8">
        <f t="shared" si="134"/>
        <v>0</v>
      </c>
      <c r="CR190" s="8">
        <f t="shared" si="135"/>
        <v>0</v>
      </c>
      <c r="CS190" s="8">
        <f t="shared" si="136"/>
        <v>0</v>
      </c>
      <c r="CT190" s="8">
        <f t="shared" si="141"/>
        <v>0</v>
      </c>
      <c r="CU190" s="8">
        <f t="shared" si="142"/>
        <v>0</v>
      </c>
      <c r="CV190" s="8">
        <f t="shared" si="143"/>
        <v>0</v>
      </c>
    </row>
    <row r="191" spans="1:100" ht="25.25" customHeight="1" thickTop="1" thickBot="1" x14ac:dyDescent="0.5">
      <c r="A191" s="32"/>
      <c r="B191" s="10"/>
      <c r="C191" s="10"/>
      <c r="D191" s="11"/>
      <c r="E191" s="10"/>
      <c r="F191" s="10"/>
      <c r="G191" s="19"/>
      <c r="H191" s="19"/>
      <c r="I191" s="19"/>
      <c r="J191" s="19"/>
      <c r="K191" s="10"/>
      <c r="L191" s="10"/>
      <c r="M191" s="10"/>
      <c r="N191" s="10"/>
      <c r="O191" s="18"/>
      <c r="P191" s="18"/>
      <c r="Q191" s="21"/>
      <c r="R191" s="20"/>
      <c r="S191" s="16">
        <f t="shared" si="99"/>
        <v>0</v>
      </c>
      <c r="T191" s="11"/>
      <c r="AR191" s="31"/>
      <c r="AS191" s="31">
        <f t="shared" si="100"/>
        <v>0</v>
      </c>
      <c r="AT191" s="31">
        <f t="shared" si="101"/>
        <v>0</v>
      </c>
      <c r="AU191" s="31">
        <f t="shared" si="102"/>
        <v>0</v>
      </c>
      <c r="AV191" s="31">
        <f t="shared" si="103"/>
        <v>0</v>
      </c>
      <c r="AW191" s="31">
        <f t="shared" si="104"/>
        <v>0</v>
      </c>
      <c r="AX191" s="31">
        <f t="shared" si="105"/>
        <v>0</v>
      </c>
      <c r="AY191" s="31">
        <f t="shared" si="106"/>
        <v>0</v>
      </c>
      <c r="AZ191" s="31">
        <f t="shared" si="107"/>
        <v>0</v>
      </c>
      <c r="BA191" s="31">
        <f t="shared" si="108"/>
        <v>0</v>
      </c>
      <c r="BB191" s="31">
        <f t="shared" si="137"/>
        <v>0</v>
      </c>
      <c r="BC191" s="31"/>
      <c r="BD191" s="31"/>
      <c r="BM191" s="8">
        <f t="shared" si="138"/>
        <v>0</v>
      </c>
      <c r="BN191" s="8">
        <f t="shared" si="109"/>
        <v>0</v>
      </c>
      <c r="BO191" s="8">
        <f t="shared" si="110"/>
        <v>0</v>
      </c>
      <c r="BQ191" s="8">
        <f t="shared" si="111"/>
        <v>0</v>
      </c>
      <c r="BR191" s="63">
        <f t="shared" si="112"/>
        <v>0</v>
      </c>
      <c r="BS191" s="63">
        <f t="shared" si="139"/>
        <v>0</v>
      </c>
      <c r="BT191" s="63">
        <f t="shared" si="113"/>
        <v>0</v>
      </c>
      <c r="BU191" s="63">
        <f t="shared" si="114"/>
        <v>0</v>
      </c>
      <c r="BV191" s="57">
        <f t="shared" si="115"/>
        <v>0</v>
      </c>
      <c r="BW191" s="57">
        <f t="shared" si="116"/>
        <v>0</v>
      </c>
      <c r="BX191" s="57">
        <f t="shared" si="140"/>
        <v>0</v>
      </c>
      <c r="BY191" s="57">
        <f t="shared" si="144"/>
        <v>0</v>
      </c>
      <c r="BZ191" s="8">
        <f t="shared" si="117"/>
        <v>0</v>
      </c>
      <c r="CA191" s="8">
        <f t="shared" si="118"/>
        <v>0</v>
      </c>
      <c r="CB191" s="8">
        <f t="shared" si="119"/>
        <v>0</v>
      </c>
      <c r="CC191" s="8">
        <f t="shared" si="120"/>
        <v>0</v>
      </c>
      <c r="CD191" s="8">
        <f t="shared" si="121"/>
        <v>0</v>
      </c>
      <c r="CE191" s="8">
        <f t="shared" si="122"/>
        <v>0</v>
      </c>
      <c r="CF191" s="8">
        <f t="shared" si="123"/>
        <v>0</v>
      </c>
      <c r="CG191" s="8">
        <f t="shared" si="124"/>
        <v>0</v>
      </c>
      <c r="CH191" s="8">
        <f t="shared" si="125"/>
        <v>0</v>
      </c>
      <c r="CI191" s="8">
        <f t="shared" si="126"/>
        <v>0</v>
      </c>
      <c r="CJ191" s="8">
        <f t="shared" si="127"/>
        <v>0</v>
      </c>
      <c r="CK191" s="8">
        <f t="shared" si="128"/>
        <v>0</v>
      </c>
      <c r="CL191" s="8">
        <f t="shared" si="129"/>
        <v>0</v>
      </c>
      <c r="CM191" s="8">
        <f t="shared" si="130"/>
        <v>0</v>
      </c>
      <c r="CN191" s="8">
        <f t="shared" si="131"/>
        <v>0</v>
      </c>
      <c r="CO191" s="8">
        <f t="shared" si="132"/>
        <v>0</v>
      </c>
      <c r="CP191" s="8">
        <f t="shared" si="133"/>
        <v>0</v>
      </c>
      <c r="CQ191" s="8">
        <f t="shared" si="134"/>
        <v>0</v>
      </c>
      <c r="CR191" s="8">
        <f t="shared" si="135"/>
        <v>0</v>
      </c>
      <c r="CS191" s="8">
        <f t="shared" si="136"/>
        <v>0</v>
      </c>
      <c r="CT191" s="8">
        <f t="shared" si="141"/>
        <v>0</v>
      </c>
      <c r="CU191" s="8">
        <f t="shared" si="142"/>
        <v>0</v>
      </c>
      <c r="CV191" s="8">
        <f t="shared" si="143"/>
        <v>0</v>
      </c>
    </row>
    <row r="192" spans="1:100" ht="25.25" customHeight="1" thickTop="1" thickBot="1" x14ac:dyDescent="0.5">
      <c r="A192" s="32"/>
      <c r="B192" s="10"/>
      <c r="C192" s="10"/>
      <c r="D192" s="11"/>
      <c r="E192" s="10"/>
      <c r="F192" s="10"/>
      <c r="G192" s="19"/>
      <c r="H192" s="19"/>
      <c r="I192" s="19"/>
      <c r="J192" s="19"/>
      <c r="K192" s="10"/>
      <c r="L192" s="10"/>
      <c r="M192" s="10"/>
      <c r="N192" s="10"/>
      <c r="O192" s="18"/>
      <c r="P192" s="18"/>
      <c r="Q192" s="21"/>
      <c r="R192" s="20"/>
      <c r="S192" s="16">
        <f t="shared" si="99"/>
        <v>0</v>
      </c>
      <c r="T192" s="11"/>
      <c r="AR192" s="31"/>
      <c r="AS192" s="31">
        <f t="shared" si="100"/>
        <v>0</v>
      </c>
      <c r="AT192" s="31">
        <f t="shared" si="101"/>
        <v>0</v>
      </c>
      <c r="AU192" s="31">
        <f t="shared" si="102"/>
        <v>0</v>
      </c>
      <c r="AV192" s="31">
        <f t="shared" si="103"/>
        <v>0</v>
      </c>
      <c r="AW192" s="31">
        <f t="shared" si="104"/>
        <v>0</v>
      </c>
      <c r="AX192" s="31">
        <f t="shared" si="105"/>
        <v>0</v>
      </c>
      <c r="AY192" s="31">
        <f t="shared" si="106"/>
        <v>0</v>
      </c>
      <c r="AZ192" s="31">
        <f t="shared" si="107"/>
        <v>0</v>
      </c>
      <c r="BA192" s="31">
        <f t="shared" si="108"/>
        <v>0</v>
      </c>
      <c r="BB192" s="31">
        <f t="shared" si="137"/>
        <v>0</v>
      </c>
      <c r="BC192" s="31"/>
      <c r="BD192" s="31"/>
      <c r="BM192" s="8">
        <f t="shared" si="138"/>
        <v>0</v>
      </c>
      <c r="BN192" s="8">
        <f t="shared" si="109"/>
        <v>0</v>
      </c>
      <c r="BO192" s="8">
        <f t="shared" si="110"/>
        <v>0</v>
      </c>
      <c r="BQ192" s="8">
        <f t="shared" si="111"/>
        <v>0</v>
      </c>
      <c r="BR192" s="63">
        <f t="shared" si="112"/>
        <v>0</v>
      </c>
      <c r="BS192" s="63">
        <f t="shared" si="139"/>
        <v>0</v>
      </c>
      <c r="BT192" s="63">
        <f t="shared" si="113"/>
        <v>0</v>
      </c>
      <c r="BU192" s="63">
        <f t="shared" si="114"/>
        <v>0</v>
      </c>
      <c r="BV192" s="57">
        <f t="shared" si="115"/>
        <v>0</v>
      </c>
      <c r="BW192" s="57">
        <f t="shared" si="116"/>
        <v>0</v>
      </c>
      <c r="BX192" s="57">
        <f t="shared" si="140"/>
        <v>0</v>
      </c>
      <c r="BY192" s="57">
        <f t="shared" si="144"/>
        <v>0</v>
      </c>
      <c r="BZ192" s="8">
        <f t="shared" si="117"/>
        <v>0</v>
      </c>
      <c r="CA192" s="8">
        <f t="shared" si="118"/>
        <v>0</v>
      </c>
      <c r="CB192" s="8">
        <f t="shared" si="119"/>
        <v>0</v>
      </c>
      <c r="CC192" s="8">
        <f t="shared" si="120"/>
        <v>0</v>
      </c>
      <c r="CD192" s="8">
        <f t="shared" si="121"/>
        <v>0</v>
      </c>
      <c r="CE192" s="8">
        <f t="shared" si="122"/>
        <v>0</v>
      </c>
      <c r="CF192" s="8">
        <f t="shared" si="123"/>
        <v>0</v>
      </c>
      <c r="CG192" s="8">
        <f t="shared" si="124"/>
        <v>0</v>
      </c>
      <c r="CH192" s="8">
        <f t="shared" si="125"/>
        <v>0</v>
      </c>
      <c r="CI192" s="8">
        <f t="shared" si="126"/>
        <v>0</v>
      </c>
      <c r="CJ192" s="8">
        <f t="shared" si="127"/>
        <v>0</v>
      </c>
      <c r="CK192" s="8">
        <f t="shared" si="128"/>
        <v>0</v>
      </c>
      <c r="CL192" s="8">
        <f t="shared" si="129"/>
        <v>0</v>
      </c>
      <c r="CM192" s="8">
        <f t="shared" si="130"/>
        <v>0</v>
      </c>
      <c r="CN192" s="8">
        <f t="shared" si="131"/>
        <v>0</v>
      </c>
      <c r="CO192" s="8">
        <f t="shared" si="132"/>
        <v>0</v>
      </c>
      <c r="CP192" s="8">
        <f t="shared" si="133"/>
        <v>0</v>
      </c>
      <c r="CQ192" s="8">
        <f t="shared" si="134"/>
        <v>0</v>
      </c>
      <c r="CR192" s="8">
        <f t="shared" si="135"/>
        <v>0</v>
      </c>
      <c r="CS192" s="8">
        <f t="shared" si="136"/>
        <v>0</v>
      </c>
      <c r="CT192" s="8">
        <f t="shared" si="141"/>
        <v>0</v>
      </c>
      <c r="CU192" s="8">
        <f t="shared" si="142"/>
        <v>0</v>
      </c>
      <c r="CV192" s="8">
        <f t="shared" si="143"/>
        <v>0</v>
      </c>
    </row>
    <row r="193" spans="1:100" ht="25.25" customHeight="1" thickTop="1" thickBot="1" x14ac:dyDescent="0.5">
      <c r="A193" s="32"/>
      <c r="B193" s="10"/>
      <c r="C193" s="10"/>
      <c r="D193" s="11"/>
      <c r="E193" s="10"/>
      <c r="F193" s="10"/>
      <c r="G193" s="19"/>
      <c r="H193" s="19"/>
      <c r="I193" s="19"/>
      <c r="J193" s="19"/>
      <c r="K193" s="10"/>
      <c r="L193" s="10"/>
      <c r="M193" s="10"/>
      <c r="N193" s="10"/>
      <c r="O193" s="18"/>
      <c r="P193" s="18"/>
      <c r="Q193" s="21"/>
      <c r="R193" s="20"/>
      <c r="S193" s="16">
        <f t="shared" si="99"/>
        <v>0</v>
      </c>
      <c r="T193" s="11"/>
      <c r="AR193" s="31"/>
      <c r="AS193" s="31">
        <f t="shared" si="100"/>
        <v>0</v>
      </c>
      <c r="AT193" s="31">
        <f t="shared" si="101"/>
        <v>0</v>
      </c>
      <c r="AU193" s="31">
        <f t="shared" si="102"/>
        <v>0</v>
      </c>
      <c r="AV193" s="31">
        <f t="shared" si="103"/>
        <v>0</v>
      </c>
      <c r="AW193" s="31">
        <f t="shared" si="104"/>
        <v>0</v>
      </c>
      <c r="AX193" s="31">
        <f t="shared" si="105"/>
        <v>0</v>
      </c>
      <c r="AY193" s="31">
        <f t="shared" si="106"/>
        <v>0</v>
      </c>
      <c r="AZ193" s="31">
        <f t="shared" si="107"/>
        <v>0</v>
      </c>
      <c r="BA193" s="31">
        <f t="shared" si="108"/>
        <v>0</v>
      </c>
      <c r="BB193" s="31">
        <f t="shared" si="137"/>
        <v>0</v>
      </c>
      <c r="BC193" s="31"/>
      <c r="BD193" s="31"/>
      <c r="BM193" s="8">
        <f t="shared" si="138"/>
        <v>0</v>
      </c>
      <c r="BN193" s="8">
        <f t="shared" si="109"/>
        <v>0</v>
      </c>
      <c r="BO193" s="8">
        <f t="shared" si="110"/>
        <v>0</v>
      </c>
      <c r="BQ193" s="8">
        <f t="shared" si="111"/>
        <v>0</v>
      </c>
      <c r="BR193" s="63">
        <f t="shared" si="112"/>
        <v>0</v>
      </c>
      <c r="BS193" s="63">
        <f t="shared" si="139"/>
        <v>0</v>
      </c>
      <c r="BT193" s="63">
        <f t="shared" si="113"/>
        <v>0</v>
      </c>
      <c r="BU193" s="63">
        <f t="shared" si="114"/>
        <v>0</v>
      </c>
      <c r="BV193" s="57">
        <f t="shared" si="115"/>
        <v>0</v>
      </c>
      <c r="BW193" s="57">
        <f t="shared" si="116"/>
        <v>0</v>
      </c>
      <c r="BX193" s="57">
        <f t="shared" si="140"/>
        <v>0</v>
      </c>
      <c r="BY193" s="57">
        <f t="shared" si="144"/>
        <v>0</v>
      </c>
      <c r="BZ193" s="8">
        <f t="shared" si="117"/>
        <v>0</v>
      </c>
      <c r="CA193" s="8">
        <f t="shared" si="118"/>
        <v>0</v>
      </c>
      <c r="CB193" s="8">
        <f t="shared" si="119"/>
        <v>0</v>
      </c>
      <c r="CC193" s="8">
        <f t="shared" si="120"/>
        <v>0</v>
      </c>
      <c r="CD193" s="8">
        <f t="shared" si="121"/>
        <v>0</v>
      </c>
      <c r="CE193" s="8">
        <f t="shared" si="122"/>
        <v>0</v>
      </c>
      <c r="CF193" s="8">
        <f t="shared" si="123"/>
        <v>0</v>
      </c>
      <c r="CG193" s="8">
        <f t="shared" si="124"/>
        <v>0</v>
      </c>
      <c r="CH193" s="8">
        <f t="shared" si="125"/>
        <v>0</v>
      </c>
      <c r="CI193" s="8">
        <f t="shared" si="126"/>
        <v>0</v>
      </c>
      <c r="CJ193" s="8">
        <f t="shared" si="127"/>
        <v>0</v>
      </c>
      <c r="CK193" s="8">
        <f t="shared" si="128"/>
        <v>0</v>
      </c>
      <c r="CL193" s="8">
        <f t="shared" si="129"/>
        <v>0</v>
      </c>
      <c r="CM193" s="8">
        <f t="shared" si="130"/>
        <v>0</v>
      </c>
      <c r="CN193" s="8">
        <f t="shared" si="131"/>
        <v>0</v>
      </c>
      <c r="CO193" s="8">
        <f t="shared" si="132"/>
        <v>0</v>
      </c>
      <c r="CP193" s="8">
        <f t="shared" si="133"/>
        <v>0</v>
      </c>
      <c r="CQ193" s="8">
        <f t="shared" si="134"/>
        <v>0</v>
      </c>
      <c r="CR193" s="8">
        <f t="shared" si="135"/>
        <v>0</v>
      </c>
      <c r="CS193" s="8">
        <f t="shared" si="136"/>
        <v>0</v>
      </c>
      <c r="CT193" s="8">
        <f t="shared" si="141"/>
        <v>0</v>
      </c>
      <c r="CU193" s="8">
        <f t="shared" si="142"/>
        <v>0</v>
      </c>
      <c r="CV193" s="8">
        <f t="shared" si="143"/>
        <v>0</v>
      </c>
    </row>
    <row r="194" spans="1:100" ht="25.25" customHeight="1" thickTop="1" thickBot="1" x14ac:dyDescent="0.5">
      <c r="A194" s="32"/>
      <c r="B194" s="10"/>
      <c r="C194" s="10"/>
      <c r="D194" s="11"/>
      <c r="E194" s="10"/>
      <c r="F194" s="10"/>
      <c r="G194" s="19"/>
      <c r="H194" s="19"/>
      <c r="I194" s="19"/>
      <c r="J194" s="19"/>
      <c r="K194" s="10"/>
      <c r="L194" s="10"/>
      <c r="M194" s="10"/>
      <c r="N194" s="10"/>
      <c r="O194" s="18"/>
      <c r="P194" s="18"/>
      <c r="Q194" s="21"/>
      <c r="R194" s="20"/>
      <c r="S194" s="16">
        <f t="shared" si="99"/>
        <v>0</v>
      </c>
      <c r="T194" s="11"/>
      <c r="AR194" s="31"/>
      <c r="AS194" s="31">
        <f t="shared" si="100"/>
        <v>0</v>
      </c>
      <c r="AT194" s="31">
        <f t="shared" si="101"/>
        <v>0</v>
      </c>
      <c r="AU194" s="31">
        <f t="shared" si="102"/>
        <v>0</v>
      </c>
      <c r="AV194" s="31">
        <f t="shared" si="103"/>
        <v>0</v>
      </c>
      <c r="AW194" s="31">
        <f t="shared" si="104"/>
        <v>0</v>
      </c>
      <c r="AX194" s="31">
        <f t="shared" si="105"/>
        <v>0</v>
      </c>
      <c r="AY194" s="31">
        <f t="shared" si="106"/>
        <v>0</v>
      </c>
      <c r="AZ194" s="31">
        <f t="shared" si="107"/>
        <v>0</v>
      </c>
      <c r="BA194" s="31">
        <f t="shared" si="108"/>
        <v>0</v>
      </c>
      <c r="BB194" s="31">
        <f t="shared" si="137"/>
        <v>0</v>
      </c>
      <c r="BC194" s="31"/>
      <c r="BD194" s="31"/>
      <c r="BM194" s="8">
        <f t="shared" si="138"/>
        <v>0</v>
      </c>
      <c r="BN194" s="8">
        <f t="shared" si="109"/>
        <v>0</v>
      </c>
      <c r="BO194" s="8">
        <f t="shared" si="110"/>
        <v>0</v>
      </c>
      <c r="BQ194" s="8">
        <f t="shared" si="111"/>
        <v>0</v>
      </c>
      <c r="BR194" s="63">
        <f t="shared" si="112"/>
        <v>0</v>
      </c>
      <c r="BS194" s="63">
        <f t="shared" si="139"/>
        <v>0</v>
      </c>
      <c r="BT194" s="63">
        <f t="shared" si="113"/>
        <v>0</v>
      </c>
      <c r="BU194" s="63">
        <f t="shared" si="114"/>
        <v>0</v>
      </c>
      <c r="BV194" s="57">
        <f t="shared" si="115"/>
        <v>0</v>
      </c>
      <c r="BW194" s="57">
        <f t="shared" si="116"/>
        <v>0</v>
      </c>
      <c r="BX194" s="57">
        <f t="shared" si="140"/>
        <v>0</v>
      </c>
      <c r="BY194" s="57">
        <f t="shared" si="144"/>
        <v>0</v>
      </c>
      <c r="BZ194" s="8">
        <f t="shared" si="117"/>
        <v>0</v>
      </c>
      <c r="CA194" s="8">
        <f t="shared" si="118"/>
        <v>0</v>
      </c>
      <c r="CB194" s="8">
        <f t="shared" si="119"/>
        <v>0</v>
      </c>
      <c r="CC194" s="8">
        <f t="shared" si="120"/>
        <v>0</v>
      </c>
      <c r="CD194" s="8">
        <f t="shared" si="121"/>
        <v>0</v>
      </c>
      <c r="CE194" s="8">
        <f t="shared" si="122"/>
        <v>0</v>
      </c>
      <c r="CF194" s="8">
        <f t="shared" si="123"/>
        <v>0</v>
      </c>
      <c r="CG194" s="8">
        <f t="shared" si="124"/>
        <v>0</v>
      </c>
      <c r="CH194" s="8">
        <f t="shared" si="125"/>
        <v>0</v>
      </c>
      <c r="CI194" s="8">
        <f t="shared" si="126"/>
        <v>0</v>
      </c>
      <c r="CJ194" s="8">
        <f t="shared" si="127"/>
        <v>0</v>
      </c>
      <c r="CK194" s="8">
        <f t="shared" si="128"/>
        <v>0</v>
      </c>
      <c r="CL194" s="8">
        <f t="shared" si="129"/>
        <v>0</v>
      </c>
      <c r="CM194" s="8">
        <f t="shared" si="130"/>
        <v>0</v>
      </c>
      <c r="CN194" s="8">
        <f t="shared" si="131"/>
        <v>0</v>
      </c>
      <c r="CO194" s="8">
        <f t="shared" si="132"/>
        <v>0</v>
      </c>
      <c r="CP194" s="8">
        <f t="shared" si="133"/>
        <v>0</v>
      </c>
      <c r="CQ194" s="8">
        <f t="shared" si="134"/>
        <v>0</v>
      </c>
      <c r="CR194" s="8">
        <f t="shared" si="135"/>
        <v>0</v>
      </c>
      <c r="CS194" s="8">
        <f t="shared" si="136"/>
        <v>0</v>
      </c>
      <c r="CT194" s="8">
        <f t="shared" si="141"/>
        <v>0</v>
      </c>
      <c r="CU194" s="8">
        <f t="shared" si="142"/>
        <v>0</v>
      </c>
      <c r="CV194" s="8">
        <f t="shared" si="143"/>
        <v>0</v>
      </c>
    </row>
    <row r="195" spans="1:100" ht="25.25" customHeight="1" thickTop="1" thickBot="1" x14ac:dyDescent="0.5">
      <c r="A195" s="32"/>
      <c r="B195" s="10"/>
      <c r="C195" s="10"/>
      <c r="D195" s="11"/>
      <c r="E195" s="10"/>
      <c r="F195" s="10"/>
      <c r="G195" s="19"/>
      <c r="H195" s="19"/>
      <c r="I195" s="19"/>
      <c r="J195" s="19"/>
      <c r="K195" s="10"/>
      <c r="L195" s="10"/>
      <c r="M195" s="10"/>
      <c r="N195" s="10"/>
      <c r="O195" s="18"/>
      <c r="P195" s="18"/>
      <c r="Q195" s="21"/>
      <c r="R195" s="20"/>
      <c r="S195" s="16">
        <f t="shared" si="99"/>
        <v>0</v>
      </c>
      <c r="T195" s="11"/>
      <c r="AR195" s="31"/>
      <c r="AS195" s="31">
        <f t="shared" si="100"/>
        <v>0</v>
      </c>
      <c r="AT195" s="31">
        <f t="shared" si="101"/>
        <v>0</v>
      </c>
      <c r="AU195" s="31">
        <f t="shared" si="102"/>
        <v>0</v>
      </c>
      <c r="AV195" s="31">
        <f t="shared" si="103"/>
        <v>0</v>
      </c>
      <c r="AW195" s="31">
        <f t="shared" si="104"/>
        <v>0</v>
      </c>
      <c r="AX195" s="31">
        <f t="shared" si="105"/>
        <v>0</v>
      </c>
      <c r="AY195" s="31">
        <f t="shared" si="106"/>
        <v>0</v>
      </c>
      <c r="AZ195" s="31">
        <f t="shared" si="107"/>
        <v>0</v>
      </c>
      <c r="BA195" s="31">
        <f t="shared" si="108"/>
        <v>0</v>
      </c>
      <c r="BB195" s="31">
        <f t="shared" si="137"/>
        <v>0</v>
      </c>
      <c r="BC195" s="31"/>
      <c r="BD195" s="31"/>
      <c r="BM195" s="8">
        <f t="shared" si="138"/>
        <v>0</v>
      </c>
      <c r="BN195" s="8">
        <f t="shared" si="109"/>
        <v>0</v>
      </c>
      <c r="BO195" s="8">
        <f t="shared" si="110"/>
        <v>0</v>
      </c>
      <c r="BQ195" s="8">
        <f t="shared" si="111"/>
        <v>0</v>
      </c>
      <c r="BR195" s="63">
        <f t="shared" si="112"/>
        <v>0</v>
      </c>
      <c r="BS195" s="63">
        <f t="shared" si="139"/>
        <v>0</v>
      </c>
      <c r="BT195" s="63">
        <f t="shared" si="113"/>
        <v>0</v>
      </c>
      <c r="BU195" s="63">
        <f t="shared" si="114"/>
        <v>0</v>
      </c>
      <c r="BV195" s="57">
        <f t="shared" si="115"/>
        <v>0</v>
      </c>
      <c r="BW195" s="57">
        <f t="shared" si="116"/>
        <v>0</v>
      </c>
      <c r="BX195" s="57">
        <f t="shared" si="140"/>
        <v>0</v>
      </c>
      <c r="BY195" s="57">
        <f t="shared" si="144"/>
        <v>0</v>
      </c>
      <c r="BZ195" s="8">
        <f t="shared" si="117"/>
        <v>0</v>
      </c>
      <c r="CA195" s="8">
        <f t="shared" si="118"/>
        <v>0</v>
      </c>
      <c r="CB195" s="8">
        <f t="shared" si="119"/>
        <v>0</v>
      </c>
      <c r="CC195" s="8">
        <f t="shared" si="120"/>
        <v>0</v>
      </c>
      <c r="CD195" s="8">
        <f t="shared" si="121"/>
        <v>0</v>
      </c>
      <c r="CE195" s="8">
        <f t="shared" si="122"/>
        <v>0</v>
      </c>
      <c r="CF195" s="8">
        <f t="shared" si="123"/>
        <v>0</v>
      </c>
      <c r="CG195" s="8">
        <f t="shared" si="124"/>
        <v>0</v>
      </c>
      <c r="CH195" s="8">
        <f t="shared" si="125"/>
        <v>0</v>
      </c>
      <c r="CI195" s="8">
        <f t="shared" si="126"/>
        <v>0</v>
      </c>
      <c r="CJ195" s="8">
        <f t="shared" si="127"/>
        <v>0</v>
      </c>
      <c r="CK195" s="8">
        <f t="shared" si="128"/>
        <v>0</v>
      </c>
      <c r="CL195" s="8">
        <f t="shared" si="129"/>
        <v>0</v>
      </c>
      <c r="CM195" s="8">
        <f t="shared" si="130"/>
        <v>0</v>
      </c>
      <c r="CN195" s="8">
        <f t="shared" si="131"/>
        <v>0</v>
      </c>
      <c r="CO195" s="8">
        <f t="shared" si="132"/>
        <v>0</v>
      </c>
      <c r="CP195" s="8">
        <f t="shared" si="133"/>
        <v>0</v>
      </c>
      <c r="CQ195" s="8">
        <f t="shared" si="134"/>
        <v>0</v>
      </c>
      <c r="CR195" s="8">
        <f t="shared" si="135"/>
        <v>0</v>
      </c>
      <c r="CS195" s="8">
        <f t="shared" si="136"/>
        <v>0</v>
      </c>
      <c r="CT195" s="8">
        <f t="shared" si="141"/>
        <v>0</v>
      </c>
      <c r="CU195" s="8">
        <f t="shared" si="142"/>
        <v>0</v>
      </c>
      <c r="CV195" s="8">
        <f t="shared" si="143"/>
        <v>0</v>
      </c>
    </row>
    <row r="196" spans="1:100" ht="25.25" customHeight="1" thickTop="1" thickBot="1" x14ac:dyDescent="0.5">
      <c r="A196" s="32"/>
      <c r="B196" s="10"/>
      <c r="C196" s="10"/>
      <c r="D196" s="11"/>
      <c r="E196" s="10"/>
      <c r="F196" s="10"/>
      <c r="G196" s="19"/>
      <c r="H196" s="19"/>
      <c r="I196" s="19"/>
      <c r="J196" s="19"/>
      <c r="K196" s="10"/>
      <c r="L196" s="10"/>
      <c r="M196" s="10"/>
      <c r="N196" s="10"/>
      <c r="O196" s="18"/>
      <c r="P196" s="18"/>
      <c r="Q196" s="21"/>
      <c r="R196" s="20"/>
      <c r="S196" s="16">
        <f t="shared" ref="S196:S259" si="145">IF(AND(K196="asphalted",M196="sub",BV196&lt;=1,BV196&gt;0),1+2*0.15,IF(AND(K196="asphalted",OR(M196="main",M196="MOT"),BV196&lt;=1,BV196&gt;0),1+2*0.3,IF(AND(K196="asphalted",M196="sub",BV196&gt;1),BV196+2*0.15,IF(AND(K196="asphalted",OR(M196="main",M196="MOT"),BV196&gt;1),BV196+2*0.3,0))))</f>
        <v>0</v>
      </c>
      <c r="T196" s="11"/>
      <c r="AR196" s="31"/>
      <c r="AS196" s="31">
        <f t="shared" ref="AS196:AS259" si="146">IF(F196=1,0.4,IF(F196&gt;1,F196*0.3,0))</f>
        <v>0</v>
      </c>
      <c r="AT196" s="31">
        <f t="shared" ref="AT196:AT259" si="147">IF(AND(G196&lt;4,G196&gt;0),0.4,IF(G196&gt;3,0.4+(G196-3)*0.1,0))</f>
        <v>0</v>
      </c>
      <c r="AU196" s="31">
        <f t="shared" ref="AU196:AU259" si="148">AT196-AS196</f>
        <v>0</v>
      </c>
      <c r="AV196" s="31">
        <f t="shared" ref="AV196:AV259" si="149">IF(AND(OR(OR(E196="normal",E196="special"),E196="special"),F196=0,G196&gt;0,G196&lt;5),"LV"&amp;G196,IF(AND(OR(OR(E196="normal",E196="special"),E196="special"),F196=0,G196&gt;4),"LVCU",IF(AND(OR(OR(E196="normal",E196="special"),E196="special"),F196&gt;4),"MVCU",IF(AND(OR(OR(E196="normal",E196="special"),E196="special"),F196&gt;0,F196&lt;5),"MV"&amp;F196,IF(AND(E196="mini-trench",F196=1),"mini-trench MV",IF(AND(E196="mini-trench",G196&lt;3,G196&lt;&gt;0),"mini-trench LV",0))))))</f>
        <v>0</v>
      </c>
      <c r="AW196" s="31">
        <f t="shared" ref="AW196:AW259" si="150">IF(B196="joint",F196,0)+IF(C196="joint",F196,0)+IF(OR(B196="new ss",B196="ss"),F196*3)+IF(B196="pole",F196*10)+IF(OR(C196="new ss",C196="ss"),F196*3)+IF(C196="pole",F196*10)+IF(B196="grid",F196*30)+IF(C196="grid",F196*30)</f>
        <v>0</v>
      </c>
      <c r="AX196" s="31">
        <f t="shared" ref="AX196:AX259" si="151">IF(J196&gt;0,IF(OR(B196="ss",C196="ss"),J196*3,0)+IF(OR(B196="new ss",C196="new ss"),J196*3,0)+IF(OR(B196="DC",C196="DC"),J196*1.5,0)+IF(OR(B196="new DC",C196="new DC"),J196*1.5,0)+IF(OR(B196="MB",C196="MB"),J196*2,0)+IF(OR(B196="pole",C196="pole"),J196*10,0),0)</f>
        <v>0</v>
      </c>
      <c r="AY196" s="31">
        <f t="shared" ref="AY196:AY259" si="152">IF(I196&gt;0,IF(OR(B196="ss",C196="ss"),I196*3,0)+IF(OR(B196="new ss",C196="new ss"),I196*3,0)+IF(OR(B196="DC",C196="DC"),I196*1.5,0)+IF(OR(B196="new DC",C196="new DC"),J196*1.5,0)+IF(OR(B196="MB",C196="MB"),I196*2,0)+IF(OR(B196="pole",C196="pole"),I196*10,0),0)</f>
        <v>0</v>
      </c>
      <c r="AZ196" s="31">
        <f t="shared" ref="AZ196:AZ259" si="153">IF(H196&gt;0,IF(OR(B196="ss",C196="ss"),H196*3,0)+IF(OR(B196="new ss",C196="new ss"),H196*3,0)+IF(OR(B196="DC",C196="DC"),H196*2,0)+IF(OR(B196="new DC",C196="new DC"),H196*1.5,0)+IF(OR(B196="MB",C196="MB"),H196*2,0)+IF(OR(B196="pole",C196="pole"),H196*10,0)+IF(OR(B196="pole",C196="pole"),H196*10,0),0)</f>
        <v>0</v>
      </c>
      <c r="BA196" s="31">
        <f t="shared" ref="BA196:BA259" si="154">IF(E196="manual",IF(AU196&lt;0,D196*AS196*0.8,IF(AND(AS196&gt;0,AU196&gt;0),D196*AS196*0.8+D196*AU196*0.65,IF(AND(AS196=0,AT196&gt;0),D196*AT196*0.65,0))),0)</f>
        <v>0</v>
      </c>
      <c r="BB196" s="31">
        <f t="shared" si="137"/>
        <v>0</v>
      </c>
      <c r="BC196" s="31"/>
      <c r="BD196" s="31"/>
      <c r="BM196" s="8">
        <f t="shared" si="138"/>
        <v>0</v>
      </c>
      <c r="BN196" s="8">
        <f t="shared" ref="BN196:BN259" si="155">IFERROR(IF(AND(K196="asphalted",E196="mini-trench",R196=""),1*D196,IF(AND(K196="asphalted",R196&gt;0,MandRcalc="Complete M&amp;R area"),R196*D196,IF(AND(K196="asphalted",R196&gt;0,MandRcalc="M&amp;R area - asphalting area"),(R196-BR196/D196)*D196,0))),0)</f>
        <v>0</v>
      </c>
      <c r="BO196" s="8">
        <f t="shared" ref="BO196:BO259" si="156">IF(BQ196&lt;MINEXCNA,0,IF(AND(E196="normal",F196&lt;5,G196&lt;12,K196&lt;&gt;"asphalted",AT196&gt;AS196,AS196&lt;&gt;0),(BQ196-AT196)*0.65,IF(AND(E196="normal",F196&lt;5,G196&lt;12,K196&lt;&gt;"asphalted",AS196&gt;=AT196),(BQ196-AS196)*0.8,IF(AND(E196="normal",F196&lt;5,G196&lt;12,K196&lt;&gt;"asphalted",AT196&gt;0,AS196=0),(BQ196-AT196)*0.65,0)))*D196)</f>
        <v>0</v>
      </c>
      <c r="BQ196" s="8">
        <f t="shared" ref="BQ196:BQ259" si="157">IF(E196="special",O196,IF(AND(OR(E196="normal",E196="manual"),O196="",K196="asphalted",BV196&lt;=MINEXC),MINEXC,IF(AND(OR(E196="normal",E196="manual"),O196&lt;&gt;"",K196="asphalted"),MIN(O196,BV196),IF(AND(OR(E196="normal",E196="manual"),O196="",K196&lt;&gt;"asphalted",BV196&lt;=MINEXCNA),MINEXCNA,IF(AND(OR(E196="normal",E196="manual"),O196&lt;&gt;"",K196&lt;&gt;"asphalted"),MIN(O196,BV196),BV196)))))</f>
        <v>0</v>
      </c>
      <c r="BR196" s="63">
        <f t="shared" ref="BR196:BR259" si="158">IFERROR(IF(AND(E196&lt;&gt;"mini-trecnh",K196="asphalted",Q196&lt;&gt;"",S196=0),D196*Q196,IF(AND(E196&lt;&gt;"mini-trecnh",K196="asphalted",Q196&lt;&gt;"",S196&lt;&gt;0),D196*MIN(Q196,S196),IF(AND(E196&lt;&gt;"mini-trecnh",K196="asphalted",Q196=""),D196*S196,0))),0)</f>
        <v>0</v>
      </c>
      <c r="BS196" s="63">
        <f t="shared" si="139"/>
        <v>0</v>
      </c>
      <c r="BT196" s="63">
        <f t="shared" ref="BT196:BT259" si="159">IF(BQ196&lt;MINEXC,0,IF(AND(E196="normal",F196&lt;5,G196&lt;12,K196="asphalted",AT196&gt;AS196,AS196&lt;&gt;0),(BQ196-AT196)*0.65,IF(AND(E196="normal",F196&lt;5,G196&lt;12,K196="asphalted",AS196&gt;=AT196),(BQ196-AS196)*0.8,IF(AND(E196="normal",F196&lt;5,G196&lt;12,K196="asphalted",AT196&gt;0,AS196=0),(BQ196-AT196)*0.65,0)))*D196)</f>
        <v>0</v>
      </c>
      <c r="BU196" s="63">
        <f t="shared" ref="BU196:BU259" si="160">IF(E196="",0,IF(OR(BT196&gt;0,BO196&gt;0),0,IF(AND(F196&gt;4,G196=0),(BQ196-1.2)*D196*0.8,IF(AND(G196&gt;4,F196=0),(BQ196-0.4)*D196*0.65,IF(OR(AND(G196&gt;4,F196&gt;0),AND(F196&gt;4,G196&gt;0)),(IF(AS196&gt;1.2,(AS196-1.2)*D196*0.8,0)+IF(AT196&gt;AS196,(AT196-AS196)*D196*0.65,0)),0)))))</f>
        <v>0</v>
      </c>
      <c r="BV196" s="57">
        <f t="shared" ref="BV196:BV259" si="161">IF(AND(E196&lt;&gt;"mini-trench",E196&lt;&gt;"special"),MAX(AS196:AT196),0)</f>
        <v>0</v>
      </c>
      <c r="BW196" s="57">
        <f t="shared" ref="BW196:BW259" si="162">IF(AND(E196&lt;&gt;"mini-trench",E196&lt;&gt;"special",BV196&gt;0,BV196&lt;1,K196="asphalted"),IF(O196&lt;&gt;"",MIN(O196,1),1),IF(AND(E196&lt;&gt;"mini-trench",E196&lt;&gt;"special",BV196&gt;0,BV196&gt;1,K196="asphalted"),BV196,0))</f>
        <v>0</v>
      </c>
      <c r="BX196" s="57">
        <f t="shared" si="140"/>
        <v>0</v>
      </c>
      <c r="BY196" s="57">
        <f t="shared" si="144"/>
        <v>0</v>
      </c>
      <c r="BZ196" s="8">
        <f t="shared" ref="BZ196:BZ259" si="163">IF(E196="special",O196*P196*D196-D196*IF(AV196="MV1",0.8*0.4,IF(AV196="MV2",0.8*0.6,IF(AV196="MV3",0.8*0.9,IF(OR(AV196="MV4",AV196="MVCU"),0.8*1.2,IF(AV196="LV1-3",0.65*0.4,IF(OR(AV196="LV4",AV196="LVCU"),0.65*0.5)))))),0)</f>
        <v>0</v>
      </c>
      <c r="CA196" s="8">
        <f t="shared" ref="CA196:CA259" si="164">IF(AND(E196&lt;&gt;"special",K196="Paved interlock"),D196*BV196,IF(AND(E196="special",K196="Paved interlock"),D196*O196,0))</f>
        <v>0</v>
      </c>
      <c r="CB196" s="8">
        <f t="shared" ref="CB196:CB259" si="165">IF(AND(E196&lt;&gt;"special",K196="Paved conc.tiles"),D196*BV196,IF(AND(E196="special",K196="Paved conc.tiles"),D196*O196,0))</f>
        <v>0</v>
      </c>
      <c r="CC196" s="8">
        <f t="shared" ref="CC196:CC259" si="166">IF(AND(E196="special",K196="asphalted"),D196*Q196,0)</f>
        <v>0</v>
      </c>
      <c r="CD196" s="8">
        <f t="shared" ref="CD196:CD259" si="167">IF(OR(K196="Paved interlock",K196="Paved conc.tiles"),1,0)</f>
        <v>0</v>
      </c>
      <c r="CE196" s="8">
        <f t="shared" ref="CE196:CE259" si="168">IFERROR(BR196/D196,0)</f>
        <v>0</v>
      </c>
      <c r="CF196" s="8">
        <f t="shared" ref="CF196:CF259" si="169">IF(AND(F196&gt;0,B196="j transition"),F196,0)+IF(AND(F196&gt;0,C196="j transition"),F196,0)</f>
        <v>0</v>
      </c>
      <c r="CG196" s="8">
        <f t="shared" ref="CG196:CG259" si="170">IF(AND(F196&gt;0,OR(B196="grid",B196="ss",B196="pole",B196="new ss")),F196,0)+IF(AND(F196&gt;0,OR(C196="grid",C196="ss",C196="pole",C196="new ss")),F196,0)</f>
        <v>0</v>
      </c>
      <c r="CH196" s="8">
        <f t="shared" ref="CH196:CH259" si="171">IF(AND(F196&gt;0,B196="joint"),F196,0)+IF(AND(F196&gt;0,C196="joint"),F196,0)+IF(AND(F196&gt;0,B196="j transition"),F196,0)+IF(AND(F196&gt;0,C196="j transition"),F196,0)</f>
        <v>0</v>
      </c>
      <c r="CI196" s="8">
        <f t="shared" ref="CI196:CI259" si="172">IF(AND(H196&gt;0,B196="joint"),H196,0)+IF(AND(H196&gt;0,C196="joint"),H196,0)</f>
        <v>0</v>
      </c>
      <c r="CJ196" s="8">
        <f t="shared" ref="CJ196:CJ259" si="173">IF(AND(I196&gt;0,B196="joint"),I196,0)+IF(AND(I196&gt;0,C196="joint"),I196,0)</f>
        <v>0</v>
      </c>
      <c r="CK196" s="8">
        <f t="shared" ref="CK196:CK259" si="174">IF(AND(J196&gt;0,B196="joint"),J196,0)+IF(AND(J196&gt;0,C196="joint"),J196,0)</f>
        <v>0</v>
      </c>
      <c r="CL196" s="8">
        <f t="shared" ref="CL196:CL259" si="175">IF(AND(H196&gt;0,OR(B196="ss",B196="new ss",B196="DC",B196="new DC")),H196,0)+IF(AND(H196&gt;0,OR(C196="new ss",C196="ss",C196="DC",C196="new DC")),H196,0)</f>
        <v>0</v>
      </c>
      <c r="CM196" s="8">
        <f t="shared" ref="CM196:CM259" si="176">CO196+CP196</f>
        <v>0</v>
      </c>
      <c r="CN196" s="8">
        <f t="shared" ref="CN196:CN259" si="177">IF(OR(B196="new DC",C196="new DC"),H196,0)</f>
        <v>0</v>
      </c>
      <c r="CO196" s="8">
        <f t="shared" ref="CO196:CO259" si="178">IF(AND(J196&gt;0,OR(B196="ss",B196="new ss",B196="DC",B196="new DC")),J196,0)+IF(AND(J196&gt;0,OR(C196="new ss",C196="ss",C196="DC",C196="new DC")),J196,0)</f>
        <v>0</v>
      </c>
      <c r="CP196" s="8">
        <f t="shared" ref="CP196:CP259" si="179">IF(AND(I196&gt;0,OR(B196="ss",B196="new ss",B196="DC",B196="new DC")),I196,0)+IF(AND(I196&gt;0,OR(C196="new ss",C196="ss",C196="DC",C196="new DC")),I196,0)</f>
        <v>0</v>
      </c>
      <c r="CQ196" s="8">
        <f t="shared" ref="CQ196:CQ259" si="180">IF(AND(F196&gt;0,OR(B196="ss",B196="new ss")),F196,0)+IF(AND(F196&gt;0,OR(C196="ss",C196="new ss")),F196,0)</f>
        <v>0</v>
      </c>
      <c r="CR196" s="8">
        <f t="shared" ref="CR196:CR259" si="181">IF(AND(F196&gt;0,OR(B196="grid")),F196,0)+IF(AND(F196&gt;0,OR(C196="grid")),F196,0)</f>
        <v>0</v>
      </c>
      <c r="CS196" s="8">
        <f t="shared" ref="CS196:CS259" si="182">IF(AND(F196&gt;0,OR(B196="pole")),F196,0)+IF(AND(F196&gt;0,OR(C196="pole")),F196,0)</f>
        <v>0</v>
      </c>
      <c r="CT196" s="8">
        <f t="shared" si="141"/>
        <v>0</v>
      </c>
      <c r="CU196" s="8">
        <f t="shared" si="142"/>
        <v>0</v>
      </c>
      <c r="CV196" s="8">
        <f t="shared" si="143"/>
        <v>0</v>
      </c>
    </row>
    <row r="197" spans="1:100" ht="25.25" customHeight="1" thickTop="1" thickBot="1" x14ac:dyDescent="0.5">
      <c r="A197" s="32"/>
      <c r="B197" s="10"/>
      <c r="C197" s="10"/>
      <c r="D197" s="11"/>
      <c r="E197" s="10"/>
      <c r="F197" s="10"/>
      <c r="G197" s="19"/>
      <c r="H197" s="19"/>
      <c r="I197" s="19"/>
      <c r="J197" s="19"/>
      <c r="K197" s="10"/>
      <c r="L197" s="10"/>
      <c r="M197" s="10"/>
      <c r="N197" s="10"/>
      <c r="O197" s="18"/>
      <c r="P197" s="18"/>
      <c r="Q197" s="21"/>
      <c r="R197" s="20"/>
      <c r="S197" s="16">
        <f t="shared" si="145"/>
        <v>0</v>
      </c>
      <c r="T197" s="11"/>
      <c r="AR197" s="31"/>
      <c r="AS197" s="31">
        <f t="shared" si="146"/>
        <v>0</v>
      </c>
      <c r="AT197" s="31">
        <f t="shared" si="147"/>
        <v>0</v>
      </c>
      <c r="AU197" s="31">
        <f t="shared" si="148"/>
        <v>0</v>
      </c>
      <c r="AV197" s="31">
        <f t="shared" si="149"/>
        <v>0</v>
      </c>
      <c r="AW197" s="31">
        <f t="shared" si="150"/>
        <v>0</v>
      </c>
      <c r="AX197" s="31">
        <f t="shared" si="151"/>
        <v>0</v>
      </c>
      <c r="AY197" s="31">
        <f t="shared" si="152"/>
        <v>0</v>
      </c>
      <c r="AZ197" s="31">
        <f t="shared" si="153"/>
        <v>0</v>
      </c>
      <c r="BA197" s="31">
        <f t="shared" si="154"/>
        <v>0</v>
      </c>
      <c r="BB197" s="31">
        <f t="shared" ref="BB197:BB260" si="183">IFERROR(IF(BN197&gt;0,0,IF(AND(E197="normal",(BR197/D197)&gt;1),BR197,0)),0)</f>
        <v>0</v>
      </c>
      <c r="BC197" s="31"/>
      <c r="BD197" s="31"/>
      <c r="BM197" s="8">
        <f t="shared" ref="BM197:BM260" si="184">IF(AND(E197&lt;&gt;"special",K197="Concrete"),D197*BV197,IF(AND(E197="special",K197="Concrete"),D197*O197,0))</f>
        <v>0</v>
      </c>
      <c r="BN197" s="8">
        <f t="shared" si="155"/>
        <v>0</v>
      </c>
      <c r="BO197" s="8">
        <f t="shared" si="156"/>
        <v>0</v>
      </c>
      <c r="BQ197" s="8">
        <f t="shared" si="157"/>
        <v>0</v>
      </c>
      <c r="BR197" s="63">
        <f t="shared" si="158"/>
        <v>0</v>
      </c>
      <c r="BS197" s="63">
        <f t="shared" ref="BS197:BS260" si="185">BN197 + IF(BN197&gt;0,IF(R196=0, R197, 0) + IF(R198=0, R197, 0),0)</f>
        <v>0</v>
      </c>
      <c r="BT197" s="63">
        <f t="shared" si="159"/>
        <v>0</v>
      </c>
      <c r="BU197" s="63">
        <f t="shared" si="160"/>
        <v>0</v>
      </c>
      <c r="BV197" s="57">
        <f t="shared" si="161"/>
        <v>0</v>
      </c>
      <c r="BW197" s="57">
        <f t="shared" si="162"/>
        <v>0</v>
      </c>
      <c r="BX197" s="57">
        <f t="shared" ref="BX197:BX260" si="186">IF(AND(R197&gt;0,MandRcalc="Asphalting then M&amp;R"),R197*D197,IF(AND(R197&gt;0,MandRcalc="Milling then Repaving"),(R197-BR197)*D197,0))</f>
        <v>0</v>
      </c>
      <c r="BY197" s="57">
        <f t="shared" si="144"/>
        <v>0</v>
      </c>
      <c r="BZ197" s="8">
        <f t="shared" si="163"/>
        <v>0</v>
      </c>
      <c r="CA197" s="8">
        <f t="shared" si="164"/>
        <v>0</v>
      </c>
      <c r="CB197" s="8">
        <f t="shared" si="165"/>
        <v>0</v>
      </c>
      <c r="CC197" s="8">
        <f t="shared" si="166"/>
        <v>0</v>
      </c>
      <c r="CD197" s="8">
        <f t="shared" si="167"/>
        <v>0</v>
      </c>
      <c r="CE197" s="8">
        <f t="shared" si="168"/>
        <v>0</v>
      </c>
      <c r="CF197" s="8">
        <f t="shared" si="169"/>
        <v>0</v>
      </c>
      <c r="CG197" s="8">
        <f t="shared" si="170"/>
        <v>0</v>
      </c>
      <c r="CH197" s="8">
        <f t="shared" si="171"/>
        <v>0</v>
      </c>
      <c r="CI197" s="8">
        <f t="shared" si="172"/>
        <v>0</v>
      </c>
      <c r="CJ197" s="8">
        <f t="shared" si="173"/>
        <v>0</v>
      </c>
      <c r="CK197" s="8">
        <f t="shared" si="174"/>
        <v>0</v>
      </c>
      <c r="CL197" s="8">
        <f t="shared" si="175"/>
        <v>0</v>
      </c>
      <c r="CM197" s="8">
        <f t="shared" si="176"/>
        <v>0</v>
      </c>
      <c r="CN197" s="8">
        <f t="shared" si="177"/>
        <v>0</v>
      </c>
      <c r="CO197" s="8">
        <f t="shared" si="178"/>
        <v>0</v>
      </c>
      <c r="CP197" s="8">
        <f t="shared" si="179"/>
        <v>0</v>
      </c>
      <c r="CQ197" s="8">
        <f t="shared" si="180"/>
        <v>0</v>
      </c>
      <c r="CR197" s="8">
        <f t="shared" si="181"/>
        <v>0</v>
      </c>
      <c r="CS197" s="8">
        <f t="shared" si="182"/>
        <v>0</v>
      </c>
      <c r="CT197" s="8">
        <f t="shared" si="141"/>
        <v>0</v>
      </c>
      <c r="CU197" s="8">
        <f t="shared" si="142"/>
        <v>0</v>
      </c>
      <c r="CV197" s="8">
        <f t="shared" si="143"/>
        <v>0</v>
      </c>
    </row>
    <row r="198" spans="1:100" ht="25.25" customHeight="1" thickTop="1" thickBot="1" x14ac:dyDescent="0.5">
      <c r="A198" s="32"/>
      <c r="B198" s="10"/>
      <c r="C198" s="10"/>
      <c r="D198" s="11"/>
      <c r="E198" s="10"/>
      <c r="F198" s="10"/>
      <c r="G198" s="19"/>
      <c r="H198" s="19"/>
      <c r="I198" s="19"/>
      <c r="J198" s="19"/>
      <c r="K198" s="10"/>
      <c r="L198" s="10"/>
      <c r="M198" s="10"/>
      <c r="N198" s="10"/>
      <c r="O198" s="18"/>
      <c r="P198" s="18"/>
      <c r="Q198" s="21"/>
      <c r="R198" s="20"/>
      <c r="S198" s="16">
        <f t="shared" si="145"/>
        <v>0</v>
      </c>
      <c r="T198" s="11"/>
      <c r="AR198" s="31"/>
      <c r="AS198" s="31">
        <f t="shared" si="146"/>
        <v>0</v>
      </c>
      <c r="AT198" s="31">
        <f t="shared" si="147"/>
        <v>0</v>
      </c>
      <c r="AU198" s="31">
        <f t="shared" si="148"/>
        <v>0</v>
      </c>
      <c r="AV198" s="31">
        <f t="shared" si="149"/>
        <v>0</v>
      </c>
      <c r="AW198" s="31">
        <f t="shared" si="150"/>
        <v>0</v>
      </c>
      <c r="AX198" s="31">
        <f t="shared" si="151"/>
        <v>0</v>
      </c>
      <c r="AY198" s="31">
        <f t="shared" si="152"/>
        <v>0</v>
      </c>
      <c r="AZ198" s="31">
        <f t="shared" si="153"/>
        <v>0</v>
      </c>
      <c r="BA198" s="31">
        <f t="shared" si="154"/>
        <v>0</v>
      </c>
      <c r="BB198" s="31">
        <f t="shared" si="183"/>
        <v>0</v>
      </c>
      <c r="BC198" s="31"/>
      <c r="BD198" s="31"/>
      <c r="BM198" s="8">
        <f t="shared" si="184"/>
        <v>0</v>
      </c>
      <c r="BN198" s="8">
        <f t="shared" si="155"/>
        <v>0</v>
      </c>
      <c r="BO198" s="8">
        <f t="shared" si="156"/>
        <v>0</v>
      </c>
      <c r="BQ198" s="8">
        <f t="shared" si="157"/>
        <v>0</v>
      </c>
      <c r="BR198" s="63">
        <f t="shared" si="158"/>
        <v>0</v>
      </c>
      <c r="BS198" s="63">
        <f t="shared" si="185"/>
        <v>0</v>
      </c>
      <c r="BT198" s="63">
        <f t="shared" si="159"/>
        <v>0</v>
      </c>
      <c r="BU198" s="63">
        <f t="shared" si="160"/>
        <v>0</v>
      </c>
      <c r="BV198" s="57">
        <f t="shared" si="161"/>
        <v>0</v>
      </c>
      <c r="BW198" s="57">
        <f t="shared" si="162"/>
        <v>0</v>
      </c>
      <c r="BX198" s="57">
        <f t="shared" si="186"/>
        <v>0</v>
      </c>
      <c r="BY198" s="57">
        <f t="shared" si="144"/>
        <v>0</v>
      </c>
      <c r="BZ198" s="8">
        <f t="shared" si="163"/>
        <v>0</v>
      </c>
      <c r="CA198" s="8">
        <f t="shared" si="164"/>
        <v>0</v>
      </c>
      <c r="CB198" s="8">
        <f t="shared" si="165"/>
        <v>0</v>
      </c>
      <c r="CC198" s="8">
        <f t="shared" si="166"/>
        <v>0</v>
      </c>
      <c r="CD198" s="8">
        <f t="shared" si="167"/>
        <v>0</v>
      </c>
      <c r="CE198" s="8">
        <f t="shared" si="168"/>
        <v>0</v>
      </c>
      <c r="CF198" s="8">
        <f t="shared" si="169"/>
        <v>0</v>
      </c>
      <c r="CG198" s="8">
        <f t="shared" si="170"/>
        <v>0</v>
      </c>
      <c r="CH198" s="8">
        <f t="shared" si="171"/>
        <v>0</v>
      </c>
      <c r="CI198" s="8">
        <f t="shared" si="172"/>
        <v>0</v>
      </c>
      <c r="CJ198" s="8">
        <f t="shared" si="173"/>
        <v>0</v>
      </c>
      <c r="CK198" s="8">
        <f t="shared" si="174"/>
        <v>0</v>
      </c>
      <c r="CL198" s="8">
        <f t="shared" si="175"/>
        <v>0</v>
      </c>
      <c r="CM198" s="8">
        <f t="shared" si="176"/>
        <v>0</v>
      </c>
      <c r="CN198" s="8">
        <f t="shared" si="177"/>
        <v>0</v>
      </c>
      <c r="CO198" s="8">
        <f t="shared" si="178"/>
        <v>0</v>
      </c>
      <c r="CP198" s="8">
        <f t="shared" si="179"/>
        <v>0</v>
      </c>
      <c r="CQ198" s="8">
        <f t="shared" si="180"/>
        <v>0</v>
      </c>
      <c r="CR198" s="8">
        <f t="shared" si="181"/>
        <v>0</v>
      </c>
      <c r="CS198" s="8">
        <f t="shared" si="182"/>
        <v>0</v>
      </c>
      <c r="CT198" s="8">
        <f t="shared" si="141"/>
        <v>0</v>
      </c>
      <c r="CU198" s="8">
        <f t="shared" si="142"/>
        <v>0</v>
      </c>
      <c r="CV198" s="8">
        <f t="shared" si="143"/>
        <v>0</v>
      </c>
    </row>
    <row r="199" spans="1:100" ht="25.25" customHeight="1" thickTop="1" thickBot="1" x14ac:dyDescent="0.5">
      <c r="A199" s="32"/>
      <c r="B199" s="10"/>
      <c r="C199" s="10"/>
      <c r="D199" s="11"/>
      <c r="E199" s="10"/>
      <c r="F199" s="10"/>
      <c r="G199" s="19"/>
      <c r="H199" s="19"/>
      <c r="I199" s="19"/>
      <c r="J199" s="19"/>
      <c r="K199" s="10"/>
      <c r="L199" s="10"/>
      <c r="M199" s="10"/>
      <c r="N199" s="10"/>
      <c r="O199" s="18"/>
      <c r="P199" s="18"/>
      <c r="Q199" s="21"/>
      <c r="R199" s="20"/>
      <c r="S199" s="16">
        <f t="shared" si="145"/>
        <v>0</v>
      </c>
      <c r="T199" s="11"/>
      <c r="AR199" s="31"/>
      <c r="AS199" s="31">
        <f t="shared" si="146"/>
        <v>0</v>
      </c>
      <c r="AT199" s="31">
        <f t="shared" si="147"/>
        <v>0</v>
      </c>
      <c r="AU199" s="31">
        <f t="shared" si="148"/>
        <v>0</v>
      </c>
      <c r="AV199" s="31">
        <f t="shared" si="149"/>
        <v>0</v>
      </c>
      <c r="AW199" s="31">
        <f t="shared" si="150"/>
        <v>0</v>
      </c>
      <c r="AX199" s="31">
        <f t="shared" si="151"/>
        <v>0</v>
      </c>
      <c r="AY199" s="31">
        <f t="shared" si="152"/>
        <v>0</v>
      </c>
      <c r="AZ199" s="31">
        <f t="shared" si="153"/>
        <v>0</v>
      </c>
      <c r="BA199" s="31">
        <f t="shared" si="154"/>
        <v>0</v>
      </c>
      <c r="BB199" s="31">
        <f t="shared" si="183"/>
        <v>0</v>
      </c>
      <c r="BC199" s="31"/>
      <c r="BD199" s="31"/>
      <c r="BM199" s="8">
        <f t="shared" si="184"/>
        <v>0</v>
      </c>
      <c r="BN199" s="8">
        <f t="shared" si="155"/>
        <v>0</v>
      </c>
      <c r="BO199" s="8">
        <f t="shared" si="156"/>
        <v>0</v>
      </c>
      <c r="BQ199" s="8">
        <f t="shared" si="157"/>
        <v>0</v>
      </c>
      <c r="BR199" s="63">
        <f t="shared" si="158"/>
        <v>0</v>
      </c>
      <c r="BS199" s="63">
        <f t="shared" si="185"/>
        <v>0</v>
      </c>
      <c r="BT199" s="63">
        <f t="shared" si="159"/>
        <v>0</v>
      </c>
      <c r="BU199" s="63">
        <f t="shared" si="160"/>
        <v>0</v>
      </c>
      <c r="BV199" s="57">
        <f t="shared" si="161"/>
        <v>0</v>
      </c>
      <c r="BW199" s="57">
        <f t="shared" si="162"/>
        <v>0</v>
      </c>
      <c r="BX199" s="57">
        <f t="shared" si="186"/>
        <v>0</v>
      </c>
      <c r="BY199" s="57">
        <f t="shared" si="144"/>
        <v>0</v>
      </c>
      <c r="BZ199" s="8">
        <f t="shared" si="163"/>
        <v>0</v>
      </c>
      <c r="CA199" s="8">
        <f t="shared" si="164"/>
        <v>0</v>
      </c>
      <c r="CB199" s="8">
        <f t="shared" si="165"/>
        <v>0</v>
      </c>
      <c r="CC199" s="8">
        <f t="shared" si="166"/>
        <v>0</v>
      </c>
      <c r="CD199" s="8">
        <f t="shared" si="167"/>
        <v>0</v>
      </c>
      <c r="CE199" s="8">
        <f t="shared" si="168"/>
        <v>0</v>
      </c>
      <c r="CF199" s="8">
        <f t="shared" si="169"/>
        <v>0</v>
      </c>
      <c r="CG199" s="8">
        <f t="shared" si="170"/>
        <v>0</v>
      </c>
      <c r="CH199" s="8">
        <f t="shared" si="171"/>
        <v>0</v>
      </c>
      <c r="CI199" s="8">
        <f t="shared" si="172"/>
        <v>0</v>
      </c>
      <c r="CJ199" s="8">
        <f t="shared" si="173"/>
        <v>0</v>
      </c>
      <c r="CK199" s="8">
        <f t="shared" si="174"/>
        <v>0</v>
      </c>
      <c r="CL199" s="8">
        <f t="shared" si="175"/>
        <v>0</v>
      </c>
      <c r="CM199" s="8">
        <f t="shared" si="176"/>
        <v>0</v>
      </c>
      <c r="CN199" s="8">
        <f t="shared" si="177"/>
        <v>0</v>
      </c>
      <c r="CO199" s="8">
        <f t="shared" si="178"/>
        <v>0</v>
      </c>
      <c r="CP199" s="8">
        <f t="shared" si="179"/>
        <v>0</v>
      </c>
      <c r="CQ199" s="8">
        <f t="shared" si="180"/>
        <v>0</v>
      </c>
      <c r="CR199" s="8">
        <f t="shared" si="181"/>
        <v>0</v>
      </c>
      <c r="CS199" s="8">
        <f t="shared" si="182"/>
        <v>0</v>
      </c>
      <c r="CT199" s="8">
        <f t="shared" si="141"/>
        <v>0</v>
      </c>
      <c r="CU199" s="8">
        <f t="shared" si="142"/>
        <v>0</v>
      </c>
      <c r="CV199" s="8">
        <f t="shared" si="143"/>
        <v>0</v>
      </c>
    </row>
    <row r="200" spans="1:100" ht="25.25" customHeight="1" thickTop="1" thickBot="1" x14ac:dyDescent="0.5">
      <c r="A200" s="32"/>
      <c r="B200" s="10"/>
      <c r="C200" s="10"/>
      <c r="D200" s="11"/>
      <c r="E200" s="10"/>
      <c r="F200" s="10"/>
      <c r="G200" s="19"/>
      <c r="H200" s="19"/>
      <c r="I200" s="19"/>
      <c r="J200" s="19"/>
      <c r="K200" s="10"/>
      <c r="L200" s="10"/>
      <c r="M200" s="10"/>
      <c r="N200" s="10"/>
      <c r="O200" s="18"/>
      <c r="P200" s="18"/>
      <c r="Q200" s="21"/>
      <c r="R200" s="20"/>
      <c r="S200" s="16">
        <f t="shared" si="145"/>
        <v>0</v>
      </c>
      <c r="T200" s="11"/>
      <c r="AR200" s="31"/>
      <c r="AS200" s="31">
        <f t="shared" si="146"/>
        <v>0</v>
      </c>
      <c r="AT200" s="31">
        <f t="shared" si="147"/>
        <v>0</v>
      </c>
      <c r="AU200" s="31">
        <f t="shared" si="148"/>
        <v>0</v>
      </c>
      <c r="AV200" s="31">
        <f t="shared" si="149"/>
        <v>0</v>
      </c>
      <c r="AW200" s="31">
        <f t="shared" si="150"/>
        <v>0</v>
      </c>
      <c r="AX200" s="31">
        <f t="shared" si="151"/>
        <v>0</v>
      </c>
      <c r="AY200" s="31">
        <f t="shared" si="152"/>
        <v>0</v>
      </c>
      <c r="AZ200" s="31">
        <f t="shared" si="153"/>
        <v>0</v>
      </c>
      <c r="BA200" s="31">
        <f t="shared" si="154"/>
        <v>0</v>
      </c>
      <c r="BB200" s="31">
        <f t="shared" si="183"/>
        <v>0</v>
      </c>
      <c r="BC200" s="31"/>
      <c r="BD200" s="31"/>
      <c r="BM200" s="8">
        <f t="shared" si="184"/>
        <v>0</v>
      </c>
      <c r="BN200" s="8">
        <f t="shared" si="155"/>
        <v>0</v>
      </c>
      <c r="BO200" s="8">
        <f t="shared" si="156"/>
        <v>0</v>
      </c>
      <c r="BQ200" s="8">
        <f t="shared" si="157"/>
        <v>0</v>
      </c>
      <c r="BR200" s="63">
        <f t="shared" si="158"/>
        <v>0</v>
      </c>
      <c r="BS200" s="63">
        <f t="shared" si="185"/>
        <v>0</v>
      </c>
      <c r="BT200" s="63">
        <f t="shared" si="159"/>
        <v>0</v>
      </c>
      <c r="BU200" s="63">
        <f t="shared" si="160"/>
        <v>0</v>
      </c>
      <c r="BV200" s="57">
        <f t="shared" si="161"/>
        <v>0</v>
      </c>
      <c r="BW200" s="57">
        <f t="shared" si="162"/>
        <v>0</v>
      </c>
      <c r="BX200" s="57">
        <f t="shared" si="186"/>
        <v>0</v>
      </c>
      <c r="BY200" s="57">
        <f t="shared" si="144"/>
        <v>0</v>
      </c>
      <c r="BZ200" s="8">
        <f t="shared" si="163"/>
        <v>0</v>
      </c>
      <c r="CA200" s="8">
        <f t="shared" si="164"/>
        <v>0</v>
      </c>
      <c r="CB200" s="8">
        <f t="shared" si="165"/>
        <v>0</v>
      </c>
      <c r="CC200" s="8">
        <f t="shared" si="166"/>
        <v>0</v>
      </c>
      <c r="CD200" s="8">
        <f t="shared" si="167"/>
        <v>0</v>
      </c>
      <c r="CE200" s="8">
        <f t="shared" si="168"/>
        <v>0</v>
      </c>
      <c r="CF200" s="8">
        <f t="shared" si="169"/>
        <v>0</v>
      </c>
      <c r="CG200" s="8">
        <f t="shared" si="170"/>
        <v>0</v>
      </c>
      <c r="CH200" s="8">
        <f t="shared" si="171"/>
        <v>0</v>
      </c>
      <c r="CI200" s="8">
        <f t="shared" si="172"/>
        <v>0</v>
      </c>
      <c r="CJ200" s="8">
        <f t="shared" si="173"/>
        <v>0</v>
      </c>
      <c r="CK200" s="8">
        <f t="shared" si="174"/>
        <v>0</v>
      </c>
      <c r="CL200" s="8">
        <f t="shared" si="175"/>
        <v>0</v>
      </c>
      <c r="CM200" s="8">
        <f t="shared" si="176"/>
        <v>0</v>
      </c>
      <c r="CN200" s="8">
        <f t="shared" si="177"/>
        <v>0</v>
      </c>
      <c r="CO200" s="8">
        <f t="shared" si="178"/>
        <v>0</v>
      </c>
      <c r="CP200" s="8">
        <f t="shared" si="179"/>
        <v>0</v>
      </c>
      <c r="CQ200" s="8">
        <f t="shared" si="180"/>
        <v>0</v>
      </c>
      <c r="CR200" s="8">
        <f t="shared" si="181"/>
        <v>0</v>
      </c>
      <c r="CS200" s="8">
        <f t="shared" si="182"/>
        <v>0</v>
      </c>
      <c r="CT200" s="8">
        <f t="shared" si="141"/>
        <v>0</v>
      </c>
      <c r="CU200" s="8">
        <f t="shared" si="142"/>
        <v>0</v>
      </c>
      <c r="CV200" s="8">
        <f t="shared" si="143"/>
        <v>0</v>
      </c>
    </row>
    <row r="201" spans="1:100" ht="25.25" customHeight="1" thickTop="1" thickBot="1" x14ac:dyDescent="0.5">
      <c r="A201" s="32"/>
      <c r="B201" s="10"/>
      <c r="C201" s="10"/>
      <c r="D201" s="11"/>
      <c r="E201" s="10"/>
      <c r="F201" s="10"/>
      <c r="G201" s="19"/>
      <c r="H201" s="19"/>
      <c r="I201" s="19"/>
      <c r="J201" s="19"/>
      <c r="K201" s="10"/>
      <c r="L201" s="10"/>
      <c r="M201" s="10"/>
      <c r="N201" s="10"/>
      <c r="O201" s="18"/>
      <c r="P201" s="18"/>
      <c r="Q201" s="21"/>
      <c r="R201" s="20"/>
      <c r="S201" s="16">
        <f t="shared" si="145"/>
        <v>0</v>
      </c>
      <c r="T201" s="11"/>
      <c r="AR201" s="31"/>
      <c r="AS201" s="31">
        <f t="shared" si="146"/>
        <v>0</v>
      </c>
      <c r="AT201" s="31">
        <f t="shared" si="147"/>
        <v>0</v>
      </c>
      <c r="AU201" s="31">
        <f t="shared" si="148"/>
        <v>0</v>
      </c>
      <c r="AV201" s="31">
        <f t="shared" si="149"/>
        <v>0</v>
      </c>
      <c r="AW201" s="31">
        <f t="shared" si="150"/>
        <v>0</v>
      </c>
      <c r="AX201" s="31">
        <f t="shared" si="151"/>
        <v>0</v>
      </c>
      <c r="AY201" s="31">
        <f t="shared" si="152"/>
        <v>0</v>
      </c>
      <c r="AZ201" s="31">
        <f t="shared" si="153"/>
        <v>0</v>
      </c>
      <c r="BA201" s="31">
        <f t="shared" si="154"/>
        <v>0</v>
      </c>
      <c r="BB201" s="31">
        <f t="shared" si="183"/>
        <v>0</v>
      </c>
      <c r="BC201" s="31"/>
      <c r="BD201" s="31"/>
      <c r="BM201" s="8">
        <f t="shared" si="184"/>
        <v>0</v>
      </c>
      <c r="BN201" s="8">
        <f t="shared" si="155"/>
        <v>0</v>
      </c>
      <c r="BO201" s="8">
        <f t="shared" si="156"/>
        <v>0</v>
      </c>
      <c r="BQ201" s="8">
        <f t="shared" si="157"/>
        <v>0</v>
      </c>
      <c r="BR201" s="63">
        <f t="shared" si="158"/>
        <v>0</v>
      </c>
      <c r="BS201" s="63">
        <f t="shared" si="185"/>
        <v>0</v>
      </c>
      <c r="BT201" s="63">
        <f t="shared" si="159"/>
        <v>0</v>
      </c>
      <c r="BU201" s="63">
        <f t="shared" si="160"/>
        <v>0</v>
      </c>
      <c r="BV201" s="57">
        <f t="shared" si="161"/>
        <v>0</v>
      </c>
      <c r="BW201" s="57">
        <f t="shared" si="162"/>
        <v>0</v>
      </c>
      <c r="BX201" s="57">
        <f t="shared" si="186"/>
        <v>0</v>
      </c>
      <c r="BY201" s="57">
        <f t="shared" si="144"/>
        <v>0</v>
      </c>
      <c r="BZ201" s="8">
        <f t="shared" si="163"/>
        <v>0</v>
      </c>
      <c r="CA201" s="8">
        <f t="shared" si="164"/>
        <v>0</v>
      </c>
      <c r="CB201" s="8">
        <f t="shared" si="165"/>
        <v>0</v>
      </c>
      <c r="CC201" s="8">
        <f t="shared" si="166"/>
        <v>0</v>
      </c>
      <c r="CD201" s="8">
        <f t="shared" si="167"/>
        <v>0</v>
      </c>
      <c r="CE201" s="8">
        <f t="shared" si="168"/>
        <v>0</v>
      </c>
      <c r="CF201" s="8">
        <f t="shared" si="169"/>
        <v>0</v>
      </c>
      <c r="CG201" s="8">
        <f t="shared" si="170"/>
        <v>0</v>
      </c>
      <c r="CH201" s="8">
        <f t="shared" si="171"/>
        <v>0</v>
      </c>
      <c r="CI201" s="8">
        <f t="shared" si="172"/>
        <v>0</v>
      </c>
      <c r="CJ201" s="8">
        <f t="shared" si="173"/>
        <v>0</v>
      </c>
      <c r="CK201" s="8">
        <f t="shared" si="174"/>
        <v>0</v>
      </c>
      <c r="CL201" s="8">
        <f t="shared" si="175"/>
        <v>0</v>
      </c>
      <c r="CM201" s="8">
        <f t="shared" si="176"/>
        <v>0</v>
      </c>
      <c r="CN201" s="8">
        <f t="shared" si="177"/>
        <v>0</v>
      </c>
      <c r="CO201" s="8">
        <f t="shared" si="178"/>
        <v>0</v>
      </c>
      <c r="CP201" s="8">
        <f t="shared" si="179"/>
        <v>0</v>
      </c>
      <c r="CQ201" s="8">
        <f t="shared" si="180"/>
        <v>0</v>
      </c>
      <c r="CR201" s="8">
        <f t="shared" si="181"/>
        <v>0</v>
      </c>
      <c r="CS201" s="8">
        <f t="shared" si="182"/>
        <v>0</v>
      </c>
      <c r="CT201" s="8">
        <f t="shared" si="141"/>
        <v>0</v>
      </c>
      <c r="CU201" s="8">
        <f t="shared" si="142"/>
        <v>0</v>
      </c>
      <c r="CV201" s="8">
        <f t="shared" si="143"/>
        <v>0</v>
      </c>
    </row>
    <row r="202" spans="1:100" ht="25.25" customHeight="1" thickTop="1" thickBot="1" x14ac:dyDescent="0.5">
      <c r="A202" s="32"/>
      <c r="B202" s="10"/>
      <c r="C202" s="10"/>
      <c r="D202" s="11"/>
      <c r="E202" s="10"/>
      <c r="F202" s="10"/>
      <c r="G202" s="19"/>
      <c r="H202" s="19"/>
      <c r="I202" s="19"/>
      <c r="J202" s="19"/>
      <c r="K202" s="10"/>
      <c r="L202" s="10"/>
      <c r="M202" s="10"/>
      <c r="N202" s="10"/>
      <c r="O202" s="18"/>
      <c r="P202" s="18"/>
      <c r="Q202" s="21"/>
      <c r="R202" s="20"/>
      <c r="S202" s="16">
        <f t="shared" si="145"/>
        <v>0</v>
      </c>
      <c r="T202" s="11"/>
      <c r="AR202" s="31"/>
      <c r="AS202" s="31">
        <f t="shared" si="146"/>
        <v>0</v>
      </c>
      <c r="AT202" s="31">
        <f t="shared" si="147"/>
        <v>0</v>
      </c>
      <c r="AU202" s="31">
        <f t="shared" si="148"/>
        <v>0</v>
      </c>
      <c r="AV202" s="31">
        <f t="shared" si="149"/>
        <v>0</v>
      </c>
      <c r="AW202" s="31">
        <f t="shared" si="150"/>
        <v>0</v>
      </c>
      <c r="AX202" s="31">
        <f t="shared" si="151"/>
        <v>0</v>
      </c>
      <c r="AY202" s="31">
        <f t="shared" si="152"/>
        <v>0</v>
      </c>
      <c r="AZ202" s="31">
        <f t="shared" si="153"/>
        <v>0</v>
      </c>
      <c r="BA202" s="31">
        <f t="shared" si="154"/>
        <v>0</v>
      </c>
      <c r="BB202" s="31">
        <f t="shared" si="183"/>
        <v>0</v>
      </c>
      <c r="BC202" s="31"/>
      <c r="BD202" s="31"/>
      <c r="BM202" s="8">
        <f t="shared" si="184"/>
        <v>0</v>
      </c>
      <c r="BN202" s="8">
        <f t="shared" si="155"/>
        <v>0</v>
      </c>
      <c r="BO202" s="8">
        <f t="shared" si="156"/>
        <v>0</v>
      </c>
      <c r="BQ202" s="8">
        <f t="shared" si="157"/>
        <v>0</v>
      </c>
      <c r="BR202" s="63">
        <f t="shared" si="158"/>
        <v>0</v>
      </c>
      <c r="BS202" s="63">
        <f t="shared" si="185"/>
        <v>0</v>
      </c>
      <c r="BT202" s="63">
        <f t="shared" si="159"/>
        <v>0</v>
      </c>
      <c r="BU202" s="63">
        <f t="shared" si="160"/>
        <v>0</v>
      </c>
      <c r="BV202" s="57">
        <f t="shared" si="161"/>
        <v>0</v>
      </c>
      <c r="BW202" s="57">
        <f t="shared" si="162"/>
        <v>0</v>
      </c>
      <c r="BX202" s="57">
        <f t="shared" si="186"/>
        <v>0</v>
      </c>
      <c r="BY202" s="57">
        <f t="shared" si="144"/>
        <v>0</v>
      </c>
      <c r="BZ202" s="8">
        <f t="shared" si="163"/>
        <v>0</v>
      </c>
      <c r="CA202" s="8">
        <f t="shared" si="164"/>
        <v>0</v>
      </c>
      <c r="CB202" s="8">
        <f t="shared" si="165"/>
        <v>0</v>
      </c>
      <c r="CC202" s="8">
        <f t="shared" si="166"/>
        <v>0</v>
      </c>
      <c r="CD202" s="8">
        <f t="shared" si="167"/>
        <v>0</v>
      </c>
      <c r="CE202" s="8">
        <f t="shared" si="168"/>
        <v>0</v>
      </c>
      <c r="CF202" s="8">
        <f t="shared" si="169"/>
        <v>0</v>
      </c>
      <c r="CG202" s="8">
        <f t="shared" si="170"/>
        <v>0</v>
      </c>
      <c r="CH202" s="8">
        <f t="shared" si="171"/>
        <v>0</v>
      </c>
      <c r="CI202" s="8">
        <f t="shared" si="172"/>
        <v>0</v>
      </c>
      <c r="CJ202" s="8">
        <f t="shared" si="173"/>
        <v>0</v>
      </c>
      <c r="CK202" s="8">
        <f t="shared" si="174"/>
        <v>0</v>
      </c>
      <c r="CL202" s="8">
        <f t="shared" si="175"/>
        <v>0</v>
      </c>
      <c r="CM202" s="8">
        <f t="shared" si="176"/>
        <v>0</v>
      </c>
      <c r="CN202" s="8">
        <f t="shared" si="177"/>
        <v>0</v>
      </c>
      <c r="CO202" s="8">
        <f t="shared" si="178"/>
        <v>0</v>
      </c>
      <c r="CP202" s="8">
        <f t="shared" si="179"/>
        <v>0</v>
      </c>
      <c r="CQ202" s="8">
        <f t="shared" si="180"/>
        <v>0</v>
      </c>
      <c r="CR202" s="8">
        <f t="shared" si="181"/>
        <v>0</v>
      </c>
      <c r="CS202" s="8">
        <f t="shared" si="182"/>
        <v>0</v>
      </c>
      <c r="CT202" s="8">
        <f t="shared" si="141"/>
        <v>0</v>
      </c>
      <c r="CU202" s="8">
        <f t="shared" si="142"/>
        <v>0</v>
      </c>
      <c r="CV202" s="8">
        <f t="shared" si="143"/>
        <v>0</v>
      </c>
    </row>
    <row r="203" spans="1:100" ht="25.25" customHeight="1" thickTop="1" thickBot="1" x14ac:dyDescent="0.5">
      <c r="A203" s="32"/>
      <c r="B203" s="10"/>
      <c r="C203" s="10"/>
      <c r="D203" s="11"/>
      <c r="E203" s="10"/>
      <c r="F203" s="10"/>
      <c r="G203" s="19"/>
      <c r="H203" s="19"/>
      <c r="I203" s="19"/>
      <c r="J203" s="19"/>
      <c r="K203" s="10"/>
      <c r="L203" s="10"/>
      <c r="M203" s="10"/>
      <c r="N203" s="10"/>
      <c r="O203" s="18"/>
      <c r="P203" s="18"/>
      <c r="Q203" s="21"/>
      <c r="R203" s="20"/>
      <c r="S203" s="16">
        <f t="shared" si="145"/>
        <v>0</v>
      </c>
      <c r="T203" s="11"/>
      <c r="AR203" s="31"/>
      <c r="AS203" s="31">
        <f t="shared" si="146"/>
        <v>0</v>
      </c>
      <c r="AT203" s="31">
        <f t="shared" si="147"/>
        <v>0</v>
      </c>
      <c r="AU203" s="31">
        <f t="shared" si="148"/>
        <v>0</v>
      </c>
      <c r="AV203" s="31">
        <f t="shared" si="149"/>
        <v>0</v>
      </c>
      <c r="AW203" s="31">
        <f t="shared" si="150"/>
        <v>0</v>
      </c>
      <c r="AX203" s="31">
        <f t="shared" si="151"/>
        <v>0</v>
      </c>
      <c r="AY203" s="31">
        <f t="shared" si="152"/>
        <v>0</v>
      </c>
      <c r="AZ203" s="31">
        <f t="shared" si="153"/>
        <v>0</v>
      </c>
      <c r="BA203" s="31">
        <f t="shared" si="154"/>
        <v>0</v>
      </c>
      <c r="BB203" s="31">
        <f t="shared" si="183"/>
        <v>0</v>
      </c>
      <c r="BC203" s="31"/>
      <c r="BD203" s="31"/>
      <c r="BM203" s="8">
        <f t="shared" si="184"/>
        <v>0</v>
      </c>
      <c r="BN203" s="8">
        <f t="shared" si="155"/>
        <v>0</v>
      </c>
      <c r="BO203" s="8">
        <f t="shared" si="156"/>
        <v>0</v>
      </c>
      <c r="BQ203" s="8">
        <f t="shared" si="157"/>
        <v>0</v>
      </c>
      <c r="BR203" s="63">
        <f t="shared" si="158"/>
        <v>0</v>
      </c>
      <c r="BS203" s="63">
        <f t="shared" si="185"/>
        <v>0</v>
      </c>
      <c r="BT203" s="63">
        <f t="shared" si="159"/>
        <v>0</v>
      </c>
      <c r="BU203" s="63">
        <f t="shared" si="160"/>
        <v>0</v>
      </c>
      <c r="BV203" s="57">
        <f t="shared" si="161"/>
        <v>0</v>
      </c>
      <c r="BW203" s="57">
        <f t="shared" si="162"/>
        <v>0</v>
      </c>
      <c r="BX203" s="57">
        <f t="shared" si="186"/>
        <v>0</v>
      </c>
      <c r="BY203" s="57">
        <f t="shared" si="144"/>
        <v>0</v>
      </c>
      <c r="BZ203" s="8">
        <f t="shared" si="163"/>
        <v>0</v>
      </c>
      <c r="CA203" s="8">
        <f t="shared" si="164"/>
        <v>0</v>
      </c>
      <c r="CB203" s="8">
        <f t="shared" si="165"/>
        <v>0</v>
      </c>
      <c r="CC203" s="8">
        <f t="shared" si="166"/>
        <v>0</v>
      </c>
      <c r="CD203" s="8">
        <f t="shared" si="167"/>
        <v>0</v>
      </c>
      <c r="CE203" s="8">
        <f t="shared" si="168"/>
        <v>0</v>
      </c>
      <c r="CF203" s="8">
        <f t="shared" si="169"/>
        <v>0</v>
      </c>
      <c r="CG203" s="8">
        <f t="shared" si="170"/>
        <v>0</v>
      </c>
      <c r="CH203" s="8">
        <f t="shared" si="171"/>
        <v>0</v>
      </c>
      <c r="CI203" s="8">
        <f t="shared" si="172"/>
        <v>0</v>
      </c>
      <c r="CJ203" s="8">
        <f t="shared" si="173"/>
        <v>0</v>
      </c>
      <c r="CK203" s="8">
        <f t="shared" si="174"/>
        <v>0</v>
      </c>
      <c r="CL203" s="8">
        <f t="shared" si="175"/>
        <v>0</v>
      </c>
      <c r="CM203" s="8">
        <f t="shared" si="176"/>
        <v>0</v>
      </c>
      <c r="CN203" s="8">
        <f t="shared" si="177"/>
        <v>0</v>
      </c>
      <c r="CO203" s="8">
        <f t="shared" si="178"/>
        <v>0</v>
      </c>
      <c r="CP203" s="8">
        <f t="shared" si="179"/>
        <v>0</v>
      </c>
      <c r="CQ203" s="8">
        <f t="shared" si="180"/>
        <v>0</v>
      </c>
      <c r="CR203" s="8">
        <f t="shared" si="181"/>
        <v>0</v>
      </c>
      <c r="CS203" s="8">
        <f t="shared" si="182"/>
        <v>0</v>
      </c>
      <c r="CT203" s="8">
        <f t="shared" si="141"/>
        <v>0</v>
      </c>
      <c r="CU203" s="8">
        <f t="shared" si="142"/>
        <v>0</v>
      </c>
      <c r="CV203" s="8">
        <f t="shared" si="143"/>
        <v>0</v>
      </c>
    </row>
    <row r="204" spans="1:100" ht="25.25" customHeight="1" thickTop="1" thickBot="1" x14ac:dyDescent="0.5">
      <c r="A204" s="32"/>
      <c r="B204" s="10"/>
      <c r="C204" s="10"/>
      <c r="D204" s="11"/>
      <c r="E204" s="10"/>
      <c r="F204" s="10"/>
      <c r="G204" s="19"/>
      <c r="H204" s="19"/>
      <c r="I204" s="19"/>
      <c r="J204" s="19"/>
      <c r="K204" s="10"/>
      <c r="L204" s="10"/>
      <c r="M204" s="10"/>
      <c r="N204" s="10"/>
      <c r="O204" s="18"/>
      <c r="P204" s="18"/>
      <c r="Q204" s="21"/>
      <c r="R204" s="20"/>
      <c r="S204" s="16">
        <f t="shared" si="145"/>
        <v>0</v>
      </c>
      <c r="T204" s="11"/>
      <c r="AR204" s="31"/>
      <c r="AS204" s="31">
        <f t="shared" si="146"/>
        <v>0</v>
      </c>
      <c r="AT204" s="31">
        <f t="shared" si="147"/>
        <v>0</v>
      </c>
      <c r="AU204" s="31">
        <f t="shared" si="148"/>
        <v>0</v>
      </c>
      <c r="AV204" s="31">
        <f t="shared" si="149"/>
        <v>0</v>
      </c>
      <c r="AW204" s="31">
        <f t="shared" si="150"/>
        <v>0</v>
      </c>
      <c r="AX204" s="31">
        <f t="shared" si="151"/>
        <v>0</v>
      </c>
      <c r="AY204" s="31">
        <f t="shared" si="152"/>
        <v>0</v>
      </c>
      <c r="AZ204" s="31">
        <f t="shared" si="153"/>
        <v>0</v>
      </c>
      <c r="BA204" s="31">
        <f t="shared" si="154"/>
        <v>0</v>
      </c>
      <c r="BB204" s="31">
        <f t="shared" si="183"/>
        <v>0</v>
      </c>
      <c r="BC204" s="31"/>
      <c r="BD204" s="31"/>
      <c r="BM204" s="8">
        <f t="shared" si="184"/>
        <v>0</v>
      </c>
      <c r="BN204" s="8">
        <f t="shared" si="155"/>
        <v>0</v>
      </c>
      <c r="BO204" s="8">
        <f t="shared" si="156"/>
        <v>0</v>
      </c>
      <c r="BQ204" s="8">
        <f t="shared" si="157"/>
        <v>0</v>
      </c>
      <c r="BR204" s="63">
        <f t="shared" si="158"/>
        <v>0</v>
      </c>
      <c r="BS204" s="63">
        <f t="shared" si="185"/>
        <v>0</v>
      </c>
      <c r="BT204" s="63">
        <f t="shared" si="159"/>
        <v>0</v>
      </c>
      <c r="BU204" s="63">
        <f t="shared" si="160"/>
        <v>0</v>
      </c>
      <c r="BV204" s="57">
        <f t="shared" si="161"/>
        <v>0</v>
      </c>
      <c r="BW204" s="57">
        <f t="shared" si="162"/>
        <v>0</v>
      </c>
      <c r="BX204" s="57">
        <f t="shared" si="186"/>
        <v>0</v>
      </c>
      <c r="BY204" s="57">
        <f t="shared" si="144"/>
        <v>0</v>
      </c>
      <c r="BZ204" s="8">
        <f t="shared" si="163"/>
        <v>0</v>
      </c>
      <c r="CA204" s="8">
        <f t="shared" si="164"/>
        <v>0</v>
      </c>
      <c r="CB204" s="8">
        <f t="shared" si="165"/>
        <v>0</v>
      </c>
      <c r="CC204" s="8">
        <f t="shared" si="166"/>
        <v>0</v>
      </c>
      <c r="CD204" s="8">
        <f t="shared" si="167"/>
        <v>0</v>
      </c>
      <c r="CE204" s="8">
        <f t="shared" si="168"/>
        <v>0</v>
      </c>
      <c r="CF204" s="8">
        <f t="shared" si="169"/>
        <v>0</v>
      </c>
      <c r="CG204" s="8">
        <f t="shared" si="170"/>
        <v>0</v>
      </c>
      <c r="CH204" s="8">
        <f t="shared" si="171"/>
        <v>0</v>
      </c>
      <c r="CI204" s="8">
        <f t="shared" si="172"/>
        <v>0</v>
      </c>
      <c r="CJ204" s="8">
        <f t="shared" si="173"/>
        <v>0</v>
      </c>
      <c r="CK204" s="8">
        <f t="shared" si="174"/>
        <v>0</v>
      </c>
      <c r="CL204" s="8">
        <f t="shared" si="175"/>
        <v>0</v>
      </c>
      <c r="CM204" s="8">
        <f t="shared" si="176"/>
        <v>0</v>
      </c>
      <c r="CN204" s="8">
        <f t="shared" si="177"/>
        <v>0</v>
      </c>
      <c r="CO204" s="8">
        <f t="shared" si="178"/>
        <v>0</v>
      </c>
      <c r="CP204" s="8">
        <f t="shared" si="179"/>
        <v>0</v>
      </c>
      <c r="CQ204" s="8">
        <f t="shared" si="180"/>
        <v>0</v>
      </c>
      <c r="CR204" s="8">
        <f t="shared" si="181"/>
        <v>0</v>
      </c>
      <c r="CS204" s="8">
        <f t="shared" si="182"/>
        <v>0</v>
      </c>
      <c r="CT204" s="8">
        <f t="shared" si="141"/>
        <v>0</v>
      </c>
      <c r="CU204" s="8">
        <f t="shared" si="142"/>
        <v>0</v>
      </c>
      <c r="CV204" s="8">
        <f t="shared" si="143"/>
        <v>0</v>
      </c>
    </row>
    <row r="205" spans="1:100" ht="25.25" customHeight="1" thickTop="1" thickBot="1" x14ac:dyDescent="0.5">
      <c r="A205" s="32"/>
      <c r="B205" s="10"/>
      <c r="C205" s="10"/>
      <c r="D205" s="11"/>
      <c r="E205" s="10"/>
      <c r="F205" s="10"/>
      <c r="G205" s="19"/>
      <c r="H205" s="19"/>
      <c r="I205" s="19"/>
      <c r="J205" s="19"/>
      <c r="K205" s="10"/>
      <c r="L205" s="10"/>
      <c r="M205" s="10"/>
      <c r="N205" s="10"/>
      <c r="O205" s="18"/>
      <c r="P205" s="18"/>
      <c r="Q205" s="21"/>
      <c r="R205" s="20"/>
      <c r="S205" s="16">
        <f t="shared" si="145"/>
        <v>0</v>
      </c>
      <c r="T205" s="11"/>
      <c r="AR205" s="31"/>
      <c r="AS205" s="31">
        <f t="shared" si="146"/>
        <v>0</v>
      </c>
      <c r="AT205" s="31">
        <f t="shared" si="147"/>
        <v>0</v>
      </c>
      <c r="AU205" s="31">
        <f t="shared" si="148"/>
        <v>0</v>
      </c>
      <c r="AV205" s="31">
        <f t="shared" si="149"/>
        <v>0</v>
      </c>
      <c r="AW205" s="31">
        <f t="shared" si="150"/>
        <v>0</v>
      </c>
      <c r="AX205" s="31">
        <f t="shared" si="151"/>
        <v>0</v>
      </c>
      <c r="AY205" s="31">
        <f t="shared" si="152"/>
        <v>0</v>
      </c>
      <c r="AZ205" s="31">
        <f t="shared" si="153"/>
        <v>0</v>
      </c>
      <c r="BA205" s="31">
        <f t="shared" si="154"/>
        <v>0</v>
      </c>
      <c r="BB205" s="31">
        <f t="shared" si="183"/>
        <v>0</v>
      </c>
      <c r="BC205" s="31"/>
      <c r="BD205" s="31"/>
      <c r="BM205" s="8">
        <f t="shared" si="184"/>
        <v>0</v>
      </c>
      <c r="BN205" s="8">
        <f t="shared" si="155"/>
        <v>0</v>
      </c>
      <c r="BO205" s="8">
        <f t="shared" si="156"/>
        <v>0</v>
      </c>
      <c r="BQ205" s="8">
        <f t="shared" si="157"/>
        <v>0</v>
      </c>
      <c r="BR205" s="63">
        <f t="shared" si="158"/>
        <v>0</v>
      </c>
      <c r="BS205" s="63">
        <f t="shared" si="185"/>
        <v>0</v>
      </c>
      <c r="BT205" s="63">
        <f t="shared" si="159"/>
        <v>0</v>
      </c>
      <c r="BU205" s="63">
        <f t="shared" si="160"/>
        <v>0</v>
      </c>
      <c r="BV205" s="57">
        <f t="shared" si="161"/>
        <v>0</v>
      </c>
      <c r="BW205" s="57">
        <f t="shared" si="162"/>
        <v>0</v>
      </c>
      <c r="BX205" s="57">
        <f t="shared" si="186"/>
        <v>0</v>
      </c>
      <c r="BY205" s="57">
        <f t="shared" si="144"/>
        <v>0</v>
      </c>
      <c r="BZ205" s="8">
        <f t="shared" si="163"/>
        <v>0</v>
      </c>
      <c r="CA205" s="8">
        <f t="shared" si="164"/>
        <v>0</v>
      </c>
      <c r="CB205" s="8">
        <f t="shared" si="165"/>
        <v>0</v>
      </c>
      <c r="CC205" s="8">
        <f t="shared" si="166"/>
        <v>0</v>
      </c>
      <c r="CD205" s="8">
        <f t="shared" si="167"/>
        <v>0</v>
      </c>
      <c r="CE205" s="8">
        <f t="shared" si="168"/>
        <v>0</v>
      </c>
      <c r="CF205" s="8">
        <f t="shared" si="169"/>
        <v>0</v>
      </c>
      <c r="CG205" s="8">
        <f t="shared" si="170"/>
        <v>0</v>
      </c>
      <c r="CH205" s="8">
        <f t="shared" si="171"/>
        <v>0</v>
      </c>
      <c r="CI205" s="8">
        <f t="shared" si="172"/>
        <v>0</v>
      </c>
      <c r="CJ205" s="8">
        <f t="shared" si="173"/>
        <v>0</v>
      </c>
      <c r="CK205" s="8">
        <f t="shared" si="174"/>
        <v>0</v>
      </c>
      <c r="CL205" s="8">
        <f t="shared" si="175"/>
        <v>0</v>
      </c>
      <c r="CM205" s="8">
        <f t="shared" si="176"/>
        <v>0</v>
      </c>
      <c r="CN205" s="8">
        <f t="shared" si="177"/>
        <v>0</v>
      </c>
      <c r="CO205" s="8">
        <f t="shared" si="178"/>
        <v>0</v>
      </c>
      <c r="CP205" s="8">
        <f t="shared" si="179"/>
        <v>0</v>
      </c>
      <c r="CQ205" s="8">
        <f t="shared" si="180"/>
        <v>0</v>
      </c>
      <c r="CR205" s="8">
        <f t="shared" si="181"/>
        <v>0</v>
      </c>
      <c r="CS205" s="8">
        <f t="shared" si="182"/>
        <v>0</v>
      </c>
      <c r="CT205" s="8">
        <f t="shared" ref="CT205:CT268" si="187">IF(AND(J205&gt;0,OR(B205="MB",B205="new MB")),J205,0)*4+IF(AND(J205&gt;0,OR(C205="MB",C205="new MB")),J205,0)*4</f>
        <v>0</v>
      </c>
      <c r="CU205" s="8">
        <f t="shared" ref="CU205:CU268" si="188">IF(AND(I205&gt;0,OR(B205="MB",B205="new MB")),I205,0)*4+IF(AND(I205&gt;0,OR(C205="MB",C205="new MB")),I205,0)*4</f>
        <v>0</v>
      </c>
      <c r="CV205" s="8">
        <f t="shared" ref="CV205:CV268" si="189">IF(AND(H205&gt;0,OR(B205="MB",B205="new MB")),H205,0)*4+IF(AND(H205&gt;0,OR(C205="MB",C205="new MB")),H205,0)*4</f>
        <v>0</v>
      </c>
    </row>
    <row r="206" spans="1:100" ht="25.25" customHeight="1" thickTop="1" thickBot="1" x14ac:dyDescent="0.5">
      <c r="A206" s="32"/>
      <c r="B206" s="10"/>
      <c r="C206" s="10"/>
      <c r="D206" s="11"/>
      <c r="E206" s="10"/>
      <c r="F206" s="10"/>
      <c r="G206" s="19"/>
      <c r="H206" s="19"/>
      <c r="I206" s="19"/>
      <c r="J206" s="19"/>
      <c r="K206" s="10"/>
      <c r="L206" s="10"/>
      <c r="M206" s="10"/>
      <c r="N206" s="10"/>
      <c r="O206" s="18"/>
      <c r="P206" s="18"/>
      <c r="Q206" s="21"/>
      <c r="R206" s="20"/>
      <c r="S206" s="16">
        <f t="shared" si="145"/>
        <v>0</v>
      </c>
      <c r="T206" s="11"/>
      <c r="AR206" s="31"/>
      <c r="AS206" s="31">
        <f t="shared" si="146"/>
        <v>0</v>
      </c>
      <c r="AT206" s="31">
        <f t="shared" si="147"/>
        <v>0</v>
      </c>
      <c r="AU206" s="31">
        <f t="shared" si="148"/>
        <v>0</v>
      </c>
      <c r="AV206" s="31">
        <f t="shared" si="149"/>
        <v>0</v>
      </c>
      <c r="AW206" s="31">
        <f t="shared" si="150"/>
        <v>0</v>
      </c>
      <c r="AX206" s="31">
        <f t="shared" si="151"/>
        <v>0</v>
      </c>
      <c r="AY206" s="31">
        <f t="shared" si="152"/>
        <v>0</v>
      </c>
      <c r="AZ206" s="31">
        <f t="shared" si="153"/>
        <v>0</v>
      </c>
      <c r="BA206" s="31">
        <f t="shared" si="154"/>
        <v>0</v>
      </c>
      <c r="BB206" s="31">
        <f t="shared" si="183"/>
        <v>0</v>
      </c>
      <c r="BC206" s="31"/>
      <c r="BD206" s="31"/>
      <c r="BM206" s="8">
        <f t="shared" si="184"/>
        <v>0</v>
      </c>
      <c r="BN206" s="8">
        <f t="shared" si="155"/>
        <v>0</v>
      </c>
      <c r="BO206" s="8">
        <f t="shared" si="156"/>
        <v>0</v>
      </c>
      <c r="BQ206" s="8">
        <f t="shared" si="157"/>
        <v>0</v>
      </c>
      <c r="BR206" s="63">
        <f t="shared" si="158"/>
        <v>0</v>
      </c>
      <c r="BS206" s="63">
        <f t="shared" si="185"/>
        <v>0</v>
      </c>
      <c r="BT206" s="63">
        <f t="shared" si="159"/>
        <v>0</v>
      </c>
      <c r="BU206" s="63">
        <f t="shared" si="160"/>
        <v>0</v>
      </c>
      <c r="BV206" s="57">
        <f t="shared" si="161"/>
        <v>0</v>
      </c>
      <c r="BW206" s="57">
        <f t="shared" si="162"/>
        <v>0</v>
      </c>
      <c r="BX206" s="57">
        <f t="shared" si="186"/>
        <v>0</v>
      </c>
      <c r="BY206" s="57">
        <f t="shared" si="144"/>
        <v>0</v>
      </c>
      <c r="BZ206" s="8">
        <f t="shared" si="163"/>
        <v>0</v>
      </c>
      <c r="CA206" s="8">
        <f t="shared" si="164"/>
        <v>0</v>
      </c>
      <c r="CB206" s="8">
        <f t="shared" si="165"/>
        <v>0</v>
      </c>
      <c r="CC206" s="8">
        <f t="shared" si="166"/>
        <v>0</v>
      </c>
      <c r="CD206" s="8">
        <f t="shared" si="167"/>
        <v>0</v>
      </c>
      <c r="CE206" s="8">
        <f t="shared" si="168"/>
        <v>0</v>
      </c>
      <c r="CF206" s="8">
        <f t="shared" si="169"/>
        <v>0</v>
      </c>
      <c r="CG206" s="8">
        <f t="shared" si="170"/>
        <v>0</v>
      </c>
      <c r="CH206" s="8">
        <f t="shared" si="171"/>
        <v>0</v>
      </c>
      <c r="CI206" s="8">
        <f t="shared" si="172"/>
        <v>0</v>
      </c>
      <c r="CJ206" s="8">
        <f t="shared" si="173"/>
        <v>0</v>
      </c>
      <c r="CK206" s="8">
        <f t="shared" si="174"/>
        <v>0</v>
      </c>
      <c r="CL206" s="8">
        <f t="shared" si="175"/>
        <v>0</v>
      </c>
      <c r="CM206" s="8">
        <f t="shared" si="176"/>
        <v>0</v>
      </c>
      <c r="CN206" s="8">
        <f t="shared" si="177"/>
        <v>0</v>
      </c>
      <c r="CO206" s="8">
        <f t="shared" si="178"/>
        <v>0</v>
      </c>
      <c r="CP206" s="8">
        <f t="shared" si="179"/>
        <v>0</v>
      </c>
      <c r="CQ206" s="8">
        <f t="shared" si="180"/>
        <v>0</v>
      </c>
      <c r="CR206" s="8">
        <f t="shared" si="181"/>
        <v>0</v>
      </c>
      <c r="CS206" s="8">
        <f t="shared" si="182"/>
        <v>0</v>
      </c>
      <c r="CT206" s="8">
        <f t="shared" si="187"/>
        <v>0</v>
      </c>
      <c r="CU206" s="8">
        <f t="shared" si="188"/>
        <v>0</v>
      </c>
      <c r="CV206" s="8">
        <f t="shared" si="189"/>
        <v>0</v>
      </c>
    </row>
    <row r="207" spans="1:100" ht="25.25" customHeight="1" thickTop="1" thickBot="1" x14ac:dyDescent="0.5">
      <c r="A207" s="32"/>
      <c r="B207" s="10"/>
      <c r="C207" s="10"/>
      <c r="D207" s="11"/>
      <c r="E207" s="10"/>
      <c r="F207" s="10"/>
      <c r="G207" s="19"/>
      <c r="H207" s="19"/>
      <c r="I207" s="19"/>
      <c r="J207" s="19"/>
      <c r="K207" s="10"/>
      <c r="L207" s="10"/>
      <c r="M207" s="10"/>
      <c r="N207" s="10"/>
      <c r="O207" s="18"/>
      <c r="P207" s="18"/>
      <c r="Q207" s="21"/>
      <c r="R207" s="20"/>
      <c r="S207" s="16">
        <f t="shared" si="145"/>
        <v>0</v>
      </c>
      <c r="T207" s="11"/>
      <c r="AR207" s="31"/>
      <c r="AS207" s="31">
        <f t="shared" si="146"/>
        <v>0</v>
      </c>
      <c r="AT207" s="31">
        <f t="shared" si="147"/>
        <v>0</v>
      </c>
      <c r="AU207" s="31">
        <f t="shared" si="148"/>
        <v>0</v>
      </c>
      <c r="AV207" s="31">
        <f t="shared" si="149"/>
        <v>0</v>
      </c>
      <c r="AW207" s="31">
        <f t="shared" si="150"/>
        <v>0</v>
      </c>
      <c r="AX207" s="31">
        <f t="shared" si="151"/>
        <v>0</v>
      </c>
      <c r="AY207" s="31">
        <f t="shared" si="152"/>
        <v>0</v>
      </c>
      <c r="AZ207" s="31">
        <f t="shared" si="153"/>
        <v>0</v>
      </c>
      <c r="BA207" s="31">
        <f t="shared" si="154"/>
        <v>0</v>
      </c>
      <c r="BB207" s="31">
        <f t="shared" si="183"/>
        <v>0</v>
      </c>
      <c r="BC207" s="31"/>
      <c r="BD207" s="31"/>
      <c r="BM207" s="8">
        <f t="shared" si="184"/>
        <v>0</v>
      </c>
      <c r="BN207" s="8">
        <f t="shared" si="155"/>
        <v>0</v>
      </c>
      <c r="BO207" s="8">
        <f t="shared" si="156"/>
        <v>0</v>
      </c>
      <c r="BQ207" s="8">
        <f t="shared" si="157"/>
        <v>0</v>
      </c>
      <c r="BR207" s="63">
        <f t="shared" si="158"/>
        <v>0</v>
      </c>
      <c r="BS207" s="63">
        <f t="shared" si="185"/>
        <v>0</v>
      </c>
      <c r="BT207" s="63">
        <f t="shared" si="159"/>
        <v>0</v>
      </c>
      <c r="BU207" s="63">
        <f t="shared" si="160"/>
        <v>0</v>
      </c>
      <c r="BV207" s="57">
        <f t="shared" si="161"/>
        <v>0</v>
      </c>
      <c r="BW207" s="57">
        <f t="shared" si="162"/>
        <v>0</v>
      </c>
      <c r="BX207" s="57">
        <f t="shared" si="186"/>
        <v>0</v>
      </c>
      <c r="BY207" s="57">
        <f t="shared" si="144"/>
        <v>0</v>
      </c>
      <c r="BZ207" s="8">
        <f t="shared" si="163"/>
        <v>0</v>
      </c>
      <c r="CA207" s="8">
        <f t="shared" si="164"/>
        <v>0</v>
      </c>
      <c r="CB207" s="8">
        <f t="shared" si="165"/>
        <v>0</v>
      </c>
      <c r="CC207" s="8">
        <f t="shared" si="166"/>
        <v>0</v>
      </c>
      <c r="CD207" s="8">
        <f t="shared" si="167"/>
        <v>0</v>
      </c>
      <c r="CE207" s="8">
        <f t="shared" si="168"/>
        <v>0</v>
      </c>
      <c r="CF207" s="8">
        <f t="shared" si="169"/>
        <v>0</v>
      </c>
      <c r="CG207" s="8">
        <f t="shared" si="170"/>
        <v>0</v>
      </c>
      <c r="CH207" s="8">
        <f t="shared" si="171"/>
        <v>0</v>
      </c>
      <c r="CI207" s="8">
        <f t="shared" si="172"/>
        <v>0</v>
      </c>
      <c r="CJ207" s="8">
        <f t="shared" si="173"/>
        <v>0</v>
      </c>
      <c r="CK207" s="8">
        <f t="shared" si="174"/>
        <v>0</v>
      </c>
      <c r="CL207" s="8">
        <f t="shared" si="175"/>
        <v>0</v>
      </c>
      <c r="CM207" s="8">
        <f t="shared" si="176"/>
        <v>0</v>
      </c>
      <c r="CN207" s="8">
        <f t="shared" si="177"/>
        <v>0</v>
      </c>
      <c r="CO207" s="8">
        <f t="shared" si="178"/>
        <v>0</v>
      </c>
      <c r="CP207" s="8">
        <f t="shared" si="179"/>
        <v>0</v>
      </c>
      <c r="CQ207" s="8">
        <f t="shared" si="180"/>
        <v>0</v>
      </c>
      <c r="CR207" s="8">
        <f t="shared" si="181"/>
        <v>0</v>
      </c>
      <c r="CS207" s="8">
        <f t="shared" si="182"/>
        <v>0</v>
      </c>
      <c r="CT207" s="8">
        <f t="shared" si="187"/>
        <v>0</v>
      </c>
      <c r="CU207" s="8">
        <f t="shared" si="188"/>
        <v>0</v>
      </c>
      <c r="CV207" s="8">
        <f t="shared" si="189"/>
        <v>0</v>
      </c>
    </row>
    <row r="208" spans="1:100" ht="25.25" customHeight="1" thickTop="1" thickBot="1" x14ac:dyDescent="0.5">
      <c r="A208" s="32"/>
      <c r="B208" s="10"/>
      <c r="C208" s="10"/>
      <c r="D208" s="11"/>
      <c r="E208" s="10"/>
      <c r="F208" s="10"/>
      <c r="G208" s="19"/>
      <c r="H208" s="19"/>
      <c r="I208" s="19"/>
      <c r="J208" s="19"/>
      <c r="K208" s="10"/>
      <c r="L208" s="10"/>
      <c r="M208" s="10"/>
      <c r="N208" s="10"/>
      <c r="O208" s="18"/>
      <c r="P208" s="18"/>
      <c r="Q208" s="21"/>
      <c r="R208" s="20"/>
      <c r="S208" s="16">
        <f t="shared" si="145"/>
        <v>0</v>
      </c>
      <c r="T208" s="11"/>
      <c r="AR208" s="31"/>
      <c r="AS208" s="31">
        <f t="shared" si="146"/>
        <v>0</v>
      </c>
      <c r="AT208" s="31">
        <f t="shared" si="147"/>
        <v>0</v>
      </c>
      <c r="AU208" s="31">
        <f t="shared" si="148"/>
        <v>0</v>
      </c>
      <c r="AV208" s="31">
        <f t="shared" si="149"/>
        <v>0</v>
      </c>
      <c r="AW208" s="31">
        <f t="shared" si="150"/>
        <v>0</v>
      </c>
      <c r="AX208" s="31">
        <f t="shared" si="151"/>
        <v>0</v>
      </c>
      <c r="AY208" s="31">
        <f t="shared" si="152"/>
        <v>0</v>
      </c>
      <c r="AZ208" s="31">
        <f t="shared" si="153"/>
        <v>0</v>
      </c>
      <c r="BA208" s="31">
        <f t="shared" si="154"/>
        <v>0</v>
      </c>
      <c r="BB208" s="31">
        <f t="shared" si="183"/>
        <v>0</v>
      </c>
      <c r="BC208" s="31"/>
      <c r="BD208" s="31"/>
      <c r="BM208" s="8">
        <f t="shared" si="184"/>
        <v>0</v>
      </c>
      <c r="BN208" s="8">
        <f t="shared" si="155"/>
        <v>0</v>
      </c>
      <c r="BO208" s="8">
        <f t="shared" si="156"/>
        <v>0</v>
      </c>
      <c r="BQ208" s="8">
        <f t="shared" si="157"/>
        <v>0</v>
      </c>
      <c r="BR208" s="63">
        <f t="shared" si="158"/>
        <v>0</v>
      </c>
      <c r="BS208" s="63">
        <f t="shared" si="185"/>
        <v>0</v>
      </c>
      <c r="BT208" s="63">
        <f t="shared" si="159"/>
        <v>0</v>
      </c>
      <c r="BU208" s="63">
        <f t="shared" si="160"/>
        <v>0</v>
      </c>
      <c r="BV208" s="57">
        <f t="shared" si="161"/>
        <v>0</v>
      </c>
      <c r="BW208" s="57">
        <f t="shared" si="162"/>
        <v>0</v>
      </c>
      <c r="BX208" s="57">
        <f t="shared" si="186"/>
        <v>0</v>
      </c>
      <c r="BY208" s="57">
        <f t="shared" si="144"/>
        <v>0</v>
      </c>
      <c r="BZ208" s="8">
        <f t="shared" si="163"/>
        <v>0</v>
      </c>
      <c r="CA208" s="8">
        <f t="shared" si="164"/>
        <v>0</v>
      </c>
      <c r="CB208" s="8">
        <f t="shared" si="165"/>
        <v>0</v>
      </c>
      <c r="CC208" s="8">
        <f t="shared" si="166"/>
        <v>0</v>
      </c>
      <c r="CD208" s="8">
        <f t="shared" si="167"/>
        <v>0</v>
      </c>
      <c r="CE208" s="8">
        <f t="shared" si="168"/>
        <v>0</v>
      </c>
      <c r="CF208" s="8">
        <f t="shared" si="169"/>
        <v>0</v>
      </c>
      <c r="CG208" s="8">
        <f t="shared" si="170"/>
        <v>0</v>
      </c>
      <c r="CH208" s="8">
        <f t="shared" si="171"/>
        <v>0</v>
      </c>
      <c r="CI208" s="8">
        <f t="shared" si="172"/>
        <v>0</v>
      </c>
      <c r="CJ208" s="8">
        <f t="shared" si="173"/>
        <v>0</v>
      </c>
      <c r="CK208" s="8">
        <f t="shared" si="174"/>
        <v>0</v>
      </c>
      <c r="CL208" s="8">
        <f t="shared" si="175"/>
        <v>0</v>
      </c>
      <c r="CM208" s="8">
        <f t="shared" si="176"/>
        <v>0</v>
      </c>
      <c r="CN208" s="8">
        <f t="shared" si="177"/>
        <v>0</v>
      </c>
      <c r="CO208" s="8">
        <f t="shared" si="178"/>
        <v>0</v>
      </c>
      <c r="CP208" s="8">
        <f t="shared" si="179"/>
        <v>0</v>
      </c>
      <c r="CQ208" s="8">
        <f t="shared" si="180"/>
        <v>0</v>
      </c>
      <c r="CR208" s="8">
        <f t="shared" si="181"/>
        <v>0</v>
      </c>
      <c r="CS208" s="8">
        <f t="shared" si="182"/>
        <v>0</v>
      </c>
      <c r="CT208" s="8">
        <f t="shared" si="187"/>
        <v>0</v>
      </c>
      <c r="CU208" s="8">
        <f t="shared" si="188"/>
        <v>0</v>
      </c>
      <c r="CV208" s="8">
        <f t="shared" si="189"/>
        <v>0</v>
      </c>
    </row>
    <row r="209" spans="1:100" ht="25.25" customHeight="1" thickTop="1" thickBot="1" x14ac:dyDescent="0.5">
      <c r="A209" s="32"/>
      <c r="B209" s="10"/>
      <c r="C209" s="10"/>
      <c r="D209" s="11"/>
      <c r="E209" s="10"/>
      <c r="F209" s="10"/>
      <c r="G209" s="19"/>
      <c r="H209" s="19"/>
      <c r="I209" s="19"/>
      <c r="J209" s="19"/>
      <c r="K209" s="10"/>
      <c r="L209" s="10"/>
      <c r="M209" s="10"/>
      <c r="N209" s="10"/>
      <c r="O209" s="18"/>
      <c r="P209" s="18"/>
      <c r="Q209" s="21"/>
      <c r="R209" s="20"/>
      <c r="S209" s="16">
        <f t="shared" si="145"/>
        <v>0</v>
      </c>
      <c r="T209" s="11"/>
      <c r="AR209" s="31"/>
      <c r="AS209" s="31">
        <f t="shared" si="146"/>
        <v>0</v>
      </c>
      <c r="AT209" s="31">
        <f t="shared" si="147"/>
        <v>0</v>
      </c>
      <c r="AU209" s="31">
        <f t="shared" si="148"/>
        <v>0</v>
      </c>
      <c r="AV209" s="31">
        <f t="shared" si="149"/>
        <v>0</v>
      </c>
      <c r="AW209" s="31">
        <f t="shared" si="150"/>
        <v>0</v>
      </c>
      <c r="AX209" s="31">
        <f t="shared" si="151"/>
        <v>0</v>
      </c>
      <c r="AY209" s="31">
        <f t="shared" si="152"/>
        <v>0</v>
      </c>
      <c r="AZ209" s="31">
        <f t="shared" si="153"/>
        <v>0</v>
      </c>
      <c r="BA209" s="31">
        <f t="shared" si="154"/>
        <v>0</v>
      </c>
      <c r="BB209" s="31">
        <f t="shared" si="183"/>
        <v>0</v>
      </c>
      <c r="BC209" s="31"/>
      <c r="BD209" s="31"/>
      <c r="BM209" s="8">
        <f t="shared" si="184"/>
        <v>0</v>
      </c>
      <c r="BN209" s="8">
        <f t="shared" si="155"/>
        <v>0</v>
      </c>
      <c r="BO209" s="8">
        <f t="shared" si="156"/>
        <v>0</v>
      </c>
      <c r="BQ209" s="8">
        <f t="shared" si="157"/>
        <v>0</v>
      </c>
      <c r="BR209" s="63">
        <f t="shared" si="158"/>
        <v>0</v>
      </c>
      <c r="BS209" s="63">
        <f t="shared" si="185"/>
        <v>0</v>
      </c>
      <c r="BT209" s="63">
        <f t="shared" si="159"/>
        <v>0</v>
      </c>
      <c r="BU209" s="63">
        <f t="shared" si="160"/>
        <v>0</v>
      </c>
      <c r="BV209" s="57">
        <f t="shared" si="161"/>
        <v>0</v>
      </c>
      <c r="BW209" s="57">
        <f t="shared" si="162"/>
        <v>0</v>
      </c>
      <c r="BX209" s="57">
        <f t="shared" si="186"/>
        <v>0</v>
      </c>
      <c r="BY209" s="57">
        <f t="shared" si="144"/>
        <v>0</v>
      </c>
      <c r="BZ209" s="8">
        <f t="shared" si="163"/>
        <v>0</v>
      </c>
      <c r="CA209" s="8">
        <f t="shared" si="164"/>
        <v>0</v>
      </c>
      <c r="CB209" s="8">
        <f t="shared" si="165"/>
        <v>0</v>
      </c>
      <c r="CC209" s="8">
        <f t="shared" si="166"/>
        <v>0</v>
      </c>
      <c r="CD209" s="8">
        <f t="shared" si="167"/>
        <v>0</v>
      </c>
      <c r="CE209" s="8">
        <f t="shared" si="168"/>
        <v>0</v>
      </c>
      <c r="CF209" s="8">
        <f t="shared" si="169"/>
        <v>0</v>
      </c>
      <c r="CG209" s="8">
        <f t="shared" si="170"/>
        <v>0</v>
      </c>
      <c r="CH209" s="8">
        <f t="shared" si="171"/>
        <v>0</v>
      </c>
      <c r="CI209" s="8">
        <f t="shared" si="172"/>
        <v>0</v>
      </c>
      <c r="CJ209" s="8">
        <f t="shared" si="173"/>
        <v>0</v>
      </c>
      <c r="CK209" s="8">
        <f t="shared" si="174"/>
        <v>0</v>
      </c>
      <c r="CL209" s="8">
        <f t="shared" si="175"/>
        <v>0</v>
      </c>
      <c r="CM209" s="8">
        <f t="shared" si="176"/>
        <v>0</v>
      </c>
      <c r="CN209" s="8">
        <f t="shared" si="177"/>
        <v>0</v>
      </c>
      <c r="CO209" s="8">
        <f t="shared" si="178"/>
        <v>0</v>
      </c>
      <c r="CP209" s="8">
        <f t="shared" si="179"/>
        <v>0</v>
      </c>
      <c r="CQ209" s="8">
        <f t="shared" si="180"/>
        <v>0</v>
      </c>
      <c r="CR209" s="8">
        <f t="shared" si="181"/>
        <v>0</v>
      </c>
      <c r="CS209" s="8">
        <f t="shared" si="182"/>
        <v>0</v>
      </c>
      <c r="CT209" s="8">
        <f t="shared" si="187"/>
        <v>0</v>
      </c>
      <c r="CU209" s="8">
        <f t="shared" si="188"/>
        <v>0</v>
      </c>
      <c r="CV209" s="8">
        <f t="shared" si="189"/>
        <v>0</v>
      </c>
    </row>
    <row r="210" spans="1:100" ht="25.25" customHeight="1" thickTop="1" thickBot="1" x14ac:dyDescent="0.5">
      <c r="A210" s="32"/>
      <c r="B210" s="10"/>
      <c r="C210" s="10"/>
      <c r="D210" s="11"/>
      <c r="E210" s="10"/>
      <c r="F210" s="10"/>
      <c r="G210" s="19"/>
      <c r="H210" s="19"/>
      <c r="I210" s="19"/>
      <c r="J210" s="19"/>
      <c r="K210" s="10"/>
      <c r="L210" s="10"/>
      <c r="M210" s="10"/>
      <c r="N210" s="10"/>
      <c r="O210" s="18"/>
      <c r="P210" s="18"/>
      <c r="Q210" s="21"/>
      <c r="R210" s="20"/>
      <c r="S210" s="16">
        <f t="shared" si="145"/>
        <v>0</v>
      </c>
      <c r="T210" s="11"/>
      <c r="AR210" s="31"/>
      <c r="AS210" s="31">
        <f t="shared" si="146"/>
        <v>0</v>
      </c>
      <c r="AT210" s="31">
        <f t="shared" si="147"/>
        <v>0</v>
      </c>
      <c r="AU210" s="31">
        <f t="shared" si="148"/>
        <v>0</v>
      </c>
      <c r="AV210" s="31">
        <f t="shared" si="149"/>
        <v>0</v>
      </c>
      <c r="AW210" s="31">
        <f t="shared" si="150"/>
        <v>0</v>
      </c>
      <c r="AX210" s="31">
        <f t="shared" si="151"/>
        <v>0</v>
      </c>
      <c r="AY210" s="31">
        <f t="shared" si="152"/>
        <v>0</v>
      </c>
      <c r="AZ210" s="31">
        <f t="shared" si="153"/>
        <v>0</v>
      </c>
      <c r="BA210" s="31">
        <f t="shared" si="154"/>
        <v>0</v>
      </c>
      <c r="BB210" s="31">
        <f t="shared" si="183"/>
        <v>0</v>
      </c>
      <c r="BC210" s="31"/>
      <c r="BD210" s="31"/>
      <c r="BM210" s="8">
        <f t="shared" si="184"/>
        <v>0</v>
      </c>
      <c r="BN210" s="8">
        <f t="shared" si="155"/>
        <v>0</v>
      </c>
      <c r="BO210" s="8">
        <f t="shared" si="156"/>
        <v>0</v>
      </c>
      <c r="BQ210" s="8">
        <f t="shared" si="157"/>
        <v>0</v>
      </c>
      <c r="BR210" s="63">
        <f t="shared" si="158"/>
        <v>0</v>
      </c>
      <c r="BS210" s="63">
        <f t="shared" si="185"/>
        <v>0</v>
      </c>
      <c r="BT210" s="63">
        <f t="shared" si="159"/>
        <v>0</v>
      </c>
      <c r="BU210" s="63">
        <f t="shared" si="160"/>
        <v>0</v>
      </c>
      <c r="BV210" s="57">
        <f t="shared" si="161"/>
        <v>0</v>
      </c>
      <c r="BW210" s="57">
        <f t="shared" si="162"/>
        <v>0</v>
      </c>
      <c r="BX210" s="57">
        <f t="shared" si="186"/>
        <v>0</v>
      </c>
      <c r="BY210" s="57">
        <f t="shared" si="144"/>
        <v>0</v>
      </c>
      <c r="BZ210" s="8">
        <f t="shared" si="163"/>
        <v>0</v>
      </c>
      <c r="CA210" s="8">
        <f t="shared" si="164"/>
        <v>0</v>
      </c>
      <c r="CB210" s="8">
        <f t="shared" si="165"/>
        <v>0</v>
      </c>
      <c r="CC210" s="8">
        <f t="shared" si="166"/>
        <v>0</v>
      </c>
      <c r="CD210" s="8">
        <f t="shared" si="167"/>
        <v>0</v>
      </c>
      <c r="CE210" s="8">
        <f t="shared" si="168"/>
        <v>0</v>
      </c>
      <c r="CF210" s="8">
        <f t="shared" si="169"/>
        <v>0</v>
      </c>
      <c r="CG210" s="8">
        <f t="shared" si="170"/>
        <v>0</v>
      </c>
      <c r="CH210" s="8">
        <f t="shared" si="171"/>
        <v>0</v>
      </c>
      <c r="CI210" s="8">
        <f t="shared" si="172"/>
        <v>0</v>
      </c>
      <c r="CJ210" s="8">
        <f t="shared" si="173"/>
        <v>0</v>
      </c>
      <c r="CK210" s="8">
        <f t="shared" si="174"/>
        <v>0</v>
      </c>
      <c r="CL210" s="8">
        <f t="shared" si="175"/>
        <v>0</v>
      </c>
      <c r="CM210" s="8">
        <f t="shared" si="176"/>
        <v>0</v>
      </c>
      <c r="CN210" s="8">
        <f t="shared" si="177"/>
        <v>0</v>
      </c>
      <c r="CO210" s="8">
        <f t="shared" si="178"/>
        <v>0</v>
      </c>
      <c r="CP210" s="8">
        <f t="shared" si="179"/>
        <v>0</v>
      </c>
      <c r="CQ210" s="8">
        <f t="shared" si="180"/>
        <v>0</v>
      </c>
      <c r="CR210" s="8">
        <f t="shared" si="181"/>
        <v>0</v>
      </c>
      <c r="CS210" s="8">
        <f t="shared" si="182"/>
        <v>0</v>
      </c>
      <c r="CT210" s="8">
        <f t="shared" si="187"/>
        <v>0</v>
      </c>
      <c r="CU210" s="8">
        <f t="shared" si="188"/>
        <v>0</v>
      </c>
      <c r="CV210" s="8">
        <f t="shared" si="189"/>
        <v>0</v>
      </c>
    </row>
    <row r="211" spans="1:100" ht="25.25" customHeight="1" thickTop="1" thickBot="1" x14ac:dyDescent="0.5">
      <c r="A211" s="32"/>
      <c r="B211" s="10"/>
      <c r="C211" s="10"/>
      <c r="D211" s="11"/>
      <c r="E211" s="10"/>
      <c r="F211" s="10"/>
      <c r="G211" s="19"/>
      <c r="H211" s="19"/>
      <c r="I211" s="19"/>
      <c r="J211" s="19"/>
      <c r="K211" s="10"/>
      <c r="L211" s="10"/>
      <c r="M211" s="10"/>
      <c r="N211" s="10"/>
      <c r="O211" s="18"/>
      <c r="P211" s="18"/>
      <c r="Q211" s="21"/>
      <c r="R211" s="20"/>
      <c r="S211" s="16">
        <f t="shared" si="145"/>
        <v>0</v>
      </c>
      <c r="T211" s="11"/>
      <c r="AR211" s="31"/>
      <c r="AS211" s="31">
        <f t="shared" si="146"/>
        <v>0</v>
      </c>
      <c r="AT211" s="31">
        <f t="shared" si="147"/>
        <v>0</v>
      </c>
      <c r="AU211" s="31">
        <f t="shared" si="148"/>
        <v>0</v>
      </c>
      <c r="AV211" s="31">
        <f t="shared" si="149"/>
        <v>0</v>
      </c>
      <c r="AW211" s="31">
        <f t="shared" si="150"/>
        <v>0</v>
      </c>
      <c r="AX211" s="31">
        <f t="shared" si="151"/>
        <v>0</v>
      </c>
      <c r="AY211" s="31">
        <f t="shared" si="152"/>
        <v>0</v>
      </c>
      <c r="AZ211" s="31">
        <f t="shared" si="153"/>
        <v>0</v>
      </c>
      <c r="BA211" s="31">
        <f t="shared" si="154"/>
        <v>0</v>
      </c>
      <c r="BB211" s="31">
        <f t="shared" si="183"/>
        <v>0</v>
      </c>
      <c r="BC211" s="31"/>
      <c r="BD211" s="31"/>
      <c r="BM211" s="8">
        <f t="shared" si="184"/>
        <v>0</v>
      </c>
      <c r="BN211" s="8">
        <f t="shared" si="155"/>
        <v>0</v>
      </c>
      <c r="BO211" s="8">
        <f t="shared" si="156"/>
        <v>0</v>
      </c>
      <c r="BQ211" s="8">
        <f t="shared" si="157"/>
        <v>0</v>
      </c>
      <c r="BR211" s="63">
        <f t="shared" si="158"/>
        <v>0</v>
      </c>
      <c r="BS211" s="63">
        <f t="shared" si="185"/>
        <v>0</v>
      </c>
      <c r="BT211" s="63">
        <f t="shared" si="159"/>
        <v>0</v>
      </c>
      <c r="BU211" s="63">
        <f t="shared" si="160"/>
        <v>0</v>
      </c>
      <c r="BV211" s="57">
        <f t="shared" si="161"/>
        <v>0</v>
      </c>
      <c r="BW211" s="57">
        <f t="shared" si="162"/>
        <v>0</v>
      </c>
      <c r="BX211" s="57">
        <f t="shared" si="186"/>
        <v>0</v>
      </c>
      <c r="BY211" s="57">
        <f t="shared" si="144"/>
        <v>0</v>
      </c>
      <c r="BZ211" s="8">
        <f t="shared" si="163"/>
        <v>0</v>
      </c>
      <c r="CA211" s="8">
        <f t="shared" si="164"/>
        <v>0</v>
      </c>
      <c r="CB211" s="8">
        <f t="shared" si="165"/>
        <v>0</v>
      </c>
      <c r="CC211" s="8">
        <f t="shared" si="166"/>
        <v>0</v>
      </c>
      <c r="CD211" s="8">
        <f t="shared" si="167"/>
        <v>0</v>
      </c>
      <c r="CE211" s="8">
        <f t="shared" si="168"/>
        <v>0</v>
      </c>
      <c r="CF211" s="8">
        <f t="shared" si="169"/>
        <v>0</v>
      </c>
      <c r="CG211" s="8">
        <f t="shared" si="170"/>
        <v>0</v>
      </c>
      <c r="CH211" s="8">
        <f t="shared" si="171"/>
        <v>0</v>
      </c>
      <c r="CI211" s="8">
        <f t="shared" si="172"/>
        <v>0</v>
      </c>
      <c r="CJ211" s="8">
        <f t="shared" si="173"/>
        <v>0</v>
      </c>
      <c r="CK211" s="8">
        <f t="shared" si="174"/>
        <v>0</v>
      </c>
      <c r="CL211" s="8">
        <f t="shared" si="175"/>
        <v>0</v>
      </c>
      <c r="CM211" s="8">
        <f t="shared" si="176"/>
        <v>0</v>
      </c>
      <c r="CN211" s="8">
        <f t="shared" si="177"/>
        <v>0</v>
      </c>
      <c r="CO211" s="8">
        <f t="shared" si="178"/>
        <v>0</v>
      </c>
      <c r="CP211" s="8">
        <f t="shared" si="179"/>
        <v>0</v>
      </c>
      <c r="CQ211" s="8">
        <f t="shared" si="180"/>
        <v>0</v>
      </c>
      <c r="CR211" s="8">
        <f t="shared" si="181"/>
        <v>0</v>
      </c>
      <c r="CS211" s="8">
        <f t="shared" si="182"/>
        <v>0</v>
      </c>
      <c r="CT211" s="8">
        <f t="shared" si="187"/>
        <v>0</v>
      </c>
      <c r="CU211" s="8">
        <f t="shared" si="188"/>
        <v>0</v>
      </c>
      <c r="CV211" s="8">
        <f t="shared" si="189"/>
        <v>0</v>
      </c>
    </row>
    <row r="212" spans="1:100" ht="25.25" customHeight="1" thickTop="1" thickBot="1" x14ac:dyDescent="0.5">
      <c r="A212" s="32"/>
      <c r="B212" s="10"/>
      <c r="C212" s="10"/>
      <c r="D212" s="11"/>
      <c r="E212" s="10"/>
      <c r="F212" s="10"/>
      <c r="G212" s="19"/>
      <c r="H212" s="19"/>
      <c r="I212" s="19"/>
      <c r="J212" s="19"/>
      <c r="K212" s="10"/>
      <c r="L212" s="10"/>
      <c r="M212" s="10"/>
      <c r="N212" s="10"/>
      <c r="O212" s="18"/>
      <c r="P212" s="18"/>
      <c r="Q212" s="21"/>
      <c r="R212" s="20"/>
      <c r="S212" s="16">
        <f t="shared" si="145"/>
        <v>0</v>
      </c>
      <c r="T212" s="11"/>
      <c r="AR212" s="31"/>
      <c r="AS212" s="31">
        <f t="shared" si="146"/>
        <v>0</v>
      </c>
      <c r="AT212" s="31">
        <f t="shared" si="147"/>
        <v>0</v>
      </c>
      <c r="AU212" s="31">
        <f t="shared" si="148"/>
        <v>0</v>
      </c>
      <c r="AV212" s="31">
        <f t="shared" si="149"/>
        <v>0</v>
      </c>
      <c r="AW212" s="31">
        <f t="shared" si="150"/>
        <v>0</v>
      </c>
      <c r="AX212" s="31">
        <f t="shared" si="151"/>
        <v>0</v>
      </c>
      <c r="AY212" s="31">
        <f t="shared" si="152"/>
        <v>0</v>
      </c>
      <c r="AZ212" s="31">
        <f t="shared" si="153"/>
        <v>0</v>
      </c>
      <c r="BA212" s="31">
        <f t="shared" si="154"/>
        <v>0</v>
      </c>
      <c r="BB212" s="31">
        <f t="shared" si="183"/>
        <v>0</v>
      </c>
      <c r="BC212" s="31"/>
      <c r="BD212" s="31"/>
      <c r="BM212" s="8">
        <f t="shared" si="184"/>
        <v>0</v>
      </c>
      <c r="BN212" s="8">
        <f t="shared" si="155"/>
        <v>0</v>
      </c>
      <c r="BO212" s="8">
        <f t="shared" si="156"/>
        <v>0</v>
      </c>
      <c r="BQ212" s="8">
        <f t="shared" si="157"/>
        <v>0</v>
      </c>
      <c r="BR212" s="63">
        <f t="shared" si="158"/>
        <v>0</v>
      </c>
      <c r="BS212" s="63">
        <f t="shared" si="185"/>
        <v>0</v>
      </c>
      <c r="BT212" s="63">
        <f t="shared" si="159"/>
        <v>0</v>
      </c>
      <c r="BU212" s="63">
        <f t="shared" si="160"/>
        <v>0</v>
      </c>
      <c r="BV212" s="57">
        <f t="shared" si="161"/>
        <v>0</v>
      </c>
      <c r="BW212" s="57">
        <f t="shared" si="162"/>
        <v>0</v>
      </c>
      <c r="BX212" s="57">
        <f t="shared" si="186"/>
        <v>0</v>
      </c>
      <c r="BY212" s="57">
        <f t="shared" si="144"/>
        <v>0</v>
      </c>
      <c r="BZ212" s="8">
        <f t="shared" si="163"/>
        <v>0</v>
      </c>
      <c r="CA212" s="8">
        <f t="shared" si="164"/>
        <v>0</v>
      </c>
      <c r="CB212" s="8">
        <f t="shared" si="165"/>
        <v>0</v>
      </c>
      <c r="CC212" s="8">
        <f t="shared" si="166"/>
        <v>0</v>
      </c>
      <c r="CD212" s="8">
        <f t="shared" si="167"/>
        <v>0</v>
      </c>
      <c r="CE212" s="8">
        <f t="shared" si="168"/>
        <v>0</v>
      </c>
      <c r="CF212" s="8">
        <f t="shared" si="169"/>
        <v>0</v>
      </c>
      <c r="CG212" s="8">
        <f t="shared" si="170"/>
        <v>0</v>
      </c>
      <c r="CH212" s="8">
        <f t="shared" si="171"/>
        <v>0</v>
      </c>
      <c r="CI212" s="8">
        <f t="shared" si="172"/>
        <v>0</v>
      </c>
      <c r="CJ212" s="8">
        <f t="shared" si="173"/>
        <v>0</v>
      </c>
      <c r="CK212" s="8">
        <f t="shared" si="174"/>
        <v>0</v>
      </c>
      <c r="CL212" s="8">
        <f t="shared" si="175"/>
        <v>0</v>
      </c>
      <c r="CM212" s="8">
        <f t="shared" si="176"/>
        <v>0</v>
      </c>
      <c r="CN212" s="8">
        <f t="shared" si="177"/>
        <v>0</v>
      </c>
      <c r="CO212" s="8">
        <f t="shared" si="178"/>
        <v>0</v>
      </c>
      <c r="CP212" s="8">
        <f t="shared" si="179"/>
        <v>0</v>
      </c>
      <c r="CQ212" s="8">
        <f t="shared" si="180"/>
        <v>0</v>
      </c>
      <c r="CR212" s="8">
        <f t="shared" si="181"/>
        <v>0</v>
      </c>
      <c r="CS212" s="8">
        <f t="shared" si="182"/>
        <v>0</v>
      </c>
      <c r="CT212" s="8">
        <f t="shared" si="187"/>
        <v>0</v>
      </c>
      <c r="CU212" s="8">
        <f t="shared" si="188"/>
        <v>0</v>
      </c>
      <c r="CV212" s="8">
        <f t="shared" si="189"/>
        <v>0</v>
      </c>
    </row>
    <row r="213" spans="1:100" ht="25.25" customHeight="1" thickTop="1" thickBot="1" x14ac:dyDescent="0.5">
      <c r="A213" s="32"/>
      <c r="B213" s="10"/>
      <c r="C213" s="10"/>
      <c r="D213" s="11"/>
      <c r="E213" s="10"/>
      <c r="F213" s="10"/>
      <c r="G213" s="19"/>
      <c r="H213" s="19"/>
      <c r="I213" s="19"/>
      <c r="J213" s="19"/>
      <c r="K213" s="10"/>
      <c r="L213" s="10"/>
      <c r="M213" s="10"/>
      <c r="N213" s="10"/>
      <c r="O213" s="18"/>
      <c r="P213" s="18"/>
      <c r="Q213" s="21"/>
      <c r="R213" s="20"/>
      <c r="S213" s="16">
        <f t="shared" si="145"/>
        <v>0</v>
      </c>
      <c r="T213" s="11"/>
      <c r="AR213" s="31"/>
      <c r="AS213" s="31">
        <f t="shared" si="146"/>
        <v>0</v>
      </c>
      <c r="AT213" s="31">
        <f t="shared" si="147"/>
        <v>0</v>
      </c>
      <c r="AU213" s="31">
        <f t="shared" si="148"/>
        <v>0</v>
      </c>
      <c r="AV213" s="31">
        <f t="shared" si="149"/>
        <v>0</v>
      </c>
      <c r="AW213" s="31">
        <f t="shared" si="150"/>
        <v>0</v>
      </c>
      <c r="AX213" s="31">
        <f t="shared" si="151"/>
        <v>0</v>
      </c>
      <c r="AY213" s="31">
        <f t="shared" si="152"/>
        <v>0</v>
      </c>
      <c r="AZ213" s="31">
        <f t="shared" si="153"/>
        <v>0</v>
      </c>
      <c r="BA213" s="31">
        <f t="shared" si="154"/>
        <v>0</v>
      </c>
      <c r="BB213" s="31">
        <f t="shared" si="183"/>
        <v>0</v>
      </c>
      <c r="BC213" s="31"/>
      <c r="BD213" s="31"/>
      <c r="BM213" s="8">
        <f t="shared" si="184"/>
        <v>0</v>
      </c>
      <c r="BN213" s="8">
        <f t="shared" si="155"/>
        <v>0</v>
      </c>
      <c r="BO213" s="8">
        <f t="shared" si="156"/>
        <v>0</v>
      </c>
      <c r="BQ213" s="8">
        <f t="shared" si="157"/>
        <v>0</v>
      </c>
      <c r="BR213" s="63">
        <f t="shared" si="158"/>
        <v>0</v>
      </c>
      <c r="BS213" s="63">
        <f t="shared" si="185"/>
        <v>0</v>
      </c>
      <c r="BT213" s="63">
        <f t="shared" si="159"/>
        <v>0</v>
      </c>
      <c r="BU213" s="63">
        <f t="shared" si="160"/>
        <v>0</v>
      </c>
      <c r="BV213" s="57">
        <f t="shared" si="161"/>
        <v>0</v>
      </c>
      <c r="BW213" s="57">
        <f t="shared" si="162"/>
        <v>0</v>
      </c>
      <c r="BX213" s="57">
        <f t="shared" si="186"/>
        <v>0</v>
      </c>
      <c r="BY213" s="57">
        <f t="shared" si="144"/>
        <v>0</v>
      </c>
      <c r="BZ213" s="8">
        <f t="shared" si="163"/>
        <v>0</v>
      </c>
      <c r="CA213" s="8">
        <f t="shared" si="164"/>
        <v>0</v>
      </c>
      <c r="CB213" s="8">
        <f t="shared" si="165"/>
        <v>0</v>
      </c>
      <c r="CC213" s="8">
        <f t="shared" si="166"/>
        <v>0</v>
      </c>
      <c r="CD213" s="8">
        <f t="shared" si="167"/>
        <v>0</v>
      </c>
      <c r="CE213" s="8">
        <f t="shared" si="168"/>
        <v>0</v>
      </c>
      <c r="CF213" s="8">
        <f t="shared" si="169"/>
        <v>0</v>
      </c>
      <c r="CG213" s="8">
        <f t="shared" si="170"/>
        <v>0</v>
      </c>
      <c r="CH213" s="8">
        <f t="shared" si="171"/>
        <v>0</v>
      </c>
      <c r="CI213" s="8">
        <f t="shared" si="172"/>
        <v>0</v>
      </c>
      <c r="CJ213" s="8">
        <f t="shared" si="173"/>
        <v>0</v>
      </c>
      <c r="CK213" s="8">
        <f t="shared" si="174"/>
        <v>0</v>
      </c>
      <c r="CL213" s="8">
        <f t="shared" si="175"/>
        <v>0</v>
      </c>
      <c r="CM213" s="8">
        <f t="shared" si="176"/>
        <v>0</v>
      </c>
      <c r="CN213" s="8">
        <f t="shared" si="177"/>
        <v>0</v>
      </c>
      <c r="CO213" s="8">
        <f t="shared" si="178"/>
        <v>0</v>
      </c>
      <c r="CP213" s="8">
        <f t="shared" si="179"/>
        <v>0</v>
      </c>
      <c r="CQ213" s="8">
        <f t="shared" si="180"/>
        <v>0</v>
      </c>
      <c r="CR213" s="8">
        <f t="shared" si="181"/>
        <v>0</v>
      </c>
      <c r="CS213" s="8">
        <f t="shared" si="182"/>
        <v>0</v>
      </c>
      <c r="CT213" s="8">
        <f t="shared" si="187"/>
        <v>0</v>
      </c>
      <c r="CU213" s="8">
        <f t="shared" si="188"/>
        <v>0</v>
      </c>
      <c r="CV213" s="8">
        <f t="shared" si="189"/>
        <v>0</v>
      </c>
    </row>
    <row r="214" spans="1:100" ht="25.25" customHeight="1" thickTop="1" thickBot="1" x14ac:dyDescent="0.5">
      <c r="A214" s="32"/>
      <c r="B214" s="10"/>
      <c r="C214" s="10"/>
      <c r="D214" s="11"/>
      <c r="E214" s="10"/>
      <c r="F214" s="10"/>
      <c r="G214" s="19"/>
      <c r="H214" s="19"/>
      <c r="I214" s="19"/>
      <c r="J214" s="19"/>
      <c r="K214" s="10"/>
      <c r="L214" s="10"/>
      <c r="M214" s="10"/>
      <c r="N214" s="10"/>
      <c r="O214" s="18"/>
      <c r="P214" s="18"/>
      <c r="Q214" s="21"/>
      <c r="R214" s="20"/>
      <c r="S214" s="16">
        <f t="shared" si="145"/>
        <v>0</v>
      </c>
      <c r="T214" s="11"/>
      <c r="AR214" s="31"/>
      <c r="AS214" s="31">
        <f t="shared" si="146"/>
        <v>0</v>
      </c>
      <c r="AT214" s="31">
        <f t="shared" si="147"/>
        <v>0</v>
      </c>
      <c r="AU214" s="31">
        <f t="shared" si="148"/>
        <v>0</v>
      </c>
      <c r="AV214" s="31">
        <f t="shared" si="149"/>
        <v>0</v>
      </c>
      <c r="AW214" s="31">
        <f t="shared" si="150"/>
        <v>0</v>
      </c>
      <c r="AX214" s="31">
        <f t="shared" si="151"/>
        <v>0</v>
      </c>
      <c r="AY214" s="31">
        <f t="shared" si="152"/>
        <v>0</v>
      </c>
      <c r="AZ214" s="31">
        <f t="shared" si="153"/>
        <v>0</v>
      </c>
      <c r="BA214" s="31">
        <f t="shared" si="154"/>
        <v>0</v>
      </c>
      <c r="BB214" s="31">
        <f t="shared" si="183"/>
        <v>0</v>
      </c>
      <c r="BC214" s="31"/>
      <c r="BD214" s="31"/>
      <c r="BM214" s="8">
        <f t="shared" si="184"/>
        <v>0</v>
      </c>
      <c r="BN214" s="8">
        <f t="shared" si="155"/>
        <v>0</v>
      </c>
      <c r="BO214" s="8">
        <f t="shared" si="156"/>
        <v>0</v>
      </c>
      <c r="BQ214" s="8">
        <f t="shared" si="157"/>
        <v>0</v>
      </c>
      <c r="BR214" s="63">
        <f t="shared" si="158"/>
        <v>0</v>
      </c>
      <c r="BS214" s="63">
        <f t="shared" si="185"/>
        <v>0</v>
      </c>
      <c r="BT214" s="63">
        <f t="shared" si="159"/>
        <v>0</v>
      </c>
      <c r="BU214" s="63">
        <f t="shared" si="160"/>
        <v>0</v>
      </c>
      <c r="BV214" s="57">
        <f t="shared" si="161"/>
        <v>0</v>
      </c>
      <c r="BW214" s="57">
        <f t="shared" si="162"/>
        <v>0</v>
      </c>
      <c r="BX214" s="57">
        <f t="shared" si="186"/>
        <v>0</v>
      </c>
      <c r="BY214" s="57">
        <f t="shared" si="144"/>
        <v>0</v>
      </c>
      <c r="BZ214" s="8">
        <f t="shared" si="163"/>
        <v>0</v>
      </c>
      <c r="CA214" s="8">
        <f t="shared" si="164"/>
        <v>0</v>
      </c>
      <c r="CB214" s="8">
        <f t="shared" si="165"/>
        <v>0</v>
      </c>
      <c r="CC214" s="8">
        <f t="shared" si="166"/>
        <v>0</v>
      </c>
      <c r="CD214" s="8">
        <f t="shared" si="167"/>
        <v>0</v>
      </c>
      <c r="CE214" s="8">
        <f t="shared" si="168"/>
        <v>0</v>
      </c>
      <c r="CF214" s="8">
        <f t="shared" si="169"/>
        <v>0</v>
      </c>
      <c r="CG214" s="8">
        <f t="shared" si="170"/>
        <v>0</v>
      </c>
      <c r="CH214" s="8">
        <f t="shared" si="171"/>
        <v>0</v>
      </c>
      <c r="CI214" s="8">
        <f t="shared" si="172"/>
        <v>0</v>
      </c>
      <c r="CJ214" s="8">
        <f t="shared" si="173"/>
        <v>0</v>
      </c>
      <c r="CK214" s="8">
        <f t="shared" si="174"/>
        <v>0</v>
      </c>
      <c r="CL214" s="8">
        <f t="shared" si="175"/>
        <v>0</v>
      </c>
      <c r="CM214" s="8">
        <f t="shared" si="176"/>
        <v>0</v>
      </c>
      <c r="CN214" s="8">
        <f t="shared" si="177"/>
        <v>0</v>
      </c>
      <c r="CO214" s="8">
        <f t="shared" si="178"/>
        <v>0</v>
      </c>
      <c r="CP214" s="8">
        <f t="shared" si="179"/>
        <v>0</v>
      </c>
      <c r="CQ214" s="8">
        <f t="shared" si="180"/>
        <v>0</v>
      </c>
      <c r="CR214" s="8">
        <f t="shared" si="181"/>
        <v>0</v>
      </c>
      <c r="CS214" s="8">
        <f t="shared" si="182"/>
        <v>0</v>
      </c>
      <c r="CT214" s="8">
        <f t="shared" si="187"/>
        <v>0</v>
      </c>
      <c r="CU214" s="8">
        <f t="shared" si="188"/>
        <v>0</v>
      </c>
      <c r="CV214" s="8">
        <f t="shared" si="189"/>
        <v>0</v>
      </c>
    </row>
    <row r="215" spans="1:100" ht="25.25" customHeight="1" thickTop="1" thickBot="1" x14ac:dyDescent="0.5">
      <c r="A215" s="32"/>
      <c r="B215" s="10"/>
      <c r="C215" s="10"/>
      <c r="D215" s="11"/>
      <c r="E215" s="10"/>
      <c r="F215" s="10"/>
      <c r="G215" s="19"/>
      <c r="H215" s="19"/>
      <c r="I215" s="19"/>
      <c r="J215" s="19"/>
      <c r="K215" s="10"/>
      <c r="L215" s="10"/>
      <c r="M215" s="10"/>
      <c r="N215" s="10"/>
      <c r="O215" s="18"/>
      <c r="P215" s="18"/>
      <c r="Q215" s="21"/>
      <c r="R215" s="20"/>
      <c r="S215" s="16">
        <f t="shared" si="145"/>
        <v>0</v>
      </c>
      <c r="T215" s="11"/>
      <c r="AR215" s="31"/>
      <c r="AS215" s="31">
        <f t="shared" si="146"/>
        <v>0</v>
      </c>
      <c r="AT215" s="31">
        <f t="shared" si="147"/>
        <v>0</v>
      </c>
      <c r="AU215" s="31">
        <f t="shared" si="148"/>
        <v>0</v>
      </c>
      <c r="AV215" s="31">
        <f t="shared" si="149"/>
        <v>0</v>
      </c>
      <c r="AW215" s="31">
        <f t="shared" si="150"/>
        <v>0</v>
      </c>
      <c r="AX215" s="31">
        <f t="shared" si="151"/>
        <v>0</v>
      </c>
      <c r="AY215" s="31">
        <f t="shared" si="152"/>
        <v>0</v>
      </c>
      <c r="AZ215" s="31">
        <f t="shared" si="153"/>
        <v>0</v>
      </c>
      <c r="BA215" s="31">
        <f t="shared" si="154"/>
        <v>0</v>
      </c>
      <c r="BB215" s="31">
        <f t="shared" si="183"/>
        <v>0</v>
      </c>
      <c r="BC215" s="31"/>
      <c r="BD215" s="31"/>
      <c r="BM215" s="8">
        <f t="shared" si="184"/>
        <v>0</v>
      </c>
      <c r="BN215" s="8">
        <f t="shared" si="155"/>
        <v>0</v>
      </c>
      <c r="BO215" s="8">
        <f t="shared" si="156"/>
        <v>0</v>
      </c>
      <c r="BQ215" s="8">
        <f t="shared" si="157"/>
        <v>0</v>
      </c>
      <c r="BR215" s="63">
        <f t="shared" si="158"/>
        <v>0</v>
      </c>
      <c r="BS215" s="63">
        <f t="shared" si="185"/>
        <v>0</v>
      </c>
      <c r="BT215" s="63">
        <f t="shared" si="159"/>
        <v>0</v>
      </c>
      <c r="BU215" s="63">
        <f t="shared" si="160"/>
        <v>0</v>
      </c>
      <c r="BV215" s="57">
        <f t="shared" si="161"/>
        <v>0</v>
      </c>
      <c r="BW215" s="57">
        <f t="shared" si="162"/>
        <v>0</v>
      </c>
      <c r="BX215" s="57">
        <f t="shared" si="186"/>
        <v>0</v>
      </c>
      <c r="BY215" s="57">
        <f t="shared" si="144"/>
        <v>0</v>
      </c>
      <c r="BZ215" s="8">
        <f t="shared" si="163"/>
        <v>0</v>
      </c>
      <c r="CA215" s="8">
        <f t="shared" si="164"/>
        <v>0</v>
      </c>
      <c r="CB215" s="8">
        <f t="shared" si="165"/>
        <v>0</v>
      </c>
      <c r="CC215" s="8">
        <f t="shared" si="166"/>
        <v>0</v>
      </c>
      <c r="CD215" s="8">
        <f t="shared" si="167"/>
        <v>0</v>
      </c>
      <c r="CE215" s="8">
        <f t="shared" si="168"/>
        <v>0</v>
      </c>
      <c r="CF215" s="8">
        <f t="shared" si="169"/>
        <v>0</v>
      </c>
      <c r="CG215" s="8">
        <f t="shared" si="170"/>
        <v>0</v>
      </c>
      <c r="CH215" s="8">
        <f t="shared" si="171"/>
        <v>0</v>
      </c>
      <c r="CI215" s="8">
        <f t="shared" si="172"/>
        <v>0</v>
      </c>
      <c r="CJ215" s="8">
        <f t="shared" si="173"/>
        <v>0</v>
      </c>
      <c r="CK215" s="8">
        <f t="shared" si="174"/>
        <v>0</v>
      </c>
      <c r="CL215" s="8">
        <f t="shared" si="175"/>
        <v>0</v>
      </c>
      <c r="CM215" s="8">
        <f t="shared" si="176"/>
        <v>0</v>
      </c>
      <c r="CN215" s="8">
        <f t="shared" si="177"/>
        <v>0</v>
      </c>
      <c r="CO215" s="8">
        <f t="shared" si="178"/>
        <v>0</v>
      </c>
      <c r="CP215" s="8">
        <f t="shared" si="179"/>
        <v>0</v>
      </c>
      <c r="CQ215" s="8">
        <f t="shared" si="180"/>
        <v>0</v>
      </c>
      <c r="CR215" s="8">
        <f t="shared" si="181"/>
        <v>0</v>
      </c>
      <c r="CS215" s="8">
        <f t="shared" si="182"/>
        <v>0</v>
      </c>
      <c r="CT215" s="8">
        <f t="shared" si="187"/>
        <v>0</v>
      </c>
      <c r="CU215" s="8">
        <f t="shared" si="188"/>
        <v>0</v>
      </c>
      <c r="CV215" s="8">
        <f t="shared" si="189"/>
        <v>0</v>
      </c>
    </row>
    <row r="216" spans="1:100" ht="25.25" customHeight="1" thickTop="1" thickBot="1" x14ac:dyDescent="0.5">
      <c r="A216" s="32"/>
      <c r="B216" s="10"/>
      <c r="C216" s="10"/>
      <c r="D216" s="11"/>
      <c r="E216" s="10"/>
      <c r="F216" s="10"/>
      <c r="G216" s="19"/>
      <c r="H216" s="19"/>
      <c r="I216" s="19"/>
      <c r="J216" s="19"/>
      <c r="K216" s="10"/>
      <c r="L216" s="10"/>
      <c r="M216" s="10"/>
      <c r="N216" s="10"/>
      <c r="O216" s="18"/>
      <c r="P216" s="18"/>
      <c r="Q216" s="21"/>
      <c r="R216" s="20"/>
      <c r="S216" s="16">
        <f t="shared" si="145"/>
        <v>0</v>
      </c>
      <c r="T216" s="11"/>
      <c r="AR216" s="31"/>
      <c r="AS216" s="31">
        <f t="shared" si="146"/>
        <v>0</v>
      </c>
      <c r="AT216" s="31">
        <f t="shared" si="147"/>
        <v>0</v>
      </c>
      <c r="AU216" s="31">
        <f t="shared" si="148"/>
        <v>0</v>
      </c>
      <c r="AV216" s="31">
        <f t="shared" si="149"/>
        <v>0</v>
      </c>
      <c r="AW216" s="31">
        <f t="shared" si="150"/>
        <v>0</v>
      </c>
      <c r="AX216" s="31">
        <f t="shared" si="151"/>
        <v>0</v>
      </c>
      <c r="AY216" s="31">
        <f t="shared" si="152"/>
        <v>0</v>
      </c>
      <c r="AZ216" s="31">
        <f t="shared" si="153"/>
        <v>0</v>
      </c>
      <c r="BA216" s="31">
        <f t="shared" si="154"/>
        <v>0</v>
      </c>
      <c r="BB216" s="31">
        <f t="shared" si="183"/>
        <v>0</v>
      </c>
      <c r="BC216" s="31"/>
      <c r="BD216" s="31"/>
      <c r="BM216" s="8">
        <f t="shared" si="184"/>
        <v>0</v>
      </c>
      <c r="BN216" s="8">
        <f t="shared" si="155"/>
        <v>0</v>
      </c>
      <c r="BO216" s="8">
        <f t="shared" si="156"/>
        <v>0</v>
      </c>
      <c r="BQ216" s="8">
        <f t="shared" si="157"/>
        <v>0</v>
      </c>
      <c r="BR216" s="63">
        <f t="shared" si="158"/>
        <v>0</v>
      </c>
      <c r="BS216" s="63">
        <f t="shared" si="185"/>
        <v>0</v>
      </c>
      <c r="BT216" s="63">
        <f t="shared" si="159"/>
        <v>0</v>
      </c>
      <c r="BU216" s="63">
        <f t="shared" si="160"/>
        <v>0</v>
      </c>
      <c r="BV216" s="57">
        <f t="shared" si="161"/>
        <v>0</v>
      </c>
      <c r="BW216" s="57">
        <f t="shared" si="162"/>
        <v>0</v>
      </c>
      <c r="BX216" s="57">
        <f t="shared" si="186"/>
        <v>0</v>
      </c>
      <c r="BY216" s="57">
        <f t="shared" si="144"/>
        <v>0</v>
      </c>
      <c r="BZ216" s="8">
        <f t="shared" si="163"/>
        <v>0</v>
      </c>
      <c r="CA216" s="8">
        <f t="shared" si="164"/>
        <v>0</v>
      </c>
      <c r="CB216" s="8">
        <f t="shared" si="165"/>
        <v>0</v>
      </c>
      <c r="CC216" s="8">
        <f t="shared" si="166"/>
        <v>0</v>
      </c>
      <c r="CD216" s="8">
        <f t="shared" si="167"/>
        <v>0</v>
      </c>
      <c r="CE216" s="8">
        <f t="shared" si="168"/>
        <v>0</v>
      </c>
      <c r="CF216" s="8">
        <f t="shared" si="169"/>
        <v>0</v>
      </c>
      <c r="CG216" s="8">
        <f t="shared" si="170"/>
        <v>0</v>
      </c>
      <c r="CH216" s="8">
        <f t="shared" si="171"/>
        <v>0</v>
      </c>
      <c r="CI216" s="8">
        <f t="shared" si="172"/>
        <v>0</v>
      </c>
      <c r="CJ216" s="8">
        <f t="shared" si="173"/>
        <v>0</v>
      </c>
      <c r="CK216" s="8">
        <f t="shared" si="174"/>
        <v>0</v>
      </c>
      <c r="CL216" s="8">
        <f t="shared" si="175"/>
        <v>0</v>
      </c>
      <c r="CM216" s="8">
        <f t="shared" si="176"/>
        <v>0</v>
      </c>
      <c r="CN216" s="8">
        <f t="shared" si="177"/>
        <v>0</v>
      </c>
      <c r="CO216" s="8">
        <f t="shared" si="178"/>
        <v>0</v>
      </c>
      <c r="CP216" s="8">
        <f t="shared" si="179"/>
        <v>0</v>
      </c>
      <c r="CQ216" s="8">
        <f t="shared" si="180"/>
        <v>0</v>
      </c>
      <c r="CR216" s="8">
        <f t="shared" si="181"/>
        <v>0</v>
      </c>
      <c r="CS216" s="8">
        <f t="shared" si="182"/>
        <v>0</v>
      </c>
      <c r="CT216" s="8">
        <f t="shared" si="187"/>
        <v>0</v>
      </c>
      <c r="CU216" s="8">
        <f t="shared" si="188"/>
        <v>0</v>
      </c>
      <c r="CV216" s="8">
        <f t="shared" si="189"/>
        <v>0</v>
      </c>
    </row>
    <row r="217" spans="1:100" ht="25.25" customHeight="1" thickTop="1" thickBot="1" x14ac:dyDescent="0.5">
      <c r="A217" s="32"/>
      <c r="B217" s="10"/>
      <c r="C217" s="10"/>
      <c r="D217" s="11"/>
      <c r="E217" s="10"/>
      <c r="F217" s="10"/>
      <c r="G217" s="19"/>
      <c r="H217" s="19"/>
      <c r="I217" s="19"/>
      <c r="J217" s="19"/>
      <c r="K217" s="10"/>
      <c r="L217" s="10"/>
      <c r="M217" s="10"/>
      <c r="N217" s="10"/>
      <c r="O217" s="18"/>
      <c r="P217" s="18"/>
      <c r="Q217" s="21"/>
      <c r="R217" s="20"/>
      <c r="S217" s="16">
        <f t="shared" si="145"/>
        <v>0</v>
      </c>
      <c r="T217" s="11"/>
      <c r="AR217" s="31"/>
      <c r="AS217" s="31">
        <f t="shared" si="146"/>
        <v>0</v>
      </c>
      <c r="AT217" s="31">
        <f t="shared" si="147"/>
        <v>0</v>
      </c>
      <c r="AU217" s="31">
        <f t="shared" si="148"/>
        <v>0</v>
      </c>
      <c r="AV217" s="31">
        <f t="shared" si="149"/>
        <v>0</v>
      </c>
      <c r="AW217" s="31">
        <f t="shared" si="150"/>
        <v>0</v>
      </c>
      <c r="AX217" s="31">
        <f t="shared" si="151"/>
        <v>0</v>
      </c>
      <c r="AY217" s="31">
        <f t="shared" si="152"/>
        <v>0</v>
      </c>
      <c r="AZ217" s="31">
        <f t="shared" si="153"/>
        <v>0</v>
      </c>
      <c r="BA217" s="31">
        <f t="shared" si="154"/>
        <v>0</v>
      </c>
      <c r="BB217" s="31">
        <f t="shared" si="183"/>
        <v>0</v>
      </c>
      <c r="BC217" s="31"/>
      <c r="BD217" s="31"/>
      <c r="BM217" s="8">
        <f t="shared" si="184"/>
        <v>0</v>
      </c>
      <c r="BN217" s="8">
        <f t="shared" si="155"/>
        <v>0</v>
      </c>
      <c r="BO217" s="8">
        <f t="shared" si="156"/>
        <v>0</v>
      </c>
      <c r="BQ217" s="8">
        <f t="shared" si="157"/>
        <v>0</v>
      </c>
      <c r="BR217" s="63">
        <f t="shared" si="158"/>
        <v>0</v>
      </c>
      <c r="BS217" s="63">
        <f t="shared" si="185"/>
        <v>0</v>
      </c>
      <c r="BT217" s="63">
        <f t="shared" si="159"/>
        <v>0</v>
      </c>
      <c r="BU217" s="63">
        <f t="shared" si="160"/>
        <v>0</v>
      </c>
      <c r="BV217" s="57">
        <f t="shared" si="161"/>
        <v>0</v>
      </c>
      <c r="BW217" s="57">
        <f t="shared" si="162"/>
        <v>0</v>
      </c>
      <c r="BX217" s="57">
        <f t="shared" si="186"/>
        <v>0</v>
      </c>
      <c r="BY217" s="57">
        <f t="shared" si="144"/>
        <v>0</v>
      </c>
      <c r="BZ217" s="8">
        <f t="shared" si="163"/>
        <v>0</v>
      </c>
      <c r="CA217" s="8">
        <f t="shared" si="164"/>
        <v>0</v>
      </c>
      <c r="CB217" s="8">
        <f t="shared" si="165"/>
        <v>0</v>
      </c>
      <c r="CC217" s="8">
        <f t="shared" si="166"/>
        <v>0</v>
      </c>
      <c r="CD217" s="8">
        <f t="shared" si="167"/>
        <v>0</v>
      </c>
      <c r="CE217" s="8">
        <f t="shared" si="168"/>
        <v>0</v>
      </c>
      <c r="CF217" s="8">
        <f t="shared" si="169"/>
        <v>0</v>
      </c>
      <c r="CG217" s="8">
        <f t="shared" si="170"/>
        <v>0</v>
      </c>
      <c r="CH217" s="8">
        <f t="shared" si="171"/>
        <v>0</v>
      </c>
      <c r="CI217" s="8">
        <f t="shared" si="172"/>
        <v>0</v>
      </c>
      <c r="CJ217" s="8">
        <f t="shared" si="173"/>
        <v>0</v>
      </c>
      <c r="CK217" s="8">
        <f t="shared" si="174"/>
        <v>0</v>
      </c>
      <c r="CL217" s="8">
        <f t="shared" si="175"/>
        <v>0</v>
      </c>
      <c r="CM217" s="8">
        <f t="shared" si="176"/>
        <v>0</v>
      </c>
      <c r="CN217" s="8">
        <f t="shared" si="177"/>
        <v>0</v>
      </c>
      <c r="CO217" s="8">
        <f t="shared" si="178"/>
        <v>0</v>
      </c>
      <c r="CP217" s="8">
        <f t="shared" si="179"/>
        <v>0</v>
      </c>
      <c r="CQ217" s="8">
        <f t="shared" si="180"/>
        <v>0</v>
      </c>
      <c r="CR217" s="8">
        <f t="shared" si="181"/>
        <v>0</v>
      </c>
      <c r="CS217" s="8">
        <f t="shared" si="182"/>
        <v>0</v>
      </c>
      <c r="CT217" s="8">
        <f t="shared" si="187"/>
        <v>0</v>
      </c>
      <c r="CU217" s="8">
        <f t="shared" si="188"/>
        <v>0</v>
      </c>
      <c r="CV217" s="8">
        <f t="shared" si="189"/>
        <v>0</v>
      </c>
    </row>
    <row r="218" spans="1:100" ht="25.25" customHeight="1" thickTop="1" thickBot="1" x14ac:dyDescent="0.5">
      <c r="A218" s="32"/>
      <c r="B218" s="10"/>
      <c r="C218" s="10"/>
      <c r="D218" s="11"/>
      <c r="E218" s="10"/>
      <c r="F218" s="10"/>
      <c r="G218" s="19"/>
      <c r="H218" s="19"/>
      <c r="I218" s="19"/>
      <c r="J218" s="19"/>
      <c r="K218" s="10"/>
      <c r="L218" s="10"/>
      <c r="M218" s="10"/>
      <c r="N218" s="10"/>
      <c r="O218" s="18"/>
      <c r="P218" s="18"/>
      <c r="Q218" s="21"/>
      <c r="R218" s="20"/>
      <c r="S218" s="16">
        <f t="shared" si="145"/>
        <v>0</v>
      </c>
      <c r="T218" s="11"/>
      <c r="AR218" s="31"/>
      <c r="AS218" s="31">
        <f t="shared" si="146"/>
        <v>0</v>
      </c>
      <c r="AT218" s="31">
        <f t="shared" si="147"/>
        <v>0</v>
      </c>
      <c r="AU218" s="31">
        <f t="shared" si="148"/>
        <v>0</v>
      </c>
      <c r="AV218" s="31">
        <f t="shared" si="149"/>
        <v>0</v>
      </c>
      <c r="AW218" s="31">
        <f t="shared" si="150"/>
        <v>0</v>
      </c>
      <c r="AX218" s="31">
        <f t="shared" si="151"/>
        <v>0</v>
      </c>
      <c r="AY218" s="31">
        <f t="shared" si="152"/>
        <v>0</v>
      </c>
      <c r="AZ218" s="31">
        <f t="shared" si="153"/>
        <v>0</v>
      </c>
      <c r="BA218" s="31">
        <f t="shared" si="154"/>
        <v>0</v>
      </c>
      <c r="BB218" s="31">
        <f t="shared" si="183"/>
        <v>0</v>
      </c>
      <c r="BC218" s="31"/>
      <c r="BD218" s="31"/>
      <c r="BM218" s="8">
        <f t="shared" si="184"/>
        <v>0</v>
      </c>
      <c r="BN218" s="8">
        <f t="shared" si="155"/>
        <v>0</v>
      </c>
      <c r="BO218" s="8">
        <f t="shared" si="156"/>
        <v>0</v>
      </c>
      <c r="BQ218" s="8">
        <f t="shared" si="157"/>
        <v>0</v>
      </c>
      <c r="BR218" s="63">
        <f t="shared" si="158"/>
        <v>0</v>
      </c>
      <c r="BS218" s="63">
        <f t="shared" si="185"/>
        <v>0</v>
      </c>
      <c r="BT218" s="63">
        <f t="shared" si="159"/>
        <v>0</v>
      </c>
      <c r="BU218" s="63">
        <f t="shared" si="160"/>
        <v>0</v>
      </c>
      <c r="BV218" s="57">
        <f t="shared" si="161"/>
        <v>0</v>
      </c>
      <c r="BW218" s="57">
        <f t="shared" si="162"/>
        <v>0</v>
      </c>
      <c r="BX218" s="57">
        <f t="shared" si="186"/>
        <v>0</v>
      </c>
      <c r="BY218" s="57">
        <f t="shared" si="144"/>
        <v>0</v>
      </c>
      <c r="BZ218" s="8">
        <f t="shared" si="163"/>
        <v>0</v>
      </c>
      <c r="CA218" s="8">
        <f t="shared" si="164"/>
        <v>0</v>
      </c>
      <c r="CB218" s="8">
        <f t="shared" si="165"/>
        <v>0</v>
      </c>
      <c r="CC218" s="8">
        <f t="shared" si="166"/>
        <v>0</v>
      </c>
      <c r="CD218" s="8">
        <f t="shared" si="167"/>
        <v>0</v>
      </c>
      <c r="CE218" s="8">
        <f t="shared" si="168"/>
        <v>0</v>
      </c>
      <c r="CF218" s="8">
        <f t="shared" si="169"/>
        <v>0</v>
      </c>
      <c r="CG218" s="8">
        <f t="shared" si="170"/>
        <v>0</v>
      </c>
      <c r="CH218" s="8">
        <f t="shared" si="171"/>
        <v>0</v>
      </c>
      <c r="CI218" s="8">
        <f t="shared" si="172"/>
        <v>0</v>
      </c>
      <c r="CJ218" s="8">
        <f t="shared" si="173"/>
        <v>0</v>
      </c>
      <c r="CK218" s="8">
        <f t="shared" si="174"/>
        <v>0</v>
      </c>
      <c r="CL218" s="8">
        <f t="shared" si="175"/>
        <v>0</v>
      </c>
      <c r="CM218" s="8">
        <f t="shared" si="176"/>
        <v>0</v>
      </c>
      <c r="CN218" s="8">
        <f t="shared" si="177"/>
        <v>0</v>
      </c>
      <c r="CO218" s="8">
        <f t="shared" si="178"/>
        <v>0</v>
      </c>
      <c r="CP218" s="8">
        <f t="shared" si="179"/>
        <v>0</v>
      </c>
      <c r="CQ218" s="8">
        <f t="shared" si="180"/>
        <v>0</v>
      </c>
      <c r="CR218" s="8">
        <f t="shared" si="181"/>
        <v>0</v>
      </c>
      <c r="CS218" s="8">
        <f t="shared" si="182"/>
        <v>0</v>
      </c>
      <c r="CT218" s="8">
        <f t="shared" si="187"/>
        <v>0</v>
      </c>
      <c r="CU218" s="8">
        <f t="shared" si="188"/>
        <v>0</v>
      </c>
      <c r="CV218" s="8">
        <f t="shared" si="189"/>
        <v>0</v>
      </c>
    </row>
    <row r="219" spans="1:100" ht="25.25" customHeight="1" thickTop="1" thickBot="1" x14ac:dyDescent="0.5">
      <c r="A219" s="32"/>
      <c r="B219" s="10"/>
      <c r="C219" s="10"/>
      <c r="D219" s="11"/>
      <c r="E219" s="10"/>
      <c r="F219" s="10"/>
      <c r="G219" s="19"/>
      <c r="H219" s="19"/>
      <c r="I219" s="19"/>
      <c r="J219" s="19"/>
      <c r="K219" s="10"/>
      <c r="L219" s="10"/>
      <c r="M219" s="10"/>
      <c r="N219" s="10"/>
      <c r="O219" s="18"/>
      <c r="P219" s="18"/>
      <c r="Q219" s="21"/>
      <c r="R219" s="20"/>
      <c r="S219" s="16">
        <f t="shared" si="145"/>
        <v>0</v>
      </c>
      <c r="T219" s="11"/>
      <c r="AR219" s="31"/>
      <c r="AS219" s="31">
        <f t="shared" si="146"/>
        <v>0</v>
      </c>
      <c r="AT219" s="31">
        <f t="shared" si="147"/>
        <v>0</v>
      </c>
      <c r="AU219" s="31">
        <f t="shared" si="148"/>
        <v>0</v>
      </c>
      <c r="AV219" s="31">
        <f t="shared" si="149"/>
        <v>0</v>
      </c>
      <c r="AW219" s="31">
        <f t="shared" si="150"/>
        <v>0</v>
      </c>
      <c r="AX219" s="31">
        <f t="shared" si="151"/>
        <v>0</v>
      </c>
      <c r="AY219" s="31">
        <f t="shared" si="152"/>
        <v>0</v>
      </c>
      <c r="AZ219" s="31">
        <f t="shared" si="153"/>
        <v>0</v>
      </c>
      <c r="BA219" s="31">
        <f t="shared" si="154"/>
        <v>0</v>
      </c>
      <c r="BB219" s="31">
        <f t="shared" si="183"/>
        <v>0</v>
      </c>
      <c r="BC219" s="31"/>
      <c r="BD219" s="31"/>
      <c r="BM219" s="8">
        <f t="shared" si="184"/>
        <v>0</v>
      </c>
      <c r="BN219" s="8">
        <f t="shared" si="155"/>
        <v>0</v>
      </c>
      <c r="BO219" s="8">
        <f t="shared" si="156"/>
        <v>0</v>
      </c>
      <c r="BQ219" s="8">
        <f t="shared" si="157"/>
        <v>0</v>
      </c>
      <c r="BR219" s="63">
        <f t="shared" si="158"/>
        <v>0</v>
      </c>
      <c r="BS219" s="63">
        <f t="shared" si="185"/>
        <v>0</v>
      </c>
      <c r="BT219" s="63">
        <f t="shared" si="159"/>
        <v>0</v>
      </c>
      <c r="BU219" s="63">
        <f t="shared" si="160"/>
        <v>0</v>
      </c>
      <c r="BV219" s="57">
        <f t="shared" si="161"/>
        <v>0</v>
      </c>
      <c r="BW219" s="57">
        <f t="shared" si="162"/>
        <v>0</v>
      </c>
      <c r="BX219" s="57">
        <f t="shared" si="186"/>
        <v>0</v>
      </c>
      <c r="BY219" s="57">
        <f t="shared" si="144"/>
        <v>0</v>
      </c>
      <c r="BZ219" s="8">
        <f t="shared" si="163"/>
        <v>0</v>
      </c>
      <c r="CA219" s="8">
        <f t="shared" si="164"/>
        <v>0</v>
      </c>
      <c r="CB219" s="8">
        <f t="shared" si="165"/>
        <v>0</v>
      </c>
      <c r="CC219" s="8">
        <f t="shared" si="166"/>
        <v>0</v>
      </c>
      <c r="CD219" s="8">
        <f t="shared" si="167"/>
        <v>0</v>
      </c>
      <c r="CE219" s="8">
        <f t="shared" si="168"/>
        <v>0</v>
      </c>
      <c r="CF219" s="8">
        <f t="shared" si="169"/>
        <v>0</v>
      </c>
      <c r="CG219" s="8">
        <f t="shared" si="170"/>
        <v>0</v>
      </c>
      <c r="CH219" s="8">
        <f t="shared" si="171"/>
        <v>0</v>
      </c>
      <c r="CI219" s="8">
        <f t="shared" si="172"/>
        <v>0</v>
      </c>
      <c r="CJ219" s="8">
        <f t="shared" si="173"/>
        <v>0</v>
      </c>
      <c r="CK219" s="8">
        <f t="shared" si="174"/>
        <v>0</v>
      </c>
      <c r="CL219" s="8">
        <f t="shared" si="175"/>
        <v>0</v>
      </c>
      <c r="CM219" s="8">
        <f t="shared" si="176"/>
        <v>0</v>
      </c>
      <c r="CN219" s="8">
        <f t="shared" si="177"/>
        <v>0</v>
      </c>
      <c r="CO219" s="8">
        <f t="shared" si="178"/>
        <v>0</v>
      </c>
      <c r="CP219" s="8">
        <f t="shared" si="179"/>
        <v>0</v>
      </c>
      <c r="CQ219" s="8">
        <f t="shared" si="180"/>
        <v>0</v>
      </c>
      <c r="CR219" s="8">
        <f t="shared" si="181"/>
        <v>0</v>
      </c>
      <c r="CS219" s="8">
        <f t="shared" si="182"/>
        <v>0</v>
      </c>
      <c r="CT219" s="8">
        <f t="shared" si="187"/>
        <v>0</v>
      </c>
      <c r="CU219" s="8">
        <f t="shared" si="188"/>
        <v>0</v>
      </c>
      <c r="CV219" s="8">
        <f t="shared" si="189"/>
        <v>0</v>
      </c>
    </row>
    <row r="220" spans="1:100" ht="25.25" customHeight="1" thickTop="1" thickBot="1" x14ac:dyDescent="0.5">
      <c r="A220" s="32"/>
      <c r="B220" s="10"/>
      <c r="C220" s="10"/>
      <c r="D220" s="11"/>
      <c r="E220" s="10"/>
      <c r="F220" s="10"/>
      <c r="G220" s="19"/>
      <c r="H220" s="19"/>
      <c r="I220" s="19"/>
      <c r="J220" s="19"/>
      <c r="K220" s="10"/>
      <c r="L220" s="10"/>
      <c r="M220" s="10"/>
      <c r="N220" s="10"/>
      <c r="O220" s="18"/>
      <c r="P220" s="18"/>
      <c r="Q220" s="21"/>
      <c r="R220" s="20"/>
      <c r="S220" s="16">
        <f t="shared" si="145"/>
        <v>0</v>
      </c>
      <c r="T220" s="11"/>
      <c r="AR220" s="31"/>
      <c r="AS220" s="31">
        <f t="shared" si="146"/>
        <v>0</v>
      </c>
      <c r="AT220" s="31">
        <f t="shared" si="147"/>
        <v>0</v>
      </c>
      <c r="AU220" s="31">
        <f t="shared" si="148"/>
        <v>0</v>
      </c>
      <c r="AV220" s="31">
        <f t="shared" si="149"/>
        <v>0</v>
      </c>
      <c r="AW220" s="31">
        <f t="shared" si="150"/>
        <v>0</v>
      </c>
      <c r="AX220" s="31">
        <f t="shared" si="151"/>
        <v>0</v>
      </c>
      <c r="AY220" s="31">
        <f t="shared" si="152"/>
        <v>0</v>
      </c>
      <c r="AZ220" s="31">
        <f t="shared" si="153"/>
        <v>0</v>
      </c>
      <c r="BA220" s="31">
        <f t="shared" si="154"/>
        <v>0</v>
      </c>
      <c r="BB220" s="31">
        <f t="shared" si="183"/>
        <v>0</v>
      </c>
      <c r="BC220" s="31"/>
      <c r="BD220" s="31"/>
      <c r="BM220" s="8">
        <f t="shared" si="184"/>
        <v>0</v>
      </c>
      <c r="BN220" s="8">
        <f t="shared" si="155"/>
        <v>0</v>
      </c>
      <c r="BO220" s="8">
        <f t="shared" si="156"/>
        <v>0</v>
      </c>
      <c r="BQ220" s="8">
        <f t="shared" si="157"/>
        <v>0</v>
      </c>
      <c r="BR220" s="63">
        <f t="shared" si="158"/>
        <v>0</v>
      </c>
      <c r="BS220" s="63">
        <f t="shared" si="185"/>
        <v>0</v>
      </c>
      <c r="BT220" s="63">
        <f t="shared" si="159"/>
        <v>0</v>
      </c>
      <c r="BU220" s="63">
        <f t="shared" si="160"/>
        <v>0</v>
      </c>
      <c r="BV220" s="57">
        <f t="shared" si="161"/>
        <v>0</v>
      </c>
      <c r="BW220" s="57">
        <f t="shared" si="162"/>
        <v>0</v>
      </c>
      <c r="BX220" s="57">
        <f t="shared" si="186"/>
        <v>0</v>
      </c>
      <c r="BY220" s="57">
        <f t="shared" si="144"/>
        <v>0</v>
      </c>
      <c r="BZ220" s="8">
        <f t="shared" si="163"/>
        <v>0</v>
      </c>
      <c r="CA220" s="8">
        <f t="shared" si="164"/>
        <v>0</v>
      </c>
      <c r="CB220" s="8">
        <f t="shared" si="165"/>
        <v>0</v>
      </c>
      <c r="CC220" s="8">
        <f t="shared" si="166"/>
        <v>0</v>
      </c>
      <c r="CD220" s="8">
        <f t="shared" si="167"/>
        <v>0</v>
      </c>
      <c r="CE220" s="8">
        <f t="shared" si="168"/>
        <v>0</v>
      </c>
      <c r="CF220" s="8">
        <f t="shared" si="169"/>
        <v>0</v>
      </c>
      <c r="CG220" s="8">
        <f t="shared" si="170"/>
        <v>0</v>
      </c>
      <c r="CH220" s="8">
        <f t="shared" si="171"/>
        <v>0</v>
      </c>
      <c r="CI220" s="8">
        <f t="shared" si="172"/>
        <v>0</v>
      </c>
      <c r="CJ220" s="8">
        <f t="shared" si="173"/>
        <v>0</v>
      </c>
      <c r="CK220" s="8">
        <f t="shared" si="174"/>
        <v>0</v>
      </c>
      <c r="CL220" s="8">
        <f t="shared" si="175"/>
        <v>0</v>
      </c>
      <c r="CM220" s="8">
        <f t="shared" si="176"/>
        <v>0</v>
      </c>
      <c r="CN220" s="8">
        <f t="shared" si="177"/>
        <v>0</v>
      </c>
      <c r="CO220" s="8">
        <f t="shared" si="178"/>
        <v>0</v>
      </c>
      <c r="CP220" s="8">
        <f t="shared" si="179"/>
        <v>0</v>
      </c>
      <c r="CQ220" s="8">
        <f t="shared" si="180"/>
        <v>0</v>
      </c>
      <c r="CR220" s="8">
        <f t="shared" si="181"/>
        <v>0</v>
      </c>
      <c r="CS220" s="8">
        <f t="shared" si="182"/>
        <v>0</v>
      </c>
      <c r="CT220" s="8">
        <f t="shared" si="187"/>
        <v>0</v>
      </c>
      <c r="CU220" s="8">
        <f t="shared" si="188"/>
        <v>0</v>
      </c>
      <c r="CV220" s="8">
        <f t="shared" si="189"/>
        <v>0</v>
      </c>
    </row>
    <row r="221" spans="1:100" ht="25.25" customHeight="1" thickTop="1" thickBot="1" x14ac:dyDescent="0.5">
      <c r="A221" s="32"/>
      <c r="B221" s="10"/>
      <c r="C221" s="10"/>
      <c r="D221" s="11"/>
      <c r="E221" s="10"/>
      <c r="F221" s="10"/>
      <c r="G221" s="19"/>
      <c r="H221" s="19"/>
      <c r="I221" s="19"/>
      <c r="J221" s="19"/>
      <c r="K221" s="10"/>
      <c r="L221" s="10"/>
      <c r="M221" s="10"/>
      <c r="N221" s="10"/>
      <c r="O221" s="18"/>
      <c r="P221" s="18"/>
      <c r="Q221" s="21"/>
      <c r="R221" s="20"/>
      <c r="S221" s="16">
        <f t="shared" si="145"/>
        <v>0</v>
      </c>
      <c r="T221" s="11"/>
      <c r="AR221" s="31"/>
      <c r="AS221" s="31">
        <f t="shared" si="146"/>
        <v>0</v>
      </c>
      <c r="AT221" s="31">
        <f t="shared" si="147"/>
        <v>0</v>
      </c>
      <c r="AU221" s="31">
        <f t="shared" si="148"/>
        <v>0</v>
      </c>
      <c r="AV221" s="31">
        <f t="shared" si="149"/>
        <v>0</v>
      </c>
      <c r="AW221" s="31">
        <f t="shared" si="150"/>
        <v>0</v>
      </c>
      <c r="AX221" s="31">
        <f t="shared" si="151"/>
        <v>0</v>
      </c>
      <c r="AY221" s="31">
        <f t="shared" si="152"/>
        <v>0</v>
      </c>
      <c r="AZ221" s="31">
        <f t="shared" si="153"/>
        <v>0</v>
      </c>
      <c r="BA221" s="31">
        <f t="shared" si="154"/>
        <v>0</v>
      </c>
      <c r="BB221" s="31">
        <f t="shared" si="183"/>
        <v>0</v>
      </c>
      <c r="BC221" s="31"/>
      <c r="BD221" s="31"/>
      <c r="BM221" s="8">
        <f t="shared" si="184"/>
        <v>0</v>
      </c>
      <c r="BN221" s="8">
        <f t="shared" si="155"/>
        <v>0</v>
      </c>
      <c r="BO221" s="8">
        <f t="shared" si="156"/>
        <v>0</v>
      </c>
      <c r="BQ221" s="8">
        <f t="shared" si="157"/>
        <v>0</v>
      </c>
      <c r="BR221" s="63">
        <f t="shared" si="158"/>
        <v>0</v>
      </c>
      <c r="BS221" s="63">
        <f t="shared" si="185"/>
        <v>0</v>
      </c>
      <c r="BT221" s="63">
        <f t="shared" si="159"/>
        <v>0</v>
      </c>
      <c r="BU221" s="63">
        <f t="shared" si="160"/>
        <v>0</v>
      </c>
      <c r="BV221" s="57">
        <f t="shared" si="161"/>
        <v>0</v>
      </c>
      <c r="BW221" s="57">
        <f t="shared" si="162"/>
        <v>0</v>
      </c>
      <c r="BX221" s="57">
        <f t="shared" si="186"/>
        <v>0</v>
      </c>
      <c r="BY221" s="57">
        <f t="shared" ref="BY221:BY284" si="190">IF(AND(OR(N221="YES",N221="HDD",N221="EX PIPES"),K221=""),D221*(F221+G221),0)</f>
        <v>0</v>
      </c>
      <c r="BZ221" s="8">
        <f t="shared" si="163"/>
        <v>0</v>
      </c>
      <c r="CA221" s="8">
        <f t="shared" si="164"/>
        <v>0</v>
      </c>
      <c r="CB221" s="8">
        <f t="shared" si="165"/>
        <v>0</v>
      </c>
      <c r="CC221" s="8">
        <f t="shared" si="166"/>
        <v>0</v>
      </c>
      <c r="CD221" s="8">
        <f t="shared" si="167"/>
        <v>0</v>
      </c>
      <c r="CE221" s="8">
        <f t="shared" si="168"/>
        <v>0</v>
      </c>
      <c r="CF221" s="8">
        <f t="shared" si="169"/>
        <v>0</v>
      </c>
      <c r="CG221" s="8">
        <f t="shared" si="170"/>
        <v>0</v>
      </c>
      <c r="CH221" s="8">
        <f t="shared" si="171"/>
        <v>0</v>
      </c>
      <c r="CI221" s="8">
        <f t="shared" si="172"/>
        <v>0</v>
      </c>
      <c r="CJ221" s="8">
        <f t="shared" si="173"/>
        <v>0</v>
      </c>
      <c r="CK221" s="8">
        <f t="shared" si="174"/>
        <v>0</v>
      </c>
      <c r="CL221" s="8">
        <f t="shared" si="175"/>
        <v>0</v>
      </c>
      <c r="CM221" s="8">
        <f t="shared" si="176"/>
        <v>0</v>
      </c>
      <c r="CN221" s="8">
        <f t="shared" si="177"/>
        <v>0</v>
      </c>
      <c r="CO221" s="8">
        <f t="shared" si="178"/>
        <v>0</v>
      </c>
      <c r="CP221" s="8">
        <f t="shared" si="179"/>
        <v>0</v>
      </c>
      <c r="CQ221" s="8">
        <f t="shared" si="180"/>
        <v>0</v>
      </c>
      <c r="CR221" s="8">
        <f t="shared" si="181"/>
        <v>0</v>
      </c>
      <c r="CS221" s="8">
        <f t="shared" si="182"/>
        <v>0</v>
      </c>
      <c r="CT221" s="8">
        <f t="shared" si="187"/>
        <v>0</v>
      </c>
      <c r="CU221" s="8">
        <f t="shared" si="188"/>
        <v>0</v>
      </c>
      <c r="CV221" s="8">
        <f t="shared" si="189"/>
        <v>0</v>
      </c>
    </row>
    <row r="222" spans="1:100" ht="25.25" customHeight="1" thickTop="1" thickBot="1" x14ac:dyDescent="0.5">
      <c r="A222" s="32"/>
      <c r="B222" s="10"/>
      <c r="C222" s="10"/>
      <c r="D222" s="11"/>
      <c r="E222" s="10"/>
      <c r="F222" s="10"/>
      <c r="G222" s="19"/>
      <c r="H222" s="19"/>
      <c r="I222" s="19"/>
      <c r="J222" s="19"/>
      <c r="K222" s="10"/>
      <c r="L222" s="10"/>
      <c r="M222" s="10"/>
      <c r="N222" s="10"/>
      <c r="O222" s="18"/>
      <c r="P222" s="18"/>
      <c r="Q222" s="21"/>
      <c r="R222" s="20"/>
      <c r="S222" s="16">
        <f t="shared" si="145"/>
        <v>0</v>
      </c>
      <c r="T222" s="11"/>
      <c r="AR222" s="31"/>
      <c r="AS222" s="31">
        <f t="shared" si="146"/>
        <v>0</v>
      </c>
      <c r="AT222" s="31">
        <f t="shared" si="147"/>
        <v>0</v>
      </c>
      <c r="AU222" s="31">
        <f t="shared" si="148"/>
        <v>0</v>
      </c>
      <c r="AV222" s="31">
        <f t="shared" si="149"/>
        <v>0</v>
      </c>
      <c r="AW222" s="31">
        <f t="shared" si="150"/>
        <v>0</v>
      </c>
      <c r="AX222" s="31">
        <f t="shared" si="151"/>
        <v>0</v>
      </c>
      <c r="AY222" s="31">
        <f t="shared" si="152"/>
        <v>0</v>
      </c>
      <c r="AZ222" s="31">
        <f t="shared" si="153"/>
        <v>0</v>
      </c>
      <c r="BA222" s="31">
        <f t="shared" si="154"/>
        <v>0</v>
      </c>
      <c r="BB222" s="31">
        <f t="shared" si="183"/>
        <v>0</v>
      </c>
      <c r="BC222" s="31"/>
      <c r="BD222" s="31"/>
      <c r="BM222" s="8">
        <f t="shared" si="184"/>
        <v>0</v>
      </c>
      <c r="BN222" s="8">
        <f t="shared" si="155"/>
        <v>0</v>
      </c>
      <c r="BO222" s="8">
        <f t="shared" si="156"/>
        <v>0</v>
      </c>
      <c r="BQ222" s="8">
        <f t="shared" si="157"/>
        <v>0</v>
      </c>
      <c r="BR222" s="63">
        <f t="shared" si="158"/>
        <v>0</v>
      </c>
      <c r="BS222" s="63">
        <f t="shared" si="185"/>
        <v>0</v>
      </c>
      <c r="BT222" s="63">
        <f t="shared" si="159"/>
        <v>0</v>
      </c>
      <c r="BU222" s="63">
        <f t="shared" si="160"/>
        <v>0</v>
      </c>
      <c r="BV222" s="57">
        <f t="shared" si="161"/>
        <v>0</v>
      </c>
      <c r="BW222" s="57">
        <f t="shared" si="162"/>
        <v>0</v>
      </c>
      <c r="BX222" s="57">
        <f t="shared" si="186"/>
        <v>0</v>
      </c>
      <c r="BY222" s="57">
        <f t="shared" si="190"/>
        <v>0</v>
      </c>
      <c r="BZ222" s="8">
        <f t="shared" si="163"/>
        <v>0</v>
      </c>
      <c r="CA222" s="8">
        <f t="shared" si="164"/>
        <v>0</v>
      </c>
      <c r="CB222" s="8">
        <f t="shared" si="165"/>
        <v>0</v>
      </c>
      <c r="CC222" s="8">
        <f t="shared" si="166"/>
        <v>0</v>
      </c>
      <c r="CD222" s="8">
        <f t="shared" si="167"/>
        <v>0</v>
      </c>
      <c r="CE222" s="8">
        <f t="shared" si="168"/>
        <v>0</v>
      </c>
      <c r="CF222" s="8">
        <f t="shared" si="169"/>
        <v>0</v>
      </c>
      <c r="CG222" s="8">
        <f t="shared" si="170"/>
        <v>0</v>
      </c>
      <c r="CH222" s="8">
        <f t="shared" si="171"/>
        <v>0</v>
      </c>
      <c r="CI222" s="8">
        <f t="shared" si="172"/>
        <v>0</v>
      </c>
      <c r="CJ222" s="8">
        <f t="shared" si="173"/>
        <v>0</v>
      </c>
      <c r="CK222" s="8">
        <f t="shared" si="174"/>
        <v>0</v>
      </c>
      <c r="CL222" s="8">
        <f t="shared" si="175"/>
        <v>0</v>
      </c>
      <c r="CM222" s="8">
        <f t="shared" si="176"/>
        <v>0</v>
      </c>
      <c r="CN222" s="8">
        <f t="shared" si="177"/>
        <v>0</v>
      </c>
      <c r="CO222" s="8">
        <f t="shared" si="178"/>
        <v>0</v>
      </c>
      <c r="CP222" s="8">
        <f t="shared" si="179"/>
        <v>0</v>
      </c>
      <c r="CQ222" s="8">
        <f t="shared" si="180"/>
        <v>0</v>
      </c>
      <c r="CR222" s="8">
        <f t="shared" si="181"/>
        <v>0</v>
      </c>
      <c r="CS222" s="8">
        <f t="shared" si="182"/>
        <v>0</v>
      </c>
      <c r="CT222" s="8">
        <f t="shared" si="187"/>
        <v>0</v>
      </c>
      <c r="CU222" s="8">
        <f t="shared" si="188"/>
        <v>0</v>
      </c>
      <c r="CV222" s="8">
        <f t="shared" si="189"/>
        <v>0</v>
      </c>
    </row>
    <row r="223" spans="1:100" ht="25.25" customHeight="1" thickTop="1" thickBot="1" x14ac:dyDescent="0.5">
      <c r="A223" s="32"/>
      <c r="B223" s="10"/>
      <c r="C223" s="10"/>
      <c r="D223" s="11"/>
      <c r="E223" s="10"/>
      <c r="F223" s="10"/>
      <c r="G223" s="19"/>
      <c r="H223" s="19"/>
      <c r="I223" s="19"/>
      <c r="J223" s="19"/>
      <c r="K223" s="10"/>
      <c r="L223" s="10"/>
      <c r="M223" s="10"/>
      <c r="N223" s="10"/>
      <c r="O223" s="18"/>
      <c r="P223" s="18"/>
      <c r="Q223" s="21"/>
      <c r="R223" s="20"/>
      <c r="S223" s="16">
        <f t="shared" si="145"/>
        <v>0</v>
      </c>
      <c r="T223" s="11"/>
      <c r="AR223" s="31"/>
      <c r="AS223" s="31">
        <f t="shared" si="146"/>
        <v>0</v>
      </c>
      <c r="AT223" s="31">
        <f t="shared" si="147"/>
        <v>0</v>
      </c>
      <c r="AU223" s="31">
        <f t="shared" si="148"/>
        <v>0</v>
      </c>
      <c r="AV223" s="31">
        <f t="shared" si="149"/>
        <v>0</v>
      </c>
      <c r="AW223" s="31">
        <f t="shared" si="150"/>
        <v>0</v>
      </c>
      <c r="AX223" s="31">
        <f t="shared" si="151"/>
        <v>0</v>
      </c>
      <c r="AY223" s="31">
        <f t="shared" si="152"/>
        <v>0</v>
      </c>
      <c r="AZ223" s="31">
        <f t="shared" si="153"/>
        <v>0</v>
      </c>
      <c r="BA223" s="31">
        <f t="shared" si="154"/>
        <v>0</v>
      </c>
      <c r="BB223" s="31">
        <f t="shared" si="183"/>
        <v>0</v>
      </c>
      <c r="BC223" s="31"/>
      <c r="BD223" s="31"/>
      <c r="BM223" s="8">
        <f t="shared" si="184"/>
        <v>0</v>
      </c>
      <c r="BN223" s="8">
        <f t="shared" si="155"/>
        <v>0</v>
      </c>
      <c r="BO223" s="8">
        <f t="shared" si="156"/>
        <v>0</v>
      </c>
      <c r="BQ223" s="8">
        <f t="shared" si="157"/>
        <v>0</v>
      </c>
      <c r="BR223" s="63">
        <f t="shared" si="158"/>
        <v>0</v>
      </c>
      <c r="BS223" s="63">
        <f t="shared" si="185"/>
        <v>0</v>
      </c>
      <c r="BT223" s="63">
        <f t="shared" si="159"/>
        <v>0</v>
      </c>
      <c r="BU223" s="63">
        <f t="shared" si="160"/>
        <v>0</v>
      </c>
      <c r="BV223" s="57">
        <f t="shared" si="161"/>
        <v>0</v>
      </c>
      <c r="BW223" s="57">
        <f t="shared" si="162"/>
        <v>0</v>
      </c>
      <c r="BX223" s="57">
        <f t="shared" si="186"/>
        <v>0</v>
      </c>
      <c r="BY223" s="57">
        <f t="shared" si="190"/>
        <v>0</v>
      </c>
      <c r="BZ223" s="8">
        <f t="shared" si="163"/>
        <v>0</v>
      </c>
      <c r="CA223" s="8">
        <f t="shared" si="164"/>
        <v>0</v>
      </c>
      <c r="CB223" s="8">
        <f t="shared" si="165"/>
        <v>0</v>
      </c>
      <c r="CC223" s="8">
        <f t="shared" si="166"/>
        <v>0</v>
      </c>
      <c r="CD223" s="8">
        <f t="shared" si="167"/>
        <v>0</v>
      </c>
      <c r="CE223" s="8">
        <f t="shared" si="168"/>
        <v>0</v>
      </c>
      <c r="CF223" s="8">
        <f t="shared" si="169"/>
        <v>0</v>
      </c>
      <c r="CG223" s="8">
        <f t="shared" si="170"/>
        <v>0</v>
      </c>
      <c r="CH223" s="8">
        <f t="shared" si="171"/>
        <v>0</v>
      </c>
      <c r="CI223" s="8">
        <f t="shared" si="172"/>
        <v>0</v>
      </c>
      <c r="CJ223" s="8">
        <f t="shared" si="173"/>
        <v>0</v>
      </c>
      <c r="CK223" s="8">
        <f t="shared" si="174"/>
        <v>0</v>
      </c>
      <c r="CL223" s="8">
        <f t="shared" si="175"/>
        <v>0</v>
      </c>
      <c r="CM223" s="8">
        <f t="shared" si="176"/>
        <v>0</v>
      </c>
      <c r="CN223" s="8">
        <f t="shared" si="177"/>
        <v>0</v>
      </c>
      <c r="CO223" s="8">
        <f t="shared" si="178"/>
        <v>0</v>
      </c>
      <c r="CP223" s="8">
        <f t="shared" si="179"/>
        <v>0</v>
      </c>
      <c r="CQ223" s="8">
        <f t="shared" si="180"/>
        <v>0</v>
      </c>
      <c r="CR223" s="8">
        <f t="shared" si="181"/>
        <v>0</v>
      </c>
      <c r="CS223" s="8">
        <f t="shared" si="182"/>
        <v>0</v>
      </c>
      <c r="CT223" s="8">
        <f t="shared" si="187"/>
        <v>0</v>
      </c>
      <c r="CU223" s="8">
        <f t="shared" si="188"/>
        <v>0</v>
      </c>
      <c r="CV223" s="8">
        <f t="shared" si="189"/>
        <v>0</v>
      </c>
    </row>
    <row r="224" spans="1:100" ht="25.25" customHeight="1" thickTop="1" thickBot="1" x14ac:dyDescent="0.5">
      <c r="A224" s="32"/>
      <c r="B224" s="10"/>
      <c r="C224" s="10"/>
      <c r="D224" s="11"/>
      <c r="E224" s="10"/>
      <c r="F224" s="10"/>
      <c r="G224" s="19"/>
      <c r="H224" s="19"/>
      <c r="I224" s="19"/>
      <c r="J224" s="19"/>
      <c r="K224" s="10"/>
      <c r="L224" s="10"/>
      <c r="M224" s="10"/>
      <c r="N224" s="10"/>
      <c r="O224" s="18"/>
      <c r="P224" s="18"/>
      <c r="Q224" s="21"/>
      <c r="R224" s="20"/>
      <c r="S224" s="16">
        <f t="shared" si="145"/>
        <v>0</v>
      </c>
      <c r="T224" s="11"/>
      <c r="AR224" s="31"/>
      <c r="AS224" s="31">
        <f t="shared" si="146"/>
        <v>0</v>
      </c>
      <c r="AT224" s="31">
        <f t="shared" si="147"/>
        <v>0</v>
      </c>
      <c r="AU224" s="31">
        <f t="shared" si="148"/>
        <v>0</v>
      </c>
      <c r="AV224" s="31">
        <f t="shared" si="149"/>
        <v>0</v>
      </c>
      <c r="AW224" s="31">
        <f t="shared" si="150"/>
        <v>0</v>
      </c>
      <c r="AX224" s="31">
        <f t="shared" si="151"/>
        <v>0</v>
      </c>
      <c r="AY224" s="31">
        <f t="shared" si="152"/>
        <v>0</v>
      </c>
      <c r="AZ224" s="31">
        <f t="shared" si="153"/>
        <v>0</v>
      </c>
      <c r="BA224" s="31">
        <f t="shared" si="154"/>
        <v>0</v>
      </c>
      <c r="BB224" s="31">
        <f t="shared" si="183"/>
        <v>0</v>
      </c>
      <c r="BC224" s="31"/>
      <c r="BD224" s="31"/>
      <c r="BM224" s="8">
        <f t="shared" si="184"/>
        <v>0</v>
      </c>
      <c r="BN224" s="8">
        <f t="shared" si="155"/>
        <v>0</v>
      </c>
      <c r="BO224" s="8">
        <f t="shared" si="156"/>
        <v>0</v>
      </c>
      <c r="BQ224" s="8">
        <f t="shared" si="157"/>
        <v>0</v>
      </c>
      <c r="BR224" s="63">
        <f t="shared" si="158"/>
        <v>0</v>
      </c>
      <c r="BS224" s="63">
        <f t="shared" si="185"/>
        <v>0</v>
      </c>
      <c r="BT224" s="63">
        <f t="shared" si="159"/>
        <v>0</v>
      </c>
      <c r="BU224" s="63">
        <f t="shared" si="160"/>
        <v>0</v>
      </c>
      <c r="BV224" s="57">
        <f t="shared" si="161"/>
        <v>0</v>
      </c>
      <c r="BW224" s="57">
        <f t="shared" si="162"/>
        <v>0</v>
      </c>
      <c r="BX224" s="57">
        <f t="shared" si="186"/>
        <v>0</v>
      </c>
      <c r="BY224" s="57">
        <f t="shared" si="190"/>
        <v>0</v>
      </c>
      <c r="BZ224" s="8">
        <f t="shared" si="163"/>
        <v>0</v>
      </c>
      <c r="CA224" s="8">
        <f t="shared" si="164"/>
        <v>0</v>
      </c>
      <c r="CB224" s="8">
        <f t="shared" si="165"/>
        <v>0</v>
      </c>
      <c r="CC224" s="8">
        <f t="shared" si="166"/>
        <v>0</v>
      </c>
      <c r="CD224" s="8">
        <f t="shared" si="167"/>
        <v>0</v>
      </c>
      <c r="CE224" s="8">
        <f t="shared" si="168"/>
        <v>0</v>
      </c>
      <c r="CF224" s="8">
        <f t="shared" si="169"/>
        <v>0</v>
      </c>
      <c r="CG224" s="8">
        <f t="shared" si="170"/>
        <v>0</v>
      </c>
      <c r="CH224" s="8">
        <f t="shared" si="171"/>
        <v>0</v>
      </c>
      <c r="CI224" s="8">
        <f t="shared" si="172"/>
        <v>0</v>
      </c>
      <c r="CJ224" s="8">
        <f t="shared" si="173"/>
        <v>0</v>
      </c>
      <c r="CK224" s="8">
        <f t="shared" si="174"/>
        <v>0</v>
      </c>
      <c r="CL224" s="8">
        <f t="shared" si="175"/>
        <v>0</v>
      </c>
      <c r="CM224" s="8">
        <f t="shared" si="176"/>
        <v>0</v>
      </c>
      <c r="CN224" s="8">
        <f t="shared" si="177"/>
        <v>0</v>
      </c>
      <c r="CO224" s="8">
        <f t="shared" si="178"/>
        <v>0</v>
      </c>
      <c r="CP224" s="8">
        <f t="shared" si="179"/>
        <v>0</v>
      </c>
      <c r="CQ224" s="8">
        <f t="shared" si="180"/>
        <v>0</v>
      </c>
      <c r="CR224" s="8">
        <f t="shared" si="181"/>
        <v>0</v>
      </c>
      <c r="CS224" s="8">
        <f t="shared" si="182"/>
        <v>0</v>
      </c>
      <c r="CT224" s="8">
        <f t="shared" si="187"/>
        <v>0</v>
      </c>
      <c r="CU224" s="8">
        <f t="shared" si="188"/>
        <v>0</v>
      </c>
      <c r="CV224" s="8">
        <f t="shared" si="189"/>
        <v>0</v>
      </c>
    </row>
    <row r="225" spans="1:100" ht="25.25" customHeight="1" thickTop="1" thickBot="1" x14ac:dyDescent="0.5">
      <c r="A225" s="32"/>
      <c r="B225" s="10"/>
      <c r="C225" s="10"/>
      <c r="D225" s="11"/>
      <c r="E225" s="10"/>
      <c r="F225" s="10"/>
      <c r="G225" s="19"/>
      <c r="H225" s="19"/>
      <c r="I225" s="19"/>
      <c r="J225" s="19"/>
      <c r="K225" s="10"/>
      <c r="L225" s="10"/>
      <c r="M225" s="10"/>
      <c r="N225" s="10"/>
      <c r="O225" s="18"/>
      <c r="P225" s="18"/>
      <c r="Q225" s="21"/>
      <c r="R225" s="20"/>
      <c r="S225" s="16">
        <f t="shared" si="145"/>
        <v>0</v>
      </c>
      <c r="T225" s="11"/>
      <c r="AR225" s="31"/>
      <c r="AS225" s="31">
        <f t="shared" si="146"/>
        <v>0</v>
      </c>
      <c r="AT225" s="31">
        <f t="shared" si="147"/>
        <v>0</v>
      </c>
      <c r="AU225" s="31">
        <f t="shared" si="148"/>
        <v>0</v>
      </c>
      <c r="AV225" s="31">
        <f t="shared" si="149"/>
        <v>0</v>
      </c>
      <c r="AW225" s="31">
        <f t="shared" si="150"/>
        <v>0</v>
      </c>
      <c r="AX225" s="31">
        <f t="shared" si="151"/>
        <v>0</v>
      </c>
      <c r="AY225" s="31">
        <f t="shared" si="152"/>
        <v>0</v>
      </c>
      <c r="AZ225" s="31">
        <f t="shared" si="153"/>
        <v>0</v>
      </c>
      <c r="BA225" s="31">
        <f t="shared" si="154"/>
        <v>0</v>
      </c>
      <c r="BB225" s="31">
        <f t="shared" si="183"/>
        <v>0</v>
      </c>
      <c r="BC225" s="31"/>
      <c r="BD225" s="31"/>
      <c r="BM225" s="8">
        <f t="shared" si="184"/>
        <v>0</v>
      </c>
      <c r="BN225" s="8">
        <f t="shared" si="155"/>
        <v>0</v>
      </c>
      <c r="BO225" s="8">
        <f t="shared" si="156"/>
        <v>0</v>
      </c>
      <c r="BQ225" s="8">
        <f t="shared" si="157"/>
        <v>0</v>
      </c>
      <c r="BR225" s="63">
        <f t="shared" si="158"/>
        <v>0</v>
      </c>
      <c r="BS225" s="63">
        <f t="shared" si="185"/>
        <v>0</v>
      </c>
      <c r="BT225" s="63">
        <f t="shared" si="159"/>
        <v>0</v>
      </c>
      <c r="BU225" s="63">
        <f t="shared" si="160"/>
        <v>0</v>
      </c>
      <c r="BV225" s="57">
        <f t="shared" si="161"/>
        <v>0</v>
      </c>
      <c r="BW225" s="57">
        <f t="shared" si="162"/>
        <v>0</v>
      </c>
      <c r="BX225" s="57">
        <f t="shared" si="186"/>
        <v>0</v>
      </c>
      <c r="BY225" s="57">
        <f t="shared" si="190"/>
        <v>0</v>
      </c>
      <c r="BZ225" s="8">
        <f t="shared" si="163"/>
        <v>0</v>
      </c>
      <c r="CA225" s="8">
        <f t="shared" si="164"/>
        <v>0</v>
      </c>
      <c r="CB225" s="8">
        <f t="shared" si="165"/>
        <v>0</v>
      </c>
      <c r="CC225" s="8">
        <f t="shared" si="166"/>
        <v>0</v>
      </c>
      <c r="CD225" s="8">
        <f t="shared" si="167"/>
        <v>0</v>
      </c>
      <c r="CE225" s="8">
        <f t="shared" si="168"/>
        <v>0</v>
      </c>
      <c r="CF225" s="8">
        <f t="shared" si="169"/>
        <v>0</v>
      </c>
      <c r="CG225" s="8">
        <f t="shared" si="170"/>
        <v>0</v>
      </c>
      <c r="CH225" s="8">
        <f t="shared" si="171"/>
        <v>0</v>
      </c>
      <c r="CI225" s="8">
        <f t="shared" si="172"/>
        <v>0</v>
      </c>
      <c r="CJ225" s="8">
        <f t="shared" si="173"/>
        <v>0</v>
      </c>
      <c r="CK225" s="8">
        <f t="shared" si="174"/>
        <v>0</v>
      </c>
      <c r="CL225" s="8">
        <f t="shared" si="175"/>
        <v>0</v>
      </c>
      <c r="CM225" s="8">
        <f t="shared" si="176"/>
        <v>0</v>
      </c>
      <c r="CN225" s="8">
        <f t="shared" si="177"/>
        <v>0</v>
      </c>
      <c r="CO225" s="8">
        <f t="shared" si="178"/>
        <v>0</v>
      </c>
      <c r="CP225" s="8">
        <f t="shared" si="179"/>
        <v>0</v>
      </c>
      <c r="CQ225" s="8">
        <f t="shared" si="180"/>
        <v>0</v>
      </c>
      <c r="CR225" s="8">
        <f t="shared" si="181"/>
        <v>0</v>
      </c>
      <c r="CS225" s="8">
        <f t="shared" si="182"/>
        <v>0</v>
      </c>
      <c r="CT225" s="8">
        <f t="shared" si="187"/>
        <v>0</v>
      </c>
      <c r="CU225" s="8">
        <f t="shared" si="188"/>
        <v>0</v>
      </c>
      <c r="CV225" s="8">
        <f t="shared" si="189"/>
        <v>0</v>
      </c>
    </row>
    <row r="226" spans="1:100" ht="25.25" customHeight="1" thickTop="1" thickBot="1" x14ac:dyDescent="0.5">
      <c r="A226" s="32"/>
      <c r="B226" s="10"/>
      <c r="C226" s="10"/>
      <c r="D226" s="11"/>
      <c r="E226" s="10"/>
      <c r="F226" s="10"/>
      <c r="G226" s="19"/>
      <c r="H226" s="19"/>
      <c r="I226" s="19"/>
      <c r="J226" s="19"/>
      <c r="K226" s="10"/>
      <c r="L226" s="10"/>
      <c r="M226" s="10"/>
      <c r="N226" s="10"/>
      <c r="O226" s="18"/>
      <c r="P226" s="18"/>
      <c r="Q226" s="21"/>
      <c r="R226" s="20"/>
      <c r="S226" s="16">
        <f t="shared" si="145"/>
        <v>0</v>
      </c>
      <c r="T226" s="11"/>
      <c r="AR226" s="31"/>
      <c r="AS226" s="31">
        <f t="shared" si="146"/>
        <v>0</v>
      </c>
      <c r="AT226" s="31">
        <f t="shared" si="147"/>
        <v>0</v>
      </c>
      <c r="AU226" s="31">
        <f t="shared" si="148"/>
        <v>0</v>
      </c>
      <c r="AV226" s="31">
        <f t="shared" si="149"/>
        <v>0</v>
      </c>
      <c r="AW226" s="31">
        <f t="shared" si="150"/>
        <v>0</v>
      </c>
      <c r="AX226" s="31">
        <f t="shared" si="151"/>
        <v>0</v>
      </c>
      <c r="AY226" s="31">
        <f t="shared" si="152"/>
        <v>0</v>
      </c>
      <c r="AZ226" s="31">
        <f t="shared" si="153"/>
        <v>0</v>
      </c>
      <c r="BA226" s="31">
        <f t="shared" si="154"/>
        <v>0</v>
      </c>
      <c r="BB226" s="31">
        <f t="shared" si="183"/>
        <v>0</v>
      </c>
      <c r="BC226" s="31"/>
      <c r="BD226" s="31"/>
      <c r="BM226" s="8">
        <f t="shared" si="184"/>
        <v>0</v>
      </c>
      <c r="BN226" s="8">
        <f t="shared" si="155"/>
        <v>0</v>
      </c>
      <c r="BO226" s="8">
        <f t="shared" si="156"/>
        <v>0</v>
      </c>
      <c r="BQ226" s="8">
        <f t="shared" si="157"/>
        <v>0</v>
      </c>
      <c r="BR226" s="63">
        <f t="shared" si="158"/>
        <v>0</v>
      </c>
      <c r="BS226" s="63">
        <f t="shared" si="185"/>
        <v>0</v>
      </c>
      <c r="BT226" s="63">
        <f t="shared" si="159"/>
        <v>0</v>
      </c>
      <c r="BU226" s="63">
        <f t="shared" si="160"/>
        <v>0</v>
      </c>
      <c r="BV226" s="57">
        <f t="shared" si="161"/>
        <v>0</v>
      </c>
      <c r="BW226" s="57">
        <f t="shared" si="162"/>
        <v>0</v>
      </c>
      <c r="BX226" s="57">
        <f t="shared" si="186"/>
        <v>0</v>
      </c>
      <c r="BY226" s="57">
        <f t="shared" si="190"/>
        <v>0</v>
      </c>
      <c r="BZ226" s="8">
        <f t="shared" si="163"/>
        <v>0</v>
      </c>
      <c r="CA226" s="8">
        <f t="shared" si="164"/>
        <v>0</v>
      </c>
      <c r="CB226" s="8">
        <f t="shared" si="165"/>
        <v>0</v>
      </c>
      <c r="CC226" s="8">
        <f t="shared" si="166"/>
        <v>0</v>
      </c>
      <c r="CD226" s="8">
        <f t="shared" si="167"/>
        <v>0</v>
      </c>
      <c r="CE226" s="8">
        <f t="shared" si="168"/>
        <v>0</v>
      </c>
      <c r="CF226" s="8">
        <f t="shared" si="169"/>
        <v>0</v>
      </c>
      <c r="CG226" s="8">
        <f t="shared" si="170"/>
        <v>0</v>
      </c>
      <c r="CH226" s="8">
        <f t="shared" si="171"/>
        <v>0</v>
      </c>
      <c r="CI226" s="8">
        <f t="shared" si="172"/>
        <v>0</v>
      </c>
      <c r="CJ226" s="8">
        <f t="shared" si="173"/>
        <v>0</v>
      </c>
      <c r="CK226" s="8">
        <f t="shared" si="174"/>
        <v>0</v>
      </c>
      <c r="CL226" s="8">
        <f t="shared" si="175"/>
        <v>0</v>
      </c>
      <c r="CM226" s="8">
        <f t="shared" si="176"/>
        <v>0</v>
      </c>
      <c r="CN226" s="8">
        <f t="shared" si="177"/>
        <v>0</v>
      </c>
      <c r="CO226" s="8">
        <f t="shared" si="178"/>
        <v>0</v>
      </c>
      <c r="CP226" s="8">
        <f t="shared" si="179"/>
        <v>0</v>
      </c>
      <c r="CQ226" s="8">
        <f t="shared" si="180"/>
        <v>0</v>
      </c>
      <c r="CR226" s="8">
        <f t="shared" si="181"/>
        <v>0</v>
      </c>
      <c r="CS226" s="8">
        <f t="shared" si="182"/>
        <v>0</v>
      </c>
      <c r="CT226" s="8">
        <f t="shared" si="187"/>
        <v>0</v>
      </c>
      <c r="CU226" s="8">
        <f t="shared" si="188"/>
        <v>0</v>
      </c>
      <c r="CV226" s="8">
        <f t="shared" si="189"/>
        <v>0</v>
      </c>
    </row>
    <row r="227" spans="1:100" ht="25.25" customHeight="1" thickTop="1" thickBot="1" x14ac:dyDescent="0.5">
      <c r="A227" s="32"/>
      <c r="B227" s="10"/>
      <c r="C227" s="10"/>
      <c r="D227" s="11"/>
      <c r="E227" s="10"/>
      <c r="F227" s="10"/>
      <c r="G227" s="19"/>
      <c r="H227" s="19"/>
      <c r="I227" s="19"/>
      <c r="J227" s="19"/>
      <c r="K227" s="10"/>
      <c r="L227" s="10"/>
      <c r="M227" s="10"/>
      <c r="N227" s="10"/>
      <c r="O227" s="18"/>
      <c r="P227" s="18"/>
      <c r="Q227" s="21"/>
      <c r="R227" s="20"/>
      <c r="S227" s="16">
        <f t="shared" si="145"/>
        <v>0</v>
      </c>
      <c r="T227" s="11"/>
      <c r="AR227" s="31"/>
      <c r="AS227" s="31">
        <f t="shared" si="146"/>
        <v>0</v>
      </c>
      <c r="AT227" s="31">
        <f t="shared" si="147"/>
        <v>0</v>
      </c>
      <c r="AU227" s="31">
        <f t="shared" si="148"/>
        <v>0</v>
      </c>
      <c r="AV227" s="31">
        <f t="shared" si="149"/>
        <v>0</v>
      </c>
      <c r="AW227" s="31">
        <f t="shared" si="150"/>
        <v>0</v>
      </c>
      <c r="AX227" s="31">
        <f t="shared" si="151"/>
        <v>0</v>
      </c>
      <c r="AY227" s="31">
        <f t="shared" si="152"/>
        <v>0</v>
      </c>
      <c r="AZ227" s="31">
        <f t="shared" si="153"/>
        <v>0</v>
      </c>
      <c r="BA227" s="31">
        <f t="shared" si="154"/>
        <v>0</v>
      </c>
      <c r="BB227" s="31">
        <f t="shared" si="183"/>
        <v>0</v>
      </c>
      <c r="BC227" s="31"/>
      <c r="BD227" s="31"/>
      <c r="BM227" s="8">
        <f t="shared" si="184"/>
        <v>0</v>
      </c>
      <c r="BN227" s="8">
        <f t="shared" si="155"/>
        <v>0</v>
      </c>
      <c r="BO227" s="8">
        <f t="shared" si="156"/>
        <v>0</v>
      </c>
      <c r="BQ227" s="8">
        <f t="shared" si="157"/>
        <v>0</v>
      </c>
      <c r="BR227" s="63">
        <f t="shared" si="158"/>
        <v>0</v>
      </c>
      <c r="BS227" s="63">
        <f t="shared" si="185"/>
        <v>0</v>
      </c>
      <c r="BT227" s="63">
        <f t="shared" si="159"/>
        <v>0</v>
      </c>
      <c r="BU227" s="63">
        <f t="shared" si="160"/>
        <v>0</v>
      </c>
      <c r="BV227" s="57">
        <f t="shared" si="161"/>
        <v>0</v>
      </c>
      <c r="BW227" s="57">
        <f t="shared" si="162"/>
        <v>0</v>
      </c>
      <c r="BX227" s="57">
        <f t="shared" si="186"/>
        <v>0</v>
      </c>
      <c r="BY227" s="57">
        <f t="shared" si="190"/>
        <v>0</v>
      </c>
      <c r="BZ227" s="8">
        <f t="shared" si="163"/>
        <v>0</v>
      </c>
      <c r="CA227" s="8">
        <f t="shared" si="164"/>
        <v>0</v>
      </c>
      <c r="CB227" s="8">
        <f t="shared" si="165"/>
        <v>0</v>
      </c>
      <c r="CC227" s="8">
        <f t="shared" si="166"/>
        <v>0</v>
      </c>
      <c r="CD227" s="8">
        <f t="shared" si="167"/>
        <v>0</v>
      </c>
      <c r="CE227" s="8">
        <f t="shared" si="168"/>
        <v>0</v>
      </c>
      <c r="CF227" s="8">
        <f t="shared" si="169"/>
        <v>0</v>
      </c>
      <c r="CG227" s="8">
        <f t="shared" si="170"/>
        <v>0</v>
      </c>
      <c r="CH227" s="8">
        <f t="shared" si="171"/>
        <v>0</v>
      </c>
      <c r="CI227" s="8">
        <f t="shared" si="172"/>
        <v>0</v>
      </c>
      <c r="CJ227" s="8">
        <f t="shared" si="173"/>
        <v>0</v>
      </c>
      <c r="CK227" s="8">
        <f t="shared" si="174"/>
        <v>0</v>
      </c>
      <c r="CL227" s="8">
        <f t="shared" si="175"/>
        <v>0</v>
      </c>
      <c r="CM227" s="8">
        <f t="shared" si="176"/>
        <v>0</v>
      </c>
      <c r="CN227" s="8">
        <f t="shared" si="177"/>
        <v>0</v>
      </c>
      <c r="CO227" s="8">
        <f t="shared" si="178"/>
        <v>0</v>
      </c>
      <c r="CP227" s="8">
        <f t="shared" si="179"/>
        <v>0</v>
      </c>
      <c r="CQ227" s="8">
        <f t="shared" si="180"/>
        <v>0</v>
      </c>
      <c r="CR227" s="8">
        <f t="shared" si="181"/>
        <v>0</v>
      </c>
      <c r="CS227" s="8">
        <f t="shared" si="182"/>
        <v>0</v>
      </c>
      <c r="CT227" s="8">
        <f t="shared" si="187"/>
        <v>0</v>
      </c>
      <c r="CU227" s="8">
        <f t="shared" si="188"/>
        <v>0</v>
      </c>
      <c r="CV227" s="8">
        <f t="shared" si="189"/>
        <v>0</v>
      </c>
    </row>
    <row r="228" spans="1:100" ht="25.25" customHeight="1" thickTop="1" thickBot="1" x14ac:dyDescent="0.5">
      <c r="A228" s="32"/>
      <c r="B228" s="10"/>
      <c r="C228" s="10"/>
      <c r="D228" s="11"/>
      <c r="E228" s="10"/>
      <c r="F228" s="10"/>
      <c r="G228" s="19"/>
      <c r="H228" s="19"/>
      <c r="I228" s="19"/>
      <c r="J228" s="19"/>
      <c r="K228" s="10"/>
      <c r="L228" s="10"/>
      <c r="M228" s="10"/>
      <c r="N228" s="10"/>
      <c r="O228" s="18"/>
      <c r="P228" s="18"/>
      <c r="Q228" s="21"/>
      <c r="R228" s="20"/>
      <c r="S228" s="16">
        <f t="shared" si="145"/>
        <v>0</v>
      </c>
      <c r="T228" s="11"/>
      <c r="AR228" s="31"/>
      <c r="AS228" s="31">
        <f t="shared" si="146"/>
        <v>0</v>
      </c>
      <c r="AT228" s="31">
        <f t="shared" si="147"/>
        <v>0</v>
      </c>
      <c r="AU228" s="31">
        <f t="shared" si="148"/>
        <v>0</v>
      </c>
      <c r="AV228" s="31">
        <f t="shared" si="149"/>
        <v>0</v>
      </c>
      <c r="AW228" s="31">
        <f t="shared" si="150"/>
        <v>0</v>
      </c>
      <c r="AX228" s="31">
        <f t="shared" si="151"/>
        <v>0</v>
      </c>
      <c r="AY228" s="31">
        <f t="shared" si="152"/>
        <v>0</v>
      </c>
      <c r="AZ228" s="31">
        <f t="shared" si="153"/>
        <v>0</v>
      </c>
      <c r="BA228" s="31">
        <f t="shared" si="154"/>
        <v>0</v>
      </c>
      <c r="BB228" s="31">
        <f t="shared" si="183"/>
        <v>0</v>
      </c>
      <c r="BC228" s="31"/>
      <c r="BD228" s="31"/>
      <c r="BM228" s="8">
        <f t="shared" si="184"/>
        <v>0</v>
      </c>
      <c r="BN228" s="8">
        <f t="shared" si="155"/>
        <v>0</v>
      </c>
      <c r="BO228" s="8">
        <f t="shared" si="156"/>
        <v>0</v>
      </c>
      <c r="BQ228" s="8">
        <f t="shared" si="157"/>
        <v>0</v>
      </c>
      <c r="BR228" s="63">
        <f t="shared" si="158"/>
        <v>0</v>
      </c>
      <c r="BS228" s="63">
        <f t="shared" si="185"/>
        <v>0</v>
      </c>
      <c r="BT228" s="63">
        <f t="shared" si="159"/>
        <v>0</v>
      </c>
      <c r="BU228" s="63">
        <f t="shared" si="160"/>
        <v>0</v>
      </c>
      <c r="BV228" s="57">
        <f t="shared" si="161"/>
        <v>0</v>
      </c>
      <c r="BW228" s="57">
        <f t="shared" si="162"/>
        <v>0</v>
      </c>
      <c r="BX228" s="57">
        <f t="shared" si="186"/>
        <v>0</v>
      </c>
      <c r="BY228" s="57">
        <f t="shared" si="190"/>
        <v>0</v>
      </c>
      <c r="BZ228" s="8">
        <f t="shared" si="163"/>
        <v>0</v>
      </c>
      <c r="CA228" s="8">
        <f t="shared" si="164"/>
        <v>0</v>
      </c>
      <c r="CB228" s="8">
        <f t="shared" si="165"/>
        <v>0</v>
      </c>
      <c r="CC228" s="8">
        <f t="shared" si="166"/>
        <v>0</v>
      </c>
      <c r="CD228" s="8">
        <f t="shared" si="167"/>
        <v>0</v>
      </c>
      <c r="CE228" s="8">
        <f t="shared" si="168"/>
        <v>0</v>
      </c>
      <c r="CF228" s="8">
        <f t="shared" si="169"/>
        <v>0</v>
      </c>
      <c r="CG228" s="8">
        <f t="shared" si="170"/>
        <v>0</v>
      </c>
      <c r="CH228" s="8">
        <f t="shared" si="171"/>
        <v>0</v>
      </c>
      <c r="CI228" s="8">
        <f t="shared" si="172"/>
        <v>0</v>
      </c>
      <c r="CJ228" s="8">
        <f t="shared" si="173"/>
        <v>0</v>
      </c>
      <c r="CK228" s="8">
        <f t="shared" si="174"/>
        <v>0</v>
      </c>
      <c r="CL228" s="8">
        <f t="shared" si="175"/>
        <v>0</v>
      </c>
      <c r="CM228" s="8">
        <f t="shared" si="176"/>
        <v>0</v>
      </c>
      <c r="CN228" s="8">
        <f t="shared" si="177"/>
        <v>0</v>
      </c>
      <c r="CO228" s="8">
        <f t="shared" si="178"/>
        <v>0</v>
      </c>
      <c r="CP228" s="8">
        <f t="shared" si="179"/>
        <v>0</v>
      </c>
      <c r="CQ228" s="8">
        <f t="shared" si="180"/>
        <v>0</v>
      </c>
      <c r="CR228" s="8">
        <f t="shared" si="181"/>
        <v>0</v>
      </c>
      <c r="CS228" s="8">
        <f t="shared" si="182"/>
        <v>0</v>
      </c>
      <c r="CT228" s="8">
        <f t="shared" si="187"/>
        <v>0</v>
      </c>
      <c r="CU228" s="8">
        <f t="shared" si="188"/>
        <v>0</v>
      </c>
      <c r="CV228" s="8">
        <f t="shared" si="189"/>
        <v>0</v>
      </c>
    </row>
    <row r="229" spans="1:100" ht="25.25" customHeight="1" thickTop="1" thickBot="1" x14ac:dyDescent="0.5">
      <c r="A229" s="32"/>
      <c r="B229" s="10"/>
      <c r="C229" s="10"/>
      <c r="D229" s="11"/>
      <c r="E229" s="10"/>
      <c r="F229" s="10"/>
      <c r="G229" s="19"/>
      <c r="H229" s="19"/>
      <c r="I229" s="19"/>
      <c r="J229" s="19"/>
      <c r="K229" s="10"/>
      <c r="L229" s="10"/>
      <c r="M229" s="10"/>
      <c r="N229" s="10"/>
      <c r="O229" s="18"/>
      <c r="P229" s="18"/>
      <c r="Q229" s="21"/>
      <c r="R229" s="20"/>
      <c r="S229" s="16">
        <f t="shared" si="145"/>
        <v>0</v>
      </c>
      <c r="T229" s="11"/>
      <c r="AR229" s="31"/>
      <c r="AS229" s="31">
        <f t="shared" si="146"/>
        <v>0</v>
      </c>
      <c r="AT229" s="31">
        <f t="shared" si="147"/>
        <v>0</v>
      </c>
      <c r="AU229" s="31">
        <f t="shared" si="148"/>
        <v>0</v>
      </c>
      <c r="AV229" s="31">
        <f t="shared" si="149"/>
        <v>0</v>
      </c>
      <c r="AW229" s="31">
        <f t="shared" si="150"/>
        <v>0</v>
      </c>
      <c r="AX229" s="31">
        <f t="shared" si="151"/>
        <v>0</v>
      </c>
      <c r="AY229" s="31">
        <f t="shared" si="152"/>
        <v>0</v>
      </c>
      <c r="AZ229" s="31">
        <f t="shared" si="153"/>
        <v>0</v>
      </c>
      <c r="BA229" s="31">
        <f t="shared" si="154"/>
        <v>0</v>
      </c>
      <c r="BB229" s="31">
        <f t="shared" si="183"/>
        <v>0</v>
      </c>
      <c r="BC229" s="31"/>
      <c r="BD229" s="31"/>
      <c r="BM229" s="8">
        <f t="shared" si="184"/>
        <v>0</v>
      </c>
      <c r="BN229" s="8">
        <f t="shared" si="155"/>
        <v>0</v>
      </c>
      <c r="BO229" s="8">
        <f t="shared" si="156"/>
        <v>0</v>
      </c>
      <c r="BQ229" s="8">
        <f t="shared" si="157"/>
        <v>0</v>
      </c>
      <c r="BR229" s="63">
        <f t="shared" si="158"/>
        <v>0</v>
      </c>
      <c r="BS229" s="63">
        <f t="shared" si="185"/>
        <v>0</v>
      </c>
      <c r="BT229" s="63">
        <f t="shared" si="159"/>
        <v>0</v>
      </c>
      <c r="BU229" s="63">
        <f t="shared" si="160"/>
        <v>0</v>
      </c>
      <c r="BV229" s="57">
        <f t="shared" si="161"/>
        <v>0</v>
      </c>
      <c r="BW229" s="57">
        <f t="shared" si="162"/>
        <v>0</v>
      </c>
      <c r="BX229" s="57">
        <f t="shared" si="186"/>
        <v>0</v>
      </c>
      <c r="BY229" s="57">
        <f t="shared" si="190"/>
        <v>0</v>
      </c>
      <c r="BZ229" s="8">
        <f t="shared" si="163"/>
        <v>0</v>
      </c>
      <c r="CA229" s="8">
        <f t="shared" si="164"/>
        <v>0</v>
      </c>
      <c r="CB229" s="8">
        <f t="shared" si="165"/>
        <v>0</v>
      </c>
      <c r="CC229" s="8">
        <f t="shared" si="166"/>
        <v>0</v>
      </c>
      <c r="CD229" s="8">
        <f t="shared" si="167"/>
        <v>0</v>
      </c>
      <c r="CE229" s="8">
        <f t="shared" si="168"/>
        <v>0</v>
      </c>
      <c r="CF229" s="8">
        <f t="shared" si="169"/>
        <v>0</v>
      </c>
      <c r="CG229" s="8">
        <f t="shared" si="170"/>
        <v>0</v>
      </c>
      <c r="CH229" s="8">
        <f t="shared" si="171"/>
        <v>0</v>
      </c>
      <c r="CI229" s="8">
        <f t="shared" si="172"/>
        <v>0</v>
      </c>
      <c r="CJ229" s="8">
        <f t="shared" si="173"/>
        <v>0</v>
      </c>
      <c r="CK229" s="8">
        <f t="shared" si="174"/>
        <v>0</v>
      </c>
      <c r="CL229" s="8">
        <f t="shared" si="175"/>
        <v>0</v>
      </c>
      <c r="CM229" s="8">
        <f t="shared" si="176"/>
        <v>0</v>
      </c>
      <c r="CN229" s="8">
        <f t="shared" si="177"/>
        <v>0</v>
      </c>
      <c r="CO229" s="8">
        <f t="shared" si="178"/>
        <v>0</v>
      </c>
      <c r="CP229" s="8">
        <f t="shared" si="179"/>
        <v>0</v>
      </c>
      <c r="CQ229" s="8">
        <f t="shared" si="180"/>
        <v>0</v>
      </c>
      <c r="CR229" s="8">
        <f t="shared" si="181"/>
        <v>0</v>
      </c>
      <c r="CS229" s="8">
        <f t="shared" si="182"/>
        <v>0</v>
      </c>
      <c r="CT229" s="8">
        <f t="shared" si="187"/>
        <v>0</v>
      </c>
      <c r="CU229" s="8">
        <f t="shared" si="188"/>
        <v>0</v>
      </c>
      <c r="CV229" s="8">
        <f t="shared" si="189"/>
        <v>0</v>
      </c>
    </row>
    <row r="230" spans="1:100" ht="25.25" customHeight="1" thickTop="1" thickBot="1" x14ac:dyDescent="0.5">
      <c r="A230" s="32"/>
      <c r="B230" s="10"/>
      <c r="C230" s="10"/>
      <c r="D230" s="11"/>
      <c r="E230" s="10"/>
      <c r="F230" s="10"/>
      <c r="G230" s="19"/>
      <c r="H230" s="19"/>
      <c r="I230" s="19"/>
      <c r="J230" s="19"/>
      <c r="K230" s="10"/>
      <c r="L230" s="10"/>
      <c r="M230" s="10"/>
      <c r="N230" s="10"/>
      <c r="O230" s="18"/>
      <c r="P230" s="18"/>
      <c r="Q230" s="21"/>
      <c r="R230" s="20"/>
      <c r="S230" s="16">
        <f t="shared" si="145"/>
        <v>0</v>
      </c>
      <c r="T230" s="11"/>
      <c r="AR230" s="31"/>
      <c r="AS230" s="31">
        <f t="shared" si="146"/>
        <v>0</v>
      </c>
      <c r="AT230" s="31">
        <f t="shared" si="147"/>
        <v>0</v>
      </c>
      <c r="AU230" s="31">
        <f t="shared" si="148"/>
        <v>0</v>
      </c>
      <c r="AV230" s="31">
        <f t="shared" si="149"/>
        <v>0</v>
      </c>
      <c r="AW230" s="31">
        <f t="shared" si="150"/>
        <v>0</v>
      </c>
      <c r="AX230" s="31">
        <f t="shared" si="151"/>
        <v>0</v>
      </c>
      <c r="AY230" s="31">
        <f t="shared" si="152"/>
        <v>0</v>
      </c>
      <c r="AZ230" s="31">
        <f t="shared" si="153"/>
        <v>0</v>
      </c>
      <c r="BA230" s="31">
        <f t="shared" si="154"/>
        <v>0</v>
      </c>
      <c r="BB230" s="31">
        <f t="shared" si="183"/>
        <v>0</v>
      </c>
      <c r="BC230" s="31"/>
      <c r="BD230" s="31"/>
      <c r="BM230" s="8">
        <f t="shared" si="184"/>
        <v>0</v>
      </c>
      <c r="BN230" s="8">
        <f t="shared" si="155"/>
        <v>0</v>
      </c>
      <c r="BO230" s="8">
        <f t="shared" si="156"/>
        <v>0</v>
      </c>
      <c r="BQ230" s="8">
        <f t="shared" si="157"/>
        <v>0</v>
      </c>
      <c r="BR230" s="63">
        <f t="shared" si="158"/>
        <v>0</v>
      </c>
      <c r="BS230" s="63">
        <f t="shared" si="185"/>
        <v>0</v>
      </c>
      <c r="BT230" s="63">
        <f t="shared" si="159"/>
        <v>0</v>
      </c>
      <c r="BU230" s="63">
        <f t="shared" si="160"/>
        <v>0</v>
      </c>
      <c r="BV230" s="57">
        <f t="shared" si="161"/>
        <v>0</v>
      </c>
      <c r="BW230" s="57">
        <f t="shared" si="162"/>
        <v>0</v>
      </c>
      <c r="BX230" s="57">
        <f t="shared" si="186"/>
        <v>0</v>
      </c>
      <c r="BY230" s="57">
        <f t="shared" si="190"/>
        <v>0</v>
      </c>
      <c r="BZ230" s="8">
        <f t="shared" si="163"/>
        <v>0</v>
      </c>
      <c r="CA230" s="8">
        <f t="shared" si="164"/>
        <v>0</v>
      </c>
      <c r="CB230" s="8">
        <f t="shared" si="165"/>
        <v>0</v>
      </c>
      <c r="CC230" s="8">
        <f t="shared" si="166"/>
        <v>0</v>
      </c>
      <c r="CD230" s="8">
        <f t="shared" si="167"/>
        <v>0</v>
      </c>
      <c r="CE230" s="8">
        <f t="shared" si="168"/>
        <v>0</v>
      </c>
      <c r="CF230" s="8">
        <f t="shared" si="169"/>
        <v>0</v>
      </c>
      <c r="CG230" s="8">
        <f t="shared" si="170"/>
        <v>0</v>
      </c>
      <c r="CH230" s="8">
        <f t="shared" si="171"/>
        <v>0</v>
      </c>
      <c r="CI230" s="8">
        <f t="shared" si="172"/>
        <v>0</v>
      </c>
      <c r="CJ230" s="8">
        <f t="shared" si="173"/>
        <v>0</v>
      </c>
      <c r="CK230" s="8">
        <f t="shared" si="174"/>
        <v>0</v>
      </c>
      <c r="CL230" s="8">
        <f t="shared" si="175"/>
        <v>0</v>
      </c>
      <c r="CM230" s="8">
        <f t="shared" si="176"/>
        <v>0</v>
      </c>
      <c r="CN230" s="8">
        <f t="shared" si="177"/>
        <v>0</v>
      </c>
      <c r="CO230" s="8">
        <f t="shared" si="178"/>
        <v>0</v>
      </c>
      <c r="CP230" s="8">
        <f t="shared" si="179"/>
        <v>0</v>
      </c>
      <c r="CQ230" s="8">
        <f t="shared" si="180"/>
        <v>0</v>
      </c>
      <c r="CR230" s="8">
        <f t="shared" si="181"/>
        <v>0</v>
      </c>
      <c r="CS230" s="8">
        <f t="shared" si="182"/>
        <v>0</v>
      </c>
      <c r="CT230" s="8">
        <f t="shared" si="187"/>
        <v>0</v>
      </c>
      <c r="CU230" s="8">
        <f t="shared" si="188"/>
        <v>0</v>
      </c>
      <c r="CV230" s="8">
        <f t="shared" si="189"/>
        <v>0</v>
      </c>
    </row>
    <row r="231" spans="1:100" ht="25.25" customHeight="1" thickTop="1" thickBot="1" x14ac:dyDescent="0.5">
      <c r="A231" s="32"/>
      <c r="B231" s="10"/>
      <c r="C231" s="10"/>
      <c r="D231" s="11"/>
      <c r="E231" s="10"/>
      <c r="F231" s="10"/>
      <c r="G231" s="19"/>
      <c r="H231" s="19"/>
      <c r="I231" s="19"/>
      <c r="J231" s="19"/>
      <c r="K231" s="10"/>
      <c r="L231" s="10"/>
      <c r="M231" s="10"/>
      <c r="N231" s="10"/>
      <c r="O231" s="18"/>
      <c r="P231" s="18"/>
      <c r="Q231" s="21"/>
      <c r="R231" s="20"/>
      <c r="S231" s="16">
        <f t="shared" si="145"/>
        <v>0</v>
      </c>
      <c r="T231" s="11"/>
      <c r="AR231" s="31"/>
      <c r="AS231" s="31">
        <f t="shared" si="146"/>
        <v>0</v>
      </c>
      <c r="AT231" s="31">
        <f t="shared" si="147"/>
        <v>0</v>
      </c>
      <c r="AU231" s="31">
        <f t="shared" si="148"/>
        <v>0</v>
      </c>
      <c r="AV231" s="31">
        <f t="shared" si="149"/>
        <v>0</v>
      </c>
      <c r="AW231" s="31">
        <f t="shared" si="150"/>
        <v>0</v>
      </c>
      <c r="AX231" s="31">
        <f t="shared" si="151"/>
        <v>0</v>
      </c>
      <c r="AY231" s="31">
        <f t="shared" si="152"/>
        <v>0</v>
      </c>
      <c r="AZ231" s="31">
        <f t="shared" si="153"/>
        <v>0</v>
      </c>
      <c r="BA231" s="31">
        <f t="shared" si="154"/>
        <v>0</v>
      </c>
      <c r="BB231" s="31">
        <f t="shared" si="183"/>
        <v>0</v>
      </c>
      <c r="BC231" s="31"/>
      <c r="BD231" s="31"/>
      <c r="BM231" s="8">
        <f t="shared" si="184"/>
        <v>0</v>
      </c>
      <c r="BN231" s="8">
        <f t="shared" si="155"/>
        <v>0</v>
      </c>
      <c r="BO231" s="8">
        <f t="shared" si="156"/>
        <v>0</v>
      </c>
      <c r="BQ231" s="8">
        <f t="shared" si="157"/>
        <v>0</v>
      </c>
      <c r="BR231" s="63">
        <f t="shared" si="158"/>
        <v>0</v>
      </c>
      <c r="BS231" s="63">
        <f t="shared" si="185"/>
        <v>0</v>
      </c>
      <c r="BT231" s="63">
        <f t="shared" si="159"/>
        <v>0</v>
      </c>
      <c r="BU231" s="63">
        <f t="shared" si="160"/>
        <v>0</v>
      </c>
      <c r="BV231" s="57">
        <f t="shared" si="161"/>
        <v>0</v>
      </c>
      <c r="BW231" s="57">
        <f t="shared" si="162"/>
        <v>0</v>
      </c>
      <c r="BX231" s="57">
        <f t="shared" si="186"/>
        <v>0</v>
      </c>
      <c r="BY231" s="57">
        <f t="shared" si="190"/>
        <v>0</v>
      </c>
      <c r="BZ231" s="8">
        <f t="shared" si="163"/>
        <v>0</v>
      </c>
      <c r="CA231" s="8">
        <f t="shared" si="164"/>
        <v>0</v>
      </c>
      <c r="CB231" s="8">
        <f t="shared" si="165"/>
        <v>0</v>
      </c>
      <c r="CC231" s="8">
        <f t="shared" si="166"/>
        <v>0</v>
      </c>
      <c r="CD231" s="8">
        <f t="shared" si="167"/>
        <v>0</v>
      </c>
      <c r="CE231" s="8">
        <f t="shared" si="168"/>
        <v>0</v>
      </c>
      <c r="CF231" s="8">
        <f t="shared" si="169"/>
        <v>0</v>
      </c>
      <c r="CG231" s="8">
        <f t="shared" si="170"/>
        <v>0</v>
      </c>
      <c r="CH231" s="8">
        <f t="shared" si="171"/>
        <v>0</v>
      </c>
      <c r="CI231" s="8">
        <f t="shared" si="172"/>
        <v>0</v>
      </c>
      <c r="CJ231" s="8">
        <f t="shared" si="173"/>
        <v>0</v>
      </c>
      <c r="CK231" s="8">
        <f t="shared" si="174"/>
        <v>0</v>
      </c>
      <c r="CL231" s="8">
        <f t="shared" si="175"/>
        <v>0</v>
      </c>
      <c r="CM231" s="8">
        <f t="shared" si="176"/>
        <v>0</v>
      </c>
      <c r="CN231" s="8">
        <f t="shared" si="177"/>
        <v>0</v>
      </c>
      <c r="CO231" s="8">
        <f t="shared" si="178"/>
        <v>0</v>
      </c>
      <c r="CP231" s="8">
        <f t="shared" si="179"/>
        <v>0</v>
      </c>
      <c r="CQ231" s="8">
        <f t="shared" si="180"/>
        <v>0</v>
      </c>
      <c r="CR231" s="8">
        <f t="shared" si="181"/>
        <v>0</v>
      </c>
      <c r="CS231" s="8">
        <f t="shared" si="182"/>
        <v>0</v>
      </c>
      <c r="CT231" s="8">
        <f t="shared" si="187"/>
        <v>0</v>
      </c>
      <c r="CU231" s="8">
        <f t="shared" si="188"/>
        <v>0</v>
      </c>
      <c r="CV231" s="8">
        <f t="shared" si="189"/>
        <v>0</v>
      </c>
    </row>
    <row r="232" spans="1:100" ht="25.25" customHeight="1" thickTop="1" thickBot="1" x14ac:dyDescent="0.5">
      <c r="A232" s="32"/>
      <c r="B232" s="10"/>
      <c r="C232" s="10"/>
      <c r="D232" s="11"/>
      <c r="E232" s="10"/>
      <c r="F232" s="10"/>
      <c r="G232" s="19"/>
      <c r="H232" s="19"/>
      <c r="I232" s="19"/>
      <c r="J232" s="19"/>
      <c r="K232" s="10"/>
      <c r="L232" s="10"/>
      <c r="M232" s="10"/>
      <c r="N232" s="10"/>
      <c r="O232" s="18"/>
      <c r="P232" s="18"/>
      <c r="Q232" s="21"/>
      <c r="R232" s="20"/>
      <c r="S232" s="16">
        <f t="shared" si="145"/>
        <v>0</v>
      </c>
      <c r="T232" s="11"/>
      <c r="AR232" s="31"/>
      <c r="AS232" s="31">
        <f t="shared" si="146"/>
        <v>0</v>
      </c>
      <c r="AT232" s="31">
        <f t="shared" si="147"/>
        <v>0</v>
      </c>
      <c r="AU232" s="31">
        <f t="shared" si="148"/>
        <v>0</v>
      </c>
      <c r="AV232" s="31">
        <f t="shared" si="149"/>
        <v>0</v>
      </c>
      <c r="AW232" s="31">
        <f t="shared" si="150"/>
        <v>0</v>
      </c>
      <c r="AX232" s="31">
        <f t="shared" si="151"/>
        <v>0</v>
      </c>
      <c r="AY232" s="31">
        <f t="shared" si="152"/>
        <v>0</v>
      </c>
      <c r="AZ232" s="31">
        <f t="shared" si="153"/>
        <v>0</v>
      </c>
      <c r="BA232" s="31">
        <f t="shared" si="154"/>
        <v>0</v>
      </c>
      <c r="BB232" s="31">
        <f t="shared" si="183"/>
        <v>0</v>
      </c>
      <c r="BC232" s="31"/>
      <c r="BD232" s="31"/>
      <c r="BM232" s="8">
        <f t="shared" si="184"/>
        <v>0</v>
      </c>
      <c r="BN232" s="8">
        <f t="shared" si="155"/>
        <v>0</v>
      </c>
      <c r="BO232" s="8">
        <f t="shared" si="156"/>
        <v>0</v>
      </c>
      <c r="BQ232" s="8">
        <f t="shared" si="157"/>
        <v>0</v>
      </c>
      <c r="BR232" s="63">
        <f t="shared" si="158"/>
        <v>0</v>
      </c>
      <c r="BS232" s="63">
        <f t="shared" si="185"/>
        <v>0</v>
      </c>
      <c r="BT232" s="63">
        <f t="shared" si="159"/>
        <v>0</v>
      </c>
      <c r="BU232" s="63">
        <f t="shared" si="160"/>
        <v>0</v>
      </c>
      <c r="BV232" s="57">
        <f t="shared" si="161"/>
        <v>0</v>
      </c>
      <c r="BW232" s="57">
        <f t="shared" si="162"/>
        <v>0</v>
      </c>
      <c r="BX232" s="57">
        <f t="shared" si="186"/>
        <v>0</v>
      </c>
      <c r="BY232" s="57">
        <f t="shared" si="190"/>
        <v>0</v>
      </c>
      <c r="BZ232" s="8">
        <f t="shared" si="163"/>
        <v>0</v>
      </c>
      <c r="CA232" s="8">
        <f t="shared" si="164"/>
        <v>0</v>
      </c>
      <c r="CB232" s="8">
        <f t="shared" si="165"/>
        <v>0</v>
      </c>
      <c r="CC232" s="8">
        <f t="shared" si="166"/>
        <v>0</v>
      </c>
      <c r="CD232" s="8">
        <f t="shared" si="167"/>
        <v>0</v>
      </c>
      <c r="CE232" s="8">
        <f t="shared" si="168"/>
        <v>0</v>
      </c>
      <c r="CF232" s="8">
        <f t="shared" si="169"/>
        <v>0</v>
      </c>
      <c r="CG232" s="8">
        <f t="shared" si="170"/>
        <v>0</v>
      </c>
      <c r="CH232" s="8">
        <f t="shared" si="171"/>
        <v>0</v>
      </c>
      <c r="CI232" s="8">
        <f t="shared" si="172"/>
        <v>0</v>
      </c>
      <c r="CJ232" s="8">
        <f t="shared" si="173"/>
        <v>0</v>
      </c>
      <c r="CK232" s="8">
        <f t="shared" si="174"/>
        <v>0</v>
      </c>
      <c r="CL232" s="8">
        <f t="shared" si="175"/>
        <v>0</v>
      </c>
      <c r="CM232" s="8">
        <f t="shared" si="176"/>
        <v>0</v>
      </c>
      <c r="CN232" s="8">
        <f t="shared" si="177"/>
        <v>0</v>
      </c>
      <c r="CO232" s="8">
        <f t="shared" si="178"/>
        <v>0</v>
      </c>
      <c r="CP232" s="8">
        <f t="shared" si="179"/>
        <v>0</v>
      </c>
      <c r="CQ232" s="8">
        <f t="shared" si="180"/>
        <v>0</v>
      </c>
      <c r="CR232" s="8">
        <f t="shared" si="181"/>
        <v>0</v>
      </c>
      <c r="CS232" s="8">
        <f t="shared" si="182"/>
        <v>0</v>
      </c>
      <c r="CT232" s="8">
        <f t="shared" si="187"/>
        <v>0</v>
      </c>
      <c r="CU232" s="8">
        <f t="shared" si="188"/>
        <v>0</v>
      </c>
      <c r="CV232" s="8">
        <f t="shared" si="189"/>
        <v>0</v>
      </c>
    </row>
    <row r="233" spans="1:100" ht="25.25" customHeight="1" thickTop="1" thickBot="1" x14ac:dyDescent="0.5">
      <c r="A233" s="32"/>
      <c r="B233" s="10"/>
      <c r="C233" s="10"/>
      <c r="D233" s="11"/>
      <c r="E233" s="10"/>
      <c r="F233" s="10"/>
      <c r="G233" s="19"/>
      <c r="H233" s="19"/>
      <c r="I233" s="19"/>
      <c r="J233" s="19"/>
      <c r="K233" s="10"/>
      <c r="L233" s="10"/>
      <c r="M233" s="10"/>
      <c r="N233" s="10"/>
      <c r="O233" s="18"/>
      <c r="P233" s="18"/>
      <c r="Q233" s="21"/>
      <c r="R233" s="20"/>
      <c r="S233" s="16">
        <f t="shared" si="145"/>
        <v>0</v>
      </c>
      <c r="T233" s="11"/>
      <c r="AR233" s="31"/>
      <c r="AS233" s="31">
        <f t="shared" si="146"/>
        <v>0</v>
      </c>
      <c r="AT233" s="31">
        <f t="shared" si="147"/>
        <v>0</v>
      </c>
      <c r="AU233" s="31">
        <f t="shared" si="148"/>
        <v>0</v>
      </c>
      <c r="AV233" s="31">
        <f t="shared" si="149"/>
        <v>0</v>
      </c>
      <c r="AW233" s="31">
        <f t="shared" si="150"/>
        <v>0</v>
      </c>
      <c r="AX233" s="31">
        <f t="shared" si="151"/>
        <v>0</v>
      </c>
      <c r="AY233" s="31">
        <f t="shared" si="152"/>
        <v>0</v>
      </c>
      <c r="AZ233" s="31">
        <f t="shared" si="153"/>
        <v>0</v>
      </c>
      <c r="BA233" s="31">
        <f t="shared" si="154"/>
        <v>0</v>
      </c>
      <c r="BB233" s="31">
        <f t="shared" si="183"/>
        <v>0</v>
      </c>
      <c r="BC233" s="31"/>
      <c r="BD233" s="31"/>
      <c r="BM233" s="8">
        <f t="shared" si="184"/>
        <v>0</v>
      </c>
      <c r="BN233" s="8">
        <f t="shared" si="155"/>
        <v>0</v>
      </c>
      <c r="BO233" s="8">
        <f t="shared" si="156"/>
        <v>0</v>
      </c>
      <c r="BQ233" s="8">
        <f t="shared" si="157"/>
        <v>0</v>
      </c>
      <c r="BR233" s="63">
        <f t="shared" si="158"/>
        <v>0</v>
      </c>
      <c r="BS233" s="63">
        <f t="shared" si="185"/>
        <v>0</v>
      </c>
      <c r="BT233" s="63">
        <f t="shared" si="159"/>
        <v>0</v>
      </c>
      <c r="BU233" s="63">
        <f t="shared" si="160"/>
        <v>0</v>
      </c>
      <c r="BV233" s="57">
        <f t="shared" si="161"/>
        <v>0</v>
      </c>
      <c r="BW233" s="57">
        <f t="shared" si="162"/>
        <v>0</v>
      </c>
      <c r="BX233" s="57">
        <f t="shared" si="186"/>
        <v>0</v>
      </c>
      <c r="BY233" s="57">
        <f t="shared" si="190"/>
        <v>0</v>
      </c>
      <c r="BZ233" s="8">
        <f t="shared" si="163"/>
        <v>0</v>
      </c>
      <c r="CA233" s="8">
        <f t="shared" si="164"/>
        <v>0</v>
      </c>
      <c r="CB233" s="8">
        <f t="shared" si="165"/>
        <v>0</v>
      </c>
      <c r="CC233" s="8">
        <f t="shared" si="166"/>
        <v>0</v>
      </c>
      <c r="CD233" s="8">
        <f t="shared" si="167"/>
        <v>0</v>
      </c>
      <c r="CE233" s="8">
        <f t="shared" si="168"/>
        <v>0</v>
      </c>
      <c r="CF233" s="8">
        <f t="shared" si="169"/>
        <v>0</v>
      </c>
      <c r="CG233" s="8">
        <f t="shared" si="170"/>
        <v>0</v>
      </c>
      <c r="CH233" s="8">
        <f t="shared" si="171"/>
        <v>0</v>
      </c>
      <c r="CI233" s="8">
        <f t="shared" si="172"/>
        <v>0</v>
      </c>
      <c r="CJ233" s="8">
        <f t="shared" si="173"/>
        <v>0</v>
      </c>
      <c r="CK233" s="8">
        <f t="shared" si="174"/>
        <v>0</v>
      </c>
      <c r="CL233" s="8">
        <f t="shared" si="175"/>
        <v>0</v>
      </c>
      <c r="CM233" s="8">
        <f t="shared" si="176"/>
        <v>0</v>
      </c>
      <c r="CN233" s="8">
        <f t="shared" si="177"/>
        <v>0</v>
      </c>
      <c r="CO233" s="8">
        <f t="shared" si="178"/>
        <v>0</v>
      </c>
      <c r="CP233" s="8">
        <f t="shared" si="179"/>
        <v>0</v>
      </c>
      <c r="CQ233" s="8">
        <f t="shared" si="180"/>
        <v>0</v>
      </c>
      <c r="CR233" s="8">
        <f t="shared" si="181"/>
        <v>0</v>
      </c>
      <c r="CS233" s="8">
        <f t="shared" si="182"/>
        <v>0</v>
      </c>
      <c r="CT233" s="8">
        <f t="shared" si="187"/>
        <v>0</v>
      </c>
      <c r="CU233" s="8">
        <f t="shared" si="188"/>
        <v>0</v>
      </c>
      <c r="CV233" s="8">
        <f t="shared" si="189"/>
        <v>0</v>
      </c>
    </row>
    <row r="234" spans="1:100" ht="25.25" customHeight="1" thickTop="1" thickBot="1" x14ac:dyDescent="0.5">
      <c r="A234" s="32"/>
      <c r="B234" s="10"/>
      <c r="C234" s="10"/>
      <c r="D234" s="11"/>
      <c r="E234" s="10"/>
      <c r="F234" s="10"/>
      <c r="G234" s="19"/>
      <c r="H234" s="19"/>
      <c r="I234" s="19"/>
      <c r="J234" s="19"/>
      <c r="K234" s="10"/>
      <c r="L234" s="10"/>
      <c r="M234" s="10"/>
      <c r="N234" s="10"/>
      <c r="O234" s="18"/>
      <c r="P234" s="18"/>
      <c r="Q234" s="21"/>
      <c r="R234" s="20"/>
      <c r="S234" s="16">
        <f t="shared" si="145"/>
        <v>0</v>
      </c>
      <c r="T234" s="11"/>
      <c r="AR234" s="31"/>
      <c r="AS234" s="31">
        <f t="shared" si="146"/>
        <v>0</v>
      </c>
      <c r="AT234" s="31">
        <f t="shared" si="147"/>
        <v>0</v>
      </c>
      <c r="AU234" s="31">
        <f t="shared" si="148"/>
        <v>0</v>
      </c>
      <c r="AV234" s="31">
        <f t="shared" si="149"/>
        <v>0</v>
      </c>
      <c r="AW234" s="31">
        <f t="shared" si="150"/>
        <v>0</v>
      </c>
      <c r="AX234" s="31">
        <f t="shared" si="151"/>
        <v>0</v>
      </c>
      <c r="AY234" s="31">
        <f t="shared" si="152"/>
        <v>0</v>
      </c>
      <c r="AZ234" s="31">
        <f t="shared" si="153"/>
        <v>0</v>
      </c>
      <c r="BA234" s="31">
        <f t="shared" si="154"/>
        <v>0</v>
      </c>
      <c r="BB234" s="31">
        <f t="shared" si="183"/>
        <v>0</v>
      </c>
      <c r="BC234" s="31"/>
      <c r="BD234" s="31"/>
      <c r="BM234" s="8">
        <f t="shared" si="184"/>
        <v>0</v>
      </c>
      <c r="BN234" s="8">
        <f t="shared" si="155"/>
        <v>0</v>
      </c>
      <c r="BO234" s="8">
        <f t="shared" si="156"/>
        <v>0</v>
      </c>
      <c r="BQ234" s="8">
        <f t="shared" si="157"/>
        <v>0</v>
      </c>
      <c r="BR234" s="63">
        <f t="shared" si="158"/>
        <v>0</v>
      </c>
      <c r="BS234" s="63">
        <f t="shared" si="185"/>
        <v>0</v>
      </c>
      <c r="BT234" s="63">
        <f t="shared" si="159"/>
        <v>0</v>
      </c>
      <c r="BU234" s="63">
        <f t="shared" si="160"/>
        <v>0</v>
      </c>
      <c r="BV234" s="57">
        <f t="shared" si="161"/>
        <v>0</v>
      </c>
      <c r="BW234" s="57">
        <f t="shared" si="162"/>
        <v>0</v>
      </c>
      <c r="BX234" s="57">
        <f t="shared" si="186"/>
        <v>0</v>
      </c>
      <c r="BY234" s="57">
        <f t="shared" si="190"/>
        <v>0</v>
      </c>
      <c r="BZ234" s="8">
        <f t="shared" si="163"/>
        <v>0</v>
      </c>
      <c r="CA234" s="8">
        <f t="shared" si="164"/>
        <v>0</v>
      </c>
      <c r="CB234" s="8">
        <f t="shared" si="165"/>
        <v>0</v>
      </c>
      <c r="CC234" s="8">
        <f t="shared" si="166"/>
        <v>0</v>
      </c>
      <c r="CD234" s="8">
        <f t="shared" si="167"/>
        <v>0</v>
      </c>
      <c r="CE234" s="8">
        <f t="shared" si="168"/>
        <v>0</v>
      </c>
      <c r="CF234" s="8">
        <f t="shared" si="169"/>
        <v>0</v>
      </c>
      <c r="CG234" s="8">
        <f t="shared" si="170"/>
        <v>0</v>
      </c>
      <c r="CH234" s="8">
        <f t="shared" si="171"/>
        <v>0</v>
      </c>
      <c r="CI234" s="8">
        <f t="shared" si="172"/>
        <v>0</v>
      </c>
      <c r="CJ234" s="8">
        <f t="shared" si="173"/>
        <v>0</v>
      </c>
      <c r="CK234" s="8">
        <f t="shared" si="174"/>
        <v>0</v>
      </c>
      <c r="CL234" s="8">
        <f t="shared" si="175"/>
        <v>0</v>
      </c>
      <c r="CM234" s="8">
        <f t="shared" si="176"/>
        <v>0</v>
      </c>
      <c r="CN234" s="8">
        <f t="shared" si="177"/>
        <v>0</v>
      </c>
      <c r="CO234" s="8">
        <f t="shared" si="178"/>
        <v>0</v>
      </c>
      <c r="CP234" s="8">
        <f t="shared" si="179"/>
        <v>0</v>
      </c>
      <c r="CQ234" s="8">
        <f t="shared" si="180"/>
        <v>0</v>
      </c>
      <c r="CR234" s="8">
        <f t="shared" si="181"/>
        <v>0</v>
      </c>
      <c r="CS234" s="8">
        <f t="shared" si="182"/>
        <v>0</v>
      </c>
      <c r="CT234" s="8">
        <f t="shared" si="187"/>
        <v>0</v>
      </c>
      <c r="CU234" s="8">
        <f t="shared" si="188"/>
        <v>0</v>
      </c>
      <c r="CV234" s="8">
        <f t="shared" si="189"/>
        <v>0</v>
      </c>
    </row>
    <row r="235" spans="1:100" ht="25.25" customHeight="1" thickTop="1" thickBot="1" x14ac:dyDescent="0.5">
      <c r="A235" s="32"/>
      <c r="B235" s="10"/>
      <c r="C235" s="10"/>
      <c r="D235" s="11"/>
      <c r="E235" s="10"/>
      <c r="F235" s="10"/>
      <c r="G235" s="19"/>
      <c r="H235" s="19"/>
      <c r="I235" s="19"/>
      <c r="J235" s="19"/>
      <c r="K235" s="10"/>
      <c r="L235" s="10"/>
      <c r="M235" s="10"/>
      <c r="N235" s="10"/>
      <c r="O235" s="18"/>
      <c r="P235" s="18"/>
      <c r="Q235" s="21"/>
      <c r="R235" s="20"/>
      <c r="S235" s="16">
        <f t="shared" si="145"/>
        <v>0</v>
      </c>
      <c r="T235" s="11"/>
      <c r="AR235" s="31"/>
      <c r="AS235" s="31">
        <f t="shared" si="146"/>
        <v>0</v>
      </c>
      <c r="AT235" s="31">
        <f t="shared" si="147"/>
        <v>0</v>
      </c>
      <c r="AU235" s="31">
        <f t="shared" si="148"/>
        <v>0</v>
      </c>
      <c r="AV235" s="31">
        <f t="shared" si="149"/>
        <v>0</v>
      </c>
      <c r="AW235" s="31">
        <f t="shared" si="150"/>
        <v>0</v>
      </c>
      <c r="AX235" s="31">
        <f t="shared" si="151"/>
        <v>0</v>
      </c>
      <c r="AY235" s="31">
        <f t="shared" si="152"/>
        <v>0</v>
      </c>
      <c r="AZ235" s="31">
        <f t="shared" si="153"/>
        <v>0</v>
      </c>
      <c r="BA235" s="31">
        <f t="shared" si="154"/>
        <v>0</v>
      </c>
      <c r="BB235" s="31">
        <f t="shared" si="183"/>
        <v>0</v>
      </c>
      <c r="BC235" s="31"/>
      <c r="BD235" s="31"/>
      <c r="BM235" s="8">
        <f t="shared" si="184"/>
        <v>0</v>
      </c>
      <c r="BN235" s="8">
        <f t="shared" si="155"/>
        <v>0</v>
      </c>
      <c r="BO235" s="8">
        <f t="shared" si="156"/>
        <v>0</v>
      </c>
      <c r="BQ235" s="8">
        <f t="shared" si="157"/>
        <v>0</v>
      </c>
      <c r="BR235" s="63">
        <f t="shared" si="158"/>
        <v>0</v>
      </c>
      <c r="BS235" s="63">
        <f t="shared" si="185"/>
        <v>0</v>
      </c>
      <c r="BT235" s="63">
        <f t="shared" si="159"/>
        <v>0</v>
      </c>
      <c r="BU235" s="63">
        <f t="shared" si="160"/>
        <v>0</v>
      </c>
      <c r="BV235" s="57">
        <f t="shared" si="161"/>
        <v>0</v>
      </c>
      <c r="BW235" s="57">
        <f t="shared" si="162"/>
        <v>0</v>
      </c>
      <c r="BX235" s="57">
        <f t="shared" si="186"/>
        <v>0</v>
      </c>
      <c r="BY235" s="57">
        <f t="shared" si="190"/>
        <v>0</v>
      </c>
      <c r="BZ235" s="8">
        <f t="shared" si="163"/>
        <v>0</v>
      </c>
      <c r="CA235" s="8">
        <f t="shared" si="164"/>
        <v>0</v>
      </c>
      <c r="CB235" s="8">
        <f t="shared" si="165"/>
        <v>0</v>
      </c>
      <c r="CC235" s="8">
        <f t="shared" si="166"/>
        <v>0</v>
      </c>
      <c r="CD235" s="8">
        <f t="shared" si="167"/>
        <v>0</v>
      </c>
      <c r="CE235" s="8">
        <f t="shared" si="168"/>
        <v>0</v>
      </c>
      <c r="CF235" s="8">
        <f t="shared" si="169"/>
        <v>0</v>
      </c>
      <c r="CG235" s="8">
        <f t="shared" si="170"/>
        <v>0</v>
      </c>
      <c r="CH235" s="8">
        <f t="shared" si="171"/>
        <v>0</v>
      </c>
      <c r="CI235" s="8">
        <f t="shared" si="172"/>
        <v>0</v>
      </c>
      <c r="CJ235" s="8">
        <f t="shared" si="173"/>
        <v>0</v>
      </c>
      <c r="CK235" s="8">
        <f t="shared" si="174"/>
        <v>0</v>
      </c>
      <c r="CL235" s="8">
        <f t="shared" si="175"/>
        <v>0</v>
      </c>
      <c r="CM235" s="8">
        <f t="shared" si="176"/>
        <v>0</v>
      </c>
      <c r="CN235" s="8">
        <f t="shared" si="177"/>
        <v>0</v>
      </c>
      <c r="CO235" s="8">
        <f t="shared" si="178"/>
        <v>0</v>
      </c>
      <c r="CP235" s="8">
        <f t="shared" si="179"/>
        <v>0</v>
      </c>
      <c r="CQ235" s="8">
        <f t="shared" si="180"/>
        <v>0</v>
      </c>
      <c r="CR235" s="8">
        <f t="shared" si="181"/>
        <v>0</v>
      </c>
      <c r="CS235" s="8">
        <f t="shared" si="182"/>
        <v>0</v>
      </c>
      <c r="CT235" s="8">
        <f t="shared" si="187"/>
        <v>0</v>
      </c>
      <c r="CU235" s="8">
        <f t="shared" si="188"/>
        <v>0</v>
      </c>
      <c r="CV235" s="8">
        <f t="shared" si="189"/>
        <v>0</v>
      </c>
    </row>
    <row r="236" spans="1:100" ht="25.25" customHeight="1" thickTop="1" thickBot="1" x14ac:dyDescent="0.5">
      <c r="A236" s="32"/>
      <c r="B236" s="10"/>
      <c r="C236" s="10"/>
      <c r="D236" s="11"/>
      <c r="E236" s="10"/>
      <c r="F236" s="10"/>
      <c r="G236" s="19"/>
      <c r="H236" s="19"/>
      <c r="I236" s="19"/>
      <c r="J236" s="19"/>
      <c r="K236" s="10"/>
      <c r="L236" s="10"/>
      <c r="M236" s="10"/>
      <c r="N236" s="10"/>
      <c r="O236" s="18"/>
      <c r="P236" s="18"/>
      <c r="Q236" s="21"/>
      <c r="R236" s="20"/>
      <c r="S236" s="16">
        <f t="shared" si="145"/>
        <v>0</v>
      </c>
      <c r="T236" s="11"/>
      <c r="AR236" s="31"/>
      <c r="AS236" s="31">
        <f t="shared" si="146"/>
        <v>0</v>
      </c>
      <c r="AT236" s="31">
        <f t="shared" si="147"/>
        <v>0</v>
      </c>
      <c r="AU236" s="31">
        <f t="shared" si="148"/>
        <v>0</v>
      </c>
      <c r="AV236" s="31">
        <f t="shared" si="149"/>
        <v>0</v>
      </c>
      <c r="AW236" s="31">
        <f t="shared" si="150"/>
        <v>0</v>
      </c>
      <c r="AX236" s="31">
        <f t="shared" si="151"/>
        <v>0</v>
      </c>
      <c r="AY236" s="31">
        <f t="shared" si="152"/>
        <v>0</v>
      </c>
      <c r="AZ236" s="31">
        <f t="shared" si="153"/>
        <v>0</v>
      </c>
      <c r="BA236" s="31">
        <f t="shared" si="154"/>
        <v>0</v>
      </c>
      <c r="BB236" s="31">
        <f t="shared" si="183"/>
        <v>0</v>
      </c>
      <c r="BC236" s="31"/>
      <c r="BD236" s="31"/>
      <c r="BM236" s="8">
        <f t="shared" si="184"/>
        <v>0</v>
      </c>
      <c r="BN236" s="8">
        <f t="shared" si="155"/>
        <v>0</v>
      </c>
      <c r="BO236" s="8">
        <f t="shared" si="156"/>
        <v>0</v>
      </c>
      <c r="BQ236" s="8">
        <f t="shared" si="157"/>
        <v>0</v>
      </c>
      <c r="BR236" s="63">
        <f t="shared" si="158"/>
        <v>0</v>
      </c>
      <c r="BS236" s="63">
        <f t="shared" si="185"/>
        <v>0</v>
      </c>
      <c r="BT236" s="63">
        <f t="shared" si="159"/>
        <v>0</v>
      </c>
      <c r="BU236" s="63">
        <f t="shared" si="160"/>
        <v>0</v>
      </c>
      <c r="BV236" s="57">
        <f t="shared" si="161"/>
        <v>0</v>
      </c>
      <c r="BW236" s="57">
        <f t="shared" si="162"/>
        <v>0</v>
      </c>
      <c r="BX236" s="57">
        <f t="shared" si="186"/>
        <v>0</v>
      </c>
      <c r="BY236" s="57">
        <f t="shared" si="190"/>
        <v>0</v>
      </c>
      <c r="BZ236" s="8">
        <f t="shared" si="163"/>
        <v>0</v>
      </c>
      <c r="CA236" s="8">
        <f t="shared" si="164"/>
        <v>0</v>
      </c>
      <c r="CB236" s="8">
        <f t="shared" si="165"/>
        <v>0</v>
      </c>
      <c r="CC236" s="8">
        <f t="shared" si="166"/>
        <v>0</v>
      </c>
      <c r="CD236" s="8">
        <f t="shared" si="167"/>
        <v>0</v>
      </c>
      <c r="CE236" s="8">
        <f t="shared" si="168"/>
        <v>0</v>
      </c>
      <c r="CF236" s="8">
        <f t="shared" si="169"/>
        <v>0</v>
      </c>
      <c r="CG236" s="8">
        <f t="shared" si="170"/>
        <v>0</v>
      </c>
      <c r="CH236" s="8">
        <f t="shared" si="171"/>
        <v>0</v>
      </c>
      <c r="CI236" s="8">
        <f t="shared" si="172"/>
        <v>0</v>
      </c>
      <c r="CJ236" s="8">
        <f t="shared" si="173"/>
        <v>0</v>
      </c>
      <c r="CK236" s="8">
        <f t="shared" si="174"/>
        <v>0</v>
      </c>
      <c r="CL236" s="8">
        <f t="shared" si="175"/>
        <v>0</v>
      </c>
      <c r="CM236" s="8">
        <f t="shared" si="176"/>
        <v>0</v>
      </c>
      <c r="CN236" s="8">
        <f t="shared" si="177"/>
        <v>0</v>
      </c>
      <c r="CO236" s="8">
        <f t="shared" si="178"/>
        <v>0</v>
      </c>
      <c r="CP236" s="8">
        <f t="shared" si="179"/>
        <v>0</v>
      </c>
      <c r="CQ236" s="8">
        <f t="shared" si="180"/>
        <v>0</v>
      </c>
      <c r="CR236" s="8">
        <f t="shared" si="181"/>
        <v>0</v>
      </c>
      <c r="CS236" s="8">
        <f t="shared" si="182"/>
        <v>0</v>
      </c>
      <c r="CT236" s="8">
        <f t="shared" si="187"/>
        <v>0</v>
      </c>
      <c r="CU236" s="8">
        <f t="shared" si="188"/>
        <v>0</v>
      </c>
      <c r="CV236" s="8">
        <f t="shared" si="189"/>
        <v>0</v>
      </c>
    </row>
    <row r="237" spans="1:100" ht="25.25" customHeight="1" thickTop="1" thickBot="1" x14ac:dyDescent="0.5">
      <c r="A237" s="32"/>
      <c r="B237" s="10"/>
      <c r="C237" s="10"/>
      <c r="D237" s="11"/>
      <c r="E237" s="10"/>
      <c r="F237" s="10"/>
      <c r="G237" s="19"/>
      <c r="H237" s="19"/>
      <c r="I237" s="19"/>
      <c r="J237" s="19"/>
      <c r="K237" s="10"/>
      <c r="L237" s="10"/>
      <c r="M237" s="10"/>
      <c r="N237" s="10"/>
      <c r="O237" s="18"/>
      <c r="P237" s="18"/>
      <c r="Q237" s="21"/>
      <c r="R237" s="20"/>
      <c r="S237" s="16">
        <f t="shared" si="145"/>
        <v>0</v>
      </c>
      <c r="T237" s="11"/>
      <c r="AR237" s="31"/>
      <c r="AS237" s="31">
        <f t="shared" si="146"/>
        <v>0</v>
      </c>
      <c r="AT237" s="31">
        <f t="shared" si="147"/>
        <v>0</v>
      </c>
      <c r="AU237" s="31">
        <f t="shared" si="148"/>
        <v>0</v>
      </c>
      <c r="AV237" s="31">
        <f t="shared" si="149"/>
        <v>0</v>
      </c>
      <c r="AW237" s="31">
        <f t="shared" si="150"/>
        <v>0</v>
      </c>
      <c r="AX237" s="31">
        <f t="shared" si="151"/>
        <v>0</v>
      </c>
      <c r="AY237" s="31">
        <f t="shared" si="152"/>
        <v>0</v>
      </c>
      <c r="AZ237" s="31">
        <f t="shared" si="153"/>
        <v>0</v>
      </c>
      <c r="BA237" s="31">
        <f t="shared" si="154"/>
        <v>0</v>
      </c>
      <c r="BB237" s="31">
        <f t="shared" si="183"/>
        <v>0</v>
      </c>
      <c r="BC237" s="31"/>
      <c r="BD237" s="31"/>
      <c r="BM237" s="8">
        <f t="shared" si="184"/>
        <v>0</v>
      </c>
      <c r="BN237" s="8">
        <f t="shared" si="155"/>
        <v>0</v>
      </c>
      <c r="BO237" s="8">
        <f t="shared" si="156"/>
        <v>0</v>
      </c>
      <c r="BQ237" s="8">
        <f t="shared" si="157"/>
        <v>0</v>
      </c>
      <c r="BR237" s="63">
        <f t="shared" si="158"/>
        <v>0</v>
      </c>
      <c r="BS237" s="63">
        <f t="shared" si="185"/>
        <v>0</v>
      </c>
      <c r="BT237" s="63">
        <f t="shared" si="159"/>
        <v>0</v>
      </c>
      <c r="BU237" s="63">
        <f t="shared" si="160"/>
        <v>0</v>
      </c>
      <c r="BV237" s="57">
        <f t="shared" si="161"/>
        <v>0</v>
      </c>
      <c r="BW237" s="57">
        <f t="shared" si="162"/>
        <v>0</v>
      </c>
      <c r="BX237" s="57">
        <f t="shared" si="186"/>
        <v>0</v>
      </c>
      <c r="BY237" s="57">
        <f t="shared" si="190"/>
        <v>0</v>
      </c>
      <c r="BZ237" s="8">
        <f t="shared" si="163"/>
        <v>0</v>
      </c>
      <c r="CA237" s="8">
        <f t="shared" si="164"/>
        <v>0</v>
      </c>
      <c r="CB237" s="8">
        <f t="shared" si="165"/>
        <v>0</v>
      </c>
      <c r="CC237" s="8">
        <f t="shared" si="166"/>
        <v>0</v>
      </c>
      <c r="CD237" s="8">
        <f t="shared" si="167"/>
        <v>0</v>
      </c>
      <c r="CE237" s="8">
        <f t="shared" si="168"/>
        <v>0</v>
      </c>
      <c r="CF237" s="8">
        <f t="shared" si="169"/>
        <v>0</v>
      </c>
      <c r="CG237" s="8">
        <f t="shared" si="170"/>
        <v>0</v>
      </c>
      <c r="CH237" s="8">
        <f t="shared" si="171"/>
        <v>0</v>
      </c>
      <c r="CI237" s="8">
        <f t="shared" si="172"/>
        <v>0</v>
      </c>
      <c r="CJ237" s="8">
        <f t="shared" si="173"/>
        <v>0</v>
      </c>
      <c r="CK237" s="8">
        <f t="shared" si="174"/>
        <v>0</v>
      </c>
      <c r="CL237" s="8">
        <f t="shared" si="175"/>
        <v>0</v>
      </c>
      <c r="CM237" s="8">
        <f t="shared" si="176"/>
        <v>0</v>
      </c>
      <c r="CN237" s="8">
        <f t="shared" si="177"/>
        <v>0</v>
      </c>
      <c r="CO237" s="8">
        <f t="shared" si="178"/>
        <v>0</v>
      </c>
      <c r="CP237" s="8">
        <f t="shared" si="179"/>
        <v>0</v>
      </c>
      <c r="CQ237" s="8">
        <f t="shared" si="180"/>
        <v>0</v>
      </c>
      <c r="CR237" s="8">
        <f t="shared" si="181"/>
        <v>0</v>
      </c>
      <c r="CS237" s="8">
        <f t="shared" si="182"/>
        <v>0</v>
      </c>
      <c r="CT237" s="8">
        <f t="shared" si="187"/>
        <v>0</v>
      </c>
      <c r="CU237" s="8">
        <f t="shared" si="188"/>
        <v>0</v>
      </c>
      <c r="CV237" s="8">
        <f t="shared" si="189"/>
        <v>0</v>
      </c>
    </row>
    <row r="238" spans="1:100" ht="25.25" customHeight="1" thickTop="1" thickBot="1" x14ac:dyDescent="0.5">
      <c r="A238" s="32"/>
      <c r="B238" s="10"/>
      <c r="C238" s="10"/>
      <c r="D238" s="11"/>
      <c r="E238" s="10"/>
      <c r="F238" s="10"/>
      <c r="G238" s="19"/>
      <c r="H238" s="19"/>
      <c r="I238" s="19"/>
      <c r="J238" s="19"/>
      <c r="K238" s="10"/>
      <c r="L238" s="10"/>
      <c r="M238" s="10"/>
      <c r="N238" s="10"/>
      <c r="O238" s="18"/>
      <c r="P238" s="18"/>
      <c r="Q238" s="21"/>
      <c r="R238" s="20"/>
      <c r="S238" s="16">
        <f t="shared" si="145"/>
        <v>0</v>
      </c>
      <c r="T238" s="11"/>
      <c r="AR238" s="31"/>
      <c r="AS238" s="31">
        <f t="shared" si="146"/>
        <v>0</v>
      </c>
      <c r="AT238" s="31">
        <f t="shared" si="147"/>
        <v>0</v>
      </c>
      <c r="AU238" s="31">
        <f t="shared" si="148"/>
        <v>0</v>
      </c>
      <c r="AV238" s="31">
        <f t="shared" si="149"/>
        <v>0</v>
      </c>
      <c r="AW238" s="31">
        <f t="shared" si="150"/>
        <v>0</v>
      </c>
      <c r="AX238" s="31">
        <f t="shared" si="151"/>
        <v>0</v>
      </c>
      <c r="AY238" s="31">
        <f t="shared" si="152"/>
        <v>0</v>
      </c>
      <c r="AZ238" s="31">
        <f t="shared" si="153"/>
        <v>0</v>
      </c>
      <c r="BA238" s="31">
        <f t="shared" si="154"/>
        <v>0</v>
      </c>
      <c r="BB238" s="31">
        <f t="shared" si="183"/>
        <v>0</v>
      </c>
      <c r="BC238" s="31"/>
      <c r="BD238" s="31"/>
      <c r="BM238" s="8">
        <f t="shared" si="184"/>
        <v>0</v>
      </c>
      <c r="BN238" s="8">
        <f t="shared" si="155"/>
        <v>0</v>
      </c>
      <c r="BO238" s="8">
        <f t="shared" si="156"/>
        <v>0</v>
      </c>
      <c r="BQ238" s="8">
        <f t="shared" si="157"/>
        <v>0</v>
      </c>
      <c r="BR238" s="63">
        <f t="shared" si="158"/>
        <v>0</v>
      </c>
      <c r="BS238" s="63">
        <f t="shared" si="185"/>
        <v>0</v>
      </c>
      <c r="BT238" s="63">
        <f t="shared" si="159"/>
        <v>0</v>
      </c>
      <c r="BU238" s="63">
        <f t="shared" si="160"/>
        <v>0</v>
      </c>
      <c r="BV238" s="57">
        <f t="shared" si="161"/>
        <v>0</v>
      </c>
      <c r="BW238" s="57">
        <f t="shared" si="162"/>
        <v>0</v>
      </c>
      <c r="BX238" s="57">
        <f t="shared" si="186"/>
        <v>0</v>
      </c>
      <c r="BY238" s="57">
        <f t="shared" si="190"/>
        <v>0</v>
      </c>
      <c r="BZ238" s="8">
        <f t="shared" si="163"/>
        <v>0</v>
      </c>
      <c r="CA238" s="8">
        <f t="shared" si="164"/>
        <v>0</v>
      </c>
      <c r="CB238" s="8">
        <f t="shared" si="165"/>
        <v>0</v>
      </c>
      <c r="CC238" s="8">
        <f t="shared" si="166"/>
        <v>0</v>
      </c>
      <c r="CD238" s="8">
        <f t="shared" si="167"/>
        <v>0</v>
      </c>
      <c r="CE238" s="8">
        <f t="shared" si="168"/>
        <v>0</v>
      </c>
      <c r="CF238" s="8">
        <f t="shared" si="169"/>
        <v>0</v>
      </c>
      <c r="CG238" s="8">
        <f t="shared" si="170"/>
        <v>0</v>
      </c>
      <c r="CH238" s="8">
        <f t="shared" si="171"/>
        <v>0</v>
      </c>
      <c r="CI238" s="8">
        <f t="shared" si="172"/>
        <v>0</v>
      </c>
      <c r="CJ238" s="8">
        <f t="shared" si="173"/>
        <v>0</v>
      </c>
      <c r="CK238" s="8">
        <f t="shared" si="174"/>
        <v>0</v>
      </c>
      <c r="CL238" s="8">
        <f t="shared" si="175"/>
        <v>0</v>
      </c>
      <c r="CM238" s="8">
        <f t="shared" si="176"/>
        <v>0</v>
      </c>
      <c r="CN238" s="8">
        <f t="shared" si="177"/>
        <v>0</v>
      </c>
      <c r="CO238" s="8">
        <f t="shared" si="178"/>
        <v>0</v>
      </c>
      <c r="CP238" s="8">
        <f t="shared" si="179"/>
        <v>0</v>
      </c>
      <c r="CQ238" s="8">
        <f t="shared" si="180"/>
        <v>0</v>
      </c>
      <c r="CR238" s="8">
        <f t="shared" si="181"/>
        <v>0</v>
      </c>
      <c r="CS238" s="8">
        <f t="shared" si="182"/>
        <v>0</v>
      </c>
      <c r="CT238" s="8">
        <f t="shared" si="187"/>
        <v>0</v>
      </c>
      <c r="CU238" s="8">
        <f t="shared" si="188"/>
        <v>0</v>
      </c>
      <c r="CV238" s="8">
        <f t="shared" si="189"/>
        <v>0</v>
      </c>
    </row>
    <row r="239" spans="1:100" ht="25.25" customHeight="1" thickTop="1" thickBot="1" x14ac:dyDescent="0.5">
      <c r="A239" s="32"/>
      <c r="B239" s="10"/>
      <c r="C239" s="10"/>
      <c r="D239" s="11"/>
      <c r="E239" s="10"/>
      <c r="F239" s="10"/>
      <c r="G239" s="19"/>
      <c r="H239" s="19"/>
      <c r="I239" s="19"/>
      <c r="J239" s="19"/>
      <c r="K239" s="10"/>
      <c r="L239" s="10"/>
      <c r="M239" s="10"/>
      <c r="N239" s="10"/>
      <c r="O239" s="18"/>
      <c r="P239" s="18"/>
      <c r="Q239" s="21"/>
      <c r="R239" s="20"/>
      <c r="S239" s="16">
        <f t="shared" si="145"/>
        <v>0</v>
      </c>
      <c r="T239" s="11"/>
      <c r="AR239" s="31"/>
      <c r="AS239" s="31">
        <f t="shared" si="146"/>
        <v>0</v>
      </c>
      <c r="AT239" s="31">
        <f t="shared" si="147"/>
        <v>0</v>
      </c>
      <c r="AU239" s="31">
        <f t="shared" si="148"/>
        <v>0</v>
      </c>
      <c r="AV239" s="31">
        <f t="shared" si="149"/>
        <v>0</v>
      </c>
      <c r="AW239" s="31">
        <f t="shared" si="150"/>
        <v>0</v>
      </c>
      <c r="AX239" s="31">
        <f t="shared" si="151"/>
        <v>0</v>
      </c>
      <c r="AY239" s="31">
        <f t="shared" si="152"/>
        <v>0</v>
      </c>
      <c r="AZ239" s="31">
        <f t="shared" si="153"/>
        <v>0</v>
      </c>
      <c r="BA239" s="31">
        <f t="shared" si="154"/>
        <v>0</v>
      </c>
      <c r="BB239" s="31">
        <f t="shared" si="183"/>
        <v>0</v>
      </c>
      <c r="BC239" s="31"/>
      <c r="BD239" s="31"/>
      <c r="BM239" s="8">
        <f t="shared" si="184"/>
        <v>0</v>
      </c>
      <c r="BN239" s="8">
        <f t="shared" si="155"/>
        <v>0</v>
      </c>
      <c r="BO239" s="8">
        <f t="shared" si="156"/>
        <v>0</v>
      </c>
      <c r="BQ239" s="8">
        <f t="shared" si="157"/>
        <v>0</v>
      </c>
      <c r="BR239" s="63">
        <f t="shared" si="158"/>
        <v>0</v>
      </c>
      <c r="BS239" s="63">
        <f t="shared" si="185"/>
        <v>0</v>
      </c>
      <c r="BT239" s="63">
        <f t="shared" si="159"/>
        <v>0</v>
      </c>
      <c r="BU239" s="63">
        <f t="shared" si="160"/>
        <v>0</v>
      </c>
      <c r="BV239" s="57">
        <f t="shared" si="161"/>
        <v>0</v>
      </c>
      <c r="BW239" s="57">
        <f t="shared" si="162"/>
        <v>0</v>
      </c>
      <c r="BX239" s="57">
        <f t="shared" si="186"/>
        <v>0</v>
      </c>
      <c r="BY239" s="57">
        <f t="shared" si="190"/>
        <v>0</v>
      </c>
      <c r="BZ239" s="8">
        <f t="shared" si="163"/>
        <v>0</v>
      </c>
      <c r="CA239" s="8">
        <f t="shared" si="164"/>
        <v>0</v>
      </c>
      <c r="CB239" s="8">
        <f t="shared" si="165"/>
        <v>0</v>
      </c>
      <c r="CC239" s="8">
        <f t="shared" si="166"/>
        <v>0</v>
      </c>
      <c r="CD239" s="8">
        <f t="shared" si="167"/>
        <v>0</v>
      </c>
      <c r="CE239" s="8">
        <f t="shared" si="168"/>
        <v>0</v>
      </c>
      <c r="CF239" s="8">
        <f t="shared" si="169"/>
        <v>0</v>
      </c>
      <c r="CG239" s="8">
        <f t="shared" si="170"/>
        <v>0</v>
      </c>
      <c r="CH239" s="8">
        <f t="shared" si="171"/>
        <v>0</v>
      </c>
      <c r="CI239" s="8">
        <f t="shared" si="172"/>
        <v>0</v>
      </c>
      <c r="CJ239" s="8">
        <f t="shared" si="173"/>
        <v>0</v>
      </c>
      <c r="CK239" s="8">
        <f t="shared" si="174"/>
        <v>0</v>
      </c>
      <c r="CL239" s="8">
        <f t="shared" si="175"/>
        <v>0</v>
      </c>
      <c r="CM239" s="8">
        <f t="shared" si="176"/>
        <v>0</v>
      </c>
      <c r="CN239" s="8">
        <f t="shared" si="177"/>
        <v>0</v>
      </c>
      <c r="CO239" s="8">
        <f t="shared" si="178"/>
        <v>0</v>
      </c>
      <c r="CP239" s="8">
        <f t="shared" si="179"/>
        <v>0</v>
      </c>
      <c r="CQ239" s="8">
        <f t="shared" si="180"/>
        <v>0</v>
      </c>
      <c r="CR239" s="8">
        <f t="shared" si="181"/>
        <v>0</v>
      </c>
      <c r="CS239" s="8">
        <f t="shared" si="182"/>
        <v>0</v>
      </c>
      <c r="CT239" s="8">
        <f t="shared" si="187"/>
        <v>0</v>
      </c>
      <c r="CU239" s="8">
        <f t="shared" si="188"/>
        <v>0</v>
      </c>
      <c r="CV239" s="8">
        <f t="shared" si="189"/>
        <v>0</v>
      </c>
    </row>
    <row r="240" spans="1:100" ht="25.25" customHeight="1" thickTop="1" thickBot="1" x14ac:dyDescent="0.5">
      <c r="A240" s="32"/>
      <c r="B240" s="10"/>
      <c r="C240" s="10"/>
      <c r="D240" s="11"/>
      <c r="E240" s="10"/>
      <c r="F240" s="10"/>
      <c r="G240" s="19"/>
      <c r="H240" s="19"/>
      <c r="I240" s="19"/>
      <c r="J240" s="19"/>
      <c r="K240" s="10"/>
      <c r="L240" s="10"/>
      <c r="M240" s="10"/>
      <c r="N240" s="10"/>
      <c r="O240" s="18"/>
      <c r="P240" s="18"/>
      <c r="Q240" s="21"/>
      <c r="R240" s="20"/>
      <c r="S240" s="16">
        <f t="shared" si="145"/>
        <v>0</v>
      </c>
      <c r="T240" s="11"/>
      <c r="AR240" s="31"/>
      <c r="AS240" s="31">
        <f t="shared" si="146"/>
        <v>0</v>
      </c>
      <c r="AT240" s="31">
        <f t="shared" si="147"/>
        <v>0</v>
      </c>
      <c r="AU240" s="31">
        <f t="shared" si="148"/>
        <v>0</v>
      </c>
      <c r="AV240" s="31">
        <f t="shared" si="149"/>
        <v>0</v>
      </c>
      <c r="AW240" s="31">
        <f t="shared" si="150"/>
        <v>0</v>
      </c>
      <c r="AX240" s="31">
        <f t="shared" si="151"/>
        <v>0</v>
      </c>
      <c r="AY240" s="31">
        <f t="shared" si="152"/>
        <v>0</v>
      </c>
      <c r="AZ240" s="31">
        <f t="shared" si="153"/>
        <v>0</v>
      </c>
      <c r="BA240" s="31">
        <f t="shared" si="154"/>
        <v>0</v>
      </c>
      <c r="BB240" s="31">
        <f t="shared" si="183"/>
        <v>0</v>
      </c>
      <c r="BC240" s="31"/>
      <c r="BD240" s="31"/>
      <c r="BM240" s="8">
        <f t="shared" si="184"/>
        <v>0</v>
      </c>
      <c r="BN240" s="8">
        <f t="shared" si="155"/>
        <v>0</v>
      </c>
      <c r="BO240" s="8">
        <f t="shared" si="156"/>
        <v>0</v>
      </c>
      <c r="BQ240" s="8">
        <f t="shared" si="157"/>
        <v>0</v>
      </c>
      <c r="BR240" s="63">
        <f t="shared" si="158"/>
        <v>0</v>
      </c>
      <c r="BS240" s="63">
        <f t="shared" si="185"/>
        <v>0</v>
      </c>
      <c r="BT240" s="63">
        <f t="shared" si="159"/>
        <v>0</v>
      </c>
      <c r="BU240" s="63">
        <f t="shared" si="160"/>
        <v>0</v>
      </c>
      <c r="BV240" s="57">
        <f t="shared" si="161"/>
        <v>0</v>
      </c>
      <c r="BW240" s="57">
        <f t="shared" si="162"/>
        <v>0</v>
      </c>
      <c r="BX240" s="57">
        <f t="shared" si="186"/>
        <v>0</v>
      </c>
      <c r="BY240" s="57">
        <f t="shared" si="190"/>
        <v>0</v>
      </c>
      <c r="BZ240" s="8">
        <f t="shared" si="163"/>
        <v>0</v>
      </c>
      <c r="CA240" s="8">
        <f t="shared" si="164"/>
        <v>0</v>
      </c>
      <c r="CB240" s="8">
        <f t="shared" si="165"/>
        <v>0</v>
      </c>
      <c r="CC240" s="8">
        <f t="shared" si="166"/>
        <v>0</v>
      </c>
      <c r="CD240" s="8">
        <f t="shared" si="167"/>
        <v>0</v>
      </c>
      <c r="CE240" s="8">
        <f t="shared" si="168"/>
        <v>0</v>
      </c>
      <c r="CF240" s="8">
        <f t="shared" si="169"/>
        <v>0</v>
      </c>
      <c r="CG240" s="8">
        <f t="shared" si="170"/>
        <v>0</v>
      </c>
      <c r="CH240" s="8">
        <f t="shared" si="171"/>
        <v>0</v>
      </c>
      <c r="CI240" s="8">
        <f t="shared" si="172"/>
        <v>0</v>
      </c>
      <c r="CJ240" s="8">
        <f t="shared" si="173"/>
        <v>0</v>
      </c>
      <c r="CK240" s="8">
        <f t="shared" si="174"/>
        <v>0</v>
      </c>
      <c r="CL240" s="8">
        <f t="shared" si="175"/>
        <v>0</v>
      </c>
      <c r="CM240" s="8">
        <f t="shared" si="176"/>
        <v>0</v>
      </c>
      <c r="CN240" s="8">
        <f t="shared" si="177"/>
        <v>0</v>
      </c>
      <c r="CO240" s="8">
        <f t="shared" si="178"/>
        <v>0</v>
      </c>
      <c r="CP240" s="8">
        <f t="shared" si="179"/>
        <v>0</v>
      </c>
      <c r="CQ240" s="8">
        <f t="shared" si="180"/>
        <v>0</v>
      </c>
      <c r="CR240" s="8">
        <f t="shared" si="181"/>
        <v>0</v>
      </c>
      <c r="CS240" s="8">
        <f t="shared" si="182"/>
        <v>0</v>
      </c>
      <c r="CT240" s="8">
        <f t="shared" si="187"/>
        <v>0</v>
      </c>
      <c r="CU240" s="8">
        <f t="shared" si="188"/>
        <v>0</v>
      </c>
      <c r="CV240" s="8">
        <f t="shared" si="189"/>
        <v>0</v>
      </c>
    </row>
    <row r="241" spans="1:100" ht="25.25" customHeight="1" thickTop="1" thickBot="1" x14ac:dyDescent="0.5">
      <c r="A241" s="32"/>
      <c r="B241" s="10"/>
      <c r="C241" s="10"/>
      <c r="D241" s="11"/>
      <c r="E241" s="10"/>
      <c r="F241" s="10"/>
      <c r="G241" s="19"/>
      <c r="H241" s="19"/>
      <c r="I241" s="19"/>
      <c r="J241" s="19"/>
      <c r="K241" s="10"/>
      <c r="L241" s="10"/>
      <c r="M241" s="10"/>
      <c r="N241" s="10"/>
      <c r="O241" s="18"/>
      <c r="P241" s="18"/>
      <c r="Q241" s="21"/>
      <c r="R241" s="20"/>
      <c r="S241" s="16">
        <f t="shared" si="145"/>
        <v>0</v>
      </c>
      <c r="T241" s="11"/>
      <c r="AR241" s="31"/>
      <c r="AS241" s="31">
        <f t="shared" si="146"/>
        <v>0</v>
      </c>
      <c r="AT241" s="31">
        <f t="shared" si="147"/>
        <v>0</v>
      </c>
      <c r="AU241" s="31">
        <f t="shared" si="148"/>
        <v>0</v>
      </c>
      <c r="AV241" s="31">
        <f t="shared" si="149"/>
        <v>0</v>
      </c>
      <c r="AW241" s="31">
        <f t="shared" si="150"/>
        <v>0</v>
      </c>
      <c r="AX241" s="31">
        <f t="shared" si="151"/>
        <v>0</v>
      </c>
      <c r="AY241" s="31">
        <f t="shared" si="152"/>
        <v>0</v>
      </c>
      <c r="AZ241" s="31">
        <f t="shared" si="153"/>
        <v>0</v>
      </c>
      <c r="BA241" s="31">
        <f t="shared" si="154"/>
        <v>0</v>
      </c>
      <c r="BB241" s="31">
        <f t="shared" si="183"/>
        <v>0</v>
      </c>
      <c r="BC241" s="31"/>
      <c r="BD241" s="31"/>
      <c r="BM241" s="8">
        <f t="shared" si="184"/>
        <v>0</v>
      </c>
      <c r="BN241" s="8">
        <f t="shared" si="155"/>
        <v>0</v>
      </c>
      <c r="BO241" s="8">
        <f t="shared" si="156"/>
        <v>0</v>
      </c>
      <c r="BQ241" s="8">
        <f t="shared" si="157"/>
        <v>0</v>
      </c>
      <c r="BR241" s="63">
        <f t="shared" si="158"/>
        <v>0</v>
      </c>
      <c r="BS241" s="63">
        <f t="shared" si="185"/>
        <v>0</v>
      </c>
      <c r="BT241" s="63">
        <f t="shared" si="159"/>
        <v>0</v>
      </c>
      <c r="BU241" s="63">
        <f t="shared" si="160"/>
        <v>0</v>
      </c>
      <c r="BV241" s="57">
        <f t="shared" si="161"/>
        <v>0</v>
      </c>
      <c r="BW241" s="57">
        <f t="shared" si="162"/>
        <v>0</v>
      </c>
      <c r="BX241" s="57">
        <f t="shared" si="186"/>
        <v>0</v>
      </c>
      <c r="BY241" s="57">
        <f t="shared" si="190"/>
        <v>0</v>
      </c>
      <c r="BZ241" s="8">
        <f t="shared" si="163"/>
        <v>0</v>
      </c>
      <c r="CA241" s="8">
        <f t="shared" si="164"/>
        <v>0</v>
      </c>
      <c r="CB241" s="8">
        <f t="shared" si="165"/>
        <v>0</v>
      </c>
      <c r="CC241" s="8">
        <f t="shared" si="166"/>
        <v>0</v>
      </c>
      <c r="CD241" s="8">
        <f t="shared" si="167"/>
        <v>0</v>
      </c>
      <c r="CE241" s="8">
        <f t="shared" si="168"/>
        <v>0</v>
      </c>
      <c r="CF241" s="8">
        <f t="shared" si="169"/>
        <v>0</v>
      </c>
      <c r="CG241" s="8">
        <f t="shared" si="170"/>
        <v>0</v>
      </c>
      <c r="CH241" s="8">
        <f t="shared" si="171"/>
        <v>0</v>
      </c>
      <c r="CI241" s="8">
        <f t="shared" si="172"/>
        <v>0</v>
      </c>
      <c r="CJ241" s="8">
        <f t="shared" si="173"/>
        <v>0</v>
      </c>
      <c r="CK241" s="8">
        <f t="shared" si="174"/>
        <v>0</v>
      </c>
      <c r="CL241" s="8">
        <f t="shared" si="175"/>
        <v>0</v>
      </c>
      <c r="CM241" s="8">
        <f t="shared" si="176"/>
        <v>0</v>
      </c>
      <c r="CN241" s="8">
        <f t="shared" si="177"/>
        <v>0</v>
      </c>
      <c r="CO241" s="8">
        <f t="shared" si="178"/>
        <v>0</v>
      </c>
      <c r="CP241" s="8">
        <f t="shared" si="179"/>
        <v>0</v>
      </c>
      <c r="CQ241" s="8">
        <f t="shared" si="180"/>
        <v>0</v>
      </c>
      <c r="CR241" s="8">
        <f t="shared" si="181"/>
        <v>0</v>
      </c>
      <c r="CS241" s="8">
        <f t="shared" si="182"/>
        <v>0</v>
      </c>
      <c r="CT241" s="8">
        <f t="shared" si="187"/>
        <v>0</v>
      </c>
      <c r="CU241" s="8">
        <f t="shared" si="188"/>
        <v>0</v>
      </c>
      <c r="CV241" s="8">
        <f t="shared" si="189"/>
        <v>0</v>
      </c>
    </row>
    <row r="242" spans="1:100" ht="25.25" customHeight="1" thickTop="1" thickBot="1" x14ac:dyDescent="0.5">
      <c r="A242" s="32"/>
      <c r="B242" s="10"/>
      <c r="C242" s="10"/>
      <c r="D242" s="11"/>
      <c r="E242" s="10"/>
      <c r="F242" s="10"/>
      <c r="G242" s="19"/>
      <c r="H242" s="19"/>
      <c r="I242" s="19"/>
      <c r="J242" s="19"/>
      <c r="K242" s="10"/>
      <c r="L242" s="10"/>
      <c r="M242" s="10"/>
      <c r="N242" s="10"/>
      <c r="O242" s="18"/>
      <c r="P242" s="18"/>
      <c r="Q242" s="21"/>
      <c r="R242" s="20"/>
      <c r="S242" s="16">
        <f t="shared" si="145"/>
        <v>0</v>
      </c>
      <c r="T242" s="11"/>
      <c r="AR242" s="31"/>
      <c r="AS242" s="31">
        <f t="shared" si="146"/>
        <v>0</v>
      </c>
      <c r="AT242" s="31">
        <f t="shared" si="147"/>
        <v>0</v>
      </c>
      <c r="AU242" s="31">
        <f t="shared" si="148"/>
        <v>0</v>
      </c>
      <c r="AV242" s="31">
        <f t="shared" si="149"/>
        <v>0</v>
      </c>
      <c r="AW242" s="31">
        <f t="shared" si="150"/>
        <v>0</v>
      </c>
      <c r="AX242" s="31">
        <f t="shared" si="151"/>
        <v>0</v>
      </c>
      <c r="AY242" s="31">
        <f t="shared" si="152"/>
        <v>0</v>
      </c>
      <c r="AZ242" s="31">
        <f t="shared" si="153"/>
        <v>0</v>
      </c>
      <c r="BA242" s="31">
        <f t="shared" si="154"/>
        <v>0</v>
      </c>
      <c r="BB242" s="31">
        <f t="shared" si="183"/>
        <v>0</v>
      </c>
      <c r="BC242" s="31"/>
      <c r="BD242" s="31"/>
      <c r="BM242" s="8">
        <f t="shared" si="184"/>
        <v>0</v>
      </c>
      <c r="BN242" s="8">
        <f t="shared" si="155"/>
        <v>0</v>
      </c>
      <c r="BO242" s="8">
        <f t="shared" si="156"/>
        <v>0</v>
      </c>
      <c r="BQ242" s="8">
        <f t="shared" si="157"/>
        <v>0</v>
      </c>
      <c r="BR242" s="63">
        <f t="shared" si="158"/>
        <v>0</v>
      </c>
      <c r="BS242" s="63">
        <f t="shared" si="185"/>
        <v>0</v>
      </c>
      <c r="BT242" s="63">
        <f t="shared" si="159"/>
        <v>0</v>
      </c>
      <c r="BU242" s="63">
        <f t="shared" si="160"/>
        <v>0</v>
      </c>
      <c r="BV242" s="57">
        <f t="shared" si="161"/>
        <v>0</v>
      </c>
      <c r="BW242" s="57">
        <f t="shared" si="162"/>
        <v>0</v>
      </c>
      <c r="BX242" s="57">
        <f t="shared" si="186"/>
        <v>0</v>
      </c>
      <c r="BY242" s="57">
        <f t="shared" si="190"/>
        <v>0</v>
      </c>
      <c r="BZ242" s="8">
        <f t="shared" si="163"/>
        <v>0</v>
      </c>
      <c r="CA242" s="8">
        <f t="shared" si="164"/>
        <v>0</v>
      </c>
      <c r="CB242" s="8">
        <f t="shared" si="165"/>
        <v>0</v>
      </c>
      <c r="CC242" s="8">
        <f t="shared" si="166"/>
        <v>0</v>
      </c>
      <c r="CD242" s="8">
        <f t="shared" si="167"/>
        <v>0</v>
      </c>
      <c r="CE242" s="8">
        <f t="shared" si="168"/>
        <v>0</v>
      </c>
      <c r="CF242" s="8">
        <f t="shared" si="169"/>
        <v>0</v>
      </c>
      <c r="CG242" s="8">
        <f t="shared" si="170"/>
        <v>0</v>
      </c>
      <c r="CH242" s="8">
        <f t="shared" si="171"/>
        <v>0</v>
      </c>
      <c r="CI242" s="8">
        <f t="shared" si="172"/>
        <v>0</v>
      </c>
      <c r="CJ242" s="8">
        <f t="shared" si="173"/>
        <v>0</v>
      </c>
      <c r="CK242" s="8">
        <f t="shared" si="174"/>
        <v>0</v>
      </c>
      <c r="CL242" s="8">
        <f t="shared" si="175"/>
        <v>0</v>
      </c>
      <c r="CM242" s="8">
        <f t="shared" si="176"/>
        <v>0</v>
      </c>
      <c r="CN242" s="8">
        <f t="shared" si="177"/>
        <v>0</v>
      </c>
      <c r="CO242" s="8">
        <f t="shared" si="178"/>
        <v>0</v>
      </c>
      <c r="CP242" s="8">
        <f t="shared" si="179"/>
        <v>0</v>
      </c>
      <c r="CQ242" s="8">
        <f t="shared" si="180"/>
        <v>0</v>
      </c>
      <c r="CR242" s="8">
        <f t="shared" si="181"/>
        <v>0</v>
      </c>
      <c r="CS242" s="8">
        <f t="shared" si="182"/>
        <v>0</v>
      </c>
      <c r="CT242" s="8">
        <f t="shared" si="187"/>
        <v>0</v>
      </c>
      <c r="CU242" s="8">
        <f t="shared" si="188"/>
        <v>0</v>
      </c>
      <c r="CV242" s="8">
        <f t="shared" si="189"/>
        <v>0</v>
      </c>
    </row>
    <row r="243" spans="1:100" ht="25.25" customHeight="1" thickTop="1" thickBot="1" x14ac:dyDescent="0.5">
      <c r="A243" s="32"/>
      <c r="B243" s="10"/>
      <c r="C243" s="10"/>
      <c r="D243" s="11"/>
      <c r="E243" s="10"/>
      <c r="F243" s="10"/>
      <c r="G243" s="19"/>
      <c r="H243" s="19"/>
      <c r="I243" s="19"/>
      <c r="J243" s="19"/>
      <c r="K243" s="10"/>
      <c r="L243" s="10"/>
      <c r="M243" s="10"/>
      <c r="N243" s="10"/>
      <c r="O243" s="18"/>
      <c r="P243" s="18"/>
      <c r="Q243" s="21"/>
      <c r="R243" s="20"/>
      <c r="S243" s="16">
        <f t="shared" si="145"/>
        <v>0</v>
      </c>
      <c r="T243" s="11"/>
      <c r="AR243" s="31"/>
      <c r="AS243" s="31">
        <f t="shared" si="146"/>
        <v>0</v>
      </c>
      <c r="AT243" s="31">
        <f t="shared" si="147"/>
        <v>0</v>
      </c>
      <c r="AU243" s="31">
        <f t="shared" si="148"/>
        <v>0</v>
      </c>
      <c r="AV243" s="31">
        <f t="shared" si="149"/>
        <v>0</v>
      </c>
      <c r="AW243" s="31">
        <f t="shared" si="150"/>
        <v>0</v>
      </c>
      <c r="AX243" s="31">
        <f t="shared" si="151"/>
        <v>0</v>
      </c>
      <c r="AY243" s="31">
        <f t="shared" si="152"/>
        <v>0</v>
      </c>
      <c r="AZ243" s="31">
        <f t="shared" si="153"/>
        <v>0</v>
      </c>
      <c r="BA243" s="31">
        <f t="shared" si="154"/>
        <v>0</v>
      </c>
      <c r="BB243" s="31">
        <f t="shared" si="183"/>
        <v>0</v>
      </c>
      <c r="BC243" s="31"/>
      <c r="BD243" s="31"/>
      <c r="BM243" s="8">
        <f t="shared" si="184"/>
        <v>0</v>
      </c>
      <c r="BN243" s="8">
        <f t="shared" si="155"/>
        <v>0</v>
      </c>
      <c r="BO243" s="8">
        <f t="shared" si="156"/>
        <v>0</v>
      </c>
      <c r="BQ243" s="8">
        <f t="shared" si="157"/>
        <v>0</v>
      </c>
      <c r="BR243" s="63">
        <f t="shared" si="158"/>
        <v>0</v>
      </c>
      <c r="BS243" s="63">
        <f t="shared" si="185"/>
        <v>0</v>
      </c>
      <c r="BT243" s="63">
        <f t="shared" si="159"/>
        <v>0</v>
      </c>
      <c r="BU243" s="63">
        <f t="shared" si="160"/>
        <v>0</v>
      </c>
      <c r="BV243" s="57">
        <f t="shared" si="161"/>
        <v>0</v>
      </c>
      <c r="BW243" s="57">
        <f t="shared" si="162"/>
        <v>0</v>
      </c>
      <c r="BX243" s="57">
        <f t="shared" si="186"/>
        <v>0</v>
      </c>
      <c r="BY243" s="57">
        <f t="shared" si="190"/>
        <v>0</v>
      </c>
      <c r="BZ243" s="8">
        <f t="shared" si="163"/>
        <v>0</v>
      </c>
      <c r="CA243" s="8">
        <f t="shared" si="164"/>
        <v>0</v>
      </c>
      <c r="CB243" s="8">
        <f t="shared" si="165"/>
        <v>0</v>
      </c>
      <c r="CC243" s="8">
        <f t="shared" si="166"/>
        <v>0</v>
      </c>
      <c r="CD243" s="8">
        <f t="shared" si="167"/>
        <v>0</v>
      </c>
      <c r="CE243" s="8">
        <f t="shared" si="168"/>
        <v>0</v>
      </c>
      <c r="CF243" s="8">
        <f t="shared" si="169"/>
        <v>0</v>
      </c>
      <c r="CG243" s="8">
        <f t="shared" si="170"/>
        <v>0</v>
      </c>
      <c r="CH243" s="8">
        <f t="shared" si="171"/>
        <v>0</v>
      </c>
      <c r="CI243" s="8">
        <f t="shared" si="172"/>
        <v>0</v>
      </c>
      <c r="CJ243" s="8">
        <f t="shared" si="173"/>
        <v>0</v>
      </c>
      <c r="CK243" s="8">
        <f t="shared" si="174"/>
        <v>0</v>
      </c>
      <c r="CL243" s="8">
        <f t="shared" si="175"/>
        <v>0</v>
      </c>
      <c r="CM243" s="8">
        <f t="shared" si="176"/>
        <v>0</v>
      </c>
      <c r="CN243" s="8">
        <f t="shared" si="177"/>
        <v>0</v>
      </c>
      <c r="CO243" s="8">
        <f t="shared" si="178"/>
        <v>0</v>
      </c>
      <c r="CP243" s="8">
        <f t="shared" si="179"/>
        <v>0</v>
      </c>
      <c r="CQ243" s="8">
        <f t="shared" si="180"/>
        <v>0</v>
      </c>
      <c r="CR243" s="8">
        <f t="shared" si="181"/>
        <v>0</v>
      </c>
      <c r="CS243" s="8">
        <f t="shared" si="182"/>
        <v>0</v>
      </c>
      <c r="CT243" s="8">
        <f t="shared" si="187"/>
        <v>0</v>
      </c>
      <c r="CU243" s="8">
        <f t="shared" si="188"/>
        <v>0</v>
      </c>
      <c r="CV243" s="8">
        <f t="shared" si="189"/>
        <v>0</v>
      </c>
    </row>
    <row r="244" spans="1:100" ht="25.25" customHeight="1" thickTop="1" thickBot="1" x14ac:dyDescent="0.5">
      <c r="A244" s="32"/>
      <c r="B244" s="10"/>
      <c r="C244" s="10"/>
      <c r="D244" s="11"/>
      <c r="E244" s="10"/>
      <c r="F244" s="10"/>
      <c r="G244" s="19"/>
      <c r="H244" s="19"/>
      <c r="I244" s="19"/>
      <c r="J244" s="19"/>
      <c r="K244" s="10"/>
      <c r="L244" s="10"/>
      <c r="M244" s="10"/>
      <c r="N244" s="10"/>
      <c r="O244" s="18"/>
      <c r="P244" s="18"/>
      <c r="Q244" s="21"/>
      <c r="R244" s="20"/>
      <c r="S244" s="16">
        <f t="shared" si="145"/>
        <v>0</v>
      </c>
      <c r="T244" s="11"/>
      <c r="AR244" s="31"/>
      <c r="AS244" s="31">
        <f t="shared" si="146"/>
        <v>0</v>
      </c>
      <c r="AT244" s="31">
        <f t="shared" si="147"/>
        <v>0</v>
      </c>
      <c r="AU244" s="31">
        <f t="shared" si="148"/>
        <v>0</v>
      </c>
      <c r="AV244" s="31">
        <f t="shared" si="149"/>
        <v>0</v>
      </c>
      <c r="AW244" s="31">
        <f t="shared" si="150"/>
        <v>0</v>
      </c>
      <c r="AX244" s="31">
        <f t="shared" si="151"/>
        <v>0</v>
      </c>
      <c r="AY244" s="31">
        <f t="shared" si="152"/>
        <v>0</v>
      </c>
      <c r="AZ244" s="31">
        <f t="shared" si="153"/>
        <v>0</v>
      </c>
      <c r="BA244" s="31">
        <f t="shared" si="154"/>
        <v>0</v>
      </c>
      <c r="BB244" s="31">
        <f t="shared" si="183"/>
        <v>0</v>
      </c>
      <c r="BC244" s="31"/>
      <c r="BD244" s="31"/>
      <c r="BM244" s="8">
        <f t="shared" si="184"/>
        <v>0</v>
      </c>
      <c r="BN244" s="8">
        <f t="shared" si="155"/>
        <v>0</v>
      </c>
      <c r="BO244" s="8">
        <f t="shared" si="156"/>
        <v>0</v>
      </c>
      <c r="BQ244" s="8">
        <f t="shared" si="157"/>
        <v>0</v>
      </c>
      <c r="BR244" s="63">
        <f t="shared" si="158"/>
        <v>0</v>
      </c>
      <c r="BS244" s="63">
        <f t="shared" si="185"/>
        <v>0</v>
      </c>
      <c r="BT244" s="63">
        <f t="shared" si="159"/>
        <v>0</v>
      </c>
      <c r="BU244" s="63">
        <f t="shared" si="160"/>
        <v>0</v>
      </c>
      <c r="BV244" s="57">
        <f t="shared" si="161"/>
        <v>0</v>
      </c>
      <c r="BW244" s="57">
        <f t="shared" si="162"/>
        <v>0</v>
      </c>
      <c r="BX244" s="57">
        <f t="shared" si="186"/>
        <v>0</v>
      </c>
      <c r="BY244" s="57">
        <f t="shared" si="190"/>
        <v>0</v>
      </c>
      <c r="BZ244" s="8">
        <f t="shared" si="163"/>
        <v>0</v>
      </c>
      <c r="CA244" s="8">
        <f t="shared" si="164"/>
        <v>0</v>
      </c>
      <c r="CB244" s="8">
        <f t="shared" si="165"/>
        <v>0</v>
      </c>
      <c r="CC244" s="8">
        <f t="shared" si="166"/>
        <v>0</v>
      </c>
      <c r="CD244" s="8">
        <f t="shared" si="167"/>
        <v>0</v>
      </c>
      <c r="CE244" s="8">
        <f t="shared" si="168"/>
        <v>0</v>
      </c>
      <c r="CF244" s="8">
        <f t="shared" si="169"/>
        <v>0</v>
      </c>
      <c r="CG244" s="8">
        <f t="shared" si="170"/>
        <v>0</v>
      </c>
      <c r="CH244" s="8">
        <f t="shared" si="171"/>
        <v>0</v>
      </c>
      <c r="CI244" s="8">
        <f t="shared" si="172"/>
        <v>0</v>
      </c>
      <c r="CJ244" s="8">
        <f t="shared" si="173"/>
        <v>0</v>
      </c>
      <c r="CK244" s="8">
        <f t="shared" si="174"/>
        <v>0</v>
      </c>
      <c r="CL244" s="8">
        <f t="shared" si="175"/>
        <v>0</v>
      </c>
      <c r="CM244" s="8">
        <f t="shared" si="176"/>
        <v>0</v>
      </c>
      <c r="CN244" s="8">
        <f t="shared" si="177"/>
        <v>0</v>
      </c>
      <c r="CO244" s="8">
        <f t="shared" si="178"/>
        <v>0</v>
      </c>
      <c r="CP244" s="8">
        <f t="shared" si="179"/>
        <v>0</v>
      </c>
      <c r="CQ244" s="8">
        <f t="shared" si="180"/>
        <v>0</v>
      </c>
      <c r="CR244" s="8">
        <f t="shared" si="181"/>
        <v>0</v>
      </c>
      <c r="CS244" s="8">
        <f t="shared" si="182"/>
        <v>0</v>
      </c>
      <c r="CT244" s="8">
        <f t="shared" si="187"/>
        <v>0</v>
      </c>
      <c r="CU244" s="8">
        <f t="shared" si="188"/>
        <v>0</v>
      </c>
      <c r="CV244" s="8">
        <f t="shared" si="189"/>
        <v>0</v>
      </c>
    </row>
    <row r="245" spans="1:100" ht="25.25" customHeight="1" thickTop="1" thickBot="1" x14ac:dyDescent="0.5">
      <c r="A245" s="32"/>
      <c r="B245" s="10"/>
      <c r="C245" s="10"/>
      <c r="D245" s="11"/>
      <c r="E245" s="10"/>
      <c r="F245" s="10"/>
      <c r="G245" s="19"/>
      <c r="H245" s="19"/>
      <c r="I245" s="19"/>
      <c r="J245" s="19"/>
      <c r="K245" s="10"/>
      <c r="L245" s="10"/>
      <c r="M245" s="10"/>
      <c r="N245" s="10"/>
      <c r="O245" s="18"/>
      <c r="P245" s="18"/>
      <c r="Q245" s="21"/>
      <c r="R245" s="20"/>
      <c r="S245" s="16">
        <f t="shared" si="145"/>
        <v>0</v>
      </c>
      <c r="T245" s="11"/>
      <c r="AR245" s="31"/>
      <c r="AS245" s="31">
        <f t="shared" si="146"/>
        <v>0</v>
      </c>
      <c r="AT245" s="31">
        <f t="shared" si="147"/>
        <v>0</v>
      </c>
      <c r="AU245" s="31">
        <f t="shared" si="148"/>
        <v>0</v>
      </c>
      <c r="AV245" s="31">
        <f t="shared" si="149"/>
        <v>0</v>
      </c>
      <c r="AW245" s="31">
        <f t="shared" si="150"/>
        <v>0</v>
      </c>
      <c r="AX245" s="31">
        <f t="shared" si="151"/>
        <v>0</v>
      </c>
      <c r="AY245" s="31">
        <f t="shared" si="152"/>
        <v>0</v>
      </c>
      <c r="AZ245" s="31">
        <f t="shared" si="153"/>
        <v>0</v>
      </c>
      <c r="BA245" s="31">
        <f t="shared" si="154"/>
        <v>0</v>
      </c>
      <c r="BB245" s="31">
        <f t="shared" si="183"/>
        <v>0</v>
      </c>
      <c r="BC245" s="31"/>
      <c r="BD245" s="31"/>
      <c r="BM245" s="8">
        <f t="shared" si="184"/>
        <v>0</v>
      </c>
      <c r="BN245" s="8">
        <f t="shared" si="155"/>
        <v>0</v>
      </c>
      <c r="BO245" s="8">
        <f t="shared" si="156"/>
        <v>0</v>
      </c>
      <c r="BQ245" s="8">
        <f t="shared" si="157"/>
        <v>0</v>
      </c>
      <c r="BR245" s="63">
        <f t="shared" si="158"/>
        <v>0</v>
      </c>
      <c r="BS245" s="63">
        <f t="shared" si="185"/>
        <v>0</v>
      </c>
      <c r="BT245" s="63">
        <f t="shared" si="159"/>
        <v>0</v>
      </c>
      <c r="BU245" s="63">
        <f t="shared" si="160"/>
        <v>0</v>
      </c>
      <c r="BV245" s="57">
        <f t="shared" si="161"/>
        <v>0</v>
      </c>
      <c r="BW245" s="57">
        <f t="shared" si="162"/>
        <v>0</v>
      </c>
      <c r="BX245" s="57">
        <f t="shared" si="186"/>
        <v>0</v>
      </c>
      <c r="BY245" s="57">
        <f t="shared" si="190"/>
        <v>0</v>
      </c>
      <c r="BZ245" s="8">
        <f t="shared" si="163"/>
        <v>0</v>
      </c>
      <c r="CA245" s="8">
        <f t="shared" si="164"/>
        <v>0</v>
      </c>
      <c r="CB245" s="8">
        <f t="shared" si="165"/>
        <v>0</v>
      </c>
      <c r="CC245" s="8">
        <f t="shared" si="166"/>
        <v>0</v>
      </c>
      <c r="CD245" s="8">
        <f t="shared" si="167"/>
        <v>0</v>
      </c>
      <c r="CE245" s="8">
        <f t="shared" si="168"/>
        <v>0</v>
      </c>
      <c r="CF245" s="8">
        <f t="shared" si="169"/>
        <v>0</v>
      </c>
      <c r="CG245" s="8">
        <f t="shared" si="170"/>
        <v>0</v>
      </c>
      <c r="CH245" s="8">
        <f t="shared" si="171"/>
        <v>0</v>
      </c>
      <c r="CI245" s="8">
        <f t="shared" si="172"/>
        <v>0</v>
      </c>
      <c r="CJ245" s="8">
        <f t="shared" si="173"/>
        <v>0</v>
      </c>
      <c r="CK245" s="8">
        <f t="shared" si="174"/>
        <v>0</v>
      </c>
      <c r="CL245" s="8">
        <f t="shared" si="175"/>
        <v>0</v>
      </c>
      <c r="CM245" s="8">
        <f t="shared" si="176"/>
        <v>0</v>
      </c>
      <c r="CN245" s="8">
        <f t="shared" si="177"/>
        <v>0</v>
      </c>
      <c r="CO245" s="8">
        <f t="shared" si="178"/>
        <v>0</v>
      </c>
      <c r="CP245" s="8">
        <f t="shared" si="179"/>
        <v>0</v>
      </c>
      <c r="CQ245" s="8">
        <f t="shared" si="180"/>
        <v>0</v>
      </c>
      <c r="CR245" s="8">
        <f t="shared" si="181"/>
        <v>0</v>
      </c>
      <c r="CS245" s="8">
        <f t="shared" si="182"/>
        <v>0</v>
      </c>
      <c r="CT245" s="8">
        <f t="shared" si="187"/>
        <v>0</v>
      </c>
      <c r="CU245" s="8">
        <f t="shared" si="188"/>
        <v>0</v>
      </c>
      <c r="CV245" s="8">
        <f t="shared" si="189"/>
        <v>0</v>
      </c>
    </row>
    <row r="246" spans="1:100" ht="25.25" customHeight="1" thickTop="1" thickBot="1" x14ac:dyDescent="0.5">
      <c r="A246" s="32"/>
      <c r="B246" s="10"/>
      <c r="C246" s="10"/>
      <c r="D246" s="11"/>
      <c r="E246" s="10"/>
      <c r="F246" s="10"/>
      <c r="G246" s="19"/>
      <c r="H246" s="19"/>
      <c r="I246" s="19"/>
      <c r="J246" s="19"/>
      <c r="K246" s="10"/>
      <c r="L246" s="10"/>
      <c r="M246" s="10"/>
      <c r="N246" s="10"/>
      <c r="O246" s="18"/>
      <c r="P246" s="18"/>
      <c r="Q246" s="21"/>
      <c r="R246" s="20"/>
      <c r="S246" s="16">
        <f t="shared" si="145"/>
        <v>0</v>
      </c>
      <c r="T246" s="11"/>
      <c r="AR246" s="31"/>
      <c r="AS246" s="31">
        <f t="shared" si="146"/>
        <v>0</v>
      </c>
      <c r="AT246" s="31">
        <f t="shared" si="147"/>
        <v>0</v>
      </c>
      <c r="AU246" s="31">
        <f t="shared" si="148"/>
        <v>0</v>
      </c>
      <c r="AV246" s="31">
        <f t="shared" si="149"/>
        <v>0</v>
      </c>
      <c r="AW246" s="31">
        <f t="shared" si="150"/>
        <v>0</v>
      </c>
      <c r="AX246" s="31">
        <f t="shared" si="151"/>
        <v>0</v>
      </c>
      <c r="AY246" s="31">
        <f t="shared" si="152"/>
        <v>0</v>
      </c>
      <c r="AZ246" s="31">
        <f t="shared" si="153"/>
        <v>0</v>
      </c>
      <c r="BA246" s="31">
        <f t="shared" si="154"/>
        <v>0</v>
      </c>
      <c r="BB246" s="31">
        <f t="shared" si="183"/>
        <v>0</v>
      </c>
      <c r="BC246" s="31"/>
      <c r="BD246" s="31"/>
      <c r="BM246" s="8">
        <f t="shared" si="184"/>
        <v>0</v>
      </c>
      <c r="BN246" s="8">
        <f t="shared" si="155"/>
        <v>0</v>
      </c>
      <c r="BO246" s="8">
        <f t="shared" si="156"/>
        <v>0</v>
      </c>
      <c r="BQ246" s="8">
        <f t="shared" si="157"/>
        <v>0</v>
      </c>
      <c r="BR246" s="63">
        <f t="shared" si="158"/>
        <v>0</v>
      </c>
      <c r="BS246" s="63">
        <f t="shared" si="185"/>
        <v>0</v>
      </c>
      <c r="BT246" s="63">
        <f t="shared" si="159"/>
        <v>0</v>
      </c>
      <c r="BU246" s="63">
        <f t="shared" si="160"/>
        <v>0</v>
      </c>
      <c r="BV246" s="57">
        <f t="shared" si="161"/>
        <v>0</v>
      </c>
      <c r="BW246" s="57">
        <f t="shared" si="162"/>
        <v>0</v>
      </c>
      <c r="BX246" s="57">
        <f t="shared" si="186"/>
        <v>0</v>
      </c>
      <c r="BY246" s="57">
        <f t="shared" si="190"/>
        <v>0</v>
      </c>
      <c r="BZ246" s="8">
        <f t="shared" si="163"/>
        <v>0</v>
      </c>
      <c r="CA246" s="8">
        <f t="shared" si="164"/>
        <v>0</v>
      </c>
      <c r="CB246" s="8">
        <f t="shared" si="165"/>
        <v>0</v>
      </c>
      <c r="CC246" s="8">
        <f t="shared" si="166"/>
        <v>0</v>
      </c>
      <c r="CD246" s="8">
        <f t="shared" si="167"/>
        <v>0</v>
      </c>
      <c r="CE246" s="8">
        <f t="shared" si="168"/>
        <v>0</v>
      </c>
      <c r="CF246" s="8">
        <f t="shared" si="169"/>
        <v>0</v>
      </c>
      <c r="CG246" s="8">
        <f t="shared" si="170"/>
        <v>0</v>
      </c>
      <c r="CH246" s="8">
        <f t="shared" si="171"/>
        <v>0</v>
      </c>
      <c r="CI246" s="8">
        <f t="shared" si="172"/>
        <v>0</v>
      </c>
      <c r="CJ246" s="8">
        <f t="shared" si="173"/>
        <v>0</v>
      </c>
      <c r="CK246" s="8">
        <f t="shared" si="174"/>
        <v>0</v>
      </c>
      <c r="CL246" s="8">
        <f t="shared" si="175"/>
        <v>0</v>
      </c>
      <c r="CM246" s="8">
        <f t="shared" si="176"/>
        <v>0</v>
      </c>
      <c r="CN246" s="8">
        <f t="shared" si="177"/>
        <v>0</v>
      </c>
      <c r="CO246" s="8">
        <f t="shared" si="178"/>
        <v>0</v>
      </c>
      <c r="CP246" s="8">
        <f t="shared" si="179"/>
        <v>0</v>
      </c>
      <c r="CQ246" s="8">
        <f t="shared" si="180"/>
        <v>0</v>
      </c>
      <c r="CR246" s="8">
        <f t="shared" si="181"/>
        <v>0</v>
      </c>
      <c r="CS246" s="8">
        <f t="shared" si="182"/>
        <v>0</v>
      </c>
      <c r="CT246" s="8">
        <f t="shared" si="187"/>
        <v>0</v>
      </c>
      <c r="CU246" s="8">
        <f t="shared" si="188"/>
        <v>0</v>
      </c>
      <c r="CV246" s="8">
        <f t="shared" si="189"/>
        <v>0</v>
      </c>
    </row>
    <row r="247" spans="1:100" ht="25.25" customHeight="1" thickTop="1" thickBot="1" x14ac:dyDescent="0.5">
      <c r="A247" s="32"/>
      <c r="B247" s="10"/>
      <c r="C247" s="10"/>
      <c r="D247" s="11"/>
      <c r="E247" s="10"/>
      <c r="F247" s="10"/>
      <c r="G247" s="19"/>
      <c r="H247" s="19"/>
      <c r="I247" s="19"/>
      <c r="J247" s="19"/>
      <c r="K247" s="10"/>
      <c r="L247" s="10"/>
      <c r="M247" s="10"/>
      <c r="N247" s="10"/>
      <c r="O247" s="18"/>
      <c r="P247" s="18"/>
      <c r="Q247" s="21"/>
      <c r="R247" s="20"/>
      <c r="S247" s="16">
        <f t="shared" si="145"/>
        <v>0</v>
      </c>
      <c r="T247" s="11"/>
      <c r="AR247" s="31"/>
      <c r="AS247" s="31">
        <f t="shared" si="146"/>
        <v>0</v>
      </c>
      <c r="AT247" s="31">
        <f t="shared" si="147"/>
        <v>0</v>
      </c>
      <c r="AU247" s="31">
        <f t="shared" si="148"/>
        <v>0</v>
      </c>
      <c r="AV247" s="31">
        <f t="shared" si="149"/>
        <v>0</v>
      </c>
      <c r="AW247" s="31">
        <f t="shared" si="150"/>
        <v>0</v>
      </c>
      <c r="AX247" s="31">
        <f t="shared" si="151"/>
        <v>0</v>
      </c>
      <c r="AY247" s="31">
        <f t="shared" si="152"/>
        <v>0</v>
      </c>
      <c r="AZ247" s="31">
        <f t="shared" si="153"/>
        <v>0</v>
      </c>
      <c r="BA247" s="31">
        <f t="shared" si="154"/>
        <v>0</v>
      </c>
      <c r="BB247" s="31">
        <f t="shared" si="183"/>
        <v>0</v>
      </c>
      <c r="BC247" s="31"/>
      <c r="BD247" s="31"/>
      <c r="BM247" s="8">
        <f t="shared" si="184"/>
        <v>0</v>
      </c>
      <c r="BN247" s="8">
        <f t="shared" si="155"/>
        <v>0</v>
      </c>
      <c r="BO247" s="8">
        <f t="shared" si="156"/>
        <v>0</v>
      </c>
      <c r="BQ247" s="8">
        <f t="shared" si="157"/>
        <v>0</v>
      </c>
      <c r="BR247" s="63">
        <f t="shared" si="158"/>
        <v>0</v>
      </c>
      <c r="BS247" s="63">
        <f t="shared" si="185"/>
        <v>0</v>
      </c>
      <c r="BT247" s="63">
        <f t="shared" si="159"/>
        <v>0</v>
      </c>
      <c r="BU247" s="63">
        <f t="shared" si="160"/>
        <v>0</v>
      </c>
      <c r="BV247" s="57">
        <f t="shared" si="161"/>
        <v>0</v>
      </c>
      <c r="BW247" s="57">
        <f t="shared" si="162"/>
        <v>0</v>
      </c>
      <c r="BX247" s="57">
        <f t="shared" si="186"/>
        <v>0</v>
      </c>
      <c r="BY247" s="57">
        <f t="shared" si="190"/>
        <v>0</v>
      </c>
      <c r="BZ247" s="8">
        <f t="shared" si="163"/>
        <v>0</v>
      </c>
      <c r="CA247" s="8">
        <f t="shared" si="164"/>
        <v>0</v>
      </c>
      <c r="CB247" s="8">
        <f t="shared" si="165"/>
        <v>0</v>
      </c>
      <c r="CC247" s="8">
        <f t="shared" si="166"/>
        <v>0</v>
      </c>
      <c r="CD247" s="8">
        <f t="shared" si="167"/>
        <v>0</v>
      </c>
      <c r="CE247" s="8">
        <f t="shared" si="168"/>
        <v>0</v>
      </c>
      <c r="CF247" s="8">
        <f t="shared" si="169"/>
        <v>0</v>
      </c>
      <c r="CG247" s="8">
        <f t="shared" si="170"/>
        <v>0</v>
      </c>
      <c r="CH247" s="8">
        <f t="shared" si="171"/>
        <v>0</v>
      </c>
      <c r="CI247" s="8">
        <f t="shared" si="172"/>
        <v>0</v>
      </c>
      <c r="CJ247" s="8">
        <f t="shared" si="173"/>
        <v>0</v>
      </c>
      <c r="CK247" s="8">
        <f t="shared" si="174"/>
        <v>0</v>
      </c>
      <c r="CL247" s="8">
        <f t="shared" si="175"/>
        <v>0</v>
      </c>
      <c r="CM247" s="8">
        <f t="shared" si="176"/>
        <v>0</v>
      </c>
      <c r="CN247" s="8">
        <f t="shared" si="177"/>
        <v>0</v>
      </c>
      <c r="CO247" s="8">
        <f t="shared" si="178"/>
        <v>0</v>
      </c>
      <c r="CP247" s="8">
        <f t="shared" si="179"/>
        <v>0</v>
      </c>
      <c r="CQ247" s="8">
        <f t="shared" si="180"/>
        <v>0</v>
      </c>
      <c r="CR247" s="8">
        <f t="shared" si="181"/>
        <v>0</v>
      </c>
      <c r="CS247" s="8">
        <f t="shared" si="182"/>
        <v>0</v>
      </c>
      <c r="CT247" s="8">
        <f t="shared" si="187"/>
        <v>0</v>
      </c>
      <c r="CU247" s="8">
        <f t="shared" si="188"/>
        <v>0</v>
      </c>
      <c r="CV247" s="8">
        <f t="shared" si="189"/>
        <v>0</v>
      </c>
    </row>
    <row r="248" spans="1:100" ht="25.25" customHeight="1" thickTop="1" thickBot="1" x14ac:dyDescent="0.5">
      <c r="A248" s="32"/>
      <c r="B248" s="10"/>
      <c r="C248" s="10"/>
      <c r="D248" s="11"/>
      <c r="E248" s="10"/>
      <c r="F248" s="10"/>
      <c r="G248" s="19"/>
      <c r="H248" s="19"/>
      <c r="I248" s="19"/>
      <c r="J248" s="19"/>
      <c r="K248" s="10"/>
      <c r="L248" s="10"/>
      <c r="M248" s="10"/>
      <c r="N248" s="10"/>
      <c r="O248" s="18"/>
      <c r="P248" s="18"/>
      <c r="Q248" s="21"/>
      <c r="R248" s="20"/>
      <c r="S248" s="16">
        <f t="shared" si="145"/>
        <v>0</v>
      </c>
      <c r="T248" s="11"/>
      <c r="AR248" s="31"/>
      <c r="AS248" s="31">
        <f t="shared" si="146"/>
        <v>0</v>
      </c>
      <c r="AT248" s="31">
        <f t="shared" si="147"/>
        <v>0</v>
      </c>
      <c r="AU248" s="31">
        <f t="shared" si="148"/>
        <v>0</v>
      </c>
      <c r="AV248" s="31">
        <f t="shared" si="149"/>
        <v>0</v>
      </c>
      <c r="AW248" s="31">
        <f t="shared" si="150"/>
        <v>0</v>
      </c>
      <c r="AX248" s="31">
        <f t="shared" si="151"/>
        <v>0</v>
      </c>
      <c r="AY248" s="31">
        <f t="shared" si="152"/>
        <v>0</v>
      </c>
      <c r="AZ248" s="31">
        <f t="shared" si="153"/>
        <v>0</v>
      </c>
      <c r="BA248" s="31">
        <f t="shared" si="154"/>
        <v>0</v>
      </c>
      <c r="BB248" s="31">
        <f t="shared" si="183"/>
        <v>0</v>
      </c>
      <c r="BC248" s="31"/>
      <c r="BD248" s="31"/>
      <c r="BM248" s="8">
        <f t="shared" si="184"/>
        <v>0</v>
      </c>
      <c r="BN248" s="8">
        <f t="shared" si="155"/>
        <v>0</v>
      </c>
      <c r="BO248" s="8">
        <f t="shared" si="156"/>
        <v>0</v>
      </c>
      <c r="BQ248" s="8">
        <f t="shared" si="157"/>
        <v>0</v>
      </c>
      <c r="BR248" s="63">
        <f t="shared" si="158"/>
        <v>0</v>
      </c>
      <c r="BS248" s="63">
        <f t="shared" si="185"/>
        <v>0</v>
      </c>
      <c r="BT248" s="63">
        <f t="shared" si="159"/>
        <v>0</v>
      </c>
      <c r="BU248" s="63">
        <f t="shared" si="160"/>
        <v>0</v>
      </c>
      <c r="BV248" s="57">
        <f t="shared" si="161"/>
        <v>0</v>
      </c>
      <c r="BW248" s="57">
        <f t="shared" si="162"/>
        <v>0</v>
      </c>
      <c r="BX248" s="57">
        <f t="shared" si="186"/>
        <v>0</v>
      </c>
      <c r="BY248" s="57">
        <f t="shared" si="190"/>
        <v>0</v>
      </c>
      <c r="BZ248" s="8">
        <f t="shared" si="163"/>
        <v>0</v>
      </c>
      <c r="CA248" s="8">
        <f t="shared" si="164"/>
        <v>0</v>
      </c>
      <c r="CB248" s="8">
        <f t="shared" si="165"/>
        <v>0</v>
      </c>
      <c r="CC248" s="8">
        <f t="shared" si="166"/>
        <v>0</v>
      </c>
      <c r="CD248" s="8">
        <f t="shared" si="167"/>
        <v>0</v>
      </c>
      <c r="CE248" s="8">
        <f t="shared" si="168"/>
        <v>0</v>
      </c>
      <c r="CF248" s="8">
        <f t="shared" si="169"/>
        <v>0</v>
      </c>
      <c r="CG248" s="8">
        <f t="shared" si="170"/>
        <v>0</v>
      </c>
      <c r="CH248" s="8">
        <f t="shared" si="171"/>
        <v>0</v>
      </c>
      <c r="CI248" s="8">
        <f t="shared" si="172"/>
        <v>0</v>
      </c>
      <c r="CJ248" s="8">
        <f t="shared" si="173"/>
        <v>0</v>
      </c>
      <c r="CK248" s="8">
        <f t="shared" si="174"/>
        <v>0</v>
      </c>
      <c r="CL248" s="8">
        <f t="shared" si="175"/>
        <v>0</v>
      </c>
      <c r="CM248" s="8">
        <f t="shared" si="176"/>
        <v>0</v>
      </c>
      <c r="CN248" s="8">
        <f t="shared" si="177"/>
        <v>0</v>
      </c>
      <c r="CO248" s="8">
        <f t="shared" si="178"/>
        <v>0</v>
      </c>
      <c r="CP248" s="8">
        <f t="shared" si="179"/>
        <v>0</v>
      </c>
      <c r="CQ248" s="8">
        <f t="shared" si="180"/>
        <v>0</v>
      </c>
      <c r="CR248" s="8">
        <f t="shared" si="181"/>
        <v>0</v>
      </c>
      <c r="CS248" s="8">
        <f t="shared" si="182"/>
        <v>0</v>
      </c>
      <c r="CT248" s="8">
        <f t="shared" si="187"/>
        <v>0</v>
      </c>
      <c r="CU248" s="8">
        <f t="shared" si="188"/>
        <v>0</v>
      </c>
      <c r="CV248" s="8">
        <f t="shared" si="189"/>
        <v>0</v>
      </c>
    </row>
    <row r="249" spans="1:100" ht="25.25" customHeight="1" thickTop="1" thickBot="1" x14ac:dyDescent="0.5">
      <c r="A249" s="32"/>
      <c r="B249" s="10"/>
      <c r="C249" s="10"/>
      <c r="D249" s="11"/>
      <c r="E249" s="10"/>
      <c r="F249" s="10"/>
      <c r="G249" s="19"/>
      <c r="H249" s="19"/>
      <c r="I249" s="19"/>
      <c r="J249" s="19"/>
      <c r="K249" s="10"/>
      <c r="L249" s="10"/>
      <c r="M249" s="10"/>
      <c r="N249" s="10"/>
      <c r="O249" s="18"/>
      <c r="P249" s="18"/>
      <c r="Q249" s="21"/>
      <c r="R249" s="20"/>
      <c r="S249" s="16">
        <f t="shared" si="145"/>
        <v>0</v>
      </c>
      <c r="T249" s="11"/>
      <c r="AR249" s="31"/>
      <c r="AS249" s="31">
        <f t="shared" si="146"/>
        <v>0</v>
      </c>
      <c r="AT249" s="31">
        <f t="shared" si="147"/>
        <v>0</v>
      </c>
      <c r="AU249" s="31">
        <f t="shared" si="148"/>
        <v>0</v>
      </c>
      <c r="AV249" s="31">
        <f t="shared" si="149"/>
        <v>0</v>
      </c>
      <c r="AW249" s="31">
        <f t="shared" si="150"/>
        <v>0</v>
      </c>
      <c r="AX249" s="31">
        <f t="shared" si="151"/>
        <v>0</v>
      </c>
      <c r="AY249" s="31">
        <f t="shared" si="152"/>
        <v>0</v>
      </c>
      <c r="AZ249" s="31">
        <f t="shared" si="153"/>
        <v>0</v>
      </c>
      <c r="BA249" s="31">
        <f t="shared" si="154"/>
        <v>0</v>
      </c>
      <c r="BB249" s="31">
        <f t="shared" si="183"/>
        <v>0</v>
      </c>
      <c r="BC249" s="31"/>
      <c r="BD249" s="31"/>
      <c r="BM249" s="8">
        <f t="shared" si="184"/>
        <v>0</v>
      </c>
      <c r="BN249" s="8">
        <f t="shared" si="155"/>
        <v>0</v>
      </c>
      <c r="BO249" s="8">
        <f t="shared" si="156"/>
        <v>0</v>
      </c>
      <c r="BQ249" s="8">
        <f t="shared" si="157"/>
        <v>0</v>
      </c>
      <c r="BR249" s="63">
        <f t="shared" si="158"/>
        <v>0</v>
      </c>
      <c r="BS249" s="63">
        <f t="shared" si="185"/>
        <v>0</v>
      </c>
      <c r="BT249" s="63">
        <f t="shared" si="159"/>
        <v>0</v>
      </c>
      <c r="BU249" s="63">
        <f t="shared" si="160"/>
        <v>0</v>
      </c>
      <c r="BV249" s="57">
        <f t="shared" si="161"/>
        <v>0</v>
      </c>
      <c r="BW249" s="57">
        <f t="shared" si="162"/>
        <v>0</v>
      </c>
      <c r="BX249" s="57">
        <f t="shared" si="186"/>
        <v>0</v>
      </c>
      <c r="BY249" s="57">
        <f t="shared" si="190"/>
        <v>0</v>
      </c>
      <c r="BZ249" s="8">
        <f t="shared" si="163"/>
        <v>0</v>
      </c>
      <c r="CA249" s="8">
        <f t="shared" si="164"/>
        <v>0</v>
      </c>
      <c r="CB249" s="8">
        <f t="shared" si="165"/>
        <v>0</v>
      </c>
      <c r="CC249" s="8">
        <f t="shared" si="166"/>
        <v>0</v>
      </c>
      <c r="CD249" s="8">
        <f t="shared" si="167"/>
        <v>0</v>
      </c>
      <c r="CE249" s="8">
        <f t="shared" si="168"/>
        <v>0</v>
      </c>
      <c r="CF249" s="8">
        <f t="shared" si="169"/>
        <v>0</v>
      </c>
      <c r="CG249" s="8">
        <f t="shared" si="170"/>
        <v>0</v>
      </c>
      <c r="CH249" s="8">
        <f t="shared" si="171"/>
        <v>0</v>
      </c>
      <c r="CI249" s="8">
        <f t="shared" si="172"/>
        <v>0</v>
      </c>
      <c r="CJ249" s="8">
        <f t="shared" si="173"/>
        <v>0</v>
      </c>
      <c r="CK249" s="8">
        <f t="shared" si="174"/>
        <v>0</v>
      </c>
      <c r="CL249" s="8">
        <f t="shared" si="175"/>
        <v>0</v>
      </c>
      <c r="CM249" s="8">
        <f t="shared" si="176"/>
        <v>0</v>
      </c>
      <c r="CN249" s="8">
        <f t="shared" si="177"/>
        <v>0</v>
      </c>
      <c r="CO249" s="8">
        <f t="shared" si="178"/>
        <v>0</v>
      </c>
      <c r="CP249" s="8">
        <f t="shared" si="179"/>
        <v>0</v>
      </c>
      <c r="CQ249" s="8">
        <f t="shared" si="180"/>
        <v>0</v>
      </c>
      <c r="CR249" s="8">
        <f t="shared" si="181"/>
        <v>0</v>
      </c>
      <c r="CS249" s="8">
        <f t="shared" si="182"/>
        <v>0</v>
      </c>
      <c r="CT249" s="8">
        <f t="shared" si="187"/>
        <v>0</v>
      </c>
      <c r="CU249" s="8">
        <f t="shared" si="188"/>
        <v>0</v>
      </c>
      <c r="CV249" s="8">
        <f t="shared" si="189"/>
        <v>0</v>
      </c>
    </row>
    <row r="250" spans="1:100" ht="25.25" customHeight="1" thickTop="1" thickBot="1" x14ac:dyDescent="0.5">
      <c r="A250" s="32"/>
      <c r="B250" s="10"/>
      <c r="C250" s="10"/>
      <c r="D250" s="11"/>
      <c r="E250" s="10"/>
      <c r="F250" s="10"/>
      <c r="G250" s="19"/>
      <c r="H250" s="19"/>
      <c r="I250" s="19"/>
      <c r="J250" s="19"/>
      <c r="K250" s="10"/>
      <c r="L250" s="10"/>
      <c r="M250" s="10"/>
      <c r="N250" s="10"/>
      <c r="O250" s="18"/>
      <c r="P250" s="18"/>
      <c r="Q250" s="21"/>
      <c r="R250" s="20"/>
      <c r="S250" s="16">
        <f t="shared" si="145"/>
        <v>0</v>
      </c>
      <c r="T250" s="11"/>
      <c r="AR250" s="31"/>
      <c r="AS250" s="31">
        <f t="shared" si="146"/>
        <v>0</v>
      </c>
      <c r="AT250" s="31">
        <f t="shared" si="147"/>
        <v>0</v>
      </c>
      <c r="AU250" s="31">
        <f t="shared" si="148"/>
        <v>0</v>
      </c>
      <c r="AV250" s="31">
        <f t="shared" si="149"/>
        <v>0</v>
      </c>
      <c r="AW250" s="31">
        <f t="shared" si="150"/>
        <v>0</v>
      </c>
      <c r="AX250" s="31">
        <f t="shared" si="151"/>
        <v>0</v>
      </c>
      <c r="AY250" s="31">
        <f t="shared" si="152"/>
        <v>0</v>
      </c>
      <c r="AZ250" s="31">
        <f t="shared" si="153"/>
        <v>0</v>
      </c>
      <c r="BA250" s="31">
        <f t="shared" si="154"/>
        <v>0</v>
      </c>
      <c r="BB250" s="31">
        <f t="shared" si="183"/>
        <v>0</v>
      </c>
      <c r="BC250" s="31"/>
      <c r="BD250" s="31"/>
      <c r="BM250" s="8">
        <f t="shared" si="184"/>
        <v>0</v>
      </c>
      <c r="BN250" s="8">
        <f t="shared" si="155"/>
        <v>0</v>
      </c>
      <c r="BO250" s="8">
        <f t="shared" si="156"/>
        <v>0</v>
      </c>
      <c r="BQ250" s="8">
        <f t="shared" si="157"/>
        <v>0</v>
      </c>
      <c r="BR250" s="63">
        <f t="shared" si="158"/>
        <v>0</v>
      </c>
      <c r="BS250" s="63">
        <f t="shared" si="185"/>
        <v>0</v>
      </c>
      <c r="BT250" s="63">
        <f t="shared" si="159"/>
        <v>0</v>
      </c>
      <c r="BU250" s="63">
        <f t="shared" si="160"/>
        <v>0</v>
      </c>
      <c r="BV250" s="57">
        <f t="shared" si="161"/>
        <v>0</v>
      </c>
      <c r="BW250" s="57">
        <f t="shared" si="162"/>
        <v>0</v>
      </c>
      <c r="BX250" s="57">
        <f t="shared" si="186"/>
        <v>0</v>
      </c>
      <c r="BY250" s="57">
        <f t="shared" si="190"/>
        <v>0</v>
      </c>
      <c r="BZ250" s="8">
        <f t="shared" si="163"/>
        <v>0</v>
      </c>
      <c r="CA250" s="8">
        <f t="shared" si="164"/>
        <v>0</v>
      </c>
      <c r="CB250" s="8">
        <f t="shared" si="165"/>
        <v>0</v>
      </c>
      <c r="CC250" s="8">
        <f t="shared" si="166"/>
        <v>0</v>
      </c>
      <c r="CD250" s="8">
        <f t="shared" si="167"/>
        <v>0</v>
      </c>
      <c r="CE250" s="8">
        <f t="shared" si="168"/>
        <v>0</v>
      </c>
      <c r="CF250" s="8">
        <f t="shared" si="169"/>
        <v>0</v>
      </c>
      <c r="CG250" s="8">
        <f t="shared" si="170"/>
        <v>0</v>
      </c>
      <c r="CH250" s="8">
        <f t="shared" si="171"/>
        <v>0</v>
      </c>
      <c r="CI250" s="8">
        <f t="shared" si="172"/>
        <v>0</v>
      </c>
      <c r="CJ250" s="8">
        <f t="shared" si="173"/>
        <v>0</v>
      </c>
      <c r="CK250" s="8">
        <f t="shared" si="174"/>
        <v>0</v>
      </c>
      <c r="CL250" s="8">
        <f t="shared" si="175"/>
        <v>0</v>
      </c>
      <c r="CM250" s="8">
        <f t="shared" si="176"/>
        <v>0</v>
      </c>
      <c r="CN250" s="8">
        <f t="shared" si="177"/>
        <v>0</v>
      </c>
      <c r="CO250" s="8">
        <f t="shared" si="178"/>
        <v>0</v>
      </c>
      <c r="CP250" s="8">
        <f t="shared" si="179"/>
        <v>0</v>
      </c>
      <c r="CQ250" s="8">
        <f t="shared" si="180"/>
        <v>0</v>
      </c>
      <c r="CR250" s="8">
        <f t="shared" si="181"/>
        <v>0</v>
      </c>
      <c r="CS250" s="8">
        <f t="shared" si="182"/>
        <v>0</v>
      </c>
      <c r="CT250" s="8">
        <f t="shared" si="187"/>
        <v>0</v>
      </c>
      <c r="CU250" s="8">
        <f t="shared" si="188"/>
        <v>0</v>
      </c>
      <c r="CV250" s="8">
        <f t="shared" si="189"/>
        <v>0</v>
      </c>
    </row>
    <row r="251" spans="1:100" ht="25.25" customHeight="1" thickTop="1" thickBot="1" x14ac:dyDescent="0.5">
      <c r="A251" s="32"/>
      <c r="B251" s="10"/>
      <c r="C251" s="10"/>
      <c r="D251" s="11"/>
      <c r="E251" s="10"/>
      <c r="F251" s="10"/>
      <c r="G251" s="19"/>
      <c r="H251" s="19"/>
      <c r="I251" s="19"/>
      <c r="J251" s="19"/>
      <c r="K251" s="10"/>
      <c r="L251" s="10"/>
      <c r="M251" s="10"/>
      <c r="N251" s="10"/>
      <c r="O251" s="18"/>
      <c r="P251" s="18"/>
      <c r="Q251" s="21"/>
      <c r="R251" s="20"/>
      <c r="S251" s="16">
        <f t="shared" si="145"/>
        <v>0</v>
      </c>
      <c r="T251" s="11"/>
      <c r="AR251" s="31"/>
      <c r="AS251" s="31">
        <f t="shared" si="146"/>
        <v>0</v>
      </c>
      <c r="AT251" s="31">
        <f t="shared" si="147"/>
        <v>0</v>
      </c>
      <c r="AU251" s="31">
        <f t="shared" si="148"/>
        <v>0</v>
      </c>
      <c r="AV251" s="31">
        <f t="shared" si="149"/>
        <v>0</v>
      </c>
      <c r="AW251" s="31">
        <f t="shared" si="150"/>
        <v>0</v>
      </c>
      <c r="AX251" s="31">
        <f t="shared" si="151"/>
        <v>0</v>
      </c>
      <c r="AY251" s="31">
        <f t="shared" si="152"/>
        <v>0</v>
      </c>
      <c r="AZ251" s="31">
        <f t="shared" si="153"/>
        <v>0</v>
      </c>
      <c r="BA251" s="31">
        <f t="shared" si="154"/>
        <v>0</v>
      </c>
      <c r="BB251" s="31">
        <f t="shared" si="183"/>
        <v>0</v>
      </c>
      <c r="BC251" s="31"/>
      <c r="BD251" s="31"/>
      <c r="BM251" s="8">
        <f t="shared" si="184"/>
        <v>0</v>
      </c>
      <c r="BN251" s="8">
        <f t="shared" si="155"/>
        <v>0</v>
      </c>
      <c r="BO251" s="8">
        <f t="shared" si="156"/>
        <v>0</v>
      </c>
      <c r="BQ251" s="8">
        <f t="shared" si="157"/>
        <v>0</v>
      </c>
      <c r="BR251" s="63">
        <f t="shared" si="158"/>
        <v>0</v>
      </c>
      <c r="BS251" s="63">
        <f t="shared" si="185"/>
        <v>0</v>
      </c>
      <c r="BT251" s="63">
        <f t="shared" si="159"/>
        <v>0</v>
      </c>
      <c r="BU251" s="63">
        <f t="shared" si="160"/>
        <v>0</v>
      </c>
      <c r="BV251" s="57">
        <f t="shared" si="161"/>
        <v>0</v>
      </c>
      <c r="BW251" s="57">
        <f t="shared" si="162"/>
        <v>0</v>
      </c>
      <c r="BX251" s="57">
        <f t="shared" si="186"/>
        <v>0</v>
      </c>
      <c r="BY251" s="57">
        <f t="shared" si="190"/>
        <v>0</v>
      </c>
      <c r="BZ251" s="8">
        <f t="shared" si="163"/>
        <v>0</v>
      </c>
      <c r="CA251" s="8">
        <f t="shared" si="164"/>
        <v>0</v>
      </c>
      <c r="CB251" s="8">
        <f t="shared" si="165"/>
        <v>0</v>
      </c>
      <c r="CC251" s="8">
        <f t="shared" si="166"/>
        <v>0</v>
      </c>
      <c r="CD251" s="8">
        <f t="shared" si="167"/>
        <v>0</v>
      </c>
      <c r="CE251" s="8">
        <f t="shared" si="168"/>
        <v>0</v>
      </c>
      <c r="CF251" s="8">
        <f t="shared" si="169"/>
        <v>0</v>
      </c>
      <c r="CG251" s="8">
        <f t="shared" si="170"/>
        <v>0</v>
      </c>
      <c r="CH251" s="8">
        <f t="shared" si="171"/>
        <v>0</v>
      </c>
      <c r="CI251" s="8">
        <f t="shared" si="172"/>
        <v>0</v>
      </c>
      <c r="CJ251" s="8">
        <f t="shared" si="173"/>
        <v>0</v>
      </c>
      <c r="CK251" s="8">
        <f t="shared" si="174"/>
        <v>0</v>
      </c>
      <c r="CL251" s="8">
        <f t="shared" si="175"/>
        <v>0</v>
      </c>
      <c r="CM251" s="8">
        <f t="shared" si="176"/>
        <v>0</v>
      </c>
      <c r="CN251" s="8">
        <f t="shared" si="177"/>
        <v>0</v>
      </c>
      <c r="CO251" s="8">
        <f t="shared" si="178"/>
        <v>0</v>
      </c>
      <c r="CP251" s="8">
        <f t="shared" si="179"/>
        <v>0</v>
      </c>
      <c r="CQ251" s="8">
        <f t="shared" si="180"/>
        <v>0</v>
      </c>
      <c r="CR251" s="8">
        <f t="shared" si="181"/>
        <v>0</v>
      </c>
      <c r="CS251" s="8">
        <f t="shared" si="182"/>
        <v>0</v>
      </c>
      <c r="CT251" s="8">
        <f t="shared" si="187"/>
        <v>0</v>
      </c>
      <c r="CU251" s="8">
        <f t="shared" si="188"/>
        <v>0</v>
      </c>
      <c r="CV251" s="8">
        <f t="shared" si="189"/>
        <v>0</v>
      </c>
    </row>
    <row r="252" spans="1:100" ht="25.25" customHeight="1" thickTop="1" thickBot="1" x14ac:dyDescent="0.5">
      <c r="A252" s="32"/>
      <c r="B252" s="10"/>
      <c r="C252" s="10"/>
      <c r="D252" s="11"/>
      <c r="E252" s="10"/>
      <c r="F252" s="10"/>
      <c r="G252" s="19"/>
      <c r="H252" s="19"/>
      <c r="I252" s="19"/>
      <c r="J252" s="19"/>
      <c r="K252" s="10"/>
      <c r="L252" s="10"/>
      <c r="M252" s="10"/>
      <c r="N252" s="10"/>
      <c r="O252" s="18"/>
      <c r="P252" s="18"/>
      <c r="Q252" s="21"/>
      <c r="R252" s="20"/>
      <c r="S252" s="16">
        <f t="shared" si="145"/>
        <v>0</v>
      </c>
      <c r="T252" s="11"/>
      <c r="AR252" s="31"/>
      <c r="AS252" s="31">
        <f t="shared" si="146"/>
        <v>0</v>
      </c>
      <c r="AT252" s="31">
        <f t="shared" si="147"/>
        <v>0</v>
      </c>
      <c r="AU252" s="31">
        <f t="shared" si="148"/>
        <v>0</v>
      </c>
      <c r="AV252" s="31">
        <f t="shared" si="149"/>
        <v>0</v>
      </c>
      <c r="AW252" s="31">
        <f t="shared" si="150"/>
        <v>0</v>
      </c>
      <c r="AX252" s="31">
        <f t="shared" si="151"/>
        <v>0</v>
      </c>
      <c r="AY252" s="31">
        <f t="shared" si="152"/>
        <v>0</v>
      </c>
      <c r="AZ252" s="31">
        <f t="shared" si="153"/>
        <v>0</v>
      </c>
      <c r="BA252" s="31">
        <f t="shared" si="154"/>
        <v>0</v>
      </c>
      <c r="BB252" s="31">
        <f t="shared" si="183"/>
        <v>0</v>
      </c>
      <c r="BC252" s="31"/>
      <c r="BD252" s="31"/>
      <c r="BM252" s="8">
        <f t="shared" si="184"/>
        <v>0</v>
      </c>
      <c r="BN252" s="8">
        <f t="shared" si="155"/>
        <v>0</v>
      </c>
      <c r="BO252" s="8">
        <f t="shared" si="156"/>
        <v>0</v>
      </c>
      <c r="BQ252" s="8">
        <f t="shared" si="157"/>
        <v>0</v>
      </c>
      <c r="BR252" s="63">
        <f t="shared" si="158"/>
        <v>0</v>
      </c>
      <c r="BS252" s="63">
        <f t="shared" si="185"/>
        <v>0</v>
      </c>
      <c r="BT252" s="63">
        <f t="shared" si="159"/>
        <v>0</v>
      </c>
      <c r="BU252" s="63">
        <f t="shared" si="160"/>
        <v>0</v>
      </c>
      <c r="BV252" s="57">
        <f t="shared" si="161"/>
        <v>0</v>
      </c>
      <c r="BW252" s="57">
        <f t="shared" si="162"/>
        <v>0</v>
      </c>
      <c r="BX252" s="57">
        <f t="shared" si="186"/>
        <v>0</v>
      </c>
      <c r="BY252" s="57">
        <f t="shared" si="190"/>
        <v>0</v>
      </c>
      <c r="BZ252" s="8">
        <f t="shared" si="163"/>
        <v>0</v>
      </c>
      <c r="CA252" s="8">
        <f t="shared" si="164"/>
        <v>0</v>
      </c>
      <c r="CB252" s="8">
        <f t="shared" si="165"/>
        <v>0</v>
      </c>
      <c r="CC252" s="8">
        <f t="shared" si="166"/>
        <v>0</v>
      </c>
      <c r="CD252" s="8">
        <f t="shared" si="167"/>
        <v>0</v>
      </c>
      <c r="CE252" s="8">
        <f t="shared" si="168"/>
        <v>0</v>
      </c>
      <c r="CF252" s="8">
        <f t="shared" si="169"/>
        <v>0</v>
      </c>
      <c r="CG252" s="8">
        <f t="shared" si="170"/>
        <v>0</v>
      </c>
      <c r="CH252" s="8">
        <f t="shared" si="171"/>
        <v>0</v>
      </c>
      <c r="CI252" s="8">
        <f t="shared" si="172"/>
        <v>0</v>
      </c>
      <c r="CJ252" s="8">
        <f t="shared" si="173"/>
        <v>0</v>
      </c>
      <c r="CK252" s="8">
        <f t="shared" si="174"/>
        <v>0</v>
      </c>
      <c r="CL252" s="8">
        <f t="shared" si="175"/>
        <v>0</v>
      </c>
      <c r="CM252" s="8">
        <f t="shared" si="176"/>
        <v>0</v>
      </c>
      <c r="CN252" s="8">
        <f t="shared" si="177"/>
        <v>0</v>
      </c>
      <c r="CO252" s="8">
        <f t="shared" si="178"/>
        <v>0</v>
      </c>
      <c r="CP252" s="8">
        <f t="shared" si="179"/>
        <v>0</v>
      </c>
      <c r="CQ252" s="8">
        <f t="shared" si="180"/>
        <v>0</v>
      </c>
      <c r="CR252" s="8">
        <f t="shared" si="181"/>
        <v>0</v>
      </c>
      <c r="CS252" s="8">
        <f t="shared" si="182"/>
        <v>0</v>
      </c>
      <c r="CT252" s="8">
        <f t="shared" si="187"/>
        <v>0</v>
      </c>
      <c r="CU252" s="8">
        <f t="shared" si="188"/>
        <v>0</v>
      </c>
      <c r="CV252" s="8">
        <f t="shared" si="189"/>
        <v>0</v>
      </c>
    </row>
    <row r="253" spans="1:100" ht="25.25" customHeight="1" thickTop="1" thickBot="1" x14ac:dyDescent="0.5">
      <c r="A253" s="32"/>
      <c r="B253" s="10"/>
      <c r="C253" s="10"/>
      <c r="D253" s="11"/>
      <c r="E253" s="10"/>
      <c r="F253" s="10"/>
      <c r="G253" s="19"/>
      <c r="H253" s="19"/>
      <c r="I253" s="19"/>
      <c r="J253" s="19"/>
      <c r="K253" s="10"/>
      <c r="L253" s="10"/>
      <c r="M253" s="10"/>
      <c r="N253" s="10"/>
      <c r="O253" s="18"/>
      <c r="P253" s="18"/>
      <c r="Q253" s="21"/>
      <c r="R253" s="20"/>
      <c r="S253" s="16">
        <f t="shared" si="145"/>
        <v>0</v>
      </c>
      <c r="T253" s="11"/>
      <c r="AR253" s="31"/>
      <c r="AS253" s="31">
        <f t="shared" si="146"/>
        <v>0</v>
      </c>
      <c r="AT253" s="31">
        <f t="shared" si="147"/>
        <v>0</v>
      </c>
      <c r="AU253" s="31">
        <f t="shared" si="148"/>
        <v>0</v>
      </c>
      <c r="AV253" s="31">
        <f t="shared" si="149"/>
        <v>0</v>
      </c>
      <c r="AW253" s="31">
        <f t="shared" si="150"/>
        <v>0</v>
      </c>
      <c r="AX253" s="31">
        <f t="shared" si="151"/>
        <v>0</v>
      </c>
      <c r="AY253" s="31">
        <f t="shared" si="152"/>
        <v>0</v>
      </c>
      <c r="AZ253" s="31">
        <f t="shared" si="153"/>
        <v>0</v>
      </c>
      <c r="BA253" s="31">
        <f t="shared" si="154"/>
        <v>0</v>
      </c>
      <c r="BB253" s="31">
        <f t="shared" si="183"/>
        <v>0</v>
      </c>
      <c r="BC253" s="31"/>
      <c r="BD253" s="31"/>
      <c r="BM253" s="8">
        <f t="shared" si="184"/>
        <v>0</v>
      </c>
      <c r="BN253" s="8">
        <f t="shared" si="155"/>
        <v>0</v>
      </c>
      <c r="BO253" s="8">
        <f t="shared" si="156"/>
        <v>0</v>
      </c>
      <c r="BQ253" s="8">
        <f t="shared" si="157"/>
        <v>0</v>
      </c>
      <c r="BR253" s="63">
        <f t="shared" si="158"/>
        <v>0</v>
      </c>
      <c r="BS253" s="63">
        <f t="shared" si="185"/>
        <v>0</v>
      </c>
      <c r="BT253" s="63">
        <f t="shared" si="159"/>
        <v>0</v>
      </c>
      <c r="BU253" s="63">
        <f t="shared" si="160"/>
        <v>0</v>
      </c>
      <c r="BV253" s="57">
        <f t="shared" si="161"/>
        <v>0</v>
      </c>
      <c r="BW253" s="57">
        <f t="shared" si="162"/>
        <v>0</v>
      </c>
      <c r="BX253" s="57">
        <f t="shared" si="186"/>
        <v>0</v>
      </c>
      <c r="BY253" s="57">
        <f t="shared" si="190"/>
        <v>0</v>
      </c>
      <c r="BZ253" s="8">
        <f t="shared" si="163"/>
        <v>0</v>
      </c>
      <c r="CA253" s="8">
        <f t="shared" si="164"/>
        <v>0</v>
      </c>
      <c r="CB253" s="8">
        <f t="shared" si="165"/>
        <v>0</v>
      </c>
      <c r="CC253" s="8">
        <f t="shared" si="166"/>
        <v>0</v>
      </c>
      <c r="CD253" s="8">
        <f t="shared" si="167"/>
        <v>0</v>
      </c>
      <c r="CE253" s="8">
        <f t="shared" si="168"/>
        <v>0</v>
      </c>
      <c r="CF253" s="8">
        <f t="shared" si="169"/>
        <v>0</v>
      </c>
      <c r="CG253" s="8">
        <f t="shared" si="170"/>
        <v>0</v>
      </c>
      <c r="CH253" s="8">
        <f t="shared" si="171"/>
        <v>0</v>
      </c>
      <c r="CI253" s="8">
        <f t="shared" si="172"/>
        <v>0</v>
      </c>
      <c r="CJ253" s="8">
        <f t="shared" si="173"/>
        <v>0</v>
      </c>
      <c r="CK253" s="8">
        <f t="shared" si="174"/>
        <v>0</v>
      </c>
      <c r="CL253" s="8">
        <f t="shared" si="175"/>
        <v>0</v>
      </c>
      <c r="CM253" s="8">
        <f t="shared" si="176"/>
        <v>0</v>
      </c>
      <c r="CN253" s="8">
        <f t="shared" si="177"/>
        <v>0</v>
      </c>
      <c r="CO253" s="8">
        <f t="shared" si="178"/>
        <v>0</v>
      </c>
      <c r="CP253" s="8">
        <f t="shared" si="179"/>
        <v>0</v>
      </c>
      <c r="CQ253" s="8">
        <f t="shared" si="180"/>
        <v>0</v>
      </c>
      <c r="CR253" s="8">
        <f t="shared" si="181"/>
        <v>0</v>
      </c>
      <c r="CS253" s="8">
        <f t="shared" si="182"/>
        <v>0</v>
      </c>
      <c r="CT253" s="8">
        <f t="shared" si="187"/>
        <v>0</v>
      </c>
      <c r="CU253" s="8">
        <f t="shared" si="188"/>
        <v>0</v>
      </c>
      <c r="CV253" s="8">
        <f t="shared" si="189"/>
        <v>0</v>
      </c>
    </row>
    <row r="254" spans="1:100" ht="25.25" customHeight="1" thickTop="1" thickBot="1" x14ac:dyDescent="0.5">
      <c r="A254" s="32"/>
      <c r="B254" s="10"/>
      <c r="C254" s="10"/>
      <c r="D254" s="11"/>
      <c r="E254" s="10"/>
      <c r="F254" s="10"/>
      <c r="G254" s="19"/>
      <c r="H254" s="19"/>
      <c r="I254" s="19"/>
      <c r="J254" s="19"/>
      <c r="K254" s="10"/>
      <c r="L254" s="10"/>
      <c r="M254" s="10"/>
      <c r="N254" s="10"/>
      <c r="O254" s="18"/>
      <c r="P254" s="18"/>
      <c r="Q254" s="21"/>
      <c r="R254" s="20"/>
      <c r="S254" s="16">
        <f t="shared" si="145"/>
        <v>0</v>
      </c>
      <c r="T254" s="11"/>
      <c r="AR254" s="31"/>
      <c r="AS254" s="31">
        <f t="shared" si="146"/>
        <v>0</v>
      </c>
      <c r="AT254" s="31">
        <f t="shared" si="147"/>
        <v>0</v>
      </c>
      <c r="AU254" s="31">
        <f t="shared" si="148"/>
        <v>0</v>
      </c>
      <c r="AV254" s="31">
        <f t="shared" si="149"/>
        <v>0</v>
      </c>
      <c r="AW254" s="31">
        <f t="shared" si="150"/>
        <v>0</v>
      </c>
      <c r="AX254" s="31">
        <f t="shared" si="151"/>
        <v>0</v>
      </c>
      <c r="AY254" s="31">
        <f t="shared" si="152"/>
        <v>0</v>
      </c>
      <c r="AZ254" s="31">
        <f t="shared" si="153"/>
        <v>0</v>
      </c>
      <c r="BA254" s="31">
        <f t="shared" si="154"/>
        <v>0</v>
      </c>
      <c r="BB254" s="31">
        <f t="shared" si="183"/>
        <v>0</v>
      </c>
      <c r="BC254" s="31"/>
      <c r="BD254" s="31"/>
      <c r="BM254" s="8">
        <f t="shared" si="184"/>
        <v>0</v>
      </c>
      <c r="BN254" s="8">
        <f t="shared" si="155"/>
        <v>0</v>
      </c>
      <c r="BO254" s="8">
        <f t="shared" si="156"/>
        <v>0</v>
      </c>
      <c r="BQ254" s="8">
        <f t="shared" si="157"/>
        <v>0</v>
      </c>
      <c r="BR254" s="63">
        <f t="shared" si="158"/>
        <v>0</v>
      </c>
      <c r="BS254" s="63">
        <f t="shared" si="185"/>
        <v>0</v>
      </c>
      <c r="BT254" s="63">
        <f t="shared" si="159"/>
        <v>0</v>
      </c>
      <c r="BU254" s="63">
        <f t="shared" si="160"/>
        <v>0</v>
      </c>
      <c r="BV254" s="57">
        <f t="shared" si="161"/>
        <v>0</v>
      </c>
      <c r="BW254" s="57">
        <f t="shared" si="162"/>
        <v>0</v>
      </c>
      <c r="BX254" s="57">
        <f t="shared" si="186"/>
        <v>0</v>
      </c>
      <c r="BY254" s="57">
        <f t="shared" si="190"/>
        <v>0</v>
      </c>
      <c r="BZ254" s="8">
        <f t="shared" si="163"/>
        <v>0</v>
      </c>
      <c r="CA254" s="8">
        <f t="shared" si="164"/>
        <v>0</v>
      </c>
      <c r="CB254" s="8">
        <f t="shared" si="165"/>
        <v>0</v>
      </c>
      <c r="CC254" s="8">
        <f t="shared" si="166"/>
        <v>0</v>
      </c>
      <c r="CD254" s="8">
        <f t="shared" si="167"/>
        <v>0</v>
      </c>
      <c r="CE254" s="8">
        <f t="shared" si="168"/>
        <v>0</v>
      </c>
      <c r="CF254" s="8">
        <f t="shared" si="169"/>
        <v>0</v>
      </c>
      <c r="CG254" s="8">
        <f t="shared" si="170"/>
        <v>0</v>
      </c>
      <c r="CH254" s="8">
        <f t="shared" si="171"/>
        <v>0</v>
      </c>
      <c r="CI254" s="8">
        <f t="shared" si="172"/>
        <v>0</v>
      </c>
      <c r="CJ254" s="8">
        <f t="shared" si="173"/>
        <v>0</v>
      </c>
      <c r="CK254" s="8">
        <f t="shared" si="174"/>
        <v>0</v>
      </c>
      <c r="CL254" s="8">
        <f t="shared" si="175"/>
        <v>0</v>
      </c>
      <c r="CM254" s="8">
        <f t="shared" si="176"/>
        <v>0</v>
      </c>
      <c r="CN254" s="8">
        <f t="shared" si="177"/>
        <v>0</v>
      </c>
      <c r="CO254" s="8">
        <f t="shared" si="178"/>
        <v>0</v>
      </c>
      <c r="CP254" s="8">
        <f t="shared" si="179"/>
        <v>0</v>
      </c>
      <c r="CQ254" s="8">
        <f t="shared" si="180"/>
        <v>0</v>
      </c>
      <c r="CR254" s="8">
        <f t="shared" si="181"/>
        <v>0</v>
      </c>
      <c r="CS254" s="8">
        <f t="shared" si="182"/>
        <v>0</v>
      </c>
      <c r="CT254" s="8">
        <f t="shared" si="187"/>
        <v>0</v>
      </c>
      <c r="CU254" s="8">
        <f t="shared" si="188"/>
        <v>0</v>
      </c>
      <c r="CV254" s="8">
        <f t="shared" si="189"/>
        <v>0</v>
      </c>
    </row>
    <row r="255" spans="1:100" ht="25.25" customHeight="1" thickTop="1" thickBot="1" x14ac:dyDescent="0.5">
      <c r="A255" s="32"/>
      <c r="B255" s="10"/>
      <c r="C255" s="10"/>
      <c r="D255" s="11"/>
      <c r="E255" s="10"/>
      <c r="F255" s="10"/>
      <c r="G255" s="19"/>
      <c r="H255" s="19"/>
      <c r="I255" s="19"/>
      <c r="J255" s="19"/>
      <c r="K255" s="10"/>
      <c r="L255" s="10"/>
      <c r="M255" s="10"/>
      <c r="N255" s="10"/>
      <c r="O255" s="18"/>
      <c r="P255" s="18"/>
      <c r="Q255" s="21"/>
      <c r="R255" s="20"/>
      <c r="S255" s="16">
        <f t="shared" si="145"/>
        <v>0</v>
      </c>
      <c r="T255" s="11"/>
      <c r="AR255" s="31"/>
      <c r="AS255" s="31">
        <f t="shared" si="146"/>
        <v>0</v>
      </c>
      <c r="AT255" s="31">
        <f t="shared" si="147"/>
        <v>0</v>
      </c>
      <c r="AU255" s="31">
        <f t="shared" si="148"/>
        <v>0</v>
      </c>
      <c r="AV255" s="31">
        <f t="shared" si="149"/>
        <v>0</v>
      </c>
      <c r="AW255" s="31">
        <f t="shared" si="150"/>
        <v>0</v>
      </c>
      <c r="AX255" s="31">
        <f t="shared" si="151"/>
        <v>0</v>
      </c>
      <c r="AY255" s="31">
        <f t="shared" si="152"/>
        <v>0</v>
      </c>
      <c r="AZ255" s="31">
        <f t="shared" si="153"/>
        <v>0</v>
      </c>
      <c r="BA255" s="31">
        <f t="shared" si="154"/>
        <v>0</v>
      </c>
      <c r="BB255" s="31">
        <f t="shared" si="183"/>
        <v>0</v>
      </c>
      <c r="BC255" s="31"/>
      <c r="BD255" s="31"/>
      <c r="BM255" s="8">
        <f t="shared" si="184"/>
        <v>0</v>
      </c>
      <c r="BN255" s="8">
        <f t="shared" si="155"/>
        <v>0</v>
      </c>
      <c r="BO255" s="8">
        <f t="shared" si="156"/>
        <v>0</v>
      </c>
      <c r="BQ255" s="8">
        <f t="shared" si="157"/>
        <v>0</v>
      </c>
      <c r="BR255" s="63">
        <f t="shared" si="158"/>
        <v>0</v>
      </c>
      <c r="BS255" s="63">
        <f t="shared" si="185"/>
        <v>0</v>
      </c>
      <c r="BT255" s="63">
        <f t="shared" si="159"/>
        <v>0</v>
      </c>
      <c r="BU255" s="63">
        <f t="shared" si="160"/>
        <v>0</v>
      </c>
      <c r="BV255" s="57">
        <f t="shared" si="161"/>
        <v>0</v>
      </c>
      <c r="BW255" s="57">
        <f t="shared" si="162"/>
        <v>0</v>
      </c>
      <c r="BX255" s="57">
        <f t="shared" si="186"/>
        <v>0</v>
      </c>
      <c r="BY255" s="57">
        <f t="shared" si="190"/>
        <v>0</v>
      </c>
      <c r="BZ255" s="8">
        <f t="shared" si="163"/>
        <v>0</v>
      </c>
      <c r="CA255" s="8">
        <f t="shared" si="164"/>
        <v>0</v>
      </c>
      <c r="CB255" s="8">
        <f t="shared" si="165"/>
        <v>0</v>
      </c>
      <c r="CC255" s="8">
        <f t="shared" si="166"/>
        <v>0</v>
      </c>
      <c r="CD255" s="8">
        <f t="shared" si="167"/>
        <v>0</v>
      </c>
      <c r="CE255" s="8">
        <f t="shared" si="168"/>
        <v>0</v>
      </c>
      <c r="CF255" s="8">
        <f t="shared" si="169"/>
        <v>0</v>
      </c>
      <c r="CG255" s="8">
        <f t="shared" si="170"/>
        <v>0</v>
      </c>
      <c r="CH255" s="8">
        <f t="shared" si="171"/>
        <v>0</v>
      </c>
      <c r="CI255" s="8">
        <f t="shared" si="172"/>
        <v>0</v>
      </c>
      <c r="CJ255" s="8">
        <f t="shared" si="173"/>
        <v>0</v>
      </c>
      <c r="CK255" s="8">
        <f t="shared" si="174"/>
        <v>0</v>
      </c>
      <c r="CL255" s="8">
        <f t="shared" si="175"/>
        <v>0</v>
      </c>
      <c r="CM255" s="8">
        <f t="shared" si="176"/>
        <v>0</v>
      </c>
      <c r="CN255" s="8">
        <f t="shared" si="177"/>
        <v>0</v>
      </c>
      <c r="CO255" s="8">
        <f t="shared" si="178"/>
        <v>0</v>
      </c>
      <c r="CP255" s="8">
        <f t="shared" si="179"/>
        <v>0</v>
      </c>
      <c r="CQ255" s="8">
        <f t="shared" si="180"/>
        <v>0</v>
      </c>
      <c r="CR255" s="8">
        <f t="shared" si="181"/>
        <v>0</v>
      </c>
      <c r="CS255" s="8">
        <f t="shared" si="182"/>
        <v>0</v>
      </c>
      <c r="CT255" s="8">
        <f t="shared" si="187"/>
        <v>0</v>
      </c>
      <c r="CU255" s="8">
        <f t="shared" si="188"/>
        <v>0</v>
      </c>
      <c r="CV255" s="8">
        <f t="shared" si="189"/>
        <v>0</v>
      </c>
    </row>
    <row r="256" spans="1:100" ht="25.25" customHeight="1" thickTop="1" thickBot="1" x14ac:dyDescent="0.5">
      <c r="A256" s="32"/>
      <c r="B256" s="10"/>
      <c r="C256" s="10"/>
      <c r="D256" s="11"/>
      <c r="E256" s="10"/>
      <c r="F256" s="10"/>
      <c r="G256" s="19"/>
      <c r="H256" s="19"/>
      <c r="I256" s="19"/>
      <c r="J256" s="19"/>
      <c r="K256" s="10"/>
      <c r="L256" s="10"/>
      <c r="M256" s="10"/>
      <c r="N256" s="10"/>
      <c r="O256" s="18"/>
      <c r="P256" s="18"/>
      <c r="Q256" s="21"/>
      <c r="R256" s="20"/>
      <c r="S256" s="16">
        <f t="shared" si="145"/>
        <v>0</v>
      </c>
      <c r="T256" s="11"/>
      <c r="AR256" s="31"/>
      <c r="AS256" s="31">
        <f t="shared" si="146"/>
        <v>0</v>
      </c>
      <c r="AT256" s="31">
        <f t="shared" si="147"/>
        <v>0</v>
      </c>
      <c r="AU256" s="31">
        <f t="shared" si="148"/>
        <v>0</v>
      </c>
      <c r="AV256" s="31">
        <f t="shared" si="149"/>
        <v>0</v>
      </c>
      <c r="AW256" s="31">
        <f t="shared" si="150"/>
        <v>0</v>
      </c>
      <c r="AX256" s="31">
        <f t="shared" si="151"/>
        <v>0</v>
      </c>
      <c r="AY256" s="31">
        <f t="shared" si="152"/>
        <v>0</v>
      </c>
      <c r="AZ256" s="31">
        <f t="shared" si="153"/>
        <v>0</v>
      </c>
      <c r="BA256" s="31">
        <f t="shared" si="154"/>
        <v>0</v>
      </c>
      <c r="BB256" s="31">
        <f t="shared" si="183"/>
        <v>0</v>
      </c>
      <c r="BC256" s="31"/>
      <c r="BD256" s="31"/>
      <c r="BM256" s="8">
        <f t="shared" si="184"/>
        <v>0</v>
      </c>
      <c r="BN256" s="8">
        <f t="shared" si="155"/>
        <v>0</v>
      </c>
      <c r="BO256" s="8">
        <f t="shared" si="156"/>
        <v>0</v>
      </c>
      <c r="BQ256" s="8">
        <f t="shared" si="157"/>
        <v>0</v>
      </c>
      <c r="BR256" s="63">
        <f t="shared" si="158"/>
        <v>0</v>
      </c>
      <c r="BS256" s="63">
        <f t="shared" si="185"/>
        <v>0</v>
      </c>
      <c r="BT256" s="63">
        <f t="shared" si="159"/>
        <v>0</v>
      </c>
      <c r="BU256" s="63">
        <f t="shared" si="160"/>
        <v>0</v>
      </c>
      <c r="BV256" s="57">
        <f t="shared" si="161"/>
        <v>0</v>
      </c>
      <c r="BW256" s="57">
        <f t="shared" si="162"/>
        <v>0</v>
      </c>
      <c r="BX256" s="57">
        <f t="shared" si="186"/>
        <v>0</v>
      </c>
      <c r="BY256" s="57">
        <f t="shared" si="190"/>
        <v>0</v>
      </c>
      <c r="BZ256" s="8">
        <f t="shared" si="163"/>
        <v>0</v>
      </c>
      <c r="CA256" s="8">
        <f t="shared" si="164"/>
        <v>0</v>
      </c>
      <c r="CB256" s="8">
        <f t="shared" si="165"/>
        <v>0</v>
      </c>
      <c r="CC256" s="8">
        <f t="shared" si="166"/>
        <v>0</v>
      </c>
      <c r="CD256" s="8">
        <f t="shared" si="167"/>
        <v>0</v>
      </c>
      <c r="CE256" s="8">
        <f t="shared" si="168"/>
        <v>0</v>
      </c>
      <c r="CF256" s="8">
        <f t="shared" si="169"/>
        <v>0</v>
      </c>
      <c r="CG256" s="8">
        <f t="shared" si="170"/>
        <v>0</v>
      </c>
      <c r="CH256" s="8">
        <f t="shared" si="171"/>
        <v>0</v>
      </c>
      <c r="CI256" s="8">
        <f t="shared" si="172"/>
        <v>0</v>
      </c>
      <c r="CJ256" s="8">
        <f t="shared" si="173"/>
        <v>0</v>
      </c>
      <c r="CK256" s="8">
        <f t="shared" si="174"/>
        <v>0</v>
      </c>
      <c r="CL256" s="8">
        <f t="shared" si="175"/>
        <v>0</v>
      </c>
      <c r="CM256" s="8">
        <f t="shared" si="176"/>
        <v>0</v>
      </c>
      <c r="CN256" s="8">
        <f t="shared" si="177"/>
        <v>0</v>
      </c>
      <c r="CO256" s="8">
        <f t="shared" si="178"/>
        <v>0</v>
      </c>
      <c r="CP256" s="8">
        <f t="shared" si="179"/>
        <v>0</v>
      </c>
      <c r="CQ256" s="8">
        <f t="shared" si="180"/>
        <v>0</v>
      </c>
      <c r="CR256" s="8">
        <f t="shared" si="181"/>
        <v>0</v>
      </c>
      <c r="CS256" s="8">
        <f t="shared" si="182"/>
        <v>0</v>
      </c>
      <c r="CT256" s="8">
        <f t="shared" si="187"/>
        <v>0</v>
      </c>
      <c r="CU256" s="8">
        <f t="shared" si="188"/>
        <v>0</v>
      </c>
      <c r="CV256" s="8">
        <f t="shared" si="189"/>
        <v>0</v>
      </c>
    </row>
    <row r="257" spans="1:100" ht="25.25" customHeight="1" thickTop="1" thickBot="1" x14ac:dyDescent="0.5">
      <c r="A257" s="32"/>
      <c r="B257" s="10"/>
      <c r="C257" s="10"/>
      <c r="D257" s="11"/>
      <c r="E257" s="10"/>
      <c r="F257" s="10"/>
      <c r="G257" s="19"/>
      <c r="H257" s="19"/>
      <c r="I257" s="19"/>
      <c r="J257" s="19"/>
      <c r="K257" s="10"/>
      <c r="L257" s="10"/>
      <c r="M257" s="10"/>
      <c r="N257" s="10"/>
      <c r="O257" s="18"/>
      <c r="P257" s="18"/>
      <c r="Q257" s="21"/>
      <c r="R257" s="20"/>
      <c r="S257" s="16">
        <f t="shared" si="145"/>
        <v>0</v>
      </c>
      <c r="T257" s="11"/>
      <c r="AR257" s="31"/>
      <c r="AS257" s="31">
        <f t="shared" si="146"/>
        <v>0</v>
      </c>
      <c r="AT257" s="31">
        <f t="shared" si="147"/>
        <v>0</v>
      </c>
      <c r="AU257" s="31">
        <f t="shared" si="148"/>
        <v>0</v>
      </c>
      <c r="AV257" s="31">
        <f t="shared" si="149"/>
        <v>0</v>
      </c>
      <c r="AW257" s="31">
        <f t="shared" si="150"/>
        <v>0</v>
      </c>
      <c r="AX257" s="31">
        <f t="shared" si="151"/>
        <v>0</v>
      </c>
      <c r="AY257" s="31">
        <f t="shared" si="152"/>
        <v>0</v>
      </c>
      <c r="AZ257" s="31">
        <f t="shared" si="153"/>
        <v>0</v>
      </c>
      <c r="BA257" s="31">
        <f t="shared" si="154"/>
        <v>0</v>
      </c>
      <c r="BB257" s="31">
        <f t="shared" si="183"/>
        <v>0</v>
      </c>
      <c r="BC257" s="31"/>
      <c r="BD257" s="31"/>
      <c r="BM257" s="8">
        <f t="shared" si="184"/>
        <v>0</v>
      </c>
      <c r="BN257" s="8">
        <f t="shared" si="155"/>
        <v>0</v>
      </c>
      <c r="BO257" s="8">
        <f t="shared" si="156"/>
        <v>0</v>
      </c>
      <c r="BQ257" s="8">
        <f t="shared" si="157"/>
        <v>0</v>
      </c>
      <c r="BR257" s="63">
        <f t="shared" si="158"/>
        <v>0</v>
      </c>
      <c r="BS257" s="63">
        <f t="shared" si="185"/>
        <v>0</v>
      </c>
      <c r="BT257" s="63">
        <f t="shared" si="159"/>
        <v>0</v>
      </c>
      <c r="BU257" s="63">
        <f t="shared" si="160"/>
        <v>0</v>
      </c>
      <c r="BV257" s="57">
        <f t="shared" si="161"/>
        <v>0</v>
      </c>
      <c r="BW257" s="57">
        <f t="shared" si="162"/>
        <v>0</v>
      </c>
      <c r="BX257" s="57">
        <f t="shared" si="186"/>
        <v>0</v>
      </c>
      <c r="BY257" s="57">
        <f t="shared" si="190"/>
        <v>0</v>
      </c>
      <c r="BZ257" s="8">
        <f t="shared" si="163"/>
        <v>0</v>
      </c>
      <c r="CA257" s="8">
        <f t="shared" si="164"/>
        <v>0</v>
      </c>
      <c r="CB257" s="8">
        <f t="shared" si="165"/>
        <v>0</v>
      </c>
      <c r="CC257" s="8">
        <f t="shared" si="166"/>
        <v>0</v>
      </c>
      <c r="CD257" s="8">
        <f t="shared" si="167"/>
        <v>0</v>
      </c>
      <c r="CE257" s="8">
        <f t="shared" si="168"/>
        <v>0</v>
      </c>
      <c r="CF257" s="8">
        <f t="shared" si="169"/>
        <v>0</v>
      </c>
      <c r="CG257" s="8">
        <f t="shared" si="170"/>
        <v>0</v>
      </c>
      <c r="CH257" s="8">
        <f t="shared" si="171"/>
        <v>0</v>
      </c>
      <c r="CI257" s="8">
        <f t="shared" si="172"/>
        <v>0</v>
      </c>
      <c r="CJ257" s="8">
        <f t="shared" si="173"/>
        <v>0</v>
      </c>
      <c r="CK257" s="8">
        <f t="shared" si="174"/>
        <v>0</v>
      </c>
      <c r="CL257" s="8">
        <f t="shared" si="175"/>
        <v>0</v>
      </c>
      <c r="CM257" s="8">
        <f t="shared" si="176"/>
        <v>0</v>
      </c>
      <c r="CN257" s="8">
        <f t="shared" si="177"/>
        <v>0</v>
      </c>
      <c r="CO257" s="8">
        <f t="shared" si="178"/>
        <v>0</v>
      </c>
      <c r="CP257" s="8">
        <f t="shared" si="179"/>
        <v>0</v>
      </c>
      <c r="CQ257" s="8">
        <f t="shared" si="180"/>
        <v>0</v>
      </c>
      <c r="CR257" s="8">
        <f t="shared" si="181"/>
        <v>0</v>
      </c>
      <c r="CS257" s="8">
        <f t="shared" si="182"/>
        <v>0</v>
      </c>
      <c r="CT257" s="8">
        <f t="shared" si="187"/>
        <v>0</v>
      </c>
      <c r="CU257" s="8">
        <f t="shared" si="188"/>
        <v>0</v>
      </c>
      <c r="CV257" s="8">
        <f t="shared" si="189"/>
        <v>0</v>
      </c>
    </row>
    <row r="258" spans="1:100" ht="25.25" customHeight="1" thickTop="1" thickBot="1" x14ac:dyDescent="0.5">
      <c r="A258" s="32"/>
      <c r="B258" s="10"/>
      <c r="C258" s="10"/>
      <c r="D258" s="11"/>
      <c r="E258" s="10"/>
      <c r="F258" s="10"/>
      <c r="G258" s="19"/>
      <c r="H258" s="19"/>
      <c r="I258" s="19"/>
      <c r="J258" s="19"/>
      <c r="K258" s="10"/>
      <c r="L258" s="10"/>
      <c r="M258" s="10"/>
      <c r="N258" s="10"/>
      <c r="O258" s="18"/>
      <c r="P258" s="18"/>
      <c r="Q258" s="21"/>
      <c r="R258" s="20"/>
      <c r="S258" s="16">
        <f t="shared" si="145"/>
        <v>0</v>
      </c>
      <c r="T258" s="11"/>
      <c r="AR258" s="31"/>
      <c r="AS258" s="31">
        <f t="shared" si="146"/>
        <v>0</v>
      </c>
      <c r="AT258" s="31">
        <f t="shared" si="147"/>
        <v>0</v>
      </c>
      <c r="AU258" s="31">
        <f t="shared" si="148"/>
        <v>0</v>
      </c>
      <c r="AV258" s="31">
        <f t="shared" si="149"/>
        <v>0</v>
      </c>
      <c r="AW258" s="31">
        <f t="shared" si="150"/>
        <v>0</v>
      </c>
      <c r="AX258" s="31">
        <f t="shared" si="151"/>
        <v>0</v>
      </c>
      <c r="AY258" s="31">
        <f t="shared" si="152"/>
        <v>0</v>
      </c>
      <c r="AZ258" s="31">
        <f t="shared" si="153"/>
        <v>0</v>
      </c>
      <c r="BA258" s="31">
        <f t="shared" si="154"/>
        <v>0</v>
      </c>
      <c r="BB258" s="31">
        <f t="shared" si="183"/>
        <v>0</v>
      </c>
      <c r="BC258" s="31"/>
      <c r="BD258" s="31"/>
      <c r="BM258" s="8">
        <f t="shared" si="184"/>
        <v>0</v>
      </c>
      <c r="BN258" s="8">
        <f t="shared" si="155"/>
        <v>0</v>
      </c>
      <c r="BO258" s="8">
        <f t="shared" si="156"/>
        <v>0</v>
      </c>
      <c r="BQ258" s="8">
        <f t="shared" si="157"/>
        <v>0</v>
      </c>
      <c r="BR258" s="63">
        <f t="shared" si="158"/>
        <v>0</v>
      </c>
      <c r="BS258" s="63">
        <f t="shared" si="185"/>
        <v>0</v>
      </c>
      <c r="BT258" s="63">
        <f t="shared" si="159"/>
        <v>0</v>
      </c>
      <c r="BU258" s="63">
        <f t="shared" si="160"/>
        <v>0</v>
      </c>
      <c r="BV258" s="57">
        <f t="shared" si="161"/>
        <v>0</v>
      </c>
      <c r="BW258" s="57">
        <f t="shared" si="162"/>
        <v>0</v>
      </c>
      <c r="BX258" s="57">
        <f t="shared" si="186"/>
        <v>0</v>
      </c>
      <c r="BY258" s="57">
        <f t="shared" si="190"/>
        <v>0</v>
      </c>
      <c r="BZ258" s="8">
        <f t="shared" si="163"/>
        <v>0</v>
      </c>
      <c r="CA258" s="8">
        <f t="shared" si="164"/>
        <v>0</v>
      </c>
      <c r="CB258" s="8">
        <f t="shared" si="165"/>
        <v>0</v>
      </c>
      <c r="CC258" s="8">
        <f t="shared" si="166"/>
        <v>0</v>
      </c>
      <c r="CD258" s="8">
        <f t="shared" si="167"/>
        <v>0</v>
      </c>
      <c r="CE258" s="8">
        <f t="shared" si="168"/>
        <v>0</v>
      </c>
      <c r="CF258" s="8">
        <f t="shared" si="169"/>
        <v>0</v>
      </c>
      <c r="CG258" s="8">
        <f t="shared" si="170"/>
        <v>0</v>
      </c>
      <c r="CH258" s="8">
        <f t="shared" si="171"/>
        <v>0</v>
      </c>
      <c r="CI258" s="8">
        <f t="shared" si="172"/>
        <v>0</v>
      </c>
      <c r="CJ258" s="8">
        <f t="shared" si="173"/>
        <v>0</v>
      </c>
      <c r="CK258" s="8">
        <f t="shared" si="174"/>
        <v>0</v>
      </c>
      <c r="CL258" s="8">
        <f t="shared" si="175"/>
        <v>0</v>
      </c>
      <c r="CM258" s="8">
        <f t="shared" si="176"/>
        <v>0</v>
      </c>
      <c r="CN258" s="8">
        <f t="shared" si="177"/>
        <v>0</v>
      </c>
      <c r="CO258" s="8">
        <f t="shared" si="178"/>
        <v>0</v>
      </c>
      <c r="CP258" s="8">
        <f t="shared" si="179"/>
        <v>0</v>
      </c>
      <c r="CQ258" s="8">
        <f t="shared" si="180"/>
        <v>0</v>
      </c>
      <c r="CR258" s="8">
        <f t="shared" si="181"/>
        <v>0</v>
      </c>
      <c r="CS258" s="8">
        <f t="shared" si="182"/>
        <v>0</v>
      </c>
      <c r="CT258" s="8">
        <f t="shared" si="187"/>
        <v>0</v>
      </c>
      <c r="CU258" s="8">
        <f t="shared" si="188"/>
        <v>0</v>
      </c>
      <c r="CV258" s="8">
        <f t="shared" si="189"/>
        <v>0</v>
      </c>
    </row>
    <row r="259" spans="1:100" ht="25.25" customHeight="1" thickTop="1" thickBot="1" x14ac:dyDescent="0.5">
      <c r="A259" s="32"/>
      <c r="B259" s="10"/>
      <c r="C259" s="10"/>
      <c r="D259" s="11"/>
      <c r="E259" s="10"/>
      <c r="F259" s="10"/>
      <c r="G259" s="19"/>
      <c r="H259" s="19"/>
      <c r="I259" s="19"/>
      <c r="J259" s="19"/>
      <c r="K259" s="10"/>
      <c r="L259" s="10"/>
      <c r="M259" s="10"/>
      <c r="N259" s="10"/>
      <c r="O259" s="18"/>
      <c r="P259" s="18"/>
      <c r="Q259" s="21"/>
      <c r="R259" s="20"/>
      <c r="S259" s="16">
        <f t="shared" si="145"/>
        <v>0</v>
      </c>
      <c r="T259" s="11"/>
      <c r="AR259" s="31"/>
      <c r="AS259" s="31">
        <f t="shared" si="146"/>
        <v>0</v>
      </c>
      <c r="AT259" s="31">
        <f t="shared" si="147"/>
        <v>0</v>
      </c>
      <c r="AU259" s="31">
        <f t="shared" si="148"/>
        <v>0</v>
      </c>
      <c r="AV259" s="31">
        <f t="shared" si="149"/>
        <v>0</v>
      </c>
      <c r="AW259" s="31">
        <f t="shared" si="150"/>
        <v>0</v>
      </c>
      <c r="AX259" s="31">
        <f t="shared" si="151"/>
        <v>0</v>
      </c>
      <c r="AY259" s="31">
        <f t="shared" si="152"/>
        <v>0</v>
      </c>
      <c r="AZ259" s="31">
        <f t="shared" si="153"/>
        <v>0</v>
      </c>
      <c r="BA259" s="31">
        <f t="shared" si="154"/>
        <v>0</v>
      </c>
      <c r="BB259" s="31">
        <f t="shared" si="183"/>
        <v>0</v>
      </c>
      <c r="BC259" s="31"/>
      <c r="BD259" s="31"/>
      <c r="BM259" s="8">
        <f t="shared" si="184"/>
        <v>0</v>
      </c>
      <c r="BN259" s="8">
        <f t="shared" si="155"/>
        <v>0</v>
      </c>
      <c r="BO259" s="8">
        <f t="shared" si="156"/>
        <v>0</v>
      </c>
      <c r="BQ259" s="8">
        <f t="shared" si="157"/>
        <v>0</v>
      </c>
      <c r="BR259" s="63">
        <f t="shared" si="158"/>
        <v>0</v>
      </c>
      <c r="BS259" s="63">
        <f t="shared" si="185"/>
        <v>0</v>
      </c>
      <c r="BT259" s="63">
        <f t="shared" si="159"/>
        <v>0</v>
      </c>
      <c r="BU259" s="63">
        <f t="shared" si="160"/>
        <v>0</v>
      </c>
      <c r="BV259" s="57">
        <f t="shared" si="161"/>
        <v>0</v>
      </c>
      <c r="BW259" s="57">
        <f t="shared" si="162"/>
        <v>0</v>
      </c>
      <c r="BX259" s="57">
        <f t="shared" si="186"/>
        <v>0</v>
      </c>
      <c r="BY259" s="57">
        <f t="shared" si="190"/>
        <v>0</v>
      </c>
      <c r="BZ259" s="8">
        <f t="shared" si="163"/>
        <v>0</v>
      </c>
      <c r="CA259" s="8">
        <f t="shared" si="164"/>
        <v>0</v>
      </c>
      <c r="CB259" s="8">
        <f t="shared" si="165"/>
        <v>0</v>
      </c>
      <c r="CC259" s="8">
        <f t="shared" si="166"/>
        <v>0</v>
      </c>
      <c r="CD259" s="8">
        <f t="shared" si="167"/>
        <v>0</v>
      </c>
      <c r="CE259" s="8">
        <f t="shared" si="168"/>
        <v>0</v>
      </c>
      <c r="CF259" s="8">
        <f t="shared" si="169"/>
        <v>0</v>
      </c>
      <c r="CG259" s="8">
        <f t="shared" si="170"/>
        <v>0</v>
      </c>
      <c r="CH259" s="8">
        <f t="shared" si="171"/>
        <v>0</v>
      </c>
      <c r="CI259" s="8">
        <f t="shared" si="172"/>
        <v>0</v>
      </c>
      <c r="CJ259" s="8">
        <f t="shared" si="173"/>
        <v>0</v>
      </c>
      <c r="CK259" s="8">
        <f t="shared" si="174"/>
        <v>0</v>
      </c>
      <c r="CL259" s="8">
        <f t="shared" si="175"/>
        <v>0</v>
      </c>
      <c r="CM259" s="8">
        <f t="shared" si="176"/>
        <v>0</v>
      </c>
      <c r="CN259" s="8">
        <f t="shared" si="177"/>
        <v>0</v>
      </c>
      <c r="CO259" s="8">
        <f t="shared" si="178"/>
        <v>0</v>
      </c>
      <c r="CP259" s="8">
        <f t="shared" si="179"/>
        <v>0</v>
      </c>
      <c r="CQ259" s="8">
        <f t="shared" si="180"/>
        <v>0</v>
      </c>
      <c r="CR259" s="8">
        <f t="shared" si="181"/>
        <v>0</v>
      </c>
      <c r="CS259" s="8">
        <f t="shared" si="182"/>
        <v>0</v>
      </c>
      <c r="CT259" s="8">
        <f t="shared" si="187"/>
        <v>0</v>
      </c>
      <c r="CU259" s="8">
        <f t="shared" si="188"/>
        <v>0</v>
      </c>
      <c r="CV259" s="8">
        <f t="shared" si="189"/>
        <v>0</v>
      </c>
    </row>
    <row r="260" spans="1:100" ht="25.25" customHeight="1" thickTop="1" thickBot="1" x14ac:dyDescent="0.5">
      <c r="A260" s="32"/>
      <c r="B260" s="10"/>
      <c r="C260" s="10"/>
      <c r="D260" s="11"/>
      <c r="E260" s="10"/>
      <c r="F260" s="10"/>
      <c r="G260" s="19"/>
      <c r="H260" s="19"/>
      <c r="I260" s="19"/>
      <c r="J260" s="19"/>
      <c r="K260" s="10"/>
      <c r="L260" s="10"/>
      <c r="M260" s="10"/>
      <c r="N260" s="10"/>
      <c r="O260" s="18"/>
      <c r="P260" s="18"/>
      <c r="Q260" s="21"/>
      <c r="R260" s="20"/>
      <c r="S260" s="16">
        <f t="shared" ref="S260:S323" si="191">IF(AND(K260="asphalted",M260="sub",BV260&lt;=1,BV260&gt;0),1+2*0.15,IF(AND(K260="asphalted",OR(M260="main",M260="MOT"),BV260&lt;=1,BV260&gt;0),1+2*0.3,IF(AND(K260="asphalted",M260="sub",BV260&gt;1),BV260+2*0.15,IF(AND(K260="asphalted",OR(M260="main",M260="MOT"),BV260&gt;1),BV260+2*0.3,0))))</f>
        <v>0</v>
      </c>
      <c r="T260" s="11"/>
      <c r="AR260" s="31"/>
      <c r="AS260" s="31">
        <f t="shared" ref="AS260:AS323" si="192">IF(F260=1,0.4,IF(F260&gt;1,F260*0.3,0))</f>
        <v>0</v>
      </c>
      <c r="AT260" s="31">
        <f t="shared" ref="AT260:AT323" si="193">IF(AND(G260&lt;4,G260&gt;0),0.4,IF(G260&gt;3,0.4+(G260-3)*0.1,0))</f>
        <v>0</v>
      </c>
      <c r="AU260" s="31">
        <f t="shared" ref="AU260:AU323" si="194">AT260-AS260</f>
        <v>0</v>
      </c>
      <c r="AV260" s="31">
        <f t="shared" ref="AV260:AV323" si="195">IF(AND(OR(OR(E260="normal",E260="special"),E260="special"),F260=0,G260&gt;0,G260&lt;5),"LV"&amp;G260,IF(AND(OR(OR(E260="normal",E260="special"),E260="special"),F260=0,G260&gt;4),"LVCU",IF(AND(OR(OR(E260="normal",E260="special"),E260="special"),F260&gt;4),"MVCU",IF(AND(OR(OR(E260="normal",E260="special"),E260="special"),F260&gt;0,F260&lt;5),"MV"&amp;F260,IF(AND(E260="mini-trench",F260=1),"mini-trench MV",IF(AND(E260="mini-trench",G260&lt;3,G260&lt;&gt;0),"mini-trench LV",0))))))</f>
        <v>0</v>
      </c>
      <c r="AW260" s="31">
        <f t="shared" ref="AW260:AW323" si="196">IF(B260="joint",F260,0)+IF(C260="joint",F260,0)+IF(OR(B260="new ss",B260="ss"),F260*3)+IF(B260="pole",F260*10)+IF(OR(C260="new ss",C260="ss"),F260*3)+IF(C260="pole",F260*10)+IF(B260="grid",F260*30)+IF(C260="grid",F260*30)</f>
        <v>0</v>
      </c>
      <c r="AX260" s="31">
        <f t="shared" ref="AX260:AX323" si="197">IF(J260&gt;0,IF(OR(B260="ss",C260="ss"),J260*3,0)+IF(OR(B260="new ss",C260="new ss"),J260*3,0)+IF(OR(B260="DC",C260="DC"),J260*1.5,0)+IF(OR(B260="new DC",C260="new DC"),J260*1.5,0)+IF(OR(B260="MB",C260="MB"),J260*2,0)+IF(OR(B260="pole",C260="pole"),J260*10,0),0)</f>
        <v>0</v>
      </c>
      <c r="AY260" s="31">
        <f t="shared" ref="AY260:AY323" si="198">IF(I260&gt;0,IF(OR(B260="ss",C260="ss"),I260*3,0)+IF(OR(B260="new ss",C260="new ss"),I260*3,0)+IF(OR(B260="DC",C260="DC"),I260*1.5,0)+IF(OR(B260="new DC",C260="new DC"),J260*1.5,0)+IF(OR(B260="MB",C260="MB"),I260*2,0)+IF(OR(B260="pole",C260="pole"),I260*10,0),0)</f>
        <v>0</v>
      </c>
      <c r="AZ260" s="31">
        <f t="shared" ref="AZ260:AZ323" si="199">IF(H260&gt;0,IF(OR(B260="ss",C260="ss"),H260*3,0)+IF(OR(B260="new ss",C260="new ss"),H260*3,0)+IF(OR(B260="DC",C260="DC"),H260*2,0)+IF(OR(B260="new DC",C260="new DC"),H260*1.5,0)+IF(OR(B260="MB",C260="MB"),H260*2,0)+IF(OR(B260="pole",C260="pole"),H260*10,0)+IF(OR(B260="pole",C260="pole"),H260*10,0),0)</f>
        <v>0</v>
      </c>
      <c r="BA260" s="31">
        <f t="shared" ref="BA260:BA323" si="200">IF(E260="manual",IF(AU260&lt;0,D260*AS260*0.8,IF(AND(AS260&gt;0,AU260&gt;0),D260*AS260*0.8+D260*AU260*0.65,IF(AND(AS260=0,AT260&gt;0),D260*AT260*0.65,0))),0)</f>
        <v>0</v>
      </c>
      <c r="BB260" s="31">
        <f t="shared" si="183"/>
        <v>0</v>
      </c>
      <c r="BC260" s="31"/>
      <c r="BD260" s="31"/>
      <c r="BM260" s="8">
        <f t="shared" si="184"/>
        <v>0</v>
      </c>
      <c r="BN260" s="8">
        <f t="shared" ref="BN260:BN323" si="201">IFERROR(IF(AND(K260="asphalted",E260="mini-trench",R260=""),1*D260,IF(AND(K260="asphalted",R260&gt;0,MandRcalc="Complete M&amp;R area"),R260*D260,IF(AND(K260="asphalted",R260&gt;0,MandRcalc="M&amp;R area - asphalting area"),(R260-BR260/D260)*D260,0))),0)</f>
        <v>0</v>
      </c>
      <c r="BO260" s="8">
        <f t="shared" ref="BO260:BO323" si="202">IF(BQ260&lt;MINEXCNA,0,IF(AND(E260="normal",F260&lt;5,G260&lt;12,K260&lt;&gt;"asphalted",AT260&gt;AS260,AS260&lt;&gt;0),(BQ260-AT260)*0.65,IF(AND(E260="normal",F260&lt;5,G260&lt;12,K260&lt;&gt;"asphalted",AS260&gt;=AT260),(BQ260-AS260)*0.8,IF(AND(E260="normal",F260&lt;5,G260&lt;12,K260&lt;&gt;"asphalted",AT260&gt;0,AS260=0),(BQ260-AT260)*0.65,0)))*D260)</f>
        <v>0</v>
      </c>
      <c r="BQ260" s="8">
        <f t="shared" ref="BQ260:BQ323" si="203">IF(E260="special",O260,IF(AND(OR(E260="normal",E260="manual"),O260="",K260="asphalted",BV260&lt;=MINEXC),MINEXC,IF(AND(OR(E260="normal",E260="manual"),O260&lt;&gt;"",K260="asphalted"),MIN(O260,BV260),IF(AND(OR(E260="normal",E260="manual"),O260="",K260&lt;&gt;"asphalted",BV260&lt;=MINEXCNA),MINEXCNA,IF(AND(OR(E260="normal",E260="manual"),O260&lt;&gt;"",K260&lt;&gt;"asphalted"),MIN(O260,BV260),BV260)))))</f>
        <v>0</v>
      </c>
      <c r="BR260" s="63">
        <f t="shared" ref="BR260:BR323" si="204">IFERROR(IF(AND(E260&lt;&gt;"mini-trecnh",K260="asphalted",Q260&lt;&gt;"",S260=0),D260*Q260,IF(AND(E260&lt;&gt;"mini-trecnh",K260="asphalted",Q260&lt;&gt;"",S260&lt;&gt;0),D260*MIN(Q260,S260),IF(AND(E260&lt;&gt;"mini-trecnh",K260="asphalted",Q260=""),D260*S260,0))),0)</f>
        <v>0</v>
      </c>
      <c r="BS260" s="63">
        <f t="shared" si="185"/>
        <v>0</v>
      </c>
      <c r="BT260" s="63">
        <f t="shared" ref="BT260:BT323" si="205">IF(BQ260&lt;MINEXC,0,IF(AND(E260="normal",F260&lt;5,G260&lt;12,K260="asphalted",AT260&gt;AS260,AS260&lt;&gt;0),(BQ260-AT260)*0.65,IF(AND(E260="normal",F260&lt;5,G260&lt;12,K260="asphalted",AS260&gt;=AT260),(BQ260-AS260)*0.8,IF(AND(E260="normal",F260&lt;5,G260&lt;12,K260="asphalted",AT260&gt;0,AS260=0),(BQ260-AT260)*0.65,0)))*D260)</f>
        <v>0</v>
      </c>
      <c r="BU260" s="63">
        <f t="shared" ref="BU260:BU323" si="206">IF(E260="",0,IF(OR(BT260&gt;0,BO260&gt;0),0,IF(AND(F260&gt;4,G260=0),(BQ260-1.2)*D260*0.8,IF(AND(G260&gt;4,F260=0),(BQ260-0.4)*D260*0.65,IF(OR(AND(G260&gt;4,F260&gt;0),AND(F260&gt;4,G260&gt;0)),(IF(AS260&gt;1.2,(AS260-1.2)*D260*0.8,0)+IF(AT260&gt;AS260,(AT260-AS260)*D260*0.65,0)),0)))))</f>
        <v>0</v>
      </c>
      <c r="BV260" s="57">
        <f t="shared" ref="BV260:BV323" si="207">IF(AND(E260&lt;&gt;"mini-trench",E260&lt;&gt;"special"),MAX(AS260:AT260),0)</f>
        <v>0</v>
      </c>
      <c r="BW260" s="57">
        <f t="shared" ref="BW260:BW323" si="208">IF(AND(E260&lt;&gt;"mini-trench",E260&lt;&gt;"special",BV260&gt;0,BV260&lt;1,K260="asphalted"),IF(O260&lt;&gt;"",MIN(O260,1),1),IF(AND(E260&lt;&gt;"mini-trench",E260&lt;&gt;"special",BV260&gt;0,BV260&gt;1,K260="asphalted"),BV260,0))</f>
        <v>0</v>
      </c>
      <c r="BX260" s="57">
        <f t="shared" si="186"/>
        <v>0</v>
      </c>
      <c r="BY260" s="57">
        <f t="shared" si="190"/>
        <v>0</v>
      </c>
      <c r="BZ260" s="8">
        <f t="shared" ref="BZ260:BZ323" si="209">IF(E260="special",O260*P260*D260-D260*IF(AV260="MV1",0.8*0.4,IF(AV260="MV2",0.8*0.6,IF(AV260="MV3",0.8*0.9,IF(OR(AV260="MV4",AV260="MVCU"),0.8*1.2,IF(AV260="LV1-3",0.65*0.4,IF(OR(AV260="LV4",AV260="LVCU"),0.65*0.5)))))),0)</f>
        <v>0</v>
      </c>
      <c r="CA260" s="8">
        <f t="shared" ref="CA260:CA323" si="210">IF(AND(E260&lt;&gt;"special",K260="Paved interlock"),D260*BV260,IF(AND(E260="special",K260="Paved interlock"),D260*O260,0))</f>
        <v>0</v>
      </c>
      <c r="CB260" s="8">
        <f t="shared" ref="CB260:CB323" si="211">IF(AND(E260&lt;&gt;"special",K260="Paved conc.tiles"),D260*BV260,IF(AND(E260="special",K260="Paved conc.tiles"),D260*O260,0))</f>
        <v>0</v>
      </c>
      <c r="CC260" s="8">
        <f t="shared" ref="CC260:CC323" si="212">IF(AND(E260="special",K260="asphalted"),D260*Q260,0)</f>
        <v>0</v>
      </c>
      <c r="CD260" s="8">
        <f t="shared" ref="CD260:CD323" si="213">IF(OR(K260="Paved interlock",K260="Paved conc.tiles"),1,0)</f>
        <v>0</v>
      </c>
      <c r="CE260" s="8">
        <f t="shared" ref="CE260:CE323" si="214">IFERROR(BR260/D260,0)</f>
        <v>0</v>
      </c>
      <c r="CF260" s="8">
        <f t="shared" ref="CF260:CF323" si="215">IF(AND(F260&gt;0,B260="j transition"),F260,0)+IF(AND(F260&gt;0,C260="j transition"),F260,0)</f>
        <v>0</v>
      </c>
      <c r="CG260" s="8">
        <f t="shared" ref="CG260:CG323" si="216">IF(AND(F260&gt;0,OR(B260="grid",B260="ss",B260="pole",B260="new ss")),F260,0)+IF(AND(F260&gt;0,OR(C260="grid",C260="ss",C260="pole",C260="new ss")),F260,0)</f>
        <v>0</v>
      </c>
      <c r="CH260" s="8">
        <f t="shared" ref="CH260:CH323" si="217">IF(AND(F260&gt;0,B260="joint"),F260,0)+IF(AND(F260&gt;0,C260="joint"),F260,0)+IF(AND(F260&gt;0,B260="j transition"),F260,0)+IF(AND(F260&gt;0,C260="j transition"),F260,0)</f>
        <v>0</v>
      </c>
      <c r="CI260" s="8">
        <f t="shared" ref="CI260:CI323" si="218">IF(AND(H260&gt;0,B260="joint"),H260,0)+IF(AND(H260&gt;0,C260="joint"),H260,0)</f>
        <v>0</v>
      </c>
      <c r="CJ260" s="8">
        <f t="shared" ref="CJ260:CJ323" si="219">IF(AND(I260&gt;0,B260="joint"),I260,0)+IF(AND(I260&gt;0,C260="joint"),I260,0)</f>
        <v>0</v>
      </c>
      <c r="CK260" s="8">
        <f t="shared" ref="CK260:CK323" si="220">IF(AND(J260&gt;0,B260="joint"),J260,0)+IF(AND(J260&gt;0,C260="joint"),J260,0)</f>
        <v>0</v>
      </c>
      <c r="CL260" s="8">
        <f t="shared" ref="CL260:CL323" si="221">IF(AND(H260&gt;0,OR(B260="ss",B260="new ss",B260="DC",B260="new DC")),H260,0)+IF(AND(H260&gt;0,OR(C260="new ss",C260="ss",C260="DC",C260="new DC")),H260,0)</f>
        <v>0</v>
      </c>
      <c r="CM260" s="8">
        <f t="shared" ref="CM260:CM323" si="222">CO260+CP260</f>
        <v>0</v>
      </c>
      <c r="CN260" s="8">
        <f t="shared" ref="CN260:CN323" si="223">IF(OR(B260="new DC",C260="new DC"),H260,0)</f>
        <v>0</v>
      </c>
      <c r="CO260" s="8">
        <f t="shared" ref="CO260:CO323" si="224">IF(AND(J260&gt;0,OR(B260="ss",B260="new ss",B260="DC",B260="new DC")),J260,0)+IF(AND(J260&gt;0,OR(C260="new ss",C260="ss",C260="DC",C260="new DC")),J260,0)</f>
        <v>0</v>
      </c>
      <c r="CP260" s="8">
        <f t="shared" ref="CP260:CP323" si="225">IF(AND(I260&gt;0,OR(B260="ss",B260="new ss",B260="DC",B260="new DC")),I260,0)+IF(AND(I260&gt;0,OR(C260="new ss",C260="ss",C260="DC",C260="new DC")),I260,0)</f>
        <v>0</v>
      </c>
      <c r="CQ260" s="8">
        <f t="shared" ref="CQ260:CQ323" si="226">IF(AND(F260&gt;0,OR(B260="ss",B260="new ss")),F260,0)+IF(AND(F260&gt;0,OR(C260="ss",C260="new ss")),F260,0)</f>
        <v>0</v>
      </c>
      <c r="CR260" s="8">
        <f t="shared" ref="CR260:CR323" si="227">IF(AND(F260&gt;0,OR(B260="grid")),F260,0)+IF(AND(F260&gt;0,OR(C260="grid")),F260,0)</f>
        <v>0</v>
      </c>
      <c r="CS260" s="8">
        <f t="shared" ref="CS260:CS323" si="228">IF(AND(F260&gt;0,OR(B260="pole")),F260,0)+IF(AND(F260&gt;0,OR(C260="pole")),F260,0)</f>
        <v>0</v>
      </c>
      <c r="CT260" s="8">
        <f t="shared" si="187"/>
        <v>0</v>
      </c>
      <c r="CU260" s="8">
        <f t="shared" si="188"/>
        <v>0</v>
      </c>
      <c r="CV260" s="8">
        <f t="shared" si="189"/>
        <v>0</v>
      </c>
    </row>
    <row r="261" spans="1:100" ht="25.25" customHeight="1" thickTop="1" thickBot="1" x14ac:dyDescent="0.5">
      <c r="A261" s="32"/>
      <c r="B261" s="10"/>
      <c r="C261" s="10"/>
      <c r="D261" s="11"/>
      <c r="E261" s="10"/>
      <c r="F261" s="10"/>
      <c r="G261" s="19"/>
      <c r="H261" s="19"/>
      <c r="I261" s="19"/>
      <c r="J261" s="19"/>
      <c r="K261" s="10"/>
      <c r="L261" s="10"/>
      <c r="M261" s="10"/>
      <c r="N261" s="10"/>
      <c r="O261" s="18"/>
      <c r="P261" s="18"/>
      <c r="Q261" s="21"/>
      <c r="R261" s="20"/>
      <c r="S261" s="16">
        <f t="shared" si="191"/>
        <v>0</v>
      </c>
      <c r="T261" s="11"/>
      <c r="AR261" s="31"/>
      <c r="AS261" s="31">
        <f t="shared" si="192"/>
        <v>0</v>
      </c>
      <c r="AT261" s="31">
        <f t="shared" si="193"/>
        <v>0</v>
      </c>
      <c r="AU261" s="31">
        <f t="shared" si="194"/>
        <v>0</v>
      </c>
      <c r="AV261" s="31">
        <f t="shared" si="195"/>
        <v>0</v>
      </c>
      <c r="AW261" s="31">
        <f t="shared" si="196"/>
        <v>0</v>
      </c>
      <c r="AX261" s="31">
        <f t="shared" si="197"/>
        <v>0</v>
      </c>
      <c r="AY261" s="31">
        <f t="shared" si="198"/>
        <v>0</v>
      </c>
      <c r="AZ261" s="31">
        <f t="shared" si="199"/>
        <v>0</v>
      </c>
      <c r="BA261" s="31">
        <f t="shared" si="200"/>
        <v>0</v>
      </c>
      <c r="BB261" s="31">
        <f t="shared" ref="BB261:BB324" si="229">IFERROR(IF(BN261&gt;0,0,IF(AND(E261="normal",(BR261/D261)&gt;1),BR261,0)),0)</f>
        <v>0</v>
      </c>
      <c r="BC261" s="31"/>
      <c r="BD261" s="31"/>
      <c r="BM261" s="8">
        <f t="shared" ref="BM261:BM324" si="230">IF(AND(E261&lt;&gt;"special",K261="Concrete"),D261*BV261,IF(AND(E261="special",K261="Concrete"),D261*O261,0))</f>
        <v>0</v>
      </c>
      <c r="BN261" s="8">
        <f t="shared" si="201"/>
        <v>0</v>
      </c>
      <c r="BO261" s="8">
        <f t="shared" si="202"/>
        <v>0</v>
      </c>
      <c r="BQ261" s="8">
        <f t="shared" si="203"/>
        <v>0</v>
      </c>
      <c r="BR261" s="63">
        <f t="shared" si="204"/>
        <v>0</v>
      </c>
      <c r="BS261" s="63">
        <f t="shared" ref="BS261:BS324" si="231">BN261 + IF(BN261&gt;0,IF(R260=0, R261, 0) + IF(R262=0, R261, 0),0)</f>
        <v>0</v>
      </c>
      <c r="BT261" s="63">
        <f t="shared" si="205"/>
        <v>0</v>
      </c>
      <c r="BU261" s="63">
        <f t="shared" si="206"/>
        <v>0</v>
      </c>
      <c r="BV261" s="57">
        <f t="shared" si="207"/>
        <v>0</v>
      </c>
      <c r="BW261" s="57">
        <f t="shared" si="208"/>
        <v>0</v>
      </c>
      <c r="BX261" s="57">
        <f t="shared" ref="BX261:BX324" si="232">IF(AND(R261&gt;0,MandRcalc="Asphalting then M&amp;R"),R261*D261,IF(AND(R261&gt;0,MandRcalc="Milling then Repaving"),(R261-BR261)*D261,0))</f>
        <v>0</v>
      </c>
      <c r="BY261" s="57">
        <f t="shared" si="190"/>
        <v>0</v>
      </c>
      <c r="BZ261" s="8">
        <f t="shared" si="209"/>
        <v>0</v>
      </c>
      <c r="CA261" s="8">
        <f t="shared" si="210"/>
        <v>0</v>
      </c>
      <c r="CB261" s="8">
        <f t="shared" si="211"/>
        <v>0</v>
      </c>
      <c r="CC261" s="8">
        <f t="shared" si="212"/>
        <v>0</v>
      </c>
      <c r="CD261" s="8">
        <f t="shared" si="213"/>
        <v>0</v>
      </c>
      <c r="CE261" s="8">
        <f t="shared" si="214"/>
        <v>0</v>
      </c>
      <c r="CF261" s="8">
        <f t="shared" si="215"/>
        <v>0</v>
      </c>
      <c r="CG261" s="8">
        <f t="shared" si="216"/>
        <v>0</v>
      </c>
      <c r="CH261" s="8">
        <f t="shared" si="217"/>
        <v>0</v>
      </c>
      <c r="CI261" s="8">
        <f t="shared" si="218"/>
        <v>0</v>
      </c>
      <c r="CJ261" s="8">
        <f t="shared" si="219"/>
        <v>0</v>
      </c>
      <c r="CK261" s="8">
        <f t="shared" si="220"/>
        <v>0</v>
      </c>
      <c r="CL261" s="8">
        <f t="shared" si="221"/>
        <v>0</v>
      </c>
      <c r="CM261" s="8">
        <f t="shared" si="222"/>
        <v>0</v>
      </c>
      <c r="CN261" s="8">
        <f t="shared" si="223"/>
        <v>0</v>
      </c>
      <c r="CO261" s="8">
        <f t="shared" si="224"/>
        <v>0</v>
      </c>
      <c r="CP261" s="8">
        <f t="shared" si="225"/>
        <v>0</v>
      </c>
      <c r="CQ261" s="8">
        <f t="shared" si="226"/>
        <v>0</v>
      </c>
      <c r="CR261" s="8">
        <f t="shared" si="227"/>
        <v>0</v>
      </c>
      <c r="CS261" s="8">
        <f t="shared" si="228"/>
        <v>0</v>
      </c>
      <c r="CT261" s="8">
        <f t="shared" si="187"/>
        <v>0</v>
      </c>
      <c r="CU261" s="8">
        <f t="shared" si="188"/>
        <v>0</v>
      </c>
      <c r="CV261" s="8">
        <f t="shared" si="189"/>
        <v>0</v>
      </c>
    </row>
    <row r="262" spans="1:100" ht="25.25" customHeight="1" thickTop="1" thickBot="1" x14ac:dyDescent="0.5">
      <c r="A262" s="32"/>
      <c r="B262" s="10"/>
      <c r="C262" s="10"/>
      <c r="D262" s="11"/>
      <c r="E262" s="10"/>
      <c r="F262" s="10"/>
      <c r="G262" s="19"/>
      <c r="H262" s="19"/>
      <c r="I262" s="19"/>
      <c r="J262" s="19"/>
      <c r="K262" s="10"/>
      <c r="L262" s="10"/>
      <c r="M262" s="10"/>
      <c r="N262" s="10"/>
      <c r="O262" s="18"/>
      <c r="P262" s="18"/>
      <c r="Q262" s="21"/>
      <c r="R262" s="20"/>
      <c r="S262" s="16">
        <f t="shared" si="191"/>
        <v>0</v>
      </c>
      <c r="T262" s="11"/>
      <c r="AR262" s="31"/>
      <c r="AS262" s="31">
        <f t="shared" si="192"/>
        <v>0</v>
      </c>
      <c r="AT262" s="31">
        <f t="shared" si="193"/>
        <v>0</v>
      </c>
      <c r="AU262" s="31">
        <f t="shared" si="194"/>
        <v>0</v>
      </c>
      <c r="AV262" s="31">
        <f t="shared" si="195"/>
        <v>0</v>
      </c>
      <c r="AW262" s="31">
        <f t="shared" si="196"/>
        <v>0</v>
      </c>
      <c r="AX262" s="31">
        <f t="shared" si="197"/>
        <v>0</v>
      </c>
      <c r="AY262" s="31">
        <f t="shared" si="198"/>
        <v>0</v>
      </c>
      <c r="AZ262" s="31">
        <f t="shared" si="199"/>
        <v>0</v>
      </c>
      <c r="BA262" s="31">
        <f t="shared" si="200"/>
        <v>0</v>
      </c>
      <c r="BB262" s="31">
        <f t="shared" si="229"/>
        <v>0</v>
      </c>
      <c r="BC262" s="31"/>
      <c r="BD262" s="31"/>
      <c r="BM262" s="8">
        <f t="shared" si="230"/>
        <v>0</v>
      </c>
      <c r="BN262" s="8">
        <f t="shared" si="201"/>
        <v>0</v>
      </c>
      <c r="BO262" s="8">
        <f t="shared" si="202"/>
        <v>0</v>
      </c>
      <c r="BQ262" s="8">
        <f t="shared" si="203"/>
        <v>0</v>
      </c>
      <c r="BR262" s="63">
        <f t="shared" si="204"/>
        <v>0</v>
      </c>
      <c r="BS262" s="63">
        <f t="shared" si="231"/>
        <v>0</v>
      </c>
      <c r="BT262" s="63">
        <f t="shared" si="205"/>
        <v>0</v>
      </c>
      <c r="BU262" s="63">
        <f t="shared" si="206"/>
        <v>0</v>
      </c>
      <c r="BV262" s="57">
        <f t="shared" si="207"/>
        <v>0</v>
      </c>
      <c r="BW262" s="57">
        <f t="shared" si="208"/>
        <v>0</v>
      </c>
      <c r="BX262" s="57">
        <f t="shared" si="232"/>
        <v>0</v>
      </c>
      <c r="BY262" s="57">
        <f t="shared" si="190"/>
        <v>0</v>
      </c>
      <c r="BZ262" s="8">
        <f t="shared" si="209"/>
        <v>0</v>
      </c>
      <c r="CA262" s="8">
        <f t="shared" si="210"/>
        <v>0</v>
      </c>
      <c r="CB262" s="8">
        <f t="shared" si="211"/>
        <v>0</v>
      </c>
      <c r="CC262" s="8">
        <f t="shared" si="212"/>
        <v>0</v>
      </c>
      <c r="CD262" s="8">
        <f t="shared" si="213"/>
        <v>0</v>
      </c>
      <c r="CE262" s="8">
        <f t="shared" si="214"/>
        <v>0</v>
      </c>
      <c r="CF262" s="8">
        <f t="shared" si="215"/>
        <v>0</v>
      </c>
      <c r="CG262" s="8">
        <f t="shared" si="216"/>
        <v>0</v>
      </c>
      <c r="CH262" s="8">
        <f t="shared" si="217"/>
        <v>0</v>
      </c>
      <c r="CI262" s="8">
        <f t="shared" si="218"/>
        <v>0</v>
      </c>
      <c r="CJ262" s="8">
        <f t="shared" si="219"/>
        <v>0</v>
      </c>
      <c r="CK262" s="8">
        <f t="shared" si="220"/>
        <v>0</v>
      </c>
      <c r="CL262" s="8">
        <f t="shared" si="221"/>
        <v>0</v>
      </c>
      <c r="CM262" s="8">
        <f t="shared" si="222"/>
        <v>0</v>
      </c>
      <c r="CN262" s="8">
        <f t="shared" si="223"/>
        <v>0</v>
      </c>
      <c r="CO262" s="8">
        <f t="shared" si="224"/>
        <v>0</v>
      </c>
      <c r="CP262" s="8">
        <f t="shared" si="225"/>
        <v>0</v>
      </c>
      <c r="CQ262" s="8">
        <f t="shared" si="226"/>
        <v>0</v>
      </c>
      <c r="CR262" s="8">
        <f t="shared" si="227"/>
        <v>0</v>
      </c>
      <c r="CS262" s="8">
        <f t="shared" si="228"/>
        <v>0</v>
      </c>
      <c r="CT262" s="8">
        <f t="shared" si="187"/>
        <v>0</v>
      </c>
      <c r="CU262" s="8">
        <f t="shared" si="188"/>
        <v>0</v>
      </c>
      <c r="CV262" s="8">
        <f t="shared" si="189"/>
        <v>0</v>
      </c>
    </row>
    <row r="263" spans="1:100" ht="25.25" customHeight="1" thickTop="1" thickBot="1" x14ac:dyDescent="0.5">
      <c r="A263" s="32"/>
      <c r="B263" s="10"/>
      <c r="C263" s="10"/>
      <c r="D263" s="11"/>
      <c r="E263" s="10"/>
      <c r="F263" s="10"/>
      <c r="G263" s="19"/>
      <c r="H263" s="19"/>
      <c r="I263" s="19"/>
      <c r="J263" s="19"/>
      <c r="K263" s="10"/>
      <c r="L263" s="10"/>
      <c r="M263" s="10"/>
      <c r="N263" s="10"/>
      <c r="O263" s="18"/>
      <c r="P263" s="18"/>
      <c r="Q263" s="21"/>
      <c r="R263" s="20"/>
      <c r="S263" s="16">
        <f t="shared" si="191"/>
        <v>0</v>
      </c>
      <c r="T263" s="11"/>
      <c r="AR263" s="31"/>
      <c r="AS263" s="31">
        <f t="shared" si="192"/>
        <v>0</v>
      </c>
      <c r="AT263" s="31">
        <f t="shared" si="193"/>
        <v>0</v>
      </c>
      <c r="AU263" s="31">
        <f t="shared" si="194"/>
        <v>0</v>
      </c>
      <c r="AV263" s="31">
        <f t="shared" si="195"/>
        <v>0</v>
      </c>
      <c r="AW263" s="31">
        <f t="shared" si="196"/>
        <v>0</v>
      </c>
      <c r="AX263" s="31">
        <f t="shared" si="197"/>
        <v>0</v>
      </c>
      <c r="AY263" s="31">
        <f t="shared" si="198"/>
        <v>0</v>
      </c>
      <c r="AZ263" s="31">
        <f t="shared" si="199"/>
        <v>0</v>
      </c>
      <c r="BA263" s="31">
        <f t="shared" si="200"/>
        <v>0</v>
      </c>
      <c r="BB263" s="31">
        <f t="shared" si="229"/>
        <v>0</v>
      </c>
      <c r="BC263" s="31"/>
      <c r="BD263" s="31"/>
      <c r="BM263" s="8">
        <f t="shared" si="230"/>
        <v>0</v>
      </c>
      <c r="BN263" s="8">
        <f t="shared" si="201"/>
        <v>0</v>
      </c>
      <c r="BO263" s="8">
        <f t="shared" si="202"/>
        <v>0</v>
      </c>
      <c r="BQ263" s="8">
        <f t="shared" si="203"/>
        <v>0</v>
      </c>
      <c r="BR263" s="63">
        <f t="shared" si="204"/>
        <v>0</v>
      </c>
      <c r="BS263" s="63">
        <f t="shared" si="231"/>
        <v>0</v>
      </c>
      <c r="BT263" s="63">
        <f t="shared" si="205"/>
        <v>0</v>
      </c>
      <c r="BU263" s="63">
        <f t="shared" si="206"/>
        <v>0</v>
      </c>
      <c r="BV263" s="57">
        <f t="shared" si="207"/>
        <v>0</v>
      </c>
      <c r="BW263" s="57">
        <f t="shared" si="208"/>
        <v>0</v>
      </c>
      <c r="BX263" s="57">
        <f t="shared" si="232"/>
        <v>0</v>
      </c>
      <c r="BY263" s="57">
        <f t="shared" si="190"/>
        <v>0</v>
      </c>
      <c r="BZ263" s="8">
        <f t="shared" si="209"/>
        <v>0</v>
      </c>
      <c r="CA263" s="8">
        <f t="shared" si="210"/>
        <v>0</v>
      </c>
      <c r="CB263" s="8">
        <f t="shared" si="211"/>
        <v>0</v>
      </c>
      <c r="CC263" s="8">
        <f t="shared" si="212"/>
        <v>0</v>
      </c>
      <c r="CD263" s="8">
        <f t="shared" si="213"/>
        <v>0</v>
      </c>
      <c r="CE263" s="8">
        <f t="shared" si="214"/>
        <v>0</v>
      </c>
      <c r="CF263" s="8">
        <f t="shared" si="215"/>
        <v>0</v>
      </c>
      <c r="CG263" s="8">
        <f t="shared" si="216"/>
        <v>0</v>
      </c>
      <c r="CH263" s="8">
        <f t="shared" si="217"/>
        <v>0</v>
      </c>
      <c r="CI263" s="8">
        <f t="shared" si="218"/>
        <v>0</v>
      </c>
      <c r="CJ263" s="8">
        <f t="shared" si="219"/>
        <v>0</v>
      </c>
      <c r="CK263" s="8">
        <f t="shared" si="220"/>
        <v>0</v>
      </c>
      <c r="CL263" s="8">
        <f t="shared" si="221"/>
        <v>0</v>
      </c>
      <c r="CM263" s="8">
        <f t="shared" si="222"/>
        <v>0</v>
      </c>
      <c r="CN263" s="8">
        <f t="shared" si="223"/>
        <v>0</v>
      </c>
      <c r="CO263" s="8">
        <f t="shared" si="224"/>
        <v>0</v>
      </c>
      <c r="CP263" s="8">
        <f t="shared" si="225"/>
        <v>0</v>
      </c>
      <c r="CQ263" s="8">
        <f t="shared" si="226"/>
        <v>0</v>
      </c>
      <c r="CR263" s="8">
        <f t="shared" si="227"/>
        <v>0</v>
      </c>
      <c r="CS263" s="8">
        <f t="shared" si="228"/>
        <v>0</v>
      </c>
      <c r="CT263" s="8">
        <f t="shared" si="187"/>
        <v>0</v>
      </c>
      <c r="CU263" s="8">
        <f t="shared" si="188"/>
        <v>0</v>
      </c>
      <c r="CV263" s="8">
        <f t="shared" si="189"/>
        <v>0</v>
      </c>
    </row>
    <row r="264" spans="1:100" ht="25.25" customHeight="1" thickTop="1" thickBot="1" x14ac:dyDescent="0.5">
      <c r="A264" s="32"/>
      <c r="B264" s="10"/>
      <c r="C264" s="10"/>
      <c r="D264" s="11"/>
      <c r="E264" s="10"/>
      <c r="F264" s="10"/>
      <c r="G264" s="19"/>
      <c r="H264" s="19"/>
      <c r="I264" s="19"/>
      <c r="J264" s="19"/>
      <c r="K264" s="10"/>
      <c r="L264" s="10"/>
      <c r="M264" s="10"/>
      <c r="N264" s="10"/>
      <c r="O264" s="18"/>
      <c r="P264" s="18"/>
      <c r="Q264" s="21"/>
      <c r="R264" s="20"/>
      <c r="S264" s="16">
        <f t="shared" si="191"/>
        <v>0</v>
      </c>
      <c r="T264" s="11"/>
      <c r="AR264" s="31"/>
      <c r="AS264" s="31">
        <f t="shared" si="192"/>
        <v>0</v>
      </c>
      <c r="AT264" s="31">
        <f t="shared" si="193"/>
        <v>0</v>
      </c>
      <c r="AU264" s="31">
        <f t="shared" si="194"/>
        <v>0</v>
      </c>
      <c r="AV264" s="31">
        <f t="shared" si="195"/>
        <v>0</v>
      </c>
      <c r="AW264" s="31">
        <f t="shared" si="196"/>
        <v>0</v>
      </c>
      <c r="AX264" s="31">
        <f t="shared" si="197"/>
        <v>0</v>
      </c>
      <c r="AY264" s="31">
        <f t="shared" si="198"/>
        <v>0</v>
      </c>
      <c r="AZ264" s="31">
        <f t="shared" si="199"/>
        <v>0</v>
      </c>
      <c r="BA264" s="31">
        <f t="shared" si="200"/>
        <v>0</v>
      </c>
      <c r="BB264" s="31">
        <f t="shared" si="229"/>
        <v>0</v>
      </c>
      <c r="BC264" s="31"/>
      <c r="BD264" s="31"/>
      <c r="BM264" s="8">
        <f t="shared" si="230"/>
        <v>0</v>
      </c>
      <c r="BN264" s="8">
        <f t="shared" si="201"/>
        <v>0</v>
      </c>
      <c r="BO264" s="8">
        <f t="shared" si="202"/>
        <v>0</v>
      </c>
      <c r="BQ264" s="8">
        <f t="shared" si="203"/>
        <v>0</v>
      </c>
      <c r="BR264" s="63">
        <f t="shared" si="204"/>
        <v>0</v>
      </c>
      <c r="BS264" s="63">
        <f t="shared" si="231"/>
        <v>0</v>
      </c>
      <c r="BT264" s="63">
        <f t="shared" si="205"/>
        <v>0</v>
      </c>
      <c r="BU264" s="63">
        <f t="shared" si="206"/>
        <v>0</v>
      </c>
      <c r="BV264" s="57">
        <f t="shared" si="207"/>
        <v>0</v>
      </c>
      <c r="BW264" s="57">
        <f t="shared" si="208"/>
        <v>0</v>
      </c>
      <c r="BX264" s="57">
        <f t="shared" si="232"/>
        <v>0</v>
      </c>
      <c r="BY264" s="57">
        <f t="shared" si="190"/>
        <v>0</v>
      </c>
      <c r="BZ264" s="8">
        <f t="shared" si="209"/>
        <v>0</v>
      </c>
      <c r="CA264" s="8">
        <f t="shared" si="210"/>
        <v>0</v>
      </c>
      <c r="CB264" s="8">
        <f t="shared" si="211"/>
        <v>0</v>
      </c>
      <c r="CC264" s="8">
        <f t="shared" si="212"/>
        <v>0</v>
      </c>
      <c r="CD264" s="8">
        <f t="shared" si="213"/>
        <v>0</v>
      </c>
      <c r="CE264" s="8">
        <f t="shared" si="214"/>
        <v>0</v>
      </c>
      <c r="CF264" s="8">
        <f t="shared" si="215"/>
        <v>0</v>
      </c>
      <c r="CG264" s="8">
        <f t="shared" si="216"/>
        <v>0</v>
      </c>
      <c r="CH264" s="8">
        <f t="shared" si="217"/>
        <v>0</v>
      </c>
      <c r="CI264" s="8">
        <f t="shared" si="218"/>
        <v>0</v>
      </c>
      <c r="CJ264" s="8">
        <f t="shared" si="219"/>
        <v>0</v>
      </c>
      <c r="CK264" s="8">
        <f t="shared" si="220"/>
        <v>0</v>
      </c>
      <c r="CL264" s="8">
        <f t="shared" si="221"/>
        <v>0</v>
      </c>
      <c r="CM264" s="8">
        <f t="shared" si="222"/>
        <v>0</v>
      </c>
      <c r="CN264" s="8">
        <f t="shared" si="223"/>
        <v>0</v>
      </c>
      <c r="CO264" s="8">
        <f t="shared" si="224"/>
        <v>0</v>
      </c>
      <c r="CP264" s="8">
        <f t="shared" si="225"/>
        <v>0</v>
      </c>
      <c r="CQ264" s="8">
        <f t="shared" si="226"/>
        <v>0</v>
      </c>
      <c r="CR264" s="8">
        <f t="shared" si="227"/>
        <v>0</v>
      </c>
      <c r="CS264" s="8">
        <f t="shared" si="228"/>
        <v>0</v>
      </c>
      <c r="CT264" s="8">
        <f t="shared" si="187"/>
        <v>0</v>
      </c>
      <c r="CU264" s="8">
        <f t="shared" si="188"/>
        <v>0</v>
      </c>
      <c r="CV264" s="8">
        <f t="shared" si="189"/>
        <v>0</v>
      </c>
    </row>
    <row r="265" spans="1:100" ht="25.25" customHeight="1" thickTop="1" thickBot="1" x14ac:dyDescent="0.5">
      <c r="A265" s="32"/>
      <c r="B265" s="10"/>
      <c r="C265" s="10"/>
      <c r="D265" s="11"/>
      <c r="E265" s="10"/>
      <c r="F265" s="10"/>
      <c r="G265" s="19"/>
      <c r="H265" s="19"/>
      <c r="I265" s="19"/>
      <c r="J265" s="19"/>
      <c r="K265" s="10"/>
      <c r="L265" s="10"/>
      <c r="M265" s="10"/>
      <c r="N265" s="10"/>
      <c r="O265" s="18"/>
      <c r="P265" s="18"/>
      <c r="Q265" s="21"/>
      <c r="R265" s="20"/>
      <c r="S265" s="16">
        <f t="shared" si="191"/>
        <v>0</v>
      </c>
      <c r="T265" s="11"/>
      <c r="AR265" s="31"/>
      <c r="AS265" s="31">
        <f t="shared" si="192"/>
        <v>0</v>
      </c>
      <c r="AT265" s="31">
        <f t="shared" si="193"/>
        <v>0</v>
      </c>
      <c r="AU265" s="31">
        <f t="shared" si="194"/>
        <v>0</v>
      </c>
      <c r="AV265" s="31">
        <f t="shared" si="195"/>
        <v>0</v>
      </c>
      <c r="AW265" s="31">
        <f t="shared" si="196"/>
        <v>0</v>
      </c>
      <c r="AX265" s="31">
        <f t="shared" si="197"/>
        <v>0</v>
      </c>
      <c r="AY265" s="31">
        <f t="shared" si="198"/>
        <v>0</v>
      </c>
      <c r="AZ265" s="31">
        <f t="shared" si="199"/>
        <v>0</v>
      </c>
      <c r="BA265" s="31">
        <f t="shared" si="200"/>
        <v>0</v>
      </c>
      <c r="BB265" s="31">
        <f t="shared" si="229"/>
        <v>0</v>
      </c>
      <c r="BC265" s="31"/>
      <c r="BD265" s="31"/>
      <c r="BM265" s="8">
        <f t="shared" si="230"/>
        <v>0</v>
      </c>
      <c r="BN265" s="8">
        <f t="shared" si="201"/>
        <v>0</v>
      </c>
      <c r="BO265" s="8">
        <f t="shared" si="202"/>
        <v>0</v>
      </c>
      <c r="BQ265" s="8">
        <f t="shared" si="203"/>
        <v>0</v>
      </c>
      <c r="BR265" s="63">
        <f t="shared" si="204"/>
        <v>0</v>
      </c>
      <c r="BS265" s="63">
        <f t="shared" si="231"/>
        <v>0</v>
      </c>
      <c r="BT265" s="63">
        <f t="shared" si="205"/>
        <v>0</v>
      </c>
      <c r="BU265" s="63">
        <f t="shared" si="206"/>
        <v>0</v>
      </c>
      <c r="BV265" s="57">
        <f t="shared" si="207"/>
        <v>0</v>
      </c>
      <c r="BW265" s="57">
        <f t="shared" si="208"/>
        <v>0</v>
      </c>
      <c r="BX265" s="57">
        <f t="shared" si="232"/>
        <v>0</v>
      </c>
      <c r="BY265" s="57">
        <f t="shared" si="190"/>
        <v>0</v>
      </c>
      <c r="BZ265" s="8">
        <f t="shared" si="209"/>
        <v>0</v>
      </c>
      <c r="CA265" s="8">
        <f t="shared" si="210"/>
        <v>0</v>
      </c>
      <c r="CB265" s="8">
        <f t="shared" si="211"/>
        <v>0</v>
      </c>
      <c r="CC265" s="8">
        <f t="shared" si="212"/>
        <v>0</v>
      </c>
      <c r="CD265" s="8">
        <f t="shared" si="213"/>
        <v>0</v>
      </c>
      <c r="CE265" s="8">
        <f t="shared" si="214"/>
        <v>0</v>
      </c>
      <c r="CF265" s="8">
        <f t="shared" si="215"/>
        <v>0</v>
      </c>
      <c r="CG265" s="8">
        <f t="shared" si="216"/>
        <v>0</v>
      </c>
      <c r="CH265" s="8">
        <f t="shared" si="217"/>
        <v>0</v>
      </c>
      <c r="CI265" s="8">
        <f t="shared" si="218"/>
        <v>0</v>
      </c>
      <c r="CJ265" s="8">
        <f t="shared" si="219"/>
        <v>0</v>
      </c>
      <c r="CK265" s="8">
        <f t="shared" si="220"/>
        <v>0</v>
      </c>
      <c r="CL265" s="8">
        <f t="shared" si="221"/>
        <v>0</v>
      </c>
      <c r="CM265" s="8">
        <f t="shared" si="222"/>
        <v>0</v>
      </c>
      <c r="CN265" s="8">
        <f t="shared" si="223"/>
        <v>0</v>
      </c>
      <c r="CO265" s="8">
        <f t="shared" si="224"/>
        <v>0</v>
      </c>
      <c r="CP265" s="8">
        <f t="shared" si="225"/>
        <v>0</v>
      </c>
      <c r="CQ265" s="8">
        <f t="shared" si="226"/>
        <v>0</v>
      </c>
      <c r="CR265" s="8">
        <f t="shared" si="227"/>
        <v>0</v>
      </c>
      <c r="CS265" s="8">
        <f t="shared" si="228"/>
        <v>0</v>
      </c>
      <c r="CT265" s="8">
        <f t="shared" si="187"/>
        <v>0</v>
      </c>
      <c r="CU265" s="8">
        <f t="shared" si="188"/>
        <v>0</v>
      </c>
      <c r="CV265" s="8">
        <f t="shared" si="189"/>
        <v>0</v>
      </c>
    </row>
    <row r="266" spans="1:100" ht="25.25" customHeight="1" thickTop="1" thickBot="1" x14ac:dyDescent="0.5">
      <c r="A266" s="32"/>
      <c r="B266" s="10"/>
      <c r="C266" s="10"/>
      <c r="D266" s="11"/>
      <c r="E266" s="10"/>
      <c r="F266" s="10"/>
      <c r="G266" s="19"/>
      <c r="H266" s="19"/>
      <c r="I266" s="19"/>
      <c r="J266" s="19"/>
      <c r="K266" s="10"/>
      <c r="L266" s="10"/>
      <c r="M266" s="10"/>
      <c r="N266" s="10"/>
      <c r="O266" s="18"/>
      <c r="P266" s="18"/>
      <c r="Q266" s="21"/>
      <c r="R266" s="20"/>
      <c r="S266" s="16">
        <f t="shared" si="191"/>
        <v>0</v>
      </c>
      <c r="T266" s="11"/>
      <c r="AR266" s="31"/>
      <c r="AS266" s="31">
        <f t="shared" si="192"/>
        <v>0</v>
      </c>
      <c r="AT266" s="31">
        <f t="shared" si="193"/>
        <v>0</v>
      </c>
      <c r="AU266" s="31">
        <f t="shared" si="194"/>
        <v>0</v>
      </c>
      <c r="AV266" s="31">
        <f t="shared" si="195"/>
        <v>0</v>
      </c>
      <c r="AW266" s="31">
        <f t="shared" si="196"/>
        <v>0</v>
      </c>
      <c r="AX266" s="31">
        <f t="shared" si="197"/>
        <v>0</v>
      </c>
      <c r="AY266" s="31">
        <f t="shared" si="198"/>
        <v>0</v>
      </c>
      <c r="AZ266" s="31">
        <f t="shared" si="199"/>
        <v>0</v>
      </c>
      <c r="BA266" s="31">
        <f t="shared" si="200"/>
        <v>0</v>
      </c>
      <c r="BB266" s="31">
        <f t="shared" si="229"/>
        <v>0</v>
      </c>
      <c r="BC266" s="31"/>
      <c r="BD266" s="31"/>
      <c r="BM266" s="8">
        <f t="shared" si="230"/>
        <v>0</v>
      </c>
      <c r="BN266" s="8">
        <f t="shared" si="201"/>
        <v>0</v>
      </c>
      <c r="BO266" s="8">
        <f t="shared" si="202"/>
        <v>0</v>
      </c>
      <c r="BQ266" s="8">
        <f t="shared" si="203"/>
        <v>0</v>
      </c>
      <c r="BR266" s="63">
        <f t="shared" si="204"/>
        <v>0</v>
      </c>
      <c r="BS266" s="63">
        <f t="shared" si="231"/>
        <v>0</v>
      </c>
      <c r="BT266" s="63">
        <f t="shared" si="205"/>
        <v>0</v>
      </c>
      <c r="BU266" s="63">
        <f t="shared" si="206"/>
        <v>0</v>
      </c>
      <c r="BV266" s="57">
        <f t="shared" si="207"/>
        <v>0</v>
      </c>
      <c r="BW266" s="57">
        <f t="shared" si="208"/>
        <v>0</v>
      </c>
      <c r="BX266" s="57">
        <f t="shared" si="232"/>
        <v>0</v>
      </c>
      <c r="BY266" s="57">
        <f t="shared" si="190"/>
        <v>0</v>
      </c>
      <c r="BZ266" s="8">
        <f t="shared" si="209"/>
        <v>0</v>
      </c>
      <c r="CA266" s="8">
        <f t="shared" si="210"/>
        <v>0</v>
      </c>
      <c r="CB266" s="8">
        <f t="shared" si="211"/>
        <v>0</v>
      </c>
      <c r="CC266" s="8">
        <f t="shared" si="212"/>
        <v>0</v>
      </c>
      <c r="CD266" s="8">
        <f t="shared" si="213"/>
        <v>0</v>
      </c>
      <c r="CE266" s="8">
        <f t="shared" si="214"/>
        <v>0</v>
      </c>
      <c r="CF266" s="8">
        <f t="shared" si="215"/>
        <v>0</v>
      </c>
      <c r="CG266" s="8">
        <f t="shared" si="216"/>
        <v>0</v>
      </c>
      <c r="CH266" s="8">
        <f t="shared" si="217"/>
        <v>0</v>
      </c>
      <c r="CI266" s="8">
        <f t="shared" si="218"/>
        <v>0</v>
      </c>
      <c r="CJ266" s="8">
        <f t="shared" si="219"/>
        <v>0</v>
      </c>
      <c r="CK266" s="8">
        <f t="shared" si="220"/>
        <v>0</v>
      </c>
      <c r="CL266" s="8">
        <f t="shared" si="221"/>
        <v>0</v>
      </c>
      <c r="CM266" s="8">
        <f t="shared" si="222"/>
        <v>0</v>
      </c>
      <c r="CN266" s="8">
        <f t="shared" si="223"/>
        <v>0</v>
      </c>
      <c r="CO266" s="8">
        <f t="shared" si="224"/>
        <v>0</v>
      </c>
      <c r="CP266" s="8">
        <f t="shared" si="225"/>
        <v>0</v>
      </c>
      <c r="CQ266" s="8">
        <f t="shared" si="226"/>
        <v>0</v>
      </c>
      <c r="CR266" s="8">
        <f t="shared" si="227"/>
        <v>0</v>
      </c>
      <c r="CS266" s="8">
        <f t="shared" si="228"/>
        <v>0</v>
      </c>
      <c r="CT266" s="8">
        <f t="shared" si="187"/>
        <v>0</v>
      </c>
      <c r="CU266" s="8">
        <f t="shared" si="188"/>
        <v>0</v>
      </c>
      <c r="CV266" s="8">
        <f t="shared" si="189"/>
        <v>0</v>
      </c>
    </row>
    <row r="267" spans="1:100" ht="25.25" customHeight="1" thickTop="1" thickBot="1" x14ac:dyDescent="0.5">
      <c r="A267" s="32"/>
      <c r="B267" s="10"/>
      <c r="C267" s="10"/>
      <c r="D267" s="11"/>
      <c r="E267" s="10"/>
      <c r="F267" s="10"/>
      <c r="G267" s="19"/>
      <c r="H267" s="19"/>
      <c r="I267" s="19"/>
      <c r="J267" s="19"/>
      <c r="K267" s="10"/>
      <c r="L267" s="10"/>
      <c r="M267" s="10"/>
      <c r="N267" s="10"/>
      <c r="O267" s="18"/>
      <c r="P267" s="18"/>
      <c r="Q267" s="21"/>
      <c r="R267" s="20"/>
      <c r="S267" s="16">
        <f t="shared" si="191"/>
        <v>0</v>
      </c>
      <c r="T267" s="11"/>
      <c r="AR267" s="31"/>
      <c r="AS267" s="31">
        <f t="shared" si="192"/>
        <v>0</v>
      </c>
      <c r="AT267" s="31">
        <f t="shared" si="193"/>
        <v>0</v>
      </c>
      <c r="AU267" s="31">
        <f t="shared" si="194"/>
        <v>0</v>
      </c>
      <c r="AV267" s="31">
        <f t="shared" si="195"/>
        <v>0</v>
      </c>
      <c r="AW267" s="31">
        <f t="shared" si="196"/>
        <v>0</v>
      </c>
      <c r="AX267" s="31">
        <f t="shared" si="197"/>
        <v>0</v>
      </c>
      <c r="AY267" s="31">
        <f t="shared" si="198"/>
        <v>0</v>
      </c>
      <c r="AZ267" s="31">
        <f t="shared" si="199"/>
        <v>0</v>
      </c>
      <c r="BA267" s="31">
        <f t="shared" si="200"/>
        <v>0</v>
      </c>
      <c r="BB267" s="31">
        <f t="shared" si="229"/>
        <v>0</v>
      </c>
      <c r="BC267" s="31"/>
      <c r="BD267" s="31"/>
      <c r="BM267" s="8">
        <f t="shared" si="230"/>
        <v>0</v>
      </c>
      <c r="BN267" s="8">
        <f t="shared" si="201"/>
        <v>0</v>
      </c>
      <c r="BO267" s="8">
        <f t="shared" si="202"/>
        <v>0</v>
      </c>
      <c r="BQ267" s="8">
        <f t="shared" si="203"/>
        <v>0</v>
      </c>
      <c r="BR267" s="63">
        <f t="shared" si="204"/>
        <v>0</v>
      </c>
      <c r="BS267" s="63">
        <f t="shared" si="231"/>
        <v>0</v>
      </c>
      <c r="BT267" s="63">
        <f t="shared" si="205"/>
        <v>0</v>
      </c>
      <c r="BU267" s="63">
        <f t="shared" si="206"/>
        <v>0</v>
      </c>
      <c r="BV267" s="57">
        <f t="shared" si="207"/>
        <v>0</v>
      </c>
      <c r="BW267" s="57">
        <f t="shared" si="208"/>
        <v>0</v>
      </c>
      <c r="BX267" s="57">
        <f t="shared" si="232"/>
        <v>0</v>
      </c>
      <c r="BY267" s="57">
        <f t="shared" si="190"/>
        <v>0</v>
      </c>
      <c r="BZ267" s="8">
        <f t="shared" si="209"/>
        <v>0</v>
      </c>
      <c r="CA267" s="8">
        <f t="shared" si="210"/>
        <v>0</v>
      </c>
      <c r="CB267" s="8">
        <f t="shared" si="211"/>
        <v>0</v>
      </c>
      <c r="CC267" s="8">
        <f t="shared" si="212"/>
        <v>0</v>
      </c>
      <c r="CD267" s="8">
        <f t="shared" si="213"/>
        <v>0</v>
      </c>
      <c r="CE267" s="8">
        <f t="shared" si="214"/>
        <v>0</v>
      </c>
      <c r="CF267" s="8">
        <f t="shared" si="215"/>
        <v>0</v>
      </c>
      <c r="CG267" s="8">
        <f t="shared" si="216"/>
        <v>0</v>
      </c>
      <c r="CH267" s="8">
        <f t="shared" si="217"/>
        <v>0</v>
      </c>
      <c r="CI267" s="8">
        <f t="shared" si="218"/>
        <v>0</v>
      </c>
      <c r="CJ267" s="8">
        <f t="shared" si="219"/>
        <v>0</v>
      </c>
      <c r="CK267" s="8">
        <f t="shared" si="220"/>
        <v>0</v>
      </c>
      <c r="CL267" s="8">
        <f t="shared" si="221"/>
        <v>0</v>
      </c>
      <c r="CM267" s="8">
        <f t="shared" si="222"/>
        <v>0</v>
      </c>
      <c r="CN267" s="8">
        <f t="shared" si="223"/>
        <v>0</v>
      </c>
      <c r="CO267" s="8">
        <f t="shared" si="224"/>
        <v>0</v>
      </c>
      <c r="CP267" s="8">
        <f t="shared" si="225"/>
        <v>0</v>
      </c>
      <c r="CQ267" s="8">
        <f t="shared" si="226"/>
        <v>0</v>
      </c>
      <c r="CR267" s="8">
        <f t="shared" si="227"/>
        <v>0</v>
      </c>
      <c r="CS267" s="8">
        <f t="shared" si="228"/>
        <v>0</v>
      </c>
      <c r="CT267" s="8">
        <f t="shared" si="187"/>
        <v>0</v>
      </c>
      <c r="CU267" s="8">
        <f t="shared" si="188"/>
        <v>0</v>
      </c>
      <c r="CV267" s="8">
        <f t="shared" si="189"/>
        <v>0</v>
      </c>
    </row>
    <row r="268" spans="1:100" ht="25.25" customHeight="1" thickTop="1" thickBot="1" x14ac:dyDescent="0.5">
      <c r="A268" s="32"/>
      <c r="B268" s="10"/>
      <c r="C268" s="10"/>
      <c r="D268" s="11"/>
      <c r="E268" s="10"/>
      <c r="F268" s="10"/>
      <c r="G268" s="19"/>
      <c r="H268" s="19"/>
      <c r="I268" s="19"/>
      <c r="J268" s="19"/>
      <c r="K268" s="10"/>
      <c r="L268" s="10"/>
      <c r="M268" s="10"/>
      <c r="N268" s="10"/>
      <c r="O268" s="18"/>
      <c r="P268" s="18"/>
      <c r="Q268" s="21"/>
      <c r="R268" s="20"/>
      <c r="S268" s="16">
        <f t="shared" si="191"/>
        <v>0</v>
      </c>
      <c r="T268" s="11"/>
      <c r="AR268" s="31"/>
      <c r="AS268" s="31">
        <f t="shared" si="192"/>
        <v>0</v>
      </c>
      <c r="AT268" s="31">
        <f t="shared" si="193"/>
        <v>0</v>
      </c>
      <c r="AU268" s="31">
        <f t="shared" si="194"/>
        <v>0</v>
      </c>
      <c r="AV268" s="31">
        <f t="shared" si="195"/>
        <v>0</v>
      </c>
      <c r="AW268" s="31">
        <f t="shared" si="196"/>
        <v>0</v>
      </c>
      <c r="AX268" s="31">
        <f t="shared" si="197"/>
        <v>0</v>
      </c>
      <c r="AY268" s="31">
        <f t="shared" si="198"/>
        <v>0</v>
      </c>
      <c r="AZ268" s="31">
        <f t="shared" si="199"/>
        <v>0</v>
      </c>
      <c r="BA268" s="31">
        <f t="shared" si="200"/>
        <v>0</v>
      </c>
      <c r="BB268" s="31">
        <f t="shared" si="229"/>
        <v>0</v>
      </c>
      <c r="BC268" s="31"/>
      <c r="BD268" s="31"/>
      <c r="BM268" s="8">
        <f t="shared" si="230"/>
        <v>0</v>
      </c>
      <c r="BN268" s="8">
        <f t="shared" si="201"/>
        <v>0</v>
      </c>
      <c r="BO268" s="8">
        <f t="shared" si="202"/>
        <v>0</v>
      </c>
      <c r="BQ268" s="8">
        <f t="shared" si="203"/>
        <v>0</v>
      </c>
      <c r="BR268" s="63">
        <f t="shared" si="204"/>
        <v>0</v>
      </c>
      <c r="BS268" s="63">
        <f t="shared" si="231"/>
        <v>0</v>
      </c>
      <c r="BT268" s="63">
        <f t="shared" si="205"/>
        <v>0</v>
      </c>
      <c r="BU268" s="63">
        <f t="shared" si="206"/>
        <v>0</v>
      </c>
      <c r="BV268" s="57">
        <f t="shared" si="207"/>
        <v>0</v>
      </c>
      <c r="BW268" s="57">
        <f t="shared" si="208"/>
        <v>0</v>
      </c>
      <c r="BX268" s="57">
        <f t="shared" si="232"/>
        <v>0</v>
      </c>
      <c r="BY268" s="57">
        <f t="shared" si="190"/>
        <v>0</v>
      </c>
      <c r="BZ268" s="8">
        <f t="shared" si="209"/>
        <v>0</v>
      </c>
      <c r="CA268" s="8">
        <f t="shared" si="210"/>
        <v>0</v>
      </c>
      <c r="CB268" s="8">
        <f t="shared" si="211"/>
        <v>0</v>
      </c>
      <c r="CC268" s="8">
        <f t="shared" si="212"/>
        <v>0</v>
      </c>
      <c r="CD268" s="8">
        <f t="shared" si="213"/>
        <v>0</v>
      </c>
      <c r="CE268" s="8">
        <f t="shared" si="214"/>
        <v>0</v>
      </c>
      <c r="CF268" s="8">
        <f t="shared" si="215"/>
        <v>0</v>
      </c>
      <c r="CG268" s="8">
        <f t="shared" si="216"/>
        <v>0</v>
      </c>
      <c r="CH268" s="8">
        <f t="shared" si="217"/>
        <v>0</v>
      </c>
      <c r="CI268" s="8">
        <f t="shared" si="218"/>
        <v>0</v>
      </c>
      <c r="CJ268" s="8">
        <f t="shared" si="219"/>
        <v>0</v>
      </c>
      <c r="CK268" s="8">
        <f t="shared" si="220"/>
        <v>0</v>
      </c>
      <c r="CL268" s="8">
        <f t="shared" si="221"/>
        <v>0</v>
      </c>
      <c r="CM268" s="8">
        <f t="shared" si="222"/>
        <v>0</v>
      </c>
      <c r="CN268" s="8">
        <f t="shared" si="223"/>
        <v>0</v>
      </c>
      <c r="CO268" s="8">
        <f t="shared" si="224"/>
        <v>0</v>
      </c>
      <c r="CP268" s="8">
        <f t="shared" si="225"/>
        <v>0</v>
      </c>
      <c r="CQ268" s="8">
        <f t="shared" si="226"/>
        <v>0</v>
      </c>
      <c r="CR268" s="8">
        <f t="shared" si="227"/>
        <v>0</v>
      </c>
      <c r="CS268" s="8">
        <f t="shared" si="228"/>
        <v>0</v>
      </c>
      <c r="CT268" s="8">
        <f t="shared" si="187"/>
        <v>0</v>
      </c>
      <c r="CU268" s="8">
        <f t="shared" si="188"/>
        <v>0</v>
      </c>
      <c r="CV268" s="8">
        <f t="shared" si="189"/>
        <v>0</v>
      </c>
    </row>
    <row r="269" spans="1:100" ht="25.25" customHeight="1" thickTop="1" thickBot="1" x14ac:dyDescent="0.5">
      <c r="A269" s="32"/>
      <c r="B269" s="10"/>
      <c r="C269" s="10"/>
      <c r="D269" s="11"/>
      <c r="E269" s="10"/>
      <c r="F269" s="10"/>
      <c r="G269" s="19"/>
      <c r="H269" s="19"/>
      <c r="I269" s="19"/>
      <c r="J269" s="19"/>
      <c r="K269" s="10"/>
      <c r="L269" s="10"/>
      <c r="M269" s="10"/>
      <c r="N269" s="10"/>
      <c r="O269" s="18"/>
      <c r="P269" s="18"/>
      <c r="Q269" s="21"/>
      <c r="R269" s="20"/>
      <c r="S269" s="16">
        <f t="shared" si="191"/>
        <v>0</v>
      </c>
      <c r="T269" s="11"/>
      <c r="AR269" s="31"/>
      <c r="AS269" s="31">
        <f t="shared" si="192"/>
        <v>0</v>
      </c>
      <c r="AT269" s="31">
        <f t="shared" si="193"/>
        <v>0</v>
      </c>
      <c r="AU269" s="31">
        <f t="shared" si="194"/>
        <v>0</v>
      </c>
      <c r="AV269" s="31">
        <f t="shared" si="195"/>
        <v>0</v>
      </c>
      <c r="AW269" s="31">
        <f t="shared" si="196"/>
        <v>0</v>
      </c>
      <c r="AX269" s="31">
        <f t="shared" si="197"/>
        <v>0</v>
      </c>
      <c r="AY269" s="31">
        <f t="shared" si="198"/>
        <v>0</v>
      </c>
      <c r="AZ269" s="31">
        <f t="shared" si="199"/>
        <v>0</v>
      </c>
      <c r="BA269" s="31">
        <f t="shared" si="200"/>
        <v>0</v>
      </c>
      <c r="BB269" s="31">
        <f t="shared" si="229"/>
        <v>0</v>
      </c>
      <c r="BC269" s="31"/>
      <c r="BD269" s="31"/>
      <c r="BM269" s="8">
        <f t="shared" si="230"/>
        <v>0</v>
      </c>
      <c r="BN269" s="8">
        <f t="shared" si="201"/>
        <v>0</v>
      </c>
      <c r="BO269" s="8">
        <f t="shared" si="202"/>
        <v>0</v>
      </c>
      <c r="BQ269" s="8">
        <f t="shared" si="203"/>
        <v>0</v>
      </c>
      <c r="BR269" s="63">
        <f t="shared" si="204"/>
        <v>0</v>
      </c>
      <c r="BS269" s="63">
        <f t="shared" si="231"/>
        <v>0</v>
      </c>
      <c r="BT269" s="63">
        <f t="shared" si="205"/>
        <v>0</v>
      </c>
      <c r="BU269" s="63">
        <f t="shared" si="206"/>
        <v>0</v>
      </c>
      <c r="BV269" s="57">
        <f t="shared" si="207"/>
        <v>0</v>
      </c>
      <c r="BW269" s="57">
        <f t="shared" si="208"/>
        <v>0</v>
      </c>
      <c r="BX269" s="57">
        <f t="shared" si="232"/>
        <v>0</v>
      </c>
      <c r="BY269" s="57">
        <f t="shared" si="190"/>
        <v>0</v>
      </c>
      <c r="BZ269" s="8">
        <f t="shared" si="209"/>
        <v>0</v>
      </c>
      <c r="CA269" s="8">
        <f t="shared" si="210"/>
        <v>0</v>
      </c>
      <c r="CB269" s="8">
        <f t="shared" si="211"/>
        <v>0</v>
      </c>
      <c r="CC269" s="8">
        <f t="shared" si="212"/>
        <v>0</v>
      </c>
      <c r="CD269" s="8">
        <f t="shared" si="213"/>
        <v>0</v>
      </c>
      <c r="CE269" s="8">
        <f t="shared" si="214"/>
        <v>0</v>
      </c>
      <c r="CF269" s="8">
        <f t="shared" si="215"/>
        <v>0</v>
      </c>
      <c r="CG269" s="8">
        <f t="shared" si="216"/>
        <v>0</v>
      </c>
      <c r="CH269" s="8">
        <f t="shared" si="217"/>
        <v>0</v>
      </c>
      <c r="CI269" s="8">
        <f t="shared" si="218"/>
        <v>0</v>
      </c>
      <c r="CJ269" s="8">
        <f t="shared" si="219"/>
        <v>0</v>
      </c>
      <c r="CK269" s="8">
        <f t="shared" si="220"/>
        <v>0</v>
      </c>
      <c r="CL269" s="8">
        <f t="shared" si="221"/>
        <v>0</v>
      </c>
      <c r="CM269" s="8">
        <f t="shared" si="222"/>
        <v>0</v>
      </c>
      <c r="CN269" s="8">
        <f t="shared" si="223"/>
        <v>0</v>
      </c>
      <c r="CO269" s="8">
        <f t="shared" si="224"/>
        <v>0</v>
      </c>
      <c r="CP269" s="8">
        <f t="shared" si="225"/>
        <v>0</v>
      </c>
      <c r="CQ269" s="8">
        <f t="shared" si="226"/>
        <v>0</v>
      </c>
      <c r="CR269" s="8">
        <f t="shared" si="227"/>
        <v>0</v>
      </c>
      <c r="CS269" s="8">
        <f t="shared" si="228"/>
        <v>0</v>
      </c>
      <c r="CT269" s="8">
        <f t="shared" ref="CT269:CT332" si="233">IF(AND(J269&gt;0,OR(B269="MB",B269="new MB")),J269,0)*4+IF(AND(J269&gt;0,OR(C269="MB",C269="new MB")),J269,0)*4</f>
        <v>0</v>
      </c>
      <c r="CU269" s="8">
        <f t="shared" ref="CU269:CU332" si="234">IF(AND(I269&gt;0,OR(B269="MB",B269="new MB")),I269,0)*4+IF(AND(I269&gt;0,OR(C269="MB",C269="new MB")),I269,0)*4</f>
        <v>0</v>
      </c>
      <c r="CV269" s="8">
        <f t="shared" ref="CV269:CV332" si="235">IF(AND(H269&gt;0,OR(B269="MB",B269="new MB")),H269,0)*4+IF(AND(H269&gt;0,OR(C269="MB",C269="new MB")),H269,0)*4</f>
        <v>0</v>
      </c>
    </row>
    <row r="270" spans="1:100" ht="25.25" customHeight="1" thickTop="1" thickBot="1" x14ac:dyDescent="0.5">
      <c r="A270" s="32"/>
      <c r="B270" s="10"/>
      <c r="C270" s="10"/>
      <c r="D270" s="11"/>
      <c r="E270" s="10"/>
      <c r="F270" s="10"/>
      <c r="G270" s="19"/>
      <c r="H270" s="19"/>
      <c r="I270" s="19"/>
      <c r="J270" s="19"/>
      <c r="K270" s="10"/>
      <c r="L270" s="10"/>
      <c r="M270" s="10"/>
      <c r="N270" s="10"/>
      <c r="O270" s="18"/>
      <c r="P270" s="18"/>
      <c r="Q270" s="21"/>
      <c r="R270" s="20"/>
      <c r="S270" s="16">
        <f t="shared" si="191"/>
        <v>0</v>
      </c>
      <c r="T270" s="11"/>
      <c r="AS270" s="31">
        <f t="shared" si="192"/>
        <v>0</v>
      </c>
      <c r="AT270" s="31">
        <f t="shared" si="193"/>
        <v>0</v>
      </c>
      <c r="AU270" s="31">
        <f t="shared" si="194"/>
        <v>0</v>
      </c>
      <c r="AV270" s="31">
        <f t="shared" si="195"/>
        <v>0</v>
      </c>
      <c r="AW270" s="31">
        <f t="shared" si="196"/>
        <v>0</v>
      </c>
      <c r="AX270" s="31">
        <f t="shared" si="197"/>
        <v>0</v>
      </c>
      <c r="AY270" s="31">
        <f t="shared" si="198"/>
        <v>0</v>
      </c>
      <c r="AZ270" s="31">
        <f t="shared" si="199"/>
        <v>0</v>
      </c>
      <c r="BA270" s="31">
        <f t="shared" si="200"/>
        <v>0</v>
      </c>
      <c r="BB270" s="31">
        <f t="shared" si="229"/>
        <v>0</v>
      </c>
      <c r="BC270" s="31"/>
      <c r="BD270" s="31"/>
      <c r="BM270" s="8">
        <f t="shared" si="230"/>
        <v>0</v>
      </c>
      <c r="BN270" s="8">
        <f t="shared" si="201"/>
        <v>0</v>
      </c>
      <c r="BO270" s="8">
        <f t="shared" si="202"/>
        <v>0</v>
      </c>
      <c r="BQ270" s="8">
        <f t="shared" si="203"/>
        <v>0</v>
      </c>
      <c r="BR270" s="63">
        <f t="shared" si="204"/>
        <v>0</v>
      </c>
      <c r="BS270" s="63">
        <f t="shared" si="231"/>
        <v>0</v>
      </c>
      <c r="BT270" s="63">
        <f t="shared" si="205"/>
        <v>0</v>
      </c>
      <c r="BU270" s="63">
        <f t="shared" si="206"/>
        <v>0</v>
      </c>
      <c r="BV270" s="57">
        <f t="shared" si="207"/>
        <v>0</v>
      </c>
      <c r="BW270" s="57">
        <f t="shared" si="208"/>
        <v>0</v>
      </c>
      <c r="BX270" s="57">
        <f t="shared" si="232"/>
        <v>0</v>
      </c>
      <c r="BY270" s="57">
        <f t="shared" si="190"/>
        <v>0</v>
      </c>
      <c r="BZ270" s="8">
        <f t="shared" si="209"/>
        <v>0</v>
      </c>
      <c r="CA270" s="8">
        <f t="shared" si="210"/>
        <v>0</v>
      </c>
      <c r="CB270" s="8">
        <f t="shared" si="211"/>
        <v>0</v>
      </c>
      <c r="CC270" s="8">
        <f t="shared" si="212"/>
        <v>0</v>
      </c>
      <c r="CD270" s="8">
        <f t="shared" si="213"/>
        <v>0</v>
      </c>
      <c r="CE270" s="8">
        <f t="shared" si="214"/>
        <v>0</v>
      </c>
      <c r="CF270" s="8">
        <f t="shared" si="215"/>
        <v>0</v>
      </c>
      <c r="CG270" s="8">
        <f t="shared" si="216"/>
        <v>0</v>
      </c>
      <c r="CH270" s="8">
        <f t="shared" si="217"/>
        <v>0</v>
      </c>
      <c r="CI270" s="8">
        <f t="shared" si="218"/>
        <v>0</v>
      </c>
      <c r="CJ270" s="8">
        <f t="shared" si="219"/>
        <v>0</v>
      </c>
      <c r="CK270" s="8">
        <f t="shared" si="220"/>
        <v>0</v>
      </c>
      <c r="CL270" s="8">
        <f t="shared" si="221"/>
        <v>0</v>
      </c>
      <c r="CM270" s="8">
        <f t="shared" si="222"/>
        <v>0</v>
      </c>
      <c r="CN270" s="8">
        <f t="shared" si="223"/>
        <v>0</v>
      </c>
      <c r="CO270" s="8">
        <f t="shared" si="224"/>
        <v>0</v>
      </c>
      <c r="CP270" s="8">
        <f t="shared" si="225"/>
        <v>0</v>
      </c>
      <c r="CQ270" s="8">
        <f t="shared" si="226"/>
        <v>0</v>
      </c>
      <c r="CR270" s="8">
        <f t="shared" si="227"/>
        <v>0</v>
      </c>
      <c r="CS270" s="8">
        <f t="shared" si="228"/>
        <v>0</v>
      </c>
      <c r="CT270" s="8">
        <f t="shared" si="233"/>
        <v>0</v>
      </c>
      <c r="CU270" s="8">
        <f t="shared" si="234"/>
        <v>0</v>
      </c>
      <c r="CV270" s="8">
        <f t="shared" si="235"/>
        <v>0</v>
      </c>
    </row>
    <row r="271" spans="1:100" ht="25.25" customHeight="1" thickTop="1" thickBot="1" x14ac:dyDescent="0.5">
      <c r="A271" s="32"/>
      <c r="B271" s="10"/>
      <c r="C271" s="10"/>
      <c r="D271" s="11"/>
      <c r="E271" s="10"/>
      <c r="F271" s="10"/>
      <c r="G271" s="19"/>
      <c r="H271" s="19"/>
      <c r="I271" s="19"/>
      <c r="J271" s="19"/>
      <c r="K271" s="10"/>
      <c r="L271" s="10"/>
      <c r="M271" s="10"/>
      <c r="N271" s="10"/>
      <c r="O271" s="18"/>
      <c r="P271" s="18"/>
      <c r="Q271" s="21"/>
      <c r="R271" s="20"/>
      <c r="S271" s="16">
        <f t="shared" si="191"/>
        <v>0</v>
      </c>
      <c r="T271" s="11"/>
      <c r="AS271" s="31">
        <f t="shared" si="192"/>
        <v>0</v>
      </c>
      <c r="AT271" s="31">
        <f t="shared" si="193"/>
        <v>0</v>
      </c>
      <c r="AU271" s="31">
        <f t="shared" si="194"/>
        <v>0</v>
      </c>
      <c r="AV271" s="31">
        <f t="shared" si="195"/>
        <v>0</v>
      </c>
      <c r="AW271" s="31">
        <f t="shared" si="196"/>
        <v>0</v>
      </c>
      <c r="AX271" s="31">
        <f t="shared" si="197"/>
        <v>0</v>
      </c>
      <c r="AY271" s="31">
        <f t="shared" si="198"/>
        <v>0</v>
      </c>
      <c r="AZ271" s="31">
        <f t="shared" si="199"/>
        <v>0</v>
      </c>
      <c r="BA271" s="31">
        <f t="shared" si="200"/>
        <v>0</v>
      </c>
      <c r="BB271" s="31">
        <f t="shared" si="229"/>
        <v>0</v>
      </c>
      <c r="BC271" s="31"/>
      <c r="BD271" s="31"/>
      <c r="BM271" s="8">
        <f t="shared" si="230"/>
        <v>0</v>
      </c>
      <c r="BN271" s="8">
        <f t="shared" si="201"/>
        <v>0</v>
      </c>
      <c r="BO271" s="8">
        <f t="shared" si="202"/>
        <v>0</v>
      </c>
      <c r="BQ271" s="8">
        <f t="shared" si="203"/>
        <v>0</v>
      </c>
      <c r="BR271" s="63">
        <f t="shared" si="204"/>
        <v>0</v>
      </c>
      <c r="BS271" s="63">
        <f t="shared" si="231"/>
        <v>0</v>
      </c>
      <c r="BT271" s="63">
        <f t="shared" si="205"/>
        <v>0</v>
      </c>
      <c r="BU271" s="63">
        <f t="shared" si="206"/>
        <v>0</v>
      </c>
      <c r="BV271" s="57">
        <f t="shared" si="207"/>
        <v>0</v>
      </c>
      <c r="BW271" s="57">
        <f t="shared" si="208"/>
        <v>0</v>
      </c>
      <c r="BX271" s="57">
        <f t="shared" si="232"/>
        <v>0</v>
      </c>
      <c r="BY271" s="57">
        <f t="shared" si="190"/>
        <v>0</v>
      </c>
      <c r="BZ271" s="8">
        <f t="shared" si="209"/>
        <v>0</v>
      </c>
      <c r="CA271" s="8">
        <f t="shared" si="210"/>
        <v>0</v>
      </c>
      <c r="CB271" s="8">
        <f t="shared" si="211"/>
        <v>0</v>
      </c>
      <c r="CC271" s="8">
        <f t="shared" si="212"/>
        <v>0</v>
      </c>
      <c r="CD271" s="8">
        <f t="shared" si="213"/>
        <v>0</v>
      </c>
      <c r="CE271" s="8">
        <f t="shared" si="214"/>
        <v>0</v>
      </c>
      <c r="CF271" s="8">
        <f t="shared" si="215"/>
        <v>0</v>
      </c>
      <c r="CG271" s="8">
        <f t="shared" si="216"/>
        <v>0</v>
      </c>
      <c r="CH271" s="8">
        <f t="shared" si="217"/>
        <v>0</v>
      </c>
      <c r="CI271" s="8">
        <f t="shared" si="218"/>
        <v>0</v>
      </c>
      <c r="CJ271" s="8">
        <f t="shared" si="219"/>
        <v>0</v>
      </c>
      <c r="CK271" s="8">
        <f t="shared" si="220"/>
        <v>0</v>
      </c>
      <c r="CL271" s="8">
        <f t="shared" si="221"/>
        <v>0</v>
      </c>
      <c r="CM271" s="8">
        <f t="shared" si="222"/>
        <v>0</v>
      </c>
      <c r="CN271" s="8">
        <f t="shared" si="223"/>
        <v>0</v>
      </c>
      <c r="CO271" s="8">
        <f t="shared" si="224"/>
        <v>0</v>
      </c>
      <c r="CP271" s="8">
        <f t="shared" si="225"/>
        <v>0</v>
      </c>
      <c r="CQ271" s="8">
        <f t="shared" si="226"/>
        <v>0</v>
      </c>
      <c r="CR271" s="8">
        <f t="shared" si="227"/>
        <v>0</v>
      </c>
      <c r="CS271" s="8">
        <f t="shared" si="228"/>
        <v>0</v>
      </c>
      <c r="CT271" s="8">
        <f t="shared" si="233"/>
        <v>0</v>
      </c>
      <c r="CU271" s="8">
        <f t="shared" si="234"/>
        <v>0</v>
      </c>
      <c r="CV271" s="8">
        <f t="shared" si="235"/>
        <v>0</v>
      </c>
    </row>
    <row r="272" spans="1:100" ht="25.25" customHeight="1" thickTop="1" thickBot="1" x14ac:dyDescent="0.5">
      <c r="A272" s="32"/>
      <c r="B272" s="10"/>
      <c r="C272" s="10"/>
      <c r="D272" s="11"/>
      <c r="E272" s="10"/>
      <c r="F272" s="10"/>
      <c r="G272" s="19"/>
      <c r="H272" s="19"/>
      <c r="I272" s="19"/>
      <c r="J272" s="19"/>
      <c r="K272" s="10"/>
      <c r="L272" s="10"/>
      <c r="M272" s="10"/>
      <c r="N272" s="10"/>
      <c r="O272" s="18"/>
      <c r="P272" s="18"/>
      <c r="Q272" s="21"/>
      <c r="R272" s="20"/>
      <c r="S272" s="16">
        <f t="shared" si="191"/>
        <v>0</v>
      </c>
      <c r="T272" s="11"/>
      <c r="AS272" s="31">
        <f t="shared" si="192"/>
        <v>0</v>
      </c>
      <c r="AT272" s="31">
        <f t="shared" si="193"/>
        <v>0</v>
      </c>
      <c r="AU272" s="31">
        <f t="shared" si="194"/>
        <v>0</v>
      </c>
      <c r="AV272" s="31">
        <f t="shared" si="195"/>
        <v>0</v>
      </c>
      <c r="AW272" s="31">
        <f t="shared" si="196"/>
        <v>0</v>
      </c>
      <c r="AX272" s="31">
        <f t="shared" si="197"/>
        <v>0</v>
      </c>
      <c r="AY272" s="31">
        <f t="shared" si="198"/>
        <v>0</v>
      </c>
      <c r="AZ272" s="31">
        <f t="shared" si="199"/>
        <v>0</v>
      </c>
      <c r="BA272" s="31">
        <f t="shared" si="200"/>
        <v>0</v>
      </c>
      <c r="BB272" s="31">
        <f t="shared" si="229"/>
        <v>0</v>
      </c>
      <c r="BC272" s="31"/>
      <c r="BD272" s="31"/>
      <c r="BM272" s="8">
        <f t="shared" si="230"/>
        <v>0</v>
      </c>
      <c r="BN272" s="8">
        <f t="shared" si="201"/>
        <v>0</v>
      </c>
      <c r="BO272" s="8">
        <f t="shared" si="202"/>
        <v>0</v>
      </c>
      <c r="BQ272" s="8">
        <f t="shared" si="203"/>
        <v>0</v>
      </c>
      <c r="BR272" s="63">
        <f t="shared" si="204"/>
        <v>0</v>
      </c>
      <c r="BS272" s="63">
        <f t="shared" si="231"/>
        <v>0</v>
      </c>
      <c r="BT272" s="63">
        <f t="shared" si="205"/>
        <v>0</v>
      </c>
      <c r="BU272" s="63">
        <f t="shared" si="206"/>
        <v>0</v>
      </c>
      <c r="BV272" s="57">
        <f t="shared" si="207"/>
        <v>0</v>
      </c>
      <c r="BW272" s="57">
        <f t="shared" si="208"/>
        <v>0</v>
      </c>
      <c r="BX272" s="57">
        <f t="shared" si="232"/>
        <v>0</v>
      </c>
      <c r="BY272" s="57">
        <f t="shared" si="190"/>
        <v>0</v>
      </c>
      <c r="BZ272" s="8">
        <f t="shared" si="209"/>
        <v>0</v>
      </c>
      <c r="CA272" s="8">
        <f t="shared" si="210"/>
        <v>0</v>
      </c>
      <c r="CB272" s="8">
        <f t="shared" si="211"/>
        <v>0</v>
      </c>
      <c r="CC272" s="8">
        <f t="shared" si="212"/>
        <v>0</v>
      </c>
      <c r="CD272" s="8">
        <f t="shared" si="213"/>
        <v>0</v>
      </c>
      <c r="CE272" s="8">
        <f t="shared" si="214"/>
        <v>0</v>
      </c>
      <c r="CF272" s="8">
        <f t="shared" si="215"/>
        <v>0</v>
      </c>
      <c r="CG272" s="8">
        <f t="shared" si="216"/>
        <v>0</v>
      </c>
      <c r="CH272" s="8">
        <f t="shared" si="217"/>
        <v>0</v>
      </c>
      <c r="CI272" s="8">
        <f t="shared" si="218"/>
        <v>0</v>
      </c>
      <c r="CJ272" s="8">
        <f t="shared" si="219"/>
        <v>0</v>
      </c>
      <c r="CK272" s="8">
        <f t="shared" si="220"/>
        <v>0</v>
      </c>
      <c r="CL272" s="8">
        <f t="shared" si="221"/>
        <v>0</v>
      </c>
      <c r="CM272" s="8">
        <f t="shared" si="222"/>
        <v>0</v>
      </c>
      <c r="CN272" s="8">
        <f t="shared" si="223"/>
        <v>0</v>
      </c>
      <c r="CO272" s="8">
        <f t="shared" si="224"/>
        <v>0</v>
      </c>
      <c r="CP272" s="8">
        <f t="shared" si="225"/>
        <v>0</v>
      </c>
      <c r="CQ272" s="8">
        <f t="shared" si="226"/>
        <v>0</v>
      </c>
      <c r="CR272" s="8">
        <f t="shared" si="227"/>
        <v>0</v>
      </c>
      <c r="CS272" s="8">
        <f t="shared" si="228"/>
        <v>0</v>
      </c>
      <c r="CT272" s="8">
        <f t="shared" si="233"/>
        <v>0</v>
      </c>
      <c r="CU272" s="8">
        <f t="shared" si="234"/>
        <v>0</v>
      </c>
      <c r="CV272" s="8">
        <f t="shared" si="235"/>
        <v>0</v>
      </c>
    </row>
    <row r="273" spans="1:100" ht="25.25" customHeight="1" thickTop="1" thickBot="1" x14ac:dyDescent="0.5">
      <c r="A273" s="32"/>
      <c r="B273" s="10"/>
      <c r="C273" s="10"/>
      <c r="D273" s="11"/>
      <c r="E273" s="10"/>
      <c r="F273" s="10"/>
      <c r="G273" s="19"/>
      <c r="H273" s="19"/>
      <c r="I273" s="19"/>
      <c r="J273" s="19"/>
      <c r="K273" s="10"/>
      <c r="L273" s="10"/>
      <c r="M273" s="10"/>
      <c r="N273" s="10"/>
      <c r="O273" s="18"/>
      <c r="P273" s="18"/>
      <c r="Q273" s="21"/>
      <c r="R273" s="20"/>
      <c r="S273" s="16">
        <f t="shared" si="191"/>
        <v>0</v>
      </c>
      <c r="T273" s="11"/>
      <c r="AS273" s="31">
        <f t="shared" si="192"/>
        <v>0</v>
      </c>
      <c r="AT273" s="31">
        <f t="shared" si="193"/>
        <v>0</v>
      </c>
      <c r="AU273" s="31">
        <f t="shared" si="194"/>
        <v>0</v>
      </c>
      <c r="AV273" s="31">
        <f t="shared" si="195"/>
        <v>0</v>
      </c>
      <c r="AW273" s="31">
        <f t="shared" si="196"/>
        <v>0</v>
      </c>
      <c r="AX273" s="31">
        <f t="shared" si="197"/>
        <v>0</v>
      </c>
      <c r="AY273" s="31">
        <f t="shared" si="198"/>
        <v>0</v>
      </c>
      <c r="AZ273" s="31">
        <f t="shared" si="199"/>
        <v>0</v>
      </c>
      <c r="BA273" s="31">
        <f t="shared" si="200"/>
        <v>0</v>
      </c>
      <c r="BB273" s="31">
        <f t="shared" si="229"/>
        <v>0</v>
      </c>
      <c r="BC273" s="31"/>
      <c r="BD273" s="31"/>
      <c r="BM273" s="8">
        <f t="shared" si="230"/>
        <v>0</v>
      </c>
      <c r="BN273" s="8">
        <f t="shared" si="201"/>
        <v>0</v>
      </c>
      <c r="BO273" s="8">
        <f t="shared" si="202"/>
        <v>0</v>
      </c>
      <c r="BQ273" s="8">
        <f t="shared" si="203"/>
        <v>0</v>
      </c>
      <c r="BR273" s="63">
        <f t="shared" si="204"/>
        <v>0</v>
      </c>
      <c r="BS273" s="63">
        <f t="shared" si="231"/>
        <v>0</v>
      </c>
      <c r="BT273" s="63">
        <f t="shared" si="205"/>
        <v>0</v>
      </c>
      <c r="BU273" s="63">
        <f t="shared" si="206"/>
        <v>0</v>
      </c>
      <c r="BV273" s="57">
        <f t="shared" si="207"/>
        <v>0</v>
      </c>
      <c r="BW273" s="57">
        <f t="shared" si="208"/>
        <v>0</v>
      </c>
      <c r="BX273" s="57">
        <f t="shared" si="232"/>
        <v>0</v>
      </c>
      <c r="BY273" s="57">
        <f t="shared" si="190"/>
        <v>0</v>
      </c>
      <c r="BZ273" s="8">
        <f t="shared" si="209"/>
        <v>0</v>
      </c>
      <c r="CA273" s="8">
        <f t="shared" si="210"/>
        <v>0</v>
      </c>
      <c r="CB273" s="8">
        <f t="shared" si="211"/>
        <v>0</v>
      </c>
      <c r="CC273" s="8">
        <f t="shared" si="212"/>
        <v>0</v>
      </c>
      <c r="CD273" s="8">
        <f t="shared" si="213"/>
        <v>0</v>
      </c>
      <c r="CE273" s="8">
        <f t="shared" si="214"/>
        <v>0</v>
      </c>
      <c r="CF273" s="8">
        <f t="shared" si="215"/>
        <v>0</v>
      </c>
      <c r="CG273" s="8">
        <f t="shared" si="216"/>
        <v>0</v>
      </c>
      <c r="CH273" s="8">
        <f t="shared" si="217"/>
        <v>0</v>
      </c>
      <c r="CI273" s="8">
        <f t="shared" si="218"/>
        <v>0</v>
      </c>
      <c r="CJ273" s="8">
        <f t="shared" si="219"/>
        <v>0</v>
      </c>
      <c r="CK273" s="8">
        <f t="shared" si="220"/>
        <v>0</v>
      </c>
      <c r="CL273" s="8">
        <f t="shared" si="221"/>
        <v>0</v>
      </c>
      <c r="CM273" s="8">
        <f t="shared" si="222"/>
        <v>0</v>
      </c>
      <c r="CN273" s="8">
        <f t="shared" si="223"/>
        <v>0</v>
      </c>
      <c r="CO273" s="8">
        <f t="shared" si="224"/>
        <v>0</v>
      </c>
      <c r="CP273" s="8">
        <f t="shared" si="225"/>
        <v>0</v>
      </c>
      <c r="CQ273" s="8">
        <f t="shared" si="226"/>
        <v>0</v>
      </c>
      <c r="CR273" s="8">
        <f t="shared" si="227"/>
        <v>0</v>
      </c>
      <c r="CS273" s="8">
        <f t="shared" si="228"/>
        <v>0</v>
      </c>
      <c r="CT273" s="8">
        <f t="shared" si="233"/>
        <v>0</v>
      </c>
      <c r="CU273" s="8">
        <f t="shared" si="234"/>
        <v>0</v>
      </c>
      <c r="CV273" s="8">
        <f t="shared" si="235"/>
        <v>0</v>
      </c>
    </row>
    <row r="274" spans="1:100" ht="25.25" customHeight="1" thickTop="1" thickBot="1" x14ac:dyDescent="0.5">
      <c r="A274" s="32"/>
      <c r="B274" s="10"/>
      <c r="C274" s="10"/>
      <c r="D274" s="11"/>
      <c r="E274" s="10"/>
      <c r="F274" s="10"/>
      <c r="G274" s="19"/>
      <c r="H274" s="19"/>
      <c r="I274" s="19"/>
      <c r="J274" s="19"/>
      <c r="K274" s="10"/>
      <c r="L274" s="10"/>
      <c r="M274" s="10"/>
      <c r="N274" s="10"/>
      <c r="O274" s="18"/>
      <c r="P274" s="18"/>
      <c r="Q274" s="21"/>
      <c r="R274" s="20"/>
      <c r="S274" s="16">
        <f t="shared" si="191"/>
        <v>0</v>
      </c>
      <c r="T274" s="11"/>
      <c r="AS274" s="31">
        <f t="shared" si="192"/>
        <v>0</v>
      </c>
      <c r="AT274" s="31">
        <f t="shared" si="193"/>
        <v>0</v>
      </c>
      <c r="AU274" s="31">
        <f t="shared" si="194"/>
        <v>0</v>
      </c>
      <c r="AV274" s="31">
        <f t="shared" si="195"/>
        <v>0</v>
      </c>
      <c r="AW274" s="31">
        <f t="shared" si="196"/>
        <v>0</v>
      </c>
      <c r="AX274" s="31">
        <f t="shared" si="197"/>
        <v>0</v>
      </c>
      <c r="AY274" s="31">
        <f t="shared" si="198"/>
        <v>0</v>
      </c>
      <c r="AZ274" s="31">
        <f t="shared" si="199"/>
        <v>0</v>
      </c>
      <c r="BA274" s="31">
        <f t="shared" si="200"/>
        <v>0</v>
      </c>
      <c r="BB274" s="31">
        <f t="shared" si="229"/>
        <v>0</v>
      </c>
      <c r="BC274" s="31"/>
      <c r="BD274" s="31"/>
      <c r="BM274" s="8">
        <f t="shared" si="230"/>
        <v>0</v>
      </c>
      <c r="BN274" s="8">
        <f t="shared" si="201"/>
        <v>0</v>
      </c>
      <c r="BO274" s="8">
        <f t="shared" si="202"/>
        <v>0</v>
      </c>
      <c r="BQ274" s="8">
        <f t="shared" si="203"/>
        <v>0</v>
      </c>
      <c r="BR274" s="63">
        <f t="shared" si="204"/>
        <v>0</v>
      </c>
      <c r="BS274" s="63">
        <f t="shared" si="231"/>
        <v>0</v>
      </c>
      <c r="BT274" s="63">
        <f t="shared" si="205"/>
        <v>0</v>
      </c>
      <c r="BU274" s="63">
        <f t="shared" si="206"/>
        <v>0</v>
      </c>
      <c r="BV274" s="57">
        <f t="shared" si="207"/>
        <v>0</v>
      </c>
      <c r="BW274" s="57">
        <f t="shared" si="208"/>
        <v>0</v>
      </c>
      <c r="BX274" s="57">
        <f t="shared" si="232"/>
        <v>0</v>
      </c>
      <c r="BY274" s="57">
        <f t="shared" si="190"/>
        <v>0</v>
      </c>
      <c r="BZ274" s="8">
        <f t="shared" si="209"/>
        <v>0</v>
      </c>
      <c r="CA274" s="8">
        <f t="shared" si="210"/>
        <v>0</v>
      </c>
      <c r="CB274" s="8">
        <f t="shared" si="211"/>
        <v>0</v>
      </c>
      <c r="CC274" s="8">
        <f t="shared" si="212"/>
        <v>0</v>
      </c>
      <c r="CD274" s="8">
        <f t="shared" si="213"/>
        <v>0</v>
      </c>
      <c r="CE274" s="8">
        <f t="shared" si="214"/>
        <v>0</v>
      </c>
      <c r="CF274" s="8">
        <f t="shared" si="215"/>
        <v>0</v>
      </c>
      <c r="CG274" s="8">
        <f t="shared" si="216"/>
        <v>0</v>
      </c>
      <c r="CH274" s="8">
        <f t="shared" si="217"/>
        <v>0</v>
      </c>
      <c r="CI274" s="8">
        <f t="shared" si="218"/>
        <v>0</v>
      </c>
      <c r="CJ274" s="8">
        <f t="shared" si="219"/>
        <v>0</v>
      </c>
      <c r="CK274" s="8">
        <f t="shared" si="220"/>
        <v>0</v>
      </c>
      <c r="CL274" s="8">
        <f t="shared" si="221"/>
        <v>0</v>
      </c>
      <c r="CM274" s="8">
        <f t="shared" si="222"/>
        <v>0</v>
      </c>
      <c r="CN274" s="8">
        <f t="shared" si="223"/>
        <v>0</v>
      </c>
      <c r="CO274" s="8">
        <f t="shared" si="224"/>
        <v>0</v>
      </c>
      <c r="CP274" s="8">
        <f t="shared" si="225"/>
        <v>0</v>
      </c>
      <c r="CQ274" s="8">
        <f t="shared" si="226"/>
        <v>0</v>
      </c>
      <c r="CR274" s="8">
        <f t="shared" si="227"/>
        <v>0</v>
      </c>
      <c r="CS274" s="8">
        <f t="shared" si="228"/>
        <v>0</v>
      </c>
      <c r="CT274" s="8">
        <f t="shared" si="233"/>
        <v>0</v>
      </c>
      <c r="CU274" s="8">
        <f t="shared" si="234"/>
        <v>0</v>
      </c>
      <c r="CV274" s="8">
        <f t="shared" si="235"/>
        <v>0</v>
      </c>
    </row>
    <row r="275" spans="1:100" ht="25.25" customHeight="1" thickTop="1" thickBot="1" x14ac:dyDescent="0.5">
      <c r="A275" s="32"/>
      <c r="B275" s="10"/>
      <c r="C275" s="10"/>
      <c r="D275" s="11"/>
      <c r="E275" s="10"/>
      <c r="F275" s="10"/>
      <c r="G275" s="19"/>
      <c r="H275" s="19"/>
      <c r="I275" s="19"/>
      <c r="J275" s="19"/>
      <c r="K275" s="10"/>
      <c r="L275" s="10"/>
      <c r="M275" s="10"/>
      <c r="N275" s="10"/>
      <c r="O275" s="18"/>
      <c r="P275" s="18"/>
      <c r="Q275" s="21"/>
      <c r="R275" s="20"/>
      <c r="S275" s="16">
        <f t="shared" si="191"/>
        <v>0</v>
      </c>
      <c r="T275" s="11"/>
      <c r="AS275" s="31">
        <f t="shared" si="192"/>
        <v>0</v>
      </c>
      <c r="AT275" s="31">
        <f t="shared" si="193"/>
        <v>0</v>
      </c>
      <c r="AU275" s="31">
        <f t="shared" si="194"/>
        <v>0</v>
      </c>
      <c r="AV275" s="31">
        <f t="shared" si="195"/>
        <v>0</v>
      </c>
      <c r="AW275" s="31">
        <f t="shared" si="196"/>
        <v>0</v>
      </c>
      <c r="AX275" s="31">
        <f t="shared" si="197"/>
        <v>0</v>
      </c>
      <c r="AY275" s="31">
        <f t="shared" si="198"/>
        <v>0</v>
      </c>
      <c r="AZ275" s="31">
        <f t="shared" si="199"/>
        <v>0</v>
      </c>
      <c r="BA275" s="31">
        <f t="shared" si="200"/>
        <v>0</v>
      </c>
      <c r="BB275" s="31">
        <f t="shared" si="229"/>
        <v>0</v>
      </c>
      <c r="BC275" s="31"/>
      <c r="BD275" s="31"/>
      <c r="BM275" s="8">
        <f t="shared" si="230"/>
        <v>0</v>
      </c>
      <c r="BN275" s="8">
        <f t="shared" si="201"/>
        <v>0</v>
      </c>
      <c r="BO275" s="8">
        <f t="shared" si="202"/>
        <v>0</v>
      </c>
      <c r="BQ275" s="8">
        <f t="shared" si="203"/>
        <v>0</v>
      </c>
      <c r="BR275" s="63">
        <f t="shared" si="204"/>
        <v>0</v>
      </c>
      <c r="BS275" s="63">
        <f t="shared" si="231"/>
        <v>0</v>
      </c>
      <c r="BT275" s="63">
        <f t="shared" si="205"/>
        <v>0</v>
      </c>
      <c r="BU275" s="63">
        <f t="shared" si="206"/>
        <v>0</v>
      </c>
      <c r="BV275" s="57">
        <f t="shared" si="207"/>
        <v>0</v>
      </c>
      <c r="BW275" s="57">
        <f t="shared" si="208"/>
        <v>0</v>
      </c>
      <c r="BX275" s="57">
        <f t="shared" si="232"/>
        <v>0</v>
      </c>
      <c r="BY275" s="57">
        <f t="shared" si="190"/>
        <v>0</v>
      </c>
      <c r="BZ275" s="8">
        <f t="shared" si="209"/>
        <v>0</v>
      </c>
      <c r="CA275" s="8">
        <f t="shared" si="210"/>
        <v>0</v>
      </c>
      <c r="CB275" s="8">
        <f t="shared" si="211"/>
        <v>0</v>
      </c>
      <c r="CC275" s="8">
        <f t="shared" si="212"/>
        <v>0</v>
      </c>
      <c r="CD275" s="8">
        <f t="shared" si="213"/>
        <v>0</v>
      </c>
      <c r="CE275" s="8">
        <f t="shared" si="214"/>
        <v>0</v>
      </c>
      <c r="CF275" s="8">
        <f t="shared" si="215"/>
        <v>0</v>
      </c>
      <c r="CG275" s="8">
        <f t="shared" si="216"/>
        <v>0</v>
      </c>
      <c r="CH275" s="8">
        <f t="shared" si="217"/>
        <v>0</v>
      </c>
      <c r="CI275" s="8">
        <f t="shared" si="218"/>
        <v>0</v>
      </c>
      <c r="CJ275" s="8">
        <f t="shared" si="219"/>
        <v>0</v>
      </c>
      <c r="CK275" s="8">
        <f t="shared" si="220"/>
        <v>0</v>
      </c>
      <c r="CL275" s="8">
        <f t="shared" si="221"/>
        <v>0</v>
      </c>
      <c r="CM275" s="8">
        <f t="shared" si="222"/>
        <v>0</v>
      </c>
      <c r="CN275" s="8">
        <f t="shared" si="223"/>
        <v>0</v>
      </c>
      <c r="CO275" s="8">
        <f t="shared" si="224"/>
        <v>0</v>
      </c>
      <c r="CP275" s="8">
        <f t="shared" si="225"/>
        <v>0</v>
      </c>
      <c r="CQ275" s="8">
        <f t="shared" si="226"/>
        <v>0</v>
      </c>
      <c r="CR275" s="8">
        <f t="shared" si="227"/>
        <v>0</v>
      </c>
      <c r="CS275" s="8">
        <f t="shared" si="228"/>
        <v>0</v>
      </c>
      <c r="CT275" s="8">
        <f t="shared" si="233"/>
        <v>0</v>
      </c>
      <c r="CU275" s="8">
        <f t="shared" si="234"/>
        <v>0</v>
      </c>
      <c r="CV275" s="8">
        <f t="shared" si="235"/>
        <v>0</v>
      </c>
    </row>
    <row r="276" spans="1:100" ht="25.25" customHeight="1" thickTop="1" thickBot="1" x14ac:dyDescent="0.5">
      <c r="A276" s="32"/>
      <c r="B276" s="10"/>
      <c r="C276" s="10"/>
      <c r="D276" s="11"/>
      <c r="E276" s="10"/>
      <c r="F276" s="10"/>
      <c r="G276" s="19"/>
      <c r="H276" s="19"/>
      <c r="I276" s="19"/>
      <c r="J276" s="19"/>
      <c r="K276" s="10"/>
      <c r="L276" s="10"/>
      <c r="M276" s="10"/>
      <c r="N276" s="10"/>
      <c r="O276" s="18"/>
      <c r="P276" s="18"/>
      <c r="Q276" s="21"/>
      <c r="R276" s="20"/>
      <c r="S276" s="16">
        <f t="shared" si="191"/>
        <v>0</v>
      </c>
      <c r="T276" s="11"/>
      <c r="AS276" s="31">
        <f t="shared" si="192"/>
        <v>0</v>
      </c>
      <c r="AT276" s="31">
        <f t="shared" si="193"/>
        <v>0</v>
      </c>
      <c r="AU276" s="31">
        <f t="shared" si="194"/>
        <v>0</v>
      </c>
      <c r="AV276" s="31">
        <f t="shared" si="195"/>
        <v>0</v>
      </c>
      <c r="AW276" s="31">
        <f t="shared" si="196"/>
        <v>0</v>
      </c>
      <c r="AX276" s="31">
        <f t="shared" si="197"/>
        <v>0</v>
      </c>
      <c r="AY276" s="31">
        <f t="shared" si="198"/>
        <v>0</v>
      </c>
      <c r="AZ276" s="31">
        <f t="shared" si="199"/>
        <v>0</v>
      </c>
      <c r="BA276" s="31">
        <f t="shared" si="200"/>
        <v>0</v>
      </c>
      <c r="BB276" s="31">
        <f t="shared" si="229"/>
        <v>0</v>
      </c>
      <c r="BC276" s="31"/>
      <c r="BD276" s="31"/>
      <c r="BM276" s="8">
        <f t="shared" si="230"/>
        <v>0</v>
      </c>
      <c r="BN276" s="8">
        <f t="shared" si="201"/>
        <v>0</v>
      </c>
      <c r="BO276" s="8">
        <f t="shared" si="202"/>
        <v>0</v>
      </c>
      <c r="BQ276" s="8">
        <f t="shared" si="203"/>
        <v>0</v>
      </c>
      <c r="BR276" s="63">
        <f t="shared" si="204"/>
        <v>0</v>
      </c>
      <c r="BS276" s="63">
        <f t="shared" si="231"/>
        <v>0</v>
      </c>
      <c r="BT276" s="63">
        <f t="shared" si="205"/>
        <v>0</v>
      </c>
      <c r="BU276" s="63">
        <f t="shared" si="206"/>
        <v>0</v>
      </c>
      <c r="BV276" s="57">
        <f t="shared" si="207"/>
        <v>0</v>
      </c>
      <c r="BW276" s="57">
        <f t="shared" si="208"/>
        <v>0</v>
      </c>
      <c r="BX276" s="57">
        <f t="shared" si="232"/>
        <v>0</v>
      </c>
      <c r="BY276" s="57">
        <f t="shared" si="190"/>
        <v>0</v>
      </c>
      <c r="BZ276" s="8">
        <f t="shared" si="209"/>
        <v>0</v>
      </c>
      <c r="CA276" s="8">
        <f t="shared" si="210"/>
        <v>0</v>
      </c>
      <c r="CB276" s="8">
        <f t="shared" si="211"/>
        <v>0</v>
      </c>
      <c r="CC276" s="8">
        <f t="shared" si="212"/>
        <v>0</v>
      </c>
      <c r="CD276" s="8">
        <f t="shared" si="213"/>
        <v>0</v>
      </c>
      <c r="CE276" s="8">
        <f t="shared" si="214"/>
        <v>0</v>
      </c>
      <c r="CF276" s="8">
        <f t="shared" si="215"/>
        <v>0</v>
      </c>
      <c r="CG276" s="8">
        <f t="shared" si="216"/>
        <v>0</v>
      </c>
      <c r="CH276" s="8">
        <f t="shared" si="217"/>
        <v>0</v>
      </c>
      <c r="CI276" s="8">
        <f t="shared" si="218"/>
        <v>0</v>
      </c>
      <c r="CJ276" s="8">
        <f t="shared" si="219"/>
        <v>0</v>
      </c>
      <c r="CK276" s="8">
        <f t="shared" si="220"/>
        <v>0</v>
      </c>
      <c r="CL276" s="8">
        <f t="shared" si="221"/>
        <v>0</v>
      </c>
      <c r="CM276" s="8">
        <f t="shared" si="222"/>
        <v>0</v>
      </c>
      <c r="CN276" s="8">
        <f t="shared" si="223"/>
        <v>0</v>
      </c>
      <c r="CO276" s="8">
        <f t="shared" si="224"/>
        <v>0</v>
      </c>
      <c r="CP276" s="8">
        <f t="shared" si="225"/>
        <v>0</v>
      </c>
      <c r="CQ276" s="8">
        <f t="shared" si="226"/>
        <v>0</v>
      </c>
      <c r="CR276" s="8">
        <f t="shared" si="227"/>
        <v>0</v>
      </c>
      <c r="CS276" s="8">
        <f t="shared" si="228"/>
        <v>0</v>
      </c>
      <c r="CT276" s="8">
        <f t="shared" si="233"/>
        <v>0</v>
      </c>
      <c r="CU276" s="8">
        <f t="shared" si="234"/>
        <v>0</v>
      </c>
      <c r="CV276" s="8">
        <f t="shared" si="235"/>
        <v>0</v>
      </c>
    </row>
    <row r="277" spans="1:100" ht="25.25" customHeight="1" thickTop="1" thickBot="1" x14ac:dyDescent="0.5">
      <c r="A277" s="32"/>
      <c r="B277" s="10"/>
      <c r="C277" s="10"/>
      <c r="D277" s="11"/>
      <c r="E277" s="10"/>
      <c r="F277" s="10"/>
      <c r="G277" s="19"/>
      <c r="H277" s="19"/>
      <c r="I277" s="19"/>
      <c r="J277" s="19"/>
      <c r="K277" s="10"/>
      <c r="L277" s="10"/>
      <c r="M277" s="10"/>
      <c r="N277" s="10"/>
      <c r="O277" s="18"/>
      <c r="P277" s="18"/>
      <c r="Q277" s="21"/>
      <c r="R277" s="20"/>
      <c r="S277" s="16">
        <f t="shared" si="191"/>
        <v>0</v>
      </c>
      <c r="T277" s="11"/>
      <c r="AS277" s="31">
        <f t="shared" si="192"/>
        <v>0</v>
      </c>
      <c r="AT277" s="31">
        <f t="shared" si="193"/>
        <v>0</v>
      </c>
      <c r="AU277" s="31">
        <f t="shared" si="194"/>
        <v>0</v>
      </c>
      <c r="AV277" s="31">
        <f t="shared" si="195"/>
        <v>0</v>
      </c>
      <c r="AW277" s="31">
        <f t="shared" si="196"/>
        <v>0</v>
      </c>
      <c r="AX277" s="31">
        <f t="shared" si="197"/>
        <v>0</v>
      </c>
      <c r="AY277" s="31">
        <f t="shared" si="198"/>
        <v>0</v>
      </c>
      <c r="AZ277" s="31">
        <f t="shared" si="199"/>
        <v>0</v>
      </c>
      <c r="BA277" s="31">
        <f t="shared" si="200"/>
        <v>0</v>
      </c>
      <c r="BB277" s="31">
        <f t="shared" si="229"/>
        <v>0</v>
      </c>
      <c r="BC277" s="31"/>
      <c r="BD277" s="31"/>
      <c r="BM277" s="8">
        <f t="shared" si="230"/>
        <v>0</v>
      </c>
      <c r="BN277" s="8">
        <f t="shared" si="201"/>
        <v>0</v>
      </c>
      <c r="BO277" s="8">
        <f t="shared" si="202"/>
        <v>0</v>
      </c>
      <c r="BQ277" s="8">
        <f t="shared" si="203"/>
        <v>0</v>
      </c>
      <c r="BR277" s="63">
        <f t="shared" si="204"/>
        <v>0</v>
      </c>
      <c r="BS277" s="63">
        <f t="shared" si="231"/>
        <v>0</v>
      </c>
      <c r="BT277" s="63">
        <f t="shared" si="205"/>
        <v>0</v>
      </c>
      <c r="BU277" s="63">
        <f t="shared" si="206"/>
        <v>0</v>
      </c>
      <c r="BV277" s="57">
        <f t="shared" si="207"/>
        <v>0</v>
      </c>
      <c r="BW277" s="57">
        <f t="shared" si="208"/>
        <v>0</v>
      </c>
      <c r="BX277" s="57">
        <f t="shared" si="232"/>
        <v>0</v>
      </c>
      <c r="BY277" s="57">
        <f t="shared" si="190"/>
        <v>0</v>
      </c>
      <c r="BZ277" s="8">
        <f t="shared" si="209"/>
        <v>0</v>
      </c>
      <c r="CA277" s="8">
        <f t="shared" si="210"/>
        <v>0</v>
      </c>
      <c r="CB277" s="8">
        <f t="shared" si="211"/>
        <v>0</v>
      </c>
      <c r="CC277" s="8">
        <f t="shared" si="212"/>
        <v>0</v>
      </c>
      <c r="CD277" s="8">
        <f t="shared" si="213"/>
        <v>0</v>
      </c>
      <c r="CE277" s="8">
        <f t="shared" si="214"/>
        <v>0</v>
      </c>
      <c r="CF277" s="8">
        <f t="shared" si="215"/>
        <v>0</v>
      </c>
      <c r="CG277" s="8">
        <f t="shared" si="216"/>
        <v>0</v>
      </c>
      <c r="CH277" s="8">
        <f t="shared" si="217"/>
        <v>0</v>
      </c>
      <c r="CI277" s="8">
        <f t="shared" si="218"/>
        <v>0</v>
      </c>
      <c r="CJ277" s="8">
        <f t="shared" si="219"/>
        <v>0</v>
      </c>
      <c r="CK277" s="8">
        <f t="shared" si="220"/>
        <v>0</v>
      </c>
      <c r="CL277" s="8">
        <f t="shared" si="221"/>
        <v>0</v>
      </c>
      <c r="CM277" s="8">
        <f t="shared" si="222"/>
        <v>0</v>
      </c>
      <c r="CN277" s="8">
        <f t="shared" si="223"/>
        <v>0</v>
      </c>
      <c r="CO277" s="8">
        <f t="shared" si="224"/>
        <v>0</v>
      </c>
      <c r="CP277" s="8">
        <f t="shared" si="225"/>
        <v>0</v>
      </c>
      <c r="CQ277" s="8">
        <f t="shared" si="226"/>
        <v>0</v>
      </c>
      <c r="CR277" s="8">
        <f t="shared" si="227"/>
        <v>0</v>
      </c>
      <c r="CS277" s="8">
        <f t="shared" si="228"/>
        <v>0</v>
      </c>
      <c r="CT277" s="8">
        <f t="shared" si="233"/>
        <v>0</v>
      </c>
      <c r="CU277" s="8">
        <f t="shared" si="234"/>
        <v>0</v>
      </c>
      <c r="CV277" s="8">
        <f t="shared" si="235"/>
        <v>0</v>
      </c>
    </row>
    <row r="278" spans="1:100" ht="25.25" customHeight="1" thickTop="1" thickBot="1" x14ac:dyDescent="0.5">
      <c r="A278" s="32"/>
      <c r="B278" s="10"/>
      <c r="C278" s="10"/>
      <c r="D278" s="11"/>
      <c r="E278" s="10"/>
      <c r="F278" s="10"/>
      <c r="G278" s="19"/>
      <c r="H278" s="19"/>
      <c r="I278" s="19"/>
      <c r="J278" s="19"/>
      <c r="K278" s="10"/>
      <c r="L278" s="10"/>
      <c r="M278" s="10"/>
      <c r="N278" s="10"/>
      <c r="O278" s="18"/>
      <c r="P278" s="18"/>
      <c r="Q278" s="21"/>
      <c r="R278" s="20"/>
      <c r="S278" s="16">
        <f t="shared" si="191"/>
        <v>0</v>
      </c>
      <c r="T278" s="11"/>
      <c r="AS278" s="31">
        <f t="shared" si="192"/>
        <v>0</v>
      </c>
      <c r="AT278" s="31">
        <f t="shared" si="193"/>
        <v>0</v>
      </c>
      <c r="AU278" s="31">
        <f t="shared" si="194"/>
        <v>0</v>
      </c>
      <c r="AV278" s="31">
        <f t="shared" si="195"/>
        <v>0</v>
      </c>
      <c r="AW278" s="31">
        <f t="shared" si="196"/>
        <v>0</v>
      </c>
      <c r="AX278" s="31">
        <f t="shared" si="197"/>
        <v>0</v>
      </c>
      <c r="AY278" s="31">
        <f t="shared" si="198"/>
        <v>0</v>
      </c>
      <c r="AZ278" s="31">
        <f t="shared" si="199"/>
        <v>0</v>
      </c>
      <c r="BA278" s="31">
        <f t="shared" si="200"/>
        <v>0</v>
      </c>
      <c r="BB278" s="31">
        <f t="shared" si="229"/>
        <v>0</v>
      </c>
      <c r="BC278" s="31"/>
      <c r="BD278" s="31"/>
      <c r="BM278" s="8">
        <f t="shared" si="230"/>
        <v>0</v>
      </c>
      <c r="BN278" s="8">
        <f t="shared" si="201"/>
        <v>0</v>
      </c>
      <c r="BO278" s="8">
        <f t="shared" si="202"/>
        <v>0</v>
      </c>
      <c r="BQ278" s="8">
        <f t="shared" si="203"/>
        <v>0</v>
      </c>
      <c r="BR278" s="63">
        <f t="shared" si="204"/>
        <v>0</v>
      </c>
      <c r="BS278" s="63">
        <f t="shared" si="231"/>
        <v>0</v>
      </c>
      <c r="BT278" s="63">
        <f t="shared" si="205"/>
        <v>0</v>
      </c>
      <c r="BU278" s="63">
        <f t="shared" si="206"/>
        <v>0</v>
      </c>
      <c r="BV278" s="57">
        <f t="shared" si="207"/>
        <v>0</v>
      </c>
      <c r="BW278" s="57">
        <f t="shared" si="208"/>
        <v>0</v>
      </c>
      <c r="BX278" s="57">
        <f t="shared" si="232"/>
        <v>0</v>
      </c>
      <c r="BY278" s="57">
        <f t="shared" si="190"/>
        <v>0</v>
      </c>
      <c r="BZ278" s="8">
        <f t="shared" si="209"/>
        <v>0</v>
      </c>
      <c r="CA278" s="8">
        <f t="shared" si="210"/>
        <v>0</v>
      </c>
      <c r="CB278" s="8">
        <f t="shared" si="211"/>
        <v>0</v>
      </c>
      <c r="CC278" s="8">
        <f t="shared" si="212"/>
        <v>0</v>
      </c>
      <c r="CD278" s="8">
        <f t="shared" si="213"/>
        <v>0</v>
      </c>
      <c r="CE278" s="8">
        <f t="shared" si="214"/>
        <v>0</v>
      </c>
      <c r="CF278" s="8">
        <f t="shared" si="215"/>
        <v>0</v>
      </c>
      <c r="CG278" s="8">
        <f t="shared" si="216"/>
        <v>0</v>
      </c>
      <c r="CH278" s="8">
        <f t="shared" si="217"/>
        <v>0</v>
      </c>
      <c r="CI278" s="8">
        <f t="shared" si="218"/>
        <v>0</v>
      </c>
      <c r="CJ278" s="8">
        <f t="shared" si="219"/>
        <v>0</v>
      </c>
      <c r="CK278" s="8">
        <f t="shared" si="220"/>
        <v>0</v>
      </c>
      <c r="CL278" s="8">
        <f t="shared" si="221"/>
        <v>0</v>
      </c>
      <c r="CM278" s="8">
        <f t="shared" si="222"/>
        <v>0</v>
      </c>
      <c r="CN278" s="8">
        <f t="shared" si="223"/>
        <v>0</v>
      </c>
      <c r="CO278" s="8">
        <f t="shared" si="224"/>
        <v>0</v>
      </c>
      <c r="CP278" s="8">
        <f t="shared" si="225"/>
        <v>0</v>
      </c>
      <c r="CQ278" s="8">
        <f t="shared" si="226"/>
        <v>0</v>
      </c>
      <c r="CR278" s="8">
        <f t="shared" si="227"/>
        <v>0</v>
      </c>
      <c r="CS278" s="8">
        <f t="shared" si="228"/>
        <v>0</v>
      </c>
      <c r="CT278" s="8">
        <f t="shared" si="233"/>
        <v>0</v>
      </c>
      <c r="CU278" s="8">
        <f t="shared" si="234"/>
        <v>0</v>
      </c>
      <c r="CV278" s="8">
        <f t="shared" si="235"/>
        <v>0</v>
      </c>
    </row>
    <row r="279" spans="1:100" ht="25.25" customHeight="1" thickTop="1" thickBot="1" x14ac:dyDescent="0.5">
      <c r="A279" s="32"/>
      <c r="B279" s="10"/>
      <c r="C279" s="10"/>
      <c r="D279" s="11"/>
      <c r="E279" s="10"/>
      <c r="F279" s="10"/>
      <c r="G279" s="19"/>
      <c r="H279" s="19"/>
      <c r="I279" s="19"/>
      <c r="J279" s="19"/>
      <c r="K279" s="10"/>
      <c r="L279" s="10"/>
      <c r="M279" s="10"/>
      <c r="N279" s="10"/>
      <c r="O279" s="18"/>
      <c r="P279" s="18"/>
      <c r="Q279" s="21"/>
      <c r="R279" s="20"/>
      <c r="S279" s="16">
        <f t="shared" si="191"/>
        <v>0</v>
      </c>
      <c r="T279" s="11"/>
      <c r="AS279" s="31">
        <f t="shared" si="192"/>
        <v>0</v>
      </c>
      <c r="AT279" s="31">
        <f t="shared" si="193"/>
        <v>0</v>
      </c>
      <c r="AU279" s="31">
        <f t="shared" si="194"/>
        <v>0</v>
      </c>
      <c r="AV279" s="31">
        <f t="shared" si="195"/>
        <v>0</v>
      </c>
      <c r="AW279" s="31">
        <f t="shared" si="196"/>
        <v>0</v>
      </c>
      <c r="AX279" s="31">
        <f t="shared" si="197"/>
        <v>0</v>
      </c>
      <c r="AY279" s="31">
        <f t="shared" si="198"/>
        <v>0</v>
      </c>
      <c r="AZ279" s="31">
        <f t="shared" si="199"/>
        <v>0</v>
      </c>
      <c r="BA279" s="31">
        <f t="shared" si="200"/>
        <v>0</v>
      </c>
      <c r="BB279" s="31">
        <f t="shared" si="229"/>
        <v>0</v>
      </c>
      <c r="BC279" s="31"/>
      <c r="BD279" s="31"/>
      <c r="BM279" s="8">
        <f t="shared" si="230"/>
        <v>0</v>
      </c>
      <c r="BN279" s="8">
        <f t="shared" si="201"/>
        <v>0</v>
      </c>
      <c r="BO279" s="8">
        <f t="shared" si="202"/>
        <v>0</v>
      </c>
      <c r="BQ279" s="8">
        <f t="shared" si="203"/>
        <v>0</v>
      </c>
      <c r="BR279" s="63">
        <f t="shared" si="204"/>
        <v>0</v>
      </c>
      <c r="BS279" s="63">
        <f t="shared" si="231"/>
        <v>0</v>
      </c>
      <c r="BT279" s="63">
        <f t="shared" si="205"/>
        <v>0</v>
      </c>
      <c r="BU279" s="63">
        <f t="shared" si="206"/>
        <v>0</v>
      </c>
      <c r="BV279" s="57">
        <f t="shared" si="207"/>
        <v>0</v>
      </c>
      <c r="BW279" s="57">
        <f t="shared" si="208"/>
        <v>0</v>
      </c>
      <c r="BX279" s="57">
        <f t="shared" si="232"/>
        <v>0</v>
      </c>
      <c r="BY279" s="57">
        <f t="shared" si="190"/>
        <v>0</v>
      </c>
      <c r="BZ279" s="8">
        <f t="shared" si="209"/>
        <v>0</v>
      </c>
      <c r="CA279" s="8">
        <f t="shared" si="210"/>
        <v>0</v>
      </c>
      <c r="CB279" s="8">
        <f t="shared" si="211"/>
        <v>0</v>
      </c>
      <c r="CC279" s="8">
        <f t="shared" si="212"/>
        <v>0</v>
      </c>
      <c r="CD279" s="8">
        <f t="shared" si="213"/>
        <v>0</v>
      </c>
      <c r="CE279" s="8">
        <f t="shared" si="214"/>
        <v>0</v>
      </c>
      <c r="CF279" s="8">
        <f t="shared" si="215"/>
        <v>0</v>
      </c>
      <c r="CG279" s="8">
        <f t="shared" si="216"/>
        <v>0</v>
      </c>
      <c r="CH279" s="8">
        <f t="shared" si="217"/>
        <v>0</v>
      </c>
      <c r="CI279" s="8">
        <f t="shared" si="218"/>
        <v>0</v>
      </c>
      <c r="CJ279" s="8">
        <f t="shared" si="219"/>
        <v>0</v>
      </c>
      <c r="CK279" s="8">
        <f t="shared" si="220"/>
        <v>0</v>
      </c>
      <c r="CL279" s="8">
        <f t="shared" si="221"/>
        <v>0</v>
      </c>
      <c r="CM279" s="8">
        <f t="shared" si="222"/>
        <v>0</v>
      </c>
      <c r="CN279" s="8">
        <f t="shared" si="223"/>
        <v>0</v>
      </c>
      <c r="CO279" s="8">
        <f t="shared" si="224"/>
        <v>0</v>
      </c>
      <c r="CP279" s="8">
        <f t="shared" si="225"/>
        <v>0</v>
      </c>
      <c r="CQ279" s="8">
        <f t="shared" si="226"/>
        <v>0</v>
      </c>
      <c r="CR279" s="8">
        <f t="shared" si="227"/>
        <v>0</v>
      </c>
      <c r="CS279" s="8">
        <f t="shared" si="228"/>
        <v>0</v>
      </c>
      <c r="CT279" s="8">
        <f t="shared" si="233"/>
        <v>0</v>
      </c>
      <c r="CU279" s="8">
        <f t="shared" si="234"/>
        <v>0</v>
      </c>
      <c r="CV279" s="8">
        <f t="shared" si="235"/>
        <v>0</v>
      </c>
    </row>
    <row r="280" spans="1:100" ht="25.25" customHeight="1" thickTop="1" thickBot="1" x14ac:dyDescent="0.5">
      <c r="A280" s="32"/>
      <c r="B280" s="10"/>
      <c r="C280" s="10"/>
      <c r="D280" s="11"/>
      <c r="E280" s="10"/>
      <c r="F280" s="10"/>
      <c r="G280" s="19"/>
      <c r="H280" s="19"/>
      <c r="I280" s="19"/>
      <c r="J280" s="19"/>
      <c r="K280" s="10"/>
      <c r="L280" s="10"/>
      <c r="M280" s="10"/>
      <c r="N280" s="10"/>
      <c r="O280" s="18"/>
      <c r="P280" s="18"/>
      <c r="Q280" s="21"/>
      <c r="R280" s="20"/>
      <c r="S280" s="16">
        <f t="shared" si="191"/>
        <v>0</v>
      </c>
      <c r="T280" s="11"/>
      <c r="AS280" s="31">
        <f t="shared" si="192"/>
        <v>0</v>
      </c>
      <c r="AT280" s="31">
        <f t="shared" si="193"/>
        <v>0</v>
      </c>
      <c r="AU280" s="31">
        <f t="shared" si="194"/>
        <v>0</v>
      </c>
      <c r="AV280" s="31">
        <f t="shared" si="195"/>
        <v>0</v>
      </c>
      <c r="AW280" s="31">
        <f t="shared" si="196"/>
        <v>0</v>
      </c>
      <c r="AX280" s="31">
        <f t="shared" si="197"/>
        <v>0</v>
      </c>
      <c r="AY280" s="31">
        <f t="shared" si="198"/>
        <v>0</v>
      </c>
      <c r="AZ280" s="31">
        <f t="shared" si="199"/>
        <v>0</v>
      </c>
      <c r="BA280" s="31">
        <f t="shared" si="200"/>
        <v>0</v>
      </c>
      <c r="BB280" s="31">
        <f t="shared" si="229"/>
        <v>0</v>
      </c>
      <c r="BC280" s="31"/>
      <c r="BD280" s="31"/>
      <c r="BM280" s="8">
        <f t="shared" si="230"/>
        <v>0</v>
      </c>
      <c r="BN280" s="8">
        <f t="shared" si="201"/>
        <v>0</v>
      </c>
      <c r="BO280" s="8">
        <f t="shared" si="202"/>
        <v>0</v>
      </c>
      <c r="BQ280" s="8">
        <f t="shared" si="203"/>
        <v>0</v>
      </c>
      <c r="BR280" s="63">
        <f t="shared" si="204"/>
        <v>0</v>
      </c>
      <c r="BS280" s="63">
        <f t="shared" si="231"/>
        <v>0</v>
      </c>
      <c r="BT280" s="63">
        <f t="shared" si="205"/>
        <v>0</v>
      </c>
      <c r="BU280" s="63">
        <f t="shared" si="206"/>
        <v>0</v>
      </c>
      <c r="BV280" s="57">
        <f t="shared" si="207"/>
        <v>0</v>
      </c>
      <c r="BW280" s="57">
        <f t="shared" si="208"/>
        <v>0</v>
      </c>
      <c r="BX280" s="57">
        <f t="shared" si="232"/>
        <v>0</v>
      </c>
      <c r="BY280" s="57">
        <f t="shared" si="190"/>
        <v>0</v>
      </c>
      <c r="BZ280" s="8">
        <f t="shared" si="209"/>
        <v>0</v>
      </c>
      <c r="CA280" s="8">
        <f t="shared" si="210"/>
        <v>0</v>
      </c>
      <c r="CB280" s="8">
        <f t="shared" si="211"/>
        <v>0</v>
      </c>
      <c r="CC280" s="8">
        <f t="shared" si="212"/>
        <v>0</v>
      </c>
      <c r="CD280" s="8">
        <f t="shared" si="213"/>
        <v>0</v>
      </c>
      <c r="CE280" s="8">
        <f t="shared" si="214"/>
        <v>0</v>
      </c>
      <c r="CF280" s="8">
        <f t="shared" si="215"/>
        <v>0</v>
      </c>
      <c r="CG280" s="8">
        <f t="shared" si="216"/>
        <v>0</v>
      </c>
      <c r="CH280" s="8">
        <f t="shared" si="217"/>
        <v>0</v>
      </c>
      <c r="CI280" s="8">
        <f t="shared" si="218"/>
        <v>0</v>
      </c>
      <c r="CJ280" s="8">
        <f t="shared" si="219"/>
        <v>0</v>
      </c>
      <c r="CK280" s="8">
        <f t="shared" si="220"/>
        <v>0</v>
      </c>
      <c r="CL280" s="8">
        <f t="shared" si="221"/>
        <v>0</v>
      </c>
      <c r="CM280" s="8">
        <f t="shared" si="222"/>
        <v>0</v>
      </c>
      <c r="CN280" s="8">
        <f t="shared" si="223"/>
        <v>0</v>
      </c>
      <c r="CO280" s="8">
        <f t="shared" si="224"/>
        <v>0</v>
      </c>
      <c r="CP280" s="8">
        <f t="shared" si="225"/>
        <v>0</v>
      </c>
      <c r="CQ280" s="8">
        <f t="shared" si="226"/>
        <v>0</v>
      </c>
      <c r="CR280" s="8">
        <f t="shared" si="227"/>
        <v>0</v>
      </c>
      <c r="CS280" s="8">
        <f t="shared" si="228"/>
        <v>0</v>
      </c>
      <c r="CT280" s="8">
        <f t="shared" si="233"/>
        <v>0</v>
      </c>
      <c r="CU280" s="8">
        <f t="shared" si="234"/>
        <v>0</v>
      </c>
      <c r="CV280" s="8">
        <f t="shared" si="235"/>
        <v>0</v>
      </c>
    </row>
    <row r="281" spans="1:100" ht="25.25" customHeight="1" thickTop="1" thickBot="1" x14ac:dyDescent="0.5">
      <c r="A281" s="32"/>
      <c r="B281" s="10"/>
      <c r="C281" s="10"/>
      <c r="D281" s="11"/>
      <c r="E281" s="10"/>
      <c r="F281" s="10"/>
      <c r="G281" s="19"/>
      <c r="H281" s="19"/>
      <c r="I281" s="19"/>
      <c r="J281" s="19"/>
      <c r="K281" s="10"/>
      <c r="L281" s="10"/>
      <c r="M281" s="10"/>
      <c r="N281" s="10"/>
      <c r="O281" s="18"/>
      <c r="P281" s="18"/>
      <c r="Q281" s="21"/>
      <c r="R281" s="20"/>
      <c r="S281" s="16">
        <f t="shared" si="191"/>
        <v>0</v>
      </c>
      <c r="T281" s="11"/>
      <c r="AS281" s="31">
        <f t="shared" si="192"/>
        <v>0</v>
      </c>
      <c r="AT281" s="31">
        <f t="shared" si="193"/>
        <v>0</v>
      </c>
      <c r="AU281" s="31">
        <f t="shared" si="194"/>
        <v>0</v>
      </c>
      <c r="AV281" s="31">
        <f t="shared" si="195"/>
        <v>0</v>
      </c>
      <c r="AW281" s="31">
        <f t="shared" si="196"/>
        <v>0</v>
      </c>
      <c r="AX281" s="31">
        <f t="shared" si="197"/>
        <v>0</v>
      </c>
      <c r="AY281" s="31">
        <f t="shared" si="198"/>
        <v>0</v>
      </c>
      <c r="AZ281" s="31">
        <f t="shared" si="199"/>
        <v>0</v>
      </c>
      <c r="BA281" s="31">
        <f t="shared" si="200"/>
        <v>0</v>
      </c>
      <c r="BB281" s="31">
        <f t="shared" si="229"/>
        <v>0</v>
      </c>
      <c r="BC281" s="31"/>
      <c r="BD281" s="31"/>
      <c r="BM281" s="8">
        <f t="shared" si="230"/>
        <v>0</v>
      </c>
      <c r="BN281" s="8">
        <f t="shared" si="201"/>
        <v>0</v>
      </c>
      <c r="BO281" s="8">
        <f t="shared" si="202"/>
        <v>0</v>
      </c>
      <c r="BQ281" s="8">
        <f t="shared" si="203"/>
        <v>0</v>
      </c>
      <c r="BR281" s="63">
        <f t="shared" si="204"/>
        <v>0</v>
      </c>
      <c r="BS281" s="63">
        <f t="shared" si="231"/>
        <v>0</v>
      </c>
      <c r="BT281" s="63">
        <f t="shared" si="205"/>
        <v>0</v>
      </c>
      <c r="BU281" s="63">
        <f t="shared" si="206"/>
        <v>0</v>
      </c>
      <c r="BV281" s="57">
        <f t="shared" si="207"/>
        <v>0</v>
      </c>
      <c r="BW281" s="57">
        <f t="shared" si="208"/>
        <v>0</v>
      </c>
      <c r="BX281" s="57">
        <f t="shared" si="232"/>
        <v>0</v>
      </c>
      <c r="BY281" s="57">
        <f t="shared" si="190"/>
        <v>0</v>
      </c>
      <c r="BZ281" s="8">
        <f t="shared" si="209"/>
        <v>0</v>
      </c>
      <c r="CA281" s="8">
        <f t="shared" si="210"/>
        <v>0</v>
      </c>
      <c r="CB281" s="8">
        <f t="shared" si="211"/>
        <v>0</v>
      </c>
      <c r="CC281" s="8">
        <f t="shared" si="212"/>
        <v>0</v>
      </c>
      <c r="CD281" s="8">
        <f t="shared" si="213"/>
        <v>0</v>
      </c>
      <c r="CE281" s="8">
        <f t="shared" si="214"/>
        <v>0</v>
      </c>
      <c r="CF281" s="8">
        <f t="shared" si="215"/>
        <v>0</v>
      </c>
      <c r="CG281" s="8">
        <f t="shared" si="216"/>
        <v>0</v>
      </c>
      <c r="CH281" s="8">
        <f t="shared" si="217"/>
        <v>0</v>
      </c>
      <c r="CI281" s="8">
        <f t="shared" si="218"/>
        <v>0</v>
      </c>
      <c r="CJ281" s="8">
        <f t="shared" si="219"/>
        <v>0</v>
      </c>
      <c r="CK281" s="8">
        <f t="shared" si="220"/>
        <v>0</v>
      </c>
      <c r="CL281" s="8">
        <f t="shared" si="221"/>
        <v>0</v>
      </c>
      <c r="CM281" s="8">
        <f t="shared" si="222"/>
        <v>0</v>
      </c>
      <c r="CN281" s="8">
        <f t="shared" si="223"/>
        <v>0</v>
      </c>
      <c r="CO281" s="8">
        <f t="shared" si="224"/>
        <v>0</v>
      </c>
      <c r="CP281" s="8">
        <f t="shared" si="225"/>
        <v>0</v>
      </c>
      <c r="CQ281" s="8">
        <f t="shared" si="226"/>
        <v>0</v>
      </c>
      <c r="CR281" s="8">
        <f t="shared" si="227"/>
        <v>0</v>
      </c>
      <c r="CS281" s="8">
        <f t="shared" si="228"/>
        <v>0</v>
      </c>
      <c r="CT281" s="8">
        <f t="shared" si="233"/>
        <v>0</v>
      </c>
      <c r="CU281" s="8">
        <f t="shared" si="234"/>
        <v>0</v>
      </c>
      <c r="CV281" s="8">
        <f t="shared" si="235"/>
        <v>0</v>
      </c>
    </row>
    <row r="282" spans="1:100" ht="25.25" customHeight="1" thickTop="1" thickBot="1" x14ac:dyDescent="0.5">
      <c r="A282" s="32"/>
      <c r="B282" s="10"/>
      <c r="C282" s="10"/>
      <c r="D282" s="11"/>
      <c r="E282" s="10"/>
      <c r="F282" s="10"/>
      <c r="G282" s="19"/>
      <c r="H282" s="19"/>
      <c r="I282" s="19"/>
      <c r="J282" s="19"/>
      <c r="K282" s="10"/>
      <c r="L282" s="10"/>
      <c r="M282" s="10"/>
      <c r="N282" s="10"/>
      <c r="O282" s="18"/>
      <c r="P282" s="18"/>
      <c r="Q282" s="21"/>
      <c r="R282" s="20"/>
      <c r="S282" s="16">
        <f t="shared" si="191"/>
        <v>0</v>
      </c>
      <c r="T282" s="11"/>
      <c r="AS282" s="31">
        <f t="shared" si="192"/>
        <v>0</v>
      </c>
      <c r="AT282" s="31">
        <f t="shared" si="193"/>
        <v>0</v>
      </c>
      <c r="AU282" s="31">
        <f t="shared" si="194"/>
        <v>0</v>
      </c>
      <c r="AV282" s="31">
        <f t="shared" si="195"/>
        <v>0</v>
      </c>
      <c r="AW282" s="31">
        <f t="shared" si="196"/>
        <v>0</v>
      </c>
      <c r="AX282" s="31">
        <f t="shared" si="197"/>
        <v>0</v>
      </c>
      <c r="AY282" s="31">
        <f t="shared" si="198"/>
        <v>0</v>
      </c>
      <c r="AZ282" s="31">
        <f t="shared" si="199"/>
        <v>0</v>
      </c>
      <c r="BA282" s="31">
        <f t="shared" si="200"/>
        <v>0</v>
      </c>
      <c r="BB282" s="31">
        <f t="shared" si="229"/>
        <v>0</v>
      </c>
      <c r="BC282" s="31"/>
      <c r="BD282" s="31"/>
      <c r="BM282" s="8">
        <f t="shared" si="230"/>
        <v>0</v>
      </c>
      <c r="BN282" s="8">
        <f t="shared" si="201"/>
        <v>0</v>
      </c>
      <c r="BO282" s="8">
        <f t="shared" si="202"/>
        <v>0</v>
      </c>
      <c r="BQ282" s="8">
        <f t="shared" si="203"/>
        <v>0</v>
      </c>
      <c r="BR282" s="63">
        <f t="shared" si="204"/>
        <v>0</v>
      </c>
      <c r="BS282" s="63">
        <f t="shared" si="231"/>
        <v>0</v>
      </c>
      <c r="BT282" s="63">
        <f t="shared" si="205"/>
        <v>0</v>
      </c>
      <c r="BU282" s="63">
        <f t="shared" si="206"/>
        <v>0</v>
      </c>
      <c r="BV282" s="57">
        <f t="shared" si="207"/>
        <v>0</v>
      </c>
      <c r="BW282" s="57">
        <f t="shared" si="208"/>
        <v>0</v>
      </c>
      <c r="BX282" s="57">
        <f t="shared" si="232"/>
        <v>0</v>
      </c>
      <c r="BY282" s="57">
        <f t="shared" si="190"/>
        <v>0</v>
      </c>
      <c r="BZ282" s="8">
        <f t="shared" si="209"/>
        <v>0</v>
      </c>
      <c r="CA282" s="8">
        <f t="shared" si="210"/>
        <v>0</v>
      </c>
      <c r="CB282" s="8">
        <f t="shared" si="211"/>
        <v>0</v>
      </c>
      <c r="CC282" s="8">
        <f t="shared" si="212"/>
        <v>0</v>
      </c>
      <c r="CD282" s="8">
        <f t="shared" si="213"/>
        <v>0</v>
      </c>
      <c r="CE282" s="8">
        <f t="shared" si="214"/>
        <v>0</v>
      </c>
      <c r="CF282" s="8">
        <f t="shared" si="215"/>
        <v>0</v>
      </c>
      <c r="CG282" s="8">
        <f t="shared" si="216"/>
        <v>0</v>
      </c>
      <c r="CH282" s="8">
        <f t="shared" si="217"/>
        <v>0</v>
      </c>
      <c r="CI282" s="8">
        <f t="shared" si="218"/>
        <v>0</v>
      </c>
      <c r="CJ282" s="8">
        <f t="shared" si="219"/>
        <v>0</v>
      </c>
      <c r="CK282" s="8">
        <f t="shared" si="220"/>
        <v>0</v>
      </c>
      <c r="CL282" s="8">
        <f t="shared" si="221"/>
        <v>0</v>
      </c>
      <c r="CM282" s="8">
        <f t="shared" si="222"/>
        <v>0</v>
      </c>
      <c r="CN282" s="8">
        <f t="shared" si="223"/>
        <v>0</v>
      </c>
      <c r="CO282" s="8">
        <f t="shared" si="224"/>
        <v>0</v>
      </c>
      <c r="CP282" s="8">
        <f t="shared" si="225"/>
        <v>0</v>
      </c>
      <c r="CQ282" s="8">
        <f t="shared" si="226"/>
        <v>0</v>
      </c>
      <c r="CR282" s="8">
        <f t="shared" si="227"/>
        <v>0</v>
      </c>
      <c r="CS282" s="8">
        <f t="shared" si="228"/>
        <v>0</v>
      </c>
      <c r="CT282" s="8">
        <f t="shared" si="233"/>
        <v>0</v>
      </c>
      <c r="CU282" s="8">
        <f t="shared" si="234"/>
        <v>0</v>
      </c>
      <c r="CV282" s="8">
        <f t="shared" si="235"/>
        <v>0</v>
      </c>
    </row>
    <row r="283" spans="1:100" ht="25.25" customHeight="1" thickTop="1" thickBot="1" x14ac:dyDescent="0.5">
      <c r="A283" s="32"/>
      <c r="B283" s="10"/>
      <c r="C283" s="10"/>
      <c r="D283" s="11"/>
      <c r="E283" s="10"/>
      <c r="F283" s="10"/>
      <c r="G283" s="19"/>
      <c r="H283" s="19"/>
      <c r="I283" s="19"/>
      <c r="J283" s="19"/>
      <c r="K283" s="10"/>
      <c r="L283" s="10"/>
      <c r="M283" s="10"/>
      <c r="N283" s="10"/>
      <c r="O283" s="18"/>
      <c r="P283" s="18"/>
      <c r="Q283" s="21"/>
      <c r="R283" s="20"/>
      <c r="S283" s="16">
        <f t="shared" si="191"/>
        <v>0</v>
      </c>
      <c r="T283" s="11"/>
      <c r="AS283" s="31">
        <f t="shared" si="192"/>
        <v>0</v>
      </c>
      <c r="AT283" s="31">
        <f t="shared" si="193"/>
        <v>0</v>
      </c>
      <c r="AU283" s="31">
        <f t="shared" si="194"/>
        <v>0</v>
      </c>
      <c r="AV283" s="31">
        <f t="shared" si="195"/>
        <v>0</v>
      </c>
      <c r="AW283" s="31">
        <f t="shared" si="196"/>
        <v>0</v>
      </c>
      <c r="AX283" s="31">
        <f t="shared" si="197"/>
        <v>0</v>
      </c>
      <c r="AY283" s="31">
        <f t="shared" si="198"/>
        <v>0</v>
      </c>
      <c r="AZ283" s="31">
        <f t="shared" si="199"/>
        <v>0</v>
      </c>
      <c r="BA283" s="31">
        <f t="shared" si="200"/>
        <v>0</v>
      </c>
      <c r="BB283" s="31">
        <f t="shared" si="229"/>
        <v>0</v>
      </c>
      <c r="BC283" s="31"/>
      <c r="BD283" s="31"/>
      <c r="BM283" s="8">
        <f t="shared" si="230"/>
        <v>0</v>
      </c>
      <c r="BN283" s="8">
        <f t="shared" si="201"/>
        <v>0</v>
      </c>
      <c r="BO283" s="8">
        <f t="shared" si="202"/>
        <v>0</v>
      </c>
      <c r="BQ283" s="8">
        <f t="shared" si="203"/>
        <v>0</v>
      </c>
      <c r="BR283" s="63">
        <f t="shared" si="204"/>
        <v>0</v>
      </c>
      <c r="BS283" s="63">
        <f t="shared" si="231"/>
        <v>0</v>
      </c>
      <c r="BT283" s="63">
        <f t="shared" si="205"/>
        <v>0</v>
      </c>
      <c r="BU283" s="63">
        <f t="shared" si="206"/>
        <v>0</v>
      </c>
      <c r="BV283" s="57">
        <f t="shared" si="207"/>
        <v>0</v>
      </c>
      <c r="BW283" s="57">
        <f t="shared" si="208"/>
        <v>0</v>
      </c>
      <c r="BX283" s="57">
        <f t="shared" si="232"/>
        <v>0</v>
      </c>
      <c r="BY283" s="57">
        <f t="shared" si="190"/>
        <v>0</v>
      </c>
      <c r="BZ283" s="8">
        <f t="shared" si="209"/>
        <v>0</v>
      </c>
      <c r="CA283" s="8">
        <f t="shared" si="210"/>
        <v>0</v>
      </c>
      <c r="CB283" s="8">
        <f t="shared" si="211"/>
        <v>0</v>
      </c>
      <c r="CC283" s="8">
        <f t="shared" si="212"/>
        <v>0</v>
      </c>
      <c r="CD283" s="8">
        <f t="shared" si="213"/>
        <v>0</v>
      </c>
      <c r="CE283" s="8">
        <f t="shared" si="214"/>
        <v>0</v>
      </c>
      <c r="CF283" s="8">
        <f t="shared" si="215"/>
        <v>0</v>
      </c>
      <c r="CG283" s="8">
        <f t="shared" si="216"/>
        <v>0</v>
      </c>
      <c r="CH283" s="8">
        <f t="shared" si="217"/>
        <v>0</v>
      </c>
      <c r="CI283" s="8">
        <f t="shared" si="218"/>
        <v>0</v>
      </c>
      <c r="CJ283" s="8">
        <f t="shared" si="219"/>
        <v>0</v>
      </c>
      <c r="CK283" s="8">
        <f t="shared" si="220"/>
        <v>0</v>
      </c>
      <c r="CL283" s="8">
        <f t="shared" si="221"/>
        <v>0</v>
      </c>
      <c r="CM283" s="8">
        <f t="shared" si="222"/>
        <v>0</v>
      </c>
      <c r="CN283" s="8">
        <f t="shared" si="223"/>
        <v>0</v>
      </c>
      <c r="CO283" s="8">
        <f t="shared" si="224"/>
        <v>0</v>
      </c>
      <c r="CP283" s="8">
        <f t="shared" si="225"/>
        <v>0</v>
      </c>
      <c r="CQ283" s="8">
        <f t="shared" si="226"/>
        <v>0</v>
      </c>
      <c r="CR283" s="8">
        <f t="shared" si="227"/>
        <v>0</v>
      </c>
      <c r="CS283" s="8">
        <f t="shared" si="228"/>
        <v>0</v>
      </c>
      <c r="CT283" s="8">
        <f t="shared" si="233"/>
        <v>0</v>
      </c>
      <c r="CU283" s="8">
        <f t="shared" si="234"/>
        <v>0</v>
      </c>
      <c r="CV283" s="8">
        <f t="shared" si="235"/>
        <v>0</v>
      </c>
    </row>
    <row r="284" spans="1:100" ht="25.25" customHeight="1" thickTop="1" thickBot="1" x14ac:dyDescent="0.5">
      <c r="A284" s="32"/>
      <c r="B284" s="10"/>
      <c r="C284" s="10"/>
      <c r="D284" s="11"/>
      <c r="E284" s="10"/>
      <c r="F284" s="10"/>
      <c r="G284" s="19"/>
      <c r="H284" s="19"/>
      <c r="I284" s="19"/>
      <c r="J284" s="19"/>
      <c r="K284" s="10"/>
      <c r="L284" s="10"/>
      <c r="M284" s="10"/>
      <c r="N284" s="10"/>
      <c r="O284" s="18"/>
      <c r="P284" s="18"/>
      <c r="Q284" s="21"/>
      <c r="R284" s="20"/>
      <c r="S284" s="16">
        <f t="shared" si="191"/>
        <v>0</v>
      </c>
      <c r="T284" s="11"/>
      <c r="AS284" s="31">
        <f t="shared" si="192"/>
        <v>0</v>
      </c>
      <c r="AT284" s="31">
        <f t="shared" si="193"/>
        <v>0</v>
      </c>
      <c r="AU284" s="31">
        <f t="shared" si="194"/>
        <v>0</v>
      </c>
      <c r="AV284" s="31">
        <f t="shared" si="195"/>
        <v>0</v>
      </c>
      <c r="AW284" s="31">
        <f t="shared" si="196"/>
        <v>0</v>
      </c>
      <c r="AX284" s="31">
        <f t="shared" si="197"/>
        <v>0</v>
      </c>
      <c r="AY284" s="31">
        <f t="shared" si="198"/>
        <v>0</v>
      </c>
      <c r="AZ284" s="31">
        <f t="shared" si="199"/>
        <v>0</v>
      </c>
      <c r="BA284" s="31">
        <f t="shared" si="200"/>
        <v>0</v>
      </c>
      <c r="BB284" s="31">
        <f t="shared" si="229"/>
        <v>0</v>
      </c>
      <c r="BC284" s="31"/>
      <c r="BD284" s="31"/>
      <c r="BM284" s="8">
        <f t="shared" si="230"/>
        <v>0</v>
      </c>
      <c r="BN284" s="8">
        <f t="shared" si="201"/>
        <v>0</v>
      </c>
      <c r="BO284" s="8">
        <f t="shared" si="202"/>
        <v>0</v>
      </c>
      <c r="BQ284" s="8">
        <f t="shared" si="203"/>
        <v>0</v>
      </c>
      <c r="BR284" s="63">
        <f t="shared" si="204"/>
        <v>0</v>
      </c>
      <c r="BS284" s="63">
        <f t="shared" si="231"/>
        <v>0</v>
      </c>
      <c r="BT284" s="63">
        <f t="shared" si="205"/>
        <v>0</v>
      </c>
      <c r="BU284" s="63">
        <f t="shared" si="206"/>
        <v>0</v>
      </c>
      <c r="BV284" s="57">
        <f t="shared" si="207"/>
        <v>0</v>
      </c>
      <c r="BW284" s="57">
        <f t="shared" si="208"/>
        <v>0</v>
      </c>
      <c r="BX284" s="57">
        <f t="shared" si="232"/>
        <v>0</v>
      </c>
      <c r="BY284" s="57">
        <f t="shared" si="190"/>
        <v>0</v>
      </c>
      <c r="BZ284" s="8">
        <f t="shared" si="209"/>
        <v>0</v>
      </c>
      <c r="CA284" s="8">
        <f t="shared" si="210"/>
        <v>0</v>
      </c>
      <c r="CB284" s="8">
        <f t="shared" si="211"/>
        <v>0</v>
      </c>
      <c r="CC284" s="8">
        <f t="shared" si="212"/>
        <v>0</v>
      </c>
      <c r="CD284" s="8">
        <f t="shared" si="213"/>
        <v>0</v>
      </c>
      <c r="CE284" s="8">
        <f t="shared" si="214"/>
        <v>0</v>
      </c>
      <c r="CF284" s="8">
        <f t="shared" si="215"/>
        <v>0</v>
      </c>
      <c r="CG284" s="8">
        <f t="shared" si="216"/>
        <v>0</v>
      </c>
      <c r="CH284" s="8">
        <f t="shared" si="217"/>
        <v>0</v>
      </c>
      <c r="CI284" s="8">
        <f t="shared" si="218"/>
        <v>0</v>
      </c>
      <c r="CJ284" s="8">
        <f t="shared" si="219"/>
        <v>0</v>
      </c>
      <c r="CK284" s="8">
        <f t="shared" si="220"/>
        <v>0</v>
      </c>
      <c r="CL284" s="8">
        <f t="shared" si="221"/>
        <v>0</v>
      </c>
      <c r="CM284" s="8">
        <f t="shared" si="222"/>
        <v>0</v>
      </c>
      <c r="CN284" s="8">
        <f t="shared" si="223"/>
        <v>0</v>
      </c>
      <c r="CO284" s="8">
        <f t="shared" si="224"/>
        <v>0</v>
      </c>
      <c r="CP284" s="8">
        <f t="shared" si="225"/>
        <v>0</v>
      </c>
      <c r="CQ284" s="8">
        <f t="shared" si="226"/>
        <v>0</v>
      </c>
      <c r="CR284" s="8">
        <f t="shared" si="227"/>
        <v>0</v>
      </c>
      <c r="CS284" s="8">
        <f t="shared" si="228"/>
        <v>0</v>
      </c>
      <c r="CT284" s="8">
        <f t="shared" si="233"/>
        <v>0</v>
      </c>
      <c r="CU284" s="8">
        <f t="shared" si="234"/>
        <v>0</v>
      </c>
      <c r="CV284" s="8">
        <f t="shared" si="235"/>
        <v>0</v>
      </c>
    </row>
    <row r="285" spans="1:100" ht="25.25" customHeight="1" thickTop="1" thickBot="1" x14ac:dyDescent="0.5">
      <c r="A285" s="32"/>
      <c r="B285" s="10"/>
      <c r="C285" s="10"/>
      <c r="D285" s="11"/>
      <c r="E285" s="10"/>
      <c r="F285" s="10"/>
      <c r="G285" s="19"/>
      <c r="H285" s="19"/>
      <c r="I285" s="19"/>
      <c r="J285" s="19"/>
      <c r="K285" s="10"/>
      <c r="L285" s="10"/>
      <c r="M285" s="10"/>
      <c r="N285" s="10"/>
      <c r="O285" s="18"/>
      <c r="P285" s="18"/>
      <c r="Q285" s="21"/>
      <c r="R285" s="20"/>
      <c r="S285" s="16">
        <f t="shared" si="191"/>
        <v>0</v>
      </c>
      <c r="T285" s="11"/>
      <c r="AS285" s="31">
        <f t="shared" si="192"/>
        <v>0</v>
      </c>
      <c r="AT285" s="31">
        <f t="shared" si="193"/>
        <v>0</v>
      </c>
      <c r="AU285" s="31">
        <f t="shared" si="194"/>
        <v>0</v>
      </c>
      <c r="AV285" s="31">
        <f t="shared" si="195"/>
        <v>0</v>
      </c>
      <c r="AW285" s="31">
        <f t="shared" si="196"/>
        <v>0</v>
      </c>
      <c r="AX285" s="31">
        <f t="shared" si="197"/>
        <v>0</v>
      </c>
      <c r="AY285" s="31">
        <f t="shared" si="198"/>
        <v>0</v>
      </c>
      <c r="AZ285" s="31">
        <f t="shared" si="199"/>
        <v>0</v>
      </c>
      <c r="BA285" s="31">
        <f t="shared" si="200"/>
        <v>0</v>
      </c>
      <c r="BB285" s="31">
        <f t="shared" si="229"/>
        <v>0</v>
      </c>
      <c r="BC285" s="31"/>
      <c r="BD285" s="31"/>
      <c r="BM285" s="8">
        <f t="shared" si="230"/>
        <v>0</v>
      </c>
      <c r="BN285" s="8">
        <f t="shared" si="201"/>
        <v>0</v>
      </c>
      <c r="BO285" s="8">
        <f t="shared" si="202"/>
        <v>0</v>
      </c>
      <c r="BQ285" s="8">
        <f t="shared" si="203"/>
        <v>0</v>
      </c>
      <c r="BR285" s="63">
        <f t="shared" si="204"/>
        <v>0</v>
      </c>
      <c r="BS285" s="63">
        <f t="shared" si="231"/>
        <v>0</v>
      </c>
      <c r="BT285" s="63">
        <f t="shared" si="205"/>
        <v>0</v>
      </c>
      <c r="BU285" s="63">
        <f t="shared" si="206"/>
        <v>0</v>
      </c>
      <c r="BV285" s="57">
        <f t="shared" si="207"/>
        <v>0</v>
      </c>
      <c r="BW285" s="57">
        <f t="shared" si="208"/>
        <v>0</v>
      </c>
      <c r="BX285" s="57">
        <f t="shared" si="232"/>
        <v>0</v>
      </c>
      <c r="BY285" s="57">
        <f t="shared" ref="BY285:BY348" si="236">IF(AND(OR(N285="YES",N285="HDD",N285="EX PIPES"),K285=""),D285*(F285+G285),0)</f>
        <v>0</v>
      </c>
      <c r="BZ285" s="8">
        <f t="shared" si="209"/>
        <v>0</v>
      </c>
      <c r="CA285" s="8">
        <f t="shared" si="210"/>
        <v>0</v>
      </c>
      <c r="CB285" s="8">
        <f t="shared" si="211"/>
        <v>0</v>
      </c>
      <c r="CC285" s="8">
        <f t="shared" si="212"/>
        <v>0</v>
      </c>
      <c r="CD285" s="8">
        <f t="shared" si="213"/>
        <v>0</v>
      </c>
      <c r="CE285" s="8">
        <f t="shared" si="214"/>
        <v>0</v>
      </c>
      <c r="CF285" s="8">
        <f t="shared" si="215"/>
        <v>0</v>
      </c>
      <c r="CG285" s="8">
        <f t="shared" si="216"/>
        <v>0</v>
      </c>
      <c r="CH285" s="8">
        <f t="shared" si="217"/>
        <v>0</v>
      </c>
      <c r="CI285" s="8">
        <f t="shared" si="218"/>
        <v>0</v>
      </c>
      <c r="CJ285" s="8">
        <f t="shared" si="219"/>
        <v>0</v>
      </c>
      <c r="CK285" s="8">
        <f t="shared" si="220"/>
        <v>0</v>
      </c>
      <c r="CL285" s="8">
        <f t="shared" si="221"/>
        <v>0</v>
      </c>
      <c r="CM285" s="8">
        <f t="shared" si="222"/>
        <v>0</v>
      </c>
      <c r="CN285" s="8">
        <f t="shared" si="223"/>
        <v>0</v>
      </c>
      <c r="CO285" s="8">
        <f t="shared" si="224"/>
        <v>0</v>
      </c>
      <c r="CP285" s="8">
        <f t="shared" si="225"/>
        <v>0</v>
      </c>
      <c r="CQ285" s="8">
        <f t="shared" si="226"/>
        <v>0</v>
      </c>
      <c r="CR285" s="8">
        <f t="shared" si="227"/>
        <v>0</v>
      </c>
      <c r="CS285" s="8">
        <f t="shared" si="228"/>
        <v>0</v>
      </c>
      <c r="CT285" s="8">
        <f t="shared" si="233"/>
        <v>0</v>
      </c>
      <c r="CU285" s="8">
        <f t="shared" si="234"/>
        <v>0</v>
      </c>
      <c r="CV285" s="8">
        <f t="shared" si="235"/>
        <v>0</v>
      </c>
    </row>
    <row r="286" spans="1:100" ht="25.25" customHeight="1" thickTop="1" thickBot="1" x14ac:dyDescent="0.5">
      <c r="A286" s="32"/>
      <c r="B286" s="10"/>
      <c r="C286" s="10"/>
      <c r="D286" s="11"/>
      <c r="E286" s="10"/>
      <c r="F286" s="10"/>
      <c r="G286" s="19"/>
      <c r="H286" s="19"/>
      <c r="I286" s="19"/>
      <c r="J286" s="19"/>
      <c r="K286" s="10"/>
      <c r="L286" s="10"/>
      <c r="M286" s="10"/>
      <c r="N286" s="10"/>
      <c r="O286" s="18"/>
      <c r="P286" s="18"/>
      <c r="Q286" s="21"/>
      <c r="R286" s="20"/>
      <c r="S286" s="16">
        <f t="shared" si="191"/>
        <v>0</v>
      </c>
      <c r="T286" s="11"/>
      <c r="AS286" s="31">
        <f t="shared" si="192"/>
        <v>0</v>
      </c>
      <c r="AT286" s="31">
        <f t="shared" si="193"/>
        <v>0</v>
      </c>
      <c r="AU286" s="31">
        <f t="shared" si="194"/>
        <v>0</v>
      </c>
      <c r="AV286" s="31">
        <f t="shared" si="195"/>
        <v>0</v>
      </c>
      <c r="AW286" s="31">
        <f t="shared" si="196"/>
        <v>0</v>
      </c>
      <c r="AX286" s="31">
        <f t="shared" si="197"/>
        <v>0</v>
      </c>
      <c r="AY286" s="31">
        <f t="shared" si="198"/>
        <v>0</v>
      </c>
      <c r="AZ286" s="31">
        <f t="shared" si="199"/>
        <v>0</v>
      </c>
      <c r="BA286" s="31">
        <f t="shared" si="200"/>
        <v>0</v>
      </c>
      <c r="BB286" s="31">
        <f t="shared" si="229"/>
        <v>0</v>
      </c>
      <c r="BC286" s="31"/>
      <c r="BD286" s="31"/>
      <c r="BM286" s="8">
        <f t="shared" si="230"/>
        <v>0</v>
      </c>
      <c r="BN286" s="8">
        <f t="shared" si="201"/>
        <v>0</v>
      </c>
      <c r="BO286" s="8">
        <f t="shared" si="202"/>
        <v>0</v>
      </c>
      <c r="BQ286" s="8">
        <f t="shared" si="203"/>
        <v>0</v>
      </c>
      <c r="BR286" s="63">
        <f t="shared" si="204"/>
        <v>0</v>
      </c>
      <c r="BS286" s="63">
        <f t="shared" si="231"/>
        <v>0</v>
      </c>
      <c r="BT286" s="63">
        <f t="shared" si="205"/>
        <v>0</v>
      </c>
      <c r="BU286" s="63">
        <f t="shared" si="206"/>
        <v>0</v>
      </c>
      <c r="BV286" s="57">
        <f t="shared" si="207"/>
        <v>0</v>
      </c>
      <c r="BW286" s="57">
        <f t="shared" si="208"/>
        <v>0</v>
      </c>
      <c r="BX286" s="57">
        <f t="shared" si="232"/>
        <v>0</v>
      </c>
      <c r="BY286" s="57">
        <f t="shared" si="236"/>
        <v>0</v>
      </c>
      <c r="BZ286" s="8">
        <f t="shared" si="209"/>
        <v>0</v>
      </c>
      <c r="CA286" s="8">
        <f t="shared" si="210"/>
        <v>0</v>
      </c>
      <c r="CB286" s="8">
        <f t="shared" si="211"/>
        <v>0</v>
      </c>
      <c r="CC286" s="8">
        <f t="shared" si="212"/>
        <v>0</v>
      </c>
      <c r="CD286" s="8">
        <f t="shared" si="213"/>
        <v>0</v>
      </c>
      <c r="CE286" s="8">
        <f t="shared" si="214"/>
        <v>0</v>
      </c>
      <c r="CF286" s="8">
        <f t="shared" si="215"/>
        <v>0</v>
      </c>
      <c r="CG286" s="8">
        <f t="shared" si="216"/>
        <v>0</v>
      </c>
      <c r="CH286" s="8">
        <f t="shared" si="217"/>
        <v>0</v>
      </c>
      <c r="CI286" s="8">
        <f t="shared" si="218"/>
        <v>0</v>
      </c>
      <c r="CJ286" s="8">
        <f t="shared" si="219"/>
        <v>0</v>
      </c>
      <c r="CK286" s="8">
        <f t="shared" si="220"/>
        <v>0</v>
      </c>
      <c r="CL286" s="8">
        <f t="shared" si="221"/>
        <v>0</v>
      </c>
      <c r="CM286" s="8">
        <f t="shared" si="222"/>
        <v>0</v>
      </c>
      <c r="CN286" s="8">
        <f t="shared" si="223"/>
        <v>0</v>
      </c>
      <c r="CO286" s="8">
        <f t="shared" si="224"/>
        <v>0</v>
      </c>
      <c r="CP286" s="8">
        <f t="shared" si="225"/>
        <v>0</v>
      </c>
      <c r="CQ286" s="8">
        <f t="shared" si="226"/>
        <v>0</v>
      </c>
      <c r="CR286" s="8">
        <f t="shared" si="227"/>
        <v>0</v>
      </c>
      <c r="CS286" s="8">
        <f t="shared" si="228"/>
        <v>0</v>
      </c>
      <c r="CT286" s="8">
        <f t="shared" si="233"/>
        <v>0</v>
      </c>
      <c r="CU286" s="8">
        <f t="shared" si="234"/>
        <v>0</v>
      </c>
      <c r="CV286" s="8">
        <f t="shared" si="235"/>
        <v>0</v>
      </c>
    </row>
    <row r="287" spans="1:100" ht="25.25" customHeight="1" thickTop="1" thickBot="1" x14ac:dyDescent="0.5">
      <c r="A287" s="32"/>
      <c r="B287" s="10"/>
      <c r="C287" s="10"/>
      <c r="D287" s="11"/>
      <c r="E287" s="10"/>
      <c r="F287" s="10"/>
      <c r="G287" s="19"/>
      <c r="H287" s="19"/>
      <c r="I287" s="19"/>
      <c r="J287" s="19"/>
      <c r="K287" s="10"/>
      <c r="L287" s="10"/>
      <c r="M287" s="10"/>
      <c r="N287" s="10"/>
      <c r="O287" s="18"/>
      <c r="P287" s="18"/>
      <c r="Q287" s="21"/>
      <c r="R287" s="20"/>
      <c r="S287" s="16">
        <f t="shared" si="191"/>
        <v>0</v>
      </c>
      <c r="T287" s="11"/>
      <c r="AS287" s="31">
        <f t="shared" si="192"/>
        <v>0</v>
      </c>
      <c r="AT287" s="31">
        <f t="shared" si="193"/>
        <v>0</v>
      </c>
      <c r="AU287" s="31">
        <f t="shared" si="194"/>
        <v>0</v>
      </c>
      <c r="AV287" s="31">
        <f t="shared" si="195"/>
        <v>0</v>
      </c>
      <c r="AW287" s="31">
        <f t="shared" si="196"/>
        <v>0</v>
      </c>
      <c r="AX287" s="31">
        <f t="shared" si="197"/>
        <v>0</v>
      </c>
      <c r="AY287" s="31">
        <f t="shared" si="198"/>
        <v>0</v>
      </c>
      <c r="AZ287" s="31">
        <f t="shared" si="199"/>
        <v>0</v>
      </c>
      <c r="BA287" s="31">
        <f t="shared" si="200"/>
        <v>0</v>
      </c>
      <c r="BB287" s="31">
        <f t="shared" si="229"/>
        <v>0</v>
      </c>
      <c r="BC287" s="31"/>
      <c r="BD287" s="31"/>
      <c r="BM287" s="8">
        <f t="shared" si="230"/>
        <v>0</v>
      </c>
      <c r="BN287" s="8">
        <f t="shared" si="201"/>
        <v>0</v>
      </c>
      <c r="BO287" s="8">
        <f t="shared" si="202"/>
        <v>0</v>
      </c>
      <c r="BQ287" s="8">
        <f t="shared" si="203"/>
        <v>0</v>
      </c>
      <c r="BR287" s="63">
        <f t="shared" si="204"/>
        <v>0</v>
      </c>
      <c r="BS287" s="63">
        <f t="shared" si="231"/>
        <v>0</v>
      </c>
      <c r="BT287" s="63">
        <f t="shared" si="205"/>
        <v>0</v>
      </c>
      <c r="BU287" s="63">
        <f t="shared" si="206"/>
        <v>0</v>
      </c>
      <c r="BV287" s="57">
        <f t="shared" si="207"/>
        <v>0</v>
      </c>
      <c r="BW287" s="57">
        <f t="shared" si="208"/>
        <v>0</v>
      </c>
      <c r="BX287" s="57">
        <f t="shared" si="232"/>
        <v>0</v>
      </c>
      <c r="BY287" s="57">
        <f t="shared" si="236"/>
        <v>0</v>
      </c>
      <c r="BZ287" s="8">
        <f t="shared" si="209"/>
        <v>0</v>
      </c>
      <c r="CA287" s="8">
        <f t="shared" si="210"/>
        <v>0</v>
      </c>
      <c r="CB287" s="8">
        <f t="shared" si="211"/>
        <v>0</v>
      </c>
      <c r="CC287" s="8">
        <f t="shared" si="212"/>
        <v>0</v>
      </c>
      <c r="CD287" s="8">
        <f t="shared" si="213"/>
        <v>0</v>
      </c>
      <c r="CE287" s="8">
        <f t="shared" si="214"/>
        <v>0</v>
      </c>
      <c r="CF287" s="8">
        <f t="shared" si="215"/>
        <v>0</v>
      </c>
      <c r="CG287" s="8">
        <f t="shared" si="216"/>
        <v>0</v>
      </c>
      <c r="CH287" s="8">
        <f t="shared" si="217"/>
        <v>0</v>
      </c>
      <c r="CI287" s="8">
        <f t="shared" si="218"/>
        <v>0</v>
      </c>
      <c r="CJ287" s="8">
        <f t="shared" si="219"/>
        <v>0</v>
      </c>
      <c r="CK287" s="8">
        <f t="shared" si="220"/>
        <v>0</v>
      </c>
      <c r="CL287" s="8">
        <f t="shared" si="221"/>
        <v>0</v>
      </c>
      <c r="CM287" s="8">
        <f t="shared" si="222"/>
        <v>0</v>
      </c>
      <c r="CN287" s="8">
        <f t="shared" si="223"/>
        <v>0</v>
      </c>
      <c r="CO287" s="8">
        <f t="shared" si="224"/>
        <v>0</v>
      </c>
      <c r="CP287" s="8">
        <f t="shared" si="225"/>
        <v>0</v>
      </c>
      <c r="CQ287" s="8">
        <f t="shared" si="226"/>
        <v>0</v>
      </c>
      <c r="CR287" s="8">
        <f t="shared" si="227"/>
        <v>0</v>
      </c>
      <c r="CS287" s="8">
        <f t="shared" si="228"/>
        <v>0</v>
      </c>
      <c r="CT287" s="8">
        <f t="shared" si="233"/>
        <v>0</v>
      </c>
      <c r="CU287" s="8">
        <f t="shared" si="234"/>
        <v>0</v>
      </c>
      <c r="CV287" s="8">
        <f t="shared" si="235"/>
        <v>0</v>
      </c>
    </row>
    <row r="288" spans="1:100" ht="25.25" customHeight="1" thickTop="1" thickBot="1" x14ac:dyDescent="0.5">
      <c r="A288" s="32"/>
      <c r="B288" s="10"/>
      <c r="C288" s="10"/>
      <c r="D288" s="11"/>
      <c r="E288" s="10"/>
      <c r="F288" s="10"/>
      <c r="G288" s="19"/>
      <c r="H288" s="19"/>
      <c r="I288" s="19"/>
      <c r="J288" s="19"/>
      <c r="K288" s="10"/>
      <c r="L288" s="10"/>
      <c r="M288" s="10"/>
      <c r="N288" s="10"/>
      <c r="O288" s="18"/>
      <c r="P288" s="18"/>
      <c r="Q288" s="21"/>
      <c r="R288" s="20"/>
      <c r="S288" s="16">
        <f t="shared" si="191"/>
        <v>0</v>
      </c>
      <c r="T288" s="11"/>
      <c r="AS288" s="31">
        <f t="shared" si="192"/>
        <v>0</v>
      </c>
      <c r="AT288" s="31">
        <f t="shared" si="193"/>
        <v>0</v>
      </c>
      <c r="AU288" s="31">
        <f t="shared" si="194"/>
        <v>0</v>
      </c>
      <c r="AV288" s="31">
        <f t="shared" si="195"/>
        <v>0</v>
      </c>
      <c r="AW288" s="31">
        <f t="shared" si="196"/>
        <v>0</v>
      </c>
      <c r="AX288" s="31">
        <f t="shared" si="197"/>
        <v>0</v>
      </c>
      <c r="AY288" s="31">
        <f t="shared" si="198"/>
        <v>0</v>
      </c>
      <c r="AZ288" s="31">
        <f t="shared" si="199"/>
        <v>0</v>
      </c>
      <c r="BA288" s="31">
        <f t="shared" si="200"/>
        <v>0</v>
      </c>
      <c r="BB288" s="31">
        <f t="shared" si="229"/>
        <v>0</v>
      </c>
      <c r="BC288" s="31"/>
      <c r="BD288" s="31"/>
      <c r="BM288" s="8">
        <f t="shared" si="230"/>
        <v>0</v>
      </c>
      <c r="BN288" s="8">
        <f t="shared" si="201"/>
        <v>0</v>
      </c>
      <c r="BO288" s="8">
        <f t="shared" si="202"/>
        <v>0</v>
      </c>
      <c r="BQ288" s="8">
        <f t="shared" si="203"/>
        <v>0</v>
      </c>
      <c r="BR288" s="63">
        <f t="shared" si="204"/>
        <v>0</v>
      </c>
      <c r="BS288" s="63">
        <f t="shared" si="231"/>
        <v>0</v>
      </c>
      <c r="BT288" s="63">
        <f t="shared" si="205"/>
        <v>0</v>
      </c>
      <c r="BU288" s="63">
        <f t="shared" si="206"/>
        <v>0</v>
      </c>
      <c r="BV288" s="57">
        <f t="shared" si="207"/>
        <v>0</v>
      </c>
      <c r="BW288" s="57">
        <f t="shared" si="208"/>
        <v>0</v>
      </c>
      <c r="BX288" s="57">
        <f t="shared" si="232"/>
        <v>0</v>
      </c>
      <c r="BY288" s="57">
        <f t="shared" si="236"/>
        <v>0</v>
      </c>
      <c r="BZ288" s="8">
        <f t="shared" si="209"/>
        <v>0</v>
      </c>
      <c r="CA288" s="8">
        <f t="shared" si="210"/>
        <v>0</v>
      </c>
      <c r="CB288" s="8">
        <f t="shared" si="211"/>
        <v>0</v>
      </c>
      <c r="CC288" s="8">
        <f t="shared" si="212"/>
        <v>0</v>
      </c>
      <c r="CD288" s="8">
        <f t="shared" si="213"/>
        <v>0</v>
      </c>
      <c r="CE288" s="8">
        <f t="shared" si="214"/>
        <v>0</v>
      </c>
      <c r="CF288" s="8">
        <f t="shared" si="215"/>
        <v>0</v>
      </c>
      <c r="CG288" s="8">
        <f t="shared" si="216"/>
        <v>0</v>
      </c>
      <c r="CH288" s="8">
        <f t="shared" si="217"/>
        <v>0</v>
      </c>
      <c r="CI288" s="8">
        <f t="shared" si="218"/>
        <v>0</v>
      </c>
      <c r="CJ288" s="8">
        <f t="shared" si="219"/>
        <v>0</v>
      </c>
      <c r="CK288" s="8">
        <f t="shared" si="220"/>
        <v>0</v>
      </c>
      <c r="CL288" s="8">
        <f t="shared" si="221"/>
        <v>0</v>
      </c>
      <c r="CM288" s="8">
        <f t="shared" si="222"/>
        <v>0</v>
      </c>
      <c r="CN288" s="8">
        <f t="shared" si="223"/>
        <v>0</v>
      </c>
      <c r="CO288" s="8">
        <f t="shared" si="224"/>
        <v>0</v>
      </c>
      <c r="CP288" s="8">
        <f t="shared" si="225"/>
        <v>0</v>
      </c>
      <c r="CQ288" s="8">
        <f t="shared" si="226"/>
        <v>0</v>
      </c>
      <c r="CR288" s="8">
        <f t="shared" si="227"/>
        <v>0</v>
      </c>
      <c r="CS288" s="8">
        <f t="shared" si="228"/>
        <v>0</v>
      </c>
      <c r="CT288" s="8">
        <f t="shared" si="233"/>
        <v>0</v>
      </c>
      <c r="CU288" s="8">
        <f t="shared" si="234"/>
        <v>0</v>
      </c>
      <c r="CV288" s="8">
        <f t="shared" si="235"/>
        <v>0</v>
      </c>
    </row>
    <row r="289" spans="1:100" ht="25.25" customHeight="1" thickTop="1" thickBot="1" x14ac:dyDescent="0.5">
      <c r="A289" s="32"/>
      <c r="B289" s="10"/>
      <c r="C289" s="10"/>
      <c r="D289" s="11"/>
      <c r="E289" s="10"/>
      <c r="F289" s="10"/>
      <c r="G289" s="19"/>
      <c r="H289" s="19"/>
      <c r="I289" s="19"/>
      <c r="J289" s="19"/>
      <c r="K289" s="10"/>
      <c r="L289" s="10"/>
      <c r="M289" s="10"/>
      <c r="N289" s="10"/>
      <c r="O289" s="18"/>
      <c r="P289" s="18"/>
      <c r="Q289" s="21"/>
      <c r="R289" s="20"/>
      <c r="S289" s="16">
        <f t="shared" si="191"/>
        <v>0</v>
      </c>
      <c r="T289" s="11"/>
      <c r="AS289" s="31">
        <f t="shared" si="192"/>
        <v>0</v>
      </c>
      <c r="AT289" s="31">
        <f t="shared" si="193"/>
        <v>0</v>
      </c>
      <c r="AU289" s="31">
        <f t="shared" si="194"/>
        <v>0</v>
      </c>
      <c r="AV289" s="31">
        <f t="shared" si="195"/>
        <v>0</v>
      </c>
      <c r="AW289" s="31">
        <f t="shared" si="196"/>
        <v>0</v>
      </c>
      <c r="AX289" s="31">
        <f t="shared" si="197"/>
        <v>0</v>
      </c>
      <c r="AY289" s="31">
        <f t="shared" si="198"/>
        <v>0</v>
      </c>
      <c r="AZ289" s="31">
        <f t="shared" si="199"/>
        <v>0</v>
      </c>
      <c r="BA289" s="31">
        <f t="shared" si="200"/>
        <v>0</v>
      </c>
      <c r="BB289" s="31">
        <f t="shared" si="229"/>
        <v>0</v>
      </c>
      <c r="BC289" s="31"/>
      <c r="BD289" s="31"/>
      <c r="BM289" s="8">
        <f t="shared" si="230"/>
        <v>0</v>
      </c>
      <c r="BN289" s="8">
        <f t="shared" si="201"/>
        <v>0</v>
      </c>
      <c r="BO289" s="8">
        <f t="shared" si="202"/>
        <v>0</v>
      </c>
      <c r="BQ289" s="8">
        <f t="shared" si="203"/>
        <v>0</v>
      </c>
      <c r="BR289" s="63">
        <f t="shared" si="204"/>
        <v>0</v>
      </c>
      <c r="BS289" s="63">
        <f t="shared" si="231"/>
        <v>0</v>
      </c>
      <c r="BT289" s="63">
        <f t="shared" si="205"/>
        <v>0</v>
      </c>
      <c r="BU289" s="63">
        <f t="shared" si="206"/>
        <v>0</v>
      </c>
      <c r="BV289" s="57">
        <f t="shared" si="207"/>
        <v>0</v>
      </c>
      <c r="BW289" s="57">
        <f t="shared" si="208"/>
        <v>0</v>
      </c>
      <c r="BX289" s="57">
        <f t="shared" si="232"/>
        <v>0</v>
      </c>
      <c r="BY289" s="57">
        <f t="shared" si="236"/>
        <v>0</v>
      </c>
      <c r="BZ289" s="8">
        <f t="shared" si="209"/>
        <v>0</v>
      </c>
      <c r="CA289" s="8">
        <f t="shared" si="210"/>
        <v>0</v>
      </c>
      <c r="CB289" s="8">
        <f t="shared" si="211"/>
        <v>0</v>
      </c>
      <c r="CC289" s="8">
        <f t="shared" si="212"/>
        <v>0</v>
      </c>
      <c r="CD289" s="8">
        <f t="shared" si="213"/>
        <v>0</v>
      </c>
      <c r="CE289" s="8">
        <f t="shared" si="214"/>
        <v>0</v>
      </c>
      <c r="CF289" s="8">
        <f t="shared" si="215"/>
        <v>0</v>
      </c>
      <c r="CG289" s="8">
        <f t="shared" si="216"/>
        <v>0</v>
      </c>
      <c r="CH289" s="8">
        <f t="shared" si="217"/>
        <v>0</v>
      </c>
      <c r="CI289" s="8">
        <f t="shared" si="218"/>
        <v>0</v>
      </c>
      <c r="CJ289" s="8">
        <f t="shared" si="219"/>
        <v>0</v>
      </c>
      <c r="CK289" s="8">
        <f t="shared" si="220"/>
        <v>0</v>
      </c>
      <c r="CL289" s="8">
        <f t="shared" si="221"/>
        <v>0</v>
      </c>
      <c r="CM289" s="8">
        <f t="shared" si="222"/>
        <v>0</v>
      </c>
      <c r="CN289" s="8">
        <f t="shared" si="223"/>
        <v>0</v>
      </c>
      <c r="CO289" s="8">
        <f t="shared" si="224"/>
        <v>0</v>
      </c>
      <c r="CP289" s="8">
        <f t="shared" si="225"/>
        <v>0</v>
      </c>
      <c r="CQ289" s="8">
        <f t="shared" si="226"/>
        <v>0</v>
      </c>
      <c r="CR289" s="8">
        <f t="shared" si="227"/>
        <v>0</v>
      </c>
      <c r="CS289" s="8">
        <f t="shared" si="228"/>
        <v>0</v>
      </c>
      <c r="CT289" s="8">
        <f t="shared" si="233"/>
        <v>0</v>
      </c>
      <c r="CU289" s="8">
        <f t="shared" si="234"/>
        <v>0</v>
      </c>
      <c r="CV289" s="8">
        <f t="shared" si="235"/>
        <v>0</v>
      </c>
    </row>
    <row r="290" spans="1:100" ht="25.25" customHeight="1" thickTop="1" thickBot="1" x14ac:dyDescent="0.5">
      <c r="A290" s="32"/>
      <c r="B290" s="10"/>
      <c r="C290" s="10"/>
      <c r="D290" s="11"/>
      <c r="E290" s="10"/>
      <c r="F290" s="10"/>
      <c r="G290" s="19"/>
      <c r="H290" s="19"/>
      <c r="I290" s="19"/>
      <c r="J290" s="19"/>
      <c r="K290" s="10"/>
      <c r="L290" s="10"/>
      <c r="M290" s="10"/>
      <c r="N290" s="10"/>
      <c r="O290" s="18"/>
      <c r="P290" s="18"/>
      <c r="Q290" s="21"/>
      <c r="R290" s="20"/>
      <c r="S290" s="16">
        <f t="shared" si="191"/>
        <v>0</v>
      </c>
      <c r="T290" s="11"/>
      <c r="AS290" s="31">
        <f t="shared" si="192"/>
        <v>0</v>
      </c>
      <c r="AT290" s="31">
        <f t="shared" si="193"/>
        <v>0</v>
      </c>
      <c r="AU290" s="31">
        <f t="shared" si="194"/>
        <v>0</v>
      </c>
      <c r="AV290" s="31">
        <f t="shared" si="195"/>
        <v>0</v>
      </c>
      <c r="AW290" s="31">
        <f t="shared" si="196"/>
        <v>0</v>
      </c>
      <c r="AX290" s="31">
        <f t="shared" si="197"/>
        <v>0</v>
      </c>
      <c r="AY290" s="31">
        <f t="shared" si="198"/>
        <v>0</v>
      </c>
      <c r="AZ290" s="31">
        <f t="shared" si="199"/>
        <v>0</v>
      </c>
      <c r="BA290" s="31">
        <f t="shared" si="200"/>
        <v>0</v>
      </c>
      <c r="BB290" s="31">
        <f t="shared" si="229"/>
        <v>0</v>
      </c>
      <c r="BC290" s="31"/>
      <c r="BD290" s="31"/>
      <c r="BM290" s="8">
        <f t="shared" si="230"/>
        <v>0</v>
      </c>
      <c r="BN290" s="8">
        <f t="shared" si="201"/>
        <v>0</v>
      </c>
      <c r="BO290" s="8">
        <f t="shared" si="202"/>
        <v>0</v>
      </c>
      <c r="BQ290" s="8">
        <f t="shared" si="203"/>
        <v>0</v>
      </c>
      <c r="BR290" s="63">
        <f t="shared" si="204"/>
        <v>0</v>
      </c>
      <c r="BS290" s="63">
        <f t="shared" si="231"/>
        <v>0</v>
      </c>
      <c r="BT290" s="63">
        <f t="shared" si="205"/>
        <v>0</v>
      </c>
      <c r="BU290" s="63">
        <f t="shared" si="206"/>
        <v>0</v>
      </c>
      <c r="BV290" s="57">
        <f t="shared" si="207"/>
        <v>0</v>
      </c>
      <c r="BW290" s="57">
        <f t="shared" si="208"/>
        <v>0</v>
      </c>
      <c r="BX290" s="57">
        <f t="shared" si="232"/>
        <v>0</v>
      </c>
      <c r="BY290" s="57">
        <f t="shared" si="236"/>
        <v>0</v>
      </c>
      <c r="BZ290" s="8">
        <f t="shared" si="209"/>
        <v>0</v>
      </c>
      <c r="CA290" s="8">
        <f t="shared" si="210"/>
        <v>0</v>
      </c>
      <c r="CB290" s="8">
        <f t="shared" si="211"/>
        <v>0</v>
      </c>
      <c r="CC290" s="8">
        <f t="shared" si="212"/>
        <v>0</v>
      </c>
      <c r="CD290" s="8">
        <f t="shared" si="213"/>
        <v>0</v>
      </c>
      <c r="CE290" s="8">
        <f t="shared" si="214"/>
        <v>0</v>
      </c>
      <c r="CF290" s="8">
        <f t="shared" si="215"/>
        <v>0</v>
      </c>
      <c r="CG290" s="8">
        <f t="shared" si="216"/>
        <v>0</v>
      </c>
      <c r="CH290" s="8">
        <f t="shared" si="217"/>
        <v>0</v>
      </c>
      <c r="CI290" s="8">
        <f t="shared" si="218"/>
        <v>0</v>
      </c>
      <c r="CJ290" s="8">
        <f t="shared" si="219"/>
        <v>0</v>
      </c>
      <c r="CK290" s="8">
        <f t="shared" si="220"/>
        <v>0</v>
      </c>
      <c r="CL290" s="8">
        <f t="shared" si="221"/>
        <v>0</v>
      </c>
      <c r="CM290" s="8">
        <f t="shared" si="222"/>
        <v>0</v>
      </c>
      <c r="CN290" s="8">
        <f t="shared" si="223"/>
        <v>0</v>
      </c>
      <c r="CO290" s="8">
        <f t="shared" si="224"/>
        <v>0</v>
      </c>
      <c r="CP290" s="8">
        <f t="shared" si="225"/>
        <v>0</v>
      </c>
      <c r="CQ290" s="8">
        <f t="shared" si="226"/>
        <v>0</v>
      </c>
      <c r="CR290" s="8">
        <f t="shared" si="227"/>
        <v>0</v>
      </c>
      <c r="CS290" s="8">
        <f t="shared" si="228"/>
        <v>0</v>
      </c>
      <c r="CT290" s="8">
        <f t="shared" si="233"/>
        <v>0</v>
      </c>
      <c r="CU290" s="8">
        <f t="shared" si="234"/>
        <v>0</v>
      </c>
      <c r="CV290" s="8">
        <f t="shared" si="235"/>
        <v>0</v>
      </c>
    </row>
    <row r="291" spans="1:100" ht="20.5" thickTop="1" thickBot="1" x14ac:dyDescent="0.5">
      <c r="A291" s="32"/>
      <c r="B291" s="10"/>
      <c r="C291" s="10"/>
      <c r="D291" s="11"/>
      <c r="E291" s="10"/>
      <c r="F291" s="10"/>
      <c r="G291" s="19"/>
      <c r="H291" s="19"/>
      <c r="I291" s="19"/>
      <c r="J291" s="19"/>
      <c r="K291" s="10"/>
      <c r="L291" s="10"/>
      <c r="M291" s="10"/>
      <c r="N291" s="10"/>
      <c r="O291" s="18"/>
      <c r="P291" s="18"/>
      <c r="Q291" s="21"/>
      <c r="R291" s="20"/>
      <c r="S291" s="16">
        <f t="shared" si="191"/>
        <v>0</v>
      </c>
      <c r="T291" s="11"/>
      <c r="AS291" s="31">
        <f t="shared" si="192"/>
        <v>0</v>
      </c>
      <c r="AT291" s="31">
        <f t="shared" si="193"/>
        <v>0</v>
      </c>
      <c r="AU291" s="31">
        <f t="shared" si="194"/>
        <v>0</v>
      </c>
      <c r="AV291" s="31">
        <f t="shared" si="195"/>
        <v>0</v>
      </c>
      <c r="AW291" s="31">
        <f t="shared" si="196"/>
        <v>0</v>
      </c>
      <c r="AX291" s="31">
        <f t="shared" si="197"/>
        <v>0</v>
      </c>
      <c r="AY291" s="31">
        <f t="shared" si="198"/>
        <v>0</v>
      </c>
      <c r="AZ291" s="31">
        <f t="shared" si="199"/>
        <v>0</v>
      </c>
      <c r="BA291" s="31">
        <f t="shared" si="200"/>
        <v>0</v>
      </c>
      <c r="BB291" s="31">
        <f t="shared" si="229"/>
        <v>0</v>
      </c>
      <c r="BC291" s="31"/>
      <c r="BD291" s="31"/>
      <c r="BM291" s="8">
        <f t="shared" si="230"/>
        <v>0</v>
      </c>
      <c r="BN291" s="8">
        <f t="shared" si="201"/>
        <v>0</v>
      </c>
      <c r="BO291" s="8">
        <f t="shared" si="202"/>
        <v>0</v>
      </c>
      <c r="BQ291" s="8">
        <f t="shared" si="203"/>
        <v>0</v>
      </c>
      <c r="BR291" s="63">
        <f t="shared" si="204"/>
        <v>0</v>
      </c>
      <c r="BS291" s="63">
        <f t="shared" si="231"/>
        <v>0</v>
      </c>
      <c r="BT291" s="63">
        <f t="shared" si="205"/>
        <v>0</v>
      </c>
      <c r="BU291" s="63">
        <f t="shared" si="206"/>
        <v>0</v>
      </c>
      <c r="BV291" s="57">
        <f t="shared" si="207"/>
        <v>0</v>
      </c>
      <c r="BW291" s="57">
        <f t="shared" si="208"/>
        <v>0</v>
      </c>
      <c r="BX291" s="57">
        <f t="shared" si="232"/>
        <v>0</v>
      </c>
      <c r="BY291" s="57">
        <f t="shared" si="236"/>
        <v>0</v>
      </c>
      <c r="BZ291" s="8">
        <f t="shared" si="209"/>
        <v>0</v>
      </c>
      <c r="CA291" s="8">
        <f t="shared" si="210"/>
        <v>0</v>
      </c>
      <c r="CB291" s="8">
        <f t="shared" si="211"/>
        <v>0</v>
      </c>
      <c r="CC291" s="8">
        <f t="shared" si="212"/>
        <v>0</v>
      </c>
      <c r="CD291" s="8">
        <f t="shared" si="213"/>
        <v>0</v>
      </c>
      <c r="CE291" s="8">
        <f t="shared" si="214"/>
        <v>0</v>
      </c>
      <c r="CF291" s="8">
        <f t="shared" si="215"/>
        <v>0</v>
      </c>
      <c r="CG291" s="8">
        <f t="shared" si="216"/>
        <v>0</v>
      </c>
      <c r="CH291" s="8">
        <f t="shared" si="217"/>
        <v>0</v>
      </c>
      <c r="CI291" s="8">
        <f t="shared" si="218"/>
        <v>0</v>
      </c>
      <c r="CJ291" s="8">
        <f t="shared" si="219"/>
        <v>0</v>
      </c>
      <c r="CK291" s="8">
        <f t="shared" si="220"/>
        <v>0</v>
      </c>
      <c r="CL291" s="8">
        <f t="shared" si="221"/>
        <v>0</v>
      </c>
      <c r="CM291" s="8">
        <f t="shared" si="222"/>
        <v>0</v>
      </c>
      <c r="CN291" s="8">
        <f t="shared" si="223"/>
        <v>0</v>
      </c>
      <c r="CO291" s="8">
        <f t="shared" si="224"/>
        <v>0</v>
      </c>
      <c r="CP291" s="8">
        <f t="shared" si="225"/>
        <v>0</v>
      </c>
      <c r="CQ291" s="8">
        <f t="shared" si="226"/>
        <v>0</v>
      </c>
      <c r="CR291" s="8">
        <f t="shared" si="227"/>
        <v>0</v>
      </c>
      <c r="CS291" s="8">
        <f t="shared" si="228"/>
        <v>0</v>
      </c>
      <c r="CT291" s="8">
        <f t="shared" si="233"/>
        <v>0</v>
      </c>
      <c r="CU291" s="8">
        <f t="shared" si="234"/>
        <v>0</v>
      </c>
      <c r="CV291" s="8">
        <f t="shared" si="235"/>
        <v>0</v>
      </c>
    </row>
    <row r="292" spans="1:100" ht="20.5" thickTop="1" thickBot="1" x14ac:dyDescent="0.5">
      <c r="A292" s="32"/>
      <c r="B292" s="10"/>
      <c r="C292" s="10"/>
      <c r="D292" s="11"/>
      <c r="E292" s="10"/>
      <c r="F292" s="10"/>
      <c r="G292" s="19"/>
      <c r="H292" s="19"/>
      <c r="I292" s="19"/>
      <c r="J292" s="19"/>
      <c r="K292" s="10"/>
      <c r="L292" s="10"/>
      <c r="M292" s="10"/>
      <c r="N292" s="10"/>
      <c r="O292" s="18"/>
      <c r="P292" s="18"/>
      <c r="Q292" s="21"/>
      <c r="R292" s="20"/>
      <c r="S292" s="16">
        <f t="shared" si="191"/>
        <v>0</v>
      </c>
      <c r="T292" s="11"/>
      <c r="AS292" s="31">
        <f t="shared" si="192"/>
        <v>0</v>
      </c>
      <c r="AT292" s="31">
        <f t="shared" si="193"/>
        <v>0</v>
      </c>
      <c r="AU292" s="31">
        <f t="shared" si="194"/>
        <v>0</v>
      </c>
      <c r="AV292" s="31">
        <f t="shared" si="195"/>
        <v>0</v>
      </c>
      <c r="AW292" s="31">
        <f t="shared" si="196"/>
        <v>0</v>
      </c>
      <c r="AX292" s="31">
        <f t="shared" si="197"/>
        <v>0</v>
      </c>
      <c r="AY292" s="31">
        <f t="shared" si="198"/>
        <v>0</v>
      </c>
      <c r="AZ292" s="31">
        <f t="shared" si="199"/>
        <v>0</v>
      </c>
      <c r="BA292" s="31">
        <f t="shared" si="200"/>
        <v>0</v>
      </c>
      <c r="BB292" s="31">
        <f t="shared" si="229"/>
        <v>0</v>
      </c>
      <c r="BC292" s="31"/>
      <c r="BD292" s="31"/>
      <c r="BM292" s="8">
        <f t="shared" si="230"/>
        <v>0</v>
      </c>
      <c r="BN292" s="8">
        <f t="shared" si="201"/>
        <v>0</v>
      </c>
      <c r="BO292" s="8">
        <f t="shared" si="202"/>
        <v>0</v>
      </c>
      <c r="BQ292" s="8">
        <f t="shared" si="203"/>
        <v>0</v>
      </c>
      <c r="BR292" s="63">
        <f t="shared" si="204"/>
        <v>0</v>
      </c>
      <c r="BS292" s="63">
        <f t="shared" si="231"/>
        <v>0</v>
      </c>
      <c r="BT292" s="63">
        <f t="shared" si="205"/>
        <v>0</v>
      </c>
      <c r="BU292" s="63">
        <f t="shared" si="206"/>
        <v>0</v>
      </c>
      <c r="BV292" s="57">
        <f t="shared" si="207"/>
        <v>0</v>
      </c>
      <c r="BW292" s="57">
        <f t="shared" si="208"/>
        <v>0</v>
      </c>
      <c r="BX292" s="57">
        <f t="shared" si="232"/>
        <v>0</v>
      </c>
      <c r="BY292" s="57">
        <f t="shared" si="236"/>
        <v>0</v>
      </c>
      <c r="BZ292" s="8">
        <f t="shared" si="209"/>
        <v>0</v>
      </c>
      <c r="CA292" s="8">
        <f t="shared" si="210"/>
        <v>0</v>
      </c>
      <c r="CB292" s="8">
        <f t="shared" si="211"/>
        <v>0</v>
      </c>
      <c r="CC292" s="8">
        <f t="shared" si="212"/>
        <v>0</v>
      </c>
      <c r="CD292" s="8">
        <f t="shared" si="213"/>
        <v>0</v>
      </c>
      <c r="CE292" s="8">
        <f t="shared" si="214"/>
        <v>0</v>
      </c>
      <c r="CF292" s="8">
        <f t="shared" si="215"/>
        <v>0</v>
      </c>
      <c r="CG292" s="8">
        <f t="shared" si="216"/>
        <v>0</v>
      </c>
      <c r="CH292" s="8">
        <f t="shared" si="217"/>
        <v>0</v>
      </c>
      <c r="CI292" s="8">
        <f t="shared" si="218"/>
        <v>0</v>
      </c>
      <c r="CJ292" s="8">
        <f t="shared" si="219"/>
        <v>0</v>
      </c>
      <c r="CK292" s="8">
        <f t="shared" si="220"/>
        <v>0</v>
      </c>
      <c r="CL292" s="8">
        <f t="shared" si="221"/>
        <v>0</v>
      </c>
      <c r="CM292" s="8">
        <f t="shared" si="222"/>
        <v>0</v>
      </c>
      <c r="CN292" s="8">
        <f t="shared" si="223"/>
        <v>0</v>
      </c>
      <c r="CO292" s="8">
        <f t="shared" si="224"/>
        <v>0</v>
      </c>
      <c r="CP292" s="8">
        <f t="shared" si="225"/>
        <v>0</v>
      </c>
      <c r="CQ292" s="8">
        <f t="shared" si="226"/>
        <v>0</v>
      </c>
      <c r="CR292" s="8">
        <f t="shared" si="227"/>
        <v>0</v>
      </c>
      <c r="CS292" s="8">
        <f t="shared" si="228"/>
        <v>0</v>
      </c>
      <c r="CT292" s="8">
        <f t="shared" si="233"/>
        <v>0</v>
      </c>
      <c r="CU292" s="8">
        <f t="shared" si="234"/>
        <v>0</v>
      </c>
      <c r="CV292" s="8">
        <f t="shared" si="235"/>
        <v>0</v>
      </c>
    </row>
    <row r="293" spans="1:100" ht="20.5" thickTop="1" thickBot="1" x14ac:dyDescent="0.5">
      <c r="A293" s="32"/>
      <c r="B293" s="10"/>
      <c r="C293" s="10"/>
      <c r="D293" s="11"/>
      <c r="E293" s="10"/>
      <c r="F293" s="10"/>
      <c r="G293" s="19"/>
      <c r="H293" s="19"/>
      <c r="I293" s="19"/>
      <c r="J293" s="19"/>
      <c r="K293" s="10"/>
      <c r="L293" s="10"/>
      <c r="M293" s="10"/>
      <c r="N293" s="10"/>
      <c r="O293" s="18"/>
      <c r="P293" s="18"/>
      <c r="Q293" s="21"/>
      <c r="R293" s="20"/>
      <c r="S293" s="16">
        <f t="shared" si="191"/>
        <v>0</v>
      </c>
      <c r="T293" s="11"/>
      <c r="AS293" s="31">
        <f t="shared" si="192"/>
        <v>0</v>
      </c>
      <c r="AT293" s="31">
        <f t="shared" si="193"/>
        <v>0</v>
      </c>
      <c r="AU293" s="31">
        <f t="shared" si="194"/>
        <v>0</v>
      </c>
      <c r="AV293" s="31">
        <f t="shared" si="195"/>
        <v>0</v>
      </c>
      <c r="AW293" s="31">
        <f t="shared" si="196"/>
        <v>0</v>
      </c>
      <c r="AX293" s="31">
        <f t="shared" si="197"/>
        <v>0</v>
      </c>
      <c r="AY293" s="31">
        <f t="shared" si="198"/>
        <v>0</v>
      </c>
      <c r="AZ293" s="31">
        <f t="shared" si="199"/>
        <v>0</v>
      </c>
      <c r="BA293" s="31">
        <f t="shared" si="200"/>
        <v>0</v>
      </c>
      <c r="BB293" s="31">
        <f t="shared" si="229"/>
        <v>0</v>
      </c>
      <c r="BC293" s="31"/>
      <c r="BD293" s="31"/>
      <c r="BM293" s="8">
        <f t="shared" si="230"/>
        <v>0</v>
      </c>
      <c r="BN293" s="8">
        <f t="shared" si="201"/>
        <v>0</v>
      </c>
      <c r="BO293" s="8">
        <f t="shared" si="202"/>
        <v>0</v>
      </c>
      <c r="BQ293" s="8">
        <f t="shared" si="203"/>
        <v>0</v>
      </c>
      <c r="BR293" s="63">
        <f t="shared" si="204"/>
        <v>0</v>
      </c>
      <c r="BS293" s="63">
        <f t="shared" si="231"/>
        <v>0</v>
      </c>
      <c r="BT293" s="63">
        <f t="shared" si="205"/>
        <v>0</v>
      </c>
      <c r="BU293" s="63">
        <f t="shared" si="206"/>
        <v>0</v>
      </c>
      <c r="BV293" s="57">
        <f t="shared" si="207"/>
        <v>0</v>
      </c>
      <c r="BW293" s="57">
        <f t="shared" si="208"/>
        <v>0</v>
      </c>
      <c r="BX293" s="57">
        <f t="shared" si="232"/>
        <v>0</v>
      </c>
      <c r="BY293" s="57">
        <f t="shared" si="236"/>
        <v>0</v>
      </c>
      <c r="BZ293" s="8">
        <f t="shared" si="209"/>
        <v>0</v>
      </c>
      <c r="CA293" s="8">
        <f t="shared" si="210"/>
        <v>0</v>
      </c>
      <c r="CB293" s="8">
        <f t="shared" si="211"/>
        <v>0</v>
      </c>
      <c r="CC293" s="8">
        <f t="shared" si="212"/>
        <v>0</v>
      </c>
      <c r="CD293" s="8">
        <f t="shared" si="213"/>
        <v>0</v>
      </c>
      <c r="CE293" s="8">
        <f t="shared" si="214"/>
        <v>0</v>
      </c>
      <c r="CF293" s="8">
        <f t="shared" si="215"/>
        <v>0</v>
      </c>
      <c r="CG293" s="8">
        <f t="shared" si="216"/>
        <v>0</v>
      </c>
      <c r="CH293" s="8">
        <f t="shared" si="217"/>
        <v>0</v>
      </c>
      <c r="CI293" s="8">
        <f t="shared" si="218"/>
        <v>0</v>
      </c>
      <c r="CJ293" s="8">
        <f t="shared" si="219"/>
        <v>0</v>
      </c>
      <c r="CK293" s="8">
        <f t="shared" si="220"/>
        <v>0</v>
      </c>
      <c r="CL293" s="8">
        <f t="shared" si="221"/>
        <v>0</v>
      </c>
      <c r="CM293" s="8">
        <f t="shared" si="222"/>
        <v>0</v>
      </c>
      <c r="CN293" s="8">
        <f t="shared" si="223"/>
        <v>0</v>
      </c>
      <c r="CO293" s="8">
        <f t="shared" si="224"/>
        <v>0</v>
      </c>
      <c r="CP293" s="8">
        <f t="shared" si="225"/>
        <v>0</v>
      </c>
      <c r="CQ293" s="8">
        <f t="shared" si="226"/>
        <v>0</v>
      </c>
      <c r="CR293" s="8">
        <f t="shared" si="227"/>
        <v>0</v>
      </c>
      <c r="CS293" s="8">
        <f t="shared" si="228"/>
        <v>0</v>
      </c>
      <c r="CT293" s="8">
        <f t="shared" si="233"/>
        <v>0</v>
      </c>
      <c r="CU293" s="8">
        <f t="shared" si="234"/>
        <v>0</v>
      </c>
      <c r="CV293" s="8">
        <f t="shared" si="235"/>
        <v>0</v>
      </c>
    </row>
    <row r="294" spans="1:100" ht="20.5" thickTop="1" thickBot="1" x14ac:dyDescent="0.5">
      <c r="A294" s="32"/>
      <c r="B294" s="10"/>
      <c r="C294" s="10"/>
      <c r="D294" s="11"/>
      <c r="E294" s="10"/>
      <c r="F294" s="10"/>
      <c r="G294" s="19"/>
      <c r="H294" s="19"/>
      <c r="I294" s="19"/>
      <c r="J294" s="19"/>
      <c r="K294" s="10"/>
      <c r="L294" s="10"/>
      <c r="M294" s="10"/>
      <c r="N294" s="10"/>
      <c r="O294" s="18"/>
      <c r="P294" s="18"/>
      <c r="Q294" s="21"/>
      <c r="R294" s="20"/>
      <c r="S294" s="16">
        <f t="shared" si="191"/>
        <v>0</v>
      </c>
      <c r="T294" s="11"/>
      <c r="AS294" s="31">
        <f t="shared" si="192"/>
        <v>0</v>
      </c>
      <c r="AT294" s="31">
        <f t="shared" si="193"/>
        <v>0</v>
      </c>
      <c r="AU294" s="31">
        <f t="shared" si="194"/>
        <v>0</v>
      </c>
      <c r="AV294" s="31">
        <f t="shared" si="195"/>
        <v>0</v>
      </c>
      <c r="AW294" s="31">
        <f t="shared" si="196"/>
        <v>0</v>
      </c>
      <c r="AX294" s="31">
        <f t="shared" si="197"/>
        <v>0</v>
      </c>
      <c r="AY294" s="31">
        <f t="shared" si="198"/>
        <v>0</v>
      </c>
      <c r="AZ294" s="31">
        <f t="shared" si="199"/>
        <v>0</v>
      </c>
      <c r="BA294" s="31">
        <f t="shared" si="200"/>
        <v>0</v>
      </c>
      <c r="BB294" s="31">
        <f t="shared" si="229"/>
        <v>0</v>
      </c>
      <c r="BM294" s="8">
        <f t="shared" si="230"/>
        <v>0</v>
      </c>
      <c r="BN294" s="8">
        <f t="shared" si="201"/>
        <v>0</v>
      </c>
      <c r="BO294" s="8">
        <f t="shared" si="202"/>
        <v>0</v>
      </c>
      <c r="BQ294" s="8">
        <f t="shared" si="203"/>
        <v>0</v>
      </c>
      <c r="BR294" s="63">
        <f t="shared" si="204"/>
        <v>0</v>
      </c>
      <c r="BS294" s="63">
        <f t="shared" si="231"/>
        <v>0</v>
      </c>
      <c r="BT294" s="63">
        <f t="shared" si="205"/>
        <v>0</v>
      </c>
      <c r="BU294" s="63">
        <f t="shared" si="206"/>
        <v>0</v>
      </c>
      <c r="BV294" s="57">
        <f t="shared" si="207"/>
        <v>0</v>
      </c>
      <c r="BW294" s="57">
        <f t="shared" si="208"/>
        <v>0</v>
      </c>
      <c r="BX294" s="57">
        <f t="shared" si="232"/>
        <v>0</v>
      </c>
      <c r="BY294" s="57">
        <f t="shared" si="236"/>
        <v>0</v>
      </c>
      <c r="BZ294" s="8">
        <f t="shared" si="209"/>
        <v>0</v>
      </c>
      <c r="CA294" s="8">
        <f t="shared" si="210"/>
        <v>0</v>
      </c>
      <c r="CB294" s="8">
        <f t="shared" si="211"/>
        <v>0</v>
      </c>
      <c r="CC294" s="8">
        <f t="shared" si="212"/>
        <v>0</v>
      </c>
      <c r="CD294" s="8">
        <f t="shared" si="213"/>
        <v>0</v>
      </c>
      <c r="CE294" s="8">
        <f t="shared" si="214"/>
        <v>0</v>
      </c>
      <c r="CF294" s="8">
        <f t="shared" si="215"/>
        <v>0</v>
      </c>
      <c r="CG294" s="8">
        <f t="shared" si="216"/>
        <v>0</v>
      </c>
      <c r="CH294" s="8">
        <f t="shared" si="217"/>
        <v>0</v>
      </c>
      <c r="CI294" s="8">
        <f t="shared" si="218"/>
        <v>0</v>
      </c>
      <c r="CJ294" s="8">
        <f t="shared" si="219"/>
        <v>0</v>
      </c>
      <c r="CK294" s="8">
        <f t="shared" si="220"/>
        <v>0</v>
      </c>
      <c r="CL294" s="8">
        <f t="shared" si="221"/>
        <v>0</v>
      </c>
      <c r="CM294" s="8">
        <f t="shared" si="222"/>
        <v>0</v>
      </c>
      <c r="CN294" s="8">
        <f t="shared" si="223"/>
        <v>0</v>
      </c>
      <c r="CO294" s="8">
        <f t="shared" si="224"/>
        <v>0</v>
      </c>
      <c r="CP294" s="8">
        <f t="shared" si="225"/>
        <v>0</v>
      </c>
      <c r="CQ294" s="8">
        <f t="shared" si="226"/>
        <v>0</v>
      </c>
      <c r="CR294" s="8">
        <f t="shared" si="227"/>
        <v>0</v>
      </c>
      <c r="CS294" s="8">
        <f t="shared" si="228"/>
        <v>0</v>
      </c>
      <c r="CT294" s="8">
        <f t="shared" si="233"/>
        <v>0</v>
      </c>
      <c r="CU294" s="8">
        <f t="shared" si="234"/>
        <v>0</v>
      </c>
      <c r="CV294" s="8">
        <f t="shared" si="235"/>
        <v>0</v>
      </c>
    </row>
    <row r="295" spans="1:100" ht="20.5" thickTop="1" thickBot="1" x14ac:dyDescent="0.5">
      <c r="A295" s="32"/>
      <c r="B295" s="10"/>
      <c r="C295" s="10"/>
      <c r="D295" s="11"/>
      <c r="E295" s="10"/>
      <c r="F295" s="10"/>
      <c r="G295" s="19"/>
      <c r="H295" s="19"/>
      <c r="I295" s="19"/>
      <c r="J295" s="19"/>
      <c r="K295" s="10"/>
      <c r="L295" s="10"/>
      <c r="M295" s="10"/>
      <c r="N295" s="10"/>
      <c r="O295" s="18"/>
      <c r="P295" s="18"/>
      <c r="Q295" s="21"/>
      <c r="R295" s="20"/>
      <c r="S295" s="16">
        <f t="shared" si="191"/>
        <v>0</v>
      </c>
      <c r="T295" s="11"/>
      <c r="AS295" s="31">
        <f t="shared" si="192"/>
        <v>0</v>
      </c>
      <c r="AT295" s="31">
        <f t="shared" si="193"/>
        <v>0</v>
      </c>
      <c r="AU295" s="31">
        <f t="shared" si="194"/>
        <v>0</v>
      </c>
      <c r="AV295" s="31">
        <f t="shared" si="195"/>
        <v>0</v>
      </c>
      <c r="AW295" s="31">
        <f t="shared" si="196"/>
        <v>0</v>
      </c>
      <c r="AX295" s="31">
        <f t="shared" si="197"/>
        <v>0</v>
      </c>
      <c r="AY295" s="31">
        <f t="shared" si="198"/>
        <v>0</v>
      </c>
      <c r="AZ295" s="31">
        <f t="shared" si="199"/>
        <v>0</v>
      </c>
      <c r="BA295" s="31">
        <f t="shared" si="200"/>
        <v>0</v>
      </c>
      <c r="BB295" s="31">
        <f t="shared" si="229"/>
        <v>0</v>
      </c>
      <c r="BM295" s="8">
        <f t="shared" si="230"/>
        <v>0</v>
      </c>
      <c r="BN295" s="8">
        <f t="shared" si="201"/>
        <v>0</v>
      </c>
      <c r="BO295" s="8">
        <f t="shared" si="202"/>
        <v>0</v>
      </c>
      <c r="BQ295" s="8">
        <f t="shared" si="203"/>
        <v>0</v>
      </c>
      <c r="BR295" s="63">
        <f t="shared" si="204"/>
        <v>0</v>
      </c>
      <c r="BS295" s="63">
        <f t="shared" si="231"/>
        <v>0</v>
      </c>
      <c r="BT295" s="63">
        <f t="shared" si="205"/>
        <v>0</v>
      </c>
      <c r="BU295" s="63">
        <f t="shared" si="206"/>
        <v>0</v>
      </c>
      <c r="BV295" s="57">
        <f t="shared" si="207"/>
        <v>0</v>
      </c>
      <c r="BW295" s="57">
        <f t="shared" si="208"/>
        <v>0</v>
      </c>
      <c r="BX295" s="57">
        <f t="shared" si="232"/>
        <v>0</v>
      </c>
      <c r="BY295" s="57">
        <f t="shared" si="236"/>
        <v>0</v>
      </c>
      <c r="BZ295" s="8">
        <f t="shared" si="209"/>
        <v>0</v>
      </c>
      <c r="CA295" s="8">
        <f t="shared" si="210"/>
        <v>0</v>
      </c>
      <c r="CB295" s="8">
        <f t="shared" si="211"/>
        <v>0</v>
      </c>
      <c r="CC295" s="8">
        <f t="shared" si="212"/>
        <v>0</v>
      </c>
      <c r="CD295" s="8">
        <f t="shared" si="213"/>
        <v>0</v>
      </c>
      <c r="CE295" s="8">
        <f t="shared" si="214"/>
        <v>0</v>
      </c>
      <c r="CF295" s="8">
        <f t="shared" si="215"/>
        <v>0</v>
      </c>
      <c r="CG295" s="8">
        <f t="shared" si="216"/>
        <v>0</v>
      </c>
      <c r="CH295" s="8">
        <f t="shared" si="217"/>
        <v>0</v>
      </c>
      <c r="CI295" s="8">
        <f t="shared" si="218"/>
        <v>0</v>
      </c>
      <c r="CJ295" s="8">
        <f t="shared" si="219"/>
        <v>0</v>
      </c>
      <c r="CK295" s="8">
        <f t="shared" si="220"/>
        <v>0</v>
      </c>
      <c r="CL295" s="8">
        <f t="shared" si="221"/>
        <v>0</v>
      </c>
      <c r="CM295" s="8">
        <f t="shared" si="222"/>
        <v>0</v>
      </c>
      <c r="CN295" s="8">
        <f t="shared" si="223"/>
        <v>0</v>
      </c>
      <c r="CO295" s="8">
        <f t="shared" si="224"/>
        <v>0</v>
      </c>
      <c r="CP295" s="8">
        <f t="shared" si="225"/>
        <v>0</v>
      </c>
      <c r="CQ295" s="8">
        <f t="shared" si="226"/>
        <v>0</v>
      </c>
      <c r="CR295" s="8">
        <f t="shared" si="227"/>
        <v>0</v>
      </c>
      <c r="CS295" s="8">
        <f t="shared" si="228"/>
        <v>0</v>
      </c>
      <c r="CT295" s="8">
        <f t="shared" si="233"/>
        <v>0</v>
      </c>
      <c r="CU295" s="8">
        <f t="shared" si="234"/>
        <v>0</v>
      </c>
      <c r="CV295" s="8">
        <f t="shared" si="235"/>
        <v>0</v>
      </c>
    </row>
    <row r="296" spans="1:100" ht="20.5" thickTop="1" thickBot="1" x14ac:dyDescent="0.5">
      <c r="A296" s="32"/>
      <c r="B296" s="10"/>
      <c r="C296" s="10"/>
      <c r="D296" s="11"/>
      <c r="E296" s="10"/>
      <c r="F296" s="10"/>
      <c r="G296" s="19"/>
      <c r="H296" s="19"/>
      <c r="I296" s="19"/>
      <c r="J296" s="19"/>
      <c r="K296" s="10"/>
      <c r="L296" s="10"/>
      <c r="M296" s="10"/>
      <c r="N296" s="10"/>
      <c r="O296" s="18"/>
      <c r="P296" s="18"/>
      <c r="Q296" s="21"/>
      <c r="R296" s="20"/>
      <c r="S296" s="16">
        <f t="shared" si="191"/>
        <v>0</v>
      </c>
      <c r="T296" s="11"/>
      <c r="AS296" s="31">
        <f t="shared" si="192"/>
        <v>0</v>
      </c>
      <c r="AT296" s="31">
        <f t="shared" si="193"/>
        <v>0</v>
      </c>
      <c r="AU296" s="31">
        <f t="shared" si="194"/>
        <v>0</v>
      </c>
      <c r="AV296" s="31">
        <f t="shared" si="195"/>
        <v>0</v>
      </c>
      <c r="AW296" s="31">
        <f t="shared" si="196"/>
        <v>0</v>
      </c>
      <c r="AX296" s="31">
        <f t="shared" si="197"/>
        <v>0</v>
      </c>
      <c r="AY296" s="31">
        <f t="shared" si="198"/>
        <v>0</v>
      </c>
      <c r="AZ296" s="31">
        <f t="shared" si="199"/>
        <v>0</v>
      </c>
      <c r="BA296" s="31">
        <f t="shared" si="200"/>
        <v>0</v>
      </c>
      <c r="BB296" s="31">
        <f t="shared" si="229"/>
        <v>0</v>
      </c>
      <c r="BM296" s="8">
        <f t="shared" si="230"/>
        <v>0</v>
      </c>
      <c r="BN296" s="8">
        <f t="shared" si="201"/>
        <v>0</v>
      </c>
      <c r="BO296" s="8">
        <f t="shared" si="202"/>
        <v>0</v>
      </c>
      <c r="BQ296" s="8">
        <f t="shared" si="203"/>
        <v>0</v>
      </c>
      <c r="BR296" s="63">
        <f t="shared" si="204"/>
        <v>0</v>
      </c>
      <c r="BS296" s="63">
        <f t="shared" si="231"/>
        <v>0</v>
      </c>
      <c r="BT296" s="63">
        <f t="shared" si="205"/>
        <v>0</v>
      </c>
      <c r="BU296" s="63">
        <f t="shared" si="206"/>
        <v>0</v>
      </c>
      <c r="BV296" s="57">
        <f t="shared" si="207"/>
        <v>0</v>
      </c>
      <c r="BW296" s="57">
        <f t="shared" si="208"/>
        <v>0</v>
      </c>
      <c r="BX296" s="57">
        <f t="shared" si="232"/>
        <v>0</v>
      </c>
      <c r="BY296" s="57">
        <f t="shared" si="236"/>
        <v>0</v>
      </c>
      <c r="BZ296" s="8">
        <f t="shared" si="209"/>
        <v>0</v>
      </c>
      <c r="CA296" s="8">
        <f t="shared" si="210"/>
        <v>0</v>
      </c>
      <c r="CB296" s="8">
        <f t="shared" si="211"/>
        <v>0</v>
      </c>
      <c r="CC296" s="8">
        <f t="shared" si="212"/>
        <v>0</v>
      </c>
      <c r="CD296" s="8">
        <f t="shared" si="213"/>
        <v>0</v>
      </c>
      <c r="CE296" s="8">
        <f t="shared" si="214"/>
        <v>0</v>
      </c>
      <c r="CF296" s="8">
        <f t="shared" si="215"/>
        <v>0</v>
      </c>
      <c r="CG296" s="8">
        <f t="shared" si="216"/>
        <v>0</v>
      </c>
      <c r="CH296" s="8">
        <f t="shared" si="217"/>
        <v>0</v>
      </c>
      <c r="CI296" s="8">
        <f t="shared" si="218"/>
        <v>0</v>
      </c>
      <c r="CJ296" s="8">
        <f t="shared" si="219"/>
        <v>0</v>
      </c>
      <c r="CK296" s="8">
        <f t="shared" si="220"/>
        <v>0</v>
      </c>
      <c r="CL296" s="8">
        <f t="shared" si="221"/>
        <v>0</v>
      </c>
      <c r="CM296" s="8">
        <f t="shared" si="222"/>
        <v>0</v>
      </c>
      <c r="CN296" s="8">
        <f t="shared" si="223"/>
        <v>0</v>
      </c>
      <c r="CO296" s="8">
        <f t="shared" si="224"/>
        <v>0</v>
      </c>
      <c r="CP296" s="8">
        <f t="shared" si="225"/>
        <v>0</v>
      </c>
      <c r="CQ296" s="8">
        <f t="shared" si="226"/>
        <v>0</v>
      </c>
      <c r="CR296" s="8">
        <f t="shared" si="227"/>
        <v>0</v>
      </c>
      <c r="CS296" s="8">
        <f t="shared" si="228"/>
        <v>0</v>
      </c>
      <c r="CT296" s="8">
        <f t="shared" si="233"/>
        <v>0</v>
      </c>
      <c r="CU296" s="8">
        <f t="shared" si="234"/>
        <v>0</v>
      </c>
      <c r="CV296" s="8">
        <f t="shared" si="235"/>
        <v>0</v>
      </c>
    </row>
    <row r="297" spans="1:100" ht="20.5" thickTop="1" thickBot="1" x14ac:dyDescent="0.5">
      <c r="A297" s="32"/>
      <c r="B297" s="10"/>
      <c r="C297" s="10"/>
      <c r="D297" s="11"/>
      <c r="E297" s="10"/>
      <c r="F297" s="10"/>
      <c r="G297" s="19"/>
      <c r="H297" s="19"/>
      <c r="I297" s="19"/>
      <c r="J297" s="19"/>
      <c r="K297" s="10"/>
      <c r="L297" s="10"/>
      <c r="M297" s="10"/>
      <c r="N297" s="10"/>
      <c r="O297" s="18"/>
      <c r="P297" s="18"/>
      <c r="Q297" s="21"/>
      <c r="R297" s="20"/>
      <c r="S297" s="16">
        <f t="shared" si="191"/>
        <v>0</v>
      </c>
      <c r="T297" s="11"/>
      <c r="AS297" s="31">
        <f t="shared" si="192"/>
        <v>0</v>
      </c>
      <c r="AT297" s="31">
        <f t="shared" si="193"/>
        <v>0</v>
      </c>
      <c r="AU297" s="31">
        <f t="shared" si="194"/>
        <v>0</v>
      </c>
      <c r="AV297" s="31">
        <f t="shared" si="195"/>
        <v>0</v>
      </c>
      <c r="AW297" s="31">
        <f t="shared" si="196"/>
        <v>0</v>
      </c>
      <c r="AX297" s="31">
        <f t="shared" si="197"/>
        <v>0</v>
      </c>
      <c r="AY297" s="31">
        <f t="shared" si="198"/>
        <v>0</v>
      </c>
      <c r="AZ297" s="31">
        <f t="shared" si="199"/>
        <v>0</v>
      </c>
      <c r="BA297" s="31">
        <f t="shared" si="200"/>
        <v>0</v>
      </c>
      <c r="BB297" s="31">
        <f t="shared" si="229"/>
        <v>0</v>
      </c>
      <c r="BM297" s="8">
        <f t="shared" si="230"/>
        <v>0</v>
      </c>
      <c r="BN297" s="8">
        <f t="shared" si="201"/>
        <v>0</v>
      </c>
      <c r="BO297" s="8">
        <f t="shared" si="202"/>
        <v>0</v>
      </c>
      <c r="BQ297" s="8">
        <f t="shared" si="203"/>
        <v>0</v>
      </c>
      <c r="BR297" s="63">
        <f t="shared" si="204"/>
        <v>0</v>
      </c>
      <c r="BS297" s="63">
        <f t="shared" si="231"/>
        <v>0</v>
      </c>
      <c r="BT297" s="63">
        <f t="shared" si="205"/>
        <v>0</v>
      </c>
      <c r="BU297" s="63">
        <f t="shared" si="206"/>
        <v>0</v>
      </c>
      <c r="BV297" s="57">
        <f t="shared" si="207"/>
        <v>0</v>
      </c>
      <c r="BW297" s="57">
        <f t="shared" si="208"/>
        <v>0</v>
      </c>
      <c r="BX297" s="57">
        <f t="shared" si="232"/>
        <v>0</v>
      </c>
      <c r="BY297" s="57">
        <f t="shared" si="236"/>
        <v>0</v>
      </c>
      <c r="BZ297" s="8">
        <f t="shared" si="209"/>
        <v>0</v>
      </c>
      <c r="CA297" s="8">
        <f t="shared" si="210"/>
        <v>0</v>
      </c>
      <c r="CB297" s="8">
        <f t="shared" si="211"/>
        <v>0</v>
      </c>
      <c r="CC297" s="8">
        <f t="shared" si="212"/>
        <v>0</v>
      </c>
      <c r="CD297" s="8">
        <f t="shared" si="213"/>
        <v>0</v>
      </c>
      <c r="CE297" s="8">
        <f t="shared" si="214"/>
        <v>0</v>
      </c>
      <c r="CF297" s="8">
        <f t="shared" si="215"/>
        <v>0</v>
      </c>
      <c r="CG297" s="8">
        <f t="shared" si="216"/>
        <v>0</v>
      </c>
      <c r="CH297" s="8">
        <f t="shared" si="217"/>
        <v>0</v>
      </c>
      <c r="CI297" s="8">
        <f t="shared" si="218"/>
        <v>0</v>
      </c>
      <c r="CJ297" s="8">
        <f t="shared" si="219"/>
        <v>0</v>
      </c>
      <c r="CK297" s="8">
        <f t="shared" si="220"/>
        <v>0</v>
      </c>
      <c r="CL297" s="8">
        <f t="shared" si="221"/>
        <v>0</v>
      </c>
      <c r="CM297" s="8">
        <f t="shared" si="222"/>
        <v>0</v>
      </c>
      <c r="CN297" s="8">
        <f t="shared" si="223"/>
        <v>0</v>
      </c>
      <c r="CO297" s="8">
        <f t="shared" si="224"/>
        <v>0</v>
      </c>
      <c r="CP297" s="8">
        <f t="shared" si="225"/>
        <v>0</v>
      </c>
      <c r="CQ297" s="8">
        <f t="shared" si="226"/>
        <v>0</v>
      </c>
      <c r="CR297" s="8">
        <f t="shared" si="227"/>
        <v>0</v>
      </c>
      <c r="CS297" s="8">
        <f t="shared" si="228"/>
        <v>0</v>
      </c>
      <c r="CT297" s="8">
        <f t="shared" si="233"/>
        <v>0</v>
      </c>
      <c r="CU297" s="8">
        <f t="shared" si="234"/>
        <v>0</v>
      </c>
      <c r="CV297" s="8">
        <f t="shared" si="235"/>
        <v>0</v>
      </c>
    </row>
    <row r="298" spans="1:100" ht="20.5" thickTop="1" thickBot="1" x14ac:dyDescent="0.5">
      <c r="A298" s="32"/>
      <c r="B298" s="10"/>
      <c r="C298" s="10"/>
      <c r="D298" s="11"/>
      <c r="E298" s="10"/>
      <c r="F298" s="10"/>
      <c r="G298" s="19"/>
      <c r="H298" s="19"/>
      <c r="I298" s="19"/>
      <c r="J298" s="19"/>
      <c r="K298" s="10"/>
      <c r="L298" s="10"/>
      <c r="M298" s="10"/>
      <c r="N298" s="10"/>
      <c r="O298" s="18"/>
      <c r="P298" s="18"/>
      <c r="Q298" s="21"/>
      <c r="R298" s="20"/>
      <c r="S298" s="16">
        <f t="shared" si="191"/>
        <v>0</v>
      </c>
      <c r="T298" s="11"/>
      <c r="AS298" s="31">
        <f t="shared" si="192"/>
        <v>0</v>
      </c>
      <c r="AT298" s="31">
        <f t="shared" si="193"/>
        <v>0</v>
      </c>
      <c r="AU298" s="31">
        <f t="shared" si="194"/>
        <v>0</v>
      </c>
      <c r="AV298" s="31">
        <f t="shared" si="195"/>
        <v>0</v>
      </c>
      <c r="AW298" s="31">
        <f t="shared" si="196"/>
        <v>0</v>
      </c>
      <c r="AX298" s="31">
        <f t="shared" si="197"/>
        <v>0</v>
      </c>
      <c r="AY298" s="31">
        <f t="shared" si="198"/>
        <v>0</v>
      </c>
      <c r="AZ298" s="31">
        <f t="shared" si="199"/>
        <v>0</v>
      </c>
      <c r="BA298" s="31">
        <f t="shared" si="200"/>
        <v>0</v>
      </c>
      <c r="BB298" s="31">
        <f t="shared" si="229"/>
        <v>0</v>
      </c>
      <c r="BM298" s="8">
        <f t="shared" si="230"/>
        <v>0</v>
      </c>
      <c r="BN298" s="8">
        <f t="shared" si="201"/>
        <v>0</v>
      </c>
      <c r="BO298" s="8">
        <f t="shared" si="202"/>
        <v>0</v>
      </c>
      <c r="BQ298" s="8">
        <f t="shared" si="203"/>
        <v>0</v>
      </c>
      <c r="BR298" s="63">
        <f t="shared" si="204"/>
        <v>0</v>
      </c>
      <c r="BS298" s="63">
        <f t="shared" si="231"/>
        <v>0</v>
      </c>
      <c r="BT298" s="63">
        <f t="shared" si="205"/>
        <v>0</v>
      </c>
      <c r="BU298" s="63">
        <f t="shared" si="206"/>
        <v>0</v>
      </c>
      <c r="BV298" s="57">
        <f t="shared" si="207"/>
        <v>0</v>
      </c>
      <c r="BW298" s="57">
        <f t="shared" si="208"/>
        <v>0</v>
      </c>
      <c r="BX298" s="57">
        <f t="shared" si="232"/>
        <v>0</v>
      </c>
      <c r="BY298" s="57">
        <f t="shared" si="236"/>
        <v>0</v>
      </c>
      <c r="BZ298" s="8">
        <f t="shared" si="209"/>
        <v>0</v>
      </c>
      <c r="CA298" s="8">
        <f t="shared" si="210"/>
        <v>0</v>
      </c>
      <c r="CB298" s="8">
        <f t="shared" si="211"/>
        <v>0</v>
      </c>
      <c r="CC298" s="8">
        <f t="shared" si="212"/>
        <v>0</v>
      </c>
      <c r="CD298" s="8">
        <f t="shared" si="213"/>
        <v>0</v>
      </c>
      <c r="CE298" s="8">
        <f t="shared" si="214"/>
        <v>0</v>
      </c>
      <c r="CF298" s="8">
        <f t="shared" si="215"/>
        <v>0</v>
      </c>
      <c r="CG298" s="8">
        <f t="shared" si="216"/>
        <v>0</v>
      </c>
      <c r="CH298" s="8">
        <f t="shared" si="217"/>
        <v>0</v>
      </c>
      <c r="CI298" s="8">
        <f t="shared" si="218"/>
        <v>0</v>
      </c>
      <c r="CJ298" s="8">
        <f t="shared" si="219"/>
        <v>0</v>
      </c>
      <c r="CK298" s="8">
        <f t="shared" si="220"/>
        <v>0</v>
      </c>
      <c r="CL298" s="8">
        <f t="shared" si="221"/>
        <v>0</v>
      </c>
      <c r="CM298" s="8">
        <f t="shared" si="222"/>
        <v>0</v>
      </c>
      <c r="CN298" s="8">
        <f t="shared" si="223"/>
        <v>0</v>
      </c>
      <c r="CO298" s="8">
        <f t="shared" si="224"/>
        <v>0</v>
      </c>
      <c r="CP298" s="8">
        <f t="shared" si="225"/>
        <v>0</v>
      </c>
      <c r="CQ298" s="8">
        <f t="shared" si="226"/>
        <v>0</v>
      </c>
      <c r="CR298" s="8">
        <f t="shared" si="227"/>
        <v>0</v>
      </c>
      <c r="CS298" s="8">
        <f t="shared" si="228"/>
        <v>0</v>
      </c>
      <c r="CT298" s="8">
        <f t="shared" si="233"/>
        <v>0</v>
      </c>
      <c r="CU298" s="8">
        <f t="shared" si="234"/>
        <v>0</v>
      </c>
      <c r="CV298" s="8">
        <f t="shared" si="235"/>
        <v>0</v>
      </c>
    </row>
    <row r="299" spans="1:100" ht="20.5" thickTop="1" thickBot="1" x14ac:dyDescent="0.5">
      <c r="A299" s="32"/>
      <c r="B299" s="10"/>
      <c r="C299" s="10"/>
      <c r="D299" s="11"/>
      <c r="E299" s="10"/>
      <c r="F299" s="10"/>
      <c r="G299" s="19"/>
      <c r="H299" s="19"/>
      <c r="I299" s="19"/>
      <c r="J299" s="19"/>
      <c r="K299" s="10"/>
      <c r="L299" s="10"/>
      <c r="M299" s="10"/>
      <c r="N299" s="10"/>
      <c r="O299" s="18"/>
      <c r="P299" s="18"/>
      <c r="Q299" s="21"/>
      <c r="R299" s="20"/>
      <c r="S299" s="16">
        <f t="shared" si="191"/>
        <v>0</v>
      </c>
      <c r="T299" s="11"/>
      <c r="AS299" s="31">
        <f t="shared" si="192"/>
        <v>0</v>
      </c>
      <c r="AT299" s="31">
        <f t="shared" si="193"/>
        <v>0</v>
      </c>
      <c r="AU299" s="31">
        <f t="shared" si="194"/>
        <v>0</v>
      </c>
      <c r="AV299" s="31">
        <f t="shared" si="195"/>
        <v>0</v>
      </c>
      <c r="AW299" s="31">
        <f t="shared" si="196"/>
        <v>0</v>
      </c>
      <c r="AX299" s="31">
        <f t="shared" si="197"/>
        <v>0</v>
      </c>
      <c r="AY299" s="31">
        <f t="shared" si="198"/>
        <v>0</v>
      </c>
      <c r="AZ299" s="31">
        <f t="shared" si="199"/>
        <v>0</v>
      </c>
      <c r="BA299" s="31">
        <f t="shared" si="200"/>
        <v>0</v>
      </c>
      <c r="BB299" s="31">
        <f t="shared" si="229"/>
        <v>0</v>
      </c>
      <c r="BM299" s="8">
        <f t="shared" si="230"/>
        <v>0</v>
      </c>
      <c r="BN299" s="8">
        <f t="shared" si="201"/>
        <v>0</v>
      </c>
      <c r="BO299" s="8">
        <f t="shared" si="202"/>
        <v>0</v>
      </c>
      <c r="BQ299" s="8">
        <f t="shared" si="203"/>
        <v>0</v>
      </c>
      <c r="BR299" s="63">
        <f t="shared" si="204"/>
        <v>0</v>
      </c>
      <c r="BS299" s="63">
        <f t="shared" si="231"/>
        <v>0</v>
      </c>
      <c r="BT299" s="63">
        <f t="shared" si="205"/>
        <v>0</v>
      </c>
      <c r="BU299" s="63">
        <f t="shared" si="206"/>
        <v>0</v>
      </c>
      <c r="BV299" s="57">
        <f t="shared" si="207"/>
        <v>0</v>
      </c>
      <c r="BW299" s="57">
        <f t="shared" si="208"/>
        <v>0</v>
      </c>
      <c r="BX299" s="57">
        <f t="shared" si="232"/>
        <v>0</v>
      </c>
      <c r="BY299" s="57">
        <f t="shared" si="236"/>
        <v>0</v>
      </c>
      <c r="BZ299" s="8">
        <f t="shared" si="209"/>
        <v>0</v>
      </c>
      <c r="CA299" s="8">
        <f t="shared" si="210"/>
        <v>0</v>
      </c>
      <c r="CB299" s="8">
        <f t="shared" si="211"/>
        <v>0</v>
      </c>
      <c r="CC299" s="8">
        <f t="shared" si="212"/>
        <v>0</v>
      </c>
      <c r="CD299" s="8">
        <f t="shared" si="213"/>
        <v>0</v>
      </c>
      <c r="CE299" s="8">
        <f t="shared" si="214"/>
        <v>0</v>
      </c>
      <c r="CF299" s="8">
        <f t="shared" si="215"/>
        <v>0</v>
      </c>
      <c r="CG299" s="8">
        <f t="shared" si="216"/>
        <v>0</v>
      </c>
      <c r="CH299" s="8">
        <f t="shared" si="217"/>
        <v>0</v>
      </c>
      <c r="CI299" s="8">
        <f t="shared" si="218"/>
        <v>0</v>
      </c>
      <c r="CJ299" s="8">
        <f t="shared" si="219"/>
        <v>0</v>
      </c>
      <c r="CK299" s="8">
        <f t="shared" si="220"/>
        <v>0</v>
      </c>
      <c r="CL299" s="8">
        <f t="shared" si="221"/>
        <v>0</v>
      </c>
      <c r="CM299" s="8">
        <f t="shared" si="222"/>
        <v>0</v>
      </c>
      <c r="CN299" s="8">
        <f t="shared" si="223"/>
        <v>0</v>
      </c>
      <c r="CO299" s="8">
        <f t="shared" si="224"/>
        <v>0</v>
      </c>
      <c r="CP299" s="8">
        <f t="shared" si="225"/>
        <v>0</v>
      </c>
      <c r="CQ299" s="8">
        <f t="shared" si="226"/>
        <v>0</v>
      </c>
      <c r="CR299" s="8">
        <f t="shared" si="227"/>
        <v>0</v>
      </c>
      <c r="CS299" s="8">
        <f t="shared" si="228"/>
        <v>0</v>
      </c>
      <c r="CT299" s="8">
        <f t="shared" si="233"/>
        <v>0</v>
      </c>
      <c r="CU299" s="8">
        <f t="shared" si="234"/>
        <v>0</v>
      </c>
      <c r="CV299" s="8">
        <f t="shared" si="235"/>
        <v>0</v>
      </c>
    </row>
    <row r="300" spans="1:100" ht="20.5" thickTop="1" thickBot="1" x14ac:dyDescent="0.5">
      <c r="A300" s="32"/>
      <c r="B300" s="10"/>
      <c r="C300" s="10"/>
      <c r="D300" s="11"/>
      <c r="E300" s="10"/>
      <c r="F300" s="10"/>
      <c r="G300" s="19"/>
      <c r="H300" s="19"/>
      <c r="I300" s="19"/>
      <c r="J300" s="19"/>
      <c r="K300" s="10"/>
      <c r="L300" s="10"/>
      <c r="M300" s="10"/>
      <c r="N300" s="10"/>
      <c r="O300" s="18"/>
      <c r="P300" s="18"/>
      <c r="Q300" s="21"/>
      <c r="R300" s="20"/>
      <c r="S300" s="16">
        <f t="shared" si="191"/>
        <v>0</v>
      </c>
      <c r="T300" s="11"/>
      <c r="AS300" s="31">
        <f t="shared" si="192"/>
        <v>0</v>
      </c>
      <c r="AT300" s="31">
        <f t="shared" si="193"/>
        <v>0</v>
      </c>
      <c r="AU300" s="31">
        <f t="shared" si="194"/>
        <v>0</v>
      </c>
      <c r="AV300" s="31">
        <f t="shared" si="195"/>
        <v>0</v>
      </c>
      <c r="AW300" s="31">
        <f t="shared" si="196"/>
        <v>0</v>
      </c>
      <c r="AX300" s="31">
        <f t="shared" si="197"/>
        <v>0</v>
      </c>
      <c r="AY300" s="31">
        <f t="shared" si="198"/>
        <v>0</v>
      </c>
      <c r="AZ300" s="31">
        <f t="shared" si="199"/>
        <v>0</v>
      </c>
      <c r="BA300" s="31">
        <f t="shared" si="200"/>
        <v>0</v>
      </c>
      <c r="BB300" s="31">
        <f t="shared" si="229"/>
        <v>0</v>
      </c>
      <c r="BM300" s="8">
        <f t="shared" si="230"/>
        <v>0</v>
      </c>
      <c r="BN300" s="8">
        <f t="shared" si="201"/>
        <v>0</v>
      </c>
      <c r="BO300" s="8">
        <f t="shared" si="202"/>
        <v>0</v>
      </c>
      <c r="BQ300" s="8">
        <f t="shared" si="203"/>
        <v>0</v>
      </c>
      <c r="BR300" s="63">
        <f t="shared" si="204"/>
        <v>0</v>
      </c>
      <c r="BS300" s="63">
        <f t="shared" si="231"/>
        <v>0</v>
      </c>
      <c r="BT300" s="63">
        <f t="shared" si="205"/>
        <v>0</v>
      </c>
      <c r="BU300" s="63">
        <f t="shared" si="206"/>
        <v>0</v>
      </c>
      <c r="BV300" s="57">
        <f t="shared" si="207"/>
        <v>0</v>
      </c>
      <c r="BW300" s="57">
        <f t="shared" si="208"/>
        <v>0</v>
      </c>
      <c r="BX300" s="57">
        <f t="shared" si="232"/>
        <v>0</v>
      </c>
      <c r="BY300" s="57">
        <f t="shared" si="236"/>
        <v>0</v>
      </c>
      <c r="BZ300" s="8">
        <f t="shared" si="209"/>
        <v>0</v>
      </c>
      <c r="CA300" s="8">
        <f t="shared" si="210"/>
        <v>0</v>
      </c>
      <c r="CB300" s="8">
        <f t="shared" si="211"/>
        <v>0</v>
      </c>
      <c r="CC300" s="8">
        <f t="shared" si="212"/>
        <v>0</v>
      </c>
      <c r="CD300" s="8">
        <f t="shared" si="213"/>
        <v>0</v>
      </c>
      <c r="CE300" s="8">
        <f t="shared" si="214"/>
        <v>0</v>
      </c>
      <c r="CF300" s="8">
        <f t="shared" si="215"/>
        <v>0</v>
      </c>
      <c r="CG300" s="8">
        <f t="shared" si="216"/>
        <v>0</v>
      </c>
      <c r="CH300" s="8">
        <f t="shared" si="217"/>
        <v>0</v>
      </c>
      <c r="CI300" s="8">
        <f t="shared" si="218"/>
        <v>0</v>
      </c>
      <c r="CJ300" s="8">
        <f t="shared" si="219"/>
        <v>0</v>
      </c>
      <c r="CK300" s="8">
        <f t="shared" si="220"/>
        <v>0</v>
      </c>
      <c r="CL300" s="8">
        <f t="shared" si="221"/>
        <v>0</v>
      </c>
      <c r="CM300" s="8">
        <f t="shared" si="222"/>
        <v>0</v>
      </c>
      <c r="CN300" s="8">
        <f t="shared" si="223"/>
        <v>0</v>
      </c>
      <c r="CO300" s="8">
        <f t="shared" si="224"/>
        <v>0</v>
      </c>
      <c r="CP300" s="8">
        <f t="shared" si="225"/>
        <v>0</v>
      </c>
      <c r="CQ300" s="8">
        <f t="shared" si="226"/>
        <v>0</v>
      </c>
      <c r="CR300" s="8">
        <f t="shared" si="227"/>
        <v>0</v>
      </c>
      <c r="CS300" s="8">
        <f t="shared" si="228"/>
        <v>0</v>
      </c>
      <c r="CT300" s="8">
        <f t="shared" si="233"/>
        <v>0</v>
      </c>
      <c r="CU300" s="8">
        <f t="shared" si="234"/>
        <v>0</v>
      </c>
      <c r="CV300" s="8">
        <f t="shared" si="235"/>
        <v>0</v>
      </c>
    </row>
    <row r="301" spans="1:100" ht="20.5" thickTop="1" thickBot="1" x14ac:dyDescent="0.5">
      <c r="A301" s="32"/>
      <c r="B301" s="10"/>
      <c r="C301" s="10"/>
      <c r="D301" s="11"/>
      <c r="E301" s="10"/>
      <c r="F301" s="10"/>
      <c r="G301" s="19"/>
      <c r="H301" s="19"/>
      <c r="I301" s="19"/>
      <c r="J301" s="19"/>
      <c r="K301" s="10"/>
      <c r="L301" s="10"/>
      <c r="M301" s="10"/>
      <c r="N301" s="10"/>
      <c r="O301" s="18"/>
      <c r="P301" s="18"/>
      <c r="Q301" s="21"/>
      <c r="R301" s="20"/>
      <c r="S301" s="16">
        <f t="shared" si="191"/>
        <v>0</v>
      </c>
      <c r="T301" s="11"/>
      <c r="AS301" s="31">
        <f t="shared" si="192"/>
        <v>0</v>
      </c>
      <c r="AT301" s="31">
        <f t="shared" si="193"/>
        <v>0</v>
      </c>
      <c r="AU301" s="31">
        <f t="shared" si="194"/>
        <v>0</v>
      </c>
      <c r="AV301" s="31">
        <f t="shared" si="195"/>
        <v>0</v>
      </c>
      <c r="AW301" s="31">
        <f t="shared" si="196"/>
        <v>0</v>
      </c>
      <c r="AX301" s="31">
        <f t="shared" si="197"/>
        <v>0</v>
      </c>
      <c r="AY301" s="31">
        <f t="shared" si="198"/>
        <v>0</v>
      </c>
      <c r="AZ301" s="31">
        <f t="shared" si="199"/>
        <v>0</v>
      </c>
      <c r="BA301" s="31">
        <f t="shared" si="200"/>
        <v>0</v>
      </c>
      <c r="BB301" s="31">
        <f t="shared" si="229"/>
        <v>0</v>
      </c>
      <c r="BM301" s="8">
        <f t="shared" si="230"/>
        <v>0</v>
      </c>
      <c r="BN301" s="8">
        <f t="shared" si="201"/>
        <v>0</v>
      </c>
      <c r="BO301" s="8">
        <f t="shared" si="202"/>
        <v>0</v>
      </c>
      <c r="BQ301" s="8">
        <f t="shared" si="203"/>
        <v>0</v>
      </c>
      <c r="BR301" s="63">
        <f t="shared" si="204"/>
        <v>0</v>
      </c>
      <c r="BS301" s="63">
        <f t="shared" si="231"/>
        <v>0</v>
      </c>
      <c r="BT301" s="63">
        <f t="shared" si="205"/>
        <v>0</v>
      </c>
      <c r="BU301" s="63">
        <f t="shared" si="206"/>
        <v>0</v>
      </c>
      <c r="BV301" s="57">
        <f t="shared" si="207"/>
        <v>0</v>
      </c>
      <c r="BW301" s="57">
        <f t="shared" si="208"/>
        <v>0</v>
      </c>
      <c r="BX301" s="57">
        <f t="shared" si="232"/>
        <v>0</v>
      </c>
      <c r="BY301" s="57">
        <f t="shared" si="236"/>
        <v>0</v>
      </c>
      <c r="BZ301" s="8">
        <f t="shared" si="209"/>
        <v>0</v>
      </c>
      <c r="CA301" s="8">
        <f t="shared" si="210"/>
        <v>0</v>
      </c>
      <c r="CB301" s="8">
        <f t="shared" si="211"/>
        <v>0</v>
      </c>
      <c r="CC301" s="8">
        <f t="shared" si="212"/>
        <v>0</v>
      </c>
      <c r="CD301" s="8">
        <f t="shared" si="213"/>
        <v>0</v>
      </c>
      <c r="CE301" s="8">
        <f t="shared" si="214"/>
        <v>0</v>
      </c>
      <c r="CF301" s="8">
        <f t="shared" si="215"/>
        <v>0</v>
      </c>
      <c r="CG301" s="8">
        <f t="shared" si="216"/>
        <v>0</v>
      </c>
      <c r="CH301" s="8">
        <f t="shared" si="217"/>
        <v>0</v>
      </c>
      <c r="CI301" s="8">
        <f t="shared" si="218"/>
        <v>0</v>
      </c>
      <c r="CJ301" s="8">
        <f t="shared" si="219"/>
        <v>0</v>
      </c>
      <c r="CK301" s="8">
        <f t="shared" si="220"/>
        <v>0</v>
      </c>
      <c r="CL301" s="8">
        <f t="shared" si="221"/>
        <v>0</v>
      </c>
      <c r="CM301" s="8">
        <f t="shared" si="222"/>
        <v>0</v>
      </c>
      <c r="CN301" s="8">
        <f t="shared" si="223"/>
        <v>0</v>
      </c>
      <c r="CO301" s="8">
        <f t="shared" si="224"/>
        <v>0</v>
      </c>
      <c r="CP301" s="8">
        <f t="shared" si="225"/>
        <v>0</v>
      </c>
      <c r="CQ301" s="8">
        <f t="shared" si="226"/>
        <v>0</v>
      </c>
      <c r="CR301" s="8">
        <f t="shared" si="227"/>
        <v>0</v>
      </c>
      <c r="CS301" s="8">
        <f t="shared" si="228"/>
        <v>0</v>
      </c>
      <c r="CT301" s="8">
        <f t="shared" si="233"/>
        <v>0</v>
      </c>
      <c r="CU301" s="8">
        <f t="shared" si="234"/>
        <v>0</v>
      </c>
      <c r="CV301" s="8">
        <f t="shared" si="235"/>
        <v>0</v>
      </c>
    </row>
    <row r="302" spans="1:100" ht="20.5" thickTop="1" thickBot="1" x14ac:dyDescent="0.5">
      <c r="A302" s="32"/>
      <c r="B302" s="10"/>
      <c r="C302" s="10"/>
      <c r="D302" s="11"/>
      <c r="E302" s="10"/>
      <c r="F302" s="10"/>
      <c r="G302" s="19"/>
      <c r="H302" s="19"/>
      <c r="I302" s="19"/>
      <c r="J302" s="19"/>
      <c r="K302" s="10"/>
      <c r="L302" s="10"/>
      <c r="M302" s="10"/>
      <c r="N302" s="10"/>
      <c r="O302" s="18"/>
      <c r="P302" s="18"/>
      <c r="Q302" s="21"/>
      <c r="R302" s="20"/>
      <c r="S302" s="16">
        <f t="shared" si="191"/>
        <v>0</v>
      </c>
      <c r="T302" s="11"/>
      <c r="AS302" s="31">
        <f t="shared" si="192"/>
        <v>0</v>
      </c>
      <c r="AT302" s="31">
        <f t="shared" si="193"/>
        <v>0</v>
      </c>
      <c r="AU302" s="31">
        <f t="shared" si="194"/>
        <v>0</v>
      </c>
      <c r="AV302" s="31">
        <f t="shared" si="195"/>
        <v>0</v>
      </c>
      <c r="AW302" s="31">
        <f t="shared" si="196"/>
        <v>0</v>
      </c>
      <c r="AX302" s="31">
        <f t="shared" si="197"/>
        <v>0</v>
      </c>
      <c r="AY302" s="31">
        <f t="shared" si="198"/>
        <v>0</v>
      </c>
      <c r="AZ302" s="31">
        <f t="shared" si="199"/>
        <v>0</v>
      </c>
      <c r="BA302" s="31">
        <f t="shared" si="200"/>
        <v>0</v>
      </c>
      <c r="BB302" s="31">
        <f t="shared" si="229"/>
        <v>0</v>
      </c>
      <c r="BM302" s="8">
        <f t="shared" si="230"/>
        <v>0</v>
      </c>
      <c r="BN302" s="8">
        <f t="shared" si="201"/>
        <v>0</v>
      </c>
      <c r="BO302" s="8">
        <f t="shared" si="202"/>
        <v>0</v>
      </c>
      <c r="BQ302" s="8">
        <f t="shared" si="203"/>
        <v>0</v>
      </c>
      <c r="BR302" s="63">
        <f t="shared" si="204"/>
        <v>0</v>
      </c>
      <c r="BS302" s="63">
        <f t="shared" si="231"/>
        <v>0</v>
      </c>
      <c r="BT302" s="63">
        <f t="shared" si="205"/>
        <v>0</v>
      </c>
      <c r="BU302" s="63">
        <f t="shared" si="206"/>
        <v>0</v>
      </c>
      <c r="BV302" s="57">
        <f t="shared" si="207"/>
        <v>0</v>
      </c>
      <c r="BW302" s="57">
        <f t="shared" si="208"/>
        <v>0</v>
      </c>
      <c r="BX302" s="57">
        <f t="shared" si="232"/>
        <v>0</v>
      </c>
      <c r="BY302" s="57">
        <f t="shared" si="236"/>
        <v>0</v>
      </c>
      <c r="BZ302" s="8">
        <f t="shared" si="209"/>
        <v>0</v>
      </c>
      <c r="CA302" s="8">
        <f t="shared" si="210"/>
        <v>0</v>
      </c>
      <c r="CB302" s="8">
        <f t="shared" si="211"/>
        <v>0</v>
      </c>
      <c r="CC302" s="8">
        <f t="shared" si="212"/>
        <v>0</v>
      </c>
      <c r="CD302" s="8">
        <f t="shared" si="213"/>
        <v>0</v>
      </c>
      <c r="CE302" s="8">
        <f t="shared" si="214"/>
        <v>0</v>
      </c>
      <c r="CF302" s="8">
        <f t="shared" si="215"/>
        <v>0</v>
      </c>
      <c r="CG302" s="8">
        <f t="shared" si="216"/>
        <v>0</v>
      </c>
      <c r="CH302" s="8">
        <f t="shared" si="217"/>
        <v>0</v>
      </c>
      <c r="CI302" s="8">
        <f t="shared" si="218"/>
        <v>0</v>
      </c>
      <c r="CJ302" s="8">
        <f t="shared" si="219"/>
        <v>0</v>
      </c>
      <c r="CK302" s="8">
        <f t="shared" si="220"/>
        <v>0</v>
      </c>
      <c r="CL302" s="8">
        <f t="shared" si="221"/>
        <v>0</v>
      </c>
      <c r="CM302" s="8">
        <f t="shared" si="222"/>
        <v>0</v>
      </c>
      <c r="CN302" s="8">
        <f t="shared" si="223"/>
        <v>0</v>
      </c>
      <c r="CO302" s="8">
        <f t="shared" si="224"/>
        <v>0</v>
      </c>
      <c r="CP302" s="8">
        <f t="shared" si="225"/>
        <v>0</v>
      </c>
      <c r="CQ302" s="8">
        <f t="shared" si="226"/>
        <v>0</v>
      </c>
      <c r="CR302" s="8">
        <f t="shared" si="227"/>
        <v>0</v>
      </c>
      <c r="CS302" s="8">
        <f t="shared" si="228"/>
        <v>0</v>
      </c>
      <c r="CT302" s="8">
        <f t="shared" si="233"/>
        <v>0</v>
      </c>
      <c r="CU302" s="8">
        <f t="shared" si="234"/>
        <v>0</v>
      </c>
      <c r="CV302" s="8">
        <f t="shared" si="235"/>
        <v>0</v>
      </c>
    </row>
    <row r="303" spans="1:100" ht="20.5" thickTop="1" thickBot="1" x14ac:dyDescent="0.5">
      <c r="A303" s="32"/>
      <c r="B303" s="10"/>
      <c r="C303" s="10"/>
      <c r="D303" s="11"/>
      <c r="E303" s="10"/>
      <c r="F303" s="10"/>
      <c r="G303" s="19"/>
      <c r="H303" s="19"/>
      <c r="I303" s="19"/>
      <c r="J303" s="19"/>
      <c r="K303" s="10"/>
      <c r="L303" s="10"/>
      <c r="M303" s="10"/>
      <c r="N303" s="10"/>
      <c r="O303" s="18"/>
      <c r="P303" s="18"/>
      <c r="Q303" s="21"/>
      <c r="R303" s="20"/>
      <c r="S303" s="16">
        <f t="shared" si="191"/>
        <v>0</v>
      </c>
      <c r="T303" s="11"/>
      <c r="AS303" s="31">
        <f t="shared" si="192"/>
        <v>0</v>
      </c>
      <c r="AT303" s="31">
        <f t="shared" si="193"/>
        <v>0</v>
      </c>
      <c r="AU303" s="31">
        <f t="shared" si="194"/>
        <v>0</v>
      </c>
      <c r="AV303" s="31">
        <f t="shared" si="195"/>
        <v>0</v>
      </c>
      <c r="AW303" s="31">
        <f t="shared" si="196"/>
        <v>0</v>
      </c>
      <c r="AX303" s="31">
        <f t="shared" si="197"/>
        <v>0</v>
      </c>
      <c r="AY303" s="31">
        <f t="shared" si="198"/>
        <v>0</v>
      </c>
      <c r="AZ303" s="31">
        <f t="shared" si="199"/>
        <v>0</v>
      </c>
      <c r="BA303" s="31">
        <f t="shared" si="200"/>
        <v>0</v>
      </c>
      <c r="BB303" s="31">
        <f t="shared" si="229"/>
        <v>0</v>
      </c>
      <c r="BM303" s="8">
        <f t="shared" si="230"/>
        <v>0</v>
      </c>
      <c r="BN303" s="8">
        <f t="shared" si="201"/>
        <v>0</v>
      </c>
      <c r="BO303" s="8">
        <f t="shared" si="202"/>
        <v>0</v>
      </c>
      <c r="BQ303" s="8">
        <f t="shared" si="203"/>
        <v>0</v>
      </c>
      <c r="BR303" s="63">
        <f t="shared" si="204"/>
        <v>0</v>
      </c>
      <c r="BS303" s="63">
        <f t="shared" si="231"/>
        <v>0</v>
      </c>
      <c r="BT303" s="63">
        <f t="shared" si="205"/>
        <v>0</v>
      </c>
      <c r="BU303" s="63">
        <f t="shared" si="206"/>
        <v>0</v>
      </c>
      <c r="BV303" s="57">
        <f t="shared" si="207"/>
        <v>0</v>
      </c>
      <c r="BW303" s="57">
        <f t="shared" si="208"/>
        <v>0</v>
      </c>
      <c r="BX303" s="57">
        <f t="shared" si="232"/>
        <v>0</v>
      </c>
      <c r="BY303" s="57">
        <f t="shared" si="236"/>
        <v>0</v>
      </c>
      <c r="BZ303" s="8">
        <f t="shared" si="209"/>
        <v>0</v>
      </c>
      <c r="CA303" s="8">
        <f t="shared" si="210"/>
        <v>0</v>
      </c>
      <c r="CB303" s="8">
        <f t="shared" si="211"/>
        <v>0</v>
      </c>
      <c r="CC303" s="8">
        <f t="shared" si="212"/>
        <v>0</v>
      </c>
      <c r="CD303" s="8">
        <f t="shared" si="213"/>
        <v>0</v>
      </c>
      <c r="CE303" s="8">
        <f t="shared" si="214"/>
        <v>0</v>
      </c>
      <c r="CF303" s="8">
        <f t="shared" si="215"/>
        <v>0</v>
      </c>
      <c r="CG303" s="8">
        <f t="shared" si="216"/>
        <v>0</v>
      </c>
      <c r="CH303" s="8">
        <f t="shared" si="217"/>
        <v>0</v>
      </c>
      <c r="CI303" s="8">
        <f t="shared" si="218"/>
        <v>0</v>
      </c>
      <c r="CJ303" s="8">
        <f t="shared" si="219"/>
        <v>0</v>
      </c>
      <c r="CK303" s="8">
        <f t="shared" si="220"/>
        <v>0</v>
      </c>
      <c r="CL303" s="8">
        <f t="shared" si="221"/>
        <v>0</v>
      </c>
      <c r="CM303" s="8">
        <f t="shared" si="222"/>
        <v>0</v>
      </c>
      <c r="CN303" s="8">
        <f t="shared" si="223"/>
        <v>0</v>
      </c>
      <c r="CO303" s="8">
        <f t="shared" si="224"/>
        <v>0</v>
      </c>
      <c r="CP303" s="8">
        <f t="shared" si="225"/>
        <v>0</v>
      </c>
      <c r="CQ303" s="8">
        <f t="shared" si="226"/>
        <v>0</v>
      </c>
      <c r="CR303" s="8">
        <f t="shared" si="227"/>
        <v>0</v>
      </c>
      <c r="CS303" s="8">
        <f t="shared" si="228"/>
        <v>0</v>
      </c>
      <c r="CT303" s="8">
        <f t="shared" si="233"/>
        <v>0</v>
      </c>
      <c r="CU303" s="8">
        <f t="shared" si="234"/>
        <v>0</v>
      </c>
      <c r="CV303" s="8">
        <f t="shared" si="235"/>
        <v>0</v>
      </c>
    </row>
    <row r="304" spans="1:100" ht="20.5" thickTop="1" thickBot="1" x14ac:dyDescent="0.5">
      <c r="A304" s="32"/>
      <c r="B304" s="10"/>
      <c r="C304" s="10"/>
      <c r="D304" s="11"/>
      <c r="E304" s="10"/>
      <c r="F304" s="10"/>
      <c r="G304" s="19"/>
      <c r="H304" s="19"/>
      <c r="I304" s="19"/>
      <c r="J304" s="19"/>
      <c r="K304" s="10"/>
      <c r="L304" s="10"/>
      <c r="M304" s="10"/>
      <c r="N304" s="10"/>
      <c r="O304" s="18"/>
      <c r="P304" s="18"/>
      <c r="Q304" s="21"/>
      <c r="R304" s="20"/>
      <c r="S304" s="16">
        <f t="shared" si="191"/>
        <v>0</v>
      </c>
      <c r="T304" s="11"/>
      <c r="AS304" s="31">
        <f t="shared" si="192"/>
        <v>0</v>
      </c>
      <c r="AT304" s="31">
        <f t="shared" si="193"/>
        <v>0</v>
      </c>
      <c r="AU304" s="31">
        <f t="shared" si="194"/>
        <v>0</v>
      </c>
      <c r="AV304" s="31">
        <f t="shared" si="195"/>
        <v>0</v>
      </c>
      <c r="AW304" s="31">
        <f t="shared" si="196"/>
        <v>0</v>
      </c>
      <c r="AX304" s="31">
        <f t="shared" si="197"/>
        <v>0</v>
      </c>
      <c r="AY304" s="31">
        <f t="shared" si="198"/>
        <v>0</v>
      </c>
      <c r="AZ304" s="31">
        <f t="shared" si="199"/>
        <v>0</v>
      </c>
      <c r="BA304" s="31">
        <f t="shared" si="200"/>
        <v>0</v>
      </c>
      <c r="BB304" s="31">
        <f t="shared" si="229"/>
        <v>0</v>
      </c>
      <c r="BM304" s="8">
        <f t="shared" si="230"/>
        <v>0</v>
      </c>
      <c r="BN304" s="8">
        <f t="shared" si="201"/>
        <v>0</v>
      </c>
      <c r="BO304" s="8">
        <f t="shared" si="202"/>
        <v>0</v>
      </c>
      <c r="BQ304" s="8">
        <f t="shared" si="203"/>
        <v>0</v>
      </c>
      <c r="BR304" s="63">
        <f t="shared" si="204"/>
        <v>0</v>
      </c>
      <c r="BS304" s="63">
        <f t="shared" si="231"/>
        <v>0</v>
      </c>
      <c r="BT304" s="63">
        <f t="shared" si="205"/>
        <v>0</v>
      </c>
      <c r="BU304" s="63">
        <f t="shared" si="206"/>
        <v>0</v>
      </c>
      <c r="BV304" s="57">
        <f t="shared" si="207"/>
        <v>0</v>
      </c>
      <c r="BW304" s="57">
        <f t="shared" si="208"/>
        <v>0</v>
      </c>
      <c r="BX304" s="57">
        <f t="shared" si="232"/>
        <v>0</v>
      </c>
      <c r="BY304" s="57">
        <f t="shared" si="236"/>
        <v>0</v>
      </c>
      <c r="BZ304" s="8">
        <f t="shared" si="209"/>
        <v>0</v>
      </c>
      <c r="CA304" s="8">
        <f t="shared" si="210"/>
        <v>0</v>
      </c>
      <c r="CB304" s="8">
        <f t="shared" si="211"/>
        <v>0</v>
      </c>
      <c r="CC304" s="8">
        <f t="shared" si="212"/>
        <v>0</v>
      </c>
      <c r="CD304" s="8">
        <f t="shared" si="213"/>
        <v>0</v>
      </c>
      <c r="CE304" s="8">
        <f t="shared" si="214"/>
        <v>0</v>
      </c>
      <c r="CF304" s="8">
        <f t="shared" si="215"/>
        <v>0</v>
      </c>
      <c r="CG304" s="8">
        <f t="shared" si="216"/>
        <v>0</v>
      </c>
      <c r="CH304" s="8">
        <f t="shared" si="217"/>
        <v>0</v>
      </c>
      <c r="CI304" s="8">
        <f t="shared" si="218"/>
        <v>0</v>
      </c>
      <c r="CJ304" s="8">
        <f t="shared" si="219"/>
        <v>0</v>
      </c>
      <c r="CK304" s="8">
        <f t="shared" si="220"/>
        <v>0</v>
      </c>
      <c r="CL304" s="8">
        <f t="shared" si="221"/>
        <v>0</v>
      </c>
      <c r="CM304" s="8">
        <f t="shared" si="222"/>
        <v>0</v>
      </c>
      <c r="CN304" s="8">
        <f t="shared" si="223"/>
        <v>0</v>
      </c>
      <c r="CO304" s="8">
        <f t="shared" si="224"/>
        <v>0</v>
      </c>
      <c r="CP304" s="8">
        <f t="shared" si="225"/>
        <v>0</v>
      </c>
      <c r="CQ304" s="8">
        <f t="shared" si="226"/>
        <v>0</v>
      </c>
      <c r="CR304" s="8">
        <f t="shared" si="227"/>
        <v>0</v>
      </c>
      <c r="CS304" s="8">
        <f t="shared" si="228"/>
        <v>0</v>
      </c>
      <c r="CT304" s="8">
        <f t="shared" si="233"/>
        <v>0</v>
      </c>
      <c r="CU304" s="8">
        <f t="shared" si="234"/>
        <v>0</v>
      </c>
      <c r="CV304" s="8">
        <f t="shared" si="235"/>
        <v>0</v>
      </c>
    </row>
    <row r="305" spans="1:100" ht="20.5" thickTop="1" thickBot="1" x14ac:dyDescent="0.5">
      <c r="A305" s="32"/>
      <c r="B305" s="10"/>
      <c r="C305" s="10"/>
      <c r="D305" s="11"/>
      <c r="E305" s="10"/>
      <c r="F305" s="10"/>
      <c r="G305" s="19"/>
      <c r="H305" s="19"/>
      <c r="I305" s="19"/>
      <c r="J305" s="19"/>
      <c r="K305" s="10"/>
      <c r="L305" s="10"/>
      <c r="M305" s="10"/>
      <c r="N305" s="10"/>
      <c r="O305" s="18"/>
      <c r="P305" s="18"/>
      <c r="Q305" s="21"/>
      <c r="R305" s="20"/>
      <c r="S305" s="16">
        <f t="shared" si="191"/>
        <v>0</v>
      </c>
      <c r="T305" s="11"/>
      <c r="AS305" s="31">
        <f t="shared" si="192"/>
        <v>0</v>
      </c>
      <c r="AT305" s="31">
        <f t="shared" si="193"/>
        <v>0</v>
      </c>
      <c r="AU305" s="31">
        <f t="shared" si="194"/>
        <v>0</v>
      </c>
      <c r="AV305" s="31">
        <f t="shared" si="195"/>
        <v>0</v>
      </c>
      <c r="AW305" s="31">
        <f t="shared" si="196"/>
        <v>0</v>
      </c>
      <c r="AX305" s="31">
        <f t="shared" si="197"/>
        <v>0</v>
      </c>
      <c r="AY305" s="31">
        <f t="shared" si="198"/>
        <v>0</v>
      </c>
      <c r="AZ305" s="31">
        <f t="shared" si="199"/>
        <v>0</v>
      </c>
      <c r="BA305" s="31">
        <f t="shared" si="200"/>
        <v>0</v>
      </c>
      <c r="BB305" s="31">
        <f t="shared" si="229"/>
        <v>0</v>
      </c>
      <c r="BM305" s="8">
        <f t="shared" si="230"/>
        <v>0</v>
      </c>
      <c r="BN305" s="8">
        <f t="shared" si="201"/>
        <v>0</v>
      </c>
      <c r="BO305" s="8">
        <f t="shared" si="202"/>
        <v>0</v>
      </c>
      <c r="BQ305" s="8">
        <f t="shared" si="203"/>
        <v>0</v>
      </c>
      <c r="BR305" s="63">
        <f t="shared" si="204"/>
        <v>0</v>
      </c>
      <c r="BS305" s="63">
        <f t="shared" si="231"/>
        <v>0</v>
      </c>
      <c r="BT305" s="63">
        <f t="shared" si="205"/>
        <v>0</v>
      </c>
      <c r="BU305" s="63">
        <f t="shared" si="206"/>
        <v>0</v>
      </c>
      <c r="BV305" s="57">
        <f t="shared" si="207"/>
        <v>0</v>
      </c>
      <c r="BW305" s="57">
        <f t="shared" si="208"/>
        <v>0</v>
      </c>
      <c r="BX305" s="57">
        <f t="shared" si="232"/>
        <v>0</v>
      </c>
      <c r="BY305" s="57">
        <f t="shared" si="236"/>
        <v>0</v>
      </c>
      <c r="BZ305" s="8">
        <f t="shared" si="209"/>
        <v>0</v>
      </c>
      <c r="CA305" s="8">
        <f t="shared" si="210"/>
        <v>0</v>
      </c>
      <c r="CB305" s="8">
        <f t="shared" si="211"/>
        <v>0</v>
      </c>
      <c r="CC305" s="8">
        <f t="shared" si="212"/>
        <v>0</v>
      </c>
      <c r="CD305" s="8">
        <f t="shared" si="213"/>
        <v>0</v>
      </c>
      <c r="CE305" s="8">
        <f t="shared" si="214"/>
        <v>0</v>
      </c>
      <c r="CF305" s="8">
        <f t="shared" si="215"/>
        <v>0</v>
      </c>
      <c r="CG305" s="8">
        <f t="shared" si="216"/>
        <v>0</v>
      </c>
      <c r="CH305" s="8">
        <f t="shared" si="217"/>
        <v>0</v>
      </c>
      <c r="CI305" s="8">
        <f t="shared" si="218"/>
        <v>0</v>
      </c>
      <c r="CJ305" s="8">
        <f t="shared" si="219"/>
        <v>0</v>
      </c>
      <c r="CK305" s="8">
        <f t="shared" si="220"/>
        <v>0</v>
      </c>
      <c r="CL305" s="8">
        <f t="shared" si="221"/>
        <v>0</v>
      </c>
      <c r="CM305" s="8">
        <f t="shared" si="222"/>
        <v>0</v>
      </c>
      <c r="CN305" s="8">
        <f t="shared" si="223"/>
        <v>0</v>
      </c>
      <c r="CO305" s="8">
        <f t="shared" si="224"/>
        <v>0</v>
      </c>
      <c r="CP305" s="8">
        <f t="shared" si="225"/>
        <v>0</v>
      </c>
      <c r="CQ305" s="8">
        <f t="shared" si="226"/>
        <v>0</v>
      </c>
      <c r="CR305" s="8">
        <f t="shared" si="227"/>
        <v>0</v>
      </c>
      <c r="CS305" s="8">
        <f t="shared" si="228"/>
        <v>0</v>
      </c>
      <c r="CT305" s="8">
        <f t="shared" si="233"/>
        <v>0</v>
      </c>
      <c r="CU305" s="8">
        <f t="shared" si="234"/>
        <v>0</v>
      </c>
      <c r="CV305" s="8">
        <f t="shared" si="235"/>
        <v>0</v>
      </c>
    </row>
    <row r="306" spans="1:100" ht="20.5" thickTop="1" thickBot="1" x14ac:dyDescent="0.5">
      <c r="A306" s="32"/>
      <c r="B306" s="10"/>
      <c r="C306" s="10"/>
      <c r="D306" s="11"/>
      <c r="E306" s="10"/>
      <c r="F306" s="10"/>
      <c r="G306" s="19"/>
      <c r="H306" s="19"/>
      <c r="I306" s="19"/>
      <c r="J306" s="19"/>
      <c r="K306" s="10"/>
      <c r="L306" s="10"/>
      <c r="M306" s="10"/>
      <c r="N306" s="10"/>
      <c r="O306" s="18"/>
      <c r="P306" s="18"/>
      <c r="Q306" s="21"/>
      <c r="R306" s="20"/>
      <c r="S306" s="16">
        <f t="shared" si="191"/>
        <v>0</v>
      </c>
      <c r="T306" s="11"/>
      <c r="AS306" s="31">
        <f t="shared" si="192"/>
        <v>0</v>
      </c>
      <c r="AT306" s="31">
        <f t="shared" si="193"/>
        <v>0</v>
      </c>
      <c r="AU306" s="31">
        <f t="shared" si="194"/>
        <v>0</v>
      </c>
      <c r="AV306" s="31">
        <f t="shared" si="195"/>
        <v>0</v>
      </c>
      <c r="AW306" s="31">
        <f t="shared" si="196"/>
        <v>0</v>
      </c>
      <c r="AX306" s="31">
        <f t="shared" si="197"/>
        <v>0</v>
      </c>
      <c r="AY306" s="31">
        <f t="shared" si="198"/>
        <v>0</v>
      </c>
      <c r="AZ306" s="31">
        <f t="shared" si="199"/>
        <v>0</v>
      </c>
      <c r="BA306" s="31">
        <f t="shared" si="200"/>
        <v>0</v>
      </c>
      <c r="BB306" s="31">
        <f t="shared" si="229"/>
        <v>0</v>
      </c>
      <c r="BM306" s="8">
        <f t="shared" si="230"/>
        <v>0</v>
      </c>
      <c r="BN306" s="8">
        <f t="shared" si="201"/>
        <v>0</v>
      </c>
      <c r="BO306" s="8">
        <f t="shared" si="202"/>
        <v>0</v>
      </c>
      <c r="BQ306" s="8">
        <f t="shared" si="203"/>
        <v>0</v>
      </c>
      <c r="BR306" s="63">
        <f t="shared" si="204"/>
        <v>0</v>
      </c>
      <c r="BS306" s="63">
        <f t="shared" si="231"/>
        <v>0</v>
      </c>
      <c r="BT306" s="63">
        <f t="shared" si="205"/>
        <v>0</v>
      </c>
      <c r="BU306" s="63">
        <f t="shared" si="206"/>
        <v>0</v>
      </c>
      <c r="BV306" s="57">
        <f t="shared" si="207"/>
        <v>0</v>
      </c>
      <c r="BW306" s="57">
        <f t="shared" si="208"/>
        <v>0</v>
      </c>
      <c r="BX306" s="57">
        <f t="shared" si="232"/>
        <v>0</v>
      </c>
      <c r="BY306" s="57">
        <f t="shared" si="236"/>
        <v>0</v>
      </c>
      <c r="BZ306" s="8">
        <f t="shared" si="209"/>
        <v>0</v>
      </c>
      <c r="CA306" s="8">
        <f t="shared" si="210"/>
        <v>0</v>
      </c>
      <c r="CB306" s="8">
        <f t="shared" si="211"/>
        <v>0</v>
      </c>
      <c r="CC306" s="8">
        <f t="shared" si="212"/>
        <v>0</v>
      </c>
      <c r="CD306" s="8">
        <f t="shared" si="213"/>
        <v>0</v>
      </c>
      <c r="CE306" s="8">
        <f t="shared" si="214"/>
        <v>0</v>
      </c>
      <c r="CF306" s="8">
        <f t="shared" si="215"/>
        <v>0</v>
      </c>
      <c r="CG306" s="8">
        <f t="shared" si="216"/>
        <v>0</v>
      </c>
      <c r="CH306" s="8">
        <f t="shared" si="217"/>
        <v>0</v>
      </c>
      <c r="CI306" s="8">
        <f t="shared" si="218"/>
        <v>0</v>
      </c>
      <c r="CJ306" s="8">
        <f t="shared" si="219"/>
        <v>0</v>
      </c>
      <c r="CK306" s="8">
        <f t="shared" si="220"/>
        <v>0</v>
      </c>
      <c r="CL306" s="8">
        <f t="shared" si="221"/>
        <v>0</v>
      </c>
      <c r="CM306" s="8">
        <f t="shared" si="222"/>
        <v>0</v>
      </c>
      <c r="CN306" s="8">
        <f t="shared" si="223"/>
        <v>0</v>
      </c>
      <c r="CO306" s="8">
        <f t="shared" si="224"/>
        <v>0</v>
      </c>
      <c r="CP306" s="8">
        <f t="shared" si="225"/>
        <v>0</v>
      </c>
      <c r="CQ306" s="8">
        <f t="shared" si="226"/>
        <v>0</v>
      </c>
      <c r="CR306" s="8">
        <f t="shared" si="227"/>
        <v>0</v>
      </c>
      <c r="CS306" s="8">
        <f t="shared" si="228"/>
        <v>0</v>
      </c>
      <c r="CT306" s="8">
        <f t="shared" si="233"/>
        <v>0</v>
      </c>
      <c r="CU306" s="8">
        <f t="shared" si="234"/>
        <v>0</v>
      </c>
      <c r="CV306" s="8">
        <f t="shared" si="235"/>
        <v>0</v>
      </c>
    </row>
    <row r="307" spans="1:100" ht="20.5" thickTop="1" thickBot="1" x14ac:dyDescent="0.5">
      <c r="A307" s="32"/>
      <c r="B307" s="10"/>
      <c r="C307" s="10"/>
      <c r="D307" s="11"/>
      <c r="E307" s="10"/>
      <c r="F307" s="10"/>
      <c r="G307" s="19"/>
      <c r="H307" s="19"/>
      <c r="I307" s="19"/>
      <c r="J307" s="19"/>
      <c r="K307" s="10"/>
      <c r="L307" s="10"/>
      <c r="M307" s="10"/>
      <c r="N307" s="10"/>
      <c r="O307" s="18"/>
      <c r="P307" s="18"/>
      <c r="Q307" s="21"/>
      <c r="R307" s="20"/>
      <c r="S307" s="16">
        <f t="shared" si="191"/>
        <v>0</v>
      </c>
      <c r="T307" s="11"/>
      <c r="AS307" s="31">
        <f t="shared" si="192"/>
        <v>0</v>
      </c>
      <c r="AT307" s="31">
        <f t="shared" si="193"/>
        <v>0</v>
      </c>
      <c r="AU307" s="31">
        <f t="shared" si="194"/>
        <v>0</v>
      </c>
      <c r="AV307" s="31">
        <f t="shared" si="195"/>
        <v>0</v>
      </c>
      <c r="AW307" s="31">
        <f t="shared" si="196"/>
        <v>0</v>
      </c>
      <c r="AX307" s="31">
        <f t="shared" si="197"/>
        <v>0</v>
      </c>
      <c r="AY307" s="31">
        <f t="shared" si="198"/>
        <v>0</v>
      </c>
      <c r="AZ307" s="31">
        <f t="shared" si="199"/>
        <v>0</v>
      </c>
      <c r="BA307" s="31">
        <f t="shared" si="200"/>
        <v>0</v>
      </c>
      <c r="BB307" s="31">
        <f t="shared" si="229"/>
        <v>0</v>
      </c>
      <c r="BM307" s="8">
        <f t="shared" si="230"/>
        <v>0</v>
      </c>
      <c r="BN307" s="8">
        <f t="shared" si="201"/>
        <v>0</v>
      </c>
      <c r="BO307" s="8">
        <f t="shared" si="202"/>
        <v>0</v>
      </c>
      <c r="BQ307" s="8">
        <f t="shared" si="203"/>
        <v>0</v>
      </c>
      <c r="BR307" s="63">
        <f t="shared" si="204"/>
        <v>0</v>
      </c>
      <c r="BS307" s="63">
        <f t="shared" si="231"/>
        <v>0</v>
      </c>
      <c r="BT307" s="63">
        <f t="shared" si="205"/>
        <v>0</v>
      </c>
      <c r="BU307" s="63">
        <f t="shared" si="206"/>
        <v>0</v>
      </c>
      <c r="BV307" s="57">
        <f t="shared" si="207"/>
        <v>0</v>
      </c>
      <c r="BW307" s="57">
        <f t="shared" si="208"/>
        <v>0</v>
      </c>
      <c r="BX307" s="57">
        <f t="shared" si="232"/>
        <v>0</v>
      </c>
      <c r="BY307" s="57">
        <f t="shared" si="236"/>
        <v>0</v>
      </c>
      <c r="BZ307" s="8">
        <f t="shared" si="209"/>
        <v>0</v>
      </c>
      <c r="CA307" s="8">
        <f t="shared" si="210"/>
        <v>0</v>
      </c>
      <c r="CB307" s="8">
        <f t="shared" si="211"/>
        <v>0</v>
      </c>
      <c r="CC307" s="8">
        <f t="shared" si="212"/>
        <v>0</v>
      </c>
      <c r="CD307" s="8">
        <f t="shared" si="213"/>
        <v>0</v>
      </c>
      <c r="CE307" s="8">
        <f t="shared" si="214"/>
        <v>0</v>
      </c>
      <c r="CF307" s="8">
        <f t="shared" si="215"/>
        <v>0</v>
      </c>
      <c r="CG307" s="8">
        <f t="shared" si="216"/>
        <v>0</v>
      </c>
      <c r="CH307" s="8">
        <f t="shared" si="217"/>
        <v>0</v>
      </c>
      <c r="CI307" s="8">
        <f t="shared" si="218"/>
        <v>0</v>
      </c>
      <c r="CJ307" s="8">
        <f t="shared" si="219"/>
        <v>0</v>
      </c>
      <c r="CK307" s="8">
        <f t="shared" si="220"/>
        <v>0</v>
      </c>
      <c r="CL307" s="8">
        <f t="shared" si="221"/>
        <v>0</v>
      </c>
      <c r="CM307" s="8">
        <f t="shared" si="222"/>
        <v>0</v>
      </c>
      <c r="CN307" s="8">
        <f t="shared" si="223"/>
        <v>0</v>
      </c>
      <c r="CO307" s="8">
        <f t="shared" si="224"/>
        <v>0</v>
      </c>
      <c r="CP307" s="8">
        <f t="shared" si="225"/>
        <v>0</v>
      </c>
      <c r="CQ307" s="8">
        <f t="shared" si="226"/>
        <v>0</v>
      </c>
      <c r="CR307" s="8">
        <f t="shared" si="227"/>
        <v>0</v>
      </c>
      <c r="CS307" s="8">
        <f t="shared" si="228"/>
        <v>0</v>
      </c>
      <c r="CT307" s="8">
        <f t="shared" si="233"/>
        <v>0</v>
      </c>
      <c r="CU307" s="8">
        <f t="shared" si="234"/>
        <v>0</v>
      </c>
      <c r="CV307" s="8">
        <f t="shared" si="235"/>
        <v>0</v>
      </c>
    </row>
    <row r="308" spans="1:100" ht="20.5" thickTop="1" thickBot="1" x14ac:dyDescent="0.5">
      <c r="A308" s="32"/>
      <c r="B308" s="10"/>
      <c r="C308" s="10"/>
      <c r="D308" s="11"/>
      <c r="E308" s="10"/>
      <c r="F308" s="10"/>
      <c r="G308" s="19"/>
      <c r="H308" s="19"/>
      <c r="I308" s="19"/>
      <c r="J308" s="19"/>
      <c r="K308" s="10"/>
      <c r="L308" s="10"/>
      <c r="M308" s="10"/>
      <c r="N308" s="10"/>
      <c r="O308" s="18"/>
      <c r="P308" s="18"/>
      <c r="Q308" s="21"/>
      <c r="R308" s="20"/>
      <c r="S308" s="16">
        <f t="shared" si="191"/>
        <v>0</v>
      </c>
      <c r="T308" s="11"/>
      <c r="AS308" s="31">
        <f t="shared" si="192"/>
        <v>0</v>
      </c>
      <c r="AT308" s="31">
        <f t="shared" si="193"/>
        <v>0</v>
      </c>
      <c r="AU308" s="31">
        <f t="shared" si="194"/>
        <v>0</v>
      </c>
      <c r="AV308" s="31">
        <f t="shared" si="195"/>
        <v>0</v>
      </c>
      <c r="AW308" s="31">
        <f t="shared" si="196"/>
        <v>0</v>
      </c>
      <c r="AX308" s="31">
        <f t="shared" si="197"/>
        <v>0</v>
      </c>
      <c r="AY308" s="31">
        <f t="shared" si="198"/>
        <v>0</v>
      </c>
      <c r="AZ308" s="31">
        <f t="shared" si="199"/>
        <v>0</v>
      </c>
      <c r="BA308" s="31">
        <f t="shared" si="200"/>
        <v>0</v>
      </c>
      <c r="BB308" s="31">
        <f t="shared" si="229"/>
        <v>0</v>
      </c>
      <c r="BM308" s="8">
        <f t="shared" si="230"/>
        <v>0</v>
      </c>
      <c r="BN308" s="8">
        <f t="shared" si="201"/>
        <v>0</v>
      </c>
      <c r="BO308" s="8">
        <f t="shared" si="202"/>
        <v>0</v>
      </c>
      <c r="BQ308" s="8">
        <f t="shared" si="203"/>
        <v>0</v>
      </c>
      <c r="BR308" s="63">
        <f t="shared" si="204"/>
        <v>0</v>
      </c>
      <c r="BS308" s="63">
        <f t="shared" si="231"/>
        <v>0</v>
      </c>
      <c r="BT308" s="63">
        <f t="shared" si="205"/>
        <v>0</v>
      </c>
      <c r="BU308" s="63">
        <f t="shared" si="206"/>
        <v>0</v>
      </c>
      <c r="BV308" s="57">
        <f t="shared" si="207"/>
        <v>0</v>
      </c>
      <c r="BW308" s="57">
        <f t="shared" si="208"/>
        <v>0</v>
      </c>
      <c r="BX308" s="57">
        <f t="shared" si="232"/>
        <v>0</v>
      </c>
      <c r="BY308" s="57">
        <f t="shared" si="236"/>
        <v>0</v>
      </c>
      <c r="BZ308" s="8">
        <f t="shared" si="209"/>
        <v>0</v>
      </c>
      <c r="CA308" s="8">
        <f t="shared" si="210"/>
        <v>0</v>
      </c>
      <c r="CB308" s="8">
        <f t="shared" si="211"/>
        <v>0</v>
      </c>
      <c r="CC308" s="8">
        <f t="shared" si="212"/>
        <v>0</v>
      </c>
      <c r="CD308" s="8">
        <f t="shared" si="213"/>
        <v>0</v>
      </c>
      <c r="CE308" s="8">
        <f t="shared" si="214"/>
        <v>0</v>
      </c>
      <c r="CF308" s="8">
        <f t="shared" si="215"/>
        <v>0</v>
      </c>
      <c r="CG308" s="8">
        <f t="shared" si="216"/>
        <v>0</v>
      </c>
      <c r="CH308" s="8">
        <f t="shared" si="217"/>
        <v>0</v>
      </c>
      <c r="CI308" s="8">
        <f t="shared" si="218"/>
        <v>0</v>
      </c>
      <c r="CJ308" s="8">
        <f t="shared" si="219"/>
        <v>0</v>
      </c>
      <c r="CK308" s="8">
        <f t="shared" si="220"/>
        <v>0</v>
      </c>
      <c r="CL308" s="8">
        <f t="shared" si="221"/>
        <v>0</v>
      </c>
      <c r="CM308" s="8">
        <f t="shared" si="222"/>
        <v>0</v>
      </c>
      <c r="CN308" s="8">
        <f t="shared" si="223"/>
        <v>0</v>
      </c>
      <c r="CO308" s="8">
        <f t="shared" si="224"/>
        <v>0</v>
      </c>
      <c r="CP308" s="8">
        <f t="shared" si="225"/>
        <v>0</v>
      </c>
      <c r="CQ308" s="8">
        <f t="shared" si="226"/>
        <v>0</v>
      </c>
      <c r="CR308" s="8">
        <f t="shared" si="227"/>
        <v>0</v>
      </c>
      <c r="CS308" s="8">
        <f t="shared" si="228"/>
        <v>0</v>
      </c>
      <c r="CT308" s="8">
        <f t="shared" si="233"/>
        <v>0</v>
      </c>
      <c r="CU308" s="8">
        <f t="shared" si="234"/>
        <v>0</v>
      </c>
      <c r="CV308" s="8">
        <f t="shared" si="235"/>
        <v>0</v>
      </c>
    </row>
    <row r="309" spans="1:100" ht="20.5" thickTop="1" thickBot="1" x14ac:dyDescent="0.5">
      <c r="A309" s="32"/>
      <c r="B309" s="10"/>
      <c r="C309" s="10"/>
      <c r="D309" s="11"/>
      <c r="E309" s="10"/>
      <c r="F309" s="10"/>
      <c r="G309" s="19"/>
      <c r="H309" s="19"/>
      <c r="I309" s="19"/>
      <c r="J309" s="19"/>
      <c r="K309" s="10"/>
      <c r="L309" s="10"/>
      <c r="M309" s="10"/>
      <c r="N309" s="10"/>
      <c r="O309" s="18"/>
      <c r="P309" s="18"/>
      <c r="Q309" s="21"/>
      <c r="R309" s="20"/>
      <c r="S309" s="16">
        <f t="shared" si="191"/>
        <v>0</v>
      </c>
      <c r="T309" s="11"/>
      <c r="AS309" s="31">
        <f t="shared" si="192"/>
        <v>0</v>
      </c>
      <c r="AT309" s="31">
        <f t="shared" si="193"/>
        <v>0</v>
      </c>
      <c r="AU309" s="31">
        <f t="shared" si="194"/>
        <v>0</v>
      </c>
      <c r="AV309" s="31">
        <f t="shared" si="195"/>
        <v>0</v>
      </c>
      <c r="AW309" s="31">
        <f t="shared" si="196"/>
        <v>0</v>
      </c>
      <c r="AX309" s="31">
        <f t="shared" si="197"/>
        <v>0</v>
      </c>
      <c r="AY309" s="31">
        <f t="shared" si="198"/>
        <v>0</v>
      </c>
      <c r="AZ309" s="31">
        <f t="shared" si="199"/>
        <v>0</v>
      </c>
      <c r="BA309" s="31">
        <f t="shared" si="200"/>
        <v>0</v>
      </c>
      <c r="BB309" s="31">
        <f t="shared" si="229"/>
        <v>0</v>
      </c>
      <c r="BM309" s="8">
        <f t="shared" si="230"/>
        <v>0</v>
      </c>
      <c r="BN309" s="8">
        <f t="shared" si="201"/>
        <v>0</v>
      </c>
      <c r="BO309" s="8">
        <f t="shared" si="202"/>
        <v>0</v>
      </c>
      <c r="BQ309" s="8">
        <f t="shared" si="203"/>
        <v>0</v>
      </c>
      <c r="BR309" s="63">
        <f t="shared" si="204"/>
        <v>0</v>
      </c>
      <c r="BS309" s="63">
        <f t="shared" si="231"/>
        <v>0</v>
      </c>
      <c r="BT309" s="63">
        <f t="shared" si="205"/>
        <v>0</v>
      </c>
      <c r="BU309" s="63">
        <f t="shared" si="206"/>
        <v>0</v>
      </c>
      <c r="BV309" s="57">
        <f t="shared" si="207"/>
        <v>0</v>
      </c>
      <c r="BW309" s="57">
        <f t="shared" si="208"/>
        <v>0</v>
      </c>
      <c r="BX309" s="57">
        <f t="shared" si="232"/>
        <v>0</v>
      </c>
      <c r="BY309" s="57">
        <f t="shared" si="236"/>
        <v>0</v>
      </c>
      <c r="BZ309" s="8">
        <f t="shared" si="209"/>
        <v>0</v>
      </c>
      <c r="CA309" s="8">
        <f t="shared" si="210"/>
        <v>0</v>
      </c>
      <c r="CB309" s="8">
        <f t="shared" si="211"/>
        <v>0</v>
      </c>
      <c r="CC309" s="8">
        <f t="shared" si="212"/>
        <v>0</v>
      </c>
      <c r="CD309" s="8">
        <f t="shared" si="213"/>
        <v>0</v>
      </c>
      <c r="CE309" s="8">
        <f t="shared" si="214"/>
        <v>0</v>
      </c>
      <c r="CF309" s="8">
        <f t="shared" si="215"/>
        <v>0</v>
      </c>
      <c r="CG309" s="8">
        <f t="shared" si="216"/>
        <v>0</v>
      </c>
      <c r="CH309" s="8">
        <f t="shared" si="217"/>
        <v>0</v>
      </c>
      <c r="CI309" s="8">
        <f t="shared" si="218"/>
        <v>0</v>
      </c>
      <c r="CJ309" s="8">
        <f t="shared" si="219"/>
        <v>0</v>
      </c>
      <c r="CK309" s="8">
        <f t="shared" si="220"/>
        <v>0</v>
      </c>
      <c r="CL309" s="8">
        <f t="shared" si="221"/>
        <v>0</v>
      </c>
      <c r="CM309" s="8">
        <f t="shared" si="222"/>
        <v>0</v>
      </c>
      <c r="CN309" s="8">
        <f t="shared" si="223"/>
        <v>0</v>
      </c>
      <c r="CO309" s="8">
        <f t="shared" si="224"/>
        <v>0</v>
      </c>
      <c r="CP309" s="8">
        <f t="shared" si="225"/>
        <v>0</v>
      </c>
      <c r="CQ309" s="8">
        <f t="shared" si="226"/>
        <v>0</v>
      </c>
      <c r="CR309" s="8">
        <f t="shared" si="227"/>
        <v>0</v>
      </c>
      <c r="CS309" s="8">
        <f t="shared" si="228"/>
        <v>0</v>
      </c>
      <c r="CT309" s="8">
        <f t="shared" si="233"/>
        <v>0</v>
      </c>
      <c r="CU309" s="8">
        <f t="shared" si="234"/>
        <v>0</v>
      </c>
      <c r="CV309" s="8">
        <f t="shared" si="235"/>
        <v>0</v>
      </c>
    </row>
    <row r="310" spans="1:100" ht="20.5" thickTop="1" thickBot="1" x14ac:dyDescent="0.5">
      <c r="A310" s="32"/>
      <c r="B310" s="10"/>
      <c r="C310" s="10"/>
      <c r="D310" s="11"/>
      <c r="E310" s="10"/>
      <c r="F310" s="10"/>
      <c r="G310" s="19"/>
      <c r="H310" s="19"/>
      <c r="I310" s="19"/>
      <c r="J310" s="19"/>
      <c r="K310" s="10"/>
      <c r="L310" s="10"/>
      <c r="M310" s="10"/>
      <c r="N310" s="10"/>
      <c r="O310" s="18"/>
      <c r="P310" s="18"/>
      <c r="Q310" s="21"/>
      <c r="R310" s="20"/>
      <c r="S310" s="16">
        <f t="shared" si="191"/>
        <v>0</v>
      </c>
      <c r="T310" s="11"/>
      <c r="AS310" s="31">
        <f t="shared" si="192"/>
        <v>0</v>
      </c>
      <c r="AT310" s="31">
        <f t="shared" si="193"/>
        <v>0</v>
      </c>
      <c r="AU310" s="31">
        <f t="shared" si="194"/>
        <v>0</v>
      </c>
      <c r="AV310" s="31">
        <f t="shared" si="195"/>
        <v>0</v>
      </c>
      <c r="AW310" s="31">
        <f t="shared" si="196"/>
        <v>0</v>
      </c>
      <c r="AX310" s="31">
        <f t="shared" si="197"/>
        <v>0</v>
      </c>
      <c r="AY310" s="31">
        <f t="shared" si="198"/>
        <v>0</v>
      </c>
      <c r="AZ310" s="31">
        <f t="shared" si="199"/>
        <v>0</v>
      </c>
      <c r="BA310" s="31">
        <f t="shared" si="200"/>
        <v>0</v>
      </c>
      <c r="BB310" s="31">
        <f t="shared" si="229"/>
        <v>0</v>
      </c>
      <c r="BM310" s="8">
        <f t="shared" si="230"/>
        <v>0</v>
      </c>
      <c r="BN310" s="8">
        <f t="shared" si="201"/>
        <v>0</v>
      </c>
      <c r="BO310" s="8">
        <f t="shared" si="202"/>
        <v>0</v>
      </c>
      <c r="BQ310" s="8">
        <f t="shared" si="203"/>
        <v>0</v>
      </c>
      <c r="BR310" s="63">
        <f t="shared" si="204"/>
        <v>0</v>
      </c>
      <c r="BS310" s="63">
        <f t="shared" si="231"/>
        <v>0</v>
      </c>
      <c r="BT310" s="63">
        <f t="shared" si="205"/>
        <v>0</v>
      </c>
      <c r="BU310" s="63">
        <f t="shared" si="206"/>
        <v>0</v>
      </c>
      <c r="BV310" s="57">
        <f t="shared" si="207"/>
        <v>0</v>
      </c>
      <c r="BW310" s="57">
        <f t="shared" si="208"/>
        <v>0</v>
      </c>
      <c r="BX310" s="57">
        <f t="shared" si="232"/>
        <v>0</v>
      </c>
      <c r="BY310" s="57">
        <f t="shared" si="236"/>
        <v>0</v>
      </c>
      <c r="BZ310" s="8">
        <f t="shared" si="209"/>
        <v>0</v>
      </c>
      <c r="CA310" s="8">
        <f t="shared" si="210"/>
        <v>0</v>
      </c>
      <c r="CB310" s="8">
        <f t="shared" si="211"/>
        <v>0</v>
      </c>
      <c r="CC310" s="8">
        <f t="shared" si="212"/>
        <v>0</v>
      </c>
      <c r="CD310" s="8">
        <f t="shared" si="213"/>
        <v>0</v>
      </c>
      <c r="CE310" s="8">
        <f t="shared" si="214"/>
        <v>0</v>
      </c>
      <c r="CF310" s="8">
        <f t="shared" si="215"/>
        <v>0</v>
      </c>
      <c r="CG310" s="8">
        <f t="shared" si="216"/>
        <v>0</v>
      </c>
      <c r="CH310" s="8">
        <f t="shared" si="217"/>
        <v>0</v>
      </c>
      <c r="CI310" s="8">
        <f t="shared" si="218"/>
        <v>0</v>
      </c>
      <c r="CJ310" s="8">
        <f t="shared" si="219"/>
        <v>0</v>
      </c>
      <c r="CK310" s="8">
        <f t="shared" si="220"/>
        <v>0</v>
      </c>
      <c r="CL310" s="8">
        <f t="shared" si="221"/>
        <v>0</v>
      </c>
      <c r="CM310" s="8">
        <f t="shared" si="222"/>
        <v>0</v>
      </c>
      <c r="CN310" s="8">
        <f t="shared" si="223"/>
        <v>0</v>
      </c>
      <c r="CO310" s="8">
        <f t="shared" si="224"/>
        <v>0</v>
      </c>
      <c r="CP310" s="8">
        <f t="shared" si="225"/>
        <v>0</v>
      </c>
      <c r="CQ310" s="8">
        <f t="shared" si="226"/>
        <v>0</v>
      </c>
      <c r="CR310" s="8">
        <f t="shared" si="227"/>
        <v>0</v>
      </c>
      <c r="CS310" s="8">
        <f t="shared" si="228"/>
        <v>0</v>
      </c>
      <c r="CT310" s="8">
        <f t="shared" si="233"/>
        <v>0</v>
      </c>
      <c r="CU310" s="8">
        <f t="shared" si="234"/>
        <v>0</v>
      </c>
      <c r="CV310" s="8">
        <f t="shared" si="235"/>
        <v>0</v>
      </c>
    </row>
    <row r="311" spans="1:100" ht="20.5" thickTop="1" thickBot="1" x14ac:dyDescent="0.5">
      <c r="A311" s="32"/>
      <c r="B311" s="10"/>
      <c r="C311" s="10"/>
      <c r="D311" s="11"/>
      <c r="E311" s="10"/>
      <c r="F311" s="10"/>
      <c r="G311" s="19"/>
      <c r="H311" s="19"/>
      <c r="I311" s="19"/>
      <c r="J311" s="19"/>
      <c r="K311" s="10"/>
      <c r="L311" s="10"/>
      <c r="M311" s="10"/>
      <c r="N311" s="10"/>
      <c r="O311" s="18"/>
      <c r="P311" s="18"/>
      <c r="Q311" s="21"/>
      <c r="R311" s="20"/>
      <c r="S311" s="16">
        <f t="shared" si="191"/>
        <v>0</v>
      </c>
      <c r="T311" s="11"/>
      <c r="AS311" s="31">
        <f t="shared" si="192"/>
        <v>0</v>
      </c>
      <c r="AT311" s="31">
        <f t="shared" si="193"/>
        <v>0</v>
      </c>
      <c r="AU311" s="31">
        <f t="shared" si="194"/>
        <v>0</v>
      </c>
      <c r="AV311" s="31">
        <f t="shared" si="195"/>
        <v>0</v>
      </c>
      <c r="AW311" s="31">
        <f t="shared" si="196"/>
        <v>0</v>
      </c>
      <c r="AX311" s="31">
        <f t="shared" si="197"/>
        <v>0</v>
      </c>
      <c r="AY311" s="31">
        <f t="shared" si="198"/>
        <v>0</v>
      </c>
      <c r="AZ311" s="31">
        <f t="shared" si="199"/>
        <v>0</v>
      </c>
      <c r="BA311" s="31">
        <f t="shared" si="200"/>
        <v>0</v>
      </c>
      <c r="BB311" s="31">
        <f t="shared" si="229"/>
        <v>0</v>
      </c>
      <c r="BM311" s="8">
        <f t="shared" si="230"/>
        <v>0</v>
      </c>
      <c r="BN311" s="8">
        <f t="shared" si="201"/>
        <v>0</v>
      </c>
      <c r="BO311" s="8">
        <f t="shared" si="202"/>
        <v>0</v>
      </c>
      <c r="BQ311" s="8">
        <f t="shared" si="203"/>
        <v>0</v>
      </c>
      <c r="BR311" s="63">
        <f t="shared" si="204"/>
        <v>0</v>
      </c>
      <c r="BS311" s="63">
        <f t="shared" si="231"/>
        <v>0</v>
      </c>
      <c r="BT311" s="63">
        <f t="shared" si="205"/>
        <v>0</v>
      </c>
      <c r="BU311" s="63">
        <f t="shared" si="206"/>
        <v>0</v>
      </c>
      <c r="BV311" s="57">
        <f t="shared" si="207"/>
        <v>0</v>
      </c>
      <c r="BW311" s="57">
        <f t="shared" si="208"/>
        <v>0</v>
      </c>
      <c r="BX311" s="57">
        <f t="shared" si="232"/>
        <v>0</v>
      </c>
      <c r="BY311" s="57">
        <f t="shared" si="236"/>
        <v>0</v>
      </c>
      <c r="BZ311" s="8">
        <f t="shared" si="209"/>
        <v>0</v>
      </c>
      <c r="CA311" s="8">
        <f t="shared" si="210"/>
        <v>0</v>
      </c>
      <c r="CB311" s="8">
        <f t="shared" si="211"/>
        <v>0</v>
      </c>
      <c r="CC311" s="8">
        <f t="shared" si="212"/>
        <v>0</v>
      </c>
      <c r="CD311" s="8">
        <f t="shared" si="213"/>
        <v>0</v>
      </c>
      <c r="CE311" s="8">
        <f t="shared" si="214"/>
        <v>0</v>
      </c>
      <c r="CF311" s="8">
        <f t="shared" si="215"/>
        <v>0</v>
      </c>
      <c r="CG311" s="8">
        <f t="shared" si="216"/>
        <v>0</v>
      </c>
      <c r="CH311" s="8">
        <f t="shared" si="217"/>
        <v>0</v>
      </c>
      <c r="CI311" s="8">
        <f t="shared" si="218"/>
        <v>0</v>
      </c>
      <c r="CJ311" s="8">
        <f t="shared" si="219"/>
        <v>0</v>
      </c>
      <c r="CK311" s="8">
        <f t="shared" si="220"/>
        <v>0</v>
      </c>
      <c r="CL311" s="8">
        <f t="shared" si="221"/>
        <v>0</v>
      </c>
      <c r="CM311" s="8">
        <f t="shared" si="222"/>
        <v>0</v>
      </c>
      <c r="CN311" s="8">
        <f t="shared" si="223"/>
        <v>0</v>
      </c>
      <c r="CO311" s="8">
        <f t="shared" si="224"/>
        <v>0</v>
      </c>
      <c r="CP311" s="8">
        <f t="shared" si="225"/>
        <v>0</v>
      </c>
      <c r="CQ311" s="8">
        <f t="shared" si="226"/>
        <v>0</v>
      </c>
      <c r="CR311" s="8">
        <f t="shared" si="227"/>
        <v>0</v>
      </c>
      <c r="CS311" s="8">
        <f t="shared" si="228"/>
        <v>0</v>
      </c>
      <c r="CT311" s="8">
        <f t="shared" si="233"/>
        <v>0</v>
      </c>
      <c r="CU311" s="8">
        <f t="shared" si="234"/>
        <v>0</v>
      </c>
      <c r="CV311" s="8">
        <f t="shared" si="235"/>
        <v>0</v>
      </c>
    </row>
    <row r="312" spans="1:100" ht="20.5" thickTop="1" thickBot="1" x14ac:dyDescent="0.5">
      <c r="A312" s="32"/>
      <c r="B312" s="10"/>
      <c r="C312" s="10"/>
      <c r="D312" s="11"/>
      <c r="E312" s="10"/>
      <c r="F312" s="10"/>
      <c r="G312" s="19"/>
      <c r="H312" s="19"/>
      <c r="I312" s="19"/>
      <c r="J312" s="19"/>
      <c r="K312" s="10"/>
      <c r="L312" s="10"/>
      <c r="M312" s="10"/>
      <c r="N312" s="10"/>
      <c r="O312" s="18"/>
      <c r="P312" s="18"/>
      <c r="Q312" s="21"/>
      <c r="R312" s="20"/>
      <c r="S312" s="16">
        <f t="shared" si="191"/>
        <v>0</v>
      </c>
      <c r="T312" s="11"/>
      <c r="AS312" s="31">
        <f t="shared" si="192"/>
        <v>0</v>
      </c>
      <c r="AT312" s="31">
        <f t="shared" si="193"/>
        <v>0</v>
      </c>
      <c r="AU312" s="31">
        <f t="shared" si="194"/>
        <v>0</v>
      </c>
      <c r="AV312" s="31">
        <f t="shared" si="195"/>
        <v>0</v>
      </c>
      <c r="AW312" s="31">
        <f t="shared" si="196"/>
        <v>0</v>
      </c>
      <c r="AX312" s="31">
        <f t="shared" si="197"/>
        <v>0</v>
      </c>
      <c r="AY312" s="31">
        <f t="shared" si="198"/>
        <v>0</v>
      </c>
      <c r="AZ312" s="31">
        <f t="shared" si="199"/>
        <v>0</v>
      </c>
      <c r="BA312" s="31">
        <f t="shared" si="200"/>
        <v>0</v>
      </c>
      <c r="BB312" s="31">
        <f t="shared" si="229"/>
        <v>0</v>
      </c>
      <c r="BM312" s="8">
        <f t="shared" si="230"/>
        <v>0</v>
      </c>
      <c r="BN312" s="8">
        <f t="shared" si="201"/>
        <v>0</v>
      </c>
      <c r="BO312" s="8">
        <f t="shared" si="202"/>
        <v>0</v>
      </c>
      <c r="BQ312" s="8">
        <f t="shared" si="203"/>
        <v>0</v>
      </c>
      <c r="BR312" s="63">
        <f t="shared" si="204"/>
        <v>0</v>
      </c>
      <c r="BS312" s="63">
        <f t="shared" si="231"/>
        <v>0</v>
      </c>
      <c r="BT312" s="63">
        <f t="shared" si="205"/>
        <v>0</v>
      </c>
      <c r="BU312" s="63">
        <f t="shared" si="206"/>
        <v>0</v>
      </c>
      <c r="BV312" s="57">
        <f t="shared" si="207"/>
        <v>0</v>
      </c>
      <c r="BW312" s="57">
        <f t="shared" si="208"/>
        <v>0</v>
      </c>
      <c r="BX312" s="57">
        <f t="shared" si="232"/>
        <v>0</v>
      </c>
      <c r="BY312" s="57">
        <f t="shared" si="236"/>
        <v>0</v>
      </c>
      <c r="BZ312" s="8">
        <f t="shared" si="209"/>
        <v>0</v>
      </c>
      <c r="CA312" s="8">
        <f t="shared" si="210"/>
        <v>0</v>
      </c>
      <c r="CB312" s="8">
        <f t="shared" si="211"/>
        <v>0</v>
      </c>
      <c r="CC312" s="8">
        <f t="shared" si="212"/>
        <v>0</v>
      </c>
      <c r="CD312" s="8">
        <f t="shared" si="213"/>
        <v>0</v>
      </c>
      <c r="CE312" s="8">
        <f t="shared" si="214"/>
        <v>0</v>
      </c>
      <c r="CF312" s="8">
        <f t="shared" si="215"/>
        <v>0</v>
      </c>
      <c r="CG312" s="8">
        <f t="shared" si="216"/>
        <v>0</v>
      </c>
      <c r="CH312" s="8">
        <f t="shared" si="217"/>
        <v>0</v>
      </c>
      <c r="CI312" s="8">
        <f t="shared" si="218"/>
        <v>0</v>
      </c>
      <c r="CJ312" s="8">
        <f t="shared" si="219"/>
        <v>0</v>
      </c>
      <c r="CK312" s="8">
        <f t="shared" si="220"/>
        <v>0</v>
      </c>
      <c r="CL312" s="8">
        <f t="shared" si="221"/>
        <v>0</v>
      </c>
      <c r="CM312" s="8">
        <f t="shared" si="222"/>
        <v>0</v>
      </c>
      <c r="CN312" s="8">
        <f t="shared" si="223"/>
        <v>0</v>
      </c>
      <c r="CO312" s="8">
        <f t="shared" si="224"/>
        <v>0</v>
      </c>
      <c r="CP312" s="8">
        <f t="shared" si="225"/>
        <v>0</v>
      </c>
      <c r="CQ312" s="8">
        <f t="shared" si="226"/>
        <v>0</v>
      </c>
      <c r="CR312" s="8">
        <f t="shared" si="227"/>
        <v>0</v>
      </c>
      <c r="CS312" s="8">
        <f t="shared" si="228"/>
        <v>0</v>
      </c>
      <c r="CT312" s="8">
        <f t="shared" si="233"/>
        <v>0</v>
      </c>
      <c r="CU312" s="8">
        <f t="shared" si="234"/>
        <v>0</v>
      </c>
      <c r="CV312" s="8">
        <f t="shared" si="235"/>
        <v>0</v>
      </c>
    </row>
    <row r="313" spans="1:100" ht="20.5" thickTop="1" thickBot="1" x14ac:dyDescent="0.5">
      <c r="A313" s="32"/>
      <c r="B313" s="10"/>
      <c r="C313" s="10"/>
      <c r="D313" s="11"/>
      <c r="E313" s="10"/>
      <c r="F313" s="10"/>
      <c r="G313" s="19"/>
      <c r="H313" s="19"/>
      <c r="I313" s="19"/>
      <c r="J313" s="19"/>
      <c r="K313" s="10"/>
      <c r="L313" s="10"/>
      <c r="M313" s="10"/>
      <c r="N313" s="10"/>
      <c r="O313" s="18"/>
      <c r="P313" s="18"/>
      <c r="Q313" s="21"/>
      <c r="R313" s="20"/>
      <c r="S313" s="16">
        <f t="shared" si="191"/>
        <v>0</v>
      </c>
      <c r="T313" s="11"/>
      <c r="AS313" s="31">
        <f t="shared" si="192"/>
        <v>0</v>
      </c>
      <c r="AT313" s="31">
        <f t="shared" si="193"/>
        <v>0</v>
      </c>
      <c r="AU313" s="31">
        <f t="shared" si="194"/>
        <v>0</v>
      </c>
      <c r="AV313" s="31">
        <f t="shared" si="195"/>
        <v>0</v>
      </c>
      <c r="AW313" s="31">
        <f t="shared" si="196"/>
        <v>0</v>
      </c>
      <c r="AX313" s="31">
        <f t="shared" si="197"/>
        <v>0</v>
      </c>
      <c r="AY313" s="31">
        <f t="shared" si="198"/>
        <v>0</v>
      </c>
      <c r="AZ313" s="31">
        <f t="shared" si="199"/>
        <v>0</v>
      </c>
      <c r="BA313" s="31">
        <f t="shared" si="200"/>
        <v>0</v>
      </c>
      <c r="BB313" s="31">
        <f t="shared" si="229"/>
        <v>0</v>
      </c>
      <c r="BM313" s="8">
        <f t="shared" si="230"/>
        <v>0</v>
      </c>
      <c r="BN313" s="8">
        <f t="shared" si="201"/>
        <v>0</v>
      </c>
      <c r="BO313" s="8">
        <f t="shared" si="202"/>
        <v>0</v>
      </c>
      <c r="BQ313" s="8">
        <f t="shared" si="203"/>
        <v>0</v>
      </c>
      <c r="BR313" s="63">
        <f t="shared" si="204"/>
        <v>0</v>
      </c>
      <c r="BS313" s="63">
        <f t="shared" si="231"/>
        <v>0</v>
      </c>
      <c r="BT313" s="63">
        <f t="shared" si="205"/>
        <v>0</v>
      </c>
      <c r="BU313" s="63">
        <f t="shared" si="206"/>
        <v>0</v>
      </c>
      <c r="BV313" s="57">
        <f t="shared" si="207"/>
        <v>0</v>
      </c>
      <c r="BW313" s="57">
        <f t="shared" si="208"/>
        <v>0</v>
      </c>
      <c r="BX313" s="57">
        <f t="shared" si="232"/>
        <v>0</v>
      </c>
      <c r="BY313" s="57">
        <f t="shared" si="236"/>
        <v>0</v>
      </c>
      <c r="BZ313" s="8">
        <f t="shared" si="209"/>
        <v>0</v>
      </c>
      <c r="CA313" s="8">
        <f t="shared" si="210"/>
        <v>0</v>
      </c>
      <c r="CB313" s="8">
        <f t="shared" si="211"/>
        <v>0</v>
      </c>
      <c r="CC313" s="8">
        <f t="shared" si="212"/>
        <v>0</v>
      </c>
      <c r="CD313" s="8">
        <f t="shared" si="213"/>
        <v>0</v>
      </c>
      <c r="CE313" s="8">
        <f t="shared" si="214"/>
        <v>0</v>
      </c>
      <c r="CF313" s="8">
        <f t="shared" si="215"/>
        <v>0</v>
      </c>
      <c r="CG313" s="8">
        <f t="shared" si="216"/>
        <v>0</v>
      </c>
      <c r="CH313" s="8">
        <f t="shared" si="217"/>
        <v>0</v>
      </c>
      <c r="CI313" s="8">
        <f t="shared" si="218"/>
        <v>0</v>
      </c>
      <c r="CJ313" s="8">
        <f t="shared" si="219"/>
        <v>0</v>
      </c>
      <c r="CK313" s="8">
        <f t="shared" si="220"/>
        <v>0</v>
      </c>
      <c r="CL313" s="8">
        <f t="shared" si="221"/>
        <v>0</v>
      </c>
      <c r="CM313" s="8">
        <f t="shared" si="222"/>
        <v>0</v>
      </c>
      <c r="CN313" s="8">
        <f t="shared" si="223"/>
        <v>0</v>
      </c>
      <c r="CO313" s="8">
        <f t="shared" si="224"/>
        <v>0</v>
      </c>
      <c r="CP313" s="8">
        <f t="shared" si="225"/>
        <v>0</v>
      </c>
      <c r="CQ313" s="8">
        <f t="shared" si="226"/>
        <v>0</v>
      </c>
      <c r="CR313" s="8">
        <f t="shared" si="227"/>
        <v>0</v>
      </c>
      <c r="CS313" s="8">
        <f t="shared" si="228"/>
        <v>0</v>
      </c>
      <c r="CT313" s="8">
        <f t="shared" si="233"/>
        <v>0</v>
      </c>
      <c r="CU313" s="8">
        <f t="shared" si="234"/>
        <v>0</v>
      </c>
      <c r="CV313" s="8">
        <f t="shared" si="235"/>
        <v>0</v>
      </c>
    </row>
    <row r="314" spans="1:100" ht="20.5" thickTop="1" thickBot="1" x14ac:dyDescent="0.5">
      <c r="A314" s="32"/>
      <c r="B314" s="10"/>
      <c r="C314" s="10"/>
      <c r="D314" s="11"/>
      <c r="E314" s="10"/>
      <c r="F314" s="10"/>
      <c r="G314" s="19"/>
      <c r="H314" s="19"/>
      <c r="I314" s="19"/>
      <c r="J314" s="19"/>
      <c r="K314" s="10"/>
      <c r="L314" s="10"/>
      <c r="M314" s="10"/>
      <c r="N314" s="10"/>
      <c r="O314" s="18"/>
      <c r="P314" s="18"/>
      <c r="Q314" s="21"/>
      <c r="R314" s="20"/>
      <c r="S314" s="16">
        <f t="shared" si="191"/>
        <v>0</v>
      </c>
      <c r="T314" s="11"/>
      <c r="AS314" s="31">
        <f t="shared" si="192"/>
        <v>0</v>
      </c>
      <c r="AT314" s="31">
        <f t="shared" si="193"/>
        <v>0</v>
      </c>
      <c r="AU314" s="31">
        <f t="shared" si="194"/>
        <v>0</v>
      </c>
      <c r="AV314" s="31">
        <f t="shared" si="195"/>
        <v>0</v>
      </c>
      <c r="AW314" s="31">
        <f t="shared" si="196"/>
        <v>0</v>
      </c>
      <c r="AX314" s="31">
        <f t="shared" si="197"/>
        <v>0</v>
      </c>
      <c r="AY314" s="31">
        <f t="shared" si="198"/>
        <v>0</v>
      </c>
      <c r="AZ314" s="31">
        <f t="shared" si="199"/>
        <v>0</v>
      </c>
      <c r="BA314" s="31">
        <f t="shared" si="200"/>
        <v>0</v>
      </c>
      <c r="BB314" s="31">
        <f t="shared" si="229"/>
        <v>0</v>
      </c>
      <c r="BM314" s="8">
        <f t="shared" si="230"/>
        <v>0</v>
      </c>
      <c r="BN314" s="8">
        <f t="shared" si="201"/>
        <v>0</v>
      </c>
      <c r="BO314" s="8">
        <f t="shared" si="202"/>
        <v>0</v>
      </c>
      <c r="BQ314" s="8">
        <f t="shared" si="203"/>
        <v>0</v>
      </c>
      <c r="BR314" s="63">
        <f t="shared" si="204"/>
        <v>0</v>
      </c>
      <c r="BS314" s="63">
        <f t="shared" si="231"/>
        <v>0</v>
      </c>
      <c r="BT314" s="63">
        <f t="shared" si="205"/>
        <v>0</v>
      </c>
      <c r="BU314" s="63">
        <f t="shared" si="206"/>
        <v>0</v>
      </c>
      <c r="BV314" s="57">
        <f t="shared" si="207"/>
        <v>0</v>
      </c>
      <c r="BW314" s="57">
        <f t="shared" si="208"/>
        <v>0</v>
      </c>
      <c r="BX314" s="57">
        <f t="shared" si="232"/>
        <v>0</v>
      </c>
      <c r="BY314" s="57">
        <f t="shared" si="236"/>
        <v>0</v>
      </c>
      <c r="BZ314" s="8">
        <f t="shared" si="209"/>
        <v>0</v>
      </c>
      <c r="CA314" s="8">
        <f t="shared" si="210"/>
        <v>0</v>
      </c>
      <c r="CB314" s="8">
        <f t="shared" si="211"/>
        <v>0</v>
      </c>
      <c r="CC314" s="8">
        <f t="shared" si="212"/>
        <v>0</v>
      </c>
      <c r="CD314" s="8">
        <f t="shared" si="213"/>
        <v>0</v>
      </c>
      <c r="CE314" s="8">
        <f t="shared" si="214"/>
        <v>0</v>
      </c>
      <c r="CF314" s="8">
        <f t="shared" si="215"/>
        <v>0</v>
      </c>
      <c r="CG314" s="8">
        <f t="shared" si="216"/>
        <v>0</v>
      </c>
      <c r="CH314" s="8">
        <f t="shared" si="217"/>
        <v>0</v>
      </c>
      <c r="CI314" s="8">
        <f t="shared" si="218"/>
        <v>0</v>
      </c>
      <c r="CJ314" s="8">
        <f t="shared" si="219"/>
        <v>0</v>
      </c>
      <c r="CK314" s="8">
        <f t="shared" si="220"/>
        <v>0</v>
      </c>
      <c r="CL314" s="8">
        <f t="shared" si="221"/>
        <v>0</v>
      </c>
      <c r="CM314" s="8">
        <f t="shared" si="222"/>
        <v>0</v>
      </c>
      <c r="CN314" s="8">
        <f t="shared" si="223"/>
        <v>0</v>
      </c>
      <c r="CO314" s="8">
        <f t="shared" si="224"/>
        <v>0</v>
      </c>
      <c r="CP314" s="8">
        <f t="shared" si="225"/>
        <v>0</v>
      </c>
      <c r="CQ314" s="8">
        <f t="shared" si="226"/>
        <v>0</v>
      </c>
      <c r="CR314" s="8">
        <f t="shared" si="227"/>
        <v>0</v>
      </c>
      <c r="CS314" s="8">
        <f t="shared" si="228"/>
        <v>0</v>
      </c>
      <c r="CT314" s="8">
        <f t="shared" si="233"/>
        <v>0</v>
      </c>
      <c r="CU314" s="8">
        <f t="shared" si="234"/>
        <v>0</v>
      </c>
      <c r="CV314" s="8">
        <f t="shared" si="235"/>
        <v>0</v>
      </c>
    </row>
    <row r="315" spans="1:100" ht="20.5" thickTop="1" thickBot="1" x14ac:dyDescent="0.5">
      <c r="A315" s="32"/>
      <c r="B315" s="10"/>
      <c r="C315" s="10"/>
      <c r="D315" s="11"/>
      <c r="E315" s="10"/>
      <c r="F315" s="10"/>
      <c r="G315" s="19"/>
      <c r="H315" s="19"/>
      <c r="I315" s="19"/>
      <c r="J315" s="19"/>
      <c r="K315" s="10"/>
      <c r="L315" s="10"/>
      <c r="M315" s="10"/>
      <c r="N315" s="10"/>
      <c r="O315" s="18"/>
      <c r="P315" s="18"/>
      <c r="Q315" s="21"/>
      <c r="R315" s="20"/>
      <c r="S315" s="16">
        <f t="shared" si="191"/>
        <v>0</v>
      </c>
      <c r="T315" s="11"/>
      <c r="AS315" s="31">
        <f t="shared" si="192"/>
        <v>0</v>
      </c>
      <c r="AT315" s="31">
        <f t="shared" si="193"/>
        <v>0</v>
      </c>
      <c r="AU315" s="31">
        <f t="shared" si="194"/>
        <v>0</v>
      </c>
      <c r="AV315" s="31">
        <f t="shared" si="195"/>
        <v>0</v>
      </c>
      <c r="AW315" s="31">
        <f t="shared" si="196"/>
        <v>0</v>
      </c>
      <c r="AX315" s="31">
        <f t="shared" si="197"/>
        <v>0</v>
      </c>
      <c r="AY315" s="31">
        <f t="shared" si="198"/>
        <v>0</v>
      </c>
      <c r="AZ315" s="31">
        <f t="shared" si="199"/>
        <v>0</v>
      </c>
      <c r="BA315" s="31">
        <f t="shared" si="200"/>
        <v>0</v>
      </c>
      <c r="BB315" s="31">
        <f t="shared" si="229"/>
        <v>0</v>
      </c>
      <c r="BM315" s="8">
        <f t="shared" si="230"/>
        <v>0</v>
      </c>
      <c r="BN315" s="8">
        <f t="shared" si="201"/>
        <v>0</v>
      </c>
      <c r="BO315" s="8">
        <f t="shared" si="202"/>
        <v>0</v>
      </c>
      <c r="BQ315" s="8">
        <f t="shared" si="203"/>
        <v>0</v>
      </c>
      <c r="BR315" s="63">
        <f t="shared" si="204"/>
        <v>0</v>
      </c>
      <c r="BS315" s="63">
        <f t="shared" si="231"/>
        <v>0</v>
      </c>
      <c r="BT315" s="63">
        <f t="shared" si="205"/>
        <v>0</v>
      </c>
      <c r="BU315" s="63">
        <f t="shared" si="206"/>
        <v>0</v>
      </c>
      <c r="BV315" s="57">
        <f t="shared" si="207"/>
        <v>0</v>
      </c>
      <c r="BW315" s="57">
        <f t="shared" si="208"/>
        <v>0</v>
      </c>
      <c r="BX315" s="57">
        <f t="shared" si="232"/>
        <v>0</v>
      </c>
      <c r="BY315" s="57">
        <f t="shared" si="236"/>
        <v>0</v>
      </c>
      <c r="BZ315" s="8">
        <f t="shared" si="209"/>
        <v>0</v>
      </c>
      <c r="CA315" s="8">
        <f t="shared" si="210"/>
        <v>0</v>
      </c>
      <c r="CB315" s="8">
        <f t="shared" si="211"/>
        <v>0</v>
      </c>
      <c r="CC315" s="8">
        <f t="shared" si="212"/>
        <v>0</v>
      </c>
      <c r="CD315" s="8">
        <f t="shared" si="213"/>
        <v>0</v>
      </c>
      <c r="CE315" s="8">
        <f t="shared" si="214"/>
        <v>0</v>
      </c>
      <c r="CF315" s="8">
        <f t="shared" si="215"/>
        <v>0</v>
      </c>
      <c r="CG315" s="8">
        <f t="shared" si="216"/>
        <v>0</v>
      </c>
      <c r="CH315" s="8">
        <f t="shared" si="217"/>
        <v>0</v>
      </c>
      <c r="CI315" s="8">
        <f t="shared" si="218"/>
        <v>0</v>
      </c>
      <c r="CJ315" s="8">
        <f t="shared" si="219"/>
        <v>0</v>
      </c>
      <c r="CK315" s="8">
        <f t="shared" si="220"/>
        <v>0</v>
      </c>
      <c r="CL315" s="8">
        <f t="shared" si="221"/>
        <v>0</v>
      </c>
      <c r="CM315" s="8">
        <f t="shared" si="222"/>
        <v>0</v>
      </c>
      <c r="CN315" s="8">
        <f t="shared" si="223"/>
        <v>0</v>
      </c>
      <c r="CO315" s="8">
        <f t="shared" si="224"/>
        <v>0</v>
      </c>
      <c r="CP315" s="8">
        <f t="shared" si="225"/>
        <v>0</v>
      </c>
      <c r="CQ315" s="8">
        <f t="shared" si="226"/>
        <v>0</v>
      </c>
      <c r="CR315" s="8">
        <f t="shared" si="227"/>
        <v>0</v>
      </c>
      <c r="CS315" s="8">
        <f t="shared" si="228"/>
        <v>0</v>
      </c>
      <c r="CT315" s="8">
        <f t="shared" si="233"/>
        <v>0</v>
      </c>
      <c r="CU315" s="8">
        <f t="shared" si="234"/>
        <v>0</v>
      </c>
      <c r="CV315" s="8">
        <f t="shared" si="235"/>
        <v>0</v>
      </c>
    </row>
    <row r="316" spans="1:100" ht="20.5" thickTop="1" thickBot="1" x14ac:dyDescent="0.5">
      <c r="A316" s="32"/>
      <c r="B316" s="10"/>
      <c r="C316" s="10"/>
      <c r="D316" s="11"/>
      <c r="E316" s="10"/>
      <c r="F316" s="10"/>
      <c r="G316" s="19"/>
      <c r="H316" s="19"/>
      <c r="I316" s="19"/>
      <c r="J316" s="19"/>
      <c r="K316" s="10"/>
      <c r="L316" s="10"/>
      <c r="M316" s="10"/>
      <c r="N316" s="10"/>
      <c r="O316" s="18"/>
      <c r="P316" s="18"/>
      <c r="Q316" s="21"/>
      <c r="R316" s="20"/>
      <c r="S316" s="16">
        <f t="shared" si="191"/>
        <v>0</v>
      </c>
      <c r="T316" s="11"/>
      <c r="AS316" s="31">
        <f t="shared" si="192"/>
        <v>0</v>
      </c>
      <c r="AT316" s="31">
        <f t="shared" si="193"/>
        <v>0</v>
      </c>
      <c r="AU316" s="31">
        <f t="shared" si="194"/>
        <v>0</v>
      </c>
      <c r="AV316" s="31">
        <f t="shared" si="195"/>
        <v>0</v>
      </c>
      <c r="AW316" s="31">
        <f t="shared" si="196"/>
        <v>0</v>
      </c>
      <c r="AX316" s="31">
        <f t="shared" si="197"/>
        <v>0</v>
      </c>
      <c r="AY316" s="31">
        <f t="shared" si="198"/>
        <v>0</v>
      </c>
      <c r="AZ316" s="31">
        <f t="shared" si="199"/>
        <v>0</v>
      </c>
      <c r="BA316" s="31">
        <f t="shared" si="200"/>
        <v>0</v>
      </c>
      <c r="BB316" s="31">
        <f t="shared" si="229"/>
        <v>0</v>
      </c>
      <c r="BM316" s="8">
        <f t="shared" si="230"/>
        <v>0</v>
      </c>
      <c r="BN316" s="8">
        <f t="shared" si="201"/>
        <v>0</v>
      </c>
      <c r="BO316" s="8">
        <f t="shared" si="202"/>
        <v>0</v>
      </c>
      <c r="BQ316" s="8">
        <f t="shared" si="203"/>
        <v>0</v>
      </c>
      <c r="BR316" s="63">
        <f t="shared" si="204"/>
        <v>0</v>
      </c>
      <c r="BS316" s="63">
        <f t="shared" si="231"/>
        <v>0</v>
      </c>
      <c r="BT316" s="63">
        <f t="shared" si="205"/>
        <v>0</v>
      </c>
      <c r="BU316" s="63">
        <f t="shared" si="206"/>
        <v>0</v>
      </c>
      <c r="BV316" s="57">
        <f t="shared" si="207"/>
        <v>0</v>
      </c>
      <c r="BW316" s="57">
        <f t="shared" si="208"/>
        <v>0</v>
      </c>
      <c r="BX316" s="57">
        <f t="shared" si="232"/>
        <v>0</v>
      </c>
      <c r="BY316" s="57">
        <f t="shared" si="236"/>
        <v>0</v>
      </c>
      <c r="BZ316" s="8">
        <f t="shared" si="209"/>
        <v>0</v>
      </c>
      <c r="CA316" s="8">
        <f t="shared" si="210"/>
        <v>0</v>
      </c>
      <c r="CB316" s="8">
        <f t="shared" si="211"/>
        <v>0</v>
      </c>
      <c r="CC316" s="8">
        <f t="shared" si="212"/>
        <v>0</v>
      </c>
      <c r="CD316" s="8">
        <f t="shared" si="213"/>
        <v>0</v>
      </c>
      <c r="CE316" s="8">
        <f t="shared" si="214"/>
        <v>0</v>
      </c>
      <c r="CF316" s="8">
        <f t="shared" si="215"/>
        <v>0</v>
      </c>
      <c r="CG316" s="8">
        <f t="shared" si="216"/>
        <v>0</v>
      </c>
      <c r="CH316" s="8">
        <f t="shared" si="217"/>
        <v>0</v>
      </c>
      <c r="CI316" s="8">
        <f t="shared" si="218"/>
        <v>0</v>
      </c>
      <c r="CJ316" s="8">
        <f t="shared" si="219"/>
        <v>0</v>
      </c>
      <c r="CK316" s="8">
        <f t="shared" si="220"/>
        <v>0</v>
      </c>
      <c r="CL316" s="8">
        <f t="shared" si="221"/>
        <v>0</v>
      </c>
      <c r="CM316" s="8">
        <f t="shared" si="222"/>
        <v>0</v>
      </c>
      <c r="CN316" s="8">
        <f t="shared" si="223"/>
        <v>0</v>
      </c>
      <c r="CO316" s="8">
        <f t="shared" si="224"/>
        <v>0</v>
      </c>
      <c r="CP316" s="8">
        <f t="shared" si="225"/>
        <v>0</v>
      </c>
      <c r="CQ316" s="8">
        <f t="shared" si="226"/>
        <v>0</v>
      </c>
      <c r="CR316" s="8">
        <f t="shared" si="227"/>
        <v>0</v>
      </c>
      <c r="CS316" s="8">
        <f t="shared" si="228"/>
        <v>0</v>
      </c>
      <c r="CT316" s="8">
        <f t="shared" si="233"/>
        <v>0</v>
      </c>
      <c r="CU316" s="8">
        <f t="shared" si="234"/>
        <v>0</v>
      </c>
      <c r="CV316" s="8">
        <f t="shared" si="235"/>
        <v>0</v>
      </c>
    </row>
    <row r="317" spans="1:100" ht="20.5" thickTop="1" thickBot="1" x14ac:dyDescent="0.5">
      <c r="A317" s="32"/>
      <c r="B317" s="10"/>
      <c r="C317" s="10"/>
      <c r="D317" s="11"/>
      <c r="E317" s="10"/>
      <c r="F317" s="10"/>
      <c r="G317" s="19"/>
      <c r="H317" s="19"/>
      <c r="I317" s="19"/>
      <c r="J317" s="19"/>
      <c r="K317" s="10"/>
      <c r="L317" s="10"/>
      <c r="M317" s="10"/>
      <c r="N317" s="10"/>
      <c r="O317" s="18"/>
      <c r="P317" s="18"/>
      <c r="Q317" s="21"/>
      <c r="R317" s="20"/>
      <c r="S317" s="16">
        <f t="shared" si="191"/>
        <v>0</v>
      </c>
      <c r="T317" s="11"/>
      <c r="AS317" s="31">
        <f t="shared" si="192"/>
        <v>0</v>
      </c>
      <c r="AT317" s="31">
        <f t="shared" si="193"/>
        <v>0</v>
      </c>
      <c r="AU317" s="31">
        <f t="shared" si="194"/>
        <v>0</v>
      </c>
      <c r="AV317" s="31">
        <f t="shared" si="195"/>
        <v>0</v>
      </c>
      <c r="AW317" s="31">
        <f t="shared" si="196"/>
        <v>0</v>
      </c>
      <c r="AX317" s="31">
        <f t="shared" si="197"/>
        <v>0</v>
      </c>
      <c r="AY317" s="31">
        <f t="shared" si="198"/>
        <v>0</v>
      </c>
      <c r="AZ317" s="31">
        <f t="shared" si="199"/>
        <v>0</v>
      </c>
      <c r="BA317" s="31">
        <f t="shared" si="200"/>
        <v>0</v>
      </c>
      <c r="BB317" s="31">
        <f t="shared" si="229"/>
        <v>0</v>
      </c>
      <c r="BM317" s="8">
        <f t="shared" si="230"/>
        <v>0</v>
      </c>
      <c r="BN317" s="8">
        <f t="shared" si="201"/>
        <v>0</v>
      </c>
      <c r="BO317" s="8">
        <f t="shared" si="202"/>
        <v>0</v>
      </c>
      <c r="BQ317" s="8">
        <f t="shared" si="203"/>
        <v>0</v>
      </c>
      <c r="BR317" s="63">
        <f t="shared" si="204"/>
        <v>0</v>
      </c>
      <c r="BS317" s="63">
        <f t="shared" si="231"/>
        <v>0</v>
      </c>
      <c r="BT317" s="63">
        <f t="shared" si="205"/>
        <v>0</v>
      </c>
      <c r="BU317" s="63">
        <f t="shared" si="206"/>
        <v>0</v>
      </c>
      <c r="BV317" s="57">
        <f t="shared" si="207"/>
        <v>0</v>
      </c>
      <c r="BW317" s="57">
        <f t="shared" si="208"/>
        <v>0</v>
      </c>
      <c r="BX317" s="57">
        <f t="shared" si="232"/>
        <v>0</v>
      </c>
      <c r="BY317" s="57">
        <f t="shared" si="236"/>
        <v>0</v>
      </c>
      <c r="BZ317" s="8">
        <f t="shared" si="209"/>
        <v>0</v>
      </c>
      <c r="CA317" s="8">
        <f t="shared" si="210"/>
        <v>0</v>
      </c>
      <c r="CB317" s="8">
        <f t="shared" si="211"/>
        <v>0</v>
      </c>
      <c r="CC317" s="8">
        <f t="shared" si="212"/>
        <v>0</v>
      </c>
      <c r="CD317" s="8">
        <f t="shared" si="213"/>
        <v>0</v>
      </c>
      <c r="CE317" s="8">
        <f t="shared" si="214"/>
        <v>0</v>
      </c>
      <c r="CF317" s="8">
        <f t="shared" si="215"/>
        <v>0</v>
      </c>
      <c r="CG317" s="8">
        <f t="shared" si="216"/>
        <v>0</v>
      </c>
      <c r="CH317" s="8">
        <f t="shared" si="217"/>
        <v>0</v>
      </c>
      <c r="CI317" s="8">
        <f t="shared" si="218"/>
        <v>0</v>
      </c>
      <c r="CJ317" s="8">
        <f t="shared" si="219"/>
        <v>0</v>
      </c>
      <c r="CK317" s="8">
        <f t="shared" si="220"/>
        <v>0</v>
      </c>
      <c r="CL317" s="8">
        <f t="shared" si="221"/>
        <v>0</v>
      </c>
      <c r="CM317" s="8">
        <f t="shared" si="222"/>
        <v>0</v>
      </c>
      <c r="CN317" s="8">
        <f t="shared" si="223"/>
        <v>0</v>
      </c>
      <c r="CO317" s="8">
        <f t="shared" si="224"/>
        <v>0</v>
      </c>
      <c r="CP317" s="8">
        <f t="shared" si="225"/>
        <v>0</v>
      </c>
      <c r="CQ317" s="8">
        <f t="shared" si="226"/>
        <v>0</v>
      </c>
      <c r="CR317" s="8">
        <f t="shared" si="227"/>
        <v>0</v>
      </c>
      <c r="CS317" s="8">
        <f t="shared" si="228"/>
        <v>0</v>
      </c>
      <c r="CT317" s="8">
        <f t="shared" si="233"/>
        <v>0</v>
      </c>
      <c r="CU317" s="8">
        <f t="shared" si="234"/>
        <v>0</v>
      </c>
      <c r="CV317" s="8">
        <f t="shared" si="235"/>
        <v>0</v>
      </c>
    </row>
    <row r="318" spans="1:100" ht="20.5" thickTop="1" thickBot="1" x14ac:dyDescent="0.5">
      <c r="A318" s="32"/>
      <c r="B318" s="10"/>
      <c r="C318" s="10"/>
      <c r="D318" s="11"/>
      <c r="E318" s="10"/>
      <c r="F318" s="10"/>
      <c r="G318" s="19"/>
      <c r="H318" s="19"/>
      <c r="I318" s="19"/>
      <c r="J318" s="19"/>
      <c r="K318" s="10"/>
      <c r="L318" s="10"/>
      <c r="M318" s="10"/>
      <c r="N318" s="10"/>
      <c r="O318" s="18"/>
      <c r="P318" s="18"/>
      <c r="Q318" s="21"/>
      <c r="R318" s="20"/>
      <c r="S318" s="16">
        <f t="shared" si="191"/>
        <v>0</v>
      </c>
      <c r="T318" s="11"/>
      <c r="AS318" s="31">
        <f t="shared" si="192"/>
        <v>0</v>
      </c>
      <c r="AT318" s="31">
        <f t="shared" si="193"/>
        <v>0</v>
      </c>
      <c r="AU318" s="31">
        <f t="shared" si="194"/>
        <v>0</v>
      </c>
      <c r="AV318" s="31">
        <f t="shared" si="195"/>
        <v>0</v>
      </c>
      <c r="AW318" s="31">
        <f t="shared" si="196"/>
        <v>0</v>
      </c>
      <c r="AX318" s="31">
        <f t="shared" si="197"/>
        <v>0</v>
      </c>
      <c r="AY318" s="31">
        <f t="shared" si="198"/>
        <v>0</v>
      </c>
      <c r="AZ318" s="31">
        <f t="shared" si="199"/>
        <v>0</v>
      </c>
      <c r="BA318" s="31">
        <f t="shared" si="200"/>
        <v>0</v>
      </c>
      <c r="BB318" s="31">
        <f t="shared" si="229"/>
        <v>0</v>
      </c>
      <c r="BM318" s="8">
        <f t="shared" si="230"/>
        <v>0</v>
      </c>
      <c r="BN318" s="8">
        <f t="shared" si="201"/>
        <v>0</v>
      </c>
      <c r="BO318" s="8">
        <f t="shared" si="202"/>
        <v>0</v>
      </c>
      <c r="BQ318" s="8">
        <f t="shared" si="203"/>
        <v>0</v>
      </c>
      <c r="BR318" s="63">
        <f t="shared" si="204"/>
        <v>0</v>
      </c>
      <c r="BS318" s="63">
        <f t="shared" si="231"/>
        <v>0</v>
      </c>
      <c r="BT318" s="63">
        <f t="shared" si="205"/>
        <v>0</v>
      </c>
      <c r="BU318" s="63">
        <f t="shared" si="206"/>
        <v>0</v>
      </c>
      <c r="BV318" s="57">
        <f t="shared" si="207"/>
        <v>0</v>
      </c>
      <c r="BW318" s="57">
        <f t="shared" si="208"/>
        <v>0</v>
      </c>
      <c r="BX318" s="57">
        <f t="shared" si="232"/>
        <v>0</v>
      </c>
      <c r="BY318" s="57">
        <f t="shared" si="236"/>
        <v>0</v>
      </c>
      <c r="BZ318" s="8">
        <f t="shared" si="209"/>
        <v>0</v>
      </c>
      <c r="CA318" s="8">
        <f t="shared" si="210"/>
        <v>0</v>
      </c>
      <c r="CB318" s="8">
        <f t="shared" si="211"/>
        <v>0</v>
      </c>
      <c r="CC318" s="8">
        <f t="shared" si="212"/>
        <v>0</v>
      </c>
      <c r="CD318" s="8">
        <f t="shared" si="213"/>
        <v>0</v>
      </c>
      <c r="CE318" s="8">
        <f t="shared" si="214"/>
        <v>0</v>
      </c>
      <c r="CF318" s="8">
        <f t="shared" si="215"/>
        <v>0</v>
      </c>
      <c r="CG318" s="8">
        <f t="shared" si="216"/>
        <v>0</v>
      </c>
      <c r="CH318" s="8">
        <f t="shared" si="217"/>
        <v>0</v>
      </c>
      <c r="CI318" s="8">
        <f t="shared" si="218"/>
        <v>0</v>
      </c>
      <c r="CJ318" s="8">
        <f t="shared" si="219"/>
        <v>0</v>
      </c>
      <c r="CK318" s="8">
        <f t="shared" si="220"/>
        <v>0</v>
      </c>
      <c r="CL318" s="8">
        <f t="shared" si="221"/>
        <v>0</v>
      </c>
      <c r="CM318" s="8">
        <f t="shared" si="222"/>
        <v>0</v>
      </c>
      <c r="CN318" s="8">
        <f t="shared" si="223"/>
        <v>0</v>
      </c>
      <c r="CO318" s="8">
        <f t="shared" si="224"/>
        <v>0</v>
      </c>
      <c r="CP318" s="8">
        <f t="shared" si="225"/>
        <v>0</v>
      </c>
      <c r="CQ318" s="8">
        <f t="shared" si="226"/>
        <v>0</v>
      </c>
      <c r="CR318" s="8">
        <f t="shared" si="227"/>
        <v>0</v>
      </c>
      <c r="CS318" s="8">
        <f t="shared" si="228"/>
        <v>0</v>
      </c>
      <c r="CT318" s="8">
        <f t="shared" si="233"/>
        <v>0</v>
      </c>
      <c r="CU318" s="8">
        <f t="shared" si="234"/>
        <v>0</v>
      </c>
      <c r="CV318" s="8">
        <f t="shared" si="235"/>
        <v>0</v>
      </c>
    </row>
    <row r="319" spans="1:100" ht="20.5" thickTop="1" thickBot="1" x14ac:dyDescent="0.5">
      <c r="A319" s="32"/>
      <c r="B319" s="10"/>
      <c r="C319" s="10"/>
      <c r="D319" s="11"/>
      <c r="E319" s="10"/>
      <c r="F319" s="10"/>
      <c r="G319" s="19"/>
      <c r="H319" s="19"/>
      <c r="I319" s="19"/>
      <c r="J319" s="19"/>
      <c r="K319" s="10"/>
      <c r="L319" s="10"/>
      <c r="M319" s="10"/>
      <c r="N319" s="10"/>
      <c r="O319" s="18"/>
      <c r="P319" s="18"/>
      <c r="Q319" s="21"/>
      <c r="R319" s="20"/>
      <c r="S319" s="16">
        <f t="shared" si="191"/>
        <v>0</v>
      </c>
      <c r="T319" s="11"/>
      <c r="AS319" s="31">
        <f t="shared" si="192"/>
        <v>0</v>
      </c>
      <c r="AT319" s="31">
        <f t="shared" si="193"/>
        <v>0</v>
      </c>
      <c r="AU319" s="31">
        <f t="shared" si="194"/>
        <v>0</v>
      </c>
      <c r="AV319" s="31">
        <f t="shared" si="195"/>
        <v>0</v>
      </c>
      <c r="AW319" s="31">
        <f t="shared" si="196"/>
        <v>0</v>
      </c>
      <c r="AX319" s="31">
        <f t="shared" si="197"/>
        <v>0</v>
      </c>
      <c r="AY319" s="31">
        <f t="shared" si="198"/>
        <v>0</v>
      </c>
      <c r="AZ319" s="31">
        <f t="shared" si="199"/>
        <v>0</v>
      </c>
      <c r="BA319" s="31">
        <f t="shared" si="200"/>
        <v>0</v>
      </c>
      <c r="BB319" s="31">
        <f t="shared" si="229"/>
        <v>0</v>
      </c>
      <c r="BM319" s="8">
        <f t="shared" si="230"/>
        <v>0</v>
      </c>
      <c r="BN319" s="8">
        <f t="shared" si="201"/>
        <v>0</v>
      </c>
      <c r="BO319" s="8">
        <f t="shared" si="202"/>
        <v>0</v>
      </c>
      <c r="BQ319" s="8">
        <f t="shared" si="203"/>
        <v>0</v>
      </c>
      <c r="BR319" s="63">
        <f t="shared" si="204"/>
        <v>0</v>
      </c>
      <c r="BS319" s="63">
        <f t="shared" si="231"/>
        <v>0</v>
      </c>
      <c r="BT319" s="63">
        <f t="shared" si="205"/>
        <v>0</v>
      </c>
      <c r="BU319" s="63">
        <f t="shared" si="206"/>
        <v>0</v>
      </c>
      <c r="BV319" s="57">
        <f t="shared" si="207"/>
        <v>0</v>
      </c>
      <c r="BW319" s="57">
        <f t="shared" si="208"/>
        <v>0</v>
      </c>
      <c r="BX319" s="57">
        <f t="shared" si="232"/>
        <v>0</v>
      </c>
      <c r="BY319" s="57">
        <f t="shared" si="236"/>
        <v>0</v>
      </c>
      <c r="BZ319" s="8">
        <f t="shared" si="209"/>
        <v>0</v>
      </c>
      <c r="CA319" s="8">
        <f t="shared" si="210"/>
        <v>0</v>
      </c>
      <c r="CB319" s="8">
        <f t="shared" si="211"/>
        <v>0</v>
      </c>
      <c r="CC319" s="8">
        <f t="shared" si="212"/>
        <v>0</v>
      </c>
      <c r="CD319" s="8">
        <f t="shared" si="213"/>
        <v>0</v>
      </c>
      <c r="CE319" s="8">
        <f t="shared" si="214"/>
        <v>0</v>
      </c>
      <c r="CF319" s="8">
        <f t="shared" si="215"/>
        <v>0</v>
      </c>
      <c r="CG319" s="8">
        <f t="shared" si="216"/>
        <v>0</v>
      </c>
      <c r="CH319" s="8">
        <f t="shared" si="217"/>
        <v>0</v>
      </c>
      <c r="CI319" s="8">
        <f t="shared" si="218"/>
        <v>0</v>
      </c>
      <c r="CJ319" s="8">
        <f t="shared" si="219"/>
        <v>0</v>
      </c>
      <c r="CK319" s="8">
        <f t="shared" si="220"/>
        <v>0</v>
      </c>
      <c r="CL319" s="8">
        <f t="shared" si="221"/>
        <v>0</v>
      </c>
      <c r="CM319" s="8">
        <f t="shared" si="222"/>
        <v>0</v>
      </c>
      <c r="CN319" s="8">
        <f t="shared" si="223"/>
        <v>0</v>
      </c>
      <c r="CO319" s="8">
        <f t="shared" si="224"/>
        <v>0</v>
      </c>
      <c r="CP319" s="8">
        <f t="shared" si="225"/>
        <v>0</v>
      </c>
      <c r="CQ319" s="8">
        <f t="shared" si="226"/>
        <v>0</v>
      </c>
      <c r="CR319" s="8">
        <f t="shared" si="227"/>
        <v>0</v>
      </c>
      <c r="CS319" s="8">
        <f t="shared" si="228"/>
        <v>0</v>
      </c>
      <c r="CT319" s="8">
        <f t="shared" si="233"/>
        <v>0</v>
      </c>
      <c r="CU319" s="8">
        <f t="shared" si="234"/>
        <v>0</v>
      </c>
      <c r="CV319" s="8">
        <f t="shared" si="235"/>
        <v>0</v>
      </c>
    </row>
    <row r="320" spans="1:100" ht="20.5" thickTop="1" thickBot="1" x14ac:dyDescent="0.5">
      <c r="A320" s="32"/>
      <c r="B320" s="10"/>
      <c r="C320" s="10"/>
      <c r="D320" s="11"/>
      <c r="E320" s="10"/>
      <c r="F320" s="10"/>
      <c r="G320" s="19"/>
      <c r="H320" s="19"/>
      <c r="I320" s="19"/>
      <c r="J320" s="19"/>
      <c r="K320" s="10"/>
      <c r="L320" s="10"/>
      <c r="M320" s="10"/>
      <c r="N320" s="10"/>
      <c r="O320" s="18"/>
      <c r="P320" s="18"/>
      <c r="Q320" s="21"/>
      <c r="R320" s="20"/>
      <c r="S320" s="16">
        <f t="shared" si="191"/>
        <v>0</v>
      </c>
      <c r="T320" s="11"/>
      <c r="AS320" s="31">
        <f t="shared" si="192"/>
        <v>0</v>
      </c>
      <c r="AT320" s="31">
        <f t="shared" si="193"/>
        <v>0</v>
      </c>
      <c r="AU320" s="31">
        <f t="shared" si="194"/>
        <v>0</v>
      </c>
      <c r="AV320" s="31">
        <f t="shared" si="195"/>
        <v>0</v>
      </c>
      <c r="AW320" s="31">
        <f t="shared" si="196"/>
        <v>0</v>
      </c>
      <c r="AX320" s="31">
        <f t="shared" si="197"/>
        <v>0</v>
      </c>
      <c r="AY320" s="31">
        <f t="shared" si="198"/>
        <v>0</v>
      </c>
      <c r="AZ320" s="31">
        <f t="shared" si="199"/>
        <v>0</v>
      </c>
      <c r="BA320" s="31">
        <f t="shared" si="200"/>
        <v>0</v>
      </c>
      <c r="BB320" s="31">
        <f t="shared" si="229"/>
        <v>0</v>
      </c>
      <c r="BM320" s="8">
        <f t="shared" si="230"/>
        <v>0</v>
      </c>
      <c r="BN320" s="8">
        <f t="shared" si="201"/>
        <v>0</v>
      </c>
      <c r="BO320" s="8">
        <f t="shared" si="202"/>
        <v>0</v>
      </c>
      <c r="BQ320" s="8">
        <f t="shared" si="203"/>
        <v>0</v>
      </c>
      <c r="BR320" s="63">
        <f t="shared" si="204"/>
        <v>0</v>
      </c>
      <c r="BS320" s="63">
        <f t="shared" si="231"/>
        <v>0</v>
      </c>
      <c r="BT320" s="63">
        <f t="shared" si="205"/>
        <v>0</v>
      </c>
      <c r="BU320" s="63">
        <f t="shared" si="206"/>
        <v>0</v>
      </c>
      <c r="BV320" s="57">
        <f t="shared" si="207"/>
        <v>0</v>
      </c>
      <c r="BW320" s="57">
        <f t="shared" si="208"/>
        <v>0</v>
      </c>
      <c r="BX320" s="57">
        <f t="shared" si="232"/>
        <v>0</v>
      </c>
      <c r="BY320" s="57">
        <f t="shared" si="236"/>
        <v>0</v>
      </c>
      <c r="BZ320" s="8">
        <f t="shared" si="209"/>
        <v>0</v>
      </c>
      <c r="CA320" s="8">
        <f t="shared" si="210"/>
        <v>0</v>
      </c>
      <c r="CB320" s="8">
        <f t="shared" si="211"/>
        <v>0</v>
      </c>
      <c r="CC320" s="8">
        <f t="shared" si="212"/>
        <v>0</v>
      </c>
      <c r="CD320" s="8">
        <f t="shared" si="213"/>
        <v>0</v>
      </c>
      <c r="CE320" s="8">
        <f t="shared" si="214"/>
        <v>0</v>
      </c>
      <c r="CF320" s="8">
        <f t="shared" si="215"/>
        <v>0</v>
      </c>
      <c r="CG320" s="8">
        <f t="shared" si="216"/>
        <v>0</v>
      </c>
      <c r="CH320" s="8">
        <f t="shared" si="217"/>
        <v>0</v>
      </c>
      <c r="CI320" s="8">
        <f t="shared" si="218"/>
        <v>0</v>
      </c>
      <c r="CJ320" s="8">
        <f t="shared" si="219"/>
        <v>0</v>
      </c>
      <c r="CK320" s="8">
        <f t="shared" si="220"/>
        <v>0</v>
      </c>
      <c r="CL320" s="8">
        <f t="shared" si="221"/>
        <v>0</v>
      </c>
      <c r="CM320" s="8">
        <f t="shared" si="222"/>
        <v>0</v>
      </c>
      <c r="CN320" s="8">
        <f t="shared" si="223"/>
        <v>0</v>
      </c>
      <c r="CO320" s="8">
        <f t="shared" si="224"/>
        <v>0</v>
      </c>
      <c r="CP320" s="8">
        <f t="shared" si="225"/>
        <v>0</v>
      </c>
      <c r="CQ320" s="8">
        <f t="shared" si="226"/>
        <v>0</v>
      </c>
      <c r="CR320" s="8">
        <f t="shared" si="227"/>
        <v>0</v>
      </c>
      <c r="CS320" s="8">
        <f t="shared" si="228"/>
        <v>0</v>
      </c>
      <c r="CT320" s="8">
        <f t="shared" si="233"/>
        <v>0</v>
      </c>
      <c r="CU320" s="8">
        <f t="shared" si="234"/>
        <v>0</v>
      </c>
      <c r="CV320" s="8">
        <f t="shared" si="235"/>
        <v>0</v>
      </c>
    </row>
    <row r="321" spans="1:100" ht="20.5" thickTop="1" thickBot="1" x14ac:dyDescent="0.5">
      <c r="A321" s="32"/>
      <c r="B321" s="10"/>
      <c r="C321" s="10"/>
      <c r="D321" s="11"/>
      <c r="E321" s="10"/>
      <c r="F321" s="10"/>
      <c r="G321" s="19"/>
      <c r="H321" s="19"/>
      <c r="I321" s="19"/>
      <c r="J321" s="19"/>
      <c r="K321" s="10"/>
      <c r="L321" s="10"/>
      <c r="M321" s="10"/>
      <c r="N321" s="10"/>
      <c r="O321" s="18"/>
      <c r="P321" s="18"/>
      <c r="Q321" s="21"/>
      <c r="R321" s="20"/>
      <c r="S321" s="16">
        <f t="shared" si="191"/>
        <v>0</v>
      </c>
      <c r="T321" s="11"/>
      <c r="AS321" s="31">
        <f t="shared" si="192"/>
        <v>0</v>
      </c>
      <c r="AT321" s="31">
        <f t="shared" si="193"/>
        <v>0</v>
      </c>
      <c r="AU321" s="31">
        <f t="shared" si="194"/>
        <v>0</v>
      </c>
      <c r="AV321" s="31">
        <f t="shared" si="195"/>
        <v>0</v>
      </c>
      <c r="AW321" s="31">
        <f t="shared" si="196"/>
        <v>0</v>
      </c>
      <c r="AX321" s="31">
        <f t="shared" si="197"/>
        <v>0</v>
      </c>
      <c r="AY321" s="31">
        <f t="shared" si="198"/>
        <v>0</v>
      </c>
      <c r="AZ321" s="31">
        <f t="shared" si="199"/>
        <v>0</v>
      </c>
      <c r="BA321" s="31">
        <f t="shared" si="200"/>
        <v>0</v>
      </c>
      <c r="BB321" s="31">
        <f t="shared" si="229"/>
        <v>0</v>
      </c>
      <c r="BM321" s="8">
        <f t="shared" si="230"/>
        <v>0</v>
      </c>
      <c r="BN321" s="8">
        <f t="shared" si="201"/>
        <v>0</v>
      </c>
      <c r="BO321" s="8">
        <f t="shared" si="202"/>
        <v>0</v>
      </c>
      <c r="BQ321" s="8">
        <f t="shared" si="203"/>
        <v>0</v>
      </c>
      <c r="BR321" s="63">
        <f t="shared" si="204"/>
        <v>0</v>
      </c>
      <c r="BS321" s="63">
        <f t="shared" si="231"/>
        <v>0</v>
      </c>
      <c r="BT321" s="63">
        <f t="shared" si="205"/>
        <v>0</v>
      </c>
      <c r="BU321" s="63">
        <f t="shared" si="206"/>
        <v>0</v>
      </c>
      <c r="BV321" s="57">
        <f t="shared" si="207"/>
        <v>0</v>
      </c>
      <c r="BW321" s="57">
        <f t="shared" si="208"/>
        <v>0</v>
      </c>
      <c r="BX321" s="57">
        <f t="shared" si="232"/>
        <v>0</v>
      </c>
      <c r="BY321" s="57">
        <f t="shared" si="236"/>
        <v>0</v>
      </c>
      <c r="BZ321" s="8">
        <f t="shared" si="209"/>
        <v>0</v>
      </c>
      <c r="CA321" s="8">
        <f t="shared" si="210"/>
        <v>0</v>
      </c>
      <c r="CB321" s="8">
        <f t="shared" si="211"/>
        <v>0</v>
      </c>
      <c r="CC321" s="8">
        <f t="shared" si="212"/>
        <v>0</v>
      </c>
      <c r="CD321" s="8">
        <f t="shared" si="213"/>
        <v>0</v>
      </c>
      <c r="CE321" s="8">
        <f t="shared" si="214"/>
        <v>0</v>
      </c>
      <c r="CF321" s="8">
        <f t="shared" si="215"/>
        <v>0</v>
      </c>
      <c r="CG321" s="8">
        <f t="shared" si="216"/>
        <v>0</v>
      </c>
      <c r="CH321" s="8">
        <f t="shared" si="217"/>
        <v>0</v>
      </c>
      <c r="CI321" s="8">
        <f t="shared" si="218"/>
        <v>0</v>
      </c>
      <c r="CJ321" s="8">
        <f t="shared" si="219"/>
        <v>0</v>
      </c>
      <c r="CK321" s="8">
        <f t="shared" si="220"/>
        <v>0</v>
      </c>
      <c r="CL321" s="8">
        <f t="shared" si="221"/>
        <v>0</v>
      </c>
      <c r="CM321" s="8">
        <f t="shared" si="222"/>
        <v>0</v>
      </c>
      <c r="CN321" s="8">
        <f t="shared" si="223"/>
        <v>0</v>
      </c>
      <c r="CO321" s="8">
        <f t="shared" si="224"/>
        <v>0</v>
      </c>
      <c r="CP321" s="8">
        <f t="shared" si="225"/>
        <v>0</v>
      </c>
      <c r="CQ321" s="8">
        <f t="shared" si="226"/>
        <v>0</v>
      </c>
      <c r="CR321" s="8">
        <f t="shared" si="227"/>
        <v>0</v>
      </c>
      <c r="CS321" s="8">
        <f t="shared" si="228"/>
        <v>0</v>
      </c>
      <c r="CT321" s="8">
        <f t="shared" si="233"/>
        <v>0</v>
      </c>
      <c r="CU321" s="8">
        <f t="shared" si="234"/>
        <v>0</v>
      </c>
      <c r="CV321" s="8">
        <f t="shared" si="235"/>
        <v>0</v>
      </c>
    </row>
    <row r="322" spans="1:100" ht="20.5" thickTop="1" thickBot="1" x14ac:dyDescent="0.5">
      <c r="A322" s="32"/>
      <c r="B322" s="10"/>
      <c r="C322" s="10"/>
      <c r="D322" s="11"/>
      <c r="E322" s="10"/>
      <c r="F322" s="10"/>
      <c r="G322" s="19"/>
      <c r="H322" s="19"/>
      <c r="I322" s="19"/>
      <c r="J322" s="19"/>
      <c r="K322" s="10"/>
      <c r="L322" s="10"/>
      <c r="M322" s="10"/>
      <c r="N322" s="10"/>
      <c r="O322" s="18"/>
      <c r="P322" s="18"/>
      <c r="Q322" s="21"/>
      <c r="R322" s="20"/>
      <c r="S322" s="16">
        <f t="shared" si="191"/>
        <v>0</v>
      </c>
      <c r="T322" s="11"/>
      <c r="AS322" s="31">
        <f t="shared" si="192"/>
        <v>0</v>
      </c>
      <c r="AT322" s="31">
        <f t="shared" si="193"/>
        <v>0</v>
      </c>
      <c r="AU322" s="31">
        <f t="shared" si="194"/>
        <v>0</v>
      </c>
      <c r="AV322" s="31">
        <f t="shared" si="195"/>
        <v>0</v>
      </c>
      <c r="AW322" s="31">
        <f t="shared" si="196"/>
        <v>0</v>
      </c>
      <c r="AX322" s="31">
        <f t="shared" si="197"/>
        <v>0</v>
      </c>
      <c r="AY322" s="31">
        <f t="shared" si="198"/>
        <v>0</v>
      </c>
      <c r="AZ322" s="31">
        <f t="shared" si="199"/>
        <v>0</v>
      </c>
      <c r="BA322" s="31">
        <f t="shared" si="200"/>
        <v>0</v>
      </c>
      <c r="BB322" s="31">
        <f t="shared" si="229"/>
        <v>0</v>
      </c>
      <c r="BM322" s="8">
        <f t="shared" si="230"/>
        <v>0</v>
      </c>
      <c r="BN322" s="8">
        <f t="shared" si="201"/>
        <v>0</v>
      </c>
      <c r="BO322" s="8">
        <f t="shared" si="202"/>
        <v>0</v>
      </c>
      <c r="BQ322" s="8">
        <f t="shared" si="203"/>
        <v>0</v>
      </c>
      <c r="BR322" s="63">
        <f t="shared" si="204"/>
        <v>0</v>
      </c>
      <c r="BS322" s="63">
        <f t="shared" si="231"/>
        <v>0</v>
      </c>
      <c r="BT322" s="63">
        <f t="shared" si="205"/>
        <v>0</v>
      </c>
      <c r="BU322" s="63">
        <f t="shared" si="206"/>
        <v>0</v>
      </c>
      <c r="BV322" s="57">
        <f t="shared" si="207"/>
        <v>0</v>
      </c>
      <c r="BW322" s="57">
        <f t="shared" si="208"/>
        <v>0</v>
      </c>
      <c r="BX322" s="57">
        <f t="shared" si="232"/>
        <v>0</v>
      </c>
      <c r="BY322" s="57">
        <f t="shared" si="236"/>
        <v>0</v>
      </c>
      <c r="BZ322" s="8">
        <f t="shared" si="209"/>
        <v>0</v>
      </c>
      <c r="CA322" s="8">
        <f t="shared" si="210"/>
        <v>0</v>
      </c>
      <c r="CB322" s="8">
        <f t="shared" si="211"/>
        <v>0</v>
      </c>
      <c r="CC322" s="8">
        <f t="shared" si="212"/>
        <v>0</v>
      </c>
      <c r="CD322" s="8">
        <f t="shared" si="213"/>
        <v>0</v>
      </c>
      <c r="CE322" s="8">
        <f t="shared" si="214"/>
        <v>0</v>
      </c>
      <c r="CF322" s="8">
        <f t="shared" si="215"/>
        <v>0</v>
      </c>
      <c r="CG322" s="8">
        <f t="shared" si="216"/>
        <v>0</v>
      </c>
      <c r="CH322" s="8">
        <f t="shared" si="217"/>
        <v>0</v>
      </c>
      <c r="CI322" s="8">
        <f t="shared" si="218"/>
        <v>0</v>
      </c>
      <c r="CJ322" s="8">
        <f t="shared" si="219"/>
        <v>0</v>
      </c>
      <c r="CK322" s="8">
        <f t="shared" si="220"/>
        <v>0</v>
      </c>
      <c r="CL322" s="8">
        <f t="shared" si="221"/>
        <v>0</v>
      </c>
      <c r="CM322" s="8">
        <f t="shared" si="222"/>
        <v>0</v>
      </c>
      <c r="CN322" s="8">
        <f t="shared" si="223"/>
        <v>0</v>
      </c>
      <c r="CO322" s="8">
        <f t="shared" si="224"/>
        <v>0</v>
      </c>
      <c r="CP322" s="8">
        <f t="shared" si="225"/>
        <v>0</v>
      </c>
      <c r="CQ322" s="8">
        <f t="shared" si="226"/>
        <v>0</v>
      </c>
      <c r="CR322" s="8">
        <f t="shared" si="227"/>
        <v>0</v>
      </c>
      <c r="CS322" s="8">
        <f t="shared" si="228"/>
        <v>0</v>
      </c>
      <c r="CT322" s="8">
        <f t="shared" si="233"/>
        <v>0</v>
      </c>
      <c r="CU322" s="8">
        <f t="shared" si="234"/>
        <v>0</v>
      </c>
      <c r="CV322" s="8">
        <f t="shared" si="235"/>
        <v>0</v>
      </c>
    </row>
    <row r="323" spans="1:100" ht="20.5" thickTop="1" thickBot="1" x14ac:dyDescent="0.5">
      <c r="A323" s="32"/>
      <c r="B323" s="10"/>
      <c r="C323" s="10"/>
      <c r="D323" s="11"/>
      <c r="E323" s="10"/>
      <c r="F323" s="10"/>
      <c r="G323" s="19"/>
      <c r="H323" s="19"/>
      <c r="I323" s="19"/>
      <c r="J323" s="19"/>
      <c r="K323" s="10"/>
      <c r="L323" s="10"/>
      <c r="M323" s="10"/>
      <c r="N323" s="10"/>
      <c r="O323" s="18"/>
      <c r="P323" s="18"/>
      <c r="Q323" s="21"/>
      <c r="R323" s="20"/>
      <c r="S323" s="16">
        <f t="shared" si="191"/>
        <v>0</v>
      </c>
      <c r="T323" s="11"/>
      <c r="AS323" s="31">
        <f t="shared" si="192"/>
        <v>0</v>
      </c>
      <c r="AT323" s="31">
        <f t="shared" si="193"/>
        <v>0</v>
      </c>
      <c r="AU323" s="31">
        <f t="shared" si="194"/>
        <v>0</v>
      </c>
      <c r="AV323" s="31">
        <f t="shared" si="195"/>
        <v>0</v>
      </c>
      <c r="AW323" s="31">
        <f t="shared" si="196"/>
        <v>0</v>
      </c>
      <c r="AX323" s="31">
        <f t="shared" si="197"/>
        <v>0</v>
      </c>
      <c r="AY323" s="31">
        <f t="shared" si="198"/>
        <v>0</v>
      </c>
      <c r="AZ323" s="31">
        <f t="shared" si="199"/>
        <v>0</v>
      </c>
      <c r="BA323" s="31">
        <f t="shared" si="200"/>
        <v>0</v>
      </c>
      <c r="BB323" s="31">
        <f t="shared" si="229"/>
        <v>0</v>
      </c>
      <c r="BM323" s="8">
        <f t="shared" si="230"/>
        <v>0</v>
      </c>
      <c r="BN323" s="8">
        <f t="shared" si="201"/>
        <v>0</v>
      </c>
      <c r="BO323" s="8">
        <f t="shared" si="202"/>
        <v>0</v>
      </c>
      <c r="BQ323" s="8">
        <f t="shared" si="203"/>
        <v>0</v>
      </c>
      <c r="BR323" s="63">
        <f t="shared" si="204"/>
        <v>0</v>
      </c>
      <c r="BS323" s="63">
        <f t="shared" si="231"/>
        <v>0</v>
      </c>
      <c r="BT323" s="63">
        <f t="shared" si="205"/>
        <v>0</v>
      </c>
      <c r="BU323" s="63">
        <f t="shared" si="206"/>
        <v>0</v>
      </c>
      <c r="BV323" s="57">
        <f t="shared" si="207"/>
        <v>0</v>
      </c>
      <c r="BW323" s="57">
        <f t="shared" si="208"/>
        <v>0</v>
      </c>
      <c r="BX323" s="57">
        <f t="shared" si="232"/>
        <v>0</v>
      </c>
      <c r="BY323" s="57">
        <f t="shared" si="236"/>
        <v>0</v>
      </c>
      <c r="BZ323" s="8">
        <f t="shared" si="209"/>
        <v>0</v>
      </c>
      <c r="CA323" s="8">
        <f t="shared" si="210"/>
        <v>0</v>
      </c>
      <c r="CB323" s="8">
        <f t="shared" si="211"/>
        <v>0</v>
      </c>
      <c r="CC323" s="8">
        <f t="shared" si="212"/>
        <v>0</v>
      </c>
      <c r="CD323" s="8">
        <f t="shared" si="213"/>
        <v>0</v>
      </c>
      <c r="CE323" s="8">
        <f t="shared" si="214"/>
        <v>0</v>
      </c>
      <c r="CF323" s="8">
        <f t="shared" si="215"/>
        <v>0</v>
      </c>
      <c r="CG323" s="8">
        <f t="shared" si="216"/>
        <v>0</v>
      </c>
      <c r="CH323" s="8">
        <f t="shared" si="217"/>
        <v>0</v>
      </c>
      <c r="CI323" s="8">
        <f t="shared" si="218"/>
        <v>0</v>
      </c>
      <c r="CJ323" s="8">
        <f t="shared" si="219"/>
        <v>0</v>
      </c>
      <c r="CK323" s="8">
        <f t="shared" si="220"/>
        <v>0</v>
      </c>
      <c r="CL323" s="8">
        <f t="shared" si="221"/>
        <v>0</v>
      </c>
      <c r="CM323" s="8">
        <f t="shared" si="222"/>
        <v>0</v>
      </c>
      <c r="CN323" s="8">
        <f t="shared" si="223"/>
        <v>0</v>
      </c>
      <c r="CO323" s="8">
        <f t="shared" si="224"/>
        <v>0</v>
      </c>
      <c r="CP323" s="8">
        <f t="shared" si="225"/>
        <v>0</v>
      </c>
      <c r="CQ323" s="8">
        <f t="shared" si="226"/>
        <v>0</v>
      </c>
      <c r="CR323" s="8">
        <f t="shared" si="227"/>
        <v>0</v>
      </c>
      <c r="CS323" s="8">
        <f t="shared" si="228"/>
        <v>0</v>
      </c>
      <c r="CT323" s="8">
        <f t="shared" si="233"/>
        <v>0</v>
      </c>
      <c r="CU323" s="8">
        <f t="shared" si="234"/>
        <v>0</v>
      </c>
      <c r="CV323" s="8">
        <f t="shared" si="235"/>
        <v>0</v>
      </c>
    </row>
    <row r="324" spans="1:100" ht="20.5" thickTop="1" thickBot="1" x14ac:dyDescent="0.5">
      <c r="A324" s="32"/>
      <c r="B324" s="10"/>
      <c r="C324" s="10"/>
      <c r="D324" s="11"/>
      <c r="E324" s="10"/>
      <c r="F324" s="10"/>
      <c r="G324" s="19"/>
      <c r="H324" s="19"/>
      <c r="I324" s="19"/>
      <c r="J324" s="19"/>
      <c r="K324" s="10"/>
      <c r="L324" s="10"/>
      <c r="M324" s="10"/>
      <c r="N324" s="10"/>
      <c r="O324" s="18"/>
      <c r="P324" s="18"/>
      <c r="Q324" s="21"/>
      <c r="R324" s="20"/>
      <c r="S324" s="16">
        <f t="shared" ref="S324:S387" si="237">IF(AND(K324="asphalted",M324="sub",BV324&lt;=1,BV324&gt;0),1+2*0.15,IF(AND(K324="asphalted",OR(M324="main",M324="MOT"),BV324&lt;=1,BV324&gt;0),1+2*0.3,IF(AND(K324="asphalted",M324="sub",BV324&gt;1),BV324+2*0.15,IF(AND(K324="asphalted",OR(M324="main",M324="MOT"),BV324&gt;1),BV324+2*0.3,0))))</f>
        <v>0</v>
      </c>
      <c r="T324" s="11"/>
      <c r="AS324" s="31">
        <f t="shared" ref="AS324:AS387" si="238">IF(F324=1,0.4,IF(F324&gt;1,F324*0.3,0))</f>
        <v>0</v>
      </c>
      <c r="AT324" s="31">
        <f t="shared" ref="AT324:AT387" si="239">IF(AND(G324&lt;4,G324&gt;0),0.4,IF(G324&gt;3,0.4+(G324-3)*0.1,0))</f>
        <v>0</v>
      </c>
      <c r="AU324" s="31">
        <f t="shared" ref="AU324:AU387" si="240">AT324-AS324</f>
        <v>0</v>
      </c>
      <c r="AV324" s="31">
        <f t="shared" ref="AV324:AV387" si="241">IF(AND(OR(OR(E324="normal",E324="special"),E324="special"),F324=0,G324&gt;0,G324&lt;5),"LV"&amp;G324,IF(AND(OR(OR(E324="normal",E324="special"),E324="special"),F324=0,G324&gt;4),"LVCU",IF(AND(OR(OR(E324="normal",E324="special"),E324="special"),F324&gt;4),"MVCU",IF(AND(OR(OR(E324="normal",E324="special"),E324="special"),F324&gt;0,F324&lt;5),"MV"&amp;F324,IF(AND(E324="mini-trench",F324=1),"mini-trench MV",IF(AND(E324="mini-trench",G324&lt;3,G324&lt;&gt;0),"mini-trench LV",0))))))</f>
        <v>0</v>
      </c>
      <c r="AW324" s="31">
        <f t="shared" ref="AW324:AW387" si="242">IF(B324="joint",F324,0)+IF(C324="joint",F324,0)+IF(OR(B324="new ss",B324="ss"),F324*3)+IF(B324="pole",F324*10)+IF(OR(C324="new ss",C324="ss"),F324*3)+IF(C324="pole",F324*10)+IF(B324="grid",F324*30)+IF(C324="grid",F324*30)</f>
        <v>0</v>
      </c>
      <c r="AX324" s="31">
        <f t="shared" ref="AX324:AX387" si="243">IF(J324&gt;0,IF(OR(B324="ss",C324="ss"),J324*3,0)+IF(OR(B324="new ss",C324="new ss"),J324*3,0)+IF(OR(B324="DC",C324="DC"),J324*1.5,0)+IF(OR(B324="new DC",C324="new DC"),J324*1.5,0)+IF(OR(B324="MB",C324="MB"),J324*2,0)+IF(OR(B324="pole",C324="pole"),J324*10,0),0)</f>
        <v>0</v>
      </c>
      <c r="AY324" s="31">
        <f t="shared" ref="AY324:AY387" si="244">IF(I324&gt;0,IF(OR(B324="ss",C324="ss"),I324*3,0)+IF(OR(B324="new ss",C324="new ss"),I324*3,0)+IF(OR(B324="DC",C324="DC"),I324*1.5,0)+IF(OR(B324="new DC",C324="new DC"),J324*1.5,0)+IF(OR(B324="MB",C324="MB"),I324*2,0)+IF(OR(B324="pole",C324="pole"),I324*10,0),0)</f>
        <v>0</v>
      </c>
      <c r="AZ324" s="31">
        <f t="shared" ref="AZ324:AZ387" si="245">IF(H324&gt;0,IF(OR(B324="ss",C324="ss"),H324*3,0)+IF(OR(B324="new ss",C324="new ss"),H324*3,0)+IF(OR(B324="DC",C324="DC"),H324*2,0)+IF(OR(B324="new DC",C324="new DC"),H324*1.5,0)+IF(OR(B324="MB",C324="MB"),H324*2,0)+IF(OR(B324="pole",C324="pole"),H324*10,0)+IF(OR(B324="pole",C324="pole"),H324*10,0),0)</f>
        <v>0</v>
      </c>
      <c r="BA324" s="31">
        <f t="shared" ref="BA324:BA387" si="246">IF(E324="manual",IF(AU324&lt;0,D324*AS324*0.8,IF(AND(AS324&gt;0,AU324&gt;0),D324*AS324*0.8+D324*AU324*0.65,IF(AND(AS324=0,AT324&gt;0),D324*AT324*0.65,0))),0)</f>
        <v>0</v>
      </c>
      <c r="BB324" s="31">
        <f t="shared" si="229"/>
        <v>0</v>
      </c>
      <c r="BM324" s="8">
        <f t="shared" si="230"/>
        <v>0</v>
      </c>
      <c r="BN324" s="8">
        <f t="shared" ref="BN324:BN387" si="247">IFERROR(IF(AND(K324="asphalted",E324="mini-trench",R324=""),1*D324,IF(AND(K324="asphalted",R324&gt;0,MandRcalc="Complete M&amp;R area"),R324*D324,IF(AND(K324="asphalted",R324&gt;0,MandRcalc="M&amp;R area - asphalting area"),(R324-BR324/D324)*D324,0))),0)</f>
        <v>0</v>
      </c>
      <c r="BO324" s="8">
        <f t="shared" ref="BO324:BO387" si="248">IF(BQ324&lt;MINEXCNA,0,IF(AND(E324="normal",F324&lt;5,G324&lt;12,K324&lt;&gt;"asphalted",AT324&gt;AS324,AS324&lt;&gt;0),(BQ324-AT324)*0.65,IF(AND(E324="normal",F324&lt;5,G324&lt;12,K324&lt;&gt;"asphalted",AS324&gt;=AT324),(BQ324-AS324)*0.8,IF(AND(E324="normal",F324&lt;5,G324&lt;12,K324&lt;&gt;"asphalted",AT324&gt;0,AS324=0),(BQ324-AT324)*0.65,0)))*D324)</f>
        <v>0</v>
      </c>
      <c r="BQ324" s="8">
        <f t="shared" ref="BQ324:BQ387" si="249">IF(E324="special",O324,IF(AND(OR(E324="normal",E324="manual"),O324="",K324="asphalted",BV324&lt;=MINEXC),MINEXC,IF(AND(OR(E324="normal",E324="manual"),O324&lt;&gt;"",K324="asphalted"),MIN(O324,BV324),IF(AND(OR(E324="normal",E324="manual"),O324="",K324&lt;&gt;"asphalted",BV324&lt;=MINEXCNA),MINEXCNA,IF(AND(OR(E324="normal",E324="manual"),O324&lt;&gt;"",K324&lt;&gt;"asphalted"),MIN(O324,BV324),BV324)))))</f>
        <v>0</v>
      </c>
      <c r="BR324" s="63">
        <f t="shared" ref="BR324:BR387" si="250">IFERROR(IF(AND(E324&lt;&gt;"mini-trecnh",K324="asphalted",Q324&lt;&gt;"",S324=0),D324*Q324,IF(AND(E324&lt;&gt;"mini-trecnh",K324="asphalted",Q324&lt;&gt;"",S324&lt;&gt;0),D324*MIN(Q324,S324),IF(AND(E324&lt;&gt;"mini-trecnh",K324="asphalted",Q324=""),D324*S324,0))),0)</f>
        <v>0</v>
      </c>
      <c r="BS324" s="63">
        <f t="shared" si="231"/>
        <v>0</v>
      </c>
      <c r="BT324" s="63">
        <f t="shared" ref="BT324:BT387" si="251">IF(BQ324&lt;MINEXC,0,IF(AND(E324="normal",F324&lt;5,G324&lt;12,K324="asphalted",AT324&gt;AS324,AS324&lt;&gt;0),(BQ324-AT324)*0.65,IF(AND(E324="normal",F324&lt;5,G324&lt;12,K324="asphalted",AS324&gt;=AT324),(BQ324-AS324)*0.8,IF(AND(E324="normal",F324&lt;5,G324&lt;12,K324="asphalted",AT324&gt;0,AS324=0),(BQ324-AT324)*0.65,0)))*D324)</f>
        <v>0</v>
      </c>
      <c r="BU324" s="63">
        <f t="shared" ref="BU324:BU387" si="252">IF(E324="",0,IF(OR(BT324&gt;0,BO324&gt;0),0,IF(AND(F324&gt;4,G324=0),(BQ324-1.2)*D324*0.8,IF(AND(G324&gt;4,F324=0),(BQ324-0.4)*D324*0.65,IF(OR(AND(G324&gt;4,F324&gt;0),AND(F324&gt;4,G324&gt;0)),(IF(AS324&gt;1.2,(AS324-1.2)*D324*0.8,0)+IF(AT324&gt;AS324,(AT324-AS324)*D324*0.65,0)),0)))))</f>
        <v>0</v>
      </c>
      <c r="BV324" s="57">
        <f t="shared" ref="BV324:BV387" si="253">IF(AND(E324&lt;&gt;"mini-trench",E324&lt;&gt;"special"),MAX(AS324:AT324),0)</f>
        <v>0</v>
      </c>
      <c r="BW324" s="57">
        <f t="shared" ref="BW324:BW387" si="254">IF(AND(E324&lt;&gt;"mini-trench",E324&lt;&gt;"special",BV324&gt;0,BV324&lt;1,K324="asphalted"),IF(O324&lt;&gt;"",MIN(O324,1),1),IF(AND(E324&lt;&gt;"mini-trench",E324&lt;&gt;"special",BV324&gt;0,BV324&gt;1,K324="asphalted"),BV324,0))</f>
        <v>0</v>
      </c>
      <c r="BX324" s="57">
        <f t="shared" si="232"/>
        <v>0</v>
      </c>
      <c r="BY324" s="57">
        <f t="shared" si="236"/>
        <v>0</v>
      </c>
      <c r="BZ324" s="8">
        <f t="shared" ref="BZ324:BZ387" si="255">IF(E324="special",O324*P324*D324-D324*IF(AV324="MV1",0.8*0.4,IF(AV324="MV2",0.8*0.6,IF(AV324="MV3",0.8*0.9,IF(OR(AV324="MV4",AV324="MVCU"),0.8*1.2,IF(AV324="LV1-3",0.65*0.4,IF(OR(AV324="LV4",AV324="LVCU"),0.65*0.5)))))),0)</f>
        <v>0</v>
      </c>
      <c r="CA324" s="8">
        <f t="shared" ref="CA324:CA387" si="256">IF(AND(E324&lt;&gt;"special",K324="Paved interlock"),D324*BV324,IF(AND(E324="special",K324="Paved interlock"),D324*O324,0))</f>
        <v>0</v>
      </c>
      <c r="CB324" s="8">
        <f t="shared" ref="CB324:CB387" si="257">IF(AND(E324&lt;&gt;"special",K324="Paved conc.tiles"),D324*BV324,IF(AND(E324="special",K324="Paved conc.tiles"),D324*O324,0))</f>
        <v>0</v>
      </c>
      <c r="CC324" s="8">
        <f t="shared" ref="CC324:CC387" si="258">IF(AND(E324="special",K324="asphalted"),D324*Q324,0)</f>
        <v>0</v>
      </c>
      <c r="CD324" s="8">
        <f t="shared" ref="CD324:CD387" si="259">IF(OR(K324="Paved interlock",K324="Paved conc.tiles"),1,0)</f>
        <v>0</v>
      </c>
      <c r="CE324" s="8">
        <f t="shared" ref="CE324:CE387" si="260">IFERROR(BR324/D324,0)</f>
        <v>0</v>
      </c>
      <c r="CF324" s="8">
        <f t="shared" ref="CF324:CF387" si="261">IF(AND(F324&gt;0,B324="j transition"),F324,0)+IF(AND(F324&gt;0,C324="j transition"),F324,0)</f>
        <v>0</v>
      </c>
      <c r="CG324" s="8">
        <f t="shared" ref="CG324:CG387" si="262">IF(AND(F324&gt;0,OR(B324="grid",B324="ss",B324="pole",B324="new ss")),F324,0)+IF(AND(F324&gt;0,OR(C324="grid",C324="ss",C324="pole",C324="new ss")),F324,0)</f>
        <v>0</v>
      </c>
      <c r="CH324" s="8">
        <f t="shared" ref="CH324:CH387" si="263">IF(AND(F324&gt;0,B324="joint"),F324,0)+IF(AND(F324&gt;0,C324="joint"),F324,0)+IF(AND(F324&gt;0,B324="j transition"),F324,0)+IF(AND(F324&gt;0,C324="j transition"),F324,0)</f>
        <v>0</v>
      </c>
      <c r="CI324" s="8">
        <f t="shared" ref="CI324:CI387" si="264">IF(AND(H324&gt;0,B324="joint"),H324,0)+IF(AND(H324&gt;0,C324="joint"),H324,0)</f>
        <v>0</v>
      </c>
      <c r="CJ324" s="8">
        <f t="shared" ref="CJ324:CJ387" si="265">IF(AND(I324&gt;0,B324="joint"),I324,0)+IF(AND(I324&gt;0,C324="joint"),I324,0)</f>
        <v>0</v>
      </c>
      <c r="CK324" s="8">
        <f t="shared" ref="CK324:CK387" si="266">IF(AND(J324&gt;0,B324="joint"),J324,0)+IF(AND(J324&gt;0,C324="joint"),J324,0)</f>
        <v>0</v>
      </c>
      <c r="CL324" s="8">
        <f t="shared" ref="CL324:CL387" si="267">IF(AND(H324&gt;0,OR(B324="ss",B324="new ss",B324="DC",B324="new DC")),H324,0)+IF(AND(H324&gt;0,OR(C324="new ss",C324="ss",C324="DC",C324="new DC")),H324,0)</f>
        <v>0</v>
      </c>
      <c r="CM324" s="8">
        <f t="shared" ref="CM324:CM387" si="268">CO324+CP324</f>
        <v>0</v>
      </c>
      <c r="CN324" s="8">
        <f t="shared" ref="CN324:CN387" si="269">IF(OR(B324="new DC",C324="new DC"),H324,0)</f>
        <v>0</v>
      </c>
      <c r="CO324" s="8">
        <f t="shared" ref="CO324:CO387" si="270">IF(AND(J324&gt;0,OR(B324="ss",B324="new ss",B324="DC",B324="new DC")),J324,0)+IF(AND(J324&gt;0,OR(C324="new ss",C324="ss",C324="DC",C324="new DC")),J324,0)</f>
        <v>0</v>
      </c>
      <c r="CP324" s="8">
        <f t="shared" ref="CP324:CP387" si="271">IF(AND(I324&gt;0,OR(B324="ss",B324="new ss",B324="DC",B324="new DC")),I324,0)+IF(AND(I324&gt;0,OR(C324="new ss",C324="ss",C324="DC",C324="new DC")),I324,0)</f>
        <v>0</v>
      </c>
      <c r="CQ324" s="8">
        <f t="shared" ref="CQ324:CQ387" si="272">IF(AND(F324&gt;0,OR(B324="ss",B324="new ss")),F324,0)+IF(AND(F324&gt;0,OR(C324="ss",C324="new ss")),F324,0)</f>
        <v>0</v>
      </c>
      <c r="CR324" s="8">
        <f t="shared" ref="CR324:CR387" si="273">IF(AND(F324&gt;0,OR(B324="grid")),F324,0)+IF(AND(F324&gt;0,OR(C324="grid")),F324,0)</f>
        <v>0</v>
      </c>
      <c r="CS324" s="8">
        <f t="shared" ref="CS324:CS387" si="274">IF(AND(F324&gt;0,OR(B324="pole")),F324,0)+IF(AND(F324&gt;0,OR(C324="pole")),F324,0)</f>
        <v>0</v>
      </c>
      <c r="CT324" s="8">
        <f t="shared" si="233"/>
        <v>0</v>
      </c>
      <c r="CU324" s="8">
        <f t="shared" si="234"/>
        <v>0</v>
      </c>
      <c r="CV324" s="8">
        <f t="shared" si="235"/>
        <v>0</v>
      </c>
    </row>
    <row r="325" spans="1:100" ht="20.5" thickTop="1" thickBot="1" x14ac:dyDescent="0.5">
      <c r="A325" s="32"/>
      <c r="B325" s="10"/>
      <c r="C325" s="10"/>
      <c r="D325" s="11"/>
      <c r="E325" s="10"/>
      <c r="F325" s="10"/>
      <c r="G325" s="19"/>
      <c r="H325" s="19"/>
      <c r="I325" s="19"/>
      <c r="J325" s="19"/>
      <c r="K325" s="10"/>
      <c r="L325" s="10"/>
      <c r="M325" s="10"/>
      <c r="N325" s="10"/>
      <c r="O325" s="18"/>
      <c r="P325" s="18"/>
      <c r="Q325" s="21"/>
      <c r="R325" s="20"/>
      <c r="S325" s="16">
        <f t="shared" si="237"/>
        <v>0</v>
      </c>
      <c r="T325" s="11"/>
      <c r="AS325" s="31">
        <f t="shared" si="238"/>
        <v>0</v>
      </c>
      <c r="AT325" s="31">
        <f t="shared" si="239"/>
        <v>0</v>
      </c>
      <c r="AU325" s="31">
        <f t="shared" si="240"/>
        <v>0</v>
      </c>
      <c r="AV325" s="31">
        <f t="shared" si="241"/>
        <v>0</v>
      </c>
      <c r="AW325" s="31">
        <f t="shared" si="242"/>
        <v>0</v>
      </c>
      <c r="AX325" s="31">
        <f t="shared" si="243"/>
        <v>0</v>
      </c>
      <c r="AY325" s="31">
        <f t="shared" si="244"/>
        <v>0</v>
      </c>
      <c r="AZ325" s="31">
        <f t="shared" si="245"/>
        <v>0</v>
      </c>
      <c r="BA325" s="31">
        <f t="shared" si="246"/>
        <v>0</v>
      </c>
      <c r="BB325" s="31">
        <f t="shared" ref="BB325:BB388" si="275">IFERROR(IF(BN325&gt;0,0,IF(AND(E325="normal",(BR325/D325)&gt;1),BR325,0)),0)</f>
        <v>0</v>
      </c>
      <c r="BM325" s="8">
        <f t="shared" ref="BM325:BM388" si="276">IF(AND(E325&lt;&gt;"special",K325="Concrete"),D325*BV325,IF(AND(E325="special",K325="Concrete"),D325*O325,0))</f>
        <v>0</v>
      </c>
      <c r="BN325" s="8">
        <f t="shared" si="247"/>
        <v>0</v>
      </c>
      <c r="BO325" s="8">
        <f t="shared" si="248"/>
        <v>0</v>
      </c>
      <c r="BQ325" s="8">
        <f t="shared" si="249"/>
        <v>0</v>
      </c>
      <c r="BR325" s="63">
        <f t="shared" si="250"/>
        <v>0</v>
      </c>
      <c r="BS325" s="63">
        <f t="shared" ref="BS325:BS388" si="277">BN325 + IF(BN325&gt;0,IF(R324=0, R325, 0) + IF(R326=0, R325, 0),0)</f>
        <v>0</v>
      </c>
      <c r="BT325" s="63">
        <f t="shared" si="251"/>
        <v>0</v>
      </c>
      <c r="BU325" s="63">
        <f t="shared" si="252"/>
        <v>0</v>
      </c>
      <c r="BV325" s="57">
        <f t="shared" si="253"/>
        <v>0</v>
      </c>
      <c r="BW325" s="57">
        <f t="shared" si="254"/>
        <v>0</v>
      </c>
      <c r="BX325" s="57">
        <f t="shared" ref="BX325:BX388" si="278">IF(AND(R325&gt;0,MandRcalc="Asphalting then M&amp;R"),R325*D325,IF(AND(R325&gt;0,MandRcalc="Milling then Repaving"),(R325-BR325)*D325,0))</f>
        <v>0</v>
      </c>
      <c r="BY325" s="57">
        <f t="shared" si="236"/>
        <v>0</v>
      </c>
      <c r="BZ325" s="8">
        <f t="shared" si="255"/>
        <v>0</v>
      </c>
      <c r="CA325" s="8">
        <f t="shared" si="256"/>
        <v>0</v>
      </c>
      <c r="CB325" s="8">
        <f t="shared" si="257"/>
        <v>0</v>
      </c>
      <c r="CC325" s="8">
        <f t="shared" si="258"/>
        <v>0</v>
      </c>
      <c r="CD325" s="8">
        <f t="shared" si="259"/>
        <v>0</v>
      </c>
      <c r="CE325" s="8">
        <f t="shared" si="260"/>
        <v>0</v>
      </c>
      <c r="CF325" s="8">
        <f t="shared" si="261"/>
        <v>0</v>
      </c>
      <c r="CG325" s="8">
        <f t="shared" si="262"/>
        <v>0</v>
      </c>
      <c r="CH325" s="8">
        <f t="shared" si="263"/>
        <v>0</v>
      </c>
      <c r="CI325" s="8">
        <f t="shared" si="264"/>
        <v>0</v>
      </c>
      <c r="CJ325" s="8">
        <f t="shared" si="265"/>
        <v>0</v>
      </c>
      <c r="CK325" s="8">
        <f t="shared" si="266"/>
        <v>0</v>
      </c>
      <c r="CL325" s="8">
        <f t="shared" si="267"/>
        <v>0</v>
      </c>
      <c r="CM325" s="8">
        <f t="shared" si="268"/>
        <v>0</v>
      </c>
      <c r="CN325" s="8">
        <f t="shared" si="269"/>
        <v>0</v>
      </c>
      <c r="CO325" s="8">
        <f t="shared" si="270"/>
        <v>0</v>
      </c>
      <c r="CP325" s="8">
        <f t="shared" si="271"/>
        <v>0</v>
      </c>
      <c r="CQ325" s="8">
        <f t="shared" si="272"/>
        <v>0</v>
      </c>
      <c r="CR325" s="8">
        <f t="shared" si="273"/>
        <v>0</v>
      </c>
      <c r="CS325" s="8">
        <f t="shared" si="274"/>
        <v>0</v>
      </c>
      <c r="CT325" s="8">
        <f t="shared" si="233"/>
        <v>0</v>
      </c>
      <c r="CU325" s="8">
        <f t="shared" si="234"/>
        <v>0</v>
      </c>
      <c r="CV325" s="8">
        <f t="shared" si="235"/>
        <v>0</v>
      </c>
    </row>
    <row r="326" spans="1:100" ht="20.5" thickTop="1" thickBot="1" x14ac:dyDescent="0.5">
      <c r="A326" s="32"/>
      <c r="B326" s="10"/>
      <c r="C326" s="10"/>
      <c r="D326" s="11"/>
      <c r="E326" s="10"/>
      <c r="F326" s="10"/>
      <c r="G326" s="19"/>
      <c r="H326" s="19"/>
      <c r="I326" s="19"/>
      <c r="J326" s="19"/>
      <c r="K326" s="10"/>
      <c r="L326" s="10"/>
      <c r="M326" s="10"/>
      <c r="N326" s="10"/>
      <c r="O326" s="18"/>
      <c r="P326" s="18"/>
      <c r="Q326" s="21"/>
      <c r="R326" s="20"/>
      <c r="S326" s="16">
        <f t="shared" si="237"/>
        <v>0</v>
      </c>
      <c r="T326" s="11"/>
      <c r="AS326" s="31">
        <f t="shared" si="238"/>
        <v>0</v>
      </c>
      <c r="AT326" s="31">
        <f t="shared" si="239"/>
        <v>0</v>
      </c>
      <c r="AU326" s="31">
        <f t="shared" si="240"/>
        <v>0</v>
      </c>
      <c r="AV326" s="31">
        <f t="shared" si="241"/>
        <v>0</v>
      </c>
      <c r="AW326" s="31">
        <f t="shared" si="242"/>
        <v>0</v>
      </c>
      <c r="AX326" s="31">
        <f t="shared" si="243"/>
        <v>0</v>
      </c>
      <c r="AY326" s="31">
        <f t="shared" si="244"/>
        <v>0</v>
      </c>
      <c r="AZ326" s="31">
        <f t="shared" si="245"/>
        <v>0</v>
      </c>
      <c r="BA326" s="31">
        <f t="shared" si="246"/>
        <v>0</v>
      </c>
      <c r="BB326" s="31">
        <f t="shared" si="275"/>
        <v>0</v>
      </c>
      <c r="BM326" s="8">
        <f t="shared" si="276"/>
        <v>0</v>
      </c>
      <c r="BN326" s="8">
        <f t="shared" si="247"/>
        <v>0</v>
      </c>
      <c r="BO326" s="8">
        <f t="shared" si="248"/>
        <v>0</v>
      </c>
      <c r="BQ326" s="8">
        <f t="shared" si="249"/>
        <v>0</v>
      </c>
      <c r="BR326" s="63">
        <f t="shared" si="250"/>
        <v>0</v>
      </c>
      <c r="BS326" s="63">
        <f t="shared" si="277"/>
        <v>0</v>
      </c>
      <c r="BT326" s="63">
        <f t="shared" si="251"/>
        <v>0</v>
      </c>
      <c r="BU326" s="63">
        <f t="shared" si="252"/>
        <v>0</v>
      </c>
      <c r="BV326" s="57">
        <f t="shared" si="253"/>
        <v>0</v>
      </c>
      <c r="BW326" s="57">
        <f t="shared" si="254"/>
        <v>0</v>
      </c>
      <c r="BX326" s="57">
        <f t="shared" si="278"/>
        <v>0</v>
      </c>
      <c r="BY326" s="57">
        <f t="shared" si="236"/>
        <v>0</v>
      </c>
      <c r="BZ326" s="8">
        <f t="shared" si="255"/>
        <v>0</v>
      </c>
      <c r="CA326" s="8">
        <f t="shared" si="256"/>
        <v>0</v>
      </c>
      <c r="CB326" s="8">
        <f t="shared" si="257"/>
        <v>0</v>
      </c>
      <c r="CC326" s="8">
        <f t="shared" si="258"/>
        <v>0</v>
      </c>
      <c r="CD326" s="8">
        <f t="shared" si="259"/>
        <v>0</v>
      </c>
      <c r="CE326" s="8">
        <f t="shared" si="260"/>
        <v>0</v>
      </c>
      <c r="CF326" s="8">
        <f t="shared" si="261"/>
        <v>0</v>
      </c>
      <c r="CG326" s="8">
        <f t="shared" si="262"/>
        <v>0</v>
      </c>
      <c r="CH326" s="8">
        <f t="shared" si="263"/>
        <v>0</v>
      </c>
      <c r="CI326" s="8">
        <f t="shared" si="264"/>
        <v>0</v>
      </c>
      <c r="CJ326" s="8">
        <f t="shared" si="265"/>
        <v>0</v>
      </c>
      <c r="CK326" s="8">
        <f t="shared" si="266"/>
        <v>0</v>
      </c>
      <c r="CL326" s="8">
        <f t="shared" si="267"/>
        <v>0</v>
      </c>
      <c r="CM326" s="8">
        <f t="shared" si="268"/>
        <v>0</v>
      </c>
      <c r="CN326" s="8">
        <f t="shared" si="269"/>
        <v>0</v>
      </c>
      <c r="CO326" s="8">
        <f t="shared" si="270"/>
        <v>0</v>
      </c>
      <c r="CP326" s="8">
        <f t="shared" si="271"/>
        <v>0</v>
      </c>
      <c r="CQ326" s="8">
        <f t="shared" si="272"/>
        <v>0</v>
      </c>
      <c r="CR326" s="8">
        <f t="shared" si="273"/>
        <v>0</v>
      </c>
      <c r="CS326" s="8">
        <f t="shared" si="274"/>
        <v>0</v>
      </c>
      <c r="CT326" s="8">
        <f t="shared" si="233"/>
        <v>0</v>
      </c>
      <c r="CU326" s="8">
        <f t="shared" si="234"/>
        <v>0</v>
      </c>
      <c r="CV326" s="8">
        <f t="shared" si="235"/>
        <v>0</v>
      </c>
    </row>
    <row r="327" spans="1:100" ht="20.5" thickTop="1" thickBot="1" x14ac:dyDescent="0.5">
      <c r="A327" s="32"/>
      <c r="B327" s="10"/>
      <c r="C327" s="10"/>
      <c r="D327" s="11"/>
      <c r="E327" s="10"/>
      <c r="F327" s="10"/>
      <c r="G327" s="19"/>
      <c r="H327" s="19"/>
      <c r="I327" s="19"/>
      <c r="J327" s="19"/>
      <c r="K327" s="10"/>
      <c r="L327" s="10"/>
      <c r="M327" s="10"/>
      <c r="N327" s="10"/>
      <c r="O327" s="18"/>
      <c r="P327" s="18"/>
      <c r="Q327" s="21"/>
      <c r="R327" s="20"/>
      <c r="S327" s="16">
        <f t="shared" si="237"/>
        <v>0</v>
      </c>
      <c r="T327" s="11"/>
      <c r="AS327" s="31">
        <f t="shared" si="238"/>
        <v>0</v>
      </c>
      <c r="AT327" s="31">
        <f t="shared" si="239"/>
        <v>0</v>
      </c>
      <c r="AU327" s="31">
        <f t="shared" si="240"/>
        <v>0</v>
      </c>
      <c r="AV327" s="31">
        <f t="shared" si="241"/>
        <v>0</v>
      </c>
      <c r="AW327" s="31">
        <f t="shared" si="242"/>
        <v>0</v>
      </c>
      <c r="AX327" s="31">
        <f t="shared" si="243"/>
        <v>0</v>
      </c>
      <c r="AY327" s="31">
        <f t="shared" si="244"/>
        <v>0</v>
      </c>
      <c r="AZ327" s="31">
        <f t="shared" si="245"/>
        <v>0</v>
      </c>
      <c r="BA327" s="31">
        <f t="shared" si="246"/>
        <v>0</v>
      </c>
      <c r="BB327" s="31">
        <f t="shared" si="275"/>
        <v>0</v>
      </c>
      <c r="BM327" s="8">
        <f t="shared" si="276"/>
        <v>0</v>
      </c>
      <c r="BN327" s="8">
        <f t="shared" si="247"/>
        <v>0</v>
      </c>
      <c r="BO327" s="8">
        <f t="shared" si="248"/>
        <v>0</v>
      </c>
      <c r="BQ327" s="8">
        <f t="shared" si="249"/>
        <v>0</v>
      </c>
      <c r="BR327" s="63">
        <f t="shared" si="250"/>
        <v>0</v>
      </c>
      <c r="BS327" s="63">
        <f t="shared" si="277"/>
        <v>0</v>
      </c>
      <c r="BT327" s="63">
        <f t="shared" si="251"/>
        <v>0</v>
      </c>
      <c r="BU327" s="63">
        <f t="shared" si="252"/>
        <v>0</v>
      </c>
      <c r="BV327" s="57">
        <f t="shared" si="253"/>
        <v>0</v>
      </c>
      <c r="BW327" s="57">
        <f t="shared" si="254"/>
        <v>0</v>
      </c>
      <c r="BX327" s="57">
        <f t="shared" si="278"/>
        <v>0</v>
      </c>
      <c r="BY327" s="57">
        <f t="shared" si="236"/>
        <v>0</v>
      </c>
      <c r="BZ327" s="8">
        <f t="shared" si="255"/>
        <v>0</v>
      </c>
      <c r="CA327" s="8">
        <f t="shared" si="256"/>
        <v>0</v>
      </c>
      <c r="CB327" s="8">
        <f t="shared" si="257"/>
        <v>0</v>
      </c>
      <c r="CC327" s="8">
        <f t="shared" si="258"/>
        <v>0</v>
      </c>
      <c r="CD327" s="8">
        <f t="shared" si="259"/>
        <v>0</v>
      </c>
      <c r="CE327" s="8">
        <f t="shared" si="260"/>
        <v>0</v>
      </c>
      <c r="CF327" s="8">
        <f t="shared" si="261"/>
        <v>0</v>
      </c>
      <c r="CG327" s="8">
        <f t="shared" si="262"/>
        <v>0</v>
      </c>
      <c r="CH327" s="8">
        <f t="shared" si="263"/>
        <v>0</v>
      </c>
      <c r="CI327" s="8">
        <f t="shared" si="264"/>
        <v>0</v>
      </c>
      <c r="CJ327" s="8">
        <f t="shared" si="265"/>
        <v>0</v>
      </c>
      <c r="CK327" s="8">
        <f t="shared" si="266"/>
        <v>0</v>
      </c>
      <c r="CL327" s="8">
        <f t="shared" si="267"/>
        <v>0</v>
      </c>
      <c r="CM327" s="8">
        <f t="shared" si="268"/>
        <v>0</v>
      </c>
      <c r="CN327" s="8">
        <f t="shared" si="269"/>
        <v>0</v>
      </c>
      <c r="CO327" s="8">
        <f t="shared" si="270"/>
        <v>0</v>
      </c>
      <c r="CP327" s="8">
        <f t="shared" si="271"/>
        <v>0</v>
      </c>
      <c r="CQ327" s="8">
        <f t="shared" si="272"/>
        <v>0</v>
      </c>
      <c r="CR327" s="8">
        <f t="shared" si="273"/>
        <v>0</v>
      </c>
      <c r="CS327" s="8">
        <f t="shared" si="274"/>
        <v>0</v>
      </c>
      <c r="CT327" s="8">
        <f t="shared" si="233"/>
        <v>0</v>
      </c>
      <c r="CU327" s="8">
        <f t="shared" si="234"/>
        <v>0</v>
      </c>
      <c r="CV327" s="8">
        <f t="shared" si="235"/>
        <v>0</v>
      </c>
    </row>
    <row r="328" spans="1:100" ht="20.5" thickTop="1" thickBot="1" x14ac:dyDescent="0.5">
      <c r="A328" s="32"/>
      <c r="B328" s="10"/>
      <c r="C328" s="10"/>
      <c r="D328" s="11"/>
      <c r="E328" s="10"/>
      <c r="F328" s="10"/>
      <c r="G328" s="19"/>
      <c r="H328" s="19"/>
      <c r="I328" s="19"/>
      <c r="J328" s="19"/>
      <c r="K328" s="10"/>
      <c r="L328" s="10"/>
      <c r="M328" s="10"/>
      <c r="N328" s="10"/>
      <c r="O328" s="18"/>
      <c r="P328" s="18"/>
      <c r="Q328" s="21"/>
      <c r="R328" s="20"/>
      <c r="S328" s="16">
        <f t="shared" si="237"/>
        <v>0</v>
      </c>
      <c r="T328" s="11"/>
      <c r="AS328" s="31">
        <f t="shared" si="238"/>
        <v>0</v>
      </c>
      <c r="AT328" s="31">
        <f t="shared" si="239"/>
        <v>0</v>
      </c>
      <c r="AU328" s="31">
        <f t="shared" si="240"/>
        <v>0</v>
      </c>
      <c r="AV328" s="31">
        <f t="shared" si="241"/>
        <v>0</v>
      </c>
      <c r="AW328" s="31">
        <f t="shared" si="242"/>
        <v>0</v>
      </c>
      <c r="AX328" s="31">
        <f t="shared" si="243"/>
        <v>0</v>
      </c>
      <c r="AY328" s="31">
        <f t="shared" si="244"/>
        <v>0</v>
      </c>
      <c r="AZ328" s="31">
        <f t="shared" si="245"/>
        <v>0</v>
      </c>
      <c r="BA328" s="31">
        <f t="shared" si="246"/>
        <v>0</v>
      </c>
      <c r="BB328" s="31">
        <f t="shared" si="275"/>
        <v>0</v>
      </c>
      <c r="BM328" s="8">
        <f t="shared" si="276"/>
        <v>0</v>
      </c>
      <c r="BN328" s="8">
        <f t="shared" si="247"/>
        <v>0</v>
      </c>
      <c r="BO328" s="8">
        <f t="shared" si="248"/>
        <v>0</v>
      </c>
      <c r="BQ328" s="8">
        <f t="shared" si="249"/>
        <v>0</v>
      </c>
      <c r="BR328" s="63">
        <f t="shared" si="250"/>
        <v>0</v>
      </c>
      <c r="BS328" s="63">
        <f t="shared" si="277"/>
        <v>0</v>
      </c>
      <c r="BT328" s="63">
        <f t="shared" si="251"/>
        <v>0</v>
      </c>
      <c r="BU328" s="63">
        <f t="shared" si="252"/>
        <v>0</v>
      </c>
      <c r="BV328" s="57">
        <f t="shared" si="253"/>
        <v>0</v>
      </c>
      <c r="BW328" s="57">
        <f t="shared" si="254"/>
        <v>0</v>
      </c>
      <c r="BX328" s="57">
        <f t="shared" si="278"/>
        <v>0</v>
      </c>
      <c r="BY328" s="57">
        <f t="shared" si="236"/>
        <v>0</v>
      </c>
      <c r="BZ328" s="8">
        <f t="shared" si="255"/>
        <v>0</v>
      </c>
      <c r="CA328" s="8">
        <f t="shared" si="256"/>
        <v>0</v>
      </c>
      <c r="CB328" s="8">
        <f t="shared" si="257"/>
        <v>0</v>
      </c>
      <c r="CC328" s="8">
        <f t="shared" si="258"/>
        <v>0</v>
      </c>
      <c r="CD328" s="8">
        <f t="shared" si="259"/>
        <v>0</v>
      </c>
      <c r="CE328" s="8">
        <f t="shared" si="260"/>
        <v>0</v>
      </c>
      <c r="CF328" s="8">
        <f t="shared" si="261"/>
        <v>0</v>
      </c>
      <c r="CG328" s="8">
        <f t="shared" si="262"/>
        <v>0</v>
      </c>
      <c r="CH328" s="8">
        <f t="shared" si="263"/>
        <v>0</v>
      </c>
      <c r="CI328" s="8">
        <f t="shared" si="264"/>
        <v>0</v>
      </c>
      <c r="CJ328" s="8">
        <f t="shared" si="265"/>
        <v>0</v>
      </c>
      <c r="CK328" s="8">
        <f t="shared" si="266"/>
        <v>0</v>
      </c>
      <c r="CL328" s="8">
        <f t="shared" si="267"/>
        <v>0</v>
      </c>
      <c r="CM328" s="8">
        <f t="shared" si="268"/>
        <v>0</v>
      </c>
      <c r="CN328" s="8">
        <f t="shared" si="269"/>
        <v>0</v>
      </c>
      <c r="CO328" s="8">
        <f t="shared" si="270"/>
        <v>0</v>
      </c>
      <c r="CP328" s="8">
        <f t="shared" si="271"/>
        <v>0</v>
      </c>
      <c r="CQ328" s="8">
        <f t="shared" si="272"/>
        <v>0</v>
      </c>
      <c r="CR328" s="8">
        <f t="shared" si="273"/>
        <v>0</v>
      </c>
      <c r="CS328" s="8">
        <f t="shared" si="274"/>
        <v>0</v>
      </c>
      <c r="CT328" s="8">
        <f t="shared" si="233"/>
        <v>0</v>
      </c>
      <c r="CU328" s="8">
        <f t="shared" si="234"/>
        <v>0</v>
      </c>
      <c r="CV328" s="8">
        <f t="shared" si="235"/>
        <v>0</v>
      </c>
    </row>
    <row r="329" spans="1:100" ht="20.5" thickTop="1" thickBot="1" x14ac:dyDescent="0.5">
      <c r="A329" s="32"/>
      <c r="B329" s="10"/>
      <c r="C329" s="10"/>
      <c r="D329" s="11"/>
      <c r="E329" s="10"/>
      <c r="F329" s="10"/>
      <c r="G329" s="19"/>
      <c r="H329" s="19"/>
      <c r="I329" s="19"/>
      <c r="J329" s="19"/>
      <c r="K329" s="10"/>
      <c r="L329" s="10"/>
      <c r="M329" s="10"/>
      <c r="N329" s="10"/>
      <c r="O329" s="18"/>
      <c r="P329" s="18"/>
      <c r="Q329" s="21"/>
      <c r="R329" s="20"/>
      <c r="S329" s="16">
        <f t="shared" si="237"/>
        <v>0</v>
      </c>
      <c r="T329" s="11"/>
      <c r="AS329" s="31">
        <f t="shared" si="238"/>
        <v>0</v>
      </c>
      <c r="AT329" s="31">
        <f t="shared" si="239"/>
        <v>0</v>
      </c>
      <c r="AU329" s="31">
        <f t="shared" si="240"/>
        <v>0</v>
      </c>
      <c r="AV329" s="31">
        <f t="shared" si="241"/>
        <v>0</v>
      </c>
      <c r="AW329" s="31">
        <f t="shared" si="242"/>
        <v>0</v>
      </c>
      <c r="AX329" s="31">
        <f t="shared" si="243"/>
        <v>0</v>
      </c>
      <c r="AY329" s="31">
        <f t="shared" si="244"/>
        <v>0</v>
      </c>
      <c r="AZ329" s="31">
        <f t="shared" si="245"/>
        <v>0</v>
      </c>
      <c r="BA329" s="31">
        <f t="shared" si="246"/>
        <v>0</v>
      </c>
      <c r="BB329" s="31">
        <f t="shared" si="275"/>
        <v>0</v>
      </c>
      <c r="BM329" s="8">
        <f t="shared" si="276"/>
        <v>0</v>
      </c>
      <c r="BN329" s="8">
        <f t="shared" si="247"/>
        <v>0</v>
      </c>
      <c r="BO329" s="8">
        <f t="shared" si="248"/>
        <v>0</v>
      </c>
      <c r="BQ329" s="8">
        <f t="shared" si="249"/>
        <v>0</v>
      </c>
      <c r="BR329" s="63">
        <f t="shared" si="250"/>
        <v>0</v>
      </c>
      <c r="BS329" s="63">
        <f t="shared" si="277"/>
        <v>0</v>
      </c>
      <c r="BT329" s="63">
        <f t="shared" si="251"/>
        <v>0</v>
      </c>
      <c r="BU329" s="63">
        <f t="shared" si="252"/>
        <v>0</v>
      </c>
      <c r="BV329" s="57">
        <f t="shared" si="253"/>
        <v>0</v>
      </c>
      <c r="BW329" s="57">
        <f t="shared" si="254"/>
        <v>0</v>
      </c>
      <c r="BX329" s="57">
        <f t="shared" si="278"/>
        <v>0</v>
      </c>
      <c r="BY329" s="57">
        <f t="shared" si="236"/>
        <v>0</v>
      </c>
      <c r="BZ329" s="8">
        <f t="shared" si="255"/>
        <v>0</v>
      </c>
      <c r="CA329" s="8">
        <f t="shared" si="256"/>
        <v>0</v>
      </c>
      <c r="CB329" s="8">
        <f t="shared" si="257"/>
        <v>0</v>
      </c>
      <c r="CC329" s="8">
        <f t="shared" si="258"/>
        <v>0</v>
      </c>
      <c r="CD329" s="8">
        <f t="shared" si="259"/>
        <v>0</v>
      </c>
      <c r="CE329" s="8">
        <f t="shared" si="260"/>
        <v>0</v>
      </c>
      <c r="CF329" s="8">
        <f t="shared" si="261"/>
        <v>0</v>
      </c>
      <c r="CG329" s="8">
        <f t="shared" si="262"/>
        <v>0</v>
      </c>
      <c r="CH329" s="8">
        <f t="shared" si="263"/>
        <v>0</v>
      </c>
      <c r="CI329" s="8">
        <f t="shared" si="264"/>
        <v>0</v>
      </c>
      <c r="CJ329" s="8">
        <f t="shared" si="265"/>
        <v>0</v>
      </c>
      <c r="CK329" s="8">
        <f t="shared" si="266"/>
        <v>0</v>
      </c>
      <c r="CL329" s="8">
        <f t="shared" si="267"/>
        <v>0</v>
      </c>
      <c r="CM329" s="8">
        <f t="shared" si="268"/>
        <v>0</v>
      </c>
      <c r="CN329" s="8">
        <f t="shared" si="269"/>
        <v>0</v>
      </c>
      <c r="CO329" s="8">
        <f t="shared" si="270"/>
        <v>0</v>
      </c>
      <c r="CP329" s="8">
        <f t="shared" si="271"/>
        <v>0</v>
      </c>
      <c r="CQ329" s="8">
        <f t="shared" si="272"/>
        <v>0</v>
      </c>
      <c r="CR329" s="8">
        <f t="shared" si="273"/>
        <v>0</v>
      </c>
      <c r="CS329" s="8">
        <f t="shared" si="274"/>
        <v>0</v>
      </c>
      <c r="CT329" s="8">
        <f t="shared" si="233"/>
        <v>0</v>
      </c>
      <c r="CU329" s="8">
        <f t="shared" si="234"/>
        <v>0</v>
      </c>
      <c r="CV329" s="8">
        <f t="shared" si="235"/>
        <v>0</v>
      </c>
    </row>
    <row r="330" spans="1:100" ht="20.5" thickTop="1" thickBot="1" x14ac:dyDescent="0.5">
      <c r="A330" s="32"/>
      <c r="B330" s="10"/>
      <c r="C330" s="10"/>
      <c r="D330" s="11"/>
      <c r="E330" s="10"/>
      <c r="F330" s="10"/>
      <c r="G330" s="19"/>
      <c r="H330" s="19"/>
      <c r="I330" s="19"/>
      <c r="J330" s="19"/>
      <c r="K330" s="10"/>
      <c r="L330" s="10"/>
      <c r="M330" s="10"/>
      <c r="N330" s="10"/>
      <c r="O330" s="18"/>
      <c r="P330" s="18"/>
      <c r="Q330" s="21"/>
      <c r="R330" s="20"/>
      <c r="S330" s="16">
        <f t="shared" si="237"/>
        <v>0</v>
      </c>
      <c r="T330" s="11"/>
      <c r="AS330" s="31">
        <f t="shared" si="238"/>
        <v>0</v>
      </c>
      <c r="AT330" s="31">
        <f t="shared" si="239"/>
        <v>0</v>
      </c>
      <c r="AU330" s="31">
        <f t="shared" si="240"/>
        <v>0</v>
      </c>
      <c r="AV330" s="31">
        <f t="shared" si="241"/>
        <v>0</v>
      </c>
      <c r="AW330" s="31">
        <f t="shared" si="242"/>
        <v>0</v>
      </c>
      <c r="AX330" s="31">
        <f t="shared" si="243"/>
        <v>0</v>
      </c>
      <c r="AY330" s="31">
        <f t="shared" si="244"/>
        <v>0</v>
      </c>
      <c r="AZ330" s="31">
        <f t="shared" si="245"/>
        <v>0</v>
      </c>
      <c r="BA330" s="31">
        <f t="shared" si="246"/>
        <v>0</v>
      </c>
      <c r="BB330" s="31">
        <f t="shared" si="275"/>
        <v>0</v>
      </c>
      <c r="BM330" s="8">
        <f t="shared" si="276"/>
        <v>0</v>
      </c>
      <c r="BN330" s="8">
        <f t="shared" si="247"/>
        <v>0</v>
      </c>
      <c r="BO330" s="8">
        <f t="shared" si="248"/>
        <v>0</v>
      </c>
      <c r="BQ330" s="8">
        <f t="shared" si="249"/>
        <v>0</v>
      </c>
      <c r="BR330" s="63">
        <f t="shared" si="250"/>
        <v>0</v>
      </c>
      <c r="BS330" s="63">
        <f t="shared" si="277"/>
        <v>0</v>
      </c>
      <c r="BT330" s="63">
        <f t="shared" si="251"/>
        <v>0</v>
      </c>
      <c r="BU330" s="63">
        <f t="shared" si="252"/>
        <v>0</v>
      </c>
      <c r="BV330" s="57">
        <f t="shared" si="253"/>
        <v>0</v>
      </c>
      <c r="BW330" s="57">
        <f t="shared" si="254"/>
        <v>0</v>
      </c>
      <c r="BX330" s="57">
        <f t="shared" si="278"/>
        <v>0</v>
      </c>
      <c r="BY330" s="57">
        <f t="shared" si="236"/>
        <v>0</v>
      </c>
      <c r="BZ330" s="8">
        <f t="shared" si="255"/>
        <v>0</v>
      </c>
      <c r="CA330" s="8">
        <f t="shared" si="256"/>
        <v>0</v>
      </c>
      <c r="CB330" s="8">
        <f t="shared" si="257"/>
        <v>0</v>
      </c>
      <c r="CC330" s="8">
        <f t="shared" si="258"/>
        <v>0</v>
      </c>
      <c r="CD330" s="8">
        <f t="shared" si="259"/>
        <v>0</v>
      </c>
      <c r="CE330" s="8">
        <f t="shared" si="260"/>
        <v>0</v>
      </c>
      <c r="CF330" s="8">
        <f t="shared" si="261"/>
        <v>0</v>
      </c>
      <c r="CG330" s="8">
        <f t="shared" si="262"/>
        <v>0</v>
      </c>
      <c r="CH330" s="8">
        <f t="shared" si="263"/>
        <v>0</v>
      </c>
      <c r="CI330" s="8">
        <f t="shared" si="264"/>
        <v>0</v>
      </c>
      <c r="CJ330" s="8">
        <f t="shared" si="265"/>
        <v>0</v>
      </c>
      <c r="CK330" s="8">
        <f t="shared" si="266"/>
        <v>0</v>
      </c>
      <c r="CL330" s="8">
        <f t="shared" si="267"/>
        <v>0</v>
      </c>
      <c r="CM330" s="8">
        <f t="shared" si="268"/>
        <v>0</v>
      </c>
      <c r="CN330" s="8">
        <f t="shared" si="269"/>
        <v>0</v>
      </c>
      <c r="CO330" s="8">
        <f t="shared" si="270"/>
        <v>0</v>
      </c>
      <c r="CP330" s="8">
        <f t="shared" si="271"/>
        <v>0</v>
      </c>
      <c r="CQ330" s="8">
        <f t="shared" si="272"/>
        <v>0</v>
      </c>
      <c r="CR330" s="8">
        <f t="shared" si="273"/>
        <v>0</v>
      </c>
      <c r="CS330" s="8">
        <f t="shared" si="274"/>
        <v>0</v>
      </c>
      <c r="CT330" s="8">
        <f t="shared" si="233"/>
        <v>0</v>
      </c>
      <c r="CU330" s="8">
        <f t="shared" si="234"/>
        <v>0</v>
      </c>
      <c r="CV330" s="8">
        <f t="shared" si="235"/>
        <v>0</v>
      </c>
    </row>
    <row r="331" spans="1:100" ht="20.5" thickTop="1" thickBot="1" x14ac:dyDescent="0.5">
      <c r="A331" s="32"/>
      <c r="B331" s="10"/>
      <c r="C331" s="10"/>
      <c r="D331" s="11"/>
      <c r="E331" s="10"/>
      <c r="F331" s="10"/>
      <c r="G331" s="19"/>
      <c r="H331" s="19"/>
      <c r="I331" s="19"/>
      <c r="J331" s="19"/>
      <c r="K331" s="10"/>
      <c r="L331" s="10"/>
      <c r="M331" s="10"/>
      <c r="N331" s="10"/>
      <c r="O331" s="18"/>
      <c r="P331" s="18"/>
      <c r="Q331" s="21"/>
      <c r="R331" s="20"/>
      <c r="S331" s="16">
        <f t="shared" si="237"/>
        <v>0</v>
      </c>
      <c r="T331" s="11"/>
      <c r="AS331" s="31">
        <f t="shared" si="238"/>
        <v>0</v>
      </c>
      <c r="AT331" s="31">
        <f t="shared" si="239"/>
        <v>0</v>
      </c>
      <c r="AU331" s="31">
        <f t="shared" si="240"/>
        <v>0</v>
      </c>
      <c r="AV331" s="31">
        <f t="shared" si="241"/>
        <v>0</v>
      </c>
      <c r="AW331" s="31">
        <f t="shared" si="242"/>
        <v>0</v>
      </c>
      <c r="AX331" s="31">
        <f t="shared" si="243"/>
        <v>0</v>
      </c>
      <c r="AY331" s="31">
        <f t="shared" si="244"/>
        <v>0</v>
      </c>
      <c r="AZ331" s="31">
        <f t="shared" si="245"/>
        <v>0</v>
      </c>
      <c r="BA331" s="31">
        <f t="shared" si="246"/>
        <v>0</v>
      </c>
      <c r="BB331" s="31">
        <f t="shared" si="275"/>
        <v>0</v>
      </c>
      <c r="BM331" s="8">
        <f t="shared" si="276"/>
        <v>0</v>
      </c>
      <c r="BN331" s="8">
        <f t="shared" si="247"/>
        <v>0</v>
      </c>
      <c r="BO331" s="8">
        <f t="shared" si="248"/>
        <v>0</v>
      </c>
      <c r="BQ331" s="8">
        <f t="shared" si="249"/>
        <v>0</v>
      </c>
      <c r="BR331" s="63">
        <f t="shared" si="250"/>
        <v>0</v>
      </c>
      <c r="BS331" s="63">
        <f t="shared" si="277"/>
        <v>0</v>
      </c>
      <c r="BT331" s="63">
        <f t="shared" si="251"/>
        <v>0</v>
      </c>
      <c r="BU331" s="63">
        <f t="shared" si="252"/>
        <v>0</v>
      </c>
      <c r="BV331" s="57">
        <f t="shared" si="253"/>
        <v>0</v>
      </c>
      <c r="BW331" s="57">
        <f t="shared" si="254"/>
        <v>0</v>
      </c>
      <c r="BX331" s="57">
        <f t="shared" si="278"/>
        <v>0</v>
      </c>
      <c r="BY331" s="57">
        <f t="shared" si="236"/>
        <v>0</v>
      </c>
      <c r="BZ331" s="8">
        <f t="shared" si="255"/>
        <v>0</v>
      </c>
      <c r="CA331" s="8">
        <f t="shared" si="256"/>
        <v>0</v>
      </c>
      <c r="CB331" s="8">
        <f t="shared" si="257"/>
        <v>0</v>
      </c>
      <c r="CC331" s="8">
        <f t="shared" si="258"/>
        <v>0</v>
      </c>
      <c r="CD331" s="8">
        <f t="shared" si="259"/>
        <v>0</v>
      </c>
      <c r="CE331" s="8">
        <f t="shared" si="260"/>
        <v>0</v>
      </c>
      <c r="CF331" s="8">
        <f t="shared" si="261"/>
        <v>0</v>
      </c>
      <c r="CG331" s="8">
        <f t="shared" si="262"/>
        <v>0</v>
      </c>
      <c r="CH331" s="8">
        <f t="shared" si="263"/>
        <v>0</v>
      </c>
      <c r="CI331" s="8">
        <f t="shared" si="264"/>
        <v>0</v>
      </c>
      <c r="CJ331" s="8">
        <f t="shared" si="265"/>
        <v>0</v>
      </c>
      <c r="CK331" s="8">
        <f t="shared" si="266"/>
        <v>0</v>
      </c>
      <c r="CL331" s="8">
        <f t="shared" si="267"/>
        <v>0</v>
      </c>
      <c r="CM331" s="8">
        <f t="shared" si="268"/>
        <v>0</v>
      </c>
      <c r="CN331" s="8">
        <f t="shared" si="269"/>
        <v>0</v>
      </c>
      <c r="CO331" s="8">
        <f t="shared" si="270"/>
        <v>0</v>
      </c>
      <c r="CP331" s="8">
        <f t="shared" si="271"/>
        <v>0</v>
      </c>
      <c r="CQ331" s="8">
        <f t="shared" si="272"/>
        <v>0</v>
      </c>
      <c r="CR331" s="8">
        <f t="shared" si="273"/>
        <v>0</v>
      </c>
      <c r="CS331" s="8">
        <f t="shared" si="274"/>
        <v>0</v>
      </c>
      <c r="CT331" s="8">
        <f t="shared" si="233"/>
        <v>0</v>
      </c>
      <c r="CU331" s="8">
        <f t="shared" si="234"/>
        <v>0</v>
      </c>
      <c r="CV331" s="8">
        <f t="shared" si="235"/>
        <v>0</v>
      </c>
    </row>
    <row r="332" spans="1:100" ht="20.5" thickTop="1" thickBot="1" x14ac:dyDescent="0.5">
      <c r="A332" s="32"/>
      <c r="B332" s="10"/>
      <c r="C332" s="10"/>
      <c r="D332" s="11"/>
      <c r="E332" s="10"/>
      <c r="F332" s="10"/>
      <c r="G332" s="19"/>
      <c r="H332" s="19"/>
      <c r="I332" s="19"/>
      <c r="J332" s="19"/>
      <c r="K332" s="10"/>
      <c r="L332" s="10"/>
      <c r="M332" s="10"/>
      <c r="N332" s="10"/>
      <c r="O332" s="18"/>
      <c r="P332" s="18"/>
      <c r="Q332" s="21"/>
      <c r="R332" s="20"/>
      <c r="S332" s="16">
        <f t="shared" si="237"/>
        <v>0</v>
      </c>
      <c r="T332" s="11"/>
      <c r="AS332" s="31">
        <f t="shared" si="238"/>
        <v>0</v>
      </c>
      <c r="AT332" s="31">
        <f t="shared" si="239"/>
        <v>0</v>
      </c>
      <c r="AU332" s="31">
        <f t="shared" si="240"/>
        <v>0</v>
      </c>
      <c r="AV332" s="31">
        <f t="shared" si="241"/>
        <v>0</v>
      </c>
      <c r="AW332" s="31">
        <f t="shared" si="242"/>
        <v>0</v>
      </c>
      <c r="AX332" s="31">
        <f t="shared" si="243"/>
        <v>0</v>
      </c>
      <c r="AY332" s="31">
        <f t="shared" si="244"/>
        <v>0</v>
      </c>
      <c r="AZ332" s="31">
        <f t="shared" si="245"/>
        <v>0</v>
      </c>
      <c r="BA332" s="31">
        <f t="shared" si="246"/>
        <v>0</v>
      </c>
      <c r="BB332" s="31">
        <f t="shared" si="275"/>
        <v>0</v>
      </c>
      <c r="BM332" s="8">
        <f t="shared" si="276"/>
        <v>0</v>
      </c>
      <c r="BN332" s="8">
        <f t="shared" si="247"/>
        <v>0</v>
      </c>
      <c r="BO332" s="8">
        <f t="shared" si="248"/>
        <v>0</v>
      </c>
      <c r="BQ332" s="8">
        <f t="shared" si="249"/>
        <v>0</v>
      </c>
      <c r="BR332" s="63">
        <f t="shared" si="250"/>
        <v>0</v>
      </c>
      <c r="BS332" s="63">
        <f t="shared" si="277"/>
        <v>0</v>
      </c>
      <c r="BT332" s="63">
        <f t="shared" si="251"/>
        <v>0</v>
      </c>
      <c r="BU332" s="63">
        <f t="shared" si="252"/>
        <v>0</v>
      </c>
      <c r="BV332" s="57">
        <f t="shared" si="253"/>
        <v>0</v>
      </c>
      <c r="BW332" s="57">
        <f t="shared" si="254"/>
        <v>0</v>
      </c>
      <c r="BX332" s="57">
        <f t="shared" si="278"/>
        <v>0</v>
      </c>
      <c r="BY332" s="57">
        <f t="shared" si="236"/>
        <v>0</v>
      </c>
      <c r="BZ332" s="8">
        <f t="shared" si="255"/>
        <v>0</v>
      </c>
      <c r="CA332" s="8">
        <f t="shared" si="256"/>
        <v>0</v>
      </c>
      <c r="CB332" s="8">
        <f t="shared" si="257"/>
        <v>0</v>
      </c>
      <c r="CC332" s="8">
        <f t="shared" si="258"/>
        <v>0</v>
      </c>
      <c r="CD332" s="8">
        <f t="shared" si="259"/>
        <v>0</v>
      </c>
      <c r="CE332" s="8">
        <f t="shared" si="260"/>
        <v>0</v>
      </c>
      <c r="CF332" s="8">
        <f t="shared" si="261"/>
        <v>0</v>
      </c>
      <c r="CG332" s="8">
        <f t="shared" si="262"/>
        <v>0</v>
      </c>
      <c r="CH332" s="8">
        <f t="shared" si="263"/>
        <v>0</v>
      </c>
      <c r="CI332" s="8">
        <f t="shared" si="264"/>
        <v>0</v>
      </c>
      <c r="CJ332" s="8">
        <f t="shared" si="265"/>
        <v>0</v>
      </c>
      <c r="CK332" s="8">
        <f t="shared" si="266"/>
        <v>0</v>
      </c>
      <c r="CL332" s="8">
        <f t="shared" si="267"/>
        <v>0</v>
      </c>
      <c r="CM332" s="8">
        <f t="shared" si="268"/>
        <v>0</v>
      </c>
      <c r="CN332" s="8">
        <f t="shared" si="269"/>
        <v>0</v>
      </c>
      <c r="CO332" s="8">
        <f t="shared" si="270"/>
        <v>0</v>
      </c>
      <c r="CP332" s="8">
        <f t="shared" si="271"/>
        <v>0</v>
      </c>
      <c r="CQ332" s="8">
        <f t="shared" si="272"/>
        <v>0</v>
      </c>
      <c r="CR332" s="8">
        <f t="shared" si="273"/>
        <v>0</v>
      </c>
      <c r="CS332" s="8">
        <f t="shared" si="274"/>
        <v>0</v>
      </c>
      <c r="CT332" s="8">
        <f t="shared" si="233"/>
        <v>0</v>
      </c>
      <c r="CU332" s="8">
        <f t="shared" si="234"/>
        <v>0</v>
      </c>
      <c r="CV332" s="8">
        <f t="shared" si="235"/>
        <v>0</v>
      </c>
    </row>
    <row r="333" spans="1:100" ht="20.5" thickTop="1" thickBot="1" x14ac:dyDescent="0.5">
      <c r="A333" s="32"/>
      <c r="B333" s="10"/>
      <c r="C333" s="10"/>
      <c r="D333" s="11"/>
      <c r="E333" s="10"/>
      <c r="F333" s="10"/>
      <c r="G333" s="19"/>
      <c r="H333" s="19"/>
      <c r="I333" s="19"/>
      <c r="J333" s="19"/>
      <c r="K333" s="10"/>
      <c r="L333" s="10"/>
      <c r="M333" s="10"/>
      <c r="N333" s="10"/>
      <c r="O333" s="18"/>
      <c r="P333" s="18"/>
      <c r="Q333" s="21"/>
      <c r="R333" s="20"/>
      <c r="S333" s="16">
        <f t="shared" si="237"/>
        <v>0</v>
      </c>
      <c r="T333" s="11"/>
      <c r="AS333" s="31">
        <f t="shared" si="238"/>
        <v>0</v>
      </c>
      <c r="AT333" s="31">
        <f t="shared" si="239"/>
        <v>0</v>
      </c>
      <c r="AU333" s="31">
        <f t="shared" si="240"/>
        <v>0</v>
      </c>
      <c r="AV333" s="31">
        <f t="shared" si="241"/>
        <v>0</v>
      </c>
      <c r="AW333" s="31">
        <f t="shared" si="242"/>
        <v>0</v>
      </c>
      <c r="AX333" s="31">
        <f t="shared" si="243"/>
        <v>0</v>
      </c>
      <c r="AY333" s="31">
        <f t="shared" si="244"/>
        <v>0</v>
      </c>
      <c r="AZ333" s="31">
        <f t="shared" si="245"/>
        <v>0</v>
      </c>
      <c r="BA333" s="31">
        <f t="shared" si="246"/>
        <v>0</v>
      </c>
      <c r="BB333" s="31">
        <f t="shared" si="275"/>
        <v>0</v>
      </c>
      <c r="BM333" s="8">
        <f t="shared" si="276"/>
        <v>0</v>
      </c>
      <c r="BN333" s="8">
        <f t="shared" si="247"/>
        <v>0</v>
      </c>
      <c r="BO333" s="8">
        <f t="shared" si="248"/>
        <v>0</v>
      </c>
      <c r="BQ333" s="8">
        <f t="shared" si="249"/>
        <v>0</v>
      </c>
      <c r="BR333" s="63">
        <f t="shared" si="250"/>
        <v>0</v>
      </c>
      <c r="BS333" s="63">
        <f t="shared" si="277"/>
        <v>0</v>
      </c>
      <c r="BT333" s="63">
        <f t="shared" si="251"/>
        <v>0</v>
      </c>
      <c r="BU333" s="63">
        <f t="shared" si="252"/>
        <v>0</v>
      </c>
      <c r="BV333" s="57">
        <f t="shared" si="253"/>
        <v>0</v>
      </c>
      <c r="BW333" s="57">
        <f t="shared" si="254"/>
        <v>0</v>
      </c>
      <c r="BX333" s="57">
        <f t="shared" si="278"/>
        <v>0</v>
      </c>
      <c r="BY333" s="57">
        <f t="shared" si="236"/>
        <v>0</v>
      </c>
      <c r="BZ333" s="8">
        <f t="shared" si="255"/>
        <v>0</v>
      </c>
      <c r="CA333" s="8">
        <f t="shared" si="256"/>
        <v>0</v>
      </c>
      <c r="CB333" s="8">
        <f t="shared" si="257"/>
        <v>0</v>
      </c>
      <c r="CC333" s="8">
        <f t="shared" si="258"/>
        <v>0</v>
      </c>
      <c r="CD333" s="8">
        <f t="shared" si="259"/>
        <v>0</v>
      </c>
      <c r="CE333" s="8">
        <f t="shared" si="260"/>
        <v>0</v>
      </c>
      <c r="CF333" s="8">
        <f t="shared" si="261"/>
        <v>0</v>
      </c>
      <c r="CG333" s="8">
        <f t="shared" si="262"/>
        <v>0</v>
      </c>
      <c r="CH333" s="8">
        <f t="shared" si="263"/>
        <v>0</v>
      </c>
      <c r="CI333" s="8">
        <f t="shared" si="264"/>
        <v>0</v>
      </c>
      <c r="CJ333" s="8">
        <f t="shared" si="265"/>
        <v>0</v>
      </c>
      <c r="CK333" s="8">
        <f t="shared" si="266"/>
        <v>0</v>
      </c>
      <c r="CL333" s="8">
        <f t="shared" si="267"/>
        <v>0</v>
      </c>
      <c r="CM333" s="8">
        <f t="shared" si="268"/>
        <v>0</v>
      </c>
      <c r="CN333" s="8">
        <f t="shared" si="269"/>
        <v>0</v>
      </c>
      <c r="CO333" s="8">
        <f t="shared" si="270"/>
        <v>0</v>
      </c>
      <c r="CP333" s="8">
        <f t="shared" si="271"/>
        <v>0</v>
      </c>
      <c r="CQ333" s="8">
        <f t="shared" si="272"/>
        <v>0</v>
      </c>
      <c r="CR333" s="8">
        <f t="shared" si="273"/>
        <v>0</v>
      </c>
      <c r="CS333" s="8">
        <f t="shared" si="274"/>
        <v>0</v>
      </c>
      <c r="CT333" s="8">
        <f t="shared" ref="CT333:CT396" si="279">IF(AND(J333&gt;0,OR(B333="MB",B333="new MB")),J333,0)*4+IF(AND(J333&gt;0,OR(C333="MB",C333="new MB")),J333,0)*4</f>
        <v>0</v>
      </c>
      <c r="CU333" s="8">
        <f t="shared" ref="CU333:CU396" si="280">IF(AND(I333&gt;0,OR(B333="MB",B333="new MB")),I333,0)*4+IF(AND(I333&gt;0,OR(C333="MB",C333="new MB")),I333,0)*4</f>
        <v>0</v>
      </c>
      <c r="CV333" s="8">
        <f t="shared" ref="CV333:CV396" si="281">IF(AND(H333&gt;0,OR(B333="MB",B333="new MB")),H333,0)*4+IF(AND(H333&gt;0,OR(C333="MB",C333="new MB")),H333,0)*4</f>
        <v>0</v>
      </c>
    </row>
    <row r="334" spans="1:100" ht="20.5" thickTop="1" thickBot="1" x14ac:dyDescent="0.5">
      <c r="A334" s="32"/>
      <c r="B334" s="10"/>
      <c r="C334" s="10"/>
      <c r="D334" s="11"/>
      <c r="E334" s="10"/>
      <c r="F334" s="10"/>
      <c r="G334" s="19"/>
      <c r="H334" s="19"/>
      <c r="I334" s="19"/>
      <c r="J334" s="19"/>
      <c r="K334" s="10"/>
      <c r="L334" s="10"/>
      <c r="M334" s="10"/>
      <c r="N334" s="10"/>
      <c r="O334" s="18"/>
      <c r="P334" s="18"/>
      <c r="Q334" s="21"/>
      <c r="R334" s="20"/>
      <c r="S334" s="16">
        <f t="shared" si="237"/>
        <v>0</v>
      </c>
      <c r="T334" s="11"/>
      <c r="AS334" s="31">
        <f t="shared" si="238"/>
        <v>0</v>
      </c>
      <c r="AT334" s="31">
        <f t="shared" si="239"/>
        <v>0</v>
      </c>
      <c r="AU334" s="31">
        <f t="shared" si="240"/>
        <v>0</v>
      </c>
      <c r="AV334" s="31">
        <f t="shared" si="241"/>
        <v>0</v>
      </c>
      <c r="AW334" s="31">
        <f t="shared" si="242"/>
        <v>0</v>
      </c>
      <c r="AX334" s="31">
        <f t="shared" si="243"/>
        <v>0</v>
      </c>
      <c r="AY334" s="31">
        <f t="shared" si="244"/>
        <v>0</v>
      </c>
      <c r="AZ334" s="31">
        <f t="shared" si="245"/>
        <v>0</v>
      </c>
      <c r="BA334" s="31">
        <f t="shared" si="246"/>
        <v>0</v>
      </c>
      <c r="BB334" s="31">
        <f t="shared" si="275"/>
        <v>0</v>
      </c>
      <c r="BM334" s="8">
        <f t="shared" si="276"/>
        <v>0</v>
      </c>
      <c r="BN334" s="8">
        <f t="shared" si="247"/>
        <v>0</v>
      </c>
      <c r="BO334" s="8">
        <f t="shared" si="248"/>
        <v>0</v>
      </c>
      <c r="BQ334" s="8">
        <f t="shared" si="249"/>
        <v>0</v>
      </c>
      <c r="BR334" s="63">
        <f t="shared" si="250"/>
        <v>0</v>
      </c>
      <c r="BS334" s="63">
        <f t="shared" si="277"/>
        <v>0</v>
      </c>
      <c r="BT334" s="63">
        <f t="shared" si="251"/>
        <v>0</v>
      </c>
      <c r="BU334" s="63">
        <f t="shared" si="252"/>
        <v>0</v>
      </c>
      <c r="BV334" s="57">
        <f t="shared" si="253"/>
        <v>0</v>
      </c>
      <c r="BW334" s="57">
        <f t="shared" si="254"/>
        <v>0</v>
      </c>
      <c r="BX334" s="57">
        <f t="shared" si="278"/>
        <v>0</v>
      </c>
      <c r="BY334" s="57">
        <f t="shared" si="236"/>
        <v>0</v>
      </c>
      <c r="BZ334" s="8">
        <f t="shared" si="255"/>
        <v>0</v>
      </c>
      <c r="CA334" s="8">
        <f t="shared" si="256"/>
        <v>0</v>
      </c>
      <c r="CB334" s="8">
        <f t="shared" si="257"/>
        <v>0</v>
      </c>
      <c r="CC334" s="8">
        <f t="shared" si="258"/>
        <v>0</v>
      </c>
      <c r="CD334" s="8">
        <f t="shared" si="259"/>
        <v>0</v>
      </c>
      <c r="CE334" s="8">
        <f t="shared" si="260"/>
        <v>0</v>
      </c>
      <c r="CF334" s="8">
        <f t="shared" si="261"/>
        <v>0</v>
      </c>
      <c r="CG334" s="8">
        <f t="shared" si="262"/>
        <v>0</v>
      </c>
      <c r="CH334" s="8">
        <f t="shared" si="263"/>
        <v>0</v>
      </c>
      <c r="CI334" s="8">
        <f t="shared" si="264"/>
        <v>0</v>
      </c>
      <c r="CJ334" s="8">
        <f t="shared" si="265"/>
        <v>0</v>
      </c>
      <c r="CK334" s="8">
        <f t="shared" si="266"/>
        <v>0</v>
      </c>
      <c r="CL334" s="8">
        <f t="shared" si="267"/>
        <v>0</v>
      </c>
      <c r="CM334" s="8">
        <f t="shared" si="268"/>
        <v>0</v>
      </c>
      <c r="CN334" s="8">
        <f t="shared" si="269"/>
        <v>0</v>
      </c>
      <c r="CO334" s="8">
        <f t="shared" si="270"/>
        <v>0</v>
      </c>
      <c r="CP334" s="8">
        <f t="shared" si="271"/>
        <v>0</v>
      </c>
      <c r="CQ334" s="8">
        <f t="shared" si="272"/>
        <v>0</v>
      </c>
      <c r="CR334" s="8">
        <f t="shared" si="273"/>
        <v>0</v>
      </c>
      <c r="CS334" s="8">
        <f t="shared" si="274"/>
        <v>0</v>
      </c>
      <c r="CT334" s="8">
        <f t="shared" si="279"/>
        <v>0</v>
      </c>
      <c r="CU334" s="8">
        <f t="shared" si="280"/>
        <v>0</v>
      </c>
      <c r="CV334" s="8">
        <f t="shared" si="281"/>
        <v>0</v>
      </c>
    </row>
    <row r="335" spans="1:100" ht="20.5" thickTop="1" thickBot="1" x14ac:dyDescent="0.5">
      <c r="A335" s="32"/>
      <c r="B335" s="10"/>
      <c r="C335" s="10"/>
      <c r="D335" s="11"/>
      <c r="E335" s="10"/>
      <c r="F335" s="10"/>
      <c r="G335" s="19"/>
      <c r="H335" s="19"/>
      <c r="I335" s="19"/>
      <c r="J335" s="19"/>
      <c r="K335" s="10"/>
      <c r="L335" s="10"/>
      <c r="M335" s="10"/>
      <c r="N335" s="10"/>
      <c r="O335" s="18"/>
      <c r="P335" s="18"/>
      <c r="Q335" s="21"/>
      <c r="R335" s="20"/>
      <c r="S335" s="16">
        <f t="shared" si="237"/>
        <v>0</v>
      </c>
      <c r="T335" s="11"/>
      <c r="AS335" s="31">
        <f t="shared" si="238"/>
        <v>0</v>
      </c>
      <c r="AT335" s="31">
        <f t="shared" si="239"/>
        <v>0</v>
      </c>
      <c r="AU335" s="31">
        <f t="shared" si="240"/>
        <v>0</v>
      </c>
      <c r="AV335" s="31">
        <f t="shared" si="241"/>
        <v>0</v>
      </c>
      <c r="AW335" s="31">
        <f t="shared" si="242"/>
        <v>0</v>
      </c>
      <c r="AX335" s="31">
        <f t="shared" si="243"/>
        <v>0</v>
      </c>
      <c r="AY335" s="31">
        <f t="shared" si="244"/>
        <v>0</v>
      </c>
      <c r="AZ335" s="31">
        <f t="shared" si="245"/>
        <v>0</v>
      </c>
      <c r="BA335" s="31">
        <f t="shared" si="246"/>
        <v>0</v>
      </c>
      <c r="BB335" s="31">
        <f t="shared" si="275"/>
        <v>0</v>
      </c>
      <c r="BM335" s="8">
        <f t="shared" si="276"/>
        <v>0</v>
      </c>
      <c r="BN335" s="8">
        <f t="shared" si="247"/>
        <v>0</v>
      </c>
      <c r="BO335" s="8">
        <f t="shared" si="248"/>
        <v>0</v>
      </c>
      <c r="BQ335" s="8">
        <f t="shared" si="249"/>
        <v>0</v>
      </c>
      <c r="BR335" s="63">
        <f t="shared" si="250"/>
        <v>0</v>
      </c>
      <c r="BS335" s="63">
        <f t="shared" si="277"/>
        <v>0</v>
      </c>
      <c r="BT335" s="63">
        <f t="shared" si="251"/>
        <v>0</v>
      </c>
      <c r="BU335" s="63">
        <f t="shared" si="252"/>
        <v>0</v>
      </c>
      <c r="BV335" s="57">
        <f t="shared" si="253"/>
        <v>0</v>
      </c>
      <c r="BW335" s="57">
        <f t="shared" si="254"/>
        <v>0</v>
      </c>
      <c r="BX335" s="57">
        <f t="shared" si="278"/>
        <v>0</v>
      </c>
      <c r="BY335" s="57">
        <f t="shared" si="236"/>
        <v>0</v>
      </c>
      <c r="BZ335" s="8">
        <f t="shared" si="255"/>
        <v>0</v>
      </c>
      <c r="CA335" s="8">
        <f t="shared" si="256"/>
        <v>0</v>
      </c>
      <c r="CB335" s="8">
        <f t="shared" si="257"/>
        <v>0</v>
      </c>
      <c r="CC335" s="8">
        <f t="shared" si="258"/>
        <v>0</v>
      </c>
      <c r="CD335" s="8">
        <f t="shared" si="259"/>
        <v>0</v>
      </c>
      <c r="CE335" s="8">
        <f t="shared" si="260"/>
        <v>0</v>
      </c>
      <c r="CF335" s="8">
        <f t="shared" si="261"/>
        <v>0</v>
      </c>
      <c r="CG335" s="8">
        <f t="shared" si="262"/>
        <v>0</v>
      </c>
      <c r="CH335" s="8">
        <f t="shared" si="263"/>
        <v>0</v>
      </c>
      <c r="CI335" s="8">
        <f t="shared" si="264"/>
        <v>0</v>
      </c>
      <c r="CJ335" s="8">
        <f t="shared" si="265"/>
        <v>0</v>
      </c>
      <c r="CK335" s="8">
        <f t="shared" si="266"/>
        <v>0</v>
      </c>
      <c r="CL335" s="8">
        <f t="shared" si="267"/>
        <v>0</v>
      </c>
      <c r="CM335" s="8">
        <f t="shared" si="268"/>
        <v>0</v>
      </c>
      <c r="CN335" s="8">
        <f t="shared" si="269"/>
        <v>0</v>
      </c>
      <c r="CO335" s="8">
        <f t="shared" si="270"/>
        <v>0</v>
      </c>
      <c r="CP335" s="8">
        <f t="shared" si="271"/>
        <v>0</v>
      </c>
      <c r="CQ335" s="8">
        <f t="shared" si="272"/>
        <v>0</v>
      </c>
      <c r="CR335" s="8">
        <f t="shared" si="273"/>
        <v>0</v>
      </c>
      <c r="CS335" s="8">
        <f t="shared" si="274"/>
        <v>0</v>
      </c>
      <c r="CT335" s="8">
        <f t="shared" si="279"/>
        <v>0</v>
      </c>
      <c r="CU335" s="8">
        <f t="shared" si="280"/>
        <v>0</v>
      </c>
      <c r="CV335" s="8">
        <f t="shared" si="281"/>
        <v>0</v>
      </c>
    </row>
    <row r="336" spans="1:100" ht="20.5" thickTop="1" thickBot="1" x14ac:dyDescent="0.5">
      <c r="A336" s="32"/>
      <c r="B336" s="10"/>
      <c r="C336" s="10"/>
      <c r="D336" s="11"/>
      <c r="E336" s="10"/>
      <c r="F336" s="10"/>
      <c r="G336" s="19"/>
      <c r="H336" s="19"/>
      <c r="I336" s="19"/>
      <c r="J336" s="19"/>
      <c r="K336" s="10"/>
      <c r="L336" s="10"/>
      <c r="M336" s="10"/>
      <c r="N336" s="10"/>
      <c r="O336" s="18"/>
      <c r="P336" s="18"/>
      <c r="Q336" s="21"/>
      <c r="R336" s="20"/>
      <c r="S336" s="16">
        <f t="shared" si="237"/>
        <v>0</v>
      </c>
      <c r="T336" s="11"/>
      <c r="AS336" s="31">
        <f t="shared" si="238"/>
        <v>0</v>
      </c>
      <c r="AT336" s="31">
        <f t="shared" si="239"/>
        <v>0</v>
      </c>
      <c r="AU336" s="31">
        <f t="shared" si="240"/>
        <v>0</v>
      </c>
      <c r="AV336" s="31">
        <f t="shared" si="241"/>
        <v>0</v>
      </c>
      <c r="AW336" s="31">
        <f t="shared" si="242"/>
        <v>0</v>
      </c>
      <c r="AX336" s="31">
        <f t="shared" si="243"/>
        <v>0</v>
      </c>
      <c r="AY336" s="31">
        <f t="shared" si="244"/>
        <v>0</v>
      </c>
      <c r="AZ336" s="31">
        <f t="shared" si="245"/>
        <v>0</v>
      </c>
      <c r="BA336" s="31">
        <f t="shared" si="246"/>
        <v>0</v>
      </c>
      <c r="BB336" s="31">
        <f t="shared" si="275"/>
        <v>0</v>
      </c>
      <c r="BM336" s="8">
        <f t="shared" si="276"/>
        <v>0</v>
      </c>
      <c r="BN336" s="8">
        <f t="shared" si="247"/>
        <v>0</v>
      </c>
      <c r="BO336" s="8">
        <f t="shared" si="248"/>
        <v>0</v>
      </c>
      <c r="BQ336" s="8">
        <f t="shared" si="249"/>
        <v>0</v>
      </c>
      <c r="BR336" s="63">
        <f t="shared" si="250"/>
        <v>0</v>
      </c>
      <c r="BS336" s="63">
        <f t="shared" si="277"/>
        <v>0</v>
      </c>
      <c r="BT336" s="63">
        <f t="shared" si="251"/>
        <v>0</v>
      </c>
      <c r="BU336" s="63">
        <f t="shared" si="252"/>
        <v>0</v>
      </c>
      <c r="BV336" s="57">
        <f t="shared" si="253"/>
        <v>0</v>
      </c>
      <c r="BW336" s="57">
        <f t="shared" si="254"/>
        <v>0</v>
      </c>
      <c r="BX336" s="57">
        <f t="shared" si="278"/>
        <v>0</v>
      </c>
      <c r="BY336" s="57">
        <f t="shared" si="236"/>
        <v>0</v>
      </c>
      <c r="BZ336" s="8">
        <f t="shared" si="255"/>
        <v>0</v>
      </c>
      <c r="CA336" s="8">
        <f t="shared" si="256"/>
        <v>0</v>
      </c>
      <c r="CB336" s="8">
        <f t="shared" si="257"/>
        <v>0</v>
      </c>
      <c r="CC336" s="8">
        <f t="shared" si="258"/>
        <v>0</v>
      </c>
      <c r="CD336" s="8">
        <f t="shared" si="259"/>
        <v>0</v>
      </c>
      <c r="CE336" s="8">
        <f t="shared" si="260"/>
        <v>0</v>
      </c>
      <c r="CF336" s="8">
        <f t="shared" si="261"/>
        <v>0</v>
      </c>
      <c r="CG336" s="8">
        <f t="shared" si="262"/>
        <v>0</v>
      </c>
      <c r="CH336" s="8">
        <f t="shared" si="263"/>
        <v>0</v>
      </c>
      <c r="CI336" s="8">
        <f t="shared" si="264"/>
        <v>0</v>
      </c>
      <c r="CJ336" s="8">
        <f t="shared" si="265"/>
        <v>0</v>
      </c>
      <c r="CK336" s="8">
        <f t="shared" si="266"/>
        <v>0</v>
      </c>
      <c r="CL336" s="8">
        <f t="shared" si="267"/>
        <v>0</v>
      </c>
      <c r="CM336" s="8">
        <f t="shared" si="268"/>
        <v>0</v>
      </c>
      <c r="CN336" s="8">
        <f t="shared" si="269"/>
        <v>0</v>
      </c>
      <c r="CO336" s="8">
        <f t="shared" si="270"/>
        <v>0</v>
      </c>
      <c r="CP336" s="8">
        <f t="shared" si="271"/>
        <v>0</v>
      </c>
      <c r="CQ336" s="8">
        <f t="shared" si="272"/>
        <v>0</v>
      </c>
      <c r="CR336" s="8">
        <f t="shared" si="273"/>
        <v>0</v>
      </c>
      <c r="CS336" s="8">
        <f t="shared" si="274"/>
        <v>0</v>
      </c>
      <c r="CT336" s="8">
        <f t="shared" si="279"/>
        <v>0</v>
      </c>
      <c r="CU336" s="8">
        <f t="shared" si="280"/>
        <v>0</v>
      </c>
      <c r="CV336" s="8">
        <f t="shared" si="281"/>
        <v>0</v>
      </c>
    </row>
    <row r="337" spans="1:100" ht="20.5" thickTop="1" thickBot="1" x14ac:dyDescent="0.5">
      <c r="A337" s="32"/>
      <c r="B337" s="10"/>
      <c r="C337" s="10"/>
      <c r="D337" s="11"/>
      <c r="E337" s="10"/>
      <c r="F337" s="10"/>
      <c r="G337" s="19"/>
      <c r="H337" s="19"/>
      <c r="I337" s="19"/>
      <c r="J337" s="19"/>
      <c r="K337" s="10"/>
      <c r="L337" s="10"/>
      <c r="M337" s="10"/>
      <c r="N337" s="10"/>
      <c r="O337" s="18"/>
      <c r="P337" s="18"/>
      <c r="Q337" s="21"/>
      <c r="R337" s="20"/>
      <c r="S337" s="16">
        <f t="shared" si="237"/>
        <v>0</v>
      </c>
      <c r="T337" s="11"/>
      <c r="AS337" s="31">
        <f t="shared" si="238"/>
        <v>0</v>
      </c>
      <c r="AT337" s="31">
        <f t="shared" si="239"/>
        <v>0</v>
      </c>
      <c r="AU337" s="31">
        <f t="shared" si="240"/>
        <v>0</v>
      </c>
      <c r="AV337" s="31">
        <f t="shared" si="241"/>
        <v>0</v>
      </c>
      <c r="AW337" s="31">
        <f t="shared" si="242"/>
        <v>0</v>
      </c>
      <c r="AX337" s="31">
        <f t="shared" si="243"/>
        <v>0</v>
      </c>
      <c r="AY337" s="31">
        <f t="shared" si="244"/>
        <v>0</v>
      </c>
      <c r="AZ337" s="31">
        <f t="shared" si="245"/>
        <v>0</v>
      </c>
      <c r="BA337" s="31">
        <f t="shared" si="246"/>
        <v>0</v>
      </c>
      <c r="BB337" s="31">
        <f t="shared" si="275"/>
        <v>0</v>
      </c>
      <c r="BM337" s="8">
        <f t="shared" si="276"/>
        <v>0</v>
      </c>
      <c r="BN337" s="8">
        <f t="shared" si="247"/>
        <v>0</v>
      </c>
      <c r="BO337" s="8">
        <f t="shared" si="248"/>
        <v>0</v>
      </c>
      <c r="BQ337" s="8">
        <f t="shared" si="249"/>
        <v>0</v>
      </c>
      <c r="BR337" s="63">
        <f t="shared" si="250"/>
        <v>0</v>
      </c>
      <c r="BS337" s="63">
        <f t="shared" si="277"/>
        <v>0</v>
      </c>
      <c r="BT337" s="63">
        <f t="shared" si="251"/>
        <v>0</v>
      </c>
      <c r="BU337" s="63">
        <f t="shared" si="252"/>
        <v>0</v>
      </c>
      <c r="BV337" s="57">
        <f t="shared" si="253"/>
        <v>0</v>
      </c>
      <c r="BW337" s="57">
        <f t="shared" si="254"/>
        <v>0</v>
      </c>
      <c r="BX337" s="57">
        <f t="shared" si="278"/>
        <v>0</v>
      </c>
      <c r="BY337" s="57">
        <f t="shared" si="236"/>
        <v>0</v>
      </c>
      <c r="BZ337" s="8">
        <f t="shared" si="255"/>
        <v>0</v>
      </c>
      <c r="CA337" s="8">
        <f t="shared" si="256"/>
        <v>0</v>
      </c>
      <c r="CB337" s="8">
        <f t="shared" si="257"/>
        <v>0</v>
      </c>
      <c r="CC337" s="8">
        <f t="shared" si="258"/>
        <v>0</v>
      </c>
      <c r="CD337" s="8">
        <f t="shared" si="259"/>
        <v>0</v>
      </c>
      <c r="CE337" s="8">
        <f t="shared" si="260"/>
        <v>0</v>
      </c>
      <c r="CF337" s="8">
        <f t="shared" si="261"/>
        <v>0</v>
      </c>
      <c r="CG337" s="8">
        <f t="shared" si="262"/>
        <v>0</v>
      </c>
      <c r="CH337" s="8">
        <f t="shared" si="263"/>
        <v>0</v>
      </c>
      <c r="CI337" s="8">
        <f t="shared" si="264"/>
        <v>0</v>
      </c>
      <c r="CJ337" s="8">
        <f t="shared" si="265"/>
        <v>0</v>
      </c>
      <c r="CK337" s="8">
        <f t="shared" si="266"/>
        <v>0</v>
      </c>
      <c r="CL337" s="8">
        <f t="shared" si="267"/>
        <v>0</v>
      </c>
      <c r="CM337" s="8">
        <f t="shared" si="268"/>
        <v>0</v>
      </c>
      <c r="CN337" s="8">
        <f t="shared" si="269"/>
        <v>0</v>
      </c>
      <c r="CO337" s="8">
        <f t="shared" si="270"/>
        <v>0</v>
      </c>
      <c r="CP337" s="8">
        <f t="shared" si="271"/>
        <v>0</v>
      </c>
      <c r="CQ337" s="8">
        <f t="shared" si="272"/>
        <v>0</v>
      </c>
      <c r="CR337" s="8">
        <f t="shared" si="273"/>
        <v>0</v>
      </c>
      <c r="CS337" s="8">
        <f t="shared" si="274"/>
        <v>0</v>
      </c>
      <c r="CT337" s="8">
        <f t="shared" si="279"/>
        <v>0</v>
      </c>
      <c r="CU337" s="8">
        <f t="shared" si="280"/>
        <v>0</v>
      </c>
      <c r="CV337" s="8">
        <f t="shared" si="281"/>
        <v>0</v>
      </c>
    </row>
    <row r="338" spans="1:100" ht="20.5" thickTop="1" thickBot="1" x14ac:dyDescent="0.5">
      <c r="A338" s="32"/>
      <c r="B338" s="10"/>
      <c r="C338" s="10"/>
      <c r="D338" s="11"/>
      <c r="E338" s="10"/>
      <c r="F338" s="10"/>
      <c r="G338" s="19"/>
      <c r="H338" s="19"/>
      <c r="I338" s="19"/>
      <c r="J338" s="19"/>
      <c r="K338" s="10"/>
      <c r="L338" s="10"/>
      <c r="M338" s="10"/>
      <c r="N338" s="10"/>
      <c r="O338" s="18"/>
      <c r="P338" s="18"/>
      <c r="Q338" s="21"/>
      <c r="R338" s="20"/>
      <c r="S338" s="16">
        <f t="shared" si="237"/>
        <v>0</v>
      </c>
      <c r="T338" s="11"/>
      <c r="AS338" s="31">
        <f t="shared" si="238"/>
        <v>0</v>
      </c>
      <c r="AT338" s="31">
        <f t="shared" si="239"/>
        <v>0</v>
      </c>
      <c r="AU338" s="31">
        <f t="shared" si="240"/>
        <v>0</v>
      </c>
      <c r="AV338" s="31">
        <f t="shared" si="241"/>
        <v>0</v>
      </c>
      <c r="AW338" s="31">
        <f t="shared" si="242"/>
        <v>0</v>
      </c>
      <c r="AX338" s="31">
        <f t="shared" si="243"/>
        <v>0</v>
      </c>
      <c r="AY338" s="31">
        <f t="shared" si="244"/>
        <v>0</v>
      </c>
      <c r="AZ338" s="31">
        <f t="shared" si="245"/>
        <v>0</v>
      </c>
      <c r="BA338" s="31">
        <f t="shared" si="246"/>
        <v>0</v>
      </c>
      <c r="BB338" s="31">
        <f t="shared" si="275"/>
        <v>0</v>
      </c>
      <c r="BM338" s="8">
        <f t="shared" si="276"/>
        <v>0</v>
      </c>
      <c r="BN338" s="8">
        <f t="shared" si="247"/>
        <v>0</v>
      </c>
      <c r="BO338" s="8">
        <f t="shared" si="248"/>
        <v>0</v>
      </c>
      <c r="BQ338" s="8">
        <f t="shared" si="249"/>
        <v>0</v>
      </c>
      <c r="BR338" s="63">
        <f t="shared" si="250"/>
        <v>0</v>
      </c>
      <c r="BS338" s="63">
        <f t="shared" si="277"/>
        <v>0</v>
      </c>
      <c r="BT338" s="63">
        <f t="shared" si="251"/>
        <v>0</v>
      </c>
      <c r="BU338" s="63">
        <f t="shared" si="252"/>
        <v>0</v>
      </c>
      <c r="BV338" s="57">
        <f t="shared" si="253"/>
        <v>0</v>
      </c>
      <c r="BW338" s="57">
        <f t="shared" si="254"/>
        <v>0</v>
      </c>
      <c r="BX338" s="57">
        <f t="shared" si="278"/>
        <v>0</v>
      </c>
      <c r="BY338" s="57">
        <f t="shared" si="236"/>
        <v>0</v>
      </c>
      <c r="BZ338" s="8">
        <f t="shared" si="255"/>
        <v>0</v>
      </c>
      <c r="CA338" s="8">
        <f t="shared" si="256"/>
        <v>0</v>
      </c>
      <c r="CB338" s="8">
        <f t="shared" si="257"/>
        <v>0</v>
      </c>
      <c r="CC338" s="8">
        <f t="shared" si="258"/>
        <v>0</v>
      </c>
      <c r="CD338" s="8">
        <f t="shared" si="259"/>
        <v>0</v>
      </c>
      <c r="CE338" s="8">
        <f t="shared" si="260"/>
        <v>0</v>
      </c>
      <c r="CF338" s="8">
        <f t="shared" si="261"/>
        <v>0</v>
      </c>
      <c r="CG338" s="8">
        <f t="shared" si="262"/>
        <v>0</v>
      </c>
      <c r="CH338" s="8">
        <f t="shared" si="263"/>
        <v>0</v>
      </c>
      <c r="CI338" s="8">
        <f t="shared" si="264"/>
        <v>0</v>
      </c>
      <c r="CJ338" s="8">
        <f t="shared" si="265"/>
        <v>0</v>
      </c>
      <c r="CK338" s="8">
        <f t="shared" si="266"/>
        <v>0</v>
      </c>
      <c r="CL338" s="8">
        <f t="shared" si="267"/>
        <v>0</v>
      </c>
      <c r="CM338" s="8">
        <f t="shared" si="268"/>
        <v>0</v>
      </c>
      <c r="CN338" s="8">
        <f t="shared" si="269"/>
        <v>0</v>
      </c>
      <c r="CO338" s="8">
        <f t="shared" si="270"/>
        <v>0</v>
      </c>
      <c r="CP338" s="8">
        <f t="shared" si="271"/>
        <v>0</v>
      </c>
      <c r="CQ338" s="8">
        <f t="shared" si="272"/>
        <v>0</v>
      </c>
      <c r="CR338" s="8">
        <f t="shared" si="273"/>
        <v>0</v>
      </c>
      <c r="CS338" s="8">
        <f t="shared" si="274"/>
        <v>0</v>
      </c>
      <c r="CT338" s="8">
        <f t="shared" si="279"/>
        <v>0</v>
      </c>
      <c r="CU338" s="8">
        <f t="shared" si="280"/>
        <v>0</v>
      </c>
      <c r="CV338" s="8">
        <f t="shared" si="281"/>
        <v>0</v>
      </c>
    </row>
    <row r="339" spans="1:100" ht="20.5" thickTop="1" thickBot="1" x14ac:dyDescent="0.5">
      <c r="A339" s="32"/>
      <c r="B339" s="10"/>
      <c r="C339" s="10"/>
      <c r="D339" s="11"/>
      <c r="E339" s="10"/>
      <c r="F339" s="10"/>
      <c r="G339" s="19"/>
      <c r="H339" s="19"/>
      <c r="I339" s="19"/>
      <c r="J339" s="19"/>
      <c r="K339" s="10"/>
      <c r="L339" s="10"/>
      <c r="M339" s="10"/>
      <c r="N339" s="10"/>
      <c r="O339" s="18"/>
      <c r="P339" s="18"/>
      <c r="Q339" s="21"/>
      <c r="R339" s="20"/>
      <c r="S339" s="16">
        <f t="shared" si="237"/>
        <v>0</v>
      </c>
      <c r="T339" s="11"/>
      <c r="AS339" s="31">
        <f t="shared" si="238"/>
        <v>0</v>
      </c>
      <c r="AT339" s="31">
        <f t="shared" si="239"/>
        <v>0</v>
      </c>
      <c r="AU339" s="31">
        <f t="shared" si="240"/>
        <v>0</v>
      </c>
      <c r="AV339" s="31">
        <f t="shared" si="241"/>
        <v>0</v>
      </c>
      <c r="AW339" s="31">
        <f t="shared" si="242"/>
        <v>0</v>
      </c>
      <c r="AX339" s="31">
        <f t="shared" si="243"/>
        <v>0</v>
      </c>
      <c r="AY339" s="31">
        <f t="shared" si="244"/>
        <v>0</v>
      </c>
      <c r="AZ339" s="31">
        <f t="shared" si="245"/>
        <v>0</v>
      </c>
      <c r="BA339" s="31">
        <f t="shared" si="246"/>
        <v>0</v>
      </c>
      <c r="BB339" s="31">
        <f t="shared" si="275"/>
        <v>0</v>
      </c>
      <c r="BM339" s="8">
        <f t="shared" si="276"/>
        <v>0</v>
      </c>
      <c r="BN339" s="8">
        <f t="shared" si="247"/>
        <v>0</v>
      </c>
      <c r="BO339" s="8">
        <f t="shared" si="248"/>
        <v>0</v>
      </c>
      <c r="BQ339" s="8">
        <f t="shared" si="249"/>
        <v>0</v>
      </c>
      <c r="BR339" s="63">
        <f t="shared" si="250"/>
        <v>0</v>
      </c>
      <c r="BS339" s="63">
        <f t="shared" si="277"/>
        <v>0</v>
      </c>
      <c r="BT339" s="63">
        <f t="shared" si="251"/>
        <v>0</v>
      </c>
      <c r="BU339" s="63">
        <f t="shared" si="252"/>
        <v>0</v>
      </c>
      <c r="BV339" s="57">
        <f t="shared" si="253"/>
        <v>0</v>
      </c>
      <c r="BW339" s="57">
        <f t="shared" si="254"/>
        <v>0</v>
      </c>
      <c r="BX339" s="57">
        <f t="shared" si="278"/>
        <v>0</v>
      </c>
      <c r="BY339" s="57">
        <f t="shared" si="236"/>
        <v>0</v>
      </c>
      <c r="BZ339" s="8">
        <f t="shared" si="255"/>
        <v>0</v>
      </c>
      <c r="CA339" s="8">
        <f t="shared" si="256"/>
        <v>0</v>
      </c>
      <c r="CB339" s="8">
        <f t="shared" si="257"/>
        <v>0</v>
      </c>
      <c r="CC339" s="8">
        <f t="shared" si="258"/>
        <v>0</v>
      </c>
      <c r="CD339" s="8">
        <f t="shared" si="259"/>
        <v>0</v>
      </c>
      <c r="CE339" s="8">
        <f t="shared" si="260"/>
        <v>0</v>
      </c>
      <c r="CF339" s="8">
        <f t="shared" si="261"/>
        <v>0</v>
      </c>
      <c r="CG339" s="8">
        <f t="shared" si="262"/>
        <v>0</v>
      </c>
      <c r="CH339" s="8">
        <f t="shared" si="263"/>
        <v>0</v>
      </c>
      <c r="CI339" s="8">
        <f t="shared" si="264"/>
        <v>0</v>
      </c>
      <c r="CJ339" s="8">
        <f t="shared" si="265"/>
        <v>0</v>
      </c>
      <c r="CK339" s="8">
        <f t="shared" si="266"/>
        <v>0</v>
      </c>
      <c r="CL339" s="8">
        <f t="shared" si="267"/>
        <v>0</v>
      </c>
      <c r="CM339" s="8">
        <f t="shared" si="268"/>
        <v>0</v>
      </c>
      <c r="CN339" s="8">
        <f t="shared" si="269"/>
        <v>0</v>
      </c>
      <c r="CO339" s="8">
        <f t="shared" si="270"/>
        <v>0</v>
      </c>
      <c r="CP339" s="8">
        <f t="shared" si="271"/>
        <v>0</v>
      </c>
      <c r="CQ339" s="8">
        <f t="shared" si="272"/>
        <v>0</v>
      </c>
      <c r="CR339" s="8">
        <f t="shared" si="273"/>
        <v>0</v>
      </c>
      <c r="CS339" s="8">
        <f t="shared" si="274"/>
        <v>0</v>
      </c>
      <c r="CT339" s="8">
        <f t="shared" si="279"/>
        <v>0</v>
      </c>
      <c r="CU339" s="8">
        <f t="shared" si="280"/>
        <v>0</v>
      </c>
      <c r="CV339" s="8">
        <f t="shared" si="281"/>
        <v>0</v>
      </c>
    </row>
    <row r="340" spans="1:100" ht="20.5" thickTop="1" thickBot="1" x14ac:dyDescent="0.5">
      <c r="A340" s="32"/>
      <c r="B340" s="10"/>
      <c r="C340" s="10"/>
      <c r="D340" s="11"/>
      <c r="E340" s="10"/>
      <c r="F340" s="10"/>
      <c r="G340" s="19"/>
      <c r="H340" s="19"/>
      <c r="I340" s="19"/>
      <c r="J340" s="19"/>
      <c r="K340" s="10"/>
      <c r="L340" s="10"/>
      <c r="M340" s="10"/>
      <c r="N340" s="10"/>
      <c r="O340" s="18"/>
      <c r="P340" s="18"/>
      <c r="Q340" s="21"/>
      <c r="R340" s="20"/>
      <c r="S340" s="16">
        <f t="shared" si="237"/>
        <v>0</v>
      </c>
      <c r="T340" s="11"/>
      <c r="AS340" s="31">
        <f t="shared" si="238"/>
        <v>0</v>
      </c>
      <c r="AT340" s="31">
        <f t="shared" si="239"/>
        <v>0</v>
      </c>
      <c r="AU340" s="31">
        <f t="shared" si="240"/>
        <v>0</v>
      </c>
      <c r="AV340" s="31">
        <f t="shared" si="241"/>
        <v>0</v>
      </c>
      <c r="AW340" s="31">
        <f t="shared" si="242"/>
        <v>0</v>
      </c>
      <c r="AX340" s="31">
        <f t="shared" si="243"/>
        <v>0</v>
      </c>
      <c r="AY340" s="31">
        <f t="shared" si="244"/>
        <v>0</v>
      </c>
      <c r="AZ340" s="31">
        <f t="shared" si="245"/>
        <v>0</v>
      </c>
      <c r="BA340" s="31">
        <f t="shared" si="246"/>
        <v>0</v>
      </c>
      <c r="BB340" s="31">
        <f t="shared" si="275"/>
        <v>0</v>
      </c>
      <c r="BM340" s="8">
        <f t="shared" si="276"/>
        <v>0</v>
      </c>
      <c r="BN340" s="8">
        <f t="shared" si="247"/>
        <v>0</v>
      </c>
      <c r="BO340" s="8">
        <f t="shared" si="248"/>
        <v>0</v>
      </c>
      <c r="BQ340" s="8">
        <f t="shared" si="249"/>
        <v>0</v>
      </c>
      <c r="BR340" s="63">
        <f t="shared" si="250"/>
        <v>0</v>
      </c>
      <c r="BS340" s="63">
        <f t="shared" si="277"/>
        <v>0</v>
      </c>
      <c r="BT340" s="63">
        <f t="shared" si="251"/>
        <v>0</v>
      </c>
      <c r="BU340" s="63">
        <f t="shared" si="252"/>
        <v>0</v>
      </c>
      <c r="BV340" s="57">
        <f t="shared" si="253"/>
        <v>0</v>
      </c>
      <c r="BW340" s="57">
        <f t="shared" si="254"/>
        <v>0</v>
      </c>
      <c r="BX340" s="57">
        <f t="shared" si="278"/>
        <v>0</v>
      </c>
      <c r="BY340" s="57">
        <f t="shared" si="236"/>
        <v>0</v>
      </c>
      <c r="BZ340" s="8">
        <f t="shared" si="255"/>
        <v>0</v>
      </c>
      <c r="CA340" s="8">
        <f t="shared" si="256"/>
        <v>0</v>
      </c>
      <c r="CB340" s="8">
        <f t="shared" si="257"/>
        <v>0</v>
      </c>
      <c r="CC340" s="8">
        <f t="shared" si="258"/>
        <v>0</v>
      </c>
      <c r="CD340" s="8">
        <f t="shared" si="259"/>
        <v>0</v>
      </c>
      <c r="CE340" s="8">
        <f t="shared" si="260"/>
        <v>0</v>
      </c>
      <c r="CF340" s="8">
        <f t="shared" si="261"/>
        <v>0</v>
      </c>
      <c r="CG340" s="8">
        <f t="shared" si="262"/>
        <v>0</v>
      </c>
      <c r="CH340" s="8">
        <f t="shared" si="263"/>
        <v>0</v>
      </c>
      <c r="CI340" s="8">
        <f t="shared" si="264"/>
        <v>0</v>
      </c>
      <c r="CJ340" s="8">
        <f t="shared" si="265"/>
        <v>0</v>
      </c>
      <c r="CK340" s="8">
        <f t="shared" si="266"/>
        <v>0</v>
      </c>
      <c r="CL340" s="8">
        <f t="shared" si="267"/>
        <v>0</v>
      </c>
      <c r="CM340" s="8">
        <f t="shared" si="268"/>
        <v>0</v>
      </c>
      <c r="CN340" s="8">
        <f t="shared" si="269"/>
        <v>0</v>
      </c>
      <c r="CO340" s="8">
        <f t="shared" si="270"/>
        <v>0</v>
      </c>
      <c r="CP340" s="8">
        <f t="shared" si="271"/>
        <v>0</v>
      </c>
      <c r="CQ340" s="8">
        <f t="shared" si="272"/>
        <v>0</v>
      </c>
      <c r="CR340" s="8">
        <f t="shared" si="273"/>
        <v>0</v>
      </c>
      <c r="CS340" s="8">
        <f t="shared" si="274"/>
        <v>0</v>
      </c>
      <c r="CT340" s="8">
        <f t="shared" si="279"/>
        <v>0</v>
      </c>
      <c r="CU340" s="8">
        <f t="shared" si="280"/>
        <v>0</v>
      </c>
      <c r="CV340" s="8">
        <f t="shared" si="281"/>
        <v>0</v>
      </c>
    </row>
    <row r="341" spans="1:100" ht="20.5" thickTop="1" thickBot="1" x14ac:dyDescent="0.5">
      <c r="A341" s="32"/>
      <c r="B341" s="10"/>
      <c r="C341" s="10"/>
      <c r="D341" s="11"/>
      <c r="E341" s="10"/>
      <c r="F341" s="10"/>
      <c r="G341" s="19"/>
      <c r="H341" s="19"/>
      <c r="I341" s="19"/>
      <c r="J341" s="19"/>
      <c r="K341" s="10"/>
      <c r="L341" s="10"/>
      <c r="M341" s="10"/>
      <c r="N341" s="10"/>
      <c r="O341" s="18"/>
      <c r="P341" s="18"/>
      <c r="Q341" s="21"/>
      <c r="R341" s="20"/>
      <c r="S341" s="16">
        <f t="shared" si="237"/>
        <v>0</v>
      </c>
      <c r="T341" s="11"/>
      <c r="AS341" s="31">
        <f t="shared" si="238"/>
        <v>0</v>
      </c>
      <c r="AT341" s="31">
        <f t="shared" si="239"/>
        <v>0</v>
      </c>
      <c r="AU341" s="31">
        <f t="shared" si="240"/>
        <v>0</v>
      </c>
      <c r="AV341" s="31">
        <f t="shared" si="241"/>
        <v>0</v>
      </c>
      <c r="AW341" s="31">
        <f t="shared" si="242"/>
        <v>0</v>
      </c>
      <c r="AX341" s="31">
        <f t="shared" si="243"/>
        <v>0</v>
      </c>
      <c r="AY341" s="31">
        <f t="shared" si="244"/>
        <v>0</v>
      </c>
      <c r="AZ341" s="31">
        <f t="shared" si="245"/>
        <v>0</v>
      </c>
      <c r="BA341" s="31">
        <f t="shared" si="246"/>
        <v>0</v>
      </c>
      <c r="BB341" s="31">
        <f t="shared" si="275"/>
        <v>0</v>
      </c>
      <c r="BM341" s="8">
        <f t="shared" si="276"/>
        <v>0</v>
      </c>
      <c r="BN341" s="8">
        <f t="shared" si="247"/>
        <v>0</v>
      </c>
      <c r="BO341" s="8">
        <f t="shared" si="248"/>
        <v>0</v>
      </c>
      <c r="BQ341" s="8">
        <f t="shared" si="249"/>
        <v>0</v>
      </c>
      <c r="BR341" s="63">
        <f t="shared" si="250"/>
        <v>0</v>
      </c>
      <c r="BS341" s="63">
        <f t="shared" si="277"/>
        <v>0</v>
      </c>
      <c r="BT341" s="63">
        <f t="shared" si="251"/>
        <v>0</v>
      </c>
      <c r="BU341" s="63">
        <f t="shared" si="252"/>
        <v>0</v>
      </c>
      <c r="BV341" s="57">
        <f t="shared" si="253"/>
        <v>0</v>
      </c>
      <c r="BW341" s="57">
        <f t="shared" si="254"/>
        <v>0</v>
      </c>
      <c r="BX341" s="57">
        <f t="shared" si="278"/>
        <v>0</v>
      </c>
      <c r="BY341" s="57">
        <f t="shared" si="236"/>
        <v>0</v>
      </c>
      <c r="BZ341" s="8">
        <f t="shared" si="255"/>
        <v>0</v>
      </c>
      <c r="CA341" s="8">
        <f t="shared" si="256"/>
        <v>0</v>
      </c>
      <c r="CB341" s="8">
        <f t="shared" si="257"/>
        <v>0</v>
      </c>
      <c r="CC341" s="8">
        <f t="shared" si="258"/>
        <v>0</v>
      </c>
      <c r="CD341" s="8">
        <f t="shared" si="259"/>
        <v>0</v>
      </c>
      <c r="CE341" s="8">
        <f t="shared" si="260"/>
        <v>0</v>
      </c>
      <c r="CF341" s="8">
        <f t="shared" si="261"/>
        <v>0</v>
      </c>
      <c r="CG341" s="8">
        <f t="shared" si="262"/>
        <v>0</v>
      </c>
      <c r="CH341" s="8">
        <f t="shared" si="263"/>
        <v>0</v>
      </c>
      <c r="CI341" s="8">
        <f t="shared" si="264"/>
        <v>0</v>
      </c>
      <c r="CJ341" s="8">
        <f t="shared" si="265"/>
        <v>0</v>
      </c>
      <c r="CK341" s="8">
        <f t="shared" si="266"/>
        <v>0</v>
      </c>
      <c r="CL341" s="8">
        <f t="shared" si="267"/>
        <v>0</v>
      </c>
      <c r="CM341" s="8">
        <f t="shared" si="268"/>
        <v>0</v>
      </c>
      <c r="CN341" s="8">
        <f t="shared" si="269"/>
        <v>0</v>
      </c>
      <c r="CO341" s="8">
        <f t="shared" si="270"/>
        <v>0</v>
      </c>
      <c r="CP341" s="8">
        <f t="shared" si="271"/>
        <v>0</v>
      </c>
      <c r="CQ341" s="8">
        <f t="shared" si="272"/>
        <v>0</v>
      </c>
      <c r="CR341" s="8">
        <f t="shared" si="273"/>
        <v>0</v>
      </c>
      <c r="CS341" s="8">
        <f t="shared" si="274"/>
        <v>0</v>
      </c>
      <c r="CT341" s="8">
        <f t="shared" si="279"/>
        <v>0</v>
      </c>
      <c r="CU341" s="8">
        <f t="shared" si="280"/>
        <v>0</v>
      </c>
      <c r="CV341" s="8">
        <f t="shared" si="281"/>
        <v>0</v>
      </c>
    </row>
    <row r="342" spans="1:100" ht="20.5" thickTop="1" thickBot="1" x14ac:dyDescent="0.5">
      <c r="A342" s="32"/>
      <c r="B342" s="10"/>
      <c r="C342" s="10"/>
      <c r="D342" s="11"/>
      <c r="E342" s="10"/>
      <c r="F342" s="10"/>
      <c r="G342" s="19"/>
      <c r="H342" s="19"/>
      <c r="I342" s="19"/>
      <c r="J342" s="19"/>
      <c r="K342" s="10"/>
      <c r="L342" s="10"/>
      <c r="M342" s="10"/>
      <c r="N342" s="10"/>
      <c r="O342" s="18"/>
      <c r="P342" s="18"/>
      <c r="Q342" s="21"/>
      <c r="R342" s="20"/>
      <c r="S342" s="16">
        <f t="shared" si="237"/>
        <v>0</v>
      </c>
      <c r="T342" s="11"/>
      <c r="AS342" s="31">
        <f t="shared" si="238"/>
        <v>0</v>
      </c>
      <c r="AT342" s="31">
        <f t="shared" si="239"/>
        <v>0</v>
      </c>
      <c r="AU342" s="31">
        <f t="shared" si="240"/>
        <v>0</v>
      </c>
      <c r="AV342" s="31">
        <f t="shared" si="241"/>
        <v>0</v>
      </c>
      <c r="AW342" s="31">
        <f t="shared" si="242"/>
        <v>0</v>
      </c>
      <c r="AX342" s="31">
        <f t="shared" si="243"/>
        <v>0</v>
      </c>
      <c r="AY342" s="31">
        <f t="shared" si="244"/>
        <v>0</v>
      </c>
      <c r="AZ342" s="31">
        <f t="shared" si="245"/>
        <v>0</v>
      </c>
      <c r="BA342" s="31">
        <f t="shared" si="246"/>
        <v>0</v>
      </c>
      <c r="BB342" s="31">
        <f t="shared" si="275"/>
        <v>0</v>
      </c>
      <c r="BM342" s="8">
        <f t="shared" si="276"/>
        <v>0</v>
      </c>
      <c r="BN342" s="8">
        <f t="shared" si="247"/>
        <v>0</v>
      </c>
      <c r="BO342" s="8">
        <f t="shared" si="248"/>
        <v>0</v>
      </c>
      <c r="BQ342" s="8">
        <f t="shared" si="249"/>
        <v>0</v>
      </c>
      <c r="BR342" s="63">
        <f t="shared" si="250"/>
        <v>0</v>
      </c>
      <c r="BS342" s="63">
        <f t="shared" si="277"/>
        <v>0</v>
      </c>
      <c r="BT342" s="63">
        <f t="shared" si="251"/>
        <v>0</v>
      </c>
      <c r="BU342" s="63">
        <f t="shared" si="252"/>
        <v>0</v>
      </c>
      <c r="BV342" s="57">
        <f t="shared" si="253"/>
        <v>0</v>
      </c>
      <c r="BW342" s="57">
        <f t="shared" si="254"/>
        <v>0</v>
      </c>
      <c r="BX342" s="57">
        <f t="shared" si="278"/>
        <v>0</v>
      </c>
      <c r="BY342" s="57">
        <f t="shared" si="236"/>
        <v>0</v>
      </c>
      <c r="BZ342" s="8">
        <f t="shared" si="255"/>
        <v>0</v>
      </c>
      <c r="CA342" s="8">
        <f t="shared" si="256"/>
        <v>0</v>
      </c>
      <c r="CB342" s="8">
        <f t="shared" si="257"/>
        <v>0</v>
      </c>
      <c r="CC342" s="8">
        <f t="shared" si="258"/>
        <v>0</v>
      </c>
      <c r="CD342" s="8">
        <f t="shared" si="259"/>
        <v>0</v>
      </c>
      <c r="CE342" s="8">
        <f t="shared" si="260"/>
        <v>0</v>
      </c>
      <c r="CF342" s="8">
        <f t="shared" si="261"/>
        <v>0</v>
      </c>
      <c r="CG342" s="8">
        <f t="shared" si="262"/>
        <v>0</v>
      </c>
      <c r="CH342" s="8">
        <f t="shared" si="263"/>
        <v>0</v>
      </c>
      <c r="CI342" s="8">
        <f t="shared" si="264"/>
        <v>0</v>
      </c>
      <c r="CJ342" s="8">
        <f t="shared" si="265"/>
        <v>0</v>
      </c>
      <c r="CK342" s="8">
        <f t="shared" si="266"/>
        <v>0</v>
      </c>
      <c r="CL342" s="8">
        <f t="shared" si="267"/>
        <v>0</v>
      </c>
      <c r="CM342" s="8">
        <f t="shared" si="268"/>
        <v>0</v>
      </c>
      <c r="CN342" s="8">
        <f t="shared" si="269"/>
        <v>0</v>
      </c>
      <c r="CO342" s="8">
        <f t="shared" si="270"/>
        <v>0</v>
      </c>
      <c r="CP342" s="8">
        <f t="shared" si="271"/>
        <v>0</v>
      </c>
      <c r="CQ342" s="8">
        <f t="shared" si="272"/>
        <v>0</v>
      </c>
      <c r="CR342" s="8">
        <f t="shared" si="273"/>
        <v>0</v>
      </c>
      <c r="CS342" s="8">
        <f t="shared" si="274"/>
        <v>0</v>
      </c>
      <c r="CT342" s="8">
        <f t="shared" si="279"/>
        <v>0</v>
      </c>
      <c r="CU342" s="8">
        <f t="shared" si="280"/>
        <v>0</v>
      </c>
      <c r="CV342" s="8">
        <f t="shared" si="281"/>
        <v>0</v>
      </c>
    </row>
    <row r="343" spans="1:100" ht="20.5" thickTop="1" thickBot="1" x14ac:dyDescent="0.5">
      <c r="A343" s="32"/>
      <c r="B343" s="10"/>
      <c r="C343" s="10"/>
      <c r="D343" s="11"/>
      <c r="E343" s="10"/>
      <c r="F343" s="10"/>
      <c r="G343" s="19"/>
      <c r="H343" s="19"/>
      <c r="I343" s="19"/>
      <c r="J343" s="19"/>
      <c r="K343" s="10"/>
      <c r="L343" s="10"/>
      <c r="M343" s="10"/>
      <c r="N343" s="10"/>
      <c r="O343" s="18"/>
      <c r="P343" s="18"/>
      <c r="Q343" s="21"/>
      <c r="R343" s="20"/>
      <c r="S343" s="16">
        <f t="shared" si="237"/>
        <v>0</v>
      </c>
      <c r="T343" s="11"/>
      <c r="AS343" s="31">
        <f t="shared" si="238"/>
        <v>0</v>
      </c>
      <c r="AT343" s="31">
        <f t="shared" si="239"/>
        <v>0</v>
      </c>
      <c r="AU343" s="31">
        <f t="shared" si="240"/>
        <v>0</v>
      </c>
      <c r="AV343" s="31">
        <f t="shared" si="241"/>
        <v>0</v>
      </c>
      <c r="AW343" s="31">
        <f t="shared" si="242"/>
        <v>0</v>
      </c>
      <c r="AX343" s="31">
        <f t="shared" si="243"/>
        <v>0</v>
      </c>
      <c r="AY343" s="31">
        <f t="shared" si="244"/>
        <v>0</v>
      </c>
      <c r="AZ343" s="31">
        <f t="shared" si="245"/>
        <v>0</v>
      </c>
      <c r="BA343" s="31">
        <f t="shared" si="246"/>
        <v>0</v>
      </c>
      <c r="BB343" s="31">
        <f t="shared" si="275"/>
        <v>0</v>
      </c>
      <c r="BM343" s="8">
        <f t="shared" si="276"/>
        <v>0</v>
      </c>
      <c r="BN343" s="8">
        <f t="shared" si="247"/>
        <v>0</v>
      </c>
      <c r="BO343" s="8">
        <f t="shared" si="248"/>
        <v>0</v>
      </c>
      <c r="BQ343" s="8">
        <f t="shared" si="249"/>
        <v>0</v>
      </c>
      <c r="BR343" s="63">
        <f t="shared" si="250"/>
        <v>0</v>
      </c>
      <c r="BS343" s="63">
        <f t="shared" si="277"/>
        <v>0</v>
      </c>
      <c r="BT343" s="63">
        <f t="shared" si="251"/>
        <v>0</v>
      </c>
      <c r="BU343" s="63">
        <f t="shared" si="252"/>
        <v>0</v>
      </c>
      <c r="BV343" s="57">
        <f t="shared" si="253"/>
        <v>0</v>
      </c>
      <c r="BW343" s="57">
        <f t="shared" si="254"/>
        <v>0</v>
      </c>
      <c r="BX343" s="57">
        <f t="shared" si="278"/>
        <v>0</v>
      </c>
      <c r="BY343" s="57">
        <f t="shared" si="236"/>
        <v>0</v>
      </c>
      <c r="BZ343" s="8">
        <f t="shared" si="255"/>
        <v>0</v>
      </c>
      <c r="CA343" s="8">
        <f t="shared" si="256"/>
        <v>0</v>
      </c>
      <c r="CB343" s="8">
        <f t="shared" si="257"/>
        <v>0</v>
      </c>
      <c r="CC343" s="8">
        <f t="shared" si="258"/>
        <v>0</v>
      </c>
      <c r="CD343" s="8">
        <f t="shared" si="259"/>
        <v>0</v>
      </c>
      <c r="CE343" s="8">
        <f t="shared" si="260"/>
        <v>0</v>
      </c>
      <c r="CF343" s="8">
        <f t="shared" si="261"/>
        <v>0</v>
      </c>
      <c r="CG343" s="8">
        <f t="shared" si="262"/>
        <v>0</v>
      </c>
      <c r="CH343" s="8">
        <f t="shared" si="263"/>
        <v>0</v>
      </c>
      <c r="CI343" s="8">
        <f t="shared" si="264"/>
        <v>0</v>
      </c>
      <c r="CJ343" s="8">
        <f t="shared" si="265"/>
        <v>0</v>
      </c>
      <c r="CK343" s="8">
        <f t="shared" si="266"/>
        <v>0</v>
      </c>
      <c r="CL343" s="8">
        <f t="shared" si="267"/>
        <v>0</v>
      </c>
      <c r="CM343" s="8">
        <f t="shared" si="268"/>
        <v>0</v>
      </c>
      <c r="CN343" s="8">
        <f t="shared" si="269"/>
        <v>0</v>
      </c>
      <c r="CO343" s="8">
        <f t="shared" si="270"/>
        <v>0</v>
      </c>
      <c r="CP343" s="8">
        <f t="shared" si="271"/>
        <v>0</v>
      </c>
      <c r="CQ343" s="8">
        <f t="shared" si="272"/>
        <v>0</v>
      </c>
      <c r="CR343" s="8">
        <f t="shared" si="273"/>
        <v>0</v>
      </c>
      <c r="CS343" s="8">
        <f t="shared" si="274"/>
        <v>0</v>
      </c>
      <c r="CT343" s="8">
        <f t="shared" si="279"/>
        <v>0</v>
      </c>
      <c r="CU343" s="8">
        <f t="shared" si="280"/>
        <v>0</v>
      </c>
      <c r="CV343" s="8">
        <f t="shared" si="281"/>
        <v>0</v>
      </c>
    </row>
    <row r="344" spans="1:100" ht="20.5" thickTop="1" thickBot="1" x14ac:dyDescent="0.5">
      <c r="A344" s="32"/>
      <c r="B344" s="10"/>
      <c r="C344" s="10"/>
      <c r="D344" s="11"/>
      <c r="E344" s="10"/>
      <c r="F344" s="10"/>
      <c r="G344" s="19"/>
      <c r="H344" s="19"/>
      <c r="I344" s="19"/>
      <c r="J344" s="19"/>
      <c r="K344" s="10"/>
      <c r="L344" s="10"/>
      <c r="M344" s="10"/>
      <c r="N344" s="10"/>
      <c r="O344" s="18"/>
      <c r="P344" s="18"/>
      <c r="Q344" s="21"/>
      <c r="R344" s="20"/>
      <c r="S344" s="16">
        <f t="shared" si="237"/>
        <v>0</v>
      </c>
      <c r="T344" s="11"/>
      <c r="AS344" s="31">
        <f t="shared" si="238"/>
        <v>0</v>
      </c>
      <c r="AT344" s="31">
        <f t="shared" si="239"/>
        <v>0</v>
      </c>
      <c r="AU344" s="31">
        <f t="shared" si="240"/>
        <v>0</v>
      </c>
      <c r="AV344" s="31">
        <f t="shared" si="241"/>
        <v>0</v>
      </c>
      <c r="AW344" s="31">
        <f t="shared" si="242"/>
        <v>0</v>
      </c>
      <c r="AX344" s="31">
        <f t="shared" si="243"/>
        <v>0</v>
      </c>
      <c r="AY344" s="31">
        <f t="shared" si="244"/>
        <v>0</v>
      </c>
      <c r="AZ344" s="31">
        <f t="shared" si="245"/>
        <v>0</v>
      </c>
      <c r="BA344" s="31">
        <f t="shared" si="246"/>
        <v>0</v>
      </c>
      <c r="BB344" s="31">
        <f t="shared" si="275"/>
        <v>0</v>
      </c>
      <c r="BM344" s="8">
        <f t="shared" si="276"/>
        <v>0</v>
      </c>
      <c r="BN344" s="8">
        <f t="shared" si="247"/>
        <v>0</v>
      </c>
      <c r="BO344" s="8">
        <f t="shared" si="248"/>
        <v>0</v>
      </c>
      <c r="BQ344" s="8">
        <f t="shared" si="249"/>
        <v>0</v>
      </c>
      <c r="BR344" s="63">
        <f t="shared" si="250"/>
        <v>0</v>
      </c>
      <c r="BS344" s="63">
        <f t="shared" si="277"/>
        <v>0</v>
      </c>
      <c r="BT344" s="63">
        <f t="shared" si="251"/>
        <v>0</v>
      </c>
      <c r="BU344" s="63">
        <f t="shared" si="252"/>
        <v>0</v>
      </c>
      <c r="BV344" s="57">
        <f t="shared" si="253"/>
        <v>0</v>
      </c>
      <c r="BW344" s="57">
        <f t="shared" si="254"/>
        <v>0</v>
      </c>
      <c r="BX344" s="57">
        <f t="shared" si="278"/>
        <v>0</v>
      </c>
      <c r="BY344" s="57">
        <f t="shared" si="236"/>
        <v>0</v>
      </c>
      <c r="BZ344" s="8">
        <f t="shared" si="255"/>
        <v>0</v>
      </c>
      <c r="CA344" s="8">
        <f t="shared" si="256"/>
        <v>0</v>
      </c>
      <c r="CB344" s="8">
        <f t="shared" si="257"/>
        <v>0</v>
      </c>
      <c r="CC344" s="8">
        <f t="shared" si="258"/>
        <v>0</v>
      </c>
      <c r="CD344" s="8">
        <f t="shared" si="259"/>
        <v>0</v>
      </c>
      <c r="CE344" s="8">
        <f t="shared" si="260"/>
        <v>0</v>
      </c>
      <c r="CF344" s="8">
        <f t="shared" si="261"/>
        <v>0</v>
      </c>
      <c r="CG344" s="8">
        <f t="shared" si="262"/>
        <v>0</v>
      </c>
      <c r="CH344" s="8">
        <f t="shared" si="263"/>
        <v>0</v>
      </c>
      <c r="CI344" s="8">
        <f t="shared" si="264"/>
        <v>0</v>
      </c>
      <c r="CJ344" s="8">
        <f t="shared" si="265"/>
        <v>0</v>
      </c>
      <c r="CK344" s="8">
        <f t="shared" si="266"/>
        <v>0</v>
      </c>
      <c r="CL344" s="8">
        <f t="shared" si="267"/>
        <v>0</v>
      </c>
      <c r="CM344" s="8">
        <f t="shared" si="268"/>
        <v>0</v>
      </c>
      <c r="CN344" s="8">
        <f t="shared" si="269"/>
        <v>0</v>
      </c>
      <c r="CO344" s="8">
        <f t="shared" si="270"/>
        <v>0</v>
      </c>
      <c r="CP344" s="8">
        <f t="shared" si="271"/>
        <v>0</v>
      </c>
      <c r="CQ344" s="8">
        <f t="shared" si="272"/>
        <v>0</v>
      </c>
      <c r="CR344" s="8">
        <f t="shared" si="273"/>
        <v>0</v>
      </c>
      <c r="CS344" s="8">
        <f t="shared" si="274"/>
        <v>0</v>
      </c>
      <c r="CT344" s="8">
        <f t="shared" si="279"/>
        <v>0</v>
      </c>
      <c r="CU344" s="8">
        <f t="shared" si="280"/>
        <v>0</v>
      </c>
      <c r="CV344" s="8">
        <f t="shared" si="281"/>
        <v>0</v>
      </c>
    </row>
    <row r="345" spans="1:100" ht="20.5" thickTop="1" thickBot="1" x14ac:dyDescent="0.5">
      <c r="A345" s="32"/>
      <c r="B345" s="10"/>
      <c r="C345" s="10"/>
      <c r="D345" s="11"/>
      <c r="E345" s="10"/>
      <c r="F345" s="10"/>
      <c r="G345" s="19"/>
      <c r="H345" s="19"/>
      <c r="I345" s="19"/>
      <c r="J345" s="19"/>
      <c r="K345" s="10"/>
      <c r="L345" s="10"/>
      <c r="M345" s="10"/>
      <c r="N345" s="10"/>
      <c r="O345" s="18"/>
      <c r="P345" s="18"/>
      <c r="Q345" s="21"/>
      <c r="R345" s="20"/>
      <c r="S345" s="16">
        <f t="shared" si="237"/>
        <v>0</v>
      </c>
      <c r="T345" s="11"/>
      <c r="AS345" s="31">
        <f t="shared" si="238"/>
        <v>0</v>
      </c>
      <c r="AT345" s="31">
        <f t="shared" si="239"/>
        <v>0</v>
      </c>
      <c r="AU345" s="31">
        <f t="shared" si="240"/>
        <v>0</v>
      </c>
      <c r="AV345" s="31">
        <f t="shared" si="241"/>
        <v>0</v>
      </c>
      <c r="AW345" s="31">
        <f t="shared" si="242"/>
        <v>0</v>
      </c>
      <c r="AX345" s="31">
        <f t="shared" si="243"/>
        <v>0</v>
      </c>
      <c r="AY345" s="31">
        <f t="shared" si="244"/>
        <v>0</v>
      </c>
      <c r="AZ345" s="31">
        <f t="shared" si="245"/>
        <v>0</v>
      </c>
      <c r="BA345" s="31">
        <f t="shared" si="246"/>
        <v>0</v>
      </c>
      <c r="BB345" s="31">
        <f t="shared" si="275"/>
        <v>0</v>
      </c>
      <c r="BM345" s="8">
        <f t="shared" si="276"/>
        <v>0</v>
      </c>
      <c r="BN345" s="8">
        <f t="shared" si="247"/>
        <v>0</v>
      </c>
      <c r="BO345" s="8">
        <f t="shared" si="248"/>
        <v>0</v>
      </c>
      <c r="BQ345" s="8">
        <f t="shared" si="249"/>
        <v>0</v>
      </c>
      <c r="BR345" s="63">
        <f t="shared" si="250"/>
        <v>0</v>
      </c>
      <c r="BS345" s="63">
        <f t="shared" si="277"/>
        <v>0</v>
      </c>
      <c r="BT345" s="63">
        <f t="shared" si="251"/>
        <v>0</v>
      </c>
      <c r="BU345" s="63">
        <f t="shared" si="252"/>
        <v>0</v>
      </c>
      <c r="BV345" s="57">
        <f t="shared" si="253"/>
        <v>0</v>
      </c>
      <c r="BW345" s="57">
        <f t="shared" si="254"/>
        <v>0</v>
      </c>
      <c r="BX345" s="57">
        <f t="shared" si="278"/>
        <v>0</v>
      </c>
      <c r="BY345" s="57">
        <f t="shared" si="236"/>
        <v>0</v>
      </c>
      <c r="BZ345" s="8">
        <f t="shared" si="255"/>
        <v>0</v>
      </c>
      <c r="CA345" s="8">
        <f t="shared" si="256"/>
        <v>0</v>
      </c>
      <c r="CB345" s="8">
        <f t="shared" si="257"/>
        <v>0</v>
      </c>
      <c r="CC345" s="8">
        <f t="shared" si="258"/>
        <v>0</v>
      </c>
      <c r="CD345" s="8">
        <f t="shared" si="259"/>
        <v>0</v>
      </c>
      <c r="CE345" s="8">
        <f t="shared" si="260"/>
        <v>0</v>
      </c>
      <c r="CF345" s="8">
        <f t="shared" si="261"/>
        <v>0</v>
      </c>
      <c r="CG345" s="8">
        <f t="shared" si="262"/>
        <v>0</v>
      </c>
      <c r="CH345" s="8">
        <f t="shared" si="263"/>
        <v>0</v>
      </c>
      <c r="CI345" s="8">
        <f t="shared" si="264"/>
        <v>0</v>
      </c>
      <c r="CJ345" s="8">
        <f t="shared" si="265"/>
        <v>0</v>
      </c>
      <c r="CK345" s="8">
        <f t="shared" si="266"/>
        <v>0</v>
      </c>
      <c r="CL345" s="8">
        <f t="shared" si="267"/>
        <v>0</v>
      </c>
      <c r="CM345" s="8">
        <f t="shared" si="268"/>
        <v>0</v>
      </c>
      <c r="CN345" s="8">
        <f t="shared" si="269"/>
        <v>0</v>
      </c>
      <c r="CO345" s="8">
        <f t="shared" si="270"/>
        <v>0</v>
      </c>
      <c r="CP345" s="8">
        <f t="shared" si="271"/>
        <v>0</v>
      </c>
      <c r="CQ345" s="8">
        <f t="shared" si="272"/>
        <v>0</v>
      </c>
      <c r="CR345" s="8">
        <f t="shared" si="273"/>
        <v>0</v>
      </c>
      <c r="CS345" s="8">
        <f t="shared" si="274"/>
        <v>0</v>
      </c>
      <c r="CT345" s="8">
        <f t="shared" si="279"/>
        <v>0</v>
      </c>
      <c r="CU345" s="8">
        <f t="shared" si="280"/>
        <v>0</v>
      </c>
      <c r="CV345" s="8">
        <f t="shared" si="281"/>
        <v>0</v>
      </c>
    </row>
    <row r="346" spans="1:100" ht="20.5" thickTop="1" thickBot="1" x14ac:dyDescent="0.5">
      <c r="A346" s="32"/>
      <c r="B346" s="10"/>
      <c r="C346" s="10"/>
      <c r="D346" s="11"/>
      <c r="E346" s="10"/>
      <c r="F346" s="10"/>
      <c r="G346" s="19"/>
      <c r="H346" s="19"/>
      <c r="I346" s="19"/>
      <c r="J346" s="19"/>
      <c r="K346" s="10"/>
      <c r="L346" s="10"/>
      <c r="M346" s="10"/>
      <c r="N346" s="10"/>
      <c r="O346" s="18"/>
      <c r="P346" s="18"/>
      <c r="Q346" s="21"/>
      <c r="R346" s="20"/>
      <c r="S346" s="16">
        <f t="shared" si="237"/>
        <v>0</v>
      </c>
      <c r="T346" s="11"/>
      <c r="AS346" s="31">
        <f t="shared" si="238"/>
        <v>0</v>
      </c>
      <c r="AT346" s="31">
        <f t="shared" si="239"/>
        <v>0</v>
      </c>
      <c r="AU346" s="31">
        <f t="shared" si="240"/>
        <v>0</v>
      </c>
      <c r="AV346" s="31">
        <f t="shared" si="241"/>
        <v>0</v>
      </c>
      <c r="AW346" s="31">
        <f t="shared" si="242"/>
        <v>0</v>
      </c>
      <c r="AX346" s="31">
        <f t="shared" si="243"/>
        <v>0</v>
      </c>
      <c r="AY346" s="31">
        <f t="shared" si="244"/>
        <v>0</v>
      </c>
      <c r="AZ346" s="31">
        <f t="shared" si="245"/>
        <v>0</v>
      </c>
      <c r="BA346" s="31">
        <f t="shared" si="246"/>
        <v>0</v>
      </c>
      <c r="BB346" s="31">
        <f t="shared" si="275"/>
        <v>0</v>
      </c>
      <c r="BM346" s="8">
        <f t="shared" si="276"/>
        <v>0</v>
      </c>
      <c r="BN346" s="8">
        <f t="shared" si="247"/>
        <v>0</v>
      </c>
      <c r="BO346" s="8">
        <f t="shared" si="248"/>
        <v>0</v>
      </c>
      <c r="BQ346" s="8">
        <f t="shared" si="249"/>
        <v>0</v>
      </c>
      <c r="BR346" s="63">
        <f t="shared" si="250"/>
        <v>0</v>
      </c>
      <c r="BS346" s="63">
        <f t="shared" si="277"/>
        <v>0</v>
      </c>
      <c r="BT346" s="63">
        <f t="shared" si="251"/>
        <v>0</v>
      </c>
      <c r="BU346" s="63">
        <f t="shared" si="252"/>
        <v>0</v>
      </c>
      <c r="BV346" s="57">
        <f t="shared" si="253"/>
        <v>0</v>
      </c>
      <c r="BW346" s="57">
        <f t="shared" si="254"/>
        <v>0</v>
      </c>
      <c r="BX346" s="57">
        <f t="shared" si="278"/>
        <v>0</v>
      </c>
      <c r="BY346" s="57">
        <f t="shared" si="236"/>
        <v>0</v>
      </c>
      <c r="BZ346" s="8">
        <f t="shared" si="255"/>
        <v>0</v>
      </c>
      <c r="CA346" s="8">
        <f t="shared" si="256"/>
        <v>0</v>
      </c>
      <c r="CB346" s="8">
        <f t="shared" si="257"/>
        <v>0</v>
      </c>
      <c r="CC346" s="8">
        <f t="shared" si="258"/>
        <v>0</v>
      </c>
      <c r="CD346" s="8">
        <f t="shared" si="259"/>
        <v>0</v>
      </c>
      <c r="CE346" s="8">
        <f t="shared" si="260"/>
        <v>0</v>
      </c>
      <c r="CF346" s="8">
        <f t="shared" si="261"/>
        <v>0</v>
      </c>
      <c r="CG346" s="8">
        <f t="shared" si="262"/>
        <v>0</v>
      </c>
      <c r="CH346" s="8">
        <f t="shared" si="263"/>
        <v>0</v>
      </c>
      <c r="CI346" s="8">
        <f t="shared" si="264"/>
        <v>0</v>
      </c>
      <c r="CJ346" s="8">
        <f t="shared" si="265"/>
        <v>0</v>
      </c>
      <c r="CK346" s="8">
        <f t="shared" si="266"/>
        <v>0</v>
      </c>
      <c r="CL346" s="8">
        <f t="shared" si="267"/>
        <v>0</v>
      </c>
      <c r="CM346" s="8">
        <f t="shared" si="268"/>
        <v>0</v>
      </c>
      <c r="CN346" s="8">
        <f t="shared" si="269"/>
        <v>0</v>
      </c>
      <c r="CO346" s="8">
        <f t="shared" si="270"/>
        <v>0</v>
      </c>
      <c r="CP346" s="8">
        <f t="shared" si="271"/>
        <v>0</v>
      </c>
      <c r="CQ346" s="8">
        <f t="shared" si="272"/>
        <v>0</v>
      </c>
      <c r="CR346" s="8">
        <f t="shared" si="273"/>
        <v>0</v>
      </c>
      <c r="CS346" s="8">
        <f t="shared" si="274"/>
        <v>0</v>
      </c>
      <c r="CT346" s="8">
        <f t="shared" si="279"/>
        <v>0</v>
      </c>
      <c r="CU346" s="8">
        <f t="shared" si="280"/>
        <v>0</v>
      </c>
      <c r="CV346" s="8">
        <f t="shared" si="281"/>
        <v>0</v>
      </c>
    </row>
    <row r="347" spans="1:100" ht="20.5" thickTop="1" thickBot="1" x14ac:dyDescent="0.5">
      <c r="A347" s="32"/>
      <c r="B347" s="10"/>
      <c r="C347" s="10"/>
      <c r="D347" s="11"/>
      <c r="E347" s="10"/>
      <c r="F347" s="10"/>
      <c r="G347" s="19"/>
      <c r="H347" s="19"/>
      <c r="I347" s="19"/>
      <c r="J347" s="19"/>
      <c r="K347" s="10"/>
      <c r="L347" s="10"/>
      <c r="M347" s="10"/>
      <c r="N347" s="10"/>
      <c r="O347" s="18"/>
      <c r="P347" s="18"/>
      <c r="Q347" s="21"/>
      <c r="R347" s="20"/>
      <c r="S347" s="16">
        <f t="shared" si="237"/>
        <v>0</v>
      </c>
      <c r="T347" s="11"/>
      <c r="AS347" s="31">
        <f t="shared" si="238"/>
        <v>0</v>
      </c>
      <c r="AT347" s="31">
        <f t="shared" si="239"/>
        <v>0</v>
      </c>
      <c r="AU347" s="31">
        <f t="shared" si="240"/>
        <v>0</v>
      </c>
      <c r="AV347" s="31">
        <f t="shared" si="241"/>
        <v>0</v>
      </c>
      <c r="AW347" s="31">
        <f t="shared" si="242"/>
        <v>0</v>
      </c>
      <c r="AX347" s="31">
        <f t="shared" si="243"/>
        <v>0</v>
      </c>
      <c r="AY347" s="31">
        <f t="shared" si="244"/>
        <v>0</v>
      </c>
      <c r="AZ347" s="31">
        <f t="shared" si="245"/>
        <v>0</v>
      </c>
      <c r="BA347" s="31">
        <f t="shared" si="246"/>
        <v>0</v>
      </c>
      <c r="BB347" s="31">
        <f t="shared" si="275"/>
        <v>0</v>
      </c>
      <c r="BM347" s="8">
        <f t="shared" si="276"/>
        <v>0</v>
      </c>
      <c r="BN347" s="8">
        <f t="shared" si="247"/>
        <v>0</v>
      </c>
      <c r="BO347" s="8">
        <f t="shared" si="248"/>
        <v>0</v>
      </c>
      <c r="BQ347" s="8">
        <f t="shared" si="249"/>
        <v>0</v>
      </c>
      <c r="BR347" s="63">
        <f t="shared" si="250"/>
        <v>0</v>
      </c>
      <c r="BS347" s="63">
        <f t="shared" si="277"/>
        <v>0</v>
      </c>
      <c r="BT347" s="63">
        <f t="shared" si="251"/>
        <v>0</v>
      </c>
      <c r="BU347" s="63">
        <f t="shared" si="252"/>
        <v>0</v>
      </c>
      <c r="BV347" s="57">
        <f t="shared" si="253"/>
        <v>0</v>
      </c>
      <c r="BW347" s="57">
        <f t="shared" si="254"/>
        <v>0</v>
      </c>
      <c r="BX347" s="57">
        <f t="shared" si="278"/>
        <v>0</v>
      </c>
      <c r="BY347" s="57">
        <f t="shared" si="236"/>
        <v>0</v>
      </c>
      <c r="BZ347" s="8">
        <f t="shared" si="255"/>
        <v>0</v>
      </c>
      <c r="CA347" s="8">
        <f t="shared" si="256"/>
        <v>0</v>
      </c>
      <c r="CB347" s="8">
        <f t="shared" si="257"/>
        <v>0</v>
      </c>
      <c r="CC347" s="8">
        <f t="shared" si="258"/>
        <v>0</v>
      </c>
      <c r="CD347" s="8">
        <f t="shared" si="259"/>
        <v>0</v>
      </c>
      <c r="CE347" s="8">
        <f t="shared" si="260"/>
        <v>0</v>
      </c>
      <c r="CF347" s="8">
        <f t="shared" si="261"/>
        <v>0</v>
      </c>
      <c r="CG347" s="8">
        <f t="shared" si="262"/>
        <v>0</v>
      </c>
      <c r="CH347" s="8">
        <f t="shared" si="263"/>
        <v>0</v>
      </c>
      <c r="CI347" s="8">
        <f t="shared" si="264"/>
        <v>0</v>
      </c>
      <c r="CJ347" s="8">
        <f t="shared" si="265"/>
        <v>0</v>
      </c>
      <c r="CK347" s="8">
        <f t="shared" si="266"/>
        <v>0</v>
      </c>
      <c r="CL347" s="8">
        <f t="shared" si="267"/>
        <v>0</v>
      </c>
      <c r="CM347" s="8">
        <f t="shared" si="268"/>
        <v>0</v>
      </c>
      <c r="CN347" s="8">
        <f t="shared" si="269"/>
        <v>0</v>
      </c>
      <c r="CO347" s="8">
        <f t="shared" si="270"/>
        <v>0</v>
      </c>
      <c r="CP347" s="8">
        <f t="shared" si="271"/>
        <v>0</v>
      </c>
      <c r="CQ347" s="8">
        <f t="shared" si="272"/>
        <v>0</v>
      </c>
      <c r="CR347" s="8">
        <f t="shared" si="273"/>
        <v>0</v>
      </c>
      <c r="CS347" s="8">
        <f t="shared" si="274"/>
        <v>0</v>
      </c>
      <c r="CT347" s="8">
        <f t="shared" si="279"/>
        <v>0</v>
      </c>
      <c r="CU347" s="8">
        <f t="shared" si="280"/>
        <v>0</v>
      </c>
      <c r="CV347" s="8">
        <f t="shared" si="281"/>
        <v>0</v>
      </c>
    </row>
    <row r="348" spans="1:100" ht="20.5" thickTop="1" thickBot="1" x14ac:dyDescent="0.5">
      <c r="A348" s="32"/>
      <c r="B348" s="10"/>
      <c r="C348" s="10"/>
      <c r="D348" s="11"/>
      <c r="E348" s="10"/>
      <c r="F348" s="10"/>
      <c r="G348" s="19"/>
      <c r="H348" s="19"/>
      <c r="I348" s="19"/>
      <c r="J348" s="19"/>
      <c r="K348" s="10"/>
      <c r="L348" s="10"/>
      <c r="M348" s="10"/>
      <c r="N348" s="10"/>
      <c r="O348" s="18"/>
      <c r="P348" s="18"/>
      <c r="Q348" s="21"/>
      <c r="R348" s="20"/>
      <c r="S348" s="16">
        <f t="shared" si="237"/>
        <v>0</v>
      </c>
      <c r="T348" s="11"/>
      <c r="AS348" s="31">
        <f t="shared" si="238"/>
        <v>0</v>
      </c>
      <c r="AT348" s="31">
        <f t="shared" si="239"/>
        <v>0</v>
      </c>
      <c r="AU348" s="31">
        <f t="shared" si="240"/>
        <v>0</v>
      </c>
      <c r="AV348" s="31">
        <f t="shared" si="241"/>
        <v>0</v>
      </c>
      <c r="AW348" s="31">
        <f t="shared" si="242"/>
        <v>0</v>
      </c>
      <c r="AX348" s="31">
        <f t="shared" si="243"/>
        <v>0</v>
      </c>
      <c r="AY348" s="31">
        <f t="shared" si="244"/>
        <v>0</v>
      </c>
      <c r="AZ348" s="31">
        <f t="shared" si="245"/>
        <v>0</v>
      </c>
      <c r="BA348" s="31">
        <f t="shared" si="246"/>
        <v>0</v>
      </c>
      <c r="BB348" s="31">
        <f t="shared" si="275"/>
        <v>0</v>
      </c>
      <c r="BM348" s="8">
        <f t="shared" si="276"/>
        <v>0</v>
      </c>
      <c r="BN348" s="8">
        <f t="shared" si="247"/>
        <v>0</v>
      </c>
      <c r="BO348" s="8">
        <f t="shared" si="248"/>
        <v>0</v>
      </c>
      <c r="BQ348" s="8">
        <f t="shared" si="249"/>
        <v>0</v>
      </c>
      <c r="BR348" s="63">
        <f t="shared" si="250"/>
        <v>0</v>
      </c>
      <c r="BS348" s="63">
        <f t="shared" si="277"/>
        <v>0</v>
      </c>
      <c r="BT348" s="63">
        <f t="shared" si="251"/>
        <v>0</v>
      </c>
      <c r="BU348" s="63">
        <f t="shared" si="252"/>
        <v>0</v>
      </c>
      <c r="BV348" s="57">
        <f t="shared" si="253"/>
        <v>0</v>
      </c>
      <c r="BW348" s="57">
        <f t="shared" si="254"/>
        <v>0</v>
      </c>
      <c r="BX348" s="57">
        <f t="shared" si="278"/>
        <v>0</v>
      </c>
      <c r="BY348" s="57">
        <f t="shared" si="236"/>
        <v>0</v>
      </c>
      <c r="BZ348" s="8">
        <f t="shared" si="255"/>
        <v>0</v>
      </c>
      <c r="CA348" s="8">
        <f t="shared" si="256"/>
        <v>0</v>
      </c>
      <c r="CB348" s="8">
        <f t="shared" si="257"/>
        <v>0</v>
      </c>
      <c r="CC348" s="8">
        <f t="shared" si="258"/>
        <v>0</v>
      </c>
      <c r="CD348" s="8">
        <f t="shared" si="259"/>
        <v>0</v>
      </c>
      <c r="CE348" s="8">
        <f t="shared" si="260"/>
        <v>0</v>
      </c>
      <c r="CF348" s="8">
        <f t="shared" si="261"/>
        <v>0</v>
      </c>
      <c r="CG348" s="8">
        <f t="shared" si="262"/>
        <v>0</v>
      </c>
      <c r="CH348" s="8">
        <f t="shared" si="263"/>
        <v>0</v>
      </c>
      <c r="CI348" s="8">
        <f t="shared" si="264"/>
        <v>0</v>
      </c>
      <c r="CJ348" s="8">
        <f t="shared" si="265"/>
        <v>0</v>
      </c>
      <c r="CK348" s="8">
        <f t="shared" si="266"/>
        <v>0</v>
      </c>
      <c r="CL348" s="8">
        <f t="shared" si="267"/>
        <v>0</v>
      </c>
      <c r="CM348" s="8">
        <f t="shared" si="268"/>
        <v>0</v>
      </c>
      <c r="CN348" s="8">
        <f t="shared" si="269"/>
        <v>0</v>
      </c>
      <c r="CO348" s="8">
        <f t="shared" si="270"/>
        <v>0</v>
      </c>
      <c r="CP348" s="8">
        <f t="shared" si="271"/>
        <v>0</v>
      </c>
      <c r="CQ348" s="8">
        <f t="shared" si="272"/>
        <v>0</v>
      </c>
      <c r="CR348" s="8">
        <f t="shared" si="273"/>
        <v>0</v>
      </c>
      <c r="CS348" s="8">
        <f t="shared" si="274"/>
        <v>0</v>
      </c>
      <c r="CT348" s="8">
        <f t="shared" si="279"/>
        <v>0</v>
      </c>
      <c r="CU348" s="8">
        <f t="shared" si="280"/>
        <v>0</v>
      </c>
      <c r="CV348" s="8">
        <f t="shared" si="281"/>
        <v>0</v>
      </c>
    </row>
    <row r="349" spans="1:100" ht="20.5" thickTop="1" thickBot="1" x14ac:dyDescent="0.5">
      <c r="A349" s="32"/>
      <c r="B349" s="10"/>
      <c r="C349" s="10"/>
      <c r="D349" s="11"/>
      <c r="E349" s="10"/>
      <c r="F349" s="10"/>
      <c r="G349" s="19"/>
      <c r="H349" s="19"/>
      <c r="I349" s="19"/>
      <c r="J349" s="19"/>
      <c r="K349" s="10"/>
      <c r="L349" s="10"/>
      <c r="M349" s="10"/>
      <c r="N349" s="10"/>
      <c r="O349" s="18"/>
      <c r="P349" s="18"/>
      <c r="Q349" s="21"/>
      <c r="R349" s="20"/>
      <c r="S349" s="16">
        <f t="shared" si="237"/>
        <v>0</v>
      </c>
      <c r="T349" s="11"/>
      <c r="AS349" s="31">
        <f t="shared" si="238"/>
        <v>0</v>
      </c>
      <c r="AT349" s="31">
        <f t="shared" si="239"/>
        <v>0</v>
      </c>
      <c r="AU349" s="31">
        <f t="shared" si="240"/>
        <v>0</v>
      </c>
      <c r="AV349" s="31">
        <f t="shared" si="241"/>
        <v>0</v>
      </c>
      <c r="AW349" s="31">
        <f t="shared" si="242"/>
        <v>0</v>
      </c>
      <c r="AX349" s="31">
        <f t="shared" si="243"/>
        <v>0</v>
      </c>
      <c r="AY349" s="31">
        <f t="shared" si="244"/>
        <v>0</v>
      </c>
      <c r="AZ349" s="31">
        <f t="shared" si="245"/>
        <v>0</v>
      </c>
      <c r="BA349" s="31">
        <f t="shared" si="246"/>
        <v>0</v>
      </c>
      <c r="BB349" s="31">
        <f t="shared" si="275"/>
        <v>0</v>
      </c>
      <c r="BM349" s="8">
        <f t="shared" si="276"/>
        <v>0</v>
      </c>
      <c r="BN349" s="8">
        <f t="shared" si="247"/>
        <v>0</v>
      </c>
      <c r="BO349" s="8">
        <f t="shared" si="248"/>
        <v>0</v>
      </c>
      <c r="BQ349" s="8">
        <f t="shared" si="249"/>
        <v>0</v>
      </c>
      <c r="BR349" s="63">
        <f t="shared" si="250"/>
        <v>0</v>
      </c>
      <c r="BS349" s="63">
        <f t="shared" si="277"/>
        <v>0</v>
      </c>
      <c r="BT349" s="63">
        <f t="shared" si="251"/>
        <v>0</v>
      </c>
      <c r="BU349" s="63">
        <f t="shared" si="252"/>
        <v>0</v>
      </c>
      <c r="BV349" s="57">
        <f t="shared" si="253"/>
        <v>0</v>
      </c>
      <c r="BW349" s="57">
        <f t="shared" si="254"/>
        <v>0</v>
      </c>
      <c r="BX349" s="57">
        <f t="shared" si="278"/>
        <v>0</v>
      </c>
      <c r="BY349" s="57">
        <f t="shared" ref="BY349:BY412" si="282">IF(AND(OR(N349="YES",N349="HDD",N349="EX PIPES"),K349=""),D349*(F349+G349),0)</f>
        <v>0</v>
      </c>
      <c r="BZ349" s="8">
        <f t="shared" si="255"/>
        <v>0</v>
      </c>
      <c r="CA349" s="8">
        <f t="shared" si="256"/>
        <v>0</v>
      </c>
      <c r="CB349" s="8">
        <f t="shared" si="257"/>
        <v>0</v>
      </c>
      <c r="CC349" s="8">
        <f t="shared" si="258"/>
        <v>0</v>
      </c>
      <c r="CD349" s="8">
        <f t="shared" si="259"/>
        <v>0</v>
      </c>
      <c r="CE349" s="8">
        <f t="shared" si="260"/>
        <v>0</v>
      </c>
      <c r="CF349" s="8">
        <f t="shared" si="261"/>
        <v>0</v>
      </c>
      <c r="CG349" s="8">
        <f t="shared" si="262"/>
        <v>0</v>
      </c>
      <c r="CH349" s="8">
        <f t="shared" si="263"/>
        <v>0</v>
      </c>
      <c r="CI349" s="8">
        <f t="shared" si="264"/>
        <v>0</v>
      </c>
      <c r="CJ349" s="8">
        <f t="shared" si="265"/>
        <v>0</v>
      </c>
      <c r="CK349" s="8">
        <f t="shared" si="266"/>
        <v>0</v>
      </c>
      <c r="CL349" s="8">
        <f t="shared" si="267"/>
        <v>0</v>
      </c>
      <c r="CM349" s="8">
        <f t="shared" si="268"/>
        <v>0</v>
      </c>
      <c r="CN349" s="8">
        <f t="shared" si="269"/>
        <v>0</v>
      </c>
      <c r="CO349" s="8">
        <f t="shared" si="270"/>
        <v>0</v>
      </c>
      <c r="CP349" s="8">
        <f t="shared" si="271"/>
        <v>0</v>
      </c>
      <c r="CQ349" s="8">
        <f t="shared" si="272"/>
        <v>0</v>
      </c>
      <c r="CR349" s="8">
        <f t="shared" si="273"/>
        <v>0</v>
      </c>
      <c r="CS349" s="8">
        <f t="shared" si="274"/>
        <v>0</v>
      </c>
      <c r="CT349" s="8">
        <f t="shared" si="279"/>
        <v>0</v>
      </c>
      <c r="CU349" s="8">
        <f t="shared" si="280"/>
        <v>0</v>
      </c>
      <c r="CV349" s="8">
        <f t="shared" si="281"/>
        <v>0</v>
      </c>
    </row>
    <row r="350" spans="1:100" ht="20.5" thickTop="1" thickBot="1" x14ac:dyDescent="0.5">
      <c r="A350" s="32"/>
      <c r="B350" s="10"/>
      <c r="C350" s="10"/>
      <c r="D350" s="11"/>
      <c r="E350" s="10"/>
      <c r="F350" s="10"/>
      <c r="G350" s="19"/>
      <c r="H350" s="19"/>
      <c r="I350" s="19"/>
      <c r="J350" s="19"/>
      <c r="K350" s="10"/>
      <c r="L350" s="10"/>
      <c r="M350" s="10"/>
      <c r="N350" s="10"/>
      <c r="O350" s="18"/>
      <c r="P350" s="18"/>
      <c r="Q350" s="21"/>
      <c r="R350" s="20"/>
      <c r="S350" s="16">
        <f t="shared" si="237"/>
        <v>0</v>
      </c>
      <c r="T350" s="11"/>
      <c r="AS350" s="31">
        <f t="shared" si="238"/>
        <v>0</v>
      </c>
      <c r="AT350" s="31">
        <f t="shared" si="239"/>
        <v>0</v>
      </c>
      <c r="AU350" s="31">
        <f t="shared" si="240"/>
        <v>0</v>
      </c>
      <c r="AV350" s="31">
        <f t="shared" si="241"/>
        <v>0</v>
      </c>
      <c r="AW350" s="31">
        <f t="shared" si="242"/>
        <v>0</v>
      </c>
      <c r="AX350" s="31">
        <f t="shared" si="243"/>
        <v>0</v>
      </c>
      <c r="AY350" s="31">
        <f t="shared" si="244"/>
        <v>0</v>
      </c>
      <c r="AZ350" s="31">
        <f t="shared" si="245"/>
        <v>0</v>
      </c>
      <c r="BA350" s="31">
        <f t="shared" si="246"/>
        <v>0</v>
      </c>
      <c r="BB350" s="31">
        <f t="shared" si="275"/>
        <v>0</v>
      </c>
      <c r="BM350" s="8">
        <f t="shared" si="276"/>
        <v>0</v>
      </c>
      <c r="BN350" s="8">
        <f t="shared" si="247"/>
        <v>0</v>
      </c>
      <c r="BO350" s="8">
        <f t="shared" si="248"/>
        <v>0</v>
      </c>
      <c r="BQ350" s="8">
        <f t="shared" si="249"/>
        <v>0</v>
      </c>
      <c r="BR350" s="63">
        <f t="shared" si="250"/>
        <v>0</v>
      </c>
      <c r="BS350" s="63">
        <f t="shared" si="277"/>
        <v>0</v>
      </c>
      <c r="BT350" s="63">
        <f t="shared" si="251"/>
        <v>0</v>
      </c>
      <c r="BU350" s="63">
        <f t="shared" si="252"/>
        <v>0</v>
      </c>
      <c r="BV350" s="57">
        <f t="shared" si="253"/>
        <v>0</v>
      </c>
      <c r="BW350" s="57">
        <f t="shared" si="254"/>
        <v>0</v>
      </c>
      <c r="BX350" s="57">
        <f t="shared" si="278"/>
        <v>0</v>
      </c>
      <c r="BY350" s="57">
        <f t="shared" si="282"/>
        <v>0</v>
      </c>
      <c r="BZ350" s="8">
        <f t="shared" si="255"/>
        <v>0</v>
      </c>
      <c r="CA350" s="8">
        <f t="shared" si="256"/>
        <v>0</v>
      </c>
      <c r="CB350" s="8">
        <f t="shared" si="257"/>
        <v>0</v>
      </c>
      <c r="CC350" s="8">
        <f t="shared" si="258"/>
        <v>0</v>
      </c>
      <c r="CD350" s="8">
        <f t="shared" si="259"/>
        <v>0</v>
      </c>
      <c r="CE350" s="8">
        <f t="shared" si="260"/>
        <v>0</v>
      </c>
      <c r="CF350" s="8">
        <f t="shared" si="261"/>
        <v>0</v>
      </c>
      <c r="CG350" s="8">
        <f t="shared" si="262"/>
        <v>0</v>
      </c>
      <c r="CH350" s="8">
        <f t="shared" si="263"/>
        <v>0</v>
      </c>
      <c r="CI350" s="8">
        <f t="shared" si="264"/>
        <v>0</v>
      </c>
      <c r="CJ350" s="8">
        <f t="shared" si="265"/>
        <v>0</v>
      </c>
      <c r="CK350" s="8">
        <f t="shared" si="266"/>
        <v>0</v>
      </c>
      <c r="CL350" s="8">
        <f t="shared" si="267"/>
        <v>0</v>
      </c>
      <c r="CM350" s="8">
        <f t="shared" si="268"/>
        <v>0</v>
      </c>
      <c r="CN350" s="8">
        <f t="shared" si="269"/>
        <v>0</v>
      </c>
      <c r="CO350" s="8">
        <f t="shared" si="270"/>
        <v>0</v>
      </c>
      <c r="CP350" s="8">
        <f t="shared" si="271"/>
        <v>0</v>
      </c>
      <c r="CQ350" s="8">
        <f t="shared" si="272"/>
        <v>0</v>
      </c>
      <c r="CR350" s="8">
        <f t="shared" si="273"/>
        <v>0</v>
      </c>
      <c r="CS350" s="8">
        <f t="shared" si="274"/>
        <v>0</v>
      </c>
      <c r="CT350" s="8">
        <f t="shared" si="279"/>
        <v>0</v>
      </c>
      <c r="CU350" s="8">
        <f t="shared" si="280"/>
        <v>0</v>
      </c>
      <c r="CV350" s="8">
        <f t="shared" si="281"/>
        <v>0</v>
      </c>
    </row>
    <row r="351" spans="1:100" ht="20.5" thickTop="1" thickBot="1" x14ac:dyDescent="0.5">
      <c r="A351" s="32"/>
      <c r="B351" s="10"/>
      <c r="C351" s="10"/>
      <c r="D351" s="11"/>
      <c r="E351" s="10"/>
      <c r="F351" s="10"/>
      <c r="G351" s="19"/>
      <c r="H351" s="19"/>
      <c r="I351" s="19"/>
      <c r="J351" s="19"/>
      <c r="K351" s="10"/>
      <c r="L351" s="10"/>
      <c r="M351" s="10"/>
      <c r="N351" s="10"/>
      <c r="O351" s="18"/>
      <c r="P351" s="18"/>
      <c r="Q351" s="21"/>
      <c r="R351" s="20"/>
      <c r="S351" s="16">
        <f t="shared" si="237"/>
        <v>0</v>
      </c>
      <c r="T351" s="11"/>
      <c r="AS351" s="31">
        <f t="shared" si="238"/>
        <v>0</v>
      </c>
      <c r="AT351" s="31">
        <f t="shared" si="239"/>
        <v>0</v>
      </c>
      <c r="AU351" s="31">
        <f t="shared" si="240"/>
        <v>0</v>
      </c>
      <c r="AV351" s="31">
        <f t="shared" si="241"/>
        <v>0</v>
      </c>
      <c r="AW351" s="31">
        <f t="shared" si="242"/>
        <v>0</v>
      </c>
      <c r="AX351" s="31">
        <f t="shared" si="243"/>
        <v>0</v>
      </c>
      <c r="AY351" s="31">
        <f t="shared" si="244"/>
        <v>0</v>
      </c>
      <c r="AZ351" s="31">
        <f t="shared" si="245"/>
        <v>0</v>
      </c>
      <c r="BA351" s="31">
        <f t="shared" si="246"/>
        <v>0</v>
      </c>
      <c r="BB351" s="31">
        <f t="shared" si="275"/>
        <v>0</v>
      </c>
      <c r="BM351" s="8">
        <f t="shared" si="276"/>
        <v>0</v>
      </c>
      <c r="BN351" s="8">
        <f t="shared" si="247"/>
        <v>0</v>
      </c>
      <c r="BO351" s="8">
        <f t="shared" si="248"/>
        <v>0</v>
      </c>
      <c r="BQ351" s="8">
        <f t="shared" si="249"/>
        <v>0</v>
      </c>
      <c r="BR351" s="63">
        <f t="shared" si="250"/>
        <v>0</v>
      </c>
      <c r="BS351" s="63">
        <f t="shared" si="277"/>
        <v>0</v>
      </c>
      <c r="BT351" s="63">
        <f t="shared" si="251"/>
        <v>0</v>
      </c>
      <c r="BU351" s="63">
        <f t="shared" si="252"/>
        <v>0</v>
      </c>
      <c r="BV351" s="57">
        <f t="shared" si="253"/>
        <v>0</v>
      </c>
      <c r="BW351" s="57">
        <f t="shared" si="254"/>
        <v>0</v>
      </c>
      <c r="BX351" s="57">
        <f t="shared" si="278"/>
        <v>0</v>
      </c>
      <c r="BY351" s="57">
        <f t="shared" si="282"/>
        <v>0</v>
      </c>
      <c r="BZ351" s="8">
        <f t="shared" si="255"/>
        <v>0</v>
      </c>
      <c r="CA351" s="8">
        <f t="shared" si="256"/>
        <v>0</v>
      </c>
      <c r="CB351" s="8">
        <f t="shared" si="257"/>
        <v>0</v>
      </c>
      <c r="CC351" s="8">
        <f t="shared" si="258"/>
        <v>0</v>
      </c>
      <c r="CD351" s="8">
        <f t="shared" si="259"/>
        <v>0</v>
      </c>
      <c r="CE351" s="8">
        <f t="shared" si="260"/>
        <v>0</v>
      </c>
      <c r="CF351" s="8">
        <f t="shared" si="261"/>
        <v>0</v>
      </c>
      <c r="CG351" s="8">
        <f t="shared" si="262"/>
        <v>0</v>
      </c>
      <c r="CH351" s="8">
        <f t="shared" si="263"/>
        <v>0</v>
      </c>
      <c r="CI351" s="8">
        <f t="shared" si="264"/>
        <v>0</v>
      </c>
      <c r="CJ351" s="8">
        <f t="shared" si="265"/>
        <v>0</v>
      </c>
      <c r="CK351" s="8">
        <f t="shared" si="266"/>
        <v>0</v>
      </c>
      <c r="CL351" s="8">
        <f t="shared" si="267"/>
        <v>0</v>
      </c>
      <c r="CM351" s="8">
        <f t="shared" si="268"/>
        <v>0</v>
      </c>
      <c r="CN351" s="8">
        <f t="shared" si="269"/>
        <v>0</v>
      </c>
      <c r="CO351" s="8">
        <f t="shared" si="270"/>
        <v>0</v>
      </c>
      <c r="CP351" s="8">
        <f t="shared" si="271"/>
        <v>0</v>
      </c>
      <c r="CQ351" s="8">
        <f t="shared" si="272"/>
        <v>0</v>
      </c>
      <c r="CR351" s="8">
        <f t="shared" si="273"/>
        <v>0</v>
      </c>
      <c r="CS351" s="8">
        <f t="shared" si="274"/>
        <v>0</v>
      </c>
      <c r="CT351" s="8">
        <f t="shared" si="279"/>
        <v>0</v>
      </c>
      <c r="CU351" s="8">
        <f t="shared" si="280"/>
        <v>0</v>
      </c>
      <c r="CV351" s="8">
        <f t="shared" si="281"/>
        <v>0</v>
      </c>
    </row>
    <row r="352" spans="1:100" ht="20.5" thickTop="1" thickBot="1" x14ac:dyDescent="0.5">
      <c r="A352" s="32"/>
      <c r="B352" s="10"/>
      <c r="C352" s="10"/>
      <c r="D352" s="11"/>
      <c r="E352" s="10"/>
      <c r="F352" s="10"/>
      <c r="G352" s="19"/>
      <c r="H352" s="19"/>
      <c r="I352" s="19"/>
      <c r="J352" s="19"/>
      <c r="K352" s="10"/>
      <c r="L352" s="10"/>
      <c r="M352" s="10"/>
      <c r="N352" s="10"/>
      <c r="O352" s="18"/>
      <c r="P352" s="18"/>
      <c r="Q352" s="21"/>
      <c r="R352" s="20"/>
      <c r="S352" s="16">
        <f t="shared" si="237"/>
        <v>0</v>
      </c>
      <c r="T352" s="11"/>
      <c r="AS352" s="31">
        <f t="shared" si="238"/>
        <v>0</v>
      </c>
      <c r="AT352" s="31">
        <f t="shared" si="239"/>
        <v>0</v>
      </c>
      <c r="AU352" s="31">
        <f t="shared" si="240"/>
        <v>0</v>
      </c>
      <c r="AV352" s="31">
        <f t="shared" si="241"/>
        <v>0</v>
      </c>
      <c r="AW352" s="31">
        <f t="shared" si="242"/>
        <v>0</v>
      </c>
      <c r="AX352" s="31">
        <f t="shared" si="243"/>
        <v>0</v>
      </c>
      <c r="AY352" s="31">
        <f t="shared" si="244"/>
        <v>0</v>
      </c>
      <c r="AZ352" s="31">
        <f t="shared" si="245"/>
        <v>0</v>
      </c>
      <c r="BA352" s="31">
        <f t="shared" si="246"/>
        <v>0</v>
      </c>
      <c r="BB352" s="31">
        <f t="shared" si="275"/>
        <v>0</v>
      </c>
      <c r="BM352" s="8">
        <f t="shared" si="276"/>
        <v>0</v>
      </c>
      <c r="BN352" s="8">
        <f t="shared" si="247"/>
        <v>0</v>
      </c>
      <c r="BO352" s="8">
        <f t="shared" si="248"/>
        <v>0</v>
      </c>
      <c r="BQ352" s="8">
        <f t="shared" si="249"/>
        <v>0</v>
      </c>
      <c r="BR352" s="63">
        <f t="shared" si="250"/>
        <v>0</v>
      </c>
      <c r="BS352" s="63">
        <f t="shared" si="277"/>
        <v>0</v>
      </c>
      <c r="BT352" s="63">
        <f t="shared" si="251"/>
        <v>0</v>
      </c>
      <c r="BU352" s="63">
        <f t="shared" si="252"/>
        <v>0</v>
      </c>
      <c r="BV352" s="57">
        <f t="shared" si="253"/>
        <v>0</v>
      </c>
      <c r="BW352" s="57">
        <f t="shared" si="254"/>
        <v>0</v>
      </c>
      <c r="BX352" s="57">
        <f t="shared" si="278"/>
        <v>0</v>
      </c>
      <c r="BY352" s="57">
        <f t="shared" si="282"/>
        <v>0</v>
      </c>
      <c r="BZ352" s="8">
        <f t="shared" si="255"/>
        <v>0</v>
      </c>
      <c r="CA352" s="8">
        <f t="shared" si="256"/>
        <v>0</v>
      </c>
      <c r="CB352" s="8">
        <f t="shared" si="257"/>
        <v>0</v>
      </c>
      <c r="CC352" s="8">
        <f t="shared" si="258"/>
        <v>0</v>
      </c>
      <c r="CD352" s="8">
        <f t="shared" si="259"/>
        <v>0</v>
      </c>
      <c r="CE352" s="8">
        <f t="shared" si="260"/>
        <v>0</v>
      </c>
      <c r="CF352" s="8">
        <f t="shared" si="261"/>
        <v>0</v>
      </c>
      <c r="CG352" s="8">
        <f t="shared" si="262"/>
        <v>0</v>
      </c>
      <c r="CH352" s="8">
        <f t="shared" si="263"/>
        <v>0</v>
      </c>
      <c r="CI352" s="8">
        <f t="shared" si="264"/>
        <v>0</v>
      </c>
      <c r="CJ352" s="8">
        <f t="shared" si="265"/>
        <v>0</v>
      </c>
      <c r="CK352" s="8">
        <f t="shared" si="266"/>
        <v>0</v>
      </c>
      <c r="CL352" s="8">
        <f t="shared" si="267"/>
        <v>0</v>
      </c>
      <c r="CM352" s="8">
        <f t="shared" si="268"/>
        <v>0</v>
      </c>
      <c r="CN352" s="8">
        <f t="shared" si="269"/>
        <v>0</v>
      </c>
      <c r="CO352" s="8">
        <f t="shared" si="270"/>
        <v>0</v>
      </c>
      <c r="CP352" s="8">
        <f t="shared" si="271"/>
        <v>0</v>
      </c>
      <c r="CQ352" s="8">
        <f t="shared" si="272"/>
        <v>0</v>
      </c>
      <c r="CR352" s="8">
        <f t="shared" si="273"/>
        <v>0</v>
      </c>
      <c r="CS352" s="8">
        <f t="shared" si="274"/>
        <v>0</v>
      </c>
      <c r="CT352" s="8">
        <f t="shared" si="279"/>
        <v>0</v>
      </c>
      <c r="CU352" s="8">
        <f t="shared" si="280"/>
        <v>0</v>
      </c>
      <c r="CV352" s="8">
        <f t="shared" si="281"/>
        <v>0</v>
      </c>
    </row>
    <row r="353" spans="1:100" ht="20.5" thickTop="1" thickBot="1" x14ac:dyDescent="0.5">
      <c r="A353" s="32"/>
      <c r="B353" s="10"/>
      <c r="C353" s="10"/>
      <c r="D353" s="11"/>
      <c r="E353" s="10"/>
      <c r="F353" s="10"/>
      <c r="G353" s="19"/>
      <c r="H353" s="19"/>
      <c r="I353" s="19"/>
      <c r="J353" s="19"/>
      <c r="K353" s="10"/>
      <c r="L353" s="10"/>
      <c r="M353" s="10"/>
      <c r="N353" s="10"/>
      <c r="O353" s="18"/>
      <c r="P353" s="18"/>
      <c r="Q353" s="21"/>
      <c r="R353" s="20"/>
      <c r="S353" s="16">
        <f t="shared" si="237"/>
        <v>0</v>
      </c>
      <c r="T353" s="11"/>
      <c r="AS353" s="31">
        <f t="shared" si="238"/>
        <v>0</v>
      </c>
      <c r="AT353" s="31">
        <f t="shared" si="239"/>
        <v>0</v>
      </c>
      <c r="AU353" s="31">
        <f t="shared" si="240"/>
        <v>0</v>
      </c>
      <c r="AV353" s="31">
        <f t="shared" si="241"/>
        <v>0</v>
      </c>
      <c r="AW353" s="31">
        <f t="shared" si="242"/>
        <v>0</v>
      </c>
      <c r="AX353" s="31">
        <f t="shared" si="243"/>
        <v>0</v>
      </c>
      <c r="AY353" s="31">
        <f t="shared" si="244"/>
        <v>0</v>
      </c>
      <c r="AZ353" s="31">
        <f t="shared" si="245"/>
        <v>0</v>
      </c>
      <c r="BA353" s="31">
        <f t="shared" si="246"/>
        <v>0</v>
      </c>
      <c r="BB353" s="31">
        <f t="shared" si="275"/>
        <v>0</v>
      </c>
      <c r="BM353" s="8">
        <f t="shared" si="276"/>
        <v>0</v>
      </c>
      <c r="BN353" s="8">
        <f t="shared" si="247"/>
        <v>0</v>
      </c>
      <c r="BO353" s="8">
        <f t="shared" si="248"/>
        <v>0</v>
      </c>
      <c r="BQ353" s="8">
        <f t="shared" si="249"/>
        <v>0</v>
      </c>
      <c r="BR353" s="63">
        <f t="shared" si="250"/>
        <v>0</v>
      </c>
      <c r="BS353" s="63">
        <f t="shared" si="277"/>
        <v>0</v>
      </c>
      <c r="BT353" s="63">
        <f t="shared" si="251"/>
        <v>0</v>
      </c>
      <c r="BU353" s="63">
        <f t="shared" si="252"/>
        <v>0</v>
      </c>
      <c r="BV353" s="57">
        <f t="shared" si="253"/>
        <v>0</v>
      </c>
      <c r="BW353" s="57">
        <f t="shared" si="254"/>
        <v>0</v>
      </c>
      <c r="BX353" s="57">
        <f t="shared" si="278"/>
        <v>0</v>
      </c>
      <c r="BY353" s="57">
        <f t="shared" si="282"/>
        <v>0</v>
      </c>
      <c r="BZ353" s="8">
        <f t="shared" si="255"/>
        <v>0</v>
      </c>
      <c r="CA353" s="8">
        <f t="shared" si="256"/>
        <v>0</v>
      </c>
      <c r="CB353" s="8">
        <f t="shared" si="257"/>
        <v>0</v>
      </c>
      <c r="CC353" s="8">
        <f t="shared" si="258"/>
        <v>0</v>
      </c>
      <c r="CD353" s="8">
        <f t="shared" si="259"/>
        <v>0</v>
      </c>
      <c r="CE353" s="8">
        <f t="shared" si="260"/>
        <v>0</v>
      </c>
      <c r="CF353" s="8">
        <f t="shared" si="261"/>
        <v>0</v>
      </c>
      <c r="CG353" s="8">
        <f t="shared" si="262"/>
        <v>0</v>
      </c>
      <c r="CH353" s="8">
        <f t="shared" si="263"/>
        <v>0</v>
      </c>
      <c r="CI353" s="8">
        <f t="shared" si="264"/>
        <v>0</v>
      </c>
      <c r="CJ353" s="8">
        <f t="shared" si="265"/>
        <v>0</v>
      </c>
      <c r="CK353" s="8">
        <f t="shared" si="266"/>
        <v>0</v>
      </c>
      <c r="CL353" s="8">
        <f t="shared" si="267"/>
        <v>0</v>
      </c>
      <c r="CM353" s="8">
        <f t="shared" si="268"/>
        <v>0</v>
      </c>
      <c r="CN353" s="8">
        <f t="shared" si="269"/>
        <v>0</v>
      </c>
      <c r="CO353" s="8">
        <f t="shared" si="270"/>
        <v>0</v>
      </c>
      <c r="CP353" s="8">
        <f t="shared" si="271"/>
        <v>0</v>
      </c>
      <c r="CQ353" s="8">
        <f t="shared" si="272"/>
        <v>0</v>
      </c>
      <c r="CR353" s="8">
        <f t="shared" si="273"/>
        <v>0</v>
      </c>
      <c r="CS353" s="8">
        <f t="shared" si="274"/>
        <v>0</v>
      </c>
      <c r="CT353" s="8">
        <f t="shared" si="279"/>
        <v>0</v>
      </c>
      <c r="CU353" s="8">
        <f t="shared" si="280"/>
        <v>0</v>
      </c>
      <c r="CV353" s="8">
        <f t="shared" si="281"/>
        <v>0</v>
      </c>
    </row>
    <row r="354" spans="1:100" ht="20.5" thickTop="1" thickBot="1" x14ac:dyDescent="0.5">
      <c r="A354" s="32"/>
      <c r="B354" s="10"/>
      <c r="C354" s="10"/>
      <c r="D354" s="11"/>
      <c r="E354" s="10"/>
      <c r="F354" s="10"/>
      <c r="G354" s="19"/>
      <c r="H354" s="19"/>
      <c r="I354" s="19"/>
      <c r="J354" s="19"/>
      <c r="K354" s="10"/>
      <c r="L354" s="10"/>
      <c r="M354" s="10"/>
      <c r="N354" s="10"/>
      <c r="O354" s="18"/>
      <c r="P354" s="18"/>
      <c r="Q354" s="21"/>
      <c r="R354" s="20"/>
      <c r="S354" s="16">
        <f t="shared" si="237"/>
        <v>0</v>
      </c>
      <c r="T354" s="11"/>
      <c r="AS354" s="31">
        <f t="shared" si="238"/>
        <v>0</v>
      </c>
      <c r="AT354" s="31">
        <f t="shared" si="239"/>
        <v>0</v>
      </c>
      <c r="AU354" s="31">
        <f t="shared" si="240"/>
        <v>0</v>
      </c>
      <c r="AV354" s="31">
        <f t="shared" si="241"/>
        <v>0</v>
      </c>
      <c r="AW354" s="31">
        <f t="shared" si="242"/>
        <v>0</v>
      </c>
      <c r="AX354" s="31">
        <f t="shared" si="243"/>
        <v>0</v>
      </c>
      <c r="AY354" s="31">
        <f t="shared" si="244"/>
        <v>0</v>
      </c>
      <c r="AZ354" s="31">
        <f t="shared" si="245"/>
        <v>0</v>
      </c>
      <c r="BA354" s="31">
        <f t="shared" si="246"/>
        <v>0</v>
      </c>
      <c r="BB354" s="31">
        <f t="shared" si="275"/>
        <v>0</v>
      </c>
      <c r="BM354" s="8">
        <f t="shared" si="276"/>
        <v>0</v>
      </c>
      <c r="BN354" s="8">
        <f t="shared" si="247"/>
        <v>0</v>
      </c>
      <c r="BO354" s="8">
        <f t="shared" si="248"/>
        <v>0</v>
      </c>
      <c r="BQ354" s="8">
        <f t="shared" si="249"/>
        <v>0</v>
      </c>
      <c r="BR354" s="63">
        <f t="shared" si="250"/>
        <v>0</v>
      </c>
      <c r="BS354" s="63">
        <f t="shared" si="277"/>
        <v>0</v>
      </c>
      <c r="BT354" s="63">
        <f t="shared" si="251"/>
        <v>0</v>
      </c>
      <c r="BU354" s="63">
        <f t="shared" si="252"/>
        <v>0</v>
      </c>
      <c r="BV354" s="57">
        <f t="shared" si="253"/>
        <v>0</v>
      </c>
      <c r="BW354" s="57">
        <f t="shared" si="254"/>
        <v>0</v>
      </c>
      <c r="BX354" s="57">
        <f t="shared" si="278"/>
        <v>0</v>
      </c>
      <c r="BY354" s="57">
        <f t="shared" si="282"/>
        <v>0</v>
      </c>
      <c r="BZ354" s="8">
        <f t="shared" si="255"/>
        <v>0</v>
      </c>
      <c r="CA354" s="8">
        <f t="shared" si="256"/>
        <v>0</v>
      </c>
      <c r="CB354" s="8">
        <f t="shared" si="257"/>
        <v>0</v>
      </c>
      <c r="CC354" s="8">
        <f t="shared" si="258"/>
        <v>0</v>
      </c>
      <c r="CD354" s="8">
        <f t="shared" si="259"/>
        <v>0</v>
      </c>
      <c r="CE354" s="8">
        <f t="shared" si="260"/>
        <v>0</v>
      </c>
      <c r="CF354" s="8">
        <f t="shared" si="261"/>
        <v>0</v>
      </c>
      <c r="CG354" s="8">
        <f t="shared" si="262"/>
        <v>0</v>
      </c>
      <c r="CH354" s="8">
        <f t="shared" si="263"/>
        <v>0</v>
      </c>
      <c r="CI354" s="8">
        <f t="shared" si="264"/>
        <v>0</v>
      </c>
      <c r="CJ354" s="8">
        <f t="shared" si="265"/>
        <v>0</v>
      </c>
      <c r="CK354" s="8">
        <f t="shared" si="266"/>
        <v>0</v>
      </c>
      <c r="CL354" s="8">
        <f t="shared" si="267"/>
        <v>0</v>
      </c>
      <c r="CM354" s="8">
        <f t="shared" si="268"/>
        <v>0</v>
      </c>
      <c r="CN354" s="8">
        <f t="shared" si="269"/>
        <v>0</v>
      </c>
      <c r="CO354" s="8">
        <f t="shared" si="270"/>
        <v>0</v>
      </c>
      <c r="CP354" s="8">
        <f t="shared" si="271"/>
        <v>0</v>
      </c>
      <c r="CQ354" s="8">
        <f t="shared" si="272"/>
        <v>0</v>
      </c>
      <c r="CR354" s="8">
        <f t="shared" si="273"/>
        <v>0</v>
      </c>
      <c r="CS354" s="8">
        <f t="shared" si="274"/>
        <v>0</v>
      </c>
      <c r="CT354" s="8">
        <f t="shared" si="279"/>
        <v>0</v>
      </c>
      <c r="CU354" s="8">
        <f t="shared" si="280"/>
        <v>0</v>
      </c>
      <c r="CV354" s="8">
        <f t="shared" si="281"/>
        <v>0</v>
      </c>
    </row>
    <row r="355" spans="1:100" ht="20.5" thickTop="1" thickBot="1" x14ac:dyDescent="0.5">
      <c r="A355" s="32"/>
      <c r="B355" s="10"/>
      <c r="C355" s="10"/>
      <c r="D355" s="11"/>
      <c r="E355" s="10"/>
      <c r="F355" s="10"/>
      <c r="G355" s="19"/>
      <c r="H355" s="19"/>
      <c r="I355" s="19"/>
      <c r="J355" s="19"/>
      <c r="K355" s="10"/>
      <c r="L355" s="10"/>
      <c r="M355" s="10"/>
      <c r="N355" s="10"/>
      <c r="O355" s="18"/>
      <c r="P355" s="18"/>
      <c r="Q355" s="21"/>
      <c r="R355" s="20"/>
      <c r="S355" s="16">
        <f t="shared" si="237"/>
        <v>0</v>
      </c>
      <c r="T355" s="11"/>
      <c r="AS355" s="31">
        <f t="shared" si="238"/>
        <v>0</v>
      </c>
      <c r="AT355" s="31">
        <f t="shared" si="239"/>
        <v>0</v>
      </c>
      <c r="AU355" s="31">
        <f t="shared" si="240"/>
        <v>0</v>
      </c>
      <c r="AV355" s="31">
        <f t="shared" si="241"/>
        <v>0</v>
      </c>
      <c r="AW355" s="31">
        <f t="shared" si="242"/>
        <v>0</v>
      </c>
      <c r="AX355" s="31">
        <f t="shared" si="243"/>
        <v>0</v>
      </c>
      <c r="AY355" s="31">
        <f t="shared" si="244"/>
        <v>0</v>
      </c>
      <c r="AZ355" s="31">
        <f t="shared" si="245"/>
        <v>0</v>
      </c>
      <c r="BA355" s="31">
        <f t="shared" si="246"/>
        <v>0</v>
      </c>
      <c r="BB355" s="31">
        <f t="shared" si="275"/>
        <v>0</v>
      </c>
      <c r="BM355" s="8">
        <f t="shared" si="276"/>
        <v>0</v>
      </c>
      <c r="BN355" s="8">
        <f t="shared" si="247"/>
        <v>0</v>
      </c>
      <c r="BO355" s="8">
        <f t="shared" si="248"/>
        <v>0</v>
      </c>
      <c r="BQ355" s="8">
        <f t="shared" si="249"/>
        <v>0</v>
      </c>
      <c r="BR355" s="63">
        <f t="shared" si="250"/>
        <v>0</v>
      </c>
      <c r="BS355" s="63">
        <f t="shared" si="277"/>
        <v>0</v>
      </c>
      <c r="BT355" s="63">
        <f t="shared" si="251"/>
        <v>0</v>
      </c>
      <c r="BU355" s="63">
        <f t="shared" si="252"/>
        <v>0</v>
      </c>
      <c r="BV355" s="57">
        <f t="shared" si="253"/>
        <v>0</v>
      </c>
      <c r="BW355" s="57">
        <f t="shared" si="254"/>
        <v>0</v>
      </c>
      <c r="BX355" s="57">
        <f t="shared" si="278"/>
        <v>0</v>
      </c>
      <c r="BY355" s="57">
        <f t="shared" si="282"/>
        <v>0</v>
      </c>
      <c r="BZ355" s="8">
        <f t="shared" si="255"/>
        <v>0</v>
      </c>
      <c r="CA355" s="8">
        <f t="shared" si="256"/>
        <v>0</v>
      </c>
      <c r="CB355" s="8">
        <f t="shared" si="257"/>
        <v>0</v>
      </c>
      <c r="CC355" s="8">
        <f t="shared" si="258"/>
        <v>0</v>
      </c>
      <c r="CD355" s="8">
        <f t="shared" si="259"/>
        <v>0</v>
      </c>
      <c r="CE355" s="8">
        <f t="shared" si="260"/>
        <v>0</v>
      </c>
      <c r="CF355" s="8">
        <f t="shared" si="261"/>
        <v>0</v>
      </c>
      <c r="CG355" s="8">
        <f t="shared" si="262"/>
        <v>0</v>
      </c>
      <c r="CH355" s="8">
        <f t="shared" si="263"/>
        <v>0</v>
      </c>
      <c r="CI355" s="8">
        <f t="shared" si="264"/>
        <v>0</v>
      </c>
      <c r="CJ355" s="8">
        <f t="shared" si="265"/>
        <v>0</v>
      </c>
      <c r="CK355" s="8">
        <f t="shared" si="266"/>
        <v>0</v>
      </c>
      <c r="CL355" s="8">
        <f t="shared" si="267"/>
        <v>0</v>
      </c>
      <c r="CM355" s="8">
        <f t="shared" si="268"/>
        <v>0</v>
      </c>
      <c r="CN355" s="8">
        <f t="shared" si="269"/>
        <v>0</v>
      </c>
      <c r="CO355" s="8">
        <f t="shared" si="270"/>
        <v>0</v>
      </c>
      <c r="CP355" s="8">
        <f t="shared" si="271"/>
        <v>0</v>
      </c>
      <c r="CQ355" s="8">
        <f t="shared" si="272"/>
        <v>0</v>
      </c>
      <c r="CR355" s="8">
        <f t="shared" si="273"/>
        <v>0</v>
      </c>
      <c r="CS355" s="8">
        <f t="shared" si="274"/>
        <v>0</v>
      </c>
      <c r="CT355" s="8">
        <f t="shared" si="279"/>
        <v>0</v>
      </c>
      <c r="CU355" s="8">
        <f t="shared" si="280"/>
        <v>0</v>
      </c>
      <c r="CV355" s="8">
        <f t="shared" si="281"/>
        <v>0</v>
      </c>
    </row>
    <row r="356" spans="1:100" ht="20.5" thickTop="1" thickBot="1" x14ac:dyDescent="0.5">
      <c r="A356" s="32"/>
      <c r="B356" s="10"/>
      <c r="C356" s="10"/>
      <c r="D356" s="11"/>
      <c r="E356" s="10"/>
      <c r="F356" s="10"/>
      <c r="G356" s="19"/>
      <c r="H356" s="19"/>
      <c r="I356" s="19"/>
      <c r="J356" s="19"/>
      <c r="K356" s="10"/>
      <c r="L356" s="10"/>
      <c r="M356" s="10"/>
      <c r="N356" s="10"/>
      <c r="O356" s="18"/>
      <c r="P356" s="18"/>
      <c r="Q356" s="21"/>
      <c r="R356" s="20"/>
      <c r="S356" s="16">
        <f t="shared" si="237"/>
        <v>0</v>
      </c>
      <c r="T356" s="11"/>
      <c r="AS356" s="31">
        <f t="shared" si="238"/>
        <v>0</v>
      </c>
      <c r="AT356" s="31">
        <f t="shared" si="239"/>
        <v>0</v>
      </c>
      <c r="AU356" s="31">
        <f t="shared" si="240"/>
        <v>0</v>
      </c>
      <c r="AV356" s="31">
        <f t="shared" si="241"/>
        <v>0</v>
      </c>
      <c r="AW356" s="31">
        <f t="shared" si="242"/>
        <v>0</v>
      </c>
      <c r="AX356" s="31">
        <f t="shared" si="243"/>
        <v>0</v>
      </c>
      <c r="AY356" s="31">
        <f t="shared" si="244"/>
        <v>0</v>
      </c>
      <c r="AZ356" s="31">
        <f t="shared" si="245"/>
        <v>0</v>
      </c>
      <c r="BA356" s="31">
        <f t="shared" si="246"/>
        <v>0</v>
      </c>
      <c r="BB356" s="31">
        <f t="shared" si="275"/>
        <v>0</v>
      </c>
      <c r="BM356" s="8">
        <f t="shared" si="276"/>
        <v>0</v>
      </c>
      <c r="BN356" s="8">
        <f t="shared" si="247"/>
        <v>0</v>
      </c>
      <c r="BO356" s="8">
        <f t="shared" si="248"/>
        <v>0</v>
      </c>
      <c r="BQ356" s="8">
        <f t="shared" si="249"/>
        <v>0</v>
      </c>
      <c r="BR356" s="63">
        <f t="shared" si="250"/>
        <v>0</v>
      </c>
      <c r="BS356" s="63">
        <f t="shared" si="277"/>
        <v>0</v>
      </c>
      <c r="BT356" s="63">
        <f t="shared" si="251"/>
        <v>0</v>
      </c>
      <c r="BU356" s="63">
        <f t="shared" si="252"/>
        <v>0</v>
      </c>
      <c r="BV356" s="57">
        <f t="shared" si="253"/>
        <v>0</v>
      </c>
      <c r="BW356" s="57">
        <f t="shared" si="254"/>
        <v>0</v>
      </c>
      <c r="BX356" s="57">
        <f t="shared" si="278"/>
        <v>0</v>
      </c>
      <c r="BY356" s="57">
        <f t="shared" si="282"/>
        <v>0</v>
      </c>
      <c r="BZ356" s="8">
        <f t="shared" si="255"/>
        <v>0</v>
      </c>
      <c r="CA356" s="8">
        <f t="shared" si="256"/>
        <v>0</v>
      </c>
      <c r="CB356" s="8">
        <f t="shared" si="257"/>
        <v>0</v>
      </c>
      <c r="CC356" s="8">
        <f t="shared" si="258"/>
        <v>0</v>
      </c>
      <c r="CD356" s="8">
        <f t="shared" si="259"/>
        <v>0</v>
      </c>
      <c r="CE356" s="8">
        <f t="shared" si="260"/>
        <v>0</v>
      </c>
      <c r="CF356" s="8">
        <f t="shared" si="261"/>
        <v>0</v>
      </c>
      <c r="CG356" s="8">
        <f t="shared" si="262"/>
        <v>0</v>
      </c>
      <c r="CH356" s="8">
        <f t="shared" si="263"/>
        <v>0</v>
      </c>
      <c r="CI356" s="8">
        <f t="shared" si="264"/>
        <v>0</v>
      </c>
      <c r="CJ356" s="8">
        <f t="shared" si="265"/>
        <v>0</v>
      </c>
      <c r="CK356" s="8">
        <f t="shared" si="266"/>
        <v>0</v>
      </c>
      <c r="CL356" s="8">
        <f t="shared" si="267"/>
        <v>0</v>
      </c>
      <c r="CM356" s="8">
        <f t="shared" si="268"/>
        <v>0</v>
      </c>
      <c r="CN356" s="8">
        <f t="shared" si="269"/>
        <v>0</v>
      </c>
      <c r="CO356" s="8">
        <f t="shared" si="270"/>
        <v>0</v>
      </c>
      <c r="CP356" s="8">
        <f t="shared" si="271"/>
        <v>0</v>
      </c>
      <c r="CQ356" s="8">
        <f t="shared" si="272"/>
        <v>0</v>
      </c>
      <c r="CR356" s="8">
        <f t="shared" si="273"/>
        <v>0</v>
      </c>
      <c r="CS356" s="8">
        <f t="shared" si="274"/>
        <v>0</v>
      </c>
      <c r="CT356" s="8">
        <f t="shared" si="279"/>
        <v>0</v>
      </c>
      <c r="CU356" s="8">
        <f t="shared" si="280"/>
        <v>0</v>
      </c>
      <c r="CV356" s="8">
        <f t="shared" si="281"/>
        <v>0</v>
      </c>
    </row>
    <row r="357" spans="1:100" ht="20.5" thickTop="1" thickBot="1" x14ac:dyDescent="0.5">
      <c r="A357" s="32"/>
      <c r="B357" s="10"/>
      <c r="C357" s="10"/>
      <c r="D357" s="11"/>
      <c r="E357" s="10"/>
      <c r="F357" s="10"/>
      <c r="G357" s="19"/>
      <c r="H357" s="19"/>
      <c r="I357" s="19"/>
      <c r="J357" s="19"/>
      <c r="K357" s="10"/>
      <c r="L357" s="10"/>
      <c r="M357" s="10"/>
      <c r="N357" s="10"/>
      <c r="O357" s="18"/>
      <c r="P357" s="18"/>
      <c r="Q357" s="21"/>
      <c r="R357" s="20"/>
      <c r="S357" s="16">
        <f t="shared" si="237"/>
        <v>0</v>
      </c>
      <c r="T357" s="11"/>
      <c r="AS357" s="31">
        <f t="shared" si="238"/>
        <v>0</v>
      </c>
      <c r="AT357" s="31">
        <f t="shared" si="239"/>
        <v>0</v>
      </c>
      <c r="AU357" s="31">
        <f t="shared" si="240"/>
        <v>0</v>
      </c>
      <c r="AV357" s="31">
        <f t="shared" si="241"/>
        <v>0</v>
      </c>
      <c r="AW357" s="31">
        <f t="shared" si="242"/>
        <v>0</v>
      </c>
      <c r="AX357" s="31">
        <f t="shared" si="243"/>
        <v>0</v>
      </c>
      <c r="AY357" s="31">
        <f t="shared" si="244"/>
        <v>0</v>
      </c>
      <c r="AZ357" s="31">
        <f t="shared" si="245"/>
        <v>0</v>
      </c>
      <c r="BA357" s="31">
        <f t="shared" si="246"/>
        <v>0</v>
      </c>
      <c r="BB357" s="31">
        <f t="shared" si="275"/>
        <v>0</v>
      </c>
      <c r="BM357" s="8">
        <f t="shared" si="276"/>
        <v>0</v>
      </c>
      <c r="BN357" s="8">
        <f t="shared" si="247"/>
        <v>0</v>
      </c>
      <c r="BO357" s="8">
        <f t="shared" si="248"/>
        <v>0</v>
      </c>
      <c r="BQ357" s="8">
        <f t="shared" si="249"/>
        <v>0</v>
      </c>
      <c r="BR357" s="63">
        <f t="shared" si="250"/>
        <v>0</v>
      </c>
      <c r="BS357" s="63">
        <f t="shared" si="277"/>
        <v>0</v>
      </c>
      <c r="BT357" s="63">
        <f t="shared" si="251"/>
        <v>0</v>
      </c>
      <c r="BU357" s="63">
        <f t="shared" si="252"/>
        <v>0</v>
      </c>
      <c r="BV357" s="57">
        <f t="shared" si="253"/>
        <v>0</v>
      </c>
      <c r="BW357" s="57">
        <f t="shared" si="254"/>
        <v>0</v>
      </c>
      <c r="BX357" s="57">
        <f t="shared" si="278"/>
        <v>0</v>
      </c>
      <c r="BY357" s="57">
        <f t="shared" si="282"/>
        <v>0</v>
      </c>
      <c r="BZ357" s="8">
        <f t="shared" si="255"/>
        <v>0</v>
      </c>
      <c r="CA357" s="8">
        <f t="shared" si="256"/>
        <v>0</v>
      </c>
      <c r="CB357" s="8">
        <f t="shared" si="257"/>
        <v>0</v>
      </c>
      <c r="CC357" s="8">
        <f t="shared" si="258"/>
        <v>0</v>
      </c>
      <c r="CD357" s="8">
        <f t="shared" si="259"/>
        <v>0</v>
      </c>
      <c r="CE357" s="8">
        <f t="shared" si="260"/>
        <v>0</v>
      </c>
      <c r="CF357" s="8">
        <f t="shared" si="261"/>
        <v>0</v>
      </c>
      <c r="CG357" s="8">
        <f t="shared" si="262"/>
        <v>0</v>
      </c>
      <c r="CH357" s="8">
        <f t="shared" si="263"/>
        <v>0</v>
      </c>
      <c r="CI357" s="8">
        <f t="shared" si="264"/>
        <v>0</v>
      </c>
      <c r="CJ357" s="8">
        <f t="shared" si="265"/>
        <v>0</v>
      </c>
      <c r="CK357" s="8">
        <f t="shared" si="266"/>
        <v>0</v>
      </c>
      <c r="CL357" s="8">
        <f t="shared" si="267"/>
        <v>0</v>
      </c>
      <c r="CM357" s="8">
        <f t="shared" si="268"/>
        <v>0</v>
      </c>
      <c r="CN357" s="8">
        <f t="shared" si="269"/>
        <v>0</v>
      </c>
      <c r="CO357" s="8">
        <f t="shared" si="270"/>
        <v>0</v>
      </c>
      <c r="CP357" s="8">
        <f t="shared" si="271"/>
        <v>0</v>
      </c>
      <c r="CQ357" s="8">
        <f t="shared" si="272"/>
        <v>0</v>
      </c>
      <c r="CR357" s="8">
        <f t="shared" si="273"/>
        <v>0</v>
      </c>
      <c r="CS357" s="8">
        <f t="shared" si="274"/>
        <v>0</v>
      </c>
      <c r="CT357" s="8">
        <f t="shared" si="279"/>
        <v>0</v>
      </c>
      <c r="CU357" s="8">
        <f t="shared" si="280"/>
        <v>0</v>
      </c>
      <c r="CV357" s="8">
        <f t="shared" si="281"/>
        <v>0</v>
      </c>
    </row>
    <row r="358" spans="1:100" ht="20.5" thickTop="1" thickBot="1" x14ac:dyDescent="0.5">
      <c r="A358" s="32"/>
      <c r="B358" s="10"/>
      <c r="C358" s="10"/>
      <c r="D358" s="11"/>
      <c r="E358" s="10"/>
      <c r="F358" s="10"/>
      <c r="G358" s="19"/>
      <c r="H358" s="19"/>
      <c r="I358" s="19"/>
      <c r="J358" s="19"/>
      <c r="K358" s="10"/>
      <c r="L358" s="10"/>
      <c r="M358" s="10"/>
      <c r="N358" s="10"/>
      <c r="O358" s="18"/>
      <c r="P358" s="18"/>
      <c r="Q358" s="21"/>
      <c r="R358" s="20"/>
      <c r="S358" s="16">
        <f t="shared" si="237"/>
        <v>0</v>
      </c>
      <c r="T358" s="11"/>
      <c r="AS358" s="31">
        <f t="shared" si="238"/>
        <v>0</v>
      </c>
      <c r="AT358" s="31">
        <f t="shared" si="239"/>
        <v>0</v>
      </c>
      <c r="AU358" s="31">
        <f t="shared" si="240"/>
        <v>0</v>
      </c>
      <c r="AV358" s="31">
        <f t="shared" si="241"/>
        <v>0</v>
      </c>
      <c r="AW358" s="31">
        <f t="shared" si="242"/>
        <v>0</v>
      </c>
      <c r="AX358" s="31">
        <f t="shared" si="243"/>
        <v>0</v>
      </c>
      <c r="AY358" s="31">
        <f t="shared" si="244"/>
        <v>0</v>
      </c>
      <c r="AZ358" s="31">
        <f t="shared" si="245"/>
        <v>0</v>
      </c>
      <c r="BA358" s="31">
        <f t="shared" si="246"/>
        <v>0</v>
      </c>
      <c r="BB358" s="31">
        <f t="shared" si="275"/>
        <v>0</v>
      </c>
      <c r="BM358" s="8">
        <f t="shared" si="276"/>
        <v>0</v>
      </c>
      <c r="BN358" s="8">
        <f t="shared" si="247"/>
        <v>0</v>
      </c>
      <c r="BO358" s="8">
        <f t="shared" si="248"/>
        <v>0</v>
      </c>
      <c r="BQ358" s="8">
        <f t="shared" si="249"/>
        <v>0</v>
      </c>
      <c r="BR358" s="63">
        <f t="shared" si="250"/>
        <v>0</v>
      </c>
      <c r="BS358" s="63">
        <f t="shared" si="277"/>
        <v>0</v>
      </c>
      <c r="BT358" s="63">
        <f t="shared" si="251"/>
        <v>0</v>
      </c>
      <c r="BU358" s="63">
        <f t="shared" si="252"/>
        <v>0</v>
      </c>
      <c r="BV358" s="57">
        <f t="shared" si="253"/>
        <v>0</v>
      </c>
      <c r="BW358" s="57">
        <f t="shared" si="254"/>
        <v>0</v>
      </c>
      <c r="BX358" s="57">
        <f t="shared" si="278"/>
        <v>0</v>
      </c>
      <c r="BY358" s="57">
        <f t="shared" si="282"/>
        <v>0</v>
      </c>
      <c r="BZ358" s="8">
        <f t="shared" si="255"/>
        <v>0</v>
      </c>
      <c r="CA358" s="8">
        <f t="shared" si="256"/>
        <v>0</v>
      </c>
      <c r="CB358" s="8">
        <f t="shared" si="257"/>
        <v>0</v>
      </c>
      <c r="CC358" s="8">
        <f t="shared" si="258"/>
        <v>0</v>
      </c>
      <c r="CD358" s="8">
        <f t="shared" si="259"/>
        <v>0</v>
      </c>
      <c r="CE358" s="8">
        <f t="shared" si="260"/>
        <v>0</v>
      </c>
      <c r="CF358" s="8">
        <f t="shared" si="261"/>
        <v>0</v>
      </c>
      <c r="CG358" s="8">
        <f t="shared" si="262"/>
        <v>0</v>
      </c>
      <c r="CH358" s="8">
        <f t="shared" si="263"/>
        <v>0</v>
      </c>
      <c r="CI358" s="8">
        <f t="shared" si="264"/>
        <v>0</v>
      </c>
      <c r="CJ358" s="8">
        <f t="shared" si="265"/>
        <v>0</v>
      </c>
      <c r="CK358" s="8">
        <f t="shared" si="266"/>
        <v>0</v>
      </c>
      <c r="CL358" s="8">
        <f t="shared" si="267"/>
        <v>0</v>
      </c>
      <c r="CM358" s="8">
        <f t="shared" si="268"/>
        <v>0</v>
      </c>
      <c r="CN358" s="8">
        <f t="shared" si="269"/>
        <v>0</v>
      </c>
      <c r="CO358" s="8">
        <f t="shared" si="270"/>
        <v>0</v>
      </c>
      <c r="CP358" s="8">
        <f t="shared" si="271"/>
        <v>0</v>
      </c>
      <c r="CQ358" s="8">
        <f t="shared" si="272"/>
        <v>0</v>
      </c>
      <c r="CR358" s="8">
        <f t="shared" si="273"/>
        <v>0</v>
      </c>
      <c r="CS358" s="8">
        <f t="shared" si="274"/>
        <v>0</v>
      </c>
      <c r="CT358" s="8">
        <f t="shared" si="279"/>
        <v>0</v>
      </c>
      <c r="CU358" s="8">
        <f t="shared" si="280"/>
        <v>0</v>
      </c>
      <c r="CV358" s="8">
        <f t="shared" si="281"/>
        <v>0</v>
      </c>
    </row>
    <row r="359" spans="1:100" ht="20.5" thickTop="1" thickBot="1" x14ac:dyDescent="0.5">
      <c r="A359" s="32"/>
      <c r="B359" s="10"/>
      <c r="C359" s="10"/>
      <c r="D359" s="11"/>
      <c r="E359" s="10"/>
      <c r="F359" s="10"/>
      <c r="G359" s="19"/>
      <c r="H359" s="19"/>
      <c r="I359" s="19"/>
      <c r="J359" s="19"/>
      <c r="K359" s="10"/>
      <c r="L359" s="10"/>
      <c r="M359" s="10"/>
      <c r="N359" s="10"/>
      <c r="O359" s="18"/>
      <c r="P359" s="18"/>
      <c r="Q359" s="21"/>
      <c r="R359" s="20"/>
      <c r="S359" s="16">
        <f t="shared" si="237"/>
        <v>0</v>
      </c>
      <c r="T359" s="11"/>
      <c r="AS359" s="31">
        <f t="shared" si="238"/>
        <v>0</v>
      </c>
      <c r="AT359" s="31">
        <f t="shared" si="239"/>
        <v>0</v>
      </c>
      <c r="AU359" s="31">
        <f t="shared" si="240"/>
        <v>0</v>
      </c>
      <c r="AV359" s="31">
        <f t="shared" si="241"/>
        <v>0</v>
      </c>
      <c r="AW359" s="31">
        <f t="shared" si="242"/>
        <v>0</v>
      </c>
      <c r="AX359" s="31">
        <f t="shared" si="243"/>
        <v>0</v>
      </c>
      <c r="AY359" s="31">
        <f t="shared" si="244"/>
        <v>0</v>
      </c>
      <c r="AZ359" s="31">
        <f t="shared" si="245"/>
        <v>0</v>
      </c>
      <c r="BA359" s="31">
        <f t="shared" si="246"/>
        <v>0</v>
      </c>
      <c r="BB359" s="31">
        <f t="shared" si="275"/>
        <v>0</v>
      </c>
      <c r="BM359" s="8">
        <f t="shared" si="276"/>
        <v>0</v>
      </c>
      <c r="BN359" s="8">
        <f t="shared" si="247"/>
        <v>0</v>
      </c>
      <c r="BO359" s="8">
        <f t="shared" si="248"/>
        <v>0</v>
      </c>
      <c r="BQ359" s="8">
        <f t="shared" si="249"/>
        <v>0</v>
      </c>
      <c r="BR359" s="63">
        <f t="shared" si="250"/>
        <v>0</v>
      </c>
      <c r="BS359" s="63">
        <f t="shared" si="277"/>
        <v>0</v>
      </c>
      <c r="BT359" s="63">
        <f t="shared" si="251"/>
        <v>0</v>
      </c>
      <c r="BU359" s="63">
        <f t="shared" si="252"/>
        <v>0</v>
      </c>
      <c r="BV359" s="57">
        <f t="shared" si="253"/>
        <v>0</v>
      </c>
      <c r="BW359" s="57">
        <f t="shared" si="254"/>
        <v>0</v>
      </c>
      <c r="BX359" s="57">
        <f t="shared" si="278"/>
        <v>0</v>
      </c>
      <c r="BY359" s="57">
        <f t="shared" si="282"/>
        <v>0</v>
      </c>
      <c r="BZ359" s="8">
        <f t="shared" si="255"/>
        <v>0</v>
      </c>
      <c r="CA359" s="8">
        <f t="shared" si="256"/>
        <v>0</v>
      </c>
      <c r="CB359" s="8">
        <f t="shared" si="257"/>
        <v>0</v>
      </c>
      <c r="CC359" s="8">
        <f t="shared" si="258"/>
        <v>0</v>
      </c>
      <c r="CD359" s="8">
        <f t="shared" si="259"/>
        <v>0</v>
      </c>
      <c r="CE359" s="8">
        <f t="shared" si="260"/>
        <v>0</v>
      </c>
      <c r="CF359" s="8">
        <f t="shared" si="261"/>
        <v>0</v>
      </c>
      <c r="CG359" s="8">
        <f t="shared" si="262"/>
        <v>0</v>
      </c>
      <c r="CH359" s="8">
        <f t="shared" si="263"/>
        <v>0</v>
      </c>
      <c r="CI359" s="8">
        <f t="shared" si="264"/>
        <v>0</v>
      </c>
      <c r="CJ359" s="8">
        <f t="shared" si="265"/>
        <v>0</v>
      </c>
      <c r="CK359" s="8">
        <f t="shared" si="266"/>
        <v>0</v>
      </c>
      <c r="CL359" s="8">
        <f t="shared" si="267"/>
        <v>0</v>
      </c>
      <c r="CM359" s="8">
        <f t="shared" si="268"/>
        <v>0</v>
      </c>
      <c r="CN359" s="8">
        <f t="shared" si="269"/>
        <v>0</v>
      </c>
      <c r="CO359" s="8">
        <f t="shared" si="270"/>
        <v>0</v>
      </c>
      <c r="CP359" s="8">
        <f t="shared" si="271"/>
        <v>0</v>
      </c>
      <c r="CQ359" s="8">
        <f t="shared" si="272"/>
        <v>0</v>
      </c>
      <c r="CR359" s="8">
        <f t="shared" si="273"/>
        <v>0</v>
      </c>
      <c r="CS359" s="8">
        <f t="shared" si="274"/>
        <v>0</v>
      </c>
      <c r="CT359" s="8">
        <f t="shared" si="279"/>
        <v>0</v>
      </c>
      <c r="CU359" s="8">
        <f t="shared" si="280"/>
        <v>0</v>
      </c>
      <c r="CV359" s="8">
        <f t="shared" si="281"/>
        <v>0</v>
      </c>
    </row>
    <row r="360" spans="1:100" ht="20.5" thickTop="1" thickBot="1" x14ac:dyDescent="0.5">
      <c r="A360" s="32"/>
      <c r="B360" s="10"/>
      <c r="C360" s="10"/>
      <c r="D360" s="11"/>
      <c r="E360" s="10"/>
      <c r="F360" s="10"/>
      <c r="G360" s="19"/>
      <c r="H360" s="19"/>
      <c r="I360" s="19"/>
      <c r="J360" s="19"/>
      <c r="K360" s="10"/>
      <c r="L360" s="10"/>
      <c r="M360" s="10"/>
      <c r="N360" s="10"/>
      <c r="O360" s="18"/>
      <c r="P360" s="18"/>
      <c r="Q360" s="21"/>
      <c r="R360" s="20"/>
      <c r="S360" s="16">
        <f t="shared" si="237"/>
        <v>0</v>
      </c>
      <c r="T360" s="11"/>
      <c r="AS360" s="31">
        <f t="shared" si="238"/>
        <v>0</v>
      </c>
      <c r="AT360" s="31">
        <f t="shared" si="239"/>
        <v>0</v>
      </c>
      <c r="AU360" s="31">
        <f t="shared" si="240"/>
        <v>0</v>
      </c>
      <c r="AV360" s="31">
        <f t="shared" si="241"/>
        <v>0</v>
      </c>
      <c r="AW360" s="31">
        <f t="shared" si="242"/>
        <v>0</v>
      </c>
      <c r="AX360" s="31">
        <f t="shared" si="243"/>
        <v>0</v>
      </c>
      <c r="AY360" s="31">
        <f t="shared" si="244"/>
        <v>0</v>
      </c>
      <c r="AZ360" s="31">
        <f t="shared" si="245"/>
        <v>0</v>
      </c>
      <c r="BA360" s="31">
        <f t="shared" si="246"/>
        <v>0</v>
      </c>
      <c r="BB360" s="31">
        <f t="shared" si="275"/>
        <v>0</v>
      </c>
      <c r="BM360" s="8">
        <f t="shared" si="276"/>
        <v>0</v>
      </c>
      <c r="BN360" s="8">
        <f t="shared" si="247"/>
        <v>0</v>
      </c>
      <c r="BO360" s="8">
        <f t="shared" si="248"/>
        <v>0</v>
      </c>
      <c r="BQ360" s="8">
        <f t="shared" si="249"/>
        <v>0</v>
      </c>
      <c r="BR360" s="63">
        <f t="shared" si="250"/>
        <v>0</v>
      </c>
      <c r="BS360" s="63">
        <f t="shared" si="277"/>
        <v>0</v>
      </c>
      <c r="BT360" s="63">
        <f t="shared" si="251"/>
        <v>0</v>
      </c>
      <c r="BU360" s="63">
        <f t="shared" si="252"/>
        <v>0</v>
      </c>
      <c r="BV360" s="57">
        <f t="shared" si="253"/>
        <v>0</v>
      </c>
      <c r="BW360" s="57">
        <f t="shared" si="254"/>
        <v>0</v>
      </c>
      <c r="BX360" s="57">
        <f t="shared" si="278"/>
        <v>0</v>
      </c>
      <c r="BY360" s="57">
        <f t="shared" si="282"/>
        <v>0</v>
      </c>
      <c r="BZ360" s="8">
        <f t="shared" si="255"/>
        <v>0</v>
      </c>
      <c r="CA360" s="8">
        <f t="shared" si="256"/>
        <v>0</v>
      </c>
      <c r="CB360" s="8">
        <f t="shared" si="257"/>
        <v>0</v>
      </c>
      <c r="CC360" s="8">
        <f t="shared" si="258"/>
        <v>0</v>
      </c>
      <c r="CD360" s="8">
        <f t="shared" si="259"/>
        <v>0</v>
      </c>
      <c r="CE360" s="8">
        <f t="shared" si="260"/>
        <v>0</v>
      </c>
      <c r="CF360" s="8">
        <f t="shared" si="261"/>
        <v>0</v>
      </c>
      <c r="CG360" s="8">
        <f t="shared" si="262"/>
        <v>0</v>
      </c>
      <c r="CH360" s="8">
        <f t="shared" si="263"/>
        <v>0</v>
      </c>
      <c r="CI360" s="8">
        <f t="shared" si="264"/>
        <v>0</v>
      </c>
      <c r="CJ360" s="8">
        <f t="shared" si="265"/>
        <v>0</v>
      </c>
      <c r="CK360" s="8">
        <f t="shared" si="266"/>
        <v>0</v>
      </c>
      <c r="CL360" s="8">
        <f t="shared" si="267"/>
        <v>0</v>
      </c>
      <c r="CM360" s="8">
        <f t="shared" si="268"/>
        <v>0</v>
      </c>
      <c r="CN360" s="8">
        <f t="shared" si="269"/>
        <v>0</v>
      </c>
      <c r="CO360" s="8">
        <f t="shared" si="270"/>
        <v>0</v>
      </c>
      <c r="CP360" s="8">
        <f t="shared" si="271"/>
        <v>0</v>
      </c>
      <c r="CQ360" s="8">
        <f t="shared" si="272"/>
        <v>0</v>
      </c>
      <c r="CR360" s="8">
        <f t="shared" si="273"/>
        <v>0</v>
      </c>
      <c r="CS360" s="8">
        <f t="shared" si="274"/>
        <v>0</v>
      </c>
      <c r="CT360" s="8">
        <f t="shared" si="279"/>
        <v>0</v>
      </c>
      <c r="CU360" s="8">
        <f t="shared" si="280"/>
        <v>0</v>
      </c>
      <c r="CV360" s="8">
        <f t="shared" si="281"/>
        <v>0</v>
      </c>
    </row>
    <row r="361" spans="1:100" ht="20.5" thickTop="1" thickBot="1" x14ac:dyDescent="0.5">
      <c r="A361" s="32"/>
      <c r="B361" s="10"/>
      <c r="C361" s="10"/>
      <c r="D361" s="11"/>
      <c r="E361" s="10"/>
      <c r="F361" s="10"/>
      <c r="G361" s="19"/>
      <c r="H361" s="19"/>
      <c r="I361" s="19"/>
      <c r="J361" s="19"/>
      <c r="K361" s="10"/>
      <c r="L361" s="10"/>
      <c r="M361" s="10"/>
      <c r="N361" s="10"/>
      <c r="O361" s="18"/>
      <c r="P361" s="18"/>
      <c r="Q361" s="21"/>
      <c r="R361" s="20"/>
      <c r="S361" s="16">
        <f t="shared" si="237"/>
        <v>0</v>
      </c>
      <c r="T361" s="11"/>
      <c r="AS361" s="31">
        <f t="shared" si="238"/>
        <v>0</v>
      </c>
      <c r="AT361" s="31">
        <f t="shared" si="239"/>
        <v>0</v>
      </c>
      <c r="AU361" s="31">
        <f t="shared" si="240"/>
        <v>0</v>
      </c>
      <c r="AV361" s="31">
        <f t="shared" si="241"/>
        <v>0</v>
      </c>
      <c r="AW361" s="31">
        <f t="shared" si="242"/>
        <v>0</v>
      </c>
      <c r="AX361" s="31">
        <f t="shared" si="243"/>
        <v>0</v>
      </c>
      <c r="AY361" s="31">
        <f t="shared" si="244"/>
        <v>0</v>
      </c>
      <c r="AZ361" s="31">
        <f t="shared" si="245"/>
        <v>0</v>
      </c>
      <c r="BA361" s="31">
        <f t="shared" si="246"/>
        <v>0</v>
      </c>
      <c r="BB361" s="31">
        <f t="shared" si="275"/>
        <v>0</v>
      </c>
      <c r="BM361" s="8">
        <f t="shared" si="276"/>
        <v>0</v>
      </c>
      <c r="BN361" s="8">
        <f t="shared" si="247"/>
        <v>0</v>
      </c>
      <c r="BO361" s="8">
        <f t="shared" si="248"/>
        <v>0</v>
      </c>
      <c r="BQ361" s="8">
        <f t="shared" si="249"/>
        <v>0</v>
      </c>
      <c r="BR361" s="63">
        <f t="shared" si="250"/>
        <v>0</v>
      </c>
      <c r="BS361" s="63">
        <f t="shared" si="277"/>
        <v>0</v>
      </c>
      <c r="BT361" s="63">
        <f t="shared" si="251"/>
        <v>0</v>
      </c>
      <c r="BU361" s="63">
        <f t="shared" si="252"/>
        <v>0</v>
      </c>
      <c r="BV361" s="57">
        <f t="shared" si="253"/>
        <v>0</v>
      </c>
      <c r="BW361" s="57">
        <f t="shared" si="254"/>
        <v>0</v>
      </c>
      <c r="BX361" s="57">
        <f t="shared" si="278"/>
        <v>0</v>
      </c>
      <c r="BY361" s="57">
        <f t="shared" si="282"/>
        <v>0</v>
      </c>
      <c r="BZ361" s="8">
        <f t="shared" si="255"/>
        <v>0</v>
      </c>
      <c r="CA361" s="8">
        <f t="shared" si="256"/>
        <v>0</v>
      </c>
      <c r="CB361" s="8">
        <f t="shared" si="257"/>
        <v>0</v>
      </c>
      <c r="CC361" s="8">
        <f t="shared" si="258"/>
        <v>0</v>
      </c>
      <c r="CD361" s="8">
        <f t="shared" si="259"/>
        <v>0</v>
      </c>
      <c r="CE361" s="8">
        <f t="shared" si="260"/>
        <v>0</v>
      </c>
      <c r="CF361" s="8">
        <f t="shared" si="261"/>
        <v>0</v>
      </c>
      <c r="CG361" s="8">
        <f t="shared" si="262"/>
        <v>0</v>
      </c>
      <c r="CH361" s="8">
        <f t="shared" si="263"/>
        <v>0</v>
      </c>
      <c r="CI361" s="8">
        <f t="shared" si="264"/>
        <v>0</v>
      </c>
      <c r="CJ361" s="8">
        <f t="shared" si="265"/>
        <v>0</v>
      </c>
      <c r="CK361" s="8">
        <f t="shared" si="266"/>
        <v>0</v>
      </c>
      <c r="CL361" s="8">
        <f t="shared" si="267"/>
        <v>0</v>
      </c>
      <c r="CM361" s="8">
        <f t="shared" si="268"/>
        <v>0</v>
      </c>
      <c r="CN361" s="8">
        <f t="shared" si="269"/>
        <v>0</v>
      </c>
      <c r="CO361" s="8">
        <f t="shared" si="270"/>
        <v>0</v>
      </c>
      <c r="CP361" s="8">
        <f t="shared" si="271"/>
        <v>0</v>
      </c>
      <c r="CQ361" s="8">
        <f t="shared" si="272"/>
        <v>0</v>
      </c>
      <c r="CR361" s="8">
        <f t="shared" si="273"/>
        <v>0</v>
      </c>
      <c r="CS361" s="8">
        <f t="shared" si="274"/>
        <v>0</v>
      </c>
      <c r="CT361" s="8">
        <f t="shared" si="279"/>
        <v>0</v>
      </c>
      <c r="CU361" s="8">
        <f t="shared" si="280"/>
        <v>0</v>
      </c>
      <c r="CV361" s="8">
        <f t="shared" si="281"/>
        <v>0</v>
      </c>
    </row>
    <row r="362" spans="1:100" ht="20.5" thickTop="1" thickBot="1" x14ac:dyDescent="0.5">
      <c r="A362" s="32"/>
      <c r="B362" s="10"/>
      <c r="C362" s="10"/>
      <c r="D362" s="11"/>
      <c r="E362" s="10"/>
      <c r="F362" s="10"/>
      <c r="G362" s="19"/>
      <c r="H362" s="19"/>
      <c r="I362" s="19"/>
      <c r="J362" s="19"/>
      <c r="K362" s="10"/>
      <c r="L362" s="10"/>
      <c r="M362" s="10"/>
      <c r="N362" s="10"/>
      <c r="O362" s="18"/>
      <c r="P362" s="18"/>
      <c r="Q362" s="21"/>
      <c r="R362" s="20"/>
      <c r="S362" s="16">
        <f t="shared" si="237"/>
        <v>0</v>
      </c>
      <c r="T362" s="11"/>
      <c r="AS362" s="31">
        <f t="shared" si="238"/>
        <v>0</v>
      </c>
      <c r="AT362" s="31">
        <f t="shared" si="239"/>
        <v>0</v>
      </c>
      <c r="AU362" s="31">
        <f t="shared" si="240"/>
        <v>0</v>
      </c>
      <c r="AV362" s="31">
        <f t="shared" si="241"/>
        <v>0</v>
      </c>
      <c r="AW362" s="31">
        <f t="shared" si="242"/>
        <v>0</v>
      </c>
      <c r="AX362" s="31">
        <f t="shared" si="243"/>
        <v>0</v>
      </c>
      <c r="AY362" s="31">
        <f t="shared" si="244"/>
        <v>0</v>
      </c>
      <c r="AZ362" s="31">
        <f t="shared" si="245"/>
        <v>0</v>
      </c>
      <c r="BA362" s="31">
        <f t="shared" si="246"/>
        <v>0</v>
      </c>
      <c r="BB362" s="31">
        <f t="shared" si="275"/>
        <v>0</v>
      </c>
      <c r="BM362" s="8">
        <f t="shared" si="276"/>
        <v>0</v>
      </c>
      <c r="BN362" s="8">
        <f t="shared" si="247"/>
        <v>0</v>
      </c>
      <c r="BO362" s="8">
        <f t="shared" si="248"/>
        <v>0</v>
      </c>
      <c r="BQ362" s="8">
        <f t="shared" si="249"/>
        <v>0</v>
      </c>
      <c r="BR362" s="63">
        <f t="shared" si="250"/>
        <v>0</v>
      </c>
      <c r="BS362" s="63">
        <f t="shared" si="277"/>
        <v>0</v>
      </c>
      <c r="BT362" s="63">
        <f t="shared" si="251"/>
        <v>0</v>
      </c>
      <c r="BU362" s="63">
        <f t="shared" si="252"/>
        <v>0</v>
      </c>
      <c r="BV362" s="57">
        <f t="shared" si="253"/>
        <v>0</v>
      </c>
      <c r="BW362" s="57">
        <f t="shared" si="254"/>
        <v>0</v>
      </c>
      <c r="BX362" s="57">
        <f t="shared" si="278"/>
        <v>0</v>
      </c>
      <c r="BY362" s="57">
        <f t="shared" si="282"/>
        <v>0</v>
      </c>
      <c r="BZ362" s="8">
        <f t="shared" si="255"/>
        <v>0</v>
      </c>
      <c r="CA362" s="8">
        <f t="shared" si="256"/>
        <v>0</v>
      </c>
      <c r="CB362" s="8">
        <f t="shared" si="257"/>
        <v>0</v>
      </c>
      <c r="CC362" s="8">
        <f t="shared" si="258"/>
        <v>0</v>
      </c>
      <c r="CD362" s="8">
        <f t="shared" si="259"/>
        <v>0</v>
      </c>
      <c r="CE362" s="8">
        <f t="shared" si="260"/>
        <v>0</v>
      </c>
      <c r="CF362" s="8">
        <f t="shared" si="261"/>
        <v>0</v>
      </c>
      <c r="CG362" s="8">
        <f t="shared" si="262"/>
        <v>0</v>
      </c>
      <c r="CH362" s="8">
        <f t="shared" si="263"/>
        <v>0</v>
      </c>
      <c r="CI362" s="8">
        <f t="shared" si="264"/>
        <v>0</v>
      </c>
      <c r="CJ362" s="8">
        <f t="shared" si="265"/>
        <v>0</v>
      </c>
      <c r="CK362" s="8">
        <f t="shared" si="266"/>
        <v>0</v>
      </c>
      <c r="CL362" s="8">
        <f t="shared" si="267"/>
        <v>0</v>
      </c>
      <c r="CM362" s="8">
        <f t="shared" si="268"/>
        <v>0</v>
      </c>
      <c r="CN362" s="8">
        <f t="shared" si="269"/>
        <v>0</v>
      </c>
      <c r="CO362" s="8">
        <f t="shared" si="270"/>
        <v>0</v>
      </c>
      <c r="CP362" s="8">
        <f t="shared" si="271"/>
        <v>0</v>
      </c>
      <c r="CQ362" s="8">
        <f t="shared" si="272"/>
        <v>0</v>
      </c>
      <c r="CR362" s="8">
        <f t="shared" si="273"/>
        <v>0</v>
      </c>
      <c r="CS362" s="8">
        <f t="shared" si="274"/>
        <v>0</v>
      </c>
      <c r="CT362" s="8">
        <f t="shared" si="279"/>
        <v>0</v>
      </c>
      <c r="CU362" s="8">
        <f t="shared" si="280"/>
        <v>0</v>
      </c>
      <c r="CV362" s="8">
        <f t="shared" si="281"/>
        <v>0</v>
      </c>
    </row>
    <row r="363" spans="1:100" ht="20.5" thickTop="1" thickBot="1" x14ac:dyDescent="0.5">
      <c r="A363" s="32"/>
      <c r="B363" s="10"/>
      <c r="C363" s="10"/>
      <c r="D363" s="11"/>
      <c r="E363" s="10"/>
      <c r="F363" s="10"/>
      <c r="G363" s="19"/>
      <c r="H363" s="19"/>
      <c r="I363" s="19"/>
      <c r="J363" s="19"/>
      <c r="K363" s="10"/>
      <c r="L363" s="10"/>
      <c r="M363" s="10"/>
      <c r="N363" s="10"/>
      <c r="O363" s="18"/>
      <c r="P363" s="18"/>
      <c r="Q363" s="21"/>
      <c r="R363" s="20"/>
      <c r="S363" s="16">
        <f t="shared" si="237"/>
        <v>0</v>
      </c>
      <c r="T363" s="11"/>
      <c r="AS363" s="31">
        <f t="shared" si="238"/>
        <v>0</v>
      </c>
      <c r="AT363" s="31">
        <f t="shared" si="239"/>
        <v>0</v>
      </c>
      <c r="AU363" s="31">
        <f t="shared" si="240"/>
        <v>0</v>
      </c>
      <c r="AV363" s="31">
        <f t="shared" si="241"/>
        <v>0</v>
      </c>
      <c r="AW363" s="31">
        <f t="shared" si="242"/>
        <v>0</v>
      </c>
      <c r="AX363" s="31">
        <f t="shared" si="243"/>
        <v>0</v>
      </c>
      <c r="AY363" s="31">
        <f t="shared" si="244"/>
        <v>0</v>
      </c>
      <c r="AZ363" s="31">
        <f t="shared" si="245"/>
        <v>0</v>
      </c>
      <c r="BA363" s="31">
        <f t="shared" si="246"/>
        <v>0</v>
      </c>
      <c r="BB363" s="31">
        <f t="shared" si="275"/>
        <v>0</v>
      </c>
      <c r="BM363" s="8">
        <f t="shared" si="276"/>
        <v>0</v>
      </c>
      <c r="BN363" s="8">
        <f t="shared" si="247"/>
        <v>0</v>
      </c>
      <c r="BO363" s="8">
        <f t="shared" si="248"/>
        <v>0</v>
      </c>
      <c r="BQ363" s="8">
        <f t="shared" si="249"/>
        <v>0</v>
      </c>
      <c r="BR363" s="63">
        <f t="shared" si="250"/>
        <v>0</v>
      </c>
      <c r="BS363" s="63">
        <f t="shared" si="277"/>
        <v>0</v>
      </c>
      <c r="BT363" s="63">
        <f t="shared" si="251"/>
        <v>0</v>
      </c>
      <c r="BU363" s="63">
        <f t="shared" si="252"/>
        <v>0</v>
      </c>
      <c r="BV363" s="57">
        <f t="shared" si="253"/>
        <v>0</v>
      </c>
      <c r="BW363" s="57">
        <f t="shared" si="254"/>
        <v>0</v>
      </c>
      <c r="BX363" s="57">
        <f t="shared" si="278"/>
        <v>0</v>
      </c>
      <c r="BY363" s="57">
        <f t="shared" si="282"/>
        <v>0</v>
      </c>
      <c r="BZ363" s="8">
        <f t="shared" si="255"/>
        <v>0</v>
      </c>
      <c r="CA363" s="8">
        <f t="shared" si="256"/>
        <v>0</v>
      </c>
      <c r="CB363" s="8">
        <f t="shared" si="257"/>
        <v>0</v>
      </c>
      <c r="CC363" s="8">
        <f t="shared" si="258"/>
        <v>0</v>
      </c>
      <c r="CD363" s="8">
        <f t="shared" si="259"/>
        <v>0</v>
      </c>
      <c r="CE363" s="8">
        <f t="shared" si="260"/>
        <v>0</v>
      </c>
      <c r="CF363" s="8">
        <f t="shared" si="261"/>
        <v>0</v>
      </c>
      <c r="CG363" s="8">
        <f t="shared" si="262"/>
        <v>0</v>
      </c>
      <c r="CH363" s="8">
        <f t="shared" si="263"/>
        <v>0</v>
      </c>
      <c r="CI363" s="8">
        <f t="shared" si="264"/>
        <v>0</v>
      </c>
      <c r="CJ363" s="8">
        <f t="shared" si="265"/>
        <v>0</v>
      </c>
      <c r="CK363" s="8">
        <f t="shared" si="266"/>
        <v>0</v>
      </c>
      <c r="CL363" s="8">
        <f t="shared" si="267"/>
        <v>0</v>
      </c>
      <c r="CM363" s="8">
        <f t="shared" si="268"/>
        <v>0</v>
      </c>
      <c r="CN363" s="8">
        <f t="shared" si="269"/>
        <v>0</v>
      </c>
      <c r="CO363" s="8">
        <f t="shared" si="270"/>
        <v>0</v>
      </c>
      <c r="CP363" s="8">
        <f t="shared" si="271"/>
        <v>0</v>
      </c>
      <c r="CQ363" s="8">
        <f t="shared" si="272"/>
        <v>0</v>
      </c>
      <c r="CR363" s="8">
        <f t="shared" si="273"/>
        <v>0</v>
      </c>
      <c r="CS363" s="8">
        <f t="shared" si="274"/>
        <v>0</v>
      </c>
      <c r="CT363" s="8">
        <f t="shared" si="279"/>
        <v>0</v>
      </c>
      <c r="CU363" s="8">
        <f t="shared" si="280"/>
        <v>0</v>
      </c>
      <c r="CV363" s="8">
        <f t="shared" si="281"/>
        <v>0</v>
      </c>
    </row>
    <row r="364" spans="1:100" ht="20.5" thickTop="1" thickBot="1" x14ac:dyDescent="0.5">
      <c r="A364" s="32"/>
      <c r="B364" s="10"/>
      <c r="C364" s="10"/>
      <c r="D364" s="11"/>
      <c r="E364" s="10"/>
      <c r="F364" s="10"/>
      <c r="G364" s="19"/>
      <c r="H364" s="19"/>
      <c r="I364" s="19"/>
      <c r="J364" s="19"/>
      <c r="K364" s="10"/>
      <c r="L364" s="10"/>
      <c r="M364" s="10"/>
      <c r="N364" s="10"/>
      <c r="O364" s="18"/>
      <c r="P364" s="18"/>
      <c r="Q364" s="21"/>
      <c r="R364" s="20"/>
      <c r="S364" s="16">
        <f t="shared" si="237"/>
        <v>0</v>
      </c>
      <c r="T364" s="11"/>
      <c r="AS364" s="31">
        <f t="shared" si="238"/>
        <v>0</v>
      </c>
      <c r="AT364" s="31">
        <f t="shared" si="239"/>
        <v>0</v>
      </c>
      <c r="AU364" s="31">
        <f t="shared" si="240"/>
        <v>0</v>
      </c>
      <c r="AV364" s="31">
        <f t="shared" si="241"/>
        <v>0</v>
      </c>
      <c r="AW364" s="31">
        <f t="shared" si="242"/>
        <v>0</v>
      </c>
      <c r="AX364" s="31">
        <f t="shared" si="243"/>
        <v>0</v>
      </c>
      <c r="AY364" s="31">
        <f t="shared" si="244"/>
        <v>0</v>
      </c>
      <c r="AZ364" s="31">
        <f t="shared" si="245"/>
        <v>0</v>
      </c>
      <c r="BA364" s="31">
        <f t="shared" si="246"/>
        <v>0</v>
      </c>
      <c r="BB364" s="31">
        <f t="shared" si="275"/>
        <v>0</v>
      </c>
      <c r="BM364" s="8">
        <f t="shared" si="276"/>
        <v>0</v>
      </c>
      <c r="BN364" s="8">
        <f t="shared" si="247"/>
        <v>0</v>
      </c>
      <c r="BO364" s="8">
        <f t="shared" si="248"/>
        <v>0</v>
      </c>
      <c r="BQ364" s="8">
        <f t="shared" si="249"/>
        <v>0</v>
      </c>
      <c r="BR364" s="63">
        <f t="shared" si="250"/>
        <v>0</v>
      </c>
      <c r="BS364" s="63">
        <f t="shared" si="277"/>
        <v>0</v>
      </c>
      <c r="BT364" s="63">
        <f t="shared" si="251"/>
        <v>0</v>
      </c>
      <c r="BU364" s="63">
        <f t="shared" si="252"/>
        <v>0</v>
      </c>
      <c r="BV364" s="57">
        <f t="shared" si="253"/>
        <v>0</v>
      </c>
      <c r="BW364" s="57">
        <f t="shared" si="254"/>
        <v>0</v>
      </c>
      <c r="BX364" s="57">
        <f t="shared" si="278"/>
        <v>0</v>
      </c>
      <c r="BY364" s="57">
        <f t="shared" si="282"/>
        <v>0</v>
      </c>
      <c r="BZ364" s="8">
        <f t="shared" si="255"/>
        <v>0</v>
      </c>
      <c r="CA364" s="8">
        <f t="shared" si="256"/>
        <v>0</v>
      </c>
      <c r="CB364" s="8">
        <f t="shared" si="257"/>
        <v>0</v>
      </c>
      <c r="CC364" s="8">
        <f t="shared" si="258"/>
        <v>0</v>
      </c>
      <c r="CD364" s="8">
        <f t="shared" si="259"/>
        <v>0</v>
      </c>
      <c r="CE364" s="8">
        <f t="shared" si="260"/>
        <v>0</v>
      </c>
      <c r="CF364" s="8">
        <f t="shared" si="261"/>
        <v>0</v>
      </c>
      <c r="CG364" s="8">
        <f t="shared" si="262"/>
        <v>0</v>
      </c>
      <c r="CH364" s="8">
        <f t="shared" si="263"/>
        <v>0</v>
      </c>
      <c r="CI364" s="8">
        <f t="shared" si="264"/>
        <v>0</v>
      </c>
      <c r="CJ364" s="8">
        <f t="shared" si="265"/>
        <v>0</v>
      </c>
      <c r="CK364" s="8">
        <f t="shared" si="266"/>
        <v>0</v>
      </c>
      <c r="CL364" s="8">
        <f t="shared" si="267"/>
        <v>0</v>
      </c>
      <c r="CM364" s="8">
        <f t="shared" si="268"/>
        <v>0</v>
      </c>
      <c r="CN364" s="8">
        <f t="shared" si="269"/>
        <v>0</v>
      </c>
      <c r="CO364" s="8">
        <f t="shared" si="270"/>
        <v>0</v>
      </c>
      <c r="CP364" s="8">
        <f t="shared" si="271"/>
        <v>0</v>
      </c>
      <c r="CQ364" s="8">
        <f t="shared" si="272"/>
        <v>0</v>
      </c>
      <c r="CR364" s="8">
        <f t="shared" si="273"/>
        <v>0</v>
      </c>
      <c r="CS364" s="8">
        <f t="shared" si="274"/>
        <v>0</v>
      </c>
      <c r="CT364" s="8">
        <f t="shared" si="279"/>
        <v>0</v>
      </c>
      <c r="CU364" s="8">
        <f t="shared" si="280"/>
        <v>0</v>
      </c>
      <c r="CV364" s="8">
        <f t="shared" si="281"/>
        <v>0</v>
      </c>
    </row>
    <row r="365" spans="1:100" ht="20.5" thickTop="1" thickBot="1" x14ac:dyDescent="0.5">
      <c r="A365" s="32"/>
      <c r="B365" s="10"/>
      <c r="C365" s="10"/>
      <c r="D365" s="11"/>
      <c r="E365" s="10"/>
      <c r="F365" s="10"/>
      <c r="G365" s="19"/>
      <c r="H365" s="19"/>
      <c r="I365" s="19"/>
      <c r="J365" s="19"/>
      <c r="K365" s="10"/>
      <c r="L365" s="10"/>
      <c r="M365" s="10"/>
      <c r="N365" s="10"/>
      <c r="O365" s="18"/>
      <c r="P365" s="18"/>
      <c r="Q365" s="21"/>
      <c r="R365" s="20"/>
      <c r="S365" s="16">
        <f t="shared" si="237"/>
        <v>0</v>
      </c>
      <c r="T365" s="11"/>
      <c r="AS365" s="31">
        <f t="shared" si="238"/>
        <v>0</v>
      </c>
      <c r="AT365" s="31">
        <f t="shared" si="239"/>
        <v>0</v>
      </c>
      <c r="AU365" s="31">
        <f t="shared" si="240"/>
        <v>0</v>
      </c>
      <c r="AV365" s="31">
        <f t="shared" si="241"/>
        <v>0</v>
      </c>
      <c r="AW365" s="31">
        <f t="shared" si="242"/>
        <v>0</v>
      </c>
      <c r="AX365" s="31">
        <f t="shared" si="243"/>
        <v>0</v>
      </c>
      <c r="AY365" s="31">
        <f t="shared" si="244"/>
        <v>0</v>
      </c>
      <c r="AZ365" s="31">
        <f t="shared" si="245"/>
        <v>0</v>
      </c>
      <c r="BA365" s="31">
        <f t="shared" si="246"/>
        <v>0</v>
      </c>
      <c r="BB365" s="31">
        <f t="shared" si="275"/>
        <v>0</v>
      </c>
      <c r="BM365" s="8">
        <f t="shared" si="276"/>
        <v>0</v>
      </c>
      <c r="BN365" s="8">
        <f t="shared" si="247"/>
        <v>0</v>
      </c>
      <c r="BO365" s="8">
        <f t="shared" si="248"/>
        <v>0</v>
      </c>
      <c r="BQ365" s="8">
        <f t="shared" si="249"/>
        <v>0</v>
      </c>
      <c r="BR365" s="63">
        <f t="shared" si="250"/>
        <v>0</v>
      </c>
      <c r="BS365" s="63">
        <f t="shared" si="277"/>
        <v>0</v>
      </c>
      <c r="BT365" s="63">
        <f t="shared" si="251"/>
        <v>0</v>
      </c>
      <c r="BU365" s="63">
        <f t="shared" si="252"/>
        <v>0</v>
      </c>
      <c r="BV365" s="57">
        <f t="shared" si="253"/>
        <v>0</v>
      </c>
      <c r="BW365" s="57">
        <f t="shared" si="254"/>
        <v>0</v>
      </c>
      <c r="BX365" s="57">
        <f t="shared" si="278"/>
        <v>0</v>
      </c>
      <c r="BY365" s="57">
        <f t="shared" si="282"/>
        <v>0</v>
      </c>
      <c r="BZ365" s="8">
        <f t="shared" si="255"/>
        <v>0</v>
      </c>
      <c r="CA365" s="8">
        <f t="shared" si="256"/>
        <v>0</v>
      </c>
      <c r="CB365" s="8">
        <f t="shared" si="257"/>
        <v>0</v>
      </c>
      <c r="CC365" s="8">
        <f t="shared" si="258"/>
        <v>0</v>
      </c>
      <c r="CD365" s="8">
        <f t="shared" si="259"/>
        <v>0</v>
      </c>
      <c r="CE365" s="8">
        <f t="shared" si="260"/>
        <v>0</v>
      </c>
      <c r="CF365" s="8">
        <f t="shared" si="261"/>
        <v>0</v>
      </c>
      <c r="CG365" s="8">
        <f t="shared" si="262"/>
        <v>0</v>
      </c>
      <c r="CH365" s="8">
        <f t="shared" si="263"/>
        <v>0</v>
      </c>
      <c r="CI365" s="8">
        <f t="shared" si="264"/>
        <v>0</v>
      </c>
      <c r="CJ365" s="8">
        <f t="shared" si="265"/>
        <v>0</v>
      </c>
      <c r="CK365" s="8">
        <f t="shared" si="266"/>
        <v>0</v>
      </c>
      <c r="CL365" s="8">
        <f t="shared" si="267"/>
        <v>0</v>
      </c>
      <c r="CM365" s="8">
        <f t="shared" si="268"/>
        <v>0</v>
      </c>
      <c r="CN365" s="8">
        <f t="shared" si="269"/>
        <v>0</v>
      </c>
      <c r="CO365" s="8">
        <f t="shared" si="270"/>
        <v>0</v>
      </c>
      <c r="CP365" s="8">
        <f t="shared" si="271"/>
        <v>0</v>
      </c>
      <c r="CQ365" s="8">
        <f t="shared" si="272"/>
        <v>0</v>
      </c>
      <c r="CR365" s="8">
        <f t="shared" si="273"/>
        <v>0</v>
      </c>
      <c r="CS365" s="8">
        <f t="shared" si="274"/>
        <v>0</v>
      </c>
      <c r="CT365" s="8">
        <f t="shared" si="279"/>
        <v>0</v>
      </c>
      <c r="CU365" s="8">
        <f t="shared" si="280"/>
        <v>0</v>
      </c>
      <c r="CV365" s="8">
        <f t="shared" si="281"/>
        <v>0</v>
      </c>
    </row>
    <row r="366" spans="1:100" ht="20.5" thickTop="1" thickBot="1" x14ac:dyDescent="0.5">
      <c r="A366" s="32"/>
      <c r="B366" s="10"/>
      <c r="C366" s="10"/>
      <c r="D366" s="11"/>
      <c r="E366" s="10"/>
      <c r="F366" s="10"/>
      <c r="G366" s="19"/>
      <c r="H366" s="19"/>
      <c r="I366" s="19"/>
      <c r="J366" s="19"/>
      <c r="K366" s="10"/>
      <c r="L366" s="10"/>
      <c r="M366" s="10"/>
      <c r="N366" s="10"/>
      <c r="O366" s="18"/>
      <c r="P366" s="18"/>
      <c r="Q366" s="21"/>
      <c r="R366" s="20"/>
      <c r="S366" s="16">
        <f t="shared" si="237"/>
        <v>0</v>
      </c>
      <c r="T366" s="11"/>
      <c r="AS366" s="31">
        <f t="shared" si="238"/>
        <v>0</v>
      </c>
      <c r="AT366" s="31">
        <f t="shared" si="239"/>
        <v>0</v>
      </c>
      <c r="AU366" s="31">
        <f t="shared" si="240"/>
        <v>0</v>
      </c>
      <c r="AV366" s="31">
        <f t="shared" si="241"/>
        <v>0</v>
      </c>
      <c r="AW366" s="31">
        <f t="shared" si="242"/>
        <v>0</v>
      </c>
      <c r="AX366" s="31">
        <f t="shared" si="243"/>
        <v>0</v>
      </c>
      <c r="AY366" s="31">
        <f t="shared" si="244"/>
        <v>0</v>
      </c>
      <c r="AZ366" s="31">
        <f t="shared" si="245"/>
        <v>0</v>
      </c>
      <c r="BA366" s="31">
        <f t="shared" si="246"/>
        <v>0</v>
      </c>
      <c r="BB366" s="31">
        <f t="shared" si="275"/>
        <v>0</v>
      </c>
      <c r="BM366" s="8">
        <f t="shared" si="276"/>
        <v>0</v>
      </c>
      <c r="BN366" s="8">
        <f t="shared" si="247"/>
        <v>0</v>
      </c>
      <c r="BO366" s="8">
        <f t="shared" si="248"/>
        <v>0</v>
      </c>
      <c r="BQ366" s="8">
        <f t="shared" si="249"/>
        <v>0</v>
      </c>
      <c r="BR366" s="63">
        <f t="shared" si="250"/>
        <v>0</v>
      </c>
      <c r="BS366" s="63">
        <f t="shared" si="277"/>
        <v>0</v>
      </c>
      <c r="BT366" s="63">
        <f t="shared" si="251"/>
        <v>0</v>
      </c>
      <c r="BU366" s="63">
        <f t="shared" si="252"/>
        <v>0</v>
      </c>
      <c r="BV366" s="57">
        <f t="shared" si="253"/>
        <v>0</v>
      </c>
      <c r="BW366" s="57">
        <f t="shared" si="254"/>
        <v>0</v>
      </c>
      <c r="BX366" s="57">
        <f t="shared" si="278"/>
        <v>0</v>
      </c>
      <c r="BY366" s="57">
        <f t="shared" si="282"/>
        <v>0</v>
      </c>
      <c r="BZ366" s="8">
        <f t="shared" si="255"/>
        <v>0</v>
      </c>
      <c r="CA366" s="8">
        <f t="shared" si="256"/>
        <v>0</v>
      </c>
      <c r="CB366" s="8">
        <f t="shared" si="257"/>
        <v>0</v>
      </c>
      <c r="CC366" s="8">
        <f t="shared" si="258"/>
        <v>0</v>
      </c>
      <c r="CD366" s="8">
        <f t="shared" si="259"/>
        <v>0</v>
      </c>
      <c r="CE366" s="8">
        <f t="shared" si="260"/>
        <v>0</v>
      </c>
      <c r="CF366" s="8">
        <f t="shared" si="261"/>
        <v>0</v>
      </c>
      <c r="CG366" s="8">
        <f t="shared" si="262"/>
        <v>0</v>
      </c>
      <c r="CH366" s="8">
        <f t="shared" si="263"/>
        <v>0</v>
      </c>
      <c r="CI366" s="8">
        <f t="shared" si="264"/>
        <v>0</v>
      </c>
      <c r="CJ366" s="8">
        <f t="shared" si="265"/>
        <v>0</v>
      </c>
      <c r="CK366" s="8">
        <f t="shared" si="266"/>
        <v>0</v>
      </c>
      <c r="CL366" s="8">
        <f t="shared" si="267"/>
        <v>0</v>
      </c>
      <c r="CM366" s="8">
        <f t="shared" si="268"/>
        <v>0</v>
      </c>
      <c r="CN366" s="8">
        <f t="shared" si="269"/>
        <v>0</v>
      </c>
      <c r="CO366" s="8">
        <f t="shared" si="270"/>
        <v>0</v>
      </c>
      <c r="CP366" s="8">
        <f t="shared" si="271"/>
        <v>0</v>
      </c>
      <c r="CQ366" s="8">
        <f t="shared" si="272"/>
        <v>0</v>
      </c>
      <c r="CR366" s="8">
        <f t="shared" si="273"/>
        <v>0</v>
      </c>
      <c r="CS366" s="8">
        <f t="shared" si="274"/>
        <v>0</v>
      </c>
      <c r="CT366" s="8">
        <f t="shared" si="279"/>
        <v>0</v>
      </c>
      <c r="CU366" s="8">
        <f t="shared" si="280"/>
        <v>0</v>
      </c>
      <c r="CV366" s="8">
        <f t="shared" si="281"/>
        <v>0</v>
      </c>
    </row>
    <row r="367" spans="1:100" ht="20.5" thickTop="1" thickBot="1" x14ac:dyDescent="0.5">
      <c r="A367" s="32"/>
      <c r="B367" s="10"/>
      <c r="C367" s="10"/>
      <c r="D367" s="11"/>
      <c r="E367" s="10"/>
      <c r="F367" s="10"/>
      <c r="G367" s="19"/>
      <c r="H367" s="19"/>
      <c r="I367" s="19"/>
      <c r="J367" s="19"/>
      <c r="K367" s="10"/>
      <c r="L367" s="10"/>
      <c r="M367" s="10"/>
      <c r="N367" s="10"/>
      <c r="O367" s="18"/>
      <c r="P367" s="18"/>
      <c r="Q367" s="21"/>
      <c r="R367" s="20"/>
      <c r="S367" s="16">
        <f t="shared" si="237"/>
        <v>0</v>
      </c>
      <c r="T367" s="11"/>
      <c r="AS367" s="31">
        <f t="shared" si="238"/>
        <v>0</v>
      </c>
      <c r="AT367" s="31">
        <f t="shared" si="239"/>
        <v>0</v>
      </c>
      <c r="AU367" s="31">
        <f t="shared" si="240"/>
        <v>0</v>
      </c>
      <c r="AV367" s="31">
        <f t="shared" si="241"/>
        <v>0</v>
      </c>
      <c r="AW367" s="31">
        <f t="shared" si="242"/>
        <v>0</v>
      </c>
      <c r="AX367" s="31">
        <f t="shared" si="243"/>
        <v>0</v>
      </c>
      <c r="AY367" s="31">
        <f t="shared" si="244"/>
        <v>0</v>
      </c>
      <c r="AZ367" s="31">
        <f t="shared" si="245"/>
        <v>0</v>
      </c>
      <c r="BA367" s="31">
        <f t="shared" si="246"/>
        <v>0</v>
      </c>
      <c r="BB367" s="31">
        <f t="shared" si="275"/>
        <v>0</v>
      </c>
      <c r="BM367" s="8">
        <f t="shared" si="276"/>
        <v>0</v>
      </c>
      <c r="BN367" s="8">
        <f t="shared" si="247"/>
        <v>0</v>
      </c>
      <c r="BO367" s="8">
        <f t="shared" si="248"/>
        <v>0</v>
      </c>
      <c r="BQ367" s="8">
        <f t="shared" si="249"/>
        <v>0</v>
      </c>
      <c r="BR367" s="63">
        <f t="shared" si="250"/>
        <v>0</v>
      </c>
      <c r="BS367" s="63">
        <f t="shared" si="277"/>
        <v>0</v>
      </c>
      <c r="BT367" s="63">
        <f t="shared" si="251"/>
        <v>0</v>
      </c>
      <c r="BU367" s="63">
        <f t="shared" si="252"/>
        <v>0</v>
      </c>
      <c r="BV367" s="57">
        <f t="shared" si="253"/>
        <v>0</v>
      </c>
      <c r="BW367" s="57">
        <f t="shared" si="254"/>
        <v>0</v>
      </c>
      <c r="BX367" s="57">
        <f t="shared" si="278"/>
        <v>0</v>
      </c>
      <c r="BY367" s="57">
        <f t="shared" si="282"/>
        <v>0</v>
      </c>
      <c r="BZ367" s="8">
        <f t="shared" si="255"/>
        <v>0</v>
      </c>
      <c r="CA367" s="8">
        <f t="shared" si="256"/>
        <v>0</v>
      </c>
      <c r="CB367" s="8">
        <f t="shared" si="257"/>
        <v>0</v>
      </c>
      <c r="CC367" s="8">
        <f t="shared" si="258"/>
        <v>0</v>
      </c>
      <c r="CD367" s="8">
        <f t="shared" si="259"/>
        <v>0</v>
      </c>
      <c r="CE367" s="8">
        <f t="shared" si="260"/>
        <v>0</v>
      </c>
      <c r="CF367" s="8">
        <f t="shared" si="261"/>
        <v>0</v>
      </c>
      <c r="CG367" s="8">
        <f t="shared" si="262"/>
        <v>0</v>
      </c>
      <c r="CH367" s="8">
        <f t="shared" si="263"/>
        <v>0</v>
      </c>
      <c r="CI367" s="8">
        <f t="shared" si="264"/>
        <v>0</v>
      </c>
      <c r="CJ367" s="8">
        <f t="shared" si="265"/>
        <v>0</v>
      </c>
      <c r="CK367" s="8">
        <f t="shared" si="266"/>
        <v>0</v>
      </c>
      <c r="CL367" s="8">
        <f t="shared" si="267"/>
        <v>0</v>
      </c>
      <c r="CM367" s="8">
        <f t="shared" si="268"/>
        <v>0</v>
      </c>
      <c r="CN367" s="8">
        <f t="shared" si="269"/>
        <v>0</v>
      </c>
      <c r="CO367" s="8">
        <f t="shared" si="270"/>
        <v>0</v>
      </c>
      <c r="CP367" s="8">
        <f t="shared" si="271"/>
        <v>0</v>
      </c>
      <c r="CQ367" s="8">
        <f t="shared" si="272"/>
        <v>0</v>
      </c>
      <c r="CR367" s="8">
        <f t="shared" si="273"/>
        <v>0</v>
      </c>
      <c r="CS367" s="8">
        <f t="shared" si="274"/>
        <v>0</v>
      </c>
      <c r="CT367" s="8">
        <f t="shared" si="279"/>
        <v>0</v>
      </c>
      <c r="CU367" s="8">
        <f t="shared" si="280"/>
        <v>0</v>
      </c>
      <c r="CV367" s="8">
        <f t="shared" si="281"/>
        <v>0</v>
      </c>
    </row>
    <row r="368" spans="1:100" ht="20.5" thickTop="1" thickBot="1" x14ac:dyDescent="0.5">
      <c r="A368" s="32"/>
      <c r="B368" s="10"/>
      <c r="C368" s="10"/>
      <c r="D368" s="11"/>
      <c r="E368" s="10"/>
      <c r="F368" s="10"/>
      <c r="G368" s="19"/>
      <c r="H368" s="19"/>
      <c r="I368" s="19"/>
      <c r="J368" s="19"/>
      <c r="K368" s="10"/>
      <c r="L368" s="10"/>
      <c r="M368" s="10"/>
      <c r="N368" s="10"/>
      <c r="O368" s="18"/>
      <c r="P368" s="18"/>
      <c r="Q368" s="21"/>
      <c r="R368" s="20"/>
      <c r="S368" s="16">
        <f t="shared" si="237"/>
        <v>0</v>
      </c>
      <c r="T368" s="11"/>
      <c r="AS368" s="31">
        <f t="shared" si="238"/>
        <v>0</v>
      </c>
      <c r="AT368" s="31">
        <f t="shared" si="239"/>
        <v>0</v>
      </c>
      <c r="AU368" s="31">
        <f t="shared" si="240"/>
        <v>0</v>
      </c>
      <c r="AV368" s="31">
        <f t="shared" si="241"/>
        <v>0</v>
      </c>
      <c r="AW368" s="31">
        <f t="shared" si="242"/>
        <v>0</v>
      </c>
      <c r="AX368" s="31">
        <f t="shared" si="243"/>
        <v>0</v>
      </c>
      <c r="AY368" s="31">
        <f t="shared" si="244"/>
        <v>0</v>
      </c>
      <c r="AZ368" s="31">
        <f t="shared" si="245"/>
        <v>0</v>
      </c>
      <c r="BA368" s="31">
        <f t="shared" si="246"/>
        <v>0</v>
      </c>
      <c r="BB368" s="31">
        <f t="shared" si="275"/>
        <v>0</v>
      </c>
      <c r="BM368" s="8">
        <f t="shared" si="276"/>
        <v>0</v>
      </c>
      <c r="BN368" s="8">
        <f t="shared" si="247"/>
        <v>0</v>
      </c>
      <c r="BO368" s="8">
        <f t="shared" si="248"/>
        <v>0</v>
      </c>
      <c r="BQ368" s="8">
        <f t="shared" si="249"/>
        <v>0</v>
      </c>
      <c r="BR368" s="63">
        <f t="shared" si="250"/>
        <v>0</v>
      </c>
      <c r="BS368" s="63">
        <f t="shared" si="277"/>
        <v>0</v>
      </c>
      <c r="BT368" s="63">
        <f t="shared" si="251"/>
        <v>0</v>
      </c>
      <c r="BU368" s="63">
        <f t="shared" si="252"/>
        <v>0</v>
      </c>
      <c r="BV368" s="57">
        <f t="shared" si="253"/>
        <v>0</v>
      </c>
      <c r="BW368" s="57">
        <f t="shared" si="254"/>
        <v>0</v>
      </c>
      <c r="BX368" s="57">
        <f t="shared" si="278"/>
        <v>0</v>
      </c>
      <c r="BY368" s="57">
        <f t="shared" si="282"/>
        <v>0</v>
      </c>
      <c r="BZ368" s="8">
        <f t="shared" si="255"/>
        <v>0</v>
      </c>
      <c r="CA368" s="8">
        <f t="shared" si="256"/>
        <v>0</v>
      </c>
      <c r="CB368" s="8">
        <f t="shared" si="257"/>
        <v>0</v>
      </c>
      <c r="CC368" s="8">
        <f t="shared" si="258"/>
        <v>0</v>
      </c>
      <c r="CD368" s="8">
        <f t="shared" si="259"/>
        <v>0</v>
      </c>
      <c r="CE368" s="8">
        <f t="shared" si="260"/>
        <v>0</v>
      </c>
      <c r="CF368" s="8">
        <f t="shared" si="261"/>
        <v>0</v>
      </c>
      <c r="CG368" s="8">
        <f t="shared" si="262"/>
        <v>0</v>
      </c>
      <c r="CH368" s="8">
        <f t="shared" si="263"/>
        <v>0</v>
      </c>
      <c r="CI368" s="8">
        <f t="shared" si="264"/>
        <v>0</v>
      </c>
      <c r="CJ368" s="8">
        <f t="shared" si="265"/>
        <v>0</v>
      </c>
      <c r="CK368" s="8">
        <f t="shared" si="266"/>
        <v>0</v>
      </c>
      <c r="CL368" s="8">
        <f t="shared" si="267"/>
        <v>0</v>
      </c>
      <c r="CM368" s="8">
        <f t="shared" si="268"/>
        <v>0</v>
      </c>
      <c r="CN368" s="8">
        <f t="shared" si="269"/>
        <v>0</v>
      </c>
      <c r="CO368" s="8">
        <f t="shared" si="270"/>
        <v>0</v>
      </c>
      <c r="CP368" s="8">
        <f t="shared" si="271"/>
        <v>0</v>
      </c>
      <c r="CQ368" s="8">
        <f t="shared" si="272"/>
        <v>0</v>
      </c>
      <c r="CR368" s="8">
        <f t="shared" si="273"/>
        <v>0</v>
      </c>
      <c r="CS368" s="8">
        <f t="shared" si="274"/>
        <v>0</v>
      </c>
      <c r="CT368" s="8">
        <f t="shared" si="279"/>
        <v>0</v>
      </c>
      <c r="CU368" s="8">
        <f t="shared" si="280"/>
        <v>0</v>
      </c>
      <c r="CV368" s="8">
        <f t="shared" si="281"/>
        <v>0</v>
      </c>
    </row>
    <row r="369" spans="1:100" ht="20.5" thickTop="1" thickBot="1" x14ac:dyDescent="0.5">
      <c r="A369" s="32"/>
      <c r="B369" s="10"/>
      <c r="C369" s="10"/>
      <c r="D369" s="11"/>
      <c r="E369" s="10"/>
      <c r="F369" s="10"/>
      <c r="G369" s="19"/>
      <c r="H369" s="19"/>
      <c r="I369" s="19"/>
      <c r="J369" s="19"/>
      <c r="K369" s="10"/>
      <c r="L369" s="10"/>
      <c r="M369" s="10"/>
      <c r="N369" s="10"/>
      <c r="O369" s="18"/>
      <c r="P369" s="18"/>
      <c r="Q369" s="21"/>
      <c r="R369" s="20"/>
      <c r="S369" s="16">
        <f t="shared" si="237"/>
        <v>0</v>
      </c>
      <c r="T369" s="11"/>
      <c r="AS369" s="31">
        <f t="shared" si="238"/>
        <v>0</v>
      </c>
      <c r="AT369" s="31">
        <f t="shared" si="239"/>
        <v>0</v>
      </c>
      <c r="AU369" s="31">
        <f t="shared" si="240"/>
        <v>0</v>
      </c>
      <c r="AV369" s="31">
        <f t="shared" si="241"/>
        <v>0</v>
      </c>
      <c r="AW369" s="31">
        <f t="shared" si="242"/>
        <v>0</v>
      </c>
      <c r="AX369" s="31">
        <f t="shared" si="243"/>
        <v>0</v>
      </c>
      <c r="AY369" s="31">
        <f t="shared" si="244"/>
        <v>0</v>
      </c>
      <c r="AZ369" s="31">
        <f t="shared" si="245"/>
        <v>0</v>
      </c>
      <c r="BA369" s="31">
        <f t="shared" si="246"/>
        <v>0</v>
      </c>
      <c r="BB369" s="31">
        <f t="shared" si="275"/>
        <v>0</v>
      </c>
      <c r="BM369" s="8">
        <f t="shared" si="276"/>
        <v>0</v>
      </c>
      <c r="BN369" s="8">
        <f t="shared" si="247"/>
        <v>0</v>
      </c>
      <c r="BO369" s="8">
        <f t="shared" si="248"/>
        <v>0</v>
      </c>
      <c r="BQ369" s="8">
        <f t="shared" si="249"/>
        <v>0</v>
      </c>
      <c r="BR369" s="63">
        <f t="shared" si="250"/>
        <v>0</v>
      </c>
      <c r="BS369" s="63">
        <f t="shared" si="277"/>
        <v>0</v>
      </c>
      <c r="BT369" s="63">
        <f t="shared" si="251"/>
        <v>0</v>
      </c>
      <c r="BU369" s="63">
        <f t="shared" si="252"/>
        <v>0</v>
      </c>
      <c r="BV369" s="57">
        <f t="shared" si="253"/>
        <v>0</v>
      </c>
      <c r="BW369" s="57">
        <f t="shared" si="254"/>
        <v>0</v>
      </c>
      <c r="BX369" s="57">
        <f t="shared" si="278"/>
        <v>0</v>
      </c>
      <c r="BY369" s="57">
        <f t="shared" si="282"/>
        <v>0</v>
      </c>
      <c r="BZ369" s="8">
        <f t="shared" si="255"/>
        <v>0</v>
      </c>
      <c r="CA369" s="8">
        <f t="shared" si="256"/>
        <v>0</v>
      </c>
      <c r="CB369" s="8">
        <f t="shared" si="257"/>
        <v>0</v>
      </c>
      <c r="CC369" s="8">
        <f t="shared" si="258"/>
        <v>0</v>
      </c>
      <c r="CD369" s="8">
        <f t="shared" si="259"/>
        <v>0</v>
      </c>
      <c r="CE369" s="8">
        <f t="shared" si="260"/>
        <v>0</v>
      </c>
      <c r="CF369" s="8">
        <f t="shared" si="261"/>
        <v>0</v>
      </c>
      <c r="CG369" s="8">
        <f t="shared" si="262"/>
        <v>0</v>
      </c>
      <c r="CH369" s="8">
        <f t="shared" si="263"/>
        <v>0</v>
      </c>
      <c r="CI369" s="8">
        <f t="shared" si="264"/>
        <v>0</v>
      </c>
      <c r="CJ369" s="8">
        <f t="shared" si="265"/>
        <v>0</v>
      </c>
      <c r="CK369" s="8">
        <f t="shared" si="266"/>
        <v>0</v>
      </c>
      <c r="CL369" s="8">
        <f t="shared" si="267"/>
        <v>0</v>
      </c>
      <c r="CM369" s="8">
        <f t="shared" si="268"/>
        <v>0</v>
      </c>
      <c r="CN369" s="8">
        <f t="shared" si="269"/>
        <v>0</v>
      </c>
      <c r="CO369" s="8">
        <f t="shared" si="270"/>
        <v>0</v>
      </c>
      <c r="CP369" s="8">
        <f t="shared" si="271"/>
        <v>0</v>
      </c>
      <c r="CQ369" s="8">
        <f t="shared" si="272"/>
        <v>0</v>
      </c>
      <c r="CR369" s="8">
        <f t="shared" si="273"/>
        <v>0</v>
      </c>
      <c r="CS369" s="8">
        <f t="shared" si="274"/>
        <v>0</v>
      </c>
      <c r="CT369" s="8">
        <f t="shared" si="279"/>
        <v>0</v>
      </c>
      <c r="CU369" s="8">
        <f t="shared" si="280"/>
        <v>0</v>
      </c>
      <c r="CV369" s="8">
        <f t="shared" si="281"/>
        <v>0</v>
      </c>
    </row>
    <row r="370" spans="1:100" ht="20.5" thickTop="1" thickBot="1" x14ac:dyDescent="0.5">
      <c r="A370" s="32"/>
      <c r="B370" s="10"/>
      <c r="C370" s="10"/>
      <c r="D370" s="11"/>
      <c r="E370" s="10"/>
      <c r="F370" s="10"/>
      <c r="G370" s="19"/>
      <c r="H370" s="19"/>
      <c r="I370" s="19"/>
      <c r="J370" s="19"/>
      <c r="K370" s="10"/>
      <c r="L370" s="10"/>
      <c r="M370" s="10"/>
      <c r="N370" s="10"/>
      <c r="O370" s="18"/>
      <c r="P370" s="18"/>
      <c r="Q370" s="21"/>
      <c r="R370" s="20"/>
      <c r="S370" s="16">
        <f t="shared" si="237"/>
        <v>0</v>
      </c>
      <c r="T370" s="11"/>
      <c r="AS370" s="31">
        <f t="shared" si="238"/>
        <v>0</v>
      </c>
      <c r="AT370" s="31">
        <f t="shared" si="239"/>
        <v>0</v>
      </c>
      <c r="AU370" s="31">
        <f t="shared" si="240"/>
        <v>0</v>
      </c>
      <c r="AV370" s="31">
        <f t="shared" si="241"/>
        <v>0</v>
      </c>
      <c r="AW370" s="31">
        <f t="shared" si="242"/>
        <v>0</v>
      </c>
      <c r="AX370" s="31">
        <f t="shared" si="243"/>
        <v>0</v>
      </c>
      <c r="AY370" s="31">
        <f t="shared" si="244"/>
        <v>0</v>
      </c>
      <c r="AZ370" s="31">
        <f t="shared" si="245"/>
        <v>0</v>
      </c>
      <c r="BA370" s="31">
        <f t="shared" si="246"/>
        <v>0</v>
      </c>
      <c r="BB370" s="31">
        <f t="shared" si="275"/>
        <v>0</v>
      </c>
      <c r="BM370" s="8">
        <f t="shared" si="276"/>
        <v>0</v>
      </c>
      <c r="BN370" s="8">
        <f t="shared" si="247"/>
        <v>0</v>
      </c>
      <c r="BO370" s="8">
        <f t="shared" si="248"/>
        <v>0</v>
      </c>
      <c r="BQ370" s="8">
        <f t="shared" si="249"/>
        <v>0</v>
      </c>
      <c r="BR370" s="63">
        <f t="shared" si="250"/>
        <v>0</v>
      </c>
      <c r="BS370" s="63">
        <f t="shared" si="277"/>
        <v>0</v>
      </c>
      <c r="BT370" s="63">
        <f t="shared" si="251"/>
        <v>0</v>
      </c>
      <c r="BU370" s="63">
        <f t="shared" si="252"/>
        <v>0</v>
      </c>
      <c r="BV370" s="57">
        <f t="shared" si="253"/>
        <v>0</v>
      </c>
      <c r="BW370" s="57">
        <f t="shared" si="254"/>
        <v>0</v>
      </c>
      <c r="BX370" s="57">
        <f t="shared" si="278"/>
        <v>0</v>
      </c>
      <c r="BY370" s="57">
        <f t="shared" si="282"/>
        <v>0</v>
      </c>
      <c r="BZ370" s="8">
        <f t="shared" si="255"/>
        <v>0</v>
      </c>
      <c r="CA370" s="8">
        <f t="shared" si="256"/>
        <v>0</v>
      </c>
      <c r="CB370" s="8">
        <f t="shared" si="257"/>
        <v>0</v>
      </c>
      <c r="CC370" s="8">
        <f t="shared" si="258"/>
        <v>0</v>
      </c>
      <c r="CD370" s="8">
        <f t="shared" si="259"/>
        <v>0</v>
      </c>
      <c r="CE370" s="8">
        <f t="shared" si="260"/>
        <v>0</v>
      </c>
      <c r="CF370" s="8">
        <f t="shared" si="261"/>
        <v>0</v>
      </c>
      <c r="CG370" s="8">
        <f t="shared" si="262"/>
        <v>0</v>
      </c>
      <c r="CH370" s="8">
        <f t="shared" si="263"/>
        <v>0</v>
      </c>
      <c r="CI370" s="8">
        <f t="shared" si="264"/>
        <v>0</v>
      </c>
      <c r="CJ370" s="8">
        <f t="shared" si="265"/>
        <v>0</v>
      </c>
      <c r="CK370" s="8">
        <f t="shared" si="266"/>
        <v>0</v>
      </c>
      <c r="CL370" s="8">
        <f t="shared" si="267"/>
        <v>0</v>
      </c>
      <c r="CM370" s="8">
        <f t="shared" si="268"/>
        <v>0</v>
      </c>
      <c r="CN370" s="8">
        <f t="shared" si="269"/>
        <v>0</v>
      </c>
      <c r="CO370" s="8">
        <f t="shared" si="270"/>
        <v>0</v>
      </c>
      <c r="CP370" s="8">
        <f t="shared" si="271"/>
        <v>0</v>
      </c>
      <c r="CQ370" s="8">
        <f t="shared" si="272"/>
        <v>0</v>
      </c>
      <c r="CR370" s="8">
        <f t="shared" si="273"/>
        <v>0</v>
      </c>
      <c r="CS370" s="8">
        <f t="shared" si="274"/>
        <v>0</v>
      </c>
      <c r="CT370" s="8">
        <f t="shared" si="279"/>
        <v>0</v>
      </c>
      <c r="CU370" s="8">
        <f t="shared" si="280"/>
        <v>0</v>
      </c>
      <c r="CV370" s="8">
        <f t="shared" si="281"/>
        <v>0</v>
      </c>
    </row>
    <row r="371" spans="1:100" ht="20.5" thickTop="1" thickBot="1" x14ac:dyDescent="0.5">
      <c r="A371" s="32"/>
      <c r="B371" s="10"/>
      <c r="C371" s="10"/>
      <c r="D371" s="11"/>
      <c r="E371" s="10"/>
      <c r="F371" s="10"/>
      <c r="G371" s="19"/>
      <c r="H371" s="19"/>
      <c r="I371" s="19"/>
      <c r="J371" s="19"/>
      <c r="K371" s="10"/>
      <c r="L371" s="10"/>
      <c r="M371" s="10"/>
      <c r="N371" s="10"/>
      <c r="O371" s="18"/>
      <c r="P371" s="18"/>
      <c r="Q371" s="21"/>
      <c r="R371" s="20"/>
      <c r="S371" s="16">
        <f t="shared" si="237"/>
        <v>0</v>
      </c>
      <c r="T371" s="11"/>
      <c r="AS371" s="31">
        <f t="shared" si="238"/>
        <v>0</v>
      </c>
      <c r="AT371" s="31">
        <f t="shared" si="239"/>
        <v>0</v>
      </c>
      <c r="AU371" s="31">
        <f t="shared" si="240"/>
        <v>0</v>
      </c>
      <c r="AV371" s="31">
        <f t="shared" si="241"/>
        <v>0</v>
      </c>
      <c r="AW371" s="31">
        <f t="shared" si="242"/>
        <v>0</v>
      </c>
      <c r="AX371" s="31">
        <f t="shared" si="243"/>
        <v>0</v>
      </c>
      <c r="AY371" s="31">
        <f t="shared" si="244"/>
        <v>0</v>
      </c>
      <c r="AZ371" s="31">
        <f t="shared" si="245"/>
        <v>0</v>
      </c>
      <c r="BA371" s="31">
        <f t="shared" si="246"/>
        <v>0</v>
      </c>
      <c r="BB371" s="31">
        <f t="shared" si="275"/>
        <v>0</v>
      </c>
      <c r="BM371" s="8">
        <f t="shared" si="276"/>
        <v>0</v>
      </c>
      <c r="BN371" s="8">
        <f t="shared" si="247"/>
        <v>0</v>
      </c>
      <c r="BO371" s="8">
        <f t="shared" si="248"/>
        <v>0</v>
      </c>
      <c r="BQ371" s="8">
        <f t="shared" si="249"/>
        <v>0</v>
      </c>
      <c r="BR371" s="63">
        <f t="shared" si="250"/>
        <v>0</v>
      </c>
      <c r="BS371" s="63">
        <f t="shared" si="277"/>
        <v>0</v>
      </c>
      <c r="BT371" s="63">
        <f t="shared" si="251"/>
        <v>0</v>
      </c>
      <c r="BU371" s="63">
        <f t="shared" si="252"/>
        <v>0</v>
      </c>
      <c r="BV371" s="57">
        <f t="shared" si="253"/>
        <v>0</v>
      </c>
      <c r="BW371" s="57">
        <f t="shared" si="254"/>
        <v>0</v>
      </c>
      <c r="BX371" s="57">
        <f t="shared" si="278"/>
        <v>0</v>
      </c>
      <c r="BY371" s="57">
        <f t="shared" si="282"/>
        <v>0</v>
      </c>
      <c r="BZ371" s="8">
        <f t="shared" si="255"/>
        <v>0</v>
      </c>
      <c r="CA371" s="8">
        <f t="shared" si="256"/>
        <v>0</v>
      </c>
      <c r="CB371" s="8">
        <f t="shared" si="257"/>
        <v>0</v>
      </c>
      <c r="CC371" s="8">
        <f t="shared" si="258"/>
        <v>0</v>
      </c>
      <c r="CD371" s="8">
        <f t="shared" si="259"/>
        <v>0</v>
      </c>
      <c r="CE371" s="8">
        <f t="shared" si="260"/>
        <v>0</v>
      </c>
      <c r="CF371" s="8">
        <f t="shared" si="261"/>
        <v>0</v>
      </c>
      <c r="CG371" s="8">
        <f t="shared" si="262"/>
        <v>0</v>
      </c>
      <c r="CH371" s="8">
        <f t="shared" si="263"/>
        <v>0</v>
      </c>
      <c r="CI371" s="8">
        <f t="shared" si="264"/>
        <v>0</v>
      </c>
      <c r="CJ371" s="8">
        <f t="shared" si="265"/>
        <v>0</v>
      </c>
      <c r="CK371" s="8">
        <f t="shared" si="266"/>
        <v>0</v>
      </c>
      <c r="CL371" s="8">
        <f t="shared" si="267"/>
        <v>0</v>
      </c>
      <c r="CM371" s="8">
        <f t="shared" si="268"/>
        <v>0</v>
      </c>
      <c r="CN371" s="8">
        <f t="shared" si="269"/>
        <v>0</v>
      </c>
      <c r="CO371" s="8">
        <f t="shared" si="270"/>
        <v>0</v>
      </c>
      <c r="CP371" s="8">
        <f t="shared" si="271"/>
        <v>0</v>
      </c>
      <c r="CQ371" s="8">
        <f t="shared" si="272"/>
        <v>0</v>
      </c>
      <c r="CR371" s="8">
        <f t="shared" si="273"/>
        <v>0</v>
      </c>
      <c r="CS371" s="8">
        <f t="shared" si="274"/>
        <v>0</v>
      </c>
      <c r="CT371" s="8">
        <f t="shared" si="279"/>
        <v>0</v>
      </c>
      <c r="CU371" s="8">
        <f t="shared" si="280"/>
        <v>0</v>
      </c>
      <c r="CV371" s="8">
        <f t="shared" si="281"/>
        <v>0</v>
      </c>
    </row>
    <row r="372" spans="1:100" ht="20.5" thickTop="1" thickBot="1" x14ac:dyDescent="0.5">
      <c r="A372" s="32"/>
      <c r="B372" s="10"/>
      <c r="C372" s="10"/>
      <c r="D372" s="11"/>
      <c r="E372" s="10"/>
      <c r="F372" s="10"/>
      <c r="G372" s="19"/>
      <c r="H372" s="19"/>
      <c r="I372" s="19"/>
      <c r="J372" s="19"/>
      <c r="K372" s="10"/>
      <c r="L372" s="10"/>
      <c r="M372" s="10"/>
      <c r="N372" s="10"/>
      <c r="O372" s="18"/>
      <c r="P372" s="18"/>
      <c r="Q372" s="21"/>
      <c r="R372" s="20"/>
      <c r="S372" s="16">
        <f t="shared" si="237"/>
        <v>0</v>
      </c>
      <c r="T372" s="11"/>
      <c r="AS372" s="31">
        <f t="shared" si="238"/>
        <v>0</v>
      </c>
      <c r="AT372" s="31">
        <f t="shared" si="239"/>
        <v>0</v>
      </c>
      <c r="AU372" s="31">
        <f t="shared" si="240"/>
        <v>0</v>
      </c>
      <c r="AV372" s="31">
        <f t="shared" si="241"/>
        <v>0</v>
      </c>
      <c r="AW372" s="31">
        <f t="shared" si="242"/>
        <v>0</v>
      </c>
      <c r="AX372" s="31">
        <f t="shared" si="243"/>
        <v>0</v>
      </c>
      <c r="AY372" s="31">
        <f t="shared" si="244"/>
        <v>0</v>
      </c>
      <c r="AZ372" s="31">
        <f t="shared" si="245"/>
        <v>0</v>
      </c>
      <c r="BA372" s="31">
        <f t="shared" si="246"/>
        <v>0</v>
      </c>
      <c r="BB372" s="31">
        <f t="shared" si="275"/>
        <v>0</v>
      </c>
      <c r="BM372" s="8">
        <f t="shared" si="276"/>
        <v>0</v>
      </c>
      <c r="BN372" s="8">
        <f t="shared" si="247"/>
        <v>0</v>
      </c>
      <c r="BO372" s="8">
        <f t="shared" si="248"/>
        <v>0</v>
      </c>
      <c r="BQ372" s="8">
        <f t="shared" si="249"/>
        <v>0</v>
      </c>
      <c r="BR372" s="63">
        <f t="shared" si="250"/>
        <v>0</v>
      </c>
      <c r="BS372" s="63">
        <f t="shared" si="277"/>
        <v>0</v>
      </c>
      <c r="BT372" s="63">
        <f t="shared" si="251"/>
        <v>0</v>
      </c>
      <c r="BU372" s="63">
        <f t="shared" si="252"/>
        <v>0</v>
      </c>
      <c r="BV372" s="57">
        <f t="shared" si="253"/>
        <v>0</v>
      </c>
      <c r="BW372" s="57">
        <f t="shared" si="254"/>
        <v>0</v>
      </c>
      <c r="BX372" s="57">
        <f t="shared" si="278"/>
        <v>0</v>
      </c>
      <c r="BY372" s="57">
        <f t="shared" si="282"/>
        <v>0</v>
      </c>
      <c r="BZ372" s="8">
        <f t="shared" si="255"/>
        <v>0</v>
      </c>
      <c r="CA372" s="8">
        <f t="shared" si="256"/>
        <v>0</v>
      </c>
      <c r="CB372" s="8">
        <f t="shared" si="257"/>
        <v>0</v>
      </c>
      <c r="CC372" s="8">
        <f t="shared" si="258"/>
        <v>0</v>
      </c>
      <c r="CD372" s="8">
        <f t="shared" si="259"/>
        <v>0</v>
      </c>
      <c r="CE372" s="8">
        <f t="shared" si="260"/>
        <v>0</v>
      </c>
      <c r="CF372" s="8">
        <f t="shared" si="261"/>
        <v>0</v>
      </c>
      <c r="CG372" s="8">
        <f t="shared" si="262"/>
        <v>0</v>
      </c>
      <c r="CH372" s="8">
        <f t="shared" si="263"/>
        <v>0</v>
      </c>
      <c r="CI372" s="8">
        <f t="shared" si="264"/>
        <v>0</v>
      </c>
      <c r="CJ372" s="8">
        <f t="shared" si="265"/>
        <v>0</v>
      </c>
      <c r="CK372" s="8">
        <f t="shared" si="266"/>
        <v>0</v>
      </c>
      <c r="CL372" s="8">
        <f t="shared" si="267"/>
        <v>0</v>
      </c>
      <c r="CM372" s="8">
        <f t="shared" si="268"/>
        <v>0</v>
      </c>
      <c r="CN372" s="8">
        <f t="shared" si="269"/>
        <v>0</v>
      </c>
      <c r="CO372" s="8">
        <f t="shared" si="270"/>
        <v>0</v>
      </c>
      <c r="CP372" s="8">
        <f t="shared" si="271"/>
        <v>0</v>
      </c>
      <c r="CQ372" s="8">
        <f t="shared" si="272"/>
        <v>0</v>
      </c>
      <c r="CR372" s="8">
        <f t="shared" si="273"/>
        <v>0</v>
      </c>
      <c r="CS372" s="8">
        <f t="shared" si="274"/>
        <v>0</v>
      </c>
      <c r="CT372" s="8">
        <f t="shared" si="279"/>
        <v>0</v>
      </c>
      <c r="CU372" s="8">
        <f t="shared" si="280"/>
        <v>0</v>
      </c>
      <c r="CV372" s="8">
        <f t="shared" si="281"/>
        <v>0</v>
      </c>
    </row>
    <row r="373" spans="1:100" ht="20.5" thickTop="1" thickBot="1" x14ac:dyDescent="0.5">
      <c r="A373" s="32"/>
      <c r="B373" s="10"/>
      <c r="C373" s="10"/>
      <c r="D373" s="11"/>
      <c r="E373" s="10"/>
      <c r="F373" s="10"/>
      <c r="G373" s="19"/>
      <c r="H373" s="19"/>
      <c r="I373" s="19"/>
      <c r="J373" s="19"/>
      <c r="K373" s="10"/>
      <c r="L373" s="10"/>
      <c r="M373" s="10"/>
      <c r="N373" s="10"/>
      <c r="O373" s="18"/>
      <c r="P373" s="18"/>
      <c r="Q373" s="21"/>
      <c r="R373" s="20"/>
      <c r="S373" s="16">
        <f t="shared" si="237"/>
        <v>0</v>
      </c>
      <c r="T373" s="11"/>
      <c r="AS373" s="31">
        <f t="shared" si="238"/>
        <v>0</v>
      </c>
      <c r="AT373" s="31">
        <f t="shared" si="239"/>
        <v>0</v>
      </c>
      <c r="AU373" s="31">
        <f t="shared" si="240"/>
        <v>0</v>
      </c>
      <c r="AV373" s="31">
        <f t="shared" si="241"/>
        <v>0</v>
      </c>
      <c r="AW373" s="31">
        <f t="shared" si="242"/>
        <v>0</v>
      </c>
      <c r="AX373" s="31">
        <f t="shared" si="243"/>
        <v>0</v>
      </c>
      <c r="AY373" s="31">
        <f t="shared" si="244"/>
        <v>0</v>
      </c>
      <c r="AZ373" s="31">
        <f t="shared" si="245"/>
        <v>0</v>
      </c>
      <c r="BA373" s="31">
        <f t="shared" si="246"/>
        <v>0</v>
      </c>
      <c r="BB373" s="31">
        <f t="shared" si="275"/>
        <v>0</v>
      </c>
      <c r="BM373" s="8">
        <f t="shared" si="276"/>
        <v>0</v>
      </c>
      <c r="BN373" s="8">
        <f t="shared" si="247"/>
        <v>0</v>
      </c>
      <c r="BO373" s="8">
        <f t="shared" si="248"/>
        <v>0</v>
      </c>
      <c r="BQ373" s="8">
        <f t="shared" si="249"/>
        <v>0</v>
      </c>
      <c r="BR373" s="63">
        <f t="shared" si="250"/>
        <v>0</v>
      </c>
      <c r="BS373" s="63">
        <f t="shared" si="277"/>
        <v>0</v>
      </c>
      <c r="BT373" s="63">
        <f t="shared" si="251"/>
        <v>0</v>
      </c>
      <c r="BU373" s="63">
        <f t="shared" si="252"/>
        <v>0</v>
      </c>
      <c r="BV373" s="57">
        <f t="shared" si="253"/>
        <v>0</v>
      </c>
      <c r="BW373" s="57">
        <f t="shared" si="254"/>
        <v>0</v>
      </c>
      <c r="BX373" s="57">
        <f t="shared" si="278"/>
        <v>0</v>
      </c>
      <c r="BY373" s="57">
        <f t="shared" si="282"/>
        <v>0</v>
      </c>
      <c r="BZ373" s="8">
        <f t="shared" si="255"/>
        <v>0</v>
      </c>
      <c r="CA373" s="8">
        <f t="shared" si="256"/>
        <v>0</v>
      </c>
      <c r="CB373" s="8">
        <f t="shared" si="257"/>
        <v>0</v>
      </c>
      <c r="CC373" s="8">
        <f t="shared" si="258"/>
        <v>0</v>
      </c>
      <c r="CD373" s="8">
        <f t="shared" si="259"/>
        <v>0</v>
      </c>
      <c r="CE373" s="8">
        <f t="shared" si="260"/>
        <v>0</v>
      </c>
      <c r="CF373" s="8">
        <f t="shared" si="261"/>
        <v>0</v>
      </c>
      <c r="CG373" s="8">
        <f t="shared" si="262"/>
        <v>0</v>
      </c>
      <c r="CH373" s="8">
        <f t="shared" si="263"/>
        <v>0</v>
      </c>
      <c r="CI373" s="8">
        <f t="shared" si="264"/>
        <v>0</v>
      </c>
      <c r="CJ373" s="8">
        <f t="shared" si="265"/>
        <v>0</v>
      </c>
      <c r="CK373" s="8">
        <f t="shared" si="266"/>
        <v>0</v>
      </c>
      <c r="CL373" s="8">
        <f t="shared" si="267"/>
        <v>0</v>
      </c>
      <c r="CM373" s="8">
        <f t="shared" si="268"/>
        <v>0</v>
      </c>
      <c r="CN373" s="8">
        <f t="shared" si="269"/>
        <v>0</v>
      </c>
      <c r="CO373" s="8">
        <f t="shared" si="270"/>
        <v>0</v>
      </c>
      <c r="CP373" s="8">
        <f t="shared" si="271"/>
        <v>0</v>
      </c>
      <c r="CQ373" s="8">
        <f t="shared" si="272"/>
        <v>0</v>
      </c>
      <c r="CR373" s="8">
        <f t="shared" si="273"/>
        <v>0</v>
      </c>
      <c r="CS373" s="8">
        <f t="shared" si="274"/>
        <v>0</v>
      </c>
      <c r="CT373" s="8">
        <f t="shared" si="279"/>
        <v>0</v>
      </c>
      <c r="CU373" s="8">
        <f t="shared" si="280"/>
        <v>0</v>
      </c>
      <c r="CV373" s="8">
        <f t="shared" si="281"/>
        <v>0</v>
      </c>
    </row>
    <row r="374" spans="1:100" ht="20.5" thickTop="1" thickBot="1" x14ac:dyDescent="0.5">
      <c r="A374" s="32"/>
      <c r="B374" s="10"/>
      <c r="C374" s="10"/>
      <c r="D374" s="11"/>
      <c r="E374" s="10"/>
      <c r="F374" s="10"/>
      <c r="G374" s="19"/>
      <c r="H374" s="19"/>
      <c r="I374" s="19"/>
      <c r="J374" s="19"/>
      <c r="K374" s="10"/>
      <c r="L374" s="10"/>
      <c r="M374" s="10"/>
      <c r="N374" s="10"/>
      <c r="O374" s="18"/>
      <c r="P374" s="18"/>
      <c r="Q374" s="21"/>
      <c r="R374" s="20"/>
      <c r="S374" s="16">
        <f t="shared" si="237"/>
        <v>0</v>
      </c>
      <c r="T374" s="11"/>
      <c r="AS374" s="31">
        <f t="shared" si="238"/>
        <v>0</v>
      </c>
      <c r="AT374" s="31">
        <f t="shared" si="239"/>
        <v>0</v>
      </c>
      <c r="AU374" s="31">
        <f t="shared" si="240"/>
        <v>0</v>
      </c>
      <c r="AV374" s="31">
        <f t="shared" si="241"/>
        <v>0</v>
      </c>
      <c r="AW374" s="31">
        <f t="shared" si="242"/>
        <v>0</v>
      </c>
      <c r="AX374" s="31">
        <f t="shared" si="243"/>
        <v>0</v>
      </c>
      <c r="AY374" s="31">
        <f t="shared" si="244"/>
        <v>0</v>
      </c>
      <c r="AZ374" s="31">
        <f t="shared" si="245"/>
        <v>0</v>
      </c>
      <c r="BA374" s="31">
        <f t="shared" si="246"/>
        <v>0</v>
      </c>
      <c r="BB374" s="31">
        <f t="shared" si="275"/>
        <v>0</v>
      </c>
      <c r="BM374" s="8">
        <f t="shared" si="276"/>
        <v>0</v>
      </c>
      <c r="BN374" s="8">
        <f t="shared" si="247"/>
        <v>0</v>
      </c>
      <c r="BO374" s="8">
        <f t="shared" si="248"/>
        <v>0</v>
      </c>
      <c r="BQ374" s="8">
        <f t="shared" si="249"/>
        <v>0</v>
      </c>
      <c r="BR374" s="63">
        <f t="shared" si="250"/>
        <v>0</v>
      </c>
      <c r="BS374" s="63">
        <f t="shared" si="277"/>
        <v>0</v>
      </c>
      <c r="BT374" s="63">
        <f t="shared" si="251"/>
        <v>0</v>
      </c>
      <c r="BU374" s="63">
        <f t="shared" si="252"/>
        <v>0</v>
      </c>
      <c r="BV374" s="57">
        <f t="shared" si="253"/>
        <v>0</v>
      </c>
      <c r="BW374" s="57">
        <f t="shared" si="254"/>
        <v>0</v>
      </c>
      <c r="BX374" s="57">
        <f t="shared" si="278"/>
        <v>0</v>
      </c>
      <c r="BY374" s="57">
        <f t="shared" si="282"/>
        <v>0</v>
      </c>
      <c r="BZ374" s="8">
        <f t="shared" si="255"/>
        <v>0</v>
      </c>
      <c r="CA374" s="8">
        <f t="shared" si="256"/>
        <v>0</v>
      </c>
      <c r="CB374" s="8">
        <f t="shared" si="257"/>
        <v>0</v>
      </c>
      <c r="CC374" s="8">
        <f t="shared" si="258"/>
        <v>0</v>
      </c>
      <c r="CD374" s="8">
        <f t="shared" si="259"/>
        <v>0</v>
      </c>
      <c r="CE374" s="8">
        <f t="shared" si="260"/>
        <v>0</v>
      </c>
      <c r="CF374" s="8">
        <f t="shared" si="261"/>
        <v>0</v>
      </c>
      <c r="CG374" s="8">
        <f t="shared" si="262"/>
        <v>0</v>
      </c>
      <c r="CH374" s="8">
        <f t="shared" si="263"/>
        <v>0</v>
      </c>
      <c r="CI374" s="8">
        <f t="shared" si="264"/>
        <v>0</v>
      </c>
      <c r="CJ374" s="8">
        <f t="shared" si="265"/>
        <v>0</v>
      </c>
      <c r="CK374" s="8">
        <f t="shared" si="266"/>
        <v>0</v>
      </c>
      <c r="CL374" s="8">
        <f t="shared" si="267"/>
        <v>0</v>
      </c>
      <c r="CM374" s="8">
        <f t="shared" si="268"/>
        <v>0</v>
      </c>
      <c r="CN374" s="8">
        <f t="shared" si="269"/>
        <v>0</v>
      </c>
      <c r="CO374" s="8">
        <f t="shared" si="270"/>
        <v>0</v>
      </c>
      <c r="CP374" s="8">
        <f t="shared" si="271"/>
        <v>0</v>
      </c>
      <c r="CQ374" s="8">
        <f t="shared" si="272"/>
        <v>0</v>
      </c>
      <c r="CR374" s="8">
        <f t="shared" si="273"/>
        <v>0</v>
      </c>
      <c r="CS374" s="8">
        <f t="shared" si="274"/>
        <v>0</v>
      </c>
      <c r="CT374" s="8">
        <f t="shared" si="279"/>
        <v>0</v>
      </c>
      <c r="CU374" s="8">
        <f t="shared" si="280"/>
        <v>0</v>
      </c>
      <c r="CV374" s="8">
        <f t="shared" si="281"/>
        <v>0</v>
      </c>
    </row>
    <row r="375" spans="1:100" ht="20.5" thickTop="1" thickBot="1" x14ac:dyDescent="0.5">
      <c r="A375" s="32"/>
      <c r="B375" s="10"/>
      <c r="C375" s="10"/>
      <c r="D375" s="11"/>
      <c r="E375" s="10"/>
      <c r="F375" s="10"/>
      <c r="G375" s="19"/>
      <c r="H375" s="19"/>
      <c r="I375" s="19"/>
      <c r="J375" s="19"/>
      <c r="K375" s="10"/>
      <c r="L375" s="10"/>
      <c r="M375" s="10"/>
      <c r="N375" s="10"/>
      <c r="O375" s="18"/>
      <c r="P375" s="18"/>
      <c r="Q375" s="21"/>
      <c r="R375" s="20"/>
      <c r="S375" s="16">
        <f t="shared" si="237"/>
        <v>0</v>
      </c>
      <c r="T375" s="11"/>
      <c r="AS375" s="31">
        <f t="shared" si="238"/>
        <v>0</v>
      </c>
      <c r="AT375" s="31">
        <f t="shared" si="239"/>
        <v>0</v>
      </c>
      <c r="AU375" s="31">
        <f t="shared" si="240"/>
        <v>0</v>
      </c>
      <c r="AV375" s="31">
        <f t="shared" si="241"/>
        <v>0</v>
      </c>
      <c r="AW375" s="31">
        <f t="shared" si="242"/>
        <v>0</v>
      </c>
      <c r="AX375" s="31">
        <f t="shared" si="243"/>
        <v>0</v>
      </c>
      <c r="AY375" s="31">
        <f t="shared" si="244"/>
        <v>0</v>
      </c>
      <c r="AZ375" s="31">
        <f t="shared" si="245"/>
        <v>0</v>
      </c>
      <c r="BA375" s="31">
        <f t="shared" si="246"/>
        <v>0</v>
      </c>
      <c r="BB375" s="31">
        <f t="shared" si="275"/>
        <v>0</v>
      </c>
      <c r="BM375" s="8">
        <f t="shared" si="276"/>
        <v>0</v>
      </c>
      <c r="BN375" s="8">
        <f t="shared" si="247"/>
        <v>0</v>
      </c>
      <c r="BO375" s="8">
        <f t="shared" si="248"/>
        <v>0</v>
      </c>
      <c r="BQ375" s="8">
        <f t="shared" si="249"/>
        <v>0</v>
      </c>
      <c r="BR375" s="63">
        <f t="shared" si="250"/>
        <v>0</v>
      </c>
      <c r="BS375" s="63">
        <f t="shared" si="277"/>
        <v>0</v>
      </c>
      <c r="BT375" s="63">
        <f t="shared" si="251"/>
        <v>0</v>
      </c>
      <c r="BU375" s="63">
        <f t="shared" si="252"/>
        <v>0</v>
      </c>
      <c r="BV375" s="57">
        <f t="shared" si="253"/>
        <v>0</v>
      </c>
      <c r="BW375" s="57">
        <f t="shared" si="254"/>
        <v>0</v>
      </c>
      <c r="BX375" s="57">
        <f t="shared" si="278"/>
        <v>0</v>
      </c>
      <c r="BY375" s="57">
        <f t="shared" si="282"/>
        <v>0</v>
      </c>
      <c r="BZ375" s="8">
        <f t="shared" si="255"/>
        <v>0</v>
      </c>
      <c r="CA375" s="8">
        <f t="shared" si="256"/>
        <v>0</v>
      </c>
      <c r="CB375" s="8">
        <f t="shared" si="257"/>
        <v>0</v>
      </c>
      <c r="CC375" s="8">
        <f t="shared" si="258"/>
        <v>0</v>
      </c>
      <c r="CD375" s="8">
        <f t="shared" si="259"/>
        <v>0</v>
      </c>
      <c r="CE375" s="8">
        <f t="shared" si="260"/>
        <v>0</v>
      </c>
      <c r="CF375" s="8">
        <f t="shared" si="261"/>
        <v>0</v>
      </c>
      <c r="CG375" s="8">
        <f t="shared" si="262"/>
        <v>0</v>
      </c>
      <c r="CH375" s="8">
        <f t="shared" si="263"/>
        <v>0</v>
      </c>
      <c r="CI375" s="8">
        <f t="shared" si="264"/>
        <v>0</v>
      </c>
      <c r="CJ375" s="8">
        <f t="shared" si="265"/>
        <v>0</v>
      </c>
      <c r="CK375" s="8">
        <f t="shared" si="266"/>
        <v>0</v>
      </c>
      <c r="CL375" s="8">
        <f t="shared" si="267"/>
        <v>0</v>
      </c>
      <c r="CM375" s="8">
        <f t="shared" si="268"/>
        <v>0</v>
      </c>
      <c r="CN375" s="8">
        <f t="shared" si="269"/>
        <v>0</v>
      </c>
      <c r="CO375" s="8">
        <f t="shared" si="270"/>
        <v>0</v>
      </c>
      <c r="CP375" s="8">
        <f t="shared" si="271"/>
        <v>0</v>
      </c>
      <c r="CQ375" s="8">
        <f t="shared" si="272"/>
        <v>0</v>
      </c>
      <c r="CR375" s="8">
        <f t="shared" si="273"/>
        <v>0</v>
      </c>
      <c r="CS375" s="8">
        <f t="shared" si="274"/>
        <v>0</v>
      </c>
      <c r="CT375" s="8">
        <f t="shared" si="279"/>
        <v>0</v>
      </c>
      <c r="CU375" s="8">
        <f t="shared" si="280"/>
        <v>0</v>
      </c>
      <c r="CV375" s="8">
        <f t="shared" si="281"/>
        <v>0</v>
      </c>
    </row>
    <row r="376" spans="1:100" ht="20.5" thickTop="1" thickBot="1" x14ac:dyDescent="0.5">
      <c r="A376" s="32"/>
      <c r="B376" s="10"/>
      <c r="C376" s="10"/>
      <c r="D376" s="11"/>
      <c r="E376" s="10"/>
      <c r="F376" s="10"/>
      <c r="G376" s="19"/>
      <c r="H376" s="19"/>
      <c r="I376" s="19"/>
      <c r="J376" s="19"/>
      <c r="K376" s="10"/>
      <c r="L376" s="10"/>
      <c r="M376" s="10"/>
      <c r="N376" s="10"/>
      <c r="O376" s="18"/>
      <c r="P376" s="18"/>
      <c r="Q376" s="21"/>
      <c r="R376" s="20"/>
      <c r="S376" s="16">
        <f t="shared" si="237"/>
        <v>0</v>
      </c>
      <c r="T376" s="11"/>
      <c r="AS376" s="31">
        <f t="shared" si="238"/>
        <v>0</v>
      </c>
      <c r="AT376" s="31">
        <f t="shared" si="239"/>
        <v>0</v>
      </c>
      <c r="AU376" s="31">
        <f t="shared" si="240"/>
        <v>0</v>
      </c>
      <c r="AV376" s="31">
        <f t="shared" si="241"/>
        <v>0</v>
      </c>
      <c r="AW376" s="31">
        <f t="shared" si="242"/>
        <v>0</v>
      </c>
      <c r="AX376" s="31">
        <f t="shared" si="243"/>
        <v>0</v>
      </c>
      <c r="AY376" s="31">
        <f t="shared" si="244"/>
        <v>0</v>
      </c>
      <c r="AZ376" s="31">
        <f t="shared" si="245"/>
        <v>0</v>
      </c>
      <c r="BA376" s="31">
        <f t="shared" si="246"/>
        <v>0</v>
      </c>
      <c r="BB376" s="31">
        <f t="shared" si="275"/>
        <v>0</v>
      </c>
      <c r="BM376" s="8">
        <f t="shared" si="276"/>
        <v>0</v>
      </c>
      <c r="BN376" s="8">
        <f t="shared" si="247"/>
        <v>0</v>
      </c>
      <c r="BO376" s="8">
        <f t="shared" si="248"/>
        <v>0</v>
      </c>
      <c r="BQ376" s="8">
        <f t="shared" si="249"/>
        <v>0</v>
      </c>
      <c r="BR376" s="63">
        <f t="shared" si="250"/>
        <v>0</v>
      </c>
      <c r="BS376" s="63">
        <f t="shared" si="277"/>
        <v>0</v>
      </c>
      <c r="BT376" s="63">
        <f t="shared" si="251"/>
        <v>0</v>
      </c>
      <c r="BU376" s="63">
        <f t="shared" si="252"/>
        <v>0</v>
      </c>
      <c r="BV376" s="57">
        <f t="shared" si="253"/>
        <v>0</v>
      </c>
      <c r="BW376" s="57">
        <f t="shared" si="254"/>
        <v>0</v>
      </c>
      <c r="BX376" s="57">
        <f t="shared" si="278"/>
        <v>0</v>
      </c>
      <c r="BY376" s="57">
        <f t="shared" si="282"/>
        <v>0</v>
      </c>
      <c r="BZ376" s="8">
        <f t="shared" si="255"/>
        <v>0</v>
      </c>
      <c r="CA376" s="8">
        <f t="shared" si="256"/>
        <v>0</v>
      </c>
      <c r="CB376" s="8">
        <f t="shared" si="257"/>
        <v>0</v>
      </c>
      <c r="CC376" s="8">
        <f t="shared" si="258"/>
        <v>0</v>
      </c>
      <c r="CD376" s="8">
        <f t="shared" si="259"/>
        <v>0</v>
      </c>
      <c r="CE376" s="8">
        <f t="shared" si="260"/>
        <v>0</v>
      </c>
      <c r="CF376" s="8">
        <f t="shared" si="261"/>
        <v>0</v>
      </c>
      <c r="CG376" s="8">
        <f t="shared" si="262"/>
        <v>0</v>
      </c>
      <c r="CH376" s="8">
        <f t="shared" si="263"/>
        <v>0</v>
      </c>
      <c r="CI376" s="8">
        <f t="shared" si="264"/>
        <v>0</v>
      </c>
      <c r="CJ376" s="8">
        <f t="shared" si="265"/>
        <v>0</v>
      </c>
      <c r="CK376" s="8">
        <f t="shared" si="266"/>
        <v>0</v>
      </c>
      <c r="CL376" s="8">
        <f t="shared" si="267"/>
        <v>0</v>
      </c>
      <c r="CM376" s="8">
        <f t="shared" si="268"/>
        <v>0</v>
      </c>
      <c r="CN376" s="8">
        <f t="shared" si="269"/>
        <v>0</v>
      </c>
      <c r="CO376" s="8">
        <f t="shared" si="270"/>
        <v>0</v>
      </c>
      <c r="CP376" s="8">
        <f t="shared" si="271"/>
        <v>0</v>
      </c>
      <c r="CQ376" s="8">
        <f t="shared" si="272"/>
        <v>0</v>
      </c>
      <c r="CR376" s="8">
        <f t="shared" si="273"/>
        <v>0</v>
      </c>
      <c r="CS376" s="8">
        <f t="shared" si="274"/>
        <v>0</v>
      </c>
      <c r="CT376" s="8">
        <f t="shared" si="279"/>
        <v>0</v>
      </c>
      <c r="CU376" s="8">
        <f t="shared" si="280"/>
        <v>0</v>
      </c>
      <c r="CV376" s="8">
        <f t="shared" si="281"/>
        <v>0</v>
      </c>
    </row>
    <row r="377" spans="1:100" ht="20.5" thickTop="1" thickBot="1" x14ac:dyDescent="0.5">
      <c r="A377" s="32"/>
      <c r="B377" s="10"/>
      <c r="C377" s="10"/>
      <c r="D377" s="11"/>
      <c r="E377" s="10"/>
      <c r="F377" s="10"/>
      <c r="G377" s="19"/>
      <c r="H377" s="19"/>
      <c r="I377" s="19"/>
      <c r="J377" s="19"/>
      <c r="K377" s="10"/>
      <c r="L377" s="10"/>
      <c r="M377" s="10"/>
      <c r="N377" s="10"/>
      <c r="O377" s="18"/>
      <c r="P377" s="18"/>
      <c r="Q377" s="21"/>
      <c r="R377" s="20"/>
      <c r="S377" s="16">
        <f t="shared" si="237"/>
        <v>0</v>
      </c>
      <c r="T377" s="11"/>
      <c r="AS377" s="31">
        <f t="shared" si="238"/>
        <v>0</v>
      </c>
      <c r="AT377" s="31">
        <f t="shared" si="239"/>
        <v>0</v>
      </c>
      <c r="AU377" s="31">
        <f t="shared" si="240"/>
        <v>0</v>
      </c>
      <c r="AV377" s="31">
        <f t="shared" si="241"/>
        <v>0</v>
      </c>
      <c r="AW377" s="31">
        <f t="shared" si="242"/>
        <v>0</v>
      </c>
      <c r="AX377" s="31">
        <f t="shared" si="243"/>
        <v>0</v>
      </c>
      <c r="AY377" s="31">
        <f t="shared" si="244"/>
        <v>0</v>
      </c>
      <c r="AZ377" s="31">
        <f t="shared" si="245"/>
        <v>0</v>
      </c>
      <c r="BA377" s="31">
        <f t="shared" si="246"/>
        <v>0</v>
      </c>
      <c r="BB377" s="31">
        <f t="shared" si="275"/>
        <v>0</v>
      </c>
      <c r="BM377" s="8">
        <f t="shared" si="276"/>
        <v>0</v>
      </c>
      <c r="BN377" s="8">
        <f t="shared" si="247"/>
        <v>0</v>
      </c>
      <c r="BO377" s="8">
        <f t="shared" si="248"/>
        <v>0</v>
      </c>
      <c r="BQ377" s="8">
        <f t="shared" si="249"/>
        <v>0</v>
      </c>
      <c r="BR377" s="63">
        <f t="shared" si="250"/>
        <v>0</v>
      </c>
      <c r="BS377" s="63">
        <f t="shared" si="277"/>
        <v>0</v>
      </c>
      <c r="BT377" s="63">
        <f t="shared" si="251"/>
        <v>0</v>
      </c>
      <c r="BU377" s="63">
        <f t="shared" si="252"/>
        <v>0</v>
      </c>
      <c r="BV377" s="57">
        <f t="shared" si="253"/>
        <v>0</v>
      </c>
      <c r="BW377" s="57">
        <f t="shared" si="254"/>
        <v>0</v>
      </c>
      <c r="BX377" s="57">
        <f t="shared" si="278"/>
        <v>0</v>
      </c>
      <c r="BY377" s="57">
        <f t="shared" si="282"/>
        <v>0</v>
      </c>
      <c r="BZ377" s="8">
        <f t="shared" si="255"/>
        <v>0</v>
      </c>
      <c r="CA377" s="8">
        <f t="shared" si="256"/>
        <v>0</v>
      </c>
      <c r="CB377" s="8">
        <f t="shared" si="257"/>
        <v>0</v>
      </c>
      <c r="CC377" s="8">
        <f t="shared" si="258"/>
        <v>0</v>
      </c>
      <c r="CD377" s="8">
        <f t="shared" si="259"/>
        <v>0</v>
      </c>
      <c r="CE377" s="8">
        <f t="shared" si="260"/>
        <v>0</v>
      </c>
      <c r="CF377" s="8">
        <f t="shared" si="261"/>
        <v>0</v>
      </c>
      <c r="CG377" s="8">
        <f t="shared" si="262"/>
        <v>0</v>
      </c>
      <c r="CH377" s="8">
        <f t="shared" si="263"/>
        <v>0</v>
      </c>
      <c r="CI377" s="8">
        <f t="shared" si="264"/>
        <v>0</v>
      </c>
      <c r="CJ377" s="8">
        <f t="shared" si="265"/>
        <v>0</v>
      </c>
      <c r="CK377" s="8">
        <f t="shared" si="266"/>
        <v>0</v>
      </c>
      <c r="CL377" s="8">
        <f t="shared" si="267"/>
        <v>0</v>
      </c>
      <c r="CM377" s="8">
        <f t="shared" si="268"/>
        <v>0</v>
      </c>
      <c r="CN377" s="8">
        <f t="shared" si="269"/>
        <v>0</v>
      </c>
      <c r="CO377" s="8">
        <f t="shared" si="270"/>
        <v>0</v>
      </c>
      <c r="CP377" s="8">
        <f t="shared" si="271"/>
        <v>0</v>
      </c>
      <c r="CQ377" s="8">
        <f t="shared" si="272"/>
        <v>0</v>
      </c>
      <c r="CR377" s="8">
        <f t="shared" si="273"/>
        <v>0</v>
      </c>
      <c r="CS377" s="8">
        <f t="shared" si="274"/>
        <v>0</v>
      </c>
      <c r="CT377" s="8">
        <f t="shared" si="279"/>
        <v>0</v>
      </c>
      <c r="CU377" s="8">
        <f t="shared" si="280"/>
        <v>0</v>
      </c>
      <c r="CV377" s="8">
        <f t="shared" si="281"/>
        <v>0</v>
      </c>
    </row>
    <row r="378" spans="1:100" ht="20.5" thickTop="1" thickBot="1" x14ac:dyDescent="0.5">
      <c r="A378" s="32"/>
      <c r="B378" s="10"/>
      <c r="C378" s="10"/>
      <c r="D378" s="11"/>
      <c r="E378" s="10"/>
      <c r="F378" s="10"/>
      <c r="G378" s="19"/>
      <c r="H378" s="19"/>
      <c r="I378" s="19"/>
      <c r="J378" s="19"/>
      <c r="K378" s="10"/>
      <c r="L378" s="10"/>
      <c r="M378" s="10"/>
      <c r="N378" s="10"/>
      <c r="O378" s="18"/>
      <c r="P378" s="18"/>
      <c r="Q378" s="21"/>
      <c r="R378" s="20"/>
      <c r="S378" s="16">
        <f t="shared" si="237"/>
        <v>0</v>
      </c>
      <c r="T378" s="11"/>
      <c r="AS378" s="31">
        <f t="shared" si="238"/>
        <v>0</v>
      </c>
      <c r="AT378" s="31">
        <f t="shared" si="239"/>
        <v>0</v>
      </c>
      <c r="AU378" s="31">
        <f t="shared" si="240"/>
        <v>0</v>
      </c>
      <c r="AV378" s="31">
        <f t="shared" si="241"/>
        <v>0</v>
      </c>
      <c r="AW378" s="31">
        <f t="shared" si="242"/>
        <v>0</v>
      </c>
      <c r="AX378" s="31">
        <f t="shared" si="243"/>
        <v>0</v>
      </c>
      <c r="AY378" s="31">
        <f t="shared" si="244"/>
        <v>0</v>
      </c>
      <c r="AZ378" s="31">
        <f t="shared" si="245"/>
        <v>0</v>
      </c>
      <c r="BA378" s="31">
        <f t="shared" si="246"/>
        <v>0</v>
      </c>
      <c r="BB378" s="31">
        <f t="shared" si="275"/>
        <v>0</v>
      </c>
      <c r="BM378" s="8">
        <f t="shared" si="276"/>
        <v>0</v>
      </c>
      <c r="BN378" s="8">
        <f t="shared" si="247"/>
        <v>0</v>
      </c>
      <c r="BO378" s="8">
        <f t="shared" si="248"/>
        <v>0</v>
      </c>
      <c r="BQ378" s="8">
        <f t="shared" si="249"/>
        <v>0</v>
      </c>
      <c r="BR378" s="63">
        <f t="shared" si="250"/>
        <v>0</v>
      </c>
      <c r="BS378" s="63">
        <f t="shared" si="277"/>
        <v>0</v>
      </c>
      <c r="BT378" s="63">
        <f t="shared" si="251"/>
        <v>0</v>
      </c>
      <c r="BU378" s="63">
        <f t="shared" si="252"/>
        <v>0</v>
      </c>
      <c r="BV378" s="57">
        <f t="shared" si="253"/>
        <v>0</v>
      </c>
      <c r="BW378" s="57">
        <f t="shared" si="254"/>
        <v>0</v>
      </c>
      <c r="BX378" s="57">
        <f t="shared" si="278"/>
        <v>0</v>
      </c>
      <c r="BY378" s="57">
        <f t="shared" si="282"/>
        <v>0</v>
      </c>
      <c r="BZ378" s="8">
        <f t="shared" si="255"/>
        <v>0</v>
      </c>
      <c r="CA378" s="8">
        <f t="shared" si="256"/>
        <v>0</v>
      </c>
      <c r="CB378" s="8">
        <f t="shared" si="257"/>
        <v>0</v>
      </c>
      <c r="CC378" s="8">
        <f t="shared" si="258"/>
        <v>0</v>
      </c>
      <c r="CD378" s="8">
        <f t="shared" si="259"/>
        <v>0</v>
      </c>
      <c r="CE378" s="8">
        <f t="shared" si="260"/>
        <v>0</v>
      </c>
      <c r="CF378" s="8">
        <f t="shared" si="261"/>
        <v>0</v>
      </c>
      <c r="CG378" s="8">
        <f t="shared" si="262"/>
        <v>0</v>
      </c>
      <c r="CH378" s="8">
        <f t="shared" si="263"/>
        <v>0</v>
      </c>
      <c r="CI378" s="8">
        <f t="shared" si="264"/>
        <v>0</v>
      </c>
      <c r="CJ378" s="8">
        <f t="shared" si="265"/>
        <v>0</v>
      </c>
      <c r="CK378" s="8">
        <f t="shared" si="266"/>
        <v>0</v>
      </c>
      <c r="CL378" s="8">
        <f t="shared" si="267"/>
        <v>0</v>
      </c>
      <c r="CM378" s="8">
        <f t="shared" si="268"/>
        <v>0</v>
      </c>
      <c r="CN378" s="8">
        <f t="shared" si="269"/>
        <v>0</v>
      </c>
      <c r="CO378" s="8">
        <f t="shared" si="270"/>
        <v>0</v>
      </c>
      <c r="CP378" s="8">
        <f t="shared" si="271"/>
        <v>0</v>
      </c>
      <c r="CQ378" s="8">
        <f t="shared" si="272"/>
        <v>0</v>
      </c>
      <c r="CR378" s="8">
        <f t="shared" si="273"/>
        <v>0</v>
      </c>
      <c r="CS378" s="8">
        <f t="shared" si="274"/>
        <v>0</v>
      </c>
      <c r="CT378" s="8">
        <f t="shared" si="279"/>
        <v>0</v>
      </c>
      <c r="CU378" s="8">
        <f t="shared" si="280"/>
        <v>0</v>
      </c>
      <c r="CV378" s="8">
        <f t="shared" si="281"/>
        <v>0</v>
      </c>
    </row>
    <row r="379" spans="1:100" ht="20.5" thickTop="1" thickBot="1" x14ac:dyDescent="0.5">
      <c r="A379" s="32"/>
      <c r="B379" s="10"/>
      <c r="C379" s="10"/>
      <c r="D379" s="11"/>
      <c r="E379" s="10"/>
      <c r="F379" s="10"/>
      <c r="G379" s="19"/>
      <c r="H379" s="19"/>
      <c r="I379" s="19"/>
      <c r="J379" s="19"/>
      <c r="K379" s="10"/>
      <c r="L379" s="10"/>
      <c r="M379" s="10"/>
      <c r="N379" s="10"/>
      <c r="O379" s="18"/>
      <c r="P379" s="18"/>
      <c r="Q379" s="21"/>
      <c r="R379" s="20"/>
      <c r="S379" s="16">
        <f t="shared" si="237"/>
        <v>0</v>
      </c>
      <c r="T379" s="11"/>
      <c r="AS379" s="31">
        <f t="shared" si="238"/>
        <v>0</v>
      </c>
      <c r="AT379" s="31">
        <f t="shared" si="239"/>
        <v>0</v>
      </c>
      <c r="AU379" s="31">
        <f t="shared" si="240"/>
        <v>0</v>
      </c>
      <c r="AV379" s="31">
        <f t="shared" si="241"/>
        <v>0</v>
      </c>
      <c r="AW379" s="31">
        <f t="shared" si="242"/>
        <v>0</v>
      </c>
      <c r="AX379" s="31">
        <f t="shared" si="243"/>
        <v>0</v>
      </c>
      <c r="AY379" s="31">
        <f t="shared" si="244"/>
        <v>0</v>
      </c>
      <c r="AZ379" s="31">
        <f t="shared" si="245"/>
        <v>0</v>
      </c>
      <c r="BA379" s="31">
        <f t="shared" si="246"/>
        <v>0</v>
      </c>
      <c r="BB379" s="31">
        <f t="shared" si="275"/>
        <v>0</v>
      </c>
      <c r="BM379" s="8">
        <f t="shared" si="276"/>
        <v>0</v>
      </c>
      <c r="BN379" s="8">
        <f t="shared" si="247"/>
        <v>0</v>
      </c>
      <c r="BO379" s="8">
        <f t="shared" si="248"/>
        <v>0</v>
      </c>
      <c r="BQ379" s="8">
        <f t="shared" si="249"/>
        <v>0</v>
      </c>
      <c r="BR379" s="63">
        <f t="shared" si="250"/>
        <v>0</v>
      </c>
      <c r="BS379" s="63">
        <f t="shared" si="277"/>
        <v>0</v>
      </c>
      <c r="BT379" s="63">
        <f t="shared" si="251"/>
        <v>0</v>
      </c>
      <c r="BU379" s="63">
        <f t="shared" si="252"/>
        <v>0</v>
      </c>
      <c r="BV379" s="57">
        <f t="shared" si="253"/>
        <v>0</v>
      </c>
      <c r="BW379" s="57">
        <f t="shared" si="254"/>
        <v>0</v>
      </c>
      <c r="BX379" s="57">
        <f t="shared" si="278"/>
        <v>0</v>
      </c>
      <c r="BY379" s="57">
        <f t="shared" si="282"/>
        <v>0</v>
      </c>
      <c r="BZ379" s="8">
        <f t="shared" si="255"/>
        <v>0</v>
      </c>
      <c r="CA379" s="8">
        <f t="shared" si="256"/>
        <v>0</v>
      </c>
      <c r="CB379" s="8">
        <f t="shared" si="257"/>
        <v>0</v>
      </c>
      <c r="CC379" s="8">
        <f t="shared" si="258"/>
        <v>0</v>
      </c>
      <c r="CD379" s="8">
        <f t="shared" si="259"/>
        <v>0</v>
      </c>
      <c r="CE379" s="8">
        <f t="shared" si="260"/>
        <v>0</v>
      </c>
      <c r="CF379" s="8">
        <f t="shared" si="261"/>
        <v>0</v>
      </c>
      <c r="CG379" s="8">
        <f t="shared" si="262"/>
        <v>0</v>
      </c>
      <c r="CH379" s="8">
        <f t="shared" si="263"/>
        <v>0</v>
      </c>
      <c r="CI379" s="8">
        <f t="shared" si="264"/>
        <v>0</v>
      </c>
      <c r="CJ379" s="8">
        <f t="shared" si="265"/>
        <v>0</v>
      </c>
      <c r="CK379" s="8">
        <f t="shared" si="266"/>
        <v>0</v>
      </c>
      <c r="CL379" s="8">
        <f t="shared" si="267"/>
        <v>0</v>
      </c>
      <c r="CM379" s="8">
        <f t="shared" si="268"/>
        <v>0</v>
      </c>
      <c r="CN379" s="8">
        <f t="shared" si="269"/>
        <v>0</v>
      </c>
      <c r="CO379" s="8">
        <f t="shared" si="270"/>
        <v>0</v>
      </c>
      <c r="CP379" s="8">
        <f t="shared" si="271"/>
        <v>0</v>
      </c>
      <c r="CQ379" s="8">
        <f t="shared" si="272"/>
        <v>0</v>
      </c>
      <c r="CR379" s="8">
        <f t="shared" si="273"/>
        <v>0</v>
      </c>
      <c r="CS379" s="8">
        <f t="shared" si="274"/>
        <v>0</v>
      </c>
      <c r="CT379" s="8">
        <f t="shared" si="279"/>
        <v>0</v>
      </c>
      <c r="CU379" s="8">
        <f t="shared" si="280"/>
        <v>0</v>
      </c>
      <c r="CV379" s="8">
        <f t="shared" si="281"/>
        <v>0</v>
      </c>
    </row>
    <row r="380" spans="1:100" ht="20.5" thickTop="1" thickBot="1" x14ac:dyDescent="0.5">
      <c r="A380" s="32"/>
      <c r="B380" s="10"/>
      <c r="C380" s="10"/>
      <c r="D380" s="11"/>
      <c r="E380" s="10"/>
      <c r="F380" s="10"/>
      <c r="G380" s="19"/>
      <c r="H380" s="19"/>
      <c r="I380" s="19"/>
      <c r="J380" s="19"/>
      <c r="K380" s="10"/>
      <c r="L380" s="10"/>
      <c r="M380" s="10"/>
      <c r="N380" s="10"/>
      <c r="O380" s="18"/>
      <c r="P380" s="18"/>
      <c r="Q380" s="21"/>
      <c r="R380" s="20"/>
      <c r="S380" s="16">
        <f t="shared" si="237"/>
        <v>0</v>
      </c>
      <c r="T380" s="11"/>
      <c r="AS380" s="31">
        <f t="shared" si="238"/>
        <v>0</v>
      </c>
      <c r="AT380" s="31">
        <f t="shared" si="239"/>
        <v>0</v>
      </c>
      <c r="AU380" s="31">
        <f t="shared" si="240"/>
        <v>0</v>
      </c>
      <c r="AV380" s="31">
        <f t="shared" si="241"/>
        <v>0</v>
      </c>
      <c r="AW380" s="31">
        <f t="shared" si="242"/>
        <v>0</v>
      </c>
      <c r="AX380" s="31">
        <f t="shared" si="243"/>
        <v>0</v>
      </c>
      <c r="AY380" s="31">
        <f t="shared" si="244"/>
        <v>0</v>
      </c>
      <c r="AZ380" s="31">
        <f t="shared" si="245"/>
        <v>0</v>
      </c>
      <c r="BA380" s="31">
        <f t="shared" si="246"/>
        <v>0</v>
      </c>
      <c r="BB380" s="31">
        <f t="shared" si="275"/>
        <v>0</v>
      </c>
      <c r="BM380" s="8">
        <f t="shared" si="276"/>
        <v>0</v>
      </c>
      <c r="BN380" s="8">
        <f t="shared" si="247"/>
        <v>0</v>
      </c>
      <c r="BO380" s="8">
        <f t="shared" si="248"/>
        <v>0</v>
      </c>
      <c r="BQ380" s="8">
        <f t="shared" si="249"/>
        <v>0</v>
      </c>
      <c r="BR380" s="63">
        <f t="shared" si="250"/>
        <v>0</v>
      </c>
      <c r="BS380" s="63">
        <f t="shared" si="277"/>
        <v>0</v>
      </c>
      <c r="BT380" s="63">
        <f t="shared" si="251"/>
        <v>0</v>
      </c>
      <c r="BU380" s="63">
        <f t="shared" si="252"/>
        <v>0</v>
      </c>
      <c r="BV380" s="57">
        <f t="shared" si="253"/>
        <v>0</v>
      </c>
      <c r="BW380" s="57">
        <f t="shared" si="254"/>
        <v>0</v>
      </c>
      <c r="BX380" s="57">
        <f t="shared" si="278"/>
        <v>0</v>
      </c>
      <c r="BY380" s="57">
        <f t="shared" si="282"/>
        <v>0</v>
      </c>
      <c r="BZ380" s="8">
        <f t="shared" si="255"/>
        <v>0</v>
      </c>
      <c r="CA380" s="8">
        <f t="shared" si="256"/>
        <v>0</v>
      </c>
      <c r="CB380" s="8">
        <f t="shared" si="257"/>
        <v>0</v>
      </c>
      <c r="CC380" s="8">
        <f t="shared" si="258"/>
        <v>0</v>
      </c>
      <c r="CD380" s="8">
        <f t="shared" si="259"/>
        <v>0</v>
      </c>
      <c r="CE380" s="8">
        <f t="shared" si="260"/>
        <v>0</v>
      </c>
      <c r="CF380" s="8">
        <f t="shared" si="261"/>
        <v>0</v>
      </c>
      <c r="CG380" s="8">
        <f t="shared" si="262"/>
        <v>0</v>
      </c>
      <c r="CH380" s="8">
        <f t="shared" si="263"/>
        <v>0</v>
      </c>
      <c r="CI380" s="8">
        <f t="shared" si="264"/>
        <v>0</v>
      </c>
      <c r="CJ380" s="8">
        <f t="shared" si="265"/>
        <v>0</v>
      </c>
      <c r="CK380" s="8">
        <f t="shared" si="266"/>
        <v>0</v>
      </c>
      <c r="CL380" s="8">
        <f t="shared" si="267"/>
        <v>0</v>
      </c>
      <c r="CM380" s="8">
        <f t="shared" si="268"/>
        <v>0</v>
      </c>
      <c r="CN380" s="8">
        <f t="shared" si="269"/>
        <v>0</v>
      </c>
      <c r="CO380" s="8">
        <f t="shared" si="270"/>
        <v>0</v>
      </c>
      <c r="CP380" s="8">
        <f t="shared" si="271"/>
        <v>0</v>
      </c>
      <c r="CQ380" s="8">
        <f t="shared" si="272"/>
        <v>0</v>
      </c>
      <c r="CR380" s="8">
        <f t="shared" si="273"/>
        <v>0</v>
      </c>
      <c r="CS380" s="8">
        <f t="shared" si="274"/>
        <v>0</v>
      </c>
      <c r="CT380" s="8">
        <f t="shared" si="279"/>
        <v>0</v>
      </c>
      <c r="CU380" s="8">
        <f t="shared" si="280"/>
        <v>0</v>
      </c>
      <c r="CV380" s="8">
        <f t="shared" si="281"/>
        <v>0</v>
      </c>
    </row>
    <row r="381" spans="1:100" ht="20.5" thickTop="1" thickBot="1" x14ac:dyDescent="0.5">
      <c r="A381" s="32"/>
      <c r="B381" s="10"/>
      <c r="C381" s="10"/>
      <c r="D381" s="11"/>
      <c r="E381" s="10"/>
      <c r="F381" s="10"/>
      <c r="G381" s="19"/>
      <c r="H381" s="19"/>
      <c r="I381" s="19"/>
      <c r="J381" s="19"/>
      <c r="K381" s="10"/>
      <c r="L381" s="10"/>
      <c r="M381" s="10"/>
      <c r="N381" s="10"/>
      <c r="O381" s="18"/>
      <c r="P381" s="18"/>
      <c r="Q381" s="21"/>
      <c r="R381" s="20"/>
      <c r="S381" s="16">
        <f t="shared" si="237"/>
        <v>0</v>
      </c>
      <c r="T381" s="11"/>
      <c r="AS381" s="31">
        <f t="shared" si="238"/>
        <v>0</v>
      </c>
      <c r="AT381" s="31">
        <f t="shared" si="239"/>
        <v>0</v>
      </c>
      <c r="AU381" s="31">
        <f t="shared" si="240"/>
        <v>0</v>
      </c>
      <c r="AV381" s="31">
        <f t="shared" si="241"/>
        <v>0</v>
      </c>
      <c r="AW381" s="31">
        <f t="shared" si="242"/>
        <v>0</v>
      </c>
      <c r="AX381" s="31">
        <f t="shared" si="243"/>
        <v>0</v>
      </c>
      <c r="AY381" s="31">
        <f t="shared" si="244"/>
        <v>0</v>
      </c>
      <c r="AZ381" s="31">
        <f t="shared" si="245"/>
        <v>0</v>
      </c>
      <c r="BA381" s="31">
        <f t="shared" si="246"/>
        <v>0</v>
      </c>
      <c r="BB381" s="31">
        <f t="shared" si="275"/>
        <v>0</v>
      </c>
      <c r="BM381" s="8">
        <f t="shared" si="276"/>
        <v>0</v>
      </c>
      <c r="BN381" s="8">
        <f t="shared" si="247"/>
        <v>0</v>
      </c>
      <c r="BO381" s="8">
        <f t="shared" si="248"/>
        <v>0</v>
      </c>
      <c r="BQ381" s="8">
        <f t="shared" si="249"/>
        <v>0</v>
      </c>
      <c r="BR381" s="63">
        <f t="shared" si="250"/>
        <v>0</v>
      </c>
      <c r="BS381" s="63">
        <f t="shared" si="277"/>
        <v>0</v>
      </c>
      <c r="BT381" s="63">
        <f t="shared" si="251"/>
        <v>0</v>
      </c>
      <c r="BU381" s="63">
        <f t="shared" si="252"/>
        <v>0</v>
      </c>
      <c r="BV381" s="57">
        <f t="shared" si="253"/>
        <v>0</v>
      </c>
      <c r="BW381" s="57">
        <f t="shared" si="254"/>
        <v>0</v>
      </c>
      <c r="BX381" s="57">
        <f t="shared" si="278"/>
        <v>0</v>
      </c>
      <c r="BY381" s="57">
        <f t="shared" si="282"/>
        <v>0</v>
      </c>
      <c r="BZ381" s="8">
        <f t="shared" si="255"/>
        <v>0</v>
      </c>
      <c r="CA381" s="8">
        <f t="shared" si="256"/>
        <v>0</v>
      </c>
      <c r="CB381" s="8">
        <f t="shared" si="257"/>
        <v>0</v>
      </c>
      <c r="CC381" s="8">
        <f t="shared" si="258"/>
        <v>0</v>
      </c>
      <c r="CD381" s="8">
        <f t="shared" si="259"/>
        <v>0</v>
      </c>
      <c r="CE381" s="8">
        <f t="shared" si="260"/>
        <v>0</v>
      </c>
      <c r="CF381" s="8">
        <f t="shared" si="261"/>
        <v>0</v>
      </c>
      <c r="CG381" s="8">
        <f t="shared" si="262"/>
        <v>0</v>
      </c>
      <c r="CH381" s="8">
        <f t="shared" si="263"/>
        <v>0</v>
      </c>
      <c r="CI381" s="8">
        <f t="shared" si="264"/>
        <v>0</v>
      </c>
      <c r="CJ381" s="8">
        <f t="shared" si="265"/>
        <v>0</v>
      </c>
      <c r="CK381" s="8">
        <f t="shared" si="266"/>
        <v>0</v>
      </c>
      <c r="CL381" s="8">
        <f t="shared" si="267"/>
        <v>0</v>
      </c>
      <c r="CM381" s="8">
        <f t="shared" si="268"/>
        <v>0</v>
      </c>
      <c r="CN381" s="8">
        <f t="shared" si="269"/>
        <v>0</v>
      </c>
      <c r="CO381" s="8">
        <f t="shared" si="270"/>
        <v>0</v>
      </c>
      <c r="CP381" s="8">
        <f t="shared" si="271"/>
        <v>0</v>
      </c>
      <c r="CQ381" s="8">
        <f t="shared" si="272"/>
        <v>0</v>
      </c>
      <c r="CR381" s="8">
        <f t="shared" si="273"/>
        <v>0</v>
      </c>
      <c r="CS381" s="8">
        <f t="shared" si="274"/>
        <v>0</v>
      </c>
      <c r="CT381" s="8">
        <f t="shared" si="279"/>
        <v>0</v>
      </c>
      <c r="CU381" s="8">
        <f t="shared" si="280"/>
        <v>0</v>
      </c>
      <c r="CV381" s="8">
        <f t="shared" si="281"/>
        <v>0</v>
      </c>
    </row>
    <row r="382" spans="1:100" ht="20.5" thickTop="1" thickBot="1" x14ac:dyDescent="0.5">
      <c r="A382" s="32"/>
      <c r="B382" s="10"/>
      <c r="C382" s="10"/>
      <c r="D382" s="11"/>
      <c r="E382" s="10"/>
      <c r="F382" s="10"/>
      <c r="G382" s="19"/>
      <c r="H382" s="19"/>
      <c r="I382" s="19"/>
      <c r="J382" s="19"/>
      <c r="K382" s="10"/>
      <c r="L382" s="10"/>
      <c r="M382" s="10"/>
      <c r="N382" s="10"/>
      <c r="O382" s="18"/>
      <c r="P382" s="18"/>
      <c r="Q382" s="21"/>
      <c r="R382" s="20"/>
      <c r="S382" s="16">
        <f t="shared" si="237"/>
        <v>0</v>
      </c>
      <c r="T382" s="11"/>
      <c r="AS382" s="31">
        <f t="shared" si="238"/>
        <v>0</v>
      </c>
      <c r="AT382" s="31">
        <f t="shared" si="239"/>
        <v>0</v>
      </c>
      <c r="AU382" s="31">
        <f t="shared" si="240"/>
        <v>0</v>
      </c>
      <c r="AV382" s="31">
        <f t="shared" si="241"/>
        <v>0</v>
      </c>
      <c r="AW382" s="31">
        <f t="shared" si="242"/>
        <v>0</v>
      </c>
      <c r="AX382" s="31">
        <f t="shared" si="243"/>
        <v>0</v>
      </c>
      <c r="AY382" s="31">
        <f t="shared" si="244"/>
        <v>0</v>
      </c>
      <c r="AZ382" s="31">
        <f t="shared" si="245"/>
        <v>0</v>
      </c>
      <c r="BA382" s="31">
        <f t="shared" si="246"/>
        <v>0</v>
      </c>
      <c r="BB382" s="31">
        <f t="shared" si="275"/>
        <v>0</v>
      </c>
      <c r="BM382" s="8">
        <f t="shared" si="276"/>
        <v>0</v>
      </c>
      <c r="BN382" s="8">
        <f t="shared" si="247"/>
        <v>0</v>
      </c>
      <c r="BO382" s="8">
        <f t="shared" si="248"/>
        <v>0</v>
      </c>
      <c r="BQ382" s="8">
        <f t="shared" si="249"/>
        <v>0</v>
      </c>
      <c r="BR382" s="63">
        <f t="shared" si="250"/>
        <v>0</v>
      </c>
      <c r="BS382" s="63">
        <f t="shared" si="277"/>
        <v>0</v>
      </c>
      <c r="BT382" s="63">
        <f t="shared" si="251"/>
        <v>0</v>
      </c>
      <c r="BU382" s="63">
        <f t="shared" si="252"/>
        <v>0</v>
      </c>
      <c r="BV382" s="57">
        <f t="shared" si="253"/>
        <v>0</v>
      </c>
      <c r="BW382" s="57">
        <f t="shared" si="254"/>
        <v>0</v>
      </c>
      <c r="BX382" s="57">
        <f t="shared" si="278"/>
        <v>0</v>
      </c>
      <c r="BY382" s="57">
        <f t="shared" si="282"/>
        <v>0</v>
      </c>
      <c r="BZ382" s="8">
        <f t="shared" si="255"/>
        <v>0</v>
      </c>
      <c r="CA382" s="8">
        <f t="shared" si="256"/>
        <v>0</v>
      </c>
      <c r="CB382" s="8">
        <f t="shared" si="257"/>
        <v>0</v>
      </c>
      <c r="CC382" s="8">
        <f t="shared" si="258"/>
        <v>0</v>
      </c>
      <c r="CD382" s="8">
        <f t="shared" si="259"/>
        <v>0</v>
      </c>
      <c r="CE382" s="8">
        <f t="shared" si="260"/>
        <v>0</v>
      </c>
      <c r="CF382" s="8">
        <f t="shared" si="261"/>
        <v>0</v>
      </c>
      <c r="CG382" s="8">
        <f t="shared" si="262"/>
        <v>0</v>
      </c>
      <c r="CH382" s="8">
        <f t="shared" si="263"/>
        <v>0</v>
      </c>
      <c r="CI382" s="8">
        <f t="shared" si="264"/>
        <v>0</v>
      </c>
      <c r="CJ382" s="8">
        <f t="shared" si="265"/>
        <v>0</v>
      </c>
      <c r="CK382" s="8">
        <f t="shared" si="266"/>
        <v>0</v>
      </c>
      <c r="CL382" s="8">
        <f t="shared" si="267"/>
        <v>0</v>
      </c>
      <c r="CM382" s="8">
        <f t="shared" si="268"/>
        <v>0</v>
      </c>
      <c r="CN382" s="8">
        <f t="shared" si="269"/>
        <v>0</v>
      </c>
      <c r="CO382" s="8">
        <f t="shared" si="270"/>
        <v>0</v>
      </c>
      <c r="CP382" s="8">
        <f t="shared" si="271"/>
        <v>0</v>
      </c>
      <c r="CQ382" s="8">
        <f t="shared" si="272"/>
        <v>0</v>
      </c>
      <c r="CR382" s="8">
        <f t="shared" si="273"/>
        <v>0</v>
      </c>
      <c r="CS382" s="8">
        <f t="shared" si="274"/>
        <v>0</v>
      </c>
      <c r="CT382" s="8">
        <f t="shared" si="279"/>
        <v>0</v>
      </c>
      <c r="CU382" s="8">
        <f t="shared" si="280"/>
        <v>0</v>
      </c>
      <c r="CV382" s="8">
        <f t="shared" si="281"/>
        <v>0</v>
      </c>
    </row>
    <row r="383" spans="1:100" ht="20.5" thickTop="1" thickBot="1" x14ac:dyDescent="0.5">
      <c r="A383" s="32"/>
      <c r="B383" s="10"/>
      <c r="C383" s="10"/>
      <c r="D383" s="11"/>
      <c r="E383" s="10"/>
      <c r="F383" s="10"/>
      <c r="G383" s="19"/>
      <c r="H383" s="19"/>
      <c r="I383" s="19"/>
      <c r="J383" s="19"/>
      <c r="K383" s="10"/>
      <c r="L383" s="10"/>
      <c r="M383" s="10"/>
      <c r="N383" s="10"/>
      <c r="O383" s="18"/>
      <c r="P383" s="18"/>
      <c r="Q383" s="21"/>
      <c r="R383" s="20"/>
      <c r="S383" s="16">
        <f t="shared" si="237"/>
        <v>0</v>
      </c>
      <c r="T383" s="11"/>
      <c r="AS383" s="31">
        <f t="shared" si="238"/>
        <v>0</v>
      </c>
      <c r="AT383" s="31">
        <f t="shared" si="239"/>
        <v>0</v>
      </c>
      <c r="AU383" s="31">
        <f t="shared" si="240"/>
        <v>0</v>
      </c>
      <c r="AV383" s="31">
        <f t="shared" si="241"/>
        <v>0</v>
      </c>
      <c r="AW383" s="31">
        <f t="shared" si="242"/>
        <v>0</v>
      </c>
      <c r="AX383" s="31">
        <f t="shared" si="243"/>
        <v>0</v>
      </c>
      <c r="AY383" s="31">
        <f t="shared" si="244"/>
        <v>0</v>
      </c>
      <c r="AZ383" s="31">
        <f t="shared" si="245"/>
        <v>0</v>
      </c>
      <c r="BA383" s="31">
        <f t="shared" si="246"/>
        <v>0</v>
      </c>
      <c r="BB383" s="31">
        <f t="shared" si="275"/>
        <v>0</v>
      </c>
      <c r="BM383" s="8">
        <f t="shared" si="276"/>
        <v>0</v>
      </c>
      <c r="BN383" s="8">
        <f t="shared" si="247"/>
        <v>0</v>
      </c>
      <c r="BO383" s="8">
        <f t="shared" si="248"/>
        <v>0</v>
      </c>
      <c r="BQ383" s="8">
        <f t="shared" si="249"/>
        <v>0</v>
      </c>
      <c r="BR383" s="63">
        <f t="shared" si="250"/>
        <v>0</v>
      </c>
      <c r="BS383" s="63">
        <f t="shared" si="277"/>
        <v>0</v>
      </c>
      <c r="BT383" s="63">
        <f t="shared" si="251"/>
        <v>0</v>
      </c>
      <c r="BU383" s="63">
        <f t="shared" si="252"/>
        <v>0</v>
      </c>
      <c r="BV383" s="57">
        <f t="shared" si="253"/>
        <v>0</v>
      </c>
      <c r="BW383" s="57">
        <f t="shared" si="254"/>
        <v>0</v>
      </c>
      <c r="BX383" s="57">
        <f t="shared" si="278"/>
        <v>0</v>
      </c>
      <c r="BY383" s="57">
        <f t="shared" si="282"/>
        <v>0</v>
      </c>
      <c r="BZ383" s="8">
        <f t="shared" si="255"/>
        <v>0</v>
      </c>
      <c r="CA383" s="8">
        <f t="shared" si="256"/>
        <v>0</v>
      </c>
      <c r="CB383" s="8">
        <f t="shared" si="257"/>
        <v>0</v>
      </c>
      <c r="CC383" s="8">
        <f t="shared" si="258"/>
        <v>0</v>
      </c>
      <c r="CD383" s="8">
        <f t="shared" si="259"/>
        <v>0</v>
      </c>
      <c r="CE383" s="8">
        <f t="shared" si="260"/>
        <v>0</v>
      </c>
      <c r="CF383" s="8">
        <f t="shared" si="261"/>
        <v>0</v>
      </c>
      <c r="CG383" s="8">
        <f t="shared" si="262"/>
        <v>0</v>
      </c>
      <c r="CH383" s="8">
        <f t="shared" si="263"/>
        <v>0</v>
      </c>
      <c r="CI383" s="8">
        <f t="shared" si="264"/>
        <v>0</v>
      </c>
      <c r="CJ383" s="8">
        <f t="shared" si="265"/>
        <v>0</v>
      </c>
      <c r="CK383" s="8">
        <f t="shared" si="266"/>
        <v>0</v>
      </c>
      <c r="CL383" s="8">
        <f t="shared" si="267"/>
        <v>0</v>
      </c>
      <c r="CM383" s="8">
        <f t="shared" si="268"/>
        <v>0</v>
      </c>
      <c r="CN383" s="8">
        <f t="shared" si="269"/>
        <v>0</v>
      </c>
      <c r="CO383" s="8">
        <f t="shared" si="270"/>
        <v>0</v>
      </c>
      <c r="CP383" s="8">
        <f t="shared" si="271"/>
        <v>0</v>
      </c>
      <c r="CQ383" s="8">
        <f t="shared" si="272"/>
        <v>0</v>
      </c>
      <c r="CR383" s="8">
        <f t="shared" si="273"/>
        <v>0</v>
      </c>
      <c r="CS383" s="8">
        <f t="shared" si="274"/>
        <v>0</v>
      </c>
      <c r="CT383" s="8">
        <f t="shared" si="279"/>
        <v>0</v>
      </c>
      <c r="CU383" s="8">
        <f t="shared" si="280"/>
        <v>0</v>
      </c>
      <c r="CV383" s="8">
        <f t="shared" si="281"/>
        <v>0</v>
      </c>
    </row>
    <row r="384" spans="1:100" ht="20.5" thickTop="1" thickBot="1" x14ac:dyDescent="0.5">
      <c r="A384" s="32"/>
      <c r="B384" s="10"/>
      <c r="C384" s="10"/>
      <c r="D384" s="11"/>
      <c r="E384" s="10"/>
      <c r="F384" s="10"/>
      <c r="G384" s="19"/>
      <c r="H384" s="19"/>
      <c r="I384" s="19"/>
      <c r="J384" s="19"/>
      <c r="K384" s="10"/>
      <c r="L384" s="10"/>
      <c r="M384" s="10"/>
      <c r="N384" s="10"/>
      <c r="O384" s="18"/>
      <c r="P384" s="18"/>
      <c r="Q384" s="21"/>
      <c r="R384" s="20"/>
      <c r="S384" s="16">
        <f t="shared" si="237"/>
        <v>0</v>
      </c>
      <c r="T384" s="11"/>
      <c r="AS384" s="31">
        <f t="shared" si="238"/>
        <v>0</v>
      </c>
      <c r="AT384" s="31">
        <f t="shared" si="239"/>
        <v>0</v>
      </c>
      <c r="AU384" s="31">
        <f t="shared" si="240"/>
        <v>0</v>
      </c>
      <c r="AV384" s="31">
        <f t="shared" si="241"/>
        <v>0</v>
      </c>
      <c r="AW384" s="31">
        <f t="shared" si="242"/>
        <v>0</v>
      </c>
      <c r="AX384" s="31">
        <f t="shared" si="243"/>
        <v>0</v>
      </c>
      <c r="AY384" s="31">
        <f t="shared" si="244"/>
        <v>0</v>
      </c>
      <c r="AZ384" s="31">
        <f t="shared" si="245"/>
        <v>0</v>
      </c>
      <c r="BA384" s="31">
        <f t="shared" si="246"/>
        <v>0</v>
      </c>
      <c r="BB384" s="31">
        <f t="shared" si="275"/>
        <v>0</v>
      </c>
      <c r="BM384" s="8">
        <f t="shared" si="276"/>
        <v>0</v>
      </c>
      <c r="BN384" s="8">
        <f t="shared" si="247"/>
        <v>0</v>
      </c>
      <c r="BO384" s="8">
        <f t="shared" si="248"/>
        <v>0</v>
      </c>
      <c r="BQ384" s="8">
        <f t="shared" si="249"/>
        <v>0</v>
      </c>
      <c r="BR384" s="63">
        <f t="shared" si="250"/>
        <v>0</v>
      </c>
      <c r="BS384" s="63">
        <f t="shared" si="277"/>
        <v>0</v>
      </c>
      <c r="BT384" s="63">
        <f t="shared" si="251"/>
        <v>0</v>
      </c>
      <c r="BU384" s="63">
        <f t="shared" si="252"/>
        <v>0</v>
      </c>
      <c r="BV384" s="57">
        <f t="shared" si="253"/>
        <v>0</v>
      </c>
      <c r="BW384" s="57">
        <f t="shared" si="254"/>
        <v>0</v>
      </c>
      <c r="BX384" s="57">
        <f t="shared" si="278"/>
        <v>0</v>
      </c>
      <c r="BY384" s="57">
        <f t="shared" si="282"/>
        <v>0</v>
      </c>
      <c r="BZ384" s="8">
        <f t="shared" si="255"/>
        <v>0</v>
      </c>
      <c r="CA384" s="8">
        <f t="shared" si="256"/>
        <v>0</v>
      </c>
      <c r="CB384" s="8">
        <f t="shared" si="257"/>
        <v>0</v>
      </c>
      <c r="CC384" s="8">
        <f t="shared" si="258"/>
        <v>0</v>
      </c>
      <c r="CD384" s="8">
        <f t="shared" si="259"/>
        <v>0</v>
      </c>
      <c r="CE384" s="8">
        <f t="shared" si="260"/>
        <v>0</v>
      </c>
      <c r="CF384" s="8">
        <f t="shared" si="261"/>
        <v>0</v>
      </c>
      <c r="CG384" s="8">
        <f t="shared" si="262"/>
        <v>0</v>
      </c>
      <c r="CH384" s="8">
        <f t="shared" si="263"/>
        <v>0</v>
      </c>
      <c r="CI384" s="8">
        <f t="shared" si="264"/>
        <v>0</v>
      </c>
      <c r="CJ384" s="8">
        <f t="shared" si="265"/>
        <v>0</v>
      </c>
      <c r="CK384" s="8">
        <f t="shared" si="266"/>
        <v>0</v>
      </c>
      <c r="CL384" s="8">
        <f t="shared" si="267"/>
        <v>0</v>
      </c>
      <c r="CM384" s="8">
        <f t="shared" si="268"/>
        <v>0</v>
      </c>
      <c r="CN384" s="8">
        <f t="shared" si="269"/>
        <v>0</v>
      </c>
      <c r="CO384" s="8">
        <f t="shared" si="270"/>
        <v>0</v>
      </c>
      <c r="CP384" s="8">
        <f t="shared" si="271"/>
        <v>0</v>
      </c>
      <c r="CQ384" s="8">
        <f t="shared" si="272"/>
        <v>0</v>
      </c>
      <c r="CR384" s="8">
        <f t="shared" si="273"/>
        <v>0</v>
      </c>
      <c r="CS384" s="8">
        <f t="shared" si="274"/>
        <v>0</v>
      </c>
      <c r="CT384" s="8">
        <f t="shared" si="279"/>
        <v>0</v>
      </c>
      <c r="CU384" s="8">
        <f t="shared" si="280"/>
        <v>0</v>
      </c>
      <c r="CV384" s="8">
        <f t="shared" si="281"/>
        <v>0</v>
      </c>
    </row>
    <row r="385" spans="1:100" ht="20.5" thickTop="1" thickBot="1" x14ac:dyDescent="0.5">
      <c r="A385" s="32"/>
      <c r="B385" s="10"/>
      <c r="C385" s="10"/>
      <c r="D385" s="11"/>
      <c r="E385" s="10"/>
      <c r="F385" s="10"/>
      <c r="G385" s="19"/>
      <c r="H385" s="19"/>
      <c r="I385" s="19"/>
      <c r="J385" s="19"/>
      <c r="K385" s="10"/>
      <c r="L385" s="10"/>
      <c r="M385" s="10"/>
      <c r="N385" s="10"/>
      <c r="O385" s="18"/>
      <c r="P385" s="18"/>
      <c r="Q385" s="21"/>
      <c r="R385" s="20"/>
      <c r="S385" s="16">
        <f t="shared" si="237"/>
        <v>0</v>
      </c>
      <c r="T385" s="11"/>
      <c r="AS385" s="31">
        <f t="shared" si="238"/>
        <v>0</v>
      </c>
      <c r="AT385" s="31">
        <f t="shared" si="239"/>
        <v>0</v>
      </c>
      <c r="AU385" s="31">
        <f t="shared" si="240"/>
        <v>0</v>
      </c>
      <c r="AV385" s="31">
        <f t="shared" si="241"/>
        <v>0</v>
      </c>
      <c r="AW385" s="31">
        <f t="shared" si="242"/>
        <v>0</v>
      </c>
      <c r="AX385" s="31">
        <f t="shared" si="243"/>
        <v>0</v>
      </c>
      <c r="AY385" s="31">
        <f t="shared" si="244"/>
        <v>0</v>
      </c>
      <c r="AZ385" s="31">
        <f t="shared" si="245"/>
        <v>0</v>
      </c>
      <c r="BA385" s="31">
        <f t="shared" si="246"/>
        <v>0</v>
      </c>
      <c r="BB385" s="31">
        <f t="shared" si="275"/>
        <v>0</v>
      </c>
      <c r="BM385" s="8">
        <f t="shared" si="276"/>
        <v>0</v>
      </c>
      <c r="BN385" s="8">
        <f t="shared" si="247"/>
        <v>0</v>
      </c>
      <c r="BO385" s="8">
        <f t="shared" si="248"/>
        <v>0</v>
      </c>
      <c r="BQ385" s="8">
        <f t="shared" si="249"/>
        <v>0</v>
      </c>
      <c r="BR385" s="63">
        <f t="shared" si="250"/>
        <v>0</v>
      </c>
      <c r="BS385" s="63">
        <f t="shared" si="277"/>
        <v>0</v>
      </c>
      <c r="BT385" s="63">
        <f t="shared" si="251"/>
        <v>0</v>
      </c>
      <c r="BU385" s="63">
        <f t="shared" si="252"/>
        <v>0</v>
      </c>
      <c r="BV385" s="57">
        <f t="shared" si="253"/>
        <v>0</v>
      </c>
      <c r="BW385" s="57">
        <f t="shared" si="254"/>
        <v>0</v>
      </c>
      <c r="BX385" s="57">
        <f t="shared" si="278"/>
        <v>0</v>
      </c>
      <c r="BY385" s="57">
        <f t="shared" si="282"/>
        <v>0</v>
      </c>
      <c r="BZ385" s="8">
        <f t="shared" si="255"/>
        <v>0</v>
      </c>
      <c r="CA385" s="8">
        <f t="shared" si="256"/>
        <v>0</v>
      </c>
      <c r="CB385" s="8">
        <f t="shared" si="257"/>
        <v>0</v>
      </c>
      <c r="CC385" s="8">
        <f t="shared" si="258"/>
        <v>0</v>
      </c>
      <c r="CD385" s="8">
        <f t="shared" si="259"/>
        <v>0</v>
      </c>
      <c r="CE385" s="8">
        <f t="shared" si="260"/>
        <v>0</v>
      </c>
      <c r="CF385" s="8">
        <f t="shared" si="261"/>
        <v>0</v>
      </c>
      <c r="CG385" s="8">
        <f t="shared" si="262"/>
        <v>0</v>
      </c>
      <c r="CH385" s="8">
        <f t="shared" si="263"/>
        <v>0</v>
      </c>
      <c r="CI385" s="8">
        <f t="shared" si="264"/>
        <v>0</v>
      </c>
      <c r="CJ385" s="8">
        <f t="shared" si="265"/>
        <v>0</v>
      </c>
      <c r="CK385" s="8">
        <f t="shared" si="266"/>
        <v>0</v>
      </c>
      <c r="CL385" s="8">
        <f t="shared" si="267"/>
        <v>0</v>
      </c>
      <c r="CM385" s="8">
        <f t="shared" si="268"/>
        <v>0</v>
      </c>
      <c r="CN385" s="8">
        <f t="shared" si="269"/>
        <v>0</v>
      </c>
      <c r="CO385" s="8">
        <f t="shared" si="270"/>
        <v>0</v>
      </c>
      <c r="CP385" s="8">
        <f t="shared" si="271"/>
        <v>0</v>
      </c>
      <c r="CQ385" s="8">
        <f t="shared" si="272"/>
        <v>0</v>
      </c>
      <c r="CR385" s="8">
        <f t="shared" si="273"/>
        <v>0</v>
      </c>
      <c r="CS385" s="8">
        <f t="shared" si="274"/>
        <v>0</v>
      </c>
      <c r="CT385" s="8">
        <f t="shared" si="279"/>
        <v>0</v>
      </c>
      <c r="CU385" s="8">
        <f t="shared" si="280"/>
        <v>0</v>
      </c>
      <c r="CV385" s="8">
        <f t="shared" si="281"/>
        <v>0</v>
      </c>
    </row>
    <row r="386" spans="1:100" ht="20.5" thickTop="1" thickBot="1" x14ac:dyDescent="0.5">
      <c r="A386" s="32"/>
      <c r="B386" s="10"/>
      <c r="C386" s="10"/>
      <c r="D386" s="11"/>
      <c r="E386" s="10"/>
      <c r="F386" s="10"/>
      <c r="G386" s="19"/>
      <c r="H386" s="19"/>
      <c r="I386" s="19"/>
      <c r="J386" s="19"/>
      <c r="K386" s="10"/>
      <c r="L386" s="10"/>
      <c r="M386" s="10"/>
      <c r="N386" s="10"/>
      <c r="O386" s="18"/>
      <c r="P386" s="18"/>
      <c r="Q386" s="21"/>
      <c r="R386" s="20"/>
      <c r="S386" s="16">
        <f t="shared" si="237"/>
        <v>0</v>
      </c>
      <c r="T386" s="11"/>
      <c r="AS386" s="31">
        <f t="shared" si="238"/>
        <v>0</v>
      </c>
      <c r="AT386" s="31">
        <f t="shared" si="239"/>
        <v>0</v>
      </c>
      <c r="AU386" s="31">
        <f t="shared" si="240"/>
        <v>0</v>
      </c>
      <c r="AV386" s="31">
        <f t="shared" si="241"/>
        <v>0</v>
      </c>
      <c r="AW386" s="31">
        <f t="shared" si="242"/>
        <v>0</v>
      </c>
      <c r="AX386" s="31">
        <f t="shared" si="243"/>
        <v>0</v>
      </c>
      <c r="AY386" s="31">
        <f t="shared" si="244"/>
        <v>0</v>
      </c>
      <c r="AZ386" s="31">
        <f t="shared" si="245"/>
        <v>0</v>
      </c>
      <c r="BA386" s="31">
        <f t="shared" si="246"/>
        <v>0</v>
      </c>
      <c r="BB386" s="31">
        <f t="shared" si="275"/>
        <v>0</v>
      </c>
      <c r="BM386" s="8">
        <f t="shared" si="276"/>
        <v>0</v>
      </c>
      <c r="BN386" s="8">
        <f t="shared" si="247"/>
        <v>0</v>
      </c>
      <c r="BO386" s="8">
        <f t="shared" si="248"/>
        <v>0</v>
      </c>
      <c r="BQ386" s="8">
        <f t="shared" si="249"/>
        <v>0</v>
      </c>
      <c r="BR386" s="63">
        <f t="shared" si="250"/>
        <v>0</v>
      </c>
      <c r="BS386" s="63">
        <f t="shared" si="277"/>
        <v>0</v>
      </c>
      <c r="BT386" s="63">
        <f t="shared" si="251"/>
        <v>0</v>
      </c>
      <c r="BU386" s="63">
        <f t="shared" si="252"/>
        <v>0</v>
      </c>
      <c r="BV386" s="57">
        <f t="shared" si="253"/>
        <v>0</v>
      </c>
      <c r="BW386" s="57">
        <f t="shared" si="254"/>
        <v>0</v>
      </c>
      <c r="BX386" s="57">
        <f t="shared" si="278"/>
        <v>0</v>
      </c>
      <c r="BY386" s="57">
        <f t="shared" si="282"/>
        <v>0</v>
      </c>
      <c r="BZ386" s="8">
        <f t="shared" si="255"/>
        <v>0</v>
      </c>
      <c r="CA386" s="8">
        <f t="shared" si="256"/>
        <v>0</v>
      </c>
      <c r="CB386" s="8">
        <f t="shared" si="257"/>
        <v>0</v>
      </c>
      <c r="CC386" s="8">
        <f t="shared" si="258"/>
        <v>0</v>
      </c>
      <c r="CD386" s="8">
        <f t="shared" si="259"/>
        <v>0</v>
      </c>
      <c r="CE386" s="8">
        <f t="shared" si="260"/>
        <v>0</v>
      </c>
      <c r="CF386" s="8">
        <f t="shared" si="261"/>
        <v>0</v>
      </c>
      <c r="CG386" s="8">
        <f t="shared" si="262"/>
        <v>0</v>
      </c>
      <c r="CH386" s="8">
        <f t="shared" si="263"/>
        <v>0</v>
      </c>
      <c r="CI386" s="8">
        <f t="shared" si="264"/>
        <v>0</v>
      </c>
      <c r="CJ386" s="8">
        <f t="shared" si="265"/>
        <v>0</v>
      </c>
      <c r="CK386" s="8">
        <f t="shared" si="266"/>
        <v>0</v>
      </c>
      <c r="CL386" s="8">
        <f t="shared" si="267"/>
        <v>0</v>
      </c>
      <c r="CM386" s="8">
        <f t="shared" si="268"/>
        <v>0</v>
      </c>
      <c r="CN386" s="8">
        <f t="shared" si="269"/>
        <v>0</v>
      </c>
      <c r="CO386" s="8">
        <f t="shared" si="270"/>
        <v>0</v>
      </c>
      <c r="CP386" s="8">
        <f t="shared" si="271"/>
        <v>0</v>
      </c>
      <c r="CQ386" s="8">
        <f t="shared" si="272"/>
        <v>0</v>
      </c>
      <c r="CR386" s="8">
        <f t="shared" si="273"/>
        <v>0</v>
      </c>
      <c r="CS386" s="8">
        <f t="shared" si="274"/>
        <v>0</v>
      </c>
      <c r="CT386" s="8">
        <f t="shared" si="279"/>
        <v>0</v>
      </c>
      <c r="CU386" s="8">
        <f t="shared" si="280"/>
        <v>0</v>
      </c>
      <c r="CV386" s="8">
        <f t="shared" si="281"/>
        <v>0</v>
      </c>
    </row>
    <row r="387" spans="1:100" ht="20.5" thickTop="1" thickBot="1" x14ac:dyDescent="0.5">
      <c r="A387" s="32"/>
      <c r="B387" s="10"/>
      <c r="C387" s="10"/>
      <c r="D387" s="11"/>
      <c r="E387" s="10"/>
      <c r="F387" s="10"/>
      <c r="G387" s="19"/>
      <c r="H387" s="19"/>
      <c r="I387" s="19"/>
      <c r="J387" s="19"/>
      <c r="K387" s="10"/>
      <c r="L387" s="10"/>
      <c r="M387" s="10"/>
      <c r="N387" s="10"/>
      <c r="O387" s="18"/>
      <c r="P387" s="18"/>
      <c r="Q387" s="21"/>
      <c r="R387" s="20"/>
      <c r="S387" s="16">
        <f t="shared" si="237"/>
        <v>0</v>
      </c>
      <c r="T387" s="11"/>
      <c r="AS387" s="31">
        <f t="shared" si="238"/>
        <v>0</v>
      </c>
      <c r="AT387" s="31">
        <f t="shared" si="239"/>
        <v>0</v>
      </c>
      <c r="AU387" s="31">
        <f t="shared" si="240"/>
        <v>0</v>
      </c>
      <c r="AV387" s="31">
        <f t="shared" si="241"/>
        <v>0</v>
      </c>
      <c r="AW387" s="31">
        <f t="shared" si="242"/>
        <v>0</v>
      </c>
      <c r="AX387" s="31">
        <f t="shared" si="243"/>
        <v>0</v>
      </c>
      <c r="AY387" s="31">
        <f t="shared" si="244"/>
        <v>0</v>
      </c>
      <c r="AZ387" s="31">
        <f t="shared" si="245"/>
        <v>0</v>
      </c>
      <c r="BA387" s="31">
        <f t="shared" si="246"/>
        <v>0</v>
      </c>
      <c r="BB387" s="31">
        <f t="shared" si="275"/>
        <v>0</v>
      </c>
      <c r="BM387" s="8">
        <f t="shared" si="276"/>
        <v>0</v>
      </c>
      <c r="BN387" s="8">
        <f t="shared" si="247"/>
        <v>0</v>
      </c>
      <c r="BO387" s="8">
        <f t="shared" si="248"/>
        <v>0</v>
      </c>
      <c r="BQ387" s="8">
        <f t="shared" si="249"/>
        <v>0</v>
      </c>
      <c r="BR387" s="63">
        <f t="shared" si="250"/>
        <v>0</v>
      </c>
      <c r="BS387" s="63">
        <f t="shared" si="277"/>
        <v>0</v>
      </c>
      <c r="BT387" s="63">
        <f t="shared" si="251"/>
        <v>0</v>
      </c>
      <c r="BU387" s="63">
        <f t="shared" si="252"/>
        <v>0</v>
      </c>
      <c r="BV387" s="57">
        <f t="shared" si="253"/>
        <v>0</v>
      </c>
      <c r="BW387" s="57">
        <f t="shared" si="254"/>
        <v>0</v>
      </c>
      <c r="BX387" s="57">
        <f t="shared" si="278"/>
        <v>0</v>
      </c>
      <c r="BY387" s="57">
        <f t="shared" si="282"/>
        <v>0</v>
      </c>
      <c r="BZ387" s="8">
        <f t="shared" si="255"/>
        <v>0</v>
      </c>
      <c r="CA387" s="8">
        <f t="shared" si="256"/>
        <v>0</v>
      </c>
      <c r="CB387" s="8">
        <f t="shared" si="257"/>
        <v>0</v>
      </c>
      <c r="CC387" s="8">
        <f t="shared" si="258"/>
        <v>0</v>
      </c>
      <c r="CD387" s="8">
        <f t="shared" si="259"/>
        <v>0</v>
      </c>
      <c r="CE387" s="8">
        <f t="shared" si="260"/>
        <v>0</v>
      </c>
      <c r="CF387" s="8">
        <f t="shared" si="261"/>
        <v>0</v>
      </c>
      <c r="CG387" s="8">
        <f t="shared" si="262"/>
        <v>0</v>
      </c>
      <c r="CH387" s="8">
        <f t="shared" si="263"/>
        <v>0</v>
      </c>
      <c r="CI387" s="8">
        <f t="shared" si="264"/>
        <v>0</v>
      </c>
      <c r="CJ387" s="8">
        <f t="shared" si="265"/>
        <v>0</v>
      </c>
      <c r="CK387" s="8">
        <f t="shared" si="266"/>
        <v>0</v>
      </c>
      <c r="CL387" s="8">
        <f t="shared" si="267"/>
        <v>0</v>
      </c>
      <c r="CM387" s="8">
        <f t="shared" si="268"/>
        <v>0</v>
      </c>
      <c r="CN387" s="8">
        <f t="shared" si="269"/>
        <v>0</v>
      </c>
      <c r="CO387" s="8">
        <f t="shared" si="270"/>
        <v>0</v>
      </c>
      <c r="CP387" s="8">
        <f t="shared" si="271"/>
        <v>0</v>
      </c>
      <c r="CQ387" s="8">
        <f t="shared" si="272"/>
        <v>0</v>
      </c>
      <c r="CR387" s="8">
        <f t="shared" si="273"/>
        <v>0</v>
      </c>
      <c r="CS387" s="8">
        <f t="shared" si="274"/>
        <v>0</v>
      </c>
      <c r="CT387" s="8">
        <f t="shared" si="279"/>
        <v>0</v>
      </c>
      <c r="CU387" s="8">
        <f t="shared" si="280"/>
        <v>0</v>
      </c>
      <c r="CV387" s="8">
        <f t="shared" si="281"/>
        <v>0</v>
      </c>
    </row>
    <row r="388" spans="1:100" ht="20.5" thickTop="1" thickBot="1" x14ac:dyDescent="0.5">
      <c r="A388" s="32"/>
      <c r="B388" s="10"/>
      <c r="C388" s="10"/>
      <c r="D388" s="11"/>
      <c r="E388" s="10"/>
      <c r="F388" s="10"/>
      <c r="G388" s="19"/>
      <c r="H388" s="19"/>
      <c r="I388" s="19"/>
      <c r="J388" s="19"/>
      <c r="K388" s="10"/>
      <c r="L388" s="10"/>
      <c r="M388" s="10"/>
      <c r="N388" s="10"/>
      <c r="O388" s="18"/>
      <c r="P388" s="18"/>
      <c r="Q388" s="21"/>
      <c r="R388" s="20"/>
      <c r="S388" s="16">
        <f t="shared" ref="S388:S451" si="283">IF(AND(K388="asphalted",M388="sub",BV388&lt;=1,BV388&gt;0),1+2*0.15,IF(AND(K388="asphalted",OR(M388="main",M388="MOT"),BV388&lt;=1,BV388&gt;0),1+2*0.3,IF(AND(K388="asphalted",M388="sub",BV388&gt;1),BV388+2*0.15,IF(AND(K388="asphalted",OR(M388="main",M388="MOT"),BV388&gt;1),BV388+2*0.3,0))))</f>
        <v>0</v>
      </c>
      <c r="T388" s="11"/>
      <c r="AS388" s="31">
        <f t="shared" ref="AS388:AS451" si="284">IF(F388=1,0.4,IF(F388&gt;1,F388*0.3,0))</f>
        <v>0</v>
      </c>
      <c r="AT388" s="31">
        <f t="shared" ref="AT388:AT451" si="285">IF(AND(G388&lt;4,G388&gt;0),0.4,IF(G388&gt;3,0.4+(G388-3)*0.1,0))</f>
        <v>0</v>
      </c>
      <c r="AU388" s="31">
        <f t="shared" ref="AU388:AU451" si="286">AT388-AS388</f>
        <v>0</v>
      </c>
      <c r="AV388" s="31">
        <f t="shared" ref="AV388:AV451" si="287">IF(AND(OR(OR(E388="normal",E388="special"),E388="special"),F388=0,G388&gt;0,G388&lt;5),"LV"&amp;G388,IF(AND(OR(OR(E388="normal",E388="special"),E388="special"),F388=0,G388&gt;4),"LVCU",IF(AND(OR(OR(E388="normal",E388="special"),E388="special"),F388&gt;4),"MVCU",IF(AND(OR(OR(E388="normal",E388="special"),E388="special"),F388&gt;0,F388&lt;5),"MV"&amp;F388,IF(AND(E388="mini-trench",F388=1),"mini-trench MV",IF(AND(E388="mini-trench",G388&lt;3,G388&lt;&gt;0),"mini-trench LV",0))))))</f>
        <v>0</v>
      </c>
      <c r="AW388" s="31">
        <f t="shared" ref="AW388:AW451" si="288">IF(B388="joint",F388,0)+IF(C388="joint",F388,0)+IF(OR(B388="new ss",B388="ss"),F388*3)+IF(B388="pole",F388*10)+IF(OR(C388="new ss",C388="ss"),F388*3)+IF(C388="pole",F388*10)+IF(B388="grid",F388*30)+IF(C388="grid",F388*30)</f>
        <v>0</v>
      </c>
      <c r="AX388" s="31">
        <f t="shared" ref="AX388:AX451" si="289">IF(J388&gt;0,IF(OR(B388="ss",C388="ss"),J388*3,0)+IF(OR(B388="new ss",C388="new ss"),J388*3,0)+IF(OR(B388="DC",C388="DC"),J388*1.5,0)+IF(OR(B388="new DC",C388="new DC"),J388*1.5,0)+IF(OR(B388="MB",C388="MB"),J388*2,0)+IF(OR(B388="pole",C388="pole"),J388*10,0),0)</f>
        <v>0</v>
      </c>
      <c r="AY388" s="31">
        <f t="shared" ref="AY388:AY451" si="290">IF(I388&gt;0,IF(OR(B388="ss",C388="ss"),I388*3,0)+IF(OR(B388="new ss",C388="new ss"),I388*3,0)+IF(OR(B388="DC",C388="DC"),I388*1.5,0)+IF(OR(B388="new DC",C388="new DC"),J388*1.5,0)+IF(OR(B388="MB",C388="MB"),I388*2,0)+IF(OR(B388="pole",C388="pole"),I388*10,0),0)</f>
        <v>0</v>
      </c>
      <c r="AZ388" s="31">
        <f t="shared" ref="AZ388:AZ451" si="291">IF(H388&gt;0,IF(OR(B388="ss",C388="ss"),H388*3,0)+IF(OR(B388="new ss",C388="new ss"),H388*3,0)+IF(OR(B388="DC",C388="DC"),H388*2,0)+IF(OR(B388="new DC",C388="new DC"),H388*1.5,0)+IF(OR(B388="MB",C388="MB"),H388*2,0)+IF(OR(B388="pole",C388="pole"),H388*10,0)+IF(OR(B388="pole",C388="pole"),H388*10,0),0)</f>
        <v>0</v>
      </c>
      <c r="BA388" s="31">
        <f t="shared" ref="BA388:BA451" si="292">IF(E388="manual",IF(AU388&lt;0,D388*AS388*0.8,IF(AND(AS388&gt;0,AU388&gt;0),D388*AS388*0.8+D388*AU388*0.65,IF(AND(AS388=0,AT388&gt;0),D388*AT388*0.65,0))),0)</f>
        <v>0</v>
      </c>
      <c r="BB388" s="31">
        <f t="shared" si="275"/>
        <v>0</v>
      </c>
      <c r="BM388" s="8">
        <f t="shared" si="276"/>
        <v>0</v>
      </c>
      <c r="BN388" s="8">
        <f t="shared" ref="BN388:BN451" si="293">IFERROR(IF(AND(K388="asphalted",E388="mini-trench",R388=""),1*D388,IF(AND(K388="asphalted",R388&gt;0,MandRcalc="Complete M&amp;R area"),R388*D388,IF(AND(K388="asphalted",R388&gt;0,MandRcalc="M&amp;R area - asphalting area"),(R388-BR388/D388)*D388,0))),0)</f>
        <v>0</v>
      </c>
      <c r="BO388" s="8">
        <f t="shared" ref="BO388:BO451" si="294">IF(BQ388&lt;MINEXCNA,0,IF(AND(E388="normal",F388&lt;5,G388&lt;12,K388&lt;&gt;"asphalted",AT388&gt;AS388,AS388&lt;&gt;0),(BQ388-AT388)*0.65,IF(AND(E388="normal",F388&lt;5,G388&lt;12,K388&lt;&gt;"asphalted",AS388&gt;=AT388),(BQ388-AS388)*0.8,IF(AND(E388="normal",F388&lt;5,G388&lt;12,K388&lt;&gt;"asphalted",AT388&gt;0,AS388=0),(BQ388-AT388)*0.65,0)))*D388)</f>
        <v>0</v>
      </c>
      <c r="BQ388" s="8">
        <f t="shared" ref="BQ388:BQ451" si="295">IF(E388="special",O388,IF(AND(OR(E388="normal",E388="manual"),O388="",K388="asphalted",BV388&lt;=MINEXC),MINEXC,IF(AND(OR(E388="normal",E388="manual"),O388&lt;&gt;"",K388="asphalted"),MIN(O388,BV388),IF(AND(OR(E388="normal",E388="manual"),O388="",K388&lt;&gt;"asphalted",BV388&lt;=MINEXCNA),MINEXCNA,IF(AND(OR(E388="normal",E388="manual"),O388&lt;&gt;"",K388&lt;&gt;"asphalted"),MIN(O388,BV388),BV388)))))</f>
        <v>0</v>
      </c>
      <c r="BR388" s="63">
        <f t="shared" ref="BR388:BR451" si="296">IFERROR(IF(AND(E388&lt;&gt;"mini-trecnh",K388="asphalted",Q388&lt;&gt;"",S388=0),D388*Q388,IF(AND(E388&lt;&gt;"mini-trecnh",K388="asphalted",Q388&lt;&gt;"",S388&lt;&gt;0),D388*MIN(Q388,S388),IF(AND(E388&lt;&gt;"mini-trecnh",K388="asphalted",Q388=""),D388*S388,0))),0)</f>
        <v>0</v>
      </c>
      <c r="BS388" s="63">
        <f t="shared" si="277"/>
        <v>0</v>
      </c>
      <c r="BT388" s="63">
        <f t="shared" ref="BT388:BT451" si="297">IF(BQ388&lt;MINEXC,0,IF(AND(E388="normal",F388&lt;5,G388&lt;12,K388="asphalted",AT388&gt;AS388,AS388&lt;&gt;0),(BQ388-AT388)*0.65,IF(AND(E388="normal",F388&lt;5,G388&lt;12,K388="asphalted",AS388&gt;=AT388),(BQ388-AS388)*0.8,IF(AND(E388="normal",F388&lt;5,G388&lt;12,K388="asphalted",AT388&gt;0,AS388=0),(BQ388-AT388)*0.65,0)))*D388)</f>
        <v>0</v>
      </c>
      <c r="BU388" s="63">
        <f t="shared" ref="BU388:BU451" si="298">IF(E388="",0,IF(OR(BT388&gt;0,BO388&gt;0),0,IF(AND(F388&gt;4,G388=0),(BQ388-1.2)*D388*0.8,IF(AND(G388&gt;4,F388=0),(BQ388-0.4)*D388*0.65,IF(OR(AND(G388&gt;4,F388&gt;0),AND(F388&gt;4,G388&gt;0)),(IF(AS388&gt;1.2,(AS388-1.2)*D388*0.8,0)+IF(AT388&gt;AS388,(AT388-AS388)*D388*0.65,0)),0)))))</f>
        <v>0</v>
      </c>
      <c r="BV388" s="57">
        <f t="shared" ref="BV388:BV451" si="299">IF(AND(E388&lt;&gt;"mini-trench",E388&lt;&gt;"special"),MAX(AS388:AT388),0)</f>
        <v>0</v>
      </c>
      <c r="BW388" s="57">
        <f t="shared" ref="BW388:BW451" si="300">IF(AND(E388&lt;&gt;"mini-trench",E388&lt;&gt;"special",BV388&gt;0,BV388&lt;1,K388="asphalted"),IF(O388&lt;&gt;"",MIN(O388,1),1),IF(AND(E388&lt;&gt;"mini-trench",E388&lt;&gt;"special",BV388&gt;0,BV388&gt;1,K388="asphalted"),BV388,0))</f>
        <v>0</v>
      </c>
      <c r="BX388" s="57">
        <f t="shared" si="278"/>
        <v>0</v>
      </c>
      <c r="BY388" s="57">
        <f t="shared" si="282"/>
        <v>0</v>
      </c>
      <c r="BZ388" s="8">
        <f t="shared" ref="BZ388:BZ451" si="301">IF(E388="special",O388*P388*D388-D388*IF(AV388="MV1",0.8*0.4,IF(AV388="MV2",0.8*0.6,IF(AV388="MV3",0.8*0.9,IF(OR(AV388="MV4",AV388="MVCU"),0.8*1.2,IF(AV388="LV1-3",0.65*0.4,IF(OR(AV388="LV4",AV388="LVCU"),0.65*0.5)))))),0)</f>
        <v>0</v>
      </c>
      <c r="CA388" s="8">
        <f t="shared" ref="CA388:CA451" si="302">IF(AND(E388&lt;&gt;"special",K388="Paved interlock"),D388*BV388,IF(AND(E388="special",K388="Paved interlock"),D388*O388,0))</f>
        <v>0</v>
      </c>
      <c r="CB388" s="8">
        <f t="shared" ref="CB388:CB451" si="303">IF(AND(E388&lt;&gt;"special",K388="Paved conc.tiles"),D388*BV388,IF(AND(E388="special",K388="Paved conc.tiles"),D388*O388,0))</f>
        <v>0</v>
      </c>
      <c r="CC388" s="8">
        <f t="shared" ref="CC388:CC451" si="304">IF(AND(E388="special",K388="asphalted"),D388*Q388,0)</f>
        <v>0</v>
      </c>
      <c r="CD388" s="8">
        <f t="shared" ref="CD388:CD451" si="305">IF(OR(K388="Paved interlock",K388="Paved conc.tiles"),1,0)</f>
        <v>0</v>
      </c>
      <c r="CE388" s="8">
        <f t="shared" ref="CE388:CE451" si="306">IFERROR(BR388/D388,0)</f>
        <v>0</v>
      </c>
      <c r="CF388" s="8">
        <f t="shared" ref="CF388:CF451" si="307">IF(AND(F388&gt;0,B388="j transition"),F388,0)+IF(AND(F388&gt;0,C388="j transition"),F388,0)</f>
        <v>0</v>
      </c>
      <c r="CG388" s="8">
        <f t="shared" ref="CG388:CG451" si="308">IF(AND(F388&gt;0,OR(B388="grid",B388="ss",B388="pole",B388="new ss")),F388,0)+IF(AND(F388&gt;0,OR(C388="grid",C388="ss",C388="pole",C388="new ss")),F388,0)</f>
        <v>0</v>
      </c>
      <c r="CH388" s="8">
        <f t="shared" ref="CH388:CH451" si="309">IF(AND(F388&gt;0,B388="joint"),F388,0)+IF(AND(F388&gt;0,C388="joint"),F388,0)+IF(AND(F388&gt;0,B388="j transition"),F388,0)+IF(AND(F388&gt;0,C388="j transition"),F388,0)</f>
        <v>0</v>
      </c>
      <c r="CI388" s="8">
        <f t="shared" ref="CI388:CI451" si="310">IF(AND(H388&gt;0,B388="joint"),H388,0)+IF(AND(H388&gt;0,C388="joint"),H388,0)</f>
        <v>0</v>
      </c>
      <c r="CJ388" s="8">
        <f t="shared" ref="CJ388:CJ451" si="311">IF(AND(I388&gt;0,B388="joint"),I388,0)+IF(AND(I388&gt;0,C388="joint"),I388,0)</f>
        <v>0</v>
      </c>
      <c r="CK388" s="8">
        <f t="shared" ref="CK388:CK451" si="312">IF(AND(J388&gt;0,B388="joint"),J388,0)+IF(AND(J388&gt;0,C388="joint"),J388,0)</f>
        <v>0</v>
      </c>
      <c r="CL388" s="8">
        <f t="shared" ref="CL388:CL451" si="313">IF(AND(H388&gt;0,OR(B388="ss",B388="new ss",B388="DC",B388="new DC")),H388,0)+IF(AND(H388&gt;0,OR(C388="new ss",C388="ss",C388="DC",C388="new DC")),H388,0)</f>
        <v>0</v>
      </c>
      <c r="CM388" s="8">
        <f t="shared" ref="CM388:CM451" si="314">CO388+CP388</f>
        <v>0</v>
      </c>
      <c r="CN388" s="8">
        <f t="shared" ref="CN388:CN451" si="315">IF(OR(B388="new DC",C388="new DC"),H388,0)</f>
        <v>0</v>
      </c>
      <c r="CO388" s="8">
        <f t="shared" ref="CO388:CO451" si="316">IF(AND(J388&gt;0,OR(B388="ss",B388="new ss",B388="DC",B388="new DC")),J388,0)+IF(AND(J388&gt;0,OR(C388="new ss",C388="ss",C388="DC",C388="new DC")),J388,0)</f>
        <v>0</v>
      </c>
      <c r="CP388" s="8">
        <f t="shared" ref="CP388:CP451" si="317">IF(AND(I388&gt;0,OR(B388="ss",B388="new ss",B388="DC",B388="new DC")),I388,0)+IF(AND(I388&gt;0,OR(C388="new ss",C388="ss",C388="DC",C388="new DC")),I388,0)</f>
        <v>0</v>
      </c>
      <c r="CQ388" s="8">
        <f t="shared" ref="CQ388:CQ451" si="318">IF(AND(F388&gt;0,OR(B388="ss",B388="new ss")),F388,0)+IF(AND(F388&gt;0,OR(C388="ss",C388="new ss")),F388,0)</f>
        <v>0</v>
      </c>
      <c r="CR388" s="8">
        <f t="shared" ref="CR388:CR451" si="319">IF(AND(F388&gt;0,OR(B388="grid")),F388,0)+IF(AND(F388&gt;0,OR(C388="grid")),F388,0)</f>
        <v>0</v>
      </c>
      <c r="CS388" s="8">
        <f t="shared" ref="CS388:CS451" si="320">IF(AND(F388&gt;0,OR(B388="pole")),F388,0)+IF(AND(F388&gt;0,OR(C388="pole")),F388,0)</f>
        <v>0</v>
      </c>
      <c r="CT388" s="8">
        <f t="shared" si="279"/>
        <v>0</v>
      </c>
      <c r="CU388" s="8">
        <f t="shared" si="280"/>
        <v>0</v>
      </c>
      <c r="CV388" s="8">
        <f t="shared" si="281"/>
        <v>0</v>
      </c>
    </row>
    <row r="389" spans="1:100" ht="20.5" thickTop="1" thickBot="1" x14ac:dyDescent="0.5">
      <c r="A389" s="32"/>
      <c r="B389" s="10"/>
      <c r="C389" s="10"/>
      <c r="D389" s="11"/>
      <c r="E389" s="10"/>
      <c r="F389" s="10"/>
      <c r="G389" s="19"/>
      <c r="H389" s="19"/>
      <c r="I389" s="19"/>
      <c r="J389" s="19"/>
      <c r="K389" s="10"/>
      <c r="L389" s="10"/>
      <c r="M389" s="10"/>
      <c r="N389" s="10"/>
      <c r="O389" s="18"/>
      <c r="P389" s="18"/>
      <c r="Q389" s="21"/>
      <c r="R389" s="20"/>
      <c r="S389" s="16">
        <f t="shared" si="283"/>
        <v>0</v>
      </c>
      <c r="T389" s="11"/>
      <c r="AS389" s="31">
        <f t="shared" si="284"/>
        <v>0</v>
      </c>
      <c r="AT389" s="31">
        <f t="shared" si="285"/>
        <v>0</v>
      </c>
      <c r="AU389" s="31">
        <f t="shared" si="286"/>
        <v>0</v>
      </c>
      <c r="AV389" s="31">
        <f t="shared" si="287"/>
        <v>0</v>
      </c>
      <c r="AW389" s="31">
        <f t="shared" si="288"/>
        <v>0</v>
      </c>
      <c r="AX389" s="31">
        <f t="shared" si="289"/>
        <v>0</v>
      </c>
      <c r="AY389" s="31">
        <f t="shared" si="290"/>
        <v>0</v>
      </c>
      <c r="AZ389" s="31">
        <f t="shared" si="291"/>
        <v>0</v>
      </c>
      <c r="BA389" s="31">
        <f t="shared" si="292"/>
        <v>0</v>
      </c>
      <c r="BB389" s="31">
        <f t="shared" ref="BB389:BB452" si="321">IFERROR(IF(BN389&gt;0,0,IF(AND(E389="normal",(BR389/D389)&gt;1),BR389,0)),0)</f>
        <v>0</v>
      </c>
      <c r="BM389" s="8">
        <f t="shared" ref="BM389:BM452" si="322">IF(AND(E389&lt;&gt;"special",K389="Concrete"),D389*BV389,IF(AND(E389="special",K389="Concrete"),D389*O389,0))</f>
        <v>0</v>
      </c>
      <c r="BN389" s="8">
        <f t="shared" si="293"/>
        <v>0</v>
      </c>
      <c r="BO389" s="8">
        <f t="shared" si="294"/>
        <v>0</v>
      </c>
      <c r="BQ389" s="8">
        <f t="shared" si="295"/>
        <v>0</v>
      </c>
      <c r="BR389" s="63">
        <f t="shared" si="296"/>
        <v>0</v>
      </c>
      <c r="BS389" s="63">
        <f t="shared" ref="BS389:BS452" si="323">BN389 + IF(BN389&gt;0,IF(R388=0, R389, 0) + IF(R390=0, R389, 0),0)</f>
        <v>0</v>
      </c>
      <c r="BT389" s="63">
        <f t="shared" si="297"/>
        <v>0</v>
      </c>
      <c r="BU389" s="63">
        <f t="shared" si="298"/>
        <v>0</v>
      </c>
      <c r="BV389" s="57">
        <f t="shared" si="299"/>
        <v>0</v>
      </c>
      <c r="BW389" s="57">
        <f t="shared" si="300"/>
        <v>0</v>
      </c>
      <c r="BX389" s="57">
        <f t="shared" ref="BX389:BX452" si="324">IF(AND(R389&gt;0,MandRcalc="Asphalting then M&amp;R"),R389*D389,IF(AND(R389&gt;0,MandRcalc="Milling then Repaving"),(R389-BR389)*D389,0))</f>
        <v>0</v>
      </c>
      <c r="BY389" s="57">
        <f t="shared" si="282"/>
        <v>0</v>
      </c>
      <c r="BZ389" s="8">
        <f t="shared" si="301"/>
        <v>0</v>
      </c>
      <c r="CA389" s="8">
        <f t="shared" si="302"/>
        <v>0</v>
      </c>
      <c r="CB389" s="8">
        <f t="shared" si="303"/>
        <v>0</v>
      </c>
      <c r="CC389" s="8">
        <f t="shared" si="304"/>
        <v>0</v>
      </c>
      <c r="CD389" s="8">
        <f t="shared" si="305"/>
        <v>0</v>
      </c>
      <c r="CE389" s="8">
        <f t="shared" si="306"/>
        <v>0</v>
      </c>
      <c r="CF389" s="8">
        <f t="shared" si="307"/>
        <v>0</v>
      </c>
      <c r="CG389" s="8">
        <f t="shared" si="308"/>
        <v>0</v>
      </c>
      <c r="CH389" s="8">
        <f t="shared" si="309"/>
        <v>0</v>
      </c>
      <c r="CI389" s="8">
        <f t="shared" si="310"/>
        <v>0</v>
      </c>
      <c r="CJ389" s="8">
        <f t="shared" si="311"/>
        <v>0</v>
      </c>
      <c r="CK389" s="8">
        <f t="shared" si="312"/>
        <v>0</v>
      </c>
      <c r="CL389" s="8">
        <f t="shared" si="313"/>
        <v>0</v>
      </c>
      <c r="CM389" s="8">
        <f t="shared" si="314"/>
        <v>0</v>
      </c>
      <c r="CN389" s="8">
        <f t="shared" si="315"/>
        <v>0</v>
      </c>
      <c r="CO389" s="8">
        <f t="shared" si="316"/>
        <v>0</v>
      </c>
      <c r="CP389" s="8">
        <f t="shared" si="317"/>
        <v>0</v>
      </c>
      <c r="CQ389" s="8">
        <f t="shared" si="318"/>
        <v>0</v>
      </c>
      <c r="CR389" s="8">
        <f t="shared" si="319"/>
        <v>0</v>
      </c>
      <c r="CS389" s="8">
        <f t="shared" si="320"/>
        <v>0</v>
      </c>
      <c r="CT389" s="8">
        <f t="shared" si="279"/>
        <v>0</v>
      </c>
      <c r="CU389" s="8">
        <f t="shared" si="280"/>
        <v>0</v>
      </c>
      <c r="CV389" s="8">
        <f t="shared" si="281"/>
        <v>0</v>
      </c>
    </row>
    <row r="390" spans="1:100" ht="20.5" thickTop="1" thickBot="1" x14ac:dyDescent="0.5">
      <c r="A390" s="32"/>
      <c r="B390" s="10"/>
      <c r="C390" s="10"/>
      <c r="D390" s="11"/>
      <c r="E390" s="10"/>
      <c r="F390" s="10"/>
      <c r="G390" s="19"/>
      <c r="H390" s="19"/>
      <c r="I390" s="19"/>
      <c r="J390" s="19"/>
      <c r="K390" s="10"/>
      <c r="L390" s="10"/>
      <c r="M390" s="10"/>
      <c r="N390" s="10"/>
      <c r="O390" s="18"/>
      <c r="P390" s="18"/>
      <c r="Q390" s="21"/>
      <c r="R390" s="20"/>
      <c r="S390" s="16">
        <f t="shared" si="283"/>
        <v>0</v>
      </c>
      <c r="T390" s="11"/>
      <c r="AS390" s="31">
        <f t="shared" si="284"/>
        <v>0</v>
      </c>
      <c r="AT390" s="31">
        <f t="shared" si="285"/>
        <v>0</v>
      </c>
      <c r="AU390" s="31">
        <f t="shared" si="286"/>
        <v>0</v>
      </c>
      <c r="AV390" s="31">
        <f t="shared" si="287"/>
        <v>0</v>
      </c>
      <c r="AW390" s="31">
        <f t="shared" si="288"/>
        <v>0</v>
      </c>
      <c r="AX390" s="31">
        <f t="shared" si="289"/>
        <v>0</v>
      </c>
      <c r="AY390" s="31">
        <f t="shared" si="290"/>
        <v>0</v>
      </c>
      <c r="AZ390" s="31">
        <f t="shared" si="291"/>
        <v>0</v>
      </c>
      <c r="BA390" s="31">
        <f t="shared" si="292"/>
        <v>0</v>
      </c>
      <c r="BB390" s="31">
        <f t="shared" si="321"/>
        <v>0</v>
      </c>
      <c r="BM390" s="8">
        <f t="shared" si="322"/>
        <v>0</v>
      </c>
      <c r="BN390" s="8">
        <f t="shared" si="293"/>
        <v>0</v>
      </c>
      <c r="BO390" s="8">
        <f t="shared" si="294"/>
        <v>0</v>
      </c>
      <c r="BQ390" s="8">
        <f t="shared" si="295"/>
        <v>0</v>
      </c>
      <c r="BR390" s="63">
        <f t="shared" si="296"/>
        <v>0</v>
      </c>
      <c r="BS390" s="63">
        <f t="shared" si="323"/>
        <v>0</v>
      </c>
      <c r="BT390" s="63">
        <f t="shared" si="297"/>
        <v>0</v>
      </c>
      <c r="BU390" s="63">
        <f t="shared" si="298"/>
        <v>0</v>
      </c>
      <c r="BV390" s="57">
        <f t="shared" si="299"/>
        <v>0</v>
      </c>
      <c r="BW390" s="57">
        <f t="shared" si="300"/>
        <v>0</v>
      </c>
      <c r="BX390" s="57">
        <f t="shared" si="324"/>
        <v>0</v>
      </c>
      <c r="BY390" s="57">
        <f t="shared" si="282"/>
        <v>0</v>
      </c>
      <c r="BZ390" s="8">
        <f t="shared" si="301"/>
        <v>0</v>
      </c>
      <c r="CA390" s="8">
        <f t="shared" si="302"/>
        <v>0</v>
      </c>
      <c r="CB390" s="8">
        <f t="shared" si="303"/>
        <v>0</v>
      </c>
      <c r="CC390" s="8">
        <f t="shared" si="304"/>
        <v>0</v>
      </c>
      <c r="CD390" s="8">
        <f t="shared" si="305"/>
        <v>0</v>
      </c>
      <c r="CE390" s="8">
        <f t="shared" si="306"/>
        <v>0</v>
      </c>
      <c r="CF390" s="8">
        <f t="shared" si="307"/>
        <v>0</v>
      </c>
      <c r="CG390" s="8">
        <f t="shared" si="308"/>
        <v>0</v>
      </c>
      <c r="CH390" s="8">
        <f t="shared" si="309"/>
        <v>0</v>
      </c>
      <c r="CI390" s="8">
        <f t="shared" si="310"/>
        <v>0</v>
      </c>
      <c r="CJ390" s="8">
        <f t="shared" si="311"/>
        <v>0</v>
      </c>
      <c r="CK390" s="8">
        <f t="shared" si="312"/>
        <v>0</v>
      </c>
      <c r="CL390" s="8">
        <f t="shared" si="313"/>
        <v>0</v>
      </c>
      <c r="CM390" s="8">
        <f t="shared" si="314"/>
        <v>0</v>
      </c>
      <c r="CN390" s="8">
        <f t="shared" si="315"/>
        <v>0</v>
      </c>
      <c r="CO390" s="8">
        <f t="shared" si="316"/>
        <v>0</v>
      </c>
      <c r="CP390" s="8">
        <f t="shared" si="317"/>
        <v>0</v>
      </c>
      <c r="CQ390" s="8">
        <f t="shared" si="318"/>
        <v>0</v>
      </c>
      <c r="CR390" s="8">
        <f t="shared" si="319"/>
        <v>0</v>
      </c>
      <c r="CS390" s="8">
        <f t="shared" si="320"/>
        <v>0</v>
      </c>
      <c r="CT390" s="8">
        <f t="shared" si="279"/>
        <v>0</v>
      </c>
      <c r="CU390" s="8">
        <f t="shared" si="280"/>
        <v>0</v>
      </c>
      <c r="CV390" s="8">
        <f t="shared" si="281"/>
        <v>0</v>
      </c>
    </row>
    <row r="391" spans="1:100" ht="20.5" thickTop="1" thickBot="1" x14ac:dyDescent="0.5">
      <c r="A391" s="32"/>
      <c r="B391" s="10"/>
      <c r="C391" s="10"/>
      <c r="D391" s="11"/>
      <c r="E391" s="10"/>
      <c r="F391" s="10"/>
      <c r="G391" s="19"/>
      <c r="H391" s="19"/>
      <c r="I391" s="19"/>
      <c r="J391" s="19"/>
      <c r="K391" s="10"/>
      <c r="L391" s="10"/>
      <c r="M391" s="10"/>
      <c r="N391" s="10"/>
      <c r="O391" s="18"/>
      <c r="P391" s="18"/>
      <c r="Q391" s="21"/>
      <c r="R391" s="20"/>
      <c r="S391" s="16">
        <f t="shared" si="283"/>
        <v>0</v>
      </c>
      <c r="T391" s="11"/>
      <c r="AS391" s="31">
        <f t="shared" si="284"/>
        <v>0</v>
      </c>
      <c r="AT391" s="31">
        <f t="shared" si="285"/>
        <v>0</v>
      </c>
      <c r="AU391" s="31">
        <f t="shared" si="286"/>
        <v>0</v>
      </c>
      <c r="AV391" s="31">
        <f t="shared" si="287"/>
        <v>0</v>
      </c>
      <c r="AW391" s="31">
        <f t="shared" si="288"/>
        <v>0</v>
      </c>
      <c r="AX391" s="31">
        <f t="shared" si="289"/>
        <v>0</v>
      </c>
      <c r="AY391" s="31">
        <f t="shared" si="290"/>
        <v>0</v>
      </c>
      <c r="AZ391" s="31">
        <f t="shared" si="291"/>
        <v>0</v>
      </c>
      <c r="BA391" s="31">
        <f t="shared" si="292"/>
        <v>0</v>
      </c>
      <c r="BB391" s="31">
        <f t="shared" si="321"/>
        <v>0</v>
      </c>
      <c r="BM391" s="8">
        <f t="shared" si="322"/>
        <v>0</v>
      </c>
      <c r="BN391" s="8">
        <f t="shared" si="293"/>
        <v>0</v>
      </c>
      <c r="BO391" s="8">
        <f t="shared" si="294"/>
        <v>0</v>
      </c>
      <c r="BQ391" s="8">
        <f t="shared" si="295"/>
        <v>0</v>
      </c>
      <c r="BR391" s="63">
        <f t="shared" si="296"/>
        <v>0</v>
      </c>
      <c r="BS391" s="63">
        <f t="shared" si="323"/>
        <v>0</v>
      </c>
      <c r="BT391" s="63">
        <f t="shared" si="297"/>
        <v>0</v>
      </c>
      <c r="BU391" s="63">
        <f t="shared" si="298"/>
        <v>0</v>
      </c>
      <c r="BV391" s="57">
        <f t="shared" si="299"/>
        <v>0</v>
      </c>
      <c r="BW391" s="57">
        <f t="shared" si="300"/>
        <v>0</v>
      </c>
      <c r="BX391" s="57">
        <f t="shared" si="324"/>
        <v>0</v>
      </c>
      <c r="BY391" s="57">
        <f t="shared" si="282"/>
        <v>0</v>
      </c>
      <c r="BZ391" s="8">
        <f t="shared" si="301"/>
        <v>0</v>
      </c>
      <c r="CA391" s="8">
        <f t="shared" si="302"/>
        <v>0</v>
      </c>
      <c r="CB391" s="8">
        <f t="shared" si="303"/>
        <v>0</v>
      </c>
      <c r="CC391" s="8">
        <f t="shared" si="304"/>
        <v>0</v>
      </c>
      <c r="CD391" s="8">
        <f t="shared" si="305"/>
        <v>0</v>
      </c>
      <c r="CE391" s="8">
        <f t="shared" si="306"/>
        <v>0</v>
      </c>
      <c r="CF391" s="8">
        <f t="shared" si="307"/>
        <v>0</v>
      </c>
      <c r="CG391" s="8">
        <f t="shared" si="308"/>
        <v>0</v>
      </c>
      <c r="CH391" s="8">
        <f t="shared" si="309"/>
        <v>0</v>
      </c>
      <c r="CI391" s="8">
        <f t="shared" si="310"/>
        <v>0</v>
      </c>
      <c r="CJ391" s="8">
        <f t="shared" si="311"/>
        <v>0</v>
      </c>
      <c r="CK391" s="8">
        <f t="shared" si="312"/>
        <v>0</v>
      </c>
      <c r="CL391" s="8">
        <f t="shared" si="313"/>
        <v>0</v>
      </c>
      <c r="CM391" s="8">
        <f t="shared" si="314"/>
        <v>0</v>
      </c>
      <c r="CN391" s="8">
        <f t="shared" si="315"/>
        <v>0</v>
      </c>
      <c r="CO391" s="8">
        <f t="shared" si="316"/>
        <v>0</v>
      </c>
      <c r="CP391" s="8">
        <f t="shared" si="317"/>
        <v>0</v>
      </c>
      <c r="CQ391" s="8">
        <f t="shared" si="318"/>
        <v>0</v>
      </c>
      <c r="CR391" s="8">
        <f t="shared" si="319"/>
        <v>0</v>
      </c>
      <c r="CS391" s="8">
        <f t="shared" si="320"/>
        <v>0</v>
      </c>
      <c r="CT391" s="8">
        <f t="shared" si="279"/>
        <v>0</v>
      </c>
      <c r="CU391" s="8">
        <f t="shared" si="280"/>
        <v>0</v>
      </c>
      <c r="CV391" s="8">
        <f t="shared" si="281"/>
        <v>0</v>
      </c>
    </row>
    <row r="392" spans="1:100" ht="20.5" thickTop="1" thickBot="1" x14ac:dyDescent="0.5">
      <c r="A392" s="32"/>
      <c r="B392" s="10"/>
      <c r="C392" s="10"/>
      <c r="D392" s="11"/>
      <c r="E392" s="10"/>
      <c r="F392" s="10"/>
      <c r="G392" s="19"/>
      <c r="H392" s="19"/>
      <c r="I392" s="19"/>
      <c r="J392" s="19"/>
      <c r="K392" s="10"/>
      <c r="L392" s="10"/>
      <c r="M392" s="10"/>
      <c r="N392" s="10"/>
      <c r="O392" s="18"/>
      <c r="P392" s="18"/>
      <c r="Q392" s="21"/>
      <c r="R392" s="20"/>
      <c r="S392" s="16">
        <f t="shared" si="283"/>
        <v>0</v>
      </c>
      <c r="T392" s="11"/>
      <c r="AS392" s="31">
        <f t="shared" si="284"/>
        <v>0</v>
      </c>
      <c r="AT392" s="31">
        <f t="shared" si="285"/>
        <v>0</v>
      </c>
      <c r="AU392" s="31">
        <f t="shared" si="286"/>
        <v>0</v>
      </c>
      <c r="AV392" s="31">
        <f t="shared" si="287"/>
        <v>0</v>
      </c>
      <c r="AW392" s="31">
        <f t="shared" si="288"/>
        <v>0</v>
      </c>
      <c r="AX392" s="31">
        <f t="shared" si="289"/>
        <v>0</v>
      </c>
      <c r="AY392" s="31">
        <f t="shared" si="290"/>
        <v>0</v>
      </c>
      <c r="AZ392" s="31">
        <f t="shared" si="291"/>
        <v>0</v>
      </c>
      <c r="BA392" s="31">
        <f t="shared" si="292"/>
        <v>0</v>
      </c>
      <c r="BB392" s="31">
        <f t="shared" si="321"/>
        <v>0</v>
      </c>
      <c r="BM392" s="8">
        <f t="shared" si="322"/>
        <v>0</v>
      </c>
      <c r="BN392" s="8">
        <f t="shared" si="293"/>
        <v>0</v>
      </c>
      <c r="BO392" s="8">
        <f t="shared" si="294"/>
        <v>0</v>
      </c>
      <c r="BQ392" s="8">
        <f t="shared" si="295"/>
        <v>0</v>
      </c>
      <c r="BR392" s="63">
        <f t="shared" si="296"/>
        <v>0</v>
      </c>
      <c r="BS392" s="63">
        <f t="shared" si="323"/>
        <v>0</v>
      </c>
      <c r="BT392" s="63">
        <f t="shared" si="297"/>
        <v>0</v>
      </c>
      <c r="BU392" s="63">
        <f t="shared" si="298"/>
        <v>0</v>
      </c>
      <c r="BV392" s="57">
        <f t="shared" si="299"/>
        <v>0</v>
      </c>
      <c r="BW392" s="57">
        <f t="shared" si="300"/>
        <v>0</v>
      </c>
      <c r="BX392" s="57">
        <f t="shared" si="324"/>
        <v>0</v>
      </c>
      <c r="BY392" s="57">
        <f t="shared" si="282"/>
        <v>0</v>
      </c>
      <c r="BZ392" s="8">
        <f t="shared" si="301"/>
        <v>0</v>
      </c>
      <c r="CA392" s="8">
        <f t="shared" si="302"/>
        <v>0</v>
      </c>
      <c r="CB392" s="8">
        <f t="shared" si="303"/>
        <v>0</v>
      </c>
      <c r="CC392" s="8">
        <f t="shared" si="304"/>
        <v>0</v>
      </c>
      <c r="CD392" s="8">
        <f t="shared" si="305"/>
        <v>0</v>
      </c>
      <c r="CE392" s="8">
        <f t="shared" si="306"/>
        <v>0</v>
      </c>
      <c r="CF392" s="8">
        <f t="shared" si="307"/>
        <v>0</v>
      </c>
      <c r="CG392" s="8">
        <f t="shared" si="308"/>
        <v>0</v>
      </c>
      <c r="CH392" s="8">
        <f t="shared" si="309"/>
        <v>0</v>
      </c>
      <c r="CI392" s="8">
        <f t="shared" si="310"/>
        <v>0</v>
      </c>
      <c r="CJ392" s="8">
        <f t="shared" si="311"/>
        <v>0</v>
      </c>
      <c r="CK392" s="8">
        <f t="shared" si="312"/>
        <v>0</v>
      </c>
      <c r="CL392" s="8">
        <f t="shared" si="313"/>
        <v>0</v>
      </c>
      <c r="CM392" s="8">
        <f t="shared" si="314"/>
        <v>0</v>
      </c>
      <c r="CN392" s="8">
        <f t="shared" si="315"/>
        <v>0</v>
      </c>
      <c r="CO392" s="8">
        <f t="shared" si="316"/>
        <v>0</v>
      </c>
      <c r="CP392" s="8">
        <f t="shared" si="317"/>
        <v>0</v>
      </c>
      <c r="CQ392" s="8">
        <f t="shared" si="318"/>
        <v>0</v>
      </c>
      <c r="CR392" s="8">
        <f t="shared" si="319"/>
        <v>0</v>
      </c>
      <c r="CS392" s="8">
        <f t="shared" si="320"/>
        <v>0</v>
      </c>
      <c r="CT392" s="8">
        <f t="shared" si="279"/>
        <v>0</v>
      </c>
      <c r="CU392" s="8">
        <f t="shared" si="280"/>
        <v>0</v>
      </c>
      <c r="CV392" s="8">
        <f t="shared" si="281"/>
        <v>0</v>
      </c>
    </row>
    <row r="393" spans="1:100" ht="20.5" thickTop="1" thickBot="1" x14ac:dyDescent="0.5">
      <c r="A393" s="32"/>
      <c r="B393" s="10"/>
      <c r="C393" s="10"/>
      <c r="D393" s="11"/>
      <c r="E393" s="10"/>
      <c r="F393" s="10"/>
      <c r="G393" s="19"/>
      <c r="H393" s="19"/>
      <c r="I393" s="19"/>
      <c r="J393" s="19"/>
      <c r="K393" s="10"/>
      <c r="L393" s="10"/>
      <c r="M393" s="10"/>
      <c r="N393" s="10"/>
      <c r="O393" s="18"/>
      <c r="P393" s="18"/>
      <c r="Q393" s="21"/>
      <c r="R393" s="20"/>
      <c r="S393" s="16">
        <f t="shared" si="283"/>
        <v>0</v>
      </c>
      <c r="T393" s="11"/>
      <c r="AS393" s="31">
        <f t="shared" si="284"/>
        <v>0</v>
      </c>
      <c r="AT393" s="31">
        <f t="shared" si="285"/>
        <v>0</v>
      </c>
      <c r="AU393" s="31">
        <f t="shared" si="286"/>
        <v>0</v>
      </c>
      <c r="AV393" s="31">
        <f t="shared" si="287"/>
        <v>0</v>
      </c>
      <c r="AW393" s="31">
        <f t="shared" si="288"/>
        <v>0</v>
      </c>
      <c r="AX393" s="31">
        <f t="shared" si="289"/>
        <v>0</v>
      </c>
      <c r="AY393" s="31">
        <f t="shared" si="290"/>
        <v>0</v>
      </c>
      <c r="AZ393" s="31">
        <f t="shared" si="291"/>
        <v>0</v>
      </c>
      <c r="BA393" s="31">
        <f t="shared" si="292"/>
        <v>0</v>
      </c>
      <c r="BB393" s="31">
        <f t="shared" si="321"/>
        <v>0</v>
      </c>
      <c r="BM393" s="8">
        <f t="shared" si="322"/>
        <v>0</v>
      </c>
      <c r="BN393" s="8">
        <f t="shared" si="293"/>
        <v>0</v>
      </c>
      <c r="BO393" s="8">
        <f t="shared" si="294"/>
        <v>0</v>
      </c>
      <c r="BQ393" s="8">
        <f t="shared" si="295"/>
        <v>0</v>
      </c>
      <c r="BR393" s="63">
        <f t="shared" si="296"/>
        <v>0</v>
      </c>
      <c r="BS393" s="63">
        <f t="shared" si="323"/>
        <v>0</v>
      </c>
      <c r="BT393" s="63">
        <f t="shared" si="297"/>
        <v>0</v>
      </c>
      <c r="BU393" s="63">
        <f t="shared" si="298"/>
        <v>0</v>
      </c>
      <c r="BV393" s="57">
        <f t="shared" si="299"/>
        <v>0</v>
      </c>
      <c r="BW393" s="57">
        <f t="shared" si="300"/>
        <v>0</v>
      </c>
      <c r="BX393" s="57">
        <f t="shared" si="324"/>
        <v>0</v>
      </c>
      <c r="BY393" s="57">
        <f t="shared" si="282"/>
        <v>0</v>
      </c>
      <c r="BZ393" s="8">
        <f t="shared" si="301"/>
        <v>0</v>
      </c>
      <c r="CA393" s="8">
        <f t="shared" si="302"/>
        <v>0</v>
      </c>
      <c r="CB393" s="8">
        <f t="shared" si="303"/>
        <v>0</v>
      </c>
      <c r="CC393" s="8">
        <f t="shared" si="304"/>
        <v>0</v>
      </c>
      <c r="CD393" s="8">
        <f t="shared" si="305"/>
        <v>0</v>
      </c>
      <c r="CE393" s="8">
        <f t="shared" si="306"/>
        <v>0</v>
      </c>
      <c r="CF393" s="8">
        <f t="shared" si="307"/>
        <v>0</v>
      </c>
      <c r="CG393" s="8">
        <f t="shared" si="308"/>
        <v>0</v>
      </c>
      <c r="CH393" s="8">
        <f t="shared" si="309"/>
        <v>0</v>
      </c>
      <c r="CI393" s="8">
        <f t="shared" si="310"/>
        <v>0</v>
      </c>
      <c r="CJ393" s="8">
        <f t="shared" si="311"/>
        <v>0</v>
      </c>
      <c r="CK393" s="8">
        <f t="shared" si="312"/>
        <v>0</v>
      </c>
      <c r="CL393" s="8">
        <f t="shared" si="313"/>
        <v>0</v>
      </c>
      <c r="CM393" s="8">
        <f t="shared" si="314"/>
        <v>0</v>
      </c>
      <c r="CN393" s="8">
        <f t="shared" si="315"/>
        <v>0</v>
      </c>
      <c r="CO393" s="8">
        <f t="shared" si="316"/>
        <v>0</v>
      </c>
      <c r="CP393" s="8">
        <f t="shared" si="317"/>
        <v>0</v>
      </c>
      <c r="CQ393" s="8">
        <f t="shared" si="318"/>
        <v>0</v>
      </c>
      <c r="CR393" s="8">
        <f t="shared" si="319"/>
        <v>0</v>
      </c>
      <c r="CS393" s="8">
        <f t="shared" si="320"/>
        <v>0</v>
      </c>
      <c r="CT393" s="8">
        <f t="shared" si="279"/>
        <v>0</v>
      </c>
      <c r="CU393" s="8">
        <f t="shared" si="280"/>
        <v>0</v>
      </c>
      <c r="CV393" s="8">
        <f t="shared" si="281"/>
        <v>0</v>
      </c>
    </row>
    <row r="394" spans="1:100" ht="20.5" thickTop="1" thickBot="1" x14ac:dyDescent="0.5">
      <c r="A394" s="32"/>
      <c r="B394" s="10"/>
      <c r="C394" s="10"/>
      <c r="D394" s="11"/>
      <c r="E394" s="10"/>
      <c r="F394" s="10"/>
      <c r="G394" s="19"/>
      <c r="H394" s="19"/>
      <c r="I394" s="19"/>
      <c r="J394" s="19"/>
      <c r="K394" s="10"/>
      <c r="L394" s="10"/>
      <c r="M394" s="10"/>
      <c r="N394" s="10"/>
      <c r="O394" s="18"/>
      <c r="P394" s="18"/>
      <c r="Q394" s="21"/>
      <c r="R394" s="20"/>
      <c r="S394" s="16">
        <f t="shared" si="283"/>
        <v>0</v>
      </c>
      <c r="T394" s="11"/>
      <c r="AS394" s="31">
        <f t="shared" si="284"/>
        <v>0</v>
      </c>
      <c r="AT394" s="31">
        <f t="shared" si="285"/>
        <v>0</v>
      </c>
      <c r="AU394" s="31">
        <f t="shared" si="286"/>
        <v>0</v>
      </c>
      <c r="AV394" s="31">
        <f t="shared" si="287"/>
        <v>0</v>
      </c>
      <c r="AW394" s="31">
        <f t="shared" si="288"/>
        <v>0</v>
      </c>
      <c r="AX394" s="31">
        <f t="shared" si="289"/>
        <v>0</v>
      </c>
      <c r="AY394" s="31">
        <f t="shared" si="290"/>
        <v>0</v>
      </c>
      <c r="AZ394" s="31">
        <f t="shared" si="291"/>
        <v>0</v>
      </c>
      <c r="BA394" s="31">
        <f t="shared" si="292"/>
        <v>0</v>
      </c>
      <c r="BB394" s="31">
        <f t="shared" si="321"/>
        <v>0</v>
      </c>
      <c r="BM394" s="8">
        <f t="shared" si="322"/>
        <v>0</v>
      </c>
      <c r="BN394" s="8">
        <f t="shared" si="293"/>
        <v>0</v>
      </c>
      <c r="BO394" s="8">
        <f t="shared" si="294"/>
        <v>0</v>
      </c>
      <c r="BQ394" s="8">
        <f t="shared" si="295"/>
        <v>0</v>
      </c>
      <c r="BR394" s="63">
        <f t="shared" si="296"/>
        <v>0</v>
      </c>
      <c r="BS394" s="63">
        <f t="shared" si="323"/>
        <v>0</v>
      </c>
      <c r="BT394" s="63">
        <f t="shared" si="297"/>
        <v>0</v>
      </c>
      <c r="BU394" s="63">
        <f t="shared" si="298"/>
        <v>0</v>
      </c>
      <c r="BV394" s="57">
        <f t="shared" si="299"/>
        <v>0</v>
      </c>
      <c r="BW394" s="57">
        <f t="shared" si="300"/>
        <v>0</v>
      </c>
      <c r="BX394" s="57">
        <f t="shared" si="324"/>
        <v>0</v>
      </c>
      <c r="BY394" s="57">
        <f t="shared" si="282"/>
        <v>0</v>
      </c>
      <c r="BZ394" s="8">
        <f t="shared" si="301"/>
        <v>0</v>
      </c>
      <c r="CA394" s="8">
        <f t="shared" si="302"/>
        <v>0</v>
      </c>
      <c r="CB394" s="8">
        <f t="shared" si="303"/>
        <v>0</v>
      </c>
      <c r="CC394" s="8">
        <f t="shared" si="304"/>
        <v>0</v>
      </c>
      <c r="CD394" s="8">
        <f t="shared" si="305"/>
        <v>0</v>
      </c>
      <c r="CE394" s="8">
        <f t="shared" si="306"/>
        <v>0</v>
      </c>
      <c r="CF394" s="8">
        <f t="shared" si="307"/>
        <v>0</v>
      </c>
      <c r="CG394" s="8">
        <f t="shared" si="308"/>
        <v>0</v>
      </c>
      <c r="CH394" s="8">
        <f t="shared" si="309"/>
        <v>0</v>
      </c>
      <c r="CI394" s="8">
        <f t="shared" si="310"/>
        <v>0</v>
      </c>
      <c r="CJ394" s="8">
        <f t="shared" si="311"/>
        <v>0</v>
      </c>
      <c r="CK394" s="8">
        <f t="shared" si="312"/>
        <v>0</v>
      </c>
      <c r="CL394" s="8">
        <f t="shared" si="313"/>
        <v>0</v>
      </c>
      <c r="CM394" s="8">
        <f t="shared" si="314"/>
        <v>0</v>
      </c>
      <c r="CN394" s="8">
        <f t="shared" si="315"/>
        <v>0</v>
      </c>
      <c r="CO394" s="8">
        <f t="shared" si="316"/>
        <v>0</v>
      </c>
      <c r="CP394" s="8">
        <f t="shared" si="317"/>
        <v>0</v>
      </c>
      <c r="CQ394" s="8">
        <f t="shared" si="318"/>
        <v>0</v>
      </c>
      <c r="CR394" s="8">
        <f t="shared" si="319"/>
        <v>0</v>
      </c>
      <c r="CS394" s="8">
        <f t="shared" si="320"/>
        <v>0</v>
      </c>
      <c r="CT394" s="8">
        <f t="shared" si="279"/>
        <v>0</v>
      </c>
      <c r="CU394" s="8">
        <f t="shared" si="280"/>
        <v>0</v>
      </c>
      <c r="CV394" s="8">
        <f t="shared" si="281"/>
        <v>0</v>
      </c>
    </row>
    <row r="395" spans="1:100" ht="20.5" thickTop="1" thickBot="1" x14ac:dyDescent="0.5">
      <c r="A395" s="32"/>
      <c r="B395" s="10"/>
      <c r="C395" s="10"/>
      <c r="D395" s="11"/>
      <c r="E395" s="10"/>
      <c r="F395" s="10"/>
      <c r="G395" s="19"/>
      <c r="H395" s="19"/>
      <c r="I395" s="19"/>
      <c r="J395" s="19"/>
      <c r="K395" s="10"/>
      <c r="L395" s="10"/>
      <c r="M395" s="10"/>
      <c r="N395" s="10"/>
      <c r="O395" s="18"/>
      <c r="P395" s="18"/>
      <c r="Q395" s="21"/>
      <c r="R395" s="20"/>
      <c r="S395" s="16">
        <f t="shared" si="283"/>
        <v>0</v>
      </c>
      <c r="T395" s="11"/>
      <c r="AS395" s="31">
        <f t="shared" si="284"/>
        <v>0</v>
      </c>
      <c r="AT395" s="31">
        <f t="shared" si="285"/>
        <v>0</v>
      </c>
      <c r="AU395" s="31">
        <f t="shared" si="286"/>
        <v>0</v>
      </c>
      <c r="AV395" s="31">
        <f t="shared" si="287"/>
        <v>0</v>
      </c>
      <c r="AW395" s="31">
        <f t="shared" si="288"/>
        <v>0</v>
      </c>
      <c r="AX395" s="31">
        <f t="shared" si="289"/>
        <v>0</v>
      </c>
      <c r="AY395" s="31">
        <f t="shared" si="290"/>
        <v>0</v>
      </c>
      <c r="AZ395" s="31">
        <f t="shared" si="291"/>
        <v>0</v>
      </c>
      <c r="BA395" s="31">
        <f t="shared" si="292"/>
        <v>0</v>
      </c>
      <c r="BB395" s="31">
        <f t="shared" si="321"/>
        <v>0</v>
      </c>
      <c r="BM395" s="8">
        <f t="shared" si="322"/>
        <v>0</v>
      </c>
      <c r="BN395" s="8">
        <f t="shared" si="293"/>
        <v>0</v>
      </c>
      <c r="BO395" s="8">
        <f t="shared" si="294"/>
        <v>0</v>
      </c>
      <c r="BQ395" s="8">
        <f t="shared" si="295"/>
        <v>0</v>
      </c>
      <c r="BR395" s="63">
        <f t="shared" si="296"/>
        <v>0</v>
      </c>
      <c r="BS395" s="63">
        <f t="shared" si="323"/>
        <v>0</v>
      </c>
      <c r="BT395" s="63">
        <f t="shared" si="297"/>
        <v>0</v>
      </c>
      <c r="BU395" s="63">
        <f t="shared" si="298"/>
        <v>0</v>
      </c>
      <c r="BV395" s="57">
        <f t="shared" si="299"/>
        <v>0</v>
      </c>
      <c r="BW395" s="57">
        <f t="shared" si="300"/>
        <v>0</v>
      </c>
      <c r="BX395" s="57">
        <f t="shared" si="324"/>
        <v>0</v>
      </c>
      <c r="BY395" s="57">
        <f t="shared" si="282"/>
        <v>0</v>
      </c>
      <c r="BZ395" s="8">
        <f t="shared" si="301"/>
        <v>0</v>
      </c>
      <c r="CA395" s="8">
        <f t="shared" si="302"/>
        <v>0</v>
      </c>
      <c r="CB395" s="8">
        <f t="shared" si="303"/>
        <v>0</v>
      </c>
      <c r="CC395" s="8">
        <f t="shared" si="304"/>
        <v>0</v>
      </c>
      <c r="CD395" s="8">
        <f t="shared" si="305"/>
        <v>0</v>
      </c>
      <c r="CE395" s="8">
        <f t="shared" si="306"/>
        <v>0</v>
      </c>
      <c r="CF395" s="8">
        <f t="shared" si="307"/>
        <v>0</v>
      </c>
      <c r="CG395" s="8">
        <f t="shared" si="308"/>
        <v>0</v>
      </c>
      <c r="CH395" s="8">
        <f t="shared" si="309"/>
        <v>0</v>
      </c>
      <c r="CI395" s="8">
        <f t="shared" si="310"/>
        <v>0</v>
      </c>
      <c r="CJ395" s="8">
        <f t="shared" si="311"/>
        <v>0</v>
      </c>
      <c r="CK395" s="8">
        <f t="shared" si="312"/>
        <v>0</v>
      </c>
      <c r="CL395" s="8">
        <f t="shared" si="313"/>
        <v>0</v>
      </c>
      <c r="CM395" s="8">
        <f t="shared" si="314"/>
        <v>0</v>
      </c>
      <c r="CN395" s="8">
        <f t="shared" si="315"/>
        <v>0</v>
      </c>
      <c r="CO395" s="8">
        <f t="shared" si="316"/>
        <v>0</v>
      </c>
      <c r="CP395" s="8">
        <f t="shared" si="317"/>
        <v>0</v>
      </c>
      <c r="CQ395" s="8">
        <f t="shared" si="318"/>
        <v>0</v>
      </c>
      <c r="CR395" s="8">
        <f t="shared" si="319"/>
        <v>0</v>
      </c>
      <c r="CS395" s="8">
        <f t="shared" si="320"/>
        <v>0</v>
      </c>
      <c r="CT395" s="8">
        <f t="shared" si="279"/>
        <v>0</v>
      </c>
      <c r="CU395" s="8">
        <f t="shared" si="280"/>
        <v>0</v>
      </c>
      <c r="CV395" s="8">
        <f t="shared" si="281"/>
        <v>0</v>
      </c>
    </row>
    <row r="396" spans="1:100" ht="20.5" thickTop="1" thickBot="1" x14ac:dyDescent="0.5">
      <c r="A396" s="32"/>
      <c r="B396" s="10"/>
      <c r="C396" s="10"/>
      <c r="D396" s="11"/>
      <c r="E396" s="10"/>
      <c r="F396" s="10"/>
      <c r="G396" s="19"/>
      <c r="H396" s="19"/>
      <c r="I396" s="19"/>
      <c r="J396" s="19"/>
      <c r="K396" s="10"/>
      <c r="L396" s="10"/>
      <c r="M396" s="10"/>
      <c r="N396" s="10"/>
      <c r="O396" s="18"/>
      <c r="P396" s="18"/>
      <c r="Q396" s="21"/>
      <c r="R396" s="20"/>
      <c r="S396" s="16">
        <f t="shared" si="283"/>
        <v>0</v>
      </c>
      <c r="T396" s="11"/>
      <c r="AS396" s="31">
        <f t="shared" si="284"/>
        <v>0</v>
      </c>
      <c r="AT396" s="31">
        <f t="shared" si="285"/>
        <v>0</v>
      </c>
      <c r="AU396" s="31">
        <f t="shared" si="286"/>
        <v>0</v>
      </c>
      <c r="AV396" s="31">
        <f t="shared" si="287"/>
        <v>0</v>
      </c>
      <c r="AW396" s="31">
        <f t="shared" si="288"/>
        <v>0</v>
      </c>
      <c r="AX396" s="31">
        <f t="shared" si="289"/>
        <v>0</v>
      </c>
      <c r="AY396" s="31">
        <f t="shared" si="290"/>
        <v>0</v>
      </c>
      <c r="AZ396" s="31">
        <f t="shared" si="291"/>
        <v>0</v>
      </c>
      <c r="BA396" s="31">
        <f t="shared" si="292"/>
        <v>0</v>
      </c>
      <c r="BB396" s="31">
        <f t="shared" si="321"/>
        <v>0</v>
      </c>
      <c r="BM396" s="8">
        <f t="shared" si="322"/>
        <v>0</v>
      </c>
      <c r="BN396" s="8">
        <f t="shared" si="293"/>
        <v>0</v>
      </c>
      <c r="BO396" s="8">
        <f t="shared" si="294"/>
        <v>0</v>
      </c>
      <c r="BQ396" s="8">
        <f t="shared" si="295"/>
        <v>0</v>
      </c>
      <c r="BR396" s="63">
        <f t="shared" si="296"/>
        <v>0</v>
      </c>
      <c r="BS396" s="63">
        <f t="shared" si="323"/>
        <v>0</v>
      </c>
      <c r="BT396" s="63">
        <f t="shared" si="297"/>
        <v>0</v>
      </c>
      <c r="BU396" s="63">
        <f t="shared" si="298"/>
        <v>0</v>
      </c>
      <c r="BV396" s="57">
        <f t="shared" si="299"/>
        <v>0</v>
      </c>
      <c r="BW396" s="57">
        <f t="shared" si="300"/>
        <v>0</v>
      </c>
      <c r="BX396" s="57">
        <f t="shared" si="324"/>
        <v>0</v>
      </c>
      <c r="BY396" s="57">
        <f t="shared" si="282"/>
        <v>0</v>
      </c>
      <c r="BZ396" s="8">
        <f t="shared" si="301"/>
        <v>0</v>
      </c>
      <c r="CA396" s="8">
        <f t="shared" si="302"/>
        <v>0</v>
      </c>
      <c r="CB396" s="8">
        <f t="shared" si="303"/>
        <v>0</v>
      </c>
      <c r="CC396" s="8">
        <f t="shared" si="304"/>
        <v>0</v>
      </c>
      <c r="CD396" s="8">
        <f t="shared" si="305"/>
        <v>0</v>
      </c>
      <c r="CE396" s="8">
        <f t="shared" si="306"/>
        <v>0</v>
      </c>
      <c r="CF396" s="8">
        <f t="shared" si="307"/>
        <v>0</v>
      </c>
      <c r="CG396" s="8">
        <f t="shared" si="308"/>
        <v>0</v>
      </c>
      <c r="CH396" s="8">
        <f t="shared" si="309"/>
        <v>0</v>
      </c>
      <c r="CI396" s="8">
        <f t="shared" si="310"/>
        <v>0</v>
      </c>
      <c r="CJ396" s="8">
        <f t="shared" si="311"/>
        <v>0</v>
      </c>
      <c r="CK396" s="8">
        <f t="shared" si="312"/>
        <v>0</v>
      </c>
      <c r="CL396" s="8">
        <f t="shared" si="313"/>
        <v>0</v>
      </c>
      <c r="CM396" s="8">
        <f t="shared" si="314"/>
        <v>0</v>
      </c>
      <c r="CN396" s="8">
        <f t="shared" si="315"/>
        <v>0</v>
      </c>
      <c r="CO396" s="8">
        <f t="shared" si="316"/>
        <v>0</v>
      </c>
      <c r="CP396" s="8">
        <f t="shared" si="317"/>
        <v>0</v>
      </c>
      <c r="CQ396" s="8">
        <f t="shared" si="318"/>
        <v>0</v>
      </c>
      <c r="CR396" s="8">
        <f t="shared" si="319"/>
        <v>0</v>
      </c>
      <c r="CS396" s="8">
        <f t="shared" si="320"/>
        <v>0</v>
      </c>
      <c r="CT396" s="8">
        <f t="shared" si="279"/>
        <v>0</v>
      </c>
      <c r="CU396" s="8">
        <f t="shared" si="280"/>
        <v>0</v>
      </c>
      <c r="CV396" s="8">
        <f t="shared" si="281"/>
        <v>0</v>
      </c>
    </row>
    <row r="397" spans="1:100" ht="20.5" thickTop="1" thickBot="1" x14ac:dyDescent="0.5">
      <c r="A397" s="32"/>
      <c r="B397" s="10"/>
      <c r="C397" s="10"/>
      <c r="D397" s="11"/>
      <c r="E397" s="10"/>
      <c r="F397" s="10"/>
      <c r="G397" s="19"/>
      <c r="H397" s="19"/>
      <c r="I397" s="19"/>
      <c r="J397" s="19"/>
      <c r="K397" s="10"/>
      <c r="L397" s="10"/>
      <c r="M397" s="10"/>
      <c r="N397" s="10"/>
      <c r="O397" s="18"/>
      <c r="P397" s="18"/>
      <c r="Q397" s="21"/>
      <c r="R397" s="20"/>
      <c r="S397" s="16">
        <f t="shared" si="283"/>
        <v>0</v>
      </c>
      <c r="T397" s="11"/>
      <c r="AS397" s="31">
        <f t="shared" si="284"/>
        <v>0</v>
      </c>
      <c r="AT397" s="31">
        <f t="shared" si="285"/>
        <v>0</v>
      </c>
      <c r="AU397" s="31">
        <f t="shared" si="286"/>
        <v>0</v>
      </c>
      <c r="AV397" s="31">
        <f t="shared" si="287"/>
        <v>0</v>
      </c>
      <c r="AW397" s="31">
        <f t="shared" si="288"/>
        <v>0</v>
      </c>
      <c r="AX397" s="31">
        <f t="shared" si="289"/>
        <v>0</v>
      </c>
      <c r="AY397" s="31">
        <f t="shared" si="290"/>
        <v>0</v>
      </c>
      <c r="AZ397" s="31">
        <f t="shared" si="291"/>
        <v>0</v>
      </c>
      <c r="BA397" s="31">
        <f t="shared" si="292"/>
        <v>0</v>
      </c>
      <c r="BB397" s="31">
        <f t="shared" si="321"/>
        <v>0</v>
      </c>
      <c r="BM397" s="8">
        <f t="shared" si="322"/>
        <v>0</v>
      </c>
      <c r="BN397" s="8">
        <f t="shared" si="293"/>
        <v>0</v>
      </c>
      <c r="BO397" s="8">
        <f t="shared" si="294"/>
        <v>0</v>
      </c>
      <c r="BQ397" s="8">
        <f t="shared" si="295"/>
        <v>0</v>
      </c>
      <c r="BR397" s="63">
        <f t="shared" si="296"/>
        <v>0</v>
      </c>
      <c r="BS397" s="63">
        <f t="shared" si="323"/>
        <v>0</v>
      </c>
      <c r="BT397" s="63">
        <f t="shared" si="297"/>
        <v>0</v>
      </c>
      <c r="BU397" s="63">
        <f t="shared" si="298"/>
        <v>0</v>
      </c>
      <c r="BV397" s="57">
        <f t="shared" si="299"/>
        <v>0</v>
      </c>
      <c r="BW397" s="57">
        <f t="shared" si="300"/>
        <v>0</v>
      </c>
      <c r="BX397" s="57">
        <f t="shared" si="324"/>
        <v>0</v>
      </c>
      <c r="BY397" s="57">
        <f t="shared" si="282"/>
        <v>0</v>
      </c>
      <c r="BZ397" s="8">
        <f t="shared" si="301"/>
        <v>0</v>
      </c>
      <c r="CA397" s="8">
        <f t="shared" si="302"/>
        <v>0</v>
      </c>
      <c r="CB397" s="8">
        <f t="shared" si="303"/>
        <v>0</v>
      </c>
      <c r="CC397" s="8">
        <f t="shared" si="304"/>
        <v>0</v>
      </c>
      <c r="CD397" s="8">
        <f t="shared" si="305"/>
        <v>0</v>
      </c>
      <c r="CE397" s="8">
        <f t="shared" si="306"/>
        <v>0</v>
      </c>
      <c r="CF397" s="8">
        <f t="shared" si="307"/>
        <v>0</v>
      </c>
      <c r="CG397" s="8">
        <f t="shared" si="308"/>
        <v>0</v>
      </c>
      <c r="CH397" s="8">
        <f t="shared" si="309"/>
        <v>0</v>
      </c>
      <c r="CI397" s="8">
        <f t="shared" si="310"/>
        <v>0</v>
      </c>
      <c r="CJ397" s="8">
        <f t="shared" si="311"/>
        <v>0</v>
      </c>
      <c r="CK397" s="8">
        <f t="shared" si="312"/>
        <v>0</v>
      </c>
      <c r="CL397" s="8">
        <f t="shared" si="313"/>
        <v>0</v>
      </c>
      <c r="CM397" s="8">
        <f t="shared" si="314"/>
        <v>0</v>
      </c>
      <c r="CN397" s="8">
        <f t="shared" si="315"/>
        <v>0</v>
      </c>
      <c r="CO397" s="8">
        <f t="shared" si="316"/>
        <v>0</v>
      </c>
      <c r="CP397" s="8">
        <f t="shared" si="317"/>
        <v>0</v>
      </c>
      <c r="CQ397" s="8">
        <f t="shared" si="318"/>
        <v>0</v>
      </c>
      <c r="CR397" s="8">
        <f t="shared" si="319"/>
        <v>0</v>
      </c>
      <c r="CS397" s="8">
        <f t="shared" si="320"/>
        <v>0</v>
      </c>
      <c r="CT397" s="8">
        <f t="shared" ref="CT397:CT460" si="325">IF(AND(J397&gt;0,OR(B397="MB",B397="new MB")),J397,0)*4+IF(AND(J397&gt;0,OR(C397="MB",C397="new MB")),J397,0)*4</f>
        <v>0</v>
      </c>
      <c r="CU397" s="8">
        <f t="shared" ref="CU397:CU460" si="326">IF(AND(I397&gt;0,OR(B397="MB",B397="new MB")),I397,0)*4+IF(AND(I397&gt;0,OR(C397="MB",C397="new MB")),I397,0)*4</f>
        <v>0</v>
      </c>
      <c r="CV397" s="8">
        <f t="shared" ref="CV397:CV460" si="327">IF(AND(H397&gt;0,OR(B397="MB",B397="new MB")),H397,0)*4+IF(AND(H397&gt;0,OR(C397="MB",C397="new MB")),H397,0)*4</f>
        <v>0</v>
      </c>
    </row>
    <row r="398" spans="1:100" ht="20.5" thickTop="1" thickBot="1" x14ac:dyDescent="0.5">
      <c r="A398" s="32"/>
      <c r="B398" s="10"/>
      <c r="C398" s="10"/>
      <c r="D398" s="11"/>
      <c r="E398" s="10"/>
      <c r="F398" s="10"/>
      <c r="G398" s="19"/>
      <c r="H398" s="19"/>
      <c r="I398" s="19"/>
      <c r="J398" s="19"/>
      <c r="K398" s="10"/>
      <c r="L398" s="10"/>
      <c r="M398" s="10"/>
      <c r="N398" s="10"/>
      <c r="O398" s="18"/>
      <c r="P398" s="18"/>
      <c r="Q398" s="21"/>
      <c r="R398" s="20"/>
      <c r="S398" s="16">
        <f t="shared" si="283"/>
        <v>0</v>
      </c>
      <c r="T398" s="11"/>
      <c r="AS398" s="31">
        <f t="shared" si="284"/>
        <v>0</v>
      </c>
      <c r="AT398" s="31">
        <f t="shared" si="285"/>
        <v>0</v>
      </c>
      <c r="AU398" s="31">
        <f t="shared" si="286"/>
        <v>0</v>
      </c>
      <c r="AV398" s="31">
        <f t="shared" si="287"/>
        <v>0</v>
      </c>
      <c r="AW398" s="31">
        <f t="shared" si="288"/>
        <v>0</v>
      </c>
      <c r="AX398" s="31">
        <f t="shared" si="289"/>
        <v>0</v>
      </c>
      <c r="AY398" s="31">
        <f t="shared" si="290"/>
        <v>0</v>
      </c>
      <c r="AZ398" s="31">
        <f t="shared" si="291"/>
        <v>0</v>
      </c>
      <c r="BA398" s="31">
        <f t="shared" si="292"/>
        <v>0</v>
      </c>
      <c r="BB398" s="31">
        <f t="shared" si="321"/>
        <v>0</v>
      </c>
      <c r="BM398" s="8">
        <f t="shared" si="322"/>
        <v>0</v>
      </c>
      <c r="BN398" s="8">
        <f t="shared" si="293"/>
        <v>0</v>
      </c>
      <c r="BO398" s="8">
        <f t="shared" si="294"/>
        <v>0</v>
      </c>
      <c r="BQ398" s="8">
        <f t="shared" si="295"/>
        <v>0</v>
      </c>
      <c r="BR398" s="63">
        <f t="shared" si="296"/>
        <v>0</v>
      </c>
      <c r="BS398" s="63">
        <f t="shared" si="323"/>
        <v>0</v>
      </c>
      <c r="BT398" s="63">
        <f t="shared" si="297"/>
        <v>0</v>
      </c>
      <c r="BU398" s="63">
        <f t="shared" si="298"/>
        <v>0</v>
      </c>
      <c r="BV398" s="57">
        <f t="shared" si="299"/>
        <v>0</v>
      </c>
      <c r="BW398" s="57">
        <f t="shared" si="300"/>
        <v>0</v>
      </c>
      <c r="BX398" s="57">
        <f t="shared" si="324"/>
        <v>0</v>
      </c>
      <c r="BY398" s="57">
        <f t="shared" si="282"/>
        <v>0</v>
      </c>
      <c r="BZ398" s="8">
        <f t="shared" si="301"/>
        <v>0</v>
      </c>
      <c r="CA398" s="8">
        <f t="shared" si="302"/>
        <v>0</v>
      </c>
      <c r="CB398" s="8">
        <f t="shared" si="303"/>
        <v>0</v>
      </c>
      <c r="CC398" s="8">
        <f t="shared" si="304"/>
        <v>0</v>
      </c>
      <c r="CD398" s="8">
        <f t="shared" si="305"/>
        <v>0</v>
      </c>
      <c r="CE398" s="8">
        <f t="shared" si="306"/>
        <v>0</v>
      </c>
      <c r="CF398" s="8">
        <f t="shared" si="307"/>
        <v>0</v>
      </c>
      <c r="CG398" s="8">
        <f t="shared" si="308"/>
        <v>0</v>
      </c>
      <c r="CH398" s="8">
        <f t="shared" si="309"/>
        <v>0</v>
      </c>
      <c r="CI398" s="8">
        <f t="shared" si="310"/>
        <v>0</v>
      </c>
      <c r="CJ398" s="8">
        <f t="shared" si="311"/>
        <v>0</v>
      </c>
      <c r="CK398" s="8">
        <f t="shared" si="312"/>
        <v>0</v>
      </c>
      <c r="CL398" s="8">
        <f t="shared" si="313"/>
        <v>0</v>
      </c>
      <c r="CM398" s="8">
        <f t="shared" si="314"/>
        <v>0</v>
      </c>
      <c r="CN398" s="8">
        <f t="shared" si="315"/>
        <v>0</v>
      </c>
      <c r="CO398" s="8">
        <f t="shared" si="316"/>
        <v>0</v>
      </c>
      <c r="CP398" s="8">
        <f t="shared" si="317"/>
        <v>0</v>
      </c>
      <c r="CQ398" s="8">
        <f t="shared" si="318"/>
        <v>0</v>
      </c>
      <c r="CR398" s="8">
        <f t="shared" si="319"/>
        <v>0</v>
      </c>
      <c r="CS398" s="8">
        <f t="shared" si="320"/>
        <v>0</v>
      </c>
      <c r="CT398" s="8">
        <f t="shared" si="325"/>
        <v>0</v>
      </c>
      <c r="CU398" s="8">
        <f t="shared" si="326"/>
        <v>0</v>
      </c>
      <c r="CV398" s="8">
        <f t="shared" si="327"/>
        <v>0</v>
      </c>
    </row>
    <row r="399" spans="1:100" ht="20.5" thickTop="1" thickBot="1" x14ac:dyDescent="0.5">
      <c r="A399" s="32"/>
      <c r="B399" s="10"/>
      <c r="C399" s="10"/>
      <c r="D399" s="11"/>
      <c r="E399" s="10"/>
      <c r="F399" s="10"/>
      <c r="G399" s="19"/>
      <c r="H399" s="19"/>
      <c r="I399" s="19"/>
      <c r="J399" s="19"/>
      <c r="K399" s="10"/>
      <c r="L399" s="10"/>
      <c r="M399" s="10"/>
      <c r="N399" s="10"/>
      <c r="O399" s="18"/>
      <c r="P399" s="18"/>
      <c r="Q399" s="21"/>
      <c r="R399" s="20"/>
      <c r="S399" s="16">
        <f t="shared" si="283"/>
        <v>0</v>
      </c>
      <c r="T399" s="11"/>
      <c r="AS399" s="31">
        <f t="shared" si="284"/>
        <v>0</v>
      </c>
      <c r="AT399" s="31">
        <f t="shared" si="285"/>
        <v>0</v>
      </c>
      <c r="AU399" s="31">
        <f t="shared" si="286"/>
        <v>0</v>
      </c>
      <c r="AV399" s="31">
        <f t="shared" si="287"/>
        <v>0</v>
      </c>
      <c r="AW399" s="31">
        <f t="shared" si="288"/>
        <v>0</v>
      </c>
      <c r="AX399" s="31">
        <f t="shared" si="289"/>
        <v>0</v>
      </c>
      <c r="AY399" s="31">
        <f t="shared" si="290"/>
        <v>0</v>
      </c>
      <c r="AZ399" s="31">
        <f t="shared" si="291"/>
        <v>0</v>
      </c>
      <c r="BA399" s="31">
        <f t="shared" si="292"/>
        <v>0</v>
      </c>
      <c r="BB399" s="31">
        <f t="shared" si="321"/>
        <v>0</v>
      </c>
      <c r="BM399" s="8">
        <f t="shared" si="322"/>
        <v>0</v>
      </c>
      <c r="BN399" s="8">
        <f t="shared" si="293"/>
        <v>0</v>
      </c>
      <c r="BO399" s="8">
        <f t="shared" si="294"/>
        <v>0</v>
      </c>
      <c r="BQ399" s="8">
        <f t="shared" si="295"/>
        <v>0</v>
      </c>
      <c r="BR399" s="63">
        <f t="shared" si="296"/>
        <v>0</v>
      </c>
      <c r="BS399" s="63">
        <f t="shared" si="323"/>
        <v>0</v>
      </c>
      <c r="BT399" s="63">
        <f t="shared" si="297"/>
        <v>0</v>
      </c>
      <c r="BU399" s="63">
        <f t="shared" si="298"/>
        <v>0</v>
      </c>
      <c r="BV399" s="57">
        <f t="shared" si="299"/>
        <v>0</v>
      </c>
      <c r="BW399" s="57">
        <f t="shared" si="300"/>
        <v>0</v>
      </c>
      <c r="BX399" s="57">
        <f t="shared" si="324"/>
        <v>0</v>
      </c>
      <c r="BY399" s="57">
        <f t="shared" si="282"/>
        <v>0</v>
      </c>
      <c r="BZ399" s="8">
        <f t="shared" si="301"/>
        <v>0</v>
      </c>
      <c r="CA399" s="8">
        <f t="shared" si="302"/>
        <v>0</v>
      </c>
      <c r="CB399" s="8">
        <f t="shared" si="303"/>
        <v>0</v>
      </c>
      <c r="CC399" s="8">
        <f t="shared" si="304"/>
        <v>0</v>
      </c>
      <c r="CD399" s="8">
        <f t="shared" si="305"/>
        <v>0</v>
      </c>
      <c r="CE399" s="8">
        <f t="shared" si="306"/>
        <v>0</v>
      </c>
      <c r="CF399" s="8">
        <f t="shared" si="307"/>
        <v>0</v>
      </c>
      <c r="CG399" s="8">
        <f t="shared" si="308"/>
        <v>0</v>
      </c>
      <c r="CH399" s="8">
        <f t="shared" si="309"/>
        <v>0</v>
      </c>
      <c r="CI399" s="8">
        <f t="shared" si="310"/>
        <v>0</v>
      </c>
      <c r="CJ399" s="8">
        <f t="shared" si="311"/>
        <v>0</v>
      </c>
      <c r="CK399" s="8">
        <f t="shared" si="312"/>
        <v>0</v>
      </c>
      <c r="CL399" s="8">
        <f t="shared" si="313"/>
        <v>0</v>
      </c>
      <c r="CM399" s="8">
        <f t="shared" si="314"/>
        <v>0</v>
      </c>
      <c r="CN399" s="8">
        <f t="shared" si="315"/>
        <v>0</v>
      </c>
      <c r="CO399" s="8">
        <f t="shared" si="316"/>
        <v>0</v>
      </c>
      <c r="CP399" s="8">
        <f t="shared" si="317"/>
        <v>0</v>
      </c>
      <c r="CQ399" s="8">
        <f t="shared" si="318"/>
        <v>0</v>
      </c>
      <c r="CR399" s="8">
        <f t="shared" si="319"/>
        <v>0</v>
      </c>
      <c r="CS399" s="8">
        <f t="shared" si="320"/>
        <v>0</v>
      </c>
      <c r="CT399" s="8">
        <f t="shared" si="325"/>
        <v>0</v>
      </c>
      <c r="CU399" s="8">
        <f t="shared" si="326"/>
        <v>0</v>
      </c>
      <c r="CV399" s="8">
        <f t="shared" si="327"/>
        <v>0</v>
      </c>
    </row>
    <row r="400" spans="1:100" ht="20.5" thickTop="1" thickBot="1" x14ac:dyDescent="0.5">
      <c r="A400" s="32"/>
      <c r="B400" s="10"/>
      <c r="C400" s="10"/>
      <c r="D400" s="11"/>
      <c r="E400" s="10"/>
      <c r="F400" s="10"/>
      <c r="G400" s="19"/>
      <c r="H400" s="19"/>
      <c r="I400" s="19"/>
      <c r="J400" s="19"/>
      <c r="K400" s="10"/>
      <c r="L400" s="10"/>
      <c r="M400" s="10"/>
      <c r="N400" s="10"/>
      <c r="O400" s="18"/>
      <c r="P400" s="18"/>
      <c r="Q400" s="21"/>
      <c r="R400" s="20"/>
      <c r="S400" s="16">
        <f t="shared" si="283"/>
        <v>0</v>
      </c>
      <c r="T400" s="11"/>
      <c r="AS400" s="31">
        <f t="shared" si="284"/>
        <v>0</v>
      </c>
      <c r="AT400" s="31">
        <f t="shared" si="285"/>
        <v>0</v>
      </c>
      <c r="AU400" s="31">
        <f t="shared" si="286"/>
        <v>0</v>
      </c>
      <c r="AV400" s="31">
        <f t="shared" si="287"/>
        <v>0</v>
      </c>
      <c r="AW400" s="31">
        <f t="shared" si="288"/>
        <v>0</v>
      </c>
      <c r="AX400" s="31">
        <f t="shared" si="289"/>
        <v>0</v>
      </c>
      <c r="AY400" s="31">
        <f t="shared" si="290"/>
        <v>0</v>
      </c>
      <c r="AZ400" s="31">
        <f t="shared" si="291"/>
        <v>0</v>
      </c>
      <c r="BA400" s="31">
        <f t="shared" si="292"/>
        <v>0</v>
      </c>
      <c r="BB400" s="31">
        <f t="shared" si="321"/>
        <v>0</v>
      </c>
      <c r="BM400" s="8">
        <f t="shared" si="322"/>
        <v>0</v>
      </c>
      <c r="BN400" s="8">
        <f t="shared" si="293"/>
        <v>0</v>
      </c>
      <c r="BO400" s="8">
        <f t="shared" si="294"/>
        <v>0</v>
      </c>
      <c r="BQ400" s="8">
        <f t="shared" si="295"/>
        <v>0</v>
      </c>
      <c r="BR400" s="63">
        <f t="shared" si="296"/>
        <v>0</v>
      </c>
      <c r="BS400" s="63">
        <f t="shared" si="323"/>
        <v>0</v>
      </c>
      <c r="BT400" s="63">
        <f t="shared" si="297"/>
        <v>0</v>
      </c>
      <c r="BU400" s="63">
        <f t="shared" si="298"/>
        <v>0</v>
      </c>
      <c r="BV400" s="57">
        <f t="shared" si="299"/>
        <v>0</v>
      </c>
      <c r="BW400" s="57">
        <f t="shared" si="300"/>
        <v>0</v>
      </c>
      <c r="BX400" s="57">
        <f t="shared" si="324"/>
        <v>0</v>
      </c>
      <c r="BY400" s="57">
        <f t="shared" si="282"/>
        <v>0</v>
      </c>
      <c r="BZ400" s="8">
        <f t="shared" si="301"/>
        <v>0</v>
      </c>
      <c r="CA400" s="8">
        <f t="shared" si="302"/>
        <v>0</v>
      </c>
      <c r="CB400" s="8">
        <f t="shared" si="303"/>
        <v>0</v>
      </c>
      <c r="CC400" s="8">
        <f t="shared" si="304"/>
        <v>0</v>
      </c>
      <c r="CD400" s="8">
        <f t="shared" si="305"/>
        <v>0</v>
      </c>
      <c r="CE400" s="8">
        <f t="shared" si="306"/>
        <v>0</v>
      </c>
      <c r="CF400" s="8">
        <f t="shared" si="307"/>
        <v>0</v>
      </c>
      <c r="CG400" s="8">
        <f t="shared" si="308"/>
        <v>0</v>
      </c>
      <c r="CH400" s="8">
        <f t="shared" si="309"/>
        <v>0</v>
      </c>
      <c r="CI400" s="8">
        <f t="shared" si="310"/>
        <v>0</v>
      </c>
      <c r="CJ400" s="8">
        <f t="shared" si="311"/>
        <v>0</v>
      </c>
      <c r="CK400" s="8">
        <f t="shared" si="312"/>
        <v>0</v>
      </c>
      <c r="CL400" s="8">
        <f t="shared" si="313"/>
        <v>0</v>
      </c>
      <c r="CM400" s="8">
        <f t="shared" si="314"/>
        <v>0</v>
      </c>
      <c r="CN400" s="8">
        <f t="shared" si="315"/>
        <v>0</v>
      </c>
      <c r="CO400" s="8">
        <f t="shared" si="316"/>
        <v>0</v>
      </c>
      <c r="CP400" s="8">
        <f t="shared" si="317"/>
        <v>0</v>
      </c>
      <c r="CQ400" s="8">
        <f t="shared" si="318"/>
        <v>0</v>
      </c>
      <c r="CR400" s="8">
        <f t="shared" si="319"/>
        <v>0</v>
      </c>
      <c r="CS400" s="8">
        <f t="shared" si="320"/>
        <v>0</v>
      </c>
      <c r="CT400" s="8">
        <f t="shared" si="325"/>
        <v>0</v>
      </c>
      <c r="CU400" s="8">
        <f t="shared" si="326"/>
        <v>0</v>
      </c>
      <c r="CV400" s="8">
        <f t="shared" si="327"/>
        <v>0</v>
      </c>
    </row>
    <row r="401" spans="1:100" ht="20.5" thickTop="1" thickBot="1" x14ac:dyDescent="0.5">
      <c r="A401" s="32"/>
      <c r="B401" s="10"/>
      <c r="C401" s="10"/>
      <c r="D401" s="11"/>
      <c r="E401" s="10"/>
      <c r="F401" s="10"/>
      <c r="G401" s="19"/>
      <c r="H401" s="19"/>
      <c r="I401" s="19"/>
      <c r="J401" s="19"/>
      <c r="K401" s="10"/>
      <c r="L401" s="10"/>
      <c r="M401" s="10"/>
      <c r="N401" s="10"/>
      <c r="O401" s="18"/>
      <c r="P401" s="18"/>
      <c r="Q401" s="21"/>
      <c r="R401" s="20"/>
      <c r="S401" s="16">
        <f t="shared" si="283"/>
        <v>0</v>
      </c>
      <c r="T401" s="11"/>
      <c r="AS401" s="31">
        <f t="shared" si="284"/>
        <v>0</v>
      </c>
      <c r="AT401" s="31">
        <f t="shared" si="285"/>
        <v>0</v>
      </c>
      <c r="AU401" s="31">
        <f t="shared" si="286"/>
        <v>0</v>
      </c>
      <c r="AV401" s="31">
        <f t="shared" si="287"/>
        <v>0</v>
      </c>
      <c r="AW401" s="31">
        <f t="shared" si="288"/>
        <v>0</v>
      </c>
      <c r="AX401" s="31">
        <f t="shared" si="289"/>
        <v>0</v>
      </c>
      <c r="AY401" s="31">
        <f t="shared" si="290"/>
        <v>0</v>
      </c>
      <c r="AZ401" s="31">
        <f t="shared" si="291"/>
        <v>0</v>
      </c>
      <c r="BA401" s="31">
        <f t="shared" si="292"/>
        <v>0</v>
      </c>
      <c r="BB401" s="31">
        <f t="shared" si="321"/>
        <v>0</v>
      </c>
      <c r="BM401" s="8">
        <f t="shared" si="322"/>
        <v>0</v>
      </c>
      <c r="BN401" s="8">
        <f t="shared" si="293"/>
        <v>0</v>
      </c>
      <c r="BO401" s="8">
        <f t="shared" si="294"/>
        <v>0</v>
      </c>
      <c r="BQ401" s="8">
        <f t="shared" si="295"/>
        <v>0</v>
      </c>
      <c r="BR401" s="63">
        <f t="shared" si="296"/>
        <v>0</v>
      </c>
      <c r="BS401" s="63">
        <f t="shared" si="323"/>
        <v>0</v>
      </c>
      <c r="BT401" s="63">
        <f t="shared" si="297"/>
        <v>0</v>
      </c>
      <c r="BU401" s="63">
        <f t="shared" si="298"/>
        <v>0</v>
      </c>
      <c r="BV401" s="57">
        <f t="shared" si="299"/>
        <v>0</v>
      </c>
      <c r="BW401" s="57">
        <f t="shared" si="300"/>
        <v>0</v>
      </c>
      <c r="BX401" s="57">
        <f t="shared" si="324"/>
        <v>0</v>
      </c>
      <c r="BY401" s="57">
        <f t="shared" si="282"/>
        <v>0</v>
      </c>
      <c r="BZ401" s="8">
        <f t="shared" si="301"/>
        <v>0</v>
      </c>
      <c r="CA401" s="8">
        <f t="shared" si="302"/>
        <v>0</v>
      </c>
      <c r="CB401" s="8">
        <f t="shared" si="303"/>
        <v>0</v>
      </c>
      <c r="CC401" s="8">
        <f t="shared" si="304"/>
        <v>0</v>
      </c>
      <c r="CD401" s="8">
        <f t="shared" si="305"/>
        <v>0</v>
      </c>
      <c r="CE401" s="8">
        <f t="shared" si="306"/>
        <v>0</v>
      </c>
      <c r="CF401" s="8">
        <f t="shared" si="307"/>
        <v>0</v>
      </c>
      <c r="CG401" s="8">
        <f t="shared" si="308"/>
        <v>0</v>
      </c>
      <c r="CH401" s="8">
        <f t="shared" si="309"/>
        <v>0</v>
      </c>
      <c r="CI401" s="8">
        <f t="shared" si="310"/>
        <v>0</v>
      </c>
      <c r="CJ401" s="8">
        <f t="shared" si="311"/>
        <v>0</v>
      </c>
      <c r="CK401" s="8">
        <f t="shared" si="312"/>
        <v>0</v>
      </c>
      <c r="CL401" s="8">
        <f t="shared" si="313"/>
        <v>0</v>
      </c>
      <c r="CM401" s="8">
        <f t="shared" si="314"/>
        <v>0</v>
      </c>
      <c r="CN401" s="8">
        <f t="shared" si="315"/>
        <v>0</v>
      </c>
      <c r="CO401" s="8">
        <f t="shared" si="316"/>
        <v>0</v>
      </c>
      <c r="CP401" s="8">
        <f t="shared" si="317"/>
        <v>0</v>
      </c>
      <c r="CQ401" s="8">
        <f t="shared" si="318"/>
        <v>0</v>
      </c>
      <c r="CR401" s="8">
        <f t="shared" si="319"/>
        <v>0</v>
      </c>
      <c r="CS401" s="8">
        <f t="shared" si="320"/>
        <v>0</v>
      </c>
      <c r="CT401" s="8">
        <f t="shared" si="325"/>
        <v>0</v>
      </c>
      <c r="CU401" s="8">
        <f t="shared" si="326"/>
        <v>0</v>
      </c>
      <c r="CV401" s="8">
        <f t="shared" si="327"/>
        <v>0</v>
      </c>
    </row>
    <row r="402" spans="1:100" ht="20.5" thickTop="1" thickBot="1" x14ac:dyDescent="0.5">
      <c r="A402" s="32"/>
      <c r="B402" s="10"/>
      <c r="C402" s="10"/>
      <c r="D402" s="11"/>
      <c r="E402" s="10"/>
      <c r="F402" s="10"/>
      <c r="G402" s="19"/>
      <c r="H402" s="19"/>
      <c r="I402" s="19"/>
      <c r="J402" s="19"/>
      <c r="K402" s="10"/>
      <c r="L402" s="10"/>
      <c r="M402" s="10"/>
      <c r="N402" s="10"/>
      <c r="O402" s="18"/>
      <c r="P402" s="18"/>
      <c r="Q402" s="21"/>
      <c r="R402" s="20"/>
      <c r="S402" s="16">
        <f t="shared" si="283"/>
        <v>0</v>
      </c>
      <c r="T402" s="11"/>
      <c r="AS402" s="31">
        <f t="shared" si="284"/>
        <v>0</v>
      </c>
      <c r="AT402" s="31">
        <f t="shared" si="285"/>
        <v>0</v>
      </c>
      <c r="AU402" s="31">
        <f t="shared" si="286"/>
        <v>0</v>
      </c>
      <c r="AV402" s="31">
        <f t="shared" si="287"/>
        <v>0</v>
      </c>
      <c r="AW402" s="31">
        <f t="shared" si="288"/>
        <v>0</v>
      </c>
      <c r="AX402" s="31">
        <f t="shared" si="289"/>
        <v>0</v>
      </c>
      <c r="AY402" s="31">
        <f t="shared" si="290"/>
        <v>0</v>
      </c>
      <c r="AZ402" s="31">
        <f t="shared" si="291"/>
        <v>0</v>
      </c>
      <c r="BA402" s="31">
        <f t="shared" si="292"/>
        <v>0</v>
      </c>
      <c r="BB402" s="31">
        <f t="shared" si="321"/>
        <v>0</v>
      </c>
      <c r="BM402" s="8">
        <f t="shared" si="322"/>
        <v>0</v>
      </c>
      <c r="BN402" s="8">
        <f t="shared" si="293"/>
        <v>0</v>
      </c>
      <c r="BO402" s="8">
        <f t="shared" si="294"/>
        <v>0</v>
      </c>
      <c r="BQ402" s="8">
        <f t="shared" si="295"/>
        <v>0</v>
      </c>
      <c r="BR402" s="63">
        <f t="shared" si="296"/>
        <v>0</v>
      </c>
      <c r="BS402" s="63">
        <f t="shared" si="323"/>
        <v>0</v>
      </c>
      <c r="BT402" s="63">
        <f t="shared" si="297"/>
        <v>0</v>
      </c>
      <c r="BU402" s="63">
        <f t="shared" si="298"/>
        <v>0</v>
      </c>
      <c r="BV402" s="57">
        <f t="shared" si="299"/>
        <v>0</v>
      </c>
      <c r="BW402" s="57">
        <f t="shared" si="300"/>
        <v>0</v>
      </c>
      <c r="BX402" s="57">
        <f t="shared" si="324"/>
        <v>0</v>
      </c>
      <c r="BY402" s="57">
        <f t="shared" si="282"/>
        <v>0</v>
      </c>
      <c r="BZ402" s="8">
        <f t="shared" si="301"/>
        <v>0</v>
      </c>
      <c r="CA402" s="8">
        <f t="shared" si="302"/>
        <v>0</v>
      </c>
      <c r="CB402" s="8">
        <f t="shared" si="303"/>
        <v>0</v>
      </c>
      <c r="CC402" s="8">
        <f t="shared" si="304"/>
        <v>0</v>
      </c>
      <c r="CD402" s="8">
        <f t="shared" si="305"/>
        <v>0</v>
      </c>
      <c r="CE402" s="8">
        <f t="shared" si="306"/>
        <v>0</v>
      </c>
      <c r="CF402" s="8">
        <f t="shared" si="307"/>
        <v>0</v>
      </c>
      <c r="CG402" s="8">
        <f t="shared" si="308"/>
        <v>0</v>
      </c>
      <c r="CH402" s="8">
        <f t="shared" si="309"/>
        <v>0</v>
      </c>
      <c r="CI402" s="8">
        <f t="shared" si="310"/>
        <v>0</v>
      </c>
      <c r="CJ402" s="8">
        <f t="shared" si="311"/>
        <v>0</v>
      </c>
      <c r="CK402" s="8">
        <f t="shared" si="312"/>
        <v>0</v>
      </c>
      <c r="CL402" s="8">
        <f t="shared" si="313"/>
        <v>0</v>
      </c>
      <c r="CM402" s="8">
        <f t="shared" si="314"/>
        <v>0</v>
      </c>
      <c r="CN402" s="8">
        <f t="shared" si="315"/>
        <v>0</v>
      </c>
      <c r="CO402" s="8">
        <f t="shared" si="316"/>
        <v>0</v>
      </c>
      <c r="CP402" s="8">
        <f t="shared" si="317"/>
        <v>0</v>
      </c>
      <c r="CQ402" s="8">
        <f t="shared" si="318"/>
        <v>0</v>
      </c>
      <c r="CR402" s="8">
        <f t="shared" si="319"/>
        <v>0</v>
      </c>
      <c r="CS402" s="8">
        <f t="shared" si="320"/>
        <v>0</v>
      </c>
      <c r="CT402" s="8">
        <f t="shared" si="325"/>
        <v>0</v>
      </c>
      <c r="CU402" s="8">
        <f t="shared" si="326"/>
        <v>0</v>
      </c>
      <c r="CV402" s="8">
        <f t="shared" si="327"/>
        <v>0</v>
      </c>
    </row>
    <row r="403" spans="1:100" ht="20.5" thickTop="1" thickBot="1" x14ac:dyDescent="0.5">
      <c r="A403" s="32"/>
      <c r="B403" s="10"/>
      <c r="C403" s="10"/>
      <c r="D403" s="11"/>
      <c r="E403" s="10"/>
      <c r="F403" s="10"/>
      <c r="G403" s="19"/>
      <c r="H403" s="19"/>
      <c r="I403" s="19"/>
      <c r="J403" s="19"/>
      <c r="K403" s="10"/>
      <c r="L403" s="10"/>
      <c r="M403" s="10"/>
      <c r="N403" s="10"/>
      <c r="O403" s="18"/>
      <c r="P403" s="18"/>
      <c r="Q403" s="21"/>
      <c r="R403" s="20"/>
      <c r="S403" s="16">
        <f t="shared" si="283"/>
        <v>0</v>
      </c>
      <c r="T403" s="11"/>
      <c r="AS403" s="31">
        <f t="shared" si="284"/>
        <v>0</v>
      </c>
      <c r="AT403" s="31">
        <f t="shared" si="285"/>
        <v>0</v>
      </c>
      <c r="AU403" s="31">
        <f t="shared" si="286"/>
        <v>0</v>
      </c>
      <c r="AV403" s="31">
        <f t="shared" si="287"/>
        <v>0</v>
      </c>
      <c r="AW403" s="31">
        <f t="shared" si="288"/>
        <v>0</v>
      </c>
      <c r="AX403" s="31">
        <f t="shared" si="289"/>
        <v>0</v>
      </c>
      <c r="AY403" s="31">
        <f t="shared" si="290"/>
        <v>0</v>
      </c>
      <c r="AZ403" s="31">
        <f t="shared" si="291"/>
        <v>0</v>
      </c>
      <c r="BA403" s="31">
        <f t="shared" si="292"/>
        <v>0</v>
      </c>
      <c r="BB403" s="31">
        <f t="shared" si="321"/>
        <v>0</v>
      </c>
      <c r="BM403" s="8">
        <f t="shared" si="322"/>
        <v>0</v>
      </c>
      <c r="BN403" s="8">
        <f t="shared" si="293"/>
        <v>0</v>
      </c>
      <c r="BO403" s="8">
        <f t="shared" si="294"/>
        <v>0</v>
      </c>
      <c r="BQ403" s="8">
        <f t="shared" si="295"/>
        <v>0</v>
      </c>
      <c r="BR403" s="63">
        <f t="shared" si="296"/>
        <v>0</v>
      </c>
      <c r="BS403" s="63">
        <f t="shared" si="323"/>
        <v>0</v>
      </c>
      <c r="BT403" s="63">
        <f t="shared" si="297"/>
        <v>0</v>
      </c>
      <c r="BU403" s="63">
        <f t="shared" si="298"/>
        <v>0</v>
      </c>
      <c r="BV403" s="57">
        <f t="shared" si="299"/>
        <v>0</v>
      </c>
      <c r="BW403" s="57">
        <f t="shared" si="300"/>
        <v>0</v>
      </c>
      <c r="BX403" s="57">
        <f t="shared" si="324"/>
        <v>0</v>
      </c>
      <c r="BY403" s="57">
        <f t="shared" si="282"/>
        <v>0</v>
      </c>
      <c r="BZ403" s="8">
        <f t="shared" si="301"/>
        <v>0</v>
      </c>
      <c r="CA403" s="8">
        <f t="shared" si="302"/>
        <v>0</v>
      </c>
      <c r="CB403" s="8">
        <f t="shared" si="303"/>
        <v>0</v>
      </c>
      <c r="CC403" s="8">
        <f t="shared" si="304"/>
        <v>0</v>
      </c>
      <c r="CD403" s="8">
        <f t="shared" si="305"/>
        <v>0</v>
      </c>
      <c r="CE403" s="8">
        <f t="shared" si="306"/>
        <v>0</v>
      </c>
      <c r="CF403" s="8">
        <f t="shared" si="307"/>
        <v>0</v>
      </c>
      <c r="CG403" s="8">
        <f t="shared" si="308"/>
        <v>0</v>
      </c>
      <c r="CH403" s="8">
        <f t="shared" si="309"/>
        <v>0</v>
      </c>
      <c r="CI403" s="8">
        <f t="shared" si="310"/>
        <v>0</v>
      </c>
      <c r="CJ403" s="8">
        <f t="shared" si="311"/>
        <v>0</v>
      </c>
      <c r="CK403" s="8">
        <f t="shared" si="312"/>
        <v>0</v>
      </c>
      <c r="CL403" s="8">
        <f t="shared" si="313"/>
        <v>0</v>
      </c>
      <c r="CM403" s="8">
        <f t="shared" si="314"/>
        <v>0</v>
      </c>
      <c r="CN403" s="8">
        <f t="shared" si="315"/>
        <v>0</v>
      </c>
      <c r="CO403" s="8">
        <f t="shared" si="316"/>
        <v>0</v>
      </c>
      <c r="CP403" s="8">
        <f t="shared" si="317"/>
        <v>0</v>
      </c>
      <c r="CQ403" s="8">
        <f t="shared" si="318"/>
        <v>0</v>
      </c>
      <c r="CR403" s="8">
        <f t="shared" si="319"/>
        <v>0</v>
      </c>
      <c r="CS403" s="8">
        <f t="shared" si="320"/>
        <v>0</v>
      </c>
      <c r="CT403" s="8">
        <f t="shared" si="325"/>
        <v>0</v>
      </c>
      <c r="CU403" s="8">
        <f t="shared" si="326"/>
        <v>0</v>
      </c>
      <c r="CV403" s="8">
        <f t="shared" si="327"/>
        <v>0</v>
      </c>
    </row>
    <row r="404" spans="1:100" ht="20.5" thickTop="1" thickBot="1" x14ac:dyDescent="0.5">
      <c r="A404" s="32"/>
      <c r="B404" s="10"/>
      <c r="C404" s="10"/>
      <c r="D404" s="11"/>
      <c r="E404" s="10"/>
      <c r="F404" s="10"/>
      <c r="G404" s="19"/>
      <c r="H404" s="19"/>
      <c r="I404" s="19"/>
      <c r="J404" s="19"/>
      <c r="K404" s="10"/>
      <c r="L404" s="10"/>
      <c r="M404" s="10"/>
      <c r="N404" s="10"/>
      <c r="O404" s="18"/>
      <c r="P404" s="18"/>
      <c r="Q404" s="21"/>
      <c r="R404" s="20"/>
      <c r="S404" s="16">
        <f t="shared" si="283"/>
        <v>0</v>
      </c>
      <c r="T404" s="11"/>
      <c r="AS404" s="31">
        <f t="shared" si="284"/>
        <v>0</v>
      </c>
      <c r="AT404" s="31">
        <f t="shared" si="285"/>
        <v>0</v>
      </c>
      <c r="AU404" s="31">
        <f t="shared" si="286"/>
        <v>0</v>
      </c>
      <c r="AV404" s="31">
        <f t="shared" si="287"/>
        <v>0</v>
      </c>
      <c r="AW404" s="31">
        <f t="shared" si="288"/>
        <v>0</v>
      </c>
      <c r="AX404" s="31">
        <f t="shared" si="289"/>
        <v>0</v>
      </c>
      <c r="AY404" s="31">
        <f t="shared" si="290"/>
        <v>0</v>
      </c>
      <c r="AZ404" s="31">
        <f t="shared" si="291"/>
        <v>0</v>
      </c>
      <c r="BA404" s="31">
        <f t="shared" si="292"/>
        <v>0</v>
      </c>
      <c r="BB404" s="31">
        <f t="shared" si="321"/>
        <v>0</v>
      </c>
      <c r="BM404" s="8">
        <f t="shared" si="322"/>
        <v>0</v>
      </c>
      <c r="BN404" s="8">
        <f t="shared" si="293"/>
        <v>0</v>
      </c>
      <c r="BO404" s="8">
        <f t="shared" si="294"/>
        <v>0</v>
      </c>
      <c r="BQ404" s="8">
        <f t="shared" si="295"/>
        <v>0</v>
      </c>
      <c r="BR404" s="63">
        <f t="shared" si="296"/>
        <v>0</v>
      </c>
      <c r="BS404" s="63">
        <f t="shared" si="323"/>
        <v>0</v>
      </c>
      <c r="BT404" s="63">
        <f t="shared" si="297"/>
        <v>0</v>
      </c>
      <c r="BU404" s="63">
        <f t="shared" si="298"/>
        <v>0</v>
      </c>
      <c r="BV404" s="57">
        <f t="shared" si="299"/>
        <v>0</v>
      </c>
      <c r="BW404" s="57">
        <f t="shared" si="300"/>
        <v>0</v>
      </c>
      <c r="BX404" s="57">
        <f t="shared" si="324"/>
        <v>0</v>
      </c>
      <c r="BY404" s="57">
        <f t="shared" si="282"/>
        <v>0</v>
      </c>
      <c r="BZ404" s="8">
        <f t="shared" si="301"/>
        <v>0</v>
      </c>
      <c r="CA404" s="8">
        <f t="shared" si="302"/>
        <v>0</v>
      </c>
      <c r="CB404" s="8">
        <f t="shared" si="303"/>
        <v>0</v>
      </c>
      <c r="CC404" s="8">
        <f t="shared" si="304"/>
        <v>0</v>
      </c>
      <c r="CD404" s="8">
        <f t="shared" si="305"/>
        <v>0</v>
      </c>
      <c r="CE404" s="8">
        <f t="shared" si="306"/>
        <v>0</v>
      </c>
      <c r="CF404" s="8">
        <f t="shared" si="307"/>
        <v>0</v>
      </c>
      <c r="CG404" s="8">
        <f t="shared" si="308"/>
        <v>0</v>
      </c>
      <c r="CH404" s="8">
        <f t="shared" si="309"/>
        <v>0</v>
      </c>
      <c r="CI404" s="8">
        <f t="shared" si="310"/>
        <v>0</v>
      </c>
      <c r="CJ404" s="8">
        <f t="shared" si="311"/>
        <v>0</v>
      </c>
      <c r="CK404" s="8">
        <f t="shared" si="312"/>
        <v>0</v>
      </c>
      <c r="CL404" s="8">
        <f t="shared" si="313"/>
        <v>0</v>
      </c>
      <c r="CM404" s="8">
        <f t="shared" si="314"/>
        <v>0</v>
      </c>
      <c r="CN404" s="8">
        <f t="shared" si="315"/>
        <v>0</v>
      </c>
      <c r="CO404" s="8">
        <f t="shared" si="316"/>
        <v>0</v>
      </c>
      <c r="CP404" s="8">
        <f t="shared" si="317"/>
        <v>0</v>
      </c>
      <c r="CQ404" s="8">
        <f t="shared" si="318"/>
        <v>0</v>
      </c>
      <c r="CR404" s="8">
        <f t="shared" si="319"/>
        <v>0</v>
      </c>
      <c r="CS404" s="8">
        <f t="shared" si="320"/>
        <v>0</v>
      </c>
      <c r="CT404" s="8">
        <f t="shared" si="325"/>
        <v>0</v>
      </c>
      <c r="CU404" s="8">
        <f t="shared" si="326"/>
        <v>0</v>
      </c>
      <c r="CV404" s="8">
        <f t="shared" si="327"/>
        <v>0</v>
      </c>
    </row>
    <row r="405" spans="1:100" ht="20.5" thickTop="1" thickBot="1" x14ac:dyDescent="0.5">
      <c r="A405" s="32"/>
      <c r="B405" s="10"/>
      <c r="C405" s="10"/>
      <c r="D405" s="11"/>
      <c r="E405" s="10"/>
      <c r="F405" s="10"/>
      <c r="G405" s="19"/>
      <c r="H405" s="19"/>
      <c r="I405" s="19"/>
      <c r="J405" s="19"/>
      <c r="K405" s="10"/>
      <c r="L405" s="10"/>
      <c r="M405" s="10"/>
      <c r="N405" s="10"/>
      <c r="O405" s="18"/>
      <c r="P405" s="18"/>
      <c r="Q405" s="21"/>
      <c r="R405" s="20"/>
      <c r="S405" s="16">
        <f t="shared" si="283"/>
        <v>0</v>
      </c>
      <c r="T405" s="11"/>
      <c r="AS405" s="31">
        <f t="shared" si="284"/>
        <v>0</v>
      </c>
      <c r="AT405" s="31">
        <f t="shared" si="285"/>
        <v>0</v>
      </c>
      <c r="AU405" s="31">
        <f t="shared" si="286"/>
        <v>0</v>
      </c>
      <c r="AV405" s="31">
        <f t="shared" si="287"/>
        <v>0</v>
      </c>
      <c r="AW405" s="31">
        <f t="shared" si="288"/>
        <v>0</v>
      </c>
      <c r="AX405" s="31">
        <f t="shared" si="289"/>
        <v>0</v>
      </c>
      <c r="AY405" s="31">
        <f t="shared" si="290"/>
        <v>0</v>
      </c>
      <c r="AZ405" s="31">
        <f t="shared" si="291"/>
        <v>0</v>
      </c>
      <c r="BA405" s="31">
        <f t="shared" si="292"/>
        <v>0</v>
      </c>
      <c r="BB405" s="31">
        <f t="shared" si="321"/>
        <v>0</v>
      </c>
      <c r="BM405" s="8">
        <f t="shared" si="322"/>
        <v>0</v>
      </c>
      <c r="BN405" s="8">
        <f t="shared" si="293"/>
        <v>0</v>
      </c>
      <c r="BO405" s="8">
        <f t="shared" si="294"/>
        <v>0</v>
      </c>
      <c r="BQ405" s="8">
        <f t="shared" si="295"/>
        <v>0</v>
      </c>
      <c r="BR405" s="63">
        <f t="shared" si="296"/>
        <v>0</v>
      </c>
      <c r="BS405" s="63">
        <f t="shared" si="323"/>
        <v>0</v>
      </c>
      <c r="BT405" s="63">
        <f t="shared" si="297"/>
        <v>0</v>
      </c>
      <c r="BU405" s="63">
        <f t="shared" si="298"/>
        <v>0</v>
      </c>
      <c r="BV405" s="57">
        <f t="shared" si="299"/>
        <v>0</v>
      </c>
      <c r="BW405" s="57">
        <f t="shared" si="300"/>
        <v>0</v>
      </c>
      <c r="BX405" s="57">
        <f t="shared" si="324"/>
        <v>0</v>
      </c>
      <c r="BY405" s="57">
        <f t="shared" si="282"/>
        <v>0</v>
      </c>
      <c r="BZ405" s="8">
        <f t="shared" si="301"/>
        <v>0</v>
      </c>
      <c r="CA405" s="8">
        <f t="shared" si="302"/>
        <v>0</v>
      </c>
      <c r="CB405" s="8">
        <f t="shared" si="303"/>
        <v>0</v>
      </c>
      <c r="CC405" s="8">
        <f t="shared" si="304"/>
        <v>0</v>
      </c>
      <c r="CD405" s="8">
        <f t="shared" si="305"/>
        <v>0</v>
      </c>
      <c r="CE405" s="8">
        <f t="shared" si="306"/>
        <v>0</v>
      </c>
      <c r="CF405" s="8">
        <f t="shared" si="307"/>
        <v>0</v>
      </c>
      <c r="CG405" s="8">
        <f t="shared" si="308"/>
        <v>0</v>
      </c>
      <c r="CH405" s="8">
        <f t="shared" si="309"/>
        <v>0</v>
      </c>
      <c r="CI405" s="8">
        <f t="shared" si="310"/>
        <v>0</v>
      </c>
      <c r="CJ405" s="8">
        <f t="shared" si="311"/>
        <v>0</v>
      </c>
      <c r="CK405" s="8">
        <f t="shared" si="312"/>
        <v>0</v>
      </c>
      <c r="CL405" s="8">
        <f t="shared" si="313"/>
        <v>0</v>
      </c>
      <c r="CM405" s="8">
        <f t="shared" si="314"/>
        <v>0</v>
      </c>
      <c r="CN405" s="8">
        <f t="shared" si="315"/>
        <v>0</v>
      </c>
      <c r="CO405" s="8">
        <f t="shared" si="316"/>
        <v>0</v>
      </c>
      <c r="CP405" s="8">
        <f t="shared" si="317"/>
        <v>0</v>
      </c>
      <c r="CQ405" s="8">
        <f t="shared" si="318"/>
        <v>0</v>
      </c>
      <c r="CR405" s="8">
        <f t="shared" si="319"/>
        <v>0</v>
      </c>
      <c r="CS405" s="8">
        <f t="shared" si="320"/>
        <v>0</v>
      </c>
      <c r="CT405" s="8">
        <f t="shared" si="325"/>
        <v>0</v>
      </c>
      <c r="CU405" s="8">
        <f t="shared" si="326"/>
        <v>0</v>
      </c>
      <c r="CV405" s="8">
        <f t="shared" si="327"/>
        <v>0</v>
      </c>
    </row>
    <row r="406" spans="1:100" ht="20.5" thickTop="1" thickBot="1" x14ac:dyDescent="0.5">
      <c r="A406" s="32"/>
      <c r="B406" s="10"/>
      <c r="C406" s="10"/>
      <c r="D406" s="11"/>
      <c r="E406" s="10"/>
      <c r="F406" s="10"/>
      <c r="G406" s="19"/>
      <c r="H406" s="19"/>
      <c r="I406" s="19"/>
      <c r="J406" s="19"/>
      <c r="K406" s="10"/>
      <c r="L406" s="10"/>
      <c r="M406" s="10"/>
      <c r="N406" s="10"/>
      <c r="O406" s="18"/>
      <c r="P406" s="18"/>
      <c r="Q406" s="21"/>
      <c r="R406" s="20"/>
      <c r="S406" s="16">
        <f t="shared" si="283"/>
        <v>0</v>
      </c>
      <c r="T406" s="11"/>
      <c r="AS406" s="31">
        <f t="shared" si="284"/>
        <v>0</v>
      </c>
      <c r="AT406" s="31">
        <f t="shared" si="285"/>
        <v>0</v>
      </c>
      <c r="AU406" s="31">
        <f t="shared" si="286"/>
        <v>0</v>
      </c>
      <c r="AV406" s="31">
        <f t="shared" si="287"/>
        <v>0</v>
      </c>
      <c r="AW406" s="31">
        <f t="shared" si="288"/>
        <v>0</v>
      </c>
      <c r="AX406" s="31">
        <f t="shared" si="289"/>
        <v>0</v>
      </c>
      <c r="AY406" s="31">
        <f t="shared" si="290"/>
        <v>0</v>
      </c>
      <c r="AZ406" s="31">
        <f t="shared" si="291"/>
        <v>0</v>
      </c>
      <c r="BA406" s="31">
        <f t="shared" si="292"/>
        <v>0</v>
      </c>
      <c r="BB406" s="31">
        <f t="shared" si="321"/>
        <v>0</v>
      </c>
      <c r="BM406" s="8">
        <f t="shared" si="322"/>
        <v>0</v>
      </c>
      <c r="BN406" s="8">
        <f t="shared" si="293"/>
        <v>0</v>
      </c>
      <c r="BO406" s="8">
        <f t="shared" si="294"/>
        <v>0</v>
      </c>
      <c r="BQ406" s="8">
        <f t="shared" si="295"/>
        <v>0</v>
      </c>
      <c r="BR406" s="63">
        <f t="shared" si="296"/>
        <v>0</v>
      </c>
      <c r="BS406" s="63">
        <f t="shared" si="323"/>
        <v>0</v>
      </c>
      <c r="BT406" s="63">
        <f t="shared" si="297"/>
        <v>0</v>
      </c>
      <c r="BU406" s="63">
        <f t="shared" si="298"/>
        <v>0</v>
      </c>
      <c r="BV406" s="57">
        <f t="shared" si="299"/>
        <v>0</v>
      </c>
      <c r="BW406" s="57">
        <f t="shared" si="300"/>
        <v>0</v>
      </c>
      <c r="BX406" s="57">
        <f t="shared" si="324"/>
        <v>0</v>
      </c>
      <c r="BY406" s="57">
        <f t="shared" si="282"/>
        <v>0</v>
      </c>
      <c r="BZ406" s="8">
        <f t="shared" si="301"/>
        <v>0</v>
      </c>
      <c r="CA406" s="8">
        <f t="shared" si="302"/>
        <v>0</v>
      </c>
      <c r="CB406" s="8">
        <f t="shared" si="303"/>
        <v>0</v>
      </c>
      <c r="CC406" s="8">
        <f t="shared" si="304"/>
        <v>0</v>
      </c>
      <c r="CD406" s="8">
        <f t="shared" si="305"/>
        <v>0</v>
      </c>
      <c r="CE406" s="8">
        <f t="shared" si="306"/>
        <v>0</v>
      </c>
      <c r="CF406" s="8">
        <f t="shared" si="307"/>
        <v>0</v>
      </c>
      <c r="CG406" s="8">
        <f t="shared" si="308"/>
        <v>0</v>
      </c>
      <c r="CH406" s="8">
        <f t="shared" si="309"/>
        <v>0</v>
      </c>
      <c r="CI406" s="8">
        <f t="shared" si="310"/>
        <v>0</v>
      </c>
      <c r="CJ406" s="8">
        <f t="shared" si="311"/>
        <v>0</v>
      </c>
      <c r="CK406" s="8">
        <f t="shared" si="312"/>
        <v>0</v>
      </c>
      <c r="CL406" s="8">
        <f t="shared" si="313"/>
        <v>0</v>
      </c>
      <c r="CM406" s="8">
        <f t="shared" si="314"/>
        <v>0</v>
      </c>
      <c r="CN406" s="8">
        <f t="shared" si="315"/>
        <v>0</v>
      </c>
      <c r="CO406" s="8">
        <f t="shared" si="316"/>
        <v>0</v>
      </c>
      <c r="CP406" s="8">
        <f t="shared" si="317"/>
        <v>0</v>
      </c>
      <c r="CQ406" s="8">
        <f t="shared" si="318"/>
        <v>0</v>
      </c>
      <c r="CR406" s="8">
        <f t="shared" si="319"/>
        <v>0</v>
      </c>
      <c r="CS406" s="8">
        <f t="shared" si="320"/>
        <v>0</v>
      </c>
      <c r="CT406" s="8">
        <f t="shared" si="325"/>
        <v>0</v>
      </c>
      <c r="CU406" s="8">
        <f t="shared" si="326"/>
        <v>0</v>
      </c>
      <c r="CV406" s="8">
        <f t="shared" si="327"/>
        <v>0</v>
      </c>
    </row>
    <row r="407" spans="1:100" ht="20.5" thickTop="1" thickBot="1" x14ac:dyDescent="0.5">
      <c r="A407" s="32"/>
      <c r="B407" s="10"/>
      <c r="C407" s="10"/>
      <c r="D407" s="11"/>
      <c r="E407" s="10"/>
      <c r="F407" s="10"/>
      <c r="G407" s="19"/>
      <c r="H407" s="19"/>
      <c r="I407" s="19"/>
      <c r="J407" s="19"/>
      <c r="K407" s="10"/>
      <c r="L407" s="10"/>
      <c r="M407" s="10"/>
      <c r="N407" s="10"/>
      <c r="O407" s="18"/>
      <c r="P407" s="18"/>
      <c r="Q407" s="21"/>
      <c r="R407" s="20"/>
      <c r="S407" s="16">
        <f t="shared" si="283"/>
        <v>0</v>
      </c>
      <c r="T407" s="11"/>
      <c r="AS407" s="31">
        <f t="shared" si="284"/>
        <v>0</v>
      </c>
      <c r="AT407" s="31">
        <f t="shared" si="285"/>
        <v>0</v>
      </c>
      <c r="AU407" s="31">
        <f t="shared" si="286"/>
        <v>0</v>
      </c>
      <c r="AV407" s="31">
        <f t="shared" si="287"/>
        <v>0</v>
      </c>
      <c r="AW407" s="31">
        <f t="shared" si="288"/>
        <v>0</v>
      </c>
      <c r="AX407" s="31">
        <f t="shared" si="289"/>
        <v>0</v>
      </c>
      <c r="AY407" s="31">
        <f t="shared" si="290"/>
        <v>0</v>
      </c>
      <c r="AZ407" s="31">
        <f t="shared" si="291"/>
        <v>0</v>
      </c>
      <c r="BA407" s="31">
        <f t="shared" si="292"/>
        <v>0</v>
      </c>
      <c r="BB407" s="31">
        <f t="shared" si="321"/>
        <v>0</v>
      </c>
      <c r="BM407" s="8">
        <f t="shared" si="322"/>
        <v>0</v>
      </c>
      <c r="BN407" s="8">
        <f t="shared" si="293"/>
        <v>0</v>
      </c>
      <c r="BO407" s="8">
        <f t="shared" si="294"/>
        <v>0</v>
      </c>
      <c r="BQ407" s="8">
        <f t="shared" si="295"/>
        <v>0</v>
      </c>
      <c r="BR407" s="63">
        <f t="shared" si="296"/>
        <v>0</v>
      </c>
      <c r="BS407" s="63">
        <f t="shared" si="323"/>
        <v>0</v>
      </c>
      <c r="BT407" s="63">
        <f t="shared" si="297"/>
        <v>0</v>
      </c>
      <c r="BU407" s="63">
        <f t="shared" si="298"/>
        <v>0</v>
      </c>
      <c r="BV407" s="57">
        <f t="shared" si="299"/>
        <v>0</v>
      </c>
      <c r="BW407" s="57">
        <f t="shared" si="300"/>
        <v>0</v>
      </c>
      <c r="BX407" s="57">
        <f t="shared" si="324"/>
        <v>0</v>
      </c>
      <c r="BY407" s="57">
        <f t="shared" si="282"/>
        <v>0</v>
      </c>
      <c r="BZ407" s="8">
        <f t="shared" si="301"/>
        <v>0</v>
      </c>
      <c r="CA407" s="8">
        <f t="shared" si="302"/>
        <v>0</v>
      </c>
      <c r="CB407" s="8">
        <f t="shared" si="303"/>
        <v>0</v>
      </c>
      <c r="CC407" s="8">
        <f t="shared" si="304"/>
        <v>0</v>
      </c>
      <c r="CD407" s="8">
        <f t="shared" si="305"/>
        <v>0</v>
      </c>
      <c r="CE407" s="8">
        <f t="shared" si="306"/>
        <v>0</v>
      </c>
      <c r="CF407" s="8">
        <f t="shared" si="307"/>
        <v>0</v>
      </c>
      <c r="CG407" s="8">
        <f t="shared" si="308"/>
        <v>0</v>
      </c>
      <c r="CH407" s="8">
        <f t="shared" si="309"/>
        <v>0</v>
      </c>
      <c r="CI407" s="8">
        <f t="shared" si="310"/>
        <v>0</v>
      </c>
      <c r="CJ407" s="8">
        <f t="shared" si="311"/>
        <v>0</v>
      </c>
      <c r="CK407" s="8">
        <f t="shared" si="312"/>
        <v>0</v>
      </c>
      <c r="CL407" s="8">
        <f t="shared" si="313"/>
        <v>0</v>
      </c>
      <c r="CM407" s="8">
        <f t="shared" si="314"/>
        <v>0</v>
      </c>
      <c r="CN407" s="8">
        <f t="shared" si="315"/>
        <v>0</v>
      </c>
      <c r="CO407" s="8">
        <f t="shared" si="316"/>
        <v>0</v>
      </c>
      <c r="CP407" s="8">
        <f t="shared" si="317"/>
        <v>0</v>
      </c>
      <c r="CQ407" s="8">
        <f t="shared" si="318"/>
        <v>0</v>
      </c>
      <c r="CR407" s="8">
        <f t="shared" si="319"/>
        <v>0</v>
      </c>
      <c r="CS407" s="8">
        <f t="shared" si="320"/>
        <v>0</v>
      </c>
      <c r="CT407" s="8">
        <f t="shared" si="325"/>
        <v>0</v>
      </c>
      <c r="CU407" s="8">
        <f t="shared" si="326"/>
        <v>0</v>
      </c>
      <c r="CV407" s="8">
        <f t="shared" si="327"/>
        <v>0</v>
      </c>
    </row>
    <row r="408" spans="1:100" ht="20.5" thickTop="1" thickBot="1" x14ac:dyDescent="0.5">
      <c r="A408" s="32"/>
      <c r="B408" s="10"/>
      <c r="C408" s="10"/>
      <c r="D408" s="11"/>
      <c r="E408" s="10"/>
      <c r="F408" s="10"/>
      <c r="G408" s="19"/>
      <c r="H408" s="19"/>
      <c r="I408" s="19"/>
      <c r="J408" s="19"/>
      <c r="K408" s="10"/>
      <c r="L408" s="10"/>
      <c r="M408" s="10"/>
      <c r="N408" s="10"/>
      <c r="O408" s="18"/>
      <c r="P408" s="18"/>
      <c r="Q408" s="21"/>
      <c r="R408" s="20"/>
      <c r="S408" s="16">
        <f t="shared" si="283"/>
        <v>0</v>
      </c>
      <c r="T408" s="11"/>
      <c r="AS408" s="31">
        <f t="shared" si="284"/>
        <v>0</v>
      </c>
      <c r="AT408" s="31">
        <f t="shared" si="285"/>
        <v>0</v>
      </c>
      <c r="AU408" s="31">
        <f t="shared" si="286"/>
        <v>0</v>
      </c>
      <c r="AV408" s="31">
        <f t="shared" si="287"/>
        <v>0</v>
      </c>
      <c r="AW408" s="31">
        <f t="shared" si="288"/>
        <v>0</v>
      </c>
      <c r="AX408" s="31">
        <f t="shared" si="289"/>
        <v>0</v>
      </c>
      <c r="AY408" s="31">
        <f t="shared" si="290"/>
        <v>0</v>
      </c>
      <c r="AZ408" s="31">
        <f t="shared" si="291"/>
        <v>0</v>
      </c>
      <c r="BA408" s="31">
        <f t="shared" si="292"/>
        <v>0</v>
      </c>
      <c r="BB408" s="31">
        <f t="shared" si="321"/>
        <v>0</v>
      </c>
      <c r="BM408" s="8">
        <f t="shared" si="322"/>
        <v>0</v>
      </c>
      <c r="BN408" s="8">
        <f t="shared" si="293"/>
        <v>0</v>
      </c>
      <c r="BO408" s="8">
        <f t="shared" si="294"/>
        <v>0</v>
      </c>
      <c r="BQ408" s="8">
        <f t="shared" si="295"/>
        <v>0</v>
      </c>
      <c r="BR408" s="63">
        <f t="shared" si="296"/>
        <v>0</v>
      </c>
      <c r="BS408" s="63">
        <f t="shared" si="323"/>
        <v>0</v>
      </c>
      <c r="BT408" s="63">
        <f t="shared" si="297"/>
        <v>0</v>
      </c>
      <c r="BU408" s="63">
        <f t="shared" si="298"/>
        <v>0</v>
      </c>
      <c r="BV408" s="57">
        <f t="shared" si="299"/>
        <v>0</v>
      </c>
      <c r="BW408" s="57">
        <f t="shared" si="300"/>
        <v>0</v>
      </c>
      <c r="BX408" s="57">
        <f t="shared" si="324"/>
        <v>0</v>
      </c>
      <c r="BY408" s="57">
        <f t="shared" si="282"/>
        <v>0</v>
      </c>
      <c r="BZ408" s="8">
        <f t="shared" si="301"/>
        <v>0</v>
      </c>
      <c r="CA408" s="8">
        <f t="shared" si="302"/>
        <v>0</v>
      </c>
      <c r="CB408" s="8">
        <f t="shared" si="303"/>
        <v>0</v>
      </c>
      <c r="CC408" s="8">
        <f t="shared" si="304"/>
        <v>0</v>
      </c>
      <c r="CD408" s="8">
        <f t="shared" si="305"/>
        <v>0</v>
      </c>
      <c r="CE408" s="8">
        <f t="shared" si="306"/>
        <v>0</v>
      </c>
      <c r="CF408" s="8">
        <f t="shared" si="307"/>
        <v>0</v>
      </c>
      <c r="CG408" s="8">
        <f t="shared" si="308"/>
        <v>0</v>
      </c>
      <c r="CH408" s="8">
        <f t="shared" si="309"/>
        <v>0</v>
      </c>
      <c r="CI408" s="8">
        <f t="shared" si="310"/>
        <v>0</v>
      </c>
      <c r="CJ408" s="8">
        <f t="shared" si="311"/>
        <v>0</v>
      </c>
      <c r="CK408" s="8">
        <f t="shared" si="312"/>
        <v>0</v>
      </c>
      <c r="CL408" s="8">
        <f t="shared" si="313"/>
        <v>0</v>
      </c>
      <c r="CM408" s="8">
        <f t="shared" si="314"/>
        <v>0</v>
      </c>
      <c r="CN408" s="8">
        <f t="shared" si="315"/>
        <v>0</v>
      </c>
      <c r="CO408" s="8">
        <f t="shared" si="316"/>
        <v>0</v>
      </c>
      <c r="CP408" s="8">
        <f t="shared" si="317"/>
        <v>0</v>
      </c>
      <c r="CQ408" s="8">
        <f t="shared" si="318"/>
        <v>0</v>
      </c>
      <c r="CR408" s="8">
        <f t="shared" si="319"/>
        <v>0</v>
      </c>
      <c r="CS408" s="8">
        <f t="shared" si="320"/>
        <v>0</v>
      </c>
      <c r="CT408" s="8">
        <f t="shared" si="325"/>
        <v>0</v>
      </c>
      <c r="CU408" s="8">
        <f t="shared" si="326"/>
        <v>0</v>
      </c>
      <c r="CV408" s="8">
        <f t="shared" si="327"/>
        <v>0</v>
      </c>
    </row>
    <row r="409" spans="1:100" ht="20.5" thickTop="1" thickBot="1" x14ac:dyDescent="0.5">
      <c r="A409" s="32"/>
      <c r="B409" s="10"/>
      <c r="C409" s="10"/>
      <c r="D409" s="11"/>
      <c r="E409" s="10"/>
      <c r="F409" s="10"/>
      <c r="G409" s="19"/>
      <c r="H409" s="19"/>
      <c r="I409" s="19"/>
      <c r="J409" s="19"/>
      <c r="K409" s="10"/>
      <c r="L409" s="10"/>
      <c r="M409" s="10"/>
      <c r="N409" s="10"/>
      <c r="O409" s="18"/>
      <c r="P409" s="18"/>
      <c r="Q409" s="21"/>
      <c r="R409" s="20"/>
      <c r="S409" s="16">
        <f t="shared" si="283"/>
        <v>0</v>
      </c>
      <c r="T409" s="11"/>
      <c r="AS409" s="31">
        <f t="shared" si="284"/>
        <v>0</v>
      </c>
      <c r="AT409" s="31">
        <f t="shared" si="285"/>
        <v>0</v>
      </c>
      <c r="AU409" s="31">
        <f t="shared" si="286"/>
        <v>0</v>
      </c>
      <c r="AV409" s="31">
        <f t="shared" si="287"/>
        <v>0</v>
      </c>
      <c r="AW409" s="31">
        <f t="shared" si="288"/>
        <v>0</v>
      </c>
      <c r="AX409" s="31">
        <f t="shared" si="289"/>
        <v>0</v>
      </c>
      <c r="AY409" s="31">
        <f t="shared" si="290"/>
        <v>0</v>
      </c>
      <c r="AZ409" s="31">
        <f t="shared" si="291"/>
        <v>0</v>
      </c>
      <c r="BA409" s="31">
        <f t="shared" si="292"/>
        <v>0</v>
      </c>
      <c r="BB409" s="31">
        <f t="shared" si="321"/>
        <v>0</v>
      </c>
      <c r="BM409" s="8">
        <f t="shared" si="322"/>
        <v>0</v>
      </c>
      <c r="BN409" s="8">
        <f t="shared" si="293"/>
        <v>0</v>
      </c>
      <c r="BO409" s="8">
        <f t="shared" si="294"/>
        <v>0</v>
      </c>
      <c r="BQ409" s="8">
        <f t="shared" si="295"/>
        <v>0</v>
      </c>
      <c r="BR409" s="63">
        <f t="shared" si="296"/>
        <v>0</v>
      </c>
      <c r="BS409" s="63">
        <f t="shared" si="323"/>
        <v>0</v>
      </c>
      <c r="BT409" s="63">
        <f t="shared" si="297"/>
        <v>0</v>
      </c>
      <c r="BU409" s="63">
        <f t="shared" si="298"/>
        <v>0</v>
      </c>
      <c r="BV409" s="57">
        <f t="shared" si="299"/>
        <v>0</v>
      </c>
      <c r="BW409" s="57">
        <f t="shared" si="300"/>
        <v>0</v>
      </c>
      <c r="BX409" s="57">
        <f t="shared" si="324"/>
        <v>0</v>
      </c>
      <c r="BY409" s="57">
        <f t="shared" si="282"/>
        <v>0</v>
      </c>
      <c r="BZ409" s="8">
        <f t="shared" si="301"/>
        <v>0</v>
      </c>
      <c r="CA409" s="8">
        <f t="shared" si="302"/>
        <v>0</v>
      </c>
      <c r="CB409" s="8">
        <f t="shared" si="303"/>
        <v>0</v>
      </c>
      <c r="CC409" s="8">
        <f t="shared" si="304"/>
        <v>0</v>
      </c>
      <c r="CD409" s="8">
        <f t="shared" si="305"/>
        <v>0</v>
      </c>
      <c r="CE409" s="8">
        <f t="shared" si="306"/>
        <v>0</v>
      </c>
      <c r="CF409" s="8">
        <f t="shared" si="307"/>
        <v>0</v>
      </c>
      <c r="CG409" s="8">
        <f t="shared" si="308"/>
        <v>0</v>
      </c>
      <c r="CH409" s="8">
        <f t="shared" si="309"/>
        <v>0</v>
      </c>
      <c r="CI409" s="8">
        <f t="shared" si="310"/>
        <v>0</v>
      </c>
      <c r="CJ409" s="8">
        <f t="shared" si="311"/>
        <v>0</v>
      </c>
      <c r="CK409" s="8">
        <f t="shared" si="312"/>
        <v>0</v>
      </c>
      <c r="CL409" s="8">
        <f t="shared" si="313"/>
        <v>0</v>
      </c>
      <c r="CM409" s="8">
        <f t="shared" si="314"/>
        <v>0</v>
      </c>
      <c r="CN409" s="8">
        <f t="shared" si="315"/>
        <v>0</v>
      </c>
      <c r="CO409" s="8">
        <f t="shared" si="316"/>
        <v>0</v>
      </c>
      <c r="CP409" s="8">
        <f t="shared" si="317"/>
        <v>0</v>
      </c>
      <c r="CQ409" s="8">
        <f t="shared" si="318"/>
        <v>0</v>
      </c>
      <c r="CR409" s="8">
        <f t="shared" si="319"/>
        <v>0</v>
      </c>
      <c r="CS409" s="8">
        <f t="shared" si="320"/>
        <v>0</v>
      </c>
      <c r="CT409" s="8">
        <f t="shared" si="325"/>
        <v>0</v>
      </c>
      <c r="CU409" s="8">
        <f t="shared" si="326"/>
        <v>0</v>
      </c>
      <c r="CV409" s="8">
        <f t="shared" si="327"/>
        <v>0</v>
      </c>
    </row>
    <row r="410" spans="1:100" ht="20.5" thickTop="1" thickBot="1" x14ac:dyDescent="0.5">
      <c r="A410" s="32"/>
      <c r="B410" s="10"/>
      <c r="C410" s="10"/>
      <c r="D410" s="11"/>
      <c r="E410" s="10"/>
      <c r="F410" s="10"/>
      <c r="G410" s="19"/>
      <c r="H410" s="19"/>
      <c r="I410" s="19"/>
      <c r="J410" s="19"/>
      <c r="K410" s="10"/>
      <c r="L410" s="10"/>
      <c r="M410" s="10"/>
      <c r="N410" s="10"/>
      <c r="O410" s="18"/>
      <c r="P410" s="18"/>
      <c r="Q410" s="21"/>
      <c r="R410" s="20"/>
      <c r="S410" s="16">
        <f t="shared" si="283"/>
        <v>0</v>
      </c>
      <c r="T410" s="11"/>
      <c r="AS410" s="31">
        <f t="shared" si="284"/>
        <v>0</v>
      </c>
      <c r="AT410" s="31">
        <f t="shared" si="285"/>
        <v>0</v>
      </c>
      <c r="AU410" s="31">
        <f t="shared" si="286"/>
        <v>0</v>
      </c>
      <c r="AV410" s="31">
        <f t="shared" si="287"/>
        <v>0</v>
      </c>
      <c r="AW410" s="31">
        <f t="shared" si="288"/>
        <v>0</v>
      </c>
      <c r="AX410" s="31">
        <f t="shared" si="289"/>
        <v>0</v>
      </c>
      <c r="AY410" s="31">
        <f t="shared" si="290"/>
        <v>0</v>
      </c>
      <c r="AZ410" s="31">
        <f t="shared" si="291"/>
        <v>0</v>
      </c>
      <c r="BA410" s="31">
        <f t="shared" si="292"/>
        <v>0</v>
      </c>
      <c r="BB410" s="31">
        <f t="shared" si="321"/>
        <v>0</v>
      </c>
      <c r="BM410" s="8">
        <f t="shared" si="322"/>
        <v>0</v>
      </c>
      <c r="BN410" s="8">
        <f t="shared" si="293"/>
        <v>0</v>
      </c>
      <c r="BO410" s="8">
        <f t="shared" si="294"/>
        <v>0</v>
      </c>
      <c r="BQ410" s="8">
        <f t="shared" si="295"/>
        <v>0</v>
      </c>
      <c r="BR410" s="63">
        <f t="shared" si="296"/>
        <v>0</v>
      </c>
      <c r="BS410" s="63">
        <f t="shared" si="323"/>
        <v>0</v>
      </c>
      <c r="BT410" s="63">
        <f t="shared" si="297"/>
        <v>0</v>
      </c>
      <c r="BU410" s="63">
        <f t="shared" si="298"/>
        <v>0</v>
      </c>
      <c r="BV410" s="57">
        <f t="shared" si="299"/>
        <v>0</v>
      </c>
      <c r="BW410" s="57">
        <f t="shared" si="300"/>
        <v>0</v>
      </c>
      <c r="BX410" s="57">
        <f t="shared" si="324"/>
        <v>0</v>
      </c>
      <c r="BY410" s="57">
        <f t="shared" si="282"/>
        <v>0</v>
      </c>
      <c r="BZ410" s="8">
        <f t="shared" si="301"/>
        <v>0</v>
      </c>
      <c r="CA410" s="8">
        <f t="shared" si="302"/>
        <v>0</v>
      </c>
      <c r="CB410" s="8">
        <f t="shared" si="303"/>
        <v>0</v>
      </c>
      <c r="CC410" s="8">
        <f t="shared" si="304"/>
        <v>0</v>
      </c>
      <c r="CD410" s="8">
        <f t="shared" si="305"/>
        <v>0</v>
      </c>
      <c r="CE410" s="8">
        <f t="shared" si="306"/>
        <v>0</v>
      </c>
      <c r="CF410" s="8">
        <f t="shared" si="307"/>
        <v>0</v>
      </c>
      <c r="CG410" s="8">
        <f t="shared" si="308"/>
        <v>0</v>
      </c>
      <c r="CH410" s="8">
        <f t="shared" si="309"/>
        <v>0</v>
      </c>
      <c r="CI410" s="8">
        <f t="shared" si="310"/>
        <v>0</v>
      </c>
      <c r="CJ410" s="8">
        <f t="shared" si="311"/>
        <v>0</v>
      </c>
      <c r="CK410" s="8">
        <f t="shared" si="312"/>
        <v>0</v>
      </c>
      <c r="CL410" s="8">
        <f t="shared" si="313"/>
        <v>0</v>
      </c>
      <c r="CM410" s="8">
        <f t="shared" si="314"/>
        <v>0</v>
      </c>
      <c r="CN410" s="8">
        <f t="shared" si="315"/>
        <v>0</v>
      </c>
      <c r="CO410" s="8">
        <f t="shared" si="316"/>
        <v>0</v>
      </c>
      <c r="CP410" s="8">
        <f t="shared" si="317"/>
        <v>0</v>
      </c>
      <c r="CQ410" s="8">
        <f t="shared" si="318"/>
        <v>0</v>
      </c>
      <c r="CR410" s="8">
        <f t="shared" si="319"/>
        <v>0</v>
      </c>
      <c r="CS410" s="8">
        <f t="shared" si="320"/>
        <v>0</v>
      </c>
      <c r="CT410" s="8">
        <f t="shared" si="325"/>
        <v>0</v>
      </c>
      <c r="CU410" s="8">
        <f t="shared" si="326"/>
        <v>0</v>
      </c>
      <c r="CV410" s="8">
        <f t="shared" si="327"/>
        <v>0</v>
      </c>
    </row>
    <row r="411" spans="1:100" ht="20.5" thickTop="1" thickBot="1" x14ac:dyDescent="0.5">
      <c r="A411" s="32"/>
      <c r="B411" s="10"/>
      <c r="C411" s="10"/>
      <c r="D411" s="11"/>
      <c r="E411" s="10"/>
      <c r="F411" s="10"/>
      <c r="G411" s="19"/>
      <c r="H411" s="19"/>
      <c r="I411" s="19"/>
      <c r="J411" s="19"/>
      <c r="K411" s="10"/>
      <c r="L411" s="10"/>
      <c r="M411" s="10"/>
      <c r="N411" s="10"/>
      <c r="O411" s="18"/>
      <c r="P411" s="18"/>
      <c r="Q411" s="21"/>
      <c r="R411" s="20"/>
      <c r="S411" s="16">
        <f t="shared" si="283"/>
        <v>0</v>
      </c>
      <c r="T411" s="11"/>
      <c r="AS411" s="31">
        <f t="shared" si="284"/>
        <v>0</v>
      </c>
      <c r="AT411" s="31">
        <f t="shared" si="285"/>
        <v>0</v>
      </c>
      <c r="AU411" s="31">
        <f t="shared" si="286"/>
        <v>0</v>
      </c>
      <c r="AV411" s="31">
        <f t="shared" si="287"/>
        <v>0</v>
      </c>
      <c r="AW411" s="31">
        <f t="shared" si="288"/>
        <v>0</v>
      </c>
      <c r="AX411" s="31">
        <f t="shared" si="289"/>
        <v>0</v>
      </c>
      <c r="AY411" s="31">
        <f t="shared" si="290"/>
        <v>0</v>
      </c>
      <c r="AZ411" s="31">
        <f t="shared" si="291"/>
        <v>0</v>
      </c>
      <c r="BA411" s="31">
        <f t="shared" si="292"/>
        <v>0</v>
      </c>
      <c r="BB411" s="31">
        <f t="shared" si="321"/>
        <v>0</v>
      </c>
      <c r="BM411" s="8">
        <f t="shared" si="322"/>
        <v>0</v>
      </c>
      <c r="BN411" s="8">
        <f t="shared" si="293"/>
        <v>0</v>
      </c>
      <c r="BO411" s="8">
        <f t="shared" si="294"/>
        <v>0</v>
      </c>
      <c r="BQ411" s="8">
        <f t="shared" si="295"/>
        <v>0</v>
      </c>
      <c r="BR411" s="63">
        <f t="shared" si="296"/>
        <v>0</v>
      </c>
      <c r="BS411" s="63">
        <f t="shared" si="323"/>
        <v>0</v>
      </c>
      <c r="BT411" s="63">
        <f t="shared" si="297"/>
        <v>0</v>
      </c>
      <c r="BU411" s="63">
        <f t="shared" si="298"/>
        <v>0</v>
      </c>
      <c r="BV411" s="57">
        <f t="shared" si="299"/>
        <v>0</v>
      </c>
      <c r="BW411" s="57">
        <f t="shared" si="300"/>
        <v>0</v>
      </c>
      <c r="BX411" s="57">
        <f t="shared" si="324"/>
        <v>0</v>
      </c>
      <c r="BY411" s="57">
        <f t="shared" si="282"/>
        <v>0</v>
      </c>
      <c r="BZ411" s="8">
        <f t="shared" si="301"/>
        <v>0</v>
      </c>
      <c r="CA411" s="8">
        <f t="shared" si="302"/>
        <v>0</v>
      </c>
      <c r="CB411" s="8">
        <f t="shared" si="303"/>
        <v>0</v>
      </c>
      <c r="CC411" s="8">
        <f t="shared" si="304"/>
        <v>0</v>
      </c>
      <c r="CD411" s="8">
        <f t="shared" si="305"/>
        <v>0</v>
      </c>
      <c r="CE411" s="8">
        <f t="shared" si="306"/>
        <v>0</v>
      </c>
      <c r="CF411" s="8">
        <f t="shared" si="307"/>
        <v>0</v>
      </c>
      <c r="CG411" s="8">
        <f t="shared" si="308"/>
        <v>0</v>
      </c>
      <c r="CH411" s="8">
        <f t="shared" si="309"/>
        <v>0</v>
      </c>
      <c r="CI411" s="8">
        <f t="shared" si="310"/>
        <v>0</v>
      </c>
      <c r="CJ411" s="8">
        <f t="shared" si="311"/>
        <v>0</v>
      </c>
      <c r="CK411" s="8">
        <f t="shared" si="312"/>
        <v>0</v>
      </c>
      <c r="CL411" s="8">
        <f t="shared" si="313"/>
        <v>0</v>
      </c>
      <c r="CM411" s="8">
        <f t="shared" si="314"/>
        <v>0</v>
      </c>
      <c r="CN411" s="8">
        <f t="shared" si="315"/>
        <v>0</v>
      </c>
      <c r="CO411" s="8">
        <f t="shared" si="316"/>
        <v>0</v>
      </c>
      <c r="CP411" s="8">
        <f t="shared" si="317"/>
        <v>0</v>
      </c>
      <c r="CQ411" s="8">
        <f t="shared" si="318"/>
        <v>0</v>
      </c>
      <c r="CR411" s="8">
        <f t="shared" si="319"/>
        <v>0</v>
      </c>
      <c r="CS411" s="8">
        <f t="shared" si="320"/>
        <v>0</v>
      </c>
      <c r="CT411" s="8">
        <f t="shared" si="325"/>
        <v>0</v>
      </c>
      <c r="CU411" s="8">
        <f t="shared" si="326"/>
        <v>0</v>
      </c>
      <c r="CV411" s="8">
        <f t="shared" si="327"/>
        <v>0</v>
      </c>
    </row>
    <row r="412" spans="1:100" ht="20.5" thickTop="1" thickBot="1" x14ac:dyDescent="0.5">
      <c r="A412" s="32"/>
      <c r="B412" s="10"/>
      <c r="C412" s="10"/>
      <c r="D412" s="11"/>
      <c r="E412" s="10"/>
      <c r="F412" s="10"/>
      <c r="G412" s="19"/>
      <c r="H412" s="19"/>
      <c r="I412" s="19"/>
      <c r="J412" s="19"/>
      <c r="K412" s="10"/>
      <c r="L412" s="10"/>
      <c r="M412" s="10"/>
      <c r="N412" s="10"/>
      <c r="O412" s="18"/>
      <c r="P412" s="18"/>
      <c r="Q412" s="21"/>
      <c r="R412" s="20"/>
      <c r="S412" s="16">
        <f t="shared" si="283"/>
        <v>0</v>
      </c>
      <c r="T412" s="11"/>
      <c r="AS412" s="31">
        <f t="shared" si="284"/>
        <v>0</v>
      </c>
      <c r="AT412" s="31">
        <f t="shared" si="285"/>
        <v>0</v>
      </c>
      <c r="AU412" s="31">
        <f t="shared" si="286"/>
        <v>0</v>
      </c>
      <c r="AV412" s="31">
        <f t="shared" si="287"/>
        <v>0</v>
      </c>
      <c r="AW412" s="31">
        <f t="shared" si="288"/>
        <v>0</v>
      </c>
      <c r="AX412" s="31">
        <f t="shared" si="289"/>
        <v>0</v>
      </c>
      <c r="AY412" s="31">
        <f t="shared" si="290"/>
        <v>0</v>
      </c>
      <c r="AZ412" s="31">
        <f t="shared" si="291"/>
        <v>0</v>
      </c>
      <c r="BA412" s="31">
        <f t="shared" si="292"/>
        <v>0</v>
      </c>
      <c r="BB412" s="31">
        <f t="shared" si="321"/>
        <v>0</v>
      </c>
      <c r="BM412" s="8">
        <f t="shared" si="322"/>
        <v>0</v>
      </c>
      <c r="BN412" s="8">
        <f t="shared" si="293"/>
        <v>0</v>
      </c>
      <c r="BO412" s="8">
        <f t="shared" si="294"/>
        <v>0</v>
      </c>
      <c r="BQ412" s="8">
        <f t="shared" si="295"/>
        <v>0</v>
      </c>
      <c r="BR412" s="63">
        <f t="shared" si="296"/>
        <v>0</v>
      </c>
      <c r="BS412" s="63">
        <f t="shared" si="323"/>
        <v>0</v>
      </c>
      <c r="BT412" s="63">
        <f t="shared" si="297"/>
        <v>0</v>
      </c>
      <c r="BU412" s="63">
        <f t="shared" si="298"/>
        <v>0</v>
      </c>
      <c r="BV412" s="57">
        <f t="shared" si="299"/>
        <v>0</v>
      </c>
      <c r="BW412" s="57">
        <f t="shared" si="300"/>
        <v>0</v>
      </c>
      <c r="BX412" s="57">
        <f t="shared" si="324"/>
        <v>0</v>
      </c>
      <c r="BY412" s="57">
        <f t="shared" si="282"/>
        <v>0</v>
      </c>
      <c r="BZ412" s="8">
        <f t="shared" si="301"/>
        <v>0</v>
      </c>
      <c r="CA412" s="8">
        <f t="shared" si="302"/>
        <v>0</v>
      </c>
      <c r="CB412" s="8">
        <f t="shared" si="303"/>
        <v>0</v>
      </c>
      <c r="CC412" s="8">
        <f t="shared" si="304"/>
        <v>0</v>
      </c>
      <c r="CD412" s="8">
        <f t="shared" si="305"/>
        <v>0</v>
      </c>
      <c r="CE412" s="8">
        <f t="shared" si="306"/>
        <v>0</v>
      </c>
      <c r="CF412" s="8">
        <f t="shared" si="307"/>
        <v>0</v>
      </c>
      <c r="CG412" s="8">
        <f t="shared" si="308"/>
        <v>0</v>
      </c>
      <c r="CH412" s="8">
        <f t="shared" si="309"/>
        <v>0</v>
      </c>
      <c r="CI412" s="8">
        <f t="shared" si="310"/>
        <v>0</v>
      </c>
      <c r="CJ412" s="8">
        <f t="shared" si="311"/>
        <v>0</v>
      </c>
      <c r="CK412" s="8">
        <f t="shared" si="312"/>
        <v>0</v>
      </c>
      <c r="CL412" s="8">
        <f t="shared" si="313"/>
        <v>0</v>
      </c>
      <c r="CM412" s="8">
        <f t="shared" si="314"/>
        <v>0</v>
      </c>
      <c r="CN412" s="8">
        <f t="shared" si="315"/>
        <v>0</v>
      </c>
      <c r="CO412" s="8">
        <f t="shared" si="316"/>
        <v>0</v>
      </c>
      <c r="CP412" s="8">
        <f t="shared" si="317"/>
        <v>0</v>
      </c>
      <c r="CQ412" s="8">
        <f t="shared" si="318"/>
        <v>0</v>
      </c>
      <c r="CR412" s="8">
        <f t="shared" si="319"/>
        <v>0</v>
      </c>
      <c r="CS412" s="8">
        <f t="shared" si="320"/>
        <v>0</v>
      </c>
      <c r="CT412" s="8">
        <f t="shared" si="325"/>
        <v>0</v>
      </c>
      <c r="CU412" s="8">
        <f t="shared" si="326"/>
        <v>0</v>
      </c>
      <c r="CV412" s="8">
        <f t="shared" si="327"/>
        <v>0</v>
      </c>
    </row>
    <row r="413" spans="1:100" ht="20.5" thickTop="1" thickBot="1" x14ac:dyDescent="0.5">
      <c r="A413" s="32"/>
      <c r="B413" s="10"/>
      <c r="C413" s="10"/>
      <c r="D413" s="11"/>
      <c r="E413" s="10"/>
      <c r="F413" s="10"/>
      <c r="G413" s="19"/>
      <c r="H413" s="19"/>
      <c r="I413" s="19"/>
      <c r="J413" s="19"/>
      <c r="K413" s="10"/>
      <c r="L413" s="10"/>
      <c r="M413" s="10"/>
      <c r="N413" s="10"/>
      <c r="O413" s="18"/>
      <c r="P413" s="18"/>
      <c r="Q413" s="21"/>
      <c r="R413" s="20"/>
      <c r="S413" s="16">
        <f t="shared" si="283"/>
        <v>0</v>
      </c>
      <c r="T413" s="11"/>
      <c r="AS413" s="31">
        <f t="shared" si="284"/>
        <v>0</v>
      </c>
      <c r="AT413" s="31">
        <f t="shared" si="285"/>
        <v>0</v>
      </c>
      <c r="AU413" s="31">
        <f t="shared" si="286"/>
        <v>0</v>
      </c>
      <c r="AV413" s="31">
        <f t="shared" si="287"/>
        <v>0</v>
      </c>
      <c r="AW413" s="31">
        <f t="shared" si="288"/>
        <v>0</v>
      </c>
      <c r="AX413" s="31">
        <f t="shared" si="289"/>
        <v>0</v>
      </c>
      <c r="AY413" s="31">
        <f t="shared" si="290"/>
        <v>0</v>
      </c>
      <c r="AZ413" s="31">
        <f t="shared" si="291"/>
        <v>0</v>
      </c>
      <c r="BA413" s="31">
        <f t="shared" si="292"/>
        <v>0</v>
      </c>
      <c r="BB413" s="31">
        <f t="shared" si="321"/>
        <v>0</v>
      </c>
      <c r="BM413" s="8">
        <f t="shared" si="322"/>
        <v>0</v>
      </c>
      <c r="BN413" s="8">
        <f t="shared" si="293"/>
        <v>0</v>
      </c>
      <c r="BO413" s="8">
        <f t="shared" si="294"/>
        <v>0</v>
      </c>
      <c r="BQ413" s="8">
        <f t="shared" si="295"/>
        <v>0</v>
      </c>
      <c r="BR413" s="63">
        <f t="shared" si="296"/>
        <v>0</v>
      </c>
      <c r="BS413" s="63">
        <f t="shared" si="323"/>
        <v>0</v>
      </c>
      <c r="BT413" s="63">
        <f t="shared" si="297"/>
        <v>0</v>
      </c>
      <c r="BU413" s="63">
        <f t="shared" si="298"/>
        <v>0</v>
      </c>
      <c r="BV413" s="57">
        <f t="shared" si="299"/>
        <v>0</v>
      </c>
      <c r="BW413" s="57">
        <f t="shared" si="300"/>
        <v>0</v>
      </c>
      <c r="BX413" s="57">
        <f t="shared" si="324"/>
        <v>0</v>
      </c>
      <c r="BY413" s="57">
        <f t="shared" ref="BY413:BY476" si="328">IF(AND(OR(N413="YES",N413="HDD",N413="EX PIPES"),K413=""),D413*(F413+G413),0)</f>
        <v>0</v>
      </c>
      <c r="BZ413" s="8">
        <f t="shared" si="301"/>
        <v>0</v>
      </c>
      <c r="CA413" s="8">
        <f t="shared" si="302"/>
        <v>0</v>
      </c>
      <c r="CB413" s="8">
        <f t="shared" si="303"/>
        <v>0</v>
      </c>
      <c r="CC413" s="8">
        <f t="shared" si="304"/>
        <v>0</v>
      </c>
      <c r="CD413" s="8">
        <f t="shared" si="305"/>
        <v>0</v>
      </c>
      <c r="CE413" s="8">
        <f t="shared" si="306"/>
        <v>0</v>
      </c>
      <c r="CF413" s="8">
        <f t="shared" si="307"/>
        <v>0</v>
      </c>
      <c r="CG413" s="8">
        <f t="shared" si="308"/>
        <v>0</v>
      </c>
      <c r="CH413" s="8">
        <f t="shared" si="309"/>
        <v>0</v>
      </c>
      <c r="CI413" s="8">
        <f t="shared" si="310"/>
        <v>0</v>
      </c>
      <c r="CJ413" s="8">
        <f t="shared" si="311"/>
        <v>0</v>
      </c>
      <c r="CK413" s="8">
        <f t="shared" si="312"/>
        <v>0</v>
      </c>
      <c r="CL413" s="8">
        <f t="shared" si="313"/>
        <v>0</v>
      </c>
      <c r="CM413" s="8">
        <f t="shared" si="314"/>
        <v>0</v>
      </c>
      <c r="CN413" s="8">
        <f t="shared" si="315"/>
        <v>0</v>
      </c>
      <c r="CO413" s="8">
        <f t="shared" si="316"/>
        <v>0</v>
      </c>
      <c r="CP413" s="8">
        <f t="shared" si="317"/>
        <v>0</v>
      </c>
      <c r="CQ413" s="8">
        <f t="shared" si="318"/>
        <v>0</v>
      </c>
      <c r="CR413" s="8">
        <f t="shared" si="319"/>
        <v>0</v>
      </c>
      <c r="CS413" s="8">
        <f t="shared" si="320"/>
        <v>0</v>
      </c>
      <c r="CT413" s="8">
        <f t="shared" si="325"/>
        <v>0</v>
      </c>
      <c r="CU413" s="8">
        <f t="shared" si="326"/>
        <v>0</v>
      </c>
      <c r="CV413" s="8">
        <f t="shared" si="327"/>
        <v>0</v>
      </c>
    </row>
    <row r="414" spans="1:100" ht="20.5" thickTop="1" thickBot="1" x14ac:dyDescent="0.5">
      <c r="A414" s="32"/>
      <c r="B414" s="10"/>
      <c r="C414" s="10"/>
      <c r="D414" s="11"/>
      <c r="E414" s="10"/>
      <c r="F414" s="10"/>
      <c r="G414" s="19"/>
      <c r="H414" s="19"/>
      <c r="I414" s="19"/>
      <c r="J414" s="19"/>
      <c r="K414" s="10"/>
      <c r="L414" s="10"/>
      <c r="M414" s="10"/>
      <c r="N414" s="10"/>
      <c r="O414" s="18"/>
      <c r="P414" s="18"/>
      <c r="Q414" s="21"/>
      <c r="R414" s="20"/>
      <c r="S414" s="16">
        <f t="shared" si="283"/>
        <v>0</v>
      </c>
      <c r="T414" s="11"/>
      <c r="AS414" s="31">
        <f t="shared" si="284"/>
        <v>0</v>
      </c>
      <c r="AT414" s="31">
        <f t="shared" si="285"/>
        <v>0</v>
      </c>
      <c r="AU414" s="31">
        <f t="shared" si="286"/>
        <v>0</v>
      </c>
      <c r="AV414" s="31">
        <f t="shared" si="287"/>
        <v>0</v>
      </c>
      <c r="AW414" s="31">
        <f t="shared" si="288"/>
        <v>0</v>
      </c>
      <c r="AX414" s="31">
        <f t="shared" si="289"/>
        <v>0</v>
      </c>
      <c r="AY414" s="31">
        <f t="shared" si="290"/>
        <v>0</v>
      </c>
      <c r="AZ414" s="31">
        <f t="shared" si="291"/>
        <v>0</v>
      </c>
      <c r="BA414" s="31">
        <f t="shared" si="292"/>
        <v>0</v>
      </c>
      <c r="BB414" s="31">
        <f t="shared" si="321"/>
        <v>0</v>
      </c>
      <c r="BM414" s="8">
        <f t="shared" si="322"/>
        <v>0</v>
      </c>
      <c r="BN414" s="8">
        <f t="shared" si="293"/>
        <v>0</v>
      </c>
      <c r="BO414" s="8">
        <f t="shared" si="294"/>
        <v>0</v>
      </c>
      <c r="BQ414" s="8">
        <f t="shared" si="295"/>
        <v>0</v>
      </c>
      <c r="BR414" s="63">
        <f t="shared" si="296"/>
        <v>0</v>
      </c>
      <c r="BS414" s="63">
        <f t="shared" si="323"/>
        <v>0</v>
      </c>
      <c r="BT414" s="63">
        <f t="shared" si="297"/>
        <v>0</v>
      </c>
      <c r="BU414" s="63">
        <f t="shared" si="298"/>
        <v>0</v>
      </c>
      <c r="BV414" s="57">
        <f t="shared" si="299"/>
        <v>0</v>
      </c>
      <c r="BW414" s="57">
        <f t="shared" si="300"/>
        <v>0</v>
      </c>
      <c r="BX414" s="57">
        <f t="shared" si="324"/>
        <v>0</v>
      </c>
      <c r="BY414" s="57">
        <f t="shared" si="328"/>
        <v>0</v>
      </c>
      <c r="BZ414" s="8">
        <f t="shared" si="301"/>
        <v>0</v>
      </c>
      <c r="CA414" s="8">
        <f t="shared" si="302"/>
        <v>0</v>
      </c>
      <c r="CB414" s="8">
        <f t="shared" si="303"/>
        <v>0</v>
      </c>
      <c r="CC414" s="8">
        <f t="shared" si="304"/>
        <v>0</v>
      </c>
      <c r="CD414" s="8">
        <f t="shared" si="305"/>
        <v>0</v>
      </c>
      <c r="CE414" s="8">
        <f t="shared" si="306"/>
        <v>0</v>
      </c>
      <c r="CF414" s="8">
        <f t="shared" si="307"/>
        <v>0</v>
      </c>
      <c r="CG414" s="8">
        <f t="shared" si="308"/>
        <v>0</v>
      </c>
      <c r="CH414" s="8">
        <f t="shared" si="309"/>
        <v>0</v>
      </c>
      <c r="CI414" s="8">
        <f t="shared" si="310"/>
        <v>0</v>
      </c>
      <c r="CJ414" s="8">
        <f t="shared" si="311"/>
        <v>0</v>
      </c>
      <c r="CK414" s="8">
        <f t="shared" si="312"/>
        <v>0</v>
      </c>
      <c r="CL414" s="8">
        <f t="shared" si="313"/>
        <v>0</v>
      </c>
      <c r="CM414" s="8">
        <f t="shared" si="314"/>
        <v>0</v>
      </c>
      <c r="CN414" s="8">
        <f t="shared" si="315"/>
        <v>0</v>
      </c>
      <c r="CO414" s="8">
        <f t="shared" si="316"/>
        <v>0</v>
      </c>
      <c r="CP414" s="8">
        <f t="shared" si="317"/>
        <v>0</v>
      </c>
      <c r="CQ414" s="8">
        <f t="shared" si="318"/>
        <v>0</v>
      </c>
      <c r="CR414" s="8">
        <f t="shared" si="319"/>
        <v>0</v>
      </c>
      <c r="CS414" s="8">
        <f t="shared" si="320"/>
        <v>0</v>
      </c>
      <c r="CT414" s="8">
        <f t="shared" si="325"/>
        <v>0</v>
      </c>
      <c r="CU414" s="8">
        <f t="shared" si="326"/>
        <v>0</v>
      </c>
      <c r="CV414" s="8">
        <f t="shared" si="327"/>
        <v>0</v>
      </c>
    </row>
    <row r="415" spans="1:100" ht="20.5" thickTop="1" thickBot="1" x14ac:dyDescent="0.5">
      <c r="A415" s="32"/>
      <c r="B415" s="10"/>
      <c r="C415" s="10"/>
      <c r="D415" s="11"/>
      <c r="E415" s="10"/>
      <c r="F415" s="10"/>
      <c r="G415" s="19"/>
      <c r="H415" s="19"/>
      <c r="I415" s="19"/>
      <c r="J415" s="19"/>
      <c r="K415" s="10"/>
      <c r="L415" s="10"/>
      <c r="M415" s="10"/>
      <c r="N415" s="10"/>
      <c r="O415" s="18"/>
      <c r="P415" s="18"/>
      <c r="Q415" s="21"/>
      <c r="R415" s="20"/>
      <c r="S415" s="16">
        <f t="shared" si="283"/>
        <v>0</v>
      </c>
      <c r="T415" s="11"/>
      <c r="AS415" s="31">
        <f t="shared" si="284"/>
        <v>0</v>
      </c>
      <c r="AT415" s="31">
        <f t="shared" si="285"/>
        <v>0</v>
      </c>
      <c r="AU415" s="31">
        <f t="shared" si="286"/>
        <v>0</v>
      </c>
      <c r="AV415" s="31">
        <f t="shared" si="287"/>
        <v>0</v>
      </c>
      <c r="AW415" s="31">
        <f t="shared" si="288"/>
        <v>0</v>
      </c>
      <c r="AX415" s="31">
        <f t="shared" si="289"/>
        <v>0</v>
      </c>
      <c r="AY415" s="31">
        <f t="shared" si="290"/>
        <v>0</v>
      </c>
      <c r="AZ415" s="31">
        <f t="shared" si="291"/>
        <v>0</v>
      </c>
      <c r="BA415" s="31">
        <f t="shared" si="292"/>
        <v>0</v>
      </c>
      <c r="BB415" s="31">
        <f t="shared" si="321"/>
        <v>0</v>
      </c>
      <c r="BM415" s="8">
        <f t="shared" si="322"/>
        <v>0</v>
      </c>
      <c r="BN415" s="8">
        <f t="shared" si="293"/>
        <v>0</v>
      </c>
      <c r="BO415" s="8">
        <f t="shared" si="294"/>
        <v>0</v>
      </c>
      <c r="BQ415" s="8">
        <f t="shared" si="295"/>
        <v>0</v>
      </c>
      <c r="BR415" s="63">
        <f t="shared" si="296"/>
        <v>0</v>
      </c>
      <c r="BS415" s="63">
        <f t="shared" si="323"/>
        <v>0</v>
      </c>
      <c r="BT415" s="63">
        <f t="shared" si="297"/>
        <v>0</v>
      </c>
      <c r="BU415" s="63">
        <f t="shared" si="298"/>
        <v>0</v>
      </c>
      <c r="BV415" s="57">
        <f t="shared" si="299"/>
        <v>0</v>
      </c>
      <c r="BW415" s="57">
        <f t="shared" si="300"/>
        <v>0</v>
      </c>
      <c r="BX415" s="57">
        <f t="shared" si="324"/>
        <v>0</v>
      </c>
      <c r="BY415" s="57">
        <f t="shared" si="328"/>
        <v>0</v>
      </c>
      <c r="BZ415" s="8">
        <f t="shared" si="301"/>
        <v>0</v>
      </c>
      <c r="CA415" s="8">
        <f t="shared" si="302"/>
        <v>0</v>
      </c>
      <c r="CB415" s="8">
        <f t="shared" si="303"/>
        <v>0</v>
      </c>
      <c r="CC415" s="8">
        <f t="shared" si="304"/>
        <v>0</v>
      </c>
      <c r="CD415" s="8">
        <f t="shared" si="305"/>
        <v>0</v>
      </c>
      <c r="CE415" s="8">
        <f t="shared" si="306"/>
        <v>0</v>
      </c>
      <c r="CF415" s="8">
        <f t="shared" si="307"/>
        <v>0</v>
      </c>
      <c r="CG415" s="8">
        <f t="shared" si="308"/>
        <v>0</v>
      </c>
      <c r="CH415" s="8">
        <f t="shared" si="309"/>
        <v>0</v>
      </c>
      <c r="CI415" s="8">
        <f t="shared" si="310"/>
        <v>0</v>
      </c>
      <c r="CJ415" s="8">
        <f t="shared" si="311"/>
        <v>0</v>
      </c>
      <c r="CK415" s="8">
        <f t="shared" si="312"/>
        <v>0</v>
      </c>
      <c r="CL415" s="8">
        <f t="shared" si="313"/>
        <v>0</v>
      </c>
      <c r="CM415" s="8">
        <f t="shared" si="314"/>
        <v>0</v>
      </c>
      <c r="CN415" s="8">
        <f t="shared" si="315"/>
        <v>0</v>
      </c>
      <c r="CO415" s="8">
        <f t="shared" si="316"/>
        <v>0</v>
      </c>
      <c r="CP415" s="8">
        <f t="shared" si="317"/>
        <v>0</v>
      </c>
      <c r="CQ415" s="8">
        <f t="shared" si="318"/>
        <v>0</v>
      </c>
      <c r="CR415" s="8">
        <f t="shared" si="319"/>
        <v>0</v>
      </c>
      <c r="CS415" s="8">
        <f t="shared" si="320"/>
        <v>0</v>
      </c>
      <c r="CT415" s="8">
        <f t="shared" si="325"/>
        <v>0</v>
      </c>
      <c r="CU415" s="8">
        <f t="shared" si="326"/>
        <v>0</v>
      </c>
      <c r="CV415" s="8">
        <f t="shared" si="327"/>
        <v>0</v>
      </c>
    </row>
    <row r="416" spans="1:100" ht="20.5" thickTop="1" thickBot="1" x14ac:dyDescent="0.5">
      <c r="A416" s="32"/>
      <c r="B416" s="10"/>
      <c r="C416" s="10"/>
      <c r="D416" s="11"/>
      <c r="E416" s="10"/>
      <c r="F416" s="10"/>
      <c r="G416" s="19"/>
      <c r="H416" s="19"/>
      <c r="I416" s="19"/>
      <c r="J416" s="19"/>
      <c r="K416" s="10"/>
      <c r="L416" s="10"/>
      <c r="M416" s="10"/>
      <c r="N416" s="10"/>
      <c r="O416" s="18"/>
      <c r="P416" s="18"/>
      <c r="Q416" s="21"/>
      <c r="R416" s="20"/>
      <c r="S416" s="16">
        <f t="shared" si="283"/>
        <v>0</v>
      </c>
      <c r="T416" s="11"/>
      <c r="AS416" s="31">
        <f t="shared" si="284"/>
        <v>0</v>
      </c>
      <c r="AT416" s="31">
        <f t="shared" si="285"/>
        <v>0</v>
      </c>
      <c r="AU416" s="31">
        <f t="shared" si="286"/>
        <v>0</v>
      </c>
      <c r="AV416" s="31">
        <f t="shared" si="287"/>
        <v>0</v>
      </c>
      <c r="AW416" s="31">
        <f t="shared" si="288"/>
        <v>0</v>
      </c>
      <c r="AX416" s="31">
        <f t="shared" si="289"/>
        <v>0</v>
      </c>
      <c r="AY416" s="31">
        <f t="shared" si="290"/>
        <v>0</v>
      </c>
      <c r="AZ416" s="31">
        <f t="shared" si="291"/>
        <v>0</v>
      </c>
      <c r="BA416" s="31">
        <f t="shared" si="292"/>
        <v>0</v>
      </c>
      <c r="BB416" s="31">
        <f t="shared" si="321"/>
        <v>0</v>
      </c>
      <c r="BM416" s="8">
        <f t="shared" si="322"/>
        <v>0</v>
      </c>
      <c r="BN416" s="8">
        <f t="shared" si="293"/>
        <v>0</v>
      </c>
      <c r="BO416" s="8">
        <f t="shared" si="294"/>
        <v>0</v>
      </c>
      <c r="BQ416" s="8">
        <f t="shared" si="295"/>
        <v>0</v>
      </c>
      <c r="BR416" s="63">
        <f t="shared" si="296"/>
        <v>0</v>
      </c>
      <c r="BS416" s="63">
        <f t="shared" si="323"/>
        <v>0</v>
      </c>
      <c r="BT416" s="63">
        <f t="shared" si="297"/>
        <v>0</v>
      </c>
      <c r="BU416" s="63">
        <f t="shared" si="298"/>
        <v>0</v>
      </c>
      <c r="BV416" s="57">
        <f t="shared" si="299"/>
        <v>0</v>
      </c>
      <c r="BW416" s="57">
        <f t="shared" si="300"/>
        <v>0</v>
      </c>
      <c r="BX416" s="57">
        <f t="shared" si="324"/>
        <v>0</v>
      </c>
      <c r="BY416" s="57">
        <f t="shared" si="328"/>
        <v>0</v>
      </c>
      <c r="BZ416" s="8">
        <f t="shared" si="301"/>
        <v>0</v>
      </c>
      <c r="CA416" s="8">
        <f t="shared" si="302"/>
        <v>0</v>
      </c>
      <c r="CB416" s="8">
        <f t="shared" si="303"/>
        <v>0</v>
      </c>
      <c r="CC416" s="8">
        <f t="shared" si="304"/>
        <v>0</v>
      </c>
      <c r="CD416" s="8">
        <f t="shared" si="305"/>
        <v>0</v>
      </c>
      <c r="CE416" s="8">
        <f t="shared" si="306"/>
        <v>0</v>
      </c>
      <c r="CF416" s="8">
        <f t="shared" si="307"/>
        <v>0</v>
      </c>
      <c r="CG416" s="8">
        <f t="shared" si="308"/>
        <v>0</v>
      </c>
      <c r="CH416" s="8">
        <f t="shared" si="309"/>
        <v>0</v>
      </c>
      <c r="CI416" s="8">
        <f t="shared" si="310"/>
        <v>0</v>
      </c>
      <c r="CJ416" s="8">
        <f t="shared" si="311"/>
        <v>0</v>
      </c>
      <c r="CK416" s="8">
        <f t="shared" si="312"/>
        <v>0</v>
      </c>
      <c r="CL416" s="8">
        <f t="shared" si="313"/>
        <v>0</v>
      </c>
      <c r="CM416" s="8">
        <f t="shared" si="314"/>
        <v>0</v>
      </c>
      <c r="CN416" s="8">
        <f t="shared" si="315"/>
        <v>0</v>
      </c>
      <c r="CO416" s="8">
        <f t="shared" si="316"/>
        <v>0</v>
      </c>
      <c r="CP416" s="8">
        <f t="shared" si="317"/>
        <v>0</v>
      </c>
      <c r="CQ416" s="8">
        <f t="shared" si="318"/>
        <v>0</v>
      </c>
      <c r="CR416" s="8">
        <f t="shared" si="319"/>
        <v>0</v>
      </c>
      <c r="CS416" s="8">
        <f t="shared" si="320"/>
        <v>0</v>
      </c>
      <c r="CT416" s="8">
        <f t="shared" si="325"/>
        <v>0</v>
      </c>
      <c r="CU416" s="8">
        <f t="shared" si="326"/>
        <v>0</v>
      </c>
      <c r="CV416" s="8">
        <f t="shared" si="327"/>
        <v>0</v>
      </c>
    </row>
    <row r="417" spans="1:100" ht="20.5" thickTop="1" thickBot="1" x14ac:dyDescent="0.5">
      <c r="A417" s="32"/>
      <c r="B417" s="10"/>
      <c r="C417" s="10"/>
      <c r="D417" s="11"/>
      <c r="E417" s="10"/>
      <c r="F417" s="10"/>
      <c r="G417" s="19"/>
      <c r="H417" s="19"/>
      <c r="I417" s="19"/>
      <c r="J417" s="19"/>
      <c r="K417" s="10"/>
      <c r="L417" s="10"/>
      <c r="M417" s="10"/>
      <c r="N417" s="10"/>
      <c r="O417" s="18"/>
      <c r="P417" s="18"/>
      <c r="Q417" s="21"/>
      <c r="R417" s="20"/>
      <c r="S417" s="16">
        <f t="shared" si="283"/>
        <v>0</v>
      </c>
      <c r="T417" s="11"/>
      <c r="AS417" s="31">
        <f t="shared" si="284"/>
        <v>0</v>
      </c>
      <c r="AT417" s="31">
        <f t="shared" si="285"/>
        <v>0</v>
      </c>
      <c r="AU417" s="31">
        <f t="shared" si="286"/>
        <v>0</v>
      </c>
      <c r="AV417" s="31">
        <f t="shared" si="287"/>
        <v>0</v>
      </c>
      <c r="AW417" s="31">
        <f t="shared" si="288"/>
        <v>0</v>
      </c>
      <c r="AX417" s="31">
        <f t="shared" si="289"/>
        <v>0</v>
      </c>
      <c r="AY417" s="31">
        <f t="shared" si="290"/>
        <v>0</v>
      </c>
      <c r="AZ417" s="31">
        <f t="shared" si="291"/>
        <v>0</v>
      </c>
      <c r="BA417" s="31">
        <f t="shared" si="292"/>
        <v>0</v>
      </c>
      <c r="BB417" s="31">
        <f t="shared" si="321"/>
        <v>0</v>
      </c>
      <c r="BM417" s="8">
        <f t="shared" si="322"/>
        <v>0</v>
      </c>
      <c r="BN417" s="8">
        <f t="shared" si="293"/>
        <v>0</v>
      </c>
      <c r="BO417" s="8">
        <f t="shared" si="294"/>
        <v>0</v>
      </c>
      <c r="BQ417" s="8">
        <f t="shared" si="295"/>
        <v>0</v>
      </c>
      <c r="BR417" s="63">
        <f t="shared" si="296"/>
        <v>0</v>
      </c>
      <c r="BS417" s="63">
        <f t="shared" si="323"/>
        <v>0</v>
      </c>
      <c r="BT417" s="63">
        <f t="shared" si="297"/>
        <v>0</v>
      </c>
      <c r="BU417" s="63">
        <f t="shared" si="298"/>
        <v>0</v>
      </c>
      <c r="BV417" s="57">
        <f t="shared" si="299"/>
        <v>0</v>
      </c>
      <c r="BW417" s="57">
        <f t="shared" si="300"/>
        <v>0</v>
      </c>
      <c r="BX417" s="57">
        <f t="shared" si="324"/>
        <v>0</v>
      </c>
      <c r="BY417" s="57">
        <f t="shared" si="328"/>
        <v>0</v>
      </c>
      <c r="BZ417" s="8">
        <f t="shared" si="301"/>
        <v>0</v>
      </c>
      <c r="CA417" s="8">
        <f t="shared" si="302"/>
        <v>0</v>
      </c>
      <c r="CB417" s="8">
        <f t="shared" si="303"/>
        <v>0</v>
      </c>
      <c r="CC417" s="8">
        <f t="shared" si="304"/>
        <v>0</v>
      </c>
      <c r="CD417" s="8">
        <f t="shared" si="305"/>
        <v>0</v>
      </c>
      <c r="CE417" s="8">
        <f t="shared" si="306"/>
        <v>0</v>
      </c>
      <c r="CF417" s="8">
        <f t="shared" si="307"/>
        <v>0</v>
      </c>
      <c r="CG417" s="8">
        <f t="shared" si="308"/>
        <v>0</v>
      </c>
      <c r="CH417" s="8">
        <f t="shared" si="309"/>
        <v>0</v>
      </c>
      <c r="CI417" s="8">
        <f t="shared" si="310"/>
        <v>0</v>
      </c>
      <c r="CJ417" s="8">
        <f t="shared" si="311"/>
        <v>0</v>
      </c>
      <c r="CK417" s="8">
        <f t="shared" si="312"/>
        <v>0</v>
      </c>
      <c r="CL417" s="8">
        <f t="shared" si="313"/>
        <v>0</v>
      </c>
      <c r="CM417" s="8">
        <f t="shared" si="314"/>
        <v>0</v>
      </c>
      <c r="CN417" s="8">
        <f t="shared" si="315"/>
        <v>0</v>
      </c>
      <c r="CO417" s="8">
        <f t="shared" si="316"/>
        <v>0</v>
      </c>
      <c r="CP417" s="8">
        <f t="shared" si="317"/>
        <v>0</v>
      </c>
      <c r="CQ417" s="8">
        <f t="shared" si="318"/>
        <v>0</v>
      </c>
      <c r="CR417" s="8">
        <f t="shared" si="319"/>
        <v>0</v>
      </c>
      <c r="CS417" s="8">
        <f t="shared" si="320"/>
        <v>0</v>
      </c>
      <c r="CT417" s="8">
        <f t="shared" si="325"/>
        <v>0</v>
      </c>
      <c r="CU417" s="8">
        <f t="shared" si="326"/>
        <v>0</v>
      </c>
      <c r="CV417" s="8">
        <f t="shared" si="327"/>
        <v>0</v>
      </c>
    </row>
    <row r="418" spans="1:100" ht="20.5" thickTop="1" thickBot="1" x14ac:dyDescent="0.5">
      <c r="A418" s="32"/>
      <c r="B418" s="10"/>
      <c r="C418" s="10"/>
      <c r="D418" s="11"/>
      <c r="E418" s="10"/>
      <c r="F418" s="10"/>
      <c r="G418" s="19"/>
      <c r="H418" s="19"/>
      <c r="I418" s="19"/>
      <c r="J418" s="19"/>
      <c r="K418" s="10"/>
      <c r="L418" s="10"/>
      <c r="M418" s="10"/>
      <c r="N418" s="10"/>
      <c r="O418" s="18"/>
      <c r="P418" s="18"/>
      <c r="Q418" s="21"/>
      <c r="R418" s="20"/>
      <c r="S418" s="16">
        <f t="shared" si="283"/>
        <v>0</v>
      </c>
      <c r="T418" s="11"/>
      <c r="AS418" s="31">
        <f t="shared" si="284"/>
        <v>0</v>
      </c>
      <c r="AT418" s="31">
        <f t="shared" si="285"/>
        <v>0</v>
      </c>
      <c r="AU418" s="31">
        <f t="shared" si="286"/>
        <v>0</v>
      </c>
      <c r="AV418" s="31">
        <f t="shared" si="287"/>
        <v>0</v>
      </c>
      <c r="AW418" s="31">
        <f t="shared" si="288"/>
        <v>0</v>
      </c>
      <c r="AX418" s="31">
        <f t="shared" si="289"/>
        <v>0</v>
      </c>
      <c r="AY418" s="31">
        <f t="shared" si="290"/>
        <v>0</v>
      </c>
      <c r="AZ418" s="31">
        <f t="shared" si="291"/>
        <v>0</v>
      </c>
      <c r="BA418" s="31">
        <f t="shared" si="292"/>
        <v>0</v>
      </c>
      <c r="BB418" s="31">
        <f t="shared" si="321"/>
        <v>0</v>
      </c>
      <c r="BM418" s="8">
        <f t="shared" si="322"/>
        <v>0</v>
      </c>
      <c r="BN418" s="8">
        <f t="shared" si="293"/>
        <v>0</v>
      </c>
      <c r="BO418" s="8">
        <f t="shared" si="294"/>
        <v>0</v>
      </c>
      <c r="BQ418" s="8">
        <f t="shared" si="295"/>
        <v>0</v>
      </c>
      <c r="BR418" s="63">
        <f t="shared" si="296"/>
        <v>0</v>
      </c>
      <c r="BS418" s="63">
        <f t="shared" si="323"/>
        <v>0</v>
      </c>
      <c r="BT418" s="63">
        <f t="shared" si="297"/>
        <v>0</v>
      </c>
      <c r="BU418" s="63">
        <f t="shared" si="298"/>
        <v>0</v>
      </c>
      <c r="BV418" s="57">
        <f t="shared" si="299"/>
        <v>0</v>
      </c>
      <c r="BW418" s="57">
        <f t="shared" si="300"/>
        <v>0</v>
      </c>
      <c r="BX418" s="57">
        <f t="shared" si="324"/>
        <v>0</v>
      </c>
      <c r="BY418" s="57">
        <f t="shared" si="328"/>
        <v>0</v>
      </c>
      <c r="BZ418" s="8">
        <f t="shared" si="301"/>
        <v>0</v>
      </c>
      <c r="CA418" s="8">
        <f t="shared" si="302"/>
        <v>0</v>
      </c>
      <c r="CB418" s="8">
        <f t="shared" si="303"/>
        <v>0</v>
      </c>
      <c r="CC418" s="8">
        <f t="shared" si="304"/>
        <v>0</v>
      </c>
      <c r="CD418" s="8">
        <f t="shared" si="305"/>
        <v>0</v>
      </c>
      <c r="CE418" s="8">
        <f t="shared" si="306"/>
        <v>0</v>
      </c>
      <c r="CF418" s="8">
        <f t="shared" si="307"/>
        <v>0</v>
      </c>
      <c r="CG418" s="8">
        <f t="shared" si="308"/>
        <v>0</v>
      </c>
      <c r="CH418" s="8">
        <f t="shared" si="309"/>
        <v>0</v>
      </c>
      <c r="CI418" s="8">
        <f t="shared" si="310"/>
        <v>0</v>
      </c>
      <c r="CJ418" s="8">
        <f t="shared" si="311"/>
        <v>0</v>
      </c>
      <c r="CK418" s="8">
        <f t="shared" si="312"/>
        <v>0</v>
      </c>
      <c r="CL418" s="8">
        <f t="shared" si="313"/>
        <v>0</v>
      </c>
      <c r="CM418" s="8">
        <f t="shared" si="314"/>
        <v>0</v>
      </c>
      <c r="CN418" s="8">
        <f t="shared" si="315"/>
        <v>0</v>
      </c>
      <c r="CO418" s="8">
        <f t="shared" si="316"/>
        <v>0</v>
      </c>
      <c r="CP418" s="8">
        <f t="shared" si="317"/>
        <v>0</v>
      </c>
      <c r="CQ418" s="8">
        <f t="shared" si="318"/>
        <v>0</v>
      </c>
      <c r="CR418" s="8">
        <f t="shared" si="319"/>
        <v>0</v>
      </c>
      <c r="CS418" s="8">
        <f t="shared" si="320"/>
        <v>0</v>
      </c>
      <c r="CT418" s="8">
        <f t="shared" si="325"/>
        <v>0</v>
      </c>
      <c r="CU418" s="8">
        <f t="shared" si="326"/>
        <v>0</v>
      </c>
      <c r="CV418" s="8">
        <f t="shared" si="327"/>
        <v>0</v>
      </c>
    </row>
    <row r="419" spans="1:100" ht="20.5" thickTop="1" thickBot="1" x14ac:dyDescent="0.5">
      <c r="A419" s="32"/>
      <c r="B419" s="10"/>
      <c r="C419" s="10"/>
      <c r="D419" s="11"/>
      <c r="E419" s="10"/>
      <c r="F419" s="10"/>
      <c r="G419" s="19"/>
      <c r="H419" s="19"/>
      <c r="I419" s="19"/>
      <c r="J419" s="19"/>
      <c r="K419" s="10"/>
      <c r="L419" s="10"/>
      <c r="M419" s="10"/>
      <c r="N419" s="10"/>
      <c r="O419" s="18"/>
      <c r="P419" s="18"/>
      <c r="Q419" s="21"/>
      <c r="R419" s="20"/>
      <c r="S419" s="16">
        <f t="shared" si="283"/>
        <v>0</v>
      </c>
      <c r="T419" s="11"/>
      <c r="AS419" s="31">
        <f t="shared" si="284"/>
        <v>0</v>
      </c>
      <c r="AT419" s="31">
        <f t="shared" si="285"/>
        <v>0</v>
      </c>
      <c r="AU419" s="31">
        <f t="shared" si="286"/>
        <v>0</v>
      </c>
      <c r="AV419" s="31">
        <f t="shared" si="287"/>
        <v>0</v>
      </c>
      <c r="AW419" s="31">
        <f t="shared" si="288"/>
        <v>0</v>
      </c>
      <c r="AX419" s="31">
        <f t="shared" si="289"/>
        <v>0</v>
      </c>
      <c r="AY419" s="31">
        <f t="shared" si="290"/>
        <v>0</v>
      </c>
      <c r="AZ419" s="31">
        <f t="shared" si="291"/>
        <v>0</v>
      </c>
      <c r="BA419" s="31">
        <f t="shared" si="292"/>
        <v>0</v>
      </c>
      <c r="BB419" s="31">
        <f t="shared" si="321"/>
        <v>0</v>
      </c>
      <c r="BM419" s="8">
        <f t="shared" si="322"/>
        <v>0</v>
      </c>
      <c r="BN419" s="8">
        <f t="shared" si="293"/>
        <v>0</v>
      </c>
      <c r="BO419" s="8">
        <f t="shared" si="294"/>
        <v>0</v>
      </c>
      <c r="BQ419" s="8">
        <f t="shared" si="295"/>
        <v>0</v>
      </c>
      <c r="BR419" s="63">
        <f t="shared" si="296"/>
        <v>0</v>
      </c>
      <c r="BS419" s="63">
        <f t="shared" si="323"/>
        <v>0</v>
      </c>
      <c r="BT419" s="63">
        <f t="shared" si="297"/>
        <v>0</v>
      </c>
      <c r="BU419" s="63">
        <f t="shared" si="298"/>
        <v>0</v>
      </c>
      <c r="BV419" s="57">
        <f t="shared" si="299"/>
        <v>0</v>
      </c>
      <c r="BW419" s="57">
        <f t="shared" si="300"/>
        <v>0</v>
      </c>
      <c r="BX419" s="57">
        <f t="shared" si="324"/>
        <v>0</v>
      </c>
      <c r="BY419" s="57">
        <f t="shared" si="328"/>
        <v>0</v>
      </c>
      <c r="BZ419" s="8">
        <f t="shared" si="301"/>
        <v>0</v>
      </c>
      <c r="CA419" s="8">
        <f t="shared" si="302"/>
        <v>0</v>
      </c>
      <c r="CB419" s="8">
        <f t="shared" si="303"/>
        <v>0</v>
      </c>
      <c r="CC419" s="8">
        <f t="shared" si="304"/>
        <v>0</v>
      </c>
      <c r="CD419" s="8">
        <f t="shared" si="305"/>
        <v>0</v>
      </c>
      <c r="CE419" s="8">
        <f t="shared" si="306"/>
        <v>0</v>
      </c>
      <c r="CF419" s="8">
        <f t="shared" si="307"/>
        <v>0</v>
      </c>
      <c r="CG419" s="8">
        <f t="shared" si="308"/>
        <v>0</v>
      </c>
      <c r="CH419" s="8">
        <f t="shared" si="309"/>
        <v>0</v>
      </c>
      <c r="CI419" s="8">
        <f t="shared" si="310"/>
        <v>0</v>
      </c>
      <c r="CJ419" s="8">
        <f t="shared" si="311"/>
        <v>0</v>
      </c>
      <c r="CK419" s="8">
        <f t="shared" si="312"/>
        <v>0</v>
      </c>
      <c r="CL419" s="8">
        <f t="shared" si="313"/>
        <v>0</v>
      </c>
      <c r="CM419" s="8">
        <f t="shared" si="314"/>
        <v>0</v>
      </c>
      <c r="CN419" s="8">
        <f t="shared" si="315"/>
        <v>0</v>
      </c>
      <c r="CO419" s="8">
        <f t="shared" si="316"/>
        <v>0</v>
      </c>
      <c r="CP419" s="8">
        <f t="shared" si="317"/>
        <v>0</v>
      </c>
      <c r="CQ419" s="8">
        <f t="shared" si="318"/>
        <v>0</v>
      </c>
      <c r="CR419" s="8">
        <f t="shared" si="319"/>
        <v>0</v>
      </c>
      <c r="CS419" s="8">
        <f t="shared" si="320"/>
        <v>0</v>
      </c>
      <c r="CT419" s="8">
        <f t="shared" si="325"/>
        <v>0</v>
      </c>
      <c r="CU419" s="8">
        <f t="shared" si="326"/>
        <v>0</v>
      </c>
      <c r="CV419" s="8">
        <f t="shared" si="327"/>
        <v>0</v>
      </c>
    </row>
    <row r="420" spans="1:100" ht="20.5" thickTop="1" thickBot="1" x14ac:dyDescent="0.5">
      <c r="A420" s="32"/>
      <c r="B420" s="10"/>
      <c r="C420" s="10"/>
      <c r="D420" s="11"/>
      <c r="E420" s="10"/>
      <c r="F420" s="10"/>
      <c r="G420" s="19"/>
      <c r="H420" s="19"/>
      <c r="I420" s="19"/>
      <c r="J420" s="19"/>
      <c r="K420" s="10"/>
      <c r="L420" s="10"/>
      <c r="M420" s="10"/>
      <c r="N420" s="10"/>
      <c r="O420" s="18"/>
      <c r="P420" s="18"/>
      <c r="Q420" s="21"/>
      <c r="R420" s="20"/>
      <c r="S420" s="16">
        <f t="shared" si="283"/>
        <v>0</v>
      </c>
      <c r="T420" s="11"/>
      <c r="AS420" s="31">
        <f t="shared" si="284"/>
        <v>0</v>
      </c>
      <c r="AT420" s="31">
        <f t="shared" si="285"/>
        <v>0</v>
      </c>
      <c r="AU420" s="31">
        <f t="shared" si="286"/>
        <v>0</v>
      </c>
      <c r="AV420" s="31">
        <f t="shared" si="287"/>
        <v>0</v>
      </c>
      <c r="AW420" s="31">
        <f t="shared" si="288"/>
        <v>0</v>
      </c>
      <c r="AX420" s="31">
        <f t="shared" si="289"/>
        <v>0</v>
      </c>
      <c r="AY420" s="31">
        <f t="shared" si="290"/>
        <v>0</v>
      </c>
      <c r="AZ420" s="31">
        <f t="shared" si="291"/>
        <v>0</v>
      </c>
      <c r="BA420" s="31">
        <f t="shared" si="292"/>
        <v>0</v>
      </c>
      <c r="BB420" s="31">
        <f t="shared" si="321"/>
        <v>0</v>
      </c>
      <c r="BM420" s="8">
        <f t="shared" si="322"/>
        <v>0</v>
      </c>
      <c r="BN420" s="8">
        <f t="shared" si="293"/>
        <v>0</v>
      </c>
      <c r="BO420" s="8">
        <f t="shared" si="294"/>
        <v>0</v>
      </c>
      <c r="BQ420" s="8">
        <f t="shared" si="295"/>
        <v>0</v>
      </c>
      <c r="BR420" s="63">
        <f t="shared" si="296"/>
        <v>0</v>
      </c>
      <c r="BS420" s="63">
        <f t="shared" si="323"/>
        <v>0</v>
      </c>
      <c r="BT420" s="63">
        <f t="shared" si="297"/>
        <v>0</v>
      </c>
      <c r="BU420" s="63">
        <f t="shared" si="298"/>
        <v>0</v>
      </c>
      <c r="BV420" s="57">
        <f t="shared" si="299"/>
        <v>0</v>
      </c>
      <c r="BW420" s="57">
        <f t="shared" si="300"/>
        <v>0</v>
      </c>
      <c r="BX420" s="57">
        <f t="shared" si="324"/>
        <v>0</v>
      </c>
      <c r="BY420" s="57">
        <f t="shared" si="328"/>
        <v>0</v>
      </c>
      <c r="BZ420" s="8">
        <f t="shared" si="301"/>
        <v>0</v>
      </c>
      <c r="CA420" s="8">
        <f t="shared" si="302"/>
        <v>0</v>
      </c>
      <c r="CB420" s="8">
        <f t="shared" si="303"/>
        <v>0</v>
      </c>
      <c r="CC420" s="8">
        <f t="shared" si="304"/>
        <v>0</v>
      </c>
      <c r="CD420" s="8">
        <f t="shared" si="305"/>
        <v>0</v>
      </c>
      <c r="CE420" s="8">
        <f t="shared" si="306"/>
        <v>0</v>
      </c>
      <c r="CF420" s="8">
        <f t="shared" si="307"/>
        <v>0</v>
      </c>
      <c r="CG420" s="8">
        <f t="shared" si="308"/>
        <v>0</v>
      </c>
      <c r="CH420" s="8">
        <f t="shared" si="309"/>
        <v>0</v>
      </c>
      <c r="CI420" s="8">
        <f t="shared" si="310"/>
        <v>0</v>
      </c>
      <c r="CJ420" s="8">
        <f t="shared" si="311"/>
        <v>0</v>
      </c>
      <c r="CK420" s="8">
        <f t="shared" si="312"/>
        <v>0</v>
      </c>
      <c r="CL420" s="8">
        <f t="shared" si="313"/>
        <v>0</v>
      </c>
      <c r="CM420" s="8">
        <f t="shared" si="314"/>
        <v>0</v>
      </c>
      <c r="CN420" s="8">
        <f t="shared" si="315"/>
        <v>0</v>
      </c>
      <c r="CO420" s="8">
        <f t="shared" si="316"/>
        <v>0</v>
      </c>
      <c r="CP420" s="8">
        <f t="shared" si="317"/>
        <v>0</v>
      </c>
      <c r="CQ420" s="8">
        <f t="shared" si="318"/>
        <v>0</v>
      </c>
      <c r="CR420" s="8">
        <f t="shared" si="319"/>
        <v>0</v>
      </c>
      <c r="CS420" s="8">
        <f t="shared" si="320"/>
        <v>0</v>
      </c>
      <c r="CT420" s="8">
        <f t="shared" si="325"/>
        <v>0</v>
      </c>
      <c r="CU420" s="8">
        <f t="shared" si="326"/>
        <v>0</v>
      </c>
      <c r="CV420" s="8">
        <f t="shared" si="327"/>
        <v>0</v>
      </c>
    </row>
    <row r="421" spans="1:100" ht="20.5" thickTop="1" thickBot="1" x14ac:dyDescent="0.5">
      <c r="A421" s="32"/>
      <c r="B421" s="10"/>
      <c r="C421" s="10"/>
      <c r="D421" s="11"/>
      <c r="E421" s="10"/>
      <c r="F421" s="10"/>
      <c r="G421" s="19"/>
      <c r="H421" s="19"/>
      <c r="I421" s="19"/>
      <c r="J421" s="19"/>
      <c r="K421" s="10"/>
      <c r="L421" s="10"/>
      <c r="M421" s="10"/>
      <c r="N421" s="10"/>
      <c r="O421" s="18"/>
      <c r="P421" s="18"/>
      <c r="Q421" s="21"/>
      <c r="R421" s="20"/>
      <c r="S421" s="16">
        <f t="shared" si="283"/>
        <v>0</v>
      </c>
      <c r="T421" s="11"/>
      <c r="AS421" s="31">
        <f t="shared" si="284"/>
        <v>0</v>
      </c>
      <c r="AT421" s="31">
        <f t="shared" si="285"/>
        <v>0</v>
      </c>
      <c r="AU421" s="31">
        <f t="shared" si="286"/>
        <v>0</v>
      </c>
      <c r="AV421" s="31">
        <f t="shared" si="287"/>
        <v>0</v>
      </c>
      <c r="AW421" s="31">
        <f t="shared" si="288"/>
        <v>0</v>
      </c>
      <c r="AX421" s="31">
        <f t="shared" si="289"/>
        <v>0</v>
      </c>
      <c r="AY421" s="31">
        <f t="shared" si="290"/>
        <v>0</v>
      </c>
      <c r="AZ421" s="31">
        <f t="shared" si="291"/>
        <v>0</v>
      </c>
      <c r="BA421" s="31">
        <f t="shared" si="292"/>
        <v>0</v>
      </c>
      <c r="BB421" s="31">
        <f t="shared" si="321"/>
        <v>0</v>
      </c>
      <c r="BM421" s="8">
        <f t="shared" si="322"/>
        <v>0</v>
      </c>
      <c r="BN421" s="8">
        <f t="shared" si="293"/>
        <v>0</v>
      </c>
      <c r="BO421" s="8">
        <f t="shared" si="294"/>
        <v>0</v>
      </c>
      <c r="BQ421" s="8">
        <f t="shared" si="295"/>
        <v>0</v>
      </c>
      <c r="BR421" s="63">
        <f t="shared" si="296"/>
        <v>0</v>
      </c>
      <c r="BS421" s="63">
        <f t="shared" si="323"/>
        <v>0</v>
      </c>
      <c r="BT421" s="63">
        <f t="shared" si="297"/>
        <v>0</v>
      </c>
      <c r="BU421" s="63">
        <f t="shared" si="298"/>
        <v>0</v>
      </c>
      <c r="BV421" s="57">
        <f t="shared" si="299"/>
        <v>0</v>
      </c>
      <c r="BW421" s="57">
        <f t="shared" si="300"/>
        <v>0</v>
      </c>
      <c r="BX421" s="57">
        <f t="shared" si="324"/>
        <v>0</v>
      </c>
      <c r="BY421" s="57">
        <f t="shared" si="328"/>
        <v>0</v>
      </c>
      <c r="BZ421" s="8">
        <f t="shared" si="301"/>
        <v>0</v>
      </c>
      <c r="CA421" s="8">
        <f t="shared" si="302"/>
        <v>0</v>
      </c>
      <c r="CB421" s="8">
        <f t="shared" si="303"/>
        <v>0</v>
      </c>
      <c r="CC421" s="8">
        <f t="shared" si="304"/>
        <v>0</v>
      </c>
      <c r="CD421" s="8">
        <f t="shared" si="305"/>
        <v>0</v>
      </c>
      <c r="CE421" s="8">
        <f t="shared" si="306"/>
        <v>0</v>
      </c>
      <c r="CF421" s="8">
        <f t="shared" si="307"/>
        <v>0</v>
      </c>
      <c r="CG421" s="8">
        <f t="shared" si="308"/>
        <v>0</v>
      </c>
      <c r="CH421" s="8">
        <f t="shared" si="309"/>
        <v>0</v>
      </c>
      <c r="CI421" s="8">
        <f t="shared" si="310"/>
        <v>0</v>
      </c>
      <c r="CJ421" s="8">
        <f t="shared" si="311"/>
        <v>0</v>
      </c>
      <c r="CK421" s="8">
        <f t="shared" si="312"/>
        <v>0</v>
      </c>
      <c r="CL421" s="8">
        <f t="shared" si="313"/>
        <v>0</v>
      </c>
      <c r="CM421" s="8">
        <f t="shared" si="314"/>
        <v>0</v>
      </c>
      <c r="CN421" s="8">
        <f t="shared" si="315"/>
        <v>0</v>
      </c>
      <c r="CO421" s="8">
        <f t="shared" si="316"/>
        <v>0</v>
      </c>
      <c r="CP421" s="8">
        <f t="shared" si="317"/>
        <v>0</v>
      </c>
      <c r="CQ421" s="8">
        <f t="shared" si="318"/>
        <v>0</v>
      </c>
      <c r="CR421" s="8">
        <f t="shared" si="319"/>
        <v>0</v>
      </c>
      <c r="CS421" s="8">
        <f t="shared" si="320"/>
        <v>0</v>
      </c>
      <c r="CT421" s="8">
        <f t="shared" si="325"/>
        <v>0</v>
      </c>
      <c r="CU421" s="8">
        <f t="shared" si="326"/>
        <v>0</v>
      </c>
      <c r="CV421" s="8">
        <f t="shared" si="327"/>
        <v>0</v>
      </c>
    </row>
    <row r="422" spans="1:100" ht="20.5" thickTop="1" thickBot="1" x14ac:dyDescent="0.5">
      <c r="A422" s="32"/>
      <c r="B422" s="10"/>
      <c r="C422" s="10"/>
      <c r="D422" s="11"/>
      <c r="E422" s="10"/>
      <c r="F422" s="10"/>
      <c r="G422" s="19"/>
      <c r="H422" s="19"/>
      <c r="I422" s="19"/>
      <c r="J422" s="19"/>
      <c r="K422" s="10"/>
      <c r="L422" s="10"/>
      <c r="M422" s="10"/>
      <c r="N422" s="10"/>
      <c r="O422" s="18"/>
      <c r="P422" s="18"/>
      <c r="Q422" s="21"/>
      <c r="R422" s="20"/>
      <c r="S422" s="16">
        <f t="shared" si="283"/>
        <v>0</v>
      </c>
      <c r="T422" s="11"/>
      <c r="AS422" s="31">
        <f t="shared" si="284"/>
        <v>0</v>
      </c>
      <c r="AT422" s="31">
        <f t="shared" si="285"/>
        <v>0</v>
      </c>
      <c r="AU422" s="31">
        <f t="shared" si="286"/>
        <v>0</v>
      </c>
      <c r="AV422" s="31">
        <f t="shared" si="287"/>
        <v>0</v>
      </c>
      <c r="AW422" s="31">
        <f t="shared" si="288"/>
        <v>0</v>
      </c>
      <c r="AX422" s="31">
        <f t="shared" si="289"/>
        <v>0</v>
      </c>
      <c r="AY422" s="31">
        <f t="shared" si="290"/>
        <v>0</v>
      </c>
      <c r="AZ422" s="31">
        <f t="shared" si="291"/>
        <v>0</v>
      </c>
      <c r="BA422" s="31">
        <f t="shared" si="292"/>
        <v>0</v>
      </c>
      <c r="BB422" s="31">
        <f t="shared" si="321"/>
        <v>0</v>
      </c>
      <c r="BM422" s="8">
        <f t="shared" si="322"/>
        <v>0</v>
      </c>
      <c r="BN422" s="8">
        <f t="shared" si="293"/>
        <v>0</v>
      </c>
      <c r="BO422" s="8">
        <f t="shared" si="294"/>
        <v>0</v>
      </c>
      <c r="BQ422" s="8">
        <f t="shared" si="295"/>
        <v>0</v>
      </c>
      <c r="BR422" s="63">
        <f t="shared" si="296"/>
        <v>0</v>
      </c>
      <c r="BS422" s="63">
        <f t="shared" si="323"/>
        <v>0</v>
      </c>
      <c r="BT422" s="63">
        <f t="shared" si="297"/>
        <v>0</v>
      </c>
      <c r="BU422" s="63">
        <f t="shared" si="298"/>
        <v>0</v>
      </c>
      <c r="BV422" s="57">
        <f t="shared" si="299"/>
        <v>0</v>
      </c>
      <c r="BW422" s="57">
        <f t="shared" si="300"/>
        <v>0</v>
      </c>
      <c r="BX422" s="57">
        <f t="shared" si="324"/>
        <v>0</v>
      </c>
      <c r="BY422" s="57">
        <f t="shared" si="328"/>
        <v>0</v>
      </c>
      <c r="BZ422" s="8">
        <f t="shared" si="301"/>
        <v>0</v>
      </c>
      <c r="CA422" s="8">
        <f t="shared" si="302"/>
        <v>0</v>
      </c>
      <c r="CB422" s="8">
        <f t="shared" si="303"/>
        <v>0</v>
      </c>
      <c r="CC422" s="8">
        <f t="shared" si="304"/>
        <v>0</v>
      </c>
      <c r="CD422" s="8">
        <f t="shared" si="305"/>
        <v>0</v>
      </c>
      <c r="CE422" s="8">
        <f t="shared" si="306"/>
        <v>0</v>
      </c>
      <c r="CF422" s="8">
        <f t="shared" si="307"/>
        <v>0</v>
      </c>
      <c r="CG422" s="8">
        <f t="shared" si="308"/>
        <v>0</v>
      </c>
      <c r="CH422" s="8">
        <f t="shared" si="309"/>
        <v>0</v>
      </c>
      <c r="CI422" s="8">
        <f t="shared" si="310"/>
        <v>0</v>
      </c>
      <c r="CJ422" s="8">
        <f t="shared" si="311"/>
        <v>0</v>
      </c>
      <c r="CK422" s="8">
        <f t="shared" si="312"/>
        <v>0</v>
      </c>
      <c r="CL422" s="8">
        <f t="shared" si="313"/>
        <v>0</v>
      </c>
      <c r="CM422" s="8">
        <f t="shared" si="314"/>
        <v>0</v>
      </c>
      <c r="CN422" s="8">
        <f t="shared" si="315"/>
        <v>0</v>
      </c>
      <c r="CO422" s="8">
        <f t="shared" si="316"/>
        <v>0</v>
      </c>
      <c r="CP422" s="8">
        <f t="shared" si="317"/>
        <v>0</v>
      </c>
      <c r="CQ422" s="8">
        <f t="shared" si="318"/>
        <v>0</v>
      </c>
      <c r="CR422" s="8">
        <f t="shared" si="319"/>
        <v>0</v>
      </c>
      <c r="CS422" s="8">
        <f t="shared" si="320"/>
        <v>0</v>
      </c>
      <c r="CT422" s="8">
        <f t="shared" si="325"/>
        <v>0</v>
      </c>
      <c r="CU422" s="8">
        <f t="shared" si="326"/>
        <v>0</v>
      </c>
      <c r="CV422" s="8">
        <f t="shared" si="327"/>
        <v>0</v>
      </c>
    </row>
    <row r="423" spans="1:100" ht="20.5" thickTop="1" thickBot="1" x14ac:dyDescent="0.5">
      <c r="A423" s="32"/>
      <c r="B423" s="10"/>
      <c r="C423" s="10"/>
      <c r="D423" s="11"/>
      <c r="E423" s="10"/>
      <c r="F423" s="10"/>
      <c r="G423" s="19"/>
      <c r="H423" s="19"/>
      <c r="I423" s="19"/>
      <c r="J423" s="19"/>
      <c r="K423" s="10"/>
      <c r="L423" s="10"/>
      <c r="M423" s="10"/>
      <c r="N423" s="10"/>
      <c r="O423" s="18"/>
      <c r="P423" s="18"/>
      <c r="Q423" s="21"/>
      <c r="R423" s="20"/>
      <c r="S423" s="16">
        <f t="shared" si="283"/>
        <v>0</v>
      </c>
      <c r="T423" s="11"/>
      <c r="AS423" s="31">
        <f t="shared" si="284"/>
        <v>0</v>
      </c>
      <c r="AT423" s="31">
        <f t="shared" si="285"/>
        <v>0</v>
      </c>
      <c r="AU423" s="31">
        <f t="shared" si="286"/>
        <v>0</v>
      </c>
      <c r="AV423" s="31">
        <f t="shared" si="287"/>
        <v>0</v>
      </c>
      <c r="AW423" s="31">
        <f t="shared" si="288"/>
        <v>0</v>
      </c>
      <c r="AX423" s="31">
        <f t="shared" si="289"/>
        <v>0</v>
      </c>
      <c r="AY423" s="31">
        <f t="shared" si="290"/>
        <v>0</v>
      </c>
      <c r="AZ423" s="31">
        <f t="shared" si="291"/>
        <v>0</v>
      </c>
      <c r="BA423" s="31">
        <f t="shared" si="292"/>
        <v>0</v>
      </c>
      <c r="BB423" s="31">
        <f t="shared" si="321"/>
        <v>0</v>
      </c>
      <c r="BM423" s="8">
        <f t="shared" si="322"/>
        <v>0</v>
      </c>
      <c r="BN423" s="8">
        <f t="shared" si="293"/>
        <v>0</v>
      </c>
      <c r="BO423" s="8">
        <f t="shared" si="294"/>
        <v>0</v>
      </c>
      <c r="BQ423" s="8">
        <f t="shared" si="295"/>
        <v>0</v>
      </c>
      <c r="BR423" s="63">
        <f t="shared" si="296"/>
        <v>0</v>
      </c>
      <c r="BS423" s="63">
        <f t="shared" si="323"/>
        <v>0</v>
      </c>
      <c r="BT423" s="63">
        <f t="shared" si="297"/>
        <v>0</v>
      </c>
      <c r="BU423" s="63">
        <f t="shared" si="298"/>
        <v>0</v>
      </c>
      <c r="BV423" s="57">
        <f t="shared" si="299"/>
        <v>0</v>
      </c>
      <c r="BW423" s="57">
        <f t="shared" si="300"/>
        <v>0</v>
      </c>
      <c r="BX423" s="57">
        <f t="shared" si="324"/>
        <v>0</v>
      </c>
      <c r="BY423" s="57">
        <f t="shared" si="328"/>
        <v>0</v>
      </c>
      <c r="BZ423" s="8">
        <f t="shared" si="301"/>
        <v>0</v>
      </c>
      <c r="CA423" s="8">
        <f t="shared" si="302"/>
        <v>0</v>
      </c>
      <c r="CB423" s="8">
        <f t="shared" si="303"/>
        <v>0</v>
      </c>
      <c r="CC423" s="8">
        <f t="shared" si="304"/>
        <v>0</v>
      </c>
      <c r="CD423" s="8">
        <f t="shared" si="305"/>
        <v>0</v>
      </c>
      <c r="CE423" s="8">
        <f t="shared" si="306"/>
        <v>0</v>
      </c>
      <c r="CF423" s="8">
        <f t="shared" si="307"/>
        <v>0</v>
      </c>
      <c r="CG423" s="8">
        <f t="shared" si="308"/>
        <v>0</v>
      </c>
      <c r="CH423" s="8">
        <f t="shared" si="309"/>
        <v>0</v>
      </c>
      <c r="CI423" s="8">
        <f t="shared" si="310"/>
        <v>0</v>
      </c>
      <c r="CJ423" s="8">
        <f t="shared" si="311"/>
        <v>0</v>
      </c>
      <c r="CK423" s="8">
        <f t="shared" si="312"/>
        <v>0</v>
      </c>
      <c r="CL423" s="8">
        <f t="shared" si="313"/>
        <v>0</v>
      </c>
      <c r="CM423" s="8">
        <f t="shared" si="314"/>
        <v>0</v>
      </c>
      <c r="CN423" s="8">
        <f t="shared" si="315"/>
        <v>0</v>
      </c>
      <c r="CO423" s="8">
        <f t="shared" si="316"/>
        <v>0</v>
      </c>
      <c r="CP423" s="8">
        <f t="shared" si="317"/>
        <v>0</v>
      </c>
      <c r="CQ423" s="8">
        <f t="shared" si="318"/>
        <v>0</v>
      </c>
      <c r="CR423" s="8">
        <f t="shared" si="319"/>
        <v>0</v>
      </c>
      <c r="CS423" s="8">
        <f t="shared" si="320"/>
        <v>0</v>
      </c>
      <c r="CT423" s="8">
        <f t="shared" si="325"/>
        <v>0</v>
      </c>
      <c r="CU423" s="8">
        <f t="shared" si="326"/>
        <v>0</v>
      </c>
      <c r="CV423" s="8">
        <f t="shared" si="327"/>
        <v>0</v>
      </c>
    </row>
    <row r="424" spans="1:100" ht="20.5" thickTop="1" thickBot="1" x14ac:dyDescent="0.5">
      <c r="A424" s="32"/>
      <c r="B424" s="10"/>
      <c r="C424" s="10"/>
      <c r="D424" s="11"/>
      <c r="E424" s="10"/>
      <c r="F424" s="10"/>
      <c r="G424" s="19"/>
      <c r="H424" s="19"/>
      <c r="I424" s="19"/>
      <c r="J424" s="19"/>
      <c r="K424" s="10"/>
      <c r="L424" s="10"/>
      <c r="M424" s="10"/>
      <c r="N424" s="10"/>
      <c r="O424" s="18"/>
      <c r="P424" s="18"/>
      <c r="Q424" s="21"/>
      <c r="R424" s="20"/>
      <c r="S424" s="16">
        <f t="shared" si="283"/>
        <v>0</v>
      </c>
      <c r="T424" s="11"/>
      <c r="AS424" s="31">
        <f t="shared" si="284"/>
        <v>0</v>
      </c>
      <c r="AT424" s="31">
        <f t="shared" si="285"/>
        <v>0</v>
      </c>
      <c r="AU424" s="31">
        <f t="shared" si="286"/>
        <v>0</v>
      </c>
      <c r="AV424" s="31">
        <f t="shared" si="287"/>
        <v>0</v>
      </c>
      <c r="AW424" s="31">
        <f t="shared" si="288"/>
        <v>0</v>
      </c>
      <c r="AX424" s="31">
        <f t="shared" si="289"/>
        <v>0</v>
      </c>
      <c r="AY424" s="31">
        <f t="shared" si="290"/>
        <v>0</v>
      </c>
      <c r="AZ424" s="31">
        <f t="shared" si="291"/>
        <v>0</v>
      </c>
      <c r="BA424" s="31">
        <f t="shared" si="292"/>
        <v>0</v>
      </c>
      <c r="BB424" s="31">
        <f t="shared" si="321"/>
        <v>0</v>
      </c>
      <c r="BM424" s="8">
        <f t="shared" si="322"/>
        <v>0</v>
      </c>
      <c r="BN424" s="8">
        <f t="shared" si="293"/>
        <v>0</v>
      </c>
      <c r="BO424" s="8">
        <f t="shared" si="294"/>
        <v>0</v>
      </c>
      <c r="BQ424" s="8">
        <f t="shared" si="295"/>
        <v>0</v>
      </c>
      <c r="BR424" s="63">
        <f t="shared" si="296"/>
        <v>0</v>
      </c>
      <c r="BS424" s="63">
        <f t="shared" si="323"/>
        <v>0</v>
      </c>
      <c r="BT424" s="63">
        <f t="shared" si="297"/>
        <v>0</v>
      </c>
      <c r="BU424" s="63">
        <f t="shared" si="298"/>
        <v>0</v>
      </c>
      <c r="BV424" s="57">
        <f t="shared" si="299"/>
        <v>0</v>
      </c>
      <c r="BW424" s="57">
        <f t="shared" si="300"/>
        <v>0</v>
      </c>
      <c r="BX424" s="57">
        <f t="shared" si="324"/>
        <v>0</v>
      </c>
      <c r="BY424" s="57">
        <f t="shared" si="328"/>
        <v>0</v>
      </c>
      <c r="BZ424" s="8">
        <f t="shared" si="301"/>
        <v>0</v>
      </c>
      <c r="CA424" s="8">
        <f t="shared" si="302"/>
        <v>0</v>
      </c>
      <c r="CB424" s="8">
        <f t="shared" si="303"/>
        <v>0</v>
      </c>
      <c r="CC424" s="8">
        <f t="shared" si="304"/>
        <v>0</v>
      </c>
      <c r="CD424" s="8">
        <f t="shared" si="305"/>
        <v>0</v>
      </c>
      <c r="CE424" s="8">
        <f t="shared" si="306"/>
        <v>0</v>
      </c>
      <c r="CF424" s="8">
        <f t="shared" si="307"/>
        <v>0</v>
      </c>
      <c r="CG424" s="8">
        <f t="shared" si="308"/>
        <v>0</v>
      </c>
      <c r="CH424" s="8">
        <f t="shared" si="309"/>
        <v>0</v>
      </c>
      <c r="CI424" s="8">
        <f t="shared" si="310"/>
        <v>0</v>
      </c>
      <c r="CJ424" s="8">
        <f t="shared" si="311"/>
        <v>0</v>
      </c>
      <c r="CK424" s="8">
        <f t="shared" si="312"/>
        <v>0</v>
      </c>
      <c r="CL424" s="8">
        <f t="shared" si="313"/>
        <v>0</v>
      </c>
      <c r="CM424" s="8">
        <f t="shared" si="314"/>
        <v>0</v>
      </c>
      <c r="CN424" s="8">
        <f t="shared" si="315"/>
        <v>0</v>
      </c>
      <c r="CO424" s="8">
        <f t="shared" si="316"/>
        <v>0</v>
      </c>
      <c r="CP424" s="8">
        <f t="shared" si="317"/>
        <v>0</v>
      </c>
      <c r="CQ424" s="8">
        <f t="shared" si="318"/>
        <v>0</v>
      </c>
      <c r="CR424" s="8">
        <f t="shared" si="319"/>
        <v>0</v>
      </c>
      <c r="CS424" s="8">
        <f t="shared" si="320"/>
        <v>0</v>
      </c>
      <c r="CT424" s="8">
        <f t="shared" si="325"/>
        <v>0</v>
      </c>
      <c r="CU424" s="8">
        <f t="shared" si="326"/>
        <v>0</v>
      </c>
      <c r="CV424" s="8">
        <f t="shared" si="327"/>
        <v>0</v>
      </c>
    </row>
    <row r="425" spans="1:100" ht="20.5" thickTop="1" thickBot="1" x14ac:dyDescent="0.5">
      <c r="A425" s="32"/>
      <c r="B425" s="10"/>
      <c r="C425" s="10"/>
      <c r="D425" s="11"/>
      <c r="E425" s="10"/>
      <c r="F425" s="10"/>
      <c r="G425" s="19"/>
      <c r="H425" s="19"/>
      <c r="I425" s="19"/>
      <c r="J425" s="19"/>
      <c r="K425" s="10"/>
      <c r="L425" s="10"/>
      <c r="M425" s="10"/>
      <c r="N425" s="10"/>
      <c r="O425" s="18"/>
      <c r="P425" s="18"/>
      <c r="Q425" s="21"/>
      <c r="R425" s="20"/>
      <c r="S425" s="16">
        <f t="shared" si="283"/>
        <v>0</v>
      </c>
      <c r="T425" s="11"/>
      <c r="AS425" s="31">
        <f t="shared" si="284"/>
        <v>0</v>
      </c>
      <c r="AT425" s="31">
        <f t="shared" si="285"/>
        <v>0</v>
      </c>
      <c r="AU425" s="31">
        <f t="shared" si="286"/>
        <v>0</v>
      </c>
      <c r="AV425" s="31">
        <f t="shared" si="287"/>
        <v>0</v>
      </c>
      <c r="AW425" s="31">
        <f t="shared" si="288"/>
        <v>0</v>
      </c>
      <c r="AX425" s="31">
        <f t="shared" si="289"/>
        <v>0</v>
      </c>
      <c r="AY425" s="31">
        <f t="shared" si="290"/>
        <v>0</v>
      </c>
      <c r="AZ425" s="31">
        <f t="shared" si="291"/>
        <v>0</v>
      </c>
      <c r="BA425" s="31">
        <f t="shared" si="292"/>
        <v>0</v>
      </c>
      <c r="BB425" s="31">
        <f t="shared" si="321"/>
        <v>0</v>
      </c>
      <c r="BM425" s="8">
        <f t="shared" si="322"/>
        <v>0</v>
      </c>
      <c r="BN425" s="8">
        <f t="shared" si="293"/>
        <v>0</v>
      </c>
      <c r="BO425" s="8">
        <f t="shared" si="294"/>
        <v>0</v>
      </c>
      <c r="BQ425" s="8">
        <f t="shared" si="295"/>
        <v>0</v>
      </c>
      <c r="BR425" s="63">
        <f t="shared" si="296"/>
        <v>0</v>
      </c>
      <c r="BS425" s="63">
        <f t="shared" si="323"/>
        <v>0</v>
      </c>
      <c r="BT425" s="63">
        <f t="shared" si="297"/>
        <v>0</v>
      </c>
      <c r="BU425" s="63">
        <f t="shared" si="298"/>
        <v>0</v>
      </c>
      <c r="BV425" s="57">
        <f t="shared" si="299"/>
        <v>0</v>
      </c>
      <c r="BW425" s="57">
        <f t="shared" si="300"/>
        <v>0</v>
      </c>
      <c r="BX425" s="57">
        <f t="shared" si="324"/>
        <v>0</v>
      </c>
      <c r="BY425" s="57">
        <f t="shared" si="328"/>
        <v>0</v>
      </c>
      <c r="BZ425" s="8">
        <f t="shared" si="301"/>
        <v>0</v>
      </c>
      <c r="CA425" s="8">
        <f t="shared" si="302"/>
        <v>0</v>
      </c>
      <c r="CB425" s="8">
        <f t="shared" si="303"/>
        <v>0</v>
      </c>
      <c r="CC425" s="8">
        <f t="shared" si="304"/>
        <v>0</v>
      </c>
      <c r="CD425" s="8">
        <f t="shared" si="305"/>
        <v>0</v>
      </c>
      <c r="CE425" s="8">
        <f t="shared" si="306"/>
        <v>0</v>
      </c>
      <c r="CF425" s="8">
        <f t="shared" si="307"/>
        <v>0</v>
      </c>
      <c r="CG425" s="8">
        <f t="shared" si="308"/>
        <v>0</v>
      </c>
      <c r="CH425" s="8">
        <f t="shared" si="309"/>
        <v>0</v>
      </c>
      <c r="CI425" s="8">
        <f t="shared" si="310"/>
        <v>0</v>
      </c>
      <c r="CJ425" s="8">
        <f t="shared" si="311"/>
        <v>0</v>
      </c>
      <c r="CK425" s="8">
        <f t="shared" si="312"/>
        <v>0</v>
      </c>
      <c r="CL425" s="8">
        <f t="shared" si="313"/>
        <v>0</v>
      </c>
      <c r="CM425" s="8">
        <f t="shared" si="314"/>
        <v>0</v>
      </c>
      <c r="CN425" s="8">
        <f t="shared" si="315"/>
        <v>0</v>
      </c>
      <c r="CO425" s="8">
        <f t="shared" si="316"/>
        <v>0</v>
      </c>
      <c r="CP425" s="8">
        <f t="shared" si="317"/>
        <v>0</v>
      </c>
      <c r="CQ425" s="8">
        <f t="shared" si="318"/>
        <v>0</v>
      </c>
      <c r="CR425" s="8">
        <f t="shared" si="319"/>
        <v>0</v>
      </c>
      <c r="CS425" s="8">
        <f t="shared" si="320"/>
        <v>0</v>
      </c>
      <c r="CT425" s="8">
        <f t="shared" si="325"/>
        <v>0</v>
      </c>
      <c r="CU425" s="8">
        <f t="shared" si="326"/>
        <v>0</v>
      </c>
      <c r="CV425" s="8">
        <f t="shared" si="327"/>
        <v>0</v>
      </c>
    </row>
    <row r="426" spans="1:100" ht="20.5" thickTop="1" thickBot="1" x14ac:dyDescent="0.5">
      <c r="A426" s="32"/>
      <c r="B426" s="10"/>
      <c r="C426" s="10"/>
      <c r="D426" s="11"/>
      <c r="E426" s="10"/>
      <c r="F426" s="10"/>
      <c r="G426" s="19"/>
      <c r="H426" s="19"/>
      <c r="I426" s="19"/>
      <c r="J426" s="19"/>
      <c r="K426" s="10"/>
      <c r="L426" s="10"/>
      <c r="M426" s="10"/>
      <c r="N426" s="10"/>
      <c r="O426" s="18"/>
      <c r="P426" s="18"/>
      <c r="Q426" s="21"/>
      <c r="R426" s="20"/>
      <c r="S426" s="16">
        <f t="shared" si="283"/>
        <v>0</v>
      </c>
      <c r="T426" s="11"/>
      <c r="AS426" s="31">
        <f t="shared" si="284"/>
        <v>0</v>
      </c>
      <c r="AT426" s="31">
        <f t="shared" si="285"/>
        <v>0</v>
      </c>
      <c r="AU426" s="31">
        <f t="shared" si="286"/>
        <v>0</v>
      </c>
      <c r="AV426" s="31">
        <f t="shared" si="287"/>
        <v>0</v>
      </c>
      <c r="AW426" s="31">
        <f t="shared" si="288"/>
        <v>0</v>
      </c>
      <c r="AX426" s="31">
        <f t="shared" si="289"/>
        <v>0</v>
      </c>
      <c r="AY426" s="31">
        <f t="shared" si="290"/>
        <v>0</v>
      </c>
      <c r="AZ426" s="31">
        <f t="shared" si="291"/>
        <v>0</v>
      </c>
      <c r="BA426" s="31">
        <f t="shared" si="292"/>
        <v>0</v>
      </c>
      <c r="BB426" s="31">
        <f t="shared" si="321"/>
        <v>0</v>
      </c>
      <c r="BM426" s="8">
        <f t="shared" si="322"/>
        <v>0</v>
      </c>
      <c r="BN426" s="8">
        <f t="shared" si="293"/>
        <v>0</v>
      </c>
      <c r="BO426" s="8">
        <f t="shared" si="294"/>
        <v>0</v>
      </c>
      <c r="BQ426" s="8">
        <f t="shared" si="295"/>
        <v>0</v>
      </c>
      <c r="BR426" s="63">
        <f t="shared" si="296"/>
        <v>0</v>
      </c>
      <c r="BS426" s="63">
        <f t="shared" si="323"/>
        <v>0</v>
      </c>
      <c r="BT426" s="63">
        <f t="shared" si="297"/>
        <v>0</v>
      </c>
      <c r="BU426" s="63">
        <f t="shared" si="298"/>
        <v>0</v>
      </c>
      <c r="BV426" s="57">
        <f t="shared" si="299"/>
        <v>0</v>
      </c>
      <c r="BW426" s="57">
        <f t="shared" si="300"/>
        <v>0</v>
      </c>
      <c r="BX426" s="57">
        <f t="shared" si="324"/>
        <v>0</v>
      </c>
      <c r="BY426" s="57">
        <f t="shared" si="328"/>
        <v>0</v>
      </c>
      <c r="BZ426" s="8">
        <f t="shared" si="301"/>
        <v>0</v>
      </c>
      <c r="CA426" s="8">
        <f t="shared" si="302"/>
        <v>0</v>
      </c>
      <c r="CB426" s="8">
        <f t="shared" si="303"/>
        <v>0</v>
      </c>
      <c r="CC426" s="8">
        <f t="shared" si="304"/>
        <v>0</v>
      </c>
      <c r="CD426" s="8">
        <f t="shared" si="305"/>
        <v>0</v>
      </c>
      <c r="CE426" s="8">
        <f t="shared" si="306"/>
        <v>0</v>
      </c>
      <c r="CF426" s="8">
        <f t="shared" si="307"/>
        <v>0</v>
      </c>
      <c r="CG426" s="8">
        <f t="shared" si="308"/>
        <v>0</v>
      </c>
      <c r="CH426" s="8">
        <f t="shared" si="309"/>
        <v>0</v>
      </c>
      <c r="CI426" s="8">
        <f t="shared" si="310"/>
        <v>0</v>
      </c>
      <c r="CJ426" s="8">
        <f t="shared" si="311"/>
        <v>0</v>
      </c>
      <c r="CK426" s="8">
        <f t="shared" si="312"/>
        <v>0</v>
      </c>
      <c r="CL426" s="8">
        <f t="shared" si="313"/>
        <v>0</v>
      </c>
      <c r="CM426" s="8">
        <f t="shared" si="314"/>
        <v>0</v>
      </c>
      <c r="CN426" s="8">
        <f t="shared" si="315"/>
        <v>0</v>
      </c>
      <c r="CO426" s="8">
        <f t="shared" si="316"/>
        <v>0</v>
      </c>
      <c r="CP426" s="8">
        <f t="shared" si="317"/>
        <v>0</v>
      </c>
      <c r="CQ426" s="8">
        <f t="shared" si="318"/>
        <v>0</v>
      </c>
      <c r="CR426" s="8">
        <f t="shared" si="319"/>
        <v>0</v>
      </c>
      <c r="CS426" s="8">
        <f t="shared" si="320"/>
        <v>0</v>
      </c>
      <c r="CT426" s="8">
        <f t="shared" si="325"/>
        <v>0</v>
      </c>
      <c r="CU426" s="8">
        <f t="shared" si="326"/>
        <v>0</v>
      </c>
      <c r="CV426" s="8">
        <f t="shared" si="327"/>
        <v>0</v>
      </c>
    </row>
    <row r="427" spans="1:100" ht="20.5" thickTop="1" thickBot="1" x14ac:dyDescent="0.5">
      <c r="A427" s="32"/>
      <c r="B427" s="10"/>
      <c r="C427" s="10"/>
      <c r="D427" s="11"/>
      <c r="E427" s="10"/>
      <c r="F427" s="10"/>
      <c r="G427" s="19"/>
      <c r="H427" s="19"/>
      <c r="I427" s="19"/>
      <c r="J427" s="19"/>
      <c r="K427" s="10"/>
      <c r="L427" s="10"/>
      <c r="M427" s="10"/>
      <c r="N427" s="10"/>
      <c r="O427" s="18"/>
      <c r="P427" s="18"/>
      <c r="Q427" s="21"/>
      <c r="R427" s="20"/>
      <c r="S427" s="16">
        <f t="shared" si="283"/>
        <v>0</v>
      </c>
      <c r="T427" s="11"/>
      <c r="AS427" s="31">
        <f t="shared" si="284"/>
        <v>0</v>
      </c>
      <c r="AT427" s="31">
        <f t="shared" si="285"/>
        <v>0</v>
      </c>
      <c r="AU427" s="31">
        <f t="shared" si="286"/>
        <v>0</v>
      </c>
      <c r="AV427" s="31">
        <f t="shared" si="287"/>
        <v>0</v>
      </c>
      <c r="AW427" s="31">
        <f t="shared" si="288"/>
        <v>0</v>
      </c>
      <c r="AX427" s="31">
        <f t="shared" si="289"/>
        <v>0</v>
      </c>
      <c r="AY427" s="31">
        <f t="shared" si="290"/>
        <v>0</v>
      </c>
      <c r="AZ427" s="31">
        <f t="shared" si="291"/>
        <v>0</v>
      </c>
      <c r="BA427" s="31">
        <f t="shared" si="292"/>
        <v>0</v>
      </c>
      <c r="BB427" s="31">
        <f t="shared" si="321"/>
        <v>0</v>
      </c>
      <c r="BM427" s="8">
        <f t="shared" si="322"/>
        <v>0</v>
      </c>
      <c r="BN427" s="8">
        <f t="shared" si="293"/>
        <v>0</v>
      </c>
      <c r="BO427" s="8">
        <f t="shared" si="294"/>
        <v>0</v>
      </c>
      <c r="BQ427" s="8">
        <f t="shared" si="295"/>
        <v>0</v>
      </c>
      <c r="BR427" s="63">
        <f t="shared" si="296"/>
        <v>0</v>
      </c>
      <c r="BS427" s="63">
        <f t="shared" si="323"/>
        <v>0</v>
      </c>
      <c r="BT427" s="63">
        <f t="shared" si="297"/>
        <v>0</v>
      </c>
      <c r="BU427" s="63">
        <f t="shared" si="298"/>
        <v>0</v>
      </c>
      <c r="BV427" s="57">
        <f t="shared" si="299"/>
        <v>0</v>
      </c>
      <c r="BW427" s="57">
        <f t="shared" si="300"/>
        <v>0</v>
      </c>
      <c r="BX427" s="57">
        <f t="shared" si="324"/>
        <v>0</v>
      </c>
      <c r="BY427" s="57">
        <f t="shared" si="328"/>
        <v>0</v>
      </c>
      <c r="BZ427" s="8">
        <f t="shared" si="301"/>
        <v>0</v>
      </c>
      <c r="CA427" s="8">
        <f t="shared" si="302"/>
        <v>0</v>
      </c>
      <c r="CB427" s="8">
        <f t="shared" si="303"/>
        <v>0</v>
      </c>
      <c r="CC427" s="8">
        <f t="shared" si="304"/>
        <v>0</v>
      </c>
      <c r="CD427" s="8">
        <f t="shared" si="305"/>
        <v>0</v>
      </c>
      <c r="CE427" s="8">
        <f t="shared" si="306"/>
        <v>0</v>
      </c>
      <c r="CF427" s="8">
        <f t="shared" si="307"/>
        <v>0</v>
      </c>
      <c r="CG427" s="8">
        <f t="shared" si="308"/>
        <v>0</v>
      </c>
      <c r="CH427" s="8">
        <f t="shared" si="309"/>
        <v>0</v>
      </c>
      <c r="CI427" s="8">
        <f t="shared" si="310"/>
        <v>0</v>
      </c>
      <c r="CJ427" s="8">
        <f t="shared" si="311"/>
        <v>0</v>
      </c>
      <c r="CK427" s="8">
        <f t="shared" si="312"/>
        <v>0</v>
      </c>
      <c r="CL427" s="8">
        <f t="shared" si="313"/>
        <v>0</v>
      </c>
      <c r="CM427" s="8">
        <f t="shared" si="314"/>
        <v>0</v>
      </c>
      <c r="CN427" s="8">
        <f t="shared" si="315"/>
        <v>0</v>
      </c>
      <c r="CO427" s="8">
        <f t="shared" si="316"/>
        <v>0</v>
      </c>
      <c r="CP427" s="8">
        <f t="shared" si="317"/>
        <v>0</v>
      </c>
      <c r="CQ427" s="8">
        <f t="shared" si="318"/>
        <v>0</v>
      </c>
      <c r="CR427" s="8">
        <f t="shared" si="319"/>
        <v>0</v>
      </c>
      <c r="CS427" s="8">
        <f t="shared" si="320"/>
        <v>0</v>
      </c>
      <c r="CT427" s="8">
        <f t="shared" si="325"/>
        <v>0</v>
      </c>
      <c r="CU427" s="8">
        <f t="shared" si="326"/>
        <v>0</v>
      </c>
      <c r="CV427" s="8">
        <f t="shared" si="327"/>
        <v>0</v>
      </c>
    </row>
    <row r="428" spans="1:100" ht="20.5" thickTop="1" thickBot="1" x14ac:dyDescent="0.5">
      <c r="A428" s="32"/>
      <c r="B428" s="10"/>
      <c r="C428" s="10"/>
      <c r="D428" s="11"/>
      <c r="E428" s="10"/>
      <c r="F428" s="10"/>
      <c r="G428" s="19"/>
      <c r="H428" s="19"/>
      <c r="I428" s="19"/>
      <c r="J428" s="19"/>
      <c r="K428" s="10"/>
      <c r="L428" s="10"/>
      <c r="M428" s="10"/>
      <c r="N428" s="10"/>
      <c r="O428" s="18"/>
      <c r="P428" s="18"/>
      <c r="Q428" s="21"/>
      <c r="R428" s="20"/>
      <c r="S428" s="16">
        <f t="shared" si="283"/>
        <v>0</v>
      </c>
      <c r="T428" s="11"/>
      <c r="AS428" s="31">
        <f t="shared" si="284"/>
        <v>0</v>
      </c>
      <c r="AT428" s="31">
        <f t="shared" si="285"/>
        <v>0</v>
      </c>
      <c r="AU428" s="31">
        <f t="shared" si="286"/>
        <v>0</v>
      </c>
      <c r="AV428" s="31">
        <f t="shared" si="287"/>
        <v>0</v>
      </c>
      <c r="AW428" s="31">
        <f t="shared" si="288"/>
        <v>0</v>
      </c>
      <c r="AX428" s="31">
        <f t="shared" si="289"/>
        <v>0</v>
      </c>
      <c r="AY428" s="31">
        <f t="shared" si="290"/>
        <v>0</v>
      </c>
      <c r="AZ428" s="31">
        <f t="shared" si="291"/>
        <v>0</v>
      </c>
      <c r="BA428" s="31">
        <f t="shared" si="292"/>
        <v>0</v>
      </c>
      <c r="BB428" s="31">
        <f t="shared" si="321"/>
        <v>0</v>
      </c>
      <c r="BM428" s="8">
        <f t="shared" si="322"/>
        <v>0</v>
      </c>
      <c r="BN428" s="8">
        <f t="shared" si="293"/>
        <v>0</v>
      </c>
      <c r="BO428" s="8">
        <f t="shared" si="294"/>
        <v>0</v>
      </c>
      <c r="BQ428" s="8">
        <f t="shared" si="295"/>
        <v>0</v>
      </c>
      <c r="BR428" s="63">
        <f t="shared" si="296"/>
        <v>0</v>
      </c>
      <c r="BS428" s="63">
        <f t="shared" si="323"/>
        <v>0</v>
      </c>
      <c r="BT428" s="63">
        <f t="shared" si="297"/>
        <v>0</v>
      </c>
      <c r="BU428" s="63">
        <f t="shared" si="298"/>
        <v>0</v>
      </c>
      <c r="BV428" s="57">
        <f t="shared" si="299"/>
        <v>0</v>
      </c>
      <c r="BW428" s="57">
        <f t="shared" si="300"/>
        <v>0</v>
      </c>
      <c r="BX428" s="57">
        <f t="shared" si="324"/>
        <v>0</v>
      </c>
      <c r="BY428" s="57">
        <f t="shared" si="328"/>
        <v>0</v>
      </c>
      <c r="BZ428" s="8">
        <f t="shared" si="301"/>
        <v>0</v>
      </c>
      <c r="CA428" s="8">
        <f t="shared" si="302"/>
        <v>0</v>
      </c>
      <c r="CB428" s="8">
        <f t="shared" si="303"/>
        <v>0</v>
      </c>
      <c r="CC428" s="8">
        <f t="shared" si="304"/>
        <v>0</v>
      </c>
      <c r="CD428" s="8">
        <f t="shared" si="305"/>
        <v>0</v>
      </c>
      <c r="CE428" s="8">
        <f t="shared" si="306"/>
        <v>0</v>
      </c>
      <c r="CF428" s="8">
        <f t="shared" si="307"/>
        <v>0</v>
      </c>
      <c r="CG428" s="8">
        <f t="shared" si="308"/>
        <v>0</v>
      </c>
      <c r="CH428" s="8">
        <f t="shared" si="309"/>
        <v>0</v>
      </c>
      <c r="CI428" s="8">
        <f t="shared" si="310"/>
        <v>0</v>
      </c>
      <c r="CJ428" s="8">
        <f t="shared" si="311"/>
        <v>0</v>
      </c>
      <c r="CK428" s="8">
        <f t="shared" si="312"/>
        <v>0</v>
      </c>
      <c r="CL428" s="8">
        <f t="shared" si="313"/>
        <v>0</v>
      </c>
      <c r="CM428" s="8">
        <f t="shared" si="314"/>
        <v>0</v>
      </c>
      <c r="CN428" s="8">
        <f t="shared" si="315"/>
        <v>0</v>
      </c>
      <c r="CO428" s="8">
        <f t="shared" si="316"/>
        <v>0</v>
      </c>
      <c r="CP428" s="8">
        <f t="shared" si="317"/>
        <v>0</v>
      </c>
      <c r="CQ428" s="8">
        <f t="shared" si="318"/>
        <v>0</v>
      </c>
      <c r="CR428" s="8">
        <f t="shared" si="319"/>
        <v>0</v>
      </c>
      <c r="CS428" s="8">
        <f t="shared" si="320"/>
        <v>0</v>
      </c>
      <c r="CT428" s="8">
        <f t="shared" si="325"/>
        <v>0</v>
      </c>
      <c r="CU428" s="8">
        <f t="shared" si="326"/>
        <v>0</v>
      </c>
      <c r="CV428" s="8">
        <f t="shared" si="327"/>
        <v>0</v>
      </c>
    </row>
    <row r="429" spans="1:100" ht="20.5" thickTop="1" thickBot="1" x14ac:dyDescent="0.5">
      <c r="A429" s="32"/>
      <c r="B429" s="10"/>
      <c r="C429" s="10"/>
      <c r="D429" s="11"/>
      <c r="E429" s="10"/>
      <c r="F429" s="10"/>
      <c r="G429" s="19"/>
      <c r="H429" s="19"/>
      <c r="I429" s="19"/>
      <c r="J429" s="19"/>
      <c r="K429" s="10"/>
      <c r="L429" s="10"/>
      <c r="M429" s="10"/>
      <c r="N429" s="10"/>
      <c r="O429" s="18"/>
      <c r="P429" s="18"/>
      <c r="Q429" s="21"/>
      <c r="R429" s="20"/>
      <c r="S429" s="16">
        <f t="shared" si="283"/>
        <v>0</v>
      </c>
      <c r="T429" s="11"/>
      <c r="AS429" s="31">
        <f t="shared" si="284"/>
        <v>0</v>
      </c>
      <c r="AT429" s="31">
        <f t="shared" si="285"/>
        <v>0</v>
      </c>
      <c r="AU429" s="31">
        <f t="shared" si="286"/>
        <v>0</v>
      </c>
      <c r="AV429" s="31">
        <f t="shared" si="287"/>
        <v>0</v>
      </c>
      <c r="AW429" s="31">
        <f t="shared" si="288"/>
        <v>0</v>
      </c>
      <c r="AX429" s="31">
        <f t="shared" si="289"/>
        <v>0</v>
      </c>
      <c r="AY429" s="31">
        <f t="shared" si="290"/>
        <v>0</v>
      </c>
      <c r="AZ429" s="31">
        <f t="shared" si="291"/>
        <v>0</v>
      </c>
      <c r="BA429" s="31">
        <f t="shared" si="292"/>
        <v>0</v>
      </c>
      <c r="BB429" s="31">
        <f t="shared" si="321"/>
        <v>0</v>
      </c>
      <c r="BM429" s="8">
        <f t="shared" si="322"/>
        <v>0</v>
      </c>
      <c r="BN429" s="8">
        <f t="shared" si="293"/>
        <v>0</v>
      </c>
      <c r="BO429" s="8">
        <f t="shared" si="294"/>
        <v>0</v>
      </c>
      <c r="BQ429" s="8">
        <f t="shared" si="295"/>
        <v>0</v>
      </c>
      <c r="BR429" s="63">
        <f t="shared" si="296"/>
        <v>0</v>
      </c>
      <c r="BS429" s="63">
        <f t="shared" si="323"/>
        <v>0</v>
      </c>
      <c r="BT429" s="63">
        <f t="shared" si="297"/>
        <v>0</v>
      </c>
      <c r="BU429" s="63">
        <f t="shared" si="298"/>
        <v>0</v>
      </c>
      <c r="BV429" s="57">
        <f t="shared" si="299"/>
        <v>0</v>
      </c>
      <c r="BW429" s="57">
        <f t="shared" si="300"/>
        <v>0</v>
      </c>
      <c r="BX429" s="57">
        <f t="shared" si="324"/>
        <v>0</v>
      </c>
      <c r="BY429" s="57">
        <f t="shared" si="328"/>
        <v>0</v>
      </c>
      <c r="BZ429" s="8">
        <f t="shared" si="301"/>
        <v>0</v>
      </c>
      <c r="CA429" s="8">
        <f t="shared" si="302"/>
        <v>0</v>
      </c>
      <c r="CB429" s="8">
        <f t="shared" si="303"/>
        <v>0</v>
      </c>
      <c r="CC429" s="8">
        <f t="shared" si="304"/>
        <v>0</v>
      </c>
      <c r="CD429" s="8">
        <f t="shared" si="305"/>
        <v>0</v>
      </c>
      <c r="CE429" s="8">
        <f t="shared" si="306"/>
        <v>0</v>
      </c>
      <c r="CF429" s="8">
        <f t="shared" si="307"/>
        <v>0</v>
      </c>
      <c r="CG429" s="8">
        <f t="shared" si="308"/>
        <v>0</v>
      </c>
      <c r="CH429" s="8">
        <f t="shared" si="309"/>
        <v>0</v>
      </c>
      <c r="CI429" s="8">
        <f t="shared" si="310"/>
        <v>0</v>
      </c>
      <c r="CJ429" s="8">
        <f t="shared" si="311"/>
        <v>0</v>
      </c>
      <c r="CK429" s="8">
        <f t="shared" si="312"/>
        <v>0</v>
      </c>
      <c r="CL429" s="8">
        <f t="shared" si="313"/>
        <v>0</v>
      </c>
      <c r="CM429" s="8">
        <f t="shared" si="314"/>
        <v>0</v>
      </c>
      <c r="CN429" s="8">
        <f t="shared" si="315"/>
        <v>0</v>
      </c>
      <c r="CO429" s="8">
        <f t="shared" si="316"/>
        <v>0</v>
      </c>
      <c r="CP429" s="8">
        <f t="shared" si="317"/>
        <v>0</v>
      </c>
      <c r="CQ429" s="8">
        <f t="shared" si="318"/>
        <v>0</v>
      </c>
      <c r="CR429" s="8">
        <f t="shared" si="319"/>
        <v>0</v>
      </c>
      <c r="CS429" s="8">
        <f t="shared" si="320"/>
        <v>0</v>
      </c>
      <c r="CT429" s="8">
        <f t="shared" si="325"/>
        <v>0</v>
      </c>
      <c r="CU429" s="8">
        <f t="shared" si="326"/>
        <v>0</v>
      </c>
      <c r="CV429" s="8">
        <f t="shared" si="327"/>
        <v>0</v>
      </c>
    </row>
    <row r="430" spans="1:100" ht="20.5" thickTop="1" thickBot="1" x14ac:dyDescent="0.5">
      <c r="A430" s="32"/>
      <c r="B430" s="10"/>
      <c r="C430" s="10"/>
      <c r="D430" s="11"/>
      <c r="E430" s="10"/>
      <c r="F430" s="10"/>
      <c r="G430" s="19"/>
      <c r="H430" s="19"/>
      <c r="I430" s="19"/>
      <c r="J430" s="19"/>
      <c r="K430" s="10"/>
      <c r="L430" s="10"/>
      <c r="M430" s="10"/>
      <c r="N430" s="10"/>
      <c r="O430" s="18"/>
      <c r="P430" s="18"/>
      <c r="Q430" s="21"/>
      <c r="R430" s="20"/>
      <c r="S430" s="16">
        <f t="shared" si="283"/>
        <v>0</v>
      </c>
      <c r="T430" s="11"/>
      <c r="AS430" s="31">
        <f t="shared" si="284"/>
        <v>0</v>
      </c>
      <c r="AT430" s="31">
        <f t="shared" si="285"/>
        <v>0</v>
      </c>
      <c r="AU430" s="31">
        <f t="shared" si="286"/>
        <v>0</v>
      </c>
      <c r="AV430" s="31">
        <f t="shared" si="287"/>
        <v>0</v>
      </c>
      <c r="AW430" s="31">
        <f t="shared" si="288"/>
        <v>0</v>
      </c>
      <c r="AX430" s="31">
        <f t="shared" si="289"/>
        <v>0</v>
      </c>
      <c r="AY430" s="31">
        <f t="shared" si="290"/>
        <v>0</v>
      </c>
      <c r="AZ430" s="31">
        <f t="shared" si="291"/>
        <v>0</v>
      </c>
      <c r="BA430" s="31">
        <f t="shared" si="292"/>
        <v>0</v>
      </c>
      <c r="BB430" s="31">
        <f t="shared" si="321"/>
        <v>0</v>
      </c>
      <c r="BM430" s="8">
        <f t="shared" si="322"/>
        <v>0</v>
      </c>
      <c r="BN430" s="8">
        <f t="shared" si="293"/>
        <v>0</v>
      </c>
      <c r="BO430" s="8">
        <f t="shared" si="294"/>
        <v>0</v>
      </c>
      <c r="BQ430" s="8">
        <f t="shared" si="295"/>
        <v>0</v>
      </c>
      <c r="BR430" s="63">
        <f t="shared" si="296"/>
        <v>0</v>
      </c>
      <c r="BS430" s="63">
        <f t="shared" si="323"/>
        <v>0</v>
      </c>
      <c r="BT430" s="63">
        <f t="shared" si="297"/>
        <v>0</v>
      </c>
      <c r="BU430" s="63">
        <f t="shared" si="298"/>
        <v>0</v>
      </c>
      <c r="BV430" s="57">
        <f t="shared" si="299"/>
        <v>0</v>
      </c>
      <c r="BW430" s="57">
        <f t="shared" si="300"/>
        <v>0</v>
      </c>
      <c r="BX430" s="57">
        <f t="shared" si="324"/>
        <v>0</v>
      </c>
      <c r="BY430" s="57">
        <f t="shared" si="328"/>
        <v>0</v>
      </c>
      <c r="BZ430" s="8">
        <f t="shared" si="301"/>
        <v>0</v>
      </c>
      <c r="CA430" s="8">
        <f t="shared" si="302"/>
        <v>0</v>
      </c>
      <c r="CB430" s="8">
        <f t="shared" si="303"/>
        <v>0</v>
      </c>
      <c r="CC430" s="8">
        <f t="shared" si="304"/>
        <v>0</v>
      </c>
      <c r="CD430" s="8">
        <f t="shared" si="305"/>
        <v>0</v>
      </c>
      <c r="CE430" s="8">
        <f t="shared" si="306"/>
        <v>0</v>
      </c>
      <c r="CF430" s="8">
        <f t="shared" si="307"/>
        <v>0</v>
      </c>
      <c r="CG430" s="8">
        <f t="shared" si="308"/>
        <v>0</v>
      </c>
      <c r="CH430" s="8">
        <f t="shared" si="309"/>
        <v>0</v>
      </c>
      <c r="CI430" s="8">
        <f t="shared" si="310"/>
        <v>0</v>
      </c>
      <c r="CJ430" s="8">
        <f t="shared" si="311"/>
        <v>0</v>
      </c>
      <c r="CK430" s="8">
        <f t="shared" si="312"/>
        <v>0</v>
      </c>
      <c r="CL430" s="8">
        <f t="shared" si="313"/>
        <v>0</v>
      </c>
      <c r="CM430" s="8">
        <f t="shared" si="314"/>
        <v>0</v>
      </c>
      <c r="CN430" s="8">
        <f t="shared" si="315"/>
        <v>0</v>
      </c>
      <c r="CO430" s="8">
        <f t="shared" si="316"/>
        <v>0</v>
      </c>
      <c r="CP430" s="8">
        <f t="shared" si="317"/>
        <v>0</v>
      </c>
      <c r="CQ430" s="8">
        <f t="shared" si="318"/>
        <v>0</v>
      </c>
      <c r="CR430" s="8">
        <f t="shared" si="319"/>
        <v>0</v>
      </c>
      <c r="CS430" s="8">
        <f t="shared" si="320"/>
        <v>0</v>
      </c>
      <c r="CT430" s="8">
        <f t="shared" si="325"/>
        <v>0</v>
      </c>
      <c r="CU430" s="8">
        <f t="shared" si="326"/>
        <v>0</v>
      </c>
      <c r="CV430" s="8">
        <f t="shared" si="327"/>
        <v>0</v>
      </c>
    </row>
    <row r="431" spans="1:100" ht="20.5" thickTop="1" thickBot="1" x14ac:dyDescent="0.5">
      <c r="A431" s="32"/>
      <c r="B431" s="10"/>
      <c r="C431" s="10"/>
      <c r="D431" s="11"/>
      <c r="E431" s="10"/>
      <c r="F431" s="10"/>
      <c r="G431" s="19"/>
      <c r="H431" s="19"/>
      <c r="I431" s="19"/>
      <c r="J431" s="19"/>
      <c r="K431" s="10"/>
      <c r="L431" s="10"/>
      <c r="M431" s="10"/>
      <c r="N431" s="10"/>
      <c r="O431" s="18"/>
      <c r="P431" s="18"/>
      <c r="Q431" s="21"/>
      <c r="R431" s="20"/>
      <c r="S431" s="16">
        <f t="shared" si="283"/>
        <v>0</v>
      </c>
      <c r="T431" s="11"/>
      <c r="AS431" s="31">
        <f t="shared" si="284"/>
        <v>0</v>
      </c>
      <c r="AT431" s="31">
        <f t="shared" si="285"/>
        <v>0</v>
      </c>
      <c r="AU431" s="31">
        <f t="shared" si="286"/>
        <v>0</v>
      </c>
      <c r="AV431" s="31">
        <f t="shared" si="287"/>
        <v>0</v>
      </c>
      <c r="AW431" s="31">
        <f t="shared" si="288"/>
        <v>0</v>
      </c>
      <c r="AX431" s="31">
        <f t="shared" si="289"/>
        <v>0</v>
      </c>
      <c r="AY431" s="31">
        <f t="shared" si="290"/>
        <v>0</v>
      </c>
      <c r="AZ431" s="31">
        <f t="shared" si="291"/>
        <v>0</v>
      </c>
      <c r="BA431" s="31">
        <f t="shared" si="292"/>
        <v>0</v>
      </c>
      <c r="BB431" s="31">
        <f t="shared" si="321"/>
        <v>0</v>
      </c>
      <c r="BM431" s="8">
        <f t="shared" si="322"/>
        <v>0</v>
      </c>
      <c r="BN431" s="8">
        <f t="shared" si="293"/>
        <v>0</v>
      </c>
      <c r="BO431" s="8">
        <f t="shared" si="294"/>
        <v>0</v>
      </c>
      <c r="BQ431" s="8">
        <f t="shared" si="295"/>
        <v>0</v>
      </c>
      <c r="BR431" s="63">
        <f t="shared" si="296"/>
        <v>0</v>
      </c>
      <c r="BS431" s="63">
        <f t="shared" si="323"/>
        <v>0</v>
      </c>
      <c r="BT431" s="63">
        <f t="shared" si="297"/>
        <v>0</v>
      </c>
      <c r="BU431" s="63">
        <f t="shared" si="298"/>
        <v>0</v>
      </c>
      <c r="BV431" s="57">
        <f t="shared" si="299"/>
        <v>0</v>
      </c>
      <c r="BW431" s="57">
        <f t="shared" si="300"/>
        <v>0</v>
      </c>
      <c r="BX431" s="57">
        <f t="shared" si="324"/>
        <v>0</v>
      </c>
      <c r="BY431" s="57">
        <f t="shared" si="328"/>
        <v>0</v>
      </c>
      <c r="BZ431" s="8">
        <f t="shared" si="301"/>
        <v>0</v>
      </c>
      <c r="CA431" s="8">
        <f t="shared" si="302"/>
        <v>0</v>
      </c>
      <c r="CB431" s="8">
        <f t="shared" si="303"/>
        <v>0</v>
      </c>
      <c r="CC431" s="8">
        <f t="shared" si="304"/>
        <v>0</v>
      </c>
      <c r="CD431" s="8">
        <f t="shared" si="305"/>
        <v>0</v>
      </c>
      <c r="CE431" s="8">
        <f t="shared" si="306"/>
        <v>0</v>
      </c>
      <c r="CF431" s="8">
        <f t="shared" si="307"/>
        <v>0</v>
      </c>
      <c r="CG431" s="8">
        <f t="shared" si="308"/>
        <v>0</v>
      </c>
      <c r="CH431" s="8">
        <f t="shared" si="309"/>
        <v>0</v>
      </c>
      <c r="CI431" s="8">
        <f t="shared" si="310"/>
        <v>0</v>
      </c>
      <c r="CJ431" s="8">
        <f t="shared" si="311"/>
        <v>0</v>
      </c>
      <c r="CK431" s="8">
        <f t="shared" si="312"/>
        <v>0</v>
      </c>
      <c r="CL431" s="8">
        <f t="shared" si="313"/>
        <v>0</v>
      </c>
      <c r="CM431" s="8">
        <f t="shared" si="314"/>
        <v>0</v>
      </c>
      <c r="CN431" s="8">
        <f t="shared" si="315"/>
        <v>0</v>
      </c>
      <c r="CO431" s="8">
        <f t="shared" si="316"/>
        <v>0</v>
      </c>
      <c r="CP431" s="8">
        <f t="shared" si="317"/>
        <v>0</v>
      </c>
      <c r="CQ431" s="8">
        <f t="shared" si="318"/>
        <v>0</v>
      </c>
      <c r="CR431" s="8">
        <f t="shared" si="319"/>
        <v>0</v>
      </c>
      <c r="CS431" s="8">
        <f t="shared" si="320"/>
        <v>0</v>
      </c>
      <c r="CT431" s="8">
        <f t="shared" si="325"/>
        <v>0</v>
      </c>
      <c r="CU431" s="8">
        <f t="shared" si="326"/>
        <v>0</v>
      </c>
      <c r="CV431" s="8">
        <f t="shared" si="327"/>
        <v>0</v>
      </c>
    </row>
    <row r="432" spans="1:100" ht="20.5" thickTop="1" thickBot="1" x14ac:dyDescent="0.5">
      <c r="A432" s="32"/>
      <c r="B432" s="10"/>
      <c r="C432" s="10"/>
      <c r="D432" s="11"/>
      <c r="E432" s="10"/>
      <c r="F432" s="10"/>
      <c r="G432" s="19"/>
      <c r="H432" s="19"/>
      <c r="I432" s="19"/>
      <c r="J432" s="19"/>
      <c r="K432" s="10"/>
      <c r="L432" s="10"/>
      <c r="M432" s="10"/>
      <c r="N432" s="10"/>
      <c r="O432" s="18"/>
      <c r="P432" s="18"/>
      <c r="Q432" s="21"/>
      <c r="R432" s="20"/>
      <c r="S432" s="16">
        <f t="shared" si="283"/>
        <v>0</v>
      </c>
      <c r="T432" s="11"/>
      <c r="AS432" s="31">
        <f t="shared" si="284"/>
        <v>0</v>
      </c>
      <c r="AT432" s="31">
        <f t="shared" si="285"/>
        <v>0</v>
      </c>
      <c r="AU432" s="31">
        <f t="shared" si="286"/>
        <v>0</v>
      </c>
      <c r="AV432" s="31">
        <f t="shared" si="287"/>
        <v>0</v>
      </c>
      <c r="AW432" s="31">
        <f t="shared" si="288"/>
        <v>0</v>
      </c>
      <c r="AX432" s="31">
        <f t="shared" si="289"/>
        <v>0</v>
      </c>
      <c r="AY432" s="31">
        <f t="shared" si="290"/>
        <v>0</v>
      </c>
      <c r="AZ432" s="31">
        <f t="shared" si="291"/>
        <v>0</v>
      </c>
      <c r="BA432" s="31">
        <f t="shared" si="292"/>
        <v>0</v>
      </c>
      <c r="BB432" s="31">
        <f t="shared" si="321"/>
        <v>0</v>
      </c>
      <c r="BM432" s="8">
        <f t="shared" si="322"/>
        <v>0</v>
      </c>
      <c r="BN432" s="8">
        <f t="shared" si="293"/>
        <v>0</v>
      </c>
      <c r="BO432" s="8">
        <f t="shared" si="294"/>
        <v>0</v>
      </c>
      <c r="BQ432" s="8">
        <f t="shared" si="295"/>
        <v>0</v>
      </c>
      <c r="BR432" s="63">
        <f t="shared" si="296"/>
        <v>0</v>
      </c>
      <c r="BS432" s="63">
        <f t="shared" si="323"/>
        <v>0</v>
      </c>
      <c r="BT432" s="63">
        <f t="shared" si="297"/>
        <v>0</v>
      </c>
      <c r="BU432" s="63">
        <f t="shared" si="298"/>
        <v>0</v>
      </c>
      <c r="BV432" s="57">
        <f t="shared" si="299"/>
        <v>0</v>
      </c>
      <c r="BW432" s="57">
        <f t="shared" si="300"/>
        <v>0</v>
      </c>
      <c r="BX432" s="57">
        <f t="shared" si="324"/>
        <v>0</v>
      </c>
      <c r="BY432" s="57">
        <f t="shared" si="328"/>
        <v>0</v>
      </c>
      <c r="BZ432" s="8">
        <f t="shared" si="301"/>
        <v>0</v>
      </c>
      <c r="CA432" s="8">
        <f t="shared" si="302"/>
        <v>0</v>
      </c>
      <c r="CB432" s="8">
        <f t="shared" si="303"/>
        <v>0</v>
      </c>
      <c r="CC432" s="8">
        <f t="shared" si="304"/>
        <v>0</v>
      </c>
      <c r="CD432" s="8">
        <f t="shared" si="305"/>
        <v>0</v>
      </c>
      <c r="CE432" s="8">
        <f t="shared" si="306"/>
        <v>0</v>
      </c>
      <c r="CF432" s="8">
        <f t="shared" si="307"/>
        <v>0</v>
      </c>
      <c r="CG432" s="8">
        <f t="shared" si="308"/>
        <v>0</v>
      </c>
      <c r="CH432" s="8">
        <f t="shared" si="309"/>
        <v>0</v>
      </c>
      <c r="CI432" s="8">
        <f t="shared" si="310"/>
        <v>0</v>
      </c>
      <c r="CJ432" s="8">
        <f t="shared" si="311"/>
        <v>0</v>
      </c>
      <c r="CK432" s="8">
        <f t="shared" si="312"/>
        <v>0</v>
      </c>
      <c r="CL432" s="8">
        <f t="shared" si="313"/>
        <v>0</v>
      </c>
      <c r="CM432" s="8">
        <f t="shared" si="314"/>
        <v>0</v>
      </c>
      <c r="CN432" s="8">
        <f t="shared" si="315"/>
        <v>0</v>
      </c>
      <c r="CO432" s="8">
        <f t="shared" si="316"/>
        <v>0</v>
      </c>
      <c r="CP432" s="8">
        <f t="shared" si="317"/>
        <v>0</v>
      </c>
      <c r="CQ432" s="8">
        <f t="shared" si="318"/>
        <v>0</v>
      </c>
      <c r="CR432" s="8">
        <f t="shared" si="319"/>
        <v>0</v>
      </c>
      <c r="CS432" s="8">
        <f t="shared" si="320"/>
        <v>0</v>
      </c>
      <c r="CT432" s="8">
        <f t="shared" si="325"/>
        <v>0</v>
      </c>
      <c r="CU432" s="8">
        <f t="shared" si="326"/>
        <v>0</v>
      </c>
      <c r="CV432" s="8">
        <f t="shared" si="327"/>
        <v>0</v>
      </c>
    </row>
    <row r="433" spans="1:100" ht="20.5" thickTop="1" thickBot="1" x14ac:dyDescent="0.5">
      <c r="A433" s="32"/>
      <c r="B433" s="10"/>
      <c r="C433" s="10"/>
      <c r="D433" s="11"/>
      <c r="E433" s="10"/>
      <c r="F433" s="10"/>
      <c r="G433" s="19"/>
      <c r="H433" s="19"/>
      <c r="I433" s="19"/>
      <c r="J433" s="19"/>
      <c r="K433" s="10"/>
      <c r="L433" s="10"/>
      <c r="M433" s="10"/>
      <c r="N433" s="10"/>
      <c r="O433" s="18"/>
      <c r="P433" s="18"/>
      <c r="Q433" s="21"/>
      <c r="R433" s="20"/>
      <c r="S433" s="16">
        <f t="shared" si="283"/>
        <v>0</v>
      </c>
      <c r="T433" s="11"/>
      <c r="AS433" s="31">
        <f t="shared" si="284"/>
        <v>0</v>
      </c>
      <c r="AT433" s="31">
        <f t="shared" si="285"/>
        <v>0</v>
      </c>
      <c r="AU433" s="31">
        <f t="shared" si="286"/>
        <v>0</v>
      </c>
      <c r="AV433" s="31">
        <f t="shared" si="287"/>
        <v>0</v>
      </c>
      <c r="AW433" s="31">
        <f t="shared" si="288"/>
        <v>0</v>
      </c>
      <c r="AX433" s="31">
        <f t="shared" si="289"/>
        <v>0</v>
      </c>
      <c r="AY433" s="31">
        <f t="shared" si="290"/>
        <v>0</v>
      </c>
      <c r="AZ433" s="31">
        <f t="shared" si="291"/>
        <v>0</v>
      </c>
      <c r="BA433" s="31">
        <f t="shared" si="292"/>
        <v>0</v>
      </c>
      <c r="BB433" s="31">
        <f t="shared" si="321"/>
        <v>0</v>
      </c>
      <c r="BM433" s="8">
        <f t="shared" si="322"/>
        <v>0</v>
      </c>
      <c r="BN433" s="8">
        <f t="shared" si="293"/>
        <v>0</v>
      </c>
      <c r="BO433" s="8">
        <f t="shared" si="294"/>
        <v>0</v>
      </c>
      <c r="BQ433" s="8">
        <f t="shared" si="295"/>
        <v>0</v>
      </c>
      <c r="BR433" s="63">
        <f t="shared" si="296"/>
        <v>0</v>
      </c>
      <c r="BS433" s="63">
        <f t="shared" si="323"/>
        <v>0</v>
      </c>
      <c r="BT433" s="63">
        <f t="shared" si="297"/>
        <v>0</v>
      </c>
      <c r="BU433" s="63">
        <f t="shared" si="298"/>
        <v>0</v>
      </c>
      <c r="BV433" s="57">
        <f t="shared" si="299"/>
        <v>0</v>
      </c>
      <c r="BW433" s="57">
        <f t="shared" si="300"/>
        <v>0</v>
      </c>
      <c r="BX433" s="57">
        <f t="shared" si="324"/>
        <v>0</v>
      </c>
      <c r="BY433" s="57">
        <f t="shared" si="328"/>
        <v>0</v>
      </c>
      <c r="BZ433" s="8">
        <f t="shared" si="301"/>
        <v>0</v>
      </c>
      <c r="CA433" s="8">
        <f t="shared" si="302"/>
        <v>0</v>
      </c>
      <c r="CB433" s="8">
        <f t="shared" si="303"/>
        <v>0</v>
      </c>
      <c r="CC433" s="8">
        <f t="shared" si="304"/>
        <v>0</v>
      </c>
      <c r="CD433" s="8">
        <f t="shared" si="305"/>
        <v>0</v>
      </c>
      <c r="CE433" s="8">
        <f t="shared" si="306"/>
        <v>0</v>
      </c>
      <c r="CF433" s="8">
        <f t="shared" si="307"/>
        <v>0</v>
      </c>
      <c r="CG433" s="8">
        <f t="shared" si="308"/>
        <v>0</v>
      </c>
      <c r="CH433" s="8">
        <f t="shared" si="309"/>
        <v>0</v>
      </c>
      <c r="CI433" s="8">
        <f t="shared" si="310"/>
        <v>0</v>
      </c>
      <c r="CJ433" s="8">
        <f t="shared" si="311"/>
        <v>0</v>
      </c>
      <c r="CK433" s="8">
        <f t="shared" si="312"/>
        <v>0</v>
      </c>
      <c r="CL433" s="8">
        <f t="shared" si="313"/>
        <v>0</v>
      </c>
      <c r="CM433" s="8">
        <f t="shared" si="314"/>
        <v>0</v>
      </c>
      <c r="CN433" s="8">
        <f t="shared" si="315"/>
        <v>0</v>
      </c>
      <c r="CO433" s="8">
        <f t="shared" si="316"/>
        <v>0</v>
      </c>
      <c r="CP433" s="8">
        <f t="shared" si="317"/>
        <v>0</v>
      </c>
      <c r="CQ433" s="8">
        <f t="shared" si="318"/>
        <v>0</v>
      </c>
      <c r="CR433" s="8">
        <f t="shared" si="319"/>
        <v>0</v>
      </c>
      <c r="CS433" s="8">
        <f t="shared" si="320"/>
        <v>0</v>
      </c>
      <c r="CT433" s="8">
        <f t="shared" si="325"/>
        <v>0</v>
      </c>
      <c r="CU433" s="8">
        <f t="shared" si="326"/>
        <v>0</v>
      </c>
      <c r="CV433" s="8">
        <f t="shared" si="327"/>
        <v>0</v>
      </c>
    </row>
    <row r="434" spans="1:100" ht="20.5" thickTop="1" thickBot="1" x14ac:dyDescent="0.5">
      <c r="A434" s="32"/>
      <c r="B434" s="10"/>
      <c r="C434" s="10"/>
      <c r="D434" s="11"/>
      <c r="E434" s="10"/>
      <c r="F434" s="10"/>
      <c r="G434" s="19"/>
      <c r="H434" s="19"/>
      <c r="I434" s="19"/>
      <c r="J434" s="19"/>
      <c r="K434" s="10"/>
      <c r="L434" s="10"/>
      <c r="M434" s="10"/>
      <c r="N434" s="10"/>
      <c r="O434" s="18"/>
      <c r="P434" s="18"/>
      <c r="Q434" s="21"/>
      <c r="R434" s="20"/>
      <c r="S434" s="16">
        <f t="shared" si="283"/>
        <v>0</v>
      </c>
      <c r="T434" s="11"/>
      <c r="AS434" s="31">
        <f t="shared" si="284"/>
        <v>0</v>
      </c>
      <c r="AT434" s="31">
        <f t="shared" si="285"/>
        <v>0</v>
      </c>
      <c r="AU434" s="31">
        <f t="shared" si="286"/>
        <v>0</v>
      </c>
      <c r="AV434" s="31">
        <f t="shared" si="287"/>
        <v>0</v>
      </c>
      <c r="AW434" s="31">
        <f t="shared" si="288"/>
        <v>0</v>
      </c>
      <c r="AX434" s="31">
        <f t="shared" si="289"/>
        <v>0</v>
      </c>
      <c r="AY434" s="31">
        <f t="shared" si="290"/>
        <v>0</v>
      </c>
      <c r="AZ434" s="31">
        <f t="shared" si="291"/>
        <v>0</v>
      </c>
      <c r="BA434" s="31">
        <f t="shared" si="292"/>
        <v>0</v>
      </c>
      <c r="BB434" s="31">
        <f t="shared" si="321"/>
        <v>0</v>
      </c>
      <c r="BM434" s="8">
        <f t="shared" si="322"/>
        <v>0</v>
      </c>
      <c r="BN434" s="8">
        <f t="shared" si="293"/>
        <v>0</v>
      </c>
      <c r="BO434" s="8">
        <f t="shared" si="294"/>
        <v>0</v>
      </c>
      <c r="BQ434" s="8">
        <f t="shared" si="295"/>
        <v>0</v>
      </c>
      <c r="BR434" s="63">
        <f t="shared" si="296"/>
        <v>0</v>
      </c>
      <c r="BS434" s="63">
        <f t="shared" si="323"/>
        <v>0</v>
      </c>
      <c r="BT434" s="63">
        <f t="shared" si="297"/>
        <v>0</v>
      </c>
      <c r="BU434" s="63">
        <f t="shared" si="298"/>
        <v>0</v>
      </c>
      <c r="BV434" s="57">
        <f t="shared" si="299"/>
        <v>0</v>
      </c>
      <c r="BW434" s="57">
        <f t="shared" si="300"/>
        <v>0</v>
      </c>
      <c r="BX434" s="57">
        <f t="shared" si="324"/>
        <v>0</v>
      </c>
      <c r="BY434" s="57">
        <f t="shared" si="328"/>
        <v>0</v>
      </c>
      <c r="BZ434" s="8">
        <f t="shared" si="301"/>
        <v>0</v>
      </c>
      <c r="CA434" s="8">
        <f t="shared" si="302"/>
        <v>0</v>
      </c>
      <c r="CB434" s="8">
        <f t="shared" si="303"/>
        <v>0</v>
      </c>
      <c r="CC434" s="8">
        <f t="shared" si="304"/>
        <v>0</v>
      </c>
      <c r="CD434" s="8">
        <f t="shared" si="305"/>
        <v>0</v>
      </c>
      <c r="CE434" s="8">
        <f t="shared" si="306"/>
        <v>0</v>
      </c>
      <c r="CF434" s="8">
        <f t="shared" si="307"/>
        <v>0</v>
      </c>
      <c r="CG434" s="8">
        <f t="shared" si="308"/>
        <v>0</v>
      </c>
      <c r="CH434" s="8">
        <f t="shared" si="309"/>
        <v>0</v>
      </c>
      <c r="CI434" s="8">
        <f t="shared" si="310"/>
        <v>0</v>
      </c>
      <c r="CJ434" s="8">
        <f t="shared" si="311"/>
        <v>0</v>
      </c>
      <c r="CK434" s="8">
        <f t="shared" si="312"/>
        <v>0</v>
      </c>
      <c r="CL434" s="8">
        <f t="shared" si="313"/>
        <v>0</v>
      </c>
      <c r="CM434" s="8">
        <f t="shared" si="314"/>
        <v>0</v>
      </c>
      <c r="CN434" s="8">
        <f t="shared" si="315"/>
        <v>0</v>
      </c>
      <c r="CO434" s="8">
        <f t="shared" si="316"/>
        <v>0</v>
      </c>
      <c r="CP434" s="8">
        <f t="shared" si="317"/>
        <v>0</v>
      </c>
      <c r="CQ434" s="8">
        <f t="shared" si="318"/>
        <v>0</v>
      </c>
      <c r="CR434" s="8">
        <f t="shared" si="319"/>
        <v>0</v>
      </c>
      <c r="CS434" s="8">
        <f t="shared" si="320"/>
        <v>0</v>
      </c>
      <c r="CT434" s="8">
        <f t="shared" si="325"/>
        <v>0</v>
      </c>
      <c r="CU434" s="8">
        <f t="shared" si="326"/>
        <v>0</v>
      </c>
      <c r="CV434" s="8">
        <f t="shared" si="327"/>
        <v>0</v>
      </c>
    </row>
    <row r="435" spans="1:100" ht="20.5" thickTop="1" thickBot="1" x14ac:dyDescent="0.5">
      <c r="A435" s="32"/>
      <c r="B435" s="10"/>
      <c r="C435" s="10"/>
      <c r="D435" s="11"/>
      <c r="E435" s="10"/>
      <c r="F435" s="10"/>
      <c r="G435" s="19"/>
      <c r="H435" s="19"/>
      <c r="I435" s="19"/>
      <c r="J435" s="19"/>
      <c r="K435" s="10"/>
      <c r="L435" s="10"/>
      <c r="M435" s="10"/>
      <c r="N435" s="10"/>
      <c r="O435" s="18"/>
      <c r="P435" s="18"/>
      <c r="Q435" s="21"/>
      <c r="R435" s="20"/>
      <c r="S435" s="16">
        <f t="shared" si="283"/>
        <v>0</v>
      </c>
      <c r="T435" s="11"/>
      <c r="AS435" s="31">
        <f t="shared" si="284"/>
        <v>0</v>
      </c>
      <c r="AT435" s="31">
        <f t="shared" si="285"/>
        <v>0</v>
      </c>
      <c r="AU435" s="31">
        <f t="shared" si="286"/>
        <v>0</v>
      </c>
      <c r="AV435" s="31">
        <f t="shared" si="287"/>
        <v>0</v>
      </c>
      <c r="AW435" s="31">
        <f t="shared" si="288"/>
        <v>0</v>
      </c>
      <c r="AX435" s="31">
        <f t="shared" si="289"/>
        <v>0</v>
      </c>
      <c r="AY435" s="31">
        <f t="shared" si="290"/>
        <v>0</v>
      </c>
      <c r="AZ435" s="31">
        <f t="shared" si="291"/>
        <v>0</v>
      </c>
      <c r="BA435" s="31">
        <f t="shared" si="292"/>
        <v>0</v>
      </c>
      <c r="BB435" s="31">
        <f t="shared" si="321"/>
        <v>0</v>
      </c>
      <c r="BM435" s="8">
        <f t="shared" si="322"/>
        <v>0</v>
      </c>
      <c r="BN435" s="8">
        <f t="shared" si="293"/>
        <v>0</v>
      </c>
      <c r="BO435" s="8">
        <f t="shared" si="294"/>
        <v>0</v>
      </c>
      <c r="BQ435" s="8">
        <f t="shared" si="295"/>
        <v>0</v>
      </c>
      <c r="BR435" s="63">
        <f t="shared" si="296"/>
        <v>0</v>
      </c>
      <c r="BS435" s="63">
        <f t="shared" si="323"/>
        <v>0</v>
      </c>
      <c r="BT435" s="63">
        <f t="shared" si="297"/>
        <v>0</v>
      </c>
      <c r="BU435" s="63">
        <f t="shared" si="298"/>
        <v>0</v>
      </c>
      <c r="BV435" s="57">
        <f t="shared" si="299"/>
        <v>0</v>
      </c>
      <c r="BW435" s="57">
        <f t="shared" si="300"/>
        <v>0</v>
      </c>
      <c r="BX435" s="57">
        <f t="shared" si="324"/>
        <v>0</v>
      </c>
      <c r="BY435" s="57">
        <f t="shared" si="328"/>
        <v>0</v>
      </c>
      <c r="BZ435" s="8">
        <f t="shared" si="301"/>
        <v>0</v>
      </c>
      <c r="CA435" s="8">
        <f t="shared" si="302"/>
        <v>0</v>
      </c>
      <c r="CB435" s="8">
        <f t="shared" si="303"/>
        <v>0</v>
      </c>
      <c r="CC435" s="8">
        <f t="shared" si="304"/>
        <v>0</v>
      </c>
      <c r="CD435" s="8">
        <f t="shared" si="305"/>
        <v>0</v>
      </c>
      <c r="CE435" s="8">
        <f t="shared" si="306"/>
        <v>0</v>
      </c>
      <c r="CF435" s="8">
        <f t="shared" si="307"/>
        <v>0</v>
      </c>
      <c r="CG435" s="8">
        <f t="shared" si="308"/>
        <v>0</v>
      </c>
      <c r="CH435" s="8">
        <f t="shared" si="309"/>
        <v>0</v>
      </c>
      <c r="CI435" s="8">
        <f t="shared" si="310"/>
        <v>0</v>
      </c>
      <c r="CJ435" s="8">
        <f t="shared" si="311"/>
        <v>0</v>
      </c>
      <c r="CK435" s="8">
        <f t="shared" si="312"/>
        <v>0</v>
      </c>
      <c r="CL435" s="8">
        <f t="shared" si="313"/>
        <v>0</v>
      </c>
      <c r="CM435" s="8">
        <f t="shared" si="314"/>
        <v>0</v>
      </c>
      <c r="CN435" s="8">
        <f t="shared" si="315"/>
        <v>0</v>
      </c>
      <c r="CO435" s="8">
        <f t="shared" si="316"/>
        <v>0</v>
      </c>
      <c r="CP435" s="8">
        <f t="shared" si="317"/>
        <v>0</v>
      </c>
      <c r="CQ435" s="8">
        <f t="shared" si="318"/>
        <v>0</v>
      </c>
      <c r="CR435" s="8">
        <f t="shared" si="319"/>
        <v>0</v>
      </c>
      <c r="CS435" s="8">
        <f t="shared" si="320"/>
        <v>0</v>
      </c>
      <c r="CT435" s="8">
        <f t="shared" si="325"/>
        <v>0</v>
      </c>
      <c r="CU435" s="8">
        <f t="shared" si="326"/>
        <v>0</v>
      </c>
      <c r="CV435" s="8">
        <f t="shared" si="327"/>
        <v>0</v>
      </c>
    </row>
    <row r="436" spans="1:100" ht="20.5" thickTop="1" thickBot="1" x14ac:dyDescent="0.5">
      <c r="A436" s="32"/>
      <c r="B436" s="10"/>
      <c r="C436" s="10"/>
      <c r="D436" s="11"/>
      <c r="E436" s="10"/>
      <c r="F436" s="10"/>
      <c r="G436" s="19"/>
      <c r="H436" s="19"/>
      <c r="I436" s="19"/>
      <c r="J436" s="19"/>
      <c r="K436" s="10"/>
      <c r="L436" s="10"/>
      <c r="M436" s="10"/>
      <c r="N436" s="10"/>
      <c r="O436" s="18"/>
      <c r="P436" s="18"/>
      <c r="Q436" s="21"/>
      <c r="R436" s="20"/>
      <c r="S436" s="16">
        <f t="shared" si="283"/>
        <v>0</v>
      </c>
      <c r="T436" s="11"/>
      <c r="AS436" s="31">
        <f t="shared" si="284"/>
        <v>0</v>
      </c>
      <c r="AT436" s="31">
        <f t="shared" si="285"/>
        <v>0</v>
      </c>
      <c r="AU436" s="31">
        <f t="shared" si="286"/>
        <v>0</v>
      </c>
      <c r="AV436" s="31">
        <f t="shared" si="287"/>
        <v>0</v>
      </c>
      <c r="AW436" s="31">
        <f t="shared" si="288"/>
        <v>0</v>
      </c>
      <c r="AX436" s="31">
        <f t="shared" si="289"/>
        <v>0</v>
      </c>
      <c r="AY436" s="31">
        <f t="shared" si="290"/>
        <v>0</v>
      </c>
      <c r="AZ436" s="31">
        <f t="shared" si="291"/>
        <v>0</v>
      </c>
      <c r="BA436" s="31">
        <f t="shared" si="292"/>
        <v>0</v>
      </c>
      <c r="BB436" s="31">
        <f t="shared" si="321"/>
        <v>0</v>
      </c>
      <c r="BM436" s="8">
        <f t="shared" si="322"/>
        <v>0</v>
      </c>
      <c r="BN436" s="8">
        <f t="shared" si="293"/>
        <v>0</v>
      </c>
      <c r="BO436" s="8">
        <f t="shared" si="294"/>
        <v>0</v>
      </c>
      <c r="BQ436" s="8">
        <f t="shared" si="295"/>
        <v>0</v>
      </c>
      <c r="BR436" s="63">
        <f t="shared" si="296"/>
        <v>0</v>
      </c>
      <c r="BS436" s="63">
        <f t="shared" si="323"/>
        <v>0</v>
      </c>
      <c r="BT436" s="63">
        <f t="shared" si="297"/>
        <v>0</v>
      </c>
      <c r="BU436" s="63">
        <f t="shared" si="298"/>
        <v>0</v>
      </c>
      <c r="BV436" s="57">
        <f t="shared" si="299"/>
        <v>0</v>
      </c>
      <c r="BW436" s="57">
        <f t="shared" si="300"/>
        <v>0</v>
      </c>
      <c r="BX436" s="57">
        <f t="shared" si="324"/>
        <v>0</v>
      </c>
      <c r="BY436" s="57">
        <f t="shared" si="328"/>
        <v>0</v>
      </c>
      <c r="BZ436" s="8">
        <f t="shared" si="301"/>
        <v>0</v>
      </c>
      <c r="CA436" s="8">
        <f t="shared" si="302"/>
        <v>0</v>
      </c>
      <c r="CB436" s="8">
        <f t="shared" si="303"/>
        <v>0</v>
      </c>
      <c r="CC436" s="8">
        <f t="shared" si="304"/>
        <v>0</v>
      </c>
      <c r="CD436" s="8">
        <f t="shared" si="305"/>
        <v>0</v>
      </c>
      <c r="CE436" s="8">
        <f t="shared" si="306"/>
        <v>0</v>
      </c>
      <c r="CF436" s="8">
        <f t="shared" si="307"/>
        <v>0</v>
      </c>
      <c r="CG436" s="8">
        <f t="shared" si="308"/>
        <v>0</v>
      </c>
      <c r="CH436" s="8">
        <f t="shared" si="309"/>
        <v>0</v>
      </c>
      <c r="CI436" s="8">
        <f t="shared" si="310"/>
        <v>0</v>
      </c>
      <c r="CJ436" s="8">
        <f t="shared" si="311"/>
        <v>0</v>
      </c>
      <c r="CK436" s="8">
        <f t="shared" si="312"/>
        <v>0</v>
      </c>
      <c r="CL436" s="8">
        <f t="shared" si="313"/>
        <v>0</v>
      </c>
      <c r="CM436" s="8">
        <f t="shared" si="314"/>
        <v>0</v>
      </c>
      <c r="CN436" s="8">
        <f t="shared" si="315"/>
        <v>0</v>
      </c>
      <c r="CO436" s="8">
        <f t="shared" si="316"/>
        <v>0</v>
      </c>
      <c r="CP436" s="8">
        <f t="shared" si="317"/>
        <v>0</v>
      </c>
      <c r="CQ436" s="8">
        <f t="shared" si="318"/>
        <v>0</v>
      </c>
      <c r="CR436" s="8">
        <f t="shared" si="319"/>
        <v>0</v>
      </c>
      <c r="CS436" s="8">
        <f t="shared" si="320"/>
        <v>0</v>
      </c>
      <c r="CT436" s="8">
        <f t="shared" si="325"/>
        <v>0</v>
      </c>
      <c r="CU436" s="8">
        <f t="shared" si="326"/>
        <v>0</v>
      </c>
      <c r="CV436" s="8">
        <f t="shared" si="327"/>
        <v>0</v>
      </c>
    </row>
    <row r="437" spans="1:100" ht="20.5" thickTop="1" thickBot="1" x14ac:dyDescent="0.5">
      <c r="A437" s="32"/>
      <c r="B437" s="10"/>
      <c r="C437" s="10"/>
      <c r="D437" s="11"/>
      <c r="E437" s="10"/>
      <c r="F437" s="10"/>
      <c r="G437" s="19"/>
      <c r="H437" s="19"/>
      <c r="I437" s="19"/>
      <c r="J437" s="19"/>
      <c r="K437" s="10"/>
      <c r="L437" s="10"/>
      <c r="M437" s="10"/>
      <c r="N437" s="10"/>
      <c r="O437" s="18"/>
      <c r="P437" s="18"/>
      <c r="Q437" s="21"/>
      <c r="R437" s="20"/>
      <c r="S437" s="16">
        <f t="shared" si="283"/>
        <v>0</v>
      </c>
      <c r="T437" s="11"/>
      <c r="AS437" s="31">
        <f t="shared" si="284"/>
        <v>0</v>
      </c>
      <c r="AT437" s="31">
        <f t="shared" si="285"/>
        <v>0</v>
      </c>
      <c r="AU437" s="31">
        <f t="shared" si="286"/>
        <v>0</v>
      </c>
      <c r="AV437" s="31">
        <f t="shared" si="287"/>
        <v>0</v>
      </c>
      <c r="AW437" s="31">
        <f t="shared" si="288"/>
        <v>0</v>
      </c>
      <c r="AX437" s="31">
        <f t="shared" si="289"/>
        <v>0</v>
      </c>
      <c r="AY437" s="31">
        <f t="shared" si="290"/>
        <v>0</v>
      </c>
      <c r="AZ437" s="31">
        <f t="shared" si="291"/>
        <v>0</v>
      </c>
      <c r="BA437" s="31">
        <f t="shared" si="292"/>
        <v>0</v>
      </c>
      <c r="BB437" s="31">
        <f t="shared" si="321"/>
        <v>0</v>
      </c>
      <c r="BM437" s="8">
        <f t="shared" si="322"/>
        <v>0</v>
      </c>
      <c r="BN437" s="8">
        <f t="shared" si="293"/>
        <v>0</v>
      </c>
      <c r="BO437" s="8">
        <f t="shared" si="294"/>
        <v>0</v>
      </c>
      <c r="BQ437" s="8">
        <f t="shared" si="295"/>
        <v>0</v>
      </c>
      <c r="BR437" s="63">
        <f t="shared" si="296"/>
        <v>0</v>
      </c>
      <c r="BS437" s="63">
        <f t="shared" si="323"/>
        <v>0</v>
      </c>
      <c r="BT437" s="63">
        <f t="shared" si="297"/>
        <v>0</v>
      </c>
      <c r="BU437" s="63">
        <f t="shared" si="298"/>
        <v>0</v>
      </c>
      <c r="BV437" s="57">
        <f t="shared" si="299"/>
        <v>0</v>
      </c>
      <c r="BW437" s="57">
        <f t="shared" si="300"/>
        <v>0</v>
      </c>
      <c r="BX437" s="57">
        <f t="shared" si="324"/>
        <v>0</v>
      </c>
      <c r="BY437" s="57">
        <f t="shared" si="328"/>
        <v>0</v>
      </c>
      <c r="BZ437" s="8">
        <f t="shared" si="301"/>
        <v>0</v>
      </c>
      <c r="CA437" s="8">
        <f t="shared" si="302"/>
        <v>0</v>
      </c>
      <c r="CB437" s="8">
        <f t="shared" si="303"/>
        <v>0</v>
      </c>
      <c r="CC437" s="8">
        <f t="shared" si="304"/>
        <v>0</v>
      </c>
      <c r="CD437" s="8">
        <f t="shared" si="305"/>
        <v>0</v>
      </c>
      <c r="CE437" s="8">
        <f t="shared" si="306"/>
        <v>0</v>
      </c>
      <c r="CF437" s="8">
        <f t="shared" si="307"/>
        <v>0</v>
      </c>
      <c r="CG437" s="8">
        <f t="shared" si="308"/>
        <v>0</v>
      </c>
      <c r="CH437" s="8">
        <f t="shared" si="309"/>
        <v>0</v>
      </c>
      <c r="CI437" s="8">
        <f t="shared" si="310"/>
        <v>0</v>
      </c>
      <c r="CJ437" s="8">
        <f t="shared" si="311"/>
        <v>0</v>
      </c>
      <c r="CK437" s="8">
        <f t="shared" si="312"/>
        <v>0</v>
      </c>
      <c r="CL437" s="8">
        <f t="shared" si="313"/>
        <v>0</v>
      </c>
      <c r="CM437" s="8">
        <f t="shared" si="314"/>
        <v>0</v>
      </c>
      <c r="CN437" s="8">
        <f t="shared" si="315"/>
        <v>0</v>
      </c>
      <c r="CO437" s="8">
        <f t="shared" si="316"/>
        <v>0</v>
      </c>
      <c r="CP437" s="8">
        <f t="shared" si="317"/>
        <v>0</v>
      </c>
      <c r="CQ437" s="8">
        <f t="shared" si="318"/>
        <v>0</v>
      </c>
      <c r="CR437" s="8">
        <f t="shared" si="319"/>
        <v>0</v>
      </c>
      <c r="CS437" s="8">
        <f t="shared" si="320"/>
        <v>0</v>
      </c>
      <c r="CT437" s="8">
        <f t="shared" si="325"/>
        <v>0</v>
      </c>
      <c r="CU437" s="8">
        <f t="shared" si="326"/>
        <v>0</v>
      </c>
      <c r="CV437" s="8">
        <f t="shared" si="327"/>
        <v>0</v>
      </c>
    </row>
    <row r="438" spans="1:100" ht="20.5" thickTop="1" thickBot="1" x14ac:dyDescent="0.5">
      <c r="A438" s="32"/>
      <c r="B438" s="10"/>
      <c r="C438" s="10"/>
      <c r="D438" s="11"/>
      <c r="E438" s="10"/>
      <c r="F438" s="10"/>
      <c r="G438" s="19"/>
      <c r="H438" s="19"/>
      <c r="I438" s="19"/>
      <c r="J438" s="19"/>
      <c r="K438" s="10"/>
      <c r="L438" s="10"/>
      <c r="M438" s="10"/>
      <c r="N438" s="10"/>
      <c r="O438" s="18"/>
      <c r="P438" s="18"/>
      <c r="Q438" s="21"/>
      <c r="R438" s="20"/>
      <c r="S438" s="16">
        <f t="shared" si="283"/>
        <v>0</v>
      </c>
      <c r="T438" s="11"/>
      <c r="AS438" s="31">
        <f t="shared" si="284"/>
        <v>0</v>
      </c>
      <c r="AT438" s="31">
        <f t="shared" si="285"/>
        <v>0</v>
      </c>
      <c r="AU438" s="31">
        <f t="shared" si="286"/>
        <v>0</v>
      </c>
      <c r="AV438" s="31">
        <f t="shared" si="287"/>
        <v>0</v>
      </c>
      <c r="AW438" s="31">
        <f t="shared" si="288"/>
        <v>0</v>
      </c>
      <c r="AX438" s="31">
        <f t="shared" si="289"/>
        <v>0</v>
      </c>
      <c r="AY438" s="31">
        <f t="shared" si="290"/>
        <v>0</v>
      </c>
      <c r="AZ438" s="31">
        <f t="shared" si="291"/>
        <v>0</v>
      </c>
      <c r="BA438" s="31">
        <f t="shared" si="292"/>
        <v>0</v>
      </c>
      <c r="BB438" s="31">
        <f t="shared" si="321"/>
        <v>0</v>
      </c>
      <c r="BM438" s="8">
        <f t="shared" si="322"/>
        <v>0</v>
      </c>
      <c r="BN438" s="8">
        <f t="shared" si="293"/>
        <v>0</v>
      </c>
      <c r="BO438" s="8">
        <f t="shared" si="294"/>
        <v>0</v>
      </c>
      <c r="BQ438" s="8">
        <f t="shared" si="295"/>
        <v>0</v>
      </c>
      <c r="BR438" s="63">
        <f t="shared" si="296"/>
        <v>0</v>
      </c>
      <c r="BS438" s="63">
        <f t="shared" si="323"/>
        <v>0</v>
      </c>
      <c r="BT438" s="63">
        <f t="shared" si="297"/>
        <v>0</v>
      </c>
      <c r="BU438" s="63">
        <f t="shared" si="298"/>
        <v>0</v>
      </c>
      <c r="BV438" s="57">
        <f t="shared" si="299"/>
        <v>0</v>
      </c>
      <c r="BW438" s="57">
        <f t="shared" si="300"/>
        <v>0</v>
      </c>
      <c r="BX438" s="57">
        <f t="shared" si="324"/>
        <v>0</v>
      </c>
      <c r="BY438" s="57">
        <f t="shared" si="328"/>
        <v>0</v>
      </c>
      <c r="BZ438" s="8">
        <f t="shared" si="301"/>
        <v>0</v>
      </c>
      <c r="CA438" s="8">
        <f t="shared" si="302"/>
        <v>0</v>
      </c>
      <c r="CB438" s="8">
        <f t="shared" si="303"/>
        <v>0</v>
      </c>
      <c r="CC438" s="8">
        <f t="shared" si="304"/>
        <v>0</v>
      </c>
      <c r="CD438" s="8">
        <f t="shared" si="305"/>
        <v>0</v>
      </c>
      <c r="CE438" s="8">
        <f t="shared" si="306"/>
        <v>0</v>
      </c>
      <c r="CF438" s="8">
        <f t="shared" si="307"/>
        <v>0</v>
      </c>
      <c r="CG438" s="8">
        <f t="shared" si="308"/>
        <v>0</v>
      </c>
      <c r="CH438" s="8">
        <f t="shared" si="309"/>
        <v>0</v>
      </c>
      <c r="CI438" s="8">
        <f t="shared" si="310"/>
        <v>0</v>
      </c>
      <c r="CJ438" s="8">
        <f t="shared" si="311"/>
        <v>0</v>
      </c>
      <c r="CK438" s="8">
        <f t="shared" si="312"/>
        <v>0</v>
      </c>
      <c r="CL438" s="8">
        <f t="shared" si="313"/>
        <v>0</v>
      </c>
      <c r="CM438" s="8">
        <f t="shared" si="314"/>
        <v>0</v>
      </c>
      <c r="CN438" s="8">
        <f t="shared" si="315"/>
        <v>0</v>
      </c>
      <c r="CO438" s="8">
        <f t="shared" si="316"/>
        <v>0</v>
      </c>
      <c r="CP438" s="8">
        <f t="shared" si="317"/>
        <v>0</v>
      </c>
      <c r="CQ438" s="8">
        <f t="shared" si="318"/>
        <v>0</v>
      </c>
      <c r="CR438" s="8">
        <f t="shared" si="319"/>
        <v>0</v>
      </c>
      <c r="CS438" s="8">
        <f t="shared" si="320"/>
        <v>0</v>
      </c>
      <c r="CT438" s="8">
        <f t="shared" si="325"/>
        <v>0</v>
      </c>
      <c r="CU438" s="8">
        <f t="shared" si="326"/>
        <v>0</v>
      </c>
      <c r="CV438" s="8">
        <f t="shared" si="327"/>
        <v>0</v>
      </c>
    </row>
    <row r="439" spans="1:100" ht="20.5" thickTop="1" thickBot="1" x14ac:dyDescent="0.5">
      <c r="A439" s="32"/>
      <c r="B439" s="10"/>
      <c r="C439" s="10"/>
      <c r="D439" s="11"/>
      <c r="E439" s="10"/>
      <c r="F439" s="10"/>
      <c r="G439" s="19"/>
      <c r="H439" s="19"/>
      <c r="I439" s="19"/>
      <c r="J439" s="19"/>
      <c r="K439" s="10"/>
      <c r="L439" s="10"/>
      <c r="M439" s="10"/>
      <c r="N439" s="10"/>
      <c r="O439" s="18"/>
      <c r="P439" s="18"/>
      <c r="Q439" s="21"/>
      <c r="R439" s="20"/>
      <c r="S439" s="16">
        <f t="shared" si="283"/>
        <v>0</v>
      </c>
      <c r="T439" s="11"/>
      <c r="AS439" s="31">
        <f t="shared" si="284"/>
        <v>0</v>
      </c>
      <c r="AT439" s="31">
        <f t="shared" si="285"/>
        <v>0</v>
      </c>
      <c r="AU439" s="31">
        <f t="shared" si="286"/>
        <v>0</v>
      </c>
      <c r="AV439" s="31">
        <f t="shared" si="287"/>
        <v>0</v>
      </c>
      <c r="AW439" s="31">
        <f t="shared" si="288"/>
        <v>0</v>
      </c>
      <c r="AX439" s="31">
        <f t="shared" si="289"/>
        <v>0</v>
      </c>
      <c r="AY439" s="31">
        <f t="shared" si="290"/>
        <v>0</v>
      </c>
      <c r="AZ439" s="31">
        <f t="shared" si="291"/>
        <v>0</v>
      </c>
      <c r="BA439" s="31">
        <f t="shared" si="292"/>
        <v>0</v>
      </c>
      <c r="BB439" s="31">
        <f t="shared" si="321"/>
        <v>0</v>
      </c>
      <c r="BM439" s="8">
        <f t="shared" si="322"/>
        <v>0</v>
      </c>
      <c r="BN439" s="8">
        <f t="shared" si="293"/>
        <v>0</v>
      </c>
      <c r="BO439" s="8">
        <f t="shared" si="294"/>
        <v>0</v>
      </c>
      <c r="BQ439" s="8">
        <f t="shared" si="295"/>
        <v>0</v>
      </c>
      <c r="BR439" s="63">
        <f t="shared" si="296"/>
        <v>0</v>
      </c>
      <c r="BS439" s="63">
        <f t="shared" si="323"/>
        <v>0</v>
      </c>
      <c r="BT439" s="63">
        <f t="shared" si="297"/>
        <v>0</v>
      </c>
      <c r="BU439" s="63">
        <f t="shared" si="298"/>
        <v>0</v>
      </c>
      <c r="BV439" s="57">
        <f t="shared" si="299"/>
        <v>0</v>
      </c>
      <c r="BW439" s="57">
        <f t="shared" si="300"/>
        <v>0</v>
      </c>
      <c r="BX439" s="57">
        <f t="shared" si="324"/>
        <v>0</v>
      </c>
      <c r="BY439" s="57">
        <f t="shared" si="328"/>
        <v>0</v>
      </c>
      <c r="BZ439" s="8">
        <f t="shared" si="301"/>
        <v>0</v>
      </c>
      <c r="CA439" s="8">
        <f t="shared" si="302"/>
        <v>0</v>
      </c>
      <c r="CB439" s="8">
        <f t="shared" si="303"/>
        <v>0</v>
      </c>
      <c r="CC439" s="8">
        <f t="shared" si="304"/>
        <v>0</v>
      </c>
      <c r="CD439" s="8">
        <f t="shared" si="305"/>
        <v>0</v>
      </c>
      <c r="CE439" s="8">
        <f t="shared" si="306"/>
        <v>0</v>
      </c>
      <c r="CF439" s="8">
        <f t="shared" si="307"/>
        <v>0</v>
      </c>
      <c r="CG439" s="8">
        <f t="shared" si="308"/>
        <v>0</v>
      </c>
      <c r="CH439" s="8">
        <f t="shared" si="309"/>
        <v>0</v>
      </c>
      <c r="CI439" s="8">
        <f t="shared" si="310"/>
        <v>0</v>
      </c>
      <c r="CJ439" s="8">
        <f t="shared" si="311"/>
        <v>0</v>
      </c>
      <c r="CK439" s="8">
        <f t="shared" si="312"/>
        <v>0</v>
      </c>
      <c r="CL439" s="8">
        <f t="shared" si="313"/>
        <v>0</v>
      </c>
      <c r="CM439" s="8">
        <f t="shared" si="314"/>
        <v>0</v>
      </c>
      <c r="CN439" s="8">
        <f t="shared" si="315"/>
        <v>0</v>
      </c>
      <c r="CO439" s="8">
        <f t="shared" si="316"/>
        <v>0</v>
      </c>
      <c r="CP439" s="8">
        <f t="shared" si="317"/>
        <v>0</v>
      </c>
      <c r="CQ439" s="8">
        <f t="shared" si="318"/>
        <v>0</v>
      </c>
      <c r="CR439" s="8">
        <f t="shared" si="319"/>
        <v>0</v>
      </c>
      <c r="CS439" s="8">
        <f t="shared" si="320"/>
        <v>0</v>
      </c>
      <c r="CT439" s="8">
        <f t="shared" si="325"/>
        <v>0</v>
      </c>
      <c r="CU439" s="8">
        <f t="shared" si="326"/>
        <v>0</v>
      </c>
      <c r="CV439" s="8">
        <f t="shared" si="327"/>
        <v>0</v>
      </c>
    </row>
    <row r="440" spans="1:100" ht="20.5" thickTop="1" thickBot="1" x14ac:dyDescent="0.5">
      <c r="A440" s="32"/>
      <c r="B440" s="10"/>
      <c r="C440" s="10"/>
      <c r="D440" s="11"/>
      <c r="E440" s="10"/>
      <c r="F440" s="10"/>
      <c r="G440" s="19"/>
      <c r="H440" s="19"/>
      <c r="I440" s="19"/>
      <c r="J440" s="19"/>
      <c r="K440" s="10"/>
      <c r="L440" s="10"/>
      <c r="M440" s="10"/>
      <c r="N440" s="10"/>
      <c r="O440" s="18"/>
      <c r="P440" s="18"/>
      <c r="Q440" s="21"/>
      <c r="R440" s="20"/>
      <c r="S440" s="16">
        <f t="shared" si="283"/>
        <v>0</v>
      </c>
      <c r="T440" s="11"/>
      <c r="AS440" s="31">
        <f t="shared" si="284"/>
        <v>0</v>
      </c>
      <c r="AT440" s="31">
        <f t="shared" si="285"/>
        <v>0</v>
      </c>
      <c r="AU440" s="31">
        <f t="shared" si="286"/>
        <v>0</v>
      </c>
      <c r="AV440" s="31">
        <f t="shared" si="287"/>
        <v>0</v>
      </c>
      <c r="AW440" s="31">
        <f t="shared" si="288"/>
        <v>0</v>
      </c>
      <c r="AX440" s="31">
        <f t="shared" si="289"/>
        <v>0</v>
      </c>
      <c r="AY440" s="31">
        <f t="shared" si="290"/>
        <v>0</v>
      </c>
      <c r="AZ440" s="31">
        <f t="shared" si="291"/>
        <v>0</v>
      </c>
      <c r="BA440" s="31">
        <f t="shared" si="292"/>
        <v>0</v>
      </c>
      <c r="BB440" s="31">
        <f t="shared" si="321"/>
        <v>0</v>
      </c>
      <c r="BM440" s="8">
        <f t="shared" si="322"/>
        <v>0</v>
      </c>
      <c r="BN440" s="8">
        <f t="shared" si="293"/>
        <v>0</v>
      </c>
      <c r="BO440" s="8">
        <f t="shared" si="294"/>
        <v>0</v>
      </c>
      <c r="BQ440" s="8">
        <f t="shared" si="295"/>
        <v>0</v>
      </c>
      <c r="BR440" s="63">
        <f t="shared" si="296"/>
        <v>0</v>
      </c>
      <c r="BS440" s="63">
        <f t="shared" si="323"/>
        <v>0</v>
      </c>
      <c r="BT440" s="63">
        <f t="shared" si="297"/>
        <v>0</v>
      </c>
      <c r="BU440" s="63">
        <f t="shared" si="298"/>
        <v>0</v>
      </c>
      <c r="BV440" s="57">
        <f t="shared" si="299"/>
        <v>0</v>
      </c>
      <c r="BW440" s="57">
        <f t="shared" si="300"/>
        <v>0</v>
      </c>
      <c r="BX440" s="57">
        <f t="shared" si="324"/>
        <v>0</v>
      </c>
      <c r="BY440" s="57">
        <f t="shared" si="328"/>
        <v>0</v>
      </c>
      <c r="BZ440" s="8">
        <f t="shared" si="301"/>
        <v>0</v>
      </c>
      <c r="CA440" s="8">
        <f t="shared" si="302"/>
        <v>0</v>
      </c>
      <c r="CB440" s="8">
        <f t="shared" si="303"/>
        <v>0</v>
      </c>
      <c r="CC440" s="8">
        <f t="shared" si="304"/>
        <v>0</v>
      </c>
      <c r="CD440" s="8">
        <f t="shared" si="305"/>
        <v>0</v>
      </c>
      <c r="CE440" s="8">
        <f t="shared" si="306"/>
        <v>0</v>
      </c>
      <c r="CF440" s="8">
        <f t="shared" si="307"/>
        <v>0</v>
      </c>
      <c r="CG440" s="8">
        <f t="shared" si="308"/>
        <v>0</v>
      </c>
      <c r="CH440" s="8">
        <f t="shared" si="309"/>
        <v>0</v>
      </c>
      <c r="CI440" s="8">
        <f t="shared" si="310"/>
        <v>0</v>
      </c>
      <c r="CJ440" s="8">
        <f t="shared" si="311"/>
        <v>0</v>
      </c>
      <c r="CK440" s="8">
        <f t="shared" si="312"/>
        <v>0</v>
      </c>
      <c r="CL440" s="8">
        <f t="shared" si="313"/>
        <v>0</v>
      </c>
      <c r="CM440" s="8">
        <f t="shared" si="314"/>
        <v>0</v>
      </c>
      <c r="CN440" s="8">
        <f t="shared" si="315"/>
        <v>0</v>
      </c>
      <c r="CO440" s="8">
        <f t="shared" si="316"/>
        <v>0</v>
      </c>
      <c r="CP440" s="8">
        <f t="shared" si="317"/>
        <v>0</v>
      </c>
      <c r="CQ440" s="8">
        <f t="shared" si="318"/>
        <v>0</v>
      </c>
      <c r="CR440" s="8">
        <f t="shared" si="319"/>
        <v>0</v>
      </c>
      <c r="CS440" s="8">
        <f t="shared" si="320"/>
        <v>0</v>
      </c>
      <c r="CT440" s="8">
        <f t="shared" si="325"/>
        <v>0</v>
      </c>
      <c r="CU440" s="8">
        <f t="shared" si="326"/>
        <v>0</v>
      </c>
      <c r="CV440" s="8">
        <f t="shared" si="327"/>
        <v>0</v>
      </c>
    </row>
    <row r="441" spans="1:100" ht="20.5" thickTop="1" thickBot="1" x14ac:dyDescent="0.5">
      <c r="A441" s="32"/>
      <c r="B441" s="10"/>
      <c r="C441" s="10"/>
      <c r="D441" s="11"/>
      <c r="E441" s="10"/>
      <c r="F441" s="10"/>
      <c r="G441" s="19"/>
      <c r="H441" s="19"/>
      <c r="I441" s="19"/>
      <c r="J441" s="19"/>
      <c r="K441" s="10"/>
      <c r="L441" s="10"/>
      <c r="M441" s="10"/>
      <c r="N441" s="10"/>
      <c r="O441" s="18"/>
      <c r="P441" s="18"/>
      <c r="Q441" s="21"/>
      <c r="R441" s="20"/>
      <c r="S441" s="16">
        <f t="shared" si="283"/>
        <v>0</v>
      </c>
      <c r="T441" s="11"/>
      <c r="AS441" s="31">
        <f t="shared" si="284"/>
        <v>0</v>
      </c>
      <c r="AT441" s="31">
        <f t="shared" si="285"/>
        <v>0</v>
      </c>
      <c r="AU441" s="31">
        <f t="shared" si="286"/>
        <v>0</v>
      </c>
      <c r="AV441" s="31">
        <f t="shared" si="287"/>
        <v>0</v>
      </c>
      <c r="AW441" s="31">
        <f t="shared" si="288"/>
        <v>0</v>
      </c>
      <c r="AX441" s="31">
        <f t="shared" si="289"/>
        <v>0</v>
      </c>
      <c r="AY441" s="31">
        <f t="shared" si="290"/>
        <v>0</v>
      </c>
      <c r="AZ441" s="31">
        <f t="shared" si="291"/>
        <v>0</v>
      </c>
      <c r="BA441" s="31">
        <f t="shared" si="292"/>
        <v>0</v>
      </c>
      <c r="BB441" s="31">
        <f t="shared" si="321"/>
        <v>0</v>
      </c>
      <c r="BM441" s="8">
        <f t="shared" si="322"/>
        <v>0</v>
      </c>
      <c r="BN441" s="8">
        <f t="shared" si="293"/>
        <v>0</v>
      </c>
      <c r="BO441" s="8">
        <f t="shared" si="294"/>
        <v>0</v>
      </c>
      <c r="BQ441" s="8">
        <f t="shared" si="295"/>
        <v>0</v>
      </c>
      <c r="BR441" s="63">
        <f t="shared" si="296"/>
        <v>0</v>
      </c>
      <c r="BS441" s="63">
        <f t="shared" si="323"/>
        <v>0</v>
      </c>
      <c r="BT441" s="63">
        <f t="shared" si="297"/>
        <v>0</v>
      </c>
      <c r="BU441" s="63">
        <f t="shared" si="298"/>
        <v>0</v>
      </c>
      <c r="BV441" s="57">
        <f t="shared" si="299"/>
        <v>0</v>
      </c>
      <c r="BW441" s="57">
        <f t="shared" si="300"/>
        <v>0</v>
      </c>
      <c r="BX441" s="57">
        <f t="shared" si="324"/>
        <v>0</v>
      </c>
      <c r="BY441" s="57">
        <f t="shared" si="328"/>
        <v>0</v>
      </c>
      <c r="BZ441" s="8">
        <f t="shared" si="301"/>
        <v>0</v>
      </c>
      <c r="CA441" s="8">
        <f t="shared" si="302"/>
        <v>0</v>
      </c>
      <c r="CB441" s="8">
        <f t="shared" si="303"/>
        <v>0</v>
      </c>
      <c r="CC441" s="8">
        <f t="shared" si="304"/>
        <v>0</v>
      </c>
      <c r="CD441" s="8">
        <f t="shared" si="305"/>
        <v>0</v>
      </c>
      <c r="CE441" s="8">
        <f t="shared" si="306"/>
        <v>0</v>
      </c>
      <c r="CF441" s="8">
        <f t="shared" si="307"/>
        <v>0</v>
      </c>
      <c r="CG441" s="8">
        <f t="shared" si="308"/>
        <v>0</v>
      </c>
      <c r="CH441" s="8">
        <f t="shared" si="309"/>
        <v>0</v>
      </c>
      <c r="CI441" s="8">
        <f t="shared" si="310"/>
        <v>0</v>
      </c>
      <c r="CJ441" s="8">
        <f t="shared" si="311"/>
        <v>0</v>
      </c>
      <c r="CK441" s="8">
        <f t="shared" si="312"/>
        <v>0</v>
      </c>
      <c r="CL441" s="8">
        <f t="shared" si="313"/>
        <v>0</v>
      </c>
      <c r="CM441" s="8">
        <f t="shared" si="314"/>
        <v>0</v>
      </c>
      <c r="CN441" s="8">
        <f t="shared" si="315"/>
        <v>0</v>
      </c>
      <c r="CO441" s="8">
        <f t="shared" si="316"/>
        <v>0</v>
      </c>
      <c r="CP441" s="8">
        <f t="shared" si="317"/>
        <v>0</v>
      </c>
      <c r="CQ441" s="8">
        <f t="shared" si="318"/>
        <v>0</v>
      </c>
      <c r="CR441" s="8">
        <f t="shared" si="319"/>
        <v>0</v>
      </c>
      <c r="CS441" s="8">
        <f t="shared" si="320"/>
        <v>0</v>
      </c>
      <c r="CT441" s="8">
        <f t="shared" si="325"/>
        <v>0</v>
      </c>
      <c r="CU441" s="8">
        <f t="shared" si="326"/>
        <v>0</v>
      </c>
      <c r="CV441" s="8">
        <f t="shared" si="327"/>
        <v>0</v>
      </c>
    </row>
    <row r="442" spans="1:100" ht="20.5" thickTop="1" thickBot="1" x14ac:dyDescent="0.5">
      <c r="A442" s="32"/>
      <c r="B442" s="10"/>
      <c r="C442" s="10"/>
      <c r="D442" s="11"/>
      <c r="E442" s="10"/>
      <c r="F442" s="10"/>
      <c r="G442" s="19"/>
      <c r="H442" s="19"/>
      <c r="I442" s="19"/>
      <c r="J442" s="19"/>
      <c r="K442" s="10"/>
      <c r="L442" s="10"/>
      <c r="M442" s="10"/>
      <c r="N442" s="10"/>
      <c r="O442" s="18"/>
      <c r="P442" s="18"/>
      <c r="Q442" s="21"/>
      <c r="R442" s="20"/>
      <c r="S442" s="16">
        <f t="shared" si="283"/>
        <v>0</v>
      </c>
      <c r="T442" s="11"/>
      <c r="AS442" s="31">
        <f t="shared" si="284"/>
        <v>0</v>
      </c>
      <c r="AT442" s="31">
        <f t="shared" si="285"/>
        <v>0</v>
      </c>
      <c r="AU442" s="31">
        <f t="shared" si="286"/>
        <v>0</v>
      </c>
      <c r="AV442" s="31">
        <f t="shared" si="287"/>
        <v>0</v>
      </c>
      <c r="AW442" s="31">
        <f t="shared" si="288"/>
        <v>0</v>
      </c>
      <c r="AX442" s="31">
        <f t="shared" si="289"/>
        <v>0</v>
      </c>
      <c r="AY442" s="31">
        <f t="shared" si="290"/>
        <v>0</v>
      </c>
      <c r="AZ442" s="31">
        <f t="shared" si="291"/>
        <v>0</v>
      </c>
      <c r="BA442" s="31">
        <f t="shared" si="292"/>
        <v>0</v>
      </c>
      <c r="BB442" s="31">
        <f t="shared" si="321"/>
        <v>0</v>
      </c>
      <c r="BM442" s="8">
        <f t="shared" si="322"/>
        <v>0</v>
      </c>
      <c r="BN442" s="8">
        <f t="shared" si="293"/>
        <v>0</v>
      </c>
      <c r="BO442" s="8">
        <f t="shared" si="294"/>
        <v>0</v>
      </c>
      <c r="BQ442" s="8">
        <f t="shared" si="295"/>
        <v>0</v>
      </c>
      <c r="BR442" s="63">
        <f t="shared" si="296"/>
        <v>0</v>
      </c>
      <c r="BS442" s="63">
        <f t="shared" si="323"/>
        <v>0</v>
      </c>
      <c r="BT442" s="63">
        <f t="shared" si="297"/>
        <v>0</v>
      </c>
      <c r="BU442" s="63">
        <f t="shared" si="298"/>
        <v>0</v>
      </c>
      <c r="BV442" s="57">
        <f t="shared" si="299"/>
        <v>0</v>
      </c>
      <c r="BW442" s="57">
        <f t="shared" si="300"/>
        <v>0</v>
      </c>
      <c r="BX442" s="57">
        <f t="shared" si="324"/>
        <v>0</v>
      </c>
      <c r="BY442" s="57">
        <f t="shared" si="328"/>
        <v>0</v>
      </c>
      <c r="BZ442" s="8">
        <f t="shared" si="301"/>
        <v>0</v>
      </c>
      <c r="CA442" s="8">
        <f t="shared" si="302"/>
        <v>0</v>
      </c>
      <c r="CB442" s="8">
        <f t="shared" si="303"/>
        <v>0</v>
      </c>
      <c r="CC442" s="8">
        <f t="shared" si="304"/>
        <v>0</v>
      </c>
      <c r="CD442" s="8">
        <f t="shared" si="305"/>
        <v>0</v>
      </c>
      <c r="CE442" s="8">
        <f t="shared" si="306"/>
        <v>0</v>
      </c>
      <c r="CF442" s="8">
        <f t="shared" si="307"/>
        <v>0</v>
      </c>
      <c r="CG442" s="8">
        <f t="shared" si="308"/>
        <v>0</v>
      </c>
      <c r="CH442" s="8">
        <f t="shared" si="309"/>
        <v>0</v>
      </c>
      <c r="CI442" s="8">
        <f t="shared" si="310"/>
        <v>0</v>
      </c>
      <c r="CJ442" s="8">
        <f t="shared" si="311"/>
        <v>0</v>
      </c>
      <c r="CK442" s="8">
        <f t="shared" si="312"/>
        <v>0</v>
      </c>
      <c r="CL442" s="8">
        <f t="shared" si="313"/>
        <v>0</v>
      </c>
      <c r="CM442" s="8">
        <f t="shared" si="314"/>
        <v>0</v>
      </c>
      <c r="CN442" s="8">
        <f t="shared" si="315"/>
        <v>0</v>
      </c>
      <c r="CO442" s="8">
        <f t="shared" si="316"/>
        <v>0</v>
      </c>
      <c r="CP442" s="8">
        <f t="shared" si="317"/>
        <v>0</v>
      </c>
      <c r="CQ442" s="8">
        <f t="shared" si="318"/>
        <v>0</v>
      </c>
      <c r="CR442" s="8">
        <f t="shared" si="319"/>
        <v>0</v>
      </c>
      <c r="CS442" s="8">
        <f t="shared" si="320"/>
        <v>0</v>
      </c>
      <c r="CT442" s="8">
        <f t="shared" si="325"/>
        <v>0</v>
      </c>
      <c r="CU442" s="8">
        <f t="shared" si="326"/>
        <v>0</v>
      </c>
      <c r="CV442" s="8">
        <f t="shared" si="327"/>
        <v>0</v>
      </c>
    </row>
    <row r="443" spans="1:100" ht="20.5" thickTop="1" thickBot="1" x14ac:dyDescent="0.5">
      <c r="A443" s="32"/>
      <c r="B443" s="10"/>
      <c r="C443" s="10"/>
      <c r="D443" s="11"/>
      <c r="E443" s="10"/>
      <c r="F443" s="10"/>
      <c r="G443" s="19"/>
      <c r="H443" s="19"/>
      <c r="I443" s="19"/>
      <c r="J443" s="19"/>
      <c r="K443" s="10"/>
      <c r="L443" s="10"/>
      <c r="M443" s="10"/>
      <c r="N443" s="10"/>
      <c r="O443" s="18"/>
      <c r="P443" s="18"/>
      <c r="Q443" s="21"/>
      <c r="R443" s="20"/>
      <c r="S443" s="16">
        <f t="shared" si="283"/>
        <v>0</v>
      </c>
      <c r="T443" s="11"/>
      <c r="AS443" s="31">
        <f t="shared" si="284"/>
        <v>0</v>
      </c>
      <c r="AT443" s="31">
        <f t="shared" si="285"/>
        <v>0</v>
      </c>
      <c r="AU443" s="31">
        <f t="shared" si="286"/>
        <v>0</v>
      </c>
      <c r="AV443" s="31">
        <f t="shared" si="287"/>
        <v>0</v>
      </c>
      <c r="AW443" s="31">
        <f t="shared" si="288"/>
        <v>0</v>
      </c>
      <c r="AX443" s="31">
        <f t="shared" si="289"/>
        <v>0</v>
      </c>
      <c r="AY443" s="31">
        <f t="shared" si="290"/>
        <v>0</v>
      </c>
      <c r="AZ443" s="31">
        <f t="shared" si="291"/>
        <v>0</v>
      </c>
      <c r="BA443" s="31">
        <f t="shared" si="292"/>
        <v>0</v>
      </c>
      <c r="BB443" s="31">
        <f t="shared" si="321"/>
        <v>0</v>
      </c>
      <c r="BM443" s="8">
        <f t="shared" si="322"/>
        <v>0</v>
      </c>
      <c r="BN443" s="8">
        <f t="shared" si="293"/>
        <v>0</v>
      </c>
      <c r="BO443" s="8">
        <f t="shared" si="294"/>
        <v>0</v>
      </c>
      <c r="BQ443" s="8">
        <f t="shared" si="295"/>
        <v>0</v>
      </c>
      <c r="BR443" s="63">
        <f t="shared" si="296"/>
        <v>0</v>
      </c>
      <c r="BS443" s="63">
        <f t="shared" si="323"/>
        <v>0</v>
      </c>
      <c r="BT443" s="63">
        <f t="shared" si="297"/>
        <v>0</v>
      </c>
      <c r="BU443" s="63">
        <f t="shared" si="298"/>
        <v>0</v>
      </c>
      <c r="BV443" s="57">
        <f t="shared" si="299"/>
        <v>0</v>
      </c>
      <c r="BW443" s="57">
        <f t="shared" si="300"/>
        <v>0</v>
      </c>
      <c r="BX443" s="57">
        <f t="shared" si="324"/>
        <v>0</v>
      </c>
      <c r="BY443" s="57">
        <f t="shared" si="328"/>
        <v>0</v>
      </c>
      <c r="BZ443" s="8">
        <f t="shared" si="301"/>
        <v>0</v>
      </c>
      <c r="CA443" s="8">
        <f t="shared" si="302"/>
        <v>0</v>
      </c>
      <c r="CB443" s="8">
        <f t="shared" si="303"/>
        <v>0</v>
      </c>
      <c r="CC443" s="8">
        <f t="shared" si="304"/>
        <v>0</v>
      </c>
      <c r="CD443" s="8">
        <f t="shared" si="305"/>
        <v>0</v>
      </c>
      <c r="CE443" s="8">
        <f t="shared" si="306"/>
        <v>0</v>
      </c>
      <c r="CF443" s="8">
        <f t="shared" si="307"/>
        <v>0</v>
      </c>
      <c r="CG443" s="8">
        <f t="shared" si="308"/>
        <v>0</v>
      </c>
      <c r="CH443" s="8">
        <f t="shared" si="309"/>
        <v>0</v>
      </c>
      <c r="CI443" s="8">
        <f t="shared" si="310"/>
        <v>0</v>
      </c>
      <c r="CJ443" s="8">
        <f t="shared" si="311"/>
        <v>0</v>
      </c>
      <c r="CK443" s="8">
        <f t="shared" si="312"/>
        <v>0</v>
      </c>
      <c r="CL443" s="8">
        <f t="shared" si="313"/>
        <v>0</v>
      </c>
      <c r="CM443" s="8">
        <f t="shared" si="314"/>
        <v>0</v>
      </c>
      <c r="CN443" s="8">
        <f t="shared" si="315"/>
        <v>0</v>
      </c>
      <c r="CO443" s="8">
        <f t="shared" si="316"/>
        <v>0</v>
      </c>
      <c r="CP443" s="8">
        <f t="shared" si="317"/>
        <v>0</v>
      </c>
      <c r="CQ443" s="8">
        <f t="shared" si="318"/>
        <v>0</v>
      </c>
      <c r="CR443" s="8">
        <f t="shared" si="319"/>
        <v>0</v>
      </c>
      <c r="CS443" s="8">
        <f t="shared" si="320"/>
        <v>0</v>
      </c>
      <c r="CT443" s="8">
        <f t="shared" si="325"/>
        <v>0</v>
      </c>
      <c r="CU443" s="8">
        <f t="shared" si="326"/>
        <v>0</v>
      </c>
      <c r="CV443" s="8">
        <f t="shared" si="327"/>
        <v>0</v>
      </c>
    </row>
    <row r="444" spans="1:100" ht="20.5" thickTop="1" thickBot="1" x14ac:dyDescent="0.5">
      <c r="A444" s="32"/>
      <c r="B444" s="10"/>
      <c r="C444" s="10"/>
      <c r="D444" s="11"/>
      <c r="E444" s="10"/>
      <c r="F444" s="10"/>
      <c r="G444" s="19"/>
      <c r="H444" s="19"/>
      <c r="I444" s="19"/>
      <c r="J444" s="19"/>
      <c r="K444" s="10"/>
      <c r="L444" s="10"/>
      <c r="M444" s="10"/>
      <c r="N444" s="10"/>
      <c r="O444" s="18"/>
      <c r="P444" s="18"/>
      <c r="Q444" s="21"/>
      <c r="R444" s="20"/>
      <c r="S444" s="16">
        <f t="shared" si="283"/>
        <v>0</v>
      </c>
      <c r="T444" s="11"/>
      <c r="AS444" s="31">
        <f t="shared" si="284"/>
        <v>0</v>
      </c>
      <c r="AT444" s="31">
        <f t="shared" si="285"/>
        <v>0</v>
      </c>
      <c r="AU444" s="31">
        <f t="shared" si="286"/>
        <v>0</v>
      </c>
      <c r="AV444" s="31">
        <f t="shared" si="287"/>
        <v>0</v>
      </c>
      <c r="AW444" s="31">
        <f t="shared" si="288"/>
        <v>0</v>
      </c>
      <c r="AX444" s="31">
        <f t="shared" si="289"/>
        <v>0</v>
      </c>
      <c r="AY444" s="31">
        <f t="shared" si="290"/>
        <v>0</v>
      </c>
      <c r="AZ444" s="31">
        <f t="shared" si="291"/>
        <v>0</v>
      </c>
      <c r="BA444" s="31">
        <f t="shared" si="292"/>
        <v>0</v>
      </c>
      <c r="BB444" s="31">
        <f t="shared" si="321"/>
        <v>0</v>
      </c>
      <c r="BM444" s="8">
        <f t="shared" si="322"/>
        <v>0</v>
      </c>
      <c r="BN444" s="8">
        <f t="shared" si="293"/>
        <v>0</v>
      </c>
      <c r="BO444" s="8">
        <f t="shared" si="294"/>
        <v>0</v>
      </c>
      <c r="BQ444" s="8">
        <f t="shared" si="295"/>
        <v>0</v>
      </c>
      <c r="BR444" s="63">
        <f t="shared" si="296"/>
        <v>0</v>
      </c>
      <c r="BS444" s="63">
        <f t="shared" si="323"/>
        <v>0</v>
      </c>
      <c r="BT444" s="63">
        <f t="shared" si="297"/>
        <v>0</v>
      </c>
      <c r="BU444" s="63">
        <f t="shared" si="298"/>
        <v>0</v>
      </c>
      <c r="BV444" s="57">
        <f t="shared" si="299"/>
        <v>0</v>
      </c>
      <c r="BW444" s="57">
        <f t="shared" si="300"/>
        <v>0</v>
      </c>
      <c r="BX444" s="57">
        <f t="shared" si="324"/>
        <v>0</v>
      </c>
      <c r="BY444" s="57">
        <f t="shared" si="328"/>
        <v>0</v>
      </c>
      <c r="BZ444" s="8">
        <f t="shared" si="301"/>
        <v>0</v>
      </c>
      <c r="CA444" s="8">
        <f t="shared" si="302"/>
        <v>0</v>
      </c>
      <c r="CB444" s="8">
        <f t="shared" si="303"/>
        <v>0</v>
      </c>
      <c r="CC444" s="8">
        <f t="shared" si="304"/>
        <v>0</v>
      </c>
      <c r="CD444" s="8">
        <f t="shared" si="305"/>
        <v>0</v>
      </c>
      <c r="CE444" s="8">
        <f t="shared" si="306"/>
        <v>0</v>
      </c>
      <c r="CF444" s="8">
        <f t="shared" si="307"/>
        <v>0</v>
      </c>
      <c r="CG444" s="8">
        <f t="shared" si="308"/>
        <v>0</v>
      </c>
      <c r="CH444" s="8">
        <f t="shared" si="309"/>
        <v>0</v>
      </c>
      <c r="CI444" s="8">
        <f t="shared" si="310"/>
        <v>0</v>
      </c>
      <c r="CJ444" s="8">
        <f t="shared" si="311"/>
        <v>0</v>
      </c>
      <c r="CK444" s="8">
        <f t="shared" si="312"/>
        <v>0</v>
      </c>
      <c r="CL444" s="8">
        <f t="shared" si="313"/>
        <v>0</v>
      </c>
      <c r="CM444" s="8">
        <f t="shared" si="314"/>
        <v>0</v>
      </c>
      <c r="CN444" s="8">
        <f t="shared" si="315"/>
        <v>0</v>
      </c>
      <c r="CO444" s="8">
        <f t="shared" si="316"/>
        <v>0</v>
      </c>
      <c r="CP444" s="8">
        <f t="shared" si="317"/>
        <v>0</v>
      </c>
      <c r="CQ444" s="8">
        <f t="shared" si="318"/>
        <v>0</v>
      </c>
      <c r="CR444" s="8">
        <f t="shared" si="319"/>
        <v>0</v>
      </c>
      <c r="CS444" s="8">
        <f t="shared" si="320"/>
        <v>0</v>
      </c>
      <c r="CT444" s="8">
        <f t="shared" si="325"/>
        <v>0</v>
      </c>
      <c r="CU444" s="8">
        <f t="shared" si="326"/>
        <v>0</v>
      </c>
      <c r="CV444" s="8">
        <f t="shared" si="327"/>
        <v>0</v>
      </c>
    </row>
    <row r="445" spans="1:100" ht="20.5" thickTop="1" thickBot="1" x14ac:dyDescent="0.5">
      <c r="A445" s="32"/>
      <c r="B445" s="10"/>
      <c r="C445" s="10"/>
      <c r="D445" s="11"/>
      <c r="E445" s="10"/>
      <c r="F445" s="10"/>
      <c r="G445" s="19"/>
      <c r="H445" s="19"/>
      <c r="I445" s="19"/>
      <c r="J445" s="19"/>
      <c r="K445" s="10"/>
      <c r="L445" s="10"/>
      <c r="M445" s="10"/>
      <c r="N445" s="10"/>
      <c r="O445" s="18"/>
      <c r="P445" s="18"/>
      <c r="Q445" s="21"/>
      <c r="R445" s="20"/>
      <c r="S445" s="16">
        <f t="shared" si="283"/>
        <v>0</v>
      </c>
      <c r="T445" s="11"/>
      <c r="AS445" s="31">
        <f t="shared" si="284"/>
        <v>0</v>
      </c>
      <c r="AT445" s="31">
        <f t="shared" si="285"/>
        <v>0</v>
      </c>
      <c r="AU445" s="31">
        <f t="shared" si="286"/>
        <v>0</v>
      </c>
      <c r="AV445" s="31">
        <f t="shared" si="287"/>
        <v>0</v>
      </c>
      <c r="AW445" s="31">
        <f t="shared" si="288"/>
        <v>0</v>
      </c>
      <c r="AX445" s="31">
        <f t="shared" si="289"/>
        <v>0</v>
      </c>
      <c r="AY445" s="31">
        <f t="shared" si="290"/>
        <v>0</v>
      </c>
      <c r="AZ445" s="31">
        <f t="shared" si="291"/>
        <v>0</v>
      </c>
      <c r="BA445" s="31">
        <f t="shared" si="292"/>
        <v>0</v>
      </c>
      <c r="BB445" s="31">
        <f t="shared" si="321"/>
        <v>0</v>
      </c>
      <c r="BM445" s="8">
        <f t="shared" si="322"/>
        <v>0</v>
      </c>
      <c r="BN445" s="8">
        <f t="shared" si="293"/>
        <v>0</v>
      </c>
      <c r="BO445" s="8">
        <f t="shared" si="294"/>
        <v>0</v>
      </c>
      <c r="BQ445" s="8">
        <f t="shared" si="295"/>
        <v>0</v>
      </c>
      <c r="BR445" s="63">
        <f t="shared" si="296"/>
        <v>0</v>
      </c>
      <c r="BS445" s="63">
        <f t="shared" si="323"/>
        <v>0</v>
      </c>
      <c r="BT445" s="63">
        <f t="shared" si="297"/>
        <v>0</v>
      </c>
      <c r="BU445" s="63">
        <f t="shared" si="298"/>
        <v>0</v>
      </c>
      <c r="BV445" s="57">
        <f t="shared" si="299"/>
        <v>0</v>
      </c>
      <c r="BW445" s="57">
        <f t="shared" si="300"/>
        <v>0</v>
      </c>
      <c r="BX445" s="57">
        <f t="shared" si="324"/>
        <v>0</v>
      </c>
      <c r="BY445" s="57">
        <f t="shared" si="328"/>
        <v>0</v>
      </c>
      <c r="BZ445" s="8">
        <f t="shared" si="301"/>
        <v>0</v>
      </c>
      <c r="CA445" s="8">
        <f t="shared" si="302"/>
        <v>0</v>
      </c>
      <c r="CB445" s="8">
        <f t="shared" si="303"/>
        <v>0</v>
      </c>
      <c r="CC445" s="8">
        <f t="shared" si="304"/>
        <v>0</v>
      </c>
      <c r="CD445" s="8">
        <f t="shared" si="305"/>
        <v>0</v>
      </c>
      <c r="CE445" s="8">
        <f t="shared" si="306"/>
        <v>0</v>
      </c>
      <c r="CF445" s="8">
        <f t="shared" si="307"/>
        <v>0</v>
      </c>
      <c r="CG445" s="8">
        <f t="shared" si="308"/>
        <v>0</v>
      </c>
      <c r="CH445" s="8">
        <f t="shared" si="309"/>
        <v>0</v>
      </c>
      <c r="CI445" s="8">
        <f t="shared" si="310"/>
        <v>0</v>
      </c>
      <c r="CJ445" s="8">
        <f t="shared" si="311"/>
        <v>0</v>
      </c>
      <c r="CK445" s="8">
        <f t="shared" si="312"/>
        <v>0</v>
      </c>
      <c r="CL445" s="8">
        <f t="shared" si="313"/>
        <v>0</v>
      </c>
      <c r="CM445" s="8">
        <f t="shared" si="314"/>
        <v>0</v>
      </c>
      <c r="CN445" s="8">
        <f t="shared" si="315"/>
        <v>0</v>
      </c>
      <c r="CO445" s="8">
        <f t="shared" si="316"/>
        <v>0</v>
      </c>
      <c r="CP445" s="8">
        <f t="shared" si="317"/>
        <v>0</v>
      </c>
      <c r="CQ445" s="8">
        <f t="shared" si="318"/>
        <v>0</v>
      </c>
      <c r="CR445" s="8">
        <f t="shared" si="319"/>
        <v>0</v>
      </c>
      <c r="CS445" s="8">
        <f t="shared" si="320"/>
        <v>0</v>
      </c>
      <c r="CT445" s="8">
        <f t="shared" si="325"/>
        <v>0</v>
      </c>
      <c r="CU445" s="8">
        <f t="shared" si="326"/>
        <v>0</v>
      </c>
      <c r="CV445" s="8">
        <f t="shared" si="327"/>
        <v>0</v>
      </c>
    </row>
    <row r="446" spans="1:100" ht="20.5" thickTop="1" thickBot="1" x14ac:dyDescent="0.5">
      <c r="A446" s="32"/>
      <c r="B446" s="10"/>
      <c r="C446" s="10"/>
      <c r="D446" s="11"/>
      <c r="E446" s="10"/>
      <c r="F446" s="10"/>
      <c r="G446" s="19"/>
      <c r="H446" s="19"/>
      <c r="I446" s="19"/>
      <c r="J446" s="19"/>
      <c r="K446" s="10"/>
      <c r="L446" s="10"/>
      <c r="M446" s="10"/>
      <c r="N446" s="10"/>
      <c r="O446" s="18"/>
      <c r="P446" s="18"/>
      <c r="Q446" s="21"/>
      <c r="R446" s="20"/>
      <c r="S446" s="16">
        <f t="shared" si="283"/>
        <v>0</v>
      </c>
      <c r="T446" s="11"/>
      <c r="AS446" s="31">
        <f t="shared" si="284"/>
        <v>0</v>
      </c>
      <c r="AT446" s="31">
        <f t="shared" si="285"/>
        <v>0</v>
      </c>
      <c r="AU446" s="31">
        <f t="shared" si="286"/>
        <v>0</v>
      </c>
      <c r="AV446" s="31">
        <f t="shared" si="287"/>
        <v>0</v>
      </c>
      <c r="AW446" s="31">
        <f t="shared" si="288"/>
        <v>0</v>
      </c>
      <c r="AX446" s="31">
        <f t="shared" si="289"/>
        <v>0</v>
      </c>
      <c r="AY446" s="31">
        <f t="shared" si="290"/>
        <v>0</v>
      </c>
      <c r="AZ446" s="31">
        <f t="shared" si="291"/>
        <v>0</v>
      </c>
      <c r="BA446" s="31">
        <f t="shared" si="292"/>
        <v>0</v>
      </c>
      <c r="BB446" s="31">
        <f t="shared" si="321"/>
        <v>0</v>
      </c>
      <c r="BM446" s="8">
        <f t="shared" si="322"/>
        <v>0</v>
      </c>
      <c r="BN446" s="8">
        <f t="shared" si="293"/>
        <v>0</v>
      </c>
      <c r="BO446" s="8">
        <f t="shared" si="294"/>
        <v>0</v>
      </c>
      <c r="BQ446" s="8">
        <f t="shared" si="295"/>
        <v>0</v>
      </c>
      <c r="BR446" s="63">
        <f t="shared" si="296"/>
        <v>0</v>
      </c>
      <c r="BS446" s="63">
        <f t="shared" si="323"/>
        <v>0</v>
      </c>
      <c r="BT446" s="63">
        <f t="shared" si="297"/>
        <v>0</v>
      </c>
      <c r="BU446" s="63">
        <f t="shared" si="298"/>
        <v>0</v>
      </c>
      <c r="BV446" s="57">
        <f t="shared" si="299"/>
        <v>0</v>
      </c>
      <c r="BW446" s="57">
        <f t="shared" si="300"/>
        <v>0</v>
      </c>
      <c r="BX446" s="57">
        <f t="shared" si="324"/>
        <v>0</v>
      </c>
      <c r="BY446" s="57">
        <f t="shared" si="328"/>
        <v>0</v>
      </c>
      <c r="BZ446" s="8">
        <f t="shared" si="301"/>
        <v>0</v>
      </c>
      <c r="CA446" s="8">
        <f t="shared" si="302"/>
        <v>0</v>
      </c>
      <c r="CB446" s="8">
        <f t="shared" si="303"/>
        <v>0</v>
      </c>
      <c r="CC446" s="8">
        <f t="shared" si="304"/>
        <v>0</v>
      </c>
      <c r="CD446" s="8">
        <f t="shared" si="305"/>
        <v>0</v>
      </c>
      <c r="CE446" s="8">
        <f t="shared" si="306"/>
        <v>0</v>
      </c>
      <c r="CF446" s="8">
        <f t="shared" si="307"/>
        <v>0</v>
      </c>
      <c r="CG446" s="8">
        <f t="shared" si="308"/>
        <v>0</v>
      </c>
      <c r="CH446" s="8">
        <f t="shared" si="309"/>
        <v>0</v>
      </c>
      <c r="CI446" s="8">
        <f t="shared" si="310"/>
        <v>0</v>
      </c>
      <c r="CJ446" s="8">
        <f t="shared" si="311"/>
        <v>0</v>
      </c>
      <c r="CK446" s="8">
        <f t="shared" si="312"/>
        <v>0</v>
      </c>
      <c r="CL446" s="8">
        <f t="shared" si="313"/>
        <v>0</v>
      </c>
      <c r="CM446" s="8">
        <f t="shared" si="314"/>
        <v>0</v>
      </c>
      <c r="CN446" s="8">
        <f t="shared" si="315"/>
        <v>0</v>
      </c>
      <c r="CO446" s="8">
        <f t="shared" si="316"/>
        <v>0</v>
      </c>
      <c r="CP446" s="8">
        <f t="shared" si="317"/>
        <v>0</v>
      </c>
      <c r="CQ446" s="8">
        <f t="shared" si="318"/>
        <v>0</v>
      </c>
      <c r="CR446" s="8">
        <f t="shared" si="319"/>
        <v>0</v>
      </c>
      <c r="CS446" s="8">
        <f t="shared" si="320"/>
        <v>0</v>
      </c>
      <c r="CT446" s="8">
        <f t="shared" si="325"/>
        <v>0</v>
      </c>
      <c r="CU446" s="8">
        <f t="shared" si="326"/>
        <v>0</v>
      </c>
      <c r="CV446" s="8">
        <f t="shared" si="327"/>
        <v>0</v>
      </c>
    </row>
    <row r="447" spans="1:100" ht="20.5" thickTop="1" thickBot="1" x14ac:dyDescent="0.5">
      <c r="A447" s="32"/>
      <c r="B447" s="10"/>
      <c r="C447" s="10"/>
      <c r="D447" s="11"/>
      <c r="E447" s="10"/>
      <c r="F447" s="10"/>
      <c r="G447" s="19"/>
      <c r="H447" s="19"/>
      <c r="I447" s="19"/>
      <c r="J447" s="19"/>
      <c r="K447" s="10"/>
      <c r="L447" s="10"/>
      <c r="M447" s="10"/>
      <c r="N447" s="10"/>
      <c r="O447" s="18"/>
      <c r="P447" s="18"/>
      <c r="Q447" s="21"/>
      <c r="R447" s="20"/>
      <c r="S447" s="16">
        <f t="shared" si="283"/>
        <v>0</v>
      </c>
      <c r="T447" s="11"/>
      <c r="AS447" s="31">
        <f t="shared" si="284"/>
        <v>0</v>
      </c>
      <c r="AT447" s="31">
        <f t="shared" si="285"/>
        <v>0</v>
      </c>
      <c r="AU447" s="31">
        <f t="shared" si="286"/>
        <v>0</v>
      </c>
      <c r="AV447" s="31">
        <f t="shared" si="287"/>
        <v>0</v>
      </c>
      <c r="AW447" s="31">
        <f t="shared" si="288"/>
        <v>0</v>
      </c>
      <c r="AX447" s="31">
        <f t="shared" si="289"/>
        <v>0</v>
      </c>
      <c r="AY447" s="31">
        <f t="shared" si="290"/>
        <v>0</v>
      </c>
      <c r="AZ447" s="31">
        <f t="shared" si="291"/>
        <v>0</v>
      </c>
      <c r="BA447" s="31">
        <f t="shared" si="292"/>
        <v>0</v>
      </c>
      <c r="BB447" s="31">
        <f t="shared" si="321"/>
        <v>0</v>
      </c>
      <c r="BM447" s="8">
        <f t="shared" si="322"/>
        <v>0</v>
      </c>
      <c r="BN447" s="8">
        <f t="shared" si="293"/>
        <v>0</v>
      </c>
      <c r="BO447" s="8">
        <f t="shared" si="294"/>
        <v>0</v>
      </c>
      <c r="BQ447" s="8">
        <f t="shared" si="295"/>
        <v>0</v>
      </c>
      <c r="BR447" s="63">
        <f t="shared" si="296"/>
        <v>0</v>
      </c>
      <c r="BS447" s="63">
        <f t="shared" si="323"/>
        <v>0</v>
      </c>
      <c r="BT447" s="63">
        <f t="shared" si="297"/>
        <v>0</v>
      </c>
      <c r="BU447" s="63">
        <f t="shared" si="298"/>
        <v>0</v>
      </c>
      <c r="BV447" s="57">
        <f t="shared" si="299"/>
        <v>0</v>
      </c>
      <c r="BW447" s="57">
        <f t="shared" si="300"/>
        <v>0</v>
      </c>
      <c r="BX447" s="57">
        <f t="shared" si="324"/>
        <v>0</v>
      </c>
      <c r="BY447" s="57">
        <f t="shared" si="328"/>
        <v>0</v>
      </c>
      <c r="BZ447" s="8">
        <f t="shared" si="301"/>
        <v>0</v>
      </c>
      <c r="CA447" s="8">
        <f t="shared" si="302"/>
        <v>0</v>
      </c>
      <c r="CB447" s="8">
        <f t="shared" si="303"/>
        <v>0</v>
      </c>
      <c r="CC447" s="8">
        <f t="shared" si="304"/>
        <v>0</v>
      </c>
      <c r="CD447" s="8">
        <f t="shared" si="305"/>
        <v>0</v>
      </c>
      <c r="CE447" s="8">
        <f t="shared" si="306"/>
        <v>0</v>
      </c>
      <c r="CF447" s="8">
        <f t="shared" si="307"/>
        <v>0</v>
      </c>
      <c r="CG447" s="8">
        <f t="shared" si="308"/>
        <v>0</v>
      </c>
      <c r="CH447" s="8">
        <f t="shared" si="309"/>
        <v>0</v>
      </c>
      <c r="CI447" s="8">
        <f t="shared" si="310"/>
        <v>0</v>
      </c>
      <c r="CJ447" s="8">
        <f t="shared" si="311"/>
        <v>0</v>
      </c>
      <c r="CK447" s="8">
        <f t="shared" si="312"/>
        <v>0</v>
      </c>
      <c r="CL447" s="8">
        <f t="shared" si="313"/>
        <v>0</v>
      </c>
      <c r="CM447" s="8">
        <f t="shared" si="314"/>
        <v>0</v>
      </c>
      <c r="CN447" s="8">
        <f t="shared" si="315"/>
        <v>0</v>
      </c>
      <c r="CO447" s="8">
        <f t="shared" si="316"/>
        <v>0</v>
      </c>
      <c r="CP447" s="8">
        <f t="shared" si="317"/>
        <v>0</v>
      </c>
      <c r="CQ447" s="8">
        <f t="shared" si="318"/>
        <v>0</v>
      </c>
      <c r="CR447" s="8">
        <f t="shared" si="319"/>
        <v>0</v>
      </c>
      <c r="CS447" s="8">
        <f t="shared" si="320"/>
        <v>0</v>
      </c>
      <c r="CT447" s="8">
        <f t="shared" si="325"/>
        <v>0</v>
      </c>
      <c r="CU447" s="8">
        <f t="shared" si="326"/>
        <v>0</v>
      </c>
      <c r="CV447" s="8">
        <f t="shared" si="327"/>
        <v>0</v>
      </c>
    </row>
    <row r="448" spans="1:100" ht="20.5" thickTop="1" thickBot="1" x14ac:dyDescent="0.5">
      <c r="A448" s="32"/>
      <c r="B448" s="10"/>
      <c r="C448" s="10"/>
      <c r="D448" s="11"/>
      <c r="E448" s="10"/>
      <c r="F448" s="10"/>
      <c r="G448" s="19"/>
      <c r="H448" s="19"/>
      <c r="I448" s="19"/>
      <c r="J448" s="19"/>
      <c r="K448" s="10"/>
      <c r="L448" s="10"/>
      <c r="M448" s="10"/>
      <c r="N448" s="10"/>
      <c r="O448" s="18"/>
      <c r="P448" s="18"/>
      <c r="Q448" s="21"/>
      <c r="R448" s="20"/>
      <c r="S448" s="16">
        <f t="shared" si="283"/>
        <v>0</v>
      </c>
      <c r="T448" s="11"/>
      <c r="AS448" s="31">
        <f t="shared" si="284"/>
        <v>0</v>
      </c>
      <c r="AT448" s="31">
        <f t="shared" si="285"/>
        <v>0</v>
      </c>
      <c r="AU448" s="31">
        <f t="shared" si="286"/>
        <v>0</v>
      </c>
      <c r="AV448" s="31">
        <f t="shared" si="287"/>
        <v>0</v>
      </c>
      <c r="AW448" s="31">
        <f t="shared" si="288"/>
        <v>0</v>
      </c>
      <c r="AX448" s="31">
        <f t="shared" si="289"/>
        <v>0</v>
      </c>
      <c r="AY448" s="31">
        <f t="shared" si="290"/>
        <v>0</v>
      </c>
      <c r="AZ448" s="31">
        <f t="shared" si="291"/>
        <v>0</v>
      </c>
      <c r="BA448" s="31">
        <f t="shared" si="292"/>
        <v>0</v>
      </c>
      <c r="BB448" s="31">
        <f t="shared" si="321"/>
        <v>0</v>
      </c>
      <c r="BM448" s="8">
        <f t="shared" si="322"/>
        <v>0</v>
      </c>
      <c r="BN448" s="8">
        <f t="shared" si="293"/>
        <v>0</v>
      </c>
      <c r="BO448" s="8">
        <f t="shared" si="294"/>
        <v>0</v>
      </c>
      <c r="BQ448" s="8">
        <f t="shared" si="295"/>
        <v>0</v>
      </c>
      <c r="BR448" s="63">
        <f t="shared" si="296"/>
        <v>0</v>
      </c>
      <c r="BS448" s="63">
        <f t="shared" si="323"/>
        <v>0</v>
      </c>
      <c r="BT448" s="63">
        <f t="shared" si="297"/>
        <v>0</v>
      </c>
      <c r="BU448" s="63">
        <f t="shared" si="298"/>
        <v>0</v>
      </c>
      <c r="BV448" s="57">
        <f t="shared" si="299"/>
        <v>0</v>
      </c>
      <c r="BW448" s="57">
        <f t="shared" si="300"/>
        <v>0</v>
      </c>
      <c r="BX448" s="57">
        <f t="shared" si="324"/>
        <v>0</v>
      </c>
      <c r="BY448" s="57">
        <f t="shared" si="328"/>
        <v>0</v>
      </c>
      <c r="BZ448" s="8">
        <f t="shared" si="301"/>
        <v>0</v>
      </c>
      <c r="CA448" s="8">
        <f t="shared" si="302"/>
        <v>0</v>
      </c>
      <c r="CB448" s="8">
        <f t="shared" si="303"/>
        <v>0</v>
      </c>
      <c r="CC448" s="8">
        <f t="shared" si="304"/>
        <v>0</v>
      </c>
      <c r="CD448" s="8">
        <f t="shared" si="305"/>
        <v>0</v>
      </c>
      <c r="CE448" s="8">
        <f t="shared" si="306"/>
        <v>0</v>
      </c>
      <c r="CF448" s="8">
        <f t="shared" si="307"/>
        <v>0</v>
      </c>
      <c r="CG448" s="8">
        <f t="shared" si="308"/>
        <v>0</v>
      </c>
      <c r="CH448" s="8">
        <f t="shared" si="309"/>
        <v>0</v>
      </c>
      <c r="CI448" s="8">
        <f t="shared" si="310"/>
        <v>0</v>
      </c>
      <c r="CJ448" s="8">
        <f t="shared" si="311"/>
        <v>0</v>
      </c>
      <c r="CK448" s="8">
        <f t="shared" si="312"/>
        <v>0</v>
      </c>
      <c r="CL448" s="8">
        <f t="shared" si="313"/>
        <v>0</v>
      </c>
      <c r="CM448" s="8">
        <f t="shared" si="314"/>
        <v>0</v>
      </c>
      <c r="CN448" s="8">
        <f t="shared" si="315"/>
        <v>0</v>
      </c>
      <c r="CO448" s="8">
        <f t="shared" si="316"/>
        <v>0</v>
      </c>
      <c r="CP448" s="8">
        <f t="shared" si="317"/>
        <v>0</v>
      </c>
      <c r="CQ448" s="8">
        <f t="shared" si="318"/>
        <v>0</v>
      </c>
      <c r="CR448" s="8">
        <f t="shared" si="319"/>
        <v>0</v>
      </c>
      <c r="CS448" s="8">
        <f t="shared" si="320"/>
        <v>0</v>
      </c>
      <c r="CT448" s="8">
        <f t="shared" si="325"/>
        <v>0</v>
      </c>
      <c r="CU448" s="8">
        <f t="shared" si="326"/>
        <v>0</v>
      </c>
      <c r="CV448" s="8">
        <f t="shared" si="327"/>
        <v>0</v>
      </c>
    </row>
    <row r="449" spans="1:100" ht="20.5" thickTop="1" thickBot="1" x14ac:dyDescent="0.5">
      <c r="A449" s="32"/>
      <c r="B449" s="10"/>
      <c r="C449" s="10"/>
      <c r="D449" s="11"/>
      <c r="E449" s="10"/>
      <c r="F449" s="10"/>
      <c r="G449" s="19"/>
      <c r="H449" s="19"/>
      <c r="I449" s="19"/>
      <c r="J449" s="19"/>
      <c r="K449" s="10"/>
      <c r="L449" s="10"/>
      <c r="M449" s="10"/>
      <c r="N449" s="10"/>
      <c r="O449" s="18"/>
      <c r="P449" s="18"/>
      <c r="Q449" s="21"/>
      <c r="R449" s="20"/>
      <c r="S449" s="16">
        <f t="shared" si="283"/>
        <v>0</v>
      </c>
      <c r="T449" s="11"/>
      <c r="AS449" s="31">
        <f t="shared" si="284"/>
        <v>0</v>
      </c>
      <c r="AT449" s="31">
        <f t="shared" si="285"/>
        <v>0</v>
      </c>
      <c r="AU449" s="31">
        <f t="shared" si="286"/>
        <v>0</v>
      </c>
      <c r="AV449" s="31">
        <f t="shared" si="287"/>
        <v>0</v>
      </c>
      <c r="AW449" s="31">
        <f t="shared" si="288"/>
        <v>0</v>
      </c>
      <c r="AX449" s="31">
        <f t="shared" si="289"/>
        <v>0</v>
      </c>
      <c r="AY449" s="31">
        <f t="shared" si="290"/>
        <v>0</v>
      </c>
      <c r="AZ449" s="31">
        <f t="shared" si="291"/>
        <v>0</v>
      </c>
      <c r="BA449" s="31">
        <f t="shared" si="292"/>
        <v>0</v>
      </c>
      <c r="BB449" s="31">
        <f t="shared" si="321"/>
        <v>0</v>
      </c>
      <c r="BM449" s="8">
        <f t="shared" si="322"/>
        <v>0</v>
      </c>
      <c r="BN449" s="8">
        <f t="shared" si="293"/>
        <v>0</v>
      </c>
      <c r="BO449" s="8">
        <f t="shared" si="294"/>
        <v>0</v>
      </c>
      <c r="BQ449" s="8">
        <f t="shared" si="295"/>
        <v>0</v>
      </c>
      <c r="BR449" s="63">
        <f t="shared" si="296"/>
        <v>0</v>
      </c>
      <c r="BS449" s="63">
        <f t="shared" si="323"/>
        <v>0</v>
      </c>
      <c r="BT449" s="63">
        <f t="shared" si="297"/>
        <v>0</v>
      </c>
      <c r="BU449" s="63">
        <f t="shared" si="298"/>
        <v>0</v>
      </c>
      <c r="BV449" s="57">
        <f t="shared" si="299"/>
        <v>0</v>
      </c>
      <c r="BW449" s="57">
        <f t="shared" si="300"/>
        <v>0</v>
      </c>
      <c r="BX449" s="57">
        <f t="shared" si="324"/>
        <v>0</v>
      </c>
      <c r="BY449" s="57">
        <f t="shared" si="328"/>
        <v>0</v>
      </c>
      <c r="BZ449" s="8">
        <f t="shared" si="301"/>
        <v>0</v>
      </c>
      <c r="CA449" s="8">
        <f t="shared" si="302"/>
        <v>0</v>
      </c>
      <c r="CB449" s="8">
        <f t="shared" si="303"/>
        <v>0</v>
      </c>
      <c r="CC449" s="8">
        <f t="shared" si="304"/>
        <v>0</v>
      </c>
      <c r="CD449" s="8">
        <f t="shared" si="305"/>
        <v>0</v>
      </c>
      <c r="CE449" s="8">
        <f t="shared" si="306"/>
        <v>0</v>
      </c>
      <c r="CF449" s="8">
        <f t="shared" si="307"/>
        <v>0</v>
      </c>
      <c r="CG449" s="8">
        <f t="shared" si="308"/>
        <v>0</v>
      </c>
      <c r="CH449" s="8">
        <f t="shared" si="309"/>
        <v>0</v>
      </c>
      <c r="CI449" s="8">
        <f t="shared" si="310"/>
        <v>0</v>
      </c>
      <c r="CJ449" s="8">
        <f t="shared" si="311"/>
        <v>0</v>
      </c>
      <c r="CK449" s="8">
        <f t="shared" si="312"/>
        <v>0</v>
      </c>
      <c r="CL449" s="8">
        <f t="shared" si="313"/>
        <v>0</v>
      </c>
      <c r="CM449" s="8">
        <f t="shared" si="314"/>
        <v>0</v>
      </c>
      <c r="CN449" s="8">
        <f t="shared" si="315"/>
        <v>0</v>
      </c>
      <c r="CO449" s="8">
        <f t="shared" si="316"/>
        <v>0</v>
      </c>
      <c r="CP449" s="8">
        <f t="shared" si="317"/>
        <v>0</v>
      </c>
      <c r="CQ449" s="8">
        <f t="shared" si="318"/>
        <v>0</v>
      </c>
      <c r="CR449" s="8">
        <f t="shared" si="319"/>
        <v>0</v>
      </c>
      <c r="CS449" s="8">
        <f t="shared" si="320"/>
        <v>0</v>
      </c>
      <c r="CT449" s="8">
        <f t="shared" si="325"/>
        <v>0</v>
      </c>
      <c r="CU449" s="8">
        <f t="shared" si="326"/>
        <v>0</v>
      </c>
      <c r="CV449" s="8">
        <f t="shared" si="327"/>
        <v>0</v>
      </c>
    </row>
    <row r="450" spans="1:100" ht="20.5" thickTop="1" thickBot="1" x14ac:dyDescent="0.5">
      <c r="A450" s="32"/>
      <c r="B450" s="10"/>
      <c r="C450" s="10"/>
      <c r="D450" s="11"/>
      <c r="E450" s="10"/>
      <c r="F450" s="10"/>
      <c r="G450" s="19"/>
      <c r="H450" s="19"/>
      <c r="I450" s="19"/>
      <c r="J450" s="19"/>
      <c r="K450" s="10"/>
      <c r="L450" s="10"/>
      <c r="M450" s="10"/>
      <c r="N450" s="10"/>
      <c r="O450" s="18"/>
      <c r="P450" s="18"/>
      <c r="Q450" s="21"/>
      <c r="R450" s="20"/>
      <c r="S450" s="16">
        <f t="shared" si="283"/>
        <v>0</v>
      </c>
      <c r="T450" s="11"/>
      <c r="AS450" s="31">
        <f t="shared" si="284"/>
        <v>0</v>
      </c>
      <c r="AT450" s="31">
        <f t="shared" si="285"/>
        <v>0</v>
      </c>
      <c r="AU450" s="31">
        <f t="shared" si="286"/>
        <v>0</v>
      </c>
      <c r="AV450" s="31">
        <f t="shared" si="287"/>
        <v>0</v>
      </c>
      <c r="AW450" s="31">
        <f t="shared" si="288"/>
        <v>0</v>
      </c>
      <c r="AX450" s="31">
        <f t="shared" si="289"/>
        <v>0</v>
      </c>
      <c r="AY450" s="31">
        <f t="shared" si="290"/>
        <v>0</v>
      </c>
      <c r="AZ450" s="31">
        <f t="shared" si="291"/>
        <v>0</v>
      </c>
      <c r="BA450" s="31">
        <f t="shared" si="292"/>
        <v>0</v>
      </c>
      <c r="BB450" s="31">
        <f t="shared" si="321"/>
        <v>0</v>
      </c>
      <c r="BM450" s="8">
        <f t="shared" si="322"/>
        <v>0</v>
      </c>
      <c r="BN450" s="8">
        <f t="shared" si="293"/>
        <v>0</v>
      </c>
      <c r="BO450" s="8">
        <f t="shared" si="294"/>
        <v>0</v>
      </c>
      <c r="BQ450" s="8">
        <f t="shared" si="295"/>
        <v>0</v>
      </c>
      <c r="BR450" s="63">
        <f t="shared" si="296"/>
        <v>0</v>
      </c>
      <c r="BS450" s="63">
        <f t="shared" si="323"/>
        <v>0</v>
      </c>
      <c r="BT450" s="63">
        <f t="shared" si="297"/>
        <v>0</v>
      </c>
      <c r="BU450" s="63">
        <f t="shared" si="298"/>
        <v>0</v>
      </c>
      <c r="BV450" s="57">
        <f t="shared" si="299"/>
        <v>0</v>
      </c>
      <c r="BW450" s="57">
        <f t="shared" si="300"/>
        <v>0</v>
      </c>
      <c r="BX450" s="57">
        <f t="shared" si="324"/>
        <v>0</v>
      </c>
      <c r="BY450" s="57">
        <f t="shared" si="328"/>
        <v>0</v>
      </c>
      <c r="BZ450" s="8">
        <f t="shared" si="301"/>
        <v>0</v>
      </c>
      <c r="CA450" s="8">
        <f t="shared" si="302"/>
        <v>0</v>
      </c>
      <c r="CB450" s="8">
        <f t="shared" si="303"/>
        <v>0</v>
      </c>
      <c r="CC450" s="8">
        <f t="shared" si="304"/>
        <v>0</v>
      </c>
      <c r="CD450" s="8">
        <f t="shared" si="305"/>
        <v>0</v>
      </c>
      <c r="CE450" s="8">
        <f t="shared" si="306"/>
        <v>0</v>
      </c>
      <c r="CF450" s="8">
        <f t="shared" si="307"/>
        <v>0</v>
      </c>
      <c r="CG450" s="8">
        <f t="shared" si="308"/>
        <v>0</v>
      </c>
      <c r="CH450" s="8">
        <f t="shared" si="309"/>
        <v>0</v>
      </c>
      <c r="CI450" s="8">
        <f t="shared" si="310"/>
        <v>0</v>
      </c>
      <c r="CJ450" s="8">
        <f t="shared" si="311"/>
        <v>0</v>
      </c>
      <c r="CK450" s="8">
        <f t="shared" si="312"/>
        <v>0</v>
      </c>
      <c r="CL450" s="8">
        <f t="shared" si="313"/>
        <v>0</v>
      </c>
      <c r="CM450" s="8">
        <f t="shared" si="314"/>
        <v>0</v>
      </c>
      <c r="CN450" s="8">
        <f t="shared" si="315"/>
        <v>0</v>
      </c>
      <c r="CO450" s="8">
        <f t="shared" si="316"/>
        <v>0</v>
      </c>
      <c r="CP450" s="8">
        <f t="shared" si="317"/>
        <v>0</v>
      </c>
      <c r="CQ450" s="8">
        <f t="shared" si="318"/>
        <v>0</v>
      </c>
      <c r="CR450" s="8">
        <f t="shared" si="319"/>
        <v>0</v>
      </c>
      <c r="CS450" s="8">
        <f t="shared" si="320"/>
        <v>0</v>
      </c>
      <c r="CT450" s="8">
        <f t="shared" si="325"/>
        <v>0</v>
      </c>
      <c r="CU450" s="8">
        <f t="shared" si="326"/>
        <v>0</v>
      </c>
      <c r="CV450" s="8">
        <f t="shared" si="327"/>
        <v>0</v>
      </c>
    </row>
    <row r="451" spans="1:100" ht="20.5" thickTop="1" thickBot="1" x14ac:dyDescent="0.5">
      <c r="A451" s="32"/>
      <c r="B451" s="10"/>
      <c r="C451" s="10"/>
      <c r="D451" s="11"/>
      <c r="E451" s="10"/>
      <c r="F451" s="10"/>
      <c r="G451" s="19"/>
      <c r="H451" s="19"/>
      <c r="I451" s="19"/>
      <c r="J451" s="19"/>
      <c r="K451" s="10"/>
      <c r="L451" s="10"/>
      <c r="M451" s="10"/>
      <c r="N451" s="10"/>
      <c r="O451" s="18"/>
      <c r="P451" s="18"/>
      <c r="Q451" s="21"/>
      <c r="R451" s="20"/>
      <c r="S451" s="16">
        <f t="shared" si="283"/>
        <v>0</v>
      </c>
      <c r="T451" s="11"/>
      <c r="AS451" s="31">
        <f t="shared" si="284"/>
        <v>0</v>
      </c>
      <c r="AT451" s="31">
        <f t="shared" si="285"/>
        <v>0</v>
      </c>
      <c r="AU451" s="31">
        <f t="shared" si="286"/>
        <v>0</v>
      </c>
      <c r="AV451" s="31">
        <f t="shared" si="287"/>
        <v>0</v>
      </c>
      <c r="AW451" s="31">
        <f t="shared" si="288"/>
        <v>0</v>
      </c>
      <c r="AX451" s="31">
        <f t="shared" si="289"/>
        <v>0</v>
      </c>
      <c r="AY451" s="31">
        <f t="shared" si="290"/>
        <v>0</v>
      </c>
      <c r="AZ451" s="31">
        <f t="shared" si="291"/>
        <v>0</v>
      </c>
      <c r="BA451" s="31">
        <f t="shared" si="292"/>
        <v>0</v>
      </c>
      <c r="BB451" s="31">
        <f t="shared" si="321"/>
        <v>0</v>
      </c>
      <c r="BM451" s="8">
        <f t="shared" si="322"/>
        <v>0</v>
      </c>
      <c r="BN451" s="8">
        <f t="shared" si="293"/>
        <v>0</v>
      </c>
      <c r="BO451" s="8">
        <f t="shared" si="294"/>
        <v>0</v>
      </c>
      <c r="BQ451" s="8">
        <f t="shared" si="295"/>
        <v>0</v>
      </c>
      <c r="BR451" s="63">
        <f t="shared" si="296"/>
        <v>0</v>
      </c>
      <c r="BS451" s="63">
        <f t="shared" si="323"/>
        <v>0</v>
      </c>
      <c r="BT451" s="63">
        <f t="shared" si="297"/>
        <v>0</v>
      </c>
      <c r="BU451" s="63">
        <f t="shared" si="298"/>
        <v>0</v>
      </c>
      <c r="BV451" s="57">
        <f t="shared" si="299"/>
        <v>0</v>
      </c>
      <c r="BW451" s="57">
        <f t="shared" si="300"/>
        <v>0</v>
      </c>
      <c r="BX451" s="57">
        <f t="shared" si="324"/>
        <v>0</v>
      </c>
      <c r="BY451" s="57">
        <f t="shared" si="328"/>
        <v>0</v>
      </c>
      <c r="BZ451" s="8">
        <f t="shared" si="301"/>
        <v>0</v>
      </c>
      <c r="CA451" s="8">
        <f t="shared" si="302"/>
        <v>0</v>
      </c>
      <c r="CB451" s="8">
        <f t="shared" si="303"/>
        <v>0</v>
      </c>
      <c r="CC451" s="8">
        <f t="shared" si="304"/>
        <v>0</v>
      </c>
      <c r="CD451" s="8">
        <f t="shared" si="305"/>
        <v>0</v>
      </c>
      <c r="CE451" s="8">
        <f t="shared" si="306"/>
        <v>0</v>
      </c>
      <c r="CF451" s="8">
        <f t="shared" si="307"/>
        <v>0</v>
      </c>
      <c r="CG451" s="8">
        <f t="shared" si="308"/>
        <v>0</v>
      </c>
      <c r="CH451" s="8">
        <f t="shared" si="309"/>
        <v>0</v>
      </c>
      <c r="CI451" s="8">
        <f t="shared" si="310"/>
        <v>0</v>
      </c>
      <c r="CJ451" s="8">
        <f t="shared" si="311"/>
        <v>0</v>
      </c>
      <c r="CK451" s="8">
        <f t="shared" si="312"/>
        <v>0</v>
      </c>
      <c r="CL451" s="8">
        <f t="shared" si="313"/>
        <v>0</v>
      </c>
      <c r="CM451" s="8">
        <f t="shared" si="314"/>
        <v>0</v>
      </c>
      <c r="CN451" s="8">
        <f t="shared" si="315"/>
        <v>0</v>
      </c>
      <c r="CO451" s="8">
        <f t="shared" si="316"/>
        <v>0</v>
      </c>
      <c r="CP451" s="8">
        <f t="shared" si="317"/>
        <v>0</v>
      </c>
      <c r="CQ451" s="8">
        <f t="shared" si="318"/>
        <v>0</v>
      </c>
      <c r="CR451" s="8">
        <f t="shared" si="319"/>
        <v>0</v>
      </c>
      <c r="CS451" s="8">
        <f t="shared" si="320"/>
        <v>0</v>
      </c>
      <c r="CT451" s="8">
        <f t="shared" si="325"/>
        <v>0</v>
      </c>
      <c r="CU451" s="8">
        <f t="shared" si="326"/>
        <v>0</v>
      </c>
      <c r="CV451" s="8">
        <f t="shared" si="327"/>
        <v>0</v>
      </c>
    </row>
    <row r="452" spans="1:100" ht="20.5" thickTop="1" thickBot="1" x14ac:dyDescent="0.5">
      <c r="A452" s="32"/>
      <c r="B452" s="10"/>
      <c r="C452" s="10"/>
      <c r="D452" s="11"/>
      <c r="E452" s="10"/>
      <c r="F452" s="10"/>
      <c r="G452" s="19"/>
      <c r="H452" s="19"/>
      <c r="I452" s="19"/>
      <c r="J452" s="19"/>
      <c r="K452" s="10"/>
      <c r="L452" s="10"/>
      <c r="M452" s="10"/>
      <c r="N452" s="10"/>
      <c r="O452" s="18"/>
      <c r="P452" s="18"/>
      <c r="Q452" s="21"/>
      <c r="R452" s="20"/>
      <c r="S452" s="16">
        <f t="shared" ref="S452:S515" si="329">IF(AND(K452="asphalted",M452="sub",BV452&lt;=1,BV452&gt;0),1+2*0.15,IF(AND(K452="asphalted",OR(M452="main",M452="MOT"),BV452&lt;=1,BV452&gt;0),1+2*0.3,IF(AND(K452="asphalted",M452="sub",BV452&gt;1),BV452+2*0.15,IF(AND(K452="asphalted",OR(M452="main",M452="MOT"),BV452&gt;1),BV452+2*0.3,0))))</f>
        <v>0</v>
      </c>
      <c r="T452" s="11"/>
      <c r="AS452" s="31">
        <f t="shared" ref="AS452:AS515" si="330">IF(F452=1,0.4,IF(F452&gt;1,F452*0.3,0))</f>
        <v>0</v>
      </c>
      <c r="AT452" s="31">
        <f t="shared" ref="AT452:AT515" si="331">IF(AND(G452&lt;4,G452&gt;0),0.4,IF(G452&gt;3,0.4+(G452-3)*0.1,0))</f>
        <v>0</v>
      </c>
      <c r="AU452" s="31">
        <f t="shared" ref="AU452:AU515" si="332">AT452-AS452</f>
        <v>0</v>
      </c>
      <c r="AV452" s="31">
        <f t="shared" ref="AV452:AV515" si="333">IF(AND(OR(OR(E452="normal",E452="special"),E452="special"),F452=0,G452&gt;0,G452&lt;5),"LV"&amp;G452,IF(AND(OR(OR(E452="normal",E452="special"),E452="special"),F452=0,G452&gt;4),"LVCU",IF(AND(OR(OR(E452="normal",E452="special"),E452="special"),F452&gt;4),"MVCU",IF(AND(OR(OR(E452="normal",E452="special"),E452="special"),F452&gt;0,F452&lt;5),"MV"&amp;F452,IF(AND(E452="mini-trench",F452=1),"mini-trench MV",IF(AND(E452="mini-trench",G452&lt;3,G452&lt;&gt;0),"mini-trench LV",0))))))</f>
        <v>0</v>
      </c>
      <c r="AW452" s="31">
        <f t="shared" ref="AW452:AW515" si="334">IF(B452="joint",F452,0)+IF(C452="joint",F452,0)+IF(OR(B452="new ss",B452="ss"),F452*3)+IF(B452="pole",F452*10)+IF(OR(C452="new ss",C452="ss"),F452*3)+IF(C452="pole",F452*10)+IF(B452="grid",F452*30)+IF(C452="grid",F452*30)</f>
        <v>0</v>
      </c>
      <c r="AX452" s="31">
        <f t="shared" ref="AX452:AX515" si="335">IF(J452&gt;0,IF(OR(B452="ss",C452="ss"),J452*3,0)+IF(OR(B452="new ss",C452="new ss"),J452*3,0)+IF(OR(B452="DC",C452="DC"),J452*1.5,0)+IF(OR(B452="new DC",C452="new DC"),J452*1.5,0)+IF(OR(B452="MB",C452="MB"),J452*2,0)+IF(OR(B452="pole",C452="pole"),J452*10,0),0)</f>
        <v>0</v>
      </c>
      <c r="AY452" s="31">
        <f t="shared" ref="AY452:AY515" si="336">IF(I452&gt;0,IF(OR(B452="ss",C452="ss"),I452*3,0)+IF(OR(B452="new ss",C452="new ss"),I452*3,0)+IF(OR(B452="DC",C452="DC"),I452*1.5,0)+IF(OR(B452="new DC",C452="new DC"),J452*1.5,0)+IF(OR(B452="MB",C452="MB"),I452*2,0)+IF(OR(B452="pole",C452="pole"),I452*10,0),0)</f>
        <v>0</v>
      </c>
      <c r="AZ452" s="31">
        <f t="shared" ref="AZ452:AZ515" si="337">IF(H452&gt;0,IF(OR(B452="ss",C452="ss"),H452*3,0)+IF(OR(B452="new ss",C452="new ss"),H452*3,0)+IF(OR(B452="DC",C452="DC"),H452*2,0)+IF(OR(B452="new DC",C452="new DC"),H452*1.5,0)+IF(OR(B452="MB",C452="MB"),H452*2,0)+IF(OR(B452="pole",C452="pole"),H452*10,0)+IF(OR(B452="pole",C452="pole"),H452*10,0),0)</f>
        <v>0</v>
      </c>
      <c r="BA452" s="31">
        <f t="shared" ref="BA452:BA515" si="338">IF(E452="manual",IF(AU452&lt;0,D452*AS452*0.8,IF(AND(AS452&gt;0,AU452&gt;0),D452*AS452*0.8+D452*AU452*0.65,IF(AND(AS452=0,AT452&gt;0),D452*AT452*0.65,0))),0)</f>
        <v>0</v>
      </c>
      <c r="BB452" s="31">
        <f t="shared" si="321"/>
        <v>0</v>
      </c>
      <c r="BM452" s="8">
        <f t="shared" si="322"/>
        <v>0</v>
      </c>
      <c r="BN452" s="8">
        <f t="shared" ref="BN452:BN515" si="339">IFERROR(IF(AND(K452="asphalted",E452="mini-trench",R452=""),1*D452,IF(AND(K452="asphalted",R452&gt;0,MandRcalc="Complete M&amp;R area"),R452*D452,IF(AND(K452="asphalted",R452&gt;0,MandRcalc="M&amp;R area - asphalting area"),(R452-BR452/D452)*D452,0))),0)</f>
        <v>0</v>
      </c>
      <c r="BO452" s="8">
        <f t="shared" ref="BO452:BO515" si="340">IF(BQ452&lt;MINEXCNA,0,IF(AND(E452="normal",F452&lt;5,G452&lt;12,K452&lt;&gt;"asphalted",AT452&gt;AS452,AS452&lt;&gt;0),(BQ452-AT452)*0.65,IF(AND(E452="normal",F452&lt;5,G452&lt;12,K452&lt;&gt;"asphalted",AS452&gt;=AT452),(BQ452-AS452)*0.8,IF(AND(E452="normal",F452&lt;5,G452&lt;12,K452&lt;&gt;"asphalted",AT452&gt;0,AS452=0),(BQ452-AT452)*0.65,0)))*D452)</f>
        <v>0</v>
      </c>
      <c r="BQ452" s="8">
        <f t="shared" ref="BQ452:BQ515" si="341">IF(E452="special",O452,IF(AND(OR(E452="normal",E452="manual"),O452="",K452="asphalted",BV452&lt;=MINEXC),MINEXC,IF(AND(OR(E452="normal",E452="manual"),O452&lt;&gt;"",K452="asphalted"),MIN(O452,BV452),IF(AND(OR(E452="normal",E452="manual"),O452="",K452&lt;&gt;"asphalted",BV452&lt;=MINEXCNA),MINEXCNA,IF(AND(OR(E452="normal",E452="manual"),O452&lt;&gt;"",K452&lt;&gt;"asphalted"),MIN(O452,BV452),BV452)))))</f>
        <v>0</v>
      </c>
      <c r="BR452" s="63">
        <f t="shared" ref="BR452:BR515" si="342">IFERROR(IF(AND(E452&lt;&gt;"mini-trecnh",K452="asphalted",Q452&lt;&gt;"",S452=0),D452*Q452,IF(AND(E452&lt;&gt;"mini-trecnh",K452="asphalted",Q452&lt;&gt;"",S452&lt;&gt;0),D452*MIN(Q452,S452),IF(AND(E452&lt;&gt;"mini-trecnh",K452="asphalted",Q452=""),D452*S452,0))),0)</f>
        <v>0</v>
      </c>
      <c r="BS452" s="63">
        <f t="shared" si="323"/>
        <v>0</v>
      </c>
      <c r="BT452" s="63">
        <f t="shared" ref="BT452:BT515" si="343">IF(BQ452&lt;MINEXC,0,IF(AND(E452="normal",F452&lt;5,G452&lt;12,K452="asphalted",AT452&gt;AS452,AS452&lt;&gt;0),(BQ452-AT452)*0.65,IF(AND(E452="normal",F452&lt;5,G452&lt;12,K452="asphalted",AS452&gt;=AT452),(BQ452-AS452)*0.8,IF(AND(E452="normal",F452&lt;5,G452&lt;12,K452="asphalted",AT452&gt;0,AS452=0),(BQ452-AT452)*0.65,0)))*D452)</f>
        <v>0</v>
      </c>
      <c r="BU452" s="63">
        <f t="shared" ref="BU452:BU515" si="344">IF(E452="",0,IF(OR(BT452&gt;0,BO452&gt;0),0,IF(AND(F452&gt;4,G452=0),(BQ452-1.2)*D452*0.8,IF(AND(G452&gt;4,F452=0),(BQ452-0.4)*D452*0.65,IF(OR(AND(G452&gt;4,F452&gt;0),AND(F452&gt;4,G452&gt;0)),(IF(AS452&gt;1.2,(AS452-1.2)*D452*0.8,0)+IF(AT452&gt;AS452,(AT452-AS452)*D452*0.65,0)),0)))))</f>
        <v>0</v>
      </c>
      <c r="BV452" s="57">
        <f t="shared" ref="BV452:BV515" si="345">IF(AND(E452&lt;&gt;"mini-trench",E452&lt;&gt;"special"),MAX(AS452:AT452),0)</f>
        <v>0</v>
      </c>
      <c r="BW452" s="57">
        <f t="shared" ref="BW452:BW515" si="346">IF(AND(E452&lt;&gt;"mini-trench",E452&lt;&gt;"special",BV452&gt;0,BV452&lt;1,K452="asphalted"),IF(O452&lt;&gt;"",MIN(O452,1),1),IF(AND(E452&lt;&gt;"mini-trench",E452&lt;&gt;"special",BV452&gt;0,BV452&gt;1,K452="asphalted"),BV452,0))</f>
        <v>0</v>
      </c>
      <c r="BX452" s="57">
        <f t="shared" si="324"/>
        <v>0</v>
      </c>
      <c r="BY452" s="57">
        <f t="shared" si="328"/>
        <v>0</v>
      </c>
      <c r="BZ452" s="8">
        <f t="shared" ref="BZ452:BZ515" si="347">IF(E452="special",O452*P452*D452-D452*IF(AV452="MV1",0.8*0.4,IF(AV452="MV2",0.8*0.6,IF(AV452="MV3",0.8*0.9,IF(OR(AV452="MV4",AV452="MVCU"),0.8*1.2,IF(AV452="LV1-3",0.65*0.4,IF(OR(AV452="LV4",AV452="LVCU"),0.65*0.5)))))),0)</f>
        <v>0</v>
      </c>
      <c r="CA452" s="8">
        <f t="shared" ref="CA452:CA515" si="348">IF(AND(E452&lt;&gt;"special",K452="Paved interlock"),D452*BV452,IF(AND(E452="special",K452="Paved interlock"),D452*O452,0))</f>
        <v>0</v>
      </c>
      <c r="CB452" s="8">
        <f t="shared" ref="CB452:CB515" si="349">IF(AND(E452&lt;&gt;"special",K452="Paved conc.tiles"),D452*BV452,IF(AND(E452="special",K452="Paved conc.tiles"),D452*O452,0))</f>
        <v>0</v>
      </c>
      <c r="CC452" s="8">
        <f t="shared" ref="CC452:CC515" si="350">IF(AND(E452="special",K452="asphalted"),D452*Q452,0)</f>
        <v>0</v>
      </c>
      <c r="CD452" s="8">
        <f t="shared" ref="CD452:CD515" si="351">IF(OR(K452="Paved interlock",K452="Paved conc.tiles"),1,0)</f>
        <v>0</v>
      </c>
      <c r="CE452" s="8">
        <f t="shared" ref="CE452:CE515" si="352">IFERROR(BR452/D452,0)</f>
        <v>0</v>
      </c>
      <c r="CF452" s="8">
        <f t="shared" ref="CF452:CF515" si="353">IF(AND(F452&gt;0,B452="j transition"),F452,0)+IF(AND(F452&gt;0,C452="j transition"),F452,0)</f>
        <v>0</v>
      </c>
      <c r="CG452" s="8">
        <f t="shared" ref="CG452:CG515" si="354">IF(AND(F452&gt;0,OR(B452="grid",B452="ss",B452="pole",B452="new ss")),F452,0)+IF(AND(F452&gt;0,OR(C452="grid",C452="ss",C452="pole",C452="new ss")),F452,0)</f>
        <v>0</v>
      </c>
      <c r="CH452" s="8">
        <f t="shared" ref="CH452:CH515" si="355">IF(AND(F452&gt;0,B452="joint"),F452,0)+IF(AND(F452&gt;0,C452="joint"),F452,0)+IF(AND(F452&gt;0,B452="j transition"),F452,0)+IF(AND(F452&gt;0,C452="j transition"),F452,0)</f>
        <v>0</v>
      </c>
      <c r="CI452" s="8">
        <f t="shared" ref="CI452:CI515" si="356">IF(AND(H452&gt;0,B452="joint"),H452,0)+IF(AND(H452&gt;0,C452="joint"),H452,0)</f>
        <v>0</v>
      </c>
      <c r="CJ452" s="8">
        <f t="shared" ref="CJ452:CJ515" si="357">IF(AND(I452&gt;0,B452="joint"),I452,0)+IF(AND(I452&gt;0,C452="joint"),I452,0)</f>
        <v>0</v>
      </c>
      <c r="CK452" s="8">
        <f t="shared" ref="CK452:CK515" si="358">IF(AND(J452&gt;0,B452="joint"),J452,0)+IF(AND(J452&gt;0,C452="joint"),J452,0)</f>
        <v>0</v>
      </c>
      <c r="CL452" s="8">
        <f t="shared" ref="CL452:CL515" si="359">IF(AND(H452&gt;0,OR(B452="ss",B452="new ss",B452="DC",B452="new DC")),H452,0)+IF(AND(H452&gt;0,OR(C452="new ss",C452="ss",C452="DC",C452="new DC")),H452,0)</f>
        <v>0</v>
      </c>
      <c r="CM452" s="8">
        <f t="shared" ref="CM452:CM515" si="360">CO452+CP452</f>
        <v>0</v>
      </c>
      <c r="CN452" s="8">
        <f t="shared" ref="CN452:CN515" si="361">IF(OR(B452="new DC",C452="new DC"),H452,0)</f>
        <v>0</v>
      </c>
      <c r="CO452" s="8">
        <f t="shared" ref="CO452:CO515" si="362">IF(AND(J452&gt;0,OR(B452="ss",B452="new ss",B452="DC",B452="new DC")),J452,0)+IF(AND(J452&gt;0,OR(C452="new ss",C452="ss",C452="DC",C452="new DC")),J452,0)</f>
        <v>0</v>
      </c>
      <c r="CP452" s="8">
        <f t="shared" ref="CP452:CP515" si="363">IF(AND(I452&gt;0,OR(B452="ss",B452="new ss",B452="DC",B452="new DC")),I452,0)+IF(AND(I452&gt;0,OR(C452="new ss",C452="ss",C452="DC",C452="new DC")),I452,0)</f>
        <v>0</v>
      </c>
      <c r="CQ452" s="8">
        <f t="shared" ref="CQ452:CQ515" si="364">IF(AND(F452&gt;0,OR(B452="ss",B452="new ss")),F452,0)+IF(AND(F452&gt;0,OR(C452="ss",C452="new ss")),F452,0)</f>
        <v>0</v>
      </c>
      <c r="CR452" s="8">
        <f t="shared" ref="CR452:CR515" si="365">IF(AND(F452&gt;0,OR(B452="grid")),F452,0)+IF(AND(F452&gt;0,OR(C452="grid")),F452,0)</f>
        <v>0</v>
      </c>
      <c r="CS452" s="8">
        <f t="shared" ref="CS452:CS515" si="366">IF(AND(F452&gt;0,OR(B452="pole")),F452,0)+IF(AND(F452&gt;0,OR(C452="pole")),F452,0)</f>
        <v>0</v>
      </c>
      <c r="CT452" s="8">
        <f t="shared" si="325"/>
        <v>0</v>
      </c>
      <c r="CU452" s="8">
        <f t="shared" si="326"/>
        <v>0</v>
      </c>
      <c r="CV452" s="8">
        <f t="shared" si="327"/>
        <v>0</v>
      </c>
    </row>
    <row r="453" spans="1:100" ht="20.5" thickTop="1" thickBot="1" x14ac:dyDescent="0.5">
      <c r="A453" s="32"/>
      <c r="B453" s="10"/>
      <c r="C453" s="10"/>
      <c r="D453" s="11"/>
      <c r="E453" s="10"/>
      <c r="F453" s="10"/>
      <c r="G453" s="19"/>
      <c r="H453" s="19"/>
      <c r="I453" s="19"/>
      <c r="J453" s="19"/>
      <c r="K453" s="10"/>
      <c r="L453" s="10"/>
      <c r="M453" s="10"/>
      <c r="N453" s="10"/>
      <c r="O453" s="18"/>
      <c r="P453" s="18"/>
      <c r="Q453" s="21"/>
      <c r="R453" s="20"/>
      <c r="S453" s="16">
        <f t="shared" si="329"/>
        <v>0</v>
      </c>
      <c r="T453" s="11"/>
      <c r="AS453" s="31">
        <f t="shared" si="330"/>
        <v>0</v>
      </c>
      <c r="AT453" s="31">
        <f t="shared" si="331"/>
        <v>0</v>
      </c>
      <c r="AU453" s="31">
        <f t="shared" si="332"/>
        <v>0</v>
      </c>
      <c r="AV453" s="31">
        <f t="shared" si="333"/>
        <v>0</v>
      </c>
      <c r="AW453" s="31">
        <f t="shared" si="334"/>
        <v>0</v>
      </c>
      <c r="AX453" s="31">
        <f t="shared" si="335"/>
        <v>0</v>
      </c>
      <c r="AY453" s="31">
        <f t="shared" si="336"/>
        <v>0</v>
      </c>
      <c r="AZ453" s="31">
        <f t="shared" si="337"/>
        <v>0</v>
      </c>
      <c r="BA453" s="31">
        <f t="shared" si="338"/>
        <v>0</v>
      </c>
      <c r="BB453" s="31">
        <f t="shared" ref="BB453:BB516" si="367">IFERROR(IF(BN453&gt;0,0,IF(AND(E453="normal",(BR453/D453)&gt;1),BR453,0)),0)</f>
        <v>0</v>
      </c>
      <c r="BM453" s="8">
        <f t="shared" ref="BM453:BM516" si="368">IF(AND(E453&lt;&gt;"special",K453="Concrete"),D453*BV453,IF(AND(E453="special",K453="Concrete"),D453*O453,0))</f>
        <v>0</v>
      </c>
      <c r="BN453" s="8">
        <f t="shared" si="339"/>
        <v>0</v>
      </c>
      <c r="BO453" s="8">
        <f t="shared" si="340"/>
        <v>0</v>
      </c>
      <c r="BQ453" s="8">
        <f t="shared" si="341"/>
        <v>0</v>
      </c>
      <c r="BR453" s="63">
        <f t="shared" si="342"/>
        <v>0</v>
      </c>
      <c r="BS453" s="63">
        <f t="shared" ref="BS453:BS516" si="369">BN453 + IF(BN453&gt;0,IF(R452=0, R453, 0) + IF(R454=0, R453, 0),0)</f>
        <v>0</v>
      </c>
      <c r="BT453" s="63">
        <f t="shared" si="343"/>
        <v>0</v>
      </c>
      <c r="BU453" s="63">
        <f t="shared" si="344"/>
        <v>0</v>
      </c>
      <c r="BV453" s="57">
        <f t="shared" si="345"/>
        <v>0</v>
      </c>
      <c r="BW453" s="57">
        <f t="shared" si="346"/>
        <v>0</v>
      </c>
      <c r="BX453" s="57">
        <f t="shared" ref="BX453:BX516" si="370">IF(AND(R453&gt;0,MandRcalc="Asphalting then M&amp;R"),R453*D453,IF(AND(R453&gt;0,MandRcalc="Milling then Repaving"),(R453-BR453)*D453,0))</f>
        <v>0</v>
      </c>
      <c r="BY453" s="57">
        <f t="shared" si="328"/>
        <v>0</v>
      </c>
      <c r="BZ453" s="8">
        <f t="shared" si="347"/>
        <v>0</v>
      </c>
      <c r="CA453" s="8">
        <f t="shared" si="348"/>
        <v>0</v>
      </c>
      <c r="CB453" s="8">
        <f t="shared" si="349"/>
        <v>0</v>
      </c>
      <c r="CC453" s="8">
        <f t="shared" si="350"/>
        <v>0</v>
      </c>
      <c r="CD453" s="8">
        <f t="shared" si="351"/>
        <v>0</v>
      </c>
      <c r="CE453" s="8">
        <f t="shared" si="352"/>
        <v>0</v>
      </c>
      <c r="CF453" s="8">
        <f t="shared" si="353"/>
        <v>0</v>
      </c>
      <c r="CG453" s="8">
        <f t="shared" si="354"/>
        <v>0</v>
      </c>
      <c r="CH453" s="8">
        <f t="shared" si="355"/>
        <v>0</v>
      </c>
      <c r="CI453" s="8">
        <f t="shared" si="356"/>
        <v>0</v>
      </c>
      <c r="CJ453" s="8">
        <f t="shared" si="357"/>
        <v>0</v>
      </c>
      <c r="CK453" s="8">
        <f t="shared" si="358"/>
        <v>0</v>
      </c>
      <c r="CL453" s="8">
        <f t="shared" si="359"/>
        <v>0</v>
      </c>
      <c r="CM453" s="8">
        <f t="shared" si="360"/>
        <v>0</v>
      </c>
      <c r="CN453" s="8">
        <f t="shared" si="361"/>
        <v>0</v>
      </c>
      <c r="CO453" s="8">
        <f t="shared" si="362"/>
        <v>0</v>
      </c>
      <c r="CP453" s="8">
        <f t="shared" si="363"/>
        <v>0</v>
      </c>
      <c r="CQ453" s="8">
        <f t="shared" si="364"/>
        <v>0</v>
      </c>
      <c r="CR453" s="8">
        <f t="shared" si="365"/>
        <v>0</v>
      </c>
      <c r="CS453" s="8">
        <f t="shared" si="366"/>
        <v>0</v>
      </c>
      <c r="CT453" s="8">
        <f t="shared" si="325"/>
        <v>0</v>
      </c>
      <c r="CU453" s="8">
        <f t="shared" si="326"/>
        <v>0</v>
      </c>
      <c r="CV453" s="8">
        <f t="shared" si="327"/>
        <v>0</v>
      </c>
    </row>
    <row r="454" spans="1:100" ht="20.5" thickTop="1" thickBot="1" x14ac:dyDescent="0.5">
      <c r="A454" s="32"/>
      <c r="B454" s="10"/>
      <c r="C454" s="10"/>
      <c r="D454" s="11"/>
      <c r="E454" s="10"/>
      <c r="F454" s="10"/>
      <c r="G454" s="19"/>
      <c r="H454" s="19"/>
      <c r="I454" s="19"/>
      <c r="J454" s="19"/>
      <c r="K454" s="10"/>
      <c r="L454" s="10"/>
      <c r="M454" s="10"/>
      <c r="N454" s="10"/>
      <c r="O454" s="18"/>
      <c r="P454" s="18"/>
      <c r="Q454" s="21"/>
      <c r="R454" s="20"/>
      <c r="S454" s="16">
        <f t="shared" si="329"/>
        <v>0</v>
      </c>
      <c r="T454" s="11"/>
      <c r="AS454" s="31">
        <f t="shared" si="330"/>
        <v>0</v>
      </c>
      <c r="AT454" s="31">
        <f t="shared" si="331"/>
        <v>0</v>
      </c>
      <c r="AU454" s="31">
        <f t="shared" si="332"/>
        <v>0</v>
      </c>
      <c r="AV454" s="31">
        <f t="shared" si="333"/>
        <v>0</v>
      </c>
      <c r="AW454" s="31">
        <f t="shared" si="334"/>
        <v>0</v>
      </c>
      <c r="AX454" s="31">
        <f t="shared" si="335"/>
        <v>0</v>
      </c>
      <c r="AY454" s="31">
        <f t="shared" si="336"/>
        <v>0</v>
      </c>
      <c r="AZ454" s="31">
        <f t="shared" si="337"/>
        <v>0</v>
      </c>
      <c r="BA454" s="31">
        <f t="shared" si="338"/>
        <v>0</v>
      </c>
      <c r="BB454" s="31">
        <f t="shared" si="367"/>
        <v>0</v>
      </c>
      <c r="BM454" s="8">
        <f t="shared" si="368"/>
        <v>0</v>
      </c>
      <c r="BN454" s="8">
        <f t="shared" si="339"/>
        <v>0</v>
      </c>
      <c r="BO454" s="8">
        <f t="shared" si="340"/>
        <v>0</v>
      </c>
      <c r="BQ454" s="8">
        <f t="shared" si="341"/>
        <v>0</v>
      </c>
      <c r="BR454" s="63">
        <f t="shared" si="342"/>
        <v>0</v>
      </c>
      <c r="BS454" s="63">
        <f t="shared" si="369"/>
        <v>0</v>
      </c>
      <c r="BT454" s="63">
        <f t="shared" si="343"/>
        <v>0</v>
      </c>
      <c r="BU454" s="63">
        <f t="shared" si="344"/>
        <v>0</v>
      </c>
      <c r="BV454" s="57">
        <f t="shared" si="345"/>
        <v>0</v>
      </c>
      <c r="BW454" s="57">
        <f t="shared" si="346"/>
        <v>0</v>
      </c>
      <c r="BX454" s="57">
        <f t="shared" si="370"/>
        <v>0</v>
      </c>
      <c r="BY454" s="57">
        <f t="shared" si="328"/>
        <v>0</v>
      </c>
      <c r="BZ454" s="8">
        <f t="shared" si="347"/>
        <v>0</v>
      </c>
      <c r="CA454" s="8">
        <f t="shared" si="348"/>
        <v>0</v>
      </c>
      <c r="CB454" s="8">
        <f t="shared" si="349"/>
        <v>0</v>
      </c>
      <c r="CC454" s="8">
        <f t="shared" si="350"/>
        <v>0</v>
      </c>
      <c r="CD454" s="8">
        <f t="shared" si="351"/>
        <v>0</v>
      </c>
      <c r="CE454" s="8">
        <f t="shared" si="352"/>
        <v>0</v>
      </c>
      <c r="CF454" s="8">
        <f t="shared" si="353"/>
        <v>0</v>
      </c>
      <c r="CG454" s="8">
        <f t="shared" si="354"/>
        <v>0</v>
      </c>
      <c r="CH454" s="8">
        <f t="shared" si="355"/>
        <v>0</v>
      </c>
      <c r="CI454" s="8">
        <f t="shared" si="356"/>
        <v>0</v>
      </c>
      <c r="CJ454" s="8">
        <f t="shared" si="357"/>
        <v>0</v>
      </c>
      <c r="CK454" s="8">
        <f t="shared" si="358"/>
        <v>0</v>
      </c>
      <c r="CL454" s="8">
        <f t="shared" si="359"/>
        <v>0</v>
      </c>
      <c r="CM454" s="8">
        <f t="shared" si="360"/>
        <v>0</v>
      </c>
      <c r="CN454" s="8">
        <f t="shared" si="361"/>
        <v>0</v>
      </c>
      <c r="CO454" s="8">
        <f t="shared" si="362"/>
        <v>0</v>
      </c>
      <c r="CP454" s="8">
        <f t="shared" si="363"/>
        <v>0</v>
      </c>
      <c r="CQ454" s="8">
        <f t="shared" si="364"/>
        <v>0</v>
      </c>
      <c r="CR454" s="8">
        <f t="shared" si="365"/>
        <v>0</v>
      </c>
      <c r="CS454" s="8">
        <f t="shared" si="366"/>
        <v>0</v>
      </c>
      <c r="CT454" s="8">
        <f t="shared" si="325"/>
        <v>0</v>
      </c>
      <c r="CU454" s="8">
        <f t="shared" si="326"/>
        <v>0</v>
      </c>
      <c r="CV454" s="8">
        <f t="shared" si="327"/>
        <v>0</v>
      </c>
    </row>
    <row r="455" spans="1:100" ht="20.5" thickTop="1" thickBot="1" x14ac:dyDescent="0.5">
      <c r="A455" s="32"/>
      <c r="B455" s="10"/>
      <c r="C455" s="10"/>
      <c r="D455" s="11"/>
      <c r="E455" s="10"/>
      <c r="F455" s="10"/>
      <c r="G455" s="19"/>
      <c r="H455" s="19"/>
      <c r="I455" s="19"/>
      <c r="J455" s="19"/>
      <c r="K455" s="10"/>
      <c r="L455" s="10"/>
      <c r="M455" s="10"/>
      <c r="N455" s="10"/>
      <c r="O455" s="18"/>
      <c r="P455" s="18"/>
      <c r="Q455" s="21"/>
      <c r="R455" s="20"/>
      <c r="S455" s="16">
        <f t="shared" si="329"/>
        <v>0</v>
      </c>
      <c r="T455" s="11"/>
      <c r="AS455" s="31">
        <f t="shared" si="330"/>
        <v>0</v>
      </c>
      <c r="AT455" s="31">
        <f t="shared" si="331"/>
        <v>0</v>
      </c>
      <c r="AU455" s="31">
        <f t="shared" si="332"/>
        <v>0</v>
      </c>
      <c r="AV455" s="31">
        <f t="shared" si="333"/>
        <v>0</v>
      </c>
      <c r="AW455" s="31">
        <f t="shared" si="334"/>
        <v>0</v>
      </c>
      <c r="AX455" s="31">
        <f t="shared" si="335"/>
        <v>0</v>
      </c>
      <c r="AY455" s="31">
        <f t="shared" si="336"/>
        <v>0</v>
      </c>
      <c r="AZ455" s="31">
        <f t="shared" si="337"/>
        <v>0</v>
      </c>
      <c r="BA455" s="31">
        <f t="shared" si="338"/>
        <v>0</v>
      </c>
      <c r="BB455" s="31">
        <f t="shared" si="367"/>
        <v>0</v>
      </c>
      <c r="BM455" s="8">
        <f t="shared" si="368"/>
        <v>0</v>
      </c>
      <c r="BN455" s="8">
        <f t="shared" si="339"/>
        <v>0</v>
      </c>
      <c r="BO455" s="8">
        <f t="shared" si="340"/>
        <v>0</v>
      </c>
      <c r="BQ455" s="8">
        <f t="shared" si="341"/>
        <v>0</v>
      </c>
      <c r="BR455" s="63">
        <f t="shared" si="342"/>
        <v>0</v>
      </c>
      <c r="BS455" s="63">
        <f t="shared" si="369"/>
        <v>0</v>
      </c>
      <c r="BT455" s="63">
        <f t="shared" si="343"/>
        <v>0</v>
      </c>
      <c r="BU455" s="63">
        <f t="shared" si="344"/>
        <v>0</v>
      </c>
      <c r="BV455" s="57">
        <f t="shared" si="345"/>
        <v>0</v>
      </c>
      <c r="BW455" s="57">
        <f t="shared" si="346"/>
        <v>0</v>
      </c>
      <c r="BX455" s="57">
        <f t="shared" si="370"/>
        <v>0</v>
      </c>
      <c r="BY455" s="57">
        <f t="shared" si="328"/>
        <v>0</v>
      </c>
      <c r="BZ455" s="8">
        <f t="shared" si="347"/>
        <v>0</v>
      </c>
      <c r="CA455" s="8">
        <f t="shared" si="348"/>
        <v>0</v>
      </c>
      <c r="CB455" s="8">
        <f t="shared" si="349"/>
        <v>0</v>
      </c>
      <c r="CC455" s="8">
        <f t="shared" si="350"/>
        <v>0</v>
      </c>
      <c r="CD455" s="8">
        <f t="shared" si="351"/>
        <v>0</v>
      </c>
      <c r="CE455" s="8">
        <f t="shared" si="352"/>
        <v>0</v>
      </c>
      <c r="CF455" s="8">
        <f t="shared" si="353"/>
        <v>0</v>
      </c>
      <c r="CG455" s="8">
        <f t="shared" si="354"/>
        <v>0</v>
      </c>
      <c r="CH455" s="8">
        <f t="shared" si="355"/>
        <v>0</v>
      </c>
      <c r="CI455" s="8">
        <f t="shared" si="356"/>
        <v>0</v>
      </c>
      <c r="CJ455" s="8">
        <f t="shared" si="357"/>
        <v>0</v>
      </c>
      <c r="CK455" s="8">
        <f t="shared" si="358"/>
        <v>0</v>
      </c>
      <c r="CL455" s="8">
        <f t="shared" si="359"/>
        <v>0</v>
      </c>
      <c r="CM455" s="8">
        <f t="shared" si="360"/>
        <v>0</v>
      </c>
      <c r="CN455" s="8">
        <f t="shared" si="361"/>
        <v>0</v>
      </c>
      <c r="CO455" s="8">
        <f t="shared" si="362"/>
        <v>0</v>
      </c>
      <c r="CP455" s="8">
        <f t="shared" si="363"/>
        <v>0</v>
      </c>
      <c r="CQ455" s="8">
        <f t="shared" si="364"/>
        <v>0</v>
      </c>
      <c r="CR455" s="8">
        <f t="shared" si="365"/>
        <v>0</v>
      </c>
      <c r="CS455" s="8">
        <f t="shared" si="366"/>
        <v>0</v>
      </c>
      <c r="CT455" s="8">
        <f t="shared" si="325"/>
        <v>0</v>
      </c>
      <c r="CU455" s="8">
        <f t="shared" si="326"/>
        <v>0</v>
      </c>
      <c r="CV455" s="8">
        <f t="shared" si="327"/>
        <v>0</v>
      </c>
    </row>
    <row r="456" spans="1:100" ht="20.5" thickTop="1" thickBot="1" x14ac:dyDescent="0.5">
      <c r="A456" s="32"/>
      <c r="B456" s="10"/>
      <c r="C456" s="10"/>
      <c r="D456" s="11"/>
      <c r="E456" s="10"/>
      <c r="F456" s="10"/>
      <c r="G456" s="19"/>
      <c r="H456" s="19"/>
      <c r="I456" s="19"/>
      <c r="J456" s="19"/>
      <c r="K456" s="10"/>
      <c r="L456" s="10"/>
      <c r="M456" s="10"/>
      <c r="N456" s="10"/>
      <c r="O456" s="18"/>
      <c r="P456" s="18"/>
      <c r="Q456" s="21"/>
      <c r="R456" s="20"/>
      <c r="S456" s="16">
        <f t="shared" si="329"/>
        <v>0</v>
      </c>
      <c r="T456" s="11"/>
      <c r="AS456" s="31">
        <f t="shared" si="330"/>
        <v>0</v>
      </c>
      <c r="AT456" s="31">
        <f t="shared" si="331"/>
        <v>0</v>
      </c>
      <c r="AU456" s="31">
        <f t="shared" si="332"/>
        <v>0</v>
      </c>
      <c r="AV456" s="31">
        <f t="shared" si="333"/>
        <v>0</v>
      </c>
      <c r="AW456" s="31">
        <f t="shared" si="334"/>
        <v>0</v>
      </c>
      <c r="AX456" s="31">
        <f t="shared" si="335"/>
        <v>0</v>
      </c>
      <c r="AY456" s="31">
        <f t="shared" si="336"/>
        <v>0</v>
      </c>
      <c r="AZ456" s="31">
        <f t="shared" si="337"/>
        <v>0</v>
      </c>
      <c r="BA456" s="31">
        <f t="shared" si="338"/>
        <v>0</v>
      </c>
      <c r="BB456" s="31">
        <f t="shared" si="367"/>
        <v>0</v>
      </c>
      <c r="BM456" s="8">
        <f t="shared" si="368"/>
        <v>0</v>
      </c>
      <c r="BN456" s="8">
        <f t="shared" si="339"/>
        <v>0</v>
      </c>
      <c r="BO456" s="8">
        <f t="shared" si="340"/>
        <v>0</v>
      </c>
      <c r="BQ456" s="8">
        <f t="shared" si="341"/>
        <v>0</v>
      </c>
      <c r="BR456" s="63">
        <f t="shared" si="342"/>
        <v>0</v>
      </c>
      <c r="BS456" s="63">
        <f t="shared" si="369"/>
        <v>0</v>
      </c>
      <c r="BT456" s="63">
        <f t="shared" si="343"/>
        <v>0</v>
      </c>
      <c r="BU456" s="63">
        <f t="shared" si="344"/>
        <v>0</v>
      </c>
      <c r="BV456" s="57">
        <f t="shared" si="345"/>
        <v>0</v>
      </c>
      <c r="BW456" s="57">
        <f t="shared" si="346"/>
        <v>0</v>
      </c>
      <c r="BX456" s="57">
        <f t="shared" si="370"/>
        <v>0</v>
      </c>
      <c r="BY456" s="57">
        <f t="shared" si="328"/>
        <v>0</v>
      </c>
      <c r="BZ456" s="8">
        <f t="shared" si="347"/>
        <v>0</v>
      </c>
      <c r="CA456" s="8">
        <f t="shared" si="348"/>
        <v>0</v>
      </c>
      <c r="CB456" s="8">
        <f t="shared" si="349"/>
        <v>0</v>
      </c>
      <c r="CC456" s="8">
        <f t="shared" si="350"/>
        <v>0</v>
      </c>
      <c r="CD456" s="8">
        <f t="shared" si="351"/>
        <v>0</v>
      </c>
      <c r="CE456" s="8">
        <f t="shared" si="352"/>
        <v>0</v>
      </c>
      <c r="CF456" s="8">
        <f t="shared" si="353"/>
        <v>0</v>
      </c>
      <c r="CG456" s="8">
        <f t="shared" si="354"/>
        <v>0</v>
      </c>
      <c r="CH456" s="8">
        <f t="shared" si="355"/>
        <v>0</v>
      </c>
      <c r="CI456" s="8">
        <f t="shared" si="356"/>
        <v>0</v>
      </c>
      <c r="CJ456" s="8">
        <f t="shared" si="357"/>
        <v>0</v>
      </c>
      <c r="CK456" s="8">
        <f t="shared" si="358"/>
        <v>0</v>
      </c>
      <c r="CL456" s="8">
        <f t="shared" si="359"/>
        <v>0</v>
      </c>
      <c r="CM456" s="8">
        <f t="shared" si="360"/>
        <v>0</v>
      </c>
      <c r="CN456" s="8">
        <f t="shared" si="361"/>
        <v>0</v>
      </c>
      <c r="CO456" s="8">
        <f t="shared" si="362"/>
        <v>0</v>
      </c>
      <c r="CP456" s="8">
        <f t="shared" si="363"/>
        <v>0</v>
      </c>
      <c r="CQ456" s="8">
        <f t="shared" si="364"/>
        <v>0</v>
      </c>
      <c r="CR456" s="8">
        <f t="shared" si="365"/>
        <v>0</v>
      </c>
      <c r="CS456" s="8">
        <f t="shared" si="366"/>
        <v>0</v>
      </c>
      <c r="CT456" s="8">
        <f t="shared" si="325"/>
        <v>0</v>
      </c>
      <c r="CU456" s="8">
        <f t="shared" si="326"/>
        <v>0</v>
      </c>
      <c r="CV456" s="8">
        <f t="shared" si="327"/>
        <v>0</v>
      </c>
    </row>
    <row r="457" spans="1:100" ht="20.5" thickTop="1" thickBot="1" x14ac:dyDescent="0.5">
      <c r="A457" s="32"/>
      <c r="B457" s="10"/>
      <c r="C457" s="10"/>
      <c r="D457" s="11"/>
      <c r="E457" s="10"/>
      <c r="F457" s="10"/>
      <c r="G457" s="19"/>
      <c r="H457" s="19"/>
      <c r="I457" s="19"/>
      <c r="J457" s="19"/>
      <c r="K457" s="10"/>
      <c r="L457" s="10"/>
      <c r="M457" s="10"/>
      <c r="N457" s="10"/>
      <c r="O457" s="18"/>
      <c r="P457" s="18"/>
      <c r="Q457" s="21"/>
      <c r="R457" s="20"/>
      <c r="S457" s="16">
        <f t="shared" si="329"/>
        <v>0</v>
      </c>
      <c r="T457" s="11"/>
      <c r="AS457" s="31">
        <f t="shared" si="330"/>
        <v>0</v>
      </c>
      <c r="AT457" s="31">
        <f t="shared" si="331"/>
        <v>0</v>
      </c>
      <c r="AU457" s="31">
        <f t="shared" si="332"/>
        <v>0</v>
      </c>
      <c r="AV457" s="31">
        <f t="shared" si="333"/>
        <v>0</v>
      </c>
      <c r="AW457" s="31">
        <f t="shared" si="334"/>
        <v>0</v>
      </c>
      <c r="AX457" s="31">
        <f t="shared" si="335"/>
        <v>0</v>
      </c>
      <c r="AY457" s="31">
        <f t="shared" si="336"/>
        <v>0</v>
      </c>
      <c r="AZ457" s="31">
        <f t="shared" si="337"/>
        <v>0</v>
      </c>
      <c r="BA457" s="31">
        <f t="shared" si="338"/>
        <v>0</v>
      </c>
      <c r="BB457" s="31">
        <f t="shared" si="367"/>
        <v>0</v>
      </c>
      <c r="BM457" s="8">
        <f t="shared" si="368"/>
        <v>0</v>
      </c>
      <c r="BN457" s="8">
        <f t="shared" si="339"/>
        <v>0</v>
      </c>
      <c r="BO457" s="8">
        <f t="shared" si="340"/>
        <v>0</v>
      </c>
      <c r="BQ457" s="8">
        <f t="shared" si="341"/>
        <v>0</v>
      </c>
      <c r="BR457" s="63">
        <f t="shared" si="342"/>
        <v>0</v>
      </c>
      <c r="BS457" s="63">
        <f t="shared" si="369"/>
        <v>0</v>
      </c>
      <c r="BT457" s="63">
        <f t="shared" si="343"/>
        <v>0</v>
      </c>
      <c r="BU457" s="63">
        <f t="shared" si="344"/>
        <v>0</v>
      </c>
      <c r="BV457" s="57">
        <f t="shared" si="345"/>
        <v>0</v>
      </c>
      <c r="BW457" s="57">
        <f t="shared" si="346"/>
        <v>0</v>
      </c>
      <c r="BX457" s="57">
        <f t="shared" si="370"/>
        <v>0</v>
      </c>
      <c r="BY457" s="57">
        <f t="shared" si="328"/>
        <v>0</v>
      </c>
      <c r="BZ457" s="8">
        <f t="shared" si="347"/>
        <v>0</v>
      </c>
      <c r="CA457" s="8">
        <f t="shared" si="348"/>
        <v>0</v>
      </c>
      <c r="CB457" s="8">
        <f t="shared" si="349"/>
        <v>0</v>
      </c>
      <c r="CC457" s="8">
        <f t="shared" si="350"/>
        <v>0</v>
      </c>
      <c r="CD457" s="8">
        <f t="shared" si="351"/>
        <v>0</v>
      </c>
      <c r="CE457" s="8">
        <f t="shared" si="352"/>
        <v>0</v>
      </c>
      <c r="CF457" s="8">
        <f t="shared" si="353"/>
        <v>0</v>
      </c>
      <c r="CG457" s="8">
        <f t="shared" si="354"/>
        <v>0</v>
      </c>
      <c r="CH457" s="8">
        <f t="shared" si="355"/>
        <v>0</v>
      </c>
      <c r="CI457" s="8">
        <f t="shared" si="356"/>
        <v>0</v>
      </c>
      <c r="CJ457" s="8">
        <f t="shared" si="357"/>
        <v>0</v>
      </c>
      <c r="CK457" s="8">
        <f t="shared" si="358"/>
        <v>0</v>
      </c>
      <c r="CL457" s="8">
        <f t="shared" si="359"/>
        <v>0</v>
      </c>
      <c r="CM457" s="8">
        <f t="shared" si="360"/>
        <v>0</v>
      </c>
      <c r="CN457" s="8">
        <f t="shared" si="361"/>
        <v>0</v>
      </c>
      <c r="CO457" s="8">
        <f t="shared" si="362"/>
        <v>0</v>
      </c>
      <c r="CP457" s="8">
        <f t="shared" si="363"/>
        <v>0</v>
      </c>
      <c r="CQ457" s="8">
        <f t="shared" si="364"/>
        <v>0</v>
      </c>
      <c r="CR457" s="8">
        <f t="shared" si="365"/>
        <v>0</v>
      </c>
      <c r="CS457" s="8">
        <f t="shared" si="366"/>
        <v>0</v>
      </c>
      <c r="CT457" s="8">
        <f t="shared" si="325"/>
        <v>0</v>
      </c>
      <c r="CU457" s="8">
        <f t="shared" si="326"/>
        <v>0</v>
      </c>
      <c r="CV457" s="8">
        <f t="shared" si="327"/>
        <v>0</v>
      </c>
    </row>
    <row r="458" spans="1:100" ht="20.5" thickTop="1" thickBot="1" x14ac:dyDescent="0.5">
      <c r="A458" s="32"/>
      <c r="B458" s="10"/>
      <c r="C458" s="10"/>
      <c r="D458" s="11"/>
      <c r="E458" s="10"/>
      <c r="F458" s="10"/>
      <c r="G458" s="19"/>
      <c r="H458" s="19"/>
      <c r="I458" s="19"/>
      <c r="J458" s="19"/>
      <c r="K458" s="10"/>
      <c r="L458" s="10"/>
      <c r="M458" s="10"/>
      <c r="N458" s="10"/>
      <c r="O458" s="18"/>
      <c r="P458" s="18"/>
      <c r="Q458" s="21"/>
      <c r="R458" s="20"/>
      <c r="S458" s="16">
        <f t="shared" si="329"/>
        <v>0</v>
      </c>
      <c r="T458" s="11"/>
      <c r="AS458" s="31">
        <f t="shared" si="330"/>
        <v>0</v>
      </c>
      <c r="AT458" s="31">
        <f t="shared" si="331"/>
        <v>0</v>
      </c>
      <c r="AU458" s="31">
        <f t="shared" si="332"/>
        <v>0</v>
      </c>
      <c r="AV458" s="31">
        <f t="shared" si="333"/>
        <v>0</v>
      </c>
      <c r="AW458" s="31">
        <f t="shared" si="334"/>
        <v>0</v>
      </c>
      <c r="AX458" s="31">
        <f t="shared" si="335"/>
        <v>0</v>
      </c>
      <c r="AY458" s="31">
        <f t="shared" si="336"/>
        <v>0</v>
      </c>
      <c r="AZ458" s="31">
        <f t="shared" si="337"/>
        <v>0</v>
      </c>
      <c r="BA458" s="31">
        <f t="shared" si="338"/>
        <v>0</v>
      </c>
      <c r="BB458" s="31">
        <f t="shared" si="367"/>
        <v>0</v>
      </c>
      <c r="BM458" s="8">
        <f t="shared" si="368"/>
        <v>0</v>
      </c>
      <c r="BN458" s="8">
        <f t="shared" si="339"/>
        <v>0</v>
      </c>
      <c r="BO458" s="8">
        <f t="shared" si="340"/>
        <v>0</v>
      </c>
      <c r="BQ458" s="8">
        <f t="shared" si="341"/>
        <v>0</v>
      </c>
      <c r="BR458" s="63">
        <f t="shared" si="342"/>
        <v>0</v>
      </c>
      <c r="BS458" s="63">
        <f t="shared" si="369"/>
        <v>0</v>
      </c>
      <c r="BT458" s="63">
        <f t="shared" si="343"/>
        <v>0</v>
      </c>
      <c r="BU458" s="63">
        <f t="shared" si="344"/>
        <v>0</v>
      </c>
      <c r="BV458" s="57">
        <f t="shared" si="345"/>
        <v>0</v>
      </c>
      <c r="BW458" s="57">
        <f t="shared" si="346"/>
        <v>0</v>
      </c>
      <c r="BX458" s="57">
        <f t="shared" si="370"/>
        <v>0</v>
      </c>
      <c r="BY458" s="57">
        <f t="shared" si="328"/>
        <v>0</v>
      </c>
      <c r="BZ458" s="8">
        <f t="shared" si="347"/>
        <v>0</v>
      </c>
      <c r="CA458" s="8">
        <f t="shared" si="348"/>
        <v>0</v>
      </c>
      <c r="CB458" s="8">
        <f t="shared" si="349"/>
        <v>0</v>
      </c>
      <c r="CC458" s="8">
        <f t="shared" si="350"/>
        <v>0</v>
      </c>
      <c r="CD458" s="8">
        <f t="shared" si="351"/>
        <v>0</v>
      </c>
      <c r="CE458" s="8">
        <f t="shared" si="352"/>
        <v>0</v>
      </c>
      <c r="CF458" s="8">
        <f t="shared" si="353"/>
        <v>0</v>
      </c>
      <c r="CG458" s="8">
        <f t="shared" si="354"/>
        <v>0</v>
      </c>
      <c r="CH458" s="8">
        <f t="shared" si="355"/>
        <v>0</v>
      </c>
      <c r="CI458" s="8">
        <f t="shared" si="356"/>
        <v>0</v>
      </c>
      <c r="CJ458" s="8">
        <f t="shared" si="357"/>
        <v>0</v>
      </c>
      <c r="CK458" s="8">
        <f t="shared" si="358"/>
        <v>0</v>
      </c>
      <c r="CL458" s="8">
        <f t="shared" si="359"/>
        <v>0</v>
      </c>
      <c r="CM458" s="8">
        <f t="shared" si="360"/>
        <v>0</v>
      </c>
      <c r="CN458" s="8">
        <f t="shared" si="361"/>
        <v>0</v>
      </c>
      <c r="CO458" s="8">
        <f t="shared" si="362"/>
        <v>0</v>
      </c>
      <c r="CP458" s="8">
        <f t="shared" si="363"/>
        <v>0</v>
      </c>
      <c r="CQ458" s="8">
        <f t="shared" si="364"/>
        <v>0</v>
      </c>
      <c r="CR458" s="8">
        <f t="shared" si="365"/>
        <v>0</v>
      </c>
      <c r="CS458" s="8">
        <f t="shared" si="366"/>
        <v>0</v>
      </c>
      <c r="CT458" s="8">
        <f t="shared" si="325"/>
        <v>0</v>
      </c>
      <c r="CU458" s="8">
        <f t="shared" si="326"/>
        <v>0</v>
      </c>
      <c r="CV458" s="8">
        <f t="shared" si="327"/>
        <v>0</v>
      </c>
    </row>
    <row r="459" spans="1:100" ht="20.5" thickTop="1" thickBot="1" x14ac:dyDescent="0.5">
      <c r="A459" s="32"/>
      <c r="B459" s="10"/>
      <c r="C459" s="10"/>
      <c r="D459" s="11"/>
      <c r="E459" s="10"/>
      <c r="F459" s="10"/>
      <c r="G459" s="19"/>
      <c r="H459" s="19"/>
      <c r="I459" s="19"/>
      <c r="J459" s="19"/>
      <c r="K459" s="10"/>
      <c r="L459" s="10"/>
      <c r="M459" s="10"/>
      <c r="N459" s="10"/>
      <c r="O459" s="18"/>
      <c r="P459" s="18"/>
      <c r="Q459" s="21"/>
      <c r="R459" s="20"/>
      <c r="S459" s="16">
        <f t="shared" si="329"/>
        <v>0</v>
      </c>
      <c r="T459" s="11"/>
      <c r="AS459" s="31">
        <f t="shared" si="330"/>
        <v>0</v>
      </c>
      <c r="AT459" s="31">
        <f t="shared" si="331"/>
        <v>0</v>
      </c>
      <c r="AU459" s="31">
        <f t="shared" si="332"/>
        <v>0</v>
      </c>
      <c r="AV459" s="31">
        <f t="shared" si="333"/>
        <v>0</v>
      </c>
      <c r="AW459" s="31">
        <f t="shared" si="334"/>
        <v>0</v>
      </c>
      <c r="AX459" s="31">
        <f t="shared" si="335"/>
        <v>0</v>
      </c>
      <c r="AY459" s="31">
        <f t="shared" si="336"/>
        <v>0</v>
      </c>
      <c r="AZ459" s="31">
        <f t="shared" si="337"/>
        <v>0</v>
      </c>
      <c r="BA459" s="31">
        <f t="shared" si="338"/>
        <v>0</v>
      </c>
      <c r="BB459" s="31">
        <f t="shared" si="367"/>
        <v>0</v>
      </c>
      <c r="BM459" s="8">
        <f t="shared" si="368"/>
        <v>0</v>
      </c>
      <c r="BN459" s="8">
        <f t="shared" si="339"/>
        <v>0</v>
      </c>
      <c r="BO459" s="8">
        <f t="shared" si="340"/>
        <v>0</v>
      </c>
      <c r="BQ459" s="8">
        <f t="shared" si="341"/>
        <v>0</v>
      </c>
      <c r="BR459" s="63">
        <f t="shared" si="342"/>
        <v>0</v>
      </c>
      <c r="BS459" s="63">
        <f t="shared" si="369"/>
        <v>0</v>
      </c>
      <c r="BT459" s="63">
        <f t="shared" si="343"/>
        <v>0</v>
      </c>
      <c r="BU459" s="63">
        <f t="shared" si="344"/>
        <v>0</v>
      </c>
      <c r="BV459" s="57">
        <f t="shared" si="345"/>
        <v>0</v>
      </c>
      <c r="BW459" s="57">
        <f t="shared" si="346"/>
        <v>0</v>
      </c>
      <c r="BX459" s="57">
        <f t="shared" si="370"/>
        <v>0</v>
      </c>
      <c r="BY459" s="57">
        <f t="shared" si="328"/>
        <v>0</v>
      </c>
      <c r="BZ459" s="8">
        <f t="shared" si="347"/>
        <v>0</v>
      </c>
      <c r="CA459" s="8">
        <f t="shared" si="348"/>
        <v>0</v>
      </c>
      <c r="CB459" s="8">
        <f t="shared" si="349"/>
        <v>0</v>
      </c>
      <c r="CC459" s="8">
        <f t="shared" si="350"/>
        <v>0</v>
      </c>
      <c r="CD459" s="8">
        <f t="shared" si="351"/>
        <v>0</v>
      </c>
      <c r="CE459" s="8">
        <f t="shared" si="352"/>
        <v>0</v>
      </c>
      <c r="CF459" s="8">
        <f t="shared" si="353"/>
        <v>0</v>
      </c>
      <c r="CG459" s="8">
        <f t="shared" si="354"/>
        <v>0</v>
      </c>
      <c r="CH459" s="8">
        <f t="shared" si="355"/>
        <v>0</v>
      </c>
      <c r="CI459" s="8">
        <f t="shared" si="356"/>
        <v>0</v>
      </c>
      <c r="CJ459" s="8">
        <f t="shared" si="357"/>
        <v>0</v>
      </c>
      <c r="CK459" s="8">
        <f t="shared" si="358"/>
        <v>0</v>
      </c>
      <c r="CL459" s="8">
        <f t="shared" si="359"/>
        <v>0</v>
      </c>
      <c r="CM459" s="8">
        <f t="shared" si="360"/>
        <v>0</v>
      </c>
      <c r="CN459" s="8">
        <f t="shared" si="361"/>
        <v>0</v>
      </c>
      <c r="CO459" s="8">
        <f t="shared" si="362"/>
        <v>0</v>
      </c>
      <c r="CP459" s="8">
        <f t="shared" si="363"/>
        <v>0</v>
      </c>
      <c r="CQ459" s="8">
        <f t="shared" si="364"/>
        <v>0</v>
      </c>
      <c r="CR459" s="8">
        <f t="shared" si="365"/>
        <v>0</v>
      </c>
      <c r="CS459" s="8">
        <f t="shared" si="366"/>
        <v>0</v>
      </c>
      <c r="CT459" s="8">
        <f t="shared" si="325"/>
        <v>0</v>
      </c>
      <c r="CU459" s="8">
        <f t="shared" si="326"/>
        <v>0</v>
      </c>
      <c r="CV459" s="8">
        <f t="shared" si="327"/>
        <v>0</v>
      </c>
    </row>
    <row r="460" spans="1:100" ht="20.5" thickTop="1" thickBot="1" x14ac:dyDescent="0.5">
      <c r="A460" s="32"/>
      <c r="B460" s="10"/>
      <c r="C460" s="10"/>
      <c r="D460" s="11"/>
      <c r="E460" s="10"/>
      <c r="F460" s="10"/>
      <c r="G460" s="19"/>
      <c r="H460" s="19"/>
      <c r="I460" s="19"/>
      <c r="J460" s="19"/>
      <c r="K460" s="10"/>
      <c r="L460" s="10"/>
      <c r="M460" s="10"/>
      <c r="N460" s="10"/>
      <c r="O460" s="18"/>
      <c r="P460" s="18"/>
      <c r="Q460" s="21"/>
      <c r="R460" s="20"/>
      <c r="S460" s="16">
        <f t="shared" si="329"/>
        <v>0</v>
      </c>
      <c r="T460" s="11"/>
      <c r="AS460" s="31">
        <f t="shared" si="330"/>
        <v>0</v>
      </c>
      <c r="AT460" s="31">
        <f t="shared" si="331"/>
        <v>0</v>
      </c>
      <c r="AU460" s="31">
        <f t="shared" si="332"/>
        <v>0</v>
      </c>
      <c r="AV460" s="31">
        <f t="shared" si="333"/>
        <v>0</v>
      </c>
      <c r="AW460" s="31">
        <f t="shared" si="334"/>
        <v>0</v>
      </c>
      <c r="AX460" s="31">
        <f t="shared" si="335"/>
        <v>0</v>
      </c>
      <c r="AY460" s="31">
        <f t="shared" si="336"/>
        <v>0</v>
      </c>
      <c r="AZ460" s="31">
        <f t="shared" si="337"/>
        <v>0</v>
      </c>
      <c r="BA460" s="31">
        <f t="shared" si="338"/>
        <v>0</v>
      </c>
      <c r="BB460" s="31">
        <f t="shared" si="367"/>
        <v>0</v>
      </c>
      <c r="BM460" s="8">
        <f t="shared" si="368"/>
        <v>0</v>
      </c>
      <c r="BN460" s="8">
        <f t="shared" si="339"/>
        <v>0</v>
      </c>
      <c r="BO460" s="8">
        <f t="shared" si="340"/>
        <v>0</v>
      </c>
      <c r="BQ460" s="8">
        <f t="shared" si="341"/>
        <v>0</v>
      </c>
      <c r="BR460" s="63">
        <f t="shared" si="342"/>
        <v>0</v>
      </c>
      <c r="BS460" s="63">
        <f t="shared" si="369"/>
        <v>0</v>
      </c>
      <c r="BT460" s="63">
        <f t="shared" si="343"/>
        <v>0</v>
      </c>
      <c r="BU460" s="63">
        <f t="shared" si="344"/>
        <v>0</v>
      </c>
      <c r="BV460" s="57">
        <f t="shared" si="345"/>
        <v>0</v>
      </c>
      <c r="BW460" s="57">
        <f t="shared" si="346"/>
        <v>0</v>
      </c>
      <c r="BX460" s="57">
        <f t="shared" si="370"/>
        <v>0</v>
      </c>
      <c r="BY460" s="57">
        <f t="shared" si="328"/>
        <v>0</v>
      </c>
      <c r="BZ460" s="8">
        <f t="shared" si="347"/>
        <v>0</v>
      </c>
      <c r="CA460" s="8">
        <f t="shared" si="348"/>
        <v>0</v>
      </c>
      <c r="CB460" s="8">
        <f t="shared" si="349"/>
        <v>0</v>
      </c>
      <c r="CC460" s="8">
        <f t="shared" si="350"/>
        <v>0</v>
      </c>
      <c r="CD460" s="8">
        <f t="shared" si="351"/>
        <v>0</v>
      </c>
      <c r="CE460" s="8">
        <f t="shared" si="352"/>
        <v>0</v>
      </c>
      <c r="CF460" s="8">
        <f t="shared" si="353"/>
        <v>0</v>
      </c>
      <c r="CG460" s="8">
        <f t="shared" si="354"/>
        <v>0</v>
      </c>
      <c r="CH460" s="8">
        <f t="shared" si="355"/>
        <v>0</v>
      </c>
      <c r="CI460" s="8">
        <f t="shared" si="356"/>
        <v>0</v>
      </c>
      <c r="CJ460" s="8">
        <f t="shared" si="357"/>
        <v>0</v>
      </c>
      <c r="CK460" s="8">
        <f t="shared" si="358"/>
        <v>0</v>
      </c>
      <c r="CL460" s="8">
        <f t="shared" si="359"/>
        <v>0</v>
      </c>
      <c r="CM460" s="8">
        <f t="shared" si="360"/>
        <v>0</v>
      </c>
      <c r="CN460" s="8">
        <f t="shared" si="361"/>
        <v>0</v>
      </c>
      <c r="CO460" s="8">
        <f t="shared" si="362"/>
        <v>0</v>
      </c>
      <c r="CP460" s="8">
        <f t="shared" si="363"/>
        <v>0</v>
      </c>
      <c r="CQ460" s="8">
        <f t="shared" si="364"/>
        <v>0</v>
      </c>
      <c r="CR460" s="8">
        <f t="shared" si="365"/>
        <v>0</v>
      </c>
      <c r="CS460" s="8">
        <f t="shared" si="366"/>
        <v>0</v>
      </c>
      <c r="CT460" s="8">
        <f t="shared" si="325"/>
        <v>0</v>
      </c>
      <c r="CU460" s="8">
        <f t="shared" si="326"/>
        <v>0</v>
      </c>
      <c r="CV460" s="8">
        <f t="shared" si="327"/>
        <v>0</v>
      </c>
    </row>
    <row r="461" spans="1:100" ht="20.5" thickTop="1" thickBot="1" x14ac:dyDescent="0.5">
      <c r="A461" s="32"/>
      <c r="B461" s="10"/>
      <c r="C461" s="10"/>
      <c r="D461" s="11"/>
      <c r="E461" s="10"/>
      <c r="F461" s="10"/>
      <c r="G461" s="19"/>
      <c r="H461" s="19"/>
      <c r="I461" s="19"/>
      <c r="J461" s="19"/>
      <c r="K461" s="10"/>
      <c r="L461" s="10"/>
      <c r="M461" s="10"/>
      <c r="N461" s="10"/>
      <c r="O461" s="18"/>
      <c r="P461" s="18"/>
      <c r="Q461" s="21"/>
      <c r="R461" s="20"/>
      <c r="S461" s="16">
        <f t="shared" si="329"/>
        <v>0</v>
      </c>
      <c r="T461" s="11"/>
      <c r="AS461" s="31">
        <f t="shared" si="330"/>
        <v>0</v>
      </c>
      <c r="AT461" s="31">
        <f t="shared" si="331"/>
        <v>0</v>
      </c>
      <c r="AU461" s="31">
        <f t="shared" si="332"/>
        <v>0</v>
      </c>
      <c r="AV461" s="31">
        <f t="shared" si="333"/>
        <v>0</v>
      </c>
      <c r="AW461" s="31">
        <f t="shared" si="334"/>
        <v>0</v>
      </c>
      <c r="AX461" s="31">
        <f t="shared" si="335"/>
        <v>0</v>
      </c>
      <c r="AY461" s="31">
        <f t="shared" si="336"/>
        <v>0</v>
      </c>
      <c r="AZ461" s="31">
        <f t="shared" si="337"/>
        <v>0</v>
      </c>
      <c r="BA461" s="31">
        <f t="shared" si="338"/>
        <v>0</v>
      </c>
      <c r="BB461" s="31">
        <f t="shared" si="367"/>
        <v>0</v>
      </c>
      <c r="BM461" s="8">
        <f t="shared" si="368"/>
        <v>0</v>
      </c>
      <c r="BN461" s="8">
        <f t="shared" si="339"/>
        <v>0</v>
      </c>
      <c r="BO461" s="8">
        <f t="shared" si="340"/>
        <v>0</v>
      </c>
      <c r="BQ461" s="8">
        <f t="shared" si="341"/>
        <v>0</v>
      </c>
      <c r="BR461" s="63">
        <f t="shared" si="342"/>
        <v>0</v>
      </c>
      <c r="BS461" s="63">
        <f t="shared" si="369"/>
        <v>0</v>
      </c>
      <c r="BT461" s="63">
        <f t="shared" si="343"/>
        <v>0</v>
      </c>
      <c r="BU461" s="63">
        <f t="shared" si="344"/>
        <v>0</v>
      </c>
      <c r="BV461" s="57">
        <f t="shared" si="345"/>
        <v>0</v>
      </c>
      <c r="BW461" s="57">
        <f t="shared" si="346"/>
        <v>0</v>
      </c>
      <c r="BX461" s="57">
        <f t="shared" si="370"/>
        <v>0</v>
      </c>
      <c r="BY461" s="57">
        <f t="shared" si="328"/>
        <v>0</v>
      </c>
      <c r="BZ461" s="8">
        <f t="shared" si="347"/>
        <v>0</v>
      </c>
      <c r="CA461" s="8">
        <f t="shared" si="348"/>
        <v>0</v>
      </c>
      <c r="CB461" s="8">
        <f t="shared" si="349"/>
        <v>0</v>
      </c>
      <c r="CC461" s="8">
        <f t="shared" si="350"/>
        <v>0</v>
      </c>
      <c r="CD461" s="8">
        <f t="shared" si="351"/>
        <v>0</v>
      </c>
      <c r="CE461" s="8">
        <f t="shared" si="352"/>
        <v>0</v>
      </c>
      <c r="CF461" s="8">
        <f t="shared" si="353"/>
        <v>0</v>
      </c>
      <c r="CG461" s="8">
        <f t="shared" si="354"/>
        <v>0</v>
      </c>
      <c r="CH461" s="8">
        <f t="shared" si="355"/>
        <v>0</v>
      </c>
      <c r="CI461" s="8">
        <f t="shared" si="356"/>
        <v>0</v>
      </c>
      <c r="CJ461" s="8">
        <f t="shared" si="357"/>
        <v>0</v>
      </c>
      <c r="CK461" s="8">
        <f t="shared" si="358"/>
        <v>0</v>
      </c>
      <c r="CL461" s="8">
        <f t="shared" si="359"/>
        <v>0</v>
      </c>
      <c r="CM461" s="8">
        <f t="shared" si="360"/>
        <v>0</v>
      </c>
      <c r="CN461" s="8">
        <f t="shared" si="361"/>
        <v>0</v>
      </c>
      <c r="CO461" s="8">
        <f t="shared" si="362"/>
        <v>0</v>
      </c>
      <c r="CP461" s="8">
        <f t="shared" si="363"/>
        <v>0</v>
      </c>
      <c r="CQ461" s="8">
        <f t="shared" si="364"/>
        <v>0</v>
      </c>
      <c r="CR461" s="8">
        <f t="shared" si="365"/>
        <v>0</v>
      </c>
      <c r="CS461" s="8">
        <f t="shared" si="366"/>
        <v>0</v>
      </c>
      <c r="CT461" s="8">
        <f t="shared" ref="CT461:CT524" si="371">IF(AND(J461&gt;0,OR(B461="MB",B461="new MB")),J461,0)*4+IF(AND(J461&gt;0,OR(C461="MB",C461="new MB")),J461,0)*4</f>
        <v>0</v>
      </c>
      <c r="CU461" s="8">
        <f t="shared" ref="CU461:CU524" si="372">IF(AND(I461&gt;0,OR(B461="MB",B461="new MB")),I461,0)*4+IF(AND(I461&gt;0,OR(C461="MB",C461="new MB")),I461,0)*4</f>
        <v>0</v>
      </c>
      <c r="CV461" s="8">
        <f t="shared" ref="CV461:CV524" si="373">IF(AND(H461&gt;0,OR(B461="MB",B461="new MB")),H461,0)*4+IF(AND(H461&gt;0,OR(C461="MB",C461="new MB")),H461,0)*4</f>
        <v>0</v>
      </c>
    </row>
    <row r="462" spans="1:100" ht="20.5" thickTop="1" thickBot="1" x14ac:dyDescent="0.5">
      <c r="A462" s="32"/>
      <c r="B462" s="10"/>
      <c r="C462" s="10"/>
      <c r="D462" s="11"/>
      <c r="E462" s="10"/>
      <c r="F462" s="10"/>
      <c r="G462" s="19"/>
      <c r="H462" s="19"/>
      <c r="I462" s="19"/>
      <c r="J462" s="19"/>
      <c r="K462" s="10"/>
      <c r="L462" s="10"/>
      <c r="M462" s="10"/>
      <c r="N462" s="10"/>
      <c r="O462" s="18"/>
      <c r="P462" s="18"/>
      <c r="Q462" s="21"/>
      <c r="R462" s="20"/>
      <c r="S462" s="16">
        <f t="shared" si="329"/>
        <v>0</v>
      </c>
      <c r="T462" s="11"/>
      <c r="AS462" s="31">
        <f t="shared" si="330"/>
        <v>0</v>
      </c>
      <c r="AT462" s="31">
        <f t="shared" si="331"/>
        <v>0</v>
      </c>
      <c r="AU462" s="31">
        <f t="shared" si="332"/>
        <v>0</v>
      </c>
      <c r="AV462" s="31">
        <f t="shared" si="333"/>
        <v>0</v>
      </c>
      <c r="AW462" s="31">
        <f t="shared" si="334"/>
        <v>0</v>
      </c>
      <c r="AX462" s="31">
        <f t="shared" si="335"/>
        <v>0</v>
      </c>
      <c r="AY462" s="31">
        <f t="shared" si="336"/>
        <v>0</v>
      </c>
      <c r="AZ462" s="31">
        <f t="shared" si="337"/>
        <v>0</v>
      </c>
      <c r="BA462" s="31">
        <f t="shared" si="338"/>
        <v>0</v>
      </c>
      <c r="BB462" s="31">
        <f t="shared" si="367"/>
        <v>0</v>
      </c>
      <c r="BM462" s="8">
        <f t="shared" si="368"/>
        <v>0</v>
      </c>
      <c r="BN462" s="8">
        <f t="shared" si="339"/>
        <v>0</v>
      </c>
      <c r="BO462" s="8">
        <f t="shared" si="340"/>
        <v>0</v>
      </c>
      <c r="BQ462" s="8">
        <f t="shared" si="341"/>
        <v>0</v>
      </c>
      <c r="BR462" s="63">
        <f t="shared" si="342"/>
        <v>0</v>
      </c>
      <c r="BS462" s="63">
        <f t="shared" si="369"/>
        <v>0</v>
      </c>
      <c r="BT462" s="63">
        <f t="shared" si="343"/>
        <v>0</v>
      </c>
      <c r="BU462" s="63">
        <f t="shared" si="344"/>
        <v>0</v>
      </c>
      <c r="BV462" s="57">
        <f t="shared" si="345"/>
        <v>0</v>
      </c>
      <c r="BW462" s="57">
        <f t="shared" si="346"/>
        <v>0</v>
      </c>
      <c r="BX462" s="57">
        <f t="shared" si="370"/>
        <v>0</v>
      </c>
      <c r="BY462" s="57">
        <f t="shared" si="328"/>
        <v>0</v>
      </c>
      <c r="BZ462" s="8">
        <f t="shared" si="347"/>
        <v>0</v>
      </c>
      <c r="CA462" s="8">
        <f t="shared" si="348"/>
        <v>0</v>
      </c>
      <c r="CB462" s="8">
        <f t="shared" si="349"/>
        <v>0</v>
      </c>
      <c r="CC462" s="8">
        <f t="shared" si="350"/>
        <v>0</v>
      </c>
      <c r="CD462" s="8">
        <f t="shared" si="351"/>
        <v>0</v>
      </c>
      <c r="CE462" s="8">
        <f t="shared" si="352"/>
        <v>0</v>
      </c>
      <c r="CF462" s="8">
        <f t="shared" si="353"/>
        <v>0</v>
      </c>
      <c r="CG462" s="8">
        <f t="shared" si="354"/>
        <v>0</v>
      </c>
      <c r="CH462" s="8">
        <f t="shared" si="355"/>
        <v>0</v>
      </c>
      <c r="CI462" s="8">
        <f t="shared" si="356"/>
        <v>0</v>
      </c>
      <c r="CJ462" s="8">
        <f t="shared" si="357"/>
        <v>0</v>
      </c>
      <c r="CK462" s="8">
        <f t="shared" si="358"/>
        <v>0</v>
      </c>
      <c r="CL462" s="8">
        <f t="shared" si="359"/>
        <v>0</v>
      </c>
      <c r="CM462" s="8">
        <f t="shared" si="360"/>
        <v>0</v>
      </c>
      <c r="CN462" s="8">
        <f t="shared" si="361"/>
        <v>0</v>
      </c>
      <c r="CO462" s="8">
        <f t="shared" si="362"/>
        <v>0</v>
      </c>
      <c r="CP462" s="8">
        <f t="shared" si="363"/>
        <v>0</v>
      </c>
      <c r="CQ462" s="8">
        <f t="shared" si="364"/>
        <v>0</v>
      </c>
      <c r="CR462" s="8">
        <f t="shared" si="365"/>
        <v>0</v>
      </c>
      <c r="CS462" s="8">
        <f t="shared" si="366"/>
        <v>0</v>
      </c>
      <c r="CT462" s="8">
        <f t="shared" si="371"/>
        <v>0</v>
      </c>
      <c r="CU462" s="8">
        <f t="shared" si="372"/>
        <v>0</v>
      </c>
      <c r="CV462" s="8">
        <f t="shared" si="373"/>
        <v>0</v>
      </c>
    </row>
    <row r="463" spans="1:100" ht="20.5" thickTop="1" thickBot="1" x14ac:dyDescent="0.5">
      <c r="A463" s="32"/>
      <c r="B463" s="10"/>
      <c r="C463" s="10"/>
      <c r="D463" s="11"/>
      <c r="E463" s="10"/>
      <c r="F463" s="10"/>
      <c r="G463" s="19"/>
      <c r="H463" s="19"/>
      <c r="I463" s="19"/>
      <c r="J463" s="19"/>
      <c r="K463" s="10"/>
      <c r="L463" s="10"/>
      <c r="M463" s="10"/>
      <c r="N463" s="10"/>
      <c r="O463" s="18"/>
      <c r="P463" s="18"/>
      <c r="Q463" s="21"/>
      <c r="R463" s="20"/>
      <c r="S463" s="16">
        <f t="shared" si="329"/>
        <v>0</v>
      </c>
      <c r="T463" s="11"/>
      <c r="AS463" s="31">
        <f t="shared" si="330"/>
        <v>0</v>
      </c>
      <c r="AT463" s="31">
        <f t="shared" si="331"/>
        <v>0</v>
      </c>
      <c r="AU463" s="31">
        <f t="shared" si="332"/>
        <v>0</v>
      </c>
      <c r="AV463" s="31">
        <f t="shared" si="333"/>
        <v>0</v>
      </c>
      <c r="AW463" s="31">
        <f t="shared" si="334"/>
        <v>0</v>
      </c>
      <c r="AX463" s="31">
        <f t="shared" si="335"/>
        <v>0</v>
      </c>
      <c r="AY463" s="31">
        <f t="shared" si="336"/>
        <v>0</v>
      </c>
      <c r="AZ463" s="31">
        <f t="shared" si="337"/>
        <v>0</v>
      </c>
      <c r="BA463" s="31">
        <f t="shared" si="338"/>
        <v>0</v>
      </c>
      <c r="BB463" s="31">
        <f t="shared" si="367"/>
        <v>0</v>
      </c>
      <c r="BM463" s="8">
        <f t="shared" si="368"/>
        <v>0</v>
      </c>
      <c r="BN463" s="8">
        <f t="shared" si="339"/>
        <v>0</v>
      </c>
      <c r="BO463" s="8">
        <f t="shared" si="340"/>
        <v>0</v>
      </c>
      <c r="BQ463" s="8">
        <f t="shared" si="341"/>
        <v>0</v>
      </c>
      <c r="BR463" s="63">
        <f t="shared" si="342"/>
        <v>0</v>
      </c>
      <c r="BS463" s="63">
        <f t="shared" si="369"/>
        <v>0</v>
      </c>
      <c r="BT463" s="63">
        <f t="shared" si="343"/>
        <v>0</v>
      </c>
      <c r="BU463" s="63">
        <f t="shared" si="344"/>
        <v>0</v>
      </c>
      <c r="BV463" s="57">
        <f t="shared" si="345"/>
        <v>0</v>
      </c>
      <c r="BW463" s="57">
        <f t="shared" si="346"/>
        <v>0</v>
      </c>
      <c r="BX463" s="57">
        <f t="shared" si="370"/>
        <v>0</v>
      </c>
      <c r="BY463" s="57">
        <f t="shared" si="328"/>
        <v>0</v>
      </c>
      <c r="BZ463" s="8">
        <f t="shared" si="347"/>
        <v>0</v>
      </c>
      <c r="CA463" s="8">
        <f t="shared" si="348"/>
        <v>0</v>
      </c>
      <c r="CB463" s="8">
        <f t="shared" si="349"/>
        <v>0</v>
      </c>
      <c r="CC463" s="8">
        <f t="shared" si="350"/>
        <v>0</v>
      </c>
      <c r="CD463" s="8">
        <f t="shared" si="351"/>
        <v>0</v>
      </c>
      <c r="CE463" s="8">
        <f t="shared" si="352"/>
        <v>0</v>
      </c>
      <c r="CF463" s="8">
        <f t="shared" si="353"/>
        <v>0</v>
      </c>
      <c r="CG463" s="8">
        <f t="shared" si="354"/>
        <v>0</v>
      </c>
      <c r="CH463" s="8">
        <f t="shared" si="355"/>
        <v>0</v>
      </c>
      <c r="CI463" s="8">
        <f t="shared" si="356"/>
        <v>0</v>
      </c>
      <c r="CJ463" s="8">
        <f t="shared" si="357"/>
        <v>0</v>
      </c>
      <c r="CK463" s="8">
        <f t="shared" si="358"/>
        <v>0</v>
      </c>
      <c r="CL463" s="8">
        <f t="shared" si="359"/>
        <v>0</v>
      </c>
      <c r="CM463" s="8">
        <f t="shared" si="360"/>
        <v>0</v>
      </c>
      <c r="CN463" s="8">
        <f t="shared" si="361"/>
        <v>0</v>
      </c>
      <c r="CO463" s="8">
        <f t="shared" si="362"/>
        <v>0</v>
      </c>
      <c r="CP463" s="8">
        <f t="shared" si="363"/>
        <v>0</v>
      </c>
      <c r="CQ463" s="8">
        <f t="shared" si="364"/>
        <v>0</v>
      </c>
      <c r="CR463" s="8">
        <f t="shared" si="365"/>
        <v>0</v>
      </c>
      <c r="CS463" s="8">
        <f t="shared" si="366"/>
        <v>0</v>
      </c>
      <c r="CT463" s="8">
        <f t="shared" si="371"/>
        <v>0</v>
      </c>
      <c r="CU463" s="8">
        <f t="shared" si="372"/>
        <v>0</v>
      </c>
      <c r="CV463" s="8">
        <f t="shared" si="373"/>
        <v>0</v>
      </c>
    </row>
    <row r="464" spans="1:100" ht="20.5" thickTop="1" thickBot="1" x14ac:dyDescent="0.5">
      <c r="A464" s="32"/>
      <c r="B464" s="10"/>
      <c r="C464" s="10"/>
      <c r="D464" s="11"/>
      <c r="E464" s="10"/>
      <c r="F464" s="10"/>
      <c r="G464" s="19"/>
      <c r="H464" s="19"/>
      <c r="I464" s="19"/>
      <c r="J464" s="19"/>
      <c r="K464" s="10"/>
      <c r="L464" s="10"/>
      <c r="M464" s="10"/>
      <c r="N464" s="10"/>
      <c r="O464" s="18"/>
      <c r="P464" s="18"/>
      <c r="Q464" s="21"/>
      <c r="R464" s="20"/>
      <c r="S464" s="16">
        <f t="shared" si="329"/>
        <v>0</v>
      </c>
      <c r="T464" s="11"/>
      <c r="AS464" s="31">
        <f t="shared" si="330"/>
        <v>0</v>
      </c>
      <c r="AT464" s="31">
        <f t="shared" si="331"/>
        <v>0</v>
      </c>
      <c r="AU464" s="31">
        <f t="shared" si="332"/>
        <v>0</v>
      </c>
      <c r="AV464" s="31">
        <f t="shared" si="333"/>
        <v>0</v>
      </c>
      <c r="AW464" s="31">
        <f t="shared" si="334"/>
        <v>0</v>
      </c>
      <c r="AX464" s="31">
        <f t="shared" si="335"/>
        <v>0</v>
      </c>
      <c r="AY464" s="31">
        <f t="shared" si="336"/>
        <v>0</v>
      </c>
      <c r="AZ464" s="31">
        <f t="shared" si="337"/>
        <v>0</v>
      </c>
      <c r="BA464" s="31">
        <f t="shared" si="338"/>
        <v>0</v>
      </c>
      <c r="BB464" s="31">
        <f t="shared" si="367"/>
        <v>0</v>
      </c>
      <c r="BM464" s="8">
        <f t="shared" si="368"/>
        <v>0</v>
      </c>
      <c r="BN464" s="8">
        <f t="shared" si="339"/>
        <v>0</v>
      </c>
      <c r="BO464" s="8">
        <f t="shared" si="340"/>
        <v>0</v>
      </c>
      <c r="BQ464" s="8">
        <f t="shared" si="341"/>
        <v>0</v>
      </c>
      <c r="BR464" s="63">
        <f t="shared" si="342"/>
        <v>0</v>
      </c>
      <c r="BS464" s="63">
        <f t="shared" si="369"/>
        <v>0</v>
      </c>
      <c r="BT464" s="63">
        <f t="shared" si="343"/>
        <v>0</v>
      </c>
      <c r="BU464" s="63">
        <f t="shared" si="344"/>
        <v>0</v>
      </c>
      <c r="BV464" s="57">
        <f t="shared" si="345"/>
        <v>0</v>
      </c>
      <c r="BW464" s="57">
        <f t="shared" si="346"/>
        <v>0</v>
      </c>
      <c r="BX464" s="57">
        <f t="shared" si="370"/>
        <v>0</v>
      </c>
      <c r="BY464" s="57">
        <f t="shared" si="328"/>
        <v>0</v>
      </c>
      <c r="BZ464" s="8">
        <f t="shared" si="347"/>
        <v>0</v>
      </c>
      <c r="CA464" s="8">
        <f t="shared" si="348"/>
        <v>0</v>
      </c>
      <c r="CB464" s="8">
        <f t="shared" si="349"/>
        <v>0</v>
      </c>
      <c r="CC464" s="8">
        <f t="shared" si="350"/>
        <v>0</v>
      </c>
      <c r="CD464" s="8">
        <f t="shared" si="351"/>
        <v>0</v>
      </c>
      <c r="CE464" s="8">
        <f t="shared" si="352"/>
        <v>0</v>
      </c>
      <c r="CF464" s="8">
        <f t="shared" si="353"/>
        <v>0</v>
      </c>
      <c r="CG464" s="8">
        <f t="shared" si="354"/>
        <v>0</v>
      </c>
      <c r="CH464" s="8">
        <f t="shared" si="355"/>
        <v>0</v>
      </c>
      <c r="CI464" s="8">
        <f t="shared" si="356"/>
        <v>0</v>
      </c>
      <c r="CJ464" s="8">
        <f t="shared" si="357"/>
        <v>0</v>
      </c>
      <c r="CK464" s="8">
        <f t="shared" si="358"/>
        <v>0</v>
      </c>
      <c r="CL464" s="8">
        <f t="shared" si="359"/>
        <v>0</v>
      </c>
      <c r="CM464" s="8">
        <f t="shared" si="360"/>
        <v>0</v>
      </c>
      <c r="CN464" s="8">
        <f t="shared" si="361"/>
        <v>0</v>
      </c>
      <c r="CO464" s="8">
        <f t="shared" si="362"/>
        <v>0</v>
      </c>
      <c r="CP464" s="8">
        <f t="shared" si="363"/>
        <v>0</v>
      </c>
      <c r="CQ464" s="8">
        <f t="shared" si="364"/>
        <v>0</v>
      </c>
      <c r="CR464" s="8">
        <f t="shared" si="365"/>
        <v>0</v>
      </c>
      <c r="CS464" s="8">
        <f t="shared" si="366"/>
        <v>0</v>
      </c>
      <c r="CT464" s="8">
        <f t="shared" si="371"/>
        <v>0</v>
      </c>
      <c r="CU464" s="8">
        <f t="shared" si="372"/>
        <v>0</v>
      </c>
      <c r="CV464" s="8">
        <f t="shared" si="373"/>
        <v>0</v>
      </c>
    </row>
    <row r="465" spans="1:100" ht="20.5" thickTop="1" thickBot="1" x14ac:dyDescent="0.5">
      <c r="A465" s="32"/>
      <c r="B465" s="10"/>
      <c r="C465" s="10"/>
      <c r="D465" s="11"/>
      <c r="E465" s="10"/>
      <c r="F465" s="10"/>
      <c r="G465" s="19"/>
      <c r="H465" s="19"/>
      <c r="I465" s="19"/>
      <c r="J465" s="19"/>
      <c r="K465" s="10"/>
      <c r="L465" s="10"/>
      <c r="M465" s="10"/>
      <c r="N465" s="10"/>
      <c r="O465" s="18"/>
      <c r="P465" s="18"/>
      <c r="Q465" s="21"/>
      <c r="R465" s="20"/>
      <c r="S465" s="16">
        <f t="shared" si="329"/>
        <v>0</v>
      </c>
      <c r="T465" s="11"/>
      <c r="AS465" s="31">
        <f t="shared" si="330"/>
        <v>0</v>
      </c>
      <c r="AT465" s="31">
        <f t="shared" si="331"/>
        <v>0</v>
      </c>
      <c r="AU465" s="31">
        <f t="shared" si="332"/>
        <v>0</v>
      </c>
      <c r="AV465" s="31">
        <f t="shared" si="333"/>
        <v>0</v>
      </c>
      <c r="AW465" s="31">
        <f t="shared" si="334"/>
        <v>0</v>
      </c>
      <c r="AX465" s="31">
        <f t="shared" si="335"/>
        <v>0</v>
      </c>
      <c r="AY465" s="31">
        <f t="shared" si="336"/>
        <v>0</v>
      </c>
      <c r="AZ465" s="31">
        <f t="shared" si="337"/>
        <v>0</v>
      </c>
      <c r="BA465" s="31">
        <f t="shared" si="338"/>
        <v>0</v>
      </c>
      <c r="BB465" s="31">
        <f t="shared" si="367"/>
        <v>0</v>
      </c>
      <c r="BM465" s="8">
        <f t="shared" si="368"/>
        <v>0</v>
      </c>
      <c r="BN465" s="8">
        <f t="shared" si="339"/>
        <v>0</v>
      </c>
      <c r="BO465" s="8">
        <f t="shared" si="340"/>
        <v>0</v>
      </c>
      <c r="BQ465" s="8">
        <f t="shared" si="341"/>
        <v>0</v>
      </c>
      <c r="BR465" s="63">
        <f t="shared" si="342"/>
        <v>0</v>
      </c>
      <c r="BS465" s="63">
        <f t="shared" si="369"/>
        <v>0</v>
      </c>
      <c r="BT465" s="63">
        <f t="shared" si="343"/>
        <v>0</v>
      </c>
      <c r="BU465" s="63">
        <f t="shared" si="344"/>
        <v>0</v>
      </c>
      <c r="BV465" s="57">
        <f t="shared" si="345"/>
        <v>0</v>
      </c>
      <c r="BW465" s="57">
        <f t="shared" si="346"/>
        <v>0</v>
      </c>
      <c r="BX465" s="57">
        <f t="shared" si="370"/>
        <v>0</v>
      </c>
      <c r="BY465" s="57">
        <f t="shared" si="328"/>
        <v>0</v>
      </c>
      <c r="BZ465" s="8">
        <f t="shared" si="347"/>
        <v>0</v>
      </c>
      <c r="CA465" s="8">
        <f t="shared" si="348"/>
        <v>0</v>
      </c>
      <c r="CB465" s="8">
        <f t="shared" si="349"/>
        <v>0</v>
      </c>
      <c r="CC465" s="8">
        <f t="shared" si="350"/>
        <v>0</v>
      </c>
      <c r="CD465" s="8">
        <f t="shared" si="351"/>
        <v>0</v>
      </c>
      <c r="CE465" s="8">
        <f t="shared" si="352"/>
        <v>0</v>
      </c>
      <c r="CF465" s="8">
        <f t="shared" si="353"/>
        <v>0</v>
      </c>
      <c r="CG465" s="8">
        <f t="shared" si="354"/>
        <v>0</v>
      </c>
      <c r="CH465" s="8">
        <f t="shared" si="355"/>
        <v>0</v>
      </c>
      <c r="CI465" s="8">
        <f t="shared" si="356"/>
        <v>0</v>
      </c>
      <c r="CJ465" s="8">
        <f t="shared" si="357"/>
        <v>0</v>
      </c>
      <c r="CK465" s="8">
        <f t="shared" si="358"/>
        <v>0</v>
      </c>
      <c r="CL465" s="8">
        <f t="shared" si="359"/>
        <v>0</v>
      </c>
      <c r="CM465" s="8">
        <f t="shared" si="360"/>
        <v>0</v>
      </c>
      <c r="CN465" s="8">
        <f t="shared" si="361"/>
        <v>0</v>
      </c>
      <c r="CO465" s="8">
        <f t="shared" si="362"/>
        <v>0</v>
      </c>
      <c r="CP465" s="8">
        <f t="shared" si="363"/>
        <v>0</v>
      </c>
      <c r="CQ465" s="8">
        <f t="shared" si="364"/>
        <v>0</v>
      </c>
      <c r="CR465" s="8">
        <f t="shared" si="365"/>
        <v>0</v>
      </c>
      <c r="CS465" s="8">
        <f t="shared" si="366"/>
        <v>0</v>
      </c>
      <c r="CT465" s="8">
        <f t="shared" si="371"/>
        <v>0</v>
      </c>
      <c r="CU465" s="8">
        <f t="shared" si="372"/>
        <v>0</v>
      </c>
      <c r="CV465" s="8">
        <f t="shared" si="373"/>
        <v>0</v>
      </c>
    </row>
    <row r="466" spans="1:100" ht="20.5" thickTop="1" thickBot="1" x14ac:dyDescent="0.5">
      <c r="A466" s="32"/>
      <c r="B466" s="10"/>
      <c r="C466" s="10"/>
      <c r="D466" s="11"/>
      <c r="E466" s="10"/>
      <c r="F466" s="10"/>
      <c r="G466" s="19"/>
      <c r="H466" s="19"/>
      <c r="I466" s="19"/>
      <c r="J466" s="19"/>
      <c r="K466" s="10"/>
      <c r="L466" s="10"/>
      <c r="M466" s="10"/>
      <c r="N466" s="10"/>
      <c r="O466" s="18"/>
      <c r="P466" s="18"/>
      <c r="Q466" s="21"/>
      <c r="R466" s="20"/>
      <c r="S466" s="16">
        <f t="shared" si="329"/>
        <v>0</v>
      </c>
      <c r="T466" s="11"/>
      <c r="AS466" s="31">
        <f t="shared" si="330"/>
        <v>0</v>
      </c>
      <c r="AT466" s="31">
        <f t="shared" si="331"/>
        <v>0</v>
      </c>
      <c r="AU466" s="31">
        <f t="shared" si="332"/>
        <v>0</v>
      </c>
      <c r="AV466" s="31">
        <f t="shared" si="333"/>
        <v>0</v>
      </c>
      <c r="AW466" s="31">
        <f t="shared" si="334"/>
        <v>0</v>
      </c>
      <c r="AX466" s="31">
        <f t="shared" si="335"/>
        <v>0</v>
      </c>
      <c r="AY466" s="31">
        <f t="shared" si="336"/>
        <v>0</v>
      </c>
      <c r="AZ466" s="31">
        <f t="shared" si="337"/>
        <v>0</v>
      </c>
      <c r="BA466" s="31">
        <f t="shared" si="338"/>
        <v>0</v>
      </c>
      <c r="BB466" s="31">
        <f t="shared" si="367"/>
        <v>0</v>
      </c>
      <c r="BM466" s="8">
        <f t="shared" si="368"/>
        <v>0</v>
      </c>
      <c r="BN466" s="8">
        <f t="shared" si="339"/>
        <v>0</v>
      </c>
      <c r="BO466" s="8">
        <f t="shared" si="340"/>
        <v>0</v>
      </c>
      <c r="BQ466" s="8">
        <f t="shared" si="341"/>
        <v>0</v>
      </c>
      <c r="BR466" s="63">
        <f t="shared" si="342"/>
        <v>0</v>
      </c>
      <c r="BS466" s="63">
        <f t="shared" si="369"/>
        <v>0</v>
      </c>
      <c r="BT466" s="63">
        <f t="shared" si="343"/>
        <v>0</v>
      </c>
      <c r="BU466" s="63">
        <f t="shared" si="344"/>
        <v>0</v>
      </c>
      <c r="BV466" s="57">
        <f t="shared" si="345"/>
        <v>0</v>
      </c>
      <c r="BW466" s="57">
        <f t="shared" si="346"/>
        <v>0</v>
      </c>
      <c r="BX466" s="57">
        <f t="shared" si="370"/>
        <v>0</v>
      </c>
      <c r="BY466" s="57">
        <f t="shared" si="328"/>
        <v>0</v>
      </c>
      <c r="BZ466" s="8">
        <f t="shared" si="347"/>
        <v>0</v>
      </c>
      <c r="CA466" s="8">
        <f t="shared" si="348"/>
        <v>0</v>
      </c>
      <c r="CB466" s="8">
        <f t="shared" si="349"/>
        <v>0</v>
      </c>
      <c r="CC466" s="8">
        <f t="shared" si="350"/>
        <v>0</v>
      </c>
      <c r="CD466" s="8">
        <f t="shared" si="351"/>
        <v>0</v>
      </c>
      <c r="CE466" s="8">
        <f t="shared" si="352"/>
        <v>0</v>
      </c>
      <c r="CF466" s="8">
        <f t="shared" si="353"/>
        <v>0</v>
      </c>
      <c r="CG466" s="8">
        <f t="shared" si="354"/>
        <v>0</v>
      </c>
      <c r="CH466" s="8">
        <f t="shared" si="355"/>
        <v>0</v>
      </c>
      <c r="CI466" s="8">
        <f t="shared" si="356"/>
        <v>0</v>
      </c>
      <c r="CJ466" s="8">
        <f t="shared" si="357"/>
        <v>0</v>
      </c>
      <c r="CK466" s="8">
        <f t="shared" si="358"/>
        <v>0</v>
      </c>
      <c r="CL466" s="8">
        <f t="shared" si="359"/>
        <v>0</v>
      </c>
      <c r="CM466" s="8">
        <f t="shared" si="360"/>
        <v>0</v>
      </c>
      <c r="CN466" s="8">
        <f t="shared" si="361"/>
        <v>0</v>
      </c>
      <c r="CO466" s="8">
        <f t="shared" si="362"/>
        <v>0</v>
      </c>
      <c r="CP466" s="8">
        <f t="shared" si="363"/>
        <v>0</v>
      </c>
      <c r="CQ466" s="8">
        <f t="shared" si="364"/>
        <v>0</v>
      </c>
      <c r="CR466" s="8">
        <f t="shared" si="365"/>
        <v>0</v>
      </c>
      <c r="CS466" s="8">
        <f t="shared" si="366"/>
        <v>0</v>
      </c>
      <c r="CT466" s="8">
        <f t="shared" si="371"/>
        <v>0</v>
      </c>
      <c r="CU466" s="8">
        <f t="shared" si="372"/>
        <v>0</v>
      </c>
      <c r="CV466" s="8">
        <f t="shared" si="373"/>
        <v>0</v>
      </c>
    </row>
    <row r="467" spans="1:100" ht="20.5" thickTop="1" thickBot="1" x14ac:dyDescent="0.5">
      <c r="A467" s="32"/>
      <c r="B467" s="10"/>
      <c r="C467" s="10"/>
      <c r="D467" s="11"/>
      <c r="E467" s="10"/>
      <c r="F467" s="10"/>
      <c r="G467" s="19"/>
      <c r="H467" s="19"/>
      <c r="I467" s="19"/>
      <c r="J467" s="19"/>
      <c r="K467" s="10"/>
      <c r="L467" s="10"/>
      <c r="M467" s="10"/>
      <c r="N467" s="10"/>
      <c r="O467" s="18"/>
      <c r="P467" s="18"/>
      <c r="Q467" s="21"/>
      <c r="R467" s="20"/>
      <c r="S467" s="16">
        <f t="shared" si="329"/>
        <v>0</v>
      </c>
      <c r="T467" s="11"/>
      <c r="AS467" s="31">
        <f t="shared" si="330"/>
        <v>0</v>
      </c>
      <c r="AT467" s="31">
        <f t="shared" si="331"/>
        <v>0</v>
      </c>
      <c r="AU467" s="31">
        <f t="shared" si="332"/>
        <v>0</v>
      </c>
      <c r="AV467" s="31">
        <f t="shared" si="333"/>
        <v>0</v>
      </c>
      <c r="AW467" s="31">
        <f t="shared" si="334"/>
        <v>0</v>
      </c>
      <c r="AX467" s="31">
        <f t="shared" si="335"/>
        <v>0</v>
      </c>
      <c r="AY467" s="31">
        <f t="shared" si="336"/>
        <v>0</v>
      </c>
      <c r="AZ467" s="31">
        <f t="shared" si="337"/>
        <v>0</v>
      </c>
      <c r="BA467" s="31">
        <f t="shared" si="338"/>
        <v>0</v>
      </c>
      <c r="BB467" s="31">
        <f t="shared" si="367"/>
        <v>0</v>
      </c>
      <c r="BM467" s="8">
        <f t="shared" si="368"/>
        <v>0</v>
      </c>
      <c r="BN467" s="8">
        <f t="shared" si="339"/>
        <v>0</v>
      </c>
      <c r="BO467" s="8">
        <f t="shared" si="340"/>
        <v>0</v>
      </c>
      <c r="BQ467" s="8">
        <f t="shared" si="341"/>
        <v>0</v>
      </c>
      <c r="BR467" s="63">
        <f t="shared" si="342"/>
        <v>0</v>
      </c>
      <c r="BS467" s="63">
        <f t="shared" si="369"/>
        <v>0</v>
      </c>
      <c r="BT467" s="63">
        <f t="shared" si="343"/>
        <v>0</v>
      </c>
      <c r="BU467" s="63">
        <f t="shared" si="344"/>
        <v>0</v>
      </c>
      <c r="BV467" s="57">
        <f t="shared" si="345"/>
        <v>0</v>
      </c>
      <c r="BW467" s="57">
        <f t="shared" si="346"/>
        <v>0</v>
      </c>
      <c r="BX467" s="57">
        <f t="shared" si="370"/>
        <v>0</v>
      </c>
      <c r="BY467" s="57">
        <f t="shared" si="328"/>
        <v>0</v>
      </c>
      <c r="BZ467" s="8">
        <f t="shared" si="347"/>
        <v>0</v>
      </c>
      <c r="CA467" s="8">
        <f t="shared" si="348"/>
        <v>0</v>
      </c>
      <c r="CB467" s="8">
        <f t="shared" si="349"/>
        <v>0</v>
      </c>
      <c r="CC467" s="8">
        <f t="shared" si="350"/>
        <v>0</v>
      </c>
      <c r="CD467" s="8">
        <f t="shared" si="351"/>
        <v>0</v>
      </c>
      <c r="CE467" s="8">
        <f t="shared" si="352"/>
        <v>0</v>
      </c>
      <c r="CF467" s="8">
        <f t="shared" si="353"/>
        <v>0</v>
      </c>
      <c r="CG467" s="8">
        <f t="shared" si="354"/>
        <v>0</v>
      </c>
      <c r="CH467" s="8">
        <f t="shared" si="355"/>
        <v>0</v>
      </c>
      <c r="CI467" s="8">
        <f t="shared" si="356"/>
        <v>0</v>
      </c>
      <c r="CJ467" s="8">
        <f t="shared" si="357"/>
        <v>0</v>
      </c>
      <c r="CK467" s="8">
        <f t="shared" si="358"/>
        <v>0</v>
      </c>
      <c r="CL467" s="8">
        <f t="shared" si="359"/>
        <v>0</v>
      </c>
      <c r="CM467" s="8">
        <f t="shared" si="360"/>
        <v>0</v>
      </c>
      <c r="CN467" s="8">
        <f t="shared" si="361"/>
        <v>0</v>
      </c>
      <c r="CO467" s="8">
        <f t="shared" si="362"/>
        <v>0</v>
      </c>
      <c r="CP467" s="8">
        <f t="shared" si="363"/>
        <v>0</v>
      </c>
      <c r="CQ467" s="8">
        <f t="shared" si="364"/>
        <v>0</v>
      </c>
      <c r="CR467" s="8">
        <f t="shared" si="365"/>
        <v>0</v>
      </c>
      <c r="CS467" s="8">
        <f t="shared" si="366"/>
        <v>0</v>
      </c>
      <c r="CT467" s="8">
        <f t="shared" si="371"/>
        <v>0</v>
      </c>
      <c r="CU467" s="8">
        <f t="shared" si="372"/>
        <v>0</v>
      </c>
      <c r="CV467" s="8">
        <f t="shared" si="373"/>
        <v>0</v>
      </c>
    </row>
    <row r="468" spans="1:100" ht="20.5" thickTop="1" thickBot="1" x14ac:dyDescent="0.5">
      <c r="A468" s="32"/>
      <c r="B468" s="10"/>
      <c r="C468" s="10"/>
      <c r="D468" s="11"/>
      <c r="E468" s="10"/>
      <c r="F468" s="10"/>
      <c r="G468" s="19"/>
      <c r="H468" s="19"/>
      <c r="I468" s="19"/>
      <c r="J468" s="19"/>
      <c r="K468" s="10"/>
      <c r="L468" s="10"/>
      <c r="M468" s="10"/>
      <c r="N468" s="10"/>
      <c r="O468" s="18"/>
      <c r="P468" s="18"/>
      <c r="Q468" s="21"/>
      <c r="R468" s="20"/>
      <c r="S468" s="16">
        <f t="shared" si="329"/>
        <v>0</v>
      </c>
      <c r="T468" s="11"/>
      <c r="AS468" s="31">
        <f t="shared" si="330"/>
        <v>0</v>
      </c>
      <c r="AT468" s="31">
        <f t="shared" si="331"/>
        <v>0</v>
      </c>
      <c r="AU468" s="31">
        <f t="shared" si="332"/>
        <v>0</v>
      </c>
      <c r="AV468" s="31">
        <f t="shared" si="333"/>
        <v>0</v>
      </c>
      <c r="AW468" s="31">
        <f t="shared" si="334"/>
        <v>0</v>
      </c>
      <c r="AX468" s="31">
        <f t="shared" si="335"/>
        <v>0</v>
      </c>
      <c r="AY468" s="31">
        <f t="shared" si="336"/>
        <v>0</v>
      </c>
      <c r="AZ468" s="31">
        <f t="shared" si="337"/>
        <v>0</v>
      </c>
      <c r="BA468" s="31">
        <f t="shared" si="338"/>
        <v>0</v>
      </c>
      <c r="BB468" s="31">
        <f t="shared" si="367"/>
        <v>0</v>
      </c>
      <c r="BM468" s="8">
        <f t="shared" si="368"/>
        <v>0</v>
      </c>
      <c r="BN468" s="8">
        <f t="shared" si="339"/>
        <v>0</v>
      </c>
      <c r="BO468" s="8">
        <f t="shared" si="340"/>
        <v>0</v>
      </c>
      <c r="BQ468" s="8">
        <f t="shared" si="341"/>
        <v>0</v>
      </c>
      <c r="BR468" s="63">
        <f t="shared" si="342"/>
        <v>0</v>
      </c>
      <c r="BS468" s="63">
        <f t="shared" si="369"/>
        <v>0</v>
      </c>
      <c r="BT468" s="63">
        <f t="shared" si="343"/>
        <v>0</v>
      </c>
      <c r="BU468" s="63">
        <f t="shared" si="344"/>
        <v>0</v>
      </c>
      <c r="BV468" s="57">
        <f t="shared" si="345"/>
        <v>0</v>
      </c>
      <c r="BW468" s="57">
        <f t="shared" si="346"/>
        <v>0</v>
      </c>
      <c r="BX468" s="57">
        <f t="shared" si="370"/>
        <v>0</v>
      </c>
      <c r="BY468" s="57">
        <f t="shared" si="328"/>
        <v>0</v>
      </c>
      <c r="BZ468" s="8">
        <f t="shared" si="347"/>
        <v>0</v>
      </c>
      <c r="CA468" s="8">
        <f t="shared" si="348"/>
        <v>0</v>
      </c>
      <c r="CB468" s="8">
        <f t="shared" si="349"/>
        <v>0</v>
      </c>
      <c r="CC468" s="8">
        <f t="shared" si="350"/>
        <v>0</v>
      </c>
      <c r="CD468" s="8">
        <f t="shared" si="351"/>
        <v>0</v>
      </c>
      <c r="CE468" s="8">
        <f t="shared" si="352"/>
        <v>0</v>
      </c>
      <c r="CF468" s="8">
        <f t="shared" si="353"/>
        <v>0</v>
      </c>
      <c r="CG468" s="8">
        <f t="shared" si="354"/>
        <v>0</v>
      </c>
      <c r="CH468" s="8">
        <f t="shared" si="355"/>
        <v>0</v>
      </c>
      <c r="CI468" s="8">
        <f t="shared" si="356"/>
        <v>0</v>
      </c>
      <c r="CJ468" s="8">
        <f t="shared" si="357"/>
        <v>0</v>
      </c>
      <c r="CK468" s="8">
        <f t="shared" si="358"/>
        <v>0</v>
      </c>
      <c r="CL468" s="8">
        <f t="shared" si="359"/>
        <v>0</v>
      </c>
      <c r="CM468" s="8">
        <f t="shared" si="360"/>
        <v>0</v>
      </c>
      <c r="CN468" s="8">
        <f t="shared" si="361"/>
        <v>0</v>
      </c>
      <c r="CO468" s="8">
        <f t="shared" si="362"/>
        <v>0</v>
      </c>
      <c r="CP468" s="8">
        <f t="shared" si="363"/>
        <v>0</v>
      </c>
      <c r="CQ468" s="8">
        <f t="shared" si="364"/>
        <v>0</v>
      </c>
      <c r="CR468" s="8">
        <f t="shared" si="365"/>
        <v>0</v>
      </c>
      <c r="CS468" s="8">
        <f t="shared" si="366"/>
        <v>0</v>
      </c>
      <c r="CT468" s="8">
        <f t="shared" si="371"/>
        <v>0</v>
      </c>
      <c r="CU468" s="8">
        <f t="shared" si="372"/>
        <v>0</v>
      </c>
      <c r="CV468" s="8">
        <f t="shared" si="373"/>
        <v>0</v>
      </c>
    </row>
    <row r="469" spans="1:100" ht="20.5" thickTop="1" thickBot="1" x14ac:dyDescent="0.5">
      <c r="A469" s="32"/>
      <c r="B469" s="10"/>
      <c r="C469" s="10"/>
      <c r="D469" s="11"/>
      <c r="E469" s="10"/>
      <c r="F469" s="10"/>
      <c r="G469" s="19"/>
      <c r="H469" s="19"/>
      <c r="I469" s="19"/>
      <c r="J469" s="19"/>
      <c r="K469" s="10"/>
      <c r="L469" s="10"/>
      <c r="M469" s="10"/>
      <c r="N469" s="10"/>
      <c r="O469" s="18"/>
      <c r="P469" s="18"/>
      <c r="Q469" s="21"/>
      <c r="R469" s="20"/>
      <c r="S469" s="16">
        <f t="shared" si="329"/>
        <v>0</v>
      </c>
      <c r="T469" s="11"/>
      <c r="AS469" s="31">
        <f t="shared" si="330"/>
        <v>0</v>
      </c>
      <c r="AT469" s="31">
        <f t="shared" si="331"/>
        <v>0</v>
      </c>
      <c r="AU469" s="31">
        <f t="shared" si="332"/>
        <v>0</v>
      </c>
      <c r="AV469" s="31">
        <f t="shared" si="333"/>
        <v>0</v>
      </c>
      <c r="AW469" s="31">
        <f t="shared" si="334"/>
        <v>0</v>
      </c>
      <c r="AX469" s="31">
        <f t="shared" si="335"/>
        <v>0</v>
      </c>
      <c r="AY469" s="31">
        <f t="shared" si="336"/>
        <v>0</v>
      </c>
      <c r="AZ469" s="31">
        <f t="shared" si="337"/>
        <v>0</v>
      </c>
      <c r="BA469" s="31">
        <f t="shared" si="338"/>
        <v>0</v>
      </c>
      <c r="BB469" s="31">
        <f t="shared" si="367"/>
        <v>0</v>
      </c>
      <c r="BM469" s="8">
        <f t="shared" si="368"/>
        <v>0</v>
      </c>
      <c r="BN469" s="8">
        <f t="shared" si="339"/>
        <v>0</v>
      </c>
      <c r="BO469" s="8">
        <f t="shared" si="340"/>
        <v>0</v>
      </c>
      <c r="BQ469" s="8">
        <f t="shared" si="341"/>
        <v>0</v>
      </c>
      <c r="BR469" s="63">
        <f t="shared" si="342"/>
        <v>0</v>
      </c>
      <c r="BS469" s="63">
        <f t="shared" si="369"/>
        <v>0</v>
      </c>
      <c r="BT469" s="63">
        <f t="shared" si="343"/>
        <v>0</v>
      </c>
      <c r="BU469" s="63">
        <f t="shared" si="344"/>
        <v>0</v>
      </c>
      <c r="BV469" s="57">
        <f t="shared" si="345"/>
        <v>0</v>
      </c>
      <c r="BW469" s="57">
        <f t="shared" si="346"/>
        <v>0</v>
      </c>
      <c r="BX469" s="57">
        <f t="shared" si="370"/>
        <v>0</v>
      </c>
      <c r="BY469" s="57">
        <f t="shared" si="328"/>
        <v>0</v>
      </c>
      <c r="BZ469" s="8">
        <f t="shared" si="347"/>
        <v>0</v>
      </c>
      <c r="CA469" s="8">
        <f t="shared" si="348"/>
        <v>0</v>
      </c>
      <c r="CB469" s="8">
        <f t="shared" si="349"/>
        <v>0</v>
      </c>
      <c r="CC469" s="8">
        <f t="shared" si="350"/>
        <v>0</v>
      </c>
      <c r="CD469" s="8">
        <f t="shared" si="351"/>
        <v>0</v>
      </c>
      <c r="CE469" s="8">
        <f t="shared" si="352"/>
        <v>0</v>
      </c>
      <c r="CF469" s="8">
        <f t="shared" si="353"/>
        <v>0</v>
      </c>
      <c r="CG469" s="8">
        <f t="shared" si="354"/>
        <v>0</v>
      </c>
      <c r="CH469" s="8">
        <f t="shared" si="355"/>
        <v>0</v>
      </c>
      <c r="CI469" s="8">
        <f t="shared" si="356"/>
        <v>0</v>
      </c>
      <c r="CJ469" s="8">
        <f t="shared" si="357"/>
        <v>0</v>
      </c>
      <c r="CK469" s="8">
        <f t="shared" si="358"/>
        <v>0</v>
      </c>
      <c r="CL469" s="8">
        <f t="shared" si="359"/>
        <v>0</v>
      </c>
      <c r="CM469" s="8">
        <f t="shared" si="360"/>
        <v>0</v>
      </c>
      <c r="CN469" s="8">
        <f t="shared" si="361"/>
        <v>0</v>
      </c>
      <c r="CO469" s="8">
        <f t="shared" si="362"/>
        <v>0</v>
      </c>
      <c r="CP469" s="8">
        <f t="shared" si="363"/>
        <v>0</v>
      </c>
      <c r="CQ469" s="8">
        <f t="shared" si="364"/>
        <v>0</v>
      </c>
      <c r="CR469" s="8">
        <f t="shared" si="365"/>
        <v>0</v>
      </c>
      <c r="CS469" s="8">
        <f t="shared" si="366"/>
        <v>0</v>
      </c>
      <c r="CT469" s="8">
        <f t="shared" si="371"/>
        <v>0</v>
      </c>
      <c r="CU469" s="8">
        <f t="shared" si="372"/>
        <v>0</v>
      </c>
      <c r="CV469" s="8">
        <f t="shared" si="373"/>
        <v>0</v>
      </c>
    </row>
    <row r="470" spans="1:100" ht="20.5" thickTop="1" thickBot="1" x14ac:dyDescent="0.5">
      <c r="A470" s="32"/>
      <c r="B470" s="10"/>
      <c r="C470" s="10"/>
      <c r="D470" s="11"/>
      <c r="E470" s="10"/>
      <c r="F470" s="10"/>
      <c r="G470" s="19"/>
      <c r="H470" s="19"/>
      <c r="I470" s="19"/>
      <c r="J470" s="19"/>
      <c r="K470" s="10"/>
      <c r="L470" s="10"/>
      <c r="M470" s="10"/>
      <c r="N470" s="10"/>
      <c r="O470" s="18"/>
      <c r="P470" s="18"/>
      <c r="Q470" s="21"/>
      <c r="R470" s="20"/>
      <c r="S470" s="16">
        <f t="shared" si="329"/>
        <v>0</v>
      </c>
      <c r="T470" s="11"/>
      <c r="AS470" s="31">
        <f t="shared" si="330"/>
        <v>0</v>
      </c>
      <c r="AT470" s="31">
        <f t="shared" si="331"/>
        <v>0</v>
      </c>
      <c r="AU470" s="31">
        <f t="shared" si="332"/>
        <v>0</v>
      </c>
      <c r="AV470" s="31">
        <f t="shared" si="333"/>
        <v>0</v>
      </c>
      <c r="AW470" s="31">
        <f t="shared" si="334"/>
        <v>0</v>
      </c>
      <c r="AX470" s="31">
        <f t="shared" si="335"/>
        <v>0</v>
      </c>
      <c r="AY470" s="31">
        <f t="shared" si="336"/>
        <v>0</v>
      </c>
      <c r="AZ470" s="31">
        <f t="shared" si="337"/>
        <v>0</v>
      </c>
      <c r="BA470" s="31">
        <f t="shared" si="338"/>
        <v>0</v>
      </c>
      <c r="BB470" s="31">
        <f t="shared" si="367"/>
        <v>0</v>
      </c>
      <c r="BM470" s="8">
        <f t="shared" si="368"/>
        <v>0</v>
      </c>
      <c r="BN470" s="8">
        <f t="shared" si="339"/>
        <v>0</v>
      </c>
      <c r="BO470" s="8">
        <f t="shared" si="340"/>
        <v>0</v>
      </c>
      <c r="BQ470" s="8">
        <f t="shared" si="341"/>
        <v>0</v>
      </c>
      <c r="BR470" s="63">
        <f t="shared" si="342"/>
        <v>0</v>
      </c>
      <c r="BS470" s="63">
        <f t="shared" si="369"/>
        <v>0</v>
      </c>
      <c r="BT470" s="63">
        <f t="shared" si="343"/>
        <v>0</v>
      </c>
      <c r="BU470" s="63">
        <f t="shared" si="344"/>
        <v>0</v>
      </c>
      <c r="BV470" s="57">
        <f t="shared" si="345"/>
        <v>0</v>
      </c>
      <c r="BW470" s="57">
        <f t="shared" si="346"/>
        <v>0</v>
      </c>
      <c r="BX470" s="57">
        <f t="shared" si="370"/>
        <v>0</v>
      </c>
      <c r="BY470" s="57">
        <f t="shared" si="328"/>
        <v>0</v>
      </c>
      <c r="BZ470" s="8">
        <f t="shared" si="347"/>
        <v>0</v>
      </c>
      <c r="CA470" s="8">
        <f t="shared" si="348"/>
        <v>0</v>
      </c>
      <c r="CB470" s="8">
        <f t="shared" si="349"/>
        <v>0</v>
      </c>
      <c r="CC470" s="8">
        <f t="shared" si="350"/>
        <v>0</v>
      </c>
      <c r="CD470" s="8">
        <f t="shared" si="351"/>
        <v>0</v>
      </c>
      <c r="CE470" s="8">
        <f t="shared" si="352"/>
        <v>0</v>
      </c>
      <c r="CF470" s="8">
        <f t="shared" si="353"/>
        <v>0</v>
      </c>
      <c r="CG470" s="8">
        <f t="shared" si="354"/>
        <v>0</v>
      </c>
      <c r="CH470" s="8">
        <f t="shared" si="355"/>
        <v>0</v>
      </c>
      <c r="CI470" s="8">
        <f t="shared" si="356"/>
        <v>0</v>
      </c>
      <c r="CJ470" s="8">
        <f t="shared" si="357"/>
        <v>0</v>
      </c>
      <c r="CK470" s="8">
        <f t="shared" si="358"/>
        <v>0</v>
      </c>
      <c r="CL470" s="8">
        <f t="shared" si="359"/>
        <v>0</v>
      </c>
      <c r="CM470" s="8">
        <f t="shared" si="360"/>
        <v>0</v>
      </c>
      <c r="CN470" s="8">
        <f t="shared" si="361"/>
        <v>0</v>
      </c>
      <c r="CO470" s="8">
        <f t="shared" si="362"/>
        <v>0</v>
      </c>
      <c r="CP470" s="8">
        <f t="shared" si="363"/>
        <v>0</v>
      </c>
      <c r="CQ470" s="8">
        <f t="shared" si="364"/>
        <v>0</v>
      </c>
      <c r="CR470" s="8">
        <f t="shared" si="365"/>
        <v>0</v>
      </c>
      <c r="CS470" s="8">
        <f t="shared" si="366"/>
        <v>0</v>
      </c>
      <c r="CT470" s="8">
        <f t="shared" si="371"/>
        <v>0</v>
      </c>
      <c r="CU470" s="8">
        <f t="shared" si="372"/>
        <v>0</v>
      </c>
      <c r="CV470" s="8">
        <f t="shared" si="373"/>
        <v>0</v>
      </c>
    </row>
    <row r="471" spans="1:100" ht="20.5" thickTop="1" thickBot="1" x14ac:dyDescent="0.5">
      <c r="A471" s="32"/>
      <c r="B471" s="10"/>
      <c r="C471" s="10"/>
      <c r="D471" s="11"/>
      <c r="E471" s="10"/>
      <c r="F471" s="10"/>
      <c r="G471" s="19"/>
      <c r="H471" s="19"/>
      <c r="I471" s="19"/>
      <c r="J471" s="19"/>
      <c r="K471" s="10"/>
      <c r="L471" s="10"/>
      <c r="M471" s="10"/>
      <c r="N471" s="10"/>
      <c r="O471" s="18"/>
      <c r="P471" s="18"/>
      <c r="Q471" s="21"/>
      <c r="R471" s="20"/>
      <c r="S471" s="16">
        <f t="shared" si="329"/>
        <v>0</v>
      </c>
      <c r="T471" s="11"/>
      <c r="AS471" s="31">
        <f t="shared" si="330"/>
        <v>0</v>
      </c>
      <c r="AT471" s="31">
        <f t="shared" si="331"/>
        <v>0</v>
      </c>
      <c r="AU471" s="31">
        <f t="shared" si="332"/>
        <v>0</v>
      </c>
      <c r="AV471" s="31">
        <f t="shared" si="333"/>
        <v>0</v>
      </c>
      <c r="AW471" s="31">
        <f t="shared" si="334"/>
        <v>0</v>
      </c>
      <c r="AX471" s="31">
        <f t="shared" si="335"/>
        <v>0</v>
      </c>
      <c r="AY471" s="31">
        <f t="shared" si="336"/>
        <v>0</v>
      </c>
      <c r="AZ471" s="31">
        <f t="shared" si="337"/>
        <v>0</v>
      </c>
      <c r="BA471" s="31">
        <f t="shared" si="338"/>
        <v>0</v>
      </c>
      <c r="BB471" s="31">
        <f t="shared" si="367"/>
        <v>0</v>
      </c>
      <c r="BM471" s="8">
        <f t="shared" si="368"/>
        <v>0</v>
      </c>
      <c r="BN471" s="8">
        <f t="shared" si="339"/>
        <v>0</v>
      </c>
      <c r="BO471" s="8">
        <f t="shared" si="340"/>
        <v>0</v>
      </c>
      <c r="BQ471" s="8">
        <f t="shared" si="341"/>
        <v>0</v>
      </c>
      <c r="BR471" s="63">
        <f t="shared" si="342"/>
        <v>0</v>
      </c>
      <c r="BS471" s="63">
        <f t="shared" si="369"/>
        <v>0</v>
      </c>
      <c r="BT471" s="63">
        <f t="shared" si="343"/>
        <v>0</v>
      </c>
      <c r="BU471" s="63">
        <f t="shared" si="344"/>
        <v>0</v>
      </c>
      <c r="BV471" s="57">
        <f t="shared" si="345"/>
        <v>0</v>
      </c>
      <c r="BW471" s="57">
        <f t="shared" si="346"/>
        <v>0</v>
      </c>
      <c r="BX471" s="57">
        <f t="shared" si="370"/>
        <v>0</v>
      </c>
      <c r="BY471" s="57">
        <f t="shared" si="328"/>
        <v>0</v>
      </c>
      <c r="BZ471" s="8">
        <f t="shared" si="347"/>
        <v>0</v>
      </c>
      <c r="CA471" s="8">
        <f t="shared" si="348"/>
        <v>0</v>
      </c>
      <c r="CB471" s="8">
        <f t="shared" si="349"/>
        <v>0</v>
      </c>
      <c r="CC471" s="8">
        <f t="shared" si="350"/>
        <v>0</v>
      </c>
      <c r="CD471" s="8">
        <f t="shared" si="351"/>
        <v>0</v>
      </c>
      <c r="CE471" s="8">
        <f t="shared" si="352"/>
        <v>0</v>
      </c>
      <c r="CF471" s="8">
        <f t="shared" si="353"/>
        <v>0</v>
      </c>
      <c r="CG471" s="8">
        <f t="shared" si="354"/>
        <v>0</v>
      </c>
      <c r="CH471" s="8">
        <f t="shared" si="355"/>
        <v>0</v>
      </c>
      <c r="CI471" s="8">
        <f t="shared" si="356"/>
        <v>0</v>
      </c>
      <c r="CJ471" s="8">
        <f t="shared" si="357"/>
        <v>0</v>
      </c>
      <c r="CK471" s="8">
        <f t="shared" si="358"/>
        <v>0</v>
      </c>
      <c r="CL471" s="8">
        <f t="shared" si="359"/>
        <v>0</v>
      </c>
      <c r="CM471" s="8">
        <f t="shared" si="360"/>
        <v>0</v>
      </c>
      <c r="CN471" s="8">
        <f t="shared" si="361"/>
        <v>0</v>
      </c>
      <c r="CO471" s="8">
        <f t="shared" si="362"/>
        <v>0</v>
      </c>
      <c r="CP471" s="8">
        <f t="shared" si="363"/>
        <v>0</v>
      </c>
      <c r="CQ471" s="8">
        <f t="shared" si="364"/>
        <v>0</v>
      </c>
      <c r="CR471" s="8">
        <f t="shared" si="365"/>
        <v>0</v>
      </c>
      <c r="CS471" s="8">
        <f t="shared" si="366"/>
        <v>0</v>
      </c>
      <c r="CT471" s="8">
        <f t="shared" si="371"/>
        <v>0</v>
      </c>
      <c r="CU471" s="8">
        <f t="shared" si="372"/>
        <v>0</v>
      </c>
      <c r="CV471" s="8">
        <f t="shared" si="373"/>
        <v>0</v>
      </c>
    </row>
    <row r="472" spans="1:100" ht="20.5" thickTop="1" thickBot="1" x14ac:dyDescent="0.5">
      <c r="A472" s="32"/>
      <c r="B472" s="10"/>
      <c r="C472" s="10"/>
      <c r="D472" s="11"/>
      <c r="E472" s="10"/>
      <c r="F472" s="10"/>
      <c r="G472" s="19"/>
      <c r="H472" s="19"/>
      <c r="I472" s="19"/>
      <c r="J472" s="19"/>
      <c r="K472" s="10"/>
      <c r="L472" s="10"/>
      <c r="M472" s="10"/>
      <c r="N472" s="10"/>
      <c r="O472" s="18"/>
      <c r="P472" s="18"/>
      <c r="Q472" s="21"/>
      <c r="R472" s="20"/>
      <c r="S472" s="16">
        <f t="shared" si="329"/>
        <v>0</v>
      </c>
      <c r="T472" s="11"/>
      <c r="AS472" s="31">
        <f t="shared" si="330"/>
        <v>0</v>
      </c>
      <c r="AT472" s="31">
        <f t="shared" si="331"/>
        <v>0</v>
      </c>
      <c r="AU472" s="31">
        <f t="shared" si="332"/>
        <v>0</v>
      </c>
      <c r="AV472" s="31">
        <f t="shared" si="333"/>
        <v>0</v>
      </c>
      <c r="AW472" s="31">
        <f t="shared" si="334"/>
        <v>0</v>
      </c>
      <c r="AX472" s="31">
        <f t="shared" si="335"/>
        <v>0</v>
      </c>
      <c r="AY472" s="31">
        <f t="shared" si="336"/>
        <v>0</v>
      </c>
      <c r="AZ472" s="31">
        <f t="shared" si="337"/>
        <v>0</v>
      </c>
      <c r="BA472" s="31">
        <f t="shared" si="338"/>
        <v>0</v>
      </c>
      <c r="BB472" s="31">
        <f t="shared" si="367"/>
        <v>0</v>
      </c>
      <c r="BM472" s="8">
        <f t="shared" si="368"/>
        <v>0</v>
      </c>
      <c r="BN472" s="8">
        <f t="shared" si="339"/>
        <v>0</v>
      </c>
      <c r="BO472" s="8">
        <f t="shared" si="340"/>
        <v>0</v>
      </c>
      <c r="BQ472" s="8">
        <f t="shared" si="341"/>
        <v>0</v>
      </c>
      <c r="BR472" s="63">
        <f t="shared" si="342"/>
        <v>0</v>
      </c>
      <c r="BS472" s="63">
        <f t="shared" si="369"/>
        <v>0</v>
      </c>
      <c r="BT472" s="63">
        <f t="shared" si="343"/>
        <v>0</v>
      </c>
      <c r="BU472" s="63">
        <f t="shared" si="344"/>
        <v>0</v>
      </c>
      <c r="BV472" s="57">
        <f t="shared" si="345"/>
        <v>0</v>
      </c>
      <c r="BW472" s="57">
        <f t="shared" si="346"/>
        <v>0</v>
      </c>
      <c r="BX472" s="57">
        <f t="shared" si="370"/>
        <v>0</v>
      </c>
      <c r="BY472" s="57">
        <f t="shared" si="328"/>
        <v>0</v>
      </c>
      <c r="BZ472" s="8">
        <f t="shared" si="347"/>
        <v>0</v>
      </c>
      <c r="CA472" s="8">
        <f t="shared" si="348"/>
        <v>0</v>
      </c>
      <c r="CB472" s="8">
        <f t="shared" si="349"/>
        <v>0</v>
      </c>
      <c r="CC472" s="8">
        <f t="shared" si="350"/>
        <v>0</v>
      </c>
      <c r="CD472" s="8">
        <f t="shared" si="351"/>
        <v>0</v>
      </c>
      <c r="CE472" s="8">
        <f t="shared" si="352"/>
        <v>0</v>
      </c>
      <c r="CF472" s="8">
        <f t="shared" si="353"/>
        <v>0</v>
      </c>
      <c r="CG472" s="8">
        <f t="shared" si="354"/>
        <v>0</v>
      </c>
      <c r="CH472" s="8">
        <f t="shared" si="355"/>
        <v>0</v>
      </c>
      <c r="CI472" s="8">
        <f t="shared" si="356"/>
        <v>0</v>
      </c>
      <c r="CJ472" s="8">
        <f t="shared" si="357"/>
        <v>0</v>
      </c>
      <c r="CK472" s="8">
        <f t="shared" si="358"/>
        <v>0</v>
      </c>
      <c r="CL472" s="8">
        <f t="shared" si="359"/>
        <v>0</v>
      </c>
      <c r="CM472" s="8">
        <f t="shared" si="360"/>
        <v>0</v>
      </c>
      <c r="CN472" s="8">
        <f t="shared" si="361"/>
        <v>0</v>
      </c>
      <c r="CO472" s="8">
        <f t="shared" si="362"/>
        <v>0</v>
      </c>
      <c r="CP472" s="8">
        <f t="shared" si="363"/>
        <v>0</v>
      </c>
      <c r="CQ472" s="8">
        <f t="shared" si="364"/>
        <v>0</v>
      </c>
      <c r="CR472" s="8">
        <f t="shared" si="365"/>
        <v>0</v>
      </c>
      <c r="CS472" s="8">
        <f t="shared" si="366"/>
        <v>0</v>
      </c>
      <c r="CT472" s="8">
        <f t="shared" si="371"/>
        <v>0</v>
      </c>
      <c r="CU472" s="8">
        <f t="shared" si="372"/>
        <v>0</v>
      </c>
      <c r="CV472" s="8">
        <f t="shared" si="373"/>
        <v>0</v>
      </c>
    </row>
    <row r="473" spans="1:100" ht="20.5" thickTop="1" thickBot="1" x14ac:dyDescent="0.5">
      <c r="A473" s="32"/>
      <c r="B473" s="10"/>
      <c r="C473" s="10"/>
      <c r="D473" s="11"/>
      <c r="E473" s="10"/>
      <c r="F473" s="10"/>
      <c r="G473" s="19"/>
      <c r="H473" s="19"/>
      <c r="I473" s="19"/>
      <c r="J473" s="19"/>
      <c r="K473" s="10"/>
      <c r="L473" s="10"/>
      <c r="M473" s="10"/>
      <c r="N473" s="10"/>
      <c r="O473" s="18"/>
      <c r="P473" s="18"/>
      <c r="Q473" s="21"/>
      <c r="R473" s="20"/>
      <c r="S473" s="16">
        <f t="shared" si="329"/>
        <v>0</v>
      </c>
      <c r="T473" s="11"/>
      <c r="AS473" s="31">
        <f t="shared" si="330"/>
        <v>0</v>
      </c>
      <c r="AT473" s="31">
        <f t="shared" si="331"/>
        <v>0</v>
      </c>
      <c r="AU473" s="31">
        <f t="shared" si="332"/>
        <v>0</v>
      </c>
      <c r="AV473" s="31">
        <f t="shared" si="333"/>
        <v>0</v>
      </c>
      <c r="AW473" s="31">
        <f t="shared" si="334"/>
        <v>0</v>
      </c>
      <c r="AX473" s="31">
        <f t="shared" si="335"/>
        <v>0</v>
      </c>
      <c r="AY473" s="31">
        <f t="shared" si="336"/>
        <v>0</v>
      </c>
      <c r="AZ473" s="31">
        <f t="shared" si="337"/>
        <v>0</v>
      </c>
      <c r="BA473" s="31">
        <f t="shared" si="338"/>
        <v>0</v>
      </c>
      <c r="BB473" s="31">
        <f t="shared" si="367"/>
        <v>0</v>
      </c>
      <c r="BM473" s="8">
        <f t="shared" si="368"/>
        <v>0</v>
      </c>
      <c r="BN473" s="8">
        <f t="shared" si="339"/>
        <v>0</v>
      </c>
      <c r="BO473" s="8">
        <f t="shared" si="340"/>
        <v>0</v>
      </c>
      <c r="BQ473" s="8">
        <f t="shared" si="341"/>
        <v>0</v>
      </c>
      <c r="BR473" s="63">
        <f t="shared" si="342"/>
        <v>0</v>
      </c>
      <c r="BS473" s="63">
        <f t="shared" si="369"/>
        <v>0</v>
      </c>
      <c r="BT473" s="63">
        <f t="shared" si="343"/>
        <v>0</v>
      </c>
      <c r="BU473" s="63">
        <f t="shared" si="344"/>
        <v>0</v>
      </c>
      <c r="BV473" s="57">
        <f t="shared" si="345"/>
        <v>0</v>
      </c>
      <c r="BW473" s="57">
        <f t="shared" si="346"/>
        <v>0</v>
      </c>
      <c r="BX473" s="57">
        <f t="shared" si="370"/>
        <v>0</v>
      </c>
      <c r="BY473" s="57">
        <f t="shared" si="328"/>
        <v>0</v>
      </c>
      <c r="BZ473" s="8">
        <f t="shared" si="347"/>
        <v>0</v>
      </c>
      <c r="CA473" s="8">
        <f t="shared" si="348"/>
        <v>0</v>
      </c>
      <c r="CB473" s="8">
        <f t="shared" si="349"/>
        <v>0</v>
      </c>
      <c r="CC473" s="8">
        <f t="shared" si="350"/>
        <v>0</v>
      </c>
      <c r="CD473" s="8">
        <f t="shared" si="351"/>
        <v>0</v>
      </c>
      <c r="CE473" s="8">
        <f t="shared" si="352"/>
        <v>0</v>
      </c>
      <c r="CF473" s="8">
        <f t="shared" si="353"/>
        <v>0</v>
      </c>
      <c r="CG473" s="8">
        <f t="shared" si="354"/>
        <v>0</v>
      </c>
      <c r="CH473" s="8">
        <f t="shared" si="355"/>
        <v>0</v>
      </c>
      <c r="CI473" s="8">
        <f t="shared" si="356"/>
        <v>0</v>
      </c>
      <c r="CJ473" s="8">
        <f t="shared" si="357"/>
        <v>0</v>
      </c>
      <c r="CK473" s="8">
        <f t="shared" si="358"/>
        <v>0</v>
      </c>
      <c r="CL473" s="8">
        <f t="shared" si="359"/>
        <v>0</v>
      </c>
      <c r="CM473" s="8">
        <f t="shared" si="360"/>
        <v>0</v>
      </c>
      <c r="CN473" s="8">
        <f t="shared" si="361"/>
        <v>0</v>
      </c>
      <c r="CO473" s="8">
        <f t="shared" si="362"/>
        <v>0</v>
      </c>
      <c r="CP473" s="8">
        <f t="shared" si="363"/>
        <v>0</v>
      </c>
      <c r="CQ473" s="8">
        <f t="shared" si="364"/>
        <v>0</v>
      </c>
      <c r="CR473" s="8">
        <f t="shared" si="365"/>
        <v>0</v>
      </c>
      <c r="CS473" s="8">
        <f t="shared" si="366"/>
        <v>0</v>
      </c>
      <c r="CT473" s="8">
        <f t="shared" si="371"/>
        <v>0</v>
      </c>
      <c r="CU473" s="8">
        <f t="shared" si="372"/>
        <v>0</v>
      </c>
      <c r="CV473" s="8">
        <f t="shared" si="373"/>
        <v>0</v>
      </c>
    </row>
    <row r="474" spans="1:100" ht="20.5" thickTop="1" thickBot="1" x14ac:dyDescent="0.5">
      <c r="A474" s="32"/>
      <c r="B474" s="10"/>
      <c r="C474" s="10"/>
      <c r="D474" s="11"/>
      <c r="E474" s="10"/>
      <c r="F474" s="10"/>
      <c r="G474" s="19"/>
      <c r="H474" s="19"/>
      <c r="I474" s="19"/>
      <c r="J474" s="19"/>
      <c r="K474" s="10"/>
      <c r="L474" s="10"/>
      <c r="M474" s="10"/>
      <c r="N474" s="10"/>
      <c r="O474" s="18"/>
      <c r="P474" s="18"/>
      <c r="Q474" s="21"/>
      <c r="R474" s="20"/>
      <c r="S474" s="16">
        <f t="shared" si="329"/>
        <v>0</v>
      </c>
      <c r="T474" s="11"/>
      <c r="AS474" s="31">
        <f t="shared" si="330"/>
        <v>0</v>
      </c>
      <c r="AT474" s="31">
        <f t="shared" si="331"/>
        <v>0</v>
      </c>
      <c r="AU474" s="31">
        <f t="shared" si="332"/>
        <v>0</v>
      </c>
      <c r="AV474" s="31">
        <f t="shared" si="333"/>
        <v>0</v>
      </c>
      <c r="AW474" s="31">
        <f t="shared" si="334"/>
        <v>0</v>
      </c>
      <c r="AX474" s="31">
        <f t="shared" si="335"/>
        <v>0</v>
      </c>
      <c r="AY474" s="31">
        <f t="shared" si="336"/>
        <v>0</v>
      </c>
      <c r="AZ474" s="31">
        <f t="shared" si="337"/>
        <v>0</v>
      </c>
      <c r="BA474" s="31">
        <f t="shared" si="338"/>
        <v>0</v>
      </c>
      <c r="BB474" s="31">
        <f t="shared" si="367"/>
        <v>0</v>
      </c>
      <c r="BM474" s="8">
        <f t="shared" si="368"/>
        <v>0</v>
      </c>
      <c r="BN474" s="8">
        <f t="shared" si="339"/>
        <v>0</v>
      </c>
      <c r="BO474" s="8">
        <f t="shared" si="340"/>
        <v>0</v>
      </c>
      <c r="BQ474" s="8">
        <f t="shared" si="341"/>
        <v>0</v>
      </c>
      <c r="BR474" s="63">
        <f t="shared" si="342"/>
        <v>0</v>
      </c>
      <c r="BS474" s="63">
        <f t="shared" si="369"/>
        <v>0</v>
      </c>
      <c r="BT474" s="63">
        <f t="shared" si="343"/>
        <v>0</v>
      </c>
      <c r="BU474" s="63">
        <f t="shared" si="344"/>
        <v>0</v>
      </c>
      <c r="BV474" s="57">
        <f t="shared" si="345"/>
        <v>0</v>
      </c>
      <c r="BW474" s="57">
        <f t="shared" si="346"/>
        <v>0</v>
      </c>
      <c r="BX474" s="57">
        <f t="shared" si="370"/>
        <v>0</v>
      </c>
      <c r="BY474" s="57">
        <f t="shared" si="328"/>
        <v>0</v>
      </c>
      <c r="BZ474" s="8">
        <f t="shared" si="347"/>
        <v>0</v>
      </c>
      <c r="CA474" s="8">
        <f t="shared" si="348"/>
        <v>0</v>
      </c>
      <c r="CB474" s="8">
        <f t="shared" si="349"/>
        <v>0</v>
      </c>
      <c r="CC474" s="8">
        <f t="shared" si="350"/>
        <v>0</v>
      </c>
      <c r="CD474" s="8">
        <f t="shared" si="351"/>
        <v>0</v>
      </c>
      <c r="CE474" s="8">
        <f t="shared" si="352"/>
        <v>0</v>
      </c>
      <c r="CF474" s="8">
        <f t="shared" si="353"/>
        <v>0</v>
      </c>
      <c r="CG474" s="8">
        <f t="shared" si="354"/>
        <v>0</v>
      </c>
      <c r="CH474" s="8">
        <f t="shared" si="355"/>
        <v>0</v>
      </c>
      <c r="CI474" s="8">
        <f t="shared" si="356"/>
        <v>0</v>
      </c>
      <c r="CJ474" s="8">
        <f t="shared" si="357"/>
        <v>0</v>
      </c>
      <c r="CK474" s="8">
        <f t="shared" si="358"/>
        <v>0</v>
      </c>
      <c r="CL474" s="8">
        <f t="shared" si="359"/>
        <v>0</v>
      </c>
      <c r="CM474" s="8">
        <f t="shared" si="360"/>
        <v>0</v>
      </c>
      <c r="CN474" s="8">
        <f t="shared" si="361"/>
        <v>0</v>
      </c>
      <c r="CO474" s="8">
        <f t="shared" si="362"/>
        <v>0</v>
      </c>
      <c r="CP474" s="8">
        <f t="shared" si="363"/>
        <v>0</v>
      </c>
      <c r="CQ474" s="8">
        <f t="shared" si="364"/>
        <v>0</v>
      </c>
      <c r="CR474" s="8">
        <f t="shared" si="365"/>
        <v>0</v>
      </c>
      <c r="CS474" s="8">
        <f t="shared" si="366"/>
        <v>0</v>
      </c>
      <c r="CT474" s="8">
        <f t="shared" si="371"/>
        <v>0</v>
      </c>
      <c r="CU474" s="8">
        <f t="shared" si="372"/>
        <v>0</v>
      </c>
      <c r="CV474" s="8">
        <f t="shared" si="373"/>
        <v>0</v>
      </c>
    </row>
    <row r="475" spans="1:100" ht="20.5" thickTop="1" thickBot="1" x14ac:dyDescent="0.5">
      <c r="A475" s="32"/>
      <c r="B475" s="10"/>
      <c r="C475" s="10"/>
      <c r="D475" s="11"/>
      <c r="E475" s="10"/>
      <c r="F475" s="10"/>
      <c r="G475" s="19"/>
      <c r="H475" s="19"/>
      <c r="I475" s="19"/>
      <c r="J475" s="19"/>
      <c r="K475" s="10"/>
      <c r="L475" s="10"/>
      <c r="M475" s="10"/>
      <c r="N475" s="10"/>
      <c r="O475" s="18"/>
      <c r="P475" s="18"/>
      <c r="Q475" s="21"/>
      <c r="R475" s="20"/>
      <c r="S475" s="16">
        <f t="shared" si="329"/>
        <v>0</v>
      </c>
      <c r="T475" s="11"/>
      <c r="AS475" s="31">
        <f t="shared" si="330"/>
        <v>0</v>
      </c>
      <c r="AT475" s="31">
        <f t="shared" si="331"/>
        <v>0</v>
      </c>
      <c r="AU475" s="31">
        <f t="shared" si="332"/>
        <v>0</v>
      </c>
      <c r="AV475" s="31">
        <f t="shared" si="333"/>
        <v>0</v>
      </c>
      <c r="AW475" s="31">
        <f t="shared" si="334"/>
        <v>0</v>
      </c>
      <c r="AX475" s="31">
        <f t="shared" si="335"/>
        <v>0</v>
      </c>
      <c r="AY475" s="31">
        <f t="shared" si="336"/>
        <v>0</v>
      </c>
      <c r="AZ475" s="31">
        <f t="shared" si="337"/>
        <v>0</v>
      </c>
      <c r="BA475" s="31">
        <f t="shared" si="338"/>
        <v>0</v>
      </c>
      <c r="BB475" s="31">
        <f t="shared" si="367"/>
        <v>0</v>
      </c>
      <c r="BM475" s="8">
        <f t="shared" si="368"/>
        <v>0</v>
      </c>
      <c r="BN475" s="8">
        <f t="shared" si="339"/>
        <v>0</v>
      </c>
      <c r="BO475" s="8">
        <f t="shared" si="340"/>
        <v>0</v>
      </c>
      <c r="BQ475" s="8">
        <f t="shared" si="341"/>
        <v>0</v>
      </c>
      <c r="BR475" s="63">
        <f t="shared" si="342"/>
        <v>0</v>
      </c>
      <c r="BS475" s="63">
        <f t="shared" si="369"/>
        <v>0</v>
      </c>
      <c r="BT475" s="63">
        <f t="shared" si="343"/>
        <v>0</v>
      </c>
      <c r="BU475" s="63">
        <f t="shared" si="344"/>
        <v>0</v>
      </c>
      <c r="BV475" s="57">
        <f t="shared" si="345"/>
        <v>0</v>
      </c>
      <c r="BW475" s="57">
        <f t="shared" si="346"/>
        <v>0</v>
      </c>
      <c r="BX475" s="57">
        <f t="shared" si="370"/>
        <v>0</v>
      </c>
      <c r="BY475" s="57">
        <f t="shared" si="328"/>
        <v>0</v>
      </c>
      <c r="BZ475" s="8">
        <f t="shared" si="347"/>
        <v>0</v>
      </c>
      <c r="CA475" s="8">
        <f t="shared" si="348"/>
        <v>0</v>
      </c>
      <c r="CB475" s="8">
        <f t="shared" si="349"/>
        <v>0</v>
      </c>
      <c r="CC475" s="8">
        <f t="shared" si="350"/>
        <v>0</v>
      </c>
      <c r="CD475" s="8">
        <f t="shared" si="351"/>
        <v>0</v>
      </c>
      <c r="CE475" s="8">
        <f t="shared" si="352"/>
        <v>0</v>
      </c>
      <c r="CF475" s="8">
        <f t="shared" si="353"/>
        <v>0</v>
      </c>
      <c r="CG475" s="8">
        <f t="shared" si="354"/>
        <v>0</v>
      </c>
      <c r="CH475" s="8">
        <f t="shared" si="355"/>
        <v>0</v>
      </c>
      <c r="CI475" s="8">
        <f t="shared" si="356"/>
        <v>0</v>
      </c>
      <c r="CJ475" s="8">
        <f t="shared" si="357"/>
        <v>0</v>
      </c>
      <c r="CK475" s="8">
        <f t="shared" si="358"/>
        <v>0</v>
      </c>
      <c r="CL475" s="8">
        <f t="shared" si="359"/>
        <v>0</v>
      </c>
      <c r="CM475" s="8">
        <f t="shared" si="360"/>
        <v>0</v>
      </c>
      <c r="CN475" s="8">
        <f t="shared" si="361"/>
        <v>0</v>
      </c>
      <c r="CO475" s="8">
        <f t="shared" si="362"/>
        <v>0</v>
      </c>
      <c r="CP475" s="8">
        <f t="shared" si="363"/>
        <v>0</v>
      </c>
      <c r="CQ475" s="8">
        <f t="shared" si="364"/>
        <v>0</v>
      </c>
      <c r="CR475" s="8">
        <f t="shared" si="365"/>
        <v>0</v>
      </c>
      <c r="CS475" s="8">
        <f t="shared" si="366"/>
        <v>0</v>
      </c>
      <c r="CT475" s="8">
        <f t="shared" si="371"/>
        <v>0</v>
      </c>
      <c r="CU475" s="8">
        <f t="shared" si="372"/>
        <v>0</v>
      </c>
      <c r="CV475" s="8">
        <f t="shared" si="373"/>
        <v>0</v>
      </c>
    </row>
    <row r="476" spans="1:100" ht="20.5" thickTop="1" thickBot="1" x14ac:dyDescent="0.5">
      <c r="A476" s="32"/>
      <c r="B476" s="10"/>
      <c r="C476" s="10"/>
      <c r="D476" s="11"/>
      <c r="E476" s="10"/>
      <c r="F476" s="10"/>
      <c r="G476" s="19"/>
      <c r="H476" s="19"/>
      <c r="I476" s="19"/>
      <c r="J476" s="19"/>
      <c r="K476" s="10"/>
      <c r="L476" s="10"/>
      <c r="M476" s="10"/>
      <c r="N476" s="10"/>
      <c r="O476" s="18"/>
      <c r="P476" s="18"/>
      <c r="Q476" s="21"/>
      <c r="R476" s="20"/>
      <c r="S476" s="16">
        <f t="shared" si="329"/>
        <v>0</v>
      </c>
      <c r="T476" s="11"/>
      <c r="AS476" s="31">
        <f t="shared" si="330"/>
        <v>0</v>
      </c>
      <c r="AT476" s="31">
        <f t="shared" si="331"/>
        <v>0</v>
      </c>
      <c r="AU476" s="31">
        <f t="shared" si="332"/>
        <v>0</v>
      </c>
      <c r="AV476" s="31">
        <f t="shared" si="333"/>
        <v>0</v>
      </c>
      <c r="AW476" s="31">
        <f t="shared" si="334"/>
        <v>0</v>
      </c>
      <c r="AX476" s="31">
        <f t="shared" si="335"/>
        <v>0</v>
      </c>
      <c r="AY476" s="31">
        <f t="shared" si="336"/>
        <v>0</v>
      </c>
      <c r="AZ476" s="31">
        <f t="shared" si="337"/>
        <v>0</v>
      </c>
      <c r="BA476" s="31">
        <f t="shared" si="338"/>
        <v>0</v>
      </c>
      <c r="BB476" s="31">
        <f t="shared" si="367"/>
        <v>0</v>
      </c>
      <c r="BM476" s="8">
        <f t="shared" si="368"/>
        <v>0</v>
      </c>
      <c r="BN476" s="8">
        <f t="shared" si="339"/>
        <v>0</v>
      </c>
      <c r="BO476" s="8">
        <f t="shared" si="340"/>
        <v>0</v>
      </c>
      <c r="BQ476" s="8">
        <f t="shared" si="341"/>
        <v>0</v>
      </c>
      <c r="BR476" s="63">
        <f t="shared" si="342"/>
        <v>0</v>
      </c>
      <c r="BS476" s="63">
        <f t="shared" si="369"/>
        <v>0</v>
      </c>
      <c r="BT476" s="63">
        <f t="shared" si="343"/>
        <v>0</v>
      </c>
      <c r="BU476" s="63">
        <f t="shared" si="344"/>
        <v>0</v>
      </c>
      <c r="BV476" s="57">
        <f t="shared" si="345"/>
        <v>0</v>
      </c>
      <c r="BW476" s="57">
        <f t="shared" si="346"/>
        <v>0</v>
      </c>
      <c r="BX476" s="57">
        <f t="shared" si="370"/>
        <v>0</v>
      </c>
      <c r="BY476" s="57">
        <f t="shared" si="328"/>
        <v>0</v>
      </c>
      <c r="BZ476" s="8">
        <f t="shared" si="347"/>
        <v>0</v>
      </c>
      <c r="CA476" s="8">
        <f t="shared" si="348"/>
        <v>0</v>
      </c>
      <c r="CB476" s="8">
        <f t="shared" si="349"/>
        <v>0</v>
      </c>
      <c r="CC476" s="8">
        <f t="shared" si="350"/>
        <v>0</v>
      </c>
      <c r="CD476" s="8">
        <f t="shared" si="351"/>
        <v>0</v>
      </c>
      <c r="CE476" s="8">
        <f t="shared" si="352"/>
        <v>0</v>
      </c>
      <c r="CF476" s="8">
        <f t="shared" si="353"/>
        <v>0</v>
      </c>
      <c r="CG476" s="8">
        <f t="shared" si="354"/>
        <v>0</v>
      </c>
      <c r="CH476" s="8">
        <f t="shared" si="355"/>
        <v>0</v>
      </c>
      <c r="CI476" s="8">
        <f t="shared" si="356"/>
        <v>0</v>
      </c>
      <c r="CJ476" s="8">
        <f t="shared" si="357"/>
        <v>0</v>
      </c>
      <c r="CK476" s="8">
        <f t="shared" si="358"/>
        <v>0</v>
      </c>
      <c r="CL476" s="8">
        <f t="shared" si="359"/>
        <v>0</v>
      </c>
      <c r="CM476" s="8">
        <f t="shared" si="360"/>
        <v>0</v>
      </c>
      <c r="CN476" s="8">
        <f t="shared" si="361"/>
        <v>0</v>
      </c>
      <c r="CO476" s="8">
        <f t="shared" si="362"/>
        <v>0</v>
      </c>
      <c r="CP476" s="8">
        <f t="shared" si="363"/>
        <v>0</v>
      </c>
      <c r="CQ476" s="8">
        <f t="shared" si="364"/>
        <v>0</v>
      </c>
      <c r="CR476" s="8">
        <f t="shared" si="365"/>
        <v>0</v>
      </c>
      <c r="CS476" s="8">
        <f t="shared" si="366"/>
        <v>0</v>
      </c>
      <c r="CT476" s="8">
        <f t="shared" si="371"/>
        <v>0</v>
      </c>
      <c r="CU476" s="8">
        <f t="shared" si="372"/>
        <v>0</v>
      </c>
      <c r="CV476" s="8">
        <f t="shared" si="373"/>
        <v>0</v>
      </c>
    </row>
    <row r="477" spans="1:100" ht="20.5" thickTop="1" thickBot="1" x14ac:dyDescent="0.5">
      <c r="A477" s="32"/>
      <c r="B477" s="10"/>
      <c r="C477" s="10"/>
      <c r="D477" s="11"/>
      <c r="E477" s="10"/>
      <c r="F477" s="10"/>
      <c r="G477" s="19"/>
      <c r="H477" s="19"/>
      <c r="I477" s="19"/>
      <c r="J477" s="19"/>
      <c r="K477" s="10"/>
      <c r="L477" s="10"/>
      <c r="M477" s="10"/>
      <c r="N477" s="10"/>
      <c r="O477" s="18"/>
      <c r="P477" s="18"/>
      <c r="Q477" s="21"/>
      <c r="R477" s="20"/>
      <c r="S477" s="16">
        <f t="shared" si="329"/>
        <v>0</v>
      </c>
      <c r="T477" s="11"/>
      <c r="AS477" s="31">
        <f t="shared" si="330"/>
        <v>0</v>
      </c>
      <c r="AT477" s="31">
        <f t="shared" si="331"/>
        <v>0</v>
      </c>
      <c r="AU477" s="31">
        <f t="shared" si="332"/>
        <v>0</v>
      </c>
      <c r="AV477" s="31">
        <f t="shared" si="333"/>
        <v>0</v>
      </c>
      <c r="AW477" s="31">
        <f t="shared" si="334"/>
        <v>0</v>
      </c>
      <c r="AX477" s="31">
        <f t="shared" si="335"/>
        <v>0</v>
      </c>
      <c r="AY477" s="31">
        <f t="shared" si="336"/>
        <v>0</v>
      </c>
      <c r="AZ477" s="31">
        <f t="shared" si="337"/>
        <v>0</v>
      </c>
      <c r="BA477" s="31">
        <f t="shared" si="338"/>
        <v>0</v>
      </c>
      <c r="BB477" s="31">
        <f t="shared" si="367"/>
        <v>0</v>
      </c>
      <c r="BM477" s="8">
        <f t="shared" si="368"/>
        <v>0</v>
      </c>
      <c r="BN477" s="8">
        <f t="shared" si="339"/>
        <v>0</v>
      </c>
      <c r="BO477" s="8">
        <f t="shared" si="340"/>
        <v>0</v>
      </c>
      <c r="BQ477" s="8">
        <f t="shared" si="341"/>
        <v>0</v>
      </c>
      <c r="BR477" s="63">
        <f t="shared" si="342"/>
        <v>0</v>
      </c>
      <c r="BS477" s="63">
        <f t="shared" si="369"/>
        <v>0</v>
      </c>
      <c r="BT477" s="63">
        <f t="shared" si="343"/>
        <v>0</v>
      </c>
      <c r="BU477" s="63">
        <f t="shared" si="344"/>
        <v>0</v>
      </c>
      <c r="BV477" s="57">
        <f t="shared" si="345"/>
        <v>0</v>
      </c>
      <c r="BW477" s="57">
        <f t="shared" si="346"/>
        <v>0</v>
      </c>
      <c r="BX477" s="57">
        <f t="shared" si="370"/>
        <v>0</v>
      </c>
      <c r="BY477" s="57">
        <f t="shared" ref="BY477:BY540" si="374">IF(AND(OR(N477="YES",N477="HDD",N477="EX PIPES"),K477=""),D477*(F477+G477),0)</f>
        <v>0</v>
      </c>
      <c r="BZ477" s="8">
        <f t="shared" si="347"/>
        <v>0</v>
      </c>
      <c r="CA477" s="8">
        <f t="shared" si="348"/>
        <v>0</v>
      </c>
      <c r="CB477" s="8">
        <f t="shared" si="349"/>
        <v>0</v>
      </c>
      <c r="CC477" s="8">
        <f t="shared" si="350"/>
        <v>0</v>
      </c>
      <c r="CD477" s="8">
        <f t="shared" si="351"/>
        <v>0</v>
      </c>
      <c r="CE477" s="8">
        <f t="shared" si="352"/>
        <v>0</v>
      </c>
      <c r="CF477" s="8">
        <f t="shared" si="353"/>
        <v>0</v>
      </c>
      <c r="CG477" s="8">
        <f t="shared" si="354"/>
        <v>0</v>
      </c>
      <c r="CH477" s="8">
        <f t="shared" si="355"/>
        <v>0</v>
      </c>
      <c r="CI477" s="8">
        <f t="shared" si="356"/>
        <v>0</v>
      </c>
      <c r="CJ477" s="8">
        <f t="shared" si="357"/>
        <v>0</v>
      </c>
      <c r="CK477" s="8">
        <f t="shared" si="358"/>
        <v>0</v>
      </c>
      <c r="CL477" s="8">
        <f t="shared" si="359"/>
        <v>0</v>
      </c>
      <c r="CM477" s="8">
        <f t="shared" si="360"/>
        <v>0</v>
      </c>
      <c r="CN477" s="8">
        <f t="shared" si="361"/>
        <v>0</v>
      </c>
      <c r="CO477" s="8">
        <f t="shared" si="362"/>
        <v>0</v>
      </c>
      <c r="CP477" s="8">
        <f t="shared" si="363"/>
        <v>0</v>
      </c>
      <c r="CQ477" s="8">
        <f t="shared" si="364"/>
        <v>0</v>
      </c>
      <c r="CR477" s="8">
        <f t="shared" si="365"/>
        <v>0</v>
      </c>
      <c r="CS477" s="8">
        <f t="shared" si="366"/>
        <v>0</v>
      </c>
      <c r="CT477" s="8">
        <f t="shared" si="371"/>
        <v>0</v>
      </c>
      <c r="CU477" s="8">
        <f t="shared" si="372"/>
        <v>0</v>
      </c>
      <c r="CV477" s="8">
        <f t="shared" si="373"/>
        <v>0</v>
      </c>
    </row>
    <row r="478" spans="1:100" ht="20.5" thickTop="1" thickBot="1" x14ac:dyDescent="0.5">
      <c r="A478" s="32"/>
      <c r="B478" s="10"/>
      <c r="C478" s="10"/>
      <c r="D478" s="11"/>
      <c r="E478" s="10"/>
      <c r="F478" s="10"/>
      <c r="G478" s="19"/>
      <c r="H478" s="19"/>
      <c r="I478" s="19"/>
      <c r="J478" s="19"/>
      <c r="K478" s="10"/>
      <c r="L478" s="10"/>
      <c r="M478" s="10"/>
      <c r="N478" s="10"/>
      <c r="O478" s="18"/>
      <c r="P478" s="18"/>
      <c r="Q478" s="21"/>
      <c r="R478" s="20"/>
      <c r="S478" s="16">
        <f t="shared" si="329"/>
        <v>0</v>
      </c>
      <c r="T478" s="11"/>
      <c r="AS478" s="31">
        <f t="shared" si="330"/>
        <v>0</v>
      </c>
      <c r="AT478" s="31">
        <f t="shared" si="331"/>
        <v>0</v>
      </c>
      <c r="AU478" s="31">
        <f t="shared" si="332"/>
        <v>0</v>
      </c>
      <c r="AV478" s="31">
        <f t="shared" si="333"/>
        <v>0</v>
      </c>
      <c r="AW478" s="31">
        <f t="shared" si="334"/>
        <v>0</v>
      </c>
      <c r="AX478" s="31">
        <f t="shared" si="335"/>
        <v>0</v>
      </c>
      <c r="AY478" s="31">
        <f t="shared" si="336"/>
        <v>0</v>
      </c>
      <c r="AZ478" s="31">
        <f t="shared" si="337"/>
        <v>0</v>
      </c>
      <c r="BA478" s="31">
        <f t="shared" si="338"/>
        <v>0</v>
      </c>
      <c r="BB478" s="31">
        <f t="shared" si="367"/>
        <v>0</v>
      </c>
      <c r="BM478" s="8">
        <f t="shared" si="368"/>
        <v>0</v>
      </c>
      <c r="BN478" s="8">
        <f t="shared" si="339"/>
        <v>0</v>
      </c>
      <c r="BO478" s="8">
        <f t="shared" si="340"/>
        <v>0</v>
      </c>
      <c r="BQ478" s="8">
        <f t="shared" si="341"/>
        <v>0</v>
      </c>
      <c r="BR478" s="63">
        <f t="shared" si="342"/>
        <v>0</v>
      </c>
      <c r="BS478" s="63">
        <f t="shared" si="369"/>
        <v>0</v>
      </c>
      <c r="BT478" s="63">
        <f t="shared" si="343"/>
        <v>0</v>
      </c>
      <c r="BU478" s="63">
        <f t="shared" si="344"/>
        <v>0</v>
      </c>
      <c r="BV478" s="57">
        <f t="shared" si="345"/>
        <v>0</v>
      </c>
      <c r="BW478" s="57">
        <f t="shared" si="346"/>
        <v>0</v>
      </c>
      <c r="BX478" s="57">
        <f t="shared" si="370"/>
        <v>0</v>
      </c>
      <c r="BY478" s="57">
        <f t="shared" si="374"/>
        <v>0</v>
      </c>
      <c r="BZ478" s="8">
        <f t="shared" si="347"/>
        <v>0</v>
      </c>
      <c r="CA478" s="8">
        <f t="shared" si="348"/>
        <v>0</v>
      </c>
      <c r="CB478" s="8">
        <f t="shared" si="349"/>
        <v>0</v>
      </c>
      <c r="CC478" s="8">
        <f t="shared" si="350"/>
        <v>0</v>
      </c>
      <c r="CD478" s="8">
        <f t="shared" si="351"/>
        <v>0</v>
      </c>
      <c r="CE478" s="8">
        <f t="shared" si="352"/>
        <v>0</v>
      </c>
      <c r="CF478" s="8">
        <f t="shared" si="353"/>
        <v>0</v>
      </c>
      <c r="CG478" s="8">
        <f t="shared" si="354"/>
        <v>0</v>
      </c>
      <c r="CH478" s="8">
        <f t="shared" si="355"/>
        <v>0</v>
      </c>
      <c r="CI478" s="8">
        <f t="shared" si="356"/>
        <v>0</v>
      </c>
      <c r="CJ478" s="8">
        <f t="shared" si="357"/>
        <v>0</v>
      </c>
      <c r="CK478" s="8">
        <f t="shared" si="358"/>
        <v>0</v>
      </c>
      <c r="CL478" s="8">
        <f t="shared" si="359"/>
        <v>0</v>
      </c>
      <c r="CM478" s="8">
        <f t="shared" si="360"/>
        <v>0</v>
      </c>
      <c r="CN478" s="8">
        <f t="shared" si="361"/>
        <v>0</v>
      </c>
      <c r="CO478" s="8">
        <f t="shared" si="362"/>
        <v>0</v>
      </c>
      <c r="CP478" s="8">
        <f t="shared" si="363"/>
        <v>0</v>
      </c>
      <c r="CQ478" s="8">
        <f t="shared" si="364"/>
        <v>0</v>
      </c>
      <c r="CR478" s="8">
        <f t="shared" si="365"/>
        <v>0</v>
      </c>
      <c r="CS478" s="8">
        <f t="shared" si="366"/>
        <v>0</v>
      </c>
      <c r="CT478" s="8">
        <f t="shared" si="371"/>
        <v>0</v>
      </c>
      <c r="CU478" s="8">
        <f t="shared" si="372"/>
        <v>0</v>
      </c>
      <c r="CV478" s="8">
        <f t="shared" si="373"/>
        <v>0</v>
      </c>
    </row>
    <row r="479" spans="1:100" ht="20.5" thickTop="1" thickBot="1" x14ac:dyDescent="0.5">
      <c r="A479" s="32"/>
      <c r="B479" s="10"/>
      <c r="C479" s="10"/>
      <c r="D479" s="11"/>
      <c r="E479" s="10"/>
      <c r="F479" s="10"/>
      <c r="G479" s="19"/>
      <c r="H479" s="19"/>
      <c r="I479" s="19"/>
      <c r="J479" s="19"/>
      <c r="K479" s="10"/>
      <c r="L479" s="10"/>
      <c r="M479" s="10"/>
      <c r="N479" s="10"/>
      <c r="O479" s="18"/>
      <c r="P479" s="18"/>
      <c r="Q479" s="21"/>
      <c r="R479" s="20"/>
      <c r="S479" s="16">
        <f t="shared" si="329"/>
        <v>0</v>
      </c>
      <c r="T479" s="11"/>
      <c r="AS479" s="31">
        <f t="shared" si="330"/>
        <v>0</v>
      </c>
      <c r="AT479" s="31">
        <f t="shared" si="331"/>
        <v>0</v>
      </c>
      <c r="AU479" s="31">
        <f t="shared" si="332"/>
        <v>0</v>
      </c>
      <c r="AV479" s="31">
        <f t="shared" si="333"/>
        <v>0</v>
      </c>
      <c r="AW479" s="31">
        <f t="shared" si="334"/>
        <v>0</v>
      </c>
      <c r="AX479" s="31">
        <f t="shared" si="335"/>
        <v>0</v>
      </c>
      <c r="AY479" s="31">
        <f t="shared" si="336"/>
        <v>0</v>
      </c>
      <c r="AZ479" s="31">
        <f t="shared" si="337"/>
        <v>0</v>
      </c>
      <c r="BA479" s="31">
        <f t="shared" si="338"/>
        <v>0</v>
      </c>
      <c r="BB479" s="31">
        <f t="shared" si="367"/>
        <v>0</v>
      </c>
      <c r="BM479" s="8">
        <f t="shared" si="368"/>
        <v>0</v>
      </c>
      <c r="BN479" s="8">
        <f t="shared" si="339"/>
        <v>0</v>
      </c>
      <c r="BO479" s="8">
        <f t="shared" si="340"/>
        <v>0</v>
      </c>
      <c r="BQ479" s="8">
        <f t="shared" si="341"/>
        <v>0</v>
      </c>
      <c r="BR479" s="63">
        <f t="shared" si="342"/>
        <v>0</v>
      </c>
      <c r="BS479" s="63">
        <f t="shared" si="369"/>
        <v>0</v>
      </c>
      <c r="BT479" s="63">
        <f t="shared" si="343"/>
        <v>0</v>
      </c>
      <c r="BU479" s="63">
        <f t="shared" si="344"/>
        <v>0</v>
      </c>
      <c r="BV479" s="57">
        <f t="shared" si="345"/>
        <v>0</v>
      </c>
      <c r="BW479" s="57">
        <f t="shared" si="346"/>
        <v>0</v>
      </c>
      <c r="BX479" s="57">
        <f t="shared" si="370"/>
        <v>0</v>
      </c>
      <c r="BY479" s="57">
        <f t="shared" si="374"/>
        <v>0</v>
      </c>
      <c r="BZ479" s="8">
        <f t="shared" si="347"/>
        <v>0</v>
      </c>
      <c r="CA479" s="8">
        <f t="shared" si="348"/>
        <v>0</v>
      </c>
      <c r="CB479" s="8">
        <f t="shared" si="349"/>
        <v>0</v>
      </c>
      <c r="CC479" s="8">
        <f t="shared" si="350"/>
        <v>0</v>
      </c>
      <c r="CD479" s="8">
        <f t="shared" si="351"/>
        <v>0</v>
      </c>
      <c r="CE479" s="8">
        <f t="shared" si="352"/>
        <v>0</v>
      </c>
      <c r="CF479" s="8">
        <f t="shared" si="353"/>
        <v>0</v>
      </c>
      <c r="CG479" s="8">
        <f t="shared" si="354"/>
        <v>0</v>
      </c>
      <c r="CH479" s="8">
        <f t="shared" si="355"/>
        <v>0</v>
      </c>
      <c r="CI479" s="8">
        <f t="shared" si="356"/>
        <v>0</v>
      </c>
      <c r="CJ479" s="8">
        <f t="shared" si="357"/>
        <v>0</v>
      </c>
      <c r="CK479" s="8">
        <f t="shared" si="358"/>
        <v>0</v>
      </c>
      <c r="CL479" s="8">
        <f t="shared" si="359"/>
        <v>0</v>
      </c>
      <c r="CM479" s="8">
        <f t="shared" si="360"/>
        <v>0</v>
      </c>
      <c r="CN479" s="8">
        <f t="shared" si="361"/>
        <v>0</v>
      </c>
      <c r="CO479" s="8">
        <f t="shared" si="362"/>
        <v>0</v>
      </c>
      <c r="CP479" s="8">
        <f t="shared" si="363"/>
        <v>0</v>
      </c>
      <c r="CQ479" s="8">
        <f t="shared" si="364"/>
        <v>0</v>
      </c>
      <c r="CR479" s="8">
        <f t="shared" si="365"/>
        <v>0</v>
      </c>
      <c r="CS479" s="8">
        <f t="shared" si="366"/>
        <v>0</v>
      </c>
      <c r="CT479" s="8">
        <f t="shared" si="371"/>
        <v>0</v>
      </c>
      <c r="CU479" s="8">
        <f t="shared" si="372"/>
        <v>0</v>
      </c>
      <c r="CV479" s="8">
        <f t="shared" si="373"/>
        <v>0</v>
      </c>
    </row>
    <row r="480" spans="1:100" ht="20.5" thickTop="1" thickBot="1" x14ac:dyDescent="0.5">
      <c r="A480" s="32"/>
      <c r="B480" s="10"/>
      <c r="C480" s="10"/>
      <c r="D480" s="11"/>
      <c r="E480" s="10"/>
      <c r="F480" s="10"/>
      <c r="G480" s="19"/>
      <c r="H480" s="19"/>
      <c r="I480" s="19"/>
      <c r="J480" s="19"/>
      <c r="K480" s="10"/>
      <c r="L480" s="10"/>
      <c r="M480" s="10"/>
      <c r="N480" s="10"/>
      <c r="O480" s="18"/>
      <c r="P480" s="18"/>
      <c r="Q480" s="21"/>
      <c r="R480" s="20"/>
      <c r="S480" s="16">
        <f t="shared" si="329"/>
        <v>0</v>
      </c>
      <c r="T480" s="11"/>
      <c r="AS480" s="31">
        <f t="shared" si="330"/>
        <v>0</v>
      </c>
      <c r="AT480" s="31">
        <f t="shared" si="331"/>
        <v>0</v>
      </c>
      <c r="AU480" s="31">
        <f t="shared" si="332"/>
        <v>0</v>
      </c>
      <c r="AV480" s="31">
        <f t="shared" si="333"/>
        <v>0</v>
      </c>
      <c r="AW480" s="31">
        <f t="shared" si="334"/>
        <v>0</v>
      </c>
      <c r="AX480" s="31">
        <f t="shared" si="335"/>
        <v>0</v>
      </c>
      <c r="AY480" s="31">
        <f t="shared" si="336"/>
        <v>0</v>
      </c>
      <c r="AZ480" s="31">
        <f t="shared" si="337"/>
        <v>0</v>
      </c>
      <c r="BA480" s="31">
        <f t="shared" si="338"/>
        <v>0</v>
      </c>
      <c r="BB480" s="31">
        <f t="shared" si="367"/>
        <v>0</v>
      </c>
      <c r="BM480" s="8">
        <f t="shared" si="368"/>
        <v>0</v>
      </c>
      <c r="BN480" s="8">
        <f t="shared" si="339"/>
        <v>0</v>
      </c>
      <c r="BO480" s="8">
        <f t="shared" si="340"/>
        <v>0</v>
      </c>
      <c r="BQ480" s="8">
        <f t="shared" si="341"/>
        <v>0</v>
      </c>
      <c r="BR480" s="63">
        <f t="shared" si="342"/>
        <v>0</v>
      </c>
      <c r="BS480" s="63">
        <f t="shared" si="369"/>
        <v>0</v>
      </c>
      <c r="BT480" s="63">
        <f t="shared" si="343"/>
        <v>0</v>
      </c>
      <c r="BU480" s="63">
        <f t="shared" si="344"/>
        <v>0</v>
      </c>
      <c r="BV480" s="57">
        <f t="shared" si="345"/>
        <v>0</v>
      </c>
      <c r="BW480" s="57">
        <f t="shared" si="346"/>
        <v>0</v>
      </c>
      <c r="BX480" s="57">
        <f t="shared" si="370"/>
        <v>0</v>
      </c>
      <c r="BY480" s="57">
        <f t="shared" si="374"/>
        <v>0</v>
      </c>
      <c r="BZ480" s="8">
        <f t="shared" si="347"/>
        <v>0</v>
      </c>
      <c r="CA480" s="8">
        <f t="shared" si="348"/>
        <v>0</v>
      </c>
      <c r="CB480" s="8">
        <f t="shared" si="349"/>
        <v>0</v>
      </c>
      <c r="CC480" s="8">
        <f t="shared" si="350"/>
        <v>0</v>
      </c>
      <c r="CD480" s="8">
        <f t="shared" si="351"/>
        <v>0</v>
      </c>
      <c r="CE480" s="8">
        <f t="shared" si="352"/>
        <v>0</v>
      </c>
      <c r="CF480" s="8">
        <f t="shared" si="353"/>
        <v>0</v>
      </c>
      <c r="CG480" s="8">
        <f t="shared" si="354"/>
        <v>0</v>
      </c>
      <c r="CH480" s="8">
        <f t="shared" si="355"/>
        <v>0</v>
      </c>
      <c r="CI480" s="8">
        <f t="shared" si="356"/>
        <v>0</v>
      </c>
      <c r="CJ480" s="8">
        <f t="shared" si="357"/>
        <v>0</v>
      </c>
      <c r="CK480" s="8">
        <f t="shared" si="358"/>
        <v>0</v>
      </c>
      <c r="CL480" s="8">
        <f t="shared" si="359"/>
        <v>0</v>
      </c>
      <c r="CM480" s="8">
        <f t="shared" si="360"/>
        <v>0</v>
      </c>
      <c r="CN480" s="8">
        <f t="shared" si="361"/>
        <v>0</v>
      </c>
      <c r="CO480" s="8">
        <f t="shared" si="362"/>
        <v>0</v>
      </c>
      <c r="CP480" s="8">
        <f t="shared" si="363"/>
        <v>0</v>
      </c>
      <c r="CQ480" s="8">
        <f t="shared" si="364"/>
        <v>0</v>
      </c>
      <c r="CR480" s="8">
        <f t="shared" si="365"/>
        <v>0</v>
      </c>
      <c r="CS480" s="8">
        <f t="shared" si="366"/>
        <v>0</v>
      </c>
      <c r="CT480" s="8">
        <f t="shared" si="371"/>
        <v>0</v>
      </c>
      <c r="CU480" s="8">
        <f t="shared" si="372"/>
        <v>0</v>
      </c>
      <c r="CV480" s="8">
        <f t="shared" si="373"/>
        <v>0</v>
      </c>
    </row>
    <row r="481" spans="1:100" ht="20.5" thickTop="1" thickBot="1" x14ac:dyDescent="0.5">
      <c r="A481" s="32"/>
      <c r="B481" s="10"/>
      <c r="C481" s="10"/>
      <c r="D481" s="11"/>
      <c r="E481" s="10"/>
      <c r="F481" s="10"/>
      <c r="G481" s="19"/>
      <c r="H481" s="19"/>
      <c r="I481" s="19"/>
      <c r="J481" s="19"/>
      <c r="K481" s="10"/>
      <c r="L481" s="10"/>
      <c r="M481" s="10"/>
      <c r="N481" s="10"/>
      <c r="O481" s="18"/>
      <c r="P481" s="18"/>
      <c r="Q481" s="21"/>
      <c r="R481" s="20"/>
      <c r="S481" s="16">
        <f t="shared" si="329"/>
        <v>0</v>
      </c>
      <c r="T481" s="11"/>
      <c r="AS481" s="31">
        <f t="shared" si="330"/>
        <v>0</v>
      </c>
      <c r="AT481" s="31">
        <f t="shared" si="331"/>
        <v>0</v>
      </c>
      <c r="AU481" s="31">
        <f t="shared" si="332"/>
        <v>0</v>
      </c>
      <c r="AV481" s="31">
        <f t="shared" si="333"/>
        <v>0</v>
      </c>
      <c r="AW481" s="31">
        <f t="shared" si="334"/>
        <v>0</v>
      </c>
      <c r="AX481" s="31">
        <f t="shared" si="335"/>
        <v>0</v>
      </c>
      <c r="AY481" s="31">
        <f t="shared" si="336"/>
        <v>0</v>
      </c>
      <c r="AZ481" s="31">
        <f t="shared" si="337"/>
        <v>0</v>
      </c>
      <c r="BA481" s="31">
        <f t="shared" si="338"/>
        <v>0</v>
      </c>
      <c r="BB481" s="31">
        <f t="shared" si="367"/>
        <v>0</v>
      </c>
      <c r="BM481" s="8">
        <f t="shared" si="368"/>
        <v>0</v>
      </c>
      <c r="BN481" s="8">
        <f t="shared" si="339"/>
        <v>0</v>
      </c>
      <c r="BO481" s="8">
        <f t="shared" si="340"/>
        <v>0</v>
      </c>
      <c r="BQ481" s="8">
        <f t="shared" si="341"/>
        <v>0</v>
      </c>
      <c r="BR481" s="63">
        <f t="shared" si="342"/>
        <v>0</v>
      </c>
      <c r="BS481" s="63">
        <f t="shared" si="369"/>
        <v>0</v>
      </c>
      <c r="BT481" s="63">
        <f t="shared" si="343"/>
        <v>0</v>
      </c>
      <c r="BU481" s="63">
        <f t="shared" si="344"/>
        <v>0</v>
      </c>
      <c r="BV481" s="57">
        <f t="shared" si="345"/>
        <v>0</v>
      </c>
      <c r="BW481" s="57">
        <f t="shared" si="346"/>
        <v>0</v>
      </c>
      <c r="BX481" s="57">
        <f t="shared" si="370"/>
        <v>0</v>
      </c>
      <c r="BY481" s="57">
        <f t="shared" si="374"/>
        <v>0</v>
      </c>
      <c r="BZ481" s="8">
        <f t="shared" si="347"/>
        <v>0</v>
      </c>
      <c r="CA481" s="8">
        <f t="shared" si="348"/>
        <v>0</v>
      </c>
      <c r="CB481" s="8">
        <f t="shared" si="349"/>
        <v>0</v>
      </c>
      <c r="CC481" s="8">
        <f t="shared" si="350"/>
        <v>0</v>
      </c>
      <c r="CD481" s="8">
        <f t="shared" si="351"/>
        <v>0</v>
      </c>
      <c r="CE481" s="8">
        <f t="shared" si="352"/>
        <v>0</v>
      </c>
      <c r="CF481" s="8">
        <f t="shared" si="353"/>
        <v>0</v>
      </c>
      <c r="CG481" s="8">
        <f t="shared" si="354"/>
        <v>0</v>
      </c>
      <c r="CH481" s="8">
        <f t="shared" si="355"/>
        <v>0</v>
      </c>
      <c r="CI481" s="8">
        <f t="shared" si="356"/>
        <v>0</v>
      </c>
      <c r="CJ481" s="8">
        <f t="shared" si="357"/>
        <v>0</v>
      </c>
      <c r="CK481" s="8">
        <f t="shared" si="358"/>
        <v>0</v>
      </c>
      <c r="CL481" s="8">
        <f t="shared" si="359"/>
        <v>0</v>
      </c>
      <c r="CM481" s="8">
        <f t="shared" si="360"/>
        <v>0</v>
      </c>
      <c r="CN481" s="8">
        <f t="shared" si="361"/>
        <v>0</v>
      </c>
      <c r="CO481" s="8">
        <f t="shared" si="362"/>
        <v>0</v>
      </c>
      <c r="CP481" s="8">
        <f t="shared" si="363"/>
        <v>0</v>
      </c>
      <c r="CQ481" s="8">
        <f t="shared" si="364"/>
        <v>0</v>
      </c>
      <c r="CR481" s="8">
        <f t="shared" si="365"/>
        <v>0</v>
      </c>
      <c r="CS481" s="8">
        <f t="shared" si="366"/>
        <v>0</v>
      </c>
      <c r="CT481" s="8">
        <f t="shared" si="371"/>
        <v>0</v>
      </c>
      <c r="CU481" s="8">
        <f t="shared" si="372"/>
        <v>0</v>
      </c>
      <c r="CV481" s="8">
        <f t="shared" si="373"/>
        <v>0</v>
      </c>
    </row>
    <row r="482" spans="1:100" ht="20.5" thickTop="1" thickBot="1" x14ac:dyDescent="0.5">
      <c r="A482" s="32"/>
      <c r="B482" s="10"/>
      <c r="C482" s="10"/>
      <c r="D482" s="11"/>
      <c r="E482" s="10"/>
      <c r="F482" s="10"/>
      <c r="G482" s="19"/>
      <c r="H482" s="19"/>
      <c r="I482" s="19"/>
      <c r="J482" s="19"/>
      <c r="K482" s="10"/>
      <c r="L482" s="10"/>
      <c r="M482" s="10"/>
      <c r="N482" s="10"/>
      <c r="O482" s="18"/>
      <c r="P482" s="18"/>
      <c r="Q482" s="21"/>
      <c r="R482" s="20"/>
      <c r="S482" s="16">
        <f t="shared" si="329"/>
        <v>0</v>
      </c>
      <c r="T482" s="11"/>
      <c r="AS482" s="31">
        <f t="shared" si="330"/>
        <v>0</v>
      </c>
      <c r="AT482" s="31">
        <f t="shared" si="331"/>
        <v>0</v>
      </c>
      <c r="AU482" s="31">
        <f t="shared" si="332"/>
        <v>0</v>
      </c>
      <c r="AV482" s="31">
        <f t="shared" si="333"/>
        <v>0</v>
      </c>
      <c r="AW482" s="31">
        <f t="shared" si="334"/>
        <v>0</v>
      </c>
      <c r="AX482" s="31">
        <f t="shared" si="335"/>
        <v>0</v>
      </c>
      <c r="AY482" s="31">
        <f t="shared" si="336"/>
        <v>0</v>
      </c>
      <c r="AZ482" s="31">
        <f t="shared" si="337"/>
        <v>0</v>
      </c>
      <c r="BA482" s="31">
        <f t="shared" si="338"/>
        <v>0</v>
      </c>
      <c r="BB482" s="31">
        <f t="shared" si="367"/>
        <v>0</v>
      </c>
      <c r="BM482" s="8">
        <f t="shared" si="368"/>
        <v>0</v>
      </c>
      <c r="BN482" s="8">
        <f t="shared" si="339"/>
        <v>0</v>
      </c>
      <c r="BO482" s="8">
        <f t="shared" si="340"/>
        <v>0</v>
      </c>
      <c r="BQ482" s="8">
        <f t="shared" si="341"/>
        <v>0</v>
      </c>
      <c r="BR482" s="63">
        <f t="shared" si="342"/>
        <v>0</v>
      </c>
      <c r="BS482" s="63">
        <f t="shared" si="369"/>
        <v>0</v>
      </c>
      <c r="BT482" s="63">
        <f t="shared" si="343"/>
        <v>0</v>
      </c>
      <c r="BU482" s="63">
        <f t="shared" si="344"/>
        <v>0</v>
      </c>
      <c r="BV482" s="57">
        <f t="shared" si="345"/>
        <v>0</v>
      </c>
      <c r="BW482" s="57">
        <f t="shared" si="346"/>
        <v>0</v>
      </c>
      <c r="BX482" s="57">
        <f t="shared" si="370"/>
        <v>0</v>
      </c>
      <c r="BY482" s="57">
        <f t="shared" si="374"/>
        <v>0</v>
      </c>
      <c r="BZ482" s="8">
        <f t="shared" si="347"/>
        <v>0</v>
      </c>
      <c r="CA482" s="8">
        <f t="shared" si="348"/>
        <v>0</v>
      </c>
      <c r="CB482" s="8">
        <f t="shared" si="349"/>
        <v>0</v>
      </c>
      <c r="CC482" s="8">
        <f t="shared" si="350"/>
        <v>0</v>
      </c>
      <c r="CD482" s="8">
        <f t="shared" si="351"/>
        <v>0</v>
      </c>
      <c r="CE482" s="8">
        <f t="shared" si="352"/>
        <v>0</v>
      </c>
      <c r="CF482" s="8">
        <f t="shared" si="353"/>
        <v>0</v>
      </c>
      <c r="CG482" s="8">
        <f t="shared" si="354"/>
        <v>0</v>
      </c>
      <c r="CH482" s="8">
        <f t="shared" si="355"/>
        <v>0</v>
      </c>
      <c r="CI482" s="8">
        <f t="shared" si="356"/>
        <v>0</v>
      </c>
      <c r="CJ482" s="8">
        <f t="shared" si="357"/>
        <v>0</v>
      </c>
      <c r="CK482" s="8">
        <f t="shared" si="358"/>
        <v>0</v>
      </c>
      <c r="CL482" s="8">
        <f t="shared" si="359"/>
        <v>0</v>
      </c>
      <c r="CM482" s="8">
        <f t="shared" si="360"/>
        <v>0</v>
      </c>
      <c r="CN482" s="8">
        <f t="shared" si="361"/>
        <v>0</v>
      </c>
      <c r="CO482" s="8">
        <f t="shared" si="362"/>
        <v>0</v>
      </c>
      <c r="CP482" s="8">
        <f t="shared" si="363"/>
        <v>0</v>
      </c>
      <c r="CQ482" s="8">
        <f t="shared" si="364"/>
        <v>0</v>
      </c>
      <c r="CR482" s="8">
        <f t="shared" si="365"/>
        <v>0</v>
      </c>
      <c r="CS482" s="8">
        <f t="shared" si="366"/>
        <v>0</v>
      </c>
      <c r="CT482" s="8">
        <f t="shared" si="371"/>
        <v>0</v>
      </c>
      <c r="CU482" s="8">
        <f t="shared" si="372"/>
        <v>0</v>
      </c>
      <c r="CV482" s="8">
        <f t="shared" si="373"/>
        <v>0</v>
      </c>
    </row>
    <row r="483" spans="1:100" ht="20.5" thickTop="1" thickBot="1" x14ac:dyDescent="0.5">
      <c r="A483" s="32"/>
      <c r="B483" s="10"/>
      <c r="C483" s="10"/>
      <c r="D483" s="11"/>
      <c r="E483" s="10"/>
      <c r="F483" s="10"/>
      <c r="G483" s="19"/>
      <c r="H483" s="19"/>
      <c r="I483" s="19"/>
      <c r="J483" s="19"/>
      <c r="K483" s="10"/>
      <c r="L483" s="10"/>
      <c r="M483" s="10"/>
      <c r="N483" s="10"/>
      <c r="O483" s="18"/>
      <c r="P483" s="18"/>
      <c r="Q483" s="21"/>
      <c r="R483" s="20"/>
      <c r="S483" s="16">
        <f t="shared" si="329"/>
        <v>0</v>
      </c>
      <c r="T483" s="11"/>
      <c r="AS483" s="31">
        <f t="shared" si="330"/>
        <v>0</v>
      </c>
      <c r="AT483" s="31">
        <f t="shared" si="331"/>
        <v>0</v>
      </c>
      <c r="AU483" s="31">
        <f t="shared" si="332"/>
        <v>0</v>
      </c>
      <c r="AV483" s="31">
        <f t="shared" si="333"/>
        <v>0</v>
      </c>
      <c r="AW483" s="31">
        <f t="shared" si="334"/>
        <v>0</v>
      </c>
      <c r="AX483" s="31">
        <f t="shared" si="335"/>
        <v>0</v>
      </c>
      <c r="AY483" s="31">
        <f t="shared" si="336"/>
        <v>0</v>
      </c>
      <c r="AZ483" s="31">
        <f t="shared" si="337"/>
        <v>0</v>
      </c>
      <c r="BA483" s="31">
        <f t="shared" si="338"/>
        <v>0</v>
      </c>
      <c r="BB483" s="31">
        <f t="shared" si="367"/>
        <v>0</v>
      </c>
      <c r="BM483" s="8">
        <f t="shared" si="368"/>
        <v>0</v>
      </c>
      <c r="BN483" s="8">
        <f t="shared" si="339"/>
        <v>0</v>
      </c>
      <c r="BO483" s="8">
        <f t="shared" si="340"/>
        <v>0</v>
      </c>
      <c r="BQ483" s="8">
        <f t="shared" si="341"/>
        <v>0</v>
      </c>
      <c r="BR483" s="63">
        <f t="shared" si="342"/>
        <v>0</v>
      </c>
      <c r="BS483" s="63">
        <f t="shared" si="369"/>
        <v>0</v>
      </c>
      <c r="BT483" s="63">
        <f t="shared" si="343"/>
        <v>0</v>
      </c>
      <c r="BU483" s="63">
        <f t="shared" si="344"/>
        <v>0</v>
      </c>
      <c r="BV483" s="57">
        <f t="shared" si="345"/>
        <v>0</v>
      </c>
      <c r="BW483" s="57">
        <f t="shared" si="346"/>
        <v>0</v>
      </c>
      <c r="BX483" s="57">
        <f t="shared" si="370"/>
        <v>0</v>
      </c>
      <c r="BY483" s="57">
        <f t="shared" si="374"/>
        <v>0</v>
      </c>
      <c r="BZ483" s="8">
        <f t="shared" si="347"/>
        <v>0</v>
      </c>
      <c r="CA483" s="8">
        <f t="shared" si="348"/>
        <v>0</v>
      </c>
      <c r="CB483" s="8">
        <f t="shared" si="349"/>
        <v>0</v>
      </c>
      <c r="CC483" s="8">
        <f t="shared" si="350"/>
        <v>0</v>
      </c>
      <c r="CD483" s="8">
        <f t="shared" si="351"/>
        <v>0</v>
      </c>
      <c r="CE483" s="8">
        <f t="shared" si="352"/>
        <v>0</v>
      </c>
      <c r="CF483" s="8">
        <f t="shared" si="353"/>
        <v>0</v>
      </c>
      <c r="CG483" s="8">
        <f t="shared" si="354"/>
        <v>0</v>
      </c>
      <c r="CH483" s="8">
        <f t="shared" si="355"/>
        <v>0</v>
      </c>
      <c r="CI483" s="8">
        <f t="shared" si="356"/>
        <v>0</v>
      </c>
      <c r="CJ483" s="8">
        <f t="shared" si="357"/>
        <v>0</v>
      </c>
      <c r="CK483" s="8">
        <f t="shared" si="358"/>
        <v>0</v>
      </c>
      <c r="CL483" s="8">
        <f t="shared" si="359"/>
        <v>0</v>
      </c>
      <c r="CM483" s="8">
        <f t="shared" si="360"/>
        <v>0</v>
      </c>
      <c r="CN483" s="8">
        <f t="shared" si="361"/>
        <v>0</v>
      </c>
      <c r="CO483" s="8">
        <f t="shared" si="362"/>
        <v>0</v>
      </c>
      <c r="CP483" s="8">
        <f t="shared" si="363"/>
        <v>0</v>
      </c>
      <c r="CQ483" s="8">
        <f t="shared" si="364"/>
        <v>0</v>
      </c>
      <c r="CR483" s="8">
        <f t="shared" si="365"/>
        <v>0</v>
      </c>
      <c r="CS483" s="8">
        <f t="shared" si="366"/>
        <v>0</v>
      </c>
      <c r="CT483" s="8">
        <f t="shared" si="371"/>
        <v>0</v>
      </c>
      <c r="CU483" s="8">
        <f t="shared" si="372"/>
        <v>0</v>
      </c>
      <c r="CV483" s="8">
        <f t="shared" si="373"/>
        <v>0</v>
      </c>
    </row>
    <row r="484" spans="1:100" ht="20.5" thickTop="1" thickBot="1" x14ac:dyDescent="0.5">
      <c r="A484" s="32"/>
      <c r="B484" s="10"/>
      <c r="C484" s="10"/>
      <c r="D484" s="11"/>
      <c r="E484" s="10"/>
      <c r="F484" s="10"/>
      <c r="G484" s="19"/>
      <c r="H484" s="19"/>
      <c r="I484" s="19"/>
      <c r="J484" s="19"/>
      <c r="K484" s="10"/>
      <c r="L484" s="10"/>
      <c r="M484" s="10"/>
      <c r="N484" s="10"/>
      <c r="O484" s="18"/>
      <c r="P484" s="18"/>
      <c r="Q484" s="21"/>
      <c r="R484" s="20"/>
      <c r="S484" s="16">
        <f t="shared" si="329"/>
        <v>0</v>
      </c>
      <c r="T484" s="11"/>
      <c r="AS484" s="31">
        <f t="shared" si="330"/>
        <v>0</v>
      </c>
      <c r="AT484" s="31">
        <f t="shared" si="331"/>
        <v>0</v>
      </c>
      <c r="AU484" s="31">
        <f t="shared" si="332"/>
        <v>0</v>
      </c>
      <c r="AV484" s="31">
        <f t="shared" si="333"/>
        <v>0</v>
      </c>
      <c r="AW484" s="31">
        <f t="shared" si="334"/>
        <v>0</v>
      </c>
      <c r="AX484" s="31">
        <f t="shared" si="335"/>
        <v>0</v>
      </c>
      <c r="AY484" s="31">
        <f t="shared" si="336"/>
        <v>0</v>
      </c>
      <c r="AZ484" s="31">
        <f t="shared" si="337"/>
        <v>0</v>
      </c>
      <c r="BA484" s="31">
        <f t="shared" si="338"/>
        <v>0</v>
      </c>
      <c r="BB484" s="31">
        <f t="shared" si="367"/>
        <v>0</v>
      </c>
      <c r="BM484" s="8">
        <f t="shared" si="368"/>
        <v>0</v>
      </c>
      <c r="BN484" s="8">
        <f t="shared" si="339"/>
        <v>0</v>
      </c>
      <c r="BO484" s="8">
        <f t="shared" si="340"/>
        <v>0</v>
      </c>
      <c r="BQ484" s="8">
        <f t="shared" si="341"/>
        <v>0</v>
      </c>
      <c r="BR484" s="63">
        <f t="shared" si="342"/>
        <v>0</v>
      </c>
      <c r="BS484" s="63">
        <f t="shared" si="369"/>
        <v>0</v>
      </c>
      <c r="BT484" s="63">
        <f t="shared" si="343"/>
        <v>0</v>
      </c>
      <c r="BU484" s="63">
        <f t="shared" si="344"/>
        <v>0</v>
      </c>
      <c r="BV484" s="57">
        <f t="shared" si="345"/>
        <v>0</v>
      </c>
      <c r="BW484" s="57">
        <f t="shared" si="346"/>
        <v>0</v>
      </c>
      <c r="BX484" s="57">
        <f t="shared" si="370"/>
        <v>0</v>
      </c>
      <c r="BY484" s="57">
        <f t="shared" si="374"/>
        <v>0</v>
      </c>
      <c r="BZ484" s="8">
        <f t="shared" si="347"/>
        <v>0</v>
      </c>
      <c r="CA484" s="8">
        <f t="shared" si="348"/>
        <v>0</v>
      </c>
      <c r="CB484" s="8">
        <f t="shared" si="349"/>
        <v>0</v>
      </c>
      <c r="CC484" s="8">
        <f t="shared" si="350"/>
        <v>0</v>
      </c>
      <c r="CD484" s="8">
        <f t="shared" si="351"/>
        <v>0</v>
      </c>
      <c r="CE484" s="8">
        <f t="shared" si="352"/>
        <v>0</v>
      </c>
      <c r="CF484" s="8">
        <f t="shared" si="353"/>
        <v>0</v>
      </c>
      <c r="CG484" s="8">
        <f t="shared" si="354"/>
        <v>0</v>
      </c>
      <c r="CH484" s="8">
        <f t="shared" si="355"/>
        <v>0</v>
      </c>
      <c r="CI484" s="8">
        <f t="shared" si="356"/>
        <v>0</v>
      </c>
      <c r="CJ484" s="8">
        <f t="shared" si="357"/>
        <v>0</v>
      </c>
      <c r="CK484" s="8">
        <f t="shared" si="358"/>
        <v>0</v>
      </c>
      <c r="CL484" s="8">
        <f t="shared" si="359"/>
        <v>0</v>
      </c>
      <c r="CM484" s="8">
        <f t="shared" si="360"/>
        <v>0</v>
      </c>
      <c r="CN484" s="8">
        <f t="shared" si="361"/>
        <v>0</v>
      </c>
      <c r="CO484" s="8">
        <f t="shared" si="362"/>
        <v>0</v>
      </c>
      <c r="CP484" s="8">
        <f t="shared" si="363"/>
        <v>0</v>
      </c>
      <c r="CQ484" s="8">
        <f t="shared" si="364"/>
        <v>0</v>
      </c>
      <c r="CR484" s="8">
        <f t="shared" si="365"/>
        <v>0</v>
      </c>
      <c r="CS484" s="8">
        <f t="shared" si="366"/>
        <v>0</v>
      </c>
      <c r="CT484" s="8">
        <f t="shared" si="371"/>
        <v>0</v>
      </c>
      <c r="CU484" s="8">
        <f t="shared" si="372"/>
        <v>0</v>
      </c>
      <c r="CV484" s="8">
        <f t="shared" si="373"/>
        <v>0</v>
      </c>
    </row>
    <row r="485" spans="1:100" ht="20.5" thickTop="1" thickBot="1" x14ac:dyDescent="0.5">
      <c r="A485" s="32"/>
      <c r="B485" s="10"/>
      <c r="C485" s="10"/>
      <c r="D485" s="11"/>
      <c r="E485" s="10"/>
      <c r="F485" s="10"/>
      <c r="G485" s="19"/>
      <c r="H485" s="19"/>
      <c r="I485" s="19"/>
      <c r="J485" s="19"/>
      <c r="K485" s="10"/>
      <c r="L485" s="10"/>
      <c r="M485" s="10"/>
      <c r="N485" s="10"/>
      <c r="O485" s="18"/>
      <c r="P485" s="18"/>
      <c r="Q485" s="21"/>
      <c r="R485" s="20"/>
      <c r="S485" s="16">
        <f t="shared" si="329"/>
        <v>0</v>
      </c>
      <c r="T485" s="11"/>
      <c r="AS485" s="31">
        <f t="shared" si="330"/>
        <v>0</v>
      </c>
      <c r="AT485" s="31">
        <f t="shared" si="331"/>
        <v>0</v>
      </c>
      <c r="AU485" s="31">
        <f t="shared" si="332"/>
        <v>0</v>
      </c>
      <c r="AV485" s="31">
        <f t="shared" si="333"/>
        <v>0</v>
      </c>
      <c r="AW485" s="31">
        <f t="shared" si="334"/>
        <v>0</v>
      </c>
      <c r="AX485" s="31">
        <f t="shared" si="335"/>
        <v>0</v>
      </c>
      <c r="AY485" s="31">
        <f t="shared" si="336"/>
        <v>0</v>
      </c>
      <c r="AZ485" s="31">
        <f t="shared" si="337"/>
        <v>0</v>
      </c>
      <c r="BA485" s="31">
        <f t="shared" si="338"/>
        <v>0</v>
      </c>
      <c r="BB485" s="31">
        <f t="shared" si="367"/>
        <v>0</v>
      </c>
      <c r="BM485" s="8">
        <f t="shared" si="368"/>
        <v>0</v>
      </c>
      <c r="BN485" s="8">
        <f t="shared" si="339"/>
        <v>0</v>
      </c>
      <c r="BO485" s="8">
        <f t="shared" si="340"/>
        <v>0</v>
      </c>
      <c r="BQ485" s="8">
        <f t="shared" si="341"/>
        <v>0</v>
      </c>
      <c r="BR485" s="63">
        <f t="shared" si="342"/>
        <v>0</v>
      </c>
      <c r="BS485" s="63">
        <f t="shared" si="369"/>
        <v>0</v>
      </c>
      <c r="BT485" s="63">
        <f t="shared" si="343"/>
        <v>0</v>
      </c>
      <c r="BU485" s="63">
        <f t="shared" si="344"/>
        <v>0</v>
      </c>
      <c r="BV485" s="57">
        <f t="shared" si="345"/>
        <v>0</v>
      </c>
      <c r="BW485" s="57">
        <f t="shared" si="346"/>
        <v>0</v>
      </c>
      <c r="BX485" s="57">
        <f t="shared" si="370"/>
        <v>0</v>
      </c>
      <c r="BY485" s="57">
        <f t="shared" si="374"/>
        <v>0</v>
      </c>
      <c r="BZ485" s="8">
        <f t="shared" si="347"/>
        <v>0</v>
      </c>
      <c r="CA485" s="8">
        <f t="shared" si="348"/>
        <v>0</v>
      </c>
      <c r="CB485" s="8">
        <f t="shared" si="349"/>
        <v>0</v>
      </c>
      <c r="CC485" s="8">
        <f t="shared" si="350"/>
        <v>0</v>
      </c>
      <c r="CD485" s="8">
        <f t="shared" si="351"/>
        <v>0</v>
      </c>
      <c r="CE485" s="8">
        <f t="shared" si="352"/>
        <v>0</v>
      </c>
      <c r="CF485" s="8">
        <f t="shared" si="353"/>
        <v>0</v>
      </c>
      <c r="CG485" s="8">
        <f t="shared" si="354"/>
        <v>0</v>
      </c>
      <c r="CH485" s="8">
        <f t="shared" si="355"/>
        <v>0</v>
      </c>
      <c r="CI485" s="8">
        <f t="shared" si="356"/>
        <v>0</v>
      </c>
      <c r="CJ485" s="8">
        <f t="shared" si="357"/>
        <v>0</v>
      </c>
      <c r="CK485" s="8">
        <f t="shared" si="358"/>
        <v>0</v>
      </c>
      <c r="CL485" s="8">
        <f t="shared" si="359"/>
        <v>0</v>
      </c>
      <c r="CM485" s="8">
        <f t="shared" si="360"/>
        <v>0</v>
      </c>
      <c r="CN485" s="8">
        <f t="shared" si="361"/>
        <v>0</v>
      </c>
      <c r="CO485" s="8">
        <f t="shared" si="362"/>
        <v>0</v>
      </c>
      <c r="CP485" s="8">
        <f t="shared" si="363"/>
        <v>0</v>
      </c>
      <c r="CQ485" s="8">
        <f t="shared" si="364"/>
        <v>0</v>
      </c>
      <c r="CR485" s="8">
        <f t="shared" si="365"/>
        <v>0</v>
      </c>
      <c r="CS485" s="8">
        <f t="shared" si="366"/>
        <v>0</v>
      </c>
      <c r="CT485" s="8">
        <f t="shared" si="371"/>
        <v>0</v>
      </c>
      <c r="CU485" s="8">
        <f t="shared" si="372"/>
        <v>0</v>
      </c>
      <c r="CV485" s="8">
        <f t="shared" si="373"/>
        <v>0</v>
      </c>
    </row>
    <row r="486" spans="1:100" ht="20.5" thickTop="1" thickBot="1" x14ac:dyDescent="0.5">
      <c r="A486" s="32"/>
      <c r="B486" s="10"/>
      <c r="C486" s="10"/>
      <c r="D486" s="11"/>
      <c r="E486" s="10"/>
      <c r="F486" s="10"/>
      <c r="G486" s="19"/>
      <c r="H486" s="19"/>
      <c r="I486" s="19"/>
      <c r="J486" s="19"/>
      <c r="K486" s="10"/>
      <c r="L486" s="10"/>
      <c r="M486" s="10"/>
      <c r="N486" s="10"/>
      <c r="O486" s="18"/>
      <c r="P486" s="18"/>
      <c r="Q486" s="21"/>
      <c r="R486" s="20"/>
      <c r="S486" s="16">
        <f t="shared" si="329"/>
        <v>0</v>
      </c>
      <c r="T486" s="11"/>
      <c r="AS486" s="31">
        <f t="shared" si="330"/>
        <v>0</v>
      </c>
      <c r="AT486" s="31">
        <f t="shared" si="331"/>
        <v>0</v>
      </c>
      <c r="AU486" s="31">
        <f t="shared" si="332"/>
        <v>0</v>
      </c>
      <c r="AV486" s="31">
        <f t="shared" si="333"/>
        <v>0</v>
      </c>
      <c r="AW486" s="31">
        <f t="shared" si="334"/>
        <v>0</v>
      </c>
      <c r="AX486" s="31">
        <f t="shared" si="335"/>
        <v>0</v>
      </c>
      <c r="AY486" s="31">
        <f t="shared" si="336"/>
        <v>0</v>
      </c>
      <c r="AZ486" s="31">
        <f t="shared" si="337"/>
        <v>0</v>
      </c>
      <c r="BA486" s="31">
        <f t="shared" si="338"/>
        <v>0</v>
      </c>
      <c r="BB486" s="31">
        <f t="shared" si="367"/>
        <v>0</v>
      </c>
      <c r="BM486" s="8">
        <f t="shared" si="368"/>
        <v>0</v>
      </c>
      <c r="BN486" s="8">
        <f t="shared" si="339"/>
        <v>0</v>
      </c>
      <c r="BO486" s="8">
        <f t="shared" si="340"/>
        <v>0</v>
      </c>
      <c r="BQ486" s="8">
        <f t="shared" si="341"/>
        <v>0</v>
      </c>
      <c r="BR486" s="63">
        <f t="shared" si="342"/>
        <v>0</v>
      </c>
      <c r="BS486" s="63">
        <f t="shared" si="369"/>
        <v>0</v>
      </c>
      <c r="BT486" s="63">
        <f t="shared" si="343"/>
        <v>0</v>
      </c>
      <c r="BU486" s="63">
        <f t="shared" si="344"/>
        <v>0</v>
      </c>
      <c r="BV486" s="57">
        <f t="shared" si="345"/>
        <v>0</v>
      </c>
      <c r="BW486" s="57">
        <f t="shared" si="346"/>
        <v>0</v>
      </c>
      <c r="BX486" s="57">
        <f t="shared" si="370"/>
        <v>0</v>
      </c>
      <c r="BY486" s="57">
        <f t="shared" si="374"/>
        <v>0</v>
      </c>
      <c r="BZ486" s="8">
        <f t="shared" si="347"/>
        <v>0</v>
      </c>
      <c r="CA486" s="8">
        <f t="shared" si="348"/>
        <v>0</v>
      </c>
      <c r="CB486" s="8">
        <f t="shared" si="349"/>
        <v>0</v>
      </c>
      <c r="CC486" s="8">
        <f t="shared" si="350"/>
        <v>0</v>
      </c>
      <c r="CD486" s="8">
        <f t="shared" si="351"/>
        <v>0</v>
      </c>
      <c r="CE486" s="8">
        <f t="shared" si="352"/>
        <v>0</v>
      </c>
      <c r="CF486" s="8">
        <f t="shared" si="353"/>
        <v>0</v>
      </c>
      <c r="CG486" s="8">
        <f t="shared" si="354"/>
        <v>0</v>
      </c>
      <c r="CH486" s="8">
        <f t="shared" si="355"/>
        <v>0</v>
      </c>
      <c r="CI486" s="8">
        <f t="shared" si="356"/>
        <v>0</v>
      </c>
      <c r="CJ486" s="8">
        <f t="shared" si="357"/>
        <v>0</v>
      </c>
      <c r="CK486" s="8">
        <f t="shared" si="358"/>
        <v>0</v>
      </c>
      <c r="CL486" s="8">
        <f t="shared" si="359"/>
        <v>0</v>
      </c>
      <c r="CM486" s="8">
        <f t="shared" si="360"/>
        <v>0</v>
      </c>
      <c r="CN486" s="8">
        <f t="shared" si="361"/>
        <v>0</v>
      </c>
      <c r="CO486" s="8">
        <f t="shared" si="362"/>
        <v>0</v>
      </c>
      <c r="CP486" s="8">
        <f t="shared" si="363"/>
        <v>0</v>
      </c>
      <c r="CQ486" s="8">
        <f t="shared" si="364"/>
        <v>0</v>
      </c>
      <c r="CR486" s="8">
        <f t="shared" si="365"/>
        <v>0</v>
      </c>
      <c r="CS486" s="8">
        <f t="shared" si="366"/>
        <v>0</v>
      </c>
      <c r="CT486" s="8">
        <f t="shared" si="371"/>
        <v>0</v>
      </c>
      <c r="CU486" s="8">
        <f t="shared" si="372"/>
        <v>0</v>
      </c>
      <c r="CV486" s="8">
        <f t="shared" si="373"/>
        <v>0</v>
      </c>
    </row>
    <row r="487" spans="1:100" ht="20.5" thickTop="1" thickBot="1" x14ac:dyDescent="0.5">
      <c r="A487" s="32"/>
      <c r="B487" s="10"/>
      <c r="C487" s="10"/>
      <c r="D487" s="11"/>
      <c r="E487" s="10"/>
      <c r="F487" s="10"/>
      <c r="G487" s="19"/>
      <c r="H487" s="19"/>
      <c r="I487" s="19"/>
      <c r="J487" s="19"/>
      <c r="K487" s="10"/>
      <c r="L487" s="10"/>
      <c r="M487" s="10"/>
      <c r="N487" s="10"/>
      <c r="O487" s="18"/>
      <c r="P487" s="18"/>
      <c r="Q487" s="21"/>
      <c r="R487" s="20"/>
      <c r="S487" s="16">
        <f t="shared" si="329"/>
        <v>0</v>
      </c>
      <c r="T487" s="11"/>
      <c r="AS487" s="31">
        <f t="shared" si="330"/>
        <v>0</v>
      </c>
      <c r="AT487" s="31">
        <f t="shared" si="331"/>
        <v>0</v>
      </c>
      <c r="AU487" s="31">
        <f t="shared" si="332"/>
        <v>0</v>
      </c>
      <c r="AV487" s="31">
        <f t="shared" si="333"/>
        <v>0</v>
      </c>
      <c r="AW487" s="31">
        <f t="shared" si="334"/>
        <v>0</v>
      </c>
      <c r="AX487" s="31">
        <f t="shared" si="335"/>
        <v>0</v>
      </c>
      <c r="AY487" s="31">
        <f t="shared" si="336"/>
        <v>0</v>
      </c>
      <c r="AZ487" s="31">
        <f t="shared" si="337"/>
        <v>0</v>
      </c>
      <c r="BA487" s="31">
        <f t="shared" si="338"/>
        <v>0</v>
      </c>
      <c r="BB487" s="31">
        <f t="shared" si="367"/>
        <v>0</v>
      </c>
      <c r="BM487" s="8">
        <f t="shared" si="368"/>
        <v>0</v>
      </c>
      <c r="BN487" s="8">
        <f t="shared" si="339"/>
        <v>0</v>
      </c>
      <c r="BO487" s="8">
        <f t="shared" si="340"/>
        <v>0</v>
      </c>
      <c r="BQ487" s="8">
        <f t="shared" si="341"/>
        <v>0</v>
      </c>
      <c r="BR487" s="63">
        <f t="shared" si="342"/>
        <v>0</v>
      </c>
      <c r="BS487" s="63">
        <f t="shared" si="369"/>
        <v>0</v>
      </c>
      <c r="BT487" s="63">
        <f t="shared" si="343"/>
        <v>0</v>
      </c>
      <c r="BU487" s="63">
        <f t="shared" si="344"/>
        <v>0</v>
      </c>
      <c r="BV487" s="57">
        <f t="shared" si="345"/>
        <v>0</v>
      </c>
      <c r="BW487" s="57">
        <f t="shared" si="346"/>
        <v>0</v>
      </c>
      <c r="BX487" s="57">
        <f t="shared" si="370"/>
        <v>0</v>
      </c>
      <c r="BY487" s="57">
        <f t="shared" si="374"/>
        <v>0</v>
      </c>
      <c r="BZ487" s="8">
        <f t="shared" si="347"/>
        <v>0</v>
      </c>
      <c r="CA487" s="8">
        <f t="shared" si="348"/>
        <v>0</v>
      </c>
      <c r="CB487" s="8">
        <f t="shared" si="349"/>
        <v>0</v>
      </c>
      <c r="CC487" s="8">
        <f t="shared" si="350"/>
        <v>0</v>
      </c>
      <c r="CD487" s="8">
        <f t="shared" si="351"/>
        <v>0</v>
      </c>
      <c r="CE487" s="8">
        <f t="shared" si="352"/>
        <v>0</v>
      </c>
      <c r="CF487" s="8">
        <f t="shared" si="353"/>
        <v>0</v>
      </c>
      <c r="CG487" s="8">
        <f t="shared" si="354"/>
        <v>0</v>
      </c>
      <c r="CH487" s="8">
        <f t="shared" si="355"/>
        <v>0</v>
      </c>
      <c r="CI487" s="8">
        <f t="shared" si="356"/>
        <v>0</v>
      </c>
      <c r="CJ487" s="8">
        <f t="shared" si="357"/>
        <v>0</v>
      </c>
      <c r="CK487" s="8">
        <f t="shared" si="358"/>
        <v>0</v>
      </c>
      <c r="CL487" s="8">
        <f t="shared" si="359"/>
        <v>0</v>
      </c>
      <c r="CM487" s="8">
        <f t="shared" si="360"/>
        <v>0</v>
      </c>
      <c r="CN487" s="8">
        <f t="shared" si="361"/>
        <v>0</v>
      </c>
      <c r="CO487" s="8">
        <f t="shared" si="362"/>
        <v>0</v>
      </c>
      <c r="CP487" s="8">
        <f t="shared" si="363"/>
        <v>0</v>
      </c>
      <c r="CQ487" s="8">
        <f t="shared" si="364"/>
        <v>0</v>
      </c>
      <c r="CR487" s="8">
        <f t="shared" si="365"/>
        <v>0</v>
      </c>
      <c r="CS487" s="8">
        <f t="shared" si="366"/>
        <v>0</v>
      </c>
      <c r="CT487" s="8">
        <f t="shared" si="371"/>
        <v>0</v>
      </c>
      <c r="CU487" s="8">
        <f t="shared" si="372"/>
        <v>0</v>
      </c>
      <c r="CV487" s="8">
        <f t="shared" si="373"/>
        <v>0</v>
      </c>
    </row>
    <row r="488" spans="1:100" ht="20.5" thickTop="1" thickBot="1" x14ac:dyDescent="0.5">
      <c r="A488" s="32"/>
      <c r="B488" s="10"/>
      <c r="C488" s="10"/>
      <c r="D488" s="11"/>
      <c r="E488" s="10"/>
      <c r="F488" s="10"/>
      <c r="G488" s="19"/>
      <c r="H488" s="19"/>
      <c r="I488" s="19"/>
      <c r="J488" s="19"/>
      <c r="K488" s="10"/>
      <c r="L488" s="10"/>
      <c r="M488" s="10"/>
      <c r="N488" s="10"/>
      <c r="O488" s="18"/>
      <c r="P488" s="18"/>
      <c r="Q488" s="21"/>
      <c r="R488" s="20"/>
      <c r="S488" s="16">
        <f t="shared" si="329"/>
        <v>0</v>
      </c>
      <c r="T488" s="11"/>
      <c r="AS488" s="31">
        <f t="shared" si="330"/>
        <v>0</v>
      </c>
      <c r="AT488" s="31">
        <f t="shared" si="331"/>
        <v>0</v>
      </c>
      <c r="AU488" s="31">
        <f t="shared" si="332"/>
        <v>0</v>
      </c>
      <c r="AV488" s="31">
        <f t="shared" si="333"/>
        <v>0</v>
      </c>
      <c r="AW488" s="31">
        <f t="shared" si="334"/>
        <v>0</v>
      </c>
      <c r="AX488" s="31">
        <f t="shared" si="335"/>
        <v>0</v>
      </c>
      <c r="AY488" s="31">
        <f t="shared" si="336"/>
        <v>0</v>
      </c>
      <c r="AZ488" s="31">
        <f t="shared" si="337"/>
        <v>0</v>
      </c>
      <c r="BA488" s="31">
        <f t="shared" si="338"/>
        <v>0</v>
      </c>
      <c r="BB488" s="31">
        <f t="shared" si="367"/>
        <v>0</v>
      </c>
      <c r="BM488" s="8">
        <f t="shared" si="368"/>
        <v>0</v>
      </c>
      <c r="BN488" s="8">
        <f t="shared" si="339"/>
        <v>0</v>
      </c>
      <c r="BO488" s="8">
        <f t="shared" si="340"/>
        <v>0</v>
      </c>
      <c r="BQ488" s="8">
        <f t="shared" si="341"/>
        <v>0</v>
      </c>
      <c r="BR488" s="63">
        <f t="shared" si="342"/>
        <v>0</v>
      </c>
      <c r="BS488" s="63">
        <f t="shared" si="369"/>
        <v>0</v>
      </c>
      <c r="BT488" s="63">
        <f t="shared" si="343"/>
        <v>0</v>
      </c>
      <c r="BU488" s="63">
        <f t="shared" si="344"/>
        <v>0</v>
      </c>
      <c r="BV488" s="57">
        <f t="shared" si="345"/>
        <v>0</v>
      </c>
      <c r="BW488" s="57">
        <f t="shared" si="346"/>
        <v>0</v>
      </c>
      <c r="BX488" s="57">
        <f t="shared" si="370"/>
        <v>0</v>
      </c>
      <c r="BY488" s="57">
        <f t="shared" si="374"/>
        <v>0</v>
      </c>
      <c r="BZ488" s="8">
        <f t="shared" si="347"/>
        <v>0</v>
      </c>
      <c r="CA488" s="8">
        <f t="shared" si="348"/>
        <v>0</v>
      </c>
      <c r="CB488" s="8">
        <f t="shared" si="349"/>
        <v>0</v>
      </c>
      <c r="CC488" s="8">
        <f t="shared" si="350"/>
        <v>0</v>
      </c>
      <c r="CD488" s="8">
        <f t="shared" si="351"/>
        <v>0</v>
      </c>
      <c r="CE488" s="8">
        <f t="shared" si="352"/>
        <v>0</v>
      </c>
      <c r="CF488" s="8">
        <f t="shared" si="353"/>
        <v>0</v>
      </c>
      <c r="CG488" s="8">
        <f t="shared" si="354"/>
        <v>0</v>
      </c>
      <c r="CH488" s="8">
        <f t="shared" si="355"/>
        <v>0</v>
      </c>
      <c r="CI488" s="8">
        <f t="shared" si="356"/>
        <v>0</v>
      </c>
      <c r="CJ488" s="8">
        <f t="shared" si="357"/>
        <v>0</v>
      </c>
      <c r="CK488" s="8">
        <f t="shared" si="358"/>
        <v>0</v>
      </c>
      <c r="CL488" s="8">
        <f t="shared" si="359"/>
        <v>0</v>
      </c>
      <c r="CM488" s="8">
        <f t="shared" si="360"/>
        <v>0</v>
      </c>
      <c r="CN488" s="8">
        <f t="shared" si="361"/>
        <v>0</v>
      </c>
      <c r="CO488" s="8">
        <f t="shared" si="362"/>
        <v>0</v>
      </c>
      <c r="CP488" s="8">
        <f t="shared" si="363"/>
        <v>0</v>
      </c>
      <c r="CQ488" s="8">
        <f t="shared" si="364"/>
        <v>0</v>
      </c>
      <c r="CR488" s="8">
        <f t="shared" si="365"/>
        <v>0</v>
      </c>
      <c r="CS488" s="8">
        <f t="shared" si="366"/>
        <v>0</v>
      </c>
      <c r="CT488" s="8">
        <f t="shared" si="371"/>
        <v>0</v>
      </c>
      <c r="CU488" s="8">
        <f t="shared" si="372"/>
        <v>0</v>
      </c>
      <c r="CV488" s="8">
        <f t="shared" si="373"/>
        <v>0</v>
      </c>
    </row>
    <row r="489" spans="1:100" ht="20.5" thickTop="1" thickBot="1" x14ac:dyDescent="0.5">
      <c r="A489" s="32"/>
      <c r="B489" s="10"/>
      <c r="C489" s="10"/>
      <c r="D489" s="11"/>
      <c r="E489" s="10"/>
      <c r="F489" s="10"/>
      <c r="G489" s="19"/>
      <c r="H489" s="19"/>
      <c r="I489" s="19"/>
      <c r="J489" s="19"/>
      <c r="K489" s="10"/>
      <c r="L489" s="10"/>
      <c r="M489" s="10"/>
      <c r="N489" s="10"/>
      <c r="O489" s="18"/>
      <c r="P489" s="18"/>
      <c r="Q489" s="21"/>
      <c r="R489" s="20"/>
      <c r="S489" s="16">
        <f t="shared" si="329"/>
        <v>0</v>
      </c>
      <c r="T489" s="11"/>
      <c r="AS489" s="31">
        <f t="shared" si="330"/>
        <v>0</v>
      </c>
      <c r="AT489" s="31">
        <f t="shared" si="331"/>
        <v>0</v>
      </c>
      <c r="AU489" s="31">
        <f t="shared" si="332"/>
        <v>0</v>
      </c>
      <c r="AV489" s="31">
        <f t="shared" si="333"/>
        <v>0</v>
      </c>
      <c r="AW489" s="31">
        <f t="shared" si="334"/>
        <v>0</v>
      </c>
      <c r="AX489" s="31">
        <f t="shared" si="335"/>
        <v>0</v>
      </c>
      <c r="AY489" s="31">
        <f t="shared" si="336"/>
        <v>0</v>
      </c>
      <c r="AZ489" s="31">
        <f t="shared" si="337"/>
        <v>0</v>
      </c>
      <c r="BA489" s="31">
        <f t="shared" si="338"/>
        <v>0</v>
      </c>
      <c r="BB489" s="31">
        <f t="shared" si="367"/>
        <v>0</v>
      </c>
      <c r="BM489" s="8">
        <f t="shared" si="368"/>
        <v>0</v>
      </c>
      <c r="BN489" s="8">
        <f t="shared" si="339"/>
        <v>0</v>
      </c>
      <c r="BO489" s="8">
        <f t="shared" si="340"/>
        <v>0</v>
      </c>
      <c r="BQ489" s="8">
        <f t="shared" si="341"/>
        <v>0</v>
      </c>
      <c r="BR489" s="63">
        <f t="shared" si="342"/>
        <v>0</v>
      </c>
      <c r="BS489" s="63">
        <f t="shared" si="369"/>
        <v>0</v>
      </c>
      <c r="BT489" s="63">
        <f t="shared" si="343"/>
        <v>0</v>
      </c>
      <c r="BU489" s="63">
        <f t="shared" si="344"/>
        <v>0</v>
      </c>
      <c r="BV489" s="57">
        <f t="shared" si="345"/>
        <v>0</v>
      </c>
      <c r="BW489" s="57">
        <f t="shared" si="346"/>
        <v>0</v>
      </c>
      <c r="BX489" s="57">
        <f t="shared" si="370"/>
        <v>0</v>
      </c>
      <c r="BY489" s="57">
        <f t="shared" si="374"/>
        <v>0</v>
      </c>
      <c r="BZ489" s="8">
        <f t="shared" si="347"/>
        <v>0</v>
      </c>
      <c r="CA489" s="8">
        <f t="shared" si="348"/>
        <v>0</v>
      </c>
      <c r="CB489" s="8">
        <f t="shared" si="349"/>
        <v>0</v>
      </c>
      <c r="CC489" s="8">
        <f t="shared" si="350"/>
        <v>0</v>
      </c>
      <c r="CD489" s="8">
        <f t="shared" si="351"/>
        <v>0</v>
      </c>
      <c r="CE489" s="8">
        <f t="shared" si="352"/>
        <v>0</v>
      </c>
      <c r="CF489" s="8">
        <f t="shared" si="353"/>
        <v>0</v>
      </c>
      <c r="CG489" s="8">
        <f t="shared" si="354"/>
        <v>0</v>
      </c>
      <c r="CH489" s="8">
        <f t="shared" si="355"/>
        <v>0</v>
      </c>
      <c r="CI489" s="8">
        <f t="shared" si="356"/>
        <v>0</v>
      </c>
      <c r="CJ489" s="8">
        <f t="shared" si="357"/>
        <v>0</v>
      </c>
      <c r="CK489" s="8">
        <f t="shared" si="358"/>
        <v>0</v>
      </c>
      <c r="CL489" s="8">
        <f t="shared" si="359"/>
        <v>0</v>
      </c>
      <c r="CM489" s="8">
        <f t="shared" si="360"/>
        <v>0</v>
      </c>
      <c r="CN489" s="8">
        <f t="shared" si="361"/>
        <v>0</v>
      </c>
      <c r="CO489" s="8">
        <f t="shared" si="362"/>
        <v>0</v>
      </c>
      <c r="CP489" s="8">
        <f t="shared" si="363"/>
        <v>0</v>
      </c>
      <c r="CQ489" s="8">
        <f t="shared" si="364"/>
        <v>0</v>
      </c>
      <c r="CR489" s="8">
        <f t="shared" si="365"/>
        <v>0</v>
      </c>
      <c r="CS489" s="8">
        <f t="shared" si="366"/>
        <v>0</v>
      </c>
      <c r="CT489" s="8">
        <f t="shared" si="371"/>
        <v>0</v>
      </c>
      <c r="CU489" s="8">
        <f t="shared" si="372"/>
        <v>0</v>
      </c>
      <c r="CV489" s="8">
        <f t="shared" si="373"/>
        <v>0</v>
      </c>
    </row>
    <row r="490" spans="1:100" ht="20.5" thickTop="1" thickBot="1" x14ac:dyDescent="0.5">
      <c r="A490" s="32"/>
      <c r="B490" s="10"/>
      <c r="C490" s="10"/>
      <c r="D490" s="11"/>
      <c r="E490" s="10"/>
      <c r="F490" s="10"/>
      <c r="G490" s="19"/>
      <c r="H490" s="19"/>
      <c r="I490" s="19"/>
      <c r="J490" s="19"/>
      <c r="K490" s="10"/>
      <c r="L490" s="10"/>
      <c r="M490" s="10"/>
      <c r="N490" s="10"/>
      <c r="O490" s="18"/>
      <c r="P490" s="18"/>
      <c r="Q490" s="21"/>
      <c r="R490" s="20"/>
      <c r="S490" s="16">
        <f t="shared" si="329"/>
        <v>0</v>
      </c>
      <c r="T490" s="11"/>
      <c r="AS490" s="31">
        <f t="shared" si="330"/>
        <v>0</v>
      </c>
      <c r="AT490" s="31">
        <f t="shared" si="331"/>
        <v>0</v>
      </c>
      <c r="AU490" s="31">
        <f t="shared" si="332"/>
        <v>0</v>
      </c>
      <c r="AV490" s="31">
        <f t="shared" si="333"/>
        <v>0</v>
      </c>
      <c r="AW490" s="31">
        <f t="shared" si="334"/>
        <v>0</v>
      </c>
      <c r="AX490" s="31">
        <f t="shared" si="335"/>
        <v>0</v>
      </c>
      <c r="AY490" s="31">
        <f t="shared" si="336"/>
        <v>0</v>
      </c>
      <c r="AZ490" s="31">
        <f t="shared" si="337"/>
        <v>0</v>
      </c>
      <c r="BA490" s="31">
        <f t="shared" si="338"/>
        <v>0</v>
      </c>
      <c r="BB490" s="31">
        <f t="shared" si="367"/>
        <v>0</v>
      </c>
      <c r="BM490" s="8">
        <f t="shared" si="368"/>
        <v>0</v>
      </c>
      <c r="BN490" s="8">
        <f t="shared" si="339"/>
        <v>0</v>
      </c>
      <c r="BO490" s="8">
        <f t="shared" si="340"/>
        <v>0</v>
      </c>
      <c r="BQ490" s="8">
        <f t="shared" si="341"/>
        <v>0</v>
      </c>
      <c r="BR490" s="63">
        <f t="shared" si="342"/>
        <v>0</v>
      </c>
      <c r="BS490" s="63">
        <f t="shared" si="369"/>
        <v>0</v>
      </c>
      <c r="BT490" s="63">
        <f t="shared" si="343"/>
        <v>0</v>
      </c>
      <c r="BU490" s="63">
        <f t="shared" si="344"/>
        <v>0</v>
      </c>
      <c r="BV490" s="57">
        <f t="shared" si="345"/>
        <v>0</v>
      </c>
      <c r="BW490" s="57">
        <f t="shared" si="346"/>
        <v>0</v>
      </c>
      <c r="BX490" s="57">
        <f t="shared" si="370"/>
        <v>0</v>
      </c>
      <c r="BY490" s="57">
        <f t="shared" si="374"/>
        <v>0</v>
      </c>
      <c r="BZ490" s="8">
        <f t="shared" si="347"/>
        <v>0</v>
      </c>
      <c r="CA490" s="8">
        <f t="shared" si="348"/>
        <v>0</v>
      </c>
      <c r="CB490" s="8">
        <f t="shared" si="349"/>
        <v>0</v>
      </c>
      <c r="CC490" s="8">
        <f t="shared" si="350"/>
        <v>0</v>
      </c>
      <c r="CD490" s="8">
        <f t="shared" si="351"/>
        <v>0</v>
      </c>
      <c r="CE490" s="8">
        <f t="shared" si="352"/>
        <v>0</v>
      </c>
      <c r="CF490" s="8">
        <f t="shared" si="353"/>
        <v>0</v>
      </c>
      <c r="CG490" s="8">
        <f t="shared" si="354"/>
        <v>0</v>
      </c>
      <c r="CH490" s="8">
        <f t="shared" si="355"/>
        <v>0</v>
      </c>
      <c r="CI490" s="8">
        <f t="shared" si="356"/>
        <v>0</v>
      </c>
      <c r="CJ490" s="8">
        <f t="shared" si="357"/>
        <v>0</v>
      </c>
      <c r="CK490" s="8">
        <f t="shared" si="358"/>
        <v>0</v>
      </c>
      <c r="CL490" s="8">
        <f t="shared" si="359"/>
        <v>0</v>
      </c>
      <c r="CM490" s="8">
        <f t="shared" si="360"/>
        <v>0</v>
      </c>
      <c r="CN490" s="8">
        <f t="shared" si="361"/>
        <v>0</v>
      </c>
      <c r="CO490" s="8">
        <f t="shared" si="362"/>
        <v>0</v>
      </c>
      <c r="CP490" s="8">
        <f t="shared" si="363"/>
        <v>0</v>
      </c>
      <c r="CQ490" s="8">
        <f t="shared" si="364"/>
        <v>0</v>
      </c>
      <c r="CR490" s="8">
        <f t="shared" si="365"/>
        <v>0</v>
      </c>
      <c r="CS490" s="8">
        <f t="shared" si="366"/>
        <v>0</v>
      </c>
      <c r="CT490" s="8">
        <f t="shared" si="371"/>
        <v>0</v>
      </c>
      <c r="CU490" s="8">
        <f t="shared" si="372"/>
        <v>0</v>
      </c>
      <c r="CV490" s="8">
        <f t="shared" si="373"/>
        <v>0</v>
      </c>
    </row>
    <row r="491" spans="1:100" ht="20.5" thickTop="1" thickBot="1" x14ac:dyDescent="0.5">
      <c r="A491" s="32"/>
      <c r="B491" s="10"/>
      <c r="C491" s="10"/>
      <c r="D491" s="11"/>
      <c r="E491" s="10"/>
      <c r="F491" s="10"/>
      <c r="G491" s="19"/>
      <c r="H491" s="19"/>
      <c r="I491" s="19"/>
      <c r="J491" s="19"/>
      <c r="K491" s="10"/>
      <c r="L491" s="10"/>
      <c r="M491" s="10"/>
      <c r="N491" s="10"/>
      <c r="O491" s="18"/>
      <c r="P491" s="18"/>
      <c r="Q491" s="21"/>
      <c r="R491" s="20"/>
      <c r="S491" s="16">
        <f t="shared" si="329"/>
        <v>0</v>
      </c>
      <c r="T491" s="11"/>
      <c r="AS491" s="31">
        <f t="shared" si="330"/>
        <v>0</v>
      </c>
      <c r="AT491" s="31">
        <f t="shared" si="331"/>
        <v>0</v>
      </c>
      <c r="AU491" s="31">
        <f t="shared" si="332"/>
        <v>0</v>
      </c>
      <c r="AV491" s="31">
        <f t="shared" si="333"/>
        <v>0</v>
      </c>
      <c r="AW491" s="31">
        <f t="shared" si="334"/>
        <v>0</v>
      </c>
      <c r="AX491" s="31">
        <f t="shared" si="335"/>
        <v>0</v>
      </c>
      <c r="AY491" s="31">
        <f t="shared" si="336"/>
        <v>0</v>
      </c>
      <c r="AZ491" s="31">
        <f t="shared" si="337"/>
        <v>0</v>
      </c>
      <c r="BA491" s="31">
        <f t="shared" si="338"/>
        <v>0</v>
      </c>
      <c r="BB491" s="31">
        <f t="shared" si="367"/>
        <v>0</v>
      </c>
      <c r="BM491" s="8">
        <f t="shared" si="368"/>
        <v>0</v>
      </c>
      <c r="BN491" s="8">
        <f t="shared" si="339"/>
        <v>0</v>
      </c>
      <c r="BO491" s="8">
        <f t="shared" si="340"/>
        <v>0</v>
      </c>
      <c r="BQ491" s="8">
        <f t="shared" si="341"/>
        <v>0</v>
      </c>
      <c r="BR491" s="63">
        <f t="shared" si="342"/>
        <v>0</v>
      </c>
      <c r="BS491" s="63">
        <f t="shared" si="369"/>
        <v>0</v>
      </c>
      <c r="BT491" s="63">
        <f t="shared" si="343"/>
        <v>0</v>
      </c>
      <c r="BU491" s="63">
        <f t="shared" si="344"/>
        <v>0</v>
      </c>
      <c r="BV491" s="57">
        <f t="shared" si="345"/>
        <v>0</v>
      </c>
      <c r="BW491" s="57">
        <f t="shared" si="346"/>
        <v>0</v>
      </c>
      <c r="BX491" s="57">
        <f t="shared" si="370"/>
        <v>0</v>
      </c>
      <c r="BY491" s="57">
        <f t="shared" si="374"/>
        <v>0</v>
      </c>
      <c r="BZ491" s="8">
        <f t="shared" si="347"/>
        <v>0</v>
      </c>
      <c r="CA491" s="8">
        <f t="shared" si="348"/>
        <v>0</v>
      </c>
      <c r="CB491" s="8">
        <f t="shared" si="349"/>
        <v>0</v>
      </c>
      <c r="CC491" s="8">
        <f t="shared" si="350"/>
        <v>0</v>
      </c>
      <c r="CD491" s="8">
        <f t="shared" si="351"/>
        <v>0</v>
      </c>
      <c r="CE491" s="8">
        <f t="shared" si="352"/>
        <v>0</v>
      </c>
      <c r="CF491" s="8">
        <f t="shared" si="353"/>
        <v>0</v>
      </c>
      <c r="CG491" s="8">
        <f t="shared" si="354"/>
        <v>0</v>
      </c>
      <c r="CH491" s="8">
        <f t="shared" si="355"/>
        <v>0</v>
      </c>
      <c r="CI491" s="8">
        <f t="shared" si="356"/>
        <v>0</v>
      </c>
      <c r="CJ491" s="8">
        <f t="shared" si="357"/>
        <v>0</v>
      </c>
      <c r="CK491" s="8">
        <f t="shared" si="358"/>
        <v>0</v>
      </c>
      <c r="CL491" s="8">
        <f t="shared" si="359"/>
        <v>0</v>
      </c>
      <c r="CM491" s="8">
        <f t="shared" si="360"/>
        <v>0</v>
      </c>
      <c r="CN491" s="8">
        <f t="shared" si="361"/>
        <v>0</v>
      </c>
      <c r="CO491" s="8">
        <f t="shared" si="362"/>
        <v>0</v>
      </c>
      <c r="CP491" s="8">
        <f t="shared" si="363"/>
        <v>0</v>
      </c>
      <c r="CQ491" s="8">
        <f t="shared" si="364"/>
        <v>0</v>
      </c>
      <c r="CR491" s="8">
        <f t="shared" si="365"/>
        <v>0</v>
      </c>
      <c r="CS491" s="8">
        <f t="shared" si="366"/>
        <v>0</v>
      </c>
      <c r="CT491" s="8">
        <f t="shared" si="371"/>
        <v>0</v>
      </c>
      <c r="CU491" s="8">
        <f t="shared" si="372"/>
        <v>0</v>
      </c>
      <c r="CV491" s="8">
        <f t="shared" si="373"/>
        <v>0</v>
      </c>
    </row>
    <row r="492" spans="1:100" ht="20.5" thickTop="1" thickBot="1" x14ac:dyDescent="0.5">
      <c r="A492" s="32"/>
      <c r="B492" s="10"/>
      <c r="C492" s="10"/>
      <c r="D492" s="11"/>
      <c r="E492" s="10"/>
      <c r="F492" s="10"/>
      <c r="G492" s="19"/>
      <c r="H492" s="19"/>
      <c r="I492" s="19"/>
      <c r="J492" s="19"/>
      <c r="K492" s="10"/>
      <c r="L492" s="10"/>
      <c r="M492" s="10"/>
      <c r="N492" s="10"/>
      <c r="O492" s="18"/>
      <c r="P492" s="18"/>
      <c r="Q492" s="21"/>
      <c r="R492" s="20"/>
      <c r="S492" s="16">
        <f t="shared" si="329"/>
        <v>0</v>
      </c>
      <c r="T492" s="11"/>
      <c r="AS492" s="31">
        <f t="shared" si="330"/>
        <v>0</v>
      </c>
      <c r="AT492" s="31">
        <f t="shared" si="331"/>
        <v>0</v>
      </c>
      <c r="AU492" s="31">
        <f t="shared" si="332"/>
        <v>0</v>
      </c>
      <c r="AV492" s="31">
        <f t="shared" si="333"/>
        <v>0</v>
      </c>
      <c r="AW492" s="31">
        <f t="shared" si="334"/>
        <v>0</v>
      </c>
      <c r="AX492" s="31">
        <f t="shared" si="335"/>
        <v>0</v>
      </c>
      <c r="AY492" s="31">
        <f t="shared" si="336"/>
        <v>0</v>
      </c>
      <c r="AZ492" s="31">
        <f t="shared" si="337"/>
        <v>0</v>
      </c>
      <c r="BA492" s="31">
        <f t="shared" si="338"/>
        <v>0</v>
      </c>
      <c r="BB492" s="31">
        <f t="shared" si="367"/>
        <v>0</v>
      </c>
      <c r="BM492" s="8">
        <f t="shared" si="368"/>
        <v>0</v>
      </c>
      <c r="BN492" s="8">
        <f t="shared" si="339"/>
        <v>0</v>
      </c>
      <c r="BO492" s="8">
        <f t="shared" si="340"/>
        <v>0</v>
      </c>
      <c r="BQ492" s="8">
        <f t="shared" si="341"/>
        <v>0</v>
      </c>
      <c r="BR492" s="63">
        <f t="shared" si="342"/>
        <v>0</v>
      </c>
      <c r="BS492" s="63">
        <f t="shared" si="369"/>
        <v>0</v>
      </c>
      <c r="BT492" s="63">
        <f t="shared" si="343"/>
        <v>0</v>
      </c>
      <c r="BU492" s="63">
        <f t="shared" si="344"/>
        <v>0</v>
      </c>
      <c r="BV492" s="57">
        <f t="shared" si="345"/>
        <v>0</v>
      </c>
      <c r="BW492" s="57">
        <f t="shared" si="346"/>
        <v>0</v>
      </c>
      <c r="BX492" s="57">
        <f t="shared" si="370"/>
        <v>0</v>
      </c>
      <c r="BY492" s="57">
        <f t="shared" si="374"/>
        <v>0</v>
      </c>
      <c r="BZ492" s="8">
        <f t="shared" si="347"/>
        <v>0</v>
      </c>
      <c r="CA492" s="8">
        <f t="shared" si="348"/>
        <v>0</v>
      </c>
      <c r="CB492" s="8">
        <f t="shared" si="349"/>
        <v>0</v>
      </c>
      <c r="CC492" s="8">
        <f t="shared" si="350"/>
        <v>0</v>
      </c>
      <c r="CD492" s="8">
        <f t="shared" si="351"/>
        <v>0</v>
      </c>
      <c r="CE492" s="8">
        <f t="shared" si="352"/>
        <v>0</v>
      </c>
      <c r="CF492" s="8">
        <f t="shared" si="353"/>
        <v>0</v>
      </c>
      <c r="CG492" s="8">
        <f t="shared" si="354"/>
        <v>0</v>
      </c>
      <c r="CH492" s="8">
        <f t="shared" si="355"/>
        <v>0</v>
      </c>
      <c r="CI492" s="8">
        <f t="shared" si="356"/>
        <v>0</v>
      </c>
      <c r="CJ492" s="8">
        <f t="shared" si="357"/>
        <v>0</v>
      </c>
      <c r="CK492" s="8">
        <f t="shared" si="358"/>
        <v>0</v>
      </c>
      <c r="CL492" s="8">
        <f t="shared" si="359"/>
        <v>0</v>
      </c>
      <c r="CM492" s="8">
        <f t="shared" si="360"/>
        <v>0</v>
      </c>
      <c r="CN492" s="8">
        <f t="shared" si="361"/>
        <v>0</v>
      </c>
      <c r="CO492" s="8">
        <f t="shared" si="362"/>
        <v>0</v>
      </c>
      <c r="CP492" s="8">
        <f t="shared" si="363"/>
        <v>0</v>
      </c>
      <c r="CQ492" s="8">
        <f t="shared" si="364"/>
        <v>0</v>
      </c>
      <c r="CR492" s="8">
        <f t="shared" si="365"/>
        <v>0</v>
      </c>
      <c r="CS492" s="8">
        <f t="shared" si="366"/>
        <v>0</v>
      </c>
      <c r="CT492" s="8">
        <f t="shared" si="371"/>
        <v>0</v>
      </c>
      <c r="CU492" s="8">
        <f t="shared" si="372"/>
        <v>0</v>
      </c>
      <c r="CV492" s="8">
        <f t="shared" si="373"/>
        <v>0</v>
      </c>
    </row>
    <row r="493" spans="1:100" ht="20.5" thickTop="1" thickBot="1" x14ac:dyDescent="0.5">
      <c r="A493" s="32"/>
      <c r="B493" s="10"/>
      <c r="C493" s="10"/>
      <c r="D493" s="11"/>
      <c r="E493" s="10"/>
      <c r="F493" s="10"/>
      <c r="G493" s="19"/>
      <c r="H493" s="19"/>
      <c r="I493" s="19"/>
      <c r="J493" s="19"/>
      <c r="K493" s="10"/>
      <c r="L493" s="10"/>
      <c r="M493" s="10"/>
      <c r="N493" s="10"/>
      <c r="O493" s="18"/>
      <c r="P493" s="18"/>
      <c r="Q493" s="21"/>
      <c r="R493" s="20"/>
      <c r="S493" s="16">
        <f t="shared" si="329"/>
        <v>0</v>
      </c>
      <c r="T493" s="11"/>
      <c r="AS493" s="31">
        <f t="shared" si="330"/>
        <v>0</v>
      </c>
      <c r="AT493" s="31">
        <f t="shared" si="331"/>
        <v>0</v>
      </c>
      <c r="AU493" s="31">
        <f t="shared" si="332"/>
        <v>0</v>
      </c>
      <c r="AV493" s="31">
        <f t="shared" si="333"/>
        <v>0</v>
      </c>
      <c r="AW493" s="31">
        <f t="shared" si="334"/>
        <v>0</v>
      </c>
      <c r="AX493" s="31">
        <f t="shared" si="335"/>
        <v>0</v>
      </c>
      <c r="AY493" s="31">
        <f t="shared" si="336"/>
        <v>0</v>
      </c>
      <c r="AZ493" s="31">
        <f t="shared" si="337"/>
        <v>0</v>
      </c>
      <c r="BA493" s="31">
        <f t="shared" si="338"/>
        <v>0</v>
      </c>
      <c r="BB493" s="31">
        <f t="shared" si="367"/>
        <v>0</v>
      </c>
      <c r="BM493" s="8">
        <f t="shared" si="368"/>
        <v>0</v>
      </c>
      <c r="BN493" s="8">
        <f t="shared" si="339"/>
        <v>0</v>
      </c>
      <c r="BO493" s="8">
        <f t="shared" si="340"/>
        <v>0</v>
      </c>
      <c r="BQ493" s="8">
        <f t="shared" si="341"/>
        <v>0</v>
      </c>
      <c r="BR493" s="63">
        <f t="shared" si="342"/>
        <v>0</v>
      </c>
      <c r="BS493" s="63">
        <f t="shared" si="369"/>
        <v>0</v>
      </c>
      <c r="BT493" s="63">
        <f t="shared" si="343"/>
        <v>0</v>
      </c>
      <c r="BU493" s="63">
        <f t="shared" si="344"/>
        <v>0</v>
      </c>
      <c r="BV493" s="57">
        <f t="shared" si="345"/>
        <v>0</v>
      </c>
      <c r="BW493" s="57">
        <f t="shared" si="346"/>
        <v>0</v>
      </c>
      <c r="BX493" s="57">
        <f t="shared" si="370"/>
        <v>0</v>
      </c>
      <c r="BY493" s="57">
        <f t="shared" si="374"/>
        <v>0</v>
      </c>
      <c r="BZ493" s="8">
        <f t="shared" si="347"/>
        <v>0</v>
      </c>
      <c r="CA493" s="8">
        <f t="shared" si="348"/>
        <v>0</v>
      </c>
      <c r="CB493" s="8">
        <f t="shared" si="349"/>
        <v>0</v>
      </c>
      <c r="CC493" s="8">
        <f t="shared" si="350"/>
        <v>0</v>
      </c>
      <c r="CD493" s="8">
        <f t="shared" si="351"/>
        <v>0</v>
      </c>
      <c r="CE493" s="8">
        <f t="shared" si="352"/>
        <v>0</v>
      </c>
      <c r="CF493" s="8">
        <f t="shared" si="353"/>
        <v>0</v>
      </c>
      <c r="CG493" s="8">
        <f t="shared" si="354"/>
        <v>0</v>
      </c>
      <c r="CH493" s="8">
        <f t="shared" si="355"/>
        <v>0</v>
      </c>
      <c r="CI493" s="8">
        <f t="shared" si="356"/>
        <v>0</v>
      </c>
      <c r="CJ493" s="8">
        <f t="shared" si="357"/>
        <v>0</v>
      </c>
      <c r="CK493" s="8">
        <f t="shared" si="358"/>
        <v>0</v>
      </c>
      <c r="CL493" s="8">
        <f t="shared" si="359"/>
        <v>0</v>
      </c>
      <c r="CM493" s="8">
        <f t="shared" si="360"/>
        <v>0</v>
      </c>
      <c r="CN493" s="8">
        <f t="shared" si="361"/>
        <v>0</v>
      </c>
      <c r="CO493" s="8">
        <f t="shared" si="362"/>
        <v>0</v>
      </c>
      <c r="CP493" s="8">
        <f t="shared" si="363"/>
        <v>0</v>
      </c>
      <c r="CQ493" s="8">
        <f t="shared" si="364"/>
        <v>0</v>
      </c>
      <c r="CR493" s="8">
        <f t="shared" si="365"/>
        <v>0</v>
      </c>
      <c r="CS493" s="8">
        <f t="shared" si="366"/>
        <v>0</v>
      </c>
      <c r="CT493" s="8">
        <f t="shared" si="371"/>
        <v>0</v>
      </c>
      <c r="CU493" s="8">
        <f t="shared" si="372"/>
        <v>0</v>
      </c>
      <c r="CV493" s="8">
        <f t="shared" si="373"/>
        <v>0</v>
      </c>
    </row>
    <row r="494" spans="1:100" ht="20.5" thickTop="1" thickBot="1" x14ac:dyDescent="0.5">
      <c r="A494" s="32"/>
      <c r="B494" s="10"/>
      <c r="C494" s="10"/>
      <c r="D494" s="11"/>
      <c r="E494" s="10"/>
      <c r="F494" s="10"/>
      <c r="G494" s="19"/>
      <c r="H494" s="19"/>
      <c r="I494" s="19"/>
      <c r="J494" s="19"/>
      <c r="K494" s="10"/>
      <c r="L494" s="10"/>
      <c r="M494" s="10"/>
      <c r="N494" s="10"/>
      <c r="O494" s="18"/>
      <c r="P494" s="18"/>
      <c r="Q494" s="21"/>
      <c r="R494" s="20"/>
      <c r="S494" s="16">
        <f t="shared" si="329"/>
        <v>0</v>
      </c>
      <c r="T494" s="11"/>
      <c r="AS494" s="31">
        <f t="shared" si="330"/>
        <v>0</v>
      </c>
      <c r="AT494" s="31">
        <f t="shared" si="331"/>
        <v>0</v>
      </c>
      <c r="AU494" s="31">
        <f t="shared" si="332"/>
        <v>0</v>
      </c>
      <c r="AV494" s="31">
        <f t="shared" si="333"/>
        <v>0</v>
      </c>
      <c r="AW494" s="31">
        <f t="shared" si="334"/>
        <v>0</v>
      </c>
      <c r="AX494" s="31">
        <f t="shared" si="335"/>
        <v>0</v>
      </c>
      <c r="AY494" s="31">
        <f t="shared" si="336"/>
        <v>0</v>
      </c>
      <c r="AZ494" s="31">
        <f t="shared" si="337"/>
        <v>0</v>
      </c>
      <c r="BA494" s="31">
        <f t="shared" si="338"/>
        <v>0</v>
      </c>
      <c r="BB494" s="31">
        <f t="shared" si="367"/>
        <v>0</v>
      </c>
      <c r="BM494" s="8">
        <f t="shared" si="368"/>
        <v>0</v>
      </c>
      <c r="BN494" s="8">
        <f t="shared" si="339"/>
        <v>0</v>
      </c>
      <c r="BO494" s="8">
        <f t="shared" si="340"/>
        <v>0</v>
      </c>
      <c r="BQ494" s="8">
        <f t="shared" si="341"/>
        <v>0</v>
      </c>
      <c r="BR494" s="63">
        <f t="shared" si="342"/>
        <v>0</v>
      </c>
      <c r="BS494" s="63">
        <f t="shared" si="369"/>
        <v>0</v>
      </c>
      <c r="BT494" s="63">
        <f t="shared" si="343"/>
        <v>0</v>
      </c>
      <c r="BU494" s="63">
        <f t="shared" si="344"/>
        <v>0</v>
      </c>
      <c r="BV494" s="57">
        <f t="shared" si="345"/>
        <v>0</v>
      </c>
      <c r="BW494" s="57">
        <f t="shared" si="346"/>
        <v>0</v>
      </c>
      <c r="BX494" s="57">
        <f t="shared" si="370"/>
        <v>0</v>
      </c>
      <c r="BY494" s="57">
        <f t="shared" si="374"/>
        <v>0</v>
      </c>
      <c r="BZ494" s="8">
        <f t="shared" si="347"/>
        <v>0</v>
      </c>
      <c r="CA494" s="8">
        <f t="shared" si="348"/>
        <v>0</v>
      </c>
      <c r="CB494" s="8">
        <f t="shared" si="349"/>
        <v>0</v>
      </c>
      <c r="CC494" s="8">
        <f t="shared" si="350"/>
        <v>0</v>
      </c>
      <c r="CD494" s="8">
        <f t="shared" si="351"/>
        <v>0</v>
      </c>
      <c r="CE494" s="8">
        <f t="shared" si="352"/>
        <v>0</v>
      </c>
      <c r="CF494" s="8">
        <f t="shared" si="353"/>
        <v>0</v>
      </c>
      <c r="CG494" s="8">
        <f t="shared" si="354"/>
        <v>0</v>
      </c>
      <c r="CH494" s="8">
        <f t="shared" si="355"/>
        <v>0</v>
      </c>
      <c r="CI494" s="8">
        <f t="shared" si="356"/>
        <v>0</v>
      </c>
      <c r="CJ494" s="8">
        <f t="shared" si="357"/>
        <v>0</v>
      </c>
      <c r="CK494" s="8">
        <f t="shared" si="358"/>
        <v>0</v>
      </c>
      <c r="CL494" s="8">
        <f t="shared" si="359"/>
        <v>0</v>
      </c>
      <c r="CM494" s="8">
        <f t="shared" si="360"/>
        <v>0</v>
      </c>
      <c r="CN494" s="8">
        <f t="shared" si="361"/>
        <v>0</v>
      </c>
      <c r="CO494" s="8">
        <f t="shared" si="362"/>
        <v>0</v>
      </c>
      <c r="CP494" s="8">
        <f t="shared" si="363"/>
        <v>0</v>
      </c>
      <c r="CQ494" s="8">
        <f t="shared" si="364"/>
        <v>0</v>
      </c>
      <c r="CR494" s="8">
        <f t="shared" si="365"/>
        <v>0</v>
      </c>
      <c r="CS494" s="8">
        <f t="shared" si="366"/>
        <v>0</v>
      </c>
      <c r="CT494" s="8">
        <f t="shared" si="371"/>
        <v>0</v>
      </c>
      <c r="CU494" s="8">
        <f t="shared" si="372"/>
        <v>0</v>
      </c>
      <c r="CV494" s="8">
        <f t="shared" si="373"/>
        <v>0</v>
      </c>
    </row>
    <row r="495" spans="1:100" ht="20.5" thickTop="1" thickBot="1" x14ac:dyDescent="0.5">
      <c r="A495" s="32"/>
      <c r="B495" s="10"/>
      <c r="C495" s="10"/>
      <c r="D495" s="11"/>
      <c r="E495" s="10"/>
      <c r="F495" s="10"/>
      <c r="G495" s="19"/>
      <c r="H495" s="19"/>
      <c r="I495" s="19"/>
      <c r="J495" s="19"/>
      <c r="K495" s="10"/>
      <c r="L495" s="10"/>
      <c r="M495" s="10"/>
      <c r="N495" s="10"/>
      <c r="O495" s="18"/>
      <c r="P495" s="18"/>
      <c r="Q495" s="21"/>
      <c r="R495" s="20"/>
      <c r="S495" s="16">
        <f t="shared" si="329"/>
        <v>0</v>
      </c>
      <c r="T495" s="11"/>
      <c r="AS495" s="31">
        <f t="shared" si="330"/>
        <v>0</v>
      </c>
      <c r="AT495" s="31">
        <f t="shared" si="331"/>
        <v>0</v>
      </c>
      <c r="AU495" s="31">
        <f t="shared" si="332"/>
        <v>0</v>
      </c>
      <c r="AV495" s="31">
        <f t="shared" si="333"/>
        <v>0</v>
      </c>
      <c r="AW495" s="31">
        <f t="shared" si="334"/>
        <v>0</v>
      </c>
      <c r="AX495" s="31">
        <f t="shared" si="335"/>
        <v>0</v>
      </c>
      <c r="AY495" s="31">
        <f t="shared" si="336"/>
        <v>0</v>
      </c>
      <c r="AZ495" s="31">
        <f t="shared" si="337"/>
        <v>0</v>
      </c>
      <c r="BA495" s="31">
        <f t="shared" si="338"/>
        <v>0</v>
      </c>
      <c r="BB495" s="31">
        <f t="shared" si="367"/>
        <v>0</v>
      </c>
      <c r="BM495" s="8">
        <f t="shared" si="368"/>
        <v>0</v>
      </c>
      <c r="BN495" s="8">
        <f t="shared" si="339"/>
        <v>0</v>
      </c>
      <c r="BO495" s="8">
        <f t="shared" si="340"/>
        <v>0</v>
      </c>
      <c r="BQ495" s="8">
        <f t="shared" si="341"/>
        <v>0</v>
      </c>
      <c r="BR495" s="63">
        <f t="shared" si="342"/>
        <v>0</v>
      </c>
      <c r="BS495" s="63">
        <f t="shared" si="369"/>
        <v>0</v>
      </c>
      <c r="BT495" s="63">
        <f t="shared" si="343"/>
        <v>0</v>
      </c>
      <c r="BU495" s="63">
        <f t="shared" si="344"/>
        <v>0</v>
      </c>
      <c r="BV495" s="57">
        <f t="shared" si="345"/>
        <v>0</v>
      </c>
      <c r="BW495" s="57">
        <f t="shared" si="346"/>
        <v>0</v>
      </c>
      <c r="BX495" s="57">
        <f t="shared" si="370"/>
        <v>0</v>
      </c>
      <c r="BY495" s="57">
        <f t="shared" si="374"/>
        <v>0</v>
      </c>
      <c r="BZ495" s="8">
        <f t="shared" si="347"/>
        <v>0</v>
      </c>
      <c r="CA495" s="8">
        <f t="shared" si="348"/>
        <v>0</v>
      </c>
      <c r="CB495" s="8">
        <f t="shared" si="349"/>
        <v>0</v>
      </c>
      <c r="CC495" s="8">
        <f t="shared" si="350"/>
        <v>0</v>
      </c>
      <c r="CD495" s="8">
        <f t="shared" si="351"/>
        <v>0</v>
      </c>
      <c r="CE495" s="8">
        <f t="shared" si="352"/>
        <v>0</v>
      </c>
      <c r="CF495" s="8">
        <f t="shared" si="353"/>
        <v>0</v>
      </c>
      <c r="CG495" s="8">
        <f t="shared" si="354"/>
        <v>0</v>
      </c>
      <c r="CH495" s="8">
        <f t="shared" si="355"/>
        <v>0</v>
      </c>
      <c r="CI495" s="8">
        <f t="shared" si="356"/>
        <v>0</v>
      </c>
      <c r="CJ495" s="8">
        <f t="shared" si="357"/>
        <v>0</v>
      </c>
      <c r="CK495" s="8">
        <f t="shared" si="358"/>
        <v>0</v>
      </c>
      <c r="CL495" s="8">
        <f t="shared" si="359"/>
        <v>0</v>
      </c>
      <c r="CM495" s="8">
        <f t="shared" si="360"/>
        <v>0</v>
      </c>
      <c r="CN495" s="8">
        <f t="shared" si="361"/>
        <v>0</v>
      </c>
      <c r="CO495" s="8">
        <f t="shared" si="362"/>
        <v>0</v>
      </c>
      <c r="CP495" s="8">
        <f t="shared" si="363"/>
        <v>0</v>
      </c>
      <c r="CQ495" s="8">
        <f t="shared" si="364"/>
        <v>0</v>
      </c>
      <c r="CR495" s="8">
        <f t="shared" si="365"/>
        <v>0</v>
      </c>
      <c r="CS495" s="8">
        <f t="shared" si="366"/>
        <v>0</v>
      </c>
      <c r="CT495" s="8">
        <f t="shared" si="371"/>
        <v>0</v>
      </c>
      <c r="CU495" s="8">
        <f t="shared" si="372"/>
        <v>0</v>
      </c>
      <c r="CV495" s="8">
        <f t="shared" si="373"/>
        <v>0</v>
      </c>
    </row>
    <row r="496" spans="1:100" ht="20.5" thickTop="1" thickBot="1" x14ac:dyDescent="0.5">
      <c r="A496" s="32"/>
      <c r="B496" s="10"/>
      <c r="C496" s="10"/>
      <c r="D496" s="11"/>
      <c r="E496" s="10"/>
      <c r="F496" s="10"/>
      <c r="G496" s="19"/>
      <c r="H496" s="19"/>
      <c r="I496" s="19"/>
      <c r="J496" s="19"/>
      <c r="K496" s="10"/>
      <c r="L496" s="10"/>
      <c r="M496" s="10"/>
      <c r="N496" s="10"/>
      <c r="O496" s="18"/>
      <c r="P496" s="18"/>
      <c r="Q496" s="21"/>
      <c r="R496" s="20"/>
      <c r="S496" s="16">
        <f t="shared" si="329"/>
        <v>0</v>
      </c>
      <c r="T496" s="11"/>
      <c r="AS496" s="31">
        <f t="shared" si="330"/>
        <v>0</v>
      </c>
      <c r="AT496" s="31">
        <f t="shared" si="331"/>
        <v>0</v>
      </c>
      <c r="AU496" s="31">
        <f t="shared" si="332"/>
        <v>0</v>
      </c>
      <c r="AV496" s="31">
        <f t="shared" si="333"/>
        <v>0</v>
      </c>
      <c r="AW496" s="31">
        <f t="shared" si="334"/>
        <v>0</v>
      </c>
      <c r="AX496" s="31">
        <f t="shared" si="335"/>
        <v>0</v>
      </c>
      <c r="AY496" s="31">
        <f t="shared" si="336"/>
        <v>0</v>
      </c>
      <c r="AZ496" s="31">
        <f t="shared" si="337"/>
        <v>0</v>
      </c>
      <c r="BA496" s="31">
        <f t="shared" si="338"/>
        <v>0</v>
      </c>
      <c r="BB496" s="31">
        <f t="shared" si="367"/>
        <v>0</v>
      </c>
      <c r="BM496" s="8">
        <f t="shared" si="368"/>
        <v>0</v>
      </c>
      <c r="BN496" s="8">
        <f t="shared" si="339"/>
        <v>0</v>
      </c>
      <c r="BO496" s="8">
        <f t="shared" si="340"/>
        <v>0</v>
      </c>
      <c r="BQ496" s="8">
        <f t="shared" si="341"/>
        <v>0</v>
      </c>
      <c r="BR496" s="63">
        <f t="shared" si="342"/>
        <v>0</v>
      </c>
      <c r="BS496" s="63">
        <f t="shared" si="369"/>
        <v>0</v>
      </c>
      <c r="BT496" s="63">
        <f t="shared" si="343"/>
        <v>0</v>
      </c>
      <c r="BU496" s="63">
        <f t="shared" si="344"/>
        <v>0</v>
      </c>
      <c r="BV496" s="57">
        <f t="shared" si="345"/>
        <v>0</v>
      </c>
      <c r="BW496" s="57">
        <f t="shared" si="346"/>
        <v>0</v>
      </c>
      <c r="BX496" s="57">
        <f t="shared" si="370"/>
        <v>0</v>
      </c>
      <c r="BY496" s="57">
        <f t="shared" si="374"/>
        <v>0</v>
      </c>
      <c r="BZ496" s="8">
        <f t="shared" si="347"/>
        <v>0</v>
      </c>
      <c r="CA496" s="8">
        <f t="shared" si="348"/>
        <v>0</v>
      </c>
      <c r="CB496" s="8">
        <f t="shared" si="349"/>
        <v>0</v>
      </c>
      <c r="CC496" s="8">
        <f t="shared" si="350"/>
        <v>0</v>
      </c>
      <c r="CD496" s="8">
        <f t="shared" si="351"/>
        <v>0</v>
      </c>
      <c r="CE496" s="8">
        <f t="shared" si="352"/>
        <v>0</v>
      </c>
      <c r="CF496" s="8">
        <f t="shared" si="353"/>
        <v>0</v>
      </c>
      <c r="CG496" s="8">
        <f t="shared" si="354"/>
        <v>0</v>
      </c>
      <c r="CH496" s="8">
        <f t="shared" si="355"/>
        <v>0</v>
      </c>
      <c r="CI496" s="8">
        <f t="shared" si="356"/>
        <v>0</v>
      </c>
      <c r="CJ496" s="8">
        <f t="shared" si="357"/>
        <v>0</v>
      </c>
      <c r="CK496" s="8">
        <f t="shared" si="358"/>
        <v>0</v>
      </c>
      <c r="CL496" s="8">
        <f t="shared" si="359"/>
        <v>0</v>
      </c>
      <c r="CM496" s="8">
        <f t="shared" si="360"/>
        <v>0</v>
      </c>
      <c r="CN496" s="8">
        <f t="shared" si="361"/>
        <v>0</v>
      </c>
      <c r="CO496" s="8">
        <f t="shared" si="362"/>
        <v>0</v>
      </c>
      <c r="CP496" s="8">
        <f t="shared" si="363"/>
        <v>0</v>
      </c>
      <c r="CQ496" s="8">
        <f t="shared" si="364"/>
        <v>0</v>
      </c>
      <c r="CR496" s="8">
        <f t="shared" si="365"/>
        <v>0</v>
      </c>
      <c r="CS496" s="8">
        <f t="shared" si="366"/>
        <v>0</v>
      </c>
      <c r="CT496" s="8">
        <f t="shared" si="371"/>
        <v>0</v>
      </c>
      <c r="CU496" s="8">
        <f t="shared" si="372"/>
        <v>0</v>
      </c>
      <c r="CV496" s="8">
        <f t="shared" si="373"/>
        <v>0</v>
      </c>
    </row>
    <row r="497" spans="1:100" ht="20.5" thickTop="1" thickBot="1" x14ac:dyDescent="0.5">
      <c r="A497" s="32"/>
      <c r="B497" s="10"/>
      <c r="C497" s="10"/>
      <c r="D497" s="11"/>
      <c r="E497" s="10"/>
      <c r="F497" s="10"/>
      <c r="G497" s="19"/>
      <c r="H497" s="19"/>
      <c r="I497" s="19"/>
      <c r="J497" s="19"/>
      <c r="K497" s="10"/>
      <c r="L497" s="10"/>
      <c r="M497" s="10"/>
      <c r="N497" s="10"/>
      <c r="O497" s="18"/>
      <c r="P497" s="18"/>
      <c r="Q497" s="21"/>
      <c r="R497" s="20"/>
      <c r="S497" s="16">
        <f t="shared" si="329"/>
        <v>0</v>
      </c>
      <c r="T497" s="11"/>
      <c r="AS497" s="31">
        <f t="shared" si="330"/>
        <v>0</v>
      </c>
      <c r="AT497" s="31">
        <f t="shared" si="331"/>
        <v>0</v>
      </c>
      <c r="AU497" s="31">
        <f t="shared" si="332"/>
        <v>0</v>
      </c>
      <c r="AV497" s="31">
        <f t="shared" si="333"/>
        <v>0</v>
      </c>
      <c r="AW497" s="31">
        <f t="shared" si="334"/>
        <v>0</v>
      </c>
      <c r="AX497" s="31">
        <f t="shared" si="335"/>
        <v>0</v>
      </c>
      <c r="AY497" s="31">
        <f t="shared" si="336"/>
        <v>0</v>
      </c>
      <c r="AZ497" s="31">
        <f t="shared" si="337"/>
        <v>0</v>
      </c>
      <c r="BA497" s="31">
        <f t="shared" si="338"/>
        <v>0</v>
      </c>
      <c r="BB497" s="31">
        <f t="shared" si="367"/>
        <v>0</v>
      </c>
      <c r="BM497" s="8">
        <f t="shared" si="368"/>
        <v>0</v>
      </c>
      <c r="BN497" s="8">
        <f t="shared" si="339"/>
        <v>0</v>
      </c>
      <c r="BO497" s="8">
        <f t="shared" si="340"/>
        <v>0</v>
      </c>
      <c r="BQ497" s="8">
        <f t="shared" si="341"/>
        <v>0</v>
      </c>
      <c r="BR497" s="63">
        <f t="shared" si="342"/>
        <v>0</v>
      </c>
      <c r="BS497" s="63">
        <f t="shared" si="369"/>
        <v>0</v>
      </c>
      <c r="BT497" s="63">
        <f t="shared" si="343"/>
        <v>0</v>
      </c>
      <c r="BU497" s="63">
        <f t="shared" si="344"/>
        <v>0</v>
      </c>
      <c r="BV497" s="57">
        <f t="shared" si="345"/>
        <v>0</v>
      </c>
      <c r="BW497" s="57">
        <f t="shared" si="346"/>
        <v>0</v>
      </c>
      <c r="BX497" s="57">
        <f t="shared" si="370"/>
        <v>0</v>
      </c>
      <c r="BY497" s="57">
        <f t="shared" si="374"/>
        <v>0</v>
      </c>
      <c r="BZ497" s="8">
        <f t="shared" si="347"/>
        <v>0</v>
      </c>
      <c r="CA497" s="8">
        <f t="shared" si="348"/>
        <v>0</v>
      </c>
      <c r="CB497" s="8">
        <f t="shared" si="349"/>
        <v>0</v>
      </c>
      <c r="CC497" s="8">
        <f t="shared" si="350"/>
        <v>0</v>
      </c>
      <c r="CD497" s="8">
        <f t="shared" si="351"/>
        <v>0</v>
      </c>
      <c r="CE497" s="8">
        <f t="shared" si="352"/>
        <v>0</v>
      </c>
      <c r="CF497" s="8">
        <f t="shared" si="353"/>
        <v>0</v>
      </c>
      <c r="CG497" s="8">
        <f t="shared" si="354"/>
        <v>0</v>
      </c>
      <c r="CH497" s="8">
        <f t="shared" si="355"/>
        <v>0</v>
      </c>
      <c r="CI497" s="8">
        <f t="shared" si="356"/>
        <v>0</v>
      </c>
      <c r="CJ497" s="8">
        <f t="shared" si="357"/>
        <v>0</v>
      </c>
      <c r="CK497" s="8">
        <f t="shared" si="358"/>
        <v>0</v>
      </c>
      <c r="CL497" s="8">
        <f t="shared" si="359"/>
        <v>0</v>
      </c>
      <c r="CM497" s="8">
        <f t="shared" si="360"/>
        <v>0</v>
      </c>
      <c r="CN497" s="8">
        <f t="shared" si="361"/>
        <v>0</v>
      </c>
      <c r="CO497" s="8">
        <f t="shared" si="362"/>
        <v>0</v>
      </c>
      <c r="CP497" s="8">
        <f t="shared" si="363"/>
        <v>0</v>
      </c>
      <c r="CQ497" s="8">
        <f t="shared" si="364"/>
        <v>0</v>
      </c>
      <c r="CR497" s="8">
        <f t="shared" si="365"/>
        <v>0</v>
      </c>
      <c r="CS497" s="8">
        <f t="shared" si="366"/>
        <v>0</v>
      </c>
      <c r="CT497" s="8">
        <f t="shared" si="371"/>
        <v>0</v>
      </c>
      <c r="CU497" s="8">
        <f t="shared" si="372"/>
        <v>0</v>
      </c>
      <c r="CV497" s="8">
        <f t="shared" si="373"/>
        <v>0</v>
      </c>
    </row>
    <row r="498" spans="1:100" ht="20.5" thickTop="1" thickBot="1" x14ac:dyDescent="0.5">
      <c r="A498" s="32"/>
      <c r="B498" s="10"/>
      <c r="C498" s="10"/>
      <c r="D498" s="11"/>
      <c r="E498" s="10"/>
      <c r="F498" s="10"/>
      <c r="G498" s="19"/>
      <c r="H498" s="19"/>
      <c r="I498" s="19"/>
      <c r="J498" s="19"/>
      <c r="K498" s="10"/>
      <c r="L498" s="10"/>
      <c r="M498" s="10"/>
      <c r="N498" s="10"/>
      <c r="O498" s="18"/>
      <c r="P498" s="18"/>
      <c r="Q498" s="21"/>
      <c r="R498" s="20"/>
      <c r="S498" s="16">
        <f t="shared" si="329"/>
        <v>0</v>
      </c>
      <c r="T498" s="11"/>
      <c r="AS498" s="31">
        <f t="shared" si="330"/>
        <v>0</v>
      </c>
      <c r="AT498" s="31">
        <f t="shared" si="331"/>
        <v>0</v>
      </c>
      <c r="AU498" s="31">
        <f t="shared" si="332"/>
        <v>0</v>
      </c>
      <c r="AV498" s="31">
        <f t="shared" si="333"/>
        <v>0</v>
      </c>
      <c r="AW498" s="31">
        <f t="shared" si="334"/>
        <v>0</v>
      </c>
      <c r="AX498" s="31">
        <f t="shared" si="335"/>
        <v>0</v>
      </c>
      <c r="AY498" s="31">
        <f t="shared" si="336"/>
        <v>0</v>
      </c>
      <c r="AZ498" s="31">
        <f t="shared" si="337"/>
        <v>0</v>
      </c>
      <c r="BA498" s="31">
        <f t="shared" si="338"/>
        <v>0</v>
      </c>
      <c r="BB498" s="31">
        <f t="shared" si="367"/>
        <v>0</v>
      </c>
      <c r="BM498" s="8">
        <f t="shared" si="368"/>
        <v>0</v>
      </c>
      <c r="BN498" s="8">
        <f t="shared" si="339"/>
        <v>0</v>
      </c>
      <c r="BO498" s="8">
        <f t="shared" si="340"/>
        <v>0</v>
      </c>
      <c r="BQ498" s="8">
        <f t="shared" si="341"/>
        <v>0</v>
      </c>
      <c r="BR498" s="63">
        <f t="shared" si="342"/>
        <v>0</v>
      </c>
      <c r="BS498" s="63">
        <f t="shared" si="369"/>
        <v>0</v>
      </c>
      <c r="BT498" s="63">
        <f t="shared" si="343"/>
        <v>0</v>
      </c>
      <c r="BU498" s="63">
        <f t="shared" si="344"/>
        <v>0</v>
      </c>
      <c r="BV498" s="57">
        <f t="shared" si="345"/>
        <v>0</v>
      </c>
      <c r="BW498" s="57">
        <f t="shared" si="346"/>
        <v>0</v>
      </c>
      <c r="BX498" s="57">
        <f t="shared" si="370"/>
        <v>0</v>
      </c>
      <c r="BY498" s="57">
        <f t="shared" si="374"/>
        <v>0</v>
      </c>
      <c r="BZ498" s="8">
        <f t="shared" si="347"/>
        <v>0</v>
      </c>
      <c r="CA498" s="8">
        <f t="shared" si="348"/>
        <v>0</v>
      </c>
      <c r="CB498" s="8">
        <f t="shared" si="349"/>
        <v>0</v>
      </c>
      <c r="CC498" s="8">
        <f t="shared" si="350"/>
        <v>0</v>
      </c>
      <c r="CD498" s="8">
        <f t="shared" si="351"/>
        <v>0</v>
      </c>
      <c r="CE498" s="8">
        <f t="shared" si="352"/>
        <v>0</v>
      </c>
      <c r="CF498" s="8">
        <f t="shared" si="353"/>
        <v>0</v>
      </c>
      <c r="CG498" s="8">
        <f t="shared" si="354"/>
        <v>0</v>
      </c>
      <c r="CH498" s="8">
        <f t="shared" si="355"/>
        <v>0</v>
      </c>
      <c r="CI498" s="8">
        <f t="shared" si="356"/>
        <v>0</v>
      </c>
      <c r="CJ498" s="8">
        <f t="shared" si="357"/>
        <v>0</v>
      </c>
      <c r="CK498" s="8">
        <f t="shared" si="358"/>
        <v>0</v>
      </c>
      <c r="CL498" s="8">
        <f t="shared" si="359"/>
        <v>0</v>
      </c>
      <c r="CM498" s="8">
        <f t="shared" si="360"/>
        <v>0</v>
      </c>
      <c r="CN498" s="8">
        <f t="shared" si="361"/>
        <v>0</v>
      </c>
      <c r="CO498" s="8">
        <f t="shared" si="362"/>
        <v>0</v>
      </c>
      <c r="CP498" s="8">
        <f t="shared" si="363"/>
        <v>0</v>
      </c>
      <c r="CQ498" s="8">
        <f t="shared" si="364"/>
        <v>0</v>
      </c>
      <c r="CR498" s="8">
        <f t="shared" si="365"/>
        <v>0</v>
      </c>
      <c r="CS498" s="8">
        <f t="shared" si="366"/>
        <v>0</v>
      </c>
      <c r="CT498" s="8">
        <f t="shared" si="371"/>
        <v>0</v>
      </c>
      <c r="CU498" s="8">
        <f t="shared" si="372"/>
        <v>0</v>
      </c>
      <c r="CV498" s="8">
        <f t="shared" si="373"/>
        <v>0</v>
      </c>
    </row>
    <row r="499" spans="1:100" ht="20.5" thickTop="1" thickBot="1" x14ac:dyDescent="0.5">
      <c r="A499" s="32"/>
      <c r="B499" s="10"/>
      <c r="C499" s="10"/>
      <c r="D499" s="11"/>
      <c r="E499" s="10"/>
      <c r="F499" s="10"/>
      <c r="G499" s="19"/>
      <c r="H499" s="19"/>
      <c r="I499" s="19"/>
      <c r="J499" s="19"/>
      <c r="K499" s="10"/>
      <c r="L499" s="10"/>
      <c r="M499" s="10"/>
      <c r="N499" s="10"/>
      <c r="O499" s="18"/>
      <c r="P499" s="18"/>
      <c r="Q499" s="21"/>
      <c r="R499" s="20"/>
      <c r="S499" s="16">
        <f t="shared" si="329"/>
        <v>0</v>
      </c>
      <c r="T499" s="11"/>
      <c r="AS499" s="31">
        <f t="shared" si="330"/>
        <v>0</v>
      </c>
      <c r="AT499" s="31">
        <f t="shared" si="331"/>
        <v>0</v>
      </c>
      <c r="AU499" s="31">
        <f t="shared" si="332"/>
        <v>0</v>
      </c>
      <c r="AV499" s="31">
        <f t="shared" si="333"/>
        <v>0</v>
      </c>
      <c r="AW499" s="31">
        <f t="shared" si="334"/>
        <v>0</v>
      </c>
      <c r="AX499" s="31">
        <f t="shared" si="335"/>
        <v>0</v>
      </c>
      <c r="AY499" s="31">
        <f t="shared" si="336"/>
        <v>0</v>
      </c>
      <c r="AZ499" s="31">
        <f t="shared" si="337"/>
        <v>0</v>
      </c>
      <c r="BA499" s="31">
        <f t="shared" si="338"/>
        <v>0</v>
      </c>
      <c r="BB499" s="31">
        <f t="shared" si="367"/>
        <v>0</v>
      </c>
      <c r="BM499" s="8">
        <f t="shared" si="368"/>
        <v>0</v>
      </c>
      <c r="BN499" s="8">
        <f t="shared" si="339"/>
        <v>0</v>
      </c>
      <c r="BO499" s="8">
        <f t="shared" si="340"/>
        <v>0</v>
      </c>
      <c r="BQ499" s="8">
        <f t="shared" si="341"/>
        <v>0</v>
      </c>
      <c r="BR499" s="63">
        <f t="shared" si="342"/>
        <v>0</v>
      </c>
      <c r="BS499" s="63">
        <f t="shared" si="369"/>
        <v>0</v>
      </c>
      <c r="BT499" s="63">
        <f t="shared" si="343"/>
        <v>0</v>
      </c>
      <c r="BU499" s="63">
        <f t="shared" si="344"/>
        <v>0</v>
      </c>
      <c r="BV499" s="57">
        <f t="shared" si="345"/>
        <v>0</v>
      </c>
      <c r="BW499" s="57">
        <f t="shared" si="346"/>
        <v>0</v>
      </c>
      <c r="BX499" s="57">
        <f t="shared" si="370"/>
        <v>0</v>
      </c>
      <c r="BY499" s="57">
        <f t="shared" si="374"/>
        <v>0</v>
      </c>
      <c r="BZ499" s="8">
        <f t="shared" si="347"/>
        <v>0</v>
      </c>
      <c r="CA499" s="8">
        <f t="shared" si="348"/>
        <v>0</v>
      </c>
      <c r="CB499" s="8">
        <f t="shared" si="349"/>
        <v>0</v>
      </c>
      <c r="CC499" s="8">
        <f t="shared" si="350"/>
        <v>0</v>
      </c>
      <c r="CD499" s="8">
        <f t="shared" si="351"/>
        <v>0</v>
      </c>
      <c r="CE499" s="8">
        <f t="shared" si="352"/>
        <v>0</v>
      </c>
      <c r="CF499" s="8">
        <f t="shared" si="353"/>
        <v>0</v>
      </c>
      <c r="CG499" s="8">
        <f t="shared" si="354"/>
        <v>0</v>
      </c>
      <c r="CH499" s="8">
        <f t="shared" si="355"/>
        <v>0</v>
      </c>
      <c r="CI499" s="8">
        <f t="shared" si="356"/>
        <v>0</v>
      </c>
      <c r="CJ499" s="8">
        <f t="shared" si="357"/>
        <v>0</v>
      </c>
      <c r="CK499" s="8">
        <f t="shared" si="358"/>
        <v>0</v>
      </c>
      <c r="CL499" s="8">
        <f t="shared" si="359"/>
        <v>0</v>
      </c>
      <c r="CM499" s="8">
        <f t="shared" si="360"/>
        <v>0</v>
      </c>
      <c r="CN499" s="8">
        <f t="shared" si="361"/>
        <v>0</v>
      </c>
      <c r="CO499" s="8">
        <f t="shared" si="362"/>
        <v>0</v>
      </c>
      <c r="CP499" s="8">
        <f t="shared" si="363"/>
        <v>0</v>
      </c>
      <c r="CQ499" s="8">
        <f t="shared" si="364"/>
        <v>0</v>
      </c>
      <c r="CR499" s="8">
        <f t="shared" si="365"/>
        <v>0</v>
      </c>
      <c r="CS499" s="8">
        <f t="shared" si="366"/>
        <v>0</v>
      </c>
      <c r="CT499" s="8">
        <f t="shared" si="371"/>
        <v>0</v>
      </c>
      <c r="CU499" s="8">
        <f t="shared" si="372"/>
        <v>0</v>
      </c>
      <c r="CV499" s="8">
        <f t="shared" si="373"/>
        <v>0</v>
      </c>
    </row>
    <row r="500" spans="1:100" ht="20.5" thickTop="1" thickBot="1" x14ac:dyDescent="0.5">
      <c r="A500" s="32"/>
      <c r="B500" s="10"/>
      <c r="C500" s="10"/>
      <c r="D500" s="11"/>
      <c r="E500" s="10"/>
      <c r="F500" s="10"/>
      <c r="G500" s="19"/>
      <c r="H500" s="19"/>
      <c r="I500" s="19"/>
      <c r="J500" s="19"/>
      <c r="K500" s="10"/>
      <c r="L500" s="10"/>
      <c r="M500" s="10"/>
      <c r="N500" s="10"/>
      <c r="O500" s="18"/>
      <c r="P500" s="18"/>
      <c r="Q500" s="21"/>
      <c r="R500" s="20"/>
      <c r="S500" s="16">
        <f t="shared" si="329"/>
        <v>0</v>
      </c>
      <c r="T500" s="11"/>
      <c r="AS500" s="31">
        <f t="shared" si="330"/>
        <v>0</v>
      </c>
      <c r="AT500" s="31">
        <f t="shared" si="331"/>
        <v>0</v>
      </c>
      <c r="AU500" s="31">
        <f t="shared" si="332"/>
        <v>0</v>
      </c>
      <c r="AV500" s="31">
        <f t="shared" si="333"/>
        <v>0</v>
      </c>
      <c r="AW500" s="31">
        <f t="shared" si="334"/>
        <v>0</v>
      </c>
      <c r="AX500" s="31">
        <f t="shared" si="335"/>
        <v>0</v>
      </c>
      <c r="AY500" s="31">
        <f t="shared" si="336"/>
        <v>0</v>
      </c>
      <c r="AZ500" s="31">
        <f t="shared" si="337"/>
        <v>0</v>
      </c>
      <c r="BA500" s="31">
        <f t="shared" si="338"/>
        <v>0</v>
      </c>
      <c r="BB500" s="31">
        <f t="shared" si="367"/>
        <v>0</v>
      </c>
      <c r="BM500" s="8">
        <f t="shared" si="368"/>
        <v>0</v>
      </c>
      <c r="BN500" s="8">
        <f t="shared" si="339"/>
        <v>0</v>
      </c>
      <c r="BO500" s="8">
        <f t="shared" si="340"/>
        <v>0</v>
      </c>
      <c r="BQ500" s="8">
        <f t="shared" si="341"/>
        <v>0</v>
      </c>
      <c r="BR500" s="63">
        <f t="shared" si="342"/>
        <v>0</v>
      </c>
      <c r="BS500" s="63">
        <f t="shared" si="369"/>
        <v>0</v>
      </c>
      <c r="BT500" s="63">
        <f t="shared" si="343"/>
        <v>0</v>
      </c>
      <c r="BU500" s="63">
        <f t="shared" si="344"/>
        <v>0</v>
      </c>
      <c r="BV500" s="57">
        <f t="shared" si="345"/>
        <v>0</v>
      </c>
      <c r="BW500" s="57">
        <f t="shared" si="346"/>
        <v>0</v>
      </c>
      <c r="BX500" s="57">
        <f t="shared" si="370"/>
        <v>0</v>
      </c>
      <c r="BY500" s="57">
        <f t="shared" si="374"/>
        <v>0</v>
      </c>
      <c r="BZ500" s="8">
        <f t="shared" si="347"/>
        <v>0</v>
      </c>
      <c r="CA500" s="8">
        <f t="shared" si="348"/>
        <v>0</v>
      </c>
      <c r="CB500" s="8">
        <f t="shared" si="349"/>
        <v>0</v>
      </c>
      <c r="CC500" s="8">
        <f t="shared" si="350"/>
        <v>0</v>
      </c>
      <c r="CD500" s="8">
        <f t="shared" si="351"/>
        <v>0</v>
      </c>
      <c r="CE500" s="8">
        <f t="shared" si="352"/>
        <v>0</v>
      </c>
      <c r="CF500" s="8">
        <f t="shared" si="353"/>
        <v>0</v>
      </c>
      <c r="CG500" s="8">
        <f t="shared" si="354"/>
        <v>0</v>
      </c>
      <c r="CH500" s="8">
        <f t="shared" si="355"/>
        <v>0</v>
      </c>
      <c r="CI500" s="8">
        <f t="shared" si="356"/>
        <v>0</v>
      </c>
      <c r="CJ500" s="8">
        <f t="shared" si="357"/>
        <v>0</v>
      </c>
      <c r="CK500" s="8">
        <f t="shared" si="358"/>
        <v>0</v>
      </c>
      <c r="CL500" s="8">
        <f t="shared" si="359"/>
        <v>0</v>
      </c>
      <c r="CM500" s="8">
        <f t="shared" si="360"/>
        <v>0</v>
      </c>
      <c r="CN500" s="8">
        <f t="shared" si="361"/>
        <v>0</v>
      </c>
      <c r="CO500" s="8">
        <f t="shared" si="362"/>
        <v>0</v>
      </c>
      <c r="CP500" s="8">
        <f t="shared" si="363"/>
        <v>0</v>
      </c>
      <c r="CQ500" s="8">
        <f t="shared" si="364"/>
        <v>0</v>
      </c>
      <c r="CR500" s="8">
        <f t="shared" si="365"/>
        <v>0</v>
      </c>
      <c r="CS500" s="8">
        <f t="shared" si="366"/>
        <v>0</v>
      </c>
      <c r="CT500" s="8">
        <f t="shared" si="371"/>
        <v>0</v>
      </c>
      <c r="CU500" s="8">
        <f t="shared" si="372"/>
        <v>0</v>
      </c>
      <c r="CV500" s="8">
        <f t="shared" si="373"/>
        <v>0</v>
      </c>
    </row>
    <row r="501" spans="1:100" ht="20.5" thickTop="1" thickBot="1" x14ac:dyDescent="0.5">
      <c r="A501" s="32"/>
      <c r="B501" s="10"/>
      <c r="C501" s="10"/>
      <c r="D501" s="11"/>
      <c r="E501" s="10"/>
      <c r="F501" s="10"/>
      <c r="G501" s="19"/>
      <c r="H501" s="19"/>
      <c r="I501" s="19"/>
      <c r="J501" s="19"/>
      <c r="K501" s="10"/>
      <c r="L501" s="10"/>
      <c r="M501" s="10"/>
      <c r="N501" s="10"/>
      <c r="O501" s="18"/>
      <c r="P501" s="18"/>
      <c r="Q501" s="21"/>
      <c r="R501" s="20"/>
      <c r="S501" s="16">
        <f t="shared" si="329"/>
        <v>0</v>
      </c>
      <c r="T501" s="11"/>
      <c r="AS501" s="31">
        <f t="shared" si="330"/>
        <v>0</v>
      </c>
      <c r="AT501" s="31">
        <f t="shared" si="331"/>
        <v>0</v>
      </c>
      <c r="AU501" s="31">
        <f t="shared" si="332"/>
        <v>0</v>
      </c>
      <c r="AV501" s="31">
        <f t="shared" si="333"/>
        <v>0</v>
      </c>
      <c r="AW501" s="31">
        <f t="shared" si="334"/>
        <v>0</v>
      </c>
      <c r="AX501" s="31">
        <f t="shared" si="335"/>
        <v>0</v>
      </c>
      <c r="AY501" s="31">
        <f t="shared" si="336"/>
        <v>0</v>
      </c>
      <c r="AZ501" s="31">
        <f t="shared" si="337"/>
        <v>0</v>
      </c>
      <c r="BA501" s="31">
        <f t="shared" si="338"/>
        <v>0</v>
      </c>
      <c r="BB501" s="31">
        <f t="shared" si="367"/>
        <v>0</v>
      </c>
      <c r="BM501" s="8">
        <f t="shared" si="368"/>
        <v>0</v>
      </c>
      <c r="BN501" s="8">
        <f t="shared" si="339"/>
        <v>0</v>
      </c>
      <c r="BO501" s="8">
        <f t="shared" si="340"/>
        <v>0</v>
      </c>
      <c r="BQ501" s="8">
        <f t="shared" si="341"/>
        <v>0</v>
      </c>
      <c r="BR501" s="63">
        <f t="shared" si="342"/>
        <v>0</v>
      </c>
      <c r="BS501" s="63">
        <f t="shared" si="369"/>
        <v>0</v>
      </c>
      <c r="BT501" s="63">
        <f t="shared" si="343"/>
        <v>0</v>
      </c>
      <c r="BU501" s="63">
        <f t="shared" si="344"/>
        <v>0</v>
      </c>
      <c r="BV501" s="57">
        <f t="shared" si="345"/>
        <v>0</v>
      </c>
      <c r="BW501" s="57">
        <f t="shared" si="346"/>
        <v>0</v>
      </c>
      <c r="BX501" s="57">
        <f t="shared" si="370"/>
        <v>0</v>
      </c>
      <c r="BY501" s="57">
        <f t="shared" si="374"/>
        <v>0</v>
      </c>
      <c r="BZ501" s="8">
        <f t="shared" si="347"/>
        <v>0</v>
      </c>
      <c r="CA501" s="8">
        <f t="shared" si="348"/>
        <v>0</v>
      </c>
      <c r="CB501" s="8">
        <f t="shared" si="349"/>
        <v>0</v>
      </c>
      <c r="CC501" s="8">
        <f t="shared" si="350"/>
        <v>0</v>
      </c>
      <c r="CD501" s="8">
        <f t="shared" si="351"/>
        <v>0</v>
      </c>
      <c r="CE501" s="8">
        <f t="shared" si="352"/>
        <v>0</v>
      </c>
      <c r="CF501" s="8">
        <f t="shared" si="353"/>
        <v>0</v>
      </c>
      <c r="CG501" s="8">
        <f t="shared" si="354"/>
        <v>0</v>
      </c>
      <c r="CH501" s="8">
        <f t="shared" si="355"/>
        <v>0</v>
      </c>
      <c r="CI501" s="8">
        <f t="shared" si="356"/>
        <v>0</v>
      </c>
      <c r="CJ501" s="8">
        <f t="shared" si="357"/>
        <v>0</v>
      </c>
      <c r="CK501" s="8">
        <f t="shared" si="358"/>
        <v>0</v>
      </c>
      <c r="CL501" s="8">
        <f t="shared" si="359"/>
        <v>0</v>
      </c>
      <c r="CM501" s="8">
        <f t="shared" si="360"/>
        <v>0</v>
      </c>
      <c r="CN501" s="8">
        <f t="shared" si="361"/>
        <v>0</v>
      </c>
      <c r="CO501" s="8">
        <f t="shared" si="362"/>
        <v>0</v>
      </c>
      <c r="CP501" s="8">
        <f t="shared" si="363"/>
        <v>0</v>
      </c>
      <c r="CQ501" s="8">
        <f t="shared" si="364"/>
        <v>0</v>
      </c>
      <c r="CR501" s="8">
        <f t="shared" si="365"/>
        <v>0</v>
      </c>
      <c r="CS501" s="8">
        <f t="shared" si="366"/>
        <v>0</v>
      </c>
      <c r="CT501" s="8">
        <f t="shared" si="371"/>
        <v>0</v>
      </c>
      <c r="CU501" s="8">
        <f t="shared" si="372"/>
        <v>0</v>
      </c>
      <c r="CV501" s="8">
        <f t="shared" si="373"/>
        <v>0</v>
      </c>
    </row>
    <row r="502" spans="1:100" ht="20.5" thickTop="1" thickBot="1" x14ac:dyDescent="0.5">
      <c r="A502" s="32"/>
      <c r="B502" s="10"/>
      <c r="C502" s="10"/>
      <c r="D502" s="11"/>
      <c r="E502" s="10"/>
      <c r="F502" s="10"/>
      <c r="G502" s="19"/>
      <c r="H502" s="19"/>
      <c r="I502" s="19"/>
      <c r="J502" s="19"/>
      <c r="K502" s="10"/>
      <c r="L502" s="10"/>
      <c r="M502" s="10"/>
      <c r="N502" s="10"/>
      <c r="O502" s="18"/>
      <c r="P502" s="18"/>
      <c r="Q502" s="21"/>
      <c r="R502" s="20"/>
      <c r="S502" s="16">
        <f t="shared" si="329"/>
        <v>0</v>
      </c>
      <c r="T502" s="11"/>
      <c r="AS502" s="31">
        <f t="shared" si="330"/>
        <v>0</v>
      </c>
      <c r="AT502" s="31">
        <f t="shared" si="331"/>
        <v>0</v>
      </c>
      <c r="AU502" s="31">
        <f t="shared" si="332"/>
        <v>0</v>
      </c>
      <c r="AV502" s="31">
        <f t="shared" si="333"/>
        <v>0</v>
      </c>
      <c r="AW502" s="31">
        <f t="shared" si="334"/>
        <v>0</v>
      </c>
      <c r="AX502" s="31">
        <f t="shared" si="335"/>
        <v>0</v>
      </c>
      <c r="AY502" s="31">
        <f t="shared" si="336"/>
        <v>0</v>
      </c>
      <c r="AZ502" s="31">
        <f t="shared" si="337"/>
        <v>0</v>
      </c>
      <c r="BA502" s="31">
        <f t="shared" si="338"/>
        <v>0</v>
      </c>
      <c r="BB502" s="31">
        <f t="shared" si="367"/>
        <v>0</v>
      </c>
      <c r="BM502" s="8">
        <f t="shared" si="368"/>
        <v>0</v>
      </c>
      <c r="BN502" s="8">
        <f t="shared" si="339"/>
        <v>0</v>
      </c>
      <c r="BO502" s="8">
        <f t="shared" si="340"/>
        <v>0</v>
      </c>
      <c r="BQ502" s="8">
        <f t="shared" si="341"/>
        <v>0</v>
      </c>
      <c r="BR502" s="63">
        <f t="shared" si="342"/>
        <v>0</v>
      </c>
      <c r="BS502" s="63">
        <f t="shared" si="369"/>
        <v>0</v>
      </c>
      <c r="BT502" s="63">
        <f t="shared" si="343"/>
        <v>0</v>
      </c>
      <c r="BU502" s="63">
        <f t="shared" si="344"/>
        <v>0</v>
      </c>
      <c r="BV502" s="57">
        <f t="shared" si="345"/>
        <v>0</v>
      </c>
      <c r="BW502" s="57">
        <f t="shared" si="346"/>
        <v>0</v>
      </c>
      <c r="BX502" s="57">
        <f t="shared" si="370"/>
        <v>0</v>
      </c>
      <c r="BY502" s="57">
        <f t="shared" si="374"/>
        <v>0</v>
      </c>
      <c r="BZ502" s="8">
        <f t="shared" si="347"/>
        <v>0</v>
      </c>
      <c r="CA502" s="8">
        <f t="shared" si="348"/>
        <v>0</v>
      </c>
      <c r="CB502" s="8">
        <f t="shared" si="349"/>
        <v>0</v>
      </c>
      <c r="CC502" s="8">
        <f t="shared" si="350"/>
        <v>0</v>
      </c>
      <c r="CD502" s="8">
        <f t="shared" si="351"/>
        <v>0</v>
      </c>
      <c r="CE502" s="8">
        <f t="shared" si="352"/>
        <v>0</v>
      </c>
      <c r="CF502" s="8">
        <f t="shared" si="353"/>
        <v>0</v>
      </c>
      <c r="CG502" s="8">
        <f t="shared" si="354"/>
        <v>0</v>
      </c>
      <c r="CH502" s="8">
        <f t="shared" si="355"/>
        <v>0</v>
      </c>
      <c r="CI502" s="8">
        <f t="shared" si="356"/>
        <v>0</v>
      </c>
      <c r="CJ502" s="8">
        <f t="shared" si="357"/>
        <v>0</v>
      </c>
      <c r="CK502" s="8">
        <f t="shared" si="358"/>
        <v>0</v>
      </c>
      <c r="CL502" s="8">
        <f t="shared" si="359"/>
        <v>0</v>
      </c>
      <c r="CM502" s="8">
        <f t="shared" si="360"/>
        <v>0</v>
      </c>
      <c r="CN502" s="8">
        <f t="shared" si="361"/>
        <v>0</v>
      </c>
      <c r="CO502" s="8">
        <f t="shared" si="362"/>
        <v>0</v>
      </c>
      <c r="CP502" s="8">
        <f t="shared" si="363"/>
        <v>0</v>
      </c>
      <c r="CQ502" s="8">
        <f t="shared" si="364"/>
        <v>0</v>
      </c>
      <c r="CR502" s="8">
        <f t="shared" si="365"/>
        <v>0</v>
      </c>
      <c r="CS502" s="8">
        <f t="shared" si="366"/>
        <v>0</v>
      </c>
      <c r="CT502" s="8">
        <f t="shared" si="371"/>
        <v>0</v>
      </c>
      <c r="CU502" s="8">
        <f t="shared" si="372"/>
        <v>0</v>
      </c>
      <c r="CV502" s="8">
        <f t="shared" si="373"/>
        <v>0</v>
      </c>
    </row>
    <row r="503" spans="1:100" ht="20.5" thickTop="1" thickBot="1" x14ac:dyDescent="0.5">
      <c r="A503" s="32"/>
      <c r="B503" s="10"/>
      <c r="C503" s="10"/>
      <c r="D503" s="11"/>
      <c r="E503" s="10"/>
      <c r="F503" s="10"/>
      <c r="G503" s="19"/>
      <c r="H503" s="19"/>
      <c r="I503" s="19"/>
      <c r="J503" s="19"/>
      <c r="K503" s="10"/>
      <c r="L503" s="10"/>
      <c r="M503" s="10"/>
      <c r="N503" s="10"/>
      <c r="O503" s="18"/>
      <c r="P503" s="18"/>
      <c r="Q503" s="21"/>
      <c r="R503" s="20"/>
      <c r="S503" s="16">
        <f t="shared" si="329"/>
        <v>0</v>
      </c>
      <c r="T503" s="11"/>
      <c r="AS503" s="31">
        <f t="shared" si="330"/>
        <v>0</v>
      </c>
      <c r="AT503" s="31">
        <f t="shared" si="331"/>
        <v>0</v>
      </c>
      <c r="AU503" s="31">
        <f t="shared" si="332"/>
        <v>0</v>
      </c>
      <c r="AV503" s="31">
        <f t="shared" si="333"/>
        <v>0</v>
      </c>
      <c r="AW503" s="31">
        <f t="shared" si="334"/>
        <v>0</v>
      </c>
      <c r="AX503" s="31">
        <f t="shared" si="335"/>
        <v>0</v>
      </c>
      <c r="AY503" s="31">
        <f t="shared" si="336"/>
        <v>0</v>
      </c>
      <c r="AZ503" s="31">
        <f t="shared" si="337"/>
        <v>0</v>
      </c>
      <c r="BA503" s="31">
        <f t="shared" si="338"/>
        <v>0</v>
      </c>
      <c r="BB503" s="31">
        <f t="shared" si="367"/>
        <v>0</v>
      </c>
      <c r="BM503" s="8">
        <f t="shared" si="368"/>
        <v>0</v>
      </c>
      <c r="BN503" s="8">
        <f t="shared" si="339"/>
        <v>0</v>
      </c>
      <c r="BO503" s="8">
        <f t="shared" si="340"/>
        <v>0</v>
      </c>
      <c r="BQ503" s="8">
        <f t="shared" si="341"/>
        <v>0</v>
      </c>
      <c r="BR503" s="63">
        <f t="shared" si="342"/>
        <v>0</v>
      </c>
      <c r="BS503" s="63">
        <f t="shared" si="369"/>
        <v>0</v>
      </c>
      <c r="BT503" s="63">
        <f t="shared" si="343"/>
        <v>0</v>
      </c>
      <c r="BU503" s="63">
        <f t="shared" si="344"/>
        <v>0</v>
      </c>
      <c r="BV503" s="57">
        <f t="shared" si="345"/>
        <v>0</v>
      </c>
      <c r="BW503" s="57">
        <f t="shared" si="346"/>
        <v>0</v>
      </c>
      <c r="BX503" s="57">
        <f t="shared" si="370"/>
        <v>0</v>
      </c>
      <c r="BY503" s="57">
        <f t="shared" si="374"/>
        <v>0</v>
      </c>
      <c r="BZ503" s="8">
        <f t="shared" si="347"/>
        <v>0</v>
      </c>
      <c r="CA503" s="8">
        <f t="shared" si="348"/>
        <v>0</v>
      </c>
      <c r="CB503" s="8">
        <f t="shared" si="349"/>
        <v>0</v>
      </c>
      <c r="CC503" s="8">
        <f t="shared" si="350"/>
        <v>0</v>
      </c>
      <c r="CD503" s="8">
        <f t="shared" si="351"/>
        <v>0</v>
      </c>
      <c r="CE503" s="8">
        <f t="shared" si="352"/>
        <v>0</v>
      </c>
      <c r="CF503" s="8">
        <f t="shared" si="353"/>
        <v>0</v>
      </c>
      <c r="CG503" s="8">
        <f t="shared" si="354"/>
        <v>0</v>
      </c>
      <c r="CH503" s="8">
        <f t="shared" si="355"/>
        <v>0</v>
      </c>
      <c r="CI503" s="8">
        <f t="shared" si="356"/>
        <v>0</v>
      </c>
      <c r="CJ503" s="8">
        <f t="shared" si="357"/>
        <v>0</v>
      </c>
      <c r="CK503" s="8">
        <f t="shared" si="358"/>
        <v>0</v>
      </c>
      <c r="CL503" s="8">
        <f t="shared" si="359"/>
        <v>0</v>
      </c>
      <c r="CM503" s="8">
        <f t="shared" si="360"/>
        <v>0</v>
      </c>
      <c r="CN503" s="8">
        <f t="shared" si="361"/>
        <v>0</v>
      </c>
      <c r="CO503" s="8">
        <f t="shared" si="362"/>
        <v>0</v>
      </c>
      <c r="CP503" s="8">
        <f t="shared" si="363"/>
        <v>0</v>
      </c>
      <c r="CQ503" s="8">
        <f t="shared" si="364"/>
        <v>0</v>
      </c>
      <c r="CR503" s="8">
        <f t="shared" si="365"/>
        <v>0</v>
      </c>
      <c r="CS503" s="8">
        <f t="shared" si="366"/>
        <v>0</v>
      </c>
      <c r="CT503" s="8">
        <f t="shared" si="371"/>
        <v>0</v>
      </c>
      <c r="CU503" s="8">
        <f t="shared" si="372"/>
        <v>0</v>
      </c>
      <c r="CV503" s="8">
        <f t="shared" si="373"/>
        <v>0</v>
      </c>
    </row>
    <row r="504" spans="1:100" ht="20.5" thickTop="1" thickBot="1" x14ac:dyDescent="0.5">
      <c r="A504" s="32"/>
      <c r="B504" s="10"/>
      <c r="C504" s="10"/>
      <c r="D504" s="11"/>
      <c r="E504" s="10"/>
      <c r="F504" s="10"/>
      <c r="G504" s="19"/>
      <c r="H504" s="19"/>
      <c r="I504" s="19"/>
      <c r="J504" s="19"/>
      <c r="K504" s="10"/>
      <c r="L504" s="10"/>
      <c r="M504" s="10"/>
      <c r="N504" s="10"/>
      <c r="O504" s="18"/>
      <c r="P504" s="18"/>
      <c r="Q504" s="21"/>
      <c r="R504" s="20"/>
      <c r="S504" s="16">
        <f t="shared" si="329"/>
        <v>0</v>
      </c>
      <c r="T504" s="11"/>
      <c r="AS504" s="31">
        <f t="shared" si="330"/>
        <v>0</v>
      </c>
      <c r="AT504" s="31">
        <f t="shared" si="331"/>
        <v>0</v>
      </c>
      <c r="AU504" s="31">
        <f t="shared" si="332"/>
        <v>0</v>
      </c>
      <c r="AV504" s="31">
        <f t="shared" si="333"/>
        <v>0</v>
      </c>
      <c r="AW504" s="31">
        <f t="shared" si="334"/>
        <v>0</v>
      </c>
      <c r="AX504" s="31">
        <f t="shared" si="335"/>
        <v>0</v>
      </c>
      <c r="AY504" s="31">
        <f t="shared" si="336"/>
        <v>0</v>
      </c>
      <c r="AZ504" s="31">
        <f t="shared" si="337"/>
        <v>0</v>
      </c>
      <c r="BA504" s="31">
        <f t="shared" si="338"/>
        <v>0</v>
      </c>
      <c r="BB504" s="31">
        <f t="shared" si="367"/>
        <v>0</v>
      </c>
      <c r="BM504" s="8">
        <f t="shared" si="368"/>
        <v>0</v>
      </c>
      <c r="BN504" s="8">
        <f t="shared" si="339"/>
        <v>0</v>
      </c>
      <c r="BO504" s="8">
        <f t="shared" si="340"/>
        <v>0</v>
      </c>
      <c r="BQ504" s="8">
        <f t="shared" si="341"/>
        <v>0</v>
      </c>
      <c r="BR504" s="63">
        <f t="shared" si="342"/>
        <v>0</v>
      </c>
      <c r="BS504" s="63">
        <f t="shared" si="369"/>
        <v>0</v>
      </c>
      <c r="BT504" s="63">
        <f t="shared" si="343"/>
        <v>0</v>
      </c>
      <c r="BU504" s="63">
        <f t="shared" si="344"/>
        <v>0</v>
      </c>
      <c r="BV504" s="57">
        <f t="shared" si="345"/>
        <v>0</v>
      </c>
      <c r="BW504" s="57">
        <f t="shared" si="346"/>
        <v>0</v>
      </c>
      <c r="BX504" s="57">
        <f t="shared" si="370"/>
        <v>0</v>
      </c>
      <c r="BY504" s="57">
        <f t="shared" si="374"/>
        <v>0</v>
      </c>
      <c r="BZ504" s="8">
        <f t="shared" si="347"/>
        <v>0</v>
      </c>
      <c r="CA504" s="8">
        <f t="shared" si="348"/>
        <v>0</v>
      </c>
      <c r="CB504" s="8">
        <f t="shared" si="349"/>
        <v>0</v>
      </c>
      <c r="CC504" s="8">
        <f t="shared" si="350"/>
        <v>0</v>
      </c>
      <c r="CD504" s="8">
        <f t="shared" si="351"/>
        <v>0</v>
      </c>
      <c r="CE504" s="8">
        <f t="shared" si="352"/>
        <v>0</v>
      </c>
      <c r="CF504" s="8">
        <f t="shared" si="353"/>
        <v>0</v>
      </c>
      <c r="CG504" s="8">
        <f t="shared" si="354"/>
        <v>0</v>
      </c>
      <c r="CH504" s="8">
        <f t="shared" si="355"/>
        <v>0</v>
      </c>
      <c r="CI504" s="8">
        <f t="shared" si="356"/>
        <v>0</v>
      </c>
      <c r="CJ504" s="8">
        <f t="shared" si="357"/>
        <v>0</v>
      </c>
      <c r="CK504" s="8">
        <f t="shared" si="358"/>
        <v>0</v>
      </c>
      <c r="CL504" s="8">
        <f t="shared" si="359"/>
        <v>0</v>
      </c>
      <c r="CM504" s="8">
        <f t="shared" si="360"/>
        <v>0</v>
      </c>
      <c r="CN504" s="8">
        <f t="shared" si="361"/>
        <v>0</v>
      </c>
      <c r="CO504" s="8">
        <f t="shared" si="362"/>
        <v>0</v>
      </c>
      <c r="CP504" s="8">
        <f t="shared" si="363"/>
        <v>0</v>
      </c>
      <c r="CQ504" s="8">
        <f t="shared" si="364"/>
        <v>0</v>
      </c>
      <c r="CR504" s="8">
        <f t="shared" si="365"/>
        <v>0</v>
      </c>
      <c r="CS504" s="8">
        <f t="shared" si="366"/>
        <v>0</v>
      </c>
      <c r="CT504" s="8">
        <f t="shared" si="371"/>
        <v>0</v>
      </c>
      <c r="CU504" s="8">
        <f t="shared" si="372"/>
        <v>0</v>
      </c>
      <c r="CV504" s="8">
        <f t="shared" si="373"/>
        <v>0</v>
      </c>
    </row>
    <row r="505" spans="1:100" ht="20.5" thickTop="1" thickBot="1" x14ac:dyDescent="0.5">
      <c r="A505" s="32"/>
      <c r="B505" s="10"/>
      <c r="C505" s="10"/>
      <c r="D505" s="11"/>
      <c r="E505" s="10"/>
      <c r="F505" s="10"/>
      <c r="G505" s="19"/>
      <c r="H505" s="19"/>
      <c r="I505" s="19"/>
      <c r="J505" s="19"/>
      <c r="K505" s="10"/>
      <c r="L505" s="10"/>
      <c r="M505" s="10"/>
      <c r="N505" s="10"/>
      <c r="O505" s="18"/>
      <c r="P505" s="18"/>
      <c r="Q505" s="21"/>
      <c r="R505" s="20"/>
      <c r="S505" s="16">
        <f t="shared" si="329"/>
        <v>0</v>
      </c>
      <c r="T505" s="11"/>
      <c r="AS505" s="31">
        <f t="shared" si="330"/>
        <v>0</v>
      </c>
      <c r="AT505" s="31">
        <f t="shared" si="331"/>
        <v>0</v>
      </c>
      <c r="AU505" s="31">
        <f t="shared" si="332"/>
        <v>0</v>
      </c>
      <c r="AV505" s="31">
        <f t="shared" si="333"/>
        <v>0</v>
      </c>
      <c r="AW505" s="31">
        <f t="shared" si="334"/>
        <v>0</v>
      </c>
      <c r="AX505" s="31">
        <f t="shared" si="335"/>
        <v>0</v>
      </c>
      <c r="AY505" s="31">
        <f t="shared" si="336"/>
        <v>0</v>
      </c>
      <c r="AZ505" s="31">
        <f t="shared" si="337"/>
        <v>0</v>
      </c>
      <c r="BA505" s="31">
        <f t="shared" si="338"/>
        <v>0</v>
      </c>
      <c r="BB505" s="31">
        <f t="shared" si="367"/>
        <v>0</v>
      </c>
      <c r="BM505" s="8">
        <f t="shared" si="368"/>
        <v>0</v>
      </c>
      <c r="BN505" s="8">
        <f t="shared" si="339"/>
        <v>0</v>
      </c>
      <c r="BO505" s="8">
        <f t="shared" si="340"/>
        <v>0</v>
      </c>
      <c r="BQ505" s="8">
        <f t="shared" si="341"/>
        <v>0</v>
      </c>
      <c r="BR505" s="63">
        <f t="shared" si="342"/>
        <v>0</v>
      </c>
      <c r="BS505" s="63">
        <f t="shared" si="369"/>
        <v>0</v>
      </c>
      <c r="BT505" s="63">
        <f t="shared" si="343"/>
        <v>0</v>
      </c>
      <c r="BU505" s="63">
        <f t="shared" si="344"/>
        <v>0</v>
      </c>
      <c r="BV505" s="57">
        <f t="shared" si="345"/>
        <v>0</v>
      </c>
      <c r="BW505" s="57">
        <f t="shared" si="346"/>
        <v>0</v>
      </c>
      <c r="BX505" s="57">
        <f t="shared" si="370"/>
        <v>0</v>
      </c>
      <c r="BY505" s="57">
        <f t="shared" si="374"/>
        <v>0</v>
      </c>
      <c r="BZ505" s="8">
        <f t="shared" si="347"/>
        <v>0</v>
      </c>
      <c r="CA505" s="8">
        <f t="shared" si="348"/>
        <v>0</v>
      </c>
      <c r="CB505" s="8">
        <f t="shared" si="349"/>
        <v>0</v>
      </c>
      <c r="CC505" s="8">
        <f t="shared" si="350"/>
        <v>0</v>
      </c>
      <c r="CD505" s="8">
        <f t="shared" si="351"/>
        <v>0</v>
      </c>
      <c r="CE505" s="8">
        <f t="shared" si="352"/>
        <v>0</v>
      </c>
      <c r="CF505" s="8">
        <f t="shared" si="353"/>
        <v>0</v>
      </c>
      <c r="CG505" s="8">
        <f t="shared" si="354"/>
        <v>0</v>
      </c>
      <c r="CH505" s="8">
        <f t="shared" si="355"/>
        <v>0</v>
      </c>
      <c r="CI505" s="8">
        <f t="shared" si="356"/>
        <v>0</v>
      </c>
      <c r="CJ505" s="8">
        <f t="shared" si="357"/>
        <v>0</v>
      </c>
      <c r="CK505" s="8">
        <f t="shared" si="358"/>
        <v>0</v>
      </c>
      <c r="CL505" s="8">
        <f t="shared" si="359"/>
        <v>0</v>
      </c>
      <c r="CM505" s="8">
        <f t="shared" si="360"/>
        <v>0</v>
      </c>
      <c r="CN505" s="8">
        <f t="shared" si="361"/>
        <v>0</v>
      </c>
      <c r="CO505" s="8">
        <f t="shared" si="362"/>
        <v>0</v>
      </c>
      <c r="CP505" s="8">
        <f t="shared" si="363"/>
        <v>0</v>
      </c>
      <c r="CQ505" s="8">
        <f t="shared" si="364"/>
        <v>0</v>
      </c>
      <c r="CR505" s="8">
        <f t="shared" si="365"/>
        <v>0</v>
      </c>
      <c r="CS505" s="8">
        <f t="shared" si="366"/>
        <v>0</v>
      </c>
      <c r="CT505" s="8">
        <f t="shared" si="371"/>
        <v>0</v>
      </c>
      <c r="CU505" s="8">
        <f t="shared" si="372"/>
        <v>0</v>
      </c>
      <c r="CV505" s="8">
        <f t="shared" si="373"/>
        <v>0</v>
      </c>
    </row>
    <row r="506" spans="1:100" ht="20.5" thickTop="1" thickBot="1" x14ac:dyDescent="0.5">
      <c r="A506" s="32"/>
      <c r="B506" s="10"/>
      <c r="C506" s="10"/>
      <c r="D506" s="11"/>
      <c r="E506" s="10"/>
      <c r="F506" s="10"/>
      <c r="G506" s="19"/>
      <c r="H506" s="19"/>
      <c r="I506" s="19"/>
      <c r="J506" s="19"/>
      <c r="K506" s="10"/>
      <c r="L506" s="10"/>
      <c r="M506" s="10"/>
      <c r="N506" s="10"/>
      <c r="O506" s="18"/>
      <c r="P506" s="18"/>
      <c r="Q506" s="21"/>
      <c r="R506" s="20"/>
      <c r="S506" s="16">
        <f t="shared" si="329"/>
        <v>0</v>
      </c>
      <c r="T506" s="11"/>
      <c r="AS506" s="31">
        <f t="shared" si="330"/>
        <v>0</v>
      </c>
      <c r="AT506" s="31">
        <f t="shared" si="331"/>
        <v>0</v>
      </c>
      <c r="AU506" s="31">
        <f t="shared" si="332"/>
        <v>0</v>
      </c>
      <c r="AV506" s="31">
        <f t="shared" si="333"/>
        <v>0</v>
      </c>
      <c r="AW506" s="31">
        <f t="shared" si="334"/>
        <v>0</v>
      </c>
      <c r="AX506" s="31">
        <f t="shared" si="335"/>
        <v>0</v>
      </c>
      <c r="AY506" s="31">
        <f t="shared" si="336"/>
        <v>0</v>
      </c>
      <c r="AZ506" s="31">
        <f t="shared" si="337"/>
        <v>0</v>
      </c>
      <c r="BA506" s="31">
        <f t="shared" si="338"/>
        <v>0</v>
      </c>
      <c r="BB506" s="31">
        <f t="shared" si="367"/>
        <v>0</v>
      </c>
      <c r="BM506" s="8">
        <f t="shared" si="368"/>
        <v>0</v>
      </c>
      <c r="BN506" s="8">
        <f t="shared" si="339"/>
        <v>0</v>
      </c>
      <c r="BO506" s="8">
        <f t="shared" si="340"/>
        <v>0</v>
      </c>
      <c r="BQ506" s="8">
        <f t="shared" si="341"/>
        <v>0</v>
      </c>
      <c r="BR506" s="63">
        <f t="shared" si="342"/>
        <v>0</v>
      </c>
      <c r="BS506" s="63">
        <f t="shared" si="369"/>
        <v>0</v>
      </c>
      <c r="BT506" s="63">
        <f t="shared" si="343"/>
        <v>0</v>
      </c>
      <c r="BU506" s="63">
        <f t="shared" si="344"/>
        <v>0</v>
      </c>
      <c r="BV506" s="57">
        <f t="shared" si="345"/>
        <v>0</v>
      </c>
      <c r="BW506" s="57">
        <f t="shared" si="346"/>
        <v>0</v>
      </c>
      <c r="BX506" s="57">
        <f t="shared" si="370"/>
        <v>0</v>
      </c>
      <c r="BY506" s="57">
        <f t="shared" si="374"/>
        <v>0</v>
      </c>
      <c r="BZ506" s="8">
        <f t="shared" si="347"/>
        <v>0</v>
      </c>
      <c r="CA506" s="8">
        <f t="shared" si="348"/>
        <v>0</v>
      </c>
      <c r="CB506" s="8">
        <f t="shared" si="349"/>
        <v>0</v>
      </c>
      <c r="CC506" s="8">
        <f t="shared" si="350"/>
        <v>0</v>
      </c>
      <c r="CD506" s="8">
        <f t="shared" si="351"/>
        <v>0</v>
      </c>
      <c r="CE506" s="8">
        <f t="shared" si="352"/>
        <v>0</v>
      </c>
      <c r="CF506" s="8">
        <f t="shared" si="353"/>
        <v>0</v>
      </c>
      <c r="CG506" s="8">
        <f t="shared" si="354"/>
        <v>0</v>
      </c>
      <c r="CH506" s="8">
        <f t="shared" si="355"/>
        <v>0</v>
      </c>
      <c r="CI506" s="8">
        <f t="shared" si="356"/>
        <v>0</v>
      </c>
      <c r="CJ506" s="8">
        <f t="shared" si="357"/>
        <v>0</v>
      </c>
      <c r="CK506" s="8">
        <f t="shared" si="358"/>
        <v>0</v>
      </c>
      <c r="CL506" s="8">
        <f t="shared" si="359"/>
        <v>0</v>
      </c>
      <c r="CM506" s="8">
        <f t="shared" si="360"/>
        <v>0</v>
      </c>
      <c r="CN506" s="8">
        <f t="shared" si="361"/>
        <v>0</v>
      </c>
      <c r="CO506" s="8">
        <f t="shared" si="362"/>
        <v>0</v>
      </c>
      <c r="CP506" s="8">
        <f t="shared" si="363"/>
        <v>0</v>
      </c>
      <c r="CQ506" s="8">
        <f t="shared" si="364"/>
        <v>0</v>
      </c>
      <c r="CR506" s="8">
        <f t="shared" si="365"/>
        <v>0</v>
      </c>
      <c r="CS506" s="8">
        <f t="shared" si="366"/>
        <v>0</v>
      </c>
      <c r="CT506" s="8">
        <f t="shared" si="371"/>
        <v>0</v>
      </c>
      <c r="CU506" s="8">
        <f t="shared" si="372"/>
        <v>0</v>
      </c>
      <c r="CV506" s="8">
        <f t="shared" si="373"/>
        <v>0</v>
      </c>
    </row>
    <row r="507" spans="1:100" ht="20.5" thickTop="1" thickBot="1" x14ac:dyDescent="0.5">
      <c r="A507" s="32"/>
      <c r="B507" s="10"/>
      <c r="C507" s="10"/>
      <c r="D507" s="11"/>
      <c r="E507" s="10"/>
      <c r="F507" s="10"/>
      <c r="G507" s="19"/>
      <c r="H507" s="19"/>
      <c r="I507" s="19"/>
      <c r="J507" s="19"/>
      <c r="K507" s="10"/>
      <c r="L507" s="10"/>
      <c r="M507" s="10"/>
      <c r="N507" s="10"/>
      <c r="O507" s="18"/>
      <c r="P507" s="18"/>
      <c r="Q507" s="21"/>
      <c r="R507" s="20"/>
      <c r="S507" s="16">
        <f t="shared" si="329"/>
        <v>0</v>
      </c>
      <c r="T507" s="11"/>
      <c r="AS507" s="31">
        <f t="shared" si="330"/>
        <v>0</v>
      </c>
      <c r="AT507" s="31">
        <f t="shared" si="331"/>
        <v>0</v>
      </c>
      <c r="AU507" s="31">
        <f t="shared" si="332"/>
        <v>0</v>
      </c>
      <c r="AV507" s="31">
        <f t="shared" si="333"/>
        <v>0</v>
      </c>
      <c r="AW507" s="31">
        <f t="shared" si="334"/>
        <v>0</v>
      </c>
      <c r="AX507" s="31">
        <f t="shared" si="335"/>
        <v>0</v>
      </c>
      <c r="AY507" s="31">
        <f t="shared" si="336"/>
        <v>0</v>
      </c>
      <c r="AZ507" s="31">
        <f t="shared" si="337"/>
        <v>0</v>
      </c>
      <c r="BA507" s="31">
        <f t="shared" si="338"/>
        <v>0</v>
      </c>
      <c r="BB507" s="31">
        <f t="shared" si="367"/>
        <v>0</v>
      </c>
      <c r="BM507" s="8">
        <f t="shared" si="368"/>
        <v>0</v>
      </c>
      <c r="BN507" s="8">
        <f t="shared" si="339"/>
        <v>0</v>
      </c>
      <c r="BO507" s="8">
        <f t="shared" si="340"/>
        <v>0</v>
      </c>
      <c r="BQ507" s="8">
        <f t="shared" si="341"/>
        <v>0</v>
      </c>
      <c r="BR507" s="63">
        <f t="shared" si="342"/>
        <v>0</v>
      </c>
      <c r="BS507" s="63">
        <f t="shared" si="369"/>
        <v>0</v>
      </c>
      <c r="BT507" s="63">
        <f t="shared" si="343"/>
        <v>0</v>
      </c>
      <c r="BU507" s="63">
        <f t="shared" si="344"/>
        <v>0</v>
      </c>
      <c r="BV507" s="57">
        <f t="shared" si="345"/>
        <v>0</v>
      </c>
      <c r="BW507" s="57">
        <f t="shared" si="346"/>
        <v>0</v>
      </c>
      <c r="BX507" s="57">
        <f t="shared" si="370"/>
        <v>0</v>
      </c>
      <c r="BY507" s="57">
        <f t="shared" si="374"/>
        <v>0</v>
      </c>
      <c r="BZ507" s="8">
        <f t="shared" si="347"/>
        <v>0</v>
      </c>
      <c r="CA507" s="8">
        <f t="shared" si="348"/>
        <v>0</v>
      </c>
      <c r="CB507" s="8">
        <f t="shared" si="349"/>
        <v>0</v>
      </c>
      <c r="CC507" s="8">
        <f t="shared" si="350"/>
        <v>0</v>
      </c>
      <c r="CD507" s="8">
        <f t="shared" si="351"/>
        <v>0</v>
      </c>
      <c r="CE507" s="8">
        <f t="shared" si="352"/>
        <v>0</v>
      </c>
      <c r="CF507" s="8">
        <f t="shared" si="353"/>
        <v>0</v>
      </c>
      <c r="CG507" s="8">
        <f t="shared" si="354"/>
        <v>0</v>
      </c>
      <c r="CH507" s="8">
        <f t="shared" si="355"/>
        <v>0</v>
      </c>
      <c r="CI507" s="8">
        <f t="shared" si="356"/>
        <v>0</v>
      </c>
      <c r="CJ507" s="8">
        <f t="shared" si="357"/>
        <v>0</v>
      </c>
      <c r="CK507" s="8">
        <f t="shared" si="358"/>
        <v>0</v>
      </c>
      <c r="CL507" s="8">
        <f t="shared" si="359"/>
        <v>0</v>
      </c>
      <c r="CM507" s="8">
        <f t="shared" si="360"/>
        <v>0</v>
      </c>
      <c r="CN507" s="8">
        <f t="shared" si="361"/>
        <v>0</v>
      </c>
      <c r="CO507" s="8">
        <f t="shared" si="362"/>
        <v>0</v>
      </c>
      <c r="CP507" s="8">
        <f t="shared" si="363"/>
        <v>0</v>
      </c>
      <c r="CQ507" s="8">
        <f t="shared" si="364"/>
        <v>0</v>
      </c>
      <c r="CR507" s="8">
        <f t="shared" si="365"/>
        <v>0</v>
      </c>
      <c r="CS507" s="8">
        <f t="shared" si="366"/>
        <v>0</v>
      </c>
      <c r="CT507" s="8">
        <f t="shared" si="371"/>
        <v>0</v>
      </c>
      <c r="CU507" s="8">
        <f t="shared" si="372"/>
        <v>0</v>
      </c>
      <c r="CV507" s="8">
        <f t="shared" si="373"/>
        <v>0</v>
      </c>
    </row>
    <row r="508" spans="1:100" ht="20.5" thickTop="1" thickBot="1" x14ac:dyDescent="0.5">
      <c r="A508" s="32"/>
      <c r="B508" s="10"/>
      <c r="C508" s="10"/>
      <c r="D508" s="11"/>
      <c r="E508" s="10"/>
      <c r="F508" s="10"/>
      <c r="G508" s="19"/>
      <c r="H508" s="19"/>
      <c r="I508" s="19"/>
      <c r="J508" s="19"/>
      <c r="K508" s="10"/>
      <c r="L508" s="10"/>
      <c r="M508" s="10"/>
      <c r="N508" s="10"/>
      <c r="O508" s="18"/>
      <c r="P508" s="18"/>
      <c r="Q508" s="21"/>
      <c r="R508" s="20"/>
      <c r="S508" s="16">
        <f t="shared" si="329"/>
        <v>0</v>
      </c>
      <c r="T508" s="11"/>
      <c r="AS508" s="31">
        <f t="shared" si="330"/>
        <v>0</v>
      </c>
      <c r="AT508" s="31">
        <f t="shared" si="331"/>
        <v>0</v>
      </c>
      <c r="AU508" s="31">
        <f t="shared" si="332"/>
        <v>0</v>
      </c>
      <c r="AV508" s="31">
        <f t="shared" si="333"/>
        <v>0</v>
      </c>
      <c r="AW508" s="31">
        <f t="shared" si="334"/>
        <v>0</v>
      </c>
      <c r="AX508" s="31">
        <f t="shared" si="335"/>
        <v>0</v>
      </c>
      <c r="AY508" s="31">
        <f t="shared" si="336"/>
        <v>0</v>
      </c>
      <c r="AZ508" s="31">
        <f t="shared" si="337"/>
        <v>0</v>
      </c>
      <c r="BA508" s="31">
        <f t="shared" si="338"/>
        <v>0</v>
      </c>
      <c r="BB508" s="31">
        <f t="shared" si="367"/>
        <v>0</v>
      </c>
      <c r="BM508" s="8">
        <f t="shared" si="368"/>
        <v>0</v>
      </c>
      <c r="BN508" s="8">
        <f t="shared" si="339"/>
        <v>0</v>
      </c>
      <c r="BO508" s="8">
        <f t="shared" si="340"/>
        <v>0</v>
      </c>
      <c r="BQ508" s="8">
        <f t="shared" si="341"/>
        <v>0</v>
      </c>
      <c r="BR508" s="63">
        <f t="shared" si="342"/>
        <v>0</v>
      </c>
      <c r="BS508" s="63">
        <f t="shared" si="369"/>
        <v>0</v>
      </c>
      <c r="BT508" s="63">
        <f t="shared" si="343"/>
        <v>0</v>
      </c>
      <c r="BU508" s="63">
        <f t="shared" si="344"/>
        <v>0</v>
      </c>
      <c r="BV508" s="57">
        <f t="shared" si="345"/>
        <v>0</v>
      </c>
      <c r="BW508" s="57">
        <f t="shared" si="346"/>
        <v>0</v>
      </c>
      <c r="BX508" s="57">
        <f t="shared" si="370"/>
        <v>0</v>
      </c>
      <c r="BY508" s="57">
        <f t="shared" si="374"/>
        <v>0</v>
      </c>
      <c r="BZ508" s="8">
        <f t="shared" si="347"/>
        <v>0</v>
      </c>
      <c r="CA508" s="8">
        <f t="shared" si="348"/>
        <v>0</v>
      </c>
      <c r="CB508" s="8">
        <f t="shared" si="349"/>
        <v>0</v>
      </c>
      <c r="CC508" s="8">
        <f t="shared" si="350"/>
        <v>0</v>
      </c>
      <c r="CD508" s="8">
        <f t="shared" si="351"/>
        <v>0</v>
      </c>
      <c r="CE508" s="8">
        <f t="shared" si="352"/>
        <v>0</v>
      </c>
      <c r="CF508" s="8">
        <f t="shared" si="353"/>
        <v>0</v>
      </c>
      <c r="CG508" s="8">
        <f t="shared" si="354"/>
        <v>0</v>
      </c>
      <c r="CH508" s="8">
        <f t="shared" si="355"/>
        <v>0</v>
      </c>
      <c r="CI508" s="8">
        <f t="shared" si="356"/>
        <v>0</v>
      </c>
      <c r="CJ508" s="8">
        <f t="shared" si="357"/>
        <v>0</v>
      </c>
      <c r="CK508" s="8">
        <f t="shared" si="358"/>
        <v>0</v>
      </c>
      <c r="CL508" s="8">
        <f t="shared" si="359"/>
        <v>0</v>
      </c>
      <c r="CM508" s="8">
        <f t="shared" si="360"/>
        <v>0</v>
      </c>
      <c r="CN508" s="8">
        <f t="shared" si="361"/>
        <v>0</v>
      </c>
      <c r="CO508" s="8">
        <f t="shared" si="362"/>
        <v>0</v>
      </c>
      <c r="CP508" s="8">
        <f t="shared" si="363"/>
        <v>0</v>
      </c>
      <c r="CQ508" s="8">
        <f t="shared" si="364"/>
        <v>0</v>
      </c>
      <c r="CR508" s="8">
        <f t="shared" si="365"/>
        <v>0</v>
      </c>
      <c r="CS508" s="8">
        <f t="shared" si="366"/>
        <v>0</v>
      </c>
      <c r="CT508" s="8">
        <f t="shared" si="371"/>
        <v>0</v>
      </c>
      <c r="CU508" s="8">
        <f t="shared" si="372"/>
        <v>0</v>
      </c>
      <c r="CV508" s="8">
        <f t="shared" si="373"/>
        <v>0</v>
      </c>
    </row>
    <row r="509" spans="1:100" ht="20.5" thickTop="1" thickBot="1" x14ac:dyDescent="0.5">
      <c r="A509" s="32"/>
      <c r="B509" s="10"/>
      <c r="C509" s="10"/>
      <c r="D509" s="11"/>
      <c r="E509" s="10"/>
      <c r="F509" s="10"/>
      <c r="G509" s="19"/>
      <c r="H509" s="19"/>
      <c r="I509" s="19"/>
      <c r="J509" s="19"/>
      <c r="K509" s="10"/>
      <c r="L509" s="10"/>
      <c r="M509" s="10"/>
      <c r="N509" s="10"/>
      <c r="O509" s="18"/>
      <c r="P509" s="18"/>
      <c r="Q509" s="21"/>
      <c r="R509" s="20"/>
      <c r="S509" s="16">
        <f t="shared" si="329"/>
        <v>0</v>
      </c>
      <c r="T509" s="11"/>
      <c r="AS509" s="31">
        <f t="shared" si="330"/>
        <v>0</v>
      </c>
      <c r="AT509" s="31">
        <f t="shared" si="331"/>
        <v>0</v>
      </c>
      <c r="AU509" s="31">
        <f t="shared" si="332"/>
        <v>0</v>
      </c>
      <c r="AV509" s="31">
        <f t="shared" si="333"/>
        <v>0</v>
      </c>
      <c r="AW509" s="31">
        <f t="shared" si="334"/>
        <v>0</v>
      </c>
      <c r="AX509" s="31">
        <f t="shared" si="335"/>
        <v>0</v>
      </c>
      <c r="AY509" s="31">
        <f t="shared" si="336"/>
        <v>0</v>
      </c>
      <c r="AZ509" s="31">
        <f t="shared" si="337"/>
        <v>0</v>
      </c>
      <c r="BA509" s="31">
        <f t="shared" si="338"/>
        <v>0</v>
      </c>
      <c r="BB509" s="31">
        <f t="shared" si="367"/>
        <v>0</v>
      </c>
      <c r="BM509" s="8">
        <f t="shared" si="368"/>
        <v>0</v>
      </c>
      <c r="BN509" s="8">
        <f t="shared" si="339"/>
        <v>0</v>
      </c>
      <c r="BO509" s="8">
        <f t="shared" si="340"/>
        <v>0</v>
      </c>
      <c r="BQ509" s="8">
        <f t="shared" si="341"/>
        <v>0</v>
      </c>
      <c r="BR509" s="63">
        <f t="shared" si="342"/>
        <v>0</v>
      </c>
      <c r="BS509" s="63">
        <f t="shared" si="369"/>
        <v>0</v>
      </c>
      <c r="BT509" s="63">
        <f t="shared" si="343"/>
        <v>0</v>
      </c>
      <c r="BU509" s="63">
        <f t="shared" si="344"/>
        <v>0</v>
      </c>
      <c r="BV509" s="57">
        <f t="shared" si="345"/>
        <v>0</v>
      </c>
      <c r="BW509" s="57">
        <f t="shared" si="346"/>
        <v>0</v>
      </c>
      <c r="BX509" s="57">
        <f t="shared" si="370"/>
        <v>0</v>
      </c>
      <c r="BY509" s="57">
        <f t="shared" si="374"/>
        <v>0</v>
      </c>
      <c r="BZ509" s="8">
        <f t="shared" si="347"/>
        <v>0</v>
      </c>
      <c r="CA509" s="8">
        <f t="shared" si="348"/>
        <v>0</v>
      </c>
      <c r="CB509" s="8">
        <f t="shared" si="349"/>
        <v>0</v>
      </c>
      <c r="CC509" s="8">
        <f t="shared" si="350"/>
        <v>0</v>
      </c>
      <c r="CD509" s="8">
        <f t="shared" si="351"/>
        <v>0</v>
      </c>
      <c r="CE509" s="8">
        <f t="shared" si="352"/>
        <v>0</v>
      </c>
      <c r="CF509" s="8">
        <f t="shared" si="353"/>
        <v>0</v>
      </c>
      <c r="CG509" s="8">
        <f t="shared" si="354"/>
        <v>0</v>
      </c>
      <c r="CH509" s="8">
        <f t="shared" si="355"/>
        <v>0</v>
      </c>
      <c r="CI509" s="8">
        <f t="shared" si="356"/>
        <v>0</v>
      </c>
      <c r="CJ509" s="8">
        <f t="shared" si="357"/>
        <v>0</v>
      </c>
      <c r="CK509" s="8">
        <f t="shared" si="358"/>
        <v>0</v>
      </c>
      <c r="CL509" s="8">
        <f t="shared" si="359"/>
        <v>0</v>
      </c>
      <c r="CM509" s="8">
        <f t="shared" si="360"/>
        <v>0</v>
      </c>
      <c r="CN509" s="8">
        <f t="shared" si="361"/>
        <v>0</v>
      </c>
      <c r="CO509" s="8">
        <f t="shared" si="362"/>
        <v>0</v>
      </c>
      <c r="CP509" s="8">
        <f t="shared" si="363"/>
        <v>0</v>
      </c>
      <c r="CQ509" s="8">
        <f t="shared" si="364"/>
        <v>0</v>
      </c>
      <c r="CR509" s="8">
        <f t="shared" si="365"/>
        <v>0</v>
      </c>
      <c r="CS509" s="8">
        <f t="shared" si="366"/>
        <v>0</v>
      </c>
      <c r="CT509" s="8">
        <f t="shared" si="371"/>
        <v>0</v>
      </c>
      <c r="CU509" s="8">
        <f t="shared" si="372"/>
        <v>0</v>
      </c>
      <c r="CV509" s="8">
        <f t="shared" si="373"/>
        <v>0</v>
      </c>
    </row>
    <row r="510" spans="1:100" ht="20.5" thickTop="1" thickBot="1" x14ac:dyDescent="0.5">
      <c r="A510" s="32"/>
      <c r="B510" s="10"/>
      <c r="C510" s="10"/>
      <c r="D510" s="11"/>
      <c r="E510" s="10"/>
      <c r="F510" s="10"/>
      <c r="G510" s="19"/>
      <c r="H510" s="19"/>
      <c r="I510" s="19"/>
      <c r="J510" s="19"/>
      <c r="K510" s="10"/>
      <c r="L510" s="10"/>
      <c r="M510" s="10"/>
      <c r="N510" s="10"/>
      <c r="O510" s="18"/>
      <c r="P510" s="18"/>
      <c r="Q510" s="21"/>
      <c r="R510" s="20"/>
      <c r="S510" s="16">
        <f t="shared" si="329"/>
        <v>0</v>
      </c>
      <c r="T510" s="11"/>
      <c r="AS510" s="31">
        <f t="shared" si="330"/>
        <v>0</v>
      </c>
      <c r="AT510" s="31">
        <f t="shared" si="331"/>
        <v>0</v>
      </c>
      <c r="AU510" s="31">
        <f t="shared" si="332"/>
        <v>0</v>
      </c>
      <c r="AV510" s="31">
        <f t="shared" si="333"/>
        <v>0</v>
      </c>
      <c r="AW510" s="31">
        <f t="shared" si="334"/>
        <v>0</v>
      </c>
      <c r="AX510" s="31">
        <f t="shared" si="335"/>
        <v>0</v>
      </c>
      <c r="AY510" s="31">
        <f t="shared" si="336"/>
        <v>0</v>
      </c>
      <c r="AZ510" s="31">
        <f t="shared" si="337"/>
        <v>0</v>
      </c>
      <c r="BA510" s="31">
        <f t="shared" si="338"/>
        <v>0</v>
      </c>
      <c r="BB510" s="31">
        <f t="shared" si="367"/>
        <v>0</v>
      </c>
      <c r="BM510" s="8">
        <f t="shared" si="368"/>
        <v>0</v>
      </c>
      <c r="BN510" s="8">
        <f t="shared" si="339"/>
        <v>0</v>
      </c>
      <c r="BO510" s="8">
        <f t="shared" si="340"/>
        <v>0</v>
      </c>
      <c r="BQ510" s="8">
        <f t="shared" si="341"/>
        <v>0</v>
      </c>
      <c r="BR510" s="63">
        <f t="shared" si="342"/>
        <v>0</v>
      </c>
      <c r="BS510" s="63">
        <f t="shared" si="369"/>
        <v>0</v>
      </c>
      <c r="BT510" s="63">
        <f t="shared" si="343"/>
        <v>0</v>
      </c>
      <c r="BU510" s="63">
        <f t="shared" si="344"/>
        <v>0</v>
      </c>
      <c r="BV510" s="57">
        <f t="shared" si="345"/>
        <v>0</v>
      </c>
      <c r="BW510" s="57">
        <f t="shared" si="346"/>
        <v>0</v>
      </c>
      <c r="BX510" s="57">
        <f t="shared" si="370"/>
        <v>0</v>
      </c>
      <c r="BY510" s="57">
        <f t="shared" si="374"/>
        <v>0</v>
      </c>
      <c r="BZ510" s="8">
        <f t="shared" si="347"/>
        <v>0</v>
      </c>
      <c r="CA510" s="8">
        <f t="shared" si="348"/>
        <v>0</v>
      </c>
      <c r="CB510" s="8">
        <f t="shared" si="349"/>
        <v>0</v>
      </c>
      <c r="CC510" s="8">
        <f t="shared" si="350"/>
        <v>0</v>
      </c>
      <c r="CD510" s="8">
        <f t="shared" si="351"/>
        <v>0</v>
      </c>
      <c r="CE510" s="8">
        <f t="shared" si="352"/>
        <v>0</v>
      </c>
      <c r="CF510" s="8">
        <f t="shared" si="353"/>
        <v>0</v>
      </c>
      <c r="CG510" s="8">
        <f t="shared" si="354"/>
        <v>0</v>
      </c>
      <c r="CH510" s="8">
        <f t="shared" si="355"/>
        <v>0</v>
      </c>
      <c r="CI510" s="8">
        <f t="shared" si="356"/>
        <v>0</v>
      </c>
      <c r="CJ510" s="8">
        <f t="shared" si="357"/>
        <v>0</v>
      </c>
      <c r="CK510" s="8">
        <f t="shared" si="358"/>
        <v>0</v>
      </c>
      <c r="CL510" s="8">
        <f t="shared" si="359"/>
        <v>0</v>
      </c>
      <c r="CM510" s="8">
        <f t="shared" si="360"/>
        <v>0</v>
      </c>
      <c r="CN510" s="8">
        <f t="shared" si="361"/>
        <v>0</v>
      </c>
      <c r="CO510" s="8">
        <f t="shared" si="362"/>
        <v>0</v>
      </c>
      <c r="CP510" s="8">
        <f t="shared" si="363"/>
        <v>0</v>
      </c>
      <c r="CQ510" s="8">
        <f t="shared" si="364"/>
        <v>0</v>
      </c>
      <c r="CR510" s="8">
        <f t="shared" si="365"/>
        <v>0</v>
      </c>
      <c r="CS510" s="8">
        <f t="shared" si="366"/>
        <v>0</v>
      </c>
      <c r="CT510" s="8">
        <f t="shared" si="371"/>
        <v>0</v>
      </c>
      <c r="CU510" s="8">
        <f t="shared" si="372"/>
        <v>0</v>
      </c>
      <c r="CV510" s="8">
        <f t="shared" si="373"/>
        <v>0</v>
      </c>
    </row>
    <row r="511" spans="1:100" ht="20.5" thickTop="1" thickBot="1" x14ac:dyDescent="0.5">
      <c r="A511" s="32"/>
      <c r="B511" s="10"/>
      <c r="C511" s="10"/>
      <c r="D511" s="11"/>
      <c r="E511" s="10"/>
      <c r="F511" s="10"/>
      <c r="G511" s="19"/>
      <c r="H511" s="19"/>
      <c r="I511" s="19"/>
      <c r="J511" s="19"/>
      <c r="K511" s="10"/>
      <c r="L511" s="10"/>
      <c r="M511" s="10"/>
      <c r="N511" s="10"/>
      <c r="O511" s="18"/>
      <c r="P511" s="18"/>
      <c r="Q511" s="21"/>
      <c r="R511" s="20"/>
      <c r="S511" s="16">
        <f t="shared" si="329"/>
        <v>0</v>
      </c>
      <c r="T511" s="11"/>
      <c r="AS511" s="31">
        <f t="shared" si="330"/>
        <v>0</v>
      </c>
      <c r="AT511" s="31">
        <f t="shared" si="331"/>
        <v>0</v>
      </c>
      <c r="AU511" s="31">
        <f t="shared" si="332"/>
        <v>0</v>
      </c>
      <c r="AV511" s="31">
        <f t="shared" si="333"/>
        <v>0</v>
      </c>
      <c r="AW511" s="31">
        <f t="shared" si="334"/>
        <v>0</v>
      </c>
      <c r="AX511" s="31">
        <f t="shared" si="335"/>
        <v>0</v>
      </c>
      <c r="AY511" s="31">
        <f t="shared" si="336"/>
        <v>0</v>
      </c>
      <c r="AZ511" s="31">
        <f t="shared" si="337"/>
        <v>0</v>
      </c>
      <c r="BA511" s="31">
        <f t="shared" si="338"/>
        <v>0</v>
      </c>
      <c r="BB511" s="31">
        <f t="shared" si="367"/>
        <v>0</v>
      </c>
      <c r="BM511" s="8">
        <f t="shared" si="368"/>
        <v>0</v>
      </c>
      <c r="BN511" s="8">
        <f t="shared" si="339"/>
        <v>0</v>
      </c>
      <c r="BO511" s="8">
        <f t="shared" si="340"/>
        <v>0</v>
      </c>
      <c r="BQ511" s="8">
        <f t="shared" si="341"/>
        <v>0</v>
      </c>
      <c r="BR511" s="63">
        <f t="shared" si="342"/>
        <v>0</v>
      </c>
      <c r="BS511" s="63">
        <f t="shared" si="369"/>
        <v>0</v>
      </c>
      <c r="BT511" s="63">
        <f t="shared" si="343"/>
        <v>0</v>
      </c>
      <c r="BU511" s="63">
        <f t="shared" si="344"/>
        <v>0</v>
      </c>
      <c r="BV511" s="57">
        <f t="shared" si="345"/>
        <v>0</v>
      </c>
      <c r="BW511" s="57">
        <f t="shared" si="346"/>
        <v>0</v>
      </c>
      <c r="BX511" s="57">
        <f t="shared" si="370"/>
        <v>0</v>
      </c>
      <c r="BY511" s="57">
        <f t="shared" si="374"/>
        <v>0</v>
      </c>
      <c r="BZ511" s="8">
        <f t="shared" si="347"/>
        <v>0</v>
      </c>
      <c r="CA511" s="8">
        <f t="shared" si="348"/>
        <v>0</v>
      </c>
      <c r="CB511" s="8">
        <f t="shared" si="349"/>
        <v>0</v>
      </c>
      <c r="CC511" s="8">
        <f t="shared" si="350"/>
        <v>0</v>
      </c>
      <c r="CD511" s="8">
        <f t="shared" si="351"/>
        <v>0</v>
      </c>
      <c r="CE511" s="8">
        <f t="shared" si="352"/>
        <v>0</v>
      </c>
      <c r="CF511" s="8">
        <f t="shared" si="353"/>
        <v>0</v>
      </c>
      <c r="CG511" s="8">
        <f t="shared" si="354"/>
        <v>0</v>
      </c>
      <c r="CH511" s="8">
        <f t="shared" si="355"/>
        <v>0</v>
      </c>
      <c r="CI511" s="8">
        <f t="shared" si="356"/>
        <v>0</v>
      </c>
      <c r="CJ511" s="8">
        <f t="shared" si="357"/>
        <v>0</v>
      </c>
      <c r="CK511" s="8">
        <f t="shared" si="358"/>
        <v>0</v>
      </c>
      <c r="CL511" s="8">
        <f t="shared" si="359"/>
        <v>0</v>
      </c>
      <c r="CM511" s="8">
        <f t="shared" si="360"/>
        <v>0</v>
      </c>
      <c r="CN511" s="8">
        <f t="shared" si="361"/>
        <v>0</v>
      </c>
      <c r="CO511" s="8">
        <f t="shared" si="362"/>
        <v>0</v>
      </c>
      <c r="CP511" s="8">
        <f t="shared" si="363"/>
        <v>0</v>
      </c>
      <c r="CQ511" s="8">
        <f t="shared" si="364"/>
        <v>0</v>
      </c>
      <c r="CR511" s="8">
        <f t="shared" si="365"/>
        <v>0</v>
      </c>
      <c r="CS511" s="8">
        <f t="shared" si="366"/>
        <v>0</v>
      </c>
      <c r="CT511" s="8">
        <f t="shared" si="371"/>
        <v>0</v>
      </c>
      <c r="CU511" s="8">
        <f t="shared" si="372"/>
        <v>0</v>
      </c>
      <c r="CV511" s="8">
        <f t="shared" si="373"/>
        <v>0</v>
      </c>
    </row>
    <row r="512" spans="1:100" ht="20.5" thickTop="1" thickBot="1" x14ac:dyDescent="0.5">
      <c r="A512" s="32"/>
      <c r="B512" s="10"/>
      <c r="C512" s="10"/>
      <c r="D512" s="11"/>
      <c r="E512" s="10"/>
      <c r="F512" s="10"/>
      <c r="G512" s="19"/>
      <c r="H512" s="19"/>
      <c r="I512" s="19"/>
      <c r="J512" s="19"/>
      <c r="K512" s="10"/>
      <c r="L512" s="10"/>
      <c r="M512" s="10"/>
      <c r="N512" s="10"/>
      <c r="O512" s="18"/>
      <c r="P512" s="18"/>
      <c r="Q512" s="21"/>
      <c r="R512" s="20"/>
      <c r="S512" s="16">
        <f t="shared" si="329"/>
        <v>0</v>
      </c>
      <c r="T512" s="11"/>
      <c r="AS512" s="31">
        <f t="shared" si="330"/>
        <v>0</v>
      </c>
      <c r="AT512" s="31">
        <f t="shared" si="331"/>
        <v>0</v>
      </c>
      <c r="AU512" s="31">
        <f t="shared" si="332"/>
        <v>0</v>
      </c>
      <c r="AV512" s="31">
        <f t="shared" si="333"/>
        <v>0</v>
      </c>
      <c r="AW512" s="31">
        <f t="shared" si="334"/>
        <v>0</v>
      </c>
      <c r="AX512" s="31">
        <f t="shared" si="335"/>
        <v>0</v>
      </c>
      <c r="AY512" s="31">
        <f t="shared" si="336"/>
        <v>0</v>
      </c>
      <c r="AZ512" s="31">
        <f t="shared" si="337"/>
        <v>0</v>
      </c>
      <c r="BA512" s="31">
        <f t="shared" si="338"/>
        <v>0</v>
      </c>
      <c r="BB512" s="31">
        <f t="shared" si="367"/>
        <v>0</v>
      </c>
      <c r="BM512" s="8">
        <f t="shared" si="368"/>
        <v>0</v>
      </c>
      <c r="BN512" s="8">
        <f t="shared" si="339"/>
        <v>0</v>
      </c>
      <c r="BO512" s="8">
        <f t="shared" si="340"/>
        <v>0</v>
      </c>
      <c r="BQ512" s="8">
        <f t="shared" si="341"/>
        <v>0</v>
      </c>
      <c r="BR512" s="63">
        <f t="shared" si="342"/>
        <v>0</v>
      </c>
      <c r="BS512" s="63">
        <f t="shared" si="369"/>
        <v>0</v>
      </c>
      <c r="BT512" s="63">
        <f t="shared" si="343"/>
        <v>0</v>
      </c>
      <c r="BU512" s="63">
        <f t="shared" si="344"/>
        <v>0</v>
      </c>
      <c r="BV512" s="57">
        <f t="shared" si="345"/>
        <v>0</v>
      </c>
      <c r="BW512" s="57">
        <f t="shared" si="346"/>
        <v>0</v>
      </c>
      <c r="BX512" s="57">
        <f t="shared" si="370"/>
        <v>0</v>
      </c>
      <c r="BY512" s="57">
        <f t="shared" si="374"/>
        <v>0</v>
      </c>
      <c r="BZ512" s="8">
        <f t="shared" si="347"/>
        <v>0</v>
      </c>
      <c r="CA512" s="8">
        <f t="shared" si="348"/>
        <v>0</v>
      </c>
      <c r="CB512" s="8">
        <f t="shared" si="349"/>
        <v>0</v>
      </c>
      <c r="CC512" s="8">
        <f t="shared" si="350"/>
        <v>0</v>
      </c>
      <c r="CD512" s="8">
        <f t="shared" si="351"/>
        <v>0</v>
      </c>
      <c r="CE512" s="8">
        <f t="shared" si="352"/>
        <v>0</v>
      </c>
      <c r="CF512" s="8">
        <f t="shared" si="353"/>
        <v>0</v>
      </c>
      <c r="CG512" s="8">
        <f t="shared" si="354"/>
        <v>0</v>
      </c>
      <c r="CH512" s="8">
        <f t="shared" si="355"/>
        <v>0</v>
      </c>
      <c r="CI512" s="8">
        <f t="shared" si="356"/>
        <v>0</v>
      </c>
      <c r="CJ512" s="8">
        <f t="shared" si="357"/>
        <v>0</v>
      </c>
      <c r="CK512" s="8">
        <f t="shared" si="358"/>
        <v>0</v>
      </c>
      <c r="CL512" s="8">
        <f t="shared" si="359"/>
        <v>0</v>
      </c>
      <c r="CM512" s="8">
        <f t="shared" si="360"/>
        <v>0</v>
      </c>
      <c r="CN512" s="8">
        <f t="shared" si="361"/>
        <v>0</v>
      </c>
      <c r="CO512" s="8">
        <f t="shared" si="362"/>
        <v>0</v>
      </c>
      <c r="CP512" s="8">
        <f t="shared" si="363"/>
        <v>0</v>
      </c>
      <c r="CQ512" s="8">
        <f t="shared" si="364"/>
        <v>0</v>
      </c>
      <c r="CR512" s="8">
        <f t="shared" si="365"/>
        <v>0</v>
      </c>
      <c r="CS512" s="8">
        <f t="shared" si="366"/>
        <v>0</v>
      </c>
      <c r="CT512" s="8">
        <f t="shared" si="371"/>
        <v>0</v>
      </c>
      <c r="CU512" s="8">
        <f t="shared" si="372"/>
        <v>0</v>
      </c>
      <c r="CV512" s="8">
        <f t="shared" si="373"/>
        <v>0</v>
      </c>
    </row>
    <row r="513" spans="1:100" ht="20.5" thickTop="1" thickBot="1" x14ac:dyDescent="0.5">
      <c r="A513" s="32"/>
      <c r="B513" s="10"/>
      <c r="C513" s="10"/>
      <c r="D513" s="11"/>
      <c r="E513" s="10"/>
      <c r="F513" s="10"/>
      <c r="G513" s="19"/>
      <c r="H513" s="19"/>
      <c r="I513" s="19"/>
      <c r="J513" s="19"/>
      <c r="K513" s="10"/>
      <c r="L513" s="10"/>
      <c r="M513" s="10"/>
      <c r="N513" s="10"/>
      <c r="O513" s="18"/>
      <c r="P513" s="18"/>
      <c r="Q513" s="21"/>
      <c r="R513" s="20"/>
      <c r="S513" s="16">
        <f t="shared" si="329"/>
        <v>0</v>
      </c>
      <c r="T513" s="11"/>
      <c r="AS513" s="31">
        <f t="shared" si="330"/>
        <v>0</v>
      </c>
      <c r="AT513" s="31">
        <f t="shared" si="331"/>
        <v>0</v>
      </c>
      <c r="AU513" s="31">
        <f t="shared" si="332"/>
        <v>0</v>
      </c>
      <c r="AV513" s="31">
        <f t="shared" si="333"/>
        <v>0</v>
      </c>
      <c r="AW513" s="31">
        <f t="shared" si="334"/>
        <v>0</v>
      </c>
      <c r="AX513" s="31">
        <f t="shared" si="335"/>
        <v>0</v>
      </c>
      <c r="AY513" s="31">
        <f t="shared" si="336"/>
        <v>0</v>
      </c>
      <c r="AZ513" s="31">
        <f t="shared" si="337"/>
        <v>0</v>
      </c>
      <c r="BA513" s="31">
        <f t="shared" si="338"/>
        <v>0</v>
      </c>
      <c r="BB513" s="31">
        <f t="shared" si="367"/>
        <v>0</v>
      </c>
      <c r="BM513" s="8">
        <f t="shared" si="368"/>
        <v>0</v>
      </c>
      <c r="BN513" s="8">
        <f t="shared" si="339"/>
        <v>0</v>
      </c>
      <c r="BO513" s="8">
        <f t="shared" si="340"/>
        <v>0</v>
      </c>
      <c r="BQ513" s="8">
        <f t="shared" si="341"/>
        <v>0</v>
      </c>
      <c r="BR513" s="63">
        <f t="shared" si="342"/>
        <v>0</v>
      </c>
      <c r="BS513" s="63">
        <f t="shared" si="369"/>
        <v>0</v>
      </c>
      <c r="BT513" s="63">
        <f t="shared" si="343"/>
        <v>0</v>
      </c>
      <c r="BU513" s="63">
        <f t="shared" si="344"/>
        <v>0</v>
      </c>
      <c r="BV513" s="57">
        <f t="shared" si="345"/>
        <v>0</v>
      </c>
      <c r="BW513" s="57">
        <f t="shared" si="346"/>
        <v>0</v>
      </c>
      <c r="BX513" s="57">
        <f t="shared" si="370"/>
        <v>0</v>
      </c>
      <c r="BY513" s="57">
        <f t="shared" si="374"/>
        <v>0</v>
      </c>
      <c r="BZ513" s="8">
        <f t="shared" si="347"/>
        <v>0</v>
      </c>
      <c r="CA513" s="8">
        <f t="shared" si="348"/>
        <v>0</v>
      </c>
      <c r="CB513" s="8">
        <f t="shared" si="349"/>
        <v>0</v>
      </c>
      <c r="CC513" s="8">
        <f t="shared" si="350"/>
        <v>0</v>
      </c>
      <c r="CD513" s="8">
        <f t="shared" si="351"/>
        <v>0</v>
      </c>
      <c r="CE513" s="8">
        <f t="shared" si="352"/>
        <v>0</v>
      </c>
      <c r="CF513" s="8">
        <f t="shared" si="353"/>
        <v>0</v>
      </c>
      <c r="CG513" s="8">
        <f t="shared" si="354"/>
        <v>0</v>
      </c>
      <c r="CH513" s="8">
        <f t="shared" si="355"/>
        <v>0</v>
      </c>
      <c r="CI513" s="8">
        <f t="shared" si="356"/>
        <v>0</v>
      </c>
      <c r="CJ513" s="8">
        <f t="shared" si="357"/>
        <v>0</v>
      </c>
      <c r="CK513" s="8">
        <f t="shared" si="358"/>
        <v>0</v>
      </c>
      <c r="CL513" s="8">
        <f t="shared" si="359"/>
        <v>0</v>
      </c>
      <c r="CM513" s="8">
        <f t="shared" si="360"/>
        <v>0</v>
      </c>
      <c r="CN513" s="8">
        <f t="shared" si="361"/>
        <v>0</v>
      </c>
      <c r="CO513" s="8">
        <f t="shared" si="362"/>
        <v>0</v>
      </c>
      <c r="CP513" s="8">
        <f t="shared" si="363"/>
        <v>0</v>
      </c>
      <c r="CQ513" s="8">
        <f t="shared" si="364"/>
        <v>0</v>
      </c>
      <c r="CR513" s="8">
        <f t="shared" si="365"/>
        <v>0</v>
      </c>
      <c r="CS513" s="8">
        <f t="shared" si="366"/>
        <v>0</v>
      </c>
      <c r="CT513" s="8">
        <f t="shared" si="371"/>
        <v>0</v>
      </c>
      <c r="CU513" s="8">
        <f t="shared" si="372"/>
        <v>0</v>
      </c>
      <c r="CV513" s="8">
        <f t="shared" si="373"/>
        <v>0</v>
      </c>
    </row>
    <row r="514" spans="1:100" ht="20.5" thickTop="1" thickBot="1" x14ac:dyDescent="0.5">
      <c r="A514" s="32"/>
      <c r="B514" s="10"/>
      <c r="C514" s="10"/>
      <c r="D514" s="11"/>
      <c r="E514" s="10"/>
      <c r="F514" s="10"/>
      <c r="G514" s="19"/>
      <c r="H514" s="19"/>
      <c r="I514" s="19"/>
      <c r="J514" s="19"/>
      <c r="K514" s="10"/>
      <c r="L514" s="10"/>
      <c r="M514" s="10"/>
      <c r="N514" s="10"/>
      <c r="O514" s="18"/>
      <c r="P514" s="18"/>
      <c r="Q514" s="21"/>
      <c r="R514" s="20"/>
      <c r="S514" s="16">
        <f t="shared" si="329"/>
        <v>0</v>
      </c>
      <c r="T514" s="11"/>
      <c r="AS514" s="31">
        <f t="shared" si="330"/>
        <v>0</v>
      </c>
      <c r="AT514" s="31">
        <f t="shared" si="331"/>
        <v>0</v>
      </c>
      <c r="AU514" s="31">
        <f t="shared" si="332"/>
        <v>0</v>
      </c>
      <c r="AV514" s="31">
        <f t="shared" si="333"/>
        <v>0</v>
      </c>
      <c r="AW514" s="31">
        <f t="shared" si="334"/>
        <v>0</v>
      </c>
      <c r="AX514" s="31">
        <f t="shared" si="335"/>
        <v>0</v>
      </c>
      <c r="AY514" s="31">
        <f t="shared" si="336"/>
        <v>0</v>
      </c>
      <c r="AZ514" s="31">
        <f t="shared" si="337"/>
        <v>0</v>
      </c>
      <c r="BA514" s="31">
        <f t="shared" si="338"/>
        <v>0</v>
      </c>
      <c r="BB514" s="31">
        <f t="shared" si="367"/>
        <v>0</v>
      </c>
      <c r="BM514" s="8">
        <f t="shared" si="368"/>
        <v>0</v>
      </c>
      <c r="BN514" s="8">
        <f t="shared" si="339"/>
        <v>0</v>
      </c>
      <c r="BO514" s="8">
        <f t="shared" si="340"/>
        <v>0</v>
      </c>
      <c r="BQ514" s="8">
        <f t="shared" si="341"/>
        <v>0</v>
      </c>
      <c r="BR514" s="63">
        <f t="shared" si="342"/>
        <v>0</v>
      </c>
      <c r="BS514" s="63">
        <f t="shared" si="369"/>
        <v>0</v>
      </c>
      <c r="BT514" s="63">
        <f t="shared" si="343"/>
        <v>0</v>
      </c>
      <c r="BU514" s="63">
        <f t="shared" si="344"/>
        <v>0</v>
      </c>
      <c r="BV514" s="57">
        <f t="shared" si="345"/>
        <v>0</v>
      </c>
      <c r="BW514" s="57">
        <f t="shared" si="346"/>
        <v>0</v>
      </c>
      <c r="BX514" s="57">
        <f t="shared" si="370"/>
        <v>0</v>
      </c>
      <c r="BY514" s="57">
        <f t="shared" si="374"/>
        <v>0</v>
      </c>
      <c r="BZ514" s="8">
        <f t="shared" si="347"/>
        <v>0</v>
      </c>
      <c r="CA514" s="8">
        <f t="shared" si="348"/>
        <v>0</v>
      </c>
      <c r="CB514" s="8">
        <f t="shared" si="349"/>
        <v>0</v>
      </c>
      <c r="CC514" s="8">
        <f t="shared" si="350"/>
        <v>0</v>
      </c>
      <c r="CD514" s="8">
        <f t="shared" si="351"/>
        <v>0</v>
      </c>
      <c r="CE514" s="8">
        <f t="shared" si="352"/>
        <v>0</v>
      </c>
      <c r="CF514" s="8">
        <f t="shared" si="353"/>
        <v>0</v>
      </c>
      <c r="CG514" s="8">
        <f t="shared" si="354"/>
        <v>0</v>
      </c>
      <c r="CH514" s="8">
        <f t="shared" si="355"/>
        <v>0</v>
      </c>
      <c r="CI514" s="8">
        <f t="shared" si="356"/>
        <v>0</v>
      </c>
      <c r="CJ514" s="8">
        <f t="shared" si="357"/>
        <v>0</v>
      </c>
      <c r="CK514" s="8">
        <f t="shared" si="358"/>
        <v>0</v>
      </c>
      <c r="CL514" s="8">
        <f t="shared" si="359"/>
        <v>0</v>
      </c>
      <c r="CM514" s="8">
        <f t="shared" si="360"/>
        <v>0</v>
      </c>
      <c r="CN514" s="8">
        <f t="shared" si="361"/>
        <v>0</v>
      </c>
      <c r="CO514" s="8">
        <f t="shared" si="362"/>
        <v>0</v>
      </c>
      <c r="CP514" s="8">
        <f t="shared" si="363"/>
        <v>0</v>
      </c>
      <c r="CQ514" s="8">
        <f t="shared" si="364"/>
        <v>0</v>
      </c>
      <c r="CR514" s="8">
        <f t="shared" si="365"/>
        <v>0</v>
      </c>
      <c r="CS514" s="8">
        <f t="shared" si="366"/>
        <v>0</v>
      </c>
      <c r="CT514" s="8">
        <f t="shared" si="371"/>
        <v>0</v>
      </c>
      <c r="CU514" s="8">
        <f t="shared" si="372"/>
        <v>0</v>
      </c>
      <c r="CV514" s="8">
        <f t="shared" si="373"/>
        <v>0</v>
      </c>
    </row>
    <row r="515" spans="1:100" ht="20.5" thickTop="1" thickBot="1" x14ac:dyDescent="0.5">
      <c r="A515" s="32"/>
      <c r="B515" s="10"/>
      <c r="C515" s="10"/>
      <c r="D515" s="11"/>
      <c r="E515" s="10"/>
      <c r="F515" s="10"/>
      <c r="G515" s="19"/>
      <c r="H515" s="19"/>
      <c r="I515" s="19"/>
      <c r="J515" s="19"/>
      <c r="K515" s="10"/>
      <c r="L515" s="10"/>
      <c r="M515" s="10"/>
      <c r="N515" s="10"/>
      <c r="O515" s="18"/>
      <c r="P515" s="18"/>
      <c r="Q515" s="21"/>
      <c r="R515" s="20"/>
      <c r="S515" s="16">
        <f t="shared" si="329"/>
        <v>0</v>
      </c>
      <c r="T515" s="11"/>
      <c r="AS515" s="31">
        <f t="shared" si="330"/>
        <v>0</v>
      </c>
      <c r="AT515" s="31">
        <f t="shared" si="331"/>
        <v>0</v>
      </c>
      <c r="AU515" s="31">
        <f t="shared" si="332"/>
        <v>0</v>
      </c>
      <c r="AV515" s="31">
        <f t="shared" si="333"/>
        <v>0</v>
      </c>
      <c r="AW515" s="31">
        <f t="shared" si="334"/>
        <v>0</v>
      </c>
      <c r="AX515" s="31">
        <f t="shared" si="335"/>
        <v>0</v>
      </c>
      <c r="AY515" s="31">
        <f t="shared" si="336"/>
        <v>0</v>
      </c>
      <c r="AZ515" s="31">
        <f t="shared" si="337"/>
        <v>0</v>
      </c>
      <c r="BA515" s="31">
        <f t="shared" si="338"/>
        <v>0</v>
      </c>
      <c r="BB515" s="31">
        <f t="shared" si="367"/>
        <v>0</v>
      </c>
      <c r="BM515" s="8">
        <f t="shared" si="368"/>
        <v>0</v>
      </c>
      <c r="BN515" s="8">
        <f t="shared" si="339"/>
        <v>0</v>
      </c>
      <c r="BO515" s="8">
        <f t="shared" si="340"/>
        <v>0</v>
      </c>
      <c r="BQ515" s="8">
        <f t="shared" si="341"/>
        <v>0</v>
      </c>
      <c r="BR515" s="63">
        <f t="shared" si="342"/>
        <v>0</v>
      </c>
      <c r="BS515" s="63">
        <f t="shared" si="369"/>
        <v>0</v>
      </c>
      <c r="BT515" s="63">
        <f t="shared" si="343"/>
        <v>0</v>
      </c>
      <c r="BU515" s="63">
        <f t="shared" si="344"/>
        <v>0</v>
      </c>
      <c r="BV515" s="57">
        <f t="shared" si="345"/>
        <v>0</v>
      </c>
      <c r="BW515" s="57">
        <f t="shared" si="346"/>
        <v>0</v>
      </c>
      <c r="BX515" s="57">
        <f t="shared" si="370"/>
        <v>0</v>
      </c>
      <c r="BY515" s="57">
        <f t="shared" si="374"/>
        <v>0</v>
      </c>
      <c r="BZ515" s="8">
        <f t="shared" si="347"/>
        <v>0</v>
      </c>
      <c r="CA515" s="8">
        <f t="shared" si="348"/>
        <v>0</v>
      </c>
      <c r="CB515" s="8">
        <f t="shared" si="349"/>
        <v>0</v>
      </c>
      <c r="CC515" s="8">
        <f t="shared" si="350"/>
        <v>0</v>
      </c>
      <c r="CD515" s="8">
        <f t="shared" si="351"/>
        <v>0</v>
      </c>
      <c r="CE515" s="8">
        <f t="shared" si="352"/>
        <v>0</v>
      </c>
      <c r="CF515" s="8">
        <f t="shared" si="353"/>
        <v>0</v>
      </c>
      <c r="CG515" s="8">
        <f t="shared" si="354"/>
        <v>0</v>
      </c>
      <c r="CH515" s="8">
        <f t="shared" si="355"/>
        <v>0</v>
      </c>
      <c r="CI515" s="8">
        <f t="shared" si="356"/>
        <v>0</v>
      </c>
      <c r="CJ515" s="8">
        <f t="shared" si="357"/>
        <v>0</v>
      </c>
      <c r="CK515" s="8">
        <f t="shared" si="358"/>
        <v>0</v>
      </c>
      <c r="CL515" s="8">
        <f t="shared" si="359"/>
        <v>0</v>
      </c>
      <c r="CM515" s="8">
        <f t="shared" si="360"/>
        <v>0</v>
      </c>
      <c r="CN515" s="8">
        <f t="shared" si="361"/>
        <v>0</v>
      </c>
      <c r="CO515" s="8">
        <f t="shared" si="362"/>
        <v>0</v>
      </c>
      <c r="CP515" s="8">
        <f t="shared" si="363"/>
        <v>0</v>
      </c>
      <c r="CQ515" s="8">
        <f t="shared" si="364"/>
        <v>0</v>
      </c>
      <c r="CR515" s="8">
        <f t="shared" si="365"/>
        <v>0</v>
      </c>
      <c r="CS515" s="8">
        <f t="shared" si="366"/>
        <v>0</v>
      </c>
      <c r="CT515" s="8">
        <f t="shared" si="371"/>
        <v>0</v>
      </c>
      <c r="CU515" s="8">
        <f t="shared" si="372"/>
        <v>0</v>
      </c>
      <c r="CV515" s="8">
        <f t="shared" si="373"/>
        <v>0</v>
      </c>
    </row>
    <row r="516" spans="1:100" ht="20.5" thickTop="1" thickBot="1" x14ac:dyDescent="0.5">
      <c r="A516" s="32"/>
      <c r="B516" s="10"/>
      <c r="C516" s="10"/>
      <c r="D516" s="11"/>
      <c r="E516" s="10"/>
      <c r="F516" s="10"/>
      <c r="G516" s="19"/>
      <c r="H516" s="19"/>
      <c r="I516" s="19"/>
      <c r="J516" s="19"/>
      <c r="K516" s="10"/>
      <c r="L516" s="10"/>
      <c r="M516" s="10"/>
      <c r="N516" s="10"/>
      <c r="O516" s="18"/>
      <c r="P516" s="18"/>
      <c r="Q516" s="21"/>
      <c r="R516" s="20"/>
      <c r="S516" s="16">
        <f t="shared" ref="S516:S579" si="375">IF(AND(K516="asphalted",M516="sub",BV516&lt;=1,BV516&gt;0),1+2*0.15,IF(AND(K516="asphalted",OR(M516="main",M516="MOT"),BV516&lt;=1,BV516&gt;0),1+2*0.3,IF(AND(K516="asphalted",M516="sub",BV516&gt;1),BV516+2*0.15,IF(AND(K516="asphalted",OR(M516="main",M516="MOT"),BV516&gt;1),BV516+2*0.3,0))))</f>
        <v>0</v>
      </c>
      <c r="T516" s="11"/>
      <c r="AS516" s="31">
        <f t="shared" ref="AS516:AS579" si="376">IF(F516=1,0.4,IF(F516&gt;1,F516*0.3,0))</f>
        <v>0</v>
      </c>
      <c r="AT516" s="31">
        <f t="shared" ref="AT516:AT579" si="377">IF(AND(G516&lt;4,G516&gt;0),0.4,IF(G516&gt;3,0.4+(G516-3)*0.1,0))</f>
        <v>0</v>
      </c>
      <c r="AU516" s="31">
        <f t="shared" ref="AU516:AU579" si="378">AT516-AS516</f>
        <v>0</v>
      </c>
      <c r="AV516" s="31">
        <f t="shared" ref="AV516:AV579" si="379">IF(AND(OR(OR(E516="normal",E516="special"),E516="special"),F516=0,G516&gt;0,G516&lt;5),"LV"&amp;G516,IF(AND(OR(OR(E516="normal",E516="special"),E516="special"),F516=0,G516&gt;4),"LVCU",IF(AND(OR(OR(E516="normal",E516="special"),E516="special"),F516&gt;4),"MVCU",IF(AND(OR(OR(E516="normal",E516="special"),E516="special"),F516&gt;0,F516&lt;5),"MV"&amp;F516,IF(AND(E516="mini-trench",F516=1),"mini-trench MV",IF(AND(E516="mini-trench",G516&lt;3,G516&lt;&gt;0),"mini-trench LV",0))))))</f>
        <v>0</v>
      </c>
      <c r="AW516" s="31">
        <f t="shared" ref="AW516:AW579" si="380">IF(B516="joint",F516,0)+IF(C516="joint",F516,0)+IF(OR(B516="new ss",B516="ss"),F516*3)+IF(B516="pole",F516*10)+IF(OR(C516="new ss",C516="ss"),F516*3)+IF(C516="pole",F516*10)+IF(B516="grid",F516*30)+IF(C516="grid",F516*30)</f>
        <v>0</v>
      </c>
      <c r="AX516" s="31">
        <f t="shared" ref="AX516:AX579" si="381">IF(J516&gt;0,IF(OR(B516="ss",C516="ss"),J516*3,0)+IF(OR(B516="new ss",C516="new ss"),J516*3,0)+IF(OR(B516="DC",C516="DC"),J516*1.5,0)+IF(OR(B516="new DC",C516="new DC"),J516*1.5,0)+IF(OR(B516="MB",C516="MB"),J516*2,0)+IF(OR(B516="pole",C516="pole"),J516*10,0),0)</f>
        <v>0</v>
      </c>
      <c r="AY516" s="31">
        <f t="shared" ref="AY516:AY579" si="382">IF(I516&gt;0,IF(OR(B516="ss",C516="ss"),I516*3,0)+IF(OR(B516="new ss",C516="new ss"),I516*3,0)+IF(OR(B516="DC",C516="DC"),I516*1.5,0)+IF(OR(B516="new DC",C516="new DC"),J516*1.5,0)+IF(OR(B516="MB",C516="MB"),I516*2,0)+IF(OR(B516="pole",C516="pole"),I516*10,0),0)</f>
        <v>0</v>
      </c>
      <c r="AZ516" s="31">
        <f t="shared" ref="AZ516:AZ579" si="383">IF(H516&gt;0,IF(OR(B516="ss",C516="ss"),H516*3,0)+IF(OR(B516="new ss",C516="new ss"),H516*3,0)+IF(OR(B516="DC",C516="DC"),H516*2,0)+IF(OR(B516="new DC",C516="new DC"),H516*1.5,0)+IF(OR(B516="MB",C516="MB"),H516*2,0)+IF(OR(B516="pole",C516="pole"),H516*10,0)+IF(OR(B516="pole",C516="pole"),H516*10,0),0)</f>
        <v>0</v>
      </c>
      <c r="BA516" s="31">
        <f t="shared" ref="BA516:BA579" si="384">IF(E516="manual",IF(AU516&lt;0,D516*AS516*0.8,IF(AND(AS516&gt;0,AU516&gt;0),D516*AS516*0.8+D516*AU516*0.65,IF(AND(AS516=0,AT516&gt;0),D516*AT516*0.65,0))),0)</f>
        <v>0</v>
      </c>
      <c r="BB516" s="31">
        <f t="shared" si="367"/>
        <v>0</v>
      </c>
      <c r="BM516" s="8">
        <f t="shared" si="368"/>
        <v>0</v>
      </c>
      <c r="BN516" s="8">
        <f t="shared" ref="BN516:BN579" si="385">IFERROR(IF(AND(K516="asphalted",E516="mini-trench",R516=""),1*D516,IF(AND(K516="asphalted",R516&gt;0,MandRcalc="Complete M&amp;R area"),R516*D516,IF(AND(K516="asphalted",R516&gt;0,MandRcalc="M&amp;R area - asphalting area"),(R516-BR516/D516)*D516,0))),0)</f>
        <v>0</v>
      </c>
      <c r="BO516" s="8">
        <f t="shared" ref="BO516:BO579" si="386">IF(BQ516&lt;MINEXCNA,0,IF(AND(E516="normal",F516&lt;5,G516&lt;12,K516&lt;&gt;"asphalted",AT516&gt;AS516,AS516&lt;&gt;0),(BQ516-AT516)*0.65,IF(AND(E516="normal",F516&lt;5,G516&lt;12,K516&lt;&gt;"asphalted",AS516&gt;=AT516),(BQ516-AS516)*0.8,IF(AND(E516="normal",F516&lt;5,G516&lt;12,K516&lt;&gt;"asphalted",AT516&gt;0,AS516=0),(BQ516-AT516)*0.65,0)))*D516)</f>
        <v>0</v>
      </c>
      <c r="BQ516" s="8">
        <f t="shared" ref="BQ516:BQ579" si="387">IF(E516="special",O516,IF(AND(OR(E516="normal",E516="manual"),O516="",K516="asphalted",BV516&lt;=MINEXC),MINEXC,IF(AND(OR(E516="normal",E516="manual"),O516&lt;&gt;"",K516="asphalted"),MIN(O516,BV516),IF(AND(OR(E516="normal",E516="manual"),O516="",K516&lt;&gt;"asphalted",BV516&lt;=MINEXCNA),MINEXCNA,IF(AND(OR(E516="normal",E516="manual"),O516&lt;&gt;"",K516&lt;&gt;"asphalted"),MIN(O516,BV516),BV516)))))</f>
        <v>0</v>
      </c>
      <c r="BR516" s="63">
        <f t="shared" ref="BR516:BR579" si="388">IFERROR(IF(AND(E516&lt;&gt;"mini-trecnh",K516="asphalted",Q516&lt;&gt;"",S516=0),D516*Q516,IF(AND(E516&lt;&gt;"mini-trecnh",K516="asphalted",Q516&lt;&gt;"",S516&lt;&gt;0),D516*MIN(Q516,S516),IF(AND(E516&lt;&gt;"mini-trecnh",K516="asphalted",Q516=""),D516*S516,0))),0)</f>
        <v>0</v>
      </c>
      <c r="BS516" s="63">
        <f t="shared" si="369"/>
        <v>0</v>
      </c>
      <c r="BT516" s="63">
        <f t="shared" ref="BT516:BT579" si="389">IF(BQ516&lt;MINEXC,0,IF(AND(E516="normal",F516&lt;5,G516&lt;12,K516="asphalted",AT516&gt;AS516,AS516&lt;&gt;0),(BQ516-AT516)*0.65,IF(AND(E516="normal",F516&lt;5,G516&lt;12,K516="asphalted",AS516&gt;=AT516),(BQ516-AS516)*0.8,IF(AND(E516="normal",F516&lt;5,G516&lt;12,K516="asphalted",AT516&gt;0,AS516=0),(BQ516-AT516)*0.65,0)))*D516)</f>
        <v>0</v>
      </c>
      <c r="BU516" s="63">
        <f t="shared" ref="BU516:BU579" si="390">IF(E516="",0,IF(OR(BT516&gt;0,BO516&gt;0),0,IF(AND(F516&gt;4,G516=0),(BQ516-1.2)*D516*0.8,IF(AND(G516&gt;4,F516=0),(BQ516-0.4)*D516*0.65,IF(OR(AND(G516&gt;4,F516&gt;0),AND(F516&gt;4,G516&gt;0)),(IF(AS516&gt;1.2,(AS516-1.2)*D516*0.8,0)+IF(AT516&gt;AS516,(AT516-AS516)*D516*0.65,0)),0)))))</f>
        <v>0</v>
      </c>
      <c r="BV516" s="57">
        <f t="shared" ref="BV516:BV579" si="391">IF(AND(E516&lt;&gt;"mini-trench",E516&lt;&gt;"special"),MAX(AS516:AT516),0)</f>
        <v>0</v>
      </c>
      <c r="BW516" s="57">
        <f t="shared" ref="BW516:BW579" si="392">IF(AND(E516&lt;&gt;"mini-trench",E516&lt;&gt;"special",BV516&gt;0,BV516&lt;1,K516="asphalted"),IF(O516&lt;&gt;"",MIN(O516,1),1),IF(AND(E516&lt;&gt;"mini-trench",E516&lt;&gt;"special",BV516&gt;0,BV516&gt;1,K516="asphalted"),BV516,0))</f>
        <v>0</v>
      </c>
      <c r="BX516" s="57">
        <f t="shared" si="370"/>
        <v>0</v>
      </c>
      <c r="BY516" s="57">
        <f t="shared" si="374"/>
        <v>0</v>
      </c>
      <c r="BZ516" s="8">
        <f t="shared" ref="BZ516:BZ579" si="393">IF(E516="special",O516*P516*D516-D516*IF(AV516="MV1",0.8*0.4,IF(AV516="MV2",0.8*0.6,IF(AV516="MV3",0.8*0.9,IF(OR(AV516="MV4",AV516="MVCU"),0.8*1.2,IF(AV516="LV1-3",0.65*0.4,IF(OR(AV516="LV4",AV516="LVCU"),0.65*0.5)))))),0)</f>
        <v>0</v>
      </c>
      <c r="CA516" s="8">
        <f t="shared" ref="CA516:CA579" si="394">IF(AND(E516&lt;&gt;"special",K516="Paved interlock"),D516*BV516,IF(AND(E516="special",K516="Paved interlock"),D516*O516,0))</f>
        <v>0</v>
      </c>
      <c r="CB516" s="8">
        <f t="shared" ref="CB516:CB579" si="395">IF(AND(E516&lt;&gt;"special",K516="Paved conc.tiles"),D516*BV516,IF(AND(E516="special",K516="Paved conc.tiles"),D516*O516,0))</f>
        <v>0</v>
      </c>
      <c r="CC516" s="8">
        <f t="shared" ref="CC516:CC579" si="396">IF(AND(E516="special",K516="asphalted"),D516*Q516,0)</f>
        <v>0</v>
      </c>
      <c r="CD516" s="8">
        <f t="shared" ref="CD516:CD579" si="397">IF(OR(K516="Paved interlock",K516="Paved conc.tiles"),1,0)</f>
        <v>0</v>
      </c>
      <c r="CE516" s="8">
        <f t="shared" ref="CE516:CE579" si="398">IFERROR(BR516/D516,0)</f>
        <v>0</v>
      </c>
      <c r="CF516" s="8">
        <f t="shared" ref="CF516:CF579" si="399">IF(AND(F516&gt;0,B516="j transition"),F516,0)+IF(AND(F516&gt;0,C516="j transition"),F516,0)</f>
        <v>0</v>
      </c>
      <c r="CG516" s="8">
        <f t="shared" ref="CG516:CG579" si="400">IF(AND(F516&gt;0,OR(B516="grid",B516="ss",B516="pole",B516="new ss")),F516,0)+IF(AND(F516&gt;0,OR(C516="grid",C516="ss",C516="pole",C516="new ss")),F516,0)</f>
        <v>0</v>
      </c>
      <c r="CH516" s="8">
        <f t="shared" ref="CH516:CH579" si="401">IF(AND(F516&gt;0,B516="joint"),F516,0)+IF(AND(F516&gt;0,C516="joint"),F516,0)+IF(AND(F516&gt;0,B516="j transition"),F516,0)+IF(AND(F516&gt;0,C516="j transition"),F516,0)</f>
        <v>0</v>
      </c>
      <c r="CI516" s="8">
        <f t="shared" ref="CI516:CI579" si="402">IF(AND(H516&gt;0,B516="joint"),H516,0)+IF(AND(H516&gt;0,C516="joint"),H516,0)</f>
        <v>0</v>
      </c>
      <c r="CJ516" s="8">
        <f t="shared" ref="CJ516:CJ579" si="403">IF(AND(I516&gt;0,B516="joint"),I516,0)+IF(AND(I516&gt;0,C516="joint"),I516,0)</f>
        <v>0</v>
      </c>
      <c r="CK516" s="8">
        <f t="shared" ref="CK516:CK579" si="404">IF(AND(J516&gt;0,B516="joint"),J516,0)+IF(AND(J516&gt;0,C516="joint"),J516,0)</f>
        <v>0</v>
      </c>
      <c r="CL516" s="8">
        <f t="shared" ref="CL516:CL579" si="405">IF(AND(H516&gt;0,OR(B516="ss",B516="new ss",B516="DC",B516="new DC")),H516,0)+IF(AND(H516&gt;0,OR(C516="new ss",C516="ss",C516="DC",C516="new DC")),H516,0)</f>
        <v>0</v>
      </c>
      <c r="CM516" s="8">
        <f t="shared" ref="CM516:CM579" si="406">CO516+CP516</f>
        <v>0</v>
      </c>
      <c r="CN516" s="8">
        <f t="shared" ref="CN516:CN579" si="407">IF(OR(B516="new DC",C516="new DC"),H516,0)</f>
        <v>0</v>
      </c>
      <c r="CO516" s="8">
        <f t="shared" ref="CO516:CO579" si="408">IF(AND(J516&gt;0,OR(B516="ss",B516="new ss",B516="DC",B516="new DC")),J516,0)+IF(AND(J516&gt;0,OR(C516="new ss",C516="ss",C516="DC",C516="new DC")),J516,0)</f>
        <v>0</v>
      </c>
      <c r="CP516" s="8">
        <f t="shared" ref="CP516:CP579" si="409">IF(AND(I516&gt;0,OR(B516="ss",B516="new ss",B516="DC",B516="new DC")),I516,0)+IF(AND(I516&gt;0,OR(C516="new ss",C516="ss",C516="DC",C516="new DC")),I516,0)</f>
        <v>0</v>
      </c>
      <c r="CQ516" s="8">
        <f t="shared" ref="CQ516:CQ579" si="410">IF(AND(F516&gt;0,OR(B516="ss",B516="new ss")),F516,0)+IF(AND(F516&gt;0,OR(C516="ss",C516="new ss")),F516,0)</f>
        <v>0</v>
      </c>
      <c r="CR516" s="8">
        <f t="shared" ref="CR516:CR579" si="411">IF(AND(F516&gt;0,OR(B516="grid")),F516,0)+IF(AND(F516&gt;0,OR(C516="grid")),F516,0)</f>
        <v>0</v>
      </c>
      <c r="CS516" s="8">
        <f t="shared" ref="CS516:CS579" si="412">IF(AND(F516&gt;0,OR(B516="pole")),F516,0)+IF(AND(F516&gt;0,OR(C516="pole")),F516,0)</f>
        <v>0</v>
      </c>
      <c r="CT516" s="8">
        <f t="shared" si="371"/>
        <v>0</v>
      </c>
      <c r="CU516" s="8">
        <f t="shared" si="372"/>
        <v>0</v>
      </c>
      <c r="CV516" s="8">
        <f t="shared" si="373"/>
        <v>0</v>
      </c>
    </row>
    <row r="517" spans="1:100" ht="20.5" thickTop="1" thickBot="1" x14ac:dyDescent="0.5">
      <c r="A517" s="32"/>
      <c r="B517" s="10"/>
      <c r="C517" s="10"/>
      <c r="D517" s="11"/>
      <c r="E517" s="10"/>
      <c r="F517" s="10"/>
      <c r="G517" s="19"/>
      <c r="H517" s="19"/>
      <c r="I517" s="19"/>
      <c r="J517" s="19"/>
      <c r="K517" s="10"/>
      <c r="L517" s="10"/>
      <c r="M517" s="10"/>
      <c r="N517" s="10"/>
      <c r="O517" s="18"/>
      <c r="P517" s="18"/>
      <c r="Q517" s="21"/>
      <c r="R517" s="20"/>
      <c r="S517" s="16">
        <f t="shared" si="375"/>
        <v>0</v>
      </c>
      <c r="T517" s="11"/>
      <c r="AS517" s="31">
        <f t="shared" si="376"/>
        <v>0</v>
      </c>
      <c r="AT517" s="31">
        <f t="shared" si="377"/>
        <v>0</v>
      </c>
      <c r="AU517" s="31">
        <f t="shared" si="378"/>
        <v>0</v>
      </c>
      <c r="AV517" s="31">
        <f t="shared" si="379"/>
        <v>0</v>
      </c>
      <c r="AW517" s="31">
        <f t="shared" si="380"/>
        <v>0</v>
      </c>
      <c r="AX517" s="31">
        <f t="shared" si="381"/>
        <v>0</v>
      </c>
      <c r="AY517" s="31">
        <f t="shared" si="382"/>
        <v>0</v>
      </c>
      <c r="AZ517" s="31">
        <f t="shared" si="383"/>
        <v>0</v>
      </c>
      <c r="BA517" s="31">
        <f t="shared" si="384"/>
        <v>0</v>
      </c>
      <c r="BB517" s="31">
        <f t="shared" ref="BB517:BB580" si="413">IFERROR(IF(BN517&gt;0,0,IF(AND(E517="normal",(BR517/D517)&gt;1),BR517,0)),0)</f>
        <v>0</v>
      </c>
      <c r="BM517" s="8">
        <f t="shared" ref="BM517:BM580" si="414">IF(AND(E517&lt;&gt;"special",K517="Concrete"),D517*BV517,IF(AND(E517="special",K517="Concrete"),D517*O517,0))</f>
        <v>0</v>
      </c>
      <c r="BN517" s="8">
        <f t="shared" si="385"/>
        <v>0</v>
      </c>
      <c r="BO517" s="8">
        <f t="shared" si="386"/>
        <v>0</v>
      </c>
      <c r="BQ517" s="8">
        <f t="shared" si="387"/>
        <v>0</v>
      </c>
      <c r="BR517" s="63">
        <f t="shared" si="388"/>
        <v>0</v>
      </c>
      <c r="BS517" s="63">
        <f t="shared" ref="BS517:BS580" si="415">BN517 + IF(BN517&gt;0,IF(R516=0, R517, 0) + IF(R518=0, R517, 0),0)</f>
        <v>0</v>
      </c>
      <c r="BT517" s="63">
        <f t="shared" si="389"/>
        <v>0</v>
      </c>
      <c r="BU517" s="63">
        <f t="shared" si="390"/>
        <v>0</v>
      </c>
      <c r="BV517" s="57">
        <f t="shared" si="391"/>
        <v>0</v>
      </c>
      <c r="BW517" s="57">
        <f t="shared" si="392"/>
        <v>0</v>
      </c>
      <c r="BX517" s="57">
        <f t="shared" ref="BX517:BX580" si="416">IF(AND(R517&gt;0,MandRcalc="Asphalting then M&amp;R"),R517*D517,IF(AND(R517&gt;0,MandRcalc="Milling then Repaving"),(R517-BR517)*D517,0))</f>
        <v>0</v>
      </c>
      <c r="BY517" s="57">
        <f t="shared" si="374"/>
        <v>0</v>
      </c>
      <c r="BZ517" s="8">
        <f t="shared" si="393"/>
        <v>0</v>
      </c>
      <c r="CA517" s="8">
        <f t="shared" si="394"/>
        <v>0</v>
      </c>
      <c r="CB517" s="8">
        <f t="shared" si="395"/>
        <v>0</v>
      </c>
      <c r="CC517" s="8">
        <f t="shared" si="396"/>
        <v>0</v>
      </c>
      <c r="CD517" s="8">
        <f t="shared" si="397"/>
        <v>0</v>
      </c>
      <c r="CE517" s="8">
        <f t="shared" si="398"/>
        <v>0</v>
      </c>
      <c r="CF517" s="8">
        <f t="shared" si="399"/>
        <v>0</v>
      </c>
      <c r="CG517" s="8">
        <f t="shared" si="400"/>
        <v>0</v>
      </c>
      <c r="CH517" s="8">
        <f t="shared" si="401"/>
        <v>0</v>
      </c>
      <c r="CI517" s="8">
        <f t="shared" si="402"/>
        <v>0</v>
      </c>
      <c r="CJ517" s="8">
        <f t="shared" si="403"/>
        <v>0</v>
      </c>
      <c r="CK517" s="8">
        <f t="shared" si="404"/>
        <v>0</v>
      </c>
      <c r="CL517" s="8">
        <f t="shared" si="405"/>
        <v>0</v>
      </c>
      <c r="CM517" s="8">
        <f t="shared" si="406"/>
        <v>0</v>
      </c>
      <c r="CN517" s="8">
        <f t="shared" si="407"/>
        <v>0</v>
      </c>
      <c r="CO517" s="8">
        <f t="shared" si="408"/>
        <v>0</v>
      </c>
      <c r="CP517" s="8">
        <f t="shared" si="409"/>
        <v>0</v>
      </c>
      <c r="CQ517" s="8">
        <f t="shared" si="410"/>
        <v>0</v>
      </c>
      <c r="CR517" s="8">
        <f t="shared" si="411"/>
        <v>0</v>
      </c>
      <c r="CS517" s="8">
        <f t="shared" si="412"/>
        <v>0</v>
      </c>
      <c r="CT517" s="8">
        <f t="shared" si="371"/>
        <v>0</v>
      </c>
      <c r="CU517" s="8">
        <f t="shared" si="372"/>
        <v>0</v>
      </c>
      <c r="CV517" s="8">
        <f t="shared" si="373"/>
        <v>0</v>
      </c>
    </row>
    <row r="518" spans="1:100" ht="20.5" thickTop="1" thickBot="1" x14ac:dyDescent="0.5">
      <c r="A518" s="32"/>
      <c r="B518" s="10"/>
      <c r="C518" s="10"/>
      <c r="D518" s="11"/>
      <c r="E518" s="10"/>
      <c r="F518" s="10"/>
      <c r="G518" s="19"/>
      <c r="H518" s="19"/>
      <c r="I518" s="19"/>
      <c r="J518" s="19"/>
      <c r="K518" s="10"/>
      <c r="L518" s="10"/>
      <c r="M518" s="10"/>
      <c r="N518" s="10"/>
      <c r="O518" s="18"/>
      <c r="P518" s="18"/>
      <c r="Q518" s="21"/>
      <c r="R518" s="20"/>
      <c r="S518" s="16">
        <f t="shared" si="375"/>
        <v>0</v>
      </c>
      <c r="T518" s="11"/>
      <c r="AS518" s="31">
        <f t="shared" si="376"/>
        <v>0</v>
      </c>
      <c r="AT518" s="31">
        <f t="shared" si="377"/>
        <v>0</v>
      </c>
      <c r="AU518" s="31">
        <f t="shared" si="378"/>
        <v>0</v>
      </c>
      <c r="AV518" s="31">
        <f t="shared" si="379"/>
        <v>0</v>
      </c>
      <c r="AW518" s="31">
        <f t="shared" si="380"/>
        <v>0</v>
      </c>
      <c r="AX518" s="31">
        <f t="shared" si="381"/>
        <v>0</v>
      </c>
      <c r="AY518" s="31">
        <f t="shared" si="382"/>
        <v>0</v>
      </c>
      <c r="AZ518" s="31">
        <f t="shared" si="383"/>
        <v>0</v>
      </c>
      <c r="BA518" s="31">
        <f t="shared" si="384"/>
        <v>0</v>
      </c>
      <c r="BB518" s="31">
        <f t="shared" si="413"/>
        <v>0</v>
      </c>
      <c r="BM518" s="8">
        <f t="shared" si="414"/>
        <v>0</v>
      </c>
      <c r="BN518" s="8">
        <f t="shared" si="385"/>
        <v>0</v>
      </c>
      <c r="BO518" s="8">
        <f t="shared" si="386"/>
        <v>0</v>
      </c>
      <c r="BQ518" s="8">
        <f t="shared" si="387"/>
        <v>0</v>
      </c>
      <c r="BR518" s="63">
        <f t="shared" si="388"/>
        <v>0</v>
      </c>
      <c r="BS518" s="63">
        <f t="shared" si="415"/>
        <v>0</v>
      </c>
      <c r="BT518" s="63">
        <f t="shared" si="389"/>
        <v>0</v>
      </c>
      <c r="BU518" s="63">
        <f t="shared" si="390"/>
        <v>0</v>
      </c>
      <c r="BV518" s="57">
        <f t="shared" si="391"/>
        <v>0</v>
      </c>
      <c r="BW518" s="57">
        <f t="shared" si="392"/>
        <v>0</v>
      </c>
      <c r="BX518" s="57">
        <f t="shared" si="416"/>
        <v>0</v>
      </c>
      <c r="BY518" s="57">
        <f t="shared" si="374"/>
        <v>0</v>
      </c>
      <c r="BZ518" s="8">
        <f t="shared" si="393"/>
        <v>0</v>
      </c>
      <c r="CA518" s="8">
        <f t="shared" si="394"/>
        <v>0</v>
      </c>
      <c r="CB518" s="8">
        <f t="shared" si="395"/>
        <v>0</v>
      </c>
      <c r="CC518" s="8">
        <f t="shared" si="396"/>
        <v>0</v>
      </c>
      <c r="CD518" s="8">
        <f t="shared" si="397"/>
        <v>0</v>
      </c>
      <c r="CE518" s="8">
        <f t="shared" si="398"/>
        <v>0</v>
      </c>
      <c r="CF518" s="8">
        <f t="shared" si="399"/>
        <v>0</v>
      </c>
      <c r="CG518" s="8">
        <f t="shared" si="400"/>
        <v>0</v>
      </c>
      <c r="CH518" s="8">
        <f t="shared" si="401"/>
        <v>0</v>
      </c>
      <c r="CI518" s="8">
        <f t="shared" si="402"/>
        <v>0</v>
      </c>
      <c r="CJ518" s="8">
        <f t="shared" si="403"/>
        <v>0</v>
      </c>
      <c r="CK518" s="8">
        <f t="shared" si="404"/>
        <v>0</v>
      </c>
      <c r="CL518" s="8">
        <f t="shared" si="405"/>
        <v>0</v>
      </c>
      <c r="CM518" s="8">
        <f t="shared" si="406"/>
        <v>0</v>
      </c>
      <c r="CN518" s="8">
        <f t="shared" si="407"/>
        <v>0</v>
      </c>
      <c r="CO518" s="8">
        <f t="shared" si="408"/>
        <v>0</v>
      </c>
      <c r="CP518" s="8">
        <f t="shared" si="409"/>
        <v>0</v>
      </c>
      <c r="CQ518" s="8">
        <f t="shared" si="410"/>
        <v>0</v>
      </c>
      <c r="CR518" s="8">
        <f t="shared" si="411"/>
        <v>0</v>
      </c>
      <c r="CS518" s="8">
        <f t="shared" si="412"/>
        <v>0</v>
      </c>
      <c r="CT518" s="8">
        <f t="shared" si="371"/>
        <v>0</v>
      </c>
      <c r="CU518" s="8">
        <f t="shared" si="372"/>
        <v>0</v>
      </c>
      <c r="CV518" s="8">
        <f t="shared" si="373"/>
        <v>0</v>
      </c>
    </row>
    <row r="519" spans="1:100" ht="20.5" thickTop="1" thickBot="1" x14ac:dyDescent="0.5">
      <c r="A519" s="32"/>
      <c r="B519" s="10"/>
      <c r="C519" s="10"/>
      <c r="D519" s="11"/>
      <c r="E519" s="10"/>
      <c r="F519" s="10"/>
      <c r="G519" s="19"/>
      <c r="H519" s="19"/>
      <c r="I519" s="19"/>
      <c r="J519" s="19"/>
      <c r="K519" s="10"/>
      <c r="L519" s="10"/>
      <c r="M519" s="10"/>
      <c r="N519" s="10"/>
      <c r="O519" s="18"/>
      <c r="P519" s="18"/>
      <c r="Q519" s="21"/>
      <c r="R519" s="20"/>
      <c r="S519" s="16">
        <f t="shared" si="375"/>
        <v>0</v>
      </c>
      <c r="T519" s="11"/>
      <c r="AS519" s="31">
        <f t="shared" si="376"/>
        <v>0</v>
      </c>
      <c r="AT519" s="31">
        <f t="shared" si="377"/>
        <v>0</v>
      </c>
      <c r="AU519" s="31">
        <f t="shared" si="378"/>
        <v>0</v>
      </c>
      <c r="AV519" s="31">
        <f t="shared" si="379"/>
        <v>0</v>
      </c>
      <c r="AW519" s="31">
        <f t="shared" si="380"/>
        <v>0</v>
      </c>
      <c r="AX519" s="31">
        <f t="shared" si="381"/>
        <v>0</v>
      </c>
      <c r="AY519" s="31">
        <f t="shared" si="382"/>
        <v>0</v>
      </c>
      <c r="AZ519" s="31">
        <f t="shared" si="383"/>
        <v>0</v>
      </c>
      <c r="BA519" s="31">
        <f t="shared" si="384"/>
        <v>0</v>
      </c>
      <c r="BB519" s="31">
        <f t="shared" si="413"/>
        <v>0</v>
      </c>
      <c r="BM519" s="8">
        <f t="shared" si="414"/>
        <v>0</v>
      </c>
      <c r="BN519" s="8">
        <f t="shared" si="385"/>
        <v>0</v>
      </c>
      <c r="BO519" s="8">
        <f t="shared" si="386"/>
        <v>0</v>
      </c>
      <c r="BQ519" s="8">
        <f t="shared" si="387"/>
        <v>0</v>
      </c>
      <c r="BR519" s="63">
        <f t="shared" si="388"/>
        <v>0</v>
      </c>
      <c r="BS519" s="63">
        <f t="shared" si="415"/>
        <v>0</v>
      </c>
      <c r="BT519" s="63">
        <f t="shared" si="389"/>
        <v>0</v>
      </c>
      <c r="BU519" s="63">
        <f t="shared" si="390"/>
        <v>0</v>
      </c>
      <c r="BV519" s="57">
        <f t="shared" si="391"/>
        <v>0</v>
      </c>
      <c r="BW519" s="57">
        <f t="shared" si="392"/>
        <v>0</v>
      </c>
      <c r="BX519" s="57">
        <f t="shared" si="416"/>
        <v>0</v>
      </c>
      <c r="BY519" s="57">
        <f t="shared" si="374"/>
        <v>0</v>
      </c>
      <c r="BZ519" s="8">
        <f t="shared" si="393"/>
        <v>0</v>
      </c>
      <c r="CA519" s="8">
        <f t="shared" si="394"/>
        <v>0</v>
      </c>
      <c r="CB519" s="8">
        <f t="shared" si="395"/>
        <v>0</v>
      </c>
      <c r="CC519" s="8">
        <f t="shared" si="396"/>
        <v>0</v>
      </c>
      <c r="CD519" s="8">
        <f t="shared" si="397"/>
        <v>0</v>
      </c>
      <c r="CE519" s="8">
        <f t="shared" si="398"/>
        <v>0</v>
      </c>
      <c r="CF519" s="8">
        <f t="shared" si="399"/>
        <v>0</v>
      </c>
      <c r="CG519" s="8">
        <f t="shared" si="400"/>
        <v>0</v>
      </c>
      <c r="CH519" s="8">
        <f t="shared" si="401"/>
        <v>0</v>
      </c>
      <c r="CI519" s="8">
        <f t="shared" si="402"/>
        <v>0</v>
      </c>
      <c r="CJ519" s="8">
        <f t="shared" si="403"/>
        <v>0</v>
      </c>
      <c r="CK519" s="8">
        <f t="shared" si="404"/>
        <v>0</v>
      </c>
      <c r="CL519" s="8">
        <f t="shared" si="405"/>
        <v>0</v>
      </c>
      <c r="CM519" s="8">
        <f t="shared" si="406"/>
        <v>0</v>
      </c>
      <c r="CN519" s="8">
        <f t="shared" si="407"/>
        <v>0</v>
      </c>
      <c r="CO519" s="8">
        <f t="shared" si="408"/>
        <v>0</v>
      </c>
      <c r="CP519" s="8">
        <f t="shared" si="409"/>
        <v>0</v>
      </c>
      <c r="CQ519" s="8">
        <f t="shared" si="410"/>
        <v>0</v>
      </c>
      <c r="CR519" s="8">
        <f t="shared" si="411"/>
        <v>0</v>
      </c>
      <c r="CS519" s="8">
        <f t="shared" si="412"/>
        <v>0</v>
      </c>
      <c r="CT519" s="8">
        <f t="shared" si="371"/>
        <v>0</v>
      </c>
      <c r="CU519" s="8">
        <f t="shared" si="372"/>
        <v>0</v>
      </c>
      <c r="CV519" s="8">
        <f t="shared" si="373"/>
        <v>0</v>
      </c>
    </row>
    <row r="520" spans="1:100" ht="20.5" thickTop="1" thickBot="1" x14ac:dyDescent="0.5">
      <c r="A520" s="32"/>
      <c r="B520" s="10"/>
      <c r="C520" s="10"/>
      <c r="D520" s="11"/>
      <c r="E520" s="10"/>
      <c r="F520" s="10"/>
      <c r="G520" s="19"/>
      <c r="H520" s="19"/>
      <c r="I520" s="19"/>
      <c r="J520" s="19"/>
      <c r="K520" s="10"/>
      <c r="L520" s="10"/>
      <c r="M520" s="10"/>
      <c r="N520" s="10"/>
      <c r="O520" s="18"/>
      <c r="P520" s="18"/>
      <c r="Q520" s="21"/>
      <c r="R520" s="20"/>
      <c r="S520" s="16">
        <f t="shared" si="375"/>
        <v>0</v>
      </c>
      <c r="T520" s="11"/>
      <c r="AS520" s="31">
        <f t="shared" si="376"/>
        <v>0</v>
      </c>
      <c r="AT520" s="31">
        <f t="shared" si="377"/>
        <v>0</v>
      </c>
      <c r="AU520" s="31">
        <f t="shared" si="378"/>
        <v>0</v>
      </c>
      <c r="AV520" s="31">
        <f t="shared" si="379"/>
        <v>0</v>
      </c>
      <c r="AW520" s="31">
        <f t="shared" si="380"/>
        <v>0</v>
      </c>
      <c r="AX520" s="31">
        <f t="shared" si="381"/>
        <v>0</v>
      </c>
      <c r="AY520" s="31">
        <f t="shared" si="382"/>
        <v>0</v>
      </c>
      <c r="AZ520" s="31">
        <f t="shared" si="383"/>
        <v>0</v>
      </c>
      <c r="BA520" s="31">
        <f t="shared" si="384"/>
        <v>0</v>
      </c>
      <c r="BB520" s="31">
        <f t="shared" si="413"/>
        <v>0</v>
      </c>
      <c r="BM520" s="8">
        <f t="shared" si="414"/>
        <v>0</v>
      </c>
      <c r="BN520" s="8">
        <f t="shared" si="385"/>
        <v>0</v>
      </c>
      <c r="BO520" s="8">
        <f t="shared" si="386"/>
        <v>0</v>
      </c>
      <c r="BQ520" s="8">
        <f t="shared" si="387"/>
        <v>0</v>
      </c>
      <c r="BR520" s="63">
        <f t="shared" si="388"/>
        <v>0</v>
      </c>
      <c r="BS520" s="63">
        <f t="shared" si="415"/>
        <v>0</v>
      </c>
      <c r="BT520" s="63">
        <f t="shared" si="389"/>
        <v>0</v>
      </c>
      <c r="BU520" s="63">
        <f t="shared" si="390"/>
        <v>0</v>
      </c>
      <c r="BV520" s="57">
        <f t="shared" si="391"/>
        <v>0</v>
      </c>
      <c r="BW520" s="57">
        <f t="shared" si="392"/>
        <v>0</v>
      </c>
      <c r="BX520" s="57">
        <f t="shared" si="416"/>
        <v>0</v>
      </c>
      <c r="BY520" s="57">
        <f t="shared" si="374"/>
        <v>0</v>
      </c>
      <c r="BZ520" s="8">
        <f t="shared" si="393"/>
        <v>0</v>
      </c>
      <c r="CA520" s="8">
        <f t="shared" si="394"/>
        <v>0</v>
      </c>
      <c r="CB520" s="8">
        <f t="shared" si="395"/>
        <v>0</v>
      </c>
      <c r="CC520" s="8">
        <f t="shared" si="396"/>
        <v>0</v>
      </c>
      <c r="CD520" s="8">
        <f t="shared" si="397"/>
        <v>0</v>
      </c>
      <c r="CE520" s="8">
        <f t="shared" si="398"/>
        <v>0</v>
      </c>
      <c r="CF520" s="8">
        <f t="shared" si="399"/>
        <v>0</v>
      </c>
      <c r="CG520" s="8">
        <f t="shared" si="400"/>
        <v>0</v>
      </c>
      <c r="CH520" s="8">
        <f t="shared" si="401"/>
        <v>0</v>
      </c>
      <c r="CI520" s="8">
        <f t="shared" si="402"/>
        <v>0</v>
      </c>
      <c r="CJ520" s="8">
        <f t="shared" si="403"/>
        <v>0</v>
      </c>
      <c r="CK520" s="8">
        <f t="shared" si="404"/>
        <v>0</v>
      </c>
      <c r="CL520" s="8">
        <f t="shared" si="405"/>
        <v>0</v>
      </c>
      <c r="CM520" s="8">
        <f t="shared" si="406"/>
        <v>0</v>
      </c>
      <c r="CN520" s="8">
        <f t="shared" si="407"/>
        <v>0</v>
      </c>
      <c r="CO520" s="8">
        <f t="shared" si="408"/>
        <v>0</v>
      </c>
      <c r="CP520" s="8">
        <f t="shared" si="409"/>
        <v>0</v>
      </c>
      <c r="CQ520" s="8">
        <f t="shared" si="410"/>
        <v>0</v>
      </c>
      <c r="CR520" s="8">
        <f t="shared" si="411"/>
        <v>0</v>
      </c>
      <c r="CS520" s="8">
        <f t="shared" si="412"/>
        <v>0</v>
      </c>
      <c r="CT520" s="8">
        <f t="shared" si="371"/>
        <v>0</v>
      </c>
      <c r="CU520" s="8">
        <f t="shared" si="372"/>
        <v>0</v>
      </c>
      <c r="CV520" s="8">
        <f t="shared" si="373"/>
        <v>0</v>
      </c>
    </row>
    <row r="521" spans="1:100" ht="20.5" thickTop="1" thickBot="1" x14ac:dyDescent="0.5">
      <c r="A521" s="32"/>
      <c r="B521" s="10"/>
      <c r="C521" s="10"/>
      <c r="D521" s="11"/>
      <c r="E521" s="10"/>
      <c r="F521" s="10"/>
      <c r="G521" s="19"/>
      <c r="H521" s="19"/>
      <c r="I521" s="19"/>
      <c r="J521" s="19"/>
      <c r="K521" s="10"/>
      <c r="L521" s="10"/>
      <c r="M521" s="10"/>
      <c r="N521" s="10"/>
      <c r="O521" s="18"/>
      <c r="P521" s="18"/>
      <c r="Q521" s="21"/>
      <c r="R521" s="20"/>
      <c r="S521" s="16">
        <f t="shared" si="375"/>
        <v>0</v>
      </c>
      <c r="T521" s="11"/>
      <c r="AS521" s="31">
        <f t="shared" si="376"/>
        <v>0</v>
      </c>
      <c r="AT521" s="31">
        <f t="shared" si="377"/>
        <v>0</v>
      </c>
      <c r="AU521" s="31">
        <f t="shared" si="378"/>
        <v>0</v>
      </c>
      <c r="AV521" s="31">
        <f t="shared" si="379"/>
        <v>0</v>
      </c>
      <c r="AW521" s="31">
        <f t="shared" si="380"/>
        <v>0</v>
      </c>
      <c r="AX521" s="31">
        <f t="shared" si="381"/>
        <v>0</v>
      </c>
      <c r="AY521" s="31">
        <f t="shared" si="382"/>
        <v>0</v>
      </c>
      <c r="AZ521" s="31">
        <f t="shared" si="383"/>
        <v>0</v>
      </c>
      <c r="BA521" s="31">
        <f t="shared" si="384"/>
        <v>0</v>
      </c>
      <c r="BB521" s="31">
        <f t="shared" si="413"/>
        <v>0</v>
      </c>
      <c r="BM521" s="8">
        <f t="shared" si="414"/>
        <v>0</v>
      </c>
      <c r="BN521" s="8">
        <f t="shared" si="385"/>
        <v>0</v>
      </c>
      <c r="BO521" s="8">
        <f t="shared" si="386"/>
        <v>0</v>
      </c>
      <c r="BQ521" s="8">
        <f t="shared" si="387"/>
        <v>0</v>
      </c>
      <c r="BR521" s="63">
        <f t="shared" si="388"/>
        <v>0</v>
      </c>
      <c r="BS521" s="63">
        <f t="shared" si="415"/>
        <v>0</v>
      </c>
      <c r="BT521" s="63">
        <f t="shared" si="389"/>
        <v>0</v>
      </c>
      <c r="BU521" s="63">
        <f t="shared" si="390"/>
        <v>0</v>
      </c>
      <c r="BV521" s="57">
        <f t="shared" si="391"/>
        <v>0</v>
      </c>
      <c r="BW521" s="57">
        <f t="shared" si="392"/>
        <v>0</v>
      </c>
      <c r="BX521" s="57">
        <f t="shared" si="416"/>
        <v>0</v>
      </c>
      <c r="BY521" s="57">
        <f t="shared" si="374"/>
        <v>0</v>
      </c>
      <c r="BZ521" s="8">
        <f t="shared" si="393"/>
        <v>0</v>
      </c>
      <c r="CA521" s="8">
        <f t="shared" si="394"/>
        <v>0</v>
      </c>
      <c r="CB521" s="8">
        <f t="shared" si="395"/>
        <v>0</v>
      </c>
      <c r="CC521" s="8">
        <f t="shared" si="396"/>
        <v>0</v>
      </c>
      <c r="CD521" s="8">
        <f t="shared" si="397"/>
        <v>0</v>
      </c>
      <c r="CE521" s="8">
        <f t="shared" si="398"/>
        <v>0</v>
      </c>
      <c r="CF521" s="8">
        <f t="shared" si="399"/>
        <v>0</v>
      </c>
      <c r="CG521" s="8">
        <f t="shared" si="400"/>
        <v>0</v>
      </c>
      <c r="CH521" s="8">
        <f t="shared" si="401"/>
        <v>0</v>
      </c>
      <c r="CI521" s="8">
        <f t="shared" si="402"/>
        <v>0</v>
      </c>
      <c r="CJ521" s="8">
        <f t="shared" si="403"/>
        <v>0</v>
      </c>
      <c r="CK521" s="8">
        <f t="shared" si="404"/>
        <v>0</v>
      </c>
      <c r="CL521" s="8">
        <f t="shared" si="405"/>
        <v>0</v>
      </c>
      <c r="CM521" s="8">
        <f t="shared" si="406"/>
        <v>0</v>
      </c>
      <c r="CN521" s="8">
        <f t="shared" si="407"/>
        <v>0</v>
      </c>
      <c r="CO521" s="8">
        <f t="shared" si="408"/>
        <v>0</v>
      </c>
      <c r="CP521" s="8">
        <f t="shared" si="409"/>
        <v>0</v>
      </c>
      <c r="CQ521" s="8">
        <f t="shared" si="410"/>
        <v>0</v>
      </c>
      <c r="CR521" s="8">
        <f t="shared" si="411"/>
        <v>0</v>
      </c>
      <c r="CS521" s="8">
        <f t="shared" si="412"/>
        <v>0</v>
      </c>
      <c r="CT521" s="8">
        <f t="shared" si="371"/>
        <v>0</v>
      </c>
      <c r="CU521" s="8">
        <f t="shared" si="372"/>
        <v>0</v>
      </c>
      <c r="CV521" s="8">
        <f t="shared" si="373"/>
        <v>0</v>
      </c>
    </row>
    <row r="522" spans="1:100" ht="20.5" thickTop="1" thickBot="1" x14ac:dyDescent="0.5">
      <c r="A522" s="32"/>
      <c r="B522" s="10"/>
      <c r="C522" s="10"/>
      <c r="D522" s="11"/>
      <c r="E522" s="10"/>
      <c r="F522" s="10"/>
      <c r="G522" s="19"/>
      <c r="H522" s="19"/>
      <c r="I522" s="19"/>
      <c r="J522" s="19"/>
      <c r="K522" s="10"/>
      <c r="L522" s="10"/>
      <c r="M522" s="10"/>
      <c r="N522" s="10"/>
      <c r="O522" s="18"/>
      <c r="P522" s="18"/>
      <c r="Q522" s="21"/>
      <c r="R522" s="20"/>
      <c r="S522" s="16">
        <f t="shared" si="375"/>
        <v>0</v>
      </c>
      <c r="T522" s="11"/>
      <c r="AS522" s="31">
        <f t="shared" si="376"/>
        <v>0</v>
      </c>
      <c r="AT522" s="31">
        <f t="shared" si="377"/>
        <v>0</v>
      </c>
      <c r="AU522" s="31">
        <f t="shared" si="378"/>
        <v>0</v>
      </c>
      <c r="AV522" s="31">
        <f t="shared" si="379"/>
        <v>0</v>
      </c>
      <c r="AW522" s="31">
        <f t="shared" si="380"/>
        <v>0</v>
      </c>
      <c r="AX522" s="31">
        <f t="shared" si="381"/>
        <v>0</v>
      </c>
      <c r="AY522" s="31">
        <f t="shared" si="382"/>
        <v>0</v>
      </c>
      <c r="AZ522" s="31">
        <f t="shared" si="383"/>
        <v>0</v>
      </c>
      <c r="BA522" s="31">
        <f t="shared" si="384"/>
        <v>0</v>
      </c>
      <c r="BB522" s="31">
        <f t="shared" si="413"/>
        <v>0</v>
      </c>
      <c r="BM522" s="8">
        <f t="shared" si="414"/>
        <v>0</v>
      </c>
      <c r="BN522" s="8">
        <f t="shared" si="385"/>
        <v>0</v>
      </c>
      <c r="BO522" s="8">
        <f t="shared" si="386"/>
        <v>0</v>
      </c>
      <c r="BQ522" s="8">
        <f t="shared" si="387"/>
        <v>0</v>
      </c>
      <c r="BR522" s="63">
        <f t="shared" si="388"/>
        <v>0</v>
      </c>
      <c r="BS522" s="63">
        <f t="shared" si="415"/>
        <v>0</v>
      </c>
      <c r="BT522" s="63">
        <f t="shared" si="389"/>
        <v>0</v>
      </c>
      <c r="BU522" s="63">
        <f t="shared" si="390"/>
        <v>0</v>
      </c>
      <c r="BV522" s="57">
        <f t="shared" si="391"/>
        <v>0</v>
      </c>
      <c r="BW522" s="57">
        <f t="shared" si="392"/>
        <v>0</v>
      </c>
      <c r="BX522" s="57">
        <f t="shared" si="416"/>
        <v>0</v>
      </c>
      <c r="BY522" s="57">
        <f t="shared" si="374"/>
        <v>0</v>
      </c>
      <c r="BZ522" s="8">
        <f t="shared" si="393"/>
        <v>0</v>
      </c>
      <c r="CA522" s="8">
        <f t="shared" si="394"/>
        <v>0</v>
      </c>
      <c r="CB522" s="8">
        <f t="shared" si="395"/>
        <v>0</v>
      </c>
      <c r="CC522" s="8">
        <f t="shared" si="396"/>
        <v>0</v>
      </c>
      <c r="CD522" s="8">
        <f t="shared" si="397"/>
        <v>0</v>
      </c>
      <c r="CE522" s="8">
        <f t="shared" si="398"/>
        <v>0</v>
      </c>
      <c r="CF522" s="8">
        <f t="shared" si="399"/>
        <v>0</v>
      </c>
      <c r="CG522" s="8">
        <f t="shared" si="400"/>
        <v>0</v>
      </c>
      <c r="CH522" s="8">
        <f t="shared" si="401"/>
        <v>0</v>
      </c>
      <c r="CI522" s="8">
        <f t="shared" si="402"/>
        <v>0</v>
      </c>
      <c r="CJ522" s="8">
        <f t="shared" si="403"/>
        <v>0</v>
      </c>
      <c r="CK522" s="8">
        <f t="shared" si="404"/>
        <v>0</v>
      </c>
      <c r="CL522" s="8">
        <f t="shared" si="405"/>
        <v>0</v>
      </c>
      <c r="CM522" s="8">
        <f t="shared" si="406"/>
        <v>0</v>
      </c>
      <c r="CN522" s="8">
        <f t="shared" si="407"/>
        <v>0</v>
      </c>
      <c r="CO522" s="8">
        <f t="shared" si="408"/>
        <v>0</v>
      </c>
      <c r="CP522" s="8">
        <f t="shared" si="409"/>
        <v>0</v>
      </c>
      <c r="CQ522" s="8">
        <f t="shared" si="410"/>
        <v>0</v>
      </c>
      <c r="CR522" s="8">
        <f t="shared" si="411"/>
        <v>0</v>
      </c>
      <c r="CS522" s="8">
        <f t="shared" si="412"/>
        <v>0</v>
      </c>
      <c r="CT522" s="8">
        <f t="shared" si="371"/>
        <v>0</v>
      </c>
      <c r="CU522" s="8">
        <f t="shared" si="372"/>
        <v>0</v>
      </c>
      <c r="CV522" s="8">
        <f t="shared" si="373"/>
        <v>0</v>
      </c>
    </row>
    <row r="523" spans="1:100" ht="20.5" thickTop="1" thickBot="1" x14ac:dyDescent="0.5">
      <c r="A523" s="32"/>
      <c r="B523" s="10"/>
      <c r="C523" s="10"/>
      <c r="D523" s="11"/>
      <c r="E523" s="10"/>
      <c r="F523" s="10"/>
      <c r="G523" s="19"/>
      <c r="H523" s="19"/>
      <c r="I523" s="19"/>
      <c r="J523" s="19"/>
      <c r="K523" s="10"/>
      <c r="L523" s="10"/>
      <c r="M523" s="10"/>
      <c r="N523" s="10"/>
      <c r="O523" s="18"/>
      <c r="P523" s="18"/>
      <c r="Q523" s="21"/>
      <c r="R523" s="20"/>
      <c r="S523" s="16">
        <f t="shared" si="375"/>
        <v>0</v>
      </c>
      <c r="T523" s="11"/>
      <c r="AS523" s="31">
        <f t="shared" si="376"/>
        <v>0</v>
      </c>
      <c r="AT523" s="31">
        <f t="shared" si="377"/>
        <v>0</v>
      </c>
      <c r="AU523" s="31">
        <f t="shared" si="378"/>
        <v>0</v>
      </c>
      <c r="AV523" s="31">
        <f t="shared" si="379"/>
        <v>0</v>
      </c>
      <c r="AW523" s="31">
        <f t="shared" si="380"/>
        <v>0</v>
      </c>
      <c r="AX523" s="31">
        <f t="shared" si="381"/>
        <v>0</v>
      </c>
      <c r="AY523" s="31">
        <f t="shared" si="382"/>
        <v>0</v>
      </c>
      <c r="AZ523" s="31">
        <f t="shared" si="383"/>
        <v>0</v>
      </c>
      <c r="BA523" s="31">
        <f t="shared" si="384"/>
        <v>0</v>
      </c>
      <c r="BB523" s="31">
        <f t="shared" si="413"/>
        <v>0</v>
      </c>
      <c r="BM523" s="8">
        <f t="shared" si="414"/>
        <v>0</v>
      </c>
      <c r="BN523" s="8">
        <f t="shared" si="385"/>
        <v>0</v>
      </c>
      <c r="BO523" s="8">
        <f t="shared" si="386"/>
        <v>0</v>
      </c>
      <c r="BQ523" s="8">
        <f t="shared" si="387"/>
        <v>0</v>
      </c>
      <c r="BR523" s="63">
        <f t="shared" si="388"/>
        <v>0</v>
      </c>
      <c r="BS523" s="63">
        <f t="shared" si="415"/>
        <v>0</v>
      </c>
      <c r="BT523" s="63">
        <f t="shared" si="389"/>
        <v>0</v>
      </c>
      <c r="BU523" s="63">
        <f t="shared" si="390"/>
        <v>0</v>
      </c>
      <c r="BV523" s="57">
        <f t="shared" si="391"/>
        <v>0</v>
      </c>
      <c r="BW523" s="57">
        <f t="shared" si="392"/>
        <v>0</v>
      </c>
      <c r="BX523" s="57">
        <f t="shared" si="416"/>
        <v>0</v>
      </c>
      <c r="BY523" s="57">
        <f t="shared" si="374"/>
        <v>0</v>
      </c>
      <c r="BZ523" s="8">
        <f t="shared" si="393"/>
        <v>0</v>
      </c>
      <c r="CA523" s="8">
        <f t="shared" si="394"/>
        <v>0</v>
      </c>
      <c r="CB523" s="8">
        <f t="shared" si="395"/>
        <v>0</v>
      </c>
      <c r="CC523" s="8">
        <f t="shared" si="396"/>
        <v>0</v>
      </c>
      <c r="CD523" s="8">
        <f t="shared" si="397"/>
        <v>0</v>
      </c>
      <c r="CE523" s="8">
        <f t="shared" si="398"/>
        <v>0</v>
      </c>
      <c r="CF523" s="8">
        <f t="shared" si="399"/>
        <v>0</v>
      </c>
      <c r="CG523" s="8">
        <f t="shared" si="400"/>
        <v>0</v>
      </c>
      <c r="CH523" s="8">
        <f t="shared" si="401"/>
        <v>0</v>
      </c>
      <c r="CI523" s="8">
        <f t="shared" si="402"/>
        <v>0</v>
      </c>
      <c r="CJ523" s="8">
        <f t="shared" si="403"/>
        <v>0</v>
      </c>
      <c r="CK523" s="8">
        <f t="shared" si="404"/>
        <v>0</v>
      </c>
      <c r="CL523" s="8">
        <f t="shared" si="405"/>
        <v>0</v>
      </c>
      <c r="CM523" s="8">
        <f t="shared" si="406"/>
        <v>0</v>
      </c>
      <c r="CN523" s="8">
        <f t="shared" si="407"/>
        <v>0</v>
      </c>
      <c r="CO523" s="8">
        <f t="shared" si="408"/>
        <v>0</v>
      </c>
      <c r="CP523" s="8">
        <f t="shared" si="409"/>
        <v>0</v>
      </c>
      <c r="CQ523" s="8">
        <f t="shared" si="410"/>
        <v>0</v>
      </c>
      <c r="CR523" s="8">
        <f t="shared" si="411"/>
        <v>0</v>
      </c>
      <c r="CS523" s="8">
        <f t="shared" si="412"/>
        <v>0</v>
      </c>
      <c r="CT523" s="8">
        <f t="shared" si="371"/>
        <v>0</v>
      </c>
      <c r="CU523" s="8">
        <f t="shared" si="372"/>
        <v>0</v>
      </c>
      <c r="CV523" s="8">
        <f t="shared" si="373"/>
        <v>0</v>
      </c>
    </row>
    <row r="524" spans="1:100" ht="20.5" thickTop="1" thickBot="1" x14ac:dyDescent="0.5">
      <c r="A524" s="32"/>
      <c r="B524" s="10"/>
      <c r="C524" s="10"/>
      <c r="D524" s="11"/>
      <c r="E524" s="10"/>
      <c r="F524" s="10"/>
      <c r="G524" s="19"/>
      <c r="H524" s="19"/>
      <c r="I524" s="19"/>
      <c r="J524" s="19"/>
      <c r="K524" s="10"/>
      <c r="L524" s="10"/>
      <c r="M524" s="10"/>
      <c r="N524" s="10"/>
      <c r="O524" s="18"/>
      <c r="P524" s="18"/>
      <c r="Q524" s="21"/>
      <c r="R524" s="20"/>
      <c r="S524" s="16">
        <f t="shared" si="375"/>
        <v>0</v>
      </c>
      <c r="T524" s="11"/>
      <c r="AS524" s="31">
        <f t="shared" si="376"/>
        <v>0</v>
      </c>
      <c r="AT524" s="31">
        <f t="shared" si="377"/>
        <v>0</v>
      </c>
      <c r="AU524" s="31">
        <f t="shared" si="378"/>
        <v>0</v>
      </c>
      <c r="AV524" s="31">
        <f t="shared" si="379"/>
        <v>0</v>
      </c>
      <c r="AW524" s="31">
        <f t="shared" si="380"/>
        <v>0</v>
      </c>
      <c r="AX524" s="31">
        <f t="shared" si="381"/>
        <v>0</v>
      </c>
      <c r="AY524" s="31">
        <f t="shared" si="382"/>
        <v>0</v>
      </c>
      <c r="AZ524" s="31">
        <f t="shared" si="383"/>
        <v>0</v>
      </c>
      <c r="BA524" s="31">
        <f t="shared" si="384"/>
        <v>0</v>
      </c>
      <c r="BB524" s="31">
        <f t="shared" si="413"/>
        <v>0</v>
      </c>
      <c r="BM524" s="8">
        <f t="shared" si="414"/>
        <v>0</v>
      </c>
      <c r="BN524" s="8">
        <f t="shared" si="385"/>
        <v>0</v>
      </c>
      <c r="BO524" s="8">
        <f t="shared" si="386"/>
        <v>0</v>
      </c>
      <c r="BQ524" s="8">
        <f t="shared" si="387"/>
        <v>0</v>
      </c>
      <c r="BR524" s="63">
        <f t="shared" si="388"/>
        <v>0</v>
      </c>
      <c r="BS524" s="63">
        <f t="shared" si="415"/>
        <v>0</v>
      </c>
      <c r="BT524" s="63">
        <f t="shared" si="389"/>
        <v>0</v>
      </c>
      <c r="BU524" s="63">
        <f t="shared" si="390"/>
        <v>0</v>
      </c>
      <c r="BV524" s="57">
        <f t="shared" si="391"/>
        <v>0</v>
      </c>
      <c r="BW524" s="57">
        <f t="shared" si="392"/>
        <v>0</v>
      </c>
      <c r="BX524" s="57">
        <f t="shared" si="416"/>
        <v>0</v>
      </c>
      <c r="BY524" s="57">
        <f t="shared" si="374"/>
        <v>0</v>
      </c>
      <c r="BZ524" s="8">
        <f t="shared" si="393"/>
        <v>0</v>
      </c>
      <c r="CA524" s="8">
        <f t="shared" si="394"/>
        <v>0</v>
      </c>
      <c r="CB524" s="8">
        <f t="shared" si="395"/>
        <v>0</v>
      </c>
      <c r="CC524" s="8">
        <f t="shared" si="396"/>
        <v>0</v>
      </c>
      <c r="CD524" s="8">
        <f t="shared" si="397"/>
        <v>0</v>
      </c>
      <c r="CE524" s="8">
        <f t="shared" si="398"/>
        <v>0</v>
      </c>
      <c r="CF524" s="8">
        <f t="shared" si="399"/>
        <v>0</v>
      </c>
      <c r="CG524" s="8">
        <f t="shared" si="400"/>
        <v>0</v>
      </c>
      <c r="CH524" s="8">
        <f t="shared" si="401"/>
        <v>0</v>
      </c>
      <c r="CI524" s="8">
        <f t="shared" si="402"/>
        <v>0</v>
      </c>
      <c r="CJ524" s="8">
        <f t="shared" si="403"/>
        <v>0</v>
      </c>
      <c r="CK524" s="8">
        <f t="shared" si="404"/>
        <v>0</v>
      </c>
      <c r="CL524" s="8">
        <f t="shared" si="405"/>
        <v>0</v>
      </c>
      <c r="CM524" s="8">
        <f t="shared" si="406"/>
        <v>0</v>
      </c>
      <c r="CN524" s="8">
        <f t="shared" si="407"/>
        <v>0</v>
      </c>
      <c r="CO524" s="8">
        <f t="shared" si="408"/>
        <v>0</v>
      </c>
      <c r="CP524" s="8">
        <f t="shared" si="409"/>
        <v>0</v>
      </c>
      <c r="CQ524" s="8">
        <f t="shared" si="410"/>
        <v>0</v>
      </c>
      <c r="CR524" s="8">
        <f t="shared" si="411"/>
        <v>0</v>
      </c>
      <c r="CS524" s="8">
        <f t="shared" si="412"/>
        <v>0</v>
      </c>
      <c r="CT524" s="8">
        <f t="shared" si="371"/>
        <v>0</v>
      </c>
      <c r="CU524" s="8">
        <f t="shared" si="372"/>
        <v>0</v>
      </c>
      <c r="CV524" s="8">
        <f t="shared" si="373"/>
        <v>0</v>
      </c>
    </row>
    <row r="525" spans="1:100" ht="20.5" thickTop="1" thickBot="1" x14ac:dyDescent="0.5">
      <c r="A525" s="32"/>
      <c r="B525" s="10"/>
      <c r="C525" s="10"/>
      <c r="D525" s="11"/>
      <c r="E525" s="10"/>
      <c r="F525" s="10"/>
      <c r="G525" s="19"/>
      <c r="H525" s="19"/>
      <c r="I525" s="19"/>
      <c r="J525" s="19"/>
      <c r="K525" s="10"/>
      <c r="L525" s="10"/>
      <c r="M525" s="10"/>
      <c r="N525" s="10"/>
      <c r="O525" s="18"/>
      <c r="P525" s="18"/>
      <c r="Q525" s="21"/>
      <c r="R525" s="20"/>
      <c r="S525" s="16">
        <f t="shared" si="375"/>
        <v>0</v>
      </c>
      <c r="T525" s="11"/>
      <c r="AS525" s="31">
        <f t="shared" si="376"/>
        <v>0</v>
      </c>
      <c r="AT525" s="31">
        <f t="shared" si="377"/>
        <v>0</v>
      </c>
      <c r="AU525" s="31">
        <f t="shared" si="378"/>
        <v>0</v>
      </c>
      <c r="AV525" s="31">
        <f t="shared" si="379"/>
        <v>0</v>
      </c>
      <c r="AW525" s="31">
        <f t="shared" si="380"/>
        <v>0</v>
      </c>
      <c r="AX525" s="31">
        <f t="shared" si="381"/>
        <v>0</v>
      </c>
      <c r="AY525" s="31">
        <f t="shared" si="382"/>
        <v>0</v>
      </c>
      <c r="AZ525" s="31">
        <f t="shared" si="383"/>
        <v>0</v>
      </c>
      <c r="BA525" s="31">
        <f t="shared" si="384"/>
        <v>0</v>
      </c>
      <c r="BB525" s="31">
        <f t="shared" si="413"/>
        <v>0</v>
      </c>
      <c r="BM525" s="8">
        <f t="shared" si="414"/>
        <v>0</v>
      </c>
      <c r="BN525" s="8">
        <f t="shared" si="385"/>
        <v>0</v>
      </c>
      <c r="BO525" s="8">
        <f t="shared" si="386"/>
        <v>0</v>
      </c>
      <c r="BQ525" s="8">
        <f t="shared" si="387"/>
        <v>0</v>
      </c>
      <c r="BR525" s="63">
        <f t="shared" si="388"/>
        <v>0</v>
      </c>
      <c r="BS525" s="63">
        <f t="shared" si="415"/>
        <v>0</v>
      </c>
      <c r="BT525" s="63">
        <f t="shared" si="389"/>
        <v>0</v>
      </c>
      <c r="BU525" s="63">
        <f t="shared" si="390"/>
        <v>0</v>
      </c>
      <c r="BV525" s="57">
        <f t="shared" si="391"/>
        <v>0</v>
      </c>
      <c r="BW525" s="57">
        <f t="shared" si="392"/>
        <v>0</v>
      </c>
      <c r="BX525" s="57">
        <f t="shared" si="416"/>
        <v>0</v>
      </c>
      <c r="BY525" s="57">
        <f t="shared" si="374"/>
        <v>0</v>
      </c>
      <c r="BZ525" s="8">
        <f t="shared" si="393"/>
        <v>0</v>
      </c>
      <c r="CA525" s="8">
        <f t="shared" si="394"/>
        <v>0</v>
      </c>
      <c r="CB525" s="8">
        <f t="shared" si="395"/>
        <v>0</v>
      </c>
      <c r="CC525" s="8">
        <f t="shared" si="396"/>
        <v>0</v>
      </c>
      <c r="CD525" s="8">
        <f t="shared" si="397"/>
        <v>0</v>
      </c>
      <c r="CE525" s="8">
        <f t="shared" si="398"/>
        <v>0</v>
      </c>
      <c r="CF525" s="8">
        <f t="shared" si="399"/>
        <v>0</v>
      </c>
      <c r="CG525" s="8">
        <f t="shared" si="400"/>
        <v>0</v>
      </c>
      <c r="CH525" s="8">
        <f t="shared" si="401"/>
        <v>0</v>
      </c>
      <c r="CI525" s="8">
        <f t="shared" si="402"/>
        <v>0</v>
      </c>
      <c r="CJ525" s="8">
        <f t="shared" si="403"/>
        <v>0</v>
      </c>
      <c r="CK525" s="8">
        <f t="shared" si="404"/>
        <v>0</v>
      </c>
      <c r="CL525" s="8">
        <f t="shared" si="405"/>
        <v>0</v>
      </c>
      <c r="CM525" s="8">
        <f t="shared" si="406"/>
        <v>0</v>
      </c>
      <c r="CN525" s="8">
        <f t="shared" si="407"/>
        <v>0</v>
      </c>
      <c r="CO525" s="8">
        <f t="shared" si="408"/>
        <v>0</v>
      </c>
      <c r="CP525" s="8">
        <f t="shared" si="409"/>
        <v>0</v>
      </c>
      <c r="CQ525" s="8">
        <f t="shared" si="410"/>
        <v>0</v>
      </c>
      <c r="CR525" s="8">
        <f t="shared" si="411"/>
        <v>0</v>
      </c>
      <c r="CS525" s="8">
        <f t="shared" si="412"/>
        <v>0</v>
      </c>
      <c r="CT525" s="8">
        <f t="shared" ref="CT525:CT588" si="417">IF(AND(J525&gt;0,OR(B525="MB",B525="new MB")),J525,0)*4+IF(AND(J525&gt;0,OR(C525="MB",C525="new MB")),J525,0)*4</f>
        <v>0</v>
      </c>
      <c r="CU525" s="8">
        <f t="shared" ref="CU525:CU588" si="418">IF(AND(I525&gt;0,OR(B525="MB",B525="new MB")),I525,0)*4+IF(AND(I525&gt;0,OR(C525="MB",C525="new MB")),I525,0)*4</f>
        <v>0</v>
      </c>
      <c r="CV525" s="8">
        <f t="shared" ref="CV525:CV588" si="419">IF(AND(H525&gt;0,OR(B525="MB",B525="new MB")),H525,0)*4+IF(AND(H525&gt;0,OR(C525="MB",C525="new MB")),H525,0)*4</f>
        <v>0</v>
      </c>
    </row>
    <row r="526" spans="1:100" ht="20.5" thickTop="1" thickBot="1" x14ac:dyDescent="0.5">
      <c r="A526" s="32"/>
      <c r="B526" s="10"/>
      <c r="C526" s="10"/>
      <c r="D526" s="11"/>
      <c r="E526" s="10"/>
      <c r="F526" s="10"/>
      <c r="G526" s="19"/>
      <c r="H526" s="19"/>
      <c r="I526" s="19"/>
      <c r="J526" s="19"/>
      <c r="K526" s="10"/>
      <c r="L526" s="10"/>
      <c r="M526" s="10"/>
      <c r="N526" s="10"/>
      <c r="O526" s="18"/>
      <c r="P526" s="18"/>
      <c r="Q526" s="21"/>
      <c r="R526" s="20"/>
      <c r="S526" s="16">
        <f t="shared" si="375"/>
        <v>0</v>
      </c>
      <c r="T526" s="11"/>
      <c r="AS526" s="31">
        <f t="shared" si="376"/>
        <v>0</v>
      </c>
      <c r="AT526" s="31">
        <f t="shared" si="377"/>
        <v>0</v>
      </c>
      <c r="AU526" s="31">
        <f t="shared" si="378"/>
        <v>0</v>
      </c>
      <c r="AV526" s="31">
        <f t="shared" si="379"/>
        <v>0</v>
      </c>
      <c r="AW526" s="31">
        <f t="shared" si="380"/>
        <v>0</v>
      </c>
      <c r="AX526" s="31">
        <f t="shared" si="381"/>
        <v>0</v>
      </c>
      <c r="AY526" s="31">
        <f t="shared" si="382"/>
        <v>0</v>
      </c>
      <c r="AZ526" s="31">
        <f t="shared" si="383"/>
        <v>0</v>
      </c>
      <c r="BA526" s="31">
        <f t="shared" si="384"/>
        <v>0</v>
      </c>
      <c r="BB526" s="31">
        <f t="shared" si="413"/>
        <v>0</v>
      </c>
      <c r="BM526" s="8">
        <f t="shared" si="414"/>
        <v>0</v>
      </c>
      <c r="BN526" s="8">
        <f t="shared" si="385"/>
        <v>0</v>
      </c>
      <c r="BO526" s="8">
        <f t="shared" si="386"/>
        <v>0</v>
      </c>
      <c r="BQ526" s="8">
        <f t="shared" si="387"/>
        <v>0</v>
      </c>
      <c r="BR526" s="63">
        <f t="shared" si="388"/>
        <v>0</v>
      </c>
      <c r="BS526" s="63">
        <f t="shared" si="415"/>
        <v>0</v>
      </c>
      <c r="BT526" s="63">
        <f t="shared" si="389"/>
        <v>0</v>
      </c>
      <c r="BU526" s="63">
        <f t="shared" si="390"/>
        <v>0</v>
      </c>
      <c r="BV526" s="57">
        <f t="shared" si="391"/>
        <v>0</v>
      </c>
      <c r="BW526" s="57">
        <f t="shared" si="392"/>
        <v>0</v>
      </c>
      <c r="BX526" s="57">
        <f t="shared" si="416"/>
        <v>0</v>
      </c>
      <c r="BY526" s="57">
        <f t="shared" si="374"/>
        <v>0</v>
      </c>
      <c r="BZ526" s="8">
        <f t="shared" si="393"/>
        <v>0</v>
      </c>
      <c r="CA526" s="8">
        <f t="shared" si="394"/>
        <v>0</v>
      </c>
      <c r="CB526" s="8">
        <f t="shared" si="395"/>
        <v>0</v>
      </c>
      <c r="CC526" s="8">
        <f t="shared" si="396"/>
        <v>0</v>
      </c>
      <c r="CD526" s="8">
        <f t="shared" si="397"/>
        <v>0</v>
      </c>
      <c r="CE526" s="8">
        <f t="shared" si="398"/>
        <v>0</v>
      </c>
      <c r="CF526" s="8">
        <f t="shared" si="399"/>
        <v>0</v>
      </c>
      <c r="CG526" s="8">
        <f t="shared" si="400"/>
        <v>0</v>
      </c>
      <c r="CH526" s="8">
        <f t="shared" si="401"/>
        <v>0</v>
      </c>
      <c r="CI526" s="8">
        <f t="shared" si="402"/>
        <v>0</v>
      </c>
      <c r="CJ526" s="8">
        <f t="shared" si="403"/>
        <v>0</v>
      </c>
      <c r="CK526" s="8">
        <f t="shared" si="404"/>
        <v>0</v>
      </c>
      <c r="CL526" s="8">
        <f t="shared" si="405"/>
        <v>0</v>
      </c>
      <c r="CM526" s="8">
        <f t="shared" si="406"/>
        <v>0</v>
      </c>
      <c r="CN526" s="8">
        <f t="shared" si="407"/>
        <v>0</v>
      </c>
      <c r="CO526" s="8">
        <f t="shared" si="408"/>
        <v>0</v>
      </c>
      <c r="CP526" s="8">
        <f t="shared" si="409"/>
        <v>0</v>
      </c>
      <c r="CQ526" s="8">
        <f t="shared" si="410"/>
        <v>0</v>
      </c>
      <c r="CR526" s="8">
        <f t="shared" si="411"/>
        <v>0</v>
      </c>
      <c r="CS526" s="8">
        <f t="shared" si="412"/>
        <v>0</v>
      </c>
      <c r="CT526" s="8">
        <f t="shared" si="417"/>
        <v>0</v>
      </c>
      <c r="CU526" s="8">
        <f t="shared" si="418"/>
        <v>0</v>
      </c>
      <c r="CV526" s="8">
        <f t="shared" si="419"/>
        <v>0</v>
      </c>
    </row>
    <row r="527" spans="1:100" ht="20.5" thickTop="1" thickBot="1" x14ac:dyDescent="0.5">
      <c r="A527" s="32"/>
      <c r="B527" s="10"/>
      <c r="C527" s="10"/>
      <c r="D527" s="11"/>
      <c r="E527" s="10"/>
      <c r="F527" s="10"/>
      <c r="G527" s="19"/>
      <c r="H527" s="19"/>
      <c r="I527" s="19"/>
      <c r="J527" s="19"/>
      <c r="K527" s="10"/>
      <c r="L527" s="10"/>
      <c r="M527" s="10"/>
      <c r="N527" s="10"/>
      <c r="O527" s="18"/>
      <c r="P527" s="18"/>
      <c r="Q527" s="21"/>
      <c r="R527" s="20"/>
      <c r="S527" s="16">
        <f t="shared" si="375"/>
        <v>0</v>
      </c>
      <c r="T527" s="11"/>
      <c r="AS527" s="31">
        <f t="shared" si="376"/>
        <v>0</v>
      </c>
      <c r="AT527" s="31">
        <f t="shared" si="377"/>
        <v>0</v>
      </c>
      <c r="AU527" s="31">
        <f t="shared" si="378"/>
        <v>0</v>
      </c>
      <c r="AV527" s="31">
        <f t="shared" si="379"/>
        <v>0</v>
      </c>
      <c r="AW527" s="31">
        <f t="shared" si="380"/>
        <v>0</v>
      </c>
      <c r="AX527" s="31">
        <f t="shared" si="381"/>
        <v>0</v>
      </c>
      <c r="AY527" s="31">
        <f t="shared" si="382"/>
        <v>0</v>
      </c>
      <c r="AZ527" s="31">
        <f t="shared" si="383"/>
        <v>0</v>
      </c>
      <c r="BA527" s="31">
        <f t="shared" si="384"/>
        <v>0</v>
      </c>
      <c r="BB527" s="31">
        <f t="shared" si="413"/>
        <v>0</v>
      </c>
      <c r="BM527" s="8">
        <f t="shared" si="414"/>
        <v>0</v>
      </c>
      <c r="BN527" s="8">
        <f t="shared" si="385"/>
        <v>0</v>
      </c>
      <c r="BO527" s="8">
        <f t="shared" si="386"/>
        <v>0</v>
      </c>
      <c r="BQ527" s="8">
        <f t="shared" si="387"/>
        <v>0</v>
      </c>
      <c r="BR527" s="63">
        <f t="shared" si="388"/>
        <v>0</v>
      </c>
      <c r="BS527" s="63">
        <f t="shared" si="415"/>
        <v>0</v>
      </c>
      <c r="BT527" s="63">
        <f t="shared" si="389"/>
        <v>0</v>
      </c>
      <c r="BU527" s="63">
        <f t="shared" si="390"/>
        <v>0</v>
      </c>
      <c r="BV527" s="57">
        <f t="shared" si="391"/>
        <v>0</v>
      </c>
      <c r="BW527" s="57">
        <f t="shared" si="392"/>
        <v>0</v>
      </c>
      <c r="BX527" s="57">
        <f t="shared" si="416"/>
        <v>0</v>
      </c>
      <c r="BY527" s="57">
        <f t="shared" si="374"/>
        <v>0</v>
      </c>
      <c r="BZ527" s="8">
        <f t="shared" si="393"/>
        <v>0</v>
      </c>
      <c r="CA527" s="8">
        <f t="shared" si="394"/>
        <v>0</v>
      </c>
      <c r="CB527" s="8">
        <f t="shared" si="395"/>
        <v>0</v>
      </c>
      <c r="CC527" s="8">
        <f t="shared" si="396"/>
        <v>0</v>
      </c>
      <c r="CD527" s="8">
        <f t="shared" si="397"/>
        <v>0</v>
      </c>
      <c r="CE527" s="8">
        <f t="shared" si="398"/>
        <v>0</v>
      </c>
      <c r="CF527" s="8">
        <f t="shared" si="399"/>
        <v>0</v>
      </c>
      <c r="CG527" s="8">
        <f t="shared" si="400"/>
        <v>0</v>
      </c>
      <c r="CH527" s="8">
        <f t="shared" si="401"/>
        <v>0</v>
      </c>
      <c r="CI527" s="8">
        <f t="shared" si="402"/>
        <v>0</v>
      </c>
      <c r="CJ527" s="8">
        <f t="shared" si="403"/>
        <v>0</v>
      </c>
      <c r="CK527" s="8">
        <f t="shared" si="404"/>
        <v>0</v>
      </c>
      <c r="CL527" s="8">
        <f t="shared" si="405"/>
        <v>0</v>
      </c>
      <c r="CM527" s="8">
        <f t="shared" si="406"/>
        <v>0</v>
      </c>
      <c r="CN527" s="8">
        <f t="shared" si="407"/>
        <v>0</v>
      </c>
      <c r="CO527" s="8">
        <f t="shared" si="408"/>
        <v>0</v>
      </c>
      <c r="CP527" s="8">
        <f t="shared" si="409"/>
        <v>0</v>
      </c>
      <c r="CQ527" s="8">
        <f t="shared" si="410"/>
        <v>0</v>
      </c>
      <c r="CR527" s="8">
        <f t="shared" si="411"/>
        <v>0</v>
      </c>
      <c r="CS527" s="8">
        <f t="shared" si="412"/>
        <v>0</v>
      </c>
      <c r="CT527" s="8">
        <f t="shared" si="417"/>
        <v>0</v>
      </c>
      <c r="CU527" s="8">
        <f t="shared" si="418"/>
        <v>0</v>
      </c>
      <c r="CV527" s="8">
        <f t="shared" si="419"/>
        <v>0</v>
      </c>
    </row>
    <row r="528" spans="1:100" ht="20.5" thickTop="1" thickBot="1" x14ac:dyDescent="0.5">
      <c r="A528" s="32"/>
      <c r="B528" s="10"/>
      <c r="C528" s="10"/>
      <c r="D528" s="11"/>
      <c r="E528" s="10"/>
      <c r="F528" s="10"/>
      <c r="G528" s="19"/>
      <c r="H528" s="19"/>
      <c r="I528" s="19"/>
      <c r="J528" s="19"/>
      <c r="K528" s="10"/>
      <c r="L528" s="10"/>
      <c r="M528" s="10"/>
      <c r="N528" s="10"/>
      <c r="O528" s="18"/>
      <c r="P528" s="18"/>
      <c r="Q528" s="21"/>
      <c r="R528" s="20"/>
      <c r="S528" s="16">
        <f t="shared" si="375"/>
        <v>0</v>
      </c>
      <c r="T528" s="11"/>
      <c r="AS528" s="31">
        <f t="shared" si="376"/>
        <v>0</v>
      </c>
      <c r="AT528" s="31">
        <f t="shared" si="377"/>
        <v>0</v>
      </c>
      <c r="AU528" s="31">
        <f t="shared" si="378"/>
        <v>0</v>
      </c>
      <c r="AV528" s="31">
        <f t="shared" si="379"/>
        <v>0</v>
      </c>
      <c r="AW528" s="31">
        <f t="shared" si="380"/>
        <v>0</v>
      </c>
      <c r="AX528" s="31">
        <f t="shared" si="381"/>
        <v>0</v>
      </c>
      <c r="AY528" s="31">
        <f t="shared" si="382"/>
        <v>0</v>
      </c>
      <c r="AZ528" s="31">
        <f t="shared" si="383"/>
        <v>0</v>
      </c>
      <c r="BA528" s="31">
        <f t="shared" si="384"/>
        <v>0</v>
      </c>
      <c r="BB528" s="31">
        <f t="shared" si="413"/>
        <v>0</v>
      </c>
      <c r="BM528" s="8">
        <f t="shared" si="414"/>
        <v>0</v>
      </c>
      <c r="BN528" s="8">
        <f t="shared" si="385"/>
        <v>0</v>
      </c>
      <c r="BO528" s="8">
        <f t="shared" si="386"/>
        <v>0</v>
      </c>
      <c r="BQ528" s="8">
        <f t="shared" si="387"/>
        <v>0</v>
      </c>
      <c r="BR528" s="63">
        <f t="shared" si="388"/>
        <v>0</v>
      </c>
      <c r="BS528" s="63">
        <f t="shared" si="415"/>
        <v>0</v>
      </c>
      <c r="BT528" s="63">
        <f t="shared" si="389"/>
        <v>0</v>
      </c>
      <c r="BU528" s="63">
        <f t="shared" si="390"/>
        <v>0</v>
      </c>
      <c r="BV528" s="57">
        <f t="shared" si="391"/>
        <v>0</v>
      </c>
      <c r="BW528" s="57">
        <f t="shared" si="392"/>
        <v>0</v>
      </c>
      <c r="BX528" s="57">
        <f t="shared" si="416"/>
        <v>0</v>
      </c>
      <c r="BY528" s="57">
        <f t="shared" si="374"/>
        <v>0</v>
      </c>
      <c r="BZ528" s="8">
        <f t="shared" si="393"/>
        <v>0</v>
      </c>
      <c r="CA528" s="8">
        <f t="shared" si="394"/>
        <v>0</v>
      </c>
      <c r="CB528" s="8">
        <f t="shared" si="395"/>
        <v>0</v>
      </c>
      <c r="CC528" s="8">
        <f t="shared" si="396"/>
        <v>0</v>
      </c>
      <c r="CD528" s="8">
        <f t="shared" si="397"/>
        <v>0</v>
      </c>
      <c r="CE528" s="8">
        <f t="shared" si="398"/>
        <v>0</v>
      </c>
      <c r="CF528" s="8">
        <f t="shared" si="399"/>
        <v>0</v>
      </c>
      <c r="CG528" s="8">
        <f t="shared" si="400"/>
        <v>0</v>
      </c>
      <c r="CH528" s="8">
        <f t="shared" si="401"/>
        <v>0</v>
      </c>
      <c r="CI528" s="8">
        <f t="shared" si="402"/>
        <v>0</v>
      </c>
      <c r="CJ528" s="8">
        <f t="shared" si="403"/>
        <v>0</v>
      </c>
      <c r="CK528" s="8">
        <f t="shared" si="404"/>
        <v>0</v>
      </c>
      <c r="CL528" s="8">
        <f t="shared" si="405"/>
        <v>0</v>
      </c>
      <c r="CM528" s="8">
        <f t="shared" si="406"/>
        <v>0</v>
      </c>
      <c r="CN528" s="8">
        <f t="shared" si="407"/>
        <v>0</v>
      </c>
      <c r="CO528" s="8">
        <f t="shared" si="408"/>
        <v>0</v>
      </c>
      <c r="CP528" s="8">
        <f t="shared" si="409"/>
        <v>0</v>
      </c>
      <c r="CQ528" s="8">
        <f t="shared" si="410"/>
        <v>0</v>
      </c>
      <c r="CR528" s="8">
        <f t="shared" si="411"/>
        <v>0</v>
      </c>
      <c r="CS528" s="8">
        <f t="shared" si="412"/>
        <v>0</v>
      </c>
      <c r="CT528" s="8">
        <f t="shared" si="417"/>
        <v>0</v>
      </c>
      <c r="CU528" s="8">
        <f t="shared" si="418"/>
        <v>0</v>
      </c>
      <c r="CV528" s="8">
        <f t="shared" si="419"/>
        <v>0</v>
      </c>
    </row>
    <row r="529" spans="1:100" ht="20.5" thickTop="1" thickBot="1" x14ac:dyDescent="0.5">
      <c r="A529" s="32"/>
      <c r="B529" s="10"/>
      <c r="C529" s="10"/>
      <c r="D529" s="11"/>
      <c r="E529" s="10"/>
      <c r="F529" s="10"/>
      <c r="G529" s="19"/>
      <c r="H529" s="19"/>
      <c r="I529" s="19"/>
      <c r="J529" s="19"/>
      <c r="K529" s="10"/>
      <c r="L529" s="10"/>
      <c r="M529" s="10"/>
      <c r="N529" s="10"/>
      <c r="O529" s="18"/>
      <c r="P529" s="18"/>
      <c r="Q529" s="21"/>
      <c r="R529" s="20"/>
      <c r="S529" s="16">
        <f t="shared" si="375"/>
        <v>0</v>
      </c>
      <c r="T529" s="11"/>
      <c r="AS529" s="31">
        <f t="shared" si="376"/>
        <v>0</v>
      </c>
      <c r="AT529" s="31">
        <f t="shared" si="377"/>
        <v>0</v>
      </c>
      <c r="AU529" s="31">
        <f t="shared" si="378"/>
        <v>0</v>
      </c>
      <c r="AV529" s="31">
        <f t="shared" si="379"/>
        <v>0</v>
      </c>
      <c r="AW529" s="31">
        <f t="shared" si="380"/>
        <v>0</v>
      </c>
      <c r="AX529" s="31">
        <f t="shared" si="381"/>
        <v>0</v>
      </c>
      <c r="AY529" s="31">
        <f t="shared" si="382"/>
        <v>0</v>
      </c>
      <c r="AZ529" s="31">
        <f t="shared" si="383"/>
        <v>0</v>
      </c>
      <c r="BA529" s="31">
        <f t="shared" si="384"/>
        <v>0</v>
      </c>
      <c r="BB529" s="31">
        <f t="shared" si="413"/>
        <v>0</v>
      </c>
      <c r="BM529" s="8">
        <f t="shared" si="414"/>
        <v>0</v>
      </c>
      <c r="BN529" s="8">
        <f t="shared" si="385"/>
        <v>0</v>
      </c>
      <c r="BO529" s="8">
        <f t="shared" si="386"/>
        <v>0</v>
      </c>
      <c r="BQ529" s="8">
        <f t="shared" si="387"/>
        <v>0</v>
      </c>
      <c r="BR529" s="63">
        <f t="shared" si="388"/>
        <v>0</v>
      </c>
      <c r="BS529" s="63">
        <f t="shared" si="415"/>
        <v>0</v>
      </c>
      <c r="BT529" s="63">
        <f t="shared" si="389"/>
        <v>0</v>
      </c>
      <c r="BU529" s="63">
        <f t="shared" si="390"/>
        <v>0</v>
      </c>
      <c r="BV529" s="57">
        <f t="shared" si="391"/>
        <v>0</v>
      </c>
      <c r="BW529" s="57">
        <f t="shared" si="392"/>
        <v>0</v>
      </c>
      <c r="BX529" s="57">
        <f t="shared" si="416"/>
        <v>0</v>
      </c>
      <c r="BY529" s="57">
        <f t="shared" si="374"/>
        <v>0</v>
      </c>
      <c r="BZ529" s="8">
        <f t="shared" si="393"/>
        <v>0</v>
      </c>
      <c r="CA529" s="8">
        <f t="shared" si="394"/>
        <v>0</v>
      </c>
      <c r="CB529" s="8">
        <f t="shared" si="395"/>
        <v>0</v>
      </c>
      <c r="CC529" s="8">
        <f t="shared" si="396"/>
        <v>0</v>
      </c>
      <c r="CD529" s="8">
        <f t="shared" si="397"/>
        <v>0</v>
      </c>
      <c r="CE529" s="8">
        <f t="shared" si="398"/>
        <v>0</v>
      </c>
      <c r="CF529" s="8">
        <f t="shared" si="399"/>
        <v>0</v>
      </c>
      <c r="CG529" s="8">
        <f t="shared" si="400"/>
        <v>0</v>
      </c>
      <c r="CH529" s="8">
        <f t="shared" si="401"/>
        <v>0</v>
      </c>
      <c r="CI529" s="8">
        <f t="shared" si="402"/>
        <v>0</v>
      </c>
      <c r="CJ529" s="8">
        <f t="shared" si="403"/>
        <v>0</v>
      </c>
      <c r="CK529" s="8">
        <f t="shared" si="404"/>
        <v>0</v>
      </c>
      <c r="CL529" s="8">
        <f t="shared" si="405"/>
        <v>0</v>
      </c>
      <c r="CM529" s="8">
        <f t="shared" si="406"/>
        <v>0</v>
      </c>
      <c r="CN529" s="8">
        <f t="shared" si="407"/>
        <v>0</v>
      </c>
      <c r="CO529" s="8">
        <f t="shared" si="408"/>
        <v>0</v>
      </c>
      <c r="CP529" s="8">
        <f t="shared" si="409"/>
        <v>0</v>
      </c>
      <c r="CQ529" s="8">
        <f t="shared" si="410"/>
        <v>0</v>
      </c>
      <c r="CR529" s="8">
        <f t="shared" si="411"/>
        <v>0</v>
      </c>
      <c r="CS529" s="8">
        <f t="shared" si="412"/>
        <v>0</v>
      </c>
      <c r="CT529" s="8">
        <f t="shared" si="417"/>
        <v>0</v>
      </c>
      <c r="CU529" s="8">
        <f t="shared" si="418"/>
        <v>0</v>
      </c>
      <c r="CV529" s="8">
        <f t="shared" si="419"/>
        <v>0</v>
      </c>
    </row>
    <row r="530" spans="1:100" ht="20.5" thickTop="1" thickBot="1" x14ac:dyDescent="0.5">
      <c r="A530" s="32"/>
      <c r="B530" s="10"/>
      <c r="C530" s="10"/>
      <c r="D530" s="11"/>
      <c r="E530" s="10"/>
      <c r="F530" s="10"/>
      <c r="G530" s="19"/>
      <c r="H530" s="19"/>
      <c r="I530" s="19"/>
      <c r="J530" s="19"/>
      <c r="K530" s="10"/>
      <c r="L530" s="10"/>
      <c r="M530" s="10"/>
      <c r="N530" s="10"/>
      <c r="O530" s="18"/>
      <c r="P530" s="18"/>
      <c r="Q530" s="21"/>
      <c r="R530" s="20"/>
      <c r="S530" s="16">
        <f t="shared" si="375"/>
        <v>0</v>
      </c>
      <c r="T530" s="11"/>
      <c r="AS530" s="31">
        <f t="shared" si="376"/>
        <v>0</v>
      </c>
      <c r="AT530" s="31">
        <f t="shared" si="377"/>
        <v>0</v>
      </c>
      <c r="AU530" s="31">
        <f t="shared" si="378"/>
        <v>0</v>
      </c>
      <c r="AV530" s="31">
        <f t="shared" si="379"/>
        <v>0</v>
      </c>
      <c r="AW530" s="31">
        <f t="shared" si="380"/>
        <v>0</v>
      </c>
      <c r="AX530" s="31">
        <f t="shared" si="381"/>
        <v>0</v>
      </c>
      <c r="AY530" s="31">
        <f t="shared" si="382"/>
        <v>0</v>
      </c>
      <c r="AZ530" s="31">
        <f t="shared" si="383"/>
        <v>0</v>
      </c>
      <c r="BA530" s="31">
        <f t="shared" si="384"/>
        <v>0</v>
      </c>
      <c r="BB530" s="31">
        <f t="shared" si="413"/>
        <v>0</v>
      </c>
      <c r="BM530" s="8">
        <f t="shared" si="414"/>
        <v>0</v>
      </c>
      <c r="BN530" s="8">
        <f t="shared" si="385"/>
        <v>0</v>
      </c>
      <c r="BO530" s="8">
        <f t="shared" si="386"/>
        <v>0</v>
      </c>
      <c r="BQ530" s="8">
        <f t="shared" si="387"/>
        <v>0</v>
      </c>
      <c r="BR530" s="63">
        <f t="shared" si="388"/>
        <v>0</v>
      </c>
      <c r="BS530" s="63">
        <f t="shared" si="415"/>
        <v>0</v>
      </c>
      <c r="BT530" s="63">
        <f t="shared" si="389"/>
        <v>0</v>
      </c>
      <c r="BU530" s="63">
        <f t="shared" si="390"/>
        <v>0</v>
      </c>
      <c r="BV530" s="57">
        <f t="shared" si="391"/>
        <v>0</v>
      </c>
      <c r="BW530" s="57">
        <f t="shared" si="392"/>
        <v>0</v>
      </c>
      <c r="BX530" s="57">
        <f t="shared" si="416"/>
        <v>0</v>
      </c>
      <c r="BY530" s="57">
        <f t="shared" si="374"/>
        <v>0</v>
      </c>
      <c r="BZ530" s="8">
        <f t="shared" si="393"/>
        <v>0</v>
      </c>
      <c r="CA530" s="8">
        <f t="shared" si="394"/>
        <v>0</v>
      </c>
      <c r="CB530" s="8">
        <f t="shared" si="395"/>
        <v>0</v>
      </c>
      <c r="CC530" s="8">
        <f t="shared" si="396"/>
        <v>0</v>
      </c>
      <c r="CD530" s="8">
        <f t="shared" si="397"/>
        <v>0</v>
      </c>
      <c r="CE530" s="8">
        <f t="shared" si="398"/>
        <v>0</v>
      </c>
      <c r="CF530" s="8">
        <f t="shared" si="399"/>
        <v>0</v>
      </c>
      <c r="CG530" s="8">
        <f t="shared" si="400"/>
        <v>0</v>
      </c>
      <c r="CH530" s="8">
        <f t="shared" si="401"/>
        <v>0</v>
      </c>
      <c r="CI530" s="8">
        <f t="shared" si="402"/>
        <v>0</v>
      </c>
      <c r="CJ530" s="8">
        <f t="shared" si="403"/>
        <v>0</v>
      </c>
      <c r="CK530" s="8">
        <f t="shared" si="404"/>
        <v>0</v>
      </c>
      <c r="CL530" s="8">
        <f t="shared" si="405"/>
        <v>0</v>
      </c>
      <c r="CM530" s="8">
        <f t="shared" si="406"/>
        <v>0</v>
      </c>
      <c r="CN530" s="8">
        <f t="shared" si="407"/>
        <v>0</v>
      </c>
      <c r="CO530" s="8">
        <f t="shared" si="408"/>
        <v>0</v>
      </c>
      <c r="CP530" s="8">
        <f t="shared" si="409"/>
        <v>0</v>
      </c>
      <c r="CQ530" s="8">
        <f t="shared" si="410"/>
        <v>0</v>
      </c>
      <c r="CR530" s="8">
        <f t="shared" si="411"/>
        <v>0</v>
      </c>
      <c r="CS530" s="8">
        <f t="shared" si="412"/>
        <v>0</v>
      </c>
      <c r="CT530" s="8">
        <f t="shared" si="417"/>
        <v>0</v>
      </c>
      <c r="CU530" s="8">
        <f t="shared" si="418"/>
        <v>0</v>
      </c>
      <c r="CV530" s="8">
        <f t="shared" si="419"/>
        <v>0</v>
      </c>
    </row>
    <row r="531" spans="1:100" ht="20.5" thickTop="1" thickBot="1" x14ac:dyDescent="0.5">
      <c r="A531" s="32"/>
      <c r="B531" s="10"/>
      <c r="C531" s="10"/>
      <c r="D531" s="11"/>
      <c r="E531" s="10"/>
      <c r="F531" s="10"/>
      <c r="G531" s="19"/>
      <c r="H531" s="19"/>
      <c r="I531" s="19"/>
      <c r="J531" s="19"/>
      <c r="K531" s="10"/>
      <c r="L531" s="10"/>
      <c r="M531" s="10"/>
      <c r="N531" s="10"/>
      <c r="O531" s="18"/>
      <c r="P531" s="18"/>
      <c r="Q531" s="21"/>
      <c r="R531" s="20"/>
      <c r="S531" s="16">
        <f t="shared" si="375"/>
        <v>0</v>
      </c>
      <c r="T531" s="11"/>
      <c r="AS531" s="31">
        <f t="shared" si="376"/>
        <v>0</v>
      </c>
      <c r="AT531" s="31">
        <f t="shared" si="377"/>
        <v>0</v>
      </c>
      <c r="AU531" s="31">
        <f t="shared" si="378"/>
        <v>0</v>
      </c>
      <c r="AV531" s="31">
        <f t="shared" si="379"/>
        <v>0</v>
      </c>
      <c r="AW531" s="31">
        <f t="shared" si="380"/>
        <v>0</v>
      </c>
      <c r="AX531" s="31">
        <f t="shared" si="381"/>
        <v>0</v>
      </c>
      <c r="AY531" s="31">
        <f t="shared" si="382"/>
        <v>0</v>
      </c>
      <c r="AZ531" s="31">
        <f t="shared" si="383"/>
        <v>0</v>
      </c>
      <c r="BA531" s="31">
        <f t="shared" si="384"/>
        <v>0</v>
      </c>
      <c r="BB531" s="31">
        <f t="shared" si="413"/>
        <v>0</v>
      </c>
      <c r="BM531" s="8">
        <f t="shared" si="414"/>
        <v>0</v>
      </c>
      <c r="BN531" s="8">
        <f t="shared" si="385"/>
        <v>0</v>
      </c>
      <c r="BO531" s="8">
        <f t="shared" si="386"/>
        <v>0</v>
      </c>
      <c r="BQ531" s="8">
        <f t="shared" si="387"/>
        <v>0</v>
      </c>
      <c r="BR531" s="63">
        <f t="shared" si="388"/>
        <v>0</v>
      </c>
      <c r="BS531" s="63">
        <f t="shared" si="415"/>
        <v>0</v>
      </c>
      <c r="BT531" s="63">
        <f t="shared" si="389"/>
        <v>0</v>
      </c>
      <c r="BU531" s="63">
        <f t="shared" si="390"/>
        <v>0</v>
      </c>
      <c r="BV531" s="57">
        <f t="shared" si="391"/>
        <v>0</v>
      </c>
      <c r="BW531" s="57">
        <f t="shared" si="392"/>
        <v>0</v>
      </c>
      <c r="BX531" s="57">
        <f t="shared" si="416"/>
        <v>0</v>
      </c>
      <c r="BY531" s="57">
        <f t="shared" si="374"/>
        <v>0</v>
      </c>
      <c r="BZ531" s="8">
        <f t="shared" si="393"/>
        <v>0</v>
      </c>
      <c r="CA531" s="8">
        <f t="shared" si="394"/>
        <v>0</v>
      </c>
      <c r="CB531" s="8">
        <f t="shared" si="395"/>
        <v>0</v>
      </c>
      <c r="CC531" s="8">
        <f t="shared" si="396"/>
        <v>0</v>
      </c>
      <c r="CD531" s="8">
        <f t="shared" si="397"/>
        <v>0</v>
      </c>
      <c r="CE531" s="8">
        <f t="shared" si="398"/>
        <v>0</v>
      </c>
      <c r="CF531" s="8">
        <f t="shared" si="399"/>
        <v>0</v>
      </c>
      <c r="CG531" s="8">
        <f t="shared" si="400"/>
        <v>0</v>
      </c>
      <c r="CH531" s="8">
        <f t="shared" si="401"/>
        <v>0</v>
      </c>
      <c r="CI531" s="8">
        <f t="shared" si="402"/>
        <v>0</v>
      </c>
      <c r="CJ531" s="8">
        <f t="shared" si="403"/>
        <v>0</v>
      </c>
      <c r="CK531" s="8">
        <f t="shared" si="404"/>
        <v>0</v>
      </c>
      <c r="CL531" s="8">
        <f t="shared" si="405"/>
        <v>0</v>
      </c>
      <c r="CM531" s="8">
        <f t="shared" si="406"/>
        <v>0</v>
      </c>
      <c r="CN531" s="8">
        <f t="shared" si="407"/>
        <v>0</v>
      </c>
      <c r="CO531" s="8">
        <f t="shared" si="408"/>
        <v>0</v>
      </c>
      <c r="CP531" s="8">
        <f t="shared" si="409"/>
        <v>0</v>
      </c>
      <c r="CQ531" s="8">
        <f t="shared" si="410"/>
        <v>0</v>
      </c>
      <c r="CR531" s="8">
        <f t="shared" si="411"/>
        <v>0</v>
      </c>
      <c r="CS531" s="8">
        <f t="shared" si="412"/>
        <v>0</v>
      </c>
      <c r="CT531" s="8">
        <f t="shared" si="417"/>
        <v>0</v>
      </c>
      <c r="CU531" s="8">
        <f t="shared" si="418"/>
        <v>0</v>
      </c>
      <c r="CV531" s="8">
        <f t="shared" si="419"/>
        <v>0</v>
      </c>
    </row>
    <row r="532" spans="1:100" ht="20.5" thickTop="1" thickBot="1" x14ac:dyDescent="0.5">
      <c r="A532" s="32"/>
      <c r="B532" s="10"/>
      <c r="C532" s="10"/>
      <c r="D532" s="11"/>
      <c r="E532" s="10"/>
      <c r="F532" s="10"/>
      <c r="G532" s="19"/>
      <c r="H532" s="19"/>
      <c r="I532" s="19"/>
      <c r="J532" s="19"/>
      <c r="K532" s="10"/>
      <c r="L532" s="10"/>
      <c r="M532" s="10"/>
      <c r="N532" s="10"/>
      <c r="O532" s="18"/>
      <c r="P532" s="18"/>
      <c r="Q532" s="21"/>
      <c r="R532" s="20"/>
      <c r="S532" s="16">
        <f t="shared" si="375"/>
        <v>0</v>
      </c>
      <c r="T532" s="11"/>
      <c r="AS532" s="31">
        <f t="shared" si="376"/>
        <v>0</v>
      </c>
      <c r="AT532" s="31">
        <f t="shared" si="377"/>
        <v>0</v>
      </c>
      <c r="AU532" s="31">
        <f t="shared" si="378"/>
        <v>0</v>
      </c>
      <c r="AV532" s="31">
        <f t="shared" si="379"/>
        <v>0</v>
      </c>
      <c r="AW532" s="31">
        <f t="shared" si="380"/>
        <v>0</v>
      </c>
      <c r="AX532" s="31">
        <f t="shared" si="381"/>
        <v>0</v>
      </c>
      <c r="AY532" s="31">
        <f t="shared" si="382"/>
        <v>0</v>
      </c>
      <c r="AZ532" s="31">
        <f t="shared" si="383"/>
        <v>0</v>
      </c>
      <c r="BA532" s="31">
        <f t="shared" si="384"/>
        <v>0</v>
      </c>
      <c r="BB532" s="31">
        <f t="shared" si="413"/>
        <v>0</v>
      </c>
      <c r="BM532" s="8">
        <f t="shared" si="414"/>
        <v>0</v>
      </c>
      <c r="BN532" s="8">
        <f t="shared" si="385"/>
        <v>0</v>
      </c>
      <c r="BO532" s="8">
        <f t="shared" si="386"/>
        <v>0</v>
      </c>
      <c r="BQ532" s="8">
        <f t="shared" si="387"/>
        <v>0</v>
      </c>
      <c r="BR532" s="63">
        <f t="shared" si="388"/>
        <v>0</v>
      </c>
      <c r="BS532" s="63">
        <f t="shared" si="415"/>
        <v>0</v>
      </c>
      <c r="BT532" s="63">
        <f t="shared" si="389"/>
        <v>0</v>
      </c>
      <c r="BU532" s="63">
        <f t="shared" si="390"/>
        <v>0</v>
      </c>
      <c r="BV532" s="57">
        <f t="shared" si="391"/>
        <v>0</v>
      </c>
      <c r="BW532" s="57">
        <f t="shared" si="392"/>
        <v>0</v>
      </c>
      <c r="BX532" s="57">
        <f t="shared" si="416"/>
        <v>0</v>
      </c>
      <c r="BY532" s="57">
        <f t="shared" si="374"/>
        <v>0</v>
      </c>
      <c r="BZ532" s="8">
        <f t="shared" si="393"/>
        <v>0</v>
      </c>
      <c r="CA532" s="8">
        <f t="shared" si="394"/>
        <v>0</v>
      </c>
      <c r="CB532" s="8">
        <f t="shared" si="395"/>
        <v>0</v>
      </c>
      <c r="CC532" s="8">
        <f t="shared" si="396"/>
        <v>0</v>
      </c>
      <c r="CD532" s="8">
        <f t="shared" si="397"/>
        <v>0</v>
      </c>
      <c r="CE532" s="8">
        <f t="shared" si="398"/>
        <v>0</v>
      </c>
      <c r="CF532" s="8">
        <f t="shared" si="399"/>
        <v>0</v>
      </c>
      <c r="CG532" s="8">
        <f t="shared" si="400"/>
        <v>0</v>
      </c>
      <c r="CH532" s="8">
        <f t="shared" si="401"/>
        <v>0</v>
      </c>
      <c r="CI532" s="8">
        <f t="shared" si="402"/>
        <v>0</v>
      </c>
      <c r="CJ532" s="8">
        <f t="shared" si="403"/>
        <v>0</v>
      </c>
      <c r="CK532" s="8">
        <f t="shared" si="404"/>
        <v>0</v>
      </c>
      <c r="CL532" s="8">
        <f t="shared" si="405"/>
        <v>0</v>
      </c>
      <c r="CM532" s="8">
        <f t="shared" si="406"/>
        <v>0</v>
      </c>
      <c r="CN532" s="8">
        <f t="shared" si="407"/>
        <v>0</v>
      </c>
      <c r="CO532" s="8">
        <f t="shared" si="408"/>
        <v>0</v>
      </c>
      <c r="CP532" s="8">
        <f t="shared" si="409"/>
        <v>0</v>
      </c>
      <c r="CQ532" s="8">
        <f t="shared" si="410"/>
        <v>0</v>
      </c>
      <c r="CR532" s="8">
        <f t="shared" si="411"/>
        <v>0</v>
      </c>
      <c r="CS532" s="8">
        <f t="shared" si="412"/>
        <v>0</v>
      </c>
      <c r="CT532" s="8">
        <f t="shared" si="417"/>
        <v>0</v>
      </c>
      <c r="CU532" s="8">
        <f t="shared" si="418"/>
        <v>0</v>
      </c>
      <c r="CV532" s="8">
        <f t="shared" si="419"/>
        <v>0</v>
      </c>
    </row>
    <row r="533" spans="1:100" ht="20.5" thickTop="1" thickBot="1" x14ac:dyDescent="0.5">
      <c r="A533" s="32"/>
      <c r="B533" s="10"/>
      <c r="C533" s="10"/>
      <c r="D533" s="11"/>
      <c r="E533" s="10"/>
      <c r="F533" s="10"/>
      <c r="G533" s="19"/>
      <c r="H533" s="19"/>
      <c r="I533" s="19"/>
      <c r="J533" s="19"/>
      <c r="K533" s="10"/>
      <c r="L533" s="10"/>
      <c r="M533" s="10"/>
      <c r="N533" s="10"/>
      <c r="O533" s="18"/>
      <c r="P533" s="18"/>
      <c r="Q533" s="21"/>
      <c r="R533" s="20"/>
      <c r="S533" s="16">
        <f t="shared" si="375"/>
        <v>0</v>
      </c>
      <c r="T533" s="11"/>
      <c r="AS533" s="31">
        <f t="shared" si="376"/>
        <v>0</v>
      </c>
      <c r="AT533" s="31">
        <f t="shared" si="377"/>
        <v>0</v>
      </c>
      <c r="AU533" s="31">
        <f t="shared" si="378"/>
        <v>0</v>
      </c>
      <c r="AV533" s="31">
        <f t="shared" si="379"/>
        <v>0</v>
      </c>
      <c r="AW533" s="31">
        <f t="shared" si="380"/>
        <v>0</v>
      </c>
      <c r="AX533" s="31">
        <f t="shared" si="381"/>
        <v>0</v>
      </c>
      <c r="AY533" s="31">
        <f t="shared" si="382"/>
        <v>0</v>
      </c>
      <c r="AZ533" s="31">
        <f t="shared" si="383"/>
        <v>0</v>
      </c>
      <c r="BA533" s="31">
        <f t="shared" si="384"/>
        <v>0</v>
      </c>
      <c r="BB533" s="31">
        <f t="shared" si="413"/>
        <v>0</v>
      </c>
      <c r="BM533" s="8">
        <f t="shared" si="414"/>
        <v>0</v>
      </c>
      <c r="BN533" s="8">
        <f t="shared" si="385"/>
        <v>0</v>
      </c>
      <c r="BO533" s="8">
        <f t="shared" si="386"/>
        <v>0</v>
      </c>
      <c r="BQ533" s="8">
        <f t="shared" si="387"/>
        <v>0</v>
      </c>
      <c r="BR533" s="63">
        <f t="shared" si="388"/>
        <v>0</v>
      </c>
      <c r="BS533" s="63">
        <f t="shared" si="415"/>
        <v>0</v>
      </c>
      <c r="BT533" s="63">
        <f t="shared" si="389"/>
        <v>0</v>
      </c>
      <c r="BU533" s="63">
        <f t="shared" si="390"/>
        <v>0</v>
      </c>
      <c r="BV533" s="57">
        <f t="shared" si="391"/>
        <v>0</v>
      </c>
      <c r="BW533" s="57">
        <f t="shared" si="392"/>
        <v>0</v>
      </c>
      <c r="BX533" s="57">
        <f t="shared" si="416"/>
        <v>0</v>
      </c>
      <c r="BY533" s="57">
        <f t="shared" si="374"/>
        <v>0</v>
      </c>
      <c r="BZ533" s="8">
        <f t="shared" si="393"/>
        <v>0</v>
      </c>
      <c r="CA533" s="8">
        <f t="shared" si="394"/>
        <v>0</v>
      </c>
      <c r="CB533" s="8">
        <f t="shared" si="395"/>
        <v>0</v>
      </c>
      <c r="CC533" s="8">
        <f t="shared" si="396"/>
        <v>0</v>
      </c>
      <c r="CD533" s="8">
        <f t="shared" si="397"/>
        <v>0</v>
      </c>
      <c r="CE533" s="8">
        <f t="shared" si="398"/>
        <v>0</v>
      </c>
      <c r="CF533" s="8">
        <f t="shared" si="399"/>
        <v>0</v>
      </c>
      <c r="CG533" s="8">
        <f t="shared" si="400"/>
        <v>0</v>
      </c>
      <c r="CH533" s="8">
        <f t="shared" si="401"/>
        <v>0</v>
      </c>
      <c r="CI533" s="8">
        <f t="shared" si="402"/>
        <v>0</v>
      </c>
      <c r="CJ533" s="8">
        <f t="shared" si="403"/>
        <v>0</v>
      </c>
      <c r="CK533" s="8">
        <f t="shared" si="404"/>
        <v>0</v>
      </c>
      <c r="CL533" s="8">
        <f t="shared" si="405"/>
        <v>0</v>
      </c>
      <c r="CM533" s="8">
        <f t="shared" si="406"/>
        <v>0</v>
      </c>
      <c r="CN533" s="8">
        <f t="shared" si="407"/>
        <v>0</v>
      </c>
      <c r="CO533" s="8">
        <f t="shared" si="408"/>
        <v>0</v>
      </c>
      <c r="CP533" s="8">
        <f t="shared" si="409"/>
        <v>0</v>
      </c>
      <c r="CQ533" s="8">
        <f t="shared" si="410"/>
        <v>0</v>
      </c>
      <c r="CR533" s="8">
        <f t="shared" si="411"/>
        <v>0</v>
      </c>
      <c r="CS533" s="8">
        <f t="shared" si="412"/>
        <v>0</v>
      </c>
      <c r="CT533" s="8">
        <f t="shared" si="417"/>
        <v>0</v>
      </c>
      <c r="CU533" s="8">
        <f t="shared" si="418"/>
        <v>0</v>
      </c>
      <c r="CV533" s="8">
        <f t="shared" si="419"/>
        <v>0</v>
      </c>
    </row>
    <row r="534" spans="1:100" ht="20.5" thickTop="1" thickBot="1" x14ac:dyDescent="0.5">
      <c r="A534" s="32"/>
      <c r="B534" s="10"/>
      <c r="C534" s="10"/>
      <c r="D534" s="11"/>
      <c r="E534" s="10"/>
      <c r="F534" s="10"/>
      <c r="G534" s="19"/>
      <c r="H534" s="19"/>
      <c r="I534" s="19"/>
      <c r="J534" s="19"/>
      <c r="K534" s="10"/>
      <c r="L534" s="10"/>
      <c r="M534" s="10"/>
      <c r="N534" s="10"/>
      <c r="O534" s="18"/>
      <c r="P534" s="18"/>
      <c r="Q534" s="21"/>
      <c r="R534" s="20"/>
      <c r="S534" s="16">
        <f t="shared" si="375"/>
        <v>0</v>
      </c>
      <c r="T534" s="11"/>
      <c r="AS534" s="31">
        <f t="shared" si="376"/>
        <v>0</v>
      </c>
      <c r="AT534" s="31">
        <f t="shared" si="377"/>
        <v>0</v>
      </c>
      <c r="AU534" s="31">
        <f t="shared" si="378"/>
        <v>0</v>
      </c>
      <c r="AV534" s="31">
        <f t="shared" si="379"/>
        <v>0</v>
      </c>
      <c r="AW534" s="31">
        <f t="shared" si="380"/>
        <v>0</v>
      </c>
      <c r="AX534" s="31">
        <f t="shared" si="381"/>
        <v>0</v>
      </c>
      <c r="AY534" s="31">
        <f t="shared" si="382"/>
        <v>0</v>
      </c>
      <c r="AZ534" s="31">
        <f t="shared" si="383"/>
        <v>0</v>
      </c>
      <c r="BA534" s="31">
        <f t="shared" si="384"/>
        <v>0</v>
      </c>
      <c r="BB534" s="31">
        <f t="shared" si="413"/>
        <v>0</v>
      </c>
      <c r="BM534" s="8">
        <f t="shared" si="414"/>
        <v>0</v>
      </c>
      <c r="BN534" s="8">
        <f t="shared" si="385"/>
        <v>0</v>
      </c>
      <c r="BO534" s="8">
        <f t="shared" si="386"/>
        <v>0</v>
      </c>
      <c r="BQ534" s="8">
        <f t="shared" si="387"/>
        <v>0</v>
      </c>
      <c r="BR534" s="63">
        <f t="shared" si="388"/>
        <v>0</v>
      </c>
      <c r="BS534" s="63">
        <f t="shared" si="415"/>
        <v>0</v>
      </c>
      <c r="BT534" s="63">
        <f t="shared" si="389"/>
        <v>0</v>
      </c>
      <c r="BU534" s="63">
        <f t="shared" si="390"/>
        <v>0</v>
      </c>
      <c r="BV534" s="57">
        <f t="shared" si="391"/>
        <v>0</v>
      </c>
      <c r="BW534" s="57">
        <f t="shared" si="392"/>
        <v>0</v>
      </c>
      <c r="BX534" s="57">
        <f t="shared" si="416"/>
        <v>0</v>
      </c>
      <c r="BY534" s="57">
        <f t="shared" si="374"/>
        <v>0</v>
      </c>
      <c r="BZ534" s="8">
        <f t="shared" si="393"/>
        <v>0</v>
      </c>
      <c r="CA534" s="8">
        <f t="shared" si="394"/>
        <v>0</v>
      </c>
      <c r="CB534" s="8">
        <f t="shared" si="395"/>
        <v>0</v>
      </c>
      <c r="CC534" s="8">
        <f t="shared" si="396"/>
        <v>0</v>
      </c>
      <c r="CD534" s="8">
        <f t="shared" si="397"/>
        <v>0</v>
      </c>
      <c r="CE534" s="8">
        <f t="shared" si="398"/>
        <v>0</v>
      </c>
      <c r="CF534" s="8">
        <f t="shared" si="399"/>
        <v>0</v>
      </c>
      <c r="CG534" s="8">
        <f t="shared" si="400"/>
        <v>0</v>
      </c>
      <c r="CH534" s="8">
        <f t="shared" si="401"/>
        <v>0</v>
      </c>
      <c r="CI534" s="8">
        <f t="shared" si="402"/>
        <v>0</v>
      </c>
      <c r="CJ534" s="8">
        <f t="shared" si="403"/>
        <v>0</v>
      </c>
      <c r="CK534" s="8">
        <f t="shared" si="404"/>
        <v>0</v>
      </c>
      <c r="CL534" s="8">
        <f t="shared" si="405"/>
        <v>0</v>
      </c>
      <c r="CM534" s="8">
        <f t="shared" si="406"/>
        <v>0</v>
      </c>
      <c r="CN534" s="8">
        <f t="shared" si="407"/>
        <v>0</v>
      </c>
      <c r="CO534" s="8">
        <f t="shared" si="408"/>
        <v>0</v>
      </c>
      <c r="CP534" s="8">
        <f t="shared" si="409"/>
        <v>0</v>
      </c>
      <c r="CQ534" s="8">
        <f t="shared" si="410"/>
        <v>0</v>
      </c>
      <c r="CR534" s="8">
        <f t="shared" si="411"/>
        <v>0</v>
      </c>
      <c r="CS534" s="8">
        <f t="shared" si="412"/>
        <v>0</v>
      </c>
      <c r="CT534" s="8">
        <f t="shared" si="417"/>
        <v>0</v>
      </c>
      <c r="CU534" s="8">
        <f t="shared" si="418"/>
        <v>0</v>
      </c>
      <c r="CV534" s="8">
        <f t="shared" si="419"/>
        <v>0</v>
      </c>
    </row>
    <row r="535" spans="1:100" ht="20.5" thickTop="1" thickBot="1" x14ac:dyDescent="0.5">
      <c r="A535" s="32"/>
      <c r="B535" s="10"/>
      <c r="C535" s="10"/>
      <c r="D535" s="11"/>
      <c r="E535" s="10"/>
      <c r="F535" s="10"/>
      <c r="G535" s="19"/>
      <c r="H535" s="19"/>
      <c r="I535" s="19"/>
      <c r="J535" s="19"/>
      <c r="K535" s="10"/>
      <c r="L535" s="10"/>
      <c r="M535" s="10"/>
      <c r="N535" s="10"/>
      <c r="O535" s="18"/>
      <c r="P535" s="18"/>
      <c r="Q535" s="21"/>
      <c r="R535" s="20"/>
      <c r="S535" s="16">
        <f t="shared" si="375"/>
        <v>0</v>
      </c>
      <c r="T535" s="11"/>
      <c r="AS535" s="31">
        <f t="shared" si="376"/>
        <v>0</v>
      </c>
      <c r="AT535" s="31">
        <f t="shared" si="377"/>
        <v>0</v>
      </c>
      <c r="AU535" s="31">
        <f t="shared" si="378"/>
        <v>0</v>
      </c>
      <c r="AV535" s="31">
        <f t="shared" si="379"/>
        <v>0</v>
      </c>
      <c r="AW535" s="31">
        <f t="shared" si="380"/>
        <v>0</v>
      </c>
      <c r="AX535" s="31">
        <f t="shared" si="381"/>
        <v>0</v>
      </c>
      <c r="AY535" s="31">
        <f t="shared" si="382"/>
        <v>0</v>
      </c>
      <c r="AZ535" s="31">
        <f t="shared" si="383"/>
        <v>0</v>
      </c>
      <c r="BA535" s="31">
        <f t="shared" si="384"/>
        <v>0</v>
      </c>
      <c r="BB535" s="31">
        <f t="shared" si="413"/>
        <v>0</v>
      </c>
      <c r="BM535" s="8">
        <f t="shared" si="414"/>
        <v>0</v>
      </c>
      <c r="BN535" s="8">
        <f t="shared" si="385"/>
        <v>0</v>
      </c>
      <c r="BO535" s="8">
        <f t="shared" si="386"/>
        <v>0</v>
      </c>
      <c r="BQ535" s="8">
        <f t="shared" si="387"/>
        <v>0</v>
      </c>
      <c r="BR535" s="63">
        <f t="shared" si="388"/>
        <v>0</v>
      </c>
      <c r="BS535" s="63">
        <f t="shared" si="415"/>
        <v>0</v>
      </c>
      <c r="BT535" s="63">
        <f t="shared" si="389"/>
        <v>0</v>
      </c>
      <c r="BU535" s="63">
        <f t="shared" si="390"/>
        <v>0</v>
      </c>
      <c r="BV535" s="57">
        <f t="shared" si="391"/>
        <v>0</v>
      </c>
      <c r="BW535" s="57">
        <f t="shared" si="392"/>
        <v>0</v>
      </c>
      <c r="BX535" s="57">
        <f t="shared" si="416"/>
        <v>0</v>
      </c>
      <c r="BY535" s="57">
        <f t="shared" si="374"/>
        <v>0</v>
      </c>
      <c r="BZ535" s="8">
        <f t="shared" si="393"/>
        <v>0</v>
      </c>
      <c r="CA535" s="8">
        <f t="shared" si="394"/>
        <v>0</v>
      </c>
      <c r="CB535" s="8">
        <f t="shared" si="395"/>
        <v>0</v>
      </c>
      <c r="CC535" s="8">
        <f t="shared" si="396"/>
        <v>0</v>
      </c>
      <c r="CD535" s="8">
        <f t="shared" si="397"/>
        <v>0</v>
      </c>
      <c r="CE535" s="8">
        <f t="shared" si="398"/>
        <v>0</v>
      </c>
      <c r="CF535" s="8">
        <f t="shared" si="399"/>
        <v>0</v>
      </c>
      <c r="CG535" s="8">
        <f t="shared" si="400"/>
        <v>0</v>
      </c>
      <c r="CH535" s="8">
        <f t="shared" si="401"/>
        <v>0</v>
      </c>
      <c r="CI535" s="8">
        <f t="shared" si="402"/>
        <v>0</v>
      </c>
      <c r="CJ535" s="8">
        <f t="shared" si="403"/>
        <v>0</v>
      </c>
      <c r="CK535" s="8">
        <f t="shared" si="404"/>
        <v>0</v>
      </c>
      <c r="CL535" s="8">
        <f t="shared" si="405"/>
        <v>0</v>
      </c>
      <c r="CM535" s="8">
        <f t="shared" si="406"/>
        <v>0</v>
      </c>
      <c r="CN535" s="8">
        <f t="shared" si="407"/>
        <v>0</v>
      </c>
      <c r="CO535" s="8">
        <f t="shared" si="408"/>
        <v>0</v>
      </c>
      <c r="CP535" s="8">
        <f t="shared" si="409"/>
        <v>0</v>
      </c>
      <c r="CQ535" s="8">
        <f t="shared" si="410"/>
        <v>0</v>
      </c>
      <c r="CR535" s="8">
        <f t="shared" si="411"/>
        <v>0</v>
      </c>
      <c r="CS535" s="8">
        <f t="shared" si="412"/>
        <v>0</v>
      </c>
      <c r="CT535" s="8">
        <f t="shared" si="417"/>
        <v>0</v>
      </c>
      <c r="CU535" s="8">
        <f t="shared" si="418"/>
        <v>0</v>
      </c>
      <c r="CV535" s="8">
        <f t="shared" si="419"/>
        <v>0</v>
      </c>
    </row>
    <row r="536" spans="1:100" ht="20.5" thickTop="1" thickBot="1" x14ac:dyDescent="0.5">
      <c r="A536" s="32"/>
      <c r="B536" s="10"/>
      <c r="C536" s="10"/>
      <c r="D536" s="11"/>
      <c r="E536" s="10"/>
      <c r="F536" s="10"/>
      <c r="G536" s="19"/>
      <c r="H536" s="19"/>
      <c r="I536" s="19"/>
      <c r="J536" s="19"/>
      <c r="K536" s="10"/>
      <c r="L536" s="10"/>
      <c r="M536" s="10"/>
      <c r="N536" s="10"/>
      <c r="O536" s="18"/>
      <c r="P536" s="18"/>
      <c r="Q536" s="21"/>
      <c r="R536" s="20"/>
      <c r="S536" s="16">
        <f t="shared" si="375"/>
        <v>0</v>
      </c>
      <c r="T536" s="11"/>
      <c r="AS536" s="31">
        <f t="shared" si="376"/>
        <v>0</v>
      </c>
      <c r="AT536" s="31">
        <f t="shared" si="377"/>
        <v>0</v>
      </c>
      <c r="AU536" s="31">
        <f t="shared" si="378"/>
        <v>0</v>
      </c>
      <c r="AV536" s="31">
        <f t="shared" si="379"/>
        <v>0</v>
      </c>
      <c r="AW536" s="31">
        <f t="shared" si="380"/>
        <v>0</v>
      </c>
      <c r="AX536" s="31">
        <f t="shared" si="381"/>
        <v>0</v>
      </c>
      <c r="AY536" s="31">
        <f t="shared" si="382"/>
        <v>0</v>
      </c>
      <c r="AZ536" s="31">
        <f t="shared" si="383"/>
        <v>0</v>
      </c>
      <c r="BA536" s="31">
        <f t="shared" si="384"/>
        <v>0</v>
      </c>
      <c r="BB536" s="31">
        <f t="shared" si="413"/>
        <v>0</v>
      </c>
      <c r="BM536" s="8">
        <f t="shared" si="414"/>
        <v>0</v>
      </c>
      <c r="BN536" s="8">
        <f t="shared" si="385"/>
        <v>0</v>
      </c>
      <c r="BO536" s="8">
        <f t="shared" si="386"/>
        <v>0</v>
      </c>
      <c r="BQ536" s="8">
        <f t="shared" si="387"/>
        <v>0</v>
      </c>
      <c r="BR536" s="63">
        <f t="shared" si="388"/>
        <v>0</v>
      </c>
      <c r="BS536" s="63">
        <f t="shared" si="415"/>
        <v>0</v>
      </c>
      <c r="BT536" s="63">
        <f t="shared" si="389"/>
        <v>0</v>
      </c>
      <c r="BU536" s="63">
        <f t="shared" si="390"/>
        <v>0</v>
      </c>
      <c r="BV536" s="57">
        <f t="shared" si="391"/>
        <v>0</v>
      </c>
      <c r="BW536" s="57">
        <f t="shared" si="392"/>
        <v>0</v>
      </c>
      <c r="BX536" s="57">
        <f t="shared" si="416"/>
        <v>0</v>
      </c>
      <c r="BY536" s="57">
        <f t="shared" si="374"/>
        <v>0</v>
      </c>
      <c r="BZ536" s="8">
        <f t="shared" si="393"/>
        <v>0</v>
      </c>
      <c r="CA536" s="8">
        <f t="shared" si="394"/>
        <v>0</v>
      </c>
      <c r="CB536" s="8">
        <f t="shared" si="395"/>
        <v>0</v>
      </c>
      <c r="CC536" s="8">
        <f t="shared" si="396"/>
        <v>0</v>
      </c>
      <c r="CD536" s="8">
        <f t="shared" si="397"/>
        <v>0</v>
      </c>
      <c r="CE536" s="8">
        <f t="shared" si="398"/>
        <v>0</v>
      </c>
      <c r="CF536" s="8">
        <f t="shared" si="399"/>
        <v>0</v>
      </c>
      <c r="CG536" s="8">
        <f t="shared" si="400"/>
        <v>0</v>
      </c>
      <c r="CH536" s="8">
        <f t="shared" si="401"/>
        <v>0</v>
      </c>
      <c r="CI536" s="8">
        <f t="shared" si="402"/>
        <v>0</v>
      </c>
      <c r="CJ536" s="8">
        <f t="shared" si="403"/>
        <v>0</v>
      </c>
      <c r="CK536" s="8">
        <f t="shared" si="404"/>
        <v>0</v>
      </c>
      <c r="CL536" s="8">
        <f t="shared" si="405"/>
        <v>0</v>
      </c>
      <c r="CM536" s="8">
        <f t="shared" si="406"/>
        <v>0</v>
      </c>
      <c r="CN536" s="8">
        <f t="shared" si="407"/>
        <v>0</v>
      </c>
      <c r="CO536" s="8">
        <f t="shared" si="408"/>
        <v>0</v>
      </c>
      <c r="CP536" s="8">
        <f t="shared" si="409"/>
        <v>0</v>
      </c>
      <c r="CQ536" s="8">
        <f t="shared" si="410"/>
        <v>0</v>
      </c>
      <c r="CR536" s="8">
        <f t="shared" si="411"/>
        <v>0</v>
      </c>
      <c r="CS536" s="8">
        <f t="shared" si="412"/>
        <v>0</v>
      </c>
      <c r="CT536" s="8">
        <f t="shared" si="417"/>
        <v>0</v>
      </c>
      <c r="CU536" s="8">
        <f t="shared" si="418"/>
        <v>0</v>
      </c>
      <c r="CV536" s="8">
        <f t="shared" si="419"/>
        <v>0</v>
      </c>
    </row>
    <row r="537" spans="1:100" ht="20.5" thickTop="1" thickBot="1" x14ac:dyDescent="0.5">
      <c r="A537" s="32"/>
      <c r="B537" s="10"/>
      <c r="C537" s="10"/>
      <c r="D537" s="11"/>
      <c r="E537" s="10"/>
      <c r="F537" s="10"/>
      <c r="G537" s="19"/>
      <c r="H537" s="19"/>
      <c r="I537" s="19"/>
      <c r="J537" s="19"/>
      <c r="K537" s="10"/>
      <c r="L537" s="10"/>
      <c r="M537" s="10"/>
      <c r="N537" s="10"/>
      <c r="O537" s="18"/>
      <c r="P537" s="18"/>
      <c r="Q537" s="21"/>
      <c r="R537" s="20"/>
      <c r="S537" s="16">
        <f t="shared" si="375"/>
        <v>0</v>
      </c>
      <c r="T537" s="11"/>
      <c r="AS537" s="31">
        <f t="shared" si="376"/>
        <v>0</v>
      </c>
      <c r="AT537" s="31">
        <f t="shared" si="377"/>
        <v>0</v>
      </c>
      <c r="AU537" s="31">
        <f t="shared" si="378"/>
        <v>0</v>
      </c>
      <c r="AV537" s="31">
        <f t="shared" si="379"/>
        <v>0</v>
      </c>
      <c r="AW537" s="31">
        <f t="shared" si="380"/>
        <v>0</v>
      </c>
      <c r="AX537" s="31">
        <f t="shared" si="381"/>
        <v>0</v>
      </c>
      <c r="AY537" s="31">
        <f t="shared" si="382"/>
        <v>0</v>
      </c>
      <c r="AZ537" s="31">
        <f t="shared" si="383"/>
        <v>0</v>
      </c>
      <c r="BA537" s="31">
        <f t="shared" si="384"/>
        <v>0</v>
      </c>
      <c r="BB537" s="31">
        <f t="shared" si="413"/>
        <v>0</v>
      </c>
      <c r="BM537" s="8">
        <f t="shared" si="414"/>
        <v>0</v>
      </c>
      <c r="BN537" s="8">
        <f t="shared" si="385"/>
        <v>0</v>
      </c>
      <c r="BO537" s="8">
        <f t="shared" si="386"/>
        <v>0</v>
      </c>
      <c r="BQ537" s="8">
        <f t="shared" si="387"/>
        <v>0</v>
      </c>
      <c r="BR537" s="63">
        <f t="shared" si="388"/>
        <v>0</v>
      </c>
      <c r="BS537" s="63">
        <f t="shared" si="415"/>
        <v>0</v>
      </c>
      <c r="BT537" s="63">
        <f t="shared" si="389"/>
        <v>0</v>
      </c>
      <c r="BU537" s="63">
        <f t="shared" si="390"/>
        <v>0</v>
      </c>
      <c r="BV537" s="57">
        <f t="shared" si="391"/>
        <v>0</v>
      </c>
      <c r="BW537" s="57">
        <f t="shared" si="392"/>
        <v>0</v>
      </c>
      <c r="BX537" s="57">
        <f t="shared" si="416"/>
        <v>0</v>
      </c>
      <c r="BY537" s="57">
        <f t="shared" si="374"/>
        <v>0</v>
      </c>
      <c r="BZ537" s="8">
        <f t="shared" si="393"/>
        <v>0</v>
      </c>
      <c r="CA537" s="8">
        <f t="shared" si="394"/>
        <v>0</v>
      </c>
      <c r="CB537" s="8">
        <f t="shared" si="395"/>
        <v>0</v>
      </c>
      <c r="CC537" s="8">
        <f t="shared" si="396"/>
        <v>0</v>
      </c>
      <c r="CD537" s="8">
        <f t="shared" si="397"/>
        <v>0</v>
      </c>
      <c r="CE537" s="8">
        <f t="shared" si="398"/>
        <v>0</v>
      </c>
      <c r="CF537" s="8">
        <f t="shared" si="399"/>
        <v>0</v>
      </c>
      <c r="CG537" s="8">
        <f t="shared" si="400"/>
        <v>0</v>
      </c>
      <c r="CH537" s="8">
        <f t="shared" si="401"/>
        <v>0</v>
      </c>
      <c r="CI537" s="8">
        <f t="shared" si="402"/>
        <v>0</v>
      </c>
      <c r="CJ537" s="8">
        <f t="shared" si="403"/>
        <v>0</v>
      </c>
      <c r="CK537" s="8">
        <f t="shared" si="404"/>
        <v>0</v>
      </c>
      <c r="CL537" s="8">
        <f t="shared" si="405"/>
        <v>0</v>
      </c>
      <c r="CM537" s="8">
        <f t="shared" si="406"/>
        <v>0</v>
      </c>
      <c r="CN537" s="8">
        <f t="shared" si="407"/>
        <v>0</v>
      </c>
      <c r="CO537" s="8">
        <f t="shared" si="408"/>
        <v>0</v>
      </c>
      <c r="CP537" s="8">
        <f t="shared" si="409"/>
        <v>0</v>
      </c>
      <c r="CQ537" s="8">
        <f t="shared" si="410"/>
        <v>0</v>
      </c>
      <c r="CR537" s="8">
        <f t="shared" si="411"/>
        <v>0</v>
      </c>
      <c r="CS537" s="8">
        <f t="shared" si="412"/>
        <v>0</v>
      </c>
      <c r="CT537" s="8">
        <f t="shared" si="417"/>
        <v>0</v>
      </c>
      <c r="CU537" s="8">
        <f t="shared" si="418"/>
        <v>0</v>
      </c>
      <c r="CV537" s="8">
        <f t="shared" si="419"/>
        <v>0</v>
      </c>
    </row>
    <row r="538" spans="1:100" ht="20.5" thickTop="1" thickBot="1" x14ac:dyDescent="0.5">
      <c r="A538" s="32"/>
      <c r="B538" s="10"/>
      <c r="C538" s="10"/>
      <c r="D538" s="11"/>
      <c r="E538" s="10"/>
      <c r="F538" s="10"/>
      <c r="G538" s="19"/>
      <c r="H538" s="19"/>
      <c r="I538" s="19"/>
      <c r="J538" s="19"/>
      <c r="K538" s="10"/>
      <c r="L538" s="10"/>
      <c r="M538" s="10"/>
      <c r="N538" s="10"/>
      <c r="O538" s="18"/>
      <c r="P538" s="18"/>
      <c r="Q538" s="21"/>
      <c r="R538" s="20"/>
      <c r="S538" s="16">
        <f t="shared" si="375"/>
        <v>0</v>
      </c>
      <c r="T538" s="11"/>
      <c r="AS538" s="31">
        <f t="shared" si="376"/>
        <v>0</v>
      </c>
      <c r="AT538" s="31">
        <f t="shared" si="377"/>
        <v>0</v>
      </c>
      <c r="AU538" s="31">
        <f t="shared" si="378"/>
        <v>0</v>
      </c>
      <c r="AV538" s="31">
        <f t="shared" si="379"/>
        <v>0</v>
      </c>
      <c r="AW538" s="31">
        <f t="shared" si="380"/>
        <v>0</v>
      </c>
      <c r="AX538" s="31">
        <f t="shared" si="381"/>
        <v>0</v>
      </c>
      <c r="AY538" s="31">
        <f t="shared" si="382"/>
        <v>0</v>
      </c>
      <c r="AZ538" s="31">
        <f t="shared" si="383"/>
        <v>0</v>
      </c>
      <c r="BA538" s="31">
        <f t="shared" si="384"/>
        <v>0</v>
      </c>
      <c r="BB538" s="31">
        <f t="shared" si="413"/>
        <v>0</v>
      </c>
      <c r="BM538" s="8">
        <f t="shared" si="414"/>
        <v>0</v>
      </c>
      <c r="BN538" s="8">
        <f t="shared" si="385"/>
        <v>0</v>
      </c>
      <c r="BO538" s="8">
        <f t="shared" si="386"/>
        <v>0</v>
      </c>
      <c r="BQ538" s="8">
        <f t="shared" si="387"/>
        <v>0</v>
      </c>
      <c r="BR538" s="63">
        <f t="shared" si="388"/>
        <v>0</v>
      </c>
      <c r="BS538" s="63">
        <f t="shared" si="415"/>
        <v>0</v>
      </c>
      <c r="BT538" s="63">
        <f t="shared" si="389"/>
        <v>0</v>
      </c>
      <c r="BU538" s="63">
        <f t="shared" si="390"/>
        <v>0</v>
      </c>
      <c r="BV538" s="57">
        <f t="shared" si="391"/>
        <v>0</v>
      </c>
      <c r="BW538" s="57">
        <f t="shared" si="392"/>
        <v>0</v>
      </c>
      <c r="BX538" s="57">
        <f t="shared" si="416"/>
        <v>0</v>
      </c>
      <c r="BY538" s="57">
        <f t="shared" si="374"/>
        <v>0</v>
      </c>
      <c r="BZ538" s="8">
        <f t="shared" si="393"/>
        <v>0</v>
      </c>
      <c r="CA538" s="8">
        <f t="shared" si="394"/>
        <v>0</v>
      </c>
      <c r="CB538" s="8">
        <f t="shared" si="395"/>
        <v>0</v>
      </c>
      <c r="CC538" s="8">
        <f t="shared" si="396"/>
        <v>0</v>
      </c>
      <c r="CD538" s="8">
        <f t="shared" si="397"/>
        <v>0</v>
      </c>
      <c r="CE538" s="8">
        <f t="shared" si="398"/>
        <v>0</v>
      </c>
      <c r="CF538" s="8">
        <f t="shared" si="399"/>
        <v>0</v>
      </c>
      <c r="CG538" s="8">
        <f t="shared" si="400"/>
        <v>0</v>
      </c>
      <c r="CH538" s="8">
        <f t="shared" si="401"/>
        <v>0</v>
      </c>
      <c r="CI538" s="8">
        <f t="shared" si="402"/>
        <v>0</v>
      </c>
      <c r="CJ538" s="8">
        <f t="shared" si="403"/>
        <v>0</v>
      </c>
      <c r="CK538" s="8">
        <f t="shared" si="404"/>
        <v>0</v>
      </c>
      <c r="CL538" s="8">
        <f t="shared" si="405"/>
        <v>0</v>
      </c>
      <c r="CM538" s="8">
        <f t="shared" si="406"/>
        <v>0</v>
      </c>
      <c r="CN538" s="8">
        <f t="shared" si="407"/>
        <v>0</v>
      </c>
      <c r="CO538" s="8">
        <f t="shared" si="408"/>
        <v>0</v>
      </c>
      <c r="CP538" s="8">
        <f t="shared" si="409"/>
        <v>0</v>
      </c>
      <c r="CQ538" s="8">
        <f t="shared" si="410"/>
        <v>0</v>
      </c>
      <c r="CR538" s="8">
        <f t="shared" si="411"/>
        <v>0</v>
      </c>
      <c r="CS538" s="8">
        <f t="shared" si="412"/>
        <v>0</v>
      </c>
      <c r="CT538" s="8">
        <f t="shared" si="417"/>
        <v>0</v>
      </c>
      <c r="CU538" s="8">
        <f t="shared" si="418"/>
        <v>0</v>
      </c>
      <c r="CV538" s="8">
        <f t="shared" si="419"/>
        <v>0</v>
      </c>
    </row>
    <row r="539" spans="1:100" ht="20.5" thickTop="1" thickBot="1" x14ac:dyDescent="0.5">
      <c r="A539" s="32"/>
      <c r="B539" s="10"/>
      <c r="C539" s="10"/>
      <c r="D539" s="11"/>
      <c r="E539" s="10"/>
      <c r="F539" s="10"/>
      <c r="G539" s="19"/>
      <c r="H539" s="19"/>
      <c r="I539" s="19"/>
      <c r="J539" s="19"/>
      <c r="K539" s="10"/>
      <c r="L539" s="10"/>
      <c r="M539" s="10"/>
      <c r="N539" s="10"/>
      <c r="O539" s="18"/>
      <c r="P539" s="18"/>
      <c r="Q539" s="21"/>
      <c r="R539" s="20"/>
      <c r="S539" s="16">
        <f t="shared" si="375"/>
        <v>0</v>
      </c>
      <c r="T539" s="11"/>
      <c r="AS539" s="31">
        <f t="shared" si="376"/>
        <v>0</v>
      </c>
      <c r="AT539" s="31">
        <f t="shared" si="377"/>
        <v>0</v>
      </c>
      <c r="AU539" s="31">
        <f t="shared" si="378"/>
        <v>0</v>
      </c>
      <c r="AV539" s="31">
        <f t="shared" si="379"/>
        <v>0</v>
      </c>
      <c r="AW539" s="31">
        <f t="shared" si="380"/>
        <v>0</v>
      </c>
      <c r="AX539" s="31">
        <f t="shared" si="381"/>
        <v>0</v>
      </c>
      <c r="AY539" s="31">
        <f t="shared" si="382"/>
        <v>0</v>
      </c>
      <c r="AZ539" s="31">
        <f t="shared" si="383"/>
        <v>0</v>
      </c>
      <c r="BA539" s="31">
        <f t="shared" si="384"/>
        <v>0</v>
      </c>
      <c r="BB539" s="31">
        <f t="shared" si="413"/>
        <v>0</v>
      </c>
      <c r="BM539" s="8">
        <f t="shared" si="414"/>
        <v>0</v>
      </c>
      <c r="BN539" s="8">
        <f t="shared" si="385"/>
        <v>0</v>
      </c>
      <c r="BO539" s="8">
        <f t="shared" si="386"/>
        <v>0</v>
      </c>
      <c r="BQ539" s="8">
        <f t="shared" si="387"/>
        <v>0</v>
      </c>
      <c r="BR539" s="63">
        <f t="shared" si="388"/>
        <v>0</v>
      </c>
      <c r="BS539" s="63">
        <f t="shared" si="415"/>
        <v>0</v>
      </c>
      <c r="BT539" s="63">
        <f t="shared" si="389"/>
        <v>0</v>
      </c>
      <c r="BU539" s="63">
        <f t="shared" si="390"/>
        <v>0</v>
      </c>
      <c r="BV539" s="57">
        <f t="shared" si="391"/>
        <v>0</v>
      </c>
      <c r="BW539" s="57">
        <f t="shared" si="392"/>
        <v>0</v>
      </c>
      <c r="BX539" s="57">
        <f t="shared" si="416"/>
        <v>0</v>
      </c>
      <c r="BY539" s="57">
        <f t="shared" si="374"/>
        <v>0</v>
      </c>
      <c r="BZ539" s="8">
        <f t="shared" si="393"/>
        <v>0</v>
      </c>
      <c r="CA539" s="8">
        <f t="shared" si="394"/>
        <v>0</v>
      </c>
      <c r="CB539" s="8">
        <f t="shared" si="395"/>
        <v>0</v>
      </c>
      <c r="CC539" s="8">
        <f t="shared" si="396"/>
        <v>0</v>
      </c>
      <c r="CD539" s="8">
        <f t="shared" si="397"/>
        <v>0</v>
      </c>
      <c r="CE539" s="8">
        <f t="shared" si="398"/>
        <v>0</v>
      </c>
      <c r="CF539" s="8">
        <f t="shared" si="399"/>
        <v>0</v>
      </c>
      <c r="CG539" s="8">
        <f t="shared" si="400"/>
        <v>0</v>
      </c>
      <c r="CH539" s="8">
        <f t="shared" si="401"/>
        <v>0</v>
      </c>
      <c r="CI539" s="8">
        <f t="shared" si="402"/>
        <v>0</v>
      </c>
      <c r="CJ539" s="8">
        <f t="shared" si="403"/>
        <v>0</v>
      </c>
      <c r="CK539" s="8">
        <f t="shared" si="404"/>
        <v>0</v>
      </c>
      <c r="CL539" s="8">
        <f t="shared" si="405"/>
        <v>0</v>
      </c>
      <c r="CM539" s="8">
        <f t="shared" si="406"/>
        <v>0</v>
      </c>
      <c r="CN539" s="8">
        <f t="shared" si="407"/>
        <v>0</v>
      </c>
      <c r="CO539" s="8">
        <f t="shared" si="408"/>
        <v>0</v>
      </c>
      <c r="CP539" s="8">
        <f t="shared" si="409"/>
        <v>0</v>
      </c>
      <c r="CQ539" s="8">
        <f t="shared" si="410"/>
        <v>0</v>
      </c>
      <c r="CR539" s="8">
        <f t="shared" si="411"/>
        <v>0</v>
      </c>
      <c r="CS539" s="8">
        <f t="shared" si="412"/>
        <v>0</v>
      </c>
      <c r="CT539" s="8">
        <f t="shared" si="417"/>
        <v>0</v>
      </c>
      <c r="CU539" s="8">
        <f t="shared" si="418"/>
        <v>0</v>
      </c>
      <c r="CV539" s="8">
        <f t="shared" si="419"/>
        <v>0</v>
      </c>
    </row>
    <row r="540" spans="1:100" ht="20.5" thickTop="1" thickBot="1" x14ac:dyDescent="0.5">
      <c r="A540" s="32"/>
      <c r="B540" s="10"/>
      <c r="C540" s="10"/>
      <c r="D540" s="11"/>
      <c r="E540" s="10"/>
      <c r="F540" s="10"/>
      <c r="G540" s="19"/>
      <c r="H540" s="19"/>
      <c r="I540" s="19"/>
      <c r="J540" s="19"/>
      <c r="K540" s="10"/>
      <c r="L540" s="10"/>
      <c r="M540" s="10"/>
      <c r="N540" s="10"/>
      <c r="O540" s="18"/>
      <c r="P540" s="18"/>
      <c r="Q540" s="21"/>
      <c r="R540" s="20"/>
      <c r="S540" s="16">
        <f t="shared" si="375"/>
        <v>0</v>
      </c>
      <c r="T540" s="11"/>
      <c r="AS540" s="31">
        <f t="shared" si="376"/>
        <v>0</v>
      </c>
      <c r="AT540" s="31">
        <f t="shared" si="377"/>
        <v>0</v>
      </c>
      <c r="AU540" s="31">
        <f t="shared" si="378"/>
        <v>0</v>
      </c>
      <c r="AV540" s="31">
        <f t="shared" si="379"/>
        <v>0</v>
      </c>
      <c r="AW540" s="31">
        <f t="shared" si="380"/>
        <v>0</v>
      </c>
      <c r="AX540" s="31">
        <f t="shared" si="381"/>
        <v>0</v>
      </c>
      <c r="AY540" s="31">
        <f t="shared" si="382"/>
        <v>0</v>
      </c>
      <c r="AZ540" s="31">
        <f t="shared" si="383"/>
        <v>0</v>
      </c>
      <c r="BA540" s="31">
        <f t="shared" si="384"/>
        <v>0</v>
      </c>
      <c r="BB540" s="31">
        <f t="shared" si="413"/>
        <v>0</v>
      </c>
      <c r="BM540" s="8">
        <f t="shared" si="414"/>
        <v>0</v>
      </c>
      <c r="BN540" s="8">
        <f t="shared" si="385"/>
        <v>0</v>
      </c>
      <c r="BO540" s="8">
        <f t="shared" si="386"/>
        <v>0</v>
      </c>
      <c r="BQ540" s="8">
        <f t="shared" si="387"/>
        <v>0</v>
      </c>
      <c r="BR540" s="63">
        <f t="shared" si="388"/>
        <v>0</v>
      </c>
      <c r="BS540" s="63">
        <f t="shared" si="415"/>
        <v>0</v>
      </c>
      <c r="BT540" s="63">
        <f t="shared" si="389"/>
        <v>0</v>
      </c>
      <c r="BU540" s="63">
        <f t="shared" si="390"/>
        <v>0</v>
      </c>
      <c r="BV540" s="57">
        <f t="shared" si="391"/>
        <v>0</v>
      </c>
      <c r="BW540" s="57">
        <f t="shared" si="392"/>
        <v>0</v>
      </c>
      <c r="BX540" s="57">
        <f t="shared" si="416"/>
        <v>0</v>
      </c>
      <c r="BY540" s="57">
        <f t="shared" si="374"/>
        <v>0</v>
      </c>
      <c r="BZ540" s="8">
        <f t="shared" si="393"/>
        <v>0</v>
      </c>
      <c r="CA540" s="8">
        <f t="shared" si="394"/>
        <v>0</v>
      </c>
      <c r="CB540" s="8">
        <f t="shared" si="395"/>
        <v>0</v>
      </c>
      <c r="CC540" s="8">
        <f t="shared" si="396"/>
        <v>0</v>
      </c>
      <c r="CD540" s="8">
        <f t="shared" si="397"/>
        <v>0</v>
      </c>
      <c r="CE540" s="8">
        <f t="shared" si="398"/>
        <v>0</v>
      </c>
      <c r="CF540" s="8">
        <f t="shared" si="399"/>
        <v>0</v>
      </c>
      <c r="CG540" s="8">
        <f t="shared" si="400"/>
        <v>0</v>
      </c>
      <c r="CH540" s="8">
        <f t="shared" si="401"/>
        <v>0</v>
      </c>
      <c r="CI540" s="8">
        <f t="shared" si="402"/>
        <v>0</v>
      </c>
      <c r="CJ540" s="8">
        <f t="shared" si="403"/>
        <v>0</v>
      </c>
      <c r="CK540" s="8">
        <f t="shared" si="404"/>
        <v>0</v>
      </c>
      <c r="CL540" s="8">
        <f t="shared" si="405"/>
        <v>0</v>
      </c>
      <c r="CM540" s="8">
        <f t="shared" si="406"/>
        <v>0</v>
      </c>
      <c r="CN540" s="8">
        <f t="shared" si="407"/>
        <v>0</v>
      </c>
      <c r="CO540" s="8">
        <f t="shared" si="408"/>
        <v>0</v>
      </c>
      <c r="CP540" s="8">
        <f t="shared" si="409"/>
        <v>0</v>
      </c>
      <c r="CQ540" s="8">
        <f t="shared" si="410"/>
        <v>0</v>
      </c>
      <c r="CR540" s="8">
        <f t="shared" si="411"/>
        <v>0</v>
      </c>
      <c r="CS540" s="8">
        <f t="shared" si="412"/>
        <v>0</v>
      </c>
      <c r="CT540" s="8">
        <f t="shared" si="417"/>
        <v>0</v>
      </c>
      <c r="CU540" s="8">
        <f t="shared" si="418"/>
        <v>0</v>
      </c>
      <c r="CV540" s="8">
        <f t="shared" si="419"/>
        <v>0</v>
      </c>
    </row>
    <row r="541" spans="1:100" ht="20.5" thickTop="1" thickBot="1" x14ac:dyDescent="0.5">
      <c r="A541" s="32"/>
      <c r="B541" s="10"/>
      <c r="C541" s="10"/>
      <c r="D541" s="11"/>
      <c r="E541" s="10"/>
      <c r="F541" s="10"/>
      <c r="G541" s="19"/>
      <c r="H541" s="19"/>
      <c r="I541" s="19"/>
      <c r="J541" s="19"/>
      <c r="K541" s="10"/>
      <c r="L541" s="10"/>
      <c r="M541" s="10"/>
      <c r="N541" s="10"/>
      <c r="O541" s="18"/>
      <c r="P541" s="18"/>
      <c r="Q541" s="21"/>
      <c r="R541" s="20"/>
      <c r="S541" s="16">
        <f t="shared" si="375"/>
        <v>0</v>
      </c>
      <c r="T541" s="11"/>
      <c r="AS541" s="31">
        <f t="shared" si="376"/>
        <v>0</v>
      </c>
      <c r="AT541" s="31">
        <f t="shared" si="377"/>
        <v>0</v>
      </c>
      <c r="AU541" s="31">
        <f t="shared" si="378"/>
        <v>0</v>
      </c>
      <c r="AV541" s="31">
        <f t="shared" si="379"/>
        <v>0</v>
      </c>
      <c r="AW541" s="31">
        <f t="shared" si="380"/>
        <v>0</v>
      </c>
      <c r="AX541" s="31">
        <f t="shared" si="381"/>
        <v>0</v>
      </c>
      <c r="AY541" s="31">
        <f t="shared" si="382"/>
        <v>0</v>
      </c>
      <c r="AZ541" s="31">
        <f t="shared" si="383"/>
        <v>0</v>
      </c>
      <c r="BA541" s="31">
        <f t="shared" si="384"/>
        <v>0</v>
      </c>
      <c r="BB541" s="31">
        <f t="shared" si="413"/>
        <v>0</v>
      </c>
      <c r="BM541" s="8">
        <f t="shared" si="414"/>
        <v>0</v>
      </c>
      <c r="BN541" s="8">
        <f t="shared" si="385"/>
        <v>0</v>
      </c>
      <c r="BO541" s="8">
        <f t="shared" si="386"/>
        <v>0</v>
      </c>
      <c r="BQ541" s="8">
        <f t="shared" si="387"/>
        <v>0</v>
      </c>
      <c r="BR541" s="63">
        <f t="shared" si="388"/>
        <v>0</v>
      </c>
      <c r="BS541" s="63">
        <f t="shared" si="415"/>
        <v>0</v>
      </c>
      <c r="BT541" s="63">
        <f t="shared" si="389"/>
        <v>0</v>
      </c>
      <c r="BU541" s="63">
        <f t="shared" si="390"/>
        <v>0</v>
      </c>
      <c r="BV541" s="57">
        <f t="shared" si="391"/>
        <v>0</v>
      </c>
      <c r="BW541" s="57">
        <f t="shared" si="392"/>
        <v>0</v>
      </c>
      <c r="BX541" s="57">
        <f t="shared" si="416"/>
        <v>0</v>
      </c>
      <c r="BY541" s="57">
        <f t="shared" ref="BY541:BY604" si="420">IF(AND(OR(N541="YES",N541="HDD",N541="EX PIPES"),K541=""),D541*(F541+G541),0)</f>
        <v>0</v>
      </c>
      <c r="BZ541" s="8">
        <f t="shared" si="393"/>
        <v>0</v>
      </c>
      <c r="CA541" s="8">
        <f t="shared" si="394"/>
        <v>0</v>
      </c>
      <c r="CB541" s="8">
        <f t="shared" si="395"/>
        <v>0</v>
      </c>
      <c r="CC541" s="8">
        <f t="shared" si="396"/>
        <v>0</v>
      </c>
      <c r="CD541" s="8">
        <f t="shared" si="397"/>
        <v>0</v>
      </c>
      <c r="CE541" s="8">
        <f t="shared" si="398"/>
        <v>0</v>
      </c>
      <c r="CF541" s="8">
        <f t="shared" si="399"/>
        <v>0</v>
      </c>
      <c r="CG541" s="8">
        <f t="shared" si="400"/>
        <v>0</v>
      </c>
      <c r="CH541" s="8">
        <f t="shared" si="401"/>
        <v>0</v>
      </c>
      <c r="CI541" s="8">
        <f t="shared" si="402"/>
        <v>0</v>
      </c>
      <c r="CJ541" s="8">
        <f t="shared" si="403"/>
        <v>0</v>
      </c>
      <c r="CK541" s="8">
        <f t="shared" si="404"/>
        <v>0</v>
      </c>
      <c r="CL541" s="8">
        <f t="shared" si="405"/>
        <v>0</v>
      </c>
      <c r="CM541" s="8">
        <f t="shared" si="406"/>
        <v>0</v>
      </c>
      <c r="CN541" s="8">
        <f t="shared" si="407"/>
        <v>0</v>
      </c>
      <c r="CO541" s="8">
        <f t="shared" si="408"/>
        <v>0</v>
      </c>
      <c r="CP541" s="8">
        <f t="shared" si="409"/>
        <v>0</v>
      </c>
      <c r="CQ541" s="8">
        <f t="shared" si="410"/>
        <v>0</v>
      </c>
      <c r="CR541" s="8">
        <f t="shared" si="411"/>
        <v>0</v>
      </c>
      <c r="CS541" s="8">
        <f t="shared" si="412"/>
        <v>0</v>
      </c>
      <c r="CT541" s="8">
        <f t="shared" si="417"/>
        <v>0</v>
      </c>
      <c r="CU541" s="8">
        <f t="shared" si="418"/>
        <v>0</v>
      </c>
      <c r="CV541" s="8">
        <f t="shared" si="419"/>
        <v>0</v>
      </c>
    </row>
    <row r="542" spans="1:100" ht="20.5" thickTop="1" thickBot="1" x14ac:dyDescent="0.5">
      <c r="A542" s="32"/>
      <c r="B542" s="10"/>
      <c r="C542" s="10"/>
      <c r="D542" s="11"/>
      <c r="E542" s="10"/>
      <c r="F542" s="10"/>
      <c r="G542" s="19"/>
      <c r="H542" s="19"/>
      <c r="I542" s="19"/>
      <c r="J542" s="19"/>
      <c r="K542" s="10"/>
      <c r="L542" s="10"/>
      <c r="M542" s="10"/>
      <c r="N542" s="10"/>
      <c r="O542" s="18"/>
      <c r="P542" s="18"/>
      <c r="Q542" s="21"/>
      <c r="R542" s="20"/>
      <c r="S542" s="16">
        <f t="shared" si="375"/>
        <v>0</v>
      </c>
      <c r="T542" s="11"/>
      <c r="AS542" s="31">
        <f t="shared" si="376"/>
        <v>0</v>
      </c>
      <c r="AT542" s="31">
        <f t="shared" si="377"/>
        <v>0</v>
      </c>
      <c r="AU542" s="31">
        <f t="shared" si="378"/>
        <v>0</v>
      </c>
      <c r="AV542" s="31">
        <f t="shared" si="379"/>
        <v>0</v>
      </c>
      <c r="AW542" s="31">
        <f t="shared" si="380"/>
        <v>0</v>
      </c>
      <c r="AX542" s="31">
        <f t="shared" si="381"/>
        <v>0</v>
      </c>
      <c r="AY542" s="31">
        <f t="shared" si="382"/>
        <v>0</v>
      </c>
      <c r="AZ542" s="31">
        <f t="shared" si="383"/>
        <v>0</v>
      </c>
      <c r="BA542" s="31">
        <f t="shared" si="384"/>
        <v>0</v>
      </c>
      <c r="BB542" s="31">
        <f t="shared" si="413"/>
        <v>0</v>
      </c>
      <c r="BM542" s="8">
        <f t="shared" si="414"/>
        <v>0</v>
      </c>
      <c r="BN542" s="8">
        <f t="shared" si="385"/>
        <v>0</v>
      </c>
      <c r="BO542" s="8">
        <f t="shared" si="386"/>
        <v>0</v>
      </c>
      <c r="BQ542" s="8">
        <f t="shared" si="387"/>
        <v>0</v>
      </c>
      <c r="BR542" s="63">
        <f t="shared" si="388"/>
        <v>0</v>
      </c>
      <c r="BS542" s="63">
        <f t="shared" si="415"/>
        <v>0</v>
      </c>
      <c r="BT542" s="63">
        <f t="shared" si="389"/>
        <v>0</v>
      </c>
      <c r="BU542" s="63">
        <f t="shared" si="390"/>
        <v>0</v>
      </c>
      <c r="BV542" s="57">
        <f t="shared" si="391"/>
        <v>0</v>
      </c>
      <c r="BW542" s="57">
        <f t="shared" si="392"/>
        <v>0</v>
      </c>
      <c r="BX542" s="57">
        <f t="shared" si="416"/>
        <v>0</v>
      </c>
      <c r="BY542" s="57">
        <f t="shared" si="420"/>
        <v>0</v>
      </c>
      <c r="BZ542" s="8">
        <f t="shared" si="393"/>
        <v>0</v>
      </c>
      <c r="CA542" s="8">
        <f t="shared" si="394"/>
        <v>0</v>
      </c>
      <c r="CB542" s="8">
        <f t="shared" si="395"/>
        <v>0</v>
      </c>
      <c r="CC542" s="8">
        <f t="shared" si="396"/>
        <v>0</v>
      </c>
      <c r="CD542" s="8">
        <f t="shared" si="397"/>
        <v>0</v>
      </c>
      <c r="CE542" s="8">
        <f t="shared" si="398"/>
        <v>0</v>
      </c>
      <c r="CF542" s="8">
        <f t="shared" si="399"/>
        <v>0</v>
      </c>
      <c r="CG542" s="8">
        <f t="shared" si="400"/>
        <v>0</v>
      </c>
      <c r="CH542" s="8">
        <f t="shared" si="401"/>
        <v>0</v>
      </c>
      <c r="CI542" s="8">
        <f t="shared" si="402"/>
        <v>0</v>
      </c>
      <c r="CJ542" s="8">
        <f t="shared" si="403"/>
        <v>0</v>
      </c>
      <c r="CK542" s="8">
        <f t="shared" si="404"/>
        <v>0</v>
      </c>
      <c r="CL542" s="8">
        <f t="shared" si="405"/>
        <v>0</v>
      </c>
      <c r="CM542" s="8">
        <f t="shared" si="406"/>
        <v>0</v>
      </c>
      <c r="CN542" s="8">
        <f t="shared" si="407"/>
        <v>0</v>
      </c>
      <c r="CO542" s="8">
        <f t="shared" si="408"/>
        <v>0</v>
      </c>
      <c r="CP542" s="8">
        <f t="shared" si="409"/>
        <v>0</v>
      </c>
      <c r="CQ542" s="8">
        <f t="shared" si="410"/>
        <v>0</v>
      </c>
      <c r="CR542" s="8">
        <f t="shared" si="411"/>
        <v>0</v>
      </c>
      <c r="CS542" s="8">
        <f t="shared" si="412"/>
        <v>0</v>
      </c>
      <c r="CT542" s="8">
        <f t="shared" si="417"/>
        <v>0</v>
      </c>
      <c r="CU542" s="8">
        <f t="shared" si="418"/>
        <v>0</v>
      </c>
      <c r="CV542" s="8">
        <f t="shared" si="419"/>
        <v>0</v>
      </c>
    </row>
    <row r="543" spans="1:100" ht="20.5" thickTop="1" thickBot="1" x14ac:dyDescent="0.5">
      <c r="A543" s="32"/>
      <c r="B543" s="10"/>
      <c r="C543" s="10"/>
      <c r="D543" s="11"/>
      <c r="E543" s="10"/>
      <c r="F543" s="10"/>
      <c r="G543" s="19"/>
      <c r="H543" s="19"/>
      <c r="I543" s="19"/>
      <c r="J543" s="19"/>
      <c r="K543" s="10"/>
      <c r="L543" s="10"/>
      <c r="M543" s="10"/>
      <c r="N543" s="10"/>
      <c r="O543" s="18"/>
      <c r="P543" s="18"/>
      <c r="Q543" s="21"/>
      <c r="R543" s="20"/>
      <c r="S543" s="16">
        <f t="shared" si="375"/>
        <v>0</v>
      </c>
      <c r="T543" s="11"/>
      <c r="AS543" s="31">
        <f t="shared" si="376"/>
        <v>0</v>
      </c>
      <c r="AT543" s="31">
        <f t="shared" si="377"/>
        <v>0</v>
      </c>
      <c r="AU543" s="31">
        <f t="shared" si="378"/>
        <v>0</v>
      </c>
      <c r="AV543" s="31">
        <f t="shared" si="379"/>
        <v>0</v>
      </c>
      <c r="AW543" s="31">
        <f t="shared" si="380"/>
        <v>0</v>
      </c>
      <c r="AX543" s="31">
        <f t="shared" si="381"/>
        <v>0</v>
      </c>
      <c r="AY543" s="31">
        <f t="shared" si="382"/>
        <v>0</v>
      </c>
      <c r="AZ543" s="31">
        <f t="shared" si="383"/>
        <v>0</v>
      </c>
      <c r="BA543" s="31">
        <f t="shared" si="384"/>
        <v>0</v>
      </c>
      <c r="BB543" s="31">
        <f t="shared" si="413"/>
        <v>0</v>
      </c>
      <c r="BM543" s="8">
        <f t="shared" si="414"/>
        <v>0</v>
      </c>
      <c r="BN543" s="8">
        <f t="shared" si="385"/>
        <v>0</v>
      </c>
      <c r="BO543" s="8">
        <f t="shared" si="386"/>
        <v>0</v>
      </c>
      <c r="BQ543" s="8">
        <f t="shared" si="387"/>
        <v>0</v>
      </c>
      <c r="BR543" s="63">
        <f t="shared" si="388"/>
        <v>0</v>
      </c>
      <c r="BS543" s="63">
        <f t="shared" si="415"/>
        <v>0</v>
      </c>
      <c r="BT543" s="63">
        <f t="shared" si="389"/>
        <v>0</v>
      </c>
      <c r="BU543" s="63">
        <f t="shared" si="390"/>
        <v>0</v>
      </c>
      <c r="BV543" s="57">
        <f t="shared" si="391"/>
        <v>0</v>
      </c>
      <c r="BW543" s="57">
        <f t="shared" si="392"/>
        <v>0</v>
      </c>
      <c r="BX543" s="57">
        <f t="shared" si="416"/>
        <v>0</v>
      </c>
      <c r="BY543" s="57">
        <f t="shared" si="420"/>
        <v>0</v>
      </c>
      <c r="BZ543" s="8">
        <f t="shared" si="393"/>
        <v>0</v>
      </c>
      <c r="CA543" s="8">
        <f t="shared" si="394"/>
        <v>0</v>
      </c>
      <c r="CB543" s="8">
        <f t="shared" si="395"/>
        <v>0</v>
      </c>
      <c r="CC543" s="8">
        <f t="shared" si="396"/>
        <v>0</v>
      </c>
      <c r="CD543" s="8">
        <f t="shared" si="397"/>
        <v>0</v>
      </c>
      <c r="CE543" s="8">
        <f t="shared" si="398"/>
        <v>0</v>
      </c>
      <c r="CF543" s="8">
        <f t="shared" si="399"/>
        <v>0</v>
      </c>
      <c r="CG543" s="8">
        <f t="shared" si="400"/>
        <v>0</v>
      </c>
      <c r="CH543" s="8">
        <f t="shared" si="401"/>
        <v>0</v>
      </c>
      <c r="CI543" s="8">
        <f t="shared" si="402"/>
        <v>0</v>
      </c>
      <c r="CJ543" s="8">
        <f t="shared" si="403"/>
        <v>0</v>
      </c>
      <c r="CK543" s="8">
        <f t="shared" si="404"/>
        <v>0</v>
      </c>
      <c r="CL543" s="8">
        <f t="shared" si="405"/>
        <v>0</v>
      </c>
      <c r="CM543" s="8">
        <f t="shared" si="406"/>
        <v>0</v>
      </c>
      <c r="CN543" s="8">
        <f t="shared" si="407"/>
        <v>0</v>
      </c>
      <c r="CO543" s="8">
        <f t="shared" si="408"/>
        <v>0</v>
      </c>
      <c r="CP543" s="8">
        <f t="shared" si="409"/>
        <v>0</v>
      </c>
      <c r="CQ543" s="8">
        <f t="shared" si="410"/>
        <v>0</v>
      </c>
      <c r="CR543" s="8">
        <f t="shared" si="411"/>
        <v>0</v>
      </c>
      <c r="CS543" s="8">
        <f t="shared" si="412"/>
        <v>0</v>
      </c>
      <c r="CT543" s="8">
        <f t="shared" si="417"/>
        <v>0</v>
      </c>
      <c r="CU543" s="8">
        <f t="shared" si="418"/>
        <v>0</v>
      </c>
      <c r="CV543" s="8">
        <f t="shared" si="419"/>
        <v>0</v>
      </c>
    </row>
    <row r="544" spans="1:100" ht="20.5" thickTop="1" thickBot="1" x14ac:dyDescent="0.5">
      <c r="A544" s="32"/>
      <c r="B544" s="10"/>
      <c r="C544" s="10"/>
      <c r="D544" s="11"/>
      <c r="E544" s="10"/>
      <c r="F544" s="10"/>
      <c r="G544" s="19"/>
      <c r="H544" s="19"/>
      <c r="I544" s="19"/>
      <c r="J544" s="19"/>
      <c r="K544" s="10"/>
      <c r="L544" s="10"/>
      <c r="M544" s="10"/>
      <c r="N544" s="10"/>
      <c r="O544" s="18"/>
      <c r="P544" s="18"/>
      <c r="Q544" s="21"/>
      <c r="R544" s="20"/>
      <c r="S544" s="16">
        <f t="shared" si="375"/>
        <v>0</v>
      </c>
      <c r="T544" s="11"/>
      <c r="AS544" s="31">
        <f t="shared" si="376"/>
        <v>0</v>
      </c>
      <c r="AT544" s="31">
        <f t="shared" si="377"/>
        <v>0</v>
      </c>
      <c r="AU544" s="31">
        <f t="shared" si="378"/>
        <v>0</v>
      </c>
      <c r="AV544" s="31">
        <f t="shared" si="379"/>
        <v>0</v>
      </c>
      <c r="AW544" s="31">
        <f t="shared" si="380"/>
        <v>0</v>
      </c>
      <c r="AX544" s="31">
        <f t="shared" si="381"/>
        <v>0</v>
      </c>
      <c r="AY544" s="31">
        <f t="shared" si="382"/>
        <v>0</v>
      </c>
      <c r="AZ544" s="31">
        <f t="shared" si="383"/>
        <v>0</v>
      </c>
      <c r="BA544" s="31">
        <f t="shared" si="384"/>
        <v>0</v>
      </c>
      <c r="BB544" s="31">
        <f t="shared" si="413"/>
        <v>0</v>
      </c>
      <c r="BM544" s="8">
        <f t="shared" si="414"/>
        <v>0</v>
      </c>
      <c r="BN544" s="8">
        <f t="shared" si="385"/>
        <v>0</v>
      </c>
      <c r="BO544" s="8">
        <f t="shared" si="386"/>
        <v>0</v>
      </c>
      <c r="BQ544" s="8">
        <f t="shared" si="387"/>
        <v>0</v>
      </c>
      <c r="BR544" s="63">
        <f t="shared" si="388"/>
        <v>0</v>
      </c>
      <c r="BS544" s="63">
        <f t="shared" si="415"/>
        <v>0</v>
      </c>
      <c r="BT544" s="63">
        <f t="shared" si="389"/>
        <v>0</v>
      </c>
      <c r="BU544" s="63">
        <f t="shared" si="390"/>
        <v>0</v>
      </c>
      <c r="BV544" s="57">
        <f t="shared" si="391"/>
        <v>0</v>
      </c>
      <c r="BW544" s="57">
        <f t="shared" si="392"/>
        <v>0</v>
      </c>
      <c r="BX544" s="57">
        <f t="shared" si="416"/>
        <v>0</v>
      </c>
      <c r="BY544" s="57">
        <f t="shared" si="420"/>
        <v>0</v>
      </c>
      <c r="BZ544" s="8">
        <f t="shared" si="393"/>
        <v>0</v>
      </c>
      <c r="CA544" s="8">
        <f t="shared" si="394"/>
        <v>0</v>
      </c>
      <c r="CB544" s="8">
        <f t="shared" si="395"/>
        <v>0</v>
      </c>
      <c r="CC544" s="8">
        <f t="shared" si="396"/>
        <v>0</v>
      </c>
      <c r="CD544" s="8">
        <f t="shared" si="397"/>
        <v>0</v>
      </c>
      <c r="CE544" s="8">
        <f t="shared" si="398"/>
        <v>0</v>
      </c>
      <c r="CF544" s="8">
        <f t="shared" si="399"/>
        <v>0</v>
      </c>
      <c r="CG544" s="8">
        <f t="shared" si="400"/>
        <v>0</v>
      </c>
      <c r="CH544" s="8">
        <f t="shared" si="401"/>
        <v>0</v>
      </c>
      <c r="CI544" s="8">
        <f t="shared" si="402"/>
        <v>0</v>
      </c>
      <c r="CJ544" s="8">
        <f t="shared" si="403"/>
        <v>0</v>
      </c>
      <c r="CK544" s="8">
        <f t="shared" si="404"/>
        <v>0</v>
      </c>
      <c r="CL544" s="8">
        <f t="shared" si="405"/>
        <v>0</v>
      </c>
      <c r="CM544" s="8">
        <f t="shared" si="406"/>
        <v>0</v>
      </c>
      <c r="CN544" s="8">
        <f t="shared" si="407"/>
        <v>0</v>
      </c>
      <c r="CO544" s="8">
        <f t="shared" si="408"/>
        <v>0</v>
      </c>
      <c r="CP544" s="8">
        <f t="shared" si="409"/>
        <v>0</v>
      </c>
      <c r="CQ544" s="8">
        <f t="shared" si="410"/>
        <v>0</v>
      </c>
      <c r="CR544" s="8">
        <f t="shared" si="411"/>
        <v>0</v>
      </c>
      <c r="CS544" s="8">
        <f t="shared" si="412"/>
        <v>0</v>
      </c>
      <c r="CT544" s="8">
        <f t="shared" si="417"/>
        <v>0</v>
      </c>
      <c r="CU544" s="8">
        <f t="shared" si="418"/>
        <v>0</v>
      </c>
      <c r="CV544" s="8">
        <f t="shared" si="419"/>
        <v>0</v>
      </c>
    </row>
    <row r="545" spans="1:100" ht="20.5" thickTop="1" thickBot="1" x14ac:dyDescent="0.5">
      <c r="A545" s="32"/>
      <c r="B545" s="10"/>
      <c r="C545" s="10"/>
      <c r="D545" s="11"/>
      <c r="E545" s="10"/>
      <c r="F545" s="10"/>
      <c r="G545" s="19"/>
      <c r="H545" s="19"/>
      <c r="I545" s="19"/>
      <c r="J545" s="19"/>
      <c r="K545" s="10"/>
      <c r="L545" s="10"/>
      <c r="M545" s="10"/>
      <c r="N545" s="10"/>
      <c r="O545" s="18"/>
      <c r="P545" s="18"/>
      <c r="Q545" s="21"/>
      <c r="R545" s="20"/>
      <c r="S545" s="16">
        <f t="shared" si="375"/>
        <v>0</v>
      </c>
      <c r="T545" s="11"/>
      <c r="AS545" s="31">
        <f t="shared" si="376"/>
        <v>0</v>
      </c>
      <c r="AT545" s="31">
        <f t="shared" si="377"/>
        <v>0</v>
      </c>
      <c r="AU545" s="31">
        <f t="shared" si="378"/>
        <v>0</v>
      </c>
      <c r="AV545" s="31">
        <f t="shared" si="379"/>
        <v>0</v>
      </c>
      <c r="AW545" s="31">
        <f t="shared" si="380"/>
        <v>0</v>
      </c>
      <c r="AX545" s="31">
        <f t="shared" si="381"/>
        <v>0</v>
      </c>
      <c r="AY545" s="31">
        <f t="shared" si="382"/>
        <v>0</v>
      </c>
      <c r="AZ545" s="31">
        <f t="shared" si="383"/>
        <v>0</v>
      </c>
      <c r="BA545" s="31">
        <f t="shared" si="384"/>
        <v>0</v>
      </c>
      <c r="BB545" s="31">
        <f t="shared" si="413"/>
        <v>0</v>
      </c>
      <c r="BM545" s="8">
        <f t="shared" si="414"/>
        <v>0</v>
      </c>
      <c r="BN545" s="8">
        <f t="shared" si="385"/>
        <v>0</v>
      </c>
      <c r="BO545" s="8">
        <f t="shared" si="386"/>
        <v>0</v>
      </c>
      <c r="BQ545" s="8">
        <f t="shared" si="387"/>
        <v>0</v>
      </c>
      <c r="BR545" s="63">
        <f t="shared" si="388"/>
        <v>0</v>
      </c>
      <c r="BS545" s="63">
        <f t="shared" si="415"/>
        <v>0</v>
      </c>
      <c r="BT545" s="63">
        <f t="shared" si="389"/>
        <v>0</v>
      </c>
      <c r="BU545" s="63">
        <f t="shared" si="390"/>
        <v>0</v>
      </c>
      <c r="BV545" s="57">
        <f t="shared" si="391"/>
        <v>0</v>
      </c>
      <c r="BW545" s="57">
        <f t="shared" si="392"/>
        <v>0</v>
      </c>
      <c r="BX545" s="57">
        <f t="shared" si="416"/>
        <v>0</v>
      </c>
      <c r="BY545" s="57">
        <f t="shared" si="420"/>
        <v>0</v>
      </c>
      <c r="BZ545" s="8">
        <f t="shared" si="393"/>
        <v>0</v>
      </c>
      <c r="CA545" s="8">
        <f t="shared" si="394"/>
        <v>0</v>
      </c>
      <c r="CB545" s="8">
        <f t="shared" si="395"/>
        <v>0</v>
      </c>
      <c r="CC545" s="8">
        <f t="shared" si="396"/>
        <v>0</v>
      </c>
      <c r="CD545" s="8">
        <f t="shared" si="397"/>
        <v>0</v>
      </c>
      <c r="CE545" s="8">
        <f t="shared" si="398"/>
        <v>0</v>
      </c>
      <c r="CF545" s="8">
        <f t="shared" si="399"/>
        <v>0</v>
      </c>
      <c r="CG545" s="8">
        <f t="shared" si="400"/>
        <v>0</v>
      </c>
      <c r="CH545" s="8">
        <f t="shared" si="401"/>
        <v>0</v>
      </c>
      <c r="CI545" s="8">
        <f t="shared" si="402"/>
        <v>0</v>
      </c>
      <c r="CJ545" s="8">
        <f t="shared" si="403"/>
        <v>0</v>
      </c>
      <c r="CK545" s="8">
        <f t="shared" si="404"/>
        <v>0</v>
      </c>
      <c r="CL545" s="8">
        <f t="shared" si="405"/>
        <v>0</v>
      </c>
      <c r="CM545" s="8">
        <f t="shared" si="406"/>
        <v>0</v>
      </c>
      <c r="CN545" s="8">
        <f t="shared" si="407"/>
        <v>0</v>
      </c>
      <c r="CO545" s="8">
        <f t="shared" si="408"/>
        <v>0</v>
      </c>
      <c r="CP545" s="8">
        <f t="shared" si="409"/>
        <v>0</v>
      </c>
      <c r="CQ545" s="8">
        <f t="shared" si="410"/>
        <v>0</v>
      </c>
      <c r="CR545" s="8">
        <f t="shared" si="411"/>
        <v>0</v>
      </c>
      <c r="CS545" s="8">
        <f t="shared" si="412"/>
        <v>0</v>
      </c>
      <c r="CT545" s="8">
        <f t="shared" si="417"/>
        <v>0</v>
      </c>
      <c r="CU545" s="8">
        <f t="shared" si="418"/>
        <v>0</v>
      </c>
      <c r="CV545" s="8">
        <f t="shared" si="419"/>
        <v>0</v>
      </c>
    </row>
    <row r="546" spans="1:100" ht="20.5" thickTop="1" thickBot="1" x14ac:dyDescent="0.5">
      <c r="A546" s="32"/>
      <c r="B546" s="10"/>
      <c r="C546" s="10"/>
      <c r="D546" s="11"/>
      <c r="E546" s="10"/>
      <c r="F546" s="10"/>
      <c r="G546" s="19"/>
      <c r="H546" s="19"/>
      <c r="I546" s="19"/>
      <c r="J546" s="19"/>
      <c r="K546" s="10"/>
      <c r="L546" s="10"/>
      <c r="M546" s="10"/>
      <c r="N546" s="10"/>
      <c r="O546" s="18"/>
      <c r="P546" s="18"/>
      <c r="Q546" s="21"/>
      <c r="R546" s="20"/>
      <c r="S546" s="16">
        <f t="shared" si="375"/>
        <v>0</v>
      </c>
      <c r="T546" s="11"/>
      <c r="AS546" s="31">
        <f t="shared" si="376"/>
        <v>0</v>
      </c>
      <c r="AT546" s="31">
        <f t="shared" si="377"/>
        <v>0</v>
      </c>
      <c r="AU546" s="31">
        <f t="shared" si="378"/>
        <v>0</v>
      </c>
      <c r="AV546" s="31">
        <f t="shared" si="379"/>
        <v>0</v>
      </c>
      <c r="AW546" s="31">
        <f t="shared" si="380"/>
        <v>0</v>
      </c>
      <c r="AX546" s="31">
        <f t="shared" si="381"/>
        <v>0</v>
      </c>
      <c r="AY546" s="31">
        <f t="shared" si="382"/>
        <v>0</v>
      </c>
      <c r="AZ546" s="31">
        <f t="shared" si="383"/>
        <v>0</v>
      </c>
      <c r="BA546" s="31">
        <f t="shared" si="384"/>
        <v>0</v>
      </c>
      <c r="BB546" s="31">
        <f t="shared" si="413"/>
        <v>0</v>
      </c>
      <c r="BM546" s="8">
        <f t="shared" si="414"/>
        <v>0</v>
      </c>
      <c r="BN546" s="8">
        <f t="shared" si="385"/>
        <v>0</v>
      </c>
      <c r="BO546" s="8">
        <f t="shared" si="386"/>
        <v>0</v>
      </c>
      <c r="BQ546" s="8">
        <f t="shared" si="387"/>
        <v>0</v>
      </c>
      <c r="BR546" s="63">
        <f t="shared" si="388"/>
        <v>0</v>
      </c>
      <c r="BS546" s="63">
        <f t="shared" si="415"/>
        <v>0</v>
      </c>
      <c r="BT546" s="63">
        <f t="shared" si="389"/>
        <v>0</v>
      </c>
      <c r="BU546" s="63">
        <f t="shared" si="390"/>
        <v>0</v>
      </c>
      <c r="BV546" s="57">
        <f t="shared" si="391"/>
        <v>0</v>
      </c>
      <c r="BW546" s="57">
        <f t="shared" si="392"/>
        <v>0</v>
      </c>
      <c r="BX546" s="57">
        <f t="shared" si="416"/>
        <v>0</v>
      </c>
      <c r="BY546" s="57">
        <f t="shared" si="420"/>
        <v>0</v>
      </c>
      <c r="BZ546" s="8">
        <f t="shared" si="393"/>
        <v>0</v>
      </c>
      <c r="CA546" s="8">
        <f t="shared" si="394"/>
        <v>0</v>
      </c>
      <c r="CB546" s="8">
        <f t="shared" si="395"/>
        <v>0</v>
      </c>
      <c r="CC546" s="8">
        <f t="shared" si="396"/>
        <v>0</v>
      </c>
      <c r="CD546" s="8">
        <f t="shared" si="397"/>
        <v>0</v>
      </c>
      <c r="CE546" s="8">
        <f t="shared" si="398"/>
        <v>0</v>
      </c>
      <c r="CF546" s="8">
        <f t="shared" si="399"/>
        <v>0</v>
      </c>
      <c r="CG546" s="8">
        <f t="shared" si="400"/>
        <v>0</v>
      </c>
      <c r="CH546" s="8">
        <f t="shared" si="401"/>
        <v>0</v>
      </c>
      <c r="CI546" s="8">
        <f t="shared" si="402"/>
        <v>0</v>
      </c>
      <c r="CJ546" s="8">
        <f t="shared" si="403"/>
        <v>0</v>
      </c>
      <c r="CK546" s="8">
        <f t="shared" si="404"/>
        <v>0</v>
      </c>
      <c r="CL546" s="8">
        <f t="shared" si="405"/>
        <v>0</v>
      </c>
      <c r="CM546" s="8">
        <f t="shared" si="406"/>
        <v>0</v>
      </c>
      <c r="CN546" s="8">
        <f t="shared" si="407"/>
        <v>0</v>
      </c>
      <c r="CO546" s="8">
        <f t="shared" si="408"/>
        <v>0</v>
      </c>
      <c r="CP546" s="8">
        <f t="shared" si="409"/>
        <v>0</v>
      </c>
      <c r="CQ546" s="8">
        <f t="shared" si="410"/>
        <v>0</v>
      </c>
      <c r="CR546" s="8">
        <f t="shared" si="411"/>
        <v>0</v>
      </c>
      <c r="CS546" s="8">
        <f t="shared" si="412"/>
        <v>0</v>
      </c>
      <c r="CT546" s="8">
        <f t="shared" si="417"/>
        <v>0</v>
      </c>
      <c r="CU546" s="8">
        <f t="shared" si="418"/>
        <v>0</v>
      </c>
      <c r="CV546" s="8">
        <f t="shared" si="419"/>
        <v>0</v>
      </c>
    </row>
    <row r="547" spans="1:100" ht="20.5" thickTop="1" thickBot="1" x14ac:dyDescent="0.5">
      <c r="A547" s="32"/>
      <c r="B547" s="10"/>
      <c r="C547" s="10"/>
      <c r="D547" s="11"/>
      <c r="E547" s="10"/>
      <c r="F547" s="10"/>
      <c r="G547" s="19"/>
      <c r="H547" s="19"/>
      <c r="I547" s="19"/>
      <c r="J547" s="19"/>
      <c r="K547" s="10"/>
      <c r="L547" s="10"/>
      <c r="M547" s="10"/>
      <c r="N547" s="10"/>
      <c r="O547" s="18"/>
      <c r="P547" s="18"/>
      <c r="Q547" s="21"/>
      <c r="R547" s="20"/>
      <c r="S547" s="16">
        <f t="shared" si="375"/>
        <v>0</v>
      </c>
      <c r="T547" s="11"/>
      <c r="AS547" s="31">
        <f t="shared" si="376"/>
        <v>0</v>
      </c>
      <c r="AT547" s="31">
        <f t="shared" si="377"/>
        <v>0</v>
      </c>
      <c r="AU547" s="31">
        <f t="shared" si="378"/>
        <v>0</v>
      </c>
      <c r="AV547" s="31">
        <f t="shared" si="379"/>
        <v>0</v>
      </c>
      <c r="AW547" s="31">
        <f t="shared" si="380"/>
        <v>0</v>
      </c>
      <c r="AX547" s="31">
        <f t="shared" si="381"/>
        <v>0</v>
      </c>
      <c r="AY547" s="31">
        <f t="shared" si="382"/>
        <v>0</v>
      </c>
      <c r="AZ547" s="31">
        <f t="shared" si="383"/>
        <v>0</v>
      </c>
      <c r="BA547" s="31">
        <f t="shared" si="384"/>
        <v>0</v>
      </c>
      <c r="BB547" s="31">
        <f t="shared" si="413"/>
        <v>0</v>
      </c>
      <c r="BM547" s="8">
        <f t="shared" si="414"/>
        <v>0</v>
      </c>
      <c r="BN547" s="8">
        <f t="shared" si="385"/>
        <v>0</v>
      </c>
      <c r="BO547" s="8">
        <f t="shared" si="386"/>
        <v>0</v>
      </c>
      <c r="BQ547" s="8">
        <f t="shared" si="387"/>
        <v>0</v>
      </c>
      <c r="BR547" s="63">
        <f t="shared" si="388"/>
        <v>0</v>
      </c>
      <c r="BS547" s="63">
        <f t="shared" si="415"/>
        <v>0</v>
      </c>
      <c r="BT547" s="63">
        <f t="shared" si="389"/>
        <v>0</v>
      </c>
      <c r="BU547" s="63">
        <f t="shared" si="390"/>
        <v>0</v>
      </c>
      <c r="BV547" s="57">
        <f t="shared" si="391"/>
        <v>0</v>
      </c>
      <c r="BW547" s="57">
        <f t="shared" si="392"/>
        <v>0</v>
      </c>
      <c r="BX547" s="57">
        <f t="shared" si="416"/>
        <v>0</v>
      </c>
      <c r="BY547" s="57">
        <f t="shared" si="420"/>
        <v>0</v>
      </c>
      <c r="BZ547" s="8">
        <f t="shared" si="393"/>
        <v>0</v>
      </c>
      <c r="CA547" s="8">
        <f t="shared" si="394"/>
        <v>0</v>
      </c>
      <c r="CB547" s="8">
        <f t="shared" si="395"/>
        <v>0</v>
      </c>
      <c r="CC547" s="8">
        <f t="shared" si="396"/>
        <v>0</v>
      </c>
      <c r="CD547" s="8">
        <f t="shared" si="397"/>
        <v>0</v>
      </c>
      <c r="CE547" s="8">
        <f t="shared" si="398"/>
        <v>0</v>
      </c>
      <c r="CF547" s="8">
        <f t="shared" si="399"/>
        <v>0</v>
      </c>
      <c r="CG547" s="8">
        <f t="shared" si="400"/>
        <v>0</v>
      </c>
      <c r="CH547" s="8">
        <f t="shared" si="401"/>
        <v>0</v>
      </c>
      <c r="CI547" s="8">
        <f t="shared" si="402"/>
        <v>0</v>
      </c>
      <c r="CJ547" s="8">
        <f t="shared" si="403"/>
        <v>0</v>
      </c>
      <c r="CK547" s="8">
        <f t="shared" si="404"/>
        <v>0</v>
      </c>
      <c r="CL547" s="8">
        <f t="shared" si="405"/>
        <v>0</v>
      </c>
      <c r="CM547" s="8">
        <f t="shared" si="406"/>
        <v>0</v>
      </c>
      <c r="CN547" s="8">
        <f t="shared" si="407"/>
        <v>0</v>
      </c>
      <c r="CO547" s="8">
        <f t="shared" si="408"/>
        <v>0</v>
      </c>
      <c r="CP547" s="8">
        <f t="shared" si="409"/>
        <v>0</v>
      </c>
      <c r="CQ547" s="8">
        <f t="shared" si="410"/>
        <v>0</v>
      </c>
      <c r="CR547" s="8">
        <f t="shared" si="411"/>
        <v>0</v>
      </c>
      <c r="CS547" s="8">
        <f t="shared" si="412"/>
        <v>0</v>
      </c>
      <c r="CT547" s="8">
        <f t="shared" si="417"/>
        <v>0</v>
      </c>
      <c r="CU547" s="8">
        <f t="shared" si="418"/>
        <v>0</v>
      </c>
      <c r="CV547" s="8">
        <f t="shared" si="419"/>
        <v>0</v>
      </c>
    </row>
    <row r="548" spans="1:100" ht="20.5" thickTop="1" thickBot="1" x14ac:dyDescent="0.5">
      <c r="A548" s="32"/>
      <c r="B548" s="10"/>
      <c r="C548" s="10"/>
      <c r="D548" s="11"/>
      <c r="E548" s="10"/>
      <c r="F548" s="10"/>
      <c r="G548" s="19"/>
      <c r="H548" s="19"/>
      <c r="I548" s="19"/>
      <c r="J548" s="19"/>
      <c r="K548" s="10"/>
      <c r="L548" s="10"/>
      <c r="M548" s="10"/>
      <c r="N548" s="10"/>
      <c r="O548" s="18"/>
      <c r="P548" s="18"/>
      <c r="Q548" s="21"/>
      <c r="R548" s="20"/>
      <c r="S548" s="16">
        <f t="shared" si="375"/>
        <v>0</v>
      </c>
      <c r="T548" s="11"/>
      <c r="AS548" s="31">
        <f t="shared" si="376"/>
        <v>0</v>
      </c>
      <c r="AT548" s="31">
        <f t="shared" si="377"/>
        <v>0</v>
      </c>
      <c r="AU548" s="31">
        <f t="shared" si="378"/>
        <v>0</v>
      </c>
      <c r="AV548" s="31">
        <f t="shared" si="379"/>
        <v>0</v>
      </c>
      <c r="AW548" s="31">
        <f t="shared" si="380"/>
        <v>0</v>
      </c>
      <c r="AX548" s="31">
        <f t="shared" si="381"/>
        <v>0</v>
      </c>
      <c r="AY548" s="31">
        <f t="shared" si="382"/>
        <v>0</v>
      </c>
      <c r="AZ548" s="31">
        <f t="shared" si="383"/>
        <v>0</v>
      </c>
      <c r="BA548" s="31">
        <f t="shared" si="384"/>
        <v>0</v>
      </c>
      <c r="BB548" s="31">
        <f t="shared" si="413"/>
        <v>0</v>
      </c>
      <c r="BM548" s="8">
        <f t="shared" si="414"/>
        <v>0</v>
      </c>
      <c r="BN548" s="8">
        <f t="shared" si="385"/>
        <v>0</v>
      </c>
      <c r="BO548" s="8">
        <f t="shared" si="386"/>
        <v>0</v>
      </c>
      <c r="BQ548" s="8">
        <f t="shared" si="387"/>
        <v>0</v>
      </c>
      <c r="BR548" s="63">
        <f t="shared" si="388"/>
        <v>0</v>
      </c>
      <c r="BS548" s="63">
        <f t="shared" si="415"/>
        <v>0</v>
      </c>
      <c r="BT548" s="63">
        <f t="shared" si="389"/>
        <v>0</v>
      </c>
      <c r="BU548" s="63">
        <f t="shared" si="390"/>
        <v>0</v>
      </c>
      <c r="BV548" s="57">
        <f t="shared" si="391"/>
        <v>0</v>
      </c>
      <c r="BW548" s="57">
        <f t="shared" si="392"/>
        <v>0</v>
      </c>
      <c r="BX548" s="57">
        <f t="shared" si="416"/>
        <v>0</v>
      </c>
      <c r="BY548" s="57">
        <f t="shared" si="420"/>
        <v>0</v>
      </c>
      <c r="BZ548" s="8">
        <f t="shared" si="393"/>
        <v>0</v>
      </c>
      <c r="CA548" s="8">
        <f t="shared" si="394"/>
        <v>0</v>
      </c>
      <c r="CB548" s="8">
        <f t="shared" si="395"/>
        <v>0</v>
      </c>
      <c r="CC548" s="8">
        <f t="shared" si="396"/>
        <v>0</v>
      </c>
      <c r="CD548" s="8">
        <f t="shared" si="397"/>
        <v>0</v>
      </c>
      <c r="CE548" s="8">
        <f t="shared" si="398"/>
        <v>0</v>
      </c>
      <c r="CF548" s="8">
        <f t="shared" si="399"/>
        <v>0</v>
      </c>
      <c r="CG548" s="8">
        <f t="shared" si="400"/>
        <v>0</v>
      </c>
      <c r="CH548" s="8">
        <f t="shared" si="401"/>
        <v>0</v>
      </c>
      <c r="CI548" s="8">
        <f t="shared" si="402"/>
        <v>0</v>
      </c>
      <c r="CJ548" s="8">
        <f t="shared" si="403"/>
        <v>0</v>
      </c>
      <c r="CK548" s="8">
        <f t="shared" si="404"/>
        <v>0</v>
      </c>
      <c r="CL548" s="8">
        <f t="shared" si="405"/>
        <v>0</v>
      </c>
      <c r="CM548" s="8">
        <f t="shared" si="406"/>
        <v>0</v>
      </c>
      <c r="CN548" s="8">
        <f t="shared" si="407"/>
        <v>0</v>
      </c>
      <c r="CO548" s="8">
        <f t="shared" si="408"/>
        <v>0</v>
      </c>
      <c r="CP548" s="8">
        <f t="shared" si="409"/>
        <v>0</v>
      </c>
      <c r="CQ548" s="8">
        <f t="shared" si="410"/>
        <v>0</v>
      </c>
      <c r="CR548" s="8">
        <f t="shared" si="411"/>
        <v>0</v>
      </c>
      <c r="CS548" s="8">
        <f t="shared" si="412"/>
        <v>0</v>
      </c>
      <c r="CT548" s="8">
        <f t="shared" si="417"/>
        <v>0</v>
      </c>
      <c r="CU548" s="8">
        <f t="shared" si="418"/>
        <v>0</v>
      </c>
      <c r="CV548" s="8">
        <f t="shared" si="419"/>
        <v>0</v>
      </c>
    </row>
    <row r="549" spans="1:100" ht="20.5" thickTop="1" thickBot="1" x14ac:dyDescent="0.5">
      <c r="A549" s="32"/>
      <c r="B549" s="10"/>
      <c r="C549" s="10"/>
      <c r="D549" s="11"/>
      <c r="E549" s="10"/>
      <c r="F549" s="10"/>
      <c r="G549" s="19"/>
      <c r="H549" s="19"/>
      <c r="I549" s="19"/>
      <c r="J549" s="19"/>
      <c r="K549" s="10"/>
      <c r="L549" s="10"/>
      <c r="M549" s="10"/>
      <c r="N549" s="10"/>
      <c r="O549" s="18"/>
      <c r="P549" s="18"/>
      <c r="Q549" s="21"/>
      <c r="R549" s="20"/>
      <c r="S549" s="16">
        <f t="shared" si="375"/>
        <v>0</v>
      </c>
      <c r="T549" s="11"/>
      <c r="AS549" s="31">
        <f t="shared" si="376"/>
        <v>0</v>
      </c>
      <c r="AT549" s="31">
        <f t="shared" si="377"/>
        <v>0</v>
      </c>
      <c r="AU549" s="31">
        <f t="shared" si="378"/>
        <v>0</v>
      </c>
      <c r="AV549" s="31">
        <f t="shared" si="379"/>
        <v>0</v>
      </c>
      <c r="AW549" s="31">
        <f t="shared" si="380"/>
        <v>0</v>
      </c>
      <c r="AX549" s="31">
        <f t="shared" si="381"/>
        <v>0</v>
      </c>
      <c r="AY549" s="31">
        <f t="shared" si="382"/>
        <v>0</v>
      </c>
      <c r="AZ549" s="31">
        <f t="shared" si="383"/>
        <v>0</v>
      </c>
      <c r="BA549" s="31">
        <f t="shared" si="384"/>
        <v>0</v>
      </c>
      <c r="BB549" s="31">
        <f t="shared" si="413"/>
        <v>0</v>
      </c>
      <c r="BM549" s="8">
        <f t="shared" si="414"/>
        <v>0</v>
      </c>
      <c r="BN549" s="8">
        <f t="shared" si="385"/>
        <v>0</v>
      </c>
      <c r="BO549" s="8">
        <f t="shared" si="386"/>
        <v>0</v>
      </c>
      <c r="BQ549" s="8">
        <f t="shared" si="387"/>
        <v>0</v>
      </c>
      <c r="BR549" s="63">
        <f t="shared" si="388"/>
        <v>0</v>
      </c>
      <c r="BS549" s="63">
        <f t="shared" si="415"/>
        <v>0</v>
      </c>
      <c r="BT549" s="63">
        <f t="shared" si="389"/>
        <v>0</v>
      </c>
      <c r="BU549" s="63">
        <f t="shared" si="390"/>
        <v>0</v>
      </c>
      <c r="BV549" s="57">
        <f t="shared" si="391"/>
        <v>0</v>
      </c>
      <c r="BW549" s="57">
        <f t="shared" si="392"/>
        <v>0</v>
      </c>
      <c r="BX549" s="57">
        <f t="shared" si="416"/>
        <v>0</v>
      </c>
      <c r="BY549" s="57">
        <f t="shared" si="420"/>
        <v>0</v>
      </c>
      <c r="BZ549" s="8">
        <f t="shared" si="393"/>
        <v>0</v>
      </c>
      <c r="CA549" s="8">
        <f t="shared" si="394"/>
        <v>0</v>
      </c>
      <c r="CB549" s="8">
        <f t="shared" si="395"/>
        <v>0</v>
      </c>
      <c r="CC549" s="8">
        <f t="shared" si="396"/>
        <v>0</v>
      </c>
      <c r="CD549" s="8">
        <f t="shared" si="397"/>
        <v>0</v>
      </c>
      <c r="CE549" s="8">
        <f t="shared" si="398"/>
        <v>0</v>
      </c>
      <c r="CF549" s="8">
        <f t="shared" si="399"/>
        <v>0</v>
      </c>
      <c r="CG549" s="8">
        <f t="shared" si="400"/>
        <v>0</v>
      </c>
      <c r="CH549" s="8">
        <f t="shared" si="401"/>
        <v>0</v>
      </c>
      <c r="CI549" s="8">
        <f t="shared" si="402"/>
        <v>0</v>
      </c>
      <c r="CJ549" s="8">
        <f t="shared" si="403"/>
        <v>0</v>
      </c>
      <c r="CK549" s="8">
        <f t="shared" si="404"/>
        <v>0</v>
      </c>
      <c r="CL549" s="8">
        <f t="shared" si="405"/>
        <v>0</v>
      </c>
      <c r="CM549" s="8">
        <f t="shared" si="406"/>
        <v>0</v>
      </c>
      <c r="CN549" s="8">
        <f t="shared" si="407"/>
        <v>0</v>
      </c>
      <c r="CO549" s="8">
        <f t="shared" si="408"/>
        <v>0</v>
      </c>
      <c r="CP549" s="8">
        <f t="shared" si="409"/>
        <v>0</v>
      </c>
      <c r="CQ549" s="8">
        <f t="shared" si="410"/>
        <v>0</v>
      </c>
      <c r="CR549" s="8">
        <f t="shared" si="411"/>
        <v>0</v>
      </c>
      <c r="CS549" s="8">
        <f t="shared" si="412"/>
        <v>0</v>
      </c>
      <c r="CT549" s="8">
        <f t="shared" si="417"/>
        <v>0</v>
      </c>
      <c r="CU549" s="8">
        <f t="shared" si="418"/>
        <v>0</v>
      </c>
      <c r="CV549" s="8">
        <f t="shared" si="419"/>
        <v>0</v>
      </c>
    </row>
    <row r="550" spans="1:100" ht="20.5" thickTop="1" thickBot="1" x14ac:dyDescent="0.5">
      <c r="A550" s="32"/>
      <c r="B550" s="10"/>
      <c r="C550" s="10"/>
      <c r="D550" s="11"/>
      <c r="E550" s="10"/>
      <c r="F550" s="10"/>
      <c r="G550" s="19"/>
      <c r="H550" s="19"/>
      <c r="I550" s="19"/>
      <c r="J550" s="19"/>
      <c r="K550" s="10"/>
      <c r="L550" s="10"/>
      <c r="M550" s="10"/>
      <c r="N550" s="10"/>
      <c r="O550" s="18"/>
      <c r="P550" s="18"/>
      <c r="Q550" s="21"/>
      <c r="R550" s="20"/>
      <c r="S550" s="16">
        <f t="shared" si="375"/>
        <v>0</v>
      </c>
      <c r="T550" s="11"/>
      <c r="AS550" s="31">
        <f t="shared" si="376"/>
        <v>0</v>
      </c>
      <c r="AT550" s="31">
        <f t="shared" si="377"/>
        <v>0</v>
      </c>
      <c r="AU550" s="31">
        <f t="shared" si="378"/>
        <v>0</v>
      </c>
      <c r="AV550" s="31">
        <f t="shared" si="379"/>
        <v>0</v>
      </c>
      <c r="AW550" s="31">
        <f t="shared" si="380"/>
        <v>0</v>
      </c>
      <c r="AX550" s="31">
        <f t="shared" si="381"/>
        <v>0</v>
      </c>
      <c r="AY550" s="31">
        <f t="shared" si="382"/>
        <v>0</v>
      </c>
      <c r="AZ550" s="31">
        <f t="shared" si="383"/>
        <v>0</v>
      </c>
      <c r="BA550" s="31">
        <f t="shared" si="384"/>
        <v>0</v>
      </c>
      <c r="BB550" s="31">
        <f t="shared" si="413"/>
        <v>0</v>
      </c>
      <c r="BM550" s="8">
        <f t="shared" si="414"/>
        <v>0</v>
      </c>
      <c r="BN550" s="8">
        <f t="shared" si="385"/>
        <v>0</v>
      </c>
      <c r="BO550" s="8">
        <f t="shared" si="386"/>
        <v>0</v>
      </c>
      <c r="BQ550" s="8">
        <f t="shared" si="387"/>
        <v>0</v>
      </c>
      <c r="BR550" s="63">
        <f t="shared" si="388"/>
        <v>0</v>
      </c>
      <c r="BS550" s="63">
        <f t="shared" si="415"/>
        <v>0</v>
      </c>
      <c r="BT550" s="63">
        <f t="shared" si="389"/>
        <v>0</v>
      </c>
      <c r="BU550" s="63">
        <f t="shared" si="390"/>
        <v>0</v>
      </c>
      <c r="BV550" s="57">
        <f t="shared" si="391"/>
        <v>0</v>
      </c>
      <c r="BW550" s="57">
        <f t="shared" si="392"/>
        <v>0</v>
      </c>
      <c r="BX550" s="57">
        <f t="shared" si="416"/>
        <v>0</v>
      </c>
      <c r="BY550" s="57">
        <f t="shared" si="420"/>
        <v>0</v>
      </c>
      <c r="BZ550" s="8">
        <f t="shared" si="393"/>
        <v>0</v>
      </c>
      <c r="CA550" s="8">
        <f t="shared" si="394"/>
        <v>0</v>
      </c>
      <c r="CB550" s="8">
        <f t="shared" si="395"/>
        <v>0</v>
      </c>
      <c r="CC550" s="8">
        <f t="shared" si="396"/>
        <v>0</v>
      </c>
      <c r="CD550" s="8">
        <f t="shared" si="397"/>
        <v>0</v>
      </c>
      <c r="CE550" s="8">
        <f t="shared" si="398"/>
        <v>0</v>
      </c>
      <c r="CF550" s="8">
        <f t="shared" si="399"/>
        <v>0</v>
      </c>
      <c r="CG550" s="8">
        <f t="shared" si="400"/>
        <v>0</v>
      </c>
      <c r="CH550" s="8">
        <f t="shared" si="401"/>
        <v>0</v>
      </c>
      <c r="CI550" s="8">
        <f t="shared" si="402"/>
        <v>0</v>
      </c>
      <c r="CJ550" s="8">
        <f t="shared" si="403"/>
        <v>0</v>
      </c>
      <c r="CK550" s="8">
        <f t="shared" si="404"/>
        <v>0</v>
      </c>
      <c r="CL550" s="8">
        <f t="shared" si="405"/>
        <v>0</v>
      </c>
      <c r="CM550" s="8">
        <f t="shared" si="406"/>
        <v>0</v>
      </c>
      <c r="CN550" s="8">
        <f t="shared" si="407"/>
        <v>0</v>
      </c>
      <c r="CO550" s="8">
        <f t="shared" si="408"/>
        <v>0</v>
      </c>
      <c r="CP550" s="8">
        <f t="shared" si="409"/>
        <v>0</v>
      </c>
      <c r="CQ550" s="8">
        <f t="shared" si="410"/>
        <v>0</v>
      </c>
      <c r="CR550" s="8">
        <f t="shared" si="411"/>
        <v>0</v>
      </c>
      <c r="CS550" s="8">
        <f t="shared" si="412"/>
        <v>0</v>
      </c>
      <c r="CT550" s="8">
        <f t="shared" si="417"/>
        <v>0</v>
      </c>
      <c r="CU550" s="8">
        <f t="shared" si="418"/>
        <v>0</v>
      </c>
      <c r="CV550" s="8">
        <f t="shared" si="419"/>
        <v>0</v>
      </c>
    </row>
    <row r="551" spans="1:100" ht="20.5" thickTop="1" thickBot="1" x14ac:dyDescent="0.5">
      <c r="A551" s="32"/>
      <c r="B551" s="10"/>
      <c r="C551" s="10"/>
      <c r="D551" s="11"/>
      <c r="E551" s="10"/>
      <c r="F551" s="10"/>
      <c r="G551" s="19"/>
      <c r="H551" s="19"/>
      <c r="I551" s="19"/>
      <c r="J551" s="19"/>
      <c r="K551" s="10"/>
      <c r="L551" s="10"/>
      <c r="M551" s="10"/>
      <c r="N551" s="10"/>
      <c r="O551" s="18"/>
      <c r="P551" s="18"/>
      <c r="Q551" s="21"/>
      <c r="R551" s="20"/>
      <c r="S551" s="16">
        <f t="shared" si="375"/>
        <v>0</v>
      </c>
      <c r="T551" s="11"/>
      <c r="AS551" s="31">
        <f t="shared" si="376"/>
        <v>0</v>
      </c>
      <c r="AT551" s="31">
        <f t="shared" si="377"/>
        <v>0</v>
      </c>
      <c r="AU551" s="31">
        <f t="shared" si="378"/>
        <v>0</v>
      </c>
      <c r="AV551" s="31">
        <f t="shared" si="379"/>
        <v>0</v>
      </c>
      <c r="AW551" s="31">
        <f t="shared" si="380"/>
        <v>0</v>
      </c>
      <c r="AX551" s="31">
        <f t="shared" si="381"/>
        <v>0</v>
      </c>
      <c r="AY551" s="31">
        <f t="shared" si="382"/>
        <v>0</v>
      </c>
      <c r="AZ551" s="31">
        <f t="shared" si="383"/>
        <v>0</v>
      </c>
      <c r="BA551" s="31">
        <f t="shared" si="384"/>
        <v>0</v>
      </c>
      <c r="BB551" s="31">
        <f t="shared" si="413"/>
        <v>0</v>
      </c>
      <c r="BM551" s="8">
        <f t="shared" si="414"/>
        <v>0</v>
      </c>
      <c r="BN551" s="8">
        <f t="shared" si="385"/>
        <v>0</v>
      </c>
      <c r="BO551" s="8">
        <f t="shared" si="386"/>
        <v>0</v>
      </c>
      <c r="BQ551" s="8">
        <f t="shared" si="387"/>
        <v>0</v>
      </c>
      <c r="BR551" s="63">
        <f t="shared" si="388"/>
        <v>0</v>
      </c>
      <c r="BS551" s="63">
        <f t="shared" si="415"/>
        <v>0</v>
      </c>
      <c r="BT551" s="63">
        <f t="shared" si="389"/>
        <v>0</v>
      </c>
      <c r="BU551" s="63">
        <f t="shared" si="390"/>
        <v>0</v>
      </c>
      <c r="BV551" s="57">
        <f t="shared" si="391"/>
        <v>0</v>
      </c>
      <c r="BW551" s="57">
        <f t="shared" si="392"/>
        <v>0</v>
      </c>
      <c r="BX551" s="57">
        <f t="shared" si="416"/>
        <v>0</v>
      </c>
      <c r="BY551" s="57">
        <f t="shared" si="420"/>
        <v>0</v>
      </c>
      <c r="BZ551" s="8">
        <f t="shared" si="393"/>
        <v>0</v>
      </c>
      <c r="CA551" s="8">
        <f t="shared" si="394"/>
        <v>0</v>
      </c>
      <c r="CB551" s="8">
        <f t="shared" si="395"/>
        <v>0</v>
      </c>
      <c r="CC551" s="8">
        <f t="shared" si="396"/>
        <v>0</v>
      </c>
      <c r="CD551" s="8">
        <f t="shared" si="397"/>
        <v>0</v>
      </c>
      <c r="CE551" s="8">
        <f t="shared" si="398"/>
        <v>0</v>
      </c>
      <c r="CF551" s="8">
        <f t="shared" si="399"/>
        <v>0</v>
      </c>
      <c r="CG551" s="8">
        <f t="shared" si="400"/>
        <v>0</v>
      </c>
      <c r="CH551" s="8">
        <f t="shared" si="401"/>
        <v>0</v>
      </c>
      <c r="CI551" s="8">
        <f t="shared" si="402"/>
        <v>0</v>
      </c>
      <c r="CJ551" s="8">
        <f t="shared" si="403"/>
        <v>0</v>
      </c>
      <c r="CK551" s="8">
        <f t="shared" si="404"/>
        <v>0</v>
      </c>
      <c r="CL551" s="8">
        <f t="shared" si="405"/>
        <v>0</v>
      </c>
      <c r="CM551" s="8">
        <f t="shared" si="406"/>
        <v>0</v>
      </c>
      <c r="CN551" s="8">
        <f t="shared" si="407"/>
        <v>0</v>
      </c>
      <c r="CO551" s="8">
        <f t="shared" si="408"/>
        <v>0</v>
      </c>
      <c r="CP551" s="8">
        <f t="shared" si="409"/>
        <v>0</v>
      </c>
      <c r="CQ551" s="8">
        <f t="shared" si="410"/>
        <v>0</v>
      </c>
      <c r="CR551" s="8">
        <f t="shared" si="411"/>
        <v>0</v>
      </c>
      <c r="CS551" s="8">
        <f t="shared" si="412"/>
        <v>0</v>
      </c>
      <c r="CT551" s="8">
        <f t="shared" si="417"/>
        <v>0</v>
      </c>
      <c r="CU551" s="8">
        <f t="shared" si="418"/>
        <v>0</v>
      </c>
      <c r="CV551" s="8">
        <f t="shared" si="419"/>
        <v>0</v>
      </c>
    </row>
    <row r="552" spans="1:100" ht="20.5" thickTop="1" thickBot="1" x14ac:dyDescent="0.5">
      <c r="A552" s="32"/>
      <c r="B552" s="10"/>
      <c r="C552" s="10"/>
      <c r="D552" s="11"/>
      <c r="E552" s="10"/>
      <c r="F552" s="10"/>
      <c r="G552" s="19"/>
      <c r="H552" s="19"/>
      <c r="I552" s="19"/>
      <c r="J552" s="19"/>
      <c r="K552" s="10"/>
      <c r="L552" s="10"/>
      <c r="M552" s="10"/>
      <c r="N552" s="10"/>
      <c r="O552" s="18"/>
      <c r="P552" s="18"/>
      <c r="Q552" s="21"/>
      <c r="R552" s="20"/>
      <c r="S552" s="16">
        <f t="shared" si="375"/>
        <v>0</v>
      </c>
      <c r="T552" s="11"/>
      <c r="AS552" s="31">
        <f t="shared" si="376"/>
        <v>0</v>
      </c>
      <c r="AT552" s="31">
        <f t="shared" si="377"/>
        <v>0</v>
      </c>
      <c r="AU552" s="31">
        <f t="shared" si="378"/>
        <v>0</v>
      </c>
      <c r="AV552" s="31">
        <f t="shared" si="379"/>
        <v>0</v>
      </c>
      <c r="AW552" s="31">
        <f t="shared" si="380"/>
        <v>0</v>
      </c>
      <c r="AX552" s="31">
        <f t="shared" si="381"/>
        <v>0</v>
      </c>
      <c r="AY552" s="31">
        <f t="shared" si="382"/>
        <v>0</v>
      </c>
      <c r="AZ552" s="31">
        <f t="shared" si="383"/>
        <v>0</v>
      </c>
      <c r="BA552" s="31">
        <f t="shared" si="384"/>
        <v>0</v>
      </c>
      <c r="BB552" s="31">
        <f t="shared" si="413"/>
        <v>0</v>
      </c>
      <c r="BM552" s="8">
        <f t="shared" si="414"/>
        <v>0</v>
      </c>
      <c r="BN552" s="8">
        <f t="shared" si="385"/>
        <v>0</v>
      </c>
      <c r="BO552" s="8">
        <f t="shared" si="386"/>
        <v>0</v>
      </c>
      <c r="BQ552" s="8">
        <f t="shared" si="387"/>
        <v>0</v>
      </c>
      <c r="BR552" s="63">
        <f t="shared" si="388"/>
        <v>0</v>
      </c>
      <c r="BS552" s="63">
        <f t="shared" si="415"/>
        <v>0</v>
      </c>
      <c r="BT552" s="63">
        <f t="shared" si="389"/>
        <v>0</v>
      </c>
      <c r="BU552" s="63">
        <f t="shared" si="390"/>
        <v>0</v>
      </c>
      <c r="BV552" s="57">
        <f t="shared" si="391"/>
        <v>0</v>
      </c>
      <c r="BW552" s="57">
        <f t="shared" si="392"/>
        <v>0</v>
      </c>
      <c r="BX552" s="57">
        <f t="shared" si="416"/>
        <v>0</v>
      </c>
      <c r="BY552" s="57">
        <f t="shared" si="420"/>
        <v>0</v>
      </c>
      <c r="BZ552" s="8">
        <f t="shared" si="393"/>
        <v>0</v>
      </c>
      <c r="CA552" s="8">
        <f t="shared" si="394"/>
        <v>0</v>
      </c>
      <c r="CB552" s="8">
        <f t="shared" si="395"/>
        <v>0</v>
      </c>
      <c r="CC552" s="8">
        <f t="shared" si="396"/>
        <v>0</v>
      </c>
      <c r="CD552" s="8">
        <f t="shared" si="397"/>
        <v>0</v>
      </c>
      <c r="CE552" s="8">
        <f t="shared" si="398"/>
        <v>0</v>
      </c>
      <c r="CF552" s="8">
        <f t="shared" si="399"/>
        <v>0</v>
      </c>
      <c r="CG552" s="8">
        <f t="shared" si="400"/>
        <v>0</v>
      </c>
      <c r="CH552" s="8">
        <f t="shared" si="401"/>
        <v>0</v>
      </c>
      <c r="CI552" s="8">
        <f t="shared" si="402"/>
        <v>0</v>
      </c>
      <c r="CJ552" s="8">
        <f t="shared" si="403"/>
        <v>0</v>
      </c>
      <c r="CK552" s="8">
        <f t="shared" si="404"/>
        <v>0</v>
      </c>
      <c r="CL552" s="8">
        <f t="shared" si="405"/>
        <v>0</v>
      </c>
      <c r="CM552" s="8">
        <f t="shared" si="406"/>
        <v>0</v>
      </c>
      <c r="CN552" s="8">
        <f t="shared" si="407"/>
        <v>0</v>
      </c>
      <c r="CO552" s="8">
        <f t="shared" si="408"/>
        <v>0</v>
      </c>
      <c r="CP552" s="8">
        <f t="shared" si="409"/>
        <v>0</v>
      </c>
      <c r="CQ552" s="8">
        <f t="shared" si="410"/>
        <v>0</v>
      </c>
      <c r="CR552" s="8">
        <f t="shared" si="411"/>
        <v>0</v>
      </c>
      <c r="CS552" s="8">
        <f t="shared" si="412"/>
        <v>0</v>
      </c>
      <c r="CT552" s="8">
        <f t="shared" si="417"/>
        <v>0</v>
      </c>
      <c r="CU552" s="8">
        <f t="shared" si="418"/>
        <v>0</v>
      </c>
      <c r="CV552" s="8">
        <f t="shared" si="419"/>
        <v>0</v>
      </c>
    </row>
    <row r="553" spans="1:100" ht="20.5" thickTop="1" thickBot="1" x14ac:dyDescent="0.5">
      <c r="A553" s="32"/>
      <c r="B553" s="10"/>
      <c r="C553" s="10"/>
      <c r="D553" s="11"/>
      <c r="E553" s="10"/>
      <c r="F553" s="10"/>
      <c r="G553" s="19"/>
      <c r="H553" s="19"/>
      <c r="I553" s="19"/>
      <c r="J553" s="19"/>
      <c r="K553" s="10"/>
      <c r="L553" s="10"/>
      <c r="M553" s="10"/>
      <c r="N553" s="10"/>
      <c r="O553" s="18"/>
      <c r="P553" s="18"/>
      <c r="Q553" s="21"/>
      <c r="R553" s="20"/>
      <c r="S553" s="16">
        <f t="shared" si="375"/>
        <v>0</v>
      </c>
      <c r="T553" s="11"/>
      <c r="AS553" s="31">
        <f t="shared" si="376"/>
        <v>0</v>
      </c>
      <c r="AT553" s="31">
        <f t="shared" si="377"/>
        <v>0</v>
      </c>
      <c r="AU553" s="31">
        <f t="shared" si="378"/>
        <v>0</v>
      </c>
      <c r="AV553" s="31">
        <f t="shared" si="379"/>
        <v>0</v>
      </c>
      <c r="AW553" s="31">
        <f t="shared" si="380"/>
        <v>0</v>
      </c>
      <c r="AX553" s="31">
        <f t="shared" si="381"/>
        <v>0</v>
      </c>
      <c r="AY553" s="31">
        <f t="shared" si="382"/>
        <v>0</v>
      </c>
      <c r="AZ553" s="31">
        <f t="shared" si="383"/>
        <v>0</v>
      </c>
      <c r="BA553" s="31">
        <f t="shared" si="384"/>
        <v>0</v>
      </c>
      <c r="BB553" s="31">
        <f t="shared" si="413"/>
        <v>0</v>
      </c>
      <c r="BM553" s="8">
        <f t="shared" si="414"/>
        <v>0</v>
      </c>
      <c r="BN553" s="8">
        <f t="shared" si="385"/>
        <v>0</v>
      </c>
      <c r="BO553" s="8">
        <f t="shared" si="386"/>
        <v>0</v>
      </c>
      <c r="BQ553" s="8">
        <f t="shared" si="387"/>
        <v>0</v>
      </c>
      <c r="BR553" s="63">
        <f t="shared" si="388"/>
        <v>0</v>
      </c>
      <c r="BS553" s="63">
        <f t="shared" si="415"/>
        <v>0</v>
      </c>
      <c r="BT553" s="63">
        <f t="shared" si="389"/>
        <v>0</v>
      </c>
      <c r="BU553" s="63">
        <f t="shared" si="390"/>
        <v>0</v>
      </c>
      <c r="BV553" s="57">
        <f t="shared" si="391"/>
        <v>0</v>
      </c>
      <c r="BW553" s="57">
        <f t="shared" si="392"/>
        <v>0</v>
      </c>
      <c r="BX553" s="57">
        <f t="shared" si="416"/>
        <v>0</v>
      </c>
      <c r="BY553" s="57">
        <f t="shared" si="420"/>
        <v>0</v>
      </c>
      <c r="BZ553" s="8">
        <f t="shared" si="393"/>
        <v>0</v>
      </c>
      <c r="CA553" s="8">
        <f t="shared" si="394"/>
        <v>0</v>
      </c>
      <c r="CB553" s="8">
        <f t="shared" si="395"/>
        <v>0</v>
      </c>
      <c r="CC553" s="8">
        <f t="shared" si="396"/>
        <v>0</v>
      </c>
      <c r="CD553" s="8">
        <f t="shared" si="397"/>
        <v>0</v>
      </c>
      <c r="CE553" s="8">
        <f t="shared" si="398"/>
        <v>0</v>
      </c>
      <c r="CF553" s="8">
        <f t="shared" si="399"/>
        <v>0</v>
      </c>
      <c r="CG553" s="8">
        <f t="shared" si="400"/>
        <v>0</v>
      </c>
      <c r="CH553" s="8">
        <f t="shared" si="401"/>
        <v>0</v>
      </c>
      <c r="CI553" s="8">
        <f t="shared" si="402"/>
        <v>0</v>
      </c>
      <c r="CJ553" s="8">
        <f t="shared" si="403"/>
        <v>0</v>
      </c>
      <c r="CK553" s="8">
        <f t="shared" si="404"/>
        <v>0</v>
      </c>
      <c r="CL553" s="8">
        <f t="shared" si="405"/>
        <v>0</v>
      </c>
      <c r="CM553" s="8">
        <f t="shared" si="406"/>
        <v>0</v>
      </c>
      <c r="CN553" s="8">
        <f t="shared" si="407"/>
        <v>0</v>
      </c>
      <c r="CO553" s="8">
        <f t="shared" si="408"/>
        <v>0</v>
      </c>
      <c r="CP553" s="8">
        <f t="shared" si="409"/>
        <v>0</v>
      </c>
      <c r="CQ553" s="8">
        <f t="shared" si="410"/>
        <v>0</v>
      </c>
      <c r="CR553" s="8">
        <f t="shared" si="411"/>
        <v>0</v>
      </c>
      <c r="CS553" s="8">
        <f t="shared" si="412"/>
        <v>0</v>
      </c>
      <c r="CT553" s="8">
        <f t="shared" si="417"/>
        <v>0</v>
      </c>
      <c r="CU553" s="8">
        <f t="shared" si="418"/>
        <v>0</v>
      </c>
      <c r="CV553" s="8">
        <f t="shared" si="419"/>
        <v>0</v>
      </c>
    </row>
    <row r="554" spans="1:100" ht="20.5" thickTop="1" thickBot="1" x14ac:dyDescent="0.5">
      <c r="A554" s="32"/>
      <c r="B554" s="10"/>
      <c r="C554" s="10"/>
      <c r="D554" s="11"/>
      <c r="E554" s="10"/>
      <c r="F554" s="10"/>
      <c r="G554" s="19"/>
      <c r="H554" s="19"/>
      <c r="I554" s="19"/>
      <c r="J554" s="19"/>
      <c r="K554" s="10"/>
      <c r="L554" s="10"/>
      <c r="M554" s="10"/>
      <c r="N554" s="10"/>
      <c r="O554" s="18"/>
      <c r="P554" s="18"/>
      <c r="Q554" s="21"/>
      <c r="R554" s="20"/>
      <c r="S554" s="16">
        <f t="shared" si="375"/>
        <v>0</v>
      </c>
      <c r="T554" s="11"/>
      <c r="AS554" s="31">
        <f t="shared" si="376"/>
        <v>0</v>
      </c>
      <c r="AT554" s="31">
        <f t="shared" si="377"/>
        <v>0</v>
      </c>
      <c r="AU554" s="31">
        <f t="shared" si="378"/>
        <v>0</v>
      </c>
      <c r="AV554" s="31">
        <f t="shared" si="379"/>
        <v>0</v>
      </c>
      <c r="AW554" s="31">
        <f t="shared" si="380"/>
        <v>0</v>
      </c>
      <c r="AX554" s="31">
        <f t="shared" si="381"/>
        <v>0</v>
      </c>
      <c r="AY554" s="31">
        <f t="shared" si="382"/>
        <v>0</v>
      </c>
      <c r="AZ554" s="31">
        <f t="shared" si="383"/>
        <v>0</v>
      </c>
      <c r="BA554" s="31">
        <f t="shared" si="384"/>
        <v>0</v>
      </c>
      <c r="BB554" s="31">
        <f t="shared" si="413"/>
        <v>0</v>
      </c>
      <c r="BM554" s="8">
        <f t="shared" si="414"/>
        <v>0</v>
      </c>
      <c r="BN554" s="8">
        <f t="shared" si="385"/>
        <v>0</v>
      </c>
      <c r="BO554" s="8">
        <f t="shared" si="386"/>
        <v>0</v>
      </c>
      <c r="BQ554" s="8">
        <f t="shared" si="387"/>
        <v>0</v>
      </c>
      <c r="BR554" s="63">
        <f t="shared" si="388"/>
        <v>0</v>
      </c>
      <c r="BS554" s="63">
        <f t="shared" si="415"/>
        <v>0</v>
      </c>
      <c r="BT554" s="63">
        <f t="shared" si="389"/>
        <v>0</v>
      </c>
      <c r="BU554" s="63">
        <f t="shared" si="390"/>
        <v>0</v>
      </c>
      <c r="BV554" s="57">
        <f t="shared" si="391"/>
        <v>0</v>
      </c>
      <c r="BW554" s="57">
        <f t="shared" si="392"/>
        <v>0</v>
      </c>
      <c r="BX554" s="57">
        <f t="shared" si="416"/>
        <v>0</v>
      </c>
      <c r="BY554" s="57">
        <f t="shared" si="420"/>
        <v>0</v>
      </c>
      <c r="BZ554" s="8">
        <f t="shared" si="393"/>
        <v>0</v>
      </c>
      <c r="CA554" s="8">
        <f t="shared" si="394"/>
        <v>0</v>
      </c>
      <c r="CB554" s="8">
        <f t="shared" si="395"/>
        <v>0</v>
      </c>
      <c r="CC554" s="8">
        <f t="shared" si="396"/>
        <v>0</v>
      </c>
      <c r="CD554" s="8">
        <f t="shared" si="397"/>
        <v>0</v>
      </c>
      <c r="CE554" s="8">
        <f t="shared" si="398"/>
        <v>0</v>
      </c>
      <c r="CF554" s="8">
        <f t="shared" si="399"/>
        <v>0</v>
      </c>
      <c r="CG554" s="8">
        <f t="shared" si="400"/>
        <v>0</v>
      </c>
      <c r="CH554" s="8">
        <f t="shared" si="401"/>
        <v>0</v>
      </c>
      <c r="CI554" s="8">
        <f t="shared" si="402"/>
        <v>0</v>
      </c>
      <c r="CJ554" s="8">
        <f t="shared" si="403"/>
        <v>0</v>
      </c>
      <c r="CK554" s="8">
        <f t="shared" si="404"/>
        <v>0</v>
      </c>
      <c r="CL554" s="8">
        <f t="shared" si="405"/>
        <v>0</v>
      </c>
      <c r="CM554" s="8">
        <f t="shared" si="406"/>
        <v>0</v>
      </c>
      <c r="CN554" s="8">
        <f t="shared" si="407"/>
        <v>0</v>
      </c>
      <c r="CO554" s="8">
        <f t="shared" si="408"/>
        <v>0</v>
      </c>
      <c r="CP554" s="8">
        <f t="shared" si="409"/>
        <v>0</v>
      </c>
      <c r="CQ554" s="8">
        <f t="shared" si="410"/>
        <v>0</v>
      </c>
      <c r="CR554" s="8">
        <f t="shared" si="411"/>
        <v>0</v>
      </c>
      <c r="CS554" s="8">
        <f t="shared" si="412"/>
        <v>0</v>
      </c>
      <c r="CT554" s="8">
        <f t="shared" si="417"/>
        <v>0</v>
      </c>
      <c r="CU554" s="8">
        <f t="shared" si="418"/>
        <v>0</v>
      </c>
      <c r="CV554" s="8">
        <f t="shared" si="419"/>
        <v>0</v>
      </c>
    </row>
    <row r="555" spans="1:100" ht="20.5" thickTop="1" thickBot="1" x14ac:dyDescent="0.5">
      <c r="A555" s="32"/>
      <c r="B555" s="10"/>
      <c r="C555" s="10"/>
      <c r="D555" s="11"/>
      <c r="E555" s="10"/>
      <c r="F555" s="10"/>
      <c r="G555" s="19"/>
      <c r="H555" s="19"/>
      <c r="I555" s="19"/>
      <c r="J555" s="19"/>
      <c r="K555" s="10"/>
      <c r="L555" s="10"/>
      <c r="M555" s="10"/>
      <c r="N555" s="10"/>
      <c r="O555" s="18"/>
      <c r="P555" s="18"/>
      <c r="Q555" s="21"/>
      <c r="R555" s="20"/>
      <c r="S555" s="16">
        <f t="shared" si="375"/>
        <v>0</v>
      </c>
      <c r="T555" s="11"/>
      <c r="AS555" s="31">
        <f t="shared" si="376"/>
        <v>0</v>
      </c>
      <c r="AT555" s="31">
        <f t="shared" si="377"/>
        <v>0</v>
      </c>
      <c r="AU555" s="31">
        <f t="shared" si="378"/>
        <v>0</v>
      </c>
      <c r="AV555" s="31">
        <f t="shared" si="379"/>
        <v>0</v>
      </c>
      <c r="AW555" s="31">
        <f t="shared" si="380"/>
        <v>0</v>
      </c>
      <c r="AX555" s="31">
        <f t="shared" si="381"/>
        <v>0</v>
      </c>
      <c r="AY555" s="31">
        <f t="shared" si="382"/>
        <v>0</v>
      </c>
      <c r="AZ555" s="31">
        <f t="shared" si="383"/>
        <v>0</v>
      </c>
      <c r="BA555" s="31">
        <f t="shared" si="384"/>
        <v>0</v>
      </c>
      <c r="BB555" s="31">
        <f t="shared" si="413"/>
        <v>0</v>
      </c>
      <c r="BM555" s="8">
        <f t="shared" si="414"/>
        <v>0</v>
      </c>
      <c r="BN555" s="8">
        <f t="shared" si="385"/>
        <v>0</v>
      </c>
      <c r="BO555" s="8">
        <f t="shared" si="386"/>
        <v>0</v>
      </c>
      <c r="BQ555" s="8">
        <f t="shared" si="387"/>
        <v>0</v>
      </c>
      <c r="BR555" s="63">
        <f t="shared" si="388"/>
        <v>0</v>
      </c>
      <c r="BS555" s="63">
        <f t="shared" si="415"/>
        <v>0</v>
      </c>
      <c r="BT555" s="63">
        <f t="shared" si="389"/>
        <v>0</v>
      </c>
      <c r="BU555" s="63">
        <f t="shared" si="390"/>
        <v>0</v>
      </c>
      <c r="BV555" s="57">
        <f t="shared" si="391"/>
        <v>0</v>
      </c>
      <c r="BW555" s="57">
        <f t="shared" si="392"/>
        <v>0</v>
      </c>
      <c r="BX555" s="57">
        <f t="shared" si="416"/>
        <v>0</v>
      </c>
      <c r="BY555" s="57">
        <f t="shared" si="420"/>
        <v>0</v>
      </c>
      <c r="BZ555" s="8">
        <f t="shared" si="393"/>
        <v>0</v>
      </c>
      <c r="CA555" s="8">
        <f t="shared" si="394"/>
        <v>0</v>
      </c>
      <c r="CB555" s="8">
        <f t="shared" si="395"/>
        <v>0</v>
      </c>
      <c r="CC555" s="8">
        <f t="shared" si="396"/>
        <v>0</v>
      </c>
      <c r="CD555" s="8">
        <f t="shared" si="397"/>
        <v>0</v>
      </c>
      <c r="CE555" s="8">
        <f t="shared" si="398"/>
        <v>0</v>
      </c>
      <c r="CF555" s="8">
        <f t="shared" si="399"/>
        <v>0</v>
      </c>
      <c r="CG555" s="8">
        <f t="shared" si="400"/>
        <v>0</v>
      </c>
      <c r="CH555" s="8">
        <f t="shared" si="401"/>
        <v>0</v>
      </c>
      <c r="CI555" s="8">
        <f t="shared" si="402"/>
        <v>0</v>
      </c>
      <c r="CJ555" s="8">
        <f t="shared" si="403"/>
        <v>0</v>
      </c>
      <c r="CK555" s="8">
        <f t="shared" si="404"/>
        <v>0</v>
      </c>
      <c r="CL555" s="8">
        <f t="shared" si="405"/>
        <v>0</v>
      </c>
      <c r="CM555" s="8">
        <f t="shared" si="406"/>
        <v>0</v>
      </c>
      <c r="CN555" s="8">
        <f t="shared" si="407"/>
        <v>0</v>
      </c>
      <c r="CO555" s="8">
        <f t="shared" si="408"/>
        <v>0</v>
      </c>
      <c r="CP555" s="8">
        <f t="shared" si="409"/>
        <v>0</v>
      </c>
      <c r="CQ555" s="8">
        <f t="shared" si="410"/>
        <v>0</v>
      </c>
      <c r="CR555" s="8">
        <f t="shared" si="411"/>
        <v>0</v>
      </c>
      <c r="CS555" s="8">
        <f t="shared" si="412"/>
        <v>0</v>
      </c>
      <c r="CT555" s="8">
        <f t="shared" si="417"/>
        <v>0</v>
      </c>
      <c r="CU555" s="8">
        <f t="shared" si="418"/>
        <v>0</v>
      </c>
      <c r="CV555" s="8">
        <f t="shared" si="419"/>
        <v>0</v>
      </c>
    </row>
    <row r="556" spans="1:100" ht="20.5" thickTop="1" thickBot="1" x14ac:dyDescent="0.5">
      <c r="A556" s="32"/>
      <c r="B556" s="10"/>
      <c r="C556" s="10"/>
      <c r="D556" s="11"/>
      <c r="E556" s="10"/>
      <c r="F556" s="10"/>
      <c r="G556" s="19"/>
      <c r="H556" s="19"/>
      <c r="I556" s="19"/>
      <c r="J556" s="19"/>
      <c r="K556" s="10"/>
      <c r="L556" s="10"/>
      <c r="M556" s="10"/>
      <c r="N556" s="10"/>
      <c r="O556" s="18"/>
      <c r="P556" s="18"/>
      <c r="Q556" s="21"/>
      <c r="R556" s="20"/>
      <c r="S556" s="16">
        <f t="shared" si="375"/>
        <v>0</v>
      </c>
      <c r="T556" s="11"/>
      <c r="AS556" s="31">
        <f t="shared" si="376"/>
        <v>0</v>
      </c>
      <c r="AT556" s="31">
        <f t="shared" si="377"/>
        <v>0</v>
      </c>
      <c r="AU556" s="31">
        <f t="shared" si="378"/>
        <v>0</v>
      </c>
      <c r="AV556" s="31">
        <f t="shared" si="379"/>
        <v>0</v>
      </c>
      <c r="AW556" s="31">
        <f t="shared" si="380"/>
        <v>0</v>
      </c>
      <c r="AX556" s="31">
        <f t="shared" si="381"/>
        <v>0</v>
      </c>
      <c r="AY556" s="31">
        <f t="shared" si="382"/>
        <v>0</v>
      </c>
      <c r="AZ556" s="31">
        <f t="shared" si="383"/>
        <v>0</v>
      </c>
      <c r="BA556" s="31">
        <f t="shared" si="384"/>
        <v>0</v>
      </c>
      <c r="BB556" s="31">
        <f t="shared" si="413"/>
        <v>0</v>
      </c>
      <c r="BM556" s="8">
        <f t="shared" si="414"/>
        <v>0</v>
      </c>
      <c r="BN556" s="8">
        <f t="shared" si="385"/>
        <v>0</v>
      </c>
      <c r="BO556" s="8">
        <f t="shared" si="386"/>
        <v>0</v>
      </c>
      <c r="BQ556" s="8">
        <f t="shared" si="387"/>
        <v>0</v>
      </c>
      <c r="BR556" s="63">
        <f t="shared" si="388"/>
        <v>0</v>
      </c>
      <c r="BS556" s="63">
        <f t="shared" si="415"/>
        <v>0</v>
      </c>
      <c r="BT556" s="63">
        <f t="shared" si="389"/>
        <v>0</v>
      </c>
      <c r="BU556" s="63">
        <f t="shared" si="390"/>
        <v>0</v>
      </c>
      <c r="BV556" s="57">
        <f t="shared" si="391"/>
        <v>0</v>
      </c>
      <c r="BW556" s="57">
        <f t="shared" si="392"/>
        <v>0</v>
      </c>
      <c r="BX556" s="57">
        <f t="shared" si="416"/>
        <v>0</v>
      </c>
      <c r="BY556" s="57">
        <f t="shared" si="420"/>
        <v>0</v>
      </c>
      <c r="BZ556" s="8">
        <f t="shared" si="393"/>
        <v>0</v>
      </c>
      <c r="CA556" s="8">
        <f t="shared" si="394"/>
        <v>0</v>
      </c>
      <c r="CB556" s="8">
        <f t="shared" si="395"/>
        <v>0</v>
      </c>
      <c r="CC556" s="8">
        <f t="shared" si="396"/>
        <v>0</v>
      </c>
      <c r="CD556" s="8">
        <f t="shared" si="397"/>
        <v>0</v>
      </c>
      <c r="CE556" s="8">
        <f t="shared" si="398"/>
        <v>0</v>
      </c>
      <c r="CF556" s="8">
        <f t="shared" si="399"/>
        <v>0</v>
      </c>
      <c r="CG556" s="8">
        <f t="shared" si="400"/>
        <v>0</v>
      </c>
      <c r="CH556" s="8">
        <f t="shared" si="401"/>
        <v>0</v>
      </c>
      <c r="CI556" s="8">
        <f t="shared" si="402"/>
        <v>0</v>
      </c>
      <c r="CJ556" s="8">
        <f t="shared" si="403"/>
        <v>0</v>
      </c>
      <c r="CK556" s="8">
        <f t="shared" si="404"/>
        <v>0</v>
      </c>
      <c r="CL556" s="8">
        <f t="shared" si="405"/>
        <v>0</v>
      </c>
      <c r="CM556" s="8">
        <f t="shared" si="406"/>
        <v>0</v>
      </c>
      <c r="CN556" s="8">
        <f t="shared" si="407"/>
        <v>0</v>
      </c>
      <c r="CO556" s="8">
        <f t="shared" si="408"/>
        <v>0</v>
      </c>
      <c r="CP556" s="8">
        <f t="shared" si="409"/>
        <v>0</v>
      </c>
      <c r="CQ556" s="8">
        <f t="shared" si="410"/>
        <v>0</v>
      </c>
      <c r="CR556" s="8">
        <f t="shared" si="411"/>
        <v>0</v>
      </c>
      <c r="CS556" s="8">
        <f t="shared" si="412"/>
        <v>0</v>
      </c>
      <c r="CT556" s="8">
        <f t="shared" si="417"/>
        <v>0</v>
      </c>
      <c r="CU556" s="8">
        <f t="shared" si="418"/>
        <v>0</v>
      </c>
      <c r="CV556" s="8">
        <f t="shared" si="419"/>
        <v>0</v>
      </c>
    </row>
    <row r="557" spans="1:100" ht="20.5" thickTop="1" thickBot="1" x14ac:dyDescent="0.5">
      <c r="A557" s="32"/>
      <c r="B557" s="10"/>
      <c r="C557" s="10"/>
      <c r="D557" s="11"/>
      <c r="E557" s="10"/>
      <c r="F557" s="10"/>
      <c r="G557" s="19"/>
      <c r="H557" s="19"/>
      <c r="I557" s="19"/>
      <c r="J557" s="19"/>
      <c r="K557" s="10"/>
      <c r="L557" s="10"/>
      <c r="M557" s="10"/>
      <c r="N557" s="10"/>
      <c r="O557" s="18"/>
      <c r="P557" s="18"/>
      <c r="Q557" s="21"/>
      <c r="R557" s="20"/>
      <c r="S557" s="16">
        <f t="shared" si="375"/>
        <v>0</v>
      </c>
      <c r="T557" s="11"/>
      <c r="AS557" s="31">
        <f t="shared" si="376"/>
        <v>0</v>
      </c>
      <c r="AT557" s="31">
        <f t="shared" si="377"/>
        <v>0</v>
      </c>
      <c r="AU557" s="31">
        <f t="shared" si="378"/>
        <v>0</v>
      </c>
      <c r="AV557" s="31">
        <f t="shared" si="379"/>
        <v>0</v>
      </c>
      <c r="AW557" s="31">
        <f t="shared" si="380"/>
        <v>0</v>
      </c>
      <c r="AX557" s="31">
        <f t="shared" si="381"/>
        <v>0</v>
      </c>
      <c r="AY557" s="31">
        <f t="shared" si="382"/>
        <v>0</v>
      </c>
      <c r="AZ557" s="31">
        <f t="shared" si="383"/>
        <v>0</v>
      </c>
      <c r="BA557" s="31">
        <f t="shared" si="384"/>
        <v>0</v>
      </c>
      <c r="BB557" s="31">
        <f t="shared" si="413"/>
        <v>0</v>
      </c>
      <c r="BM557" s="8">
        <f t="shared" si="414"/>
        <v>0</v>
      </c>
      <c r="BN557" s="8">
        <f t="shared" si="385"/>
        <v>0</v>
      </c>
      <c r="BO557" s="8">
        <f t="shared" si="386"/>
        <v>0</v>
      </c>
      <c r="BQ557" s="8">
        <f t="shared" si="387"/>
        <v>0</v>
      </c>
      <c r="BR557" s="63">
        <f t="shared" si="388"/>
        <v>0</v>
      </c>
      <c r="BS557" s="63">
        <f t="shared" si="415"/>
        <v>0</v>
      </c>
      <c r="BT557" s="63">
        <f t="shared" si="389"/>
        <v>0</v>
      </c>
      <c r="BU557" s="63">
        <f t="shared" si="390"/>
        <v>0</v>
      </c>
      <c r="BV557" s="57">
        <f t="shared" si="391"/>
        <v>0</v>
      </c>
      <c r="BW557" s="57">
        <f t="shared" si="392"/>
        <v>0</v>
      </c>
      <c r="BX557" s="57">
        <f t="shared" si="416"/>
        <v>0</v>
      </c>
      <c r="BY557" s="57">
        <f t="shared" si="420"/>
        <v>0</v>
      </c>
      <c r="BZ557" s="8">
        <f t="shared" si="393"/>
        <v>0</v>
      </c>
      <c r="CA557" s="8">
        <f t="shared" si="394"/>
        <v>0</v>
      </c>
      <c r="CB557" s="8">
        <f t="shared" si="395"/>
        <v>0</v>
      </c>
      <c r="CC557" s="8">
        <f t="shared" si="396"/>
        <v>0</v>
      </c>
      <c r="CD557" s="8">
        <f t="shared" si="397"/>
        <v>0</v>
      </c>
      <c r="CE557" s="8">
        <f t="shared" si="398"/>
        <v>0</v>
      </c>
      <c r="CF557" s="8">
        <f t="shared" si="399"/>
        <v>0</v>
      </c>
      <c r="CG557" s="8">
        <f t="shared" si="400"/>
        <v>0</v>
      </c>
      <c r="CH557" s="8">
        <f t="shared" si="401"/>
        <v>0</v>
      </c>
      <c r="CI557" s="8">
        <f t="shared" si="402"/>
        <v>0</v>
      </c>
      <c r="CJ557" s="8">
        <f t="shared" si="403"/>
        <v>0</v>
      </c>
      <c r="CK557" s="8">
        <f t="shared" si="404"/>
        <v>0</v>
      </c>
      <c r="CL557" s="8">
        <f t="shared" si="405"/>
        <v>0</v>
      </c>
      <c r="CM557" s="8">
        <f t="shared" si="406"/>
        <v>0</v>
      </c>
      <c r="CN557" s="8">
        <f t="shared" si="407"/>
        <v>0</v>
      </c>
      <c r="CO557" s="8">
        <f t="shared" si="408"/>
        <v>0</v>
      </c>
      <c r="CP557" s="8">
        <f t="shared" si="409"/>
        <v>0</v>
      </c>
      <c r="CQ557" s="8">
        <f t="shared" si="410"/>
        <v>0</v>
      </c>
      <c r="CR557" s="8">
        <f t="shared" si="411"/>
        <v>0</v>
      </c>
      <c r="CS557" s="8">
        <f t="shared" si="412"/>
        <v>0</v>
      </c>
      <c r="CT557" s="8">
        <f t="shared" si="417"/>
        <v>0</v>
      </c>
      <c r="CU557" s="8">
        <f t="shared" si="418"/>
        <v>0</v>
      </c>
      <c r="CV557" s="8">
        <f t="shared" si="419"/>
        <v>0</v>
      </c>
    </row>
    <row r="558" spans="1:100" ht="20.5" thickTop="1" thickBot="1" x14ac:dyDescent="0.5">
      <c r="A558" s="32"/>
      <c r="B558" s="10"/>
      <c r="C558" s="10"/>
      <c r="D558" s="11"/>
      <c r="E558" s="10"/>
      <c r="F558" s="10"/>
      <c r="G558" s="19"/>
      <c r="H558" s="19"/>
      <c r="I558" s="19"/>
      <c r="J558" s="19"/>
      <c r="K558" s="10"/>
      <c r="L558" s="10"/>
      <c r="M558" s="10"/>
      <c r="N558" s="10"/>
      <c r="O558" s="18"/>
      <c r="P558" s="18"/>
      <c r="Q558" s="21"/>
      <c r="R558" s="20"/>
      <c r="S558" s="16">
        <f t="shared" si="375"/>
        <v>0</v>
      </c>
      <c r="T558" s="11"/>
      <c r="AS558" s="31">
        <f t="shared" si="376"/>
        <v>0</v>
      </c>
      <c r="AT558" s="31">
        <f t="shared" si="377"/>
        <v>0</v>
      </c>
      <c r="AU558" s="31">
        <f t="shared" si="378"/>
        <v>0</v>
      </c>
      <c r="AV558" s="31">
        <f t="shared" si="379"/>
        <v>0</v>
      </c>
      <c r="AW558" s="31">
        <f t="shared" si="380"/>
        <v>0</v>
      </c>
      <c r="AX558" s="31">
        <f t="shared" si="381"/>
        <v>0</v>
      </c>
      <c r="AY558" s="31">
        <f t="shared" si="382"/>
        <v>0</v>
      </c>
      <c r="AZ558" s="31">
        <f t="shared" si="383"/>
        <v>0</v>
      </c>
      <c r="BA558" s="31">
        <f t="shared" si="384"/>
        <v>0</v>
      </c>
      <c r="BB558" s="31">
        <f t="shared" si="413"/>
        <v>0</v>
      </c>
      <c r="BM558" s="8">
        <f t="shared" si="414"/>
        <v>0</v>
      </c>
      <c r="BN558" s="8">
        <f t="shared" si="385"/>
        <v>0</v>
      </c>
      <c r="BO558" s="8">
        <f t="shared" si="386"/>
        <v>0</v>
      </c>
      <c r="BQ558" s="8">
        <f t="shared" si="387"/>
        <v>0</v>
      </c>
      <c r="BR558" s="63">
        <f t="shared" si="388"/>
        <v>0</v>
      </c>
      <c r="BS558" s="63">
        <f t="shared" si="415"/>
        <v>0</v>
      </c>
      <c r="BT558" s="63">
        <f t="shared" si="389"/>
        <v>0</v>
      </c>
      <c r="BU558" s="63">
        <f t="shared" si="390"/>
        <v>0</v>
      </c>
      <c r="BV558" s="57">
        <f t="shared" si="391"/>
        <v>0</v>
      </c>
      <c r="BW558" s="57">
        <f t="shared" si="392"/>
        <v>0</v>
      </c>
      <c r="BX558" s="57">
        <f t="shared" si="416"/>
        <v>0</v>
      </c>
      <c r="BY558" s="57">
        <f t="shared" si="420"/>
        <v>0</v>
      </c>
      <c r="BZ558" s="8">
        <f t="shared" si="393"/>
        <v>0</v>
      </c>
      <c r="CA558" s="8">
        <f t="shared" si="394"/>
        <v>0</v>
      </c>
      <c r="CB558" s="8">
        <f t="shared" si="395"/>
        <v>0</v>
      </c>
      <c r="CC558" s="8">
        <f t="shared" si="396"/>
        <v>0</v>
      </c>
      <c r="CD558" s="8">
        <f t="shared" si="397"/>
        <v>0</v>
      </c>
      <c r="CE558" s="8">
        <f t="shared" si="398"/>
        <v>0</v>
      </c>
      <c r="CF558" s="8">
        <f t="shared" si="399"/>
        <v>0</v>
      </c>
      <c r="CG558" s="8">
        <f t="shared" si="400"/>
        <v>0</v>
      </c>
      <c r="CH558" s="8">
        <f t="shared" si="401"/>
        <v>0</v>
      </c>
      <c r="CI558" s="8">
        <f t="shared" si="402"/>
        <v>0</v>
      </c>
      <c r="CJ558" s="8">
        <f t="shared" si="403"/>
        <v>0</v>
      </c>
      <c r="CK558" s="8">
        <f t="shared" si="404"/>
        <v>0</v>
      </c>
      <c r="CL558" s="8">
        <f t="shared" si="405"/>
        <v>0</v>
      </c>
      <c r="CM558" s="8">
        <f t="shared" si="406"/>
        <v>0</v>
      </c>
      <c r="CN558" s="8">
        <f t="shared" si="407"/>
        <v>0</v>
      </c>
      <c r="CO558" s="8">
        <f t="shared" si="408"/>
        <v>0</v>
      </c>
      <c r="CP558" s="8">
        <f t="shared" si="409"/>
        <v>0</v>
      </c>
      <c r="CQ558" s="8">
        <f t="shared" si="410"/>
        <v>0</v>
      </c>
      <c r="CR558" s="8">
        <f t="shared" si="411"/>
        <v>0</v>
      </c>
      <c r="CS558" s="8">
        <f t="shared" si="412"/>
        <v>0</v>
      </c>
      <c r="CT558" s="8">
        <f t="shared" si="417"/>
        <v>0</v>
      </c>
      <c r="CU558" s="8">
        <f t="shared" si="418"/>
        <v>0</v>
      </c>
      <c r="CV558" s="8">
        <f t="shared" si="419"/>
        <v>0</v>
      </c>
    </row>
    <row r="559" spans="1:100" ht="20.5" thickTop="1" thickBot="1" x14ac:dyDescent="0.5">
      <c r="A559" s="32"/>
      <c r="B559" s="10"/>
      <c r="C559" s="10"/>
      <c r="D559" s="11"/>
      <c r="E559" s="10"/>
      <c r="F559" s="10"/>
      <c r="G559" s="19"/>
      <c r="H559" s="19"/>
      <c r="I559" s="19"/>
      <c r="J559" s="19"/>
      <c r="K559" s="10"/>
      <c r="L559" s="10"/>
      <c r="M559" s="10"/>
      <c r="N559" s="10"/>
      <c r="O559" s="18"/>
      <c r="P559" s="18"/>
      <c r="Q559" s="21"/>
      <c r="R559" s="20"/>
      <c r="S559" s="16">
        <f t="shared" si="375"/>
        <v>0</v>
      </c>
      <c r="T559" s="11"/>
      <c r="AS559" s="31">
        <f t="shared" si="376"/>
        <v>0</v>
      </c>
      <c r="AT559" s="31">
        <f t="shared" si="377"/>
        <v>0</v>
      </c>
      <c r="AU559" s="31">
        <f t="shared" si="378"/>
        <v>0</v>
      </c>
      <c r="AV559" s="31">
        <f t="shared" si="379"/>
        <v>0</v>
      </c>
      <c r="AW559" s="31">
        <f t="shared" si="380"/>
        <v>0</v>
      </c>
      <c r="AX559" s="31">
        <f t="shared" si="381"/>
        <v>0</v>
      </c>
      <c r="AY559" s="31">
        <f t="shared" si="382"/>
        <v>0</v>
      </c>
      <c r="AZ559" s="31">
        <f t="shared" si="383"/>
        <v>0</v>
      </c>
      <c r="BA559" s="31">
        <f t="shared" si="384"/>
        <v>0</v>
      </c>
      <c r="BB559" s="31">
        <f t="shared" si="413"/>
        <v>0</v>
      </c>
      <c r="BM559" s="8">
        <f t="shared" si="414"/>
        <v>0</v>
      </c>
      <c r="BN559" s="8">
        <f t="shared" si="385"/>
        <v>0</v>
      </c>
      <c r="BO559" s="8">
        <f t="shared" si="386"/>
        <v>0</v>
      </c>
      <c r="BQ559" s="8">
        <f t="shared" si="387"/>
        <v>0</v>
      </c>
      <c r="BR559" s="63">
        <f t="shared" si="388"/>
        <v>0</v>
      </c>
      <c r="BS559" s="63">
        <f t="shared" si="415"/>
        <v>0</v>
      </c>
      <c r="BT559" s="63">
        <f t="shared" si="389"/>
        <v>0</v>
      </c>
      <c r="BU559" s="63">
        <f t="shared" si="390"/>
        <v>0</v>
      </c>
      <c r="BV559" s="57">
        <f t="shared" si="391"/>
        <v>0</v>
      </c>
      <c r="BW559" s="57">
        <f t="shared" si="392"/>
        <v>0</v>
      </c>
      <c r="BX559" s="57">
        <f t="shared" si="416"/>
        <v>0</v>
      </c>
      <c r="BY559" s="57">
        <f t="shared" si="420"/>
        <v>0</v>
      </c>
      <c r="BZ559" s="8">
        <f t="shared" si="393"/>
        <v>0</v>
      </c>
      <c r="CA559" s="8">
        <f t="shared" si="394"/>
        <v>0</v>
      </c>
      <c r="CB559" s="8">
        <f t="shared" si="395"/>
        <v>0</v>
      </c>
      <c r="CC559" s="8">
        <f t="shared" si="396"/>
        <v>0</v>
      </c>
      <c r="CD559" s="8">
        <f t="shared" si="397"/>
        <v>0</v>
      </c>
      <c r="CE559" s="8">
        <f t="shared" si="398"/>
        <v>0</v>
      </c>
      <c r="CF559" s="8">
        <f t="shared" si="399"/>
        <v>0</v>
      </c>
      <c r="CG559" s="8">
        <f t="shared" si="400"/>
        <v>0</v>
      </c>
      <c r="CH559" s="8">
        <f t="shared" si="401"/>
        <v>0</v>
      </c>
      <c r="CI559" s="8">
        <f t="shared" si="402"/>
        <v>0</v>
      </c>
      <c r="CJ559" s="8">
        <f t="shared" si="403"/>
        <v>0</v>
      </c>
      <c r="CK559" s="8">
        <f t="shared" si="404"/>
        <v>0</v>
      </c>
      <c r="CL559" s="8">
        <f t="shared" si="405"/>
        <v>0</v>
      </c>
      <c r="CM559" s="8">
        <f t="shared" si="406"/>
        <v>0</v>
      </c>
      <c r="CN559" s="8">
        <f t="shared" si="407"/>
        <v>0</v>
      </c>
      <c r="CO559" s="8">
        <f t="shared" si="408"/>
        <v>0</v>
      </c>
      <c r="CP559" s="8">
        <f t="shared" si="409"/>
        <v>0</v>
      </c>
      <c r="CQ559" s="8">
        <f t="shared" si="410"/>
        <v>0</v>
      </c>
      <c r="CR559" s="8">
        <f t="shared" si="411"/>
        <v>0</v>
      </c>
      <c r="CS559" s="8">
        <f t="shared" si="412"/>
        <v>0</v>
      </c>
      <c r="CT559" s="8">
        <f t="shared" si="417"/>
        <v>0</v>
      </c>
      <c r="CU559" s="8">
        <f t="shared" si="418"/>
        <v>0</v>
      </c>
      <c r="CV559" s="8">
        <f t="shared" si="419"/>
        <v>0</v>
      </c>
    </row>
    <row r="560" spans="1:100" ht="20.5" thickTop="1" thickBot="1" x14ac:dyDescent="0.5">
      <c r="A560" s="32"/>
      <c r="B560" s="10"/>
      <c r="C560" s="10"/>
      <c r="D560" s="11"/>
      <c r="E560" s="10"/>
      <c r="F560" s="10"/>
      <c r="G560" s="19"/>
      <c r="H560" s="19"/>
      <c r="I560" s="19"/>
      <c r="J560" s="19"/>
      <c r="K560" s="10"/>
      <c r="L560" s="10"/>
      <c r="M560" s="10"/>
      <c r="N560" s="10"/>
      <c r="O560" s="18"/>
      <c r="P560" s="18"/>
      <c r="Q560" s="21"/>
      <c r="R560" s="20"/>
      <c r="S560" s="16">
        <f t="shared" si="375"/>
        <v>0</v>
      </c>
      <c r="T560" s="11"/>
      <c r="AS560" s="31">
        <f t="shared" si="376"/>
        <v>0</v>
      </c>
      <c r="AT560" s="31">
        <f t="shared" si="377"/>
        <v>0</v>
      </c>
      <c r="AU560" s="31">
        <f t="shared" si="378"/>
        <v>0</v>
      </c>
      <c r="AV560" s="31">
        <f t="shared" si="379"/>
        <v>0</v>
      </c>
      <c r="AW560" s="31">
        <f t="shared" si="380"/>
        <v>0</v>
      </c>
      <c r="AX560" s="31">
        <f t="shared" si="381"/>
        <v>0</v>
      </c>
      <c r="AY560" s="31">
        <f t="shared" si="382"/>
        <v>0</v>
      </c>
      <c r="AZ560" s="31">
        <f t="shared" si="383"/>
        <v>0</v>
      </c>
      <c r="BA560" s="31">
        <f t="shared" si="384"/>
        <v>0</v>
      </c>
      <c r="BB560" s="31">
        <f t="shared" si="413"/>
        <v>0</v>
      </c>
      <c r="BM560" s="8">
        <f t="shared" si="414"/>
        <v>0</v>
      </c>
      <c r="BN560" s="8">
        <f t="shared" si="385"/>
        <v>0</v>
      </c>
      <c r="BO560" s="8">
        <f t="shared" si="386"/>
        <v>0</v>
      </c>
      <c r="BQ560" s="8">
        <f t="shared" si="387"/>
        <v>0</v>
      </c>
      <c r="BR560" s="63">
        <f t="shared" si="388"/>
        <v>0</v>
      </c>
      <c r="BS560" s="63">
        <f t="shared" si="415"/>
        <v>0</v>
      </c>
      <c r="BT560" s="63">
        <f t="shared" si="389"/>
        <v>0</v>
      </c>
      <c r="BU560" s="63">
        <f t="shared" si="390"/>
        <v>0</v>
      </c>
      <c r="BV560" s="57">
        <f t="shared" si="391"/>
        <v>0</v>
      </c>
      <c r="BW560" s="57">
        <f t="shared" si="392"/>
        <v>0</v>
      </c>
      <c r="BX560" s="57">
        <f t="shared" si="416"/>
        <v>0</v>
      </c>
      <c r="BY560" s="57">
        <f t="shared" si="420"/>
        <v>0</v>
      </c>
      <c r="BZ560" s="8">
        <f t="shared" si="393"/>
        <v>0</v>
      </c>
      <c r="CA560" s="8">
        <f t="shared" si="394"/>
        <v>0</v>
      </c>
      <c r="CB560" s="8">
        <f t="shared" si="395"/>
        <v>0</v>
      </c>
      <c r="CC560" s="8">
        <f t="shared" si="396"/>
        <v>0</v>
      </c>
      <c r="CD560" s="8">
        <f t="shared" si="397"/>
        <v>0</v>
      </c>
      <c r="CE560" s="8">
        <f t="shared" si="398"/>
        <v>0</v>
      </c>
      <c r="CF560" s="8">
        <f t="shared" si="399"/>
        <v>0</v>
      </c>
      <c r="CG560" s="8">
        <f t="shared" si="400"/>
        <v>0</v>
      </c>
      <c r="CH560" s="8">
        <f t="shared" si="401"/>
        <v>0</v>
      </c>
      <c r="CI560" s="8">
        <f t="shared" si="402"/>
        <v>0</v>
      </c>
      <c r="CJ560" s="8">
        <f t="shared" si="403"/>
        <v>0</v>
      </c>
      <c r="CK560" s="8">
        <f t="shared" si="404"/>
        <v>0</v>
      </c>
      <c r="CL560" s="8">
        <f t="shared" si="405"/>
        <v>0</v>
      </c>
      <c r="CM560" s="8">
        <f t="shared" si="406"/>
        <v>0</v>
      </c>
      <c r="CN560" s="8">
        <f t="shared" si="407"/>
        <v>0</v>
      </c>
      <c r="CO560" s="8">
        <f t="shared" si="408"/>
        <v>0</v>
      </c>
      <c r="CP560" s="8">
        <f t="shared" si="409"/>
        <v>0</v>
      </c>
      <c r="CQ560" s="8">
        <f t="shared" si="410"/>
        <v>0</v>
      </c>
      <c r="CR560" s="8">
        <f t="shared" si="411"/>
        <v>0</v>
      </c>
      <c r="CS560" s="8">
        <f t="shared" si="412"/>
        <v>0</v>
      </c>
      <c r="CT560" s="8">
        <f t="shared" si="417"/>
        <v>0</v>
      </c>
      <c r="CU560" s="8">
        <f t="shared" si="418"/>
        <v>0</v>
      </c>
      <c r="CV560" s="8">
        <f t="shared" si="419"/>
        <v>0</v>
      </c>
    </row>
    <row r="561" spans="1:100" ht="20.5" thickTop="1" thickBot="1" x14ac:dyDescent="0.5">
      <c r="A561" s="32"/>
      <c r="B561" s="10"/>
      <c r="C561" s="10"/>
      <c r="D561" s="11"/>
      <c r="E561" s="10"/>
      <c r="F561" s="10"/>
      <c r="G561" s="19"/>
      <c r="H561" s="19"/>
      <c r="I561" s="19"/>
      <c r="J561" s="19"/>
      <c r="K561" s="10"/>
      <c r="L561" s="10"/>
      <c r="M561" s="10"/>
      <c r="N561" s="10"/>
      <c r="O561" s="18"/>
      <c r="P561" s="18"/>
      <c r="Q561" s="21"/>
      <c r="R561" s="20"/>
      <c r="S561" s="16">
        <f t="shared" si="375"/>
        <v>0</v>
      </c>
      <c r="T561" s="11"/>
      <c r="AS561" s="31">
        <f t="shared" si="376"/>
        <v>0</v>
      </c>
      <c r="AT561" s="31">
        <f t="shared" si="377"/>
        <v>0</v>
      </c>
      <c r="AU561" s="31">
        <f t="shared" si="378"/>
        <v>0</v>
      </c>
      <c r="AV561" s="31">
        <f t="shared" si="379"/>
        <v>0</v>
      </c>
      <c r="AW561" s="31">
        <f t="shared" si="380"/>
        <v>0</v>
      </c>
      <c r="AX561" s="31">
        <f t="shared" si="381"/>
        <v>0</v>
      </c>
      <c r="AY561" s="31">
        <f t="shared" si="382"/>
        <v>0</v>
      </c>
      <c r="AZ561" s="31">
        <f t="shared" si="383"/>
        <v>0</v>
      </c>
      <c r="BA561" s="31">
        <f t="shared" si="384"/>
        <v>0</v>
      </c>
      <c r="BB561" s="31">
        <f t="shared" si="413"/>
        <v>0</v>
      </c>
      <c r="BM561" s="8">
        <f t="shared" si="414"/>
        <v>0</v>
      </c>
      <c r="BN561" s="8">
        <f t="shared" si="385"/>
        <v>0</v>
      </c>
      <c r="BO561" s="8">
        <f t="shared" si="386"/>
        <v>0</v>
      </c>
      <c r="BQ561" s="8">
        <f t="shared" si="387"/>
        <v>0</v>
      </c>
      <c r="BR561" s="63">
        <f t="shared" si="388"/>
        <v>0</v>
      </c>
      <c r="BS561" s="63">
        <f t="shared" si="415"/>
        <v>0</v>
      </c>
      <c r="BT561" s="63">
        <f t="shared" si="389"/>
        <v>0</v>
      </c>
      <c r="BU561" s="63">
        <f t="shared" si="390"/>
        <v>0</v>
      </c>
      <c r="BV561" s="57">
        <f t="shared" si="391"/>
        <v>0</v>
      </c>
      <c r="BW561" s="57">
        <f t="shared" si="392"/>
        <v>0</v>
      </c>
      <c r="BX561" s="57">
        <f t="shared" si="416"/>
        <v>0</v>
      </c>
      <c r="BY561" s="57">
        <f t="shared" si="420"/>
        <v>0</v>
      </c>
      <c r="BZ561" s="8">
        <f t="shared" si="393"/>
        <v>0</v>
      </c>
      <c r="CA561" s="8">
        <f t="shared" si="394"/>
        <v>0</v>
      </c>
      <c r="CB561" s="8">
        <f t="shared" si="395"/>
        <v>0</v>
      </c>
      <c r="CC561" s="8">
        <f t="shared" si="396"/>
        <v>0</v>
      </c>
      <c r="CD561" s="8">
        <f t="shared" si="397"/>
        <v>0</v>
      </c>
      <c r="CE561" s="8">
        <f t="shared" si="398"/>
        <v>0</v>
      </c>
      <c r="CF561" s="8">
        <f t="shared" si="399"/>
        <v>0</v>
      </c>
      <c r="CG561" s="8">
        <f t="shared" si="400"/>
        <v>0</v>
      </c>
      <c r="CH561" s="8">
        <f t="shared" si="401"/>
        <v>0</v>
      </c>
      <c r="CI561" s="8">
        <f t="shared" si="402"/>
        <v>0</v>
      </c>
      <c r="CJ561" s="8">
        <f t="shared" si="403"/>
        <v>0</v>
      </c>
      <c r="CK561" s="8">
        <f t="shared" si="404"/>
        <v>0</v>
      </c>
      <c r="CL561" s="8">
        <f t="shared" si="405"/>
        <v>0</v>
      </c>
      <c r="CM561" s="8">
        <f t="shared" si="406"/>
        <v>0</v>
      </c>
      <c r="CN561" s="8">
        <f t="shared" si="407"/>
        <v>0</v>
      </c>
      <c r="CO561" s="8">
        <f t="shared" si="408"/>
        <v>0</v>
      </c>
      <c r="CP561" s="8">
        <f t="shared" si="409"/>
        <v>0</v>
      </c>
      <c r="CQ561" s="8">
        <f t="shared" si="410"/>
        <v>0</v>
      </c>
      <c r="CR561" s="8">
        <f t="shared" si="411"/>
        <v>0</v>
      </c>
      <c r="CS561" s="8">
        <f t="shared" si="412"/>
        <v>0</v>
      </c>
      <c r="CT561" s="8">
        <f t="shared" si="417"/>
        <v>0</v>
      </c>
      <c r="CU561" s="8">
        <f t="shared" si="418"/>
        <v>0</v>
      </c>
      <c r="CV561" s="8">
        <f t="shared" si="419"/>
        <v>0</v>
      </c>
    </row>
    <row r="562" spans="1:100" ht="20.5" thickTop="1" thickBot="1" x14ac:dyDescent="0.5">
      <c r="A562" s="32"/>
      <c r="B562" s="10"/>
      <c r="C562" s="10"/>
      <c r="D562" s="11"/>
      <c r="E562" s="10"/>
      <c r="F562" s="10"/>
      <c r="G562" s="19"/>
      <c r="H562" s="19"/>
      <c r="I562" s="19"/>
      <c r="J562" s="19"/>
      <c r="K562" s="10"/>
      <c r="L562" s="10"/>
      <c r="M562" s="10"/>
      <c r="N562" s="10"/>
      <c r="O562" s="18"/>
      <c r="P562" s="18"/>
      <c r="Q562" s="21"/>
      <c r="R562" s="20"/>
      <c r="S562" s="16">
        <f t="shared" si="375"/>
        <v>0</v>
      </c>
      <c r="T562" s="11"/>
      <c r="AS562" s="31">
        <f t="shared" si="376"/>
        <v>0</v>
      </c>
      <c r="AT562" s="31">
        <f t="shared" si="377"/>
        <v>0</v>
      </c>
      <c r="AU562" s="31">
        <f t="shared" si="378"/>
        <v>0</v>
      </c>
      <c r="AV562" s="31">
        <f t="shared" si="379"/>
        <v>0</v>
      </c>
      <c r="AW562" s="31">
        <f t="shared" si="380"/>
        <v>0</v>
      </c>
      <c r="AX562" s="31">
        <f t="shared" si="381"/>
        <v>0</v>
      </c>
      <c r="AY562" s="31">
        <f t="shared" si="382"/>
        <v>0</v>
      </c>
      <c r="AZ562" s="31">
        <f t="shared" si="383"/>
        <v>0</v>
      </c>
      <c r="BA562" s="31">
        <f t="shared" si="384"/>
        <v>0</v>
      </c>
      <c r="BB562" s="31">
        <f t="shared" si="413"/>
        <v>0</v>
      </c>
      <c r="BM562" s="8">
        <f t="shared" si="414"/>
        <v>0</v>
      </c>
      <c r="BN562" s="8">
        <f t="shared" si="385"/>
        <v>0</v>
      </c>
      <c r="BO562" s="8">
        <f t="shared" si="386"/>
        <v>0</v>
      </c>
      <c r="BQ562" s="8">
        <f t="shared" si="387"/>
        <v>0</v>
      </c>
      <c r="BR562" s="63">
        <f t="shared" si="388"/>
        <v>0</v>
      </c>
      <c r="BS562" s="63">
        <f t="shared" si="415"/>
        <v>0</v>
      </c>
      <c r="BT562" s="63">
        <f t="shared" si="389"/>
        <v>0</v>
      </c>
      <c r="BU562" s="63">
        <f t="shared" si="390"/>
        <v>0</v>
      </c>
      <c r="BV562" s="57">
        <f t="shared" si="391"/>
        <v>0</v>
      </c>
      <c r="BW562" s="57">
        <f t="shared" si="392"/>
        <v>0</v>
      </c>
      <c r="BX562" s="57">
        <f t="shared" si="416"/>
        <v>0</v>
      </c>
      <c r="BY562" s="57">
        <f t="shared" si="420"/>
        <v>0</v>
      </c>
      <c r="BZ562" s="8">
        <f t="shared" si="393"/>
        <v>0</v>
      </c>
      <c r="CA562" s="8">
        <f t="shared" si="394"/>
        <v>0</v>
      </c>
      <c r="CB562" s="8">
        <f t="shared" si="395"/>
        <v>0</v>
      </c>
      <c r="CC562" s="8">
        <f t="shared" si="396"/>
        <v>0</v>
      </c>
      <c r="CD562" s="8">
        <f t="shared" si="397"/>
        <v>0</v>
      </c>
      <c r="CE562" s="8">
        <f t="shared" si="398"/>
        <v>0</v>
      </c>
      <c r="CF562" s="8">
        <f t="shared" si="399"/>
        <v>0</v>
      </c>
      <c r="CG562" s="8">
        <f t="shared" si="400"/>
        <v>0</v>
      </c>
      <c r="CH562" s="8">
        <f t="shared" si="401"/>
        <v>0</v>
      </c>
      <c r="CI562" s="8">
        <f t="shared" si="402"/>
        <v>0</v>
      </c>
      <c r="CJ562" s="8">
        <f t="shared" si="403"/>
        <v>0</v>
      </c>
      <c r="CK562" s="8">
        <f t="shared" si="404"/>
        <v>0</v>
      </c>
      <c r="CL562" s="8">
        <f t="shared" si="405"/>
        <v>0</v>
      </c>
      <c r="CM562" s="8">
        <f t="shared" si="406"/>
        <v>0</v>
      </c>
      <c r="CN562" s="8">
        <f t="shared" si="407"/>
        <v>0</v>
      </c>
      <c r="CO562" s="8">
        <f t="shared" si="408"/>
        <v>0</v>
      </c>
      <c r="CP562" s="8">
        <f t="shared" si="409"/>
        <v>0</v>
      </c>
      <c r="CQ562" s="8">
        <f t="shared" si="410"/>
        <v>0</v>
      </c>
      <c r="CR562" s="8">
        <f t="shared" si="411"/>
        <v>0</v>
      </c>
      <c r="CS562" s="8">
        <f t="shared" si="412"/>
        <v>0</v>
      </c>
      <c r="CT562" s="8">
        <f t="shared" si="417"/>
        <v>0</v>
      </c>
      <c r="CU562" s="8">
        <f t="shared" si="418"/>
        <v>0</v>
      </c>
      <c r="CV562" s="8">
        <f t="shared" si="419"/>
        <v>0</v>
      </c>
    </row>
    <row r="563" spans="1:100" ht="20.5" thickTop="1" thickBot="1" x14ac:dyDescent="0.5">
      <c r="A563" s="32"/>
      <c r="B563" s="10"/>
      <c r="C563" s="10"/>
      <c r="D563" s="11"/>
      <c r="E563" s="10"/>
      <c r="F563" s="10"/>
      <c r="G563" s="19"/>
      <c r="H563" s="19"/>
      <c r="I563" s="19"/>
      <c r="J563" s="19"/>
      <c r="K563" s="10"/>
      <c r="L563" s="10"/>
      <c r="M563" s="10"/>
      <c r="N563" s="10"/>
      <c r="O563" s="18"/>
      <c r="P563" s="18"/>
      <c r="Q563" s="21"/>
      <c r="R563" s="20"/>
      <c r="S563" s="16">
        <f t="shared" si="375"/>
        <v>0</v>
      </c>
      <c r="T563" s="11"/>
      <c r="AS563" s="31">
        <f t="shared" si="376"/>
        <v>0</v>
      </c>
      <c r="AT563" s="31">
        <f t="shared" si="377"/>
        <v>0</v>
      </c>
      <c r="AU563" s="31">
        <f t="shared" si="378"/>
        <v>0</v>
      </c>
      <c r="AV563" s="31">
        <f t="shared" si="379"/>
        <v>0</v>
      </c>
      <c r="AW563" s="31">
        <f t="shared" si="380"/>
        <v>0</v>
      </c>
      <c r="AX563" s="31">
        <f t="shared" si="381"/>
        <v>0</v>
      </c>
      <c r="AY563" s="31">
        <f t="shared" si="382"/>
        <v>0</v>
      </c>
      <c r="AZ563" s="31">
        <f t="shared" si="383"/>
        <v>0</v>
      </c>
      <c r="BA563" s="31">
        <f t="shared" si="384"/>
        <v>0</v>
      </c>
      <c r="BB563" s="31">
        <f t="shared" si="413"/>
        <v>0</v>
      </c>
      <c r="BM563" s="8">
        <f t="shared" si="414"/>
        <v>0</v>
      </c>
      <c r="BN563" s="8">
        <f t="shared" si="385"/>
        <v>0</v>
      </c>
      <c r="BO563" s="8">
        <f t="shared" si="386"/>
        <v>0</v>
      </c>
      <c r="BQ563" s="8">
        <f t="shared" si="387"/>
        <v>0</v>
      </c>
      <c r="BR563" s="63">
        <f t="shared" si="388"/>
        <v>0</v>
      </c>
      <c r="BS563" s="63">
        <f t="shared" si="415"/>
        <v>0</v>
      </c>
      <c r="BT563" s="63">
        <f t="shared" si="389"/>
        <v>0</v>
      </c>
      <c r="BU563" s="63">
        <f t="shared" si="390"/>
        <v>0</v>
      </c>
      <c r="BV563" s="57">
        <f t="shared" si="391"/>
        <v>0</v>
      </c>
      <c r="BW563" s="57">
        <f t="shared" si="392"/>
        <v>0</v>
      </c>
      <c r="BX563" s="57">
        <f t="shared" si="416"/>
        <v>0</v>
      </c>
      <c r="BY563" s="57">
        <f t="shared" si="420"/>
        <v>0</v>
      </c>
      <c r="BZ563" s="8">
        <f t="shared" si="393"/>
        <v>0</v>
      </c>
      <c r="CA563" s="8">
        <f t="shared" si="394"/>
        <v>0</v>
      </c>
      <c r="CB563" s="8">
        <f t="shared" si="395"/>
        <v>0</v>
      </c>
      <c r="CC563" s="8">
        <f t="shared" si="396"/>
        <v>0</v>
      </c>
      <c r="CD563" s="8">
        <f t="shared" si="397"/>
        <v>0</v>
      </c>
      <c r="CE563" s="8">
        <f t="shared" si="398"/>
        <v>0</v>
      </c>
      <c r="CF563" s="8">
        <f t="shared" si="399"/>
        <v>0</v>
      </c>
      <c r="CG563" s="8">
        <f t="shared" si="400"/>
        <v>0</v>
      </c>
      <c r="CH563" s="8">
        <f t="shared" si="401"/>
        <v>0</v>
      </c>
      <c r="CI563" s="8">
        <f t="shared" si="402"/>
        <v>0</v>
      </c>
      <c r="CJ563" s="8">
        <f t="shared" si="403"/>
        <v>0</v>
      </c>
      <c r="CK563" s="8">
        <f t="shared" si="404"/>
        <v>0</v>
      </c>
      <c r="CL563" s="8">
        <f t="shared" si="405"/>
        <v>0</v>
      </c>
      <c r="CM563" s="8">
        <f t="shared" si="406"/>
        <v>0</v>
      </c>
      <c r="CN563" s="8">
        <f t="shared" si="407"/>
        <v>0</v>
      </c>
      <c r="CO563" s="8">
        <f t="shared" si="408"/>
        <v>0</v>
      </c>
      <c r="CP563" s="8">
        <f t="shared" si="409"/>
        <v>0</v>
      </c>
      <c r="CQ563" s="8">
        <f t="shared" si="410"/>
        <v>0</v>
      </c>
      <c r="CR563" s="8">
        <f t="shared" si="411"/>
        <v>0</v>
      </c>
      <c r="CS563" s="8">
        <f t="shared" si="412"/>
        <v>0</v>
      </c>
      <c r="CT563" s="8">
        <f t="shared" si="417"/>
        <v>0</v>
      </c>
      <c r="CU563" s="8">
        <f t="shared" si="418"/>
        <v>0</v>
      </c>
      <c r="CV563" s="8">
        <f t="shared" si="419"/>
        <v>0</v>
      </c>
    </row>
    <row r="564" spans="1:100" ht="20.5" thickTop="1" thickBot="1" x14ac:dyDescent="0.5">
      <c r="A564" s="32"/>
      <c r="B564" s="10"/>
      <c r="C564" s="10"/>
      <c r="D564" s="11"/>
      <c r="E564" s="10"/>
      <c r="F564" s="10"/>
      <c r="G564" s="19"/>
      <c r="H564" s="19"/>
      <c r="I564" s="19"/>
      <c r="J564" s="19"/>
      <c r="K564" s="10"/>
      <c r="L564" s="10"/>
      <c r="M564" s="10"/>
      <c r="N564" s="10"/>
      <c r="O564" s="18"/>
      <c r="P564" s="18"/>
      <c r="Q564" s="21"/>
      <c r="R564" s="20"/>
      <c r="S564" s="16">
        <f t="shared" si="375"/>
        <v>0</v>
      </c>
      <c r="T564" s="11"/>
      <c r="AS564" s="31">
        <f t="shared" si="376"/>
        <v>0</v>
      </c>
      <c r="AT564" s="31">
        <f t="shared" si="377"/>
        <v>0</v>
      </c>
      <c r="AU564" s="31">
        <f t="shared" si="378"/>
        <v>0</v>
      </c>
      <c r="AV564" s="31">
        <f t="shared" si="379"/>
        <v>0</v>
      </c>
      <c r="AW564" s="31">
        <f t="shared" si="380"/>
        <v>0</v>
      </c>
      <c r="AX564" s="31">
        <f t="shared" si="381"/>
        <v>0</v>
      </c>
      <c r="AY564" s="31">
        <f t="shared" si="382"/>
        <v>0</v>
      </c>
      <c r="AZ564" s="31">
        <f t="shared" si="383"/>
        <v>0</v>
      </c>
      <c r="BA564" s="31">
        <f t="shared" si="384"/>
        <v>0</v>
      </c>
      <c r="BB564" s="31">
        <f t="shared" si="413"/>
        <v>0</v>
      </c>
      <c r="BM564" s="8">
        <f t="shared" si="414"/>
        <v>0</v>
      </c>
      <c r="BN564" s="8">
        <f t="shared" si="385"/>
        <v>0</v>
      </c>
      <c r="BO564" s="8">
        <f t="shared" si="386"/>
        <v>0</v>
      </c>
      <c r="BQ564" s="8">
        <f t="shared" si="387"/>
        <v>0</v>
      </c>
      <c r="BR564" s="63">
        <f t="shared" si="388"/>
        <v>0</v>
      </c>
      <c r="BS564" s="63">
        <f t="shared" si="415"/>
        <v>0</v>
      </c>
      <c r="BT564" s="63">
        <f t="shared" si="389"/>
        <v>0</v>
      </c>
      <c r="BU564" s="63">
        <f t="shared" si="390"/>
        <v>0</v>
      </c>
      <c r="BV564" s="57">
        <f t="shared" si="391"/>
        <v>0</v>
      </c>
      <c r="BW564" s="57">
        <f t="shared" si="392"/>
        <v>0</v>
      </c>
      <c r="BX564" s="57">
        <f t="shared" si="416"/>
        <v>0</v>
      </c>
      <c r="BY564" s="57">
        <f t="shared" si="420"/>
        <v>0</v>
      </c>
      <c r="BZ564" s="8">
        <f t="shared" si="393"/>
        <v>0</v>
      </c>
      <c r="CA564" s="8">
        <f t="shared" si="394"/>
        <v>0</v>
      </c>
      <c r="CB564" s="8">
        <f t="shared" si="395"/>
        <v>0</v>
      </c>
      <c r="CC564" s="8">
        <f t="shared" si="396"/>
        <v>0</v>
      </c>
      <c r="CD564" s="8">
        <f t="shared" si="397"/>
        <v>0</v>
      </c>
      <c r="CE564" s="8">
        <f t="shared" si="398"/>
        <v>0</v>
      </c>
      <c r="CF564" s="8">
        <f t="shared" si="399"/>
        <v>0</v>
      </c>
      <c r="CG564" s="8">
        <f t="shared" si="400"/>
        <v>0</v>
      </c>
      <c r="CH564" s="8">
        <f t="shared" si="401"/>
        <v>0</v>
      </c>
      <c r="CI564" s="8">
        <f t="shared" si="402"/>
        <v>0</v>
      </c>
      <c r="CJ564" s="8">
        <f t="shared" si="403"/>
        <v>0</v>
      </c>
      <c r="CK564" s="8">
        <f t="shared" si="404"/>
        <v>0</v>
      </c>
      <c r="CL564" s="8">
        <f t="shared" si="405"/>
        <v>0</v>
      </c>
      <c r="CM564" s="8">
        <f t="shared" si="406"/>
        <v>0</v>
      </c>
      <c r="CN564" s="8">
        <f t="shared" si="407"/>
        <v>0</v>
      </c>
      <c r="CO564" s="8">
        <f t="shared" si="408"/>
        <v>0</v>
      </c>
      <c r="CP564" s="8">
        <f t="shared" si="409"/>
        <v>0</v>
      </c>
      <c r="CQ564" s="8">
        <f t="shared" si="410"/>
        <v>0</v>
      </c>
      <c r="CR564" s="8">
        <f t="shared" si="411"/>
        <v>0</v>
      </c>
      <c r="CS564" s="8">
        <f t="shared" si="412"/>
        <v>0</v>
      </c>
      <c r="CT564" s="8">
        <f t="shared" si="417"/>
        <v>0</v>
      </c>
      <c r="CU564" s="8">
        <f t="shared" si="418"/>
        <v>0</v>
      </c>
      <c r="CV564" s="8">
        <f t="shared" si="419"/>
        <v>0</v>
      </c>
    </row>
    <row r="565" spans="1:100" ht="20.5" thickTop="1" thickBot="1" x14ac:dyDescent="0.5">
      <c r="A565" s="32"/>
      <c r="B565" s="10"/>
      <c r="C565" s="10"/>
      <c r="D565" s="11"/>
      <c r="E565" s="10"/>
      <c r="F565" s="10"/>
      <c r="G565" s="19"/>
      <c r="H565" s="19"/>
      <c r="I565" s="19"/>
      <c r="J565" s="19"/>
      <c r="K565" s="10"/>
      <c r="L565" s="10"/>
      <c r="M565" s="10"/>
      <c r="N565" s="10"/>
      <c r="O565" s="18"/>
      <c r="P565" s="18"/>
      <c r="Q565" s="21"/>
      <c r="R565" s="20"/>
      <c r="S565" s="16">
        <f t="shared" si="375"/>
        <v>0</v>
      </c>
      <c r="T565" s="11"/>
      <c r="AS565" s="31">
        <f t="shared" si="376"/>
        <v>0</v>
      </c>
      <c r="AT565" s="31">
        <f t="shared" si="377"/>
        <v>0</v>
      </c>
      <c r="AU565" s="31">
        <f t="shared" si="378"/>
        <v>0</v>
      </c>
      <c r="AV565" s="31">
        <f t="shared" si="379"/>
        <v>0</v>
      </c>
      <c r="AW565" s="31">
        <f t="shared" si="380"/>
        <v>0</v>
      </c>
      <c r="AX565" s="31">
        <f t="shared" si="381"/>
        <v>0</v>
      </c>
      <c r="AY565" s="31">
        <f t="shared" si="382"/>
        <v>0</v>
      </c>
      <c r="AZ565" s="31">
        <f t="shared" si="383"/>
        <v>0</v>
      </c>
      <c r="BA565" s="31">
        <f t="shared" si="384"/>
        <v>0</v>
      </c>
      <c r="BB565" s="31">
        <f t="shared" si="413"/>
        <v>0</v>
      </c>
      <c r="BM565" s="8">
        <f t="shared" si="414"/>
        <v>0</v>
      </c>
      <c r="BN565" s="8">
        <f t="shared" si="385"/>
        <v>0</v>
      </c>
      <c r="BO565" s="8">
        <f t="shared" si="386"/>
        <v>0</v>
      </c>
      <c r="BQ565" s="8">
        <f t="shared" si="387"/>
        <v>0</v>
      </c>
      <c r="BR565" s="63">
        <f t="shared" si="388"/>
        <v>0</v>
      </c>
      <c r="BS565" s="63">
        <f t="shared" si="415"/>
        <v>0</v>
      </c>
      <c r="BT565" s="63">
        <f t="shared" si="389"/>
        <v>0</v>
      </c>
      <c r="BU565" s="63">
        <f t="shared" si="390"/>
        <v>0</v>
      </c>
      <c r="BV565" s="57">
        <f t="shared" si="391"/>
        <v>0</v>
      </c>
      <c r="BW565" s="57">
        <f t="shared" si="392"/>
        <v>0</v>
      </c>
      <c r="BX565" s="57">
        <f t="shared" si="416"/>
        <v>0</v>
      </c>
      <c r="BY565" s="57">
        <f t="shared" si="420"/>
        <v>0</v>
      </c>
      <c r="BZ565" s="8">
        <f t="shared" si="393"/>
        <v>0</v>
      </c>
      <c r="CA565" s="8">
        <f t="shared" si="394"/>
        <v>0</v>
      </c>
      <c r="CB565" s="8">
        <f t="shared" si="395"/>
        <v>0</v>
      </c>
      <c r="CC565" s="8">
        <f t="shared" si="396"/>
        <v>0</v>
      </c>
      <c r="CD565" s="8">
        <f t="shared" si="397"/>
        <v>0</v>
      </c>
      <c r="CE565" s="8">
        <f t="shared" si="398"/>
        <v>0</v>
      </c>
      <c r="CF565" s="8">
        <f t="shared" si="399"/>
        <v>0</v>
      </c>
      <c r="CG565" s="8">
        <f t="shared" si="400"/>
        <v>0</v>
      </c>
      <c r="CH565" s="8">
        <f t="shared" si="401"/>
        <v>0</v>
      </c>
      <c r="CI565" s="8">
        <f t="shared" si="402"/>
        <v>0</v>
      </c>
      <c r="CJ565" s="8">
        <f t="shared" si="403"/>
        <v>0</v>
      </c>
      <c r="CK565" s="8">
        <f t="shared" si="404"/>
        <v>0</v>
      </c>
      <c r="CL565" s="8">
        <f t="shared" si="405"/>
        <v>0</v>
      </c>
      <c r="CM565" s="8">
        <f t="shared" si="406"/>
        <v>0</v>
      </c>
      <c r="CN565" s="8">
        <f t="shared" si="407"/>
        <v>0</v>
      </c>
      <c r="CO565" s="8">
        <f t="shared" si="408"/>
        <v>0</v>
      </c>
      <c r="CP565" s="8">
        <f t="shared" si="409"/>
        <v>0</v>
      </c>
      <c r="CQ565" s="8">
        <f t="shared" si="410"/>
        <v>0</v>
      </c>
      <c r="CR565" s="8">
        <f t="shared" si="411"/>
        <v>0</v>
      </c>
      <c r="CS565" s="8">
        <f t="shared" si="412"/>
        <v>0</v>
      </c>
      <c r="CT565" s="8">
        <f t="shared" si="417"/>
        <v>0</v>
      </c>
      <c r="CU565" s="8">
        <f t="shared" si="418"/>
        <v>0</v>
      </c>
      <c r="CV565" s="8">
        <f t="shared" si="419"/>
        <v>0</v>
      </c>
    </row>
    <row r="566" spans="1:100" ht="20.5" thickTop="1" thickBot="1" x14ac:dyDescent="0.5">
      <c r="A566" s="32"/>
      <c r="B566" s="10"/>
      <c r="C566" s="10"/>
      <c r="D566" s="11"/>
      <c r="E566" s="10"/>
      <c r="F566" s="10"/>
      <c r="G566" s="19"/>
      <c r="H566" s="19"/>
      <c r="I566" s="19"/>
      <c r="J566" s="19"/>
      <c r="K566" s="10"/>
      <c r="L566" s="10"/>
      <c r="M566" s="10"/>
      <c r="N566" s="10"/>
      <c r="O566" s="18"/>
      <c r="P566" s="18"/>
      <c r="Q566" s="21"/>
      <c r="R566" s="20"/>
      <c r="S566" s="16">
        <f t="shared" si="375"/>
        <v>0</v>
      </c>
      <c r="T566" s="11"/>
      <c r="AS566" s="31">
        <f t="shared" si="376"/>
        <v>0</v>
      </c>
      <c r="AT566" s="31">
        <f t="shared" si="377"/>
        <v>0</v>
      </c>
      <c r="AU566" s="31">
        <f t="shared" si="378"/>
        <v>0</v>
      </c>
      <c r="AV566" s="31">
        <f t="shared" si="379"/>
        <v>0</v>
      </c>
      <c r="AW566" s="31">
        <f t="shared" si="380"/>
        <v>0</v>
      </c>
      <c r="AX566" s="31">
        <f t="shared" si="381"/>
        <v>0</v>
      </c>
      <c r="AY566" s="31">
        <f t="shared" si="382"/>
        <v>0</v>
      </c>
      <c r="AZ566" s="31">
        <f t="shared" si="383"/>
        <v>0</v>
      </c>
      <c r="BA566" s="31">
        <f t="shared" si="384"/>
        <v>0</v>
      </c>
      <c r="BB566" s="31">
        <f t="shared" si="413"/>
        <v>0</v>
      </c>
      <c r="BM566" s="8">
        <f t="shared" si="414"/>
        <v>0</v>
      </c>
      <c r="BN566" s="8">
        <f t="shared" si="385"/>
        <v>0</v>
      </c>
      <c r="BO566" s="8">
        <f t="shared" si="386"/>
        <v>0</v>
      </c>
      <c r="BQ566" s="8">
        <f t="shared" si="387"/>
        <v>0</v>
      </c>
      <c r="BR566" s="63">
        <f t="shared" si="388"/>
        <v>0</v>
      </c>
      <c r="BS566" s="63">
        <f t="shared" si="415"/>
        <v>0</v>
      </c>
      <c r="BT566" s="63">
        <f t="shared" si="389"/>
        <v>0</v>
      </c>
      <c r="BU566" s="63">
        <f t="shared" si="390"/>
        <v>0</v>
      </c>
      <c r="BV566" s="57">
        <f t="shared" si="391"/>
        <v>0</v>
      </c>
      <c r="BW566" s="57">
        <f t="shared" si="392"/>
        <v>0</v>
      </c>
      <c r="BX566" s="57">
        <f t="shared" si="416"/>
        <v>0</v>
      </c>
      <c r="BY566" s="57">
        <f t="shared" si="420"/>
        <v>0</v>
      </c>
      <c r="BZ566" s="8">
        <f t="shared" si="393"/>
        <v>0</v>
      </c>
      <c r="CA566" s="8">
        <f t="shared" si="394"/>
        <v>0</v>
      </c>
      <c r="CB566" s="8">
        <f t="shared" si="395"/>
        <v>0</v>
      </c>
      <c r="CC566" s="8">
        <f t="shared" si="396"/>
        <v>0</v>
      </c>
      <c r="CD566" s="8">
        <f t="shared" si="397"/>
        <v>0</v>
      </c>
      <c r="CE566" s="8">
        <f t="shared" si="398"/>
        <v>0</v>
      </c>
      <c r="CF566" s="8">
        <f t="shared" si="399"/>
        <v>0</v>
      </c>
      <c r="CG566" s="8">
        <f t="shared" si="400"/>
        <v>0</v>
      </c>
      <c r="CH566" s="8">
        <f t="shared" si="401"/>
        <v>0</v>
      </c>
      <c r="CI566" s="8">
        <f t="shared" si="402"/>
        <v>0</v>
      </c>
      <c r="CJ566" s="8">
        <f t="shared" si="403"/>
        <v>0</v>
      </c>
      <c r="CK566" s="8">
        <f t="shared" si="404"/>
        <v>0</v>
      </c>
      <c r="CL566" s="8">
        <f t="shared" si="405"/>
        <v>0</v>
      </c>
      <c r="CM566" s="8">
        <f t="shared" si="406"/>
        <v>0</v>
      </c>
      <c r="CN566" s="8">
        <f t="shared" si="407"/>
        <v>0</v>
      </c>
      <c r="CO566" s="8">
        <f t="shared" si="408"/>
        <v>0</v>
      </c>
      <c r="CP566" s="8">
        <f t="shared" si="409"/>
        <v>0</v>
      </c>
      <c r="CQ566" s="8">
        <f t="shared" si="410"/>
        <v>0</v>
      </c>
      <c r="CR566" s="8">
        <f t="shared" si="411"/>
        <v>0</v>
      </c>
      <c r="CS566" s="8">
        <f t="shared" si="412"/>
        <v>0</v>
      </c>
      <c r="CT566" s="8">
        <f t="shared" si="417"/>
        <v>0</v>
      </c>
      <c r="CU566" s="8">
        <f t="shared" si="418"/>
        <v>0</v>
      </c>
      <c r="CV566" s="8">
        <f t="shared" si="419"/>
        <v>0</v>
      </c>
    </row>
    <row r="567" spans="1:100" ht="20.5" thickTop="1" thickBot="1" x14ac:dyDescent="0.5">
      <c r="A567" s="32"/>
      <c r="B567" s="10"/>
      <c r="C567" s="10"/>
      <c r="D567" s="11"/>
      <c r="E567" s="10"/>
      <c r="F567" s="10"/>
      <c r="G567" s="19"/>
      <c r="H567" s="19"/>
      <c r="I567" s="19"/>
      <c r="J567" s="19"/>
      <c r="K567" s="10"/>
      <c r="L567" s="10"/>
      <c r="M567" s="10"/>
      <c r="N567" s="10"/>
      <c r="O567" s="18"/>
      <c r="P567" s="18"/>
      <c r="Q567" s="21"/>
      <c r="R567" s="20"/>
      <c r="S567" s="16">
        <f t="shared" si="375"/>
        <v>0</v>
      </c>
      <c r="T567" s="11"/>
      <c r="AS567" s="31">
        <f t="shared" si="376"/>
        <v>0</v>
      </c>
      <c r="AT567" s="31">
        <f t="shared" si="377"/>
        <v>0</v>
      </c>
      <c r="AU567" s="31">
        <f t="shared" si="378"/>
        <v>0</v>
      </c>
      <c r="AV567" s="31">
        <f t="shared" si="379"/>
        <v>0</v>
      </c>
      <c r="AW567" s="31">
        <f t="shared" si="380"/>
        <v>0</v>
      </c>
      <c r="AX567" s="31">
        <f t="shared" si="381"/>
        <v>0</v>
      </c>
      <c r="AY567" s="31">
        <f t="shared" si="382"/>
        <v>0</v>
      </c>
      <c r="AZ567" s="31">
        <f t="shared" si="383"/>
        <v>0</v>
      </c>
      <c r="BA567" s="31">
        <f t="shared" si="384"/>
        <v>0</v>
      </c>
      <c r="BB567" s="31">
        <f t="shared" si="413"/>
        <v>0</v>
      </c>
      <c r="BM567" s="8">
        <f t="shared" si="414"/>
        <v>0</v>
      </c>
      <c r="BN567" s="8">
        <f t="shared" si="385"/>
        <v>0</v>
      </c>
      <c r="BO567" s="8">
        <f t="shared" si="386"/>
        <v>0</v>
      </c>
      <c r="BQ567" s="8">
        <f t="shared" si="387"/>
        <v>0</v>
      </c>
      <c r="BR567" s="63">
        <f t="shared" si="388"/>
        <v>0</v>
      </c>
      <c r="BS567" s="63">
        <f t="shared" si="415"/>
        <v>0</v>
      </c>
      <c r="BT567" s="63">
        <f t="shared" si="389"/>
        <v>0</v>
      </c>
      <c r="BU567" s="63">
        <f t="shared" si="390"/>
        <v>0</v>
      </c>
      <c r="BV567" s="57">
        <f t="shared" si="391"/>
        <v>0</v>
      </c>
      <c r="BW567" s="57">
        <f t="shared" si="392"/>
        <v>0</v>
      </c>
      <c r="BX567" s="57">
        <f t="shared" si="416"/>
        <v>0</v>
      </c>
      <c r="BY567" s="57">
        <f t="shared" si="420"/>
        <v>0</v>
      </c>
      <c r="BZ567" s="8">
        <f t="shared" si="393"/>
        <v>0</v>
      </c>
      <c r="CA567" s="8">
        <f t="shared" si="394"/>
        <v>0</v>
      </c>
      <c r="CB567" s="8">
        <f t="shared" si="395"/>
        <v>0</v>
      </c>
      <c r="CC567" s="8">
        <f t="shared" si="396"/>
        <v>0</v>
      </c>
      <c r="CD567" s="8">
        <f t="shared" si="397"/>
        <v>0</v>
      </c>
      <c r="CE567" s="8">
        <f t="shared" si="398"/>
        <v>0</v>
      </c>
      <c r="CF567" s="8">
        <f t="shared" si="399"/>
        <v>0</v>
      </c>
      <c r="CG567" s="8">
        <f t="shared" si="400"/>
        <v>0</v>
      </c>
      <c r="CH567" s="8">
        <f t="shared" si="401"/>
        <v>0</v>
      </c>
      <c r="CI567" s="8">
        <f t="shared" si="402"/>
        <v>0</v>
      </c>
      <c r="CJ567" s="8">
        <f t="shared" si="403"/>
        <v>0</v>
      </c>
      <c r="CK567" s="8">
        <f t="shared" si="404"/>
        <v>0</v>
      </c>
      <c r="CL567" s="8">
        <f t="shared" si="405"/>
        <v>0</v>
      </c>
      <c r="CM567" s="8">
        <f t="shared" si="406"/>
        <v>0</v>
      </c>
      <c r="CN567" s="8">
        <f t="shared" si="407"/>
        <v>0</v>
      </c>
      <c r="CO567" s="8">
        <f t="shared" si="408"/>
        <v>0</v>
      </c>
      <c r="CP567" s="8">
        <f t="shared" si="409"/>
        <v>0</v>
      </c>
      <c r="CQ567" s="8">
        <f t="shared" si="410"/>
        <v>0</v>
      </c>
      <c r="CR567" s="8">
        <f t="shared" si="411"/>
        <v>0</v>
      </c>
      <c r="CS567" s="8">
        <f t="shared" si="412"/>
        <v>0</v>
      </c>
      <c r="CT567" s="8">
        <f t="shared" si="417"/>
        <v>0</v>
      </c>
      <c r="CU567" s="8">
        <f t="shared" si="418"/>
        <v>0</v>
      </c>
      <c r="CV567" s="8">
        <f t="shared" si="419"/>
        <v>0</v>
      </c>
    </row>
    <row r="568" spans="1:100" ht="20.5" thickTop="1" thickBot="1" x14ac:dyDescent="0.5">
      <c r="A568" s="32"/>
      <c r="B568" s="10"/>
      <c r="C568" s="10"/>
      <c r="D568" s="11"/>
      <c r="E568" s="10"/>
      <c r="F568" s="10"/>
      <c r="G568" s="19"/>
      <c r="H568" s="19"/>
      <c r="I568" s="19"/>
      <c r="J568" s="19"/>
      <c r="K568" s="10"/>
      <c r="L568" s="10"/>
      <c r="M568" s="10"/>
      <c r="N568" s="10"/>
      <c r="O568" s="18"/>
      <c r="P568" s="18"/>
      <c r="Q568" s="21"/>
      <c r="R568" s="20"/>
      <c r="S568" s="16">
        <f t="shared" si="375"/>
        <v>0</v>
      </c>
      <c r="T568" s="11"/>
      <c r="AS568" s="31">
        <f t="shared" si="376"/>
        <v>0</v>
      </c>
      <c r="AT568" s="31">
        <f t="shared" si="377"/>
        <v>0</v>
      </c>
      <c r="AU568" s="31">
        <f t="shared" si="378"/>
        <v>0</v>
      </c>
      <c r="AV568" s="31">
        <f t="shared" si="379"/>
        <v>0</v>
      </c>
      <c r="AW568" s="31">
        <f t="shared" si="380"/>
        <v>0</v>
      </c>
      <c r="AX568" s="31">
        <f t="shared" si="381"/>
        <v>0</v>
      </c>
      <c r="AY568" s="31">
        <f t="shared" si="382"/>
        <v>0</v>
      </c>
      <c r="AZ568" s="31">
        <f t="shared" si="383"/>
        <v>0</v>
      </c>
      <c r="BA568" s="31">
        <f t="shared" si="384"/>
        <v>0</v>
      </c>
      <c r="BB568" s="31">
        <f t="shared" si="413"/>
        <v>0</v>
      </c>
      <c r="BM568" s="8">
        <f t="shared" si="414"/>
        <v>0</v>
      </c>
      <c r="BN568" s="8">
        <f t="shared" si="385"/>
        <v>0</v>
      </c>
      <c r="BO568" s="8">
        <f t="shared" si="386"/>
        <v>0</v>
      </c>
      <c r="BQ568" s="8">
        <f t="shared" si="387"/>
        <v>0</v>
      </c>
      <c r="BR568" s="63">
        <f t="shared" si="388"/>
        <v>0</v>
      </c>
      <c r="BS568" s="63">
        <f t="shared" si="415"/>
        <v>0</v>
      </c>
      <c r="BT568" s="63">
        <f t="shared" si="389"/>
        <v>0</v>
      </c>
      <c r="BU568" s="63">
        <f t="shared" si="390"/>
        <v>0</v>
      </c>
      <c r="BV568" s="57">
        <f t="shared" si="391"/>
        <v>0</v>
      </c>
      <c r="BW568" s="57">
        <f t="shared" si="392"/>
        <v>0</v>
      </c>
      <c r="BX568" s="57">
        <f t="shared" si="416"/>
        <v>0</v>
      </c>
      <c r="BY568" s="57">
        <f t="shared" si="420"/>
        <v>0</v>
      </c>
      <c r="BZ568" s="8">
        <f t="shared" si="393"/>
        <v>0</v>
      </c>
      <c r="CA568" s="8">
        <f t="shared" si="394"/>
        <v>0</v>
      </c>
      <c r="CB568" s="8">
        <f t="shared" si="395"/>
        <v>0</v>
      </c>
      <c r="CC568" s="8">
        <f t="shared" si="396"/>
        <v>0</v>
      </c>
      <c r="CD568" s="8">
        <f t="shared" si="397"/>
        <v>0</v>
      </c>
      <c r="CE568" s="8">
        <f t="shared" si="398"/>
        <v>0</v>
      </c>
      <c r="CF568" s="8">
        <f t="shared" si="399"/>
        <v>0</v>
      </c>
      <c r="CG568" s="8">
        <f t="shared" si="400"/>
        <v>0</v>
      </c>
      <c r="CH568" s="8">
        <f t="shared" si="401"/>
        <v>0</v>
      </c>
      <c r="CI568" s="8">
        <f t="shared" si="402"/>
        <v>0</v>
      </c>
      <c r="CJ568" s="8">
        <f t="shared" si="403"/>
        <v>0</v>
      </c>
      <c r="CK568" s="8">
        <f t="shared" si="404"/>
        <v>0</v>
      </c>
      <c r="CL568" s="8">
        <f t="shared" si="405"/>
        <v>0</v>
      </c>
      <c r="CM568" s="8">
        <f t="shared" si="406"/>
        <v>0</v>
      </c>
      <c r="CN568" s="8">
        <f t="shared" si="407"/>
        <v>0</v>
      </c>
      <c r="CO568" s="8">
        <f t="shared" si="408"/>
        <v>0</v>
      </c>
      <c r="CP568" s="8">
        <f t="shared" si="409"/>
        <v>0</v>
      </c>
      <c r="CQ568" s="8">
        <f t="shared" si="410"/>
        <v>0</v>
      </c>
      <c r="CR568" s="8">
        <f t="shared" si="411"/>
        <v>0</v>
      </c>
      <c r="CS568" s="8">
        <f t="shared" si="412"/>
        <v>0</v>
      </c>
      <c r="CT568" s="8">
        <f t="shared" si="417"/>
        <v>0</v>
      </c>
      <c r="CU568" s="8">
        <f t="shared" si="418"/>
        <v>0</v>
      </c>
      <c r="CV568" s="8">
        <f t="shared" si="419"/>
        <v>0</v>
      </c>
    </row>
    <row r="569" spans="1:100" ht="20.5" thickTop="1" thickBot="1" x14ac:dyDescent="0.5">
      <c r="A569" s="32"/>
      <c r="B569" s="10"/>
      <c r="C569" s="10"/>
      <c r="D569" s="11"/>
      <c r="E569" s="10"/>
      <c r="F569" s="10"/>
      <c r="G569" s="19"/>
      <c r="H569" s="19"/>
      <c r="I569" s="19"/>
      <c r="J569" s="19"/>
      <c r="K569" s="10"/>
      <c r="L569" s="10"/>
      <c r="M569" s="10"/>
      <c r="N569" s="10"/>
      <c r="O569" s="18"/>
      <c r="P569" s="18"/>
      <c r="Q569" s="21"/>
      <c r="R569" s="20"/>
      <c r="S569" s="16">
        <f t="shared" si="375"/>
        <v>0</v>
      </c>
      <c r="T569" s="11"/>
      <c r="AS569" s="31">
        <f t="shared" si="376"/>
        <v>0</v>
      </c>
      <c r="AT569" s="31">
        <f t="shared" si="377"/>
        <v>0</v>
      </c>
      <c r="AU569" s="31">
        <f t="shared" si="378"/>
        <v>0</v>
      </c>
      <c r="AV569" s="31">
        <f t="shared" si="379"/>
        <v>0</v>
      </c>
      <c r="AW569" s="31">
        <f t="shared" si="380"/>
        <v>0</v>
      </c>
      <c r="AX569" s="31">
        <f t="shared" si="381"/>
        <v>0</v>
      </c>
      <c r="AY569" s="31">
        <f t="shared" si="382"/>
        <v>0</v>
      </c>
      <c r="AZ569" s="31">
        <f t="shared" si="383"/>
        <v>0</v>
      </c>
      <c r="BA569" s="31">
        <f t="shared" si="384"/>
        <v>0</v>
      </c>
      <c r="BB569" s="31">
        <f t="shared" si="413"/>
        <v>0</v>
      </c>
      <c r="BM569" s="8">
        <f t="shared" si="414"/>
        <v>0</v>
      </c>
      <c r="BN569" s="8">
        <f t="shared" si="385"/>
        <v>0</v>
      </c>
      <c r="BO569" s="8">
        <f t="shared" si="386"/>
        <v>0</v>
      </c>
      <c r="BQ569" s="8">
        <f t="shared" si="387"/>
        <v>0</v>
      </c>
      <c r="BR569" s="63">
        <f t="shared" si="388"/>
        <v>0</v>
      </c>
      <c r="BS569" s="63">
        <f t="shared" si="415"/>
        <v>0</v>
      </c>
      <c r="BT569" s="63">
        <f t="shared" si="389"/>
        <v>0</v>
      </c>
      <c r="BU569" s="63">
        <f t="shared" si="390"/>
        <v>0</v>
      </c>
      <c r="BV569" s="57">
        <f t="shared" si="391"/>
        <v>0</v>
      </c>
      <c r="BW569" s="57">
        <f t="shared" si="392"/>
        <v>0</v>
      </c>
      <c r="BX569" s="57">
        <f t="shared" si="416"/>
        <v>0</v>
      </c>
      <c r="BY569" s="57">
        <f t="shared" si="420"/>
        <v>0</v>
      </c>
      <c r="BZ569" s="8">
        <f t="shared" si="393"/>
        <v>0</v>
      </c>
      <c r="CA569" s="8">
        <f t="shared" si="394"/>
        <v>0</v>
      </c>
      <c r="CB569" s="8">
        <f t="shared" si="395"/>
        <v>0</v>
      </c>
      <c r="CC569" s="8">
        <f t="shared" si="396"/>
        <v>0</v>
      </c>
      <c r="CD569" s="8">
        <f t="shared" si="397"/>
        <v>0</v>
      </c>
      <c r="CE569" s="8">
        <f t="shared" si="398"/>
        <v>0</v>
      </c>
      <c r="CF569" s="8">
        <f t="shared" si="399"/>
        <v>0</v>
      </c>
      <c r="CG569" s="8">
        <f t="shared" si="400"/>
        <v>0</v>
      </c>
      <c r="CH569" s="8">
        <f t="shared" si="401"/>
        <v>0</v>
      </c>
      <c r="CI569" s="8">
        <f t="shared" si="402"/>
        <v>0</v>
      </c>
      <c r="CJ569" s="8">
        <f t="shared" si="403"/>
        <v>0</v>
      </c>
      <c r="CK569" s="8">
        <f t="shared" si="404"/>
        <v>0</v>
      </c>
      <c r="CL569" s="8">
        <f t="shared" si="405"/>
        <v>0</v>
      </c>
      <c r="CM569" s="8">
        <f t="shared" si="406"/>
        <v>0</v>
      </c>
      <c r="CN569" s="8">
        <f t="shared" si="407"/>
        <v>0</v>
      </c>
      <c r="CO569" s="8">
        <f t="shared" si="408"/>
        <v>0</v>
      </c>
      <c r="CP569" s="8">
        <f t="shared" si="409"/>
        <v>0</v>
      </c>
      <c r="CQ569" s="8">
        <f t="shared" si="410"/>
        <v>0</v>
      </c>
      <c r="CR569" s="8">
        <f t="shared" si="411"/>
        <v>0</v>
      </c>
      <c r="CS569" s="8">
        <f t="shared" si="412"/>
        <v>0</v>
      </c>
      <c r="CT569" s="8">
        <f t="shared" si="417"/>
        <v>0</v>
      </c>
      <c r="CU569" s="8">
        <f t="shared" si="418"/>
        <v>0</v>
      </c>
      <c r="CV569" s="8">
        <f t="shared" si="419"/>
        <v>0</v>
      </c>
    </row>
    <row r="570" spans="1:100" ht="20.5" thickTop="1" thickBot="1" x14ac:dyDescent="0.5">
      <c r="A570" s="32"/>
      <c r="B570" s="10"/>
      <c r="C570" s="10"/>
      <c r="D570" s="11"/>
      <c r="E570" s="10"/>
      <c r="F570" s="10"/>
      <c r="G570" s="19"/>
      <c r="H570" s="19"/>
      <c r="I570" s="19"/>
      <c r="J570" s="19"/>
      <c r="K570" s="10"/>
      <c r="L570" s="10"/>
      <c r="M570" s="10"/>
      <c r="N570" s="10"/>
      <c r="O570" s="18"/>
      <c r="P570" s="18"/>
      <c r="Q570" s="21"/>
      <c r="R570" s="20"/>
      <c r="S570" s="16">
        <f t="shared" si="375"/>
        <v>0</v>
      </c>
      <c r="T570" s="11"/>
      <c r="AS570" s="31">
        <f t="shared" si="376"/>
        <v>0</v>
      </c>
      <c r="AT570" s="31">
        <f t="shared" si="377"/>
        <v>0</v>
      </c>
      <c r="AU570" s="31">
        <f t="shared" si="378"/>
        <v>0</v>
      </c>
      <c r="AV570" s="31">
        <f t="shared" si="379"/>
        <v>0</v>
      </c>
      <c r="AW570" s="31">
        <f t="shared" si="380"/>
        <v>0</v>
      </c>
      <c r="AX570" s="31">
        <f t="shared" si="381"/>
        <v>0</v>
      </c>
      <c r="AY570" s="31">
        <f t="shared" si="382"/>
        <v>0</v>
      </c>
      <c r="AZ570" s="31">
        <f t="shared" si="383"/>
        <v>0</v>
      </c>
      <c r="BA570" s="31">
        <f t="shared" si="384"/>
        <v>0</v>
      </c>
      <c r="BB570" s="31">
        <f t="shared" si="413"/>
        <v>0</v>
      </c>
      <c r="BM570" s="8">
        <f t="shared" si="414"/>
        <v>0</v>
      </c>
      <c r="BN570" s="8">
        <f t="shared" si="385"/>
        <v>0</v>
      </c>
      <c r="BO570" s="8">
        <f t="shared" si="386"/>
        <v>0</v>
      </c>
      <c r="BQ570" s="8">
        <f t="shared" si="387"/>
        <v>0</v>
      </c>
      <c r="BR570" s="63">
        <f t="shared" si="388"/>
        <v>0</v>
      </c>
      <c r="BS570" s="63">
        <f t="shared" si="415"/>
        <v>0</v>
      </c>
      <c r="BT570" s="63">
        <f t="shared" si="389"/>
        <v>0</v>
      </c>
      <c r="BU570" s="63">
        <f t="shared" si="390"/>
        <v>0</v>
      </c>
      <c r="BV570" s="57">
        <f t="shared" si="391"/>
        <v>0</v>
      </c>
      <c r="BW570" s="57">
        <f t="shared" si="392"/>
        <v>0</v>
      </c>
      <c r="BX570" s="57">
        <f t="shared" si="416"/>
        <v>0</v>
      </c>
      <c r="BY570" s="57">
        <f t="shared" si="420"/>
        <v>0</v>
      </c>
      <c r="BZ570" s="8">
        <f t="shared" si="393"/>
        <v>0</v>
      </c>
      <c r="CA570" s="8">
        <f t="shared" si="394"/>
        <v>0</v>
      </c>
      <c r="CB570" s="8">
        <f t="shared" si="395"/>
        <v>0</v>
      </c>
      <c r="CC570" s="8">
        <f t="shared" si="396"/>
        <v>0</v>
      </c>
      <c r="CD570" s="8">
        <f t="shared" si="397"/>
        <v>0</v>
      </c>
      <c r="CE570" s="8">
        <f t="shared" si="398"/>
        <v>0</v>
      </c>
      <c r="CF570" s="8">
        <f t="shared" si="399"/>
        <v>0</v>
      </c>
      <c r="CG570" s="8">
        <f t="shared" si="400"/>
        <v>0</v>
      </c>
      <c r="CH570" s="8">
        <f t="shared" si="401"/>
        <v>0</v>
      </c>
      <c r="CI570" s="8">
        <f t="shared" si="402"/>
        <v>0</v>
      </c>
      <c r="CJ570" s="8">
        <f t="shared" si="403"/>
        <v>0</v>
      </c>
      <c r="CK570" s="8">
        <f t="shared" si="404"/>
        <v>0</v>
      </c>
      <c r="CL570" s="8">
        <f t="shared" si="405"/>
        <v>0</v>
      </c>
      <c r="CM570" s="8">
        <f t="shared" si="406"/>
        <v>0</v>
      </c>
      <c r="CN570" s="8">
        <f t="shared" si="407"/>
        <v>0</v>
      </c>
      <c r="CO570" s="8">
        <f t="shared" si="408"/>
        <v>0</v>
      </c>
      <c r="CP570" s="8">
        <f t="shared" si="409"/>
        <v>0</v>
      </c>
      <c r="CQ570" s="8">
        <f t="shared" si="410"/>
        <v>0</v>
      </c>
      <c r="CR570" s="8">
        <f t="shared" si="411"/>
        <v>0</v>
      </c>
      <c r="CS570" s="8">
        <f t="shared" si="412"/>
        <v>0</v>
      </c>
      <c r="CT570" s="8">
        <f t="shared" si="417"/>
        <v>0</v>
      </c>
      <c r="CU570" s="8">
        <f t="shared" si="418"/>
        <v>0</v>
      </c>
      <c r="CV570" s="8">
        <f t="shared" si="419"/>
        <v>0</v>
      </c>
    </row>
    <row r="571" spans="1:100" ht="20.5" thickTop="1" thickBot="1" x14ac:dyDescent="0.5">
      <c r="A571" s="32"/>
      <c r="B571" s="10"/>
      <c r="C571" s="10"/>
      <c r="D571" s="11"/>
      <c r="E571" s="10"/>
      <c r="F571" s="10"/>
      <c r="G571" s="19"/>
      <c r="H571" s="19"/>
      <c r="I571" s="19"/>
      <c r="J571" s="19"/>
      <c r="K571" s="10"/>
      <c r="L571" s="10"/>
      <c r="M571" s="10"/>
      <c r="N571" s="10"/>
      <c r="O571" s="18"/>
      <c r="P571" s="18"/>
      <c r="Q571" s="21"/>
      <c r="R571" s="20"/>
      <c r="S571" s="16">
        <f t="shared" si="375"/>
        <v>0</v>
      </c>
      <c r="T571" s="11"/>
      <c r="AS571" s="31">
        <f t="shared" si="376"/>
        <v>0</v>
      </c>
      <c r="AT571" s="31">
        <f t="shared" si="377"/>
        <v>0</v>
      </c>
      <c r="AU571" s="31">
        <f t="shared" si="378"/>
        <v>0</v>
      </c>
      <c r="AV571" s="31">
        <f t="shared" si="379"/>
        <v>0</v>
      </c>
      <c r="AW571" s="31">
        <f t="shared" si="380"/>
        <v>0</v>
      </c>
      <c r="AX571" s="31">
        <f t="shared" si="381"/>
        <v>0</v>
      </c>
      <c r="AY571" s="31">
        <f t="shared" si="382"/>
        <v>0</v>
      </c>
      <c r="AZ571" s="31">
        <f t="shared" si="383"/>
        <v>0</v>
      </c>
      <c r="BA571" s="31">
        <f t="shared" si="384"/>
        <v>0</v>
      </c>
      <c r="BB571" s="31">
        <f t="shared" si="413"/>
        <v>0</v>
      </c>
      <c r="BM571" s="8">
        <f t="shared" si="414"/>
        <v>0</v>
      </c>
      <c r="BN571" s="8">
        <f t="shared" si="385"/>
        <v>0</v>
      </c>
      <c r="BO571" s="8">
        <f t="shared" si="386"/>
        <v>0</v>
      </c>
      <c r="BQ571" s="8">
        <f t="shared" si="387"/>
        <v>0</v>
      </c>
      <c r="BR571" s="63">
        <f t="shared" si="388"/>
        <v>0</v>
      </c>
      <c r="BS571" s="63">
        <f t="shared" si="415"/>
        <v>0</v>
      </c>
      <c r="BT571" s="63">
        <f t="shared" si="389"/>
        <v>0</v>
      </c>
      <c r="BU571" s="63">
        <f t="shared" si="390"/>
        <v>0</v>
      </c>
      <c r="BV571" s="57">
        <f t="shared" si="391"/>
        <v>0</v>
      </c>
      <c r="BW571" s="57">
        <f t="shared" si="392"/>
        <v>0</v>
      </c>
      <c r="BX571" s="57">
        <f t="shared" si="416"/>
        <v>0</v>
      </c>
      <c r="BY571" s="57">
        <f t="shared" si="420"/>
        <v>0</v>
      </c>
      <c r="BZ571" s="8">
        <f t="shared" si="393"/>
        <v>0</v>
      </c>
      <c r="CA571" s="8">
        <f t="shared" si="394"/>
        <v>0</v>
      </c>
      <c r="CB571" s="8">
        <f t="shared" si="395"/>
        <v>0</v>
      </c>
      <c r="CC571" s="8">
        <f t="shared" si="396"/>
        <v>0</v>
      </c>
      <c r="CD571" s="8">
        <f t="shared" si="397"/>
        <v>0</v>
      </c>
      <c r="CE571" s="8">
        <f t="shared" si="398"/>
        <v>0</v>
      </c>
      <c r="CF571" s="8">
        <f t="shared" si="399"/>
        <v>0</v>
      </c>
      <c r="CG571" s="8">
        <f t="shared" si="400"/>
        <v>0</v>
      </c>
      <c r="CH571" s="8">
        <f t="shared" si="401"/>
        <v>0</v>
      </c>
      <c r="CI571" s="8">
        <f t="shared" si="402"/>
        <v>0</v>
      </c>
      <c r="CJ571" s="8">
        <f t="shared" si="403"/>
        <v>0</v>
      </c>
      <c r="CK571" s="8">
        <f t="shared" si="404"/>
        <v>0</v>
      </c>
      <c r="CL571" s="8">
        <f t="shared" si="405"/>
        <v>0</v>
      </c>
      <c r="CM571" s="8">
        <f t="shared" si="406"/>
        <v>0</v>
      </c>
      <c r="CN571" s="8">
        <f t="shared" si="407"/>
        <v>0</v>
      </c>
      <c r="CO571" s="8">
        <f t="shared" si="408"/>
        <v>0</v>
      </c>
      <c r="CP571" s="8">
        <f t="shared" si="409"/>
        <v>0</v>
      </c>
      <c r="CQ571" s="8">
        <f t="shared" si="410"/>
        <v>0</v>
      </c>
      <c r="CR571" s="8">
        <f t="shared" si="411"/>
        <v>0</v>
      </c>
      <c r="CS571" s="8">
        <f t="shared" si="412"/>
        <v>0</v>
      </c>
      <c r="CT571" s="8">
        <f t="shared" si="417"/>
        <v>0</v>
      </c>
      <c r="CU571" s="8">
        <f t="shared" si="418"/>
        <v>0</v>
      </c>
      <c r="CV571" s="8">
        <f t="shared" si="419"/>
        <v>0</v>
      </c>
    </row>
    <row r="572" spans="1:100" ht="20.5" thickTop="1" thickBot="1" x14ac:dyDescent="0.5">
      <c r="A572" s="32"/>
      <c r="B572" s="10"/>
      <c r="C572" s="10"/>
      <c r="D572" s="11"/>
      <c r="E572" s="10"/>
      <c r="F572" s="10"/>
      <c r="G572" s="19"/>
      <c r="H572" s="19"/>
      <c r="I572" s="19"/>
      <c r="J572" s="19"/>
      <c r="K572" s="10"/>
      <c r="L572" s="10"/>
      <c r="M572" s="10"/>
      <c r="N572" s="10"/>
      <c r="O572" s="18"/>
      <c r="P572" s="18"/>
      <c r="Q572" s="21"/>
      <c r="R572" s="20"/>
      <c r="S572" s="16">
        <f t="shared" si="375"/>
        <v>0</v>
      </c>
      <c r="T572" s="11"/>
      <c r="AS572" s="31">
        <f t="shared" si="376"/>
        <v>0</v>
      </c>
      <c r="AT572" s="31">
        <f t="shared" si="377"/>
        <v>0</v>
      </c>
      <c r="AU572" s="31">
        <f t="shared" si="378"/>
        <v>0</v>
      </c>
      <c r="AV572" s="31">
        <f t="shared" si="379"/>
        <v>0</v>
      </c>
      <c r="AW572" s="31">
        <f t="shared" si="380"/>
        <v>0</v>
      </c>
      <c r="AX572" s="31">
        <f t="shared" si="381"/>
        <v>0</v>
      </c>
      <c r="AY572" s="31">
        <f t="shared" si="382"/>
        <v>0</v>
      </c>
      <c r="AZ572" s="31">
        <f t="shared" si="383"/>
        <v>0</v>
      </c>
      <c r="BA572" s="31">
        <f t="shared" si="384"/>
        <v>0</v>
      </c>
      <c r="BB572" s="31">
        <f t="shared" si="413"/>
        <v>0</v>
      </c>
      <c r="BM572" s="8">
        <f t="shared" si="414"/>
        <v>0</v>
      </c>
      <c r="BN572" s="8">
        <f t="shared" si="385"/>
        <v>0</v>
      </c>
      <c r="BO572" s="8">
        <f t="shared" si="386"/>
        <v>0</v>
      </c>
      <c r="BQ572" s="8">
        <f t="shared" si="387"/>
        <v>0</v>
      </c>
      <c r="BR572" s="63">
        <f t="shared" si="388"/>
        <v>0</v>
      </c>
      <c r="BS572" s="63">
        <f t="shared" si="415"/>
        <v>0</v>
      </c>
      <c r="BT572" s="63">
        <f t="shared" si="389"/>
        <v>0</v>
      </c>
      <c r="BU572" s="63">
        <f t="shared" si="390"/>
        <v>0</v>
      </c>
      <c r="BV572" s="57">
        <f t="shared" si="391"/>
        <v>0</v>
      </c>
      <c r="BW572" s="57">
        <f t="shared" si="392"/>
        <v>0</v>
      </c>
      <c r="BX572" s="57">
        <f t="shared" si="416"/>
        <v>0</v>
      </c>
      <c r="BY572" s="57">
        <f t="shared" si="420"/>
        <v>0</v>
      </c>
      <c r="BZ572" s="8">
        <f t="shared" si="393"/>
        <v>0</v>
      </c>
      <c r="CA572" s="8">
        <f t="shared" si="394"/>
        <v>0</v>
      </c>
      <c r="CB572" s="8">
        <f t="shared" si="395"/>
        <v>0</v>
      </c>
      <c r="CC572" s="8">
        <f t="shared" si="396"/>
        <v>0</v>
      </c>
      <c r="CD572" s="8">
        <f t="shared" si="397"/>
        <v>0</v>
      </c>
      <c r="CE572" s="8">
        <f t="shared" si="398"/>
        <v>0</v>
      </c>
      <c r="CF572" s="8">
        <f t="shared" si="399"/>
        <v>0</v>
      </c>
      <c r="CG572" s="8">
        <f t="shared" si="400"/>
        <v>0</v>
      </c>
      <c r="CH572" s="8">
        <f t="shared" si="401"/>
        <v>0</v>
      </c>
      <c r="CI572" s="8">
        <f t="shared" si="402"/>
        <v>0</v>
      </c>
      <c r="CJ572" s="8">
        <f t="shared" si="403"/>
        <v>0</v>
      </c>
      <c r="CK572" s="8">
        <f t="shared" si="404"/>
        <v>0</v>
      </c>
      <c r="CL572" s="8">
        <f t="shared" si="405"/>
        <v>0</v>
      </c>
      <c r="CM572" s="8">
        <f t="shared" si="406"/>
        <v>0</v>
      </c>
      <c r="CN572" s="8">
        <f t="shared" si="407"/>
        <v>0</v>
      </c>
      <c r="CO572" s="8">
        <f t="shared" si="408"/>
        <v>0</v>
      </c>
      <c r="CP572" s="8">
        <f t="shared" si="409"/>
        <v>0</v>
      </c>
      <c r="CQ572" s="8">
        <f t="shared" si="410"/>
        <v>0</v>
      </c>
      <c r="CR572" s="8">
        <f t="shared" si="411"/>
        <v>0</v>
      </c>
      <c r="CS572" s="8">
        <f t="shared" si="412"/>
        <v>0</v>
      </c>
      <c r="CT572" s="8">
        <f t="shared" si="417"/>
        <v>0</v>
      </c>
      <c r="CU572" s="8">
        <f t="shared" si="418"/>
        <v>0</v>
      </c>
      <c r="CV572" s="8">
        <f t="shared" si="419"/>
        <v>0</v>
      </c>
    </row>
    <row r="573" spans="1:100" ht="20.5" thickTop="1" thickBot="1" x14ac:dyDescent="0.5">
      <c r="A573" s="32"/>
      <c r="B573" s="10"/>
      <c r="C573" s="10"/>
      <c r="D573" s="11"/>
      <c r="E573" s="10"/>
      <c r="F573" s="10"/>
      <c r="G573" s="19"/>
      <c r="H573" s="19"/>
      <c r="I573" s="19"/>
      <c r="J573" s="19"/>
      <c r="K573" s="10"/>
      <c r="L573" s="10"/>
      <c r="M573" s="10"/>
      <c r="N573" s="10"/>
      <c r="O573" s="18"/>
      <c r="P573" s="18"/>
      <c r="Q573" s="21"/>
      <c r="R573" s="20"/>
      <c r="S573" s="16">
        <f t="shared" si="375"/>
        <v>0</v>
      </c>
      <c r="T573" s="11"/>
      <c r="AS573" s="31">
        <f t="shared" si="376"/>
        <v>0</v>
      </c>
      <c r="AT573" s="31">
        <f t="shared" si="377"/>
        <v>0</v>
      </c>
      <c r="AU573" s="31">
        <f t="shared" si="378"/>
        <v>0</v>
      </c>
      <c r="AV573" s="31">
        <f t="shared" si="379"/>
        <v>0</v>
      </c>
      <c r="AW573" s="31">
        <f t="shared" si="380"/>
        <v>0</v>
      </c>
      <c r="AX573" s="31">
        <f t="shared" si="381"/>
        <v>0</v>
      </c>
      <c r="AY573" s="31">
        <f t="shared" si="382"/>
        <v>0</v>
      </c>
      <c r="AZ573" s="31">
        <f t="shared" si="383"/>
        <v>0</v>
      </c>
      <c r="BA573" s="31">
        <f t="shared" si="384"/>
        <v>0</v>
      </c>
      <c r="BB573" s="31">
        <f t="shared" si="413"/>
        <v>0</v>
      </c>
      <c r="BM573" s="8">
        <f t="shared" si="414"/>
        <v>0</v>
      </c>
      <c r="BN573" s="8">
        <f t="shared" si="385"/>
        <v>0</v>
      </c>
      <c r="BO573" s="8">
        <f t="shared" si="386"/>
        <v>0</v>
      </c>
      <c r="BQ573" s="8">
        <f t="shared" si="387"/>
        <v>0</v>
      </c>
      <c r="BR573" s="63">
        <f t="shared" si="388"/>
        <v>0</v>
      </c>
      <c r="BS573" s="63">
        <f t="shared" si="415"/>
        <v>0</v>
      </c>
      <c r="BT573" s="63">
        <f t="shared" si="389"/>
        <v>0</v>
      </c>
      <c r="BU573" s="63">
        <f t="shared" si="390"/>
        <v>0</v>
      </c>
      <c r="BV573" s="57">
        <f t="shared" si="391"/>
        <v>0</v>
      </c>
      <c r="BW573" s="57">
        <f t="shared" si="392"/>
        <v>0</v>
      </c>
      <c r="BX573" s="57">
        <f t="shared" si="416"/>
        <v>0</v>
      </c>
      <c r="BY573" s="57">
        <f t="shared" si="420"/>
        <v>0</v>
      </c>
      <c r="BZ573" s="8">
        <f t="shared" si="393"/>
        <v>0</v>
      </c>
      <c r="CA573" s="8">
        <f t="shared" si="394"/>
        <v>0</v>
      </c>
      <c r="CB573" s="8">
        <f t="shared" si="395"/>
        <v>0</v>
      </c>
      <c r="CC573" s="8">
        <f t="shared" si="396"/>
        <v>0</v>
      </c>
      <c r="CD573" s="8">
        <f t="shared" si="397"/>
        <v>0</v>
      </c>
      <c r="CE573" s="8">
        <f t="shared" si="398"/>
        <v>0</v>
      </c>
      <c r="CF573" s="8">
        <f t="shared" si="399"/>
        <v>0</v>
      </c>
      <c r="CG573" s="8">
        <f t="shared" si="400"/>
        <v>0</v>
      </c>
      <c r="CH573" s="8">
        <f t="shared" si="401"/>
        <v>0</v>
      </c>
      <c r="CI573" s="8">
        <f t="shared" si="402"/>
        <v>0</v>
      </c>
      <c r="CJ573" s="8">
        <f t="shared" si="403"/>
        <v>0</v>
      </c>
      <c r="CK573" s="8">
        <f t="shared" si="404"/>
        <v>0</v>
      </c>
      <c r="CL573" s="8">
        <f t="shared" si="405"/>
        <v>0</v>
      </c>
      <c r="CM573" s="8">
        <f t="shared" si="406"/>
        <v>0</v>
      </c>
      <c r="CN573" s="8">
        <f t="shared" si="407"/>
        <v>0</v>
      </c>
      <c r="CO573" s="8">
        <f t="shared" si="408"/>
        <v>0</v>
      </c>
      <c r="CP573" s="8">
        <f t="shared" si="409"/>
        <v>0</v>
      </c>
      <c r="CQ573" s="8">
        <f t="shared" si="410"/>
        <v>0</v>
      </c>
      <c r="CR573" s="8">
        <f t="shared" si="411"/>
        <v>0</v>
      </c>
      <c r="CS573" s="8">
        <f t="shared" si="412"/>
        <v>0</v>
      </c>
      <c r="CT573" s="8">
        <f t="shared" si="417"/>
        <v>0</v>
      </c>
      <c r="CU573" s="8">
        <f t="shared" si="418"/>
        <v>0</v>
      </c>
      <c r="CV573" s="8">
        <f t="shared" si="419"/>
        <v>0</v>
      </c>
    </row>
    <row r="574" spans="1:100" ht="20.5" thickTop="1" thickBot="1" x14ac:dyDescent="0.5">
      <c r="A574" s="32"/>
      <c r="B574" s="10"/>
      <c r="C574" s="10"/>
      <c r="D574" s="11"/>
      <c r="E574" s="10"/>
      <c r="F574" s="10"/>
      <c r="G574" s="19"/>
      <c r="H574" s="19"/>
      <c r="I574" s="19"/>
      <c r="J574" s="19"/>
      <c r="K574" s="10"/>
      <c r="L574" s="10"/>
      <c r="M574" s="10"/>
      <c r="N574" s="10"/>
      <c r="O574" s="18"/>
      <c r="P574" s="18"/>
      <c r="Q574" s="21"/>
      <c r="R574" s="20"/>
      <c r="S574" s="16">
        <f t="shared" si="375"/>
        <v>0</v>
      </c>
      <c r="T574" s="11"/>
      <c r="AS574" s="31">
        <f t="shared" si="376"/>
        <v>0</v>
      </c>
      <c r="AT574" s="31">
        <f t="shared" si="377"/>
        <v>0</v>
      </c>
      <c r="AU574" s="31">
        <f t="shared" si="378"/>
        <v>0</v>
      </c>
      <c r="AV574" s="31">
        <f t="shared" si="379"/>
        <v>0</v>
      </c>
      <c r="AW574" s="31">
        <f t="shared" si="380"/>
        <v>0</v>
      </c>
      <c r="AX574" s="31">
        <f t="shared" si="381"/>
        <v>0</v>
      </c>
      <c r="AY574" s="31">
        <f t="shared" si="382"/>
        <v>0</v>
      </c>
      <c r="AZ574" s="31">
        <f t="shared" si="383"/>
        <v>0</v>
      </c>
      <c r="BA574" s="31">
        <f t="shared" si="384"/>
        <v>0</v>
      </c>
      <c r="BB574" s="31">
        <f t="shared" si="413"/>
        <v>0</v>
      </c>
      <c r="BM574" s="8">
        <f t="shared" si="414"/>
        <v>0</v>
      </c>
      <c r="BN574" s="8">
        <f t="shared" si="385"/>
        <v>0</v>
      </c>
      <c r="BO574" s="8">
        <f t="shared" si="386"/>
        <v>0</v>
      </c>
      <c r="BQ574" s="8">
        <f t="shared" si="387"/>
        <v>0</v>
      </c>
      <c r="BR574" s="63">
        <f t="shared" si="388"/>
        <v>0</v>
      </c>
      <c r="BS574" s="63">
        <f t="shared" si="415"/>
        <v>0</v>
      </c>
      <c r="BT574" s="63">
        <f t="shared" si="389"/>
        <v>0</v>
      </c>
      <c r="BU574" s="63">
        <f t="shared" si="390"/>
        <v>0</v>
      </c>
      <c r="BV574" s="57">
        <f t="shared" si="391"/>
        <v>0</v>
      </c>
      <c r="BW574" s="57">
        <f t="shared" si="392"/>
        <v>0</v>
      </c>
      <c r="BX574" s="57">
        <f t="shared" si="416"/>
        <v>0</v>
      </c>
      <c r="BY574" s="57">
        <f t="shared" si="420"/>
        <v>0</v>
      </c>
      <c r="BZ574" s="8">
        <f t="shared" si="393"/>
        <v>0</v>
      </c>
      <c r="CA574" s="8">
        <f t="shared" si="394"/>
        <v>0</v>
      </c>
      <c r="CB574" s="8">
        <f t="shared" si="395"/>
        <v>0</v>
      </c>
      <c r="CC574" s="8">
        <f t="shared" si="396"/>
        <v>0</v>
      </c>
      <c r="CD574" s="8">
        <f t="shared" si="397"/>
        <v>0</v>
      </c>
      <c r="CE574" s="8">
        <f t="shared" si="398"/>
        <v>0</v>
      </c>
      <c r="CF574" s="8">
        <f t="shared" si="399"/>
        <v>0</v>
      </c>
      <c r="CG574" s="8">
        <f t="shared" si="400"/>
        <v>0</v>
      </c>
      <c r="CH574" s="8">
        <f t="shared" si="401"/>
        <v>0</v>
      </c>
      <c r="CI574" s="8">
        <f t="shared" si="402"/>
        <v>0</v>
      </c>
      <c r="CJ574" s="8">
        <f t="shared" si="403"/>
        <v>0</v>
      </c>
      <c r="CK574" s="8">
        <f t="shared" si="404"/>
        <v>0</v>
      </c>
      <c r="CL574" s="8">
        <f t="shared" si="405"/>
        <v>0</v>
      </c>
      <c r="CM574" s="8">
        <f t="shared" si="406"/>
        <v>0</v>
      </c>
      <c r="CN574" s="8">
        <f t="shared" si="407"/>
        <v>0</v>
      </c>
      <c r="CO574" s="8">
        <f t="shared" si="408"/>
        <v>0</v>
      </c>
      <c r="CP574" s="8">
        <f t="shared" si="409"/>
        <v>0</v>
      </c>
      <c r="CQ574" s="8">
        <f t="shared" si="410"/>
        <v>0</v>
      </c>
      <c r="CR574" s="8">
        <f t="shared" si="411"/>
        <v>0</v>
      </c>
      <c r="CS574" s="8">
        <f t="shared" si="412"/>
        <v>0</v>
      </c>
      <c r="CT574" s="8">
        <f t="shared" si="417"/>
        <v>0</v>
      </c>
      <c r="CU574" s="8">
        <f t="shared" si="418"/>
        <v>0</v>
      </c>
      <c r="CV574" s="8">
        <f t="shared" si="419"/>
        <v>0</v>
      </c>
    </row>
    <row r="575" spans="1:100" ht="20.5" thickTop="1" thickBot="1" x14ac:dyDescent="0.5">
      <c r="A575" s="32"/>
      <c r="B575" s="10"/>
      <c r="C575" s="10"/>
      <c r="D575" s="11"/>
      <c r="E575" s="10"/>
      <c r="F575" s="10"/>
      <c r="G575" s="19"/>
      <c r="H575" s="19"/>
      <c r="I575" s="19"/>
      <c r="J575" s="19"/>
      <c r="K575" s="10"/>
      <c r="L575" s="10"/>
      <c r="M575" s="10"/>
      <c r="N575" s="10"/>
      <c r="O575" s="18"/>
      <c r="P575" s="18"/>
      <c r="Q575" s="21"/>
      <c r="R575" s="20"/>
      <c r="S575" s="16">
        <f t="shared" si="375"/>
        <v>0</v>
      </c>
      <c r="T575" s="11"/>
      <c r="AS575" s="31">
        <f t="shared" si="376"/>
        <v>0</v>
      </c>
      <c r="AT575" s="31">
        <f t="shared" si="377"/>
        <v>0</v>
      </c>
      <c r="AU575" s="31">
        <f t="shared" si="378"/>
        <v>0</v>
      </c>
      <c r="AV575" s="31">
        <f t="shared" si="379"/>
        <v>0</v>
      </c>
      <c r="AW575" s="31">
        <f t="shared" si="380"/>
        <v>0</v>
      </c>
      <c r="AX575" s="31">
        <f t="shared" si="381"/>
        <v>0</v>
      </c>
      <c r="AY575" s="31">
        <f t="shared" si="382"/>
        <v>0</v>
      </c>
      <c r="AZ575" s="31">
        <f t="shared" si="383"/>
        <v>0</v>
      </c>
      <c r="BA575" s="31">
        <f t="shared" si="384"/>
        <v>0</v>
      </c>
      <c r="BB575" s="31">
        <f t="shared" si="413"/>
        <v>0</v>
      </c>
      <c r="BM575" s="8">
        <f t="shared" si="414"/>
        <v>0</v>
      </c>
      <c r="BN575" s="8">
        <f t="shared" si="385"/>
        <v>0</v>
      </c>
      <c r="BO575" s="8">
        <f t="shared" si="386"/>
        <v>0</v>
      </c>
      <c r="BQ575" s="8">
        <f t="shared" si="387"/>
        <v>0</v>
      </c>
      <c r="BR575" s="63">
        <f t="shared" si="388"/>
        <v>0</v>
      </c>
      <c r="BS575" s="63">
        <f t="shared" si="415"/>
        <v>0</v>
      </c>
      <c r="BT575" s="63">
        <f t="shared" si="389"/>
        <v>0</v>
      </c>
      <c r="BU575" s="63">
        <f t="shared" si="390"/>
        <v>0</v>
      </c>
      <c r="BV575" s="57">
        <f t="shared" si="391"/>
        <v>0</v>
      </c>
      <c r="BW575" s="57">
        <f t="shared" si="392"/>
        <v>0</v>
      </c>
      <c r="BX575" s="57">
        <f t="shared" si="416"/>
        <v>0</v>
      </c>
      <c r="BY575" s="57">
        <f t="shared" si="420"/>
        <v>0</v>
      </c>
      <c r="BZ575" s="8">
        <f t="shared" si="393"/>
        <v>0</v>
      </c>
      <c r="CA575" s="8">
        <f t="shared" si="394"/>
        <v>0</v>
      </c>
      <c r="CB575" s="8">
        <f t="shared" si="395"/>
        <v>0</v>
      </c>
      <c r="CC575" s="8">
        <f t="shared" si="396"/>
        <v>0</v>
      </c>
      <c r="CD575" s="8">
        <f t="shared" si="397"/>
        <v>0</v>
      </c>
      <c r="CE575" s="8">
        <f t="shared" si="398"/>
        <v>0</v>
      </c>
      <c r="CF575" s="8">
        <f t="shared" si="399"/>
        <v>0</v>
      </c>
      <c r="CG575" s="8">
        <f t="shared" si="400"/>
        <v>0</v>
      </c>
      <c r="CH575" s="8">
        <f t="shared" si="401"/>
        <v>0</v>
      </c>
      <c r="CI575" s="8">
        <f t="shared" si="402"/>
        <v>0</v>
      </c>
      <c r="CJ575" s="8">
        <f t="shared" si="403"/>
        <v>0</v>
      </c>
      <c r="CK575" s="8">
        <f t="shared" si="404"/>
        <v>0</v>
      </c>
      <c r="CL575" s="8">
        <f t="shared" si="405"/>
        <v>0</v>
      </c>
      <c r="CM575" s="8">
        <f t="shared" si="406"/>
        <v>0</v>
      </c>
      <c r="CN575" s="8">
        <f t="shared" si="407"/>
        <v>0</v>
      </c>
      <c r="CO575" s="8">
        <f t="shared" si="408"/>
        <v>0</v>
      </c>
      <c r="CP575" s="8">
        <f t="shared" si="409"/>
        <v>0</v>
      </c>
      <c r="CQ575" s="8">
        <f t="shared" si="410"/>
        <v>0</v>
      </c>
      <c r="CR575" s="8">
        <f t="shared" si="411"/>
        <v>0</v>
      </c>
      <c r="CS575" s="8">
        <f t="shared" si="412"/>
        <v>0</v>
      </c>
      <c r="CT575" s="8">
        <f t="shared" si="417"/>
        <v>0</v>
      </c>
      <c r="CU575" s="8">
        <f t="shared" si="418"/>
        <v>0</v>
      </c>
      <c r="CV575" s="8">
        <f t="shared" si="419"/>
        <v>0</v>
      </c>
    </row>
    <row r="576" spans="1:100" ht="20.5" thickTop="1" thickBot="1" x14ac:dyDescent="0.5">
      <c r="A576" s="32"/>
      <c r="B576" s="10"/>
      <c r="C576" s="10"/>
      <c r="D576" s="11"/>
      <c r="E576" s="10"/>
      <c r="F576" s="10"/>
      <c r="G576" s="19"/>
      <c r="H576" s="19"/>
      <c r="I576" s="19"/>
      <c r="J576" s="19"/>
      <c r="K576" s="10"/>
      <c r="L576" s="10"/>
      <c r="M576" s="10"/>
      <c r="N576" s="10"/>
      <c r="O576" s="18"/>
      <c r="P576" s="18"/>
      <c r="Q576" s="21"/>
      <c r="R576" s="20"/>
      <c r="S576" s="16">
        <f t="shared" si="375"/>
        <v>0</v>
      </c>
      <c r="T576" s="11"/>
      <c r="AS576" s="31">
        <f t="shared" si="376"/>
        <v>0</v>
      </c>
      <c r="AT576" s="31">
        <f t="shared" si="377"/>
        <v>0</v>
      </c>
      <c r="AU576" s="31">
        <f t="shared" si="378"/>
        <v>0</v>
      </c>
      <c r="AV576" s="31">
        <f t="shared" si="379"/>
        <v>0</v>
      </c>
      <c r="AW576" s="31">
        <f t="shared" si="380"/>
        <v>0</v>
      </c>
      <c r="AX576" s="31">
        <f t="shared" si="381"/>
        <v>0</v>
      </c>
      <c r="AY576" s="31">
        <f t="shared" si="382"/>
        <v>0</v>
      </c>
      <c r="AZ576" s="31">
        <f t="shared" si="383"/>
        <v>0</v>
      </c>
      <c r="BA576" s="31">
        <f t="shared" si="384"/>
        <v>0</v>
      </c>
      <c r="BB576" s="31">
        <f t="shared" si="413"/>
        <v>0</v>
      </c>
      <c r="BM576" s="8">
        <f t="shared" si="414"/>
        <v>0</v>
      </c>
      <c r="BN576" s="8">
        <f t="shared" si="385"/>
        <v>0</v>
      </c>
      <c r="BO576" s="8">
        <f t="shared" si="386"/>
        <v>0</v>
      </c>
      <c r="BQ576" s="8">
        <f t="shared" si="387"/>
        <v>0</v>
      </c>
      <c r="BR576" s="63">
        <f t="shared" si="388"/>
        <v>0</v>
      </c>
      <c r="BS576" s="63">
        <f t="shared" si="415"/>
        <v>0</v>
      </c>
      <c r="BT576" s="63">
        <f t="shared" si="389"/>
        <v>0</v>
      </c>
      <c r="BU576" s="63">
        <f t="shared" si="390"/>
        <v>0</v>
      </c>
      <c r="BV576" s="57">
        <f t="shared" si="391"/>
        <v>0</v>
      </c>
      <c r="BW576" s="57">
        <f t="shared" si="392"/>
        <v>0</v>
      </c>
      <c r="BX576" s="57">
        <f t="shared" si="416"/>
        <v>0</v>
      </c>
      <c r="BY576" s="57">
        <f t="shared" si="420"/>
        <v>0</v>
      </c>
      <c r="BZ576" s="8">
        <f t="shared" si="393"/>
        <v>0</v>
      </c>
      <c r="CA576" s="8">
        <f t="shared" si="394"/>
        <v>0</v>
      </c>
      <c r="CB576" s="8">
        <f t="shared" si="395"/>
        <v>0</v>
      </c>
      <c r="CC576" s="8">
        <f t="shared" si="396"/>
        <v>0</v>
      </c>
      <c r="CD576" s="8">
        <f t="shared" si="397"/>
        <v>0</v>
      </c>
      <c r="CE576" s="8">
        <f t="shared" si="398"/>
        <v>0</v>
      </c>
      <c r="CF576" s="8">
        <f t="shared" si="399"/>
        <v>0</v>
      </c>
      <c r="CG576" s="8">
        <f t="shared" si="400"/>
        <v>0</v>
      </c>
      <c r="CH576" s="8">
        <f t="shared" si="401"/>
        <v>0</v>
      </c>
      <c r="CI576" s="8">
        <f t="shared" si="402"/>
        <v>0</v>
      </c>
      <c r="CJ576" s="8">
        <f t="shared" si="403"/>
        <v>0</v>
      </c>
      <c r="CK576" s="8">
        <f t="shared" si="404"/>
        <v>0</v>
      </c>
      <c r="CL576" s="8">
        <f t="shared" si="405"/>
        <v>0</v>
      </c>
      <c r="CM576" s="8">
        <f t="shared" si="406"/>
        <v>0</v>
      </c>
      <c r="CN576" s="8">
        <f t="shared" si="407"/>
        <v>0</v>
      </c>
      <c r="CO576" s="8">
        <f t="shared" si="408"/>
        <v>0</v>
      </c>
      <c r="CP576" s="8">
        <f t="shared" si="409"/>
        <v>0</v>
      </c>
      <c r="CQ576" s="8">
        <f t="shared" si="410"/>
        <v>0</v>
      </c>
      <c r="CR576" s="8">
        <f t="shared" si="411"/>
        <v>0</v>
      </c>
      <c r="CS576" s="8">
        <f t="shared" si="412"/>
        <v>0</v>
      </c>
      <c r="CT576" s="8">
        <f t="shared" si="417"/>
        <v>0</v>
      </c>
      <c r="CU576" s="8">
        <f t="shared" si="418"/>
        <v>0</v>
      </c>
      <c r="CV576" s="8">
        <f t="shared" si="419"/>
        <v>0</v>
      </c>
    </row>
    <row r="577" spans="1:100" ht="20.5" thickTop="1" thickBot="1" x14ac:dyDescent="0.5">
      <c r="A577" s="32"/>
      <c r="B577" s="10"/>
      <c r="C577" s="10"/>
      <c r="D577" s="11"/>
      <c r="E577" s="10"/>
      <c r="F577" s="10"/>
      <c r="G577" s="19"/>
      <c r="H577" s="19"/>
      <c r="I577" s="19"/>
      <c r="J577" s="19"/>
      <c r="K577" s="10"/>
      <c r="L577" s="10"/>
      <c r="M577" s="10"/>
      <c r="N577" s="10"/>
      <c r="O577" s="18"/>
      <c r="P577" s="18"/>
      <c r="Q577" s="21"/>
      <c r="R577" s="20"/>
      <c r="S577" s="16">
        <f t="shared" si="375"/>
        <v>0</v>
      </c>
      <c r="T577" s="11"/>
      <c r="AS577" s="31">
        <f t="shared" si="376"/>
        <v>0</v>
      </c>
      <c r="AT577" s="31">
        <f t="shared" si="377"/>
        <v>0</v>
      </c>
      <c r="AU577" s="31">
        <f t="shared" si="378"/>
        <v>0</v>
      </c>
      <c r="AV577" s="31">
        <f t="shared" si="379"/>
        <v>0</v>
      </c>
      <c r="AW577" s="31">
        <f t="shared" si="380"/>
        <v>0</v>
      </c>
      <c r="AX577" s="31">
        <f t="shared" si="381"/>
        <v>0</v>
      </c>
      <c r="AY577" s="31">
        <f t="shared" si="382"/>
        <v>0</v>
      </c>
      <c r="AZ577" s="31">
        <f t="shared" si="383"/>
        <v>0</v>
      </c>
      <c r="BA577" s="31">
        <f t="shared" si="384"/>
        <v>0</v>
      </c>
      <c r="BB577" s="31">
        <f t="shared" si="413"/>
        <v>0</v>
      </c>
      <c r="BM577" s="8">
        <f t="shared" si="414"/>
        <v>0</v>
      </c>
      <c r="BN577" s="8">
        <f t="shared" si="385"/>
        <v>0</v>
      </c>
      <c r="BO577" s="8">
        <f t="shared" si="386"/>
        <v>0</v>
      </c>
      <c r="BQ577" s="8">
        <f t="shared" si="387"/>
        <v>0</v>
      </c>
      <c r="BR577" s="63">
        <f t="shared" si="388"/>
        <v>0</v>
      </c>
      <c r="BS577" s="63">
        <f t="shared" si="415"/>
        <v>0</v>
      </c>
      <c r="BT577" s="63">
        <f t="shared" si="389"/>
        <v>0</v>
      </c>
      <c r="BU577" s="63">
        <f t="shared" si="390"/>
        <v>0</v>
      </c>
      <c r="BV577" s="57">
        <f t="shared" si="391"/>
        <v>0</v>
      </c>
      <c r="BW577" s="57">
        <f t="shared" si="392"/>
        <v>0</v>
      </c>
      <c r="BX577" s="57">
        <f t="shared" si="416"/>
        <v>0</v>
      </c>
      <c r="BY577" s="57">
        <f t="shared" si="420"/>
        <v>0</v>
      </c>
      <c r="BZ577" s="8">
        <f t="shared" si="393"/>
        <v>0</v>
      </c>
      <c r="CA577" s="8">
        <f t="shared" si="394"/>
        <v>0</v>
      </c>
      <c r="CB577" s="8">
        <f t="shared" si="395"/>
        <v>0</v>
      </c>
      <c r="CC577" s="8">
        <f t="shared" si="396"/>
        <v>0</v>
      </c>
      <c r="CD577" s="8">
        <f t="shared" si="397"/>
        <v>0</v>
      </c>
      <c r="CE577" s="8">
        <f t="shared" si="398"/>
        <v>0</v>
      </c>
      <c r="CF577" s="8">
        <f t="shared" si="399"/>
        <v>0</v>
      </c>
      <c r="CG577" s="8">
        <f t="shared" si="400"/>
        <v>0</v>
      </c>
      <c r="CH577" s="8">
        <f t="shared" si="401"/>
        <v>0</v>
      </c>
      <c r="CI577" s="8">
        <f t="shared" si="402"/>
        <v>0</v>
      </c>
      <c r="CJ577" s="8">
        <f t="shared" si="403"/>
        <v>0</v>
      </c>
      <c r="CK577" s="8">
        <f t="shared" si="404"/>
        <v>0</v>
      </c>
      <c r="CL577" s="8">
        <f t="shared" si="405"/>
        <v>0</v>
      </c>
      <c r="CM577" s="8">
        <f t="shared" si="406"/>
        <v>0</v>
      </c>
      <c r="CN577" s="8">
        <f t="shared" si="407"/>
        <v>0</v>
      </c>
      <c r="CO577" s="8">
        <f t="shared" si="408"/>
        <v>0</v>
      </c>
      <c r="CP577" s="8">
        <f t="shared" si="409"/>
        <v>0</v>
      </c>
      <c r="CQ577" s="8">
        <f t="shared" si="410"/>
        <v>0</v>
      </c>
      <c r="CR577" s="8">
        <f t="shared" si="411"/>
        <v>0</v>
      </c>
      <c r="CS577" s="8">
        <f t="shared" si="412"/>
        <v>0</v>
      </c>
      <c r="CT577" s="8">
        <f t="shared" si="417"/>
        <v>0</v>
      </c>
      <c r="CU577" s="8">
        <f t="shared" si="418"/>
        <v>0</v>
      </c>
      <c r="CV577" s="8">
        <f t="shared" si="419"/>
        <v>0</v>
      </c>
    </row>
    <row r="578" spans="1:100" ht="20.5" thickTop="1" thickBot="1" x14ac:dyDescent="0.5">
      <c r="A578" s="32"/>
      <c r="B578" s="10"/>
      <c r="C578" s="10"/>
      <c r="D578" s="11"/>
      <c r="E578" s="10"/>
      <c r="F578" s="10"/>
      <c r="G578" s="19"/>
      <c r="H578" s="19"/>
      <c r="I578" s="19"/>
      <c r="J578" s="19"/>
      <c r="K578" s="10"/>
      <c r="L578" s="10"/>
      <c r="M578" s="10"/>
      <c r="N578" s="10"/>
      <c r="O578" s="18"/>
      <c r="P578" s="18"/>
      <c r="Q578" s="21"/>
      <c r="R578" s="20"/>
      <c r="S578" s="16">
        <f t="shared" si="375"/>
        <v>0</v>
      </c>
      <c r="T578" s="11"/>
      <c r="AS578" s="31">
        <f t="shared" si="376"/>
        <v>0</v>
      </c>
      <c r="AT578" s="31">
        <f t="shared" si="377"/>
        <v>0</v>
      </c>
      <c r="AU578" s="31">
        <f t="shared" si="378"/>
        <v>0</v>
      </c>
      <c r="AV578" s="31">
        <f t="shared" si="379"/>
        <v>0</v>
      </c>
      <c r="AW578" s="31">
        <f t="shared" si="380"/>
        <v>0</v>
      </c>
      <c r="AX578" s="31">
        <f t="shared" si="381"/>
        <v>0</v>
      </c>
      <c r="AY578" s="31">
        <f t="shared" si="382"/>
        <v>0</v>
      </c>
      <c r="AZ578" s="31">
        <f t="shared" si="383"/>
        <v>0</v>
      </c>
      <c r="BA578" s="31">
        <f t="shared" si="384"/>
        <v>0</v>
      </c>
      <c r="BB578" s="31">
        <f t="shared" si="413"/>
        <v>0</v>
      </c>
      <c r="BM578" s="8">
        <f t="shared" si="414"/>
        <v>0</v>
      </c>
      <c r="BN578" s="8">
        <f t="shared" si="385"/>
        <v>0</v>
      </c>
      <c r="BO578" s="8">
        <f t="shared" si="386"/>
        <v>0</v>
      </c>
      <c r="BQ578" s="8">
        <f t="shared" si="387"/>
        <v>0</v>
      </c>
      <c r="BR578" s="63">
        <f t="shared" si="388"/>
        <v>0</v>
      </c>
      <c r="BS578" s="63">
        <f t="shared" si="415"/>
        <v>0</v>
      </c>
      <c r="BT578" s="63">
        <f t="shared" si="389"/>
        <v>0</v>
      </c>
      <c r="BU578" s="63">
        <f t="shared" si="390"/>
        <v>0</v>
      </c>
      <c r="BV578" s="57">
        <f t="shared" si="391"/>
        <v>0</v>
      </c>
      <c r="BW578" s="57">
        <f t="shared" si="392"/>
        <v>0</v>
      </c>
      <c r="BX578" s="57">
        <f t="shared" si="416"/>
        <v>0</v>
      </c>
      <c r="BY578" s="57">
        <f t="shared" si="420"/>
        <v>0</v>
      </c>
      <c r="BZ578" s="8">
        <f t="shared" si="393"/>
        <v>0</v>
      </c>
      <c r="CA578" s="8">
        <f t="shared" si="394"/>
        <v>0</v>
      </c>
      <c r="CB578" s="8">
        <f t="shared" si="395"/>
        <v>0</v>
      </c>
      <c r="CC578" s="8">
        <f t="shared" si="396"/>
        <v>0</v>
      </c>
      <c r="CD578" s="8">
        <f t="shared" si="397"/>
        <v>0</v>
      </c>
      <c r="CE578" s="8">
        <f t="shared" si="398"/>
        <v>0</v>
      </c>
      <c r="CF578" s="8">
        <f t="shared" si="399"/>
        <v>0</v>
      </c>
      <c r="CG578" s="8">
        <f t="shared" si="400"/>
        <v>0</v>
      </c>
      <c r="CH578" s="8">
        <f t="shared" si="401"/>
        <v>0</v>
      </c>
      <c r="CI578" s="8">
        <f t="shared" si="402"/>
        <v>0</v>
      </c>
      <c r="CJ578" s="8">
        <f t="shared" si="403"/>
        <v>0</v>
      </c>
      <c r="CK578" s="8">
        <f t="shared" si="404"/>
        <v>0</v>
      </c>
      <c r="CL578" s="8">
        <f t="shared" si="405"/>
        <v>0</v>
      </c>
      <c r="CM578" s="8">
        <f t="shared" si="406"/>
        <v>0</v>
      </c>
      <c r="CN578" s="8">
        <f t="shared" si="407"/>
        <v>0</v>
      </c>
      <c r="CO578" s="8">
        <f t="shared" si="408"/>
        <v>0</v>
      </c>
      <c r="CP578" s="8">
        <f t="shared" si="409"/>
        <v>0</v>
      </c>
      <c r="CQ578" s="8">
        <f t="shared" si="410"/>
        <v>0</v>
      </c>
      <c r="CR578" s="8">
        <f t="shared" si="411"/>
        <v>0</v>
      </c>
      <c r="CS578" s="8">
        <f t="shared" si="412"/>
        <v>0</v>
      </c>
      <c r="CT578" s="8">
        <f t="shared" si="417"/>
        <v>0</v>
      </c>
      <c r="CU578" s="8">
        <f t="shared" si="418"/>
        <v>0</v>
      </c>
      <c r="CV578" s="8">
        <f t="shared" si="419"/>
        <v>0</v>
      </c>
    </row>
    <row r="579" spans="1:100" ht="20.5" thickTop="1" thickBot="1" x14ac:dyDescent="0.5">
      <c r="A579" s="32"/>
      <c r="B579" s="10"/>
      <c r="C579" s="10"/>
      <c r="D579" s="11"/>
      <c r="E579" s="10"/>
      <c r="F579" s="10"/>
      <c r="G579" s="19"/>
      <c r="H579" s="19"/>
      <c r="I579" s="19"/>
      <c r="J579" s="19"/>
      <c r="K579" s="10"/>
      <c r="L579" s="10"/>
      <c r="M579" s="10"/>
      <c r="N579" s="10"/>
      <c r="O579" s="18"/>
      <c r="P579" s="18"/>
      <c r="Q579" s="21"/>
      <c r="R579" s="20"/>
      <c r="S579" s="16">
        <f t="shared" si="375"/>
        <v>0</v>
      </c>
      <c r="T579" s="11"/>
      <c r="AS579" s="31">
        <f t="shared" si="376"/>
        <v>0</v>
      </c>
      <c r="AT579" s="31">
        <f t="shared" si="377"/>
        <v>0</v>
      </c>
      <c r="AU579" s="31">
        <f t="shared" si="378"/>
        <v>0</v>
      </c>
      <c r="AV579" s="31">
        <f t="shared" si="379"/>
        <v>0</v>
      </c>
      <c r="AW579" s="31">
        <f t="shared" si="380"/>
        <v>0</v>
      </c>
      <c r="AX579" s="31">
        <f t="shared" si="381"/>
        <v>0</v>
      </c>
      <c r="AY579" s="31">
        <f t="shared" si="382"/>
        <v>0</v>
      </c>
      <c r="AZ579" s="31">
        <f t="shared" si="383"/>
        <v>0</v>
      </c>
      <c r="BA579" s="31">
        <f t="shared" si="384"/>
        <v>0</v>
      </c>
      <c r="BB579" s="31">
        <f t="shared" si="413"/>
        <v>0</v>
      </c>
      <c r="BM579" s="8">
        <f t="shared" si="414"/>
        <v>0</v>
      </c>
      <c r="BN579" s="8">
        <f t="shared" si="385"/>
        <v>0</v>
      </c>
      <c r="BO579" s="8">
        <f t="shared" si="386"/>
        <v>0</v>
      </c>
      <c r="BQ579" s="8">
        <f t="shared" si="387"/>
        <v>0</v>
      </c>
      <c r="BR579" s="63">
        <f t="shared" si="388"/>
        <v>0</v>
      </c>
      <c r="BS579" s="63">
        <f t="shared" si="415"/>
        <v>0</v>
      </c>
      <c r="BT579" s="63">
        <f t="shared" si="389"/>
        <v>0</v>
      </c>
      <c r="BU579" s="63">
        <f t="shared" si="390"/>
        <v>0</v>
      </c>
      <c r="BV579" s="57">
        <f t="shared" si="391"/>
        <v>0</v>
      </c>
      <c r="BW579" s="57">
        <f t="shared" si="392"/>
        <v>0</v>
      </c>
      <c r="BX579" s="57">
        <f t="shared" si="416"/>
        <v>0</v>
      </c>
      <c r="BY579" s="57">
        <f t="shared" si="420"/>
        <v>0</v>
      </c>
      <c r="BZ579" s="8">
        <f t="shared" si="393"/>
        <v>0</v>
      </c>
      <c r="CA579" s="8">
        <f t="shared" si="394"/>
        <v>0</v>
      </c>
      <c r="CB579" s="8">
        <f t="shared" si="395"/>
        <v>0</v>
      </c>
      <c r="CC579" s="8">
        <f t="shared" si="396"/>
        <v>0</v>
      </c>
      <c r="CD579" s="8">
        <f t="shared" si="397"/>
        <v>0</v>
      </c>
      <c r="CE579" s="8">
        <f t="shared" si="398"/>
        <v>0</v>
      </c>
      <c r="CF579" s="8">
        <f t="shared" si="399"/>
        <v>0</v>
      </c>
      <c r="CG579" s="8">
        <f t="shared" si="400"/>
        <v>0</v>
      </c>
      <c r="CH579" s="8">
        <f t="shared" si="401"/>
        <v>0</v>
      </c>
      <c r="CI579" s="8">
        <f t="shared" si="402"/>
        <v>0</v>
      </c>
      <c r="CJ579" s="8">
        <f t="shared" si="403"/>
        <v>0</v>
      </c>
      <c r="CK579" s="8">
        <f t="shared" si="404"/>
        <v>0</v>
      </c>
      <c r="CL579" s="8">
        <f t="shared" si="405"/>
        <v>0</v>
      </c>
      <c r="CM579" s="8">
        <f t="shared" si="406"/>
        <v>0</v>
      </c>
      <c r="CN579" s="8">
        <f t="shared" si="407"/>
        <v>0</v>
      </c>
      <c r="CO579" s="8">
        <f t="shared" si="408"/>
        <v>0</v>
      </c>
      <c r="CP579" s="8">
        <f t="shared" si="409"/>
        <v>0</v>
      </c>
      <c r="CQ579" s="8">
        <f t="shared" si="410"/>
        <v>0</v>
      </c>
      <c r="CR579" s="8">
        <f t="shared" si="411"/>
        <v>0</v>
      </c>
      <c r="CS579" s="8">
        <f t="shared" si="412"/>
        <v>0</v>
      </c>
      <c r="CT579" s="8">
        <f t="shared" si="417"/>
        <v>0</v>
      </c>
      <c r="CU579" s="8">
        <f t="shared" si="418"/>
        <v>0</v>
      </c>
      <c r="CV579" s="8">
        <f t="shared" si="419"/>
        <v>0</v>
      </c>
    </row>
    <row r="580" spans="1:100" ht="20.5" thickTop="1" thickBot="1" x14ac:dyDescent="0.5">
      <c r="A580" s="32"/>
      <c r="B580" s="10"/>
      <c r="C580" s="10"/>
      <c r="D580" s="11"/>
      <c r="E580" s="10"/>
      <c r="F580" s="10"/>
      <c r="G580" s="19"/>
      <c r="H580" s="19"/>
      <c r="I580" s="19"/>
      <c r="J580" s="19"/>
      <c r="K580" s="10"/>
      <c r="L580" s="10"/>
      <c r="M580" s="10"/>
      <c r="N580" s="10"/>
      <c r="O580" s="18"/>
      <c r="P580" s="18"/>
      <c r="Q580" s="21"/>
      <c r="R580" s="20"/>
      <c r="S580" s="16">
        <f t="shared" ref="S580:S643" si="421">IF(AND(K580="asphalted",M580="sub",BV580&lt;=1,BV580&gt;0),1+2*0.15,IF(AND(K580="asphalted",OR(M580="main",M580="MOT"),BV580&lt;=1,BV580&gt;0),1+2*0.3,IF(AND(K580="asphalted",M580="sub",BV580&gt;1),BV580+2*0.15,IF(AND(K580="asphalted",OR(M580="main",M580="MOT"),BV580&gt;1),BV580+2*0.3,0))))</f>
        <v>0</v>
      </c>
      <c r="T580" s="11"/>
      <c r="AS580" s="31">
        <f t="shared" ref="AS580:AS643" si="422">IF(F580=1,0.4,IF(F580&gt;1,F580*0.3,0))</f>
        <v>0</v>
      </c>
      <c r="AT580" s="31">
        <f t="shared" ref="AT580:AT643" si="423">IF(AND(G580&lt;4,G580&gt;0),0.4,IF(G580&gt;3,0.4+(G580-3)*0.1,0))</f>
        <v>0</v>
      </c>
      <c r="AU580" s="31">
        <f t="shared" ref="AU580:AU643" si="424">AT580-AS580</f>
        <v>0</v>
      </c>
      <c r="AV580" s="31">
        <f t="shared" ref="AV580:AV643" si="425">IF(AND(OR(OR(E580="normal",E580="special"),E580="special"),F580=0,G580&gt;0,G580&lt;5),"LV"&amp;G580,IF(AND(OR(OR(E580="normal",E580="special"),E580="special"),F580=0,G580&gt;4),"LVCU",IF(AND(OR(OR(E580="normal",E580="special"),E580="special"),F580&gt;4),"MVCU",IF(AND(OR(OR(E580="normal",E580="special"),E580="special"),F580&gt;0,F580&lt;5),"MV"&amp;F580,IF(AND(E580="mini-trench",F580=1),"mini-trench MV",IF(AND(E580="mini-trench",G580&lt;3,G580&lt;&gt;0),"mini-trench LV",0))))))</f>
        <v>0</v>
      </c>
      <c r="AW580" s="31">
        <f t="shared" ref="AW580:AW643" si="426">IF(B580="joint",F580,0)+IF(C580="joint",F580,0)+IF(OR(B580="new ss",B580="ss"),F580*3)+IF(B580="pole",F580*10)+IF(OR(C580="new ss",C580="ss"),F580*3)+IF(C580="pole",F580*10)+IF(B580="grid",F580*30)+IF(C580="grid",F580*30)</f>
        <v>0</v>
      </c>
      <c r="AX580" s="31">
        <f t="shared" ref="AX580:AX643" si="427">IF(J580&gt;0,IF(OR(B580="ss",C580="ss"),J580*3,0)+IF(OR(B580="new ss",C580="new ss"),J580*3,0)+IF(OR(B580="DC",C580="DC"),J580*1.5,0)+IF(OR(B580="new DC",C580="new DC"),J580*1.5,0)+IF(OR(B580="MB",C580="MB"),J580*2,0)+IF(OR(B580="pole",C580="pole"),J580*10,0),0)</f>
        <v>0</v>
      </c>
      <c r="AY580" s="31">
        <f t="shared" ref="AY580:AY643" si="428">IF(I580&gt;0,IF(OR(B580="ss",C580="ss"),I580*3,0)+IF(OR(B580="new ss",C580="new ss"),I580*3,0)+IF(OR(B580="DC",C580="DC"),I580*1.5,0)+IF(OR(B580="new DC",C580="new DC"),J580*1.5,0)+IF(OR(B580="MB",C580="MB"),I580*2,0)+IF(OR(B580="pole",C580="pole"),I580*10,0),0)</f>
        <v>0</v>
      </c>
      <c r="AZ580" s="31">
        <f t="shared" ref="AZ580:AZ643" si="429">IF(H580&gt;0,IF(OR(B580="ss",C580="ss"),H580*3,0)+IF(OR(B580="new ss",C580="new ss"),H580*3,0)+IF(OR(B580="DC",C580="DC"),H580*2,0)+IF(OR(B580="new DC",C580="new DC"),H580*1.5,0)+IF(OR(B580="MB",C580="MB"),H580*2,0)+IF(OR(B580="pole",C580="pole"),H580*10,0)+IF(OR(B580="pole",C580="pole"),H580*10,0),0)</f>
        <v>0</v>
      </c>
      <c r="BA580" s="31">
        <f t="shared" ref="BA580:BA643" si="430">IF(E580="manual",IF(AU580&lt;0,D580*AS580*0.8,IF(AND(AS580&gt;0,AU580&gt;0),D580*AS580*0.8+D580*AU580*0.65,IF(AND(AS580=0,AT580&gt;0),D580*AT580*0.65,0))),0)</f>
        <v>0</v>
      </c>
      <c r="BB580" s="31">
        <f t="shared" si="413"/>
        <v>0</v>
      </c>
      <c r="BM580" s="8">
        <f t="shared" si="414"/>
        <v>0</v>
      </c>
      <c r="BN580" s="8">
        <f t="shared" ref="BN580:BN643" si="431">IFERROR(IF(AND(K580="asphalted",E580="mini-trench",R580=""),1*D580,IF(AND(K580="asphalted",R580&gt;0,MandRcalc="Complete M&amp;R area"),R580*D580,IF(AND(K580="asphalted",R580&gt;0,MandRcalc="M&amp;R area - asphalting area"),(R580-BR580/D580)*D580,0))),0)</f>
        <v>0</v>
      </c>
      <c r="BO580" s="8">
        <f t="shared" ref="BO580:BO643" si="432">IF(BQ580&lt;MINEXCNA,0,IF(AND(E580="normal",F580&lt;5,G580&lt;12,K580&lt;&gt;"asphalted",AT580&gt;AS580,AS580&lt;&gt;0),(BQ580-AT580)*0.65,IF(AND(E580="normal",F580&lt;5,G580&lt;12,K580&lt;&gt;"asphalted",AS580&gt;=AT580),(BQ580-AS580)*0.8,IF(AND(E580="normal",F580&lt;5,G580&lt;12,K580&lt;&gt;"asphalted",AT580&gt;0,AS580=0),(BQ580-AT580)*0.65,0)))*D580)</f>
        <v>0</v>
      </c>
      <c r="BQ580" s="8">
        <f t="shared" ref="BQ580:BQ643" si="433">IF(E580="special",O580,IF(AND(OR(E580="normal",E580="manual"),O580="",K580="asphalted",BV580&lt;=MINEXC),MINEXC,IF(AND(OR(E580="normal",E580="manual"),O580&lt;&gt;"",K580="asphalted"),MIN(O580,BV580),IF(AND(OR(E580="normal",E580="manual"),O580="",K580&lt;&gt;"asphalted",BV580&lt;=MINEXCNA),MINEXCNA,IF(AND(OR(E580="normal",E580="manual"),O580&lt;&gt;"",K580&lt;&gt;"asphalted"),MIN(O580,BV580),BV580)))))</f>
        <v>0</v>
      </c>
      <c r="BR580" s="63">
        <f t="shared" ref="BR580:BR643" si="434">IFERROR(IF(AND(E580&lt;&gt;"mini-trecnh",K580="asphalted",Q580&lt;&gt;"",S580=0),D580*Q580,IF(AND(E580&lt;&gt;"mini-trecnh",K580="asphalted",Q580&lt;&gt;"",S580&lt;&gt;0),D580*MIN(Q580,S580),IF(AND(E580&lt;&gt;"mini-trecnh",K580="asphalted",Q580=""),D580*S580,0))),0)</f>
        <v>0</v>
      </c>
      <c r="BS580" s="63">
        <f t="shared" si="415"/>
        <v>0</v>
      </c>
      <c r="BT580" s="63">
        <f t="shared" ref="BT580:BT643" si="435">IF(BQ580&lt;MINEXC,0,IF(AND(E580="normal",F580&lt;5,G580&lt;12,K580="asphalted",AT580&gt;AS580,AS580&lt;&gt;0),(BQ580-AT580)*0.65,IF(AND(E580="normal",F580&lt;5,G580&lt;12,K580="asphalted",AS580&gt;=AT580),(BQ580-AS580)*0.8,IF(AND(E580="normal",F580&lt;5,G580&lt;12,K580="asphalted",AT580&gt;0,AS580=0),(BQ580-AT580)*0.65,0)))*D580)</f>
        <v>0</v>
      </c>
      <c r="BU580" s="63">
        <f t="shared" ref="BU580:BU643" si="436">IF(E580="",0,IF(OR(BT580&gt;0,BO580&gt;0),0,IF(AND(F580&gt;4,G580=0),(BQ580-1.2)*D580*0.8,IF(AND(G580&gt;4,F580=0),(BQ580-0.4)*D580*0.65,IF(OR(AND(G580&gt;4,F580&gt;0),AND(F580&gt;4,G580&gt;0)),(IF(AS580&gt;1.2,(AS580-1.2)*D580*0.8,0)+IF(AT580&gt;AS580,(AT580-AS580)*D580*0.65,0)),0)))))</f>
        <v>0</v>
      </c>
      <c r="BV580" s="57">
        <f t="shared" ref="BV580:BV643" si="437">IF(AND(E580&lt;&gt;"mini-trench",E580&lt;&gt;"special"),MAX(AS580:AT580),0)</f>
        <v>0</v>
      </c>
      <c r="BW580" s="57">
        <f t="shared" ref="BW580:BW643" si="438">IF(AND(E580&lt;&gt;"mini-trench",E580&lt;&gt;"special",BV580&gt;0,BV580&lt;1,K580="asphalted"),IF(O580&lt;&gt;"",MIN(O580,1),1),IF(AND(E580&lt;&gt;"mini-trench",E580&lt;&gt;"special",BV580&gt;0,BV580&gt;1,K580="asphalted"),BV580,0))</f>
        <v>0</v>
      </c>
      <c r="BX580" s="57">
        <f t="shared" si="416"/>
        <v>0</v>
      </c>
      <c r="BY580" s="57">
        <f t="shared" si="420"/>
        <v>0</v>
      </c>
      <c r="BZ580" s="8">
        <f t="shared" ref="BZ580:BZ643" si="439">IF(E580="special",O580*P580*D580-D580*IF(AV580="MV1",0.8*0.4,IF(AV580="MV2",0.8*0.6,IF(AV580="MV3",0.8*0.9,IF(OR(AV580="MV4",AV580="MVCU"),0.8*1.2,IF(AV580="LV1-3",0.65*0.4,IF(OR(AV580="LV4",AV580="LVCU"),0.65*0.5)))))),0)</f>
        <v>0</v>
      </c>
      <c r="CA580" s="8">
        <f t="shared" ref="CA580:CA643" si="440">IF(AND(E580&lt;&gt;"special",K580="Paved interlock"),D580*BV580,IF(AND(E580="special",K580="Paved interlock"),D580*O580,0))</f>
        <v>0</v>
      </c>
      <c r="CB580" s="8">
        <f t="shared" ref="CB580:CB643" si="441">IF(AND(E580&lt;&gt;"special",K580="Paved conc.tiles"),D580*BV580,IF(AND(E580="special",K580="Paved conc.tiles"),D580*O580,0))</f>
        <v>0</v>
      </c>
      <c r="CC580" s="8">
        <f t="shared" ref="CC580:CC643" si="442">IF(AND(E580="special",K580="asphalted"),D580*Q580,0)</f>
        <v>0</v>
      </c>
      <c r="CD580" s="8">
        <f t="shared" ref="CD580:CD643" si="443">IF(OR(K580="Paved interlock",K580="Paved conc.tiles"),1,0)</f>
        <v>0</v>
      </c>
      <c r="CE580" s="8">
        <f t="shared" ref="CE580:CE643" si="444">IFERROR(BR580/D580,0)</f>
        <v>0</v>
      </c>
      <c r="CF580" s="8">
        <f t="shared" ref="CF580:CF643" si="445">IF(AND(F580&gt;0,B580="j transition"),F580,0)+IF(AND(F580&gt;0,C580="j transition"),F580,0)</f>
        <v>0</v>
      </c>
      <c r="CG580" s="8">
        <f t="shared" ref="CG580:CG643" si="446">IF(AND(F580&gt;0,OR(B580="grid",B580="ss",B580="pole",B580="new ss")),F580,0)+IF(AND(F580&gt;0,OR(C580="grid",C580="ss",C580="pole",C580="new ss")),F580,0)</f>
        <v>0</v>
      </c>
      <c r="CH580" s="8">
        <f t="shared" ref="CH580:CH643" si="447">IF(AND(F580&gt;0,B580="joint"),F580,0)+IF(AND(F580&gt;0,C580="joint"),F580,0)+IF(AND(F580&gt;0,B580="j transition"),F580,0)+IF(AND(F580&gt;0,C580="j transition"),F580,0)</f>
        <v>0</v>
      </c>
      <c r="CI580" s="8">
        <f t="shared" ref="CI580:CI643" si="448">IF(AND(H580&gt;0,B580="joint"),H580,0)+IF(AND(H580&gt;0,C580="joint"),H580,0)</f>
        <v>0</v>
      </c>
      <c r="CJ580" s="8">
        <f t="shared" ref="CJ580:CJ643" si="449">IF(AND(I580&gt;0,B580="joint"),I580,0)+IF(AND(I580&gt;0,C580="joint"),I580,0)</f>
        <v>0</v>
      </c>
      <c r="CK580" s="8">
        <f t="shared" ref="CK580:CK643" si="450">IF(AND(J580&gt;0,B580="joint"),J580,0)+IF(AND(J580&gt;0,C580="joint"),J580,0)</f>
        <v>0</v>
      </c>
      <c r="CL580" s="8">
        <f t="shared" ref="CL580:CL643" si="451">IF(AND(H580&gt;0,OR(B580="ss",B580="new ss",B580="DC",B580="new DC")),H580,0)+IF(AND(H580&gt;0,OR(C580="new ss",C580="ss",C580="DC",C580="new DC")),H580,0)</f>
        <v>0</v>
      </c>
      <c r="CM580" s="8">
        <f t="shared" ref="CM580:CM643" si="452">CO580+CP580</f>
        <v>0</v>
      </c>
      <c r="CN580" s="8">
        <f t="shared" ref="CN580:CN643" si="453">IF(OR(B580="new DC",C580="new DC"),H580,0)</f>
        <v>0</v>
      </c>
      <c r="CO580" s="8">
        <f t="shared" ref="CO580:CO643" si="454">IF(AND(J580&gt;0,OR(B580="ss",B580="new ss",B580="DC",B580="new DC")),J580,0)+IF(AND(J580&gt;0,OR(C580="new ss",C580="ss",C580="DC",C580="new DC")),J580,0)</f>
        <v>0</v>
      </c>
      <c r="CP580" s="8">
        <f t="shared" ref="CP580:CP643" si="455">IF(AND(I580&gt;0,OR(B580="ss",B580="new ss",B580="DC",B580="new DC")),I580,0)+IF(AND(I580&gt;0,OR(C580="new ss",C580="ss",C580="DC",C580="new DC")),I580,0)</f>
        <v>0</v>
      </c>
      <c r="CQ580" s="8">
        <f t="shared" ref="CQ580:CQ643" si="456">IF(AND(F580&gt;0,OR(B580="ss",B580="new ss")),F580,0)+IF(AND(F580&gt;0,OR(C580="ss",C580="new ss")),F580,0)</f>
        <v>0</v>
      </c>
      <c r="CR580" s="8">
        <f t="shared" ref="CR580:CR643" si="457">IF(AND(F580&gt;0,OR(B580="grid")),F580,0)+IF(AND(F580&gt;0,OR(C580="grid")),F580,0)</f>
        <v>0</v>
      </c>
      <c r="CS580" s="8">
        <f t="shared" ref="CS580:CS643" si="458">IF(AND(F580&gt;0,OR(B580="pole")),F580,0)+IF(AND(F580&gt;0,OR(C580="pole")),F580,0)</f>
        <v>0</v>
      </c>
      <c r="CT580" s="8">
        <f t="shared" si="417"/>
        <v>0</v>
      </c>
      <c r="CU580" s="8">
        <f t="shared" si="418"/>
        <v>0</v>
      </c>
      <c r="CV580" s="8">
        <f t="shared" si="419"/>
        <v>0</v>
      </c>
    </row>
    <row r="581" spans="1:100" ht="20.5" thickTop="1" thickBot="1" x14ac:dyDescent="0.5">
      <c r="A581" s="32"/>
      <c r="B581" s="10"/>
      <c r="C581" s="10"/>
      <c r="D581" s="11"/>
      <c r="E581" s="10"/>
      <c r="F581" s="10"/>
      <c r="G581" s="19"/>
      <c r="H581" s="19"/>
      <c r="I581" s="19"/>
      <c r="J581" s="19"/>
      <c r="K581" s="10"/>
      <c r="L581" s="10"/>
      <c r="M581" s="10"/>
      <c r="N581" s="10"/>
      <c r="O581" s="18"/>
      <c r="P581" s="18"/>
      <c r="Q581" s="21"/>
      <c r="R581" s="20"/>
      <c r="S581" s="16">
        <f t="shared" si="421"/>
        <v>0</v>
      </c>
      <c r="T581" s="11"/>
      <c r="AS581" s="31">
        <f t="shared" si="422"/>
        <v>0</v>
      </c>
      <c r="AT581" s="31">
        <f t="shared" si="423"/>
        <v>0</v>
      </c>
      <c r="AU581" s="31">
        <f t="shared" si="424"/>
        <v>0</v>
      </c>
      <c r="AV581" s="31">
        <f t="shared" si="425"/>
        <v>0</v>
      </c>
      <c r="AW581" s="31">
        <f t="shared" si="426"/>
        <v>0</v>
      </c>
      <c r="AX581" s="31">
        <f t="shared" si="427"/>
        <v>0</v>
      </c>
      <c r="AY581" s="31">
        <f t="shared" si="428"/>
        <v>0</v>
      </c>
      <c r="AZ581" s="31">
        <f t="shared" si="429"/>
        <v>0</v>
      </c>
      <c r="BA581" s="31">
        <f t="shared" si="430"/>
        <v>0</v>
      </c>
      <c r="BB581" s="31">
        <f t="shared" ref="BB581:BB644" si="459">IFERROR(IF(BN581&gt;0,0,IF(AND(E581="normal",(BR581/D581)&gt;1),BR581,0)),0)</f>
        <v>0</v>
      </c>
      <c r="BM581" s="8">
        <f t="shared" ref="BM581:BM644" si="460">IF(AND(E581&lt;&gt;"special",K581="Concrete"),D581*BV581,IF(AND(E581="special",K581="Concrete"),D581*O581,0))</f>
        <v>0</v>
      </c>
      <c r="BN581" s="8">
        <f t="shared" si="431"/>
        <v>0</v>
      </c>
      <c r="BO581" s="8">
        <f t="shared" si="432"/>
        <v>0</v>
      </c>
      <c r="BQ581" s="8">
        <f t="shared" si="433"/>
        <v>0</v>
      </c>
      <c r="BR581" s="63">
        <f t="shared" si="434"/>
        <v>0</v>
      </c>
      <c r="BS581" s="63">
        <f t="shared" ref="BS581:BS644" si="461">BN581 + IF(BN581&gt;0,IF(R580=0, R581, 0) + IF(R582=0, R581, 0),0)</f>
        <v>0</v>
      </c>
      <c r="BT581" s="63">
        <f t="shared" si="435"/>
        <v>0</v>
      </c>
      <c r="BU581" s="63">
        <f t="shared" si="436"/>
        <v>0</v>
      </c>
      <c r="BV581" s="57">
        <f t="shared" si="437"/>
        <v>0</v>
      </c>
      <c r="BW581" s="57">
        <f t="shared" si="438"/>
        <v>0</v>
      </c>
      <c r="BX581" s="57">
        <f t="shared" ref="BX581:BX644" si="462">IF(AND(R581&gt;0,MandRcalc="Asphalting then M&amp;R"),R581*D581,IF(AND(R581&gt;0,MandRcalc="Milling then Repaving"),(R581-BR581)*D581,0))</f>
        <v>0</v>
      </c>
      <c r="BY581" s="57">
        <f t="shared" si="420"/>
        <v>0</v>
      </c>
      <c r="BZ581" s="8">
        <f t="shared" si="439"/>
        <v>0</v>
      </c>
      <c r="CA581" s="8">
        <f t="shared" si="440"/>
        <v>0</v>
      </c>
      <c r="CB581" s="8">
        <f t="shared" si="441"/>
        <v>0</v>
      </c>
      <c r="CC581" s="8">
        <f t="shared" si="442"/>
        <v>0</v>
      </c>
      <c r="CD581" s="8">
        <f t="shared" si="443"/>
        <v>0</v>
      </c>
      <c r="CE581" s="8">
        <f t="shared" si="444"/>
        <v>0</v>
      </c>
      <c r="CF581" s="8">
        <f t="shared" si="445"/>
        <v>0</v>
      </c>
      <c r="CG581" s="8">
        <f t="shared" si="446"/>
        <v>0</v>
      </c>
      <c r="CH581" s="8">
        <f t="shared" si="447"/>
        <v>0</v>
      </c>
      <c r="CI581" s="8">
        <f t="shared" si="448"/>
        <v>0</v>
      </c>
      <c r="CJ581" s="8">
        <f t="shared" si="449"/>
        <v>0</v>
      </c>
      <c r="CK581" s="8">
        <f t="shared" si="450"/>
        <v>0</v>
      </c>
      <c r="CL581" s="8">
        <f t="shared" si="451"/>
        <v>0</v>
      </c>
      <c r="CM581" s="8">
        <f t="shared" si="452"/>
        <v>0</v>
      </c>
      <c r="CN581" s="8">
        <f t="shared" si="453"/>
        <v>0</v>
      </c>
      <c r="CO581" s="8">
        <f t="shared" si="454"/>
        <v>0</v>
      </c>
      <c r="CP581" s="8">
        <f t="shared" si="455"/>
        <v>0</v>
      </c>
      <c r="CQ581" s="8">
        <f t="shared" si="456"/>
        <v>0</v>
      </c>
      <c r="CR581" s="8">
        <f t="shared" si="457"/>
        <v>0</v>
      </c>
      <c r="CS581" s="8">
        <f t="shared" si="458"/>
        <v>0</v>
      </c>
      <c r="CT581" s="8">
        <f t="shared" si="417"/>
        <v>0</v>
      </c>
      <c r="CU581" s="8">
        <f t="shared" si="418"/>
        <v>0</v>
      </c>
      <c r="CV581" s="8">
        <f t="shared" si="419"/>
        <v>0</v>
      </c>
    </row>
    <row r="582" spans="1:100" ht="20.5" thickTop="1" thickBot="1" x14ac:dyDescent="0.5">
      <c r="A582" s="32"/>
      <c r="B582" s="10"/>
      <c r="C582" s="10"/>
      <c r="D582" s="11"/>
      <c r="E582" s="10"/>
      <c r="F582" s="10"/>
      <c r="G582" s="19"/>
      <c r="H582" s="19"/>
      <c r="I582" s="19"/>
      <c r="J582" s="19"/>
      <c r="K582" s="10"/>
      <c r="L582" s="10"/>
      <c r="M582" s="10"/>
      <c r="N582" s="10"/>
      <c r="O582" s="18"/>
      <c r="P582" s="18"/>
      <c r="Q582" s="21"/>
      <c r="R582" s="20"/>
      <c r="S582" s="16">
        <f t="shared" si="421"/>
        <v>0</v>
      </c>
      <c r="T582" s="11"/>
      <c r="AS582" s="31">
        <f t="shared" si="422"/>
        <v>0</v>
      </c>
      <c r="AT582" s="31">
        <f t="shared" si="423"/>
        <v>0</v>
      </c>
      <c r="AU582" s="31">
        <f t="shared" si="424"/>
        <v>0</v>
      </c>
      <c r="AV582" s="31">
        <f t="shared" si="425"/>
        <v>0</v>
      </c>
      <c r="AW582" s="31">
        <f t="shared" si="426"/>
        <v>0</v>
      </c>
      <c r="AX582" s="31">
        <f t="shared" si="427"/>
        <v>0</v>
      </c>
      <c r="AY582" s="31">
        <f t="shared" si="428"/>
        <v>0</v>
      </c>
      <c r="AZ582" s="31">
        <f t="shared" si="429"/>
        <v>0</v>
      </c>
      <c r="BA582" s="31">
        <f t="shared" si="430"/>
        <v>0</v>
      </c>
      <c r="BB582" s="31">
        <f t="shared" si="459"/>
        <v>0</v>
      </c>
      <c r="BM582" s="8">
        <f t="shared" si="460"/>
        <v>0</v>
      </c>
      <c r="BN582" s="8">
        <f t="shared" si="431"/>
        <v>0</v>
      </c>
      <c r="BO582" s="8">
        <f t="shared" si="432"/>
        <v>0</v>
      </c>
      <c r="BQ582" s="8">
        <f t="shared" si="433"/>
        <v>0</v>
      </c>
      <c r="BR582" s="63">
        <f t="shared" si="434"/>
        <v>0</v>
      </c>
      <c r="BS582" s="63">
        <f t="shared" si="461"/>
        <v>0</v>
      </c>
      <c r="BT582" s="63">
        <f t="shared" si="435"/>
        <v>0</v>
      </c>
      <c r="BU582" s="63">
        <f t="shared" si="436"/>
        <v>0</v>
      </c>
      <c r="BV582" s="57">
        <f t="shared" si="437"/>
        <v>0</v>
      </c>
      <c r="BW582" s="57">
        <f t="shared" si="438"/>
        <v>0</v>
      </c>
      <c r="BX582" s="57">
        <f t="shared" si="462"/>
        <v>0</v>
      </c>
      <c r="BY582" s="57">
        <f t="shared" si="420"/>
        <v>0</v>
      </c>
      <c r="BZ582" s="8">
        <f t="shared" si="439"/>
        <v>0</v>
      </c>
      <c r="CA582" s="8">
        <f t="shared" si="440"/>
        <v>0</v>
      </c>
      <c r="CB582" s="8">
        <f t="shared" si="441"/>
        <v>0</v>
      </c>
      <c r="CC582" s="8">
        <f t="shared" si="442"/>
        <v>0</v>
      </c>
      <c r="CD582" s="8">
        <f t="shared" si="443"/>
        <v>0</v>
      </c>
      <c r="CE582" s="8">
        <f t="shared" si="444"/>
        <v>0</v>
      </c>
      <c r="CF582" s="8">
        <f t="shared" si="445"/>
        <v>0</v>
      </c>
      <c r="CG582" s="8">
        <f t="shared" si="446"/>
        <v>0</v>
      </c>
      <c r="CH582" s="8">
        <f t="shared" si="447"/>
        <v>0</v>
      </c>
      <c r="CI582" s="8">
        <f t="shared" si="448"/>
        <v>0</v>
      </c>
      <c r="CJ582" s="8">
        <f t="shared" si="449"/>
        <v>0</v>
      </c>
      <c r="CK582" s="8">
        <f t="shared" si="450"/>
        <v>0</v>
      </c>
      <c r="CL582" s="8">
        <f t="shared" si="451"/>
        <v>0</v>
      </c>
      <c r="CM582" s="8">
        <f t="shared" si="452"/>
        <v>0</v>
      </c>
      <c r="CN582" s="8">
        <f t="shared" si="453"/>
        <v>0</v>
      </c>
      <c r="CO582" s="8">
        <f t="shared" si="454"/>
        <v>0</v>
      </c>
      <c r="CP582" s="8">
        <f t="shared" si="455"/>
        <v>0</v>
      </c>
      <c r="CQ582" s="8">
        <f t="shared" si="456"/>
        <v>0</v>
      </c>
      <c r="CR582" s="8">
        <f t="shared" si="457"/>
        <v>0</v>
      </c>
      <c r="CS582" s="8">
        <f t="shared" si="458"/>
        <v>0</v>
      </c>
      <c r="CT582" s="8">
        <f t="shared" si="417"/>
        <v>0</v>
      </c>
      <c r="CU582" s="8">
        <f t="shared" si="418"/>
        <v>0</v>
      </c>
      <c r="CV582" s="8">
        <f t="shared" si="419"/>
        <v>0</v>
      </c>
    </row>
    <row r="583" spans="1:100" ht="20.5" thickTop="1" thickBot="1" x14ac:dyDescent="0.5">
      <c r="A583" s="32"/>
      <c r="B583" s="10"/>
      <c r="C583" s="10"/>
      <c r="D583" s="11"/>
      <c r="E583" s="10"/>
      <c r="F583" s="10"/>
      <c r="G583" s="19"/>
      <c r="H583" s="19"/>
      <c r="I583" s="19"/>
      <c r="J583" s="19"/>
      <c r="K583" s="10"/>
      <c r="L583" s="10"/>
      <c r="M583" s="10"/>
      <c r="N583" s="10"/>
      <c r="O583" s="18"/>
      <c r="P583" s="18"/>
      <c r="Q583" s="21"/>
      <c r="R583" s="20"/>
      <c r="S583" s="16">
        <f t="shared" si="421"/>
        <v>0</v>
      </c>
      <c r="T583" s="11"/>
      <c r="AS583" s="31">
        <f t="shared" si="422"/>
        <v>0</v>
      </c>
      <c r="AT583" s="31">
        <f t="shared" si="423"/>
        <v>0</v>
      </c>
      <c r="AU583" s="31">
        <f t="shared" si="424"/>
        <v>0</v>
      </c>
      <c r="AV583" s="31">
        <f t="shared" si="425"/>
        <v>0</v>
      </c>
      <c r="AW583" s="31">
        <f t="shared" si="426"/>
        <v>0</v>
      </c>
      <c r="AX583" s="31">
        <f t="shared" si="427"/>
        <v>0</v>
      </c>
      <c r="AY583" s="31">
        <f t="shared" si="428"/>
        <v>0</v>
      </c>
      <c r="AZ583" s="31">
        <f t="shared" si="429"/>
        <v>0</v>
      </c>
      <c r="BA583" s="31">
        <f t="shared" si="430"/>
        <v>0</v>
      </c>
      <c r="BB583" s="31">
        <f t="shared" si="459"/>
        <v>0</v>
      </c>
      <c r="BM583" s="8">
        <f t="shared" si="460"/>
        <v>0</v>
      </c>
      <c r="BN583" s="8">
        <f t="shared" si="431"/>
        <v>0</v>
      </c>
      <c r="BO583" s="8">
        <f t="shared" si="432"/>
        <v>0</v>
      </c>
      <c r="BQ583" s="8">
        <f t="shared" si="433"/>
        <v>0</v>
      </c>
      <c r="BR583" s="63">
        <f t="shared" si="434"/>
        <v>0</v>
      </c>
      <c r="BS583" s="63">
        <f t="shared" si="461"/>
        <v>0</v>
      </c>
      <c r="BT583" s="63">
        <f t="shared" si="435"/>
        <v>0</v>
      </c>
      <c r="BU583" s="63">
        <f t="shared" si="436"/>
        <v>0</v>
      </c>
      <c r="BV583" s="57">
        <f t="shared" si="437"/>
        <v>0</v>
      </c>
      <c r="BW583" s="57">
        <f t="shared" si="438"/>
        <v>0</v>
      </c>
      <c r="BX583" s="57">
        <f t="shared" si="462"/>
        <v>0</v>
      </c>
      <c r="BY583" s="57">
        <f t="shared" si="420"/>
        <v>0</v>
      </c>
      <c r="BZ583" s="8">
        <f t="shared" si="439"/>
        <v>0</v>
      </c>
      <c r="CA583" s="8">
        <f t="shared" si="440"/>
        <v>0</v>
      </c>
      <c r="CB583" s="8">
        <f t="shared" si="441"/>
        <v>0</v>
      </c>
      <c r="CC583" s="8">
        <f t="shared" si="442"/>
        <v>0</v>
      </c>
      <c r="CD583" s="8">
        <f t="shared" si="443"/>
        <v>0</v>
      </c>
      <c r="CE583" s="8">
        <f t="shared" si="444"/>
        <v>0</v>
      </c>
      <c r="CF583" s="8">
        <f t="shared" si="445"/>
        <v>0</v>
      </c>
      <c r="CG583" s="8">
        <f t="shared" si="446"/>
        <v>0</v>
      </c>
      <c r="CH583" s="8">
        <f t="shared" si="447"/>
        <v>0</v>
      </c>
      <c r="CI583" s="8">
        <f t="shared" si="448"/>
        <v>0</v>
      </c>
      <c r="CJ583" s="8">
        <f t="shared" si="449"/>
        <v>0</v>
      </c>
      <c r="CK583" s="8">
        <f t="shared" si="450"/>
        <v>0</v>
      </c>
      <c r="CL583" s="8">
        <f t="shared" si="451"/>
        <v>0</v>
      </c>
      <c r="CM583" s="8">
        <f t="shared" si="452"/>
        <v>0</v>
      </c>
      <c r="CN583" s="8">
        <f t="shared" si="453"/>
        <v>0</v>
      </c>
      <c r="CO583" s="8">
        <f t="shared" si="454"/>
        <v>0</v>
      </c>
      <c r="CP583" s="8">
        <f t="shared" si="455"/>
        <v>0</v>
      </c>
      <c r="CQ583" s="8">
        <f t="shared" si="456"/>
        <v>0</v>
      </c>
      <c r="CR583" s="8">
        <f t="shared" si="457"/>
        <v>0</v>
      </c>
      <c r="CS583" s="8">
        <f t="shared" si="458"/>
        <v>0</v>
      </c>
      <c r="CT583" s="8">
        <f t="shared" si="417"/>
        <v>0</v>
      </c>
      <c r="CU583" s="8">
        <f t="shared" si="418"/>
        <v>0</v>
      </c>
      <c r="CV583" s="8">
        <f t="shared" si="419"/>
        <v>0</v>
      </c>
    </row>
    <row r="584" spans="1:100" ht="20.5" thickTop="1" thickBot="1" x14ac:dyDescent="0.5">
      <c r="A584" s="32"/>
      <c r="B584" s="10"/>
      <c r="C584" s="10"/>
      <c r="D584" s="11"/>
      <c r="E584" s="10"/>
      <c r="F584" s="10"/>
      <c r="G584" s="19"/>
      <c r="H584" s="19"/>
      <c r="I584" s="19"/>
      <c r="J584" s="19"/>
      <c r="K584" s="10"/>
      <c r="L584" s="10"/>
      <c r="M584" s="10"/>
      <c r="N584" s="10"/>
      <c r="O584" s="18"/>
      <c r="P584" s="18"/>
      <c r="Q584" s="21"/>
      <c r="R584" s="20"/>
      <c r="S584" s="16">
        <f t="shared" si="421"/>
        <v>0</v>
      </c>
      <c r="T584" s="11"/>
      <c r="AS584" s="31">
        <f t="shared" si="422"/>
        <v>0</v>
      </c>
      <c r="AT584" s="31">
        <f t="shared" si="423"/>
        <v>0</v>
      </c>
      <c r="AU584" s="31">
        <f t="shared" si="424"/>
        <v>0</v>
      </c>
      <c r="AV584" s="31">
        <f t="shared" si="425"/>
        <v>0</v>
      </c>
      <c r="AW584" s="31">
        <f t="shared" si="426"/>
        <v>0</v>
      </c>
      <c r="AX584" s="31">
        <f t="shared" si="427"/>
        <v>0</v>
      </c>
      <c r="AY584" s="31">
        <f t="shared" si="428"/>
        <v>0</v>
      </c>
      <c r="AZ584" s="31">
        <f t="shared" si="429"/>
        <v>0</v>
      </c>
      <c r="BA584" s="31">
        <f t="shared" si="430"/>
        <v>0</v>
      </c>
      <c r="BB584" s="31">
        <f t="shared" si="459"/>
        <v>0</v>
      </c>
      <c r="BM584" s="8">
        <f t="shared" si="460"/>
        <v>0</v>
      </c>
      <c r="BN584" s="8">
        <f t="shared" si="431"/>
        <v>0</v>
      </c>
      <c r="BO584" s="8">
        <f t="shared" si="432"/>
        <v>0</v>
      </c>
      <c r="BQ584" s="8">
        <f t="shared" si="433"/>
        <v>0</v>
      </c>
      <c r="BR584" s="63">
        <f t="shared" si="434"/>
        <v>0</v>
      </c>
      <c r="BS584" s="63">
        <f t="shared" si="461"/>
        <v>0</v>
      </c>
      <c r="BT584" s="63">
        <f t="shared" si="435"/>
        <v>0</v>
      </c>
      <c r="BU584" s="63">
        <f t="shared" si="436"/>
        <v>0</v>
      </c>
      <c r="BV584" s="57">
        <f t="shared" si="437"/>
        <v>0</v>
      </c>
      <c r="BW584" s="57">
        <f t="shared" si="438"/>
        <v>0</v>
      </c>
      <c r="BX584" s="57">
        <f t="shared" si="462"/>
        <v>0</v>
      </c>
      <c r="BY584" s="57">
        <f t="shared" si="420"/>
        <v>0</v>
      </c>
      <c r="BZ584" s="8">
        <f t="shared" si="439"/>
        <v>0</v>
      </c>
      <c r="CA584" s="8">
        <f t="shared" si="440"/>
        <v>0</v>
      </c>
      <c r="CB584" s="8">
        <f t="shared" si="441"/>
        <v>0</v>
      </c>
      <c r="CC584" s="8">
        <f t="shared" si="442"/>
        <v>0</v>
      </c>
      <c r="CD584" s="8">
        <f t="shared" si="443"/>
        <v>0</v>
      </c>
      <c r="CE584" s="8">
        <f t="shared" si="444"/>
        <v>0</v>
      </c>
      <c r="CF584" s="8">
        <f t="shared" si="445"/>
        <v>0</v>
      </c>
      <c r="CG584" s="8">
        <f t="shared" si="446"/>
        <v>0</v>
      </c>
      <c r="CH584" s="8">
        <f t="shared" si="447"/>
        <v>0</v>
      </c>
      <c r="CI584" s="8">
        <f t="shared" si="448"/>
        <v>0</v>
      </c>
      <c r="CJ584" s="8">
        <f t="shared" si="449"/>
        <v>0</v>
      </c>
      <c r="CK584" s="8">
        <f t="shared" si="450"/>
        <v>0</v>
      </c>
      <c r="CL584" s="8">
        <f t="shared" si="451"/>
        <v>0</v>
      </c>
      <c r="CM584" s="8">
        <f t="shared" si="452"/>
        <v>0</v>
      </c>
      <c r="CN584" s="8">
        <f t="shared" si="453"/>
        <v>0</v>
      </c>
      <c r="CO584" s="8">
        <f t="shared" si="454"/>
        <v>0</v>
      </c>
      <c r="CP584" s="8">
        <f t="shared" si="455"/>
        <v>0</v>
      </c>
      <c r="CQ584" s="8">
        <f t="shared" si="456"/>
        <v>0</v>
      </c>
      <c r="CR584" s="8">
        <f t="shared" si="457"/>
        <v>0</v>
      </c>
      <c r="CS584" s="8">
        <f t="shared" si="458"/>
        <v>0</v>
      </c>
      <c r="CT584" s="8">
        <f t="shared" si="417"/>
        <v>0</v>
      </c>
      <c r="CU584" s="8">
        <f t="shared" si="418"/>
        <v>0</v>
      </c>
      <c r="CV584" s="8">
        <f t="shared" si="419"/>
        <v>0</v>
      </c>
    </row>
    <row r="585" spans="1:100" ht="20.5" thickTop="1" thickBot="1" x14ac:dyDescent="0.5">
      <c r="A585" s="32"/>
      <c r="B585" s="10"/>
      <c r="C585" s="10"/>
      <c r="D585" s="11"/>
      <c r="E585" s="10"/>
      <c r="F585" s="10"/>
      <c r="G585" s="19"/>
      <c r="H585" s="19"/>
      <c r="I585" s="19"/>
      <c r="J585" s="19"/>
      <c r="K585" s="10"/>
      <c r="L585" s="10"/>
      <c r="M585" s="10"/>
      <c r="N585" s="10"/>
      <c r="O585" s="18"/>
      <c r="P585" s="18"/>
      <c r="Q585" s="21"/>
      <c r="R585" s="20"/>
      <c r="S585" s="16">
        <f t="shared" si="421"/>
        <v>0</v>
      </c>
      <c r="T585" s="11"/>
      <c r="AS585" s="31">
        <f t="shared" si="422"/>
        <v>0</v>
      </c>
      <c r="AT585" s="31">
        <f t="shared" si="423"/>
        <v>0</v>
      </c>
      <c r="AU585" s="31">
        <f t="shared" si="424"/>
        <v>0</v>
      </c>
      <c r="AV585" s="31">
        <f t="shared" si="425"/>
        <v>0</v>
      </c>
      <c r="AW585" s="31">
        <f t="shared" si="426"/>
        <v>0</v>
      </c>
      <c r="AX585" s="31">
        <f t="shared" si="427"/>
        <v>0</v>
      </c>
      <c r="AY585" s="31">
        <f t="shared" si="428"/>
        <v>0</v>
      </c>
      <c r="AZ585" s="31">
        <f t="shared" si="429"/>
        <v>0</v>
      </c>
      <c r="BA585" s="31">
        <f t="shared" si="430"/>
        <v>0</v>
      </c>
      <c r="BB585" s="31">
        <f t="shared" si="459"/>
        <v>0</v>
      </c>
      <c r="BM585" s="8">
        <f t="shared" si="460"/>
        <v>0</v>
      </c>
      <c r="BN585" s="8">
        <f t="shared" si="431"/>
        <v>0</v>
      </c>
      <c r="BO585" s="8">
        <f t="shared" si="432"/>
        <v>0</v>
      </c>
      <c r="BQ585" s="8">
        <f t="shared" si="433"/>
        <v>0</v>
      </c>
      <c r="BR585" s="63">
        <f t="shared" si="434"/>
        <v>0</v>
      </c>
      <c r="BS585" s="63">
        <f t="shared" si="461"/>
        <v>0</v>
      </c>
      <c r="BT585" s="63">
        <f t="shared" si="435"/>
        <v>0</v>
      </c>
      <c r="BU585" s="63">
        <f t="shared" si="436"/>
        <v>0</v>
      </c>
      <c r="BV585" s="57">
        <f t="shared" si="437"/>
        <v>0</v>
      </c>
      <c r="BW585" s="57">
        <f t="shared" si="438"/>
        <v>0</v>
      </c>
      <c r="BX585" s="57">
        <f t="shared" si="462"/>
        <v>0</v>
      </c>
      <c r="BY585" s="57">
        <f t="shared" si="420"/>
        <v>0</v>
      </c>
      <c r="BZ585" s="8">
        <f t="shared" si="439"/>
        <v>0</v>
      </c>
      <c r="CA585" s="8">
        <f t="shared" si="440"/>
        <v>0</v>
      </c>
      <c r="CB585" s="8">
        <f t="shared" si="441"/>
        <v>0</v>
      </c>
      <c r="CC585" s="8">
        <f t="shared" si="442"/>
        <v>0</v>
      </c>
      <c r="CD585" s="8">
        <f t="shared" si="443"/>
        <v>0</v>
      </c>
      <c r="CE585" s="8">
        <f t="shared" si="444"/>
        <v>0</v>
      </c>
      <c r="CF585" s="8">
        <f t="shared" si="445"/>
        <v>0</v>
      </c>
      <c r="CG585" s="8">
        <f t="shared" si="446"/>
        <v>0</v>
      </c>
      <c r="CH585" s="8">
        <f t="shared" si="447"/>
        <v>0</v>
      </c>
      <c r="CI585" s="8">
        <f t="shared" si="448"/>
        <v>0</v>
      </c>
      <c r="CJ585" s="8">
        <f t="shared" si="449"/>
        <v>0</v>
      </c>
      <c r="CK585" s="8">
        <f t="shared" si="450"/>
        <v>0</v>
      </c>
      <c r="CL585" s="8">
        <f t="shared" si="451"/>
        <v>0</v>
      </c>
      <c r="CM585" s="8">
        <f t="shared" si="452"/>
        <v>0</v>
      </c>
      <c r="CN585" s="8">
        <f t="shared" si="453"/>
        <v>0</v>
      </c>
      <c r="CO585" s="8">
        <f t="shared" si="454"/>
        <v>0</v>
      </c>
      <c r="CP585" s="8">
        <f t="shared" si="455"/>
        <v>0</v>
      </c>
      <c r="CQ585" s="8">
        <f t="shared" si="456"/>
        <v>0</v>
      </c>
      <c r="CR585" s="8">
        <f t="shared" si="457"/>
        <v>0</v>
      </c>
      <c r="CS585" s="8">
        <f t="shared" si="458"/>
        <v>0</v>
      </c>
      <c r="CT585" s="8">
        <f t="shared" si="417"/>
        <v>0</v>
      </c>
      <c r="CU585" s="8">
        <f t="shared" si="418"/>
        <v>0</v>
      </c>
      <c r="CV585" s="8">
        <f t="shared" si="419"/>
        <v>0</v>
      </c>
    </row>
    <row r="586" spans="1:100" ht="20.5" thickTop="1" thickBot="1" x14ac:dyDescent="0.5">
      <c r="A586" s="32"/>
      <c r="B586" s="10"/>
      <c r="C586" s="10"/>
      <c r="D586" s="11"/>
      <c r="E586" s="10"/>
      <c r="F586" s="10"/>
      <c r="G586" s="19"/>
      <c r="H586" s="19"/>
      <c r="I586" s="19"/>
      <c r="J586" s="19"/>
      <c r="K586" s="10"/>
      <c r="L586" s="10"/>
      <c r="M586" s="10"/>
      <c r="N586" s="10"/>
      <c r="O586" s="18"/>
      <c r="P586" s="18"/>
      <c r="Q586" s="21"/>
      <c r="R586" s="20"/>
      <c r="S586" s="16">
        <f t="shared" si="421"/>
        <v>0</v>
      </c>
      <c r="T586" s="11"/>
      <c r="AS586" s="31">
        <f t="shared" si="422"/>
        <v>0</v>
      </c>
      <c r="AT586" s="31">
        <f t="shared" si="423"/>
        <v>0</v>
      </c>
      <c r="AU586" s="31">
        <f t="shared" si="424"/>
        <v>0</v>
      </c>
      <c r="AV586" s="31">
        <f t="shared" si="425"/>
        <v>0</v>
      </c>
      <c r="AW586" s="31">
        <f t="shared" si="426"/>
        <v>0</v>
      </c>
      <c r="AX586" s="31">
        <f t="shared" si="427"/>
        <v>0</v>
      </c>
      <c r="AY586" s="31">
        <f t="shared" si="428"/>
        <v>0</v>
      </c>
      <c r="AZ586" s="31">
        <f t="shared" si="429"/>
        <v>0</v>
      </c>
      <c r="BA586" s="31">
        <f t="shared" si="430"/>
        <v>0</v>
      </c>
      <c r="BB586" s="31">
        <f t="shared" si="459"/>
        <v>0</v>
      </c>
      <c r="BM586" s="8">
        <f t="shared" si="460"/>
        <v>0</v>
      </c>
      <c r="BN586" s="8">
        <f t="shared" si="431"/>
        <v>0</v>
      </c>
      <c r="BO586" s="8">
        <f t="shared" si="432"/>
        <v>0</v>
      </c>
      <c r="BQ586" s="8">
        <f t="shared" si="433"/>
        <v>0</v>
      </c>
      <c r="BR586" s="63">
        <f t="shared" si="434"/>
        <v>0</v>
      </c>
      <c r="BS586" s="63">
        <f t="shared" si="461"/>
        <v>0</v>
      </c>
      <c r="BT586" s="63">
        <f t="shared" si="435"/>
        <v>0</v>
      </c>
      <c r="BU586" s="63">
        <f t="shared" si="436"/>
        <v>0</v>
      </c>
      <c r="BV586" s="57">
        <f t="shared" si="437"/>
        <v>0</v>
      </c>
      <c r="BW586" s="57">
        <f t="shared" si="438"/>
        <v>0</v>
      </c>
      <c r="BX586" s="57">
        <f t="shared" si="462"/>
        <v>0</v>
      </c>
      <c r="BY586" s="57">
        <f t="shared" si="420"/>
        <v>0</v>
      </c>
      <c r="BZ586" s="8">
        <f t="shared" si="439"/>
        <v>0</v>
      </c>
      <c r="CA586" s="8">
        <f t="shared" si="440"/>
        <v>0</v>
      </c>
      <c r="CB586" s="8">
        <f t="shared" si="441"/>
        <v>0</v>
      </c>
      <c r="CC586" s="8">
        <f t="shared" si="442"/>
        <v>0</v>
      </c>
      <c r="CD586" s="8">
        <f t="shared" si="443"/>
        <v>0</v>
      </c>
      <c r="CE586" s="8">
        <f t="shared" si="444"/>
        <v>0</v>
      </c>
      <c r="CF586" s="8">
        <f t="shared" si="445"/>
        <v>0</v>
      </c>
      <c r="CG586" s="8">
        <f t="shared" si="446"/>
        <v>0</v>
      </c>
      <c r="CH586" s="8">
        <f t="shared" si="447"/>
        <v>0</v>
      </c>
      <c r="CI586" s="8">
        <f t="shared" si="448"/>
        <v>0</v>
      </c>
      <c r="CJ586" s="8">
        <f t="shared" si="449"/>
        <v>0</v>
      </c>
      <c r="CK586" s="8">
        <f t="shared" si="450"/>
        <v>0</v>
      </c>
      <c r="CL586" s="8">
        <f t="shared" si="451"/>
        <v>0</v>
      </c>
      <c r="CM586" s="8">
        <f t="shared" si="452"/>
        <v>0</v>
      </c>
      <c r="CN586" s="8">
        <f t="shared" si="453"/>
        <v>0</v>
      </c>
      <c r="CO586" s="8">
        <f t="shared" si="454"/>
        <v>0</v>
      </c>
      <c r="CP586" s="8">
        <f t="shared" si="455"/>
        <v>0</v>
      </c>
      <c r="CQ586" s="8">
        <f t="shared" si="456"/>
        <v>0</v>
      </c>
      <c r="CR586" s="8">
        <f t="shared" si="457"/>
        <v>0</v>
      </c>
      <c r="CS586" s="8">
        <f t="shared" si="458"/>
        <v>0</v>
      </c>
      <c r="CT586" s="8">
        <f t="shared" si="417"/>
        <v>0</v>
      </c>
      <c r="CU586" s="8">
        <f t="shared" si="418"/>
        <v>0</v>
      </c>
      <c r="CV586" s="8">
        <f t="shared" si="419"/>
        <v>0</v>
      </c>
    </row>
    <row r="587" spans="1:100" ht="20.5" thickTop="1" thickBot="1" x14ac:dyDescent="0.5">
      <c r="A587" s="32"/>
      <c r="B587" s="10"/>
      <c r="C587" s="10"/>
      <c r="D587" s="11"/>
      <c r="E587" s="10"/>
      <c r="F587" s="10"/>
      <c r="G587" s="19"/>
      <c r="H587" s="19"/>
      <c r="I587" s="19"/>
      <c r="J587" s="19"/>
      <c r="K587" s="10"/>
      <c r="L587" s="10"/>
      <c r="M587" s="10"/>
      <c r="N587" s="10"/>
      <c r="O587" s="18"/>
      <c r="P587" s="18"/>
      <c r="Q587" s="21"/>
      <c r="R587" s="20"/>
      <c r="S587" s="16">
        <f t="shared" si="421"/>
        <v>0</v>
      </c>
      <c r="T587" s="11"/>
      <c r="AS587" s="31">
        <f t="shared" si="422"/>
        <v>0</v>
      </c>
      <c r="AT587" s="31">
        <f t="shared" si="423"/>
        <v>0</v>
      </c>
      <c r="AU587" s="31">
        <f t="shared" si="424"/>
        <v>0</v>
      </c>
      <c r="AV587" s="31">
        <f t="shared" si="425"/>
        <v>0</v>
      </c>
      <c r="AW587" s="31">
        <f t="shared" si="426"/>
        <v>0</v>
      </c>
      <c r="AX587" s="31">
        <f t="shared" si="427"/>
        <v>0</v>
      </c>
      <c r="AY587" s="31">
        <f t="shared" si="428"/>
        <v>0</v>
      </c>
      <c r="AZ587" s="31">
        <f t="shared" si="429"/>
        <v>0</v>
      </c>
      <c r="BA587" s="31">
        <f t="shared" si="430"/>
        <v>0</v>
      </c>
      <c r="BB587" s="31">
        <f t="shared" si="459"/>
        <v>0</v>
      </c>
      <c r="BM587" s="8">
        <f t="shared" si="460"/>
        <v>0</v>
      </c>
      <c r="BN587" s="8">
        <f t="shared" si="431"/>
        <v>0</v>
      </c>
      <c r="BO587" s="8">
        <f t="shared" si="432"/>
        <v>0</v>
      </c>
      <c r="BQ587" s="8">
        <f t="shared" si="433"/>
        <v>0</v>
      </c>
      <c r="BR587" s="63">
        <f t="shared" si="434"/>
        <v>0</v>
      </c>
      <c r="BS587" s="63">
        <f t="shared" si="461"/>
        <v>0</v>
      </c>
      <c r="BT587" s="63">
        <f t="shared" si="435"/>
        <v>0</v>
      </c>
      <c r="BU587" s="63">
        <f t="shared" si="436"/>
        <v>0</v>
      </c>
      <c r="BV587" s="57">
        <f t="shared" si="437"/>
        <v>0</v>
      </c>
      <c r="BW587" s="57">
        <f t="shared" si="438"/>
        <v>0</v>
      </c>
      <c r="BX587" s="57">
        <f t="shared" si="462"/>
        <v>0</v>
      </c>
      <c r="BY587" s="57">
        <f t="shared" si="420"/>
        <v>0</v>
      </c>
      <c r="BZ587" s="8">
        <f t="shared" si="439"/>
        <v>0</v>
      </c>
      <c r="CA587" s="8">
        <f t="shared" si="440"/>
        <v>0</v>
      </c>
      <c r="CB587" s="8">
        <f t="shared" si="441"/>
        <v>0</v>
      </c>
      <c r="CC587" s="8">
        <f t="shared" si="442"/>
        <v>0</v>
      </c>
      <c r="CD587" s="8">
        <f t="shared" si="443"/>
        <v>0</v>
      </c>
      <c r="CE587" s="8">
        <f t="shared" si="444"/>
        <v>0</v>
      </c>
      <c r="CF587" s="8">
        <f t="shared" si="445"/>
        <v>0</v>
      </c>
      <c r="CG587" s="8">
        <f t="shared" si="446"/>
        <v>0</v>
      </c>
      <c r="CH587" s="8">
        <f t="shared" si="447"/>
        <v>0</v>
      </c>
      <c r="CI587" s="8">
        <f t="shared" si="448"/>
        <v>0</v>
      </c>
      <c r="CJ587" s="8">
        <f t="shared" si="449"/>
        <v>0</v>
      </c>
      <c r="CK587" s="8">
        <f t="shared" si="450"/>
        <v>0</v>
      </c>
      <c r="CL587" s="8">
        <f t="shared" si="451"/>
        <v>0</v>
      </c>
      <c r="CM587" s="8">
        <f t="shared" si="452"/>
        <v>0</v>
      </c>
      <c r="CN587" s="8">
        <f t="shared" si="453"/>
        <v>0</v>
      </c>
      <c r="CO587" s="8">
        <f t="shared" si="454"/>
        <v>0</v>
      </c>
      <c r="CP587" s="8">
        <f t="shared" si="455"/>
        <v>0</v>
      </c>
      <c r="CQ587" s="8">
        <f t="shared" si="456"/>
        <v>0</v>
      </c>
      <c r="CR587" s="8">
        <f t="shared" si="457"/>
        <v>0</v>
      </c>
      <c r="CS587" s="8">
        <f t="shared" si="458"/>
        <v>0</v>
      </c>
      <c r="CT587" s="8">
        <f t="shared" si="417"/>
        <v>0</v>
      </c>
      <c r="CU587" s="8">
        <f t="shared" si="418"/>
        <v>0</v>
      </c>
      <c r="CV587" s="8">
        <f t="shared" si="419"/>
        <v>0</v>
      </c>
    </row>
    <row r="588" spans="1:100" ht="20.5" thickTop="1" thickBot="1" x14ac:dyDescent="0.5">
      <c r="A588" s="32"/>
      <c r="B588" s="10"/>
      <c r="C588" s="10"/>
      <c r="D588" s="11"/>
      <c r="E588" s="10"/>
      <c r="F588" s="10"/>
      <c r="G588" s="19"/>
      <c r="H588" s="19"/>
      <c r="I588" s="19"/>
      <c r="J588" s="19"/>
      <c r="K588" s="10"/>
      <c r="L588" s="10"/>
      <c r="M588" s="10"/>
      <c r="N588" s="10"/>
      <c r="O588" s="18"/>
      <c r="P588" s="18"/>
      <c r="Q588" s="21"/>
      <c r="R588" s="20"/>
      <c r="S588" s="16">
        <f t="shared" si="421"/>
        <v>0</v>
      </c>
      <c r="T588" s="11"/>
      <c r="AS588" s="31">
        <f t="shared" si="422"/>
        <v>0</v>
      </c>
      <c r="AT588" s="31">
        <f t="shared" si="423"/>
        <v>0</v>
      </c>
      <c r="AU588" s="31">
        <f t="shared" si="424"/>
        <v>0</v>
      </c>
      <c r="AV588" s="31">
        <f t="shared" si="425"/>
        <v>0</v>
      </c>
      <c r="AW588" s="31">
        <f t="shared" si="426"/>
        <v>0</v>
      </c>
      <c r="AX588" s="31">
        <f t="shared" si="427"/>
        <v>0</v>
      </c>
      <c r="AY588" s="31">
        <f t="shared" si="428"/>
        <v>0</v>
      </c>
      <c r="AZ588" s="31">
        <f t="shared" si="429"/>
        <v>0</v>
      </c>
      <c r="BA588" s="31">
        <f t="shared" si="430"/>
        <v>0</v>
      </c>
      <c r="BB588" s="31">
        <f t="shared" si="459"/>
        <v>0</v>
      </c>
      <c r="BM588" s="8">
        <f t="shared" si="460"/>
        <v>0</v>
      </c>
      <c r="BN588" s="8">
        <f t="shared" si="431"/>
        <v>0</v>
      </c>
      <c r="BO588" s="8">
        <f t="shared" si="432"/>
        <v>0</v>
      </c>
      <c r="BQ588" s="8">
        <f t="shared" si="433"/>
        <v>0</v>
      </c>
      <c r="BR588" s="63">
        <f t="shared" si="434"/>
        <v>0</v>
      </c>
      <c r="BS588" s="63">
        <f t="shared" si="461"/>
        <v>0</v>
      </c>
      <c r="BT588" s="63">
        <f t="shared" si="435"/>
        <v>0</v>
      </c>
      <c r="BU588" s="63">
        <f t="shared" si="436"/>
        <v>0</v>
      </c>
      <c r="BV588" s="57">
        <f t="shared" si="437"/>
        <v>0</v>
      </c>
      <c r="BW588" s="57">
        <f t="shared" si="438"/>
        <v>0</v>
      </c>
      <c r="BX588" s="57">
        <f t="shared" si="462"/>
        <v>0</v>
      </c>
      <c r="BY588" s="57">
        <f t="shared" si="420"/>
        <v>0</v>
      </c>
      <c r="BZ588" s="8">
        <f t="shared" si="439"/>
        <v>0</v>
      </c>
      <c r="CA588" s="8">
        <f t="shared" si="440"/>
        <v>0</v>
      </c>
      <c r="CB588" s="8">
        <f t="shared" si="441"/>
        <v>0</v>
      </c>
      <c r="CC588" s="8">
        <f t="shared" si="442"/>
        <v>0</v>
      </c>
      <c r="CD588" s="8">
        <f t="shared" si="443"/>
        <v>0</v>
      </c>
      <c r="CE588" s="8">
        <f t="shared" si="444"/>
        <v>0</v>
      </c>
      <c r="CF588" s="8">
        <f t="shared" si="445"/>
        <v>0</v>
      </c>
      <c r="CG588" s="8">
        <f t="shared" si="446"/>
        <v>0</v>
      </c>
      <c r="CH588" s="8">
        <f t="shared" si="447"/>
        <v>0</v>
      </c>
      <c r="CI588" s="8">
        <f t="shared" si="448"/>
        <v>0</v>
      </c>
      <c r="CJ588" s="8">
        <f t="shared" si="449"/>
        <v>0</v>
      </c>
      <c r="CK588" s="8">
        <f t="shared" si="450"/>
        <v>0</v>
      </c>
      <c r="CL588" s="8">
        <f t="shared" si="451"/>
        <v>0</v>
      </c>
      <c r="CM588" s="8">
        <f t="shared" si="452"/>
        <v>0</v>
      </c>
      <c r="CN588" s="8">
        <f t="shared" si="453"/>
        <v>0</v>
      </c>
      <c r="CO588" s="8">
        <f t="shared" si="454"/>
        <v>0</v>
      </c>
      <c r="CP588" s="8">
        <f t="shared" si="455"/>
        <v>0</v>
      </c>
      <c r="CQ588" s="8">
        <f t="shared" si="456"/>
        <v>0</v>
      </c>
      <c r="CR588" s="8">
        <f t="shared" si="457"/>
        <v>0</v>
      </c>
      <c r="CS588" s="8">
        <f t="shared" si="458"/>
        <v>0</v>
      </c>
      <c r="CT588" s="8">
        <f t="shared" si="417"/>
        <v>0</v>
      </c>
      <c r="CU588" s="8">
        <f t="shared" si="418"/>
        <v>0</v>
      </c>
      <c r="CV588" s="8">
        <f t="shared" si="419"/>
        <v>0</v>
      </c>
    </row>
    <row r="589" spans="1:100" ht="20.5" thickTop="1" thickBot="1" x14ac:dyDescent="0.5">
      <c r="A589" s="32"/>
      <c r="B589" s="10"/>
      <c r="C589" s="10"/>
      <c r="D589" s="11"/>
      <c r="E589" s="10"/>
      <c r="F589" s="10"/>
      <c r="G589" s="19"/>
      <c r="H589" s="19"/>
      <c r="I589" s="19"/>
      <c r="J589" s="19"/>
      <c r="K589" s="10"/>
      <c r="L589" s="10"/>
      <c r="M589" s="10"/>
      <c r="N589" s="10"/>
      <c r="O589" s="18"/>
      <c r="P589" s="18"/>
      <c r="Q589" s="21"/>
      <c r="R589" s="20"/>
      <c r="S589" s="16">
        <f t="shared" si="421"/>
        <v>0</v>
      </c>
      <c r="T589" s="11"/>
      <c r="AS589" s="31">
        <f t="shared" si="422"/>
        <v>0</v>
      </c>
      <c r="AT589" s="31">
        <f t="shared" si="423"/>
        <v>0</v>
      </c>
      <c r="AU589" s="31">
        <f t="shared" si="424"/>
        <v>0</v>
      </c>
      <c r="AV589" s="31">
        <f t="shared" si="425"/>
        <v>0</v>
      </c>
      <c r="AW589" s="31">
        <f t="shared" si="426"/>
        <v>0</v>
      </c>
      <c r="AX589" s="31">
        <f t="shared" si="427"/>
        <v>0</v>
      </c>
      <c r="AY589" s="31">
        <f t="shared" si="428"/>
        <v>0</v>
      </c>
      <c r="AZ589" s="31">
        <f t="shared" si="429"/>
        <v>0</v>
      </c>
      <c r="BA589" s="31">
        <f t="shared" si="430"/>
        <v>0</v>
      </c>
      <c r="BB589" s="31">
        <f t="shared" si="459"/>
        <v>0</v>
      </c>
      <c r="BM589" s="8">
        <f t="shared" si="460"/>
        <v>0</v>
      </c>
      <c r="BN589" s="8">
        <f t="shared" si="431"/>
        <v>0</v>
      </c>
      <c r="BO589" s="8">
        <f t="shared" si="432"/>
        <v>0</v>
      </c>
      <c r="BQ589" s="8">
        <f t="shared" si="433"/>
        <v>0</v>
      </c>
      <c r="BR589" s="63">
        <f t="shared" si="434"/>
        <v>0</v>
      </c>
      <c r="BS589" s="63">
        <f t="shared" si="461"/>
        <v>0</v>
      </c>
      <c r="BT589" s="63">
        <f t="shared" si="435"/>
        <v>0</v>
      </c>
      <c r="BU589" s="63">
        <f t="shared" si="436"/>
        <v>0</v>
      </c>
      <c r="BV589" s="57">
        <f t="shared" si="437"/>
        <v>0</v>
      </c>
      <c r="BW589" s="57">
        <f t="shared" si="438"/>
        <v>0</v>
      </c>
      <c r="BX589" s="57">
        <f t="shared" si="462"/>
        <v>0</v>
      </c>
      <c r="BY589" s="57">
        <f t="shared" si="420"/>
        <v>0</v>
      </c>
      <c r="BZ589" s="8">
        <f t="shared" si="439"/>
        <v>0</v>
      </c>
      <c r="CA589" s="8">
        <f t="shared" si="440"/>
        <v>0</v>
      </c>
      <c r="CB589" s="8">
        <f t="shared" si="441"/>
        <v>0</v>
      </c>
      <c r="CC589" s="8">
        <f t="shared" si="442"/>
        <v>0</v>
      </c>
      <c r="CD589" s="8">
        <f t="shared" si="443"/>
        <v>0</v>
      </c>
      <c r="CE589" s="8">
        <f t="shared" si="444"/>
        <v>0</v>
      </c>
      <c r="CF589" s="8">
        <f t="shared" si="445"/>
        <v>0</v>
      </c>
      <c r="CG589" s="8">
        <f t="shared" si="446"/>
        <v>0</v>
      </c>
      <c r="CH589" s="8">
        <f t="shared" si="447"/>
        <v>0</v>
      </c>
      <c r="CI589" s="8">
        <f t="shared" si="448"/>
        <v>0</v>
      </c>
      <c r="CJ589" s="8">
        <f t="shared" si="449"/>
        <v>0</v>
      </c>
      <c r="CK589" s="8">
        <f t="shared" si="450"/>
        <v>0</v>
      </c>
      <c r="CL589" s="8">
        <f t="shared" si="451"/>
        <v>0</v>
      </c>
      <c r="CM589" s="8">
        <f t="shared" si="452"/>
        <v>0</v>
      </c>
      <c r="CN589" s="8">
        <f t="shared" si="453"/>
        <v>0</v>
      </c>
      <c r="CO589" s="8">
        <f t="shared" si="454"/>
        <v>0</v>
      </c>
      <c r="CP589" s="8">
        <f t="shared" si="455"/>
        <v>0</v>
      </c>
      <c r="CQ589" s="8">
        <f t="shared" si="456"/>
        <v>0</v>
      </c>
      <c r="CR589" s="8">
        <f t="shared" si="457"/>
        <v>0</v>
      </c>
      <c r="CS589" s="8">
        <f t="shared" si="458"/>
        <v>0</v>
      </c>
      <c r="CT589" s="8">
        <f t="shared" ref="CT589:CT652" si="463">IF(AND(J589&gt;0,OR(B589="MB",B589="new MB")),J589,0)*4+IF(AND(J589&gt;0,OR(C589="MB",C589="new MB")),J589,0)*4</f>
        <v>0</v>
      </c>
      <c r="CU589" s="8">
        <f t="shared" ref="CU589:CU652" si="464">IF(AND(I589&gt;0,OR(B589="MB",B589="new MB")),I589,0)*4+IF(AND(I589&gt;0,OR(C589="MB",C589="new MB")),I589,0)*4</f>
        <v>0</v>
      </c>
      <c r="CV589" s="8">
        <f t="shared" ref="CV589:CV652" si="465">IF(AND(H589&gt;0,OR(B589="MB",B589="new MB")),H589,0)*4+IF(AND(H589&gt;0,OR(C589="MB",C589="new MB")),H589,0)*4</f>
        <v>0</v>
      </c>
    </row>
    <row r="590" spans="1:100" ht="20.5" thickTop="1" thickBot="1" x14ac:dyDescent="0.5">
      <c r="A590" s="32"/>
      <c r="B590" s="10"/>
      <c r="C590" s="10"/>
      <c r="D590" s="11"/>
      <c r="E590" s="10"/>
      <c r="F590" s="10"/>
      <c r="G590" s="19"/>
      <c r="H590" s="19"/>
      <c r="I590" s="19"/>
      <c r="J590" s="19"/>
      <c r="K590" s="10"/>
      <c r="L590" s="10"/>
      <c r="M590" s="10"/>
      <c r="N590" s="10"/>
      <c r="O590" s="18"/>
      <c r="P590" s="18"/>
      <c r="Q590" s="21"/>
      <c r="R590" s="20"/>
      <c r="S590" s="16">
        <f t="shared" si="421"/>
        <v>0</v>
      </c>
      <c r="T590" s="11"/>
      <c r="AS590" s="31">
        <f t="shared" si="422"/>
        <v>0</v>
      </c>
      <c r="AT590" s="31">
        <f t="shared" si="423"/>
        <v>0</v>
      </c>
      <c r="AU590" s="31">
        <f t="shared" si="424"/>
        <v>0</v>
      </c>
      <c r="AV590" s="31">
        <f t="shared" si="425"/>
        <v>0</v>
      </c>
      <c r="AW590" s="31">
        <f t="shared" si="426"/>
        <v>0</v>
      </c>
      <c r="AX590" s="31">
        <f t="shared" si="427"/>
        <v>0</v>
      </c>
      <c r="AY590" s="31">
        <f t="shared" si="428"/>
        <v>0</v>
      </c>
      <c r="AZ590" s="31">
        <f t="shared" si="429"/>
        <v>0</v>
      </c>
      <c r="BA590" s="31">
        <f t="shared" si="430"/>
        <v>0</v>
      </c>
      <c r="BB590" s="31">
        <f t="shared" si="459"/>
        <v>0</v>
      </c>
      <c r="BM590" s="8">
        <f t="shared" si="460"/>
        <v>0</v>
      </c>
      <c r="BN590" s="8">
        <f t="shared" si="431"/>
        <v>0</v>
      </c>
      <c r="BO590" s="8">
        <f t="shared" si="432"/>
        <v>0</v>
      </c>
      <c r="BQ590" s="8">
        <f t="shared" si="433"/>
        <v>0</v>
      </c>
      <c r="BR590" s="63">
        <f t="shared" si="434"/>
        <v>0</v>
      </c>
      <c r="BS590" s="63">
        <f t="shared" si="461"/>
        <v>0</v>
      </c>
      <c r="BT590" s="63">
        <f t="shared" si="435"/>
        <v>0</v>
      </c>
      <c r="BU590" s="63">
        <f t="shared" si="436"/>
        <v>0</v>
      </c>
      <c r="BV590" s="57">
        <f t="shared" si="437"/>
        <v>0</v>
      </c>
      <c r="BW590" s="57">
        <f t="shared" si="438"/>
        <v>0</v>
      </c>
      <c r="BX590" s="57">
        <f t="shared" si="462"/>
        <v>0</v>
      </c>
      <c r="BY590" s="57">
        <f t="shared" si="420"/>
        <v>0</v>
      </c>
      <c r="BZ590" s="8">
        <f t="shared" si="439"/>
        <v>0</v>
      </c>
      <c r="CA590" s="8">
        <f t="shared" si="440"/>
        <v>0</v>
      </c>
      <c r="CB590" s="8">
        <f t="shared" si="441"/>
        <v>0</v>
      </c>
      <c r="CC590" s="8">
        <f t="shared" si="442"/>
        <v>0</v>
      </c>
      <c r="CD590" s="8">
        <f t="shared" si="443"/>
        <v>0</v>
      </c>
      <c r="CE590" s="8">
        <f t="shared" si="444"/>
        <v>0</v>
      </c>
      <c r="CF590" s="8">
        <f t="shared" si="445"/>
        <v>0</v>
      </c>
      <c r="CG590" s="8">
        <f t="shared" si="446"/>
        <v>0</v>
      </c>
      <c r="CH590" s="8">
        <f t="shared" si="447"/>
        <v>0</v>
      </c>
      <c r="CI590" s="8">
        <f t="shared" si="448"/>
        <v>0</v>
      </c>
      <c r="CJ590" s="8">
        <f t="shared" si="449"/>
        <v>0</v>
      </c>
      <c r="CK590" s="8">
        <f t="shared" si="450"/>
        <v>0</v>
      </c>
      <c r="CL590" s="8">
        <f t="shared" si="451"/>
        <v>0</v>
      </c>
      <c r="CM590" s="8">
        <f t="shared" si="452"/>
        <v>0</v>
      </c>
      <c r="CN590" s="8">
        <f t="shared" si="453"/>
        <v>0</v>
      </c>
      <c r="CO590" s="8">
        <f t="shared" si="454"/>
        <v>0</v>
      </c>
      <c r="CP590" s="8">
        <f t="shared" si="455"/>
        <v>0</v>
      </c>
      <c r="CQ590" s="8">
        <f t="shared" si="456"/>
        <v>0</v>
      </c>
      <c r="CR590" s="8">
        <f t="shared" si="457"/>
        <v>0</v>
      </c>
      <c r="CS590" s="8">
        <f t="shared" si="458"/>
        <v>0</v>
      </c>
      <c r="CT590" s="8">
        <f t="shared" si="463"/>
        <v>0</v>
      </c>
      <c r="CU590" s="8">
        <f t="shared" si="464"/>
        <v>0</v>
      </c>
      <c r="CV590" s="8">
        <f t="shared" si="465"/>
        <v>0</v>
      </c>
    </row>
    <row r="591" spans="1:100" ht="20.5" thickTop="1" thickBot="1" x14ac:dyDescent="0.5">
      <c r="A591" s="32"/>
      <c r="B591" s="10"/>
      <c r="C591" s="10"/>
      <c r="D591" s="11"/>
      <c r="E591" s="10"/>
      <c r="F591" s="10"/>
      <c r="G591" s="19"/>
      <c r="H591" s="19"/>
      <c r="I591" s="19"/>
      <c r="J591" s="19"/>
      <c r="K591" s="10"/>
      <c r="L591" s="10"/>
      <c r="M591" s="10"/>
      <c r="N591" s="10"/>
      <c r="O591" s="18"/>
      <c r="P591" s="18"/>
      <c r="Q591" s="21"/>
      <c r="R591" s="20"/>
      <c r="S591" s="16">
        <f t="shared" si="421"/>
        <v>0</v>
      </c>
      <c r="T591" s="11"/>
      <c r="AS591" s="31">
        <f t="shared" si="422"/>
        <v>0</v>
      </c>
      <c r="AT591" s="31">
        <f t="shared" si="423"/>
        <v>0</v>
      </c>
      <c r="AU591" s="31">
        <f t="shared" si="424"/>
        <v>0</v>
      </c>
      <c r="AV591" s="31">
        <f t="shared" si="425"/>
        <v>0</v>
      </c>
      <c r="AW591" s="31">
        <f t="shared" si="426"/>
        <v>0</v>
      </c>
      <c r="AX591" s="31">
        <f t="shared" si="427"/>
        <v>0</v>
      </c>
      <c r="AY591" s="31">
        <f t="shared" si="428"/>
        <v>0</v>
      </c>
      <c r="AZ591" s="31">
        <f t="shared" si="429"/>
        <v>0</v>
      </c>
      <c r="BA591" s="31">
        <f t="shared" si="430"/>
        <v>0</v>
      </c>
      <c r="BB591" s="31">
        <f t="shared" si="459"/>
        <v>0</v>
      </c>
      <c r="BM591" s="8">
        <f t="shared" si="460"/>
        <v>0</v>
      </c>
      <c r="BN591" s="8">
        <f t="shared" si="431"/>
        <v>0</v>
      </c>
      <c r="BO591" s="8">
        <f t="shared" si="432"/>
        <v>0</v>
      </c>
      <c r="BQ591" s="8">
        <f t="shared" si="433"/>
        <v>0</v>
      </c>
      <c r="BR591" s="63">
        <f t="shared" si="434"/>
        <v>0</v>
      </c>
      <c r="BS591" s="63">
        <f t="shared" si="461"/>
        <v>0</v>
      </c>
      <c r="BT591" s="63">
        <f t="shared" si="435"/>
        <v>0</v>
      </c>
      <c r="BU591" s="63">
        <f t="shared" si="436"/>
        <v>0</v>
      </c>
      <c r="BV591" s="57">
        <f t="shared" si="437"/>
        <v>0</v>
      </c>
      <c r="BW591" s="57">
        <f t="shared" si="438"/>
        <v>0</v>
      </c>
      <c r="BX591" s="57">
        <f t="shared" si="462"/>
        <v>0</v>
      </c>
      <c r="BY591" s="57">
        <f t="shared" si="420"/>
        <v>0</v>
      </c>
      <c r="BZ591" s="8">
        <f t="shared" si="439"/>
        <v>0</v>
      </c>
      <c r="CA591" s="8">
        <f t="shared" si="440"/>
        <v>0</v>
      </c>
      <c r="CB591" s="8">
        <f t="shared" si="441"/>
        <v>0</v>
      </c>
      <c r="CC591" s="8">
        <f t="shared" si="442"/>
        <v>0</v>
      </c>
      <c r="CD591" s="8">
        <f t="shared" si="443"/>
        <v>0</v>
      </c>
      <c r="CE591" s="8">
        <f t="shared" si="444"/>
        <v>0</v>
      </c>
      <c r="CF591" s="8">
        <f t="shared" si="445"/>
        <v>0</v>
      </c>
      <c r="CG591" s="8">
        <f t="shared" si="446"/>
        <v>0</v>
      </c>
      <c r="CH591" s="8">
        <f t="shared" si="447"/>
        <v>0</v>
      </c>
      <c r="CI591" s="8">
        <f t="shared" si="448"/>
        <v>0</v>
      </c>
      <c r="CJ591" s="8">
        <f t="shared" si="449"/>
        <v>0</v>
      </c>
      <c r="CK591" s="8">
        <f t="shared" si="450"/>
        <v>0</v>
      </c>
      <c r="CL591" s="8">
        <f t="shared" si="451"/>
        <v>0</v>
      </c>
      <c r="CM591" s="8">
        <f t="shared" si="452"/>
        <v>0</v>
      </c>
      <c r="CN591" s="8">
        <f t="shared" si="453"/>
        <v>0</v>
      </c>
      <c r="CO591" s="8">
        <f t="shared" si="454"/>
        <v>0</v>
      </c>
      <c r="CP591" s="8">
        <f t="shared" si="455"/>
        <v>0</v>
      </c>
      <c r="CQ591" s="8">
        <f t="shared" si="456"/>
        <v>0</v>
      </c>
      <c r="CR591" s="8">
        <f t="shared" si="457"/>
        <v>0</v>
      </c>
      <c r="CS591" s="8">
        <f t="shared" si="458"/>
        <v>0</v>
      </c>
      <c r="CT591" s="8">
        <f t="shared" si="463"/>
        <v>0</v>
      </c>
      <c r="CU591" s="8">
        <f t="shared" si="464"/>
        <v>0</v>
      </c>
      <c r="CV591" s="8">
        <f t="shared" si="465"/>
        <v>0</v>
      </c>
    </row>
    <row r="592" spans="1:100" ht="20.5" thickTop="1" thickBot="1" x14ac:dyDescent="0.5">
      <c r="A592" s="32"/>
      <c r="B592" s="10"/>
      <c r="C592" s="10"/>
      <c r="D592" s="11"/>
      <c r="E592" s="10"/>
      <c r="F592" s="10"/>
      <c r="G592" s="19"/>
      <c r="H592" s="19"/>
      <c r="I592" s="19"/>
      <c r="J592" s="19"/>
      <c r="K592" s="10"/>
      <c r="L592" s="10"/>
      <c r="M592" s="10"/>
      <c r="N592" s="10"/>
      <c r="O592" s="18"/>
      <c r="P592" s="18"/>
      <c r="Q592" s="21"/>
      <c r="R592" s="20"/>
      <c r="S592" s="16">
        <f t="shared" si="421"/>
        <v>0</v>
      </c>
      <c r="T592" s="11"/>
      <c r="AS592" s="31">
        <f t="shared" si="422"/>
        <v>0</v>
      </c>
      <c r="AT592" s="31">
        <f t="shared" si="423"/>
        <v>0</v>
      </c>
      <c r="AU592" s="31">
        <f t="shared" si="424"/>
        <v>0</v>
      </c>
      <c r="AV592" s="31">
        <f t="shared" si="425"/>
        <v>0</v>
      </c>
      <c r="AW592" s="31">
        <f t="shared" si="426"/>
        <v>0</v>
      </c>
      <c r="AX592" s="31">
        <f t="shared" si="427"/>
        <v>0</v>
      </c>
      <c r="AY592" s="31">
        <f t="shared" si="428"/>
        <v>0</v>
      </c>
      <c r="AZ592" s="31">
        <f t="shared" si="429"/>
        <v>0</v>
      </c>
      <c r="BA592" s="31">
        <f t="shared" si="430"/>
        <v>0</v>
      </c>
      <c r="BB592" s="31">
        <f t="shared" si="459"/>
        <v>0</v>
      </c>
      <c r="BM592" s="8">
        <f t="shared" si="460"/>
        <v>0</v>
      </c>
      <c r="BN592" s="8">
        <f t="shared" si="431"/>
        <v>0</v>
      </c>
      <c r="BO592" s="8">
        <f t="shared" si="432"/>
        <v>0</v>
      </c>
      <c r="BQ592" s="8">
        <f t="shared" si="433"/>
        <v>0</v>
      </c>
      <c r="BR592" s="63">
        <f t="shared" si="434"/>
        <v>0</v>
      </c>
      <c r="BS592" s="63">
        <f t="shared" si="461"/>
        <v>0</v>
      </c>
      <c r="BT592" s="63">
        <f t="shared" si="435"/>
        <v>0</v>
      </c>
      <c r="BU592" s="63">
        <f t="shared" si="436"/>
        <v>0</v>
      </c>
      <c r="BV592" s="57">
        <f t="shared" si="437"/>
        <v>0</v>
      </c>
      <c r="BW592" s="57">
        <f t="shared" si="438"/>
        <v>0</v>
      </c>
      <c r="BX592" s="57">
        <f t="shared" si="462"/>
        <v>0</v>
      </c>
      <c r="BY592" s="57">
        <f t="shared" si="420"/>
        <v>0</v>
      </c>
      <c r="BZ592" s="8">
        <f t="shared" si="439"/>
        <v>0</v>
      </c>
      <c r="CA592" s="8">
        <f t="shared" si="440"/>
        <v>0</v>
      </c>
      <c r="CB592" s="8">
        <f t="shared" si="441"/>
        <v>0</v>
      </c>
      <c r="CC592" s="8">
        <f t="shared" si="442"/>
        <v>0</v>
      </c>
      <c r="CD592" s="8">
        <f t="shared" si="443"/>
        <v>0</v>
      </c>
      <c r="CE592" s="8">
        <f t="shared" si="444"/>
        <v>0</v>
      </c>
      <c r="CF592" s="8">
        <f t="shared" si="445"/>
        <v>0</v>
      </c>
      <c r="CG592" s="8">
        <f t="shared" si="446"/>
        <v>0</v>
      </c>
      <c r="CH592" s="8">
        <f t="shared" si="447"/>
        <v>0</v>
      </c>
      <c r="CI592" s="8">
        <f t="shared" si="448"/>
        <v>0</v>
      </c>
      <c r="CJ592" s="8">
        <f t="shared" si="449"/>
        <v>0</v>
      </c>
      <c r="CK592" s="8">
        <f t="shared" si="450"/>
        <v>0</v>
      </c>
      <c r="CL592" s="8">
        <f t="shared" si="451"/>
        <v>0</v>
      </c>
      <c r="CM592" s="8">
        <f t="shared" si="452"/>
        <v>0</v>
      </c>
      <c r="CN592" s="8">
        <f t="shared" si="453"/>
        <v>0</v>
      </c>
      <c r="CO592" s="8">
        <f t="shared" si="454"/>
        <v>0</v>
      </c>
      <c r="CP592" s="8">
        <f t="shared" si="455"/>
        <v>0</v>
      </c>
      <c r="CQ592" s="8">
        <f t="shared" si="456"/>
        <v>0</v>
      </c>
      <c r="CR592" s="8">
        <f t="shared" si="457"/>
        <v>0</v>
      </c>
      <c r="CS592" s="8">
        <f t="shared" si="458"/>
        <v>0</v>
      </c>
      <c r="CT592" s="8">
        <f t="shared" si="463"/>
        <v>0</v>
      </c>
      <c r="CU592" s="8">
        <f t="shared" si="464"/>
        <v>0</v>
      </c>
      <c r="CV592" s="8">
        <f t="shared" si="465"/>
        <v>0</v>
      </c>
    </row>
    <row r="593" spans="1:100" ht="20.5" thickTop="1" thickBot="1" x14ac:dyDescent="0.5">
      <c r="A593" s="32"/>
      <c r="B593" s="10"/>
      <c r="C593" s="10"/>
      <c r="D593" s="11"/>
      <c r="E593" s="10"/>
      <c r="F593" s="10"/>
      <c r="G593" s="19"/>
      <c r="H593" s="19"/>
      <c r="I593" s="19"/>
      <c r="J593" s="19"/>
      <c r="K593" s="10"/>
      <c r="L593" s="10"/>
      <c r="M593" s="10"/>
      <c r="N593" s="10"/>
      <c r="O593" s="18"/>
      <c r="P593" s="18"/>
      <c r="Q593" s="21"/>
      <c r="R593" s="20"/>
      <c r="S593" s="16">
        <f t="shared" si="421"/>
        <v>0</v>
      </c>
      <c r="T593" s="11"/>
      <c r="AS593" s="31">
        <f t="shared" si="422"/>
        <v>0</v>
      </c>
      <c r="AT593" s="31">
        <f t="shared" si="423"/>
        <v>0</v>
      </c>
      <c r="AU593" s="31">
        <f t="shared" si="424"/>
        <v>0</v>
      </c>
      <c r="AV593" s="31">
        <f t="shared" si="425"/>
        <v>0</v>
      </c>
      <c r="AW593" s="31">
        <f t="shared" si="426"/>
        <v>0</v>
      </c>
      <c r="AX593" s="31">
        <f t="shared" si="427"/>
        <v>0</v>
      </c>
      <c r="AY593" s="31">
        <f t="shared" si="428"/>
        <v>0</v>
      </c>
      <c r="AZ593" s="31">
        <f t="shared" si="429"/>
        <v>0</v>
      </c>
      <c r="BA593" s="31">
        <f t="shared" si="430"/>
        <v>0</v>
      </c>
      <c r="BB593" s="31">
        <f t="shared" si="459"/>
        <v>0</v>
      </c>
      <c r="BM593" s="8">
        <f t="shared" si="460"/>
        <v>0</v>
      </c>
      <c r="BN593" s="8">
        <f t="shared" si="431"/>
        <v>0</v>
      </c>
      <c r="BO593" s="8">
        <f t="shared" si="432"/>
        <v>0</v>
      </c>
      <c r="BQ593" s="8">
        <f t="shared" si="433"/>
        <v>0</v>
      </c>
      <c r="BR593" s="63">
        <f t="shared" si="434"/>
        <v>0</v>
      </c>
      <c r="BS593" s="63">
        <f t="shared" si="461"/>
        <v>0</v>
      </c>
      <c r="BT593" s="63">
        <f t="shared" si="435"/>
        <v>0</v>
      </c>
      <c r="BU593" s="63">
        <f t="shared" si="436"/>
        <v>0</v>
      </c>
      <c r="BV593" s="57">
        <f t="shared" si="437"/>
        <v>0</v>
      </c>
      <c r="BW593" s="57">
        <f t="shared" si="438"/>
        <v>0</v>
      </c>
      <c r="BX593" s="57">
        <f t="shared" si="462"/>
        <v>0</v>
      </c>
      <c r="BY593" s="57">
        <f t="shared" si="420"/>
        <v>0</v>
      </c>
      <c r="BZ593" s="8">
        <f t="shared" si="439"/>
        <v>0</v>
      </c>
      <c r="CA593" s="8">
        <f t="shared" si="440"/>
        <v>0</v>
      </c>
      <c r="CB593" s="8">
        <f t="shared" si="441"/>
        <v>0</v>
      </c>
      <c r="CC593" s="8">
        <f t="shared" si="442"/>
        <v>0</v>
      </c>
      <c r="CD593" s="8">
        <f t="shared" si="443"/>
        <v>0</v>
      </c>
      <c r="CE593" s="8">
        <f t="shared" si="444"/>
        <v>0</v>
      </c>
      <c r="CF593" s="8">
        <f t="shared" si="445"/>
        <v>0</v>
      </c>
      <c r="CG593" s="8">
        <f t="shared" si="446"/>
        <v>0</v>
      </c>
      <c r="CH593" s="8">
        <f t="shared" si="447"/>
        <v>0</v>
      </c>
      <c r="CI593" s="8">
        <f t="shared" si="448"/>
        <v>0</v>
      </c>
      <c r="CJ593" s="8">
        <f t="shared" si="449"/>
        <v>0</v>
      </c>
      <c r="CK593" s="8">
        <f t="shared" si="450"/>
        <v>0</v>
      </c>
      <c r="CL593" s="8">
        <f t="shared" si="451"/>
        <v>0</v>
      </c>
      <c r="CM593" s="8">
        <f t="shared" si="452"/>
        <v>0</v>
      </c>
      <c r="CN593" s="8">
        <f t="shared" si="453"/>
        <v>0</v>
      </c>
      <c r="CO593" s="8">
        <f t="shared" si="454"/>
        <v>0</v>
      </c>
      <c r="CP593" s="8">
        <f t="shared" si="455"/>
        <v>0</v>
      </c>
      <c r="CQ593" s="8">
        <f t="shared" si="456"/>
        <v>0</v>
      </c>
      <c r="CR593" s="8">
        <f t="shared" si="457"/>
        <v>0</v>
      </c>
      <c r="CS593" s="8">
        <f t="shared" si="458"/>
        <v>0</v>
      </c>
      <c r="CT593" s="8">
        <f t="shared" si="463"/>
        <v>0</v>
      </c>
      <c r="CU593" s="8">
        <f t="shared" si="464"/>
        <v>0</v>
      </c>
      <c r="CV593" s="8">
        <f t="shared" si="465"/>
        <v>0</v>
      </c>
    </row>
    <row r="594" spans="1:100" ht="20.5" thickTop="1" thickBot="1" x14ac:dyDescent="0.5">
      <c r="A594" s="32"/>
      <c r="B594" s="10"/>
      <c r="C594" s="10"/>
      <c r="D594" s="11"/>
      <c r="E594" s="10"/>
      <c r="F594" s="10"/>
      <c r="G594" s="19"/>
      <c r="H594" s="19"/>
      <c r="I594" s="19"/>
      <c r="J594" s="19"/>
      <c r="K594" s="10"/>
      <c r="L594" s="10"/>
      <c r="M594" s="10"/>
      <c r="N594" s="10"/>
      <c r="O594" s="18"/>
      <c r="P594" s="18"/>
      <c r="Q594" s="21"/>
      <c r="R594" s="20"/>
      <c r="S594" s="16">
        <f t="shared" si="421"/>
        <v>0</v>
      </c>
      <c r="T594" s="11"/>
      <c r="AS594" s="31">
        <f t="shared" si="422"/>
        <v>0</v>
      </c>
      <c r="AT594" s="31">
        <f t="shared" si="423"/>
        <v>0</v>
      </c>
      <c r="AU594" s="31">
        <f t="shared" si="424"/>
        <v>0</v>
      </c>
      <c r="AV594" s="31">
        <f t="shared" si="425"/>
        <v>0</v>
      </c>
      <c r="AW594" s="31">
        <f t="shared" si="426"/>
        <v>0</v>
      </c>
      <c r="AX594" s="31">
        <f t="shared" si="427"/>
        <v>0</v>
      </c>
      <c r="AY594" s="31">
        <f t="shared" si="428"/>
        <v>0</v>
      </c>
      <c r="AZ594" s="31">
        <f t="shared" si="429"/>
        <v>0</v>
      </c>
      <c r="BA594" s="31">
        <f t="shared" si="430"/>
        <v>0</v>
      </c>
      <c r="BB594" s="31">
        <f t="shared" si="459"/>
        <v>0</v>
      </c>
      <c r="BM594" s="8">
        <f t="shared" si="460"/>
        <v>0</v>
      </c>
      <c r="BN594" s="8">
        <f t="shared" si="431"/>
        <v>0</v>
      </c>
      <c r="BO594" s="8">
        <f t="shared" si="432"/>
        <v>0</v>
      </c>
      <c r="BQ594" s="8">
        <f t="shared" si="433"/>
        <v>0</v>
      </c>
      <c r="BR594" s="63">
        <f t="shared" si="434"/>
        <v>0</v>
      </c>
      <c r="BS594" s="63">
        <f t="shared" si="461"/>
        <v>0</v>
      </c>
      <c r="BT594" s="63">
        <f t="shared" si="435"/>
        <v>0</v>
      </c>
      <c r="BU594" s="63">
        <f t="shared" si="436"/>
        <v>0</v>
      </c>
      <c r="BV594" s="57">
        <f t="shared" si="437"/>
        <v>0</v>
      </c>
      <c r="BW594" s="57">
        <f t="shared" si="438"/>
        <v>0</v>
      </c>
      <c r="BX594" s="57">
        <f t="shared" si="462"/>
        <v>0</v>
      </c>
      <c r="BY594" s="57">
        <f t="shared" si="420"/>
        <v>0</v>
      </c>
      <c r="BZ594" s="8">
        <f t="shared" si="439"/>
        <v>0</v>
      </c>
      <c r="CA594" s="8">
        <f t="shared" si="440"/>
        <v>0</v>
      </c>
      <c r="CB594" s="8">
        <f t="shared" si="441"/>
        <v>0</v>
      </c>
      <c r="CC594" s="8">
        <f t="shared" si="442"/>
        <v>0</v>
      </c>
      <c r="CD594" s="8">
        <f t="shared" si="443"/>
        <v>0</v>
      </c>
      <c r="CE594" s="8">
        <f t="shared" si="444"/>
        <v>0</v>
      </c>
      <c r="CF594" s="8">
        <f t="shared" si="445"/>
        <v>0</v>
      </c>
      <c r="CG594" s="8">
        <f t="shared" si="446"/>
        <v>0</v>
      </c>
      <c r="CH594" s="8">
        <f t="shared" si="447"/>
        <v>0</v>
      </c>
      <c r="CI594" s="8">
        <f t="shared" si="448"/>
        <v>0</v>
      </c>
      <c r="CJ594" s="8">
        <f t="shared" si="449"/>
        <v>0</v>
      </c>
      <c r="CK594" s="8">
        <f t="shared" si="450"/>
        <v>0</v>
      </c>
      <c r="CL594" s="8">
        <f t="shared" si="451"/>
        <v>0</v>
      </c>
      <c r="CM594" s="8">
        <f t="shared" si="452"/>
        <v>0</v>
      </c>
      <c r="CN594" s="8">
        <f t="shared" si="453"/>
        <v>0</v>
      </c>
      <c r="CO594" s="8">
        <f t="shared" si="454"/>
        <v>0</v>
      </c>
      <c r="CP594" s="8">
        <f t="shared" si="455"/>
        <v>0</v>
      </c>
      <c r="CQ594" s="8">
        <f t="shared" si="456"/>
        <v>0</v>
      </c>
      <c r="CR594" s="8">
        <f t="shared" si="457"/>
        <v>0</v>
      </c>
      <c r="CS594" s="8">
        <f t="shared" si="458"/>
        <v>0</v>
      </c>
      <c r="CT594" s="8">
        <f t="shared" si="463"/>
        <v>0</v>
      </c>
      <c r="CU594" s="8">
        <f t="shared" si="464"/>
        <v>0</v>
      </c>
      <c r="CV594" s="8">
        <f t="shared" si="465"/>
        <v>0</v>
      </c>
    </row>
    <row r="595" spans="1:100" ht="20.5" thickTop="1" thickBot="1" x14ac:dyDescent="0.5">
      <c r="A595" s="32"/>
      <c r="B595" s="10"/>
      <c r="C595" s="10"/>
      <c r="D595" s="11"/>
      <c r="E595" s="10"/>
      <c r="F595" s="10"/>
      <c r="G595" s="19"/>
      <c r="H595" s="19"/>
      <c r="I595" s="19"/>
      <c r="J595" s="19"/>
      <c r="K595" s="10"/>
      <c r="L595" s="10"/>
      <c r="M595" s="10"/>
      <c r="N595" s="10"/>
      <c r="O595" s="18"/>
      <c r="P595" s="18"/>
      <c r="Q595" s="21"/>
      <c r="R595" s="20"/>
      <c r="S595" s="16">
        <f t="shared" si="421"/>
        <v>0</v>
      </c>
      <c r="T595" s="11"/>
      <c r="AS595" s="31">
        <f t="shared" si="422"/>
        <v>0</v>
      </c>
      <c r="AT595" s="31">
        <f t="shared" si="423"/>
        <v>0</v>
      </c>
      <c r="AU595" s="31">
        <f t="shared" si="424"/>
        <v>0</v>
      </c>
      <c r="AV595" s="31">
        <f t="shared" si="425"/>
        <v>0</v>
      </c>
      <c r="AW595" s="31">
        <f t="shared" si="426"/>
        <v>0</v>
      </c>
      <c r="AX595" s="31">
        <f t="shared" si="427"/>
        <v>0</v>
      </c>
      <c r="AY595" s="31">
        <f t="shared" si="428"/>
        <v>0</v>
      </c>
      <c r="AZ595" s="31">
        <f t="shared" si="429"/>
        <v>0</v>
      </c>
      <c r="BA595" s="31">
        <f t="shared" si="430"/>
        <v>0</v>
      </c>
      <c r="BB595" s="31">
        <f t="shared" si="459"/>
        <v>0</v>
      </c>
      <c r="BM595" s="8">
        <f t="shared" si="460"/>
        <v>0</v>
      </c>
      <c r="BN595" s="8">
        <f t="shared" si="431"/>
        <v>0</v>
      </c>
      <c r="BO595" s="8">
        <f t="shared" si="432"/>
        <v>0</v>
      </c>
      <c r="BQ595" s="8">
        <f t="shared" si="433"/>
        <v>0</v>
      </c>
      <c r="BR595" s="63">
        <f t="shared" si="434"/>
        <v>0</v>
      </c>
      <c r="BS595" s="63">
        <f t="shared" si="461"/>
        <v>0</v>
      </c>
      <c r="BT595" s="63">
        <f t="shared" si="435"/>
        <v>0</v>
      </c>
      <c r="BU595" s="63">
        <f t="shared" si="436"/>
        <v>0</v>
      </c>
      <c r="BV595" s="57">
        <f t="shared" si="437"/>
        <v>0</v>
      </c>
      <c r="BW595" s="57">
        <f t="shared" si="438"/>
        <v>0</v>
      </c>
      <c r="BX595" s="57">
        <f t="shared" si="462"/>
        <v>0</v>
      </c>
      <c r="BY595" s="57">
        <f t="shared" si="420"/>
        <v>0</v>
      </c>
      <c r="BZ595" s="8">
        <f t="shared" si="439"/>
        <v>0</v>
      </c>
      <c r="CA595" s="8">
        <f t="shared" si="440"/>
        <v>0</v>
      </c>
      <c r="CB595" s="8">
        <f t="shared" si="441"/>
        <v>0</v>
      </c>
      <c r="CC595" s="8">
        <f t="shared" si="442"/>
        <v>0</v>
      </c>
      <c r="CD595" s="8">
        <f t="shared" si="443"/>
        <v>0</v>
      </c>
      <c r="CE595" s="8">
        <f t="shared" si="444"/>
        <v>0</v>
      </c>
      <c r="CF595" s="8">
        <f t="shared" si="445"/>
        <v>0</v>
      </c>
      <c r="CG595" s="8">
        <f t="shared" si="446"/>
        <v>0</v>
      </c>
      <c r="CH595" s="8">
        <f t="shared" si="447"/>
        <v>0</v>
      </c>
      <c r="CI595" s="8">
        <f t="shared" si="448"/>
        <v>0</v>
      </c>
      <c r="CJ595" s="8">
        <f t="shared" si="449"/>
        <v>0</v>
      </c>
      <c r="CK595" s="8">
        <f t="shared" si="450"/>
        <v>0</v>
      </c>
      <c r="CL595" s="8">
        <f t="shared" si="451"/>
        <v>0</v>
      </c>
      <c r="CM595" s="8">
        <f t="shared" si="452"/>
        <v>0</v>
      </c>
      <c r="CN595" s="8">
        <f t="shared" si="453"/>
        <v>0</v>
      </c>
      <c r="CO595" s="8">
        <f t="shared" si="454"/>
        <v>0</v>
      </c>
      <c r="CP595" s="8">
        <f t="shared" si="455"/>
        <v>0</v>
      </c>
      <c r="CQ595" s="8">
        <f t="shared" si="456"/>
        <v>0</v>
      </c>
      <c r="CR595" s="8">
        <f t="shared" si="457"/>
        <v>0</v>
      </c>
      <c r="CS595" s="8">
        <f t="shared" si="458"/>
        <v>0</v>
      </c>
      <c r="CT595" s="8">
        <f t="shared" si="463"/>
        <v>0</v>
      </c>
      <c r="CU595" s="8">
        <f t="shared" si="464"/>
        <v>0</v>
      </c>
      <c r="CV595" s="8">
        <f t="shared" si="465"/>
        <v>0</v>
      </c>
    </row>
    <row r="596" spans="1:100" ht="20.5" thickTop="1" thickBot="1" x14ac:dyDescent="0.5">
      <c r="A596" s="32"/>
      <c r="B596" s="10"/>
      <c r="C596" s="10"/>
      <c r="D596" s="11"/>
      <c r="E596" s="10"/>
      <c r="F596" s="10"/>
      <c r="G596" s="19"/>
      <c r="H596" s="19"/>
      <c r="I596" s="19"/>
      <c r="J596" s="19"/>
      <c r="K596" s="10"/>
      <c r="L596" s="10"/>
      <c r="M596" s="10"/>
      <c r="N596" s="10"/>
      <c r="O596" s="18"/>
      <c r="P596" s="18"/>
      <c r="Q596" s="21"/>
      <c r="R596" s="20"/>
      <c r="S596" s="16">
        <f t="shared" si="421"/>
        <v>0</v>
      </c>
      <c r="T596" s="11"/>
      <c r="AS596" s="31">
        <f t="shared" si="422"/>
        <v>0</v>
      </c>
      <c r="AT596" s="31">
        <f t="shared" si="423"/>
        <v>0</v>
      </c>
      <c r="AU596" s="31">
        <f t="shared" si="424"/>
        <v>0</v>
      </c>
      <c r="AV596" s="31">
        <f t="shared" si="425"/>
        <v>0</v>
      </c>
      <c r="AW596" s="31">
        <f t="shared" si="426"/>
        <v>0</v>
      </c>
      <c r="AX596" s="31">
        <f t="shared" si="427"/>
        <v>0</v>
      </c>
      <c r="AY596" s="31">
        <f t="shared" si="428"/>
        <v>0</v>
      </c>
      <c r="AZ596" s="31">
        <f t="shared" si="429"/>
        <v>0</v>
      </c>
      <c r="BA596" s="31">
        <f t="shared" si="430"/>
        <v>0</v>
      </c>
      <c r="BB596" s="31">
        <f t="shared" si="459"/>
        <v>0</v>
      </c>
      <c r="BM596" s="8">
        <f t="shared" si="460"/>
        <v>0</v>
      </c>
      <c r="BN596" s="8">
        <f t="shared" si="431"/>
        <v>0</v>
      </c>
      <c r="BO596" s="8">
        <f t="shared" si="432"/>
        <v>0</v>
      </c>
      <c r="BQ596" s="8">
        <f t="shared" si="433"/>
        <v>0</v>
      </c>
      <c r="BR596" s="63">
        <f t="shared" si="434"/>
        <v>0</v>
      </c>
      <c r="BS596" s="63">
        <f t="shared" si="461"/>
        <v>0</v>
      </c>
      <c r="BT596" s="63">
        <f t="shared" si="435"/>
        <v>0</v>
      </c>
      <c r="BU596" s="63">
        <f t="shared" si="436"/>
        <v>0</v>
      </c>
      <c r="BV596" s="57">
        <f t="shared" si="437"/>
        <v>0</v>
      </c>
      <c r="BW596" s="57">
        <f t="shared" si="438"/>
        <v>0</v>
      </c>
      <c r="BX596" s="57">
        <f t="shared" si="462"/>
        <v>0</v>
      </c>
      <c r="BY596" s="57">
        <f t="shared" si="420"/>
        <v>0</v>
      </c>
      <c r="BZ596" s="8">
        <f t="shared" si="439"/>
        <v>0</v>
      </c>
      <c r="CA596" s="8">
        <f t="shared" si="440"/>
        <v>0</v>
      </c>
      <c r="CB596" s="8">
        <f t="shared" si="441"/>
        <v>0</v>
      </c>
      <c r="CC596" s="8">
        <f t="shared" si="442"/>
        <v>0</v>
      </c>
      <c r="CD596" s="8">
        <f t="shared" si="443"/>
        <v>0</v>
      </c>
      <c r="CE596" s="8">
        <f t="shared" si="444"/>
        <v>0</v>
      </c>
      <c r="CF596" s="8">
        <f t="shared" si="445"/>
        <v>0</v>
      </c>
      <c r="CG596" s="8">
        <f t="shared" si="446"/>
        <v>0</v>
      </c>
      <c r="CH596" s="8">
        <f t="shared" si="447"/>
        <v>0</v>
      </c>
      <c r="CI596" s="8">
        <f t="shared" si="448"/>
        <v>0</v>
      </c>
      <c r="CJ596" s="8">
        <f t="shared" si="449"/>
        <v>0</v>
      </c>
      <c r="CK596" s="8">
        <f t="shared" si="450"/>
        <v>0</v>
      </c>
      <c r="CL596" s="8">
        <f t="shared" si="451"/>
        <v>0</v>
      </c>
      <c r="CM596" s="8">
        <f t="shared" si="452"/>
        <v>0</v>
      </c>
      <c r="CN596" s="8">
        <f t="shared" si="453"/>
        <v>0</v>
      </c>
      <c r="CO596" s="8">
        <f t="shared" si="454"/>
        <v>0</v>
      </c>
      <c r="CP596" s="8">
        <f t="shared" si="455"/>
        <v>0</v>
      </c>
      <c r="CQ596" s="8">
        <f t="shared" si="456"/>
        <v>0</v>
      </c>
      <c r="CR596" s="8">
        <f t="shared" si="457"/>
        <v>0</v>
      </c>
      <c r="CS596" s="8">
        <f t="shared" si="458"/>
        <v>0</v>
      </c>
      <c r="CT596" s="8">
        <f t="shared" si="463"/>
        <v>0</v>
      </c>
      <c r="CU596" s="8">
        <f t="shared" si="464"/>
        <v>0</v>
      </c>
      <c r="CV596" s="8">
        <f t="shared" si="465"/>
        <v>0</v>
      </c>
    </row>
    <row r="597" spans="1:100" ht="20.5" thickTop="1" thickBot="1" x14ac:dyDescent="0.5">
      <c r="A597" s="32"/>
      <c r="B597" s="10"/>
      <c r="C597" s="10"/>
      <c r="D597" s="11"/>
      <c r="E597" s="10"/>
      <c r="F597" s="10"/>
      <c r="G597" s="19"/>
      <c r="H597" s="19"/>
      <c r="I597" s="19"/>
      <c r="J597" s="19"/>
      <c r="K597" s="10"/>
      <c r="L597" s="10"/>
      <c r="M597" s="10"/>
      <c r="N597" s="10"/>
      <c r="O597" s="18"/>
      <c r="P597" s="18"/>
      <c r="Q597" s="21"/>
      <c r="R597" s="20"/>
      <c r="S597" s="16">
        <f t="shared" si="421"/>
        <v>0</v>
      </c>
      <c r="T597" s="11"/>
      <c r="AS597" s="31">
        <f t="shared" si="422"/>
        <v>0</v>
      </c>
      <c r="AT597" s="31">
        <f t="shared" si="423"/>
        <v>0</v>
      </c>
      <c r="AU597" s="31">
        <f t="shared" si="424"/>
        <v>0</v>
      </c>
      <c r="AV597" s="31">
        <f t="shared" si="425"/>
        <v>0</v>
      </c>
      <c r="AW597" s="31">
        <f t="shared" si="426"/>
        <v>0</v>
      </c>
      <c r="AX597" s="31">
        <f t="shared" si="427"/>
        <v>0</v>
      </c>
      <c r="AY597" s="31">
        <f t="shared" si="428"/>
        <v>0</v>
      </c>
      <c r="AZ597" s="31">
        <f t="shared" si="429"/>
        <v>0</v>
      </c>
      <c r="BA597" s="31">
        <f t="shared" si="430"/>
        <v>0</v>
      </c>
      <c r="BB597" s="31">
        <f t="shared" si="459"/>
        <v>0</v>
      </c>
      <c r="BM597" s="8">
        <f t="shared" si="460"/>
        <v>0</v>
      </c>
      <c r="BN597" s="8">
        <f t="shared" si="431"/>
        <v>0</v>
      </c>
      <c r="BO597" s="8">
        <f t="shared" si="432"/>
        <v>0</v>
      </c>
      <c r="BQ597" s="8">
        <f t="shared" si="433"/>
        <v>0</v>
      </c>
      <c r="BR597" s="63">
        <f t="shared" si="434"/>
        <v>0</v>
      </c>
      <c r="BS597" s="63">
        <f t="shared" si="461"/>
        <v>0</v>
      </c>
      <c r="BT597" s="63">
        <f t="shared" si="435"/>
        <v>0</v>
      </c>
      <c r="BU597" s="63">
        <f t="shared" si="436"/>
        <v>0</v>
      </c>
      <c r="BV597" s="57">
        <f t="shared" si="437"/>
        <v>0</v>
      </c>
      <c r="BW597" s="57">
        <f t="shared" si="438"/>
        <v>0</v>
      </c>
      <c r="BX597" s="57">
        <f t="shared" si="462"/>
        <v>0</v>
      </c>
      <c r="BY597" s="57">
        <f t="shared" si="420"/>
        <v>0</v>
      </c>
      <c r="BZ597" s="8">
        <f t="shared" si="439"/>
        <v>0</v>
      </c>
      <c r="CA597" s="8">
        <f t="shared" si="440"/>
        <v>0</v>
      </c>
      <c r="CB597" s="8">
        <f t="shared" si="441"/>
        <v>0</v>
      </c>
      <c r="CC597" s="8">
        <f t="shared" si="442"/>
        <v>0</v>
      </c>
      <c r="CD597" s="8">
        <f t="shared" si="443"/>
        <v>0</v>
      </c>
      <c r="CE597" s="8">
        <f t="shared" si="444"/>
        <v>0</v>
      </c>
      <c r="CF597" s="8">
        <f t="shared" si="445"/>
        <v>0</v>
      </c>
      <c r="CG597" s="8">
        <f t="shared" si="446"/>
        <v>0</v>
      </c>
      <c r="CH597" s="8">
        <f t="shared" si="447"/>
        <v>0</v>
      </c>
      <c r="CI597" s="8">
        <f t="shared" si="448"/>
        <v>0</v>
      </c>
      <c r="CJ597" s="8">
        <f t="shared" si="449"/>
        <v>0</v>
      </c>
      <c r="CK597" s="8">
        <f t="shared" si="450"/>
        <v>0</v>
      </c>
      <c r="CL597" s="8">
        <f t="shared" si="451"/>
        <v>0</v>
      </c>
      <c r="CM597" s="8">
        <f t="shared" si="452"/>
        <v>0</v>
      </c>
      <c r="CN597" s="8">
        <f t="shared" si="453"/>
        <v>0</v>
      </c>
      <c r="CO597" s="8">
        <f t="shared" si="454"/>
        <v>0</v>
      </c>
      <c r="CP597" s="8">
        <f t="shared" si="455"/>
        <v>0</v>
      </c>
      <c r="CQ597" s="8">
        <f t="shared" si="456"/>
        <v>0</v>
      </c>
      <c r="CR597" s="8">
        <f t="shared" si="457"/>
        <v>0</v>
      </c>
      <c r="CS597" s="8">
        <f t="shared" si="458"/>
        <v>0</v>
      </c>
      <c r="CT597" s="8">
        <f t="shared" si="463"/>
        <v>0</v>
      </c>
      <c r="CU597" s="8">
        <f t="shared" si="464"/>
        <v>0</v>
      </c>
      <c r="CV597" s="8">
        <f t="shared" si="465"/>
        <v>0</v>
      </c>
    </row>
    <row r="598" spans="1:100" ht="20.5" thickTop="1" thickBot="1" x14ac:dyDescent="0.5">
      <c r="A598" s="32"/>
      <c r="B598" s="10"/>
      <c r="C598" s="10"/>
      <c r="D598" s="11"/>
      <c r="E598" s="10"/>
      <c r="F598" s="10"/>
      <c r="G598" s="19"/>
      <c r="H598" s="19"/>
      <c r="I598" s="19"/>
      <c r="J598" s="19"/>
      <c r="K598" s="10"/>
      <c r="L598" s="10"/>
      <c r="M598" s="10"/>
      <c r="N598" s="10"/>
      <c r="O598" s="18"/>
      <c r="P598" s="18"/>
      <c r="Q598" s="21"/>
      <c r="R598" s="20"/>
      <c r="S598" s="16">
        <f t="shared" si="421"/>
        <v>0</v>
      </c>
      <c r="T598" s="11"/>
      <c r="AS598" s="31">
        <f t="shared" si="422"/>
        <v>0</v>
      </c>
      <c r="AT598" s="31">
        <f t="shared" si="423"/>
        <v>0</v>
      </c>
      <c r="AU598" s="31">
        <f t="shared" si="424"/>
        <v>0</v>
      </c>
      <c r="AV598" s="31">
        <f t="shared" si="425"/>
        <v>0</v>
      </c>
      <c r="AW598" s="31">
        <f t="shared" si="426"/>
        <v>0</v>
      </c>
      <c r="AX598" s="31">
        <f t="shared" si="427"/>
        <v>0</v>
      </c>
      <c r="AY598" s="31">
        <f t="shared" si="428"/>
        <v>0</v>
      </c>
      <c r="AZ598" s="31">
        <f t="shared" si="429"/>
        <v>0</v>
      </c>
      <c r="BA598" s="31">
        <f t="shared" si="430"/>
        <v>0</v>
      </c>
      <c r="BB598" s="31">
        <f t="shared" si="459"/>
        <v>0</v>
      </c>
      <c r="BM598" s="8">
        <f t="shared" si="460"/>
        <v>0</v>
      </c>
      <c r="BN598" s="8">
        <f t="shared" si="431"/>
        <v>0</v>
      </c>
      <c r="BO598" s="8">
        <f t="shared" si="432"/>
        <v>0</v>
      </c>
      <c r="BQ598" s="8">
        <f t="shared" si="433"/>
        <v>0</v>
      </c>
      <c r="BR598" s="63">
        <f t="shared" si="434"/>
        <v>0</v>
      </c>
      <c r="BS598" s="63">
        <f t="shared" si="461"/>
        <v>0</v>
      </c>
      <c r="BT598" s="63">
        <f t="shared" si="435"/>
        <v>0</v>
      </c>
      <c r="BU598" s="63">
        <f t="shared" si="436"/>
        <v>0</v>
      </c>
      <c r="BV598" s="57">
        <f t="shared" si="437"/>
        <v>0</v>
      </c>
      <c r="BW598" s="57">
        <f t="shared" si="438"/>
        <v>0</v>
      </c>
      <c r="BX598" s="57">
        <f t="shared" si="462"/>
        <v>0</v>
      </c>
      <c r="BY598" s="57">
        <f t="shared" si="420"/>
        <v>0</v>
      </c>
      <c r="BZ598" s="8">
        <f t="shared" si="439"/>
        <v>0</v>
      </c>
      <c r="CA598" s="8">
        <f t="shared" si="440"/>
        <v>0</v>
      </c>
      <c r="CB598" s="8">
        <f t="shared" si="441"/>
        <v>0</v>
      </c>
      <c r="CC598" s="8">
        <f t="shared" si="442"/>
        <v>0</v>
      </c>
      <c r="CD598" s="8">
        <f t="shared" si="443"/>
        <v>0</v>
      </c>
      <c r="CE598" s="8">
        <f t="shared" si="444"/>
        <v>0</v>
      </c>
      <c r="CF598" s="8">
        <f t="shared" si="445"/>
        <v>0</v>
      </c>
      <c r="CG598" s="8">
        <f t="shared" si="446"/>
        <v>0</v>
      </c>
      <c r="CH598" s="8">
        <f t="shared" si="447"/>
        <v>0</v>
      </c>
      <c r="CI598" s="8">
        <f t="shared" si="448"/>
        <v>0</v>
      </c>
      <c r="CJ598" s="8">
        <f t="shared" si="449"/>
        <v>0</v>
      </c>
      <c r="CK598" s="8">
        <f t="shared" si="450"/>
        <v>0</v>
      </c>
      <c r="CL598" s="8">
        <f t="shared" si="451"/>
        <v>0</v>
      </c>
      <c r="CM598" s="8">
        <f t="shared" si="452"/>
        <v>0</v>
      </c>
      <c r="CN598" s="8">
        <f t="shared" si="453"/>
        <v>0</v>
      </c>
      <c r="CO598" s="8">
        <f t="shared" si="454"/>
        <v>0</v>
      </c>
      <c r="CP598" s="8">
        <f t="shared" si="455"/>
        <v>0</v>
      </c>
      <c r="CQ598" s="8">
        <f t="shared" si="456"/>
        <v>0</v>
      </c>
      <c r="CR598" s="8">
        <f t="shared" si="457"/>
        <v>0</v>
      </c>
      <c r="CS598" s="8">
        <f t="shared" si="458"/>
        <v>0</v>
      </c>
      <c r="CT598" s="8">
        <f t="shared" si="463"/>
        <v>0</v>
      </c>
      <c r="CU598" s="8">
        <f t="shared" si="464"/>
        <v>0</v>
      </c>
      <c r="CV598" s="8">
        <f t="shared" si="465"/>
        <v>0</v>
      </c>
    </row>
    <row r="599" spans="1:100" ht="20.5" thickTop="1" thickBot="1" x14ac:dyDescent="0.5">
      <c r="A599" s="32"/>
      <c r="B599" s="10"/>
      <c r="C599" s="10"/>
      <c r="D599" s="11"/>
      <c r="E599" s="10"/>
      <c r="F599" s="10"/>
      <c r="G599" s="19"/>
      <c r="H599" s="19"/>
      <c r="I599" s="19"/>
      <c r="J599" s="19"/>
      <c r="K599" s="10"/>
      <c r="L599" s="10"/>
      <c r="M599" s="10"/>
      <c r="N599" s="10"/>
      <c r="O599" s="18"/>
      <c r="P599" s="18"/>
      <c r="Q599" s="21"/>
      <c r="R599" s="20"/>
      <c r="S599" s="16">
        <f t="shared" si="421"/>
        <v>0</v>
      </c>
      <c r="T599" s="11"/>
      <c r="AS599" s="31">
        <f t="shared" si="422"/>
        <v>0</v>
      </c>
      <c r="AT599" s="31">
        <f t="shared" si="423"/>
        <v>0</v>
      </c>
      <c r="AU599" s="31">
        <f t="shared" si="424"/>
        <v>0</v>
      </c>
      <c r="AV599" s="31">
        <f t="shared" si="425"/>
        <v>0</v>
      </c>
      <c r="AW599" s="31">
        <f t="shared" si="426"/>
        <v>0</v>
      </c>
      <c r="AX599" s="31">
        <f t="shared" si="427"/>
        <v>0</v>
      </c>
      <c r="AY599" s="31">
        <f t="shared" si="428"/>
        <v>0</v>
      </c>
      <c r="AZ599" s="31">
        <f t="shared" si="429"/>
        <v>0</v>
      </c>
      <c r="BA599" s="31">
        <f t="shared" si="430"/>
        <v>0</v>
      </c>
      <c r="BB599" s="31">
        <f t="shared" si="459"/>
        <v>0</v>
      </c>
      <c r="BM599" s="8">
        <f t="shared" si="460"/>
        <v>0</v>
      </c>
      <c r="BN599" s="8">
        <f t="shared" si="431"/>
        <v>0</v>
      </c>
      <c r="BO599" s="8">
        <f t="shared" si="432"/>
        <v>0</v>
      </c>
      <c r="BQ599" s="8">
        <f t="shared" si="433"/>
        <v>0</v>
      </c>
      <c r="BR599" s="63">
        <f t="shared" si="434"/>
        <v>0</v>
      </c>
      <c r="BS599" s="63">
        <f t="shared" si="461"/>
        <v>0</v>
      </c>
      <c r="BT599" s="63">
        <f t="shared" si="435"/>
        <v>0</v>
      </c>
      <c r="BU599" s="63">
        <f t="shared" si="436"/>
        <v>0</v>
      </c>
      <c r="BV599" s="57">
        <f t="shared" si="437"/>
        <v>0</v>
      </c>
      <c r="BW599" s="57">
        <f t="shared" si="438"/>
        <v>0</v>
      </c>
      <c r="BX599" s="57">
        <f t="shared" si="462"/>
        <v>0</v>
      </c>
      <c r="BY599" s="57">
        <f t="shared" si="420"/>
        <v>0</v>
      </c>
      <c r="BZ599" s="8">
        <f t="shared" si="439"/>
        <v>0</v>
      </c>
      <c r="CA599" s="8">
        <f t="shared" si="440"/>
        <v>0</v>
      </c>
      <c r="CB599" s="8">
        <f t="shared" si="441"/>
        <v>0</v>
      </c>
      <c r="CC599" s="8">
        <f t="shared" si="442"/>
        <v>0</v>
      </c>
      <c r="CD599" s="8">
        <f t="shared" si="443"/>
        <v>0</v>
      </c>
      <c r="CE599" s="8">
        <f t="shared" si="444"/>
        <v>0</v>
      </c>
      <c r="CF599" s="8">
        <f t="shared" si="445"/>
        <v>0</v>
      </c>
      <c r="CG599" s="8">
        <f t="shared" si="446"/>
        <v>0</v>
      </c>
      <c r="CH599" s="8">
        <f t="shared" si="447"/>
        <v>0</v>
      </c>
      <c r="CI599" s="8">
        <f t="shared" si="448"/>
        <v>0</v>
      </c>
      <c r="CJ599" s="8">
        <f t="shared" si="449"/>
        <v>0</v>
      </c>
      <c r="CK599" s="8">
        <f t="shared" si="450"/>
        <v>0</v>
      </c>
      <c r="CL599" s="8">
        <f t="shared" si="451"/>
        <v>0</v>
      </c>
      <c r="CM599" s="8">
        <f t="shared" si="452"/>
        <v>0</v>
      </c>
      <c r="CN599" s="8">
        <f t="shared" si="453"/>
        <v>0</v>
      </c>
      <c r="CO599" s="8">
        <f t="shared" si="454"/>
        <v>0</v>
      </c>
      <c r="CP599" s="8">
        <f t="shared" si="455"/>
        <v>0</v>
      </c>
      <c r="CQ599" s="8">
        <f t="shared" si="456"/>
        <v>0</v>
      </c>
      <c r="CR599" s="8">
        <f t="shared" si="457"/>
        <v>0</v>
      </c>
      <c r="CS599" s="8">
        <f t="shared" si="458"/>
        <v>0</v>
      </c>
      <c r="CT599" s="8">
        <f t="shared" si="463"/>
        <v>0</v>
      </c>
      <c r="CU599" s="8">
        <f t="shared" si="464"/>
        <v>0</v>
      </c>
      <c r="CV599" s="8">
        <f t="shared" si="465"/>
        <v>0</v>
      </c>
    </row>
    <row r="600" spans="1:100" ht="20.5" thickTop="1" thickBot="1" x14ac:dyDescent="0.5">
      <c r="A600" s="32"/>
      <c r="B600" s="10"/>
      <c r="C600" s="10"/>
      <c r="D600" s="11"/>
      <c r="E600" s="10"/>
      <c r="F600" s="10"/>
      <c r="G600" s="19"/>
      <c r="H600" s="19"/>
      <c r="I600" s="19"/>
      <c r="J600" s="19"/>
      <c r="K600" s="10"/>
      <c r="L600" s="10"/>
      <c r="M600" s="10"/>
      <c r="N600" s="10"/>
      <c r="O600" s="18"/>
      <c r="P600" s="18"/>
      <c r="Q600" s="21"/>
      <c r="R600" s="20"/>
      <c r="S600" s="16">
        <f t="shared" si="421"/>
        <v>0</v>
      </c>
      <c r="T600" s="11"/>
      <c r="AS600" s="31">
        <f t="shared" si="422"/>
        <v>0</v>
      </c>
      <c r="AT600" s="31">
        <f t="shared" si="423"/>
        <v>0</v>
      </c>
      <c r="AU600" s="31">
        <f t="shared" si="424"/>
        <v>0</v>
      </c>
      <c r="AV600" s="31">
        <f t="shared" si="425"/>
        <v>0</v>
      </c>
      <c r="AW600" s="31">
        <f t="shared" si="426"/>
        <v>0</v>
      </c>
      <c r="AX600" s="31">
        <f t="shared" si="427"/>
        <v>0</v>
      </c>
      <c r="AY600" s="31">
        <f t="shared" si="428"/>
        <v>0</v>
      </c>
      <c r="AZ600" s="31">
        <f t="shared" si="429"/>
        <v>0</v>
      </c>
      <c r="BA600" s="31">
        <f t="shared" si="430"/>
        <v>0</v>
      </c>
      <c r="BB600" s="31">
        <f t="shared" si="459"/>
        <v>0</v>
      </c>
      <c r="BM600" s="8">
        <f t="shared" si="460"/>
        <v>0</v>
      </c>
      <c r="BN600" s="8">
        <f t="shared" si="431"/>
        <v>0</v>
      </c>
      <c r="BO600" s="8">
        <f t="shared" si="432"/>
        <v>0</v>
      </c>
      <c r="BQ600" s="8">
        <f t="shared" si="433"/>
        <v>0</v>
      </c>
      <c r="BR600" s="63">
        <f t="shared" si="434"/>
        <v>0</v>
      </c>
      <c r="BS600" s="63">
        <f t="shared" si="461"/>
        <v>0</v>
      </c>
      <c r="BT600" s="63">
        <f t="shared" si="435"/>
        <v>0</v>
      </c>
      <c r="BU600" s="63">
        <f t="shared" si="436"/>
        <v>0</v>
      </c>
      <c r="BV600" s="57">
        <f t="shared" si="437"/>
        <v>0</v>
      </c>
      <c r="BW600" s="57">
        <f t="shared" si="438"/>
        <v>0</v>
      </c>
      <c r="BX600" s="57">
        <f t="shared" si="462"/>
        <v>0</v>
      </c>
      <c r="BY600" s="57">
        <f t="shared" si="420"/>
        <v>0</v>
      </c>
      <c r="BZ600" s="8">
        <f t="shared" si="439"/>
        <v>0</v>
      </c>
      <c r="CA600" s="8">
        <f t="shared" si="440"/>
        <v>0</v>
      </c>
      <c r="CB600" s="8">
        <f t="shared" si="441"/>
        <v>0</v>
      </c>
      <c r="CC600" s="8">
        <f t="shared" si="442"/>
        <v>0</v>
      </c>
      <c r="CD600" s="8">
        <f t="shared" si="443"/>
        <v>0</v>
      </c>
      <c r="CE600" s="8">
        <f t="shared" si="444"/>
        <v>0</v>
      </c>
      <c r="CF600" s="8">
        <f t="shared" si="445"/>
        <v>0</v>
      </c>
      <c r="CG600" s="8">
        <f t="shared" si="446"/>
        <v>0</v>
      </c>
      <c r="CH600" s="8">
        <f t="shared" si="447"/>
        <v>0</v>
      </c>
      <c r="CI600" s="8">
        <f t="shared" si="448"/>
        <v>0</v>
      </c>
      <c r="CJ600" s="8">
        <f t="shared" si="449"/>
        <v>0</v>
      </c>
      <c r="CK600" s="8">
        <f t="shared" si="450"/>
        <v>0</v>
      </c>
      <c r="CL600" s="8">
        <f t="shared" si="451"/>
        <v>0</v>
      </c>
      <c r="CM600" s="8">
        <f t="shared" si="452"/>
        <v>0</v>
      </c>
      <c r="CN600" s="8">
        <f t="shared" si="453"/>
        <v>0</v>
      </c>
      <c r="CO600" s="8">
        <f t="shared" si="454"/>
        <v>0</v>
      </c>
      <c r="CP600" s="8">
        <f t="shared" si="455"/>
        <v>0</v>
      </c>
      <c r="CQ600" s="8">
        <f t="shared" si="456"/>
        <v>0</v>
      </c>
      <c r="CR600" s="8">
        <f t="shared" si="457"/>
        <v>0</v>
      </c>
      <c r="CS600" s="8">
        <f t="shared" si="458"/>
        <v>0</v>
      </c>
      <c r="CT600" s="8">
        <f t="shared" si="463"/>
        <v>0</v>
      </c>
      <c r="CU600" s="8">
        <f t="shared" si="464"/>
        <v>0</v>
      </c>
      <c r="CV600" s="8">
        <f t="shared" si="465"/>
        <v>0</v>
      </c>
    </row>
    <row r="601" spans="1:100" ht="20.5" thickTop="1" thickBot="1" x14ac:dyDescent="0.5">
      <c r="A601" s="32"/>
      <c r="B601" s="10"/>
      <c r="C601" s="10"/>
      <c r="D601" s="11"/>
      <c r="E601" s="10"/>
      <c r="F601" s="10"/>
      <c r="G601" s="19"/>
      <c r="H601" s="19"/>
      <c r="I601" s="19"/>
      <c r="J601" s="19"/>
      <c r="K601" s="10"/>
      <c r="L601" s="10"/>
      <c r="M601" s="10"/>
      <c r="N601" s="10"/>
      <c r="O601" s="18"/>
      <c r="P601" s="18"/>
      <c r="Q601" s="21"/>
      <c r="R601" s="20"/>
      <c r="S601" s="16">
        <f t="shared" si="421"/>
        <v>0</v>
      </c>
      <c r="T601" s="11"/>
      <c r="AS601" s="31">
        <f t="shared" si="422"/>
        <v>0</v>
      </c>
      <c r="AT601" s="31">
        <f t="shared" si="423"/>
        <v>0</v>
      </c>
      <c r="AU601" s="31">
        <f t="shared" si="424"/>
        <v>0</v>
      </c>
      <c r="AV601" s="31">
        <f t="shared" si="425"/>
        <v>0</v>
      </c>
      <c r="AW601" s="31">
        <f t="shared" si="426"/>
        <v>0</v>
      </c>
      <c r="AX601" s="31">
        <f t="shared" si="427"/>
        <v>0</v>
      </c>
      <c r="AY601" s="31">
        <f t="shared" si="428"/>
        <v>0</v>
      </c>
      <c r="AZ601" s="31">
        <f t="shared" si="429"/>
        <v>0</v>
      </c>
      <c r="BA601" s="31">
        <f t="shared" si="430"/>
        <v>0</v>
      </c>
      <c r="BB601" s="31">
        <f t="shared" si="459"/>
        <v>0</v>
      </c>
      <c r="BM601" s="8">
        <f t="shared" si="460"/>
        <v>0</v>
      </c>
      <c r="BN601" s="8">
        <f t="shared" si="431"/>
        <v>0</v>
      </c>
      <c r="BO601" s="8">
        <f t="shared" si="432"/>
        <v>0</v>
      </c>
      <c r="BQ601" s="8">
        <f t="shared" si="433"/>
        <v>0</v>
      </c>
      <c r="BR601" s="63">
        <f t="shared" si="434"/>
        <v>0</v>
      </c>
      <c r="BS601" s="63">
        <f t="shared" si="461"/>
        <v>0</v>
      </c>
      <c r="BT601" s="63">
        <f t="shared" si="435"/>
        <v>0</v>
      </c>
      <c r="BU601" s="63">
        <f t="shared" si="436"/>
        <v>0</v>
      </c>
      <c r="BV601" s="57">
        <f t="shared" si="437"/>
        <v>0</v>
      </c>
      <c r="BW601" s="57">
        <f t="shared" si="438"/>
        <v>0</v>
      </c>
      <c r="BX601" s="57">
        <f t="shared" si="462"/>
        <v>0</v>
      </c>
      <c r="BY601" s="57">
        <f t="shared" si="420"/>
        <v>0</v>
      </c>
      <c r="BZ601" s="8">
        <f t="shared" si="439"/>
        <v>0</v>
      </c>
      <c r="CA601" s="8">
        <f t="shared" si="440"/>
        <v>0</v>
      </c>
      <c r="CB601" s="8">
        <f t="shared" si="441"/>
        <v>0</v>
      </c>
      <c r="CC601" s="8">
        <f t="shared" si="442"/>
        <v>0</v>
      </c>
      <c r="CD601" s="8">
        <f t="shared" si="443"/>
        <v>0</v>
      </c>
      <c r="CE601" s="8">
        <f t="shared" si="444"/>
        <v>0</v>
      </c>
      <c r="CF601" s="8">
        <f t="shared" si="445"/>
        <v>0</v>
      </c>
      <c r="CG601" s="8">
        <f t="shared" si="446"/>
        <v>0</v>
      </c>
      <c r="CH601" s="8">
        <f t="shared" si="447"/>
        <v>0</v>
      </c>
      <c r="CI601" s="8">
        <f t="shared" si="448"/>
        <v>0</v>
      </c>
      <c r="CJ601" s="8">
        <f t="shared" si="449"/>
        <v>0</v>
      </c>
      <c r="CK601" s="8">
        <f t="shared" si="450"/>
        <v>0</v>
      </c>
      <c r="CL601" s="8">
        <f t="shared" si="451"/>
        <v>0</v>
      </c>
      <c r="CM601" s="8">
        <f t="shared" si="452"/>
        <v>0</v>
      </c>
      <c r="CN601" s="8">
        <f t="shared" si="453"/>
        <v>0</v>
      </c>
      <c r="CO601" s="8">
        <f t="shared" si="454"/>
        <v>0</v>
      </c>
      <c r="CP601" s="8">
        <f t="shared" si="455"/>
        <v>0</v>
      </c>
      <c r="CQ601" s="8">
        <f t="shared" si="456"/>
        <v>0</v>
      </c>
      <c r="CR601" s="8">
        <f t="shared" si="457"/>
        <v>0</v>
      </c>
      <c r="CS601" s="8">
        <f t="shared" si="458"/>
        <v>0</v>
      </c>
      <c r="CT601" s="8">
        <f t="shared" si="463"/>
        <v>0</v>
      </c>
      <c r="CU601" s="8">
        <f t="shared" si="464"/>
        <v>0</v>
      </c>
      <c r="CV601" s="8">
        <f t="shared" si="465"/>
        <v>0</v>
      </c>
    </row>
    <row r="602" spans="1:100" ht="20.5" thickTop="1" thickBot="1" x14ac:dyDescent="0.5">
      <c r="A602" s="32"/>
      <c r="B602" s="10"/>
      <c r="C602" s="10"/>
      <c r="D602" s="11"/>
      <c r="E602" s="10"/>
      <c r="F602" s="10"/>
      <c r="G602" s="19"/>
      <c r="H602" s="19"/>
      <c r="I602" s="19"/>
      <c r="J602" s="19"/>
      <c r="K602" s="10"/>
      <c r="L602" s="10"/>
      <c r="M602" s="10"/>
      <c r="N602" s="10"/>
      <c r="O602" s="18"/>
      <c r="P602" s="18"/>
      <c r="Q602" s="21"/>
      <c r="R602" s="20"/>
      <c r="S602" s="16">
        <f t="shared" si="421"/>
        <v>0</v>
      </c>
      <c r="T602" s="11"/>
      <c r="AS602" s="31">
        <f t="shared" si="422"/>
        <v>0</v>
      </c>
      <c r="AT602" s="31">
        <f t="shared" si="423"/>
        <v>0</v>
      </c>
      <c r="AU602" s="31">
        <f t="shared" si="424"/>
        <v>0</v>
      </c>
      <c r="AV602" s="31">
        <f t="shared" si="425"/>
        <v>0</v>
      </c>
      <c r="AW602" s="31">
        <f t="shared" si="426"/>
        <v>0</v>
      </c>
      <c r="AX602" s="31">
        <f t="shared" si="427"/>
        <v>0</v>
      </c>
      <c r="AY602" s="31">
        <f t="shared" si="428"/>
        <v>0</v>
      </c>
      <c r="AZ602" s="31">
        <f t="shared" si="429"/>
        <v>0</v>
      </c>
      <c r="BA602" s="31">
        <f t="shared" si="430"/>
        <v>0</v>
      </c>
      <c r="BB602" s="31">
        <f t="shared" si="459"/>
        <v>0</v>
      </c>
      <c r="BM602" s="8">
        <f t="shared" si="460"/>
        <v>0</v>
      </c>
      <c r="BN602" s="8">
        <f t="shared" si="431"/>
        <v>0</v>
      </c>
      <c r="BO602" s="8">
        <f t="shared" si="432"/>
        <v>0</v>
      </c>
      <c r="BQ602" s="8">
        <f t="shared" si="433"/>
        <v>0</v>
      </c>
      <c r="BR602" s="63">
        <f t="shared" si="434"/>
        <v>0</v>
      </c>
      <c r="BS602" s="63">
        <f t="shared" si="461"/>
        <v>0</v>
      </c>
      <c r="BT602" s="63">
        <f t="shared" si="435"/>
        <v>0</v>
      </c>
      <c r="BU602" s="63">
        <f t="shared" si="436"/>
        <v>0</v>
      </c>
      <c r="BV602" s="57">
        <f t="shared" si="437"/>
        <v>0</v>
      </c>
      <c r="BW602" s="57">
        <f t="shared" si="438"/>
        <v>0</v>
      </c>
      <c r="BX602" s="57">
        <f t="shared" si="462"/>
        <v>0</v>
      </c>
      <c r="BY602" s="57">
        <f t="shared" si="420"/>
        <v>0</v>
      </c>
      <c r="BZ602" s="8">
        <f t="shared" si="439"/>
        <v>0</v>
      </c>
      <c r="CA602" s="8">
        <f t="shared" si="440"/>
        <v>0</v>
      </c>
      <c r="CB602" s="8">
        <f t="shared" si="441"/>
        <v>0</v>
      </c>
      <c r="CC602" s="8">
        <f t="shared" si="442"/>
        <v>0</v>
      </c>
      <c r="CD602" s="8">
        <f t="shared" si="443"/>
        <v>0</v>
      </c>
      <c r="CE602" s="8">
        <f t="shared" si="444"/>
        <v>0</v>
      </c>
      <c r="CF602" s="8">
        <f t="shared" si="445"/>
        <v>0</v>
      </c>
      <c r="CG602" s="8">
        <f t="shared" si="446"/>
        <v>0</v>
      </c>
      <c r="CH602" s="8">
        <f t="shared" si="447"/>
        <v>0</v>
      </c>
      <c r="CI602" s="8">
        <f t="shared" si="448"/>
        <v>0</v>
      </c>
      <c r="CJ602" s="8">
        <f t="shared" si="449"/>
        <v>0</v>
      </c>
      <c r="CK602" s="8">
        <f t="shared" si="450"/>
        <v>0</v>
      </c>
      <c r="CL602" s="8">
        <f t="shared" si="451"/>
        <v>0</v>
      </c>
      <c r="CM602" s="8">
        <f t="shared" si="452"/>
        <v>0</v>
      </c>
      <c r="CN602" s="8">
        <f t="shared" si="453"/>
        <v>0</v>
      </c>
      <c r="CO602" s="8">
        <f t="shared" si="454"/>
        <v>0</v>
      </c>
      <c r="CP602" s="8">
        <f t="shared" si="455"/>
        <v>0</v>
      </c>
      <c r="CQ602" s="8">
        <f t="shared" si="456"/>
        <v>0</v>
      </c>
      <c r="CR602" s="8">
        <f t="shared" si="457"/>
        <v>0</v>
      </c>
      <c r="CS602" s="8">
        <f t="shared" si="458"/>
        <v>0</v>
      </c>
      <c r="CT602" s="8">
        <f t="shared" si="463"/>
        <v>0</v>
      </c>
      <c r="CU602" s="8">
        <f t="shared" si="464"/>
        <v>0</v>
      </c>
      <c r="CV602" s="8">
        <f t="shared" si="465"/>
        <v>0</v>
      </c>
    </row>
    <row r="603" spans="1:100" ht="20.5" thickTop="1" thickBot="1" x14ac:dyDescent="0.5">
      <c r="A603" s="32"/>
      <c r="B603" s="10"/>
      <c r="C603" s="10"/>
      <c r="D603" s="11"/>
      <c r="E603" s="10"/>
      <c r="F603" s="10"/>
      <c r="G603" s="19"/>
      <c r="H603" s="19"/>
      <c r="I603" s="19"/>
      <c r="J603" s="19"/>
      <c r="K603" s="10"/>
      <c r="L603" s="10"/>
      <c r="M603" s="10"/>
      <c r="N603" s="10"/>
      <c r="O603" s="18"/>
      <c r="P603" s="18"/>
      <c r="Q603" s="21"/>
      <c r="R603" s="20"/>
      <c r="S603" s="16">
        <f t="shared" si="421"/>
        <v>0</v>
      </c>
      <c r="T603" s="11"/>
      <c r="AS603" s="31">
        <f t="shared" si="422"/>
        <v>0</v>
      </c>
      <c r="AT603" s="31">
        <f t="shared" si="423"/>
        <v>0</v>
      </c>
      <c r="AU603" s="31">
        <f t="shared" si="424"/>
        <v>0</v>
      </c>
      <c r="AV603" s="31">
        <f t="shared" si="425"/>
        <v>0</v>
      </c>
      <c r="AW603" s="31">
        <f t="shared" si="426"/>
        <v>0</v>
      </c>
      <c r="AX603" s="31">
        <f t="shared" si="427"/>
        <v>0</v>
      </c>
      <c r="AY603" s="31">
        <f t="shared" si="428"/>
        <v>0</v>
      </c>
      <c r="AZ603" s="31">
        <f t="shared" si="429"/>
        <v>0</v>
      </c>
      <c r="BA603" s="31">
        <f t="shared" si="430"/>
        <v>0</v>
      </c>
      <c r="BB603" s="31">
        <f t="shared" si="459"/>
        <v>0</v>
      </c>
      <c r="BM603" s="8">
        <f t="shared" si="460"/>
        <v>0</v>
      </c>
      <c r="BN603" s="8">
        <f t="shared" si="431"/>
        <v>0</v>
      </c>
      <c r="BO603" s="8">
        <f t="shared" si="432"/>
        <v>0</v>
      </c>
      <c r="BQ603" s="8">
        <f t="shared" si="433"/>
        <v>0</v>
      </c>
      <c r="BR603" s="63">
        <f t="shared" si="434"/>
        <v>0</v>
      </c>
      <c r="BS603" s="63">
        <f t="shared" si="461"/>
        <v>0</v>
      </c>
      <c r="BT603" s="63">
        <f t="shared" si="435"/>
        <v>0</v>
      </c>
      <c r="BU603" s="63">
        <f t="shared" si="436"/>
        <v>0</v>
      </c>
      <c r="BV603" s="57">
        <f t="shared" si="437"/>
        <v>0</v>
      </c>
      <c r="BW603" s="57">
        <f t="shared" si="438"/>
        <v>0</v>
      </c>
      <c r="BX603" s="57">
        <f t="shared" si="462"/>
        <v>0</v>
      </c>
      <c r="BY603" s="57">
        <f t="shared" si="420"/>
        <v>0</v>
      </c>
      <c r="BZ603" s="8">
        <f t="shared" si="439"/>
        <v>0</v>
      </c>
      <c r="CA603" s="8">
        <f t="shared" si="440"/>
        <v>0</v>
      </c>
      <c r="CB603" s="8">
        <f t="shared" si="441"/>
        <v>0</v>
      </c>
      <c r="CC603" s="8">
        <f t="shared" si="442"/>
        <v>0</v>
      </c>
      <c r="CD603" s="8">
        <f t="shared" si="443"/>
        <v>0</v>
      </c>
      <c r="CE603" s="8">
        <f t="shared" si="444"/>
        <v>0</v>
      </c>
      <c r="CF603" s="8">
        <f t="shared" si="445"/>
        <v>0</v>
      </c>
      <c r="CG603" s="8">
        <f t="shared" si="446"/>
        <v>0</v>
      </c>
      <c r="CH603" s="8">
        <f t="shared" si="447"/>
        <v>0</v>
      </c>
      <c r="CI603" s="8">
        <f t="shared" si="448"/>
        <v>0</v>
      </c>
      <c r="CJ603" s="8">
        <f t="shared" si="449"/>
        <v>0</v>
      </c>
      <c r="CK603" s="8">
        <f t="shared" si="450"/>
        <v>0</v>
      </c>
      <c r="CL603" s="8">
        <f t="shared" si="451"/>
        <v>0</v>
      </c>
      <c r="CM603" s="8">
        <f t="shared" si="452"/>
        <v>0</v>
      </c>
      <c r="CN603" s="8">
        <f t="shared" si="453"/>
        <v>0</v>
      </c>
      <c r="CO603" s="8">
        <f t="shared" si="454"/>
        <v>0</v>
      </c>
      <c r="CP603" s="8">
        <f t="shared" si="455"/>
        <v>0</v>
      </c>
      <c r="CQ603" s="8">
        <f t="shared" si="456"/>
        <v>0</v>
      </c>
      <c r="CR603" s="8">
        <f t="shared" si="457"/>
        <v>0</v>
      </c>
      <c r="CS603" s="8">
        <f t="shared" si="458"/>
        <v>0</v>
      </c>
      <c r="CT603" s="8">
        <f t="shared" si="463"/>
        <v>0</v>
      </c>
      <c r="CU603" s="8">
        <f t="shared" si="464"/>
        <v>0</v>
      </c>
      <c r="CV603" s="8">
        <f t="shared" si="465"/>
        <v>0</v>
      </c>
    </row>
    <row r="604" spans="1:100" ht="20.5" thickTop="1" thickBot="1" x14ac:dyDescent="0.5">
      <c r="A604" s="32"/>
      <c r="B604" s="10"/>
      <c r="C604" s="10"/>
      <c r="D604" s="11"/>
      <c r="E604" s="10"/>
      <c r="F604" s="10"/>
      <c r="G604" s="19"/>
      <c r="H604" s="19"/>
      <c r="I604" s="19"/>
      <c r="J604" s="19"/>
      <c r="K604" s="10"/>
      <c r="L604" s="10"/>
      <c r="M604" s="10"/>
      <c r="N604" s="10"/>
      <c r="O604" s="18"/>
      <c r="P604" s="18"/>
      <c r="Q604" s="21"/>
      <c r="R604" s="20"/>
      <c r="S604" s="16">
        <f t="shared" si="421"/>
        <v>0</v>
      </c>
      <c r="T604" s="11"/>
      <c r="AS604" s="31">
        <f t="shared" si="422"/>
        <v>0</v>
      </c>
      <c r="AT604" s="31">
        <f t="shared" si="423"/>
        <v>0</v>
      </c>
      <c r="AU604" s="31">
        <f t="shared" si="424"/>
        <v>0</v>
      </c>
      <c r="AV604" s="31">
        <f t="shared" si="425"/>
        <v>0</v>
      </c>
      <c r="AW604" s="31">
        <f t="shared" si="426"/>
        <v>0</v>
      </c>
      <c r="AX604" s="31">
        <f t="shared" si="427"/>
        <v>0</v>
      </c>
      <c r="AY604" s="31">
        <f t="shared" si="428"/>
        <v>0</v>
      </c>
      <c r="AZ604" s="31">
        <f t="shared" si="429"/>
        <v>0</v>
      </c>
      <c r="BA604" s="31">
        <f t="shared" si="430"/>
        <v>0</v>
      </c>
      <c r="BB604" s="31">
        <f t="shared" si="459"/>
        <v>0</v>
      </c>
      <c r="BM604" s="8">
        <f t="shared" si="460"/>
        <v>0</v>
      </c>
      <c r="BN604" s="8">
        <f t="shared" si="431"/>
        <v>0</v>
      </c>
      <c r="BO604" s="8">
        <f t="shared" si="432"/>
        <v>0</v>
      </c>
      <c r="BQ604" s="8">
        <f t="shared" si="433"/>
        <v>0</v>
      </c>
      <c r="BR604" s="63">
        <f t="shared" si="434"/>
        <v>0</v>
      </c>
      <c r="BS604" s="63">
        <f t="shared" si="461"/>
        <v>0</v>
      </c>
      <c r="BT604" s="63">
        <f t="shared" si="435"/>
        <v>0</v>
      </c>
      <c r="BU604" s="63">
        <f t="shared" si="436"/>
        <v>0</v>
      </c>
      <c r="BV604" s="57">
        <f t="shared" si="437"/>
        <v>0</v>
      </c>
      <c r="BW604" s="57">
        <f t="shared" si="438"/>
        <v>0</v>
      </c>
      <c r="BX604" s="57">
        <f t="shared" si="462"/>
        <v>0</v>
      </c>
      <c r="BY604" s="57">
        <f t="shared" si="420"/>
        <v>0</v>
      </c>
      <c r="BZ604" s="8">
        <f t="shared" si="439"/>
        <v>0</v>
      </c>
      <c r="CA604" s="8">
        <f t="shared" si="440"/>
        <v>0</v>
      </c>
      <c r="CB604" s="8">
        <f t="shared" si="441"/>
        <v>0</v>
      </c>
      <c r="CC604" s="8">
        <f t="shared" si="442"/>
        <v>0</v>
      </c>
      <c r="CD604" s="8">
        <f t="shared" si="443"/>
        <v>0</v>
      </c>
      <c r="CE604" s="8">
        <f t="shared" si="444"/>
        <v>0</v>
      </c>
      <c r="CF604" s="8">
        <f t="shared" si="445"/>
        <v>0</v>
      </c>
      <c r="CG604" s="8">
        <f t="shared" si="446"/>
        <v>0</v>
      </c>
      <c r="CH604" s="8">
        <f t="shared" si="447"/>
        <v>0</v>
      </c>
      <c r="CI604" s="8">
        <f t="shared" si="448"/>
        <v>0</v>
      </c>
      <c r="CJ604" s="8">
        <f t="shared" si="449"/>
        <v>0</v>
      </c>
      <c r="CK604" s="8">
        <f t="shared" si="450"/>
        <v>0</v>
      </c>
      <c r="CL604" s="8">
        <f t="shared" si="451"/>
        <v>0</v>
      </c>
      <c r="CM604" s="8">
        <f t="shared" si="452"/>
        <v>0</v>
      </c>
      <c r="CN604" s="8">
        <f t="shared" si="453"/>
        <v>0</v>
      </c>
      <c r="CO604" s="8">
        <f t="shared" si="454"/>
        <v>0</v>
      </c>
      <c r="CP604" s="8">
        <f t="shared" si="455"/>
        <v>0</v>
      </c>
      <c r="CQ604" s="8">
        <f t="shared" si="456"/>
        <v>0</v>
      </c>
      <c r="CR604" s="8">
        <f t="shared" si="457"/>
        <v>0</v>
      </c>
      <c r="CS604" s="8">
        <f t="shared" si="458"/>
        <v>0</v>
      </c>
      <c r="CT604" s="8">
        <f t="shared" si="463"/>
        <v>0</v>
      </c>
      <c r="CU604" s="8">
        <f t="shared" si="464"/>
        <v>0</v>
      </c>
      <c r="CV604" s="8">
        <f t="shared" si="465"/>
        <v>0</v>
      </c>
    </row>
    <row r="605" spans="1:100" ht="20.5" thickTop="1" thickBot="1" x14ac:dyDescent="0.5">
      <c r="A605" s="32"/>
      <c r="B605" s="10"/>
      <c r="C605" s="10"/>
      <c r="D605" s="11"/>
      <c r="E605" s="10"/>
      <c r="F605" s="10"/>
      <c r="G605" s="19"/>
      <c r="H605" s="19"/>
      <c r="I605" s="19"/>
      <c r="J605" s="19"/>
      <c r="K605" s="10"/>
      <c r="L605" s="10"/>
      <c r="M605" s="10"/>
      <c r="N605" s="10"/>
      <c r="O605" s="18"/>
      <c r="P605" s="18"/>
      <c r="Q605" s="21"/>
      <c r="R605" s="20"/>
      <c r="S605" s="16">
        <f t="shared" si="421"/>
        <v>0</v>
      </c>
      <c r="T605" s="11"/>
      <c r="AS605" s="31">
        <f t="shared" si="422"/>
        <v>0</v>
      </c>
      <c r="AT605" s="31">
        <f t="shared" si="423"/>
        <v>0</v>
      </c>
      <c r="AU605" s="31">
        <f t="shared" si="424"/>
        <v>0</v>
      </c>
      <c r="AV605" s="31">
        <f t="shared" si="425"/>
        <v>0</v>
      </c>
      <c r="AW605" s="31">
        <f t="shared" si="426"/>
        <v>0</v>
      </c>
      <c r="AX605" s="31">
        <f t="shared" si="427"/>
        <v>0</v>
      </c>
      <c r="AY605" s="31">
        <f t="shared" si="428"/>
        <v>0</v>
      </c>
      <c r="AZ605" s="31">
        <f t="shared" si="429"/>
        <v>0</v>
      </c>
      <c r="BA605" s="31">
        <f t="shared" si="430"/>
        <v>0</v>
      </c>
      <c r="BB605" s="31">
        <f t="shared" si="459"/>
        <v>0</v>
      </c>
      <c r="BM605" s="8">
        <f t="shared" si="460"/>
        <v>0</v>
      </c>
      <c r="BN605" s="8">
        <f t="shared" si="431"/>
        <v>0</v>
      </c>
      <c r="BO605" s="8">
        <f t="shared" si="432"/>
        <v>0</v>
      </c>
      <c r="BQ605" s="8">
        <f t="shared" si="433"/>
        <v>0</v>
      </c>
      <c r="BR605" s="63">
        <f t="shared" si="434"/>
        <v>0</v>
      </c>
      <c r="BS605" s="63">
        <f t="shared" si="461"/>
        <v>0</v>
      </c>
      <c r="BT605" s="63">
        <f t="shared" si="435"/>
        <v>0</v>
      </c>
      <c r="BU605" s="63">
        <f t="shared" si="436"/>
        <v>0</v>
      </c>
      <c r="BV605" s="57">
        <f t="shared" si="437"/>
        <v>0</v>
      </c>
      <c r="BW605" s="57">
        <f t="shared" si="438"/>
        <v>0</v>
      </c>
      <c r="BX605" s="57">
        <f t="shared" si="462"/>
        <v>0</v>
      </c>
      <c r="BY605" s="57">
        <f t="shared" ref="BY605:BY668" si="466">IF(AND(OR(N605="YES",N605="HDD",N605="EX PIPES"),K605=""),D605*(F605+G605),0)</f>
        <v>0</v>
      </c>
      <c r="BZ605" s="8">
        <f t="shared" si="439"/>
        <v>0</v>
      </c>
      <c r="CA605" s="8">
        <f t="shared" si="440"/>
        <v>0</v>
      </c>
      <c r="CB605" s="8">
        <f t="shared" si="441"/>
        <v>0</v>
      </c>
      <c r="CC605" s="8">
        <f t="shared" si="442"/>
        <v>0</v>
      </c>
      <c r="CD605" s="8">
        <f t="shared" si="443"/>
        <v>0</v>
      </c>
      <c r="CE605" s="8">
        <f t="shared" si="444"/>
        <v>0</v>
      </c>
      <c r="CF605" s="8">
        <f t="shared" si="445"/>
        <v>0</v>
      </c>
      <c r="CG605" s="8">
        <f t="shared" si="446"/>
        <v>0</v>
      </c>
      <c r="CH605" s="8">
        <f t="shared" si="447"/>
        <v>0</v>
      </c>
      <c r="CI605" s="8">
        <f t="shared" si="448"/>
        <v>0</v>
      </c>
      <c r="CJ605" s="8">
        <f t="shared" si="449"/>
        <v>0</v>
      </c>
      <c r="CK605" s="8">
        <f t="shared" si="450"/>
        <v>0</v>
      </c>
      <c r="CL605" s="8">
        <f t="shared" si="451"/>
        <v>0</v>
      </c>
      <c r="CM605" s="8">
        <f t="shared" si="452"/>
        <v>0</v>
      </c>
      <c r="CN605" s="8">
        <f t="shared" si="453"/>
        <v>0</v>
      </c>
      <c r="CO605" s="8">
        <f t="shared" si="454"/>
        <v>0</v>
      </c>
      <c r="CP605" s="8">
        <f t="shared" si="455"/>
        <v>0</v>
      </c>
      <c r="CQ605" s="8">
        <f t="shared" si="456"/>
        <v>0</v>
      </c>
      <c r="CR605" s="8">
        <f t="shared" si="457"/>
        <v>0</v>
      </c>
      <c r="CS605" s="8">
        <f t="shared" si="458"/>
        <v>0</v>
      </c>
      <c r="CT605" s="8">
        <f t="shared" si="463"/>
        <v>0</v>
      </c>
      <c r="CU605" s="8">
        <f t="shared" si="464"/>
        <v>0</v>
      </c>
      <c r="CV605" s="8">
        <f t="shared" si="465"/>
        <v>0</v>
      </c>
    </row>
    <row r="606" spans="1:100" ht="20.5" thickTop="1" thickBot="1" x14ac:dyDescent="0.5">
      <c r="A606" s="32"/>
      <c r="B606" s="10"/>
      <c r="C606" s="10"/>
      <c r="D606" s="11"/>
      <c r="E606" s="10"/>
      <c r="F606" s="10"/>
      <c r="G606" s="19"/>
      <c r="H606" s="19"/>
      <c r="I606" s="19"/>
      <c r="J606" s="19"/>
      <c r="K606" s="10"/>
      <c r="L606" s="10"/>
      <c r="M606" s="10"/>
      <c r="N606" s="10"/>
      <c r="O606" s="18"/>
      <c r="P606" s="18"/>
      <c r="Q606" s="21"/>
      <c r="R606" s="20"/>
      <c r="S606" s="16">
        <f t="shared" si="421"/>
        <v>0</v>
      </c>
      <c r="T606" s="11"/>
      <c r="AS606" s="31">
        <f t="shared" si="422"/>
        <v>0</v>
      </c>
      <c r="AT606" s="31">
        <f t="shared" si="423"/>
        <v>0</v>
      </c>
      <c r="AU606" s="31">
        <f t="shared" si="424"/>
        <v>0</v>
      </c>
      <c r="AV606" s="31">
        <f t="shared" si="425"/>
        <v>0</v>
      </c>
      <c r="AW606" s="31">
        <f t="shared" si="426"/>
        <v>0</v>
      </c>
      <c r="AX606" s="31">
        <f t="shared" si="427"/>
        <v>0</v>
      </c>
      <c r="AY606" s="31">
        <f t="shared" si="428"/>
        <v>0</v>
      </c>
      <c r="AZ606" s="31">
        <f t="shared" si="429"/>
        <v>0</v>
      </c>
      <c r="BA606" s="31">
        <f t="shared" si="430"/>
        <v>0</v>
      </c>
      <c r="BB606" s="31">
        <f t="shared" si="459"/>
        <v>0</v>
      </c>
      <c r="BM606" s="8">
        <f t="shared" si="460"/>
        <v>0</v>
      </c>
      <c r="BN606" s="8">
        <f t="shared" si="431"/>
        <v>0</v>
      </c>
      <c r="BO606" s="8">
        <f t="shared" si="432"/>
        <v>0</v>
      </c>
      <c r="BQ606" s="8">
        <f t="shared" si="433"/>
        <v>0</v>
      </c>
      <c r="BR606" s="63">
        <f t="shared" si="434"/>
        <v>0</v>
      </c>
      <c r="BS606" s="63">
        <f t="shared" si="461"/>
        <v>0</v>
      </c>
      <c r="BT606" s="63">
        <f t="shared" si="435"/>
        <v>0</v>
      </c>
      <c r="BU606" s="63">
        <f t="shared" si="436"/>
        <v>0</v>
      </c>
      <c r="BV606" s="57">
        <f t="shared" si="437"/>
        <v>0</v>
      </c>
      <c r="BW606" s="57">
        <f t="shared" si="438"/>
        <v>0</v>
      </c>
      <c r="BX606" s="57">
        <f t="shared" si="462"/>
        <v>0</v>
      </c>
      <c r="BY606" s="57">
        <f t="shared" si="466"/>
        <v>0</v>
      </c>
      <c r="BZ606" s="8">
        <f t="shared" si="439"/>
        <v>0</v>
      </c>
      <c r="CA606" s="8">
        <f t="shared" si="440"/>
        <v>0</v>
      </c>
      <c r="CB606" s="8">
        <f t="shared" si="441"/>
        <v>0</v>
      </c>
      <c r="CC606" s="8">
        <f t="shared" si="442"/>
        <v>0</v>
      </c>
      <c r="CD606" s="8">
        <f t="shared" si="443"/>
        <v>0</v>
      </c>
      <c r="CE606" s="8">
        <f t="shared" si="444"/>
        <v>0</v>
      </c>
      <c r="CF606" s="8">
        <f t="shared" si="445"/>
        <v>0</v>
      </c>
      <c r="CG606" s="8">
        <f t="shared" si="446"/>
        <v>0</v>
      </c>
      <c r="CH606" s="8">
        <f t="shared" si="447"/>
        <v>0</v>
      </c>
      <c r="CI606" s="8">
        <f t="shared" si="448"/>
        <v>0</v>
      </c>
      <c r="CJ606" s="8">
        <f t="shared" si="449"/>
        <v>0</v>
      </c>
      <c r="CK606" s="8">
        <f t="shared" si="450"/>
        <v>0</v>
      </c>
      <c r="CL606" s="8">
        <f t="shared" si="451"/>
        <v>0</v>
      </c>
      <c r="CM606" s="8">
        <f t="shared" si="452"/>
        <v>0</v>
      </c>
      <c r="CN606" s="8">
        <f t="shared" si="453"/>
        <v>0</v>
      </c>
      <c r="CO606" s="8">
        <f t="shared" si="454"/>
        <v>0</v>
      </c>
      <c r="CP606" s="8">
        <f t="shared" si="455"/>
        <v>0</v>
      </c>
      <c r="CQ606" s="8">
        <f t="shared" si="456"/>
        <v>0</v>
      </c>
      <c r="CR606" s="8">
        <f t="shared" si="457"/>
        <v>0</v>
      </c>
      <c r="CS606" s="8">
        <f t="shared" si="458"/>
        <v>0</v>
      </c>
      <c r="CT606" s="8">
        <f t="shared" si="463"/>
        <v>0</v>
      </c>
      <c r="CU606" s="8">
        <f t="shared" si="464"/>
        <v>0</v>
      </c>
      <c r="CV606" s="8">
        <f t="shared" si="465"/>
        <v>0</v>
      </c>
    </row>
    <row r="607" spans="1:100" ht="20.5" thickTop="1" thickBot="1" x14ac:dyDescent="0.5">
      <c r="A607" s="32"/>
      <c r="B607" s="10"/>
      <c r="C607" s="10"/>
      <c r="D607" s="11"/>
      <c r="E607" s="10"/>
      <c r="F607" s="10"/>
      <c r="G607" s="19"/>
      <c r="H607" s="19"/>
      <c r="I607" s="19"/>
      <c r="J607" s="19"/>
      <c r="K607" s="10"/>
      <c r="L607" s="10"/>
      <c r="M607" s="10"/>
      <c r="N607" s="10"/>
      <c r="O607" s="18"/>
      <c r="P607" s="18"/>
      <c r="Q607" s="21"/>
      <c r="R607" s="20"/>
      <c r="S607" s="16">
        <f t="shared" si="421"/>
        <v>0</v>
      </c>
      <c r="T607" s="11"/>
      <c r="AS607" s="31">
        <f t="shared" si="422"/>
        <v>0</v>
      </c>
      <c r="AT607" s="31">
        <f t="shared" si="423"/>
        <v>0</v>
      </c>
      <c r="AU607" s="31">
        <f t="shared" si="424"/>
        <v>0</v>
      </c>
      <c r="AV607" s="31">
        <f t="shared" si="425"/>
        <v>0</v>
      </c>
      <c r="AW607" s="31">
        <f t="shared" si="426"/>
        <v>0</v>
      </c>
      <c r="AX607" s="31">
        <f t="shared" si="427"/>
        <v>0</v>
      </c>
      <c r="AY607" s="31">
        <f t="shared" si="428"/>
        <v>0</v>
      </c>
      <c r="AZ607" s="31">
        <f t="shared" si="429"/>
        <v>0</v>
      </c>
      <c r="BA607" s="31">
        <f t="shared" si="430"/>
        <v>0</v>
      </c>
      <c r="BB607" s="31">
        <f t="shared" si="459"/>
        <v>0</v>
      </c>
      <c r="BM607" s="8">
        <f t="shared" si="460"/>
        <v>0</v>
      </c>
      <c r="BN607" s="8">
        <f t="shared" si="431"/>
        <v>0</v>
      </c>
      <c r="BO607" s="8">
        <f t="shared" si="432"/>
        <v>0</v>
      </c>
      <c r="BQ607" s="8">
        <f t="shared" si="433"/>
        <v>0</v>
      </c>
      <c r="BR607" s="63">
        <f t="shared" si="434"/>
        <v>0</v>
      </c>
      <c r="BS607" s="63">
        <f t="shared" si="461"/>
        <v>0</v>
      </c>
      <c r="BT607" s="63">
        <f t="shared" si="435"/>
        <v>0</v>
      </c>
      <c r="BU607" s="63">
        <f t="shared" si="436"/>
        <v>0</v>
      </c>
      <c r="BV607" s="57">
        <f t="shared" si="437"/>
        <v>0</v>
      </c>
      <c r="BW607" s="57">
        <f t="shared" si="438"/>
        <v>0</v>
      </c>
      <c r="BX607" s="57">
        <f t="shared" si="462"/>
        <v>0</v>
      </c>
      <c r="BY607" s="57">
        <f t="shared" si="466"/>
        <v>0</v>
      </c>
      <c r="BZ607" s="8">
        <f t="shared" si="439"/>
        <v>0</v>
      </c>
      <c r="CA607" s="8">
        <f t="shared" si="440"/>
        <v>0</v>
      </c>
      <c r="CB607" s="8">
        <f t="shared" si="441"/>
        <v>0</v>
      </c>
      <c r="CC607" s="8">
        <f t="shared" si="442"/>
        <v>0</v>
      </c>
      <c r="CD607" s="8">
        <f t="shared" si="443"/>
        <v>0</v>
      </c>
      <c r="CE607" s="8">
        <f t="shared" si="444"/>
        <v>0</v>
      </c>
      <c r="CF607" s="8">
        <f t="shared" si="445"/>
        <v>0</v>
      </c>
      <c r="CG607" s="8">
        <f t="shared" si="446"/>
        <v>0</v>
      </c>
      <c r="CH607" s="8">
        <f t="shared" si="447"/>
        <v>0</v>
      </c>
      <c r="CI607" s="8">
        <f t="shared" si="448"/>
        <v>0</v>
      </c>
      <c r="CJ607" s="8">
        <f t="shared" si="449"/>
        <v>0</v>
      </c>
      <c r="CK607" s="8">
        <f t="shared" si="450"/>
        <v>0</v>
      </c>
      <c r="CL607" s="8">
        <f t="shared" si="451"/>
        <v>0</v>
      </c>
      <c r="CM607" s="8">
        <f t="shared" si="452"/>
        <v>0</v>
      </c>
      <c r="CN607" s="8">
        <f t="shared" si="453"/>
        <v>0</v>
      </c>
      <c r="CO607" s="8">
        <f t="shared" si="454"/>
        <v>0</v>
      </c>
      <c r="CP607" s="8">
        <f t="shared" si="455"/>
        <v>0</v>
      </c>
      <c r="CQ607" s="8">
        <f t="shared" si="456"/>
        <v>0</v>
      </c>
      <c r="CR607" s="8">
        <f t="shared" si="457"/>
        <v>0</v>
      </c>
      <c r="CS607" s="8">
        <f t="shared" si="458"/>
        <v>0</v>
      </c>
      <c r="CT607" s="8">
        <f t="shared" si="463"/>
        <v>0</v>
      </c>
      <c r="CU607" s="8">
        <f t="shared" si="464"/>
        <v>0</v>
      </c>
      <c r="CV607" s="8">
        <f t="shared" si="465"/>
        <v>0</v>
      </c>
    </row>
    <row r="608" spans="1:100" ht="20.5" thickTop="1" thickBot="1" x14ac:dyDescent="0.5">
      <c r="A608" s="32"/>
      <c r="B608" s="10"/>
      <c r="C608" s="10"/>
      <c r="D608" s="11"/>
      <c r="E608" s="10"/>
      <c r="F608" s="10"/>
      <c r="G608" s="19"/>
      <c r="H608" s="19"/>
      <c r="I608" s="19"/>
      <c r="J608" s="19"/>
      <c r="K608" s="10"/>
      <c r="L608" s="10"/>
      <c r="M608" s="10"/>
      <c r="N608" s="10"/>
      <c r="O608" s="18"/>
      <c r="P608" s="18"/>
      <c r="Q608" s="21"/>
      <c r="R608" s="20"/>
      <c r="S608" s="16">
        <f t="shared" si="421"/>
        <v>0</v>
      </c>
      <c r="T608" s="11"/>
      <c r="AS608" s="31">
        <f t="shared" si="422"/>
        <v>0</v>
      </c>
      <c r="AT608" s="31">
        <f t="shared" si="423"/>
        <v>0</v>
      </c>
      <c r="AU608" s="31">
        <f t="shared" si="424"/>
        <v>0</v>
      </c>
      <c r="AV608" s="31">
        <f t="shared" si="425"/>
        <v>0</v>
      </c>
      <c r="AW608" s="31">
        <f t="shared" si="426"/>
        <v>0</v>
      </c>
      <c r="AX608" s="31">
        <f t="shared" si="427"/>
        <v>0</v>
      </c>
      <c r="AY608" s="31">
        <f t="shared" si="428"/>
        <v>0</v>
      </c>
      <c r="AZ608" s="31">
        <f t="shared" si="429"/>
        <v>0</v>
      </c>
      <c r="BA608" s="31">
        <f t="shared" si="430"/>
        <v>0</v>
      </c>
      <c r="BB608" s="31">
        <f t="shared" si="459"/>
        <v>0</v>
      </c>
      <c r="BM608" s="8">
        <f t="shared" si="460"/>
        <v>0</v>
      </c>
      <c r="BN608" s="8">
        <f t="shared" si="431"/>
        <v>0</v>
      </c>
      <c r="BO608" s="8">
        <f t="shared" si="432"/>
        <v>0</v>
      </c>
      <c r="BQ608" s="8">
        <f t="shared" si="433"/>
        <v>0</v>
      </c>
      <c r="BR608" s="63">
        <f t="shared" si="434"/>
        <v>0</v>
      </c>
      <c r="BS608" s="63">
        <f t="shared" si="461"/>
        <v>0</v>
      </c>
      <c r="BT608" s="63">
        <f t="shared" si="435"/>
        <v>0</v>
      </c>
      <c r="BU608" s="63">
        <f t="shared" si="436"/>
        <v>0</v>
      </c>
      <c r="BV608" s="57">
        <f t="shared" si="437"/>
        <v>0</v>
      </c>
      <c r="BW608" s="57">
        <f t="shared" si="438"/>
        <v>0</v>
      </c>
      <c r="BX608" s="57">
        <f t="shared" si="462"/>
        <v>0</v>
      </c>
      <c r="BY608" s="57">
        <f t="shared" si="466"/>
        <v>0</v>
      </c>
      <c r="BZ608" s="8">
        <f t="shared" si="439"/>
        <v>0</v>
      </c>
      <c r="CA608" s="8">
        <f t="shared" si="440"/>
        <v>0</v>
      </c>
      <c r="CB608" s="8">
        <f t="shared" si="441"/>
        <v>0</v>
      </c>
      <c r="CC608" s="8">
        <f t="shared" si="442"/>
        <v>0</v>
      </c>
      <c r="CD608" s="8">
        <f t="shared" si="443"/>
        <v>0</v>
      </c>
      <c r="CE608" s="8">
        <f t="shared" si="444"/>
        <v>0</v>
      </c>
      <c r="CF608" s="8">
        <f t="shared" si="445"/>
        <v>0</v>
      </c>
      <c r="CG608" s="8">
        <f t="shared" si="446"/>
        <v>0</v>
      </c>
      <c r="CH608" s="8">
        <f t="shared" si="447"/>
        <v>0</v>
      </c>
      <c r="CI608" s="8">
        <f t="shared" si="448"/>
        <v>0</v>
      </c>
      <c r="CJ608" s="8">
        <f t="shared" si="449"/>
        <v>0</v>
      </c>
      <c r="CK608" s="8">
        <f t="shared" si="450"/>
        <v>0</v>
      </c>
      <c r="CL608" s="8">
        <f t="shared" si="451"/>
        <v>0</v>
      </c>
      <c r="CM608" s="8">
        <f t="shared" si="452"/>
        <v>0</v>
      </c>
      <c r="CN608" s="8">
        <f t="shared" si="453"/>
        <v>0</v>
      </c>
      <c r="CO608" s="8">
        <f t="shared" si="454"/>
        <v>0</v>
      </c>
      <c r="CP608" s="8">
        <f t="shared" si="455"/>
        <v>0</v>
      </c>
      <c r="CQ608" s="8">
        <f t="shared" si="456"/>
        <v>0</v>
      </c>
      <c r="CR608" s="8">
        <f t="shared" si="457"/>
        <v>0</v>
      </c>
      <c r="CS608" s="8">
        <f t="shared" si="458"/>
        <v>0</v>
      </c>
      <c r="CT608" s="8">
        <f t="shared" si="463"/>
        <v>0</v>
      </c>
      <c r="CU608" s="8">
        <f t="shared" si="464"/>
        <v>0</v>
      </c>
      <c r="CV608" s="8">
        <f t="shared" si="465"/>
        <v>0</v>
      </c>
    </row>
    <row r="609" spans="1:100" ht="20.5" thickTop="1" thickBot="1" x14ac:dyDescent="0.5">
      <c r="A609" s="32"/>
      <c r="B609" s="10"/>
      <c r="C609" s="10"/>
      <c r="D609" s="11"/>
      <c r="E609" s="10"/>
      <c r="F609" s="10"/>
      <c r="G609" s="19"/>
      <c r="H609" s="19"/>
      <c r="I609" s="19"/>
      <c r="J609" s="19"/>
      <c r="K609" s="10"/>
      <c r="L609" s="10"/>
      <c r="M609" s="10"/>
      <c r="N609" s="10"/>
      <c r="O609" s="18"/>
      <c r="P609" s="18"/>
      <c r="Q609" s="21"/>
      <c r="R609" s="20"/>
      <c r="S609" s="16">
        <f t="shared" si="421"/>
        <v>0</v>
      </c>
      <c r="T609" s="11"/>
      <c r="AS609" s="31">
        <f t="shared" si="422"/>
        <v>0</v>
      </c>
      <c r="AT609" s="31">
        <f t="shared" si="423"/>
        <v>0</v>
      </c>
      <c r="AU609" s="31">
        <f t="shared" si="424"/>
        <v>0</v>
      </c>
      <c r="AV609" s="31">
        <f t="shared" si="425"/>
        <v>0</v>
      </c>
      <c r="AW609" s="31">
        <f t="shared" si="426"/>
        <v>0</v>
      </c>
      <c r="AX609" s="31">
        <f t="shared" si="427"/>
        <v>0</v>
      </c>
      <c r="AY609" s="31">
        <f t="shared" si="428"/>
        <v>0</v>
      </c>
      <c r="AZ609" s="31">
        <f t="shared" si="429"/>
        <v>0</v>
      </c>
      <c r="BA609" s="31">
        <f t="shared" si="430"/>
        <v>0</v>
      </c>
      <c r="BB609" s="31">
        <f t="shared" si="459"/>
        <v>0</v>
      </c>
      <c r="BM609" s="8">
        <f t="shared" si="460"/>
        <v>0</v>
      </c>
      <c r="BN609" s="8">
        <f t="shared" si="431"/>
        <v>0</v>
      </c>
      <c r="BO609" s="8">
        <f t="shared" si="432"/>
        <v>0</v>
      </c>
      <c r="BQ609" s="8">
        <f t="shared" si="433"/>
        <v>0</v>
      </c>
      <c r="BR609" s="63">
        <f t="shared" si="434"/>
        <v>0</v>
      </c>
      <c r="BS609" s="63">
        <f t="shared" si="461"/>
        <v>0</v>
      </c>
      <c r="BT609" s="63">
        <f t="shared" si="435"/>
        <v>0</v>
      </c>
      <c r="BU609" s="63">
        <f t="shared" si="436"/>
        <v>0</v>
      </c>
      <c r="BV609" s="57">
        <f t="shared" si="437"/>
        <v>0</v>
      </c>
      <c r="BW609" s="57">
        <f t="shared" si="438"/>
        <v>0</v>
      </c>
      <c r="BX609" s="57">
        <f t="shared" si="462"/>
        <v>0</v>
      </c>
      <c r="BY609" s="57">
        <f t="shared" si="466"/>
        <v>0</v>
      </c>
      <c r="BZ609" s="8">
        <f t="shared" si="439"/>
        <v>0</v>
      </c>
      <c r="CA609" s="8">
        <f t="shared" si="440"/>
        <v>0</v>
      </c>
      <c r="CB609" s="8">
        <f t="shared" si="441"/>
        <v>0</v>
      </c>
      <c r="CC609" s="8">
        <f t="shared" si="442"/>
        <v>0</v>
      </c>
      <c r="CD609" s="8">
        <f t="shared" si="443"/>
        <v>0</v>
      </c>
      <c r="CE609" s="8">
        <f t="shared" si="444"/>
        <v>0</v>
      </c>
      <c r="CF609" s="8">
        <f t="shared" si="445"/>
        <v>0</v>
      </c>
      <c r="CG609" s="8">
        <f t="shared" si="446"/>
        <v>0</v>
      </c>
      <c r="CH609" s="8">
        <f t="shared" si="447"/>
        <v>0</v>
      </c>
      <c r="CI609" s="8">
        <f t="shared" si="448"/>
        <v>0</v>
      </c>
      <c r="CJ609" s="8">
        <f t="shared" si="449"/>
        <v>0</v>
      </c>
      <c r="CK609" s="8">
        <f t="shared" si="450"/>
        <v>0</v>
      </c>
      <c r="CL609" s="8">
        <f t="shared" si="451"/>
        <v>0</v>
      </c>
      <c r="CM609" s="8">
        <f t="shared" si="452"/>
        <v>0</v>
      </c>
      <c r="CN609" s="8">
        <f t="shared" si="453"/>
        <v>0</v>
      </c>
      <c r="CO609" s="8">
        <f t="shared" si="454"/>
        <v>0</v>
      </c>
      <c r="CP609" s="8">
        <f t="shared" si="455"/>
        <v>0</v>
      </c>
      <c r="CQ609" s="8">
        <f t="shared" si="456"/>
        <v>0</v>
      </c>
      <c r="CR609" s="8">
        <f t="shared" si="457"/>
        <v>0</v>
      </c>
      <c r="CS609" s="8">
        <f t="shared" si="458"/>
        <v>0</v>
      </c>
      <c r="CT609" s="8">
        <f t="shared" si="463"/>
        <v>0</v>
      </c>
      <c r="CU609" s="8">
        <f t="shared" si="464"/>
        <v>0</v>
      </c>
      <c r="CV609" s="8">
        <f t="shared" si="465"/>
        <v>0</v>
      </c>
    </row>
    <row r="610" spans="1:100" ht="20.5" thickTop="1" thickBot="1" x14ac:dyDescent="0.5">
      <c r="A610" s="32"/>
      <c r="B610" s="10"/>
      <c r="C610" s="10"/>
      <c r="D610" s="11"/>
      <c r="E610" s="10"/>
      <c r="F610" s="10"/>
      <c r="G610" s="19"/>
      <c r="H610" s="19"/>
      <c r="I610" s="19"/>
      <c r="J610" s="19"/>
      <c r="K610" s="10"/>
      <c r="L610" s="10"/>
      <c r="M610" s="10"/>
      <c r="N610" s="10"/>
      <c r="O610" s="18"/>
      <c r="P610" s="18"/>
      <c r="Q610" s="21"/>
      <c r="R610" s="20"/>
      <c r="S610" s="16">
        <f t="shared" si="421"/>
        <v>0</v>
      </c>
      <c r="T610" s="11"/>
      <c r="AS610" s="31">
        <f t="shared" si="422"/>
        <v>0</v>
      </c>
      <c r="AT610" s="31">
        <f t="shared" si="423"/>
        <v>0</v>
      </c>
      <c r="AU610" s="31">
        <f t="shared" si="424"/>
        <v>0</v>
      </c>
      <c r="AV610" s="31">
        <f t="shared" si="425"/>
        <v>0</v>
      </c>
      <c r="AW610" s="31">
        <f t="shared" si="426"/>
        <v>0</v>
      </c>
      <c r="AX610" s="31">
        <f t="shared" si="427"/>
        <v>0</v>
      </c>
      <c r="AY610" s="31">
        <f t="shared" si="428"/>
        <v>0</v>
      </c>
      <c r="AZ610" s="31">
        <f t="shared" si="429"/>
        <v>0</v>
      </c>
      <c r="BA610" s="31">
        <f t="shared" si="430"/>
        <v>0</v>
      </c>
      <c r="BB610" s="31">
        <f t="shared" si="459"/>
        <v>0</v>
      </c>
      <c r="BM610" s="8">
        <f t="shared" si="460"/>
        <v>0</v>
      </c>
      <c r="BN610" s="8">
        <f t="shared" si="431"/>
        <v>0</v>
      </c>
      <c r="BO610" s="8">
        <f t="shared" si="432"/>
        <v>0</v>
      </c>
      <c r="BQ610" s="8">
        <f t="shared" si="433"/>
        <v>0</v>
      </c>
      <c r="BR610" s="63">
        <f t="shared" si="434"/>
        <v>0</v>
      </c>
      <c r="BS610" s="63">
        <f t="shared" si="461"/>
        <v>0</v>
      </c>
      <c r="BT610" s="63">
        <f t="shared" si="435"/>
        <v>0</v>
      </c>
      <c r="BU610" s="63">
        <f t="shared" si="436"/>
        <v>0</v>
      </c>
      <c r="BV610" s="57">
        <f t="shared" si="437"/>
        <v>0</v>
      </c>
      <c r="BW610" s="57">
        <f t="shared" si="438"/>
        <v>0</v>
      </c>
      <c r="BX610" s="57">
        <f t="shared" si="462"/>
        <v>0</v>
      </c>
      <c r="BY610" s="57">
        <f t="shared" si="466"/>
        <v>0</v>
      </c>
      <c r="BZ610" s="8">
        <f t="shared" si="439"/>
        <v>0</v>
      </c>
      <c r="CA610" s="8">
        <f t="shared" si="440"/>
        <v>0</v>
      </c>
      <c r="CB610" s="8">
        <f t="shared" si="441"/>
        <v>0</v>
      </c>
      <c r="CC610" s="8">
        <f t="shared" si="442"/>
        <v>0</v>
      </c>
      <c r="CD610" s="8">
        <f t="shared" si="443"/>
        <v>0</v>
      </c>
      <c r="CE610" s="8">
        <f t="shared" si="444"/>
        <v>0</v>
      </c>
      <c r="CF610" s="8">
        <f t="shared" si="445"/>
        <v>0</v>
      </c>
      <c r="CG610" s="8">
        <f t="shared" si="446"/>
        <v>0</v>
      </c>
      <c r="CH610" s="8">
        <f t="shared" si="447"/>
        <v>0</v>
      </c>
      <c r="CI610" s="8">
        <f t="shared" si="448"/>
        <v>0</v>
      </c>
      <c r="CJ610" s="8">
        <f t="shared" si="449"/>
        <v>0</v>
      </c>
      <c r="CK610" s="8">
        <f t="shared" si="450"/>
        <v>0</v>
      </c>
      <c r="CL610" s="8">
        <f t="shared" si="451"/>
        <v>0</v>
      </c>
      <c r="CM610" s="8">
        <f t="shared" si="452"/>
        <v>0</v>
      </c>
      <c r="CN610" s="8">
        <f t="shared" si="453"/>
        <v>0</v>
      </c>
      <c r="CO610" s="8">
        <f t="shared" si="454"/>
        <v>0</v>
      </c>
      <c r="CP610" s="8">
        <f t="shared" si="455"/>
        <v>0</v>
      </c>
      <c r="CQ610" s="8">
        <f t="shared" si="456"/>
        <v>0</v>
      </c>
      <c r="CR610" s="8">
        <f t="shared" si="457"/>
        <v>0</v>
      </c>
      <c r="CS610" s="8">
        <f t="shared" si="458"/>
        <v>0</v>
      </c>
      <c r="CT610" s="8">
        <f t="shared" si="463"/>
        <v>0</v>
      </c>
      <c r="CU610" s="8">
        <f t="shared" si="464"/>
        <v>0</v>
      </c>
      <c r="CV610" s="8">
        <f t="shared" si="465"/>
        <v>0</v>
      </c>
    </row>
    <row r="611" spans="1:100" ht="20.5" thickTop="1" thickBot="1" x14ac:dyDescent="0.5">
      <c r="A611" s="32"/>
      <c r="B611" s="10"/>
      <c r="C611" s="10"/>
      <c r="D611" s="11"/>
      <c r="E611" s="10"/>
      <c r="F611" s="10"/>
      <c r="G611" s="19"/>
      <c r="H611" s="19"/>
      <c r="I611" s="19"/>
      <c r="J611" s="19"/>
      <c r="K611" s="10"/>
      <c r="L611" s="10"/>
      <c r="M611" s="10"/>
      <c r="N611" s="10"/>
      <c r="O611" s="18"/>
      <c r="P611" s="18"/>
      <c r="Q611" s="21"/>
      <c r="R611" s="20"/>
      <c r="S611" s="16">
        <f t="shared" si="421"/>
        <v>0</v>
      </c>
      <c r="T611" s="11"/>
      <c r="AS611" s="31">
        <f t="shared" si="422"/>
        <v>0</v>
      </c>
      <c r="AT611" s="31">
        <f t="shared" si="423"/>
        <v>0</v>
      </c>
      <c r="AU611" s="31">
        <f t="shared" si="424"/>
        <v>0</v>
      </c>
      <c r="AV611" s="31">
        <f t="shared" si="425"/>
        <v>0</v>
      </c>
      <c r="AW611" s="31">
        <f t="shared" si="426"/>
        <v>0</v>
      </c>
      <c r="AX611" s="31">
        <f t="shared" si="427"/>
        <v>0</v>
      </c>
      <c r="AY611" s="31">
        <f t="shared" si="428"/>
        <v>0</v>
      </c>
      <c r="AZ611" s="31">
        <f t="shared" si="429"/>
        <v>0</v>
      </c>
      <c r="BA611" s="31">
        <f t="shared" si="430"/>
        <v>0</v>
      </c>
      <c r="BB611" s="31">
        <f t="shared" si="459"/>
        <v>0</v>
      </c>
      <c r="BM611" s="8">
        <f t="shared" si="460"/>
        <v>0</v>
      </c>
      <c r="BN611" s="8">
        <f t="shared" si="431"/>
        <v>0</v>
      </c>
      <c r="BO611" s="8">
        <f t="shared" si="432"/>
        <v>0</v>
      </c>
      <c r="BQ611" s="8">
        <f t="shared" si="433"/>
        <v>0</v>
      </c>
      <c r="BR611" s="63">
        <f t="shared" si="434"/>
        <v>0</v>
      </c>
      <c r="BS611" s="63">
        <f t="shared" si="461"/>
        <v>0</v>
      </c>
      <c r="BT611" s="63">
        <f t="shared" si="435"/>
        <v>0</v>
      </c>
      <c r="BU611" s="63">
        <f t="shared" si="436"/>
        <v>0</v>
      </c>
      <c r="BV611" s="57">
        <f t="shared" si="437"/>
        <v>0</v>
      </c>
      <c r="BW611" s="57">
        <f t="shared" si="438"/>
        <v>0</v>
      </c>
      <c r="BX611" s="57">
        <f t="shared" si="462"/>
        <v>0</v>
      </c>
      <c r="BY611" s="57">
        <f t="shared" si="466"/>
        <v>0</v>
      </c>
      <c r="BZ611" s="8">
        <f t="shared" si="439"/>
        <v>0</v>
      </c>
      <c r="CA611" s="8">
        <f t="shared" si="440"/>
        <v>0</v>
      </c>
      <c r="CB611" s="8">
        <f t="shared" si="441"/>
        <v>0</v>
      </c>
      <c r="CC611" s="8">
        <f t="shared" si="442"/>
        <v>0</v>
      </c>
      <c r="CD611" s="8">
        <f t="shared" si="443"/>
        <v>0</v>
      </c>
      <c r="CE611" s="8">
        <f t="shared" si="444"/>
        <v>0</v>
      </c>
      <c r="CF611" s="8">
        <f t="shared" si="445"/>
        <v>0</v>
      </c>
      <c r="CG611" s="8">
        <f t="shared" si="446"/>
        <v>0</v>
      </c>
      <c r="CH611" s="8">
        <f t="shared" si="447"/>
        <v>0</v>
      </c>
      <c r="CI611" s="8">
        <f t="shared" si="448"/>
        <v>0</v>
      </c>
      <c r="CJ611" s="8">
        <f t="shared" si="449"/>
        <v>0</v>
      </c>
      <c r="CK611" s="8">
        <f t="shared" si="450"/>
        <v>0</v>
      </c>
      <c r="CL611" s="8">
        <f t="shared" si="451"/>
        <v>0</v>
      </c>
      <c r="CM611" s="8">
        <f t="shared" si="452"/>
        <v>0</v>
      </c>
      <c r="CN611" s="8">
        <f t="shared" si="453"/>
        <v>0</v>
      </c>
      <c r="CO611" s="8">
        <f t="shared" si="454"/>
        <v>0</v>
      </c>
      <c r="CP611" s="8">
        <f t="shared" si="455"/>
        <v>0</v>
      </c>
      <c r="CQ611" s="8">
        <f t="shared" si="456"/>
        <v>0</v>
      </c>
      <c r="CR611" s="8">
        <f t="shared" si="457"/>
        <v>0</v>
      </c>
      <c r="CS611" s="8">
        <f t="shared" si="458"/>
        <v>0</v>
      </c>
      <c r="CT611" s="8">
        <f t="shared" si="463"/>
        <v>0</v>
      </c>
      <c r="CU611" s="8">
        <f t="shared" si="464"/>
        <v>0</v>
      </c>
      <c r="CV611" s="8">
        <f t="shared" si="465"/>
        <v>0</v>
      </c>
    </row>
    <row r="612" spans="1:100" ht="20.5" thickTop="1" thickBot="1" x14ac:dyDescent="0.5">
      <c r="A612" s="32"/>
      <c r="B612" s="10"/>
      <c r="C612" s="10"/>
      <c r="D612" s="11"/>
      <c r="E612" s="10"/>
      <c r="F612" s="10"/>
      <c r="G612" s="19"/>
      <c r="H612" s="19"/>
      <c r="I612" s="19"/>
      <c r="J612" s="19"/>
      <c r="K612" s="10"/>
      <c r="L612" s="10"/>
      <c r="M612" s="10"/>
      <c r="N612" s="10"/>
      <c r="O612" s="18"/>
      <c r="P612" s="18"/>
      <c r="Q612" s="21"/>
      <c r="R612" s="20"/>
      <c r="S612" s="16">
        <f t="shared" si="421"/>
        <v>0</v>
      </c>
      <c r="T612" s="11"/>
      <c r="AS612" s="31">
        <f t="shared" si="422"/>
        <v>0</v>
      </c>
      <c r="AT612" s="31">
        <f t="shared" si="423"/>
        <v>0</v>
      </c>
      <c r="AU612" s="31">
        <f t="shared" si="424"/>
        <v>0</v>
      </c>
      <c r="AV612" s="31">
        <f t="shared" si="425"/>
        <v>0</v>
      </c>
      <c r="AW612" s="31">
        <f t="shared" si="426"/>
        <v>0</v>
      </c>
      <c r="AX612" s="31">
        <f t="shared" si="427"/>
        <v>0</v>
      </c>
      <c r="AY612" s="31">
        <f t="shared" si="428"/>
        <v>0</v>
      </c>
      <c r="AZ612" s="31">
        <f t="shared" si="429"/>
        <v>0</v>
      </c>
      <c r="BA612" s="31">
        <f t="shared" si="430"/>
        <v>0</v>
      </c>
      <c r="BB612" s="31">
        <f t="shared" si="459"/>
        <v>0</v>
      </c>
      <c r="BM612" s="8">
        <f t="shared" si="460"/>
        <v>0</v>
      </c>
      <c r="BN612" s="8">
        <f t="shared" si="431"/>
        <v>0</v>
      </c>
      <c r="BO612" s="8">
        <f t="shared" si="432"/>
        <v>0</v>
      </c>
      <c r="BQ612" s="8">
        <f t="shared" si="433"/>
        <v>0</v>
      </c>
      <c r="BR612" s="63">
        <f t="shared" si="434"/>
        <v>0</v>
      </c>
      <c r="BS612" s="63">
        <f t="shared" si="461"/>
        <v>0</v>
      </c>
      <c r="BT612" s="63">
        <f t="shared" si="435"/>
        <v>0</v>
      </c>
      <c r="BU612" s="63">
        <f t="shared" si="436"/>
        <v>0</v>
      </c>
      <c r="BV612" s="57">
        <f t="shared" si="437"/>
        <v>0</v>
      </c>
      <c r="BW612" s="57">
        <f t="shared" si="438"/>
        <v>0</v>
      </c>
      <c r="BX612" s="57">
        <f t="shared" si="462"/>
        <v>0</v>
      </c>
      <c r="BY612" s="57">
        <f t="shared" si="466"/>
        <v>0</v>
      </c>
      <c r="BZ612" s="8">
        <f t="shared" si="439"/>
        <v>0</v>
      </c>
      <c r="CA612" s="8">
        <f t="shared" si="440"/>
        <v>0</v>
      </c>
      <c r="CB612" s="8">
        <f t="shared" si="441"/>
        <v>0</v>
      </c>
      <c r="CC612" s="8">
        <f t="shared" si="442"/>
        <v>0</v>
      </c>
      <c r="CD612" s="8">
        <f t="shared" si="443"/>
        <v>0</v>
      </c>
      <c r="CE612" s="8">
        <f t="shared" si="444"/>
        <v>0</v>
      </c>
      <c r="CF612" s="8">
        <f t="shared" si="445"/>
        <v>0</v>
      </c>
      <c r="CG612" s="8">
        <f t="shared" si="446"/>
        <v>0</v>
      </c>
      <c r="CH612" s="8">
        <f t="shared" si="447"/>
        <v>0</v>
      </c>
      <c r="CI612" s="8">
        <f t="shared" si="448"/>
        <v>0</v>
      </c>
      <c r="CJ612" s="8">
        <f t="shared" si="449"/>
        <v>0</v>
      </c>
      <c r="CK612" s="8">
        <f t="shared" si="450"/>
        <v>0</v>
      </c>
      <c r="CL612" s="8">
        <f t="shared" si="451"/>
        <v>0</v>
      </c>
      <c r="CM612" s="8">
        <f t="shared" si="452"/>
        <v>0</v>
      </c>
      <c r="CN612" s="8">
        <f t="shared" si="453"/>
        <v>0</v>
      </c>
      <c r="CO612" s="8">
        <f t="shared" si="454"/>
        <v>0</v>
      </c>
      <c r="CP612" s="8">
        <f t="shared" si="455"/>
        <v>0</v>
      </c>
      <c r="CQ612" s="8">
        <f t="shared" si="456"/>
        <v>0</v>
      </c>
      <c r="CR612" s="8">
        <f t="shared" si="457"/>
        <v>0</v>
      </c>
      <c r="CS612" s="8">
        <f t="shared" si="458"/>
        <v>0</v>
      </c>
      <c r="CT612" s="8">
        <f t="shared" si="463"/>
        <v>0</v>
      </c>
      <c r="CU612" s="8">
        <f t="shared" si="464"/>
        <v>0</v>
      </c>
      <c r="CV612" s="8">
        <f t="shared" si="465"/>
        <v>0</v>
      </c>
    </row>
    <row r="613" spans="1:100" ht="20.5" thickTop="1" thickBot="1" x14ac:dyDescent="0.5">
      <c r="A613" s="32"/>
      <c r="B613" s="10"/>
      <c r="C613" s="10"/>
      <c r="D613" s="11"/>
      <c r="E613" s="10"/>
      <c r="F613" s="10"/>
      <c r="G613" s="19"/>
      <c r="H613" s="19"/>
      <c r="I613" s="19"/>
      <c r="J613" s="19"/>
      <c r="K613" s="10"/>
      <c r="L613" s="10"/>
      <c r="M613" s="10"/>
      <c r="N613" s="10"/>
      <c r="O613" s="18"/>
      <c r="P613" s="18"/>
      <c r="Q613" s="21"/>
      <c r="R613" s="20"/>
      <c r="S613" s="16">
        <f t="shared" si="421"/>
        <v>0</v>
      </c>
      <c r="T613" s="11"/>
      <c r="AS613" s="31">
        <f t="shared" si="422"/>
        <v>0</v>
      </c>
      <c r="AT613" s="31">
        <f t="shared" si="423"/>
        <v>0</v>
      </c>
      <c r="AU613" s="31">
        <f t="shared" si="424"/>
        <v>0</v>
      </c>
      <c r="AV613" s="31">
        <f t="shared" si="425"/>
        <v>0</v>
      </c>
      <c r="AW613" s="31">
        <f t="shared" si="426"/>
        <v>0</v>
      </c>
      <c r="AX613" s="31">
        <f t="shared" si="427"/>
        <v>0</v>
      </c>
      <c r="AY613" s="31">
        <f t="shared" si="428"/>
        <v>0</v>
      </c>
      <c r="AZ613" s="31">
        <f t="shared" si="429"/>
        <v>0</v>
      </c>
      <c r="BA613" s="31">
        <f t="shared" si="430"/>
        <v>0</v>
      </c>
      <c r="BB613" s="31">
        <f t="shared" si="459"/>
        <v>0</v>
      </c>
      <c r="BM613" s="8">
        <f t="shared" si="460"/>
        <v>0</v>
      </c>
      <c r="BN613" s="8">
        <f t="shared" si="431"/>
        <v>0</v>
      </c>
      <c r="BO613" s="8">
        <f t="shared" si="432"/>
        <v>0</v>
      </c>
      <c r="BQ613" s="8">
        <f t="shared" si="433"/>
        <v>0</v>
      </c>
      <c r="BR613" s="63">
        <f t="shared" si="434"/>
        <v>0</v>
      </c>
      <c r="BS613" s="63">
        <f t="shared" si="461"/>
        <v>0</v>
      </c>
      <c r="BT613" s="63">
        <f t="shared" si="435"/>
        <v>0</v>
      </c>
      <c r="BU613" s="63">
        <f t="shared" si="436"/>
        <v>0</v>
      </c>
      <c r="BV613" s="57">
        <f t="shared" si="437"/>
        <v>0</v>
      </c>
      <c r="BW613" s="57">
        <f t="shared" si="438"/>
        <v>0</v>
      </c>
      <c r="BX613" s="57">
        <f t="shared" si="462"/>
        <v>0</v>
      </c>
      <c r="BY613" s="57">
        <f t="shared" si="466"/>
        <v>0</v>
      </c>
      <c r="BZ613" s="8">
        <f t="shared" si="439"/>
        <v>0</v>
      </c>
      <c r="CA613" s="8">
        <f t="shared" si="440"/>
        <v>0</v>
      </c>
      <c r="CB613" s="8">
        <f t="shared" si="441"/>
        <v>0</v>
      </c>
      <c r="CC613" s="8">
        <f t="shared" si="442"/>
        <v>0</v>
      </c>
      <c r="CD613" s="8">
        <f t="shared" si="443"/>
        <v>0</v>
      </c>
      <c r="CE613" s="8">
        <f t="shared" si="444"/>
        <v>0</v>
      </c>
      <c r="CF613" s="8">
        <f t="shared" si="445"/>
        <v>0</v>
      </c>
      <c r="CG613" s="8">
        <f t="shared" si="446"/>
        <v>0</v>
      </c>
      <c r="CH613" s="8">
        <f t="shared" si="447"/>
        <v>0</v>
      </c>
      <c r="CI613" s="8">
        <f t="shared" si="448"/>
        <v>0</v>
      </c>
      <c r="CJ613" s="8">
        <f t="shared" si="449"/>
        <v>0</v>
      </c>
      <c r="CK613" s="8">
        <f t="shared" si="450"/>
        <v>0</v>
      </c>
      <c r="CL613" s="8">
        <f t="shared" si="451"/>
        <v>0</v>
      </c>
      <c r="CM613" s="8">
        <f t="shared" si="452"/>
        <v>0</v>
      </c>
      <c r="CN613" s="8">
        <f t="shared" si="453"/>
        <v>0</v>
      </c>
      <c r="CO613" s="8">
        <f t="shared" si="454"/>
        <v>0</v>
      </c>
      <c r="CP613" s="8">
        <f t="shared" si="455"/>
        <v>0</v>
      </c>
      <c r="CQ613" s="8">
        <f t="shared" si="456"/>
        <v>0</v>
      </c>
      <c r="CR613" s="8">
        <f t="shared" si="457"/>
        <v>0</v>
      </c>
      <c r="CS613" s="8">
        <f t="shared" si="458"/>
        <v>0</v>
      </c>
      <c r="CT613" s="8">
        <f t="shared" si="463"/>
        <v>0</v>
      </c>
      <c r="CU613" s="8">
        <f t="shared" si="464"/>
        <v>0</v>
      </c>
      <c r="CV613" s="8">
        <f t="shared" si="465"/>
        <v>0</v>
      </c>
    </row>
    <row r="614" spans="1:100" ht="20.5" thickTop="1" thickBot="1" x14ac:dyDescent="0.5">
      <c r="A614" s="32"/>
      <c r="B614" s="10"/>
      <c r="C614" s="10"/>
      <c r="D614" s="11"/>
      <c r="E614" s="10"/>
      <c r="F614" s="10"/>
      <c r="G614" s="19"/>
      <c r="H614" s="19"/>
      <c r="I614" s="19"/>
      <c r="J614" s="19"/>
      <c r="K614" s="10"/>
      <c r="L614" s="10"/>
      <c r="M614" s="10"/>
      <c r="N614" s="10"/>
      <c r="O614" s="18"/>
      <c r="P614" s="18"/>
      <c r="Q614" s="21"/>
      <c r="R614" s="20"/>
      <c r="S614" s="16">
        <f t="shared" si="421"/>
        <v>0</v>
      </c>
      <c r="T614" s="11"/>
      <c r="AS614" s="31">
        <f t="shared" si="422"/>
        <v>0</v>
      </c>
      <c r="AT614" s="31">
        <f t="shared" si="423"/>
        <v>0</v>
      </c>
      <c r="AU614" s="31">
        <f t="shared" si="424"/>
        <v>0</v>
      </c>
      <c r="AV614" s="31">
        <f t="shared" si="425"/>
        <v>0</v>
      </c>
      <c r="AW614" s="31">
        <f t="shared" si="426"/>
        <v>0</v>
      </c>
      <c r="AX614" s="31">
        <f t="shared" si="427"/>
        <v>0</v>
      </c>
      <c r="AY614" s="31">
        <f t="shared" si="428"/>
        <v>0</v>
      </c>
      <c r="AZ614" s="31">
        <f t="shared" si="429"/>
        <v>0</v>
      </c>
      <c r="BA614" s="31">
        <f t="shared" si="430"/>
        <v>0</v>
      </c>
      <c r="BB614" s="31">
        <f t="shared" si="459"/>
        <v>0</v>
      </c>
      <c r="BM614" s="8">
        <f t="shared" si="460"/>
        <v>0</v>
      </c>
      <c r="BN614" s="8">
        <f t="shared" si="431"/>
        <v>0</v>
      </c>
      <c r="BO614" s="8">
        <f t="shared" si="432"/>
        <v>0</v>
      </c>
      <c r="BQ614" s="8">
        <f t="shared" si="433"/>
        <v>0</v>
      </c>
      <c r="BR614" s="63">
        <f t="shared" si="434"/>
        <v>0</v>
      </c>
      <c r="BS614" s="63">
        <f t="shared" si="461"/>
        <v>0</v>
      </c>
      <c r="BT614" s="63">
        <f t="shared" si="435"/>
        <v>0</v>
      </c>
      <c r="BU614" s="63">
        <f t="shared" si="436"/>
        <v>0</v>
      </c>
      <c r="BV614" s="57">
        <f t="shared" si="437"/>
        <v>0</v>
      </c>
      <c r="BW614" s="57">
        <f t="shared" si="438"/>
        <v>0</v>
      </c>
      <c r="BX614" s="57">
        <f t="shared" si="462"/>
        <v>0</v>
      </c>
      <c r="BY614" s="57">
        <f t="shared" si="466"/>
        <v>0</v>
      </c>
      <c r="BZ614" s="8">
        <f t="shared" si="439"/>
        <v>0</v>
      </c>
      <c r="CA614" s="8">
        <f t="shared" si="440"/>
        <v>0</v>
      </c>
      <c r="CB614" s="8">
        <f t="shared" si="441"/>
        <v>0</v>
      </c>
      <c r="CC614" s="8">
        <f t="shared" si="442"/>
        <v>0</v>
      </c>
      <c r="CD614" s="8">
        <f t="shared" si="443"/>
        <v>0</v>
      </c>
      <c r="CE614" s="8">
        <f t="shared" si="444"/>
        <v>0</v>
      </c>
      <c r="CF614" s="8">
        <f t="shared" si="445"/>
        <v>0</v>
      </c>
      <c r="CG614" s="8">
        <f t="shared" si="446"/>
        <v>0</v>
      </c>
      <c r="CH614" s="8">
        <f t="shared" si="447"/>
        <v>0</v>
      </c>
      <c r="CI614" s="8">
        <f t="shared" si="448"/>
        <v>0</v>
      </c>
      <c r="CJ614" s="8">
        <f t="shared" si="449"/>
        <v>0</v>
      </c>
      <c r="CK614" s="8">
        <f t="shared" si="450"/>
        <v>0</v>
      </c>
      <c r="CL614" s="8">
        <f t="shared" si="451"/>
        <v>0</v>
      </c>
      <c r="CM614" s="8">
        <f t="shared" si="452"/>
        <v>0</v>
      </c>
      <c r="CN614" s="8">
        <f t="shared" si="453"/>
        <v>0</v>
      </c>
      <c r="CO614" s="8">
        <f t="shared" si="454"/>
        <v>0</v>
      </c>
      <c r="CP614" s="8">
        <f t="shared" si="455"/>
        <v>0</v>
      </c>
      <c r="CQ614" s="8">
        <f t="shared" si="456"/>
        <v>0</v>
      </c>
      <c r="CR614" s="8">
        <f t="shared" si="457"/>
        <v>0</v>
      </c>
      <c r="CS614" s="8">
        <f t="shared" si="458"/>
        <v>0</v>
      </c>
      <c r="CT614" s="8">
        <f t="shared" si="463"/>
        <v>0</v>
      </c>
      <c r="CU614" s="8">
        <f t="shared" si="464"/>
        <v>0</v>
      </c>
      <c r="CV614" s="8">
        <f t="shared" si="465"/>
        <v>0</v>
      </c>
    </row>
    <row r="615" spans="1:100" ht="20.5" thickTop="1" thickBot="1" x14ac:dyDescent="0.5">
      <c r="A615" s="32"/>
      <c r="B615" s="10"/>
      <c r="C615" s="10"/>
      <c r="D615" s="11"/>
      <c r="E615" s="10"/>
      <c r="F615" s="10"/>
      <c r="G615" s="19"/>
      <c r="H615" s="19"/>
      <c r="I615" s="19"/>
      <c r="J615" s="19"/>
      <c r="K615" s="10"/>
      <c r="L615" s="10"/>
      <c r="M615" s="10"/>
      <c r="N615" s="10"/>
      <c r="O615" s="18"/>
      <c r="P615" s="18"/>
      <c r="Q615" s="21"/>
      <c r="R615" s="20"/>
      <c r="S615" s="16">
        <f t="shared" si="421"/>
        <v>0</v>
      </c>
      <c r="T615" s="11"/>
      <c r="AS615" s="31">
        <f t="shared" si="422"/>
        <v>0</v>
      </c>
      <c r="AT615" s="31">
        <f t="shared" si="423"/>
        <v>0</v>
      </c>
      <c r="AU615" s="31">
        <f t="shared" si="424"/>
        <v>0</v>
      </c>
      <c r="AV615" s="31">
        <f t="shared" si="425"/>
        <v>0</v>
      </c>
      <c r="AW615" s="31">
        <f t="shared" si="426"/>
        <v>0</v>
      </c>
      <c r="AX615" s="31">
        <f t="shared" si="427"/>
        <v>0</v>
      </c>
      <c r="AY615" s="31">
        <f t="shared" si="428"/>
        <v>0</v>
      </c>
      <c r="AZ615" s="31">
        <f t="shared" si="429"/>
        <v>0</v>
      </c>
      <c r="BA615" s="31">
        <f t="shared" si="430"/>
        <v>0</v>
      </c>
      <c r="BB615" s="31">
        <f t="shared" si="459"/>
        <v>0</v>
      </c>
      <c r="BM615" s="8">
        <f t="shared" si="460"/>
        <v>0</v>
      </c>
      <c r="BN615" s="8">
        <f t="shared" si="431"/>
        <v>0</v>
      </c>
      <c r="BO615" s="8">
        <f t="shared" si="432"/>
        <v>0</v>
      </c>
      <c r="BQ615" s="8">
        <f t="shared" si="433"/>
        <v>0</v>
      </c>
      <c r="BR615" s="63">
        <f t="shared" si="434"/>
        <v>0</v>
      </c>
      <c r="BS615" s="63">
        <f t="shared" si="461"/>
        <v>0</v>
      </c>
      <c r="BT615" s="63">
        <f t="shared" si="435"/>
        <v>0</v>
      </c>
      <c r="BU615" s="63">
        <f t="shared" si="436"/>
        <v>0</v>
      </c>
      <c r="BV615" s="57">
        <f t="shared" si="437"/>
        <v>0</v>
      </c>
      <c r="BW615" s="57">
        <f t="shared" si="438"/>
        <v>0</v>
      </c>
      <c r="BX615" s="57">
        <f t="shared" si="462"/>
        <v>0</v>
      </c>
      <c r="BY615" s="57">
        <f t="shared" si="466"/>
        <v>0</v>
      </c>
      <c r="BZ615" s="8">
        <f t="shared" si="439"/>
        <v>0</v>
      </c>
      <c r="CA615" s="8">
        <f t="shared" si="440"/>
        <v>0</v>
      </c>
      <c r="CB615" s="8">
        <f t="shared" si="441"/>
        <v>0</v>
      </c>
      <c r="CC615" s="8">
        <f t="shared" si="442"/>
        <v>0</v>
      </c>
      <c r="CD615" s="8">
        <f t="shared" si="443"/>
        <v>0</v>
      </c>
      <c r="CE615" s="8">
        <f t="shared" si="444"/>
        <v>0</v>
      </c>
      <c r="CF615" s="8">
        <f t="shared" si="445"/>
        <v>0</v>
      </c>
      <c r="CG615" s="8">
        <f t="shared" si="446"/>
        <v>0</v>
      </c>
      <c r="CH615" s="8">
        <f t="shared" si="447"/>
        <v>0</v>
      </c>
      <c r="CI615" s="8">
        <f t="shared" si="448"/>
        <v>0</v>
      </c>
      <c r="CJ615" s="8">
        <f t="shared" si="449"/>
        <v>0</v>
      </c>
      <c r="CK615" s="8">
        <f t="shared" si="450"/>
        <v>0</v>
      </c>
      <c r="CL615" s="8">
        <f t="shared" si="451"/>
        <v>0</v>
      </c>
      <c r="CM615" s="8">
        <f t="shared" si="452"/>
        <v>0</v>
      </c>
      <c r="CN615" s="8">
        <f t="shared" si="453"/>
        <v>0</v>
      </c>
      <c r="CO615" s="8">
        <f t="shared" si="454"/>
        <v>0</v>
      </c>
      <c r="CP615" s="8">
        <f t="shared" si="455"/>
        <v>0</v>
      </c>
      <c r="CQ615" s="8">
        <f t="shared" si="456"/>
        <v>0</v>
      </c>
      <c r="CR615" s="8">
        <f t="shared" si="457"/>
        <v>0</v>
      </c>
      <c r="CS615" s="8">
        <f t="shared" si="458"/>
        <v>0</v>
      </c>
      <c r="CT615" s="8">
        <f t="shared" si="463"/>
        <v>0</v>
      </c>
      <c r="CU615" s="8">
        <f t="shared" si="464"/>
        <v>0</v>
      </c>
      <c r="CV615" s="8">
        <f t="shared" si="465"/>
        <v>0</v>
      </c>
    </row>
    <row r="616" spans="1:100" ht="20.5" thickTop="1" thickBot="1" x14ac:dyDescent="0.5">
      <c r="A616" s="32"/>
      <c r="B616" s="10"/>
      <c r="C616" s="10"/>
      <c r="D616" s="11"/>
      <c r="E616" s="10"/>
      <c r="F616" s="10"/>
      <c r="G616" s="19"/>
      <c r="H616" s="19"/>
      <c r="I616" s="19"/>
      <c r="J616" s="19"/>
      <c r="K616" s="10"/>
      <c r="L616" s="10"/>
      <c r="M616" s="10"/>
      <c r="N616" s="10"/>
      <c r="O616" s="18"/>
      <c r="P616" s="18"/>
      <c r="Q616" s="21"/>
      <c r="R616" s="20"/>
      <c r="S616" s="16">
        <f t="shared" si="421"/>
        <v>0</v>
      </c>
      <c r="T616" s="11"/>
      <c r="AS616" s="31">
        <f t="shared" si="422"/>
        <v>0</v>
      </c>
      <c r="AT616" s="31">
        <f t="shared" si="423"/>
        <v>0</v>
      </c>
      <c r="AU616" s="31">
        <f t="shared" si="424"/>
        <v>0</v>
      </c>
      <c r="AV616" s="31">
        <f t="shared" si="425"/>
        <v>0</v>
      </c>
      <c r="AW616" s="31">
        <f t="shared" si="426"/>
        <v>0</v>
      </c>
      <c r="AX616" s="31">
        <f t="shared" si="427"/>
        <v>0</v>
      </c>
      <c r="AY616" s="31">
        <f t="shared" si="428"/>
        <v>0</v>
      </c>
      <c r="AZ616" s="31">
        <f t="shared" si="429"/>
        <v>0</v>
      </c>
      <c r="BA616" s="31">
        <f t="shared" si="430"/>
        <v>0</v>
      </c>
      <c r="BB616" s="31">
        <f t="shared" si="459"/>
        <v>0</v>
      </c>
      <c r="BM616" s="8">
        <f t="shared" si="460"/>
        <v>0</v>
      </c>
      <c r="BN616" s="8">
        <f t="shared" si="431"/>
        <v>0</v>
      </c>
      <c r="BO616" s="8">
        <f t="shared" si="432"/>
        <v>0</v>
      </c>
      <c r="BQ616" s="8">
        <f t="shared" si="433"/>
        <v>0</v>
      </c>
      <c r="BR616" s="63">
        <f t="shared" si="434"/>
        <v>0</v>
      </c>
      <c r="BS616" s="63">
        <f t="shared" si="461"/>
        <v>0</v>
      </c>
      <c r="BT616" s="63">
        <f t="shared" si="435"/>
        <v>0</v>
      </c>
      <c r="BU616" s="63">
        <f t="shared" si="436"/>
        <v>0</v>
      </c>
      <c r="BV616" s="57">
        <f t="shared" si="437"/>
        <v>0</v>
      </c>
      <c r="BW616" s="57">
        <f t="shared" si="438"/>
        <v>0</v>
      </c>
      <c r="BX616" s="57">
        <f t="shared" si="462"/>
        <v>0</v>
      </c>
      <c r="BY616" s="57">
        <f t="shared" si="466"/>
        <v>0</v>
      </c>
      <c r="BZ616" s="8">
        <f t="shared" si="439"/>
        <v>0</v>
      </c>
      <c r="CA616" s="8">
        <f t="shared" si="440"/>
        <v>0</v>
      </c>
      <c r="CB616" s="8">
        <f t="shared" si="441"/>
        <v>0</v>
      </c>
      <c r="CC616" s="8">
        <f t="shared" si="442"/>
        <v>0</v>
      </c>
      <c r="CD616" s="8">
        <f t="shared" si="443"/>
        <v>0</v>
      </c>
      <c r="CE616" s="8">
        <f t="shared" si="444"/>
        <v>0</v>
      </c>
      <c r="CF616" s="8">
        <f t="shared" si="445"/>
        <v>0</v>
      </c>
      <c r="CG616" s="8">
        <f t="shared" si="446"/>
        <v>0</v>
      </c>
      <c r="CH616" s="8">
        <f t="shared" si="447"/>
        <v>0</v>
      </c>
      <c r="CI616" s="8">
        <f t="shared" si="448"/>
        <v>0</v>
      </c>
      <c r="CJ616" s="8">
        <f t="shared" si="449"/>
        <v>0</v>
      </c>
      <c r="CK616" s="8">
        <f t="shared" si="450"/>
        <v>0</v>
      </c>
      <c r="CL616" s="8">
        <f t="shared" si="451"/>
        <v>0</v>
      </c>
      <c r="CM616" s="8">
        <f t="shared" si="452"/>
        <v>0</v>
      </c>
      <c r="CN616" s="8">
        <f t="shared" si="453"/>
        <v>0</v>
      </c>
      <c r="CO616" s="8">
        <f t="shared" si="454"/>
        <v>0</v>
      </c>
      <c r="CP616" s="8">
        <f t="shared" si="455"/>
        <v>0</v>
      </c>
      <c r="CQ616" s="8">
        <f t="shared" si="456"/>
        <v>0</v>
      </c>
      <c r="CR616" s="8">
        <f t="shared" si="457"/>
        <v>0</v>
      </c>
      <c r="CS616" s="8">
        <f t="shared" si="458"/>
        <v>0</v>
      </c>
      <c r="CT616" s="8">
        <f t="shared" si="463"/>
        <v>0</v>
      </c>
      <c r="CU616" s="8">
        <f t="shared" si="464"/>
        <v>0</v>
      </c>
      <c r="CV616" s="8">
        <f t="shared" si="465"/>
        <v>0</v>
      </c>
    </row>
    <row r="617" spans="1:100" ht="20.5" thickTop="1" thickBot="1" x14ac:dyDescent="0.5">
      <c r="A617" s="32"/>
      <c r="B617" s="10"/>
      <c r="C617" s="10"/>
      <c r="D617" s="11"/>
      <c r="E617" s="10"/>
      <c r="F617" s="10"/>
      <c r="G617" s="19"/>
      <c r="H617" s="19"/>
      <c r="I617" s="19"/>
      <c r="J617" s="19"/>
      <c r="K617" s="10"/>
      <c r="L617" s="10"/>
      <c r="M617" s="10"/>
      <c r="N617" s="10"/>
      <c r="O617" s="18"/>
      <c r="P617" s="18"/>
      <c r="Q617" s="21"/>
      <c r="R617" s="20"/>
      <c r="S617" s="16">
        <f t="shared" si="421"/>
        <v>0</v>
      </c>
      <c r="T617" s="11"/>
      <c r="AS617" s="31">
        <f t="shared" si="422"/>
        <v>0</v>
      </c>
      <c r="AT617" s="31">
        <f t="shared" si="423"/>
        <v>0</v>
      </c>
      <c r="AU617" s="31">
        <f t="shared" si="424"/>
        <v>0</v>
      </c>
      <c r="AV617" s="31">
        <f t="shared" si="425"/>
        <v>0</v>
      </c>
      <c r="AW617" s="31">
        <f t="shared" si="426"/>
        <v>0</v>
      </c>
      <c r="AX617" s="31">
        <f t="shared" si="427"/>
        <v>0</v>
      </c>
      <c r="AY617" s="31">
        <f t="shared" si="428"/>
        <v>0</v>
      </c>
      <c r="AZ617" s="31">
        <f t="shared" si="429"/>
        <v>0</v>
      </c>
      <c r="BA617" s="31">
        <f t="shared" si="430"/>
        <v>0</v>
      </c>
      <c r="BB617" s="31">
        <f t="shared" si="459"/>
        <v>0</v>
      </c>
      <c r="BM617" s="8">
        <f t="shared" si="460"/>
        <v>0</v>
      </c>
      <c r="BN617" s="8">
        <f t="shared" si="431"/>
        <v>0</v>
      </c>
      <c r="BO617" s="8">
        <f t="shared" si="432"/>
        <v>0</v>
      </c>
      <c r="BQ617" s="8">
        <f t="shared" si="433"/>
        <v>0</v>
      </c>
      <c r="BR617" s="63">
        <f t="shared" si="434"/>
        <v>0</v>
      </c>
      <c r="BS617" s="63">
        <f t="shared" si="461"/>
        <v>0</v>
      </c>
      <c r="BT617" s="63">
        <f t="shared" si="435"/>
        <v>0</v>
      </c>
      <c r="BU617" s="63">
        <f t="shared" si="436"/>
        <v>0</v>
      </c>
      <c r="BV617" s="57">
        <f t="shared" si="437"/>
        <v>0</v>
      </c>
      <c r="BW617" s="57">
        <f t="shared" si="438"/>
        <v>0</v>
      </c>
      <c r="BX617" s="57">
        <f t="shared" si="462"/>
        <v>0</v>
      </c>
      <c r="BY617" s="57">
        <f t="shared" si="466"/>
        <v>0</v>
      </c>
      <c r="BZ617" s="8">
        <f t="shared" si="439"/>
        <v>0</v>
      </c>
      <c r="CA617" s="8">
        <f t="shared" si="440"/>
        <v>0</v>
      </c>
      <c r="CB617" s="8">
        <f t="shared" si="441"/>
        <v>0</v>
      </c>
      <c r="CC617" s="8">
        <f t="shared" si="442"/>
        <v>0</v>
      </c>
      <c r="CD617" s="8">
        <f t="shared" si="443"/>
        <v>0</v>
      </c>
      <c r="CE617" s="8">
        <f t="shared" si="444"/>
        <v>0</v>
      </c>
      <c r="CF617" s="8">
        <f t="shared" si="445"/>
        <v>0</v>
      </c>
      <c r="CG617" s="8">
        <f t="shared" si="446"/>
        <v>0</v>
      </c>
      <c r="CH617" s="8">
        <f t="shared" si="447"/>
        <v>0</v>
      </c>
      <c r="CI617" s="8">
        <f t="shared" si="448"/>
        <v>0</v>
      </c>
      <c r="CJ617" s="8">
        <f t="shared" si="449"/>
        <v>0</v>
      </c>
      <c r="CK617" s="8">
        <f t="shared" si="450"/>
        <v>0</v>
      </c>
      <c r="CL617" s="8">
        <f t="shared" si="451"/>
        <v>0</v>
      </c>
      <c r="CM617" s="8">
        <f t="shared" si="452"/>
        <v>0</v>
      </c>
      <c r="CN617" s="8">
        <f t="shared" si="453"/>
        <v>0</v>
      </c>
      <c r="CO617" s="8">
        <f t="shared" si="454"/>
        <v>0</v>
      </c>
      <c r="CP617" s="8">
        <f t="shared" si="455"/>
        <v>0</v>
      </c>
      <c r="CQ617" s="8">
        <f t="shared" si="456"/>
        <v>0</v>
      </c>
      <c r="CR617" s="8">
        <f t="shared" si="457"/>
        <v>0</v>
      </c>
      <c r="CS617" s="8">
        <f t="shared" si="458"/>
        <v>0</v>
      </c>
      <c r="CT617" s="8">
        <f t="shared" si="463"/>
        <v>0</v>
      </c>
      <c r="CU617" s="8">
        <f t="shared" si="464"/>
        <v>0</v>
      </c>
      <c r="CV617" s="8">
        <f t="shared" si="465"/>
        <v>0</v>
      </c>
    </row>
    <row r="618" spans="1:100" ht="20.5" thickTop="1" thickBot="1" x14ac:dyDescent="0.5">
      <c r="A618" s="32"/>
      <c r="B618" s="10"/>
      <c r="C618" s="10"/>
      <c r="D618" s="11"/>
      <c r="E618" s="10"/>
      <c r="F618" s="10"/>
      <c r="G618" s="19"/>
      <c r="H618" s="19"/>
      <c r="I618" s="19"/>
      <c r="J618" s="19"/>
      <c r="K618" s="10"/>
      <c r="L618" s="10"/>
      <c r="M618" s="10"/>
      <c r="N618" s="10"/>
      <c r="O618" s="18"/>
      <c r="P618" s="18"/>
      <c r="Q618" s="21"/>
      <c r="R618" s="20"/>
      <c r="S618" s="16">
        <f t="shared" si="421"/>
        <v>0</v>
      </c>
      <c r="T618" s="11"/>
      <c r="AS618" s="31">
        <f t="shared" si="422"/>
        <v>0</v>
      </c>
      <c r="AT618" s="31">
        <f t="shared" si="423"/>
        <v>0</v>
      </c>
      <c r="AU618" s="31">
        <f t="shared" si="424"/>
        <v>0</v>
      </c>
      <c r="AV618" s="31">
        <f t="shared" si="425"/>
        <v>0</v>
      </c>
      <c r="AW618" s="31">
        <f t="shared" si="426"/>
        <v>0</v>
      </c>
      <c r="AX618" s="31">
        <f t="shared" si="427"/>
        <v>0</v>
      </c>
      <c r="AY618" s="31">
        <f t="shared" si="428"/>
        <v>0</v>
      </c>
      <c r="AZ618" s="31">
        <f t="shared" si="429"/>
        <v>0</v>
      </c>
      <c r="BA618" s="31">
        <f t="shared" si="430"/>
        <v>0</v>
      </c>
      <c r="BB618" s="31">
        <f t="shared" si="459"/>
        <v>0</v>
      </c>
      <c r="BM618" s="8">
        <f t="shared" si="460"/>
        <v>0</v>
      </c>
      <c r="BN618" s="8">
        <f t="shared" si="431"/>
        <v>0</v>
      </c>
      <c r="BO618" s="8">
        <f t="shared" si="432"/>
        <v>0</v>
      </c>
      <c r="BQ618" s="8">
        <f t="shared" si="433"/>
        <v>0</v>
      </c>
      <c r="BR618" s="63">
        <f t="shared" si="434"/>
        <v>0</v>
      </c>
      <c r="BS618" s="63">
        <f t="shared" si="461"/>
        <v>0</v>
      </c>
      <c r="BT618" s="63">
        <f t="shared" si="435"/>
        <v>0</v>
      </c>
      <c r="BU618" s="63">
        <f t="shared" si="436"/>
        <v>0</v>
      </c>
      <c r="BV618" s="57">
        <f t="shared" si="437"/>
        <v>0</v>
      </c>
      <c r="BW618" s="57">
        <f t="shared" si="438"/>
        <v>0</v>
      </c>
      <c r="BX618" s="57">
        <f t="shared" si="462"/>
        <v>0</v>
      </c>
      <c r="BY618" s="57">
        <f t="shared" si="466"/>
        <v>0</v>
      </c>
      <c r="BZ618" s="8">
        <f t="shared" si="439"/>
        <v>0</v>
      </c>
      <c r="CA618" s="8">
        <f t="shared" si="440"/>
        <v>0</v>
      </c>
      <c r="CB618" s="8">
        <f t="shared" si="441"/>
        <v>0</v>
      </c>
      <c r="CC618" s="8">
        <f t="shared" si="442"/>
        <v>0</v>
      </c>
      <c r="CD618" s="8">
        <f t="shared" si="443"/>
        <v>0</v>
      </c>
      <c r="CE618" s="8">
        <f t="shared" si="444"/>
        <v>0</v>
      </c>
      <c r="CF618" s="8">
        <f t="shared" si="445"/>
        <v>0</v>
      </c>
      <c r="CG618" s="8">
        <f t="shared" si="446"/>
        <v>0</v>
      </c>
      <c r="CH618" s="8">
        <f t="shared" si="447"/>
        <v>0</v>
      </c>
      <c r="CI618" s="8">
        <f t="shared" si="448"/>
        <v>0</v>
      </c>
      <c r="CJ618" s="8">
        <f t="shared" si="449"/>
        <v>0</v>
      </c>
      <c r="CK618" s="8">
        <f t="shared" si="450"/>
        <v>0</v>
      </c>
      <c r="CL618" s="8">
        <f t="shared" si="451"/>
        <v>0</v>
      </c>
      <c r="CM618" s="8">
        <f t="shared" si="452"/>
        <v>0</v>
      </c>
      <c r="CN618" s="8">
        <f t="shared" si="453"/>
        <v>0</v>
      </c>
      <c r="CO618" s="8">
        <f t="shared" si="454"/>
        <v>0</v>
      </c>
      <c r="CP618" s="8">
        <f t="shared" si="455"/>
        <v>0</v>
      </c>
      <c r="CQ618" s="8">
        <f t="shared" si="456"/>
        <v>0</v>
      </c>
      <c r="CR618" s="8">
        <f t="shared" si="457"/>
        <v>0</v>
      </c>
      <c r="CS618" s="8">
        <f t="shared" si="458"/>
        <v>0</v>
      </c>
      <c r="CT618" s="8">
        <f t="shared" si="463"/>
        <v>0</v>
      </c>
      <c r="CU618" s="8">
        <f t="shared" si="464"/>
        <v>0</v>
      </c>
      <c r="CV618" s="8">
        <f t="shared" si="465"/>
        <v>0</v>
      </c>
    </row>
    <row r="619" spans="1:100" ht="20.5" thickTop="1" thickBot="1" x14ac:dyDescent="0.5">
      <c r="A619" s="32"/>
      <c r="B619" s="10"/>
      <c r="C619" s="10"/>
      <c r="D619" s="11"/>
      <c r="E619" s="10"/>
      <c r="F619" s="10"/>
      <c r="G619" s="19"/>
      <c r="H619" s="19"/>
      <c r="I619" s="19"/>
      <c r="J619" s="19"/>
      <c r="K619" s="10"/>
      <c r="L619" s="10"/>
      <c r="M619" s="10"/>
      <c r="N619" s="10"/>
      <c r="O619" s="18"/>
      <c r="P619" s="18"/>
      <c r="Q619" s="21"/>
      <c r="R619" s="20"/>
      <c r="S619" s="16">
        <f t="shared" si="421"/>
        <v>0</v>
      </c>
      <c r="T619" s="11"/>
      <c r="AS619" s="31">
        <f t="shared" si="422"/>
        <v>0</v>
      </c>
      <c r="AT619" s="31">
        <f t="shared" si="423"/>
        <v>0</v>
      </c>
      <c r="AU619" s="31">
        <f t="shared" si="424"/>
        <v>0</v>
      </c>
      <c r="AV619" s="31">
        <f t="shared" si="425"/>
        <v>0</v>
      </c>
      <c r="AW619" s="31">
        <f t="shared" si="426"/>
        <v>0</v>
      </c>
      <c r="AX619" s="31">
        <f t="shared" si="427"/>
        <v>0</v>
      </c>
      <c r="AY619" s="31">
        <f t="shared" si="428"/>
        <v>0</v>
      </c>
      <c r="AZ619" s="31">
        <f t="shared" si="429"/>
        <v>0</v>
      </c>
      <c r="BA619" s="31">
        <f t="shared" si="430"/>
        <v>0</v>
      </c>
      <c r="BB619" s="31">
        <f t="shared" si="459"/>
        <v>0</v>
      </c>
      <c r="BM619" s="8">
        <f t="shared" si="460"/>
        <v>0</v>
      </c>
      <c r="BN619" s="8">
        <f t="shared" si="431"/>
        <v>0</v>
      </c>
      <c r="BO619" s="8">
        <f t="shared" si="432"/>
        <v>0</v>
      </c>
      <c r="BQ619" s="8">
        <f t="shared" si="433"/>
        <v>0</v>
      </c>
      <c r="BR619" s="63">
        <f t="shared" si="434"/>
        <v>0</v>
      </c>
      <c r="BS619" s="63">
        <f t="shared" si="461"/>
        <v>0</v>
      </c>
      <c r="BT619" s="63">
        <f t="shared" si="435"/>
        <v>0</v>
      </c>
      <c r="BU619" s="63">
        <f t="shared" si="436"/>
        <v>0</v>
      </c>
      <c r="BV619" s="57">
        <f t="shared" si="437"/>
        <v>0</v>
      </c>
      <c r="BW619" s="57">
        <f t="shared" si="438"/>
        <v>0</v>
      </c>
      <c r="BX619" s="57">
        <f t="shared" si="462"/>
        <v>0</v>
      </c>
      <c r="BY619" s="57">
        <f t="shared" si="466"/>
        <v>0</v>
      </c>
      <c r="BZ619" s="8">
        <f t="shared" si="439"/>
        <v>0</v>
      </c>
      <c r="CA619" s="8">
        <f t="shared" si="440"/>
        <v>0</v>
      </c>
      <c r="CB619" s="8">
        <f t="shared" si="441"/>
        <v>0</v>
      </c>
      <c r="CC619" s="8">
        <f t="shared" si="442"/>
        <v>0</v>
      </c>
      <c r="CD619" s="8">
        <f t="shared" si="443"/>
        <v>0</v>
      </c>
      <c r="CE619" s="8">
        <f t="shared" si="444"/>
        <v>0</v>
      </c>
      <c r="CF619" s="8">
        <f t="shared" si="445"/>
        <v>0</v>
      </c>
      <c r="CG619" s="8">
        <f t="shared" si="446"/>
        <v>0</v>
      </c>
      <c r="CH619" s="8">
        <f t="shared" si="447"/>
        <v>0</v>
      </c>
      <c r="CI619" s="8">
        <f t="shared" si="448"/>
        <v>0</v>
      </c>
      <c r="CJ619" s="8">
        <f t="shared" si="449"/>
        <v>0</v>
      </c>
      <c r="CK619" s="8">
        <f t="shared" si="450"/>
        <v>0</v>
      </c>
      <c r="CL619" s="8">
        <f t="shared" si="451"/>
        <v>0</v>
      </c>
      <c r="CM619" s="8">
        <f t="shared" si="452"/>
        <v>0</v>
      </c>
      <c r="CN619" s="8">
        <f t="shared" si="453"/>
        <v>0</v>
      </c>
      <c r="CO619" s="8">
        <f t="shared" si="454"/>
        <v>0</v>
      </c>
      <c r="CP619" s="8">
        <f t="shared" si="455"/>
        <v>0</v>
      </c>
      <c r="CQ619" s="8">
        <f t="shared" si="456"/>
        <v>0</v>
      </c>
      <c r="CR619" s="8">
        <f t="shared" si="457"/>
        <v>0</v>
      </c>
      <c r="CS619" s="8">
        <f t="shared" si="458"/>
        <v>0</v>
      </c>
      <c r="CT619" s="8">
        <f t="shared" si="463"/>
        <v>0</v>
      </c>
      <c r="CU619" s="8">
        <f t="shared" si="464"/>
        <v>0</v>
      </c>
      <c r="CV619" s="8">
        <f t="shared" si="465"/>
        <v>0</v>
      </c>
    </row>
    <row r="620" spans="1:100" ht="20.5" thickTop="1" thickBot="1" x14ac:dyDescent="0.5">
      <c r="A620" s="32"/>
      <c r="B620" s="10"/>
      <c r="C620" s="10"/>
      <c r="D620" s="11"/>
      <c r="E620" s="10"/>
      <c r="F620" s="10"/>
      <c r="G620" s="19"/>
      <c r="H620" s="19"/>
      <c r="I620" s="19"/>
      <c r="J620" s="19"/>
      <c r="K620" s="10"/>
      <c r="L620" s="10"/>
      <c r="M620" s="10"/>
      <c r="N620" s="10"/>
      <c r="O620" s="18"/>
      <c r="P620" s="18"/>
      <c r="Q620" s="21"/>
      <c r="R620" s="20"/>
      <c r="S620" s="16">
        <f t="shared" si="421"/>
        <v>0</v>
      </c>
      <c r="T620" s="11"/>
      <c r="AS620" s="31">
        <f t="shared" si="422"/>
        <v>0</v>
      </c>
      <c r="AT620" s="31">
        <f t="shared" si="423"/>
        <v>0</v>
      </c>
      <c r="AU620" s="31">
        <f t="shared" si="424"/>
        <v>0</v>
      </c>
      <c r="AV620" s="31">
        <f t="shared" si="425"/>
        <v>0</v>
      </c>
      <c r="AW620" s="31">
        <f t="shared" si="426"/>
        <v>0</v>
      </c>
      <c r="AX620" s="31">
        <f t="shared" si="427"/>
        <v>0</v>
      </c>
      <c r="AY620" s="31">
        <f t="shared" si="428"/>
        <v>0</v>
      </c>
      <c r="AZ620" s="31">
        <f t="shared" si="429"/>
        <v>0</v>
      </c>
      <c r="BA620" s="31">
        <f t="shared" si="430"/>
        <v>0</v>
      </c>
      <c r="BB620" s="31">
        <f t="shared" si="459"/>
        <v>0</v>
      </c>
      <c r="BM620" s="8">
        <f t="shared" si="460"/>
        <v>0</v>
      </c>
      <c r="BN620" s="8">
        <f t="shared" si="431"/>
        <v>0</v>
      </c>
      <c r="BO620" s="8">
        <f t="shared" si="432"/>
        <v>0</v>
      </c>
      <c r="BQ620" s="8">
        <f t="shared" si="433"/>
        <v>0</v>
      </c>
      <c r="BR620" s="63">
        <f t="shared" si="434"/>
        <v>0</v>
      </c>
      <c r="BS620" s="63">
        <f t="shared" si="461"/>
        <v>0</v>
      </c>
      <c r="BT620" s="63">
        <f t="shared" si="435"/>
        <v>0</v>
      </c>
      <c r="BU620" s="63">
        <f t="shared" si="436"/>
        <v>0</v>
      </c>
      <c r="BV620" s="57">
        <f t="shared" si="437"/>
        <v>0</v>
      </c>
      <c r="BW620" s="57">
        <f t="shared" si="438"/>
        <v>0</v>
      </c>
      <c r="BX620" s="57">
        <f t="shared" si="462"/>
        <v>0</v>
      </c>
      <c r="BY620" s="57">
        <f t="shared" si="466"/>
        <v>0</v>
      </c>
      <c r="BZ620" s="8">
        <f t="shared" si="439"/>
        <v>0</v>
      </c>
      <c r="CA620" s="8">
        <f t="shared" si="440"/>
        <v>0</v>
      </c>
      <c r="CB620" s="8">
        <f t="shared" si="441"/>
        <v>0</v>
      </c>
      <c r="CC620" s="8">
        <f t="shared" si="442"/>
        <v>0</v>
      </c>
      <c r="CD620" s="8">
        <f t="shared" si="443"/>
        <v>0</v>
      </c>
      <c r="CE620" s="8">
        <f t="shared" si="444"/>
        <v>0</v>
      </c>
      <c r="CF620" s="8">
        <f t="shared" si="445"/>
        <v>0</v>
      </c>
      <c r="CG620" s="8">
        <f t="shared" si="446"/>
        <v>0</v>
      </c>
      <c r="CH620" s="8">
        <f t="shared" si="447"/>
        <v>0</v>
      </c>
      <c r="CI620" s="8">
        <f t="shared" si="448"/>
        <v>0</v>
      </c>
      <c r="CJ620" s="8">
        <f t="shared" si="449"/>
        <v>0</v>
      </c>
      <c r="CK620" s="8">
        <f t="shared" si="450"/>
        <v>0</v>
      </c>
      <c r="CL620" s="8">
        <f t="shared" si="451"/>
        <v>0</v>
      </c>
      <c r="CM620" s="8">
        <f t="shared" si="452"/>
        <v>0</v>
      </c>
      <c r="CN620" s="8">
        <f t="shared" si="453"/>
        <v>0</v>
      </c>
      <c r="CO620" s="8">
        <f t="shared" si="454"/>
        <v>0</v>
      </c>
      <c r="CP620" s="8">
        <f t="shared" si="455"/>
        <v>0</v>
      </c>
      <c r="CQ620" s="8">
        <f t="shared" si="456"/>
        <v>0</v>
      </c>
      <c r="CR620" s="8">
        <f t="shared" si="457"/>
        <v>0</v>
      </c>
      <c r="CS620" s="8">
        <f t="shared" si="458"/>
        <v>0</v>
      </c>
      <c r="CT620" s="8">
        <f t="shared" si="463"/>
        <v>0</v>
      </c>
      <c r="CU620" s="8">
        <f t="shared" si="464"/>
        <v>0</v>
      </c>
      <c r="CV620" s="8">
        <f t="shared" si="465"/>
        <v>0</v>
      </c>
    </row>
    <row r="621" spans="1:100" ht="20.5" thickTop="1" thickBot="1" x14ac:dyDescent="0.5">
      <c r="A621" s="32"/>
      <c r="B621" s="10"/>
      <c r="C621" s="10"/>
      <c r="D621" s="11"/>
      <c r="E621" s="10"/>
      <c r="F621" s="10"/>
      <c r="G621" s="19"/>
      <c r="H621" s="19"/>
      <c r="I621" s="19"/>
      <c r="J621" s="19"/>
      <c r="K621" s="10"/>
      <c r="L621" s="10"/>
      <c r="M621" s="10"/>
      <c r="N621" s="10"/>
      <c r="O621" s="18"/>
      <c r="P621" s="18"/>
      <c r="Q621" s="21"/>
      <c r="R621" s="20"/>
      <c r="S621" s="16">
        <f t="shared" si="421"/>
        <v>0</v>
      </c>
      <c r="T621" s="11"/>
      <c r="AS621" s="31">
        <f t="shared" si="422"/>
        <v>0</v>
      </c>
      <c r="AT621" s="31">
        <f t="shared" si="423"/>
        <v>0</v>
      </c>
      <c r="AU621" s="31">
        <f t="shared" si="424"/>
        <v>0</v>
      </c>
      <c r="AV621" s="31">
        <f t="shared" si="425"/>
        <v>0</v>
      </c>
      <c r="AW621" s="31">
        <f t="shared" si="426"/>
        <v>0</v>
      </c>
      <c r="AX621" s="31">
        <f t="shared" si="427"/>
        <v>0</v>
      </c>
      <c r="AY621" s="31">
        <f t="shared" si="428"/>
        <v>0</v>
      </c>
      <c r="AZ621" s="31">
        <f t="shared" si="429"/>
        <v>0</v>
      </c>
      <c r="BA621" s="31">
        <f t="shared" si="430"/>
        <v>0</v>
      </c>
      <c r="BB621" s="31">
        <f t="shared" si="459"/>
        <v>0</v>
      </c>
      <c r="BM621" s="8">
        <f t="shared" si="460"/>
        <v>0</v>
      </c>
      <c r="BN621" s="8">
        <f t="shared" si="431"/>
        <v>0</v>
      </c>
      <c r="BO621" s="8">
        <f t="shared" si="432"/>
        <v>0</v>
      </c>
      <c r="BQ621" s="8">
        <f t="shared" si="433"/>
        <v>0</v>
      </c>
      <c r="BR621" s="63">
        <f t="shared" si="434"/>
        <v>0</v>
      </c>
      <c r="BS621" s="63">
        <f t="shared" si="461"/>
        <v>0</v>
      </c>
      <c r="BT621" s="63">
        <f t="shared" si="435"/>
        <v>0</v>
      </c>
      <c r="BU621" s="63">
        <f t="shared" si="436"/>
        <v>0</v>
      </c>
      <c r="BV621" s="57">
        <f t="shared" si="437"/>
        <v>0</v>
      </c>
      <c r="BW621" s="57">
        <f t="shared" si="438"/>
        <v>0</v>
      </c>
      <c r="BX621" s="57">
        <f t="shared" si="462"/>
        <v>0</v>
      </c>
      <c r="BY621" s="57">
        <f t="shared" si="466"/>
        <v>0</v>
      </c>
      <c r="BZ621" s="8">
        <f t="shared" si="439"/>
        <v>0</v>
      </c>
      <c r="CA621" s="8">
        <f t="shared" si="440"/>
        <v>0</v>
      </c>
      <c r="CB621" s="8">
        <f t="shared" si="441"/>
        <v>0</v>
      </c>
      <c r="CC621" s="8">
        <f t="shared" si="442"/>
        <v>0</v>
      </c>
      <c r="CD621" s="8">
        <f t="shared" si="443"/>
        <v>0</v>
      </c>
      <c r="CE621" s="8">
        <f t="shared" si="444"/>
        <v>0</v>
      </c>
      <c r="CF621" s="8">
        <f t="shared" si="445"/>
        <v>0</v>
      </c>
      <c r="CG621" s="8">
        <f t="shared" si="446"/>
        <v>0</v>
      </c>
      <c r="CH621" s="8">
        <f t="shared" si="447"/>
        <v>0</v>
      </c>
      <c r="CI621" s="8">
        <f t="shared" si="448"/>
        <v>0</v>
      </c>
      <c r="CJ621" s="8">
        <f t="shared" si="449"/>
        <v>0</v>
      </c>
      <c r="CK621" s="8">
        <f t="shared" si="450"/>
        <v>0</v>
      </c>
      <c r="CL621" s="8">
        <f t="shared" si="451"/>
        <v>0</v>
      </c>
      <c r="CM621" s="8">
        <f t="shared" si="452"/>
        <v>0</v>
      </c>
      <c r="CN621" s="8">
        <f t="shared" si="453"/>
        <v>0</v>
      </c>
      <c r="CO621" s="8">
        <f t="shared" si="454"/>
        <v>0</v>
      </c>
      <c r="CP621" s="8">
        <f t="shared" si="455"/>
        <v>0</v>
      </c>
      <c r="CQ621" s="8">
        <f t="shared" si="456"/>
        <v>0</v>
      </c>
      <c r="CR621" s="8">
        <f t="shared" si="457"/>
        <v>0</v>
      </c>
      <c r="CS621" s="8">
        <f t="shared" si="458"/>
        <v>0</v>
      </c>
      <c r="CT621" s="8">
        <f t="shared" si="463"/>
        <v>0</v>
      </c>
      <c r="CU621" s="8">
        <f t="shared" si="464"/>
        <v>0</v>
      </c>
      <c r="CV621" s="8">
        <f t="shared" si="465"/>
        <v>0</v>
      </c>
    </row>
    <row r="622" spans="1:100" ht="20.5" thickTop="1" thickBot="1" x14ac:dyDescent="0.5">
      <c r="A622" s="32"/>
      <c r="B622" s="10"/>
      <c r="C622" s="10"/>
      <c r="D622" s="11"/>
      <c r="E622" s="10"/>
      <c r="F622" s="10"/>
      <c r="G622" s="19"/>
      <c r="H622" s="19"/>
      <c r="I622" s="19"/>
      <c r="J622" s="19"/>
      <c r="K622" s="10"/>
      <c r="L622" s="10"/>
      <c r="M622" s="10"/>
      <c r="N622" s="10"/>
      <c r="O622" s="18"/>
      <c r="P622" s="18"/>
      <c r="Q622" s="21"/>
      <c r="R622" s="20"/>
      <c r="S622" s="16">
        <f t="shared" si="421"/>
        <v>0</v>
      </c>
      <c r="T622" s="11"/>
      <c r="AS622" s="31">
        <f t="shared" si="422"/>
        <v>0</v>
      </c>
      <c r="AT622" s="31">
        <f t="shared" si="423"/>
        <v>0</v>
      </c>
      <c r="AU622" s="31">
        <f t="shared" si="424"/>
        <v>0</v>
      </c>
      <c r="AV622" s="31">
        <f t="shared" si="425"/>
        <v>0</v>
      </c>
      <c r="AW622" s="31">
        <f t="shared" si="426"/>
        <v>0</v>
      </c>
      <c r="AX622" s="31">
        <f t="shared" si="427"/>
        <v>0</v>
      </c>
      <c r="AY622" s="31">
        <f t="shared" si="428"/>
        <v>0</v>
      </c>
      <c r="AZ622" s="31">
        <f t="shared" si="429"/>
        <v>0</v>
      </c>
      <c r="BA622" s="31">
        <f t="shared" si="430"/>
        <v>0</v>
      </c>
      <c r="BB622" s="31">
        <f t="shared" si="459"/>
        <v>0</v>
      </c>
      <c r="BM622" s="8">
        <f t="shared" si="460"/>
        <v>0</v>
      </c>
      <c r="BN622" s="8">
        <f t="shared" si="431"/>
        <v>0</v>
      </c>
      <c r="BO622" s="8">
        <f t="shared" si="432"/>
        <v>0</v>
      </c>
      <c r="BQ622" s="8">
        <f t="shared" si="433"/>
        <v>0</v>
      </c>
      <c r="BR622" s="63">
        <f t="shared" si="434"/>
        <v>0</v>
      </c>
      <c r="BS622" s="63">
        <f t="shared" si="461"/>
        <v>0</v>
      </c>
      <c r="BT622" s="63">
        <f t="shared" si="435"/>
        <v>0</v>
      </c>
      <c r="BU622" s="63">
        <f t="shared" si="436"/>
        <v>0</v>
      </c>
      <c r="BV622" s="57">
        <f t="shared" si="437"/>
        <v>0</v>
      </c>
      <c r="BW622" s="57">
        <f t="shared" si="438"/>
        <v>0</v>
      </c>
      <c r="BX622" s="57">
        <f t="shared" si="462"/>
        <v>0</v>
      </c>
      <c r="BY622" s="57">
        <f t="shared" si="466"/>
        <v>0</v>
      </c>
      <c r="BZ622" s="8">
        <f t="shared" si="439"/>
        <v>0</v>
      </c>
      <c r="CA622" s="8">
        <f t="shared" si="440"/>
        <v>0</v>
      </c>
      <c r="CB622" s="8">
        <f t="shared" si="441"/>
        <v>0</v>
      </c>
      <c r="CC622" s="8">
        <f t="shared" si="442"/>
        <v>0</v>
      </c>
      <c r="CD622" s="8">
        <f t="shared" si="443"/>
        <v>0</v>
      </c>
      <c r="CE622" s="8">
        <f t="shared" si="444"/>
        <v>0</v>
      </c>
      <c r="CF622" s="8">
        <f t="shared" si="445"/>
        <v>0</v>
      </c>
      <c r="CG622" s="8">
        <f t="shared" si="446"/>
        <v>0</v>
      </c>
      <c r="CH622" s="8">
        <f t="shared" si="447"/>
        <v>0</v>
      </c>
      <c r="CI622" s="8">
        <f t="shared" si="448"/>
        <v>0</v>
      </c>
      <c r="CJ622" s="8">
        <f t="shared" si="449"/>
        <v>0</v>
      </c>
      <c r="CK622" s="8">
        <f t="shared" si="450"/>
        <v>0</v>
      </c>
      <c r="CL622" s="8">
        <f t="shared" si="451"/>
        <v>0</v>
      </c>
      <c r="CM622" s="8">
        <f t="shared" si="452"/>
        <v>0</v>
      </c>
      <c r="CN622" s="8">
        <f t="shared" si="453"/>
        <v>0</v>
      </c>
      <c r="CO622" s="8">
        <f t="shared" si="454"/>
        <v>0</v>
      </c>
      <c r="CP622" s="8">
        <f t="shared" si="455"/>
        <v>0</v>
      </c>
      <c r="CQ622" s="8">
        <f t="shared" si="456"/>
        <v>0</v>
      </c>
      <c r="CR622" s="8">
        <f t="shared" si="457"/>
        <v>0</v>
      </c>
      <c r="CS622" s="8">
        <f t="shared" si="458"/>
        <v>0</v>
      </c>
      <c r="CT622" s="8">
        <f t="shared" si="463"/>
        <v>0</v>
      </c>
      <c r="CU622" s="8">
        <f t="shared" si="464"/>
        <v>0</v>
      </c>
      <c r="CV622" s="8">
        <f t="shared" si="465"/>
        <v>0</v>
      </c>
    </row>
    <row r="623" spans="1:100" ht="20.5" thickTop="1" thickBot="1" x14ac:dyDescent="0.5">
      <c r="A623" s="32"/>
      <c r="B623" s="10"/>
      <c r="C623" s="10"/>
      <c r="D623" s="11"/>
      <c r="E623" s="10"/>
      <c r="F623" s="10"/>
      <c r="G623" s="19"/>
      <c r="H623" s="19"/>
      <c r="I623" s="19"/>
      <c r="J623" s="19"/>
      <c r="K623" s="10"/>
      <c r="L623" s="10"/>
      <c r="M623" s="10"/>
      <c r="N623" s="10"/>
      <c r="O623" s="18"/>
      <c r="P623" s="18"/>
      <c r="Q623" s="21"/>
      <c r="R623" s="20"/>
      <c r="S623" s="16">
        <f t="shared" si="421"/>
        <v>0</v>
      </c>
      <c r="T623" s="11"/>
      <c r="AS623" s="31">
        <f t="shared" si="422"/>
        <v>0</v>
      </c>
      <c r="AT623" s="31">
        <f t="shared" si="423"/>
        <v>0</v>
      </c>
      <c r="AU623" s="31">
        <f t="shared" si="424"/>
        <v>0</v>
      </c>
      <c r="AV623" s="31">
        <f t="shared" si="425"/>
        <v>0</v>
      </c>
      <c r="AW623" s="31">
        <f t="shared" si="426"/>
        <v>0</v>
      </c>
      <c r="AX623" s="31">
        <f t="shared" si="427"/>
        <v>0</v>
      </c>
      <c r="AY623" s="31">
        <f t="shared" si="428"/>
        <v>0</v>
      </c>
      <c r="AZ623" s="31">
        <f t="shared" si="429"/>
        <v>0</v>
      </c>
      <c r="BA623" s="31">
        <f t="shared" si="430"/>
        <v>0</v>
      </c>
      <c r="BB623" s="31">
        <f t="shared" si="459"/>
        <v>0</v>
      </c>
      <c r="BM623" s="8">
        <f t="shared" si="460"/>
        <v>0</v>
      </c>
      <c r="BN623" s="8">
        <f t="shared" si="431"/>
        <v>0</v>
      </c>
      <c r="BO623" s="8">
        <f t="shared" si="432"/>
        <v>0</v>
      </c>
      <c r="BQ623" s="8">
        <f t="shared" si="433"/>
        <v>0</v>
      </c>
      <c r="BR623" s="63">
        <f t="shared" si="434"/>
        <v>0</v>
      </c>
      <c r="BS623" s="63">
        <f t="shared" si="461"/>
        <v>0</v>
      </c>
      <c r="BT623" s="63">
        <f t="shared" si="435"/>
        <v>0</v>
      </c>
      <c r="BU623" s="63">
        <f t="shared" si="436"/>
        <v>0</v>
      </c>
      <c r="BV623" s="57">
        <f t="shared" si="437"/>
        <v>0</v>
      </c>
      <c r="BW623" s="57">
        <f t="shared" si="438"/>
        <v>0</v>
      </c>
      <c r="BX623" s="57">
        <f t="shared" si="462"/>
        <v>0</v>
      </c>
      <c r="BY623" s="57">
        <f t="shared" si="466"/>
        <v>0</v>
      </c>
      <c r="BZ623" s="8">
        <f t="shared" si="439"/>
        <v>0</v>
      </c>
      <c r="CA623" s="8">
        <f t="shared" si="440"/>
        <v>0</v>
      </c>
      <c r="CB623" s="8">
        <f t="shared" si="441"/>
        <v>0</v>
      </c>
      <c r="CC623" s="8">
        <f t="shared" si="442"/>
        <v>0</v>
      </c>
      <c r="CD623" s="8">
        <f t="shared" si="443"/>
        <v>0</v>
      </c>
      <c r="CE623" s="8">
        <f t="shared" si="444"/>
        <v>0</v>
      </c>
      <c r="CF623" s="8">
        <f t="shared" si="445"/>
        <v>0</v>
      </c>
      <c r="CG623" s="8">
        <f t="shared" si="446"/>
        <v>0</v>
      </c>
      <c r="CH623" s="8">
        <f t="shared" si="447"/>
        <v>0</v>
      </c>
      <c r="CI623" s="8">
        <f t="shared" si="448"/>
        <v>0</v>
      </c>
      <c r="CJ623" s="8">
        <f t="shared" si="449"/>
        <v>0</v>
      </c>
      <c r="CK623" s="8">
        <f t="shared" si="450"/>
        <v>0</v>
      </c>
      <c r="CL623" s="8">
        <f t="shared" si="451"/>
        <v>0</v>
      </c>
      <c r="CM623" s="8">
        <f t="shared" si="452"/>
        <v>0</v>
      </c>
      <c r="CN623" s="8">
        <f t="shared" si="453"/>
        <v>0</v>
      </c>
      <c r="CO623" s="8">
        <f t="shared" si="454"/>
        <v>0</v>
      </c>
      <c r="CP623" s="8">
        <f t="shared" si="455"/>
        <v>0</v>
      </c>
      <c r="CQ623" s="8">
        <f t="shared" si="456"/>
        <v>0</v>
      </c>
      <c r="CR623" s="8">
        <f t="shared" si="457"/>
        <v>0</v>
      </c>
      <c r="CS623" s="8">
        <f t="shared" si="458"/>
        <v>0</v>
      </c>
      <c r="CT623" s="8">
        <f t="shared" si="463"/>
        <v>0</v>
      </c>
      <c r="CU623" s="8">
        <f t="shared" si="464"/>
        <v>0</v>
      </c>
      <c r="CV623" s="8">
        <f t="shared" si="465"/>
        <v>0</v>
      </c>
    </row>
    <row r="624" spans="1:100" ht="20.5" thickTop="1" thickBot="1" x14ac:dyDescent="0.5">
      <c r="A624" s="32"/>
      <c r="B624" s="10"/>
      <c r="C624" s="10"/>
      <c r="D624" s="11"/>
      <c r="E624" s="10"/>
      <c r="F624" s="10"/>
      <c r="G624" s="19"/>
      <c r="H624" s="19"/>
      <c r="I624" s="19"/>
      <c r="J624" s="19"/>
      <c r="K624" s="10"/>
      <c r="L624" s="10"/>
      <c r="M624" s="10"/>
      <c r="N624" s="10"/>
      <c r="O624" s="18"/>
      <c r="P624" s="18"/>
      <c r="Q624" s="21"/>
      <c r="R624" s="20"/>
      <c r="S624" s="16">
        <f t="shared" si="421"/>
        <v>0</v>
      </c>
      <c r="T624" s="11"/>
      <c r="AS624" s="31">
        <f t="shared" si="422"/>
        <v>0</v>
      </c>
      <c r="AT624" s="31">
        <f t="shared" si="423"/>
        <v>0</v>
      </c>
      <c r="AU624" s="31">
        <f t="shared" si="424"/>
        <v>0</v>
      </c>
      <c r="AV624" s="31">
        <f t="shared" si="425"/>
        <v>0</v>
      </c>
      <c r="AW624" s="31">
        <f t="shared" si="426"/>
        <v>0</v>
      </c>
      <c r="AX624" s="31">
        <f t="shared" si="427"/>
        <v>0</v>
      </c>
      <c r="AY624" s="31">
        <f t="shared" si="428"/>
        <v>0</v>
      </c>
      <c r="AZ624" s="31">
        <f t="shared" si="429"/>
        <v>0</v>
      </c>
      <c r="BA624" s="31">
        <f t="shared" si="430"/>
        <v>0</v>
      </c>
      <c r="BB624" s="31">
        <f t="shared" si="459"/>
        <v>0</v>
      </c>
      <c r="BM624" s="8">
        <f t="shared" si="460"/>
        <v>0</v>
      </c>
      <c r="BN624" s="8">
        <f t="shared" si="431"/>
        <v>0</v>
      </c>
      <c r="BO624" s="8">
        <f t="shared" si="432"/>
        <v>0</v>
      </c>
      <c r="BQ624" s="8">
        <f t="shared" si="433"/>
        <v>0</v>
      </c>
      <c r="BR624" s="63">
        <f t="shared" si="434"/>
        <v>0</v>
      </c>
      <c r="BS624" s="63">
        <f t="shared" si="461"/>
        <v>0</v>
      </c>
      <c r="BT624" s="63">
        <f t="shared" si="435"/>
        <v>0</v>
      </c>
      <c r="BU624" s="63">
        <f t="shared" si="436"/>
        <v>0</v>
      </c>
      <c r="BV624" s="57">
        <f t="shared" si="437"/>
        <v>0</v>
      </c>
      <c r="BW624" s="57">
        <f t="shared" si="438"/>
        <v>0</v>
      </c>
      <c r="BX624" s="57">
        <f t="shared" si="462"/>
        <v>0</v>
      </c>
      <c r="BY624" s="57">
        <f t="shared" si="466"/>
        <v>0</v>
      </c>
      <c r="BZ624" s="8">
        <f t="shared" si="439"/>
        <v>0</v>
      </c>
      <c r="CA624" s="8">
        <f t="shared" si="440"/>
        <v>0</v>
      </c>
      <c r="CB624" s="8">
        <f t="shared" si="441"/>
        <v>0</v>
      </c>
      <c r="CC624" s="8">
        <f t="shared" si="442"/>
        <v>0</v>
      </c>
      <c r="CD624" s="8">
        <f t="shared" si="443"/>
        <v>0</v>
      </c>
      <c r="CE624" s="8">
        <f t="shared" si="444"/>
        <v>0</v>
      </c>
      <c r="CF624" s="8">
        <f t="shared" si="445"/>
        <v>0</v>
      </c>
      <c r="CG624" s="8">
        <f t="shared" si="446"/>
        <v>0</v>
      </c>
      <c r="CH624" s="8">
        <f t="shared" si="447"/>
        <v>0</v>
      </c>
      <c r="CI624" s="8">
        <f t="shared" si="448"/>
        <v>0</v>
      </c>
      <c r="CJ624" s="8">
        <f t="shared" si="449"/>
        <v>0</v>
      </c>
      <c r="CK624" s="8">
        <f t="shared" si="450"/>
        <v>0</v>
      </c>
      <c r="CL624" s="8">
        <f t="shared" si="451"/>
        <v>0</v>
      </c>
      <c r="CM624" s="8">
        <f t="shared" si="452"/>
        <v>0</v>
      </c>
      <c r="CN624" s="8">
        <f t="shared" si="453"/>
        <v>0</v>
      </c>
      <c r="CO624" s="8">
        <f t="shared" si="454"/>
        <v>0</v>
      </c>
      <c r="CP624" s="8">
        <f t="shared" si="455"/>
        <v>0</v>
      </c>
      <c r="CQ624" s="8">
        <f t="shared" si="456"/>
        <v>0</v>
      </c>
      <c r="CR624" s="8">
        <f t="shared" si="457"/>
        <v>0</v>
      </c>
      <c r="CS624" s="8">
        <f t="shared" si="458"/>
        <v>0</v>
      </c>
      <c r="CT624" s="8">
        <f t="shared" si="463"/>
        <v>0</v>
      </c>
      <c r="CU624" s="8">
        <f t="shared" si="464"/>
        <v>0</v>
      </c>
      <c r="CV624" s="8">
        <f t="shared" si="465"/>
        <v>0</v>
      </c>
    </row>
    <row r="625" spans="1:100" ht="20.5" thickTop="1" thickBot="1" x14ac:dyDescent="0.5">
      <c r="A625" s="32"/>
      <c r="B625" s="10"/>
      <c r="C625" s="10"/>
      <c r="D625" s="11"/>
      <c r="E625" s="10"/>
      <c r="F625" s="10"/>
      <c r="G625" s="19"/>
      <c r="H625" s="19"/>
      <c r="I625" s="19"/>
      <c r="J625" s="19"/>
      <c r="K625" s="10"/>
      <c r="L625" s="10"/>
      <c r="M625" s="10"/>
      <c r="N625" s="10"/>
      <c r="O625" s="18"/>
      <c r="P625" s="18"/>
      <c r="Q625" s="21"/>
      <c r="R625" s="20"/>
      <c r="S625" s="16">
        <f t="shared" si="421"/>
        <v>0</v>
      </c>
      <c r="T625" s="11"/>
      <c r="AS625" s="31">
        <f t="shared" si="422"/>
        <v>0</v>
      </c>
      <c r="AT625" s="31">
        <f t="shared" si="423"/>
        <v>0</v>
      </c>
      <c r="AU625" s="31">
        <f t="shared" si="424"/>
        <v>0</v>
      </c>
      <c r="AV625" s="31">
        <f t="shared" si="425"/>
        <v>0</v>
      </c>
      <c r="AW625" s="31">
        <f t="shared" si="426"/>
        <v>0</v>
      </c>
      <c r="AX625" s="31">
        <f t="shared" si="427"/>
        <v>0</v>
      </c>
      <c r="AY625" s="31">
        <f t="shared" si="428"/>
        <v>0</v>
      </c>
      <c r="AZ625" s="31">
        <f t="shared" si="429"/>
        <v>0</v>
      </c>
      <c r="BA625" s="31">
        <f t="shared" si="430"/>
        <v>0</v>
      </c>
      <c r="BB625" s="31">
        <f t="shared" si="459"/>
        <v>0</v>
      </c>
      <c r="BM625" s="8">
        <f t="shared" si="460"/>
        <v>0</v>
      </c>
      <c r="BN625" s="8">
        <f t="shared" si="431"/>
        <v>0</v>
      </c>
      <c r="BO625" s="8">
        <f t="shared" si="432"/>
        <v>0</v>
      </c>
      <c r="BQ625" s="8">
        <f t="shared" si="433"/>
        <v>0</v>
      </c>
      <c r="BR625" s="63">
        <f t="shared" si="434"/>
        <v>0</v>
      </c>
      <c r="BS625" s="63">
        <f t="shared" si="461"/>
        <v>0</v>
      </c>
      <c r="BT625" s="63">
        <f t="shared" si="435"/>
        <v>0</v>
      </c>
      <c r="BU625" s="63">
        <f t="shared" si="436"/>
        <v>0</v>
      </c>
      <c r="BV625" s="57">
        <f t="shared" si="437"/>
        <v>0</v>
      </c>
      <c r="BW625" s="57">
        <f t="shared" si="438"/>
        <v>0</v>
      </c>
      <c r="BX625" s="57">
        <f t="shared" si="462"/>
        <v>0</v>
      </c>
      <c r="BY625" s="57">
        <f t="shared" si="466"/>
        <v>0</v>
      </c>
      <c r="BZ625" s="8">
        <f t="shared" si="439"/>
        <v>0</v>
      </c>
      <c r="CA625" s="8">
        <f t="shared" si="440"/>
        <v>0</v>
      </c>
      <c r="CB625" s="8">
        <f t="shared" si="441"/>
        <v>0</v>
      </c>
      <c r="CC625" s="8">
        <f t="shared" si="442"/>
        <v>0</v>
      </c>
      <c r="CD625" s="8">
        <f t="shared" si="443"/>
        <v>0</v>
      </c>
      <c r="CE625" s="8">
        <f t="shared" si="444"/>
        <v>0</v>
      </c>
      <c r="CF625" s="8">
        <f t="shared" si="445"/>
        <v>0</v>
      </c>
      <c r="CG625" s="8">
        <f t="shared" si="446"/>
        <v>0</v>
      </c>
      <c r="CH625" s="8">
        <f t="shared" si="447"/>
        <v>0</v>
      </c>
      <c r="CI625" s="8">
        <f t="shared" si="448"/>
        <v>0</v>
      </c>
      <c r="CJ625" s="8">
        <f t="shared" si="449"/>
        <v>0</v>
      </c>
      <c r="CK625" s="8">
        <f t="shared" si="450"/>
        <v>0</v>
      </c>
      <c r="CL625" s="8">
        <f t="shared" si="451"/>
        <v>0</v>
      </c>
      <c r="CM625" s="8">
        <f t="shared" si="452"/>
        <v>0</v>
      </c>
      <c r="CN625" s="8">
        <f t="shared" si="453"/>
        <v>0</v>
      </c>
      <c r="CO625" s="8">
        <f t="shared" si="454"/>
        <v>0</v>
      </c>
      <c r="CP625" s="8">
        <f t="shared" si="455"/>
        <v>0</v>
      </c>
      <c r="CQ625" s="8">
        <f t="shared" si="456"/>
        <v>0</v>
      </c>
      <c r="CR625" s="8">
        <f t="shared" si="457"/>
        <v>0</v>
      </c>
      <c r="CS625" s="8">
        <f t="shared" si="458"/>
        <v>0</v>
      </c>
      <c r="CT625" s="8">
        <f t="shared" si="463"/>
        <v>0</v>
      </c>
      <c r="CU625" s="8">
        <f t="shared" si="464"/>
        <v>0</v>
      </c>
      <c r="CV625" s="8">
        <f t="shared" si="465"/>
        <v>0</v>
      </c>
    </row>
    <row r="626" spans="1:100" ht="20.5" thickTop="1" thickBot="1" x14ac:dyDescent="0.5">
      <c r="A626" s="32"/>
      <c r="B626" s="10"/>
      <c r="C626" s="10"/>
      <c r="D626" s="11"/>
      <c r="E626" s="10"/>
      <c r="F626" s="10"/>
      <c r="G626" s="19"/>
      <c r="H626" s="19"/>
      <c r="I626" s="19"/>
      <c r="J626" s="19"/>
      <c r="K626" s="10"/>
      <c r="L626" s="10"/>
      <c r="M626" s="10"/>
      <c r="N626" s="10"/>
      <c r="O626" s="18"/>
      <c r="P626" s="18"/>
      <c r="Q626" s="21"/>
      <c r="R626" s="20"/>
      <c r="S626" s="16">
        <f t="shared" si="421"/>
        <v>0</v>
      </c>
      <c r="T626" s="11"/>
      <c r="AS626" s="31">
        <f t="shared" si="422"/>
        <v>0</v>
      </c>
      <c r="AT626" s="31">
        <f t="shared" si="423"/>
        <v>0</v>
      </c>
      <c r="AU626" s="31">
        <f t="shared" si="424"/>
        <v>0</v>
      </c>
      <c r="AV626" s="31">
        <f t="shared" si="425"/>
        <v>0</v>
      </c>
      <c r="AW626" s="31">
        <f t="shared" si="426"/>
        <v>0</v>
      </c>
      <c r="AX626" s="31">
        <f t="shared" si="427"/>
        <v>0</v>
      </c>
      <c r="AY626" s="31">
        <f t="shared" si="428"/>
        <v>0</v>
      </c>
      <c r="AZ626" s="31">
        <f t="shared" si="429"/>
        <v>0</v>
      </c>
      <c r="BA626" s="31">
        <f t="shared" si="430"/>
        <v>0</v>
      </c>
      <c r="BB626" s="31">
        <f t="shared" si="459"/>
        <v>0</v>
      </c>
      <c r="BM626" s="8">
        <f t="shared" si="460"/>
        <v>0</v>
      </c>
      <c r="BN626" s="8">
        <f t="shared" si="431"/>
        <v>0</v>
      </c>
      <c r="BO626" s="8">
        <f t="shared" si="432"/>
        <v>0</v>
      </c>
      <c r="BQ626" s="8">
        <f t="shared" si="433"/>
        <v>0</v>
      </c>
      <c r="BR626" s="63">
        <f t="shared" si="434"/>
        <v>0</v>
      </c>
      <c r="BS626" s="63">
        <f t="shared" si="461"/>
        <v>0</v>
      </c>
      <c r="BT626" s="63">
        <f t="shared" si="435"/>
        <v>0</v>
      </c>
      <c r="BU626" s="63">
        <f t="shared" si="436"/>
        <v>0</v>
      </c>
      <c r="BV626" s="57">
        <f t="shared" si="437"/>
        <v>0</v>
      </c>
      <c r="BW626" s="57">
        <f t="shared" si="438"/>
        <v>0</v>
      </c>
      <c r="BX626" s="57">
        <f t="shared" si="462"/>
        <v>0</v>
      </c>
      <c r="BY626" s="57">
        <f t="shared" si="466"/>
        <v>0</v>
      </c>
      <c r="BZ626" s="8">
        <f t="shared" si="439"/>
        <v>0</v>
      </c>
      <c r="CA626" s="8">
        <f t="shared" si="440"/>
        <v>0</v>
      </c>
      <c r="CB626" s="8">
        <f t="shared" si="441"/>
        <v>0</v>
      </c>
      <c r="CC626" s="8">
        <f t="shared" si="442"/>
        <v>0</v>
      </c>
      <c r="CD626" s="8">
        <f t="shared" si="443"/>
        <v>0</v>
      </c>
      <c r="CE626" s="8">
        <f t="shared" si="444"/>
        <v>0</v>
      </c>
      <c r="CF626" s="8">
        <f t="shared" si="445"/>
        <v>0</v>
      </c>
      <c r="CG626" s="8">
        <f t="shared" si="446"/>
        <v>0</v>
      </c>
      <c r="CH626" s="8">
        <f t="shared" si="447"/>
        <v>0</v>
      </c>
      <c r="CI626" s="8">
        <f t="shared" si="448"/>
        <v>0</v>
      </c>
      <c r="CJ626" s="8">
        <f t="shared" si="449"/>
        <v>0</v>
      </c>
      <c r="CK626" s="8">
        <f t="shared" si="450"/>
        <v>0</v>
      </c>
      <c r="CL626" s="8">
        <f t="shared" si="451"/>
        <v>0</v>
      </c>
      <c r="CM626" s="8">
        <f t="shared" si="452"/>
        <v>0</v>
      </c>
      <c r="CN626" s="8">
        <f t="shared" si="453"/>
        <v>0</v>
      </c>
      <c r="CO626" s="8">
        <f t="shared" si="454"/>
        <v>0</v>
      </c>
      <c r="CP626" s="8">
        <f t="shared" si="455"/>
        <v>0</v>
      </c>
      <c r="CQ626" s="8">
        <f t="shared" si="456"/>
        <v>0</v>
      </c>
      <c r="CR626" s="8">
        <f t="shared" si="457"/>
        <v>0</v>
      </c>
      <c r="CS626" s="8">
        <f t="shared" si="458"/>
        <v>0</v>
      </c>
      <c r="CT626" s="8">
        <f t="shared" si="463"/>
        <v>0</v>
      </c>
      <c r="CU626" s="8">
        <f t="shared" si="464"/>
        <v>0</v>
      </c>
      <c r="CV626" s="8">
        <f t="shared" si="465"/>
        <v>0</v>
      </c>
    </row>
    <row r="627" spans="1:100" ht="20.5" thickTop="1" thickBot="1" x14ac:dyDescent="0.5">
      <c r="A627" s="32"/>
      <c r="B627" s="10"/>
      <c r="C627" s="10"/>
      <c r="D627" s="11"/>
      <c r="E627" s="10"/>
      <c r="F627" s="10"/>
      <c r="G627" s="19"/>
      <c r="H627" s="19"/>
      <c r="I627" s="19"/>
      <c r="J627" s="19"/>
      <c r="K627" s="10"/>
      <c r="L627" s="10"/>
      <c r="M627" s="10"/>
      <c r="N627" s="10"/>
      <c r="O627" s="18"/>
      <c r="P627" s="18"/>
      <c r="Q627" s="21"/>
      <c r="R627" s="20"/>
      <c r="S627" s="16">
        <f t="shared" si="421"/>
        <v>0</v>
      </c>
      <c r="T627" s="11"/>
      <c r="AS627" s="31">
        <f t="shared" si="422"/>
        <v>0</v>
      </c>
      <c r="AT627" s="31">
        <f t="shared" si="423"/>
        <v>0</v>
      </c>
      <c r="AU627" s="31">
        <f t="shared" si="424"/>
        <v>0</v>
      </c>
      <c r="AV627" s="31">
        <f t="shared" si="425"/>
        <v>0</v>
      </c>
      <c r="AW627" s="31">
        <f t="shared" si="426"/>
        <v>0</v>
      </c>
      <c r="AX627" s="31">
        <f t="shared" si="427"/>
        <v>0</v>
      </c>
      <c r="AY627" s="31">
        <f t="shared" si="428"/>
        <v>0</v>
      </c>
      <c r="AZ627" s="31">
        <f t="shared" si="429"/>
        <v>0</v>
      </c>
      <c r="BA627" s="31">
        <f t="shared" si="430"/>
        <v>0</v>
      </c>
      <c r="BB627" s="31">
        <f t="shared" si="459"/>
        <v>0</v>
      </c>
      <c r="BM627" s="8">
        <f t="shared" si="460"/>
        <v>0</v>
      </c>
      <c r="BN627" s="8">
        <f t="shared" si="431"/>
        <v>0</v>
      </c>
      <c r="BO627" s="8">
        <f t="shared" si="432"/>
        <v>0</v>
      </c>
      <c r="BQ627" s="8">
        <f t="shared" si="433"/>
        <v>0</v>
      </c>
      <c r="BR627" s="63">
        <f t="shared" si="434"/>
        <v>0</v>
      </c>
      <c r="BS627" s="63">
        <f t="shared" si="461"/>
        <v>0</v>
      </c>
      <c r="BT627" s="63">
        <f t="shared" si="435"/>
        <v>0</v>
      </c>
      <c r="BU627" s="63">
        <f t="shared" si="436"/>
        <v>0</v>
      </c>
      <c r="BV627" s="57">
        <f t="shared" si="437"/>
        <v>0</v>
      </c>
      <c r="BW627" s="57">
        <f t="shared" si="438"/>
        <v>0</v>
      </c>
      <c r="BX627" s="57">
        <f t="shared" si="462"/>
        <v>0</v>
      </c>
      <c r="BY627" s="57">
        <f t="shared" si="466"/>
        <v>0</v>
      </c>
      <c r="BZ627" s="8">
        <f t="shared" si="439"/>
        <v>0</v>
      </c>
      <c r="CA627" s="8">
        <f t="shared" si="440"/>
        <v>0</v>
      </c>
      <c r="CB627" s="8">
        <f t="shared" si="441"/>
        <v>0</v>
      </c>
      <c r="CC627" s="8">
        <f t="shared" si="442"/>
        <v>0</v>
      </c>
      <c r="CD627" s="8">
        <f t="shared" si="443"/>
        <v>0</v>
      </c>
      <c r="CE627" s="8">
        <f t="shared" si="444"/>
        <v>0</v>
      </c>
      <c r="CF627" s="8">
        <f t="shared" si="445"/>
        <v>0</v>
      </c>
      <c r="CG627" s="8">
        <f t="shared" si="446"/>
        <v>0</v>
      </c>
      <c r="CH627" s="8">
        <f t="shared" si="447"/>
        <v>0</v>
      </c>
      <c r="CI627" s="8">
        <f t="shared" si="448"/>
        <v>0</v>
      </c>
      <c r="CJ627" s="8">
        <f t="shared" si="449"/>
        <v>0</v>
      </c>
      <c r="CK627" s="8">
        <f t="shared" si="450"/>
        <v>0</v>
      </c>
      <c r="CL627" s="8">
        <f t="shared" si="451"/>
        <v>0</v>
      </c>
      <c r="CM627" s="8">
        <f t="shared" si="452"/>
        <v>0</v>
      </c>
      <c r="CN627" s="8">
        <f t="shared" si="453"/>
        <v>0</v>
      </c>
      <c r="CO627" s="8">
        <f t="shared" si="454"/>
        <v>0</v>
      </c>
      <c r="CP627" s="8">
        <f t="shared" si="455"/>
        <v>0</v>
      </c>
      <c r="CQ627" s="8">
        <f t="shared" si="456"/>
        <v>0</v>
      </c>
      <c r="CR627" s="8">
        <f t="shared" si="457"/>
        <v>0</v>
      </c>
      <c r="CS627" s="8">
        <f t="shared" si="458"/>
        <v>0</v>
      </c>
      <c r="CT627" s="8">
        <f t="shared" si="463"/>
        <v>0</v>
      </c>
      <c r="CU627" s="8">
        <f t="shared" si="464"/>
        <v>0</v>
      </c>
      <c r="CV627" s="8">
        <f t="shared" si="465"/>
        <v>0</v>
      </c>
    </row>
    <row r="628" spans="1:100" ht="20.5" thickTop="1" thickBot="1" x14ac:dyDescent="0.5">
      <c r="A628" s="32"/>
      <c r="B628" s="10"/>
      <c r="C628" s="10"/>
      <c r="D628" s="11"/>
      <c r="E628" s="10"/>
      <c r="F628" s="10"/>
      <c r="G628" s="19"/>
      <c r="H628" s="19"/>
      <c r="I628" s="19"/>
      <c r="J628" s="19"/>
      <c r="K628" s="10"/>
      <c r="L628" s="10"/>
      <c r="M628" s="10"/>
      <c r="N628" s="10"/>
      <c r="O628" s="18"/>
      <c r="P628" s="18"/>
      <c r="Q628" s="21"/>
      <c r="R628" s="20"/>
      <c r="S628" s="16">
        <f t="shared" si="421"/>
        <v>0</v>
      </c>
      <c r="T628" s="11"/>
      <c r="AS628" s="31">
        <f t="shared" si="422"/>
        <v>0</v>
      </c>
      <c r="AT628" s="31">
        <f t="shared" si="423"/>
        <v>0</v>
      </c>
      <c r="AU628" s="31">
        <f t="shared" si="424"/>
        <v>0</v>
      </c>
      <c r="AV628" s="31">
        <f t="shared" si="425"/>
        <v>0</v>
      </c>
      <c r="AW628" s="31">
        <f t="shared" si="426"/>
        <v>0</v>
      </c>
      <c r="AX628" s="31">
        <f t="shared" si="427"/>
        <v>0</v>
      </c>
      <c r="AY628" s="31">
        <f t="shared" si="428"/>
        <v>0</v>
      </c>
      <c r="AZ628" s="31">
        <f t="shared" si="429"/>
        <v>0</v>
      </c>
      <c r="BA628" s="31">
        <f t="shared" si="430"/>
        <v>0</v>
      </c>
      <c r="BB628" s="31">
        <f t="shared" si="459"/>
        <v>0</v>
      </c>
      <c r="BM628" s="8">
        <f t="shared" si="460"/>
        <v>0</v>
      </c>
      <c r="BN628" s="8">
        <f t="shared" si="431"/>
        <v>0</v>
      </c>
      <c r="BO628" s="8">
        <f t="shared" si="432"/>
        <v>0</v>
      </c>
      <c r="BQ628" s="8">
        <f t="shared" si="433"/>
        <v>0</v>
      </c>
      <c r="BR628" s="63">
        <f t="shared" si="434"/>
        <v>0</v>
      </c>
      <c r="BS628" s="63">
        <f t="shared" si="461"/>
        <v>0</v>
      </c>
      <c r="BT628" s="63">
        <f t="shared" si="435"/>
        <v>0</v>
      </c>
      <c r="BU628" s="63">
        <f t="shared" si="436"/>
        <v>0</v>
      </c>
      <c r="BV628" s="57">
        <f t="shared" si="437"/>
        <v>0</v>
      </c>
      <c r="BW628" s="57">
        <f t="shared" si="438"/>
        <v>0</v>
      </c>
      <c r="BX628" s="57">
        <f t="shared" si="462"/>
        <v>0</v>
      </c>
      <c r="BY628" s="57">
        <f t="shared" si="466"/>
        <v>0</v>
      </c>
      <c r="BZ628" s="8">
        <f t="shared" si="439"/>
        <v>0</v>
      </c>
      <c r="CA628" s="8">
        <f t="shared" si="440"/>
        <v>0</v>
      </c>
      <c r="CB628" s="8">
        <f t="shared" si="441"/>
        <v>0</v>
      </c>
      <c r="CC628" s="8">
        <f t="shared" si="442"/>
        <v>0</v>
      </c>
      <c r="CD628" s="8">
        <f t="shared" si="443"/>
        <v>0</v>
      </c>
      <c r="CE628" s="8">
        <f t="shared" si="444"/>
        <v>0</v>
      </c>
      <c r="CF628" s="8">
        <f t="shared" si="445"/>
        <v>0</v>
      </c>
      <c r="CG628" s="8">
        <f t="shared" si="446"/>
        <v>0</v>
      </c>
      <c r="CH628" s="8">
        <f t="shared" si="447"/>
        <v>0</v>
      </c>
      <c r="CI628" s="8">
        <f t="shared" si="448"/>
        <v>0</v>
      </c>
      <c r="CJ628" s="8">
        <f t="shared" si="449"/>
        <v>0</v>
      </c>
      <c r="CK628" s="8">
        <f t="shared" si="450"/>
        <v>0</v>
      </c>
      <c r="CL628" s="8">
        <f t="shared" si="451"/>
        <v>0</v>
      </c>
      <c r="CM628" s="8">
        <f t="shared" si="452"/>
        <v>0</v>
      </c>
      <c r="CN628" s="8">
        <f t="shared" si="453"/>
        <v>0</v>
      </c>
      <c r="CO628" s="8">
        <f t="shared" si="454"/>
        <v>0</v>
      </c>
      <c r="CP628" s="8">
        <f t="shared" si="455"/>
        <v>0</v>
      </c>
      <c r="CQ628" s="8">
        <f t="shared" si="456"/>
        <v>0</v>
      </c>
      <c r="CR628" s="8">
        <f t="shared" si="457"/>
        <v>0</v>
      </c>
      <c r="CS628" s="8">
        <f t="shared" si="458"/>
        <v>0</v>
      </c>
      <c r="CT628" s="8">
        <f t="shared" si="463"/>
        <v>0</v>
      </c>
      <c r="CU628" s="8">
        <f t="shared" si="464"/>
        <v>0</v>
      </c>
      <c r="CV628" s="8">
        <f t="shared" si="465"/>
        <v>0</v>
      </c>
    </row>
    <row r="629" spans="1:100" ht="20.5" thickTop="1" thickBot="1" x14ac:dyDescent="0.5">
      <c r="A629" s="32"/>
      <c r="B629" s="10"/>
      <c r="C629" s="10"/>
      <c r="D629" s="11"/>
      <c r="E629" s="10"/>
      <c r="F629" s="10"/>
      <c r="G629" s="19"/>
      <c r="H629" s="19"/>
      <c r="I629" s="19"/>
      <c r="J629" s="19"/>
      <c r="K629" s="10"/>
      <c r="L629" s="10"/>
      <c r="M629" s="10"/>
      <c r="N629" s="10"/>
      <c r="O629" s="18"/>
      <c r="P629" s="18"/>
      <c r="Q629" s="21"/>
      <c r="R629" s="20"/>
      <c r="S629" s="16">
        <f t="shared" si="421"/>
        <v>0</v>
      </c>
      <c r="T629" s="11"/>
      <c r="AS629" s="31">
        <f t="shared" si="422"/>
        <v>0</v>
      </c>
      <c r="AT629" s="31">
        <f t="shared" si="423"/>
        <v>0</v>
      </c>
      <c r="AU629" s="31">
        <f t="shared" si="424"/>
        <v>0</v>
      </c>
      <c r="AV629" s="31">
        <f t="shared" si="425"/>
        <v>0</v>
      </c>
      <c r="AW629" s="31">
        <f t="shared" si="426"/>
        <v>0</v>
      </c>
      <c r="AX629" s="31">
        <f t="shared" si="427"/>
        <v>0</v>
      </c>
      <c r="AY629" s="31">
        <f t="shared" si="428"/>
        <v>0</v>
      </c>
      <c r="AZ629" s="31">
        <f t="shared" si="429"/>
        <v>0</v>
      </c>
      <c r="BA629" s="31">
        <f t="shared" si="430"/>
        <v>0</v>
      </c>
      <c r="BB629" s="31">
        <f t="shared" si="459"/>
        <v>0</v>
      </c>
      <c r="BM629" s="8">
        <f t="shared" si="460"/>
        <v>0</v>
      </c>
      <c r="BN629" s="8">
        <f t="shared" si="431"/>
        <v>0</v>
      </c>
      <c r="BO629" s="8">
        <f t="shared" si="432"/>
        <v>0</v>
      </c>
      <c r="BQ629" s="8">
        <f t="shared" si="433"/>
        <v>0</v>
      </c>
      <c r="BR629" s="63">
        <f t="shared" si="434"/>
        <v>0</v>
      </c>
      <c r="BS629" s="63">
        <f t="shared" si="461"/>
        <v>0</v>
      </c>
      <c r="BT629" s="63">
        <f t="shared" si="435"/>
        <v>0</v>
      </c>
      <c r="BU629" s="63">
        <f t="shared" si="436"/>
        <v>0</v>
      </c>
      <c r="BV629" s="57">
        <f t="shared" si="437"/>
        <v>0</v>
      </c>
      <c r="BW629" s="57">
        <f t="shared" si="438"/>
        <v>0</v>
      </c>
      <c r="BX629" s="57">
        <f t="shared" si="462"/>
        <v>0</v>
      </c>
      <c r="BY629" s="57">
        <f t="shared" si="466"/>
        <v>0</v>
      </c>
      <c r="BZ629" s="8">
        <f t="shared" si="439"/>
        <v>0</v>
      </c>
      <c r="CA629" s="8">
        <f t="shared" si="440"/>
        <v>0</v>
      </c>
      <c r="CB629" s="8">
        <f t="shared" si="441"/>
        <v>0</v>
      </c>
      <c r="CC629" s="8">
        <f t="shared" si="442"/>
        <v>0</v>
      </c>
      <c r="CD629" s="8">
        <f t="shared" si="443"/>
        <v>0</v>
      </c>
      <c r="CE629" s="8">
        <f t="shared" si="444"/>
        <v>0</v>
      </c>
      <c r="CF629" s="8">
        <f t="shared" si="445"/>
        <v>0</v>
      </c>
      <c r="CG629" s="8">
        <f t="shared" si="446"/>
        <v>0</v>
      </c>
      <c r="CH629" s="8">
        <f t="shared" si="447"/>
        <v>0</v>
      </c>
      <c r="CI629" s="8">
        <f t="shared" si="448"/>
        <v>0</v>
      </c>
      <c r="CJ629" s="8">
        <f t="shared" si="449"/>
        <v>0</v>
      </c>
      <c r="CK629" s="8">
        <f t="shared" si="450"/>
        <v>0</v>
      </c>
      <c r="CL629" s="8">
        <f t="shared" si="451"/>
        <v>0</v>
      </c>
      <c r="CM629" s="8">
        <f t="shared" si="452"/>
        <v>0</v>
      </c>
      <c r="CN629" s="8">
        <f t="shared" si="453"/>
        <v>0</v>
      </c>
      <c r="CO629" s="8">
        <f t="shared" si="454"/>
        <v>0</v>
      </c>
      <c r="CP629" s="8">
        <f t="shared" si="455"/>
        <v>0</v>
      </c>
      <c r="CQ629" s="8">
        <f t="shared" si="456"/>
        <v>0</v>
      </c>
      <c r="CR629" s="8">
        <f t="shared" si="457"/>
        <v>0</v>
      </c>
      <c r="CS629" s="8">
        <f t="shared" si="458"/>
        <v>0</v>
      </c>
      <c r="CT629" s="8">
        <f t="shared" si="463"/>
        <v>0</v>
      </c>
      <c r="CU629" s="8">
        <f t="shared" si="464"/>
        <v>0</v>
      </c>
      <c r="CV629" s="8">
        <f t="shared" si="465"/>
        <v>0</v>
      </c>
    </row>
    <row r="630" spans="1:100" ht="20.5" thickTop="1" thickBot="1" x14ac:dyDescent="0.5">
      <c r="A630" s="32"/>
      <c r="B630" s="10"/>
      <c r="C630" s="10"/>
      <c r="D630" s="11"/>
      <c r="E630" s="10"/>
      <c r="F630" s="10"/>
      <c r="G630" s="19"/>
      <c r="H630" s="19"/>
      <c r="I630" s="19"/>
      <c r="J630" s="19"/>
      <c r="K630" s="10"/>
      <c r="L630" s="10"/>
      <c r="M630" s="10"/>
      <c r="N630" s="10"/>
      <c r="O630" s="18"/>
      <c r="P630" s="18"/>
      <c r="Q630" s="21"/>
      <c r="R630" s="20"/>
      <c r="S630" s="16">
        <f t="shared" si="421"/>
        <v>0</v>
      </c>
      <c r="T630" s="11"/>
      <c r="AS630" s="31">
        <f t="shared" si="422"/>
        <v>0</v>
      </c>
      <c r="AT630" s="31">
        <f t="shared" si="423"/>
        <v>0</v>
      </c>
      <c r="AU630" s="31">
        <f t="shared" si="424"/>
        <v>0</v>
      </c>
      <c r="AV630" s="31">
        <f t="shared" si="425"/>
        <v>0</v>
      </c>
      <c r="AW630" s="31">
        <f t="shared" si="426"/>
        <v>0</v>
      </c>
      <c r="AX630" s="31">
        <f t="shared" si="427"/>
        <v>0</v>
      </c>
      <c r="AY630" s="31">
        <f t="shared" si="428"/>
        <v>0</v>
      </c>
      <c r="AZ630" s="31">
        <f t="shared" si="429"/>
        <v>0</v>
      </c>
      <c r="BA630" s="31">
        <f t="shared" si="430"/>
        <v>0</v>
      </c>
      <c r="BB630" s="31">
        <f t="shared" si="459"/>
        <v>0</v>
      </c>
      <c r="BM630" s="8">
        <f t="shared" si="460"/>
        <v>0</v>
      </c>
      <c r="BN630" s="8">
        <f t="shared" si="431"/>
        <v>0</v>
      </c>
      <c r="BO630" s="8">
        <f t="shared" si="432"/>
        <v>0</v>
      </c>
      <c r="BQ630" s="8">
        <f t="shared" si="433"/>
        <v>0</v>
      </c>
      <c r="BR630" s="63">
        <f t="shared" si="434"/>
        <v>0</v>
      </c>
      <c r="BS630" s="63">
        <f t="shared" si="461"/>
        <v>0</v>
      </c>
      <c r="BT630" s="63">
        <f t="shared" si="435"/>
        <v>0</v>
      </c>
      <c r="BU630" s="63">
        <f t="shared" si="436"/>
        <v>0</v>
      </c>
      <c r="BV630" s="57">
        <f t="shared" si="437"/>
        <v>0</v>
      </c>
      <c r="BW630" s="57">
        <f t="shared" si="438"/>
        <v>0</v>
      </c>
      <c r="BX630" s="57">
        <f t="shared" si="462"/>
        <v>0</v>
      </c>
      <c r="BY630" s="57">
        <f t="shared" si="466"/>
        <v>0</v>
      </c>
      <c r="BZ630" s="8">
        <f t="shared" si="439"/>
        <v>0</v>
      </c>
      <c r="CA630" s="8">
        <f t="shared" si="440"/>
        <v>0</v>
      </c>
      <c r="CB630" s="8">
        <f t="shared" si="441"/>
        <v>0</v>
      </c>
      <c r="CC630" s="8">
        <f t="shared" si="442"/>
        <v>0</v>
      </c>
      <c r="CD630" s="8">
        <f t="shared" si="443"/>
        <v>0</v>
      </c>
      <c r="CE630" s="8">
        <f t="shared" si="444"/>
        <v>0</v>
      </c>
      <c r="CF630" s="8">
        <f t="shared" si="445"/>
        <v>0</v>
      </c>
      <c r="CG630" s="8">
        <f t="shared" si="446"/>
        <v>0</v>
      </c>
      <c r="CH630" s="8">
        <f t="shared" si="447"/>
        <v>0</v>
      </c>
      <c r="CI630" s="8">
        <f t="shared" si="448"/>
        <v>0</v>
      </c>
      <c r="CJ630" s="8">
        <f t="shared" si="449"/>
        <v>0</v>
      </c>
      <c r="CK630" s="8">
        <f t="shared" si="450"/>
        <v>0</v>
      </c>
      <c r="CL630" s="8">
        <f t="shared" si="451"/>
        <v>0</v>
      </c>
      <c r="CM630" s="8">
        <f t="shared" si="452"/>
        <v>0</v>
      </c>
      <c r="CN630" s="8">
        <f t="shared" si="453"/>
        <v>0</v>
      </c>
      <c r="CO630" s="8">
        <f t="shared" si="454"/>
        <v>0</v>
      </c>
      <c r="CP630" s="8">
        <f t="shared" si="455"/>
        <v>0</v>
      </c>
      <c r="CQ630" s="8">
        <f t="shared" si="456"/>
        <v>0</v>
      </c>
      <c r="CR630" s="8">
        <f t="shared" si="457"/>
        <v>0</v>
      </c>
      <c r="CS630" s="8">
        <f t="shared" si="458"/>
        <v>0</v>
      </c>
      <c r="CT630" s="8">
        <f t="shared" si="463"/>
        <v>0</v>
      </c>
      <c r="CU630" s="8">
        <f t="shared" si="464"/>
        <v>0</v>
      </c>
      <c r="CV630" s="8">
        <f t="shared" si="465"/>
        <v>0</v>
      </c>
    </row>
    <row r="631" spans="1:100" ht="20.5" thickTop="1" thickBot="1" x14ac:dyDescent="0.5">
      <c r="A631" s="32"/>
      <c r="B631" s="10"/>
      <c r="C631" s="10"/>
      <c r="D631" s="11"/>
      <c r="E631" s="10"/>
      <c r="F631" s="10"/>
      <c r="G631" s="19"/>
      <c r="H631" s="19"/>
      <c r="I631" s="19"/>
      <c r="J631" s="19"/>
      <c r="K631" s="10"/>
      <c r="L631" s="10"/>
      <c r="M631" s="10"/>
      <c r="N631" s="10"/>
      <c r="O631" s="18"/>
      <c r="P631" s="18"/>
      <c r="Q631" s="21"/>
      <c r="R631" s="20"/>
      <c r="S631" s="16">
        <f t="shared" si="421"/>
        <v>0</v>
      </c>
      <c r="T631" s="11"/>
      <c r="AS631" s="31">
        <f t="shared" si="422"/>
        <v>0</v>
      </c>
      <c r="AT631" s="31">
        <f t="shared" si="423"/>
        <v>0</v>
      </c>
      <c r="AU631" s="31">
        <f t="shared" si="424"/>
        <v>0</v>
      </c>
      <c r="AV631" s="31">
        <f t="shared" si="425"/>
        <v>0</v>
      </c>
      <c r="AW631" s="31">
        <f t="shared" si="426"/>
        <v>0</v>
      </c>
      <c r="AX631" s="31">
        <f t="shared" si="427"/>
        <v>0</v>
      </c>
      <c r="AY631" s="31">
        <f t="shared" si="428"/>
        <v>0</v>
      </c>
      <c r="AZ631" s="31">
        <f t="shared" si="429"/>
        <v>0</v>
      </c>
      <c r="BA631" s="31">
        <f t="shared" si="430"/>
        <v>0</v>
      </c>
      <c r="BB631" s="31">
        <f t="shared" si="459"/>
        <v>0</v>
      </c>
      <c r="BM631" s="8">
        <f t="shared" si="460"/>
        <v>0</v>
      </c>
      <c r="BN631" s="8">
        <f t="shared" si="431"/>
        <v>0</v>
      </c>
      <c r="BO631" s="8">
        <f t="shared" si="432"/>
        <v>0</v>
      </c>
      <c r="BQ631" s="8">
        <f t="shared" si="433"/>
        <v>0</v>
      </c>
      <c r="BR631" s="63">
        <f t="shared" si="434"/>
        <v>0</v>
      </c>
      <c r="BS631" s="63">
        <f t="shared" si="461"/>
        <v>0</v>
      </c>
      <c r="BT631" s="63">
        <f t="shared" si="435"/>
        <v>0</v>
      </c>
      <c r="BU631" s="63">
        <f t="shared" si="436"/>
        <v>0</v>
      </c>
      <c r="BV631" s="57">
        <f t="shared" si="437"/>
        <v>0</v>
      </c>
      <c r="BW631" s="57">
        <f t="shared" si="438"/>
        <v>0</v>
      </c>
      <c r="BX631" s="57">
        <f t="shared" si="462"/>
        <v>0</v>
      </c>
      <c r="BY631" s="57">
        <f t="shared" si="466"/>
        <v>0</v>
      </c>
      <c r="BZ631" s="8">
        <f t="shared" si="439"/>
        <v>0</v>
      </c>
      <c r="CA631" s="8">
        <f t="shared" si="440"/>
        <v>0</v>
      </c>
      <c r="CB631" s="8">
        <f t="shared" si="441"/>
        <v>0</v>
      </c>
      <c r="CC631" s="8">
        <f t="shared" si="442"/>
        <v>0</v>
      </c>
      <c r="CD631" s="8">
        <f t="shared" si="443"/>
        <v>0</v>
      </c>
      <c r="CE631" s="8">
        <f t="shared" si="444"/>
        <v>0</v>
      </c>
      <c r="CF631" s="8">
        <f t="shared" si="445"/>
        <v>0</v>
      </c>
      <c r="CG631" s="8">
        <f t="shared" si="446"/>
        <v>0</v>
      </c>
      <c r="CH631" s="8">
        <f t="shared" si="447"/>
        <v>0</v>
      </c>
      <c r="CI631" s="8">
        <f t="shared" si="448"/>
        <v>0</v>
      </c>
      <c r="CJ631" s="8">
        <f t="shared" si="449"/>
        <v>0</v>
      </c>
      <c r="CK631" s="8">
        <f t="shared" si="450"/>
        <v>0</v>
      </c>
      <c r="CL631" s="8">
        <f t="shared" si="451"/>
        <v>0</v>
      </c>
      <c r="CM631" s="8">
        <f t="shared" si="452"/>
        <v>0</v>
      </c>
      <c r="CN631" s="8">
        <f t="shared" si="453"/>
        <v>0</v>
      </c>
      <c r="CO631" s="8">
        <f t="shared" si="454"/>
        <v>0</v>
      </c>
      <c r="CP631" s="8">
        <f t="shared" si="455"/>
        <v>0</v>
      </c>
      <c r="CQ631" s="8">
        <f t="shared" si="456"/>
        <v>0</v>
      </c>
      <c r="CR631" s="8">
        <f t="shared" si="457"/>
        <v>0</v>
      </c>
      <c r="CS631" s="8">
        <f t="shared" si="458"/>
        <v>0</v>
      </c>
      <c r="CT631" s="8">
        <f t="shared" si="463"/>
        <v>0</v>
      </c>
      <c r="CU631" s="8">
        <f t="shared" si="464"/>
        <v>0</v>
      </c>
      <c r="CV631" s="8">
        <f t="shared" si="465"/>
        <v>0</v>
      </c>
    </row>
    <row r="632" spans="1:100" ht="20.5" thickTop="1" thickBot="1" x14ac:dyDescent="0.5">
      <c r="A632" s="32"/>
      <c r="B632" s="10"/>
      <c r="C632" s="10"/>
      <c r="D632" s="11"/>
      <c r="E632" s="10"/>
      <c r="F632" s="10"/>
      <c r="G632" s="19"/>
      <c r="H632" s="19"/>
      <c r="I632" s="19"/>
      <c r="J632" s="19"/>
      <c r="K632" s="10"/>
      <c r="L632" s="10"/>
      <c r="M632" s="10"/>
      <c r="N632" s="10"/>
      <c r="O632" s="18"/>
      <c r="P632" s="18"/>
      <c r="Q632" s="21"/>
      <c r="R632" s="20"/>
      <c r="S632" s="16">
        <f t="shared" si="421"/>
        <v>0</v>
      </c>
      <c r="T632" s="11"/>
      <c r="AS632" s="31">
        <f t="shared" si="422"/>
        <v>0</v>
      </c>
      <c r="AT632" s="31">
        <f t="shared" si="423"/>
        <v>0</v>
      </c>
      <c r="AU632" s="31">
        <f t="shared" si="424"/>
        <v>0</v>
      </c>
      <c r="AV632" s="31">
        <f t="shared" si="425"/>
        <v>0</v>
      </c>
      <c r="AW632" s="31">
        <f t="shared" si="426"/>
        <v>0</v>
      </c>
      <c r="AX632" s="31">
        <f t="shared" si="427"/>
        <v>0</v>
      </c>
      <c r="AY632" s="31">
        <f t="shared" si="428"/>
        <v>0</v>
      </c>
      <c r="AZ632" s="31">
        <f t="shared" si="429"/>
        <v>0</v>
      </c>
      <c r="BA632" s="31">
        <f t="shared" si="430"/>
        <v>0</v>
      </c>
      <c r="BB632" s="31">
        <f t="shared" si="459"/>
        <v>0</v>
      </c>
      <c r="BM632" s="8">
        <f t="shared" si="460"/>
        <v>0</v>
      </c>
      <c r="BN632" s="8">
        <f t="shared" si="431"/>
        <v>0</v>
      </c>
      <c r="BO632" s="8">
        <f t="shared" si="432"/>
        <v>0</v>
      </c>
      <c r="BQ632" s="8">
        <f t="shared" si="433"/>
        <v>0</v>
      </c>
      <c r="BR632" s="63">
        <f t="shared" si="434"/>
        <v>0</v>
      </c>
      <c r="BS632" s="63">
        <f t="shared" si="461"/>
        <v>0</v>
      </c>
      <c r="BT632" s="63">
        <f t="shared" si="435"/>
        <v>0</v>
      </c>
      <c r="BU632" s="63">
        <f t="shared" si="436"/>
        <v>0</v>
      </c>
      <c r="BV632" s="57">
        <f t="shared" si="437"/>
        <v>0</v>
      </c>
      <c r="BW632" s="57">
        <f t="shared" si="438"/>
        <v>0</v>
      </c>
      <c r="BX632" s="57">
        <f t="shared" si="462"/>
        <v>0</v>
      </c>
      <c r="BY632" s="57">
        <f t="shared" si="466"/>
        <v>0</v>
      </c>
      <c r="BZ632" s="8">
        <f t="shared" si="439"/>
        <v>0</v>
      </c>
      <c r="CA632" s="8">
        <f t="shared" si="440"/>
        <v>0</v>
      </c>
      <c r="CB632" s="8">
        <f t="shared" si="441"/>
        <v>0</v>
      </c>
      <c r="CC632" s="8">
        <f t="shared" si="442"/>
        <v>0</v>
      </c>
      <c r="CD632" s="8">
        <f t="shared" si="443"/>
        <v>0</v>
      </c>
      <c r="CE632" s="8">
        <f t="shared" si="444"/>
        <v>0</v>
      </c>
      <c r="CF632" s="8">
        <f t="shared" si="445"/>
        <v>0</v>
      </c>
      <c r="CG632" s="8">
        <f t="shared" si="446"/>
        <v>0</v>
      </c>
      <c r="CH632" s="8">
        <f t="shared" si="447"/>
        <v>0</v>
      </c>
      <c r="CI632" s="8">
        <f t="shared" si="448"/>
        <v>0</v>
      </c>
      <c r="CJ632" s="8">
        <f t="shared" si="449"/>
        <v>0</v>
      </c>
      <c r="CK632" s="8">
        <f t="shared" si="450"/>
        <v>0</v>
      </c>
      <c r="CL632" s="8">
        <f t="shared" si="451"/>
        <v>0</v>
      </c>
      <c r="CM632" s="8">
        <f t="shared" si="452"/>
        <v>0</v>
      </c>
      <c r="CN632" s="8">
        <f t="shared" si="453"/>
        <v>0</v>
      </c>
      <c r="CO632" s="8">
        <f t="shared" si="454"/>
        <v>0</v>
      </c>
      <c r="CP632" s="8">
        <f t="shared" si="455"/>
        <v>0</v>
      </c>
      <c r="CQ632" s="8">
        <f t="shared" si="456"/>
        <v>0</v>
      </c>
      <c r="CR632" s="8">
        <f t="shared" si="457"/>
        <v>0</v>
      </c>
      <c r="CS632" s="8">
        <f t="shared" si="458"/>
        <v>0</v>
      </c>
      <c r="CT632" s="8">
        <f t="shared" si="463"/>
        <v>0</v>
      </c>
      <c r="CU632" s="8">
        <f t="shared" si="464"/>
        <v>0</v>
      </c>
      <c r="CV632" s="8">
        <f t="shared" si="465"/>
        <v>0</v>
      </c>
    </row>
    <row r="633" spans="1:100" ht="20.5" thickTop="1" thickBot="1" x14ac:dyDescent="0.5">
      <c r="A633" s="32"/>
      <c r="B633" s="10"/>
      <c r="C633" s="10"/>
      <c r="D633" s="11"/>
      <c r="E633" s="10"/>
      <c r="F633" s="10"/>
      <c r="G633" s="19"/>
      <c r="H633" s="19"/>
      <c r="I633" s="19"/>
      <c r="J633" s="19"/>
      <c r="K633" s="10"/>
      <c r="L633" s="10"/>
      <c r="M633" s="10"/>
      <c r="N633" s="10"/>
      <c r="O633" s="18"/>
      <c r="P633" s="18"/>
      <c r="Q633" s="21"/>
      <c r="R633" s="20"/>
      <c r="S633" s="16">
        <f t="shared" si="421"/>
        <v>0</v>
      </c>
      <c r="T633" s="11"/>
      <c r="AS633" s="31">
        <f t="shared" si="422"/>
        <v>0</v>
      </c>
      <c r="AT633" s="31">
        <f t="shared" si="423"/>
        <v>0</v>
      </c>
      <c r="AU633" s="31">
        <f t="shared" si="424"/>
        <v>0</v>
      </c>
      <c r="AV633" s="31">
        <f t="shared" si="425"/>
        <v>0</v>
      </c>
      <c r="AW633" s="31">
        <f t="shared" si="426"/>
        <v>0</v>
      </c>
      <c r="AX633" s="31">
        <f t="shared" si="427"/>
        <v>0</v>
      </c>
      <c r="AY633" s="31">
        <f t="shared" si="428"/>
        <v>0</v>
      </c>
      <c r="AZ633" s="31">
        <f t="shared" si="429"/>
        <v>0</v>
      </c>
      <c r="BA633" s="31">
        <f t="shared" si="430"/>
        <v>0</v>
      </c>
      <c r="BB633" s="31">
        <f t="shared" si="459"/>
        <v>0</v>
      </c>
      <c r="BM633" s="8">
        <f t="shared" si="460"/>
        <v>0</v>
      </c>
      <c r="BN633" s="8">
        <f t="shared" si="431"/>
        <v>0</v>
      </c>
      <c r="BO633" s="8">
        <f t="shared" si="432"/>
        <v>0</v>
      </c>
      <c r="BQ633" s="8">
        <f t="shared" si="433"/>
        <v>0</v>
      </c>
      <c r="BR633" s="63">
        <f t="shared" si="434"/>
        <v>0</v>
      </c>
      <c r="BS633" s="63">
        <f t="shared" si="461"/>
        <v>0</v>
      </c>
      <c r="BT633" s="63">
        <f t="shared" si="435"/>
        <v>0</v>
      </c>
      <c r="BU633" s="63">
        <f t="shared" si="436"/>
        <v>0</v>
      </c>
      <c r="BV633" s="57">
        <f t="shared" si="437"/>
        <v>0</v>
      </c>
      <c r="BW633" s="57">
        <f t="shared" si="438"/>
        <v>0</v>
      </c>
      <c r="BX633" s="57">
        <f t="shared" si="462"/>
        <v>0</v>
      </c>
      <c r="BY633" s="57">
        <f t="shared" si="466"/>
        <v>0</v>
      </c>
      <c r="BZ633" s="8">
        <f t="shared" si="439"/>
        <v>0</v>
      </c>
      <c r="CA633" s="8">
        <f t="shared" si="440"/>
        <v>0</v>
      </c>
      <c r="CB633" s="8">
        <f t="shared" si="441"/>
        <v>0</v>
      </c>
      <c r="CC633" s="8">
        <f t="shared" si="442"/>
        <v>0</v>
      </c>
      <c r="CD633" s="8">
        <f t="shared" si="443"/>
        <v>0</v>
      </c>
      <c r="CE633" s="8">
        <f t="shared" si="444"/>
        <v>0</v>
      </c>
      <c r="CF633" s="8">
        <f t="shared" si="445"/>
        <v>0</v>
      </c>
      <c r="CG633" s="8">
        <f t="shared" si="446"/>
        <v>0</v>
      </c>
      <c r="CH633" s="8">
        <f t="shared" si="447"/>
        <v>0</v>
      </c>
      <c r="CI633" s="8">
        <f t="shared" si="448"/>
        <v>0</v>
      </c>
      <c r="CJ633" s="8">
        <f t="shared" si="449"/>
        <v>0</v>
      </c>
      <c r="CK633" s="8">
        <f t="shared" si="450"/>
        <v>0</v>
      </c>
      <c r="CL633" s="8">
        <f t="shared" si="451"/>
        <v>0</v>
      </c>
      <c r="CM633" s="8">
        <f t="shared" si="452"/>
        <v>0</v>
      </c>
      <c r="CN633" s="8">
        <f t="shared" si="453"/>
        <v>0</v>
      </c>
      <c r="CO633" s="8">
        <f t="shared" si="454"/>
        <v>0</v>
      </c>
      <c r="CP633" s="8">
        <f t="shared" si="455"/>
        <v>0</v>
      </c>
      <c r="CQ633" s="8">
        <f t="shared" si="456"/>
        <v>0</v>
      </c>
      <c r="CR633" s="8">
        <f t="shared" si="457"/>
        <v>0</v>
      </c>
      <c r="CS633" s="8">
        <f t="shared" si="458"/>
        <v>0</v>
      </c>
      <c r="CT633" s="8">
        <f t="shared" si="463"/>
        <v>0</v>
      </c>
      <c r="CU633" s="8">
        <f t="shared" si="464"/>
        <v>0</v>
      </c>
      <c r="CV633" s="8">
        <f t="shared" si="465"/>
        <v>0</v>
      </c>
    </row>
    <row r="634" spans="1:100" ht="20.5" thickTop="1" thickBot="1" x14ac:dyDescent="0.5">
      <c r="A634" s="32"/>
      <c r="B634" s="10"/>
      <c r="C634" s="10"/>
      <c r="D634" s="11"/>
      <c r="E634" s="10"/>
      <c r="F634" s="10"/>
      <c r="G634" s="19"/>
      <c r="H634" s="19"/>
      <c r="I634" s="19"/>
      <c r="J634" s="19"/>
      <c r="K634" s="10"/>
      <c r="L634" s="10"/>
      <c r="M634" s="10"/>
      <c r="N634" s="10"/>
      <c r="O634" s="18"/>
      <c r="P634" s="18"/>
      <c r="Q634" s="21"/>
      <c r="R634" s="20"/>
      <c r="S634" s="16">
        <f t="shared" si="421"/>
        <v>0</v>
      </c>
      <c r="T634" s="11"/>
      <c r="AS634" s="31">
        <f t="shared" si="422"/>
        <v>0</v>
      </c>
      <c r="AT634" s="31">
        <f t="shared" si="423"/>
        <v>0</v>
      </c>
      <c r="AU634" s="31">
        <f t="shared" si="424"/>
        <v>0</v>
      </c>
      <c r="AV634" s="31">
        <f t="shared" si="425"/>
        <v>0</v>
      </c>
      <c r="AW634" s="31">
        <f t="shared" si="426"/>
        <v>0</v>
      </c>
      <c r="AX634" s="31">
        <f t="shared" si="427"/>
        <v>0</v>
      </c>
      <c r="AY634" s="31">
        <f t="shared" si="428"/>
        <v>0</v>
      </c>
      <c r="AZ634" s="31">
        <f t="shared" si="429"/>
        <v>0</v>
      </c>
      <c r="BA634" s="31">
        <f t="shared" si="430"/>
        <v>0</v>
      </c>
      <c r="BB634" s="31">
        <f t="shared" si="459"/>
        <v>0</v>
      </c>
      <c r="BM634" s="8">
        <f t="shared" si="460"/>
        <v>0</v>
      </c>
      <c r="BN634" s="8">
        <f t="shared" si="431"/>
        <v>0</v>
      </c>
      <c r="BO634" s="8">
        <f t="shared" si="432"/>
        <v>0</v>
      </c>
      <c r="BQ634" s="8">
        <f t="shared" si="433"/>
        <v>0</v>
      </c>
      <c r="BR634" s="63">
        <f t="shared" si="434"/>
        <v>0</v>
      </c>
      <c r="BS634" s="63">
        <f t="shared" si="461"/>
        <v>0</v>
      </c>
      <c r="BT634" s="63">
        <f t="shared" si="435"/>
        <v>0</v>
      </c>
      <c r="BU634" s="63">
        <f t="shared" si="436"/>
        <v>0</v>
      </c>
      <c r="BV634" s="57">
        <f t="shared" si="437"/>
        <v>0</v>
      </c>
      <c r="BW634" s="57">
        <f t="shared" si="438"/>
        <v>0</v>
      </c>
      <c r="BX634" s="57">
        <f t="shared" si="462"/>
        <v>0</v>
      </c>
      <c r="BY634" s="57">
        <f t="shared" si="466"/>
        <v>0</v>
      </c>
      <c r="BZ634" s="8">
        <f t="shared" si="439"/>
        <v>0</v>
      </c>
      <c r="CA634" s="8">
        <f t="shared" si="440"/>
        <v>0</v>
      </c>
      <c r="CB634" s="8">
        <f t="shared" si="441"/>
        <v>0</v>
      </c>
      <c r="CC634" s="8">
        <f t="shared" si="442"/>
        <v>0</v>
      </c>
      <c r="CD634" s="8">
        <f t="shared" si="443"/>
        <v>0</v>
      </c>
      <c r="CE634" s="8">
        <f t="shared" si="444"/>
        <v>0</v>
      </c>
      <c r="CF634" s="8">
        <f t="shared" si="445"/>
        <v>0</v>
      </c>
      <c r="CG634" s="8">
        <f t="shared" si="446"/>
        <v>0</v>
      </c>
      <c r="CH634" s="8">
        <f t="shared" si="447"/>
        <v>0</v>
      </c>
      <c r="CI634" s="8">
        <f t="shared" si="448"/>
        <v>0</v>
      </c>
      <c r="CJ634" s="8">
        <f t="shared" si="449"/>
        <v>0</v>
      </c>
      <c r="CK634" s="8">
        <f t="shared" si="450"/>
        <v>0</v>
      </c>
      <c r="CL634" s="8">
        <f t="shared" si="451"/>
        <v>0</v>
      </c>
      <c r="CM634" s="8">
        <f t="shared" si="452"/>
        <v>0</v>
      </c>
      <c r="CN634" s="8">
        <f t="shared" si="453"/>
        <v>0</v>
      </c>
      <c r="CO634" s="8">
        <f t="shared" si="454"/>
        <v>0</v>
      </c>
      <c r="CP634" s="8">
        <f t="shared" si="455"/>
        <v>0</v>
      </c>
      <c r="CQ634" s="8">
        <f t="shared" si="456"/>
        <v>0</v>
      </c>
      <c r="CR634" s="8">
        <f t="shared" si="457"/>
        <v>0</v>
      </c>
      <c r="CS634" s="8">
        <f t="shared" si="458"/>
        <v>0</v>
      </c>
      <c r="CT634" s="8">
        <f t="shared" si="463"/>
        <v>0</v>
      </c>
      <c r="CU634" s="8">
        <f t="shared" si="464"/>
        <v>0</v>
      </c>
      <c r="CV634" s="8">
        <f t="shared" si="465"/>
        <v>0</v>
      </c>
    </row>
    <row r="635" spans="1:100" ht="20.5" thickTop="1" thickBot="1" x14ac:dyDescent="0.5">
      <c r="A635" s="32"/>
      <c r="B635" s="10"/>
      <c r="C635" s="10"/>
      <c r="D635" s="11"/>
      <c r="E635" s="10"/>
      <c r="F635" s="10"/>
      <c r="G635" s="19"/>
      <c r="H635" s="19"/>
      <c r="I635" s="19"/>
      <c r="J635" s="19"/>
      <c r="K635" s="10"/>
      <c r="L635" s="10"/>
      <c r="M635" s="10"/>
      <c r="N635" s="10"/>
      <c r="O635" s="18"/>
      <c r="P635" s="18"/>
      <c r="Q635" s="21"/>
      <c r="R635" s="20"/>
      <c r="S635" s="16">
        <f t="shared" si="421"/>
        <v>0</v>
      </c>
      <c r="T635" s="11"/>
      <c r="AS635" s="31">
        <f t="shared" si="422"/>
        <v>0</v>
      </c>
      <c r="AT635" s="31">
        <f t="shared" si="423"/>
        <v>0</v>
      </c>
      <c r="AU635" s="31">
        <f t="shared" si="424"/>
        <v>0</v>
      </c>
      <c r="AV635" s="31">
        <f t="shared" si="425"/>
        <v>0</v>
      </c>
      <c r="AW635" s="31">
        <f t="shared" si="426"/>
        <v>0</v>
      </c>
      <c r="AX635" s="31">
        <f t="shared" si="427"/>
        <v>0</v>
      </c>
      <c r="AY635" s="31">
        <f t="shared" si="428"/>
        <v>0</v>
      </c>
      <c r="AZ635" s="31">
        <f t="shared" si="429"/>
        <v>0</v>
      </c>
      <c r="BA635" s="31">
        <f t="shared" si="430"/>
        <v>0</v>
      </c>
      <c r="BB635" s="31">
        <f t="shared" si="459"/>
        <v>0</v>
      </c>
      <c r="BM635" s="8">
        <f t="shared" si="460"/>
        <v>0</v>
      </c>
      <c r="BN635" s="8">
        <f t="shared" si="431"/>
        <v>0</v>
      </c>
      <c r="BO635" s="8">
        <f t="shared" si="432"/>
        <v>0</v>
      </c>
      <c r="BQ635" s="8">
        <f t="shared" si="433"/>
        <v>0</v>
      </c>
      <c r="BR635" s="63">
        <f t="shared" si="434"/>
        <v>0</v>
      </c>
      <c r="BS635" s="63">
        <f t="shared" si="461"/>
        <v>0</v>
      </c>
      <c r="BT635" s="63">
        <f t="shared" si="435"/>
        <v>0</v>
      </c>
      <c r="BU635" s="63">
        <f t="shared" si="436"/>
        <v>0</v>
      </c>
      <c r="BV635" s="57">
        <f t="shared" si="437"/>
        <v>0</v>
      </c>
      <c r="BW635" s="57">
        <f t="shared" si="438"/>
        <v>0</v>
      </c>
      <c r="BX635" s="57">
        <f t="shared" si="462"/>
        <v>0</v>
      </c>
      <c r="BY635" s="57">
        <f t="shared" si="466"/>
        <v>0</v>
      </c>
      <c r="BZ635" s="8">
        <f t="shared" si="439"/>
        <v>0</v>
      </c>
      <c r="CA635" s="8">
        <f t="shared" si="440"/>
        <v>0</v>
      </c>
      <c r="CB635" s="8">
        <f t="shared" si="441"/>
        <v>0</v>
      </c>
      <c r="CC635" s="8">
        <f t="shared" si="442"/>
        <v>0</v>
      </c>
      <c r="CD635" s="8">
        <f t="shared" si="443"/>
        <v>0</v>
      </c>
      <c r="CE635" s="8">
        <f t="shared" si="444"/>
        <v>0</v>
      </c>
      <c r="CF635" s="8">
        <f t="shared" si="445"/>
        <v>0</v>
      </c>
      <c r="CG635" s="8">
        <f t="shared" si="446"/>
        <v>0</v>
      </c>
      <c r="CH635" s="8">
        <f t="shared" si="447"/>
        <v>0</v>
      </c>
      <c r="CI635" s="8">
        <f t="shared" si="448"/>
        <v>0</v>
      </c>
      <c r="CJ635" s="8">
        <f t="shared" si="449"/>
        <v>0</v>
      </c>
      <c r="CK635" s="8">
        <f t="shared" si="450"/>
        <v>0</v>
      </c>
      <c r="CL635" s="8">
        <f t="shared" si="451"/>
        <v>0</v>
      </c>
      <c r="CM635" s="8">
        <f t="shared" si="452"/>
        <v>0</v>
      </c>
      <c r="CN635" s="8">
        <f t="shared" si="453"/>
        <v>0</v>
      </c>
      <c r="CO635" s="8">
        <f t="shared" si="454"/>
        <v>0</v>
      </c>
      <c r="CP635" s="8">
        <f t="shared" si="455"/>
        <v>0</v>
      </c>
      <c r="CQ635" s="8">
        <f t="shared" si="456"/>
        <v>0</v>
      </c>
      <c r="CR635" s="8">
        <f t="shared" si="457"/>
        <v>0</v>
      </c>
      <c r="CS635" s="8">
        <f t="shared" si="458"/>
        <v>0</v>
      </c>
      <c r="CT635" s="8">
        <f t="shared" si="463"/>
        <v>0</v>
      </c>
      <c r="CU635" s="8">
        <f t="shared" si="464"/>
        <v>0</v>
      </c>
      <c r="CV635" s="8">
        <f t="shared" si="465"/>
        <v>0</v>
      </c>
    </row>
    <row r="636" spans="1:100" ht="20.5" thickTop="1" thickBot="1" x14ac:dyDescent="0.5">
      <c r="A636" s="32"/>
      <c r="B636" s="10"/>
      <c r="C636" s="10"/>
      <c r="D636" s="11"/>
      <c r="E636" s="10"/>
      <c r="F636" s="10"/>
      <c r="G636" s="19"/>
      <c r="H636" s="19"/>
      <c r="I636" s="19"/>
      <c r="J636" s="19"/>
      <c r="K636" s="10"/>
      <c r="L636" s="10"/>
      <c r="M636" s="10"/>
      <c r="N636" s="10"/>
      <c r="O636" s="18"/>
      <c r="P636" s="18"/>
      <c r="Q636" s="21"/>
      <c r="R636" s="20"/>
      <c r="S636" s="16">
        <f t="shared" si="421"/>
        <v>0</v>
      </c>
      <c r="T636" s="11"/>
      <c r="AS636" s="31">
        <f t="shared" si="422"/>
        <v>0</v>
      </c>
      <c r="AT636" s="31">
        <f t="shared" si="423"/>
        <v>0</v>
      </c>
      <c r="AU636" s="31">
        <f t="shared" si="424"/>
        <v>0</v>
      </c>
      <c r="AV636" s="31">
        <f t="shared" si="425"/>
        <v>0</v>
      </c>
      <c r="AW636" s="31">
        <f t="shared" si="426"/>
        <v>0</v>
      </c>
      <c r="AX636" s="31">
        <f t="shared" si="427"/>
        <v>0</v>
      </c>
      <c r="AY636" s="31">
        <f t="shared" si="428"/>
        <v>0</v>
      </c>
      <c r="AZ636" s="31">
        <f t="shared" si="429"/>
        <v>0</v>
      </c>
      <c r="BA636" s="31">
        <f t="shared" si="430"/>
        <v>0</v>
      </c>
      <c r="BB636" s="31">
        <f t="shared" si="459"/>
        <v>0</v>
      </c>
      <c r="BM636" s="8">
        <f t="shared" si="460"/>
        <v>0</v>
      </c>
      <c r="BN636" s="8">
        <f t="shared" si="431"/>
        <v>0</v>
      </c>
      <c r="BO636" s="8">
        <f t="shared" si="432"/>
        <v>0</v>
      </c>
      <c r="BQ636" s="8">
        <f t="shared" si="433"/>
        <v>0</v>
      </c>
      <c r="BR636" s="63">
        <f t="shared" si="434"/>
        <v>0</v>
      </c>
      <c r="BS636" s="63">
        <f t="shared" si="461"/>
        <v>0</v>
      </c>
      <c r="BT636" s="63">
        <f t="shared" si="435"/>
        <v>0</v>
      </c>
      <c r="BU636" s="63">
        <f t="shared" si="436"/>
        <v>0</v>
      </c>
      <c r="BV636" s="57">
        <f t="shared" si="437"/>
        <v>0</v>
      </c>
      <c r="BW636" s="57">
        <f t="shared" si="438"/>
        <v>0</v>
      </c>
      <c r="BX636" s="57">
        <f t="shared" si="462"/>
        <v>0</v>
      </c>
      <c r="BY636" s="57">
        <f t="shared" si="466"/>
        <v>0</v>
      </c>
      <c r="BZ636" s="8">
        <f t="shared" si="439"/>
        <v>0</v>
      </c>
      <c r="CA636" s="8">
        <f t="shared" si="440"/>
        <v>0</v>
      </c>
      <c r="CB636" s="8">
        <f t="shared" si="441"/>
        <v>0</v>
      </c>
      <c r="CC636" s="8">
        <f t="shared" si="442"/>
        <v>0</v>
      </c>
      <c r="CD636" s="8">
        <f t="shared" si="443"/>
        <v>0</v>
      </c>
      <c r="CE636" s="8">
        <f t="shared" si="444"/>
        <v>0</v>
      </c>
      <c r="CF636" s="8">
        <f t="shared" si="445"/>
        <v>0</v>
      </c>
      <c r="CG636" s="8">
        <f t="shared" si="446"/>
        <v>0</v>
      </c>
      <c r="CH636" s="8">
        <f t="shared" si="447"/>
        <v>0</v>
      </c>
      <c r="CI636" s="8">
        <f t="shared" si="448"/>
        <v>0</v>
      </c>
      <c r="CJ636" s="8">
        <f t="shared" si="449"/>
        <v>0</v>
      </c>
      <c r="CK636" s="8">
        <f t="shared" si="450"/>
        <v>0</v>
      </c>
      <c r="CL636" s="8">
        <f t="shared" si="451"/>
        <v>0</v>
      </c>
      <c r="CM636" s="8">
        <f t="shared" si="452"/>
        <v>0</v>
      </c>
      <c r="CN636" s="8">
        <f t="shared" si="453"/>
        <v>0</v>
      </c>
      <c r="CO636" s="8">
        <f t="shared" si="454"/>
        <v>0</v>
      </c>
      <c r="CP636" s="8">
        <f t="shared" si="455"/>
        <v>0</v>
      </c>
      <c r="CQ636" s="8">
        <f t="shared" si="456"/>
        <v>0</v>
      </c>
      <c r="CR636" s="8">
        <f t="shared" si="457"/>
        <v>0</v>
      </c>
      <c r="CS636" s="8">
        <f t="shared" si="458"/>
        <v>0</v>
      </c>
      <c r="CT636" s="8">
        <f t="shared" si="463"/>
        <v>0</v>
      </c>
      <c r="CU636" s="8">
        <f t="shared" si="464"/>
        <v>0</v>
      </c>
      <c r="CV636" s="8">
        <f t="shared" si="465"/>
        <v>0</v>
      </c>
    </row>
    <row r="637" spans="1:100" ht="20.5" thickTop="1" thickBot="1" x14ac:dyDescent="0.5">
      <c r="A637" s="32"/>
      <c r="B637" s="10"/>
      <c r="C637" s="10"/>
      <c r="D637" s="11"/>
      <c r="E637" s="10"/>
      <c r="F637" s="10"/>
      <c r="G637" s="19"/>
      <c r="H637" s="19"/>
      <c r="I637" s="19"/>
      <c r="J637" s="19"/>
      <c r="K637" s="10"/>
      <c r="L637" s="10"/>
      <c r="M637" s="10"/>
      <c r="N637" s="10"/>
      <c r="O637" s="18"/>
      <c r="P637" s="18"/>
      <c r="Q637" s="21"/>
      <c r="R637" s="20"/>
      <c r="S637" s="16">
        <f t="shared" si="421"/>
        <v>0</v>
      </c>
      <c r="T637" s="11"/>
      <c r="AS637" s="31">
        <f t="shared" si="422"/>
        <v>0</v>
      </c>
      <c r="AT637" s="31">
        <f t="shared" si="423"/>
        <v>0</v>
      </c>
      <c r="AU637" s="31">
        <f t="shared" si="424"/>
        <v>0</v>
      </c>
      <c r="AV637" s="31">
        <f t="shared" si="425"/>
        <v>0</v>
      </c>
      <c r="AW637" s="31">
        <f t="shared" si="426"/>
        <v>0</v>
      </c>
      <c r="AX637" s="31">
        <f t="shared" si="427"/>
        <v>0</v>
      </c>
      <c r="AY637" s="31">
        <f t="shared" si="428"/>
        <v>0</v>
      </c>
      <c r="AZ637" s="31">
        <f t="shared" si="429"/>
        <v>0</v>
      </c>
      <c r="BA637" s="31">
        <f t="shared" si="430"/>
        <v>0</v>
      </c>
      <c r="BB637" s="31">
        <f t="shared" si="459"/>
        <v>0</v>
      </c>
      <c r="BM637" s="8">
        <f t="shared" si="460"/>
        <v>0</v>
      </c>
      <c r="BN637" s="8">
        <f t="shared" si="431"/>
        <v>0</v>
      </c>
      <c r="BO637" s="8">
        <f t="shared" si="432"/>
        <v>0</v>
      </c>
      <c r="BQ637" s="8">
        <f t="shared" si="433"/>
        <v>0</v>
      </c>
      <c r="BR637" s="63">
        <f t="shared" si="434"/>
        <v>0</v>
      </c>
      <c r="BS637" s="63">
        <f t="shared" si="461"/>
        <v>0</v>
      </c>
      <c r="BT637" s="63">
        <f t="shared" si="435"/>
        <v>0</v>
      </c>
      <c r="BU637" s="63">
        <f t="shared" si="436"/>
        <v>0</v>
      </c>
      <c r="BV637" s="57">
        <f t="shared" si="437"/>
        <v>0</v>
      </c>
      <c r="BW637" s="57">
        <f t="shared" si="438"/>
        <v>0</v>
      </c>
      <c r="BX637" s="57">
        <f t="shared" si="462"/>
        <v>0</v>
      </c>
      <c r="BY637" s="57">
        <f t="shared" si="466"/>
        <v>0</v>
      </c>
      <c r="BZ637" s="8">
        <f t="shared" si="439"/>
        <v>0</v>
      </c>
      <c r="CA637" s="8">
        <f t="shared" si="440"/>
        <v>0</v>
      </c>
      <c r="CB637" s="8">
        <f t="shared" si="441"/>
        <v>0</v>
      </c>
      <c r="CC637" s="8">
        <f t="shared" si="442"/>
        <v>0</v>
      </c>
      <c r="CD637" s="8">
        <f t="shared" si="443"/>
        <v>0</v>
      </c>
      <c r="CE637" s="8">
        <f t="shared" si="444"/>
        <v>0</v>
      </c>
      <c r="CF637" s="8">
        <f t="shared" si="445"/>
        <v>0</v>
      </c>
      <c r="CG637" s="8">
        <f t="shared" si="446"/>
        <v>0</v>
      </c>
      <c r="CH637" s="8">
        <f t="shared" si="447"/>
        <v>0</v>
      </c>
      <c r="CI637" s="8">
        <f t="shared" si="448"/>
        <v>0</v>
      </c>
      <c r="CJ637" s="8">
        <f t="shared" si="449"/>
        <v>0</v>
      </c>
      <c r="CK637" s="8">
        <f t="shared" si="450"/>
        <v>0</v>
      </c>
      <c r="CL637" s="8">
        <f t="shared" si="451"/>
        <v>0</v>
      </c>
      <c r="CM637" s="8">
        <f t="shared" si="452"/>
        <v>0</v>
      </c>
      <c r="CN637" s="8">
        <f t="shared" si="453"/>
        <v>0</v>
      </c>
      <c r="CO637" s="8">
        <f t="shared" si="454"/>
        <v>0</v>
      </c>
      <c r="CP637" s="8">
        <f t="shared" si="455"/>
        <v>0</v>
      </c>
      <c r="CQ637" s="8">
        <f t="shared" si="456"/>
        <v>0</v>
      </c>
      <c r="CR637" s="8">
        <f t="shared" si="457"/>
        <v>0</v>
      </c>
      <c r="CS637" s="8">
        <f t="shared" si="458"/>
        <v>0</v>
      </c>
      <c r="CT637" s="8">
        <f t="shared" si="463"/>
        <v>0</v>
      </c>
      <c r="CU637" s="8">
        <f t="shared" si="464"/>
        <v>0</v>
      </c>
      <c r="CV637" s="8">
        <f t="shared" si="465"/>
        <v>0</v>
      </c>
    </row>
    <row r="638" spans="1:100" ht="20.5" thickTop="1" thickBot="1" x14ac:dyDescent="0.5">
      <c r="A638" s="32"/>
      <c r="B638" s="10"/>
      <c r="C638" s="10"/>
      <c r="D638" s="11"/>
      <c r="E638" s="10"/>
      <c r="F638" s="10"/>
      <c r="G638" s="19"/>
      <c r="H638" s="19"/>
      <c r="I638" s="19"/>
      <c r="J638" s="19"/>
      <c r="K638" s="10"/>
      <c r="L638" s="10"/>
      <c r="M638" s="10"/>
      <c r="N638" s="10"/>
      <c r="O638" s="18"/>
      <c r="P638" s="18"/>
      <c r="Q638" s="21"/>
      <c r="R638" s="20"/>
      <c r="S638" s="16">
        <f t="shared" si="421"/>
        <v>0</v>
      </c>
      <c r="T638" s="11"/>
      <c r="AS638" s="31">
        <f t="shared" si="422"/>
        <v>0</v>
      </c>
      <c r="AT638" s="31">
        <f t="shared" si="423"/>
        <v>0</v>
      </c>
      <c r="AU638" s="31">
        <f t="shared" si="424"/>
        <v>0</v>
      </c>
      <c r="AV638" s="31">
        <f t="shared" si="425"/>
        <v>0</v>
      </c>
      <c r="AW638" s="31">
        <f t="shared" si="426"/>
        <v>0</v>
      </c>
      <c r="AX638" s="31">
        <f t="shared" si="427"/>
        <v>0</v>
      </c>
      <c r="AY638" s="31">
        <f t="shared" si="428"/>
        <v>0</v>
      </c>
      <c r="AZ638" s="31">
        <f t="shared" si="429"/>
        <v>0</v>
      </c>
      <c r="BA638" s="31">
        <f t="shared" si="430"/>
        <v>0</v>
      </c>
      <c r="BB638" s="31">
        <f t="shared" si="459"/>
        <v>0</v>
      </c>
      <c r="BM638" s="8">
        <f t="shared" si="460"/>
        <v>0</v>
      </c>
      <c r="BN638" s="8">
        <f t="shared" si="431"/>
        <v>0</v>
      </c>
      <c r="BO638" s="8">
        <f t="shared" si="432"/>
        <v>0</v>
      </c>
      <c r="BQ638" s="8">
        <f t="shared" si="433"/>
        <v>0</v>
      </c>
      <c r="BR638" s="63">
        <f t="shared" si="434"/>
        <v>0</v>
      </c>
      <c r="BS638" s="63">
        <f t="shared" si="461"/>
        <v>0</v>
      </c>
      <c r="BT638" s="63">
        <f t="shared" si="435"/>
        <v>0</v>
      </c>
      <c r="BU638" s="63">
        <f t="shared" si="436"/>
        <v>0</v>
      </c>
      <c r="BV638" s="57">
        <f t="shared" si="437"/>
        <v>0</v>
      </c>
      <c r="BW638" s="57">
        <f t="shared" si="438"/>
        <v>0</v>
      </c>
      <c r="BX638" s="57">
        <f t="shared" si="462"/>
        <v>0</v>
      </c>
      <c r="BY638" s="57">
        <f t="shared" si="466"/>
        <v>0</v>
      </c>
      <c r="BZ638" s="8">
        <f t="shared" si="439"/>
        <v>0</v>
      </c>
      <c r="CA638" s="8">
        <f t="shared" si="440"/>
        <v>0</v>
      </c>
      <c r="CB638" s="8">
        <f t="shared" si="441"/>
        <v>0</v>
      </c>
      <c r="CC638" s="8">
        <f t="shared" si="442"/>
        <v>0</v>
      </c>
      <c r="CD638" s="8">
        <f t="shared" si="443"/>
        <v>0</v>
      </c>
      <c r="CE638" s="8">
        <f t="shared" si="444"/>
        <v>0</v>
      </c>
      <c r="CF638" s="8">
        <f t="shared" si="445"/>
        <v>0</v>
      </c>
      <c r="CG638" s="8">
        <f t="shared" si="446"/>
        <v>0</v>
      </c>
      <c r="CH638" s="8">
        <f t="shared" si="447"/>
        <v>0</v>
      </c>
      <c r="CI638" s="8">
        <f t="shared" si="448"/>
        <v>0</v>
      </c>
      <c r="CJ638" s="8">
        <f t="shared" si="449"/>
        <v>0</v>
      </c>
      <c r="CK638" s="8">
        <f t="shared" si="450"/>
        <v>0</v>
      </c>
      <c r="CL638" s="8">
        <f t="shared" si="451"/>
        <v>0</v>
      </c>
      <c r="CM638" s="8">
        <f t="shared" si="452"/>
        <v>0</v>
      </c>
      <c r="CN638" s="8">
        <f t="shared" si="453"/>
        <v>0</v>
      </c>
      <c r="CO638" s="8">
        <f t="shared" si="454"/>
        <v>0</v>
      </c>
      <c r="CP638" s="8">
        <f t="shared" si="455"/>
        <v>0</v>
      </c>
      <c r="CQ638" s="8">
        <f t="shared" si="456"/>
        <v>0</v>
      </c>
      <c r="CR638" s="8">
        <f t="shared" si="457"/>
        <v>0</v>
      </c>
      <c r="CS638" s="8">
        <f t="shared" si="458"/>
        <v>0</v>
      </c>
      <c r="CT638" s="8">
        <f t="shared" si="463"/>
        <v>0</v>
      </c>
      <c r="CU638" s="8">
        <f t="shared" si="464"/>
        <v>0</v>
      </c>
      <c r="CV638" s="8">
        <f t="shared" si="465"/>
        <v>0</v>
      </c>
    </row>
    <row r="639" spans="1:100" ht="20.5" thickTop="1" thickBot="1" x14ac:dyDescent="0.5">
      <c r="A639" s="32"/>
      <c r="B639" s="10"/>
      <c r="C639" s="10"/>
      <c r="D639" s="11"/>
      <c r="E639" s="10"/>
      <c r="F639" s="10"/>
      <c r="G639" s="19"/>
      <c r="H639" s="19"/>
      <c r="I639" s="19"/>
      <c r="J639" s="19"/>
      <c r="K639" s="10"/>
      <c r="L639" s="10"/>
      <c r="M639" s="10"/>
      <c r="N639" s="10"/>
      <c r="O639" s="18"/>
      <c r="P639" s="18"/>
      <c r="Q639" s="21"/>
      <c r="R639" s="20"/>
      <c r="S639" s="16">
        <f t="shared" si="421"/>
        <v>0</v>
      </c>
      <c r="T639" s="11"/>
      <c r="AS639" s="31">
        <f t="shared" si="422"/>
        <v>0</v>
      </c>
      <c r="AT639" s="31">
        <f t="shared" si="423"/>
        <v>0</v>
      </c>
      <c r="AU639" s="31">
        <f t="shared" si="424"/>
        <v>0</v>
      </c>
      <c r="AV639" s="31">
        <f t="shared" si="425"/>
        <v>0</v>
      </c>
      <c r="AW639" s="31">
        <f t="shared" si="426"/>
        <v>0</v>
      </c>
      <c r="AX639" s="31">
        <f t="shared" si="427"/>
        <v>0</v>
      </c>
      <c r="AY639" s="31">
        <f t="shared" si="428"/>
        <v>0</v>
      </c>
      <c r="AZ639" s="31">
        <f t="shared" si="429"/>
        <v>0</v>
      </c>
      <c r="BA639" s="31">
        <f t="shared" si="430"/>
        <v>0</v>
      </c>
      <c r="BB639" s="31">
        <f t="shared" si="459"/>
        <v>0</v>
      </c>
      <c r="BM639" s="8">
        <f t="shared" si="460"/>
        <v>0</v>
      </c>
      <c r="BN639" s="8">
        <f t="shared" si="431"/>
        <v>0</v>
      </c>
      <c r="BO639" s="8">
        <f t="shared" si="432"/>
        <v>0</v>
      </c>
      <c r="BQ639" s="8">
        <f t="shared" si="433"/>
        <v>0</v>
      </c>
      <c r="BR639" s="63">
        <f t="shared" si="434"/>
        <v>0</v>
      </c>
      <c r="BS639" s="63">
        <f t="shared" si="461"/>
        <v>0</v>
      </c>
      <c r="BT639" s="63">
        <f t="shared" si="435"/>
        <v>0</v>
      </c>
      <c r="BU639" s="63">
        <f t="shared" si="436"/>
        <v>0</v>
      </c>
      <c r="BV639" s="57">
        <f t="shared" si="437"/>
        <v>0</v>
      </c>
      <c r="BW639" s="57">
        <f t="shared" si="438"/>
        <v>0</v>
      </c>
      <c r="BX639" s="57">
        <f t="shared" si="462"/>
        <v>0</v>
      </c>
      <c r="BY639" s="57">
        <f t="shared" si="466"/>
        <v>0</v>
      </c>
      <c r="BZ639" s="8">
        <f t="shared" si="439"/>
        <v>0</v>
      </c>
      <c r="CA639" s="8">
        <f t="shared" si="440"/>
        <v>0</v>
      </c>
      <c r="CB639" s="8">
        <f t="shared" si="441"/>
        <v>0</v>
      </c>
      <c r="CC639" s="8">
        <f t="shared" si="442"/>
        <v>0</v>
      </c>
      <c r="CD639" s="8">
        <f t="shared" si="443"/>
        <v>0</v>
      </c>
      <c r="CE639" s="8">
        <f t="shared" si="444"/>
        <v>0</v>
      </c>
      <c r="CF639" s="8">
        <f t="shared" si="445"/>
        <v>0</v>
      </c>
      <c r="CG639" s="8">
        <f t="shared" si="446"/>
        <v>0</v>
      </c>
      <c r="CH639" s="8">
        <f t="shared" si="447"/>
        <v>0</v>
      </c>
      <c r="CI639" s="8">
        <f t="shared" si="448"/>
        <v>0</v>
      </c>
      <c r="CJ639" s="8">
        <f t="shared" si="449"/>
        <v>0</v>
      </c>
      <c r="CK639" s="8">
        <f t="shared" si="450"/>
        <v>0</v>
      </c>
      <c r="CL639" s="8">
        <f t="shared" si="451"/>
        <v>0</v>
      </c>
      <c r="CM639" s="8">
        <f t="shared" si="452"/>
        <v>0</v>
      </c>
      <c r="CN639" s="8">
        <f t="shared" si="453"/>
        <v>0</v>
      </c>
      <c r="CO639" s="8">
        <f t="shared" si="454"/>
        <v>0</v>
      </c>
      <c r="CP639" s="8">
        <f t="shared" si="455"/>
        <v>0</v>
      </c>
      <c r="CQ639" s="8">
        <f t="shared" si="456"/>
        <v>0</v>
      </c>
      <c r="CR639" s="8">
        <f t="shared" si="457"/>
        <v>0</v>
      </c>
      <c r="CS639" s="8">
        <f t="shared" si="458"/>
        <v>0</v>
      </c>
      <c r="CT639" s="8">
        <f t="shared" si="463"/>
        <v>0</v>
      </c>
      <c r="CU639" s="8">
        <f t="shared" si="464"/>
        <v>0</v>
      </c>
      <c r="CV639" s="8">
        <f t="shared" si="465"/>
        <v>0</v>
      </c>
    </row>
    <row r="640" spans="1:100" ht="20.5" thickTop="1" thickBot="1" x14ac:dyDescent="0.5">
      <c r="A640" s="32"/>
      <c r="B640" s="10"/>
      <c r="C640" s="10"/>
      <c r="D640" s="11"/>
      <c r="E640" s="10"/>
      <c r="F640" s="10"/>
      <c r="G640" s="19"/>
      <c r="H640" s="19"/>
      <c r="I640" s="19"/>
      <c r="J640" s="19"/>
      <c r="K640" s="10"/>
      <c r="L640" s="10"/>
      <c r="M640" s="10"/>
      <c r="N640" s="10"/>
      <c r="O640" s="18"/>
      <c r="P640" s="18"/>
      <c r="Q640" s="21"/>
      <c r="R640" s="20"/>
      <c r="S640" s="16">
        <f t="shared" si="421"/>
        <v>0</v>
      </c>
      <c r="T640" s="11"/>
      <c r="AS640" s="31">
        <f t="shared" si="422"/>
        <v>0</v>
      </c>
      <c r="AT640" s="31">
        <f t="shared" si="423"/>
        <v>0</v>
      </c>
      <c r="AU640" s="31">
        <f t="shared" si="424"/>
        <v>0</v>
      </c>
      <c r="AV640" s="31">
        <f t="shared" si="425"/>
        <v>0</v>
      </c>
      <c r="AW640" s="31">
        <f t="shared" si="426"/>
        <v>0</v>
      </c>
      <c r="AX640" s="31">
        <f t="shared" si="427"/>
        <v>0</v>
      </c>
      <c r="AY640" s="31">
        <f t="shared" si="428"/>
        <v>0</v>
      </c>
      <c r="AZ640" s="31">
        <f t="shared" si="429"/>
        <v>0</v>
      </c>
      <c r="BA640" s="31">
        <f t="shared" si="430"/>
        <v>0</v>
      </c>
      <c r="BB640" s="31">
        <f t="shared" si="459"/>
        <v>0</v>
      </c>
      <c r="BM640" s="8">
        <f t="shared" si="460"/>
        <v>0</v>
      </c>
      <c r="BN640" s="8">
        <f t="shared" si="431"/>
        <v>0</v>
      </c>
      <c r="BO640" s="8">
        <f t="shared" si="432"/>
        <v>0</v>
      </c>
      <c r="BQ640" s="8">
        <f t="shared" si="433"/>
        <v>0</v>
      </c>
      <c r="BR640" s="63">
        <f t="shared" si="434"/>
        <v>0</v>
      </c>
      <c r="BS640" s="63">
        <f t="shared" si="461"/>
        <v>0</v>
      </c>
      <c r="BT640" s="63">
        <f t="shared" si="435"/>
        <v>0</v>
      </c>
      <c r="BU640" s="63">
        <f t="shared" si="436"/>
        <v>0</v>
      </c>
      <c r="BV640" s="57">
        <f t="shared" si="437"/>
        <v>0</v>
      </c>
      <c r="BW640" s="57">
        <f t="shared" si="438"/>
        <v>0</v>
      </c>
      <c r="BX640" s="57">
        <f t="shared" si="462"/>
        <v>0</v>
      </c>
      <c r="BY640" s="57">
        <f t="shared" si="466"/>
        <v>0</v>
      </c>
      <c r="BZ640" s="8">
        <f t="shared" si="439"/>
        <v>0</v>
      </c>
      <c r="CA640" s="8">
        <f t="shared" si="440"/>
        <v>0</v>
      </c>
      <c r="CB640" s="8">
        <f t="shared" si="441"/>
        <v>0</v>
      </c>
      <c r="CC640" s="8">
        <f t="shared" si="442"/>
        <v>0</v>
      </c>
      <c r="CD640" s="8">
        <f t="shared" si="443"/>
        <v>0</v>
      </c>
      <c r="CE640" s="8">
        <f t="shared" si="444"/>
        <v>0</v>
      </c>
      <c r="CF640" s="8">
        <f t="shared" si="445"/>
        <v>0</v>
      </c>
      <c r="CG640" s="8">
        <f t="shared" si="446"/>
        <v>0</v>
      </c>
      <c r="CH640" s="8">
        <f t="shared" si="447"/>
        <v>0</v>
      </c>
      <c r="CI640" s="8">
        <f t="shared" si="448"/>
        <v>0</v>
      </c>
      <c r="CJ640" s="8">
        <f t="shared" si="449"/>
        <v>0</v>
      </c>
      <c r="CK640" s="8">
        <f t="shared" si="450"/>
        <v>0</v>
      </c>
      <c r="CL640" s="8">
        <f t="shared" si="451"/>
        <v>0</v>
      </c>
      <c r="CM640" s="8">
        <f t="shared" si="452"/>
        <v>0</v>
      </c>
      <c r="CN640" s="8">
        <f t="shared" si="453"/>
        <v>0</v>
      </c>
      <c r="CO640" s="8">
        <f t="shared" si="454"/>
        <v>0</v>
      </c>
      <c r="CP640" s="8">
        <f t="shared" si="455"/>
        <v>0</v>
      </c>
      <c r="CQ640" s="8">
        <f t="shared" si="456"/>
        <v>0</v>
      </c>
      <c r="CR640" s="8">
        <f t="shared" si="457"/>
        <v>0</v>
      </c>
      <c r="CS640" s="8">
        <f t="shared" si="458"/>
        <v>0</v>
      </c>
      <c r="CT640" s="8">
        <f t="shared" si="463"/>
        <v>0</v>
      </c>
      <c r="CU640" s="8">
        <f t="shared" si="464"/>
        <v>0</v>
      </c>
      <c r="CV640" s="8">
        <f t="shared" si="465"/>
        <v>0</v>
      </c>
    </row>
    <row r="641" spans="1:100" ht="20.5" thickTop="1" thickBot="1" x14ac:dyDescent="0.5">
      <c r="A641" s="32"/>
      <c r="B641" s="10"/>
      <c r="C641" s="10"/>
      <c r="D641" s="11"/>
      <c r="E641" s="10"/>
      <c r="F641" s="10"/>
      <c r="G641" s="19"/>
      <c r="H641" s="19"/>
      <c r="I641" s="19"/>
      <c r="J641" s="19"/>
      <c r="K641" s="10"/>
      <c r="L641" s="10"/>
      <c r="M641" s="10"/>
      <c r="N641" s="10"/>
      <c r="O641" s="18"/>
      <c r="P641" s="18"/>
      <c r="Q641" s="21"/>
      <c r="R641" s="20"/>
      <c r="S641" s="16">
        <f t="shared" si="421"/>
        <v>0</v>
      </c>
      <c r="T641" s="11"/>
      <c r="AS641" s="31">
        <f t="shared" si="422"/>
        <v>0</v>
      </c>
      <c r="AT641" s="31">
        <f t="shared" si="423"/>
        <v>0</v>
      </c>
      <c r="AU641" s="31">
        <f t="shared" si="424"/>
        <v>0</v>
      </c>
      <c r="AV641" s="31">
        <f t="shared" si="425"/>
        <v>0</v>
      </c>
      <c r="AW641" s="31">
        <f t="shared" si="426"/>
        <v>0</v>
      </c>
      <c r="AX641" s="31">
        <f t="shared" si="427"/>
        <v>0</v>
      </c>
      <c r="AY641" s="31">
        <f t="shared" si="428"/>
        <v>0</v>
      </c>
      <c r="AZ641" s="31">
        <f t="shared" si="429"/>
        <v>0</v>
      </c>
      <c r="BA641" s="31">
        <f t="shared" si="430"/>
        <v>0</v>
      </c>
      <c r="BB641" s="31">
        <f t="shared" si="459"/>
        <v>0</v>
      </c>
      <c r="BM641" s="8">
        <f t="shared" si="460"/>
        <v>0</v>
      </c>
      <c r="BN641" s="8">
        <f t="shared" si="431"/>
        <v>0</v>
      </c>
      <c r="BO641" s="8">
        <f t="shared" si="432"/>
        <v>0</v>
      </c>
      <c r="BQ641" s="8">
        <f t="shared" si="433"/>
        <v>0</v>
      </c>
      <c r="BR641" s="63">
        <f t="shared" si="434"/>
        <v>0</v>
      </c>
      <c r="BS641" s="63">
        <f t="shared" si="461"/>
        <v>0</v>
      </c>
      <c r="BT641" s="63">
        <f t="shared" si="435"/>
        <v>0</v>
      </c>
      <c r="BU641" s="63">
        <f t="shared" si="436"/>
        <v>0</v>
      </c>
      <c r="BV641" s="57">
        <f t="shared" si="437"/>
        <v>0</v>
      </c>
      <c r="BW641" s="57">
        <f t="shared" si="438"/>
        <v>0</v>
      </c>
      <c r="BX641" s="57">
        <f t="shared" si="462"/>
        <v>0</v>
      </c>
      <c r="BY641" s="57">
        <f t="shared" si="466"/>
        <v>0</v>
      </c>
      <c r="BZ641" s="8">
        <f t="shared" si="439"/>
        <v>0</v>
      </c>
      <c r="CA641" s="8">
        <f t="shared" si="440"/>
        <v>0</v>
      </c>
      <c r="CB641" s="8">
        <f t="shared" si="441"/>
        <v>0</v>
      </c>
      <c r="CC641" s="8">
        <f t="shared" si="442"/>
        <v>0</v>
      </c>
      <c r="CD641" s="8">
        <f t="shared" si="443"/>
        <v>0</v>
      </c>
      <c r="CE641" s="8">
        <f t="shared" si="444"/>
        <v>0</v>
      </c>
      <c r="CF641" s="8">
        <f t="shared" si="445"/>
        <v>0</v>
      </c>
      <c r="CG641" s="8">
        <f t="shared" si="446"/>
        <v>0</v>
      </c>
      <c r="CH641" s="8">
        <f t="shared" si="447"/>
        <v>0</v>
      </c>
      <c r="CI641" s="8">
        <f t="shared" si="448"/>
        <v>0</v>
      </c>
      <c r="CJ641" s="8">
        <f t="shared" si="449"/>
        <v>0</v>
      </c>
      <c r="CK641" s="8">
        <f t="shared" si="450"/>
        <v>0</v>
      </c>
      <c r="CL641" s="8">
        <f t="shared" si="451"/>
        <v>0</v>
      </c>
      <c r="CM641" s="8">
        <f t="shared" si="452"/>
        <v>0</v>
      </c>
      <c r="CN641" s="8">
        <f t="shared" si="453"/>
        <v>0</v>
      </c>
      <c r="CO641" s="8">
        <f t="shared" si="454"/>
        <v>0</v>
      </c>
      <c r="CP641" s="8">
        <f t="shared" si="455"/>
        <v>0</v>
      </c>
      <c r="CQ641" s="8">
        <f t="shared" si="456"/>
        <v>0</v>
      </c>
      <c r="CR641" s="8">
        <f t="shared" si="457"/>
        <v>0</v>
      </c>
      <c r="CS641" s="8">
        <f t="shared" si="458"/>
        <v>0</v>
      </c>
      <c r="CT641" s="8">
        <f t="shared" si="463"/>
        <v>0</v>
      </c>
      <c r="CU641" s="8">
        <f t="shared" si="464"/>
        <v>0</v>
      </c>
      <c r="CV641" s="8">
        <f t="shared" si="465"/>
        <v>0</v>
      </c>
    </row>
    <row r="642" spans="1:100" ht="20.5" thickTop="1" thickBot="1" x14ac:dyDescent="0.5">
      <c r="A642" s="32"/>
      <c r="B642" s="10"/>
      <c r="C642" s="10"/>
      <c r="D642" s="11"/>
      <c r="E642" s="10"/>
      <c r="F642" s="10"/>
      <c r="G642" s="19"/>
      <c r="H642" s="19"/>
      <c r="I642" s="19"/>
      <c r="J642" s="19"/>
      <c r="K642" s="10"/>
      <c r="L642" s="10"/>
      <c r="M642" s="10"/>
      <c r="N642" s="10"/>
      <c r="O642" s="18"/>
      <c r="P642" s="18"/>
      <c r="Q642" s="21"/>
      <c r="R642" s="20"/>
      <c r="S642" s="16">
        <f t="shared" si="421"/>
        <v>0</v>
      </c>
      <c r="T642" s="11"/>
      <c r="AS642" s="31">
        <f t="shared" si="422"/>
        <v>0</v>
      </c>
      <c r="AT642" s="31">
        <f t="shared" si="423"/>
        <v>0</v>
      </c>
      <c r="AU642" s="31">
        <f t="shared" si="424"/>
        <v>0</v>
      </c>
      <c r="AV642" s="31">
        <f t="shared" si="425"/>
        <v>0</v>
      </c>
      <c r="AW642" s="31">
        <f t="shared" si="426"/>
        <v>0</v>
      </c>
      <c r="AX642" s="31">
        <f t="shared" si="427"/>
        <v>0</v>
      </c>
      <c r="AY642" s="31">
        <f t="shared" si="428"/>
        <v>0</v>
      </c>
      <c r="AZ642" s="31">
        <f t="shared" si="429"/>
        <v>0</v>
      </c>
      <c r="BA642" s="31">
        <f t="shared" si="430"/>
        <v>0</v>
      </c>
      <c r="BB642" s="31">
        <f t="shared" si="459"/>
        <v>0</v>
      </c>
      <c r="BM642" s="8">
        <f t="shared" si="460"/>
        <v>0</v>
      </c>
      <c r="BN642" s="8">
        <f t="shared" si="431"/>
        <v>0</v>
      </c>
      <c r="BO642" s="8">
        <f t="shared" si="432"/>
        <v>0</v>
      </c>
      <c r="BQ642" s="8">
        <f t="shared" si="433"/>
        <v>0</v>
      </c>
      <c r="BR642" s="63">
        <f t="shared" si="434"/>
        <v>0</v>
      </c>
      <c r="BS642" s="63">
        <f t="shared" si="461"/>
        <v>0</v>
      </c>
      <c r="BT642" s="63">
        <f t="shared" si="435"/>
        <v>0</v>
      </c>
      <c r="BU642" s="63">
        <f t="shared" si="436"/>
        <v>0</v>
      </c>
      <c r="BV642" s="57">
        <f t="shared" si="437"/>
        <v>0</v>
      </c>
      <c r="BW642" s="57">
        <f t="shared" si="438"/>
        <v>0</v>
      </c>
      <c r="BX642" s="57">
        <f t="shared" si="462"/>
        <v>0</v>
      </c>
      <c r="BY642" s="57">
        <f t="shared" si="466"/>
        <v>0</v>
      </c>
      <c r="BZ642" s="8">
        <f t="shared" si="439"/>
        <v>0</v>
      </c>
      <c r="CA642" s="8">
        <f t="shared" si="440"/>
        <v>0</v>
      </c>
      <c r="CB642" s="8">
        <f t="shared" si="441"/>
        <v>0</v>
      </c>
      <c r="CC642" s="8">
        <f t="shared" si="442"/>
        <v>0</v>
      </c>
      <c r="CD642" s="8">
        <f t="shared" si="443"/>
        <v>0</v>
      </c>
      <c r="CE642" s="8">
        <f t="shared" si="444"/>
        <v>0</v>
      </c>
      <c r="CF642" s="8">
        <f t="shared" si="445"/>
        <v>0</v>
      </c>
      <c r="CG642" s="8">
        <f t="shared" si="446"/>
        <v>0</v>
      </c>
      <c r="CH642" s="8">
        <f t="shared" si="447"/>
        <v>0</v>
      </c>
      <c r="CI642" s="8">
        <f t="shared" si="448"/>
        <v>0</v>
      </c>
      <c r="CJ642" s="8">
        <f t="shared" si="449"/>
        <v>0</v>
      </c>
      <c r="CK642" s="8">
        <f t="shared" si="450"/>
        <v>0</v>
      </c>
      <c r="CL642" s="8">
        <f t="shared" si="451"/>
        <v>0</v>
      </c>
      <c r="CM642" s="8">
        <f t="shared" si="452"/>
        <v>0</v>
      </c>
      <c r="CN642" s="8">
        <f t="shared" si="453"/>
        <v>0</v>
      </c>
      <c r="CO642" s="8">
        <f t="shared" si="454"/>
        <v>0</v>
      </c>
      <c r="CP642" s="8">
        <f t="shared" si="455"/>
        <v>0</v>
      </c>
      <c r="CQ642" s="8">
        <f t="shared" si="456"/>
        <v>0</v>
      </c>
      <c r="CR642" s="8">
        <f t="shared" si="457"/>
        <v>0</v>
      </c>
      <c r="CS642" s="8">
        <f t="shared" si="458"/>
        <v>0</v>
      </c>
      <c r="CT642" s="8">
        <f t="shared" si="463"/>
        <v>0</v>
      </c>
      <c r="CU642" s="8">
        <f t="shared" si="464"/>
        <v>0</v>
      </c>
      <c r="CV642" s="8">
        <f t="shared" si="465"/>
        <v>0</v>
      </c>
    </row>
    <row r="643" spans="1:100" ht="20.5" thickTop="1" thickBot="1" x14ac:dyDescent="0.5">
      <c r="A643" s="32"/>
      <c r="B643" s="10"/>
      <c r="C643" s="10"/>
      <c r="D643" s="11"/>
      <c r="E643" s="10"/>
      <c r="F643" s="10"/>
      <c r="G643" s="19"/>
      <c r="H643" s="19"/>
      <c r="I643" s="19"/>
      <c r="J643" s="19"/>
      <c r="K643" s="10"/>
      <c r="L643" s="10"/>
      <c r="M643" s="10"/>
      <c r="N643" s="10"/>
      <c r="O643" s="18"/>
      <c r="P643" s="18"/>
      <c r="Q643" s="21"/>
      <c r="R643" s="20"/>
      <c r="S643" s="16">
        <f t="shared" si="421"/>
        <v>0</v>
      </c>
      <c r="T643" s="11"/>
      <c r="AS643" s="31">
        <f t="shared" si="422"/>
        <v>0</v>
      </c>
      <c r="AT643" s="31">
        <f t="shared" si="423"/>
        <v>0</v>
      </c>
      <c r="AU643" s="31">
        <f t="shared" si="424"/>
        <v>0</v>
      </c>
      <c r="AV643" s="31">
        <f t="shared" si="425"/>
        <v>0</v>
      </c>
      <c r="AW643" s="31">
        <f t="shared" si="426"/>
        <v>0</v>
      </c>
      <c r="AX643" s="31">
        <f t="shared" si="427"/>
        <v>0</v>
      </c>
      <c r="AY643" s="31">
        <f t="shared" si="428"/>
        <v>0</v>
      </c>
      <c r="AZ643" s="31">
        <f t="shared" si="429"/>
        <v>0</v>
      </c>
      <c r="BA643" s="31">
        <f t="shared" si="430"/>
        <v>0</v>
      </c>
      <c r="BB643" s="31">
        <f t="shared" si="459"/>
        <v>0</v>
      </c>
      <c r="BM643" s="8">
        <f t="shared" si="460"/>
        <v>0</v>
      </c>
      <c r="BN643" s="8">
        <f t="shared" si="431"/>
        <v>0</v>
      </c>
      <c r="BO643" s="8">
        <f t="shared" si="432"/>
        <v>0</v>
      </c>
      <c r="BQ643" s="8">
        <f t="shared" si="433"/>
        <v>0</v>
      </c>
      <c r="BR643" s="63">
        <f t="shared" si="434"/>
        <v>0</v>
      </c>
      <c r="BS643" s="63">
        <f t="shared" si="461"/>
        <v>0</v>
      </c>
      <c r="BT643" s="63">
        <f t="shared" si="435"/>
        <v>0</v>
      </c>
      <c r="BU643" s="63">
        <f t="shared" si="436"/>
        <v>0</v>
      </c>
      <c r="BV643" s="57">
        <f t="shared" si="437"/>
        <v>0</v>
      </c>
      <c r="BW643" s="57">
        <f t="shared" si="438"/>
        <v>0</v>
      </c>
      <c r="BX643" s="57">
        <f t="shared" si="462"/>
        <v>0</v>
      </c>
      <c r="BY643" s="57">
        <f t="shared" si="466"/>
        <v>0</v>
      </c>
      <c r="BZ643" s="8">
        <f t="shared" si="439"/>
        <v>0</v>
      </c>
      <c r="CA643" s="8">
        <f t="shared" si="440"/>
        <v>0</v>
      </c>
      <c r="CB643" s="8">
        <f t="shared" si="441"/>
        <v>0</v>
      </c>
      <c r="CC643" s="8">
        <f t="shared" si="442"/>
        <v>0</v>
      </c>
      <c r="CD643" s="8">
        <f t="shared" si="443"/>
        <v>0</v>
      </c>
      <c r="CE643" s="8">
        <f t="shared" si="444"/>
        <v>0</v>
      </c>
      <c r="CF643" s="8">
        <f t="shared" si="445"/>
        <v>0</v>
      </c>
      <c r="CG643" s="8">
        <f t="shared" si="446"/>
        <v>0</v>
      </c>
      <c r="CH643" s="8">
        <f t="shared" si="447"/>
        <v>0</v>
      </c>
      <c r="CI643" s="8">
        <f t="shared" si="448"/>
        <v>0</v>
      </c>
      <c r="CJ643" s="8">
        <f t="shared" si="449"/>
        <v>0</v>
      </c>
      <c r="CK643" s="8">
        <f t="shared" si="450"/>
        <v>0</v>
      </c>
      <c r="CL643" s="8">
        <f t="shared" si="451"/>
        <v>0</v>
      </c>
      <c r="CM643" s="8">
        <f t="shared" si="452"/>
        <v>0</v>
      </c>
      <c r="CN643" s="8">
        <f t="shared" si="453"/>
        <v>0</v>
      </c>
      <c r="CO643" s="8">
        <f t="shared" si="454"/>
        <v>0</v>
      </c>
      <c r="CP643" s="8">
        <f t="shared" si="455"/>
        <v>0</v>
      </c>
      <c r="CQ643" s="8">
        <f t="shared" si="456"/>
        <v>0</v>
      </c>
      <c r="CR643" s="8">
        <f t="shared" si="457"/>
        <v>0</v>
      </c>
      <c r="CS643" s="8">
        <f t="shared" si="458"/>
        <v>0</v>
      </c>
      <c r="CT643" s="8">
        <f t="shared" si="463"/>
        <v>0</v>
      </c>
      <c r="CU643" s="8">
        <f t="shared" si="464"/>
        <v>0</v>
      </c>
      <c r="CV643" s="8">
        <f t="shared" si="465"/>
        <v>0</v>
      </c>
    </row>
    <row r="644" spans="1:100" ht="20.5" thickTop="1" thickBot="1" x14ac:dyDescent="0.5">
      <c r="A644" s="32"/>
      <c r="B644" s="10"/>
      <c r="C644" s="10"/>
      <c r="D644" s="11"/>
      <c r="E644" s="10"/>
      <c r="F644" s="10"/>
      <c r="G644" s="19"/>
      <c r="H644" s="19"/>
      <c r="I644" s="19"/>
      <c r="J644" s="19"/>
      <c r="K644" s="10"/>
      <c r="L644" s="10"/>
      <c r="M644" s="10"/>
      <c r="N644" s="10"/>
      <c r="O644" s="18"/>
      <c r="P644" s="18"/>
      <c r="Q644" s="21"/>
      <c r="R644" s="20"/>
      <c r="S644" s="16">
        <f t="shared" ref="S644:S707" si="467">IF(AND(K644="asphalted",M644="sub",BV644&lt;=1,BV644&gt;0),1+2*0.15,IF(AND(K644="asphalted",OR(M644="main",M644="MOT"),BV644&lt;=1,BV644&gt;0),1+2*0.3,IF(AND(K644="asphalted",M644="sub",BV644&gt;1),BV644+2*0.15,IF(AND(K644="asphalted",OR(M644="main",M644="MOT"),BV644&gt;1),BV644+2*0.3,0))))</f>
        <v>0</v>
      </c>
      <c r="T644" s="11"/>
      <c r="AS644" s="31">
        <f t="shared" ref="AS644:AS707" si="468">IF(F644=1,0.4,IF(F644&gt;1,F644*0.3,0))</f>
        <v>0</v>
      </c>
      <c r="AT644" s="31">
        <f t="shared" ref="AT644:AT707" si="469">IF(AND(G644&lt;4,G644&gt;0),0.4,IF(G644&gt;3,0.4+(G644-3)*0.1,0))</f>
        <v>0</v>
      </c>
      <c r="AU644" s="31">
        <f t="shared" ref="AU644:AU707" si="470">AT644-AS644</f>
        <v>0</v>
      </c>
      <c r="AV644" s="31">
        <f t="shared" ref="AV644:AV707" si="471">IF(AND(OR(OR(E644="normal",E644="special"),E644="special"),F644=0,G644&gt;0,G644&lt;5),"LV"&amp;G644,IF(AND(OR(OR(E644="normal",E644="special"),E644="special"),F644=0,G644&gt;4),"LVCU",IF(AND(OR(OR(E644="normal",E644="special"),E644="special"),F644&gt;4),"MVCU",IF(AND(OR(OR(E644="normal",E644="special"),E644="special"),F644&gt;0,F644&lt;5),"MV"&amp;F644,IF(AND(E644="mini-trench",F644=1),"mini-trench MV",IF(AND(E644="mini-trench",G644&lt;3,G644&lt;&gt;0),"mini-trench LV",0))))))</f>
        <v>0</v>
      </c>
      <c r="AW644" s="31">
        <f t="shared" ref="AW644:AW707" si="472">IF(B644="joint",F644,0)+IF(C644="joint",F644,0)+IF(OR(B644="new ss",B644="ss"),F644*3)+IF(B644="pole",F644*10)+IF(OR(C644="new ss",C644="ss"),F644*3)+IF(C644="pole",F644*10)+IF(B644="grid",F644*30)+IF(C644="grid",F644*30)</f>
        <v>0</v>
      </c>
      <c r="AX644" s="31">
        <f t="shared" ref="AX644:AX707" si="473">IF(J644&gt;0,IF(OR(B644="ss",C644="ss"),J644*3,0)+IF(OR(B644="new ss",C644="new ss"),J644*3,0)+IF(OR(B644="DC",C644="DC"),J644*1.5,0)+IF(OR(B644="new DC",C644="new DC"),J644*1.5,0)+IF(OR(B644="MB",C644="MB"),J644*2,0)+IF(OR(B644="pole",C644="pole"),J644*10,0),0)</f>
        <v>0</v>
      </c>
      <c r="AY644" s="31">
        <f t="shared" ref="AY644:AY707" si="474">IF(I644&gt;0,IF(OR(B644="ss",C644="ss"),I644*3,0)+IF(OR(B644="new ss",C644="new ss"),I644*3,0)+IF(OR(B644="DC",C644="DC"),I644*1.5,0)+IF(OR(B644="new DC",C644="new DC"),J644*1.5,0)+IF(OR(B644="MB",C644="MB"),I644*2,0)+IF(OR(B644="pole",C644="pole"),I644*10,0),0)</f>
        <v>0</v>
      </c>
      <c r="AZ644" s="31">
        <f t="shared" ref="AZ644:AZ707" si="475">IF(H644&gt;0,IF(OR(B644="ss",C644="ss"),H644*3,0)+IF(OR(B644="new ss",C644="new ss"),H644*3,0)+IF(OR(B644="DC",C644="DC"),H644*2,0)+IF(OR(B644="new DC",C644="new DC"),H644*1.5,0)+IF(OR(B644="MB",C644="MB"),H644*2,0)+IF(OR(B644="pole",C644="pole"),H644*10,0)+IF(OR(B644="pole",C644="pole"),H644*10,0),0)</f>
        <v>0</v>
      </c>
      <c r="BA644" s="31">
        <f t="shared" ref="BA644:BA707" si="476">IF(E644="manual",IF(AU644&lt;0,D644*AS644*0.8,IF(AND(AS644&gt;0,AU644&gt;0),D644*AS644*0.8+D644*AU644*0.65,IF(AND(AS644=0,AT644&gt;0),D644*AT644*0.65,0))),0)</f>
        <v>0</v>
      </c>
      <c r="BB644" s="31">
        <f t="shared" si="459"/>
        <v>0</v>
      </c>
      <c r="BM644" s="8">
        <f t="shared" si="460"/>
        <v>0</v>
      </c>
      <c r="BN644" s="8">
        <f t="shared" ref="BN644:BN707" si="477">IFERROR(IF(AND(K644="asphalted",E644="mini-trench",R644=""),1*D644,IF(AND(K644="asphalted",R644&gt;0,MandRcalc="Complete M&amp;R area"),R644*D644,IF(AND(K644="asphalted",R644&gt;0,MandRcalc="M&amp;R area - asphalting area"),(R644-BR644/D644)*D644,0))),0)</f>
        <v>0</v>
      </c>
      <c r="BO644" s="8">
        <f t="shared" ref="BO644:BO707" si="478">IF(BQ644&lt;MINEXCNA,0,IF(AND(E644="normal",F644&lt;5,G644&lt;12,K644&lt;&gt;"asphalted",AT644&gt;AS644,AS644&lt;&gt;0),(BQ644-AT644)*0.65,IF(AND(E644="normal",F644&lt;5,G644&lt;12,K644&lt;&gt;"asphalted",AS644&gt;=AT644),(BQ644-AS644)*0.8,IF(AND(E644="normal",F644&lt;5,G644&lt;12,K644&lt;&gt;"asphalted",AT644&gt;0,AS644=0),(BQ644-AT644)*0.65,0)))*D644)</f>
        <v>0</v>
      </c>
      <c r="BQ644" s="8">
        <f t="shared" ref="BQ644:BQ707" si="479">IF(E644="special",O644,IF(AND(OR(E644="normal",E644="manual"),O644="",K644="asphalted",BV644&lt;=MINEXC),MINEXC,IF(AND(OR(E644="normal",E644="manual"),O644&lt;&gt;"",K644="asphalted"),MIN(O644,BV644),IF(AND(OR(E644="normal",E644="manual"),O644="",K644&lt;&gt;"asphalted",BV644&lt;=MINEXCNA),MINEXCNA,IF(AND(OR(E644="normal",E644="manual"),O644&lt;&gt;"",K644&lt;&gt;"asphalted"),MIN(O644,BV644),BV644)))))</f>
        <v>0</v>
      </c>
      <c r="BR644" s="63">
        <f t="shared" ref="BR644:BR707" si="480">IFERROR(IF(AND(E644&lt;&gt;"mini-trecnh",K644="asphalted",Q644&lt;&gt;"",S644=0),D644*Q644,IF(AND(E644&lt;&gt;"mini-trecnh",K644="asphalted",Q644&lt;&gt;"",S644&lt;&gt;0),D644*MIN(Q644,S644),IF(AND(E644&lt;&gt;"mini-trecnh",K644="asphalted",Q644=""),D644*S644,0))),0)</f>
        <v>0</v>
      </c>
      <c r="BS644" s="63">
        <f t="shared" si="461"/>
        <v>0</v>
      </c>
      <c r="BT644" s="63">
        <f t="shared" ref="BT644:BT707" si="481">IF(BQ644&lt;MINEXC,0,IF(AND(E644="normal",F644&lt;5,G644&lt;12,K644="asphalted",AT644&gt;AS644,AS644&lt;&gt;0),(BQ644-AT644)*0.65,IF(AND(E644="normal",F644&lt;5,G644&lt;12,K644="asphalted",AS644&gt;=AT644),(BQ644-AS644)*0.8,IF(AND(E644="normal",F644&lt;5,G644&lt;12,K644="asphalted",AT644&gt;0,AS644=0),(BQ644-AT644)*0.65,0)))*D644)</f>
        <v>0</v>
      </c>
      <c r="BU644" s="63">
        <f t="shared" ref="BU644:BU707" si="482">IF(E644="",0,IF(OR(BT644&gt;0,BO644&gt;0),0,IF(AND(F644&gt;4,G644=0),(BQ644-1.2)*D644*0.8,IF(AND(G644&gt;4,F644=0),(BQ644-0.4)*D644*0.65,IF(OR(AND(G644&gt;4,F644&gt;0),AND(F644&gt;4,G644&gt;0)),(IF(AS644&gt;1.2,(AS644-1.2)*D644*0.8,0)+IF(AT644&gt;AS644,(AT644-AS644)*D644*0.65,0)),0)))))</f>
        <v>0</v>
      </c>
      <c r="BV644" s="57">
        <f t="shared" ref="BV644:BV707" si="483">IF(AND(E644&lt;&gt;"mini-trench",E644&lt;&gt;"special"),MAX(AS644:AT644),0)</f>
        <v>0</v>
      </c>
      <c r="BW644" s="57">
        <f t="shared" ref="BW644:BW707" si="484">IF(AND(E644&lt;&gt;"mini-trench",E644&lt;&gt;"special",BV644&gt;0,BV644&lt;1,K644="asphalted"),IF(O644&lt;&gt;"",MIN(O644,1),1),IF(AND(E644&lt;&gt;"mini-trench",E644&lt;&gt;"special",BV644&gt;0,BV644&gt;1,K644="asphalted"),BV644,0))</f>
        <v>0</v>
      </c>
      <c r="BX644" s="57">
        <f t="shared" si="462"/>
        <v>0</v>
      </c>
      <c r="BY644" s="57">
        <f t="shared" si="466"/>
        <v>0</v>
      </c>
      <c r="BZ644" s="8">
        <f t="shared" ref="BZ644:BZ707" si="485">IF(E644="special",O644*P644*D644-D644*IF(AV644="MV1",0.8*0.4,IF(AV644="MV2",0.8*0.6,IF(AV644="MV3",0.8*0.9,IF(OR(AV644="MV4",AV644="MVCU"),0.8*1.2,IF(AV644="LV1-3",0.65*0.4,IF(OR(AV644="LV4",AV644="LVCU"),0.65*0.5)))))),0)</f>
        <v>0</v>
      </c>
      <c r="CA644" s="8">
        <f t="shared" ref="CA644:CA707" si="486">IF(AND(E644&lt;&gt;"special",K644="Paved interlock"),D644*BV644,IF(AND(E644="special",K644="Paved interlock"),D644*O644,0))</f>
        <v>0</v>
      </c>
      <c r="CB644" s="8">
        <f t="shared" ref="CB644:CB707" si="487">IF(AND(E644&lt;&gt;"special",K644="Paved conc.tiles"),D644*BV644,IF(AND(E644="special",K644="Paved conc.tiles"),D644*O644,0))</f>
        <v>0</v>
      </c>
      <c r="CC644" s="8">
        <f t="shared" ref="CC644:CC707" si="488">IF(AND(E644="special",K644="asphalted"),D644*Q644,0)</f>
        <v>0</v>
      </c>
      <c r="CD644" s="8">
        <f t="shared" ref="CD644:CD707" si="489">IF(OR(K644="Paved interlock",K644="Paved conc.tiles"),1,0)</f>
        <v>0</v>
      </c>
      <c r="CE644" s="8">
        <f t="shared" ref="CE644:CE707" si="490">IFERROR(BR644/D644,0)</f>
        <v>0</v>
      </c>
      <c r="CF644" s="8">
        <f t="shared" ref="CF644:CF707" si="491">IF(AND(F644&gt;0,B644="j transition"),F644,0)+IF(AND(F644&gt;0,C644="j transition"),F644,0)</f>
        <v>0</v>
      </c>
      <c r="CG644" s="8">
        <f t="shared" ref="CG644:CG707" si="492">IF(AND(F644&gt;0,OR(B644="grid",B644="ss",B644="pole",B644="new ss")),F644,0)+IF(AND(F644&gt;0,OR(C644="grid",C644="ss",C644="pole",C644="new ss")),F644,0)</f>
        <v>0</v>
      </c>
      <c r="CH644" s="8">
        <f t="shared" ref="CH644:CH707" si="493">IF(AND(F644&gt;0,B644="joint"),F644,0)+IF(AND(F644&gt;0,C644="joint"),F644,0)+IF(AND(F644&gt;0,B644="j transition"),F644,0)+IF(AND(F644&gt;0,C644="j transition"),F644,0)</f>
        <v>0</v>
      </c>
      <c r="CI644" s="8">
        <f t="shared" ref="CI644:CI707" si="494">IF(AND(H644&gt;0,B644="joint"),H644,0)+IF(AND(H644&gt;0,C644="joint"),H644,0)</f>
        <v>0</v>
      </c>
      <c r="CJ644" s="8">
        <f t="shared" ref="CJ644:CJ707" si="495">IF(AND(I644&gt;0,B644="joint"),I644,0)+IF(AND(I644&gt;0,C644="joint"),I644,0)</f>
        <v>0</v>
      </c>
      <c r="CK644" s="8">
        <f t="shared" ref="CK644:CK707" si="496">IF(AND(J644&gt;0,B644="joint"),J644,0)+IF(AND(J644&gt;0,C644="joint"),J644,0)</f>
        <v>0</v>
      </c>
      <c r="CL644" s="8">
        <f t="shared" ref="CL644:CL707" si="497">IF(AND(H644&gt;0,OR(B644="ss",B644="new ss",B644="DC",B644="new DC")),H644,0)+IF(AND(H644&gt;0,OR(C644="new ss",C644="ss",C644="DC",C644="new DC")),H644,0)</f>
        <v>0</v>
      </c>
      <c r="CM644" s="8">
        <f t="shared" ref="CM644:CM707" si="498">CO644+CP644</f>
        <v>0</v>
      </c>
      <c r="CN644" s="8">
        <f t="shared" ref="CN644:CN707" si="499">IF(OR(B644="new DC",C644="new DC"),H644,0)</f>
        <v>0</v>
      </c>
      <c r="CO644" s="8">
        <f t="shared" ref="CO644:CO707" si="500">IF(AND(J644&gt;0,OR(B644="ss",B644="new ss",B644="DC",B644="new DC")),J644,0)+IF(AND(J644&gt;0,OR(C644="new ss",C644="ss",C644="DC",C644="new DC")),J644,0)</f>
        <v>0</v>
      </c>
      <c r="CP644" s="8">
        <f t="shared" ref="CP644:CP707" si="501">IF(AND(I644&gt;0,OR(B644="ss",B644="new ss",B644="DC",B644="new DC")),I644,0)+IF(AND(I644&gt;0,OR(C644="new ss",C644="ss",C644="DC",C644="new DC")),I644,0)</f>
        <v>0</v>
      </c>
      <c r="CQ644" s="8">
        <f t="shared" ref="CQ644:CQ707" si="502">IF(AND(F644&gt;0,OR(B644="ss",B644="new ss")),F644,0)+IF(AND(F644&gt;0,OR(C644="ss",C644="new ss")),F644,0)</f>
        <v>0</v>
      </c>
      <c r="CR644" s="8">
        <f t="shared" ref="CR644:CR707" si="503">IF(AND(F644&gt;0,OR(B644="grid")),F644,0)+IF(AND(F644&gt;0,OR(C644="grid")),F644,0)</f>
        <v>0</v>
      </c>
      <c r="CS644" s="8">
        <f t="shared" ref="CS644:CS707" si="504">IF(AND(F644&gt;0,OR(B644="pole")),F644,0)+IF(AND(F644&gt;0,OR(C644="pole")),F644,0)</f>
        <v>0</v>
      </c>
      <c r="CT644" s="8">
        <f t="shared" si="463"/>
        <v>0</v>
      </c>
      <c r="CU644" s="8">
        <f t="shared" si="464"/>
        <v>0</v>
      </c>
      <c r="CV644" s="8">
        <f t="shared" si="465"/>
        <v>0</v>
      </c>
    </row>
    <row r="645" spans="1:100" ht="20.5" thickTop="1" thickBot="1" x14ac:dyDescent="0.5">
      <c r="A645" s="32"/>
      <c r="B645" s="10"/>
      <c r="C645" s="10"/>
      <c r="D645" s="11"/>
      <c r="E645" s="10"/>
      <c r="F645" s="10"/>
      <c r="G645" s="19"/>
      <c r="H645" s="19"/>
      <c r="I645" s="19"/>
      <c r="J645" s="19"/>
      <c r="K645" s="10"/>
      <c r="L645" s="10"/>
      <c r="M645" s="10"/>
      <c r="N645" s="10"/>
      <c r="O645" s="18"/>
      <c r="P645" s="18"/>
      <c r="Q645" s="21"/>
      <c r="R645" s="20"/>
      <c r="S645" s="16">
        <f t="shared" si="467"/>
        <v>0</v>
      </c>
      <c r="T645" s="11"/>
      <c r="AS645" s="31">
        <f t="shared" si="468"/>
        <v>0</v>
      </c>
      <c r="AT645" s="31">
        <f t="shared" si="469"/>
        <v>0</v>
      </c>
      <c r="AU645" s="31">
        <f t="shared" si="470"/>
        <v>0</v>
      </c>
      <c r="AV645" s="31">
        <f t="shared" si="471"/>
        <v>0</v>
      </c>
      <c r="AW645" s="31">
        <f t="shared" si="472"/>
        <v>0</v>
      </c>
      <c r="AX645" s="31">
        <f t="shared" si="473"/>
        <v>0</v>
      </c>
      <c r="AY645" s="31">
        <f t="shared" si="474"/>
        <v>0</v>
      </c>
      <c r="AZ645" s="31">
        <f t="shared" si="475"/>
        <v>0</v>
      </c>
      <c r="BA645" s="31">
        <f t="shared" si="476"/>
        <v>0</v>
      </c>
      <c r="BB645" s="31">
        <f t="shared" ref="BB645:BB708" si="505">IFERROR(IF(BN645&gt;0,0,IF(AND(E645="normal",(BR645/D645)&gt;1),BR645,0)),0)</f>
        <v>0</v>
      </c>
      <c r="BM645" s="8">
        <f t="shared" ref="BM645:BM708" si="506">IF(AND(E645&lt;&gt;"special",K645="Concrete"),D645*BV645,IF(AND(E645="special",K645="Concrete"),D645*O645,0))</f>
        <v>0</v>
      </c>
      <c r="BN645" s="8">
        <f t="shared" si="477"/>
        <v>0</v>
      </c>
      <c r="BO645" s="8">
        <f t="shared" si="478"/>
        <v>0</v>
      </c>
      <c r="BQ645" s="8">
        <f t="shared" si="479"/>
        <v>0</v>
      </c>
      <c r="BR645" s="63">
        <f t="shared" si="480"/>
        <v>0</v>
      </c>
      <c r="BS645" s="63">
        <f t="shared" ref="BS645:BS708" si="507">BN645 + IF(BN645&gt;0,IF(R644=0, R645, 0) + IF(R646=0, R645, 0),0)</f>
        <v>0</v>
      </c>
      <c r="BT645" s="63">
        <f t="shared" si="481"/>
        <v>0</v>
      </c>
      <c r="BU645" s="63">
        <f t="shared" si="482"/>
        <v>0</v>
      </c>
      <c r="BV645" s="57">
        <f t="shared" si="483"/>
        <v>0</v>
      </c>
      <c r="BW645" s="57">
        <f t="shared" si="484"/>
        <v>0</v>
      </c>
      <c r="BX645" s="57">
        <f t="shared" ref="BX645:BX708" si="508">IF(AND(R645&gt;0,MandRcalc="Asphalting then M&amp;R"),R645*D645,IF(AND(R645&gt;0,MandRcalc="Milling then Repaving"),(R645-BR645)*D645,0))</f>
        <v>0</v>
      </c>
      <c r="BY645" s="57">
        <f t="shared" si="466"/>
        <v>0</v>
      </c>
      <c r="BZ645" s="8">
        <f t="shared" si="485"/>
        <v>0</v>
      </c>
      <c r="CA645" s="8">
        <f t="shared" si="486"/>
        <v>0</v>
      </c>
      <c r="CB645" s="8">
        <f t="shared" si="487"/>
        <v>0</v>
      </c>
      <c r="CC645" s="8">
        <f t="shared" si="488"/>
        <v>0</v>
      </c>
      <c r="CD645" s="8">
        <f t="shared" si="489"/>
        <v>0</v>
      </c>
      <c r="CE645" s="8">
        <f t="shared" si="490"/>
        <v>0</v>
      </c>
      <c r="CF645" s="8">
        <f t="shared" si="491"/>
        <v>0</v>
      </c>
      <c r="CG645" s="8">
        <f t="shared" si="492"/>
        <v>0</v>
      </c>
      <c r="CH645" s="8">
        <f t="shared" si="493"/>
        <v>0</v>
      </c>
      <c r="CI645" s="8">
        <f t="shared" si="494"/>
        <v>0</v>
      </c>
      <c r="CJ645" s="8">
        <f t="shared" si="495"/>
        <v>0</v>
      </c>
      <c r="CK645" s="8">
        <f t="shared" si="496"/>
        <v>0</v>
      </c>
      <c r="CL645" s="8">
        <f t="shared" si="497"/>
        <v>0</v>
      </c>
      <c r="CM645" s="8">
        <f t="shared" si="498"/>
        <v>0</v>
      </c>
      <c r="CN645" s="8">
        <f t="shared" si="499"/>
        <v>0</v>
      </c>
      <c r="CO645" s="8">
        <f t="shared" si="500"/>
        <v>0</v>
      </c>
      <c r="CP645" s="8">
        <f t="shared" si="501"/>
        <v>0</v>
      </c>
      <c r="CQ645" s="8">
        <f t="shared" si="502"/>
        <v>0</v>
      </c>
      <c r="CR645" s="8">
        <f t="shared" si="503"/>
        <v>0</v>
      </c>
      <c r="CS645" s="8">
        <f t="shared" si="504"/>
        <v>0</v>
      </c>
      <c r="CT645" s="8">
        <f t="shared" si="463"/>
        <v>0</v>
      </c>
      <c r="CU645" s="8">
        <f t="shared" si="464"/>
        <v>0</v>
      </c>
      <c r="CV645" s="8">
        <f t="shared" si="465"/>
        <v>0</v>
      </c>
    </row>
    <row r="646" spans="1:100" ht="20.5" thickTop="1" thickBot="1" x14ac:dyDescent="0.5">
      <c r="A646" s="32"/>
      <c r="B646" s="10"/>
      <c r="C646" s="10"/>
      <c r="D646" s="11"/>
      <c r="E646" s="10"/>
      <c r="F646" s="10"/>
      <c r="G646" s="19"/>
      <c r="H646" s="19"/>
      <c r="I646" s="19"/>
      <c r="J646" s="19"/>
      <c r="K646" s="10"/>
      <c r="L646" s="10"/>
      <c r="M646" s="10"/>
      <c r="N646" s="10"/>
      <c r="O646" s="18"/>
      <c r="P646" s="18"/>
      <c r="Q646" s="21"/>
      <c r="R646" s="20"/>
      <c r="S646" s="16">
        <f t="shared" si="467"/>
        <v>0</v>
      </c>
      <c r="T646" s="11"/>
      <c r="AS646" s="31">
        <f t="shared" si="468"/>
        <v>0</v>
      </c>
      <c r="AT646" s="31">
        <f t="shared" si="469"/>
        <v>0</v>
      </c>
      <c r="AU646" s="31">
        <f t="shared" si="470"/>
        <v>0</v>
      </c>
      <c r="AV646" s="31">
        <f t="shared" si="471"/>
        <v>0</v>
      </c>
      <c r="AW646" s="31">
        <f t="shared" si="472"/>
        <v>0</v>
      </c>
      <c r="AX646" s="31">
        <f t="shared" si="473"/>
        <v>0</v>
      </c>
      <c r="AY646" s="31">
        <f t="shared" si="474"/>
        <v>0</v>
      </c>
      <c r="AZ646" s="31">
        <f t="shared" si="475"/>
        <v>0</v>
      </c>
      <c r="BA646" s="31">
        <f t="shared" si="476"/>
        <v>0</v>
      </c>
      <c r="BB646" s="31">
        <f t="shared" si="505"/>
        <v>0</v>
      </c>
      <c r="BM646" s="8">
        <f t="shared" si="506"/>
        <v>0</v>
      </c>
      <c r="BN646" s="8">
        <f t="shared" si="477"/>
        <v>0</v>
      </c>
      <c r="BO646" s="8">
        <f t="shared" si="478"/>
        <v>0</v>
      </c>
      <c r="BQ646" s="8">
        <f t="shared" si="479"/>
        <v>0</v>
      </c>
      <c r="BR646" s="63">
        <f t="shared" si="480"/>
        <v>0</v>
      </c>
      <c r="BS646" s="63">
        <f t="shared" si="507"/>
        <v>0</v>
      </c>
      <c r="BT646" s="63">
        <f t="shared" si="481"/>
        <v>0</v>
      </c>
      <c r="BU646" s="63">
        <f t="shared" si="482"/>
        <v>0</v>
      </c>
      <c r="BV646" s="57">
        <f t="shared" si="483"/>
        <v>0</v>
      </c>
      <c r="BW646" s="57">
        <f t="shared" si="484"/>
        <v>0</v>
      </c>
      <c r="BX646" s="57">
        <f t="shared" si="508"/>
        <v>0</v>
      </c>
      <c r="BY646" s="57">
        <f t="shared" si="466"/>
        <v>0</v>
      </c>
      <c r="BZ646" s="8">
        <f t="shared" si="485"/>
        <v>0</v>
      </c>
      <c r="CA646" s="8">
        <f t="shared" si="486"/>
        <v>0</v>
      </c>
      <c r="CB646" s="8">
        <f t="shared" si="487"/>
        <v>0</v>
      </c>
      <c r="CC646" s="8">
        <f t="shared" si="488"/>
        <v>0</v>
      </c>
      <c r="CD646" s="8">
        <f t="shared" si="489"/>
        <v>0</v>
      </c>
      <c r="CE646" s="8">
        <f t="shared" si="490"/>
        <v>0</v>
      </c>
      <c r="CF646" s="8">
        <f t="shared" si="491"/>
        <v>0</v>
      </c>
      <c r="CG646" s="8">
        <f t="shared" si="492"/>
        <v>0</v>
      </c>
      <c r="CH646" s="8">
        <f t="shared" si="493"/>
        <v>0</v>
      </c>
      <c r="CI646" s="8">
        <f t="shared" si="494"/>
        <v>0</v>
      </c>
      <c r="CJ646" s="8">
        <f t="shared" si="495"/>
        <v>0</v>
      </c>
      <c r="CK646" s="8">
        <f t="shared" si="496"/>
        <v>0</v>
      </c>
      <c r="CL646" s="8">
        <f t="shared" si="497"/>
        <v>0</v>
      </c>
      <c r="CM646" s="8">
        <f t="shared" si="498"/>
        <v>0</v>
      </c>
      <c r="CN646" s="8">
        <f t="shared" si="499"/>
        <v>0</v>
      </c>
      <c r="CO646" s="8">
        <f t="shared" si="500"/>
        <v>0</v>
      </c>
      <c r="CP646" s="8">
        <f t="shared" si="501"/>
        <v>0</v>
      </c>
      <c r="CQ646" s="8">
        <f t="shared" si="502"/>
        <v>0</v>
      </c>
      <c r="CR646" s="8">
        <f t="shared" si="503"/>
        <v>0</v>
      </c>
      <c r="CS646" s="8">
        <f t="shared" si="504"/>
        <v>0</v>
      </c>
      <c r="CT646" s="8">
        <f t="shared" si="463"/>
        <v>0</v>
      </c>
      <c r="CU646" s="8">
        <f t="shared" si="464"/>
        <v>0</v>
      </c>
      <c r="CV646" s="8">
        <f t="shared" si="465"/>
        <v>0</v>
      </c>
    </row>
    <row r="647" spans="1:100" ht="20.5" thickTop="1" thickBot="1" x14ac:dyDescent="0.5">
      <c r="A647" s="32"/>
      <c r="B647" s="10"/>
      <c r="C647" s="10"/>
      <c r="D647" s="11"/>
      <c r="E647" s="10"/>
      <c r="F647" s="10"/>
      <c r="G647" s="19"/>
      <c r="H647" s="19"/>
      <c r="I647" s="19"/>
      <c r="J647" s="19"/>
      <c r="K647" s="10"/>
      <c r="L647" s="10"/>
      <c r="M647" s="10"/>
      <c r="N647" s="10"/>
      <c r="O647" s="18"/>
      <c r="P647" s="18"/>
      <c r="Q647" s="21"/>
      <c r="R647" s="20"/>
      <c r="S647" s="16">
        <f t="shared" si="467"/>
        <v>0</v>
      </c>
      <c r="T647" s="11"/>
      <c r="AS647" s="31">
        <f t="shared" si="468"/>
        <v>0</v>
      </c>
      <c r="AT647" s="31">
        <f t="shared" si="469"/>
        <v>0</v>
      </c>
      <c r="AU647" s="31">
        <f t="shared" si="470"/>
        <v>0</v>
      </c>
      <c r="AV647" s="31">
        <f t="shared" si="471"/>
        <v>0</v>
      </c>
      <c r="AW647" s="31">
        <f t="shared" si="472"/>
        <v>0</v>
      </c>
      <c r="AX647" s="31">
        <f t="shared" si="473"/>
        <v>0</v>
      </c>
      <c r="AY647" s="31">
        <f t="shared" si="474"/>
        <v>0</v>
      </c>
      <c r="AZ647" s="31">
        <f t="shared" si="475"/>
        <v>0</v>
      </c>
      <c r="BA647" s="31">
        <f t="shared" si="476"/>
        <v>0</v>
      </c>
      <c r="BB647" s="31">
        <f t="shared" si="505"/>
        <v>0</v>
      </c>
      <c r="BM647" s="8">
        <f t="shared" si="506"/>
        <v>0</v>
      </c>
      <c r="BN647" s="8">
        <f t="shared" si="477"/>
        <v>0</v>
      </c>
      <c r="BO647" s="8">
        <f t="shared" si="478"/>
        <v>0</v>
      </c>
      <c r="BQ647" s="8">
        <f t="shared" si="479"/>
        <v>0</v>
      </c>
      <c r="BR647" s="63">
        <f t="shared" si="480"/>
        <v>0</v>
      </c>
      <c r="BS647" s="63">
        <f t="shared" si="507"/>
        <v>0</v>
      </c>
      <c r="BT647" s="63">
        <f t="shared" si="481"/>
        <v>0</v>
      </c>
      <c r="BU647" s="63">
        <f t="shared" si="482"/>
        <v>0</v>
      </c>
      <c r="BV647" s="57">
        <f t="shared" si="483"/>
        <v>0</v>
      </c>
      <c r="BW647" s="57">
        <f t="shared" si="484"/>
        <v>0</v>
      </c>
      <c r="BX647" s="57">
        <f t="shared" si="508"/>
        <v>0</v>
      </c>
      <c r="BY647" s="57">
        <f t="shared" si="466"/>
        <v>0</v>
      </c>
      <c r="BZ647" s="8">
        <f t="shared" si="485"/>
        <v>0</v>
      </c>
      <c r="CA647" s="8">
        <f t="shared" si="486"/>
        <v>0</v>
      </c>
      <c r="CB647" s="8">
        <f t="shared" si="487"/>
        <v>0</v>
      </c>
      <c r="CC647" s="8">
        <f t="shared" si="488"/>
        <v>0</v>
      </c>
      <c r="CD647" s="8">
        <f t="shared" si="489"/>
        <v>0</v>
      </c>
      <c r="CE647" s="8">
        <f t="shared" si="490"/>
        <v>0</v>
      </c>
      <c r="CF647" s="8">
        <f t="shared" si="491"/>
        <v>0</v>
      </c>
      <c r="CG647" s="8">
        <f t="shared" si="492"/>
        <v>0</v>
      </c>
      <c r="CH647" s="8">
        <f t="shared" si="493"/>
        <v>0</v>
      </c>
      <c r="CI647" s="8">
        <f t="shared" si="494"/>
        <v>0</v>
      </c>
      <c r="CJ647" s="8">
        <f t="shared" si="495"/>
        <v>0</v>
      </c>
      <c r="CK647" s="8">
        <f t="shared" si="496"/>
        <v>0</v>
      </c>
      <c r="CL647" s="8">
        <f t="shared" si="497"/>
        <v>0</v>
      </c>
      <c r="CM647" s="8">
        <f t="shared" si="498"/>
        <v>0</v>
      </c>
      <c r="CN647" s="8">
        <f t="shared" si="499"/>
        <v>0</v>
      </c>
      <c r="CO647" s="8">
        <f t="shared" si="500"/>
        <v>0</v>
      </c>
      <c r="CP647" s="8">
        <f t="shared" si="501"/>
        <v>0</v>
      </c>
      <c r="CQ647" s="8">
        <f t="shared" si="502"/>
        <v>0</v>
      </c>
      <c r="CR647" s="8">
        <f t="shared" si="503"/>
        <v>0</v>
      </c>
      <c r="CS647" s="8">
        <f t="shared" si="504"/>
        <v>0</v>
      </c>
      <c r="CT647" s="8">
        <f t="shared" si="463"/>
        <v>0</v>
      </c>
      <c r="CU647" s="8">
        <f t="shared" si="464"/>
        <v>0</v>
      </c>
      <c r="CV647" s="8">
        <f t="shared" si="465"/>
        <v>0</v>
      </c>
    </row>
    <row r="648" spans="1:100" ht="20.5" thickTop="1" thickBot="1" x14ac:dyDescent="0.5">
      <c r="A648" s="32"/>
      <c r="B648" s="10"/>
      <c r="C648" s="10"/>
      <c r="D648" s="11"/>
      <c r="E648" s="10"/>
      <c r="F648" s="10"/>
      <c r="G648" s="19"/>
      <c r="H648" s="19"/>
      <c r="I648" s="19"/>
      <c r="J648" s="19"/>
      <c r="K648" s="10"/>
      <c r="L648" s="10"/>
      <c r="M648" s="10"/>
      <c r="N648" s="10"/>
      <c r="O648" s="18"/>
      <c r="P648" s="18"/>
      <c r="Q648" s="21"/>
      <c r="R648" s="20"/>
      <c r="S648" s="16">
        <f t="shared" si="467"/>
        <v>0</v>
      </c>
      <c r="T648" s="11"/>
      <c r="AS648" s="31">
        <f t="shared" si="468"/>
        <v>0</v>
      </c>
      <c r="AT648" s="31">
        <f t="shared" si="469"/>
        <v>0</v>
      </c>
      <c r="AU648" s="31">
        <f t="shared" si="470"/>
        <v>0</v>
      </c>
      <c r="AV648" s="31">
        <f t="shared" si="471"/>
        <v>0</v>
      </c>
      <c r="AW648" s="31">
        <f t="shared" si="472"/>
        <v>0</v>
      </c>
      <c r="AX648" s="31">
        <f t="shared" si="473"/>
        <v>0</v>
      </c>
      <c r="AY648" s="31">
        <f t="shared" si="474"/>
        <v>0</v>
      </c>
      <c r="AZ648" s="31">
        <f t="shared" si="475"/>
        <v>0</v>
      </c>
      <c r="BA648" s="31">
        <f t="shared" si="476"/>
        <v>0</v>
      </c>
      <c r="BB648" s="31">
        <f t="shared" si="505"/>
        <v>0</v>
      </c>
      <c r="BM648" s="8">
        <f t="shared" si="506"/>
        <v>0</v>
      </c>
      <c r="BN648" s="8">
        <f t="shared" si="477"/>
        <v>0</v>
      </c>
      <c r="BO648" s="8">
        <f t="shared" si="478"/>
        <v>0</v>
      </c>
      <c r="BQ648" s="8">
        <f t="shared" si="479"/>
        <v>0</v>
      </c>
      <c r="BR648" s="63">
        <f t="shared" si="480"/>
        <v>0</v>
      </c>
      <c r="BS648" s="63">
        <f t="shared" si="507"/>
        <v>0</v>
      </c>
      <c r="BT648" s="63">
        <f t="shared" si="481"/>
        <v>0</v>
      </c>
      <c r="BU648" s="63">
        <f t="shared" si="482"/>
        <v>0</v>
      </c>
      <c r="BV648" s="57">
        <f t="shared" si="483"/>
        <v>0</v>
      </c>
      <c r="BW648" s="57">
        <f t="shared" si="484"/>
        <v>0</v>
      </c>
      <c r="BX648" s="57">
        <f t="shared" si="508"/>
        <v>0</v>
      </c>
      <c r="BY648" s="57">
        <f t="shared" si="466"/>
        <v>0</v>
      </c>
      <c r="BZ648" s="8">
        <f t="shared" si="485"/>
        <v>0</v>
      </c>
      <c r="CA648" s="8">
        <f t="shared" si="486"/>
        <v>0</v>
      </c>
      <c r="CB648" s="8">
        <f t="shared" si="487"/>
        <v>0</v>
      </c>
      <c r="CC648" s="8">
        <f t="shared" si="488"/>
        <v>0</v>
      </c>
      <c r="CD648" s="8">
        <f t="shared" si="489"/>
        <v>0</v>
      </c>
      <c r="CE648" s="8">
        <f t="shared" si="490"/>
        <v>0</v>
      </c>
      <c r="CF648" s="8">
        <f t="shared" si="491"/>
        <v>0</v>
      </c>
      <c r="CG648" s="8">
        <f t="shared" si="492"/>
        <v>0</v>
      </c>
      <c r="CH648" s="8">
        <f t="shared" si="493"/>
        <v>0</v>
      </c>
      <c r="CI648" s="8">
        <f t="shared" si="494"/>
        <v>0</v>
      </c>
      <c r="CJ648" s="8">
        <f t="shared" si="495"/>
        <v>0</v>
      </c>
      <c r="CK648" s="8">
        <f t="shared" si="496"/>
        <v>0</v>
      </c>
      <c r="CL648" s="8">
        <f t="shared" si="497"/>
        <v>0</v>
      </c>
      <c r="CM648" s="8">
        <f t="shared" si="498"/>
        <v>0</v>
      </c>
      <c r="CN648" s="8">
        <f t="shared" si="499"/>
        <v>0</v>
      </c>
      <c r="CO648" s="8">
        <f t="shared" si="500"/>
        <v>0</v>
      </c>
      <c r="CP648" s="8">
        <f t="shared" si="501"/>
        <v>0</v>
      </c>
      <c r="CQ648" s="8">
        <f t="shared" si="502"/>
        <v>0</v>
      </c>
      <c r="CR648" s="8">
        <f t="shared" si="503"/>
        <v>0</v>
      </c>
      <c r="CS648" s="8">
        <f t="shared" si="504"/>
        <v>0</v>
      </c>
      <c r="CT648" s="8">
        <f t="shared" si="463"/>
        <v>0</v>
      </c>
      <c r="CU648" s="8">
        <f t="shared" si="464"/>
        <v>0</v>
      </c>
      <c r="CV648" s="8">
        <f t="shared" si="465"/>
        <v>0</v>
      </c>
    </row>
    <row r="649" spans="1:100" ht="20.5" thickTop="1" thickBot="1" x14ac:dyDescent="0.5">
      <c r="A649" s="32"/>
      <c r="B649" s="10"/>
      <c r="C649" s="10"/>
      <c r="D649" s="11"/>
      <c r="E649" s="10"/>
      <c r="F649" s="10"/>
      <c r="G649" s="19"/>
      <c r="H649" s="19"/>
      <c r="I649" s="19"/>
      <c r="J649" s="19"/>
      <c r="K649" s="10"/>
      <c r="L649" s="10"/>
      <c r="M649" s="10"/>
      <c r="N649" s="10"/>
      <c r="O649" s="18"/>
      <c r="P649" s="18"/>
      <c r="Q649" s="21"/>
      <c r="R649" s="20"/>
      <c r="S649" s="16">
        <f t="shared" si="467"/>
        <v>0</v>
      </c>
      <c r="T649" s="11"/>
      <c r="AS649" s="31">
        <f t="shared" si="468"/>
        <v>0</v>
      </c>
      <c r="AT649" s="31">
        <f t="shared" si="469"/>
        <v>0</v>
      </c>
      <c r="AU649" s="31">
        <f t="shared" si="470"/>
        <v>0</v>
      </c>
      <c r="AV649" s="31">
        <f t="shared" si="471"/>
        <v>0</v>
      </c>
      <c r="AW649" s="31">
        <f t="shared" si="472"/>
        <v>0</v>
      </c>
      <c r="AX649" s="31">
        <f t="shared" si="473"/>
        <v>0</v>
      </c>
      <c r="AY649" s="31">
        <f t="shared" si="474"/>
        <v>0</v>
      </c>
      <c r="AZ649" s="31">
        <f t="shared" si="475"/>
        <v>0</v>
      </c>
      <c r="BA649" s="31">
        <f t="shared" si="476"/>
        <v>0</v>
      </c>
      <c r="BB649" s="31">
        <f t="shared" si="505"/>
        <v>0</v>
      </c>
      <c r="BM649" s="8">
        <f t="shared" si="506"/>
        <v>0</v>
      </c>
      <c r="BN649" s="8">
        <f t="shared" si="477"/>
        <v>0</v>
      </c>
      <c r="BO649" s="8">
        <f t="shared" si="478"/>
        <v>0</v>
      </c>
      <c r="BQ649" s="8">
        <f t="shared" si="479"/>
        <v>0</v>
      </c>
      <c r="BR649" s="63">
        <f t="shared" si="480"/>
        <v>0</v>
      </c>
      <c r="BS649" s="63">
        <f t="shared" si="507"/>
        <v>0</v>
      </c>
      <c r="BT649" s="63">
        <f t="shared" si="481"/>
        <v>0</v>
      </c>
      <c r="BU649" s="63">
        <f t="shared" si="482"/>
        <v>0</v>
      </c>
      <c r="BV649" s="57">
        <f t="shared" si="483"/>
        <v>0</v>
      </c>
      <c r="BW649" s="57">
        <f t="shared" si="484"/>
        <v>0</v>
      </c>
      <c r="BX649" s="57">
        <f t="shared" si="508"/>
        <v>0</v>
      </c>
      <c r="BY649" s="57">
        <f t="shared" si="466"/>
        <v>0</v>
      </c>
      <c r="BZ649" s="8">
        <f t="shared" si="485"/>
        <v>0</v>
      </c>
      <c r="CA649" s="8">
        <f t="shared" si="486"/>
        <v>0</v>
      </c>
      <c r="CB649" s="8">
        <f t="shared" si="487"/>
        <v>0</v>
      </c>
      <c r="CC649" s="8">
        <f t="shared" si="488"/>
        <v>0</v>
      </c>
      <c r="CD649" s="8">
        <f t="shared" si="489"/>
        <v>0</v>
      </c>
      <c r="CE649" s="8">
        <f t="shared" si="490"/>
        <v>0</v>
      </c>
      <c r="CF649" s="8">
        <f t="shared" si="491"/>
        <v>0</v>
      </c>
      <c r="CG649" s="8">
        <f t="shared" si="492"/>
        <v>0</v>
      </c>
      <c r="CH649" s="8">
        <f t="shared" si="493"/>
        <v>0</v>
      </c>
      <c r="CI649" s="8">
        <f t="shared" si="494"/>
        <v>0</v>
      </c>
      <c r="CJ649" s="8">
        <f t="shared" si="495"/>
        <v>0</v>
      </c>
      <c r="CK649" s="8">
        <f t="shared" si="496"/>
        <v>0</v>
      </c>
      <c r="CL649" s="8">
        <f t="shared" si="497"/>
        <v>0</v>
      </c>
      <c r="CM649" s="8">
        <f t="shared" si="498"/>
        <v>0</v>
      </c>
      <c r="CN649" s="8">
        <f t="shared" si="499"/>
        <v>0</v>
      </c>
      <c r="CO649" s="8">
        <f t="shared" si="500"/>
        <v>0</v>
      </c>
      <c r="CP649" s="8">
        <f t="shared" si="501"/>
        <v>0</v>
      </c>
      <c r="CQ649" s="8">
        <f t="shared" si="502"/>
        <v>0</v>
      </c>
      <c r="CR649" s="8">
        <f t="shared" si="503"/>
        <v>0</v>
      </c>
      <c r="CS649" s="8">
        <f t="shared" si="504"/>
        <v>0</v>
      </c>
      <c r="CT649" s="8">
        <f t="shared" si="463"/>
        <v>0</v>
      </c>
      <c r="CU649" s="8">
        <f t="shared" si="464"/>
        <v>0</v>
      </c>
      <c r="CV649" s="8">
        <f t="shared" si="465"/>
        <v>0</v>
      </c>
    </row>
    <row r="650" spans="1:100" ht="20.5" thickTop="1" thickBot="1" x14ac:dyDescent="0.5">
      <c r="A650" s="32"/>
      <c r="B650" s="10"/>
      <c r="C650" s="10"/>
      <c r="D650" s="11"/>
      <c r="E650" s="10"/>
      <c r="F650" s="10"/>
      <c r="G650" s="19"/>
      <c r="H650" s="19"/>
      <c r="I650" s="19"/>
      <c r="J650" s="19"/>
      <c r="K650" s="10"/>
      <c r="L650" s="10"/>
      <c r="M650" s="10"/>
      <c r="N650" s="10"/>
      <c r="O650" s="18"/>
      <c r="P650" s="18"/>
      <c r="Q650" s="21"/>
      <c r="R650" s="20"/>
      <c r="S650" s="16">
        <f t="shared" si="467"/>
        <v>0</v>
      </c>
      <c r="T650" s="11"/>
      <c r="AS650" s="31">
        <f t="shared" si="468"/>
        <v>0</v>
      </c>
      <c r="AT650" s="31">
        <f t="shared" si="469"/>
        <v>0</v>
      </c>
      <c r="AU650" s="31">
        <f t="shared" si="470"/>
        <v>0</v>
      </c>
      <c r="AV650" s="31">
        <f t="shared" si="471"/>
        <v>0</v>
      </c>
      <c r="AW650" s="31">
        <f t="shared" si="472"/>
        <v>0</v>
      </c>
      <c r="AX650" s="31">
        <f t="shared" si="473"/>
        <v>0</v>
      </c>
      <c r="AY650" s="31">
        <f t="shared" si="474"/>
        <v>0</v>
      </c>
      <c r="AZ650" s="31">
        <f t="shared" si="475"/>
        <v>0</v>
      </c>
      <c r="BA650" s="31">
        <f t="shared" si="476"/>
        <v>0</v>
      </c>
      <c r="BB650" s="31">
        <f t="shared" si="505"/>
        <v>0</v>
      </c>
      <c r="BM650" s="8">
        <f t="shared" si="506"/>
        <v>0</v>
      </c>
      <c r="BN650" s="8">
        <f t="shared" si="477"/>
        <v>0</v>
      </c>
      <c r="BO650" s="8">
        <f t="shared" si="478"/>
        <v>0</v>
      </c>
      <c r="BQ650" s="8">
        <f t="shared" si="479"/>
        <v>0</v>
      </c>
      <c r="BR650" s="63">
        <f t="shared" si="480"/>
        <v>0</v>
      </c>
      <c r="BS650" s="63">
        <f t="shared" si="507"/>
        <v>0</v>
      </c>
      <c r="BT650" s="63">
        <f t="shared" si="481"/>
        <v>0</v>
      </c>
      <c r="BU650" s="63">
        <f t="shared" si="482"/>
        <v>0</v>
      </c>
      <c r="BV650" s="57">
        <f t="shared" si="483"/>
        <v>0</v>
      </c>
      <c r="BW650" s="57">
        <f t="shared" si="484"/>
        <v>0</v>
      </c>
      <c r="BX650" s="57">
        <f t="shared" si="508"/>
        <v>0</v>
      </c>
      <c r="BY650" s="57">
        <f t="shared" si="466"/>
        <v>0</v>
      </c>
      <c r="BZ650" s="8">
        <f t="shared" si="485"/>
        <v>0</v>
      </c>
      <c r="CA650" s="8">
        <f t="shared" si="486"/>
        <v>0</v>
      </c>
      <c r="CB650" s="8">
        <f t="shared" si="487"/>
        <v>0</v>
      </c>
      <c r="CC650" s="8">
        <f t="shared" si="488"/>
        <v>0</v>
      </c>
      <c r="CD650" s="8">
        <f t="shared" si="489"/>
        <v>0</v>
      </c>
      <c r="CE650" s="8">
        <f t="shared" si="490"/>
        <v>0</v>
      </c>
      <c r="CF650" s="8">
        <f t="shared" si="491"/>
        <v>0</v>
      </c>
      <c r="CG650" s="8">
        <f t="shared" si="492"/>
        <v>0</v>
      </c>
      <c r="CH650" s="8">
        <f t="shared" si="493"/>
        <v>0</v>
      </c>
      <c r="CI650" s="8">
        <f t="shared" si="494"/>
        <v>0</v>
      </c>
      <c r="CJ650" s="8">
        <f t="shared" si="495"/>
        <v>0</v>
      </c>
      <c r="CK650" s="8">
        <f t="shared" si="496"/>
        <v>0</v>
      </c>
      <c r="CL650" s="8">
        <f t="shared" si="497"/>
        <v>0</v>
      </c>
      <c r="CM650" s="8">
        <f t="shared" si="498"/>
        <v>0</v>
      </c>
      <c r="CN650" s="8">
        <f t="shared" si="499"/>
        <v>0</v>
      </c>
      <c r="CO650" s="8">
        <f t="shared" si="500"/>
        <v>0</v>
      </c>
      <c r="CP650" s="8">
        <f t="shared" si="501"/>
        <v>0</v>
      </c>
      <c r="CQ650" s="8">
        <f t="shared" si="502"/>
        <v>0</v>
      </c>
      <c r="CR650" s="8">
        <f t="shared" si="503"/>
        <v>0</v>
      </c>
      <c r="CS650" s="8">
        <f t="shared" si="504"/>
        <v>0</v>
      </c>
      <c r="CT650" s="8">
        <f t="shared" si="463"/>
        <v>0</v>
      </c>
      <c r="CU650" s="8">
        <f t="shared" si="464"/>
        <v>0</v>
      </c>
      <c r="CV650" s="8">
        <f t="shared" si="465"/>
        <v>0</v>
      </c>
    </row>
    <row r="651" spans="1:100" ht="20.5" thickTop="1" thickBot="1" x14ac:dyDescent="0.5">
      <c r="A651" s="32"/>
      <c r="B651" s="10"/>
      <c r="C651" s="10"/>
      <c r="D651" s="11"/>
      <c r="E651" s="10"/>
      <c r="F651" s="10"/>
      <c r="G651" s="19"/>
      <c r="H651" s="19"/>
      <c r="I651" s="19"/>
      <c r="J651" s="19"/>
      <c r="K651" s="10"/>
      <c r="L651" s="10"/>
      <c r="M651" s="10"/>
      <c r="N651" s="10"/>
      <c r="O651" s="18"/>
      <c r="P651" s="18"/>
      <c r="Q651" s="21"/>
      <c r="R651" s="20"/>
      <c r="S651" s="16">
        <f t="shared" si="467"/>
        <v>0</v>
      </c>
      <c r="T651" s="11"/>
      <c r="AS651" s="31">
        <f t="shared" si="468"/>
        <v>0</v>
      </c>
      <c r="AT651" s="31">
        <f t="shared" si="469"/>
        <v>0</v>
      </c>
      <c r="AU651" s="31">
        <f t="shared" si="470"/>
        <v>0</v>
      </c>
      <c r="AV651" s="31">
        <f t="shared" si="471"/>
        <v>0</v>
      </c>
      <c r="AW651" s="31">
        <f t="shared" si="472"/>
        <v>0</v>
      </c>
      <c r="AX651" s="31">
        <f t="shared" si="473"/>
        <v>0</v>
      </c>
      <c r="AY651" s="31">
        <f t="shared" si="474"/>
        <v>0</v>
      </c>
      <c r="AZ651" s="31">
        <f t="shared" si="475"/>
        <v>0</v>
      </c>
      <c r="BA651" s="31">
        <f t="shared" si="476"/>
        <v>0</v>
      </c>
      <c r="BB651" s="31">
        <f t="shared" si="505"/>
        <v>0</v>
      </c>
      <c r="BM651" s="8">
        <f t="shared" si="506"/>
        <v>0</v>
      </c>
      <c r="BN651" s="8">
        <f t="shared" si="477"/>
        <v>0</v>
      </c>
      <c r="BO651" s="8">
        <f t="shared" si="478"/>
        <v>0</v>
      </c>
      <c r="BQ651" s="8">
        <f t="shared" si="479"/>
        <v>0</v>
      </c>
      <c r="BR651" s="63">
        <f t="shared" si="480"/>
        <v>0</v>
      </c>
      <c r="BS651" s="63">
        <f t="shared" si="507"/>
        <v>0</v>
      </c>
      <c r="BT651" s="63">
        <f t="shared" si="481"/>
        <v>0</v>
      </c>
      <c r="BU651" s="63">
        <f t="shared" si="482"/>
        <v>0</v>
      </c>
      <c r="BV651" s="57">
        <f t="shared" si="483"/>
        <v>0</v>
      </c>
      <c r="BW651" s="57">
        <f t="shared" si="484"/>
        <v>0</v>
      </c>
      <c r="BX651" s="57">
        <f t="shared" si="508"/>
        <v>0</v>
      </c>
      <c r="BY651" s="57">
        <f t="shared" si="466"/>
        <v>0</v>
      </c>
      <c r="BZ651" s="8">
        <f t="shared" si="485"/>
        <v>0</v>
      </c>
      <c r="CA651" s="8">
        <f t="shared" si="486"/>
        <v>0</v>
      </c>
      <c r="CB651" s="8">
        <f t="shared" si="487"/>
        <v>0</v>
      </c>
      <c r="CC651" s="8">
        <f t="shared" si="488"/>
        <v>0</v>
      </c>
      <c r="CD651" s="8">
        <f t="shared" si="489"/>
        <v>0</v>
      </c>
      <c r="CE651" s="8">
        <f t="shared" si="490"/>
        <v>0</v>
      </c>
      <c r="CF651" s="8">
        <f t="shared" si="491"/>
        <v>0</v>
      </c>
      <c r="CG651" s="8">
        <f t="shared" si="492"/>
        <v>0</v>
      </c>
      <c r="CH651" s="8">
        <f t="shared" si="493"/>
        <v>0</v>
      </c>
      <c r="CI651" s="8">
        <f t="shared" si="494"/>
        <v>0</v>
      </c>
      <c r="CJ651" s="8">
        <f t="shared" si="495"/>
        <v>0</v>
      </c>
      <c r="CK651" s="8">
        <f t="shared" si="496"/>
        <v>0</v>
      </c>
      <c r="CL651" s="8">
        <f t="shared" si="497"/>
        <v>0</v>
      </c>
      <c r="CM651" s="8">
        <f t="shared" si="498"/>
        <v>0</v>
      </c>
      <c r="CN651" s="8">
        <f t="shared" si="499"/>
        <v>0</v>
      </c>
      <c r="CO651" s="8">
        <f t="shared" si="500"/>
        <v>0</v>
      </c>
      <c r="CP651" s="8">
        <f t="shared" si="501"/>
        <v>0</v>
      </c>
      <c r="CQ651" s="8">
        <f t="shared" si="502"/>
        <v>0</v>
      </c>
      <c r="CR651" s="8">
        <f t="shared" si="503"/>
        <v>0</v>
      </c>
      <c r="CS651" s="8">
        <f t="shared" si="504"/>
        <v>0</v>
      </c>
      <c r="CT651" s="8">
        <f t="shared" si="463"/>
        <v>0</v>
      </c>
      <c r="CU651" s="8">
        <f t="shared" si="464"/>
        <v>0</v>
      </c>
      <c r="CV651" s="8">
        <f t="shared" si="465"/>
        <v>0</v>
      </c>
    </row>
    <row r="652" spans="1:100" ht="20.5" thickTop="1" thickBot="1" x14ac:dyDescent="0.5">
      <c r="A652" s="32"/>
      <c r="B652" s="10"/>
      <c r="C652" s="10"/>
      <c r="D652" s="11"/>
      <c r="E652" s="10"/>
      <c r="F652" s="10"/>
      <c r="G652" s="19"/>
      <c r="H652" s="19"/>
      <c r="I652" s="19"/>
      <c r="J652" s="19"/>
      <c r="K652" s="10"/>
      <c r="L652" s="10"/>
      <c r="M652" s="10"/>
      <c r="N652" s="10"/>
      <c r="O652" s="18"/>
      <c r="P652" s="18"/>
      <c r="Q652" s="21"/>
      <c r="R652" s="20"/>
      <c r="S652" s="16">
        <f t="shared" si="467"/>
        <v>0</v>
      </c>
      <c r="T652" s="11"/>
      <c r="AS652" s="31">
        <f t="shared" si="468"/>
        <v>0</v>
      </c>
      <c r="AT652" s="31">
        <f t="shared" si="469"/>
        <v>0</v>
      </c>
      <c r="AU652" s="31">
        <f t="shared" si="470"/>
        <v>0</v>
      </c>
      <c r="AV652" s="31">
        <f t="shared" si="471"/>
        <v>0</v>
      </c>
      <c r="AW652" s="31">
        <f t="shared" si="472"/>
        <v>0</v>
      </c>
      <c r="AX652" s="31">
        <f t="shared" si="473"/>
        <v>0</v>
      </c>
      <c r="AY652" s="31">
        <f t="shared" si="474"/>
        <v>0</v>
      </c>
      <c r="AZ652" s="31">
        <f t="shared" si="475"/>
        <v>0</v>
      </c>
      <c r="BA652" s="31">
        <f t="shared" si="476"/>
        <v>0</v>
      </c>
      <c r="BB652" s="31">
        <f t="shared" si="505"/>
        <v>0</v>
      </c>
      <c r="BM652" s="8">
        <f t="shared" si="506"/>
        <v>0</v>
      </c>
      <c r="BN652" s="8">
        <f t="shared" si="477"/>
        <v>0</v>
      </c>
      <c r="BO652" s="8">
        <f t="shared" si="478"/>
        <v>0</v>
      </c>
      <c r="BQ652" s="8">
        <f t="shared" si="479"/>
        <v>0</v>
      </c>
      <c r="BR652" s="63">
        <f t="shared" si="480"/>
        <v>0</v>
      </c>
      <c r="BS652" s="63">
        <f t="shared" si="507"/>
        <v>0</v>
      </c>
      <c r="BT652" s="63">
        <f t="shared" si="481"/>
        <v>0</v>
      </c>
      <c r="BU652" s="63">
        <f t="shared" si="482"/>
        <v>0</v>
      </c>
      <c r="BV652" s="57">
        <f t="shared" si="483"/>
        <v>0</v>
      </c>
      <c r="BW652" s="57">
        <f t="shared" si="484"/>
        <v>0</v>
      </c>
      <c r="BX652" s="57">
        <f t="shared" si="508"/>
        <v>0</v>
      </c>
      <c r="BY652" s="57">
        <f t="shared" si="466"/>
        <v>0</v>
      </c>
      <c r="BZ652" s="8">
        <f t="shared" si="485"/>
        <v>0</v>
      </c>
      <c r="CA652" s="8">
        <f t="shared" si="486"/>
        <v>0</v>
      </c>
      <c r="CB652" s="8">
        <f t="shared" si="487"/>
        <v>0</v>
      </c>
      <c r="CC652" s="8">
        <f t="shared" si="488"/>
        <v>0</v>
      </c>
      <c r="CD652" s="8">
        <f t="shared" si="489"/>
        <v>0</v>
      </c>
      <c r="CE652" s="8">
        <f t="shared" si="490"/>
        <v>0</v>
      </c>
      <c r="CF652" s="8">
        <f t="shared" si="491"/>
        <v>0</v>
      </c>
      <c r="CG652" s="8">
        <f t="shared" si="492"/>
        <v>0</v>
      </c>
      <c r="CH652" s="8">
        <f t="shared" si="493"/>
        <v>0</v>
      </c>
      <c r="CI652" s="8">
        <f t="shared" si="494"/>
        <v>0</v>
      </c>
      <c r="CJ652" s="8">
        <f t="shared" si="495"/>
        <v>0</v>
      </c>
      <c r="CK652" s="8">
        <f t="shared" si="496"/>
        <v>0</v>
      </c>
      <c r="CL652" s="8">
        <f t="shared" si="497"/>
        <v>0</v>
      </c>
      <c r="CM652" s="8">
        <f t="shared" si="498"/>
        <v>0</v>
      </c>
      <c r="CN652" s="8">
        <f t="shared" si="499"/>
        <v>0</v>
      </c>
      <c r="CO652" s="8">
        <f t="shared" si="500"/>
        <v>0</v>
      </c>
      <c r="CP652" s="8">
        <f t="shared" si="501"/>
        <v>0</v>
      </c>
      <c r="CQ652" s="8">
        <f t="shared" si="502"/>
        <v>0</v>
      </c>
      <c r="CR652" s="8">
        <f t="shared" si="503"/>
        <v>0</v>
      </c>
      <c r="CS652" s="8">
        <f t="shared" si="504"/>
        <v>0</v>
      </c>
      <c r="CT652" s="8">
        <f t="shared" si="463"/>
        <v>0</v>
      </c>
      <c r="CU652" s="8">
        <f t="shared" si="464"/>
        <v>0</v>
      </c>
      <c r="CV652" s="8">
        <f t="shared" si="465"/>
        <v>0</v>
      </c>
    </row>
    <row r="653" spans="1:100" ht="20.5" thickTop="1" thickBot="1" x14ac:dyDescent="0.5">
      <c r="A653" s="32"/>
      <c r="B653" s="10"/>
      <c r="C653" s="10"/>
      <c r="D653" s="11"/>
      <c r="E653" s="10"/>
      <c r="F653" s="10"/>
      <c r="G653" s="19"/>
      <c r="H653" s="19"/>
      <c r="I653" s="19"/>
      <c r="J653" s="19"/>
      <c r="K653" s="10"/>
      <c r="L653" s="10"/>
      <c r="M653" s="10"/>
      <c r="N653" s="10"/>
      <c r="O653" s="18"/>
      <c r="P653" s="18"/>
      <c r="Q653" s="21"/>
      <c r="R653" s="20"/>
      <c r="S653" s="16">
        <f t="shared" si="467"/>
        <v>0</v>
      </c>
      <c r="T653" s="11"/>
      <c r="AS653" s="31">
        <f t="shared" si="468"/>
        <v>0</v>
      </c>
      <c r="AT653" s="31">
        <f t="shared" si="469"/>
        <v>0</v>
      </c>
      <c r="AU653" s="31">
        <f t="shared" si="470"/>
        <v>0</v>
      </c>
      <c r="AV653" s="31">
        <f t="shared" si="471"/>
        <v>0</v>
      </c>
      <c r="AW653" s="31">
        <f t="shared" si="472"/>
        <v>0</v>
      </c>
      <c r="AX653" s="31">
        <f t="shared" si="473"/>
        <v>0</v>
      </c>
      <c r="AY653" s="31">
        <f t="shared" si="474"/>
        <v>0</v>
      </c>
      <c r="AZ653" s="31">
        <f t="shared" si="475"/>
        <v>0</v>
      </c>
      <c r="BA653" s="31">
        <f t="shared" si="476"/>
        <v>0</v>
      </c>
      <c r="BB653" s="31">
        <f t="shared" si="505"/>
        <v>0</v>
      </c>
      <c r="BM653" s="8">
        <f t="shared" si="506"/>
        <v>0</v>
      </c>
      <c r="BN653" s="8">
        <f t="shared" si="477"/>
        <v>0</v>
      </c>
      <c r="BO653" s="8">
        <f t="shared" si="478"/>
        <v>0</v>
      </c>
      <c r="BQ653" s="8">
        <f t="shared" si="479"/>
        <v>0</v>
      </c>
      <c r="BR653" s="63">
        <f t="shared" si="480"/>
        <v>0</v>
      </c>
      <c r="BS653" s="63">
        <f t="shared" si="507"/>
        <v>0</v>
      </c>
      <c r="BT653" s="63">
        <f t="shared" si="481"/>
        <v>0</v>
      </c>
      <c r="BU653" s="63">
        <f t="shared" si="482"/>
        <v>0</v>
      </c>
      <c r="BV653" s="57">
        <f t="shared" si="483"/>
        <v>0</v>
      </c>
      <c r="BW653" s="57">
        <f t="shared" si="484"/>
        <v>0</v>
      </c>
      <c r="BX653" s="57">
        <f t="shared" si="508"/>
        <v>0</v>
      </c>
      <c r="BY653" s="57">
        <f t="shared" si="466"/>
        <v>0</v>
      </c>
      <c r="BZ653" s="8">
        <f t="shared" si="485"/>
        <v>0</v>
      </c>
      <c r="CA653" s="8">
        <f t="shared" si="486"/>
        <v>0</v>
      </c>
      <c r="CB653" s="8">
        <f t="shared" si="487"/>
        <v>0</v>
      </c>
      <c r="CC653" s="8">
        <f t="shared" si="488"/>
        <v>0</v>
      </c>
      <c r="CD653" s="8">
        <f t="shared" si="489"/>
        <v>0</v>
      </c>
      <c r="CE653" s="8">
        <f t="shared" si="490"/>
        <v>0</v>
      </c>
      <c r="CF653" s="8">
        <f t="shared" si="491"/>
        <v>0</v>
      </c>
      <c r="CG653" s="8">
        <f t="shared" si="492"/>
        <v>0</v>
      </c>
      <c r="CH653" s="8">
        <f t="shared" si="493"/>
        <v>0</v>
      </c>
      <c r="CI653" s="8">
        <f t="shared" si="494"/>
        <v>0</v>
      </c>
      <c r="CJ653" s="8">
        <f t="shared" si="495"/>
        <v>0</v>
      </c>
      <c r="CK653" s="8">
        <f t="shared" si="496"/>
        <v>0</v>
      </c>
      <c r="CL653" s="8">
        <f t="shared" si="497"/>
        <v>0</v>
      </c>
      <c r="CM653" s="8">
        <f t="shared" si="498"/>
        <v>0</v>
      </c>
      <c r="CN653" s="8">
        <f t="shared" si="499"/>
        <v>0</v>
      </c>
      <c r="CO653" s="8">
        <f t="shared" si="500"/>
        <v>0</v>
      </c>
      <c r="CP653" s="8">
        <f t="shared" si="501"/>
        <v>0</v>
      </c>
      <c r="CQ653" s="8">
        <f t="shared" si="502"/>
        <v>0</v>
      </c>
      <c r="CR653" s="8">
        <f t="shared" si="503"/>
        <v>0</v>
      </c>
      <c r="CS653" s="8">
        <f t="shared" si="504"/>
        <v>0</v>
      </c>
      <c r="CT653" s="8">
        <f t="shared" ref="CT653:CT716" si="509">IF(AND(J653&gt;0,OR(B653="MB",B653="new MB")),J653,0)*4+IF(AND(J653&gt;0,OR(C653="MB",C653="new MB")),J653,0)*4</f>
        <v>0</v>
      </c>
      <c r="CU653" s="8">
        <f t="shared" ref="CU653:CU716" si="510">IF(AND(I653&gt;0,OR(B653="MB",B653="new MB")),I653,0)*4+IF(AND(I653&gt;0,OR(C653="MB",C653="new MB")),I653,0)*4</f>
        <v>0</v>
      </c>
      <c r="CV653" s="8">
        <f t="shared" ref="CV653:CV716" si="511">IF(AND(H653&gt;0,OR(B653="MB",B653="new MB")),H653,0)*4+IF(AND(H653&gt;0,OR(C653="MB",C653="new MB")),H653,0)*4</f>
        <v>0</v>
      </c>
    </row>
    <row r="654" spans="1:100" ht="20.5" thickTop="1" thickBot="1" x14ac:dyDescent="0.5">
      <c r="A654" s="32"/>
      <c r="B654" s="10"/>
      <c r="C654" s="10"/>
      <c r="D654" s="11"/>
      <c r="E654" s="10"/>
      <c r="F654" s="10"/>
      <c r="G654" s="19"/>
      <c r="H654" s="19"/>
      <c r="I654" s="19"/>
      <c r="J654" s="19"/>
      <c r="K654" s="10"/>
      <c r="L654" s="10"/>
      <c r="M654" s="10"/>
      <c r="N654" s="10"/>
      <c r="O654" s="18"/>
      <c r="P654" s="18"/>
      <c r="Q654" s="21"/>
      <c r="R654" s="20"/>
      <c r="S654" s="16">
        <f t="shared" si="467"/>
        <v>0</v>
      </c>
      <c r="T654" s="11"/>
      <c r="AS654" s="31">
        <f t="shared" si="468"/>
        <v>0</v>
      </c>
      <c r="AT654" s="31">
        <f t="shared" si="469"/>
        <v>0</v>
      </c>
      <c r="AU654" s="31">
        <f t="shared" si="470"/>
        <v>0</v>
      </c>
      <c r="AV654" s="31">
        <f t="shared" si="471"/>
        <v>0</v>
      </c>
      <c r="AW654" s="31">
        <f t="shared" si="472"/>
        <v>0</v>
      </c>
      <c r="AX654" s="31">
        <f t="shared" si="473"/>
        <v>0</v>
      </c>
      <c r="AY654" s="31">
        <f t="shared" si="474"/>
        <v>0</v>
      </c>
      <c r="AZ654" s="31">
        <f t="shared" si="475"/>
        <v>0</v>
      </c>
      <c r="BA654" s="31">
        <f t="shared" si="476"/>
        <v>0</v>
      </c>
      <c r="BB654" s="31">
        <f t="shared" si="505"/>
        <v>0</v>
      </c>
      <c r="BM654" s="8">
        <f t="shared" si="506"/>
        <v>0</v>
      </c>
      <c r="BN654" s="8">
        <f t="shared" si="477"/>
        <v>0</v>
      </c>
      <c r="BO654" s="8">
        <f t="shared" si="478"/>
        <v>0</v>
      </c>
      <c r="BQ654" s="8">
        <f t="shared" si="479"/>
        <v>0</v>
      </c>
      <c r="BR654" s="63">
        <f t="shared" si="480"/>
        <v>0</v>
      </c>
      <c r="BS654" s="63">
        <f t="shared" si="507"/>
        <v>0</v>
      </c>
      <c r="BT654" s="63">
        <f t="shared" si="481"/>
        <v>0</v>
      </c>
      <c r="BU654" s="63">
        <f t="shared" si="482"/>
        <v>0</v>
      </c>
      <c r="BV654" s="57">
        <f t="shared" si="483"/>
        <v>0</v>
      </c>
      <c r="BW654" s="57">
        <f t="shared" si="484"/>
        <v>0</v>
      </c>
      <c r="BX654" s="57">
        <f t="shared" si="508"/>
        <v>0</v>
      </c>
      <c r="BY654" s="57">
        <f t="shared" si="466"/>
        <v>0</v>
      </c>
      <c r="BZ654" s="8">
        <f t="shared" si="485"/>
        <v>0</v>
      </c>
      <c r="CA654" s="8">
        <f t="shared" si="486"/>
        <v>0</v>
      </c>
      <c r="CB654" s="8">
        <f t="shared" si="487"/>
        <v>0</v>
      </c>
      <c r="CC654" s="8">
        <f t="shared" si="488"/>
        <v>0</v>
      </c>
      <c r="CD654" s="8">
        <f t="shared" si="489"/>
        <v>0</v>
      </c>
      <c r="CE654" s="8">
        <f t="shared" si="490"/>
        <v>0</v>
      </c>
      <c r="CF654" s="8">
        <f t="shared" si="491"/>
        <v>0</v>
      </c>
      <c r="CG654" s="8">
        <f t="shared" si="492"/>
        <v>0</v>
      </c>
      <c r="CH654" s="8">
        <f t="shared" si="493"/>
        <v>0</v>
      </c>
      <c r="CI654" s="8">
        <f t="shared" si="494"/>
        <v>0</v>
      </c>
      <c r="CJ654" s="8">
        <f t="shared" si="495"/>
        <v>0</v>
      </c>
      <c r="CK654" s="8">
        <f t="shared" si="496"/>
        <v>0</v>
      </c>
      <c r="CL654" s="8">
        <f t="shared" si="497"/>
        <v>0</v>
      </c>
      <c r="CM654" s="8">
        <f t="shared" si="498"/>
        <v>0</v>
      </c>
      <c r="CN654" s="8">
        <f t="shared" si="499"/>
        <v>0</v>
      </c>
      <c r="CO654" s="8">
        <f t="shared" si="500"/>
        <v>0</v>
      </c>
      <c r="CP654" s="8">
        <f t="shared" si="501"/>
        <v>0</v>
      </c>
      <c r="CQ654" s="8">
        <f t="shared" si="502"/>
        <v>0</v>
      </c>
      <c r="CR654" s="8">
        <f t="shared" si="503"/>
        <v>0</v>
      </c>
      <c r="CS654" s="8">
        <f t="shared" si="504"/>
        <v>0</v>
      </c>
      <c r="CT654" s="8">
        <f t="shared" si="509"/>
        <v>0</v>
      </c>
      <c r="CU654" s="8">
        <f t="shared" si="510"/>
        <v>0</v>
      </c>
      <c r="CV654" s="8">
        <f t="shared" si="511"/>
        <v>0</v>
      </c>
    </row>
    <row r="655" spans="1:100" ht="20.5" thickTop="1" thickBot="1" x14ac:dyDescent="0.5">
      <c r="A655" s="32"/>
      <c r="B655" s="10"/>
      <c r="C655" s="10"/>
      <c r="D655" s="11"/>
      <c r="E655" s="10"/>
      <c r="F655" s="10"/>
      <c r="G655" s="19"/>
      <c r="H655" s="19"/>
      <c r="I655" s="19"/>
      <c r="J655" s="19"/>
      <c r="K655" s="10"/>
      <c r="L655" s="10"/>
      <c r="M655" s="10"/>
      <c r="N655" s="10"/>
      <c r="O655" s="18"/>
      <c r="P655" s="18"/>
      <c r="Q655" s="21"/>
      <c r="R655" s="20"/>
      <c r="S655" s="16">
        <f t="shared" si="467"/>
        <v>0</v>
      </c>
      <c r="T655" s="11"/>
      <c r="AS655" s="31">
        <f t="shared" si="468"/>
        <v>0</v>
      </c>
      <c r="AT655" s="31">
        <f t="shared" si="469"/>
        <v>0</v>
      </c>
      <c r="AU655" s="31">
        <f t="shared" si="470"/>
        <v>0</v>
      </c>
      <c r="AV655" s="31">
        <f t="shared" si="471"/>
        <v>0</v>
      </c>
      <c r="AW655" s="31">
        <f t="shared" si="472"/>
        <v>0</v>
      </c>
      <c r="AX655" s="31">
        <f t="shared" si="473"/>
        <v>0</v>
      </c>
      <c r="AY655" s="31">
        <f t="shared" si="474"/>
        <v>0</v>
      </c>
      <c r="AZ655" s="31">
        <f t="shared" si="475"/>
        <v>0</v>
      </c>
      <c r="BA655" s="31">
        <f t="shared" si="476"/>
        <v>0</v>
      </c>
      <c r="BB655" s="31">
        <f t="shared" si="505"/>
        <v>0</v>
      </c>
      <c r="BM655" s="8">
        <f t="shared" si="506"/>
        <v>0</v>
      </c>
      <c r="BN655" s="8">
        <f t="shared" si="477"/>
        <v>0</v>
      </c>
      <c r="BO655" s="8">
        <f t="shared" si="478"/>
        <v>0</v>
      </c>
      <c r="BQ655" s="8">
        <f t="shared" si="479"/>
        <v>0</v>
      </c>
      <c r="BR655" s="63">
        <f t="shared" si="480"/>
        <v>0</v>
      </c>
      <c r="BS655" s="63">
        <f t="shared" si="507"/>
        <v>0</v>
      </c>
      <c r="BT655" s="63">
        <f t="shared" si="481"/>
        <v>0</v>
      </c>
      <c r="BU655" s="63">
        <f t="shared" si="482"/>
        <v>0</v>
      </c>
      <c r="BV655" s="57">
        <f t="shared" si="483"/>
        <v>0</v>
      </c>
      <c r="BW655" s="57">
        <f t="shared" si="484"/>
        <v>0</v>
      </c>
      <c r="BX655" s="57">
        <f t="shared" si="508"/>
        <v>0</v>
      </c>
      <c r="BY655" s="57">
        <f t="shared" si="466"/>
        <v>0</v>
      </c>
      <c r="BZ655" s="8">
        <f t="shared" si="485"/>
        <v>0</v>
      </c>
      <c r="CA655" s="8">
        <f t="shared" si="486"/>
        <v>0</v>
      </c>
      <c r="CB655" s="8">
        <f t="shared" si="487"/>
        <v>0</v>
      </c>
      <c r="CC655" s="8">
        <f t="shared" si="488"/>
        <v>0</v>
      </c>
      <c r="CD655" s="8">
        <f t="shared" si="489"/>
        <v>0</v>
      </c>
      <c r="CE655" s="8">
        <f t="shared" si="490"/>
        <v>0</v>
      </c>
      <c r="CF655" s="8">
        <f t="shared" si="491"/>
        <v>0</v>
      </c>
      <c r="CG655" s="8">
        <f t="shared" si="492"/>
        <v>0</v>
      </c>
      <c r="CH655" s="8">
        <f t="shared" si="493"/>
        <v>0</v>
      </c>
      <c r="CI655" s="8">
        <f t="shared" si="494"/>
        <v>0</v>
      </c>
      <c r="CJ655" s="8">
        <f t="shared" si="495"/>
        <v>0</v>
      </c>
      <c r="CK655" s="8">
        <f t="shared" si="496"/>
        <v>0</v>
      </c>
      <c r="CL655" s="8">
        <f t="shared" si="497"/>
        <v>0</v>
      </c>
      <c r="CM655" s="8">
        <f t="shared" si="498"/>
        <v>0</v>
      </c>
      <c r="CN655" s="8">
        <f t="shared" si="499"/>
        <v>0</v>
      </c>
      <c r="CO655" s="8">
        <f t="shared" si="500"/>
        <v>0</v>
      </c>
      <c r="CP655" s="8">
        <f t="shared" si="501"/>
        <v>0</v>
      </c>
      <c r="CQ655" s="8">
        <f t="shared" si="502"/>
        <v>0</v>
      </c>
      <c r="CR655" s="8">
        <f t="shared" si="503"/>
        <v>0</v>
      </c>
      <c r="CS655" s="8">
        <f t="shared" si="504"/>
        <v>0</v>
      </c>
      <c r="CT655" s="8">
        <f t="shared" si="509"/>
        <v>0</v>
      </c>
      <c r="CU655" s="8">
        <f t="shared" si="510"/>
        <v>0</v>
      </c>
      <c r="CV655" s="8">
        <f t="shared" si="511"/>
        <v>0</v>
      </c>
    </row>
    <row r="656" spans="1:100" ht="20.5" thickTop="1" thickBot="1" x14ac:dyDescent="0.5">
      <c r="A656" s="32"/>
      <c r="B656" s="10"/>
      <c r="C656" s="10"/>
      <c r="D656" s="11"/>
      <c r="E656" s="10"/>
      <c r="F656" s="10"/>
      <c r="G656" s="19"/>
      <c r="H656" s="19"/>
      <c r="I656" s="19"/>
      <c r="J656" s="19"/>
      <c r="K656" s="10"/>
      <c r="L656" s="10"/>
      <c r="M656" s="10"/>
      <c r="N656" s="10"/>
      <c r="O656" s="18"/>
      <c r="P656" s="18"/>
      <c r="Q656" s="21"/>
      <c r="R656" s="20"/>
      <c r="S656" s="16">
        <f t="shared" si="467"/>
        <v>0</v>
      </c>
      <c r="T656" s="11"/>
      <c r="AS656" s="31">
        <f t="shared" si="468"/>
        <v>0</v>
      </c>
      <c r="AT656" s="31">
        <f t="shared" si="469"/>
        <v>0</v>
      </c>
      <c r="AU656" s="31">
        <f t="shared" si="470"/>
        <v>0</v>
      </c>
      <c r="AV656" s="31">
        <f t="shared" si="471"/>
        <v>0</v>
      </c>
      <c r="AW656" s="31">
        <f t="shared" si="472"/>
        <v>0</v>
      </c>
      <c r="AX656" s="31">
        <f t="shared" si="473"/>
        <v>0</v>
      </c>
      <c r="AY656" s="31">
        <f t="shared" si="474"/>
        <v>0</v>
      </c>
      <c r="AZ656" s="31">
        <f t="shared" si="475"/>
        <v>0</v>
      </c>
      <c r="BA656" s="31">
        <f t="shared" si="476"/>
        <v>0</v>
      </c>
      <c r="BB656" s="31">
        <f t="shared" si="505"/>
        <v>0</v>
      </c>
      <c r="BM656" s="8">
        <f t="shared" si="506"/>
        <v>0</v>
      </c>
      <c r="BN656" s="8">
        <f t="shared" si="477"/>
        <v>0</v>
      </c>
      <c r="BO656" s="8">
        <f t="shared" si="478"/>
        <v>0</v>
      </c>
      <c r="BQ656" s="8">
        <f t="shared" si="479"/>
        <v>0</v>
      </c>
      <c r="BR656" s="63">
        <f t="shared" si="480"/>
        <v>0</v>
      </c>
      <c r="BS656" s="63">
        <f t="shared" si="507"/>
        <v>0</v>
      </c>
      <c r="BT656" s="63">
        <f t="shared" si="481"/>
        <v>0</v>
      </c>
      <c r="BU656" s="63">
        <f t="shared" si="482"/>
        <v>0</v>
      </c>
      <c r="BV656" s="57">
        <f t="shared" si="483"/>
        <v>0</v>
      </c>
      <c r="BW656" s="57">
        <f t="shared" si="484"/>
        <v>0</v>
      </c>
      <c r="BX656" s="57">
        <f t="shared" si="508"/>
        <v>0</v>
      </c>
      <c r="BY656" s="57">
        <f t="shared" si="466"/>
        <v>0</v>
      </c>
      <c r="BZ656" s="8">
        <f t="shared" si="485"/>
        <v>0</v>
      </c>
      <c r="CA656" s="8">
        <f t="shared" si="486"/>
        <v>0</v>
      </c>
      <c r="CB656" s="8">
        <f t="shared" si="487"/>
        <v>0</v>
      </c>
      <c r="CC656" s="8">
        <f t="shared" si="488"/>
        <v>0</v>
      </c>
      <c r="CD656" s="8">
        <f t="shared" si="489"/>
        <v>0</v>
      </c>
      <c r="CE656" s="8">
        <f t="shared" si="490"/>
        <v>0</v>
      </c>
      <c r="CF656" s="8">
        <f t="shared" si="491"/>
        <v>0</v>
      </c>
      <c r="CG656" s="8">
        <f t="shared" si="492"/>
        <v>0</v>
      </c>
      <c r="CH656" s="8">
        <f t="shared" si="493"/>
        <v>0</v>
      </c>
      <c r="CI656" s="8">
        <f t="shared" si="494"/>
        <v>0</v>
      </c>
      <c r="CJ656" s="8">
        <f t="shared" si="495"/>
        <v>0</v>
      </c>
      <c r="CK656" s="8">
        <f t="shared" si="496"/>
        <v>0</v>
      </c>
      <c r="CL656" s="8">
        <f t="shared" si="497"/>
        <v>0</v>
      </c>
      <c r="CM656" s="8">
        <f t="shared" si="498"/>
        <v>0</v>
      </c>
      <c r="CN656" s="8">
        <f t="shared" si="499"/>
        <v>0</v>
      </c>
      <c r="CO656" s="8">
        <f t="shared" si="500"/>
        <v>0</v>
      </c>
      <c r="CP656" s="8">
        <f t="shared" si="501"/>
        <v>0</v>
      </c>
      <c r="CQ656" s="8">
        <f t="shared" si="502"/>
        <v>0</v>
      </c>
      <c r="CR656" s="8">
        <f t="shared" si="503"/>
        <v>0</v>
      </c>
      <c r="CS656" s="8">
        <f t="shared" si="504"/>
        <v>0</v>
      </c>
      <c r="CT656" s="8">
        <f t="shared" si="509"/>
        <v>0</v>
      </c>
      <c r="CU656" s="8">
        <f t="shared" si="510"/>
        <v>0</v>
      </c>
      <c r="CV656" s="8">
        <f t="shared" si="511"/>
        <v>0</v>
      </c>
    </row>
    <row r="657" spans="1:100" ht="20.5" thickTop="1" thickBot="1" x14ac:dyDescent="0.5">
      <c r="A657" s="32"/>
      <c r="B657" s="10"/>
      <c r="C657" s="10"/>
      <c r="D657" s="11"/>
      <c r="E657" s="10"/>
      <c r="F657" s="10"/>
      <c r="G657" s="19"/>
      <c r="H657" s="19"/>
      <c r="I657" s="19"/>
      <c r="J657" s="19"/>
      <c r="K657" s="10"/>
      <c r="L657" s="10"/>
      <c r="M657" s="10"/>
      <c r="N657" s="10"/>
      <c r="O657" s="18"/>
      <c r="P657" s="18"/>
      <c r="Q657" s="21"/>
      <c r="R657" s="20"/>
      <c r="S657" s="16">
        <f t="shared" si="467"/>
        <v>0</v>
      </c>
      <c r="T657" s="11"/>
      <c r="AS657" s="31">
        <f t="shared" si="468"/>
        <v>0</v>
      </c>
      <c r="AT657" s="31">
        <f t="shared" si="469"/>
        <v>0</v>
      </c>
      <c r="AU657" s="31">
        <f t="shared" si="470"/>
        <v>0</v>
      </c>
      <c r="AV657" s="31">
        <f t="shared" si="471"/>
        <v>0</v>
      </c>
      <c r="AW657" s="31">
        <f t="shared" si="472"/>
        <v>0</v>
      </c>
      <c r="AX657" s="31">
        <f t="shared" si="473"/>
        <v>0</v>
      </c>
      <c r="AY657" s="31">
        <f t="shared" si="474"/>
        <v>0</v>
      </c>
      <c r="AZ657" s="31">
        <f t="shared" si="475"/>
        <v>0</v>
      </c>
      <c r="BA657" s="31">
        <f t="shared" si="476"/>
        <v>0</v>
      </c>
      <c r="BB657" s="31">
        <f t="shared" si="505"/>
        <v>0</v>
      </c>
      <c r="BM657" s="8">
        <f t="shared" si="506"/>
        <v>0</v>
      </c>
      <c r="BN657" s="8">
        <f t="shared" si="477"/>
        <v>0</v>
      </c>
      <c r="BO657" s="8">
        <f t="shared" si="478"/>
        <v>0</v>
      </c>
      <c r="BQ657" s="8">
        <f t="shared" si="479"/>
        <v>0</v>
      </c>
      <c r="BR657" s="63">
        <f t="shared" si="480"/>
        <v>0</v>
      </c>
      <c r="BS657" s="63">
        <f t="shared" si="507"/>
        <v>0</v>
      </c>
      <c r="BT657" s="63">
        <f t="shared" si="481"/>
        <v>0</v>
      </c>
      <c r="BU657" s="63">
        <f t="shared" si="482"/>
        <v>0</v>
      </c>
      <c r="BV657" s="57">
        <f t="shared" si="483"/>
        <v>0</v>
      </c>
      <c r="BW657" s="57">
        <f t="shared" si="484"/>
        <v>0</v>
      </c>
      <c r="BX657" s="57">
        <f t="shared" si="508"/>
        <v>0</v>
      </c>
      <c r="BY657" s="57">
        <f t="shared" si="466"/>
        <v>0</v>
      </c>
      <c r="BZ657" s="8">
        <f t="shared" si="485"/>
        <v>0</v>
      </c>
      <c r="CA657" s="8">
        <f t="shared" si="486"/>
        <v>0</v>
      </c>
      <c r="CB657" s="8">
        <f t="shared" si="487"/>
        <v>0</v>
      </c>
      <c r="CC657" s="8">
        <f t="shared" si="488"/>
        <v>0</v>
      </c>
      <c r="CD657" s="8">
        <f t="shared" si="489"/>
        <v>0</v>
      </c>
      <c r="CE657" s="8">
        <f t="shared" si="490"/>
        <v>0</v>
      </c>
      <c r="CF657" s="8">
        <f t="shared" si="491"/>
        <v>0</v>
      </c>
      <c r="CG657" s="8">
        <f t="shared" si="492"/>
        <v>0</v>
      </c>
      <c r="CH657" s="8">
        <f t="shared" si="493"/>
        <v>0</v>
      </c>
      <c r="CI657" s="8">
        <f t="shared" si="494"/>
        <v>0</v>
      </c>
      <c r="CJ657" s="8">
        <f t="shared" si="495"/>
        <v>0</v>
      </c>
      <c r="CK657" s="8">
        <f t="shared" si="496"/>
        <v>0</v>
      </c>
      <c r="CL657" s="8">
        <f t="shared" si="497"/>
        <v>0</v>
      </c>
      <c r="CM657" s="8">
        <f t="shared" si="498"/>
        <v>0</v>
      </c>
      <c r="CN657" s="8">
        <f t="shared" si="499"/>
        <v>0</v>
      </c>
      <c r="CO657" s="8">
        <f t="shared" si="500"/>
        <v>0</v>
      </c>
      <c r="CP657" s="8">
        <f t="shared" si="501"/>
        <v>0</v>
      </c>
      <c r="CQ657" s="8">
        <f t="shared" si="502"/>
        <v>0</v>
      </c>
      <c r="CR657" s="8">
        <f t="shared" si="503"/>
        <v>0</v>
      </c>
      <c r="CS657" s="8">
        <f t="shared" si="504"/>
        <v>0</v>
      </c>
      <c r="CT657" s="8">
        <f t="shared" si="509"/>
        <v>0</v>
      </c>
      <c r="CU657" s="8">
        <f t="shared" si="510"/>
        <v>0</v>
      </c>
      <c r="CV657" s="8">
        <f t="shared" si="511"/>
        <v>0</v>
      </c>
    </row>
    <row r="658" spans="1:100" ht="20.5" thickTop="1" thickBot="1" x14ac:dyDescent="0.5">
      <c r="A658" s="32"/>
      <c r="B658" s="10"/>
      <c r="C658" s="10"/>
      <c r="D658" s="11"/>
      <c r="E658" s="10"/>
      <c r="F658" s="10"/>
      <c r="G658" s="19"/>
      <c r="H658" s="19"/>
      <c r="I658" s="19"/>
      <c r="J658" s="19"/>
      <c r="K658" s="10"/>
      <c r="L658" s="10"/>
      <c r="M658" s="10"/>
      <c r="N658" s="10"/>
      <c r="O658" s="18"/>
      <c r="P658" s="18"/>
      <c r="Q658" s="21"/>
      <c r="R658" s="20"/>
      <c r="S658" s="16">
        <f t="shared" si="467"/>
        <v>0</v>
      </c>
      <c r="T658" s="11"/>
      <c r="AS658" s="31">
        <f t="shared" si="468"/>
        <v>0</v>
      </c>
      <c r="AT658" s="31">
        <f t="shared" si="469"/>
        <v>0</v>
      </c>
      <c r="AU658" s="31">
        <f t="shared" si="470"/>
        <v>0</v>
      </c>
      <c r="AV658" s="31">
        <f t="shared" si="471"/>
        <v>0</v>
      </c>
      <c r="AW658" s="31">
        <f t="shared" si="472"/>
        <v>0</v>
      </c>
      <c r="AX658" s="31">
        <f t="shared" si="473"/>
        <v>0</v>
      </c>
      <c r="AY658" s="31">
        <f t="shared" si="474"/>
        <v>0</v>
      </c>
      <c r="AZ658" s="31">
        <f t="shared" si="475"/>
        <v>0</v>
      </c>
      <c r="BA658" s="31">
        <f t="shared" si="476"/>
        <v>0</v>
      </c>
      <c r="BB658" s="31">
        <f t="shared" si="505"/>
        <v>0</v>
      </c>
      <c r="BM658" s="8">
        <f t="shared" si="506"/>
        <v>0</v>
      </c>
      <c r="BN658" s="8">
        <f t="shared" si="477"/>
        <v>0</v>
      </c>
      <c r="BO658" s="8">
        <f t="shared" si="478"/>
        <v>0</v>
      </c>
      <c r="BQ658" s="8">
        <f t="shared" si="479"/>
        <v>0</v>
      </c>
      <c r="BR658" s="63">
        <f t="shared" si="480"/>
        <v>0</v>
      </c>
      <c r="BS658" s="63">
        <f t="shared" si="507"/>
        <v>0</v>
      </c>
      <c r="BT658" s="63">
        <f t="shared" si="481"/>
        <v>0</v>
      </c>
      <c r="BU658" s="63">
        <f t="shared" si="482"/>
        <v>0</v>
      </c>
      <c r="BV658" s="57">
        <f t="shared" si="483"/>
        <v>0</v>
      </c>
      <c r="BW658" s="57">
        <f t="shared" si="484"/>
        <v>0</v>
      </c>
      <c r="BX658" s="57">
        <f t="shared" si="508"/>
        <v>0</v>
      </c>
      <c r="BY658" s="57">
        <f t="shared" si="466"/>
        <v>0</v>
      </c>
      <c r="BZ658" s="8">
        <f t="shared" si="485"/>
        <v>0</v>
      </c>
      <c r="CA658" s="8">
        <f t="shared" si="486"/>
        <v>0</v>
      </c>
      <c r="CB658" s="8">
        <f t="shared" si="487"/>
        <v>0</v>
      </c>
      <c r="CC658" s="8">
        <f t="shared" si="488"/>
        <v>0</v>
      </c>
      <c r="CD658" s="8">
        <f t="shared" si="489"/>
        <v>0</v>
      </c>
      <c r="CE658" s="8">
        <f t="shared" si="490"/>
        <v>0</v>
      </c>
      <c r="CF658" s="8">
        <f t="shared" si="491"/>
        <v>0</v>
      </c>
      <c r="CG658" s="8">
        <f t="shared" si="492"/>
        <v>0</v>
      </c>
      <c r="CH658" s="8">
        <f t="shared" si="493"/>
        <v>0</v>
      </c>
      <c r="CI658" s="8">
        <f t="shared" si="494"/>
        <v>0</v>
      </c>
      <c r="CJ658" s="8">
        <f t="shared" si="495"/>
        <v>0</v>
      </c>
      <c r="CK658" s="8">
        <f t="shared" si="496"/>
        <v>0</v>
      </c>
      <c r="CL658" s="8">
        <f t="shared" si="497"/>
        <v>0</v>
      </c>
      <c r="CM658" s="8">
        <f t="shared" si="498"/>
        <v>0</v>
      </c>
      <c r="CN658" s="8">
        <f t="shared" si="499"/>
        <v>0</v>
      </c>
      <c r="CO658" s="8">
        <f t="shared" si="500"/>
        <v>0</v>
      </c>
      <c r="CP658" s="8">
        <f t="shared" si="501"/>
        <v>0</v>
      </c>
      <c r="CQ658" s="8">
        <f t="shared" si="502"/>
        <v>0</v>
      </c>
      <c r="CR658" s="8">
        <f t="shared" si="503"/>
        <v>0</v>
      </c>
      <c r="CS658" s="8">
        <f t="shared" si="504"/>
        <v>0</v>
      </c>
      <c r="CT658" s="8">
        <f t="shared" si="509"/>
        <v>0</v>
      </c>
      <c r="CU658" s="8">
        <f t="shared" si="510"/>
        <v>0</v>
      </c>
      <c r="CV658" s="8">
        <f t="shared" si="511"/>
        <v>0</v>
      </c>
    </row>
    <row r="659" spans="1:100" ht="20.5" thickTop="1" thickBot="1" x14ac:dyDescent="0.5">
      <c r="A659" s="32"/>
      <c r="B659" s="10"/>
      <c r="C659" s="10"/>
      <c r="D659" s="11"/>
      <c r="E659" s="10"/>
      <c r="F659" s="10"/>
      <c r="G659" s="19"/>
      <c r="H659" s="19"/>
      <c r="I659" s="19"/>
      <c r="J659" s="19"/>
      <c r="K659" s="10"/>
      <c r="L659" s="10"/>
      <c r="M659" s="10"/>
      <c r="N659" s="10"/>
      <c r="O659" s="18"/>
      <c r="P659" s="18"/>
      <c r="Q659" s="21"/>
      <c r="R659" s="20"/>
      <c r="S659" s="16">
        <f t="shared" si="467"/>
        <v>0</v>
      </c>
      <c r="T659" s="11"/>
      <c r="AS659" s="31">
        <f t="shared" si="468"/>
        <v>0</v>
      </c>
      <c r="AT659" s="31">
        <f t="shared" si="469"/>
        <v>0</v>
      </c>
      <c r="AU659" s="31">
        <f t="shared" si="470"/>
        <v>0</v>
      </c>
      <c r="AV659" s="31">
        <f t="shared" si="471"/>
        <v>0</v>
      </c>
      <c r="AW659" s="31">
        <f t="shared" si="472"/>
        <v>0</v>
      </c>
      <c r="AX659" s="31">
        <f t="shared" si="473"/>
        <v>0</v>
      </c>
      <c r="AY659" s="31">
        <f t="shared" si="474"/>
        <v>0</v>
      </c>
      <c r="AZ659" s="31">
        <f t="shared" si="475"/>
        <v>0</v>
      </c>
      <c r="BA659" s="31">
        <f t="shared" si="476"/>
        <v>0</v>
      </c>
      <c r="BB659" s="31">
        <f t="shared" si="505"/>
        <v>0</v>
      </c>
      <c r="BM659" s="8">
        <f t="shared" si="506"/>
        <v>0</v>
      </c>
      <c r="BN659" s="8">
        <f t="shared" si="477"/>
        <v>0</v>
      </c>
      <c r="BO659" s="8">
        <f t="shared" si="478"/>
        <v>0</v>
      </c>
      <c r="BQ659" s="8">
        <f t="shared" si="479"/>
        <v>0</v>
      </c>
      <c r="BR659" s="63">
        <f t="shared" si="480"/>
        <v>0</v>
      </c>
      <c r="BS659" s="63">
        <f t="shared" si="507"/>
        <v>0</v>
      </c>
      <c r="BT659" s="63">
        <f t="shared" si="481"/>
        <v>0</v>
      </c>
      <c r="BU659" s="63">
        <f t="shared" si="482"/>
        <v>0</v>
      </c>
      <c r="BV659" s="57">
        <f t="shared" si="483"/>
        <v>0</v>
      </c>
      <c r="BW659" s="57">
        <f t="shared" si="484"/>
        <v>0</v>
      </c>
      <c r="BX659" s="57">
        <f t="shared" si="508"/>
        <v>0</v>
      </c>
      <c r="BY659" s="57">
        <f t="shared" si="466"/>
        <v>0</v>
      </c>
      <c r="BZ659" s="8">
        <f t="shared" si="485"/>
        <v>0</v>
      </c>
      <c r="CA659" s="8">
        <f t="shared" si="486"/>
        <v>0</v>
      </c>
      <c r="CB659" s="8">
        <f t="shared" si="487"/>
        <v>0</v>
      </c>
      <c r="CC659" s="8">
        <f t="shared" si="488"/>
        <v>0</v>
      </c>
      <c r="CD659" s="8">
        <f t="shared" si="489"/>
        <v>0</v>
      </c>
      <c r="CE659" s="8">
        <f t="shared" si="490"/>
        <v>0</v>
      </c>
      <c r="CF659" s="8">
        <f t="shared" si="491"/>
        <v>0</v>
      </c>
      <c r="CG659" s="8">
        <f t="shared" si="492"/>
        <v>0</v>
      </c>
      <c r="CH659" s="8">
        <f t="shared" si="493"/>
        <v>0</v>
      </c>
      <c r="CI659" s="8">
        <f t="shared" si="494"/>
        <v>0</v>
      </c>
      <c r="CJ659" s="8">
        <f t="shared" si="495"/>
        <v>0</v>
      </c>
      <c r="CK659" s="8">
        <f t="shared" si="496"/>
        <v>0</v>
      </c>
      <c r="CL659" s="8">
        <f t="shared" si="497"/>
        <v>0</v>
      </c>
      <c r="CM659" s="8">
        <f t="shared" si="498"/>
        <v>0</v>
      </c>
      <c r="CN659" s="8">
        <f t="shared" si="499"/>
        <v>0</v>
      </c>
      <c r="CO659" s="8">
        <f t="shared" si="500"/>
        <v>0</v>
      </c>
      <c r="CP659" s="8">
        <f t="shared" si="501"/>
        <v>0</v>
      </c>
      <c r="CQ659" s="8">
        <f t="shared" si="502"/>
        <v>0</v>
      </c>
      <c r="CR659" s="8">
        <f t="shared" si="503"/>
        <v>0</v>
      </c>
      <c r="CS659" s="8">
        <f t="shared" si="504"/>
        <v>0</v>
      </c>
      <c r="CT659" s="8">
        <f t="shared" si="509"/>
        <v>0</v>
      </c>
      <c r="CU659" s="8">
        <f t="shared" si="510"/>
        <v>0</v>
      </c>
      <c r="CV659" s="8">
        <f t="shared" si="511"/>
        <v>0</v>
      </c>
    </row>
    <row r="660" spans="1:100" ht="20.5" thickTop="1" thickBot="1" x14ac:dyDescent="0.5">
      <c r="A660" s="32"/>
      <c r="B660" s="10"/>
      <c r="C660" s="10"/>
      <c r="D660" s="11"/>
      <c r="E660" s="10"/>
      <c r="F660" s="10"/>
      <c r="G660" s="19"/>
      <c r="H660" s="19"/>
      <c r="I660" s="19"/>
      <c r="J660" s="19"/>
      <c r="K660" s="10"/>
      <c r="L660" s="10"/>
      <c r="M660" s="10"/>
      <c r="N660" s="10"/>
      <c r="O660" s="18"/>
      <c r="P660" s="18"/>
      <c r="Q660" s="21"/>
      <c r="R660" s="20"/>
      <c r="S660" s="16">
        <f t="shared" si="467"/>
        <v>0</v>
      </c>
      <c r="T660" s="11"/>
      <c r="AS660" s="31">
        <f t="shared" si="468"/>
        <v>0</v>
      </c>
      <c r="AT660" s="31">
        <f t="shared" si="469"/>
        <v>0</v>
      </c>
      <c r="AU660" s="31">
        <f t="shared" si="470"/>
        <v>0</v>
      </c>
      <c r="AV660" s="31">
        <f t="shared" si="471"/>
        <v>0</v>
      </c>
      <c r="AW660" s="31">
        <f t="shared" si="472"/>
        <v>0</v>
      </c>
      <c r="AX660" s="31">
        <f t="shared" si="473"/>
        <v>0</v>
      </c>
      <c r="AY660" s="31">
        <f t="shared" si="474"/>
        <v>0</v>
      </c>
      <c r="AZ660" s="31">
        <f t="shared" si="475"/>
        <v>0</v>
      </c>
      <c r="BA660" s="31">
        <f t="shared" si="476"/>
        <v>0</v>
      </c>
      <c r="BB660" s="31">
        <f t="shared" si="505"/>
        <v>0</v>
      </c>
      <c r="BM660" s="8">
        <f t="shared" si="506"/>
        <v>0</v>
      </c>
      <c r="BN660" s="8">
        <f t="shared" si="477"/>
        <v>0</v>
      </c>
      <c r="BO660" s="8">
        <f t="shared" si="478"/>
        <v>0</v>
      </c>
      <c r="BQ660" s="8">
        <f t="shared" si="479"/>
        <v>0</v>
      </c>
      <c r="BR660" s="63">
        <f t="shared" si="480"/>
        <v>0</v>
      </c>
      <c r="BS660" s="63">
        <f t="shared" si="507"/>
        <v>0</v>
      </c>
      <c r="BT660" s="63">
        <f t="shared" si="481"/>
        <v>0</v>
      </c>
      <c r="BU660" s="63">
        <f t="shared" si="482"/>
        <v>0</v>
      </c>
      <c r="BV660" s="57">
        <f t="shared" si="483"/>
        <v>0</v>
      </c>
      <c r="BW660" s="57">
        <f t="shared" si="484"/>
        <v>0</v>
      </c>
      <c r="BX660" s="57">
        <f t="shared" si="508"/>
        <v>0</v>
      </c>
      <c r="BY660" s="57">
        <f t="shared" si="466"/>
        <v>0</v>
      </c>
      <c r="BZ660" s="8">
        <f t="shared" si="485"/>
        <v>0</v>
      </c>
      <c r="CA660" s="8">
        <f t="shared" si="486"/>
        <v>0</v>
      </c>
      <c r="CB660" s="8">
        <f t="shared" si="487"/>
        <v>0</v>
      </c>
      <c r="CC660" s="8">
        <f t="shared" si="488"/>
        <v>0</v>
      </c>
      <c r="CD660" s="8">
        <f t="shared" si="489"/>
        <v>0</v>
      </c>
      <c r="CE660" s="8">
        <f t="shared" si="490"/>
        <v>0</v>
      </c>
      <c r="CF660" s="8">
        <f t="shared" si="491"/>
        <v>0</v>
      </c>
      <c r="CG660" s="8">
        <f t="shared" si="492"/>
        <v>0</v>
      </c>
      <c r="CH660" s="8">
        <f t="shared" si="493"/>
        <v>0</v>
      </c>
      <c r="CI660" s="8">
        <f t="shared" si="494"/>
        <v>0</v>
      </c>
      <c r="CJ660" s="8">
        <f t="shared" si="495"/>
        <v>0</v>
      </c>
      <c r="CK660" s="8">
        <f t="shared" si="496"/>
        <v>0</v>
      </c>
      <c r="CL660" s="8">
        <f t="shared" si="497"/>
        <v>0</v>
      </c>
      <c r="CM660" s="8">
        <f t="shared" si="498"/>
        <v>0</v>
      </c>
      <c r="CN660" s="8">
        <f t="shared" si="499"/>
        <v>0</v>
      </c>
      <c r="CO660" s="8">
        <f t="shared" si="500"/>
        <v>0</v>
      </c>
      <c r="CP660" s="8">
        <f t="shared" si="501"/>
        <v>0</v>
      </c>
      <c r="CQ660" s="8">
        <f t="shared" si="502"/>
        <v>0</v>
      </c>
      <c r="CR660" s="8">
        <f t="shared" si="503"/>
        <v>0</v>
      </c>
      <c r="CS660" s="8">
        <f t="shared" si="504"/>
        <v>0</v>
      </c>
      <c r="CT660" s="8">
        <f t="shared" si="509"/>
        <v>0</v>
      </c>
      <c r="CU660" s="8">
        <f t="shared" si="510"/>
        <v>0</v>
      </c>
      <c r="CV660" s="8">
        <f t="shared" si="511"/>
        <v>0</v>
      </c>
    </row>
    <row r="661" spans="1:100" ht="20.5" thickTop="1" thickBot="1" x14ac:dyDescent="0.5">
      <c r="A661" s="32"/>
      <c r="B661" s="10"/>
      <c r="C661" s="10"/>
      <c r="D661" s="11"/>
      <c r="E661" s="10"/>
      <c r="F661" s="10"/>
      <c r="G661" s="19"/>
      <c r="H661" s="19"/>
      <c r="I661" s="19"/>
      <c r="J661" s="19"/>
      <c r="K661" s="10"/>
      <c r="L661" s="10"/>
      <c r="M661" s="10"/>
      <c r="N661" s="10"/>
      <c r="O661" s="18"/>
      <c r="P661" s="18"/>
      <c r="Q661" s="21"/>
      <c r="R661" s="20"/>
      <c r="S661" s="16">
        <f t="shared" si="467"/>
        <v>0</v>
      </c>
      <c r="T661" s="11"/>
      <c r="AS661" s="31">
        <f t="shared" si="468"/>
        <v>0</v>
      </c>
      <c r="AT661" s="31">
        <f t="shared" si="469"/>
        <v>0</v>
      </c>
      <c r="AU661" s="31">
        <f t="shared" si="470"/>
        <v>0</v>
      </c>
      <c r="AV661" s="31">
        <f t="shared" si="471"/>
        <v>0</v>
      </c>
      <c r="AW661" s="31">
        <f t="shared" si="472"/>
        <v>0</v>
      </c>
      <c r="AX661" s="31">
        <f t="shared" si="473"/>
        <v>0</v>
      </c>
      <c r="AY661" s="31">
        <f t="shared" si="474"/>
        <v>0</v>
      </c>
      <c r="AZ661" s="31">
        <f t="shared" si="475"/>
        <v>0</v>
      </c>
      <c r="BA661" s="31">
        <f t="shared" si="476"/>
        <v>0</v>
      </c>
      <c r="BB661" s="31">
        <f t="shared" si="505"/>
        <v>0</v>
      </c>
      <c r="BM661" s="8">
        <f t="shared" si="506"/>
        <v>0</v>
      </c>
      <c r="BN661" s="8">
        <f t="shared" si="477"/>
        <v>0</v>
      </c>
      <c r="BO661" s="8">
        <f t="shared" si="478"/>
        <v>0</v>
      </c>
      <c r="BQ661" s="8">
        <f t="shared" si="479"/>
        <v>0</v>
      </c>
      <c r="BR661" s="63">
        <f t="shared" si="480"/>
        <v>0</v>
      </c>
      <c r="BS661" s="63">
        <f t="shared" si="507"/>
        <v>0</v>
      </c>
      <c r="BT661" s="63">
        <f t="shared" si="481"/>
        <v>0</v>
      </c>
      <c r="BU661" s="63">
        <f t="shared" si="482"/>
        <v>0</v>
      </c>
      <c r="BV661" s="57">
        <f t="shared" si="483"/>
        <v>0</v>
      </c>
      <c r="BW661" s="57">
        <f t="shared" si="484"/>
        <v>0</v>
      </c>
      <c r="BX661" s="57">
        <f t="shared" si="508"/>
        <v>0</v>
      </c>
      <c r="BY661" s="57">
        <f t="shared" si="466"/>
        <v>0</v>
      </c>
      <c r="BZ661" s="8">
        <f t="shared" si="485"/>
        <v>0</v>
      </c>
      <c r="CA661" s="8">
        <f t="shared" si="486"/>
        <v>0</v>
      </c>
      <c r="CB661" s="8">
        <f t="shared" si="487"/>
        <v>0</v>
      </c>
      <c r="CC661" s="8">
        <f t="shared" si="488"/>
        <v>0</v>
      </c>
      <c r="CD661" s="8">
        <f t="shared" si="489"/>
        <v>0</v>
      </c>
      <c r="CE661" s="8">
        <f t="shared" si="490"/>
        <v>0</v>
      </c>
      <c r="CF661" s="8">
        <f t="shared" si="491"/>
        <v>0</v>
      </c>
      <c r="CG661" s="8">
        <f t="shared" si="492"/>
        <v>0</v>
      </c>
      <c r="CH661" s="8">
        <f t="shared" si="493"/>
        <v>0</v>
      </c>
      <c r="CI661" s="8">
        <f t="shared" si="494"/>
        <v>0</v>
      </c>
      <c r="CJ661" s="8">
        <f t="shared" si="495"/>
        <v>0</v>
      </c>
      <c r="CK661" s="8">
        <f t="shared" si="496"/>
        <v>0</v>
      </c>
      <c r="CL661" s="8">
        <f t="shared" si="497"/>
        <v>0</v>
      </c>
      <c r="CM661" s="8">
        <f t="shared" si="498"/>
        <v>0</v>
      </c>
      <c r="CN661" s="8">
        <f t="shared" si="499"/>
        <v>0</v>
      </c>
      <c r="CO661" s="8">
        <f t="shared" si="500"/>
        <v>0</v>
      </c>
      <c r="CP661" s="8">
        <f t="shared" si="501"/>
        <v>0</v>
      </c>
      <c r="CQ661" s="8">
        <f t="shared" si="502"/>
        <v>0</v>
      </c>
      <c r="CR661" s="8">
        <f t="shared" si="503"/>
        <v>0</v>
      </c>
      <c r="CS661" s="8">
        <f t="shared" si="504"/>
        <v>0</v>
      </c>
      <c r="CT661" s="8">
        <f t="shared" si="509"/>
        <v>0</v>
      </c>
      <c r="CU661" s="8">
        <f t="shared" si="510"/>
        <v>0</v>
      </c>
      <c r="CV661" s="8">
        <f t="shared" si="511"/>
        <v>0</v>
      </c>
    </row>
    <row r="662" spans="1:100" ht="20.5" thickTop="1" thickBot="1" x14ac:dyDescent="0.5">
      <c r="A662" s="32"/>
      <c r="B662" s="10"/>
      <c r="C662" s="10"/>
      <c r="D662" s="11"/>
      <c r="E662" s="10"/>
      <c r="F662" s="10"/>
      <c r="G662" s="19"/>
      <c r="H662" s="19"/>
      <c r="I662" s="19"/>
      <c r="J662" s="19"/>
      <c r="K662" s="10"/>
      <c r="L662" s="10"/>
      <c r="M662" s="10"/>
      <c r="N662" s="10"/>
      <c r="O662" s="18"/>
      <c r="P662" s="18"/>
      <c r="Q662" s="21"/>
      <c r="R662" s="20"/>
      <c r="S662" s="16">
        <f t="shared" si="467"/>
        <v>0</v>
      </c>
      <c r="T662" s="11"/>
      <c r="AS662" s="31">
        <f t="shared" si="468"/>
        <v>0</v>
      </c>
      <c r="AT662" s="31">
        <f t="shared" si="469"/>
        <v>0</v>
      </c>
      <c r="AU662" s="31">
        <f t="shared" si="470"/>
        <v>0</v>
      </c>
      <c r="AV662" s="31">
        <f t="shared" si="471"/>
        <v>0</v>
      </c>
      <c r="AW662" s="31">
        <f t="shared" si="472"/>
        <v>0</v>
      </c>
      <c r="AX662" s="31">
        <f t="shared" si="473"/>
        <v>0</v>
      </c>
      <c r="AY662" s="31">
        <f t="shared" si="474"/>
        <v>0</v>
      </c>
      <c r="AZ662" s="31">
        <f t="shared" si="475"/>
        <v>0</v>
      </c>
      <c r="BA662" s="31">
        <f t="shared" si="476"/>
        <v>0</v>
      </c>
      <c r="BB662" s="31">
        <f t="shared" si="505"/>
        <v>0</v>
      </c>
      <c r="BM662" s="8">
        <f t="shared" si="506"/>
        <v>0</v>
      </c>
      <c r="BN662" s="8">
        <f t="shared" si="477"/>
        <v>0</v>
      </c>
      <c r="BO662" s="8">
        <f t="shared" si="478"/>
        <v>0</v>
      </c>
      <c r="BQ662" s="8">
        <f t="shared" si="479"/>
        <v>0</v>
      </c>
      <c r="BR662" s="63">
        <f t="shared" si="480"/>
        <v>0</v>
      </c>
      <c r="BS662" s="63">
        <f t="shared" si="507"/>
        <v>0</v>
      </c>
      <c r="BT662" s="63">
        <f t="shared" si="481"/>
        <v>0</v>
      </c>
      <c r="BU662" s="63">
        <f t="shared" si="482"/>
        <v>0</v>
      </c>
      <c r="BV662" s="57">
        <f t="shared" si="483"/>
        <v>0</v>
      </c>
      <c r="BW662" s="57">
        <f t="shared" si="484"/>
        <v>0</v>
      </c>
      <c r="BX662" s="57">
        <f t="shared" si="508"/>
        <v>0</v>
      </c>
      <c r="BY662" s="57">
        <f t="shared" si="466"/>
        <v>0</v>
      </c>
      <c r="BZ662" s="8">
        <f t="shared" si="485"/>
        <v>0</v>
      </c>
      <c r="CA662" s="8">
        <f t="shared" si="486"/>
        <v>0</v>
      </c>
      <c r="CB662" s="8">
        <f t="shared" si="487"/>
        <v>0</v>
      </c>
      <c r="CC662" s="8">
        <f t="shared" si="488"/>
        <v>0</v>
      </c>
      <c r="CD662" s="8">
        <f t="shared" si="489"/>
        <v>0</v>
      </c>
      <c r="CE662" s="8">
        <f t="shared" si="490"/>
        <v>0</v>
      </c>
      <c r="CF662" s="8">
        <f t="shared" si="491"/>
        <v>0</v>
      </c>
      <c r="CG662" s="8">
        <f t="shared" si="492"/>
        <v>0</v>
      </c>
      <c r="CH662" s="8">
        <f t="shared" si="493"/>
        <v>0</v>
      </c>
      <c r="CI662" s="8">
        <f t="shared" si="494"/>
        <v>0</v>
      </c>
      <c r="CJ662" s="8">
        <f t="shared" si="495"/>
        <v>0</v>
      </c>
      <c r="CK662" s="8">
        <f t="shared" si="496"/>
        <v>0</v>
      </c>
      <c r="CL662" s="8">
        <f t="shared" si="497"/>
        <v>0</v>
      </c>
      <c r="CM662" s="8">
        <f t="shared" si="498"/>
        <v>0</v>
      </c>
      <c r="CN662" s="8">
        <f t="shared" si="499"/>
        <v>0</v>
      </c>
      <c r="CO662" s="8">
        <f t="shared" si="500"/>
        <v>0</v>
      </c>
      <c r="CP662" s="8">
        <f t="shared" si="501"/>
        <v>0</v>
      </c>
      <c r="CQ662" s="8">
        <f t="shared" si="502"/>
        <v>0</v>
      </c>
      <c r="CR662" s="8">
        <f t="shared" si="503"/>
        <v>0</v>
      </c>
      <c r="CS662" s="8">
        <f t="shared" si="504"/>
        <v>0</v>
      </c>
      <c r="CT662" s="8">
        <f t="shared" si="509"/>
        <v>0</v>
      </c>
      <c r="CU662" s="8">
        <f t="shared" si="510"/>
        <v>0</v>
      </c>
      <c r="CV662" s="8">
        <f t="shared" si="511"/>
        <v>0</v>
      </c>
    </row>
    <row r="663" spans="1:100" ht="20.5" thickTop="1" thickBot="1" x14ac:dyDescent="0.5">
      <c r="A663" s="32"/>
      <c r="B663" s="10"/>
      <c r="C663" s="10"/>
      <c r="D663" s="11"/>
      <c r="E663" s="10"/>
      <c r="F663" s="10"/>
      <c r="G663" s="19"/>
      <c r="H663" s="19"/>
      <c r="I663" s="19"/>
      <c r="J663" s="19"/>
      <c r="K663" s="10"/>
      <c r="L663" s="10"/>
      <c r="M663" s="10"/>
      <c r="N663" s="10"/>
      <c r="O663" s="18"/>
      <c r="P663" s="18"/>
      <c r="Q663" s="21"/>
      <c r="R663" s="20"/>
      <c r="S663" s="16">
        <f t="shared" si="467"/>
        <v>0</v>
      </c>
      <c r="T663" s="11"/>
      <c r="AS663" s="31">
        <f t="shared" si="468"/>
        <v>0</v>
      </c>
      <c r="AT663" s="31">
        <f t="shared" si="469"/>
        <v>0</v>
      </c>
      <c r="AU663" s="31">
        <f t="shared" si="470"/>
        <v>0</v>
      </c>
      <c r="AV663" s="31">
        <f t="shared" si="471"/>
        <v>0</v>
      </c>
      <c r="AW663" s="31">
        <f t="shared" si="472"/>
        <v>0</v>
      </c>
      <c r="AX663" s="31">
        <f t="shared" si="473"/>
        <v>0</v>
      </c>
      <c r="AY663" s="31">
        <f t="shared" si="474"/>
        <v>0</v>
      </c>
      <c r="AZ663" s="31">
        <f t="shared" si="475"/>
        <v>0</v>
      </c>
      <c r="BA663" s="31">
        <f t="shared" si="476"/>
        <v>0</v>
      </c>
      <c r="BB663" s="31">
        <f t="shared" si="505"/>
        <v>0</v>
      </c>
      <c r="BM663" s="8">
        <f t="shared" si="506"/>
        <v>0</v>
      </c>
      <c r="BN663" s="8">
        <f t="shared" si="477"/>
        <v>0</v>
      </c>
      <c r="BO663" s="8">
        <f t="shared" si="478"/>
        <v>0</v>
      </c>
      <c r="BQ663" s="8">
        <f t="shared" si="479"/>
        <v>0</v>
      </c>
      <c r="BR663" s="63">
        <f t="shared" si="480"/>
        <v>0</v>
      </c>
      <c r="BS663" s="63">
        <f t="shared" si="507"/>
        <v>0</v>
      </c>
      <c r="BT663" s="63">
        <f t="shared" si="481"/>
        <v>0</v>
      </c>
      <c r="BU663" s="63">
        <f t="shared" si="482"/>
        <v>0</v>
      </c>
      <c r="BV663" s="57">
        <f t="shared" si="483"/>
        <v>0</v>
      </c>
      <c r="BW663" s="57">
        <f t="shared" si="484"/>
        <v>0</v>
      </c>
      <c r="BX663" s="57">
        <f t="shared" si="508"/>
        <v>0</v>
      </c>
      <c r="BY663" s="57">
        <f t="shared" si="466"/>
        <v>0</v>
      </c>
      <c r="BZ663" s="8">
        <f t="shared" si="485"/>
        <v>0</v>
      </c>
      <c r="CA663" s="8">
        <f t="shared" si="486"/>
        <v>0</v>
      </c>
      <c r="CB663" s="8">
        <f t="shared" si="487"/>
        <v>0</v>
      </c>
      <c r="CC663" s="8">
        <f t="shared" si="488"/>
        <v>0</v>
      </c>
      <c r="CD663" s="8">
        <f t="shared" si="489"/>
        <v>0</v>
      </c>
      <c r="CE663" s="8">
        <f t="shared" si="490"/>
        <v>0</v>
      </c>
      <c r="CF663" s="8">
        <f t="shared" si="491"/>
        <v>0</v>
      </c>
      <c r="CG663" s="8">
        <f t="shared" si="492"/>
        <v>0</v>
      </c>
      <c r="CH663" s="8">
        <f t="shared" si="493"/>
        <v>0</v>
      </c>
      <c r="CI663" s="8">
        <f t="shared" si="494"/>
        <v>0</v>
      </c>
      <c r="CJ663" s="8">
        <f t="shared" si="495"/>
        <v>0</v>
      </c>
      <c r="CK663" s="8">
        <f t="shared" si="496"/>
        <v>0</v>
      </c>
      <c r="CL663" s="8">
        <f t="shared" si="497"/>
        <v>0</v>
      </c>
      <c r="CM663" s="8">
        <f t="shared" si="498"/>
        <v>0</v>
      </c>
      <c r="CN663" s="8">
        <f t="shared" si="499"/>
        <v>0</v>
      </c>
      <c r="CO663" s="8">
        <f t="shared" si="500"/>
        <v>0</v>
      </c>
      <c r="CP663" s="8">
        <f t="shared" si="501"/>
        <v>0</v>
      </c>
      <c r="CQ663" s="8">
        <f t="shared" si="502"/>
        <v>0</v>
      </c>
      <c r="CR663" s="8">
        <f t="shared" si="503"/>
        <v>0</v>
      </c>
      <c r="CS663" s="8">
        <f t="shared" si="504"/>
        <v>0</v>
      </c>
      <c r="CT663" s="8">
        <f t="shared" si="509"/>
        <v>0</v>
      </c>
      <c r="CU663" s="8">
        <f t="shared" si="510"/>
        <v>0</v>
      </c>
      <c r="CV663" s="8">
        <f t="shared" si="511"/>
        <v>0</v>
      </c>
    </row>
    <row r="664" spans="1:100" ht="20.5" thickTop="1" thickBot="1" x14ac:dyDescent="0.5">
      <c r="A664" s="32"/>
      <c r="B664" s="10"/>
      <c r="C664" s="10"/>
      <c r="D664" s="11"/>
      <c r="E664" s="10"/>
      <c r="F664" s="10"/>
      <c r="G664" s="19"/>
      <c r="H664" s="19"/>
      <c r="I664" s="19"/>
      <c r="J664" s="19"/>
      <c r="K664" s="10"/>
      <c r="L664" s="10"/>
      <c r="M664" s="10"/>
      <c r="N664" s="10"/>
      <c r="O664" s="18"/>
      <c r="P664" s="18"/>
      <c r="Q664" s="21"/>
      <c r="R664" s="20"/>
      <c r="S664" s="16">
        <f t="shared" si="467"/>
        <v>0</v>
      </c>
      <c r="T664" s="11"/>
      <c r="AS664" s="31">
        <f t="shared" si="468"/>
        <v>0</v>
      </c>
      <c r="AT664" s="31">
        <f t="shared" si="469"/>
        <v>0</v>
      </c>
      <c r="AU664" s="31">
        <f t="shared" si="470"/>
        <v>0</v>
      </c>
      <c r="AV664" s="31">
        <f t="shared" si="471"/>
        <v>0</v>
      </c>
      <c r="AW664" s="31">
        <f t="shared" si="472"/>
        <v>0</v>
      </c>
      <c r="AX664" s="31">
        <f t="shared" si="473"/>
        <v>0</v>
      </c>
      <c r="AY664" s="31">
        <f t="shared" si="474"/>
        <v>0</v>
      </c>
      <c r="AZ664" s="31">
        <f t="shared" si="475"/>
        <v>0</v>
      </c>
      <c r="BA664" s="31">
        <f t="shared" si="476"/>
        <v>0</v>
      </c>
      <c r="BB664" s="31">
        <f t="shared" si="505"/>
        <v>0</v>
      </c>
      <c r="BM664" s="8">
        <f t="shared" si="506"/>
        <v>0</v>
      </c>
      <c r="BN664" s="8">
        <f t="shared" si="477"/>
        <v>0</v>
      </c>
      <c r="BO664" s="8">
        <f t="shared" si="478"/>
        <v>0</v>
      </c>
      <c r="BQ664" s="8">
        <f t="shared" si="479"/>
        <v>0</v>
      </c>
      <c r="BR664" s="63">
        <f t="shared" si="480"/>
        <v>0</v>
      </c>
      <c r="BS664" s="63">
        <f t="shared" si="507"/>
        <v>0</v>
      </c>
      <c r="BT664" s="63">
        <f t="shared" si="481"/>
        <v>0</v>
      </c>
      <c r="BU664" s="63">
        <f t="shared" si="482"/>
        <v>0</v>
      </c>
      <c r="BV664" s="57">
        <f t="shared" si="483"/>
        <v>0</v>
      </c>
      <c r="BW664" s="57">
        <f t="shared" si="484"/>
        <v>0</v>
      </c>
      <c r="BX664" s="57">
        <f t="shared" si="508"/>
        <v>0</v>
      </c>
      <c r="BY664" s="57">
        <f t="shared" si="466"/>
        <v>0</v>
      </c>
      <c r="BZ664" s="8">
        <f t="shared" si="485"/>
        <v>0</v>
      </c>
      <c r="CA664" s="8">
        <f t="shared" si="486"/>
        <v>0</v>
      </c>
      <c r="CB664" s="8">
        <f t="shared" si="487"/>
        <v>0</v>
      </c>
      <c r="CC664" s="8">
        <f t="shared" si="488"/>
        <v>0</v>
      </c>
      <c r="CD664" s="8">
        <f t="shared" si="489"/>
        <v>0</v>
      </c>
      <c r="CE664" s="8">
        <f t="shared" si="490"/>
        <v>0</v>
      </c>
      <c r="CF664" s="8">
        <f t="shared" si="491"/>
        <v>0</v>
      </c>
      <c r="CG664" s="8">
        <f t="shared" si="492"/>
        <v>0</v>
      </c>
      <c r="CH664" s="8">
        <f t="shared" si="493"/>
        <v>0</v>
      </c>
      <c r="CI664" s="8">
        <f t="shared" si="494"/>
        <v>0</v>
      </c>
      <c r="CJ664" s="8">
        <f t="shared" si="495"/>
        <v>0</v>
      </c>
      <c r="CK664" s="8">
        <f t="shared" si="496"/>
        <v>0</v>
      </c>
      <c r="CL664" s="8">
        <f t="shared" si="497"/>
        <v>0</v>
      </c>
      <c r="CM664" s="8">
        <f t="shared" si="498"/>
        <v>0</v>
      </c>
      <c r="CN664" s="8">
        <f t="shared" si="499"/>
        <v>0</v>
      </c>
      <c r="CO664" s="8">
        <f t="shared" si="500"/>
        <v>0</v>
      </c>
      <c r="CP664" s="8">
        <f t="shared" si="501"/>
        <v>0</v>
      </c>
      <c r="CQ664" s="8">
        <f t="shared" si="502"/>
        <v>0</v>
      </c>
      <c r="CR664" s="8">
        <f t="shared" si="503"/>
        <v>0</v>
      </c>
      <c r="CS664" s="8">
        <f t="shared" si="504"/>
        <v>0</v>
      </c>
      <c r="CT664" s="8">
        <f t="shared" si="509"/>
        <v>0</v>
      </c>
      <c r="CU664" s="8">
        <f t="shared" si="510"/>
        <v>0</v>
      </c>
      <c r="CV664" s="8">
        <f t="shared" si="511"/>
        <v>0</v>
      </c>
    </row>
    <row r="665" spans="1:100" ht="20.5" thickTop="1" thickBot="1" x14ac:dyDescent="0.5">
      <c r="A665" s="32"/>
      <c r="B665" s="10"/>
      <c r="C665" s="10"/>
      <c r="D665" s="11"/>
      <c r="E665" s="10"/>
      <c r="F665" s="10"/>
      <c r="G665" s="19"/>
      <c r="H665" s="19"/>
      <c r="I665" s="19"/>
      <c r="J665" s="19"/>
      <c r="K665" s="10"/>
      <c r="L665" s="10"/>
      <c r="M665" s="10"/>
      <c r="N665" s="10"/>
      <c r="O665" s="18"/>
      <c r="P665" s="18"/>
      <c r="Q665" s="21"/>
      <c r="R665" s="20"/>
      <c r="S665" s="16">
        <f t="shared" si="467"/>
        <v>0</v>
      </c>
      <c r="T665" s="11"/>
      <c r="AS665" s="31">
        <f t="shared" si="468"/>
        <v>0</v>
      </c>
      <c r="AT665" s="31">
        <f t="shared" si="469"/>
        <v>0</v>
      </c>
      <c r="AU665" s="31">
        <f t="shared" si="470"/>
        <v>0</v>
      </c>
      <c r="AV665" s="31">
        <f t="shared" si="471"/>
        <v>0</v>
      </c>
      <c r="AW665" s="31">
        <f t="shared" si="472"/>
        <v>0</v>
      </c>
      <c r="AX665" s="31">
        <f t="shared" si="473"/>
        <v>0</v>
      </c>
      <c r="AY665" s="31">
        <f t="shared" si="474"/>
        <v>0</v>
      </c>
      <c r="AZ665" s="31">
        <f t="shared" si="475"/>
        <v>0</v>
      </c>
      <c r="BA665" s="31">
        <f t="shared" si="476"/>
        <v>0</v>
      </c>
      <c r="BB665" s="31">
        <f t="shared" si="505"/>
        <v>0</v>
      </c>
      <c r="BM665" s="8">
        <f t="shared" si="506"/>
        <v>0</v>
      </c>
      <c r="BN665" s="8">
        <f t="shared" si="477"/>
        <v>0</v>
      </c>
      <c r="BO665" s="8">
        <f t="shared" si="478"/>
        <v>0</v>
      </c>
      <c r="BQ665" s="8">
        <f t="shared" si="479"/>
        <v>0</v>
      </c>
      <c r="BR665" s="63">
        <f t="shared" si="480"/>
        <v>0</v>
      </c>
      <c r="BS665" s="63">
        <f t="shared" si="507"/>
        <v>0</v>
      </c>
      <c r="BT665" s="63">
        <f t="shared" si="481"/>
        <v>0</v>
      </c>
      <c r="BU665" s="63">
        <f t="shared" si="482"/>
        <v>0</v>
      </c>
      <c r="BV665" s="57">
        <f t="shared" si="483"/>
        <v>0</v>
      </c>
      <c r="BW665" s="57">
        <f t="shared" si="484"/>
        <v>0</v>
      </c>
      <c r="BX665" s="57">
        <f t="shared" si="508"/>
        <v>0</v>
      </c>
      <c r="BY665" s="57">
        <f t="shared" si="466"/>
        <v>0</v>
      </c>
      <c r="BZ665" s="8">
        <f t="shared" si="485"/>
        <v>0</v>
      </c>
      <c r="CA665" s="8">
        <f t="shared" si="486"/>
        <v>0</v>
      </c>
      <c r="CB665" s="8">
        <f t="shared" si="487"/>
        <v>0</v>
      </c>
      <c r="CC665" s="8">
        <f t="shared" si="488"/>
        <v>0</v>
      </c>
      <c r="CD665" s="8">
        <f t="shared" si="489"/>
        <v>0</v>
      </c>
      <c r="CE665" s="8">
        <f t="shared" si="490"/>
        <v>0</v>
      </c>
      <c r="CF665" s="8">
        <f t="shared" si="491"/>
        <v>0</v>
      </c>
      <c r="CG665" s="8">
        <f t="shared" si="492"/>
        <v>0</v>
      </c>
      <c r="CH665" s="8">
        <f t="shared" si="493"/>
        <v>0</v>
      </c>
      <c r="CI665" s="8">
        <f t="shared" si="494"/>
        <v>0</v>
      </c>
      <c r="CJ665" s="8">
        <f t="shared" si="495"/>
        <v>0</v>
      </c>
      <c r="CK665" s="8">
        <f t="shared" si="496"/>
        <v>0</v>
      </c>
      <c r="CL665" s="8">
        <f t="shared" si="497"/>
        <v>0</v>
      </c>
      <c r="CM665" s="8">
        <f t="shared" si="498"/>
        <v>0</v>
      </c>
      <c r="CN665" s="8">
        <f t="shared" si="499"/>
        <v>0</v>
      </c>
      <c r="CO665" s="8">
        <f t="shared" si="500"/>
        <v>0</v>
      </c>
      <c r="CP665" s="8">
        <f t="shared" si="501"/>
        <v>0</v>
      </c>
      <c r="CQ665" s="8">
        <f t="shared" si="502"/>
        <v>0</v>
      </c>
      <c r="CR665" s="8">
        <f t="shared" si="503"/>
        <v>0</v>
      </c>
      <c r="CS665" s="8">
        <f t="shared" si="504"/>
        <v>0</v>
      </c>
      <c r="CT665" s="8">
        <f t="shared" si="509"/>
        <v>0</v>
      </c>
      <c r="CU665" s="8">
        <f t="shared" si="510"/>
        <v>0</v>
      </c>
      <c r="CV665" s="8">
        <f t="shared" si="511"/>
        <v>0</v>
      </c>
    </row>
    <row r="666" spans="1:100" ht="20.5" thickTop="1" thickBot="1" x14ac:dyDescent="0.5">
      <c r="A666" s="32"/>
      <c r="B666" s="10"/>
      <c r="C666" s="10"/>
      <c r="D666" s="11"/>
      <c r="E666" s="10"/>
      <c r="F666" s="10"/>
      <c r="G666" s="19"/>
      <c r="H666" s="19"/>
      <c r="I666" s="19"/>
      <c r="J666" s="19"/>
      <c r="K666" s="10"/>
      <c r="L666" s="10"/>
      <c r="M666" s="10"/>
      <c r="N666" s="10"/>
      <c r="O666" s="18"/>
      <c r="P666" s="18"/>
      <c r="Q666" s="21"/>
      <c r="R666" s="20"/>
      <c r="S666" s="16">
        <f t="shared" si="467"/>
        <v>0</v>
      </c>
      <c r="T666" s="11"/>
      <c r="AS666" s="31">
        <f t="shared" si="468"/>
        <v>0</v>
      </c>
      <c r="AT666" s="31">
        <f t="shared" si="469"/>
        <v>0</v>
      </c>
      <c r="AU666" s="31">
        <f t="shared" si="470"/>
        <v>0</v>
      </c>
      <c r="AV666" s="31">
        <f t="shared" si="471"/>
        <v>0</v>
      </c>
      <c r="AW666" s="31">
        <f t="shared" si="472"/>
        <v>0</v>
      </c>
      <c r="AX666" s="31">
        <f t="shared" si="473"/>
        <v>0</v>
      </c>
      <c r="AY666" s="31">
        <f t="shared" si="474"/>
        <v>0</v>
      </c>
      <c r="AZ666" s="31">
        <f t="shared" si="475"/>
        <v>0</v>
      </c>
      <c r="BA666" s="31">
        <f t="shared" si="476"/>
        <v>0</v>
      </c>
      <c r="BB666" s="31">
        <f t="shared" si="505"/>
        <v>0</v>
      </c>
      <c r="BM666" s="8">
        <f t="shared" si="506"/>
        <v>0</v>
      </c>
      <c r="BN666" s="8">
        <f t="shared" si="477"/>
        <v>0</v>
      </c>
      <c r="BO666" s="8">
        <f t="shared" si="478"/>
        <v>0</v>
      </c>
      <c r="BQ666" s="8">
        <f t="shared" si="479"/>
        <v>0</v>
      </c>
      <c r="BR666" s="63">
        <f t="shared" si="480"/>
        <v>0</v>
      </c>
      <c r="BS666" s="63">
        <f t="shared" si="507"/>
        <v>0</v>
      </c>
      <c r="BT666" s="63">
        <f t="shared" si="481"/>
        <v>0</v>
      </c>
      <c r="BU666" s="63">
        <f t="shared" si="482"/>
        <v>0</v>
      </c>
      <c r="BV666" s="57">
        <f t="shared" si="483"/>
        <v>0</v>
      </c>
      <c r="BW666" s="57">
        <f t="shared" si="484"/>
        <v>0</v>
      </c>
      <c r="BX666" s="57">
        <f t="shared" si="508"/>
        <v>0</v>
      </c>
      <c r="BY666" s="57">
        <f t="shared" si="466"/>
        <v>0</v>
      </c>
      <c r="BZ666" s="8">
        <f t="shared" si="485"/>
        <v>0</v>
      </c>
      <c r="CA666" s="8">
        <f t="shared" si="486"/>
        <v>0</v>
      </c>
      <c r="CB666" s="8">
        <f t="shared" si="487"/>
        <v>0</v>
      </c>
      <c r="CC666" s="8">
        <f t="shared" si="488"/>
        <v>0</v>
      </c>
      <c r="CD666" s="8">
        <f t="shared" si="489"/>
        <v>0</v>
      </c>
      <c r="CE666" s="8">
        <f t="shared" si="490"/>
        <v>0</v>
      </c>
      <c r="CF666" s="8">
        <f t="shared" si="491"/>
        <v>0</v>
      </c>
      <c r="CG666" s="8">
        <f t="shared" si="492"/>
        <v>0</v>
      </c>
      <c r="CH666" s="8">
        <f t="shared" si="493"/>
        <v>0</v>
      </c>
      <c r="CI666" s="8">
        <f t="shared" si="494"/>
        <v>0</v>
      </c>
      <c r="CJ666" s="8">
        <f t="shared" si="495"/>
        <v>0</v>
      </c>
      <c r="CK666" s="8">
        <f t="shared" si="496"/>
        <v>0</v>
      </c>
      <c r="CL666" s="8">
        <f t="shared" si="497"/>
        <v>0</v>
      </c>
      <c r="CM666" s="8">
        <f t="shared" si="498"/>
        <v>0</v>
      </c>
      <c r="CN666" s="8">
        <f t="shared" si="499"/>
        <v>0</v>
      </c>
      <c r="CO666" s="8">
        <f t="shared" si="500"/>
        <v>0</v>
      </c>
      <c r="CP666" s="8">
        <f t="shared" si="501"/>
        <v>0</v>
      </c>
      <c r="CQ666" s="8">
        <f t="shared" si="502"/>
        <v>0</v>
      </c>
      <c r="CR666" s="8">
        <f t="shared" si="503"/>
        <v>0</v>
      </c>
      <c r="CS666" s="8">
        <f t="shared" si="504"/>
        <v>0</v>
      </c>
      <c r="CT666" s="8">
        <f t="shared" si="509"/>
        <v>0</v>
      </c>
      <c r="CU666" s="8">
        <f t="shared" si="510"/>
        <v>0</v>
      </c>
      <c r="CV666" s="8">
        <f t="shared" si="511"/>
        <v>0</v>
      </c>
    </row>
    <row r="667" spans="1:100" ht="20.5" thickTop="1" thickBot="1" x14ac:dyDescent="0.5">
      <c r="A667" s="32"/>
      <c r="B667" s="10"/>
      <c r="C667" s="10"/>
      <c r="D667" s="11"/>
      <c r="E667" s="10"/>
      <c r="F667" s="10"/>
      <c r="G667" s="19"/>
      <c r="H667" s="19"/>
      <c r="I667" s="19"/>
      <c r="J667" s="19"/>
      <c r="K667" s="10"/>
      <c r="L667" s="10"/>
      <c r="M667" s="10"/>
      <c r="N667" s="10"/>
      <c r="O667" s="18"/>
      <c r="P667" s="18"/>
      <c r="Q667" s="21"/>
      <c r="R667" s="20"/>
      <c r="S667" s="16">
        <f t="shared" si="467"/>
        <v>0</v>
      </c>
      <c r="T667" s="11"/>
      <c r="AS667" s="31">
        <f t="shared" si="468"/>
        <v>0</v>
      </c>
      <c r="AT667" s="31">
        <f t="shared" si="469"/>
        <v>0</v>
      </c>
      <c r="AU667" s="31">
        <f t="shared" si="470"/>
        <v>0</v>
      </c>
      <c r="AV667" s="31">
        <f t="shared" si="471"/>
        <v>0</v>
      </c>
      <c r="AW667" s="31">
        <f t="shared" si="472"/>
        <v>0</v>
      </c>
      <c r="AX667" s="31">
        <f t="shared" si="473"/>
        <v>0</v>
      </c>
      <c r="AY667" s="31">
        <f t="shared" si="474"/>
        <v>0</v>
      </c>
      <c r="AZ667" s="31">
        <f t="shared" si="475"/>
        <v>0</v>
      </c>
      <c r="BA667" s="31">
        <f t="shared" si="476"/>
        <v>0</v>
      </c>
      <c r="BB667" s="31">
        <f t="shared" si="505"/>
        <v>0</v>
      </c>
      <c r="BM667" s="8">
        <f t="shared" si="506"/>
        <v>0</v>
      </c>
      <c r="BN667" s="8">
        <f t="shared" si="477"/>
        <v>0</v>
      </c>
      <c r="BO667" s="8">
        <f t="shared" si="478"/>
        <v>0</v>
      </c>
      <c r="BQ667" s="8">
        <f t="shared" si="479"/>
        <v>0</v>
      </c>
      <c r="BR667" s="63">
        <f t="shared" si="480"/>
        <v>0</v>
      </c>
      <c r="BS667" s="63">
        <f t="shared" si="507"/>
        <v>0</v>
      </c>
      <c r="BT667" s="63">
        <f t="shared" si="481"/>
        <v>0</v>
      </c>
      <c r="BU667" s="63">
        <f t="shared" si="482"/>
        <v>0</v>
      </c>
      <c r="BV667" s="57">
        <f t="shared" si="483"/>
        <v>0</v>
      </c>
      <c r="BW667" s="57">
        <f t="shared" si="484"/>
        <v>0</v>
      </c>
      <c r="BX667" s="57">
        <f t="shared" si="508"/>
        <v>0</v>
      </c>
      <c r="BY667" s="57">
        <f t="shared" si="466"/>
        <v>0</v>
      </c>
      <c r="BZ667" s="8">
        <f t="shared" si="485"/>
        <v>0</v>
      </c>
      <c r="CA667" s="8">
        <f t="shared" si="486"/>
        <v>0</v>
      </c>
      <c r="CB667" s="8">
        <f t="shared" si="487"/>
        <v>0</v>
      </c>
      <c r="CC667" s="8">
        <f t="shared" si="488"/>
        <v>0</v>
      </c>
      <c r="CD667" s="8">
        <f t="shared" si="489"/>
        <v>0</v>
      </c>
      <c r="CE667" s="8">
        <f t="shared" si="490"/>
        <v>0</v>
      </c>
      <c r="CF667" s="8">
        <f t="shared" si="491"/>
        <v>0</v>
      </c>
      <c r="CG667" s="8">
        <f t="shared" si="492"/>
        <v>0</v>
      </c>
      <c r="CH667" s="8">
        <f t="shared" si="493"/>
        <v>0</v>
      </c>
      <c r="CI667" s="8">
        <f t="shared" si="494"/>
        <v>0</v>
      </c>
      <c r="CJ667" s="8">
        <f t="shared" si="495"/>
        <v>0</v>
      </c>
      <c r="CK667" s="8">
        <f t="shared" si="496"/>
        <v>0</v>
      </c>
      <c r="CL667" s="8">
        <f t="shared" si="497"/>
        <v>0</v>
      </c>
      <c r="CM667" s="8">
        <f t="shared" si="498"/>
        <v>0</v>
      </c>
      <c r="CN667" s="8">
        <f t="shared" si="499"/>
        <v>0</v>
      </c>
      <c r="CO667" s="8">
        <f t="shared" si="500"/>
        <v>0</v>
      </c>
      <c r="CP667" s="8">
        <f t="shared" si="501"/>
        <v>0</v>
      </c>
      <c r="CQ667" s="8">
        <f t="shared" si="502"/>
        <v>0</v>
      </c>
      <c r="CR667" s="8">
        <f t="shared" si="503"/>
        <v>0</v>
      </c>
      <c r="CS667" s="8">
        <f t="shared" si="504"/>
        <v>0</v>
      </c>
      <c r="CT667" s="8">
        <f t="shared" si="509"/>
        <v>0</v>
      </c>
      <c r="CU667" s="8">
        <f t="shared" si="510"/>
        <v>0</v>
      </c>
      <c r="CV667" s="8">
        <f t="shared" si="511"/>
        <v>0</v>
      </c>
    </row>
    <row r="668" spans="1:100" ht="20.5" thickTop="1" thickBot="1" x14ac:dyDescent="0.5">
      <c r="A668" s="32"/>
      <c r="B668" s="10"/>
      <c r="C668" s="10"/>
      <c r="D668" s="11"/>
      <c r="E668" s="10"/>
      <c r="F668" s="10"/>
      <c r="G668" s="19"/>
      <c r="H668" s="19"/>
      <c r="I668" s="19"/>
      <c r="J668" s="19"/>
      <c r="K668" s="10"/>
      <c r="L668" s="10"/>
      <c r="M668" s="10"/>
      <c r="N668" s="10"/>
      <c r="O668" s="18"/>
      <c r="P668" s="18"/>
      <c r="Q668" s="21"/>
      <c r="R668" s="20"/>
      <c r="S668" s="16">
        <f t="shared" si="467"/>
        <v>0</v>
      </c>
      <c r="T668" s="11"/>
      <c r="AS668" s="31">
        <f t="shared" si="468"/>
        <v>0</v>
      </c>
      <c r="AT668" s="31">
        <f t="shared" si="469"/>
        <v>0</v>
      </c>
      <c r="AU668" s="31">
        <f t="shared" si="470"/>
        <v>0</v>
      </c>
      <c r="AV668" s="31">
        <f t="shared" si="471"/>
        <v>0</v>
      </c>
      <c r="AW668" s="31">
        <f t="shared" si="472"/>
        <v>0</v>
      </c>
      <c r="AX668" s="31">
        <f t="shared" si="473"/>
        <v>0</v>
      </c>
      <c r="AY668" s="31">
        <f t="shared" si="474"/>
        <v>0</v>
      </c>
      <c r="AZ668" s="31">
        <f t="shared" si="475"/>
        <v>0</v>
      </c>
      <c r="BA668" s="31">
        <f t="shared" si="476"/>
        <v>0</v>
      </c>
      <c r="BB668" s="31">
        <f t="shared" si="505"/>
        <v>0</v>
      </c>
      <c r="BM668" s="8">
        <f t="shared" si="506"/>
        <v>0</v>
      </c>
      <c r="BN668" s="8">
        <f t="shared" si="477"/>
        <v>0</v>
      </c>
      <c r="BO668" s="8">
        <f t="shared" si="478"/>
        <v>0</v>
      </c>
      <c r="BQ668" s="8">
        <f t="shared" si="479"/>
        <v>0</v>
      </c>
      <c r="BR668" s="63">
        <f t="shared" si="480"/>
        <v>0</v>
      </c>
      <c r="BS668" s="63">
        <f t="shared" si="507"/>
        <v>0</v>
      </c>
      <c r="BT668" s="63">
        <f t="shared" si="481"/>
        <v>0</v>
      </c>
      <c r="BU668" s="63">
        <f t="shared" si="482"/>
        <v>0</v>
      </c>
      <c r="BV668" s="57">
        <f t="shared" si="483"/>
        <v>0</v>
      </c>
      <c r="BW668" s="57">
        <f t="shared" si="484"/>
        <v>0</v>
      </c>
      <c r="BX668" s="57">
        <f t="shared" si="508"/>
        <v>0</v>
      </c>
      <c r="BY668" s="57">
        <f t="shared" si="466"/>
        <v>0</v>
      </c>
      <c r="BZ668" s="8">
        <f t="shared" si="485"/>
        <v>0</v>
      </c>
      <c r="CA668" s="8">
        <f t="shared" si="486"/>
        <v>0</v>
      </c>
      <c r="CB668" s="8">
        <f t="shared" si="487"/>
        <v>0</v>
      </c>
      <c r="CC668" s="8">
        <f t="shared" si="488"/>
        <v>0</v>
      </c>
      <c r="CD668" s="8">
        <f t="shared" si="489"/>
        <v>0</v>
      </c>
      <c r="CE668" s="8">
        <f t="shared" si="490"/>
        <v>0</v>
      </c>
      <c r="CF668" s="8">
        <f t="shared" si="491"/>
        <v>0</v>
      </c>
      <c r="CG668" s="8">
        <f t="shared" si="492"/>
        <v>0</v>
      </c>
      <c r="CH668" s="8">
        <f t="shared" si="493"/>
        <v>0</v>
      </c>
      <c r="CI668" s="8">
        <f t="shared" si="494"/>
        <v>0</v>
      </c>
      <c r="CJ668" s="8">
        <f t="shared" si="495"/>
        <v>0</v>
      </c>
      <c r="CK668" s="8">
        <f t="shared" si="496"/>
        <v>0</v>
      </c>
      <c r="CL668" s="8">
        <f t="shared" si="497"/>
        <v>0</v>
      </c>
      <c r="CM668" s="8">
        <f t="shared" si="498"/>
        <v>0</v>
      </c>
      <c r="CN668" s="8">
        <f t="shared" si="499"/>
        <v>0</v>
      </c>
      <c r="CO668" s="8">
        <f t="shared" si="500"/>
        <v>0</v>
      </c>
      <c r="CP668" s="8">
        <f t="shared" si="501"/>
        <v>0</v>
      </c>
      <c r="CQ668" s="8">
        <f t="shared" si="502"/>
        <v>0</v>
      </c>
      <c r="CR668" s="8">
        <f t="shared" si="503"/>
        <v>0</v>
      </c>
      <c r="CS668" s="8">
        <f t="shared" si="504"/>
        <v>0</v>
      </c>
      <c r="CT668" s="8">
        <f t="shared" si="509"/>
        <v>0</v>
      </c>
      <c r="CU668" s="8">
        <f t="shared" si="510"/>
        <v>0</v>
      </c>
      <c r="CV668" s="8">
        <f t="shared" si="511"/>
        <v>0</v>
      </c>
    </row>
    <row r="669" spans="1:100" ht="20.5" thickTop="1" thickBot="1" x14ac:dyDescent="0.5">
      <c r="A669" s="32"/>
      <c r="B669" s="10"/>
      <c r="C669" s="10"/>
      <c r="D669" s="11"/>
      <c r="E669" s="10"/>
      <c r="F669" s="10"/>
      <c r="G669" s="19"/>
      <c r="H669" s="19"/>
      <c r="I669" s="19"/>
      <c r="J669" s="19"/>
      <c r="K669" s="10"/>
      <c r="L669" s="10"/>
      <c r="M669" s="10"/>
      <c r="N669" s="10"/>
      <c r="O669" s="18"/>
      <c r="P669" s="18"/>
      <c r="Q669" s="21"/>
      <c r="R669" s="20"/>
      <c r="S669" s="16">
        <f t="shared" si="467"/>
        <v>0</v>
      </c>
      <c r="T669" s="11"/>
      <c r="AS669" s="31">
        <f t="shared" si="468"/>
        <v>0</v>
      </c>
      <c r="AT669" s="31">
        <f t="shared" si="469"/>
        <v>0</v>
      </c>
      <c r="AU669" s="31">
        <f t="shared" si="470"/>
        <v>0</v>
      </c>
      <c r="AV669" s="31">
        <f t="shared" si="471"/>
        <v>0</v>
      </c>
      <c r="AW669" s="31">
        <f t="shared" si="472"/>
        <v>0</v>
      </c>
      <c r="AX669" s="31">
        <f t="shared" si="473"/>
        <v>0</v>
      </c>
      <c r="AY669" s="31">
        <f t="shared" si="474"/>
        <v>0</v>
      </c>
      <c r="AZ669" s="31">
        <f t="shared" si="475"/>
        <v>0</v>
      </c>
      <c r="BA669" s="31">
        <f t="shared" si="476"/>
        <v>0</v>
      </c>
      <c r="BB669" s="31">
        <f t="shared" si="505"/>
        <v>0</v>
      </c>
      <c r="BM669" s="8">
        <f t="shared" si="506"/>
        <v>0</v>
      </c>
      <c r="BN669" s="8">
        <f t="shared" si="477"/>
        <v>0</v>
      </c>
      <c r="BO669" s="8">
        <f t="shared" si="478"/>
        <v>0</v>
      </c>
      <c r="BQ669" s="8">
        <f t="shared" si="479"/>
        <v>0</v>
      </c>
      <c r="BR669" s="63">
        <f t="shared" si="480"/>
        <v>0</v>
      </c>
      <c r="BS669" s="63">
        <f t="shared" si="507"/>
        <v>0</v>
      </c>
      <c r="BT669" s="63">
        <f t="shared" si="481"/>
        <v>0</v>
      </c>
      <c r="BU669" s="63">
        <f t="shared" si="482"/>
        <v>0</v>
      </c>
      <c r="BV669" s="57">
        <f t="shared" si="483"/>
        <v>0</v>
      </c>
      <c r="BW669" s="57">
        <f t="shared" si="484"/>
        <v>0</v>
      </c>
      <c r="BX669" s="57">
        <f t="shared" si="508"/>
        <v>0</v>
      </c>
      <c r="BY669" s="57">
        <f t="shared" ref="BY669:BY732" si="512">IF(AND(OR(N669="YES",N669="HDD",N669="EX PIPES"),K669=""),D669*(F669+G669),0)</f>
        <v>0</v>
      </c>
      <c r="BZ669" s="8">
        <f t="shared" si="485"/>
        <v>0</v>
      </c>
      <c r="CA669" s="8">
        <f t="shared" si="486"/>
        <v>0</v>
      </c>
      <c r="CB669" s="8">
        <f t="shared" si="487"/>
        <v>0</v>
      </c>
      <c r="CC669" s="8">
        <f t="shared" si="488"/>
        <v>0</v>
      </c>
      <c r="CD669" s="8">
        <f t="shared" si="489"/>
        <v>0</v>
      </c>
      <c r="CE669" s="8">
        <f t="shared" si="490"/>
        <v>0</v>
      </c>
      <c r="CF669" s="8">
        <f t="shared" si="491"/>
        <v>0</v>
      </c>
      <c r="CG669" s="8">
        <f t="shared" si="492"/>
        <v>0</v>
      </c>
      <c r="CH669" s="8">
        <f t="shared" si="493"/>
        <v>0</v>
      </c>
      <c r="CI669" s="8">
        <f t="shared" si="494"/>
        <v>0</v>
      </c>
      <c r="CJ669" s="8">
        <f t="shared" si="495"/>
        <v>0</v>
      </c>
      <c r="CK669" s="8">
        <f t="shared" si="496"/>
        <v>0</v>
      </c>
      <c r="CL669" s="8">
        <f t="shared" si="497"/>
        <v>0</v>
      </c>
      <c r="CM669" s="8">
        <f t="shared" si="498"/>
        <v>0</v>
      </c>
      <c r="CN669" s="8">
        <f t="shared" si="499"/>
        <v>0</v>
      </c>
      <c r="CO669" s="8">
        <f t="shared" si="500"/>
        <v>0</v>
      </c>
      <c r="CP669" s="8">
        <f t="shared" si="501"/>
        <v>0</v>
      </c>
      <c r="CQ669" s="8">
        <f t="shared" si="502"/>
        <v>0</v>
      </c>
      <c r="CR669" s="8">
        <f t="shared" si="503"/>
        <v>0</v>
      </c>
      <c r="CS669" s="8">
        <f t="shared" si="504"/>
        <v>0</v>
      </c>
      <c r="CT669" s="8">
        <f t="shared" si="509"/>
        <v>0</v>
      </c>
      <c r="CU669" s="8">
        <f t="shared" si="510"/>
        <v>0</v>
      </c>
      <c r="CV669" s="8">
        <f t="shared" si="511"/>
        <v>0</v>
      </c>
    </row>
    <row r="670" spans="1:100" ht="20.5" thickTop="1" thickBot="1" x14ac:dyDescent="0.5">
      <c r="A670" s="32"/>
      <c r="B670" s="10"/>
      <c r="C670" s="10"/>
      <c r="D670" s="11"/>
      <c r="E670" s="10"/>
      <c r="F670" s="10"/>
      <c r="G670" s="19"/>
      <c r="H670" s="19"/>
      <c r="I670" s="19"/>
      <c r="J670" s="19"/>
      <c r="K670" s="10"/>
      <c r="L670" s="10"/>
      <c r="M670" s="10"/>
      <c r="N670" s="10"/>
      <c r="O670" s="18"/>
      <c r="P670" s="18"/>
      <c r="Q670" s="21"/>
      <c r="R670" s="20"/>
      <c r="S670" s="16">
        <f t="shared" si="467"/>
        <v>0</v>
      </c>
      <c r="T670" s="11"/>
      <c r="AS670" s="31">
        <f t="shared" si="468"/>
        <v>0</v>
      </c>
      <c r="AT670" s="31">
        <f t="shared" si="469"/>
        <v>0</v>
      </c>
      <c r="AU670" s="31">
        <f t="shared" si="470"/>
        <v>0</v>
      </c>
      <c r="AV670" s="31">
        <f t="shared" si="471"/>
        <v>0</v>
      </c>
      <c r="AW670" s="31">
        <f t="shared" si="472"/>
        <v>0</v>
      </c>
      <c r="AX670" s="31">
        <f t="shared" si="473"/>
        <v>0</v>
      </c>
      <c r="AY670" s="31">
        <f t="shared" si="474"/>
        <v>0</v>
      </c>
      <c r="AZ670" s="31">
        <f t="shared" si="475"/>
        <v>0</v>
      </c>
      <c r="BA670" s="31">
        <f t="shared" si="476"/>
        <v>0</v>
      </c>
      <c r="BB670" s="31">
        <f t="shared" si="505"/>
        <v>0</v>
      </c>
      <c r="BM670" s="8">
        <f t="shared" si="506"/>
        <v>0</v>
      </c>
      <c r="BN670" s="8">
        <f t="shared" si="477"/>
        <v>0</v>
      </c>
      <c r="BO670" s="8">
        <f t="shared" si="478"/>
        <v>0</v>
      </c>
      <c r="BQ670" s="8">
        <f t="shared" si="479"/>
        <v>0</v>
      </c>
      <c r="BR670" s="63">
        <f t="shared" si="480"/>
        <v>0</v>
      </c>
      <c r="BS670" s="63">
        <f t="shared" si="507"/>
        <v>0</v>
      </c>
      <c r="BT670" s="63">
        <f t="shared" si="481"/>
        <v>0</v>
      </c>
      <c r="BU670" s="63">
        <f t="shared" si="482"/>
        <v>0</v>
      </c>
      <c r="BV670" s="57">
        <f t="shared" si="483"/>
        <v>0</v>
      </c>
      <c r="BW670" s="57">
        <f t="shared" si="484"/>
        <v>0</v>
      </c>
      <c r="BX670" s="57">
        <f t="shared" si="508"/>
        <v>0</v>
      </c>
      <c r="BY670" s="57">
        <f t="shared" si="512"/>
        <v>0</v>
      </c>
      <c r="BZ670" s="8">
        <f t="shared" si="485"/>
        <v>0</v>
      </c>
      <c r="CA670" s="8">
        <f t="shared" si="486"/>
        <v>0</v>
      </c>
      <c r="CB670" s="8">
        <f t="shared" si="487"/>
        <v>0</v>
      </c>
      <c r="CC670" s="8">
        <f t="shared" si="488"/>
        <v>0</v>
      </c>
      <c r="CD670" s="8">
        <f t="shared" si="489"/>
        <v>0</v>
      </c>
      <c r="CE670" s="8">
        <f t="shared" si="490"/>
        <v>0</v>
      </c>
      <c r="CF670" s="8">
        <f t="shared" si="491"/>
        <v>0</v>
      </c>
      <c r="CG670" s="8">
        <f t="shared" si="492"/>
        <v>0</v>
      </c>
      <c r="CH670" s="8">
        <f t="shared" si="493"/>
        <v>0</v>
      </c>
      <c r="CI670" s="8">
        <f t="shared" si="494"/>
        <v>0</v>
      </c>
      <c r="CJ670" s="8">
        <f t="shared" si="495"/>
        <v>0</v>
      </c>
      <c r="CK670" s="8">
        <f t="shared" si="496"/>
        <v>0</v>
      </c>
      <c r="CL670" s="8">
        <f t="shared" si="497"/>
        <v>0</v>
      </c>
      <c r="CM670" s="8">
        <f t="shared" si="498"/>
        <v>0</v>
      </c>
      <c r="CN670" s="8">
        <f t="shared" si="499"/>
        <v>0</v>
      </c>
      <c r="CO670" s="8">
        <f t="shared" si="500"/>
        <v>0</v>
      </c>
      <c r="CP670" s="8">
        <f t="shared" si="501"/>
        <v>0</v>
      </c>
      <c r="CQ670" s="8">
        <f t="shared" si="502"/>
        <v>0</v>
      </c>
      <c r="CR670" s="8">
        <f t="shared" si="503"/>
        <v>0</v>
      </c>
      <c r="CS670" s="8">
        <f t="shared" si="504"/>
        <v>0</v>
      </c>
      <c r="CT670" s="8">
        <f t="shared" si="509"/>
        <v>0</v>
      </c>
      <c r="CU670" s="8">
        <f t="shared" si="510"/>
        <v>0</v>
      </c>
      <c r="CV670" s="8">
        <f t="shared" si="511"/>
        <v>0</v>
      </c>
    </row>
    <row r="671" spans="1:100" ht="20.5" thickTop="1" thickBot="1" x14ac:dyDescent="0.5">
      <c r="A671" s="32"/>
      <c r="B671" s="10"/>
      <c r="C671" s="10"/>
      <c r="D671" s="11"/>
      <c r="E671" s="10"/>
      <c r="F671" s="10"/>
      <c r="G671" s="19"/>
      <c r="H671" s="19"/>
      <c r="I671" s="19"/>
      <c r="J671" s="19"/>
      <c r="K671" s="10"/>
      <c r="L671" s="10"/>
      <c r="M671" s="10"/>
      <c r="N671" s="10"/>
      <c r="O671" s="18"/>
      <c r="P671" s="18"/>
      <c r="Q671" s="21"/>
      <c r="R671" s="20"/>
      <c r="S671" s="16">
        <f t="shared" si="467"/>
        <v>0</v>
      </c>
      <c r="T671" s="11"/>
      <c r="AS671" s="31">
        <f t="shared" si="468"/>
        <v>0</v>
      </c>
      <c r="AT671" s="31">
        <f t="shared" si="469"/>
        <v>0</v>
      </c>
      <c r="AU671" s="31">
        <f t="shared" si="470"/>
        <v>0</v>
      </c>
      <c r="AV671" s="31">
        <f t="shared" si="471"/>
        <v>0</v>
      </c>
      <c r="AW671" s="31">
        <f t="shared" si="472"/>
        <v>0</v>
      </c>
      <c r="AX671" s="31">
        <f t="shared" si="473"/>
        <v>0</v>
      </c>
      <c r="AY671" s="31">
        <f t="shared" si="474"/>
        <v>0</v>
      </c>
      <c r="AZ671" s="31">
        <f t="shared" si="475"/>
        <v>0</v>
      </c>
      <c r="BA671" s="31">
        <f t="shared" si="476"/>
        <v>0</v>
      </c>
      <c r="BB671" s="31">
        <f t="shared" si="505"/>
        <v>0</v>
      </c>
      <c r="BM671" s="8">
        <f t="shared" si="506"/>
        <v>0</v>
      </c>
      <c r="BN671" s="8">
        <f t="shared" si="477"/>
        <v>0</v>
      </c>
      <c r="BO671" s="8">
        <f t="shared" si="478"/>
        <v>0</v>
      </c>
      <c r="BQ671" s="8">
        <f t="shared" si="479"/>
        <v>0</v>
      </c>
      <c r="BR671" s="63">
        <f t="shared" si="480"/>
        <v>0</v>
      </c>
      <c r="BS671" s="63">
        <f t="shared" si="507"/>
        <v>0</v>
      </c>
      <c r="BT671" s="63">
        <f t="shared" si="481"/>
        <v>0</v>
      </c>
      <c r="BU671" s="63">
        <f t="shared" si="482"/>
        <v>0</v>
      </c>
      <c r="BV671" s="57">
        <f t="shared" si="483"/>
        <v>0</v>
      </c>
      <c r="BW671" s="57">
        <f t="shared" si="484"/>
        <v>0</v>
      </c>
      <c r="BX671" s="57">
        <f t="shared" si="508"/>
        <v>0</v>
      </c>
      <c r="BY671" s="57">
        <f t="shared" si="512"/>
        <v>0</v>
      </c>
      <c r="BZ671" s="8">
        <f t="shared" si="485"/>
        <v>0</v>
      </c>
      <c r="CA671" s="8">
        <f t="shared" si="486"/>
        <v>0</v>
      </c>
      <c r="CB671" s="8">
        <f t="shared" si="487"/>
        <v>0</v>
      </c>
      <c r="CC671" s="8">
        <f t="shared" si="488"/>
        <v>0</v>
      </c>
      <c r="CD671" s="8">
        <f t="shared" si="489"/>
        <v>0</v>
      </c>
      <c r="CE671" s="8">
        <f t="shared" si="490"/>
        <v>0</v>
      </c>
      <c r="CF671" s="8">
        <f t="shared" si="491"/>
        <v>0</v>
      </c>
      <c r="CG671" s="8">
        <f t="shared" si="492"/>
        <v>0</v>
      </c>
      <c r="CH671" s="8">
        <f t="shared" si="493"/>
        <v>0</v>
      </c>
      <c r="CI671" s="8">
        <f t="shared" si="494"/>
        <v>0</v>
      </c>
      <c r="CJ671" s="8">
        <f t="shared" si="495"/>
        <v>0</v>
      </c>
      <c r="CK671" s="8">
        <f t="shared" si="496"/>
        <v>0</v>
      </c>
      <c r="CL671" s="8">
        <f t="shared" si="497"/>
        <v>0</v>
      </c>
      <c r="CM671" s="8">
        <f t="shared" si="498"/>
        <v>0</v>
      </c>
      <c r="CN671" s="8">
        <f t="shared" si="499"/>
        <v>0</v>
      </c>
      <c r="CO671" s="8">
        <f t="shared" si="500"/>
        <v>0</v>
      </c>
      <c r="CP671" s="8">
        <f t="shared" si="501"/>
        <v>0</v>
      </c>
      <c r="CQ671" s="8">
        <f t="shared" si="502"/>
        <v>0</v>
      </c>
      <c r="CR671" s="8">
        <f t="shared" si="503"/>
        <v>0</v>
      </c>
      <c r="CS671" s="8">
        <f t="shared" si="504"/>
        <v>0</v>
      </c>
      <c r="CT671" s="8">
        <f t="shared" si="509"/>
        <v>0</v>
      </c>
      <c r="CU671" s="8">
        <f t="shared" si="510"/>
        <v>0</v>
      </c>
      <c r="CV671" s="8">
        <f t="shared" si="511"/>
        <v>0</v>
      </c>
    </row>
    <row r="672" spans="1:100" ht="20.5" thickTop="1" thickBot="1" x14ac:dyDescent="0.5">
      <c r="A672" s="32"/>
      <c r="B672" s="10"/>
      <c r="C672" s="10"/>
      <c r="D672" s="11"/>
      <c r="E672" s="10"/>
      <c r="F672" s="10"/>
      <c r="G672" s="19"/>
      <c r="H672" s="19"/>
      <c r="I672" s="19"/>
      <c r="J672" s="19"/>
      <c r="K672" s="10"/>
      <c r="L672" s="10"/>
      <c r="M672" s="10"/>
      <c r="N672" s="10"/>
      <c r="O672" s="18"/>
      <c r="P672" s="18"/>
      <c r="Q672" s="21"/>
      <c r="R672" s="20"/>
      <c r="S672" s="16">
        <f t="shared" si="467"/>
        <v>0</v>
      </c>
      <c r="T672" s="11"/>
      <c r="AS672" s="31">
        <f t="shared" si="468"/>
        <v>0</v>
      </c>
      <c r="AT672" s="31">
        <f t="shared" si="469"/>
        <v>0</v>
      </c>
      <c r="AU672" s="31">
        <f t="shared" si="470"/>
        <v>0</v>
      </c>
      <c r="AV672" s="31">
        <f t="shared" si="471"/>
        <v>0</v>
      </c>
      <c r="AW672" s="31">
        <f t="shared" si="472"/>
        <v>0</v>
      </c>
      <c r="AX672" s="31">
        <f t="shared" si="473"/>
        <v>0</v>
      </c>
      <c r="AY672" s="31">
        <f t="shared" si="474"/>
        <v>0</v>
      </c>
      <c r="AZ672" s="31">
        <f t="shared" si="475"/>
        <v>0</v>
      </c>
      <c r="BA672" s="31">
        <f t="shared" si="476"/>
        <v>0</v>
      </c>
      <c r="BB672" s="31">
        <f t="shared" si="505"/>
        <v>0</v>
      </c>
      <c r="BM672" s="8">
        <f t="shared" si="506"/>
        <v>0</v>
      </c>
      <c r="BN672" s="8">
        <f t="shared" si="477"/>
        <v>0</v>
      </c>
      <c r="BO672" s="8">
        <f t="shared" si="478"/>
        <v>0</v>
      </c>
      <c r="BQ672" s="8">
        <f t="shared" si="479"/>
        <v>0</v>
      </c>
      <c r="BR672" s="63">
        <f t="shared" si="480"/>
        <v>0</v>
      </c>
      <c r="BS672" s="63">
        <f t="shared" si="507"/>
        <v>0</v>
      </c>
      <c r="BT672" s="63">
        <f t="shared" si="481"/>
        <v>0</v>
      </c>
      <c r="BU672" s="63">
        <f t="shared" si="482"/>
        <v>0</v>
      </c>
      <c r="BV672" s="57">
        <f t="shared" si="483"/>
        <v>0</v>
      </c>
      <c r="BW672" s="57">
        <f t="shared" si="484"/>
        <v>0</v>
      </c>
      <c r="BX672" s="57">
        <f t="shared" si="508"/>
        <v>0</v>
      </c>
      <c r="BY672" s="57">
        <f t="shared" si="512"/>
        <v>0</v>
      </c>
      <c r="BZ672" s="8">
        <f t="shared" si="485"/>
        <v>0</v>
      </c>
      <c r="CA672" s="8">
        <f t="shared" si="486"/>
        <v>0</v>
      </c>
      <c r="CB672" s="8">
        <f t="shared" si="487"/>
        <v>0</v>
      </c>
      <c r="CC672" s="8">
        <f t="shared" si="488"/>
        <v>0</v>
      </c>
      <c r="CD672" s="8">
        <f t="shared" si="489"/>
        <v>0</v>
      </c>
      <c r="CE672" s="8">
        <f t="shared" si="490"/>
        <v>0</v>
      </c>
      <c r="CF672" s="8">
        <f t="shared" si="491"/>
        <v>0</v>
      </c>
      <c r="CG672" s="8">
        <f t="shared" si="492"/>
        <v>0</v>
      </c>
      <c r="CH672" s="8">
        <f t="shared" si="493"/>
        <v>0</v>
      </c>
      <c r="CI672" s="8">
        <f t="shared" si="494"/>
        <v>0</v>
      </c>
      <c r="CJ672" s="8">
        <f t="shared" si="495"/>
        <v>0</v>
      </c>
      <c r="CK672" s="8">
        <f t="shared" si="496"/>
        <v>0</v>
      </c>
      <c r="CL672" s="8">
        <f t="shared" si="497"/>
        <v>0</v>
      </c>
      <c r="CM672" s="8">
        <f t="shared" si="498"/>
        <v>0</v>
      </c>
      <c r="CN672" s="8">
        <f t="shared" si="499"/>
        <v>0</v>
      </c>
      <c r="CO672" s="8">
        <f t="shared" si="500"/>
        <v>0</v>
      </c>
      <c r="CP672" s="8">
        <f t="shared" si="501"/>
        <v>0</v>
      </c>
      <c r="CQ672" s="8">
        <f t="shared" si="502"/>
        <v>0</v>
      </c>
      <c r="CR672" s="8">
        <f t="shared" si="503"/>
        <v>0</v>
      </c>
      <c r="CS672" s="8">
        <f t="shared" si="504"/>
        <v>0</v>
      </c>
      <c r="CT672" s="8">
        <f t="shared" si="509"/>
        <v>0</v>
      </c>
      <c r="CU672" s="8">
        <f t="shared" si="510"/>
        <v>0</v>
      </c>
      <c r="CV672" s="8">
        <f t="shared" si="511"/>
        <v>0</v>
      </c>
    </row>
    <row r="673" spans="1:100" ht="20.5" thickTop="1" thickBot="1" x14ac:dyDescent="0.5">
      <c r="A673" s="32"/>
      <c r="B673" s="10"/>
      <c r="C673" s="10"/>
      <c r="D673" s="11"/>
      <c r="E673" s="10"/>
      <c r="F673" s="10"/>
      <c r="G673" s="19"/>
      <c r="H673" s="19"/>
      <c r="I673" s="19"/>
      <c r="J673" s="19"/>
      <c r="K673" s="10"/>
      <c r="L673" s="10"/>
      <c r="M673" s="10"/>
      <c r="N673" s="10"/>
      <c r="O673" s="18"/>
      <c r="P673" s="18"/>
      <c r="Q673" s="21"/>
      <c r="R673" s="20"/>
      <c r="S673" s="16">
        <f t="shared" si="467"/>
        <v>0</v>
      </c>
      <c r="T673" s="11"/>
      <c r="AS673" s="31">
        <f t="shared" si="468"/>
        <v>0</v>
      </c>
      <c r="AT673" s="31">
        <f t="shared" si="469"/>
        <v>0</v>
      </c>
      <c r="AU673" s="31">
        <f t="shared" si="470"/>
        <v>0</v>
      </c>
      <c r="AV673" s="31">
        <f t="shared" si="471"/>
        <v>0</v>
      </c>
      <c r="AW673" s="31">
        <f t="shared" si="472"/>
        <v>0</v>
      </c>
      <c r="AX673" s="31">
        <f t="shared" si="473"/>
        <v>0</v>
      </c>
      <c r="AY673" s="31">
        <f t="shared" si="474"/>
        <v>0</v>
      </c>
      <c r="AZ673" s="31">
        <f t="shared" si="475"/>
        <v>0</v>
      </c>
      <c r="BA673" s="31">
        <f t="shared" si="476"/>
        <v>0</v>
      </c>
      <c r="BB673" s="31">
        <f t="shared" si="505"/>
        <v>0</v>
      </c>
      <c r="BM673" s="8">
        <f t="shared" si="506"/>
        <v>0</v>
      </c>
      <c r="BN673" s="8">
        <f t="shared" si="477"/>
        <v>0</v>
      </c>
      <c r="BO673" s="8">
        <f t="shared" si="478"/>
        <v>0</v>
      </c>
      <c r="BQ673" s="8">
        <f t="shared" si="479"/>
        <v>0</v>
      </c>
      <c r="BR673" s="63">
        <f t="shared" si="480"/>
        <v>0</v>
      </c>
      <c r="BS673" s="63">
        <f t="shared" si="507"/>
        <v>0</v>
      </c>
      <c r="BT673" s="63">
        <f t="shared" si="481"/>
        <v>0</v>
      </c>
      <c r="BU673" s="63">
        <f t="shared" si="482"/>
        <v>0</v>
      </c>
      <c r="BV673" s="57">
        <f t="shared" si="483"/>
        <v>0</v>
      </c>
      <c r="BW673" s="57">
        <f t="shared" si="484"/>
        <v>0</v>
      </c>
      <c r="BX673" s="57">
        <f t="shared" si="508"/>
        <v>0</v>
      </c>
      <c r="BY673" s="57">
        <f t="shared" si="512"/>
        <v>0</v>
      </c>
      <c r="BZ673" s="8">
        <f t="shared" si="485"/>
        <v>0</v>
      </c>
      <c r="CA673" s="8">
        <f t="shared" si="486"/>
        <v>0</v>
      </c>
      <c r="CB673" s="8">
        <f t="shared" si="487"/>
        <v>0</v>
      </c>
      <c r="CC673" s="8">
        <f t="shared" si="488"/>
        <v>0</v>
      </c>
      <c r="CD673" s="8">
        <f t="shared" si="489"/>
        <v>0</v>
      </c>
      <c r="CE673" s="8">
        <f t="shared" si="490"/>
        <v>0</v>
      </c>
      <c r="CF673" s="8">
        <f t="shared" si="491"/>
        <v>0</v>
      </c>
      <c r="CG673" s="8">
        <f t="shared" si="492"/>
        <v>0</v>
      </c>
      <c r="CH673" s="8">
        <f t="shared" si="493"/>
        <v>0</v>
      </c>
      <c r="CI673" s="8">
        <f t="shared" si="494"/>
        <v>0</v>
      </c>
      <c r="CJ673" s="8">
        <f t="shared" si="495"/>
        <v>0</v>
      </c>
      <c r="CK673" s="8">
        <f t="shared" si="496"/>
        <v>0</v>
      </c>
      <c r="CL673" s="8">
        <f t="shared" si="497"/>
        <v>0</v>
      </c>
      <c r="CM673" s="8">
        <f t="shared" si="498"/>
        <v>0</v>
      </c>
      <c r="CN673" s="8">
        <f t="shared" si="499"/>
        <v>0</v>
      </c>
      <c r="CO673" s="8">
        <f t="shared" si="500"/>
        <v>0</v>
      </c>
      <c r="CP673" s="8">
        <f t="shared" si="501"/>
        <v>0</v>
      </c>
      <c r="CQ673" s="8">
        <f t="shared" si="502"/>
        <v>0</v>
      </c>
      <c r="CR673" s="8">
        <f t="shared" si="503"/>
        <v>0</v>
      </c>
      <c r="CS673" s="8">
        <f t="shared" si="504"/>
        <v>0</v>
      </c>
      <c r="CT673" s="8">
        <f t="shared" si="509"/>
        <v>0</v>
      </c>
      <c r="CU673" s="8">
        <f t="shared" si="510"/>
        <v>0</v>
      </c>
      <c r="CV673" s="8">
        <f t="shared" si="511"/>
        <v>0</v>
      </c>
    </row>
    <row r="674" spans="1:100" ht="20.5" thickTop="1" thickBot="1" x14ac:dyDescent="0.5">
      <c r="A674" s="32"/>
      <c r="B674" s="10"/>
      <c r="C674" s="10"/>
      <c r="D674" s="11"/>
      <c r="E674" s="10"/>
      <c r="F674" s="10"/>
      <c r="G674" s="19"/>
      <c r="H674" s="19"/>
      <c r="I674" s="19"/>
      <c r="J674" s="19"/>
      <c r="K674" s="10"/>
      <c r="L674" s="10"/>
      <c r="M674" s="10"/>
      <c r="N674" s="10"/>
      <c r="O674" s="18"/>
      <c r="P674" s="18"/>
      <c r="Q674" s="21"/>
      <c r="R674" s="20"/>
      <c r="S674" s="16">
        <f t="shared" si="467"/>
        <v>0</v>
      </c>
      <c r="T674" s="11"/>
      <c r="AS674" s="31">
        <f t="shared" si="468"/>
        <v>0</v>
      </c>
      <c r="AT674" s="31">
        <f t="shared" si="469"/>
        <v>0</v>
      </c>
      <c r="AU674" s="31">
        <f t="shared" si="470"/>
        <v>0</v>
      </c>
      <c r="AV674" s="31">
        <f t="shared" si="471"/>
        <v>0</v>
      </c>
      <c r="AW674" s="31">
        <f t="shared" si="472"/>
        <v>0</v>
      </c>
      <c r="AX674" s="31">
        <f t="shared" si="473"/>
        <v>0</v>
      </c>
      <c r="AY674" s="31">
        <f t="shared" si="474"/>
        <v>0</v>
      </c>
      <c r="AZ674" s="31">
        <f t="shared" si="475"/>
        <v>0</v>
      </c>
      <c r="BA674" s="31">
        <f t="shared" si="476"/>
        <v>0</v>
      </c>
      <c r="BB674" s="31">
        <f t="shared" si="505"/>
        <v>0</v>
      </c>
      <c r="BM674" s="8">
        <f t="shared" si="506"/>
        <v>0</v>
      </c>
      <c r="BN674" s="8">
        <f t="shared" si="477"/>
        <v>0</v>
      </c>
      <c r="BO674" s="8">
        <f t="shared" si="478"/>
        <v>0</v>
      </c>
      <c r="BQ674" s="8">
        <f t="shared" si="479"/>
        <v>0</v>
      </c>
      <c r="BR674" s="63">
        <f t="shared" si="480"/>
        <v>0</v>
      </c>
      <c r="BS674" s="63">
        <f t="shared" si="507"/>
        <v>0</v>
      </c>
      <c r="BT674" s="63">
        <f t="shared" si="481"/>
        <v>0</v>
      </c>
      <c r="BU674" s="63">
        <f t="shared" si="482"/>
        <v>0</v>
      </c>
      <c r="BV674" s="57">
        <f t="shared" si="483"/>
        <v>0</v>
      </c>
      <c r="BW674" s="57">
        <f t="shared" si="484"/>
        <v>0</v>
      </c>
      <c r="BX674" s="57">
        <f t="shared" si="508"/>
        <v>0</v>
      </c>
      <c r="BY674" s="57">
        <f t="shared" si="512"/>
        <v>0</v>
      </c>
      <c r="BZ674" s="8">
        <f t="shared" si="485"/>
        <v>0</v>
      </c>
      <c r="CA674" s="8">
        <f t="shared" si="486"/>
        <v>0</v>
      </c>
      <c r="CB674" s="8">
        <f t="shared" si="487"/>
        <v>0</v>
      </c>
      <c r="CC674" s="8">
        <f t="shared" si="488"/>
        <v>0</v>
      </c>
      <c r="CD674" s="8">
        <f t="shared" si="489"/>
        <v>0</v>
      </c>
      <c r="CE674" s="8">
        <f t="shared" si="490"/>
        <v>0</v>
      </c>
      <c r="CF674" s="8">
        <f t="shared" si="491"/>
        <v>0</v>
      </c>
      <c r="CG674" s="8">
        <f t="shared" si="492"/>
        <v>0</v>
      </c>
      <c r="CH674" s="8">
        <f t="shared" si="493"/>
        <v>0</v>
      </c>
      <c r="CI674" s="8">
        <f t="shared" si="494"/>
        <v>0</v>
      </c>
      <c r="CJ674" s="8">
        <f t="shared" si="495"/>
        <v>0</v>
      </c>
      <c r="CK674" s="8">
        <f t="shared" si="496"/>
        <v>0</v>
      </c>
      <c r="CL674" s="8">
        <f t="shared" si="497"/>
        <v>0</v>
      </c>
      <c r="CM674" s="8">
        <f t="shared" si="498"/>
        <v>0</v>
      </c>
      <c r="CN674" s="8">
        <f t="shared" si="499"/>
        <v>0</v>
      </c>
      <c r="CO674" s="8">
        <f t="shared" si="500"/>
        <v>0</v>
      </c>
      <c r="CP674" s="8">
        <f t="shared" si="501"/>
        <v>0</v>
      </c>
      <c r="CQ674" s="8">
        <f t="shared" si="502"/>
        <v>0</v>
      </c>
      <c r="CR674" s="8">
        <f t="shared" si="503"/>
        <v>0</v>
      </c>
      <c r="CS674" s="8">
        <f t="shared" si="504"/>
        <v>0</v>
      </c>
      <c r="CT674" s="8">
        <f t="shared" si="509"/>
        <v>0</v>
      </c>
      <c r="CU674" s="8">
        <f t="shared" si="510"/>
        <v>0</v>
      </c>
      <c r="CV674" s="8">
        <f t="shared" si="511"/>
        <v>0</v>
      </c>
    </row>
    <row r="675" spans="1:100" ht="20.5" thickTop="1" thickBot="1" x14ac:dyDescent="0.5">
      <c r="A675" s="32"/>
      <c r="B675" s="10"/>
      <c r="C675" s="10"/>
      <c r="D675" s="11"/>
      <c r="E675" s="10"/>
      <c r="F675" s="10"/>
      <c r="G675" s="19"/>
      <c r="H675" s="19"/>
      <c r="I675" s="19"/>
      <c r="J675" s="19"/>
      <c r="K675" s="10"/>
      <c r="L675" s="10"/>
      <c r="M675" s="10"/>
      <c r="N675" s="10"/>
      <c r="O675" s="18"/>
      <c r="P675" s="18"/>
      <c r="Q675" s="21"/>
      <c r="R675" s="20"/>
      <c r="S675" s="16">
        <f t="shared" si="467"/>
        <v>0</v>
      </c>
      <c r="T675" s="11"/>
      <c r="AS675" s="31">
        <f t="shared" si="468"/>
        <v>0</v>
      </c>
      <c r="AT675" s="31">
        <f t="shared" si="469"/>
        <v>0</v>
      </c>
      <c r="AU675" s="31">
        <f t="shared" si="470"/>
        <v>0</v>
      </c>
      <c r="AV675" s="31">
        <f t="shared" si="471"/>
        <v>0</v>
      </c>
      <c r="AW675" s="31">
        <f t="shared" si="472"/>
        <v>0</v>
      </c>
      <c r="AX675" s="31">
        <f t="shared" si="473"/>
        <v>0</v>
      </c>
      <c r="AY675" s="31">
        <f t="shared" si="474"/>
        <v>0</v>
      </c>
      <c r="AZ675" s="31">
        <f t="shared" si="475"/>
        <v>0</v>
      </c>
      <c r="BA675" s="31">
        <f t="shared" si="476"/>
        <v>0</v>
      </c>
      <c r="BB675" s="31">
        <f t="shared" si="505"/>
        <v>0</v>
      </c>
      <c r="BM675" s="8">
        <f t="shared" si="506"/>
        <v>0</v>
      </c>
      <c r="BN675" s="8">
        <f t="shared" si="477"/>
        <v>0</v>
      </c>
      <c r="BO675" s="8">
        <f t="shared" si="478"/>
        <v>0</v>
      </c>
      <c r="BQ675" s="8">
        <f t="shared" si="479"/>
        <v>0</v>
      </c>
      <c r="BR675" s="63">
        <f t="shared" si="480"/>
        <v>0</v>
      </c>
      <c r="BS675" s="63">
        <f t="shared" si="507"/>
        <v>0</v>
      </c>
      <c r="BT675" s="63">
        <f t="shared" si="481"/>
        <v>0</v>
      </c>
      <c r="BU675" s="63">
        <f t="shared" si="482"/>
        <v>0</v>
      </c>
      <c r="BV675" s="57">
        <f t="shared" si="483"/>
        <v>0</v>
      </c>
      <c r="BW675" s="57">
        <f t="shared" si="484"/>
        <v>0</v>
      </c>
      <c r="BX675" s="57">
        <f t="shared" si="508"/>
        <v>0</v>
      </c>
      <c r="BY675" s="57">
        <f t="shared" si="512"/>
        <v>0</v>
      </c>
      <c r="BZ675" s="8">
        <f t="shared" si="485"/>
        <v>0</v>
      </c>
      <c r="CA675" s="8">
        <f t="shared" si="486"/>
        <v>0</v>
      </c>
      <c r="CB675" s="8">
        <f t="shared" si="487"/>
        <v>0</v>
      </c>
      <c r="CC675" s="8">
        <f t="shared" si="488"/>
        <v>0</v>
      </c>
      <c r="CD675" s="8">
        <f t="shared" si="489"/>
        <v>0</v>
      </c>
      <c r="CE675" s="8">
        <f t="shared" si="490"/>
        <v>0</v>
      </c>
      <c r="CF675" s="8">
        <f t="shared" si="491"/>
        <v>0</v>
      </c>
      <c r="CG675" s="8">
        <f t="shared" si="492"/>
        <v>0</v>
      </c>
      <c r="CH675" s="8">
        <f t="shared" si="493"/>
        <v>0</v>
      </c>
      <c r="CI675" s="8">
        <f t="shared" si="494"/>
        <v>0</v>
      </c>
      <c r="CJ675" s="8">
        <f t="shared" si="495"/>
        <v>0</v>
      </c>
      <c r="CK675" s="8">
        <f t="shared" si="496"/>
        <v>0</v>
      </c>
      <c r="CL675" s="8">
        <f t="shared" si="497"/>
        <v>0</v>
      </c>
      <c r="CM675" s="8">
        <f t="shared" si="498"/>
        <v>0</v>
      </c>
      <c r="CN675" s="8">
        <f t="shared" si="499"/>
        <v>0</v>
      </c>
      <c r="CO675" s="8">
        <f t="shared" si="500"/>
        <v>0</v>
      </c>
      <c r="CP675" s="8">
        <f t="shared" si="501"/>
        <v>0</v>
      </c>
      <c r="CQ675" s="8">
        <f t="shared" si="502"/>
        <v>0</v>
      </c>
      <c r="CR675" s="8">
        <f t="shared" si="503"/>
        <v>0</v>
      </c>
      <c r="CS675" s="8">
        <f t="shared" si="504"/>
        <v>0</v>
      </c>
      <c r="CT675" s="8">
        <f t="shared" si="509"/>
        <v>0</v>
      </c>
      <c r="CU675" s="8">
        <f t="shared" si="510"/>
        <v>0</v>
      </c>
      <c r="CV675" s="8">
        <f t="shared" si="511"/>
        <v>0</v>
      </c>
    </row>
    <row r="676" spans="1:100" ht="20.5" thickTop="1" thickBot="1" x14ac:dyDescent="0.5">
      <c r="A676" s="32"/>
      <c r="B676" s="10"/>
      <c r="C676" s="10"/>
      <c r="D676" s="11"/>
      <c r="E676" s="10"/>
      <c r="F676" s="10"/>
      <c r="G676" s="19"/>
      <c r="H676" s="19"/>
      <c r="I676" s="19"/>
      <c r="J676" s="19"/>
      <c r="K676" s="10"/>
      <c r="L676" s="10"/>
      <c r="M676" s="10"/>
      <c r="N676" s="10"/>
      <c r="O676" s="18"/>
      <c r="P676" s="18"/>
      <c r="Q676" s="21"/>
      <c r="R676" s="20"/>
      <c r="S676" s="16">
        <f t="shared" si="467"/>
        <v>0</v>
      </c>
      <c r="T676" s="11"/>
      <c r="AS676" s="31">
        <f t="shared" si="468"/>
        <v>0</v>
      </c>
      <c r="AT676" s="31">
        <f t="shared" si="469"/>
        <v>0</v>
      </c>
      <c r="AU676" s="31">
        <f t="shared" si="470"/>
        <v>0</v>
      </c>
      <c r="AV676" s="31">
        <f t="shared" si="471"/>
        <v>0</v>
      </c>
      <c r="AW676" s="31">
        <f t="shared" si="472"/>
        <v>0</v>
      </c>
      <c r="AX676" s="31">
        <f t="shared" si="473"/>
        <v>0</v>
      </c>
      <c r="AY676" s="31">
        <f t="shared" si="474"/>
        <v>0</v>
      </c>
      <c r="AZ676" s="31">
        <f t="shared" si="475"/>
        <v>0</v>
      </c>
      <c r="BA676" s="31">
        <f t="shared" si="476"/>
        <v>0</v>
      </c>
      <c r="BB676" s="31">
        <f t="shared" si="505"/>
        <v>0</v>
      </c>
      <c r="BM676" s="8">
        <f t="shared" si="506"/>
        <v>0</v>
      </c>
      <c r="BN676" s="8">
        <f t="shared" si="477"/>
        <v>0</v>
      </c>
      <c r="BO676" s="8">
        <f t="shared" si="478"/>
        <v>0</v>
      </c>
      <c r="BQ676" s="8">
        <f t="shared" si="479"/>
        <v>0</v>
      </c>
      <c r="BR676" s="63">
        <f t="shared" si="480"/>
        <v>0</v>
      </c>
      <c r="BS676" s="63">
        <f t="shared" si="507"/>
        <v>0</v>
      </c>
      <c r="BT676" s="63">
        <f t="shared" si="481"/>
        <v>0</v>
      </c>
      <c r="BU676" s="63">
        <f t="shared" si="482"/>
        <v>0</v>
      </c>
      <c r="BV676" s="57">
        <f t="shared" si="483"/>
        <v>0</v>
      </c>
      <c r="BW676" s="57">
        <f t="shared" si="484"/>
        <v>0</v>
      </c>
      <c r="BX676" s="57">
        <f t="shared" si="508"/>
        <v>0</v>
      </c>
      <c r="BY676" s="57">
        <f t="shared" si="512"/>
        <v>0</v>
      </c>
      <c r="BZ676" s="8">
        <f t="shared" si="485"/>
        <v>0</v>
      </c>
      <c r="CA676" s="8">
        <f t="shared" si="486"/>
        <v>0</v>
      </c>
      <c r="CB676" s="8">
        <f t="shared" si="487"/>
        <v>0</v>
      </c>
      <c r="CC676" s="8">
        <f t="shared" si="488"/>
        <v>0</v>
      </c>
      <c r="CD676" s="8">
        <f t="shared" si="489"/>
        <v>0</v>
      </c>
      <c r="CE676" s="8">
        <f t="shared" si="490"/>
        <v>0</v>
      </c>
      <c r="CF676" s="8">
        <f t="shared" si="491"/>
        <v>0</v>
      </c>
      <c r="CG676" s="8">
        <f t="shared" si="492"/>
        <v>0</v>
      </c>
      <c r="CH676" s="8">
        <f t="shared" si="493"/>
        <v>0</v>
      </c>
      <c r="CI676" s="8">
        <f t="shared" si="494"/>
        <v>0</v>
      </c>
      <c r="CJ676" s="8">
        <f t="shared" si="495"/>
        <v>0</v>
      </c>
      <c r="CK676" s="8">
        <f t="shared" si="496"/>
        <v>0</v>
      </c>
      <c r="CL676" s="8">
        <f t="shared" si="497"/>
        <v>0</v>
      </c>
      <c r="CM676" s="8">
        <f t="shared" si="498"/>
        <v>0</v>
      </c>
      <c r="CN676" s="8">
        <f t="shared" si="499"/>
        <v>0</v>
      </c>
      <c r="CO676" s="8">
        <f t="shared" si="500"/>
        <v>0</v>
      </c>
      <c r="CP676" s="8">
        <f t="shared" si="501"/>
        <v>0</v>
      </c>
      <c r="CQ676" s="8">
        <f t="shared" si="502"/>
        <v>0</v>
      </c>
      <c r="CR676" s="8">
        <f t="shared" si="503"/>
        <v>0</v>
      </c>
      <c r="CS676" s="8">
        <f t="shared" si="504"/>
        <v>0</v>
      </c>
      <c r="CT676" s="8">
        <f t="shared" si="509"/>
        <v>0</v>
      </c>
      <c r="CU676" s="8">
        <f t="shared" si="510"/>
        <v>0</v>
      </c>
      <c r="CV676" s="8">
        <f t="shared" si="511"/>
        <v>0</v>
      </c>
    </row>
    <row r="677" spans="1:100" ht="20.5" thickTop="1" thickBot="1" x14ac:dyDescent="0.5">
      <c r="A677" s="32"/>
      <c r="B677" s="10"/>
      <c r="C677" s="10"/>
      <c r="D677" s="11"/>
      <c r="E677" s="10"/>
      <c r="F677" s="10"/>
      <c r="G677" s="19"/>
      <c r="H677" s="19"/>
      <c r="I677" s="19"/>
      <c r="J677" s="19"/>
      <c r="K677" s="10"/>
      <c r="L677" s="10"/>
      <c r="M677" s="10"/>
      <c r="N677" s="10"/>
      <c r="O677" s="18"/>
      <c r="P677" s="18"/>
      <c r="Q677" s="21"/>
      <c r="R677" s="20"/>
      <c r="S677" s="16">
        <f t="shared" si="467"/>
        <v>0</v>
      </c>
      <c r="T677" s="11"/>
      <c r="AS677" s="31">
        <f t="shared" si="468"/>
        <v>0</v>
      </c>
      <c r="AT677" s="31">
        <f t="shared" si="469"/>
        <v>0</v>
      </c>
      <c r="AU677" s="31">
        <f t="shared" si="470"/>
        <v>0</v>
      </c>
      <c r="AV677" s="31">
        <f t="shared" si="471"/>
        <v>0</v>
      </c>
      <c r="AW677" s="31">
        <f t="shared" si="472"/>
        <v>0</v>
      </c>
      <c r="AX677" s="31">
        <f t="shared" si="473"/>
        <v>0</v>
      </c>
      <c r="AY677" s="31">
        <f t="shared" si="474"/>
        <v>0</v>
      </c>
      <c r="AZ677" s="31">
        <f t="shared" si="475"/>
        <v>0</v>
      </c>
      <c r="BA677" s="31">
        <f t="shared" si="476"/>
        <v>0</v>
      </c>
      <c r="BB677" s="31">
        <f t="shared" si="505"/>
        <v>0</v>
      </c>
      <c r="BM677" s="8">
        <f t="shared" si="506"/>
        <v>0</v>
      </c>
      <c r="BN677" s="8">
        <f t="shared" si="477"/>
        <v>0</v>
      </c>
      <c r="BO677" s="8">
        <f t="shared" si="478"/>
        <v>0</v>
      </c>
      <c r="BQ677" s="8">
        <f t="shared" si="479"/>
        <v>0</v>
      </c>
      <c r="BR677" s="63">
        <f t="shared" si="480"/>
        <v>0</v>
      </c>
      <c r="BS677" s="63">
        <f t="shared" si="507"/>
        <v>0</v>
      </c>
      <c r="BT677" s="63">
        <f t="shared" si="481"/>
        <v>0</v>
      </c>
      <c r="BU677" s="63">
        <f t="shared" si="482"/>
        <v>0</v>
      </c>
      <c r="BV677" s="57">
        <f t="shared" si="483"/>
        <v>0</v>
      </c>
      <c r="BW677" s="57">
        <f t="shared" si="484"/>
        <v>0</v>
      </c>
      <c r="BX677" s="57">
        <f t="shared" si="508"/>
        <v>0</v>
      </c>
      <c r="BY677" s="57">
        <f t="shared" si="512"/>
        <v>0</v>
      </c>
      <c r="BZ677" s="8">
        <f t="shared" si="485"/>
        <v>0</v>
      </c>
      <c r="CA677" s="8">
        <f t="shared" si="486"/>
        <v>0</v>
      </c>
      <c r="CB677" s="8">
        <f t="shared" si="487"/>
        <v>0</v>
      </c>
      <c r="CC677" s="8">
        <f t="shared" si="488"/>
        <v>0</v>
      </c>
      <c r="CD677" s="8">
        <f t="shared" si="489"/>
        <v>0</v>
      </c>
      <c r="CE677" s="8">
        <f t="shared" si="490"/>
        <v>0</v>
      </c>
      <c r="CF677" s="8">
        <f t="shared" si="491"/>
        <v>0</v>
      </c>
      <c r="CG677" s="8">
        <f t="shared" si="492"/>
        <v>0</v>
      </c>
      <c r="CH677" s="8">
        <f t="shared" si="493"/>
        <v>0</v>
      </c>
      <c r="CI677" s="8">
        <f t="shared" si="494"/>
        <v>0</v>
      </c>
      <c r="CJ677" s="8">
        <f t="shared" si="495"/>
        <v>0</v>
      </c>
      <c r="CK677" s="8">
        <f t="shared" si="496"/>
        <v>0</v>
      </c>
      <c r="CL677" s="8">
        <f t="shared" si="497"/>
        <v>0</v>
      </c>
      <c r="CM677" s="8">
        <f t="shared" si="498"/>
        <v>0</v>
      </c>
      <c r="CN677" s="8">
        <f t="shared" si="499"/>
        <v>0</v>
      </c>
      <c r="CO677" s="8">
        <f t="shared" si="500"/>
        <v>0</v>
      </c>
      <c r="CP677" s="8">
        <f t="shared" si="501"/>
        <v>0</v>
      </c>
      <c r="CQ677" s="8">
        <f t="shared" si="502"/>
        <v>0</v>
      </c>
      <c r="CR677" s="8">
        <f t="shared" si="503"/>
        <v>0</v>
      </c>
      <c r="CS677" s="8">
        <f t="shared" si="504"/>
        <v>0</v>
      </c>
      <c r="CT677" s="8">
        <f t="shared" si="509"/>
        <v>0</v>
      </c>
      <c r="CU677" s="8">
        <f t="shared" si="510"/>
        <v>0</v>
      </c>
      <c r="CV677" s="8">
        <f t="shared" si="511"/>
        <v>0</v>
      </c>
    </row>
    <row r="678" spans="1:100" ht="20.5" thickTop="1" thickBot="1" x14ac:dyDescent="0.5">
      <c r="A678" s="32"/>
      <c r="B678" s="10"/>
      <c r="C678" s="10"/>
      <c r="D678" s="11"/>
      <c r="E678" s="10"/>
      <c r="F678" s="10"/>
      <c r="G678" s="19"/>
      <c r="H678" s="19"/>
      <c r="I678" s="19"/>
      <c r="J678" s="19"/>
      <c r="K678" s="10"/>
      <c r="L678" s="10"/>
      <c r="M678" s="10"/>
      <c r="N678" s="10"/>
      <c r="O678" s="18"/>
      <c r="P678" s="18"/>
      <c r="Q678" s="21"/>
      <c r="R678" s="20"/>
      <c r="S678" s="16">
        <f t="shared" si="467"/>
        <v>0</v>
      </c>
      <c r="T678" s="11"/>
      <c r="AS678" s="31">
        <f t="shared" si="468"/>
        <v>0</v>
      </c>
      <c r="AT678" s="31">
        <f t="shared" si="469"/>
        <v>0</v>
      </c>
      <c r="AU678" s="31">
        <f t="shared" si="470"/>
        <v>0</v>
      </c>
      <c r="AV678" s="31">
        <f t="shared" si="471"/>
        <v>0</v>
      </c>
      <c r="AW678" s="31">
        <f t="shared" si="472"/>
        <v>0</v>
      </c>
      <c r="AX678" s="31">
        <f t="shared" si="473"/>
        <v>0</v>
      </c>
      <c r="AY678" s="31">
        <f t="shared" si="474"/>
        <v>0</v>
      </c>
      <c r="AZ678" s="31">
        <f t="shared" si="475"/>
        <v>0</v>
      </c>
      <c r="BA678" s="31">
        <f t="shared" si="476"/>
        <v>0</v>
      </c>
      <c r="BB678" s="31">
        <f t="shared" si="505"/>
        <v>0</v>
      </c>
      <c r="BM678" s="8">
        <f t="shared" si="506"/>
        <v>0</v>
      </c>
      <c r="BN678" s="8">
        <f t="shared" si="477"/>
        <v>0</v>
      </c>
      <c r="BO678" s="8">
        <f t="shared" si="478"/>
        <v>0</v>
      </c>
      <c r="BQ678" s="8">
        <f t="shared" si="479"/>
        <v>0</v>
      </c>
      <c r="BR678" s="63">
        <f t="shared" si="480"/>
        <v>0</v>
      </c>
      <c r="BS678" s="63">
        <f t="shared" si="507"/>
        <v>0</v>
      </c>
      <c r="BT678" s="63">
        <f t="shared" si="481"/>
        <v>0</v>
      </c>
      <c r="BU678" s="63">
        <f t="shared" si="482"/>
        <v>0</v>
      </c>
      <c r="BV678" s="57">
        <f t="shared" si="483"/>
        <v>0</v>
      </c>
      <c r="BW678" s="57">
        <f t="shared" si="484"/>
        <v>0</v>
      </c>
      <c r="BX678" s="57">
        <f t="shared" si="508"/>
        <v>0</v>
      </c>
      <c r="BY678" s="57">
        <f t="shared" si="512"/>
        <v>0</v>
      </c>
      <c r="BZ678" s="8">
        <f t="shared" si="485"/>
        <v>0</v>
      </c>
      <c r="CA678" s="8">
        <f t="shared" si="486"/>
        <v>0</v>
      </c>
      <c r="CB678" s="8">
        <f t="shared" si="487"/>
        <v>0</v>
      </c>
      <c r="CC678" s="8">
        <f t="shared" si="488"/>
        <v>0</v>
      </c>
      <c r="CD678" s="8">
        <f t="shared" si="489"/>
        <v>0</v>
      </c>
      <c r="CE678" s="8">
        <f t="shared" si="490"/>
        <v>0</v>
      </c>
      <c r="CF678" s="8">
        <f t="shared" si="491"/>
        <v>0</v>
      </c>
      <c r="CG678" s="8">
        <f t="shared" si="492"/>
        <v>0</v>
      </c>
      <c r="CH678" s="8">
        <f t="shared" si="493"/>
        <v>0</v>
      </c>
      <c r="CI678" s="8">
        <f t="shared" si="494"/>
        <v>0</v>
      </c>
      <c r="CJ678" s="8">
        <f t="shared" si="495"/>
        <v>0</v>
      </c>
      <c r="CK678" s="8">
        <f t="shared" si="496"/>
        <v>0</v>
      </c>
      <c r="CL678" s="8">
        <f t="shared" si="497"/>
        <v>0</v>
      </c>
      <c r="CM678" s="8">
        <f t="shared" si="498"/>
        <v>0</v>
      </c>
      <c r="CN678" s="8">
        <f t="shared" si="499"/>
        <v>0</v>
      </c>
      <c r="CO678" s="8">
        <f t="shared" si="500"/>
        <v>0</v>
      </c>
      <c r="CP678" s="8">
        <f t="shared" si="501"/>
        <v>0</v>
      </c>
      <c r="CQ678" s="8">
        <f t="shared" si="502"/>
        <v>0</v>
      </c>
      <c r="CR678" s="8">
        <f t="shared" si="503"/>
        <v>0</v>
      </c>
      <c r="CS678" s="8">
        <f t="shared" si="504"/>
        <v>0</v>
      </c>
      <c r="CT678" s="8">
        <f t="shared" si="509"/>
        <v>0</v>
      </c>
      <c r="CU678" s="8">
        <f t="shared" si="510"/>
        <v>0</v>
      </c>
      <c r="CV678" s="8">
        <f t="shared" si="511"/>
        <v>0</v>
      </c>
    </row>
    <row r="679" spans="1:100" ht="20.5" thickTop="1" thickBot="1" x14ac:dyDescent="0.5">
      <c r="A679" s="32"/>
      <c r="B679" s="10"/>
      <c r="C679" s="10"/>
      <c r="D679" s="11"/>
      <c r="E679" s="10"/>
      <c r="F679" s="10"/>
      <c r="G679" s="19"/>
      <c r="H679" s="19"/>
      <c r="I679" s="19"/>
      <c r="J679" s="19"/>
      <c r="K679" s="10"/>
      <c r="L679" s="10"/>
      <c r="M679" s="10"/>
      <c r="N679" s="10"/>
      <c r="O679" s="18"/>
      <c r="P679" s="18"/>
      <c r="Q679" s="21"/>
      <c r="R679" s="20"/>
      <c r="S679" s="16">
        <f t="shared" si="467"/>
        <v>0</v>
      </c>
      <c r="T679" s="11"/>
      <c r="AS679" s="31">
        <f t="shared" si="468"/>
        <v>0</v>
      </c>
      <c r="AT679" s="31">
        <f t="shared" si="469"/>
        <v>0</v>
      </c>
      <c r="AU679" s="31">
        <f t="shared" si="470"/>
        <v>0</v>
      </c>
      <c r="AV679" s="31">
        <f t="shared" si="471"/>
        <v>0</v>
      </c>
      <c r="AW679" s="31">
        <f t="shared" si="472"/>
        <v>0</v>
      </c>
      <c r="AX679" s="31">
        <f t="shared" si="473"/>
        <v>0</v>
      </c>
      <c r="AY679" s="31">
        <f t="shared" si="474"/>
        <v>0</v>
      </c>
      <c r="AZ679" s="31">
        <f t="shared" si="475"/>
        <v>0</v>
      </c>
      <c r="BA679" s="31">
        <f t="shared" si="476"/>
        <v>0</v>
      </c>
      <c r="BB679" s="31">
        <f t="shared" si="505"/>
        <v>0</v>
      </c>
      <c r="BM679" s="8">
        <f t="shared" si="506"/>
        <v>0</v>
      </c>
      <c r="BN679" s="8">
        <f t="shared" si="477"/>
        <v>0</v>
      </c>
      <c r="BO679" s="8">
        <f t="shared" si="478"/>
        <v>0</v>
      </c>
      <c r="BQ679" s="8">
        <f t="shared" si="479"/>
        <v>0</v>
      </c>
      <c r="BR679" s="63">
        <f t="shared" si="480"/>
        <v>0</v>
      </c>
      <c r="BS679" s="63">
        <f t="shared" si="507"/>
        <v>0</v>
      </c>
      <c r="BT679" s="63">
        <f t="shared" si="481"/>
        <v>0</v>
      </c>
      <c r="BU679" s="63">
        <f t="shared" si="482"/>
        <v>0</v>
      </c>
      <c r="BV679" s="57">
        <f t="shared" si="483"/>
        <v>0</v>
      </c>
      <c r="BW679" s="57">
        <f t="shared" si="484"/>
        <v>0</v>
      </c>
      <c r="BX679" s="57">
        <f t="shared" si="508"/>
        <v>0</v>
      </c>
      <c r="BY679" s="57">
        <f t="shared" si="512"/>
        <v>0</v>
      </c>
      <c r="BZ679" s="8">
        <f t="shared" si="485"/>
        <v>0</v>
      </c>
      <c r="CA679" s="8">
        <f t="shared" si="486"/>
        <v>0</v>
      </c>
      <c r="CB679" s="8">
        <f t="shared" si="487"/>
        <v>0</v>
      </c>
      <c r="CC679" s="8">
        <f t="shared" si="488"/>
        <v>0</v>
      </c>
      <c r="CD679" s="8">
        <f t="shared" si="489"/>
        <v>0</v>
      </c>
      <c r="CE679" s="8">
        <f t="shared" si="490"/>
        <v>0</v>
      </c>
      <c r="CF679" s="8">
        <f t="shared" si="491"/>
        <v>0</v>
      </c>
      <c r="CG679" s="8">
        <f t="shared" si="492"/>
        <v>0</v>
      </c>
      <c r="CH679" s="8">
        <f t="shared" si="493"/>
        <v>0</v>
      </c>
      <c r="CI679" s="8">
        <f t="shared" si="494"/>
        <v>0</v>
      </c>
      <c r="CJ679" s="8">
        <f t="shared" si="495"/>
        <v>0</v>
      </c>
      <c r="CK679" s="8">
        <f t="shared" si="496"/>
        <v>0</v>
      </c>
      <c r="CL679" s="8">
        <f t="shared" si="497"/>
        <v>0</v>
      </c>
      <c r="CM679" s="8">
        <f t="shared" si="498"/>
        <v>0</v>
      </c>
      <c r="CN679" s="8">
        <f t="shared" si="499"/>
        <v>0</v>
      </c>
      <c r="CO679" s="8">
        <f t="shared" si="500"/>
        <v>0</v>
      </c>
      <c r="CP679" s="8">
        <f t="shared" si="501"/>
        <v>0</v>
      </c>
      <c r="CQ679" s="8">
        <f t="shared" si="502"/>
        <v>0</v>
      </c>
      <c r="CR679" s="8">
        <f t="shared" si="503"/>
        <v>0</v>
      </c>
      <c r="CS679" s="8">
        <f t="shared" si="504"/>
        <v>0</v>
      </c>
      <c r="CT679" s="8">
        <f t="shared" si="509"/>
        <v>0</v>
      </c>
      <c r="CU679" s="8">
        <f t="shared" si="510"/>
        <v>0</v>
      </c>
      <c r="CV679" s="8">
        <f t="shared" si="511"/>
        <v>0</v>
      </c>
    </row>
    <row r="680" spans="1:100" ht="20.5" thickTop="1" thickBot="1" x14ac:dyDescent="0.5">
      <c r="A680" s="32"/>
      <c r="B680" s="10"/>
      <c r="C680" s="10"/>
      <c r="D680" s="11"/>
      <c r="E680" s="10"/>
      <c r="F680" s="10"/>
      <c r="G680" s="19"/>
      <c r="H680" s="19"/>
      <c r="I680" s="19"/>
      <c r="J680" s="19"/>
      <c r="K680" s="10"/>
      <c r="L680" s="10"/>
      <c r="M680" s="10"/>
      <c r="N680" s="10"/>
      <c r="O680" s="18"/>
      <c r="P680" s="18"/>
      <c r="Q680" s="21"/>
      <c r="R680" s="20"/>
      <c r="S680" s="16">
        <f t="shared" si="467"/>
        <v>0</v>
      </c>
      <c r="T680" s="11"/>
      <c r="AS680" s="31">
        <f t="shared" si="468"/>
        <v>0</v>
      </c>
      <c r="AT680" s="31">
        <f t="shared" si="469"/>
        <v>0</v>
      </c>
      <c r="AU680" s="31">
        <f t="shared" si="470"/>
        <v>0</v>
      </c>
      <c r="AV680" s="31">
        <f t="shared" si="471"/>
        <v>0</v>
      </c>
      <c r="AW680" s="31">
        <f t="shared" si="472"/>
        <v>0</v>
      </c>
      <c r="AX680" s="31">
        <f t="shared" si="473"/>
        <v>0</v>
      </c>
      <c r="AY680" s="31">
        <f t="shared" si="474"/>
        <v>0</v>
      </c>
      <c r="AZ680" s="31">
        <f t="shared" si="475"/>
        <v>0</v>
      </c>
      <c r="BA680" s="31">
        <f t="shared" si="476"/>
        <v>0</v>
      </c>
      <c r="BB680" s="31">
        <f t="shared" si="505"/>
        <v>0</v>
      </c>
      <c r="BM680" s="8">
        <f t="shared" si="506"/>
        <v>0</v>
      </c>
      <c r="BN680" s="8">
        <f t="shared" si="477"/>
        <v>0</v>
      </c>
      <c r="BO680" s="8">
        <f t="shared" si="478"/>
        <v>0</v>
      </c>
      <c r="BQ680" s="8">
        <f t="shared" si="479"/>
        <v>0</v>
      </c>
      <c r="BR680" s="63">
        <f t="shared" si="480"/>
        <v>0</v>
      </c>
      <c r="BS680" s="63">
        <f t="shared" si="507"/>
        <v>0</v>
      </c>
      <c r="BT680" s="63">
        <f t="shared" si="481"/>
        <v>0</v>
      </c>
      <c r="BU680" s="63">
        <f t="shared" si="482"/>
        <v>0</v>
      </c>
      <c r="BV680" s="57">
        <f t="shared" si="483"/>
        <v>0</v>
      </c>
      <c r="BW680" s="57">
        <f t="shared" si="484"/>
        <v>0</v>
      </c>
      <c r="BX680" s="57">
        <f t="shared" si="508"/>
        <v>0</v>
      </c>
      <c r="BY680" s="57">
        <f t="shared" si="512"/>
        <v>0</v>
      </c>
      <c r="BZ680" s="8">
        <f t="shared" si="485"/>
        <v>0</v>
      </c>
      <c r="CA680" s="8">
        <f t="shared" si="486"/>
        <v>0</v>
      </c>
      <c r="CB680" s="8">
        <f t="shared" si="487"/>
        <v>0</v>
      </c>
      <c r="CC680" s="8">
        <f t="shared" si="488"/>
        <v>0</v>
      </c>
      <c r="CD680" s="8">
        <f t="shared" si="489"/>
        <v>0</v>
      </c>
      <c r="CE680" s="8">
        <f t="shared" si="490"/>
        <v>0</v>
      </c>
      <c r="CF680" s="8">
        <f t="shared" si="491"/>
        <v>0</v>
      </c>
      <c r="CG680" s="8">
        <f t="shared" si="492"/>
        <v>0</v>
      </c>
      <c r="CH680" s="8">
        <f t="shared" si="493"/>
        <v>0</v>
      </c>
      <c r="CI680" s="8">
        <f t="shared" si="494"/>
        <v>0</v>
      </c>
      <c r="CJ680" s="8">
        <f t="shared" si="495"/>
        <v>0</v>
      </c>
      <c r="CK680" s="8">
        <f t="shared" si="496"/>
        <v>0</v>
      </c>
      <c r="CL680" s="8">
        <f t="shared" si="497"/>
        <v>0</v>
      </c>
      <c r="CM680" s="8">
        <f t="shared" si="498"/>
        <v>0</v>
      </c>
      <c r="CN680" s="8">
        <f t="shared" si="499"/>
        <v>0</v>
      </c>
      <c r="CO680" s="8">
        <f t="shared" si="500"/>
        <v>0</v>
      </c>
      <c r="CP680" s="8">
        <f t="shared" si="501"/>
        <v>0</v>
      </c>
      <c r="CQ680" s="8">
        <f t="shared" si="502"/>
        <v>0</v>
      </c>
      <c r="CR680" s="8">
        <f t="shared" si="503"/>
        <v>0</v>
      </c>
      <c r="CS680" s="8">
        <f t="shared" si="504"/>
        <v>0</v>
      </c>
      <c r="CT680" s="8">
        <f t="shared" si="509"/>
        <v>0</v>
      </c>
      <c r="CU680" s="8">
        <f t="shared" si="510"/>
        <v>0</v>
      </c>
      <c r="CV680" s="8">
        <f t="shared" si="511"/>
        <v>0</v>
      </c>
    </row>
    <row r="681" spans="1:100" ht="20.5" thickTop="1" thickBot="1" x14ac:dyDescent="0.5">
      <c r="A681" s="32"/>
      <c r="B681" s="10"/>
      <c r="C681" s="10"/>
      <c r="D681" s="11"/>
      <c r="E681" s="10"/>
      <c r="F681" s="10"/>
      <c r="G681" s="19"/>
      <c r="H681" s="19"/>
      <c r="I681" s="19"/>
      <c r="J681" s="19"/>
      <c r="K681" s="10"/>
      <c r="L681" s="10"/>
      <c r="M681" s="10"/>
      <c r="N681" s="10"/>
      <c r="O681" s="18"/>
      <c r="P681" s="18"/>
      <c r="Q681" s="21"/>
      <c r="R681" s="20"/>
      <c r="S681" s="16">
        <f t="shared" si="467"/>
        <v>0</v>
      </c>
      <c r="T681" s="11"/>
      <c r="AS681" s="31">
        <f t="shared" si="468"/>
        <v>0</v>
      </c>
      <c r="AT681" s="31">
        <f t="shared" si="469"/>
        <v>0</v>
      </c>
      <c r="AU681" s="31">
        <f t="shared" si="470"/>
        <v>0</v>
      </c>
      <c r="AV681" s="31">
        <f t="shared" si="471"/>
        <v>0</v>
      </c>
      <c r="AW681" s="31">
        <f t="shared" si="472"/>
        <v>0</v>
      </c>
      <c r="AX681" s="31">
        <f t="shared" si="473"/>
        <v>0</v>
      </c>
      <c r="AY681" s="31">
        <f t="shared" si="474"/>
        <v>0</v>
      </c>
      <c r="AZ681" s="31">
        <f t="shared" si="475"/>
        <v>0</v>
      </c>
      <c r="BA681" s="31">
        <f t="shared" si="476"/>
        <v>0</v>
      </c>
      <c r="BB681" s="31">
        <f t="shared" si="505"/>
        <v>0</v>
      </c>
      <c r="BM681" s="8">
        <f t="shared" si="506"/>
        <v>0</v>
      </c>
      <c r="BN681" s="8">
        <f t="shared" si="477"/>
        <v>0</v>
      </c>
      <c r="BO681" s="8">
        <f t="shared" si="478"/>
        <v>0</v>
      </c>
      <c r="BQ681" s="8">
        <f t="shared" si="479"/>
        <v>0</v>
      </c>
      <c r="BR681" s="63">
        <f t="shared" si="480"/>
        <v>0</v>
      </c>
      <c r="BS681" s="63">
        <f t="shared" si="507"/>
        <v>0</v>
      </c>
      <c r="BT681" s="63">
        <f t="shared" si="481"/>
        <v>0</v>
      </c>
      <c r="BU681" s="63">
        <f t="shared" si="482"/>
        <v>0</v>
      </c>
      <c r="BV681" s="57">
        <f t="shared" si="483"/>
        <v>0</v>
      </c>
      <c r="BW681" s="57">
        <f t="shared" si="484"/>
        <v>0</v>
      </c>
      <c r="BX681" s="57">
        <f t="shared" si="508"/>
        <v>0</v>
      </c>
      <c r="BY681" s="57">
        <f t="shared" si="512"/>
        <v>0</v>
      </c>
      <c r="BZ681" s="8">
        <f t="shared" si="485"/>
        <v>0</v>
      </c>
      <c r="CA681" s="8">
        <f t="shared" si="486"/>
        <v>0</v>
      </c>
      <c r="CB681" s="8">
        <f t="shared" si="487"/>
        <v>0</v>
      </c>
      <c r="CC681" s="8">
        <f t="shared" si="488"/>
        <v>0</v>
      </c>
      <c r="CD681" s="8">
        <f t="shared" si="489"/>
        <v>0</v>
      </c>
      <c r="CE681" s="8">
        <f t="shared" si="490"/>
        <v>0</v>
      </c>
      <c r="CF681" s="8">
        <f t="shared" si="491"/>
        <v>0</v>
      </c>
      <c r="CG681" s="8">
        <f t="shared" si="492"/>
        <v>0</v>
      </c>
      <c r="CH681" s="8">
        <f t="shared" si="493"/>
        <v>0</v>
      </c>
      <c r="CI681" s="8">
        <f t="shared" si="494"/>
        <v>0</v>
      </c>
      <c r="CJ681" s="8">
        <f t="shared" si="495"/>
        <v>0</v>
      </c>
      <c r="CK681" s="8">
        <f t="shared" si="496"/>
        <v>0</v>
      </c>
      <c r="CL681" s="8">
        <f t="shared" si="497"/>
        <v>0</v>
      </c>
      <c r="CM681" s="8">
        <f t="shared" si="498"/>
        <v>0</v>
      </c>
      <c r="CN681" s="8">
        <f t="shared" si="499"/>
        <v>0</v>
      </c>
      <c r="CO681" s="8">
        <f t="shared" si="500"/>
        <v>0</v>
      </c>
      <c r="CP681" s="8">
        <f t="shared" si="501"/>
        <v>0</v>
      </c>
      <c r="CQ681" s="8">
        <f t="shared" si="502"/>
        <v>0</v>
      </c>
      <c r="CR681" s="8">
        <f t="shared" si="503"/>
        <v>0</v>
      </c>
      <c r="CS681" s="8">
        <f t="shared" si="504"/>
        <v>0</v>
      </c>
      <c r="CT681" s="8">
        <f t="shared" si="509"/>
        <v>0</v>
      </c>
      <c r="CU681" s="8">
        <f t="shared" si="510"/>
        <v>0</v>
      </c>
      <c r="CV681" s="8">
        <f t="shared" si="511"/>
        <v>0</v>
      </c>
    </row>
    <row r="682" spans="1:100" ht="20.5" thickTop="1" thickBot="1" x14ac:dyDescent="0.5">
      <c r="A682" s="32"/>
      <c r="B682" s="10"/>
      <c r="C682" s="10"/>
      <c r="D682" s="11"/>
      <c r="E682" s="10"/>
      <c r="F682" s="10"/>
      <c r="G682" s="19"/>
      <c r="H682" s="19"/>
      <c r="I682" s="19"/>
      <c r="J682" s="19"/>
      <c r="K682" s="10"/>
      <c r="L682" s="10"/>
      <c r="M682" s="10"/>
      <c r="N682" s="10"/>
      <c r="O682" s="18"/>
      <c r="P682" s="18"/>
      <c r="Q682" s="21"/>
      <c r="R682" s="20"/>
      <c r="S682" s="16">
        <f t="shared" si="467"/>
        <v>0</v>
      </c>
      <c r="T682" s="11"/>
      <c r="AS682" s="31">
        <f t="shared" si="468"/>
        <v>0</v>
      </c>
      <c r="AT682" s="31">
        <f t="shared" si="469"/>
        <v>0</v>
      </c>
      <c r="AU682" s="31">
        <f t="shared" si="470"/>
        <v>0</v>
      </c>
      <c r="AV682" s="31">
        <f t="shared" si="471"/>
        <v>0</v>
      </c>
      <c r="AW682" s="31">
        <f t="shared" si="472"/>
        <v>0</v>
      </c>
      <c r="AX682" s="31">
        <f t="shared" si="473"/>
        <v>0</v>
      </c>
      <c r="AY682" s="31">
        <f t="shared" si="474"/>
        <v>0</v>
      </c>
      <c r="AZ682" s="31">
        <f t="shared" si="475"/>
        <v>0</v>
      </c>
      <c r="BA682" s="31">
        <f t="shared" si="476"/>
        <v>0</v>
      </c>
      <c r="BB682" s="31">
        <f t="shared" si="505"/>
        <v>0</v>
      </c>
      <c r="BM682" s="8">
        <f t="shared" si="506"/>
        <v>0</v>
      </c>
      <c r="BN682" s="8">
        <f t="shared" si="477"/>
        <v>0</v>
      </c>
      <c r="BO682" s="8">
        <f t="shared" si="478"/>
        <v>0</v>
      </c>
      <c r="BQ682" s="8">
        <f t="shared" si="479"/>
        <v>0</v>
      </c>
      <c r="BR682" s="63">
        <f t="shared" si="480"/>
        <v>0</v>
      </c>
      <c r="BS682" s="63">
        <f t="shared" si="507"/>
        <v>0</v>
      </c>
      <c r="BT682" s="63">
        <f t="shared" si="481"/>
        <v>0</v>
      </c>
      <c r="BU682" s="63">
        <f t="shared" si="482"/>
        <v>0</v>
      </c>
      <c r="BV682" s="57">
        <f t="shared" si="483"/>
        <v>0</v>
      </c>
      <c r="BW682" s="57">
        <f t="shared" si="484"/>
        <v>0</v>
      </c>
      <c r="BX682" s="57">
        <f t="shared" si="508"/>
        <v>0</v>
      </c>
      <c r="BY682" s="57">
        <f t="shared" si="512"/>
        <v>0</v>
      </c>
      <c r="BZ682" s="8">
        <f t="shared" si="485"/>
        <v>0</v>
      </c>
      <c r="CA682" s="8">
        <f t="shared" si="486"/>
        <v>0</v>
      </c>
      <c r="CB682" s="8">
        <f t="shared" si="487"/>
        <v>0</v>
      </c>
      <c r="CC682" s="8">
        <f t="shared" si="488"/>
        <v>0</v>
      </c>
      <c r="CD682" s="8">
        <f t="shared" si="489"/>
        <v>0</v>
      </c>
      <c r="CE682" s="8">
        <f t="shared" si="490"/>
        <v>0</v>
      </c>
      <c r="CF682" s="8">
        <f t="shared" si="491"/>
        <v>0</v>
      </c>
      <c r="CG682" s="8">
        <f t="shared" si="492"/>
        <v>0</v>
      </c>
      <c r="CH682" s="8">
        <f t="shared" si="493"/>
        <v>0</v>
      </c>
      <c r="CI682" s="8">
        <f t="shared" si="494"/>
        <v>0</v>
      </c>
      <c r="CJ682" s="8">
        <f t="shared" si="495"/>
        <v>0</v>
      </c>
      <c r="CK682" s="8">
        <f t="shared" si="496"/>
        <v>0</v>
      </c>
      <c r="CL682" s="8">
        <f t="shared" si="497"/>
        <v>0</v>
      </c>
      <c r="CM682" s="8">
        <f t="shared" si="498"/>
        <v>0</v>
      </c>
      <c r="CN682" s="8">
        <f t="shared" si="499"/>
        <v>0</v>
      </c>
      <c r="CO682" s="8">
        <f t="shared" si="500"/>
        <v>0</v>
      </c>
      <c r="CP682" s="8">
        <f t="shared" si="501"/>
        <v>0</v>
      </c>
      <c r="CQ682" s="8">
        <f t="shared" si="502"/>
        <v>0</v>
      </c>
      <c r="CR682" s="8">
        <f t="shared" si="503"/>
        <v>0</v>
      </c>
      <c r="CS682" s="8">
        <f t="shared" si="504"/>
        <v>0</v>
      </c>
      <c r="CT682" s="8">
        <f t="shared" si="509"/>
        <v>0</v>
      </c>
      <c r="CU682" s="8">
        <f t="shared" si="510"/>
        <v>0</v>
      </c>
      <c r="CV682" s="8">
        <f t="shared" si="511"/>
        <v>0</v>
      </c>
    </row>
    <row r="683" spans="1:100" ht="20.5" thickTop="1" thickBot="1" x14ac:dyDescent="0.5">
      <c r="A683" s="32"/>
      <c r="B683" s="10"/>
      <c r="C683" s="10"/>
      <c r="D683" s="11"/>
      <c r="E683" s="10"/>
      <c r="F683" s="10"/>
      <c r="G683" s="19"/>
      <c r="H683" s="19"/>
      <c r="I683" s="19"/>
      <c r="J683" s="19"/>
      <c r="K683" s="10"/>
      <c r="L683" s="10"/>
      <c r="M683" s="10"/>
      <c r="N683" s="10"/>
      <c r="O683" s="18"/>
      <c r="P683" s="18"/>
      <c r="Q683" s="21"/>
      <c r="R683" s="20"/>
      <c r="S683" s="16">
        <f t="shared" si="467"/>
        <v>0</v>
      </c>
      <c r="T683" s="11"/>
      <c r="AS683" s="31">
        <f t="shared" si="468"/>
        <v>0</v>
      </c>
      <c r="AT683" s="31">
        <f t="shared" si="469"/>
        <v>0</v>
      </c>
      <c r="AU683" s="31">
        <f t="shared" si="470"/>
        <v>0</v>
      </c>
      <c r="AV683" s="31">
        <f t="shared" si="471"/>
        <v>0</v>
      </c>
      <c r="AW683" s="31">
        <f t="shared" si="472"/>
        <v>0</v>
      </c>
      <c r="AX683" s="31">
        <f t="shared" si="473"/>
        <v>0</v>
      </c>
      <c r="AY683" s="31">
        <f t="shared" si="474"/>
        <v>0</v>
      </c>
      <c r="AZ683" s="31">
        <f t="shared" si="475"/>
        <v>0</v>
      </c>
      <c r="BA683" s="31">
        <f t="shared" si="476"/>
        <v>0</v>
      </c>
      <c r="BB683" s="31">
        <f t="shared" si="505"/>
        <v>0</v>
      </c>
      <c r="BM683" s="8">
        <f t="shared" si="506"/>
        <v>0</v>
      </c>
      <c r="BN683" s="8">
        <f t="shared" si="477"/>
        <v>0</v>
      </c>
      <c r="BO683" s="8">
        <f t="shared" si="478"/>
        <v>0</v>
      </c>
      <c r="BQ683" s="8">
        <f t="shared" si="479"/>
        <v>0</v>
      </c>
      <c r="BR683" s="63">
        <f t="shared" si="480"/>
        <v>0</v>
      </c>
      <c r="BS683" s="63">
        <f t="shared" si="507"/>
        <v>0</v>
      </c>
      <c r="BT683" s="63">
        <f t="shared" si="481"/>
        <v>0</v>
      </c>
      <c r="BU683" s="63">
        <f t="shared" si="482"/>
        <v>0</v>
      </c>
      <c r="BV683" s="57">
        <f t="shared" si="483"/>
        <v>0</v>
      </c>
      <c r="BW683" s="57">
        <f t="shared" si="484"/>
        <v>0</v>
      </c>
      <c r="BX683" s="57">
        <f t="shared" si="508"/>
        <v>0</v>
      </c>
      <c r="BY683" s="57">
        <f t="shared" si="512"/>
        <v>0</v>
      </c>
      <c r="BZ683" s="8">
        <f t="shared" si="485"/>
        <v>0</v>
      </c>
      <c r="CA683" s="8">
        <f t="shared" si="486"/>
        <v>0</v>
      </c>
      <c r="CB683" s="8">
        <f t="shared" si="487"/>
        <v>0</v>
      </c>
      <c r="CC683" s="8">
        <f t="shared" si="488"/>
        <v>0</v>
      </c>
      <c r="CD683" s="8">
        <f t="shared" si="489"/>
        <v>0</v>
      </c>
      <c r="CE683" s="8">
        <f t="shared" si="490"/>
        <v>0</v>
      </c>
      <c r="CF683" s="8">
        <f t="shared" si="491"/>
        <v>0</v>
      </c>
      <c r="CG683" s="8">
        <f t="shared" si="492"/>
        <v>0</v>
      </c>
      <c r="CH683" s="8">
        <f t="shared" si="493"/>
        <v>0</v>
      </c>
      <c r="CI683" s="8">
        <f t="shared" si="494"/>
        <v>0</v>
      </c>
      <c r="CJ683" s="8">
        <f t="shared" si="495"/>
        <v>0</v>
      </c>
      <c r="CK683" s="8">
        <f t="shared" si="496"/>
        <v>0</v>
      </c>
      <c r="CL683" s="8">
        <f t="shared" si="497"/>
        <v>0</v>
      </c>
      <c r="CM683" s="8">
        <f t="shared" si="498"/>
        <v>0</v>
      </c>
      <c r="CN683" s="8">
        <f t="shared" si="499"/>
        <v>0</v>
      </c>
      <c r="CO683" s="8">
        <f t="shared" si="500"/>
        <v>0</v>
      </c>
      <c r="CP683" s="8">
        <f t="shared" si="501"/>
        <v>0</v>
      </c>
      <c r="CQ683" s="8">
        <f t="shared" si="502"/>
        <v>0</v>
      </c>
      <c r="CR683" s="8">
        <f t="shared" si="503"/>
        <v>0</v>
      </c>
      <c r="CS683" s="8">
        <f t="shared" si="504"/>
        <v>0</v>
      </c>
      <c r="CT683" s="8">
        <f t="shared" si="509"/>
        <v>0</v>
      </c>
      <c r="CU683" s="8">
        <f t="shared" si="510"/>
        <v>0</v>
      </c>
      <c r="CV683" s="8">
        <f t="shared" si="511"/>
        <v>0</v>
      </c>
    </row>
    <row r="684" spans="1:100" ht="20.5" thickTop="1" thickBot="1" x14ac:dyDescent="0.5">
      <c r="A684" s="32"/>
      <c r="B684" s="10"/>
      <c r="C684" s="10"/>
      <c r="D684" s="11"/>
      <c r="E684" s="10"/>
      <c r="F684" s="10"/>
      <c r="G684" s="19"/>
      <c r="H684" s="19"/>
      <c r="I684" s="19"/>
      <c r="J684" s="19"/>
      <c r="K684" s="10"/>
      <c r="L684" s="10"/>
      <c r="M684" s="10"/>
      <c r="N684" s="10"/>
      <c r="O684" s="18"/>
      <c r="P684" s="18"/>
      <c r="Q684" s="21"/>
      <c r="R684" s="20"/>
      <c r="S684" s="16">
        <f t="shared" si="467"/>
        <v>0</v>
      </c>
      <c r="T684" s="11"/>
      <c r="AS684" s="31">
        <f t="shared" si="468"/>
        <v>0</v>
      </c>
      <c r="AT684" s="31">
        <f t="shared" si="469"/>
        <v>0</v>
      </c>
      <c r="AU684" s="31">
        <f t="shared" si="470"/>
        <v>0</v>
      </c>
      <c r="AV684" s="31">
        <f t="shared" si="471"/>
        <v>0</v>
      </c>
      <c r="AW684" s="31">
        <f t="shared" si="472"/>
        <v>0</v>
      </c>
      <c r="AX684" s="31">
        <f t="shared" si="473"/>
        <v>0</v>
      </c>
      <c r="AY684" s="31">
        <f t="shared" si="474"/>
        <v>0</v>
      </c>
      <c r="AZ684" s="31">
        <f t="shared" si="475"/>
        <v>0</v>
      </c>
      <c r="BA684" s="31">
        <f t="shared" si="476"/>
        <v>0</v>
      </c>
      <c r="BB684" s="31">
        <f t="shared" si="505"/>
        <v>0</v>
      </c>
      <c r="BM684" s="8">
        <f t="shared" si="506"/>
        <v>0</v>
      </c>
      <c r="BN684" s="8">
        <f t="shared" si="477"/>
        <v>0</v>
      </c>
      <c r="BO684" s="8">
        <f t="shared" si="478"/>
        <v>0</v>
      </c>
      <c r="BQ684" s="8">
        <f t="shared" si="479"/>
        <v>0</v>
      </c>
      <c r="BR684" s="63">
        <f t="shared" si="480"/>
        <v>0</v>
      </c>
      <c r="BS684" s="63">
        <f t="shared" si="507"/>
        <v>0</v>
      </c>
      <c r="BT684" s="63">
        <f t="shared" si="481"/>
        <v>0</v>
      </c>
      <c r="BU684" s="63">
        <f t="shared" si="482"/>
        <v>0</v>
      </c>
      <c r="BV684" s="57">
        <f t="shared" si="483"/>
        <v>0</v>
      </c>
      <c r="BW684" s="57">
        <f t="shared" si="484"/>
        <v>0</v>
      </c>
      <c r="BX684" s="57">
        <f t="shared" si="508"/>
        <v>0</v>
      </c>
      <c r="BY684" s="57">
        <f t="shared" si="512"/>
        <v>0</v>
      </c>
      <c r="BZ684" s="8">
        <f t="shared" si="485"/>
        <v>0</v>
      </c>
      <c r="CA684" s="8">
        <f t="shared" si="486"/>
        <v>0</v>
      </c>
      <c r="CB684" s="8">
        <f t="shared" si="487"/>
        <v>0</v>
      </c>
      <c r="CC684" s="8">
        <f t="shared" si="488"/>
        <v>0</v>
      </c>
      <c r="CD684" s="8">
        <f t="shared" si="489"/>
        <v>0</v>
      </c>
      <c r="CE684" s="8">
        <f t="shared" si="490"/>
        <v>0</v>
      </c>
      <c r="CF684" s="8">
        <f t="shared" si="491"/>
        <v>0</v>
      </c>
      <c r="CG684" s="8">
        <f t="shared" si="492"/>
        <v>0</v>
      </c>
      <c r="CH684" s="8">
        <f t="shared" si="493"/>
        <v>0</v>
      </c>
      <c r="CI684" s="8">
        <f t="shared" si="494"/>
        <v>0</v>
      </c>
      <c r="CJ684" s="8">
        <f t="shared" si="495"/>
        <v>0</v>
      </c>
      <c r="CK684" s="8">
        <f t="shared" si="496"/>
        <v>0</v>
      </c>
      <c r="CL684" s="8">
        <f t="shared" si="497"/>
        <v>0</v>
      </c>
      <c r="CM684" s="8">
        <f t="shared" si="498"/>
        <v>0</v>
      </c>
      <c r="CN684" s="8">
        <f t="shared" si="499"/>
        <v>0</v>
      </c>
      <c r="CO684" s="8">
        <f t="shared" si="500"/>
        <v>0</v>
      </c>
      <c r="CP684" s="8">
        <f t="shared" si="501"/>
        <v>0</v>
      </c>
      <c r="CQ684" s="8">
        <f t="shared" si="502"/>
        <v>0</v>
      </c>
      <c r="CR684" s="8">
        <f t="shared" si="503"/>
        <v>0</v>
      </c>
      <c r="CS684" s="8">
        <f t="shared" si="504"/>
        <v>0</v>
      </c>
      <c r="CT684" s="8">
        <f t="shared" si="509"/>
        <v>0</v>
      </c>
      <c r="CU684" s="8">
        <f t="shared" si="510"/>
        <v>0</v>
      </c>
      <c r="CV684" s="8">
        <f t="shared" si="511"/>
        <v>0</v>
      </c>
    </row>
    <row r="685" spans="1:100" ht="20.5" thickTop="1" thickBot="1" x14ac:dyDescent="0.5">
      <c r="A685" s="32"/>
      <c r="B685" s="10"/>
      <c r="C685" s="10"/>
      <c r="D685" s="11"/>
      <c r="E685" s="10"/>
      <c r="F685" s="10"/>
      <c r="G685" s="19"/>
      <c r="H685" s="19"/>
      <c r="I685" s="19"/>
      <c r="J685" s="19"/>
      <c r="K685" s="10"/>
      <c r="L685" s="10"/>
      <c r="M685" s="10"/>
      <c r="N685" s="10"/>
      <c r="O685" s="18"/>
      <c r="P685" s="18"/>
      <c r="Q685" s="21"/>
      <c r="R685" s="20"/>
      <c r="S685" s="16">
        <f t="shared" si="467"/>
        <v>0</v>
      </c>
      <c r="T685" s="11"/>
      <c r="AS685" s="31">
        <f t="shared" si="468"/>
        <v>0</v>
      </c>
      <c r="AT685" s="31">
        <f t="shared" si="469"/>
        <v>0</v>
      </c>
      <c r="AU685" s="31">
        <f t="shared" si="470"/>
        <v>0</v>
      </c>
      <c r="AV685" s="31">
        <f t="shared" si="471"/>
        <v>0</v>
      </c>
      <c r="AW685" s="31">
        <f t="shared" si="472"/>
        <v>0</v>
      </c>
      <c r="AX685" s="31">
        <f t="shared" si="473"/>
        <v>0</v>
      </c>
      <c r="AY685" s="31">
        <f t="shared" si="474"/>
        <v>0</v>
      </c>
      <c r="AZ685" s="31">
        <f t="shared" si="475"/>
        <v>0</v>
      </c>
      <c r="BA685" s="31">
        <f t="shared" si="476"/>
        <v>0</v>
      </c>
      <c r="BB685" s="31">
        <f t="shared" si="505"/>
        <v>0</v>
      </c>
      <c r="BM685" s="8">
        <f t="shared" si="506"/>
        <v>0</v>
      </c>
      <c r="BN685" s="8">
        <f t="shared" si="477"/>
        <v>0</v>
      </c>
      <c r="BO685" s="8">
        <f t="shared" si="478"/>
        <v>0</v>
      </c>
      <c r="BQ685" s="8">
        <f t="shared" si="479"/>
        <v>0</v>
      </c>
      <c r="BR685" s="63">
        <f t="shared" si="480"/>
        <v>0</v>
      </c>
      <c r="BS685" s="63">
        <f t="shared" si="507"/>
        <v>0</v>
      </c>
      <c r="BT685" s="63">
        <f t="shared" si="481"/>
        <v>0</v>
      </c>
      <c r="BU685" s="63">
        <f t="shared" si="482"/>
        <v>0</v>
      </c>
      <c r="BV685" s="57">
        <f t="shared" si="483"/>
        <v>0</v>
      </c>
      <c r="BW685" s="57">
        <f t="shared" si="484"/>
        <v>0</v>
      </c>
      <c r="BX685" s="57">
        <f t="shared" si="508"/>
        <v>0</v>
      </c>
      <c r="BY685" s="57">
        <f t="shared" si="512"/>
        <v>0</v>
      </c>
      <c r="BZ685" s="8">
        <f t="shared" si="485"/>
        <v>0</v>
      </c>
      <c r="CA685" s="8">
        <f t="shared" si="486"/>
        <v>0</v>
      </c>
      <c r="CB685" s="8">
        <f t="shared" si="487"/>
        <v>0</v>
      </c>
      <c r="CC685" s="8">
        <f t="shared" si="488"/>
        <v>0</v>
      </c>
      <c r="CD685" s="8">
        <f t="shared" si="489"/>
        <v>0</v>
      </c>
      <c r="CE685" s="8">
        <f t="shared" si="490"/>
        <v>0</v>
      </c>
      <c r="CF685" s="8">
        <f t="shared" si="491"/>
        <v>0</v>
      </c>
      <c r="CG685" s="8">
        <f t="shared" si="492"/>
        <v>0</v>
      </c>
      <c r="CH685" s="8">
        <f t="shared" si="493"/>
        <v>0</v>
      </c>
      <c r="CI685" s="8">
        <f t="shared" si="494"/>
        <v>0</v>
      </c>
      <c r="CJ685" s="8">
        <f t="shared" si="495"/>
        <v>0</v>
      </c>
      <c r="CK685" s="8">
        <f t="shared" si="496"/>
        <v>0</v>
      </c>
      <c r="CL685" s="8">
        <f t="shared" si="497"/>
        <v>0</v>
      </c>
      <c r="CM685" s="8">
        <f t="shared" si="498"/>
        <v>0</v>
      </c>
      <c r="CN685" s="8">
        <f t="shared" si="499"/>
        <v>0</v>
      </c>
      <c r="CO685" s="8">
        <f t="shared" si="500"/>
        <v>0</v>
      </c>
      <c r="CP685" s="8">
        <f t="shared" si="501"/>
        <v>0</v>
      </c>
      <c r="CQ685" s="8">
        <f t="shared" si="502"/>
        <v>0</v>
      </c>
      <c r="CR685" s="8">
        <f t="shared" si="503"/>
        <v>0</v>
      </c>
      <c r="CS685" s="8">
        <f t="shared" si="504"/>
        <v>0</v>
      </c>
      <c r="CT685" s="8">
        <f t="shared" si="509"/>
        <v>0</v>
      </c>
      <c r="CU685" s="8">
        <f t="shared" si="510"/>
        <v>0</v>
      </c>
      <c r="CV685" s="8">
        <f t="shared" si="511"/>
        <v>0</v>
      </c>
    </row>
    <row r="686" spans="1:100" ht="20.5" thickTop="1" thickBot="1" x14ac:dyDescent="0.5">
      <c r="A686" s="32"/>
      <c r="B686" s="10"/>
      <c r="C686" s="10"/>
      <c r="D686" s="11"/>
      <c r="E686" s="10"/>
      <c r="F686" s="10"/>
      <c r="G686" s="19"/>
      <c r="H686" s="19"/>
      <c r="I686" s="19"/>
      <c r="J686" s="19"/>
      <c r="K686" s="10"/>
      <c r="L686" s="10"/>
      <c r="M686" s="10"/>
      <c r="N686" s="10"/>
      <c r="O686" s="18"/>
      <c r="P686" s="18"/>
      <c r="Q686" s="21"/>
      <c r="R686" s="20"/>
      <c r="S686" s="16">
        <f t="shared" si="467"/>
        <v>0</v>
      </c>
      <c r="T686" s="11"/>
      <c r="AS686" s="31">
        <f t="shared" si="468"/>
        <v>0</v>
      </c>
      <c r="AT686" s="31">
        <f t="shared" si="469"/>
        <v>0</v>
      </c>
      <c r="AU686" s="31">
        <f t="shared" si="470"/>
        <v>0</v>
      </c>
      <c r="AV686" s="31">
        <f t="shared" si="471"/>
        <v>0</v>
      </c>
      <c r="AW686" s="31">
        <f t="shared" si="472"/>
        <v>0</v>
      </c>
      <c r="AX686" s="31">
        <f t="shared" si="473"/>
        <v>0</v>
      </c>
      <c r="AY686" s="31">
        <f t="shared" si="474"/>
        <v>0</v>
      </c>
      <c r="AZ686" s="31">
        <f t="shared" si="475"/>
        <v>0</v>
      </c>
      <c r="BA686" s="31">
        <f t="shared" si="476"/>
        <v>0</v>
      </c>
      <c r="BB686" s="31">
        <f t="shared" si="505"/>
        <v>0</v>
      </c>
      <c r="BM686" s="8">
        <f t="shared" si="506"/>
        <v>0</v>
      </c>
      <c r="BN686" s="8">
        <f t="shared" si="477"/>
        <v>0</v>
      </c>
      <c r="BO686" s="8">
        <f t="shared" si="478"/>
        <v>0</v>
      </c>
      <c r="BQ686" s="8">
        <f t="shared" si="479"/>
        <v>0</v>
      </c>
      <c r="BR686" s="63">
        <f t="shared" si="480"/>
        <v>0</v>
      </c>
      <c r="BS686" s="63">
        <f t="shared" si="507"/>
        <v>0</v>
      </c>
      <c r="BT686" s="63">
        <f t="shared" si="481"/>
        <v>0</v>
      </c>
      <c r="BU686" s="63">
        <f t="shared" si="482"/>
        <v>0</v>
      </c>
      <c r="BV686" s="57">
        <f t="shared" si="483"/>
        <v>0</v>
      </c>
      <c r="BW686" s="57">
        <f t="shared" si="484"/>
        <v>0</v>
      </c>
      <c r="BX686" s="57">
        <f t="shared" si="508"/>
        <v>0</v>
      </c>
      <c r="BY686" s="57">
        <f t="shared" si="512"/>
        <v>0</v>
      </c>
      <c r="BZ686" s="8">
        <f t="shared" si="485"/>
        <v>0</v>
      </c>
      <c r="CA686" s="8">
        <f t="shared" si="486"/>
        <v>0</v>
      </c>
      <c r="CB686" s="8">
        <f t="shared" si="487"/>
        <v>0</v>
      </c>
      <c r="CC686" s="8">
        <f t="shared" si="488"/>
        <v>0</v>
      </c>
      <c r="CD686" s="8">
        <f t="shared" si="489"/>
        <v>0</v>
      </c>
      <c r="CE686" s="8">
        <f t="shared" si="490"/>
        <v>0</v>
      </c>
      <c r="CF686" s="8">
        <f t="shared" si="491"/>
        <v>0</v>
      </c>
      <c r="CG686" s="8">
        <f t="shared" si="492"/>
        <v>0</v>
      </c>
      <c r="CH686" s="8">
        <f t="shared" si="493"/>
        <v>0</v>
      </c>
      <c r="CI686" s="8">
        <f t="shared" si="494"/>
        <v>0</v>
      </c>
      <c r="CJ686" s="8">
        <f t="shared" si="495"/>
        <v>0</v>
      </c>
      <c r="CK686" s="8">
        <f t="shared" si="496"/>
        <v>0</v>
      </c>
      <c r="CL686" s="8">
        <f t="shared" si="497"/>
        <v>0</v>
      </c>
      <c r="CM686" s="8">
        <f t="shared" si="498"/>
        <v>0</v>
      </c>
      <c r="CN686" s="8">
        <f t="shared" si="499"/>
        <v>0</v>
      </c>
      <c r="CO686" s="8">
        <f t="shared" si="500"/>
        <v>0</v>
      </c>
      <c r="CP686" s="8">
        <f t="shared" si="501"/>
        <v>0</v>
      </c>
      <c r="CQ686" s="8">
        <f t="shared" si="502"/>
        <v>0</v>
      </c>
      <c r="CR686" s="8">
        <f t="shared" si="503"/>
        <v>0</v>
      </c>
      <c r="CS686" s="8">
        <f t="shared" si="504"/>
        <v>0</v>
      </c>
      <c r="CT686" s="8">
        <f t="shared" si="509"/>
        <v>0</v>
      </c>
      <c r="CU686" s="8">
        <f t="shared" si="510"/>
        <v>0</v>
      </c>
      <c r="CV686" s="8">
        <f t="shared" si="511"/>
        <v>0</v>
      </c>
    </row>
    <row r="687" spans="1:100" ht="20.5" thickTop="1" thickBot="1" x14ac:dyDescent="0.5">
      <c r="A687" s="32"/>
      <c r="B687" s="10"/>
      <c r="C687" s="10"/>
      <c r="D687" s="11"/>
      <c r="E687" s="10"/>
      <c r="F687" s="10"/>
      <c r="G687" s="19"/>
      <c r="H687" s="19"/>
      <c r="I687" s="19"/>
      <c r="J687" s="19"/>
      <c r="K687" s="10"/>
      <c r="L687" s="10"/>
      <c r="M687" s="10"/>
      <c r="N687" s="10"/>
      <c r="O687" s="18"/>
      <c r="P687" s="18"/>
      <c r="Q687" s="21"/>
      <c r="R687" s="20"/>
      <c r="S687" s="16">
        <f t="shared" si="467"/>
        <v>0</v>
      </c>
      <c r="T687" s="11"/>
      <c r="AS687" s="31">
        <f t="shared" si="468"/>
        <v>0</v>
      </c>
      <c r="AT687" s="31">
        <f t="shared" si="469"/>
        <v>0</v>
      </c>
      <c r="AU687" s="31">
        <f t="shared" si="470"/>
        <v>0</v>
      </c>
      <c r="AV687" s="31">
        <f t="shared" si="471"/>
        <v>0</v>
      </c>
      <c r="AW687" s="31">
        <f t="shared" si="472"/>
        <v>0</v>
      </c>
      <c r="AX687" s="31">
        <f t="shared" si="473"/>
        <v>0</v>
      </c>
      <c r="AY687" s="31">
        <f t="shared" si="474"/>
        <v>0</v>
      </c>
      <c r="AZ687" s="31">
        <f t="shared" si="475"/>
        <v>0</v>
      </c>
      <c r="BA687" s="31">
        <f t="shared" si="476"/>
        <v>0</v>
      </c>
      <c r="BB687" s="31">
        <f t="shared" si="505"/>
        <v>0</v>
      </c>
      <c r="BM687" s="8">
        <f t="shared" si="506"/>
        <v>0</v>
      </c>
      <c r="BN687" s="8">
        <f t="shared" si="477"/>
        <v>0</v>
      </c>
      <c r="BO687" s="8">
        <f t="shared" si="478"/>
        <v>0</v>
      </c>
      <c r="BQ687" s="8">
        <f t="shared" si="479"/>
        <v>0</v>
      </c>
      <c r="BR687" s="63">
        <f t="shared" si="480"/>
        <v>0</v>
      </c>
      <c r="BS687" s="63">
        <f t="shared" si="507"/>
        <v>0</v>
      </c>
      <c r="BT687" s="63">
        <f t="shared" si="481"/>
        <v>0</v>
      </c>
      <c r="BU687" s="63">
        <f t="shared" si="482"/>
        <v>0</v>
      </c>
      <c r="BV687" s="57">
        <f t="shared" si="483"/>
        <v>0</v>
      </c>
      <c r="BW687" s="57">
        <f t="shared" si="484"/>
        <v>0</v>
      </c>
      <c r="BX687" s="57">
        <f t="shared" si="508"/>
        <v>0</v>
      </c>
      <c r="BY687" s="57">
        <f t="shared" si="512"/>
        <v>0</v>
      </c>
      <c r="BZ687" s="8">
        <f t="shared" si="485"/>
        <v>0</v>
      </c>
      <c r="CA687" s="8">
        <f t="shared" si="486"/>
        <v>0</v>
      </c>
      <c r="CB687" s="8">
        <f t="shared" si="487"/>
        <v>0</v>
      </c>
      <c r="CC687" s="8">
        <f t="shared" si="488"/>
        <v>0</v>
      </c>
      <c r="CD687" s="8">
        <f t="shared" si="489"/>
        <v>0</v>
      </c>
      <c r="CE687" s="8">
        <f t="shared" si="490"/>
        <v>0</v>
      </c>
      <c r="CF687" s="8">
        <f t="shared" si="491"/>
        <v>0</v>
      </c>
      <c r="CG687" s="8">
        <f t="shared" si="492"/>
        <v>0</v>
      </c>
      <c r="CH687" s="8">
        <f t="shared" si="493"/>
        <v>0</v>
      </c>
      <c r="CI687" s="8">
        <f t="shared" si="494"/>
        <v>0</v>
      </c>
      <c r="CJ687" s="8">
        <f t="shared" si="495"/>
        <v>0</v>
      </c>
      <c r="CK687" s="8">
        <f t="shared" si="496"/>
        <v>0</v>
      </c>
      <c r="CL687" s="8">
        <f t="shared" si="497"/>
        <v>0</v>
      </c>
      <c r="CM687" s="8">
        <f t="shared" si="498"/>
        <v>0</v>
      </c>
      <c r="CN687" s="8">
        <f t="shared" si="499"/>
        <v>0</v>
      </c>
      <c r="CO687" s="8">
        <f t="shared" si="500"/>
        <v>0</v>
      </c>
      <c r="CP687" s="8">
        <f t="shared" si="501"/>
        <v>0</v>
      </c>
      <c r="CQ687" s="8">
        <f t="shared" si="502"/>
        <v>0</v>
      </c>
      <c r="CR687" s="8">
        <f t="shared" si="503"/>
        <v>0</v>
      </c>
      <c r="CS687" s="8">
        <f t="shared" si="504"/>
        <v>0</v>
      </c>
      <c r="CT687" s="8">
        <f t="shared" si="509"/>
        <v>0</v>
      </c>
      <c r="CU687" s="8">
        <f t="shared" si="510"/>
        <v>0</v>
      </c>
      <c r="CV687" s="8">
        <f t="shared" si="511"/>
        <v>0</v>
      </c>
    </row>
    <row r="688" spans="1:100" ht="20.5" thickTop="1" thickBot="1" x14ac:dyDescent="0.5">
      <c r="A688" s="32"/>
      <c r="B688" s="10"/>
      <c r="C688" s="10"/>
      <c r="D688" s="11"/>
      <c r="E688" s="10"/>
      <c r="F688" s="10"/>
      <c r="G688" s="19"/>
      <c r="H688" s="19"/>
      <c r="I688" s="19"/>
      <c r="J688" s="19"/>
      <c r="K688" s="10"/>
      <c r="L688" s="10"/>
      <c r="M688" s="10"/>
      <c r="N688" s="10"/>
      <c r="O688" s="18"/>
      <c r="P688" s="18"/>
      <c r="Q688" s="21"/>
      <c r="R688" s="20"/>
      <c r="S688" s="16">
        <f t="shared" si="467"/>
        <v>0</v>
      </c>
      <c r="T688" s="11"/>
      <c r="AS688" s="31">
        <f t="shared" si="468"/>
        <v>0</v>
      </c>
      <c r="AT688" s="31">
        <f t="shared" si="469"/>
        <v>0</v>
      </c>
      <c r="AU688" s="31">
        <f t="shared" si="470"/>
        <v>0</v>
      </c>
      <c r="AV688" s="31">
        <f t="shared" si="471"/>
        <v>0</v>
      </c>
      <c r="AW688" s="31">
        <f t="shared" si="472"/>
        <v>0</v>
      </c>
      <c r="AX688" s="31">
        <f t="shared" si="473"/>
        <v>0</v>
      </c>
      <c r="AY688" s="31">
        <f t="shared" si="474"/>
        <v>0</v>
      </c>
      <c r="AZ688" s="31">
        <f t="shared" si="475"/>
        <v>0</v>
      </c>
      <c r="BA688" s="31">
        <f t="shared" si="476"/>
        <v>0</v>
      </c>
      <c r="BB688" s="31">
        <f t="shared" si="505"/>
        <v>0</v>
      </c>
      <c r="BM688" s="8">
        <f t="shared" si="506"/>
        <v>0</v>
      </c>
      <c r="BN688" s="8">
        <f t="shared" si="477"/>
        <v>0</v>
      </c>
      <c r="BO688" s="8">
        <f t="shared" si="478"/>
        <v>0</v>
      </c>
      <c r="BQ688" s="8">
        <f t="shared" si="479"/>
        <v>0</v>
      </c>
      <c r="BR688" s="63">
        <f t="shared" si="480"/>
        <v>0</v>
      </c>
      <c r="BS688" s="63">
        <f t="shared" si="507"/>
        <v>0</v>
      </c>
      <c r="BT688" s="63">
        <f t="shared" si="481"/>
        <v>0</v>
      </c>
      <c r="BU688" s="63">
        <f t="shared" si="482"/>
        <v>0</v>
      </c>
      <c r="BV688" s="57">
        <f t="shared" si="483"/>
        <v>0</v>
      </c>
      <c r="BW688" s="57">
        <f t="shared" si="484"/>
        <v>0</v>
      </c>
      <c r="BX688" s="57">
        <f t="shared" si="508"/>
        <v>0</v>
      </c>
      <c r="BY688" s="57">
        <f t="shared" si="512"/>
        <v>0</v>
      </c>
      <c r="BZ688" s="8">
        <f t="shared" si="485"/>
        <v>0</v>
      </c>
      <c r="CA688" s="8">
        <f t="shared" si="486"/>
        <v>0</v>
      </c>
      <c r="CB688" s="8">
        <f t="shared" si="487"/>
        <v>0</v>
      </c>
      <c r="CC688" s="8">
        <f t="shared" si="488"/>
        <v>0</v>
      </c>
      <c r="CD688" s="8">
        <f t="shared" si="489"/>
        <v>0</v>
      </c>
      <c r="CE688" s="8">
        <f t="shared" si="490"/>
        <v>0</v>
      </c>
      <c r="CF688" s="8">
        <f t="shared" si="491"/>
        <v>0</v>
      </c>
      <c r="CG688" s="8">
        <f t="shared" si="492"/>
        <v>0</v>
      </c>
      <c r="CH688" s="8">
        <f t="shared" si="493"/>
        <v>0</v>
      </c>
      <c r="CI688" s="8">
        <f t="shared" si="494"/>
        <v>0</v>
      </c>
      <c r="CJ688" s="8">
        <f t="shared" si="495"/>
        <v>0</v>
      </c>
      <c r="CK688" s="8">
        <f t="shared" si="496"/>
        <v>0</v>
      </c>
      <c r="CL688" s="8">
        <f t="shared" si="497"/>
        <v>0</v>
      </c>
      <c r="CM688" s="8">
        <f t="shared" si="498"/>
        <v>0</v>
      </c>
      <c r="CN688" s="8">
        <f t="shared" si="499"/>
        <v>0</v>
      </c>
      <c r="CO688" s="8">
        <f t="shared" si="500"/>
        <v>0</v>
      </c>
      <c r="CP688" s="8">
        <f t="shared" si="501"/>
        <v>0</v>
      </c>
      <c r="CQ688" s="8">
        <f t="shared" si="502"/>
        <v>0</v>
      </c>
      <c r="CR688" s="8">
        <f t="shared" si="503"/>
        <v>0</v>
      </c>
      <c r="CS688" s="8">
        <f t="shared" si="504"/>
        <v>0</v>
      </c>
      <c r="CT688" s="8">
        <f t="shared" si="509"/>
        <v>0</v>
      </c>
      <c r="CU688" s="8">
        <f t="shared" si="510"/>
        <v>0</v>
      </c>
      <c r="CV688" s="8">
        <f t="shared" si="511"/>
        <v>0</v>
      </c>
    </row>
    <row r="689" spans="1:100" ht="20.5" thickTop="1" thickBot="1" x14ac:dyDescent="0.5">
      <c r="A689" s="32"/>
      <c r="B689" s="10"/>
      <c r="C689" s="10"/>
      <c r="D689" s="11"/>
      <c r="E689" s="10"/>
      <c r="F689" s="10"/>
      <c r="G689" s="19"/>
      <c r="H689" s="19"/>
      <c r="I689" s="19"/>
      <c r="J689" s="19"/>
      <c r="K689" s="10"/>
      <c r="L689" s="10"/>
      <c r="M689" s="10"/>
      <c r="N689" s="10"/>
      <c r="O689" s="18"/>
      <c r="P689" s="18"/>
      <c r="Q689" s="21"/>
      <c r="R689" s="20"/>
      <c r="S689" s="16">
        <f t="shared" si="467"/>
        <v>0</v>
      </c>
      <c r="T689" s="11"/>
      <c r="AS689" s="31">
        <f t="shared" si="468"/>
        <v>0</v>
      </c>
      <c r="AT689" s="31">
        <f t="shared" si="469"/>
        <v>0</v>
      </c>
      <c r="AU689" s="31">
        <f t="shared" si="470"/>
        <v>0</v>
      </c>
      <c r="AV689" s="31">
        <f t="shared" si="471"/>
        <v>0</v>
      </c>
      <c r="AW689" s="31">
        <f t="shared" si="472"/>
        <v>0</v>
      </c>
      <c r="AX689" s="31">
        <f t="shared" si="473"/>
        <v>0</v>
      </c>
      <c r="AY689" s="31">
        <f t="shared" si="474"/>
        <v>0</v>
      </c>
      <c r="AZ689" s="31">
        <f t="shared" si="475"/>
        <v>0</v>
      </c>
      <c r="BA689" s="31">
        <f t="shared" si="476"/>
        <v>0</v>
      </c>
      <c r="BB689" s="31">
        <f t="shared" si="505"/>
        <v>0</v>
      </c>
      <c r="BM689" s="8">
        <f t="shared" si="506"/>
        <v>0</v>
      </c>
      <c r="BN689" s="8">
        <f t="shared" si="477"/>
        <v>0</v>
      </c>
      <c r="BO689" s="8">
        <f t="shared" si="478"/>
        <v>0</v>
      </c>
      <c r="BQ689" s="8">
        <f t="shared" si="479"/>
        <v>0</v>
      </c>
      <c r="BR689" s="63">
        <f t="shared" si="480"/>
        <v>0</v>
      </c>
      <c r="BS689" s="63">
        <f t="shared" si="507"/>
        <v>0</v>
      </c>
      <c r="BT689" s="63">
        <f t="shared" si="481"/>
        <v>0</v>
      </c>
      <c r="BU689" s="63">
        <f t="shared" si="482"/>
        <v>0</v>
      </c>
      <c r="BV689" s="57">
        <f t="shared" si="483"/>
        <v>0</v>
      </c>
      <c r="BW689" s="57">
        <f t="shared" si="484"/>
        <v>0</v>
      </c>
      <c r="BX689" s="57">
        <f t="shared" si="508"/>
        <v>0</v>
      </c>
      <c r="BY689" s="57">
        <f t="shared" si="512"/>
        <v>0</v>
      </c>
      <c r="BZ689" s="8">
        <f t="shared" si="485"/>
        <v>0</v>
      </c>
      <c r="CA689" s="8">
        <f t="shared" si="486"/>
        <v>0</v>
      </c>
      <c r="CB689" s="8">
        <f t="shared" si="487"/>
        <v>0</v>
      </c>
      <c r="CC689" s="8">
        <f t="shared" si="488"/>
        <v>0</v>
      </c>
      <c r="CD689" s="8">
        <f t="shared" si="489"/>
        <v>0</v>
      </c>
      <c r="CE689" s="8">
        <f t="shared" si="490"/>
        <v>0</v>
      </c>
      <c r="CF689" s="8">
        <f t="shared" si="491"/>
        <v>0</v>
      </c>
      <c r="CG689" s="8">
        <f t="shared" si="492"/>
        <v>0</v>
      </c>
      <c r="CH689" s="8">
        <f t="shared" si="493"/>
        <v>0</v>
      </c>
      <c r="CI689" s="8">
        <f t="shared" si="494"/>
        <v>0</v>
      </c>
      <c r="CJ689" s="8">
        <f t="shared" si="495"/>
        <v>0</v>
      </c>
      <c r="CK689" s="8">
        <f t="shared" si="496"/>
        <v>0</v>
      </c>
      <c r="CL689" s="8">
        <f t="shared" si="497"/>
        <v>0</v>
      </c>
      <c r="CM689" s="8">
        <f t="shared" si="498"/>
        <v>0</v>
      </c>
      <c r="CN689" s="8">
        <f t="shared" si="499"/>
        <v>0</v>
      </c>
      <c r="CO689" s="8">
        <f t="shared" si="500"/>
        <v>0</v>
      </c>
      <c r="CP689" s="8">
        <f t="shared" si="501"/>
        <v>0</v>
      </c>
      <c r="CQ689" s="8">
        <f t="shared" si="502"/>
        <v>0</v>
      </c>
      <c r="CR689" s="8">
        <f t="shared" si="503"/>
        <v>0</v>
      </c>
      <c r="CS689" s="8">
        <f t="shared" si="504"/>
        <v>0</v>
      </c>
      <c r="CT689" s="8">
        <f t="shared" si="509"/>
        <v>0</v>
      </c>
      <c r="CU689" s="8">
        <f t="shared" si="510"/>
        <v>0</v>
      </c>
      <c r="CV689" s="8">
        <f t="shared" si="511"/>
        <v>0</v>
      </c>
    </row>
    <row r="690" spans="1:100" ht="20.5" thickTop="1" thickBot="1" x14ac:dyDescent="0.5">
      <c r="A690" s="32"/>
      <c r="B690" s="10"/>
      <c r="C690" s="10"/>
      <c r="D690" s="11"/>
      <c r="E690" s="10"/>
      <c r="F690" s="10"/>
      <c r="G690" s="19"/>
      <c r="H690" s="19"/>
      <c r="I690" s="19"/>
      <c r="J690" s="19"/>
      <c r="K690" s="10"/>
      <c r="L690" s="10"/>
      <c r="M690" s="10"/>
      <c r="N690" s="10"/>
      <c r="O690" s="18"/>
      <c r="P690" s="18"/>
      <c r="Q690" s="21"/>
      <c r="R690" s="20"/>
      <c r="S690" s="16">
        <f t="shared" si="467"/>
        <v>0</v>
      </c>
      <c r="T690" s="11"/>
      <c r="AS690" s="31">
        <f t="shared" si="468"/>
        <v>0</v>
      </c>
      <c r="AT690" s="31">
        <f t="shared" si="469"/>
        <v>0</v>
      </c>
      <c r="AU690" s="31">
        <f t="shared" si="470"/>
        <v>0</v>
      </c>
      <c r="AV690" s="31">
        <f t="shared" si="471"/>
        <v>0</v>
      </c>
      <c r="AW690" s="31">
        <f t="shared" si="472"/>
        <v>0</v>
      </c>
      <c r="AX690" s="31">
        <f t="shared" si="473"/>
        <v>0</v>
      </c>
      <c r="AY690" s="31">
        <f t="shared" si="474"/>
        <v>0</v>
      </c>
      <c r="AZ690" s="31">
        <f t="shared" si="475"/>
        <v>0</v>
      </c>
      <c r="BA690" s="31">
        <f t="shared" si="476"/>
        <v>0</v>
      </c>
      <c r="BB690" s="31">
        <f t="shared" si="505"/>
        <v>0</v>
      </c>
      <c r="BM690" s="8">
        <f t="shared" si="506"/>
        <v>0</v>
      </c>
      <c r="BN690" s="8">
        <f t="shared" si="477"/>
        <v>0</v>
      </c>
      <c r="BO690" s="8">
        <f t="shared" si="478"/>
        <v>0</v>
      </c>
      <c r="BQ690" s="8">
        <f t="shared" si="479"/>
        <v>0</v>
      </c>
      <c r="BR690" s="63">
        <f t="shared" si="480"/>
        <v>0</v>
      </c>
      <c r="BS690" s="63">
        <f t="shared" si="507"/>
        <v>0</v>
      </c>
      <c r="BT690" s="63">
        <f t="shared" si="481"/>
        <v>0</v>
      </c>
      <c r="BU690" s="63">
        <f t="shared" si="482"/>
        <v>0</v>
      </c>
      <c r="BV690" s="57">
        <f t="shared" si="483"/>
        <v>0</v>
      </c>
      <c r="BW690" s="57">
        <f t="shared" si="484"/>
        <v>0</v>
      </c>
      <c r="BX690" s="57">
        <f t="shared" si="508"/>
        <v>0</v>
      </c>
      <c r="BY690" s="57">
        <f t="shared" si="512"/>
        <v>0</v>
      </c>
      <c r="BZ690" s="8">
        <f t="shared" si="485"/>
        <v>0</v>
      </c>
      <c r="CA690" s="8">
        <f t="shared" si="486"/>
        <v>0</v>
      </c>
      <c r="CB690" s="8">
        <f t="shared" si="487"/>
        <v>0</v>
      </c>
      <c r="CC690" s="8">
        <f t="shared" si="488"/>
        <v>0</v>
      </c>
      <c r="CD690" s="8">
        <f t="shared" si="489"/>
        <v>0</v>
      </c>
      <c r="CE690" s="8">
        <f t="shared" si="490"/>
        <v>0</v>
      </c>
      <c r="CF690" s="8">
        <f t="shared" si="491"/>
        <v>0</v>
      </c>
      <c r="CG690" s="8">
        <f t="shared" si="492"/>
        <v>0</v>
      </c>
      <c r="CH690" s="8">
        <f t="shared" si="493"/>
        <v>0</v>
      </c>
      <c r="CI690" s="8">
        <f t="shared" si="494"/>
        <v>0</v>
      </c>
      <c r="CJ690" s="8">
        <f t="shared" si="495"/>
        <v>0</v>
      </c>
      <c r="CK690" s="8">
        <f t="shared" si="496"/>
        <v>0</v>
      </c>
      <c r="CL690" s="8">
        <f t="shared" si="497"/>
        <v>0</v>
      </c>
      <c r="CM690" s="8">
        <f t="shared" si="498"/>
        <v>0</v>
      </c>
      <c r="CN690" s="8">
        <f t="shared" si="499"/>
        <v>0</v>
      </c>
      <c r="CO690" s="8">
        <f t="shared" si="500"/>
        <v>0</v>
      </c>
      <c r="CP690" s="8">
        <f t="shared" si="501"/>
        <v>0</v>
      </c>
      <c r="CQ690" s="8">
        <f t="shared" si="502"/>
        <v>0</v>
      </c>
      <c r="CR690" s="8">
        <f t="shared" si="503"/>
        <v>0</v>
      </c>
      <c r="CS690" s="8">
        <f t="shared" si="504"/>
        <v>0</v>
      </c>
      <c r="CT690" s="8">
        <f t="shared" si="509"/>
        <v>0</v>
      </c>
      <c r="CU690" s="8">
        <f t="shared" si="510"/>
        <v>0</v>
      </c>
      <c r="CV690" s="8">
        <f t="shared" si="511"/>
        <v>0</v>
      </c>
    </row>
    <row r="691" spans="1:100" ht="20.5" thickTop="1" thickBot="1" x14ac:dyDescent="0.5">
      <c r="A691" s="32"/>
      <c r="B691" s="10"/>
      <c r="C691" s="10"/>
      <c r="D691" s="11"/>
      <c r="E691" s="10"/>
      <c r="F691" s="10"/>
      <c r="G691" s="19"/>
      <c r="H691" s="19"/>
      <c r="I691" s="19"/>
      <c r="J691" s="19"/>
      <c r="K691" s="10"/>
      <c r="L691" s="10"/>
      <c r="M691" s="10"/>
      <c r="N691" s="10"/>
      <c r="O691" s="18"/>
      <c r="P691" s="18"/>
      <c r="Q691" s="21"/>
      <c r="R691" s="20"/>
      <c r="S691" s="16">
        <f t="shared" si="467"/>
        <v>0</v>
      </c>
      <c r="T691" s="11"/>
      <c r="AS691" s="31">
        <f t="shared" si="468"/>
        <v>0</v>
      </c>
      <c r="AT691" s="31">
        <f t="shared" si="469"/>
        <v>0</v>
      </c>
      <c r="AU691" s="31">
        <f t="shared" si="470"/>
        <v>0</v>
      </c>
      <c r="AV691" s="31">
        <f t="shared" si="471"/>
        <v>0</v>
      </c>
      <c r="AW691" s="31">
        <f t="shared" si="472"/>
        <v>0</v>
      </c>
      <c r="AX691" s="31">
        <f t="shared" si="473"/>
        <v>0</v>
      </c>
      <c r="AY691" s="31">
        <f t="shared" si="474"/>
        <v>0</v>
      </c>
      <c r="AZ691" s="31">
        <f t="shared" si="475"/>
        <v>0</v>
      </c>
      <c r="BA691" s="31">
        <f t="shared" si="476"/>
        <v>0</v>
      </c>
      <c r="BB691" s="31">
        <f t="shared" si="505"/>
        <v>0</v>
      </c>
      <c r="BM691" s="8">
        <f t="shared" si="506"/>
        <v>0</v>
      </c>
      <c r="BN691" s="8">
        <f t="shared" si="477"/>
        <v>0</v>
      </c>
      <c r="BO691" s="8">
        <f t="shared" si="478"/>
        <v>0</v>
      </c>
      <c r="BQ691" s="8">
        <f t="shared" si="479"/>
        <v>0</v>
      </c>
      <c r="BR691" s="63">
        <f t="shared" si="480"/>
        <v>0</v>
      </c>
      <c r="BS691" s="63">
        <f t="shared" si="507"/>
        <v>0</v>
      </c>
      <c r="BT691" s="63">
        <f t="shared" si="481"/>
        <v>0</v>
      </c>
      <c r="BU691" s="63">
        <f t="shared" si="482"/>
        <v>0</v>
      </c>
      <c r="BV691" s="57">
        <f t="shared" si="483"/>
        <v>0</v>
      </c>
      <c r="BW691" s="57">
        <f t="shared" si="484"/>
        <v>0</v>
      </c>
      <c r="BX691" s="57">
        <f t="shared" si="508"/>
        <v>0</v>
      </c>
      <c r="BY691" s="57">
        <f t="shared" si="512"/>
        <v>0</v>
      </c>
      <c r="BZ691" s="8">
        <f t="shared" si="485"/>
        <v>0</v>
      </c>
      <c r="CA691" s="8">
        <f t="shared" si="486"/>
        <v>0</v>
      </c>
      <c r="CB691" s="8">
        <f t="shared" si="487"/>
        <v>0</v>
      </c>
      <c r="CC691" s="8">
        <f t="shared" si="488"/>
        <v>0</v>
      </c>
      <c r="CD691" s="8">
        <f t="shared" si="489"/>
        <v>0</v>
      </c>
      <c r="CE691" s="8">
        <f t="shared" si="490"/>
        <v>0</v>
      </c>
      <c r="CF691" s="8">
        <f t="shared" si="491"/>
        <v>0</v>
      </c>
      <c r="CG691" s="8">
        <f t="shared" si="492"/>
        <v>0</v>
      </c>
      <c r="CH691" s="8">
        <f t="shared" si="493"/>
        <v>0</v>
      </c>
      <c r="CI691" s="8">
        <f t="shared" si="494"/>
        <v>0</v>
      </c>
      <c r="CJ691" s="8">
        <f t="shared" si="495"/>
        <v>0</v>
      </c>
      <c r="CK691" s="8">
        <f t="shared" si="496"/>
        <v>0</v>
      </c>
      <c r="CL691" s="8">
        <f t="shared" si="497"/>
        <v>0</v>
      </c>
      <c r="CM691" s="8">
        <f t="shared" si="498"/>
        <v>0</v>
      </c>
      <c r="CN691" s="8">
        <f t="shared" si="499"/>
        <v>0</v>
      </c>
      <c r="CO691" s="8">
        <f t="shared" si="500"/>
        <v>0</v>
      </c>
      <c r="CP691" s="8">
        <f t="shared" si="501"/>
        <v>0</v>
      </c>
      <c r="CQ691" s="8">
        <f t="shared" si="502"/>
        <v>0</v>
      </c>
      <c r="CR691" s="8">
        <f t="shared" si="503"/>
        <v>0</v>
      </c>
      <c r="CS691" s="8">
        <f t="shared" si="504"/>
        <v>0</v>
      </c>
      <c r="CT691" s="8">
        <f t="shared" si="509"/>
        <v>0</v>
      </c>
      <c r="CU691" s="8">
        <f t="shared" si="510"/>
        <v>0</v>
      </c>
      <c r="CV691" s="8">
        <f t="shared" si="511"/>
        <v>0</v>
      </c>
    </row>
    <row r="692" spans="1:100" ht="20.5" thickTop="1" thickBot="1" x14ac:dyDescent="0.5">
      <c r="A692" s="32"/>
      <c r="B692" s="10"/>
      <c r="C692" s="10"/>
      <c r="D692" s="11"/>
      <c r="E692" s="10"/>
      <c r="F692" s="10"/>
      <c r="G692" s="19"/>
      <c r="H692" s="19"/>
      <c r="I692" s="19"/>
      <c r="J692" s="19"/>
      <c r="K692" s="10"/>
      <c r="L692" s="10"/>
      <c r="M692" s="10"/>
      <c r="N692" s="10"/>
      <c r="O692" s="18"/>
      <c r="P692" s="18"/>
      <c r="Q692" s="21"/>
      <c r="R692" s="20"/>
      <c r="S692" s="16">
        <f t="shared" si="467"/>
        <v>0</v>
      </c>
      <c r="T692" s="11"/>
      <c r="AS692" s="31">
        <f t="shared" si="468"/>
        <v>0</v>
      </c>
      <c r="AT692" s="31">
        <f t="shared" si="469"/>
        <v>0</v>
      </c>
      <c r="AU692" s="31">
        <f t="shared" si="470"/>
        <v>0</v>
      </c>
      <c r="AV692" s="31">
        <f t="shared" si="471"/>
        <v>0</v>
      </c>
      <c r="AW692" s="31">
        <f t="shared" si="472"/>
        <v>0</v>
      </c>
      <c r="AX692" s="31">
        <f t="shared" si="473"/>
        <v>0</v>
      </c>
      <c r="AY692" s="31">
        <f t="shared" si="474"/>
        <v>0</v>
      </c>
      <c r="AZ692" s="31">
        <f t="shared" si="475"/>
        <v>0</v>
      </c>
      <c r="BA692" s="31">
        <f t="shared" si="476"/>
        <v>0</v>
      </c>
      <c r="BB692" s="31">
        <f t="shared" si="505"/>
        <v>0</v>
      </c>
      <c r="BM692" s="8">
        <f t="shared" si="506"/>
        <v>0</v>
      </c>
      <c r="BN692" s="8">
        <f t="shared" si="477"/>
        <v>0</v>
      </c>
      <c r="BO692" s="8">
        <f t="shared" si="478"/>
        <v>0</v>
      </c>
      <c r="BQ692" s="8">
        <f t="shared" si="479"/>
        <v>0</v>
      </c>
      <c r="BR692" s="63">
        <f t="shared" si="480"/>
        <v>0</v>
      </c>
      <c r="BS692" s="63">
        <f t="shared" si="507"/>
        <v>0</v>
      </c>
      <c r="BT692" s="63">
        <f t="shared" si="481"/>
        <v>0</v>
      </c>
      <c r="BU692" s="63">
        <f t="shared" si="482"/>
        <v>0</v>
      </c>
      <c r="BV692" s="57">
        <f t="shared" si="483"/>
        <v>0</v>
      </c>
      <c r="BW692" s="57">
        <f t="shared" si="484"/>
        <v>0</v>
      </c>
      <c r="BX692" s="57">
        <f t="shared" si="508"/>
        <v>0</v>
      </c>
      <c r="BY692" s="57">
        <f t="shared" si="512"/>
        <v>0</v>
      </c>
      <c r="BZ692" s="8">
        <f t="shared" si="485"/>
        <v>0</v>
      </c>
      <c r="CA692" s="8">
        <f t="shared" si="486"/>
        <v>0</v>
      </c>
      <c r="CB692" s="8">
        <f t="shared" si="487"/>
        <v>0</v>
      </c>
      <c r="CC692" s="8">
        <f t="shared" si="488"/>
        <v>0</v>
      </c>
      <c r="CD692" s="8">
        <f t="shared" si="489"/>
        <v>0</v>
      </c>
      <c r="CE692" s="8">
        <f t="shared" si="490"/>
        <v>0</v>
      </c>
      <c r="CF692" s="8">
        <f t="shared" si="491"/>
        <v>0</v>
      </c>
      <c r="CG692" s="8">
        <f t="shared" si="492"/>
        <v>0</v>
      </c>
      <c r="CH692" s="8">
        <f t="shared" si="493"/>
        <v>0</v>
      </c>
      <c r="CI692" s="8">
        <f t="shared" si="494"/>
        <v>0</v>
      </c>
      <c r="CJ692" s="8">
        <f t="shared" si="495"/>
        <v>0</v>
      </c>
      <c r="CK692" s="8">
        <f t="shared" si="496"/>
        <v>0</v>
      </c>
      <c r="CL692" s="8">
        <f t="shared" si="497"/>
        <v>0</v>
      </c>
      <c r="CM692" s="8">
        <f t="shared" si="498"/>
        <v>0</v>
      </c>
      <c r="CN692" s="8">
        <f t="shared" si="499"/>
        <v>0</v>
      </c>
      <c r="CO692" s="8">
        <f t="shared" si="500"/>
        <v>0</v>
      </c>
      <c r="CP692" s="8">
        <f t="shared" si="501"/>
        <v>0</v>
      </c>
      <c r="CQ692" s="8">
        <f t="shared" si="502"/>
        <v>0</v>
      </c>
      <c r="CR692" s="8">
        <f t="shared" si="503"/>
        <v>0</v>
      </c>
      <c r="CS692" s="8">
        <f t="shared" si="504"/>
        <v>0</v>
      </c>
      <c r="CT692" s="8">
        <f t="shared" si="509"/>
        <v>0</v>
      </c>
      <c r="CU692" s="8">
        <f t="shared" si="510"/>
        <v>0</v>
      </c>
      <c r="CV692" s="8">
        <f t="shared" si="511"/>
        <v>0</v>
      </c>
    </row>
    <row r="693" spans="1:100" ht="20.5" thickTop="1" thickBot="1" x14ac:dyDescent="0.5">
      <c r="A693" s="32"/>
      <c r="B693" s="10"/>
      <c r="C693" s="10"/>
      <c r="D693" s="11"/>
      <c r="E693" s="10"/>
      <c r="F693" s="10"/>
      <c r="G693" s="19"/>
      <c r="H693" s="19"/>
      <c r="I693" s="19"/>
      <c r="J693" s="19"/>
      <c r="K693" s="10"/>
      <c r="L693" s="10"/>
      <c r="M693" s="10"/>
      <c r="N693" s="10"/>
      <c r="O693" s="18"/>
      <c r="P693" s="18"/>
      <c r="Q693" s="21"/>
      <c r="R693" s="20"/>
      <c r="S693" s="16">
        <f t="shared" si="467"/>
        <v>0</v>
      </c>
      <c r="T693" s="11"/>
      <c r="AS693" s="31">
        <f t="shared" si="468"/>
        <v>0</v>
      </c>
      <c r="AT693" s="31">
        <f t="shared" si="469"/>
        <v>0</v>
      </c>
      <c r="AU693" s="31">
        <f t="shared" si="470"/>
        <v>0</v>
      </c>
      <c r="AV693" s="31">
        <f t="shared" si="471"/>
        <v>0</v>
      </c>
      <c r="AW693" s="31">
        <f t="shared" si="472"/>
        <v>0</v>
      </c>
      <c r="AX693" s="31">
        <f t="shared" si="473"/>
        <v>0</v>
      </c>
      <c r="AY693" s="31">
        <f t="shared" si="474"/>
        <v>0</v>
      </c>
      <c r="AZ693" s="31">
        <f t="shared" si="475"/>
        <v>0</v>
      </c>
      <c r="BA693" s="31">
        <f t="shared" si="476"/>
        <v>0</v>
      </c>
      <c r="BB693" s="31">
        <f t="shared" si="505"/>
        <v>0</v>
      </c>
      <c r="BM693" s="8">
        <f t="shared" si="506"/>
        <v>0</v>
      </c>
      <c r="BN693" s="8">
        <f t="shared" si="477"/>
        <v>0</v>
      </c>
      <c r="BO693" s="8">
        <f t="shared" si="478"/>
        <v>0</v>
      </c>
      <c r="BQ693" s="8">
        <f t="shared" si="479"/>
        <v>0</v>
      </c>
      <c r="BR693" s="63">
        <f t="shared" si="480"/>
        <v>0</v>
      </c>
      <c r="BS693" s="63">
        <f t="shared" si="507"/>
        <v>0</v>
      </c>
      <c r="BT693" s="63">
        <f t="shared" si="481"/>
        <v>0</v>
      </c>
      <c r="BU693" s="63">
        <f t="shared" si="482"/>
        <v>0</v>
      </c>
      <c r="BV693" s="57">
        <f t="shared" si="483"/>
        <v>0</v>
      </c>
      <c r="BW693" s="57">
        <f t="shared" si="484"/>
        <v>0</v>
      </c>
      <c r="BX693" s="57">
        <f t="shared" si="508"/>
        <v>0</v>
      </c>
      <c r="BY693" s="57">
        <f t="shared" si="512"/>
        <v>0</v>
      </c>
      <c r="BZ693" s="8">
        <f t="shared" si="485"/>
        <v>0</v>
      </c>
      <c r="CA693" s="8">
        <f t="shared" si="486"/>
        <v>0</v>
      </c>
      <c r="CB693" s="8">
        <f t="shared" si="487"/>
        <v>0</v>
      </c>
      <c r="CC693" s="8">
        <f t="shared" si="488"/>
        <v>0</v>
      </c>
      <c r="CD693" s="8">
        <f t="shared" si="489"/>
        <v>0</v>
      </c>
      <c r="CE693" s="8">
        <f t="shared" si="490"/>
        <v>0</v>
      </c>
      <c r="CF693" s="8">
        <f t="shared" si="491"/>
        <v>0</v>
      </c>
      <c r="CG693" s="8">
        <f t="shared" si="492"/>
        <v>0</v>
      </c>
      <c r="CH693" s="8">
        <f t="shared" si="493"/>
        <v>0</v>
      </c>
      <c r="CI693" s="8">
        <f t="shared" si="494"/>
        <v>0</v>
      </c>
      <c r="CJ693" s="8">
        <f t="shared" si="495"/>
        <v>0</v>
      </c>
      <c r="CK693" s="8">
        <f t="shared" si="496"/>
        <v>0</v>
      </c>
      <c r="CL693" s="8">
        <f t="shared" si="497"/>
        <v>0</v>
      </c>
      <c r="CM693" s="8">
        <f t="shared" si="498"/>
        <v>0</v>
      </c>
      <c r="CN693" s="8">
        <f t="shared" si="499"/>
        <v>0</v>
      </c>
      <c r="CO693" s="8">
        <f t="shared" si="500"/>
        <v>0</v>
      </c>
      <c r="CP693" s="8">
        <f t="shared" si="501"/>
        <v>0</v>
      </c>
      <c r="CQ693" s="8">
        <f t="shared" si="502"/>
        <v>0</v>
      </c>
      <c r="CR693" s="8">
        <f t="shared" si="503"/>
        <v>0</v>
      </c>
      <c r="CS693" s="8">
        <f t="shared" si="504"/>
        <v>0</v>
      </c>
      <c r="CT693" s="8">
        <f t="shared" si="509"/>
        <v>0</v>
      </c>
      <c r="CU693" s="8">
        <f t="shared" si="510"/>
        <v>0</v>
      </c>
      <c r="CV693" s="8">
        <f t="shared" si="511"/>
        <v>0</v>
      </c>
    </row>
    <row r="694" spans="1:100" ht="20.5" thickTop="1" thickBot="1" x14ac:dyDescent="0.5">
      <c r="A694" s="32"/>
      <c r="B694" s="10"/>
      <c r="C694" s="10"/>
      <c r="D694" s="11"/>
      <c r="E694" s="10"/>
      <c r="F694" s="10"/>
      <c r="G694" s="19"/>
      <c r="H694" s="19"/>
      <c r="I694" s="19"/>
      <c r="J694" s="19"/>
      <c r="K694" s="10"/>
      <c r="L694" s="10"/>
      <c r="M694" s="10"/>
      <c r="N694" s="10"/>
      <c r="O694" s="18"/>
      <c r="P694" s="18"/>
      <c r="Q694" s="21"/>
      <c r="R694" s="20"/>
      <c r="S694" s="16">
        <f t="shared" si="467"/>
        <v>0</v>
      </c>
      <c r="T694" s="11"/>
      <c r="AS694" s="31">
        <f t="shared" si="468"/>
        <v>0</v>
      </c>
      <c r="AT694" s="31">
        <f t="shared" si="469"/>
        <v>0</v>
      </c>
      <c r="AU694" s="31">
        <f t="shared" si="470"/>
        <v>0</v>
      </c>
      <c r="AV694" s="31">
        <f t="shared" si="471"/>
        <v>0</v>
      </c>
      <c r="AW694" s="31">
        <f t="shared" si="472"/>
        <v>0</v>
      </c>
      <c r="AX694" s="31">
        <f t="shared" si="473"/>
        <v>0</v>
      </c>
      <c r="AY694" s="31">
        <f t="shared" si="474"/>
        <v>0</v>
      </c>
      <c r="AZ694" s="31">
        <f t="shared" si="475"/>
        <v>0</v>
      </c>
      <c r="BA694" s="31">
        <f t="shared" si="476"/>
        <v>0</v>
      </c>
      <c r="BB694" s="31">
        <f t="shared" si="505"/>
        <v>0</v>
      </c>
      <c r="BM694" s="8">
        <f t="shared" si="506"/>
        <v>0</v>
      </c>
      <c r="BN694" s="8">
        <f t="shared" si="477"/>
        <v>0</v>
      </c>
      <c r="BO694" s="8">
        <f t="shared" si="478"/>
        <v>0</v>
      </c>
      <c r="BQ694" s="8">
        <f t="shared" si="479"/>
        <v>0</v>
      </c>
      <c r="BR694" s="63">
        <f t="shared" si="480"/>
        <v>0</v>
      </c>
      <c r="BS694" s="63">
        <f t="shared" si="507"/>
        <v>0</v>
      </c>
      <c r="BT694" s="63">
        <f t="shared" si="481"/>
        <v>0</v>
      </c>
      <c r="BU694" s="63">
        <f t="shared" si="482"/>
        <v>0</v>
      </c>
      <c r="BV694" s="57">
        <f t="shared" si="483"/>
        <v>0</v>
      </c>
      <c r="BW694" s="57">
        <f t="shared" si="484"/>
        <v>0</v>
      </c>
      <c r="BX694" s="57">
        <f t="shared" si="508"/>
        <v>0</v>
      </c>
      <c r="BY694" s="57">
        <f t="shared" si="512"/>
        <v>0</v>
      </c>
      <c r="BZ694" s="8">
        <f t="shared" si="485"/>
        <v>0</v>
      </c>
      <c r="CA694" s="8">
        <f t="shared" si="486"/>
        <v>0</v>
      </c>
      <c r="CB694" s="8">
        <f t="shared" si="487"/>
        <v>0</v>
      </c>
      <c r="CC694" s="8">
        <f t="shared" si="488"/>
        <v>0</v>
      </c>
      <c r="CD694" s="8">
        <f t="shared" si="489"/>
        <v>0</v>
      </c>
      <c r="CE694" s="8">
        <f t="shared" si="490"/>
        <v>0</v>
      </c>
      <c r="CF694" s="8">
        <f t="shared" si="491"/>
        <v>0</v>
      </c>
      <c r="CG694" s="8">
        <f t="shared" si="492"/>
        <v>0</v>
      </c>
      <c r="CH694" s="8">
        <f t="shared" si="493"/>
        <v>0</v>
      </c>
      <c r="CI694" s="8">
        <f t="shared" si="494"/>
        <v>0</v>
      </c>
      <c r="CJ694" s="8">
        <f t="shared" si="495"/>
        <v>0</v>
      </c>
      <c r="CK694" s="8">
        <f t="shared" si="496"/>
        <v>0</v>
      </c>
      <c r="CL694" s="8">
        <f t="shared" si="497"/>
        <v>0</v>
      </c>
      <c r="CM694" s="8">
        <f t="shared" si="498"/>
        <v>0</v>
      </c>
      <c r="CN694" s="8">
        <f t="shared" si="499"/>
        <v>0</v>
      </c>
      <c r="CO694" s="8">
        <f t="shared" si="500"/>
        <v>0</v>
      </c>
      <c r="CP694" s="8">
        <f t="shared" si="501"/>
        <v>0</v>
      </c>
      <c r="CQ694" s="8">
        <f t="shared" si="502"/>
        <v>0</v>
      </c>
      <c r="CR694" s="8">
        <f t="shared" si="503"/>
        <v>0</v>
      </c>
      <c r="CS694" s="8">
        <f t="shared" si="504"/>
        <v>0</v>
      </c>
      <c r="CT694" s="8">
        <f t="shared" si="509"/>
        <v>0</v>
      </c>
      <c r="CU694" s="8">
        <f t="shared" si="510"/>
        <v>0</v>
      </c>
      <c r="CV694" s="8">
        <f t="shared" si="511"/>
        <v>0</v>
      </c>
    </row>
    <row r="695" spans="1:100" ht="20.5" thickTop="1" thickBot="1" x14ac:dyDescent="0.5">
      <c r="A695" s="32"/>
      <c r="B695" s="10"/>
      <c r="C695" s="10"/>
      <c r="D695" s="11"/>
      <c r="E695" s="10"/>
      <c r="F695" s="10"/>
      <c r="G695" s="19"/>
      <c r="H695" s="19"/>
      <c r="I695" s="19"/>
      <c r="J695" s="19"/>
      <c r="K695" s="10"/>
      <c r="L695" s="10"/>
      <c r="M695" s="10"/>
      <c r="N695" s="10"/>
      <c r="O695" s="18"/>
      <c r="P695" s="18"/>
      <c r="Q695" s="21"/>
      <c r="R695" s="20"/>
      <c r="S695" s="16">
        <f t="shared" si="467"/>
        <v>0</v>
      </c>
      <c r="T695" s="11"/>
      <c r="AS695" s="31">
        <f t="shared" si="468"/>
        <v>0</v>
      </c>
      <c r="AT695" s="31">
        <f t="shared" si="469"/>
        <v>0</v>
      </c>
      <c r="AU695" s="31">
        <f t="shared" si="470"/>
        <v>0</v>
      </c>
      <c r="AV695" s="31">
        <f t="shared" si="471"/>
        <v>0</v>
      </c>
      <c r="AW695" s="31">
        <f t="shared" si="472"/>
        <v>0</v>
      </c>
      <c r="AX695" s="31">
        <f t="shared" si="473"/>
        <v>0</v>
      </c>
      <c r="AY695" s="31">
        <f t="shared" si="474"/>
        <v>0</v>
      </c>
      <c r="AZ695" s="31">
        <f t="shared" si="475"/>
        <v>0</v>
      </c>
      <c r="BA695" s="31">
        <f t="shared" si="476"/>
        <v>0</v>
      </c>
      <c r="BB695" s="31">
        <f t="shared" si="505"/>
        <v>0</v>
      </c>
      <c r="BM695" s="8">
        <f t="shared" si="506"/>
        <v>0</v>
      </c>
      <c r="BN695" s="8">
        <f t="shared" si="477"/>
        <v>0</v>
      </c>
      <c r="BO695" s="8">
        <f t="shared" si="478"/>
        <v>0</v>
      </c>
      <c r="BQ695" s="8">
        <f t="shared" si="479"/>
        <v>0</v>
      </c>
      <c r="BR695" s="63">
        <f t="shared" si="480"/>
        <v>0</v>
      </c>
      <c r="BS695" s="63">
        <f t="shared" si="507"/>
        <v>0</v>
      </c>
      <c r="BT695" s="63">
        <f t="shared" si="481"/>
        <v>0</v>
      </c>
      <c r="BU695" s="63">
        <f t="shared" si="482"/>
        <v>0</v>
      </c>
      <c r="BV695" s="57">
        <f t="shared" si="483"/>
        <v>0</v>
      </c>
      <c r="BW695" s="57">
        <f t="shared" si="484"/>
        <v>0</v>
      </c>
      <c r="BX695" s="57">
        <f t="shared" si="508"/>
        <v>0</v>
      </c>
      <c r="BY695" s="57">
        <f t="shared" si="512"/>
        <v>0</v>
      </c>
      <c r="BZ695" s="8">
        <f t="shared" si="485"/>
        <v>0</v>
      </c>
      <c r="CA695" s="8">
        <f t="shared" si="486"/>
        <v>0</v>
      </c>
      <c r="CB695" s="8">
        <f t="shared" si="487"/>
        <v>0</v>
      </c>
      <c r="CC695" s="8">
        <f t="shared" si="488"/>
        <v>0</v>
      </c>
      <c r="CD695" s="8">
        <f t="shared" si="489"/>
        <v>0</v>
      </c>
      <c r="CE695" s="8">
        <f t="shared" si="490"/>
        <v>0</v>
      </c>
      <c r="CF695" s="8">
        <f t="shared" si="491"/>
        <v>0</v>
      </c>
      <c r="CG695" s="8">
        <f t="shared" si="492"/>
        <v>0</v>
      </c>
      <c r="CH695" s="8">
        <f t="shared" si="493"/>
        <v>0</v>
      </c>
      <c r="CI695" s="8">
        <f t="shared" si="494"/>
        <v>0</v>
      </c>
      <c r="CJ695" s="8">
        <f t="shared" si="495"/>
        <v>0</v>
      </c>
      <c r="CK695" s="8">
        <f t="shared" si="496"/>
        <v>0</v>
      </c>
      <c r="CL695" s="8">
        <f t="shared" si="497"/>
        <v>0</v>
      </c>
      <c r="CM695" s="8">
        <f t="shared" si="498"/>
        <v>0</v>
      </c>
      <c r="CN695" s="8">
        <f t="shared" si="499"/>
        <v>0</v>
      </c>
      <c r="CO695" s="8">
        <f t="shared" si="500"/>
        <v>0</v>
      </c>
      <c r="CP695" s="8">
        <f t="shared" si="501"/>
        <v>0</v>
      </c>
      <c r="CQ695" s="8">
        <f t="shared" si="502"/>
        <v>0</v>
      </c>
      <c r="CR695" s="8">
        <f t="shared" si="503"/>
        <v>0</v>
      </c>
      <c r="CS695" s="8">
        <f t="shared" si="504"/>
        <v>0</v>
      </c>
      <c r="CT695" s="8">
        <f t="shared" si="509"/>
        <v>0</v>
      </c>
      <c r="CU695" s="8">
        <f t="shared" si="510"/>
        <v>0</v>
      </c>
      <c r="CV695" s="8">
        <f t="shared" si="511"/>
        <v>0</v>
      </c>
    </row>
    <row r="696" spans="1:100" ht="20.5" thickTop="1" thickBot="1" x14ac:dyDescent="0.5">
      <c r="A696" s="32"/>
      <c r="B696" s="10"/>
      <c r="C696" s="10"/>
      <c r="D696" s="11"/>
      <c r="E696" s="10"/>
      <c r="F696" s="10"/>
      <c r="G696" s="19"/>
      <c r="H696" s="19"/>
      <c r="I696" s="19"/>
      <c r="J696" s="19"/>
      <c r="K696" s="10"/>
      <c r="L696" s="10"/>
      <c r="M696" s="10"/>
      <c r="N696" s="10"/>
      <c r="O696" s="18"/>
      <c r="P696" s="18"/>
      <c r="Q696" s="21"/>
      <c r="R696" s="20"/>
      <c r="S696" s="16">
        <f t="shared" si="467"/>
        <v>0</v>
      </c>
      <c r="T696" s="11"/>
      <c r="AS696" s="31">
        <f t="shared" si="468"/>
        <v>0</v>
      </c>
      <c r="AT696" s="31">
        <f t="shared" si="469"/>
        <v>0</v>
      </c>
      <c r="AU696" s="31">
        <f t="shared" si="470"/>
        <v>0</v>
      </c>
      <c r="AV696" s="31">
        <f t="shared" si="471"/>
        <v>0</v>
      </c>
      <c r="AW696" s="31">
        <f t="shared" si="472"/>
        <v>0</v>
      </c>
      <c r="AX696" s="31">
        <f t="shared" si="473"/>
        <v>0</v>
      </c>
      <c r="AY696" s="31">
        <f t="shared" si="474"/>
        <v>0</v>
      </c>
      <c r="AZ696" s="31">
        <f t="shared" si="475"/>
        <v>0</v>
      </c>
      <c r="BA696" s="31">
        <f t="shared" si="476"/>
        <v>0</v>
      </c>
      <c r="BB696" s="31">
        <f t="shared" si="505"/>
        <v>0</v>
      </c>
      <c r="BM696" s="8">
        <f t="shared" si="506"/>
        <v>0</v>
      </c>
      <c r="BN696" s="8">
        <f t="shared" si="477"/>
        <v>0</v>
      </c>
      <c r="BO696" s="8">
        <f t="shared" si="478"/>
        <v>0</v>
      </c>
      <c r="BQ696" s="8">
        <f t="shared" si="479"/>
        <v>0</v>
      </c>
      <c r="BR696" s="63">
        <f t="shared" si="480"/>
        <v>0</v>
      </c>
      <c r="BS696" s="63">
        <f t="shared" si="507"/>
        <v>0</v>
      </c>
      <c r="BT696" s="63">
        <f t="shared" si="481"/>
        <v>0</v>
      </c>
      <c r="BU696" s="63">
        <f t="shared" si="482"/>
        <v>0</v>
      </c>
      <c r="BV696" s="57">
        <f t="shared" si="483"/>
        <v>0</v>
      </c>
      <c r="BW696" s="57">
        <f t="shared" si="484"/>
        <v>0</v>
      </c>
      <c r="BX696" s="57">
        <f t="shared" si="508"/>
        <v>0</v>
      </c>
      <c r="BY696" s="57">
        <f t="shared" si="512"/>
        <v>0</v>
      </c>
      <c r="BZ696" s="8">
        <f t="shared" si="485"/>
        <v>0</v>
      </c>
      <c r="CA696" s="8">
        <f t="shared" si="486"/>
        <v>0</v>
      </c>
      <c r="CB696" s="8">
        <f t="shared" si="487"/>
        <v>0</v>
      </c>
      <c r="CC696" s="8">
        <f t="shared" si="488"/>
        <v>0</v>
      </c>
      <c r="CD696" s="8">
        <f t="shared" si="489"/>
        <v>0</v>
      </c>
      <c r="CE696" s="8">
        <f t="shared" si="490"/>
        <v>0</v>
      </c>
      <c r="CF696" s="8">
        <f t="shared" si="491"/>
        <v>0</v>
      </c>
      <c r="CG696" s="8">
        <f t="shared" si="492"/>
        <v>0</v>
      </c>
      <c r="CH696" s="8">
        <f t="shared" si="493"/>
        <v>0</v>
      </c>
      <c r="CI696" s="8">
        <f t="shared" si="494"/>
        <v>0</v>
      </c>
      <c r="CJ696" s="8">
        <f t="shared" si="495"/>
        <v>0</v>
      </c>
      <c r="CK696" s="8">
        <f t="shared" si="496"/>
        <v>0</v>
      </c>
      <c r="CL696" s="8">
        <f t="shared" si="497"/>
        <v>0</v>
      </c>
      <c r="CM696" s="8">
        <f t="shared" si="498"/>
        <v>0</v>
      </c>
      <c r="CN696" s="8">
        <f t="shared" si="499"/>
        <v>0</v>
      </c>
      <c r="CO696" s="8">
        <f t="shared" si="500"/>
        <v>0</v>
      </c>
      <c r="CP696" s="8">
        <f t="shared" si="501"/>
        <v>0</v>
      </c>
      <c r="CQ696" s="8">
        <f t="shared" si="502"/>
        <v>0</v>
      </c>
      <c r="CR696" s="8">
        <f t="shared" si="503"/>
        <v>0</v>
      </c>
      <c r="CS696" s="8">
        <f t="shared" si="504"/>
        <v>0</v>
      </c>
      <c r="CT696" s="8">
        <f t="shared" si="509"/>
        <v>0</v>
      </c>
      <c r="CU696" s="8">
        <f t="shared" si="510"/>
        <v>0</v>
      </c>
      <c r="CV696" s="8">
        <f t="shared" si="511"/>
        <v>0</v>
      </c>
    </row>
    <row r="697" spans="1:100" ht="20.5" thickTop="1" thickBot="1" x14ac:dyDescent="0.5">
      <c r="A697" s="32"/>
      <c r="B697" s="10"/>
      <c r="C697" s="10"/>
      <c r="D697" s="11"/>
      <c r="E697" s="10"/>
      <c r="F697" s="10"/>
      <c r="G697" s="19"/>
      <c r="H697" s="19"/>
      <c r="I697" s="19"/>
      <c r="J697" s="19"/>
      <c r="K697" s="10"/>
      <c r="L697" s="10"/>
      <c r="M697" s="10"/>
      <c r="N697" s="10"/>
      <c r="O697" s="18"/>
      <c r="P697" s="18"/>
      <c r="Q697" s="21"/>
      <c r="R697" s="20"/>
      <c r="S697" s="16">
        <f t="shared" si="467"/>
        <v>0</v>
      </c>
      <c r="T697" s="11"/>
      <c r="AS697" s="31">
        <f t="shared" si="468"/>
        <v>0</v>
      </c>
      <c r="AT697" s="31">
        <f t="shared" si="469"/>
        <v>0</v>
      </c>
      <c r="AU697" s="31">
        <f t="shared" si="470"/>
        <v>0</v>
      </c>
      <c r="AV697" s="31">
        <f t="shared" si="471"/>
        <v>0</v>
      </c>
      <c r="AW697" s="31">
        <f t="shared" si="472"/>
        <v>0</v>
      </c>
      <c r="AX697" s="31">
        <f t="shared" si="473"/>
        <v>0</v>
      </c>
      <c r="AY697" s="31">
        <f t="shared" si="474"/>
        <v>0</v>
      </c>
      <c r="AZ697" s="31">
        <f t="shared" si="475"/>
        <v>0</v>
      </c>
      <c r="BA697" s="31">
        <f t="shared" si="476"/>
        <v>0</v>
      </c>
      <c r="BB697" s="31">
        <f t="shared" si="505"/>
        <v>0</v>
      </c>
      <c r="BM697" s="8">
        <f t="shared" si="506"/>
        <v>0</v>
      </c>
      <c r="BN697" s="8">
        <f t="shared" si="477"/>
        <v>0</v>
      </c>
      <c r="BO697" s="8">
        <f t="shared" si="478"/>
        <v>0</v>
      </c>
      <c r="BQ697" s="8">
        <f t="shared" si="479"/>
        <v>0</v>
      </c>
      <c r="BR697" s="63">
        <f t="shared" si="480"/>
        <v>0</v>
      </c>
      <c r="BS697" s="63">
        <f t="shared" si="507"/>
        <v>0</v>
      </c>
      <c r="BT697" s="63">
        <f t="shared" si="481"/>
        <v>0</v>
      </c>
      <c r="BU697" s="63">
        <f t="shared" si="482"/>
        <v>0</v>
      </c>
      <c r="BV697" s="57">
        <f t="shared" si="483"/>
        <v>0</v>
      </c>
      <c r="BW697" s="57">
        <f t="shared" si="484"/>
        <v>0</v>
      </c>
      <c r="BX697" s="57">
        <f t="shared" si="508"/>
        <v>0</v>
      </c>
      <c r="BY697" s="57">
        <f t="shared" si="512"/>
        <v>0</v>
      </c>
      <c r="BZ697" s="8">
        <f t="shared" si="485"/>
        <v>0</v>
      </c>
      <c r="CA697" s="8">
        <f t="shared" si="486"/>
        <v>0</v>
      </c>
      <c r="CB697" s="8">
        <f t="shared" si="487"/>
        <v>0</v>
      </c>
      <c r="CC697" s="8">
        <f t="shared" si="488"/>
        <v>0</v>
      </c>
      <c r="CD697" s="8">
        <f t="shared" si="489"/>
        <v>0</v>
      </c>
      <c r="CE697" s="8">
        <f t="shared" si="490"/>
        <v>0</v>
      </c>
      <c r="CF697" s="8">
        <f t="shared" si="491"/>
        <v>0</v>
      </c>
      <c r="CG697" s="8">
        <f t="shared" si="492"/>
        <v>0</v>
      </c>
      <c r="CH697" s="8">
        <f t="shared" si="493"/>
        <v>0</v>
      </c>
      <c r="CI697" s="8">
        <f t="shared" si="494"/>
        <v>0</v>
      </c>
      <c r="CJ697" s="8">
        <f t="shared" si="495"/>
        <v>0</v>
      </c>
      <c r="CK697" s="8">
        <f t="shared" si="496"/>
        <v>0</v>
      </c>
      <c r="CL697" s="8">
        <f t="shared" si="497"/>
        <v>0</v>
      </c>
      <c r="CM697" s="8">
        <f t="shared" si="498"/>
        <v>0</v>
      </c>
      <c r="CN697" s="8">
        <f t="shared" si="499"/>
        <v>0</v>
      </c>
      <c r="CO697" s="8">
        <f t="shared" si="500"/>
        <v>0</v>
      </c>
      <c r="CP697" s="8">
        <f t="shared" si="501"/>
        <v>0</v>
      </c>
      <c r="CQ697" s="8">
        <f t="shared" si="502"/>
        <v>0</v>
      </c>
      <c r="CR697" s="8">
        <f t="shared" si="503"/>
        <v>0</v>
      </c>
      <c r="CS697" s="8">
        <f t="shared" si="504"/>
        <v>0</v>
      </c>
      <c r="CT697" s="8">
        <f t="shared" si="509"/>
        <v>0</v>
      </c>
      <c r="CU697" s="8">
        <f t="shared" si="510"/>
        <v>0</v>
      </c>
      <c r="CV697" s="8">
        <f t="shared" si="511"/>
        <v>0</v>
      </c>
    </row>
    <row r="698" spans="1:100" ht="20.5" thickTop="1" thickBot="1" x14ac:dyDescent="0.5">
      <c r="A698" s="32"/>
      <c r="B698" s="10"/>
      <c r="C698" s="10"/>
      <c r="D698" s="11"/>
      <c r="E698" s="10"/>
      <c r="F698" s="10"/>
      <c r="G698" s="19"/>
      <c r="H698" s="19"/>
      <c r="I698" s="19"/>
      <c r="J698" s="19"/>
      <c r="K698" s="10"/>
      <c r="L698" s="10"/>
      <c r="M698" s="10"/>
      <c r="N698" s="10"/>
      <c r="O698" s="18"/>
      <c r="P698" s="18"/>
      <c r="Q698" s="21"/>
      <c r="R698" s="20"/>
      <c r="S698" s="16">
        <f t="shared" si="467"/>
        <v>0</v>
      </c>
      <c r="T698" s="11"/>
      <c r="AS698" s="31">
        <f t="shared" si="468"/>
        <v>0</v>
      </c>
      <c r="AT698" s="31">
        <f t="shared" si="469"/>
        <v>0</v>
      </c>
      <c r="AU698" s="31">
        <f t="shared" si="470"/>
        <v>0</v>
      </c>
      <c r="AV698" s="31">
        <f t="shared" si="471"/>
        <v>0</v>
      </c>
      <c r="AW698" s="31">
        <f t="shared" si="472"/>
        <v>0</v>
      </c>
      <c r="AX698" s="31">
        <f t="shared" si="473"/>
        <v>0</v>
      </c>
      <c r="AY698" s="31">
        <f t="shared" si="474"/>
        <v>0</v>
      </c>
      <c r="AZ698" s="31">
        <f t="shared" si="475"/>
        <v>0</v>
      </c>
      <c r="BA698" s="31">
        <f t="shared" si="476"/>
        <v>0</v>
      </c>
      <c r="BB698" s="31">
        <f t="shared" si="505"/>
        <v>0</v>
      </c>
      <c r="BM698" s="8">
        <f t="shared" si="506"/>
        <v>0</v>
      </c>
      <c r="BN698" s="8">
        <f t="shared" si="477"/>
        <v>0</v>
      </c>
      <c r="BO698" s="8">
        <f t="shared" si="478"/>
        <v>0</v>
      </c>
      <c r="BQ698" s="8">
        <f t="shared" si="479"/>
        <v>0</v>
      </c>
      <c r="BR698" s="63">
        <f t="shared" si="480"/>
        <v>0</v>
      </c>
      <c r="BS698" s="63">
        <f t="shared" si="507"/>
        <v>0</v>
      </c>
      <c r="BT698" s="63">
        <f t="shared" si="481"/>
        <v>0</v>
      </c>
      <c r="BU698" s="63">
        <f t="shared" si="482"/>
        <v>0</v>
      </c>
      <c r="BV698" s="57">
        <f t="shared" si="483"/>
        <v>0</v>
      </c>
      <c r="BW698" s="57">
        <f t="shared" si="484"/>
        <v>0</v>
      </c>
      <c r="BX698" s="57">
        <f t="shared" si="508"/>
        <v>0</v>
      </c>
      <c r="BY698" s="57">
        <f t="shared" si="512"/>
        <v>0</v>
      </c>
      <c r="BZ698" s="8">
        <f t="shared" si="485"/>
        <v>0</v>
      </c>
      <c r="CA698" s="8">
        <f t="shared" si="486"/>
        <v>0</v>
      </c>
      <c r="CB698" s="8">
        <f t="shared" si="487"/>
        <v>0</v>
      </c>
      <c r="CC698" s="8">
        <f t="shared" si="488"/>
        <v>0</v>
      </c>
      <c r="CD698" s="8">
        <f t="shared" si="489"/>
        <v>0</v>
      </c>
      <c r="CE698" s="8">
        <f t="shared" si="490"/>
        <v>0</v>
      </c>
      <c r="CF698" s="8">
        <f t="shared" si="491"/>
        <v>0</v>
      </c>
      <c r="CG698" s="8">
        <f t="shared" si="492"/>
        <v>0</v>
      </c>
      <c r="CH698" s="8">
        <f t="shared" si="493"/>
        <v>0</v>
      </c>
      <c r="CI698" s="8">
        <f t="shared" si="494"/>
        <v>0</v>
      </c>
      <c r="CJ698" s="8">
        <f t="shared" si="495"/>
        <v>0</v>
      </c>
      <c r="CK698" s="8">
        <f t="shared" si="496"/>
        <v>0</v>
      </c>
      <c r="CL698" s="8">
        <f t="shared" si="497"/>
        <v>0</v>
      </c>
      <c r="CM698" s="8">
        <f t="shared" si="498"/>
        <v>0</v>
      </c>
      <c r="CN698" s="8">
        <f t="shared" si="499"/>
        <v>0</v>
      </c>
      <c r="CO698" s="8">
        <f t="shared" si="500"/>
        <v>0</v>
      </c>
      <c r="CP698" s="8">
        <f t="shared" si="501"/>
        <v>0</v>
      </c>
      <c r="CQ698" s="8">
        <f t="shared" si="502"/>
        <v>0</v>
      </c>
      <c r="CR698" s="8">
        <f t="shared" si="503"/>
        <v>0</v>
      </c>
      <c r="CS698" s="8">
        <f t="shared" si="504"/>
        <v>0</v>
      </c>
      <c r="CT698" s="8">
        <f t="shared" si="509"/>
        <v>0</v>
      </c>
      <c r="CU698" s="8">
        <f t="shared" si="510"/>
        <v>0</v>
      </c>
      <c r="CV698" s="8">
        <f t="shared" si="511"/>
        <v>0</v>
      </c>
    </row>
    <row r="699" spans="1:100" ht="20.5" thickTop="1" thickBot="1" x14ac:dyDescent="0.5">
      <c r="A699" s="32"/>
      <c r="B699" s="10"/>
      <c r="C699" s="10"/>
      <c r="D699" s="11"/>
      <c r="E699" s="10"/>
      <c r="F699" s="10"/>
      <c r="G699" s="19"/>
      <c r="H699" s="19"/>
      <c r="I699" s="19"/>
      <c r="J699" s="19"/>
      <c r="K699" s="10"/>
      <c r="L699" s="10"/>
      <c r="M699" s="10"/>
      <c r="N699" s="10"/>
      <c r="O699" s="18"/>
      <c r="P699" s="18"/>
      <c r="Q699" s="21"/>
      <c r="R699" s="20"/>
      <c r="S699" s="16">
        <f t="shared" si="467"/>
        <v>0</v>
      </c>
      <c r="T699" s="11"/>
      <c r="AS699" s="31">
        <f t="shared" si="468"/>
        <v>0</v>
      </c>
      <c r="AT699" s="31">
        <f t="shared" si="469"/>
        <v>0</v>
      </c>
      <c r="AU699" s="31">
        <f t="shared" si="470"/>
        <v>0</v>
      </c>
      <c r="AV699" s="31">
        <f t="shared" si="471"/>
        <v>0</v>
      </c>
      <c r="AW699" s="31">
        <f t="shared" si="472"/>
        <v>0</v>
      </c>
      <c r="AX699" s="31">
        <f t="shared" si="473"/>
        <v>0</v>
      </c>
      <c r="AY699" s="31">
        <f t="shared" si="474"/>
        <v>0</v>
      </c>
      <c r="AZ699" s="31">
        <f t="shared" si="475"/>
        <v>0</v>
      </c>
      <c r="BA699" s="31">
        <f t="shared" si="476"/>
        <v>0</v>
      </c>
      <c r="BB699" s="31">
        <f t="shared" si="505"/>
        <v>0</v>
      </c>
      <c r="BM699" s="8">
        <f t="shared" si="506"/>
        <v>0</v>
      </c>
      <c r="BN699" s="8">
        <f t="shared" si="477"/>
        <v>0</v>
      </c>
      <c r="BO699" s="8">
        <f t="shared" si="478"/>
        <v>0</v>
      </c>
      <c r="BQ699" s="8">
        <f t="shared" si="479"/>
        <v>0</v>
      </c>
      <c r="BR699" s="63">
        <f t="shared" si="480"/>
        <v>0</v>
      </c>
      <c r="BS699" s="63">
        <f t="shared" si="507"/>
        <v>0</v>
      </c>
      <c r="BT699" s="63">
        <f t="shared" si="481"/>
        <v>0</v>
      </c>
      <c r="BU699" s="63">
        <f t="shared" si="482"/>
        <v>0</v>
      </c>
      <c r="BV699" s="57">
        <f t="shared" si="483"/>
        <v>0</v>
      </c>
      <c r="BW699" s="57">
        <f t="shared" si="484"/>
        <v>0</v>
      </c>
      <c r="BX699" s="57">
        <f t="shared" si="508"/>
        <v>0</v>
      </c>
      <c r="BY699" s="57">
        <f t="shared" si="512"/>
        <v>0</v>
      </c>
      <c r="BZ699" s="8">
        <f t="shared" si="485"/>
        <v>0</v>
      </c>
      <c r="CA699" s="8">
        <f t="shared" si="486"/>
        <v>0</v>
      </c>
      <c r="CB699" s="8">
        <f t="shared" si="487"/>
        <v>0</v>
      </c>
      <c r="CC699" s="8">
        <f t="shared" si="488"/>
        <v>0</v>
      </c>
      <c r="CD699" s="8">
        <f t="shared" si="489"/>
        <v>0</v>
      </c>
      <c r="CE699" s="8">
        <f t="shared" si="490"/>
        <v>0</v>
      </c>
      <c r="CF699" s="8">
        <f t="shared" si="491"/>
        <v>0</v>
      </c>
      <c r="CG699" s="8">
        <f t="shared" si="492"/>
        <v>0</v>
      </c>
      <c r="CH699" s="8">
        <f t="shared" si="493"/>
        <v>0</v>
      </c>
      <c r="CI699" s="8">
        <f t="shared" si="494"/>
        <v>0</v>
      </c>
      <c r="CJ699" s="8">
        <f t="shared" si="495"/>
        <v>0</v>
      </c>
      <c r="CK699" s="8">
        <f t="shared" si="496"/>
        <v>0</v>
      </c>
      <c r="CL699" s="8">
        <f t="shared" si="497"/>
        <v>0</v>
      </c>
      <c r="CM699" s="8">
        <f t="shared" si="498"/>
        <v>0</v>
      </c>
      <c r="CN699" s="8">
        <f t="shared" si="499"/>
        <v>0</v>
      </c>
      <c r="CO699" s="8">
        <f t="shared" si="500"/>
        <v>0</v>
      </c>
      <c r="CP699" s="8">
        <f t="shared" si="501"/>
        <v>0</v>
      </c>
      <c r="CQ699" s="8">
        <f t="shared" si="502"/>
        <v>0</v>
      </c>
      <c r="CR699" s="8">
        <f t="shared" si="503"/>
        <v>0</v>
      </c>
      <c r="CS699" s="8">
        <f t="shared" si="504"/>
        <v>0</v>
      </c>
      <c r="CT699" s="8">
        <f t="shared" si="509"/>
        <v>0</v>
      </c>
      <c r="CU699" s="8">
        <f t="shared" si="510"/>
        <v>0</v>
      </c>
      <c r="CV699" s="8">
        <f t="shared" si="511"/>
        <v>0</v>
      </c>
    </row>
    <row r="700" spans="1:100" ht="20.5" thickTop="1" thickBot="1" x14ac:dyDescent="0.5">
      <c r="A700" s="32"/>
      <c r="B700" s="10"/>
      <c r="C700" s="10"/>
      <c r="D700" s="11"/>
      <c r="E700" s="10"/>
      <c r="F700" s="10"/>
      <c r="G700" s="19"/>
      <c r="H700" s="19"/>
      <c r="I700" s="19"/>
      <c r="J700" s="19"/>
      <c r="K700" s="10"/>
      <c r="L700" s="10"/>
      <c r="M700" s="10"/>
      <c r="N700" s="10"/>
      <c r="O700" s="18"/>
      <c r="P700" s="18"/>
      <c r="Q700" s="21"/>
      <c r="R700" s="20"/>
      <c r="S700" s="16">
        <f t="shared" si="467"/>
        <v>0</v>
      </c>
      <c r="T700" s="11"/>
      <c r="AS700" s="31">
        <f t="shared" si="468"/>
        <v>0</v>
      </c>
      <c r="AT700" s="31">
        <f t="shared" si="469"/>
        <v>0</v>
      </c>
      <c r="AU700" s="31">
        <f t="shared" si="470"/>
        <v>0</v>
      </c>
      <c r="AV700" s="31">
        <f t="shared" si="471"/>
        <v>0</v>
      </c>
      <c r="AW700" s="31">
        <f t="shared" si="472"/>
        <v>0</v>
      </c>
      <c r="AX700" s="31">
        <f t="shared" si="473"/>
        <v>0</v>
      </c>
      <c r="AY700" s="31">
        <f t="shared" si="474"/>
        <v>0</v>
      </c>
      <c r="AZ700" s="31">
        <f t="shared" si="475"/>
        <v>0</v>
      </c>
      <c r="BA700" s="31">
        <f t="shared" si="476"/>
        <v>0</v>
      </c>
      <c r="BB700" s="31">
        <f t="shared" si="505"/>
        <v>0</v>
      </c>
      <c r="BM700" s="8">
        <f t="shared" si="506"/>
        <v>0</v>
      </c>
      <c r="BN700" s="8">
        <f t="shared" si="477"/>
        <v>0</v>
      </c>
      <c r="BO700" s="8">
        <f t="shared" si="478"/>
        <v>0</v>
      </c>
      <c r="BQ700" s="8">
        <f t="shared" si="479"/>
        <v>0</v>
      </c>
      <c r="BR700" s="63">
        <f t="shared" si="480"/>
        <v>0</v>
      </c>
      <c r="BS700" s="63">
        <f t="shared" si="507"/>
        <v>0</v>
      </c>
      <c r="BT700" s="63">
        <f t="shared" si="481"/>
        <v>0</v>
      </c>
      <c r="BU700" s="63">
        <f t="shared" si="482"/>
        <v>0</v>
      </c>
      <c r="BV700" s="57">
        <f t="shared" si="483"/>
        <v>0</v>
      </c>
      <c r="BW700" s="57">
        <f t="shared" si="484"/>
        <v>0</v>
      </c>
      <c r="BX700" s="57">
        <f t="shared" si="508"/>
        <v>0</v>
      </c>
      <c r="BY700" s="57">
        <f t="shared" si="512"/>
        <v>0</v>
      </c>
      <c r="BZ700" s="8">
        <f t="shared" si="485"/>
        <v>0</v>
      </c>
      <c r="CA700" s="8">
        <f t="shared" si="486"/>
        <v>0</v>
      </c>
      <c r="CB700" s="8">
        <f t="shared" si="487"/>
        <v>0</v>
      </c>
      <c r="CC700" s="8">
        <f t="shared" si="488"/>
        <v>0</v>
      </c>
      <c r="CD700" s="8">
        <f t="shared" si="489"/>
        <v>0</v>
      </c>
      <c r="CE700" s="8">
        <f t="shared" si="490"/>
        <v>0</v>
      </c>
      <c r="CF700" s="8">
        <f t="shared" si="491"/>
        <v>0</v>
      </c>
      <c r="CG700" s="8">
        <f t="shared" si="492"/>
        <v>0</v>
      </c>
      <c r="CH700" s="8">
        <f t="shared" si="493"/>
        <v>0</v>
      </c>
      <c r="CI700" s="8">
        <f t="shared" si="494"/>
        <v>0</v>
      </c>
      <c r="CJ700" s="8">
        <f t="shared" si="495"/>
        <v>0</v>
      </c>
      <c r="CK700" s="8">
        <f t="shared" si="496"/>
        <v>0</v>
      </c>
      <c r="CL700" s="8">
        <f t="shared" si="497"/>
        <v>0</v>
      </c>
      <c r="CM700" s="8">
        <f t="shared" si="498"/>
        <v>0</v>
      </c>
      <c r="CN700" s="8">
        <f t="shared" si="499"/>
        <v>0</v>
      </c>
      <c r="CO700" s="8">
        <f t="shared" si="500"/>
        <v>0</v>
      </c>
      <c r="CP700" s="8">
        <f t="shared" si="501"/>
        <v>0</v>
      </c>
      <c r="CQ700" s="8">
        <f t="shared" si="502"/>
        <v>0</v>
      </c>
      <c r="CR700" s="8">
        <f t="shared" si="503"/>
        <v>0</v>
      </c>
      <c r="CS700" s="8">
        <f t="shared" si="504"/>
        <v>0</v>
      </c>
      <c r="CT700" s="8">
        <f t="shared" si="509"/>
        <v>0</v>
      </c>
      <c r="CU700" s="8">
        <f t="shared" si="510"/>
        <v>0</v>
      </c>
      <c r="CV700" s="8">
        <f t="shared" si="511"/>
        <v>0</v>
      </c>
    </row>
    <row r="701" spans="1:100" ht="20.5" thickTop="1" thickBot="1" x14ac:dyDescent="0.5">
      <c r="A701" s="32"/>
      <c r="B701" s="10"/>
      <c r="C701" s="10"/>
      <c r="D701" s="11"/>
      <c r="E701" s="10"/>
      <c r="F701" s="10"/>
      <c r="G701" s="19"/>
      <c r="H701" s="19"/>
      <c r="I701" s="19"/>
      <c r="J701" s="19"/>
      <c r="K701" s="10"/>
      <c r="L701" s="10"/>
      <c r="M701" s="10"/>
      <c r="N701" s="10"/>
      <c r="O701" s="18"/>
      <c r="P701" s="18"/>
      <c r="Q701" s="21"/>
      <c r="R701" s="20"/>
      <c r="S701" s="16">
        <f t="shared" si="467"/>
        <v>0</v>
      </c>
      <c r="T701" s="11"/>
      <c r="AS701" s="31">
        <f t="shared" si="468"/>
        <v>0</v>
      </c>
      <c r="AT701" s="31">
        <f t="shared" si="469"/>
        <v>0</v>
      </c>
      <c r="AU701" s="31">
        <f t="shared" si="470"/>
        <v>0</v>
      </c>
      <c r="AV701" s="31">
        <f t="shared" si="471"/>
        <v>0</v>
      </c>
      <c r="AW701" s="31">
        <f t="shared" si="472"/>
        <v>0</v>
      </c>
      <c r="AX701" s="31">
        <f t="shared" si="473"/>
        <v>0</v>
      </c>
      <c r="AY701" s="31">
        <f t="shared" si="474"/>
        <v>0</v>
      </c>
      <c r="AZ701" s="31">
        <f t="shared" si="475"/>
        <v>0</v>
      </c>
      <c r="BA701" s="31">
        <f t="shared" si="476"/>
        <v>0</v>
      </c>
      <c r="BB701" s="31">
        <f t="shared" si="505"/>
        <v>0</v>
      </c>
      <c r="BM701" s="8">
        <f t="shared" si="506"/>
        <v>0</v>
      </c>
      <c r="BN701" s="8">
        <f t="shared" si="477"/>
        <v>0</v>
      </c>
      <c r="BO701" s="8">
        <f t="shared" si="478"/>
        <v>0</v>
      </c>
      <c r="BQ701" s="8">
        <f t="shared" si="479"/>
        <v>0</v>
      </c>
      <c r="BR701" s="63">
        <f t="shared" si="480"/>
        <v>0</v>
      </c>
      <c r="BS701" s="63">
        <f t="shared" si="507"/>
        <v>0</v>
      </c>
      <c r="BT701" s="63">
        <f t="shared" si="481"/>
        <v>0</v>
      </c>
      <c r="BU701" s="63">
        <f t="shared" si="482"/>
        <v>0</v>
      </c>
      <c r="BV701" s="57">
        <f t="shared" si="483"/>
        <v>0</v>
      </c>
      <c r="BW701" s="57">
        <f t="shared" si="484"/>
        <v>0</v>
      </c>
      <c r="BX701" s="57">
        <f t="shared" si="508"/>
        <v>0</v>
      </c>
      <c r="BY701" s="57">
        <f t="shared" si="512"/>
        <v>0</v>
      </c>
      <c r="BZ701" s="8">
        <f t="shared" si="485"/>
        <v>0</v>
      </c>
      <c r="CA701" s="8">
        <f t="shared" si="486"/>
        <v>0</v>
      </c>
      <c r="CB701" s="8">
        <f t="shared" si="487"/>
        <v>0</v>
      </c>
      <c r="CC701" s="8">
        <f t="shared" si="488"/>
        <v>0</v>
      </c>
      <c r="CD701" s="8">
        <f t="shared" si="489"/>
        <v>0</v>
      </c>
      <c r="CE701" s="8">
        <f t="shared" si="490"/>
        <v>0</v>
      </c>
      <c r="CF701" s="8">
        <f t="shared" si="491"/>
        <v>0</v>
      </c>
      <c r="CG701" s="8">
        <f t="shared" si="492"/>
        <v>0</v>
      </c>
      <c r="CH701" s="8">
        <f t="shared" si="493"/>
        <v>0</v>
      </c>
      <c r="CI701" s="8">
        <f t="shared" si="494"/>
        <v>0</v>
      </c>
      <c r="CJ701" s="8">
        <f t="shared" si="495"/>
        <v>0</v>
      </c>
      <c r="CK701" s="8">
        <f t="shared" si="496"/>
        <v>0</v>
      </c>
      <c r="CL701" s="8">
        <f t="shared" si="497"/>
        <v>0</v>
      </c>
      <c r="CM701" s="8">
        <f t="shared" si="498"/>
        <v>0</v>
      </c>
      <c r="CN701" s="8">
        <f t="shared" si="499"/>
        <v>0</v>
      </c>
      <c r="CO701" s="8">
        <f t="shared" si="500"/>
        <v>0</v>
      </c>
      <c r="CP701" s="8">
        <f t="shared" si="501"/>
        <v>0</v>
      </c>
      <c r="CQ701" s="8">
        <f t="shared" si="502"/>
        <v>0</v>
      </c>
      <c r="CR701" s="8">
        <f t="shared" si="503"/>
        <v>0</v>
      </c>
      <c r="CS701" s="8">
        <f t="shared" si="504"/>
        <v>0</v>
      </c>
      <c r="CT701" s="8">
        <f t="shared" si="509"/>
        <v>0</v>
      </c>
      <c r="CU701" s="8">
        <f t="shared" si="510"/>
        <v>0</v>
      </c>
      <c r="CV701" s="8">
        <f t="shared" si="511"/>
        <v>0</v>
      </c>
    </row>
    <row r="702" spans="1:100" ht="20.5" thickTop="1" thickBot="1" x14ac:dyDescent="0.5">
      <c r="A702" s="32"/>
      <c r="B702" s="10"/>
      <c r="C702" s="10"/>
      <c r="D702" s="11"/>
      <c r="E702" s="10"/>
      <c r="F702" s="10"/>
      <c r="G702" s="19"/>
      <c r="H702" s="19"/>
      <c r="I702" s="19"/>
      <c r="J702" s="19"/>
      <c r="K702" s="10"/>
      <c r="L702" s="10"/>
      <c r="M702" s="10"/>
      <c r="N702" s="10"/>
      <c r="O702" s="18"/>
      <c r="P702" s="18"/>
      <c r="Q702" s="21"/>
      <c r="R702" s="20"/>
      <c r="S702" s="16">
        <f t="shared" si="467"/>
        <v>0</v>
      </c>
      <c r="T702" s="11"/>
      <c r="AS702" s="31">
        <f t="shared" si="468"/>
        <v>0</v>
      </c>
      <c r="AT702" s="31">
        <f t="shared" si="469"/>
        <v>0</v>
      </c>
      <c r="AU702" s="31">
        <f t="shared" si="470"/>
        <v>0</v>
      </c>
      <c r="AV702" s="31">
        <f t="shared" si="471"/>
        <v>0</v>
      </c>
      <c r="AW702" s="31">
        <f t="shared" si="472"/>
        <v>0</v>
      </c>
      <c r="AX702" s="31">
        <f t="shared" si="473"/>
        <v>0</v>
      </c>
      <c r="AY702" s="31">
        <f t="shared" si="474"/>
        <v>0</v>
      </c>
      <c r="AZ702" s="31">
        <f t="shared" si="475"/>
        <v>0</v>
      </c>
      <c r="BA702" s="31">
        <f t="shared" si="476"/>
        <v>0</v>
      </c>
      <c r="BB702" s="31">
        <f t="shared" si="505"/>
        <v>0</v>
      </c>
      <c r="BM702" s="8">
        <f t="shared" si="506"/>
        <v>0</v>
      </c>
      <c r="BN702" s="8">
        <f t="shared" si="477"/>
        <v>0</v>
      </c>
      <c r="BO702" s="8">
        <f t="shared" si="478"/>
        <v>0</v>
      </c>
      <c r="BQ702" s="8">
        <f t="shared" si="479"/>
        <v>0</v>
      </c>
      <c r="BR702" s="63">
        <f t="shared" si="480"/>
        <v>0</v>
      </c>
      <c r="BS702" s="63">
        <f t="shared" si="507"/>
        <v>0</v>
      </c>
      <c r="BT702" s="63">
        <f t="shared" si="481"/>
        <v>0</v>
      </c>
      <c r="BU702" s="63">
        <f t="shared" si="482"/>
        <v>0</v>
      </c>
      <c r="BV702" s="57">
        <f t="shared" si="483"/>
        <v>0</v>
      </c>
      <c r="BW702" s="57">
        <f t="shared" si="484"/>
        <v>0</v>
      </c>
      <c r="BX702" s="57">
        <f t="shared" si="508"/>
        <v>0</v>
      </c>
      <c r="BY702" s="57">
        <f t="shared" si="512"/>
        <v>0</v>
      </c>
      <c r="BZ702" s="8">
        <f t="shared" si="485"/>
        <v>0</v>
      </c>
      <c r="CA702" s="8">
        <f t="shared" si="486"/>
        <v>0</v>
      </c>
      <c r="CB702" s="8">
        <f t="shared" si="487"/>
        <v>0</v>
      </c>
      <c r="CC702" s="8">
        <f t="shared" si="488"/>
        <v>0</v>
      </c>
      <c r="CD702" s="8">
        <f t="shared" si="489"/>
        <v>0</v>
      </c>
      <c r="CE702" s="8">
        <f t="shared" si="490"/>
        <v>0</v>
      </c>
      <c r="CF702" s="8">
        <f t="shared" si="491"/>
        <v>0</v>
      </c>
      <c r="CG702" s="8">
        <f t="shared" si="492"/>
        <v>0</v>
      </c>
      <c r="CH702" s="8">
        <f t="shared" si="493"/>
        <v>0</v>
      </c>
      <c r="CI702" s="8">
        <f t="shared" si="494"/>
        <v>0</v>
      </c>
      <c r="CJ702" s="8">
        <f t="shared" si="495"/>
        <v>0</v>
      </c>
      <c r="CK702" s="8">
        <f t="shared" si="496"/>
        <v>0</v>
      </c>
      <c r="CL702" s="8">
        <f t="shared" si="497"/>
        <v>0</v>
      </c>
      <c r="CM702" s="8">
        <f t="shared" si="498"/>
        <v>0</v>
      </c>
      <c r="CN702" s="8">
        <f t="shared" si="499"/>
        <v>0</v>
      </c>
      <c r="CO702" s="8">
        <f t="shared" si="500"/>
        <v>0</v>
      </c>
      <c r="CP702" s="8">
        <f t="shared" si="501"/>
        <v>0</v>
      </c>
      <c r="CQ702" s="8">
        <f t="shared" si="502"/>
        <v>0</v>
      </c>
      <c r="CR702" s="8">
        <f t="shared" si="503"/>
        <v>0</v>
      </c>
      <c r="CS702" s="8">
        <f t="shared" si="504"/>
        <v>0</v>
      </c>
      <c r="CT702" s="8">
        <f t="shared" si="509"/>
        <v>0</v>
      </c>
      <c r="CU702" s="8">
        <f t="shared" si="510"/>
        <v>0</v>
      </c>
      <c r="CV702" s="8">
        <f t="shared" si="511"/>
        <v>0</v>
      </c>
    </row>
    <row r="703" spans="1:100" ht="20.5" thickTop="1" thickBot="1" x14ac:dyDescent="0.5">
      <c r="A703" s="32"/>
      <c r="B703" s="10"/>
      <c r="C703" s="10"/>
      <c r="D703" s="11"/>
      <c r="E703" s="10"/>
      <c r="F703" s="10"/>
      <c r="G703" s="19"/>
      <c r="H703" s="19"/>
      <c r="I703" s="19"/>
      <c r="J703" s="19"/>
      <c r="K703" s="10"/>
      <c r="L703" s="10"/>
      <c r="M703" s="10"/>
      <c r="N703" s="10"/>
      <c r="O703" s="18"/>
      <c r="P703" s="18"/>
      <c r="Q703" s="21"/>
      <c r="R703" s="20"/>
      <c r="S703" s="16">
        <f t="shared" si="467"/>
        <v>0</v>
      </c>
      <c r="T703" s="11"/>
      <c r="AS703" s="31">
        <f t="shared" si="468"/>
        <v>0</v>
      </c>
      <c r="AT703" s="31">
        <f t="shared" si="469"/>
        <v>0</v>
      </c>
      <c r="AU703" s="31">
        <f t="shared" si="470"/>
        <v>0</v>
      </c>
      <c r="AV703" s="31">
        <f t="shared" si="471"/>
        <v>0</v>
      </c>
      <c r="AW703" s="31">
        <f t="shared" si="472"/>
        <v>0</v>
      </c>
      <c r="AX703" s="31">
        <f t="shared" si="473"/>
        <v>0</v>
      </c>
      <c r="AY703" s="31">
        <f t="shared" si="474"/>
        <v>0</v>
      </c>
      <c r="AZ703" s="31">
        <f t="shared" si="475"/>
        <v>0</v>
      </c>
      <c r="BA703" s="31">
        <f t="shared" si="476"/>
        <v>0</v>
      </c>
      <c r="BB703" s="31">
        <f t="shared" si="505"/>
        <v>0</v>
      </c>
      <c r="BM703" s="8">
        <f t="shared" si="506"/>
        <v>0</v>
      </c>
      <c r="BN703" s="8">
        <f t="shared" si="477"/>
        <v>0</v>
      </c>
      <c r="BO703" s="8">
        <f t="shared" si="478"/>
        <v>0</v>
      </c>
      <c r="BQ703" s="8">
        <f t="shared" si="479"/>
        <v>0</v>
      </c>
      <c r="BR703" s="63">
        <f t="shared" si="480"/>
        <v>0</v>
      </c>
      <c r="BS703" s="63">
        <f t="shared" si="507"/>
        <v>0</v>
      </c>
      <c r="BT703" s="63">
        <f t="shared" si="481"/>
        <v>0</v>
      </c>
      <c r="BU703" s="63">
        <f t="shared" si="482"/>
        <v>0</v>
      </c>
      <c r="BV703" s="57">
        <f t="shared" si="483"/>
        <v>0</v>
      </c>
      <c r="BW703" s="57">
        <f t="shared" si="484"/>
        <v>0</v>
      </c>
      <c r="BX703" s="57">
        <f t="shared" si="508"/>
        <v>0</v>
      </c>
      <c r="BY703" s="57">
        <f t="shared" si="512"/>
        <v>0</v>
      </c>
      <c r="BZ703" s="8">
        <f t="shared" si="485"/>
        <v>0</v>
      </c>
      <c r="CA703" s="8">
        <f t="shared" si="486"/>
        <v>0</v>
      </c>
      <c r="CB703" s="8">
        <f t="shared" si="487"/>
        <v>0</v>
      </c>
      <c r="CC703" s="8">
        <f t="shared" si="488"/>
        <v>0</v>
      </c>
      <c r="CD703" s="8">
        <f t="shared" si="489"/>
        <v>0</v>
      </c>
      <c r="CE703" s="8">
        <f t="shared" si="490"/>
        <v>0</v>
      </c>
      <c r="CF703" s="8">
        <f t="shared" si="491"/>
        <v>0</v>
      </c>
      <c r="CG703" s="8">
        <f t="shared" si="492"/>
        <v>0</v>
      </c>
      <c r="CH703" s="8">
        <f t="shared" si="493"/>
        <v>0</v>
      </c>
      <c r="CI703" s="8">
        <f t="shared" si="494"/>
        <v>0</v>
      </c>
      <c r="CJ703" s="8">
        <f t="shared" si="495"/>
        <v>0</v>
      </c>
      <c r="CK703" s="8">
        <f t="shared" si="496"/>
        <v>0</v>
      </c>
      <c r="CL703" s="8">
        <f t="shared" si="497"/>
        <v>0</v>
      </c>
      <c r="CM703" s="8">
        <f t="shared" si="498"/>
        <v>0</v>
      </c>
      <c r="CN703" s="8">
        <f t="shared" si="499"/>
        <v>0</v>
      </c>
      <c r="CO703" s="8">
        <f t="shared" si="500"/>
        <v>0</v>
      </c>
      <c r="CP703" s="8">
        <f t="shared" si="501"/>
        <v>0</v>
      </c>
      <c r="CQ703" s="8">
        <f t="shared" si="502"/>
        <v>0</v>
      </c>
      <c r="CR703" s="8">
        <f t="shared" si="503"/>
        <v>0</v>
      </c>
      <c r="CS703" s="8">
        <f t="shared" si="504"/>
        <v>0</v>
      </c>
      <c r="CT703" s="8">
        <f t="shared" si="509"/>
        <v>0</v>
      </c>
      <c r="CU703" s="8">
        <f t="shared" si="510"/>
        <v>0</v>
      </c>
      <c r="CV703" s="8">
        <f t="shared" si="511"/>
        <v>0</v>
      </c>
    </row>
    <row r="704" spans="1:100" ht="20.5" thickTop="1" thickBot="1" x14ac:dyDescent="0.5">
      <c r="A704" s="32"/>
      <c r="B704" s="10"/>
      <c r="C704" s="10"/>
      <c r="D704" s="11"/>
      <c r="E704" s="10"/>
      <c r="F704" s="10"/>
      <c r="G704" s="19"/>
      <c r="H704" s="19"/>
      <c r="I704" s="19"/>
      <c r="J704" s="19"/>
      <c r="K704" s="10"/>
      <c r="L704" s="10"/>
      <c r="M704" s="10"/>
      <c r="N704" s="10"/>
      <c r="O704" s="18"/>
      <c r="P704" s="18"/>
      <c r="Q704" s="21"/>
      <c r="R704" s="20"/>
      <c r="S704" s="16">
        <f t="shared" si="467"/>
        <v>0</v>
      </c>
      <c r="T704" s="11"/>
      <c r="AS704" s="31">
        <f t="shared" si="468"/>
        <v>0</v>
      </c>
      <c r="AT704" s="31">
        <f t="shared" si="469"/>
        <v>0</v>
      </c>
      <c r="AU704" s="31">
        <f t="shared" si="470"/>
        <v>0</v>
      </c>
      <c r="AV704" s="31">
        <f t="shared" si="471"/>
        <v>0</v>
      </c>
      <c r="AW704" s="31">
        <f t="shared" si="472"/>
        <v>0</v>
      </c>
      <c r="AX704" s="31">
        <f t="shared" si="473"/>
        <v>0</v>
      </c>
      <c r="AY704" s="31">
        <f t="shared" si="474"/>
        <v>0</v>
      </c>
      <c r="AZ704" s="31">
        <f t="shared" si="475"/>
        <v>0</v>
      </c>
      <c r="BA704" s="31">
        <f t="shared" si="476"/>
        <v>0</v>
      </c>
      <c r="BB704" s="31">
        <f t="shared" si="505"/>
        <v>0</v>
      </c>
      <c r="BM704" s="8">
        <f t="shared" si="506"/>
        <v>0</v>
      </c>
      <c r="BN704" s="8">
        <f t="shared" si="477"/>
        <v>0</v>
      </c>
      <c r="BO704" s="8">
        <f t="shared" si="478"/>
        <v>0</v>
      </c>
      <c r="BQ704" s="8">
        <f t="shared" si="479"/>
        <v>0</v>
      </c>
      <c r="BR704" s="63">
        <f t="shared" si="480"/>
        <v>0</v>
      </c>
      <c r="BS704" s="63">
        <f t="shared" si="507"/>
        <v>0</v>
      </c>
      <c r="BT704" s="63">
        <f t="shared" si="481"/>
        <v>0</v>
      </c>
      <c r="BU704" s="63">
        <f t="shared" si="482"/>
        <v>0</v>
      </c>
      <c r="BV704" s="57">
        <f t="shared" si="483"/>
        <v>0</v>
      </c>
      <c r="BW704" s="57">
        <f t="shared" si="484"/>
        <v>0</v>
      </c>
      <c r="BX704" s="57">
        <f t="shared" si="508"/>
        <v>0</v>
      </c>
      <c r="BY704" s="57">
        <f t="shared" si="512"/>
        <v>0</v>
      </c>
      <c r="BZ704" s="8">
        <f t="shared" si="485"/>
        <v>0</v>
      </c>
      <c r="CA704" s="8">
        <f t="shared" si="486"/>
        <v>0</v>
      </c>
      <c r="CB704" s="8">
        <f t="shared" si="487"/>
        <v>0</v>
      </c>
      <c r="CC704" s="8">
        <f t="shared" si="488"/>
        <v>0</v>
      </c>
      <c r="CD704" s="8">
        <f t="shared" si="489"/>
        <v>0</v>
      </c>
      <c r="CE704" s="8">
        <f t="shared" si="490"/>
        <v>0</v>
      </c>
      <c r="CF704" s="8">
        <f t="shared" si="491"/>
        <v>0</v>
      </c>
      <c r="CG704" s="8">
        <f t="shared" si="492"/>
        <v>0</v>
      </c>
      <c r="CH704" s="8">
        <f t="shared" si="493"/>
        <v>0</v>
      </c>
      <c r="CI704" s="8">
        <f t="shared" si="494"/>
        <v>0</v>
      </c>
      <c r="CJ704" s="8">
        <f t="shared" si="495"/>
        <v>0</v>
      </c>
      <c r="CK704" s="8">
        <f t="shared" si="496"/>
        <v>0</v>
      </c>
      <c r="CL704" s="8">
        <f t="shared" si="497"/>
        <v>0</v>
      </c>
      <c r="CM704" s="8">
        <f t="shared" si="498"/>
        <v>0</v>
      </c>
      <c r="CN704" s="8">
        <f t="shared" si="499"/>
        <v>0</v>
      </c>
      <c r="CO704" s="8">
        <f t="shared" si="500"/>
        <v>0</v>
      </c>
      <c r="CP704" s="8">
        <f t="shared" si="501"/>
        <v>0</v>
      </c>
      <c r="CQ704" s="8">
        <f t="shared" si="502"/>
        <v>0</v>
      </c>
      <c r="CR704" s="8">
        <f t="shared" si="503"/>
        <v>0</v>
      </c>
      <c r="CS704" s="8">
        <f t="shared" si="504"/>
        <v>0</v>
      </c>
      <c r="CT704" s="8">
        <f t="shared" si="509"/>
        <v>0</v>
      </c>
      <c r="CU704" s="8">
        <f t="shared" si="510"/>
        <v>0</v>
      </c>
      <c r="CV704" s="8">
        <f t="shared" si="511"/>
        <v>0</v>
      </c>
    </row>
    <row r="705" spans="1:100" ht="20.5" thickTop="1" thickBot="1" x14ac:dyDescent="0.5">
      <c r="A705" s="32"/>
      <c r="B705" s="10"/>
      <c r="C705" s="10"/>
      <c r="D705" s="11"/>
      <c r="E705" s="10"/>
      <c r="F705" s="10"/>
      <c r="G705" s="19"/>
      <c r="H705" s="19"/>
      <c r="I705" s="19"/>
      <c r="J705" s="19"/>
      <c r="K705" s="10"/>
      <c r="L705" s="10"/>
      <c r="M705" s="10"/>
      <c r="N705" s="10"/>
      <c r="O705" s="18"/>
      <c r="P705" s="18"/>
      <c r="Q705" s="21"/>
      <c r="R705" s="20"/>
      <c r="S705" s="16">
        <f t="shared" si="467"/>
        <v>0</v>
      </c>
      <c r="T705" s="11"/>
      <c r="AS705" s="31">
        <f t="shared" si="468"/>
        <v>0</v>
      </c>
      <c r="AT705" s="31">
        <f t="shared" si="469"/>
        <v>0</v>
      </c>
      <c r="AU705" s="31">
        <f t="shared" si="470"/>
        <v>0</v>
      </c>
      <c r="AV705" s="31">
        <f t="shared" si="471"/>
        <v>0</v>
      </c>
      <c r="AW705" s="31">
        <f t="shared" si="472"/>
        <v>0</v>
      </c>
      <c r="AX705" s="31">
        <f t="shared" si="473"/>
        <v>0</v>
      </c>
      <c r="AY705" s="31">
        <f t="shared" si="474"/>
        <v>0</v>
      </c>
      <c r="AZ705" s="31">
        <f t="shared" si="475"/>
        <v>0</v>
      </c>
      <c r="BA705" s="31">
        <f t="shared" si="476"/>
        <v>0</v>
      </c>
      <c r="BB705" s="31">
        <f t="shared" si="505"/>
        <v>0</v>
      </c>
      <c r="BM705" s="8">
        <f t="shared" si="506"/>
        <v>0</v>
      </c>
      <c r="BN705" s="8">
        <f t="shared" si="477"/>
        <v>0</v>
      </c>
      <c r="BO705" s="8">
        <f t="shared" si="478"/>
        <v>0</v>
      </c>
      <c r="BQ705" s="8">
        <f t="shared" si="479"/>
        <v>0</v>
      </c>
      <c r="BR705" s="63">
        <f t="shared" si="480"/>
        <v>0</v>
      </c>
      <c r="BS705" s="63">
        <f t="shared" si="507"/>
        <v>0</v>
      </c>
      <c r="BT705" s="63">
        <f t="shared" si="481"/>
        <v>0</v>
      </c>
      <c r="BU705" s="63">
        <f t="shared" si="482"/>
        <v>0</v>
      </c>
      <c r="BV705" s="57">
        <f t="shared" si="483"/>
        <v>0</v>
      </c>
      <c r="BW705" s="57">
        <f t="shared" si="484"/>
        <v>0</v>
      </c>
      <c r="BX705" s="57">
        <f t="shared" si="508"/>
        <v>0</v>
      </c>
      <c r="BY705" s="57">
        <f t="shared" si="512"/>
        <v>0</v>
      </c>
      <c r="BZ705" s="8">
        <f t="shared" si="485"/>
        <v>0</v>
      </c>
      <c r="CA705" s="8">
        <f t="shared" si="486"/>
        <v>0</v>
      </c>
      <c r="CB705" s="8">
        <f t="shared" si="487"/>
        <v>0</v>
      </c>
      <c r="CC705" s="8">
        <f t="shared" si="488"/>
        <v>0</v>
      </c>
      <c r="CD705" s="8">
        <f t="shared" si="489"/>
        <v>0</v>
      </c>
      <c r="CE705" s="8">
        <f t="shared" si="490"/>
        <v>0</v>
      </c>
      <c r="CF705" s="8">
        <f t="shared" si="491"/>
        <v>0</v>
      </c>
      <c r="CG705" s="8">
        <f t="shared" si="492"/>
        <v>0</v>
      </c>
      <c r="CH705" s="8">
        <f t="shared" si="493"/>
        <v>0</v>
      </c>
      <c r="CI705" s="8">
        <f t="shared" si="494"/>
        <v>0</v>
      </c>
      <c r="CJ705" s="8">
        <f t="shared" si="495"/>
        <v>0</v>
      </c>
      <c r="CK705" s="8">
        <f t="shared" si="496"/>
        <v>0</v>
      </c>
      <c r="CL705" s="8">
        <f t="shared" si="497"/>
        <v>0</v>
      </c>
      <c r="CM705" s="8">
        <f t="shared" si="498"/>
        <v>0</v>
      </c>
      <c r="CN705" s="8">
        <f t="shared" si="499"/>
        <v>0</v>
      </c>
      <c r="CO705" s="8">
        <f t="shared" si="500"/>
        <v>0</v>
      </c>
      <c r="CP705" s="8">
        <f t="shared" si="501"/>
        <v>0</v>
      </c>
      <c r="CQ705" s="8">
        <f t="shared" si="502"/>
        <v>0</v>
      </c>
      <c r="CR705" s="8">
        <f t="shared" si="503"/>
        <v>0</v>
      </c>
      <c r="CS705" s="8">
        <f t="shared" si="504"/>
        <v>0</v>
      </c>
      <c r="CT705" s="8">
        <f t="shared" si="509"/>
        <v>0</v>
      </c>
      <c r="CU705" s="8">
        <f t="shared" si="510"/>
        <v>0</v>
      </c>
      <c r="CV705" s="8">
        <f t="shared" si="511"/>
        <v>0</v>
      </c>
    </row>
    <row r="706" spans="1:100" ht="20.5" thickTop="1" thickBot="1" x14ac:dyDescent="0.5">
      <c r="A706" s="32"/>
      <c r="B706" s="10"/>
      <c r="C706" s="10"/>
      <c r="D706" s="11"/>
      <c r="E706" s="10"/>
      <c r="F706" s="10"/>
      <c r="G706" s="19"/>
      <c r="H706" s="19"/>
      <c r="I706" s="19"/>
      <c r="J706" s="19"/>
      <c r="K706" s="10"/>
      <c r="L706" s="10"/>
      <c r="M706" s="10"/>
      <c r="N706" s="10"/>
      <c r="O706" s="18"/>
      <c r="P706" s="18"/>
      <c r="Q706" s="21"/>
      <c r="R706" s="20"/>
      <c r="S706" s="16">
        <f t="shared" si="467"/>
        <v>0</v>
      </c>
      <c r="T706" s="11"/>
      <c r="AS706" s="31">
        <f t="shared" si="468"/>
        <v>0</v>
      </c>
      <c r="AT706" s="31">
        <f t="shared" si="469"/>
        <v>0</v>
      </c>
      <c r="AU706" s="31">
        <f t="shared" si="470"/>
        <v>0</v>
      </c>
      <c r="AV706" s="31">
        <f t="shared" si="471"/>
        <v>0</v>
      </c>
      <c r="AW706" s="31">
        <f t="shared" si="472"/>
        <v>0</v>
      </c>
      <c r="AX706" s="31">
        <f t="shared" si="473"/>
        <v>0</v>
      </c>
      <c r="AY706" s="31">
        <f t="shared" si="474"/>
        <v>0</v>
      </c>
      <c r="AZ706" s="31">
        <f t="shared" si="475"/>
        <v>0</v>
      </c>
      <c r="BA706" s="31">
        <f t="shared" si="476"/>
        <v>0</v>
      </c>
      <c r="BB706" s="31">
        <f t="shared" si="505"/>
        <v>0</v>
      </c>
      <c r="BM706" s="8">
        <f t="shared" si="506"/>
        <v>0</v>
      </c>
      <c r="BN706" s="8">
        <f t="shared" si="477"/>
        <v>0</v>
      </c>
      <c r="BO706" s="8">
        <f t="shared" si="478"/>
        <v>0</v>
      </c>
      <c r="BQ706" s="8">
        <f t="shared" si="479"/>
        <v>0</v>
      </c>
      <c r="BR706" s="63">
        <f t="shared" si="480"/>
        <v>0</v>
      </c>
      <c r="BS706" s="63">
        <f t="shared" si="507"/>
        <v>0</v>
      </c>
      <c r="BT706" s="63">
        <f t="shared" si="481"/>
        <v>0</v>
      </c>
      <c r="BU706" s="63">
        <f t="shared" si="482"/>
        <v>0</v>
      </c>
      <c r="BV706" s="57">
        <f t="shared" si="483"/>
        <v>0</v>
      </c>
      <c r="BW706" s="57">
        <f t="shared" si="484"/>
        <v>0</v>
      </c>
      <c r="BX706" s="57">
        <f t="shared" si="508"/>
        <v>0</v>
      </c>
      <c r="BY706" s="57">
        <f t="shared" si="512"/>
        <v>0</v>
      </c>
      <c r="BZ706" s="8">
        <f t="shared" si="485"/>
        <v>0</v>
      </c>
      <c r="CA706" s="8">
        <f t="shared" si="486"/>
        <v>0</v>
      </c>
      <c r="CB706" s="8">
        <f t="shared" si="487"/>
        <v>0</v>
      </c>
      <c r="CC706" s="8">
        <f t="shared" si="488"/>
        <v>0</v>
      </c>
      <c r="CD706" s="8">
        <f t="shared" si="489"/>
        <v>0</v>
      </c>
      <c r="CE706" s="8">
        <f t="shared" si="490"/>
        <v>0</v>
      </c>
      <c r="CF706" s="8">
        <f t="shared" si="491"/>
        <v>0</v>
      </c>
      <c r="CG706" s="8">
        <f t="shared" si="492"/>
        <v>0</v>
      </c>
      <c r="CH706" s="8">
        <f t="shared" si="493"/>
        <v>0</v>
      </c>
      <c r="CI706" s="8">
        <f t="shared" si="494"/>
        <v>0</v>
      </c>
      <c r="CJ706" s="8">
        <f t="shared" si="495"/>
        <v>0</v>
      </c>
      <c r="CK706" s="8">
        <f t="shared" si="496"/>
        <v>0</v>
      </c>
      <c r="CL706" s="8">
        <f t="shared" si="497"/>
        <v>0</v>
      </c>
      <c r="CM706" s="8">
        <f t="shared" si="498"/>
        <v>0</v>
      </c>
      <c r="CN706" s="8">
        <f t="shared" si="499"/>
        <v>0</v>
      </c>
      <c r="CO706" s="8">
        <f t="shared" si="500"/>
        <v>0</v>
      </c>
      <c r="CP706" s="8">
        <f t="shared" si="501"/>
        <v>0</v>
      </c>
      <c r="CQ706" s="8">
        <f t="shared" si="502"/>
        <v>0</v>
      </c>
      <c r="CR706" s="8">
        <f t="shared" si="503"/>
        <v>0</v>
      </c>
      <c r="CS706" s="8">
        <f t="shared" si="504"/>
        <v>0</v>
      </c>
      <c r="CT706" s="8">
        <f t="shared" si="509"/>
        <v>0</v>
      </c>
      <c r="CU706" s="8">
        <f t="shared" si="510"/>
        <v>0</v>
      </c>
      <c r="CV706" s="8">
        <f t="shared" si="511"/>
        <v>0</v>
      </c>
    </row>
    <row r="707" spans="1:100" ht="20.5" thickTop="1" thickBot="1" x14ac:dyDescent="0.5">
      <c r="A707" s="32"/>
      <c r="B707" s="10"/>
      <c r="C707" s="10"/>
      <c r="D707" s="11"/>
      <c r="E707" s="10"/>
      <c r="F707" s="10"/>
      <c r="G707" s="19"/>
      <c r="H707" s="19"/>
      <c r="I707" s="19"/>
      <c r="J707" s="19"/>
      <c r="K707" s="10"/>
      <c r="L707" s="10"/>
      <c r="M707" s="10"/>
      <c r="N707" s="10"/>
      <c r="O707" s="18"/>
      <c r="P707" s="18"/>
      <c r="Q707" s="21"/>
      <c r="R707" s="20"/>
      <c r="S707" s="16">
        <f t="shared" si="467"/>
        <v>0</v>
      </c>
      <c r="T707" s="11"/>
      <c r="AS707" s="31">
        <f t="shared" si="468"/>
        <v>0</v>
      </c>
      <c r="AT707" s="31">
        <f t="shared" si="469"/>
        <v>0</v>
      </c>
      <c r="AU707" s="31">
        <f t="shared" si="470"/>
        <v>0</v>
      </c>
      <c r="AV707" s="31">
        <f t="shared" si="471"/>
        <v>0</v>
      </c>
      <c r="AW707" s="31">
        <f t="shared" si="472"/>
        <v>0</v>
      </c>
      <c r="AX707" s="31">
        <f t="shared" si="473"/>
        <v>0</v>
      </c>
      <c r="AY707" s="31">
        <f t="shared" si="474"/>
        <v>0</v>
      </c>
      <c r="AZ707" s="31">
        <f t="shared" si="475"/>
        <v>0</v>
      </c>
      <c r="BA707" s="31">
        <f t="shared" si="476"/>
        <v>0</v>
      </c>
      <c r="BB707" s="31">
        <f t="shared" si="505"/>
        <v>0</v>
      </c>
      <c r="BM707" s="8">
        <f t="shared" si="506"/>
        <v>0</v>
      </c>
      <c r="BN707" s="8">
        <f t="shared" si="477"/>
        <v>0</v>
      </c>
      <c r="BO707" s="8">
        <f t="shared" si="478"/>
        <v>0</v>
      </c>
      <c r="BQ707" s="8">
        <f t="shared" si="479"/>
        <v>0</v>
      </c>
      <c r="BR707" s="63">
        <f t="shared" si="480"/>
        <v>0</v>
      </c>
      <c r="BS707" s="63">
        <f t="shared" si="507"/>
        <v>0</v>
      </c>
      <c r="BT707" s="63">
        <f t="shared" si="481"/>
        <v>0</v>
      </c>
      <c r="BU707" s="63">
        <f t="shared" si="482"/>
        <v>0</v>
      </c>
      <c r="BV707" s="57">
        <f t="shared" si="483"/>
        <v>0</v>
      </c>
      <c r="BW707" s="57">
        <f t="shared" si="484"/>
        <v>0</v>
      </c>
      <c r="BX707" s="57">
        <f t="shared" si="508"/>
        <v>0</v>
      </c>
      <c r="BY707" s="57">
        <f t="shared" si="512"/>
        <v>0</v>
      </c>
      <c r="BZ707" s="8">
        <f t="shared" si="485"/>
        <v>0</v>
      </c>
      <c r="CA707" s="8">
        <f t="shared" si="486"/>
        <v>0</v>
      </c>
      <c r="CB707" s="8">
        <f t="shared" si="487"/>
        <v>0</v>
      </c>
      <c r="CC707" s="8">
        <f t="shared" si="488"/>
        <v>0</v>
      </c>
      <c r="CD707" s="8">
        <f t="shared" si="489"/>
        <v>0</v>
      </c>
      <c r="CE707" s="8">
        <f t="shared" si="490"/>
        <v>0</v>
      </c>
      <c r="CF707" s="8">
        <f t="shared" si="491"/>
        <v>0</v>
      </c>
      <c r="CG707" s="8">
        <f t="shared" si="492"/>
        <v>0</v>
      </c>
      <c r="CH707" s="8">
        <f t="shared" si="493"/>
        <v>0</v>
      </c>
      <c r="CI707" s="8">
        <f t="shared" si="494"/>
        <v>0</v>
      </c>
      <c r="CJ707" s="8">
        <f t="shared" si="495"/>
        <v>0</v>
      </c>
      <c r="CK707" s="8">
        <f t="shared" si="496"/>
        <v>0</v>
      </c>
      <c r="CL707" s="8">
        <f t="shared" si="497"/>
        <v>0</v>
      </c>
      <c r="CM707" s="8">
        <f t="shared" si="498"/>
        <v>0</v>
      </c>
      <c r="CN707" s="8">
        <f t="shared" si="499"/>
        <v>0</v>
      </c>
      <c r="CO707" s="8">
        <f t="shared" si="500"/>
        <v>0</v>
      </c>
      <c r="CP707" s="8">
        <f t="shared" si="501"/>
        <v>0</v>
      </c>
      <c r="CQ707" s="8">
        <f t="shared" si="502"/>
        <v>0</v>
      </c>
      <c r="CR707" s="8">
        <f t="shared" si="503"/>
        <v>0</v>
      </c>
      <c r="CS707" s="8">
        <f t="shared" si="504"/>
        <v>0</v>
      </c>
      <c r="CT707" s="8">
        <f t="shared" si="509"/>
        <v>0</v>
      </c>
      <c r="CU707" s="8">
        <f t="shared" si="510"/>
        <v>0</v>
      </c>
      <c r="CV707" s="8">
        <f t="shared" si="511"/>
        <v>0</v>
      </c>
    </row>
    <row r="708" spans="1:100" ht="20.5" thickTop="1" thickBot="1" x14ac:dyDescent="0.5">
      <c r="A708" s="32"/>
      <c r="B708" s="10"/>
      <c r="C708" s="10"/>
      <c r="D708" s="11"/>
      <c r="E708" s="10"/>
      <c r="F708" s="10"/>
      <c r="G708" s="19"/>
      <c r="H708" s="19"/>
      <c r="I708" s="19"/>
      <c r="J708" s="19"/>
      <c r="K708" s="10"/>
      <c r="L708" s="10"/>
      <c r="M708" s="10"/>
      <c r="N708" s="10"/>
      <c r="O708" s="18"/>
      <c r="P708" s="18"/>
      <c r="Q708" s="21"/>
      <c r="R708" s="20"/>
      <c r="S708" s="16">
        <f t="shared" ref="S708:S771" si="513">IF(AND(K708="asphalted",M708="sub",BV708&lt;=1,BV708&gt;0),1+2*0.15,IF(AND(K708="asphalted",OR(M708="main",M708="MOT"),BV708&lt;=1,BV708&gt;0),1+2*0.3,IF(AND(K708="asphalted",M708="sub",BV708&gt;1),BV708+2*0.15,IF(AND(K708="asphalted",OR(M708="main",M708="MOT"),BV708&gt;1),BV708+2*0.3,0))))</f>
        <v>0</v>
      </c>
      <c r="T708" s="11"/>
      <c r="AS708" s="31">
        <f t="shared" ref="AS708:AS771" si="514">IF(F708=1,0.4,IF(F708&gt;1,F708*0.3,0))</f>
        <v>0</v>
      </c>
      <c r="AT708" s="31">
        <f t="shared" ref="AT708:AT771" si="515">IF(AND(G708&lt;4,G708&gt;0),0.4,IF(G708&gt;3,0.4+(G708-3)*0.1,0))</f>
        <v>0</v>
      </c>
      <c r="AU708" s="31">
        <f t="shared" ref="AU708:AU771" si="516">AT708-AS708</f>
        <v>0</v>
      </c>
      <c r="AV708" s="31">
        <f t="shared" ref="AV708:AV771" si="517">IF(AND(OR(OR(E708="normal",E708="special"),E708="special"),F708=0,G708&gt;0,G708&lt;5),"LV"&amp;G708,IF(AND(OR(OR(E708="normal",E708="special"),E708="special"),F708=0,G708&gt;4),"LVCU",IF(AND(OR(OR(E708="normal",E708="special"),E708="special"),F708&gt;4),"MVCU",IF(AND(OR(OR(E708="normal",E708="special"),E708="special"),F708&gt;0,F708&lt;5),"MV"&amp;F708,IF(AND(E708="mini-trench",F708=1),"mini-trench MV",IF(AND(E708="mini-trench",G708&lt;3,G708&lt;&gt;0),"mini-trench LV",0))))))</f>
        <v>0</v>
      </c>
      <c r="AW708" s="31">
        <f t="shared" ref="AW708:AW771" si="518">IF(B708="joint",F708,0)+IF(C708="joint",F708,0)+IF(OR(B708="new ss",B708="ss"),F708*3)+IF(B708="pole",F708*10)+IF(OR(C708="new ss",C708="ss"),F708*3)+IF(C708="pole",F708*10)+IF(B708="grid",F708*30)+IF(C708="grid",F708*30)</f>
        <v>0</v>
      </c>
      <c r="AX708" s="31">
        <f t="shared" ref="AX708:AX771" si="519">IF(J708&gt;0,IF(OR(B708="ss",C708="ss"),J708*3,0)+IF(OR(B708="new ss",C708="new ss"),J708*3,0)+IF(OR(B708="DC",C708="DC"),J708*1.5,0)+IF(OR(B708="new DC",C708="new DC"),J708*1.5,0)+IF(OR(B708="MB",C708="MB"),J708*2,0)+IF(OR(B708="pole",C708="pole"),J708*10,0),0)</f>
        <v>0</v>
      </c>
      <c r="AY708" s="31">
        <f t="shared" ref="AY708:AY771" si="520">IF(I708&gt;0,IF(OR(B708="ss",C708="ss"),I708*3,0)+IF(OR(B708="new ss",C708="new ss"),I708*3,0)+IF(OR(B708="DC",C708="DC"),I708*1.5,0)+IF(OR(B708="new DC",C708="new DC"),J708*1.5,0)+IF(OR(B708="MB",C708="MB"),I708*2,0)+IF(OR(B708="pole",C708="pole"),I708*10,0),0)</f>
        <v>0</v>
      </c>
      <c r="AZ708" s="31">
        <f t="shared" ref="AZ708:AZ771" si="521">IF(H708&gt;0,IF(OR(B708="ss",C708="ss"),H708*3,0)+IF(OR(B708="new ss",C708="new ss"),H708*3,0)+IF(OR(B708="DC",C708="DC"),H708*2,0)+IF(OR(B708="new DC",C708="new DC"),H708*1.5,0)+IF(OR(B708="MB",C708="MB"),H708*2,0)+IF(OR(B708="pole",C708="pole"),H708*10,0)+IF(OR(B708="pole",C708="pole"),H708*10,0),0)</f>
        <v>0</v>
      </c>
      <c r="BA708" s="31">
        <f t="shared" ref="BA708:BA771" si="522">IF(E708="manual",IF(AU708&lt;0,D708*AS708*0.8,IF(AND(AS708&gt;0,AU708&gt;0),D708*AS708*0.8+D708*AU708*0.65,IF(AND(AS708=0,AT708&gt;0),D708*AT708*0.65,0))),0)</f>
        <v>0</v>
      </c>
      <c r="BB708" s="31">
        <f t="shared" si="505"/>
        <v>0</v>
      </c>
      <c r="BM708" s="8">
        <f t="shared" si="506"/>
        <v>0</v>
      </c>
      <c r="BN708" s="8">
        <f t="shared" ref="BN708:BN771" si="523">IFERROR(IF(AND(K708="asphalted",E708="mini-trench",R708=""),1*D708,IF(AND(K708="asphalted",R708&gt;0,MandRcalc="Complete M&amp;R area"),R708*D708,IF(AND(K708="asphalted",R708&gt;0,MandRcalc="M&amp;R area - asphalting area"),(R708-BR708/D708)*D708,0))),0)</f>
        <v>0</v>
      </c>
      <c r="BO708" s="8">
        <f t="shared" ref="BO708:BO771" si="524">IF(BQ708&lt;MINEXCNA,0,IF(AND(E708="normal",F708&lt;5,G708&lt;12,K708&lt;&gt;"asphalted",AT708&gt;AS708,AS708&lt;&gt;0),(BQ708-AT708)*0.65,IF(AND(E708="normal",F708&lt;5,G708&lt;12,K708&lt;&gt;"asphalted",AS708&gt;=AT708),(BQ708-AS708)*0.8,IF(AND(E708="normal",F708&lt;5,G708&lt;12,K708&lt;&gt;"asphalted",AT708&gt;0,AS708=0),(BQ708-AT708)*0.65,0)))*D708)</f>
        <v>0</v>
      </c>
      <c r="BQ708" s="8">
        <f t="shared" ref="BQ708:BQ771" si="525">IF(E708="special",O708,IF(AND(OR(E708="normal",E708="manual"),O708="",K708="asphalted",BV708&lt;=MINEXC),MINEXC,IF(AND(OR(E708="normal",E708="manual"),O708&lt;&gt;"",K708="asphalted"),MIN(O708,BV708),IF(AND(OR(E708="normal",E708="manual"),O708="",K708&lt;&gt;"asphalted",BV708&lt;=MINEXCNA),MINEXCNA,IF(AND(OR(E708="normal",E708="manual"),O708&lt;&gt;"",K708&lt;&gt;"asphalted"),MIN(O708,BV708),BV708)))))</f>
        <v>0</v>
      </c>
      <c r="BR708" s="63">
        <f t="shared" ref="BR708:BR771" si="526">IFERROR(IF(AND(E708&lt;&gt;"mini-trecnh",K708="asphalted",Q708&lt;&gt;"",S708=0),D708*Q708,IF(AND(E708&lt;&gt;"mini-trecnh",K708="asphalted",Q708&lt;&gt;"",S708&lt;&gt;0),D708*MIN(Q708,S708),IF(AND(E708&lt;&gt;"mini-trecnh",K708="asphalted",Q708=""),D708*S708,0))),0)</f>
        <v>0</v>
      </c>
      <c r="BS708" s="63">
        <f t="shared" si="507"/>
        <v>0</v>
      </c>
      <c r="BT708" s="63">
        <f t="shared" ref="BT708:BT771" si="527">IF(BQ708&lt;MINEXC,0,IF(AND(E708="normal",F708&lt;5,G708&lt;12,K708="asphalted",AT708&gt;AS708,AS708&lt;&gt;0),(BQ708-AT708)*0.65,IF(AND(E708="normal",F708&lt;5,G708&lt;12,K708="asphalted",AS708&gt;=AT708),(BQ708-AS708)*0.8,IF(AND(E708="normal",F708&lt;5,G708&lt;12,K708="asphalted",AT708&gt;0,AS708=0),(BQ708-AT708)*0.65,0)))*D708)</f>
        <v>0</v>
      </c>
      <c r="BU708" s="63">
        <f t="shared" ref="BU708:BU771" si="528">IF(E708="",0,IF(OR(BT708&gt;0,BO708&gt;0),0,IF(AND(F708&gt;4,G708=0),(BQ708-1.2)*D708*0.8,IF(AND(G708&gt;4,F708=0),(BQ708-0.4)*D708*0.65,IF(OR(AND(G708&gt;4,F708&gt;0),AND(F708&gt;4,G708&gt;0)),(IF(AS708&gt;1.2,(AS708-1.2)*D708*0.8,0)+IF(AT708&gt;AS708,(AT708-AS708)*D708*0.65,0)),0)))))</f>
        <v>0</v>
      </c>
      <c r="BV708" s="57">
        <f t="shared" ref="BV708:BV771" si="529">IF(AND(E708&lt;&gt;"mini-trench",E708&lt;&gt;"special"),MAX(AS708:AT708),0)</f>
        <v>0</v>
      </c>
      <c r="BW708" s="57">
        <f t="shared" ref="BW708:BW771" si="530">IF(AND(E708&lt;&gt;"mini-trench",E708&lt;&gt;"special",BV708&gt;0,BV708&lt;1,K708="asphalted"),IF(O708&lt;&gt;"",MIN(O708,1),1),IF(AND(E708&lt;&gt;"mini-trench",E708&lt;&gt;"special",BV708&gt;0,BV708&gt;1,K708="asphalted"),BV708,0))</f>
        <v>0</v>
      </c>
      <c r="BX708" s="57">
        <f t="shared" si="508"/>
        <v>0</v>
      </c>
      <c r="BY708" s="57">
        <f t="shared" si="512"/>
        <v>0</v>
      </c>
      <c r="BZ708" s="8">
        <f t="shared" ref="BZ708:BZ771" si="531">IF(E708="special",O708*P708*D708-D708*IF(AV708="MV1",0.8*0.4,IF(AV708="MV2",0.8*0.6,IF(AV708="MV3",0.8*0.9,IF(OR(AV708="MV4",AV708="MVCU"),0.8*1.2,IF(AV708="LV1-3",0.65*0.4,IF(OR(AV708="LV4",AV708="LVCU"),0.65*0.5)))))),0)</f>
        <v>0</v>
      </c>
      <c r="CA708" s="8">
        <f t="shared" ref="CA708:CA771" si="532">IF(AND(E708&lt;&gt;"special",K708="Paved interlock"),D708*BV708,IF(AND(E708="special",K708="Paved interlock"),D708*O708,0))</f>
        <v>0</v>
      </c>
      <c r="CB708" s="8">
        <f t="shared" ref="CB708:CB771" si="533">IF(AND(E708&lt;&gt;"special",K708="Paved conc.tiles"),D708*BV708,IF(AND(E708="special",K708="Paved conc.tiles"),D708*O708,0))</f>
        <v>0</v>
      </c>
      <c r="CC708" s="8">
        <f t="shared" ref="CC708:CC771" si="534">IF(AND(E708="special",K708="asphalted"),D708*Q708,0)</f>
        <v>0</v>
      </c>
      <c r="CD708" s="8">
        <f t="shared" ref="CD708:CD771" si="535">IF(OR(K708="Paved interlock",K708="Paved conc.tiles"),1,0)</f>
        <v>0</v>
      </c>
      <c r="CE708" s="8">
        <f t="shared" ref="CE708:CE771" si="536">IFERROR(BR708/D708,0)</f>
        <v>0</v>
      </c>
      <c r="CF708" s="8">
        <f t="shared" ref="CF708:CF771" si="537">IF(AND(F708&gt;0,B708="j transition"),F708,0)+IF(AND(F708&gt;0,C708="j transition"),F708,0)</f>
        <v>0</v>
      </c>
      <c r="CG708" s="8">
        <f t="shared" ref="CG708:CG771" si="538">IF(AND(F708&gt;0,OR(B708="grid",B708="ss",B708="pole",B708="new ss")),F708,0)+IF(AND(F708&gt;0,OR(C708="grid",C708="ss",C708="pole",C708="new ss")),F708,0)</f>
        <v>0</v>
      </c>
      <c r="CH708" s="8">
        <f t="shared" ref="CH708:CH771" si="539">IF(AND(F708&gt;0,B708="joint"),F708,0)+IF(AND(F708&gt;0,C708="joint"),F708,0)+IF(AND(F708&gt;0,B708="j transition"),F708,0)+IF(AND(F708&gt;0,C708="j transition"),F708,0)</f>
        <v>0</v>
      </c>
      <c r="CI708" s="8">
        <f t="shared" ref="CI708:CI771" si="540">IF(AND(H708&gt;0,B708="joint"),H708,0)+IF(AND(H708&gt;0,C708="joint"),H708,0)</f>
        <v>0</v>
      </c>
      <c r="CJ708" s="8">
        <f t="shared" ref="CJ708:CJ771" si="541">IF(AND(I708&gt;0,B708="joint"),I708,0)+IF(AND(I708&gt;0,C708="joint"),I708,0)</f>
        <v>0</v>
      </c>
      <c r="CK708" s="8">
        <f t="shared" ref="CK708:CK771" si="542">IF(AND(J708&gt;0,B708="joint"),J708,0)+IF(AND(J708&gt;0,C708="joint"),J708,0)</f>
        <v>0</v>
      </c>
      <c r="CL708" s="8">
        <f t="shared" ref="CL708:CL771" si="543">IF(AND(H708&gt;0,OR(B708="ss",B708="new ss",B708="DC",B708="new DC")),H708,0)+IF(AND(H708&gt;0,OR(C708="new ss",C708="ss",C708="DC",C708="new DC")),H708,0)</f>
        <v>0</v>
      </c>
      <c r="CM708" s="8">
        <f t="shared" ref="CM708:CM771" si="544">CO708+CP708</f>
        <v>0</v>
      </c>
      <c r="CN708" s="8">
        <f t="shared" ref="CN708:CN771" si="545">IF(OR(B708="new DC",C708="new DC"),H708,0)</f>
        <v>0</v>
      </c>
      <c r="CO708" s="8">
        <f t="shared" ref="CO708:CO771" si="546">IF(AND(J708&gt;0,OR(B708="ss",B708="new ss",B708="DC",B708="new DC")),J708,0)+IF(AND(J708&gt;0,OR(C708="new ss",C708="ss",C708="DC",C708="new DC")),J708,0)</f>
        <v>0</v>
      </c>
      <c r="CP708" s="8">
        <f t="shared" ref="CP708:CP771" si="547">IF(AND(I708&gt;0,OR(B708="ss",B708="new ss",B708="DC",B708="new DC")),I708,0)+IF(AND(I708&gt;0,OR(C708="new ss",C708="ss",C708="DC",C708="new DC")),I708,0)</f>
        <v>0</v>
      </c>
      <c r="CQ708" s="8">
        <f t="shared" ref="CQ708:CQ771" si="548">IF(AND(F708&gt;0,OR(B708="ss",B708="new ss")),F708,0)+IF(AND(F708&gt;0,OR(C708="ss",C708="new ss")),F708,0)</f>
        <v>0</v>
      </c>
      <c r="CR708" s="8">
        <f t="shared" ref="CR708:CR771" si="549">IF(AND(F708&gt;0,OR(B708="grid")),F708,0)+IF(AND(F708&gt;0,OR(C708="grid")),F708,0)</f>
        <v>0</v>
      </c>
      <c r="CS708" s="8">
        <f t="shared" ref="CS708:CS771" si="550">IF(AND(F708&gt;0,OR(B708="pole")),F708,0)+IF(AND(F708&gt;0,OR(C708="pole")),F708,0)</f>
        <v>0</v>
      </c>
      <c r="CT708" s="8">
        <f t="shared" si="509"/>
        <v>0</v>
      </c>
      <c r="CU708" s="8">
        <f t="shared" si="510"/>
        <v>0</v>
      </c>
      <c r="CV708" s="8">
        <f t="shared" si="511"/>
        <v>0</v>
      </c>
    </row>
    <row r="709" spans="1:100" ht="20.5" thickTop="1" thickBot="1" x14ac:dyDescent="0.5">
      <c r="A709" s="32"/>
      <c r="B709" s="10"/>
      <c r="C709" s="10"/>
      <c r="D709" s="11"/>
      <c r="E709" s="10"/>
      <c r="F709" s="10"/>
      <c r="G709" s="19"/>
      <c r="H709" s="19"/>
      <c r="I709" s="19"/>
      <c r="J709" s="19"/>
      <c r="K709" s="10"/>
      <c r="L709" s="10"/>
      <c r="M709" s="10"/>
      <c r="N709" s="10"/>
      <c r="O709" s="18"/>
      <c r="P709" s="18"/>
      <c r="Q709" s="21"/>
      <c r="R709" s="20"/>
      <c r="S709" s="16">
        <f t="shared" si="513"/>
        <v>0</v>
      </c>
      <c r="T709" s="11"/>
      <c r="AS709" s="31">
        <f t="shared" si="514"/>
        <v>0</v>
      </c>
      <c r="AT709" s="31">
        <f t="shared" si="515"/>
        <v>0</v>
      </c>
      <c r="AU709" s="31">
        <f t="shared" si="516"/>
        <v>0</v>
      </c>
      <c r="AV709" s="31">
        <f t="shared" si="517"/>
        <v>0</v>
      </c>
      <c r="AW709" s="31">
        <f t="shared" si="518"/>
        <v>0</v>
      </c>
      <c r="AX709" s="31">
        <f t="shared" si="519"/>
        <v>0</v>
      </c>
      <c r="AY709" s="31">
        <f t="shared" si="520"/>
        <v>0</v>
      </c>
      <c r="AZ709" s="31">
        <f t="shared" si="521"/>
        <v>0</v>
      </c>
      <c r="BA709" s="31">
        <f t="shared" si="522"/>
        <v>0</v>
      </c>
      <c r="BB709" s="31">
        <f t="shared" ref="BB709:BB772" si="551">IFERROR(IF(BN709&gt;0,0,IF(AND(E709="normal",(BR709/D709)&gt;1),BR709,0)),0)</f>
        <v>0</v>
      </c>
      <c r="BM709" s="8">
        <f t="shared" ref="BM709:BM772" si="552">IF(AND(E709&lt;&gt;"special",K709="Concrete"),D709*BV709,IF(AND(E709="special",K709="Concrete"),D709*O709,0))</f>
        <v>0</v>
      </c>
      <c r="BN709" s="8">
        <f t="shared" si="523"/>
        <v>0</v>
      </c>
      <c r="BO709" s="8">
        <f t="shared" si="524"/>
        <v>0</v>
      </c>
      <c r="BQ709" s="8">
        <f t="shared" si="525"/>
        <v>0</v>
      </c>
      <c r="BR709" s="63">
        <f t="shared" si="526"/>
        <v>0</v>
      </c>
      <c r="BS709" s="63">
        <f t="shared" ref="BS709:BS772" si="553">BN709 + IF(BN709&gt;0,IF(R708=0, R709, 0) + IF(R710=0, R709, 0),0)</f>
        <v>0</v>
      </c>
      <c r="BT709" s="63">
        <f t="shared" si="527"/>
        <v>0</v>
      </c>
      <c r="BU709" s="63">
        <f t="shared" si="528"/>
        <v>0</v>
      </c>
      <c r="BV709" s="57">
        <f t="shared" si="529"/>
        <v>0</v>
      </c>
      <c r="BW709" s="57">
        <f t="shared" si="530"/>
        <v>0</v>
      </c>
      <c r="BX709" s="57">
        <f t="shared" ref="BX709:BX772" si="554">IF(AND(R709&gt;0,MandRcalc="Asphalting then M&amp;R"),R709*D709,IF(AND(R709&gt;0,MandRcalc="Milling then Repaving"),(R709-BR709)*D709,0))</f>
        <v>0</v>
      </c>
      <c r="BY709" s="57">
        <f t="shared" si="512"/>
        <v>0</v>
      </c>
      <c r="BZ709" s="8">
        <f t="shared" si="531"/>
        <v>0</v>
      </c>
      <c r="CA709" s="8">
        <f t="shared" si="532"/>
        <v>0</v>
      </c>
      <c r="CB709" s="8">
        <f t="shared" si="533"/>
        <v>0</v>
      </c>
      <c r="CC709" s="8">
        <f t="shared" si="534"/>
        <v>0</v>
      </c>
      <c r="CD709" s="8">
        <f t="shared" si="535"/>
        <v>0</v>
      </c>
      <c r="CE709" s="8">
        <f t="shared" si="536"/>
        <v>0</v>
      </c>
      <c r="CF709" s="8">
        <f t="shared" si="537"/>
        <v>0</v>
      </c>
      <c r="CG709" s="8">
        <f t="shared" si="538"/>
        <v>0</v>
      </c>
      <c r="CH709" s="8">
        <f t="shared" si="539"/>
        <v>0</v>
      </c>
      <c r="CI709" s="8">
        <f t="shared" si="540"/>
        <v>0</v>
      </c>
      <c r="CJ709" s="8">
        <f t="shared" si="541"/>
        <v>0</v>
      </c>
      <c r="CK709" s="8">
        <f t="shared" si="542"/>
        <v>0</v>
      </c>
      <c r="CL709" s="8">
        <f t="shared" si="543"/>
        <v>0</v>
      </c>
      <c r="CM709" s="8">
        <f t="shared" si="544"/>
        <v>0</v>
      </c>
      <c r="CN709" s="8">
        <f t="shared" si="545"/>
        <v>0</v>
      </c>
      <c r="CO709" s="8">
        <f t="shared" si="546"/>
        <v>0</v>
      </c>
      <c r="CP709" s="8">
        <f t="shared" si="547"/>
        <v>0</v>
      </c>
      <c r="CQ709" s="8">
        <f t="shared" si="548"/>
        <v>0</v>
      </c>
      <c r="CR709" s="8">
        <f t="shared" si="549"/>
        <v>0</v>
      </c>
      <c r="CS709" s="8">
        <f t="shared" si="550"/>
        <v>0</v>
      </c>
      <c r="CT709" s="8">
        <f t="shared" si="509"/>
        <v>0</v>
      </c>
      <c r="CU709" s="8">
        <f t="shared" si="510"/>
        <v>0</v>
      </c>
      <c r="CV709" s="8">
        <f t="shared" si="511"/>
        <v>0</v>
      </c>
    </row>
    <row r="710" spans="1:100" ht="20.5" thickTop="1" thickBot="1" x14ac:dyDescent="0.5">
      <c r="A710" s="32"/>
      <c r="B710" s="10"/>
      <c r="C710" s="10"/>
      <c r="D710" s="11"/>
      <c r="E710" s="10"/>
      <c r="F710" s="10"/>
      <c r="G710" s="19"/>
      <c r="H710" s="19"/>
      <c r="I710" s="19"/>
      <c r="J710" s="19"/>
      <c r="K710" s="10"/>
      <c r="L710" s="10"/>
      <c r="M710" s="10"/>
      <c r="N710" s="10"/>
      <c r="O710" s="18"/>
      <c r="P710" s="18"/>
      <c r="Q710" s="21"/>
      <c r="R710" s="20"/>
      <c r="S710" s="16">
        <f t="shared" si="513"/>
        <v>0</v>
      </c>
      <c r="T710" s="11"/>
      <c r="AS710" s="31">
        <f t="shared" si="514"/>
        <v>0</v>
      </c>
      <c r="AT710" s="31">
        <f t="shared" si="515"/>
        <v>0</v>
      </c>
      <c r="AU710" s="31">
        <f t="shared" si="516"/>
        <v>0</v>
      </c>
      <c r="AV710" s="31">
        <f t="shared" si="517"/>
        <v>0</v>
      </c>
      <c r="AW710" s="31">
        <f t="shared" si="518"/>
        <v>0</v>
      </c>
      <c r="AX710" s="31">
        <f t="shared" si="519"/>
        <v>0</v>
      </c>
      <c r="AY710" s="31">
        <f t="shared" si="520"/>
        <v>0</v>
      </c>
      <c r="AZ710" s="31">
        <f t="shared" si="521"/>
        <v>0</v>
      </c>
      <c r="BA710" s="31">
        <f t="shared" si="522"/>
        <v>0</v>
      </c>
      <c r="BB710" s="31">
        <f t="shared" si="551"/>
        <v>0</v>
      </c>
      <c r="BM710" s="8">
        <f t="shared" si="552"/>
        <v>0</v>
      </c>
      <c r="BN710" s="8">
        <f t="shared" si="523"/>
        <v>0</v>
      </c>
      <c r="BO710" s="8">
        <f t="shared" si="524"/>
        <v>0</v>
      </c>
      <c r="BQ710" s="8">
        <f t="shared" si="525"/>
        <v>0</v>
      </c>
      <c r="BR710" s="63">
        <f t="shared" si="526"/>
        <v>0</v>
      </c>
      <c r="BS710" s="63">
        <f t="shared" si="553"/>
        <v>0</v>
      </c>
      <c r="BT710" s="63">
        <f t="shared" si="527"/>
        <v>0</v>
      </c>
      <c r="BU710" s="63">
        <f t="shared" si="528"/>
        <v>0</v>
      </c>
      <c r="BV710" s="57">
        <f t="shared" si="529"/>
        <v>0</v>
      </c>
      <c r="BW710" s="57">
        <f t="shared" si="530"/>
        <v>0</v>
      </c>
      <c r="BX710" s="57">
        <f t="shared" si="554"/>
        <v>0</v>
      </c>
      <c r="BY710" s="57">
        <f t="shared" si="512"/>
        <v>0</v>
      </c>
      <c r="BZ710" s="8">
        <f t="shared" si="531"/>
        <v>0</v>
      </c>
      <c r="CA710" s="8">
        <f t="shared" si="532"/>
        <v>0</v>
      </c>
      <c r="CB710" s="8">
        <f t="shared" si="533"/>
        <v>0</v>
      </c>
      <c r="CC710" s="8">
        <f t="shared" si="534"/>
        <v>0</v>
      </c>
      <c r="CD710" s="8">
        <f t="shared" si="535"/>
        <v>0</v>
      </c>
      <c r="CE710" s="8">
        <f t="shared" si="536"/>
        <v>0</v>
      </c>
      <c r="CF710" s="8">
        <f t="shared" si="537"/>
        <v>0</v>
      </c>
      <c r="CG710" s="8">
        <f t="shared" si="538"/>
        <v>0</v>
      </c>
      <c r="CH710" s="8">
        <f t="shared" si="539"/>
        <v>0</v>
      </c>
      <c r="CI710" s="8">
        <f t="shared" si="540"/>
        <v>0</v>
      </c>
      <c r="CJ710" s="8">
        <f t="shared" si="541"/>
        <v>0</v>
      </c>
      <c r="CK710" s="8">
        <f t="shared" si="542"/>
        <v>0</v>
      </c>
      <c r="CL710" s="8">
        <f t="shared" si="543"/>
        <v>0</v>
      </c>
      <c r="CM710" s="8">
        <f t="shared" si="544"/>
        <v>0</v>
      </c>
      <c r="CN710" s="8">
        <f t="shared" si="545"/>
        <v>0</v>
      </c>
      <c r="CO710" s="8">
        <f t="shared" si="546"/>
        <v>0</v>
      </c>
      <c r="CP710" s="8">
        <f t="shared" si="547"/>
        <v>0</v>
      </c>
      <c r="CQ710" s="8">
        <f t="shared" si="548"/>
        <v>0</v>
      </c>
      <c r="CR710" s="8">
        <f t="shared" si="549"/>
        <v>0</v>
      </c>
      <c r="CS710" s="8">
        <f t="shared" si="550"/>
        <v>0</v>
      </c>
      <c r="CT710" s="8">
        <f t="shared" si="509"/>
        <v>0</v>
      </c>
      <c r="CU710" s="8">
        <f t="shared" si="510"/>
        <v>0</v>
      </c>
      <c r="CV710" s="8">
        <f t="shared" si="511"/>
        <v>0</v>
      </c>
    </row>
    <row r="711" spans="1:100" ht="20.5" thickTop="1" thickBot="1" x14ac:dyDescent="0.5">
      <c r="A711" s="32"/>
      <c r="B711" s="10"/>
      <c r="C711" s="10"/>
      <c r="D711" s="11"/>
      <c r="E711" s="10"/>
      <c r="F711" s="10"/>
      <c r="G711" s="19"/>
      <c r="H711" s="19"/>
      <c r="I711" s="19"/>
      <c r="J711" s="19"/>
      <c r="K711" s="10"/>
      <c r="L711" s="10"/>
      <c r="M711" s="10"/>
      <c r="N711" s="10"/>
      <c r="O711" s="18"/>
      <c r="P711" s="18"/>
      <c r="Q711" s="21"/>
      <c r="R711" s="20"/>
      <c r="S711" s="16">
        <f t="shared" si="513"/>
        <v>0</v>
      </c>
      <c r="T711" s="11"/>
      <c r="AS711" s="31">
        <f t="shared" si="514"/>
        <v>0</v>
      </c>
      <c r="AT711" s="31">
        <f t="shared" si="515"/>
        <v>0</v>
      </c>
      <c r="AU711" s="31">
        <f t="shared" si="516"/>
        <v>0</v>
      </c>
      <c r="AV711" s="31">
        <f t="shared" si="517"/>
        <v>0</v>
      </c>
      <c r="AW711" s="31">
        <f t="shared" si="518"/>
        <v>0</v>
      </c>
      <c r="AX711" s="31">
        <f t="shared" si="519"/>
        <v>0</v>
      </c>
      <c r="AY711" s="31">
        <f t="shared" si="520"/>
        <v>0</v>
      </c>
      <c r="AZ711" s="31">
        <f t="shared" si="521"/>
        <v>0</v>
      </c>
      <c r="BA711" s="31">
        <f t="shared" si="522"/>
        <v>0</v>
      </c>
      <c r="BB711" s="31">
        <f t="shared" si="551"/>
        <v>0</v>
      </c>
      <c r="BM711" s="8">
        <f t="shared" si="552"/>
        <v>0</v>
      </c>
      <c r="BN711" s="8">
        <f t="shared" si="523"/>
        <v>0</v>
      </c>
      <c r="BO711" s="8">
        <f t="shared" si="524"/>
        <v>0</v>
      </c>
      <c r="BQ711" s="8">
        <f t="shared" si="525"/>
        <v>0</v>
      </c>
      <c r="BR711" s="63">
        <f t="shared" si="526"/>
        <v>0</v>
      </c>
      <c r="BS711" s="63">
        <f t="shared" si="553"/>
        <v>0</v>
      </c>
      <c r="BT711" s="63">
        <f t="shared" si="527"/>
        <v>0</v>
      </c>
      <c r="BU711" s="63">
        <f t="shared" si="528"/>
        <v>0</v>
      </c>
      <c r="BV711" s="57">
        <f t="shared" si="529"/>
        <v>0</v>
      </c>
      <c r="BW711" s="57">
        <f t="shared" si="530"/>
        <v>0</v>
      </c>
      <c r="BX711" s="57">
        <f t="shared" si="554"/>
        <v>0</v>
      </c>
      <c r="BY711" s="57">
        <f t="shared" si="512"/>
        <v>0</v>
      </c>
      <c r="BZ711" s="8">
        <f t="shared" si="531"/>
        <v>0</v>
      </c>
      <c r="CA711" s="8">
        <f t="shared" si="532"/>
        <v>0</v>
      </c>
      <c r="CB711" s="8">
        <f t="shared" si="533"/>
        <v>0</v>
      </c>
      <c r="CC711" s="8">
        <f t="shared" si="534"/>
        <v>0</v>
      </c>
      <c r="CD711" s="8">
        <f t="shared" si="535"/>
        <v>0</v>
      </c>
      <c r="CE711" s="8">
        <f t="shared" si="536"/>
        <v>0</v>
      </c>
      <c r="CF711" s="8">
        <f t="shared" si="537"/>
        <v>0</v>
      </c>
      <c r="CG711" s="8">
        <f t="shared" si="538"/>
        <v>0</v>
      </c>
      <c r="CH711" s="8">
        <f t="shared" si="539"/>
        <v>0</v>
      </c>
      <c r="CI711" s="8">
        <f t="shared" si="540"/>
        <v>0</v>
      </c>
      <c r="CJ711" s="8">
        <f t="shared" si="541"/>
        <v>0</v>
      </c>
      <c r="CK711" s="8">
        <f t="shared" si="542"/>
        <v>0</v>
      </c>
      <c r="CL711" s="8">
        <f t="shared" si="543"/>
        <v>0</v>
      </c>
      <c r="CM711" s="8">
        <f t="shared" si="544"/>
        <v>0</v>
      </c>
      <c r="CN711" s="8">
        <f t="shared" si="545"/>
        <v>0</v>
      </c>
      <c r="CO711" s="8">
        <f t="shared" si="546"/>
        <v>0</v>
      </c>
      <c r="CP711" s="8">
        <f t="shared" si="547"/>
        <v>0</v>
      </c>
      <c r="CQ711" s="8">
        <f t="shared" si="548"/>
        <v>0</v>
      </c>
      <c r="CR711" s="8">
        <f t="shared" si="549"/>
        <v>0</v>
      </c>
      <c r="CS711" s="8">
        <f t="shared" si="550"/>
        <v>0</v>
      </c>
      <c r="CT711" s="8">
        <f t="shared" si="509"/>
        <v>0</v>
      </c>
      <c r="CU711" s="8">
        <f t="shared" si="510"/>
        <v>0</v>
      </c>
      <c r="CV711" s="8">
        <f t="shared" si="511"/>
        <v>0</v>
      </c>
    </row>
    <row r="712" spans="1:100" ht="20.5" thickTop="1" thickBot="1" x14ac:dyDescent="0.5">
      <c r="A712" s="32"/>
      <c r="B712" s="10"/>
      <c r="C712" s="10"/>
      <c r="D712" s="11"/>
      <c r="E712" s="10"/>
      <c r="F712" s="10"/>
      <c r="G712" s="19"/>
      <c r="H712" s="19"/>
      <c r="I712" s="19"/>
      <c r="J712" s="19"/>
      <c r="K712" s="10"/>
      <c r="L712" s="10"/>
      <c r="M712" s="10"/>
      <c r="N712" s="10"/>
      <c r="O712" s="18"/>
      <c r="P712" s="18"/>
      <c r="Q712" s="21"/>
      <c r="R712" s="20"/>
      <c r="S712" s="16">
        <f t="shared" si="513"/>
        <v>0</v>
      </c>
      <c r="T712" s="11"/>
      <c r="AS712" s="31">
        <f t="shared" si="514"/>
        <v>0</v>
      </c>
      <c r="AT712" s="31">
        <f t="shared" si="515"/>
        <v>0</v>
      </c>
      <c r="AU712" s="31">
        <f t="shared" si="516"/>
        <v>0</v>
      </c>
      <c r="AV712" s="31">
        <f t="shared" si="517"/>
        <v>0</v>
      </c>
      <c r="AW712" s="31">
        <f t="shared" si="518"/>
        <v>0</v>
      </c>
      <c r="AX712" s="31">
        <f t="shared" si="519"/>
        <v>0</v>
      </c>
      <c r="AY712" s="31">
        <f t="shared" si="520"/>
        <v>0</v>
      </c>
      <c r="AZ712" s="31">
        <f t="shared" si="521"/>
        <v>0</v>
      </c>
      <c r="BA712" s="31">
        <f t="shared" si="522"/>
        <v>0</v>
      </c>
      <c r="BB712" s="31">
        <f t="shared" si="551"/>
        <v>0</v>
      </c>
      <c r="BM712" s="8">
        <f t="shared" si="552"/>
        <v>0</v>
      </c>
      <c r="BN712" s="8">
        <f t="shared" si="523"/>
        <v>0</v>
      </c>
      <c r="BO712" s="8">
        <f t="shared" si="524"/>
        <v>0</v>
      </c>
      <c r="BQ712" s="8">
        <f t="shared" si="525"/>
        <v>0</v>
      </c>
      <c r="BR712" s="63">
        <f t="shared" si="526"/>
        <v>0</v>
      </c>
      <c r="BS712" s="63">
        <f t="shared" si="553"/>
        <v>0</v>
      </c>
      <c r="BT712" s="63">
        <f t="shared" si="527"/>
        <v>0</v>
      </c>
      <c r="BU712" s="63">
        <f t="shared" si="528"/>
        <v>0</v>
      </c>
      <c r="BV712" s="57">
        <f t="shared" si="529"/>
        <v>0</v>
      </c>
      <c r="BW712" s="57">
        <f t="shared" si="530"/>
        <v>0</v>
      </c>
      <c r="BX712" s="57">
        <f t="shared" si="554"/>
        <v>0</v>
      </c>
      <c r="BY712" s="57">
        <f t="shared" si="512"/>
        <v>0</v>
      </c>
      <c r="BZ712" s="8">
        <f t="shared" si="531"/>
        <v>0</v>
      </c>
      <c r="CA712" s="8">
        <f t="shared" si="532"/>
        <v>0</v>
      </c>
      <c r="CB712" s="8">
        <f t="shared" si="533"/>
        <v>0</v>
      </c>
      <c r="CC712" s="8">
        <f t="shared" si="534"/>
        <v>0</v>
      </c>
      <c r="CD712" s="8">
        <f t="shared" si="535"/>
        <v>0</v>
      </c>
      <c r="CE712" s="8">
        <f t="shared" si="536"/>
        <v>0</v>
      </c>
      <c r="CF712" s="8">
        <f t="shared" si="537"/>
        <v>0</v>
      </c>
      <c r="CG712" s="8">
        <f t="shared" si="538"/>
        <v>0</v>
      </c>
      <c r="CH712" s="8">
        <f t="shared" si="539"/>
        <v>0</v>
      </c>
      <c r="CI712" s="8">
        <f t="shared" si="540"/>
        <v>0</v>
      </c>
      <c r="CJ712" s="8">
        <f t="shared" si="541"/>
        <v>0</v>
      </c>
      <c r="CK712" s="8">
        <f t="shared" si="542"/>
        <v>0</v>
      </c>
      <c r="CL712" s="8">
        <f t="shared" si="543"/>
        <v>0</v>
      </c>
      <c r="CM712" s="8">
        <f t="shared" si="544"/>
        <v>0</v>
      </c>
      <c r="CN712" s="8">
        <f t="shared" si="545"/>
        <v>0</v>
      </c>
      <c r="CO712" s="8">
        <f t="shared" si="546"/>
        <v>0</v>
      </c>
      <c r="CP712" s="8">
        <f t="shared" si="547"/>
        <v>0</v>
      </c>
      <c r="CQ712" s="8">
        <f t="shared" si="548"/>
        <v>0</v>
      </c>
      <c r="CR712" s="8">
        <f t="shared" si="549"/>
        <v>0</v>
      </c>
      <c r="CS712" s="8">
        <f t="shared" si="550"/>
        <v>0</v>
      </c>
      <c r="CT712" s="8">
        <f t="shared" si="509"/>
        <v>0</v>
      </c>
      <c r="CU712" s="8">
        <f t="shared" si="510"/>
        <v>0</v>
      </c>
      <c r="CV712" s="8">
        <f t="shared" si="511"/>
        <v>0</v>
      </c>
    </row>
    <row r="713" spans="1:100" ht="20.5" thickTop="1" thickBot="1" x14ac:dyDescent="0.5">
      <c r="A713" s="32"/>
      <c r="B713" s="10"/>
      <c r="C713" s="10"/>
      <c r="D713" s="11"/>
      <c r="E713" s="10"/>
      <c r="F713" s="10"/>
      <c r="G713" s="19"/>
      <c r="H713" s="19"/>
      <c r="I713" s="19"/>
      <c r="J713" s="19"/>
      <c r="K713" s="10"/>
      <c r="L713" s="10"/>
      <c r="M713" s="10"/>
      <c r="N713" s="10"/>
      <c r="O713" s="18"/>
      <c r="P713" s="18"/>
      <c r="Q713" s="21"/>
      <c r="R713" s="20"/>
      <c r="S713" s="16">
        <f t="shared" si="513"/>
        <v>0</v>
      </c>
      <c r="T713" s="11"/>
      <c r="AS713" s="31">
        <f t="shared" si="514"/>
        <v>0</v>
      </c>
      <c r="AT713" s="31">
        <f t="shared" si="515"/>
        <v>0</v>
      </c>
      <c r="AU713" s="31">
        <f t="shared" si="516"/>
        <v>0</v>
      </c>
      <c r="AV713" s="31">
        <f t="shared" si="517"/>
        <v>0</v>
      </c>
      <c r="AW713" s="31">
        <f t="shared" si="518"/>
        <v>0</v>
      </c>
      <c r="AX713" s="31">
        <f t="shared" si="519"/>
        <v>0</v>
      </c>
      <c r="AY713" s="31">
        <f t="shared" si="520"/>
        <v>0</v>
      </c>
      <c r="AZ713" s="31">
        <f t="shared" si="521"/>
        <v>0</v>
      </c>
      <c r="BA713" s="31">
        <f t="shared" si="522"/>
        <v>0</v>
      </c>
      <c r="BB713" s="31">
        <f t="shared" si="551"/>
        <v>0</v>
      </c>
      <c r="BM713" s="8">
        <f t="shared" si="552"/>
        <v>0</v>
      </c>
      <c r="BN713" s="8">
        <f t="shared" si="523"/>
        <v>0</v>
      </c>
      <c r="BO713" s="8">
        <f t="shared" si="524"/>
        <v>0</v>
      </c>
      <c r="BQ713" s="8">
        <f t="shared" si="525"/>
        <v>0</v>
      </c>
      <c r="BR713" s="63">
        <f t="shared" si="526"/>
        <v>0</v>
      </c>
      <c r="BS713" s="63">
        <f t="shared" si="553"/>
        <v>0</v>
      </c>
      <c r="BT713" s="63">
        <f t="shared" si="527"/>
        <v>0</v>
      </c>
      <c r="BU713" s="63">
        <f t="shared" si="528"/>
        <v>0</v>
      </c>
      <c r="BV713" s="57">
        <f t="shared" si="529"/>
        <v>0</v>
      </c>
      <c r="BW713" s="57">
        <f t="shared" si="530"/>
        <v>0</v>
      </c>
      <c r="BX713" s="57">
        <f t="shared" si="554"/>
        <v>0</v>
      </c>
      <c r="BY713" s="57">
        <f t="shared" si="512"/>
        <v>0</v>
      </c>
      <c r="BZ713" s="8">
        <f t="shared" si="531"/>
        <v>0</v>
      </c>
      <c r="CA713" s="8">
        <f t="shared" si="532"/>
        <v>0</v>
      </c>
      <c r="CB713" s="8">
        <f t="shared" si="533"/>
        <v>0</v>
      </c>
      <c r="CC713" s="8">
        <f t="shared" si="534"/>
        <v>0</v>
      </c>
      <c r="CD713" s="8">
        <f t="shared" si="535"/>
        <v>0</v>
      </c>
      <c r="CE713" s="8">
        <f t="shared" si="536"/>
        <v>0</v>
      </c>
      <c r="CF713" s="8">
        <f t="shared" si="537"/>
        <v>0</v>
      </c>
      <c r="CG713" s="8">
        <f t="shared" si="538"/>
        <v>0</v>
      </c>
      <c r="CH713" s="8">
        <f t="shared" si="539"/>
        <v>0</v>
      </c>
      <c r="CI713" s="8">
        <f t="shared" si="540"/>
        <v>0</v>
      </c>
      <c r="CJ713" s="8">
        <f t="shared" si="541"/>
        <v>0</v>
      </c>
      <c r="CK713" s="8">
        <f t="shared" si="542"/>
        <v>0</v>
      </c>
      <c r="CL713" s="8">
        <f t="shared" si="543"/>
        <v>0</v>
      </c>
      <c r="CM713" s="8">
        <f t="shared" si="544"/>
        <v>0</v>
      </c>
      <c r="CN713" s="8">
        <f t="shared" si="545"/>
        <v>0</v>
      </c>
      <c r="CO713" s="8">
        <f t="shared" si="546"/>
        <v>0</v>
      </c>
      <c r="CP713" s="8">
        <f t="shared" si="547"/>
        <v>0</v>
      </c>
      <c r="CQ713" s="8">
        <f t="shared" si="548"/>
        <v>0</v>
      </c>
      <c r="CR713" s="8">
        <f t="shared" si="549"/>
        <v>0</v>
      </c>
      <c r="CS713" s="8">
        <f t="shared" si="550"/>
        <v>0</v>
      </c>
      <c r="CT713" s="8">
        <f t="shared" si="509"/>
        <v>0</v>
      </c>
      <c r="CU713" s="8">
        <f t="shared" si="510"/>
        <v>0</v>
      </c>
      <c r="CV713" s="8">
        <f t="shared" si="511"/>
        <v>0</v>
      </c>
    </row>
    <row r="714" spans="1:100" ht="20.5" thickTop="1" thickBot="1" x14ac:dyDescent="0.5">
      <c r="A714" s="32"/>
      <c r="B714" s="10"/>
      <c r="C714" s="10"/>
      <c r="D714" s="11"/>
      <c r="E714" s="10"/>
      <c r="F714" s="10"/>
      <c r="G714" s="19"/>
      <c r="H714" s="19"/>
      <c r="I714" s="19"/>
      <c r="J714" s="19"/>
      <c r="K714" s="10"/>
      <c r="L714" s="10"/>
      <c r="M714" s="10"/>
      <c r="N714" s="10"/>
      <c r="O714" s="18"/>
      <c r="P714" s="18"/>
      <c r="Q714" s="21"/>
      <c r="R714" s="20"/>
      <c r="S714" s="16">
        <f t="shared" si="513"/>
        <v>0</v>
      </c>
      <c r="T714" s="11"/>
      <c r="AS714" s="31">
        <f t="shared" si="514"/>
        <v>0</v>
      </c>
      <c r="AT714" s="31">
        <f t="shared" si="515"/>
        <v>0</v>
      </c>
      <c r="AU714" s="31">
        <f t="shared" si="516"/>
        <v>0</v>
      </c>
      <c r="AV714" s="31">
        <f t="shared" si="517"/>
        <v>0</v>
      </c>
      <c r="AW714" s="31">
        <f t="shared" si="518"/>
        <v>0</v>
      </c>
      <c r="AX714" s="31">
        <f t="shared" si="519"/>
        <v>0</v>
      </c>
      <c r="AY714" s="31">
        <f t="shared" si="520"/>
        <v>0</v>
      </c>
      <c r="AZ714" s="31">
        <f t="shared" si="521"/>
        <v>0</v>
      </c>
      <c r="BA714" s="31">
        <f t="shared" si="522"/>
        <v>0</v>
      </c>
      <c r="BB714" s="31">
        <f t="shared" si="551"/>
        <v>0</v>
      </c>
      <c r="BM714" s="8">
        <f t="shared" si="552"/>
        <v>0</v>
      </c>
      <c r="BN714" s="8">
        <f t="shared" si="523"/>
        <v>0</v>
      </c>
      <c r="BO714" s="8">
        <f t="shared" si="524"/>
        <v>0</v>
      </c>
      <c r="BQ714" s="8">
        <f t="shared" si="525"/>
        <v>0</v>
      </c>
      <c r="BR714" s="63">
        <f t="shared" si="526"/>
        <v>0</v>
      </c>
      <c r="BS714" s="63">
        <f t="shared" si="553"/>
        <v>0</v>
      </c>
      <c r="BT714" s="63">
        <f t="shared" si="527"/>
        <v>0</v>
      </c>
      <c r="BU714" s="63">
        <f t="shared" si="528"/>
        <v>0</v>
      </c>
      <c r="BV714" s="57">
        <f t="shared" si="529"/>
        <v>0</v>
      </c>
      <c r="BW714" s="57">
        <f t="shared" si="530"/>
        <v>0</v>
      </c>
      <c r="BX714" s="57">
        <f t="shared" si="554"/>
        <v>0</v>
      </c>
      <c r="BY714" s="57">
        <f t="shared" si="512"/>
        <v>0</v>
      </c>
      <c r="BZ714" s="8">
        <f t="shared" si="531"/>
        <v>0</v>
      </c>
      <c r="CA714" s="8">
        <f t="shared" si="532"/>
        <v>0</v>
      </c>
      <c r="CB714" s="8">
        <f t="shared" si="533"/>
        <v>0</v>
      </c>
      <c r="CC714" s="8">
        <f t="shared" si="534"/>
        <v>0</v>
      </c>
      <c r="CD714" s="8">
        <f t="shared" si="535"/>
        <v>0</v>
      </c>
      <c r="CE714" s="8">
        <f t="shared" si="536"/>
        <v>0</v>
      </c>
      <c r="CF714" s="8">
        <f t="shared" si="537"/>
        <v>0</v>
      </c>
      <c r="CG714" s="8">
        <f t="shared" si="538"/>
        <v>0</v>
      </c>
      <c r="CH714" s="8">
        <f t="shared" si="539"/>
        <v>0</v>
      </c>
      <c r="CI714" s="8">
        <f t="shared" si="540"/>
        <v>0</v>
      </c>
      <c r="CJ714" s="8">
        <f t="shared" si="541"/>
        <v>0</v>
      </c>
      <c r="CK714" s="8">
        <f t="shared" si="542"/>
        <v>0</v>
      </c>
      <c r="CL714" s="8">
        <f t="shared" si="543"/>
        <v>0</v>
      </c>
      <c r="CM714" s="8">
        <f t="shared" si="544"/>
        <v>0</v>
      </c>
      <c r="CN714" s="8">
        <f t="shared" si="545"/>
        <v>0</v>
      </c>
      <c r="CO714" s="8">
        <f t="shared" si="546"/>
        <v>0</v>
      </c>
      <c r="CP714" s="8">
        <f t="shared" si="547"/>
        <v>0</v>
      </c>
      <c r="CQ714" s="8">
        <f t="shared" si="548"/>
        <v>0</v>
      </c>
      <c r="CR714" s="8">
        <f t="shared" si="549"/>
        <v>0</v>
      </c>
      <c r="CS714" s="8">
        <f t="shared" si="550"/>
        <v>0</v>
      </c>
      <c r="CT714" s="8">
        <f t="shared" si="509"/>
        <v>0</v>
      </c>
      <c r="CU714" s="8">
        <f t="shared" si="510"/>
        <v>0</v>
      </c>
      <c r="CV714" s="8">
        <f t="shared" si="511"/>
        <v>0</v>
      </c>
    </row>
    <row r="715" spans="1:100" ht="20.5" thickTop="1" thickBot="1" x14ac:dyDescent="0.5">
      <c r="A715" s="32"/>
      <c r="B715" s="10"/>
      <c r="C715" s="10"/>
      <c r="D715" s="11"/>
      <c r="E715" s="10"/>
      <c r="F715" s="10"/>
      <c r="G715" s="19"/>
      <c r="H715" s="19"/>
      <c r="I715" s="19"/>
      <c r="J715" s="19"/>
      <c r="K715" s="10"/>
      <c r="L715" s="10"/>
      <c r="M715" s="10"/>
      <c r="N715" s="10"/>
      <c r="O715" s="18"/>
      <c r="P715" s="18"/>
      <c r="Q715" s="21"/>
      <c r="R715" s="20"/>
      <c r="S715" s="16">
        <f t="shared" si="513"/>
        <v>0</v>
      </c>
      <c r="T715" s="11"/>
      <c r="AS715" s="31">
        <f t="shared" si="514"/>
        <v>0</v>
      </c>
      <c r="AT715" s="31">
        <f t="shared" si="515"/>
        <v>0</v>
      </c>
      <c r="AU715" s="31">
        <f t="shared" si="516"/>
        <v>0</v>
      </c>
      <c r="AV715" s="31">
        <f t="shared" si="517"/>
        <v>0</v>
      </c>
      <c r="AW715" s="31">
        <f t="shared" si="518"/>
        <v>0</v>
      </c>
      <c r="AX715" s="31">
        <f t="shared" si="519"/>
        <v>0</v>
      </c>
      <c r="AY715" s="31">
        <f t="shared" si="520"/>
        <v>0</v>
      </c>
      <c r="AZ715" s="31">
        <f t="shared" si="521"/>
        <v>0</v>
      </c>
      <c r="BA715" s="31">
        <f t="shared" si="522"/>
        <v>0</v>
      </c>
      <c r="BB715" s="31">
        <f t="shared" si="551"/>
        <v>0</v>
      </c>
      <c r="BM715" s="8">
        <f t="shared" si="552"/>
        <v>0</v>
      </c>
      <c r="BN715" s="8">
        <f t="shared" si="523"/>
        <v>0</v>
      </c>
      <c r="BO715" s="8">
        <f t="shared" si="524"/>
        <v>0</v>
      </c>
      <c r="BQ715" s="8">
        <f t="shared" si="525"/>
        <v>0</v>
      </c>
      <c r="BR715" s="63">
        <f t="shared" si="526"/>
        <v>0</v>
      </c>
      <c r="BS715" s="63">
        <f t="shared" si="553"/>
        <v>0</v>
      </c>
      <c r="BT715" s="63">
        <f t="shared" si="527"/>
        <v>0</v>
      </c>
      <c r="BU715" s="63">
        <f t="shared" si="528"/>
        <v>0</v>
      </c>
      <c r="BV715" s="57">
        <f t="shared" si="529"/>
        <v>0</v>
      </c>
      <c r="BW715" s="57">
        <f t="shared" si="530"/>
        <v>0</v>
      </c>
      <c r="BX715" s="57">
        <f t="shared" si="554"/>
        <v>0</v>
      </c>
      <c r="BY715" s="57">
        <f t="shared" si="512"/>
        <v>0</v>
      </c>
      <c r="BZ715" s="8">
        <f t="shared" si="531"/>
        <v>0</v>
      </c>
      <c r="CA715" s="8">
        <f t="shared" si="532"/>
        <v>0</v>
      </c>
      <c r="CB715" s="8">
        <f t="shared" si="533"/>
        <v>0</v>
      </c>
      <c r="CC715" s="8">
        <f t="shared" si="534"/>
        <v>0</v>
      </c>
      <c r="CD715" s="8">
        <f t="shared" si="535"/>
        <v>0</v>
      </c>
      <c r="CE715" s="8">
        <f t="shared" si="536"/>
        <v>0</v>
      </c>
      <c r="CF715" s="8">
        <f t="shared" si="537"/>
        <v>0</v>
      </c>
      <c r="CG715" s="8">
        <f t="shared" si="538"/>
        <v>0</v>
      </c>
      <c r="CH715" s="8">
        <f t="shared" si="539"/>
        <v>0</v>
      </c>
      <c r="CI715" s="8">
        <f t="shared" si="540"/>
        <v>0</v>
      </c>
      <c r="CJ715" s="8">
        <f t="shared" si="541"/>
        <v>0</v>
      </c>
      <c r="CK715" s="8">
        <f t="shared" si="542"/>
        <v>0</v>
      </c>
      <c r="CL715" s="8">
        <f t="shared" si="543"/>
        <v>0</v>
      </c>
      <c r="CM715" s="8">
        <f t="shared" si="544"/>
        <v>0</v>
      </c>
      <c r="CN715" s="8">
        <f t="shared" si="545"/>
        <v>0</v>
      </c>
      <c r="CO715" s="8">
        <f t="shared" si="546"/>
        <v>0</v>
      </c>
      <c r="CP715" s="8">
        <f t="shared" si="547"/>
        <v>0</v>
      </c>
      <c r="CQ715" s="8">
        <f t="shared" si="548"/>
        <v>0</v>
      </c>
      <c r="CR715" s="8">
        <f t="shared" si="549"/>
        <v>0</v>
      </c>
      <c r="CS715" s="8">
        <f t="shared" si="550"/>
        <v>0</v>
      </c>
      <c r="CT715" s="8">
        <f t="shared" si="509"/>
        <v>0</v>
      </c>
      <c r="CU715" s="8">
        <f t="shared" si="510"/>
        <v>0</v>
      </c>
      <c r="CV715" s="8">
        <f t="shared" si="511"/>
        <v>0</v>
      </c>
    </row>
    <row r="716" spans="1:100" ht="20.5" thickTop="1" thickBot="1" x14ac:dyDescent="0.5">
      <c r="A716" s="32"/>
      <c r="B716" s="10"/>
      <c r="C716" s="10"/>
      <c r="D716" s="11"/>
      <c r="E716" s="10"/>
      <c r="F716" s="10"/>
      <c r="G716" s="19"/>
      <c r="H716" s="19"/>
      <c r="I716" s="19"/>
      <c r="J716" s="19"/>
      <c r="K716" s="10"/>
      <c r="L716" s="10"/>
      <c r="M716" s="10"/>
      <c r="N716" s="10"/>
      <c r="O716" s="18"/>
      <c r="P716" s="18"/>
      <c r="Q716" s="21"/>
      <c r="R716" s="20"/>
      <c r="S716" s="16">
        <f t="shared" si="513"/>
        <v>0</v>
      </c>
      <c r="T716" s="11"/>
      <c r="AS716" s="31">
        <f t="shared" si="514"/>
        <v>0</v>
      </c>
      <c r="AT716" s="31">
        <f t="shared" si="515"/>
        <v>0</v>
      </c>
      <c r="AU716" s="31">
        <f t="shared" si="516"/>
        <v>0</v>
      </c>
      <c r="AV716" s="31">
        <f t="shared" si="517"/>
        <v>0</v>
      </c>
      <c r="AW716" s="31">
        <f t="shared" si="518"/>
        <v>0</v>
      </c>
      <c r="AX716" s="31">
        <f t="shared" si="519"/>
        <v>0</v>
      </c>
      <c r="AY716" s="31">
        <f t="shared" si="520"/>
        <v>0</v>
      </c>
      <c r="AZ716" s="31">
        <f t="shared" si="521"/>
        <v>0</v>
      </c>
      <c r="BA716" s="31">
        <f t="shared" si="522"/>
        <v>0</v>
      </c>
      <c r="BB716" s="31">
        <f t="shared" si="551"/>
        <v>0</v>
      </c>
      <c r="BM716" s="8">
        <f t="shared" si="552"/>
        <v>0</v>
      </c>
      <c r="BN716" s="8">
        <f t="shared" si="523"/>
        <v>0</v>
      </c>
      <c r="BO716" s="8">
        <f t="shared" si="524"/>
        <v>0</v>
      </c>
      <c r="BQ716" s="8">
        <f t="shared" si="525"/>
        <v>0</v>
      </c>
      <c r="BR716" s="63">
        <f t="shared" si="526"/>
        <v>0</v>
      </c>
      <c r="BS716" s="63">
        <f t="shared" si="553"/>
        <v>0</v>
      </c>
      <c r="BT716" s="63">
        <f t="shared" si="527"/>
        <v>0</v>
      </c>
      <c r="BU716" s="63">
        <f t="shared" si="528"/>
        <v>0</v>
      </c>
      <c r="BV716" s="57">
        <f t="shared" si="529"/>
        <v>0</v>
      </c>
      <c r="BW716" s="57">
        <f t="shared" si="530"/>
        <v>0</v>
      </c>
      <c r="BX716" s="57">
        <f t="shared" si="554"/>
        <v>0</v>
      </c>
      <c r="BY716" s="57">
        <f t="shared" si="512"/>
        <v>0</v>
      </c>
      <c r="BZ716" s="8">
        <f t="shared" si="531"/>
        <v>0</v>
      </c>
      <c r="CA716" s="8">
        <f t="shared" si="532"/>
        <v>0</v>
      </c>
      <c r="CB716" s="8">
        <f t="shared" si="533"/>
        <v>0</v>
      </c>
      <c r="CC716" s="8">
        <f t="shared" si="534"/>
        <v>0</v>
      </c>
      <c r="CD716" s="8">
        <f t="shared" si="535"/>
        <v>0</v>
      </c>
      <c r="CE716" s="8">
        <f t="shared" si="536"/>
        <v>0</v>
      </c>
      <c r="CF716" s="8">
        <f t="shared" si="537"/>
        <v>0</v>
      </c>
      <c r="CG716" s="8">
        <f t="shared" si="538"/>
        <v>0</v>
      </c>
      <c r="CH716" s="8">
        <f t="shared" si="539"/>
        <v>0</v>
      </c>
      <c r="CI716" s="8">
        <f t="shared" si="540"/>
        <v>0</v>
      </c>
      <c r="CJ716" s="8">
        <f t="shared" si="541"/>
        <v>0</v>
      </c>
      <c r="CK716" s="8">
        <f t="shared" si="542"/>
        <v>0</v>
      </c>
      <c r="CL716" s="8">
        <f t="shared" si="543"/>
        <v>0</v>
      </c>
      <c r="CM716" s="8">
        <f t="shared" si="544"/>
        <v>0</v>
      </c>
      <c r="CN716" s="8">
        <f t="shared" si="545"/>
        <v>0</v>
      </c>
      <c r="CO716" s="8">
        <f t="shared" si="546"/>
        <v>0</v>
      </c>
      <c r="CP716" s="8">
        <f t="shared" si="547"/>
        <v>0</v>
      </c>
      <c r="CQ716" s="8">
        <f t="shared" si="548"/>
        <v>0</v>
      </c>
      <c r="CR716" s="8">
        <f t="shared" si="549"/>
        <v>0</v>
      </c>
      <c r="CS716" s="8">
        <f t="shared" si="550"/>
        <v>0</v>
      </c>
      <c r="CT716" s="8">
        <f t="shared" si="509"/>
        <v>0</v>
      </c>
      <c r="CU716" s="8">
        <f t="shared" si="510"/>
        <v>0</v>
      </c>
      <c r="CV716" s="8">
        <f t="shared" si="511"/>
        <v>0</v>
      </c>
    </row>
    <row r="717" spans="1:100" ht="20.5" thickTop="1" thickBot="1" x14ac:dyDescent="0.5">
      <c r="A717" s="32"/>
      <c r="B717" s="10"/>
      <c r="C717" s="10"/>
      <c r="D717" s="11"/>
      <c r="E717" s="10"/>
      <c r="F717" s="10"/>
      <c r="G717" s="19"/>
      <c r="H717" s="19"/>
      <c r="I717" s="19"/>
      <c r="J717" s="19"/>
      <c r="K717" s="10"/>
      <c r="L717" s="10"/>
      <c r="M717" s="10"/>
      <c r="N717" s="10"/>
      <c r="O717" s="18"/>
      <c r="P717" s="18"/>
      <c r="Q717" s="21"/>
      <c r="R717" s="20"/>
      <c r="S717" s="16">
        <f t="shared" si="513"/>
        <v>0</v>
      </c>
      <c r="T717" s="11"/>
      <c r="AS717" s="31">
        <f t="shared" si="514"/>
        <v>0</v>
      </c>
      <c r="AT717" s="31">
        <f t="shared" si="515"/>
        <v>0</v>
      </c>
      <c r="AU717" s="31">
        <f t="shared" si="516"/>
        <v>0</v>
      </c>
      <c r="AV717" s="31">
        <f t="shared" si="517"/>
        <v>0</v>
      </c>
      <c r="AW717" s="31">
        <f t="shared" si="518"/>
        <v>0</v>
      </c>
      <c r="AX717" s="31">
        <f t="shared" si="519"/>
        <v>0</v>
      </c>
      <c r="AY717" s="31">
        <f t="shared" si="520"/>
        <v>0</v>
      </c>
      <c r="AZ717" s="31">
        <f t="shared" si="521"/>
        <v>0</v>
      </c>
      <c r="BA717" s="31">
        <f t="shared" si="522"/>
        <v>0</v>
      </c>
      <c r="BB717" s="31">
        <f t="shared" si="551"/>
        <v>0</v>
      </c>
      <c r="BM717" s="8">
        <f t="shared" si="552"/>
        <v>0</v>
      </c>
      <c r="BN717" s="8">
        <f t="shared" si="523"/>
        <v>0</v>
      </c>
      <c r="BO717" s="8">
        <f t="shared" si="524"/>
        <v>0</v>
      </c>
      <c r="BQ717" s="8">
        <f t="shared" si="525"/>
        <v>0</v>
      </c>
      <c r="BR717" s="63">
        <f t="shared" si="526"/>
        <v>0</v>
      </c>
      <c r="BS717" s="63">
        <f t="shared" si="553"/>
        <v>0</v>
      </c>
      <c r="BT717" s="63">
        <f t="shared" si="527"/>
        <v>0</v>
      </c>
      <c r="BU717" s="63">
        <f t="shared" si="528"/>
        <v>0</v>
      </c>
      <c r="BV717" s="57">
        <f t="shared" si="529"/>
        <v>0</v>
      </c>
      <c r="BW717" s="57">
        <f t="shared" si="530"/>
        <v>0</v>
      </c>
      <c r="BX717" s="57">
        <f t="shared" si="554"/>
        <v>0</v>
      </c>
      <c r="BY717" s="57">
        <f t="shared" si="512"/>
        <v>0</v>
      </c>
      <c r="BZ717" s="8">
        <f t="shared" si="531"/>
        <v>0</v>
      </c>
      <c r="CA717" s="8">
        <f t="shared" si="532"/>
        <v>0</v>
      </c>
      <c r="CB717" s="8">
        <f t="shared" si="533"/>
        <v>0</v>
      </c>
      <c r="CC717" s="8">
        <f t="shared" si="534"/>
        <v>0</v>
      </c>
      <c r="CD717" s="8">
        <f t="shared" si="535"/>
        <v>0</v>
      </c>
      <c r="CE717" s="8">
        <f t="shared" si="536"/>
        <v>0</v>
      </c>
      <c r="CF717" s="8">
        <f t="shared" si="537"/>
        <v>0</v>
      </c>
      <c r="CG717" s="8">
        <f t="shared" si="538"/>
        <v>0</v>
      </c>
      <c r="CH717" s="8">
        <f t="shared" si="539"/>
        <v>0</v>
      </c>
      <c r="CI717" s="8">
        <f t="shared" si="540"/>
        <v>0</v>
      </c>
      <c r="CJ717" s="8">
        <f t="shared" si="541"/>
        <v>0</v>
      </c>
      <c r="CK717" s="8">
        <f t="shared" si="542"/>
        <v>0</v>
      </c>
      <c r="CL717" s="8">
        <f t="shared" si="543"/>
        <v>0</v>
      </c>
      <c r="CM717" s="8">
        <f t="shared" si="544"/>
        <v>0</v>
      </c>
      <c r="CN717" s="8">
        <f t="shared" si="545"/>
        <v>0</v>
      </c>
      <c r="CO717" s="8">
        <f t="shared" si="546"/>
        <v>0</v>
      </c>
      <c r="CP717" s="8">
        <f t="shared" si="547"/>
        <v>0</v>
      </c>
      <c r="CQ717" s="8">
        <f t="shared" si="548"/>
        <v>0</v>
      </c>
      <c r="CR717" s="8">
        <f t="shared" si="549"/>
        <v>0</v>
      </c>
      <c r="CS717" s="8">
        <f t="shared" si="550"/>
        <v>0</v>
      </c>
      <c r="CT717" s="8">
        <f t="shared" ref="CT717:CT780" si="555">IF(AND(J717&gt;0,OR(B717="MB",B717="new MB")),J717,0)*4+IF(AND(J717&gt;0,OR(C717="MB",C717="new MB")),J717,0)*4</f>
        <v>0</v>
      </c>
      <c r="CU717" s="8">
        <f t="shared" ref="CU717:CU780" si="556">IF(AND(I717&gt;0,OR(B717="MB",B717="new MB")),I717,0)*4+IF(AND(I717&gt;0,OR(C717="MB",C717="new MB")),I717,0)*4</f>
        <v>0</v>
      </c>
      <c r="CV717" s="8">
        <f t="shared" ref="CV717:CV780" si="557">IF(AND(H717&gt;0,OR(B717="MB",B717="new MB")),H717,0)*4+IF(AND(H717&gt;0,OR(C717="MB",C717="new MB")),H717,0)*4</f>
        <v>0</v>
      </c>
    </row>
    <row r="718" spans="1:100" ht="20.5" thickTop="1" thickBot="1" x14ac:dyDescent="0.5">
      <c r="A718" s="32"/>
      <c r="B718" s="10"/>
      <c r="C718" s="10"/>
      <c r="D718" s="11"/>
      <c r="E718" s="10"/>
      <c r="F718" s="10"/>
      <c r="G718" s="19"/>
      <c r="H718" s="19"/>
      <c r="I718" s="19"/>
      <c r="J718" s="19"/>
      <c r="K718" s="10"/>
      <c r="L718" s="10"/>
      <c r="M718" s="10"/>
      <c r="N718" s="10"/>
      <c r="O718" s="18"/>
      <c r="P718" s="18"/>
      <c r="Q718" s="21"/>
      <c r="R718" s="20"/>
      <c r="S718" s="16">
        <f t="shared" si="513"/>
        <v>0</v>
      </c>
      <c r="T718" s="11"/>
      <c r="AS718" s="31">
        <f t="shared" si="514"/>
        <v>0</v>
      </c>
      <c r="AT718" s="31">
        <f t="shared" si="515"/>
        <v>0</v>
      </c>
      <c r="AU718" s="31">
        <f t="shared" si="516"/>
        <v>0</v>
      </c>
      <c r="AV718" s="31">
        <f t="shared" si="517"/>
        <v>0</v>
      </c>
      <c r="AW718" s="31">
        <f t="shared" si="518"/>
        <v>0</v>
      </c>
      <c r="AX718" s="31">
        <f t="shared" si="519"/>
        <v>0</v>
      </c>
      <c r="AY718" s="31">
        <f t="shared" si="520"/>
        <v>0</v>
      </c>
      <c r="AZ718" s="31">
        <f t="shared" si="521"/>
        <v>0</v>
      </c>
      <c r="BA718" s="31">
        <f t="shared" si="522"/>
        <v>0</v>
      </c>
      <c r="BB718" s="31">
        <f t="shared" si="551"/>
        <v>0</v>
      </c>
      <c r="BM718" s="8">
        <f t="shared" si="552"/>
        <v>0</v>
      </c>
      <c r="BN718" s="8">
        <f t="shared" si="523"/>
        <v>0</v>
      </c>
      <c r="BO718" s="8">
        <f t="shared" si="524"/>
        <v>0</v>
      </c>
      <c r="BQ718" s="8">
        <f t="shared" si="525"/>
        <v>0</v>
      </c>
      <c r="BR718" s="63">
        <f t="shared" si="526"/>
        <v>0</v>
      </c>
      <c r="BS718" s="63">
        <f t="shared" si="553"/>
        <v>0</v>
      </c>
      <c r="BT718" s="63">
        <f t="shared" si="527"/>
        <v>0</v>
      </c>
      <c r="BU718" s="63">
        <f t="shared" si="528"/>
        <v>0</v>
      </c>
      <c r="BV718" s="57">
        <f t="shared" si="529"/>
        <v>0</v>
      </c>
      <c r="BW718" s="57">
        <f t="shared" si="530"/>
        <v>0</v>
      </c>
      <c r="BX718" s="57">
        <f t="shared" si="554"/>
        <v>0</v>
      </c>
      <c r="BY718" s="57">
        <f t="shared" si="512"/>
        <v>0</v>
      </c>
      <c r="BZ718" s="8">
        <f t="shared" si="531"/>
        <v>0</v>
      </c>
      <c r="CA718" s="8">
        <f t="shared" si="532"/>
        <v>0</v>
      </c>
      <c r="CB718" s="8">
        <f t="shared" si="533"/>
        <v>0</v>
      </c>
      <c r="CC718" s="8">
        <f t="shared" si="534"/>
        <v>0</v>
      </c>
      <c r="CD718" s="8">
        <f t="shared" si="535"/>
        <v>0</v>
      </c>
      <c r="CE718" s="8">
        <f t="shared" si="536"/>
        <v>0</v>
      </c>
      <c r="CF718" s="8">
        <f t="shared" si="537"/>
        <v>0</v>
      </c>
      <c r="CG718" s="8">
        <f t="shared" si="538"/>
        <v>0</v>
      </c>
      <c r="CH718" s="8">
        <f t="shared" si="539"/>
        <v>0</v>
      </c>
      <c r="CI718" s="8">
        <f t="shared" si="540"/>
        <v>0</v>
      </c>
      <c r="CJ718" s="8">
        <f t="shared" si="541"/>
        <v>0</v>
      </c>
      <c r="CK718" s="8">
        <f t="shared" si="542"/>
        <v>0</v>
      </c>
      <c r="CL718" s="8">
        <f t="shared" si="543"/>
        <v>0</v>
      </c>
      <c r="CM718" s="8">
        <f t="shared" si="544"/>
        <v>0</v>
      </c>
      <c r="CN718" s="8">
        <f t="shared" si="545"/>
        <v>0</v>
      </c>
      <c r="CO718" s="8">
        <f t="shared" si="546"/>
        <v>0</v>
      </c>
      <c r="CP718" s="8">
        <f t="shared" si="547"/>
        <v>0</v>
      </c>
      <c r="CQ718" s="8">
        <f t="shared" si="548"/>
        <v>0</v>
      </c>
      <c r="CR718" s="8">
        <f t="shared" si="549"/>
        <v>0</v>
      </c>
      <c r="CS718" s="8">
        <f t="shared" si="550"/>
        <v>0</v>
      </c>
      <c r="CT718" s="8">
        <f t="shared" si="555"/>
        <v>0</v>
      </c>
      <c r="CU718" s="8">
        <f t="shared" si="556"/>
        <v>0</v>
      </c>
      <c r="CV718" s="8">
        <f t="shared" si="557"/>
        <v>0</v>
      </c>
    </row>
    <row r="719" spans="1:100" ht="20.5" thickTop="1" thickBot="1" x14ac:dyDescent="0.5">
      <c r="A719" s="32"/>
      <c r="B719" s="10"/>
      <c r="C719" s="10"/>
      <c r="D719" s="11"/>
      <c r="E719" s="10"/>
      <c r="F719" s="10"/>
      <c r="G719" s="19"/>
      <c r="H719" s="19"/>
      <c r="I719" s="19"/>
      <c r="J719" s="19"/>
      <c r="K719" s="10"/>
      <c r="L719" s="10"/>
      <c r="M719" s="10"/>
      <c r="N719" s="10"/>
      <c r="O719" s="18"/>
      <c r="P719" s="18"/>
      <c r="Q719" s="21"/>
      <c r="R719" s="20"/>
      <c r="S719" s="16">
        <f t="shared" si="513"/>
        <v>0</v>
      </c>
      <c r="T719" s="11"/>
      <c r="AS719" s="31">
        <f t="shared" si="514"/>
        <v>0</v>
      </c>
      <c r="AT719" s="31">
        <f t="shared" si="515"/>
        <v>0</v>
      </c>
      <c r="AU719" s="31">
        <f t="shared" si="516"/>
        <v>0</v>
      </c>
      <c r="AV719" s="31">
        <f t="shared" si="517"/>
        <v>0</v>
      </c>
      <c r="AW719" s="31">
        <f t="shared" si="518"/>
        <v>0</v>
      </c>
      <c r="AX719" s="31">
        <f t="shared" si="519"/>
        <v>0</v>
      </c>
      <c r="AY719" s="31">
        <f t="shared" si="520"/>
        <v>0</v>
      </c>
      <c r="AZ719" s="31">
        <f t="shared" si="521"/>
        <v>0</v>
      </c>
      <c r="BA719" s="31">
        <f t="shared" si="522"/>
        <v>0</v>
      </c>
      <c r="BB719" s="31">
        <f t="shared" si="551"/>
        <v>0</v>
      </c>
      <c r="BM719" s="8">
        <f t="shared" si="552"/>
        <v>0</v>
      </c>
      <c r="BN719" s="8">
        <f t="shared" si="523"/>
        <v>0</v>
      </c>
      <c r="BO719" s="8">
        <f t="shared" si="524"/>
        <v>0</v>
      </c>
      <c r="BQ719" s="8">
        <f t="shared" si="525"/>
        <v>0</v>
      </c>
      <c r="BR719" s="63">
        <f t="shared" si="526"/>
        <v>0</v>
      </c>
      <c r="BS719" s="63">
        <f t="shared" si="553"/>
        <v>0</v>
      </c>
      <c r="BT719" s="63">
        <f t="shared" si="527"/>
        <v>0</v>
      </c>
      <c r="BU719" s="63">
        <f t="shared" si="528"/>
        <v>0</v>
      </c>
      <c r="BV719" s="57">
        <f t="shared" si="529"/>
        <v>0</v>
      </c>
      <c r="BW719" s="57">
        <f t="shared" si="530"/>
        <v>0</v>
      </c>
      <c r="BX719" s="57">
        <f t="shared" si="554"/>
        <v>0</v>
      </c>
      <c r="BY719" s="57">
        <f t="shared" si="512"/>
        <v>0</v>
      </c>
      <c r="BZ719" s="8">
        <f t="shared" si="531"/>
        <v>0</v>
      </c>
      <c r="CA719" s="8">
        <f t="shared" si="532"/>
        <v>0</v>
      </c>
      <c r="CB719" s="8">
        <f t="shared" si="533"/>
        <v>0</v>
      </c>
      <c r="CC719" s="8">
        <f t="shared" si="534"/>
        <v>0</v>
      </c>
      <c r="CD719" s="8">
        <f t="shared" si="535"/>
        <v>0</v>
      </c>
      <c r="CE719" s="8">
        <f t="shared" si="536"/>
        <v>0</v>
      </c>
      <c r="CF719" s="8">
        <f t="shared" si="537"/>
        <v>0</v>
      </c>
      <c r="CG719" s="8">
        <f t="shared" si="538"/>
        <v>0</v>
      </c>
      <c r="CH719" s="8">
        <f t="shared" si="539"/>
        <v>0</v>
      </c>
      <c r="CI719" s="8">
        <f t="shared" si="540"/>
        <v>0</v>
      </c>
      <c r="CJ719" s="8">
        <f t="shared" si="541"/>
        <v>0</v>
      </c>
      <c r="CK719" s="8">
        <f t="shared" si="542"/>
        <v>0</v>
      </c>
      <c r="CL719" s="8">
        <f t="shared" si="543"/>
        <v>0</v>
      </c>
      <c r="CM719" s="8">
        <f t="shared" si="544"/>
        <v>0</v>
      </c>
      <c r="CN719" s="8">
        <f t="shared" si="545"/>
        <v>0</v>
      </c>
      <c r="CO719" s="8">
        <f t="shared" si="546"/>
        <v>0</v>
      </c>
      <c r="CP719" s="8">
        <f t="shared" si="547"/>
        <v>0</v>
      </c>
      <c r="CQ719" s="8">
        <f t="shared" si="548"/>
        <v>0</v>
      </c>
      <c r="CR719" s="8">
        <f t="shared" si="549"/>
        <v>0</v>
      </c>
      <c r="CS719" s="8">
        <f t="shared" si="550"/>
        <v>0</v>
      </c>
      <c r="CT719" s="8">
        <f t="shared" si="555"/>
        <v>0</v>
      </c>
      <c r="CU719" s="8">
        <f t="shared" si="556"/>
        <v>0</v>
      </c>
      <c r="CV719" s="8">
        <f t="shared" si="557"/>
        <v>0</v>
      </c>
    </row>
    <row r="720" spans="1:100" ht="20.5" thickTop="1" thickBot="1" x14ac:dyDescent="0.5">
      <c r="A720" s="32"/>
      <c r="B720" s="10"/>
      <c r="C720" s="10"/>
      <c r="D720" s="11"/>
      <c r="E720" s="10"/>
      <c r="F720" s="10"/>
      <c r="G720" s="19"/>
      <c r="H720" s="19"/>
      <c r="I720" s="19"/>
      <c r="J720" s="19"/>
      <c r="K720" s="10"/>
      <c r="L720" s="10"/>
      <c r="M720" s="10"/>
      <c r="N720" s="10"/>
      <c r="O720" s="18"/>
      <c r="P720" s="18"/>
      <c r="Q720" s="21"/>
      <c r="R720" s="20"/>
      <c r="S720" s="16">
        <f t="shared" si="513"/>
        <v>0</v>
      </c>
      <c r="T720" s="11"/>
      <c r="AS720" s="31">
        <f t="shared" si="514"/>
        <v>0</v>
      </c>
      <c r="AT720" s="31">
        <f t="shared" si="515"/>
        <v>0</v>
      </c>
      <c r="AU720" s="31">
        <f t="shared" si="516"/>
        <v>0</v>
      </c>
      <c r="AV720" s="31">
        <f t="shared" si="517"/>
        <v>0</v>
      </c>
      <c r="AW720" s="31">
        <f t="shared" si="518"/>
        <v>0</v>
      </c>
      <c r="AX720" s="31">
        <f t="shared" si="519"/>
        <v>0</v>
      </c>
      <c r="AY720" s="31">
        <f t="shared" si="520"/>
        <v>0</v>
      </c>
      <c r="AZ720" s="31">
        <f t="shared" si="521"/>
        <v>0</v>
      </c>
      <c r="BA720" s="31">
        <f t="shared" si="522"/>
        <v>0</v>
      </c>
      <c r="BB720" s="31">
        <f t="shared" si="551"/>
        <v>0</v>
      </c>
      <c r="BM720" s="8">
        <f t="shared" si="552"/>
        <v>0</v>
      </c>
      <c r="BN720" s="8">
        <f t="shared" si="523"/>
        <v>0</v>
      </c>
      <c r="BO720" s="8">
        <f t="shared" si="524"/>
        <v>0</v>
      </c>
      <c r="BQ720" s="8">
        <f t="shared" si="525"/>
        <v>0</v>
      </c>
      <c r="BR720" s="63">
        <f t="shared" si="526"/>
        <v>0</v>
      </c>
      <c r="BS720" s="63">
        <f t="shared" si="553"/>
        <v>0</v>
      </c>
      <c r="BT720" s="63">
        <f t="shared" si="527"/>
        <v>0</v>
      </c>
      <c r="BU720" s="63">
        <f t="shared" si="528"/>
        <v>0</v>
      </c>
      <c r="BV720" s="57">
        <f t="shared" si="529"/>
        <v>0</v>
      </c>
      <c r="BW720" s="57">
        <f t="shared" si="530"/>
        <v>0</v>
      </c>
      <c r="BX720" s="57">
        <f t="shared" si="554"/>
        <v>0</v>
      </c>
      <c r="BY720" s="57">
        <f t="shared" si="512"/>
        <v>0</v>
      </c>
      <c r="BZ720" s="8">
        <f t="shared" si="531"/>
        <v>0</v>
      </c>
      <c r="CA720" s="8">
        <f t="shared" si="532"/>
        <v>0</v>
      </c>
      <c r="CB720" s="8">
        <f t="shared" si="533"/>
        <v>0</v>
      </c>
      <c r="CC720" s="8">
        <f t="shared" si="534"/>
        <v>0</v>
      </c>
      <c r="CD720" s="8">
        <f t="shared" si="535"/>
        <v>0</v>
      </c>
      <c r="CE720" s="8">
        <f t="shared" si="536"/>
        <v>0</v>
      </c>
      <c r="CF720" s="8">
        <f t="shared" si="537"/>
        <v>0</v>
      </c>
      <c r="CG720" s="8">
        <f t="shared" si="538"/>
        <v>0</v>
      </c>
      <c r="CH720" s="8">
        <f t="shared" si="539"/>
        <v>0</v>
      </c>
      <c r="CI720" s="8">
        <f t="shared" si="540"/>
        <v>0</v>
      </c>
      <c r="CJ720" s="8">
        <f t="shared" si="541"/>
        <v>0</v>
      </c>
      <c r="CK720" s="8">
        <f t="shared" si="542"/>
        <v>0</v>
      </c>
      <c r="CL720" s="8">
        <f t="shared" si="543"/>
        <v>0</v>
      </c>
      <c r="CM720" s="8">
        <f t="shared" si="544"/>
        <v>0</v>
      </c>
      <c r="CN720" s="8">
        <f t="shared" si="545"/>
        <v>0</v>
      </c>
      <c r="CO720" s="8">
        <f t="shared" si="546"/>
        <v>0</v>
      </c>
      <c r="CP720" s="8">
        <f t="shared" si="547"/>
        <v>0</v>
      </c>
      <c r="CQ720" s="8">
        <f t="shared" si="548"/>
        <v>0</v>
      </c>
      <c r="CR720" s="8">
        <f t="shared" si="549"/>
        <v>0</v>
      </c>
      <c r="CS720" s="8">
        <f t="shared" si="550"/>
        <v>0</v>
      </c>
      <c r="CT720" s="8">
        <f t="shared" si="555"/>
        <v>0</v>
      </c>
      <c r="CU720" s="8">
        <f t="shared" si="556"/>
        <v>0</v>
      </c>
      <c r="CV720" s="8">
        <f t="shared" si="557"/>
        <v>0</v>
      </c>
    </row>
    <row r="721" spans="1:100" ht="20.5" thickTop="1" thickBot="1" x14ac:dyDescent="0.5">
      <c r="A721" s="32"/>
      <c r="B721" s="10"/>
      <c r="C721" s="10"/>
      <c r="D721" s="11"/>
      <c r="E721" s="10"/>
      <c r="F721" s="10"/>
      <c r="G721" s="19"/>
      <c r="H721" s="19"/>
      <c r="I721" s="19"/>
      <c r="J721" s="19"/>
      <c r="K721" s="10"/>
      <c r="L721" s="10"/>
      <c r="M721" s="10"/>
      <c r="N721" s="10"/>
      <c r="O721" s="18"/>
      <c r="P721" s="18"/>
      <c r="Q721" s="21"/>
      <c r="R721" s="20"/>
      <c r="S721" s="16">
        <f t="shared" si="513"/>
        <v>0</v>
      </c>
      <c r="T721" s="11"/>
      <c r="AS721" s="31">
        <f t="shared" si="514"/>
        <v>0</v>
      </c>
      <c r="AT721" s="31">
        <f t="shared" si="515"/>
        <v>0</v>
      </c>
      <c r="AU721" s="31">
        <f t="shared" si="516"/>
        <v>0</v>
      </c>
      <c r="AV721" s="31">
        <f t="shared" si="517"/>
        <v>0</v>
      </c>
      <c r="AW721" s="31">
        <f t="shared" si="518"/>
        <v>0</v>
      </c>
      <c r="AX721" s="31">
        <f t="shared" si="519"/>
        <v>0</v>
      </c>
      <c r="AY721" s="31">
        <f t="shared" si="520"/>
        <v>0</v>
      </c>
      <c r="AZ721" s="31">
        <f t="shared" si="521"/>
        <v>0</v>
      </c>
      <c r="BA721" s="31">
        <f t="shared" si="522"/>
        <v>0</v>
      </c>
      <c r="BB721" s="31">
        <f t="shared" si="551"/>
        <v>0</v>
      </c>
      <c r="BM721" s="8">
        <f t="shared" si="552"/>
        <v>0</v>
      </c>
      <c r="BN721" s="8">
        <f t="shared" si="523"/>
        <v>0</v>
      </c>
      <c r="BO721" s="8">
        <f t="shared" si="524"/>
        <v>0</v>
      </c>
      <c r="BQ721" s="8">
        <f t="shared" si="525"/>
        <v>0</v>
      </c>
      <c r="BR721" s="63">
        <f t="shared" si="526"/>
        <v>0</v>
      </c>
      <c r="BS721" s="63">
        <f t="shared" si="553"/>
        <v>0</v>
      </c>
      <c r="BT721" s="63">
        <f t="shared" si="527"/>
        <v>0</v>
      </c>
      <c r="BU721" s="63">
        <f t="shared" si="528"/>
        <v>0</v>
      </c>
      <c r="BV721" s="57">
        <f t="shared" si="529"/>
        <v>0</v>
      </c>
      <c r="BW721" s="57">
        <f t="shared" si="530"/>
        <v>0</v>
      </c>
      <c r="BX721" s="57">
        <f t="shared" si="554"/>
        <v>0</v>
      </c>
      <c r="BY721" s="57">
        <f t="shared" si="512"/>
        <v>0</v>
      </c>
      <c r="BZ721" s="8">
        <f t="shared" si="531"/>
        <v>0</v>
      </c>
      <c r="CA721" s="8">
        <f t="shared" si="532"/>
        <v>0</v>
      </c>
      <c r="CB721" s="8">
        <f t="shared" si="533"/>
        <v>0</v>
      </c>
      <c r="CC721" s="8">
        <f t="shared" si="534"/>
        <v>0</v>
      </c>
      <c r="CD721" s="8">
        <f t="shared" si="535"/>
        <v>0</v>
      </c>
      <c r="CE721" s="8">
        <f t="shared" si="536"/>
        <v>0</v>
      </c>
      <c r="CF721" s="8">
        <f t="shared" si="537"/>
        <v>0</v>
      </c>
      <c r="CG721" s="8">
        <f t="shared" si="538"/>
        <v>0</v>
      </c>
      <c r="CH721" s="8">
        <f t="shared" si="539"/>
        <v>0</v>
      </c>
      <c r="CI721" s="8">
        <f t="shared" si="540"/>
        <v>0</v>
      </c>
      <c r="CJ721" s="8">
        <f t="shared" si="541"/>
        <v>0</v>
      </c>
      <c r="CK721" s="8">
        <f t="shared" si="542"/>
        <v>0</v>
      </c>
      <c r="CL721" s="8">
        <f t="shared" si="543"/>
        <v>0</v>
      </c>
      <c r="CM721" s="8">
        <f t="shared" si="544"/>
        <v>0</v>
      </c>
      <c r="CN721" s="8">
        <f t="shared" si="545"/>
        <v>0</v>
      </c>
      <c r="CO721" s="8">
        <f t="shared" si="546"/>
        <v>0</v>
      </c>
      <c r="CP721" s="8">
        <f t="shared" si="547"/>
        <v>0</v>
      </c>
      <c r="CQ721" s="8">
        <f t="shared" si="548"/>
        <v>0</v>
      </c>
      <c r="CR721" s="8">
        <f t="shared" si="549"/>
        <v>0</v>
      </c>
      <c r="CS721" s="8">
        <f t="shared" si="550"/>
        <v>0</v>
      </c>
      <c r="CT721" s="8">
        <f t="shared" si="555"/>
        <v>0</v>
      </c>
      <c r="CU721" s="8">
        <f t="shared" si="556"/>
        <v>0</v>
      </c>
      <c r="CV721" s="8">
        <f t="shared" si="557"/>
        <v>0</v>
      </c>
    </row>
    <row r="722" spans="1:100" ht="20.5" thickTop="1" thickBot="1" x14ac:dyDescent="0.5">
      <c r="A722" s="32"/>
      <c r="B722" s="10"/>
      <c r="C722" s="10"/>
      <c r="D722" s="11"/>
      <c r="E722" s="10"/>
      <c r="F722" s="10"/>
      <c r="G722" s="19"/>
      <c r="H722" s="19"/>
      <c r="I722" s="19"/>
      <c r="J722" s="19"/>
      <c r="K722" s="10"/>
      <c r="L722" s="10"/>
      <c r="M722" s="10"/>
      <c r="N722" s="10"/>
      <c r="O722" s="18"/>
      <c r="P722" s="18"/>
      <c r="Q722" s="21"/>
      <c r="R722" s="20"/>
      <c r="S722" s="16">
        <f t="shared" si="513"/>
        <v>0</v>
      </c>
      <c r="T722" s="11"/>
      <c r="AS722" s="31">
        <f t="shared" si="514"/>
        <v>0</v>
      </c>
      <c r="AT722" s="31">
        <f t="shared" si="515"/>
        <v>0</v>
      </c>
      <c r="AU722" s="31">
        <f t="shared" si="516"/>
        <v>0</v>
      </c>
      <c r="AV722" s="31">
        <f t="shared" si="517"/>
        <v>0</v>
      </c>
      <c r="AW722" s="31">
        <f t="shared" si="518"/>
        <v>0</v>
      </c>
      <c r="AX722" s="31">
        <f t="shared" si="519"/>
        <v>0</v>
      </c>
      <c r="AY722" s="31">
        <f t="shared" si="520"/>
        <v>0</v>
      </c>
      <c r="AZ722" s="31">
        <f t="shared" si="521"/>
        <v>0</v>
      </c>
      <c r="BA722" s="31">
        <f t="shared" si="522"/>
        <v>0</v>
      </c>
      <c r="BB722" s="31">
        <f t="shared" si="551"/>
        <v>0</v>
      </c>
      <c r="BM722" s="8">
        <f t="shared" si="552"/>
        <v>0</v>
      </c>
      <c r="BN722" s="8">
        <f t="shared" si="523"/>
        <v>0</v>
      </c>
      <c r="BO722" s="8">
        <f t="shared" si="524"/>
        <v>0</v>
      </c>
      <c r="BQ722" s="8">
        <f t="shared" si="525"/>
        <v>0</v>
      </c>
      <c r="BR722" s="63">
        <f t="shared" si="526"/>
        <v>0</v>
      </c>
      <c r="BS722" s="63">
        <f t="shared" si="553"/>
        <v>0</v>
      </c>
      <c r="BT722" s="63">
        <f t="shared" si="527"/>
        <v>0</v>
      </c>
      <c r="BU722" s="63">
        <f t="shared" si="528"/>
        <v>0</v>
      </c>
      <c r="BV722" s="57">
        <f t="shared" si="529"/>
        <v>0</v>
      </c>
      <c r="BW722" s="57">
        <f t="shared" si="530"/>
        <v>0</v>
      </c>
      <c r="BX722" s="57">
        <f t="shared" si="554"/>
        <v>0</v>
      </c>
      <c r="BY722" s="57">
        <f t="shared" si="512"/>
        <v>0</v>
      </c>
      <c r="BZ722" s="8">
        <f t="shared" si="531"/>
        <v>0</v>
      </c>
      <c r="CA722" s="8">
        <f t="shared" si="532"/>
        <v>0</v>
      </c>
      <c r="CB722" s="8">
        <f t="shared" si="533"/>
        <v>0</v>
      </c>
      <c r="CC722" s="8">
        <f t="shared" si="534"/>
        <v>0</v>
      </c>
      <c r="CD722" s="8">
        <f t="shared" si="535"/>
        <v>0</v>
      </c>
      <c r="CE722" s="8">
        <f t="shared" si="536"/>
        <v>0</v>
      </c>
      <c r="CF722" s="8">
        <f t="shared" si="537"/>
        <v>0</v>
      </c>
      <c r="CG722" s="8">
        <f t="shared" si="538"/>
        <v>0</v>
      </c>
      <c r="CH722" s="8">
        <f t="shared" si="539"/>
        <v>0</v>
      </c>
      <c r="CI722" s="8">
        <f t="shared" si="540"/>
        <v>0</v>
      </c>
      <c r="CJ722" s="8">
        <f t="shared" si="541"/>
        <v>0</v>
      </c>
      <c r="CK722" s="8">
        <f t="shared" si="542"/>
        <v>0</v>
      </c>
      <c r="CL722" s="8">
        <f t="shared" si="543"/>
        <v>0</v>
      </c>
      <c r="CM722" s="8">
        <f t="shared" si="544"/>
        <v>0</v>
      </c>
      <c r="CN722" s="8">
        <f t="shared" si="545"/>
        <v>0</v>
      </c>
      <c r="CO722" s="8">
        <f t="shared" si="546"/>
        <v>0</v>
      </c>
      <c r="CP722" s="8">
        <f t="shared" si="547"/>
        <v>0</v>
      </c>
      <c r="CQ722" s="8">
        <f t="shared" si="548"/>
        <v>0</v>
      </c>
      <c r="CR722" s="8">
        <f t="shared" si="549"/>
        <v>0</v>
      </c>
      <c r="CS722" s="8">
        <f t="shared" si="550"/>
        <v>0</v>
      </c>
      <c r="CT722" s="8">
        <f t="shared" si="555"/>
        <v>0</v>
      </c>
      <c r="CU722" s="8">
        <f t="shared" si="556"/>
        <v>0</v>
      </c>
      <c r="CV722" s="8">
        <f t="shared" si="557"/>
        <v>0</v>
      </c>
    </row>
    <row r="723" spans="1:100" ht="20.5" thickTop="1" thickBot="1" x14ac:dyDescent="0.5">
      <c r="A723" s="32"/>
      <c r="B723" s="10"/>
      <c r="C723" s="10"/>
      <c r="D723" s="11"/>
      <c r="E723" s="10"/>
      <c r="F723" s="10"/>
      <c r="G723" s="19"/>
      <c r="H723" s="19"/>
      <c r="I723" s="19"/>
      <c r="J723" s="19"/>
      <c r="K723" s="10"/>
      <c r="L723" s="10"/>
      <c r="M723" s="10"/>
      <c r="N723" s="10"/>
      <c r="O723" s="18"/>
      <c r="P723" s="18"/>
      <c r="Q723" s="21"/>
      <c r="R723" s="20"/>
      <c r="S723" s="16">
        <f t="shared" si="513"/>
        <v>0</v>
      </c>
      <c r="T723" s="11"/>
      <c r="AS723" s="31">
        <f t="shared" si="514"/>
        <v>0</v>
      </c>
      <c r="AT723" s="31">
        <f t="shared" si="515"/>
        <v>0</v>
      </c>
      <c r="AU723" s="31">
        <f t="shared" si="516"/>
        <v>0</v>
      </c>
      <c r="AV723" s="31">
        <f t="shared" si="517"/>
        <v>0</v>
      </c>
      <c r="AW723" s="31">
        <f t="shared" si="518"/>
        <v>0</v>
      </c>
      <c r="AX723" s="31">
        <f t="shared" si="519"/>
        <v>0</v>
      </c>
      <c r="AY723" s="31">
        <f t="shared" si="520"/>
        <v>0</v>
      </c>
      <c r="AZ723" s="31">
        <f t="shared" si="521"/>
        <v>0</v>
      </c>
      <c r="BA723" s="31">
        <f t="shared" si="522"/>
        <v>0</v>
      </c>
      <c r="BB723" s="31">
        <f t="shared" si="551"/>
        <v>0</v>
      </c>
      <c r="BM723" s="8">
        <f t="shared" si="552"/>
        <v>0</v>
      </c>
      <c r="BN723" s="8">
        <f t="shared" si="523"/>
        <v>0</v>
      </c>
      <c r="BO723" s="8">
        <f t="shared" si="524"/>
        <v>0</v>
      </c>
      <c r="BQ723" s="8">
        <f t="shared" si="525"/>
        <v>0</v>
      </c>
      <c r="BR723" s="63">
        <f t="shared" si="526"/>
        <v>0</v>
      </c>
      <c r="BS723" s="63">
        <f t="shared" si="553"/>
        <v>0</v>
      </c>
      <c r="BT723" s="63">
        <f t="shared" si="527"/>
        <v>0</v>
      </c>
      <c r="BU723" s="63">
        <f t="shared" si="528"/>
        <v>0</v>
      </c>
      <c r="BV723" s="57">
        <f t="shared" si="529"/>
        <v>0</v>
      </c>
      <c r="BW723" s="57">
        <f t="shared" si="530"/>
        <v>0</v>
      </c>
      <c r="BX723" s="57">
        <f t="shared" si="554"/>
        <v>0</v>
      </c>
      <c r="BY723" s="57">
        <f t="shared" si="512"/>
        <v>0</v>
      </c>
      <c r="BZ723" s="8">
        <f t="shared" si="531"/>
        <v>0</v>
      </c>
      <c r="CA723" s="8">
        <f t="shared" si="532"/>
        <v>0</v>
      </c>
      <c r="CB723" s="8">
        <f t="shared" si="533"/>
        <v>0</v>
      </c>
      <c r="CC723" s="8">
        <f t="shared" si="534"/>
        <v>0</v>
      </c>
      <c r="CD723" s="8">
        <f t="shared" si="535"/>
        <v>0</v>
      </c>
      <c r="CE723" s="8">
        <f t="shared" si="536"/>
        <v>0</v>
      </c>
      <c r="CF723" s="8">
        <f t="shared" si="537"/>
        <v>0</v>
      </c>
      <c r="CG723" s="8">
        <f t="shared" si="538"/>
        <v>0</v>
      </c>
      <c r="CH723" s="8">
        <f t="shared" si="539"/>
        <v>0</v>
      </c>
      <c r="CI723" s="8">
        <f t="shared" si="540"/>
        <v>0</v>
      </c>
      <c r="CJ723" s="8">
        <f t="shared" si="541"/>
        <v>0</v>
      </c>
      <c r="CK723" s="8">
        <f t="shared" si="542"/>
        <v>0</v>
      </c>
      <c r="CL723" s="8">
        <f t="shared" si="543"/>
        <v>0</v>
      </c>
      <c r="CM723" s="8">
        <f t="shared" si="544"/>
        <v>0</v>
      </c>
      <c r="CN723" s="8">
        <f t="shared" si="545"/>
        <v>0</v>
      </c>
      <c r="CO723" s="8">
        <f t="shared" si="546"/>
        <v>0</v>
      </c>
      <c r="CP723" s="8">
        <f t="shared" si="547"/>
        <v>0</v>
      </c>
      <c r="CQ723" s="8">
        <f t="shared" si="548"/>
        <v>0</v>
      </c>
      <c r="CR723" s="8">
        <f t="shared" si="549"/>
        <v>0</v>
      </c>
      <c r="CS723" s="8">
        <f t="shared" si="550"/>
        <v>0</v>
      </c>
      <c r="CT723" s="8">
        <f t="shared" si="555"/>
        <v>0</v>
      </c>
      <c r="CU723" s="8">
        <f t="shared" si="556"/>
        <v>0</v>
      </c>
      <c r="CV723" s="8">
        <f t="shared" si="557"/>
        <v>0</v>
      </c>
    </row>
    <row r="724" spans="1:100" ht="20.5" thickTop="1" thickBot="1" x14ac:dyDescent="0.5">
      <c r="A724" s="32"/>
      <c r="B724" s="10"/>
      <c r="C724" s="10"/>
      <c r="D724" s="11"/>
      <c r="E724" s="10"/>
      <c r="F724" s="10"/>
      <c r="G724" s="19"/>
      <c r="H724" s="19"/>
      <c r="I724" s="19"/>
      <c r="J724" s="19"/>
      <c r="K724" s="10"/>
      <c r="L724" s="10"/>
      <c r="M724" s="10"/>
      <c r="N724" s="10"/>
      <c r="O724" s="18"/>
      <c r="P724" s="18"/>
      <c r="Q724" s="21"/>
      <c r="R724" s="20"/>
      <c r="S724" s="16">
        <f t="shared" si="513"/>
        <v>0</v>
      </c>
      <c r="T724" s="11"/>
      <c r="AS724" s="31">
        <f t="shared" si="514"/>
        <v>0</v>
      </c>
      <c r="AT724" s="31">
        <f t="shared" si="515"/>
        <v>0</v>
      </c>
      <c r="AU724" s="31">
        <f t="shared" si="516"/>
        <v>0</v>
      </c>
      <c r="AV724" s="31">
        <f t="shared" si="517"/>
        <v>0</v>
      </c>
      <c r="AW724" s="31">
        <f t="shared" si="518"/>
        <v>0</v>
      </c>
      <c r="AX724" s="31">
        <f t="shared" si="519"/>
        <v>0</v>
      </c>
      <c r="AY724" s="31">
        <f t="shared" si="520"/>
        <v>0</v>
      </c>
      <c r="AZ724" s="31">
        <f t="shared" si="521"/>
        <v>0</v>
      </c>
      <c r="BA724" s="31">
        <f t="shared" si="522"/>
        <v>0</v>
      </c>
      <c r="BB724" s="31">
        <f t="shared" si="551"/>
        <v>0</v>
      </c>
      <c r="BM724" s="8">
        <f t="shared" si="552"/>
        <v>0</v>
      </c>
      <c r="BN724" s="8">
        <f t="shared" si="523"/>
        <v>0</v>
      </c>
      <c r="BO724" s="8">
        <f t="shared" si="524"/>
        <v>0</v>
      </c>
      <c r="BQ724" s="8">
        <f t="shared" si="525"/>
        <v>0</v>
      </c>
      <c r="BR724" s="63">
        <f t="shared" si="526"/>
        <v>0</v>
      </c>
      <c r="BS724" s="63">
        <f t="shared" si="553"/>
        <v>0</v>
      </c>
      <c r="BT724" s="63">
        <f t="shared" si="527"/>
        <v>0</v>
      </c>
      <c r="BU724" s="63">
        <f t="shared" si="528"/>
        <v>0</v>
      </c>
      <c r="BV724" s="57">
        <f t="shared" si="529"/>
        <v>0</v>
      </c>
      <c r="BW724" s="57">
        <f t="shared" si="530"/>
        <v>0</v>
      </c>
      <c r="BX724" s="57">
        <f t="shared" si="554"/>
        <v>0</v>
      </c>
      <c r="BY724" s="57">
        <f t="shared" si="512"/>
        <v>0</v>
      </c>
      <c r="BZ724" s="8">
        <f t="shared" si="531"/>
        <v>0</v>
      </c>
      <c r="CA724" s="8">
        <f t="shared" si="532"/>
        <v>0</v>
      </c>
      <c r="CB724" s="8">
        <f t="shared" si="533"/>
        <v>0</v>
      </c>
      <c r="CC724" s="8">
        <f t="shared" si="534"/>
        <v>0</v>
      </c>
      <c r="CD724" s="8">
        <f t="shared" si="535"/>
        <v>0</v>
      </c>
      <c r="CE724" s="8">
        <f t="shared" si="536"/>
        <v>0</v>
      </c>
      <c r="CF724" s="8">
        <f t="shared" si="537"/>
        <v>0</v>
      </c>
      <c r="CG724" s="8">
        <f t="shared" si="538"/>
        <v>0</v>
      </c>
      <c r="CH724" s="8">
        <f t="shared" si="539"/>
        <v>0</v>
      </c>
      <c r="CI724" s="8">
        <f t="shared" si="540"/>
        <v>0</v>
      </c>
      <c r="CJ724" s="8">
        <f t="shared" si="541"/>
        <v>0</v>
      </c>
      <c r="CK724" s="8">
        <f t="shared" si="542"/>
        <v>0</v>
      </c>
      <c r="CL724" s="8">
        <f t="shared" si="543"/>
        <v>0</v>
      </c>
      <c r="CM724" s="8">
        <f t="shared" si="544"/>
        <v>0</v>
      </c>
      <c r="CN724" s="8">
        <f t="shared" si="545"/>
        <v>0</v>
      </c>
      <c r="CO724" s="8">
        <f t="shared" si="546"/>
        <v>0</v>
      </c>
      <c r="CP724" s="8">
        <f t="shared" si="547"/>
        <v>0</v>
      </c>
      <c r="CQ724" s="8">
        <f t="shared" si="548"/>
        <v>0</v>
      </c>
      <c r="CR724" s="8">
        <f t="shared" si="549"/>
        <v>0</v>
      </c>
      <c r="CS724" s="8">
        <f t="shared" si="550"/>
        <v>0</v>
      </c>
      <c r="CT724" s="8">
        <f t="shared" si="555"/>
        <v>0</v>
      </c>
      <c r="CU724" s="8">
        <f t="shared" si="556"/>
        <v>0</v>
      </c>
      <c r="CV724" s="8">
        <f t="shared" si="557"/>
        <v>0</v>
      </c>
    </row>
    <row r="725" spans="1:100" ht="20.5" thickTop="1" thickBot="1" x14ac:dyDescent="0.5">
      <c r="A725" s="32"/>
      <c r="B725" s="10"/>
      <c r="C725" s="10"/>
      <c r="D725" s="11"/>
      <c r="E725" s="10"/>
      <c r="F725" s="10"/>
      <c r="G725" s="19"/>
      <c r="H725" s="19"/>
      <c r="I725" s="19"/>
      <c r="J725" s="19"/>
      <c r="K725" s="10"/>
      <c r="L725" s="10"/>
      <c r="M725" s="10"/>
      <c r="N725" s="10"/>
      <c r="O725" s="18"/>
      <c r="P725" s="18"/>
      <c r="Q725" s="21"/>
      <c r="R725" s="20"/>
      <c r="S725" s="16">
        <f t="shared" si="513"/>
        <v>0</v>
      </c>
      <c r="T725" s="11"/>
      <c r="AS725" s="31">
        <f t="shared" si="514"/>
        <v>0</v>
      </c>
      <c r="AT725" s="31">
        <f t="shared" si="515"/>
        <v>0</v>
      </c>
      <c r="AU725" s="31">
        <f t="shared" si="516"/>
        <v>0</v>
      </c>
      <c r="AV725" s="31">
        <f t="shared" si="517"/>
        <v>0</v>
      </c>
      <c r="AW725" s="31">
        <f t="shared" si="518"/>
        <v>0</v>
      </c>
      <c r="AX725" s="31">
        <f t="shared" si="519"/>
        <v>0</v>
      </c>
      <c r="AY725" s="31">
        <f t="shared" si="520"/>
        <v>0</v>
      </c>
      <c r="AZ725" s="31">
        <f t="shared" si="521"/>
        <v>0</v>
      </c>
      <c r="BA725" s="31">
        <f t="shared" si="522"/>
        <v>0</v>
      </c>
      <c r="BB725" s="31">
        <f t="shared" si="551"/>
        <v>0</v>
      </c>
      <c r="BM725" s="8">
        <f t="shared" si="552"/>
        <v>0</v>
      </c>
      <c r="BN725" s="8">
        <f t="shared" si="523"/>
        <v>0</v>
      </c>
      <c r="BO725" s="8">
        <f t="shared" si="524"/>
        <v>0</v>
      </c>
      <c r="BQ725" s="8">
        <f t="shared" si="525"/>
        <v>0</v>
      </c>
      <c r="BR725" s="63">
        <f t="shared" si="526"/>
        <v>0</v>
      </c>
      <c r="BS725" s="63">
        <f t="shared" si="553"/>
        <v>0</v>
      </c>
      <c r="BT725" s="63">
        <f t="shared" si="527"/>
        <v>0</v>
      </c>
      <c r="BU725" s="63">
        <f t="shared" si="528"/>
        <v>0</v>
      </c>
      <c r="BV725" s="57">
        <f t="shared" si="529"/>
        <v>0</v>
      </c>
      <c r="BW725" s="57">
        <f t="shared" si="530"/>
        <v>0</v>
      </c>
      <c r="BX725" s="57">
        <f t="shared" si="554"/>
        <v>0</v>
      </c>
      <c r="BY725" s="57">
        <f t="shared" si="512"/>
        <v>0</v>
      </c>
      <c r="BZ725" s="8">
        <f t="shared" si="531"/>
        <v>0</v>
      </c>
      <c r="CA725" s="8">
        <f t="shared" si="532"/>
        <v>0</v>
      </c>
      <c r="CB725" s="8">
        <f t="shared" si="533"/>
        <v>0</v>
      </c>
      <c r="CC725" s="8">
        <f t="shared" si="534"/>
        <v>0</v>
      </c>
      <c r="CD725" s="8">
        <f t="shared" si="535"/>
        <v>0</v>
      </c>
      <c r="CE725" s="8">
        <f t="shared" si="536"/>
        <v>0</v>
      </c>
      <c r="CF725" s="8">
        <f t="shared" si="537"/>
        <v>0</v>
      </c>
      <c r="CG725" s="8">
        <f t="shared" si="538"/>
        <v>0</v>
      </c>
      <c r="CH725" s="8">
        <f t="shared" si="539"/>
        <v>0</v>
      </c>
      <c r="CI725" s="8">
        <f t="shared" si="540"/>
        <v>0</v>
      </c>
      <c r="CJ725" s="8">
        <f t="shared" si="541"/>
        <v>0</v>
      </c>
      <c r="CK725" s="8">
        <f t="shared" si="542"/>
        <v>0</v>
      </c>
      <c r="CL725" s="8">
        <f t="shared" si="543"/>
        <v>0</v>
      </c>
      <c r="CM725" s="8">
        <f t="shared" si="544"/>
        <v>0</v>
      </c>
      <c r="CN725" s="8">
        <f t="shared" si="545"/>
        <v>0</v>
      </c>
      <c r="CO725" s="8">
        <f t="shared" si="546"/>
        <v>0</v>
      </c>
      <c r="CP725" s="8">
        <f t="shared" si="547"/>
        <v>0</v>
      </c>
      <c r="CQ725" s="8">
        <f t="shared" si="548"/>
        <v>0</v>
      </c>
      <c r="CR725" s="8">
        <f t="shared" si="549"/>
        <v>0</v>
      </c>
      <c r="CS725" s="8">
        <f t="shared" si="550"/>
        <v>0</v>
      </c>
      <c r="CT725" s="8">
        <f t="shared" si="555"/>
        <v>0</v>
      </c>
      <c r="CU725" s="8">
        <f t="shared" si="556"/>
        <v>0</v>
      </c>
      <c r="CV725" s="8">
        <f t="shared" si="557"/>
        <v>0</v>
      </c>
    </row>
    <row r="726" spans="1:100" ht="20.5" thickTop="1" thickBot="1" x14ac:dyDescent="0.5">
      <c r="A726" s="32"/>
      <c r="B726" s="10"/>
      <c r="C726" s="10"/>
      <c r="D726" s="11"/>
      <c r="E726" s="10"/>
      <c r="F726" s="10"/>
      <c r="G726" s="19"/>
      <c r="H726" s="19"/>
      <c r="I726" s="19"/>
      <c r="J726" s="19"/>
      <c r="K726" s="10"/>
      <c r="L726" s="10"/>
      <c r="M726" s="10"/>
      <c r="N726" s="10"/>
      <c r="O726" s="18"/>
      <c r="P726" s="18"/>
      <c r="Q726" s="21"/>
      <c r="R726" s="20"/>
      <c r="S726" s="16">
        <f t="shared" si="513"/>
        <v>0</v>
      </c>
      <c r="T726" s="11"/>
      <c r="AS726" s="31">
        <f t="shared" si="514"/>
        <v>0</v>
      </c>
      <c r="AT726" s="31">
        <f t="shared" si="515"/>
        <v>0</v>
      </c>
      <c r="AU726" s="31">
        <f t="shared" si="516"/>
        <v>0</v>
      </c>
      <c r="AV726" s="31">
        <f t="shared" si="517"/>
        <v>0</v>
      </c>
      <c r="AW726" s="31">
        <f t="shared" si="518"/>
        <v>0</v>
      </c>
      <c r="AX726" s="31">
        <f t="shared" si="519"/>
        <v>0</v>
      </c>
      <c r="AY726" s="31">
        <f t="shared" si="520"/>
        <v>0</v>
      </c>
      <c r="AZ726" s="31">
        <f t="shared" si="521"/>
        <v>0</v>
      </c>
      <c r="BA726" s="31">
        <f t="shared" si="522"/>
        <v>0</v>
      </c>
      <c r="BB726" s="31">
        <f t="shared" si="551"/>
        <v>0</v>
      </c>
      <c r="BM726" s="8">
        <f t="shared" si="552"/>
        <v>0</v>
      </c>
      <c r="BN726" s="8">
        <f t="shared" si="523"/>
        <v>0</v>
      </c>
      <c r="BO726" s="8">
        <f t="shared" si="524"/>
        <v>0</v>
      </c>
      <c r="BQ726" s="8">
        <f t="shared" si="525"/>
        <v>0</v>
      </c>
      <c r="BR726" s="63">
        <f t="shared" si="526"/>
        <v>0</v>
      </c>
      <c r="BS726" s="63">
        <f t="shared" si="553"/>
        <v>0</v>
      </c>
      <c r="BT726" s="63">
        <f t="shared" si="527"/>
        <v>0</v>
      </c>
      <c r="BU726" s="63">
        <f t="shared" si="528"/>
        <v>0</v>
      </c>
      <c r="BV726" s="57">
        <f t="shared" si="529"/>
        <v>0</v>
      </c>
      <c r="BW726" s="57">
        <f t="shared" si="530"/>
        <v>0</v>
      </c>
      <c r="BX726" s="57">
        <f t="shared" si="554"/>
        <v>0</v>
      </c>
      <c r="BY726" s="57">
        <f t="shared" si="512"/>
        <v>0</v>
      </c>
      <c r="BZ726" s="8">
        <f t="shared" si="531"/>
        <v>0</v>
      </c>
      <c r="CA726" s="8">
        <f t="shared" si="532"/>
        <v>0</v>
      </c>
      <c r="CB726" s="8">
        <f t="shared" si="533"/>
        <v>0</v>
      </c>
      <c r="CC726" s="8">
        <f t="shared" si="534"/>
        <v>0</v>
      </c>
      <c r="CD726" s="8">
        <f t="shared" si="535"/>
        <v>0</v>
      </c>
      <c r="CE726" s="8">
        <f t="shared" si="536"/>
        <v>0</v>
      </c>
      <c r="CF726" s="8">
        <f t="shared" si="537"/>
        <v>0</v>
      </c>
      <c r="CG726" s="8">
        <f t="shared" si="538"/>
        <v>0</v>
      </c>
      <c r="CH726" s="8">
        <f t="shared" si="539"/>
        <v>0</v>
      </c>
      <c r="CI726" s="8">
        <f t="shared" si="540"/>
        <v>0</v>
      </c>
      <c r="CJ726" s="8">
        <f t="shared" si="541"/>
        <v>0</v>
      </c>
      <c r="CK726" s="8">
        <f t="shared" si="542"/>
        <v>0</v>
      </c>
      <c r="CL726" s="8">
        <f t="shared" si="543"/>
        <v>0</v>
      </c>
      <c r="CM726" s="8">
        <f t="shared" si="544"/>
        <v>0</v>
      </c>
      <c r="CN726" s="8">
        <f t="shared" si="545"/>
        <v>0</v>
      </c>
      <c r="CO726" s="8">
        <f t="shared" si="546"/>
        <v>0</v>
      </c>
      <c r="CP726" s="8">
        <f t="shared" si="547"/>
        <v>0</v>
      </c>
      <c r="CQ726" s="8">
        <f t="shared" si="548"/>
        <v>0</v>
      </c>
      <c r="CR726" s="8">
        <f t="shared" si="549"/>
        <v>0</v>
      </c>
      <c r="CS726" s="8">
        <f t="shared" si="550"/>
        <v>0</v>
      </c>
      <c r="CT726" s="8">
        <f t="shared" si="555"/>
        <v>0</v>
      </c>
      <c r="CU726" s="8">
        <f t="shared" si="556"/>
        <v>0</v>
      </c>
      <c r="CV726" s="8">
        <f t="shared" si="557"/>
        <v>0</v>
      </c>
    </row>
    <row r="727" spans="1:100" ht="20.5" thickTop="1" thickBot="1" x14ac:dyDescent="0.5">
      <c r="A727" s="32"/>
      <c r="B727" s="10"/>
      <c r="C727" s="10"/>
      <c r="D727" s="11"/>
      <c r="E727" s="10"/>
      <c r="F727" s="10"/>
      <c r="G727" s="19"/>
      <c r="H727" s="19"/>
      <c r="I727" s="19"/>
      <c r="J727" s="19"/>
      <c r="K727" s="10"/>
      <c r="L727" s="10"/>
      <c r="M727" s="10"/>
      <c r="N727" s="10"/>
      <c r="O727" s="18"/>
      <c r="P727" s="18"/>
      <c r="Q727" s="21"/>
      <c r="R727" s="20"/>
      <c r="S727" s="16">
        <f t="shared" si="513"/>
        <v>0</v>
      </c>
      <c r="T727" s="11"/>
      <c r="AS727" s="31">
        <f t="shared" si="514"/>
        <v>0</v>
      </c>
      <c r="AT727" s="31">
        <f t="shared" si="515"/>
        <v>0</v>
      </c>
      <c r="AU727" s="31">
        <f t="shared" si="516"/>
        <v>0</v>
      </c>
      <c r="AV727" s="31">
        <f t="shared" si="517"/>
        <v>0</v>
      </c>
      <c r="AW727" s="31">
        <f t="shared" si="518"/>
        <v>0</v>
      </c>
      <c r="AX727" s="31">
        <f t="shared" si="519"/>
        <v>0</v>
      </c>
      <c r="AY727" s="31">
        <f t="shared" si="520"/>
        <v>0</v>
      </c>
      <c r="AZ727" s="31">
        <f t="shared" si="521"/>
        <v>0</v>
      </c>
      <c r="BA727" s="31">
        <f t="shared" si="522"/>
        <v>0</v>
      </c>
      <c r="BB727" s="31">
        <f t="shared" si="551"/>
        <v>0</v>
      </c>
      <c r="BM727" s="8">
        <f t="shared" si="552"/>
        <v>0</v>
      </c>
      <c r="BN727" s="8">
        <f t="shared" si="523"/>
        <v>0</v>
      </c>
      <c r="BO727" s="8">
        <f t="shared" si="524"/>
        <v>0</v>
      </c>
      <c r="BQ727" s="8">
        <f t="shared" si="525"/>
        <v>0</v>
      </c>
      <c r="BR727" s="63">
        <f t="shared" si="526"/>
        <v>0</v>
      </c>
      <c r="BS727" s="63">
        <f t="shared" si="553"/>
        <v>0</v>
      </c>
      <c r="BT727" s="63">
        <f t="shared" si="527"/>
        <v>0</v>
      </c>
      <c r="BU727" s="63">
        <f t="shared" si="528"/>
        <v>0</v>
      </c>
      <c r="BV727" s="57">
        <f t="shared" si="529"/>
        <v>0</v>
      </c>
      <c r="BW727" s="57">
        <f t="shared" si="530"/>
        <v>0</v>
      </c>
      <c r="BX727" s="57">
        <f t="shared" si="554"/>
        <v>0</v>
      </c>
      <c r="BY727" s="57">
        <f t="shared" si="512"/>
        <v>0</v>
      </c>
      <c r="BZ727" s="8">
        <f t="shared" si="531"/>
        <v>0</v>
      </c>
      <c r="CA727" s="8">
        <f t="shared" si="532"/>
        <v>0</v>
      </c>
      <c r="CB727" s="8">
        <f t="shared" si="533"/>
        <v>0</v>
      </c>
      <c r="CC727" s="8">
        <f t="shared" si="534"/>
        <v>0</v>
      </c>
      <c r="CD727" s="8">
        <f t="shared" si="535"/>
        <v>0</v>
      </c>
      <c r="CE727" s="8">
        <f t="shared" si="536"/>
        <v>0</v>
      </c>
      <c r="CF727" s="8">
        <f t="shared" si="537"/>
        <v>0</v>
      </c>
      <c r="CG727" s="8">
        <f t="shared" si="538"/>
        <v>0</v>
      </c>
      <c r="CH727" s="8">
        <f t="shared" si="539"/>
        <v>0</v>
      </c>
      <c r="CI727" s="8">
        <f t="shared" si="540"/>
        <v>0</v>
      </c>
      <c r="CJ727" s="8">
        <f t="shared" si="541"/>
        <v>0</v>
      </c>
      <c r="CK727" s="8">
        <f t="shared" si="542"/>
        <v>0</v>
      </c>
      <c r="CL727" s="8">
        <f t="shared" si="543"/>
        <v>0</v>
      </c>
      <c r="CM727" s="8">
        <f t="shared" si="544"/>
        <v>0</v>
      </c>
      <c r="CN727" s="8">
        <f t="shared" si="545"/>
        <v>0</v>
      </c>
      <c r="CO727" s="8">
        <f t="shared" si="546"/>
        <v>0</v>
      </c>
      <c r="CP727" s="8">
        <f t="shared" si="547"/>
        <v>0</v>
      </c>
      <c r="CQ727" s="8">
        <f t="shared" si="548"/>
        <v>0</v>
      </c>
      <c r="CR727" s="8">
        <f t="shared" si="549"/>
        <v>0</v>
      </c>
      <c r="CS727" s="8">
        <f t="shared" si="550"/>
        <v>0</v>
      </c>
      <c r="CT727" s="8">
        <f t="shared" si="555"/>
        <v>0</v>
      </c>
      <c r="CU727" s="8">
        <f t="shared" si="556"/>
        <v>0</v>
      </c>
      <c r="CV727" s="8">
        <f t="shared" si="557"/>
        <v>0</v>
      </c>
    </row>
    <row r="728" spans="1:100" ht="20.5" thickTop="1" thickBot="1" x14ac:dyDescent="0.5">
      <c r="A728" s="32"/>
      <c r="B728" s="10"/>
      <c r="C728" s="10"/>
      <c r="D728" s="11"/>
      <c r="E728" s="10"/>
      <c r="F728" s="10"/>
      <c r="G728" s="19"/>
      <c r="H728" s="19"/>
      <c r="I728" s="19"/>
      <c r="J728" s="19"/>
      <c r="K728" s="10"/>
      <c r="L728" s="10"/>
      <c r="M728" s="10"/>
      <c r="N728" s="10"/>
      <c r="O728" s="18"/>
      <c r="P728" s="18"/>
      <c r="Q728" s="21"/>
      <c r="R728" s="20"/>
      <c r="S728" s="16">
        <f t="shared" si="513"/>
        <v>0</v>
      </c>
      <c r="T728" s="11"/>
      <c r="AS728" s="31">
        <f t="shared" si="514"/>
        <v>0</v>
      </c>
      <c r="AT728" s="31">
        <f t="shared" si="515"/>
        <v>0</v>
      </c>
      <c r="AU728" s="31">
        <f t="shared" si="516"/>
        <v>0</v>
      </c>
      <c r="AV728" s="31">
        <f t="shared" si="517"/>
        <v>0</v>
      </c>
      <c r="AW728" s="31">
        <f t="shared" si="518"/>
        <v>0</v>
      </c>
      <c r="AX728" s="31">
        <f t="shared" si="519"/>
        <v>0</v>
      </c>
      <c r="AY728" s="31">
        <f t="shared" si="520"/>
        <v>0</v>
      </c>
      <c r="AZ728" s="31">
        <f t="shared" si="521"/>
        <v>0</v>
      </c>
      <c r="BA728" s="31">
        <f t="shared" si="522"/>
        <v>0</v>
      </c>
      <c r="BB728" s="31">
        <f t="shared" si="551"/>
        <v>0</v>
      </c>
      <c r="BM728" s="8">
        <f t="shared" si="552"/>
        <v>0</v>
      </c>
      <c r="BN728" s="8">
        <f t="shared" si="523"/>
        <v>0</v>
      </c>
      <c r="BO728" s="8">
        <f t="shared" si="524"/>
        <v>0</v>
      </c>
      <c r="BQ728" s="8">
        <f t="shared" si="525"/>
        <v>0</v>
      </c>
      <c r="BR728" s="63">
        <f t="shared" si="526"/>
        <v>0</v>
      </c>
      <c r="BS728" s="63">
        <f t="shared" si="553"/>
        <v>0</v>
      </c>
      <c r="BT728" s="63">
        <f t="shared" si="527"/>
        <v>0</v>
      </c>
      <c r="BU728" s="63">
        <f t="shared" si="528"/>
        <v>0</v>
      </c>
      <c r="BV728" s="57">
        <f t="shared" si="529"/>
        <v>0</v>
      </c>
      <c r="BW728" s="57">
        <f t="shared" si="530"/>
        <v>0</v>
      </c>
      <c r="BX728" s="57">
        <f t="shared" si="554"/>
        <v>0</v>
      </c>
      <c r="BY728" s="57">
        <f t="shared" si="512"/>
        <v>0</v>
      </c>
      <c r="BZ728" s="8">
        <f t="shared" si="531"/>
        <v>0</v>
      </c>
      <c r="CA728" s="8">
        <f t="shared" si="532"/>
        <v>0</v>
      </c>
      <c r="CB728" s="8">
        <f t="shared" si="533"/>
        <v>0</v>
      </c>
      <c r="CC728" s="8">
        <f t="shared" si="534"/>
        <v>0</v>
      </c>
      <c r="CD728" s="8">
        <f t="shared" si="535"/>
        <v>0</v>
      </c>
      <c r="CE728" s="8">
        <f t="shared" si="536"/>
        <v>0</v>
      </c>
      <c r="CF728" s="8">
        <f t="shared" si="537"/>
        <v>0</v>
      </c>
      <c r="CG728" s="8">
        <f t="shared" si="538"/>
        <v>0</v>
      </c>
      <c r="CH728" s="8">
        <f t="shared" si="539"/>
        <v>0</v>
      </c>
      <c r="CI728" s="8">
        <f t="shared" si="540"/>
        <v>0</v>
      </c>
      <c r="CJ728" s="8">
        <f t="shared" si="541"/>
        <v>0</v>
      </c>
      <c r="CK728" s="8">
        <f t="shared" si="542"/>
        <v>0</v>
      </c>
      <c r="CL728" s="8">
        <f t="shared" si="543"/>
        <v>0</v>
      </c>
      <c r="CM728" s="8">
        <f t="shared" si="544"/>
        <v>0</v>
      </c>
      <c r="CN728" s="8">
        <f t="shared" si="545"/>
        <v>0</v>
      </c>
      <c r="CO728" s="8">
        <f t="shared" si="546"/>
        <v>0</v>
      </c>
      <c r="CP728" s="8">
        <f t="shared" si="547"/>
        <v>0</v>
      </c>
      <c r="CQ728" s="8">
        <f t="shared" si="548"/>
        <v>0</v>
      </c>
      <c r="CR728" s="8">
        <f t="shared" si="549"/>
        <v>0</v>
      </c>
      <c r="CS728" s="8">
        <f t="shared" si="550"/>
        <v>0</v>
      </c>
      <c r="CT728" s="8">
        <f t="shared" si="555"/>
        <v>0</v>
      </c>
      <c r="CU728" s="8">
        <f t="shared" si="556"/>
        <v>0</v>
      </c>
      <c r="CV728" s="8">
        <f t="shared" si="557"/>
        <v>0</v>
      </c>
    </row>
    <row r="729" spans="1:100" ht="20.5" thickTop="1" thickBot="1" x14ac:dyDescent="0.5">
      <c r="A729" s="32"/>
      <c r="B729" s="10"/>
      <c r="C729" s="10"/>
      <c r="D729" s="11"/>
      <c r="E729" s="10"/>
      <c r="F729" s="10"/>
      <c r="G729" s="19"/>
      <c r="H729" s="19"/>
      <c r="I729" s="19"/>
      <c r="J729" s="19"/>
      <c r="K729" s="10"/>
      <c r="L729" s="10"/>
      <c r="M729" s="10"/>
      <c r="N729" s="10"/>
      <c r="O729" s="18"/>
      <c r="P729" s="18"/>
      <c r="Q729" s="21"/>
      <c r="R729" s="20"/>
      <c r="S729" s="16">
        <f t="shared" si="513"/>
        <v>0</v>
      </c>
      <c r="T729" s="11"/>
      <c r="AS729" s="31">
        <f t="shared" si="514"/>
        <v>0</v>
      </c>
      <c r="AT729" s="31">
        <f t="shared" si="515"/>
        <v>0</v>
      </c>
      <c r="AU729" s="31">
        <f t="shared" si="516"/>
        <v>0</v>
      </c>
      <c r="AV729" s="31">
        <f t="shared" si="517"/>
        <v>0</v>
      </c>
      <c r="AW729" s="31">
        <f t="shared" si="518"/>
        <v>0</v>
      </c>
      <c r="AX729" s="31">
        <f t="shared" si="519"/>
        <v>0</v>
      </c>
      <c r="AY729" s="31">
        <f t="shared" si="520"/>
        <v>0</v>
      </c>
      <c r="AZ729" s="31">
        <f t="shared" si="521"/>
        <v>0</v>
      </c>
      <c r="BA729" s="31">
        <f t="shared" si="522"/>
        <v>0</v>
      </c>
      <c r="BB729" s="31">
        <f t="shared" si="551"/>
        <v>0</v>
      </c>
      <c r="BM729" s="8">
        <f t="shared" si="552"/>
        <v>0</v>
      </c>
      <c r="BN729" s="8">
        <f t="shared" si="523"/>
        <v>0</v>
      </c>
      <c r="BO729" s="8">
        <f t="shared" si="524"/>
        <v>0</v>
      </c>
      <c r="BQ729" s="8">
        <f t="shared" si="525"/>
        <v>0</v>
      </c>
      <c r="BR729" s="63">
        <f t="shared" si="526"/>
        <v>0</v>
      </c>
      <c r="BS729" s="63">
        <f t="shared" si="553"/>
        <v>0</v>
      </c>
      <c r="BT729" s="63">
        <f t="shared" si="527"/>
        <v>0</v>
      </c>
      <c r="BU729" s="63">
        <f t="shared" si="528"/>
        <v>0</v>
      </c>
      <c r="BV729" s="57">
        <f t="shared" si="529"/>
        <v>0</v>
      </c>
      <c r="BW729" s="57">
        <f t="shared" si="530"/>
        <v>0</v>
      </c>
      <c r="BX729" s="57">
        <f t="shared" si="554"/>
        <v>0</v>
      </c>
      <c r="BY729" s="57">
        <f t="shared" si="512"/>
        <v>0</v>
      </c>
      <c r="BZ729" s="8">
        <f t="shared" si="531"/>
        <v>0</v>
      </c>
      <c r="CA729" s="8">
        <f t="shared" si="532"/>
        <v>0</v>
      </c>
      <c r="CB729" s="8">
        <f t="shared" si="533"/>
        <v>0</v>
      </c>
      <c r="CC729" s="8">
        <f t="shared" si="534"/>
        <v>0</v>
      </c>
      <c r="CD729" s="8">
        <f t="shared" si="535"/>
        <v>0</v>
      </c>
      <c r="CE729" s="8">
        <f t="shared" si="536"/>
        <v>0</v>
      </c>
      <c r="CF729" s="8">
        <f t="shared" si="537"/>
        <v>0</v>
      </c>
      <c r="CG729" s="8">
        <f t="shared" si="538"/>
        <v>0</v>
      </c>
      <c r="CH729" s="8">
        <f t="shared" si="539"/>
        <v>0</v>
      </c>
      <c r="CI729" s="8">
        <f t="shared" si="540"/>
        <v>0</v>
      </c>
      <c r="CJ729" s="8">
        <f t="shared" si="541"/>
        <v>0</v>
      </c>
      <c r="CK729" s="8">
        <f t="shared" si="542"/>
        <v>0</v>
      </c>
      <c r="CL729" s="8">
        <f t="shared" si="543"/>
        <v>0</v>
      </c>
      <c r="CM729" s="8">
        <f t="shared" si="544"/>
        <v>0</v>
      </c>
      <c r="CN729" s="8">
        <f t="shared" si="545"/>
        <v>0</v>
      </c>
      <c r="CO729" s="8">
        <f t="shared" si="546"/>
        <v>0</v>
      </c>
      <c r="CP729" s="8">
        <f t="shared" si="547"/>
        <v>0</v>
      </c>
      <c r="CQ729" s="8">
        <f t="shared" si="548"/>
        <v>0</v>
      </c>
      <c r="CR729" s="8">
        <f t="shared" si="549"/>
        <v>0</v>
      </c>
      <c r="CS729" s="8">
        <f t="shared" si="550"/>
        <v>0</v>
      </c>
      <c r="CT729" s="8">
        <f t="shared" si="555"/>
        <v>0</v>
      </c>
      <c r="CU729" s="8">
        <f t="shared" si="556"/>
        <v>0</v>
      </c>
      <c r="CV729" s="8">
        <f t="shared" si="557"/>
        <v>0</v>
      </c>
    </row>
    <row r="730" spans="1:100" ht="20.5" thickTop="1" thickBot="1" x14ac:dyDescent="0.5">
      <c r="A730" s="32"/>
      <c r="B730" s="10"/>
      <c r="C730" s="10"/>
      <c r="D730" s="11"/>
      <c r="E730" s="10"/>
      <c r="F730" s="10"/>
      <c r="G730" s="19"/>
      <c r="H730" s="19"/>
      <c r="I730" s="19"/>
      <c r="J730" s="19"/>
      <c r="K730" s="10"/>
      <c r="L730" s="10"/>
      <c r="M730" s="10"/>
      <c r="N730" s="10"/>
      <c r="O730" s="18"/>
      <c r="P730" s="18"/>
      <c r="Q730" s="21"/>
      <c r="R730" s="20"/>
      <c r="S730" s="16">
        <f t="shared" si="513"/>
        <v>0</v>
      </c>
      <c r="T730" s="11"/>
      <c r="AS730" s="31">
        <f t="shared" si="514"/>
        <v>0</v>
      </c>
      <c r="AT730" s="31">
        <f t="shared" si="515"/>
        <v>0</v>
      </c>
      <c r="AU730" s="31">
        <f t="shared" si="516"/>
        <v>0</v>
      </c>
      <c r="AV730" s="31">
        <f t="shared" si="517"/>
        <v>0</v>
      </c>
      <c r="AW730" s="31">
        <f t="shared" si="518"/>
        <v>0</v>
      </c>
      <c r="AX730" s="31">
        <f t="shared" si="519"/>
        <v>0</v>
      </c>
      <c r="AY730" s="31">
        <f t="shared" si="520"/>
        <v>0</v>
      </c>
      <c r="AZ730" s="31">
        <f t="shared" si="521"/>
        <v>0</v>
      </c>
      <c r="BA730" s="31">
        <f t="shared" si="522"/>
        <v>0</v>
      </c>
      <c r="BB730" s="31">
        <f t="shared" si="551"/>
        <v>0</v>
      </c>
      <c r="BM730" s="8">
        <f t="shared" si="552"/>
        <v>0</v>
      </c>
      <c r="BN730" s="8">
        <f t="shared" si="523"/>
        <v>0</v>
      </c>
      <c r="BO730" s="8">
        <f t="shared" si="524"/>
        <v>0</v>
      </c>
      <c r="BQ730" s="8">
        <f t="shared" si="525"/>
        <v>0</v>
      </c>
      <c r="BR730" s="63">
        <f t="shared" si="526"/>
        <v>0</v>
      </c>
      <c r="BS730" s="63">
        <f t="shared" si="553"/>
        <v>0</v>
      </c>
      <c r="BT730" s="63">
        <f t="shared" si="527"/>
        <v>0</v>
      </c>
      <c r="BU730" s="63">
        <f t="shared" si="528"/>
        <v>0</v>
      </c>
      <c r="BV730" s="57">
        <f t="shared" si="529"/>
        <v>0</v>
      </c>
      <c r="BW730" s="57">
        <f t="shared" si="530"/>
        <v>0</v>
      </c>
      <c r="BX730" s="57">
        <f t="shared" si="554"/>
        <v>0</v>
      </c>
      <c r="BY730" s="57">
        <f t="shared" si="512"/>
        <v>0</v>
      </c>
      <c r="BZ730" s="8">
        <f t="shared" si="531"/>
        <v>0</v>
      </c>
      <c r="CA730" s="8">
        <f t="shared" si="532"/>
        <v>0</v>
      </c>
      <c r="CB730" s="8">
        <f t="shared" si="533"/>
        <v>0</v>
      </c>
      <c r="CC730" s="8">
        <f t="shared" si="534"/>
        <v>0</v>
      </c>
      <c r="CD730" s="8">
        <f t="shared" si="535"/>
        <v>0</v>
      </c>
      <c r="CE730" s="8">
        <f t="shared" si="536"/>
        <v>0</v>
      </c>
      <c r="CF730" s="8">
        <f t="shared" si="537"/>
        <v>0</v>
      </c>
      <c r="CG730" s="8">
        <f t="shared" si="538"/>
        <v>0</v>
      </c>
      <c r="CH730" s="8">
        <f t="shared" si="539"/>
        <v>0</v>
      </c>
      <c r="CI730" s="8">
        <f t="shared" si="540"/>
        <v>0</v>
      </c>
      <c r="CJ730" s="8">
        <f t="shared" si="541"/>
        <v>0</v>
      </c>
      <c r="CK730" s="8">
        <f t="shared" si="542"/>
        <v>0</v>
      </c>
      <c r="CL730" s="8">
        <f t="shared" si="543"/>
        <v>0</v>
      </c>
      <c r="CM730" s="8">
        <f t="shared" si="544"/>
        <v>0</v>
      </c>
      <c r="CN730" s="8">
        <f t="shared" si="545"/>
        <v>0</v>
      </c>
      <c r="CO730" s="8">
        <f t="shared" si="546"/>
        <v>0</v>
      </c>
      <c r="CP730" s="8">
        <f t="shared" si="547"/>
        <v>0</v>
      </c>
      <c r="CQ730" s="8">
        <f t="shared" si="548"/>
        <v>0</v>
      </c>
      <c r="CR730" s="8">
        <f t="shared" si="549"/>
        <v>0</v>
      </c>
      <c r="CS730" s="8">
        <f t="shared" si="550"/>
        <v>0</v>
      </c>
      <c r="CT730" s="8">
        <f t="shared" si="555"/>
        <v>0</v>
      </c>
      <c r="CU730" s="8">
        <f t="shared" si="556"/>
        <v>0</v>
      </c>
      <c r="CV730" s="8">
        <f t="shared" si="557"/>
        <v>0</v>
      </c>
    </row>
    <row r="731" spans="1:100" ht="20.5" thickTop="1" thickBot="1" x14ac:dyDescent="0.5">
      <c r="A731" s="32"/>
      <c r="B731" s="10"/>
      <c r="C731" s="10"/>
      <c r="D731" s="11"/>
      <c r="E731" s="10"/>
      <c r="F731" s="10"/>
      <c r="G731" s="19"/>
      <c r="H731" s="19"/>
      <c r="I731" s="19"/>
      <c r="J731" s="19"/>
      <c r="K731" s="10"/>
      <c r="L731" s="10"/>
      <c r="M731" s="10"/>
      <c r="N731" s="10"/>
      <c r="O731" s="18"/>
      <c r="P731" s="18"/>
      <c r="Q731" s="21"/>
      <c r="R731" s="20"/>
      <c r="S731" s="16">
        <f t="shared" si="513"/>
        <v>0</v>
      </c>
      <c r="T731" s="11"/>
      <c r="AS731" s="31">
        <f t="shared" si="514"/>
        <v>0</v>
      </c>
      <c r="AT731" s="31">
        <f t="shared" si="515"/>
        <v>0</v>
      </c>
      <c r="AU731" s="31">
        <f t="shared" si="516"/>
        <v>0</v>
      </c>
      <c r="AV731" s="31">
        <f t="shared" si="517"/>
        <v>0</v>
      </c>
      <c r="AW731" s="31">
        <f t="shared" si="518"/>
        <v>0</v>
      </c>
      <c r="AX731" s="31">
        <f t="shared" si="519"/>
        <v>0</v>
      </c>
      <c r="AY731" s="31">
        <f t="shared" si="520"/>
        <v>0</v>
      </c>
      <c r="AZ731" s="31">
        <f t="shared" si="521"/>
        <v>0</v>
      </c>
      <c r="BA731" s="31">
        <f t="shared" si="522"/>
        <v>0</v>
      </c>
      <c r="BB731" s="31">
        <f t="shared" si="551"/>
        <v>0</v>
      </c>
      <c r="BM731" s="8">
        <f t="shared" si="552"/>
        <v>0</v>
      </c>
      <c r="BN731" s="8">
        <f t="shared" si="523"/>
        <v>0</v>
      </c>
      <c r="BO731" s="8">
        <f t="shared" si="524"/>
        <v>0</v>
      </c>
      <c r="BQ731" s="8">
        <f t="shared" si="525"/>
        <v>0</v>
      </c>
      <c r="BR731" s="63">
        <f t="shared" si="526"/>
        <v>0</v>
      </c>
      <c r="BS731" s="63">
        <f t="shared" si="553"/>
        <v>0</v>
      </c>
      <c r="BT731" s="63">
        <f t="shared" si="527"/>
        <v>0</v>
      </c>
      <c r="BU731" s="63">
        <f t="shared" si="528"/>
        <v>0</v>
      </c>
      <c r="BV731" s="57">
        <f t="shared" si="529"/>
        <v>0</v>
      </c>
      <c r="BW731" s="57">
        <f t="shared" si="530"/>
        <v>0</v>
      </c>
      <c r="BX731" s="57">
        <f t="shared" si="554"/>
        <v>0</v>
      </c>
      <c r="BY731" s="57">
        <f t="shared" si="512"/>
        <v>0</v>
      </c>
      <c r="BZ731" s="8">
        <f t="shared" si="531"/>
        <v>0</v>
      </c>
      <c r="CA731" s="8">
        <f t="shared" si="532"/>
        <v>0</v>
      </c>
      <c r="CB731" s="8">
        <f t="shared" si="533"/>
        <v>0</v>
      </c>
      <c r="CC731" s="8">
        <f t="shared" si="534"/>
        <v>0</v>
      </c>
      <c r="CD731" s="8">
        <f t="shared" si="535"/>
        <v>0</v>
      </c>
      <c r="CE731" s="8">
        <f t="shared" si="536"/>
        <v>0</v>
      </c>
      <c r="CF731" s="8">
        <f t="shared" si="537"/>
        <v>0</v>
      </c>
      <c r="CG731" s="8">
        <f t="shared" si="538"/>
        <v>0</v>
      </c>
      <c r="CH731" s="8">
        <f t="shared" si="539"/>
        <v>0</v>
      </c>
      <c r="CI731" s="8">
        <f t="shared" si="540"/>
        <v>0</v>
      </c>
      <c r="CJ731" s="8">
        <f t="shared" si="541"/>
        <v>0</v>
      </c>
      <c r="CK731" s="8">
        <f t="shared" si="542"/>
        <v>0</v>
      </c>
      <c r="CL731" s="8">
        <f t="shared" si="543"/>
        <v>0</v>
      </c>
      <c r="CM731" s="8">
        <f t="shared" si="544"/>
        <v>0</v>
      </c>
      <c r="CN731" s="8">
        <f t="shared" si="545"/>
        <v>0</v>
      </c>
      <c r="CO731" s="8">
        <f t="shared" si="546"/>
        <v>0</v>
      </c>
      <c r="CP731" s="8">
        <f t="shared" si="547"/>
        <v>0</v>
      </c>
      <c r="CQ731" s="8">
        <f t="shared" si="548"/>
        <v>0</v>
      </c>
      <c r="CR731" s="8">
        <f t="shared" si="549"/>
        <v>0</v>
      </c>
      <c r="CS731" s="8">
        <f t="shared" si="550"/>
        <v>0</v>
      </c>
      <c r="CT731" s="8">
        <f t="shared" si="555"/>
        <v>0</v>
      </c>
      <c r="CU731" s="8">
        <f t="shared" si="556"/>
        <v>0</v>
      </c>
      <c r="CV731" s="8">
        <f t="shared" si="557"/>
        <v>0</v>
      </c>
    </row>
    <row r="732" spans="1:100" ht="20.5" thickTop="1" thickBot="1" x14ac:dyDescent="0.5">
      <c r="A732" s="32"/>
      <c r="B732" s="10"/>
      <c r="C732" s="10"/>
      <c r="D732" s="11"/>
      <c r="E732" s="10"/>
      <c r="F732" s="10"/>
      <c r="G732" s="19"/>
      <c r="H732" s="19"/>
      <c r="I732" s="19"/>
      <c r="J732" s="19"/>
      <c r="K732" s="10"/>
      <c r="L732" s="10"/>
      <c r="M732" s="10"/>
      <c r="N732" s="10"/>
      <c r="O732" s="18"/>
      <c r="P732" s="18"/>
      <c r="Q732" s="21"/>
      <c r="R732" s="20"/>
      <c r="S732" s="16">
        <f t="shared" si="513"/>
        <v>0</v>
      </c>
      <c r="T732" s="11"/>
      <c r="AS732" s="31">
        <f t="shared" si="514"/>
        <v>0</v>
      </c>
      <c r="AT732" s="31">
        <f t="shared" si="515"/>
        <v>0</v>
      </c>
      <c r="AU732" s="31">
        <f t="shared" si="516"/>
        <v>0</v>
      </c>
      <c r="AV732" s="31">
        <f t="shared" si="517"/>
        <v>0</v>
      </c>
      <c r="AW732" s="31">
        <f t="shared" si="518"/>
        <v>0</v>
      </c>
      <c r="AX732" s="31">
        <f t="shared" si="519"/>
        <v>0</v>
      </c>
      <c r="AY732" s="31">
        <f t="shared" si="520"/>
        <v>0</v>
      </c>
      <c r="AZ732" s="31">
        <f t="shared" si="521"/>
        <v>0</v>
      </c>
      <c r="BA732" s="31">
        <f t="shared" si="522"/>
        <v>0</v>
      </c>
      <c r="BB732" s="31">
        <f t="shared" si="551"/>
        <v>0</v>
      </c>
      <c r="BM732" s="8">
        <f t="shared" si="552"/>
        <v>0</v>
      </c>
      <c r="BN732" s="8">
        <f t="shared" si="523"/>
        <v>0</v>
      </c>
      <c r="BO732" s="8">
        <f t="shared" si="524"/>
        <v>0</v>
      </c>
      <c r="BQ732" s="8">
        <f t="shared" si="525"/>
        <v>0</v>
      </c>
      <c r="BR732" s="63">
        <f t="shared" si="526"/>
        <v>0</v>
      </c>
      <c r="BS732" s="63">
        <f t="shared" si="553"/>
        <v>0</v>
      </c>
      <c r="BT732" s="63">
        <f t="shared" si="527"/>
        <v>0</v>
      </c>
      <c r="BU732" s="63">
        <f t="shared" si="528"/>
        <v>0</v>
      </c>
      <c r="BV732" s="57">
        <f t="shared" si="529"/>
        <v>0</v>
      </c>
      <c r="BW732" s="57">
        <f t="shared" si="530"/>
        <v>0</v>
      </c>
      <c r="BX732" s="57">
        <f t="shared" si="554"/>
        <v>0</v>
      </c>
      <c r="BY732" s="57">
        <f t="shared" si="512"/>
        <v>0</v>
      </c>
      <c r="BZ732" s="8">
        <f t="shared" si="531"/>
        <v>0</v>
      </c>
      <c r="CA732" s="8">
        <f t="shared" si="532"/>
        <v>0</v>
      </c>
      <c r="CB732" s="8">
        <f t="shared" si="533"/>
        <v>0</v>
      </c>
      <c r="CC732" s="8">
        <f t="shared" si="534"/>
        <v>0</v>
      </c>
      <c r="CD732" s="8">
        <f t="shared" si="535"/>
        <v>0</v>
      </c>
      <c r="CE732" s="8">
        <f t="shared" si="536"/>
        <v>0</v>
      </c>
      <c r="CF732" s="8">
        <f t="shared" si="537"/>
        <v>0</v>
      </c>
      <c r="CG732" s="8">
        <f t="shared" si="538"/>
        <v>0</v>
      </c>
      <c r="CH732" s="8">
        <f t="shared" si="539"/>
        <v>0</v>
      </c>
      <c r="CI732" s="8">
        <f t="shared" si="540"/>
        <v>0</v>
      </c>
      <c r="CJ732" s="8">
        <f t="shared" si="541"/>
        <v>0</v>
      </c>
      <c r="CK732" s="8">
        <f t="shared" si="542"/>
        <v>0</v>
      </c>
      <c r="CL732" s="8">
        <f t="shared" si="543"/>
        <v>0</v>
      </c>
      <c r="CM732" s="8">
        <f t="shared" si="544"/>
        <v>0</v>
      </c>
      <c r="CN732" s="8">
        <f t="shared" si="545"/>
        <v>0</v>
      </c>
      <c r="CO732" s="8">
        <f t="shared" si="546"/>
        <v>0</v>
      </c>
      <c r="CP732" s="8">
        <f t="shared" si="547"/>
        <v>0</v>
      </c>
      <c r="CQ732" s="8">
        <f t="shared" si="548"/>
        <v>0</v>
      </c>
      <c r="CR732" s="8">
        <f t="shared" si="549"/>
        <v>0</v>
      </c>
      <c r="CS732" s="8">
        <f t="shared" si="550"/>
        <v>0</v>
      </c>
      <c r="CT732" s="8">
        <f t="shared" si="555"/>
        <v>0</v>
      </c>
      <c r="CU732" s="8">
        <f t="shared" si="556"/>
        <v>0</v>
      </c>
      <c r="CV732" s="8">
        <f t="shared" si="557"/>
        <v>0</v>
      </c>
    </row>
    <row r="733" spans="1:100" ht="20.5" thickTop="1" thickBot="1" x14ac:dyDescent="0.5">
      <c r="A733" s="32"/>
      <c r="B733" s="10"/>
      <c r="C733" s="10"/>
      <c r="D733" s="11"/>
      <c r="E733" s="10"/>
      <c r="F733" s="10"/>
      <c r="G733" s="19"/>
      <c r="H733" s="19"/>
      <c r="I733" s="19"/>
      <c r="J733" s="19"/>
      <c r="K733" s="10"/>
      <c r="L733" s="10"/>
      <c r="M733" s="10"/>
      <c r="N733" s="10"/>
      <c r="O733" s="18"/>
      <c r="P733" s="18"/>
      <c r="Q733" s="21"/>
      <c r="R733" s="20"/>
      <c r="S733" s="16">
        <f t="shared" si="513"/>
        <v>0</v>
      </c>
      <c r="T733" s="11"/>
      <c r="AS733" s="31">
        <f t="shared" si="514"/>
        <v>0</v>
      </c>
      <c r="AT733" s="31">
        <f t="shared" si="515"/>
        <v>0</v>
      </c>
      <c r="AU733" s="31">
        <f t="shared" si="516"/>
        <v>0</v>
      </c>
      <c r="AV733" s="31">
        <f t="shared" si="517"/>
        <v>0</v>
      </c>
      <c r="AW733" s="31">
        <f t="shared" si="518"/>
        <v>0</v>
      </c>
      <c r="AX733" s="31">
        <f t="shared" si="519"/>
        <v>0</v>
      </c>
      <c r="AY733" s="31">
        <f t="shared" si="520"/>
        <v>0</v>
      </c>
      <c r="AZ733" s="31">
        <f t="shared" si="521"/>
        <v>0</v>
      </c>
      <c r="BA733" s="31">
        <f t="shared" si="522"/>
        <v>0</v>
      </c>
      <c r="BB733" s="31">
        <f t="shared" si="551"/>
        <v>0</v>
      </c>
      <c r="BM733" s="8">
        <f t="shared" si="552"/>
        <v>0</v>
      </c>
      <c r="BN733" s="8">
        <f t="shared" si="523"/>
        <v>0</v>
      </c>
      <c r="BO733" s="8">
        <f t="shared" si="524"/>
        <v>0</v>
      </c>
      <c r="BQ733" s="8">
        <f t="shared" si="525"/>
        <v>0</v>
      </c>
      <c r="BR733" s="63">
        <f t="shared" si="526"/>
        <v>0</v>
      </c>
      <c r="BS733" s="63">
        <f t="shared" si="553"/>
        <v>0</v>
      </c>
      <c r="BT733" s="63">
        <f t="shared" si="527"/>
        <v>0</v>
      </c>
      <c r="BU733" s="63">
        <f t="shared" si="528"/>
        <v>0</v>
      </c>
      <c r="BV733" s="57">
        <f t="shared" si="529"/>
        <v>0</v>
      </c>
      <c r="BW733" s="57">
        <f t="shared" si="530"/>
        <v>0</v>
      </c>
      <c r="BX733" s="57">
        <f t="shared" si="554"/>
        <v>0</v>
      </c>
      <c r="BY733" s="57">
        <f t="shared" ref="BY733:BY796" si="558">IF(AND(OR(N733="YES",N733="HDD",N733="EX PIPES"),K733=""),D733*(F733+G733),0)</f>
        <v>0</v>
      </c>
      <c r="BZ733" s="8">
        <f t="shared" si="531"/>
        <v>0</v>
      </c>
      <c r="CA733" s="8">
        <f t="shared" si="532"/>
        <v>0</v>
      </c>
      <c r="CB733" s="8">
        <f t="shared" si="533"/>
        <v>0</v>
      </c>
      <c r="CC733" s="8">
        <f t="shared" si="534"/>
        <v>0</v>
      </c>
      <c r="CD733" s="8">
        <f t="shared" si="535"/>
        <v>0</v>
      </c>
      <c r="CE733" s="8">
        <f t="shared" si="536"/>
        <v>0</v>
      </c>
      <c r="CF733" s="8">
        <f t="shared" si="537"/>
        <v>0</v>
      </c>
      <c r="CG733" s="8">
        <f t="shared" si="538"/>
        <v>0</v>
      </c>
      <c r="CH733" s="8">
        <f t="shared" si="539"/>
        <v>0</v>
      </c>
      <c r="CI733" s="8">
        <f t="shared" si="540"/>
        <v>0</v>
      </c>
      <c r="CJ733" s="8">
        <f t="shared" si="541"/>
        <v>0</v>
      </c>
      <c r="CK733" s="8">
        <f t="shared" si="542"/>
        <v>0</v>
      </c>
      <c r="CL733" s="8">
        <f t="shared" si="543"/>
        <v>0</v>
      </c>
      <c r="CM733" s="8">
        <f t="shared" si="544"/>
        <v>0</v>
      </c>
      <c r="CN733" s="8">
        <f t="shared" si="545"/>
        <v>0</v>
      </c>
      <c r="CO733" s="8">
        <f t="shared" si="546"/>
        <v>0</v>
      </c>
      <c r="CP733" s="8">
        <f t="shared" si="547"/>
        <v>0</v>
      </c>
      <c r="CQ733" s="8">
        <f t="shared" si="548"/>
        <v>0</v>
      </c>
      <c r="CR733" s="8">
        <f t="shared" si="549"/>
        <v>0</v>
      </c>
      <c r="CS733" s="8">
        <f t="shared" si="550"/>
        <v>0</v>
      </c>
      <c r="CT733" s="8">
        <f t="shared" si="555"/>
        <v>0</v>
      </c>
      <c r="CU733" s="8">
        <f t="shared" si="556"/>
        <v>0</v>
      </c>
      <c r="CV733" s="8">
        <f t="shared" si="557"/>
        <v>0</v>
      </c>
    </row>
    <row r="734" spans="1:100" ht="20.5" thickTop="1" thickBot="1" x14ac:dyDescent="0.5">
      <c r="A734" s="32"/>
      <c r="B734" s="10"/>
      <c r="C734" s="10"/>
      <c r="D734" s="11"/>
      <c r="E734" s="10"/>
      <c r="F734" s="10"/>
      <c r="G734" s="19"/>
      <c r="H734" s="19"/>
      <c r="I734" s="19"/>
      <c r="J734" s="19"/>
      <c r="K734" s="10"/>
      <c r="L734" s="10"/>
      <c r="M734" s="10"/>
      <c r="N734" s="10"/>
      <c r="O734" s="18"/>
      <c r="P734" s="18"/>
      <c r="Q734" s="21"/>
      <c r="R734" s="20"/>
      <c r="S734" s="16">
        <f t="shared" si="513"/>
        <v>0</v>
      </c>
      <c r="T734" s="11"/>
      <c r="AS734" s="31">
        <f t="shared" si="514"/>
        <v>0</v>
      </c>
      <c r="AT734" s="31">
        <f t="shared" si="515"/>
        <v>0</v>
      </c>
      <c r="AU734" s="31">
        <f t="shared" si="516"/>
        <v>0</v>
      </c>
      <c r="AV734" s="31">
        <f t="shared" si="517"/>
        <v>0</v>
      </c>
      <c r="AW734" s="31">
        <f t="shared" si="518"/>
        <v>0</v>
      </c>
      <c r="AX734" s="31">
        <f t="shared" si="519"/>
        <v>0</v>
      </c>
      <c r="AY734" s="31">
        <f t="shared" si="520"/>
        <v>0</v>
      </c>
      <c r="AZ734" s="31">
        <f t="shared" si="521"/>
        <v>0</v>
      </c>
      <c r="BA734" s="31">
        <f t="shared" si="522"/>
        <v>0</v>
      </c>
      <c r="BB734" s="31">
        <f t="shared" si="551"/>
        <v>0</v>
      </c>
      <c r="BM734" s="8">
        <f t="shared" si="552"/>
        <v>0</v>
      </c>
      <c r="BN734" s="8">
        <f t="shared" si="523"/>
        <v>0</v>
      </c>
      <c r="BO734" s="8">
        <f t="shared" si="524"/>
        <v>0</v>
      </c>
      <c r="BQ734" s="8">
        <f t="shared" si="525"/>
        <v>0</v>
      </c>
      <c r="BR734" s="63">
        <f t="shared" si="526"/>
        <v>0</v>
      </c>
      <c r="BS734" s="63">
        <f t="shared" si="553"/>
        <v>0</v>
      </c>
      <c r="BT734" s="63">
        <f t="shared" si="527"/>
        <v>0</v>
      </c>
      <c r="BU734" s="63">
        <f t="shared" si="528"/>
        <v>0</v>
      </c>
      <c r="BV734" s="57">
        <f t="shared" si="529"/>
        <v>0</v>
      </c>
      <c r="BW734" s="57">
        <f t="shared" si="530"/>
        <v>0</v>
      </c>
      <c r="BX734" s="57">
        <f t="shared" si="554"/>
        <v>0</v>
      </c>
      <c r="BY734" s="57">
        <f t="shared" si="558"/>
        <v>0</v>
      </c>
      <c r="BZ734" s="8">
        <f t="shared" si="531"/>
        <v>0</v>
      </c>
      <c r="CA734" s="8">
        <f t="shared" si="532"/>
        <v>0</v>
      </c>
      <c r="CB734" s="8">
        <f t="shared" si="533"/>
        <v>0</v>
      </c>
      <c r="CC734" s="8">
        <f t="shared" si="534"/>
        <v>0</v>
      </c>
      <c r="CD734" s="8">
        <f t="shared" si="535"/>
        <v>0</v>
      </c>
      <c r="CE734" s="8">
        <f t="shared" si="536"/>
        <v>0</v>
      </c>
      <c r="CF734" s="8">
        <f t="shared" si="537"/>
        <v>0</v>
      </c>
      <c r="CG734" s="8">
        <f t="shared" si="538"/>
        <v>0</v>
      </c>
      <c r="CH734" s="8">
        <f t="shared" si="539"/>
        <v>0</v>
      </c>
      <c r="CI734" s="8">
        <f t="shared" si="540"/>
        <v>0</v>
      </c>
      <c r="CJ734" s="8">
        <f t="shared" si="541"/>
        <v>0</v>
      </c>
      <c r="CK734" s="8">
        <f t="shared" si="542"/>
        <v>0</v>
      </c>
      <c r="CL734" s="8">
        <f t="shared" si="543"/>
        <v>0</v>
      </c>
      <c r="CM734" s="8">
        <f t="shared" si="544"/>
        <v>0</v>
      </c>
      <c r="CN734" s="8">
        <f t="shared" si="545"/>
        <v>0</v>
      </c>
      <c r="CO734" s="8">
        <f t="shared" si="546"/>
        <v>0</v>
      </c>
      <c r="CP734" s="8">
        <f t="shared" si="547"/>
        <v>0</v>
      </c>
      <c r="CQ734" s="8">
        <f t="shared" si="548"/>
        <v>0</v>
      </c>
      <c r="CR734" s="8">
        <f t="shared" si="549"/>
        <v>0</v>
      </c>
      <c r="CS734" s="8">
        <f t="shared" si="550"/>
        <v>0</v>
      </c>
      <c r="CT734" s="8">
        <f t="shared" si="555"/>
        <v>0</v>
      </c>
      <c r="CU734" s="8">
        <f t="shared" si="556"/>
        <v>0</v>
      </c>
      <c r="CV734" s="8">
        <f t="shared" si="557"/>
        <v>0</v>
      </c>
    </row>
    <row r="735" spans="1:100" ht="20.5" thickTop="1" thickBot="1" x14ac:dyDescent="0.5">
      <c r="A735" s="32"/>
      <c r="B735" s="10"/>
      <c r="C735" s="10"/>
      <c r="D735" s="11"/>
      <c r="E735" s="10"/>
      <c r="F735" s="10"/>
      <c r="G735" s="19"/>
      <c r="H735" s="19"/>
      <c r="I735" s="19"/>
      <c r="J735" s="19"/>
      <c r="K735" s="10"/>
      <c r="L735" s="10"/>
      <c r="M735" s="10"/>
      <c r="N735" s="10"/>
      <c r="O735" s="18"/>
      <c r="P735" s="18"/>
      <c r="Q735" s="21"/>
      <c r="R735" s="20"/>
      <c r="S735" s="16">
        <f t="shared" si="513"/>
        <v>0</v>
      </c>
      <c r="T735" s="11"/>
      <c r="AS735" s="31">
        <f t="shared" si="514"/>
        <v>0</v>
      </c>
      <c r="AT735" s="31">
        <f t="shared" si="515"/>
        <v>0</v>
      </c>
      <c r="AU735" s="31">
        <f t="shared" si="516"/>
        <v>0</v>
      </c>
      <c r="AV735" s="31">
        <f t="shared" si="517"/>
        <v>0</v>
      </c>
      <c r="AW735" s="31">
        <f t="shared" si="518"/>
        <v>0</v>
      </c>
      <c r="AX735" s="31">
        <f t="shared" si="519"/>
        <v>0</v>
      </c>
      <c r="AY735" s="31">
        <f t="shared" si="520"/>
        <v>0</v>
      </c>
      <c r="AZ735" s="31">
        <f t="shared" si="521"/>
        <v>0</v>
      </c>
      <c r="BA735" s="31">
        <f t="shared" si="522"/>
        <v>0</v>
      </c>
      <c r="BB735" s="31">
        <f t="shared" si="551"/>
        <v>0</v>
      </c>
      <c r="BM735" s="8">
        <f t="shared" si="552"/>
        <v>0</v>
      </c>
      <c r="BN735" s="8">
        <f t="shared" si="523"/>
        <v>0</v>
      </c>
      <c r="BO735" s="8">
        <f t="shared" si="524"/>
        <v>0</v>
      </c>
      <c r="BQ735" s="8">
        <f t="shared" si="525"/>
        <v>0</v>
      </c>
      <c r="BR735" s="63">
        <f t="shared" si="526"/>
        <v>0</v>
      </c>
      <c r="BS735" s="63">
        <f t="shared" si="553"/>
        <v>0</v>
      </c>
      <c r="BT735" s="63">
        <f t="shared" si="527"/>
        <v>0</v>
      </c>
      <c r="BU735" s="63">
        <f t="shared" si="528"/>
        <v>0</v>
      </c>
      <c r="BV735" s="57">
        <f t="shared" si="529"/>
        <v>0</v>
      </c>
      <c r="BW735" s="57">
        <f t="shared" si="530"/>
        <v>0</v>
      </c>
      <c r="BX735" s="57">
        <f t="shared" si="554"/>
        <v>0</v>
      </c>
      <c r="BY735" s="57">
        <f t="shared" si="558"/>
        <v>0</v>
      </c>
      <c r="BZ735" s="8">
        <f t="shared" si="531"/>
        <v>0</v>
      </c>
      <c r="CA735" s="8">
        <f t="shared" si="532"/>
        <v>0</v>
      </c>
      <c r="CB735" s="8">
        <f t="shared" si="533"/>
        <v>0</v>
      </c>
      <c r="CC735" s="8">
        <f t="shared" si="534"/>
        <v>0</v>
      </c>
      <c r="CD735" s="8">
        <f t="shared" si="535"/>
        <v>0</v>
      </c>
      <c r="CE735" s="8">
        <f t="shared" si="536"/>
        <v>0</v>
      </c>
      <c r="CF735" s="8">
        <f t="shared" si="537"/>
        <v>0</v>
      </c>
      <c r="CG735" s="8">
        <f t="shared" si="538"/>
        <v>0</v>
      </c>
      <c r="CH735" s="8">
        <f t="shared" si="539"/>
        <v>0</v>
      </c>
      <c r="CI735" s="8">
        <f t="shared" si="540"/>
        <v>0</v>
      </c>
      <c r="CJ735" s="8">
        <f t="shared" si="541"/>
        <v>0</v>
      </c>
      <c r="CK735" s="8">
        <f t="shared" si="542"/>
        <v>0</v>
      </c>
      <c r="CL735" s="8">
        <f t="shared" si="543"/>
        <v>0</v>
      </c>
      <c r="CM735" s="8">
        <f t="shared" si="544"/>
        <v>0</v>
      </c>
      <c r="CN735" s="8">
        <f t="shared" si="545"/>
        <v>0</v>
      </c>
      <c r="CO735" s="8">
        <f t="shared" si="546"/>
        <v>0</v>
      </c>
      <c r="CP735" s="8">
        <f t="shared" si="547"/>
        <v>0</v>
      </c>
      <c r="CQ735" s="8">
        <f t="shared" si="548"/>
        <v>0</v>
      </c>
      <c r="CR735" s="8">
        <f t="shared" si="549"/>
        <v>0</v>
      </c>
      <c r="CS735" s="8">
        <f t="shared" si="550"/>
        <v>0</v>
      </c>
      <c r="CT735" s="8">
        <f t="shared" si="555"/>
        <v>0</v>
      </c>
      <c r="CU735" s="8">
        <f t="shared" si="556"/>
        <v>0</v>
      </c>
      <c r="CV735" s="8">
        <f t="shared" si="557"/>
        <v>0</v>
      </c>
    </row>
    <row r="736" spans="1:100" ht="20.5" thickTop="1" thickBot="1" x14ac:dyDescent="0.5">
      <c r="A736" s="32"/>
      <c r="B736" s="10"/>
      <c r="C736" s="10"/>
      <c r="D736" s="11"/>
      <c r="E736" s="10"/>
      <c r="F736" s="10"/>
      <c r="G736" s="19"/>
      <c r="H736" s="19"/>
      <c r="I736" s="19"/>
      <c r="J736" s="19"/>
      <c r="K736" s="10"/>
      <c r="L736" s="10"/>
      <c r="M736" s="10"/>
      <c r="N736" s="10"/>
      <c r="O736" s="18"/>
      <c r="P736" s="18"/>
      <c r="Q736" s="21"/>
      <c r="R736" s="20"/>
      <c r="S736" s="16">
        <f t="shared" si="513"/>
        <v>0</v>
      </c>
      <c r="T736" s="11"/>
      <c r="AS736" s="31">
        <f t="shared" si="514"/>
        <v>0</v>
      </c>
      <c r="AT736" s="31">
        <f t="shared" si="515"/>
        <v>0</v>
      </c>
      <c r="AU736" s="31">
        <f t="shared" si="516"/>
        <v>0</v>
      </c>
      <c r="AV736" s="31">
        <f t="shared" si="517"/>
        <v>0</v>
      </c>
      <c r="AW736" s="31">
        <f t="shared" si="518"/>
        <v>0</v>
      </c>
      <c r="AX736" s="31">
        <f t="shared" si="519"/>
        <v>0</v>
      </c>
      <c r="AY736" s="31">
        <f t="shared" si="520"/>
        <v>0</v>
      </c>
      <c r="AZ736" s="31">
        <f t="shared" si="521"/>
        <v>0</v>
      </c>
      <c r="BA736" s="31">
        <f t="shared" si="522"/>
        <v>0</v>
      </c>
      <c r="BB736" s="31">
        <f t="shared" si="551"/>
        <v>0</v>
      </c>
      <c r="BM736" s="8">
        <f t="shared" si="552"/>
        <v>0</v>
      </c>
      <c r="BN736" s="8">
        <f t="shared" si="523"/>
        <v>0</v>
      </c>
      <c r="BO736" s="8">
        <f t="shared" si="524"/>
        <v>0</v>
      </c>
      <c r="BQ736" s="8">
        <f t="shared" si="525"/>
        <v>0</v>
      </c>
      <c r="BR736" s="63">
        <f t="shared" si="526"/>
        <v>0</v>
      </c>
      <c r="BS736" s="63">
        <f t="shared" si="553"/>
        <v>0</v>
      </c>
      <c r="BT736" s="63">
        <f t="shared" si="527"/>
        <v>0</v>
      </c>
      <c r="BU736" s="63">
        <f t="shared" si="528"/>
        <v>0</v>
      </c>
      <c r="BV736" s="57">
        <f t="shared" si="529"/>
        <v>0</v>
      </c>
      <c r="BW736" s="57">
        <f t="shared" si="530"/>
        <v>0</v>
      </c>
      <c r="BX736" s="57">
        <f t="shared" si="554"/>
        <v>0</v>
      </c>
      <c r="BY736" s="57">
        <f t="shared" si="558"/>
        <v>0</v>
      </c>
      <c r="BZ736" s="8">
        <f t="shared" si="531"/>
        <v>0</v>
      </c>
      <c r="CA736" s="8">
        <f t="shared" si="532"/>
        <v>0</v>
      </c>
      <c r="CB736" s="8">
        <f t="shared" si="533"/>
        <v>0</v>
      </c>
      <c r="CC736" s="8">
        <f t="shared" si="534"/>
        <v>0</v>
      </c>
      <c r="CD736" s="8">
        <f t="shared" si="535"/>
        <v>0</v>
      </c>
      <c r="CE736" s="8">
        <f t="shared" si="536"/>
        <v>0</v>
      </c>
      <c r="CF736" s="8">
        <f t="shared" si="537"/>
        <v>0</v>
      </c>
      <c r="CG736" s="8">
        <f t="shared" si="538"/>
        <v>0</v>
      </c>
      <c r="CH736" s="8">
        <f t="shared" si="539"/>
        <v>0</v>
      </c>
      <c r="CI736" s="8">
        <f t="shared" si="540"/>
        <v>0</v>
      </c>
      <c r="CJ736" s="8">
        <f t="shared" si="541"/>
        <v>0</v>
      </c>
      <c r="CK736" s="8">
        <f t="shared" si="542"/>
        <v>0</v>
      </c>
      <c r="CL736" s="8">
        <f t="shared" si="543"/>
        <v>0</v>
      </c>
      <c r="CM736" s="8">
        <f t="shared" si="544"/>
        <v>0</v>
      </c>
      <c r="CN736" s="8">
        <f t="shared" si="545"/>
        <v>0</v>
      </c>
      <c r="CO736" s="8">
        <f t="shared" si="546"/>
        <v>0</v>
      </c>
      <c r="CP736" s="8">
        <f t="shared" si="547"/>
        <v>0</v>
      </c>
      <c r="CQ736" s="8">
        <f t="shared" si="548"/>
        <v>0</v>
      </c>
      <c r="CR736" s="8">
        <f t="shared" si="549"/>
        <v>0</v>
      </c>
      <c r="CS736" s="8">
        <f t="shared" si="550"/>
        <v>0</v>
      </c>
      <c r="CT736" s="8">
        <f t="shared" si="555"/>
        <v>0</v>
      </c>
      <c r="CU736" s="8">
        <f t="shared" si="556"/>
        <v>0</v>
      </c>
      <c r="CV736" s="8">
        <f t="shared" si="557"/>
        <v>0</v>
      </c>
    </row>
    <row r="737" spans="1:100" ht="20.5" thickTop="1" thickBot="1" x14ac:dyDescent="0.5">
      <c r="A737" s="32"/>
      <c r="B737" s="10"/>
      <c r="C737" s="10"/>
      <c r="D737" s="11"/>
      <c r="E737" s="10"/>
      <c r="F737" s="10"/>
      <c r="G737" s="19"/>
      <c r="H737" s="19"/>
      <c r="I737" s="19"/>
      <c r="J737" s="19"/>
      <c r="K737" s="10"/>
      <c r="L737" s="10"/>
      <c r="M737" s="10"/>
      <c r="N737" s="10"/>
      <c r="O737" s="18"/>
      <c r="P737" s="18"/>
      <c r="Q737" s="21"/>
      <c r="R737" s="20"/>
      <c r="S737" s="16">
        <f t="shared" si="513"/>
        <v>0</v>
      </c>
      <c r="T737" s="11"/>
      <c r="AS737" s="31">
        <f t="shared" si="514"/>
        <v>0</v>
      </c>
      <c r="AT737" s="31">
        <f t="shared" si="515"/>
        <v>0</v>
      </c>
      <c r="AU737" s="31">
        <f t="shared" si="516"/>
        <v>0</v>
      </c>
      <c r="AV737" s="31">
        <f t="shared" si="517"/>
        <v>0</v>
      </c>
      <c r="AW737" s="31">
        <f t="shared" si="518"/>
        <v>0</v>
      </c>
      <c r="AX737" s="31">
        <f t="shared" si="519"/>
        <v>0</v>
      </c>
      <c r="AY737" s="31">
        <f t="shared" si="520"/>
        <v>0</v>
      </c>
      <c r="AZ737" s="31">
        <f t="shared" si="521"/>
        <v>0</v>
      </c>
      <c r="BA737" s="31">
        <f t="shared" si="522"/>
        <v>0</v>
      </c>
      <c r="BB737" s="31">
        <f t="shared" si="551"/>
        <v>0</v>
      </c>
      <c r="BM737" s="8">
        <f t="shared" si="552"/>
        <v>0</v>
      </c>
      <c r="BN737" s="8">
        <f t="shared" si="523"/>
        <v>0</v>
      </c>
      <c r="BO737" s="8">
        <f t="shared" si="524"/>
        <v>0</v>
      </c>
      <c r="BQ737" s="8">
        <f t="shared" si="525"/>
        <v>0</v>
      </c>
      <c r="BR737" s="63">
        <f t="shared" si="526"/>
        <v>0</v>
      </c>
      <c r="BS737" s="63">
        <f t="shared" si="553"/>
        <v>0</v>
      </c>
      <c r="BT737" s="63">
        <f t="shared" si="527"/>
        <v>0</v>
      </c>
      <c r="BU737" s="63">
        <f t="shared" si="528"/>
        <v>0</v>
      </c>
      <c r="BV737" s="57">
        <f t="shared" si="529"/>
        <v>0</v>
      </c>
      <c r="BW737" s="57">
        <f t="shared" si="530"/>
        <v>0</v>
      </c>
      <c r="BX737" s="57">
        <f t="shared" si="554"/>
        <v>0</v>
      </c>
      <c r="BY737" s="57">
        <f t="shared" si="558"/>
        <v>0</v>
      </c>
      <c r="BZ737" s="8">
        <f t="shared" si="531"/>
        <v>0</v>
      </c>
      <c r="CA737" s="8">
        <f t="shared" si="532"/>
        <v>0</v>
      </c>
      <c r="CB737" s="8">
        <f t="shared" si="533"/>
        <v>0</v>
      </c>
      <c r="CC737" s="8">
        <f t="shared" si="534"/>
        <v>0</v>
      </c>
      <c r="CD737" s="8">
        <f t="shared" si="535"/>
        <v>0</v>
      </c>
      <c r="CE737" s="8">
        <f t="shared" si="536"/>
        <v>0</v>
      </c>
      <c r="CF737" s="8">
        <f t="shared" si="537"/>
        <v>0</v>
      </c>
      <c r="CG737" s="8">
        <f t="shared" si="538"/>
        <v>0</v>
      </c>
      <c r="CH737" s="8">
        <f t="shared" si="539"/>
        <v>0</v>
      </c>
      <c r="CI737" s="8">
        <f t="shared" si="540"/>
        <v>0</v>
      </c>
      <c r="CJ737" s="8">
        <f t="shared" si="541"/>
        <v>0</v>
      </c>
      <c r="CK737" s="8">
        <f t="shared" si="542"/>
        <v>0</v>
      </c>
      <c r="CL737" s="8">
        <f t="shared" si="543"/>
        <v>0</v>
      </c>
      <c r="CM737" s="8">
        <f t="shared" si="544"/>
        <v>0</v>
      </c>
      <c r="CN737" s="8">
        <f t="shared" si="545"/>
        <v>0</v>
      </c>
      <c r="CO737" s="8">
        <f t="shared" si="546"/>
        <v>0</v>
      </c>
      <c r="CP737" s="8">
        <f t="shared" si="547"/>
        <v>0</v>
      </c>
      <c r="CQ737" s="8">
        <f t="shared" si="548"/>
        <v>0</v>
      </c>
      <c r="CR737" s="8">
        <f t="shared" si="549"/>
        <v>0</v>
      </c>
      <c r="CS737" s="8">
        <f t="shared" si="550"/>
        <v>0</v>
      </c>
      <c r="CT737" s="8">
        <f t="shared" si="555"/>
        <v>0</v>
      </c>
      <c r="CU737" s="8">
        <f t="shared" si="556"/>
        <v>0</v>
      </c>
      <c r="CV737" s="8">
        <f t="shared" si="557"/>
        <v>0</v>
      </c>
    </row>
    <row r="738" spans="1:100" ht="20.5" thickTop="1" thickBot="1" x14ac:dyDescent="0.5">
      <c r="A738" s="32"/>
      <c r="B738" s="10"/>
      <c r="C738" s="10"/>
      <c r="D738" s="11"/>
      <c r="E738" s="10"/>
      <c r="F738" s="10"/>
      <c r="G738" s="19"/>
      <c r="H738" s="19"/>
      <c r="I738" s="19"/>
      <c r="J738" s="19"/>
      <c r="K738" s="10"/>
      <c r="L738" s="10"/>
      <c r="M738" s="10"/>
      <c r="N738" s="10"/>
      <c r="O738" s="18"/>
      <c r="P738" s="18"/>
      <c r="Q738" s="21"/>
      <c r="R738" s="20"/>
      <c r="S738" s="16">
        <f t="shared" si="513"/>
        <v>0</v>
      </c>
      <c r="T738" s="11"/>
      <c r="AS738" s="31">
        <f t="shared" si="514"/>
        <v>0</v>
      </c>
      <c r="AT738" s="31">
        <f t="shared" si="515"/>
        <v>0</v>
      </c>
      <c r="AU738" s="31">
        <f t="shared" si="516"/>
        <v>0</v>
      </c>
      <c r="AV738" s="31">
        <f t="shared" si="517"/>
        <v>0</v>
      </c>
      <c r="AW738" s="31">
        <f t="shared" si="518"/>
        <v>0</v>
      </c>
      <c r="AX738" s="31">
        <f t="shared" si="519"/>
        <v>0</v>
      </c>
      <c r="AY738" s="31">
        <f t="shared" si="520"/>
        <v>0</v>
      </c>
      <c r="AZ738" s="31">
        <f t="shared" si="521"/>
        <v>0</v>
      </c>
      <c r="BA738" s="31">
        <f t="shared" si="522"/>
        <v>0</v>
      </c>
      <c r="BB738" s="31">
        <f t="shared" si="551"/>
        <v>0</v>
      </c>
      <c r="BM738" s="8">
        <f t="shared" si="552"/>
        <v>0</v>
      </c>
      <c r="BN738" s="8">
        <f t="shared" si="523"/>
        <v>0</v>
      </c>
      <c r="BO738" s="8">
        <f t="shared" si="524"/>
        <v>0</v>
      </c>
      <c r="BQ738" s="8">
        <f t="shared" si="525"/>
        <v>0</v>
      </c>
      <c r="BR738" s="63">
        <f t="shared" si="526"/>
        <v>0</v>
      </c>
      <c r="BS738" s="63">
        <f t="shared" si="553"/>
        <v>0</v>
      </c>
      <c r="BT738" s="63">
        <f t="shared" si="527"/>
        <v>0</v>
      </c>
      <c r="BU738" s="63">
        <f t="shared" si="528"/>
        <v>0</v>
      </c>
      <c r="BV738" s="57">
        <f t="shared" si="529"/>
        <v>0</v>
      </c>
      <c r="BW738" s="57">
        <f t="shared" si="530"/>
        <v>0</v>
      </c>
      <c r="BX738" s="57">
        <f t="shared" si="554"/>
        <v>0</v>
      </c>
      <c r="BY738" s="57">
        <f t="shared" si="558"/>
        <v>0</v>
      </c>
      <c r="BZ738" s="8">
        <f t="shared" si="531"/>
        <v>0</v>
      </c>
      <c r="CA738" s="8">
        <f t="shared" si="532"/>
        <v>0</v>
      </c>
      <c r="CB738" s="8">
        <f t="shared" si="533"/>
        <v>0</v>
      </c>
      <c r="CC738" s="8">
        <f t="shared" si="534"/>
        <v>0</v>
      </c>
      <c r="CD738" s="8">
        <f t="shared" si="535"/>
        <v>0</v>
      </c>
      <c r="CE738" s="8">
        <f t="shared" si="536"/>
        <v>0</v>
      </c>
      <c r="CF738" s="8">
        <f t="shared" si="537"/>
        <v>0</v>
      </c>
      <c r="CG738" s="8">
        <f t="shared" si="538"/>
        <v>0</v>
      </c>
      <c r="CH738" s="8">
        <f t="shared" si="539"/>
        <v>0</v>
      </c>
      <c r="CI738" s="8">
        <f t="shared" si="540"/>
        <v>0</v>
      </c>
      <c r="CJ738" s="8">
        <f t="shared" si="541"/>
        <v>0</v>
      </c>
      <c r="CK738" s="8">
        <f t="shared" si="542"/>
        <v>0</v>
      </c>
      <c r="CL738" s="8">
        <f t="shared" si="543"/>
        <v>0</v>
      </c>
      <c r="CM738" s="8">
        <f t="shared" si="544"/>
        <v>0</v>
      </c>
      <c r="CN738" s="8">
        <f t="shared" si="545"/>
        <v>0</v>
      </c>
      <c r="CO738" s="8">
        <f t="shared" si="546"/>
        <v>0</v>
      </c>
      <c r="CP738" s="8">
        <f t="shared" si="547"/>
        <v>0</v>
      </c>
      <c r="CQ738" s="8">
        <f t="shared" si="548"/>
        <v>0</v>
      </c>
      <c r="CR738" s="8">
        <f t="shared" si="549"/>
        <v>0</v>
      </c>
      <c r="CS738" s="8">
        <f t="shared" si="550"/>
        <v>0</v>
      </c>
      <c r="CT738" s="8">
        <f t="shared" si="555"/>
        <v>0</v>
      </c>
      <c r="CU738" s="8">
        <f t="shared" si="556"/>
        <v>0</v>
      </c>
      <c r="CV738" s="8">
        <f t="shared" si="557"/>
        <v>0</v>
      </c>
    </row>
    <row r="739" spans="1:100" ht="20.5" thickTop="1" thickBot="1" x14ac:dyDescent="0.5">
      <c r="A739" s="32"/>
      <c r="B739" s="10"/>
      <c r="C739" s="10"/>
      <c r="D739" s="11"/>
      <c r="E739" s="10"/>
      <c r="F739" s="10"/>
      <c r="G739" s="19"/>
      <c r="H739" s="19"/>
      <c r="I739" s="19"/>
      <c r="J739" s="19"/>
      <c r="K739" s="10"/>
      <c r="L739" s="10"/>
      <c r="M739" s="10"/>
      <c r="N739" s="10"/>
      <c r="O739" s="18"/>
      <c r="P739" s="18"/>
      <c r="Q739" s="21"/>
      <c r="R739" s="20"/>
      <c r="S739" s="16">
        <f t="shared" si="513"/>
        <v>0</v>
      </c>
      <c r="T739" s="11"/>
      <c r="AS739" s="31">
        <f t="shared" si="514"/>
        <v>0</v>
      </c>
      <c r="AT739" s="31">
        <f t="shared" si="515"/>
        <v>0</v>
      </c>
      <c r="AU739" s="31">
        <f t="shared" si="516"/>
        <v>0</v>
      </c>
      <c r="AV739" s="31">
        <f t="shared" si="517"/>
        <v>0</v>
      </c>
      <c r="AW739" s="31">
        <f t="shared" si="518"/>
        <v>0</v>
      </c>
      <c r="AX739" s="31">
        <f t="shared" si="519"/>
        <v>0</v>
      </c>
      <c r="AY739" s="31">
        <f t="shared" si="520"/>
        <v>0</v>
      </c>
      <c r="AZ739" s="31">
        <f t="shared" si="521"/>
        <v>0</v>
      </c>
      <c r="BA739" s="31">
        <f t="shared" si="522"/>
        <v>0</v>
      </c>
      <c r="BB739" s="31">
        <f t="shared" si="551"/>
        <v>0</v>
      </c>
      <c r="BM739" s="8">
        <f t="shared" si="552"/>
        <v>0</v>
      </c>
      <c r="BN739" s="8">
        <f t="shared" si="523"/>
        <v>0</v>
      </c>
      <c r="BO739" s="8">
        <f t="shared" si="524"/>
        <v>0</v>
      </c>
      <c r="BQ739" s="8">
        <f t="shared" si="525"/>
        <v>0</v>
      </c>
      <c r="BR739" s="63">
        <f t="shared" si="526"/>
        <v>0</v>
      </c>
      <c r="BS739" s="63">
        <f t="shared" si="553"/>
        <v>0</v>
      </c>
      <c r="BT739" s="63">
        <f t="shared" si="527"/>
        <v>0</v>
      </c>
      <c r="BU739" s="63">
        <f t="shared" si="528"/>
        <v>0</v>
      </c>
      <c r="BV739" s="57">
        <f t="shared" si="529"/>
        <v>0</v>
      </c>
      <c r="BW739" s="57">
        <f t="shared" si="530"/>
        <v>0</v>
      </c>
      <c r="BX739" s="57">
        <f t="shared" si="554"/>
        <v>0</v>
      </c>
      <c r="BY739" s="57">
        <f t="shared" si="558"/>
        <v>0</v>
      </c>
      <c r="BZ739" s="8">
        <f t="shared" si="531"/>
        <v>0</v>
      </c>
      <c r="CA739" s="8">
        <f t="shared" si="532"/>
        <v>0</v>
      </c>
      <c r="CB739" s="8">
        <f t="shared" si="533"/>
        <v>0</v>
      </c>
      <c r="CC739" s="8">
        <f t="shared" si="534"/>
        <v>0</v>
      </c>
      <c r="CD739" s="8">
        <f t="shared" si="535"/>
        <v>0</v>
      </c>
      <c r="CE739" s="8">
        <f t="shared" si="536"/>
        <v>0</v>
      </c>
      <c r="CF739" s="8">
        <f t="shared" si="537"/>
        <v>0</v>
      </c>
      <c r="CG739" s="8">
        <f t="shared" si="538"/>
        <v>0</v>
      </c>
      <c r="CH739" s="8">
        <f t="shared" si="539"/>
        <v>0</v>
      </c>
      <c r="CI739" s="8">
        <f t="shared" si="540"/>
        <v>0</v>
      </c>
      <c r="CJ739" s="8">
        <f t="shared" si="541"/>
        <v>0</v>
      </c>
      <c r="CK739" s="8">
        <f t="shared" si="542"/>
        <v>0</v>
      </c>
      <c r="CL739" s="8">
        <f t="shared" si="543"/>
        <v>0</v>
      </c>
      <c r="CM739" s="8">
        <f t="shared" si="544"/>
        <v>0</v>
      </c>
      <c r="CN739" s="8">
        <f t="shared" si="545"/>
        <v>0</v>
      </c>
      <c r="CO739" s="8">
        <f t="shared" si="546"/>
        <v>0</v>
      </c>
      <c r="CP739" s="8">
        <f t="shared" si="547"/>
        <v>0</v>
      </c>
      <c r="CQ739" s="8">
        <f t="shared" si="548"/>
        <v>0</v>
      </c>
      <c r="CR739" s="8">
        <f t="shared" si="549"/>
        <v>0</v>
      </c>
      <c r="CS739" s="8">
        <f t="shared" si="550"/>
        <v>0</v>
      </c>
      <c r="CT739" s="8">
        <f t="shared" si="555"/>
        <v>0</v>
      </c>
      <c r="CU739" s="8">
        <f t="shared" si="556"/>
        <v>0</v>
      </c>
      <c r="CV739" s="8">
        <f t="shared" si="557"/>
        <v>0</v>
      </c>
    </row>
    <row r="740" spans="1:100" ht="20.5" thickTop="1" thickBot="1" x14ac:dyDescent="0.5">
      <c r="A740" s="32"/>
      <c r="B740" s="10"/>
      <c r="C740" s="10"/>
      <c r="D740" s="11"/>
      <c r="E740" s="10"/>
      <c r="F740" s="10"/>
      <c r="G740" s="19"/>
      <c r="H740" s="19"/>
      <c r="I740" s="19"/>
      <c r="J740" s="19"/>
      <c r="K740" s="10"/>
      <c r="L740" s="10"/>
      <c r="M740" s="10"/>
      <c r="N740" s="10"/>
      <c r="O740" s="18"/>
      <c r="P740" s="18"/>
      <c r="Q740" s="21"/>
      <c r="R740" s="20"/>
      <c r="S740" s="16">
        <f t="shared" si="513"/>
        <v>0</v>
      </c>
      <c r="T740" s="11"/>
      <c r="AS740" s="31">
        <f t="shared" si="514"/>
        <v>0</v>
      </c>
      <c r="AT740" s="31">
        <f t="shared" si="515"/>
        <v>0</v>
      </c>
      <c r="AU740" s="31">
        <f t="shared" si="516"/>
        <v>0</v>
      </c>
      <c r="AV740" s="31">
        <f t="shared" si="517"/>
        <v>0</v>
      </c>
      <c r="AW740" s="31">
        <f t="shared" si="518"/>
        <v>0</v>
      </c>
      <c r="AX740" s="31">
        <f t="shared" si="519"/>
        <v>0</v>
      </c>
      <c r="AY740" s="31">
        <f t="shared" si="520"/>
        <v>0</v>
      </c>
      <c r="AZ740" s="31">
        <f t="shared" si="521"/>
        <v>0</v>
      </c>
      <c r="BA740" s="31">
        <f t="shared" si="522"/>
        <v>0</v>
      </c>
      <c r="BB740" s="31">
        <f t="shared" si="551"/>
        <v>0</v>
      </c>
      <c r="BM740" s="8">
        <f t="shared" si="552"/>
        <v>0</v>
      </c>
      <c r="BN740" s="8">
        <f t="shared" si="523"/>
        <v>0</v>
      </c>
      <c r="BO740" s="8">
        <f t="shared" si="524"/>
        <v>0</v>
      </c>
      <c r="BQ740" s="8">
        <f t="shared" si="525"/>
        <v>0</v>
      </c>
      <c r="BR740" s="63">
        <f t="shared" si="526"/>
        <v>0</v>
      </c>
      <c r="BS740" s="63">
        <f t="shared" si="553"/>
        <v>0</v>
      </c>
      <c r="BT740" s="63">
        <f t="shared" si="527"/>
        <v>0</v>
      </c>
      <c r="BU740" s="63">
        <f t="shared" si="528"/>
        <v>0</v>
      </c>
      <c r="BV740" s="57">
        <f t="shared" si="529"/>
        <v>0</v>
      </c>
      <c r="BW740" s="57">
        <f t="shared" si="530"/>
        <v>0</v>
      </c>
      <c r="BX740" s="57">
        <f t="shared" si="554"/>
        <v>0</v>
      </c>
      <c r="BY740" s="57">
        <f t="shared" si="558"/>
        <v>0</v>
      </c>
      <c r="BZ740" s="8">
        <f t="shared" si="531"/>
        <v>0</v>
      </c>
      <c r="CA740" s="8">
        <f t="shared" si="532"/>
        <v>0</v>
      </c>
      <c r="CB740" s="8">
        <f t="shared" si="533"/>
        <v>0</v>
      </c>
      <c r="CC740" s="8">
        <f t="shared" si="534"/>
        <v>0</v>
      </c>
      <c r="CD740" s="8">
        <f t="shared" si="535"/>
        <v>0</v>
      </c>
      <c r="CE740" s="8">
        <f t="shared" si="536"/>
        <v>0</v>
      </c>
      <c r="CF740" s="8">
        <f t="shared" si="537"/>
        <v>0</v>
      </c>
      <c r="CG740" s="8">
        <f t="shared" si="538"/>
        <v>0</v>
      </c>
      <c r="CH740" s="8">
        <f t="shared" si="539"/>
        <v>0</v>
      </c>
      <c r="CI740" s="8">
        <f t="shared" si="540"/>
        <v>0</v>
      </c>
      <c r="CJ740" s="8">
        <f t="shared" si="541"/>
        <v>0</v>
      </c>
      <c r="CK740" s="8">
        <f t="shared" si="542"/>
        <v>0</v>
      </c>
      <c r="CL740" s="8">
        <f t="shared" si="543"/>
        <v>0</v>
      </c>
      <c r="CM740" s="8">
        <f t="shared" si="544"/>
        <v>0</v>
      </c>
      <c r="CN740" s="8">
        <f t="shared" si="545"/>
        <v>0</v>
      </c>
      <c r="CO740" s="8">
        <f t="shared" si="546"/>
        <v>0</v>
      </c>
      <c r="CP740" s="8">
        <f t="shared" si="547"/>
        <v>0</v>
      </c>
      <c r="CQ740" s="8">
        <f t="shared" si="548"/>
        <v>0</v>
      </c>
      <c r="CR740" s="8">
        <f t="shared" si="549"/>
        <v>0</v>
      </c>
      <c r="CS740" s="8">
        <f t="shared" si="550"/>
        <v>0</v>
      </c>
      <c r="CT740" s="8">
        <f t="shared" si="555"/>
        <v>0</v>
      </c>
      <c r="CU740" s="8">
        <f t="shared" si="556"/>
        <v>0</v>
      </c>
      <c r="CV740" s="8">
        <f t="shared" si="557"/>
        <v>0</v>
      </c>
    </row>
    <row r="741" spans="1:100" ht="20.5" thickTop="1" thickBot="1" x14ac:dyDescent="0.5">
      <c r="A741" s="32"/>
      <c r="B741" s="10"/>
      <c r="C741" s="10"/>
      <c r="D741" s="11"/>
      <c r="E741" s="10"/>
      <c r="F741" s="10"/>
      <c r="G741" s="19"/>
      <c r="H741" s="19"/>
      <c r="I741" s="19"/>
      <c r="J741" s="19"/>
      <c r="K741" s="10"/>
      <c r="L741" s="10"/>
      <c r="M741" s="10"/>
      <c r="N741" s="10"/>
      <c r="O741" s="18"/>
      <c r="P741" s="18"/>
      <c r="Q741" s="21"/>
      <c r="R741" s="20"/>
      <c r="S741" s="16">
        <f t="shared" si="513"/>
        <v>0</v>
      </c>
      <c r="T741" s="11"/>
      <c r="AS741" s="31">
        <f t="shared" si="514"/>
        <v>0</v>
      </c>
      <c r="AT741" s="31">
        <f t="shared" si="515"/>
        <v>0</v>
      </c>
      <c r="AU741" s="31">
        <f t="shared" si="516"/>
        <v>0</v>
      </c>
      <c r="AV741" s="31">
        <f t="shared" si="517"/>
        <v>0</v>
      </c>
      <c r="AW741" s="31">
        <f t="shared" si="518"/>
        <v>0</v>
      </c>
      <c r="AX741" s="31">
        <f t="shared" si="519"/>
        <v>0</v>
      </c>
      <c r="AY741" s="31">
        <f t="shared" si="520"/>
        <v>0</v>
      </c>
      <c r="AZ741" s="31">
        <f t="shared" si="521"/>
        <v>0</v>
      </c>
      <c r="BA741" s="31">
        <f t="shared" si="522"/>
        <v>0</v>
      </c>
      <c r="BB741" s="31">
        <f t="shared" si="551"/>
        <v>0</v>
      </c>
      <c r="BM741" s="8">
        <f t="shared" si="552"/>
        <v>0</v>
      </c>
      <c r="BN741" s="8">
        <f t="shared" si="523"/>
        <v>0</v>
      </c>
      <c r="BO741" s="8">
        <f t="shared" si="524"/>
        <v>0</v>
      </c>
      <c r="BQ741" s="8">
        <f t="shared" si="525"/>
        <v>0</v>
      </c>
      <c r="BR741" s="63">
        <f t="shared" si="526"/>
        <v>0</v>
      </c>
      <c r="BS741" s="63">
        <f t="shared" si="553"/>
        <v>0</v>
      </c>
      <c r="BT741" s="63">
        <f t="shared" si="527"/>
        <v>0</v>
      </c>
      <c r="BU741" s="63">
        <f t="shared" si="528"/>
        <v>0</v>
      </c>
      <c r="BV741" s="57">
        <f t="shared" si="529"/>
        <v>0</v>
      </c>
      <c r="BW741" s="57">
        <f t="shared" si="530"/>
        <v>0</v>
      </c>
      <c r="BX741" s="57">
        <f t="shared" si="554"/>
        <v>0</v>
      </c>
      <c r="BY741" s="57">
        <f t="shared" si="558"/>
        <v>0</v>
      </c>
      <c r="BZ741" s="8">
        <f t="shared" si="531"/>
        <v>0</v>
      </c>
      <c r="CA741" s="8">
        <f t="shared" si="532"/>
        <v>0</v>
      </c>
      <c r="CB741" s="8">
        <f t="shared" si="533"/>
        <v>0</v>
      </c>
      <c r="CC741" s="8">
        <f t="shared" si="534"/>
        <v>0</v>
      </c>
      <c r="CD741" s="8">
        <f t="shared" si="535"/>
        <v>0</v>
      </c>
      <c r="CE741" s="8">
        <f t="shared" si="536"/>
        <v>0</v>
      </c>
      <c r="CF741" s="8">
        <f t="shared" si="537"/>
        <v>0</v>
      </c>
      <c r="CG741" s="8">
        <f t="shared" si="538"/>
        <v>0</v>
      </c>
      <c r="CH741" s="8">
        <f t="shared" si="539"/>
        <v>0</v>
      </c>
      <c r="CI741" s="8">
        <f t="shared" si="540"/>
        <v>0</v>
      </c>
      <c r="CJ741" s="8">
        <f t="shared" si="541"/>
        <v>0</v>
      </c>
      <c r="CK741" s="8">
        <f t="shared" si="542"/>
        <v>0</v>
      </c>
      <c r="CL741" s="8">
        <f t="shared" si="543"/>
        <v>0</v>
      </c>
      <c r="CM741" s="8">
        <f t="shared" si="544"/>
        <v>0</v>
      </c>
      <c r="CN741" s="8">
        <f t="shared" si="545"/>
        <v>0</v>
      </c>
      <c r="CO741" s="8">
        <f t="shared" si="546"/>
        <v>0</v>
      </c>
      <c r="CP741" s="8">
        <f t="shared" si="547"/>
        <v>0</v>
      </c>
      <c r="CQ741" s="8">
        <f t="shared" si="548"/>
        <v>0</v>
      </c>
      <c r="CR741" s="8">
        <f t="shared" si="549"/>
        <v>0</v>
      </c>
      <c r="CS741" s="8">
        <f t="shared" si="550"/>
        <v>0</v>
      </c>
      <c r="CT741" s="8">
        <f t="shared" si="555"/>
        <v>0</v>
      </c>
      <c r="CU741" s="8">
        <f t="shared" si="556"/>
        <v>0</v>
      </c>
      <c r="CV741" s="8">
        <f t="shared" si="557"/>
        <v>0</v>
      </c>
    </row>
    <row r="742" spans="1:100" ht="20.5" thickTop="1" thickBot="1" x14ac:dyDescent="0.5">
      <c r="A742" s="32"/>
      <c r="B742" s="10"/>
      <c r="C742" s="10"/>
      <c r="D742" s="11"/>
      <c r="E742" s="10"/>
      <c r="F742" s="10"/>
      <c r="G742" s="19"/>
      <c r="H742" s="19"/>
      <c r="I742" s="19"/>
      <c r="J742" s="19"/>
      <c r="K742" s="10"/>
      <c r="L742" s="10"/>
      <c r="M742" s="10"/>
      <c r="N742" s="10"/>
      <c r="O742" s="18"/>
      <c r="P742" s="18"/>
      <c r="Q742" s="21"/>
      <c r="R742" s="20"/>
      <c r="S742" s="16">
        <f t="shared" si="513"/>
        <v>0</v>
      </c>
      <c r="T742" s="11"/>
      <c r="AS742" s="31">
        <f t="shared" si="514"/>
        <v>0</v>
      </c>
      <c r="AT742" s="31">
        <f t="shared" si="515"/>
        <v>0</v>
      </c>
      <c r="AU742" s="31">
        <f t="shared" si="516"/>
        <v>0</v>
      </c>
      <c r="AV742" s="31">
        <f t="shared" si="517"/>
        <v>0</v>
      </c>
      <c r="AW742" s="31">
        <f t="shared" si="518"/>
        <v>0</v>
      </c>
      <c r="AX742" s="31">
        <f t="shared" si="519"/>
        <v>0</v>
      </c>
      <c r="AY742" s="31">
        <f t="shared" si="520"/>
        <v>0</v>
      </c>
      <c r="AZ742" s="31">
        <f t="shared" si="521"/>
        <v>0</v>
      </c>
      <c r="BA742" s="31">
        <f t="shared" si="522"/>
        <v>0</v>
      </c>
      <c r="BB742" s="31">
        <f t="shared" si="551"/>
        <v>0</v>
      </c>
      <c r="BM742" s="8">
        <f t="shared" si="552"/>
        <v>0</v>
      </c>
      <c r="BN742" s="8">
        <f t="shared" si="523"/>
        <v>0</v>
      </c>
      <c r="BO742" s="8">
        <f t="shared" si="524"/>
        <v>0</v>
      </c>
      <c r="BQ742" s="8">
        <f t="shared" si="525"/>
        <v>0</v>
      </c>
      <c r="BR742" s="63">
        <f t="shared" si="526"/>
        <v>0</v>
      </c>
      <c r="BS742" s="63">
        <f t="shared" si="553"/>
        <v>0</v>
      </c>
      <c r="BT742" s="63">
        <f t="shared" si="527"/>
        <v>0</v>
      </c>
      <c r="BU742" s="63">
        <f t="shared" si="528"/>
        <v>0</v>
      </c>
      <c r="BV742" s="57">
        <f t="shared" si="529"/>
        <v>0</v>
      </c>
      <c r="BW742" s="57">
        <f t="shared" si="530"/>
        <v>0</v>
      </c>
      <c r="BX742" s="57">
        <f t="shared" si="554"/>
        <v>0</v>
      </c>
      <c r="BY742" s="57">
        <f t="shared" si="558"/>
        <v>0</v>
      </c>
      <c r="BZ742" s="8">
        <f t="shared" si="531"/>
        <v>0</v>
      </c>
      <c r="CA742" s="8">
        <f t="shared" si="532"/>
        <v>0</v>
      </c>
      <c r="CB742" s="8">
        <f t="shared" si="533"/>
        <v>0</v>
      </c>
      <c r="CC742" s="8">
        <f t="shared" si="534"/>
        <v>0</v>
      </c>
      <c r="CD742" s="8">
        <f t="shared" si="535"/>
        <v>0</v>
      </c>
      <c r="CE742" s="8">
        <f t="shared" si="536"/>
        <v>0</v>
      </c>
      <c r="CF742" s="8">
        <f t="shared" si="537"/>
        <v>0</v>
      </c>
      <c r="CG742" s="8">
        <f t="shared" si="538"/>
        <v>0</v>
      </c>
      <c r="CH742" s="8">
        <f t="shared" si="539"/>
        <v>0</v>
      </c>
      <c r="CI742" s="8">
        <f t="shared" si="540"/>
        <v>0</v>
      </c>
      <c r="CJ742" s="8">
        <f t="shared" si="541"/>
        <v>0</v>
      </c>
      <c r="CK742" s="8">
        <f t="shared" si="542"/>
        <v>0</v>
      </c>
      <c r="CL742" s="8">
        <f t="shared" si="543"/>
        <v>0</v>
      </c>
      <c r="CM742" s="8">
        <f t="shared" si="544"/>
        <v>0</v>
      </c>
      <c r="CN742" s="8">
        <f t="shared" si="545"/>
        <v>0</v>
      </c>
      <c r="CO742" s="8">
        <f t="shared" si="546"/>
        <v>0</v>
      </c>
      <c r="CP742" s="8">
        <f t="shared" si="547"/>
        <v>0</v>
      </c>
      <c r="CQ742" s="8">
        <f t="shared" si="548"/>
        <v>0</v>
      </c>
      <c r="CR742" s="8">
        <f t="shared" si="549"/>
        <v>0</v>
      </c>
      <c r="CS742" s="8">
        <f t="shared" si="550"/>
        <v>0</v>
      </c>
      <c r="CT742" s="8">
        <f t="shared" si="555"/>
        <v>0</v>
      </c>
      <c r="CU742" s="8">
        <f t="shared" si="556"/>
        <v>0</v>
      </c>
      <c r="CV742" s="8">
        <f t="shared" si="557"/>
        <v>0</v>
      </c>
    </row>
    <row r="743" spans="1:100" ht="20.5" thickTop="1" thickBot="1" x14ac:dyDescent="0.5">
      <c r="A743" s="32"/>
      <c r="B743" s="10"/>
      <c r="C743" s="10"/>
      <c r="D743" s="11"/>
      <c r="E743" s="10"/>
      <c r="F743" s="10"/>
      <c r="G743" s="19"/>
      <c r="H743" s="19"/>
      <c r="I743" s="19"/>
      <c r="J743" s="19"/>
      <c r="K743" s="10"/>
      <c r="L743" s="10"/>
      <c r="M743" s="10"/>
      <c r="N743" s="10"/>
      <c r="O743" s="18"/>
      <c r="P743" s="18"/>
      <c r="Q743" s="21"/>
      <c r="R743" s="20"/>
      <c r="S743" s="16">
        <f t="shared" si="513"/>
        <v>0</v>
      </c>
      <c r="T743" s="11"/>
      <c r="AS743" s="31">
        <f t="shared" si="514"/>
        <v>0</v>
      </c>
      <c r="AT743" s="31">
        <f t="shared" si="515"/>
        <v>0</v>
      </c>
      <c r="AU743" s="31">
        <f t="shared" si="516"/>
        <v>0</v>
      </c>
      <c r="AV743" s="31">
        <f t="shared" si="517"/>
        <v>0</v>
      </c>
      <c r="AW743" s="31">
        <f t="shared" si="518"/>
        <v>0</v>
      </c>
      <c r="AX743" s="31">
        <f t="shared" si="519"/>
        <v>0</v>
      </c>
      <c r="AY743" s="31">
        <f t="shared" si="520"/>
        <v>0</v>
      </c>
      <c r="AZ743" s="31">
        <f t="shared" si="521"/>
        <v>0</v>
      </c>
      <c r="BA743" s="31">
        <f t="shared" si="522"/>
        <v>0</v>
      </c>
      <c r="BB743" s="31">
        <f t="shared" si="551"/>
        <v>0</v>
      </c>
      <c r="BM743" s="8">
        <f t="shared" si="552"/>
        <v>0</v>
      </c>
      <c r="BN743" s="8">
        <f t="shared" si="523"/>
        <v>0</v>
      </c>
      <c r="BO743" s="8">
        <f t="shared" si="524"/>
        <v>0</v>
      </c>
      <c r="BQ743" s="8">
        <f t="shared" si="525"/>
        <v>0</v>
      </c>
      <c r="BR743" s="63">
        <f t="shared" si="526"/>
        <v>0</v>
      </c>
      <c r="BS743" s="63">
        <f t="shared" si="553"/>
        <v>0</v>
      </c>
      <c r="BT743" s="63">
        <f t="shared" si="527"/>
        <v>0</v>
      </c>
      <c r="BU743" s="63">
        <f t="shared" si="528"/>
        <v>0</v>
      </c>
      <c r="BV743" s="57">
        <f t="shared" si="529"/>
        <v>0</v>
      </c>
      <c r="BW743" s="57">
        <f t="shared" si="530"/>
        <v>0</v>
      </c>
      <c r="BX743" s="57">
        <f t="shared" si="554"/>
        <v>0</v>
      </c>
      <c r="BY743" s="57">
        <f t="shared" si="558"/>
        <v>0</v>
      </c>
      <c r="BZ743" s="8">
        <f t="shared" si="531"/>
        <v>0</v>
      </c>
      <c r="CA743" s="8">
        <f t="shared" si="532"/>
        <v>0</v>
      </c>
      <c r="CB743" s="8">
        <f t="shared" si="533"/>
        <v>0</v>
      </c>
      <c r="CC743" s="8">
        <f t="shared" si="534"/>
        <v>0</v>
      </c>
      <c r="CD743" s="8">
        <f t="shared" si="535"/>
        <v>0</v>
      </c>
      <c r="CE743" s="8">
        <f t="shared" si="536"/>
        <v>0</v>
      </c>
      <c r="CF743" s="8">
        <f t="shared" si="537"/>
        <v>0</v>
      </c>
      <c r="CG743" s="8">
        <f t="shared" si="538"/>
        <v>0</v>
      </c>
      <c r="CH743" s="8">
        <f t="shared" si="539"/>
        <v>0</v>
      </c>
      <c r="CI743" s="8">
        <f t="shared" si="540"/>
        <v>0</v>
      </c>
      <c r="CJ743" s="8">
        <f t="shared" si="541"/>
        <v>0</v>
      </c>
      <c r="CK743" s="8">
        <f t="shared" si="542"/>
        <v>0</v>
      </c>
      <c r="CL743" s="8">
        <f t="shared" si="543"/>
        <v>0</v>
      </c>
      <c r="CM743" s="8">
        <f t="shared" si="544"/>
        <v>0</v>
      </c>
      <c r="CN743" s="8">
        <f t="shared" si="545"/>
        <v>0</v>
      </c>
      <c r="CO743" s="8">
        <f t="shared" si="546"/>
        <v>0</v>
      </c>
      <c r="CP743" s="8">
        <f t="shared" si="547"/>
        <v>0</v>
      </c>
      <c r="CQ743" s="8">
        <f t="shared" si="548"/>
        <v>0</v>
      </c>
      <c r="CR743" s="8">
        <f t="shared" si="549"/>
        <v>0</v>
      </c>
      <c r="CS743" s="8">
        <f t="shared" si="550"/>
        <v>0</v>
      </c>
      <c r="CT743" s="8">
        <f t="shared" si="555"/>
        <v>0</v>
      </c>
      <c r="CU743" s="8">
        <f t="shared" si="556"/>
        <v>0</v>
      </c>
      <c r="CV743" s="8">
        <f t="shared" si="557"/>
        <v>0</v>
      </c>
    </row>
    <row r="744" spans="1:100" ht="20.5" thickTop="1" thickBot="1" x14ac:dyDescent="0.5">
      <c r="A744" s="32"/>
      <c r="B744" s="10"/>
      <c r="C744" s="10"/>
      <c r="D744" s="11"/>
      <c r="E744" s="10"/>
      <c r="F744" s="10"/>
      <c r="G744" s="19"/>
      <c r="H744" s="19"/>
      <c r="I744" s="19"/>
      <c r="J744" s="19"/>
      <c r="K744" s="10"/>
      <c r="L744" s="10"/>
      <c r="M744" s="10"/>
      <c r="N744" s="10"/>
      <c r="O744" s="18"/>
      <c r="P744" s="18"/>
      <c r="Q744" s="21"/>
      <c r="R744" s="20"/>
      <c r="S744" s="16">
        <f t="shared" si="513"/>
        <v>0</v>
      </c>
      <c r="T744" s="11"/>
      <c r="AS744" s="31">
        <f t="shared" si="514"/>
        <v>0</v>
      </c>
      <c r="AT744" s="31">
        <f t="shared" si="515"/>
        <v>0</v>
      </c>
      <c r="AU744" s="31">
        <f t="shared" si="516"/>
        <v>0</v>
      </c>
      <c r="AV744" s="31">
        <f t="shared" si="517"/>
        <v>0</v>
      </c>
      <c r="AW744" s="31">
        <f t="shared" si="518"/>
        <v>0</v>
      </c>
      <c r="AX744" s="31">
        <f t="shared" si="519"/>
        <v>0</v>
      </c>
      <c r="AY744" s="31">
        <f t="shared" si="520"/>
        <v>0</v>
      </c>
      <c r="AZ744" s="31">
        <f t="shared" si="521"/>
        <v>0</v>
      </c>
      <c r="BA744" s="31">
        <f t="shared" si="522"/>
        <v>0</v>
      </c>
      <c r="BB744" s="31">
        <f t="shared" si="551"/>
        <v>0</v>
      </c>
      <c r="BM744" s="8">
        <f t="shared" si="552"/>
        <v>0</v>
      </c>
      <c r="BN744" s="8">
        <f t="shared" si="523"/>
        <v>0</v>
      </c>
      <c r="BO744" s="8">
        <f t="shared" si="524"/>
        <v>0</v>
      </c>
      <c r="BQ744" s="8">
        <f t="shared" si="525"/>
        <v>0</v>
      </c>
      <c r="BR744" s="63">
        <f t="shared" si="526"/>
        <v>0</v>
      </c>
      <c r="BS744" s="63">
        <f t="shared" si="553"/>
        <v>0</v>
      </c>
      <c r="BT744" s="63">
        <f t="shared" si="527"/>
        <v>0</v>
      </c>
      <c r="BU744" s="63">
        <f t="shared" si="528"/>
        <v>0</v>
      </c>
      <c r="BV744" s="57">
        <f t="shared" si="529"/>
        <v>0</v>
      </c>
      <c r="BW744" s="57">
        <f t="shared" si="530"/>
        <v>0</v>
      </c>
      <c r="BX744" s="57">
        <f t="shared" si="554"/>
        <v>0</v>
      </c>
      <c r="BY744" s="57">
        <f t="shared" si="558"/>
        <v>0</v>
      </c>
      <c r="BZ744" s="8">
        <f t="shared" si="531"/>
        <v>0</v>
      </c>
      <c r="CA744" s="8">
        <f t="shared" si="532"/>
        <v>0</v>
      </c>
      <c r="CB744" s="8">
        <f t="shared" si="533"/>
        <v>0</v>
      </c>
      <c r="CC744" s="8">
        <f t="shared" si="534"/>
        <v>0</v>
      </c>
      <c r="CD744" s="8">
        <f t="shared" si="535"/>
        <v>0</v>
      </c>
      <c r="CE744" s="8">
        <f t="shared" si="536"/>
        <v>0</v>
      </c>
      <c r="CF744" s="8">
        <f t="shared" si="537"/>
        <v>0</v>
      </c>
      <c r="CG744" s="8">
        <f t="shared" si="538"/>
        <v>0</v>
      </c>
      <c r="CH744" s="8">
        <f t="shared" si="539"/>
        <v>0</v>
      </c>
      <c r="CI744" s="8">
        <f t="shared" si="540"/>
        <v>0</v>
      </c>
      <c r="CJ744" s="8">
        <f t="shared" si="541"/>
        <v>0</v>
      </c>
      <c r="CK744" s="8">
        <f t="shared" si="542"/>
        <v>0</v>
      </c>
      <c r="CL744" s="8">
        <f t="shared" si="543"/>
        <v>0</v>
      </c>
      <c r="CM744" s="8">
        <f t="shared" si="544"/>
        <v>0</v>
      </c>
      <c r="CN744" s="8">
        <f t="shared" si="545"/>
        <v>0</v>
      </c>
      <c r="CO744" s="8">
        <f t="shared" si="546"/>
        <v>0</v>
      </c>
      <c r="CP744" s="8">
        <f t="shared" si="547"/>
        <v>0</v>
      </c>
      <c r="CQ744" s="8">
        <f t="shared" si="548"/>
        <v>0</v>
      </c>
      <c r="CR744" s="8">
        <f t="shared" si="549"/>
        <v>0</v>
      </c>
      <c r="CS744" s="8">
        <f t="shared" si="550"/>
        <v>0</v>
      </c>
      <c r="CT744" s="8">
        <f t="shared" si="555"/>
        <v>0</v>
      </c>
      <c r="CU744" s="8">
        <f t="shared" si="556"/>
        <v>0</v>
      </c>
      <c r="CV744" s="8">
        <f t="shared" si="557"/>
        <v>0</v>
      </c>
    </row>
    <row r="745" spans="1:100" ht="20.5" thickTop="1" thickBot="1" x14ac:dyDescent="0.5">
      <c r="A745" s="32"/>
      <c r="B745" s="10"/>
      <c r="C745" s="10"/>
      <c r="D745" s="11"/>
      <c r="E745" s="10"/>
      <c r="F745" s="10"/>
      <c r="G745" s="19"/>
      <c r="H745" s="19"/>
      <c r="I745" s="19"/>
      <c r="J745" s="19"/>
      <c r="K745" s="10"/>
      <c r="L745" s="10"/>
      <c r="M745" s="10"/>
      <c r="N745" s="10"/>
      <c r="O745" s="18"/>
      <c r="P745" s="18"/>
      <c r="Q745" s="21"/>
      <c r="R745" s="20"/>
      <c r="S745" s="16">
        <f t="shared" si="513"/>
        <v>0</v>
      </c>
      <c r="T745" s="11"/>
      <c r="AS745" s="31">
        <f t="shared" si="514"/>
        <v>0</v>
      </c>
      <c r="AT745" s="31">
        <f t="shared" si="515"/>
        <v>0</v>
      </c>
      <c r="AU745" s="31">
        <f t="shared" si="516"/>
        <v>0</v>
      </c>
      <c r="AV745" s="31">
        <f t="shared" si="517"/>
        <v>0</v>
      </c>
      <c r="AW745" s="31">
        <f t="shared" si="518"/>
        <v>0</v>
      </c>
      <c r="AX745" s="31">
        <f t="shared" si="519"/>
        <v>0</v>
      </c>
      <c r="AY745" s="31">
        <f t="shared" si="520"/>
        <v>0</v>
      </c>
      <c r="AZ745" s="31">
        <f t="shared" si="521"/>
        <v>0</v>
      </c>
      <c r="BA745" s="31">
        <f t="shared" si="522"/>
        <v>0</v>
      </c>
      <c r="BB745" s="31">
        <f t="shared" si="551"/>
        <v>0</v>
      </c>
      <c r="BM745" s="8">
        <f t="shared" si="552"/>
        <v>0</v>
      </c>
      <c r="BN745" s="8">
        <f t="shared" si="523"/>
        <v>0</v>
      </c>
      <c r="BO745" s="8">
        <f t="shared" si="524"/>
        <v>0</v>
      </c>
      <c r="BQ745" s="8">
        <f t="shared" si="525"/>
        <v>0</v>
      </c>
      <c r="BR745" s="63">
        <f t="shared" si="526"/>
        <v>0</v>
      </c>
      <c r="BS745" s="63">
        <f t="shared" si="553"/>
        <v>0</v>
      </c>
      <c r="BT745" s="63">
        <f t="shared" si="527"/>
        <v>0</v>
      </c>
      <c r="BU745" s="63">
        <f t="shared" si="528"/>
        <v>0</v>
      </c>
      <c r="BV745" s="57">
        <f t="shared" si="529"/>
        <v>0</v>
      </c>
      <c r="BW745" s="57">
        <f t="shared" si="530"/>
        <v>0</v>
      </c>
      <c r="BX745" s="57">
        <f t="shared" si="554"/>
        <v>0</v>
      </c>
      <c r="BY745" s="57">
        <f t="shared" si="558"/>
        <v>0</v>
      </c>
      <c r="BZ745" s="8">
        <f t="shared" si="531"/>
        <v>0</v>
      </c>
      <c r="CA745" s="8">
        <f t="shared" si="532"/>
        <v>0</v>
      </c>
      <c r="CB745" s="8">
        <f t="shared" si="533"/>
        <v>0</v>
      </c>
      <c r="CC745" s="8">
        <f t="shared" si="534"/>
        <v>0</v>
      </c>
      <c r="CD745" s="8">
        <f t="shared" si="535"/>
        <v>0</v>
      </c>
      <c r="CE745" s="8">
        <f t="shared" si="536"/>
        <v>0</v>
      </c>
      <c r="CF745" s="8">
        <f t="shared" si="537"/>
        <v>0</v>
      </c>
      <c r="CG745" s="8">
        <f t="shared" si="538"/>
        <v>0</v>
      </c>
      <c r="CH745" s="8">
        <f t="shared" si="539"/>
        <v>0</v>
      </c>
      <c r="CI745" s="8">
        <f t="shared" si="540"/>
        <v>0</v>
      </c>
      <c r="CJ745" s="8">
        <f t="shared" si="541"/>
        <v>0</v>
      </c>
      <c r="CK745" s="8">
        <f t="shared" si="542"/>
        <v>0</v>
      </c>
      <c r="CL745" s="8">
        <f t="shared" si="543"/>
        <v>0</v>
      </c>
      <c r="CM745" s="8">
        <f t="shared" si="544"/>
        <v>0</v>
      </c>
      <c r="CN745" s="8">
        <f t="shared" si="545"/>
        <v>0</v>
      </c>
      <c r="CO745" s="8">
        <f t="shared" si="546"/>
        <v>0</v>
      </c>
      <c r="CP745" s="8">
        <f t="shared" si="547"/>
        <v>0</v>
      </c>
      <c r="CQ745" s="8">
        <f t="shared" si="548"/>
        <v>0</v>
      </c>
      <c r="CR745" s="8">
        <f t="shared" si="549"/>
        <v>0</v>
      </c>
      <c r="CS745" s="8">
        <f t="shared" si="550"/>
        <v>0</v>
      </c>
      <c r="CT745" s="8">
        <f t="shared" si="555"/>
        <v>0</v>
      </c>
      <c r="CU745" s="8">
        <f t="shared" si="556"/>
        <v>0</v>
      </c>
      <c r="CV745" s="8">
        <f t="shared" si="557"/>
        <v>0</v>
      </c>
    </row>
    <row r="746" spans="1:100" ht="20.5" thickTop="1" thickBot="1" x14ac:dyDescent="0.5">
      <c r="A746" s="32"/>
      <c r="B746" s="10"/>
      <c r="C746" s="10"/>
      <c r="D746" s="11"/>
      <c r="E746" s="10"/>
      <c r="F746" s="10"/>
      <c r="G746" s="19"/>
      <c r="H746" s="19"/>
      <c r="I746" s="19"/>
      <c r="J746" s="19"/>
      <c r="K746" s="10"/>
      <c r="L746" s="10"/>
      <c r="M746" s="10"/>
      <c r="N746" s="10"/>
      <c r="O746" s="18"/>
      <c r="P746" s="18"/>
      <c r="Q746" s="21"/>
      <c r="R746" s="20"/>
      <c r="S746" s="16">
        <f t="shared" si="513"/>
        <v>0</v>
      </c>
      <c r="T746" s="11"/>
      <c r="AS746" s="31">
        <f t="shared" si="514"/>
        <v>0</v>
      </c>
      <c r="AT746" s="31">
        <f t="shared" si="515"/>
        <v>0</v>
      </c>
      <c r="AU746" s="31">
        <f t="shared" si="516"/>
        <v>0</v>
      </c>
      <c r="AV746" s="31">
        <f t="shared" si="517"/>
        <v>0</v>
      </c>
      <c r="AW746" s="31">
        <f t="shared" si="518"/>
        <v>0</v>
      </c>
      <c r="AX746" s="31">
        <f t="shared" si="519"/>
        <v>0</v>
      </c>
      <c r="AY746" s="31">
        <f t="shared" si="520"/>
        <v>0</v>
      </c>
      <c r="AZ746" s="31">
        <f t="shared" si="521"/>
        <v>0</v>
      </c>
      <c r="BA746" s="31">
        <f t="shared" si="522"/>
        <v>0</v>
      </c>
      <c r="BB746" s="31">
        <f t="shared" si="551"/>
        <v>0</v>
      </c>
      <c r="BM746" s="8">
        <f t="shared" si="552"/>
        <v>0</v>
      </c>
      <c r="BN746" s="8">
        <f t="shared" si="523"/>
        <v>0</v>
      </c>
      <c r="BO746" s="8">
        <f t="shared" si="524"/>
        <v>0</v>
      </c>
      <c r="BQ746" s="8">
        <f t="shared" si="525"/>
        <v>0</v>
      </c>
      <c r="BR746" s="63">
        <f t="shared" si="526"/>
        <v>0</v>
      </c>
      <c r="BS746" s="63">
        <f t="shared" si="553"/>
        <v>0</v>
      </c>
      <c r="BT746" s="63">
        <f t="shared" si="527"/>
        <v>0</v>
      </c>
      <c r="BU746" s="63">
        <f t="shared" si="528"/>
        <v>0</v>
      </c>
      <c r="BV746" s="57">
        <f t="shared" si="529"/>
        <v>0</v>
      </c>
      <c r="BW746" s="57">
        <f t="shared" si="530"/>
        <v>0</v>
      </c>
      <c r="BX746" s="57">
        <f t="shared" si="554"/>
        <v>0</v>
      </c>
      <c r="BY746" s="57">
        <f t="shared" si="558"/>
        <v>0</v>
      </c>
      <c r="BZ746" s="8">
        <f t="shared" si="531"/>
        <v>0</v>
      </c>
      <c r="CA746" s="8">
        <f t="shared" si="532"/>
        <v>0</v>
      </c>
      <c r="CB746" s="8">
        <f t="shared" si="533"/>
        <v>0</v>
      </c>
      <c r="CC746" s="8">
        <f t="shared" si="534"/>
        <v>0</v>
      </c>
      <c r="CD746" s="8">
        <f t="shared" si="535"/>
        <v>0</v>
      </c>
      <c r="CE746" s="8">
        <f t="shared" si="536"/>
        <v>0</v>
      </c>
      <c r="CF746" s="8">
        <f t="shared" si="537"/>
        <v>0</v>
      </c>
      <c r="CG746" s="8">
        <f t="shared" si="538"/>
        <v>0</v>
      </c>
      <c r="CH746" s="8">
        <f t="shared" si="539"/>
        <v>0</v>
      </c>
      <c r="CI746" s="8">
        <f t="shared" si="540"/>
        <v>0</v>
      </c>
      <c r="CJ746" s="8">
        <f t="shared" si="541"/>
        <v>0</v>
      </c>
      <c r="CK746" s="8">
        <f t="shared" si="542"/>
        <v>0</v>
      </c>
      <c r="CL746" s="8">
        <f t="shared" si="543"/>
        <v>0</v>
      </c>
      <c r="CM746" s="8">
        <f t="shared" si="544"/>
        <v>0</v>
      </c>
      <c r="CN746" s="8">
        <f t="shared" si="545"/>
        <v>0</v>
      </c>
      <c r="CO746" s="8">
        <f t="shared" si="546"/>
        <v>0</v>
      </c>
      <c r="CP746" s="8">
        <f t="shared" si="547"/>
        <v>0</v>
      </c>
      <c r="CQ746" s="8">
        <f t="shared" si="548"/>
        <v>0</v>
      </c>
      <c r="CR746" s="8">
        <f t="shared" si="549"/>
        <v>0</v>
      </c>
      <c r="CS746" s="8">
        <f t="shared" si="550"/>
        <v>0</v>
      </c>
      <c r="CT746" s="8">
        <f t="shared" si="555"/>
        <v>0</v>
      </c>
      <c r="CU746" s="8">
        <f t="shared" si="556"/>
        <v>0</v>
      </c>
      <c r="CV746" s="8">
        <f t="shared" si="557"/>
        <v>0</v>
      </c>
    </row>
    <row r="747" spans="1:100" ht="20.5" thickTop="1" thickBot="1" x14ac:dyDescent="0.5">
      <c r="A747" s="32"/>
      <c r="B747" s="10"/>
      <c r="C747" s="10"/>
      <c r="D747" s="11"/>
      <c r="E747" s="10"/>
      <c r="F747" s="10"/>
      <c r="G747" s="19"/>
      <c r="H747" s="19"/>
      <c r="I747" s="19"/>
      <c r="J747" s="19"/>
      <c r="K747" s="10"/>
      <c r="L747" s="10"/>
      <c r="M747" s="10"/>
      <c r="N747" s="10"/>
      <c r="O747" s="18"/>
      <c r="P747" s="18"/>
      <c r="Q747" s="21"/>
      <c r="R747" s="20"/>
      <c r="S747" s="16">
        <f t="shared" si="513"/>
        <v>0</v>
      </c>
      <c r="T747" s="11"/>
      <c r="AS747" s="31">
        <f t="shared" si="514"/>
        <v>0</v>
      </c>
      <c r="AT747" s="31">
        <f t="shared" si="515"/>
        <v>0</v>
      </c>
      <c r="AU747" s="31">
        <f t="shared" si="516"/>
        <v>0</v>
      </c>
      <c r="AV747" s="31">
        <f t="shared" si="517"/>
        <v>0</v>
      </c>
      <c r="AW747" s="31">
        <f t="shared" si="518"/>
        <v>0</v>
      </c>
      <c r="AX747" s="31">
        <f t="shared" si="519"/>
        <v>0</v>
      </c>
      <c r="AY747" s="31">
        <f t="shared" si="520"/>
        <v>0</v>
      </c>
      <c r="AZ747" s="31">
        <f t="shared" si="521"/>
        <v>0</v>
      </c>
      <c r="BA747" s="31">
        <f t="shared" si="522"/>
        <v>0</v>
      </c>
      <c r="BB747" s="31">
        <f t="shared" si="551"/>
        <v>0</v>
      </c>
      <c r="BM747" s="8">
        <f t="shared" si="552"/>
        <v>0</v>
      </c>
      <c r="BN747" s="8">
        <f t="shared" si="523"/>
        <v>0</v>
      </c>
      <c r="BO747" s="8">
        <f t="shared" si="524"/>
        <v>0</v>
      </c>
      <c r="BQ747" s="8">
        <f t="shared" si="525"/>
        <v>0</v>
      </c>
      <c r="BR747" s="63">
        <f t="shared" si="526"/>
        <v>0</v>
      </c>
      <c r="BS747" s="63">
        <f t="shared" si="553"/>
        <v>0</v>
      </c>
      <c r="BT747" s="63">
        <f t="shared" si="527"/>
        <v>0</v>
      </c>
      <c r="BU747" s="63">
        <f t="shared" si="528"/>
        <v>0</v>
      </c>
      <c r="BV747" s="57">
        <f t="shared" si="529"/>
        <v>0</v>
      </c>
      <c r="BW747" s="57">
        <f t="shared" si="530"/>
        <v>0</v>
      </c>
      <c r="BX747" s="57">
        <f t="shared" si="554"/>
        <v>0</v>
      </c>
      <c r="BY747" s="57">
        <f t="shared" si="558"/>
        <v>0</v>
      </c>
      <c r="BZ747" s="8">
        <f t="shared" si="531"/>
        <v>0</v>
      </c>
      <c r="CA747" s="8">
        <f t="shared" si="532"/>
        <v>0</v>
      </c>
      <c r="CB747" s="8">
        <f t="shared" si="533"/>
        <v>0</v>
      </c>
      <c r="CC747" s="8">
        <f t="shared" si="534"/>
        <v>0</v>
      </c>
      <c r="CD747" s="8">
        <f t="shared" si="535"/>
        <v>0</v>
      </c>
      <c r="CE747" s="8">
        <f t="shared" si="536"/>
        <v>0</v>
      </c>
      <c r="CF747" s="8">
        <f t="shared" si="537"/>
        <v>0</v>
      </c>
      <c r="CG747" s="8">
        <f t="shared" si="538"/>
        <v>0</v>
      </c>
      <c r="CH747" s="8">
        <f t="shared" si="539"/>
        <v>0</v>
      </c>
      <c r="CI747" s="8">
        <f t="shared" si="540"/>
        <v>0</v>
      </c>
      <c r="CJ747" s="8">
        <f t="shared" si="541"/>
        <v>0</v>
      </c>
      <c r="CK747" s="8">
        <f t="shared" si="542"/>
        <v>0</v>
      </c>
      <c r="CL747" s="8">
        <f t="shared" si="543"/>
        <v>0</v>
      </c>
      <c r="CM747" s="8">
        <f t="shared" si="544"/>
        <v>0</v>
      </c>
      <c r="CN747" s="8">
        <f t="shared" si="545"/>
        <v>0</v>
      </c>
      <c r="CO747" s="8">
        <f t="shared" si="546"/>
        <v>0</v>
      </c>
      <c r="CP747" s="8">
        <f t="shared" si="547"/>
        <v>0</v>
      </c>
      <c r="CQ747" s="8">
        <f t="shared" si="548"/>
        <v>0</v>
      </c>
      <c r="CR747" s="8">
        <f t="shared" si="549"/>
        <v>0</v>
      </c>
      <c r="CS747" s="8">
        <f t="shared" si="550"/>
        <v>0</v>
      </c>
      <c r="CT747" s="8">
        <f t="shared" si="555"/>
        <v>0</v>
      </c>
      <c r="CU747" s="8">
        <f t="shared" si="556"/>
        <v>0</v>
      </c>
      <c r="CV747" s="8">
        <f t="shared" si="557"/>
        <v>0</v>
      </c>
    </row>
    <row r="748" spans="1:100" ht="20.5" thickTop="1" thickBot="1" x14ac:dyDescent="0.5">
      <c r="A748" s="32"/>
      <c r="B748" s="10"/>
      <c r="C748" s="10"/>
      <c r="D748" s="11"/>
      <c r="E748" s="10"/>
      <c r="F748" s="10"/>
      <c r="G748" s="19"/>
      <c r="H748" s="19"/>
      <c r="I748" s="19"/>
      <c r="J748" s="19"/>
      <c r="K748" s="10"/>
      <c r="L748" s="10"/>
      <c r="M748" s="10"/>
      <c r="N748" s="10"/>
      <c r="O748" s="18"/>
      <c r="P748" s="18"/>
      <c r="Q748" s="21"/>
      <c r="R748" s="20"/>
      <c r="S748" s="16">
        <f t="shared" si="513"/>
        <v>0</v>
      </c>
      <c r="T748" s="11"/>
      <c r="AS748" s="31">
        <f t="shared" si="514"/>
        <v>0</v>
      </c>
      <c r="AT748" s="31">
        <f t="shared" si="515"/>
        <v>0</v>
      </c>
      <c r="AU748" s="31">
        <f t="shared" si="516"/>
        <v>0</v>
      </c>
      <c r="AV748" s="31">
        <f t="shared" si="517"/>
        <v>0</v>
      </c>
      <c r="AW748" s="31">
        <f t="shared" si="518"/>
        <v>0</v>
      </c>
      <c r="AX748" s="31">
        <f t="shared" si="519"/>
        <v>0</v>
      </c>
      <c r="AY748" s="31">
        <f t="shared" si="520"/>
        <v>0</v>
      </c>
      <c r="AZ748" s="31">
        <f t="shared" si="521"/>
        <v>0</v>
      </c>
      <c r="BA748" s="31">
        <f t="shared" si="522"/>
        <v>0</v>
      </c>
      <c r="BB748" s="31">
        <f t="shared" si="551"/>
        <v>0</v>
      </c>
      <c r="BM748" s="8">
        <f t="shared" si="552"/>
        <v>0</v>
      </c>
      <c r="BN748" s="8">
        <f t="shared" si="523"/>
        <v>0</v>
      </c>
      <c r="BO748" s="8">
        <f t="shared" si="524"/>
        <v>0</v>
      </c>
      <c r="BQ748" s="8">
        <f t="shared" si="525"/>
        <v>0</v>
      </c>
      <c r="BR748" s="63">
        <f t="shared" si="526"/>
        <v>0</v>
      </c>
      <c r="BS748" s="63">
        <f t="shared" si="553"/>
        <v>0</v>
      </c>
      <c r="BT748" s="63">
        <f t="shared" si="527"/>
        <v>0</v>
      </c>
      <c r="BU748" s="63">
        <f t="shared" si="528"/>
        <v>0</v>
      </c>
      <c r="BV748" s="57">
        <f t="shared" si="529"/>
        <v>0</v>
      </c>
      <c r="BW748" s="57">
        <f t="shared" si="530"/>
        <v>0</v>
      </c>
      <c r="BX748" s="57">
        <f t="shared" si="554"/>
        <v>0</v>
      </c>
      <c r="BY748" s="57">
        <f t="shared" si="558"/>
        <v>0</v>
      </c>
      <c r="BZ748" s="8">
        <f t="shared" si="531"/>
        <v>0</v>
      </c>
      <c r="CA748" s="8">
        <f t="shared" si="532"/>
        <v>0</v>
      </c>
      <c r="CB748" s="8">
        <f t="shared" si="533"/>
        <v>0</v>
      </c>
      <c r="CC748" s="8">
        <f t="shared" si="534"/>
        <v>0</v>
      </c>
      <c r="CD748" s="8">
        <f t="shared" si="535"/>
        <v>0</v>
      </c>
      <c r="CE748" s="8">
        <f t="shared" si="536"/>
        <v>0</v>
      </c>
      <c r="CF748" s="8">
        <f t="shared" si="537"/>
        <v>0</v>
      </c>
      <c r="CG748" s="8">
        <f t="shared" si="538"/>
        <v>0</v>
      </c>
      <c r="CH748" s="8">
        <f t="shared" si="539"/>
        <v>0</v>
      </c>
      <c r="CI748" s="8">
        <f t="shared" si="540"/>
        <v>0</v>
      </c>
      <c r="CJ748" s="8">
        <f t="shared" si="541"/>
        <v>0</v>
      </c>
      <c r="CK748" s="8">
        <f t="shared" si="542"/>
        <v>0</v>
      </c>
      <c r="CL748" s="8">
        <f t="shared" si="543"/>
        <v>0</v>
      </c>
      <c r="CM748" s="8">
        <f t="shared" si="544"/>
        <v>0</v>
      </c>
      <c r="CN748" s="8">
        <f t="shared" si="545"/>
        <v>0</v>
      </c>
      <c r="CO748" s="8">
        <f t="shared" si="546"/>
        <v>0</v>
      </c>
      <c r="CP748" s="8">
        <f t="shared" si="547"/>
        <v>0</v>
      </c>
      <c r="CQ748" s="8">
        <f t="shared" si="548"/>
        <v>0</v>
      </c>
      <c r="CR748" s="8">
        <f t="shared" si="549"/>
        <v>0</v>
      </c>
      <c r="CS748" s="8">
        <f t="shared" si="550"/>
        <v>0</v>
      </c>
      <c r="CT748" s="8">
        <f t="shared" si="555"/>
        <v>0</v>
      </c>
      <c r="CU748" s="8">
        <f t="shared" si="556"/>
        <v>0</v>
      </c>
      <c r="CV748" s="8">
        <f t="shared" si="557"/>
        <v>0</v>
      </c>
    </row>
    <row r="749" spans="1:100" ht="20.5" thickTop="1" thickBot="1" x14ac:dyDescent="0.5">
      <c r="A749" s="32"/>
      <c r="B749" s="10"/>
      <c r="C749" s="10"/>
      <c r="D749" s="11"/>
      <c r="E749" s="10"/>
      <c r="F749" s="10"/>
      <c r="G749" s="19"/>
      <c r="H749" s="19"/>
      <c r="I749" s="19"/>
      <c r="J749" s="19"/>
      <c r="K749" s="10"/>
      <c r="L749" s="10"/>
      <c r="M749" s="10"/>
      <c r="N749" s="10"/>
      <c r="O749" s="18"/>
      <c r="P749" s="18"/>
      <c r="Q749" s="21"/>
      <c r="R749" s="20"/>
      <c r="S749" s="16">
        <f t="shared" si="513"/>
        <v>0</v>
      </c>
      <c r="T749" s="11"/>
      <c r="AS749" s="31">
        <f t="shared" si="514"/>
        <v>0</v>
      </c>
      <c r="AT749" s="31">
        <f t="shared" si="515"/>
        <v>0</v>
      </c>
      <c r="AU749" s="31">
        <f t="shared" si="516"/>
        <v>0</v>
      </c>
      <c r="AV749" s="31">
        <f t="shared" si="517"/>
        <v>0</v>
      </c>
      <c r="AW749" s="31">
        <f t="shared" si="518"/>
        <v>0</v>
      </c>
      <c r="AX749" s="31">
        <f t="shared" si="519"/>
        <v>0</v>
      </c>
      <c r="AY749" s="31">
        <f t="shared" si="520"/>
        <v>0</v>
      </c>
      <c r="AZ749" s="31">
        <f t="shared" si="521"/>
        <v>0</v>
      </c>
      <c r="BA749" s="31">
        <f t="shared" si="522"/>
        <v>0</v>
      </c>
      <c r="BB749" s="31">
        <f t="shared" si="551"/>
        <v>0</v>
      </c>
      <c r="BM749" s="8">
        <f t="shared" si="552"/>
        <v>0</v>
      </c>
      <c r="BN749" s="8">
        <f t="shared" si="523"/>
        <v>0</v>
      </c>
      <c r="BO749" s="8">
        <f t="shared" si="524"/>
        <v>0</v>
      </c>
      <c r="BQ749" s="8">
        <f t="shared" si="525"/>
        <v>0</v>
      </c>
      <c r="BR749" s="63">
        <f t="shared" si="526"/>
        <v>0</v>
      </c>
      <c r="BS749" s="63">
        <f t="shared" si="553"/>
        <v>0</v>
      </c>
      <c r="BT749" s="63">
        <f t="shared" si="527"/>
        <v>0</v>
      </c>
      <c r="BU749" s="63">
        <f t="shared" si="528"/>
        <v>0</v>
      </c>
      <c r="BV749" s="57">
        <f t="shared" si="529"/>
        <v>0</v>
      </c>
      <c r="BW749" s="57">
        <f t="shared" si="530"/>
        <v>0</v>
      </c>
      <c r="BX749" s="57">
        <f t="shared" si="554"/>
        <v>0</v>
      </c>
      <c r="BY749" s="57">
        <f t="shared" si="558"/>
        <v>0</v>
      </c>
      <c r="BZ749" s="8">
        <f t="shared" si="531"/>
        <v>0</v>
      </c>
      <c r="CA749" s="8">
        <f t="shared" si="532"/>
        <v>0</v>
      </c>
      <c r="CB749" s="8">
        <f t="shared" si="533"/>
        <v>0</v>
      </c>
      <c r="CC749" s="8">
        <f t="shared" si="534"/>
        <v>0</v>
      </c>
      <c r="CD749" s="8">
        <f t="shared" si="535"/>
        <v>0</v>
      </c>
      <c r="CE749" s="8">
        <f t="shared" si="536"/>
        <v>0</v>
      </c>
      <c r="CF749" s="8">
        <f t="shared" si="537"/>
        <v>0</v>
      </c>
      <c r="CG749" s="8">
        <f t="shared" si="538"/>
        <v>0</v>
      </c>
      <c r="CH749" s="8">
        <f t="shared" si="539"/>
        <v>0</v>
      </c>
      <c r="CI749" s="8">
        <f t="shared" si="540"/>
        <v>0</v>
      </c>
      <c r="CJ749" s="8">
        <f t="shared" si="541"/>
        <v>0</v>
      </c>
      <c r="CK749" s="8">
        <f t="shared" si="542"/>
        <v>0</v>
      </c>
      <c r="CL749" s="8">
        <f t="shared" si="543"/>
        <v>0</v>
      </c>
      <c r="CM749" s="8">
        <f t="shared" si="544"/>
        <v>0</v>
      </c>
      <c r="CN749" s="8">
        <f t="shared" si="545"/>
        <v>0</v>
      </c>
      <c r="CO749" s="8">
        <f t="shared" si="546"/>
        <v>0</v>
      </c>
      <c r="CP749" s="8">
        <f t="shared" si="547"/>
        <v>0</v>
      </c>
      <c r="CQ749" s="8">
        <f t="shared" si="548"/>
        <v>0</v>
      </c>
      <c r="CR749" s="8">
        <f t="shared" si="549"/>
        <v>0</v>
      </c>
      <c r="CS749" s="8">
        <f t="shared" si="550"/>
        <v>0</v>
      </c>
      <c r="CT749" s="8">
        <f t="shared" si="555"/>
        <v>0</v>
      </c>
      <c r="CU749" s="8">
        <f t="shared" si="556"/>
        <v>0</v>
      </c>
      <c r="CV749" s="8">
        <f t="shared" si="557"/>
        <v>0</v>
      </c>
    </row>
    <row r="750" spans="1:100" ht="20.5" thickTop="1" thickBot="1" x14ac:dyDescent="0.5">
      <c r="A750" s="32"/>
      <c r="B750" s="10"/>
      <c r="C750" s="10"/>
      <c r="D750" s="11"/>
      <c r="E750" s="10"/>
      <c r="F750" s="10"/>
      <c r="G750" s="19"/>
      <c r="H750" s="19"/>
      <c r="I750" s="19"/>
      <c r="J750" s="19"/>
      <c r="K750" s="10"/>
      <c r="L750" s="10"/>
      <c r="M750" s="10"/>
      <c r="N750" s="10"/>
      <c r="O750" s="18"/>
      <c r="P750" s="18"/>
      <c r="Q750" s="21"/>
      <c r="R750" s="20"/>
      <c r="S750" s="16">
        <f t="shared" si="513"/>
        <v>0</v>
      </c>
      <c r="T750" s="11"/>
      <c r="AS750" s="31">
        <f t="shared" si="514"/>
        <v>0</v>
      </c>
      <c r="AT750" s="31">
        <f t="shared" si="515"/>
        <v>0</v>
      </c>
      <c r="AU750" s="31">
        <f t="shared" si="516"/>
        <v>0</v>
      </c>
      <c r="AV750" s="31">
        <f t="shared" si="517"/>
        <v>0</v>
      </c>
      <c r="AW750" s="31">
        <f t="shared" si="518"/>
        <v>0</v>
      </c>
      <c r="AX750" s="31">
        <f t="shared" si="519"/>
        <v>0</v>
      </c>
      <c r="AY750" s="31">
        <f t="shared" si="520"/>
        <v>0</v>
      </c>
      <c r="AZ750" s="31">
        <f t="shared" si="521"/>
        <v>0</v>
      </c>
      <c r="BA750" s="31">
        <f t="shared" si="522"/>
        <v>0</v>
      </c>
      <c r="BB750" s="31">
        <f t="shared" si="551"/>
        <v>0</v>
      </c>
      <c r="BM750" s="8">
        <f t="shared" si="552"/>
        <v>0</v>
      </c>
      <c r="BN750" s="8">
        <f t="shared" si="523"/>
        <v>0</v>
      </c>
      <c r="BO750" s="8">
        <f t="shared" si="524"/>
        <v>0</v>
      </c>
      <c r="BQ750" s="8">
        <f t="shared" si="525"/>
        <v>0</v>
      </c>
      <c r="BR750" s="63">
        <f t="shared" si="526"/>
        <v>0</v>
      </c>
      <c r="BS750" s="63">
        <f t="shared" si="553"/>
        <v>0</v>
      </c>
      <c r="BT750" s="63">
        <f t="shared" si="527"/>
        <v>0</v>
      </c>
      <c r="BU750" s="63">
        <f t="shared" si="528"/>
        <v>0</v>
      </c>
      <c r="BV750" s="57">
        <f t="shared" si="529"/>
        <v>0</v>
      </c>
      <c r="BW750" s="57">
        <f t="shared" si="530"/>
        <v>0</v>
      </c>
      <c r="BX750" s="57">
        <f t="shared" si="554"/>
        <v>0</v>
      </c>
      <c r="BY750" s="57">
        <f t="shared" si="558"/>
        <v>0</v>
      </c>
      <c r="BZ750" s="8">
        <f t="shared" si="531"/>
        <v>0</v>
      </c>
      <c r="CA750" s="8">
        <f t="shared" si="532"/>
        <v>0</v>
      </c>
      <c r="CB750" s="8">
        <f t="shared" si="533"/>
        <v>0</v>
      </c>
      <c r="CC750" s="8">
        <f t="shared" si="534"/>
        <v>0</v>
      </c>
      <c r="CD750" s="8">
        <f t="shared" si="535"/>
        <v>0</v>
      </c>
      <c r="CE750" s="8">
        <f t="shared" si="536"/>
        <v>0</v>
      </c>
      <c r="CF750" s="8">
        <f t="shared" si="537"/>
        <v>0</v>
      </c>
      <c r="CG750" s="8">
        <f t="shared" si="538"/>
        <v>0</v>
      </c>
      <c r="CH750" s="8">
        <f t="shared" si="539"/>
        <v>0</v>
      </c>
      <c r="CI750" s="8">
        <f t="shared" si="540"/>
        <v>0</v>
      </c>
      <c r="CJ750" s="8">
        <f t="shared" si="541"/>
        <v>0</v>
      </c>
      <c r="CK750" s="8">
        <f t="shared" si="542"/>
        <v>0</v>
      </c>
      <c r="CL750" s="8">
        <f t="shared" si="543"/>
        <v>0</v>
      </c>
      <c r="CM750" s="8">
        <f t="shared" si="544"/>
        <v>0</v>
      </c>
      <c r="CN750" s="8">
        <f t="shared" si="545"/>
        <v>0</v>
      </c>
      <c r="CO750" s="8">
        <f t="shared" si="546"/>
        <v>0</v>
      </c>
      <c r="CP750" s="8">
        <f t="shared" si="547"/>
        <v>0</v>
      </c>
      <c r="CQ750" s="8">
        <f t="shared" si="548"/>
        <v>0</v>
      </c>
      <c r="CR750" s="8">
        <f t="shared" si="549"/>
        <v>0</v>
      </c>
      <c r="CS750" s="8">
        <f t="shared" si="550"/>
        <v>0</v>
      </c>
      <c r="CT750" s="8">
        <f t="shared" si="555"/>
        <v>0</v>
      </c>
      <c r="CU750" s="8">
        <f t="shared" si="556"/>
        <v>0</v>
      </c>
      <c r="CV750" s="8">
        <f t="shared" si="557"/>
        <v>0</v>
      </c>
    </row>
    <row r="751" spans="1:100" ht="20.5" thickTop="1" thickBot="1" x14ac:dyDescent="0.5">
      <c r="A751" s="32"/>
      <c r="B751" s="10"/>
      <c r="C751" s="10"/>
      <c r="D751" s="11"/>
      <c r="E751" s="10"/>
      <c r="F751" s="10"/>
      <c r="G751" s="19"/>
      <c r="H751" s="19"/>
      <c r="I751" s="19"/>
      <c r="J751" s="19"/>
      <c r="K751" s="10"/>
      <c r="L751" s="10"/>
      <c r="M751" s="10"/>
      <c r="N751" s="10"/>
      <c r="O751" s="18"/>
      <c r="P751" s="18"/>
      <c r="Q751" s="21"/>
      <c r="R751" s="20"/>
      <c r="S751" s="16">
        <f t="shared" si="513"/>
        <v>0</v>
      </c>
      <c r="T751" s="11"/>
      <c r="AS751" s="31">
        <f t="shared" si="514"/>
        <v>0</v>
      </c>
      <c r="AT751" s="31">
        <f t="shared" si="515"/>
        <v>0</v>
      </c>
      <c r="AU751" s="31">
        <f t="shared" si="516"/>
        <v>0</v>
      </c>
      <c r="AV751" s="31">
        <f t="shared" si="517"/>
        <v>0</v>
      </c>
      <c r="AW751" s="31">
        <f t="shared" si="518"/>
        <v>0</v>
      </c>
      <c r="AX751" s="31">
        <f t="shared" si="519"/>
        <v>0</v>
      </c>
      <c r="AY751" s="31">
        <f t="shared" si="520"/>
        <v>0</v>
      </c>
      <c r="AZ751" s="31">
        <f t="shared" si="521"/>
        <v>0</v>
      </c>
      <c r="BA751" s="31">
        <f t="shared" si="522"/>
        <v>0</v>
      </c>
      <c r="BB751" s="31">
        <f t="shared" si="551"/>
        <v>0</v>
      </c>
      <c r="BM751" s="8">
        <f t="shared" si="552"/>
        <v>0</v>
      </c>
      <c r="BN751" s="8">
        <f t="shared" si="523"/>
        <v>0</v>
      </c>
      <c r="BO751" s="8">
        <f t="shared" si="524"/>
        <v>0</v>
      </c>
      <c r="BQ751" s="8">
        <f t="shared" si="525"/>
        <v>0</v>
      </c>
      <c r="BR751" s="63">
        <f t="shared" si="526"/>
        <v>0</v>
      </c>
      <c r="BS751" s="63">
        <f t="shared" si="553"/>
        <v>0</v>
      </c>
      <c r="BT751" s="63">
        <f t="shared" si="527"/>
        <v>0</v>
      </c>
      <c r="BU751" s="63">
        <f t="shared" si="528"/>
        <v>0</v>
      </c>
      <c r="BV751" s="57">
        <f t="shared" si="529"/>
        <v>0</v>
      </c>
      <c r="BW751" s="57">
        <f t="shared" si="530"/>
        <v>0</v>
      </c>
      <c r="BX751" s="57">
        <f t="shared" si="554"/>
        <v>0</v>
      </c>
      <c r="BY751" s="57">
        <f t="shared" si="558"/>
        <v>0</v>
      </c>
      <c r="BZ751" s="8">
        <f t="shared" si="531"/>
        <v>0</v>
      </c>
      <c r="CA751" s="8">
        <f t="shared" si="532"/>
        <v>0</v>
      </c>
      <c r="CB751" s="8">
        <f t="shared" si="533"/>
        <v>0</v>
      </c>
      <c r="CC751" s="8">
        <f t="shared" si="534"/>
        <v>0</v>
      </c>
      <c r="CD751" s="8">
        <f t="shared" si="535"/>
        <v>0</v>
      </c>
      <c r="CE751" s="8">
        <f t="shared" si="536"/>
        <v>0</v>
      </c>
      <c r="CF751" s="8">
        <f t="shared" si="537"/>
        <v>0</v>
      </c>
      <c r="CG751" s="8">
        <f t="shared" si="538"/>
        <v>0</v>
      </c>
      <c r="CH751" s="8">
        <f t="shared" si="539"/>
        <v>0</v>
      </c>
      <c r="CI751" s="8">
        <f t="shared" si="540"/>
        <v>0</v>
      </c>
      <c r="CJ751" s="8">
        <f t="shared" si="541"/>
        <v>0</v>
      </c>
      <c r="CK751" s="8">
        <f t="shared" si="542"/>
        <v>0</v>
      </c>
      <c r="CL751" s="8">
        <f t="shared" si="543"/>
        <v>0</v>
      </c>
      <c r="CM751" s="8">
        <f t="shared" si="544"/>
        <v>0</v>
      </c>
      <c r="CN751" s="8">
        <f t="shared" si="545"/>
        <v>0</v>
      </c>
      <c r="CO751" s="8">
        <f t="shared" si="546"/>
        <v>0</v>
      </c>
      <c r="CP751" s="8">
        <f t="shared" si="547"/>
        <v>0</v>
      </c>
      <c r="CQ751" s="8">
        <f t="shared" si="548"/>
        <v>0</v>
      </c>
      <c r="CR751" s="8">
        <f t="shared" si="549"/>
        <v>0</v>
      </c>
      <c r="CS751" s="8">
        <f t="shared" si="550"/>
        <v>0</v>
      </c>
      <c r="CT751" s="8">
        <f t="shared" si="555"/>
        <v>0</v>
      </c>
      <c r="CU751" s="8">
        <f t="shared" si="556"/>
        <v>0</v>
      </c>
      <c r="CV751" s="8">
        <f t="shared" si="557"/>
        <v>0</v>
      </c>
    </row>
    <row r="752" spans="1:100" ht="20.5" thickTop="1" thickBot="1" x14ac:dyDescent="0.5">
      <c r="A752" s="32"/>
      <c r="B752" s="10"/>
      <c r="C752" s="10"/>
      <c r="D752" s="11"/>
      <c r="E752" s="10"/>
      <c r="F752" s="10"/>
      <c r="G752" s="19"/>
      <c r="H752" s="19"/>
      <c r="I752" s="19"/>
      <c r="J752" s="19"/>
      <c r="K752" s="10"/>
      <c r="L752" s="10"/>
      <c r="M752" s="10"/>
      <c r="N752" s="10"/>
      <c r="O752" s="18"/>
      <c r="P752" s="18"/>
      <c r="Q752" s="21"/>
      <c r="R752" s="20"/>
      <c r="S752" s="16">
        <f t="shared" si="513"/>
        <v>0</v>
      </c>
      <c r="T752" s="11"/>
      <c r="AS752" s="31">
        <f t="shared" si="514"/>
        <v>0</v>
      </c>
      <c r="AT752" s="31">
        <f t="shared" si="515"/>
        <v>0</v>
      </c>
      <c r="AU752" s="31">
        <f t="shared" si="516"/>
        <v>0</v>
      </c>
      <c r="AV752" s="31">
        <f t="shared" si="517"/>
        <v>0</v>
      </c>
      <c r="AW752" s="31">
        <f t="shared" si="518"/>
        <v>0</v>
      </c>
      <c r="AX752" s="31">
        <f t="shared" si="519"/>
        <v>0</v>
      </c>
      <c r="AY752" s="31">
        <f t="shared" si="520"/>
        <v>0</v>
      </c>
      <c r="AZ752" s="31">
        <f t="shared" si="521"/>
        <v>0</v>
      </c>
      <c r="BA752" s="31">
        <f t="shared" si="522"/>
        <v>0</v>
      </c>
      <c r="BB752" s="31">
        <f t="shared" si="551"/>
        <v>0</v>
      </c>
      <c r="BM752" s="8">
        <f t="shared" si="552"/>
        <v>0</v>
      </c>
      <c r="BN752" s="8">
        <f t="shared" si="523"/>
        <v>0</v>
      </c>
      <c r="BO752" s="8">
        <f t="shared" si="524"/>
        <v>0</v>
      </c>
      <c r="BQ752" s="8">
        <f t="shared" si="525"/>
        <v>0</v>
      </c>
      <c r="BR752" s="63">
        <f t="shared" si="526"/>
        <v>0</v>
      </c>
      <c r="BS752" s="63">
        <f t="shared" si="553"/>
        <v>0</v>
      </c>
      <c r="BT752" s="63">
        <f t="shared" si="527"/>
        <v>0</v>
      </c>
      <c r="BU752" s="63">
        <f t="shared" si="528"/>
        <v>0</v>
      </c>
      <c r="BV752" s="57">
        <f t="shared" si="529"/>
        <v>0</v>
      </c>
      <c r="BW752" s="57">
        <f t="shared" si="530"/>
        <v>0</v>
      </c>
      <c r="BX752" s="57">
        <f t="shared" si="554"/>
        <v>0</v>
      </c>
      <c r="BY752" s="57">
        <f t="shared" si="558"/>
        <v>0</v>
      </c>
      <c r="BZ752" s="8">
        <f t="shared" si="531"/>
        <v>0</v>
      </c>
      <c r="CA752" s="8">
        <f t="shared" si="532"/>
        <v>0</v>
      </c>
      <c r="CB752" s="8">
        <f t="shared" si="533"/>
        <v>0</v>
      </c>
      <c r="CC752" s="8">
        <f t="shared" si="534"/>
        <v>0</v>
      </c>
      <c r="CD752" s="8">
        <f t="shared" si="535"/>
        <v>0</v>
      </c>
      <c r="CE752" s="8">
        <f t="shared" si="536"/>
        <v>0</v>
      </c>
      <c r="CF752" s="8">
        <f t="shared" si="537"/>
        <v>0</v>
      </c>
      <c r="CG752" s="8">
        <f t="shared" si="538"/>
        <v>0</v>
      </c>
      <c r="CH752" s="8">
        <f t="shared" si="539"/>
        <v>0</v>
      </c>
      <c r="CI752" s="8">
        <f t="shared" si="540"/>
        <v>0</v>
      </c>
      <c r="CJ752" s="8">
        <f t="shared" si="541"/>
        <v>0</v>
      </c>
      <c r="CK752" s="8">
        <f t="shared" si="542"/>
        <v>0</v>
      </c>
      <c r="CL752" s="8">
        <f t="shared" si="543"/>
        <v>0</v>
      </c>
      <c r="CM752" s="8">
        <f t="shared" si="544"/>
        <v>0</v>
      </c>
      <c r="CN752" s="8">
        <f t="shared" si="545"/>
        <v>0</v>
      </c>
      <c r="CO752" s="8">
        <f t="shared" si="546"/>
        <v>0</v>
      </c>
      <c r="CP752" s="8">
        <f t="shared" si="547"/>
        <v>0</v>
      </c>
      <c r="CQ752" s="8">
        <f t="shared" si="548"/>
        <v>0</v>
      </c>
      <c r="CR752" s="8">
        <f t="shared" si="549"/>
        <v>0</v>
      </c>
      <c r="CS752" s="8">
        <f t="shared" si="550"/>
        <v>0</v>
      </c>
      <c r="CT752" s="8">
        <f t="shared" si="555"/>
        <v>0</v>
      </c>
      <c r="CU752" s="8">
        <f t="shared" si="556"/>
        <v>0</v>
      </c>
      <c r="CV752" s="8">
        <f t="shared" si="557"/>
        <v>0</v>
      </c>
    </row>
    <row r="753" spans="1:100" ht="20.5" thickTop="1" thickBot="1" x14ac:dyDescent="0.5">
      <c r="A753" s="32"/>
      <c r="B753" s="10"/>
      <c r="C753" s="10"/>
      <c r="D753" s="11"/>
      <c r="E753" s="10"/>
      <c r="F753" s="10"/>
      <c r="G753" s="19"/>
      <c r="H753" s="19"/>
      <c r="I753" s="19"/>
      <c r="J753" s="19"/>
      <c r="K753" s="10"/>
      <c r="L753" s="10"/>
      <c r="M753" s="10"/>
      <c r="N753" s="10"/>
      <c r="O753" s="18"/>
      <c r="P753" s="18"/>
      <c r="Q753" s="21"/>
      <c r="R753" s="20"/>
      <c r="S753" s="16">
        <f t="shared" si="513"/>
        <v>0</v>
      </c>
      <c r="T753" s="11"/>
      <c r="AS753" s="31">
        <f t="shared" si="514"/>
        <v>0</v>
      </c>
      <c r="AT753" s="31">
        <f t="shared" si="515"/>
        <v>0</v>
      </c>
      <c r="AU753" s="31">
        <f t="shared" si="516"/>
        <v>0</v>
      </c>
      <c r="AV753" s="31">
        <f t="shared" si="517"/>
        <v>0</v>
      </c>
      <c r="AW753" s="31">
        <f t="shared" si="518"/>
        <v>0</v>
      </c>
      <c r="AX753" s="31">
        <f t="shared" si="519"/>
        <v>0</v>
      </c>
      <c r="AY753" s="31">
        <f t="shared" si="520"/>
        <v>0</v>
      </c>
      <c r="AZ753" s="31">
        <f t="shared" si="521"/>
        <v>0</v>
      </c>
      <c r="BA753" s="31">
        <f t="shared" si="522"/>
        <v>0</v>
      </c>
      <c r="BB753" s="31">
        <f t="shared" si="551"/>
        <v>0</v>
      </c>
      <c r="BM753" s="8">
        <f t="shared" si="552"/>
        <v>0</v>
      </c>
      <c r="BN753" s="8">
        <f t="shared" si="523"/>
        <v>0</v>
      </c>
      <c r="BO753" s="8">
        <f t="shared" si="524"/>
        <v>0</v>
      </c>
      <c r="BQ753" s="8">
        <f t="shared" si="525"/>
        <v>0</v>
      </c>
      <c r="BR753" s="63">
        <f t="shared" si="526"/>
        <v>0</v>
      </c>
      <c r="BS753" s="63">
        <f t="shared" si="553"/>
        <v>0</v>
      </c>
      <c r="BT753" s="63">
        <f t="shared" si="527"/>
        <v>0</v>
      </c>
      <c r="BU753" s="63">
        <f t="shared" si="528"/>
        <v>0</v>
      </c>
      <c r="BV753" s="57">
        <f t="shared" si="529"/>
        <v>0</v>
      </c>
      <c r="BW753" s="57">
        <f t="shared" si="530"/>
        <v>0</v>
      </c>
      <c r="BX753" s="57">
        <f t="shared" si="554"/>
        <v>0</v>
      </c>
      <c r="BY753" s="57">
        <f t="shared" si="558"/>
        <v>0</v>
      </c>
      <c r="BZ753" s="8">
        <f t="shared" si="531"/>
        <v>0</v>
      </c>
      <c r="CA753" s="8">
        <f t="shared" si="532"/>
        <v>0</v>
      </c>
      <c r="CB753" s="8">
        <f t="shared" si="533"/>
        <v>0</v>
      </c>
      <c r="CC753" s="8">
        <f t="shared" si="534"/>
        <v>0</v>
      </c>
      <c r="CD753" s="8">
        <f t="shared" si="535"/>
        <v>0</v>
      </c>
      <c r="CE753" s="8">
        <f t="shared" si="536"/>
        <v>0</v>
      </c>
      <c r="CF753" s="8">
        <f t="shared" si="537"/>
        <v>0</v>
      </c>
      <c r="CG753" s="8">
        <f t="shared" si="538"/>
        <v>0</v>
      </c>
      <c r="CH753" s="8">
        <f t="shared" si="539"/>
        <v>0</v>
      </c>
      <c r="CI753" s="8">
        <f t="shared" si="540"/>
        <v>0</v>
      </c>
      <c r="CJ753" s="8">
        <f t="shared" si="541"/>
        <v>0</v>
      </c>
      <c r="CK753" s="8">
        <f t="shared" si="542"/>
        <v>0</v>
      </c>
      <c r="CL753" s="8">
        <f t="shared" si="543"/>
        <v>0</v>
      </c>
      <c r="CM753" s="8">
        <f t="shared" si="544"/>
        <v>0</v>
      </c>
      <c r="CN753" s="8">
        <f t="shared" si="545"/>
        <v>0</v>
      </c>
      <c r="CO753" s="8">
        <f t="shared" si="546"/>
        <v>0</v>
      </c>
      <c r="CP753" s="8">
        <f t="shared" si="547"/>
        <v>0</v>
      </c>
      <c r="CQ753" s="8">
        <f t="shared" si="548"/>
        <v>0</v>
      </c>
      <c r="CR753" s="8">
        <f t="shared" si="549"/>
        <v>0</v>
      </c>
      <c r="CS753" s="8">
        <f t="shared" si="550"/>
        <v>0</v>
      </c>
      <c r="CT753" s="8">
        <f t="shared" si="555"/>
        <v>0</v>
      </c>
      <c r="CU753" s="8">
        <f t="shared" si="556"/>
        <v>0</v>
      </c>
      <c r="CV753" s="8">
        <f t="shared" si="557"/>
        <v>0</v>
      </c>
    </row>
    <row r="754" spans="1:100" ht="20.5" thickTop="1" thickBot="1" x14ac:dyDescent="0.5">
      <c r="A754" s="32"/>
      <c r="B754" s="10"/>
      <c r="C754" s="10"/>
      <c r="D754" s="11"/>
      <c r="E754" s="10"/>
      <c r="F754" s="10"/>
      <c r="G754" s="19"/>
      <c r="H754" s="19"/>
      <c r="I754" s="19"/>
      <c r="J754" s="19"/>
      <c r="K754" s="10"/>
      <c r="L754" s="10"/>
      <c r="M754" s="10"/>
      <c r="N754" s="10"/>
      <c r="O754" s="18"/>
      <c r="P754" s="18"/>
      <c r="Q754" s="21"/>
      <c r="R754" s="20"/>
      <c r="S754" s="16">
        <f t="shared" si="513"/>
        <v>0</v>
      </c>
      <c r="T754" s="11"/>
      <c r="AS754" s="31">
        <f t="shared" si="514"/>
        <v>0</v>
      </c>
      <c r="AT754" s="31">
        <f t="shared" si="515"/>
        <v>0</v>
      </c>
      <c r="AU754" s="31">
        <f t="shared" si="516"/>
        <v>0</v>
      </c>
      <c r="AV754" s="31">
        <f t="shared" si="517"/>
        <v>0</v>
      </c>
      <c r="AW754" s="31">
        <f t="shared" si="518"/>
        <v>0</v>
      </c>
      <c r="AX754" s="31">
        <f t="shared" si="519"/>
        <v>0</v>
      </c>
      <c r="AY754" s="31">
        <f t="shared" si="520"/>
        <v>0</v>
      </c>
      <c r="AZ754" s="31">
        <f t="shared" si="521"/>
        <v>0</v>
      </c>
      <c r="BA754" s="31">
        <f t="shared" si="522"/>
        <v>0</v>
      </c>
      <c r="BB754" s="31">
        <f t="shared" si="551"/>
        <v>0</v>
      </c>
      <c r="BM754" s="8">
        <f t="shared" si="552"/>
        <v>0</v>
      </c>
      <c r="BN754" s="8">
        <f t="shared" si="523"/>
        <v>0</v>
      </c>
      <c r="BO754" s="8">
        <f t="shared" si="524"/>
        <v>0</v>
      </c>
      <c r="BQ754" s="8">
        <f t="shared" si="525"/>
        <v>0</v>
      </c>
      <c r="BR754" s="63">
        <f t="shared" si="526"/>
        <v>0</v>
      </c>
      <c r="BS754" s="63">
        <f t="shared" si="553"/>
        <v>0</v>
      </c>
      <c r="BT754" s="63">
        <f t="shared" si="527"/>
        <v>0</v>
      </c>
      <c r="BU754" s="63">
        <f t="shared" si="528"/>
        <v>0</v>
      </c>
      <c r="BV754" s="57">
        <f t="shared" si="529"/>
        <v>0</v>
      </c>
      <c r="BW754" s="57">
        <f t="shared" si="530"/>
        <v>0</v>
      </c>
      <c r="BX754" s="57">
        <f t="shared" si="554"/>
        <v>0</v>
      </c>
      <c r="BY754" s="57">
        <f t="shared" si="558"/>
        <v>0</v>
      </c>
      <c r="BZ754" s="8">
        <f t="shared" si="531"/>
        <v>0</v>
      </c>
      <c r="CA754" s="8">
        <f t="shared" si="532"/>
        <v>0</v>
      </c>
      <c r="CB754" s="8">
        <f t="shared" si="533"/>
        <v>0</v>
      </c>
      <c r="CC754" s="8">
        <f t="shared" si="534"/>
        <v>0</v>
      </c>
      <c r="CD754" s="8">
        <f t="shared" si="535"/>
        <v>0</v>
      </c>
      <c r="CE754" s="8">
        <f t="shared" si="536"/>
        <v>0</v>
      </c>
      <c r="CF754" s="8">
        <f t="shared" si="537"/>
        <v>0</v>
      </c>
      <c r="CG754" s="8">
        <f t="shared" si="538"/>
        <v>0</v>
      </c>
      <c r="CH754" s="8">
        <f t="shared" si="539"/>
        <v>0</v>
      </c>
      <c r="CI754" s="8">
        <f t="shared" si="540"/>
        <v>0</v>
      </c>
      <c r="CJ754" s="8">
        <f t="shared" si="541"/>
        <v>0</v>
      </c>
      <c r="CK754" s="8">
        <f t="shared" si="542"/>
        <v>0</v>
      </c>
      <c r="CL754" s="8">
        <f t="shared" si="543"/>
        <v>0</v>
      </c>
      <c r="CM754" s="8">
        <f t="shared" si="544"/>
        <v>0</v>
      </c>
      <c r="CN754" s="8">
        <f t="shared" si="545"/>
        <v>0</v>
      </c>
      <c r="CO754" s="8">
        <f t="shared" si="546"/>
        <v>0</v>
      </c>
      <c r="CP754" s="8">
        <f t="shared" si="547"/>
        <v>0</v>
      </c>
      <c r="CQ754" s="8">
        <f t="shared" si="548"/>
        <v>0</v>
      </c>
      <c r="CR754" s="8">
        <f t="shared" si="549"/>
        <v>0</v>
      </c>
      <c r="CS754" s="8">
        <f t="shared" si="550"/>
        <v>0</v>
      </c>
      <c r="CT754" s="8">
        <f t="shared" si="555"/>
        <v>0</v>
      </c>
      <c r="CU754" s="8">
        <f t="shared" si="556"/>
        <v>0</v>
      </c>
      <c r="CV754" s="8">
        <f t="shared" si="557"/>
        <v>0</v>
      </c>
    </row>
    <row r="755" spans="1:100" ht="20.5" thickTop="1" thickBot="1" x14ac:dyDescent="0.5">
      <c r="A755" s="32"/>
      <c r="B755" s="10"/>
      <c r="C755" s="10"/>
      <c r="D755" s="11"/>
      <c r="E755" s="10"/>
      <c r="F755" s="10"/>
      <c r="G755" s="19"/>
      <c r="H755" s="19"/>
      <c r="I755" s="19"/>
      <c r="J755" s="19"/>
      <c r="K755" s="10"/>
      <c r="L755" s="10"/>
      <c r="M755" s="10"/>
      <c r="N755" s="10"/>
      <c r="O755" s="18"/>
      <c r="P755" s="18"/>
      <c r="Q755" s="21"/>
      <c r="R755" s="20"/>
      <c r="S755" s="16">
        <f t="shared" si="513"/>
        <v>0</v>
      </c>
      <c r="T755" s="11"/>
      <c r="AS755" s="31">
        <f t="shared" si="514"/>
        <v>0</v>
      </c>
      <c r="AT755" s="31">
        <f t="shared" si="515"/>
        <v>0</v>
      </c>
      <c r="AU755" s="31">
        <f t="shared" si="516"/>
        <v>0</v>
      </c>
      <c r="AV755" s="31">
        <f t="shared" si="517"/>
        <v>0</v>
      </c>
      <c r="AW755" s="31">
        <f t="shared" si="518"/>
        <v>0</v>
      </c>
      <c r="AX755" s="31">
        <f t="shared" si="519"/>
        <v>0</v>
      </c>
      <c r="AY755" s="31">
        <f t="shared" si="520"/>
        <v>0</v>
      </c>
      <c r="AZ755" s="31">
        <f t="shared" si="521"/>
        <v>0</v>
      </c>
      <c r="BA755" s="31">
        <f t="shared" si="522"/>
        <v>0</v>
      </c>
      <c r="BB755" s="31">
        <f t="shared" si="551"/>
        <v>0</v>
      </c>
      <c r="BM755" s="8">
        <f t="shared" si="552"/>
        <v>0</v>
      </c>
      <c r="BN755" s="8">
        <f t="shared" si="523"/>
        <v>0</v>
      </c>
      <c r="BO755" s="8">
        <f t="shared" si="524"/>
        <v>0</v>
      </c>
      <c r="BQ755" s="8">
        <f t="shared" si="525"/>
        <v>0</v>
      </c>
      <c r="BR755" s="63">
        <f t="shared" si="526"/>
        <v>0</v>
      </c>
      <c r="BS755" s="63">
        <f t="shared" si="553"/>
        <v>0</v>
      </c>
      <c r="BT755" s="63">
        <f t="shared" si="527"/>
        <v>0</v>
      </c>
      <c r="BU755" s="63">
        <f t="shared" si="528"/>
        <v>0</v>
      </c>
      <c r="BV755" s="57">
        <f t="shared" si="529"/>
        <v>0</v>
      </c>
      <c r="BW755" s="57">
        <f t="shared" si="530"/>
        <v>0</v>
      </c>
      <c r="BX755" s="57">
        <f t="shared" si="554"/>
        <v>0</v>
      </c>
      <c r="BY755" s="57">
        <f t="shared" si="558"/>
        <v>0</v>
      </c>
      <c r="BZ755" s="8">
        <f t="shared" si="531"/>
        <v>0</v>
      </c>
      <c r="CA755" s="8">
        <f t="shared" si="532"/>
        <v>0</v>
      </c>
      <c r="CB755" s="8">
        <f t="shared" si="533"/>
        <v>0</v>
      </c>
      <c r="CC755" s="8">
        <f t="shared" si="534"/>
        <v>0</v>
      </c>
      <c r="CD755" s="8">
        <f t="shared" si="535"/>
        <v>0</v>
      </c>
      <c r="CE755" s="8">
        <f t="shared" si="536"/>
        <v>0</v>
      </c>
      <c r="CF755" s="8">
        <f t="shared" si="537"/>
        <v>0</v>
      </c>
      <c r="CG755" s="8">
        <f t="shared" si="538"/>
        <v>0</v>
      </c>
      <c r="CH755" s="8">
        <f t="shared" si="539"/>
        <v>0</v>
      </c>
      <c r="CI755" s="8">
        <f t="shared" si="540"/>
        <v>0</v>
      </c>
      <c r="CJ755" s="8">
        <f t="shared" si="541"/>
        <v>0</v>
      </c>
      <c r="CK755" s="8">
        <f t="shared" si="542"/>
        <v>0</v>
      </c>
      <c r="CL755" s="8">
        <f t="shared" si="543"/>
        <v>0</v>
      </c>
      <c r="CM755" s="8">
        <f t="shared" si="544"/>
        <v>0</v>
      </c>
      <c r="CN755" s="8">
        <f t="shared" si="545"/>
        <v>0</v>
      </c>
      <c r="CO755" s="8">
        <f t="shared" si="546"/>
        <v>0</v>
      </c>
      <c r="CP755" s="8">
        <f t="shared" si="547"/>
        <v>0</v>
      </c>
      <c r="CQ755" s="8">
        <f t="shared" si="548"/>
        <v>0</v>
      </c>
      <c r="CR755" s="8">
        <f t="shared" si="549"/>
        <v>0</v>
      </c>
      <c r="CS755" s="8">
        <f t="shared" si="550"/>
        <v>0</v>
      </c>
      <c r="CT755" s="8">
        <f t="shared" si="555"/>
        <v>0</v>
      </c>
      <c r="CU755" s="8">
        <f t="shared" si="556"/>
        <v>0</v>
      </c>
      <c r="CV755" s="8">
        <f t="shared" si="557"/>
        <v>0</v>
      </c>
    </row>
    <row r="756" spans="1:100" ht="20.5" thickTop="1" thickBot="1" x14ac:dyDescent="0.5">
      <c r="A756" s="32"/>
      <c r="B756" s="10"/>
      <c r="C756" s="10"/>
      <c r="D756" s="11"/>
      <c r="E756" s="10"/>
      <c r="F756" s="10"/>
      <c r="G756" s="19"/>
      <c r="H756" s="19"/>
      <c r="I756" s="19"/>
      <c r="J756" s="19"/>
      <c r="K756" s="10"/>
      <c r="L756" s="10"/>
      <c r="M756" s="10"/>
      <c r="N756" s="10"/>
      <c r="O756" s="18"/>
      <c r="P756" s="18"/>
      <c r="Q756" s="21"/>
      <c r="R756" s="20"/>
      <c r="S756" s="16">
        <f t="shared" si="513"/>
        <v>0</v>
      </c>
      <c r="T756" s="11"/>
      <c r="AS756" s="31">
        <f t="shared" si="514"/>
        <v>0</v>
      </c>
      <c r="AT756" s="31">
        <f t="shared" si="515"/>
        <v>0</v>
      </c>
      <c r="AU756" s="31">
        <f t="shared" si="516"/>
        <v>0</v>
      </c>
      <c r="AV756" s="31">
        <f t="shared" si="517"/>
        <v>0</v>
      </c>
      <c r="AW756" s="31">
        <f t="shared" si="518"/>
        <v>0</v>
      </c>
      <c r="AX756" s="31">
        <f t="shared" si="519"/>
        <v>0</v>
      </c>
      <c r="AY756" s="31">
        <f t="shared" si="520"/>
        <v>0</v>
      </c>
      <c r="AZ756" s="31">
        <f t="shared" si="521"/>
        <v>0</v>
      </c>
      <c r="BA756" s="31">
        <f t="shared" si="522"/>
        <v>0</v>
      </c>
      <c r="BB756" s="31">
        <f t="shared" si="551"/>
        <v>0</v>
      </c>
      <c r="BM756" s="8">
        <f t="shared" si="552"/>
        <v>0</v>
      </c>
      <c r="BN756" s="8">
        <f t="shared" si="523"/>
        <v>0</v>
      </c>
      <c r="BO756" s="8">
        <f t="shared" si="524"/>
        <v>0</v>
      </c>
      <c r="BQ756" s="8">
        <f t="shared" si="525"/>
        <v>0</v>
      </c>
      <c r="BR756" s="63">
        <f t="shared" si="526"/>
        <v>0</v>
      </c>
      <c r="BS756" s="63">
        <f t="shared" si="553"/>
        <v>0</v>
      </c>
      <c r="BT756" s="63">
        <f t="shared" si="527"/>
        <v>0</v>
      </c>
      <c r="BU756" s="63">
        <f t="shared" si="528"/>
        <v>0</v>
      </c>
      <c r="BV756" s="57">
        <f t="shared" si="529"/>
        <v>0</v>
      </c>
      <c r="BW756" s="57">
        <f t="shared" si="530"/>
        <v>0</v>
      </c>
      <c r="BX756" s="57">
        <f t="shared" si="554"/>
        <v>0</v>
      </c>
      <c r="BY756" s="57">
        <f t="shared" si="558"/>
        <v>0</v>
      </c>
      <c r="BZ756" s="8">
        <f t="shared" si="531"/>
        <v>0</v>
      </c>
      <c r="CA756" s="8">
        <f t="shared" si="532"/>
        <v>0</v>
      </c>
      <c r="CB756" s="8">
        <f t="shared" si="533"/>
        <v>0</v>
      </c>
      <c r="CC756" s="8">
        <f t="shared" si="534"/>
        <v>0</v>
      </c>
      <c r="CD756" s="8">
        <f t="shared" si="535"/>
        <v>0</v>
      </c>
      <c r="CE756" s="8">
        <f t="shared" si="536"/>
        <v>0</v>
      </c>
      <c r="CF756" s="8">
        <f t="shared" si="537"/>
        <v>0</v>
      </c>
      <c r="CG756" s="8">
        <f t="shared" si="538"/>
        <v>0</v>
      </c>
      <c r="CH756" s="8">
        <f t="shared" si="539"/>
        <v>0</v>
      </c>
      <c r="CI756" s="8">
        <f t="shared" si="540"/>
        <v>0</v>
      </c>
      <c r="CJ756" s="8">
        <f t="shared" si="541"/>
        <v>0</v>
      </c>
      <c r="CK756" s="8">
        <f t="shared" si="542"/>
        <v>0</v>
      </c>
      <c r="CL756" s="8">
        <f t="shared" si="543"/>
        <v>0</v>
      </c>
      <c r="CM756" s="8">
        <f t="shared" si="544"/>
        <v>0</v>
      </c>
      <c r="CN756" s="8">
        <f t="shared" si="545"/>
        <v>0</v>
      </c>
      <c r="CO756" s="8">
        <f t="shared" si="546"/>
        <v>0</v>
      </c>
      <c r="CP756" s="8">
        <f t="shared" si="547"/>
        <v>0</v>
      </c>
      <c r="CQ756" s="8">
        <f t="shared" si="548"/>
        <v>0</v>
      </c>
      <c r="CR756" s="8">
        <f t="shared" si="549"/>
        <v>0</v>
      </c>
      <c r="CS756" s="8">
        <f t="shared" si="550"/>
        <v>0</v>
      </c>
      <c r="CT756" s="8">
        <f t="shared" si="555"/>
        <v>0</v>
      </c>
      <c r="CU756" s="8">
        <f t="shared" si="556"/>
        <v>0</v>
      </c>
      <c r="CV756" s="8">
        <f t="shared" si="557"/>
        <v>0</v>
      </c>
    </row>
    <row r="757" spans="1:100" ht="20.5" thickTop="1" thickBot="1" x14ac:dyDescent="0.5">
      <c r="A757" s="32"/>
      <c r="B757" s="10"/>
      <c r="C757" s="10"/>
      <c r="D757" s="11"/>
      <c r="E757" s="10"/>
      <c r="F757" s="10"/>
      <c r="G757" s="19"/>
      <c r="H757" s="19"/>
      <c r="I757" s="19"/>
      <c r="J757" s="19"/>
      <c r="K757" s="10"/>
      <c r="L757" s="10"/>
      <c r="M757" s="10"/>
      <c r="N757" s="10"/>
      <c r="O757" s="18"/>
      <c r="P757" s="18"/>
      <c r="Q757" s="21"/>
      <c r="R757" s="20"/>
      <c r="S757" s="16">
        <f t="shared" si="513"/>
        <v>0</v>
      </c>
      <c r="T757" s="11"/>
      <c r="AS757" s="31">
        <f t="shared" si="514"/>
        <v>0</v>
      </c>
      <c r="AT757" s="31">
        <f t="shared" si="515"/>
        <v>0</v>
      </c>
      <c r="AU757" s="31">
        <f t="shared" si="516"/>
        <v>0</v>
      </c>
      <c r="AV757" s="31">
        <f t="shared" si="517"/>
        <v>0</v>
      </c>
      <c r="AW757" s="31">
        <f t="shared" si="518"/>
        <v>0</v>
      </c>
      <c r="AX757" s="31">
        <f t="shared" si="519"/>
        <v>0</v>
      </c>
      <c r="AY757" s="31">
        <f t="shared" si="520"/>
        <v>0</v>
      </c>
      <c r="AZ757" s="31">
        <f t="shared" si="521"/>
        <v>0</v>
      </c>
      <c r="BA757" s="31">
        <f t="shared" si="522"/>
        <v>0</v>
      </c>
      <c r="BB757" s="31">
        <f t="shared" si="551"/>
        <v>0</v>
      </c>
      <c r="BM757" s="8">
        <f t="shared" si="552"/>
        <v>0</v>
      </c>
      <c r="BN757" s="8">
        <f t="shared" si="523"/>
        <v>0</v>
      </c>
      <c r="BO757" s="8">
        <f t="shared" si="524"/>
        <v>0</v>
      </c>
      <c r="BQ757" s="8">
        <f t="shared" si="525"/>
        <v>0</v>
      </c>
      <c r="BR757" s="63">
        <f t="shared" si="526"/>
        <v>0</v>
      </c>
      <c r="BS757" s="63">
        <f t="shared" si="553"/>
        <v>0</v>
      </c>
      <c r="BT757" s="63">
        <f t="shared" si="527"/>
        <v>0</v>
      </c>
      <c r="BU757" s="63">
        <f t="shared" si="528"/>
        <v>0</v>
      </c>
      <c r="BV757" s="57">
        <f t="shared" si="529"/>
        <v>0</v>
      </c>
      <c r="BW757" s="57">
        <f t="shared" si="530"/>
        <v>0</v>
      </c>
      <c r="BX757" s="57">
        <f t="shared" si="554"/>
        <v>0</v>
      </c>
      <c r="BY757" s="57">
        <f t="shared" si="558"/>
        <v>0</v>
      </c>
      <c r="BZ757" s="8">
        <f t="shared" si="531"/>
        <v>0</v>
      </c>
      <c r="CA757" s="8">
        <f t="shared" si="532"/>
        <v>0</v>
      </c>
      <c r="CB757" s="8">
        <f t="shared" si="533"/>
        <v>0</v>
      </c>
      <c r="CC757" s="8">
        <f t="shared" si="534"/>
        <v>0</v>
      </c>
      <c r="CD757" s="8">
        <f t="shared" si="535"/>
        <v>0</v>
      </c>
      <c r="CE757" s="8">
        <f t="shared" si="536"/>
        <v>0</v>
      </c>
      <c r="CF757" s="8">
        <f t="shared" si="537"/>
        <v>0</v>
      </c>
      <c r="CG757" s="8">
        <f t="shared" si="538"/>
        <v>0</v>
      </c>
      <c r="CH757" s="8">
        <f t="shared" si="539"/>
        <v>0</v>
      </c>
      <c r="CI757" s="8">
        <f t="shared" si="540"/>
        <v>0</v>
      </c>
      <c r="CJ757" s="8">
        <f t="shared" si="541"/>
        <v>0</v>
      </c>
      <c r="CK757" s="8">
        <f t="shared" si="542"/>
        <v>0</v>
      </c>
      <c r="CL757" s="8">
        <f t="shared" si="543"/>
        <v>0</v>
      </c>
      <c r="CM757" s="8">
        <f t="shared" si="544"/>
        <v>0</v>
      </c>
      <c r="CN757" s="8">
        <f t="shared" si="545"/>
        <v>0</v>
      </c>
      <c r="CO757" s="8">
        <f t="shared" si="546"/>
        <v>0</v>
      </c>
      <c r="CP757" s="8">
        <f t="shared" si="547"/>
        <v>0</v>
      </c>
      <c r="CQ757" s="8">
        <f t="shared" si="548"/>
        <v>0</v>
      </c>
      <c r="CR757" s="8">
        <f t="shared" si="549"/>
        <v>0</v>
      </c>
      <c r="CS757" s="8">
        <f t="shared" si="550"/>
        <v>0</v>
      </c>
      <c r="CT757" s="8">
        <f t="shared" si="555"/>
        <v>0</v>
      </c>
      <c r="CU757" s="8">
        <f t="shared" si="556"/>
        <v>0</v>
      </c>
      <c r="CV757" s="8">
        <f t="shared" si="557"/>
        <v>0</v>
      </c>
    </row>
    <row r="758" spans="1:100" ht="20.5" thickTop="1" thickBot="1" x14ac:dyDescent="0.5">
      <c r="A758" s="32"/>
      <c r="B758" s="10"/>
      <c r="C758" s="10"/>
      <c r="D758" s="11"/>
      <c r="E758" s="10"/>
      <c r="F758" s="10"/>
      <c r="G758" s="19"/>
      <c r="H758" s="19"/>
      <c r="I758" s="19"/>
      <c r="J758" s="19"/>
      <c r="K758" s="10"/>
      <c r="L758" s="10"/>
      <c r="M758" s="10"/>
      <c r="N758" s="10"/>
      <c r="O758" s="18"/>
      <c r="P758" s="18"/>
      <c r="Q758" s="21"/>
      <c r="R758" s="20"/>
      <c r="S758" s="16">
        <f t="shared" si="513"/>
        <v>0</v>
      </c>
      <c r="T758" s="11"/>
      <c r="AS758" s="31">
        <f t="shared" si="514"/>
        <v>0</v>
      </c>
      <c r="AT758" s="31">
        <f t="shared" si="515"/>
        <v>0</v>
      </c>
      <c r="AU758" s="31">
        <f t="shared" si="516"/>
        <v>0</v>
      </c>
      <c r="AV758" s="31">
        <f t="shared" si="517"/>
        <v>0</v>
      </c>
      <c r="AW758" s="31">
        <f t="shared" si="518"/>
        <v>0</v>
      </c>
      <c r="AX758" s="31">
        <f t="shared" si="519"/>
        <v>0</v>
      </c>
      <c r="AY758" s="31">
        <f t="shared" si="520"/>
        <v>0</v>
      </c>
      <c r="AZ758" s="31">
        <f t="shared" si="521"/>
        <v>0</v>
      </c>
      <c r="BA758" s="31">
        <f t="shared" si="522"/>
        <v>0</v>
      </c>
      <c r="BB758" s="31">
        <f t="shared" si="551"/>
        <v>0</v>
      </c>
      <c r="BM758" s="8">
        <f t="shared" si="552"/>
        <v>0</v>
      </c>
      <c r="BN758" s="8">
        <f t="shared" si="523"/>
        <v>0</v>
      </c>
      <c r="BO758" s="8">
        <f t="shared" si="524"/>
        <v>0</v>
      </c>
      <c r="BQ758" s="8">
        <f t="shared" si="525"/>
        <v>0</v>
      </c>
      <c r="BR758" s="63">
        <f t="shared" si="526"/>
        <v>0</v>
      </c>
      <c r="BS758" s="63">
        <f t="shared" si="553"/>
        <v>0</v>
      </c>
      <c r="BT758" s="63">
        <f t="shared" si="527"/>
        <v>0</v>
      </c>
      <c r="BU758" s="63">
        <f t="shared" si="528"/>
        <v>0</v>
      </c>
      <c r="BV758" s="57">
        <f t="shared" si="529"/>
        <v>0</v>
      </c>
      <c r="BW758" s="57">
        <f t="shared" si="530"/>
        <v>0</v>
      </c>
      <c r="BX758" s="57">
        <f t="shared" si="554"/>
        <v>0</v>
      </c>
      <c r="BY758" s="57">
        <f t="shared" si="558"/>
        <v>0</v>
      </c>
      <c r="BZ758" s="8">
        <f t="shared" si="531"/>
        <v>0</v>
      </c>
      <c r="CA758" s="8">
        <f t="shared" si="532"/>
        <v>0</v>
      </c>
      <c r="CB758" s="8">
        <f t="shared" si="533"/>
        <v>0</v>
      </c>
      <c r="CC758" s="8">
        <f t="shared" si="534"/>
        <v>0</v>
      </c>
      <c r="CD758" s="8">
        <f t="shared" si="535"/>
        <v>0</v>
      </c>
      <c r="CE758" s="8">
        <f t="shared" si="536"/>
        <v>0</v>
      </c>
      <c r="CF758" s="8">
        <f t="shared" si="537"/>
        <v>0</v>
      </c>
      <c r="CG758" s="8">
        <f t="shared" si="538"/>
        <v>0</v>
      </c>
      <c r="CH758" s="8">
        <f t="shared" si="539"/>
        <v>0</v>
      </c>
      <c r="CI758" s="8">
        <f t="shared" si="540"/>
        <v>0</v>
      </c>
      <c r="CJ758" s="8">
        <f t="shared" si="541"/>
        <v>0</v>
      </c>
      <c r="CK758" s="8">
        <f t="shared" si="542"/>
        <v>0</v>
      </c>
      <c r="CL758" s="8">
        <f t="shared" si="543"/>
        <v>0</v>
      </c>
      <c r="CM758" s="8">
        <f t="shared" si="544"/>
        <v>0</v>
      </c>
      <c r="CN758" s="8">
        <f t="shared" si="545"/>
        <v>0</v>
      </c>
      <c r="CO758" s="8">
        <f t="shared" si="546"/>
        <v>0</v>
      </c>
      <c r="CP758" s="8">
        <f t="shared" si="547"/>
        <v>0</v>
      </c>
      <c r="CQ758" s="8">
        <f t="shared" si="548"/>
        <v>0</v>
      </c>
      <c r="CR758" s="8">
        <f t="shared" si="549"/>
        <v>0</v>
      </c>
      <c r="CS758" s="8">
        <f t="shared" si="550"/>
        <v>0</v>
      </c>
      <c r="CT758" s="8">
        <f t="shared" si="555"/>
        <v>0</v>
      </c>
      <c r="CU758" s="8">
        <f t="shared" si="556"/>
        <v>0</v>
      </c>
      <c r="CV758" s="8">
        <f t="shared" si="557"/>
        <v>0</v>
      </c>
    </row>
    <row r="759" spans="1:100" ht="20.5" thickTop="1" thickBot="1" x14ac:dyDescent="0.5">
      <c r="A759" s="32"/>
      <c r="B759" s="10"/>
      <c r="C759" s="10"/>
      <c r="D759" s="11"/>
      <c r="E759" s="10"/>
      <c r="F759" s="10"/>
      <c r="G759" s="19"/>
      <c r="H759" s="19"/>
      <c r="I759" s="19"/>
      <c r="J759" s="19"/>
      <c r="K759" s="10"/>
      <c r="L759" s="10"/>
      <c r="M759" s="10"/>
      <c r="N759" s="10"/>
      <c r="O759" s="18"/>
      <c r="P759" s="18"/>
      <c r="Q759" s="21"/>
      <c r="R759" s="20"/>
      <c r="S759" s="16">
        <f t="shared" si="513"/>
        <v>0</v>
      </c>
      <c r="T759" s="11"/>
      <c r="AS759" s="31">
        <f t="shared" si="514"/>
        <v>0</v>
      </c>
      <c r="AT759" s="31">
        <f t="shared" si="515"/>
        <v>0</v>
      </c>
      <c r="AU759" s="31">
        <f t="shared" si="516"/>
        <v>0</v>
      </c>
      <c r="AV759" s="31">
        <f t="shared" si="517"/>
        <v>0</v>
      </c>
      <c r="AW759" s="31">
        <f t="shared" si="518"/>
        <v>0</v>
      </c>
      <c r="AX759" s="31">
        <f t="shared" si="519"/>
        <v>0</v>
      </c>
      <c r="AY759" s="31">
        <f t="shared" si="520"/>
        <v>0</v>
      </c>
      <c r="AZ759" s="31">
        <f t="shared" si="521"/>
        <v>0</v>
      </c>
      <c r="BA759" s="31">
        <f t="shared" si="522"/>
        <v>0</v>
      </c>
      <c r="BB759" s="31">
        <f t="shared" si="551"/>
        <v>0</v>
      </c>
      <c r="BM759" s="8">
        <f t="shared" si="552"/>
        <v>0</v>
      </c>
      <c r="BN759" s="8">
        <f t="shared" si="523"/>
        <v>0</v>
      </c>
      <c r="BO759" s="8">
        <f t="shared" si="524"/>
        <v>0</v>
      </c>
      <c r="BQ759" s="8">
        <f t="shared" si="525"/>
        <v>0</v>
      </c>
      <c r="BR759" s="63">
        <f t="shared" si="526"/>
        <v>0</v>
      </c>
      <c r="BS759" s="63">
        <f t="shared" si="553"/>
        <v>0</v>
      </c>
      <c r="BT759" s="63">
        <f t="shared" si="527"/>
        <v>0</v>
      </c>
      <c r="BU759" s="63">
        <f t="shared" si="528"/>
        <v>0</v>
      </c>
      <c r="BV759" s="57">
        <f t="shared" si="529"/>
        <v>0</v>
      </c>
      <c r="BW759" s="57">
        <f t="shared" si="530"/>
        <v>0</v>
      </c>
      <c r="BX759" s="57">
        <f t="shared" si="554"/>
        <v>0</v>
      </c>
      <c r="BY759" s="57">
        <f t="shared" si="558"/>
        <v>0</v>
      </c>
      <c r="BZ759" s="8">
        <f t="shared" si="531"/>
        <v>0</v>
      </c>
      <c r="CA759" s="8">
        <f t="shared" si="532"/>
        <v>0</v>
      </c>
      <c r="CB759" s="8">
        <f t="shared" si="533"/>
        <v>0</v>
      </c>
      <c r="CC759" s="8">
        <f t="shared" si="534"/>
        <v>0</v>
      </c>
      <c r="CD759" s="8">
        <f t="shared" si="535"/>
        <v>0</v>
      </c>
      <c r="CE759" s="8">
        <f t="shared" si="536"/>
        <v>0</v>
      </c>
      <c r="CF759" s="8">
        <f t="shared" si="537"/>
        <v>0</v>
      </c>
      <c r="CG759" s="8">
        <f t="shared" si="538"/>
        <v>0</v>
      </c>
      <c r="CH759" s="8">
        <f t="shared" si="539"/>
        <v>0</v>
      </c>
      <c r="CI759" s="8">
        <f t="shared" si="540"/>
        <v>0</v>
      </c>
      <c r="CJ759" s="8">
        <f t="shared" si="541"/>
        <v>0</v>
      </c>
      <c r="CK759" s="8">
        <f t="shared" si="542"/>
        <v>0</v>
      </c>
      <c r="CL759" s="8">
        <f t="shared" si="543"/>
        <v>0</v>
      </c>
      <c r="CM759" s="8">
        <f t="shared" si="544"/>
        <v>0</v>
      </c>
      <c r="CN759" s="8">
        <f t="shared" si="545"/>
        <v>0</v>
      </c>
      <c r="CO759" s="8">
        <f t="shared" si="546"/>
        <v>0</v>
      </c>
      <c r="CP759" s="8">
        <f t="shared" si="547"/>
        <v>0</v>
      </c>
      <c r="CQ759" s="8">
        <f t="shared" si="548"/>
        <v>0</v>
      </c>
      <c r="CR759" s="8">
        <f t="shared" si="549"/>
        <v>0</v>
      </c>
      <c r="CS759" s="8">
        <f t="shared" si="550"/>
        <v>0</v>
      </c>
      <c r="CT759" s="8">
        <f t="shared" si="555"/>
        <v>0</v>
      </c>
      <c r="CU759" s="8">
        <f t="shared" si="556"/>
        <v>0</v>
      </c>
      <c r="CV759" s="8">
        <f t="shared" si="557"/>
        <v>0</v>
      </c>
    </row>
    <row r="760" spans="1:100" ht="20.5" thickTop="1" thickBot="1" x14ac:dyDescent="0.5">
      <c r="A760" s="32"/>
      <c r="B760" s="10"/>
      <c r="C760" s="10"/>
      <c r="D760" s="11"/>
      <c r="E760" s="10"/>
      <c r="F760" s="10"/>
      <c r="G760" s="19"/>
      <c r="H760" s="19"/>
      <c r="I760" s="19"/>
      <c r="J760" s="19"/>
      <c r="K760" s="10"/>
      <c r="L760" s="10"/>
      <c r="M760" s="10"/>
      <c r="N760" s="10"/>
      <c r="O760" s="18"/>
      <c r="P760" s="18"/>
      <c r="Q760" s="21"/>
      <c r="R760" s="20"/>
      <c r="S760" s="16">
        <f t="shared" si="513"/>
        <v>0</v>
      </c>
      <c r="T760" s="11"/>
      <c r="AS760" s="31">
        <f t="shared" si="514"/>
        <v>0</v>
      </c>
      <c r="AT760" s="31">
        <f t="shared" si="515"/>
        <v>0</v>
      </c>
      <c r="AU760" s="31">
        <f t="shared" si="516"/>
        <v>0</v>
      </c>
      <c r="AV760" s="31">
        <f t="shared" si="517"/>
        <v>0</v>
      </c>
      <c r="AW760" s="31">
        <f t="shared" si="518"/>
        <v>0</v>
      </c>
      <c r="AX760" s="31">
        <f t="shared" si="519"/>
        <v>0</v>
      </c>
      <c r="AY760" s="31">
        <f t="shared" si="520"/>
        <v>0</v>
      </c>
      <c r="AZ760" s="31">
        <f t="shared" si="521"/>
        <v>0</v>
      </c>
      <c r="BA760" s="31">
        <f t="shared" si="522"/>
        <v>0</v>
      </c>
      <c r="BB760" s="31">
        <f t="shared" si="551"/>
        <v>0</v>
      </c>
      <c r="BM760" s="8">
        <f t="shared" si="552"/>
        <v>0</v>
      </c>
      <c r="BN760" s="8">
        <f t="shared" si="523"/>
        <v>0</v>
      </c>
      <c r="BO760" s="8">
        <f t="shared" si="524"/>
        <v>0</v>
      </c>
      <c r="BQ760" s="8">
        <f t="shared" si="525"/>
        <v>0</v>
      </c>
      <c r="BR760" s="63">
        <f t="shared" si="526"/>
        <v>0</v>
      </c>
      <c r="BS760" s="63">
        <f t="shared" si="553"/>
        <v>0</v>
      </c>
      <c r="BT760" s="63">
        <f t="shared" si="527"/>
        <v>0</v>
      </c>
      <c r="BU760" s="63">
        <f t="shared" si="528"/>
        <v>0</v>
      </c>
      <c r="BV760" s="57">
        <f t="shared" si="529"/>
        <v>0</v>
      </c>
      <c r="BW760" s="57">
        <f t="shared" si="530"/>
        <v>0</v>
      </c>
      <c r="BX760" s="57">
        <f t="shared" si="554"/>
        <v>0</v>
      </c>
      <c r="BY760" s="57">
        <f t="shared" si="558"/>
        <v>0</v>
      </c>
      <c r="BZ760" s="8">
        <f t="shared" si="531"/>
        <v>0</v>
      </c>
      <c r="CA760" s="8">
        <f t="shared" si="532"/>
        <v>0</v>
      </c>
      <c r="CB760" s="8">
        <f t="shared" si="533"/>
        <v>0</v>
      </c>
      <c r="CC760" s="8">
        <f t="shared" si="534"/>
        <v>0</v>
      </c>
      <c r="CD760" s="8">
        <f t="shared" si="535"/>
        <v>0</v>
      </c>
      <c r="CE760" s="8">
        <f t="shared" si="536"/>
        <v>0</v>
      </c>
      <c r="CF760" s="8">
        <f t="shared" si="537"/>
        <v>0</v>
      </c>
      <c r="CG760" s="8">
        <f t="shared" si="538"/>
        <v>0</v>
      </c>
      <c r="CH760" s="8">
        <f t="shared" si="539"/>
        <v>0</v>
      </c>
      <c r="CI760" s="8">
        <f t="shared" si="540"/>
        <v>0</v>
      </c>
      <c r="CJ760" s="8">
        <f t="shared" si="541"/>
        <v>0</v>
      </c>
      <c r="CK760" s="8">
        <f t="shared" si="542"/>
        <v>0</v>
      </c>
      <c r="CL760" s="8">
        <f t="shared" si="543"/>
        <v>0</v>
      </c>
      <c r="CM760" s="8">
        <f t="shared" si="544"/>
        <v>0</v>
      </c>
      <c r="CN760" s="8">
        <f t="shared" si="545"/>
        <v>0</v>
      </c>
      <c r="CO760" s="8">
        <f t="shared" si="546"/>
        <v>0</v>
      </c>
      <c r="CP760" s="8">
        <f t="shared" si="547"/>
        <v>0</v>
      </c>
      <c r="CQ760" s="8">
        <f t="shared" si="548"/>
        <v>0</v>
      </c>
      <c r="CR760" s="8">
        <f t="shared" si="549"/>
        <v>0</v>
      </c>
      <c r="CS760" s="8">
        <f t="shared" si="550"/>
        <v>0</v>
      </c>
      <c r="CT760" s="8">
        <f t="shared" si="555"/>
        <v>0</v>
      </c>
      <c r="CU760" s="8">
        <f t="shared" si="556"/>
        <v>0</v>
      </c>
      <c r="CV760" s="8">
        <f t="shared" si="557"/>
        <v>0</v>
      </c>
    </row>
    <row r="761" spans="1:100" ht="20.5" thickTop="1" thickBot="1" x14ac:dyDescent="0.5">
      <c r="A761" s="32"/>
      <c r="B761" s="10"/>
      <c r="C761" s="10"/>
      <c r="D761" s="11"/>
      <c r="E761" s="10"/>
      <c r="F761" s="10"/>
      <c r="G761" s="19"/>
      <c r="H761" s="19"/>
      <c r="I761" s="19"/>
      <c r="J761" s="19"/>
      <c r="K761" s="10"/>
      <c r="L761" s="10"/>
      <c r="M761" s="10"/>
      <c r="N761" s="10"/>
      <c r="O761" s="18"/>
      <c r="P761" s="18"/>
      <c r="Q761" s="21"/>
      <c r="R761" s="20"/>
      <c r="S761" s="16">
        <f t="shared" si="513"/>
        <v>0</v>
      </c>
      <c r="T761" s="11"/>
      <c r="AS761" s="31">
        <f t="shared" si="514"/>
        <v>0</v>
      </c>
      <c r="AT761" s="31">
        <f t="shared" si="515"/>
        <v>0</v>
      </c>
      <c r="AU761" s="31">
        <f t="shared" si="516"/>
        <v>0</v>
      </c>
      <c r="AV761" s="31">
        <f t="shared" si="517"/>
        <v>0</v>
      </c>
      <c r="AW761" s="31">
        <f t="shared" si="518"/>
        <v>0</v>
      </c>
      <c r="AX761" s="31">
        <f t="shared" si="519"/>
        <v>0</v>
      </c>
      <c r="AY761" s="31">
        <f t="shared" si="520"/>
        <v>0</v>
      </c>
      <c r="AZ761" s="31">
        <f t="shared" si="521"/>
        <v>0</v>
      </c>
      <c r="BA761" s="31">
        <f t="shared" si="522"/>
        <v>0</v>
      </c>
      <c r="BB761" s="31">
        <f t="shared" si="551"/>
        <v>0</v>
      </c>
      <c r="BM761" s="8">
        <f t="shared" si="552"/>
        <v>0</v>
      </c>
      <c r="BN761" s="8">
        <f t="shared" si="523"/>
        <v>0</v>
      </c>
      <c r="BO761" s="8">
        <f t="shared" si="524"/>
        <v>0</v>
      </c>
      <c r="BQ761" s="8">
        <f t="shared" si="525"/>
        <v>0</v>
      </c>
      <c r="BR761" s="63">
        <f t="shared" si="526"/>
        <v>0</v>
      </c>
      <c r="BS761" s="63">
        <f t="shared" si="553"/>
        <v>0</v>
      </c>
      <c r="BT761" s="63">
        <f t="shared" si="527"/>
        <v>0</v>
      </c>
      <c r="BU761" s="63">
        <f t="shared" si="528"/>
        <v>0</v>
      </c>
      <c r="BV761" s="57">
        <f t="shared" si="529"/>
        <v>0</v>
      </c>
      <c r="BW761" s="57">
        <f t="shared" si="530"/>
        <v>0</v>
      </c>
      <c r="BX761" s="57">
        <f t="shared" si="554"/>
        <v>0</v>
      </c>
      <c r="BY761" s="57">
        <f t="shared" si="558"/>
        <v>0</v>
      </c>
      <c r="BZ761" s="8">
        <f t="shared" si="531"/>
        <v>0</v>
      </c>
      <c r="CA761" s="8">
        <f t="shared" si="532"/>
        <v>0</v>
      </c>
      <c r="CB761" s="8">
        <f t="shared" si="533"/>
        <v>0</v>
      </c>
      <c r="CC761" s="8">
        <f t="shared" si="534"/>
        <v>0</v>
      </c>
      <c r="CD761" s="8">
        <f t="shared" si="535"/>
        <v>0</v>
      </c>
      <c r="CE761" s="8">
        <f t="shared" si="536"/>
        <v>0</v>
      </c>
      <c r="CF761" s="8">
        <f t="shared" si="537"/>
        <v>0</v>
      </c>
      <c r="CG761" s="8">
        <f t="shared" si="538"/>
        <v>0</v>
      </c>
      <c r="CH761" s="8">
        <f t="shared" si="539"/>
        <v>0</v>
      </c>
      <c r="CI761" s="8">
        <f t="shared" si="540"/>
        <v>0</v>
      </c>
      <c r="CJ761" s="8">
        <f t="shared" si="541"/>
        <v>0</v>
      </c>
      <c r="CK761" s="8">
        <f t="shared" si="542"/>
        <v>0</v>
      </c>
      <c r="CL761" s="8">
        <f t="shared" si="543"/>
        <v>0</v>
      </c>
      <c r="CM761" s="8">
        <f t="shared" si="544"/>
        <v>0</v>
      </c>
      <c r="CN761" s="8">
        <f t="shared" si="545"/>
        <v>0</v>
      </c>
      <c r="CO761" s="8">
        <f t="shared" si="546"/>
        <v>0</v>
      </c>
      <c r="CP761" s="8">
        <f t="shared" si="547"/>
        <v>0</v>
      </c>
      <c r="CQ761" s="8">
        <f t="shared" si="548"/>
        <v>0</v>
      </c>
      <c r="CR761" s="8">
        <f t="shared" si="549"/>
        <v>0</v>
      </c>
      <c r="CS761" s="8">
        <f t="shared" si="550"/>
        <v>0</v>
      </c>
      <c r="CT761" s="8">
        <f t="shared" si="555"/>
        <v>0</v>
      </c>
      <c r="CU761" s="8">
        <f t="shared" si="556"/>
        <v>0</v>
      </c>
      <c r="CV761" s="8">
        <f t="shared" si="557"/>
        <v>0</v>
      </c>
    </row>
    <row r="762" spans="1:100" ht="20.5" thickTop="1" thickBot="1" x14ac:dyDescent="0.5">
      <c r="A762" s="32"/>
      <c r="B762" s="10"/>
      <c r="C762" s="10"/>
      <c r="D762" s="11"/>
      <c r="E762" s="10"/>
      <c r="F762" s="10"/>
      <c r="G762" s="19"/>
      <c r="H762" s="19"/>
      <c r="I762" s="19"/>
      <c r="J762" s="19"/>
      <c r="K762" s="10"/>
      <c r="L762" s="10"/>
      <c r="M762" s="10"/>
      <c r="N762" s="10"/>
      <c r="O762" s="18"/>
      <c r="P762" s="18"/>
      <c r="Q762" s="21"/>
      <c r="R762" s="20"/>
      <c r="S762" s="16">
        <f t="shared" si="513"/>
        <v>0</v>
      </c>
      <c r="T762" s="11"/>
      <c r="AS762" s="31">
        <f t="shared" si="514"/>
        <v>0</v>
      </c>
      <c r="AT762" s="31">
        <f t="shared" si="515"/>
        <v>0</v>
      </c>
      <c r="AU762" s="31">
        <f t="shared" si="516"/>
        <v>0</v>
      </c>
      <c r="AV762" s="31">
        <f t="shared" si="517"/>
        <v>0</v>
      </c>
      <c r="AW762" s="31">
        <f t="shared" si="518"/>
        <v>0</v>
      </c>
      <c r="AX762" s="31">
        <f t="shared" si="519"/>
        <v>0</v>
      </c>
      <c r="AY762" s="31">
        <f t="shared" si="520"/>
        <v>0</v>
      </c>
      <c r="AZ762" s="31">
        <f t="shared" si="521"/>
        <v>0</v>
      </c>
      <c r="BA762" s="31">
        <f t="shared" si="522"/>
        <v>0</v>
      </c>
      <c r="BB762" s="31">
        <f t="shared" si="551"/>
        <v>0</v>
      </c>
      <c r="BM762" s="8">
        <f t="shared" si="552"/>
        <v>0</v>
      </c>
      <c r="BN762" s="8">
        <f t="shared" si="523"/>
        <v>0</v>
      </c>
      <c r="BO762" s="8">
        <f t="shared" si="524"/>
        <v>0</v>
      </c>
      <c r="BQ762" s="8">
        <f t="shared" si="525"/>
        <v>0</v>
      </c>
      <c r="BR762" s="63">
        <f t="shared" si="526"/>
        <v>0</v>
      </c>
      <c r="BS762" s="63">
        <f t="shared" si="553"/>
        <v>0</v>
      </c>
      <c r="BT762" s="63">
        <f t="shared" si="527"/>
        <v>0</v>
      </c>
      <c r="BU762" s="63">
        <f t="shared" si="528"/>
        <v>0</v>
      </c>
      <c r="BV762" s="57">
        <f t="shared" si="529"/>
        <v>0</v>
      </c>
      <c r="BW762" s="57">
        <f t="shared" si="530"/>
        <v>0</v>
      </c>
      <c r="BX762" s="57">
        <f t="shared" si="554"/>
        <v>0</v>
      </c>
      <c r="BY762" s="57">
        <f t="shared" si="558"/>
        <v>0</v>
      </c>
      <c r="BZ762" s="8">
        <f t="shared" si="531"/>
        <v>0</v>
      </c>
      <c r="CA762" s="8">
        <f t="shared" si="532"/>
        <v>0</v>
      </c>
      <c r="CB762" s="8">
        <f t="shared" si="533"/>
        <v>0</v>
      </c>
      <c r="CC762" s="8">
        <f t="shared" si="534"/>
        <v>0</v>
      </c>
      <c r="CD762" s="8">
        <f t="shared" si="535"/>
        <v>0</v>
      </c>
      <c r="CE762" s="8">
        <f t="shared" si="536"/>
        <v>0</v>
      </c>
      <c r="CF762" s="8">
        <f t="shared" si="537"/>
        <v>0</v>
      </c>
      <c r="CG762" s="8">
        <f t="shared" si="538"/>
        <v>0</v>
      </c>
      <c r="CH762" s="8">
        <f t="shared" si="539"/>
        <v>0</v>
      </c>
      <c r="CI762" s="8">
        <f t="shared" si="540"/>
        <v>0</v>
      </c>
      <c r="CJ762" s="8">
        <f t="shared" si="541"/>
        <v>0</v>
      </c>
      <c r="CK762" s="8">
        <f t="shared" si="542"/>
        <v>0</v>
      </c>
      <c r="CL762" s="8">
        <f t="shared" si="543"/>
        <v>0</v>
      </c>
      <c r="CM762" s="8">
        <f t="shared" si="544"/>
        <v>0</v>
      </c>
      <c r="CN762" s="8">
        <f t="shared" si="545"/>
        <v>0</v>
      </c>
      <c r="CO762" s="8">
        <f t="shared" si="546"/>
        <v>0</v>
      </c>
      <c r="CP762" s="8">
        <f t="shared" si="547"/>
        <v>0</v>
      </c>
      <c r="CQ762" s="8">
        <f t="shared" si="548"/>
        <v>0</v>
      </c>
      <c r="CR762" s="8">
        <f t="shared" si="549"/>
        <v>0</v>
      </c>
      <c r="CS762" s="8">
        <f t="shared" si="550"/>
        <v>0</v>
      </c>
      <c r="CT762" s="8">
        <f t="shared" si="555"/>
        <v>0</v>
      </c>
      <c r="CU762" s="8">
        <f t="shared" si="556"/>
        <v>0</v>
      </c>
      <c r="CV762" s="8">
        <f t="shared" si="557"/>
        <v>0</v>
      </c>
    </row>
    <row r="763" spans="1:100" ht="20.5" thickTop="1" thickBot="1" x14ac:dyDescent="0.5">
      <c r="A763" s="32"/>
      <c r="B763" s="10"/>
      <c r="C763" s="10"/>
      <c r="D763" s="11"/>
      <c r="E763" s="10"/>
      <c r="F763" s="10"/>
      <c r="G763" s="19"/>
      <c r="H763" s="19"/>
      <c r="I763" s="19"/>
      <c r="J763" s="19"/>
      <c r="K763" s="10"/>
      <c r="L763" s="10"/>
      <c r="M763" s="10"/>
      <c r="N763" s="10"/>
      <c r="O763" s="18"/>
      <c r="P763" s="18"/>
      <c r="Q763" s="21"/>
      <c r="R763" s="20"/>
      <c r="S763" s="16">
        <f t="shared" si="513"/>
        <v>0</v>
      </c>
      <c r="T763" s="11"/>
      <c r="AS763" s="31">
        <f t="shared" si="514"/>
        <v>0</v>
      </c>
      <c r="AT763" s="31">
        <f t="shared" si="515"/>
        <v>0</v>
      </c>
      <c r="AU763" s="31">
        <f t="shared" si="516"/>
        <v>0</v>
      </c>
      <c r="AV763" s="31">
        <f t="shared" si="517"/>
        <v>0</v>
      </c>
      <c r="AW763" s="31">
        <f t="shared" si="518"/>
        <v>0</v>
      </c>
      <c r="AX763" s="31">
        <f t="shared" si="519"/>
        <v>0</v>
      </c>
      <c r="AY763" s="31">
        <f t="shared" si="520"/>
        <v>0</v>
      </c>
      <c r="AZ763" s="31">
        <f t="shared" si="521"/>
        <v>0</v>
      </c>
      <c r="BA763" s="31">
        <f t="shared" si="522"/>
        <v>0</v>
      </c>
      <c r="BB763" s="31">
        <f t="shared" si="551"/>
        <v>0</v>
      </c>
      <c r="BM763" s="8">
        <f t="shared" si="552"/>
        <v>0</v>
      </c>
      <c r="BN763" s="8">
        <f t="shared" si="523"/>
        <v>0</v>
      </c>
      <c r="BO763" s="8">
        <f t="shared" si="524"/>
        <v>0</v>
      </c>
      <c r="BQ763" s="8">
        <f t="shared" si="525"/>
        <v>0</v>
      </c>
      <c r="BR763" s="63">
        <f t="shared" si="526"/>
        <v>0</v>
      </c>
      <c r="BS763" s="63">
        <f t="shared" si="553"/>
        <v>0</v>
      </c>
      <c r="BT763" s="63">
        <f t="shared" si="527"/>
        <v>0</v>
      </c>
      <c r="BU763" s="63">
        <f t="shared" si="528"/>
        <v>0</v>
      </c>
      <c r="BV763" s="57">
        <f t="shared" si="529"/>
        <v>0</v>
      </c>
      <c r="BW763" s="57">
        <f t="shared" si="530"/>
        <v>0</v>
      </c>
      <c r="BX763" s="57">
        <f t="shared" si="554"/>
        <v>0</v>
      </c>
      <c r="BY763" s="57">
        <f t="shared" si="558"/>
        <v>0</v>
      </c>
      <c r="BZ763" s="8">
        <f t="shared" si="531"/>
        <v>0</v>
      </c>
      <c r="CA763" s="8">
        <f t="shared" si="532"/>
        <v>0</v>
      </c>
      <c r="CB763" s="8">
        <f t="shared" si="533"/>
        <v>0</v>
      </c>
      <c r="CC763" s="8">
        <f t="shared" si="534"/>
        <v>0</v>
      </c>
      <c r="CD763" s="8">
        <f t="shared" si="535"/>
        <v>0</v>
      </c>
      <c r="CE763" s="8">
        <f t="shared" si="536"/>
        <v>0</v>
      </c>
      <c r="CF763" s="8">
        <f t="shared" si="537"/>
        <v>0</v>
      </c>
      <c r="CG763" s="8">
        <f t="shared" si="538"/>
        <v>0</v>
      </c>
      <c r="CH763" s="8">
        <f t="shared" si="539"/>
        <v>0</v>
      </c>
      <c r="CI763" s="8">
        <f t="shared" si="540"/>
        <v>0</v>
      </c>
      <c r="CJ763" s="8">
        <f t="shared" si="541"/>
        <v>0</v>
      </c>
      <c r="CK763" s="8">
        <f t="shared" si="542"/>
        <v>0</v>
      </c>
      <c r="CL763" s="8">
        <f t="shared" si="543"/>
        <v>0</v>
      </c>
      <c r="CM763" s="8">
        <f t="shared" si="544"/>
        <v>0</v>
      </c>
      <c r="CN763" s="8">
        <f t="shared" si="545"/>
        <v>0</v>
      </c>
      <c r="CO763" s="8">
        <f t="shared" si="546"/>
        <v>0</v>
      </c>
      <c r="CP763" s="8">
        <f t="shared" si="547"/>
        <v>0</v>
      </c>
      <c r="CQ763" s="8">
        <f t="shared" si="548"/>
        <v>0</v>
      </c>
      <c r="CR763" s="8">
        <f t="shared" si="549"/>
        <v>0</v>
      </c>
      <c r="CS763" s="8">
        <f t="shared" si="550"/>
        <v>0</v>
      </c>
      <c r="CT763" s="8">
        <f t="shared" si="555"/>
        <v>0</v>
      </c>
      <c r="CU763" s="8">
        <f t="shared" si="556"/>
        <v>0</v>
      </c>
      <c r="CV763" s="8">
        <f t="shared" si="557"/>
        <v>0</v>
      </c>
    </row>
    <row r="764" spans="1:100" ht="20.5" thickTop="1" thickBot="1" x14ac:dyDescent="0.5">
      <c r="A764" s="32"/>
      <c r="B764" s="10"/>
      <c r="C764" s="10"/>
      <c r="D764" s="11"/>
      <c r="E764" s="10"/>
      <c r="F764" s="10"/>
      <c r="G764" s="19"/>
      <c r="H764" s="19"/>
      <c r="I764" s="19"/>
      <c r="J764" s="19"/>
      <c r="K764" s="10"/>
      <c r="L764" s="10"/>
      <c r="M764" s="10"/>
      <c r="N764" s="10"/>
      <c r="O764" s="18"/>
      <c r="P764" s="18"/>
      <c r="Q764" s="21"/>
      <c r="R764" s="20"/>
      <c r="S764" s="16">
        <f t="shared" si="513"/>
        <v>0</v>
      </c>
      <c r="T764" s="11"/>
      <c r="AS764" s="31">
        <f t="shared" si="514"/>
        <v>0</v>
      </c>
      <c r="AT764" s="31">
        <f t="shared" si="515"/>
        <v>0</v>
      </c>
      <c r="AU764" s="31">
        <f t="shared" si="516"/>
        <v>0</v>
      </c>
      <c r="AV764" s="31">
        <f t="shared" si="517"/>
        <v>0</v>
      </c>
      <c r="AW764" s="31">
        <f t="shared" si="518"/>
        <v>0</v>
      </c>
      <c r="AX764" s="31">
        <f t="shared" si="519"/>
        <v>0</v>
      </c>
      <c r="AY764" s="31">
        <f t="shared" si="520"/>
        <v>0</v>
      </c>
      <c r="AZ764" s="31">
        <f t="shared" si="521"/>
        <v>0</v>
      </c>
      <c r="BA764" s="31">
        <f t="shared" si="522"/>
        <v>0</v>
      </c>
      <c r="BB764" s="31">
        <f t="shared" si="551"/>
        <v>0</v>
      </c>
      <c r="BM764" s="8">
        <f t="shared" si="552"/>
        <v>0</v>
      </c>
      <c r="BN764" s="8">
        <f t="shared" si="523"/>
        <v>0</v>
      </c>
      <c r="BO764" s="8">
        <f t="shared" si="524"/>
        <v>0</v>
      </c>
      <c r="BQ764" s="8">
        <f t="shared" si="525"/>
        <v>0</v>
      </c>
      <c r="BR764" s="63">
        <f t="shared" si="526"/>
        <v>0</v>
      </c>
      <c r="BS764" s="63">
        <f t="shared" si="553"/>
        <v>0</v>
      </c>
      <c r="BT764" s="63">
        <f t="shared" si="527"/>
        <v>0</v>
      </c>
      <c r="BU764" s="63">
        <f t="shared" si="528"/>
        <v>0</v>
      </c>
      <c r="BV764" s="57">
        <f t="shared" si="529"/>
        <v>0</v>
      </c>
      <c r="BW764" s="57">
        <f t="shared" si="530"/>
        <v>0</v>
      </c>
      <c r="BX764" s="57">
        <f t="shared" si="554"/>
        <v>0</v>
      </c>
      <c r="BY764" s="57">
        <f t="shared" si="558"/>
        <v>0</v>
      </c>
      <c r="BZ764" s="8">
        <f t="shared" si="531"/>
        <v>0</v>
      </c>
      <c r="CA764" s="8">
        <f t="shared" si="532"/>
        <v>0</v>
      </c>
      <c r="CB764" s="8">
        <f t="shared" si="533"/>
        <v>0</v>
      </c>
      <c r="CC764" s="8">
        <f t="shared" si="534"/>
        <v>0</v>
      </c>
      <c r="CD764" s="8">
        <f t="shared" si="535"/>
        <v>0</v>
      </c>
      <c r="CE764" s="8">
        <f t="shared" si="536"/>
        <v>0</v>
      </c>
      <c r="CF764" s="8">
        <f t="shared" si="537"/>
        <v>0</v>
      </c>
      <c r="CG764" s="8">
        <f t="shared" si="538"/>
        <v>0</v>
      </c>
      <c r="CH764" s="8">
        <f t="shared" si="539"/>
        <v>0</v>
      </c>
      <c r="CI764" s="8">
        <f t="shared" si="540"/>
        <v>0</v>
      </c>
      <c r="CJ764" s="8">
        <f t="shared" si="541"/>
        <v>0</v>
      </c>
      <c r="CK764" s="8">
        <f t="shared" si="542"/>
        <v>0</v>
      </c>
      <c r="CL764" s="8">
        <f t="shared" si="543"/>
        <v>0</v>
      </c>
      <c r="CM764" s="8">
        <f t="shared" si="544"/>
        <v>0</v>
      </c>
      <c r="CN764" s="8">
        <f t="shared" si="545"/>
        <v>0</v>
      </c>
      <c r="CO764" s="8">
        <f t="shared" si="546"/>
        <v>0</v>
      </c>
      <c r="CP764" s="8">
        <f t="shared" si="547"/>
        <v>0</v>
      </c>
      <c r="CQ764" s="8">
        <f t="shared" si="548"/>
        <v>0</v>
      </c>
      <c r="CR764" s="8">
        <f t="shared" si="549"/>
        <v>0</v>
      </c>
      <c r="CS764" s="8">
        <f t="shared" si="550"/>
        <v>0</v>
      </c>
      <c r="CT764" s="8">
        <f t="shared" si="555"/>
        <v>0</v>
      </c>
      <c r="CU764" s="8">
        <f t="shared" si="556"/>
        <v>0</v>
      </c>
      <c r="CV764" s="8">
        <f t="shared" si="557"/>
        <v>0</v>
      </c>
    </row>
    <row r="765" spans="1:100" ht="20.5" thickTop="1" thickBot="1" x14ac:dyDescent="0.5">
      <c r="A765" s="32"/>
      <c r="B765" s="10"/>
      <c r="C765" s="10"/>
      <c r="D765" s="11"/>
      <c r="E765" s="10"/>
      <c r="F765" s="10"/>
      <c r="G765" s="19"/>
      <c r="H765" s="19"/>
      <c r="I765" s="19"/>
      <c r="J765" s="19"/>
      <c r="K765" s="10"/>
      <c r="L765" s="10"/>
      <c r="M765" s="10"/>
      <c r="N765" s="10"/>
      <c r="O765" s="18"/>
      <c r="P765" s="18"/>
      <c r="Q765" s="21"/>
      <c r="R765" s="20"/>
      <c r="S765" s="16">
        <f t="shared" si="513"/>
        <v>0</v>
      </c>
      <c r="T765" s="11"/>
      <c r="AS765" s="31">
        <f t="shared" si="514"/>
        <v>0</v>
      </c>
      <c r="AT765" s="31">
        <f t="shared" si="515"/>
        <v>0</v>
      </c>
      <c r="AU765" s="31">
        <f t="shared" si="516"/>
        <v>0</v>
      </c>
      <c r="AV765" s="31">
        <f t="shared" si="517"/>
        <v>0</v>
      </c>
      <c r="AW765" s="31">
        <f t="shared" si="518"/>
        <v>0</v>
      </c>
      <c r="AX765" s="31">
        <f t="shared" si="519"/>
        <v>0</v>
      </c>
      <c r="AY765" s="31">
        <f t="shared" si="520"/>
        <v>0</v>
      </c>
      <c r="AZ765" s="31">
        <f t="shared" si="521"/>
        <v>0</v>
      </c>
      <c r="BA765" s="31">
        <f t="shared" si="522"/>
        <v>0</v>
      </c>
      <c r="BB765" s="31">
        <f t="shared" si="551"/>
        <v>0</v>
      </c>
      <c r="BM765" s="8">
        <f t="shared" si="552"/>
        <v>0</v>
      </c>
      <c r="BN765" s="8">
        <f t="shared" si="523"/>
        <v>0</v>
      </c>
      <c r="BO765" s="8">
        <f t="shared" si="524"/>
        <v>0</v>
      </c>
      <c r="BQ765" s="8">
        <f t="shared" si="525"/>
        <v>0</v>
      </c>
      <c r="BR765" s="63">
        <f t="shared" si="526"/>
        <v>0</v>
      </c>
      <c r="BS765" s="63">
        <f t="shared" si="553"/>
        <v>0</v>
      </c>
      <c r="BT765" s="63">
        <f t="shared" si="527"/>
        <v>0</v>
      </c>
      <c r="BU765" s="63">
        <f t="shared" si="528"/>
        <v>0</v>
      </c>
      <c r="BV765" s="57">
        <f t="shared" si="529"/>
        <v>0</v>
      </c>
      <c r="BW765" s="57">
        <f t="shared" si="530"/>
        <v>0</v>
      </c>
      <c r="BX765" s="57">
        <f t="shared" si="554"/>
        <v>0</v>
      </c>
      <c r="BY765" s="57">
        <f t="shared" si="558"/>
        <v>0</v>
      </c>
      <c r="BZ765" s="8">
        <f t="shared" si="531"/>
        <v>0</v>
      </c>
      <c r="CA765" s="8">
        <f t="shared" si="532"/>
        <v>0</v>
      </c>
      <c r="CB765" s="8">
        <f t="shared" si="533"/>
        <v>0</v>
      </c>
      <c r="CC765" s="8">
        <f t="shared" si="534"/>
        <v>0</v>
      </c>
      <c r="CD765" s="8">
        <f t="shared" si="535"/>
        <v>0</v>
      </c>
      <c r="CE765" s="8">
        <f t="shared" si="536"/>
        <v>0</v>
      </c>
      <c r="CF765" s="8">
        <f t="shared" si="537"/>
        <v>0</v>
      </c>
      <c r="CG765" s="8">
        <f t="shared" si="538"/>
        <v>0</v>
      </c>
      <c r="CH765" s="8">
        <f t="shared" si="539"/>
        <v>0</v>
      </c>
      <c r="CI765" s="8">
        <f t="shared" si="540"/>
        <v>0</v>
      </c>
      <c r="CJ765" s="8">
        <f t="shared" si="541"/>
        <v>0</v>
      </c>
      <c r="CK765" s="8">
        <f t="shared" si="542"/>
        <v>0</v>
      </c>
      <c r="CL765" s="8">
        <f t="shared" si="543"/>
        <v>0</v>
      </c>
      <c r="CM765" s="8">
        <f t="shared" si="544"/>
        <v>0</v>
      </c>
      <c r="CN765" s="8">
        <f t="shared" si="545"/>
        <v>0</v>
      </c>
      <c r="CO765" s="8">
        <f t="shared" si="546"/>
        <v>0</v>
      </c>
      <c r="CP765" s="8">
        <f t="shared" si="547"/>
        <v>0</v>
      </c>
      <c r="CQ765" s="8">
        <f t="shared" si="548"/>
        <v>0</v>
      </c>
      <c r="CR765" s="8">
        <f t="shared" si="549"/>
        <v>0</v>
      </c>
      <c r="CS765" s="8">
        <f t="shared" si="550"/>
        <v>0</v>
      </c>
      <c r="CT765" s="8">
        <f t="shared" si="555"/>
        <v>0</v>
      </c>
      <c r="CU765" s="8">
        <f t="shared" si="556"/>
        <v>0</v>
      </c>
      <c r="CV765" s="8">
        <f t="shared" si="557"/>
        <v>0</v>
      </c>
    </row>
    <row r="766" spans="1:100" ht="20.5" thickTop="1" thickBot="1" x14ac:dyDescent="0.5">
      <c r="A766" s="32"/>
      <c r="B766" s="10"/>
      <c r="C766" s="10"/>
      <c r="D766" s="11"/>
      <c r="E766" s="10"/>
      <c r="F766" s="10"/>
      <c r="G766" s="19"/>
      <c r="H766" s="19"/>
      <c r="I766" s="19"/>
      <c r="J766" s="19"/>
      <c r="K766" s="10"/>
      <c r="L766" s="10"/>
      <c r="M766" s="10"/>
      <c r="N766" s="10"/>
      <c r="O766" s="18"/>
      <c r="P766" s="18"/>
      <c r="Q766" s="21"/>
      <c r="R766" s="20"/>
      <c r="S766" s="16">
        <f t="shared" si="513"/>
        <v>0</v>
      </c>
      <c r="T766" s="11"/>
      <c r="AS766" s="31">
        <f t="shared" si="514"/>
        <v>0</v>
      </c>
      <c r="AT766" s="31">
        <f t="shared" si="515"/>
        <v>0</v>
      </c>
      <c r="AU766" s="31">
        <f t="shared" si="516"/>
        <v>0</v>
      </c>
      <c r="AV766" s="31">
        <f t="shared" si="517"/>
        <v>0</v>
      </c>
      <c r="AW766" s="31">
        <f t="shared" si="518"/>
        <v>0</v>
      </c>
      <c r="AX766" s="31">
        <f t="shared" si="519"/>
        <v>0</v>
      </c>
      <c r="AY766" s="31">
        <f t="shared" si="520"/>
        <v>0</v>
      </c>
      <c r="AZ766" s="31">
        <f t="shared" si="521"/>
        <v>0</v>
      </c>
      <c r="BA766" s="31">
        <f t="shared" si="522"/>
        <v>0</v>
      </c>
      <c r="BB766" s="31">
        <f t="shared" si="551"/>
        <v>0</v>
      </c>
      <c r="BM766" s="8">
        <f t="shared" si="552"/>
        <v>0</v>
      </c>
      <c r="BN766" s="8">
        <f t="shared" si="523"/>
        <v>0</v>
      </c>
      <c r="BO766" s="8">
        <f t="shared" si="524"/>
        <v>0</v>
      </c>
      <c r="BQ766" s="8">
        <f t="shared" si="525"/>
        <v>0</v>
      </c>
      <c r="BR766" s="63">
        <f t="shared" si="526"/>
        <v>0</v>
      </c>
      <c r="BS766" s="63">
        <f t="shared" si="553"/>
        <v>0</v>
      </c>
      <c r="BT766" s="63">
        <f t="shared" si="527"/>
        <v>0</v>
      </c>
      <c r="BU766" s="63">
        <f t="shared" si="528"/>
        <v>0</v>
      </c>
      <c r="BV766" s="57">
        <f t="shared" si="529"/>
        <v>0</v>
      </c>
      <c r="BW766" s="57">
        <f t="shared" si="530"/>
        <v>0</v>
      </c>
      <c r="BX766" s="57">
        <f t="shared" si="554"/>
        <v>0</v>
      </c>
      <c r="BY766" s="57">
        <f t="shared" si="558"/>
        <v>0</v>
      </c>
      <c r="BZ766" s="8">
        <f t="shared" si="531"/>
        <v>0</v>
      </c>
      <c r="CA766" s="8">
        <f t="shared" si="532"/>
        <v>0</v>
      </c>
      <c r="CB766" s="8">
        <f t="shared" si="533"/>
        <v>0</v>
      </c>
      <c r="CC766" s="8">
        <f t="shared" si="534"/>
        <v>0</v>
      </c>
      <c r="CD766" s="8">
        <f t="shared" si="535"/>
        <v>0</v>
      </c>
      <c r="CE766" s="8">
        <f t="shared" si="536"/>
        <v>0</v>
      </c>
      <c r="CF766" s="8">
        <f t="shared" si="537"/>
        <v>0</v>
      </c>
      <c r="CG766" s="8">
        <f t="shared" si="538"/>
        <v>0</v>
      </c>
      <c r="CH766" s="8">
        <f t="shared" si="539"/>
        <v>0</v>
      </c>
      <c r="CI766" s="8">
        <f t="shared" si="540"/>
        <v>0</v>
      </c>
      <c r="CJ766" s="8">
        <f t="shared" si="541"/>
        <v>0</v>
      </c>
      <c r="CK766" s="8">
        <f t="shared" si="542"/>
        <v>0</v>
      </c>
      <c r="CL766" s="8">
        <f t="shared" si="543"/>
        <v>0</v>
      </c>
      <c r="CM766" s="8">
        <f t="shared" si="544"/>
        <v>0</v>
      </c>
      <c r="CN766" s="8">
        <f t="shared" si="545"/>
        <v>0</v>
      </c>
      <c r="CO766" s="8">
        <f t="shared" si="546"/>
        <v>0</v>
      </c>
      <c r="CP766" s="8">
        <f t="shared" si="547"/>
        <v>0</v>
      </c>
      <c r="CQ766" s="8">
        <f t="shared" si="548"/>
        <v>0</v>
      </c>
      <c r="CR766" s="8">
        <f t="shared" si="549"/>
        <v>0</v>
      </c>
      <c r="CS766" s="8">
        <f t="shared" si="550"/>
        <v>0</v>
      </c>
      <c r="CT766" s="8">
        <f t="shared" si="555"/>
        <v>0</v>
      </c>
      <c r="CU766" s="8">
        <f t="shared" si="556"/>
        <v>0</v>
      </c>
      <c r="CV766" s="8">
        <f t="shared" si="557"/>
        <v>0</v>
      </c>
    </row>
    <row r="767" spans="1:100" ht="20.5" thickTop="1" thickBot="1" x14ac:dyDescent="0.5">
      <c r="A767" s="32"/>
      <c r="B767" s="10"/>
      <c r="C767" s="10"/>
      <c r="D767" s="11"/>
      <c r="E767" s="10"/>
      <c r="F767" s="10"/>
      <c r="G767" s="19"/>
      <c r="H767" s="19"/>
      <c r="I767" s="19"/>
      <c r="J767" s="19"/>
      <c r="K767" s="10"/>
      <c r="L767" s="10"/>
      <c r="M767" s="10"/>
      <c r="N767" s="10"/>
      <c r="O767" s="18"/>
      <c r="P767" s="18"/>
      <c r="Q767" s="21"/>
      <c r="R767" s="20"/>
      <c r="S767" s="16">
        <f t="shared" si="513"/>
        <v>0</v>
      </c>
      <c r="T767" s="11"/>
      <c r="AS767" s="31">
        <f t="shared" si="514"/>
        <v>0</v>
      </c>
      <c r="AT767" s="31">
        <f t="shared" si="515"/>
        <v>0</v>
      </c>
      <c r="AU767" s="31">
        <f t="shared" si="516"/>
        <v>0</v>
      </c>
      <c r="AV767" s="31">
        <f t="shared" si="517"/>
        <v>0</v>
      </c>
      <c r="AW767" s="31">
        <f t="shared" si="518"/>
        <v>0</v>
      </c>
      <c r="AX767" s="31">
        <f t="shared" si="519"/>
        <v>0</v>
      </c>
      <c r="AY767" s="31">
        <f t="shared" si="520"/>
        <v>0</v>
      </c>
      <c r="AZ767" s="31">
        <f t="shared" si="521"/>
        <v>0</v>
      </c>
      <c r="BA767" s="31">
        <f t="shared" si="522"/>
        <v>0</v>
      </c>
      <c r="BB767" s="31">
        <f t="shared" si="551"/>
        <v>0</v>
      </c>
      <c r="BM767" s="8">
        <f t="shared" si="552"/>
        <v>0</v>
      </c>
      <c r="BN767" s="8">
        <f t="shared" si="523"/>
        <v>0</v>
      </c>
      <c r="BO767" s="8">
        <f t="shared" si="524"/>
        <v>0</v>
      </c>
      <c r="BQ767" s="8">
        <f t="shared" si="525"/>
        <v>0</v>
      </c>
      <c r="BR767" s="63">
        <f t="shared" si="526"/>
        <v>0</v>
      </c>
      <c r="BS767" s="63">
        <f t="shared" si="553"/>
        <v>0</v>
      </c>
      <c r="BT767" s="63">
        <f t="shared" si="527"/>
        <v>0</v>
      </c>
      <c r="BU767" s="63">
        <f t="shared" si="528"/>
        <v>0</v>
      </c>
      <c r="BV767" s="57">
        <f t="shared" si="529"/>
        <v>0</v>
      </c>
      <c r="BW767" s="57">
        <f t="shared" si="530"/>
        <v>0</v>
      </c>
      <c r="BX767" s="57">
        <f t="shared" si="554"/>
        <v>0</v>
      </c>
      <c r="BY767" s="57">
        <f t="shared" si="558"/>
        <v>0</v>
      </c>
      <c r="BZ767" s="8">
        <f t="shared" si="531"/>
        <v>0</v>
      </c>
      <c r="CA767" s="8">
        <f t="shared" si="532"/>
        <v>0</v>
      </c>
      <c r="CB767" s="8">
        <f t="shared" si="533"/>
        <v>0</v>
      </c>
      <c r="CC767" s="8">
        <f t="shared" si="534"/>
        <v>0</v>
      </c>
      <c r="CD767" s="8">
        <f t="shared" si="535"/>
        <v>0</v>
      </c>
      <c r="CE767" s="8">
        <f t="shared" si="536"/>
        <v>0</v>
      </c>
      <c r="CF767" s="8">
        <f t="shared" si="537"/>
        <v>0</v>
      </c>
      <c r="CG767" s="8">
        <f t="shared" si="538"/>
        <v>0</v>
      </c>
      <c r="CH767" s="8">
        <f t="shared" si="539"/>
        <v>0</v>
      </c>
      <c r="CI767" s="8">
        <f t="shared" si="540"/>
        <v>0</v>
      </c>
      <c r="CJ767" s="8">
        <f t="shared" si="541"/>
        <v>0</v>
      </c>
      <c r="CK767" s="8">
        <f t="shared" si="542"/>
        <v>0</v>
      </c>
      <c r="CL767" s="8">
        <f t="shared" si="543"/>
        <v>0</v>
      </c>
      <c r="CM767" s="8">
        <f t="shared" si="544"/>
        <v>0</v>
      </c>
      <c r="CN767" s="8">
        <f t="shared" si="545"/>
        <v>0</v>
      </c>
      <c r="CO767" s="8">
        <f t="shared" si="546"/>
        <v>0</v>
      </c>
      <c r="CP767" s="8">
        <f t="shared" si="547"/>
        <v>0</v>
      </c>
      <c r="CQ767" s="8">
        <f t="shared" si="548"/>
        <v>0</v>
      </c>
      <c r="CR767" s="8">
        <f t="shared" si="549"/>
        <v>0</v>
      </c>
      <c r="CS767" s="8">
        <f t="shared" si="550"/>
        <v>0</v>
      </c>
      <c r="CT767" s="8">
        <f t="shared" si="555"/>
        <v>0</v>
      </c>
      <c r="CU767" s="8">
        <f t="shared" si="556"/>
        <v>0</v>
      </c>
      <c r="CV767" s="8">
        <f t="shared" si="557"/>
        <v>0</v>
      </c>
    </row>
    <row r="768" spans="1:100" ht="20.5" thickTop="1" thickBot="1" x14ac:dyDescent="0.5">
      <c r="A768" s="32"/>
      <c r="B768" s="10"/>
      <c r="C768" s="10"/>
      <c r="D768" s="11"/>
      <c r="E768" s="10"/>
      <c r="F768" s="10"/>
      <c r="G768" s="19"/>
      <c r="H768" s="19"/>
      <c r="I768" s="19"/>
      <c r="J768" s="19"/>
      <c r="K768" s="10"/>
      <c r="L768" s="10"/>
      <c r="M768" s="10"/>
      <c r="N768" s="10"/>
      <c r="O768" s="18"/>
      <c r="P768" s="18"/>
      <c r="Q768" s="21"/>
      <c r="R768" s="20"/>
      <c r="S768" s="16">
        <f t="shared" si="513"/>
        <v>0</v>
      </c>
      <c r="T768" s="11"/>
      <c r="AS768" s="31">
        <f t="shared" si="514"/>
        <v>0</v>
      </c>
      <c r="AT768" s="31">
        <f t="shared" si="515"/>
        <v>0</v>
      </c>
      <c r="AU768" s="31">
        <f t="shared" si="516"/>
        <v>0</v>
      </c>
      <c r="AV768" s="31">
        <f t="shared" si="517"/>
        <v>0</v>
      </c>
      <c r="AW768" s="31">
        <f t="shared" si="518"/>
        <v>0</v>
      </c>
      <c r="AX768" s="31">
        <f t="shared" si="519"/>
        <v>0</v>
      </c>
      <c r="AY768" s="31">
        <f t="shared" si="520"/>
        <v>0</v>
      </c>
      <c r="AZ768" s="31">
        <f t="shared" si="521"/>
        <v>0</v>
      </c>
      <c r="BA768" s="31">
        <f t="shared" si="522"/>
        <v>0</v>
      </c>
      <c r="BB768" s="31">
        <f t="shared" si="551"/>
        <v>0</v>
      </c>
      <c r="BM768" s="8">
        <f t="shared" si="552"/>
        <v>0</v>
      </c>
      <c r="BN768" s="8">
        <f t="shared" si="523"/>
        <v>0</v>
      </c>
      <c r="BO768" s="8">
        <f t="shared" si="524"/>
        <v>0</v>
      </c>
      <c r="BQ768" s="8">
        <f t="shared" si="525"/>
        <v>0</v>
      </c>
      <c r="BR768" s="63">
        <f t="shared" si="526"/>
        <v>0</v>
      </c>
      <c r="BS768" s="63">
        <f t="shared" si="553"/>
        <v>0</v>
      </c>
      <c r="BT768" s="63">
        <f t="shared" si="527"/>
        <v>0</v>
      </c>
      <c r="BU768" s="63">
        <f t="shared" si="528"/>
        <v>0</v>
      </c>
      <c r="BV768" s="57">
        <f t="shared" si="529"/>
        <v>0</v>
      </c>
      <c r="BW768" s="57">
        <f t="shared" si="530"/>
        <v>0</v>
      </c>
      <c r="BX768" s="57">
        <f t="shared" si="554"/>
        <v>0</v>
      </c>
      <c r="BY768" s="57">
        <f t="shared" si="558"/>
        <v>0</v>
      </c>
      <c r="BZ768" s="8">
        <f t="shared" si="531"/>
        <v>0</v>
      </c>
      <c r="CA768" s="8">
        <f t="shared" si="532"/>
        <v>0</v>
      </c>
      <c r="CB768" s="8">
        <f t="shared" si="533"/>
        <v>0</v>
      </c>
      <c r="CC768" s="8">
        <f t="shared" si="534"/>
        <v>0</v>
      </c>
      <c r="CD768" s="8">
        <f t="shared" si="535"/>
        <v>0</v>
      </c>
      <c r="CE768" s="8">
        <f t="shared" si="536"/>
        <v>0</v>
      </c>
      <c r="CF768" s="8">
        <f t="shared" si="537"/>
        <v>0</v>
      </c>
      <c r="CG768" s="8">
        <f t="shared" si="538"/>
        <v>0</v>
      </c>
      <c r="CH768" s="8">
        <f t="shared" si="539"/>
        <v>0</v>
      </c>
      <c r="CI768" s="8">
        <f t="shared" si="540"/>
        <v>0</v>
      </c>
      <c r="CJ768" s="8">
        <f t="shared" si="541"/>
        <v>0</v>
      </c>
      <c r="CK768" s="8">
        <f t="shared" si="542"/>
        <v>0</v>
      </c>
      <c r="CL768" s="8">
        <f t="shared" si="543"/>
        <v>0</v>
      </c>
      <c r="CM768" s="8">
        <f t="shared" si="544"/>
        <v>0</v>
      </c>
      <c r="CN768" s="8">
        <f t="shared" si="545"/>
        <v>0</v>
      </c>
      <c r="CO768" s="8">
        <f t="shared" si="546"/>
        <v>0</v>
      </c>
      <c r="CP768" s="8">
        <f t="shared" si="547"/>
        <v>0</v>
      </c>
      <c r="CQ768" s="8">
        <f t="shared" si="548"/>
        <v>0</v>
      </c>
      <c r="CR768" s="8">
        <f t="shared" si="549"/>
        <v>0</v>
      </c>
      <c r="CS768" s="8">
        <f t="shared" si="550"/>
        <v>0</v>
      </c>
      <c r="CT768" s="8">
        <f t="shared" si="555"/>
        <v>0</v>
      </c>
      <c r="CU768" s="8">
        <f t="shared" si="556"/>
        <v>0</v>
      </c>
      <c r="CV768" s="8">
        <f t="shared" si="557"/>
        <v>0</v>
      </c>
    </row>
    <row r="769" spans="1:100" ht="20.5" thickTop="1" thickBot="1" x14ac:dyDescent="0.5">
      <c r="A769" s="32"/>
      <c r="B769" s="10"/>
      <c r="C769" s="10"/>
      <c r="D769" s="11"/>
      <c r="E769" s="10"/>
      <c r="F769" s="10"/>
      <c r="G769" s="19"/>
      <c r="H769" s="19"/>
      <c r="I769" s="19"/>
      <c r="J769" s="19"/>
      <c r="K769" s="10"/>
      <c r="L769" s="10"/>
      <c r="M769" s="10"/>
      <c r="N769" s="10"/>
      <c r="O769" s="18"/>
      <c r="P769" s="18"/>
      <c r="Q769" s="21"/>
      <c r="R769" s="20"/>
      <c r="S769" s="16">
        <f t="shared" si="513"/>
        <v>0</v>
      </c>
      <c r="T769" s="11"/>
      <c r="AS769" s="31">
        <f t="shared" si="514"/>
        <v>0</v>
      </c>
      <c r="AT769" s="31">
        <f t="shared" si="515"/>
        <v>0</v>
      </c>
      <c r="AU769" s="31">
        <f t="shared" si="516"/>
        <v>0</v>
      </c>
      <c r="AV769" s="31">
        <f t="shared" si="517"/>
        <v>0</v>
      </c>
      <c r="AW769" s="31">
        <f t="shared" si="518"/>
        <v>0</v>
      </c>
      <c r="AX769" s="31">
        <f t="shared" si="519"/>
        <v>0</v>
      </c>
      <c r="AY769" s="31">
        <f t="shared" si="520"/>
        <v>0</v>
      </c>
      <c r="AZ769" s="31">
        <f t="shared" si="521"/>
        <v>0</v>
      </c>
      <c r="BA769" s="31">
        <f t="shared" si="522"/>
        <v>0</v>
      </c>
      <c r="BB769" s="31">
        <f t="shared" si="551"/>
        <v>0</v>
      </c>
      <c r="BM769" s="8">
        <f t="shared" si="552"/>
        <v>0</v>
      </c>
      <c r="BN769" s="8">
        <f t="shared" si="523"/>
        <v>0</v>
      </c>
      <c r="BO769" s="8">
        <f t="shared" si="524"/>
        <v>0</v>
      </c>
      <c r="BQ769" s="8">
        <f t="shared" si="525"/>
        <v>0</v>
      </c>
      <c r="BR769" s="63">
        <f t="shared" si="526"/>
        <v>0</v>
      </c>
      <c r="BS769" s="63">
        <f t="shared" si="553"/>
        <v>0</v>
      </c>
      <c r="BT769" s="63">
        <f t="shared" si="527"/>
        <v>0</v>
      </c>
      <c r="BU769" s="63">
        <f t="shared" si="528"/>
        <v>0</v>
      </c>
      <c r="BV769" s="57">
        <f t="shared" si="529"/>
        <v>0</v>
      </c>
      <c r="BW769" s="57">
        <f t="shared" si="530"/>
        <v>0</v>
      </c>
      <c r="BX769" s="57">
        <f t="shared" si="554"/>
        <v>0</v>
      </c>
      <c r="BY769" s="57">
        <f t="shared" si="558"/>
        <v>0</v>
      </c>
      <c r="BZ769" s="8">
        <f t="shared" si="531"/>
        <v>0</v>
      </c>
      <c r="CA769" s="8">
        <f t="shared" si="532"/>
        <v>0</v>
      </c>
      <c r="CB769" s="8">
        <f t="shared" si="533"/>
        <v>0</v>
      </c>
      <c r="CC769" s="8">
        <f t="shared" si="534"/>
        <v>0</v>
      </c>
      <c r="CD769" s="8">
        <f t="shared" si="535"/>
        <v>0</v>
      </c>
      <c r="CE769" s="8">
        <f t="shared" si="536"/>
        <v>0</v>
      </c>
      <c r="CF769" s="8">
        <f t="shared" si="537"/>
        <v>0</v>
      </c>
      <c r="CG769" s="8">
        <f t="shared" si="538"/>
        <v>0</v>
      </c>
      <c r="CH769" s="8">
        <f t="shared" si="539"/>
        <v>0</v>
      </c>
      <c r="CI769" s="8">
        <f t="shared" si="540"/>
        <v>0</v>
      </c>
      <c r="CJ769" s="8">
        <f t="shared" si="541"/>
        <v>0</v>
      </c>
      <c r="CK769" s="8">
        <f t="shared" si="542"/>
        <v>0</v>
      </c>
      <c r="CL769" s="8">
        <f t="shared" si="543"/>
        <v>0</v>
      </c>
      <c r="CM769" s="8">
        <f t="shared" si="544"/>
        <v>0</v>
      </c>
      <c r="CN769" s="8">
        <f t="shared" si="545"/>
        <v>0</v>
      </c>
      <c r="CO769" s="8">
        <f t="shared" si="546"/>
        <v>0</v>
      </c>
      <c r="CP769" s="8">
        <f t="shared" si="547"/>
        <v>0</v>
      </c>
      <c r="CQ769" s="8">
        <f t="shared" si="548"/>
        <v>0</v>
      </c>
      <c r="CR769" s="8">
        <f t="shared" si="549"/>
        <v>0</v>
      </c>
      <c r="CS769" s="8">
        <f t="shared" si="550"/>
        <v>0</v>
      </c>
      <c r="CT769" s="8">
        <f t="shared" si="555"/>
        <v>0</v>
      </c>
      <c r="CU769" s="8">
        <f t="shared" si="556"/>
        <v>0</v>
      </c>
      <c r="CV769" s="8">
        <f t="shared" si="557"/>
        <v>0</v>
      </c>
    </row>
    <row r="770" spans="1:100" ht="20.5" thickTop="1" thickBot="1" x14ac:dyDescent="0.5">
      <c r="A770" s="32"/>
      <c r="B770" s="10"/>
      <c r="C770" s="10"/>
      <c r="D770" s="11"/>
      <c r="E770" s="10"/>
      <c r="F770" s="10"/>
      <c r="G770" s="19"/>
      <c r="H770" s="19"/>
      <c r="I770" s="19"/>
      <c r="J770" s="19"/>
      <c r="K770" s="10"/>
      <c r="L770" s="10"/>
      <c r="M770" s="10"/>
      <c r="N770" s="10"/>
      <c r="O770" s="18"/>
      <c r="P770" s="18"/>
      <c r="Q770" s="21"/>
      <c r="R770" s="20"/>
      <c r="S770" s="16">
        <f t="shared" si="513"/>
        <v>0</v>
      </c>
      <c r="T770" s="11"/>
      <c r="AS770" s="31">
        <f t="shared" si="514"/>
        <v>0</v>
      </c>
      <c r="AT770" s="31">
        <f t="shared" si="515"/>
        <v>0</v>
      </c>
      <c r="AU770" s="31">
        <f t="shared" si="516"/>
        <v>0</v>
      </c>
      <c r="AV770" s="31">
        <f t="shared" si="517"/>
        <v>0</v>
      </c>
      <c r="AW770" s="31">
        <f t="shared" si="518"/>
        <v>0</v>
      </c>
      <c r="AX770" s="31">
        <f t="shared" si="519"/>
        <v>0</v>
      </c>
      <c r="AY770" s="31">
        <f t="shared" si="520"/>
        <v>0</v>
      </c>
      <c r="AZ770" s="31">
        <f t="shared" si="521"/>
        <v>0</v>
      </c>
      <c r="BA770" s="31">
        <f t="shared" si="522"/>
        <v>0</v>
      </c>
      <c r="BB770" s="31">
        <f t="shared" si="551"/>
        <v>0</v>
      </c>
      <c r="BM770" s="8">
        <f t="shared" si="552"/>
        <v>0</v>
      </c>
      <c r="BN770" s="8">
        <f t="shared" si="523"/>
        <v>0</v>
      </c>
      <c r="BO770" s="8">
        <f t="shared" si="524"/>
        <v>0</v>
      </c>
      <c r="BQ770" s="8">
        <f t="shared" si="525"/>
        <v>0</v>
      </c>
      <c r="BR770" s="63">
        <f t="shared" si="526"/>
        <v>0</v>
      </c>
      <c r="BS770" s="63">
        <f t="shared" si="553"/>
        <v>0</v>
      </c>
      <c r="BT770" s="63">
        <f t="shared" si="527"/>
        <v>0</v>
      </c>
      <c r="BU770" s="63">
        <f t="shared" si="528"/>
        <v>0</v>
      </c>
      <c r="BV770" s="57">
        <f t="shared" si="529"/>
        <v>0</v>
      </c>
      <c r="BW770" s="57">
        <f t="shared" si="530"/>
        <v>0</v>
      </c>
      <c r="BX770" s="57">
        <f t="shared" si="554"/>
        <v>0</v>
      </c>
      <c r="BY770" s="57">
        <f t="shared" si="558"/>
        <v>0</v>
      </c>
      <c r="BZ770" s="8">
        <f t="shared" si="531"/>
        <v>0</v>
      </c>
      <c r="CA770" s="8">
        <f t="shared" si="532"/>
        <v>0</v>
      </c>
      <c r="CB770" s="8">
        <f t="shared" si="533"/>
        <v>0</v>
      </c>
      <c r="CC770" s="8">
        <f t="shared" si="534"/>
        <v>0</v>
      </c>
      <c r="CD770" s="8">
        <f t="shared" si="535"/>
        <v>0</v>
      </c>
      <c r="CE770" s="8">
        <f t="shared" si="536"/>
        <v>0</v>
      </c>
      <c r="CF770" s="8">
        <f t="shared" si="537"/>
        <v>0</v>
      </c>
      <c r="CG770" s="8">
        <f t="shared" si="538"/>
        <v>0</v>
      </c>
      <c r="CH770" s="8">
        <f t="shared" si="539"/>
        <v>0</v>
      </c>
      <c r="CI770" s="8">
        <f t="shared" si="540"/>
        <v>0</v>
      </c>
      <c r="CJ770" s="8">
        <f t="shared" si="541"/>
        <v>0</v>
      </c>
      <c r="CK770" s="8">
        <f t="shared" si="542"/>
        <v>0</v>
      </c>
      <c r="CL770" s="8">
        <f t="shared" si="543"/>
        <v>0</v>
      </c>
      <c r="CM770" s="8">
        <f t="shared" si="544"/>
        <v>0</v>
      </c>
      <c r="CN770" s="8">
        <f t="shared" si="545"/>
        <v>0</v>
      </c>
      <c r="CO770" s="8">
        <f t="shared" si="546"/>
        <v>0</v>
      </c>
      <c r="CP770" s="8">
        <f t="shared" si="547"/>
        <v>0</v>
      </c>
      <c r="CQ770" s="8">
        <f t="shared" si="548"/>
        <v>0</v>
      </c>
      <c r="CR770" s="8">
        <f t="shared" si="549"/>
        <v>0</v>
      </c>
      <c r="CS770" s="8">
        <f t="shared" si="550"/>
        <v>0</v>
      </c>
      <c r="CT770" s="8">
        <f t="shared" si="555"/>
        <v>0</v>
      </c>
      <c r="CU770" s="8">
        <f t="shared" si="556"/>
        <v>0</v>
      </c>
      <c r="CV770" s="8">
        <f t="shared" si="557"/>
        <v>0</v>
      </c>
    </row>
    <row r="771" spans="1:100" ht="20.5" thickTop="1" thickBot="1" x14ac:dyDescent="0.5">
      <c r="A771" s="32"/>
      <c r="B771" s="10"/>
      <c r="C771" s="10"/>
      <c r="D771" s="11"/>
      <c r="E771" s="10"/>
      <c r="F771" s="10"/>
      <c r="G771" s="19"/>
      <c r="H771" s="19"/>
      <c r="I771" s="19"/>
      <c r="J771" s="19"/>
      <c r="K771" s="10"/>
      <c r="L771" s="10"/>
      <c r="M771" s="10"/>
      <c r="N771" s="10"/>
      <c r="O771" s="18"/>
      <c r="P771" s="18"/>
      <c r="Q771" s="21"/>
      <c r="R771" s="20"/>
      <c r="S771" s="16">
        <f t="shared" si="513"/>
        <v>0</v>
      </c>
      <c r="T771" s="11"/>
      <c r="AS771" s="31">
        <f t="shared" si="514"/>
        <v>0</v>
      </c>
      <c r="AT771" s="31">
        <f t="shared" si="515"/>
        <v>0</v>
      </c>
      <c r="AU771" s="31">
        <f t="shared" si="516"/>
        <v>0</v>
      </c>
      <c r="AV771" s="31">
        <f t="shared" si="517"/>
        <v>0</v>
      </c>
      <c r="AW771" s="31">
        <f t="shared" si="518"/>
        <v>0</v>
      </c>
      <c r="AX771" s="31">
        <f t="shared" si="519"/>
        <v>0</v>
      </c>
      <c r="AY771" s="31">
        <f t="shared" si="520"/>
        <v>0</v>
      </c>
      <c r="AZ771" s="31">
        <f t="shared" si="521"/>
        <v>0</v>
      </c>
      <c r="BA771" s="31">
        <f t="shared" si="522"/>
        <v>0</v>
      </c>
      <c r="BB771" s="31">
        <f t="shared" si="551"/>
        <v>0</v>
      </c>
      <c r="BM771" s="8">
        <f t="shared" si="552"/>
        <v>0</v>
      </c>
      <c r="BN771" s="8">
        <f t="shared" si="523"/>
        <v>0</v>
      </c>
      <c r="BO771" s="8">
        <f t="shared" si="524"/>
        <v>0</v>
      </c>
      <c r="BQ771" s="8">
        <f t="shared" si="525"/>
        <v>0</v>
      </c>
      <c r="BR771" s="63">
        <f t="shared" si="526"/>
        <v>0</v>
      </c>
      <c r="BS771" s="63">
        <f t="shared" si="553"/>
        <v>0</v>
      </c>
      <c r="BT771" s="63">
        <f t="shared" si="527"/>
        <v>0</v>
      </c>
      <c r="BU771" s="63">
        <f t="shared" si="528"/>
        <v>0</v>
      </c>
      <c r="BV771" s="57">
        <f t="shared" si="529"/>
        <v>0</v>
      </c>
      <c r="BW771" s="57">
        <f t="shared" si="530"/>
        <v>0</v>
      </c>
      <c r="BX771" s="57">
        <f t="shared" si="554"/>
        <v>0</v>
      </c>
      <c r="BY771" s="57">
        <f t="shared" si="558"/>
        <v>0</v>
      </c>
      <c r="BZ771" s="8">
        <f t="shared" si="531"/>
        <v>0</v>
      </c>
      <c r="CA771" s="8">
        <f t="shared" si="532"/>
        <v>0</v>
      </c>
      <c r="CB771" s="8">
        <f t="shared" si="533"/>
        <v>0</v>
      </c>
      <c r="CC771" s="8">
        <f t="shared" si="534"/>
        <v>0</v>
      </c>
      <c r="CD771" s="8">
        <f t="shared" si="535"/>
        <v>0</v>
      </c>
      <c r="CE771" s="8">
        <f t="shared" si="536"/>
        <v>0</v>
      </c>
      <c r="CF771" s="8">
        <f t="shared" si="537"/>
        <v>0</v>
      </c>
      <c r="CG771" s="8">
        <f t="shared" si="538"/>
        <v>0</v>
      </c>
      <c r="CH771" s="8">
        <f t="shared" si="539"/>
        <v>0</v>
      </c>
      <c r="CI771" s="8">
        <f t="shared" si="540"/>
        <v>0</v>
      </c>
      <c r="CJ771" s="8">
        <f t="shared" si="541"/>
        <v>0</v>
      </c>
      <c r="CK771" s="8">
        <f t="shared" si="542"/>
        <v>0</v>
      </c>
      <c r="CL771" s="8">
        <f t="shared" si="543"/>
        <v>0</v>
      </c>
      <c r="CM771" s="8">
        <f t="shared" si="544"/>
        <v>0</v>
      </c>
      <c r="CN771" s="8">
        <f t="shared" si="545"/>
        <v>0</v>
      </c>
      <c r="CO771" s="8">
        <f t="shared" si="546"/>
        <v>0</v>
      </c>
      <c r="CP771" s="8">
        <f t="shared" si="547"/>
        <v>0</v>
      </c>
      <c r="CQ771" s="8">
        <f t="shared" si="548"/>
        <v>0</v>
      </c>
      <c r="CR771" s="8">
        <f t="shared" si="549"/>
        <v>0</v>
      </c>
      <c r="CS771" s="8">
        <f t="shared" si="550"/>
        <v>0</v>
      </c>
      <c r="CT771" s="8">
        <f t="shared" si="555"/>
        <v>0</v>
      </c>
      <c r="CU771" s="8">
        <f t="shared" si="556"/>
        <v>0</v>
      </c>
      <c r="CV771" s="8">
        <f t="shared" si="557"/>
        <v>0</v>
      </c>
    </row>
    <row r="772" spans="1:100" ht="20.5" thickTop="1" thickBot="1" x14ac:dyDescent="0.5">
      <c r="A772" s="32"/>
      <c r="B772" s="10"/>
      <c r="C772" s="10"/>
      <c r="D772" s="11"/>
      <c r="E772" s="10"/>
      <c r="F772" s="10"/>
      <c r="G772" s="19"/>
      <c r="H772" s="19"/>
      <c r="I772" s="19"/>
      <c r="J772" s="19"/>
      <c r="K772" s="10"/>
      <c r="L772" s="10"/>
      <c r="M772" s="10"/>
      <c r="N772" s="10"/>
      <c r="O772" s="18"/>
      <c r="P772" s="18"/>
      <c r="Q772" s="21"/>
      <c r="R772" s="20"/>
      <c r="S772" s="16">
        <f t="shared" ref="S772:S835" si="559">IF(AND(K772="asphalted",M772="sub",BV772&lt;=1,BV772&gt;0),1+2*0.15,IF(AND(K772="asphalted",OR(M772="main",M772="MOT"),BV772&lt;=1,BV772&gt;0),1+2*0.3,IF(AND(K772="asphalted",M772="sub",BV772&gt;1),BV772+2*0.15,IF(AND(K772="asphalted",OR(M772="main",M772="MOT"),BV772&gt;1),BV772+2*0.3,0))))</f>
        <v>0</v>
      </c>
      <c r="T772" s="11"/>
      <c r="AS772" s="31">
        <f t="shared" ref="AS772:AS835" si="560">IF(F772=1,0.4,IF(F772&gt;1,F772*0.3,0))</f>
        <v>0</v>
      </c>
      <c r="AT772" s="31">
        <f t="shared" ref="AT772:AT835" si="561">IF(AND(G772&lt;4,G772&gt;0),0.4,IF(G772&gt;3,0.4+(G772-3)*0.1,0))</f>
        <v>0</v>
      </c>
      <c r="AU772" s="31">
        <f t="shared" ref="AU772:AU835" si="562">AT772-AS772</f>
        <v>0</v>
      </c>
      <c r="AV772" s="31">
        <f t="shared" ref="AV772:AV835" si="563">IF(AND(OR(OR(E772="normal",E772="special"),E772="special"),F772=0,G772&gt;0,G772&lt;5),"LV"&amp;G772,IF(AND(OR(OR(E772="normal",E772="special"),E772="special"),F772=0,G772&gt;4),"LVCU",IF(AND(OR(OR(E772="normal",E772="special"),E772="special"),F772&gt;4),"MVCU",IF(AND(OR(OR(E772="normal",E772="special"),E772="special"),F772&gt;0,F772&lt;5),"MV"&amp;F772,IF(AND(E772="mini-trench",F772=1),"mini-trench MV",IF(AND(E772="mini-trench",G772&lt;3,G772&lt;&gt;0),"mini-trench LV",0))))))</f>
        <v>0</v>
      </c>
      <c r="AW772" s="31">
        <f t="shared" ref="AW772:AW835" si="564">IF(B772="joint",F772,0)+IF(C772="joint",F772,0)+IF(OR(B772="new ss",B772="ss"),F772*3)+IF(B772="pole",F772*10)+IF(OR(C772="new ss",C772="ss"),F772*3)+IF(C772="pole",F772*10)+IF(B772="grid",F772*30)+IF(C772="grid",F772*30)</f>
        <v>0</v>
      </c>
      <c r="AX772" s="31">
        <f t="shared" ref="AX772:AX835" si="565">IF(J772&gt;0,IF(OR(B772="ss",C772="ss"),J772*3,0)+IF(OR(B772="new ss",C772="new ss"),J772*3,0)+IF(OR(B772="DC",C772="DC"),J772*1.5,0)+IF(OR(B772="new DC",C772="new DC"),J772*1.5,0)+IF(OR(B772="MB",C772="MB"),J772*2,0)+IF(OR(B772="pole",C772="pole"),J772*10,0),0)</f>
        <v>0</v>
      </c>
      <c r="AY772" s="31">
        <f t="shared" ref="AY772:AY835" si="566">IF(I772&gt;0,IF(OR(B772="ss",C772="ss"),I772*3,0)+IF(OR(B772="new ss",C772="new ss"),I772*3,0)+IF(OR(B772="DC",C772="DC"),I772*1.5,0)+IF(OR(B772="new DC",C772="new DC"),J772*1.5,0)+IF(OR(B772="MB",C772="MB"),I772*2,0)+IF(OR(B772="pole",C772="pole"),I772*10,0),0)</f>
        <v>0</v>
      </c>
      <c r="AZ772" s="31">
        <f t="shared" ref="AZ772:AZ835" si="567">IF(H772&gt;0,IF(OR(B772="ss",C772="ss"),H772*3,0)+IF(OR(B772="new ss",C772="new ss"),H772*3,0)+IF(OR(B772="DC",C772="DC"),H772*2,0)+IF(OR(B772="new DC",C772="new DC"),H772*1.5,0)+IF(OR(B772="MB",C772="MB"),H772*2,0)+IF(OR(B772="pole",C772="pole"),H772*10,0)+IF(OR(B772="pole",C772="pole"),H772*10,0),0)</f>
        <v>0</v>
      </c>
      <c r="BA772" s="31">
        <f t="shared" ref="BA772:BA835" si="568">IF(E772="manual",IF(AU772&lt;0,D772*AS772*0.8,IF(AND(AS772&gt;0,AU772&gt;0),D772*AS772*0.8+D772*AU772*0.65,IF(AND(AS772=0,AT772&gt;0),D772*AT772*0.65,0))),0)</f>
        <v>0</v>
      </c>
      <c r="BB772" s="31">
        <f t="shared" si="551"/>
        <v>0</v>
      </c>
      <c r="BM772" s="8">
        <f t="shared" si="552"/>
        <v>0</v>
      </c>
      <c r="BN772" s="8">
        <f t="shared" ref="BN772:BN835" si="569">IFERROR(IF(AND(K772="asphalted",E772="mini-trench",R772=""),1*D772,IF(AND(K772="asphalted",R772&gt;0,MandRcalc="Complete M&amp;R area"),R772*D772,IF(AND(K772="asphalted",R772&gt;0,MandRcalc="M&amp;R area - asphalting area"),(R772-BR772/D772)*D772,0))),0)</f>
        <v>0</v>
      </c>
      <c r="BO772" s="8">
        <f t="shared" ref="BO772:BO835" si="570">IF(BQ772&lt;MINEXCNA,0,IF(AND(E772="normal",F772&lt;5,G772&lt;12,K772&lt;&gt;"asphalted",AT772&gt;AS772,AS772&lt;&gt;0),(BQ772-AT772)*0.65,IF(AND(E772="normal",F772&lt;5,G772&lt;12,K772&lt;&gt;"asphalted",AS772&gt;=AT772),(BQ772-AS772)*0.8,IF(AND(E772="normal",F772&lt;5,G772&lt;12,K772&lt;&gt;"asphalted",AT772&gt;0,AS772=0),(BQ772-AT772)*0.65,0)))*D772)</f>
        <v>0</v>
      </c>
      <c r="BQ772" s="8">
        <f t="shared" ref="BQ772:BQ835" si="571">IF(E772="special",O772,IF(AND(OR(E772="normal",E772="manual"),O772="",K772="asphalted",BV772&lt;=MINEXC),MINEXC,IF(AND(OR(E772="normal",E772="manual"),O772&lt;&gt;"",K772="asphalted"),MIN(O772,BV772),IF(AND(OR(E772="normal",E772="manual"),O772="",K772&lt;&gt;"asphalted",BV772&lt;=MINEXCNA),MINEXCNA,IF(AND(OR(E772="normal",E772="manual"),O772&lt;&gt;"",K772&lt;&gt;"asphalted"),MIN(O772,BV772),BV772)))))</f>
        <v>0</v>
      </c>
      <c r="BR772" s="63">
        <f t="shared" ref="BR772:BR835" si="572">IFERROR(IF(AND(E772&lt;&gt;"mini-trecnh",K772="asphalted",Q772&lt;&gt;"",S772=0),D772*Q772,IF(AND(E772&lt;&gt;"mini-trecnh",K772="asphalted",Q772&lt;&gt;"",S772&lt;&gt;0),D772*MIN(Q772,S772),IF(AND(E772&lt;&gt;"mini-trecnh",K772="asphalted",Q772=""),D772*S772,0))),0)</f>
        <v>0</v>
      </c>
      <c r="BS772" s="63">
        <f t="shared" si="553"/>
        <v>0</v>
      </c>
      <c r="BT772" s="63">
        <f t="shared" ref="BT772:BT835" si="573">IF(BQ772&lt;MINEXC,0,IF(AND(E772="normal",F772&lt;5,G772&lt;12,K772="asphalted",AT772&gt;AS772,AS772&lt;&gt;0),(BQ772-AT772)*0.65,IF(AND(E772="normal",F772&lt;5,G772&lt;12,K772="asphalted",AS772&gt;=AT772),(BQ772-AS772)*0.8,IF(AND(E772="normal",F772&lt;5,G772&lt;12,K772="asphalted",AT772&gt;0,AS772=0),(BQ772-AT772)*0.65,0)))*D772)</f>
        <v>0</v>
      </c>
      <c r="BU772" s="63">
        <f t="shared" ref="BU772:BU835" si="574">IF(E772="",0,IF(OR(BT772&gt;0,BO772&gt;0),0,IF(AND(F772&gt;4,G772=0),(BQ772-1.2)*D772*0.8,IF(AND(G772&gt;4,F772=0),(BQ772-0.4)*D772*0.65,IF(OR(AND(G772&gt;4,F772&gt;0),AND(F772&gt;4,G772&gt;0)),(IF(AS772&gt;1.2,(AS772-1.2)*D772*0.8,0)+IF(AT772&gt;AS772,(AT772-AS772)*D772*0.65,0)),0)))))</f>
        <v>0</v>
      </c>
      <c r="BV772" s="57">
        <f t="shared" ref="BV772:BV835" si="575">IF(AND(E772&lt;&gt;"mini-trench",E772&lt;&gt;"special"),MAX(AS772:AT772),0)</f>
        <v>0</v>
      </c>
      <c r="BW772" s="57">
        <f t="shared" ref="BW772:BW835" si="576">IF(AND(E772&lt;&gt;"mini-trench",E772&lt;&gt;"special",BV772&gt;0,BV772&lt;1,K772="asphalted"),IF(O772&lt;&gt;"",MIN(O772,1),1),IF(AND(E772&lt;&gt;"mini-trench",E772&lt;&gt;"special",BV772&gt;0,BV772&gt;1,K772="asphalted"),BV772,0))</f>
        <v>0</v>
      </c>
      <c r="BX772" s="57">
        <f t="shared" si="554"/>
        <v>0</v>
      </c>
      <c r="BY772" s="57">
        <f t="shared" si="558"/>
        <v>0</v>
      </c>
      <c r="BZ772" s="8">
        <f t="shared" ref="BZ772:BZ835" si="577">IF(E772="special",O772*P772*D772-D772*IF(AV772="MV1",0.8*0.4,IF(AV772="MV2",0.8*0.6,IF(AV772="MV3",0.8*0.9,IF(OR(AV772="MV4",AV772="MVCU"),0.8*1.2,IF(AV772="LV1-3",0.65*0.4,IF(OR(AV772="LV4",AV772="LVCU"),0.65*0.5)))))),0)</f>
        <v>0</v>
      </c>
      <c r="CA772" s="8">
        <f t="shared" ref="CA772:CA835" si="578">IF(AND(E772&lt;&gt;"special",K772="Paved interlock"),D772*BV772,IF(AND(E772="special",K772="Paved interlock"),D772*O772,0))</f>
        <v>0</v>
      </c>
      <c r="CB772" s="8">
        <f t="shared" ref="CB772:CB835" si="579">IF(AND(E772&lt;&gt;"special",K772="Paved conc.tiles"),D772*BV772,IF(AND(E772="special",K772="Paved conc.tiles"),D772*O772,0))</f>
        <v>0</v>
      </c>
      <c r="CC772" s="8">
        <f t="shared" ref="CC772:CC835" si="580">IF(AND(E772="special",K772="asphalted"),D772*Q772,0)</f>
        <v>0</v>
      </c>
      <c r="CD772" s="8">
        <f t="shared" ref="CD772:CD835" si="581">IF(OR(K772="Paved interlock",K772="Paved conc.tiles"),1,0)</f>
        <v>0</v>
      </c>
      <c r="CE772" s="8">
        <f t="shared" ref="CE772:CE835" si="582">IFERROR(BR772/D772,0)</f>
        <v>0</v>
      </c>
      <c r="CF772" s="8">
        <f t="shared" ref="CF772:CF835" si="583">IF(AND(F772&gt;0,B772="j transition"),F772,0)+IF(AND(F772&gt;0,C772="j transition"),F772,0)</f>
        <v>0</v>
      </c>
      <c r="CG772" s="8">
        <f t="shared" ref="CG772:CG835" si="584">IF(AND(F772&gt;0,OR(B772="grid",B772="ss",B772="pole",B772="new ss")),F772,0)+IF(AND(F772&gt;0,OR(C772="grid",C772="ss",C772="pole",C772="new ss")),F772,0)</f>
        <v>0</v>
      </c>
      <c r="CH772" s="8">
        <f t="shared" ref="CH772:CH835" si="585">IF(AND(F772&gt;0,B772="joint"),F772,0)+IF(AND(F772&gt;0,C772="joint"),F772,0)+IF(AND(F772&gt;0,B772="j transition"),F772,0)+IF(AND(F772&gt;0,C772="j transition"),F772,0)</f>
        <v>0</v>
      </c>
      <c r="CI772" s="8">
        <f t="shared" ref="CI772:CI835" si="586">IF(AND(H772&gt;0,B772="joint"),H772,0)+IF(AND(H772&gt;0,C772="joint"),H772,0)</f>
        <v>0</v>
      </c>
      <c r="CJ772" s="8">
        <f t="shared" ref="CJ772:CJ835" si="587">IF(AND(I772&gt;0,B772="joint"),I772,0)+IF(AND(I772&gt;0,C772="joint"),I772,0)</f>
        <v>0</v>
      </c>
      <c r="CK772" s="8">
        <f t="shared" ref="CK772:CK835" si="588">IF(AND(J772&gt;0,B772="joint"),J772,0)+IF(AND(J772&gt;0,C772="joint"),J772,0)</f>
        <v>0</v>
      </c>
      <c r="CL772" s="8">
        <f t="shared" ref="CL772:CL835" si="589">IF(AND(H772&gt;0,OR(B772="ss",B772="new ss",B772="DC",B772="new DC")),H772,0)+IF(AND(H772&gt;0,OR(C772="new ss",C772="ss",C772="DC",C772="new DC")),H772,0)</f>
        <v>0</v>
      </c>
      <c r="CM772" s="8">
        <f t="shared" ref="CM772:CM835" si="590">CO772+CP772</f>
        <v>0</v>
      </c>
      <c r="CN772" s="8">
        <f t="shared" ref="CN772:CN835" si="591">IF(OR(B772="new DC",C772="new DC"),H772,0)</f>
        <v>0</v>
      </c>
      <c r="CO772" s="8">
        <f t="shared" ref="CO772:CO835" si="592">IF(AND(J772&gt;0,OR(B772="ss",B772="new ss",B772="DC",B772="new DC")),J772,0)+IF(AND(J772&gt;0,OR(C772="new ss",C772="ss",C772="DC",C772="new DC")),J772,0)</f>
        <v>0</v>
      </c>
      <c r="CP772" s="8">
        <f t="shared" ref="CP772:CP835" si="593">IF(AND(I772&gt;0,OR(B772="ss",B772="new ss",B772="DC",B772="new DC")),I772,0)+IF(AND(I772&gt;0,OR(C772="new ss",C772="ss",C772="DC",C772="new DC")),I772,0)</f>
        <v>0</v>
      </c>
      <c r="CQ772" s="8">
        <f t="shared" ref="CQ772:CQ835" si="594">IF(AND(F772&gt;0,OR(B772="ss",B772="new ss")),F772,0)+IF(AND(F772&gt;0,OR(C772="ss",C772="new ss")),F772,0)</f>
        <v>0</v>
      </c>
      <c r="CR772" s="8">
        <f t="shared" ref="CR772:CR835" si="595">IF(AND(F772&gt;0,OR(B772="grid")),F772,0)+IF(AND(F772&gt;0,OR(C772="grid")),F772,0)</f>
        <v>0</v>
      </c>
      <c r="CS772" s="8">
        <f t="shared" ref="CS772:CS835" si="596">IF(AND(F772&gt;0,OR(B772="pole")),F772,0)+IF(AND(F772&gt;0,OR(C772="pole")),F772,0)</f>
        <v>0</v>
      </c>
      <c r="CT772" s="8">
        <f t="shared" si="555"/>
        <v>0</v>
      </c>
      <c r="CU772" s="8">
        <f t="shared" si="556"/>
        <v>0</v>
      </c>
      <c r="CV772" s="8">
        <f t="shared" si="557"/>
        <v>0</v>
      </c>
    </row>
    <row r="773" spans="1:100" ht="20.5" thickTop="1" thickBot="1" x14ac:dyDescent="0.5">
      <c r="A773" s="32"/>
      <c r="B773" s="10"/>
      <c r="C773" s="10"/>
      <c r="D773" s="11"/>
      <c r="E773" s="10"/>
      <c r="F773" s="10"/>
      <c r="G773" s="19"/>
      <c r="H773" s="19"/>
      <c r="I773" s="19"/>
      <c r="J773" s="19"/>
      <c r="K773" s="10"/>
      <c r="L773" s="10"/>
      <c r="M773" s="10"/>
      <c r="N773" s="10"/>
      <c r="O773" s="18"/>
      <c r="P773" s="18"/>
      <c r="Q773" s="21"/>
      <c r="R773" s="20"/>
      <c r="S773" s="16">
        <f t="shared" si="559"/>
        <v>0</v>
      </c>
      <c r="T773" s="11"/>
      <c r="AS773" s="31">
        <f t="shared" si="560"/>
        <v>0</v>
      </c>
      <c r="AT773" s="31">
        <f t="shared" si="561"/>
        <v>0</v>
      </c>
      <c r="AU773" s="31">
        <f t="shared" si="562"/>
        <v>0</v>
      </c>
      <c r="AV773" s="31">
        <f t="shared" si="563"/>
        <v>0</v>
      </c>
      <c r="AW773" s="31">
        <f t="shared" si="564"/>
        <v>0</v>
      </c>
      <c r="AX773" s="31">
        <f t="shared" si="565"/>
        <v>0</v>
      </c>
      <c r="AY773" s="31">
        <f t="shared" si="566"/>
        <v>0</v>
      </c>
      <c r="AZ773" s="31">
        <f t="shared" si="567"/>
        <v>0</v>
      </c>
      <c r="BA773" s="31">
        <f t="shared" si="568"/>
        <v>0</v>
      </c>
      <c r="BB773" s="31">
        <f t="shared" ref="BB773:BB836" si="597">IFERROR(IF(BN773&gt;0,0,IF(AND(E773="normal",(BR773/D773)&gt;1),BR773,0)),0)</f>
        <v>0</v>
      </c>
      <c r="BM773" s="8">
        <f t="shared" ref="BM773:BM836" si="598">IF(AND(E773&lt;&gt;"special",K773="Concrete"),D773*BV773,IF(AND(E773="special",K773="Concrete"),D773*O773,0))</f>
        <v>0</v>
      </c>
      <c r="BN773" s="8">
        <f t="shared" si="569"/>
        <v>0</v>
      </c>
      <c r="BO773" s="8">
        <f t="shared" si="570"/>
        <v>0</v>
      </c>
      <c r="BQ773" s="8">
        <f t="shared" si="571"/>
        <v>0</v>
      </c>
      <c r="BR773" s="63">
        <f t="shared" si="572"/>
        <v>0</v>
      </c>
      <c r="BS773" s="63">
        <f t="shared" ref="BS773:BS836" si="599">BN773 + IF(BN773&gt;0,IF(R772=0, R773, 0) + IF(R774=0, R773, 0),0)</f>
        <v>0</v>
      </c>
      <c r="BT773" s="63">
        <f t="shared" si="573"/>
        <v>0</v>
      </c>
      <c r="BU773" s="63">
        <f t="shared" si="574"/>
        <v>0</v>
      </c>
      <c r="BV773" s="57">
        <f t="shared" si="575"/>
        <v>0</v>
      </c>
      <c r="BW773" s="57">
        <f t="shared" si="576"/>
        <v>0</v>
      </c>
      <c r="BX773" s="57">
        <f t="shared" ref="BX773:BX836" si="600">IF(AND(R773&gt;0,MandRcalc="Asphalting then M&amp;R"),R773*D773,IF(AND(R773&gt;0,MandRcalc="Milling then Repaving"),(R773-BR773)*D773,0))</f>
        <v>0</v>
      </c>
      <c r="BY773" s="57">
        <f t="shared" si="558"/>
        <v>0</v>
      </c>
      <c r="BZ773" s="8">
        <f t="shared" si="577"/>
        <v>0</v>
      </c>
      <c r="CA773" s="8">
        <f t="shared" si="578"/>
        <v>0</v>
      </c>
      <c r="CB773" s="8">
        <f t="shared" si="579"/>
        <v>0</v>
      </c>
      <c r="CC773" s="8">
        <f t="shared" si="580"/>
        <v>0</v>
      </c>
      <c r="CD773" s="8">
        <f t="shared" si="581"/>
        <v>0</v>
      </c>
      <c r="CE773" s="8">
        <f t="shared" si="582"/>
        <v>0</v>
      </c>
      <c r="CF773" s="8">
        <f t="shared" si="583"/>
        <v>0</v>
      </c>
      <c r="CG773" s="8">
        <f t="shared" si="584"/>
        <v>0</v>
      </c>
      <c r="CH773" s="8">
        <f t="shared" si="585"/>
        <v>0</v>
      </c>
      <c r="CI773" s="8">
        <f t="shared" si="586"/>
        <v>0</v>
      </c>
      <c r="CJ773" s="8">
        <f t="shared" si="587"/>
        <v>0</v>
      </c>
      <c r="CK773" s="8">
        <f t="shared" si="588"/>
        <v>0</v>
      </c>
      <c r="CL773" s="8">
        <f t="shared" si="589"/>
        <v>0</v>
      </c>
      <c r="CM773" s="8">
        <f t="shared" si="590"/>
        <v>0</v>
      </c>
      <c r="CN773" s="8">
        <f t="shared" si="591"/>
        <v>0</v>
      </c>
      <c r="CO773" s="8">
        <f t="shared" si="592"/>
        <v>0</v>
      </c>
      <c r="CP773" s="8">
        <f t="shared" si="593"/>
        <v>0</v>
      </c>
      <c r="CQ773" s="8">
        <f t="shared" si="594"/>
        <v>0</v>
      </c>
      <c r="CR773" s="8">
        <f t="shared" si="595"/>
        <v>0</v>
      </c>
      <c r="CS773" s="8">
        <f t="shared" si="596"/>
        <v>0</v>
      </c>
      <c r="CT773" s="8">
        <f t="shared" si="555"/>
        <v>0</v>
      </c>
      <c r="CU773" s="8">
        <f t="shared" si="556"/>
        <v>0</v>
      </c>
      <c r="CV773" s="8">
        <f t="shared" si="557"/>
        <v>0</v>
      </c>
    </row>
    <row r="774" spans="1:100" ht="20.5" thickTop="1" thickBot="1" x14ac:dyDescent="0.5">
      <c r="A774" s="32"/>
      <c r="B774" s="10"/>
      <c r="C774" s="10"/>
      <c r="D774" s="11"/>
      <c r="E774" s="10"/>
      <c r="F774" s="10"/>
      <c r="G774" s="19"/>
      <c r="H774" s="19"/>
      <c r="I774" s="19"/>
      <c r="J774" s="19"/>
      <c r="K774" s="10"/>
      <c r="L774" s="10"/>
      <c r="M774" s="10"/>
      <c r="N774" s="10"/>
      <c r="O774" s="18"/>
      <c r="P774" s="18"/>
      <c r="Q774" s="21"/>
      <c r="R774" s="20"/>
      <c r="S774" s="16">
        <f t="shared" si="559"/>
        <v>0</v>
      </c>
      <c r="T774" s="11"/>
      <c r="AS774" s="31">
        <f t="shared" si="560"/>
        <v>0</v>
      </c>
      <c r="AT774" s="31">
        <f t="shared" si="561"/>
        <v>0</v>
      </c>
      <c r="AU774" s="31">
        <f t="shared" si="562"/>
        <v>0</v>
      </c>
      <c r="AV774" s="31">
        <f t="shared" si="563"/>
        <v>0</v>
      </c>
      <c r="AW774" s="31">
        <f t="shared" si="564"/>
        <v>0</v>
      </c>
      <c r="AX774" s="31">
        <f t="shared" si="565"/>
        <v>0</v>
      </c>
      <c r="AY774" s="31">
        <f t="shared" si="566"/>
        <v>0</v>
      </c>
      <c r="AZ774" s="31">
        <f t="shared" si="567"/>
        <v>0</v>
      </c>
      <c r="BA774" s="31">
        <f t="shared" si="568"/>
        <v>0</v>
      </c>
      <c r="BB774" s="31">
        <f t="shared" si="597"/>
        <v>0</v>
      </c>
      <c r="BM774" s="8">
        <f t="shared" si="598"/>
        <v>0</v>
      </c>
      <c r="BN774" s="8">
        <f t="shared" si="569"/>
        <v>0</v>
      </c>
      <c r="BO774" s="8">
        <f t="shared" si="570"/>
        <v>0</v>
      </c>
      <c r="BQ774" s="8">
        <f t="shared" si="571"/>
        <v>0</v>
      </c>
      <c r="BR774" s="63">
        <f t="shared" si="572"/>
        <v>0</v>
      </c>
      <c r="BS774" s="63">
        <f t="shared" si="599"/>
        <v>0</v>
      </c>
      <c r="BT774" s="63">
        <f t="shared" si="573"/>
        <v>0</v>
      </c>
      <c r="BU774" s="63">
        <f t="shared" si="574"/>
        <v>0</v>
      </c>
      <c r="BV774" s="57">
        <f t="shared" si="575"/>
        <v>0</v>
      </c>
      <c r="BW774" s="57">
        <f t="shared" si="576"/>
        <v>0</v>
      </c>
      <c r="BX774" s="57">
        <f t="shared" si="600"/>
        <v>0</v>
      </c>
      <c r="BY774" s="57">
        <f t="shared" si="558"/>
        <v>0</v>
      </c>
      <c r="BZ774" s="8">
        <f t="shared" si="577"/>
        <v>0</v>
      </c>
      <c r="CA774" s="8">
        <f t="shared" si="578"/>
        <v>0</v>
      </c>
      <c r="CB774" s="8">
        <f t="shared" si="579"/>
        <v>0</v>
      </c>
      <c r="CC774" s="8">
        <f t="shared" si="580"/>
        <v>0</v>
      </c>
      <c r="CD774" s="8">
        <f t="shared" si="581"/>
        <v>0</v>
      </c>
      <c r="CE774" s="8">
        <f t="shared" si="582"/>
        <v>0</v>
      </c>
      <c r="CF774" s="8">
        <f t="shared" si="583"/>
        <v>0</v>
      </c>
      <c r="CG774" s="8">
        <f t="shared" si="584"/>
        <v>0</v>
      </c>
      <c r="CH774" s="8">
        <f t="shared" si="585"/>
        <v>0</v>
      </c>
      <c r="CI774" s="8">
        <f t="shared" si="586"/>
        <v>0</v>
      </c>
      <c r="CJ774" s="8">
        <f t="shared" si="587"/>
        <v>0</v>
      </c>
      <c r="CK774" s="8">
        <f t="shared" si="588"/>
        <v>0</v>
      </c>
      <c r="CL774" s="8">
        <f t="shared" si="589"/>
        <v>0</v>
      </c>
      <c r="CM774" s="8">
        <f t="shared" si="590"/>
        <v>0</v>
      </c>
      <c r="CN774" s="8">
        <f t="shared" si="591"/>
        <v>0</v>
      </c>
      <c r="CO774" s="8">
        <f t="shared" si="592"/>
        <v>0</v>
      </c>
      <c r="CP774" s="8">
        <f t="shared" si="593"/>
        <v>0</v>
      </c>
      <c r="CQ774" s="8">
        <f t="shared" si="594"/>
        <v>0</v>
      </c>
      <c r="CR774" s="8">
        <f t="shared" si="595"/>
        <v>0</v>
      </c>
      <c r="CS774" s="8">
        <f t="shared" si="596"/>
        <v>0</v>
      </c>
      <c r="CT774" s="8">
        <f t="shared" si="555"/>
        <v>0</v>
      </c>
      <c r="CU774" s="8">
        <f t="shared" si="556"/>
        <v>0</v>
      </c>
      <c r="CV774" s="8">
        <f t="shared" si="557"/>
        <v>0</v>
      </c>
    </row>
    <row r="775" spans="1:100" ht="20.5" thickTop="1" thickBot="1" x14ac:dyDescent="0.5">
      <c r="A775" s="32"/>
      <c r="B775" s="10"/>
      <c r="C775" s="10"/>
      <c r="D775" s="11"/>
      <c r="E775" s="10"/>
      <c r="F775" s="10"/>
      <c r="G775" s="19"/>
      <c r="H775" s="19"/>
      <c r="I775" s="19"/>
      <c r="J775" s="19"/>
      <c r="K775" s="10"/>
      <c r="L775" s="10"/>
      <c r="M775" s="10"/>
      <c r="N775" s="10"/>
      <c r="O775" s="18"/>
      <c r="P775" s="18"/>
      <c r="Q775" s="21"/>
      <c r="R775" s="20"/>
      <c r="S775" s="16">
        <f t="shared" si="559"/>
        <v>0</v>
      </c>
      <c r="T775" s="11"/>
      <c r="AS775" s="31">
        <f t="shared" si="560"/>
        <v>0</v>
      </c>
      <c r="AT775" s="31">
        <f t="shared" si="561"/>
        <v>0</v>
      </c>
      <c r="AU775" s="31">
        <f t="shared" si="562"/>
        <v>0</v>
      </c>
      <c r="AV775" s="31">
        <f t="shared" si="563"/>
        <v>0</v>
      </c>
      <c r="AW775" s="31">
        <f t="shared" si="564"/>
        <v>0</v>
      </c>
      <c r="AX775" s="31">
        <f t="shared" si="565"/>
        <v>0</v>
      </c>
      <c r="AY775" s="31">
        <f t="shared" si="566"/>
        <v>0</v>
      </c>
      <c r="AZ775" s="31">
        <f t="shared" si="567"/>
        <v>0</v>
      </c>
      <c r="BA775" s="31">
        <f t="shared" si="568"/>
        <v>0</v>
      </c>
      <c r="BB775" s="31">
        <f t="shared" si="597"/>
        <v>0</v>
      </c>
      <c r="BM775" s="8">
        <f t="shared" si="598"/>
        <v>0</v>
      </c>
      <c r="BN775" s="8">
        <f t="shared" si="569"/>
        <v>0</v>
      </c>
      <c r="BO775" s="8">
        <f t="shared" si="570"/>
        <v>0</v>
      </c>
      <c r="BQ775" s="8">
        <f t="shared" si="571"/>
        <v>0</v>
      </c>
      <c r="BR775" s="63">
        <f t="shared" si="572"/>
        <v>0</v>
      </c>
      <c r="BS775" s="63">
        <f t="shared" si="599"/>
        <v>0</v>
      </c>
      <c r="BT775" s="63">
        <f t="shared" si="573"/>
        <v>0</v>
      </c>
      <c r="BU775" s="63">
        <f t="shared" si="574"/>
        <v>0</v>
      </c>
      <c r="BV775" s="57">
        <f t="shared" si="575"/>
        <v>0</v>
      </c>
      <c r="BW775" s="57">
        <f t="shared" si="576"/>
        <v>0</v>
      </c>
      <c r="BX775" s="57">
        <f t="shared" si="600"/>
        <v>0</v>
      </c>
      <c r="BY775" s="57">
        <f t="shared" si="558"/>
        <v>0</v>
      </c>
      <c r="BZ775" s="8">
        <f t="shared" si="577"/>
        <v>0</v>
      </c>
      <c r="CA775" s="8">
        <f t="shared" si="578"/>
        <v>0</v>
      </c>
      <c r="CB775" s="8">
        <f t="shared" si="579"/>
        <v>0</v>
      </c>
      <c r="CC775" s="8">
        <f t="shared" si="580"/>
        <v>0</v>
      </c>
      <c r="CD775" s="8">
        <f t="shared" si="581"/>
        <v>0</v>
      </c>
      <c r="CE775" s="8">
        <f t="shared" si="582"/>
        <v>0</v>
      </c>
      <c r="CF775" s="8">
        <f t="shared" si="583"/>
        <v>0</v>
      </c>
      <c r="CG775" s="8">
        <f t="shared" si="584"/>
        <v>0</v>
      </c>
      <c r="CH775" s="8">
        <f t="shared" si="585"/>
        <v>0</v>
      </c>
      <c r="CI775" s="8">
        <f t="shared" si="586"/>
        <v>0</v>
      </c>
      <c r="CJ775" s="8">
        <f t="shared" si="587"/>
        <v>0</v>
      </c>
      <c r="CK775" s="8">
        <f t="shared" si="588"/>
        <v>0</v>
      </c>
      <c r="CL775" s="8">
        <f t="shared" si="589"/>
        <v>0</v>
      </c>
      <c r="CM775" s="8">
        <f t="shared" si="590"/>
        <v>0</v>
      </c>
      <c r="CN775" s="8">
        <f t="shared" si="591"/>
        <v>0</v>
      </c>
      <c r="CO775" s="8">
        <f t="shared" si="592"/>
        <v>0</v>
      </c>
      <c r="CP775" s="8">
        <f t="shared" si="593"/>
        <v>0</v>
      </c>
      <c r="CQ775" s="8">
        <f t="shared" si="594"/>
        <v>0</v>
      </c>
      <c r="CR775" s="8">
        <f t="shared" si="595"/>
        <v>0</v>
      </c>
      <c r="CS775" s="8">
        <f t="shared" si="596"/>
        <v>0</v>
      </c>
      <c r="CT775" s="8">
        <f t="shared" si="555"/>
        <v>0</v>
      </c>
      <c r="CU775" s="8">
        <f t="shared" si="556"/>
        <v>0</v>
      </c>
      <c r="CV775" s="8">
        <f t="shared" si="557"/>
        <v>0</v>
      </c>
    </row>
    <row r="776" spans="1:100" ht="20.5" thickTop="1" thickBot="1" x14ac:dyDescent="0.5">
      <c r="A776" s="32"/>
      <c r="B776" s="10"/>
      <c r="C776" s="10"/>
      <c r="D776" s="11"/>
      <c r="E776" s="10"/>
      <c r="F776" s="10"/>
      <c r="G776" s="19"/>
      <c r="H776" s="19"/>
      <c r="I776" s="19"/>
      <c r="J776" s="19"/>
      <c r="K776" s="10"/>
      <c r="L776" s="10"/>
      <c r="M776" s="10"/>
      <c r="N776" s="10"/>
      <c r="O776" s="18"/>
      <c r="P776" s="18"/>
      <c r="Q776" s="21"/>
      <c r="R776" s="20"/>
      <c r="S776" s="16">
        <f t="shared" si="559"/>
        <v>0</v>
      </c>
      <c r="T776" s="11"/>
      <c r="AS776" s="31">
        <f t="shared" si="560"/>
        <v>0</v>
      </c>
      <c r="AT776" s="31">
        <f t="shared" si="561"/>
        <v>0</v>
      </c>
      <c r="AU776" s="31">
        <f t="shared" si="562"/>
        <v>0</v>
      </c>
      <c r="AV776" s="31">
        <f t="shared" si="563"/>
        <v>0</v>
      </c>
      <c r="AW776" s="31">
        <f t="shared" si="564"/>
        <v>0</v>
      </c>
      <c r="AX776" s="31">
        <f t="shared" si="565"/>
        <v>0</v>
      </c>
      <c r="AY776" s="31">
        <f t="shared" si="566"/>
        <v>0</v>
      </c>
      <c r="AZ776" s="31">
        <f t="shared" si="567"/>
        <v>0</v>
      </c>
      <c r="BA776" s="31">
        <f t="shared" si="568"/>
        <v>0</v>
      </c>
      <c r="BB776" s="31">
        <f t="shared" si="597"/>
        <v>0</v>
      </c>
      <c r="BM776" s="8">
        <f t="shared" si="598"/>
        <v>0</v>
      </c>
      <c r="BN776" s="8">
        <f t="shared" si="569"/>
        <v>0</v>
      </c>
      <c r="BO776" s="8">
        <f t="shared" si="570"/>
        <v>0</v>
      </c>
      <c r="BQ776" s="8">
        <f t="shared" si="571"/>
        <v>0</v>
      </c>
      <c r="BR776" s="63">
        <f t="shared" si="572"/>
        <v>0</v>
      </c>
      <c r="BS776" s="63">
        <f t="shared" si="599"/>
        <v>0</v>
      </c>
      <c r="BT776" s="63">
        <f t="shared" si="573"/>
        <v>0</v>
      </c>
      <c r="BU776" s="63">
        <f t="shared" si="574"/>
        <v>0</v>
      </c>
      <c r="BV776" s="57">
        <f t="shared" si="575"/>
        <v>0</v>
      </c>
      <c r="BW776" s="57">
        <f t="shared" si="576"/>
        <v>0</v>
      </c>
      <c r="BX776" s="57">
        <f t="shared" si="600"/>
        <v>0</v>
      </c>
      <c r="BY776" s="57">
        <f t="shared" si="558"/>
        <v>0</v>
      </c>
      <c r="BZ776" s="8">
        <f t="shared" si="577"/>
        <v>0</v>
      </c>
      <c r="CA776" s="8">
        <f t="shared" si="578"/>
        <v>0</v>
      </c>
      <c r="CB776" s="8">
        <f t="shared" si="579"/>
        <v>0</v>
      </c>
      <c r="CC776" s="8">
        <f t="shared" si="580"/>
        <v>0</v>
      </c>
      <c r="CD776" s="8">
        <f t="shared" si="581"/>
        <v>0</v>
      </c>
      <c r="CE776" s="8">
        <f t="shared" si="582"/>
        <v>0</v>
      </c>
      <c r="CF776" s="8">
        <f t="shared" si="583"/>
        <v>0</v>
      </c>
      <c r="CG776" s="8">
        <f t="shared" si="584"/>
        <v>0</v>
      </c>
      <c r="CH776" s="8">
        <f t="shared" si="585"/>
        <v>0</v>
      </c>
      <c r="CI776" s="8">
        <f t="shared" si="586"/>
        <v>0</v>
      </c>
      <c r="CJ776" s="8">
        <f t="shared" si="587"/>
        <v>0</v>
      </c>
      <c r="CK776" s="8">
        <f t="shared" si="588"/>
        <v>0</v>
      </c>
      <c r="CL776" s="8">
        <f t="shared" si="589"/>
        <v>0</v>
      </c>
      <c r="CM776" s="8">
        <f t="shared" si="590"/>
        <v>0</v>
      </c>
      <c r="CN776" s="8">
        <f t="shared" si="591"/>
        <v>0</v>
      </c>
      <c r="CO776" s="8">
        <f t="shared" si="592"/>
        <v>0</v>
      </c>
      <c r="CP776" s="8">
        <f t="shared" si="593"/>
        <v>0</v>
      </c>
      <c r="CQ776" s="8">
        <f t="shared" si="594"/>
        <v>0</v>
      </c>
      <c r="CR776" s="8">
        <f t="shared" si="595"/>
        <v>0</v>
      </c>
      <c r="CS776" s="8">
        <f t="shared" si="596"/>
        <v>0</v>
      </c>
      <c r="CT776" s="8">
        <f t="shared" si="555"/>
        <v>0</v>
      </c>
      <c r="CU776" s="8">
        <f t="shared" si="556"/>
        <v>0</v>
      </c>
      <c r="CV776" s="8">
        <f t="shared" si="557"/>
        <v>0</v>
      </c>
    </row>
    <row r="777" spans="1:100" ht="20.5" thickTop="1" thickBot="1" x14ac:dyDescent="0.5">
      <c r="A777" s="32"/>
      <c r="B777" s="10"/>
      <c r="C777" s="10"/>
      <c r="D777" s="11"/>
      <c r="E777" s="10"/>
      <c r="F777" s="10"/>
      <c r="G777" s="19"/>
      <c r="H777" s="19"/>
      <c r="I777" s="19"/>
      <c r="J777" s="19"/>
      <c r="K777" s="10"/>
      <c r="L777" s="10"/>
      <c r="M777" s="10"/>
      <c r="N777" s="10"/>
      <c r="O777" s="18"/>
      <c r="P777" s="18"/>
      <c r="Q777" s="21"/>
      <c r="R777" s="20"/>
      <c r="S777" s="16">
        <f t="shared" si="559"/>
        <v>0</v>
      </c>
      <c r="T777" s="11"/>
      <c r="AS777" s="31">
        <f t="shared" si="560"/>
        <v>0</v>
      </c>
      <c r="AT777" s="31">
        <f t="shared" si="561"/>
        <v>0</v>
      </c>
      <c r="AU777" s="31">
        <f t="shared" si="562"/>
        <v>0</v>
      </c>
      <c r="AV777" s="31">
        <f t="shared" si="563"/>
        <v>0</v>
      </c>
      <c r="AW777" s="31">
        <f t="shared" si="564"/>
        <v>0</v>
      </c>
      <c r="AX777" s="31">
        <f t="shared" si="565"/>
        <v>0</v>
      </c>
      <c r="AY777" s="31">
        <f t="shared" si="566"/>
        <v>0</v>
      </c>
      <c r="AZ777" s="31">
        <f t="shared" si="567"/>
        <v>0</v>
      </c>
      <c r="BA777" s="31">
        <f t="shared" si="568"/>
        <v>0</v>
      </c>
      <c r="BB777" s="31">
        <f t="shared" si="597"/>
        <v>0</v>
      </c>
      <c r="BM777" s="8">
        <f t="shared" si="598"/>
        <v>0</v>
      </c>
      <c r="BN777" s="8">
        <f t="shared" si="569"/>
        <v>0</v>
      </c>
      <c r="BO777" s="8">
        <f t="shared" si="570"/>
        <v>0</v>
      </c>
      <c r="BQ777" s="8">
        <f t="shared" si="571"/>
        <v>0</v>
      </c>
      <c r="BR777" s="63">
        <f t="shared" si="572"/>
        <v>0</v>
      </c>
      <c r="BS777" s="63">
        <f t="shared" si="599"/>
        <v>0</v>
      </c>
      <c r="BT777" s="63">
        <f t="shared" si="573"/>
        <v>0</v>
      </c>
      <c r="BU777" s="63">
        <f t="shared" si="574"/>
        <v>0</v>
      </c>
      <c r="BV777" s="57">
        <f t="shared" si="575"/>
        <v>0</v>
      </c>
      <c r="BW777" s="57">
        <f t="shared" si="576"/>
        <v>0</v>
      </c>
      <c r="BX777" s="57">
        <f t="shared" si="600"/>
        <v>0</v>
      </c>
      <c r="BY777" s="57">
        <f t="shared" si="558"/>
        <v>0</v>
      </c>
      <c r="BZ777" s="8">
        <f t="shared" si="577"/>
        <v>0</v>
      </c>
      <c r="CA777" s="8">
        <f t="shared" si="578"/>
        <v>0</v>
      </c>
      <c r="CB777" s="8">
        <f t="shared" si="579"/>
        <v>0</v>
      </c>
      <c r="CC777" s="8">
        <f t="shared" si="580"/>
        <v>0</v>
      </c>
      <c r="CD777" s="8">
        <f t="shared" si="581"/>
        <v>0</v>
      </c>
      <c r="CE777" s="8">
        <f t="shared" si="582"/>
        <v>0</v>
      </c>
      <c r="CF777" s="8">
        <f t="shared" si="583"/>
        <v>0</v>
      </c>
      <c r="CG777" s="8">
        <f t="shared" si="584"/>
        <v>0</v>
      </c>
      <c r="CH777" s="8">
        <f t="shared" si="585"/>
        <v>0</v>
      </c>
      <c r="CI777" s="8">
        <f t="shared" si="586"/>
        <v>0</v>
      </c>
      <c r="CJ777" s="8">
        <f t="shared" si="587"/>
        <v>0</v>
      </c>
      <c r="CK777" s="8">
        <f t="shared" si="588"/>
        <v>0</v>
      </c>
      <c r="CL777" s="8">
        <f t="shared" si="589"/>
        <v>0</v>
      </c>
      <c r="CM777" s="8">
        <f t="shared" si="590"/>
        <v>0</v>
      </c>
      <c r="CN777" s="8">
        <f t="shared" si="591"/>
        <v>0</v>
      </c>
      <c r="CO777" s="8">
        <f t="shared" si="592"/>
        <v>0</v>
      </c>
      <c r="CP777" s="8">
        <f t="shared" si="593"/>
        <v>0</v>
      </c>
      <c r="CQ777" s="8">
        <f t="shared" si="594"/>
        <v>0</v>
      </c>
      <c r="CR777" s="8">
        <f t="shared" si="595"/>
        <v>0</v>
      </c>
      <c r="CS777" s="8">
        <f t="shared" si="596"/>
        <v>0</v>
      </c>
      <c r="CT777" s="8">
        <f t="shared" si="555"/>
        <v>0</v>
      </c>
      <c r="CU777" s="8">
        <f t="shared" si="556"/>
        <v>0</v>
      </c>
      <c r="CV777" s="8">
        <f t="shared" si="557"/>
        <v>0</v>
      </c>
    </row>
    <row r="778" spans="1:100" ht="20.5" thickTop="1" thickBot="1" x14ac:dyDescent="0.5">
      <c r="A778" s="32"/>
      <c r="B778" s="10"/>
      <c r="C778" s="10"/>
      <c r="D778" s="11"/>
      <c r="E778" s="10"/>
      <c r="F778" s="10"/>
      <c r="G778" s="19"/>
      <c r="H778" s="19"/>
      <c r="I778" s="19"/>
      <c r="J778" s="19"/>
      <c r="K778" s="10"/>
      <c r="L778" s="10"/>
      <c r="M778" s="10"/>
      <c r="N778" s="10"/>
      <c r="O778" s="18"/>
      <c r="P778" s="18"/>
      <c r="Q778" s="21"/>
      <c r="R778" s="20"/>
      <c r="S778" s="16">
        <f t="shared" si="559"/>
        <v>0</v>
      </c>
      <c r="T778" s="11"/>
      <c r="AS778" s="31">
        <f t="shared" si="560"/>
        <v>0</v>
      </c>
      <c r="AT778" s="31">
        <f t="shared" si="561"/>
        <v>0</v>
      </c>
      <c r="AU778" s="31">
        <f t="shared" si="562"/>
        <v>0</v>
      </c>
      <c r="AV778" s="31">
        <f t="shared" si="563"/>
        <v>0</v>
      </c>
      <c r="AW778" s="31">
        <f t="shared" si="564"/>
        <v>0</v>
      </c>
      <c r="AX778" s="31">
        <f t="shared" si="565"/>
        <v>0</v>
      </c>
      <c r="AY778" s="31">
        <f t="shared" si="566"/>
        <v>0</v>
      </c>
      <c r="AZ778" s="31">
        <f t="shared" si="567"/>
        <v>0</v>
      </c>
      <c r="BA778" s="31">
        <f t="shared" si="568"/>
        <v>0</v>
      </c>
      <c r="BB778" s="31">
        <f t="shared" si="597"/>
        <v>0</v>
      </c>
      <c r="BM778" s="8">
        <f t="shared" si="598"/>
        <v>0</v>
      </c>
      <c r="BN778" s="8">
        <f t="shared" si="569"/>
        <v>0</v>
      </c>
      <c r="BO778" s="8">
        <f t="shared" si="570"/>
        <v>0</v>
      </c>
      <c r="BQ778" s="8">
        <f t="shared" si="571"/>
        <v>0</v>
      </c>
      <c r="BR778" s="63">
        <f t="shared" si="572"/>
        <v>0</v>
      </c>
      <c r="BS778" s="63">
        <f t="shared" si="599"/>
        <v>0</v>
      </c>
      <c r="BT778" s="63">
        <f t="shared" si="573"/>
        <v>0</v>
      </c>
      <c r="BU778" s="63">
        <f t="shared" si="574"/>
        <v>0</v>
      </c>
      <c r="BV778" s="57">
        <f t="shared" si="575"/>
        <v>0</v>
      </c>
      <c r="BW778" s="57">
        <f t="shared" si="576"/>
        <v>0</v>
      </c>
      <c r="BX778" s="57">
        <f t="shared" si="600"/>
        <v>0</v>
      </c>
      <c r="BY778" s="57">
        <f t="shared" si="558"/>
        <v>0</v>
      </c>
      <c r="BZ778" s="8">
        <f t="shared" si="577"/>
        <v>0</v>
      </c>
      <c r="CA778" s="8">
        <f t="shared" si="578"/>
        <v>0</v>
      </c>
      <c r="CB778" s="8">
        <f t="shared" si="579"/>
        <v>0</v>
      </c>
      <c r="CC778" s="8">
        <f t="shared" si="580"/>
        <v>0</v>
      </c>
      <c r="CD778" s="8">
        <f t="shared" si="581"/>
        <v>0</v>
      </c>
      <c r="CE778" s="8">
        <f t="shared" si="582"/>
        <v>0</v>
      </c>
      <c r="CF778" s="8">
        <f t="shared" si="583"/>
        <v>0</v>
      </c>
      <c r="CG778" s="8">
        <f t="shared" si="584"/>
        <v>0</v>
      </c>
      <c r="CH778" s="8">
        <f t="shared" si="585"/>
        <v>0</v>
      </c>
      <c r="CI778" s="8">
        <f t="shared" si="586"/>
        <v>0</v>
      </c>
      <c r="CJ778" s="8">
        <f t="shared" si="587"/>
        <v>0</v>
      </c>
      <c r="CK778" s="8">
        <f t="shared" si="588"/>
        <v>0</v>
      </c>
      <c r="CL778" s="8">
        <f t="shared" si="589"/>
        <v>0</v>
      </c>
      <c r="CM778" s="8">
        <f t="shared" si="590"/>
        <v>0</v>
      </c>
      <c r="CN778" s="8">
        <f t="shared" si="591"/>
        <v>0</v>
      </c>
      <c r="CO778" s="8">
        <f t="shared" si="592"/>
        <v>0</v>
      </c>
      <c r="CP778" s="8">
        <f t="shared" si="593"/>
        <v>0</v>
      </c>
      <c r="CQ778" s="8">
        <f t="shared" si="594"/>
        <v>0</v>
      </c>
      <c r="CR778" s="8">
        <f t="shared" si="595"/>
        <v>0</v>
      </c>
      <c r="CS778" s="8">
        <f t="shared" si="596"/>
        <v>0</v>
      </c>
      <c r="CT778" s="8">
        <f t="shared" si="555"/>
        <v>0</v>
      </c>
      <c r="CU778" s="8">
        <f t="shared" si="556"/>
        <v>0</v>
      </c>
      <c r="CV778" s="8">
        <f t="shared" si="557"/>
        <v>0</v>
      </c>
    </row>
    <row r="779" spans="1:100" ht="20.5" thickTop="1" thickBot="1" x14ac:dyDescent="0.5">
      <c r="A779" s="32"/>
      <c r="B779" s="10"/>
      <c r="C779" s="10"/>
      <c r="D779" s="11"/>
      <c r="E779" s="10"/>
      <c r="F779" s="10"/>
      <c r="G779" s="19"/>
      <c r="H779" s="19"/>
      <c r="I779" s="19"/>
      <c r="J779" s="19"/>
      <c r="K779" s="10"/>
      <c r="L779" s="10"/>
      <c r="M779" s="10"/>
      <c r="N779" s="10"/>
      <c r="O779" s="18"/>
      <c r="P779" s="18"/>
      <c r="Q779" s="21"/>
      <c r="R779" s="20"/>
      <c r="S779" s="16">
        <f t="shared" si="559"/>
        <v>0</v>
      </c>
      <c r="T779" s="11"/>
      <c r="AS779" s="31">
        <f t="shared" si="560"/>
        <v>0</v>
      </c>
      <c r="AT779" s="31">
        <f t="shared" si="561"/>
        <v>0</v>
      </c>
      <c r="AU779" s="31">
        <f t="shared" si="562"/>
        <v>0</v>
      </c>
      <c r="AV779" s="31">
        <f t="shared" si="563"/>
        <v>0</v>
      </c>
      <c r="AW779" s="31">
        <f t="shared" si="564"/>
        <v>0</v>
      </c>
      <c r="AX779" s="31">
        <f t="shared" si="565"/>
        <v>0</v>
      </c>
      <c r="AY779" s="31">
        <f t="shared" si="566"/>
        <v>0</v>
      </c>
      <c r="AZ779" s="31">
        <f t="shared" si="567"/>
        <v>0</v>
      </c>
      <c r="BA779" s="31">
        <f t="shared" si="568"/>
        <v>0</v>
      </c>
      <c r="BB779" s="31">
        <f t="shared" si="597"/>
        <v>0</v>
      </c>
      <c r="BM779" s="8">
        <f t="shared" si="598"/>
        <v>0</v>
      </c>
      <c r="BN779" s="8">
        <f t="shared" si="569"/>
        <v>0</v>
      </c>
      <c r="BO779" s="8">
        <f t="shared" si="570"/>
        <v>0</v>
      </c>
      <c r="BQ779" s="8">
        <f t="shared" si="571"/>
        <v>0</v>
      </c>
      <c r="BR779" s="63">
        <f t="shared" si="572"/>
        <v>0</v>
      </c>
      <c r="BS779" s="63">
        <f t="shared" si="599"/>
        <v>0</v>
      </c>
      <c r="BT779" s="63">
        <f t="shared" si="573"/>
        <v>0</v>
      </c>
      <c r="BU779" s="63">
        <f t="shared" si="574"/>
        <v>0</v>
      </c>
      <c r="BV779" s="57">
        <f t="shared" si="575"/>
        <v>0</v>
      </c>
      <c r="BW779" s="57">
        <f t="shared" si="576"/>
        <v>0</v>
      </c>
      <c r="BX779" s="57">
        <f t="shared" si="600"/>
        <v>0</v>
      </c>
      <c r="BY779" s="57">
        <f t="shared" si="558"/>
        <v>0</v>
      </c>
      <c r="BZ779" s="8">
        <f t="shared" si="577"/>
        <v>0</v>
      </c>
      <c r="CA779" s="8">
        <f t="shared" si="578"/>
        <v>0</v>
      </c>
      <c r="CB779" s="8">
        <f t="shared" si="579"/>
        <v>0</v>
      </c>
      <c r="CC779" s="8">
        <f t="shared" si="580"/>
        <v>0</v>
      </c>
      <c r="CD779" s="8">
        <f t="shared" si="581"/>
        <v>0</v>
      </c>
      <c r="CE779" s="8">
        <f t="shared" si="582"/>
        <v>0</v>
      </c>
      <c r="CF779" s="8">
        <f t="shared" si="583"/>
        <v>0</v>
      </c>
      <c r="CG779" s="8">
        <f t="shared" si="584"/>
        <v>0</v>
      </c>
      <c r="CH779" s="8">
        <f t="shared" si="585"/>
        <v>0</v>
      </c>
      <c r="CI779" s="8">
        <f t="shared" si="586"/>
        <v>0</v>
      </c>
      <c r="CJ779" s="8">
        <f t="shared" si="587"/>
        <v>0</v>
      </c>
      <c r="CK779" s="8">
        <f t="shared" si="588"/>
        <v>0</v>
      </c>
      <c r="CL779" s="8">
        <f t="shared" si="589"/>
        <v>0</v>
      </c>
      <c r="CM779" s="8">
        <f t="shared" si="590"/>
        <v>0</v>
      </c>
      <c r="CN779" s="8">
        <f t="shared" si="591"/>
        <v>0</v>
      </c>
      <c r="CO779" s="8">
        <f t="shared" si="592"/>
        <v>0</v>
      </c>
      <c r="CP779" s="8">
        <f t="shared" si="593"/>
        <v>0</v>
      </c>
      <c r="CQ779" s="8">
        <f t="shared" si="594"/>
        <v>0</v>
      </c>
      <c r="CR779" s="8">
        <f t="shared" si="595"/>
        <v>0</v>
      </c>
      <c r="CS779" s="8">
        <f t="shared" si="596"/>
        <v>0</v>
      </c>
      <c r="CT779" s="8">
        <f t="shared" si="555"/>
        <v>0</v>
      </c>
      <c r="CU779" s="8">
        <f t="shared" si="556"/>
        <v>0</v>
      </c>
      <c r="CV779" s="8">
        <f t="shared" si="557"/>
        <v>0</v>
      </c>
    </row>
    <row r="780" spans="1:100" ht="20.5" thickTop="1" thickBot="1" x14ac:dyDescent="0.5">
      <c r="A780" s="32"/>
      <c r="B780" s="10"/>
      <c r="C780" s="10"/>
      <c r="D780" s="11"/>
      <c r="E780" s="10"/>
      <c r="F780" s="10"/>
      <c r="G780" s="19"/>
      <c r="H780" s="19"/>
      <c r="I780" s="19"/>
      <c r="J780" s="19"/>
      <c r="K780" s="10"/>
      <c r="L780" s="10"/>
      <c r="M780" s="10"/>
      <c r="N780" s="10"/>
      <c r="O780" s="18"/>
      <c r="P780" s="18"/>
      <c r="Q780" s="21"/>
      <c r="R780" s="20"/>
      <c r="S780" s="16">
        <f t="shared" si="559"/>
        <v>0</v>
      </c>
      <c r="T780" s="11"/>
      <c r="AS780" s="31">
        <f t="shared" si="560"/>
        <v>0</v>
      </c>
      <c r="AT780" s="31">
        <f t="shared" si="561"/>
        <v>0</v>
      </c>
      <c r="AU780" s="31">
        <f t="shared" si="562"/>
        <v>0</v>
      </c>
      <c r="AV780" s="31">
        <f t="shared" si="563"/>
        <v>0</v>
      </c>
      <c r="AW780" s="31">
        <f t="shared" si="564"/>
        <v>0</v>
      </c>
      <c r="AX780" s="31">
        <f t="shared" si="565"/>
        <v>0</v>
      </c>
      <c r="AY780" s="31">
        <f t="shared" si="566"/>
        <v>0</v>
      </c>
      <c r="AZ780" s="31">
        <f t="shared" si="567"/>
        <v>0</v>
      </c>
      <c r="BA780" s="31">
        <f t="shared" si="568"/>
        <v>0</v>
      </c>
      <c r="BB780" s="31">
        <f t="shared" si="597"/>
        <v>0</v>
      </c>
      <c r="BM780" s="8">
        <f t="shared" si="598"/>
        <v>0</v>
      </c>
      <c r="BN780" s="8">
        <f t="shared" si="569"/>
        <v>0</v>
      </c>
      <c r="BO780" s="8">
        <f t="shared" si="570"/>
        <v>0</v>
      </c>
      <c r="BQ780" s="8">
        <f t="shared" si="571"/>
        <v>0</v>
      </c>
      <c r="BR780" s="63">
        <f t="shared" si="572"/>
        <v>0</v>
      </c>
      <c r="BS780" s="63">
        <f t="shared" si="599"/>
        <v>0</v>
      </c>
      <c r="BT780" s="63">
        <f t="shared" si="573"/>
        <v>0</v>
      </c>
      <c r="BU780" s="63">
        <f t="shared" si="574"/>
        <v>0</v>
      </c>
      <c r="BV780" s="57">
        <f t="shared" si="575"/>
        <v>0</v>
      </c>
      <c r="BW780" s="57">
        <f t="shared" si="576"/>
        <v>0</v>
      </c>
      <c r="BX780" s="57">
        <f t="shared" si="600"/>
        <v>0</v>
      </c>
      <c r="BY780" s="57">
        <f t="shared" si="558"/>
        <v>0</v>
      </c>
      <c r="BZ780" s="8">
        <f t="shared" si="577"/>
        <v>0</v>
      </c>
      <c r="CA780" s="8">
        <f t="shared" si="578"/>
        <v>0</v>
      </c>
      <c r="CB780" s="8">
        <f t="shared" si="579"/>
        <v>0</v>
      </c>
      <c r="CC780" s="8">
        <f t="shared" si="580"/>
        <v>0</v>
      </c>
      <c r="CD780" s="8">
        <f t="shared" si="581"/>
        <v>0</v>
      </c>
      <c r="CE780" s="8">
        <f t="shared" si="582"/>
        <v>0</v>
      </c>
      <c r="CF780" s="8">
        <f t="shared" si="583"/>
        <v>0</v>
      </c>
      <c r="CG780" s="8">
        <f t="shared" si="584"/>
        <v>0</v>
      </c>
      <c r="CH780" s="8">
        <f t="shared" si="585"/>
        <v>0</v>
      </c>
      <c r="CI780" s="8">
        <f t="shared" si="586"/>
        <v>0</v>
      </c>
      <c r="CJ780" s="8">
        <f t="shared" si="587"/>
        <v>0</v>
      </c>
      <c r="CK780" s="8">
        <f t="shared" si="588"/>
        <v>0</v>
      </c>
      <c r="CL780" s="8">
        <f t="shared" si="589"/>
        <v>0</v>
      </c>
      <c r="CM780" s="8">
        <f t="shared" si="590"/>
        <v>0</v>
      </c>
      <c r="CN780" s="8">
        <f t="shared" si="591"/>
        <v>0</v>
      </c>
      <c r="CO780" s="8">
        <f t="shared" si="592"/>
        <v>0</v>
      </c>
      <c r="CP780" s="8">
        <f t="shared" si="593"/>
        <v>0</v>
      </c>
      <c r="CQ780" s="8">
        <f t="shared" si="594"/>
        <v>0</v>
      </c>
      <c r="CR780" s="8">
        <f t="shared" si="595"/>
        <v>0</v>
      </c>
      <c r="CS780" s="8">
        <f t="shared" si="596"/>
        <v>0</v>
      </c>
      <c r="CT780" s="8">
        <f t="shared" si="555"/>
        <v>0</v>
      </c>
      <c r="CU780" s="8">
        <f t="shared" si="556"/>
        <v>0</v>
      </c>
      <c r="CV780" s="8">
        <f t="shared" si="557"/>
        <v>0</v>
      </c>
    </row>
    <row r="781" spans="1:100" ht="20.5" thickTop="1" thickBot="1" x14ac:dyDescent="0.5">
      <c r="A781" s="32"/>
      <c r="B781" s="10"/>
      <c r="C781" s="10"/>
      <c r="D781" s="11"/>
      <c r="E781" s="10"/>
      <c r="F781" s="10"/>
      <c r="G781" s="19"/>
      <c r="H781" s="19"/>
      <c r="I781" s="19"/>
      <c r="J781" s="19"/>
      <c r="K781" s="10"/>
      <c r="L781" s="10"/>
      <c r="M781" s="10"/>
      <c r="N781" s="10"/>
      <c r="O781" s="18"/>
      <c r="P781" s="18"/>
      <c r="Q781" s="21"/>
      <c r="R781" s="20"/>
      <c r="S781" s="16">
        <f t="shared" si="559"/>
        <v>0</v>
      </c>
      <c r="T781" s="11"/>
      <c r="AS781" s="31">
        <f t="shared" si="560"/>
        <v>0</v>
      </c>
      <c r="AT781" s="31">
        <f t="shared" si="561"/>
        <v>0</v>
      </c>
      <c r="AU781" s="31">
        <f t="shared" si="562"/>
        <v>0</v>
      </c>
      <c r="AV781" s="31">
        <f t="shared" si="563"/>
        <v>0</v>
      </c>
      <c r="AW781" s="31">
        <f t="shared" si="564"/>
        <v>0</v>
      </c>
      <c r="AX781" s="31">
        <f t="shared" si="565"/>
        <v>0</v>
      </c>
      <c r="AY781" s="31">
        <f t="shared" si="566"/>
        <v>0</v>
      </c>
      <c r="AZ781" s="31">
        <f t="shared" si="567"/>
        <v>0</v>
      </c>
      <c r="BA781" s="31">
        <f t="shared" si="568"/>
        <v>0</v>
      </c>
      <c r="BB781" s="31">
        <f t="shared" si="597"/>
        <v>0</v>
      </c>
      <c r="BM781" s="8">
        <f t="shared" si="598"/>
        <v>0</v>
      </c>
      <c r="BN781" s="8">
        <f t="shared" si="569"/>
        <v>0</v>
      </c>
      <c r="BO781" s="8">
        <f t="shared" si="570"/>
        <v>0</v>
      </c>
      <c r="BQ781" s="8">
        <f t="shared" si="571"/>
        <v>0</v>
      </c>
      <c r="BR781" s="63">
        <f t="shared" si="572"/>
        <v>0</v>
      </c>
      <c r="BS781" s="63">
        <f t="shared" si="599"/>
        <v>0</v>
      </c>
      <c r="BT781" s="63">
        <f t="shared" si="573"/>
        <v>0</v>
      </c>
      <c r="BU781" s="63">
        <f t="shared" si="574"/>
        <v>0</v>
      </c>
      <c r="BV781" s="57">
        <f t="shared" si="575"/>
        <v>0</v>
      </c>
      <c r="BW781" s="57">
        <f t="shared" si="576"/>
        <v>0</v>
      </c>
      <c r="BX781" s="57">
        <f t="shared" si="600"/>
        <v>0</v>
      </c>
      <c r="BY781" s="57">
        <f t="shared" si="558"/>
        <v>0</v>
      </c>
      <c r="BZ781" s="8">
        <f t="shared" si="577"/>
        <v>0</v>
      </c>
      <c r="CA781" s="8">
        <f t="shared" si="578"/>
        <v>0</v>
      </c>
      <c r="CB781" s="8">
        <f t="shared" si="579"/>
        <v>0</v>
      </c>
      <c r="CC781" s="8">
        <f t="shared" si="580"/>
        <v>0</v>
      </c>
      <c r="CD781" s="8">
        <f t="shared" si="581"/>
        <v>0</v>
      </c>
      <c r="CE781" s="8">
        <f t="shared" si="582"/>
        <v>0</v>
      </c>
      <c r="CF781" s="8">
        <f t="shared" si="583"/>
        <v>0</v>
      </c>
      <c r="CG781" s="8">
        <f t="shared" si="584"/>
        <v>0</v>
      </c>
      <c r="CH781" s="8">
        <f t="shared" si="585"/>
        <v>0</v>
      </c>
      <c r="CI781" s="8">
        <f t="shared" si="586"/>
        <v>0</v>
      </c>
      <c r="CJ781" s="8">
        <f t="shared" si="587"/>
        <v>0</v>
      </c>
      <c r="CK781" s="8">
        <f t="shared" si="588"/>
        <v>0</v>
      </c>
      <c r="CL781" s="8">
        <f t="shared" si="589"/>
        <v>0</v>
      </c>
      <c r="CM781" s="8">
        <f t="shared" si="590"/>
        <v>0</v>
      </c>
      <c r="CN781" s="8">
        <f t="shared" si="591"/>
        <v>0</v>
      </c>
      <c r="CO781" s="8">
        <f t="shared" si="592"/>
        <v>0</v>
      </c>
      <c r="CP781" s="8">
        <f t="shared" si="593"/>
        <v>0</v>
      </c>
      <c r="CQ781" s="8">
        <f t="shared" si="594"/>
        <v>0</v>
      </c>
      <c r="CR781" s="8">
        <f t="shared" si="595"/>
        <v>0</v>
      </c>
      <c r="CS781" s="8">
        <f t="shared" si="596"/>
        <v>0</v>
      </c>
      <c r="CT781" s="8">
        <f t="shared" ref="CT781:CT844" si="601">IF(AND(J781&gt;0,OR(B781="MB",B781="new MB")),J781,0)*4+IF(AND(J781&gt;0,OR(C781="MB",C781="new MB")),J781,0)*4</f>
        <v>0</v>
      </c>
      <c r="CU781" s="8">
        <f t="shared" ref="CU781:CU844" si="602">IF(AND(I781&gt;0,OR(B781="MB",B781="new MB")),I781,0)*4+IF(AND(I781&gt;0,OR(C781="MB",C781="new MB")),I781,0)*4</f>
        <v>0</v>
      </c>
      <c r="CV781" s="8">
        <f t="shared" ref="CV781:CV844" si="603">IF(AND(H781&gt;0,OR(B781="MB",B781="new MB")),H781,0)*4+IF(AND(H781&gt;0,OR(C781="MB",C781="new MB")),H781,0)*4</f>
        <v>0</v>
      </c>
    </row>
    <row r="782" spans="1:100" ht="20.5" thickTop="1" thickBot="1" x14ac:dyDescent="0.5">
      <c r="A782" s="32"/>
      <c r="B782" s="10"/>
      <c r="C782" s="10"/>
      <c r="D782" s="11"/>
      <c r="E782" s="10"/>
      <c r="F782" s="10"/>
      <c r="G782" s="19"/>
      <c r="H782" s="19"/>
      <c r="I782" s="19"/>
      <c r="J782" s="19"/>
      <c r="K782" s="10"/>
      <c r="L782" s="10"/>
      <c r="M782" s="10"/>
      <c r="N782" s="10"/>
      <c r="O782" s="18"/>
      <c r="P782" s="18"/>
      <c r="Q782" s="21"/>
      <c r="R782" s="20"/>
      <c r="S782" s="16">
        <f t="shared" si="559"/>
        <v>0</v>
      </c>
      <c r="T782" s="11"/>
      <c r="AS782" s="31">
        <f t="shared" si="560"/>
        <v>0</v>
      </c>
      <c r="AT782" s="31">
        <f t="shared" si="561"/>
        <v>0</v>
      </c>
      <c r="AU782" s="31">
        <f t="shared" si="562"/>
        <v>0</v>
      </c>
      <c r="AV782" s="31">
        <f t="shared" si="563"/>
        <v>0</v>
      </c>
      <c r="AW782" s="31">
        <f t="shared" si="564"/>
        <v>0</v>
      </c>
      <c r="AX782" s="31">
        <f t="shared" si="565"/>
        <v>0</v>
      </c>
      <c r="AY782" s="31">
        <f t="shared" si="566"/>
        <v>0</v>
      </c>
      <c r="AZ782" s="31">
        <f t="shared" si="567"/>
        <v>0</v>
      </c>
      <c r="BA782" s="31">
        <f t="shared" si="568"/>
        <v>0</v>
      </c>
      <c r="BB782" s="31">
        <f t="shared" si="597"/>
        <v>0</v>
      </c>
      <c r="BM782" s="8">
        <f t="shared" si="598"/>
        <v>0</v>
      </c>
      <c r="BN782" s="8">
        <f t="shared" si="569"/>
        <v>0</v>
      </c>
      <c r="BO782" s="8">
        <f t="shared" si="570"/>
        <v>0</v>
      </c>
      <c r="BQ782" s="8">
        <f t="shared" si="571"/>
        <v>0</v>
      </c>
      <c r="BR782" s="63">
        <f t="shared" si="572"/>
        <v>0</v>
      </c>
      <c r="BS782" s="63">
        <f t="shared" si="599"/>
        <v>0</v>
      </c>
      <c r="BT782" s="63">
        <f t="shared" si="573"/>
        <v>0</v>
      </c>
      <c r="BU782" s="63">
        <f t="shared" si="574"/>
        <v>0</v>
      </c>
      <c r="BV782" s="57">
        <f t="shared" si="575"/>
        <v>0</v>
      </c>
      <c r="BW782" s="57">
        <f t="shared" si="576"/>
        <v>0</v>
      </c>
      <c r="BX782" s="57">
        <f t="shared" si="600"/>
        <v>0</v>
      </c>
      <c r="BY782" s="57">
        <f t="shared" si="558"/>
        <v>0</v>
      </c>
      <c r="BZ782" s="8">
        <f t="shared" si="577"/>
        <v>0</v>
      </c>
      <c r="CA782" s="8">
        <f t="shared" si="578"/>
        <v>0</v>
      </c>
      <c r="CB782" s="8">
        <f t="shared" si="579"/>
        <v>0</v>
      </c>
      <c r="CC782" s="8">
        <f t="shared" si="580"/>
        <v>0</v>
      </c>
      <c r="CD782" s="8">
        <f t="shared" si="581"/>
        <v>0</v>
      </c>
      <c r="CE782" s="8">
        <f t="shared" si="582"/>
        <v>0</v>
      </c>
      <c r="CF782" s="8">
        <f t="shared" si="583"/>
        <v>0</v>
      </c>
      <c r="CG782" s="8">
        <f t="shared" si="584"/>
        <v>0</v>
      </c>
      <c r="CH782" s="8">
        <f t="shared" si="585"/>
        <v>0</v>
      </c>
      <c r="CI782" s="8">
        <f t="shared" si="586"/>
        <v>0</v>
      </c>
      <c r="CJ782" s="8">
        <f t="shared" si="587"/>
        <v>0</v>
      </c>
      <c r="CK782" s="8">
        <f t="shared" si="588"/>
        <v>0</v>
      </c>
      <c r="CL782" s="8">
        <f t="shared" si="589"/>
        <v>0</v>
      </c>
      <c r="CM782" s="8">
        <f t="shared" si="590"/>
        <v>0</v>
      </c>
      <c r="CN782" s="8">
        <f t="shared" si="591"/>
        <v>0</v>
      </c>
      <c r="CO782" s="8">
        <f t="shared" si="592"/>
        <v>0</v>
      </c>
      <c r="CP782" s="8">
        <f t="shared" si="593"/>
        <v>0</v>
      </c>
      <c r="CQ782" s="8">
        <f t="shared" si="594"/>
        <v>0</v>
      </c>
      <c r="CR782" s="8">
        <f t="shared" si="595"/>
        <v>0</v>
      </c>
      <c r="CS782" s="8">
        <f t="shared" si="596"/>
        <v>0</v>
      </c>
      <c r="CT782" s="8">
        <f t="shared" si="601"/>
        <v>0</v>
      </c>
      <c r="CU782" s="8">
        <f t="shared" si="602"/>
        <v>0</v>
      </c>
      <c r="CV782" s="8">
        <f t="shared" si="603"/>
        <v>0</v>
      </c>
    </row>
    <row r="783" spans="1:100" ht="20.5" thickTop="1" thickBot="1" x14ac:dyDescent="0.5">
      <c r="A783" s="32"/>
      <c r="B783" s="10"/>
      <c r="C783" s="10"/>
      <c r="D783" s="11"/>
      <c r="E783" s="10"/>
      <c r="F783" s="10"/>
      <c r="G783" s="19"/>
      <c r="H783" s="19"/>
      <c r="I783" s="19"/>
      <c r="J783" s="19"/>
      <c r="K783" s="10"/>
      <c r="L783" s="10"/>
      <c r="M783" s="10"/>
      <c r="N783" s="10"/>
      <c r="O783" s="18"/>
      <c r="P783" s="18"/>
      <c r="Q783" s="21"/>
      <c r="R783" s="20"/>
      <c r="S783" s="16">
        <f t="shared" si="559"/>
        <v>0</v>
      </c>
      <c r="T783" s="11"/>
      <c r="AS783" s="31">
        <f t="shared" si="560"/>
        <v>0</v>
      </c>
      <c r="AT783" s="31">
        <f t="shared" si="561"/>
        <v>0</v>
      </c>
      <c r="AU783" s="31">
        <f t="shared" si="562"/>
        <v>0</v>
      </c>
      <c r="AV783" s="31">
        <f t="shared" si="563"/>
        <v>0</v>
      </c>
      <c r="AW783" s="31">
        <f t="shared" si="564"/>
        <v>0</v>
      </c>
      <c r="AX783" s="31">
        <f t="shared" si="565"/>
        <v>0</v>
      </c>
      <c r="AY783" s="31">
        <f t="shared" si="566"/>
        <v>0</v>
      </c>
      <c r="AZ783" s="31">
        <f t="shared" si="567"/>
        <v>0</v>
      </c>
      <c r="BA783" s="31">
        <f t="shared" si="568"/>
        <v>0</v>
      </c>
      <c r="BB783" s="31">
        <f t="shared" si="597"/>
        <v>0</v>
      </c>
      <c r="BM783" s="8">
        <f t="shared" si="598"/>
        <v>0</v>
      </c>
      <c r="BN783" s="8">
        <f t="shared" si="569"/>
        <v>0</v>
      </c>
      <c r="BO783" s="8">
        <f t="shared" si="570"/>
        <v>0</v>
      </c>
      <c r="BQ783" s="8">
        <f t="shared" si="571"/>
        <v>0</v>
      </c>
      <c r="BR783" s="63">
        <f t="shared" si="572"/>
        <v>0</v>
      </c>
      <c r="BS783" s="63">
        <f t="shared" si="599"/>
        <v>0</v>
      </c>
      <c r="BT783" s="63">
        <f t="shared" si="573"/>
        <v>0</v>
      </c>
      <c r="BU783" s="63">
        <f t="shared" si="574"/>
        <v>0</v>
      </c>
      <c r="BV783" s="57">
        <f t="shared" si="575"/>
        <v>0</v>
      </c>
      <c r="BW783" s="57">
        <f t="shared" si="576"/>
        <v>0</v>
      </c>
      <c r="BX783" s="57">
        <f t="shared" si="600"/>
        <v>0</v>
      </c>
      <c r="BY783" s="57">
        <f t="shared" si="558"/>
        <v>0</v>
      </c>
      <c r="BZ783" s="8">
        <f t="shared" si="577"/>
        <v>0</v>
      </c>
      <c r="CA783" s="8">
        <f t="shared" si="578"/>
        <v>0</v>
      </c>
      <c r="CB783" s="8">
        <f t="shared" si="579"/>
        <v>0</v>
      </c>
      <c r="CC783" s="8">
        <f t="shared" si="580"/>
        <v>0</v>
      </c>
      <c r="CD783" s="8">
        <f t="shared" si="581"/>
        <v>0</v>
      </c>
      <c r="CE783" s="8">
        <f t="shared" si="582"/>
        <v>0</v>
      </c>
      <c r="CF783" s="8">
        <f t="shared" si="583"/>
        <v>0</v>
      </c>
      <c r="CG783" s="8">
        <f t="shared" si="584"/>
        <v>0</v>
      </c>
      <c r="CH783" s="8">
        <f t="shared" si="585"/>
        <v>0</v>
      </c>
      <c r="CI783" s="8">
        <f t="shared" si="586"/>
        <v>0</v>
      </c>
      <c r="CJ783" s="8">
        <f t="shared" si="587"/>
        <v>0</v>
      </c>
      <c r="CK783" s="8">
        <f t="shared" si="588"/>
        <v>0</v>
      </c>
      <c r="CL783" s="8">
        <f t="shared" si="589"/>
        <v>0</v>
      </c>
      <c r="CM783" s="8">
        <f t="shared" si="590"/>
        <v>0</v>
      </c>
      <c r="CN783" s="8">
        <f t="shared" si="591"/>
        <v>0</v>
      </c>
      <c r="CO783" s="8">
        <f t="shared" si="592"/>
        <v>0</v>
      </c>
      <c r="CP783" s="8">
        <f t="shared" si="593"/>
        <v>0</v>
      </c>
      <c r="CQ783" s="8">
        <f t="shared" si="594"/>
        <v>0</v>
      </c>
      <c r="CR783" s="8">
        <f t="shared" si="595"/>
        <v>0</v>
      </c>
      <c r="CS783" s="8">
        <f t="shared" si="596"/>
        <v>0</v>
      </c>
      <c r="CT783" s="8">
        <f t="shared" si="601"/>
        <v>0</v>
      </c>
      <c r="CU783" s="8">
        <f t="shared" si="602"/>
        <v>0</v>
      </c>
      <c r="CV783" s="8">
        <f t="shared" si="603"/>
        <v>0</v>
      </c>
    </row>
    <row r="784" spans="1:100" ht="20.5" thickTop="1" thickBot="1" x14ac:dyDescent="0.5">
      <c r="A784" s="32"/>
      <c r="B784" s="10"/>
      <c r="C784" s="10"/>
      <c r="D784" s="11"/>
      <c r="E784" s="10"/>
      <c r="F784" s="10"/>
      <c r="G784" s="19"/>
      <c r="H784" s="19"/>
      <c r="I784" s="19"/>
      <c r="J784" s="19"/>
      <c r="K784" s="10"/>
      <c r="L784" s="10"/>
      <c r="M784" s="10"/>
      <c r="N784" s="10"/>
      <c r="O784" s="18"/>
      <c r="P784" s="18"/>
      <c r="Q784" s="21"/>
      <c r="R784" s="20"/>
      <c r="S784" s="16">
        <f t="shared" si="559"/>
        <v>0</v>
      </c>
      <c r="T784" s="11"/>
      <c r="AS784" s="31">
        <f t="shared" si="560"/>
        <v>0</v>
      </c>
      <c r="AT784" s="31">
        <f t="shared" si="561"/>
        <v>0</v>
      </c>
      <c r="AU784" s="31">
        <f t="shared" si="562"/>
        <v>0</v>
      </c>
      <c r="AV784" s="31">
        <f t="shared" si="563"/>
        <v>0</v>
      </c>
      <c r="AW784" s="31">
        <f t="shared" si="564"/>
        <v>0</v>
      </c>
      <c r="AX784" s="31">
        <f t="shared" si="565"/>
        <v>0</v>
      </c>
      <c r="AY784" s="31">
        <f t="shared" si="566"/>
        <v>0</v>
      </c>
      <c r="AZ784" s="31">
        <f t="shared" si="567"/>
        <v>0</v>
      </c>
      <c r="BA784" s="31">
        <f t="shared" si="568"/>
        <v>0</v>
      </c>
      <c r="BB784" s="31">
        <f t="shared" si="597"/>
        <v>0</v>
      </c>
      <c r="BM784" s="8">
        <f t="shared" si="598"/>
        <v>0</v>
      </c>
      <c r="BN784" s="8">
        <f t="shared" si="569"/>
        <v>0</v>
      </c>
      <c r="BO784" s="8">
        <f t="shared" si="570"/>
        <v>0</v>
      </c>
      <c r="BQ784" s="8">
        <f t="shared" si="571"/>
        <v>0</v>
      </c>
      <c r="BR784" s="63">
        <f t="shared" si="572"/>
        <v>0</v>
      </c>
      <c r="BS784" s="63">
        <f t="shared" si="599"/>
        <v>0</v>
      </c>
      <c r="BT784" s="63">
        <f t="shared" si="573"/>
        <v>0</v>
      </c>
      <c r="BU784" s="63">
        <f t="shared" si="574"/>
        <v>0</v>
      </c>
      <c r="BV784" s="57">
        <f t="shared" si="575"/>
        <v>0</v>
      </c>
      <c r="BW784" s="57">
        <f t="shared" si="576"/>
        <v>0</v>
      </c>
      <c r="BX784" s="57">
        <f t="shared" si="600"/>
        <v>0</v>
      </c>
      <c r="BY784" s="57">
        <f t="shared" si="558"/>
        <v>0</v>
      </c>
      <c r="BZ784" s="8">
        <f t="shared" si="577"/>
        <v>0</v>
      </c>
      <c r="CA784" s="8">
        <f t="shared" si="578"/>
        <v>0</v>
      </c>
      <c r="CB784" s="8">
        <f t="shared" si="579"/>
        <v>0</v>
      </c>
      <c r="CC784" s="8">
        <f t="shared" si="580"/>
        <v>0</v>
      </c>
      <c r="CD784" s="8">
        <f t="shared" si="581"/>
        <v>0</v>
      </c>
      <c r="CE784" s="8">
        <f t="shared" si="582"/>
        <v>0</v>
      </c>
      <c r="CF784" s="8">
        <f t="shared" si="583"/>
        <v>0</v>
      </c>
      <c r="CG784" s="8">
        <f t="shared" si="584"/>
        <v>0</v>
      </c>
      <c r="CH784" s="8">
        <f t="shared" si="585"/>
        <v>0</v>
      </c>
      <c r="CI784" s="8">
        <f t="shared" si="586"/>
        <v>0</v>
      </c>
      <c r="CJ784" s="8">
        <f t="shared" si="587"/>
        <v>0</v>
      </c>
      <c r="CK784" s="8">
        <f t="shared" si="588"/>
        <v>0</v>
      </c>
      <c r="CL784" s="8">
        <f t="shared" si="589"/>
        <v>0</v>
      </c>
      <c r="CM784" s="8">
        <f t="shared" si="590"/>
        <v>0</v>
      </c>
      <c r="CN784" s="8">
        <f t="shared" si="591"/>
        <v>0</v>
      </c>
      <c r="CO784" s="8">
        <f t="shared" si="592"/>
        <v>0</v>
      </c>
      <c r="CP784" s="8">
        <f t="shared" si="593"/>
        <v>0</v>
      </c>
      <c r="CQ784" s="8">
        <f t="shared" si="594"/>
        <v>0</v>
      </c>
      <c r="CR784" s="8">
        <f t="shared" si="595"/>
        <v>0</v>
      </c>
      <c r="CS784" s="8">
        <f t="shared" si="596"/>
        <v>0</v>
      </c>
      <c r="CT784" s="8">
        <f t="shared" si="601"/>
        <v>0</v>
      </c>
      <c r="CU784" s="8">
        <f t="shared" si="602"/>
        <v>0</v>
      </c>
      <c r="CV784" s="8">
        <f t="shared" si="603"/>
        <v>0</v>
      </c>
    </row>
    <row r="785" spans="1:100" ht="20.5" thickTop="1" thickBot="1" x14ac:dyDescent="0.5">
      <c r="A785" s="32"/>
      <c r="B785" s="10"/>
      <c r="C785" s="10"/>
      <c r="D785" s="11"/>
      <c r="E785" s="10"/>
      <c r="F785" s="10"/>
      <c r="G785" s="19"/>
      <c r="H785" s="19"/>
      <c r="I785" s="19"/>
      <c r="J785" s="19"/>
      <c r="K785" s="10"/>
      <c r="L785" s="10"/>
      <c r="M785" s="10"/>
      <c r="N785" s="10"/>
      <c r="O785" s="18"/>
      <c r="P785" s="18"/>
      <c r="Q785" s="21"/>
      <c r="R785" s="20"/>
      <c r="S785" s="16">
        <f t="shared" si="559"/>
        <v>0</v>
      </c>
      <c r="T785" s="11"/>
      <c r="AS785" s="31">
        <f t="shared" si="560"/>
        <v>0</v>
      </c>
      <c r="AT785" s="31">
        <f t="shared" si="561"/>
        <v>0</v>
      </c>
      <c r="AU785" s="31">
        <f t="shared" si="562"/>
        <v>0</v>
      </c>
      <c r="AV785" s="31">
        <f t="shared" si="563"/>
        <v>0</v>
      </c>
      <c r="AW785" s="31">
        <f t="shared" si="564"/>
        <v>0</v>
      </c>
      <c r="AX785" s="31">
        <f t="shared" si="565"/>
        <v>0</v>
      </c>
      <c r="AY785" s="31">
        <f t="shared" si="566"/>
        <v>0</v>
      </c>
      <c r="AZ785" s="31">
        <f t="shared" si="567"/>
        <v>0</v>
      </c>
      <c r="BA785" s="31">
        <f t="shared" si="568"/>
        <v>0</v>
      </c>
      <c r="BB785" s="31">
        <f t="shared" si="597"/>
        <v>0</v>
      </c>
      <c r="BM785" s="8">
        <f t="shared" si="598"/>
        <v>0</v>
      </c>
      <c r="BN785" s="8">
        <f t="shared" si="569"/>
        <v>0</v>
      </c>
      <c r="BO785" s="8">
        <f t="shared" si="570"/>
        <v>0</v>
      </c>
      <c r="BQ785" s="8">
        <f t="shared" si="571"/>
        <v>0</v>
      </c>
      <c r="BR785" s="63">
        <f t="shared" si="572"/>
        <v>0</v>
      </c>
      <c r="BS785" s="63">
        <f t="shared" si="599"/>
        <v>0</v>
      </c>
      <c r="BT785" s="63">
        <f t="shared" si="573"/>
        <v>0</v>
      </c>
      <c r="BU785" s="63">
        <f t="shared" si="574"/>
        <v>0</v>
      </c>
      <c r="BV785" s="57">
        <f t="shared" si="575"/>
        <v>0</v>
      </c>
      <c r="BW785" s="57">
        <f t="shared" si="576"/>
        <v>0</v>
      </c>
      <c r="BX785" s="57">
        <f t="shared" si="600"/>
        <v>0</v>
      </c>
      <c r="BY785" s="57">
        <f t="shared" si="558"/>
        <v>0</v>
      </c>
      <c r="BZ785" s="8">
        <f t="shared" si="577"/>
        <v>0</v>
      </c>
      <c r="CA785" s="8">
        <f t="shared" si="578"/>
        <v>0</v>
      </c>
      <c r="CB785" s="8">
        <f t="shared" si="579"/>
        <v>0</v>
      </c>
      <c r="CC785" s="8">
        <f t="shared" si="580"/>
        <v>0</v>
      </c>
      <c r="CD785" s="8">
        <f t="shared" si="581"/>
        <v>0</v>
      </c>
      <c r="CE785" s="8">
        <f t="shared" si="582"/>
        <v>0</v>
      </c>
      <c r="CF785" s="8">
        <f t="shared" si="583"/>
        <v>0</v>
      </c>
      <c r="CG785" s="8">
        <f t="shared" si="584"/>
        <v>0</v>
      </c>
      <c r="CH785" s="8">
        <f t="shared" si="585"/>
        <v>0</v>
      </c>
      <c r="CI785" s="8">
        <f t="shared" si="586"/>
        <v>0</v>
      </c>
      <c r="CJ785" s="8">
        <f t="shared" si="587"/>
        <v>0</v>
      </c>
      <c r="CK785" s="8">
        <f t="shared" si="588"/>
        <v>0</v>
      </c>
      <c r="CL785" s="8">
        <f t="shared" si="589"/>
        <v>0</v>
      </c>
      <c r="CM785" s="8">
        <f t="shared" si="590"/>
        <v>0</v>
      </c>
      <c r="CN785" s="8">
        <f t="shared" si="591"/>
        <v>0</v>
      </c>
      <c r="CO785" s="8">
        <f t="shared" si="592"/>
        <v>0</v>
      </c>
      <c r="CP785" s="8">
        <f t="shared" si="593"/>
        <v>0</v>
      </c>
      <c r="CQ785" s="8">
        <f t="shared" si="594"/>
        <v>0</v>
      </c>
      <c r="CR785" s="8">
        <f t="shared" si="595"/>
        <v>0</v>
      </c>
      <c r="CS785" s="8">
        <f t="shared" si="596"/>
        <v>0</v>
      </c>
      <c r="CT785" s="8">
        <f t="shared" si="601"/>
        <v>0</v>
      </c>
      <c r="CU785" s="8">
        <f t="shared" si="602"/>
        <v>0</v>
      </c>
      <c r="CV785" s="8">
        <f t="shared" si="603"/>
        <v>0</v>
      </c>
    </row>
    <row r="786" spans="1:100" ht="20.5" thickTop="1" thickBot="1" x14ac:dyDescent="0.5">
      <c r="A786" s="32"/>
      <c r="B786" s="10"/>
      <c r="C786" s="10"/>
      <c r="D786" s="11"/>
      <c r="E786" s="10"/>
      <c r="F786" s="10"/>
      <c r="G786" s="19"/>
      <c r="H786" s="19"/>
      <c r="I786" s="19"/>
      <c r="J786" s="19"/>
      <c r="K786" s="10"/>
      <c r="L786" s="10"/>
      <c r="M786" s="10"/>
      <c r="N786" s="10"/>
      <c r="O786" s="18"/>
      <c r="P786" s="18"/>
      <c r="Q786" s="21"/>
      <c r="R786" s="20"/>
      <c r="S786" s="16">
        <f t="shared" si="559"/>
        <v>0</v>
      </c>
      <c r="T786" s="11"/>
      <c r="AS786" s="31">
        <f t="shared" si="560"/>
        <v>0</v>
      </c>
      <c r="AT786" s="31">
        <f t="shared" si="561"/>
        <v>0</v>
      </c>
      <c r="AU786" s="31">
        <f t="shared" si="562"/>
        <v>0</v>
      </c>
      <c r="AV786" s="31">
        <f t="shared" si="563"/>
        <v>0</v>
      </c>
      <c r="AW786" s="31">
        <f t="shared" si="564"/>
        <v>0</v>
      </c>
      <c r="AX786" s="31">
        <f t="shared" si="565"/>
        <v>0</v>
      </c>
      <c r="AY786" s="31">
        <f t="shared" si="566"/>
        <v>0</v>
      </c>
      <c r="AZ786" s="31">
        <f t="shared" si="567"/>
        <v>0</v>
      </c>
      <c r="BA786" s="31">
        <f t="shared" si="568"/>
        <v>0</v>
      </c>
      <c r="BB786" s="31">
        <f t="shared" si="597"/>
        <v>0</v>
      </c>
      <c r="BM786" s="8">
        <f t="shared" si="598"/>
        <v>0</v>
      </c>
      <c r="BN786" s="8">
        <f t="shared" si="569"/>
        <v>0</v>
      </c>
      <c r="BO786" s="8">
        <f t="shared" si="570"/>
        <v>0</v>
      </c>
      <c r="BQ786" s="8">
        <f t="shared" si="571"/>
        <v>0</v>
      </c>
      <c r="BR786" s="63">
        <f t="shared" si="572"/>
        <v>0</v>
      </c>
      <c r="BS786" s="63">
        <f t="shared" si="599"/>
        <v>0</v>
      </c>
      <c r="BT786" s="63">
        <f t="shared" si="573"/>
        <v>0</v>
      </c>
      <c r="BU786" s="63">
        <f t="shared" si="574"/>
        <v>0</v>
      </c>
      <c r="BV786" s="57">
        <f t="shared" si="575"/>
        <v>0</v>
      </c>
      <c r="BW786" s="57">
        <f t="shared" si="576"/>
        <v>0</v>
      </c>
      <c r="BX786" s="57">
        <f t="shared" si="600"/>
        <v>0</v>
      </c>
      <c r="BY786" s="57">
        <f t="shared" si="558"/>
        <v>0</v>
      </c>
      <c r="BZ786" s="8">
        <f t="shared" si="577"/>
        <v>0</v>
      </c>
      <c r="CA786" s="8">
        <f t="shared" si="578"/>
        <v>0</v>
      </c>
      <c r="CB786" s="8">
        <f t="shared" si="579"/>
        <v>0</v>
      </c>
      <c r="CC786" s="8">
        <f t="shared" si="580"/>
        <v>0</v>
      </c>
      <c r="CD786" s="8">
        <f t="shared" si="581"/>
        <v>0</v>
      </c>
      <c r="CE786" s="8">
        <f t="shared" si="582"/>
        <v>0</v>
      </c>
      <c r="CF786" s="8">
        <f t="shared" si="583"/>
        <v>0</v>
      </c>
      <c r="CG786" s="8">
        <f t="shared" si="584"/>
        <v>0</v>
      </c>
      <c r="CH786" s="8">
        <f t="shared" si="585"/>
        <v>0</v>
      </c>
      <c r="CI786" s="8">
        <f t="shared" si="586"/>
        <v>0</v>
      </c>
      <c r="CJ786" s="8">
        <f t="shared" si="587"/>
        <v>0</v>
      </c>
      <c r="CK786" s="8">
        <f t="shared" si="588"/>
        <v>0</v>
      </c>
      <c r="CL786" s="8">
        <f t="shared" si="589"/>
        <v>0</v>
      </c>
      <c r="CM786" s="8">
        <f t="shared" si="590"/>
        <v>0</v>
      </c>
      <c r="CN786" s="8">
        <f t="shared" si="591"/>
        <v>0</v>
      </c>
      <c r="CO786" s="8">
        <f t="shared" si="592"/>
        <v>0</v>
      </c>
      <c r="CP786" s="8">
        <f t="shared" si="593"/>
        <v>0</v>
      </c>
      <c r="CQ786" s="8">
        <f t="shared" si="594"/>
        <v>0</v>
      </c>
      <c r="CR786" s="8">
        <f t="shared" si="595"/>
        <v>0</v>
      </c>
      <c r="CS786" s="8">
        <f t="shared" si="596"/>
        <v>0</v>
      </c>
      <c r="CT786" s="8">
        <f t="shared" si="601"/>
        <v>0</v>
      </c>
      <c r="CU786" s="8">
        <f t="shared" si="602"/>
        <v>0</v>
      </c>
      <c r="CV786" s="8">
        <f t="shared" si="603"/>
        <v>0</v>
      </c>
    </row>
    <row r="787" spans="1:100" ht="20.5" thickTop="1" thickBot="1" x14ac:dyDescent="0.5">
      <c r="A787" s="32"/>
      <c r="B787" s="10"/>
      <c r="C787" s="10"/>
      <c r="D787" s="11"/>
      <c r="E787" s="10"/>
      <c r="F787" s="10"/>
      <c r="G787" s="19"/>
      <c r="H787" s="19"/>
      <c r="I787" s="19"/>
      <c r="J787" s="19"/>
      <c r="K787" s="10"/>
      <c r="L787" s="10"/>
      <c r="M787" s="10"/>
      <c r="N787" s="10"/>
      <c r="O787" s="18"/>
      <c r="P787" s="18"/>
      <c r="Q787" s="21"/>
      <c r="R787" s="20"/>
      <c r="S787" s="16">
        <f t="shared" si="559"/>
        <v>0</v>
      </c>
      <c r="T787" s="11"/>
      <c r="AS787" s="31">
        <f t="shared" si="560"/>
        <v>0</v>
      </c>
      <c r="AT787" s="31">
        <f t="shared" si="561"/>
        <v>0</v>
      </c>
      <c r="AU787" s="31">
        <f t="shared" si="562"/>
        <v>0</v>
      </c>
      <c r="AV787" s="31">
        <f t="shared" si="563"/>
        <v>0</v>
      </c>
      <c r="AW787" s="31">
        <f t="shared" si="564"/>
        <v>0</v>
      </c>
      <c r="AX787" s="31">
        <f t="shared" si="565"/>
        <v>0</v>
      </c>
      <c r="AY787" s="31">
        <f t="shared" si="566"/>
        <v>0</v>
      </c>
      <c r="AZ787" s="31">
        <f t="shared" si="567"/>
        <v>0</v>
      </c>
      <c r="BA787" s="31">
        <f t="shared" si="568"/>
        <v>0</v>
      </c>
      <c r="BB787" s="31">
        <f t="shared" si="597"/>
        <v>0</v>
      </c>
      <c r="BM787" s="8">
        <f t="shared" si="598"/>
        <v>0</v>
      </c>
      <c r="BN787" s="8">
        <f t="shared" si="569"/>
        <v>0</v>
      </c>
      <c r="BO787" s="8">
        <f t="shared" si="570"/>
        <v>0</v>
      </c>
      <c r="BQ787" s="8">
        <f t="shared" si="571"/>
        <v>0</v>
      </c>
      <c r="BR787" s="63">
        <f t="shared" si="572"/>
        <v>0</v>
      </c>
      <c r="BS787" s="63">
        <f t="shared" si="599"/>
        <v>0</v>
      </c>
      <c r="BT787" s="63">
        <f t="shared" si="573"/>
        <v>0</v>
      </c>
      <c r="BU787" s="63">
        <f t="shared" si="574"/>
        <v>0</v>
      </c>
      <c r="BV787" s="57">
        <f t="shared" si="575"/>
        <v>0</v>
      </c>
      <c r="BW787" s="57">
        <f t="shared" si="576"/>
        <v>0</v>
      </c>
      <c r="BX787" s="57">
        <f t="shared" si="600"/>
        <v>0</v>
      </c>
      <c r="BY787" s="57">
        <f t="shared" si="558"/>
        <v>0</v>
      </c>
      <c r="BZ787" s="8">
        <f t="shared" si="577"/>
        <v>0</v>
      </c>
      <c r="CA787" s="8">
        <f t="shared" si="578"/>
        <v>0</v>
      </c>
      <c r="CB787" s="8">
        <f t="shared" si="579"/>
        <v>0</v>
      </c>
      <c r="CC787" s="8">
        <f t="shared" si="580"/>
        <v>0</v>
      </c>
      <c r="CD787" s="8">
        <f t="shared" si="581"/>
        <v>0</v>
      </c>
      <c r="CE787" s="8">
        <f t="shared" si="582"/>
        <v>0</v>
      </c>
      <c r="CF787" s="8">
        <f t="shared" si="583"/>
        <v>0</v>
      </c>
      <c r="CG787" s="8">
        <f t="shared" si="584"/>
        <v>0</v>
      </c>
      <c r="CH787" s="8">
        <f t="shared" si="585"/>
        <v>0</v>
      </c>
      <c r="CI787" s="8">
        <f t="shared" si="586"/>
        <v>0</v>
      </c>
      <c r="CJ787" s="8">
        <f t="shared" si="587"/>
        <v>0</v>
      </c>
      <c r="CK787" s="8">
        <f t="shared" si="588"/>
        <v>0</v>
      </c>
      <c r="CL787" s="8">
        <f t="shared" si="589"/>
        <v>0</v>
      </c>
      <c r="CM787" s="8">
        <f t="shared" si="590"/>
        <v>0</v>
      </c>
      <c r="CN787" s="8">
        <f t="shared" si="591"/>
        <v>0</v>
      </c>
      <c r="CO787" s="8">
        <f t="shared" si="592"/>
        <v>0</v>
      </c>
      <c r="CP787" s="8">
        <f t="shared" si="593"/>
        <v>0</v>
      </c>
      <c r="CQ787" s="8">
        <f t="shared" si="594"/>
        <v>0</v>
      </c>
      <c r="CR787" s="8">
        <f t="shared" si="595"/>
        <v>0</v>
      </c>
      <c r="CS787" s="8">
        <f t="shared" si="596"/>
        <v>0</v>
      </c>
      <c r="CT787" s="8">
        <f t="shared" si="601"/>
        <v>0</v>
      </c>
      <c r="CU787" s="8">
        <f t="shared" si="602"/>
        <v>0</v>
      </c>
      <c r="CV787" s="8">
        <f t="shared" si="603"/>
        <v>0</v>
      </c>
    </row>
    <row r="788" spans="1:100" ht="20.5" thickTop="1" thickBot="1" x14ac:dyDescent="0.5">
      <c r="A788" s="32"/>
      <c r="B788" s="10"/>
      <c r="C788" s="10"/>
      <c r="D788" s="11"/>
      <c r="E788" s="10"/>
      <c r="F788" s="10"/>
      <c r="G788" s="19"/>
      <c r="H788" s="19"/>
      <c r="I788" s="19"/>
      <c r="J788" s="19"/>
      <c r="K788" s="10"/>
      <c r="L788" s="10"/>
      <c r="M788" s="10"/>
      <c r="N788" s="10"/>
      <c r="O788" s="18"/>
      <c r="P788" s="18"/>
      <c r="Q788" s="21"/>
      <c r="R788" s="20"/>
      <c r="S788" s="16">
        <f t="shared" si="559"/>
        <v>0</v>
      </c>
      <c r="T788" s="11"/>
      <c r="AS788" s="31">
        <f t="shared" si="560"/>
        <v>0</v>
      </c>
      <c r="AT788" s="31">
        <f t="shared" si="561"/>
        <v>0</v>
      </c>
      <c r="AU788" s="31">
        <f t="shared" si="562"/>
        <v>0</v>
      </c>
      <c r="AV788" s="31">
        <f t="shared" si="563"/>
        <v>0</v>
      </c>
      <c r="AW788" s="31">
        <f t="shared" si="564"/>
        <v>0</v>
      </c>
      <c r="AX788" s="31">
        <f t="shared" si="565"/>
        <v>0</v>
      </c>
      <c r="AY788" s="31">
        <f t="shared" si="566"/>
        <v>0</v>
      </c>
      <c r="AZ788" s="31">
        <f t="shared" si="567"/>
        <v>0</v>
      </c>
      <c r="BA788" s="31">
        <f t="shared" si="568"/>
        <v>0</v>
      </c>
      <c r="BB788" s="31">
        <f t="shared" si="597"/>
        <v>0</v>
      </c>
      <c r="BM788" s="8">
        <f t="shared" si="598"/>
        <v>0</v>
      </c>
      <c r="BN788" s="8">
        <f t="shared" si="569"/>
        <v>0</v>
      </c>
      <c r="BO788" s="8">
        <f t="shared" si="570"/>
        <v>0</v>
      </c>
      <c r="BQ788" s="8">
        <f t="shared" si="571"/>
        <v>0</v>
      </c>
      <c r="BR788" s="63">
        <f t="shared" si="572"/>
        <v>0</v>
      </c>
      <c r="BS788" s="63">
        <f t="shared" si="599"/>
        <v>0</v>
      </c>
      <c r="BT788" s="63">
        <f t="shared" si="573"/>
        <v>0</v>
      </c>
      <c r="BU788" s="63">
        <f t="shared" si="574"/>
        <v>0</v>
      </c>
      <c r="BV788" s="57">
        <f t="shared" si="575"/>
        <v>0</v>
      </c>
      <c r="BW788" s="57">
        <f t="shared" si="576"/>
        <v>0</v>
      </c>
      <c r="BX788" s="57">
        <f t="shared" si="600"/>
        <v>0</v>
      </c>
      <c r="BY788" s="57">
        <f t="shared" si="558"/>
        <v>0</v>
      </c>
      <c r="BZ788" s="8">
        <f t="shared" si="577"/>
        <v>0</v>
      </c>
      <c r="CA788" s="8">
        <f t="shared" si="578"/>
        <v>0</v>
      </c>
      <c r="CB788" s="8">
        <f t="shared" si="579"/>
        <v>0</v>
      </c>
      <c r="CC788" s="8">
        <f t="shared" si="580"/>
        <v>0</v>
      </c>
      <c r="CD788" s="8">
        <f t="shared" si="581"/>
        <v>0</v>
      </c>
      <c r="CE788" s="8">
        <f t="shared" si="582"/>
        <v>0</v>
      </c>
      <c r="CF788" s="8">
        <f t="shared" si="583"/>
        <v>0</v>
      </c>
      <c r="CG788" s="8">
        <f t="shared" si="584"/>
        <v>0</v>
      </c>
      <c r="CH788" s="8">
        <f t="shared" si="585"/>
        <v>0</v>
      </c>
      <c r="CI788" s="8">
        <f t="shared" si="586"/>
        <v>0</v>
      </c>
      <c r="CJ788" s="8">
        <f t="shared" si="587"/>
        <v>0</v>
      </c>
      <c r="CK788" s="8">
        <f t="shared" si="588"/>
        <v>0</v>
      </c>
      <c r="CL788" s="8">
        <f t="shared" si="589"/>
        <v>0</v>
      </c>
      <c r="CM788" s="8">
        <f t="shared" si="590"/>
        <v>0</v>
      </c>
      <c r="CN788" s="8">
        <f t="shared" si="591"/>
        <v>0</v>
      </c>
      <c r="CO788" s="8">
        <f t="shared" si="592"/>
        <v>0</v>
      </c>
      <c r="CP788" s="8">
        <f t="shared" si="593"/>
        <v>0</v>
      </c>
      <c r="CQ788" s="8">
        <f t="shared" si="594"/>
        <v>0</v>
      </c>
      <c r="CR788" s="8">
        <f t="shared" si="595"/>
        <v>0</v>
      </c>
      <c r="CS788" s="8">
        <f t="shared" si="596"/>
        <v>0</v>
      </c>
      <c r="CT788" s="8">
        <f t="shared" si="601"/>
        <v>0</v>
      </c>
      <c r="CU788" s="8">
        <f t="shared" si="602"/>
        <v>0</v>
      </c>
      <c r="CV788" s="8">
        <f t="shared" si="603"/>
        <v>0</v>
      </c>
    </row>
    <row r="789" spans="1:100" ht="20.5" thickTop="1" thickBot="1" x14ac:dyDescent="0.5">
      <c r="A789" s="32"/>
      <c r="B789" s="10"/>
      <c r="C789" s="10"/>
      <c r="D789" s="11"/>
      <c r="E789" s="10"/>
      <c r="F789" s="10"/>
      <c r="G789" s="19"/>
      <c r="H789" s="19"/>
      <c r="I789" s="19"/>
      <c r="J789" s="19"/>
      <c r="K789" s="10"/>
      <c r="L789" s="10"/>
      <c r="M789" s="10"/>
      <c r="N789" s="10"/>
      <c r="O789" s="18"/>
      <c r="P789" s="18"/>
      <c r="Q789" s="21"/>
      <c r="R789" s="20"/>
      <c r="S789" s="16">
        <f t="shared" si="559"/>
        <v>0</v>
      </c>
      <c r="T789" s="11"/>
      <c r="AS789" s="31">
        <f t="shared" si="560"/>
        <v>0</v>
      </c>
      <c r="AT789" s="31">
        <f t="shared" si="561"/>
        <v>0</v>
      </c>
      <c r="AU789" s="31">
        <f t="shared" si="562"/>
        <v>0</v>
      </c>
      <c r="AV789" s="31">
        <f t="shared" si="563"/>
        <v>0</v>
      </c>
      <c r="AW789" s="31">
        <f t="shared" si="564"/>
        <v>0</v>
      </c>
      <c r="AX789" s="31">
        <f t="shared" si="565"/>
        <v>0</v>
      </c>
      <c r="AY789" s="31">
        <f t="shared" si="566"/>
        <v>0</v>
      </c>
      <c r="AZ789" s="31">
        <f t="shared" si="567"/>
        <v>0</v>
      </c>
      <c r="BA789" s="31">
        <f t="shared" si="568"/>
        <v>0</v>
      </c>
      <c r="BB789" s="31">
        <f t="shared" si="597"/>
        <v>0</v>
      </c>
      <c r="BM789" s="8">
        <f t="shared" si="598"/>
        <v>0</v>
      </c>
      <c r="BN789" s="8">
        <f t="shared" si="569"/>
        <v>0</v>
      </c>
      <c r="BO789" s="8">
        <f t="shared" si="570"/>
        <v>0</v>
      </c>
      <c r="BQ789" s="8">
        <f t="shared" si="571"/>
        <v>0</v>
      </c>
      <c r="BR789" s="63">
        <f t="shared" si="572"/>
        <v>0</v>
      </c>
      <c r="BS789" s="63">
        <f t="shared" si="599"/>
        <v>0</v>
      </c>
      <c r="BT789" s="63">
        <f t="shared" si="573"/>
        <v>0</v>
      </c>
      <c r="BU789" s="63">
        <f t="shared" si="574"/>
        <v>0</v>
      </c>
      <c r="BV789" s="57">
        <f t="shared" si="575"/>
        <v>0</v>
      </c>
      <c r="BW789" s="57">
        <f t="shared" si="576"/>
        <v>0</v>
      </c>
      <c r="BX789" s="57">
        <f t="shared" si="600"/>
        <v>0</v>
      </c>
      <c r="BY789" s="57">
        <f t="shared" si="558"/>
        <v>0</v>
      </c>
      <c r="BZ789" s="8">
        <f t="shared" si="577"/>
        <v>0</v>
      </c>
      <c r="CA789" s="8">
        <f t="shared" si="578"/>
        <v>0</v>
      </c>
      <c r="CB789" s="8">
        <f t="shared" si="579"/>
        <v>0</v>
      </c>
      <c r="CC789" s="8">
        <f t="shared" si="580"/>
        <v>0</v>
      </c>
      <c r="CD789" s="8">
        <f t="shared" si="581"/>
        <v>0</v>
      </c>
      <c r="CE789" s="8">
        <f t="shared" si="582"/>
        <v>0</v>
      </c>
      <c r="CF789" s="8">
        <f t="shared" si="583"/>
        <v>0</v>
      </c>
      <c r="CG789" s="8">
        <f t="shared" si="584"/>
        <v>0</v>
      </c>
      <c r="CH789" s="8">
        <f t="shared" si="585"/>
        <v>0</v>
      </c>
      <c r="CI789" s="8">
        <f t="shared" si="586"/>
        <v>0</v>
      </c>
      <c r="CJ789" s="8">
        <f t="shared" si="587"/>
        <v>0</v>
      </c>
      <c r="CK789" s="8">
        <f t="shared" si="588"/>
        <v>0</v>
      </c>
      <c r="CL789" s="8">
        <f t="shared" si="589"/>
        <v>0</v>
      </c>
      <c r="CM789" s="8">
        <f t="shared" si="590"/>
        <v>0</v>
      </c>
      <c r="CN789" s="8">
        <f t="shared" si="591"/>
        <v>0</v>
      </c>
      <c r="CO789" s="8">
        <f t="shared" si="592"/>
        <v>0</v>
      </c>
      <c r="CP789" s="8">
        <f t="shared" si="593"/>
        <v>0</v>
      </c>
      <c r="CQ789" s="8">
        <f t="shared" si="594"/>
        <v>0</v>
      </c>
      <c r="CR789" s="8">
        <f t="shared" si="595"/>
        <v>0</v>
      </c>
      <c r="CS789" s="8">
        <f t="shared" si="596"/>
        <v>0</v>
      </c>
      <c r="CT789" s="8">
        <f t="shared" si="601"/>
        <v>0</v>
      </c>
      <c r="CU789" s="8">
        <f t="shared" si="602"/>
        <v>0</v>
      </c>
      <c r="CV789" s="8">
        <f t="shared" si="603"/>
        <v>0</v>
      </c>
    </row>
    <row r="790" spans="1:100" ht="20.5" thickTop="1" thickBot="1" x14ac:dyDescent="0.5">
      <c r="A790" s="32"/>
      <c r="B790" s="10"/>
      <c r="C790" s="10"/>
      <c r="D790" s="11"/>
      <c r="E790" s="10"/>
      <c r="F790" s="10"/>
      <c r="G790" s="19"/>
      <c r="H790" s="19"/>
      <c r="I790" s="19"/>
      <c r="J790" s="19"/>
      <c r="K790" s="10"/>
      <c r="L790" s="10"/>
      <c r="M790" s="10"/>
      <c r="N790" s="10"/>
      <c r="O790" s="18"/>
      <c r="P790" s="18"/>
      <c r="Q790" s="21"/>
      <c r="R790" s="20"/>
      <c r="S790" s="16">
        <f t="shared" si="559"/>
        <v>0</v>
      </c>
      <c r="T790" s="11"/>
      <c r="AS790" s="31">
        <f t="shared" si="560"/>
        <v>0</v>
      </c>
      <c r="AT790" s="31">
        <f t="shared" si="561"/>
        <v>0</v>
      </c>
      <c r="AU790" s="31">
        <f t="shared" si="562"/>
        <v>0</v>
      </c>
      <c r="AV790" s="31">
        <f t="shared" si="563"/>
        <v>0</v>
      </c>
      <c r="AW790" s="31">
        <f t="shared" si="564"/>
        <v>0</v>
      </c>
      <c r="AX790" s="31">
        <f t="shared" si="565"/>
        <v>0</v>
      </c>
      <c r="AY790" s="31">
        <f t="shared" si="566"/>
        <v>0</v>
      </c>
      <c r="AZ790" s="31">
        <f t="shared" si="567"/>
        <v>0</v>
      </c>
      <c r="BA790" s="31">
        <f t="shared" si="568"/>
        <v>0</v>
      </c>
      <c r="BB790" s="31">
        <f t="shared" si="597"/>
        <v>0</v>
      </c>
      <c r="BM790" s="8">
        <f t="shared" si="598"/>
        <v>0</v>
      </c>
      <c r="BN790" s="8">
        <f t="shared" si="569"/>
        <v>0</v>
      </c>
      <c r="BO790" s="8">
        <f t="shared" si="570"/>
        <v>0</v>
      </c>
      <c r="BQ790" s="8">
        <f t="shared" si="571"/>
        <v>0</v>
      </c>
      <c r="BR790" s="63">
        <f t="shared" si="572"/>
        <v>0</v>
      </c>
      <c r="BS790" s="63">
        <f t="shared" si="599"/>
        <v>0</v>
      </c>
      <c r="BT790" s="63">
        <f t="shared" si="573"/>
        <v>0</v>
      </c>
      <c r="BU790" s="63">
        <f t="shared" si="574"/>
        <v>0</v>
      </c>
      <c r="BV790" s="57">
        <f t="shared" si="575"/>
        <v>0</v>
      </c>
      <c r="BW790" s="57">
        <f t="shared" si="576"/>
        <v>0</v>
      </c>
      <c r="BX790" s="57">
        <f t="shared" si="600"/>
        <v>0</v>
      </c>
      <c r="BY790" s="57">
        <f t="shared" si="558"/>
        <v>0</v>
      </c>
      <c r="BZ790" s="8">
        <f t="shared" si="577"/>
        <v>0</v>
      </c>
      <c r="CA790" s="8">
        <f t="shared" si="578"/>
        <v>0</v>
      </c>
      <c r="CB790" s="8">
        <f t="shared" si="579"/>
        <v>0</v>
      </c>
      <c r="CC790" s="8">
        <f t="shared" si="580"/>
        <v>0</v>
      </c>
      <c r="CD790" s="8">
        <f t="shared" si="581"/>
        <v>0</v>
      </c>
      <c r="CE790" s="8">
        <f t="shared" si="582"/>
        <v>0</v>
      </c>
      <c r="CF790" s="8">
        <f t="shared" si="583"/>
        <v>0</v>
      </c>
      <c r="CG790" s="8">
        <f t="shared" si="584"/>
        <v>0</v>
      </c>
      <c r="CH790" s="8">
        <f t="shared" si="585"/>
        <v>0</v>
      </c>
      <c r="CI790" s="8">
        <f t="shared" si="586"/>
        <v>0</v>
      </c>
      <c r="CJ790" s="8">
        <f t="shared" si="587"/>
        <v>0</v>
      </c>
      <c r="CK790" s="8">
        <f t="shared" si="588"/>
        <v>0</v>
      </c>
      <c r="CL790" s="8">
        <f t="shared" si="589"/>
        <v>0</v>
      </c>
      <c r="CM790" s="8">
        <f t="shared" si="590"/>
        <v>0</v>
      </c>
      <c r="CN790" s="8">
        <f t="shared" si="591"/>
        <v>0</v>
      </c>
      <c r="CO790" s="8">
        <f t="shared" si="592"/>
        <v>0</v>
      </c>
      <c r="CP790" s="8">
        <f t="shared" si="593"/>
        <v>0</v>
      </c>
      <c r="CQ790" s="8">
        <f t="shared" si="594"/>
        <v>0</v>
      </c>
      <c r="CR790" s="8">
        <f t="shared" si="595"/>
        <v>0</v>
      </c>
      <c r="CS790" s="8">
        <f t="shared" si="596"/>
        <v>0</v>
      </c>
      <c r="CT790" s="8">
        <f t="shared" si="601"/>
        <v>0</v>
      </c>
      <c r="CU790" s="8">
        <f t="shared" si="602"/>
        <v>0</v>
      </c>
      <c r="CV790" s="8">
        <f t="shared" si="603"/>
        <v>0</v>
      </c>
    </row>
    <row r="791" spans="1:100" ht="20.5" thickTop="1" thickBot="1" x14ac:dyDescent="0.5">
      <c r="A791" s="32"/>
      <c r="B791" s="10"/>
      <c r="C791" s="10"/>
      <c r="D791" s="11"/>
      <c r="E791" s="10"/>
      <c r="F791" s="10"/>
      <c r="G791" s="19"/>
      <c r="H791" s="19"/>
      <c r="I791" s="19"/>
      <c r="J791" s="19"/>
      <c r="K791" s="10"/>
      <c r="L791" s="10"/>
      <c r="M791" s="10"/>
      <c r="N791" s="10"/>
      <c r="O791" s="18"/>
      <c r="P791" s="18"/>
      <c r="Q791" s="21"/>
      <c r="R791" s="20"/>
      <c r="S791" s="16">
        <f t="shared" si="559"/>
        <v>0</v>
      </c>
      <c r="T791" s="11"/>
      <c r="AS791" s="31">
        <f t="shared" si="560"/>
        <v>0</v>
      </c>
      <c r="AT791" s="31">
        <f t="shared" si="561"/>
        <v>0</v>
      </c>
      <c r="AU791" s="31">
        <f t="shared" si="562"/>
        <v>0</v>
      </c>
      <c r="AV791" s="31">
        <f t="shared" si="563"/>
        <v>0</v>
      </c>
      <c r="AW791" s="31">
        <f t="shared" si="564"/>
        <v>0</v>
      </c>
      <c r="AX791" s="31">
        <f t="shared" si="565"/>
        <v>0</v>
      </c>
      <c r="AY791" s="31">
        <f t="shared" si="566"/>
        <v>0</v>
      </c>
      <c r="AZ791" s="31">
        <f t="shared" si="567"/>
        <v>0</v>
      </c>
      <c r="BA791" s="31">
        <f t="shared" si="568"/>
        <v>0</v>
      </c>
      <c r="BB791" s="31">
        <f t="shared" si="597"/>
        <v>0</v>
      </c>
      <c r="BM791" s="8">
        <f t="shared" si="598"/>
        <v>0</v>
      </c>
      <c r="BN791" s="8">
        <f t="shared" si="569"/>
        <v>0</v>
      </c>
      <c r="BO791" s="8">
        <f t="shared" si="570"/>
        <v>0</v>
      </c>
      <c r="BQ791" s="8">
        <f t="shared" si="571"/>
        <v>0</v>
      </c>
      <c r="BR791" s="63">
        <f t="shared" si="572"/>
        <v>0</v>
      </c>
      <c r="BS791" s="63">
        <f t="shared" si="599"/>
        <v>0</v>
      </c>
      <c r="BT791" s="63">
        <f t="shared" si="573"/>
        <v>0</v>
      </c>
      <c r="BU791" s="63">
        <f t="shared" si="574"/>
        <v>0</v>
      </c>
      <c r="BV791" s="57">
        <f t="shared" si="575"/>
        <v>0</v>
      </c>
      <c r="BW791" s="57">
        <f t="shared" si="576"/>
        <v>0</v>
      </c>
      <c r="BX791" s="57">
        <f t="shared" si="600"/>
        <v>0</v>
      </c>
      <c r="BY791" s="57">
        <f t="shared" si="558"/>
        <v>0</v>
      </c>
      <c r="BZ791" s="8">
        <f t="shared" si="577"/>
        <v>0</v>
      </c>
      <c r="CA791" s="8">
        <f t="shared" si="578"/>
        <v>0</v>
      </c>
      <c r="CB791" s="8">
        <f t="shared" si="579"/>
        <v>0</v>
      </c>
      <c r="CC791" s="8">
        <f t="shared" si="580"/>
        <v>0</v>
      </c>
      <c r="CD791" s="8">
        <f t="shared" si="581"/>
        <v>0</v>
      </c>
      <c r="CE791" s="8">
        <f t="shared" si="582"/>
        <v>0</v>
      </c>
      <c r="CF791" s="8">
        <f t="shared" si="583"/>
        <v>0</v>
      </c>
      <c r="CG791" s="8">
        <f t="shared" si="584"/>
        <v>0</v>
      </c>
      <c r="CH791" s="8">
        <f t="shared" si="585"/>
        <v>0</v>
      </c>
      <c r="CI791" s="8">
        <f t="shared" si="586"/>
        <v>0</v>
      </c>
      <c r="CJ791" s="8">
        <f t="shared" si="587"/>
        <v>0</v>
      </c>
      <c r="CK791" s="8">
        <f t="shared" si="588"/>
        <v>0</v>
      </c>
      <c r="CL791" s="8">
        <f t="shared" si="589"/>
        <v>0</v>
      </c>
      <c r="CM791" s="8">
        <f t="shared" si="590"/>
        <v>0</v>
      </c>
      <c r="CN791" s="8">
        <f t="shared" si="591"/>
        <v>0</v>
      </c>
      <c r="CO791" s="8">
        <f t="shared" si="592"/>
        <v>0</v>
      </c>
      <c r="CP791" s="8">
        <f t="shared" si="593"/>
        <v>0</v>
      </c>
      <c r="CQ791" s="8">
        <f t="shared" si="594"/>
        <v>0</v>
      </c>
      <c r="CR791" s="8">
        <f t="shared" si="595"/>
        <v>0</v>
      </c>
      <c r="CS791" s="8">
        <f t="shared" si="596"/>
        <v>0</v>
      </c>
      <c r="CT791" s="8">
        <f t="shared" si="601"/>
        <v>0</v>
      </c>
      <c r="CU791" s="8">
        <f t="shared" si="602"/>
        <v>0</v>
      </c>
      <c r="CV791" s="8">
        <f t="shared" si="603"/>
        <v>0</v>
      </c>
    </row>
    <row r="792" spans="1:100" ht="20.5" thickTop="1" thickBot="1" x14ac:dyDescent="0.5">
      <c r="A792" s="32"/>
      <c r="B792" s="10"/>
      <c r="C792" s="10"/>
      <c r="D792" s="11"/>
      <c r="E792" s="10"/>
      <c r="F792" s="10"/>
      <c r="G792" s="19"/>
      <c r="H792" s="19"/>
      <c r="I792" s="19"/>
      <c r="J792" s="19"/>
      <c r="K792" s="10"/>
      <c r="L792" s="10"/>
      <c r="M792" s="10"/>
      <c r="N792" s="10"/>
      <c r="O792" s="18"/>
      <c r="P792" s="18"/>
      <c r="Q792" s="21"/>
      <c r="R792" s="20"/>
      <c r="S792" s="16">
        <f t="shared" si="559"/>
        <v>0</v>
      </c>
      <c r="T792" s="11"/>
      <c r="AS792" s="31">
        <f t="shared" si="560"/>
        <v>0</v>
      </c>
      <c r="AT792" s="31">
        <f t="shared" si="561"/>
        <v>0</v>
      </c>
      <c r="AU792" s="31">
        <f t="shared" si="562"/>
        <v>0</v>
      </c>
      <c r="AV792" s="31">
        <f t="shared" si="563"/>
        <v>0</v>
      </c>
      <c r="AW792" s="31">
        <f t="shared" si="564"/>
        <v>0</v>
      </c>
      <c r="AX792" s="31">
        <f t="shared" si="565"/>
        <v>0</v>
      </c>
      <c r="AY792" s="31">
        <f t="shared" si="566"/>
        <v>0</v>
      </c>
      <c r="AZ792" s="31">
        <f t="shared" si="567"/>
        <v>0</v>
      </c>
      <c r="BA792" s="31">
        <f t="shared" si="568"/>
        <v>0</v>
      </c>
      <c r="BB792" s="31">
        <f t="shared" si="597"/>
        <v>0</v>
      </c>
      <c r="BM792" s="8">
        <f t="shared" si="598"/>
        <v>0</v>
      </c>
      <c r="BN792" s="8">
        <f t="shared" si="569"/>
        <v>0</v>
      </c>
      <c r="BO792" s="8">
        <f t="shared" si="570"/>
        <v>0</v>
      </c>
      <c r="BQ792" s="8">
        <f t="shared" si="571"/>
        <v>0</v>
      </c>
      <c r="BR792" s="63">
        <f t="shared" si="572"/>
        <v>0</v>
      </c>
      <c r="BS792" s="63">
        <f t="shared" si="599"/>
        <v>0</v>
      </c>
      <c r="BT792" s="63">
        <f t="shared" si="573"/>
        <v>0</v>
      </c>
      <c r="BU792" s="63">
        <f t="shared" si="574"/>
        <v>0</v>
      </c>
      <c r="BV792" s="57">
        <f t="shared" si="575"/>
        <v>0</v>
      </c>
      <c r="BW792" s="57">
        <f t="shared" si="576"/>
        <v>0</v>
      </c>
      <c r="BX792" s="57">
        <f t="shared" si="600"/>
        <v>0</v>
      </c>
      <c r="BY792" s="57">
        <f t="shared" si="558"/>
        <v>0</v>
      </c>
      <c r="BZ792" s="8">
        <f t="shared" si="577"/>
        <v>0</v>
      </c>
      <c r="CA792" s="8">
        <f t="shared" si="578"/>
        <v>0</v>
      </c>
      <c r="CB792" s="8">
        <f t="shared" si="579"/>
        <v>0</v>
      </c>
      <c r="CC792" s="8">
        <f t="shared" si="580"/>
        <v>0</v>
      </c>
      <c r="CD792" s="8">
        <f t="shared" si="581"/>
        <v>0</v>
      </c>
      <c r="CE792" s="8">
        <f t="shared" si="582"/>
        <v>0</v>
      </c>
      <c r="CF792" s="8">
        <f t="shared" si="583"/>
        <v>0</v>
      </c>
      <c r="CG792" s="8">
        <f t="shared" si="584"/>
        <v>0</v>
      </c>
      <c r="CH792" s="8">
        <f t="shared" si="585"/>
        <v>0</v>
      </c>
      <c r="CI792" s="8">
        <f t="shared" si="586"/>
        <v>0</v>
      </c>
      <c r="CJ792" s="8">
        <f t="shared" si="587"/>
        <v>0</v>
      </c>
      <c r="CK792" s="8">
        <f t="shared" si="588"/>
        <v>0</v>
      </c>
      <c r="CL792" s="8">
        <f t="shared" si="589"/>
        <v>0</v>
      </c>
      <c r="CM792" s="8">
        <f t="shared" si="590"/>
        <v>0</v>
      </c>
      <c r="CN792" s="8">
        <f t="shared" si="591"/>
        <v>0</v>
      </c>
      <c r="CO792" s="8">
        <f t="shared" si="592"/>
        <v>0</v>
      </c>
      <c r="CP792" s="8">
        <f t="shared" si="593"/>
        <v>0</v>
      </c>
      <c r="CQ792" s="8">
        <f t="shared" si="594"/>
        <v>0</v>
      </c>
      <c r="CR792" s="8">
        <f t="shared" si="595"/>
        <v>0</v>
      </c>
      <c r="CS792" s="8">
        <f t="shared" si="596"/>
        <v>0</v>
      </c>
      <c r="CT792" s="8">
        <f t="shared" si="601"/>
        <v>0</v>
      </c>
      <c r="CU792" s="8">
        <f t="shared" si="602"/>
        <v>0</v>
      </c>
      <c r="CV792" s="8">
        <f t="shared" si="603"/>
        <v>0</v>
      </c>
    </row>
    <row r="793" spans="1:100" ht="20.5" thickTop="1" thickBot="1" x14ac:dyDescent="0.5">
      <c r="A793" s="32"/>
      <c r="B793" s="10"/>
      <c r="C793" s="10"/>
      <c r="D793" s="11"/>
      <c r="E793" s="10"/>
      <c r="F793" s="10"/>
      <c r="G793" s="19"/>
      <c r="H793" s="19"/>
      <c r="I793" s="19"/>
      <c r="J793" s="19"/>
      <c r="K793" s="10"/>
      <c r="L793" s="10"/>
      <c r="M793" s="10"/>
      <c r="N793" s="10"/>
      <c r="O793" s="18"/>
      <c r="P793" s="18"/>
      <c r="Q793" s="21"/>
      <c r="R793" s="20"/>
      <c r="S793" s="16">
        <f t="shared" si="559"/>
        <v>0</v>
      </c>
      <c r="T793" s="11"/>
      <c r="AS793" s="31">
        <f t="shared" si="560"/>
        <v>0</v>
      </c>
      <c r="AT793" s="31">
        <f t="shared" si="561"/>
        <v>0</v>
      </c>
      <c r="AU793" s="31">
        <f t="shared" si="562"/>
        <v>0</v>
      </c>
      <c r="AV793" s="31">
        <f t="shared" si="563"/>
        <v>0</v>
      </c>
      <c r="AW793" s="31">
        <f t="shared" si="564"/>
        <v>0</v>
      </c>
      <c r="AX793" s="31">
        <f t="shared" si="565"/>
        <v>0</v>
      </c>
      <c r="AY793" s="31">
        <f t="shared" si="566"/>
        <v>0</v>
      </c>
      <c r="AZ793" s="31">
        <f t="shared" si="567"/>
        <v>0</v>
      </c>
      <c r="BA793" s="31">
        <f t="shared" si="568"/>
        <v>0</v>
      </c>
      <c r="BB793" s="31">
        <f t="shared" si="597"/>
        <v>0</v>
      </c>
      <c r="BM793" s="8">
        <f t="shared" si="598"/>
        <v>0</v>
      </c>
      <c r="BN793" s="8">
        <f t="shared" si="569"/>
        <v>0</v>
      </c>
      <c r="BO793" s="8">
        <f t="shared" si="570"/>
        <v>0</v>
      </c>
      <c r="BQ793" s="8">
        <f t="shared" si="571"/>
        <v>0</v>
      </c>
      <c r="BR793" s="63">
        <f t="shared" si="572"/>
        <v>0</v>
      </c>
      <c r="BS793" s="63">
        <f t="shared" si="599"/>
        <v>0</v>
      </c>
      <c r="BT793" s="63">
        <f t="shared" si="573"/>
        <v>0</v>
      </c>
      <c r="BU793" s="63">
        <f t="shared" si="574"/>
        <v>0</v>
      </c>
      <c r="BV793" s="57">
        <f t="shared" si="575"/>
        <v>0</v>
      </c>
      <c r="BW793" s="57">
        <f t="shared" si="576"/>
        <v>0</v>
      </c>
      <c r="BX793" s="57">
        <f t="shared" si="600"/>
        <v>0</v>
      </c>
      <c r="BY793" s="57">
        <f t="shared" si="558"/>
        <v>0</v>
      </c>
      <c r="BZ793" s="8">
        <f t="shared" si="577"/>
        <v>0</v>
      </c>
      <c r="CA793" s="8">
        <f t="shared" si="578"/>
        <v>0</v>
      </c>
      <c r="CB793" s="8">
        <f t="shared" si="579"/>
        <v>0</v>
      </c>
      <c r="CC793" s="8">
        <f t="shared" si="580"/>
        <v>0</v>
      </c>
      <c r="CD793" s="8">
        <f t="shared" si="581"/>
        <v>0</v>
      </c>
      <c r="CE793" s="8">
        <f t="shared" si="582"/>
        <v>0</v>
      </c>
      <c r="CF793" s="8">
        <f t="shared" si="583"/>
        <v>0</v>
      </c>
      <c r="CG793" s="8">
        <f t="shared" si="584"/>
        <v>0</v>
      </c>
      <c r="CH793" s="8">
        <f t="shared" si="585"/>
        <v>0</v>
      </c>
      <c r="CI793" s="8">
        <f t="shared" si="586"/>
        <v>0</v>
      </c>
      <c r="CJ793" s="8">
        <f t="shared" si="587"/>
        <v>0</v>
      </c>
      <c r="CK793" s="8">
        <f t="shared" si="588"/>
        <v>0</v>
      </c>
      <c r="CL793" s="8">
        <f t="shared" si="589"/>
        <v>0</v>
      </c>
      <c r="CM793" s="8">
        <f t="shared" si="590"/>
        <v>0</v>
      </c>
      <c r="CN793" s="8">
        <f t="shared" si="591"/>
        <v>0</v>
      </c>
      <c r="CO793" s="8">
        <f t="shared" si="592"/>
        <v>0</v>
      </c>
      <c r="CP793" s="8">
        <f t="shared" si="593"/>
        <v>0</v>
      </c>
      <c r="CQ793" s="8">
        <f t="shared" si="594"/>
        <v>0</v>
      </c>
      <c r="CR793" s="8">
        <f t="shared" si="595"/>
        <v>0</v>
      </c>
      <c r="CS793" s="8">
        <f t="shared" si="596"/>
        <v>0</v>
      </c>
      <c r="CT793" s="8">
        <f t="shared" si="601"/>
        <v>0</v>
      </c>
      <c r="CU793" s="8">
        <f t="shared" si="602"/>
        <v>0</v>
      </c>
      <c r="CV793" s="8">
        <f t="shared" si="603"/>
        <v>0</v>
      </c>
    </row>
    <row r="794" spans="1:100" ht="20.5" thickTop="1" thickBot="1" x14ac:dyDescent="0.5">
      <c r="A794" s="32"/>
      <c r="B794" s="10"/>
      <c r="C794" s="10"/>
      <c r="D794" s="11"/>
      <c r="E794" s="10"/>
      <c r="F794" s="10"/>
      <c r="G794" s="19"/>
      <c r="H794" s="19"/>
      <c r="I794" s="19"/>
      <c r="J794" s="19"/>
      <c r="K794" s="10"/>
      <c r="L794" s="10"/>
      <c r="M794" s="10"/>
      <c r="N794" s="10"/>
      <c r="O794" s="18"/>
      <c r="P794" s="18"/>
      <c r="Q794" s="21"/>
      <c r="R794" s="20"/>
      <c r="S794" s="16">
        <f t="shared" si="559"/>
        <v>0</v>
      </c>
      <c r="T794" s="11"/>
      <c r="AS794" s="31">
        <f t="shared" si="560"/>
        <v>0</v>
      </c>
      <c r="AT794" s="31">
        <f t="shared" si="561"/>
        <v>0</v>
      </c>
      <c r="AU794" s="31">
        <f t="shared" si="562"/>
        <v>0</v>
      </c>
      <c r="AV794" s="31">
        <f t="shared" si="563"/>
        <v>0</v>
      </c>
      <c r="AW794" s="31">
        <f t="shared" si="564"/>
        <v>0</v>
      </c>
      <c r="AX794" s="31">
        <f t="shared" si="565"/>
        <v>0</v>
      </c>
      <c r="AY794" s="31">
        <f t="shared" si="566"/>
        <v>0</v>
      </c>
      <c r="AZ794" s="31">
        <f t="shared" si="567"/>
        <v>0</v>
      </c>
      <c r="BA794" s="31">
        <f t="shared" si="568"/>
        <v>0</v>
      </c>
      <c r="BB794" s="31">
        <f t="shared" si="597"/>
        <v>0</v>
      </c>
      <c r="BM794" s="8">
        <f t="shared" si="598"/>
        <v>0</v>
      </c>
      <c r="BN794" s="8">
        <f t="shared" si="569"/>
        <v>0</v>
      </c>
      <c r="BO794" s="8">
        <f t="shared" si="570"/>
        <v>0</v>
      </c>
      <c r="BQ794" s="8">
        <f t="shared" si="571"/>
        <v>0</v>
      </c>
      <c r="BR794" s="63">
        <f t="shared" si="572"/>
        <v>0</v>
      </c>
      <c r="BS794" s="63">
        <f t="shared" si="599"/>
        <v>0</v>
      </c>
      <c r="BT794" s="63">
        <f t="shared" si="573"/>
        <v>0</v>
      </c>
      <c r="BU794" s="63">
        <f t="shared" si="574"/>
        <v>0</v>
      </c>
      <c r="BV794" s="57">
        <f t="shared" si="575"/>
        <v>0</v>
      </c>
      <c r="BW794" s="57">
        <f t="shared" si="576"/>
        <v>0</v>
      </c>
      <c r="BX794" s="57">
        <f t="shared" si="600"/>
        <v>0</v>
      </c>
      <c r="BY794" s="57">
        <f t="shared" si="558"/>
        <v>0</v>
      </c>
      <c r="BZ794" s="8">
        <f t="shared" si="577"/>
        <v>0</v>
      </c>
      <c r="CA794" s="8">
        <f t="shared" si="578"/>
        <v>0</v>
      </c>
      <c r="CB794" s="8">
        <f t="shared" si="579"/>
        <v>0</v>
      </c>
      <c r="CC794" s="8">
        <f t="shared" si="580"/>
        <v>0</v>
      </c>
      <c r="CD794" s="8">
        <f t="shared" si="581"/>
        <v>0</v>
      </c>
      <c r="CE794" s="8">
        <f t="shared" si="582"/>
        <v>0</v>
      </c>
      <c r="CF794" s="8">
        <f t="shared" si="583"/>
        <v>0</v>
      </c>
      <c r="CG794" s="8">
        <f t="shared" si="584"/>
        <v>0</v>
      </c>
      <c r="CH794" s="8">
        <f t="shared" si="585"/>
        <v>0</v>
      </c>
      <c r="CI794" s="8">
        <f t="shared" si="586"/>
        <v>0</v>
      </c>
      <c r="CJ794" s="8">
        <f t="shared" si="587"/>
        <v>0</v>
      </c>
      <c r="CK794" s="8">
        <f t="shared" si="588"/>
        <v>0</v>
      </c>
      <c r="CL794" s="8">
        <f t="shared" si="589"/>
        <v>0</v>
      </c>
      <c r="CM794" s="8">
        <f t="shared" si="590"/>
        <v>0</v>
      </c>
      <c r="CN794" s="8">
        <f t="shared" si="591"/>
        <v>0</v>
      </c>
      <c r="CO794" s="8">
        <f t="shared" si="592"/>
        <v>0</v>
      </c>
      <c r="CP794" s="8">
        <f t="shared" si="593"/>
        <v>0</v>
      </c>
      <c r="CQ794" s="8">
        <f t="shared" si="594"/>
        <v>0</v>
      </c>
      <c r="CR794" s="8">
        <f t="shared" si="595"/>
        <v>0</v>
      </c>
      <c r="CS794" s="8">
        <f t="shared" si="596"/>
        <v>0</v>
      </c>
      <c r="CT794" s="8">
        <f t="shared" si="601"/>
        <v>0</v>
      </c>
      <c r="CU794" s="8">
        <f t="shared" si="602"/>
        <v>0</v>
      </c>
      <c r="CV794" s="8">
        <f t="shared" si="603"/>
        <v>0</v>
      </c>
    </row>
    <row r="795" spans="1:100" ht="20.5" thickTop="1" thickBot="1" x14ac:dyDescent="0.5">
      <c r="A795" s="32"/>
      <c r="B795" s="10"/>
      <c r="C795" s="10"/>
      <c r="D795" s="11"/>
      <c r="E795" s="10"/>
      <c r="F795" s="10"/>
      <c r="G795" s="19"/>
      <c r="H795" s="19"/>
      <c r="I795" s="19"/>
      <c r="J795" s="19"/>
      <c r="K795" s="10"/>
      <c r="L795" s="10"/>
      <c r="M795" s="10"/>
      <c r="N795" s="10"/>
      <c r="O795" s="18"/>
      <c r="P795" s="18"/>
      <c r="Q795" s="21"/>
      <c r="R795" s="20"/>
      <c r="S795" s="16">
        <f t="shared" si="559"/>
        <v>0</v>
      </c>
      <c r="T795" s="11"/>
      <c r="AS795" s="31">
        <f t="shared" si="560"/>
        <v>0</v>
      </c>
      <c r="AT795" s="31">
        <f t="shared" si="561"/>
        <v>0</v>
      </c>
      <c r="AU795" s="31">
        <f t="shared" si="562"/>
        <v>0</v>
      </c>
      <c r="AV795" s="31">
        <f t="shared" si="563"/>
        <v>0</v>
      </c>
      <c r="AW795" s="31">
        <f t="shared" si="564"/>
        <v>0</v>
      </c>
      <c r="AX795" s="31">
        <f t="shared" si="565"/>
        <v>0</v>
      </c>
      <c r="AY795" s="31">
        <f t="shared" si="566"/>
        <v>0</v>
      </c>
      <c r="AZ795" s="31">
        <f t="shared" si="567"/>
        <v>0</v>
      </c>
      <c r="BA795" s="31">
        <f t="shared" si="568"/>
        <v>0</v>
      </c>
      <c r="BB795" s="31">
        <f t="shared" si="597"/>
        <v>0</v>
      </c>
      <c r="BM795" s="8">
        <f t="shared" si="598"/>
        <v>0</v>
      </c>
      <c r="BN795" s="8">
        <f t="shared" si="569"/>
        <v>0</v>
      </c>
      <c r="BO795" s="8">
        <f t="shared" si="570"/>
        <v>0</v>
      </c>
      <c r="BQ795" s="8">
        <f t="shared" si="571"/>
        <v>0</v>
      </c>
      <c r="BR795" s="63">
        <f t="shared" si="572"/>
        <v>0</v>
      </c>
      <c r="BS795" s="63">
        <f t="shared" si="599"/>
        <v>0</v>
      </c>
      <c r="BT795" s="63">
        <f t="shared" si="573"/>
        <v>0</v>
      </c>
      <c r="BU795" s="63">
        <f t="shared" si="574"/>
        <v>0</v>
      </c>
      <c r="BV795" s="57">
        <f t="shared" si="575"/>
        <v>0</v>
      </c>
      <c r="BW795" s="57">
        <f t="shared" si="576"/>
        <v>0</v>
      </c>
      <c r="BX795" s="57">
        <f t="shared" si="600"/>
        <v>0</v>
      </c>
      <c r="BY795" s="57">
        <f t="shared" si="558"/>
        <v>0</v>
      </c>
      <c r="BZ795" s="8">
        <f t="shared" si="577"/>
        <v>0</v>
      </c>
      <c r="CA795" s="8">
        <f t="shared" si="578"/>
        <v>0</v>
      </c>
      <c r="CB795" s="8">
        <f t="shared" si="579"/>
        <v>0</v>
      </c>
      <c r="CC795" s="8">
        <f t="shared" si="580"/>
        <v>0</v>
      </c>
      <c r="CD795" s="8">
        <f t="shared" si="581"/>
        <v>0</v>
      </c>
      <c r="CE795" s="8">
        <f t="shared" si="582"/>
        <v>0</v>
      </c>
      <c r="CF795" s="8">
        <f t="shared" si="583"/>
        <v>0</v>
      </c>
      <c r="CG795" s="8">
        <f t="shared" si="584"/>
        <v>0</v>
      </c>
      <c r="CH795" s="8">
        <f t="shared" si="585"/>
        <v>0</v>
      </c>
      <c r="CI795" s="8">
        <f t="shared" si="586"/>
        <v>0</v>
      </c>
      <c r="CJ795" s="8">
        <f t="shared" si="587"/>
        <v>0</v>
      </c>
      <c r="CK795" s="8">
        <f t="shared" si="588"/>
        <v>0</v>
      </c>
      <c r="CL795" s="8">
        <f t="shared" si="589"/>
        <v>0</v>
      </c>
      <c r="CM795" s="8">
        <f t="shared" si="590"/>
        <v>0</v>
      </c>
      <c r="CN795" s="8">
        <f t="shared" si="591"/>
        <v>0</v>
      </c>
      <c r="CO795" s="8">
        <f t="shared" si="592"/>
        <v>0</v>
      </c>
      <c r="CP795" s="8">
        <f t="shared" si="593"/>
        <v>0</v>
      </c>
      <c r="CQ795" s="8">
        <f t="shared" si="594"/>
        <v>0</v>
      </c>
      <c r="CR795" s="8">
        <f t="shared" si="595"/>
        <v>0</v>
      </c>
      <c r="CS795" s="8">
        <f t="shared" si="596"/>
        <v>0</v>
      </c>
      <c r="CT795" s="8">
        <f t="shared" si="601"/>
        <v>0</v>
      </c>
      <c r="CU795" s="8">
        <f t="shared" si="602"/>
        <v>0</v>
      </c>
      <c r="CV795" s="8">
        <f t="shared" si="603"/>
        <v>0</v>
      </c>
    </row>
    <row r="796" spans="1:100" ht="20.5" thickTop="1" thickBot="1" x14ac:dyDescent="0.5">
      <c r="A796" s="32"/>
      <c r="B796" s="10"/>
      <c r="C796" s="10"/>
      <c r="D796" s="11"/>
      <c r="E796" s="10"/>
      <c r="F796" s="10"/>
      <c r="G796" s="19"/>
      <c r="H796" s="19"/>
      <c r="I796" s="19"/>
      <c r="J796" s="19"/>
      <c r="K796" s="10"/>
      <c r="L796" s="10"/>
      <c r="M796" s="10"/>
      <c r="N796" s="10"/>
      <c r="O796" s="18"/>
      <c r="P796" s="18"/>
      <c r="Q796" s="21"/>
      <c r="R796" s="20"/>
      <c r="S796" s="16">
        <f t="shared" si="559"/>
        <v>0</v>
      </c>
      <c r="T796" s="11"/>
      <c r="AS796" s="31">
        <f t="shared" si="560"/>
        <v>0</v>
      </c>
      <c r="AT796" s="31">
        <f t="shared" si="561"/>
        <v>0</v>
      </c>
      <c r="AU796" s="31">
        <f t="shared" si="562"/>
        <v>0</v>
      </c>
      <c r="AV796" s="31">
        <f t="shared" si="563"/>
        <v>0</v>
      </c>
      <c r="AW796" s="31">
        <f t="shared" si="564"/>
        <v>0</v>
      </c>
      <c r="AX796" s="31">
        <f t="shared" si="565"/>
        <v>0</v>
      </c>
      <c r="AY796" s="31">
        <f t="shared" si="566"/>
        <v>0</v>
      </c>
      <c r="AZ796" s="31">
        <f t="shared" si="567"/>
        <v>0</v>
      </c>
      <c r="BA796" s="31">
        <f t="shared" si="568"/>
        <v>0</v>
      </c>
      <c r="BB796" s="31">
        <f t="shared" si="597"/>
        <v>0</v>
      </c>
      <c r="BM796" s="8">
        <f t="shared" si="598"/>
        <v>0</v>
      </c>
      <c r="BN796" s="8">
        <f t="shared" si="569"/>
        <v>0</v>
      </c>
      <c r="BO796" s="8">
        <f t="shared" si="570"/>
        <v>0</v>
      </c>
      <c r="BQ796" s="8">
        <f t="shared" si="571"/>
        <v>0</v>
      </c>
      <c r="BR796" s="63">
        <f t="shared" si="572"/>
        <v>0</v>
      </c>
      <c r="BS796" s="63">
        <f t="shared" si="599"/>
        <v>0</v>
      </c>
      <c r="BT796" s="63">
        <f t="shared" si="573"/>
        <v>0</v>
      </c>
      <c r="BU796" s="63">
        <f t="shared" si="574"/>
        <v>0</v>
      </c>
      <c r="BV796" s="57">
        <f t="shared" si="575"/>
        <v>0</v>
      </c>
      <c r="BW796" s="57">
        <f t="shared" si="576"/>
        <v>0</v>
      </c>
      <c r="BX796" s="57">
        <f t="shared" si="600"/>
        <v>0</v>
      </c>
      <c r="BY796" s="57">
        <f t="shared" si="558"/>
        <v>0</v>
      </c>
      <c r="BZ796" s="8">
        <f t="shared" si="577"/>
        <v>0</v>
      </c>
      <c r="CA796" s="8">
        <f t="shared" si="578"/>
        <v>0</v>
      </c>
      <c r="CB796" s="8">
        <f t="shared" si="579"/>
        <v>0</v>
      </c>
      <c r="CC796" s="8">
        <f t="shared" si="580"/>
        <v>0</v>
      </c>
      <c r="CD796" s="8">
        <f t="shared" si="581"/>
        <v>0</v>
      </c>
      <c r="CE796" s="8">
        <f t="shared" si="582"/>
        <v>0</v>
      </c>
      <c r="CF796" s="8">
        <f t="shared" si="583"/>
        <v>0</v>
      </c>
      <c r="CG796" s="8">
        <f t="shared" si="584"/>
        <v>0</v>
      </c>
      <c r="CH796" s="8">
        <f t="shared" si="585"/>
        <v>0</v>
      </c>
      <c r="CI796" s="8">
        <f t="shared" si="586"/>
        <v>0</v>
      </c>
      <c r="CJ796" s="8">
        <f t="shared" si="587"/>
        <v>0</v>
      </c>
      <c r="CK796" s="8">
        <f t="shared" si="588"/>
        <v>0</v>
      </c>
      <c r="CL796" s="8">
        <f t="shared" si="589"/>
        <v>0</v>
      </c>
      <c r="CM796" s="8">
        <f t="shared" si="590"/>
        <v>0</v>
      </c>
      <c r="CN796" s="8">
        <f t="shared" si="591"/>
        <v>0</v>
      </c>
      <c r="CO796" s="8">
        <f t="shared" si="592"/>
        <v>0</v>
      </c>
      <c r="CP796" s="8">
        <f t="shared" si="593"/>
        <v>0</v>
      </c>
      <c r="CQ796" s="8">
        <f t="shared" si="594"/>
        <v>0</v>
      </c>
      <c r="CR796" s="8">
        <f t="shared" si="595"/>
        <v>0</v>
      </c>
      <c r="CS796" s="8">
        <f t="shared" si="596"/>
        <v>0</v>
      </c>
      <c r="CT796" s="8">
        <f t="shared" si="601"/>
        <v>0</v>
      </c>
      <c r="CU796" s="8">
        <f t="shared" si="602"/>
        <v>0</v>
      </c>
      <c r="CV796" s="8">
        <f t="shared" si="603"/>
        <v>0</v>
      </c>
    </row>
    <row r="797" spans="1:100" ht="20.5" thickTop="1" thickBot="1" x14ac:dyDescent="0.5">
      <c r="A797" s="32"/>
      <c r="B797" s="10"/>
      <c r="C797" s="10"/>
      <c r="D797" s="11"/>
      <c r="E797" s="10"/>
      <c r="F797" s="10"/>
      <c r="G797" s="19"/>
      <c r="H797" s="19"/>
      <c r="I797" s="19"/>
      <c r="J797" s="19"/>
      <c r="K797" s="10"/>
      <c r="L797" s="10"/>
      <c r="M797" s="10"/>
      <c r="N797" s="10"/>
      <c r="O797" s="18"/>
      <c r="P797" s="18"/>
      <c r="Q797" s="21"/>
      <c r="R797" s="20"/>
      <c r="S797" s="16">
        <f t="shared" si="559"/>
        <v>0</v>
      </c>
      <c r="T797" s="11"/>
      <c r="AS797" s="31">
        <f t="shared" si="560"/>
        <v>0</v>
      </c>
      <c r="AT797" s="31">
        <f t="shared" si="561"/>
        <v>0</v>
      </c>
      <c r="AU797" s="31">
        <f t="shared" si="562"/>
        <v>0</v>
      </c>
      <c r="AV797" s="31">
        <f t="shared" si="563"/>
        <v>0</v>
      </c>
      <c r="AW797" s="31">
        <f t="shared" si="564"/>
        <v>0</v>
      </c>
      <c r="AX797" s="31">
        <f t="shared" si="565"/>
        <v>0</v>
      </c>
      <c r="AY797" s="31">
        <f t="shared" si="566"/>
        <v>0</v>
      </c>
      <c r="AZ797" s="31">
        <f t="shared" si="567"/>
        <v>0</v>
      </c>
      <c r="BA797" s="31">
        <f t="shared" si="568"/>
        <v>0</v>
      </c>
      <c r="BB797" s="31">
        <f t="shared" si="597"/>
        <v>0</v>
      </c>
      <c r="BM797" s="8">
        <f t="shared" si="598"/>
        <v>0</v>
      </c>
      <c r="BN797" s="8">
        <f t="shared" si="569"/>
        <v>0</v>
      </c>
      <c r="BO797" s="8">
        <f t="shared" si="570"/>
        <v>0</v>
      </c>
      <c r="BQ797" s="8">
        <f t="shared" si="571"/>
        <v>0</v>
      </c>
      <c r="BR797" s="63">
        <f t="shared" si="572"/>
        <v>0</v>
      </c>
      <c r="BS797" s="63">
        <f t="shared" si="599"/>
        <v>0</v>
      </c>
      <c r="BT797" s="63">
        <f t="shared" si="573"/>
        <v>0</v>
      </c>
      <c r="BU797" s="63">
        <f t="shared" si="574"/>
        <v>0</v>
      </c>
      <c r="BV797" s="57">
        <f t="shared" si="575"/>
        <v>0</v>
      </c>
      <c r="BW797" s="57">
        <f t="shared" si="576"/>
        <v>0</v>
      </c>
      <c r="BX797" s="57">
        <f t="shared" si="600"/>
        <v>0</v>
      </c>
      <c r="BY797" s="57">
        <f t="shared" ref="BY797:BY860" si="604">IF(AND(OR(N797="YES",N797="HDD",N797="EX PIPES"),K797=""),D797*(F797+G797),0)</f>
        <v>0</v>
      </c>
      <c r="BZ797" s="8">
        <f t="shared" si="577"/>
        <v>0</v>
      </c>
      <c r="CA797" s="8">
        <f t="shared" si="578"/>
        <v>0</v>
      </c>
      <c r="CB797" s="8">
        <f t="shared" si="579"/>
        <v>0</v>
      </c>
      <c r="CC797" s="8">
        <f t="shared" si="580"/>
        <v>0</v>
      </c>
      <c r="CD797" s="8">
        <f t="shared" si="581"/>
        <v>0</v>
      </c>
      <c r="CE797" s="8">
        <f t="shared" si="582"/>
        <v>0</v>
      </c>
      <c r="CF797" s="8">
        <f t="shared" si="583"/>
        <v>0</v>
      </c>
      <c r="CG797" s="8">
        <f t="shared" si="584"/>
        <v>0</v>
      </c>
      <c r="CH797" s="8">
        <f t="shared" si="585"/>
        <v>0</v>
      </c>
      <c r="CI797" s="8">
        <f t="shared" si="586"/>
        <v>0</v>
      </c>
      <c r="CJ797" s="8">
        <f t="shared" si="587"/>
        <v>0</v>
      </c>
      <c r="CK797" s="8">
        <f t="shared" si="588"/>
        <v>0</v>
      </c>
      <c r="CL797" s="8">
        <f t="shared" si="589"/>
        <v>0</v>
      </c>
      <c r="CM797" s="8">
        <f t="shared" si="590"/>
        <v>0</v>
      </c>
      <c r="CN797" s="8">
        <f t="shared" si="591"/>
        <v>0</v>
      </c>
      <c r="CO797" s="8">
        <f t="shared" si="592"/>
        <v>0</v>
      </c>
      <c r="CP797" s="8">
        <f t="shared" si="593"/>
        <v>0</v>
      </c>
      <c r="CQ797" s="8">
        <f t="shared" si="594"/>
        <v>0</v>
      </c>
      <c r="CR797" s="8">
        <f t="shared" si="595"/>
        <v>0</v>
      </c>
      <c r="CS797" s="8">
        <f t="shared" si="596"/>
        <v>0</v>
      </c>
      <c r="CT797" s="8">
        <f t="shared" si="601"/>
        <v>0</v>
      </c>
      <c r="CU797" s="8">
        <f t="shared" si="602"/>
        <v>0</v>
      </c>
      <c r="CV797" s="8">
        <f t="shared" si="603"/>
        <v>0</v>
      </c>
    </row>
    <row r="798" spans="1:100" ht="20.5" thickTop="1" thickBot="1" x14ac:dyDescent="0.5">
      <c r="A798" s="32"/>
      <c r="B798" s="10"/>
      <c r="C798" s="10"/>
      <c r="D798" s="11"/>
      <c r="E798" s="10"/>
      <c r="F798" s="10"/>
      <c r="G798" s="19"/>
      <c r="H798" s="19"/>
      <c r="I798" s="19"/>
      <c r="J798" s="19"/>
      <c r="K798" s="10"/>
      <c r="L798" s="10"/>
      <c r="M798" s="10"/>
      <c r="N798" s="10"/>
      <c r="O798" s="18"/>
      <c r="P798" s="18"/>
      <c r="Q798" s="21"/>
      <c r="R798" s="20"/>
      <c r="S798" s="16">
        <f t="shared" si="559"/>
        <v>0</v>
      </c>
      <c r="T798" s="11"/>
      <c r="AS798" s="31">
        <f t="shared" si="560"/>
        <v>0</v>
      </c>
      <c r="AT798" s="31">
        <f t="shared" si="561"/>
        <v>0</v>
      </c>
      <c r="AU798" s="31">
        <f t="shared" si="562"/>
        <v>0</v>
      </c>
      <c r="AV798" s="31">
        <f t="shared" si="563"/>
        <v>0</v>
      </c>
      <c r="AW798" s="31">
        <f t="shared" si="564"/>
        <v>0</v>
      </c>
      <c r="AX798" s="31">
        <f t="shared" si="565"/>
        <v>0</v>
      </c>
      <c r="AY798" s="31">
        <f t="shared" si="566"/>
        <v>0</v>
      </c>
      <c r="AZ798" s="31">
        <f t="shared" si="567"/>
        <v>0</v>
      </c>
      <c r="BA798" s="31">
        <f t="shared" si="568"/>
        <v>0</v>
      </c>
      <c r="BB798" s="31">
        <f t="shared" si="597"/>
        <v>0</v>
      </c>
      <c r="BM798" s="8">
        <f t="shared" si="598"/>
        <v>0</v>
      </c>
      <c r="BN798" s="8">
        <f t="shared" si="569"/>
        <v>0</v>
      </c>
      <c r="BO798" s="8">
        <f t="shared" si="570"/>
        <v>0</v>
      </c>
      <c r="BQ798" s="8">
        <f t="shared" si="571"/>
        <v>0</v>
      </c>
      <c r="BR798" s="63">
        <f t="shared" si="572"/>
        <v>0</v>
      </c>
      <c r="BS798" s="63">
        <f t="shared" si="599"/>
        <v>0</v>
      </c>
      <c r="BT798" s="63">
        <f t="shared" si="573"/>
        <v>0</v>
      </c>
      <c r="BU798" s="63">
        <f t="shared" si="574"/>
        <v>0</v>
      </c>
      <c r="BV798" s="57">
        <f t="shared" si="575"/>
        <v>0</v>
      </c>
      <c r="BW798" s="57">
        <f t="shared" si="576"/>
        <v>0</v>
      </c>
      <c r="BX798" s="57">
        <f t="shared" si="600"/>
        <v>0</v>
      </c>
      <c r="BY798" s="57">
        <f t="shared" si="604"/>
        <v>0</v>
      </c>
      <c r="BZ798" s="8">
        <f t="shared" si="577"/>
        <v>0</v>
      </c>
      <c r="CA798" s="8">
        <f t="shared" si="578"/>
        <v>0</v>
      </c>
      <c r="CB798" s="8">
        <f t="shared" si="579"/>
        <v>0</v>
      </c>
      <c r="CC798" s="8">
        <f t="shared" si="580"/>
        <v>0</v>
      </c>
      <c r="CD798" s="8">
        <f t="shared" si="581"/>
        <v>0</v>
      </c>
      <c r="CE798" s="8">
        <f t="shared" si="582"/>
        <v>0</v>
      </c>
      <c r="CF798" s="8">
        <f t="shared" si="583"/>
        <v>0</v>
      </c>
      <c r="CG798" s="8">
        <f t="shared" si="584"/>
        <v>0</v>
      </c>
      <c r="CH798" s="8">
        <f t="shared" si="585"/>
        <v>0</v>
      </c>
      <c r="CI798" s="8">
        <f t="shared" si="586"/>
        <v>0</v>
      </c>
      <c r="CJ798" s="8">
        <f t="shared" si="587"/>
        <v>0</v>
      </c>
      <c r="CK798" s="8">
        <f t="shared" si="588"/>
        <v>0</v>
      </c>
      <c r="CL798" s="8">
        <f t="shared" si="589"/>
        <v>0</v>
      </c>
      <c r="CM798" s="8">
        <f t="shared" si="590"/>
        <v>0</v>
      </c>
      <c r="CN798" s="8">
        <f t="shared" si="591"/>
        <v>0</v>
      </c>
      <c r="CO798" s="8">
        <f t="shared" si="592"/>
        <v>0</v>
      </c>
      <c r="CP798" s="8">
        <f t="shared" si="593"/>
        <v>0</v>
      </c>
      <c r="CQ798" s="8">
        <f t="shared" si="594"/>
        <v>0</v>
      </c>
      <c r="CR798" s="8">
        <f t="shared" si="595"/>
        <v>0</v>
      </c>
      <c r="CS798" s="8">
        <f t="shared" si="596"/>
        <v>0</v>
      </c>
      <c r="CT798" s="8">
        <f t="shared" si="601"/>
        <v>0</v>
      </c>
      <c r="CU798" s="8">
        <f t="shared" si="602"/>
        <v>0</v>
      </c>
      <c r="CV798" s="8">
        <f t="shared" si="603"/>
        <v>0</v>
      </c>
    </row>
    <row r="799" spans="1:100" ht="20.5" thickTop="1" thickBot="1" x14ac:dyDescent="0.5">
      <c r="A799" s="32"/>
      <c r="B799" s="10"/>
      <c r="C799" s="10"/>
      <c r="D799" s="11"/>
      <c r="E799" s="10"/>
      <c r="F799" s="10"/>
      <c r="G799" s="19"/>
      <c r="H799" s="19"/>
      <c r="I799" s="19"/>
      <c r="J799" s="19"/>
      <c r="K799" s="10"/>
      <c r="L799" s="10"/>
      <c r="M799" s="10"/>
      <c r="N799" s="10"/>
      <c r="O799" s="18"/>
      <c r="P799" s="18"/>
      <c r="Q799" s="21"/>
      <c r="R799" s="20"/>
      <c r="S799" s="16">
        <f t="shared" si="559"/>
        <v>0</v>
      </c>
      <c r="T799" s="11"/>
      <c r="AS799" s="31">
        <f t="shared" si="560"/>
        <v>0</v>
      </c>
      <c r="AT799" s="31">
        <f t="shared" si="561"/>
        <v>0</v>
      </c>
      <c r="AU799" s="31">
        <f t="shared" si="562"/>
        <v>0</v>
      </c>
      <c r="AV799" s="31">
        <f t="shared" si="563"/>
        <v>0</v>
      </c>
      <c r="AW799" s="31">
        <f t="shared" si="564"/>
        <v>0</v>
      </c>
      <c r="AX799" s="31">
        <f t="shared" si="565"/>
        <v>0</v>
      </c>
      <c r="AY799" s="31">
        <f t="shared" si="566"/>
        <v>0</v>
      </c>
      <c r="AZ799" s="31">
        <f t="shared" si="567"/>
        <v>0</v>
      </c>
      <c r="BA799" s="31">
        <f t="shared" si="568"/>
        <v>0</v>
      </c>
      <c r="BB799" s="31">
        <f t="shared" si="597"/>
        <v>0</v>
      </c>
      <c r="BM799" s="8">
        <f t="shared" si="598"/>
        <v>0</v>
      </c>
      <c r="BN799" s="8">
        <f t="shared" si="569"/>
        <v>0</v>
      </c>
      <c r="BO799" s="8">
        <f t="shared" si="570"/>
        <v>0</v>
      </c>
      <c r="BQ799" s="8">
        <f t="shared" si="571"/>
        <v>0</v>
      </c>
      <c r="BR799" s="63">
        <f t="shared" si="572"/>
        <v>0</v>
      </c>
      <c r="BS799" s="63">
        <f t="shared" si="599"/>
        <v>0</v>
      </c>
      <c r="BT799" s="63">
        <f t="shared" si="573"/>
        <v>0</v>
      </c>
      <c r="BU799" s="63">
        <f t="shared" si="574"/>
        <v>0</v>
      </c>
      <c r="BV799" s="57">
        <f t="shared" si="575"/>
        <v>0</v>
      </c>
      <c r="BW799" s="57">
        <f t="shared" si="576"/>
        <v>0</v>
      </c>
      <c r="BX799" s="57">
        <f t="shared" si="600"/>
        <v>0</v>
      </c>
      <c r="BY799" s="57">
        <f t="shared" si="604"/>
        <v>0</v>
      </c>
      <c r="BZ799" s="8">
        <f t="shared" si="577"/>
        <v>0</v>
      </c>
      <c r="CA799" s="8">
        <f t="shared" si="578"/>
        <v>0</v>
      </c>
      <c r="CB799" s="8">
        <f t="shared" si="579"/>
        <v>0</v>
      </c>
      <c r="CC799" s="8">
        <f t="shared" si="580"/>
        <v>0</v>
      </c>
      <c r="CD799" s="8">
        <f t="shared" si="581"/>
        <v>0</v>
      </c>
      <c r="CE799" s="8">
        <f t="shared" si="582"/>
        <v>0</v>
      </c>
      <c r="CF799" s="8">
        <f t="shared" si="583"/>
        <v>0</v>
      </c>
      <c r="CG799" s="8">
        <f t="shared" si="584"/>
        <v>0</v>
      </c>
      <c r="CH799" s="8">
        <f t="shared" si="585"/>
        <v>0</v>
      </c>
      <c r="CI799" s="8">
        <f t="shared" si="586"/>
        <v>0</v>
      </c>
      <c r="CJ799" s="8">
        <f t="shared" si="587"/>
        <v>0</v>
      </c>
      <c r="CK799" s="8">
        <f t="shared" si="588"/>
        <v>0</v>
      </c>
      <c r="CL799" s="8">
        <f t="shared" si="589"/>
        <v>0</v>
      </c>
      <c r="CM799" s="8">
        <f t="shared" si="590"/>
        <v>0</v>
      </c>
      <c r="CN799" s="8">
        <f t="shared" si="591"/>
        <v>0</v>
      </c>
      <c r="CO799" s="8">
        <f t="shared" si="592"/>
        <v>0</v>
      </c>
      <c r="CP799" s="8">
        <f t="shared" si="593"/>
        <v>0</v>
      </c>
      <c r="CQ799" s="8">
        <f t="shared" si="594"/>
        <v>0</v>
      </c>
      <c r="CR799" s="8">
        <f t="shared" si="595"/>
        <v>0</v>
      </c>
      <c r="CS799" s="8">
        <f t="shared" si="596"/>
        <v>0</v>
      </c>
      <c r="CT799" s="8">
        <f t="shared" si="601"/>
        <v>0</v>
      </c>
      <c r="CU799" s="8">
        <f t="shared" si="602"/>
        <v>0</v>
      </c>
      <c r="CV799" s="8">
        <f t="shared" si="603"/>
        <v>0</v>
      </c>
    </row>
    <row r="800" spans="1:100" ht="20.5" thickTop="1" thickBot="1" x14ac:dyDescent="0.5">
      <c r="A800" s="32"/>
      <c r="B800" s="10"/>
      <c r="C800" s="10"/>
      <c r="D800" s="11"/>
      <c r="E800" s="10"/>
      <c r="F800" s="10"/>
      <c r="G800" s="19"/>
      <c r="H800" s="19"/>
      <c r="I800" s="19"/>
      <c r="J800" s="19"/>
      <c r="K800" s="10"/>
      <c r="L800" s="10"/>
      <c r="M800" s="10"/>
      <c r="N800" s="10"/>
      <c r="O800" s="18"/>
      <c r="P800" s="18"/>
      <c r="Q800" s="21"/>
      <c r="R800" s="20"/>
      <c r="S800" s="16">
        <f t="shared" si="559"/>
        <v>0</v>
      </c>
      <c r="T800" s="11"/>
      <c r="AS800" s="31">
        <f t="shared" si="560"/>
        <v>0</v>
      </c>
      <c r="AT800" s="31">
        <f t="shared" si="561"/>
        <v>0</v>
      </c>
      <c r="AU800" s="31">
        <f t="shared" si="562"/>
        <v>0</v>
      </c>
      <c r="AV800" s="31">
        <f t="shared" si="563"/>
        <v>0</v>
      </c>
      <c r="AW800" s="31">
        <f t="shared" si="564"/>
        <v>0</v>
      </c>
      <c r="AX800" s="31">
        <f t="shared" si="565"/>
        <v>0</v>
      </c>
      <c r="AY800" s="31">
        <f t="shared" si="566"/>
        <v>0</v>
      </c>
      <c r="AZ800" s="31">
        <f t="shared" si="567"/>
        <v>0</v>
      </c>
      <c r="BA800" s="31">
        <f t="shared" si="568"/>
        <v>0</v>
      </c>
      <c r="BB800" s="31">
        <f t="shared" si="597"/>
        <v>0</v>
      </c>
      <c r="BM800" s="8">
        <f t="shared" si="598"/>
        <v>0</v>
      </c>
      <c r="BN800" s="8">
        <f t="shared" si="569"/>
        <v>0</v>
      </c>
      <c r="BO800" s="8">
        <f t="shared" si="570"/>
        <v>0</v>
      </c>
      <c r="BQ800" s="8">
        <f t="shared" si="571"/>
        <v>0</v>
      </c>
      <c r="BR800" s="63">
        <f t="shared" si="572"/>
        <v>0</v>
      </c>
      <c r="BS800" s="63">
        <f t="shared" si="599"/>
        <v>0</v>
      </c>
      <c r="BT800" s="63">
        <f t="shared" si="573"/>
        <v>0</v>
      </c>
      <c r="BU800" s="63">
        <f t="shared" si="574"/>
        <v>0</v>
      </c>
      <c r="BV800" s="57">
        <f t="shared" si="575"/>
        <v>0</v>
      </c>
      <c r="BW800" s="57">
        <f t="shared" si="576"/>
        <v>0</v>
      </c>
      <c r="BX800" s="57">
        <f t="shared" si="600"/>
        <v>0</v>
      </c>
      <c r="BY800" s="57">
        <f t="shared" si="604"/>
        <v>0</v>
      </c>
      <c r="BZ800" s="8">
        <f t="shared" si="577"/>
        <v>0</v>
      </c>
      <c r="CA800" s="8">
        <f t="shared" si="578"/>
        <v>0</v>
      </c>
      <c r="CB800" s="8">
        <f t="shared" si="579"/>
        <v>0</v>
      </c>
      <c r="CC800" s="8">
        <f t="shared" si="580"/>
        <v>0</v>
      </c>
      <c r="CD800" s="8">
        <f t="shared" si="581"/>
        <v>0</v>
      </c>
      <c r="CE800" s="8">
        <f t="shared" si="582"/>
        <v>0</v>
      </c>
      <c r="CF800" s="8">
        <f t="shared" si="583"/>
        <v>0</v>
      </c>
      <c r="CG800" s="8">
        <f t="shared" si="584"/>
        <v>0</v>
      </c>
      <c r="CH800" s="8">
        <f t="shared" si="585"/>
        <v>0</v>
      </c>
      <c r="CI800" s="8">
        <f t="shared" si="586"/>
        <v>0</v>
      </c>
      <c r="CJ800" s="8">
        <f t="shared" si="587"/>
        <v>0</v>
      </c>
      <c r="CK800" s="8">
        <f t="shared" si="588"/>
        <v>0</v>
      </c>
      <c r="CL800" s="8">
        <f t="shared" si="589"/>
        <v>0</v>
      </c>
      <c r="CM800" s="8">
        <f t="shared" si="590"/>
        <v>0</v>
      </c>
      <c r="CN800" s="8">
        <f t="shared" si="591"/>
        <v>0</v>
      </c>
      <c r="CO800" s="8">
        <f t="shared" si="592"/>
        <v>0</v>
      </c>
      <c r="CP800" s="8">
        <f t="shared" si="593"/>
        <v>0</v>
      </c>
      <c r="CQ800" s="8">
        <f t="shared" si="594"/>
        <v>0</v>
      </c>
      <c r="CR800" s="8">
        <f t="shared" si="595"/>
        <v>0</v>
      </c>
      <c r="CS800" s="8">
        <f t="shared" si="596"/>
        <v>0</v>
      </c>
      <c r="CT800" s="8">
        <f t="shared" si="601"/>
        <v>0</v>
      </c>
      <c r="CU800" s="8">
        <f t="shared" si="602"/>
        <v>0</v>
      </c>
      <c r="CV800" s="8">
        <f t="shared" si="603"/>
        <v>0</v>
      </c>
    </row>
    <row r="801" spans="1:100" ht="20.5" thickTop="1" thickBot="1" x14ac:dyDescent="0.5">
      <c r="A801" s="32"/>
      <c r="B801" s="10"/>
      <c r="C801" s="10"/>
      <c r="D801" s="11"/>
      <c r="E801" s="10"/>
      <c r="F801" s="10"/>
      <c r="G801" s="19"/>
      <c r="H801" s="19"/>
      <c r="I801" s="19"/>
      <c r="J801" s="19"/>
      <c r="K801" s="10"/>
      <c r="L801" s="10"/>
      <c r="M801" s="10"/>
      <c r="N801" s="10"/>
      <c r="O801" s="18"/>
      <c r="P801" s="18"/>
      <c r="Q801" s="21"/>
      <c r="R801" s="20"/>
      <c r="S801" s="16">
        <f t="shared" si="559"/>
        <v>0</v>
      </c>
      <c r="T801" s="11"/>
      <c r="AS801" s="31">
        <f t="shared" si="560"/>
        <v>0</v>
      </c>
      <c r="AT801" s="31">
        <f t="shared" si="561"/>
        <v>0</v>
      </c>
      <c r="AU801" s="31">
        <f t="shared" si="562"/>
        <v>0</v>
      </c>
      <c r="AV801" s="31">
        <f t="shared" si="563"/>
        <v>0</v>
      </c>
      <c r="AW801" s="31">
        <f t="shared" si="564"/>
        <v>0</v>
      </c>
      <c r="AX801" s="31">
        <f t="shared" si="565"/>
        <v>0</v>
      </c>
      <c r="AY801" s="31">
        <f t="shared" si="566"/>
        <v>0</v>
      </c>
      <c r="AZ801" s="31">
        <f t="shared" si="567"/>
        <v>0</v>
      </c>
      <c r="BA801" s="31">
        <f t="shared" si="568"/>
        <v>0</v>
      </c>
      <c r="BB801" s="31">
        <f t="shared" si="597"/>
        <v>0</v>
      </c>
      <c r="BM801" s="8">
        <f t="shared" si="598"/>
        <v>0</v>
      </c>
      <c r="BN801" s="8">
        <f t="shared" si="569"/>
        <v>0</v>
      </c>
      <c r="BO801" s="8">
        <f t="shared" si="570"/>
        <v>0</v>
      </c>
      <c r="BQ801" s="8">
        <f t="shared" si="571"/>
        <v>0</v>
      </c>
      <c r="BR801" s="63">
        <f t="shared" si="572"/>
        <v>0</v>
      </c>
      <c r="BS801" s="63">
        <f t="shared" si="599"/>
        <v>0</v>
      </c>
      <c r="BT801" s="63">
        <f t="shared" si="573"/>
        <v>0</v>
      </c>
      <c r="BU801" s="63">
        <f t="shared" si="574"/>
        <v>0</v>
      </c>
      <c r="BV801" s="57">
        <f t="shared" si="575"/>
        <v>0</v>
      </c>
      <c r="BW801" s="57">
        <f t="shared" si="576"/>
        <v>0</v>
      </c>
      <c r="BX801" s="57">
        <f t="shared" si="600"/>
        <v>0</v>
      </c>
      <c r="BY801" s="57">
        <f t="shared" si="604"/>
        <v>0</v>
      </c>
      <c r="BZ801" s="8">
        <f t="shared" si="577"/>
        <v>0</v>
      </c>
      <c r="CA801" s="8">
        <f t="shared" si="578"/>
        <v>0</v>
      </c>
      <c r="CB801" s="8">
        <f t="shared" si="579"/>
        <v>0</v>
      </c>
      <c r="CC801" s="8">
        <f t="shared" si="580"/>
        <v>0</v>
      </c>
      <c r="CD801" s="8">
        <f t="shared" si="581"/>
        <v>0</v>
      </c>
      <c r="CE801" s="8">
        <f t="shared" si="582"/>
        <v>0</v>
      </c>
      <c r="CF801" s="8">
        <f t="shared" si="583"/>
        <v>0</v>
      </c>
      <c r="CG801" s="8">
        <f t="shared" si="584"/>
        <v>0</v>
      </c>
      <c r="CH801" s="8">
        <f t="shared" si="585"/>
        <v>0</v>
      </c>
      <c r="CI801" s="8">
        <f t="shared" si="586"/>
        <v>0</v>
      </c>
      <c r="CJ801" s="8">
        <f t="shared" si="587"/>
        <v>0</v>
      </c>
      <c r="CK801" s="8">
        <f t="shared" si="588"/>
        <v>0</v>
      </c>
      <c r="CL801" s="8">
        <f t="shared" si="589"/>
        <v>0</v>
      </c>
      <c r="CM801" s="8">
        <f t="shared" si="590"/>
        <v>0</v>
      </c>
      <c r="CN801" s="8">
        <f t="shared" si="591"/>
        <v>0</v>
      </c>
      <c r="CO801" s="8">
        <f t="shared" si="592"/>
        <v>0</v>
      </c>
      <c r="CP801" s="8">
        <f t="shared" si="593"/>
        <v>0</v>
      </c>
      <c r="CQ801" s="8">
        <f t="shared" si="594"/>
        <v>0</v>
      </c>
      <c r="CR801" s="8">
        <f t="shared" si="595"/>
        <v>0</v>
      </c>
      <c r="CS801" s="8">
        <f t="shared" si="596"/>
        <v>0</v>
      </c>
      <c r="CT801" s="8">
        <f t="shared" si="601"/>
        <v>0</v>
      </c>
      <c r="CU801" s="8">
        <f t="shared" si="602"/>
        <v>0</v>
      </c>
      <c r="CV801" s="8">
        <f t="shared" si="603"/>
        <v>0</v>
      </c>
    </row>
    <row r="802" spans="1:100" ht="20.5" thickTop="1" thickBot="1" x14ac:dyDescent="0.5">
      <c r="A802" s="32"/>
      <c r="B802" s="10"/>
      <c r="C802" s="10"/>
      <c r="D802" s="11"/>
      <c r="E802" s="10"/>
      <c r="F802" s="10"/>
      <c r="G802" s="19"/>
      <c r="H802" s="19"/>
      <c r="I802" s="19"/>
      <c r="J802" s="19"/>
      <c r="K802" s="10"/>
      <c r="L802" s="10"/>
      <c r="M802" s="10"/>
      <c r="N802" s="10"/>
      <c r="O802" s="18"/>
      <c r="P802" s="18"/>
      <c r="Q802" s="21"/>
      <c r="R802" s="20"/>
      <c r="S802" s="16">
        <f t="shared" si="559"/>
        <v>0</v>
      </c>
      <c r="T802" s="11"/>
      <c r="AS802" s="31">
        <f t="shared" si="560"/>
        <v>0</v>
      </c>
      <c r="AT802" s="31">
        <f t="shared" si="561"/>
        <v>0</v>
      </c>
      <c r="AU802" s="31">
        <f t="shared" si="562"/>
        <v>0</v>
      </c>
      <c r="AV802" s="31">
        <f t="shared" si="563"/>
        <v>0</v>
      </c>
      <c r="AW802" s="31">
        <f t="shared" si="564"/>
        <v>0</v>
      </c>
      <c r="AX802" s="31">
        <f t="shared" si="565"/>
        <v>0</v>
      </c>
      <c r="AY802" s="31">
        <f t="shared" si="566"/>
        <v>0</v>
      </c>
      <c r="AZ802" s="31">
        <f t="shared" si="567"/>
        <v>0</v>
      </c>
      <c r="BA802" s="31">
        <f t="shared" si="568"/>
        <v>0</v>
      </c>
      <c r="BB802" s="31">
        <f t="shared" si="597"/>
        <v>0</v>
      </c>
      <c r="BM802" s="8">
        <f t="shared" si="598"/>
        <v>0</v>
      </c>
      <c r="BN802" s="8">
        <f t="shared" si="569"/>
        <v>0</v>
      </c>
      <c r="BO802" s="8">
        <f t="shared" si="570"/>
        <v>0</v>
      </c>
      <c r="BQ802" s="8">
        <f t="shared" si="571"/>
        <v>0</v>
      </c>
      <c r="BR802" s="63">
        <f t="shared" si="572"/>
        <v>0</v>
      </c>
      <c r="BS802" s="63">
        <f t="shared" si="599"/>
        <v>0</v>
      </c>
      <c r="BT802" s="63">
        <f t="shared" si="573"/>
        <v>0</v>
      </c>
      <c r="BU802" s="63">
        <f t="shared" si="574"/>
        <v>0</v>
      </c>
      <c r="BV802" s="57">
        <f t="shared" si="575"/>
        <v>0</v>
      </c>
      <c r="BW802" s="57">
        <f t="shared" si="576"/>
        <v>0</v>
      </c>
      <c r="BX802" s="57">
        <f t="shared" si="600"/>
        <v>0</v>
      </c>
      <c r="BY802" s="57">
        <f t="shared" si="604"/>
        <v>0</v>
      </c>
      <c r="BZ802" s="8">
        <f t="shared" si="577"/>
        <v>0</v>
      </c>
      <c r="CA802" s="8">
        <f t="shared" si="578"/>
        <v>0</v>
      </c>
      <c r="CB802" s="8">
        <f t="shared" si="579"/>
        <v>0</v>
      </c>
      <c r="CC802" s="8">
        <f t="shared" si="580"/>
        <v>0</v>
      </c>
      <c r="CD802" s="8">
        <f t="shared" si="581"/>
        <v>0</v>
      </c>
      <c r="CE802" s="8">
        <f t="shared" si="582"/>
        <v>0</v>
      </c>
      <c r="CF802" s="8">
        <f t="shared" si="583"/>
        <v>0</v>
      </c>
      <c r="CG802" s="8">
        <f t="shared" si="584"/>
        <v>0</v>
      </c>
      <c r="CH802" s="8">
        <f t="shared" si="585"/>
        <v>0</v>
      </c>
      <c r="CI802" s="8">
        <f t="shared" si="586"/>
        <v>0</v>
      </c>
      <c r="CJ802" s="8">
        <f t="shared" si="587"/>
        <v>0</v>
      </c>
      <c r="CK802" s="8">
        <f t="shared" si="588"/>
        <v>0</v>
      </c>
      <c r="CL802" s="8">
        <f t="shared" si="589"/>
        <v>0</v>
      </c>
      <c r="CM802" s="8">
        <f t="shared" si="590"/>
        <v>0</v>
      </c>
      <c r="CN802" s="8">
        <f t="shared" si="591"/>
        <v>0</v>
      </c>
      <c r="CO802" s="8">
        <f t="shared" si="592"/>
        <v>0</v>
      </c>
      <c r="CP802" s="8">
        <f t="shared" si="593"/>
        <v>0</v>
      </c>
      <c r="CQ802" s="8">
        <f t="shared" si="594"/>
        <v>0</v>
      </c>
      <c r="CR802" s="8">
        <f t="shared" si="595"/>
        <v>0</v>
      </c>
      <c r="CS802" s="8">
        <f t="shared" si="596"/>
        <v>0</v>
      </c>
      <c r="CT802" s="8">
        <f t="shared" si="601"/>
        <v>0</v>
      </c>
      <c r="CU802" s="8">
        <f t="shared" si="602"/>
        <v>0</v>
      </c>
      <c r="CV802" s="8">
        <f t="shared" si="603"/>
        <v>0</v>
      </c>
    </row>
    <row r="803" spans="1:100" ht="20.5" thickTop="1" thickBot="1" x14ac:dyDescent="0.5">
      <c r="A803" s="32"/>
      <c r="B803" s="10"/>
      <c r="C803" s="10"/>
      <c r="D803" s="11"/>
      <c r="E803" s="10"/>
      <c r="F803" s="10"/>
      <c r="G803" s="19"/>
      <c r="H803" s="19"/>
      <c r="I803" s="19"/>
      <c r="J803" s="19"/>
      <c r="K803" s="10"/>
      <c r="L803" s="10"/>
      <c r="M803" s="10"/>
      <c r="N803" s="10"/>
      <c r="O803" s="18"/>
      <c r="P803" s="18"/>
      <c r="Q803" s="21"/>
      <c r="R803" s="20"/>
      <c r="S803" s="16">
        <f t="shared" si="559"/>
        <v>0</v>
      </c>
      <c r="T803" s="11"/>
      <c r="AS803" s="31">
        <f t="shared" si="560"/>
        <v>0</v>
      </c>
      <c r="AT803" s="31">
        <f t="shared" si="561"/>
        <v>0</v>
      </c>
      <c r="AU803" s="31">
        <f t="shared" si="562"/>
        <v>0</v>
      </c>
      <c r="AV803" s="31">
        <f t="shared" si="563"/>
        <v>0</v>
      </c>
      <c r="AW803" s="31">
        <f t="shared" si="564"/>
        <v>0</v>
      </c>
      <c r="AX803" s="31">
        <f t="shared" si="565"/>
        <v>0</v>
      </c>
      <c r="AY803" s="31">
        <f t="shared" si="566"/>
        <v>0</v>
      </c>
      <c r="AZ803" s="31">
        <f t="shared" si="567"/>
        <v>0</v>
      </c>
      <c r="BA803" s="31">
        <f t="shared" si="568"/>
        <v>0</v>
      </c>
      <c r="BB803" s="31">
        <f t="shared" si="597"/>
        <v>0</v>
      </c>
      <c r="BM803" s="8">
        <f t="shared" si="598"/>
        <v>0</v>
      </c>
      <c r="BN803" s="8">
        <f t="shared" si="569"/>
        <v>0</v>
      </c>
      <c r="BO803" s="8">
        <f t="shared" si="570"/>
        <v>0</v>
      </c>
      <c r="BQ803" s="8">
        <f t="shared" si="571"/>
        <v>0</v>
      </c>
      <c r="BR803" s="63">
        <f t="shared" si="572"/>
        <v>0</v>
      </c>
      <c r="BS803" s="63">
        <f t="shared" si="599"/>
        <v>0</v>
      </c>
      <c r="BT803" s="63">
        <f t="shared" si="573"/>
        <v>0</v>
      </c>
      <c r="BU803" s="63">
        <f t="shared" si="574"/>
        <v>0</v>
      </c>
      <c r="BV803" s="57">
        <f t="shared" si="575"/>
        <v>0</v>
      </c>
      <c r="BW803" s="57">
        <f t="shared" si="576"/>
        <v>0</v>
      </c>
      <c r="BX803" s="57">
        <f t="shared" si="600"/>
        <v>0</v>
      </c>
      <c r="BY803" s="57">
        <f t="shared" si="604"/>
        <v>0</v>
      </c>
      <c r="BZ803" s="8">
        <f t="shared" si="577"/>
        <v>0</v>
      </c>
      <c r="CA803" s="8">
        <f t="shared" si="578"/>
        <v>0</v>
      </c>
      <c r="CB803" s="8">
        <f t="shared" si="579"/>
        <v>0</v>
      </c>
      <c r="CC803" s="8">
        <f t="shared" si="580"/>
        <v>0</v>
      </c>
      <c r="CD803" s="8">
        <f t="shared" si="581"/>
        <v>0</v>
      </c>
      <c r="CE803" s="8">
        <f t="shared" si="582"/>
        <v>0</v>
      </c>
      <c r="CF803" s="8">
        <f t="shared" si="583"/>
        <v>0</v>
      </c>
      <c r="CG803" s="8">
        <f t="shared" si="584"/>
        <v>0</v>
      </c>
      <c r="CH803" s="8">
        <f t="shared" si="585"/>
        <v>0</v>
      </c>
      <c r="CI803" s="8">
        <f t="shared" si="586"/>
        <v>0</v>
      </c>
      <c r="CJ803" s="8">
        <f t="shared" si="587"/>
        <v>0</v>
      </c>
      <c r="CK803" s="8">
        <f t="shared" si="588"/>
        <v>0</v>
      </c>
      <c r="CL803" s="8">
        <f t="shared" si="589"/>
        <v>0</v>
      </c>
      <c r="CM803" s="8">
        <f t="shared" si="590"/>
        <v>0</v>
      </c>
      <c r="CN803" s="8">
        <f t="shared" si="591"/>
        <v>0</v>
      </c>
      <c r="CO803" s="8">
        <f t="shared" si="592"/>
        <v>0</v>
      </c>
      <c r="CP803" s="8">
        <f t="shared" si="593"/>
        <v>0</v>
      </c>
      <c r="CQ803" s="8">
        <f t="shared" si="594"/>
        <v>0</v>
      </c>
      <c r="CR803" s="8">
        <f t="shared" si="595"/>
        <v>0</v>
      </c>
      <c r="CS803" s="8">
        <f t="shared" si="596"/>
        <v>0</v>
      </c>
      <c r="CT803" s="8">
        <f t="shared" si="601"/>
        <v>0</v>
      </c>
      <c r="CU803" s="8">
        <f t="shared" si="602"/>
        <v>0</v>
      </c>
      <c r="CV803" s="8">
        <f t="shared" si="603"/>
        <v>0</v>
      </c>
    </row>
    <row r="804" spans="1:100" ht="20.5" thickTop="1" thickBot="1" x14ac:dyDescent="0.5">
      <c r="A804" s="32"/>
      <c r="B804" s="10"/>
      <c r="C804" s="10"/>
      <c r="D804" s="11"/>
      <c r="E804" s="10"/>
      <c r="F804" s="10"/>
      <c r="G804" s="19"/>
      <c r="H804" s="19"/>
      <c r="I804" s="19"/>
      <c r="J804" s="19"/>
      <c r="K804" s="10"/>
      <c r="L804" s="10"/>
      <c r="M804" s="10"/>
      <c r="N804" s="10"/>
      <c r="O804" s="18"/>
      <c r="P804" s="18"/>
      <c r="Q804" s="21"/>
      <c r="R804" s="20"/>
      <c r="S804" s="16">
        <f t="shared" si="559"/>
        <v>0</v>
      </c>
      <c r="T804" s="11"/>
      <c r="AS804" s="31">
        <f t="shared" si="560"/>
        <v>0</v>
      </c>
      <c r="AT804" s="31">
        <f t="shared" si="561"/>
        <v>0</v>
      </c>
      <c r="AU804" s="31">
        <f t="shared" si="562"/>
        <v>0</v>
      </c>
      <c r="AV804" s="31">
        <f t="shared" si="563"/>
        <v>0</v>
      </c>
      <c r="AW804" s="31">
        <f t="shared" si="564"/>
        <v>0</v>
      </c>
      <c r="AX804" s="31">
        <f t="shared" si="565"/>
        <v>0</v>
      </c>
      <c r="AY804" s="31">
        <f t="shared" si="566"/>
        <v>0</v>
      </c>
      <c r="AZ804" s="31">
        <f t="shared" si="567"/>
        <v>0</v>
      </c>
      <c r="BA804" s="31">
        <f t="shared" si="568"/>
        <v>0</v>
      </c>
      <c r="BB804" s="31">
        <f t="shared" si="597"/>
        <v>0</v>
      </c>
      <c r="BM804" s="8">
        <f t="shared" si="598"/>
        <v>0</v>
      </c>
      <c r="BN804" s="8">
        <f t="shared" si="569"/>
        <v>0</v>
      </c>
      <c r="BO804" s="8">
        <f t="shared" si="570"/>
        <v>0</v>
      </c>
      <c r="BQ804" s="8">
        <f t="shared" si="571"/>
        <v>0</v>
      </c>
      <c r="BR804" s="63">
        <f t="shared" si="572"/>
        <v>0</v>
      </c>
      <c r="BS804" s="63">
        <f t="shared" si="599"/>
        <v>0</v>
      </c>
      <c r="BT804" s="63">
        <f t="shared" si="573"/>
        <v>0</v>
      </c>
      <c r="BU804" s="63">
        <f t="shared" si="574"/>
        <v>0</v>
      </c>
      <c r="BV804" s="57">
        <f t="shared" si="575"/>
        <v>0</v>
      </c>
      <c r="BW804" s="57">
        <f t="shared" si="576"/>
        <v>0</v>
      </c>
      <c r="BX804" s="57">
        <f t="shared" si="600"/>
        <v>0</v>
      </c>
      <c r="BY804" s="57">
        <f t="shared" si="604"/>
        <v>0</v>
      </c>
      <c r="BZ804" s="8">
        <f t="shared" si="577"/>
        <v>0</v>
      </c>
      <c r="CA804" s="8">
        <f t="shared" si="578"/>
        <v>0</v>
      </c>
      <c r="CB804" s="8">
        <f t="shared" si="579"/>
        <v>0</v>
      </c>
      <c r="CC804" s="8">
        <f t="shared" si="580"/>
        <v>0</v>
      </c>
      <c r="CD804" s="8">
        <f t="shared" si="581"/>
        <v>0</v>
      </c>
      <c r="CE804" s="8">
        <f t="shared" si="582"/>
        <v>0</v>
      </c>
      <c r="CF804" s="8">
        <f t="shared" si="583"/>
        <v>0</v>
      </c>
      <c r="CG804" s="8">
        <f t="shared" si="584"/>
        <v>0</v>
      </c>
      <c r="CH804" s="8">
        <f t="shared" si="585"/>
        <v>0</v>
      </c>
      <c r="CI804" s="8">
        <f t="shared" si="586"/>
        <v>0</v>
      </c>
      <c r="CJ804" s="8">
        <f t="shared" si="587"/>
        <v>0</v>
      </c>
      <c r="CK804" s="8">
        <f t="shared" si="588"/>
        <v>0</v>
      </c>
      <c r="CL804" s="8">
        <f t="shared" si="589"/>
        <v>0</v>
      </c>
      <c r="CM804" s="8">
        <f t="shared" si="590"/>
        <v>0</v>
      </c>
      <c r="CN804" s="8">
        <f t="shared" si="591"/>
        <v>0</v>
      </c>
      <c r="CO804" s="8">
        <f t="shared" si="592"/>
        <v>0</v>
      </c>
      <c r="CP804" s="8">
        <f t="shared" si="593"/>
        <v>0</v>
      </c>
      <c r="CQ804" s="8">
        <f t="shared" si="594"/>
        <v>0</v>
      </c>
      <c r="CR804" s="8">
        <f t="shared" si="595"/>
        <v>0</v>
      </c>
      <c r="CS804" s="8">
        <f t="shared" si="596"/>
        <v>0</v>
      </c>
      <c r="CT804" s="8">
        <f t="shared" si="601"/>
        <v>0</v>
      </c>
      <c r="CU804" s="8">
        <f t="shared" si="602"/>
        <v>0</v>
      </c>
      <c r="CV804" s="8">
        <f t="shared" si="603"/>
        <v>0</v>
      </c>
    </row>
    <row r="805" spans="1:100" ht="20.5" thickTop="1" thickBot="1" x14ac:dyDescent="0.5">
      <c r="A805" s="32"/>
      <c r="B805" s="10"/>
      <c r="C805" s="10"/>
      <c r="D805" s="11"/>
      <c r="E805" s="10"/>
      <c r="F805" s="10"/>
      <c r="G805" s="19"/>
      <c r="H805" s="19"/>
      <c r="I805" s="19"/>
      <c r="J805" s="19"/>
      <c r="K805" s="10"/>
      <c r="L805" s="10"/>
      <c r="M805" s="10"/>
      <c r="N805" s="10"/>
      <c r="O805" s="18"/>
      <c r="P805" s="18"/>
      <c r="Q805" s="21"/>
      <c r="R805" s="20"/>
      <c r="S805" s="16">
        <f t="shared" si="559"/>
        <v>0</v>
      </c>
      <c r="T805" s="11"/>
      <c r="AS805" s="31">
        <f t="shared" si="560"/>
        <v>0</v>
      </c>
      <c r="AT805" s="31">
        <f t="shared" si="561"/>
        <v>0</v>
      </c>
      <c r="AU805" s="31">
        <f t="shared" si="562"/>
        <v>0</v>
      </c>
      <c r="AV805" s="31">
        <f t="shared" si="563"/>
        <v>0</v>
      </c>
      <c r="AW805" s="31">
        <f t="shared" si="564"/>
        <v>0</v>
      </c>
      <c r="AX805" s="31">
        <f t="shared" si="565"/>
        <v>0</v>
      </c>
      <c r="AY805" s="31">
        <f t="shared" si="566"/>
        <v>0</v>
      </c>
      <c r="AZ805" s="31">
        <f t="shared" si="567"/>
        <v>0</v>
      </c>
      <c r="BA805" s="31">
        <f t="shared" si="568"/>
        <v>0</v>
      </c>
      <c r="BB805" s="31">
        <f t="shared" si="597"/>
        <v>0</v>
      </c>
      <c r="BM805" s="8">
        <f t="shared" si="598"/>
        <v>0</v>
      </c>
      <c r="BN805" s="8">
        <f t="shared" si="569"/>
        <v>0</v>
      </c>
      <c r="BO805" s="8">
        <f t="shared" si="570"/>
        <v>0</v>
      </c>
      <c r="BQ805" s="8">
        <f t="shared" si="571"/>
        <v>0</v>
      </c>
      <c r="BR805" s="63">
        <f t="shared" si="572"/>
        <v>0</v>
      </c>
      <c r="BS805" s="63">
        <f t="shared" si="599"/>
        <v>0</v>
      </c>
      <c r="BT805" s="63">
        <f t="shared" si="573"/>
        <v>0</v>
      </c>
      <c r="BU805" s="63">
        <f t="shared" si="574"/>
        <v>0</v>
      </c>
      <c r="BV805" s="57">
        <f t="shared" si="575"/>
        <v>0</v>
      </c>
      <c r="BW805" s="57">
        <f t="shared" si="576"/>
        <v>0</v>
      </c>
      <c r="BX805" s="57">
        <f t="shared" si="600"/>
        <v>0</v>
      </c>
      <c r="BY805" s="57">
        <f t="shared" si="604"/>
        <v>0</v>
      </c>
      <c r="BZ805" s="8">
        <f t="shared" si="577"/>
        <v>0</v>
      </c>
      <c r="CA805" s="8">
        <f t="shared" si="578"/>
        <v>0</v>
      </c>
      <c r="CB805" s="8">
        <f t="shared" si="579"/>
        <v>0</v>
      </c>
      <c r="CC805" s="8">
        <f t="shared" si="580"/>
        <v>0</v>
      </c>
      <c r="CD805" s="8">
        <f t="shared" si="581"/>
        <v>0</v>
      </c>
      <c r="CE805" s="8">
        <f t="shared" si="582"/>
        <v>0</v>
      </c>
      <c r="CF805" s="8">
        <f t="shared" si="583"/>
        <v>0</v>
      </c>
      <c r="CG805" s="8">
        <f t="shared" si="584"/>
        <v>0</v>
      </c>
      <c r="CH805" s="8">
        <f t="shared" si="585"/>
        <v>0</v>
      </c>
      <c r="CI805" s="8">
        <f t="shared" si="586"/>
        <v>0</v>
      </c>
      <c r="CJ805" s="8">
        <f t="shared" si="587"/>
        <v>0</v>
      </c>
      <c r="CK805" s="8">
        <f t="shared" si="588"/>
        <v>0</v>
      </c>
      <c r="CL805" s="8">
        <f t="shared" si="589"/>
        <v>0</v>
      </c>
      <c r="CM805" s="8">
        <f t="shared" si="590"/>
        <v>0</v>
      </c>
      <c r="CN805" s="8">
        <f t="shared" si="591"/>
        <v>0</v>
      </c>
      <c r="CO805" s="8">
        <f t="shared" si="592"/>
        <v>0</v>
      </c>
      <c r="CP805" s="8">
        <f t="shared" si="593"/>
        <v>0</v>
      </c>
      <c r="CQ805" s="8">
        <f t="shared" si="594"/>
        <v>0</v>
      </c>
      <c r="CR805" s="8">
        <f t="shared" si="595"/>
        <v>0</v>
      </c>
      <c r="CS805" s="8">
        <f t="shared" si="596"/>
        <v>0</v>
      </c>
      <c r="CT805" s="8">
        <f t="shared" si="601"/>
        <v>0</v>
      </c>
      <c r="CU805" s="8">
        <f t="shared" si="602"/>
        <v>0</v>
      </c>
      <c r="CV805" s="8">
        <f t="shared" si="603"/>
        <v>0</v>
      </c>
    </row>
    <row r="806" spans="1:100" ht="20.5" thickTop="1" thickBot="1" x14ac:dyDescent="0.5">
      <c r="A806" s="32"/>
      <c r="B806" s="10"/>
      <c r="C806" s="10"/>
      <c r="D806" s="11"/>
      <c r="E806" s="10"/>
      <c r="F806" s="10"/>
      <c r="G806" s="19"/>
      <c r="H806" s="19"/>
      <c r="I806" s="19"/>
      <c r="J806" s="19"/>
      <c r="K806" s="10"/>
      <c r="L806" s="10"/>
      <c r="M806" s="10"/>
      <c r="N806" s="10"/>
      <c r="O806" s="18"/>
      <c r="P806" s="18"/>
      <c r="Q806" s="21"/>
      <c r="R806" s="20"/>
      <c r="S806" s="16">
        <f t="shared" si="559"/>
        <v>0</v>
      </c>
      <c r="T806" s="11"/>
      <c r="AS806" s="31">
        <f t="shared" si="560"/>
        <v>0</v>
      </c>
      <c r="AT806" s="31">
        <f t="shared" si="561"/>
        <v>0</v>
      </c>
      <c r="AU806" s="31">
        <f t="shared" si="562"/>
        <v>0</v>
      </c>
      <c r="AV806" s="31">
        <f t="shared" si="563"/>
        <v>0</v>
      </c>
      <c r="AW806" s="31">
        <f t="shared" si="564"/>
        <v>0</v>
      </c>
      <c r="AX806" s="31">
        <f t="shared" si="565"/>
        <v>0</v>
      </c>
      <c r="AY806" s="31">
        <f t="shared" si="566"/>
        <v>0</v>
      </c>
      <c r="AZ806" s="31">
        <f t="shared" si="567"/>
        <v>0</v>
      </c>
      <c r="BA806" s="31">
        <f t="shared" si="568"/>
        <v>0</v>
      </c>
      <c r="BB806" s="31">
        <f t="shared" si="597"/>
        <v>0</v>
      </c>
      <c r="BM806" s="8">
        <f t="shared" si="598"/>
        <v>0</v>
      </c>
      <c r="BN806" s="8">
        <f t="shared" si="569"/>
        <v>0</v>
      </c>
      <c r="BO806" s="8">
        <f t="shared" si="570"/>
        <v>0</v>
      </c>
      <c r="BQ806" s="8">
        <f t="shared" si="571"/>
        <v>0</v>
      </c>
      <c r="BR806" s="63">
        <f t="shared" si="572"/>
        <v>0</v>
      </c>
      <c r="BS806" s="63">
        <f t="shared" si="599"/>
        <v>0</v>
      </c>
      <c r="BT806" s="63">
        <f t="shared" si="573"/>
        <v>0</v>
      </c>
      <c r="BU806" s="63">
        <f t="shared" si="574"/>
        <v>0</v>
      </c>
      <c r="BV806" s="57">
        <f t="shared" si="575"/>
        <v>0</v>
      </c>
      <c r="BW806" s="57">
        <f t="shared" si="576"/>
        <v>0</v>
      </c>
      <c r="BX806" s="57">
        <f t="shared" si="600"/>
        <v>0</v>
      </c>
      <c r="BY806" s="57">
        <f t="shared" si="604"/>
        <v>0</v>
      </c>
      <c r="BZ806" s="8">
        <f t="shared" si="577"/>
        <v>0</v>
      </c>
      <c r="CA806" s="8">
        <f t="shared" si="578"/>
        <v>0</v>
      </c>
      <c r="CB806" s="8">
        <f t="shared" si="579"/>
        <v>0</v>
      </c>
      <c r="CC806" s="8">
        <f t="shared" si="580"/>
        <v>0</v>
      </c>
      <c r="CD806" s="8">
        <f t="shared" si="581"/>
        <v>0</v>
      </c>
      <c r="CE806" s="8">
        <f t="shared" si="582"/>
        <v>0</v>
      </c>
      <c r="CF806" s="8">
        <f t="shared" si="583"/>
        <v>0</v>
      </c>
      <c r="CG806" s="8">
        <f t="shared" si="584"/>
        <v>0</v>
      </c>
      <c r="CH806" s="8">
        <f t="shared" si="585"/>
        <v>0</v>
      </c>
      <c r="CI806" s="8">
        <f t="shared" si="586"/>
        <v>0</v>
      </c>
      <c r="CJ806" s="8">
        <f t="shared" si="587"/>
        <v>0</v>
      </c>
      <c r="CK806" s="8">
        <f t="shared" si="588"/>
        <v>0</v>
      </c>
      <c r="CL806" s="8">
        <f t="shared" si="589"/>
        <v>0</v>
      </c>
      <c r="CM806" s="8">
        <f t="shared" si="590"/>
        <v>0</v>
      </c>
      <c r="CN806" s="8">
        <f t="shared" si="591"/>
        <v>0</v>
      </c>
      <c r="CO806" s="8">
        <f t="shared" si="592"/>
        <v>0</v>
      </c>
      <c r="CP806" s="8">
        <f t="shared" si="593"/>
        <v>0</v>
      </c>
      <c r="CQ806" s="8">
        <f t="shared" si="594"/>
        <v>0</v>
      </c>
      <c r="CR806" s="8">
        <f t="shared" si="595"/>
        <v>0</v>
      </c>
      <c r="CS806" s="8">
        <f t="shared" si="596"/>
        <v>0</v>
      </c>
      <c r="CT806" s="8">
        <f t="shared" si="601"/>
        <v>0</v>
      </c>
      <c r="CU806" s="8">
        <f t="shared" si="602"/>
        <v>0</v>
      </c>
      <c r="CV806" s="8">
        <f t="shared" si="603"/>
        <v>0</v>
      </c>
    </row>
    <row r="807" spans="1:100" ht="20.5" thickTop="1" thickBot="1" x14ac:dyDescent="0.5">
      <c r="A807" s="32"/>
      <c r="B807" s="10"/>
      <c r="C807" s="10"/>
      <c r="D807" s="11"/>
      <c r="E807" s="10"/>
      <c r="F807" s="10"/>
      <c r="G807" s="19"/>
      <c r="H807" s="19"/>
      <c r="I807" s="19"/>
      <c r="J807" s="19"/>
      <c r="K807" s="10"/>
      <c r="L807" s="10"/>
      <c r="M807" s="10"/>
      <c r="N807" s="10"/>
      <c r="O807" s="18"/>
      <c r="P807" s="18"/>
      <c r="Q807" s="21"/>
      <c r="R807" s="20"/>
      <c r="S807" s="16">
        <f t="shared" si="559"/>
        <v>0</v>
      </c>
      <c r="T807" s="11"/>
      <c r="AS807" s="31">
        <f t="shared" si="560"/>
        <v>0</v>
      </c>
      <c r="AT807" s="31">
        <f t="shared" si="561"/>
        <v>0</v>
      </c>
      <c r="AU807" s="31">
        <f t="shared" si="562"/>
        <v>0</v>
      </c>
      <c r="AV807" s="31">
        <f t="shared" si="563"/>
        <v>0</v>
      </c>
      <c r="AW807" s="31">
        <f t="shared" si="564"/>
        <v>0</v>
      </c>
      <c r="AX807" s="31">
        <f t="shared" si="565"/>
        <v>0</v>
      </c>
      <c r="AY807" s="31">
        <f t="shared" si="566"/>
        <v>0</v>
      </c>
      <c r="AZ807" s="31">
        <f t="shared" si="567"/>
        <v>0</v>
      </c>
      <c r="BA807" s="31">
        <f t="shared" si="568"/>
        <v>0</v>
      </c>
      <c r="BB807" s="31">
        <f t="shared" si="597"/>
        <v>0</v>
      </c>
      <c r="BM807" s="8">
        <f t="shared" si="598"/>
        <v>0</v>
      </c>
      <c r="BN807" s="8">
        <f t="shared" si="569"/>
        <v>0</v>
      </c>
      <c r="BO807" s="8">
        <f t="shared" si="570"/>
        <v>0</v>
      </c>
      <c r="BQ807" s="8">
        <f t="shared" si="571"/>
        <v>0</v>
      </c>
      <c r="BR807" s="63">
        <f t="shared" si="572"/>
        <v>0</v>
      </c>
      <c r="BS807" s="63">
        <f t="shared" si="599"/>
        <v>0</v>
      </c>
      <c r="BT807" s="63">
        <f t="shared" si="573"/>
        <v>0</v>
      </c>
      <c r="BU807" s="63">
        <f t="shared" si="574"/>
        <v>0</v>
      </c>
      <c r="BV807" s="57">
        <f t="shared" si="575"/>
        <v>0</v>
      </c>
      <c r="BW807" s="57">
        <f t="shared" si="576"/>
        <v>0</v>
      </c>
      <c r="BX807" s="57">
        <f t="shared" si="600"/>
        <v>0</v>
      </c>
      <c r="BY807" s="57">
        <f t="shared" si="604"/>
        <v>0</v>
      </c>
      <c r="BZ807" s="8">
        <f t="shared" si="577"/>
        <v>0</v>
      </c>
      <c r="CA807" s="8">
        <f t="shared" si="578"/>
        <v>0</v>
      </c>
      <c r="CB807" s="8">
        <f t="shared" si="579"/>
        <v>0</v>
      </c>
      <c r="CC807" s="8">
        <f t="shared" si="580"/>
        <v>0</v>
      </c>
      <c r="CD807" s="8">
        <f t="shared" si="581"/>
        <v>0</v>
      </c>
      <c r="CE807" s="8">
        <f t="shared" si="582"/>
        <v>0</v>
      </c>
      <c r="CF807" s="8">
        <f t="shared" si="583"/>
        <v>0</v>
      </c>
      <c r="CG807" s="8">
        <f t="shared" si="584"/>
        <v>0</v>
      </c>
      <c r="CH807" s="8">
        <f t="shared" si="585"/>
        <v>0</v>
      </c>
      <c r="CI807" s="8">
        <f t="shared" si="586"/>
        <v>0</v>
      </c>
      <c r="CJ807" s="8">
        <f t="shared" si="587"/>
        <v>0</v>
      </c>
      <c r="CK807" s="8">
        <f t="shared" si="588"/>
        <v>0</v>
      </c>
      <c r="CL807" s="8">
        <f t="shared" si="589"/>
        <v>0</v>
      </c>
      <c r="CM807" s="8">
        <f t="shared" si="590"/>
        <v>0</v>
      </c>
      <c r="CN807" s="8">
        <f t="shared" si="591"/>
        <v>0</v>
      </c>
      <c r="CO807" s="8">
        <f t="shared" si="592"/>
        <v>0</v>
      </c>
      <c r="CP807" s="8">
        <f t="shared" si="593"/>
        <v>0</v>
      </c>
      <c r="CQ807" s="8">
        <f t="shared" si="594"/>
        <v>0</v>
      </c>
      <c r="CR807" s="8">
        <f t="shared" si="595"/>
        <v>0</v>
      </c>
      <c r="CS807" s="8">
        <f t="shared" si="596"/>
        <v>0</v>
      </c>
      <c r="CT807" s="8">
        <f t="shared" si="601"/>
        <v>0</v>
      </c>
      <c r="CU807" s="8">
        <f t="shared" si="602"/>
        <v>0</v>
      </c>
      <c r="CV807" s="8">
        <f t="shared" si="603"/>
        <v>0</v>
      </c>
    </row>
    <row r="808" spans="1:100" ht="20.5" thickTop="1" thickBot="1" x14ac:dyDescent="0.5">
      <c r="A808" s="32"/>
      <c r="B808" s="10"/>
      <c r="C808" s="10"/>
      <c r="D808" s="11"/>
      <c r="E808" s="10"/>
      <c r="F808" s="10"/>
      <c r="G808" s="19"/>
      <c r="H808" s="19"/>
      <c r="I808" s="19"/>
      <c r="J808" s="19"/>
      <c r="K808" s="10"/>
      <c r="L808" s="10"/>
      <c r="M808" s="10"/>
      <c r="N808" s="10"/>
      <c r="O808" s="18"/>
      <c r="P808" s="18"/>
      <c r="Q808" s="21"/>
      <c r="R808" s="20"/>
      <c r="S808" s="16">
        <f t="shared" si="559"/>
        <v>0</v>
      </c>
      <c r="T808" s="11"/>
      <c r="AS808" s="31">
        <f t="shared" si="560"/>
        <v>0</v>
      </c>
      <c r="AT808" s="31">
        <f t="shared" si="561"/>
        <v>0</v>
      </c>
      <c r="AU808" s="31">
        <f t="shared" si="562"/>
        <v>0</v>
      </c>
      <c r="AV808" s="31">
        <f t="shared" si="563"/>
        <v>0</v>
      </c>
      <c r="AW808" s="31">
        <f t="shared" si="564"/>
        <v>0</v>
      </c>
      <c r="AX808" s="31">
        <f t="shared" si="565"/>
        <v>0</v>
      </c>
      <c r="AY808" s="31">
        <f t="shared" si="566"/>
        <v>0</v>
      </c>
      <c r="AZ808" s="31">
        <f t="shared" si="567"/>
        <v>0</v>
      </c>
      <c r="BA808" s="31">
        <f t="shared" si="568"/>
        <v>0</v>
      </c>
      <c r="BB808" s="31">
        <f t="shared" si="597"/>
        <v>0</v>
      </c>
      <c r="BM808" s="8">
        <f t="shared" si="598"/>
        <v>0</v>
      </c>
      <c r="BN808" s="8">
        <f t="shared" si="569"/>
        <v>0</v>
      </c>
      <c r="BO808" s="8">
        <f t="shared" si="570"/>
        <v>0</v>
      </c>
      <c r="BQ808" s="8">
        <f t="shared" si="571"/>
        <v>0</v>
      </c>
      <c r="BR808" s="63">
        <f t="shared" si="572"/>
        <v>0</v>
      </c>
      <c r="BS808" s="63">
        <f t="shared" si="599"/>
        <v>0</v>
      </c>
      <c r="BT808" s="63">
        <f t="shared" si="573"/>
        <v>0</v>
      </c>
      <c r="BU808" s="63">
        <f t="shared" si="574"/>
        <v>0</v>
      </c>
      <c r="BV808" s="57">
        <f t="shared" si="575"/>
        <v>0</v>
      </c>
      <c r="BW808" s="57">
        <f t="shared" si="576"/>
        <v>0</v>
      </c>
      <c r="BX808" s="57">
        <f t="shared" si="600"/>
        <v>0</v>
      </c>
      <c r="BY808" s="57">
        <f t="shared" si="604"/>
        <v>0</v>
      </c>
      <c r="BZ808" s="8">
        <f t="shared" si="577"/>
        <v>0</v>
      </c>
      <c r="CA808" s="8">
        <f t="shared" si="578"/>
        <v>0</v>
      </c>
      <c r="CB808" s="8">
        <f t="shared" si="579"/>
        <v>0</v>
      </c>
      <c r="CC808" s="8">
        <f t="shared" si="580"/>
        <v>0</v>
      </c>
      <c r="CD808" s="8">
        <f t="shared" si="581"/>
        <v>0</v>
      </c>
      <c r="CE808" s="8">
        <f t="shared" si="582"/>
        <v>0</v>
      </c>
      <c r="CF808" s="8">
        <f t="shared" si="583"/>
        <v>0</v>
      </c>
      <c r="CG808" s="8">
        <f t="shared" si="584"/>
        <v>0</v>
      </c>
      <c r="CH808" s="8">
        <f t="shared" si="585"/>
        <v>0</v>
      </c>
      <c r="CI808" s="8">
        <f t="shared" si="586"/>
        <v>0</v>
      </c>
      <c r="CJ808" s="8">
        <f t="shared" si="587"/>
        <v>0</v>
      </c>
      <c r="CK808" s="8">
        <f t="shared" si="588"/>
        <v>0</v>
      </c>
      <c r="CL808" s="8">
        <f t="shared" si="589"/>
        <v>0</v>
      </c>
      <c r="CM808" s="8">
        <f t="shared" si="590"/>
        <v>0</v>
      </c>
      <c r="CN808" s="8">
        <f t="shared" si="591"/>
        <v>0</v>
      </c>
      <c r="CO808" s="8">
        <f t="shared" si="592"/>
        <v>0</v>
      </c>
      <c r="CP808" s="8">
        <f t="shared" si="593"/>
        <v>0</v>
      </c>
      <c r="CQ808" s="8">
        <f t="shared" si="594"/>
        <v>0</v>
      </c>
      <c r="CR808" s="8">
        <f t="shared" si="595"/>
        <v>0</v>
      </c>
      <c r="CS808" s="8">
        <f t="shared" si="596"/>
        <v>0</v>
      </c>
      <c r="CT808" s="8">
        <f t="shared" si="601"/>
        <v>0</v>
      </c>
      <c r="CU808" s="8">
        <f t="shared" si="602"/>
        <v>0</v>
      </c>
      <c r="CV808" s="8">
        <f t="shared" si="603"/>
        <v>0</v>
      </c>
    </row>
    <row r="809" spans="1:100" ht="20.5" thickTop="1" thickBot="1" x14ac:dyDescent="0.5">
      <c r="A809" s="32"/>
      <c r="B809" s="10"/>
      <c r="C809" s="10"/>
      <c r="D809" s="11"/>
      <c r="E809" s="10"/>
      <c r="F809" s="10"/>
      <c r="G809" s="19"/>
      <c r="H809" s="19"/>
      <c r="I809" s="19"/>
      <c r="J809" s="19"/>
      <c r="K809" s="10"/>
      <c r="L809" s="10"/>
      <c r="M809" s="10"/>
      <c r="N809" s="10"/>
      <c r="O809" s="18"/>
      <c r="P809" s="18"/>
      <c r="Q809" s="21"/>
      <c r="R809" s="20"/>
      <c r="S809" s="16">
        <f t="shared" si="559"/>
        <v>0</v>
      </c>
      <c r="T809" s="11"/>
      <c r="AS809" s="31">
        <f t="shared" si="560"/>
        <v>0</v>
      </c>
      <c r="AT809" s="31">
        <f t="shared" si="561"/>
        <v>0</v>
      </c>
      <c r="AU809" s="31">
        <f t="shared" si="562"/>
        <v>0</v>
      </c>
      <c r="AV809" s="31">
        <f t="shared" si="563"/>
        <v>0</v>
      </c>
      <c r="AW809" s="31">
        <f t="shared" si="564"/>
        <v>0</v>
      </c>
      <c r="AX809" s="31">
        <f t="shared" si="565"/>
        <v>0</v>
      </c>
      <c r="AY809" s="31">
        <f t="shared" si="566"/>
        <v>0</v>
      </c>
      <c r="AZ809" s="31">
        <f t="shared" si="567"/>
        <v>0</v>
      </c>
      <c r="BA809" s="31">
        <f t="shared" si="568"/>
        <v>0</v>
      </c>
      <c r="BB809" s="31">
        <f t="shared" si="597"/>
        <v>0</v>
      </c>
      <c r="BM809" s="8">
        <f t="shared" si="598"/>
        <v>0</v>
      </c>
      <c r="BN809" s="8">
        <f t="shared" si="569"/>
        <v>0</v>
      </c>
      <c r="BO809" s="8">
        <f t="shared" si="570"/>
        <v>0</v>
      </c>
      <c r="BQ809" s="8">
        <f t="shared" si="571"/>
        <v>0</v>
      </c>
      <c r="BR809" s="63">
        <f t="shared" si="572"/>
        <v>0</v>
      </c>
      <c r="BS809" s="63">
        <f t="shared" si="599"/>
        <v>0</v>
      </c>
      <c r="BT809" s="63">
        <f t="shared" si="573"/>
        <v>0</v>
      </c>
      <c r="BU809" s="63">
        <f t="shared" si="574"/>
        <v>0</v>
      </c>
      <c r="BV809" s="57">
        <f t="shared" si="575"/>
        <v>0</v>
      </c>
      <c r="BW809" s="57">
        <f t="shared" si="576"/>
        <v>0</v>
      </c>
      <c r="BX809" s="57">
        <f t="shared" si="600"/>
        <v>0</v>
      </c>
      <c r="BY809" s="57">
        <f t="shared" si="604"/>
        <v>0</v>
      </c>
      <c r="BZ809" s="8">
        <f t="shared" si="577"/>
        <v>0</v>
      </c>
      <c r="CA809" s="8">
        <f t="shared" si="578"/>
        <v>0</v>
      </c>
      <c r="CB809" s="8">
        <f t="shared" si="579"/>
        <v>0</v>
      </c>
      <c r="CC809" s="8">
        <f t="shared" si="580"/>
        <v>0</v>
      </c>
      <c r="CD809" s="8">
        <f t="shared" si="581"/>
        <v>0</v>
      </c>
      <c r="CE809" s="8">
        <f t="shared" si="582"/>
        <v>0</v>
      </c>
      <c r="CF809" s="8">
        <f t="shared" si="583"/>
        <v>0</v>
      </c>
      <c r="CG809" s="8">
        <f t="shared" si="584"/>
        <v>0</v>
      </c>
      <c r="CH809" s="8">
        <f t="shared" si="585"/>
        <v>0</v>
      </c>
      <c r="CI809" s="8">
        <f t="shared" si="586"/>
        <v>0</v>
      </c>
      <c r="CJ809" s="8">
        <f t="shared" si="587"/>
        <v>0</v>
      </c>
      <c r="CK809" s="8">
        <f t="shared" si="588"/>
        <v>0</v>
      </c>
      <c r="CL809" s="8">
        <f t="shared" si="589"/>
        <v>0</v>
      </c>
      <c r="CM809" s="8">
        <f t="shared" si="590"/>
        <v>0</v>
      </c>
      <c r="CN809" s="8">
        <f t="shared" si="591"/>
        <v>0</v>
      </c>
      <c r="CO809" s="8">
        <f t="shared" si="592"/>
        <v>0</v>
      </c>
      <c r="CP809" s="8">
        <f t="shared" si="593"/>
        <v>0</v>
      </c>
      <c r="CQ809" s="8">
        <f t="shared" si="594"/>
        <v>0</v>
      </c>
      <c r="CR809" s="8">
        <f t="shared" si="595"/>
        <v>0</v>
      </c>
      <c r="CS809" s="8">
        <f t="shared" si="596"/>
        <v>0</v>
      </c>
      <c r="CT809" s="8">
        <f t="shared" si="601"/>
        <v>0</v>
      </c>
      <c r="CU809" s="8">
        <f t="shared" si="602"/>
        <v>0</v>
      </c>
      <c r="CV809" s="8">
        <f t="shared" si="603"/>
        <v>0</v>
      </c>
    </row>
    <row r="810" spans="1:100" ht="20.5" thickTop="1" thickBot="1" x14ac:dyDescent="0.5">
      <c r="A810" s="32"/>
      <c r="B810" s="10"/>
      <c r="C810" s="10"/>
      <c r="D810" s="11"/>
      <c r="E810" s="10"/>
      <c r="F810" s="10"/>
      <c r="G810" s="19"/>
      <c r="H810" s="19"/>
      <c r="I810" s="19"/>
      <c r="J810" s="19"/>
      <c r="K810" s="10"/>
      <c r="L810" s="10"/>
      <c r="M810" s="10"/>
      <c r="N810" s="10"/>
      <c r="O810" s="18"/>
      <c r="P810" s="18"/>
      <c r="Q810" s="21"/>
      <c r="R810" s="20"/>
      <c r="S810" s="16">
        <f t="shared" si="559"/>
        <v>0</v>
      </c>
      <c r="T810" s="11"/>
      <c r="AS810" s="31">
        <f t="shared" si="560"/>
        <v>0</v>
      </c>
      <c r="AT810" s="31">
        <f t="shared" si="561"/>
        <v>0</v>
      </c>
      <c r="AU810" s="31">
        <f t="shared" si="562"/>
        <v>0</v>
      </c>
      <c r="AV810" s="31">
        <f t="shared" si="563"/>
        <v>0</v>
      </c>
      <c r="AW810" s="31">
        <f t="shared" si="564"/>
        <v>0</v>
      </c>
      <c r="AX810" s="31">
        <f t="shared" si="565"/>
        <v>0</v>
      </c>
      <c r="AY810" s="31">
        <f t="shared" si="566"/>
        <v>0</v>
      </c>
      <c r="AZ810" s="31">
        <f t="shared" si="567"/>
        <v>0</v>
      </c>
      <c r="BA810" s="31">
        <f t="shared" si="568"/>
        <v>0</v>
      </c>
      <c r="BB810" s="31">
        <f t="shared" si="597"/>
        <v>0</v>
      </c>
      <c r="BM810" s="8">
        <f t="shared" si="598"/>
        <v>0</v>
      </c>
      <c r="BN810" s="8">
        <f t="shared" si="569"/>
        <v>0</v>
      </c>
      <c r="BO810" s="8">
        <f t="shared" si="570"/>
        <v>0</v>
      </c>
      <c r="BQ810" s="8">
        <f t="shared" si="571"/>
        <v>0</v>
      </c>
      <c r="BR810" s="63">
        <f t="shared" si="572"/>
        <v>0</v>
      </c>
      <c r="BS810" s="63">
        <f t="shared" si="599"/>
        <v>0</v>
      </c>
      <c r="BT810" s="63">
        <f t="shared" si="573"/>
        <v>0</v>
      </c>
      <c r="BU810" s="63">
        <f t="shared" si="574"/>
        <v>0</v>
      </c>
      <c r="BV810" s="57">
        <f t="shared" si="575"/>
        <v>0</v>
      </c>
      <c r="BW810" s="57">
        <f t="shared" si="576"/>
        <v>0</v>
      </c>
      <c r="BX810" s="57">
        <f t="shared" si="600"/>
        <v>0</v>
      </c>
      <c r="BY810" s="57">
        <f t="shared" si="604"/>
        <v>0</v>
      </c>
      <c r="BZ810" s="8">
        <f t="shared" si="577"/>
        <v>0</v>
      </c>
      <c r="CA810" s="8">
        <f t="shared" si="578"/>
        <v>0</v>
      </c>
      <c r="CB810" s="8">
        <f t="shared" si="579"/>
        <v>0</v>
      </c>
      <c r="CC810" s="8">
        <f t="shared" si="580"/>
        <v>0</v>
      </c>
      <c r="CD810" s="8">
        <f t="shared" si="581"/>
        <v>0</v>
      </c>
      <c r="CE810" s="8">
        <f t="shared" si="582"/>
        <v>0</v>
      </c>
      <c r="CF810" s="8">
        <f t="shared" si="583"/>
        <v>0</v>
      </c>
      <c r="CG810" s="8">
        <f t="shared" si="584"/>
        <v>0</v>
      </c>
      <c r="CH810" s="8">
        <f t="shared" si="585"/>
        <v>0</v>
      </c>
      <c r="CI810" s="8">
        <f t="shared" si="586"/>
        <v>0</v>
      </c>
      <c r="CJ810" s="8">
        <f t="shared" si="587"/>
        <v>0</v>
      </c>
      <c r="CK810" s="8">
        <f t="shared" si="588"/>
        <v>0</v>
      </c>
      <c r="CL810" s="8">
        <f t="shared" si="589"/>
        <v>0</v>
      </c>
      <c r="CM810" s="8">
        <f t="shared" si="590"/>
        <v>0</v>
      </c>
      <c r="CN810" s="8">
        <f t="shared" si="591"/>
        <v>0</v>
      </c>
      <c r="CO810" s="8">
        <f t="shared" si="592"/>
        <v>0</v>
      </c>
      <c r="CP810" s="8">
        <f t="shared" si="593"/>
        <v>0</v>
      </c>
      <c r="CQ810" s="8">
        <f t="shared" si="594"/>
        <v>0</v>
      </c>
      <c r="CR810" s="8">
        <f t="shared" si="595"/>
        <v>0</v>
      </c>
      <c r="CS810" s="8">
        <f t="shared" si="596"/>
        <v>0</v>
      </c>
      <c r="CT810" s="8">
        <f t="shared" si="601"/>
        <v>0</v>
      </c>
      <c r="CU810" s="8">
        <f t="shared" si="602"/>
        <v>0</v>
      </c>
      <c r="CV810" s="8">
        <f t="shared" si="603"/>
        <v>0</v>
      </c>
    </row>
    <row r="811" spans="1:100" ht="20.5" thickTop="1" thickBot="1" x14ac:dyDescent="0.5">
      <c r="A811" s="32"/>
      <c r="B811" s="10"/>
      <c r="C811" s="10"/>
      <c r="D811" s="11"/>
      <c r="E811" s="10"/>
      <c r="F811" s="10"/>
      <c r="G811" s="19"/>
      <c r="H811" s="19"/>
      <c r="I811" s="19"/>
      <c r="J811" s="19"/>
      <c r="K811" s="10"/>
      <c r="L811" s="10"/>
      <c r="M811" s="10"/>
      <c r="N811" s="10"/>
      <c r="O811" s="18"/>
      <c r="P811" s="18"/>
      <c r="Q811" s="21"/>
      <c r="R811" s="20"/>
      <c r="S811" s="16">
        <f t="shared" si="559"/>
        <v>0</v>
      </c>
      <c r="T811" s="11"/>
      <c r="AS811" s="31">
        <f t="shared" si="560"/>
        <v>0</v>
      </c>
      <c r="AT811" s="31">
        <f t="shared" si="561"/>
        <v>0</v>
      </c>
      <c r="AU811" s="31">
        <f t="shared" si="562"/>
        <v>0</v>
      </c>
      <c r="AV811" s="31">
        <f t="shared" si="563"/>
        <v>0</v>
      </c>
      <c r="AW811" s="31">
        <f t="shared" si="564"/>
        <v>0</v>
      </c>
      <c r="AX811" s="31">
        <f t="shared" si="565"/>
        <v>0</v>
      </c>
      <c r="AY811" s="31">
        <f t="shared" si="566"/>
        <v>0</v>
      </c>
      <c r="AZ811" s="31">
        <f t="shared" si="567"/>
        <v>0</v>
      </c>
      <c r="BA811" s="31">
        <f t="shared" si="568"/>
        <v>0</v>
      </c>
      <c r="BB811" s="31">
        <f t="shared" si="597"/>
        <v>0</v>
      </c>
      <c r="BM811" s="8">
        <f t="shared" si="598"/>
        <v>0</v>
      </c>
      <c r="BN811" s="8">
        <f t="shared" si="569"/>
        <v>0</v>
      </c>
      <c r="BO811" s="8">
        <f t="shared" si="570"/>
        <v>0</v>
      </c>
      <c r="BQ811" s="8">
        <f t="shared" si="571"/>
        <v>0</v>
      </c>
      <c r="BR811" s="63">
        <f t="shared" si="572"/>
        <v>0</v>
      </c>
      <c r="BS811" s="63">
        <f t="shared" si="599"/>
        <v>0</v>
      </c>
      <c r="BT811" s="63">
        <f t="shared" si="573"/>
        <v>0</v>
      </c>
      <c r="BU811" s="63">
        <f t="shared" si="574"/>
        <v>0</v>
      </c>
      <c r="BV811" s="57">
        <f t="shared" si="575"/>
        <v>0</v>
      </c>
      <c r="BW811" s="57">
        <f t="shared" si="576"/>
        <v>0</v>
      </c>
      <c r="BX811" s="57">
        <f t="shared" si="600"/>
        <v>0</v>
      </c>
      <c r="BY811" s="57">
        <f t="shared" si="604"/>
        <v>0</v>
      </c>
      <c r="BZ811" s="8">
        <f t="shared" si="577"/>
        <v>0</v>
      </c>
      <c r="CA811" s="8">
        <f t="shared" si="578"/>
        <v>0</v>
      </c>
      <c r="CB811" s="8">
        <f t="shared" si="579"/>
        <v>0</v>
      </c>
      <c r="CC811" s="8">
        <f t="shared" si="580"/>
        <v>0</v>
      </c>
      <c r="CD811" s="8">
        <f t="shared" si="581"/>
        <v>0</v>
      </c>
      <c r="CE811" s="8">
        <f t="shared" si="582"/>
        <v>0</v>
      </c>
      <c r="CF811" s="8">
        <f t="shared" si="583"/>
        <v>0</v>
      </c>
      <c r="CG811" s="8">
        <f t="shared" si="584"/>
        <v>0</v>
      </c>
      <c r="CH811" s="8">
        <f t="shared" si="585"/>
        <v>0</v>
      </c>
      <c r="CI811" s="8">
        <f t="shared" si="586"/>
        <v>0</v>
      </c>
      <c r="CJ811" s="8">
        <f t="shared" si="587"/>
        <v>0</v>
      </c>
      <c r="CK811" s="8">
        <f t="shared" si="588"/>
        <v>0</v>
      </c>
      <c r="CL811" s="8">
        <f t="shared" si="589"/>
        <v>0</v>
      </c>
      <c r="CM811" s="8">
        <f t="shared" si="590"/>
        <v>0</v>
      </c>
      <c r="CN811" s="8">
        <f t="shared" si="591"/>
        <v>0</v>
      </c>
      <c r="CO811" s="8">
        <f t="shared" si="592"/>
        <v>0</v>
      </c>
      <c r="CP811" s="8">
        <f t="shared" si="593"/>
        <v>0</v>
      </c>
      <c r="CQ811" s="8">
        <f t="shared" si="594"/>
        <v>0</v>
      </c>
      <c r="CR811" s="8">
        <f t="shared" si="595"/>
        <v>0</v>
      </c>
      <c r="CS811" s="8">
        <f t="shared" si="596"/>
        <v>0</v>
      </c>
      <c r="CT811" s="8">
        <f t="shared" si="601"/>
        <v>0</v>
      </c>
      <c r="CU811" s="8">
        <f t="shared" si="602"/>
        <v>0</v>
      </c>
      <c r="CV811" s="8">
        <f t="shared" si="603"/>
        <v>0</v>
      </c>
    </row>
    <row r="812" spans="1:100" ht="20.5" thickTop="1" thickBot="1" x14ac:dyDescent="0.5">
      <c r="A812" s="32"/>
      <c r="B812" s="10"/>
      <c r="C812" s="10"/>
      <c r="D812" s="11"/>
      <c r="E812" s="10"/>
      <c r="F812" s="10"/>
      <c r="G812" s="19"/>
      <c r="H812" s="19"/>
      <c r="I812" s="19"/>
      <c r="J812" s="19"/>
      <c r="K812" s="10"/>
      <c r="L812" s="10"/>
      <c r="M812" s="10"/>
      <c r="N812" s="10"/>
      <c r="O812" s="18"/>
      <c r="P812" s="18"/>
      <c r="Q812" s="21"/>
      <c r="R812" s="20"/>
      <c r="S812" s="16">
        <f t="shared" si="559"/>
        <v>0</v>
      </c>
      <c r="T812" s="11"/>
      <c r="AS812" s="31">
        <f t="shared" si="560"/>
        <v>0</v>
      </c>
      <c r="AT812" s="31">
        <f t="shared" si="561"/>
        <v>0</v>
      </c>
      <c r="AU812" s="31">
        <f t="shared" si="562"/>
        <v>0</v>
      </c>
      <c r="AV812" s="31">
        <f t="shared" si="563"/>
        <v>0</v>
      </c>
      <c r="AW812" s="31">
        <f t="shared" si="564"/>
        <v>0</v>
      </c>
      <c r="AX812" s="31">
        <f t="shared" si="565"/>
        <v>0</v>
      </c>
      <c r="AY812" s="31">
        <f t="shared" si="566"/>
        <v>0</v>
      </c>
      <c r="AZ812" s="31">
        <f t="shared" si="567"/>
        <v>0</v>
      </c>
      <c r="BA812" s="31">
        <f t="shared" si="568"/>
        <v>0</v>
      </c>
      <c r="BB812" s="31">
        <f t="shared" si="597"/>
        <v>0</v>
      </c>
      <c r="BM812" s="8">
        <f t="shared" si="598"/>
        <v>0</v>
      </c>
      <c r="BN812" s="8">
        <f t="shared" si="569"/>
        <v>0</v>
      </c>
      <c r="BO812" s="8">
        <f t="shared" si="570"/>
        <v>0</v>
      </c>
      <c r="BQ812" s="8">
        <f t="shared" si="571"/>
        <v>0</v>
      </c>
      <c r="BR812" s="63">
        <f t="shared" si="572"/>
        <v>0</v>
      </c>
      <c r="BS812" s="63">
        <f t="shared" si="599"/>
        <v>0</v>
      </c>
      <c r="BT812" s="63">
        <f t="shared" si="573"/>
        <v>0</v>
      </c>
      <c r="BU812" s="63">
        <f t="shared" si="574"/>
        <v>0</v>
      </c>
      <c r="BV812" s="57">
        <f t="shared" si="575"/>
        <v>0</v>
      </c>
      <c r="BW812" s="57">
        <f t="shared" si="576"/>
        <v>0</v>
      </c>
      <c r="BX812" s="57">
        <f t="shared" si="600"/>
        <v>0</v>
      </c>
      <c r="BY812" s="57">
        <f t="shared" si="604"/>
        <v>0</v>
      </c>
      <c r="BZ812" s="8">
        <f t="shared" si="577"/>
        <v>0</v>
      </c>
      <c r="CA812" s="8">
        <f t="shared" si="578"/>
        <v>0</v>
      </c>
      <c r="CB812" s="8">
        <f t="shared" si="579"/>
        <v>0</v>
      </c>
      <c r="CC812" s="8">
        <f t="shared" si="580"/>
        <v>0</v>
      </c>
      <c r="CD812" s="8">
        <f t="shared" si="581"/>
        <v>0</v>
      </c>
      <c r="CE812" s="8">
        <f t="shared" si="582"/>
        <v>0</v>
      </c>
      <c r="CF812" s="8">
        <f t="shared" si="583"/>
        <v>0</v>
      </c>
      <c r="CG812" s="8">
        <f t="shared" si="584"/>
        <v>0</v>
      </c>
      <c r="CH812" s="8">
        <f t="shared" si="585"/>
        <v>0</v>
      </c>
      <c r="CI812" s="8">
        <f t="shared" si="586"/>
        <v>0</v>
      </c>
      <c r="CJ812" s="8">
        <f t="shared" si="587"/>
        <v>0</v>
      </c>
      <c r="CK812" s="8">
        <f t="shared" si="588"/>
        <v>0</v>
      </c>
      <c r="CL812" s="8">
        <f t="shared" si="589"/>
        <v>0</v>
      </c>
      <c r="CM812" s="8">
        <f t="shared" si="590"/>
        <v>0</v>
      </c>
      <c r="CN812" s="8">
        <f t="shared" si="591"/>
        <v>0</v>
      </c>
      <c r="CO812" s="8">
        <f t="shared" si="592"/>
        <v>0</v>
      </c>
      <c r="CP812" s="8">
        <f t="shared" si="593"/>
        <v>0</v>
      </c>
      <c r="CQ812" s="8">
        <f t="shared" si="594"/>
        <v>0</v>
      </c>
      <c r="CR812" s="8">
        <f t="shared" si="595"/>
        <v>0</v>
      </c>
      <c r="CS812" s="8">
        <f t="shared" si="596"/>
        <v>0</v>
      </c>
      <c r="CT812" s="8">
        <f t="shared" si="601"/>
        <v>0</v>
      </c>
      <c r="CU812" s="8">
        <f t="shared" si="602"/>
        <v>0</v>
      </c>
      <c r="CV812" s="8">
        <f t="shared" si="603"/>
        <v>0</v>
      </c>
    </row>
    <row r="813" spans="1:100" ht="20.5" thickTop="1" thickBot="1" x14ac:dyDescent="0.5">
      <c r="A813" s="32"/>
      <c r="B813" s="10"/>
      <c r="C813" s="10"/>
      <c r="D813" s="11"/>
      <c r="E813" s="10"/>
      <c r="F813" s="10"/>
      <c r="G813" s="19"/>
      <c r="H813" s="19"/>
      <c r="I813" s="19"/>
      <c r="J813" s="19"/>
      <c r="K813" s="10"/>
      <c r="L813" s="10"/>
      <c r="M813" s="10"/>
      <c r="N813" s="10"/>
      <c r="O813" s="18"/>
      <c r="P813" s="18"/>
      <c r="Q813" s="21"/>
      <c r="R813" s="20"/>
      <c r="S813" s="16">
        <f t="shared" si="559"/>
        <v>0</v>
      </c>
      <c r="T813" s="11"/>
      <c r="AS813" s="31">
        <f t="shared" si="560"/>
        <v>0</v>
      </c>
      <c r="AT813" s="31">
        <f t="shared" si="561"/>
        <v>0</v>
      </c>
      <c r="AU813" s="31">
        <f t="shared" si="562"/>
        <v>0</v>
      </c>
      <c r="AV813" s="31">
        <f t="shared" si="563"/>
        <v>0</v>
      </c>
      <c r="AW813" s="31">
        <f t="shared" si="564"/>
        <v>0</v>
      </c>
      <c r="AX813" s="31">
        <f t="shared" si="565"/>
        <v>0</v>
      </c>
      <c r="AY813" s="31">
        <f t="shared" si="566"/>
        <v>0</v>
      </c>
      <c r="AZ813" s="31">
        <f t="shared" si="567"/>
        <v>0</v>
      </c>
      <c r="BA813" s="31">
        <f t="shared" si="568"/>
        <v>0</v>
      </c>
      <c r="BB813" s="31">
        <f t="shared" si="597"/>
        <v>0</v>
      </c>
      <c r="BM813" s="8">
        <f t="shared" si="598"/>
        <v>0</v>
      </c>
      <c r="BN813" s="8">
        <f t="shared" si="569"/>
        <v>0</v>
      </c>
      <c r="BO813" s="8">
        <f t="shared" si="570"/>
        <v>0</v>
      </c>
      <c r="BQ813" s="8">
        <f t="shared" si="571"/>
        <v>0</v>
      </c>
      <c r="BR813" s="63">
        <f t="shared" si="572"/>
        <v>0</v>
      </c>
      <c r="BS813" s="63">
        <f t="shared" si="599"/>
        <v>0</v>
      </c>
      <c r="BT813" s="63">
        <f t="shared" si="573"/>
        <v>0</v>
      </c>
      <c r="BU813" s="63">
        <f t="shared" si="574"/>
        <v>0</v>
      </c>
      <c r="BV813" s="57">
        <f t="shared" si="575"/>
        <v>0</v>
      </c>
      <c r="BW813" s="57">
        <f t="shared" si="576"/>
        <v>0</v>
      </c>
      <c r="BX813" s="57">
        <f t="shared" si="600"/>
        <v>0</v>
      </c>
      <c r="BY813" s="57">
        <f t="shared" si="604"/>
        <v>0</v>
      </c>
      <c r="BZ813" s="8">
        <f t="shared" si="577"/>
        <v>0</v>
      </c>
      <c r="CA813" s="8">
        <f t="shared" si="578"/>
        <v>0</v>
      </c>
      <c r="CB813" s="8">
        <f t="shared" si="579"/>
        <v>0</v>
      </c>
      <c r="CC813" s="8">
        <f t="shared" si="580"/>
        <v>0</v>
      </c>
      <c r="CD813" s="8">
        <f t="shared" si="581"/>
        <v>0</v>
      </c>
      <c r="CE813" s="8">
        <f t="shared" si="582"/>
        <v>0</v>
      </c>
      <c r="CF813" s="8">
        <f t="shared" si="583"/>
        <v>0</v>
      </c>
      <c r="CG813" s="8">
        <f t="shared" si="584"/>
        <v>0</v>
      </c>
      <c r="CH813" s="8">
        <f t="shared" si="585"/>
        <v>0</v>
      </c>
      <c r="CI813" s="8">
        <f t="shared" si="586"/>
        <v>0</v>
      </c>
      <c r="CJ813" s="8">
        <f t="shared" si="587"/>
        <v>0</v>
      </c>
      <c r="CK813" s="8">
        <f t="shared" si="588"/>
        <v>0</v>
      </c>
      <c r="CL813" s="8">
        <f t="shared" si="589"/>
        <v>0</v>
      </c>
      <c r="CM813" s="8">
        <f t="shared" si="590"/>
        <v>0</v>
      </c>
      <c r="CN813" s="8">
        <f t="shared" si="591"/>
        <v>0</v>
      </c>
      <c r="CO813" s="8">
        <f t="shared" si="592"/>
        <v>0</v>
      </c>
      <c r="CP813" s="8">
        <f t="shared" si="593"/>
        <v>0</v>
      </c>
      <c r="CQ813" s="8">
        <f t="shared" si="594"/>
        <v>0</v>
      </c>
      <c r="CR813" s="8">
        <f t="shared" si="595"/>
        <v>0</v>
      </c>
      <c r="CS813" s="8">
        <f t="shared" si="596"/>
        <v>0</v>
      </c>
      <c r="CT813" s="8">
        <f t="shared" si="601"/>
        <v>0</v>
      </c>
      <c r="CU813" s="8">
        <f t="shared" si="602"/>
        <v>0</v>
      </c>
      <c r="CV813" s="8">
        <f t="shared" si="603"/>
        <v>0</v>
      </c>
    </row>
    <row r="814" spans="1:100" ht="20.5" thickTop="1" thickBot="1" x14ac:dyDescent="0.5">
      <c r="A814" s="32"/>
      <c r="B814" s="10"/>
      <c r="C814" s="10"/>
      <c r="D814" s="11"/>
      <c r="E814" s="10"/>
      <c r="F814" s="10"/>
      <c r="G814" s="19"/>
      <c r="H814" s="19"/>
      <c r="I814" s="19"/>
      <c r="J814" s="19"/>
      <c r="K814" s="10"/>
      <c r="L814" s="10"/>
      <c r="M814" s="10"/>
      <c r="N814" s="10"/>
      <c r="O814" s="18"/>
      <c r="P814" s="18"/>
      <c r="Q814" s="21"/>
      <c r="R814" s="20"/>
      <c r="S814" s="16">
        <f t="shared" si="559"/>
        <v>0</v>
      </c>
      <c r="T814" s="11"/>
      <c r="AS814" s="31">
        <f t="shared" si="560"/>
        <v>0</v>
      </c>
      <c r="AT814" s="31">
        <f t="shared" si="561"/>
        <v>0</v>
      </c>
      <c r="AU814" s="31">
        <f t="shared" si="562"/>
        <v>0</v>
      </c>
      <c r="AV814" s="31">
        <f t="shared" si="563"/>
        <v>0</v>
      </c>
      <c r="AW814" s="31">
        <f t="shared" si="564"/>
        <v>0</v>
      </c>
      <c r="AX814" s="31">
        <f t="shared" si="565"/>
        <v>0</v>
      </c>
      <c r="AY814" s="31">
        <f t="shared" si="566"/>
        <v>0</v>
      </c>
      <c r="AZ814" s="31">
        <f t="shared" si="567"/>
        <v>0</v>
      </c>
      <c r="BA814" s="31">
        <f t="shared" si="568"/>
        <v>0</v>
      </c>
      <c r="BB814" s="31">
        <f t="shared" si="597"/>
        <v>0</v>
      </c>
      <c r="BM814" s="8">
        <f t="shared" si="598"/>
        <v>0</v>
      </c>
      <c r="BN814" s="8">
        <f t="shared" si="569"/>
        <v>0</v>
      </c>
      <c r="BO814" s="8">
        <f t="shared" si="570"/>
        <v>0</v>
      </c>
      <c r="BQ814" s="8">
        <f t="shared" si="571"/>
        <v>0</v>
      </c>
      <c r="BR814" s="63">
        <f t="shared" si="572"/>
        <v>0</v>
      </c>
      <c r="BS814" s="63">
        <f t="shared" si="599"/>
        <v>0</v>
      </c>
      <c r="BT814" s="63">
        <f t="shared" si="573"/>
        <v>0</v>
      </c>
      <c r="BU814" s="63">
        <f t="shared" si="574"/>
        <v>0</v>
      </c>
      <c r="BV814" s="57">
        <f t="shared" si="575"/>
        <v>0</v>
      </c>
      <c r="BW814" s="57">
        <f t="shared" si="576"/>
        <v>0</v>
      </c>
      <c r="BX814" s="57">
        <f t="shared" si="600"/>
        <v>0</v>
      </c>
      <c r="BY814" s="57">
        <f t="shared" si="604"/>
        <v>0</v>
      </c>
      <c r="BZ814" s="8">
        <f t="shared" si="577"/>
        <v>0</v>
      </c>
      <c r="CA814" s="8">
        <f t="shared" si="578"/>
        <v>0</v>
      </c>
      <c r="CB814" s="8">
        <f t="shared" si="579"/>
        <v>0</v>
      </c>
      <c r="CC814" s="8">
        <f t="shared" si="580"/>
        <v>0</v>
      </c>
      <c r="CD814" s="8">
        <f t="shared" si="581"/>
        <v>0</v>
      </c>
      <c r="CE814" s="8">
        <f t="shared" si="582"/>
        <v>0</v>
      </c>
      <c r="CF814" s="8">
        <f t="shared" si="583"/>
        <v>0</v>
      </c>
      <c r="CG814" s="8">
        <f t="shared" si="584"/>
        <v>0</v>
      </c>
      <c r="CH814" s="8">
        <f t="shared" si="585"/>
        <v>0</v>
      </c>
      <c r="CI814" s="8">
        <f t="shared" si="586"/>
        <v>0</v>
      </c>
      <c r="CJ814" s="8">
        <f t="shared" si="587"/>
        <v>0</v>
      </c>
      <c r="CK814" s="8">
        <f t="shared" si="588"/>
        <v>0</v>
      </c>
      <c r="CL814" s="8">
        <f t="shared" si="589"/>
        <v>0</v>
      </c>
      <c r="CM814" s="8">
        <f t="shared" si="590"/>
        <v>0</v>
      </c>
      <c r="CN814" s="8">
        <f t="shared" si="591"/>
        <v>0</v>
      </c>
      <c r="CO814" s="8">
        <f t="shared" si="592"/>
        <v>0</v>
      </c>
      <c r="CP814" s="8">
        <f t="shared" si="593"/>
        <v>0</v>
      </c>
      <c r="CQ814" s="8">
        <f t="shared" si="594"/>
        <v>0</v>
      </c>
      <c r="CR814" s="8">
        <f t="shared" si="595"/>
        <v>0</v>
      </c>
      <c r="CS814" s="8">
        <f t="shared" si="596"/>
        <v>0</v>
      </c>
      <c r="CT814" s="8">
        <f t="shared" si="601"/>
        <v>0</v>
      </c>
      <c r="CU814" s="8">
        <f t="shared" si="602"/>
        <v>0</v>
      </c>
      <c r="CV814" s="8">
        <f t="shared" si="603"/>
        <v>0</v>
      </c>
    </row>
    <row r="815" spans="1:100" ht="20.5" thickTop="1" thickBot="1" x14ac:dyDescent="0.5">
      <c r="A815" s="32"/>
      <c r="B815" s="10"/>
      <c r="C815" s="10"/>
      <c r="D815" s="11"/>
      <c r="E815" s="10"/>
      <c r="F815" s="10"/>
      <c r="G815" s="19"/>
      <c r="H815" s="19"/>
      <c r="I815" s="19"/>
      <c r="J815" s="19"/>
      <c r="K815" s="10"/>
      <c r="L815" s="10"/>
      <c r="M815" s="10"/>
      <c r="N815" s="10"/>
      <c r="O815" s="18"/>
      <c r="P815" s="18"/>
      <c r="Q815" s="21"/>
      <c r="R815" s="20"/>
      <c r="S815" s="16">
        <f t="shared" si="559"/>
        <v>0</v>
      </c>
      <c r="T815" s="11"/>
      <c r="AS815" s="31">
        <f t="shared" si="560"/>
        <v>0</v>
      </c>
      <c r="AT815" s="31">
        <f t="shared" si="561"/>
        <v>0</v>
      </c>
      <c r="AU815" s="31">
        <f t="shared" si="562"/>
        <v>0</v>
      </c>
      <c r="AV815" s="31">
        <f t="shared" si="563"/>
        <v>0</v>
      </c>
      <c r="AW815" s="31">
        <f t="shared" si="564"/>
        <v>0</v>
      </c>
      <c r="AX815" s="31">
        <f t="shared" si="565"/>
        <v>0</v>
      </c>
      <c r="AY815" s="31">
        <f t="shared" si="566"/>
        <v>0</v>
      </c>
      <c r="AZ815" s="31">
        <f t="shared" si="567"/>
        <v>0</v>
      </c>
      <c r="BA815" s="31">
        <f t="shared" si="568"/>
        <v>0</v>
      </c>
      <c r="BB815" s="31">
        <f t="shared" si="597"/>
        <v>0</v>
      </c>
      <c r="BM815" s="8">
        <f t="shared" si="598"/>
        <v>0</v>
      </c>
      <c r="BN815" s="8">
        <f t="shared" si="569"/>
        <v>0</v>
      </c>
      <c r="BO815" s="8">
        <f t="shared" si="570"/>
        <v>0</v>
      </c>
      <c r="BQ815" s="8">
        <f t="shared" si="571"/>
        <v>0</v>
      </c>
      <c r="BR815" s="63">
        <f t="shared" si="572"/>
        <v>0</v>
      </c>
      <c r="BS815" s="63">
        <f t="shared" si="599"/>
        <v>0</v>
      </c>
      <c r="BT815" s="63">
        <f t="shared" si="573"/>
        <v>0</v>
      </c>
      <c r="BU815" s="63">
        <f t="shared" si="574"/>
        <v>0</v>
      </c>
      <c r="BV815" s="57">
        <f t="shared" si="575"/>
        <v>0</v>
      </c>
      <c r="BW815" s="57">
        <f t="shared" si="576"/>
        <v>0</v>
      </c>
      <c r="BX815" s="57">
        <f t="shared" si="600"/>
        <v>0</v>
      </c>
      <c r="BY815" s="57">
        <f t="shared" si="604"/>
        <v>0</v>
      </c>
      <c r="BZ815" s="8">
        <f t="shared" si="577"/>
        <v>0</v>
      </c>
      <c r="CA815" s="8">
        <f t="shared" si="578"/>
        <v>0</v>
      </c>
      <c r="CB815" s="8">
        <f t="shared" si="579"/>
        <v>0</v>
      </c>
      <c r="CC815" s="8">
        <f t="shared" si="580"/>
        <v>0</v>
      </c>
      <c r="CD815" s="8">
        <f t="shared" si="581"/>
        <v>0</v>
      </c>
      <c r="CE815" s="8">
        <f t="shared" si="582"/>
        <v>0</v>
      </c>
      <c r="CF815" s="8">
        <f t="shared" si="583"/>
        <v>0</v>
      </c>
      <c r="CG815" s="8">
        <f t="shared" si="584"/>
        <v>0</v>
      </c>
      <c r="CH815" s="8">
        <f t="shared" si="585"/>
        <v>0</v>
      </c>
      <c r="CI815" s="8">
        <f t="shared" si="586"/>
        <v>0</v>
      </c>
      <c r="CJ815" s="8">
        <f t="shared" si="587"/>
        <v>0</v>
      </c>
      <c r="CK815" s="8">
        <f t="shared" si="588"/>
        <v>0</v>
      </c>
      <c r="CL815" s="8">
        <f t="shared" si="589"/>
        <v>0</v>
      </c>
      <c r="CM815" s="8">
        <f t="shared" si="590"/>
        <v>0</v>
      </c>
      <c r="CN815" s="8">
        <f t="shared" si="591"/>
        <v>0</v>
      </c>
      <c r="CO815" s="8">
        <f t="shared" si="592"/>
        <v>0</v>
      </c>
      <c r="CP815" s="8">
        <f t="shared" si="593"/>
        <v>0</v>
      </c>
      <c r="CQ815" s="8">
        <f t="shared" si="594"/>
        <v>0</v>
      </c>
      <c r="CR815" s="8">
        <f t="shared" si="595"/>
        <v>0</v>
      </c>
      <c r="CS815" s="8">
        <f t="shared" si="596"/>
        <v>0</v>
      </c>
      <c r="CT815" s="8">
        <f t="shared" si="601"/>
        <v>0</v>
      </c>
      <c r="CU815" s="8">
        <f t="shared" si="602"/>
        <v>0</v>
      </c>
      <c r="CV815" s="8">
        <f t="shared" si="603"/>
        <v>0</v>
      </c>
    </row>
    <row r="816" spans="1:100" ht="20.5" thickTop="1" thickBot="1" x14ac:dyDescent="0.5">
      <c r="A816" s="32"/>
      <c r="B816" s="10"/>
      <c r="C816" s="10"/>
      <c r="D816" s="11"/>
      <c r="E816" s="10"/>
      <c r="F816" s="10"/>
      <c r="G816" s="19"/>
      <c r="H816" s="19"/>
      <c r="I816" s="19"/>
      <c r="J816" s="19"/>
      <c r="K816" s="10"/>
      <c r="L816" s="10"/>
      <c r="M816" s="10"/>
      <c r="N816" s="10"/>
      <c r="O816" s="18"/>
      <c r="P816" s="18"/>
      <c r="Q816" s="21"/>
      <c r="R816" s="20"/>
      <c r="S816" s="16">
        <f t="shared" si="559"/>
        <v>0</v>
      </c>
      <c r="T816" s="11"/>
      <c r="AS816" s="31">
        <f t="shared" si="560"/>
        <v>0</v>
      </c>
      <c r="AT816" s="31">
        <f t="shared" si="561"/>
        <v>0</v>
      </c>
      <c r="AU816" s="31">
        <f t="shared" si="562"/>
        <v>0</v>
      </c>
      <c r="AV816" s="31">
        <f t="shared" si="563"/>
        <v>0</v>
      </c>
      <c r="AW816" s="31">
        <f t="shared" si="564"/>
        <v>0</v>
      </c>
      <c r="AX816" s="31">
        <f t="shared" si="565"/>
        <v>0</v>
      </c>
      <c r="AY816" s="31">
        <f t="shared" si="566"/>
        <v>0</v>
      </c>
      <c r="AZ816" s="31">
        <f t="shared" si="567"/>
        <v>0</v>
      </c>
      <c r="BA816" s="31">
        <f t="shared" si="568"/>
        <v>0</v>
      </c>
      <c r="BB816" s="31">
        <f t="shared" si="597"/>
        <v>0</v>
      </c>
      <c r="BM816" s="8">
        <f t="shared" si="598"/>
        <v>0</v>
      </c>
      <c r="BN816" s="8">
        <f t="shared" si="569"/>
        <v>0</v>
      </c>
      <c r="BO816" s="8">
        <f t="shared" si="570"/>
        <v>0</v>
      </c>
      <c r="BQ816" s="8">
        <f t="shared" si="571"/>
        <v>0</v>
      </c>
      <c r="BR816" s="63">
        <f t="shared" si="572"/>
        <v>0</v>
      </c>
      <c r="BS816" s="63">
        <f t="shared" si="599"/>
        <v>0</v>
      </c>
      <c r="BT816" s="63">
        <f t="shared" si="573"/>
        <v>0</v>
      </c>
      <c r="BU816" s="63">
        <f t="shared" si="574"/>
        <v>0</v>
      </c>
      <c r="BV816" s="57">
        <f t="shared" si="575"/>
        <v>0</v>
      </c>
      <c r="BW816" s="57">
        <f t="shared" si="576"/>
        <v>0</v>
      </c>
      <c r="BX816" s="57">
        <f t="shared" si="600"/>
        <v>0</v>
      </c>
      <c r="BY816" s="57">
        <f t="shared" si="604"/>
        <v>0</v>
      </c>
      <c r="BZ816" s="8">
        <f t="shared" si="577"/>
        <v>0</v>
      </c>
      <c r="CA816" s="8">
        <f t="shared" si="578"/>
        <v>0</v>
      </c>
      <c r="CB816" s="8">
        <f t="shared" si="579"/>
        <v>0</v>
      </c>
      <c r="CC816" s="8">
        <f t="shared" si="580"/>
        <v>0</v>
      </c>
      <c r="CD816" s="8">
        <f t="shared" si="581"/>
        <v>0</v>
      </c>
      <c r="CE816" s="8">
        <f t="shared" si="582"/>
        <v>0</v>
      </c>
      <c r="CF816" s="8">
        <f t="shared" si="583"/>
        <v>0</v>
      </c>
      <c r="CG816" s="8">
        <f t="shared" si="584"/>
        <v>0</v>
      </c>
      <c r="CH816" s="8">
        <f t="shared" si="585"/>
        <v>0</v>
      </c>
      <c r="CI816" s="8">
        <f t="shared" si="586"/>
        <v>0</v>
      </c>
      <c r="CJ816" s="8">
        <f t="shared" si="587"/>
        <v>0</v>
      </c>
      <c r="CK816" s="8">
        <f t="shared" si="588"/>
        <v>0</v>
      </c>
      <c r="CL816" s="8">
        <f t="shared" si="589"/>
        <v>0</v>
      </c>
      <c r="CM816" s="8">
        <f t="shared" si="590"/>
        <v>0</v>
      </c>
      <c r="CN816" s="8">
        <f t="shared" si="591"/>
        <v>0</v>
      </c>
      <c r="CO816" s="8">
        <f t="shared" si="592"/>
        <v>0</v>
      </c>
      <c r="CP816" s="8">
        <f t="shared" si="593"/>
        <v>0</v>
      </c>
      <c r="CQ816" s="8">
        <f t="shared" si="594"/>
        <v>0</v>
      </c>
      <c r="CR816" s="8">
        <f t="shared" si="595"/>
        <v>0</v>
      </c>
      <c r="CS816" s="8">
        <f t="shared" si="596"/>
        <v>0</v>
      </c>
      <c r="CT816" s="8">
        <f t="shared" si="601"/>
        <v>0</v>
      </c>
      <c r="CU816" s="8">
        <f t="shared" si="602"/>
        <v>0</v>
      </c>
      <c r="CV816" s="8">
        <f t="shared" si="603"/>
        <v>0</v>
      </c>
    </row>
    <row r="817" spans="1:100" ht="20.5" thickTop="1" thickBot="1" x14ac:dyDescent="0.5">
      <c r="A817" s="32"/>
      <c r="B817" s="10"/>
      <c r="C817" s="10"/>
      <c r="D817" s="11"/>
      <c r="E817" s="10"/>
      <c r="F817" s="10"/>
      <c r="G817" s="19"/>
      <c r="H817" s="19"/>
      <c r="I817" s="19"/>
      <c r="J817" s="19"/>
      <c r="K817" s="10"/>
      <c r="L817" s="10"/>
      <c r="M817" s="10"/>
      <c r="N817" s="10"/>
      <c r="O817" s="18"/>
      <c r="P817" s="18"/>
      <c r="Q817" s="21"/>
      <c r="R817" s="20"/>
      <c r="S817" s="16">
        <f t="shared" si="559"/>
        <v>0</v>
      </c>
      <c r="T817" s="11"/>
      <c r="AS817" s="31">
        <f t="shared" si="560"/>
        <v>0</v>
      </c>
      <c r="AT817" s="31">
        <f t="shared" si="561"/>
        <v>0</v>
      </c>
      <c r="AU817" s="31">
        <f t="shared" si="562"/>
        <v>0</v>
      </c>
      <c r="AV817" s="31">
        <f t="shared" si="563"/>
        <v>0</v>
      </c>
      <c r="AW817" s="31">
        <f t="shared" si="564"/>
        <v>0</v>
      </c>
      <c r="AX817" s="31">
        <f t="shared" si="565"/>
        <v>0</v>
      </c>
      <c r="AY817" s="31">
        <f t="shared" si="566"/>
        <v>0</v>
      </c>
      <c r="AZ817" s="31">
        <f t="shared" si="567"/>
        <v>0</v>
      </c>
      <c r="BA817" s="31">
        <f t="shared" si="568"/>
        <v>0</v>
      </c>
      <c r="BB817" s="31">
        <f t="shared" si="597"/>
        <v>0</v>
      </c>
      <c r="BM817" s="8">
        <f t="shared" si="598"/>
        <v>0</v>
      </c>
      <c r="BN817" s="8">
        <f t="shared" si="569"/>
        <v>0</v>
      </c>
      <c r="BO817" s="8">
        <f t="shared" si="570"/>
        <v>0</v>
      </c>
      <c r="BQ817" s="8">
        <f t="shared" si="571"/>
        <v>0</v>
      </c>
      <c r="BR817" s="63">
        <f t="shared" si="572"/>
        <v>0</v>
      </c>
      <c r="BS817" s="63">
        <f t="shared" si="599"/>
        <v>0</v>
      </c>
      <c r="BT817" s="63">
        <f t="shared" si="573"/>
        <v>0</v>
      </c>
      <c r="BU817" s="63">
        <f t="shared" si="574"/>
        <v>0</v>
      </c>
      <c r="BV817" s="57">
        <f t="shared" si="575"/>
        <v>0</v>
      </c>
      <c r="BW817" s="57">
        <f t="shared" si="576"/>
        <v>0</v>
      </c>
      <c r="BX817" s="57">
        <f t="shared" si="600"/>
        <v>0</v>
      </c>
      <c r="BY817" s="57">
        <f t="shared" si="604"/>
        <v>0</v>
      </c>
      <c r="BZ817" s="8">
        <f t="shared" si="577"/>
        <v>0</v>
      </c>
      <c r="CA817" s="8">
        <f t="shared" si="578"/>
        <v>0</v>
      </c>
      <c r="CB817" s="8">
        <f t="shared" si="579"/>
        <v>0</v>
      </c>
      <c r="CC817" s="8">
        <f t="shared" si="580"/>
        <v>0</v>
      </c>
      <c r="CD817" s="8">
        <f t="shared" si="581"/>
        <v>0</v>
      </c>
      <c r="CE817" s="8">
        <f t="shared" si="582"/>
        <v>0</v>
      </c>
      <c r="CF817" s="8">
        <f t="shared" si="583"/>
        <v>0</v>
      </c>
      <c r="CG817" s="8">
        <f t="shared" si="584"/>
        <v>0</v>
      </c>
      <c r="CH817" s="8">
        <f t="shared" si="585"/>
        <v>0</v>
      </c>
      <c r="CI817" s="8">
        <f t="shared" si="586"/>
        <v>0</v>
      </c>
      <c r="CJ817" s="8">
        <f t="shared" si="587"/>
        <v>0</v>
      </c>
      <c r="CK817" s="8">
        <f t="shared" si="588"/>
        <v>0</v>
      </c>
      <c r="CL817" s="8">
        <f t="shared" si="589"/>
        <v>0</v>
      </c>
      <c r="CM817" s="8">
        <f t="shared" si="590"/>
        <v>0</v>
      </c>
      <c r="CN817" s="8">
        <f t="shared" si="591"/>
        <v>0</v>
      </c>
      <c r="CO817" s="8">
        <f t="shared" si="592"/>
        <v>0</v>
      </c>
      <c r="CP817" s="8">
        <f t="shared" si="593"/>
        <v>0</v>
      </c>
      <c r="CQ817" s="8">
        <f t="shared" si="594"/>
        <v>0</v>
      </c>
      <c r="CR817" s="8">
        <f t="shared" si="595"/>
        <v>0</v>
      </c>
      <c r="CS817" s="8">
        <f t="shared" si="596"/>
        <v>0</v>
      </c>
      <c r="CT817" s="8">
        <f t="shared" si="601"/>
        <v>0</v>
      </c>
      <c r="CU817" s="8">
        <f t="shared" si="602"/>
        <v>0</v>
      </c>
      <c r="CV817" s="8">
        <f t="shared" si="603"/>
        <v>0</v>
      </c>
    </row>
    <row r="818" spans="1:100" ht="20.5" thickTop="1" thickBot="1" x14ac:dyDescent="0.5">
      <c r="A818" s="32"/>
      <c r="B818" s="10"/>
      <c r="C818" s="10"/>
      <c r="D818" s="11"/>
      <c r="E818" s="10"/>
      <c r="F818" s="10"/>
      <c r="G818" s="19"/>
      <c r="H818" s="19"/>
      <c r="I818" s="19"/>
      <c r="J818" s="19"/>
      <c r="K818" s="10"/>
      <c r="L818" s="10"/>
      <c r="M818" s="10"/>
      <c r="N818" s="10"/>
      <c r="O818" s="18"/>
      <c r="P818" s="18"/>
      <c r="Q818" s="21"/>
      <c r="R818" s="20"/>
      <c r="S818" s="16">
        <f t="shared" si="559"/>
        <v>0</v>
      </c>
      <c r="T818" s="11"/>
      <c r="AS818" s="31">
        <f t="shared" si="560"/>
        <v>0</v>
      </c>
      <c r="AT818" s="31">
        <f t="shared" si="561"/>
        <v>0</v>
      </c>
      <c r="AU818" s="31">
        <f t="shared" si="562"/>
        <v>0</v>
      </c>
      <c r="AV818" s="31">
        <f t="shared" si="563"/>
        <v>0</v>
      </c>
      <c r="AW818" s="31">
        <f t="shared" si="564"/>
        <v>0</v>
      </c>
      <c r="AX818" s="31">
        <f t="shared" si="565"/>
        <v>0</v>
      </c>
      <c r="AY818" s="31">
        <f t="shared" si="566"/>
        <v>0</v>
      </c>
      <c r="AZ818" s="31">
        <f t="shared" si="567"/>
        <v>0</v>
      </c>
      <c r="BA818" s="31">
        <f t="shared" si="568"/>
        <v>0</v>
      </c>
      <c r="BB818" s="31">
        <f t="shared" si="597"/>
        <v>0</v>
      </c>
      <c r="BM818" s="8">
        <f t="shared" si="598"/>
        <v>0</v>
      </c>
      <c r="BN818" s="8">
        <f t="shared" si="569"/>
        <v>0</v>
      </c>
      <c r="BO818" s="8">
        <f t="shared" si="570"/>
        <v>0</v>
      </c>
      <c r="BQ818" s="8">
        <f t="shared" si="571"/>
        <v>0</v>
      </c>
      <c r="BR818" s="63">
        <f t="shared" si="572"/>
        <v>0</v>
      </c>
      <c r="BS818" s="63">
        <f t="shared" si="599"/>
        <v>0</v>
      </c>
      <c r="BT818" s="63">
        <f t="shared" si="573"/>
        <v>0</v>
      </c>
      <c r="BU818" s="63">
        <f t="shared" si="574"/>
        <v>0</v>
      </c>
      <c r="BV818" s="57">
        <f t="shared" si="575"/>
        <v>0</v>
      </c>
      <c r="BW818" s="57">
        <f t="shared" si="576"/>
        <v>0</v>
      </c>
      <c r="BX818" s="57">
        <f t="shared" si="600"/>
        <v>0</v>
      </c>
      <c r="BY818" s="57">
        <f t="shared" si="604"/>
        <v>0</v>
      </c>
      <c r="BZ818" s="8">
        <f t="shared" si="577"/>
        <v>0</v>
      </c>
      <c r="CA818" s="8">
        <f t="shared" si="578"/>
        <v>0</v>
      </c>
      <c r="CB818" s="8">
        <f t="shared" si="579"/>
        <v>0</v>
      </c>
      <c r="CC818" s="8">
        <f t="shared" si="580"/>
        <v>0</v>
      </c>
      <c r="CD818" s="8">
        <f t="shared" si="581"/>
        <v>0</v>
      </c>
      <c r="CE818" s="8">
        <f t="shared" si="582"/>
        <v>0</v>
      </c>
      <c r="CF818" s="8">
        <f t="shared" si="583"/>
        <v>0</v>
      </c>
      <c r="CG818" s="8">
        <f t="shared" si="584"/>
        <v>0</v>
      </c>
      <c r="CH818" s="8">
        <f t="shared" si="585"/>
        <v>0</v>
      </c>
      <c r="CI818" s="8">
        <f t="shared" si="586"/>
        <v>0</v>
      </c>
      <c r="CJ818" s="8">
        <f t="shared" si="587"/>
        <v>0</v>
      </c>
      <c r="CK818" s="8">
        <f t="shared" si="588"/>
        <v>0</v>
      </c>
      <c r="CL818" s="8">
        <f t="shared" si="589"/>
        <v>0</v>
      </c>
      <c r="CM818" s="8">
        <f t="shared" si="590"/>
        <v>0</v>
      </c>
      <c r="CN818" s="8">
        <f t="shared" si="591"/>
        <v>0</v>
      </c>
      <c r="CO818" s="8">
        <f t="shared" si="592"/>
        <v>0</v>
      </c>
      <c r="CP818" s="8">
        <f t="shared" si="593"/>
        <v>0</v>
      </c>
      <c r="CQ818" s="8">
        <f t="shared" si="594"/>
        <v>0</v>
      </c>
      <c r="CR818" s="8">
        <f t="shared" si="595"/>
        <v>0</v>
      </c>
      <c r="CS818" s="8">
        <f t="shared" si="596"/>
        <v>0</v>
      </c>
      <c r="CT818" s="8">
        <f t="shared" si="601"/>
        <v>0</v>
      </c>
      <c r="CU818" s="8">
        <f t="shared" si="602"/>
        <v>0</v>
      </c>
      <c r="CV818" s="8">
        <f t="shared" si="603"/>
        <v>0</v>
      </c>
    </row>
    <row r="819" spans="1:100" ht="20.5" thickTop="1" thickBot="1" x14ac:dyDescent="0.5">
      <c r="A819" s="32"/>
      <c r="B819" s="10"/>
      <c r="C819" s="10"/>
      <c r="D819" s="11"/>
      <c r="E819" s="10"/>
      <c r="F819" s="10"/>
      <c r="G819" s="19"/>
      <c r="H819" s="19"/>
      <c r="I819" s="19"/>
      <c r="J819" s="19"/>
      <c r="K819" s="10"/>
      <c r="L819" s="10"/>
      <c r="M819" s="10"/>
      <c r="N819" s="10"/>
      <c r="O819" s="18"/>
      <c r="P819" s="18"/>
      <c r="Q819" s="21"/>
      <c r="R819" s="20"/>
      <c r="S819" s="16">
        <f t="shared" si="559"/>
        <v>0</v>
      </c>
      <c r="T819" s="11"/>
      <c r="AS819" s="31">
        <f t="shared" si="560"/>
        <v>0</v>
      </c>
      <c r="AT819" s="31">
        <f t="shared" si="561"/>
        <v>0</v>
      </c>
      <c r="AU819" s="31">
        <f t="shared" si="562"/>
        <v>0</v>
      </c>
      <c r="AV819" s="31">
        <f t="shared" si="563"/>
        <v>0</v>
      </c>
      <c r="AW819" s="31">
        <f t="shared" si="564"/>
        <v>0</v>
      </c>
      <c r="AX819" s="31">
        <f t="shared" si="565"/>
        <v>0</v>
      </c>
      <c r="AY819" s="31">
        <f t="shared" si="566"/>
        <v>0</v>
      </c>
      <c r="AZ819" s="31">
        <f t="shared" si="567"/>
        <v>0</v>
      </c>
      <c r="BA819" s="31">
        <f t="shared" si="568"/>
        <v>0</v>
      </c>
      <c r="BB819" s="31">
        <f t="shared" si="597"/>
        <v>0</v>
      </c>
      <c r="BM819" s="8">
        <f t="shared" si="598"/>
        <v>0</v>
      </c>
      <c r="BN819" s="8">
        <f t="shared" si="569"/>
        <v>0</v>
      </c>
      <c r="BO819" s="8">
        <f t="shared" si="570"/>
        <v>0</v>
      </c>
      <c r="BQ819" s="8">
        <f t="shared" si="571"/>
        <v>0</v>
      </c>
      <c r="BR819" s="63">
        <f t="shared" si="572"/>
        <v>0</v>
      </c>
      <c r="BS819" s="63">
        <f t="shared" si="599"/>
        <v>0</v>
      </c>
      <c r="BT819" s="63">
        <f t="shared" si="573"/>
        <v>0</v>
      </c>
      <c r="BU819" s="63">
        <f t="shared" si="574"/>
        <v>0</v>
      </c>
      <c r="BV819" s="57">
        <f t="shared" si="575"/>
        <v>0</v>
      </c>
      <c r="BW819" s="57">
        <f t="shared" si="576"/>
        <v>0</v>
      </c>
      <c r="BX819" s="57">
        <f t="shared" si="600"/>
        <v>0</v>
      </c>
      <c r="BY819" s="57">
        <f t="shared" si="604"/>
        <v>0</v>
      </c>
      <c r="BZ819" s="8">
        <f t="shared" si="577"/>
        <v>0</v>
      </c>
      <c r="CA819" s="8">
        <f t="shared" si="578"/>
        <v>0</v>
      </c>
      <c r="CB819" s="8">
        <f t="shared" si="579"/>
        <v>0</v>
      </c>
      <c r="CC819" s="8">
        <f t="shared" si="580"/>
        <v>0</v>
      </c>
      <c r="CD819" s="8">
        <f t="shared" si="581"/>
        <v>0</v>
      </c>
      <c r="CE819" s="8">
        <f t="shared" si="582"/>
        <v>0</v>
      </c>
      <c r="CF819" s="8">
        <f t="shared" si="583"/>
        <v>0</v>
      </c>
      <c r="CG819" s="8">
        <f t="shared" si="584"/>
        <v>0</v>
      </c>
      <c r="CH819" s="8">
        <f t="shared" si="585"/>
        <v>0</v>
      </c>
      <c r="CI819" s="8">
        <f t="shared" si="586"/>
        <v>0</v>
      </c>
      <c r="CJ819" s="8">
        <f t="shared" si="587"/>
        <v>0</v>
      </c>
      <c r="CK819" s="8">
        <f t="shared" si="588"/>
        <v>0</v>
      </c>
      <c r="CL819" s="8">
        <f t="shared" si="589"/>
        <v>0</v>
      </c>
      <c r="CM819" s="8">
        <f t="shared" si="590"/>
        <v>0</v>
      </c>
      <c r="CN819" s="8">
        <f t="shared" si="591"/>
        <v>0</v>
      </c>
      <c r="CO819" s="8">
        <f t="shared" si="592"/>
        <v>0</v>
      </c>
      <c r="CP819" s="8">
        <f t="shared" si="593"/>
        <v>0</v>
      </c>
      <c r="CQ819" s="8">
        <f t="shared" si="594"/>
        <v>0</v>
      </c>
      <c r="CR819" s="8">
        <f t="shared" si="595"/>
        <v>0</v>
      </c>
      <c r="CS819" s="8">
        <f t="shared" si="596"/>
        <v>0</v>
      </c>
      <c r="CT819" s="8">
        <f t="shared" si="601"/>
        <v>0</v>
      </c>
      <c r="CU819" s="8">
        <f t="shared" si="602"/>
        <v>0</v>
      </c>
      <c r="CV819" s="8">
        <f t="shared" si="603"/>
        <v>0</v>
      </c>
    </row>
    <row r="820" spans="1:100" ht="20.5" thickTop="1" thickBot="1" x14ac:dyDescent="0.5">
      <c r="A820" s="32"/>
      <c r="B820" s="10"/>
      <c r="C820" s="10"/>
      <c r="D820" s="11"/>
      <c r="E820" s="10"/>
      <c r="F820" s="10"/>
      <c r="G820" s="19"/>
      <c r="H820" s="19"/>
      <c r="I820" s="19"/>
      <c r="J820" s="19"/>
      <c r="K820" s="10"/>
      <c r="L820" s="10"/>
      <c r="M820" s="10"/>
      <c r="N820" s="10"/>
      <c r="O820" s="18"/>
      <c r="P820" s="18"/>
      <c r="Q820" s="21"/>
      <c r="R820" s="20"/>
      <c r="S820" s="16">
        <f t="shared" si="559"/>
        <v>0</v>
      </c>
      <c r="T820" s="11"/>
      <c r="AS820" s="31">
        <f t="shared" si="560"/>
        <v>0</v>
      </c>
      <c r="AT820" s="31">
        <f t="shared" si="561"/>
        <v>0</v>
      </c>
      <c r="AU820" s="31">
        <f t="shared" si="562"/>
        <v>0</v>
      </c>
      <c r="AV820" s="31">
        <f t="shared" si="563"/>
        <v>0</v>
      </c>
      <c r="AW820" s="31">
        <f t="shared" si="564"/>
        <v>0</v>
      </c>
      <c r="AX820" s="31">
        <f t="shared" si="565"/>
        <v>0</v>
      </c>
      <c r="AY820" s="31">
        <f t="shared" si="566"/>
        <v>0</v>
      </c>
      <c r="AZ820" s="31">
        <f t="shared" si="567"/>
        <v>0</v>
      </c>
      <c r="BA820" s="31">
        <f t="shared" si="568"/>
        <v>0</v>
      </c>
      <c r="BB820" s="31">
        <f t="shared" si="597"/>
        <v>0</v>
      </c>
      <c r="BM820" s="8">
        <f t="shared" si="598"/>
        <v>0</v>
      </c>
      <c r="BN820" s="8">
        <f t="shared" si="569"/>
        <v>0</v>
      </c>
      <c r="BO820" s="8">
        <f t="shared" si="570"/>
        <v>0</v>
      </c>
      <c r="BQ820" s="8">
        <f t="shared" si="571"/>
        <v>0</v>
      </c>
      <c r="BR820" s="63">
        <f t="shared" si="572"/>
        <v>0</v>
      </c>
      <c r="BS820" s="63">
        <f t="shared" si="599"/>
        <v>0</v>
      </c>
      <c r="BT820" s="63">
        <f t="shared" si="573"/>
        <v>0</v>
      </c>
      <c r="BU820" s="63">
        <f t="shared" si="574"/>
        <v>0</v>
      </c>
      <c r="BV820" s="57">
        <f t="shared" si="575"/>
        <v>0</v>
      </c>
      <c r="BW820" s="57">
        <f t="shared" si="576"/>
        <v>0</v>
      </c>
      <c r="BX820" s="57">
        <f t="shared" si="600"/>
        <v>0</v>
      </c>
      <c r="BY820" s="57">
        <f t="shared" si="604"/>
        <v>0</v>
      </c>
      <c r="BZ820" s="8">
        <f t="shared" si="577"/>
        <v>0</v>
      </c>
      <c r="CA820" s="8">
        <f t="shared" si="578"/>
        <v>0</v>
      </c>
      <c r="CB820" s="8">
        <f t="shared" si="579"/>
        <v>0</v>
      </c>
      <c r="CC820" s="8">
        <f t="shared" si="580"/>
        <v>0</v>
      </c>
      <c r="CD820" s="8">
        <f t="shared" si="581"/>
        <v>0</v>
      </c>
      <c r="CE820" s="8">
        <f t="shared" si="582"/>
        <v>0</v>
      </c>
      <c r="CF820" s="8">
        <f t="shared" si="583"/>
        <v>0</v>
      </c>
      <c r="CG820" s="8">
        <f t="shared" si="584"/>
        <v>0</v>
      </c>
      <c r="CH820" s="8">
        <f t="shared" si="585"/>
        <v>0</v>
      </c>
      <c r="CI820" s="8">
        <f t="shared" si="586"/>
        <v>0</v>
      </c>
      <c r="CJ820" s="8">
        <f t="shared" si="587"/>
        <v>0</v>
      </c>
      <c r="CK820" s="8">
        <f t="shared" si="588"/>
        <v>0</v>
      </c>
      <c r="CL820" s="8">
        <f t="shared" si="589"/>
        <v>0</v>
      </c>
      <c r="CM820" s="8">
        <f t="shared" si="590"/>
        <v>0</v>
      </c>
      <c r="CN820" s="8">
        <f t="shared" si="591"/>
        <v>0</v>
      </c>
      <c r="CO820" s="8">
        <f t="shared" si="592"/>
        <v>0</v>
      </c>
      <c r="CP820" s="8">
        <f t="shared" si="593"/>
        <v>0</v>
      </c>
      <c r="CQ820" s="8">
        <f t="shared" si="594"/>
        <v>0</v>
      </c>
      <c r="CR820" s="8">
        <f t="shared" si="595"/>
        <v>0</v>
      </c>
      <c r="CS820" s="8">
        <f t="shared" si="596"/>
        <v>0</v>
      </c>
      <c r="CT820" s="8">
        <f t="shared" si="601"/>
        <v>0</v>
      </c>
      <c r="CU820" s="8">
        <f t="shared" si="602"/>
        <v>0</v>
      </c>
      <c r="CV820" s="8">
        <f t="shared" si="603"/>
        <v>0</v>
      </c>
    </row>
    <row r="821" spans="1:100" ht="20.5" thickTop="1" thickBot="1" x14ac:dyDescent="0.5">
      <c r="A821" s="32"/>
      <c r="B821" s="10"/>
      <c r="C821" s="10"/>
      <c r="D821" s="11"/>
      <c r="E821" s="10"/>
      <c r="F821" s="10"/>
      <c r="G821" s="19"/>
      <c r="H821" s="19"/>
      <c r="I821" s="19"/>
      <c r="J821" s="19"/>
      <c r="K821" s="10"/>
      <c r="L821" s="10"/>
      <c r="M821" s="10"/>
      <c r="N821" s="10"/>
      <c r="O821" s="18"/>
      <c r="P821" s="18"/>
      <c r="Q821" s="21"/>
      <c r="R821" s="20"/>
      <c r="S821" s="16">
        <f t="shared" si="559"/>
        <v>0</v>
      </c>
      <c r="T821" s="11"/>
      <c r="AS821" s="31">
        <f t="shared" si="560"/>
        <v>0</v>
      </c>
      <c r="AT821" s="31">
        <f t="shared" si="561"/>
        <v>0</v>
      </c>
      <c r="AU821" s="31">
        <f t="shared" si="562"/>
        <v>0</v>
      </c>
      <c r="AV821" s="31">
        <f t="shared" si="563"/>
        <v>0</v>
      </c>
      <c r="AW821" s="31">
        <f t="shared" si="564"/>
        <v>0</v>
      </c>
      <c r="AX821" s="31">
        <f t="shared" si="565"/>
        <v>0</v>
      </c>
      <c r="AY821" s="31">
        <f t="shared" si="566"/>
        <v>0</v>
      </c>
      <c r="AZ821" s="31">
        <f t="shared" si="567"/>
        <v>0</v>
      </c>
      <c r="BA821" s="31">
        <f t="shared" si="568"/>
        <v>0</v>
      </c>
      <c r="BB821" s="31">
        <f t="shared" si="597"/>
        <v>0</v>
      </c>
      <c r="BM821" s="8">
        <f t="shared" si="598"/>
        <v>0</v>
      </c>
      <c r="BN821" s="8">
        <f t="shared" si="569"/>
        <v>0</v>
      </c>
      <c r="BO821" s="8">
        <f t="shared" si="570"/>
        <v>0</v>
      </c>
      <c r="BQ821" s="8">
        <f t="shared" si="571"/>
        <v>0</v>
      </c>
      <c r="BR821" s="63">
        <f t="shared" si="572"/>
        <v>0</v>
      </c>
      <c r="BS821" s="63">
        <f t="shared" si="599"/>
        <v>0</v>
      </c>
      <c r="BT821" s="63">
        <f t="shared" si="573"/>
        <v>0</v>
      </c>
      <c r="BU821" s="63">
        <f t="shared" si="574"/>
        <v>0</v>
      </c>
      <c r="BV821" s="57">
        <f t="shared" si="575"/>
        <v>0</v>
      </c>
      <c r="BW821" s="57">
        <f t="shared" si="576"/>
        <v>0</v>
      </c>
      <c r="BX821" s="57">
        <f t="shared" si="600"/>
        <v>0</v>
      </c>
      <c r="BY821" s="57">
        <f t="shared" si="604"/>
        <v>0</v>
      </c>
      <c r="BZ821" s="8">
        <f t="shared" si="577"/>
        <v>0</v>
      </c>
      <c r="CA821" s="8">
        <f t="shared" si="578"/>
        <v>0</v>
      </c>
      <c r="CB821" s="8">
        <f t="shared" si="579"/>
        <v>0</v>
      </c>
      <c r="CC821" s="8">
        <f t="shared" si="580"/>
        <v>0</v>
      </c>
      <c r="CD821" s="8">
        <f t="shared" si="581"/>
        <v>0</v>
      </c>
      <c r="CE821" s="8">
        <f t="shared" si="582"/>
        <v>0</v>
      </c>
      <c r="CF821" s="8">
        <f t="shared" si="583"/>
        <v>0</v>
      </c>
      <c r="CG821" s="8">
        <f t="shared" si="584"/>
        <v>0</v>
      </c>
      <c r="CH821" s="8">
        <f t="shared" si="585"/>
        <v>0</v>
      </c>
      <c r="CI821" s="8">
        <f t="shared" si="586"/>
        <v>0</v>
      </c>
      <c r="CJ821" s="8">
        <f t="shared" si="587"/>
        <v>0</v>
      </c>
      <c r="CK821" s="8">
        <f t="shared" si="588"/>
        <v>0</v>
      </c>
      <c r="CL821" s="8">
        <f t="shared" si="589"/>
        <v>0</v>
      </c>
      <c r="CM821" s="8">
        <f t="shared" si="590"/>
        <v>0</v>
      </c>
      <c r="CN821" s="8">
        <f t="shared" si="591"/>
        <v>0</v>
      </c>
      <c r="CO821" s="8">
        <f t="shared" si="592"/>
        <v>0</v>
      </c>
      <c r="CP821" s="8">
        <f t="shared" si="593"/>
        <v>0</v>
      </c>
      <c r="CQ821" s="8">
        <f t="shared" si="594"/>
        <v>0</v>
      </c>
      <c r="CR821" s="8">
        <f t="shared" si="595"/>
        <v>0</v>
      </c>
      <c r="CS821" s="8">
        <f t="shared" si="596"/>
        <v>0</v>
      </c>
      <c r="CT821" s="8">
        <f t="shared" si="601"/>
        <v>0</v>
      </c>
      <c r="CU821" s="8">
        <f t="shared" si="602"/>
        <v>0</v>
      </c>
      <c r="CV821" s="8">
        <f t="shared" si="603"/>
        <v>0</v>
      </c>
    </row>
    <row r="822" spans="1:100" ht="20.5" thickTop="1" thickBot="1" x14ac:dyDescent="0.5">
      <c r="A822" s="32"/>
      <c r="B822" s="10"/>
      <c r="C822" s="10"/>
      <c r="D822" s="11"/>
      <c r="E822" s="10"/>
      <c r="F822" s="10"/>
      <c r="G822" s="19"/>
      <c r="H822" s="19"/>
      <c r="I822" s="19"/>
      <c r="J822" s="19"/>
      <c r="K822" s="10"/>
      <c r="L822" s="10"/>
      <c r="M822" s="10"/>
      <c r="N822" s="10"/>
      <c r="O822" s="18"/>
      <c r="P822" s="18"/>
      <c r="Q822" s="21"/>
      <c r="R822" s="20"/>
      <c r="S822" s="16">
        <f t="shared" si="559"/>
        <v>0</v>
      </c>
      <c r="T822" s="11"/>
      <c r="AS822" s="31">
        <f t="shared" si="560"/>
        <v>0</v>
      </c>
      <c r="AT822" s="31">
        <f t="shared" si="561"/>
        <v>0</v>
      </c>
      <c r="AU822" s="31">
        <f t="shared" si="562"/>
        <v>0</v>
      </c>
      <c r="AV822" s="31">
        <f t="shared" si="563"/>
        <v>0</v>
      </c>
      <c r="AW822" s="31">
        <f t="shared" si="564"/>
        <v>0</v>
      </c>
      <c r="AX822" s="31">
        <f t="shared" si="565"/>
        <v>0</v>
      </c>
      <c r="AY822" s="31">
        <f t="shared" si="566"/>
        <v>0</v>
      </c>
      <c r="AZ822" s="31">
        <f t="shared" si="567"/>
        <v>0</v>
      </c>
      <c r="BA822" s="31">
        <f t="shared" si="568"/>
        <v>0</v>
      </c>
      <c r="BB822" s="31">
        <f t="shared" si="597"/>
        <v>0</v>
      </c>
      <c r="BM822" s="8">
        <f t="shared" si="598"/>
        <v>0</v>
      </c>
      <c r="BN822" s="8">
        <f t="shared" si="569"/>
        <v>0</v>
      </c>
      <c r="BO822" s="8">
        <f t="shared" si="570"/>
        <v>0</v>
      </c>
      <c r="BQ822" s="8">
        <f t="shared" si="571"/>
        <v>0</v>
      </c>
      <c r="BR822" s="63">
        <f t="shared" si="572"/>
        <v>0</v>
      </c>
      <c r="BS822" s="63">
        <f t="shared" si="599"/>
        <v>0</v>
      </c>
      <c r="BT822" s="63">
        <f t="shared" si="573"/>
        <v>0</v>
      </c>
      <c r="BU822" s="63">
        <f t="shared" si="574"/>
        <v>0</v>
      </c>
      <c r="BV822" s="57">
        <f t="shared" si="575"/>
        <v>0</v>
      </c>
      <c r="BW822" s="57">
        <f t="shared" si="576"/>
        <v>0</v>
      </c>
      <c r="BX822" s="57">
        <f t="shared" si="600"/>
        <v>0</v>
      </c>
      <c r="BY822" s="57">
        <f t="shared" si="604"/>
        <v>0</v>
      </c>
      <c r="BZ822" s="8">
        <f t="shared" si="577"/>
        <v>0</v>
      </c>
      <c r="CA822" s="8">
        <f t="shared" si="578"/>
        <v>0</v>
      </c>
      <c r="CB822" s="8">
        <f t="shared" si="579"/>
        <v>0</v>
      </c>
      <c r="CC822" s="8">
        <f t="shared" si="580"/>
        <v>0</v>
      </c>
      <c r="CD822" s="8">
        <f t="shared" si="581"/>
        <v>0</v>
      </c>
      <c r="CE822" s="8">
        <f t="shared" si="582"/>
        <v>0</v>
      </c>
      <c r="CF822" s="8">
        <f t="shared" si="583"/>
        <v>0</v>
      </c>
      <c r="CG822" s="8">
        <f t="shared" si="584"/>
        <v>0</v>
      </c>
      <c r="CH822" s="8">
        <f t="shared" si="585"/>
        <v>0</v>
      </c>
      <c r="CI822" s="8">
        <f t="shared" si="586"/>
        <v>0</v>
      </c>
      <c r="CJ822" s="8">
        <f t="shared" si="587"/>
        <v>0</v>
      </c>
      <c r="CK822" s="8">
        <f t="shared" si="588"/>
        <v>0</v>
      </c>
      <c r="CL822" s="8">
        <f t="shared" si="589"/>
        <v>0</v>
      </c>
      <c r="CM822" s="8">
        <f t="shared" si="590"/>
        <v>0</v>
      </c>
      <c r="CN822" s="8">
        <f t="shared" si="591"/>
        <v>0</v>
      </c>
      <c r="CO822" s="8">
        <f t="shared" si="592"/>
        <v>0</v>
      </c>
      <c r="CP822" s="8">
        <f t="shared" si="593"/>
        <v>0</v>
      </c>
      <c r="CQ822" s="8">
        <f t="shared" si="594"/>
        <v>0</v>
      </c>
      <c r="CR822" s="8">
        <f t="shared" si="595"/>
        <v>0</v>
      </c>
      <c r="CS822" s="8">
        <f t="shared" si="596"/>
        <v>0</v>
      </c>
      <c r="CT822" s="8">
        <f t="shared" si="601"/>
        <v>0</v>
      </c>
      <c r="CU822" s="8">
        <f t="shared" si="602"/>
        <v>0</v>
      </c>
      <c r="CV822" s="8">
        <f t="shared" si="603"/>
        <v>0</v>
      </c>
    </row>
    <row r="823" spans="1:100" ht="20.5" thickTop="1" thickBot="1" x14ac:dyDescent="0.5">
      <c r="A823" s="32"/>
      <c r="B823" s="10"/>
      <c r="C823" s="10"/>
      <c r="D823" s="11"/>
      <c r="E823" s="10"/>
      <c r="F823" s="10"/>
      <c r="G823" s="19"/>
      <c r="H823" s="19"/>
      <c r="I823" s="19"/>
      <c r="J823" s="19"/>
      <c r="K823" s="10"/>
      <c r="L823" s="10"/>
      <c r="M823" s="10"/>
      <c r="N823" s="10"/>
      <c r="O823" s="18"/>
      <c r="P823" s="18"/>
      <c r="Q823" s="21"/>
      <c r="R823" s="20"/>
      <c r="S823" s="16">
        <f t="shared" si="559"/>
        <v>0</v>
      </c>
      <c r="T823" s="11"/>
      <c r="AS823" s="31">
        <f t="shared" si="560"/>
        <v>0</v>
      </c>
      <c r="AT823" s="31">
        <f t="shared" si="561"/>
        <v>0</v>
      </c>
      <c r="AU823" s="31">
        <f t="shared" si="562"/>
        <v>0</v>
      </c>
      <c r="AV823" s="31">
        <f t="shared" si="563"/>
        <v>0</v>
      </c>
      <c r="AW823" s="31">
        <f t="shared" si="564"/>
        <v>0</v>
      </c>
      <c r="AX823" s="31">
        <f t="shared" si="565"/>
        <v>0</v>
      </c>
      <c r="AY823" s="31">
        <f t="shared" si="566"/>
        <v>0</v>
      </c>
      <c r="AZ823" s="31">
        <f t="shared" si="567"/>
        <v>0</v>
      </c>
      <c r="BA823" s="31">
        <f t="shared" si="568"/>
        <v>0</v>
      </c>
      <c r="BB823" s="31">
        <f t="shared" si="597"/>
        <v>0</v>
      </c>
      <c r="BM823" s="8">
        <f t="shared" si="598"/>
        <v>0</v>
      </c>
      <c r="BN823" s="8">
        <f t="shared" si="569"/>
        <v>0</v>
      </c>
      <c r="BO823" s="8">
        <f t="shared" si="570"/>
        <v>0</v>
      </c>
      <c r="BQ823" s="8">
        <f t="shared" si="571"/>
        <v>0</v>
      </c>
      <c r="BR823" s="63">
        <f t="shared" si="572"/>
        <v>0</v>
      </c>
      <c r="BS823" s="63">
        <f t="shared" si="599"/>
        <v>0</v>
      </c>
      <c r="BT823" s="63">
        <f t="shared" si="573"/>
        <v>0</v>
      </c>
      <c r="BU823" s="63">
        <f t="shared" si="574"/>
        <v>0</v>
      </c>
      <c r="BV823" s="57">
        <f t="shared" si="575"/>
        <v>0</v>
      </c>
      <c r="BW823" s="57">
        <f t="shared" si="576"/>
        <v>0</v>
      </c>
      <c r="BX823" s="57">
        <f t="shared" si="600"/>
        <v>0</v>
      </c>
      <c r="BY823" s="57">
        <f t="shared" si="604"/>
        <v>0</v>
      </c>
      <c r="BZ823" s="8">
        <f t="shared" si="577"/>
        <v>0</v>
      </c>
      <c r="CA823" s="8">
        <f t="shared" si="578"/>
        <v>0</v>
      </c>
      <c r="CB823" s="8">
        <f t="shared" si="579"/>
        <v>0</v>
      </c>
      <c r="CC823" s="8">
        <f t="shared" si="580"/>
        <v>0</v>
      </c>
      <c r="CD823" s="8">
        <f t="shared" si="581"/>
        <v>0</v>
      </c>
      <c r="CE823" s="8">
        <f t="shared" si="582"/>
        <v>0</v>
      </c>
      <c r="CF823" s="8">
        <f t="shared" si="583"/>
        <v>0</v>
      </c>
      <c r="CG823" s="8">
        <f t="shared" si="584"/>
        <v>0</v>
      </c>
      <c r="CH823" s="8">
        <f t="shared" si="585"/>
        <v>0</v>
      </c>
      <c r="CI823" s="8">
        <f t="shared" si="586"/>
        <v>0</v>
      </c>
      <c r="CJ823" s="8">
        <f t="shared" si="587"/>
        <v>0</v>
      </c>
      <c r="CK823" s="8">
        <f t="shared" si="588"/>
        <v>0</v>
      </c>
      <c r="CL823" s="8">
        <f t="shared" si="589"/>
        <v>0</v>
      </c>
      <c r="CM823" s="8">
        <f t="shared" si="590"/>
        <v>0</v>
      </c>
      <c r="CN823" s="8">
        <f t="shared" si="591"/>
        <v>0</v>
      </c>
      <c r="CO823" s="8">
        <f t="shared" si="592"/>
        <v>0</v>
      </c>
      <c r="CP823" s="8">
        <f t="shared" si="593"/>
        <v>0</v>
      </c>
      <c r="CQ823" s="8">
        <f t="shared" si="594"/>
        <v>0</v>
      </c>
      <c r="CR823" s="8">
        <f t="shared" si="595"/>
        <v>0</v>
      </c>
      <c r="CS823" s="8">
        <f t="shared" si="596"/>
        <v>0</v>
      </c>
      <c r="CT823" s="8">
        <f t="shared" si="601"/>
        <v>0</v>
      </c>
      <c r="CU823" s="8">
        <f t="shared" si="602"/>
        <v>0</v>
      </c>
      <c r="CV823" s="8">
        <f t="shared" si="603"/>
        <v>0</v>
      </c>
    </row>
    <row r="824" spans="1:100" ht="20.5" thickTop="1" thickBot="1" x14ac:dyDescent="0.5">
      <c r="A824" s="32"/>
      <c r="B824" s="10"/>
      <c r="C824" s="10"/>
      <c r="D824" s="11"/>
      <c r="E824" s="10"/>
      <c r="F824" s="10"/>
      <c r="G824" s="19"/>
      <c r="H824" s="19"/>
      <c r="I824" s="19"/>
      <c r="J824" s="19"/>
      <c r="K824" s="10"/>
      <c r="L824" s="10"/>
      <c r="M824" s="10"/>
      <c r="N824" s="10"/>
      <c r="O824" s="18"/>
      <c r="P824" s="18"/>
      <c r="Q824" s="21"/>
      <c r="R824" s="20"/>
      <c r="S824" s="16">
        <f t="shared" si="559"/>
        <v>0</v>
      </c>
      <c r="T824" s="11"/>
      <c r="AS824" s="31">
        <f t="shared" si="560"/>
        <v>0</v>
      </c>
      <c r="AT824" s="31">
        <f t="shared" si="561"/>
        <v>0</v>
      </c>
      <c r="AU824" s="31">
        <f t="shared" si="562"/>
        <v>0</v>
      </c>
      <c r="AV824" s="31">
        <f t="shared" si="563"/>
        <v>0</v>
      </c>
      <c r="AW824" s="31">
        <f t="shared" si="564"/>
        <v>0</v>
      </c>
      <c r="AX824" s="31">
        <f t="shared" si="565"/>
        <v>0</v>
      </c>
      <c r="AY824" s="31">
        <f t="shared" si="566"/>
        <v>0</v>
      </c>
      <c r="AZ824" s="31">
        <f t="shared" si="567"/>
        <v>0</v>
      </c>
      <c r="BA824" s="31">
        <f t="shared" si="568"/>
        <v>0</v>
      </c>
      <c r="BB824" s="31">
        <f t="shared" si="597"/>
        <v>0</v>
      </c>
      <c r="BM824" s="8">
        <f t="shared" si="598"/>
        <v>0</v>
      </c>
      <c r="BN824" s="8">
        <f t="shared" si="569"/>
        <v>0</v>
      </c>
      <c r="BO824" s="8">
        <f t="shared" si="570"/>
        <v>0</v>
      </c>
      <c r="BQ824" s="8">
        <f t="shared" si="571"/>
        <v>0</v>
      </c>
      <c r="BR824" s="63">
        <f t="shared" si="572"/>
        <v>0</v>
      </c>
      <c r="BS824" s="63">
        <f t="shared" si="599"/>
        <v>0</v>
      </c>
      <c r="BT824" s="63">
        <f t="shared" si="573"/>
        <v>0</v>
      </c>
      <c r="BU824" s="63">
        <f t="shared" si="574"/>
        <v>0</v>
      </c>
      <c r="BV824" s="57">
        <f t="shared" si="575"/>
        <v>0</v>
      </c>
      <c r="BW824" s="57">
        <f t="shared" si="576"/>
        <v>0</v>
      </c>
      <c r="BX824" s="57">
        <f t="shared" si="600"/>
        <v>0</v>
      </c>
      <c r="BY824" s="57">
        <f t="shared" si="604"/>
        <v>0</v>
      </c>
      <c r="BZ824" s="8">
        <f t="shared" si="577"/>
        <v>0</v>
      </c>
      <c r="CA824" s="8">
        <f t="shared" si="578"/>
        <v>0</v>
      </c>
      <c r="CB824" s="8">
        <f t="shared" si="579"/>
        <v>0</v>
      </c>
      <c r="CC824" s="8">
        <f t="shared" si="580"/>
        <v>0</v>
      </c>
      <c r="CD824" s="8">
        <f t="shared" si="581"/>
        <v>0</v>
      </c>
      <c r="CE824" s="8">
        <f t="shared" si="582"/>
        <v>0</v>
      </c>
      <c r="CF824" s="8">
        <f t="shared" si="583"/>
        <v>0</v>
      </c>
      <c r="CG824" s="8">
        <f t="shared" si="584"/>
        <v>0</v>
      </c>
      <c r="CH824" s="8">
        <f t="shared" si="585"/>
        <v>0</v>
      </c>
      <c r="CI824" s="8">
        <f t="shared" si="586"/>
        <v>0</v>
      </c>
      <c r="CJ824" s="8">
        <f t="shared" si="587"/>
        <v>0</v>
      </c>
      <c r="CK824" s="8">
        <f t="shared" si="588"/>
        <v>0</v>
      </c>
      <c r="CL824" s="8">
        <f t="shared" si="589"/>
        <v>0</v>
      </c>
      <c r="CM824" s="8">
        <f t="shared" si="590"/>
        <v>0</v>
      </c>
      <c r="CN824" s="8">
        <f t="shared" si="591"/>
        <v>0</v>
      </c>
      <c r="CO824" s="8">
        <f t="shared" si="592"/>
        <v>0</v>
      </c>
      <c r="CP824" s="8">
        <f t="shared" si="593"/>
        <v>0</v>
      </c>
      <c r="CQ824" s="8">
        <f t="shared" si="594"/>
        <v>0</v>
      </c>
      <c r="CR824" s="8">
        <f t="shared" si="595"/>
        <v>0</v>
      </c>
      <c r="CS824" s="8">
        <f t="shared" si="596"/>
        <v>0</v>
      </c>
      <c r="CT824" s="8">
        <f t="shared" si="601"/>
        <v>0</v>
      </c>
      <c r="CU824" s="8">
        <f t="shared" si="602"/>
        <v>0</v>
      </c>
      <c r="CV824" s="8">
        <f t="shared" si="603"/>
        <v>0</v>
      </c>
    </row>
    <row r="825" spans="1:100" ht="20.5" thickTop="1" thickBot="1" x14ac:dyDescent="0.5">
      <c r="A825" s="32"/>
      <c r="B825" s="10"/>
      <c r="C825" s="10"/>
      <c r="D825" s="11"/>
      <c r="E825" s="10"/>
      <c r="F825" s="10"/>
      <c r="G825" s="19"/>
      <c r="H825" s="19"/>
      <c r="I825" s="19"/>
      <c r="J825" s="19"/>
      <c r="K825" s="10"/>
      <c r="L825" s="10"/>
      <c r="M825" s="10"/>
      <c r="N825" s="10"/>
      <c r="O825" s="18"/>
      <c r="P825" s="18"/>
      <c r="Q825" s="21"/>
      <c r="R825" s="20"/>
      <c r="S825" s="16">
        <f t="shared" si="559"/>
        <v>0</v>
      </c>
      <c r="T825" s="11"/>
      <c r="AS825" s="31">
        <f t="shared" si="560"/>
        <v>0</v>
      </c>
      <c r="AT825" s="31">
        <f t="shared" si="561"/>
        <v>0</v>
      </c>
      <c r="AU825" s="31">
        <f t="shared" si="562"/>
        <v>0</v>
      </c>
      <c r="AV825" s="31">
        <f t="shared" si="563"/>
        <v>0</v>
      </c>
      <c r="AW825" s="31">
        <f t="shared" si="564"/>
        <v>0</v>
      </c>
      <c r="AX825" s="31">
        <f t="shared" si="565"/>
        <v>0</v>
      </c>
      <c r="AY825" s="31">
        <f t="shared" si="566"/>
        <v>0</v>
      </c>
      <c r="AZ825" s="31">
        <f t="shared" si="567"/>
        <v>0</v>
      </c>
      <c r="BA825" s="31">
        <f t="shared" si="568"/>
        <v>0</v>
      </c>
      <c r="BB825" s="31">
        <f t="shared" si="597"/>
        <v>0</v>
      </c>
      <c r="BM825" s="8">
        <f t="shared" si="598"/>
        <v>0</v>
      </c>
      <c r="BN825" s="8">
        <f t="shared" si="569"/>
        <v>0</v>
      </c>
      <c r="BO825" s="8">
        <f t="shared" si="570"/>
        <v>0</v>
      </c>
      <c r="BQ825" s="8">
        <f t="shared" si="571"/>
        <v>0</v>
      </c>
      <c r="BR825" s="63">
        <f t="shared" si="572"/>
        <v>0</v>
      </c>
      <c r="BS825" s="63">
        <f t="shared" si="599"/>
        <v>0</v>
      </c>
      <c r="BT825" s="63">
        <f t="shared" si="573"/>
        <v>0</v>
      </c>
      <c r="BU825" s="63">
        <f t="shared" si="574"/>
        <v>0</v>
      </c>
      <c r="BV825" s="57">
        <f t="shared" si="575"/>
        <v>0</v>
      </c>
      <c r="BW825" s="57">
        <f t="shared" si="576"/>
        <v>0</v>
      </c>
      <c r="BX825" s="57">
        <f t="shared" si="600"/>
        <v>0</v>
      </c>
      <c r="BY825" s="57">
        <f t="shared" si="604"/>
        <v>0</v>
      </c>
      <c r="BZ825" s="8">
        <f t="shared" si="577"/>
        <v>0</v>
      </c>
      <c r="CA825" s="8">
        <f t="shared" si="578"/>
        <v>0</v>
      </c>
      <c r="CB825" s="8">
        <f t="shared" si="579"/>
        <v>0</v>
      </c>
      <c r="CC825" s="8">
        <f t="shared" si="580"/>
        <v>0</v>
      </c>
      <c r="CD825" s="8">
        <f t="shared" si="581"/>
        <v>0</v>
      </c>
      <c r="CE825" s="8">
        <f t="shared" si="582"/>
        <v>0</v>
      </c>
      <c r="CF825" s="8">
        <f t="shared" si="583"/>
        <v>0</v>
      </c>
      <c r="CG825" s="8">
        <f t="shared" si="584"/>
        <v>0</v>
      </c>
      <c r="CH825" s="8">
        <f t="shared" si="585"/>
        <v>0</v>
      </c>
      <c r="CI825" s="8">
        <f t="shared" si="586"/>
        <v>0</v>
      </c>
      <c r="CJ825" s="8">
        <f t="shared" si="587"/>
        <v>0</v>
      </c>
      <c r="CK825" s="8">
        <f t="shared" si="588"/>
        <v>0</v>
      </c>
      <c r="CL825" s="8">
        <f t="shared" si="589"/>
        <v>0</v>
      </c>
      <c r="CM825" s="8">
        <f t="shared" si="590"/>
        <v>0</v>
      </c>
      <c r="CN825" s="8">
        <f t="shared" si="591"/>
        <v>0</v>
      </c>
      <c r="CO825" s="8">
        <f t="shared" si="592"/>
        <v>0</v>
      </c>
      <c r="CP825" s="8">
        <f t="shared" si="593"/>
        <v>0</v>
      </c>
      <c r="CQ825" s="8">
        <f t="shared" si="594"/>
        <v>0</v>
      </c>
      <c r="CR825" s="8">
        <f t="shared" si="595"/>
        <v>0</v>
      </c>
      <c r="CS825" s="8">
        <f t="shared" si="596"/>
        <v>0</v>
      </c>
      <c r="CT825" s="8">
        <f t="shared" si="601"/>
        <v>0</v>
      </c>
      <c r="CU825" s="8">
        <f t="shared" si="602"/>
        <v>0</v>
      </c>
      <c r="CV825" s="8">
        <f t="shared" si="603"/>
        <v>0</v>
      </c>
    </row>
    <row r="826" spans="1:100" ht="20.5" thickTop="1" thickBot="1" x14ac:dyDescent="0.5">
      <c r="A826" s="32"/>
      <c r="B826" s="10"/>
      <c r="C826" s="10"/>
      <c r="D826" s="11"/>
      <c r="E826" s="10"/>
      <c r="F826" s="10"/>
      <c r="G826" s="19"/>
      <c r="H826" s="19"/>
      <c r="I826" s="19"/>
      <c r="J826" s="19"/>
      <c r="K826" s="10"/>
      <c r="L826" s="10"/>
      <c r="M826" s="10"/>
      <c r="N826" s="10"/>
      <c r="O826" s="18"/>
      <c r="P826" s="18"/>
      <c r="Q826" s="21"/>
      <c r="R826" s="20"/>
      <c r="S826" s="16">
        <f t="shared" si="559"/>
        <v>0</v>
      </c>
      <c r="T826" s="11"/>
      <c r="AS826" s="31">
        <f t="shared" si="560"/>
        <v>0</v>
      </c>
      <c r="AT826" s="31">
        <f t="shared" si="561"/>
        <v>0</v>
      </c>
      <c r="AU826" s="31">
        <f t="shared" si="562"/>
        <v>0</v>
      </c>
      <c r="AV826" s="31">
        <f t="shared" si="563"/>
        <v>0</v>
      </c>
      <c r="AW826" s="31">
        <f t="shared" si="564"/>
        <v>0</v>
      </c>
      <c r="AX826" s="31">
        <f t="shared" si="565"/>
        <v>0</v>
      </c>
      <c r="AY826" s="31">
        <f t="shared" si="566"/>
        <v>0</v>
      </c>
      <c r="AZ826" s="31">
        <f t="shared" si="567"/>
        <v>0</v>
      </c>
      <c r="BA826" s="31">
        <f t="shared" si="568"/>
        <v>0</v>
      </c>
      <c r="BB826" s="31">
        <f t="shared" si="597"/>
        <v>0</v>
      </c>
      <c r="BM826" s="8">
        <f t="shared" si="598"/>
        <v>0</v>
      </c>
      <c r="BN826" s="8">
        <f t="shared" si="569"/>
        <v>0</v>
      </c>
      <c r="BO826" s="8">
        <f t="shared" si="570"/>
        <v>0</v>
      </c>
      <c r="BQ826" s="8">
        <f t="shared" si="571"/>
        <v>0</v>
      </c>
      <c r="BR826" s="63">
        <f t="shared" si="572"/>
        <v>0</v>
      </c>
      <c r="BS826" s="63">
        <f t="shared" si="599"/>
        <v>0</v>
      </c>
      <c r="BT826" s="63">
        <f t="shared" si="573"/>
        <v>0</v>
      </c>
      <c r="BU826" s="63">
        <f t="shared" si="574"/>
        <v>0</v>
      </c>
      <c r="BV826" s="57">
        <f t="shared" si="575"/>
        <v>0</v>
      </c>
      <c r="BW826" s="57">
        <f t="shared" si="576"/>
        <v>0</v>
      </c>
      <c r="BX826" s="57">
        <f t="shared" si="600"/>
        <v>0</v>
      </c>
      <c r="BY826" s="57">
        <f t="shared" si="604"/>
        <v>0</v>
      </c>
      <c r="BZ826" s="8">
        <f t="shared" si="577"/>
        <v>0</v>
      </c>
      <c r="CA826" s="8">
        <f t="shared" si="578"/>
        <v>0</v>
      </c>
      <c r="CB826" s="8">
        <f t="shared" si="579"/>
        <v>0</v>
      </c>
      <c r="CC826" s="8">
        <f t="shared" si="580"/>
        <v>0</v>
      </c>
      <c r="CD826" s="8">
        <f t="shared" si="581"/>
        <v>0</v>
      </c>
      <c r="CE826" s="8">
        <f t="shared" si="582"/>
        <v>0</v>
      </c>
      <c r="CF826" s="8">
        <f t="shared" si="583"/>
        <v>0</v>
      </c>
      <c r="CG826" s="8">
        <f t="shared" si="584"/>
        <v>0</v>
      </c>
      <c r="CH826" s="8">
        <f t="shared" si="585"/>
        <v>0</v>
      </c>
      <c r="CI826" s="8">
        <f t="shared" si="586"/>
        <v>0</v>
      </c>
      <c r="CJ826" s="8">
        <f t="shared" si="587"/>
        <v>0</v>
      </c>
      <c r="CK826" s="8">
        <f t="shared" si="588"/>
        <v>0</v>
      </c>
      <c r="CL826" s="8">
        <f t="shared" si="589"/>
        <v>0</v>
      </c>
      <c r="CM826" s="8">
        <f t="shared" si="590"/>
        <v>0</v>
      </c>
      <c r="CN826" s="8">
        <f t="shared" si="591"/>
        <v>0</v>
      </c>
      <c r="CO826" s="8">
        <f t="shared" si="592"/>
        <v>0</v>
      </c>
      <c r="CP826" s="8">
        <f t="shared" si="593"/>
        <v>0</v>
      </c>
      <c r="CQ826" s="8">
        <f t="shared" si="594"/>
        <v>0</v>
      </c>
      <c r="CR826" s="8">
        <f t="shared" si="595"/>
        <v>0</v>
      </c>
      <c r="CS826" s="8">
        <f t="shared" si="596"/>
        <v>0</v>
      </c>
      <c r="CT826" s="8">
        <f t="shared" si="601"/>
        <v>0</v>
      </c>
      <c r="CU826" s="8">
        <f t="shared" si="602"/>
        <v>0</v>
      </c>
      <c r="CV826" s="8">
        <f t="shared" si="603"/>
        <v>0</v>
      </c>
    </row>
    <row r="827" spans="1:100" ht="20.5" thickTop="1" thickBot="1" x14ac:dyDescent="0.5">
      <c r="A827" s="32"/>
      <c r="B827" s="10"/>
      <c r="C827" s="10"/>
      <c r="D827" s="11"/>
      <c r="E827" s="10"/>
      <c r="F827" s="10"/>
      <c r="G827" s="19"/>
      <c r="H827" s="19"/>
      <c r="I827" s="19"/>
      <c r="J827" s="19"/>
      <c r="K827" s="10"/>
      <c r="L827" s="10"/>
      <c r="M827" s="10"/>
      <c r="N827" s="10"/>
      <c r="O827" s="18"/>
      <c r="P827" s="18"/>
      <c r="Q827" s="21"/>
      <c r="R827" s="20"/>
      <c r="S827" s="16">
        <f t="shared" si="559"/>
        <v>0</v>
      </c>
      <c r="T827" s="11"/>
      <c r="AS827" s="31">
        <f t="shared" si="560"/>
        <v>0</v>
      </c>
      <c r="AT827" s="31">
        <f t="shared" si="561"/>
        <v>0</v>
      </c>
      <c r="AU827" s="31">
        <f t="shared" si="562"/>
        <v>0</v>
      </c>
      <c r="AV827" s="31">
        <f t="shared" si="563"/>
        <v>0</v>
      </c>
      <c r="AW827" s="31">
        <f t="shared" si="564"/>
        <v>0</v>
      </c>
      <c r="AX827" s="31">
        <f t="shared" si="565"/>
        <v>0</v>
      </c>
      <c r="AY827" s="31">
        <f t="shared" si="566"/>
        <v>0</v>
      </c>
      <c r="AZ827" s="31">
        <f t="shared" si="567"/>
        <v>0</v>
      </c>
      <c r="BA827" s="31">
        <f t="shared" si="568"/>
        <v>0</v>
      </c>
      <c r="BB827" s="31">
        <f t="shared" si="597"/>
        <v>0</v>
      </c>
      <c r="BM827" s="8">
        <f t="shared" si="598"/>
        <v>0</v>
      </c>
      <c r="BN827" s="8">
        <f t="shared" si="569"/>
        <v>0</v>
      </c>
      <c r="BO827" s="8">
        <f t="shared" si="570"/>
        <v>0</v>
      </c>
      <c r="BQ827" s="8">
        <f t="shared" si="571"/>
        <v>0</v>
      </c>
      <c r="BR827" s="63">
        <f t="shared" si="572"/>
        <v>0</v>
      </c>
      <c r="BS827" s="63">
        <f t="shared" si="599"/>
        <v>0</v>
      </c>
      <c r="BT827" s="63">
        <f t="shared" si="573"/>
        <v>0</v>
      </c>
      <c r="BU827" s="63">
        <f t="shared" si="574"/>
        <v>0</v>
      </c>
      <c r="BV827" s="57">
        <f t="shared" si="575"/>
        <v>0</v>
      </c>
      <c r="BW827" s="57">
        <f t="shared" si="576"/>
        <v>0</v>
      </c>
      <c r="BX827" s="57">
        <f t="shared" si="600"/>
        <v>0</v>
      </c>
      <c r="BY827" s="57">
        <f t="shared" si="604"/>
        <v>0</v>
      </c>
      <c r="BZ827" s="8">
        <f t="shared" si="577"/>
        <v>0</v>
      </c>
      <c r="CA827" s="8">
        <f t="shared" si="578"/>
        <v>0</v>
      </c>
      <c r="CB827" s="8">
        <f t="shared" si="579"/>
        <v>0</v>
      </c>
      <c r="CC827" s="8">
        <f t="shared" si="580"/>
        <v>0</v>
      </c>
      <c r="CD827" s="8">
        <f t="shared" si="581"/>
        <v>0</v>
      </c>
      <c r="CE827" s="8">
        <f t="shared" si="582"/>
        <v>0</v>
      </c>
      <c r="CF827" s="8">
        <f t="shared" si="583"/>
        <v>0</v>
      </c>
      <c r="CG827" s="8">
        <f t="shared" si="584"/>
        <v>0</v>
      </c>
      <c r="CH827" s="8">
        <f t="shared" si="585"/>
        <v>0</v>
      </c>
      <c r="CI827" s="8">
        <f t="shared" si="586"/>
        <v>0</v>
      </c>
      <c r="CJ827" s="8">
        <f t="shared" si="587"/>
        <v>0</v>
      </c>
      <c r="CK827" s="8">
        <f t="shared" si="588"/>
        <v>0</v>
      </c>
      <c r="CL827" s="8">
        <f t="shared" si="589"/>
        <v>0</v>
      </c>
      <c r="CM827" s="8">
        <f t="shared" si="590"/>
        <v>0</v>
      </c>
      <c r="CN827" s="8">
        <f t="shared" si="591"/>
        <v>0</v>
      </c>
      <c r="CO827" s="8">
        <f t="shared" si="592"/>
        <v>0</v>
      </c>
      <c r="CP827" s="8">
        <f t="shared" si="593"/>
        <v>0</v>
      </c>
      <c r="CQ827" s="8">
        <f t="shared" si="594"/>
        <v>0</v>
      </c>
      <c r="CR827" s="8">
        <f t="shared" si="595"/>
        <v>0</v>
      </c>
      <c r="CS827" s="8">
        <f t="shared" si="596"/>
        <v>0</v>
      </c>
      <c r="CT827" s="8">
        <f t="shared" si="601"/>
        <v>0</v>
      </c>
      <c r="CU827" s="8">
        <f t="shared" si="602"/>
        <v>0</v>
      </c>
      <c r="CV827" s="8">
        <f t="shared" si="603"/>
        <v>0</v>
      </c>
    </row>
    <row r="828" spans="1:100" ht="20.5" thickTop="1" thickBot="1" x14ac:dyDescent="0.5">
      <c r="A828" s="32"/>
      <c r="B828" s="10"/>
      <c r="C828" s="10"/>
      <c r="D828" s="11"/>
      <c r="E828" s="10"/>
      <c r="F828" s="10"/>
      <c r="G828" s="19"/>
      <c r="H828" s="19"/>
      <c r="I828" s="19"/>
      <c r="J828" s="19"/>
      <c r="K828" s="10"/>
      <c r="L828" s="10"/>
      <c r="M828" s="10"/>
      <c r="N828" s="10"/>
      <c r="O828" s="18"/>
      <c r="P828" s="18"/>
      <c r="Q828" s="21"/>
      <c r="R828" s="20"/>
      <c r="S828" s="16">
        <f t="shared" si="559"/>
        <v>0</v>
      </c>
      <c r="T828" s="11"/>
      <c r="AS828" s="31">
        <f t="shared" si="560"/>
        <v>0</v>
      </c>
      <c r="AT828" s="31">
        <f t="shared" si="561"/>
        <v>0</v>
      </c>
      <c r="AU828" s="31">
        <f t="shared" si="562"/>
        <v>0</v>
      </c>
      <c r="AV828" s="31">
        <f t="shared" si="563"/>
        <v>0</v>
      </c>
      <c r="AW828" s="31">
        <f t="shared" si="564"/>
        <v>0</v>
      </c>
      <c r="AX828" s="31">
        <f t="shared" si="565"/>
        <v>0</v>
      </c>
      <c r="AY828" s="31">
        <f t="shared" si="566"/>
        <v>0</v>
      </c>
      <c r="AZ828" s="31">
        <f t="shared" si="567"/>
        <v>0</v>
      </c>
      <c r="BA828" s="31">
        <f t="shared" si="568"/>
        <v>0</v>
      </c>
      <c r="BB828" s="31">
        <f t="shared" si="597"/>
        <v>0</v>
      </c>
      <c r="BM828" s="8">
        <f t="shared" si="598"/>
        <v>0</v>
      </c>
      <c r="BN828" s="8">
        <f t="shared" si="569"/>
        <v>0</v>
      </c>
      <c r="BO828" s="8">
        <f t="shared" si="570"/>
        <v>0</v>
      </c>
      <c r="BQ828" s="8">
        <f t="shared" si="571"/>
        <v>0</v>
      </c>
      <c r="BR828" s="63">
        <f t="shared" si="572"/>
        <v>0</v>
      </c>
      <c r="BS828" s="63">
        <f t="shared" si="599"/>
        <v>0</v>
      </c>
      <c r="BT828" s="63">
        <f t="shared" si="573"/>
        <v>0</v>
      </c>
      <c r="BU828" s="63">
        <f t="shared" si="574"/>
        <v>0</v>
      </c>
      <c r="BV828" s="57">
        <f t="shared" si="575"/>
        <v>0</v>
      </c>
      <c r="BW828" s="57">
        <f t="shared" si="576"/>
        <v>0</v>
      </c>
      <c r="BX828" s="57">
        <f t="shared" si="600"/>
        <v>0</v>
      </c>
      <c r="BY828" s="57">
        <f t="shared" si="604"/>
        <v>0</v>
      </c>
      <c r="BZ828" s="8">
        <f t="shared" si="577"/>
        <v>0</v>
      </c>
      <c r="CA828" s="8">
        <f t="shared" si="578"/>
        <v>0</v>
      </c>
      <c r="CB828" s="8">
        <f t="shared" si="579"/>
        <v>0</v>
      </c>
      <c r="CC828" s="8">
        <f t="shared" si="580"/>
        <v>0</v>
      </c>
      <c r="CD828" s="8">
        <f t="shared" si="581"/>
        <v>0</v>
      </c>
      <c r="CE828" s="8">
        <f t="shared" si="582"/>
        <v>0</v>
      </c>
      <c r="CF828" s="8">
        <f t="shared" si="583"/>
        <v>0</v>
      </c>
      <c r="CG828" s="8">
        <f t="shared" si="584"/>
        <v>0</v>
      </c>
      <c r="CH828" s="8">
        <f t="shared" si="585"/>
        <v>0</v>
      </c>
      <c r="CI828" s="8">
        <f t="shared" si="586"/>
        <v>0</v>
      </c>
      <c r="CJ828" s="8">
        <f t="shared" si="587"/>
        <v>0</v>
      </c>
      <c r="CK828" s="8">
        <f t="shared" si="588"/>
        <v>0</v>
      </c>
      <c r="CL828" s="8">
        <f t="shared" si="589"/>
        <v>0</v>
      </c>
      <c r="CM828" s="8">
        <f t="shared" si="590"/>
        <v>0</v>
      </c>
      <c r="CN828" s="8">
        <f t="shared" si="591"/>
        <v>0</v>
      </c>
      <c r="CO828" s="8">
        <f t="shared" si="592"/>
        <v>0</v>
      </c>
      <c r="CP828" s="8">
        <f t="shared" si="593"/>
        <v>0</v>
      </c>
      <c r="CQ828" s="8">
        <f t="shared" si="594"/>
        <v>0</v>
      </c>
      <c r="CR828" s="8">
        <f t="shared" si="595"/>
        <v>0</v>
      </c>
      <c r="CS828" s="8">
        <f t="shared" si="596"/>
        <v>0</v>
      </c>
      <c r="CT828" s="8">
        <f t="shared" si="601"/>
        <v>0</v>
      </c>
      <c r="CU828" s="8">
        <f t="shared" si="602"/>
        <v>0</v>
      </c>
      <c r="CV828" s="8">
        <f t="shared" si="603"/>
        <v>0</v>
      </c>
    </row>
    <row r="829" spans="1:100" ht="20.5" thickTop="1" thickBot="1" x14ac:dyDescent="0.5">
      <c r="A829" s="32"/>
      <c r="B829" s="10"/>
      <c r="C829" s="10"/>
      <c r="D829" s="11"/>
      <c r="E829" s="10"/>
      <c r="F829" s="10"/>
      <c r="G829" s="19"/>
      <c r="H829" s="19"/>
      <c r="I829" s="19"/>
      <c r="J829" s="19"/>
      <c r="K829" s="10"/>
      <c r="L829" s="10"/>
      <c r="M829" s="10"/>
      <c r="N829" s="10"/>
      <c r="O829" s="18"/>
      <c r="P829" s="18"/>
      <c r="Q829" s="21"/>
      <c r="R829" s="20"/>
      <c r="S829" s="16">
        <f t="shared" si="559"/>
        <v>0</v>
      </c>
      <c r="T829" s="11"/>
      <c r="AS829" s="31">
        <f t="shared" si="560"/>
        <v>0</v>
      </c>
      <c r="AT829" s="31">
        <f t="shared" si="561"/>
        <v>0</v>
      </c>
      <c r="AU829" s="31">
        <f t="shared" si="562"/>
        <v>0</v>
      </c>
      <c r="AV829" s="31">
        <f t="shared" si="563"/>
        <v>0</v>
      </c>
      <c r="AW829" s="31">
        <f t="shared" si="564"/>
        <v>0</v>
      </c>
      <c r="AX829" s="31">
        <f t="shared" si="565"/>
        <v>0</v>
      </c>
      <c r="AY829" s="31">
        <f t="shared" si="566"/>
        <v>0</v>
      </c>
      <c r="AZ829" s="31">
        <f t="shared" si="567"/>
        <v>0</v>
      </c>
      <c r="BA829" s="31">
        <f t="shared" si="568"/>
        <v>0</v>
      </c>
      <c r="BB829" s="31">
        <f t="shared" si="597"/>
        <v>0</v>
      </c>
      <c r="BM829" s="8">
        <f t="shared" si="598"/>
        <v>0</v>
      </c>
      <c r="BN829" s="8">
        <f t="shared" si="569"/>
        <v>0</v>
      </c>
      <c r="BO829" s="8">
        <f t="shared" si="570"/>
        <v>0</v>
      </c>
      <c r="BQ829" s="8">
        <f t="shared" si="571"/>
        <v>0</v>
      </c>
      <c r="BR829" s="63">
        <f t="shared" si="572"/>
        <v>0</v>
      </c>
      <c r="BS829" s="63">
        <f t="shared" si="599"/>
        <v>0</v>
      </c>
      <c r="BT829" s="63">
        <f t="shared" si="573"/>
        <v>0</v>
      </c>
      <c r="BU829" s="63">
        <f t="shared" si="574"/>
        <v>0</v>
      </c>
      <c r="BV829" s="57">
        <f t="shared" si="575"/>
        <v>0</v>
      </c>
      <c r="BW829" s="57">
        <f t="shared" si="576"/>
        <v>0</v>
      </c>
      <c r="BX829" s="57">
        <f t="shared" si="600"/>
        <v>0</v>
      </c>
      <c r="BY829" s="57">
        <f t="shared" si="604"/>
        <v>0</v>
      </c>
      <c r="BZ829" s="8">
        <f t="shared" si="577"/>
        <v>0</v>
      </c>
      <c r="CA829" s="8">
        <f t="shared" si="578"/>
        <v>0</v>
      </c>
      <c r="CB829" s="8">
        <f t="shared" si="579"/>
        <v>0</v>
      </c>
      <c r="CC829" s="8">
        <f t="shared" si="580"/>
        <v>0</v>
      </c>
      <c r="CD829" s="8">
        <f t="shared" si="581"/>
        <v>0</v>
      </c>
      <c r="CE829" s="8">
        <f t="shared" si="582"/>
        <v>0</v>
      </c>
      <c r="CF829" s="8">
        <f t="shared" si="583"/>
        <v>0</v>
      </c>
      <c r="CG829" s="8">
        <f t="shared" si="584"/>
        <v>0</v>
      </c>
      <c r="CH829" s="8">
        <f t="shared" si="585"/>
        <v>0</v>
      </c>
      <c r="CI829" s="8">
        <f t="shared" si="586"/>
        <v>0</v>
      </c>
      <c r="CJ829" s="8">
        <f t="shared" si="587"/>
        <v>0</v>
      </c>
      <c r="CK829" s="8">
        <f t="shared" si="588"/>
        <v>0</v>
      </c>
      <c r="CL829" s="8">
        <f t="shared" si="589"/>
        <v>0</v>
      </c>
      <c r="CM829" s="8">
        <f t="shared" si="590"/>
        <v>0</v>
      </c>
      <c r="CN829" s="8">
        <f t="shared" si="591"/>
        <v>0</v>
      </c>
      <c r="CO829" s="8">
        <f t="shared" si="592"/>
        <v>0</v>
      </c>
      <c r="CP829" s="8">
        <f t="shared" si="593"/>
        <v>0</v>
      </c>
      <c r="CQ829" s="8">
        <f t="shared" si="594"/>
        <v>0</v>
      </c>
      <c r="CR829" s="8">
        <f t="shared" si="595"/>
        <v>0</v>
      </c>
      <c r="CS829" s="8">
        <f t="shared" si="596"/>
        <v>0</v>
      </c>
      <c r="CT829" s="8">
        <f t="shared" si="601"/>
        <v>0</v>
      </c>
      <c r="CU829" s="8">
        <f t="shared" si="602"/>
        <v>0</v>
      </c>
      <c r="CV829" s="8">
        <f t="shared" si="603"/>
        <v>0</v>
      </c>
    </row>
    <row r="830" spans="1:100" ht="20.5" thickTop="1" thickBot="1" x14ac:dyDescent="0.5">
      <c r="A830" s="32"/>
      <c r="B830" s="10"/>
      <c r="C830" s="10"/>
      <c r="D830" s="11"/>
      <c r="E830" s="10"/>
      <c r="F830" s="10"/>
      <c r="G830" s="19"/>
      <c r="H830" s="19"/>
      <c r="I830" s="19"/>
      <c r="J830" s="19"/>
      <c r="K830" s="10"/>
      <c r="L830" s="10"/>
      <c r="M830" s="10"/>
      <c r="N830" s="10"/>
      <c r="O830" s="18"/>
      <c r="P830" s="18"/>
      <c r="Q830" s="21"/>
      <c r="R830" s="20"/>
      <c r="S830" s="16">
        <f t="shared" si="559"/>
        <v>0</v>
      </c>
      <c r="T830" s="11"/>
      <c r="AS830" s="31">
        <f t="shared" si="560"/>
        <v>0</v>
      </c>
      <c r="AT830" s="31">
        <f t="shared" si="561"/>
        <v>0</v>
      </c>
      <c r="AU830" s="31">
        <f t="shared" si="562"/>
        <v>0</v>
      </c>
      <c r="AV830" s="31">
        <f t="shared" si="563"/>
        <v>0</v>
      </c>
      <c r="AW830" s="31">
        <f t="shared" si="564"/>
        <v>0</v>
      </c>
      <c r="AX830" s="31">
        <f t="shared" si="565"/>
        <v>0</v>
      </c>
      <c r="AY830" s="31">
        <f t="shared" si="566"/>
        <v>0</v>
      </c>
      <c r="AZ830" s="31">
        <f t="shared" si="567"/>
        <v>0</v>
      </c>
      <c r="BA830" s="31">
        <f t="shared" si="568"/>
        <v>0</v>
      </c>
      <c r="BB830" s="31">
        <f t="shared" si="597"/>
        <v>0</v>
      </c>
      <c r="BM830" s="8">
        <f t="shared" si="598"/>
        <v>0</v>
      </c>
      <c r="BN830" s="8">
        <f t="shared" si="569"/>
        <v>0</v>
      </c>
      <c r="BO830" s="8">
        <f t="shared" si="570"/>
        <v>0</v>
      </c>
      <c r="BQ830" s="8">
        <f t="shared" si="571"/>
        <v>0</v>
      </c>
      <c r="BR830" s="63">
        <f t="shared" si="572"/>
        <v>0</v>
      </c>
      <c r="BS830" s="63">
        <f t="shared" si="599"/>
        <v>0</v>
      </c>
      <c r="BT830" s="63">
        <f t="shared" si="573"/>
        <v>0</v>
      </c>
      <c r="BU830" s="63">
        <f t="shared" si="574"/>
        <v>0</v>
      </c>
      <c r="BV830" s="57">
        <f t="shared" si="575"/>
        <v>0</v>
      </c>
      <c r="BW830" s="57">
        <f t="shared" si="576"/>
        <v>0</v>
      </c>
      <c r="BX830" s="57">
        <f t="shared" si="600"/>
        <v>0</v>
      </c>
      <c r="BY830" s="57">
        <f t="shared" si="604"/>
        <v>0</v>
      </c>
      <c r="BZ830" s="8">
        <f t="shared" si="577"/>
        <v>0</v>
      </c>
      <c r="CA830" s="8">
        <f t="shared" si="578"/>
        <v>0</v>
      </c>
      <c r="CB830" s="8">
        <f t="shared" si="579"/>
        <v>0</v>
      </c>
      <c r="CC830" s="8">
        <f t="shared" si="580"/>
        <v>0</v>
      </c>
      <c r="CD830" s="8">
        <f t="shared" si="581"/>
        <v>0</v>
      </c>
      <c r="CE830" s="8">
        <f t="shared" si="582"/>
        <v>0</v>
      </c>
      <c r="CF830" s="8">
        <f t="shared" si="583"/>
        <v>0</v>
      </c>
      <c r="CG830" s="8">
        <f t="shared" si="584"/>
        <v>0</v>
      </c>
      <c r="CH830" s="8">
        <f t="shared" si="585"/>
        <v>0</v>
      </c>
      <c r="CI830" s="8">
        <f t="shared" si="586"/>
        <v>0</v>
      </c>
      <c r="CJ830" s="8">
        <f t="shared" si="587"/>
        <v>0</v>
      </c>
      <c r="CK830" s="8">
        <f t="shared" si="588"/>
        <v>0</v>
      </c>
      <c r="CL830" s="8">
        <f t="shared" si="589"/>
        <v>0</v>
      </c>
      <c r="CM830" s="8">
        <f t="shared" si="590"/>
        <v>0</v>
      </c>
      <c r="CN830" s="8">
        <f t="shared" si="591"/>
        <v>0</v>
      </c>
      <c r="CO830" s="8">
        <f t="shared" si="592"/>
        <v>0</v>
      </c>
      <c r="CP830" s="8">
        <f t="shared" si="593"/>
        <v>0</v>
      </c>
      <c r="CQ830" s="8">
        <f t="shared" si="594"/>
        <v>0</v>
      </c>
      <c r="CR830" s="8">
        <f t="shared" si="595"/>
        <v>0</v>
      </c>
      <c r="CS830" s="8">
        <f t="shared" si="596"/>
        <v>0</v>
      </c>
      <c r="CT830" s="8">
        <f t="shared" si="601"/>
        <v>0</v>
      </c>
      <c r="CU830" s="8">
        <f t="shared" si="602"/>
        <v>0</v>
      </c>
      <c r="CV830" s="8">
        <f t="shared" si="603"/>
        <v>0</v>
      </c>
    </row>
    <row r="831" spans="1:100" ht="20.5" thickTop="1" thickBot="1" x14ac:dyDescent="0.5">
      <c r="A831" s="32"/>
      <c r="B831" s="10"/>
      <c r="C831" s="10"/>
      <c r="D831" s="11"/>
      <c r="E831" s="10"/>
      <c r="F831" s="10"/>
      <c r="G831" s="19"/>
      <c r="H831" s="19"/>
      <c r="I831" s="19"/>
      <c r="J831" s="19"/>
      <c r="K831" s="10"/>
      <c r="L831" s="10"/>
      <c r="M831" s="10"/>
      <c r="N831" s="10"/>
      <c r="O831" s="18"/>
      <c r="P831" s="18"/>
      <c r="Q831" s="21"/>
      <c r="R831" s="20"/>
      <c r="S831" s="16">
        <f t="shared" si="559"/>
        <v>0</v>
      </c>
      <c r="T831" s="11"/>
      <c r="AS831" s="31">
        <f t="shared" si="560"/>
        <v>0</v>
      </c>
      <c r="AT831" s="31">
        <f t="shared" si="561"/>
        <v>0</v>
      </c>
      <c r="AU831" s="31">
        <f t="shared" si="562"/>
        <v>0</v>
      </c>
      <c r="AV831" s="31">
        <f t="shared" si="563"/>
        <v>0</v>
      </c>
      <c r="AW831" s="31">
        <f t="shared" si="564"/>
        <v>0</v>
      </c>
      <c r="AX831" s="31">
        <f t="shared" si="565"/>
        <v>0</v>
      </c>
      <c r="AY831" s="31">
        <f t="shared" si="566"/>
        <v>0</v>
      </c>
      <c r="AZ831" s="31">
        <f t="shared" si="567"/>
        <v>0</v>
      </c>
      <c r="BA831" s="31">
        <f t="shared" si="568"/>
        <v>0</v>
      </c>
      <c r="BB831" s="31">
        <f t="shared" si="597"/>
        <v>0</v>
      </c>
      <c r="BM831" s="8">
        <f t="shared" si="598"/>
        <v>0</v>
      </c>
      <c r="BN831" s="8">
        <f t="shared" si="569"/>
        <v>0</v>
      </c>
      <c r="BO831" s="8">
        <f t="shared" si="570"/>
        <v>0</v>
      </c>
      <c r="BQ831" s="8">
        <f t="shared" si="571"/>
        <v>0</v>
      </c>
      <c r="BR831" s="63">
        <f t="shared" si="572"/>
        <v>0</v>
      </c>
      <c r="BS831" s="63">
        <f t="shared" si="599"/>
        <v>0</v>
      </c>
      <c r="BT831" s="63">
        <f t="shared" si="573"/>
        <v>0</v>
      </c>
      <c r="BU831" s="63">
        <f t="shared" si="574"/>
        <v>0</v>
      </c>
      <c r="BV831" s="57">
        <f t="shared" si="575"/>
        <v>0</v>
      </c>
      <c r="BW831" s="57">
        <f t="shared" si="576"/>
        <v>0</v>
      </c>
      <c r="BX831" s="57">
        <f t="shared" si="600"/>
        <v>0</v>
      </c>
      <c r="BY831" s="57">
        <f t="shared" si="604"/>
        <v>0</v>
      </c>
      <c r="BZ831" s="8">
        <f t="shared" si="577"/>
        <v>0</v>
      </c>
      <c r="CA831" s="8">
        <f t="shared" si="578"/>
        <v>0</v>
      </c>
      <c r="CB831" s="8">
        <f t="shared" si="579"/>
        <v>0</v>
      </c>
      <c r="CC831" s="8">
        <f t="shared" si="580"/>
        <v>0</v>
      </c>
      <c r="CD831" s="8">
        <f t="shared" si="581"/>
        <v>0</v>
      </c>
      <c r="CE831" s="8">
        <f t="shared" si="582"/>
        <v>0</v>
      </c>
      <c r="CF831" s="8">
        <f t="shared" si="583"/>
        <v>0</v>
      </c>
      <c r="CG831" s="8">
        <f t="shared" si="584"/>
        <v>0</v>
      </c>
      <c r="CH831" s="8">
        <f t="shared" si="585"/>
        <v>0</v>
      </c>
      <c r="CI831" s="8">
        <f t="shared" si="586"/>
        <v>0</v>
      </c>
      <c r="CJ831" s="8">
        <f t="shared" si="587"/>
        <v>0</v>
      </c>
      <c r="CK831" s="8">
        <f t="shared" si="588"/>
        <v>0</v>
      </c>
      <c r="CL831" s="8">
        <f t="shared" si="589"/>
        <v>0</v>
      </c>
      <c r="CM831" s="8">
        <f t="shared" si="590"/>
        <v>0</v>
      </c>
      <c r="CN831" s="8">
        <f t="shared" si="591"/>
        <v>0</v>
      </c>
      <c r="CO831" s="8">
        <f t="shared" si="592"/>
        <v>0</v>
      </c>
      <c r="CP831" s="8">
        <f t="shared" si="593"/>
        <v>0</v>
      </c>
      <c r="CQ831" s="8">
        <f t="shared" si="594"/>
        <v>0</v>
      </c>
      <c r="CR831" s="8">
        <f t="shared" si="595"/>
        <v>0</v>
      </c>
      <c r="CS831" s="8">
        <f t="shared" si="596"/>
        <v>0</v>
      </c>
      <c r="CT831" s="8">
        <f t="shared" si="601"/>
        <v>0</v>
      </c>
      <c r="CU831" s="8">
        <f t="shared" si="602"/>
        <v>0</v>
      </c>
      <c r="CV831" s="8">
        <f t="shared" si="603"/>
        <v>0</v>
      </c>
    </row>
    <row r="832" spans="1:100" ht="20.5" thickTop="1" thickBot="1" x14ac:dyDescent="0.5">
      <c r="A832" s="32"/>
      <c r="B832" s="10"/>
      <c r="C832" s="10"/>
      <c r="D832" s="11"/>
      <c r="E832" s="10"/>
      <c r="F832" s="10"/>
      <c r="G832" s="19"/>
      <c r="H832" s="19"/>
      <c r="I832" s="19"/>
      <c r="J832" s="19"/>
      <c r="K832" s="10"/>
      <c r="L832" s="10"/>
      <c r="M832" s="10"/>
      <c r="N832" s="10"/>
      <c r="O832" s="18"/>
      <c r="P832" s="18"/>
      <c r="Q832" s="21"/>
      <c r="R832" s="20"/>
      <c r="S832" s="16">
        <f t="shared" si="559"/>
        <v>0</v>
      </c>
      <c r="T832" s="11"/>
      <c r="AS832" s="31">
        <f t="shared" si="560"/>
        <v>0</v>
      </c>
      <c r="AT832" s="31">
        <f t="shared" si="561"/>
        <v>0</v>
      </c>
      <c r="AU832" s="31">
        <f t="shared" si="562"/>
        <v>0</v>
      </c>
      <c r="AV832" s="31">
        <f t="shared" si="563"/>
        <v>0</v>
      </c>
      <c r="AW832" s="31">
        <f t="shared" si="564"/>
        <v>0</v>
      </c>
      <c r="AX832" s="31">
        <f t="shared" si="565"/>
        <v>0</v>
      </c>
      <c r="AY832" s="31">
        <f t="shared" si="566"/>
        <v>0</v>
      </c>
      <c r="AZ832" s="31">
        <f t="shared" si="567"/>
        <v>0</v>
      </c>
      <c r="BA832" s="31">
        <f t="shared" si="568"/>
        <v>0</v>
      </c>
      <c r="BB832" s="31">
        <f t="shared" si="597"/>
        <v>0</v>
      </c>
      <c r="BM832" s="8">
        <f t="shared" si="598"/>
        <v>0</v>
      </c>
      <c r="BN832" s="8">
        <f t="shared" si="569"/>
        <v>0</v>
      </c>
      <c r="BO832" s="8">
        <f t="shared" si="570"/>
        <v>0</v>
      </c>
      <c r="BQ832" s="8">
        <f t="shared" si="571"/>
        <v>0</v>
      </c>
      <c r="BR832" s="63">
        <f t="shared" si="572"/>
        <v>0</v>
      </c>
      <c r="BS832" s="63">
        <f t="shared" si="599"/>
        <v>0</v>
      </c>
      <c r="BT832" s="63">
        <f t="shared" si="573"/>
        <v>0</v>
      </c>
      <c r="BU832" s="63">
        <f t="shared" si="574"/>
        <v>0</v>
      </c>
      <c r="BV832" s="57">
        <f t="shared" si="575"/>
        <v>0</v>
      </c>
      <c r="BW832" s="57">
        <f t="shared" si="576"/>
        <v>0</v>
      </c>
      <c r="BX832" s="57">
        <f t="shared" si="600"/>
        <v>0</v>
      </c>
      <c r="BY832" s="57">
        <f t="shared" si="604"/>
        <v>0</v>
      </c>
      <c r="BZ832" s="8">
        <f t="shared" si="577"/>
        <v>0</v>
      </c>
      <c r="CA832" s="8">
        <f t="shared" si="578"/>
        <v>0</v>
      </c>
      <c r="CB832" s="8">
        <f t="shared" si="579"/>
        <v>0</v>
      </c>
      <c r="CC832" s="8">
        <f t="shared" si="580"/>
        <v>0</v>
      </c>
      <c r="CD832" s="8">
        <f t="shared" si="581"/>
        <v>0</v>
      </c>
      <c r="CE832" s="8">
        <f t="shared" si="582"/>
        <v>0</v>
      </c>
      <c r="CF832" s="8">
        <f t="shared" si="583"/>
        <v>0</v>
      </c>
      <c r="CG832" s="8">
        <f t="shared" si="584"/>
        <v>0</v>
      </c>
      <c r="CH832" s="8">
        <f t="shared" si="585"/>
        <v>0</v>
      </c>
      <c r="CI832" s="8">
        <f t="shared" si="586"/>
        <v>0</v>
      </c>
      <c r="CJ832" s="8">
        <f t="shared" si="587"/>
        <v>0</v>
      </c>
      <c r="CK832" s="8">
        <f t="shared" si="588"/>
        <v>0</v>
      </c>
      <c r="CL832" s="8">
        <f t="shared" si="589"/>
        <v>0</v>
      </c>
      <c r="CM832" s="8">
        <f t="shared" si="590"/>
        <v>0</v>
      </c>
      <c r="CN832" s="8">
        <f t="shared" si="591"/>
        <v>0</v>
      </c>
      <c r="CO832" s="8">
        <f t="shared" si="592"/>
        <v>0</v>
      </c>
      <c r="CP832" s="8">
        <f t="shared" si="593"/>
        <v>0</v>
      </c>
      <c r="CQ832" s="8">
        <f t="shared" si="594"/>
        <v>0</v>
      </c>
      <c r="CR832" s="8">
        <f t="shared" si="595"/>
        <v>0</v>
      </c>
      <c r="CS832" s="8">
        <f t="shared" si="596"/>
        <v>0</v>
      </c>
      <c r="CT832" s="8">
        <f t="shared" si="601"/>
        <v>0</v>
      </c>
      <c r="CU832" s="8">
        <f t="shared" si="602"/>
        <v>0</v>
      </c>
      <c r="CV832" s="8">
        <f t="shared" si="603"/>
        <v>0</v>
      </c>
    </row>
    <row r="833" spans="1:100" ht="20.5" thickTop="1" thickBot="1" x14ac:dyDescent="0.5">
      <c r="A833" s="32"/>
      <c r="B833" s="10"/>
      <c r="C833" s="10"/>
      <c r="D833" s="11"/>
      <c r="E833" s="10"/>
      <c r="F833" s="10"/>
      <c r="G833" s="19"/>
      <c r="H833" s="19"/>
      <c r="I833" s="19"/>
      <c r="J833" s="19"/>
      <c r="K833" s="10"/>
      <c r="L833" s="10"/>
      <c r="M833" s="10"/>
      <c r="N833" s="10"/>
      <c r="O833" s="18"/>
      <c r="P833" s="18"/>
      <c r="Q833" s="21"/>
      <c r="R833" s="20"/>
      <c r="S833" s="16">
        <f t="shared" si="559"/>
        <v>0</v>
      </c>
      <c r="T833" s="11"/>
      <c r="AS833" s="31">
        <f t="shared" si="560"/>
        <v>0</v>
      </c>
      <c r="AT833" s="31">
        <f t="shared" si="561"/>
        <v>0</v>
      </c>
      <c r="AU833" s="31">
        <f t="shared" si="562"/>
        <v>0</v>
      </c>
      <c r="AV833" s="31">
        <f t="shared" si="563"/>
        <v>0</v>
      </c>
      <c r="AW833" s="31">
        <f t="shared" si="564"/>
        <v>0</v>
      </c>
      <c r="AX833" s="31">
        <f t="shared" si="565"/>
        <v>0</v>
      </c>
      <c r="AY833" s="31">
        <f t="shared" si="566"/>
        <v>0</v>
      </c>
      <c r="AZ833" s="31">
        <f t="shared" si="567"/>
        <v>0</v>
      </c>
      <c r="BA833" s="31">
        <f t="shared" si="568"/>
        <v>0</v>
      </c>
      <c r="BB833" s="31">
        <f t="shared" si="597"/>
        <v>0</v>
      </c>
      <c r="BM833" s="8">
        <f t="shared" si="598"/>
        <v>0</v>
      </c>
      <c r="BN833" s="8">
        <f t="shared" si="569"/>
        <v>0</v>
      </c>
      <c r="BO833" s="8">
        <f t="shared" si="570"/>
        <v>0</v>
      </c>
      <c r="BQ833" s="8">
        <f t="shared" si="571"/>
        <v>0</v>
      </c>
      <c r="BR833" s="63">
        <f t="shared" si="572"/>
        <v>0</v>
      </c>
      <c r="BS833" s="63">
        <f t="shared" si="599"/>
        <v>0</v>
      </c>
      <c r="BT833" s="63">
        <f t="shared" si="573"/>
        <v>0</v>
      </c>
      <c r="BU833" s="63">
        <f t="shared" si="574"/>
        <v>0</v>
      </c>
      <c r="BV833" s="57">
        <f t="shared" si="575"/>
        <v>0</v>
      </c>
      <c r="BW833" s="57">
        <f t="shared" si="576"/>
        <v>0</v>
      </c>
      <c r="BX833" s="57">
        <f t="shared" si="600"/>
        <v>0</v>
      </c>
      <c r="BY833" s="57">
        <f t="shared" si="604"/>
        <v>0</v>
      </c>
      <c r="BZ833" s="8">
        <f t="shared" si="577"/>
        <v>0</v>
      </c>
      <c r="CA833" s="8">
        <f t="shared" si="578"/>
        <v>0</v>
      </c>
      <c r="CB833" s="8">
        <f t="shared" si="579"/>
        <v>0</v>
      </c>
      <c r="CC833" s="8">
        <f t="shared" si="580"/>
        <v>0</v>
      </c>
      <c r="CD833" s="8">
        <f t="shared" si="581"/>
        <v>0</v>
      </c>
      <c r="CE833" s="8">
        <f t="shared" si="582"/>
        <v>0</v>
      </c>
      <c r="CF833" s="8">
        <f t="shared" si="583"/>
        <v>0</v>
      </c>
      <c r="CG833" s="8">
        <f t="shared" si="584"/>
        <v>0</v>
      </c>
      <c r="CH833" s="8">
        <f t="shared" si="585"/>
        <v>0</v>
      </c>
      <c r="CI833" s="8">
        <f t="shared" si="586"/>
        <v>0</v>
      </c>
      <c r="CJ833" s="8">
        <f t="shared" si="587"/>
        <v>0</v>
      </c>
      <c r="CK833" s="8">
        <f t="shared" si="588"/>
        <v>0</v>
      </c>
      <c r="CL833" s="8">
        <f t="shared" si="589"/>
        <v>0</v>
      </c>
      <c r="CM833" s="8">
        <f t="shared" si="590"/>
        <v>0</v>
      </c>
      <c r="CN833" s="8">
        <f t="shared" si="591"/>
        <v>0</v>
      </c>
      <c r="CO833" s="8">
        <f t="shared" si="592"/>
        <v>0</v>
      </c>
      <c r="CP833" s="8">
        <f t="shared" si="593"/>
        <v>0</v>
      </c>
      <c r="CQ833" s="8">
        <f t="shared" si="594"/>
        <v>0</v>
      </c>
      <c r="CR833" s="8">
        <f t="shared" si="595"/>
        <v>0</v>
      </c>
      <c r="CS833" s="8">
        <f t="shared" si="596"/>
        <v>0</v>
      </c>
      <c r="CT833" s="8">
        <f t="shared" si="601"/>
        <v>0</v>
      </c>
      <c r="CU833" s="8">
        <f t="shared" si="602"/>
        <v>0</v>
      </c>
      <c r="CV833" s="8">
        <f t="shared" si="603"/>
        <v>0</v>
      </c>
    </row>
    <row r="834" spans="1:100" ht="20.5" thickTop="1" thickBot="1" x14ac:dyDescent="0.5">
      <c r="A834" s="32"/>
      <c r="B834" s="10"/>
      <c r="C834" s="10"/>
      <c r="D834" s="11"/>
      <c r="E834" s="10"/>
      <c r="F834" s="10"/>
      <c r="G834" s="19"/>
      <c r="H834" s="19"/>
      <c r="I834" s="19"/>
      <c r="J834" s="19"/>
      <c r="K834" s="10"/>
      <c r="L834" s="10"/>
      <c r="M834" s="10"/>
      <c r="N834" s="10"/>
      <c r="O834" s="18"/>
      <c r="P834" s="18"/>
      <c r="Q834" s="21"/>
      <c r="R834" s="20"/>
      <c r="S834" s="16">
        <f t="shared" si="559"/>
        <v>0</v>
      </c>
      <c r="T834" s="11"/>
      <c r="AS834" s="31">
        <f t="shared" si="560"/>
        <v>0</v>
      </c>
      <c r="AT834" s="31">
        <f t="shared" si="561"/>
        <v>0</v>
      </c>
      <c r="AU834" s="31">
        <f t="shared" si="562"/>
        <v>0</v>
      </c>
      <c r="AV834" s="31">
        <f t="shared" si="563"/>
        <v>0</v>
      </c>
      <c r="AW834" s="31">
        <f t="shared" si="564"/>
        <v>0</v>
      </c>
      <c r="AX834" s="31">
        <f t="shared" si="565"/>
        <v>0</v>
      </c>
      <c r="AY834" s="31">
        <f t="shared" si="566"/>
        <v>0</v>
      </c>
      <c r="AZ834" s="31">
        <f t="shared" si="567"/>
        <v>0</v>
      </c>
      <c r="BA834" s="31">
        <f t="shared" si="568"/>
        <v>0</v>
      </c>
      <c r="BB834" s="31">
        <f t="shared" si="597"/>
        <v>0</v>
      </c>
      <c r="BM834" s="8">
        <f t="shared" si="598"/>
        <v>0</v>
      </c>
      <c r="BN834" s="8">
        <f t="shared" si="569"/>
        <v>0</v>
      </c>
      <c r="BO834" s="8">
        <f t="shared" si="570"/>
        <v>0</v>
      </c>
      <c r="BQ834" s="8">
        <f t="shared" si="571"/>
        <v>0</v>
      </c>
      <c r="BR834" s="63">
        <f t="shared" si="572"/>
        <v>0</v>
      </c>
      <c r="BS834" s="63">
        <f t="shared" si="599"/>
        <v>0</v>
      </c>
      <c r="BT834" s="63">
        <f t="shared" si="573"/>
        <v>0</v>
      </c>
      <c r="BU834" s="63">
        <f t="shared" si="574"/>
        <v>0</v>
      </c>
      <c r="BV834" s="57">
        <f t="shared" si="575"/>
        <v>0</v>
      </c>
      <c r="BW834" s="57">
        <f t="shared" si="576"/>
        <v>0</v>
      </c>
      <c r="BX834" s="57">
        <f t="shared" si="600"/>
        <v>0</v>
      </c>
      <c r="BY834" s="57">
        <f t="shared" si="604"/>
        <v>0</v>
      </c>
      <c r="BZ834" s="8">
        <f t="shared" si="577"/>
        <v>0</v>
      </c>
      <c r="CA834" s="8">
        <f t="shared" si="578"/>
        <v>0</v>
      </c>
      <c r="CB834" s="8">
        <f t="shared" si="579"/>
        <v>0</v>
      </c>
      <c r="CC834" s="8">
        <f t="shared" si="580"/>
        <v>0</v>
      </c>
      <c r="CD834" s="8">
        <f t="shared" si="581"/>
        <v>0</v>
      </c>
      <c r="CE834" s="8">
        <f t="shared" si="582"/>
        <v>0</v>
      </c>
      <c r="CF834" s="8">
        <f t="shared" si="583"/>
        <v>0</v>
      </c>
      <c r="CG834" s="8">
        <f t="shared" si="584"/>
        <v>0</v>
      </c>
      <c r="CH834" s="8">
        <f t="shared" si="585"/>
        <v>0</v>
      </c>
      <c r="CI834" s="8">
        <f t="shared" si="586"/>
        <v>0</v>
      </c>
      <c r="CJ834" s="8">
        <f t="shared" si="587"/>
        <v>0</v>
      </c>
      <c r="CK834" s="8">
        <f t="shared" si="588"/>
        <v>0</v>
      </c>
      <c r="CL834" s="8">
        <f t="shared" si="589"/>
        <v>0</v>
      </c>
      <c r="CM834" s="8">
        <f t="shared" si="590"/>
        <v>0</v>
      </c>
      <c r="CN834" s="8">
        <f t="shared" si="591"/>
        <v>0</v>
      </c>
      <c r="CO834" s="8">
        <f t="shared" si="592"/>
        <v>0</v>
      </c>
      <c r="CP834" s="8">
        <f t="shared" si="593"/>
        <v>0</v>
      </c>
      <c r="CQ834" s="8">
        <f t="shared" si="594"/>
        <v>0</v>
      </c>
      <c r="CR834" s="8">
        <f t="shared" si="595"/>
        <v>0</v>
      </c>
      <c r="CS834" s="8">
        <f t="shared" si="596"/>
        <v>0</v>
      </c>
      <c r="CT834" s="8">
        <f t="shared" si="601"/>
        <v>0</v>
      </c>
      <c r="CU834" s="8">
        <f t="shared" si="602"/>
        <v>0</v>
      </c>
      <c r="CV834" s="8">
        <f t="shared" si="603"/>
        <v>0</v>
      </c>
    </row>
    <row r="835" spans="1:100" ht="20.5" thickTop="1" thickBot="1" x14ac:dyDescent="0.5">
      <c r="A835" s="32"/>
      <c r="B835" s="10"/>
      <c r="C835" s="10"/>
      <c r="D835" s="11"/>
      <c r="E835" s="10"/>
      <c r="F835" s="10"/>
      <c r="G835" s="19"/>
      <c r="H835" s="19"/>
      <c r="I835" s="19"/>
      <c r="J835" s="19"/>
      <c r="K835" s="10"/>
      <c r="L835" s="10"/>
      <c r="M835" s="10"/>
      <c r="N835" s="10"/>
      <c r="O835" s="18"/>
      <c r="P835" s="18"/>
      <c r="Q835" s="21"/>
      <c r="R835" s="20"/>
      <c r="S835" s="16">
        <f t="shared" si="559"/>
        <v>0</v>
      </c>
      <c r="T835" s="11"/>
      <c r="AS835" s="31">
        <f t="shared" si="560"/>
        <v>0</v>
      </c>
      <c r="AT835" s="31">
        <f t="shared" si="561"/>
        <v>0</v>
      </c>
      <c r="AU835" s="31">
        <f t="shared" si="562"/>
        <v>0</v>
      </c>
      <c r="AV835" s="31">
        <f t="shared" si="563"/>
        <v>0</v>
      </c>
      <c r="AW835" s="31">
        <f t="shared" si="564"/>
        <v>0</v>
      </c>
      <c r="AX835" s="31">
        <f t="shared" si="565"/>
        <v>0</v>
      </c>
      <c r="AY835" s="31">
        <f t="shared" si="566"/>
        <v>0</v>
      </c>
      <c r="AZ835" s="31">
        <f t="shared" si="567"/>
        <v>0</v>
      </c>
      <c r="BA835" s="31">
        <f t="shared" si="568"/>
        <v>0</v>
      </c>
      <c r="BB835" s="31">
        <f t="shared" si="597"/>
        <v>0</v>
      </c>
      <c r="BM835" s="8">
        <f t="shared" si="598"/>
        <v>0</v>
      </c>
      <c r="BN835" s="8">
        <f t="shared" si="569"/>
        <v>0</v>
      </c>
      <c r="BO835" s="8">
        <f t="shared" si="570"/>
        <v>0</v>
      </c>
      <c r="BQ835" s="8">
        <f t="shared" si="571"/>
        <v>0</v>
      </c>
      <c r="BR835" s="63">
        <f t="shared" si="572"/>
        <v>0</v>
      </c>
      <c r="BS835" s="63">
        <f t="shared" si="599"/>
        <v>0</v>
      </c>
      <c r="BT835" s="63">
        <f t="shared" si="573"/>
        <v>0</v>
      </c>
      <c r="BU835" s="63">
        <f t="shared" si="574"/>
        <v>0</v>
      </c>
      <c r="BV835" s="57">
        <f t="shared" si="575"/>
        <v>0</v>
      </c>
      <c r="BW835" s="57">
        <f t="shared" si="576"/>
        <v>0</v>
      </c>
      <c r="BX835" s="57">
        <f t="shared" si="600"/>
        <v>0</v>
      </c>
      <c r="BY835" s="57">
        <f t="shared" si="604"/>
        <v>0</v>
      </c>
      <c r="BZ835" s="8">
        <f t="shared" si="577"/>
        <v>0</v>
      </c>
      <c r="CA835" s="8">
        <f t="shared" si="578"/>
        <v>0</v>
      </c>
      <c r="CB835" s="8">
        <f t="shared" si="579"/>
        <v>0</v>
      </c>
      <c r="CC835" s="8">
        <f t="shared" si="580"/>
        <v>0</v>
      </c>
      <c r="CD835" s="8">
        <f t="shared" si="581"/>
        <v>0</v>
      </c>
      <c r="CE835" s="8">
        <f t="shared" si="582"/>
        <v>0</v>
      </c>
      <c r="CF835" s="8">
        <f t="shared" si="583"/>
        <v>0</v>
      </c>
      <c r="CG835" s="8">
        <f t="shared" si="584"/>
        <v>0</v>
      </c>
      <c r="CH835" s="8">
        <f t="shared" si="585"/>
        <v>0</v>
      </c>
      <c r="CI835" s="8">
        <f t="shared" si="586"/>
        <v>0</v>
      </c>
      <c r="CJ835" s="8">
        <f t="shared" si="587"/>
        <v>0</v>
      </c>
      <c r="CK835" s="8">
        <f t="shared" si="588"/>
        <v>0</v>
      </c>
      <c r="CL835" s="8">
        <f t="shared" si="589"/>
        <v>0</v>
      </c>
      <c r="CM835" s="8">
        <f t="shared" si="590"/>
        <v>0</v>
      </c>
      <c r="CN835" s="8">
        <f t="shared" si="591"/>
        <v>0</v>
      </c>
      <c r="CO835" s="8">
        <f t="shared" si="592"/>
        <v>0</v>
      </c>
      <c r="CP835" s="8">
        <f t="shared" si="593"/>
        <v>0</v>
      </c>
      <c r="CQ835" s="8">
        <f t="shared" si="594"/>
        <v>0</v>
      </c>
      <c r="CR835" s="8">
        <f t="shared" si="595"/>
        <v>0</v>
      </c>
      <c r="CS835" s="8">
        <f t="shared" si="596"/>
        <v>0</v>
      </c>
      <c r="CT835" s="8">
        <f t="shared" si="601"/>
        <v>0</v>
      </c>
      <c r="CU835" s="8">
        <f t="shared" si="602"/>
        <v>0</v>
      </c>
      <c r="CV835" s="8">
        <f t="shared" si="603"/>
        <v>0</v>
      </c>
    </row>
    <row r="836" spans="1:100" ht="20.5" thickTop="1" thickBot="1" x14ac:dyDescent="0.5">
      <c r="A836" s="32"/>
      <c r="B836" s="10"/>
      <c r="C836" s="10"/>
      <c r="D836" s="11"/>
      <c r="E836" s="10"/>
      <c r="F836" s="10"/>
      <c r="G836" s="19"/>
      <c r="H836" s="19"/>
      <c r="I836" s="19"/>
      <c r="J836" s="19"/>
      <c r="K836" s="10"/>
      <c r="L836" s="10"/>
      <c r="M836" s="10"/>
      <c r="N836" s="10"/>
      <c r="O836" s="18"/>
      <c r="P836" s="18"/>
      <c r="Q836" s="21"/>
      <c r="R836" s="20"/>
      <c r="S836" s="16">
        <f t="shared" ref="S836:S899" si="605">IF(AND(K836="asphalted",M836="sub",BV836&lt;=1,BV836&gt;0),1+2*0.15,IF(AND(K836="asphalted",OR(M836="main",M836="MOT"),BV836&lt;=1,BV836&gt;0),1+2*0.3,IF(AND(K836="asphalted",M836="sub",BV836&gt;1),BV836+2*0.15,IF(AND(K836="asphalted",OR(M836="main",M836="MOT"),BV836&gt;1),BV836+2*0.3,0))))</f>
        <v>0</v>
      </c>
      <c r="T836" s="11"/>
      <c r="AS836" s="31">
        <f t="shared" ref="AS836:AS899" si="606">IF(F836=1,0.4,IF(F836&gt;1,F836*0.3,0))</f>
        <v>0</v>
      </c>
      <c r="AT836" s="31">
        <f t="shared" ref="AT836:AT899" si="607">IF(AND(G836&lt;4,G836&gt;0),0.4,IF(G836&gt;3,0.4+(G836-3)*0.1,0))</f>
        <v>0</v>
      </c>
      <c r="AU836" s="31">
        <f t="shared" ref="AU836:AU899" si="608">AT836-AS836</f>
        <v>0</v>
      </c>
      <c r="AV836" s="31">
        <f t="shared" ref="AV836:AV899" si="609">IF(AND(OR(OR(E836="normal",E836="special"),E836="special"),F836=0,G836&gt;0,G836&lt;5),"LV"&amp;G836,IF(AND(OR(OR(E836="normal",E836="special"),E836="special"),F836=0,G836&gt;4),"LVCU",IF(AND(OR(OR(E836="normal",E836="special"),E836="special"),F836&gt;4),"MVCU",IF(AND(OR(OR(E836="normal",E836="special"),E836="special"),F836&gt;0,F836&lt;5),"MV"&amp;F836,IF(AND(E836="mini-trench",F836=1),"mini-trench MV",IF(AND(E836="mini-trench",G836&lt;3,G836&lt;&gt;0),"mini-trench LV",0))))))</f>
        <v>0</v>
      </c>
      <c r="AW836" s="31">
        <f t="shared" ref="AW836:AW899" si="610">IF(B836="joint",F836,0)+IF(C836="joint",F836,0)+IF(OR(B836="new ss",B836="ss"),F836*3)+IF(B836="pole",F836*10)+IF(OR(C836="new ss",C836="ss"),F836*3)+IF(C836="pole",F836*10)+IF(B836="grid",F836*30)+IF(C836="grid",F836*30)</f>
        <v>0</v>
      </c>
      <c r="AX836" s="31">
        <f t="shared" ref="AX836:AX899" si="611">IF(J836&gt;0,IF(OR(B836="ss",C836="ss"),J836*3,0)+IF(OR(B836="new ss",C836="new ss"),J836*3,0)+IF(OR(B836="DC",C836="DC"),J836*1.5,0)+IF(OR(B836="new DC",C836="new DC"),J836*1.5,0)+IF(OR(B836="MB",C836="MB"),J836*2,0)+IF(OR(B836="pole",C836="pole"),J836*10,0),0)</f>
        <v>0</v>
      </c>
      <c r="AY836" s="31">
        <f t="shared" ref="AY836:AY899" si="612">IF(I836&gt;0,IF(OR(B836="ss",C836="ss"),I836*3,0)+IF(OR(B836="new ss",C836="new ss"),I836*3,0)+IF(OR(B836="DC",C836="DC"),I836*1.5,0)+IF(OR(B836="new DC",C836="new DC"),J836*1.5,0)+IF(OR(B836="MB",C836="MB"),I836*2,0)+IF(OR(B836="pole",C836="pole"),I836*10,0),0)</f>
        <v>0</v>
      </c>
      <c r="AZ836" s="31">
        <f t="shared" ref="AZ836:AZ899" si="613">IF(H836&gt;0,IF(OR(B836="ss",C836="ss"),H836*3,0)+IF(OR(B836="new ss",C836="new ss"),H836*3,0)+IF(OR(B836="DC",C836="DC"),H836*2,0)+IF(OR(B836="new DC",C836="new DC"),H836*1.5,0)+IF(OR(B836="MB",C836="MB"),H836*2,0)+IF(OR(B836="pole",C836="pole"),H836*10,0)+IF(OR(B836="pole",C836="pole"),H836*10,0),0)</f>
        <v>0</v>
      </c>
      <c r="BA836" s="31">
        <f t="shared" ref="BA836:BA899" si="614">IF(E836="manual",IF(AU836&lt;0,D836*AS836*0.8,IF(AND(AS836&gt;0,AU836&gt;0),D836*AS836*0.8+D836*AU836*0.65,IF(AND(AS836=0,AT836&gt;0),D836*AT836*0.65,0))),0)</f>
        <v>0</v>
      </c>
      <c r="BB836" s="31">
        <f t="shared" si="597"/>
        <v>0</v>
      </c>
      <c r="BM836" s="8">
        <f t="shared" si="598"/>
        <v>0</v>
      </c>
      <c r="BN836" s="8">
        <f t="shared" ref="BN836:BN899" si="615">IFERROR(IF(AND(K836="asphalted",E836="mini-trench",R836=""),1*D836,IF(AND(K836="asphalted",R836&gt;0,MandRcalc="Complete M&amp;R area"),R836*D836,IF(AND(K836="asphalted",R836&gt;0,MandRcalc="M&amp;R area - asphalting area"),(R836-BR836/D836)*D836,0))),0)</f>
        <v>0</v>
      </c>
      <c r="BO836" s="8">
        <f t="shared" ref="BO836:BO899" si="616">IF(BQ836&lt;MINEXCNA,0,IF(AND(E836="normal",F836&lt;5,G836&lt;12,K836&lt;&gt;"asphalted",AT836&gt;AS836,AS836&lt;&gt;0),(BQ836-AT836)*0.65,IF(AND(E836="normal",F836&lt;5,G836&lt;12,K836&lt;&gt;"asphalted",AS836&gt;=AT836),(BQ836-AS836)*0.8,IF(AND(E836="normal",F836&lt;5,G836&lt;12,K836&lt;&gt;"asphalted",AT836&gt;0,AS836=0),(BQ836-AT836)*0.65,0)))*D836)</f>
        <v>0</v>
      </c>
      <c r="BQ836" s="8">
        <f t="shared" ref="BQ836:BQ899" si="617">IF(E836="special",O836,IF(AND(OR(E836="normal",E836="manual"),O836="",K836="asphalted",BV836&lt;=MINEXC),MINEXC,IF(AND(OR(E836="normal",E836="manual"),O836&lt;&gt;"",K836="asphalted"),MIN(O836,BV836),IF(AND(OR(E836="normal",E836="manual"),O836="",K836&lt;&gt;"asphalted",BV836&lt;=MINEXCNA),MINEXCNA,IF(AND(OR(E836="normal",E836="manual"),O836&lt;&gt;"",K836&lt;&gt;"asphalted"),MIN(O836,BV836),BV836)))))</f>
        <v>0</v>
      </c>
      <c r="BR836" s="63">
        <f t="shared" ref="BR836:BR899" si="618">IFERROR(IF(AND(E836&lt;&gt;"mini-trecnh",K836="asphalted",Q836&lt;&gt;"",S836=0),D836*Q836,IF(AND(E836&lt;&gt;"mini-trecnh",K836="asphalted",Q836&lt;&gt;"",S836&lt;&gt;0),D836*MIN(Q836,S836),IF(AND(E836&lt;&gt;"mini-trecnh",K836="asphalted",Q836=""),D836*S836,0))),0)</f>
        <v>0</v>
      </c>
      <c r="BS836" s="63">
        <f t="shared" si="599"/>
        <v>0</v>
      </c>
      <c r="BT836" s="63">
        <f t="shared" ref="BT836:BT899" si="619">IF(BQ836&lt;MINEXC,0,IF(AND(E836="normal",F836&lt;5,G836&lt;12,K836="asphalted",AT836&gt;AS836,AS836&lt;&gt;0),(BQ836-AT836)*0.65,IF(AND(E836="normal",F836&lt;5,G836&lt;12,K836="asphalted",AS836&gt;=AT836),(BQ836-AS836)*0.8,IF(AND(E836="normal",F836&lt;5,G836&lt;12,K836="asphalted",AT836&gt;0,AS836=0),(BQ836-AT836)*0.65,0)))*D836)</f>
        <v>0</v>
      </c>
      <c r="BU836" s="63">
        <f t="shared" ref="BU836:BU899" si="620">IF(E836="",0,IF(OR(BT836&gt;0,BO836&gt;0),0,IF(AND(F836&gt;4,G836=0),(BQ836-1.2)*D836*0.8,IF(AND(G836&gt;4,F836=0),(BQ836-0.4)*D836*0.65,IF(OR(AND(G836&gt;4,F836&gt;0),AND(F836&gt;4,G836&gt;0)),(IF(AS836&gt;1.2,(AS836-1.2)*D836*0.8,0)+IF(AT836&gt;AS836,(AT836-AS836)*D836*0.65,0)),0)))))</f>
        <v>0</v>
      </c>
      <c r="BV836" s="57">
        <f t="shared" ref="BV836:BV899" si="621">IF(AND(E836&lt;&gt;"mini-trench",E836&lt;&gt;"special"),MAX(AS836:AT836),0)</f>
        <v>0</v>
      </c>
      <c r="BW836" s="57">
        <f t="shared" ref="BW836:BW899" si="622">IF(AND(E836&lt;&gt;"mini-trench",E836&lt;&gt;"special",BV836&gt;0,BV836&lt;1,K836="asphalted"),IF(O836&lt;&gt;"",MIN(O836,1),1),IF(AND(E836&lt;&gt;"mini-trench",E836&lt;&gt;"special",BV836&gt;0,BV836&gt;1,K836="asphalted"),BV836,0))</f>
        <v>0</v>
      </c>
      <c r="BX836" s="57">
        <f t="shared" si="600"/>
        <v>0</v>
      </c>
      <c r="BY836" s="57">
        <f t="shared" si="604"/>
        <v>0</v>
      </c>
      <c r="BZ836" s="8">
        <f t="shared" ref="BZ836:BZ899" si="623">IF(E836="special",O836*P836*D836-D836*IF(AV836="MV1",0.8*0.4,IF(AV836="MV2",0.8*0.6,IF(AV836="MV3",0.8*0.9,IF(OR(AV836="MV4",AV836="MVCU"),0.8*1.2,IF(AV836="LV1-3",0.65*0.4,IF(OR(AV836="LV4",AV836="LVCU"),0.65*0.5)))))),0)</f>
        <v>0</v>
      </c>
      <c r="CA836" s="8">
        <f t="shared" ref="CA836:CA899" si="624">IF(AND(E836&lt;&gt;"special",K836="Paved interlock"),D836*BV836,IF(AND(E836="special",K836="Paved interlock"),D836*O836,0))</f>
        <v>0</v>
      </c>
      <c r="CB836" s="8">
        <f t="shared" ref="CB836:CB899" si="625">IF(AND(E836&lt;&gt;"special",K836="Paved conc.tiles"),D836*BV836,IF(AND(E836="special",K836="Paved conc.tiles"),D836*O836,0))</f>
        <v>0</v>
      </c>
      <c r="CC836" s="8">
        <f t="shared" ref="CC836:CC899" si="626">IF(AND(E836="special",K836="asphalted"),D836*Q836,0)</f>
        <v>0</v>
      </c>
      <c r="CD836" s="8">
        <f t="shared" ref="CD836:CD899" si="627">IF(OR(K836="Paved interlock",K836="Paved conc.tiles"),1,0)</f>
        <v>0</v>
      </c>
      <c r="CE836" s="8">
        <f t="shared" ref="CE836:CE899" si="628">IFERROR(BR836/D836,0)</f>
        <v>0</v>
      </c>
      <c r="CF836" s="8">
        <f t="shared" ref="CF836:CF899" si="629">IF(AND(F836&gt;0,B836="j transition"),F836,0)+IF(AND(F836&gt;0,C836="j transition"),F836,0)</f>
        <v>0</v>
      </c>
      <c r="CG836" s="8">
        <f t="shared" ref="CG836:CG899" si="630">IF(AND(F836&gt;0,OR(B836="grid",B836="ss",B836="pole",B836="new ss")),F836,0)+IF(AND(F836&gt;0,OR(C836="grid",C836="ss",C836="pole",C836="new ss")),F836,0)</f>
        <v>0</v>
      </c>
      <c r="CH836" s="8">
        <f t="shared" ref="CH836:CH899" si="631">IF(AND(F836&gt;0,B836="joint"),F836,0)+IF(AND(F836&gt;0,C836="joint"),F836,0)+IF(AND(F836&gt;0,B836="j transition"),F836,0)+IF(AND(F836&gt;0,C836="j transition"),F836,0)</f>
        <v>0</v>
      </c>
      <c r="CI836" s="8">
        <f t="shared" ref="CI836:CI899" si="632">IF(AND(H836&gt;0,B836="joint"),H836,0)+IF(AND(H836&gt;0,C836="joint"),H836,0)</f>
        <v>0</v>
      </c>
      <c r="CJ836" s="8">
        <f t="shared" ref="CJ836:CJ899" si="633">IF(AND(I836&gt;0,B836="joint"),I836,0)+IF(AND(I836&gt;0,C836="joint"),I836,0)</f>
        <v>0</v>
      </c>
      <c r="CK836" s="8">
        <f t="shared" ref="CK836:CK899" si="634">IF(AND(J836&gt;0,B836="joint"),J836,0)+IF(AND(J836&gt;0,C836="joint"),J836,0)</f>
        <v>0</v>
      </c>
      <c r="CL836" s="8">
        <f t="shared" ref="CL836:CL899" si="635">IF(AND(H836&gt;0,OR(B836="ss",B836="new ss",B836="DC",B836="new DC")),H836,0)+IF(AND(H836&gt;0,OR(C836="new ss",C836="ss",C836="DC",C836="new DC")),H836,0)</f>
        <v>0</v>
      </c>
      <c r="CM836" s="8">
        <f t="shared" ref="CM836:CM899" si="636">CO836+CP836</f>
        <v>0</v>
      </c>
      <c r="CN836" s="8">
        <f t="shared" ref="CN836:CN899" si="637">IF(OR(B836="new DC",C836="new DC"),H836,0)</f>
        <v>0</v>
      </c>
      <c r="CO836" s="8">
        <f t="shared" ref="CO836:CO899" si="638">IF(AND(J836&gt;0,OR(B836="ss",B836="new ss",B836="DC",B836="new DC")),J836,0)+IF(AND(J836&gt;0,OR(C836="new ss",C836="ss",C836="DC",C836="new DC")),J836,0)</f>
        <v>0</v>
      </c>
      <c r="CP836" s="8">
        <f t="shared" ref="CP836:CP899" si="639">IF(AND(I836&gt;0,OR(B836="ss",B836="new ss",B836="DC",B836="new DC")),I836,0)+IF(AND(I836&gt;0,OR(C836="new ss",C836="ss",C836="DC",C836="new DC")),I836,0)</f>
        <v>0</v>
      </c>
      <c r="CQ836" s="8">
        <f t="shared" ref="CQ836:CQ899" si="640">IF(AND(F836&gt;0,OR(B836="ss",B836="new ss")),F836,0)+IF(AND(F836&gt;0,OR(C836="ss",C836="new ss")),F836,0)</f>
        <v>0</v>
      </c>
      <c r="CR836" s="8">
        <f t="shared" ref="CR836:CR899" si="641">IF(AND(F836&gt;0,OR(B836="grid")),F836,0)+IF(AND(F836&gt;0,OR(C836="grid")),F836,0)</f>
        <v>0</v>
      </c>
      <c r="CS836" s="8">
        <f t="shared" ref="CS836:CS899" si="642">IF(AND(F836&gt;0,OR(B836="pole")),F836,0)+IF(AND(F836&gt;0,OR(C836="pole")),F836,0)</f>
        <v>0</v>
      </c>
      <c r="CT836" s="8">
        <f t="shared" si="601"/>
        <v>0</v>
      </c>
      <c r="CU836" s="8">
        <f t="shared" si="602"/>
        <v>0</v>
      </c>
      <c r="CV836" s="8">
        <f t="shared" si="603"/>
        <v>0</v>
      </c>
    </row>
    <row r="837" spans="1:100" ht="20.5" thickTop="1" thickBot="1" x14ac:dyDescent="0.5">
      <c r="A837" s="32"/>
      <c r="B837" s="10"/>
      <c r="C837" s="10"/>
      <c r="D837" s="11"/>
      <c r="E837" s="10"/>
      <c r="F837" s="10"/>
      <c r="G837" s="19"/>
      <c r="H837" s="19"/>
      <c r="I837" s="19"/>
      <c r="J837" s="19"/>
      <c r="K837" s="10"/>
      <c r="L837" s="10"/>
      <c r="M837" s="10"/>
      <c r="N837" s="10"/>
      <c r="O837" s="18"/>
      <c r="P837" s="18"/>
      <c r="Q837" s="21"/>
      <c r="R837" s="20"/>
      <c r="S837" s="16">
        <f t="shared" si="605"/>
        <v>0</v>
      </c>
      <c r="T837" s="11"/>
      <c r="AS837" s="31">
        <f t="shared" si="606"/>
        <v>0</v>
      </c>
      <c r="AT837" s="31">
        <f t="shared" si="607"/>
        <v>0</v>
      </c>
      <c r="AU837" s="31">
        <f t="shared" si="608"/>
        <v>0</v>
      </c>
      <c r="AV837" s="31">
        <f t="shared" si="609"/>
        <v>0</v>
      </c>
      <c r="AW837" s="31">
        <f t="shared" si="610"/>
        <v>0</v>
      </c>
      <c r="AX837" s="31">
        <f t="shared" si="611"/>
        <v>0</v>
      </c>
      <c r="AY837" s="31">
        <f t="shared" si="612"/>
        <v>0</v>
      </c>
      <c r="AZ837" s="31">
        <f t="shared" si="613"/>
        <v>0</v>
      </c>
      <c r="BA837" s="31">
        <f t="shared" si="614"/>
        <v>0</v>
      </c>
      <c r="BB837" s="31">
        <f t="shared" ref="BB837:BB900" si="643">IFERROR(IF(BN837&gt;0,0,IF(AND(E837="normal",(BR837/D837)&gt;1),BR837,0)),0)</f>
        <v>0</v>
      </c>
      <c r="BM837" s="8">
        <f t="shared" ref="BM837:BM900" si="644">IF(AND(E837&lt;&gt;"special",K837="Concrete"),D837*BV837,IF(AND(E837="special",K837="Concrete"),D837*O837,0))</f>
        <v>0</v>
      </c>
      <c r="BN837" s="8">
        <f t="shared" si="615"/>
        <v>0</v>
      </c>
      <c r="BO837" s="8">
        <f t="shared" si="616"/>
        <v>0</v>
      </c>
      <c r="BQ837" s="8">
        <f t="shared" si="617"/>
        <v>0</v>
      </c>
      <c r="BR837" s="63">
        <f t="shared" si="618"/>
        <v>0</v>
      </c>
      <c r="BS837" s="63">
        <f t="shared" ref="BS837:BS900" si="645">BN837 + IF(BN837&gt;0,IF(R836=0, R837, 0) + IF(R838=0, R837, 0),0)</f>
        <v>0</v>
      </c>
      <c r="BT837" s="63">
        <f t="shared" si="619"/>
        <v>0</v>
      </c>
      <c r="BU837" s="63">
        <f t="shared" si="620"/>
        <v>0</v>
      </c>
      <c r="BV837" s="57">
        <f t="shared" si="621"/>
        <v>0</v>
      </c>
      <c r="BW837" s="57">
        <f t="shared" si="622"/>
        <v>0</v>
      </c>
      <c r="BX837" s="57">
        <f t="shared" ref="BX837:BX900" si="646">IF(AND(R837&gt;0,MandRcalc="Asphalting then M&amp;R"),R837*D837,IF(AND(R837&gt;0,MandRcalc="Milling then Repaving"),(R837-BR837)*D837,0))</f>
        <v>0</v>
      </c>
      <c r="BY837" s="57">
        <f t="shared" si="604"/>
        <v>0</v>
      </c>
      <c r="BZ837" s="8">
        <f t="shared" si="623"/>
        <v>0</v>
      </c>
      <c r="CA837" s="8">
        <f t="shared" si="624"/>
        <v>0</v>
      </c>
      <c r="CB837" s="8">
        <f t="shared" si="625"/>
        <v>0</v>
      </c>
      <c r="CC837" s="8">
        <f t="shared" si="626"/>
        <v>0</v>
      </c>
      <c r="CD837" s="8">
        <f t="shared" si="627"/>
        <v>0</v>
      </c>
      <c r="CE837" s="8">
        <f t="shared" si="628"/>
        <v>0</v>
      </c>
      <c r="CF837" s="8">
        <f t="shared" si="629"/>
        <v>0</v>
      </c>
      <c r="CG837" s="8">
        <f t="shared" si="630"/>
        <v>0</v>
      </c>
      <c r="CH837" s="8">
        <f t="shared" si="631"/>
        <v>0</v>
      </c>
      <c r="CI837" s="8">
        <f t="shared" si="632"/>
        <v>0</v>
      </c>
      <c r="CJ837" s="8">
        <f t="shared" si="633"/>
        <v>0</v>
      </c>
      <c r="CK837" s="8">
        <f t="shared" si="634"/>
        <v>0</v>
      </c>
      <c r="CL837" s="8">
        <f t="shared" si="635"/>
        <v>0</v>
      </c>
      <c r="CM837" s="8">
        <f t="shared" si="636"/>
        <v>0</v>
      </c>
      <c r="CN837" s="8">
        <f t="shared" si="637"/>
        <v>0</v>
      </c>
      <c r="CO837" s="8">
        <f t="shared" si="638"/>
        <v>0</v>
      </c>
      <c r="CP837" s="8">
        <f t="shared" si="639"/>
        <v>0</v>
      </c>
      <c r="CQ837" s="8">
        <f t="shared" si="640"/>
        <v>0</v>
      </c>
      <c r="CR837" s="8">
        <f t="shared" si="641"/>
        <v>0</v>
      </c>
      <c r="CS837" s="8">
        <f t="shared" si="642"/>
        <v>0</v>
      </c>
      <c r="CT837" s="8">
        <f t="shared" si="601"/>
        <v>0</v>
      </c>
      <c r="CU837" s="8">
        <f t="shared" si="602"/>
        <v>0</v>
      </c>
      <c r="CV837" s="8">
        <f t="shared" si="603"/>
        <v>0</v>
      </c>
    </row>
    <row r="838" spans="1:100" ht="20.5" thickTop="1" thickBot="1" x14ac:dyDescent="0.5">
      <c r="A838" s="32"/>
      <c r="B838" s="10"/>
      <c r="C838" s="10"/>
      <c r="D838" s="11"/>
      <c r="E838" s="10"/>
      <c r="F838" s="10"/>
      <c r="G838" s="19"/>
      <c r="H838" s="19"/>
      <c r="I838" s="19"/>
      <c r="J838" s="19"/>
      <c r="K838" s="10"/>
      <c r="L838" s="10"/>
      <c r="M838" s="10"/>
      <c r="N838" s="10"/>
      <c r="O838" s="18"/>
      <c r="P838" s="18"/>
      <c r="Q838" s="21"/>
      <c r="R838" s="20"/>
      <c r="S838" s="16">
        <f t="shared" si="605"/>
        <v>0</v>
      </c>
      <c r="T838" s="11"/>
      <c r="AS838" s="31">
        <f t="shared" si="606"/>
        <v>0</v>
      </c>
      <c r="AT838" s="31">
        <f t="shared" si="607"/>
        <v>0</v>
      </c>
      <c r="AU838" s="31">
        <f t="shared" si="608"/>
        <v>0</v>
      </c>
      <c r="AV838" s="31">
        <f t="shared" si="609"/>
        <v>0</v>
      </c>
      <c r="AW838" s="31">
        <f t="shared" si="610"/>
        <v>0</v>
      </c>
      <c r="AX838" s="31">
        <f t="shared" si="611"/>
        <v>0</v>
      </c>
      <c r="AY838" s="31">
        <f t="shared" si="612"/>
        <v>0</v>
      </c>
      <c r="AZ838" s="31">
        <f t="shared" si="613"/>
        <v>0</v>
      </c>
      <c r="BA838" s="31">
        <f t="shared" si="614"/>
        <v>0</v>
      </c>
      <c r="BB838" s="31">
        <f t="shared" si="643"/>
        <v>0</v>
      </c>
      <c r="BM838" s="8">
        <f t="shared" si="644"/>
        <v>0</v>
      </c>
      <c r="BN838" s="8">
        <f t="shared" si="615"/>
        <v>0</v>
      </c>
      <c r="BO838" s="8">
        <f t="shared" si="616"/>
        <v>0</v>
      </c>
      <c r="BQ838" s="8">
        <f t="shared" si="617"/>
        <v>0</v>
      </c>
      <c r="BR838" s="63">
        <f t="shared" si="618"/>
        <v>0</v>
      </c>
      <c r="BS838" s="63">
        <f t="shared" si="645"/>
        <v>0</v>
      </c>
      <c r="BT838" s="63">
        <f t="shared" si="619"/>
        <v>0</v>
      </c>
      <c r="BU838" s="63">
        <f t="shared" si="620"/>
        <v>0</v>
      </c>
      <c r="BV838" s="57">
        <f t="shared" si="621"/>
        <v>0</v>
      </c>
      <c r="BW838" s="57">
        <f t="shared" si="622"/>
        <v>0</v>
      </c>
      <c r="BX838" s="57">
        <f t="shared" si="646"/>
        <v>0</v>
      </c>
      <c r="BY838" s="57">
        <f t="shared" si="604"/>
        <v>0</v>
      </c>
      <c r="BZ838" s="8">
        <f t="shared" si="623"/>
        <v>0</v>
      </c>
      <c r="CA838" s="8">
        <f t="shared" si="624"/>
        <v>0</v>
      </c>
      <c r="CB838" s="8">
        <f t="shared" si="625"/>
        <v>0</v>
      </c>
      <c r="CC838" s="8">
        <f t="shared" si="626"/>
        <v>0</v>
      </c>
      <c r="CD838" s="8">
        <f t="shared" si="627"/>
        <v>0</v>
      </c>
      <c r="CE838" s="8">
        <f t="shared" si="628"/>
        <v>0</v>
      </c>
      <c r="CF838" s="8">
        <f t="shared" si="629"/>
        <v>0</v>
      </c>
      <c r="CG838" s="8">
        <f t="shared" si="630"/>
        <v>0</v>
      </c>
      <c r="CH838" s="8">
        <f t="shared" si="631"/>
        <v>0</v>
      </c>
      <c r="CI838" s="8">
        <f t="shared" si="632"/>
        <v>0</v>
      </c>
      <c r="CJ838" s="8">
        <f t="shared" si="633"/>
        <v>0</v>
      </c>
      <c r="CK838" s="8">
        <f t="shared" si="634"/>
        <v>0</v>
      </c>
      <c r="CL838" s="8">
        <f t="shared" si="635"/>
        <v>0</v>
      </c>
      <c r="CM838" s="8">
        <f t="shared" si="636"/>
        <v>0</v>
      </c>
      <c r="CN838" s="8">
        <f t="shared" si="637"/>
        <v>0</v>
      </c>
      <c r="CO838" s="8">
        <f t="shared" si="638"/>
        <v>0</v>
      </c>
      <c r="CP838" s="8">
        <f t="shared" si="639"/>
        <v>0</v>
      </c>
      <c r="CQ838" s="8">
        <f t="shared" si="640"/>
        <v>0</v>
      </c>
      <c r="CR838" s="8">
        <f t="shared" si="641"/>
        <v>0</v>
      </c>
      <c r="CS838" s="8">
        <f t="shared" si="642"/>
        <v>0</v>
      </c>
      <c r="CT838" s="8">
        <f t="shared" si="601"/>
        <v>0</v>
      </c>
      <c r="CU838" s="8">
        <f t="shared" si="602"/>
        <v>0</v>
      </c>
      <c r="CV838" s="8">
        <f t="shared" si="603"/>
        <v>0</v>
      </c>
    </row>
    <row r="839" spans="1:100" ht="20.5" thickTop="1" thickBot="1" x14ac:dyDescent="0.5">
      <c r="A839" s="32"/>
      <c r="B839" s="10"/>
      <c r="C839" s="10"/>
      <c r="D839" s="11"/>
      <c r="E839" s="10"/>
      <c r="F839" s="10"/>
      <c r="G839" s="19"/>
      <c r="H839" s="19"/>
      <c r="I839" s="19"/>
      <c r="J839" s="19"/>
      <c r="K839" s="10"/>
      <c r="L839" s="10"/>
      <c r="M839" s="10"/>
      <c r="N839" s="10"/>
      <c r="O839" s="18"/>
      <c r="P839" s="18"/>
      <c r="Q839" s="21"/>
      <c r="R839" s="20"/>
      <c r="S839" s="16">
        <f t="shared" si="605"/>
        <v>0</v>
      </c>
      <c r="T839" s="11"/>
      <c r="AS839" s="31">
        <f t="shared" si="606"/>
        <v>0</v>
      </c>
      <c r="AT839" s="31">
        <f t="shared" si="607"/>
        <v>0</v>
      </c>
      <c r="AU839" s="31">
        <f t="shared" si="608"/>
        <v>0</v>
      </c>
      <c r="AV839" s="31">
        <f t="shared" si="609"/>
        <v>0</v>
      </c>
      <c r="AW839" s="31">
        <f t="shared" si="610"/>
        <v>0</v>
      </c>
      <c r="AX839" s="31">
        <f t="shared" si="611"/>
        <v>0</v>
      </c>
      <c r="AY839" s="31">
        <f t="shared" si="612"/>
        <v>0</v>
      </c>
      <c r="AZ839" s="31">
        <f t="shared" si="613"/>
        <v>0</v>
      </c>
      <c r="BA839" s="31">
        <f t="shared" si="614"/>
        <v>0</v>
      </c>
      <c r="BB839" s="31">
        <f t="shared" si="643"/>
        <v>0</v>
      </c>
      <c r="BM839" s="8">
        <f t="shared" si="644"/>
        <v>0</v>
      </c>
      <c r="BN839" s="8">
        <f t="shared" si="615"/>
        <v>0</v>
      </c>
      <c r="BO839" s="8">
        <f t="shared" si="616"/>
        <v>0</v>
      </c>
      <c r="BQ839" s="8">
        <f t="shared" si="617"/>
        <v>0</v>
      </c>
      <c r="BR839" s="63">
        <f t="shared" si="618"/>
        <v>0</v>
      </c>
      <c r="BS839" s="63">
        <f t="shared" si="645"/>
        <v>0</v>
      </c>
      <c r="BT839" s="63">
        <f t="shared" si="619"/>
        <v>0</v>
      </c>
      <c r="BU839" s="63">
        <f t="shared" si="620"/>
        <v>0</v>
      </c>
      <c r="BV839" s="57">
        <f t="shared" si="621"/>
        <v>0</v>
      </c>
      <c r="BW839" s="57">
        <f t="shared" si="622"/>
        <v>0</v>
      </c>
      <c r="BX839" s="57">
        <f t="shared" si="646"/>
        <v>0</v>
      </c>
      <c r="BY839" s="57">
        <f t="shared" si="604"/>
        <v>0</v>
      </c>
      <c r="BZ839" s="8">
        <f t="shared" si="623"/>
        <v>0</v>
      </c>
      <c r="CA839" s="8">
        <f t="shared" si="624"/>
        <v>0</v>
      </c>
      <c r="CB839" s="8">
        <f t="shared" si="625"/>
        <v>0</v>
      </c>
      <c r="CC839" s="8">
        <f t="shared" si="626"/>
        <v>0</v>
      </c>
      <c r="CD839" s="8">
        <f t="shared" si="627"/>
        <v>0</v>
      </c>
      <c r="CE839" s="8">
        <f t="shared" si="628"/>
        <v>0</v>
      </c>
      <c r="CF839" s="8">
        <f t="shared" si="629"/>
        <v>0</v>
      </c>
      <c r="CG839" s="8">
        <f t="shared" si="630"/>
        <v>0</v>
      </c>
      <c r="CH839" s="8">
        <f t="shared" si="631"/>
        <v>0</v>
      </c>
      <c r="CI839" s="8">
        <f t="shared" si="632"/>
        <v>0</v>
      </c>
      <c r="CJ839" s="8">
        <f t="shared" si="633"/>
        <v>0</v>
      </c>
      <c r="CK839" s="8">
        <f t="shared" si="634"/>
        <v>0</v>
      </c>
      <c r="CL839" s="8">
        <f t="shared" si="635"/>
        <v>0</v>
      </c>
      <c r="CM839" s="8">
        <f t="shared" si="636"/>
        <v>0</v>
      </c>
      <c r="CN839" s="8">
        <f t="shared" si="637"/>
        <v>0</v>
      </c>
      <c r="CO839" s="8">
        <f t="shared" si="638"/>
        <v>0</v>
      </c>
      <c r="CP839" s="8">
        <f t="shared" si="639"/>
        <v>0</v>
      </c>
      <c r="CQ839" s="8">
        <f t="shared" si="640"/>
        <v>0</v>
      </c>
      <c r="CR839" s="8">
        <f t="shared" si="641"/>
        <v>0</v>
      </c>
      <c r="CS839" s="8">
        <f t="shared" si="642"/>
        <v>0</v>
      </c>
      <c r="CT839" s="8">
        <f t="shared" si="601"/>
        <v>0</v>
      </c>
      <c r="CU839" s="8">
        <f t="shared" si="602"/>
        <v>0</v>
      </c>
      <c r="CV839" s="8">
        <f t="shared" si="603"/>
        <v>0</v>
      </c>
    </row>
    <row r="840" spans="1:100" ht="20.5" thickTop="1" thickBot="1" x14ac:dyDescent="0.5">
      <c r="A840" s="32"/>
      <c r="B840" s="10"/>
      <c r="C840" s="10"/>
      <c r="D840" s="11"/>
      <c r="E840" s="10"/>
      <c r="F840" s="10"/>
      <c r="G840" s="19"/>
      <c r="H840" s="19"/>
      <c r="I840" s="19"/>
      <c r="J840" s="19"/>
      <c r="K840" s="10"/>
      <c r="L840" s="10"/>
      <c r="M840" s="10"/>
      <c r="N840" s="10"/>
      <c r="O840" s="18"/>
      <c r="P840" s="18"/>
      <c r="Q840" s="21"/>
      <c r="R840" s="20"/>
      <c r="S840" s="16">
        <f t="shared" si="605"/>
        <v>0</v>
      </c>
      <c r="T840" s="11"/>
      <c r="AS840" s="31">
        <f t="shared" si="606"/>
        <v>0</v>
      </c>
      <c r="AT840" s="31">
        <f t="shared" si="607"/>
        <v>0</v>
      </c>
      <c r="AU840" s="31">
        <f t="shared" si="608"/>
        <v>0</v>
      </c>
      <c r="AV840" s="31">
        <f t="shared" si="609"/>
        <v>0</v>
      </c>
      <c r="AW840" s="31">
        <f t="shared" si="610"/>
        <v>0</v>
      </c>
      <c r="AX840" s="31">
        <f t="shared" si="611"/>
        <v>0</v>
      </c>
      <c r="AY840" s="31">
        <f t="shared" si="612"/>
        <v>0</v>
      </c>
      <c r="AZ840" s="31">
        <f t="shared" si="613"/>
        <v>0</v>
      </c>
      <c r="BA840" s="31">
        <f t="shared" si="614"/>
        <v>0</v>
      </c>
      <c r="BB840" s="31">
        <f t="shared" si="643"/>
        <v>0</v>
      </c>
      <c r="BM840" s="8">
        <f t="shared" si="644"/>
        <v>0</v>
      </c>
      <c r="BN840" s="8">
        <f t="shared" si="615"/>
        <v>0</v>
      </c>
      <c r="BO840" s="8">
        <f t="shared" si="616"/>
        <v>0</v>
      </c>
      <c r="BQ840" s="8">
        <f t="shared" si="617"/>
        <v>0</v>
      </c>
      <c r="BR840" s="63">
        <f t="shared" si="618"/>
        <v>0</v>
      </c>
      <c r="BS840" s="63">
        <f t="shared" si="645"/>
        <v>0</v>
      </c>
      <c r="BT840" s="63">
        <f t="shared" si="619"/>
        <v>0</v>
      </c>
      <c r="BU840" s="63">
        <f t="shared" si="620"/>
        <v>0</v>
      </c>
      <c r="BV840" s="57">
        <f t="shared" si="621"/>
        <v>0</v>
      </c>
      <c r="BW840" s="57">
        <f t="shared" si="622"/>
        <v>0</v>
      </c>
      <c r="BX840" s="57">
        <f t="shared" si="646"/>
        <v>0</v>
      </c>
      <c r="BY840" s="57">
        <f t="shared" si="604"/>
        <v>0</v>
      </c>
      <c r="BZ840" s="8">
        <f t="shared" si="623"/>
        <v>0</v>
      </c>
      <c r="CA840" s="8">
        <f t="shared" si="624"/>
        <v>0</v>
      </c>
      <c r="CB840" s="8">
        <f t="shared" si="625"/>
        <v>0</v>
      </c>
      <c r="CC840" s="8">
        <f t="shared" si="626"/>
        <v>0</v>
      </c>
      <c r="CD840" s="8">
        <f t="shared" si="627"/>
        <v>0</v>
      </c>
      <c r="CE840" s="8">
        <f t="shared" si="628"/>
        <v>0</v>
      </c>
      <c r="CF840" s="8">
        <f t="shared" si="629"/>
        <v>0</v>
      </c>
      <c r="CG840" s="8">
        <f t="shared" si="630"/>
        <v>0</v>
      </c>
      <c r="CH840" s="8">
        <f t="shared" si="631"/>
        <v>0</v>
      </c>
      <c r="CI840" s="8">
        <f t="shared" si="632"/>
        <v>0</v>
      </c>
      <c r="CJ840" s="8">
        <f t="shared" si="633"/>
        <v>0</v>
      </c>
      <c r="CK840" s="8">
        <f t="shared" si="634"/>
        <v>0</v>
      </c>
      <c r="CL840" s="8">
        <f t="shared" si="635"/>
        <v>0</v>
      </c>
      <c r="CM840" s="8">
        <f t="shared" si="636"/>
        <v>0</v>
      </c>
      <c r="CN840" s="8">
        <f t="shared" si="637"/>
        <v>0</v>
      </c>
      <c r="CO840" s="8">
        <f t="shared" si="638"/>
        <v>0</v>
      </c>
      <c r="CP840" s="8">
        <f t="shared" si="639"/>
        <v>0</v>
      </c>
      <c r="CQ840" s="8">
        <f t="shared" si="640"/>
        <v>0</v>
      </c>
      <c r="CR840" s="8">
        <f t="shared" si="641"/>
        <v>0</v>
      </c>
      <c r="CS840" s="8">
        <f t="shared" si="642"/>
        <v>0</v>
      </c>
      <c r="CT840" s="8">
        <f t="shared" si="601"/>
        <v>0</v>
      </c>
      <c r="CU840" s="8">
        <f t="shared" si="602"/>
        <v>0</v>
      </c>
      <c r="CV840" s="8">
        <f t="shared" si="603"/>
        <v>0</v>
      </c>
    </row>
    <row r="841" spans="1:100" ht="20.5" thickTop="1" thickBot="1" x14ac:dyDescent="0.5">
      <c r="A841" s="32"/>
      <c r="B841" s="10"/>
      <c r="C841" s="10"/>
      <c r="D841" s="11"/>
      <c r="E841" s="10"/>
      <c r="F841" s="10"/>
      <c r="G841" s="19"/>
      <c r="H841" s="19"/>
      <c r="I841" s="19"/>
      <c r="J841" s="19"/>
      <c r="K841" s="10"/>
      <c r="L841" s="10"/>
      <c r="M841" s="10"/>
      <c r="N841" s="10"/>
      <c r="O841" s="18"/>
      <c r="P841" s="18"/>
      <c r="Q841" s="21"/>
      <c r="R841" s="20"/>
      <c r="S841" s="16">
        <f t="shared" si="605"/>
        <v>0</v>
      </c>
      <c r="T841" s="11"/>
      <c r="AS841" s="31">
        <f t="shared" si="606"/>
        <v>0</v>
      </c>
      <c r="AT841" s="31">
        <f t="shared" si="607"/>
        <v>0</v>
      </c>
      <c r="AU841" s="31">
        <f t="shared" si="608"/>
        <v>0</v>
      </c>
      <c r="AV841" s="31">
        <f t="shared" si="609"/>
        <v>0</v>
      </c>
      <c r="AW841" s="31">
        <f t="shared" si="610"/>
        <v>0</v>
      </c>
      <c r="AX841" s="31">
        <f t="shared" si="611"/>
        <v>0</v>
      </c>
      <c r="AY841" s="31">
        <f t="shared" si="612"/>
        <v>0</v>
      </c>
      <c r="AZ841" s="31">
        <f t="shared" si="613"/>
        <v>0</v>
      </c>
      <c r="BA841" s="31">
        <f t="shared" si="614"/>
        <v>0</v>
      </c>
      <c r="BB841" s="31">
        <f t="shared" si="643"/>
        <v>0</v>
      </c>
      <c r="BM841" s="8">
        <f t="shared" si="644"/>
        <v>0</v>
      </c>
      <c r="BN841" s="8">
        <f t="shared" si="615"/>
        <v>0</v>
      </c>
      <c r="BO841" s="8">
        <f t="shared" si="616"/>
        <v>0</v>
      </c>
      <c r="BQ841" s="8">
        <f t="shared" si="617"/>
        <v>0</v>
      </c>
      <c r="BR841" s="63">
        <f t="shared" si="618"/>
        <v>0</v>
      </c>
      <c r="BS841" s="63">
        <f t="shared" si="645"/>
        <v>0</v>
      </c>
      <c r="BT841" s="63">
        <f t="shared" si="619"/>
        <v>0</v>
      </c>
      <c r="BU841" s="63">
        <f t="shared" si="620"/>
        <v>0</v>
      </c>
      <c r="BV841" s="57">
        <f t="shared" si="621"/>
        <v>0</v>
      </c>
      <c r="BW841" s="57">
        <f t="shared" si="622"/>
        <v>0</v>
      </c>
      <c r="BX841" s="57">
        <f t="shared" si="646"/>
        <v>0</v>
      </c>
      <c r="BY841" s="57">
        <f t="shared" si="604"/>
        <v>0</v>
      </c>
      <c r="BZ841" s="8">
        <f t="shared" si="623"/>
        <v>0</v>
      </c>
      <c r="CA841" s="8">
        <f t="shared" si="624"/>
        <v>0</v>
      </c>
      <c r="CB841" s="8">
        <f t="shared" si="625"/>
        <v>0</v>
      </c>
      <c r="CC841" s="8">
        <f t="shared" si="626"/>
        <v>0</v>
      </c>
      <c r="CD841" s="8">
        <f t="shared" si="627"/>
        <v>0</v>
      </c>
      <c r="CE841" s="8">
        <f t="shared" si="628"/>
        <v>0</v>
      </c>
      <c r="CF841" s="8">
        <f t="shared" si="629"/>
        <v>0</v>
      </c>
      <c r="CG841" s="8">
        <f t="shared" si="630"/>
        <v>0</v>
      </c>
      <c r="CH841" s="8">
        <f t="shared" si="631"/>
        <v>0</v>
      </c>
      <c r="CI841" s="8">
        <f t="shared" si="632"/>
        <v>0</v>
      </c>
      <c r="CJ841" s="8">
        <f t="shared" si="633"/>
        <v>0</v>
      </c>
      <c r="CK841" s="8">
        <f t="shared" si="634"/>
        <v>0</v>
      </c>
      <c r="CL841" s="8">
        <f t="shared" si="635"/>
        <v>0</v>
      </c>
      <c r="CM841" s="8">
        <f t="shared" si="636"/>
        <v>0</v>
      </c>
      <c r="CN841" s="8">
        <f t="shared" si="637"/>
        <v>0</v>
      </c>
      <c r="CO841" s="8">
        <f t="shared" si="638"/>
        <v>0</v>
      </c>
      <c r="CP841" s="8">
        <f t="shared" si="639"/>
        <v>0</v>
      </c>
      <c r="CQ841" s="8">
        <f t="shared" si="640"/>
        <v>0</v>
      </c>
      <c r="CR841" s="8">
        <f t="shared" si="641"/>
        <v>0</v>
      </c>
      <c r="CS841" s="8">
        <f t="shared" si="642"/>
        <v>0</v>
      </c>
      <c r="CT841" s="8">
        <f t="shared" si="601"/>
        <v>0</v>
      </c>
      <c r="CU841" s="8">
        <f t="shared" si="602"/>
        <v>0</v>
      </c>
      <c r="CV841" s="8">
        <f t="shared" si="603"/>
        <v>0</v>
      </c>
    </row>
    <row r="842" spans="1:100" ht="20.5" thickTop="1" thickBot="1" x14ac:dyDescent="0.5">
      <c r="A842" s="32"/>
      <c r="B842" s="10"/>
      <c r="C842" s="10"/>
      <c r="D842" s="11"/>
      <c r="E842" s="10"/>
      <c r="F842" s="10"/>
      <c r="G842" s="19"/>
      <c r="H842" s="19"/>
      <c r="I842" s="19"/>
      <c r="J842" s="19"/>
      <c r="K842" s="10"/>
      <c r="L842" s="10"/>
      <c r="M842" s="10"/>
      <c r="N842" s="10"/>
      <c r="O842" s="18"/>
      <c r="P842" s="18"/>
      <c r="Q842" s="21"/>
      <c r="R842" s="20"/>
      <c r="S842" s="16">
        <f t="shared" si="605"/>
        <v>0</v>
      </c>
      <c r="T842" s="11"/>
      <c r="AS842" s="31">
        <f t="shared" si="606"/>
        <v>0</v>
      </c>
      <c r="AT842" s="31">
        <f t="shared" si="607"/>
        <v>0</v>
      </c>
      <c r="AU842" s="31">
        <f t="shared" si="608"/>
        <v>0</v>
      </c>
      <c r="AV842" s="31">
        <f t="shared" si="609"/>
        <v>0</v>
      </c>
      <c r="AW842" s="31">
        <f t="shared" si="610"/>
        <v>0</v>
      </c>
      <c r="AX842" s="31">
        <f t="shared" si="611"/>
        <v>0</v>
      </c>
      <c r="AY842" s="31">
        <f t="shared" si="612"/>
        <v>0</v>
      </c>
      <c r="AZ842" s="31">
        <f t="shared" si="613"/>
        <v>0</v>
      </c>
      <c r="BA842" s="31">
        <f t="shared" si="614"/>
        <v>0</v>
      </c>
      <c r="BB842" s="31">
        <f t="shared" si="643"/>
        <v>0</v>
      </c>
      <c r="BM842" s="8">
        <f t="shared" si="644"/>
        <v>0</v>
      </c>
      <c r="BN842" s="8">
        <f t="shared" si="615"/>
        <v>0</v>
      </c>
      <c r="BO842" s="8">
        <f t="shared" si="616"/>
        <v>0</v>
      </c>
      <c r="BQ842" s="8">
        <f t="shared" si="617"/>
        <v>0</v>
      </c>
      <c r="BR842" s="63">
        <f t="shared" si="618"/>
        <v>0</v>
      </c>
      <c r="BS842" s="63">
        <f t="shared" si="645"/>
        <v>0</v>
      </c>
      <c r="BT842" s="63">
        <f t="shared" si="619"/>
        <v>0</v>
      </c>
      <c r="BU842" s="63">
        <f t="shared" si="620"/>
        <v>0</v>
      </c>
      <c r="BV842" s="57">
        <f t="shared" si="621"/>
        <v>0</v>
      </c>
      <c r="BW842" s="57">
        <f t="shared" si="622"/>
        <v>0</v>
      </c>
      <c r="BX842" s="57">
        <f t="shared" si="646"/>
        <v>0</v>
      </c>
      <c r="BY842" s="57">
        <f t="shared" si="604"/>
        <v>0</v>
      </c>
      <c r="BZ842" s="8">
        <f t="shared" si="623"/>
        <v>0</v>
      </c>
      <c r="CA842" s="8">
        <f t="shared" si="624"/>
        <v>0</v>
      </c>
      <c r="CB842" s="8">
        <f t="shared" si="625"/>
        <v>0</v>
      </c>
      <c r="CC842" s="8">
        <f t="shared" si="626"/>
        <v>0</v>
      </c>
      <c r="CD842" s="8">
        <f t="shared" si="627"/>
        <v>0</v>
      </c>
      <c r="CE842" s="8">
        <f t="shared" si="628"/>
        <v>0</v>
      </c>
      <c r="CF842" s="8">
        <f t="shared" si="629"/>
        <v>0</v>
      </c>
      <c r="CG842" s="8">
        <f t="shared" si="630"/>
        <v>0</v>
      </c>
      <c r="CH842" s="8">
        <f t="shared" si="631"/>
        <v>0</v>
      </c>
      <c r="CI842" s="8">
        <f t="shared" si="632"/>
        <v>0</v>
      </c>
      <c r="CJ842" s="8">
        <f t="shared" si="633"/>
        <v>0</v>
      </c>
      <c r="CK842" s="8">
        <f t="shared" si="634"/>
        <v>0</v>
      </c>
      <c r="CL842" s="8">
        <f t="shared" si="635"/>
        <v>0</v>
      </c>
      <c r="CM842" s="8">
        <f t="shared" si="636"/>
        <v>0</v>
      </c>
      <c r="CN842" s="8">
        <f t="shared" si="637"/>
        <v>0</v>
      </c>
      <c r="CO842" s="8">
        <f t="shared" si="638"/>
        <v>0</v>
      </c>
      <c r="CP842" s="8">
        <f t="shared" si="639"/>
        <v>0</v>
      </c>
      <c r="CQ842" s="8">
        <f t="shared" si="640"/>
        <v>0</v>
      </c>
      <c r="CR842" s="8">
        <f t="shared" si="641"/>
        <v>0</v>
      </c>
      <c r="CS842" s="8">
        <f t="shared" si="642"/>
        <v>0</v>
      </c>
      <c r="CT842" s="8">
        <f t="shared" si="601"/>
        <v>0</v>
      </c>
      <c r="CU842" s="8">
        <f t="shared" si="602"/>
        <v>0</v>
      </c>
      <c r="CV842" s="8">
        <f t="shared" si="603"/>
        <v>0</v>
      </c>
    </row>
    <row r="843" spans="1:100" ht="20.5" thickTop="1" thickBot="1" x14ac:dyDescent="0.5">
      <c r="A843" s="32"/>
      <c r="B843" s="10"/>
      <c r="C843" s="10"/>
      <c r="D843" s="11"/>
      <c r="E843" s="10"/>
      <c r="F843" s="10"/>
      <c r="G843" s="19"/>
      <c r="H843" s="19"/>
      <c r="I843" s="19"/>
      <c r="J843" s="19"/>
      <c r="K843" s="10"/>
      <c r="L843" s="10"/>
      <c r="M843" s="10"/>
      <c r="N843" s="10"/>
      <c r="O843" s="18"/>
      <c r="P843" s="18"/>
      <c r="Q843" s="21"/>
      <c r="R843" s="20"/>
      <c r="S843" s="16">
        <f t="shared" si="605"/>
        <v>0</v>
      </c>
      <c r="T843" s="11"/>
      <c r="AS843" s="31">
        <f t="shared" si="606"/>
        <v>0</v>
      </c>
      <c r="AT843" s="31">
        <f t="shared" si="607"/>
        <v>0</v>
      </c>
      <c r="AU843" s="31">
        <f t="shared" si="608"/>
        <v>0</v>
      </c>
      <c r="AV843" s="31">
        <f t="shared" si="609"/>
        <v>0</v>
      </c>
      <c r="AW843" s="31">
        <f t="shared" si="610"/>
        <v>0</v>
      </c>
      <c r="AX843" s="31">
        <f t="shared" si="611"/>
        <v>0</v>
      </c>
      <c r="AY843" s="31">
        <f t="shared" si="612"/>
        <v>0</v>
      </c>
      <c r="AZ843" s="31">
        <f t="shared" si="613"/>
        <v>0</v>
      </c>
      <c r="BA843" s="31">
        <f t="shared" si="614"/>
        <v>0</v>
      </c>
      <c r="BB843" s="31">
        <f t="shared" si="643"/>
        <v>0</v>
      </c>
      <c r="BM843" s="8">
        <f t="shared" si="644"/>
        <v>0</v>
      </c>
      <c r="BN843" s="8">
        <f t="shared" si="615"/>
        <v>0</v>
      </c>
      <c r="BO843" s="8">
        <f t="shared" si="616"/>
        <v>0</v>
      </c>
      <c r="BQ843" s="8">
        <f t="shared" si="617"/>
        <v>0</v>
      </c>
      <c r="BR843" s="63">
        <f t="shared" si="618"/>
        <v>0</v>
      </c>
      <c r="BS843" s="63">
        <f t="shared" si="645"/>
        <v>0</v>
      </c>
      <c r="BT843" s="63">
        <f t="shared" si="619"/>
        <v>0</v>
      </c>
      <c r="BU843" s="63">
        <f t="shared" si="620"/>
        <v>0</v>
      </c>
      <c r="BV843" s="57">
        <f t="shared" si="621"/>
        <v>0</v>
      </c>
      <c r="BW843" s="57">
        <f t="shared" si="622"/>
        <v>0</v>
      </c>
      <c r="BX843" s="57">
        <f t="shared" si="646"/>
        <v>0</v>
      </c>
      <c r="BY843" s="57">
        <f t="shared" si="604"/>
        <v>0</v>
      </c>
      <c r="BZ843" s="8">
        <f t="shared" si="623"/>
        <v>0</v>
      </c>
      <c r="CA843" s="8">
        <f t="shared" si="624"/>
        <v>0</v>
      </c>
      <c r="CB843" s="8">
        <f t="shared" si="625"/>
        <v>0</v>
      </c>
      <c r="CC843" s="8">
        <f t="shared" si="626"/>
        <v>0</v>
      </c>
      <c r="CD843" s="8">
        <f t="shared" si="627"/>
        <v>0</v>
      </c>
      <c r="CE843" s="8">
        <f t="shared" si="628"/>
        <v>0</v>
      </c>
      <c r="CF843" s="8">
        <f t="shared" si="629"/>
        <v>0</v>
      </c>
      <c r="CG843" s="8">
        <f t="shared" si="630"/>
        <v>0</v>
      </c>
      <c r="CH843" s="8">
        <f t="shared" si="631"/>
        <v>0</v>
      </c>
      <c r="CI843" s="8">
        <f t="shared" si="632"/>
        <v>0</v>
      </c>
      <c r="CJ843" s="8">
        <f t="shared" si="633"/>
        <v>0</v>
      </c>
      <c r="CK843" s="8">
        <f t="shared" si="634"/>
        <v>0</v>
      </c>
      <c r="CL843" s="8">
        <f t="shared" si="635"/>
        <v>0</v>
      </c>
      <c r="CM843" s="8">
        <f t="shared" si="636"/>
        <v>0</v>
      </c>
      <c r="CN843" s="8">
        <f t="shared" si="637"/>
        <v>0</v>
      </c>
      <c r="CO843" s="8">
        <f t="shared" si="638"/>
        <v>0</v>
      </c>
      <c r="CP843" s="8">
        <f t="shared" si="639"/>
        <v>0</v>
      </c>
      <c r="CQ843" s="8">
        <f t="shared" si="640"/>
        <v>0</v>
      </c>
      <c r="CR843" s="8">
        <f t="shared" si="641"/>
        <v>0</v>
      </c>
      <c r="CS843" s="8">
        <f t="shared" si="642"/>
        <v>0</v>
      </c>
      <c r="CT843" s="8">
        <f t="shared" si="601"/>
        <v>0</v>
      </c>
      <c r="CU843" s="8">
        <f t="shared" si="602"/>
        <v>0</v>
      </c>
      <c r="CV843" s="8">
        <f t="shared" si="603"/>
        <v>0</v>
      </c>
    </row>
    <row r="844" spans="1:100" ht="20.5" thickTop="1" thickBot="1" x14ac:dyDescent="0.5">
      <c r="A844" s="32"/>
      <c r="B844" s="10"/>
      <c r="C844" s="10"/>
      <c r="D844" s="11"/>
      <c r="E844" s="10"/>
      <c r="F844" s="10"/>
      <c r="G844" s="19"/>
      <c r="H844" s="19"/>
      <c r="I844" s="19"/>
      <c r="J844" s="19"/>
      <c r="K844" s="10"/>
      <c r="L844" s="10"/>
      <c r="M844" s="10"/>
      <c r="N844" s="10"/>
      <c r="O844" s="18"/>
      <c r="P844" s="18"/>
      <c r="Q844" s="21"/>
      <c r="R844" s="20"/>
      <c r="S844" s="16">
        <f t="shared" si="605"/>
        <v>0</v>
      </c>
      <c r="T844" s="11"/>
      <c r="AS844" s="31">
        <f t="shared" si="606"/>
        <v>0</v>
      </c>
      <c r="AT844" s="31">
        <f t="shared" si="607"/>
        <v>0</v>
      </c>
      <c r="AU844" s="31">
        <f t="shared" si="608"/>
        <v>0</v>
      </c>
      <c r="AV844" s="31">
        <f t="shared" si="609"/>
        <v>0</v>
      </c>
      <c r="AW844" s="31">
        <f t="shared" si="610"/>
        <v>0</v>
      </c>
      <c r="AX844" s="31">
        <f t="shared" si="611"/>
        <v>0</v>
      </c>
      <c r="AY844" s="31">
        <f t="shared" si="612"/>
        <v>0</v>
      </c>
      <c r="AZ844" s="31">
        <f t="shared" si="613"/>
        <v>0</v>
      </c>
      <c r="BA844" s="31">
        <f t="shared" si="614"/>
        <v>0</v>
      </c>
      <c r="BB844" s="31">
        <f t="shared" si="643"/>
        <v>0</v>
      </c>
      <c r="BM844" s="8">
        <f t="shared" si="644"/>
        <v>0</v>
      </c>
      <c r="BN844" s="8">
        <f t="shared" si="615"/>
        <v>0</v>
      </c>
      <c r="BO844" s="8">
        <f t="shared" si="616"/>
        <v>0</v>
      </c>
      <c r="BQ844" s="8">
        <f t="shared" si="617"/>
        <v>0</v>
      </c>
      <c r="BR844" s="63">
        <f t="shared" si="618"/>
        <v>0</v>
      </c>
      <c r="BS844" s="63">
        <f t="shared" si="645"/>
        <v>0</v>
      </c>
      <c r="BT844" s="63">
        <f t="shared" si="619"/>
        <v>0</v>
      </c>
      <c r="BU844" s="63">
        <f t="shared" si="620"/>
        <v>0</v>
      </c>
      <c r="BV844" s="57">
        <f t="shared" si="621"/>
        <v>0</v>
      </c>
      <c r="BW844" s="57">
        <f t="shared" si="622"/>
        <v>0</v>
      </c>
      <c r="BX844" s="57">
        <f t="shared" si="646"/>
        <v>0</v>
      </c>
      <c r="BY844" s="57">
        <f t="shared" si="604"/>
        <v>0</v>
      </c>
      <c r="BZ844" s="8">
        <f t="shared" si="623"/>
        <v>0</v>
      </c>
      <c r="CA844" s="8">
        <f t="shared" si="624"/>
        <v>0</v>
      </c>
      <c r="CB844" s="8">
        <f t="shared" si="625"/>
        <v>0</v>
      </c>
      <c r="CC844" s="8">
        <f t="shared" si="626"/>
        <v>0</v>
      </c>
      <c r="CD844" s="8">
        <f t="shared" si="627"/>
        <v>0</v>
      </c>
      <c r="CE844" s="8">
        <f t="shared" si="628"/>
        <v>0</v>
      </c>
      <c r="CF844" s="8">
        <f t="shared" si="629"/>
        <v>0</v>
      </c>
      <c r="CG844" s="8">
        <f t="shared" si="630"/>
        <v>0</v>
      </c>
      <c r="CH844" s="8">
        <f t="shared" si="631"/>
        <v>0</v>
      </c>
      <c r="CI844" s="8">
        <f t="shared" si="632"/>
        <v>0</v>
      </c>
      <c r="CJ844" s="8">
        <f t="shared" si="633"/>
        <v>0</v>
      </c>
      <c r="CK844" s="8">
        <f t="shared" si="634"/>
        <v>0</v>
      </c>
      <c r="CL844" s="8">
        <f t="shared" si="635"/>
        <v>0</v>
      </c>
      <c r="CM844" s="8">
        <f t="shared" si="636"/>
        <v>0</v>
      </c>
      <c r="CN844" s="8">
        <f t="shared" si="637"/>
        <v>0</v>
      </c>
      <c r="CO844" s="8">
        <f t="shared" si="638"/>
        <v>0</v>
      </c>
      <c r="CP844" s="8">
        <f t="shared" si="639"/>
        <v>0</v>
      </c>
      <c r="CQ844" s="8">
        <f t="shared" si="640"/>
        <v>0</v>
      </c>
      <c r="CR844" s="8">
        <f t="shared" si="641"/>
        <v>0</v>
      </c>
      <c r="CS844" s="8">
        <f t="shared" si="642"/>
        <v>0</v>
      </c>
      <c r="CT844" s="8">
        <f t="shared" si="601"/>
        <v>0</v>
      </c>
      <c r="CU844" s="8">
        <f t="shared" si="602"/>
        <v>0</v>
      </c>
      <c r="CV844" s="8">
        <f t="shared" si="603"/>
        <v>0</v>
      </c>
    </row>
    <row r="845" spans="1:100" ht="20.5" thickTop="1" thickBot="1" x14ac:dyDescent="0.5">
      <c r="A845" s="32"/>
      <c r="B845" s="10"/>
      <c r="C845" s="10"/>
      <c r="D845" s="11"/>
      <c r="E845" s="10"/>
      <c r="F845" s="10"/>
      <c r="G845" s="19"/>
      <c r="H845" s="19"/>
      <c r="I845" s="19"/>
      <c r="J845" s="19"/>
      <c r="K845" s="10"/>
      <c r="L845" s="10"/>
      <c r="M845" s="10"/>
      <c r="N845" s="10"/>
      <c r="O845" s="18"/>
      <c r="P845" s="18"/>
      <c r="Q845" s="21"/>
      <c r="R845" s="20"/>
      <c r="S845" s="16">
        <f t="shared" si="605"/>
        <v>0</v>
      </c>
      <c r="T845" s="11"/>
      <c r="AS845" s="31">
        <f t="shared" si="606"/>
        <v>0</v>
      </c>
      <c r="AT845" s="31">
        <f t="shared" si="607"/>
        <v>0</v>
      </c>
      <c r="AU845" s="31">
        <f t="shared" si="608"/>
        <v>0</v>
      </c>
      <c r="AV845" s="31">
        <f t="shared" si="609"/>
        <v>0</v>
      </c>
      <c r="AW845" s="31">
        <f t="shared" si="610"/>
        <v>0</v>
      </c>
      <c r="AX845" s="31">
        <f t="shared" si="611"/>
        <v>0</v>
      </c>
      <c r="AY845" s="31">
        <f t="shared" si="612"/>
        <v>0</v>
      </c>
      <c r="AZ845" s="31">
        <f t="shared" si="613"/>
        <v>0</v>
      </c>
      <c r="BA845" s="31">
        <f t="shared" si="614"/>
        <v>0</v>
      </c>
      <c r="BB845" s="31">
        <f t="shared" si="643"/>
        <v>0</v>
      </c>
      <c r="BM845" s="8">
        <f t="shared" si="644"/>
        <v>0</v>
      </c>
      <c r="BN845" s="8">
        <f t="shared" si="615"/>
        <v>0</v>
      </c>
      <c r="BO845" s="8">
        <f t="shared" si="616"/>
        <v>0</v>
      </c>
      <c r="BQ845" s="8">
        <f t="shared" si="617"/>
        <v>0</v>
      </c>
      <c r="BR845" s="63">
        <f t="shared" si="618"/>
        <v>0</v>
      </c>
      <c r="BS845" s="63">
        <f t="shared" si="645"/>
        <v>0</v>
      </c>
      <c r="BT845" s="63">
        <f t="shared" si="619"/>
        <v>0</v>
      </c>
      <c r="BU845" s="63">
        <f t="shared" si="620"/>
        <v>0</v>
      </c>
      <c r="BV845" s="57">
        <f t="shared" si="621"/>
        <v>0</v>
      </c>
      <c r="BW845" s="57">
        <f t="shared" si="622"/>
        <v>0</v>
      </c>
      <c r="BX845" s="57">
        <f t="shared" si="646"/>
        <v>0</v>
      </c>
      <c r="BY845" s="57">
        <f t="shared" si="604"/>
        <v>0</v>
      </c>
      <c r="BZ845" s="8">
        <f t="shared" si="623"/>
        <v>0</v>
      </c>
      <c r="CA845" s="8">
        <f t="shared" si="624"/>
        <v>0</v>
      </c>
      <c r="CB845" s="8">
        <f t="shared" si="625"/>
        <v>0</v>
      </c>
      <c r="CC845" s="8">
        <f t="shared" si="626"/>
        <v>0</v>
      </c>
      <c r="CD845" s="8">
        <f t="shared" si="627"/>
        <v>0</v>
      </c>
      <c r="CE845" s="8">
        <f t="shared" si="628"/>
        <v>0</v>
      </c>
      <c r="CF845" s="8">
        <f t="shared" si="629"/>
        <v>0</v>
      </c>
      <c r="CG845" s="8">
        <f t="shared" si="630"/>
        <v>0</v>
      </c>
      <c r="CH845" s="8">
        <f t="shared" si="631"/>
        <v>0</v>
      </c>
      <c r="CI845" s="8">
        <f t="shared" si="632"/>
        <v>0</v>
      </c>
      <c r="CJ845" s="8">
        <f t="shared" si="633"/>
        <v>0</v>
      </c>
      <c r="CK845" s="8">
        <f t="shared" si="634"/>
        <v>0</v>
      </c>
      <c r="CL845" s="8">
        <f t="shared" si="635"/>
        <v>0</v>
      </c>
      <c r="CM845" s="8">
        <f t="shared" si="636"/>
        <v>0</v>
      </c>
      <c r="CN845" s="8">
        <f t="shared" si="637"/>
        <v>0</v>
      </c>
      <c r="CO845" s="8">
        <f t="shared" si="638"/>
        <v>0</v>
      </c>
      <c r="CP845" s="8">
        <f t="shared" si="639"/>
        <v>0</v>
      </c>
      <c r="CQ845" s="8">
        <f t="shared" si="640"/>
        <v>0</v>
      </c>
      <c r="CR845" s="8">
        <f t="shared" si="641"/>
        <v>0</v>
      </c>
      <c r="CS845" s="8">
        <f t="shared" si="642"/>
        <v>0</v>
      </c>
      <c r="CT845" s="8">
        <f t="shared" ref="CT845:CT908" si="647">IF(AND(J845&gt;0,OR(B845="MB",B845="new MB")),J845,0)*4+IF(AND(J845&gt;0,OR(C845="MB",C845="new MB")),J845,0)*4</f>
        <v>0</v>
      </c>
      <c r="CU845" s="8">
        <f t="shared" ref="CU845:CU908" si="648">IF(AND(I845&gt;0,OR(B845="MB",B845="new MB")),I845,0)*4+IF(AND(I845&gt;0,OR(C845="MB",C845="new MB")),I845,0)*4</f>
        <v>0</v>
      </c>
      <c r="CV845" s="8">
        <f t="shared" ref="CV845:CV908" si="649">IF(AND(H845&gt;0,OR(B845="MB",B845="new MB")),H845,0)*4+IF(AND(H845&gt;0,OR(C845="MB",C845="new MB")),H845,0)*4</f>
        <v>0</v>
      </c>
    </row>
    <row r="846" spans="1:100" ht="20.5" thickTop="1" thickBot="1" x14ac:dyDescent="0.5">
      <c r="A846" s="32"/>
      <c r="B846" s="10"/>
      <c r="C846" s="10"/>
      <c r="D846" s="11"/>
      <c r="E846" s="10"/>
      <c r="F846" s="10"/>
      <c r="G846" s="19"/>
      <c r="H846" s="19"/>
      <c r="I846" s="19"/>
      <c r="J846" s="19"/>
      <c r="K846" s="10"/>
      <c r="L846" s="10"/>
      <c r="M846" s="10"/>
      <c r="N846" s="10"/>
      <c r="O846" s="18"/>
      <c r="P846" s="18"/>
      <c r="Q846" s="21"/>
      <c r="R846" s="20"/>
      <c r="S846" s="16">
        <f t="shared" si="605"/>
        <v>0</v>
      </c>
      <c r="T846" s="11"/>
      <c r="AS846" s="31">
        <f t="shared" si="606"/>
        <v>0</v>
      </c>
      <c r="AT846" s="31">
        <f t="shared" si="607"/>
        <v>0</v>
      </c>
      <c r="AU846" s="31">
        <f t="shared" si="608"/>
        <v>0</v>
      </c>
      <c r="AV846" s="31">
        <f t="shared" si="609"/>
        <v>0</v>
      </c>
      <c r="AW846" s="31">
        <f t="shared" si="610"/>
        <v>0</v>
      </c>
      <c r="AX846" s="31">
        <f t="shared" si="611"/>
        <v>0</v>
      </c>
      <c r="AY846" s="31">
        <f t="shared" si="612"/>
        <v>0</v>
      </c>
      <c r="AZ846" s="31">
        <f t="shared" si="613"/>
        <v>0</v>
      </c>
      <c r="BA846" s="31">
        <f t="shared" si="614"/>
        <v>0</v>
      </c>
      <c r="BB846" s="31">
        <f t="shared" si="643"/>
        <v>0</v>
      </c>
      <c r="BM846" s="8">
        <f t="shared" si="644"/>
        <v>0</v>
      </c>
      <c r="BN846" s="8">
        <f t="shared" si="615"/>
        <v>0</v>
      </c>
      <c r="BO846" s="8">
        <f t="shared" si="616"/>
        <v>0</v>
      </c>
      <c r="BQ846" s="8">
        <f t="shared" si="617"/>
        <v>0</v>
      </c>
      <c r="BR846" s="63">
        <f t="shared" si="618"/>
        <v>0</v>
      </c>
      <c r="BS846" s="63">
        <f t="shared" si="645"/>
        <v>0</v>
      </c>
      <c r="BT846" s="63">
        <f t="shared" si="619"/>
        <v>0</v>
      </c>
      <c r="BU846" s="63">
        <f t="shared" si="620"/>
        <v>0</v>
      </c>
      <c r="BV846" s="57">
        <f t="shared" si="621"/>
        <v>0</v>
      </c>
      <c r="BW846" s="57">
        <f t="shared" si="622"/>
        <v>0</v>
      </c>
      <c r="BX846" s="57">
        <f t="shared" si="646"/>
        <v>0</v>
      </c>
      <c r="BY846" s="57">
        <f t="shared" si="604"/>
        <v>0</v>
      </c>
      <c r="BZ846" s="8">
        <f t="shared" si="623"/>
        <v>0</v>
      </c>
      <c r="CA846" s="8">
        <f t="shared" si="624"/>
        <v>0</v>
      </c>
      <c r="CB846" s="8">
        <f t="shared" si="625"/>
        <v>0</v>
      </c>
      <c r="CC846" s="8">
        <f t="shared" si="626"/>
        <v>0</v>
      </c>
      <c r="CD846" s="8">
        <f t="shared" si="627"/>
        <v>0</v>
      </c>
      <c r="CE846" s="8">
        <f t="shared" si="628"/>
        <v>0</v>
      </c>
      <c r="CF846" s="8">
        <f t="shared" si="629"/>
        <v>0</v>
      </c>
      <c r="CG846" s="8">
        <f t="shared" si="630"/>
        <v>0</v>
      </c>
      <c r="CH846" s="8">
        <f t="shared" si="631"/>
        <v>0</v>
      </c>
      <c r="CI846" s="8">
        <f t="shared" si="632"/>
        <v>0</v>
      </c>
      <c r="CJ846" s="8">
        <f t="shared" si="633"/>
        <v>0</v>
      </c>
      <c r="CK846" s="8">
        <f t="shared" si="634"/>
        <v>0</v>
      </c>
      <c r="CL846" s="8">
        <f t="shared" si="635"/>
        <v>0</v>
      </c>
      <c r="CM846" s="8">
        <f t="shared" si="636"/>
        <v>0</v>
      </c>
      <c r="CN846" s="8">
        <f t="shared" si="637"/>
        <v>0</v>
      </c>
      <c r="CO846" s="8">
        <f t="shared" si="638"/>
        <v>0</v>
      </c>
      <c r="CP846" s="8">
        <f t="shared" si="639"/>
        <v>0</v>
      </c>
      <c r="CQ846" s="8">
        <f t="shared" si="640"/>
        <v>0</v>
      </c>
      <c r="CR846" s="8">
        <f t="shared" si="641"/>
        <v>0</v>
      </c>
      <c r="CS846" s="8">
        <f t="shared" si="642"/>
        <v>0</v>
      </c>
      <c r="CT846" s="8">
        <f t="shared" si="647"/>
        <v>0</v>
      </c>
      <c r="CU846" s="8">
        <f t="shared" si="648"/>
        <v>0</v>
      </c>
      <c r="CV846" s="8">
        <f t="shared" si="649"/>
        <v>0</v>
      </c>
    </row>
    <row r="847" spans="1:100" ht="20.5" thickTop="1" thickBot="1" x14ac:dyDescent="0.5">
      <c r="A847" s="32"/>
      <c r="B847" s="10"/>
      <c r="C847" s="10"/>
      <c r="D847" s="11"/>
      <c r="E847" s="10"/>
      <c r="F847" s="10"/>
      <c r="G847" s="19"/>
      <c r="H847" s="19"/>
      <c r="I847" s="19"/>
      <c r="J847" s="19"/>
      <c r="K847" s="10"/>
      <c r="L847" s="10"/>
      <c r="M847" s="10"/>
      <c r="N847" s="10"/>
      <c r="O847" s="18"/>
      <c r="P847" s="18"/>
      <c r="Q847" s="21"/>
      <c r="R847" s="20"/>
      <c r="S847" s="16">
        <f t="shared" si="605"/>
        <v>0</v>
      </c>
      <c r="T847" s="11"/>
      <c r="AS847" s="31">
        <f t="shared" si="606"/>
        <v>0</v>
      </c>
      <c r="AT847" s="31">
        <f t="shared" si="607"/>
        <v>0</v>
      </c>
      <c r="AU847" s="31">
        <f t="shared" si="608"/>
        <v>0</v>
      </c>
      <c r="AV847" s="31">
        <f t="shared" si="609"/>
        <v>0</v>
      </c>
      <c r="AW847" s="31">
        <f t="shared" si="610"/>
        <v>0</v>
      </c>
      <c r="AX847" s="31">
        <f t="shared" si="611"/>
        <v>0</v>
      </c>
      <c r="AY847" s="31">
        <f t="shared" si="612"/>
        <v>0</v>
      </c>
      <c r="AZ847" s="31">
        <f t="shared" si="613"/>
        <v>0</v>
      </c>
      <c r="BA847" s="31">
        <f t="shared" si="614"/>
        <v>0</v>
      </c>
      <c r="BB847" s="31">
        <f t="shared" si="643"/>
        <v>0</v>
      </c>
      <c r="BM847" s="8">
        <f t="shared" si="644"/>
        <v>0</v>
      </c>
      <c r="BN847" s="8">
        <f t="shared" si="615"/>
        <v>0</v>
      </c>
      <c r="BO847" s="8">
        <f t="shared" si="616"/>
        <v>0</v>
      </c>
      <c r="BQ847" s="8">
        <f t="shared" si="617"/>
        <v>0</v>
      </c>
      <c r="BR847" s="63">
        <f t="shared" si="618"/>
        <v>0</v>
      </c>
      <c r="BS847" s="63">
        <f t="shared" si="645"/>
        <v>0</v>
      </c>
      <c r="BT847" s="63">
        <f t="shared" si="619"/>
        <v>0</v>
      </c>
      <c r="BU847" s="63">
        <f t="shared" si="620"/>
        <v>0</v>
      </c>
      <c r="BV847" s="57">
        <f t="shared" si="621"/>
        <v>0</v>
      </c>
      <c r="BW847" s="57">
        <f t="shared" si="622"/>
        <v>0</v>
      </c>
      <c r="BX847" s="57">
        <f t="shared" si="646"/>
        <v>0</v>
      </c>
      <c r="BY847" s="57">
        <f t="shared" si="604"/>
        <v>0</v>
      </c>
      <c r="BZ847" s="8">
        <f t="shared" si="623"/>
        <v>0</v>
      </c>
      <c r="CA847" s="8">
        <f t="shared" si="624"/>
        <v>0</v>
      </c>
      <c r="CB847" s="8">
        <f t="shared" si="625"/>
        <v>0</v>
      </c>
      <c r="CC847" s="8">
        <f t="shared" si="626"/>
        <v>0</v>
      </c>
      <c r="CD847" s="8">
        <f t="shared" si="627"/>
        <v>0</v>
      </c>
      <c r="CE847" s="8">
        <f t="shared" si="628"/>
        <v>0</v>
      </c>
      <c r="CF847" s="8">
        <f t="shared" si="629"/>
        <v>0</v>
      </c>
      <c r="CG847" s="8">
        <f t="shared" si="630"/>
        <v>0</v>
      </c>
      <c r="CH847" s="8">
        <f t="shared" si="631"/>
        <v>0</v>
      </c>
      <c r="CI847" s="8">
        <f t="shared" si="632"/>
        <v>0</v>
      </c>
      <c r="CJ847" s="8">
        <f t="shared" si="633"/>
        <v>0</v>
      </c>
      <c r="CK847" s="8">
        <f t="shared" si="634"/>
        <v>0</v>
      </c>
      <c r="CL847" s="8">
        <f t="shared" si="635"/>
        <v>0</v>
      </c>
      <c r="CM847" s="8">
        <f t="shared" si="636"/>
        <v>0</v>
      </c>
      <c r="CN847" s="8">
        <f t="shared" si="637"/>
        <v>0</v>
      </c>
      <c r="CO847" s="8">
        <f t="shared" si="638"/>
        <v>0</v>
      </c>
      <c r="CP847" s="8">
        <f t="shared" si="639"/>
        <v>0</v>
      </c>
      <c r="CQ847" s="8">
        <f t="shared" si="640"/>
        <v>0</v>
      </c>
      <c r="CR847" s="8">
        <f t="shared" si="641"/>
        <v>0</v>
      </c>
      <c r="CS847" s="8">
        <f t="shared" si="642"/>
        <v>0</v>
      </c>
      <c r="CT847" s="8">
        <f t="shared" si="647"/>
        <v>0</v>
      </c>
      <c r="CU847" s="8">
        <f t="shared" si="648"/>
        <v>0</v>
      </c>
      <c r="CV847" s="8">
        <f t="shared" si="649"/>
        <v>0</v>
      </c>
    </row>
    <row r="848" spans="1:100" ht="20.5" thickTop="1" thickBot="1" x14ac:dyDescent="0.5">
      <c r="A848" s="32"/>
      <c r="B848" s="10"/>
      <c r="C848" s="10"/>
      <c r="D848" s="11"/>
      <c r="E848" s="10"/>
      <c r="F848" s="10"/>
      <c r="G848" s="19"/>
      <c r="H848" s="19"/>
      <c r="I848" s="19"/>
      <c r="J848" s="19"/>
      <c r="K848" s="10"/>
      <c r="L848" s="10"/>
      <c r="M848" s="10"/>
      <c r="N848" s="10"/>
      <c r="O848" s="18"/>
      <c r="P848" s="18"/>
      <c r="Q848" s="21"/>
      <c r="R848" s="20"/>
      <c r="S848" s="16">
        <f t="shared" si="605"/>
        <v>0</v>
      </c>
      <c r="T848" s="11"/>
      <c r="AS848" s="31">
        <f t="shared" si="606"/>
        <v>0</v>
      </c>
      <c r="AT848" s="31">
        <f t="shared" si="607"/>
        <v>0</v>
      </c>
      <c r="AU848" s="31">
        <f t="shared" si="608"/>
        <v>0</v>
      </c>
      <c r="AV848" s="31">
        <f t="shared" si="609"/>
        <v>0</v>
      </c>
      <c r="AW848" s="31">
        <f t="shared" si="610"/>
        <v>0</v>
      </c>
      <c r="AX848" s="31">
        <f t="shared" si="611"/>
        <v>0</v>
      </c>
      <c r="AY848" s="31">
        <f t="shared" si="612"/>
        <v>0</v>
      </c>
      <c r="AZ848" s="31">
        <f t="shared" si="613"/>
        <v>0</v>
      </c>
      <c r="BA848" s="31">
        <f t="shared" si="614"/>
        <v>0</v>
      </c>
      <c r="BB848" s="31">
        <f t="shared" si="643"/>
        <v>0</v>
      </c>
      <c r="BM848" s="8">
        <f t="shared" si="644"/>
        <v>0</v>
      </c>
      <c r="BN848" s="8">
        <f t="shared" si="615"/>
        <v>0</v>
      </c>
      <c r="BO848" s="8">
        <f t="shared" si="616"/>
        <v>0</v>
      </c>
      <c r="BQ848" s="8">
        <f t="shared" si="617"/>
        <v>0</v>
      </c>
      <c r="BR848" s="63">
        <f t="shared" si="618"/>
        <v>0</v>
      </c>
      <c r="BS848" s="63">
        <f t="shared" si="645"/>
        <v>0</v>
      </c>
      <c r="BT848" s="63">
        <f t="shared" si="619"/>
        <v>0</v>
      </c>
      <c r="BU848" s="63">
        <f t="shared" si="620"/>
        <v>0</v>
      </c>
      <c r="BV848" s="57">
        <f t="shared" si="621"/>
        <v>0</v>
      </c>
      <c r="BW848" s="57">
        <f t="shared" si="622"/>
        <v>0</v>
      </c>
      <c r="BX848" s="57">
        <f t="shared" si="646"/>
        <v>0</v>
      </c>
      <c r="BY848" s="57">
        <f t="shared" si="604"/>
        <v>0</v>
      </c>
      <c r="BZ848" s="8">
        <f t="shared" si="623"/>
        <v>0</v>
      </c>
      <c r="CA848" s="8">
        <f t="shared" si="624"/>
        <v>0</v>
      </c>
      <c r="CB848" s="8">
        <f t="shared" si="625"/>
        <v>0</v>
      </c>
      <c r="CC848" s="8">
        <f t="shared" si="626"/>
        <v>0</v>
      </c>
      <c r="CD848" s="8">
        <f t="shared" si="627"/>
        <v>0</v>
      </c>
      <c r="CE848" s="8">
        <f t="shared" si="628"/>
        <v>0</v>
      </c>
      <c r="CF848" s="8">
        <f t="shared" si="629"/>
        <v>0</v>
      </c>
      <c r="CG848" s="8">
        <f t="shared" si="630"/>
        <v>0</v>
      </c>
      <c r="CH848" s="8">
        <f t="shared" si="631"/>
        <v>0</v>
      </c>
      <c r="CI848" s="8">
        <f t="shared" si="632"/>
        <v>0</v>
      </c>
      <c r="CJ848" s="8">
        <f t="shared" si="633"/>
        <v>0</v>
      </c>
      <c r="CK848" s="8">
        <f t="shared" si="634"/>
        <v>0</v>
      </c>
      <c r="CL848" s="8">
        <f t="shared" si="635"/>
        <v>0</v>
      </c>
      <c r="CM848" s="8">
        <f t="shared" si="636"/>
        <v>0</v>
      </c>
      <c r="CN848" s="8">
        <f t="shared" si="637"/>
        <v>0</v>
      </c>
      <c r="CO848" s="8">
        <f t="shared" si="638"/>
        <v>0</v>
      </c>
      <c r="CP848" s="8">
        <f t="shared" si="639"/>
        <v>0</v>
      </c>
      <c r="CQ848" s="8">
        <f t="shared" si="640"/>
        <v>0</v>
      </c>
      <c r="CR848" s="8">
        <f t="shared" si="641"/>
        <v>0</v>
      </c>
      <c r="CS848" s="8">
        <f t="shared" si="642"/>
        <v>0</v>
      </c>
      <c r="CT848" s="8">
        <f t="shared" si="647"/>
        <v>0</v>
      </c>
      <c r="CU848" s="8">
        <f t="shared" si="648"/>
        <v>0</v>
      </c>
      <c r="CV848" s="8">
        <f t="shared" si="649"/>
        <v>0</v>
      </c>
    </row>
    <row r="849" spans="1:100" ht="20.5" thickTop="1" thickBot="1" x14ac:dyDescent="0.5">
      <c r="A849" s="32"/>
      <c r="B849" s="10"/>
      <c r="C849" s="10"/>
      <c r="D849" s="11"/>
      <c r="E849" s="10"/>
      <c r="F849" s="10"/>
      <c r="G849" s="19"/>
      <c r="H849" s="19"/>
      <c r="I849" s="19"/>
      <c r="J849" s="19"/>
      <c r="K849" s="10"/>
      <c r="L849" s="10"/>
      <c r="M849" s="10"/>
      <c r="N849" s="10"/>
      <c r="O849" s="18"/>
      <c r="P849" s="18"/>
      <c r="Q849" s="21"/>
      <c r="R849" s="20"/>
      <c r="S849" s="16">
        <f t="shared" si="605"/>
        <v>0</v>
      </c>
      <c r="T849" s="11"/>
      <c r="AS849" s="31">
        <f t="shared" si="606"/>
        <v>0</v>
      </c>
      <c r="AT849" s="31">
        <f t="shared" si="607"/>
        <v>0</v>
      </c>
      <c r="AU849" s="31">
        <f t="shared" si="608"/>
        <v>0</v>
      </c>
      <c r="AV849" s="31">
        <f t="shared" si="609"/>
        <v>0</v>
      </c>
      <c r="AW849" s="31">
        <f t="shared" si="610"/>
        <v>0</v>
      </c>
      <c r="AX849" s="31">
        <f t="shared" si="611"/>
        <v>0</v>
      </c>
      <c r="AY849" s="31">
        <f t="shared" si="612"/>
        <v>0</v>
      </c>
      <c r="AZ849" s="31">
        <f t="shared" si="613"/>
        <v>0</v>
      </c>
      <c r="BA849" s="31">
        <f t="shared" si="614"/>
        <v>0</v>
      </c>
      <c r="BB849" s="31">
        <f t="shared" si="643"/>
        <v>0</v>
      </c>
      <c r="BM849" s="8">
        <f t="shared" si="644"/>
        <v>0</v>
      </c>
      <c r="BN849" s="8">
        <f t="shared" si="615"/>
        <v>0</v>
      </c>
      <c r="BO849" s="8">
        <f t="shared" si="616"/>
        <v>0</v>
      </c>
      <c r="BQ849" s="8">
        <f t="shared" si="617"/>
        <v>0</v>
      </c>
      <c r="BR849" s="63">
        <f t="shared" si="618"/>
        <v>0</v>
      </c>
      <c r="BS849" s="63">
        <f t="shared" si="645"/>
        <v>0</v>
      </c>
      <c r="BT849" s="63">
        <f t="shared" si="619"/>
        <v>0</v>
      </c>
      <c r="BU849" s="63">
        <f t="shared" si="620"/>
        <v>0</v>
      </c>
      <c r="BV849" s="57">
        <f t="shared" si="621"/>
        <v>0</v>
      </c>
      <c r="BW849" s="57">
        <f t="shared" si="622"/>
        <v>0</v>
      </c>
      <c r="BX849" s="57">
        <f t="shared" si="646"/>
        <v>0</v>
      </c>
      <c r="BY849" s="57">
        <f t="shared" si="604"/>
        <v>0</v>
      </c>
      <c r="BZ849" s="8">
        <f t="shared" si="623"/>
        <v>0</v>
      </c>
      <c r="CA849" s="8">
        <f t="shared" si="624"/>
        <v>0</v>
      </c>
      <c r="CB849" s="8">
        <f t="shared" si="625"/>
        <v>0</v>
      </c>
      <c r="CC849" s="8">
        <f t="shared" si="626"/>
        <v>0</v>
      </c>
      <c r="CD849" s="8">
        <f t="shared" si="627"/>
        <v>0</v>
      </c>
      <c r="CE849" s="8">
        <f t="shared" si="628"/>
        <v>0</v>
      </c>
      <c r="CF849" s="8">
        <f t="shared" si="629"/>
        <v>0</v>
      </c>
      <c r="CG849" s="8">
        <f t="shared" si="630"/>
        <v>0</v>
      </c>
      <c r="CH849" s="8">
        <f t="shared" si="631"/>
        <v>0</v>
      </c>
      <c r="CI849" s="8">
        <f t="shared" si="632"/>
        <v>0</v>
      </c>
      <c r="CJ849" s="8">
        <f t="shared" si="633"/>
        <v>0</v>
      </c>
      <c r="CK849" s="8">
        <f t="shared" si="634"/>
        <v>0</v>
      </c>
      <c r="CL849" s="8">
        <f t="shared" si="635"/>
        <v>0</v>
      </c>
      <c r="CM849" s="8">
        <f t="shared" si="636"/>
        <v>0</v>
      </c>
      <c r="CN849" s="8">
        <f t="shared" si="637"/>
        <v>0</v>
      </c>
      <c r="CO849" s="8">
        <f t="shared" si="638"/>
        <v>0</v>
      </c>
      <c r="CP849" s="8">
        <f t="shared" si="639"/>
        <v>0</v>
      </c>
      <c r="CQ849" s="8">
        <f t="shared" si="640"/>
        <v>0</v>
      </c>
      <c r="CR849" s="8">
        <f t="shared" si="641"/>
        <v>0</v>
      </c>
      <c r="CS849" s="8">
        <f t="shared" si="642"/>
        <v>0</v>
      </c>
      <c r="CT849" s="8">
        <f t="shared" si="647"/>
        <v>0</v>
      </c>
      <c r="CU849" s="8">
        <f t="shared" si="648"/>
        <v>0</v>
      </c>
      <c r="CV849" s="8">
        <f t="shared" si="649"/>
        <v>0</v>
      </c>
    </row>
    <row r="850" spans="1:100" ht="20.5" thickTop="1" thickBot="1" x14ac:dyDescent="0.5">
      <c r="A850" s="32"/>
      <c r="B850" s="10"/>
      <c r="C850" s="10"/>
      <c r="D850" s="11"/>
      <c r="E850" s="10"/>
      <c r="F850" s="10"/>
      <c r="G850" s="19"/>
      <c r="H850" s="19"/>
      <c r="I850" s="19"/>
      <c r="J850" s="19"/>
      <c r="K850" s="10"/>
      <c r="L850" s="10"/>
      <c r="M850" s="10"/>
      <c r="N850" s="10"/>
      <c r="O850" s="18"/>
      <c r="P850" s="18"/>
      <c r="Q850" s="21"/>
      <c r="R850" s="20"/>
      <c r="S850" s="16">
        <f t="shared" si="605"/>
        <v>0</v>
      </c>
      <c r="T850" s="11"/>
      <c r="AS850" s="31">
        <f t="shared" si="606"/>
        <v>0</v>
      </c>
      <c r="AT850" s="31">
        <f t="shared" si="607"/>
        <v>0</v>
      </c>
      <c r="AU850" s="31">
        <f t="shared" si="608"/>
        <v>0</v>
      </c>
      <c r="AV850" s="31">
        <f t="shared" si="609"/>
        <v>0</v>
      </c>
      <c r="AW850" s="31">
        <f t="shared" si="610"/>
        <v>0</v>
      </c>
      <c r="AX850" s="31">
        <f t="shared" si="611"/>
        <v>0</v>
      </c>
      <c r="AY850" s="31">
        <f t="shared" si="612"/>
        <v>0</v>
      </c>
      <c r="AZ850" s="31">
        <f t="shared" si="613"/>
        <v>0</v>
      </c>
      <c r="BA850" s="31">
        <f t="shared" si="614"/>
        <v>0</v>
      </c>
      <c r="BB850" s="31">
        <f t="shared" si="643"/>
        <v>0</v>
      </c>
      <c r="BM850" s="8">
        <f t="shared" si="644"/>
        <v>0</v>
      </c>
      <c r="BN850" s="8">
        <f t="shared" si="615"/>
        <v>0</v>
      </c>
      <c r="BO850" s="8">
        <f t="shared" si="616"/>
        <v>0</v>
      </c>
      <c r="BQ850" s="8">
        <f t="shared" si="617"/>
        <v>0</v>
      </c>
      <c r="BR850" s="63">
        <f t="shared" si="618"/>
        <v>0</v>
      </c>
      <c r="BS850" s="63">
        <f t="shared" si="645"/>
        <v>0</v>
      </c>
      <c r="BT850" s="63">
        <f t="shared" si="619"/>
        <v>0</v>
      </c>
      <c r="BU850" s="63">
        <f t="shared" si="620"/>
        <v>0</v>
      </c>
      <c r="BV850" s="57">
        <f t="shared" si="621"/>
        <v>0</v>
      </c>
      <c r="BW850" s="57">
        <f t="shared" si="622"/>
        <v>0</v>
      </c>
      <c r="BX850" s="57">
        <f t="shared" si="646"/>
        <v>0</v>
      </c>
      <c r="BY850" s="57">
        <f t="shared" si="604"/>
        <v>0</v>
      </c>
      <c r="BZ850" s="8">
        <f t="shared" si="623"/>
        <v>0</v>
      </c>
      <c r="CA850" s="8">
        <f t="shared" si="624"/>
        <v>0</v>
      </c>
      <c r="CB850" s="8">
        <f t="shared" si="625"/>
        <v>0</v>
      </c>
      <c r="CC850" s="8">
        <f t="shared" si="626"/>
        <v>0</v>
      </c>
      <c r="CD850" s="8">
        <f t="shared" si="627"/>
        <v>0</v>
      </c>
      <c r="CE850" s="8">
        <f t="shared" si="628"/>
        <v>0</v>
      </c>
      <c r="CF850" s="8">
        <f t="shared" si="629"/>
        <v>0</v>
      </c>
      <c r="CG850" s="8">
        <f t="shared" si="630"/>
        <v>0</v>
      </c>
      <c r="CH850" s="8">
        <f t="shared" si="631"/>
        <v>0</v>
      </c>
      <c r="CI850" s="8">
        <f t="shared" si="632"/>
        <v>0</v>
      </c>
      <c r="CJ850" s="8">
        <f t="shared" si="633"/>
        <v>0</v>
      </c>
      <c r="CK850" s="8">
        <f t="shared" si="634"/>
        <v>0</v>
      </c>
      <c r="CL850" s="8">
        <f t="shared" si="635"/>
        <v>0</v>
      </c>
      <c r="CM850" s="8">
        <f t="shared" si="636"/>
        <v>0</v>
      </c>
      <c r="CN850" s="8">
        <f t="shared" si="637"/>
        <v>0</v>
      </c>
      <c r="CO850" s="8">
        <f t="shared" si="638"/>
        <v>0</v>
      </c>
      <c r="CP850" s="8">
        <f t="shared" si="639"/>
        <v>0</v>
      </c>
      <c r="CQ850" s="8">
        <f t="shared" si="640"/>
        <v>0</v>
      </c>
      <c r="CR850" s="8">
        <f t="shared" si="641"/>
        <v>0</v>
      </c>
      <c r="CS850" s="8">
        <f t="shared" si="642"/>
        <v>0</v>
      </c>
      <c r="CT850" s="8">
        <f t="shared" si="647"/>
        <v>0</v>
      </c>
      <c r="CU850" s="8">
        <f t="shared" si="648"/>
        <v>0</v>
      </c>
      <c r="CV850" s="8">
        <f t="shared" si="649"/>
        <v>0</v>
      </c>
    </row>
    <row r="851" spans="1:100" ht="20.5" thickTop="1" thickBot="1" x14ac:dyDescent="0.5">
      <c r="A851" s="32"/>
      <c r="B851" s="10"/>
      <c r="C851" s="10"/>
      <c r="D851" s="11"/>
      <c r="E851" s="10"/>
      <c r="F851" s="10"/>
      <c r="G851" s="19"/>
      <c r="H851" s="19"/>
      <c r="I851" s="19"/>
      <c r="J851" s="19"/>
      <c r="K851" s="10"/>
      <c r="L851" s="10"/>
      <c r="M851" s="10"/>
      <c r="N851" s="10"/>
      <c r="O851" s="18"/>
      <c r="P851" s="18"/>
      <c r="Q851" s="21"/>
      <c r="R851" s="20"/>
      <c r="S851" s="16">
        <f t="shared" si="605"/>
        <v>0</v>
      </c>
      <c r="T851" s="11"/>
      <c r="AS851" s="31">
        <f t="shared" si="606"/>
        <v>0</v>
      </c>
      <c r="AT851" s="31">
        <f t="shared" si="607"/>
        <v>0</v>
      </c>
      <c r="AU851" s="31">
        <f t="shared" si="608"/>
        <v>0</v>
      </c>
      <c r="AV851" s="31">
        <f t="shared" si="609"/>
        <v>0</v>
      </c>
      <c r="AW851" s="31">
        <f t="shared" si="610"/>
        <v>0</v>
      </c>
      <c r="AX851" s="31">
        <f t="shared" si="611"/>
        <v>0</v>
      </c>
      <c r="AY851" s="31">
        <f t="shared" si="612"/>
        <v>0</v>
      </c>
      <c r="AZ851" s="31">
        <f t="shared" si="613"/>
        <v>0</v>
      </c>
      <c r="BA851" s="31">
        <f t="shared" si="614"/>
        <v>0</v>
      </c>
      <c r="BB851" s="31">
        <f t="shared" si="643"/>
        <v>0</v>
      </c>
      <c r="BM851" s="8">
        <f t="shared" si="644"/>
        <v>0</v>
      </c>
      <c r="BN851" s="8">
        <f t="shared" si="615"/>
        <v>0</v>
      </c>
      <c r="BO851" s="8">
        <f t="shared" si="616"/>
        <v>0</v>
      </c>
      <c r="BQ851" s="8">
        <f t="shared" si="617"/>
        <v>0</v>
      </c>
      <c r="BR851" s="63">
        <f t="shared" si="618"/>
        <v>0</v>
      </c>
      <c r="BS851" s="63">
        <f t="shared" si="645"/>
        <v>0</v>
      </c>
      <c r="BT851" s="63">
        <f t="shared" si="619"/>
        <v>0</v>
      </c>
      <c r="BU851" s="63">
        <f t="shared" si="620"/>
        <v>0</v>
      </c>
      <c r="BV851" s="57">
        <f t="shared" si="621"/>
        <v>0</v>
      </c>
      <c r="BW851" s="57">
        <f t="shared" si="622"/>
        <v>0</v>
      </c>
      <c r="BX851" s="57">
        <f t="shared" si="646"/>
        <v>0</v>
      </c>
      <c r="BY851" s="57">
        <f t="shared" si="604"/>
        <v>0</v>
      </c>
      <c r="BZ851" s="8">
        <f t="shared" si="623"/>
        <v>0</v>
      </c>
      <c r="CA851" s="8">
        <f t="shared" si="624"/>
        <v>0</v>
      </c>
      <c r="CB851" s="8">
        <f t="shared" si="625"/>
        <v>0</v>
      </c>
      <c r="CC851" s="8">
        <f t="shared" si="626"/>
        <v>0</v>
      </c>
      <c r="CD851" s="8">
        <f t="shared" si="627"/>
        <v>0</v>
      </c>
      <c r="CE851" s="8">
        <f t="shared" si="628"/>
        <v>0</v>
      </c>
      <c r="CF851" s="8">
        <f t="shared" si="629"/>
        <v>0</v>
      </c>
      <c r="CG851" s="8">
        <f t="shared" si="630"/>
        <v>0</v>
      </c>
      <c r="CH851" s="8">
        <f t="shared" si="631"/>
        <v>0</v>
      </c>
      <c r="CI851" s="8">
        <f t="shared" si="632"/>
        <v>0</v>
      </c>
      <c r="CJ851" s="8">
        <f t="shared" si="633"/>
        <v>0</v>
      </c>
      <c r="CK851" s="8">
        <f t="shared" si="634"/>
        <v>0</v>
      </c>
      <c r="CL851" s="8">
        <f t="shared" si="635"/>
        <v>0</v>
      </c>
      <c r="CM851" s="8">
        <f t="shared" si="636"/>
        <v>0</v>
      </c>
      <c r="CN851" s="8">
        <f t="shared" si="637"/>
        <v>0</v>
      </c>
      <c r="CO851" s="8">
        <f t="shared" si="638"/>
        <v>0</v>
      </c>
      <c r="CP851" s="8">
        <f t="shared" si="639"/>
        <v>0</v>
      </c>
      <c r="CQ851" s="8">
        <f t="shared" si="640"/>
        <v>0</v>
      </c>
      <c r="CR851" s="8">
        <f t="shared" si="641"/>
        <v>0</v>
      </c>
      <c r="CS851" s="8">
        <f t="shared" si="642"/>
        <v>0</v>
      </c>
      <c r="CT851" s="8">
        <f t="shared" si="647"/>
        <v>0</v>
      </c>
      <c r="CU851" s="8">
        <f t="shared" si="648"/>
        <v>0</v>
      </c>
      <c r="CV851" s="8">
        <f t="shared" si="649"/>
        <v>0</v>
      </c>
    </row>
    <row r="852" spans="1:100" ht="20.5" thickTop="1" thickBot="1" x14ac:dyDescent="0.5">
      <c r="A852" s="32"/>
      <c r="B852" s="10"/>
      <c r="C852" s="10"/>
      <c r="D852" s="11"/>
      <c r="E852" s="10"/>
      <c r="F852" s="10"/>
      <c r="G852" s="19"/>
      <c r="H852" s="19"/>
      <c r="I852" s="19"/>
      <c r="J852" s="19"/>
      <c r="K852" s="10"/>
      <c r="L852" s="10"/>
      <c r="M852" s="10"/>
      <c r="N852" s="10"/>
      <c r="O852" s="18"/>
      <c r="P852" s="18"/>
      <c r="Q852" s="21"/>
      <c r="R852" s="20"/>
      <c r="S852" s="16">
        <f t="shared" si="605"/>
        <v>0</v>
      </c>
      <c r="T852" s="11"/>
      <c r="AS852" s="31">
        <f t="shared" si="606"/>
        <v>0</v>
      </c>
      <c r="AT852" s="31">
        <f t="shared" si="607"/>
        <v>0</v>
      </c>
      <c r="AU852" s="31">
        <f t="shared" si="608"/>
        <v>0</v>
      </c>
      <c r="AV852" s="31">
        <f t="shared" si="609"/>
        <v>0</v>
      </c>
      <c r="AW852" s="31">
        <f t="shared" si="610"/>
        <v>0</v>
      </c>
      <c r="AX852" s="31">
        <f t="shared" si="611"/>
        <v>0</v>
      </c>
      <c r="AY852" s="31">
        <f t="shared" si="612"/>
        <v>0</v>
      </c>
      <c r="AZ852" s="31">
        <f t="shared" si="613"/>
        <v>0</v>
      </c>
      <c r="BA852" s="31">
        <f t="shared" si="614"/>
        <v>0</v>
      </c>
      <c r="BB852" s="31">
        <f t="shared" si="643"/>
        <v>0</v>
      </c>
      <c r="BM852" s="8">
        <f t="shared" si="644"/>
        <v>0</v>
      </c>
      <c r="BN852" s="8">
        <f t="shared" si="615"/>
        <v>0</v>
      </c>
      <c r="BO852" s="8">
        <f t="shared" si="616"/>
        <v>0</v>
      </c>
      <c r="BQ852" s="8">
        <f t="shared" si="617"/>
        <v>0</v>
      </c>
      <c r="BR852" s="63">
        <f t="shared" si="618"/>
        <v>0</v>
      </c>
      <c r="BS852" s="63">
        <f t="shared" si="645"/>
        <v>0</v>
      </c>
      <c r="BT852" s="63">
        <f t="shared" si="619"/>
        <v>0</v>
      </c>
      <c r="BU852" s="63">
        <f t="shared" si="620"/>
        <v>0</v>
      </c>
      <c r="BV852" s="57">
        <f t="shared" si="621"/>
        <v>0</v>
      </c>
      <c r="BW852" s="57">
        <f t="shared" si="622"/>
        <v>0</v>
      </c>
      <c r="BX852" s="57">
        <f t="shared" si="646"/>
        <v>0</v>
      </c>
      <c r="BY852" s="57">
        <f t="shared" si="604"/>
        <v>0</v>
      </c>
      <c r="BZ852" s="8">
        <f t="shared" si="623"/>
        <v>0</v>
      </c>
      <c r="CA852" s="8">
        <f t="shared" si="624"/>
        <v>0</v>
      </c>
      <c r="CB852" s="8">
        <f t="shared" si="625"/>
        <v>0</v>
      </c>
      <c r="CC852" s="8">
        <f t="shared" si="626"/>
        <v>0</v>
      </c>
      <c r="CD852" s="8">
        <f t="shared" si="627"/>
        <v>0</v>
      </c>
      <c r="CE852" s="8">
        <f t="shared" si="628"/>
        <v>0</v>
      </c>
      <c r="CF852" s="8">
        <f t="shared" si="629"/>
        <v>0</v>
      </c>
      <c r="CG852" s="8">
        <f t="shared" si="630"/>
        <v>0</v>
      </c>
      <c r="CH852" s="8">
        <f t="shared" si="631"/>
        <v>0</v>
      </c>
      <c r="CI852" s="8">
        <f t="shared" si="632"/>
        <v>0</v>
      </c>
      <c r="CJ852" s="8">
        <f t="shared" si="633"/>
        <v>0</v>
      </c>
      <c r="CK852" s="8">
        <f t="shared" si="634"/>
        <v>0</v>
      </c>
      <c r="CL852" s="8">
        <f t="shared" si="635"/>
        <v>0</v>
      </c>
      <c r="CM852" s="8">
        <f t="shared" si="636"/>
        <v>0</v>
      </c>
      <c r="CN852" s="8">
        <f t="shared" si="637"/>
        <v>0</v>
      </c>
      <c r="CO852" s="8">
        <f t="shared" si="638"/>
        <v>0</v>
      </c>
      <c r="CP852" s="8">
        <f t="shared" si="639"/>
        <v>0</v>
      </c>
      <c r="CQ852" s="8">
        <f t="shared" si="640"/>
        <v>0</v>
      </c>
      <c r="CR852" s="8">
        <f t="shared" si="641"/>
        <v>0</v>
      </c>
      <c r="CS852" s="8">
        <f t="shared" si="642"/>
        <v>0</v>
      </c>
      <c r="CT852" s="8">
        <f t="shared" si="647"/>
        <v>0</v>
      </c>
      <c r="CU852" s="8">
        <f t="shared" si="648"/>
        <v>0</v>
      </c>
      <c r="CV852" s="8">
        <f t="shared" si="649"/>
        <v>0</v>
      </c>
    </row>
    <row r="853" spans="1:100" ht="20.5" thickTop="1" thickBot="1" x14ac:dyDescent="0.5">
      <c r="A853" s="32"/>
      <c r="B853" s="10"/>
      <c r="C853" s="10"/>
      <c r="D853" s="11"/>
      <c r="E853" s="10"/>
      <c r="F853" s="10"/>
      <c r="G853" s="19"/>
      <c r="H853" s="19"/>
      <c r="I853" s="19"/>
      <c r="J853" s="19"/>
      <c r="K853" s="10"/>
      <c r="L853" s="10"/>
      <c r="M853" s="10"/>
      <c r="N853" s="10"/>
      <c r="O853" s="18"/>
      <c r="P853" s="18"/>
      <c r="Q853" s="21"/>
      <c r="R853" s="20"/>
      <c r="S853" s="16">
        <f t="shared" si="605"/>
        <v>0</v>
      </c>
      <c r="T853" s="11"/>
      <c r="AS853" s="31">
        <f t="shared" si="606"/>
        <v>0</v>
      </c>
      <c r="AT853" s="31">
        <f t="shared" si="607"/>
        <v>0</v>
      </c>
      <c r="AU853" s="31">
        <f t="shared" si="608"/>
        <v>0</v>
      </c>
      <c r="AV853" s="31">
        <f t="shared" si="609"/>
        <v>0</v>
      </c>
      <c r="AW853" s="31">
        <f t="shared" si="610"/>
        <v>0</v>
      </c>
      <c r="AX853" s="31">
        <f t="shared" si="611"/>
        <v>0</v>
      </c>
      <c r="AY853" s="31">
        <f t="shared" si="612"/>
        <v>0</v>
      </c>
      <c r="AZ853" s="31">
        <f t="shared" si="613"/>
        <v>0</v>
      </c>
      <c r="BA853" s="31">
        <f t="shared" si="614"/>
        <v>0</v>
      </c>
      <c r="BB853" s="31">
        <f t="shared" si="643"/>
        <v>0</v>
      </c>
      <c r="BM853" s="8">
        <f t="shared" si="644"/>
        <v>0</v>
      </c>
      <c r="BN853" s="8">
        <f t="shared" si="615"/>
        <v>0</v>
      </c>
      <c r="BO853" s="8">
        <f t="shared" si="616"/>
        <v>0</v>
      </c>
      <c r="BQ853" s="8">
        <f t="shared" si="617"/>
        <v>0</v>
      </c>
      <c r="BR853" s="63">
        <f t="shared" si="618"/>
        <v>0</v>
      </c>
      <c r="BS853" s="63">
        <f t="shared" si="645"/>
        <v>0</v>
      </c>
      <c r="BT853" s="63">
        <f t="shared" si="619"/>
        <v>0</v>
      </c>
      <c r="BU853" s="63">
        <f t="shared" si="620"/>
        <v>0</v>
      </c>
      <c r="BV853" s="57">
        <f t="shared" si="621"/>
        <v>0</v>
      </c>
      <c r="BW853" s="57">
        <f t="shared" si="622"/>
        <v>0</v>
      </c>
      <c r="BX853" s="57">
        <f t="shared" si="646"/>
        <v>0</v>
      </c>
      <c r="BY853" s="57">
        <f t="shared" si="604"/>
        <v>0</v>
      </c>
      <c r="BZ853" s="8">
        <f t="shared" si="623"/>
        <v>0</v>
      </c>
      <c r="CA853" s="8">
        <f t="shared" si="624"/>
        <v>0</v>
      </c>
      <c r="CB853" s="8">
        <f t="shared" si="625"/>
        <v>0</v>
      </c>
      <c r="CC853" s="8">
        <f t="shared" si="626"/>
        <v>0</v>
      </c>
      <c r="CD853" s="8">
        <f t="shared" si="627"/>
        <v>0</v>
      </c>
      <c r="CE853" s="8">
        <f t="shared" si="628"/>
        <v>0</v>
      </c>
      <c r="CF853" s="8">
        <f t="shared" si="629"/>
        <v>0</v>
      </c>
      <c r="CG853" s="8">
        <f t="shared" si="630"/>
        <v>0</v>
      </c>
      <c r="CH853" s="8">
        <f t="shared" si="631"/>
        <v>0</v>
      </c>
      <c r="CI853" s="8">
        <f t="shared" si="632"/>
        <v>0</v>
      </c>
      <c r="CJ853" s="8">
        <f t="shared" si="633"/>
        <v>0</v>
      </c>
      <c r="CK853" s="8">
        <f t="shared" si="634"/>
        <v>0</v>
      </c>
      <c r="CL853" s="8">
        <f t="shared" si="635"/>
        <v>0</v>
      </c>
      <c r="CM853" s="8">
        <f t="shared" si="636"/>
        <v>0</v>
      </c>
      <c r="CN853" s="8">
        <f t="shared" si="637"/>
        <v>0</v>
      </c>
      <c r="CO853" s="8">
        <f t="shared" si="638"/>
        <v>0</v>
      </c>
      <c r="CP853" s="8">
        <f t="shared" si="639"/>
        <v>0</v>
      </c>
      <c r="CQ853" s="8">
        <f t="shared" si="640"/>
        <v>0</v>
      </c>
      <c r="CR853" s="8">
        <f t="shared" si="641"/>
        <v>0</v>
      </c>
      <c r="CS853" s="8">
        <f t="shared" si="642"/>
        <v>0</v>
      </c>
      <c r="CT853" s="8">
        <f t="shared" si="647"/>
        <v>0</v>
      </c>
      <c r="CU853" s="8">
        <f t="shared" si="648"/>
        <v>0</v>
      </c>
      <c r="CV853" s="8">
        <f t="shared" si="649"/>
        <v>0</v>
      </c>
    </row>
    <row r="854" spans="1:100" ht="20.5" thickTop="1" thickBot="1" x14ac:dyDescent="0.5">
      <c r="A854" s="32"/>
      <c r="B854" s="10"/>
      <c r="C854" s="10"/>
      <c r="D854" s="11"/>
      <c r="E854" s="10"/>
      <c r="F854" s="10"/>
      <c r="G854" s="19"/>
      <c r="H854" s="19"/>
      <c r="I854" s="19"/>
      <c r="J854" s="19"/>
      <c r="K854" s="10"/>
      <c r="L854" s="10"/>
      <c r="M854" s="10"/>
      <c r="N854" s="10"/>
      <c r="O854" s="18"/>
      <c r="P854" s="18"/>
      <c r="Q854" s="21"/>
      <c r="R854" s="20"/>
      <c r="S854" s="16">
        <f t="shared" si="605"/>
        <v>0</v>
      </c>
      <c r="T854" s="11"/>
      <c r="AS854" s="31">
        <f t="shared" si="606"/>
        <v>0</v>
      </c>
      <c r="AT854" s="31">
        <f t="shared" si="607"/>
        <v>0</v>
      </c>
      <c r="AU854" s="31">
        <f t="shared" si="608"/>
        <v>0</v>
      </c>
      <c r="AV854" s="31">
        <f t="shared" si="609"/>
        <v>0</v>
      </c>
      <c r="AW854" s="31">
        <f t="shared" si="610"/>
        <v>0</v>
      </c>
      <c r="AX854" s="31">
        <f t="shared" si="611"/>
        <v>0</v>
      </c>
      <c r="AY854" s="31">
        <f t="shared" si="612"/>
        <v>0</v>
      </c>
      <c r="AZ854" s="31">
        <f t="shared" si="613"/>
        <v>0</v>
      </c>
      <c r="BA854" s="31">
        <f t="shared" si="614"/>
        <v>0</v>
      </c>
      <c r="BB854" s="31">
        <f t="shared" si="643"/>
        <v>0</v>
      </c>
      <c r="BM854" s="8">
        <f t="shared" si="644"/>
        <v>0</v>
      </c>
      <c r="BN854" s="8">
        <f t="shared" si="615"/>
        <v>0</v>
      </c>
      <c r="BO854" s="8">
        <f t="shared" si="616"/>
        <v>0</v>
      </c>
      <c r="BQ854" s="8">
        <f t="shared" si="617"/>
        <v>0</v>
      </c>
      <c r="BR854" s="63">
        <f t="shared" si="618"/>
        <v>0</v>
      </c>
      <c r="BS854" s="63">
        <f t="shared" si="645"/>
        <v>0</v>
      </c>
      <c r="BT854" s="63">
        <f t="shared" si="619"/>
        <v>0</v>
      </c>
      <c r="BU854" s="63">
        <f t="shared" si="620"/>
        <v>0</v>
      </c>
      <c r="BV854" s="57">
        <f t="shared" si="621"/>
        <v>0</v>
      </c>
      <c r="BW854" s="57">
        <f t="shared" si="622"/>
        <v>0</v>
      </c>
      <c r="BX854" s="57">
        <f t="shared" si="646"/>
        <v>0</v>
      </c>
      <c r="BY854" s="57">
        <f t="shared" si="604"/>
        <v>0</v>
      </c>
      <c r="BZ854" s="8">
        <f t="shared" si="623"/>
        <v>0</v>
      </c>
      <c r="CA854" s="8">
        <f t="shared" si="624"/>
        <v>0</v>
      </c>
      <c r="CB854" s="8">
        <f t="shared" si="625"/>
        <v>0</v>
      </c>
      <c r="CC854" s="8">
        <f t="shared" si="626"/>
        <v>0</v>
      </c>
      <c r="CD854" s="8">
        <f t="shared" si="627"/>
        <v>0</v>
      </c>
      <c r="CE854" s="8">
        <f t="shared" si="628"/>
        <v>0</v>
      </c>
      <c r="CF854" s="8">
        <f t="shared" si="629"/>
        <v>0</v>
      </c>
      <c r="CG854" s="8">
        <f t="shared" si="630"/>
        <v>0</v>
      </c>
      <c r="CH854" s="8">
        <f t="shared" si="631"/>
        <v>0</v>
      </c>
      <c r="CI854" s="8">
        <f t="shared" si="632"/>
        <v>0</v>
      </c>
      <c r="CJ854" s="8">
        <f t="shared" si="633"/>
        <v>0</v>
      </c>
      <c r="CK854" s="8">
        <f t="shared" si="634"/>
        <v>0</v>
      </c>
      <c r="CL854" s="8">
        <f t="shared" si="635"/>
        <v>0</v>
      </c>
      <c r="CM854" s="8">
        <f t="shared" si="636"/>
        <v>0</v>
      </c>
      <c r="CN854" s="8">
        <f t="shared" si="637"/>
        <v>0</v>
      </c>
      <c r="CO854" s="8">
        <f t="shared" si="638"/>
        <v>0</v>
      </c>
      <c r="CP854" s="8">
        <f t="shared" si="639"/>
        <v>0</v>
      </c>
      <c r="CQ854" s="8">
        <f t="shared" si="640"/>
        <v>0</v>
      </c>
      <c r="CR854" s="8">
        <f t="shared" si="641"/>
        <v>0</v>
      </c>
      <c r="CS854" s="8">
        <f t="shared" si="642"/>
        <v>0</v>
      </c>
      <c r="CT854" s="8">
        <f t="shared" si="647"/>
        <v>0</v>
      </c>
      <c r="CU854" s="8">
        <f t="shared" si="648"/>
        <v>0</v>
      </c>
      <c r="CV854" s="8">
        <f t="shared" si="649"/>
        <v>0</v>
      </c>
    </row>
    <row r="855" spans="1:100" ht="20.5" thickTop="1" thickBot="1" x14ac:dyDescent="0.5">
      <c r="A855" s="32"/>
      <c r="B855" s="10"/>
      <c r="C855" s="10"/>
      <c r="D855" s="11"/>
      <c r="E855" s="10"/>
      <c r="F855" s="10"/>
      <c r="G855" s="19"/>
      <c r="H855" s="19"/>
      <c r="I855" s="19"/>
      <c r="J855" s="19"/>
      <c r="K855" s="10"/>
      <c r="L855" s="10"/>
      <c r="M855" s="10"/>
      <c r="N855" s="10"/>
      <c r="O855" s="18"/>
      <c r="P855" s="18"/>
      <c r="Q855" s="21"/>
      <c r="R855" s="20"/>
      <c r="S855" s="16">
        <f t="shared" si="605"/>
        <v>0</v>
      </c>
      <c r="T855" s="11"/>
      <c r="AS855" s="31">
        <f t="shared" si="606"/>
        <v>0</v>
      </c>
      <c r="AT855" s="31">
        <f t="shared" si="607"/>
        <v>0</v>
      </c>
      <c r="AU855" s="31">
        <f t="shared" si="608"/>
        <v>0</v>
      </c>
      <c r="AV855" s="31">
        <f t="shared" si="609"/>
        <v>0</v>
      </c>
      <c r="AW855" s="31">
        <f t="shared" si="610"/>
        <v>0</v>
      </c>
      <c r="AX855" s="31">
        <f t="shared" si="611"/>
        <v>0</v>
      </c>
      <c r="AY855" s="31">
        <f t="shared" si="612"/>
        <v>0</v>
      </c>
      <c r="AZ855" s="31">
        <f t="shared" si="613"/>
        <v>0</v>
      </c>
      <c r="BA855" s="31">
        <f t="shared" si="614"/>
        <v>0</v>
      </c>
      <c r="BB855" s="31">
        <f t="shared" si="643"/>
        <v>0</v>
      </c>
      <c r="BM855" s="8">
        <f t="shared" si="644"/>
        <v>0</v>
      </c>
      <c r="BN855" s="8">
        <f t="shared" si="615"/>
        <v>0</v>
      </c>
      <c r="BO855" s="8">
        <f t="shared" si="616"/>
        <v>0</v>
      </c>
      <c r="BQ855" s="8">
        <f t="shared" si="617"/>
        <v>0</v>
      </c>
      <c r="BR855" s="63">
        <f t="shared" si="618"/>
        <v>0</v>
      </c>
      <c r="BS855" s="63">
        <f t="shared" si="645"/>
        <v>0</v>
      </c>
      <c r="BT855" s="63">
        <f t="shared" si="619"/>
        <v>0</v>
      </c>
      <c r="BU855" s="63">
        <f t="shared" si="620"/>
        <v>0</v>
      </c>
      <c r="BV855" s="57">
        <f t="shared" si="621"/>
        <v>0</v>
      </c>
      <c r="BW855" s="57">
        <f t="shared" si="622"/>
        <v>0</v>
      </c>
      <c r="BX855" s="57">
        <f t="shared" si="646"/>
        <v>0</v>
      </c>
      <c r="BY855" s="57">
        <f t="shared" si="604"/>
        <v>0</v>
      </c>
      <c r="BZ855" s="8">
        <f t="shared" si="623"/>
        <v>0</v>
      </c>
      <c r="CA855" s="8">
        <f t="shared" si="624"/>
        <v>0</v>
      </c>
      <c r="CB855" s="8">
        <f t="shared" si="625"/>
        <v>0</v>
      </c>
      <c r="CC855" s="8">
        <f t="shared" si="626"/>
        <v>0</v>
      </c>
      <c r="CD855" s="8">
        <f t="shared" si="627"/>
        <v>0</v>
      </c>
      <c r="CE855" s="8">
        <f t="shared" si="628"/>
        <v>0</v>
      </c>
      <c r="CF855" s="8">
        <f t="shared" si="629"/>
        <v>0</v>
      </c>
      <c r="CG855" s="8">
        <f t="shared" si="630"/>
        <v>0</v>
      </c>
      <c r="CH855" s="8">
        <f t="shared" si="631"/>
        <v>0</v>
      </c>
      <c r="CI855" s="8">
        <f t="shared" si="632"/>
        <v>0</v>
      </c>
      <c r="CJ855" s="8">
        <f t="shared" si="633"/>
        <v>0</v>
      </c>
      <c r="CK855" s="8">
        <f t="shared" si="634"/>
        <v>0</v>
      </c>
      <c r="CL855" s="8">
        <f t="shared" si="635"/>
        <v>0</v>
      </c>
      <c r="CM855" s="8">
        <f t="shared" si="636"/>
        <v>0</v>
      </c>
      <c r="CN855" s="8">
        <f t="shared" si="637"/>
        <v>0</v>
      </c>
      <c r="CO855" s="8">
        <f t="shared" si="638"/>
        <v>0</v>
      </c>
      <c r="CP855" s="8">
        <f t="shared" si="639"/>
        <v>0</v>
      </c>
      <c r="CQ855" s="8">
        <f t="shared" si="640"/>
        <v>0</v>
      </c>
      <c r="CR855" s="8">
        <f t="shared" si="641"/>
        <v>0</v>
      </c>
      <c r="CS855" s="8">
        <f t="shared" si="642"/>
        <v>0</v>
      </c>
      <c r="CT855" s="8">
        <f t="shared" si="647"/>
        <v>0</v>
      </c>
      <c r="CU855" s="8">
        <f t="shared" si="648"/>
        <v>0</v>
      </c>
      <c r="CV855" s="8">
        <f t="shared" si="649"/>
        <v>0</v>
      </c>
    </row>
    <row r="856" spans="1:100" ht="20.5" thickTop="1" thickBot="1" x14ac:dyDescent="0.5">
      <c r="A856" s="32"/>
      <c r="B856" s="10"/>
      <c r="C856" s="10"/>
      <c r="D856" s="11"/>
      <c r="E856" s="10"/>
      <c r="F856" s="10"/>
      <c r="G856" s="19"/>
      <c r="H856" s="19"/>
      <c r="I856" s="19"/>
      <c r="J856" s="19"/>
      <c r="K856" s="10"/>
      <c r="L856" s="10"/>
      <c r="M856" s="10"/>
      <c r="N856" s="10"/>
      <c r="O856" s="18"/>
      <c r="P856" s="18"/>
      <c r="Q856" s="21"/>
      <c r="R856" s="20"/>
      <c r="S856" s="16">
        <f t="shared" si="605"/>
        <v>0</v>
      </c>
      <c r="T856" s="11"/>
      <c r="AS856" s="31">
        <f t="shared" si="606"/>
        <v>0</v>
      </c>
      <c r="AT856" s="31">
        <f t="shared" si="607"/>
        <v>0</v>
      </c>
      <c r="AU856" s="31">
        <f t="shared" si="608"/>
        <v>0</v>
      </c>
      <c r="AV856" s="31">
        <f t="shared" si="609"/>
        <v>0</v>
      </c>
      <c r="AW856" s="31">
        <f t="shared" si="610"/>
        <v>0</v>
      </c>
      <c r="AX856" s="31">
        <f t="shared" si="611"/>
        <v>0</v>
      </c>
      <c r="AY856" s="31">
        <f t="shared" si="612"/>
        <v>0</v>
      </c>
      <c r="AZ856" s="31">
        <f t="shared" si="613"/>
        <v>0</v>
      </c>
      <c r="BA856" s="31">
        <f t="shared" si="614"/>
        <v>0</v>
      </c>
      <c r="BB856" s="31">
        <f t="shared" si="643"/>
        <v>0</v>
      </c>
      <c r="BM856" s="8">
        <f t="shared" si="644"/>
        <v>0</v>
      </c>
      <c r="BN856" s="8">
        <f t="shared" si="615"/>
        <v>0</v>
      </c>
      <c r="BO856" s="8">
        <f t="shared" si="616"/>
        <v>0</v>
      </c>
      <c r="BQ856" s="8">
        <f t="shared" si="617"/>
        <v>0</v>
      </c>
      <c r="BR856" s="63">
        <f t="shared" si="618"/>
        <v>0</v>
      </c>
      <c r="BS856" s="63">
        <f t="shared" si="645"/>
        <v>0</v>
      </c>
      <c r="BT856" s="63">
        <f t="shared" si="619"/>
        <v>0</v>
      </c>
      <c r="BU856" s="63">
        <f t="shared" si="620"/>
        <v>0</v>
      </c>
      <c r="BV856" s="57">
        <f t="shared" si="621"/>
        <v>0</v>
      </c>
      <c r="BW856" s="57">
        <f t="shared" si="622"/>
        <v>0</v>
      </c>
      <c r="BX856" s="57">
        <f t="shared" si="646"/>
        <v>0</v>
      </c>
      <c r="BY856" s="57">
        <f t="shared" si="604"/>
        <v>0</v>
      </c>
      <c r="BZ856" s="8">
        <f t="shared" si="623"/>
        <v>0</v>
      </c>
      <c r="CA856" s="8">
        <f t="shared" si="624"/>
        <v>0</v>
      </c>
      <c r="CB856" s="8">
        <f t="shared" si="625"/>
        <v>0</v>
      </c>
      <c r="CC856" s="8">
        <f t="shared" si="626"/>
        <v>0</v>
      </c>
      <c r="CD856" s="8">
        <f t="shared" si="627"/>
        <v>0</v>
      </c>
      <c r="CE856" s="8">
        <f t="shared" si="628"/>
        <v>0</v>
      </c>
      <c r="CF856" s="8">
        <f t="shared" si="629"/>
        <v>0</v>
      </c>
      <c r="CG856" s="8">
        <f t="shared" si="630"/>
        <v>0</v>
      </c>
      <c r="CH856" s="8">
        <f t="shared" si="631"/>
        <v>0</v>
      </c>
      <c r="CI856" s="8">
        <f t="shared" si="632"/>
        <v>0</v>
      </c>
      <c r="CJ856" s="8">
        <f t="shared" si="633"/>
        <v>0</v>
      </c>
      <c r="CK856" s="8">
        <f t="shared" si="634"/>
        <v>0</v>
      </c>
      <c r="CL856" s="8">
        <f t="shared" si="635"/>
        <v>0</v>
      </c>
      <c r="CM856" s="8">
        <f t="shared" si="636"/>
        <v>0</v>
      </c>
      <c r="CN856" s="8">
        <f t="shared" si="637"/>
        <v>0</v>
      </c>
      <c r="CO856" s="8">
        <f t="shared" si="638"/>
        <v>0</v>
      </c>
      <c r="CP856" s="8">
        <f t="shared" si="639"/>
        <v>0</v>
      </c>
      <c r="CQ856" s="8">
        <f t="shared" si="640"/>
        <v>0</v>
      </c>
      <c r="CR856" s="8">
        <f t="shared" si="641"/>
        <v>0</v>
      </c>
      <c r="CS856" s="8">
        <f t="shared" si="642"/>
        <v>0</v>
      </c>
      <c r="CT856" s="8">
        <f t="shared" si="647"/>
        <v>0</v>
      </c>
      <c r="CU856" s="8">
        <f t="shared" si="648"/>
        <v>0</v>
      </c>
      <c r="CV856" s="8">
        <f t="shared" si="649"/>
        <v>0</v>
      </c>
    </row>
    <row r="857" spans="1:100" ht="20.5" thickTop="1" thickBot="1" x14ac:dyDescent="0.5">
      <c r="A857" s="32"/>
      <c r="B857" s="10"/>
      <c r="C857" s="10"/>
      <c r="D857" s="11"/>
      <c r="E857" s="10"/>
      <c r="F857" s="10"/>
      <c r="G857" s="19"/>
      <c r="H857" s="19"/>
      <c r="I857" s="19"/>
      <c r="J857" s="19"/>
      <c r="K857" s="10"/>
      <c r="L857" s="10"/>
      <c r="M857" s="10"/>
      <c r="N857" s="10"/>
      <c r="O857" s="18"/>
      <c r="P857" s="18"/>
      <c r="Q857" s="21"/>
      <c r="R857" s="20"/>
      <c r="S857" s="16">
        <f t="shared" si="605"/>
        <v>0</v>
      </c>
      <c r="T857" s="11"/>
      <c r="AS857" s="31">
        <f t="shared" si="606"/>
        <v>0</v>
      </c>
      <c r="AT857" s="31">
        <f t="shared" si="607"/>
        <v>0</v>
      </c>
      <c r="AU857" s="31">
        <f t="shared" si="608"/>
        <v>0</v>
      </c>
      <c r="AV857" s="31">
        <f t="shared" si="609"/>
        <v>0</v>
      </c>
      <c r="AW857" s="31">
        <f t="shared" si="610"/>
        <v>0</v>
      </c>
      <c r="AX857" s="31">
        <f t="shared" si="611"/>
        <v>0</v>
      </c>
      <c r="AY857" s="31">
        <f t="shared" si="612"/>
        <v>0</v>
      </c>
      <c r="AZ857" s="31">
        <f t="shared" si="613"/>
        <v>0</v>
      </c>
      <c r="BA857" s="31">
        <f t="shared" si="614"/>
        <v>0</v>
      </c>
      <c r="BB857" s="31">
        <f t="shared" si="643"/>
        <v>0</v>
      </c>
      <c r="BM857" s="8">
        <f t="shared" si="644"/>
        <v>0</v>
      </c>
      <c r="BN857" s="8">
        <f t="shared" si="615"/>
        <v>0</v>
      </c>
      <c r="BO857" s="8">
        <f t="shared" si="616"/>
        <v>0</v>
      </c>
      <c r="BQ857" s="8">
        <f t="shared" si="617"/>
        <v>0</v>
      </c>
      <c r="BR857" s="63">
        <f t="shared" si="618"/>
        <v>0</v>
      </c>
      <c r="BS857" s="63">
        <f t="shared" si="645"/>
        <v>0</v>
      </c>
      <c r="BT857" s="63">
        <f t="shared" si="619"/>
        <v>0</v>
      </c>
      <c r="BU857" s="63">
        <f t="shared" si="620"/>
        <v>0</v>
      </c>
      <c r="BV857" s="57">
        <f t="shared" si="621"/>
        <v>0</v>
      </c>
      <c r="BW857" s="57">
        <f t="shared" si="622"/>
        <v>0</v>
      </c>
      <c r="BX857" s="57">
        <f t="shared" si="646"/>
        <v>0</v>
      </c>
      <c r="BY857" s="57">
        <f t="shared" si="604"/>
        <v>0</v>
      </c>
      <c r="BZ857" s="8">
        <f t="shared" si="623"/>
        <v>0</v>
      </c>
      <c r="CA857" s="8">
        <f t="shared" si="624"/>
        <v>0</v>
      </c>
      <c r="CB857" s="8">
        <f t="shared" si="625"/>
        <v>0</v>
      </c>
      <c r="CC857" s="8">
        <f t="shared" si="626"/>
        <v>0</v>
      </c>
      <c r="CD857" s="8">
        <f t="shared" si="627"/>
        <v>0</v>
      </c>
      <c r="CE857" s="8">
        <f t="shared" si="628"/>
        <v>0</v>
      </c>
      <c r="CF857" s="8">
        <f t="shared" si="629"/>
        <v>0</v>
      </c>
      <c r="CG857" s="8">
        <f t="shared" si="630"/>
        <v>0</v>
      </c>
      <c r="CH857" s="8">
        <f t="shared" si="631"/>
        <v>0</v>
      </c>
      <c r="CI857" s="8">
        <f t="shared" si="632"/>
        <v>0</v>
      </c>
      <c r="CJ857" s="8">
        <f t="shared" si="633"/>
        <v>0</v>
      </c>
      <c r="CK857" s="8">
        <f t="shared" si="634"/>
        <v>0</v>
      </c>
      <c r="CL857" s="8">
        <f t="shared" si="635"/>
        <v>0</v>
      </c>
      <c r="CM857" s="8">
        <f t="shared" si="636"/>
        <v>0</v>
      </c>
      <c r="CN857" s="8">
        <f t="shared" si="637"/>
        <v>0</v>
      </c>
      <c r="CO857" s="8">
        <f t="shared" si="638"/>
        <v>0</v>
      </c>
      <c r="CP857" s="8">
        <f t="shared" si="639"/>
        <v>0</v>
      </c>
      <c r="CQ857" s="8">
        <f t="shared" si="640"/>
        <v>0</v>
      </c>
      <c r="CR857" s="8">
        <f t="shared" si="641"/>
        <v>0</v>
      </c>
      <c r="CS857" s="8">
        <f t="shared" si="642"/>
        <v>0</v>
      </c>
      <c r="CT857" s="8">
        <f t="shared" si="647"/>
        <v>0</v>
      </c>
      <c r="CU857" s="8">
        <f t="shared" si="648"/>
        <v>0</v>
      </c>
      <c r="CV857" s="8">
        <f t="shared" si="649"/>
        <v>0</v>
      </c>
    </row>
    <row r="858" spans="1:100" ht="20.5" thickTop="1" thickBot="1" x14ac:dyDescent="0.5">
      <c r="A858" s="32"/>
      <c r="B858" s="10"/>
      <c r="C858" s="10"/>
      <c r="D858" s="11"/>
      <c r="E858" s="10"/>
      <c r="F858" s="10"/>
      <c r="G858" s="19"/>
      <c r="H858" s="19"/>
      <c r="I858" s="19"/>
      <c r="J858" s="19"/>
      <c r="K858" s="10"/>
      <c r="L858" s="10"/>
      <c r="M858" s="10"/>
      <c r="N858" s="10"/>
      <c r="O858" s="18"/>
      <c r="P858" s="18"/>
      <c r="Q858" s="21"/>
      <c r="R858" s="20"/>
      <c r="S858" s="16">
        <f t="shared" si="605"/>
        <v>0</v>
      </c>
      <c r="T858" s="11"/>
      <c r="AS858" s="31">
        <f t="shared" si="606"/>
        <v>0</v>
      </c>
      <c r="AT858" s="31">
        <f t="shared" si="607"/>
        <v>0</v>
      </c>
      <c r="AU858" s="31">
        <f t="shared" si="608"/>
        <v>0</v>
      </c>
      <c r="AV858" s="31">
        <f t="shared" si="609"/>
        <v>0</v>
      </c>
      <c r="AW858" s="31">
        <f t="shared" si="610"/>
        <v>0</v>
      </c>
      <c r="AX858" s="31">
        <f t="shared" si="611"/>
        <v>0</v>
      </c>
      <c r="AY858" s="31">
        <f t="shared" si="612"/>
        <v>0</v>
      </c>
      <c r="AZ858" s="31">
        <f t="shared" si="613"/>
        <v>0</v>
      </c>
      <c r="BA858" s="31">
        <f t="shared" si="614"/>
        <v>0</v>
      </c>
      <c r="BB858" s="31">
        <f t="shared" si="643"/>
        <v>0</v>
      </c>
      <c r="BM858" s="8">
        <f t="shared" si="644"/>
        <v>0</v>
      </c>
      <c r="BN858" s="8">
        <f t="shared" si="615"/>
        <v>0</v>
      </c>
      <c r="BO858" s="8">
        <f t="shared" si="616"/>
        <v>0</v>
      </c>
      <c r="BQ858" s="8">
        <f t="shared" si="617"/>
        <v>0</v>
      </c>
      <c r="BR858" s="63">
        <f t="shared" si="618"/>
        <v>0</v>
      </c>
      <c r="BS858" s="63">
        <f t="shared" si="645"/>
        <v>0</v>
      </c>
      <c r="BT858" s="63">
        <f t="shared" si="619"/>
        <v>0</v>
      </c>
      <c r="BU858" s="63">
        <f t="shared" si="620"/>
        <v>0</v>
      </c>
      <c r="BV858" s="57">
        <f t="shared" si="621"/>
        <v>0</v>
      </c>
      <c r="BW858" s="57">
        <f t="shared" si="622"/>
        <v>0</v>
      </c>
      <c r="BX858" s="57">
        <f t="shared" si="646"/>
        <v>0</v>
      </c>
      <c r="BY858" s="57">
        <f t="shared" si="604"/>
        <v>0</v>
      </c>
      <c r="BZ858" s="8">
        <f t="shared" si="623"/>
        <v>0</v>
      </c>
      <c r="CA858" s="8">
        <f t="shared" si="624"/>
        <v>0</v>
      </c>
      <c r="CB858" s="8">
        <f t="shared" si="625"/>
        <v>0</v>
      </c>
      <c r="CC858" s="8">
        <f t="shared" si="626"/>
        <v>0</v>
      </c>
      <c r="CD858" s="8">
        <f t="shared" si="627"/>
        <v>0</v>
      </c>
      <c r="CE858" s="8">
        <f t="shared" si="628"/>
        <v>0</v>
      </c>
      <c r="CF858" s="8">
        <f t="shared" si="629"/>
        <v>0</v>
      </c>
      <c r="CG858" s="8">
        <f t="shared" si="630"/>
        <v>0</v>
      </c>
      <c r="CH858" s="8">
        <f t="shared" si="631"/>
        <v>0</v>
      </c>
      <c r="CI858" s="8">
        <f t="shared" si="632"/>
        <v>0</v>
      </c>
      <c r="CJ858" s="8">
        <f t="shared" si="633"/>
        <v>0</v>
      </c>
      <c r="CK858" s="8">
        <f t="shared" si="634"/>
        <v>0</v>
      </c>
      <c r="CL858" s="8">
        <f t="shared" si="635"/>
        <v>0</v>
      </c>
      <c r="CM858" s="8">
        <f t="shared" si="636"/>
        <v>0</v>
      </c>
      <c r="CN858" s="8">
        <f t="shared" si="637"/>
        <v>0</v>
      </c>
      <c r="CO858" s="8">
        <f t="shared" si="638"/>
        <v>0</v>
      </c>
      <c r="CP858" s="8">
        <f t="shared" si="639"/>
        <v>0</v>
      </c>
      <c r="CQ858" s="8">
        <f t="shared" si="640"/>
        <v>0</v>
      </c>
      <c r="CR858" s="8">
        <f t="shared" si="641"/>
        <v>0</v>
      </c>
      <c r="CS858" s="8">
        <f t="shared" si="642"/>
        <v>0</v>
      </c>
      <c r="CT858" s="8">
        <f t="shared" si="647"/>
        <v>0</v>
      </c>
      <c r="CU858" s="8">
        <f t="shared" si="648"/>
        <v>0</v>
      </c>
      <c r="CV858" s="8">
        <f t="shared" si="649"/>
        <v>0</v>
      </c>
    </row>
    <row r="859" spans="1:100" ht="20.5" thickTop="1" thickBot="1" x14ac:dyDescent="0.5">
      <c r="A859" s="32"/>
      <c r="B859" s="10"/>
      <c r="C859" s="10"/>
      <c r="D859" s="11"/>
      <c r="E859" s="10"/>
      <c r="F859" s="10"/>
      <c r="G859" s="19"/>
      <c r="H859" s="19"/>
      <c r="I859" s="19"/>
      <c r="J859" s="19"/>
      <c r="K859" s="10"/>
      <c r="L859" s="10"/>
      <c r="M859" s="10"/>
      <c r="N859" s="10"/>
      <c r="O859" s="18"/>
      <c r="P859" s="18"/>
      <c r="Q859" s="21"/>
      <c r="R859" s="20"/>
      <c r="S859" s="16">
        <f t="shared" si="605"/>
        <v>0</v>
      </c>
      <c r="T859" s="11"/>
      <c r="AS859" s="31">
        <f t="shared" si="606"/>
        <v>0</v>
      </c>
      <c r="AT859" s="31">
        <f t="shared" si="607"/>
        <v>0</v>
      </c>
      <c r="AU859" s="31">
        <f t="shared" si="608"/>
        <v>0</v>
      </c>
      <c r="AV859" s="31">
        <f t="shared" si="609"/>
        <v>0</v>
      </c>
      <c r="AW859" s="31">
        <f t="shared" si="610"/>
        <v>0</v>
      </c>
      <c r="AX859" s="31">
        <f t="shared" si="611"/>
        <v>0</v>
      </c>
      <c r="AY859" s="31">
        <f t="shared" si="612"/>
        <v>0</v>
      </c>
      <c r="AZ859" s="31">
        <f t="shared" si="613"/>
        <v>0</v>
      </c>
      <c r="BA859" s="31">
        <f t="shared" si="614"/>
        <v>0</v>
      </c>
      <c r="BB859" s="31">
        <f t="shared" si="643"/>
        <v>0</v>
      </c>
      <c r="BM859" s="8">
        <f t="shared" si="644"/>
        <v>0</v>
      </c>
      <c r="BN859" s="8">
        <f t="shared" si="615"/>
        <v>0</v>
      </c>
      <c r="BO859" s="8">
        <f t="shared" si="616"/>
        <v>0</v>
      </c>
      <c r="BQ859" s="8">
        <f t="shared" si="617"/>
        <v>0</v>
      </c>
      <c r="BR859" s="63">
        <f t="shared" si="618"/>
        <v>0</v>
      </c>
      <c r="BS859" s="63">
        <f t="shared" si="645"/>
        <v>0</v>
      </c>
      <c r="BT859" s="63">
        <f t="shared" si="619"/>
        <v>0</v>
      </c>
      <c r="BU859" s="63">
        <f t="shared" si="620"/>
        <v>0</v>
      </c>
      <c r="BV859" s="57">
        <f t="shared" si="621"/>
        <v>0</v>
      </c>
      <c r="BW859" s="57">
        <f t="shared" si="622"/>
        <v>0</v>
      </c>
      <c r="BX859" s="57">
        <f t="shared" si="646"/>
        <v>0</v>
      </c>
      <c r="BY859" s="57">
        <f t="shared" si="604"/>
        <v>0</v>
      </c>
      <c r="BZ859" s="8">
        <f t="shared" si="623"/>
        <v>0</v>
      </c>
      <c r="CA859" s="8">
        <f t="shared" si="624"/>
        <v>0</v>
      </c>
      <c r="CB859" s="8">
        <f t="shared" si="625"/>
        <v>0</v>
      </c>
      <c r="CC859" s="8">
        <f t="shared" si="626"/>
        <v>0</v>
      </c>
      <c r="CD859" s="8">
        <f t="shared" si="627"/>
        <v>0</v>
      </c>
      <c r="CE859" s="8">
        <f t="shared" si="628"/>
        <v>0</v>
      </c>
      <c r="CF859" s="8">
        <f t="shared" si="629"/>
        <v>0</v>
      </c>
      <c r="CG859" s="8">
        <f t="shared" si="630"/>
        <v>0</v>
      </c>
      <c r="CH859" s="8">
        <f t="shared" si="631"/>
        <v>0</v>
      </c>
      <c r="CI859" s="8">
        <f t="shared" si="632"/>
        <v>0</v>
      </c>
      <c r="CJ859" s="8">
        <f t="shared" si="633"/>
        <v>0</v>
      </c>
      <c r="CK859" s="8">
        <f t="shared" si="634"/>
        <v>0</v>
      </c>
      <c r="CL859" s="8">
        <f t="shared" si="635"/>
        <v>0</v>
      </c>
      <c r="CM859" s="8">
        <f t="shared" si="636"/>
        <v>0</v>
      </c>
      <c r="CN859" s="8">
        <f t="shared" si="637"/>
        <v>0</v>
      </c>
      <c r="CO859" s="8">
        <f t="shared" si="638"/>
        <v>0</v>
      </c>
      <c r="CP859" s="8">
        <f t="shared" si="639"/>
        <v>0</v>
      </c>
      <c r="CQ859" s="8">
        <f t="shared" si="640"/>
        <v>0</v>
      </c>
      <c r="CR859" s="8">
        <f t="shared" si="641"/>
        <v>0</v>
      </c>
      <c r="CS859" s="8">
        <f t="shared" si="642"/>
        <v>0</v>
      </c>
      <c r="CT859" s="8">
        <f t="shared" si="647"/>
        <v>0</v>
      </c>
      <c r="CU859" s="8">
        <f t="shared" si="648"/>
        <v>0</v>
      </c>
      <c r="CV859" s="8">
        <f t="shared" si="649"/>
        <v>0</v>
      </c>
    </row>
    <row r="860" spans="1:100" ht="20.5" thickTop="1" thickBot="1" x14ac:dyDescent="0.5">
      <c r="A860" s="32"/>
      <c r="B860" s="10"/>
      <c r="C860" s="10"/>
      <c r="D860" s="11"/>
      <c r="E860" s="10"/>
      <c r="F860" s="10"/>
      <c r="G860" s="19"/>
      <c r="H860" s="19"/>
      <c r="I860" s="19"/>
      <c r="J860" s="19"/>
      <c r="K860" s="10"/>
      <c r="L860" s="10"/>
      <c r="M860" s="10"/>
      <c r="N860" s="10"/>
      <c r="O860" s="18"/>
      <c r="P860" s="18"/>
      <c r="Q860" s="21"/>
      <c r="R860" s="20"/>
      <c r="S860" s="16">
        <f t="shared" si="605"/>
        <v>0</v>
      </c>
      <c r="T860" s="11"/>
      <c r="AS860" s="31">
        <f t="shared" si="606"/>
        <v>0</v>
      </c>
      <c r="AT860" s="31">
        <f t="shared" si="607"/>
        <v>0</v>
      </c>
      <c r="AU860" s="31">
        <f t="shared" si="608"/>
        <v>0</v>
      </c>
      <c r="AV860" s="31">
        <f t="shared" si="609"/>
        <v>0</v>
      </c>
      <c r="AW860" s="31">
        <f t="shared" si="610"/>
        <v>0</v>
      </c>
      <c r="AX860" s="31">
        <f t="shared" si="611"/>
        <v>0</v>
      </c>
      <c r="AY860" s="31">
        <f t="shared" si="612"/>
        <v>0</v>
      </c>
      <c r="AZ860" s="31">
        <f t="shared" si="613"/>
        <v>0</v>
      </c>
      <c r="BA860" s="31">
        <f t="shared" si="614"/>
        <v>0</v>
      </c>
      <c r="BB860" s="31">
        <f t="shared" si="643"/>
        <v>0</v>
      </c>
      <c r="BM860" s="8">
        <f t="shared" si="644"/>
        <v>0</v>
      </c>
      <c r="BN860" s="8">
        <f t="shared" si="615"/>
        <v>0</v>
      </c>
      <c r="BO860" s="8">
        <f t="shared" si="616"/>
        <v>0</v>
      </c>
      <c r="BQ860" s="8">
        <f t="shared" si="617"/>
        <v>0</v>
      </c>
      <c r="BR860" s="63">
        <f t="shared" si="618"/>
        <v>0</v>
      </c>
      <c r="BS860" s="63">
        <f t="shared" si="645"/>
        <v>0</v>
      </c>
      <c r="BT860" s="63">
        <f t="shared" si="619"/>
        <v>0</v>
      </c>
      <c r="BU860" s="63">
        <f t="shared" si="620"/>
        <v>0</v>
      </c>
      <c r="BV860" s="57">
        <f t="shared" si="621"/>
        <v>0</v>
      </c>
      <c r="BW860" s="57">
        <f t="shared" si="622"/>
        <v>0</v>
      </c>
      <c r="BX860" s="57">
        <f t="shared" si="646"/>
        <v>0</v>
      </c>
      <c r="BY860" s="57">
        <f t="shared" si="604"/>
        <v>0</v>
      </c>
      <c r="BZ860" s="8">
        <f t="shared" si="623"/>
        <v>0</v>
      </c>
      <c r="CA860" s="8">
        <f t="shared" si="624"/>
        <v>0</v>
      </c>
      <c r="CB860" s="8">
        <f t="shared" si="625"/>
        <v>0</v>
      </c>
      <c r="CC860" s="8">
        <f t="shared" si="626"/>
        <v>0</v>
      </c>
      <c r="CD860" s="8">
        <f t="shared" si="627"/>
        <v>0</v>
      </c>
      <c r="CE860" s="8">
        <f t="shared" si="628"/>
        <v>0</v>
      </c>
      <c r="CF860" s="8">
        <f t="shared" si="629"/>
        <v>0</v>
      </c>
      <c r="CG860" s="8">
        <f t="shared" si="630"/>
        <v>0</v>
      </c>
      <c r="CH860" s="8">
        <f t="shared" si="631"/>
        <v>0</v>
      </c>
      <c r="CI860" s="8">
        <f t="shared" si="632"/>
        <v>0</v>
      </c>
      <c r="CJ860" s="8">
        <f t="shared" si="633"/>
        <v>0</v>
      </c>
      <c r="CK860" s="8">
        <f t="shared" si="634"/>
        <v>0</v>
      </c>
      <c r="CL860" s="8">
        <f t="shared" si="635"/>
        <v>0</v>
      </c>
      <c r="CM860" s="8">
        <f t="shared" si="636"/>
        <v>0</v>
      </c>
      <c r="CN860" s="8">
        <f t="shared" si="637"/>
        <v>0</v>
      </c>
      <c r="CO860" s="8">
        <f t="shared" si="638"/>
        <v>0</v>
      </c>
      <c r="CP860" s="8">
        <f t="shared" si="639"/>
        <v>0</v>
      </c>
      <c r="CQ860" s="8">
        <f t="shared" si="640"/>
        <v>0</v>
      </c>
      <c r="CR860" s="8">
        <f t="shared" si="641"/>
        <v>0</v>
      </c>
      <c r="CS860" s="8">
        <f t="shared" si="642"/>
        <v>0</v>
      </c>
      <c r="CT860" s="8">
        <f t="shared" si="647"/>
        <v>0</v>
      </c>
      <c r="CU860" s="8">
        <f t="shared" si="648"/>
        <v>0</v>
      </c>
      <c r="CV860" s="8">
        <f t="shared" si="649"/>
        <v>0</v>
      </c>
    </row>
    <row r="861" spans="1:100" ht="20.5" thickTop="1" thickBot="1" x14ac:dyDescent="0.5">
      <c r="A861" s="32"/>
      <c r="B861" s="10"/>
      <c r="C861" s="10"/>
      <c r="D861" s="11"/>
      <c r="E861" s="10"/>
      <c r="F861" s="10"/>
      <c r="G861" s="19"/>
      <c r="H861" s="19"/>
      <c r="I861" s="19"/>
      <c r="J861" s="19"/>
      <c r="K861" s="10"/>
      <c r="L861" s="10"/>
      <c r="M861" s="10"/>
      <c r="N861" s="10"/>
      <c r="O861" s="18"/>
      <c r="P861" s="18"/>
      <c r="Q861" s="21"/>
      <c r="R861" s="20"/>
      <c r="S861" s="16">
        <f t="shared" si="605"/>
        <v>0</v>
      </c>
      <c r="T861" s="11"/>
      <c r="AS861" s="31">
        <f t="shared" si="606"/>
        <v>0</v>
      </c>
      <c r="AT861" s="31">
        <f t="shared" si="607"/>
        <v>0</v>
      </c>
      <c r="AU861" s="31">
        <f t="shared" si="608"/>
        <v>0</v>
      </c>
      <c r="AV861" s="31">
        <f t="shared" si="609"/>
        <v>0</v>
      </c>
      <c r="AW861" s="31">
        <f t="shared" si="610"/>
        <v>0</v>
      </c>
      <c r="AX861" s="31">
        <f t="shared" si="611"/>
        <v>0</v>
      </c>
      <c r="AY861" s="31">
        <f t="shared" si="612"/>
        <v>0</v>
      </c>
      <c r="AZ861" s="31">
        <f t="shared" si="613"/>
        <v>0</v>
      </c>
      <c r="BA861" s="31">
        <f t="shared" si="614"/>
        <v>0</v>
      </c>
      <c r="BB861" s="31">
        <f t="shared" si="643"/>
        <v>0</v>
      </c>
      <c r="BM861" s="8">
        <f t="shared" si="644"/>
        <v>0</v>
      </c>
      <c r="BN861" s="8">
        <f t="shared" si="615"/>
        <v>0</v>
      </c>
      <c r="BO861" s="8">
        <f t="shared" si="616"/>
        <v>0</v>
      </c>
      <c r="BQ861" s="8">
        <f t="shared" si="617"/>
        <v>0</v>
      </c>
      <c r="BR861" s="63">
        <f t="shared" si="618"/>
        <v>0</v>
      </c>
      <c r="BS861" s="63">
        <f t="shared" si="645"/>
        <v>0</v>
      </c>
      <c r="BT861" s="63">
        <f t="shared" si="619"/>
        <v>0</v>
      </c>
      <c r="BU861" s="63">
        <f t="shared" si="620"/>
        <v>0</v>
      </c>
      <c r="BV861" s="57">
        <f t="shared" si="621"/>
        <v>0</v>
      </c>
      <c r="BW861" s="57">
        <f t="shared" si="622"/>
        <v>0</v>
      </c>
      <c r="BX861" s="57">
        <f t="shared" si="646"/>
        <v>0</v>
      </c>
      <c r="BY861" s="57">
        <f t="shared" ref="BY861:BY924" si="650">IF(AND(OR(N861="YES",N861="HDD",N861="EX PIPES"),K861=""),D861*(F861+G861),0)</f>
        <v>0</v>
      </c>
      <c r="BZ861" s="8">
        <f t="shared" si="623"/>
        <v>0</v>
      </c>
      <c r="CA861" s="8">
        <f t="shared" si="624"/>
        <v>0</v>
      </c>
      <c r="CB861" s="8">
        <f t="shared" si="625"/>
        <v>0</v>
      </c>
      <c r="CC861" s="8">
        <f t="shared" si="626"/>
        <v>0</v>
      </c>
      <c r="CD861" s="8">
        <f t="shared" si="627"/>
        <v>0</v>
      </c>
      <c r="CE861" s="8">
        <f t="shared" si="628"/>
        <v>0</v>
      </c>
      <c r="CF861" s="8">
        <f t="shared" si="629"/>
        <v>0</v>
      </c>
      <c r="CG861" s="8">
        <f t="shared" si="630"/>
        <v>0</v>
      </c>
      <c r="CH861" s="8">
        <f t="shared" si="631"/>
        <v>0</v>
      </c>
      <c r="CI861" s="8">
        <f t="shared" si="632"/>
        <v>0</v>
      </c>
      <c r="CJ861" s="8">
        <f t="shared" si="633"/>
        <v>0</v>
      </c>
      <c r="CK861" s="8">
        <f t="shared" si="634"/>
        <v>0</v>
      </c>
      <c r="CL861" s="8">
        <f t="shared" si="635"/>
        <v>0</v>
      </c>
      <c r="CM861" s="8">
        <f t="shared" si="636"/>
        <v>0</v>
      </c>
      <c r="CN861" s="8">
        <f t="shared" si="637"/>
        <v>0</v>
      </c>
      <c r="CO861" s="8">
        <f t="shared" si="638"/>
        <v>0</v>
      </c>
      <c r="CP861" s="8">
        <f t="shared" si="639"/>
        <v>0</v>
      </c>
      <c r="CQ861" s="8">
        <f t="shared" si="640"/>
        <v>0</v>
      </c>
      <c r="CR861" s="8">
        <f t="shared" si="641"/>
        <v>0</v>
      </c>
      <c r="CS861" s="8">
        <f t="shared" si="642"/>
        <v>0</v>
      </c>
      <c r="CT861" s="8">
        <f t="shared" si="647"/>
        <v>0</v>
      </c>
      <c r="CU861" s="8">
        <f t="shared" si="648"/>
        <v>0</v>
      </c>
      <c r="CV861" s="8">
        <f t="shared" si="649"/>
        <v>0</v>
      </c>
    </row>
    <row r="862" spans="1:100" ht="20.5" thickTop="1" thickBot="1" x14ac:dyDescent="0.5">
      <c r="A862" s="32"/>
      <c r="B862" s="10"/>
      <c r="C862" s="10"/>
      <c r="D862" s="11"/>
      <c r="E862" s="10"/>
      <c r="F862" s="10"/>
      <c r="G862" s="19"/>
      <c r="H862" s="19"/>
      <c r="I862" s="19"/>
      <c r="J862" s="19"/>
      <c r="K862" s="10"/>
      <c r="L862" s="10"/>
      <c r="M862" s="10"/>
      <c r="N862" s="10"/>
      <c r="O862" s="18"/>
      <c r="P862" s="18"/>
      <c r="Q862" s="21"/>
      <c r="R862" s="20"/>
      <c r="S862" s="16">
        <f t="shared" si="605"/>
        <v>0</v>
      </c>
      <c r="T862" s="11"/>
      <c r="AS862" s="31">
        <f t="shared" si="606"/>
        <v>0</v>
      </c>
      <c r="AT862" s="31">
        <f t="shared" si="607"/>
        <v>0</v>
      </c>
      <c r="AU862" s="31">
        <f t="shared" si="608"/>
        <v>0</v>
      </c>
      <c r="AV862" s="31">
        <f t="shared" si="609"/>
        <v>0</v>
      </c>
      <c r="AW862" s="31">
        <f t="shared" si="610"/>
        <v>0</v>
      </c>
      <c r="AX862" s="31">
        <f t="shared" si="611"/>
        <v>0</v>
      </c>
      <c r="AY862" s="31">
        <f t="shared" si="612"/>
        <v>0</v>
      </c>
      <c r="AZ862" s="31">
        <f t="shared" si="613"/>
        <v>0</v>
      </c>
      <c r="BA862" s="31">
        <f t="shared" si="614"/>
        <v>0</v>
      </c>
      <c r="BB862" s="31">
        <f t="shared" si="643"/>
        <v>0</v>
      </c>
      <c r="BM862" s="8">
        <f t="shared" si="644"/>
        <v>0</v>
      </c>
      <c r="BN862" s="8">
        <f t="shared" si="615"/>
        <v>0</v>
      </c>
      <c r="BO862" s="8">
        <f t="shared" si="616"/>
        <v>0</v>
      </c>
      <c r="BQ862" s="8">
        <f t="shared" si="617"/>
        <v>0</v>
      </c>
      <c r="BR862" s="63">
        <f t="shared" si="618"/>
        <v>0</v>
      </c>
      <c r="BS862" s="63">
        <f t="shared" si="645"/>
        <v>0</v>
      </c>
      <c r="BT862" s="63">
        <f t="shared" si="619"/>
        <v>0</v>
      </c>
      <c r="BU862" s="63">
        <f t="shared" si="620"/>
        <v>0</v>
      </c>
      <c r="BV862" s="57">
        <f t="shared" si="621"/>
        <v>0</v>
      </c>
      <c r="BW862" s="57">
        <f t="shared" si="622"/>
        <v>0</v>
      </c>
      <c r="BX862" s="57">
        <f t="shared" si="646"/>
        <v>0</v>
      </c>
      <c r="BY862" s="57">
        <f t="shared" si="650"/>
        <v>0</v>
      </c>
      <c r="BZ862" s="8">
        <f t="shared" si="623"/>
        <v>0</v>
      </c>
      <c r="CA862" s="8">
        <f t="shared" si="624"/>
        <v>0</v>
      </c>
      <c r="CB862" s="8">
        <f t="shared" si="625"/>
        <v>0</v>
      </c>
      <c r="CC862" s="8">
        <f t="shared" si="626"/>
        <v>0</v>
      </c>
      <c r="CD862" s="8">
        <f t="shared" si="627"/>
        <v>0</v>
      </c>
      <c r="CE862" s="8">
        <f t="shared" si="628"/>
        <v>0</v>
      </c>
      <c r="CF862" s="8">
        <f t="shared" si="629"/>
        <v>0</v>
      </c>
      <c r="CG862" s="8">
        <f t="shared" si="630"/>
        <v>0</v>
      </c>
      <c r="CH862" s="8">
        <f t="shared" si="631"/>
        <v>0</v>
      </c>
      <c r="CI862" s="8">
        <f t="shared" si="632"/>
        <v>0</v>
      </c>
      <c r="CJ862" s="8">
        <f t="shared" si="633"/>
        <v>0</v>
      </c>
      <c r="CK862" s="8">
        <f t="shared" si="634"/>
        <v>0</v>
      </c>
      <c r="CL862" s="8">
        <f t="shared" si="635"/>
        <v>0</v>
      </c>
      <c r="CM862" s="8">
        <f t="shared" si="636"/>
        <v>0</v>
      </c>
      <c r="CN862" s="8">
        <f t="shared" si="637"/>
        <v>0</v>
      </c>
      <c r="CO862" s="8">
        <f t="shared" si="638"/>
        <v>0</v>
      </c>
      <c r="CP862" s="8">
        <f t="shared" si="639"/>
        <v>0</v>
      </c>
      <c r="CQ862" s="8">
        <f t="shared" si="640"/>
        <v>0</v>
      </c>
      <c r="CR862" s="8">
        <f t="shared" si="641"/>
        <v>0</v>
      </c>
      <c r="CS862" s="8">
        <f t="shared" si="642"/>
        <v>0</v>
      </c>
      <c r="CT862" s="8">
        <f t="shared" si="647"/>
        <v>0</v>
      </c>
      <c r="CU862" s="8">
        <f t="shared" si="648"/>
        <v>0</v>
      </c>
      <c r="CV862" s="8">
        <f t="shared" si="649"/>
        <v>0</v>
      </c>
    </row>
    <row r="863" spans="1:100" ht="20.5" thickTop="1" thickBot="1" x14ac:dyDescent="0.5">
      <c r="A863" s="32"/>
      <c r="B863" s="10"/>
      <c r="C863" s="10"/>
      <c r="D863" s="11"/>
      <c r="E863" s="10"/>
      <c r="F863" s="10"/>
      <c r="G863" s="19"/>
      <c r="H863" s="19"/>
      <c r="I863" s="19"/>
      <c r="J863" s="19"/>
      <c r="K863" s="10"/>
      <c r="L863" s="10"/>
      <c r="M863" s="10"/>
      <c r="N863" s="10"/>
      <c r="O863" s="18"/>
      <c r="P863" s="18"/>
      <c r="Q863" s="21"/>
      <c r="R863" s="20"/>
      <c r="S863" s="16">
        <f t="shared" si="605"/>
        <v>0</v>
      </c>
      <c r="T863" s="11"/>
      <c r="AS863" s="31">
        <f t="shared" si="606"/>
        <v>0</v>
      </c>
      <c r="AT863" s="31">
        <f t="shared" si="607"/>
        <v>0</v>
      </c>
      <c r="AU863" s="31">
        <f t="shared" si="608"/>
        <v>0</v>
      </c>
      <c r="AV863" s="31">
        <f t="shared" si="609"/>
        <v>0</v>
      </c>
      <c r="AW863" s="31">
        <f t="shared" si="610"/>
        <v>0</v>
      </c>
      <c r="AX863" s="31">
        <f t="shared" si="611"/>
        <v>0</v>
      </c>
      <c r="AY863" s="31">
        <f t="shared" si="612"/>
        <v>0</v>
      </c>
      <c r="AZ863" s="31">
        <f t="shared" si="613"/>
        <v>0</v>
      </c>
      <c r="BA863" s="31">
        <f t="shared" si="614"/>
        <v>0</v>
      </c>
      <c r="BB863" s="31">
        <f t="shared" si="643"/>
        <v>0</v>
      </c>
      <c r="BM863" s="8">
        <f t="shared" si="644"/>
        <v>0</v>
      </c>
      <c r="BN863" s="8">
        <f t="shared" si="615"/>
        <v>0</v>
      </c>
      <c r="BO863" s="8">
        <f t="shared" si="616"/>
        <v>0</v>
      </c>
      <c r="BQ863" s="8">
        <f t="shared" si="617"/>
        <v>0</v>
      </c>
      <c r="BR863" s="63">
        <f t="shared" si="618"/>
        <v>0</v>
      </c>
      <c r="BS863" s="63">
        <f t="shared" si="645"/>
        <v>0</v>
      </c>
      <c r="BT863" s="63">
        <f t="shared" si="619"/>
        <v>0</v>
      </c>
      <c r="BU863" s="63">
        <f t="shared" si="620"/>
        <v>0</v>
      </c>
      <c r="BV863" s="57">
        <f t="shared" si="621"/>
        <v>0</v>
      </c>
      <c r="BW863" s="57">
        <f t="shared" si="622"/>
        <v>0</v>
      </c>
      <c r="BX863" s="57">
        <f t="shared" si="646"/>
        <v>0</v>
      </c>
      <c r="BY863" s="57">
        <f t="shared" si="650"/>
        <v>0</v>
      </c>
      <c r="BZ863" s="8">
        <f t="shared" si="623"/>
        <v>0</v>
      </c>
      <c r="CA863" s="8">
        <f t="shared" si="624"/>
        <v>0</v>
      </c>
      <c r="CB863" s="8">
        <f t="shared" si="625"/>
        <v>0</v>
      </c>
      <c r="CC863" s="8">
        <f t="shared" si="626"/>
        <v>0</v>
      </c>
      <c r="CD863" s="8">
        <f t="shared" si="627"/>
        <v>0</v>
      </c>
      <c r="CE863" s="8">
        <f t="shared" si="628"/>
        <v>0</v>
      </c>
      <c r="CF863" s="8">
        <f t="shared" si="629"/>
        <v>0</v>
      </c>
      <c r="CG863" s="8">
        <f t="shared" si="630"/>
        <v>0</v>
      </c>
      <c r="CH863" s="8">
        <f t="shared" si="631"/>
        <v>0</v>
      </c>
      <c r="CI863" s="8">
        <f t="shared" si="632"/>
        <v>0</v>
      </c>
      <c r="CJ863" s="8">
        <f t="shared" si="633"/>
        <v>0</v>
      </c>
      <c r="CK863" s="8">
        <f t="shared" si="634"/>
        <v>0</v>
      </c>
      <c r="CL863" s="8">
        <f t="shared" si="635"/>
        <v>0</v>
      </c>
      <c r="CM863" s="8">
        <f t="shared" si="636"/>
        <v>0</v>
      </c>
      <c r="CN863" s="8">
        <f t="shared" si="637"/>
        <v>0</v>
      </c>
      <c r="CO863" s="8">
        <f t="shared" si="638"/>
        <v>0</v>
      </c>
      <c r="CP863" s="8">
        <f t="shared" si="639"/>
        <v>0</v>
      </c>
      <c r="CQ863" s="8">
        <f t="shared" si="640"/>
        <v>0</v>
      </c>
      <c r="CR863" s="8">
        <f t="shared" si="641"/>
        <v>0</v>
      </c>
      <c r="CS863" s="8">
        <f t="shared" si="642"/>
        <v>0</v>
      </c>
      <c r="CT863" s="8">
        <f t="shared" si="647"/>
        <v>0</v>
      </c>
      <c r="CU863" s="8">
        <f t="shared" si="648"/>
        <v>0</v>
      </c>
      <c r="CV863" s="8">
        <f t="shared" si="649"/>
        <v>0</v>
      </c>
    </row>
    <row r="864" spans="1:100" ht="20.5" thickTop="1" thickBot="1" x14ac:dyDescent="0.5">
      <c r="A864" s="32"/>
      <c r="B864" s="10"/>
      <c r="C864" s="10"/>
      <c r="D864" s="11"/>
      <c r="E864" s="10"/>
      <c r="F864" s="10"/>
      <c r="G864" s="19"/>
      <c r="H864" s="19"/>
      <c r="I864" s="19"/>
      <c r="J864" s="19"/>
      <c r="K864" s="10"/>
      <c r="L864" s="10"/>
      <c r="M864" s="10"/>
      <c r="N864" s="10"/>
      <c r="O864" s="18"/>
      <c r="P864" s="18"/>
      <c r="Q864" s="21"/>
      <c r="R864" s="20"/>
      <c r="S864" s="16">
        <f t="shared" si="605"/>
        <v>0</v>
      </c>
      <c r="T864" s="11"/>
      <c r="AS864" s="31">
        <f t="shared" si="606"/>
        <v>0</v>
      </c>
      <c r="AT864" s="31">
        <f t="shared" si="607"/>
        <v>0</v>
      </c>
      <c r="AU864" s="31">
        <f t="shared" si="608"/>
        <v>0</v>
      </c>
      <c r="AV864" s="31">
        <f t="shared" si="609"/>
        <v>0</v>
      </c>
      <c r="AW864" s="31">
        <f t="shared" si="610"/>
        <v>0</v>
      </c>
      <c r="AX864" s="31">
        <f t="shared" si="611"/>
        <v>0</v>
      </c>
      <c r="AY864" s="31">
        <f t="shared" si="612"/>
        <v>0</v>
      </c>
      <c r="AZ864" s="31">
        <f t="shared" si="613"/>
        <v>0</v>
      </c>
      <c r="BA864" s="31">
        <f t="shared" si="614"/>
        <v>0</v>
      </c>
      <c r="BB864" s="31">
        <f t="shared" si="643"/>
        <v>0</v>
      </c>
      <c r="BM864" s="8">
        <f t="shared" si="644"/>
        <v>0</v>
      </c>
      <c r="BN864" s="8">
        <f t="shared" si="615"/>
        <v>0</v>
      </c>
      <c r="BO864" s="8">
        <f t="shared" si="616"/>
        <v>0</v>
      </c>
      <c r="BQ864" s="8">
        <f t="shared" si="617"/>
        <v>0</v>
      </c>
      <c r="BR864" s="63">
        <f t="shared" si="618"/>
        <v>0</v>
      </c>
      <c r="BS864" s="63">
        <f t="shared" si="645"/>
        <v>0</v>
      </c>
      <c r="BT864" s="63">
        <f t="shared" si="619"/>
        <v>0</v>
      </c>
      <c r="BU864" s="63">
        <f t="shared" si="620"/>
        <v>0</v>
      </c>
      <c r="BV864" s="57">
        <f t="shared" si="621"/>
        <v>0</v>
      </c>
      <c r="BW864" s="57">
        <f t="shared" si="622"/>
        <v>0</v>
      </c>
      <c r="BX864" s="57">
        <f t="shared" si="646"/>
        <v>0</v>
      </c>
      <c r="BY864" s="57">
        <f t="shared" si="650"/>
        <v>0</v>
      </c>
      <c r="BZ864" s="8">
        <f t="shared" si="623"/>
        <v>0</v>
      </c>
      <c r="CA864" s="8">
        <f t="shared" si="624"/>
        <v>0</v>
      </c>
      <c r="CB864" s="8">
        <f t="shared" si="625"/>
        <v>0</v>
      </c>
      <c r="CC864" s="8">
        <f t="shared" si="626"/>
        <v>0</v>
      </c>
      <c r="CD864" s="8">
        <f t="shared" si="627"/>
        <v>0</v>
      </c>
      <c r="CE864" s="8">
        <f t="shared" si="628"/>
        <v>0</v>
      </c>
      <c r="CF864" s="8">
        <f t="shared" si="629"/>
        <v>0</v>
      </c>
      <c r="CG864" s="8">
        <f t="shared" si="630"/>
        <v>0</v>
      </c>
      <c r="CH864" s="8">
        <f t="shared" si="631"/>
        <v>0</v>
      </c>
      <c r="CI864" s="8">
        <f t="shared" si="632"/>
        <v>0</v>
      </c>
      <c r="CJ864" s="8">
        <f t="shared" si="633"/>
        <v>0</v>
      </c>
      <c r="CK864" s="8">
        <f t="shared" si="634"/>
        <v>0</v>
      </c>
      <c r="CL864" s="8">
        <f t="shared" si="635"/>
        <v>0</v>
      </c>
      <c r="CM864" s="8">
        <f t="shared" si="636"/>
        <v>0</v>
      </c>
      <c r="CN864" s="8">
        <f t="shared" si="637"/>
        <v>0</v>
      </c>
      <c r="CO864" s="8">
        <f t="shared" si="638"/>
        <v>0</v>
      </c>
      <c r="CP864" s="8">
        <f t="shared" si="639"/>
        <v>0</v>
      </c>
      <c r="CQ864" s="8">
        <f t="shared" si="640"/>
        <v>0</v>
      </c>
      <c r="CR864" s="8">
        <f t="shared" si="641"/>
        <v>0</v>
      </c>
      <c r="CS864" s="8">
        <f t="shared" si="642"/>
        <v>0</v>
      </c>
      <c r="CT864" s="8">
        <f t="shared" si="647"/>
        <v>0</v>
      </c>
      <c r="CU864" s="8">
        <f t="shared" si="648"/>
        <v>0</v>
      </c>
      <c r="CV864" s="8">
        <f t="shared" si="649"/>
        <v>0</v>
      </c>
    </row>
    <row r="865" spans="1:100" ht="20.5" thickTop="1" thickBot="1" x14ac:dyDescent="0.5">
      <c r="A865" s="32"/>
      <c r="B865" s="10"/>
      <c r="C865" s="10"/>
      <c r="D865" s="11"/>
      <c r="E865" s="10"/>
      <c r="F865" s="10"/>
      <c r="G865" s="19"/>
      <c r="H865" s="19"/>
      <c r="I865" s="19"/>
      <c r="J865" s="19"/>
      <c r="K865" s="10"/>
      <c r="L865" s="10"/>
      <c r="M865" s="10"/>
      <c r="N865" s="10"/>
      <c r="O865" s="18"/>
      <c r="P865" s="18"/>
      <c r="Q865" s="21"/>
      <c r="R865" s="20"/>
      <c r="S865" s="16">
        <f t="shared" si="605"/>
        <v>0</v>
      </c>
      <c r="T865" s="11"/>
      <c r="AS865" s="31">
        <f t="shared" si="606"/>
        <v>0</v>
      </c>
      <c r="AT865" s="31">
        <f t="shared" si="607"/>
        <v>0</v>
      </c>
      <c r="AU865" s="31">
        <f t="shared" si="608"/>
        <v>0</v>
      </c>
      <c r="AV865" s="31">
        <f t="shared" si="609"/>
        <v>0</v>
      </c>
      <c r="AW865" s="31">
        <f t="shared" si="610"/>
        <v>0</v>
      </c>
      <c r="AX865" s="31">
        <f t="shared" si="611"/>
        <v>0</v>
      </c>
      <c r="AY865" s="31">
        <f t="shared" si="612"/>
        <v>0</v>
      </c>
      <c r="AZ865" s="31">
        <f t="shared" si="613"/>
        <v>0</v>
      </c>
      <c r="BA865" s="31">
        <f t="shared" si="614"/>
        <v>0</v>
      </c>
      <c r="BB865" s="31">
        <f t="shared" si="643"/>
        <v>0</v>
      </c>
      <c r="BM865" s="8">
        <f t="shared" si="644"/>
        <v>0</v>
      </c>
      <c r="BN865" s="8">
        <f t="shared" si="615"/>
        <v>0</v>
      </c>
      <c r="BO865" s="8">
        <f t="shared" si="616"/>
        <v>0</v>
      </c>
      <c r="BQ865" s="8">
        <f t="shared" si="617"/>
        <v>0</v>
      </c>
      <c r="BR865" s="63">
        <f t="shared" si="618"/>
        <v>0</v>
      </c>
      <c r="BS865" s="63">
        <f t="shared" si="645"/>
        <v>0</v>
      </c>
      <c r="BT865" s="63">
        <f t="shared" si="619"/>
        <v>0</v>
      </c>
      <c r="BU865" s="63">
        <f t="shared" si="620"/>
        <v>0</v>
      </c>
      <c r="BV865" s="57">
        <f t="shared" si="621"/>
        <v>0</v>
      </c>
      <c r="BW865" s="57">
        <f t="shared" si="622"/>
        <v>0</v>
      </c>
      <c r="BX865" s="57">
        <f t="shared" si="646"/>
        <v>0</v>
      </c>
      <c r="BY865" s="57">
        <f t="shared" si="650"/>
        <v>0</v>
      </c>
      <c r="BZ865" s="8">
        <f t="shared" si="623"/>
        <v>0</v>
      </c>
      <c r="CA865" s="8">
        <f t="shared" si="624"/>
        <v>0</v>
      </c>
      <c r="CB865" s="8">
        <f t="shared" si="625"/>
        <v>0</v>
      </c>
      <c r="CC865" s="8">
        <f t="shared" si="626"/>
        <v>0</v>
      </c>
      <c r="CD865" s="8">
        <f t="shared" si="627"/>
        <v>0</v>
      </c>
      <c r="CE865" s="8">
        <f t="shared" si="628"/>
        <v>0</v>
      </c>
      <c r="CF865" s="8">
        <f t="shared" si="629"/>
        <v>0</v>
      </c>
      <c r="CG865" s="8">
        <f t="shared" si="630"/>
        <v>0</v>
      </c>
      <c r="CH865" s="8">
        <f t="shared" si="631"/>
        <v>0</v>
      </c>
      <c r="CI865" s="8">
        <f t="shared" si="632"/>
        <v>0</v>
      </c>
      <c r="CJ865" s="8">
        <f t="shared" si="633"/>
        <v>0</v>
      </c>
      <c r="CK865" s="8">
        <f t="shared" si="634"/>
        <v>0</v>
      </c>
      <c r="CL865" s="8">
        <f t="shared" si="635"/>
        <v>0</v>
      </c>
      <c r="CM865" s="8">
        <f t="shared" si="636"/>
        <v>0</v>
      </c>
      <c r="CN865" s="8">
        <f t="shared" si="637"/>
        <v>0</v>
      </c>
      <c r="CO865" s="8">
        <f t="shared" si="638"/>
        <v>0</v>
      </c>
      <c r="CP865" s="8">
        <f t="shared" si="639"/>
        <v>0</v>
      </c>
      <c r="CQ865" s="8">
        <f t="shared" si="640"/>
        <v>0</v>
      </c>
      <c r="CR865" s="8">
        <f t="shared" si="641"/>
        <v>0</v>
      </c>
      <c r="CS865" s="8">
        <f t="shared" si="642"/>
        <v>0</v>
      </c>
      <c r="CT865" s="8">
        <f t="shared" si="647"/>
        <v>0</v>
      </c>
      <c r="CU865" s="8">
        <f t="shared" si="648"/>
        <v>0</v>
      </c>
      <c r="CV865" s="8">
        <f t="shared" si="649"/>
        <v>0</v>
      </c>
    </row>
    <row r="866" spans="1:100" ht="20.5" thickTop="1" thickBot="1" x14ac:dyDescent="0.5">
      <c r="A866" s="32"/>
      <c r="B866" s="10"/>
      <c r="C866" s="10"/>
      <c r="D866" s="11"/>
      <c r="E866" s="10"/>
      <c r="F866" s="10"/>
      <c r="G866" s="19"/>
      <c r="H866" s="19"/>
      <c r="I866" s="19"/>
      <c r="J866" s="19"/>
      <c r="K866" s="10"/>
      <c r="L866" s="10"/>
      <c r="M866" s="10"/>
      <c r="N866" s="10"/>
      <c r="O866" s="18"/>
      <c r="P866" s="18"/>
      <c r="Q866" s="21"/>
      <c r="R866" s="20"/>
      <c r="S866" s="16">
        <f t="shared" si="605"/>
        <v>0</v>
      </c>
      <c r="T866" s="11"/>
      <c r="AS866" s="31">
        <f t="shared" si="606"/>
        <v>0</v>
      </c>
      <c r="AT866" s="31">
        <f t="shared" si="607"/>
        <v>0</v>
      </c>
      <c r="AU866" s="31">
        <f t="shared" si="608"/>
        <v>0</v>
      </c>
      <c r="AV866" s="31">
        <f t="shared" si="609"/>
        <v>0</v>
      </c>
      <c r="AW866" s="31">
        <f t="shared" si="610"/>
        <v>0</v>
      </c>
      <c r="AX866" s="31">
        <f t="shared" si="611"/>
        <v>0</v>
      </c>
      <c r="AY866" s="31">
        <f t="shared" si="612"/>
        <v>0</v>
      </c>
      <c r="AZ866" s="31">
        <f t="shared" si="613"/>
        <v>0</v>
      </c>
      <c r="BA866" s="31">
        <f t="shared" si="614"/>
        <v>0</v>
      </c>
      <c r="BB866" s="31">
        <f t="shared" si="643"/>
        <v>0</v>
      </c>
      <c r="BM866" s="8">
        <f t="shared" si="644"/>
        <v>0</v>
      </c>
      <c r="BN866" s="8">
        <f t="shared" si="615"/>
        <v>0</v>
      </c>
      <c r="BO866" s="8">
        <f t="shared" si="616"/>
        <v>0</v>
      </c>
      <c r="BQ866" s="8">
        <f t="shared" si="617"/>
        <v>0</v>
      </c>
      <c r="BR866" s="63">
        <f t="shared" si="618"/>
        <v>0</v>
      </c>
      <c r="BS866" s="63">
        <f t="shared" si="645"/>
        <v>0</v>
      </c>
      <c r="BT866" s="63">
        <f t="shared" si="619"/>
        <v>0</v>
      </c>
      <c r="BU866" s="63">
        <f t="shared" si="620"/>
        <v>0</v>
      </c>
      <c r="BV866" s="57">
        <f t="shared" si="621"/>
        <v>0</v>
      </c>
      <c r="BW866" s="57">
        <f t="shared" si="622"/>
        <v>0</v>
      </c>
      <c r="BX866" s="57">
        <f t="shared" si="646"/>
        <v>0</v>
      </c>
      <c r="BY866" s="57">
        <f t="shared" si="650"/>
        <v>0</v>
      </c>
      <c r="BZ866" s="8">
        <f t="shared" si="623"/>
        <v>0</v>
      </c>
      <c r="CA866" s="8">
        <f t="shared" si="624"/>
        <v>0</v>
      </c>
      <c r="CB866" s="8">
        <f t="shared" si="625"/>
        <v>0</v>
      </c>
      <c r="CC866" s="8">
        <f t="shared" si="626"/>
        <v>0</v>
      </c>
      <c r="CD866" s="8">
        <f t="shared" si="627"/>
        <v>0</v>
      </c>
      <c r="CE866" s="8">
        <f t="shared" si="628"/>
        <v>0</v>
      </c>
      <c r="CF866" s="8">
        <f t="shared" si="629"/>
        <v>0</v>
      </c>
      <c r="CG866" s="8">
        <f t="shared" si="630"/>
        <v>0</v>
      </c>
      <c r="CH866" s="8">
        <f t="shared" si="631"/>
        <v>0</v>
      </c>
      <c r="CI866" s="8">
        <f t="shared" si="632"/>
        <v>0</v>
      </c>
      <c r="CJ866" s="8">
        <f t="shared" si="633"/>
        <v>0</v>
      </c>
      <c r="CK866" s="8">
        <f t="shared" si="634"/>
        <v>0</v>
      </c>
      <c r="CL866" s="8">
        <f t="shared" si="635"/>
        <v>0</v>
      </c>
      <c r="CM866" s="8">
        <f t="shared" si="636"/>
        <v>0</v>
      </c>
      <c r="CN866" s="8">
        <f t="shared" si="637"/>
        <v>0</v>
      </c>
      <c r="CO866" s="8">
        <f t="shared" si="638"/>
        <v>0</v>
      </c>
      <c r="CP866" s="8">
        <f t="shared" si="639"/>
        <v>0</v>
      </c>
      <c r="CQ866" s="8">
        <f t="shared" si="640"/>
        <v>0</v>
      </c>
      <c r="CR866" s="8">
        <f t="shared" si="641"/>
        <v>0</v>
      </c>
      <c r="CS866" s="8">
        <f t="shared" si="642"/>
        <v>0</v>
      </c>
      <c r="CT866" s="8">
        <f t="shared" si="647"/>
        <v>0</v>
      </c>
      <c r="CU866" s="8">
        <f t="shared" si="648"/>
        <v>0</v>
      </c>
      <c r="CV866" s="8">
        <f t="shared" si="649"/>
        <v>0</v>
      </c>
    </row>
    <row r="867" spans="1:100" ht="20.5" thickTop="1" thickBot="1" x14ac:dyDescent="0.5">
      <c r="A867" s="32"/>
      <c r="B867" s="10"/>
      <c r="C867" s="10"/>
      <c r="D867" s="11"/>
      <c r="E867" s="10"/>
      <c r="F867" s="10"/>
      <c r="G867" s="19"/>
      <c r="H867" s="19"/>
      <c r="I867" s="19"/>
      <c r="J867" s="19"/>
      <c r="K867" s="10"/>
      <c r="L867" s="10"/>
      <c r="M867" s="10"/>
      <c r="N867" s="10"/>
      <c r="O867" s="18"/>
      <c r="P867" s="18"/>
      <c r="Q867" s="21"/>
      <c r="R867" s="20"/>
      <c r="S867" s="16">
        <f t="shared" si="605"/>
        <v>0</v>
      </c>
      <c r="T867" s="11"/>
      <c r="AS867" s="31">
        <f t="shared" si="606"/>
        <v>0</v>
      </c>
      <c r="AT867" s="31">
        <f t="shared" si="607"/>
        <v>0</v>
      </c>
      <c r="AU867" s="31">
        <f t="shared" si="608"/>
        <v>0</v>
      </c>
      <c r="AV867" s="31">
        <f t="shared" si="609"/>
        <v>0</v>
      </c>
      <c r="AW867" s="31">
        <f t="shared" si="610"/>
        <v>0</v>
      </c>
      <c r="AX867" s="31">
        <f t="shared" si="611"/>
        <v>0</v>
      </c>
      <c r="AY867" s="31">
        <f t="shared" si="612"/>
        <v>0</v>
      </c>
      <c r="AZ867" s="31">
        <f t="shared" si="613"/>
        <v>0</v>
      </c>
      <c r="BA867" s="31">
        <f t="shared" si="614"/>
        <v>0</v>
      </c>
      <c r="BB867" s="31">
        <f t="shared" si="643"/>
        <v>0</v>
      </c>
      <c r="BM867" s="8">
        <f t="shared" si="644"/>
        <v>0</v>
      </c>
      <c r="BN867" s="8">
        <f t="shared" si="615"/>
        <v>0</v>
      </c>
      <c r="BO867" s="8">
        <f t="shared" si="616"/>
        <v>0</v>
      </c>
      <c r="BQ867" s="8">
        <f t="shared" si="617"/>
        <v>0</v>
      </c>
      <c r="BR867" s="63">
        <f t="shared" si="618"/>
        <v>0</v>
      </c>
      <c r="BS867" s="63">
        <f t="shared" si="645"/>
        <v>0</v>
      </c>
      <c r="BT867" s="63">
        <f t="shared" si="619"/>
        <v>0</v>
      </c>
      <c r="BU867" s="63">
        <f t="shared" si="620"/>
        <v>0</v>
      </c>
      <c r="BV867" s="57">
        <f t="shared" si="621"/>
        <v>0</v>
      </c>
      <c r="BW867" s="57">
        <f t="shared" si="622"/>
        <v>0</v>
      </c>
      <c r="BX867" s="57">
        <f t="shared" si="646"/>
        <v>0</v>
      </c>
      <c r="BY867" s="57">
        <f t="shared" si="650"/>
        <v>0</v>
      </c>
      <c r="BZ867" s="8">
        <f t="shared" si="623"/>
        <v>0</v>
      </c>
      <c r="CA867" s="8">
        <f t="shared" si="624"/>
        <v>0</v>
      </c>
      <c r="CB867" s="8">
        <f t="shared" si="625"/>
        <v>0</v>
      </c>
      <c r="CC867" s="8">
        <f t="shared" si="626"/>
        <v>0</v>
      </c>
      <c r="CD867" s="8">
        <f t="shared" si="627"/>
        <v>0</v>
      </c>
      <c r="CE867" s="8">
        <f t="shared" si="628"/>
        <v>0</v>
      </c>
      <c r="CF867" s="8">
        <f t="shared" si="629"/>
        <v>0</v>
      </c>
      <c r="CG867" s="8">
        <f t="shared" si="630"/>
        <v>0</v>
      </c>
      <c r="CH867" s="8">
        <f t="shared" si="631"/>
        <v>0</v>
      </c>
      <c r="CI867" s="8">
        <f t="shared" si="632"/>
        <v>0</v>
      </c>
      <c r="CJ867" s="8">
        <f t="shared" si="633"/>
        <v>0</v>
      </c>
      <c r="CK867" s="8">
        <f t="shared" si="634"/>
        <v>0</v>
      </c>
      <c r="CL867" s="8">
        <f t="shared" si="635"/>
        <v>0</v>
      </c>
      <c r="CM867" s="8">
        <f t="shared" si="636"/>
        <v>0</v>
      </c>
      <c r="CN867" s="8">
        <f t="shared" si="637"/>
        <v>0</v>
      </c>
      <c r="CO867" s="8">
        <f t="shared" si="638"/>
        <v>0</v>
      </c>
      <c r="CP867" s="8">
        <f t="shared" si="639"/>
        <v>0</v>
      </c>
      <c r="CQ867" s="8">
        <f t="shared" si="640"/>
        <v>0</v>
      </c>
      <c r="CR867" s="8">
        <f t="shared" si="641"/>
        <v>0</v>
      </c>
      <c r="CS867" s="8">
        <f t="shared" si="642"/>
        <v>0</v>
      </c>
      <c r="CT867" s="8">
        <f t="shared" si="647"/>
        <v>0</v>
      </c>
      <c r="CU867" s="8">
        <f t="shared" si="648"/>
        <v>0</v>
      </c>
      <c r="CV867" s="8">
        <f t="shared" si="649"/>
        <v>0</v>
      </c>
    </row>
    <row r="868" spans="1:100" ht="20.5" thickTop="1" thickBot="1" x14ac:dyDescent="0.5">
      <c r="A868" s="32"/>
      <c r="B868" s="10"/>
      <c r="C868" s="10"/>
      <c r="D868" s="11"/>
      <c r="E868" s="10"/>
      <c r="F868" s="10"/>
      <c r="G868" s="19"/>
      <c r="H868" s="19"/>
      <c r="I868" s="19"/>
      <c r="J868" s="19"/>
      <c r="K868" s="10"/>
      <c r="L868" s="10"/>
      <c r="M868" s="10"/>
      <c r="N868" s="10"/>
      <c r="O868" s="18"/>
      <c r="P868" s="18"/>
      <c r="Q868" s="21"/>
      <c r="R868" s="20"/>
      <c r="S868" s="16">
        <f t="shared" si="605"/>
        <v>0</v>
      </c>
      <c r="T868" s="11"/>
      <c r="AS868" s="31">
        <f t="shared" si="606"/>
        <v>0</v>
      </c>
      <c r="AT868" s="31">
        <f t="shared" si="607"/>
        <v>0</v>
      </c>
      <c r="AU868" s="31">
        <f t="shared" si="608"/>
        <v>0</v>
      </c>
      <c r="AV868" s="31">
        <f t="shared" si="609"/>
        <v>0</v>
      </c>
      <c r="AW868" s="31">
        <f t="shared" si="610"/>
        <v>0</v>
      </c>
      <c r="AX868" s="31">
        <f t="shared" si="611"/>
        <v>0</v>
      </c>
      <c r="AY868" s="31">
        <f t="shared" si="612"/>
        <v>0</v>
      </c>
      <c r="AZ868" s="31">
        <f t="shared" si="613"/>
        <v>0</v>
      </c>
      <c r="BA868" s="31">
        <f t="shared" si="614"/>
        <v>0</v>
      </c>
      <c r="BB868" s="31">
        <f t="shared" si="643"/>
        <v>0</v>
      </c>
      <c r="BM868" s="8">
        <f t="shared" si="644"/>
        <v>0</v>
      </c>
      <c r="BN868" s="8">
        <f t="shared" si="615"/>
        <v>0</v>
      </c>
      <c r="BO868" s="8">
        <f t="shared" si="616"/>
        <v>0</v>
      </c>
      <c r="BQ868" s="8">
        <f t="shared" si="617"/>
        <v>0</v>
      </c>
      <c r="BR868" s="63">
        <f t="shared" si="618"/>
        <v>0</v>
      </c>
      <c r="BS868" s="63">
        <f t="shared" si="645"/>
        <v>0</v>
      </c>
      <c r="BT868" s="63">
        <f t="shared" si="619"/>
        <v>0</v>
      </c>
      <c r="BU868" s="63">
        <f t="shared" si="620"/>
        <v>0</v>
      </c>
      <c r="BV868" s="57">
        <f t="shared" si="621"/>
        <v>0</v>
      </c>
      <c r="BW868" s="57">
        <f t="shared" si="622"/>
        <v>0</v>
      </c>
      <c r="BX868" s="57">
        <f t="shared" si="646"/>
        <v>0</v>
      </c>
      <c r="BY868" s="57">
        <f t="shared" si="650"/>
        <v>0</v>
      </c>
      <c r="BZ868" s="8">
        <f t="shared" si="623"/>
        <v>0</v>
      </c>
      <c r="CA868" s="8">
        <f t="shared" si="624"/>
        <v>0</v>
      </c>
      <c r="CB868" s="8">
        <f t="shared" si="625"/>
        <v>0</v>
      </c>
      <c r="CC868" s="8">
        <f t="shared" si="626"/>
        <v>0</v>
      </c>
      <c r="CD868" s="8">
        <f t="shared" si="627"/>
        <v>0</v>
      </c>
      <c r="CE868" s="8">
        <f t="shared" si="628"/>
        <v>0</v>
      </c>
      <c r="CF868" s="8">
        <f t="shared" si="629"/>
        <v>0</v>
      </c>
      <c r="CG868" s="8">
        <f t="shared" si="630"/>
        <v>0</v>
      </c>
      <c r="CH868" s="8">
        <f t="shared" si="631"/>
        <v>0</v>
      </c>
      <c r="CI868" s="8">
        <f t="shared" si="632"/>
        <v>0</v>
      </c>
      <c r="CJ868" s="8">
        <f t="shared" si="633"/>
        <v>0</v>
      </c>
      <c r="CK868" s="8">
        <f t="shared" si="634"/>
        <v>0</v>
      </c>
      <c r="CL868" s="8">
        <f t="shared" si="635"/>
        <v>0</v>
      </c>
      <c r="CM868" s="8">
        <f t="shared" si="636"/>
        <v>0</v>
      </c>
      <c r="CN868" s="8">
        <f t="shared" si="637"/>
        <v>0</v>
      </c>
      <c r="CO868" s="8">
        <f t="shared" si="638"/>
        <v>0</v>
      </c>
      <c r="CP868" s="8">
        <f t="shared" si="639"/>
        <v>0</v>
      </c>
      <c r="CQ868" s="8">
        <f t="shared" si="640"/>
        <v>0</v>
      </c>
      <c r="CR868" s="8">
        <f t="shared" si="641"/>
        <v>0</v>
      </c>
      <c r="CS868" s="8">
        <f t="shared" si="642"/>
        <v>0</v>
      </c>
      <c r="CT868" s="8">
        <f t="shared" si="647"/>
        <v>0</v>
      </c>
      <c r="CU868" s="8">
        <f t="shared" si="648"/>
        <v>0</v>
      </c>
      <c r="CV868" s="8">
        <f t="shared" si="649"/>
        <v>0</v>
      </c>
    </row>
    <row r="869" spans="1:100" ht="20.5" thickTop="1" thickBot="1" x14ac:dyDescent="0.5">
      <c r="A869" s="32"/>
      <c r="B869" s="10"/>
      <c r="C869" s="10"/>
      <c r="D869" s="11"/>
      <c r="E869" s="10"/>
      <c r="F869" s="10"/>
      <c r="G869" s="19"/>
      <c r="H869" s="19"/>
      <c r="I869" s="19"/>
      <c r="J869" s="19"/>
      <c r="K869" s="10"/>
      <c r="L869" s="10"/>
      <c r="M869" s="10"/>
      <c r="N869" s="10"/>
      <c r="O869" s="18"/>
      <c r="P869" s="18"/>
      <c r="Q869" s="21"/>
      <c r="R869" s="20"/>
      <c r="S869" s="16">
        <f t="shared" si="605"/>
        <v>0</v>
      </c>
      <c r="T869" s="11"/>
      <c r="AS869" s="31">
        <f t="shared" si="606"/>
        <v>0</v>
      </c>
      <c r="AT869" s="31">
        <f t="shared" si="607"/>
        <v>0</v>
      </c>
      <c r="AU869" s="31">
        <f t="shared" si="608"/>
        <v>0</v>
      </c>
      <c r="AV869" s="31">
        <f t="shared" si="609"/>
        <v>0</v>
      </c>
      <c r="AW869" s="31">
        <f t="shared" si="610"/>
        <v>0</v>
      </c>
      <c r="AX869" s="31">
        <f t="shared" si="611"/>
        <v>0</v>
      </c>
      <c r="AY869" s="31">
        <f t="shared" si="612"/>
        <v>0</v>
      </c>
      <c r="AZ869" s="31">
        <f t="shared" si="613"/>
        <v>0</v>
      </c>
      <c r="BA869" s="31">
        <f t="shared" si="614"/>
        <v>0</v>
      </c>
      <c r="BB869" s="31">
        <f t="shared" si="643"/>
        <v>0</v>
      </c>
      <c r="BM869" s="8">
        <f t="shared" si="644"/>
        <v>0</v>
      </c>
      <c r="BN869" s="8">
        <f t="shared" si="615"/>
        <v>0</v>
      </c>
      <c r="BO869" s="8">
        <f t="shared" si="616"/>
        <v>0</v>
      </c>
      <c r="BQ869" s="8">
        <f t="shared" si="617"/>
        <v>0</v>
      </c>
      <c r="BR869" s="63">
        <f t="shared" si="618"/>
        <v>0</v>
      </c>
      <c r="BS869" s="63">
        <f t="shared" si="645"/>
        <v>0</v>
      </c>
      <c r="BT869" s="63">
        <f t="shared" si="619"/>
        <v>0</v>
      </c>
      <c r="BU869" s="63">
        <f t="shared" si="620"/>
        <v>0</v>
      </c>
      <c r="BV869" s="57">
        <f t="shared" si="621"/>
        <v>0</v>
      </c>
      <c r="BW869" s="57">
        <f t="shared" si="622"/>
        <v>0</v>
      </c>
      <c r="BX869" s="57">
        <f t="shared" si="646"/>
        <v>0</v>
      </c>
      <c r="BY869" s="57">
        <f t="shared" si="650"/>
        <v>0</v>
      </c>
      <c r="BZ869" s="8">
        <f t="shared" si="623"/>
        <v>0</v>
      </c>
      <c r="CA869" s="8">
        <f t="shared" si="624"/>
        <v>0</v>
      </c>
      <c r="CB869" s="8">
        <f t="shared" si="625"/>
        <v>0</v>
      </c>
      <c r="CC869" s="8">
        <f t="shared" si="626"/>
        <v>0</v>
      </c>
      <c r="CD869" s="8">
        <f t="shared" si="627"/>
        <v>0</v>
      </c>
      <c r="CE869" s="8">
        <f t="shared" si="628"/>
        <v>0</v>
      </c>
      <c r="CF869" s="8">
        <f t="shared" si="629"/>
        <v>0</v>
      </c>
      <c r="CG869" s="8">
        <f t="shared" si="630"/>
        <v>0</v>
      </c>
      <c r="CH869" s="8">
        <f t="shared" si="631"/>
        <v>0</v>
      </c>
      <c r="CI869" s="8">
        <f t="shared" si="632"/>
        <v>0</v>
      </c>
      <c r="CJ869" s="8">
        <f t="shared" si="633"/>
        <v>0</v>
      </c>
      <c r="CK869" s="8">
        <f t="shared" si="634"/>
        <v>0</v>
      </c>
      <c r="CL869" s="8">
        <f t="shared" si="635"/>
        <v>0</v>
      </c>
      <c r="CM869" s="8">
        <f t="shared" si="636"/>
        <v>0</v>
      </c>
      <c r="CN869" s="8">
        <f t="shared" si="637"/>
        <v>0</v>
      </c>
      <c r="CO869" s="8">
        <f t="shared" si="638"/>
        <v>0</v>
      </c>
      <c r="CP869" s="8">
        <f t="shared" si="639"/>
        <v>0</v>
      </c>
      <c r="CQ869" s="8">
        <f t="shared" si="640"/>
        <v>0</v>
      </c>
      <c r="CR869" s="8">
        <f t="shared" si="641"/>
        <v>0</v>
      </c>
      <c r="CS869" s="8">
        <f t="shared" si="642"/>
        <v>0</v>
      </c>
      <c r="CT869" s="8">
        <f t="shared" si="647"/>
        <v>0</v>
      </c>
      <c r="CU869" s="8">
        <f t="shared" si="648"/>
        <v>0</v>
      </c>
      <c r="CV869" s="8">
        <f t="shared" si="649"/>
        <v>0</v>
      </c>
    </row>
    <row r="870" spans="1:100" ht="20.5" thickTop="1" thickBot="1" x14ac:dyDescent="0.5">
      <c r="A870" s="32"/>
      <c r="B870" s="10"/>
      <c r="C870" s="10"/>
      <c r="D870" s="11"/>
      <c r="E870" s="10"/>
      <c r="F870" s="10"/>
      <c r="G870" s="19"/>
      <c r="H870" s="19"/>
      <c r="I870" s="19"/>
      <c r="J870" s="19"/>
      <c r="K870" s="10"/>
      <c r="L870" s="10"/>
      <c r="M870" s="10"/>
      <c r="N870" s="10"/>
      <c r="O870" s="18"/>
      <c r="P870" s="18"/>
      <c r="Q870" s="21"/>
      <c r="R870" s="20"/>
      <c r="S870" s="16">
        <f t="shared" si="605"/>
        <v>0</v>
      </c>
      <c r="T870" s="11"/>
      <c r="AS870" s="31">
        <f t="shared" si="606"/>
        <v>0</v>
      </c>
      <c r="AT870" s="31">
        <f t="shared" si="607"/>
        <v>0</v>
      </c>
      <c r="AU870" s="31">
        <f t="shared" si="608"/>
        <v>0</v>
      </c>
      <c r="AV870" s="31">
        <f t="shared" si="609"/>
        <v>0</v>
      </c>
      <c r="AW870" s="31">
        <f t="shared" si="610"/>
        <v>0</v>
      </c>
      <c r="AX870" s="31">
        <f t="shared" si="611"/>
        <v>0</v>
      </c>
      <c r="AY870" s="31">
        <f t="shared" si="612"/>
        <v>0</v>
      </c>
      <c r="AZ870" s="31">
        <f t="shared" si="613"/>
        <v>0</v>
      </c>
      <c r="BA870" s="31">
        <f t="shared" si="614"/>
        <v>0</v>
      </c>
      <c r="BB870" s="31">
        <f t="shared" si="643"/>
        <v>0</v>
      </c>
      <c r="BM870" s="8">
        <f t="shared" si="644"/>
        <v>0</v>
      </c>
      <c r="BN870" s="8">
        <f t="shared" si="615"/>
        <v>0</v>
      </c>
      <c r="BO870" s="8">
        <f t="shared" si="616"/>
        <v>0</v>
      </c>
      <c r="BQ870" s="8">
        <f t="shared" si="617"/>
        <v>0</v>
      </c>
      <c r="BR870" s="63">
        <f t="shared" si="618"/>
        <v>0</v>
      </c>
      <c r="BS870" s="63">
        <f t="shared" si="645"/>
        <v>0</v>
      </c>
      <c r="BT870" s="63">
        <f t="shared" si="619"/>
        <v>0</v>
      </c>
      <c r="BU870" s="63">
        <f t="shared" si="620"/>
        <v>0</v>
      </c>
      <c r="BV870" s="57">
        <f t="shared" si="621"/>
        <v>0</v>
      </c>
      <c r="BW870" s="57">
        <f t="shared" si="622"/>
        <v>0</v>
      </c>
      <c r="BX870" s="57">
        <f t="shared" si="646"/>
        <v>0</v>
      </c>
      <c r="BY870" s="57">
        <f t="shared" si="650"/>
        <v>0</v>
      </c>
      <c r="BZ870" s="8">
        <f t="shared" si="623"/>
        <v>0</v>
      </c>
      <c r="CA870" s="8">
        <f t="shared" si="624"/>
        <v>0</v>
      </c>
      <c r="CB870" s="8">
        <f t="shared" si="625"/>
        <v>0</v>
      </c>
      <c r="CC870" s="8">
        <f t="shared" si="626"/>
        <v>0</v>
      </c>
      <c r="CD870" s="8">
        <f t="shared" si="627"/>
        <v>0</v>
      </c>
      <c r="CE870" s="8">
        <f t="shared" si="628"/>
        <v>0</v>
      </c>
      <c r="CF870" s="8">
        <f t="shared" si="629"/>
        <v>0</v>
      </c>
      <c r="CG870" s="8">
        <f t="shared" si="630"/>
        <v>0</v>
      </c>
      <c r="CH870" s="8">
        <f t="shared" si="631"/>
        <v>0</v>
      </c>
      <c r="CI870" s="8">
        <f t="shared" si="632"/>
        <v>0</v>
      </c>
      <c r="CJ870" s="8">
        <f t="shared" si="633"/>
        <v>0</v>
      </c>
      <c r="CK870" s="8">
        <f t="shared" si="634"/>
        <v>0</v>
      </c>
      <c r="CL870" s="8">
        <f t="shared" si="635"/>
        <v>0</v>
      </c>
      <c r="CM870" s="8">
        <f t="shared" si="636"/>
        <v>0</v>
      </c>
      <c r="CN870" s="8">
        <f t="shared" si="637"/>
        <v>0</v>
      </c>
      <c r="CO870" s="8">
        <f t="shared" si="638"/>
        <v>0</v>
      </c>
      <c r="CP870" s="8">
        <f t="shared" si="639"/>
        <v>0</v>
      </c>
      <c r="CQ870" s="8">
        <f t="shared" si="640"/>
        <v>0</v>
      </c>
      <c r="CR870" s="8">
        <f t="shared" si="641"/>
        <v>0</v>
      </c>
      <c r="CS870" s="8">
        <f t="shared" si="642"/>
        <v>0</v>
      </c>
      <c r="CT870" s="8">
        <f t="shared" si="647"/>
        <v>0</v>
      </c>
      <c r="CU870" s="8">
        <f t="shared" si="648"/>
        <v>0</v>
      </c>
      <c r="CV870" s="8">
        <f t="shared" si="649"/>
        <v>0</v>
      </c>
    </row>
    <row r="871" spans="1:100" ht="20.5" thickTop="1" thickBot="1" x14ac:dyDescent="0.5">
      <c r="A871" s="32"/>
      <c r="B871" s="10"/>
      <c r="C871" s="10"/>
      <c r="D871" s="11"/>
      <c r="E871" s="10"/>
      <c r="F871" s="10"/>
      <c r="G871" s="19"/>
      <c r="H871" s="19"/>
      <c r="I871" s="19"/>
      <c r="J871" s="19"/>
      <c r="K871" s="10"/>
      <c r="L871" s="10"/>
      <c r="M871" s="10"/>
      <c r="N871" s="10"/>
      <c r="O871" s="18"/>
      <c r="P871" s="18"/>
      <c r="Q871" s="21"/>
      <c r="R871" s="20"/>
      <c r="S871" s="16">
        <f t="shared" si="605"/>
        <v>0</v>
      </c>
      <c r="T871" s="11"/>
      <c r="AS871" s="31">
        <f t="shared" si="606"/>
        <v>0</v>
      </c>
      <c r="AT871" s="31">
        <f t="shared" si="607"/>
        <v>0</v>
      </c>
      <c r="AU871" s="31">
        <f t="shared" si="608"/>
        <v>0</v>
      </c>
      <c r="AV871" s="31">
        <f t="shared" si="609"/>
        <v>0</v>
      </c>
      <c r="AW871" s="31">
        <f t="shared" si="610"/>
        <v>0</v>
      </c>
      <c r="AX871" s="31">
        <f t="shared" si="611"/>
        <v>0</v>
      </c>
      <c r="AY871" s="31">
        <f t="shared" si="612"/>
        <v>0</v>
      </c>
      <c r="AZ871" s="31">
        <f t="shared" si="613"/>
        <v>0</v>
      </c>
      <c r="BA871" s="31">
        <f t="shared" si="614"/>
        <v>0</v>
      </c>
      <c r="BB871" s="31">
        <f t="shared" si="643"/>
        <v>0</v>
      </c>
      <c r="BM871" s="8">
        <f t="shared" si="644"/>
        <v>0</v>
      </c>
      <c r="BN871" s="8">
        <f t="shared" si="615"/>
        <v>0</v>
      </c>
      <c r="BO871" s="8">
        <f t="shared" si="616"/>
        <v>0</v>
      </c>
      <c r="BQ871" s="8">
        <f t="shared" si="617"/>
        <v>0</v>
      </c>
      <c r="BR871" s="63">
        <f t="shared" si="618"/>
        <v>0</v>
      </c>
      <c r="BS871" s="63">
        <f t="shared" si="645"/>
        <v>0</v>
      </c>
      <c r="BT871" s="63">
        <f t="shared" si="619"/>
        <v>0</v>
      </c>
      <c r="BU871" s="63">
        <f t="shared" si="620"/>
        <v>0</v>
      </c>
      <c r="BV871" s="57">
        <f t="shared" si="621"/>
        <v>0</v>
      </c>
      <c r="BW871" s="57">
        <f t="shared" si="622"/>
        <v>0</v>
      </c>
      <c r="BX871" s="57">
        <f t="shared" si="646"/>
        <v>0</v>
      </c>
      <c r="BY871" s="57">
        <f t="shared" si="650"/>
        <v>0</v>
      </c>
      <c r="BZ871" s="8">
        <f t="shared" si="623"/>
        <v>0</v>
      </c>
      <c r="CA871" s="8">
        <f t="shared" si="624"/>
        <v>0</v>
      </c>
      <c r="CB871" s="8">
        <f t="shared" si="625"/>
        <v>0</v>
      </c>
      <c r="CC871" s="8">
        <f t="shared" si="626"/>
        <v>0</v>
      </c>
      <c r="CD871" s="8">
        <f t="shared" si="627"/>
        <v>0</v>
      </c>
      <c r="CE871" s="8">
        <f t="shared" si="628"/>
        <v>0</v>
      </c>
      <c r="CF871" s="8">
        <f t="shared" si="629"/>
        <v>0</v>
      </c>
      <c r="CG871" s="8">
        <f t="shared" si="630"/>
        <v>0</v>
      </c>
      <c r="CH871" s="8">
        <f t="shared" si="631"/>
        <v>0</v>
      </c>
      <c r="CI871" s="8">
        <f t="shared" si="632"/>
        <v>0</v>
      </c>
      <c r="CJ871" s="8">
        <f t="shared" si="633"/>
        <v>0</v>
      </c>
      <c r="CK871" s="8">
        <f t="shared" si="634"/>
        <v>0</v>
      </c>
      <c r="CL871" s="8">
        <f t="shared" si="635"/>
        <v>0</v>
      </c>
      <c r="CM871" s="8">
        <f t="shared" si="636"/>
        <v>0</v>
      </c>
      <c r="CN871" s="8">
        <f t="shared" si="637"/>
        <v>0</v>
      </c>
      <c r="CO871" s="8">
        <f t="shared" si="638"/>
        <v>0</v>
      </c>
      <c r="CP871" s="8">
        <f t="shared" si="639"/>
        <v>0</v>
      </c>
      <c r="CQ871" s="8">
        <f t="shared" si="640"/>
        <v>0</v>
      </c>
      <c r="CR871" s="8">
        <f t="shared" si="641"/>
        <v>0</v>
      </c>
      <c r="CS871" s="8">
        <f t="shared" si="642"/>
        <v>0</v>
      </c>
      <c r="CT871" s="8">
        <f t="shared" si="647"/>
        <v>0</v>
      </c>
      <c r="CU871" s="8">
        <f t="shared" si="648"/>
        <v>0</v>
      </c>
      <c r="CV871" s="8">
        <f t="shared" si="649"/>
        <v>0</v>
      </c>
    </row>
    <row r="872" spans="1:100" ht="20.5" thickTop="1" thickBot="1" x14ac:dyDescent="0.5">
      <c r="A872" s="32"/>
      <c r="B872" s="10"/>
      <c r="C872" s="10"/>
      <c r="D872" s="11"/>
      <c r="E872" s="10"/>
      <c r="F872" s="10"/>
      <c r="G872" s="19"/>
      <c r="H872" s="19"/>
      <c r="I872" s="19"/>
      <c r="J872" s="19"/>
      <c r="K872" s="10"/>
      <c r="L872" s="10"/>
      <c r="M872" s="10"/>
      <c r="N872" s="10"/>
      <c r="O872" s="18"/>
      <c r="P872" s="18"/>
      <c r="Q872" s="21"/>
      <c r="R872" s="20"/>
      <c r="S872" s="16">
        <f t="shared" si="605"/>
        <v>0</v>
      </c>
      <c r="T872" s="11"/>
      <c r="AS872" s="31">
        <f t="shared" si="606"/>
        <v>0</v>
      </c>
      <c r="AT872" s="31">
        <f t="shared" si="607"/>
        <v>0</v>
      </c>
      <c r="AU872" s="31">
        <f t="shared" si="608"/>
        <v>0</v>
      </c>
      <c r="AV872" s="31">
        <f t="shared" si="609"/>
        <v>0</v>
      </c>
      <c r="AW872" s="31">
        <f t="shared" si="610"/>
        <v>0</v>
      </c>
      <c r="AX872" s="31">
        <f t="shared" si="611"/>
        <v>0</v>
      </c>
      <c r="AY872" s="31">
        <f t="shared" si="612"/>
        <v>0</v>
      </c>
      <c r="AZ872" s="31">
        <f t="shared" si="613"/>
        <v>0</v>
      </c>
      <c r="BA872" s="31">
        <f t="shared" si="614"/>
        <v>0</v>
      </c>
      <c r="BB872" s="31">
        <f t="shared" si="643"/>
        <v>0</v>
      </c>
      <c r="BM872" s="8">
        <f t="shared" si="644"/>
        <v>0</v>
      </c>
      <c r="BN872" s="8">
        <f t="shared" si="615"/>
        <v>0</v>
      </c>
      <c r="BO872" s="8">
        <f t="shared" si="616"/>
        <v>0</v>
      </c>
      <c r="BQ872" s="8">
        <f t="shared" si="617"/>
        <v>0</v>
      </c>
      <c r="BR872" s="63">
        <f t="shared" si="618"/>
        <v>0</v>
      </c>
      <c r="BS872" s="63">
        <f t="shared" si="645"/>
        <v>0</v>
      </c>
      <c r="BT872" s="63">
        <f t="shared" si="619"/>
        <v>0</v>
      </c>
      <c r="BU872" s="63">
        <f t="shared" si="620"/>
        <v>0</v>
      </c>
      <c r="BV872" s="57">
        <f t="shared" si="621"/>
        <v>0</v>
      </c>
      <c r="BW872" s="57">
        <f t="shared" si="622"/>
        <v>0</v>
      </c>
      <c r="BX872" s="57">
        <f t="shared" si="646"/>
        <v>0</v>
      </c>
      <c r="BY872" s="57">
        <f t="shared" si="650"/>
        <v>0</v>
      </c>
      <c r="BZ872" s="8">
        <f t="shared" si="623"/>
        <v>0</v>
      </c>
      <c r="CA872" s="8">
        <f t="shared" si="624"/>
        <v>0</v>
      </c>
      <c r="CB872" s="8">
        <f t="shared" si="625"/>
        <v>0</v>
      </c>
      <c r="CC872" s="8">
        <f t="shared" si="626"/>
        <v>0</v>
      </c>
      <c r="CD872" s="8">
        <f t="shared" si="627"/>
        <v>0</v>
      </c>
      <c r="CE872" s="8">
        <f t="shared" si="628"/>
        <v>0</v>
      </c>
      <c r="CF872" s="8">
        <f t="shared" si="629"/>
        <v>0</v>
      </c>
      <c r="CG872" s="8">
        <f t="shared" si="630"/>
        <v>0</v>
      </c>
      <c r="CH872" s="8">
        <f t="shared" si="631"/>
        <v>0</v>
      </c>
      <c r="CI872" s="8">
        <f t="shared" si="632"/>
        <v>0</v>
      </c>
      <c r="CJ872" s="8">
        <f t="shared" si="633"/>
        <v>0</v>
      </c>
      <c r="CK872" s="8">
        <f t="shared" si="634"/>
        <v>0</v>
      </c>
      <c r="CL872" s="8">
        <f t="shared" si="635"/>
        <v>0</v>
      </c>
      <c r="CM872" s="8">
        <f t="shared" si="636"/>
        <v>0</v>
      </c>
      <c r="CN872" s="8">
        <f t="shared" si="637"/>
        <v>0</v>
      </c>
      <c r="CO872" s="8">
        <f t="shared" si="638"/>
        <v>0</v>
      </c>
      <c r="CP872" s="8">
        <f t="shared" si="639"/>
        <v>0</v>
      </c>
      <c r="CQ872" s="8">
        <f t="shared" si="640"/>
        <v>0</v>
      </c>
      <c r="CR872" s="8">
        <f t="shared" si="641"/>
        <v>0</v>
      </c>
      <c r="CS872" s="8">
        <f t="shared" si="642"/>
        <v>0</v>
      </c>
      <c r="CT872" s="8">
        <f t="shared" si="647"/>
        <v>0</v>
      </c>
      <c r="CU872" s="8">
        <f t="shared" si="648"/>
        <v>0</v>
      </c>
      <c r="CV872" s="8">
        <f t="shared" si="649"/>
        <v>0</v>
      </c>
    </row>
    <row r="873" spans="1:100" ht="20.5" thickTop="1" thickBot="1" x14ac:dyDescent="0.5">
      <c r="A873" s="32"/>
      <c r="B873" s="10"/>
      <c r="C873" s="10"/>
      <c r="D873" s="11"/>
      <c r="E873" s="10"/>
      <c r="F873" s="10"/>
      <c r="G873" s="19"/>
      <c r="H873" s="19"/>
      <c r="I873" s="19"/>
      <c r="J873" s="19"/>
      <c r="K873" s="10"/>
      <c r="L873" s="10"/>
      <c r="M873" s="10"/>
      <c r="N873" s="10"/>
      <c r="O873" s="18"/>
      <c r="P873" s="18"/>
      <c r="Q873" s="21"/>
      <c r="R873" s="20"/>
      <c r="S873" s="16">
        <f t="shared" si="605"/>
        <v>0</v>
      </c>
      <c r="T873" s="11"/>
      <c r="AS873" s="31">
        <f t="shared" si="606"/>
        <v>0</v>
      </c>
      <c r="AT873" s="31">
        <f t="shared" si="607"/>
        <v>0</v>
      </c>
      <c r="AU873" s="31">
        <f t="shared" si="608"/>
        <v>0</v>
      </c>
      <c r="AV873" s="31">
        <f t="shared" si="609"/>
        <v>0</v>
      </c>
      <c r="AW873" s="31">
        <f t="shared" si="610"/>
        <v>0</v>
      </c>
      <c r="AX873" s="31">
        <f t="shared" si="611"/>
        <v>0</v>
      </c>
      <c r="AY873" s="31">
        <f t="shared" si="612"/>
        <v>0</v>
      </c>
      <c r="AZ873" s="31">
        <f t="shared" si="613"/>
        <v>0</v>
      </c>
      <c r="BA873" s="31">
        <f t="shared" si="614"/>
        <v>0</v>
      </c>
      <c r="BB873" s="31">
        <f t="shared" si="643"/>
        <v>0</v>
      </c>
      <c r="BM873" s="8">
        <f t="shared" si="644"/>
        <v>0</v>
      </c>
      <c r="BN873" s="8">
        <f t="shared" si="615"/>
        <v>0</v>
      </c>
      <c r="BO873" s="8">
        <f t="shared" si="616"/>
        <v>0</v>
      </c>
      <c r="BQ873" s="8">
        <f t="shared" si="617"/>
        <v>0</v>
      </c>
      <c r="BR873" s="63">
        <f t="shared" si="618"/>
        <v>0</v>
      </c>
      <c r="BS873" s="63">
        <f t="shared" si="645"/>
        <v>0</v>
      </c>
      <c r="BT873" s="63">
        <f t="shared" si="619"/>
        <v>0</v>
      </c>
      <c r="BU873" s="63">
        <f t="shared" si="620"/>
        <v>0</v>
      </c>
      <c r="BV873" s="57">
        <f t="shared" si="621"/>
        <v>0</v>
      </c>
      <c r="BW873" s="57">
        <f t="shared" si="622"/>
        <v>0</v>
      </c>
      <c r="BX873" s="57">
        <f t="shared" si="646"/>
        <v>0</v>
      </c>
      <c r="BY873" s="57">
        <f t="shared" si="650"/>
        <v>0</v>
      </c>
      <c r="BZ873" s="8">
        <f t="shared" si="623"/>
        <v>0</v>
      </c>
      <c r="CA873" s="8">
        <f t="shared" si="624"/>
        <v>0</v>
      </c>
      <c r="CB873" s="8">
        <f t="shared" si="625"/>
        <v>0</v>
      </c>
      <c r="CC873" s="8">
        <f t="shared" si="626"/>
        <v>0</v>
      </c>
      <c r="CD873" s="8">
        <f t="shared" si="627"/>
        <v>0</v>
      </c>
      <c r="CE873" s="8">
        <f t="shared" si="628"/>
        <v>0</v>
      </c>
      <c r="CF873" s="8">
        <f t="shared" si="629"/>
        <v>0</v>
      </c>
      <c r="CG873" s="8">
        <f t="shared" si="630"/>
        <v>0</v>
      </c>
      <c r="CH873" s="8">
        <f t="shared" si="631"/>
        <v>0</v>
      </c>
      <c r="CI873" s="8">
        <f t="shared" si="632"/>
        <v>0</v>
      </c>
      <c r="CJ873" s="8">
        <f t="shared" si="633"/>
        <v>0</v>
      </c>
      <c r="CK873" s="8">
        <f t="shared" si="634"/>
        <v>0</v>
      </c>
      <c r="CL873" s="8">
        <f t="shared" si="635"/>
        <v>0</v>
      </c>
      <c r="CM873" s="8">
        <f t="shared" si="636"/>
        <v>0</v>
      </c>
      <c r="CN873" s="8">
        <f t="shared" si="637"/>
        <v>0</v>
      </c>
      <c r="CO873" s="8">
        <f t="shared" si="638"/>
        <v>0</v>
      </c>
      <c r="CP873" s="8">
        <f t="shared" si="639"/>
        <v>0</v>
      </c>
      <c r="CQ873" s="8">
        <f t="shared" si="640"/>
        <v>0</v>
      </c>
      <c r="CR873" s="8">
        <f t="shared" si="641"/>
        <v>0</v>
      </c>
      <c r="CS873" s="8">
        <f t="shared" si="642"/>
        <v>0</v>
      </c>
      <c r="CT873" s="8">
        <f t="shared" si="647"/>
        <v>0</v>
      </c>
      <c r="CU873" s="8">
        <f t="shared" si="648"/>
        <v>0</v>
      </c>
      <c r="CV873" s="8">
        <f t="shared" si="649"/>
        <v>0</v>
      </c>
    </row>
    <row r="874" spans="1:100" ht="20.5" thickTop="1" thickBot="1" x14ac:dyDescent="0.5">
      <c r="A874" s="32"/>
      <c r="B874" s="10"/>
      <c r="C874" s="10"/>
      <c r="D874" s="11"/>
      <c r="E874" s="10"/>
      <c r="F874" s="10"/>
      <c r="G874" s="19"/>
      <c r="H874" s="19"/>
      <c r="I874" s="19"/>
      <c r="J874" s="19"/>
      <c r="K874" s="10"/>
      <c r="L874" s="10"/>
      <c r="M874" s="10"/>
      <c r="N874" s="10"/>
      <c r="O874" s="18"/>
      <c r="P874" s="18"/>
      <c r="Q874" s="21"/>
      <c r="R874" s="20"/>
      <c r="S874" s="16">
        <f t="shared" si="605"/>
        <v>0</v>
      </c>
      <c r="T874" s="11"/>
      <c r="AS874" s="31">
        <f t="shared" si="606"/>
        <v>0</v>
      </c>
      <c r="AT874" s="31">
        <f t="shared" si="607"/>
        <v>0</v>
      </c>
      <c r="AU874" s="31">
        <f t="shared" si="608"/>
        <v>0</v>
      </c>
      <c r="AV874" s="31">
        <f t="shared" si="609"/>
        <v>0</v>
      </c>
      <c r="AW874" s="31">
        <f t="shared" si="610"/>
        <v>0</v>
      </c>
      <c r="AX874" s="31">
        <f t="shared" si="611"/>
        <v>0</v>
      </c>
      <c r="AY874" s="31">
        <f t="shared" si="612"/>
        <v>0</v>
      </c>
      <c r="AZ874" s="31">
        <f t="shared" si="613"/>
        <v>0</v>
      </c>
      <c r="BA874" s="31">
        <f t="shared" si="614"/>
        <v>0</v>
      </c>
      <c r="BB874" s="31">
        <f t="shared" si="643"/>
        <v>0</v>
      </c>
      <c r="BM874" s="8">
        <f t="shared" si="644"/>
        <v>0</v>
      </c>
      <c r="BN874" s="8">
        <f t="shared" si="615"/>
        <v>0</v>
      </c>
      <c r="BO874" s="8">
        <f t="shared" si="616"/>
        <v>0</v>
      </c>
      <c r="BQ874" s="8">
        <f t="shared" si="617"/>
        <v>0</v>
      </c>
      <c r="BR874" s="63">
        <f t="shared" si="618"/>
        <v>0</v>
      </c>
      <c r="BS874" s="63">
        <f t="shared" si="645"/>
        <v>0</v>
      </c>
      <c r="BT874" s="63">
        <f t="shared" si="619"/>
        <v>0</v>
      </c>
      <c r="BU874" s="63">
        <f t="shared" si="620"/>
        <v>0</v>
      </c>
      <c r="BV874" s="57">
        <f t="shared" si="621"/>
        <v>0</v>
      </c>
      <c r="BW874" s="57">
        <f t="shared" si="622"/>
        <v>0</v>
      </c>
      <c r="BX874" s="57">
        <f t="shared" si="646"/>
        <v>0</v>
      </c>
      <c r="BY874" s="57">
        <f t="shared" si="650"/>
        <v>0</v>
      </c>
      <c r="BZ874" s="8">
        <f t="shared" si="623"/>
        <v>0</v>
      </c>
      <c r="CA874" s="8">
        <f t="shared" si="624"/>
        <v>0</v>
      </c>
      <c r="CB874" s="8">
        <f t="shared" si="625"/>
        <v>0</v>
      </c>
      <c r="CC874" s="8">
        <f t="shared" si="626"/>
        <v>0</v>
      </c>
      <c r="CD874" s="8">
        <f t="shared" si="627"/>
        <v>0</v>
      </c>
      <c r="CE874" s="8">
        <f t="shared" si="628"/>
        <v>0</v>
      </c>
      <c r="CF874" s="8">
        <f t="shared" si="629"/>
        <v>0</v>
      </c>
      <c r="CG874" s="8">
        <f t="shared" si="630"/>
        <v>0</v>
      </c>
      <c r="CH874" s="8">
        <f t="shared" si="631"/>
        <v>0</v>
      </c>
      <c r="CI874" s="8">
        <f t="shared" si="632"/>
        <v>0</v>
      </c>
      <c r="CJ874" s="8">
        <f t="shared" si="633"/>
        <v>0</v>
      </c>
      <c r="CK874" s="8">
        <f t="shared" si="634"/>
        <v>0</v>
      </c>
      <c r="CL874" s="8">
        <f t="shared" si="635"/>
        <v>0</v>
      </c>
      <c r="CM874" s="8">
        <f t="shared" si="636"/>
        <v>0</v>
      </c>
      <c r="CN874" s="8">
        <f t="shared" si="637"/>
        <v>0</v>
      </c>
      <c r="CO874" s="8">
        <f t="shared" si="638"/>
        <v>0</v>
      </c>
      <c r="CP874" s="8">
        <f t="shared" si="639"/>
        <v>0</v>
      </c>
      <c r="CQ874" s="8">
        <f t="shared" si="640"/>
        <v>0</v>
      </c>
      <c r="CR874" s="8">
        <f t="shared" si="641"/>
        <v>0</v>
      </c>
      <c r="CS874" s="8">
        <f t="shared" si="642"/>
        <v>0</v>
      </c>
      <c r="CT874" s="8">
        <f t="shared" si="647"/>
        <v>0</v>
      </c>
      <c r="CU874" s="8">
        <f t="shared" si="648"/>
        <v>0</v>
      </c>
      <c r="CV874" s="8">
        <f t="shared" si="649"/>
        <v>0</v>
      </c>
    </row>
    <row r="875" spans="1:100" ht="20.5" thickTop="1" thickBot="1" x14ac:dyDescent="0.5">
      <c r="A875" s="32"/>
      <c r="B875" s="10"/>
      <c r="C875" s="10"/>
      <c r="D875" s="11"/>
      <c r="E875" s="10"/>
      <c r="F875" s="10"/>
      <c r="G875" s="19"/>
      <c r="H875" s="19"/>
      <c r="I875" s="19"/>
      <c r="J875" s="19"/>
      <c r="K875" s="10"/>
      <c r="L875" s="10"/>
      <c r="M875" s="10"/>
      <c r="N875" s="10"/>
      <c r="O875" s="18"/>
      <c r="P875" s="18"/>
      <c r="Q875" s="21"/>
      <c r="R875" s="20"/>
      <c r="S875" s="16">
        <f t="shared" si="605"/>
        <v>0</v>
      </c>
      <c r="T875" s="11"/>
      <c r="AS875" s="31">
        <f t="shared" si="606"/>
        <v>0</v>
      </c>
      <c r="AT875" s="31">
        <f t="shared" si="607"/>
        <v>0</v>
      </c>
      <c r="AU875" s="31">
        <f t="shared" si="608"/>
        <v>0</v>
      </c>
      <c r="AV875" s="31">
        <f t="shared" si="609"/>
        <v>0</v>
      </c>
      <c r="AW875" s="31">
        <f t="shared" si="610"/>
        <v>0</v>
      </c>
      <c r="AX875" s="31">
        <f t="shared" si="611"/>
        <v>0</v>
      </c>
      <c r="AY875" s="31">
        <f t="shared" si="612"/>
        <v>0</v>
      </c>
      <c r="AZ875" s="31">
        <f t="shared" si="613"/>
        <v>0</v>
      </c>
      <c r="BA875" s="31">
        <f t="shared" si="614"/>
        <v>0</v>
      </c>
      <c r="BB875" s="31">
        <f t="shared" si="643"/>
        <v>0</v>
      </c>
      <c r="BM875" s="8">
        <f t="shared" si="644"/>
        <v>0</v>
      </c>
      <c r="BN875" s="8">
        <f t="shared" si="615"/>
        <v>0</v>
      </c>
      <c r="BO875" s="8">
        <f t="shared" si="616"/>
        <v>0</v>
      </c>
      <c r="BQ875" s="8">
        <f t="shared" si="617"/>
        <v>0</v>
      </c>
      <c r="BR875" s="63">
        <f t="shared" si="618"/>
        <v>0</v>
      </c>
      <c r="BS875" s="63">
        <f t="shared" si="645"/>
        <v>0</v>
      </c>
      <c r="BT875" s="63">
        <f t="shared" si="619"/>
        <v>0</v>
      </c>
      <c r="BU875" s="63">
        <f t="shared" si="620"/>
        <v>0</v>
      </c>
      <c r="BV875" s="57">
        <f t="shared" si="621"/>
        <v>0</v>
      </c>
      <c r="BW875" s="57">
        <f t="shared" si="622"/>
        <v>0</v>
      </c>
      <c r="BX875" s="57">
        <f t="shared" si="646"/>
        <v>0</v>
      </c>
      <c r="BY875" s="57">
        <f t="shared" si="650"/>
        <v>0</v>
      </c>
      <c r="BZ875" s="8">
        <f t="shared" si="623"/>
        <v>0</v>
      </c>
      <c r="CA875" s="8">
        <f t="shared" si="624"/>
        <v>0</v>
      </c>
      <c r="CB875" s="8">
        <f t="shared" si="625"/>
        <v>0</v>
      </c>
      <c r="CC875" s="8">
        <f t="shared" si="626"/>
        <v>0</v>
      </c>
      <c r="CD875" s="8">
        <f t="shared" si="627"/>
        <v>0</v>
      </c>
      <c r="CE875" s="8">
        <f t="shared" si="628"/>
        <v>0</v>
      </c>
      <c r="CF875" s="8">
        <f t="shared" si="629"/>
        <v>0</v>
      </c>
      <c r="CG875" s="8">
        <f t="shared" si="630"/>
        <v>0</v>
      </c>
      <c r="CH875" s="8">
        <f t="shared" si="631"/>
        <v>0</v>
      </c>
      <c r="CI875" s="8">
        <f t="shared" si="632"/>
        <v>0</v>
      </c>
      <c r="CJ875" s="8">
        <f t="shared" si="633"/>
        <v>0</v>
      </c>
      <c r="CK875" s="8">
        <f t="shared" si="634"/>
        <v>0</v>
      </c>
      <c r="CL875" s="8">
        <f t="shared" si="635"/>
        <v>0</v>
      </c>
      <c r="CM875" s="8">
        <f t="shared" si="636"/>
        <v>0</v>
      </c>
      <c r="CN875" s="8">
        <f t="shared" si="637"/>
        <v>0</v>
      </c>
      <c r="CO875" s="8">
        <f t="shared" si="638"/>
        <v>0</v>
      </c>
      <c r="CP875" s="8">
        <f t="shared" si="639"/>
        <v>0</v>
      </c>
      <c r="CQ875" s="8">
        <f t="shared" si="640"/>
        <v>0</v>
      </c>
      <c r="CR875" s="8">
        <f t="shared" si="641"/>
        <v>0</v>
      </c>
      <c r="CS875" s="8">
        <f t="shared" si="642"/>
        <v>0</v>
      </c>
      <c r="CT875" s="8">
        <f t="shared" si="647"/>
        <v>0</v>
      </c>
      <c r="CU875" s="8">
        <f t="shared" si="648"/>
        <v>0</v>
      </c>
      <c r="CV875" s="8">
        <f t="shared" si="649"/>
        <v>0</v>
      </c>
    </row>
    <row r="876" spans="1:100" ht="20.5" thickTop="1" thickBot="1" x14ac:dyDescent="0.5">
      <c r="A876" s="32"/>
      <c r="B876" s="10"/>
      <c r="C876" s="10"/>
      <c r="D876" s="11"/>
      <c r="E876" s="10"/>
      <c r="F876" s="10"/>
      <c r="G876" s="19"/>
      <c r="H876" s="19"/>
      <c r="I876" s="19"/>
      <c r="J876" s="19"/>
      <c r="K876" s="10"/>
      <c r="L876" s="10"/>
      <c r="M876" s="10"/>
      <c r="N876" s="10"/>
      <c r="O876" s="18"/>
      <c r="P876" s="18"/>
      <c r="Q876" s="21"/>
      <c r="R876" s="20"/>
      <c r="S876" s="16">
        <f t="shared" si="605"/>
        <v>0</v>
      </c>
      <c r="T876" s="11"/>
      <c r="AS876" s="31">
        <f t="shared" si="606"/>
        <v>0</v>
      </c>
      <c r="AT876" s="31">
        <f t="shared" si="607"/>
        <v>0</v>
      </c>
      <c r="AU876" s="31">
        <f t="shared" si="608"/>
        <v>0</v>
      </c>
      <c r="AV876" s="31">
        <f t="shared" si="609"/>
        <v>0</v>
      </c>
      <c r="AW876" s="31">
        <f t="shared" si="610"/>
        <v>0</v>
      </c>
      <c r="AX876" s="31">
        <f t="shared" si="611"/>
        <v>0</v>
      </c>
      <c r="AY876" s="31">
        <f t="shared" si="612"/>
        <v>0</v>
      </c>
      <c r="AZ876" s="31">
        <f t="shared" si="613"/>
        <v>0</v>
      </c>
      <c r="BA876" s="31">
        <f t="shared" si="614"/>
        <v>0</v>
      </c>
      <c r="BB876" s="31">
        <f t="shared" si="643"/>
        <v>0</v>
      </c>
      <c r="BM876" s="8">
        <f t="shared" si="644"/>
        <v>0</v>
      </c>
      <c r="BN876" s="8">
        <f t="shared" si="615"/>
        <v>0</v>
      </c>
      <c r="BO876" s="8">
        <f t="shared" si="616"/>
        <v>0</v>
      </c>
      <c r="BQ876" s="8">
        <f t="shared" si="617"/>
        <v>0</v>
      </c>
      <c r="BR876" s="63">
        <f t="shared" si="618"/>
        <v>0</v>
      </c>
      <c r="BS876" s="63">
        <f t="shared" si="645"/>
        <v>0</v>
      </c>
      <c r="BT876" s="63">
        <f t="shared" si="619"/>
        <v>0</v>
      </c>
      <c r="BU876" s="63">
        <f t="shared" si="620"/>
        <v>0</v>
      </c>
      <c r="BV876" s="57">
        <f t="shared" si="621"/>
        <v>0</v>
      </c>
      <c r="BW876" s="57">
        <f t="shared" si="622"/>
        <v>0</v>
      </c>
      <c r="BX876" s="57">
        <f t="shared" si="646"/>
        <v>0</v>
      </c>
      <c r="BY876" s="57">
        <f t="shared" si="650"/>
        <v>0</v>
      </c>
      <c r="BZ876" s="8">
        <f t="shared" si="623"/>
        <v>0</v>
      </c>
      <c r="CA876" s="8">
        <f t="shared" si="624"/>
        <v>0</v>
      </c>
      <c r="CB876" s="8">
        <f t="shared" si="625"/>
        <v>0</v>
      </c>
      <c r="CC876" s="8">
        <f t="shared" si="626"/>
        <v>0</v>
      </c>
      <c r="CD876" s="8">
        <f t="shared" si="627"/>
        <v>0</v>
      </c>
      <c r="CE876" s="8">
        <f t="shared" si="628"/>
        <v>0</v>
      </c>
      <c r="CF876" s="8">
        <f t="shared" si="629"/>
        <v>0</v>
      </c>
      <c r="CG876" s="8">
        <f t="shared" si="630"/>
        <v>0</v>
      </c>
      <c r="CH876" s="8">
        <f t="shared" si="631"/>
        <v>0</v>
      </c>
      <c r="CI876" s="8">
        <f t="shared" si="632"/>
        <v>0</v>
      </c>
      <c r="CJ876" s="8">
        <f t="shared" si="633"/>
        <v>0</v>
      </c>
      <c r="CK876" s="8">
        <f t="shared" si="634"/>
        <v>0</v>
      </c>
      <c r="CL876" s="8">
        <f t="shared" si="635"/>
        <v>0</v>
      </c>
      <c r="CM876" s="8">
        <f t="shared" si="636"/>
        <v>0</v>
      </c>
      <c r="CN876" s="8">
        <f t="shared" si="637"/>
        <v>0</v>
      </c>
      <c r="CO876" s="8">
        <f t="shared" si="638"/>
        <v>0</v>
      </c>
      <c r="CP876" s="8">
        <f t="shared" si="639"/>
        <v>0</v>
      </c>
      <c r="CQ876" s="8">
        <f t="shared" si="640"/>
        <v>0</v>
      </c>
      <c r="CR876" s="8">
        <f t="shared" si="641"/>
        <v>0</v>
      </c>
      <c r="CS876" s="8">
        <f t="shared" si="642"/>
        <v>0</v>
      </c>
      <c r="CT876" s="8">
        <f t="shared" si="647"/>
        <v>0</v>
      </c>
      <c r="CU876" s="8">
        <f t="shared" si="648"/>
        <v>0</v>
      </c>
      <c r="CV876" s="8">
        <f t="shared" si="649"/>
        <v>0</v>
      </c>
    </row>
    <row r="877" spans="1:100" ht="20.5" thickTop="1" thickBot="1" x14ac:dyDescent="0.5">
      <c r="A877" s="32"/>
      <c r="B877" s="10"/>
      <c r="C877" s="10"/>
      <c r="D877" s="11"/>
      <c r="E877" s="10"/>
      <c r="F877" s="10"/>
      <c r="G877" s="19"/>
      <c r="H877" s="19"/>
      <c r="I877" s="19"/>
      <c r="J877" s="19"/>
      <c r="K877" s="10"/>
      <c r="L877" s="10"/>
      <c r="M877" s="10"/>
      <c r="N877" s="10"/>
      <c r="O877" s="18"/>
      <c r="P877" s="18"/>
      <c r="Q877" s="21"/>
      <c r="R877" s="20"/>
      <c r="S877" s="16">
        <f t="shared" si="605"/>
        <v>0</v>
      </c>
      <c r="T877" s="11"/>
      <c r="AS877" s="31">
        <f t="shared" si="606"/>
        <v>0</v>
      </c>
      <c r="AT877" s="31">
        <f t="shared" si="607"/>
        <v>0</v>
      </c>
      <c r="AU877" s="31">
        <f t="shared" si="608"/>
        <v>0</v>
      </c>
      <c r="AV877" s="31">
        <f t="shared" si="609"/>
        <v>0</v>
      </c>
      <c r="AW877" s="31">
        <f t="shared" si="610"/>
        <v>0</v>
      </c>
      <c r="AX877" s="31">
        <f t="shared" si="611"/>
        <v>0</v>
      </c>
      <c r="AY877" s="31">
        <f t="shared" si="612"/>
        <v>0</v>
      </c>
      <c r="AZ877" s="31">
        <f t="shared" si="613"/>
        <v>0</v>
      </c>
      <c r="BA877" s="31">
        <f t="shared" si="614"/>
        <v>0</v>
      </c>
      <c r="BB877" s="31">
        <f t="shared" si="643"/>
        <v>0</v>
      </c>
      <c r="BM877" s="8">
        <f t="shared" si="644"/>
        <v>0</v>
      </c>
      <c r="BN877" s="8">
        <f t="shared" si="615"/>
        <v>0</v>
      </c>
      <c r="BO877" s="8">
        <f t="shared" si="616"/>
        <v>0</v>
      </c>
      <c r="BQ877" s="8">
        <f t="shared" si="617"/>
        <v>0</v>
      </c>
      <c r="BR877" s="63">
        <f t="shared" si="618"/>
        <v>0</v>
      </c>
      <c r="BS877" s="63">
        <f t="shared" si="645"/>
        <v>0</v>
      </c>
      <c r="BT877" s="63">
        <f t="shared" si="619"/>
        <v>0</v>
      </c>
      <c r="BU877" s="63">
        <f t="shared" si="620"/>
        <v>0</v>
      </c>
      <c r="BV877" s="57">
        <f t="shared" si="621"/>
        <v>0</v>
      </c>
      <c r="BW877" s="57">
        <f t="shared" si="622"/>
        <v>0</v>
      </c>
      <c r="BX877" s="57">
        <f t="shared" si="646"/>
        <v>0</v>
      </c>
      <c r="BY877" s="57">
        <f t="shared" si="650"/>
        <v>0</v>
      </c>
      <c r="BZ877" s="8">
        <f t="shared" si="623"/>
        <v>0</v>
      </c>
      <c r="CA877" s="8">
        <f t="shared" si="624"/>
        <v>0</v>
      </c>
      <c r="CB877" s="8">
        <f t="shared" si="625"/>
        <v>0</v>
      </c>
      <c r="CC877" s="8">
        <f t="shared" si="626"/>
        <v>0</v>
      </c>
      <c r="CD877" s="8">
        <f t="shared" si="627"/>
        <v>0</v>
      </c>
      <c r="CE877" s="8">
        <f t="shared" si="628"/>
        <v>0</v>
      </c>
      <c r="CF877" s="8">
        <f t="shared" si="629"/>
        <v>0</v>
      </c>
      <c r="CG877" s="8">
        <f t="shared" si="630"/>
        <v>0</v>
      </c>
      <c r="CH877" s="8">
        <f t="shared" si="631"/>
        <v>0</v>
      </c>
      <c r="CI877" s="8">
        <f t="shared" si="632"/>
        <v>0</v>
      </c>
      <c r="CJ877" s="8">
        <f t="shared" si="633"/>
        <v>0</v>
      </c>
      <c r="CK877" s="8">
        <f t="shared" si="634"/>
        <v>0</v>
      </c>
      <c r="CL877" s="8">
        <f t="shared" si="635"/>
        <v>0</v>
      </c>
      <c r="CM877" s="8">
        <f t="shared" si="636"/>
        <v>0</v>
      </c>
      <c r="CN877" s="8">
        <f t="shared" si="637"/>
        <v>0</v>
      </c>
      <c r="CO877" s="8">
        <f t="shared" si="638"/>
        <v>0</v>
      </c>
      <c r="CP877" s="8">
        <f t="shared" si="639"/>
        <v>0</v>
      </c>
      <c r="CQ877" s="8">
        <f t="shared" si="640"/>
        <v>0</v>
      </c>
      <c r="CR877" s="8">
        <f t="shared" si="641"/>
        <v>0</v>
      </c>
      <c r="CS877" s="8">
        <f t="shared" si="642"/>
        <v>0</v>
      </c>
      <c r="CT877" s="8">
        <f t="shared" si="647"/>
        <v>0</v>
      </c>
      <c r="CU877" s="8">
        <f t="shared" si="648"/>
        <v>0</v>
      </c>
      <c r="CV877" s="8">
        <f t="shared" si="649"/>
        <v>0</v>
      </c>
    </row>
    <row r="878" spans="1:100" ht="20.5" thickTop="1" thickBot="1" x14ac:dyDescent="0.5">
      <c r="A878" s="32"/>
      <c r="B878" s="10"/>
      <c r="C878" s="10"/>
      <c r="D878" s="11"/>
      <c r="E878" s="10"/>
      <c r="F878" s="10"/>
      <c r="G878" s="19"/>
      <c r="H878" s="19"/>
      <c r="I878" s="19"/>
      <c r="J878" s="19"/>
      <c r="K878" s="10"/>
      <c r="L878" s="10"/>
      <c r="M878" s="10"/>
      <c r="N878" s="10"/>
      <c r="O878" s="18"/>
      <c r="P878" s="18"/>
      <c r="Q878" s="21"/>
      <c r="R878" s="20"/>
      <c r="S878" s="16">
        <f t="shared" si="605"/>
        <v>0</v>
      </c>
      <c r="T878" s="11"/>
      <c r="AS878" s="31">
        <f t="shared" si="606"/>
        <v>0</v>
      </c>
      <c r="AT878" s="31">
        <f t="shared" si="607"/>
        <v>0</v>
      </c>
      <c r="AU878" s="31">
        <f t="shared" si="608"/>
        <v>0</v>
      </c>
      <c r="AV878" s="31">
        <f t="shared" si="609"/>
        <v>0</v>
      </c>
      <c r="AW878" s="31">
        <f t="shared" si="610"/>
        <v>0</v>
      </c>
      <c r="AX878" s="31">
        <f t="shared" si="611"/>
        <v>0</v>
      </c>
      <c r="AY878" s="31">
        <f t="shared" si="612"/>
        <v>0</v>
      </c>
      <c r="AZ878" s="31">
        <f t="shared" si="613"/>
        <v>0</v>
      </c>
      <c r="BA878" s="31">
        <f t="shared" si="614"/>
        <v>0</v>
      </c>
      <c r="BB878" s="31">
        <f t="shared" si="643"/>
        <v>0</v>
      </c>
      <c r="BM878" s="8">
        <f t="shared" si="644"/>
        <v>0</v>
      </c>
      <c r="BN878" s="8">
        <f t="shared" si="615"/>
        <v>0</v>
      </c>
      <c r="BO878" s="8">
        <f t="shared" si="616"/>
        <v>0</v>
      </c>
      <c r="BQ878" s="8">
        <f t="shared" si="617"/>
        <v>0</v>
      </c>
      <c r="BR878" s="63">
        <f t="shared" si="618"/>
        <v>0</v>
      </c>
      <c r="BS878" s="63">
        <f t="shared" si="645"/>
        <v>0</v>
      </c>
      <c r="BT878" s="63">
        <f t="shared" si="619"/>
        <v>0</v>
      </c>
      <c r="BU878" s="63">
        <f t="shared" si="620"/>
        <v>0</v>
      </c>
      <c r="BV878" s="57">
        <f t="shared" si="621"/>
        <v>0</v>
      </c>
      <c r="BW878" s="57">
        <f t="shared" si="622"/>
        <v>0</v>
      </c>
      <c r="BX878" s="57">
        <f t="shared" si="646"/>
        <v>0</v>
      </c>
      <c r="BY878" s="57">
        <f t="shared" si="650"/>
        <v>0</v>
      </c>
      <c r="BZ878" s="8">
        <f t="shared" si="623"/>
        <v>0</v>
      </c>
      <c r="CA878" s="8">
        <f t="shared" si="624"/>
        <v>0</v>
      </c>
      <c r="CB878" s="8">
        <f t="shared" si="625"/>
        <v>0</v>
      </c>
      <c r="CC878" s="8">
        <f t="shared" si="626"/>
        <v>0</v>
      </c>
      <c r="CD878" s="8">
        <f t="shared" si="627"/>
        <v>0</v>
      </c>
      <c r="CE878" s="8">
        <f t="shared" si="628"/>
        <v>0</v>
      </c>
      <c r="CF878" s="8">
        <f t="shared" si="629"/>
        <v>0</v>
      </c>
      <c r="CG878" s="8">
        <f t="shared" si="630"/>
        <v>0</v>
      </c>
      <c r="CH878" s="8">
        <f t="shared" si="631"/>
        <v>0</v>
      </c>
      <c r="CI878" s="8">
        <f t="shared" si="632"/>
        <v>0</v>
      </c>
      <c r="CJ878" s="8">
        <f t="shared" si="633"/>
        <v>0</v>
      </c>
      <c r="CK878" s="8">
        <f t="shared" si="634"/>
        <v>0</v>
      </c>
      <c r="CL878" s="8">
        <f t="shared" si="635"/>
        <v>0</v>
      </c>
      <c r="CM878" s="8">
        <f t="shared" si="636"/>
        <v>0</v>
      </c>
      <c r="CN878" s="8">
        <f t="shared" si="637"/>
        <v>0</v>
      </c>
      <c r="CO878" s="8">
        <f t="shared" si="638"/>
        <v>0</v>
      </c>
      <c r="CP878" s="8">
        <f t="shared" si="639"/>
        <v>0</v>
      </c>
      <c r="CQ878" s="8">
        <f t="shared" si="640"/>
        <v>0</v>
      </c>
      <c r="CR878" s="8">
        <f t="shared" si="641"/>
        <v>0</v>
      </c>
      <c r="CS878" s="8">
        <f t="shared" si="642"/>
        <v>0</v>
      </c>
      <c r="CT878" s="8">
        <f t="shared" si="647"/>
        <v>0</v>
      </c>
      <c r="CU878" s="8">
        <f t="shared" si="648"/>
        <v>0</v>
      </c>
      <c r="CV878" s="8">
        <f t="shared" si="649"/>
        <v>0</v>
      </c>
    </row>
    <row r="879" spans="1:100" ht="20.5" thickTop="1" thickBot="1" x14ac:dyDescent="0.5">
      <c r="A879" s="32"/>
      <c r="B879" s="10"/>
      <c r="C879" s="10"/>
      <c r="D879" s="11"/>
      <c r="E879" s="10"/>
      <c r="F879" s="10"/>
      <c r="G879" s="19"/>
      <c r="H879" s="19"/>
      <c r="I879" s="19"/>
      <c r="J879" s="19"/>
      <c r="K879" s="10"/>
      <c r="L879" s="10"/>
      <c r="M879" s="10"/>
      <c r="N879" s="10"/>
      <c r="O879" s="18"/>
      <c r="P879" s="18"/>
      <c r="Q879" s="21"/>
      <c r="R879" s="20"/>
      <c r="S879" s="16">
        <f t="shared" si="605"/>
        <v>0</v>
      </c>
      <c r="T879" s="11"/>
      <c r="AS879" s="31">
        <f t="shared" si="606"/>
        <v>0</v>
      </c>
      <c r="AT879" s="31">
        <f t="shared" si="607"/>
        <v>0</v>
      </c>
      <c r="AU879" s="31">
        <f t="shared" si="608"/>
        <v>0</v>
      </c>
      <c r="AV879" s="31">
        <f t="shared" si="609"/>
        <v>0</v>
      </c>
      <c r="AW879" s="31">
        <f t="shared" si="610"/>
        <v>0</v>
      </c>
      <c r="AX879" s="31">
        <f t="shared" si="611"/>
        <v>0</v>
      </c>
      <c r="AY879" s="31">
        <f t="shared" si="612"/>
        <v>0</v>
      </c>
      <c r="AZ879" s="31">
        <f t="shared" si="613"/>
        <v>0</v>
      </c>
      <c r="BA879" s="31">
        <f t="shared" si="614"/>
        <v>0</v>
      </c>
      <c r="BB879" s="31">
        <f t="shared" si="643"/>
        <v>0</v>
      </c>
      <c r="BM879" s="8">
        <f t="shared" si="644"/>
        <v>0</v>
      </c>
      <c r="BN879" s="8">
        <f t="shared" si="615"/>
        <v>0</v>
      </c>
      <c r="BO879" s="8">
        <f t="shared" si="616"/>
        <v>0</v>
      </c>
      <c r="BQ879" s="8">
        <f t="shared" si="617"/>
        <v>0</v>
      </c>
      <c r="BR879" s="63">
        <f t="shared" si="618"/>
        <v>0</v>
      </c>
      <c r="BS879" s="63">
        <f t="shared" si="645"/>
        <v>0</v>
      </c>
      <c r="BT879" s="63">
        <f t="shared" si="619"/>
        <v>0</v>
      </c>
      <c r="BU879" s="63">
        <f t="shared" si="620"/>
        <v>0</v>
      </c>
      <c r="BV879" s="57">
        <f t="shared" si="621"/>
        <v>0</v>
      </c>
      <c r="BW879" s="57">
        <f t="shared" si="622"/>
        <v>0</v>
      </c>
      <c r="BX879" s="57">
        <f t="shared" si="646"/>
        <v>0</v>
      </c>
      <c r="BY879" s="57">
        <f t="shared" si="650"/>
        <v>0</v>
      </c>
      <c r="BZ879" s="8">
        <f t="shared" si="623"/>
        <v>0</v>
      </c>
      <c r="CA879" s="8">
        <f t="shared" si="624"/>
        <v>0</v>
      </c>
      <c r="CB879" s="8">
        <f t="shared" si="625"/>
        <v>0</v>
      </c>
      <c r="CC879" s="8">
        <f t="shared" si="626"/>
        <v>0</v>
      </c>
      <c r="CD879" s="8">
        <f t="shared" si="627"/>
        <v>0</v>
      </c>
      <c r="CE879" s="8">
        <f t="shared" si="628"/>
        <v>0</v>
      </c>
      <c r="CF879" s="8">
        <f t="shared" si="629"/>
        <v>0</v>
      </c>
      <c r="CG879" s="8">
        <f t="shared" si="630"/>
        <v>0</v>
      </c>
      <c r="CH879" s="8">
        <f t="shared" si="631"/>
        <v>0</v>
      </c>
      <c r="CI879" s="8">
        <f t="shared" si="632"/>
        <v>0</v>
      </c>
      <c r="CJ879" s="8">
        <f t="shared" si="633"/>
        <v>0</v>
      </c>
      <c r="CK879" s="8">
        <f t="shared" si="634"/>
        <v>0</v>
      </c>
      <c r="CL879" s="8">
        <f t="shared" si="635"/>
        <v>0</v>
      </c>
      <c r="CM879" s="8">
        <f t="shared" si="636"/>
        <v>0</v>
      </c>
      <c r="CN879" s="8">
        <f t="shared" si="637"/>
        <v>0</v>
      </c>
      <c r="CO879" s="8">
        <f t="shared" si="638"/>
        <v>0</v>
      </c>
      <c r="CP879" s="8">
        <f t="shared" si="639"/>
        <v>0</v>
      </c>
      <c r="CQ879" s="8">
        <f t="shared" si="640"/>
        <v>0</v>
      </c>
      <c r="CR879" s="8">
        <f t="shared" si="641"/>
        <v>0</v>
      </c>
      <c r="CS879" s="8">
        <f t="shared" si="642"/>
        <v>0</v>
      </c>
      <c r="CT879" s="8">
        <f t="shared" si="647"/>
        <v>0</v>
      </c>
      <c r="CU879" s="8">
        <f t="shared" si="648"/>
        <v>0</v>
      </c>
      <c r="CV879" s="8">
        <f t="shared" si="649"/>
        <v>0</v>
      </c>
    </row>
    <row r="880" spans="1:100" ht="20.5" thickTop="1" thickBot="1" x14ac:dyDescent="0.5">
      <c r="A880" s="32"/>
      <c r="B880" s="10"/>
      <c r="C880" s="10"/>
      <c r="D880" s="11"/>
      <c r="E880" s="10"/>
      <c r="F880" s="10"/>
      <c r="G880" s="19"/>
      <c r="H880" s="19"/>
      <c r="I880" s="19"/>
      <c r="J880" s="19"/>
      <c r="K880" s="10"/>
      <c r="L880" s="10"/>
      <c r="M880" s="10"/>
      <c r="N880" s="10"/>
      <c r="O880" s="18"/>
      <c r="P880" s="18"/>
      <c r="Q880" s="21"/>
      <c r="R880" s="20"/>
      <c r="S880" s="16">
        <f t="shared" si="605"/>
        <v>0</v>
      </c>
      <c r="T880" s="11"/>
      <c r="AS880" s="31">
        <f t="shared" si="606"/>
        <v>0</v>
      </c>
      <c r="AT880" s="31">
        <f t="shared" si="607"/>
        <v>0</v>
      </c>
      <c r="AU880" s="31">
        <f t="shared" si="608"/>
        <v>0</v>
      </c>
      <c r="AV880" s="31">
        <f t="shared" si="609"/>
        <v>0</v>
      </c>
      <c r="AW880" s="31">
        <f t="shared" si="610"/>
        <v>0</v>
      </c>
      <c r="AX880" s="31">
        <f t="shared" si="611"/>
        <v>0</v>
      </c>
      <c r="AY880" s="31">
        <f t="shared" si="612"/>
        <v>0</v>
      </c>
      <c r="AZ880" s="31">
        <f t="shared" si="613"/>
        <v>0</v>
      </c>
      <c r="BA880" s="31">
        <f t="shared" si="614"/>
        <v>0</v>
      </c>
      <c r="BB880" s="31">
        <f t="shared" si="643"/>
        <v>0</v>
      </c>
      <c r="BM880" s="8">
        <f t="shared" si="644"/>
        <v>0</v>
      </c>
      <c r="BN880" s="8">
        <f t="shared" si="615"/>
        <v>0</v>
      </c>
      <c r="BO880" s="8">
        <f t="shared" si="616"/>
        <v>0</v>
      </c>
      <c r="BQ880" s="8">
        <f t="shared" si="617"/>
        <v>0</v>
      </c>
      <c r="BR880" s="63">
        <f t="shared" si="618"/>
        <v>0</v>
      </c>
      <c r="BS880" s="63">
        <f t="shared" si="645"/>
        <v>0</v>
      </c>
      <c r="BT880" s="63">
        <f t="shared" si="619"/>
        <v>0</v>
      </c>
      <c r="BU880" s="63">
        <f t="shared" si="620"/>
        <v>0</v>
      </c>
      <c r="BV880" s="57">
        <f t="shared" si="621"/>
        <v>0</v>
      </c>
      <c r="BW880" s="57">
        <f t="shared" si="622"/>
        <v>0</v>
      </c>
      <c r="BX880" s="57">
        <f t="shared" si="646"/>
        <v>0</v>
      </c>
      <c r="BY880" s="57">
        <f t="shared" si="650"/>
        <v>0</v>
      </c>
      <c r="BZ880" s="8">
        <f t="shared" si="623"/>
        <v>0</v>
      </c>
      <c r="CA880" s="8">
        <f t="shared" si="624"/>
        <v>0</v>
      </c>
      <c r="CB880" s="8">
        <f t="shared" si="625"/>
        <v>0</v>
      </c>
      <c r="CC880" s="8">
        <f t="shared" si="626"/>
        <v>0</v>
      </c>
      <c r="CD880" s="8">
        <f t="shared" si="627"/>
        <v>0</v>
      </c>
      <c r="CE880" s="8">
        <f t="shared" si="628"/>
        <v>0</v>
      </c>
      <c r="CF880" s="8">
        <f t="shared" si="629"/>
        <v>0</v>
      </c>
      <c r="CG880" s="8">
        <f t="shared" si="630"/>
        <v>0</v>
      </c>
      <c r="CH880" s="8">
        <f t="shared" si="631"/>
        <v>0</v>
      </c>
      <c r="CI880" s="8">
        <f t="shared" si="632"/>
        <v>0</v>
      </c>
      <c r="CJ880" s="8">
        <f t="shared" si="633"/>
        <v>0</v>
      </c>
      <c r="CK880" s="8">
        <f t="shared" si="634"/>
        <v>0</v>
      </c>
      <c r="CL880" s="8">
        <f t="shared" si="635"/>
        <v>0</v>
      </c>
      <c r="CM880" s="8">
        <f t="shared" si="636"/>
        <v>0</v>
      </c>
      <c r="CN880" s="8">
        <f t="shared" si="637"/>
        <v>0</v>
      </c>
      <c r="CO880" s="8">
        <f t="shared" si="638"/>
        <v>0</v>
      </c>
      <c r="CP880" s="8">
        <f t="shared" si="639"/>
        <v>0</v>
      </c>
      <c r="CQ880" s="8">
        <f t="shared" si="640"/>
        <v>0</v>
      </c>
      <c r="CR880" s="8">
        <f t="shared" si="641"/>
        <v>0</v>
      </c>
      <c r="CS880" s="8">
        <f t="shared" si="642"/>
        <v>0</v>
      </c>
      <c r="CT880" s="8">
        <f t="shared" si="647"/>
        <v>0</v>
      </c>
      <c r="CU880" s="8">
        <f t="shared" si="648"/>
        <v>0</v>
      </c>
      <c r="CV880" s="8">
        <f t="shared" si="649"/>
        <v>0</v>
      </c>
    </row>
    <row r="881" spans="1:100" ht="20.5" thickTop="1" thickBot="1" x14ac:dyDescent="0.5">
      <c r="A881" s="32"/>
      <c r="B881" s="10"/>
      <c r="C881" s="10"/>
      <c r="D881" s="11"/>
      <c r="E881" s="10"/>
      <c r="F881" s="10"/>
      <c r="G881" s="19"/>
      <c r="H881" s="19"/>
      <c r="I881" s="19"/>
      <c r="J881" s="19"/>
      <c r="K881" s="10"/>
      <c r="L881" s="10"/>
      <c r="M881" s="10"/>
      <c r="N881" s="10"/>
      <c r="O881" s="18"/>
      <c r="P881" s="18"/>
      <c r="Q881" s="21"/>
      <c r="R881" s="20"/>
      <c r="S881" s="16">
        <f t="shared" si="605"/>
        <v>0</v>
      </c>
      <c r="T881" s="11"/>
      <c r="AS881" s="31">
        <f t="shared" si="606"/>
        <v>0</v>
      </c>
      <c r="AT881" s="31">
        <f t="shared" si="607"/>
        <v>0</v>
      </c>
      <c r="AU881" s="31">
        <f t="shared" si="608"/>
        <v>0</v>
      </c>
      <c r="AV881" s="31">
        <f t="shared" si="609"/>
        <v>0</v>
      </c>
      <c r="AW881" s="31">
        <f t="shared" si="610"/>
        <v>0</v>
      </c>
      <c r="AX881" s="31">
        <f t="shared" si="611"/>
        <v>0</v>
      </c>
      <c r="AY881" s="31">
        <f t="shared" si="612"/>
        <v>0</v>
      </c>
      <c r="AZ881" s="31">
        <f t="shared" si="613"/>
        <v>0</v>
      </c>
      <c r="BA881" s="31">
        <f t="shared" si="614"/>
        <v>0</v>
      </c>
      <c r="BB881" s="31">
        <f t="shared" si="643"/>
        <v>0</v>
      </c>
      <c r="BM881" s="8">
        <f t="shared" si="644"/>
        <v>0</v>
      </c>
      <c r="BN881" s="8">
        <f t="shared" si="615"/>
        <v>0</v>
      </c>
      <c r="BO881" s="8">
        <f t="shared" si="616"/>
        <v>0</v>
      </c>
      <c r="BQ881" s="8">
        <f t="shared" si="617"/>
        <v>0</v>
      </c>
      <c r="BR881" s="63">
        <f t="shared" si="618"/>
        <v>0</v>
      </c>
      <c r="BS881" s="63">
        <f t="shared" si="645"/>
        <v>0</v>
      </c>
      <c r="BT881" s="63">
        <f t="shared" si="619"/>
        <v>0</v>
      </c>
      <c r="BU881" s="63">
        <f t="shared" si="620"/>
        <v>0</v>
      </c>
      <c r="BV881" s="57">
        <f t="shared" si="621"/>
        <v>0</v>
      </c>
      <c r="BW881" s="57">
        <f t="shared" si="622"/>
        <v>0</v>
      </c>
      <c r="BX881" s="57">
        <f t="shared" si="646"/>
        <v>0</v>
      </c>
      <c r="BY881" s="57">
        <f t="shared" si="650"/>
        <v>0</v>
      </c>
      <c r="BZ881" s="8">
        <f t="shared" si="623"/>
        <v>0</v>
      </c>
      <c r="CA881" s="8">
        <f t="shared" si="624"/>
        <v>0</v>
      </c>
      <c r="CB881" s="8">
        <f t="shared" si="625"/>
        <v>0</v>
      </c>
      <c r="CC881" s="8">
        <f t="shared" si="626"/>
        <v>0</v>
      </c>
      <c r="CD881" s="8">
        <f t="shared" si="627"/>
        <v>0</v>
      </c>
      <c r="CE881" s="8">
        <f t="shared" si="628"/>
        <v>0</v>
      </c>
      <c r="CF881" s="8">
        <f t="shared" si="629"/>
        <v>0</v>
      </c>
      <c r="CG881" s="8">
        <f t="shared" si="630"/>
        <v>0</v>
      </c>
      <c r="CH881" s="8">
        <f t="shared" si="631"/>
        <v>0</v>
      </c>
      <c r="CI881" s="8">
        <f t="shared" si="632"/>
        <v>0</v>
      </c>
      <c r="CJ881" s="8">
        <f t="shared" si="633"/>
        <v>0</v>
      </c>
      <c r="CK881" s="8">
        <f t="shared" si="634"/>
        <v>0</v>
      </c>
      <c r="CL881" s="8">
        <f t="shared" si="635"/>
        <v>0</v>
      </c>
      <c r="CM881" s="8">
        <f t="shared" si="636"/>
        <v>0</v>
      </c>
      <c r="CN881" s="8">
        <f t="shared" si="637"/>
        <v>0</v>
      </c>
      <c r="CO881" s="8">
        <f t="shared" si="638"/>
        <v>0</v>
      </c>
      <c r="CP881" s="8">
        <f t="shared" si="639"/>
        <v>0</v>
      </c>
      <c r="CQ881" s="8">
        <f t="shared" si="640"/>
        <v>0</v>
      </c>
      <c r="CR881" s="8">
        <f t="shared" si="641"/>
        <v>0</v>
      </c>
      <c r="CS881" s="8">
        <f t="shared" si="642"/>
        <v>0</v>
      </c>
      <c r="CT881" s="8">
        <f t="shared" si="647"/>
        <v>0</v>
      </c>
      <c r="CU881" s="8">
        <f t="shared" si="648"/>
        <v>0</v>
      </c>
      <c r="CV881" s="8">
        <f t="shared" si="649"/>
        <v>0</v>
      </c>
    </row>
    <row r="882" spans="1:100" ht="20.5" thickTop="1" thickBot="1" x14ac:dyDescent="0.5">
      <c r="A882" s="32"/>
      <c r="B882" s="10"/>
      <c r="C882" s="10"/>
      <c r="D882" s="11"/>
      <c r="E882" s="10"/>
      <c r="F882" s="10"/>
      <c r="G882" s="19"/>
      <c r="H882" s="19"/>
      <c r="I882" s="19"/>
      <c r="J882" s="19"/>
      <c r="K882" s="10"/>
      <c r="L882" s="10"/>
      <c r="M882" s="10"/>
      <c r="N882" s="10"/>
      <c r="O882" s="18"/>
      <c r="P882" s="18"/>
      <c r="Q882" s="21"/>
      <c r="R882" s="20"/>
      <c r="S882" s="16">
        <f t="shared" si="605"/>
        <v>0</v>
      </c>
      <c r="T882" s="11"/>
      <c r="AS882" s="31">
        <f t="shared" si="606"/>
        <v>0</v>
      </c>
      <c r="AT882" s="31">
        <f t="shared" si="607"/>
        <v>0</v>
      </c>
      <c r="AU882" s="31">
        <f t="shared" si="608"/>
        <v>0</v>
      </c>
      <c r="AV882" s="31">
        <f t="shared" si="609"/>
        <v>0</v>
      </c>
      <c r="AW882" s="31">
        <f t="shared" si="610"/>
        <v>0</v>
      </c>
      <c r="AX882" s="31">
        <f t="shared" si="611"/>
        <v>0</v>
      </c>
      <c r="AY882" s="31">
        <f t="shared" si="612"/>
        <v>0</v>
      </c>
      <c r="AZ882" s="31">
        <f t="shared" si="613"/>
        <v>0</v>
      </c>
      <c r="BA882" s="31">
        <f t="shared" si="614"/>
        <v>0</v>
      </c>
      <c r="BB882" s="31">
        <f t="shared" si="643"/>
        <v>0</v>
      </c>
      <c r="BM882" s="8">
        <f t="shared" si="644"/>
        <v>0</v>
      </c>
      <c r="BN882" s="8">
        <f t="shared" si="615"/>
        <v>0</v>
      </c>
      <c r="BO882" s="8">
        <f t="shared" si="616"/>
        <v>0</v>
      </c>
      <c r="BQ882" s="8">
        <f t="shared" si="617"/>
        <v>0</v>
      </c>
      <c r="BR882" s="63">
        <f t="shared" si="618"/>
        <v>0</v>
      </c>
      <c r="BS882" s="63">
        <f t="shared" si="645"/>
        <v>0</v>
      </c>
      <c r="BT882" s="63">
        <f t="shared" si="619"/>
        <v>0</v>
      </c>
      <c r="BU882" s="63">
        <f t="shared" si="620"/>
        <v>0</v>
      </c>
      <c r="BV882" s="57">
        <f t="shared" si="621"/>
        <v>0</v>
      </c>
      <c r="BW882" s="57">
        <f t="shared" si="622"/>
        <v>0</v>
      </c>
      <c r="BX882" s="57">
        <f t="shared" si="646"/>
        <v>0</v>
      </c>
      <c r="BY882" s="57">
        <f t="shared" si="650"/>
        <v>0</v>
      </c>
      <c r="BZ882" s="8">
        <f t="shared" si="623"/>
        <v>0</v>
      </c>
      <c r="CA882" s="8">
        <f t="shared" si="624"/>
        <v>0</v>
      </c>
      <c r="CB882" s="8">
        <f t="shared" si="625"/>
        <v>0</v>
      </c>
      <c r="CC882" s="8">
        <f t="shared" si="626"/>
        <v>0</v>
      </c>
      <c r="CD882" s="8">
        <f t="shared" si="627"/>
        <v>0</v>
      </c>
      <c r="CE882" s="8">
        <f t="shared" si="628"/>
        <v>0</v>
      </c>
      <c r="CF882" s="8">
        <f t="shared" si="629"/>
        <v>0</v>
      </c>
      <c r="CG882" s="8">
        <f t="shared" si="630"/>
        <v>0</v>
      </c>
      <c r="CH882" s="8">
        <f t="shared" si="631"/>
        <v>0</v>
      </c>
      <c r="CI882" s="8">
        <f t="shared" si="632"/>
        <v>0</v>
      </c>
      <c r="CJ882" s="8">
        <f t="shared" si="633"/>
        <v>0</v>
      </c>
      <c r="CK882" s="8">
        <f t="shared" si="634"/>
        <v>0</v>
      </c>
      <c r="CL882" s="8">
        <f t="shared" si="635"/>
        <v>0</v>
      </c>
      <c r="CM882" s="8">
        <f t="shared" si="636"/>
        <v>0</v>
      </c>
      <c r="CN882" s="8">
        <f t="shared" si="637"/>
        <v>0</v>
      </c>
      <c r="CO882" s="8">
        <f t="shared" si="638"/>
        <v>0</v>
      </c>
      <c r="CP882" s="8">
        <f t="shared" si="639"/>
        <v>0</v>
      </c>
      <c r="CQ882" s="8">
        <f t="shared" si="640"/>
        <v>0</v>
      </c>
      <c r="CR882" s="8">
        <f t="shared" si="641"/>
        <v>0</v>
      </c>
      <c r="CS882" s="8">
        <f t="shared" si="642"/>
        <v>0</v>
      </c>
      <c r="CT882" s="8">
        <f t="shared" si="647"/>
        <v>0</v>
      </c>
      <c r="CU882" s="8">
        <f t="shared" si="648"/>
        <v>0</v>
      </c>
      <c r="CV882" s="8">
        <f t="shared" si="649"/>
        <v>0</v>
      </c>
    </row>
    <row r="883" spans="1:100" ht="20.5" thickTop="1" thickBot="1" x14ac:dyDescent="0.5">
      <c r="A883" s="32"/>
      <c r="B883" s="10"/>
      <c r="C883" s="10"/>
      <c r="D883" s="11"/>
      <c r="E883" s="10"/>
      <c r="F883" s="10"/>
      <c r="G883" s="19"/>
      <c r="H883" s="19"/>
      <c r="I883" s="19"/>
      <c r="J883" s="19"/>
      <c r="K883" s="10"/>
      <c r="L883" s="10"/>
      <c r="M883" s="10"/>
      <c r="N883" s="10"/>
      <c r="O883" s="18"/>
      <c r="P883" s="18"/>
      <c r="Q883" s="21"/>
      <c r="R883" s="20"/>
      <c r="S883" s="16">
        <f t="shared" si="605"/>
        <v>0</v>
      </c>
      <c r="T883" s="11"/>
      <c r="AS883" s="31">
        <f t="shared" si="606"/>
        <v>0</v>
      </c>
      <c r="AT883" s="31">
        <f t="shared" si="607"/>
        <v>0</v>
      </c>
      <c r="AU883" s="31">
        <f t="shared" si="608"/>
        <v>0</v>
      </c>
      <c r="AV883" s="31">
        <f t="shared" si="609"/>
        <v>0</v>
      </c>
      <c r="AW883" s="31">
        <f t="shared" si="610"/>
        <v>0</v>
      </c>
      <c r="AX883" s="31">
        <f t="shared" si="611"/>
        <v>0</v>
      </c>
      <c r="AY883" s="31">
        <f t="shared" si="612"/>
        <v>0</v>
      </c>
      <c r="AZ883" s="31">
        <f t="shared" si="613"/>
        <v>0</v>
      </c>
      <c r="BA883" s="31">
        <f t="shared" si="614"/>
        <v>0</v>
      </c>
      <c r="BB883" s="31">
        <f t="shared" si="643"/>
        <v>0</v>
      </c>
      <c r="BM883" s="8">
        <f t="shared" si="644"/>
        <v>0</v>
      </c>
      <c r="BN883" s="8">
        <f t="shared" si="615"/>
        <v>0</v>
      </c>
      <c r="BO883" s="8">
        <f t="shared" si="616"/>
        <v>0</v>
      </c>
      <c r="BQ883" s="8">
        <f t="shared" si="617"/>
        <v>0</v>
      </c>
      <c r="BR883" s="63">
        <f t="shared" si="618"/>
        <v>0</v>
      </c>
      <c r="BS883" s="63">
        <f t="shared" si="645"/>
        <v>0</v>
      </c>
      <c r="BT883" s="63">
        <f t="shared" si="619"/>
        <v>0</v>
      </c>
      <c r="BU883" s="63">
        <f t="shared" si="620"/>
        <v>0</v>
      </c>
      <c r="BV883" s="57">
        <f t="shared" si="621"/>
        <v>0</v>
      </c>
      <c r="BW883" s="57">
        <f t="shared" si="622"/>
        <v>0</v>
      </c>
      <c r="BX883" s="57">
        <f t="shared" si="646"/>
        <v>0</v>
      </c>
      <c r="BY883" s="57">
        <f t="shared" si="650"/>
        <v>0</v>
      </c>
      <c r="BZ883" s="8">
        <f t="shared" si="623"/>
        <v>0</v>
      </c>
      <c r="CA883" s="8">
        <f t="shared" si="624"/>
        <v>0</v>
      </c>
      <c r="CB883" s="8">
        <f t="shared" si="625"/>
        <v>0</v>
      </c>
      <c r="CC883" s="8">
        <f t="shared" si="626"/>
        <v>0</v>
      </c>
      <c r="CD883" s="8">
        <f t="shared" si="627"/>
        <v>0</v>
      </c>
      <c r="CE883" s="8">
        <f t="shared" si="628"/>
        <v>0</v>
      </c>
      <c r="CF883" s="8">
        <f t="shared" si="629"/>
        <v>0</v>
      </c>
      <c r="CG883" s="8">
        <f t="shared" si="630"/>
        <v>0</v>
      </c>
      <c r="CH883" s="8">
        <f t="shared" si="631"/>
        <v>0</v>
      </c>
      <c r="CI883" s="8">
        <f t="shared" si="632"/>
        <v>0</v>
      </c>
      <c r="CJ883" s="8">
        <f t="shared" si="633"/>
        <v>0</v>
      </c>
      <c r="CK883" s="8">
        <f t="shared" si="634"/>
        <v>0</v>
      </c>
      <c r="CL883" s="8">
        <f t="shared" si="635"/>
        <v>0</v>
      </c>
      <c r="CM883" s="8">
        <f t="shared" si="636"/>
        <v>0</v>
      </c>
      <c r="CN883" s="8">
        <f t="shared" si="637"/>
        <v>0</v>
      </c>
      <c r="CO883" s="8">
        <f t="shared" si="638"/>
        <v>0</v>
      </c>
      <c r="CP883" s="8">
        <f t="shared" si="639"/>
        <v>0</v>
      </c>
      <c r="CQ883" s="8">
        <f t="shared" si="640"/>
        <v>0</v>
      </c>
      <c r="CR883" s="8">
        <f t="shared" si="641"/>
        <v>0</v>
      </c>
      <c r="CS883" s="8">
        <f t="shared" si="642"/>
        <v>0</v>
      </c>
      <c r="CT883" s="8">
        <f t="shared" si="647"/>
        <v>0</v>
      </c>
      <c r="CU883" s="8">
        <f t="shared" si="648"/>
        <v>0</v>
      </c>
      <c r="CV883" s="8">
        <f t="shared" si="649"/>
        <v>0</v>
      </c>
    </row>
    <row r="884" spans="1:100" ht="20.5" thickTop="1" thickBot="1" x14ac:dyDescent="0.5">
      <c r="A884" s="32"/>
      <c r="B884" s="10"/>
      <c r="C884" s="10"/>
      <c r="D884" s="11"/>
      <c r="E884" s="10"/>
      <c r="F884" s="10"/>
      <c r="G884" s="19"/>
      <c r="H884" s="19"/>
      <c r="I884" s="19"/>
      <c r="J884" s="19"/>
      <c r="K884" s="10"/>
      <c r="L884" s="10"/>
      <c r="M884" s="10"/>
      <c r="N884" s="10"/>
      <c r="O884" s="18"/>
      <c r="P884" s="18"/>
      <c r="Q884" s="21"/>
      <c r="R884" s="20"/>
      <c r="S884" s="16">
        <f t="shared" si="605"/>
        <v>0</v>
      </c>
      <c r="T884" s="11"/>
      <c r="AS884" s="31">
        <f t="shared" si="606"/>
        <v>0</v>
      </c>
      <c r="AT884" s="31">
        <f t="shared" si="607"/>
        <v>0</v>
      </c>
      <c r="AU884" s="31">
        <f t="shared" si="608"/>
        <v>0</v>
      </c>
      <c r="AV884" s="31">
        <f t="shared" si="609"/>
        <v>0</v>
      </c>
      <c r="AW884" s="31">
        <f t="shared" si="610"/>
        <v>0</v>
      </c>
      <c r="AX884" s="31">
        <f t="shared" si="611"/>
        <v>0</v>
      </c>
      <c r="AY884" s="31">
        <f t="shared" si="612"/>
        <v>0</v>
      </c>
      <c r="AZ884" s="31">
        <f t="shared" si="613"/>
        <v>0</v>
      </c>
      <c r="BA884" s="31">
        <f t="shared" si="614"/>
        <v>0</v>
      </c>
      <c r="BB884" s="31">
        <f t="shared" si="643"/>
        <v>0</v>
      </c>
      <c r="BM884" s="8">
        <f t="shared" si="644"/>
        <v>0</v>
      </c>
      <c r="BN884" s="8">
        <f t="shared" si="615"/>
        <v>0</v>
      </c>
      <c r="BO884" s="8">
        <f t="shared" si="616"/>
        <v>0</v>
      </c>
      <c r="BQ884" s="8">
        <f t="shared" si="617"/>
        <v>0</v>
      </c>
      <c r="BR884" s="63">
        <f t="shared" si="618"/>
        <v>0</v>
      </c>
      <c r="BS884" s="63">
        <f t="shared" si="645"/>
        <v>0</v>
      </c>
      <c r="BT884" s="63">
        <f t="shared" si="619"/>
        <v>0</v>
      </c>
      <c r="BU884" s="63">
        <f t="shared" si="620"/>
        <v>0</v>
      </c>
      <c r="BV884" s="57">
        <f t="shared" si="621"/>
        <v>0</v>
      </c>
      <c r="BW884" s="57">
        <f t="shared" si="622"/>
        <v>0</v>
      </c>
      <c r="BX884" s="57">
        <f t="shared" si="646"/>
        <v>0</v>
      </c>
      <c r="BY884" s="57">
        <f t="shared" si="650"/>
        <v>0</v>
      </c>
      <c r="BZ884" s="8">
        <f t="shared" si="623"/>
        <v>0</v>
      </c>
      <c r="CA884" s="8">
        <f t="shared" si="624"/>
        <v>0</v>
      </c>
      <c r="CB884" s="8">
        <f t="shared" si="625"/>
        <v>0</v>
      </c>
      <c r="CC884" s="8">
        <f t="shared" si="626"/>
        <v>0</v>
      </c>
      <c r="CD884" s="8">
        <f t="shared" si="627"/>
        <v>0</v>
      </c>
      <c r="CE884" s="8">
        <f t="shared" si="628"/>
        <v>0</v>
      </c>
      <c r="CF884" s="8">
        <f t="shared" si="629"/>
        <v>0</v>
      </c>
      <c r="CG884" s="8">
        <f t="shared" si="630"/>
        <v>0</v>
      </c>
      <c r="CH884" s="8">
        <f t="shared" si="631"/>
        <v>0</v>
      </c>
      <c r="CI884" s="8">
        <f t="shared" si="632"/>
        <v>0</v>
      </c>
      <c r="CJ884" s="8">
        <f t="shared" si="633"/>
        <v>0</v>
      </c>
      <c r="CK884" s="8">
        <f t="shared" si="634"/>
        <v>0</v>
      </c>
      <c r="CL884" s="8">
        <f t="shared" si="635"/>
        <v>0</v>
      </c>
      <c r="CM884" s="8">
        <f t="shared" si="636"/>
        <v>0</v>
      </c>
      <c r="CN884" s="8">
        <f t="shared" si="637"/>
        <v>0</v>
      </c>
      <c r="CO884" s="8">
        <f t="shared" si="638"/>
        <v>0</v>
      </c>
      <c r="CP884" s="8">
        <f t="shared" si="639"/>
        <v>0</v>
      </c>
      <c r="CQ884" s="8">
        <f t="shared" si="640"/>
        <v>0</v>
      </c>
      <c r="CR884" s="8">
        <f t="shared" si="641"/>
        <v>0</v>
      </c>
      <c r="CS884" s="8">
        <f t="shared" si="642"/>
        <v>0</v>
      </c>
      <c r="CT884" s="8">
        <f t="shared" si="647"/>
        <v>0</v>
      </c>
      <c r="CU884" s="8">
        <f t="shared" si="648"/>
        <v>0</v>
      </c>
      <c r="CV884" s="8">
        <f t="shared" si="649"/>
        <v>0</v>
      </c>
    </row>
    <row r="885" spans="1:100" ht="20.5" thickTop="1" thickBot="1" x14ac:dyDescent="0.5">
      <c r="A885" s="32"/>
      <c r="B885" s="10"/>
      <c r="C885" s="10"/>
      <c r="D885" s="11"/>
      <c r="E885" s="10"/>
      <c r="F885" s="10"/>
      <c r="G885" s="19"/>
      <c r="H885" s="19"/>
      <c r="I885" s="19"/>
      <c r="J885" s="19"/>
      <c r="K885" s="10"/>
      <c r="L885" s="10"/>
      <c r="M885" s="10"/>
      <c r="N885" s="10"/>
      <c r="O885" s="18"/>
      <c r="P885" s="18"/>
      <c r="Q885" s="21"/>
      <c r="R885" s="20"/>
      <c r="S885" s="16">
        <f t="shared" si="605"/>
        <v>0</v>
      </c>
      <c r="T885" s="11"/>
      <c r="AS885" s="31">
        <f t="shared" si="606"/>
        <v>0</v>
      </c>
      <c r="AT885" s="31">
        <f t="shared" si="607"/>
        <v>0</v>
      </c>
      <c r="AU885" s="31">
        <f t="shared" si="608"/>
        <v>0</v>
      </c>
      <c r="AV885" s="31">
        <f t="shared" si="609"/>
        <v>0</v>
      </c>
      <c r="AW885" s="31">
        <f t="shared" si="610"/>
        <v>0</v>
      </c>
      <c r="AX885" s="31">
        <f t="shared" si="611"/>
        <v>0</v>
      </c>
      <c r="AY885" s="31">
        <f t="shared" si="612"/>
        <v>0</v>
      </c>
      <c r="AZ885" s="31">
        <f t="shared" si="613"/>
        <v>0</v>
      </c>
      <c r="BA885" s="31">
        <f t="shared" si="614"/>
        <v>0</v>
      </c>
      <c r="BB885" s="31">
        <f t="shared" si="643"/>
        <v>0</v>
      </c>
      <c r="BM885" s="8">
        <f t="shared" si="644"/>
        <v>0</v>
      </c>
      <c r="BN885" s="8">
        <f t="shared" si="615"/>
        <v>0</v>
      </c>
      <c r="BO885" s="8">
        <f t="shared" si="616"/>
        <v>0</v>
      </c>
      <c r="BQ885" s="8">
        <f t="shared" si="617"/>
        <v>0</v>
      </c>
      <c r="BR885" s="63">
        <f t="shared" si="618"/>
        <v>0</v>
      </c>
      <c r="BS885" s="63">
        <f t="shared" si="645"/>
        <v>0</v>
      </c>
      <c r="BT885" s="63">
        <f t="shared" si="619"/>
        <v>0</v>
      </c>
      <c r="BU885" s="63">
        <f t="shared" si="620"/>
        <v>0</v>
      </c>
      <c r="BV885" s="57">
        <f t="shared" si="621"/>
        <v>0</v>
      </c>
      <c r="BW885" s="57">
        <f t="shared" si="622"/>
        <v>0</v>
      </c>
      <c r="BX885" s="57">
        <f t="shared" si="646"/>
        <v>0</v>
      </c>
      <c r="BY885" s="57">
        <f t="shared" si="650"/>
        <v>0</v>
      </c>
      <c r="BZ885" s="8">
        <f t="shared" si="623"/>
        <v>0</v>
      </c>
      <c r="CA885" s="8">
        <f t="shared" si="624"/>
        <v>0</v>
      </c>
      <c r="CB885" s="8">
        <f t="shared" si="625"/>
        <v>0</v>
      </c>
      <c r="CC885" s="8">
        <f t="shared" si="626"/>
        <v>0</v>
      </c>
      <c r="CD885" s="8">
        <f t="shared" si="627"/>
        <v>0</v>
      </c>
      <c r="CE885" s="8">
        <f t="shared" si="628"/>
        <v>0</v>
      </c>
      <c r="CF885" s="8">
        <f t="shared" si="629"/>
        <v>0</v>
      </c>
      <c r="CG885" s="8">
        <f t="shared" si="630"/>
        <v>0</v>
      </c>
      <c r="CH885" s="8">
        <f t="shared" si="631"/>
        <v>0</v>
      </c>
      <c r="CI885" s="8">
        <f t="shared" si="632"/>
        <v>0</v>
      </c>
      <c r="CJ885" s="8">
        <f t="shared" si="633"/>
        <v>0</v>
      </c>
      <c r="CK885" s="8">
        <f t="shared" si="634"/>
        <v>0</v>
      </c>
      <c r="CL885" s="8">
        <f t="shared" si="635"/>
        <v>0</v>
      </c>
      <c r="CM885" s="8">
        <f t="shared" si="636"/>
        <v>0</v>
      </c>
      <c r="CN885" s="8">
        <f t="shared" si="637"/>
        <v>0</v>
      </c>
      <c r="CO885" s="8">
        <f t="shared" si="638"/>
        <v>0</v>
      </c>
      <c r="CP885" s="8">
        <f t="shared" si="639"/>
        <v>0</v>
      </c>
      <c r="CQ885" s="8">
        <f t="shared" si="640"/>
        <v>0</v>
      </c>
      <c r="CR885" s="8">
        <f t="shared" si="641"/>
        <v>0</v>
      </c>
      <c r="CS885" s="8">
        <f t="shared" si="642"/>
        <v>0</v>
      </c>
      <c r="CT885" s="8">
        <f t="shared" si="647"/>
        <v>0</v>
      </c>
      <c r="CU885" s="8">
        <f t="shared" si="648"/>
        <v>0</v>
      </c>
      <c r="CV885" s="8">
        <f t="shared" si="649"/>
        <v>0</v>
      </c>
    </row>
    <row r="886" spans="1:100" ht="20.5" thickTop="1" thickBot="1" x14ac:dyDescent="0.5">
      <c r="A886" s="32"/>
      <c r="B886" s="10"/>
      <c r="C886" s="10"/>
      <c r="D886" s="11"/>
      <c r="E886" s="10"/>
      <c r="F886" s="10"/>
      <c r="G886" s="19"/>
      <c r="H886" s="19"/>
      <c r="I886" s="19"/>
      <c r="J886" s="19"/>
      <c r="K886" s="10"/>
      <c r="L886" s="10"/>
      <c r="M886" s="10"/>
      <c r="N886" s="10"/>
      <c r="O886" s="18"/>
      <c r="P886" s="18"/>
      <c r="Q886" s="21"/>
      <c r="R886" s="20"/>
      <c r="S886" s="16">
        <f t="shared" si="605"/>
        <v>0</v>
      </c>
      <c r="T886" s="11"/>
      <c r="AS886" s="31">
        <f t="shared" si="606"/>
        <v>0</v>
      </c>
      <c r="AT886" s="31">
        <f t="shared" si="607"/>
        <v>0</v>
      </c>
      <c r="AU886" s="31">
        <f t="shared" si="608"/>
        <v>0</v>
      </c>
      <c r="AV886" s="31">
        <f t="shared" si="609"/>
        <v>0</v>
      </c>
      <c r="AW886" s="31">
        <f t="shared" si="610"/>
        <v>0</v>
      </c>
      <c r="AX886" s="31">
        <f t="shared" si="611"/>
        <v>0</v>
      </c>
      <c r="AY886" s="31">
        <f t="shared" si="612"/>
        <v>0</v>
      </c>
      <c r="AZ886" s="31">
        <f t="shared" si="613"/>
        <v>0</v>
      </c>
      <c r="BA886" s="31">
        <f t="shared" si="614"/>
        <v>0</v>
      </c>
      <c r="BB886" s="31">
        <f t="shared" si="643"/>
        <v>0</v>
      </c>
      <c r="BM886" s="8">
        <f t="shared" si="644"/>
        <v>0</v>
      </c>
      <c r="BN886" s="8">
        <f t="shared" si="615"/>
        <v>0</v>
      </c>
      <c r="BO886" s="8">
        <f t="shared" si="616"/>
        <v>0</v>
      </c>
      <c r="BQ886" s="8">
        <f t="shared" si="617"/>
        <v>0</v>
      </c>
      <c r="BR886" s="63">
        <f t="shared" si="618"/>
        <v>0</v>
      </c>
      <c r="BS886" s="63">
        <f t="shared" si="645"/>
        <v>0</v>
      </c>
      <c r="BT886" s="63">
        <f t="shared" si="619"/>
        <v>0</v>
      </c>
      <c r="BU886" s="63">
        <f t="shared" si="620"/>
        <v>0</v>
      </c>
      <c r="BV886" s="57">
        <f t="shared" si="621"/>
        <v>0</v>
      </c>
      <c r="BW886" s="57">
        <f t="shared" si="622"/>
        <v>0</v>
      </c>
      <c r="BX886" s="57">
        <f t="shared" si="646"/>
        <v>0</v>
      </c>
      <c r="BY886" s="57">
        <f t="shared" si="650"/>
        <v>0</v>
      </c>
      <c r="BZ886" s="8">
        <f t="shared" si="623"/>
        <v>0</v>
      </c>
      <c r="CA886" s="8">
        <f t="shared" si="624"/>
        <v>0</v>
      </c>
      <c r="CB886" s="8">
        <f t="shared" si="625"/>
        <v>0</v>
      </c>
      <c r="CC886" s="8">
        <f t="shared" si="626"/>
        <v>0</v>
      </c>
      <c r="CD886" s="8">
        <f t="shared" si="627"/>
        <v>0</v>
      </c>
      <c r="CE886" s="8">
        <f t="shared" si="628"/>
        <v>0</v>
      </c>
      <c r="CF886" s="8">
        <f t="shared" si="629"/>
        <v>0</v>
      </c>
      <c r="CG886" s="8">
        <f t="shared" si="630"/>
        <v>0</v>
      </c>
      <c r="CH886" s="8">
        <f t="shared" si="631"/>
        <v>0</v>
      </c>
      <c r="CI886" s="8">
        <f t="shared" si="632"/>
        <v>0</v>
      </c>
      <c r="CJ886" s="8">
        <f t="shared" si="633"/>
        <v>0</v>
      </c>
      <c r="CK886" s="8">
        <f t="shared" si="634"/>
        <v>0</v>
      </c>
      <c r="CL886" s="8">
        <f t="shared" si="635"/>
        <v>0</v>
      </c>
      <c r="CM886" s="8">
        <f t="shared" si="636"/>
        <v>0</v>
      </c>
      <c r="CN886" s="8">
        <f t="shared" si="637"/>
        <v>0</v>
      </c>
      <c r="CO886" s="8">
        <f t="shared" si="638"/>
        <v>0</v>
      </c>
      <c r="CP886" s="8">
        <f t="shared" si="639"/>
        <v>0</v>
      </c>
      <c r="CQ886" s="8">
        <f t="shared" si="640"/>
        <v>0</v>
      </c>
      <c r="CR886" s="8">
        <f t="shared" si="641"/>
        <v>0</v>
      </c>
      <c r="CS886" s="8">
        <f t="shared" si="642"/>
        <v>0</v>
      </c>
      <c r="CT886" s="8">
        <f t="shared" si="647"/>
        <v>0</v>
      </c>
      <c r="CU886" s="8">
        <f t="shared" si="648"/>
        <v>0</v>
      </c>
      <c r="CV886" s="8">
        <f t="shared" si="649"/>
        <v>0</v>
      </c>
    </row>
    <row r="887" spans="1:100" ht="20.5" thickTop="1" thickBot="1" x14ac:dyDescent="0.5">
      <c r="A887" s="32"/>
      <c r="B887" s="10"/>
      <c r="C887" s="10"/>
      <c r="D887" s="11"/>
      <c r="E887" s="10"/>
      <c r="F887" s="10"/>
      <c r="G887" s="19"/>
      <c r="H887" s="19"/>
      <c r="I887" s="19"/>
      <c r="J887" s="19"/>
      <c r="K887" s="10"/>
      <c r="L887" s="10"/>
      <c r="M887" s="10"/>
      <c r="N887" s="10"/>
      <c r="O887" s="18"/>
      <c r="P887" s="18"/>
      <c r="Q887" s="21"/>
      <c r="R887" s="20"/>
      <c r="S887" s="16">
        <f t="shared" si="605"/>
        <v>0</v>
      </c>
      <c r="T887" s="11"/>
      <c r="AS887" s="31">
        <f t="shared" si="606"/>
        <v>0</v>
      </c>
      <c r="AT887" s="31">
        <f t="shared" si="607"/>
        <v>0</v>
      </c>
      <c r="AU887" s="31">
        <f t="shared" si="608"/>
        <v>0</v>
      </c>
      <c r="AV887" s="31">
        <f t="shared" si="609"/>
        <v>0</v>
      </c>
      <c r="AW887" s="31">
        <f t="shared" si="610"/>
        <v>0</v>
      </c>
      <c r="AX887" s="31">
        <f t="shared" si="611"/>
        <v>0</v>
      </c>
      <c r="AY887" s="31">
        <f t="shared" si="612"/>
        <v>0</v>
      </c>
      <c r="AZ887" s="31">
        <f t="shared" si="613"/>
        <v>0</v>
      </c>
      <c r="BA887" s="31">
        <f t="shared" si="614"/>
        <v>0</v>
      </c>
      <c r="BB887" s="31">
        <f t="shared" si="643"/>
        <v>0</v>
      </c>
      <c r="BM887" s="8">
        <f t="shared" si="644"/>
        <v>0</v>
      </c>
      <c r="BN887" s="8">
        <f t="shared" si="615"/>
        <v>0</v>
      </c>
      <c r="BO887" s="8">
        <f t="shared" si="616"/>
        <v>0</v>
      </c>
      <c r="BQ887" s="8">
        <f t="shared" si="617"/>
        <v>0</v>
      </c>
      <c r="BR887" s="63">
        <f t="shared" si="618"/>
        <v>0</v>
      </c>
      <c r="BS887" s="63">
        <f t="shared" si="645"/>
        <v>0</v>
      </c>
      <c r="BT887" s="63">
        <f t="shared" si="619"/>
        <v>0</v>
      </c>
      <c r="BU887" s="63">
        <f t="shared" si="620"/>
        <v>0</v>
      </c>
      <c r="BV887" s="57">
        <f t="shared" si="621"/>
        <v>0</v>
      </c>
      <c r="BW887" s="57">
        <f t="shared" si="622"/>
        <v>0</v>
      </c>
      <c r="BX887" s="57">
        <f t="shared" si="646"/>
        <v>0</v>
      </c>
      <c r="BY887" s="57">
        <f t="shared" si="650"/>
        <v>0</v>
      </c>
      <c r="BZ887" s="8">
        <f t="shared" si="623"/>
        <v>0</v>
      </c>
      <c r="CA887" s="8">
        <f t="shared" si="624"/>
        <v>0</v>
      </c>
      <c r="CB887" s="8">
        <f t="shared" si="625"/>
        <v>0</v>
      </c>
      <c r="CC887" s="8">
        <f t="shared" si="626"/>
        <v>0</v>
      </c>
      <c r="CD887" s="8">
        <f t="shared" si="627"/>
        <v>0</v>
      </c>
      <c r="CE887" s="8">
        <f t="shared" si="628"/>
        <v>0</v>
      </c>
      <c r="CF887" s="8">
        <f t="shared" si="629"/>
        <v>0</v>
      </c>
      <c r="CG887" s="8">
        <f t="shared" si="630"/>
        <v>0</v>
      </c>
      <c r="CH887" s="8">
        <f t="shared" si="631"/>
        <v>0</v>
      </c>
      <c r="CI887" s="8">
        <f t="shared" si="632"/>
        <v>0</v>
      </c>
      <c r="CJ887" s="8">
        <f t="shared" si="633"/>
        <v>0</v>
      </c>
      <c r="CK887" s="8">
        <f t="shared" si="634"/>
        <v>0</v>
      </c>
      <c r="CL887" s="8">
        <f t="shared" si="635"/>
        <v>0</v>
      </c>
      <c r="CM887" s="8">
        <f t="shared" si="636"/>
        <v>0</v>
      </c>
      <c r="CN887" s="8">
        <f t="shared" si="637"/>
        <v>0</v>
      </c>
      <c r="CO887" s="8">
        <f t="shared" si="638"/>
        <v>0</v>
      </c>
      <c r="CP887" s="8">
        <f t="shared" si="639"/>
        <v>0</v>
      </c>
      <c r="CQ887" s="8">
        <f t="shared" si="640"/>
        <v>0</v>
      </c>
      <c r="CR887" s="8">
        <f t="shared" si="641"/>
        <v>0</v>
      </c>
      <c r="CS887" s="8">
        <f t="shared" si="642"/>
        <v>0</v>
      </c>
      <c r="CT887" s="8">
        <f t="shared" si="647"/>
        <v>0</v>
      </c>
      <c r="CU887" s="8">
        <f t="shared" si="648"/>
        <v>0</v>
      </c>
      <c r="CV887" s="8">
        <f t="shared" si="649"/>
        <v>0</v>
      </c>
    </row>
    <row r="888" spans="1:100" ht="20.5" thickTop="1" thickBot="1" x14ac:dyDescent="0.5">
      <c r="A888" s="32"/>
      <c r="B888" s="10"/>
      <c r="C888" s="10"/>
      <c r="D888" s="11"/>
      <c r="E888" s="10"/>
      <c r="F888" s="10"/>
      <c r="G888" s="19"/>
      <c r="H888" s="19"/>
      <c r="I888" s="19"/>
      <c r="J888" s="19"/>
      <c r="K888" s="10"/>
      <c r="L888" s="10"/>
      <c r="M888" s="10"/>
      <c r="N888" s="10"/>
      <c r="O888" s="18"/>
      <c r="P888" s="18"/>
      <c r="Q888" s="21"/>
      <c r="R888" s="20"/>
      <c r="S888" s="16">
        <f t="shared" si="605"/>
        <v>0</v>
      </c>
      <c r="T888" s="11"/>
      <c r="AS888" s="31">
        <f t="shared" si="606"/>
        <v>0</v>
      </c>
      <c r="AT888" s="31">
        <f t="shared" si="607"/>
        <v>0</v>
      </c>
      <c r="AU888" s="31">
        <f t="shared" si="608"/>
        <v>0</v>
      </c>
      <c r="AV888" s="31">
        <f t="shared" si="609"/>
        <v>0</v>
      </c>
      <c r="AW888" s="31">
        <f t="shared" si="610"/>
        <v>0</v>
      </c>
      <c r="AX888" s="31">
        <f t="shared" si="611"/>
        <v>0</v>
      </c>
      <c r="AY888" s="31">
        <f t="shared" si="612"/>
        <v>0</v>
      </c>
      <c r="AZ888" s="31">
        <f t="shared" si="613"/>
        <v>0</v>
      </c>
      <c r="BA888" s="31">
        <f t="shared" si="614"/>
        <v>0</v>
      </c>
      <c r="BB888" s="31">
        <f t="shared" si="643"/>
        <v>0</v>
      </c>
      <c r="BM888" s="8">
        <f t="shared" si="644"/>
        <v>0</v>
      </c>
      <c r="BN888" s="8">
        <f t="shared" si="615"/>
        <v>0</v>
      </c>
      <c r="BO888" s="8">
        <f t="shared" si="616"/>
        <v>0</v>
      </c>
      <c r="BQ888" s="8">
        <f t="shared" si="617"/>
        <v>0</v>
      </c>
      <c r="BR888" s="63">
        <f t="shared" si="618"/>
        <v>0</v>
      </c>
      <c r="BS888" s="63">
        <f t="shared" si="645"/>
        <v>0</v>
      </c>
      <c r="BT888" s="63">
        <f t="shared" si="619"/>
        <v>0</v>
      </c>
      <c r="BU888" s="63">
        <f t="shared" si="620"/>
        <v>0</v>
      </c>
      <c r="BV888" s="57">
        <f t="shared" si="621"/>
        <v>0</v>
      </c>
      <c r="BW888" s="57">
        <f t="shared" si="622"/>
        <v>0</v>
      </c>
      <c r="BX888" s="57">
        <f t="shared" si="646"/>
        <v>0</v>
      </c>
      <c r="BY888" s="57">
        <f t="shared" si="650"/>
        <v>0</v>
      </c>
      <c r="BZ888" s="8">
        <f t="shared" si="623"/>
        <v>0</v>
      </c>
      <c r="CA888" s="8">
        <f t="shared" si="624"/>
        <v>0</v>
      </c>
      <c r="CB888" s="8">
        <f t="shared" si="625"/>
        <v>0</v>
      </c>
      <c r="CC888" s="8">
        <f t="shared" si="626"/>
        <v>0</v>
      </c>
      <c r="CD888" s="8">
        <f t="shared" si="627"/>
        <v>0</v>
      </c>
      <c r="CE888" s="8">
        <f t="shared" si="628"/>
        <v>0</v>
      </c>
      <c r="CF888" s="8">
        <f t="shared" si="629"/>
        <v>0</v>
      </c>
      <c r="CG888" s="8">
        <f t="shared" si="630"/>
        <v>0</v>
      </c>
      <c r="CH888" s="8">
        <f t="shared" si="631"/>
        <v>0</v>
      </c>
      <c r="CI888" s="8">
        <f t="shared" si="632"/>
        <v>0</v>
      </c>
      <c r="CJ888" s="8">
        <f t="shared" si="633"/>
        <v>0</v>
      </c>
      <c r="CK888" s="8">
        <f t="shared" si="634"/>
        <v>0</v>
      </c>
      <c r="CL888" s="8">
        <f t="shared" si="635"/>
        <v>0</v>
      </c>
      <c r="CM888" s="8">
        <f t="shared" si="636"/>
        <v>0</v>
      </c>
      <c r="CN888" s="8">
        <f t="shared" si="637"/>
        <v>0</v>
      </c>
      <c r="CO888" s="8">
        <f t="shared" si="638"/>
        <v>0</v>
      </c>
      <c r="CP888" s="8">
        <f t="shared" si="639"/>
        <v>0</v>
      </c>
      <c r="CQ888" s="8">
        <f t="shared" si="640"/>
        <v>0</v>
      </c>
      <c r="CR888" s="8">
        <f t="shared" si="641"/>
        <v>0</v>
      </c>
      <c r="CS888" s="8">
        <f t="shared" si="642"/>
        <v>0</v>
      </c>
      <c r="CT888" s="8">
        <f t="shared" si="647"/>
        <v>0</v>
      </c>
      <c r="CU888" s="8">
        <f t="shared" si="648"/>
        <v>0</v>
      </c>
      <c r="CV888" s="8">
        <f t="shared" si="649"/>
        <v>0</v>
      </c>
    </row>
    <row r="889" spans="1:100" ht="20.5" thickTop="1" thickBot="1" x14ac:dyDescent="0.5">
      <c r="A889" s="32"/>
      <c r="B889" s="10"/>
      <c r="C889" s="10"/>
      <c r="D889" s="11"/>
      <c r="E889" s="10"/>
      <c r="F889" s="10"/>
      <c r="G889" s="19"/>
      <c r="H889" s="19"/>
      <c r="I889" s="19"/>
      <c r="J889" s="19"/>
      <c r="K889" s="10"/>
      <c r="L889" s="10"/>
      <c r="M889" s="10"/>
      <c r="N889" s="10"/>
      <c r="O889" s="18"/>
      <c r="P889" s="18"/>
      <c r="Q889" s="21"/>
      <c r="R889" s="20"/>
      <c r="S889" s="16">
        <f t="shared" si="605"/>
        <v>0</v>
      </c>
      <c r="T889" s="11"/>
      <c r="AS889" s="31">
        <f t="shared" si="606"/>
        <v>0</v>
      </c>
      <c r="AT889" s="31">
        <f t="shared" si="607"/>
        <v>0</v>
      </c>
      <c r="AU889" s="31">
        <f t="shared" si="608"/>
        <v>0</v>
      </c>
      <c r="AV889" s="31">
        <f t="shared" si="609"/>
        <v>0</v>
      </c>
      <c r="AW889" s="31">
        <f t="shared" si="610"/>
        <v>0</v>
      </c>
      <c r="AX889" s="31">
        <f t="shared" si="611"/>
        <v>0</v>
      </c>
      <c r="AY889" s="31">
        <f t="shared" si="612"/>
        <v>0</v>
      </c>
      <c r="AZ889" s="31">
        <f t="shared" si="613"/>
        <v>0</v>
      </c>
      <c r="BA889" s="31">
        <f t="shared" si="614"/>
        <v>0</v>
      </c>
      <c r="BB889" s="31">
        <f t="shared" si="643"/>
        <v>0</v>
      </c>
      <c r="BM889" s="8">
        <f t="shared" si="644"/>
        <v>0</v>
      </c>
      <c r="BN889" s="8">
        <f t="shared" si="615"/>
        <v>0</v>
      </c>
      <c r="BO889" s="8">
        <f t="shared" si="616"/>
        <v>0</v>
      </c>
      <c r="BQ889" s="8">
        <f t="shared" si="617"/>
        <v>0</v>
      </c>
      <c r="BR889" s="63">
        <f t="shared" si="618"/>
        <v>0</v>
      </c>
      <c r="BS889" s="63">
        <f t="shared" si="645"/>
        <v>0</v>
      </c>
      <c r="BT889" s="63">
        <f t="shared" si="619"/>
        <v>0</v>
      </c>
      <c r="BU889" s="63">
        <f t="shared" si="620"/>
        <v>0</v>
      </c>
      <c r="BV889" s="57">
        <f t="shared" si="621"/>
        <v>0</v>
      </c>
      <c r="BW889" s="57">
        <f t="shared" si="622"/>
        <v>0</v>
      </c>
      <c r="BX889" s="57">
        <f t="shared" si="646"/>
        <v>0</v>
      </c>
      <c r="BY889" s="57">
        <f t="shared" si="650"/>
        <v>0</v>
      </c>
      <c r="BZ889" s="8">
        <f t="shared" si="623"/>
        <v>0</v>
      </c>
      <c r="CA889" s="8">
        <f t="shared" si="624"/>
        <v>0</v>
      </c>
      <c r="CB889" s="8">
        <f t="shared" si="625"/>
        <v>0</v>
      </c>
      <c r="CC889" s="8">
        <f t="shared" si="626"/>
        <v>0</v>
      </c>
      <c r="CD889" s="8">
        <f t="shared" si="627"/>
        <v>0</v>
      </c>
      <c r="CE889" s="8">
        <f t="shared" si="628"/>
        <v>0</v>
      </c>
      <c r="CF889" s="8">
        <f t="shared" si="629"/>
        <v>0</v>
      </c>
      <c r="CG889" s="8">
        <f t="shared" si="630"/>
        <v>0</v>
      </c>
      <c r="CH889" s="8">
        <f t="shared" si="631"/>
        <v>0</v>
      </c>
      <c r="CI889" s="8">
        <f t="shared" si="632"/>
        <v>0</v>
      </c>
      <c r="CJ889" s="8">
        <f t="shared" si="633"/>
        <v>0</v>
      </c>
      <c r="CK889" s="8">
        <f t="shared" si="634"/>
        <v>0</v>
      </c>
      <c r="CL889" s="8">
        <f t="shared" si="635"/>
        <v>0</v>
      </c>
      <c r="CM889" s="8">
        <f t="shared" si="636"/>
        <v>0</v>
      </c>
      <c r="CN889" s="8">
        <f t="shared" si="637"/>
        <v>0</v>
      </c>
      <c r="CO889" s="8">
        <f t="shared" si="638"/>
        <v>0</v>
      </c>
      <c r="CP889" s="8">
        <f t="shared" si="639"/>
        <v>0</v>
      </c>
      <c r="CQ889" s="8">
        <f t="shared" si="640"/>
        <v>0</v>
      </c>
      <c r="CR889" s="8">
        <f t="shared" si="641"/>
        <v>0</v>
      </c>
      <c r="CS889" s="8">
        <f t="shared" si="642"/>
        <v>0</v>
      </c>
      <c r="CT889" s="8">
        <f t="shared" si="647"/>
        <v>0</v>
      </c>
      <c r="CU889" s="8">
        <f t="shared" si="648"/>
        <v>0</v>
      </c>
      <c r="CV889" s="8">
        <f t="shared" si="649"/>
        <v>0</v>
      </c>
    </row>
    <row r="890" spans="1:100" ht="20.5" thickTop="1" thickBot="1" x14ac:dyDescent="0.5">
      <c r="A890" s="32"/>
      <c r="B890" s="10"/>
      <c r="C890" s="10"/>
      <c r="D890" s="11"/>
      <c r="E890" s="10"/>
      <c r="F890" s="10"/>
      <c r="G890" s="19"/>
      <c r="H890" s="19"/>
      <c r="I890" s="19"/>
      <c r="J890" s="19"/>
      <c r="K890" s="10"/>
      <c r="L890" s="10"/>
      <c r="M890" s="10"/>
      <c r="N890" s="10"/>
      <c r="O890" s="18"/>
      <c r="P890" s="18"/>
      <c r="Q890" s="21"/>
      <c r="R890" s="20"/>
      <c r="S890" s="16">
        <f t="shared" si="605"/>
        <v>0</v>
      </c>
      <c r="T890" s="11"/>
      <c r="AS890" s="31">
        <f t="shared" si="606"/>
        <v>0</v>
      </c>
      <c r="AT890" s="31">
        <f t="shared" si="607"/>
        <v>0</v>
      </c>
      <c r="AU890" s="31">
        <f t="shared" si="608"/>
        <v>0</v>
      </c>
      <c r="AV890" s="31">
        <f t="shared" si="609"/>
        <v>0</v>
      </c>
      <c r="AW890" s="31">
        <f t="shared" si="610"/>
        <v>0</v>
      </c>
      <c r="AX890" s="31">
        <f t="shared" si="611"/>
        <v>0</v>
      </c>
      <c r="AY890" s="31">
        <f t="shared" si="612"/>
        <v>0</v>
      </c>
      <c r="AZ890" s="31">
        <f t="shared" si="613"/>
        <v>0</v>
      </c>
      <c r="BA890" s="31">
        <f t="shared" si="614"/>
        <v>0</v>
      </c>
      <c r="BB890" s="31">
        <f t="shared" si="643"/>
        <v>0</v>
      </c>
      <c r="BM890" s="8">
        <f t="shared" si="644"/>
        <v>0</v>
      </c>
      <c r="BN890" s="8">
        <f t="shared" si="615"/>
        <v>0</v>
      </c>
      <c r="BO890" s="8">
        <f t="shared" si="616"/>
        <v>0</v>
      </c>
      <c r="BQ890" s="8">
        <f t="shared" si="617"/>
        <v>0</v>
      </c>
      <c r="BR890" s="63">
        <f t="shared" si="618"/>
        <v>0</v>
      </c>
      <c r="BS890" s="63">
        <f t="shared" si="645"/>
        <v>0</v>
      </c>
      <c r="BT890" s="63">
        <f t="shared" si="619"/>
        <v>0</v>
      </c>
      <c r="BU890" s="63">
        <f t="shared" si="620"/>
        <v>0</v>
      </c>
      <c r="BV890" s="57">
        <f t="shared" si="621"/>
        <v>0</v>
      </c>
      <c r="BW890" s="57">
        <f t="shared" si="622"/>
        <v>0</v>
      </c>
      <c r="BX890" s="57">
        <f t="shared" si="646"/>
        <v>0</v>
      </c>
      <c r="BY890" s="57">
        <f t="shared" si="650"/>
        <v>0</v>
      </c>
      <c r="BZ890" s="8">
        <f t="shared" si="623"/>
        <v>0</v>
      </c>
      <c r="CA890" s="8">
        <f t="shared" si="624"/>
        <v>0</v>
      </c>
      <c r="CB890" s="8">
        <f t="shared" si="625"/>
        <v>0</v>
      </c>
      <c r="CC890" s="8">
        <f t="shared" si="626"/>
        <v>0</v>
      </c>
      <c r="CD890" s="8">
        <f t="shared" si="627"/>
        <v>0</v>
      </c>
      <c r="CE890" s="8">
        <f t="shared" si="628"/>
        <v>0</v>
      </c>
      <c r="CF890" s="8">
        <f t="shared" si="629"/>
        <v>0</v>
      </c>
      <c r="CG890" s="8">
        <f t="shared" si="630"/>
        <v>0</v>
      </c>
      <c r="CH890" s="8">
        <f t="shared" si="631"/>
        <v>0</v>
      </c>
      <c r="CI890" s="8">
        <f t="shared" si="632"/>
        <v>0</v>
      </c>
      <c r="CJ890" s="8">
        <f t="shared" si="633"/>
        <v>0</v>
      </c>
      <c r="CK890" s="8">
        <f t="shared" si="634"/>
        <v>0</v>
      </c>
      <c r="CL890" s="8">
        <f t="shared" si="635"/>
        <v>0</v>
      </c>
      <c r="CM890" s="8">
        <f t="shared" si="636"/>
        <v>0</v>
      </c>
      <c r="CN890" s="8">
        <f t="shared" si="637"/>
        <v>0</v>
      </c>
      <c r="CO890" s="8">
        <f t="shared" si="638"/>
        <v>0</v>
      </c>
      <c r="CP890" s="8">
        <f t="shared" si="639"/>
        <v>0</v>
      </c>
      <c r="CQ890" s="8">
        <f t="shared" si="640"/>
        <v>0</v>
      </c>
      <c r="CR890" s="8">
        <f t="shared" si="641"/>
        <v>0</v>
      </c>
      <c r="CS890" s="8">
        <f t="shared" si="642"/>
        <v>0</v>
      </c>
      <c r="CT890" s="8">
        <f t="shared" si="647"/>
        <v>0</v>
      </c>
      <c r="CU890" s="8">
        <f t="shared" si="648"/>
        <v>0</v>
      </c>
      <c r="CV890" s="8">
        <f t="shared" si="649"/>
        <v>0</v>
      </c>
    </row>
    <row r="891" spans="1:100" ht="20.5" thickTop="1" thickBot="1" x14ac:dyDescent="0.5">
      <c r="A891" s="32"/>
      <c r="B891" s="10"/>
      <c r="C891" s="10"/>
      <c r="D891" s="11"/>
      <c r="E891" s="10"/>
      <c r="F891" s="10"/>
      <c r="G891" s="19"/>
      <c r="H891" s="19"/>
      <c r="I891" s="19"/>
      <c r="J891" s="19"/>
      <c r="K891" s="10"/>
      <c r="L891" s="10"/>
      <c r="M891" s="10"/>
      <c r="N891" s="10"/>
      <c r="O891" s="18"/>
      <c r="P891" s="18"/>
      <c r="Q891" s="21"/>
      <c r="R891" s="20"/>
      <c r="S891" s="16">
        <f t="shared" si="605"/>
        <v>0</v>
      </c>
      <c r="T891" s="11"/>
      <c r="AS891" s="31">
        <f t="shared" si="606"/>
        <v>0</v>
      </c>
      <c r="AT891" s="31">
        <f t="shared" si="607"/>
        <v>0</v>
      </c>
      <c r="AU891" s="31">
        <f t="shared" si="608"/>
        <v>0</v>
      </c>
      <c r="AV891" s="31">
        <f t="shared" si="609"/>
        <v>0</v>
      </c>
      <c r="AW891" s="31">
        <f t="shared" si="610"/>
        <v>0</v>
      </c>
      <c r="AX891" s="31">
        <f t="shared" si="611"/>
        <v>0</v>
      </c>
      <c r="AY891" s="31">
        <f t="shared" si="612"/>
        <v>0</v>
      </c>
      <c r="AZ891" s="31">
        <f t="shared" si="613"/>
        <v>0</v>
      </c>
      <c r="BA891" s="31">
        <f t="shared" si="614"/>
        <v>0</v>
      </c>
      <c r="BB891" s="31">
        <f t="shared" si="643"/>
        <v>0</v>
      </c>
      <c r="BM891" s="8">
        <f t="shared" si="644"/>
        <v>0</v>
      </c>
      <c r="BN891" s="8">
        <f t="shared" si="615"/>
        <v>0</v>
      </c>
      <c r="BO891" s="8">
        <f t="shared" si="616"/>
        <v>0</v>
      </c>
      <c r="BQ891" s="8">
        <f t="shared" si="617"/>
        <v>0</v>
      </c>
      <c r="BR891" s="63">
        <f t="shared" si="618"/>
        <v>0</v>
      </c>
      <c r="BS891" s="63">
        <f t="shared" si="645"/>
        <v>0</v>
      </c>
      <c r="BT891" s="63">
        <f t="shared" si="619"/>
        <v>0</v>
      </c>
      <c r="BU891" s="63">
        <f t="shared" si="620"/>
        <v>0</v>
      </c>
      <c r="BV891" s="57">
        <f t="shared" si="621"/>
        <v>0</v>
      </c>
      <c r="BW891" s="57">
        <f t="shared" si="622"/>
        <v>0</v>
      </c>
      <c r="BX891" s="57">
        <f t="shared" si="646"/>
        <v>0</v>
      </c>
      <c r="BY891" s="57">
        <f t="shared" si="650"/>
        <v>0</v>
      </c>
      <c r="BZ891" s="8">
        <f t="shared" si="623"/>
        <v>0</v>
      </c>
      <c r="CA891" s="8">
        <f t="shared" si="624"/>
        <v>0</v>
      </c>
      <c r="CB891" s="8">
        <f t="shared" si="625"/>
        <v>0</v>
      </c>
      <c r="CC891" s="8">
        <f t="shared" si="626"/>
        <v>0</v>
      </c>
      <c r="CD891" s="8">
        <f t="shared" si="627"/>
        <v>0</v>
      </c>
      <c r="CE891" s="8">
        <f t="shared" si="628"/>
        <v>0</v>
      </c>
      <c r="CF891" s="8">
        <f t="shared" si="629"/>
        <v>0</v>
      </c>
      <c r="CG891" s="8">
        <f t="shared" si="630"/>
        <v>0</v>
      </c>
      <c r="CH891" s="8">
        <f t="shared" si="631"/>
        <v>0</v>
      </c>
      <c r="CI891" s="8">
        <f t="shared" si="632"/>
        <v>0</v>
      </c>
      <c r="CJ891" s="8">
        <f t="shared" si="633"/>
        <v>0</v>
      </c>
      <c r="CK891" s="8">
        <f t="shared" si="634"/>
        <v>0</v>
      </c>
      <c r="CL891" s="8">
        <f t="shared" si="635"/>
        <v>0</v>
      </c>
      <c r="CM891" s="8">
        <f t="shared" si="636"/>
        <v>0</v>
      </c>
      <c r="CN891" s="8">
        <f t="shared" si="637"/>
        <v>0</v>
      </c>
      <c r="CO891" s="8">
        <f t="shared" si="638"/>
        <v>0</v>
      </c>
      <c r="CP891" s="8">
        <f t="shared" si="639"/>
        <v>0</v>
      </c>
      <c r="CQ891" s="8">
        <f t="shared" si="640"/>
        <v>0</v>
      </c>
      <c r="CR891" s="8">
        <f t="shared" si="641"/>
        <v>0</v>
      </c>
      <c r="CS891" s="8">
        <f t="shared" si="642"/>
        <v>0</v>
      </c>
      <c r="CT891" s="8">
        <f t="shared" si="647"/>
        <v>0</v>
      </c>
      <c r="CU891" s="8">
        <f t="shared" si="648"/>
        <v>0</v>
      </c>
      <c r="CV891" s="8">
        <f t="shared" si="649"/>
        <v>0</v>
      </c>
    </row>
    <row r="892" spans="1:100" ht="20.5" thickTop="1" thickBot="1" x14ac:dyDescent="0.5">
      <c r="A892" s="32"/>
      <c r="B892" s="10"/>
      <c r="C892" s="10"/>
      <c r="D892" s="11"/>
      <c r="E892" s="10"/>
      <c r="F892" s="10"/>
      <c r="G892" s="19"/>
      <c r="H892" s="19"/>
      <c r="I892" s="19"/>
      <c r="J892" s="19"/>
      <c r="K892" s="10"/>
      <c r="L892" s="10"/>
      <c r="M892" s="10"/>
      <c r="N892" s="10"/>
      <c r="O892" s="18"/>
      <c r="P892" s="18"/>
      <c r="Q892" s="21"/>
      <c r="R892" s="20"/>
      <c r="S892" s="16">
        <f t="shared" si="605"/>
        <v>0</v>
      </c>
      <c r="T892" s="11"/>
      <c r="AS892" s="31">
        <f t="shared" si="606"/>
        <v>0</v>
      </c>
      <c r="AT892" s="31">
        <f t="shared" si="607"/>
        <v>0</v>
      </c>
      <c r="AU892" s="31">
        <f t="shared" si="608"/>
        <v>0</v>
      </c>
      <c r="AV892" s="31">
        <f t="shared" si="609"/>
        <v>0</v>
      </c>
      <c r="AW892" s="31">
        <f t="shared" si="610"/>
        <v>0</v>
      </c>
      <c r="AX892" s="31">
        <f t="shared" si="611"/>
        <v>0</v>
      </c>
      <c r="AY892" s="31">
        <f t="shared" si="612"/>
        <v>0</v>
      </c>
      <c r="AZ892" s="31">
        <f t="shared" si="613"/>
        <v>0</v>
      </c>
      <c r="BA892" s="31">
        <f t="shared" si="614"/>
        <v>0</v>
      </c>
      <c r="BB892" s="31">
        <f t="shared" si="643"/>
        <v>0</v>
      </c>
      <c r="BM892" s="8">
        <f t="shared" si="644"/>
        <v>0</v>
      </c>
      <c r="BN892" s="8">
        <f t="shared" si="615"/>
        <v>0</v>
      </c>
      <c r="BO892" s="8">
        <f t="shared" si="616"/>
        <v>0</v>
      </c>
      <c r="BQ892" s="8">
        <f t="shared" si="617"/>
        <v>0</v>
      </c>
      <c r="BR892" s="63">
        <f t="shared" si="618"/>
        <v>0</v>
      </c>
      <c r="BS892" s="63">
        <f t="shared" si="645"/>
        <v>0</v>
      </c>
      <c r="BT892" s="63">
        <f t="shared" si="619"/>
        <v>0</v>
      </c>
      <c r="BU892" s="63">
        <f t="shared" si="620"/>
        <v>0</v>
      </c>
      <c r="BV892" s="57">
        <f t="shared" si="621"/>
        <v>0</v>
      </c>
      <c r="BW892" s="57">
        <f t="shared" si="622"/>
        <v>0</v>
      </c>
      <c r="BX892" s="57">
        <f t="shared" si="646"/>
        <v>0</v>
      </c>
      <c r="BY892" s="57">
        <f t="shared" si="650"/>
        <v>0</v>
      </c>
      <c r="BZ892" s="8">
        <f t="shared" si="623"/>
        <v>0</v>
      </c>
      <c r="CA892" s="8">
        <f t="shared" si="624"/>
        <v>0</v>
      </c>
      <c r="CB892" s="8">
        <f t="shared" si="625"/>
        <v>0</v>
      </c>
      <c r="CC892" s="8">
        <f t="shared" si="626"/>
        <v>0</v>
      </c>
      <c r="CD892" s="8">
        <f t="shared" si="627"/>
        <v>0</v>
      </c>
      <c r="CE892" s="8">
        <f t="shared" si="628"/>
        <v>0</v>
      </c>
      <c r="CF892" s="8">
        <f t="shared" si="629"/>
        <v>0</v>
      </c>
      <c r="CG892" s="8">
        <f t="shared" si="630"/>
        <v>0</v>
      </c>
      <c r="CH892" s="8">
        <f t="shared" si="631"/>
        <v>0</v>
      </c>
      <c r="CI892" s="8">
        <f t="shared" si="632"/>
        <v>0</v>
      </c>
      <c r="CJ892" s="8">
        <f t="shared" si="633"/>
        <v>0</v>
      </c>
      <c r="CK892" s="8">
        <f t="shared" si="634"/>
        <v>0</v>
      </c>
      <c r="CL892" s="8">
        <f t="shared" si="635"/>
        <v>0</v>
      </c>
      <c r="CM892" s="8">
        <f t="shared" si="636"/>
        <v>0</v>
      </c>
      <c r="CN892" s="8">
        <f t="shared" si="637"/>
        <v>0</v>
      </c>
      <c r="CO892" s="8">
        <f t="shared" si="638"/>
        <v>0</v>
      </c>
      <c r="CP892" s="8">
        <f t="shared" si="639"/>
        <v>0</v>
      </c>
      <c r="CQ892" s="8">
        <f t="shared" si="640"/>
        <v>0</v>
      </c>
      <c r="CR892" s="8">
        <f t="shared" si="641"/>
        <v>0</v>
      </c>
      <c r="CS892" s="8">
        <f t="shared" si="642"/>
        <v>0</v>
      </c>
      <c r="CT892" s="8">
        <f t="shared" si="647"/>
        <v>0</v>
      </c>
      <c r="CU892" s="8">
        <f t="shared" si="648"/>
        <v>0</v>
      </c>
      <c r="CV892" s="8">
        <f t="shared" si="649"/>
        <v>0</v>
      </c>
    </row>
    <row r="893" spans="1:100" ht="20.5" thickTop="1" thickBot="1" x14ac:dyDescent="0.5">
      <c r="A893" s="32"/>
      <c r="B893" s="10"/>
      <c r="C893" s="10"/>
      <c r="D893" s="11"/>
      <c r="E893" s="10"/>
      <c r="F893" s="10"/>
      <c r="G893" s="19"/>
      <c r="H893" s="19"/>
      <c r="I893" s="19"/>
      <c r="J893" s="19"/>
      <c r="K893" s="10"/>
      <c r="L893" s="10"/>
      <c r="M893" s="10"/>
      <c r="N893" s="10"/>
      <c r="O893" s="18"/>
      <c r="P893" s="18"/>
      <c r="Q893" s="21"/>
      <c r="R893" s="20"/>
      <c r="S893" s="16">
        <f t="shared" si="605"/>
        <v>0</v>
      </c>
      <c r="T893" s="11"/>
      <c r="AS893" s="31">
        <f t="shared" si="606"/>
        <v>0</v>
      </c>
      <c r="AT893" s="31">
        <f t="shared" si="607"/>
        <v>0</v>
      </c>
      <c r="AU893" s="31">
        <f t="shared" si="608"/>
        <v>0</v>
      </c>
      <c r="AV893" s="31">
        <f t="shared" si="609"/>
        <v>0</v>
      </c>
      <c r="AW893" s="31">
        <f t="shared" si="610"/>
        <v>0</v>
      </c>
      <c r="AX893" s="31">
        <f t="shared" si="611"/>
        <v>0</v>
      </c>
      <c r="AY893" s="31">
        <f t="shared" si="612"/>
        <v>0</v>
      </c>
      <c r="AZ893" s="31">
        <f t="shared" si="613"/>
        <v>0</v>
      </c>
      <c r="BA893" s="31">
        <f t="shared" si="614"/>
        <v>0</v>
      </c>
      <c r="BB893" s="31">
        <f t="shared" si="643"/>
        <v>0</v>
      </c>
      <c r="BM893" s="8">
        <f t="shared" si="644"/>
        <v>0</v>
      </c>
      <c r="BN893" s="8">
        <f t="shared" si="615"/>
        <v>0</v>
      </c>
      <c r="BO893" s="8">
        <f t="shared" si="616"/>
        <v>0</v>
      </c>
      <c r="BQ893" s="8">
        <f t="shared" si="617"/>
        <v>0</v>
      </c>
      <c r="BR893" s="63">
        <f t="shared" si="618"/>
        <v>0</v>
      </c>
      <c r="BS893" s="63">
        <f t="shared" si="645"/>
        <v>0</v>
      </c>
      <c r="BT893" s="63">
        <f t="shared" si="619"/>
        <v>0</v>
      </c>
      <c r="BU893" s="63">
        <f t="shared" si="620"/>
        <v>0</v>
      </c>
      <c r="BV893" s="57">
        <f t="shared" si="621"/>
        <v>0</v>
      </c>
      <c r="BW893" s="57">
        <f t="shared" si="622"/>
        <v>0</v>
      </c>
      <c r="BX893" s="57">
        <f t="shared" si="646"/>
        <v>0</v>
      </c>
      <c r="BY893" s="57">
        <f t="shared" si="650"/>
        <v>0</v>
      </c>
      <c r="BZ893" s="8">
        <f t="shared" si="623"/>
        <v>0</v>
      </c>
      <c r="CA893" s="8">
        <f t="shared" si="624"/>
        <v>0</v>
      </c>
      <c r="CB893" s="8">
        <f t="shared" si="625"/>
        <v>0</v>
      </c>
      <c r="CC893" s="8">
        <f t="shared" si="626"/>
        <v>0</v>
      </c>
      <c r="CD893" s="8">
        <f t="shared" si="627"/>
        <v>0</v>
      </c>
      <c r="CE893" s="8">
        <f t="shared" si="628"/>
        <v>0</v>
      </c>
      <c r="CF893" s="8">
        <f t="shared" si="629"/>
        <v>0</v>
      </c>
      <c r="CG893" s="8">
        <f t="shared" si="630"/>
        <v>0</v>
      </c>
      <c r="CH893" s="8">
        <f t="shared" si="631"/>
        <v>0</v>
      </c>
      <c r="CI893" s="8">
        <f t="shared" si="632"/>
        <v>0</v>
      </c>
      <c r="CJ893" s="8">
        <f t="shared" si="633"/>
        <v>0</v>
      </c>
      <c r="CK893" s="8">
        <f t="shared" si="634"/>
        <v>0</v>
      </c>
      <c r="CL893" s="8">
        <f t="shared" si="635"/>
        <v>0</v>
      </c>
      <c r="CM893" s="8">
        <f t="shared" si="636"/>
        <v>0</v>
      </c>
      <c r="CN893" s="8">
        <f t="shared" si="637"/>
        <v>0</v>
      </c>
      <c r="CO893" s="8">
        <f t="shared" si="638"/>
        <v>0</v>
      </c>
      <c r="CP893" s="8">
        <f t="shared" si="639"/>
        <v>0</v>
      </c>
      <c r="CQ893" s="8">
        <f t="shared" si="640"/>
        <v>0</v>
      </c>
      <c r="CR893" s="8">
        <f t="shared" si="641"/>
        <v>0</v>
      </c>
      <c r="CS893" s="8">
        <f t="shared" si="642"/>
        <v>0</v>
      </c>
      <c r="CT893" s="8">
        <f t="shared" si="647"/>
        <v>0</v>
      </c>
      <c r="CU893" s="8">
        <f t="shared" si="648"/>
        <v>0</v>
      </c>
      <c r="CV893" s="8">
        <f t="shared" si="649"/>
        <v>0</v>
      </c>
    </row>
    <row r="894" spans="1:100" ht="20.5" thickTop="1" thickBot="1" x14ac:dyDescent="0.5">
      <c r="A894" s="32"/>
      <c r="B894" s="10"/>
      <c r="C894" s="10"/>
      <c r="D894" s="11"/>
      <c r="E894" s="10"/>
      <c r="F894" s="10"/>
      <c r="G894" s="19"/>
      <c r="H894" s="19"/>
      <c r="I894" s="19"/>
      <c r="J894" s="19"/>
      <c r="K894" s="10"/>
      <c r="L894" s="10"/>
      <c r="M894" s="10"/>
      <c r="N894" s="10"/>
      <c r="O894" s="18"/>
      <c r="P894" s="18"/>
      <c r="Q894" s="21"/>
      <c r="R894" s="20"/>
      <c r="S894" s="16">
        <f t="shared" si="605"/>
        <v>0</v>
      </c>
      <c r="T894" s="11"/>
      <c r="AS894" s="31">
        <f t="shared" si="606"/>
        <v>0</v>
      </c>
      <c r="AT894" s="31">
        <f t="shared" si="607"/>
        <v>0</v>
      </c>
      <c r="AU894" s="31">
        <f t="shared" si="608"/>
        <v>0</v>
      </c>
      <c r="AV894" s="31">
        <f t="shared" si="609"/>
        <v>0</v>
      </c>
      <c r="AW894" s="31">
        <f t="shared" si="610"/>
        <v>0</v>
      </c>
      <c r="AX894" s="31">
        <f t="shared" si="611"/>
        <v>0</v>
      </c>
      <c r="AY894" s="31">
        <f t="shared" si="612"/>
        <v>0</v>
      </c>
      <c r="AZ894" s="31">
        <f t="shared" si="613"/>
        <v>0</v>
      </c>
      <c r="BA894" s="31">
        <f t="shared" si="614"/>
        <v>0</v>
      </c>
      <c r="BB894" s="31">
        <f t="shared" si="643"/>
        <v>0</v>
      </c>
      <c r="BM894" s="8">
        <f t="shared" si="644"/>
        <v>0</v>
      </c>
      <c r="BN894" s="8">
        <f t="shared" si="615"/>
        <v>0</v>
      </c>
      <c r="BO894" s="8">
        <f t="shared" si="616"/>
        <v>0</v>
      </c>
      <c r="BQ894" s="8">
        <f t="shared" si="617"/>
        <v>0</v>
      </c>
      <c r="BR894" s="63">
        <f t="shared" si="618"/>
        <v>0</v>
      </c>
      <c r="BS894" s="63">
        <f t="shared" si="645"/>
        <v>0</v>
      </c>
      <c r="BT894" s="63">
        <f t="shared" si="619"/>
        <v>0</v>
      </c>
      <c r="BU894" s="63">
        <f t="shared" si="620"/>
        <v>0</v>
      </c>
      <c r="BV894" s="57">
        <f t="shared" si="621"/>
        <v>0</v>
      </c>
      <c r="BW894" s="57">
        <f t="shared" si="622"/>
        <v>0</v>
      </c>
      <c r="BX894" s="57">
        <f t="shared" si="646"/>
        <v>0</v>
      </c>
      <c r="BY894" s="57">
        <f t="shared" si="650"/>
        <v>0</v>
      </c>
      <c r="BZ894" s="8">
        <f t="shared" si="623"/>
        <v>0</v>
      </c>
      <c r="CA894" s="8">
        <f t="shared" si="624"/>
        <v>0</v>
      </c>
      <c r="CB894" s="8">
        <f t="shared" si="625"/>
        <v>0</v>
      </c>
      <c r="CC894" s="8">
        <f t="shared" si="626"/>
        <v>0</v>
      </c>
      <c r="CD894" s="8">
        <f t="shared" si="627"/>
        <v>0</v>
      </c>
      <c r="CE894" s="8">
        <f t="shared" si="628"/>
        <v>0</v>
      </c>
      <c r="CF894" s="8">
        <f t="shared" si="629"/>
        <v>0</v>
      </c>
      <c r="CG894" s="8">
        <f t="shared" si="630"/>
        <v>0</v>
      </c>
      <c r="CH894" s="8">
        <f t="shared" si="631"/>
        <v>0</v>
      </c>
      <c r="CI894" s="8">
        <f t="shared" si="632"/>
        <v>0</v>
      </c>
      <c r="CJ894" s="8">
        <f t="shared" si="633"/>
        <v>0</v>
      </c>
      <c r="CK894" s="8">
        <f t="shared" si="634"/>
        <v>0</v>
      </c>
      <c r="CL894" s="8">
        <f t="shared" si="635"/>
        <v>0</v>
      </c>
      <c r="CM894" s="8">
        <f t="shared" si="636"/>
        <v>0</v>
      </c>
      <c r="CN894" s="8">
        <f t="shared" si="637"/>
        <v>0</v>
      </c>
      <c r="CO894" s="8">
        <f t="shared" si="638"/>
        <v>0</v>
      </c>
      <c r="CP894" s="8">
        <f t="shared" si="639"/>
        <v>0</v>
      </c>
      <c r="CQ894" s="8">
        <f t="shared" si="640"/>
        <v>0</v>
      </c>
      <c r="CR894" s="8">
        <f t="shared" si="641"/>
        <v>0</v>
      </c>
      <c r="CS894" s="8">
        <f t="shared" si="642"/>
        <v>0</v>
      </c>
      <c r="CT894" s="8">
        <f t="shared" si="647"/>
        <v>0</v>
      </c>
      <c r="CU894" s="8">
        <f t="shared" si="648"/>
        <v>0</v>
      </c>
      <c r="CV894" s="8">
        <f t="shared" si="649"/>
        <v>0</v>
      </c>
    </row>
    <row r="895" spans="1:100" ht="20.5" thickTop="1" thickBot="1" x14ac:dyDescent="0.5">
      <c r="A895" s="32"/>
      <c r="B895" s="10"/>
      <c r="C895" s="10"/>
      <c r="D895" s="11"/>
      <c r="E895" s="10"/>
      <c r="F895" s="10"/>
      <c r="G895" s="19"/>
      <c r="H895" s="19"/>
      <c r="I895" s="19"/>
      <c r="J895" s="19"/>
      <c r="K895" s="10"/>
      <c r="L895" s="10"/>
      <c r="M895" s="10"/>
      <c r="N895" s="10"/>
      <c r="O895" s="18"/>
      <c r="P895" s="18"/>
      <c r="Q895" s="21"/>
      <c r="R895" s="20"/>
      <c r="S895" s="16">
        <f t="shared" si="605"/>
        <v>0</v>
      </c>
      <c r="T895" s="11"/>
      <c r="AS895" s="31">
        <f t="shared" si="606"/>
        <v>0</v>
      </c>
      <c r="AT895" s="31">
        <f t="shared" si="607"/>
        <v>0</v>
      </c>
      <c r="AU895" s="31">
        <f t="shared" si="608"/>
        <v>0</v>
      </c>
      <c r="AV895" s="31">
        <f t="shared" si="609"/>
        <v>0</v>
      </c>
      <c r="AW895" s="31">
        <f t="shared" si="610"/>
        <v>0</v>
      </c>
      <c r="AX895" s="31">
        <f t="shared" si="611"/>
        <v>0</v>
      </c>
      <c r="AY895" s="31">
        <f t="shared" si="612"/>
        <v>0</v>
      </c>
      <c r="AZ895" s="31">
        <f t="shared" si="613"/>
        <v>0</v>
      </c>
      <c r="BA895" s="31">
        <f t="shared" si="614"/>
        <v>0</v>
      </c>
      <c r="BB895" s="31">
        <f t="shared" si="643"/>
        <v>0</v>
      </c>
      <c r="BM895" s="8">
        <f t="shared" si="644"/>
        <v>0</v>
      </c>
      <c r="BN895" s="8">
        <f t="shared" si="615"/>
        <v>0</v>
      </c>
      <c r="BO895" s="8">
        <f t="shared" si="616"/>
        <v>0</v>
      </c>
      <c r="BQ895" s="8">
        <f t="shared" si="617"/>
        <v>0</v>
      </c>
      <c r="BR895" s="63">
        <f t="shared" si="618"/>
        <v>0</v>
      </c>
      <c r="BS895" s="63">
        <f t="shared" si="645"/>
        <v>0</v>
      </c>
      <c r="BT895" s="63">
        <f t="shared" si="619"/>
        <v>0</v>
      </c>
      <c r="BU895" s="63">
        <f t="shared" si="620"/>
        <v>0</v>
      </c>
      <c r="BV895" s="57">
        <f t="shared" si="621"/>
        <v>0</v>
      </c>
      <c r="BW895" s="57">
        <f t="shared" si="622"/>
        <v>0</v>
      </c>
      <c r="BX895" s="57">
        <f t="shared" si="646"/>
        <v>0</v>
      </c>
      <c r="BY895" s="57">
        <f t="shared" si="650"/>
        <v>0</v>
      </c>
      <c r="BZ895" s="8">
        <f t="shared" si="623"/>
        <v>0</v>
      </c>
      <c r="CA895" s="8">
        <f t="shared" si="624"/>
        <v>0</v>
      </c>
      <c r="CB895" s="8">
        <f t="shared" si="625"/>
        <v>0</v>
      </c>
      <c r="CC895" s="8">
        <f t="shared" si="626"/>
        <v>0</v>
      </c>
      <c r="CD895" s="8">
        <f t="shared" si="627"/>
        <v>0</v>
      </c>
      <c r="CE895" s="8">
        <f t="shared" si="628"/>
        <v>0</v>
      </c>
      <c r="CF895" s="8">
        <f t="shared" si="629"/>
        <v>0</v>
      </c>
      <c r="CG895" s="8">
        <f t="shared" si="630"/>
        <v>0</v>
      </c>
      <c r="CH895" s="8">
        <f t="shared" si="631"/>
        <v>0</v>
      </c>
      <c r="CI895" s="8">
        <f t="shared" si="632"/>
        <v>0</v>
      </c>
      <c r="CJ895" s="8">
        <f t="shared" si="633"/>
        <v>0</v>
      </c>
      <c r="CK895" s="8">
        <f t="shared" si="634"/>
        <v>0</v>
      </c>
      <c r="CL895" s="8">
        <f t="shared" si="635"/>
        <v>0</v>
      </c>
      <c r="CM895" s="8">
        <f t="shared" si="636"/>
        <v>0</v>
      </c>
      <c r="CN895" s="8">
        <f t="shared" si="637"/>
        <v>0</v>
      </c>
      <c r="CO895" s="8">
        <f t="shared" si="638"/>
        <v>0</v>
      </c>
      <c r="CP895" s="8">
        <f t="shared" si="639"/>
        <v>0</v>
      </c>
      <c r="CQ895" s="8">
        <f t="shared" si="640"/>
        <v>0</v>
      </c>
      <c r="CR895" s="8">
        <f t="shared" si="641"/>
        <v>0</v>
      </c>
      <c r="CS895" s="8">
        <f t="shared" si="642"/>
        <v>0</v>
      </c>
      <c r="CT895" s="8">
        <f t="shared" si="647"/>
        <v>0</v>
      </c>
      <c r="CU895" s="8">
        <f t="shared" si="648"/>
        <v>0</v>
      </c>
      <c r="CV895" s="8">
        <f t="shared" si="649"/>
        <v>0</v>
      </c>
    </row>
    <row r="896" spans="1:100" ht="20.5" thickTop="1" thickBot="1" x14ac:dyDescent="0.5">
      <c r="A896" s="32"/>
      <c r="B896" s="10"/>
      <c r="C896" s="10"/>
      <c r="D896" s="11"/>
      <c r="E896" s="10"/>
      <c r="F896" s="10"/>
      <c r="G896" s="19"/>
      <c r="H896" s="19"/>
      <c r="I896" s="19"/>
      <c r="J896" s="19"/>
      <c r="K896" s="10"/>
      <c r="L896" s="10"/>
      <c r="M896" s="10"/>
      <c r="N896" s="10"/>
      <c r="O896" s="18"/>
      <c r="P896" s="18"/>
      <c r="Q896" s="21"/>
      <c r="R896" s="20"/>
      <c r="S896" s="16">
        <f t="shared" si="605"/>
        <v>0</v>
      </c>
      <c r="T896" s="11"/>
      <c r="AS896" s="31">
        <f t="shared" si="606"/>
        <v>0</v>
      </c>
      <c r="AT896" s="31">
        <f t="shared" si="607"/>
        <v>0</v>
      </c>
      <c r="AU896" s="31">
        <f t="shared" si="608"/>
        <v>0</v>
      </c>
      <c r="AV896" s="31">
        <f t="shared" si="609"/>
        <v>0</v>
      </c>
      <c r="AW896" s="31">
        <f t="shared" si="610"/>
        <v>0</v>
      </c>
      <c r="AX896" s="31">
        <f t="shared" si="611"/>
        <v>0</v>
      </c>
      <c r="AY896" s="31">
        <f t="shared" si="612"/>
        <v>0</v>
      </c>
      <c r="AZ896" s="31">
        <f t="shared" si="613"/>
        <v>0</v>
      </c>
      <c r="BA896" s="31">
        <f t="shared" si="614"/>
        <v>0</v>
      </c>
      <c r="BB896" s="31">
        <f t="shared" si="643"/>
        <v>0</v>
      </c>
      <c r="BM896" s="8">
        <f t="shared" si="644"/>
        <v>0</v>
      </c>
      <c r="BN896" s="8">
        <f t="shared" si="615"/>
        <v>0</v>
      </c>
      <c r="BO896" s="8">
        <f t="shared" si="616"/>
        <v>0</v>
      </c>
      <c r="BQ896" s="8">
        <f t="shared" si="617"/>
        <v>0</v>
      </c>
      <c r="BR896" s="63">
        <f t="shared" si="618"/>
        <v>0</v>
      </c>
      <c r="BS896" s="63">
        <f t="shared" si="645"/>
        <v>0</v>
      </c>
      <c r="BT896" s="63">
        <f t="shared" si="619"/>
        <v>0</v>
      </c>
      <c r="BU896" s="63">
        <f t="shared" si="620"/>
        <v>0</v>
      </c>
      <c r="BV896" s="57">
        <f t="shared" si="621"/>
        <v>0</v>
      </c>
      <c r="BW896" s="57">
        <f t="shared" si="622"/>
        <v>0</v>
      </c>
      <c r="BX896" s="57">
        <f t="shared" si="646"/>
        <v>0</v>
      </c>
      <c r="BY896" s="57">
        <f t="shared" si="650"/>
        <v>0</v>
      </c>
      <c r="BZ896" s="8">
        <f t="shared" si="623"/>
        <v>0</v>
      </c>
      <c r="CA896" s="8">
        <f t="shared" si="624"/>
        <v>0</v>
      </c>
      <c r="CB896" s="8">
        <f t="shared" si="625"/>
        <v>0</v>
      </c>
      <c r="CC896" s="8">
        <f t="shared" si="626"/>
        <v>0</v>
      </c>
      <c r="CD896" s="8">
        <f t="shared" si="627"/>
        <v>0</v>
      </c>
      <c r="CE896" s="8">
        <f t="shared" si="628"/>
        <v>0</v>
      </c>
      <c r="CF896" s="8">
        <f t="shared" si="629"/>
        <v>0</v>
      </c>
      <c r="CG896" s="8">
        <f t="shared" si="630"/>
        <v>0</v>
      </c>
      <c r="CH896" s="8">
        <f t="shared" si="631"/>
        <v>0</v>
      </c>
      <c r="CI896" s="8">
        <f t="shared" si="632"/>
        <v>0</v>
      </c>
      <c r="CJ896" s="8">
        <f t="shared" si="633"/>
        <v>0</v>
      </c>
      <c r="CK896" s="8">
        <f t="shared" si="634"/>
        <v>0</v>
      </c>
      <c r="CL896" s="8">
        <f t="shared" si="635"/>
        <v>0</v>
      </c>
      <c r="CM896" s="8">
        <f t="shared" si="636"/>
        <v>0</v>
      </c>
      <c r="CN896" s="8">
        <f t="shared" si="637"/>
        <v>0</v>
      </c>
      <c r="CO896" s="8">
        <f t="shared" si="638"/>
        <v>0</v>
      </c>
      <c r="CP896" s="8">
        <f t="shared" si="639"/>
        <v>0</v>
      </c>
      <c r="CQ896" s="8">
        <f t="shared" si="640"/>
        <v>0</v>
      </c>
      <c r="CR896" s="8">
        <f t="shared" si="641"/>
        <v>0</v>
      </c>
      <c r="CS896" s="8">
        <f t="shared" si="642"/>
        <v>0</v>
      </c>
      <c r="CT896" s="8">
        <f t="shared" si="647"/>
        <v>0</v>
      </c>
      <c r="CU896" s="8">
        <f t="shared" si="648"/>
        <v>0</v>
      </c>
      <c r="CV896" s="8">
        <f t="shared" si="649"/>
        <v>0</v>
      </c>
    </row>
    <row r="897" spans="1:100" ht="20.5" thickTop="1" thickBot="1" x14ac:dyDescent="0.5">
      <c r="A897" s="32"/>
      <c r="B897" s="10"/>
      <c r="C897" s="10"/>
      <c r="D897" s="11"/>
      <c r="E897" s="10"/>
      <c r="F897" s="10"/>
      <c r="G897" s="19"/>
      <c r="H897" s="19"/>
      <c r="I897" s="19"/>
      <c r="J897" s="19"/>
      <c r="K897" s="10"/>
      <c r="L897" s="10"/>
      <c r="M897" s="10"/>
      <c r="N897" s="10"/>
      <c r="O897" s="18"/>
      <c r="P897" s="18"/>
      <c r="Q897" s="21"/>
      <c r="R897" s="20"/>
      <c r="S897" s="16">
        <f t="shared" si="605"/>
        <v>0</v>
      </c>
      <c r="T897" s="11"/>
      <c r="AS897" s="31">
        <f t="shared" si="606"/>
        <v>0</v>
      </c>
      <c r="AT897" s="31">
        <f t="shared" si="607"/>
        <v>0</v>
      </c>
      <c r="AU897" s="31">
        <f t="shared" si="608"/>
        <v>0</v>
      </c>
      <c r="AV897" s="31">
        <f t="shared" si="609"/>
        <v>0</v>
      </c>
      <c r="AW897" s="31">
        <f t="shared" si="610"/>
        <v>0</v>
      </c>
      <c r="AX897" s="31">
        <f t="shared" si="611"/>
        <v>0</v>
      </c>
      <c r="AY897" s="31">
        <f t="shared" si="612"/>
        <v>0</v>
      </c>
      <c r="AZ897" s="31">
        <f t="shared" si="613"/>
        <v>0</v>
      </c>
      <c r="BA897" s="31">
        <f t="shared" si="614"/>
        <v>0</v>
      </c>
      <c r="BB897" s="31">
        <f t="shared" si="643"/>
        <v>0</v>
      </c>
      <c r="BM897" s="8">
        <f t="shared" si="644"/>
        <v>0</v>
      </c>
      <c r="BN897" s="8">
        <f t="shared" si="615"/>
        <v>0</v>
      </c>
      <c r="BO897" s="8">
        <f t="shared" si="616"/>
        <v>0</v>
      </c>
      <c r="BQ897" s="8">
        <f t="shared" si="617"/>
        <v>0</v>
      </c>
      <c r="BR897" s="63">
        <f t="shared" si="618"/>
        <v>0</v>
      </c>
      <c r="BS897" s="63">
        <f t="shared" si="645"/>
        <v>0</v>
      </c>
      <c r="BT897" s="63">
        <f t="shared" si="619"/>
        <v>0</v>
      </c>
      <c r="BU897" s="63">
        <f t="shared" si="620"/>
        <v>0</v>
      </c>
      <c r="BV897" s="57">
        <f t="shared" si="621"/>
        <v>0</v>
      </c>
      <c r="BW897" s="57">
        <f t="shared" si="622"/>
        <v>0</v>
      </c>
      <c r="BX897" s="57">
        <f t="shared" si="646"/>
        <v>0</v>
      </c>
      <c r="BY897" s="57">
        <f t="shared" si="650"/>
        <v>0</v>
      </c>
      <c r="BZ897" s="8">
        <f t="shared" si="623"/>
        <v>0</v>
      </c>
      <c r="CA897" s="8">
        <f t="shared" si="624"/>
        <v>0</v>
      </c>
      <c r="CB897" s="8">
        <f t="shared" si="625"/>
        <v>0</v>
      </c>
      <c r="CC897" s="8">
        <f t="shared" si="626"/>
        <v>0</v>
      </c>
      <c r="CD897" s="8">
        <f t="shared" si="627"/>
        <v>0</v>
      </c>
      <c r="CE897" s="8">
        <f t="shared" si="628"/>
        <v>0</v>
      </c>
      <c r="CF897" s="8">
        <f t="shared" si="629"/>
        <v>0</v>
      </c>
      <c r="CG897" s="8">
        <f t="shared" si="630"/>
        <v>0</v>
      </c>
      <c r="CH897" s="8">
        <f t="shared" si="631"/>
        <v>0</v>
      </c>
      <c r="CI897" s="8">
        <f t="shared" si="632"/>
        <v>0</v>
      </c>
      <c r="CJ897" s="8">
        <f t="shared" si="633"/>
        <v>0</v>
      </c>
      <c r="CK897" s="8">
        <f t="shared" si="634"/>
        <v>0</v>
      </c>
      <c r="CL897" s="8">
        <f t="shared" si="635"/>
        <v>0</v>
      </c>
      <c r="CM897" s="8">
        <f t="shared" si="636"/>
        <v>0</v>
      </c>
      <c r="CN897" s="8">
        <f t="shared" si="637"/>
        <v>0</v>
      </c>
      <c r="CO897" s="8">
        <f t="shared" si="638"/>
        <v>0</v>
      </c>
      <c r="CP897" s="8">
        <f t="shared" si="639"/>
        <v>0</v>
      </c>
      <c r="CQ897" s="8">
        <f t="shared" si="640"/>
        <v>0</v>
      </c>
      <c r="CR897" s="8">
        <f t="shared" si="641"/>
        <v>0</v>
      </c>
      <c r="CS897" s="8">
        <f t="shared" si="642"/>
        <v>0</v>
      </c>
      <c r="CT897" s="8">
        <f t="shared" si="647"/>
        <v>0</v>
      </c>
      <c r="CU897" s="8">
        <f t="shared" si="648"/>
        <v>0</v>
      </c>
      <c r="CV897" s="8">
        <f t="shared" si="649"/>
        <v>0</v>
      </c>
    </row>
    <row r="898" spans="1:100" ht="20.5" thickTop="1" thickBot="1" x14ac:dyDescent="0.5">
      <c r="A898" s="32"/>
      <c r="B898" s="10"/>
      <c r="C898" s="10"/>
      <c r="D898" s="11"/>
      <c r="E898" s="10"/>
      <c r="F898" s="10"/>
      <c r="G898" s="19"/>
      <c r="H898" s="19"/>
      <c r="I898" s="19"/>
      <c r="J898" s="19"/>
      <c r="K898" s="10"/>
      <c r="L898" s="10"/>
      <c r="M898" s="10"/>
      <c r="N898" s="10"/>
      <c r="O898" s="18"/>
      <c r="P898" s="18"/>
      <c r="Q898" s="21"/>
      <c r="R898" s="20"/>
      <c r="S898" s="16">
        <f t="shared" si="605"/>
        <v>0</v>
      </c>
      <c r="T898" s="11"/>
      <c r="AS898" s="31">
        <f t="shared" si="606"/>
        <v>0</v>
      </c>
      <c r="AT898" s="31">
        <f t="shared" si="607"/>
        <v>0</v>
      </c>
      <c r="AU898" s="31">
        <f t="shared" si="608"/>
        <v>0</v>
      </c>
      <c r="AV898" s="31">
        <f t="shared" si="609"/>
        <v>0</v>
      </c>
      <c r="AW898" s="31">
        <f t="shared" si="610"/>
        <v>0</v>
      </c>
      <c r="AX898" s="31">
        <f t="shared" si="611"/>
        <v>0</v>
      </c>
      <c r="AY898" s="31">
        <f t="shared" si="612"/>
        <v>0</v>
      </c>
      <c r="AZ898" s="31">
        <f t="shared" si="613"/>
        <v>0</v>
      </c>
      <c r="BA898" s="31">
        <f t="shared" si="614"/>
        <v>0</v>
      </c>
      <c r="BB898" s="31">
        <f t="shared" si="643"/>
        <v>0</v>
      </c>
      <c r="BM898" s="8">
        <f t="shared" si="644"/>
        <v>0</v>
      </c>
      <c r="BN898" s="8">
        <f t="shared" si="615"/>
        <v>0</v>
      </c>
      <c r="BO898" s="8">
        <f t="shared" si="616"/>
        <v>0</v>
      </c>
      <c r="BQ898" s="8">
        <f t="shared" si="617"/>
        <v>0</v>
      </c>
      <c r="BR898" s="63">
        <f t="shared" si="618"/>
        <v>0</v>
      </c>
      <c r="BS898" s="63">
        <f t="shared" si="645"/>
        <v>0</v>
      </c>
      <c r="BT898" s="63">
        <f t="shared" si="619"/>
        <v>0</v>
      </c>
      <c r="BU898" s="63">
        <f t="shared" si="620"/>
        <v>0</v>
      </c>
      <c r="BV898" s="57">
        <f t="shared" si="621"/>
        <v>0</v>
      </c>
      <c r="BW898" s="57">
        <f t="shared" si="622"/>
        <v>0</v>
      </c>
      <c r="BX898" s="57">
        <f t="shared" si="646"/>
        <v>0</v>
      </c>
      <c r="BY898" s="57">
        <f t="shared" si="650"/>
        <v>0</v>
      </c>
      <c r="BZ898" s="8">
        <f t="shared" si="623"/>
        <v>0</v>
      </c>
      <c r="CA898" s="8">
        <f t="shared" si="624"/>
        <v>0</v>
      </c>
      <c r="CB898" s="8">
        <f t="shared" si="625"/>
        <v>0</v>
      </c>
      <c r="CC898" s="8">
        <f t="shared" si="626"/>
        <v>0</v>
      </c>
      <c r="CD898" s="8">
        <f t="shared" si="627"/>
        <v>0</v>
      </c>
      <c r="CE898" s="8">
        <f t="shared" si="628"/>
        <v>0</v>
      </c>
      <c r="CF898" s="8">
        <f t="shared" si="629"/>
        <v>0</v>
      </c>
      <c r="CG898" s="8">
        <f t="shared" si="630"/>
        <v>0</v>
      </c>
      <c r="CH898" s="8">
        <f t="shared" si="631"/>
        <v>0</v>
      </c>
      <c r="CI898" s="8">
        <f t="shared" si="632"/>
        <v>0</v>
      </c>
      <c r="CJ898" s="8">
        <f t="shared" si="633"/>
        <v>0</v>
      </c>
      <c r="CK898" s="8">
        <f t="shared" si="634"/>
        <v>0</v>
      </c>
      <c r="CL898" s="8">
        <f t="shared" si="635"/>
        <v>0</v>
      </c>
      <c r="CM898" s="8">
        <f t="shared" si="636"/>
        <v>0</v>
      </c>
      <c r="CN898" s="8">
        <f t="shared" si="637"/>
        <v>0</v>
      </c>
      <c r="CO898" s="8">
        <f t="shared" si="638"/>
        <v>0</v>
      </c>
      <c r="CP898" s="8">
        <f t="shared" si="639"/>
        <v>0</v>
      </c>
      <c r="CQ898" s="8">
        <f t="shared" si="640"/>
        <v>0</v>
      </c>
      <c r="CR898" s="8">
        <f t="shared" si="641"/>
        <v>0</v>
      </c>
      <c r="CS898" s="8">
        <f t="shared" si="642"/>
        <v>0</v>
      </c>
      <c r="CT898" s="8">
        <f t="shared" si="647"/>
        <v>0</v>
      </c>
      <c r="CU898" s="8">
        <f t="shared" si="648"/>
        <v>0</v>
      </c>
      <c r="CV898" s="8">
        <f t="shared" si="649"/>
        <v>0</v>
      </c>
    </row>
    <row r="899" spans="1:100" ht="20.5" thickTop="1" thickBot="1" x14ac:dyDescent="0.5">
      <c r="A899" s="32"/>
      <c r="B899" s="10"/>
      <c r="C899" s="10"/>
      <c r="D899" s="11"/>
      <c r="E899" s="10"/>
      <c r="F899" s="10"/>
      <c r="G899" s="19"/>
      <c r="H899" s="19"/>
      <c r="I899" s="19"/>
      <c r="J899" s="19"/>
      <c r="K899" s="10"/>
      <c r="L899" s="10"/>
      <c r="M899" s="10"/>
      <c r="N899" s="10"/>
      <c r="O899" s="18"/>
      <c r="P899" s="18"/>
      <c r="Q899" s="21"/>
      <c r="R899" s="20"/>
      <c r="S899" s="16">
        <f t="shared" si="605"/>
        <v>0</v>
      </c>
      <c r="T899" s="11"/>
      <c r="AS899" s="31">
        <f t="shared" si="606"/>
        <v>0</v>
      </c>
      <c r="AT899" s="31">
        <f t="shared" si="607"/>
        <v>0</v>
      </c>
      <c r="AU899" s="31">
        <f t="shared" si="608"/>
        <v>0</v>
      </c>
      <c r="AV899" s="31">
        <f t="shared" si="609"/>
        <v>0</v>
      </c>
      <c r="AW899" s="31">
        <f t="shared" si="610"/>
        <v>0</v>
      </c>
      <c r="AX899" s="31">
        <f t="shared" si="611"/>
        <v>0</v>
      </c>
      <c r="AY899" s="31">
        <f t="shared" si="612"/>
        <v>0</v>
      </c>
      <c r="AZ899" s="31">
        <f t="shared" si="613"/>
        <v>0</v>
      </c>
      <c r="BA899" s="31">
        <f t="shared" si="614"/>
        <v>0</v>
      </c>
      <c r="BB899" s="31">
        <f t="shared" si="643"/>
        <v>0</v>
      </c>
      <c r="BM899" s="8">
        <f t="shared" si="644"/>
        <v>0</v>
      </c>
      <c r="BN899" s="8">
        <f t="shared" si="615"/>
        <v>0</v>
      </c>
      <c r="BO899" s="8">
        <f t="shared" si="616"/>
        <v>0</v>
      </c>
      <c r="BQ899" s="8">
        <f t="shared" si="617"/>
        <v>0</v>
      </c>
      <c r="BR899" s="63">
        <f t="shared" si="618"/>
        <v>0</v>
      </c>
      <c r="BS899" s="63">
        <f t="shared" si="645"/>
        <v>0</v>
      </c>
      <c r="BT899" s="63">
        <f t="shared" si="619"/>
        <v>0</v>
      </c>
      <c r="BU899" s="63">
        <f t="shared" si="620"/>
        <v>0</v>
      </c>
      <c r="BV899" s="57">
        <f t="shared" si="621"/>
        <v>0</v>
      </c>
      <c r="BW899" s="57">
        <f t="shared" si="622"/>
        <v>0</v>
      </c>
      <c r="BX899" s="57">
        <f t="shared" si="646"/>
        <v>0</v>
      </c>
      <c r="BY899" s="57">
        <f t="shared" si="650"/>
        <v>0</v>
      </c>
      <c r="BZ899" s="8">
        <f t="shared" si="623"/>
        <v>0</v>
      </c>
      <c r="CA899" s="8">
        <f t="shared" si="624"/>
        <v>0</v>
      </c>
      <c r="CB899" s="8">
        <f t="shared" si="625"/>
        <v>0</v>
      </c>
      <c r="CC899" s="8">
        <f t="shared" si="626"/>
        <v>0</v>
      </c>
      <c r="CD899" s="8">
        <f t="shared" si="627"/>
        <v>0</v>
      </c>
      <c r="CE899" s="8">
        <f t="shared" si="628"/>
        <v>0</v>
      </c>
      <c r="CF899" s="8">
        <f t="shared" si="629"/>
        <v>0</v>
      </c>
      <c r="CG899" s="8">
        <f t="shared" si="630"/>
        <v>0</v>
      </c>
      <c r="CH899" s="8">
        <f t="shared" si="631"/>
        <v>0</v>
      </c>
      <c r="CI899" s="8">
        <f t="shared" si="632"/>
        <v>0</v>
      </c>
      <c r="CJ899" s="8">
        <f t="shared" si="633"/>
        <v>0</v>
      </c>
      <c r="CK899" s="8">
        <f t="shared" si="634"/>
        <v>0</v>
      </c>
      <c r="CL899" s="8">
        <f t="shared" si="635"/>
        <v>0</v>
      </c>
      <c r="CM899" s="8">
        <f t="shared" si="636"/>
        <v>0</v>
      </c>
      <c r="CN899" s="8">
        <f t="shared" si="637"/>
        <v>0</v>
      </c>
      <c r="CO899" s="8">
        <f t="shared" si="638"/>
        <v>0</v>
      </c>
      <c r="CP899" s="8">
        <f t="shared" si="639"/>
        <v>0</v>
      </c>
      <c r="CQ899" s="8">
        <f t="shared" si="640"/>
        <v>0</v>
      </c>
      <c r="CR899" s="8">
        <f t="shared" si="641"/>
        <v>0</v>
      </c>
      <c r="CS899" s="8">
        <f t="shared" si="642"/>
        <v>0</v>
      </c>
      <c r="CT899" s="8">
        <f t="shared" si="647"/>
        <v>0</v>
      </c>
      <c r="CU899" s="8">
        <f t="shared" si="648"/>
        <v>0</v>
      </c>
      <c r="CV899" s="8">
        <f t="shared" si="649"/>
        <v>0</v>
      </c>
    </row>
    <row r="900" spans="1:100" ht="20.5" thickTop="1" thickBot="1" x14ac:dyDescent="0.5">
      <c r="A900" s="32"/>
      <c r="B900" s="10"/>
      <c r="C900" s="10"/>
      <c r="D900" s="11"/>
      <c r="E900" s="10"/>
      <c r="F900" s="10"/>
      <c r="G900" s="19"/>
      <c r="H900" s="19"/>
      <c r="I900" s="19"/>
      <c r="J900" s="19"/>
      <c r="K900" s="10"/>
      <c r="L900" s="10"/>
      <c r="M900" s="10"/>
      <c r="N900" s="10"/>
      <c r="O900" s="18"/>
      <c r="P900" s="18"/>
      <c r="Q900" s="21"/>
      <c r="R900" s="20"/>
      <c r="S900" s="16">
        <f t="shared" ref="S900:S963" si="651">IF(AND(K900="asphalted",M900="sub",BV900&lt;=1,BV900&gt;0),1+2*0.15,IF(AND(K900="asphalted",OR(M900="main",M900="MOT"),BV900&lt;=1,BV900&gt;0),1+2*0.3,IF(AND(K900="asphalted",M900="sub",BV900&gt;1),BV900+2*0.15,IF(AND(K900="asphalted",OR(M900="main",M900="MOT"),BV900&gt;1),BV900+2*0.3,0))))</f>
        <v>0</v>
      </c>
      <c r="T900" s="11"/>
      <c r="AS900" s="31">
        <f t="shared" ref="AS900:AS963" si="652">IF(F900=1,0.4,IF(F900&gt;1,F900*0.3,0))</f>
        <v>0</v>
      </c>
      <c r="AT900" s="31">
        <f t="shared" ref="AT900:AT963" si="653">IF(AND(G900&lt;4,G900&gt;0),0.4,IF(G900&gt;3,0.4+(G900-3)*0.1,0))</f>
        <v>0</v>
      </c>
      <c r="AU900" s="31">
        <f t="shared" ref="AU900:AU963" si="654">AT900-AS900</f>
        <v>0</v>
      </c>
      <c r="AV900" s="31">
        <f t="shared" ref="AV900:AV963" si="655">IF(AND(OR(OR(E900="normal",E900="special"),E900="special"),F900=0,G900&gt;0,G900&lt;5),"LV"&amp;G900,IF(AND(OR(OR(E900="normal",E900="special"),E900="special"),F900=0,G900&gt;4),"LVCU",IF(AND(OR(OR(E900="normal",E900="special"),E900="special"),F900&gt;4),"MVCU",IF(AND(OR(OR(E900="normal",E900="special"),E900="special"),F900&gt;0,F900&lt;5),"MV"&amp;F900,IF(AND(E900="mini-trench",F900=1),"mini-trench MV",IF(AND(E900="mini-trench",G900&lt;3,G900&lt;&gt;0),"mini-trench LV",0))))))</f>
        <v>0</v>
      </c>
      <c r="AW900" s="31">
        <f t="shared" ref="AW900:AW963" si="656">IF(B900="joint",F900,0)+IF(C900="joint",F900,0)+IF(OR(B900="new ss",B900="ss"),F900*3)+IF(B900="pole",F900*10)+IF(OR(C900="new ss",C900="ss"),F900*3)+IF(C900="pole",F900*10)+IF(B900="grid",F900*30)+IF(C900="grid",F900*30)</f>
        <v>0</v>
      </c>
      <c r="AX900" s="31">
        <f t="shared" ref="AX900:AX963" si="657">IF(J900&gt;0,IF(OR(B900="ss",C900="ss"),J900*3,0)+IF(OR(B900="new ss",C900="new ss"),J900*3,0)+IF(OR(B900="DC",C900="DC"),J900*1.5,0)+IF(OR(B900="new DC",C900="new DC"),J900*1.5,0)+IF(OR(B900="MB",C900="MB"),J900*2,0)+IF(OR(B900="pole",C900="pole"),J900*10,0),0)</f>
        <v>0</v>
      </c>
      <c r="AY900" s="31">
        <f t="shared" ref="AY900:AY963" si="658">IF(I900&gt;0,IF(OR(B900="ss",C900="ss"),I900*3,0)+IF(OR(B900="new ss",C900="new ss"),I900*3,0)+IF(OR(B900="DC",C900="DC"),I900*1.5,0)+IF(OR(B900="new DC",C900="new DC"),J900*1.5,0)+IF(OR(B900="MB",C900="MB"),I900*2,0)+IF(OR(B900="pole",C900="pole"),I900*10,0),0)</f>
        <v>0</v>
      </c>
      <c r="AZ900" s="31">
        <f t="shared" ref="AZ900:AZ963" si="659">IF(H900&gt;0,IF(OR(B900="ss",C900="ss"),H900*3,0)+IF(OR(B900="new ss",C900="new ss"),H900*3,0)+IF(OR(B900="DC",C900="DC"),H900*2,0)+IF(OR(B900="new DC",C900="new DC"),H900*1.5,0)+IF(OR(B900="MB",C900="MB"),H900*2,0)+IF(OR(B900="pole",C900="pole"),H900*10,0)+IF(OR(B900="pole",C900="pole"),H900*10,0),0)</f>
        <v>0</v>
      </c>
      <c r="BA900" s="31">
        <f t="shared" ref="BA900:BA963" si="660">IF(E900="manual",IF(AU900&lt;0,D900*AS900*0.8,IF(AND(AS900&gt;0,AU900&gt;0),D900*AS900*0.8+D900*AU900*0.65,IF(AND(AS900=0,AT900&gt;0),D900*AT900*0.65,0))),0)</f>
        <v>0</v>
      </c>
      <c r="BB900" s="31">
        <f t="shared" si="643"/>
        <v>0</v>
      </c>
      <c r="BM900" s="8">
        <f t="shared" si="644"/>
        <v>0</v>
      </c>
      <c r="BN900" s="8">
        <f t="shared" ref="BN900:BN963" si="661">IFERROR(IF(AND(K900="asphalted",E900="mini-trench",R900=""),1*D900,IF(AND(K900="asphalted",R900&gt;0,MandRcalc="Complete M&amp;R area"),R900*D900,IF(AND(K900="asphalted",R900&gt;0,MandRcalc="M&amp;R area - asphalting area"),(R900-BR900/D900)*D900,0))),0)</f>
        <v>0</v>
      </c>
      <c r="BO900" s="8">
        <f t="shared" ref="BO900:BO963" si="662">IF(BQ900&lt;MINEXCNA,0,IF(AND(E900="normal",F900&lt;5,G900&lt;12,K900&lt;&gt;"asphalted",AT900&gt;AS900,AS900&lt;&gt;0),(BQ900-AT900)*0.65,IF(AND(E900="normal",F900&lt;5,G900&lt;12,K900&lt;&gt;"asphalted",AS900&gt;=AT900),(BQ900-AS900)*0.8,IF(AND(E900="normal",F900&lt;5,G900&lt;12,K900&lt;&gt;"asphalted",AT900&gt;0,AS900=0),(BQ900-AT900)*0.65,0)))*D900)</f>
        <v>0</v>
      </c>
      <c r="BQ900" s="8">
        <f t="shared" ref="BQ900:BQ963" si="663">IF(E900="special",O900,IF(AND(OR(E900="normal",E900="manual"),O900="",K900="asphalted",BV900&lt;=MINEXC),MINEXC,IF(AND(OR(E900="normal",E900="manual"),O900&lt;&gt;"",K900="asphalted"),MIN(O900,BV900),IF(AND(OR(E900="normal",E900="manual"),O900="",K900&lt;&gt;"asphalted",BV900&lt;=MINEXCNA),MINEXCNA,IF(AND(OR(E900="normal",E900="manual"),O900&lt;&gt;"",K900&lt;&gt;"asphalted"),MIN(O900,BV900),BV900)))))</f>
        <v>0</v>
      </c>
      <c r="BR900" s="63">
        <f t="shared" ref="BR900:BR963" si="664">IFERROR(IF(AND(E900&lt;&gt;"mini-trecnh",K900="asphalted",Q900&lt;&gt;"",S900=0),D900*Q900,IF(AND(E900&lt;&gt;"mini-trecnh",K900="asphalted",Q900&lt;&gt;"",S900&lt;&gt;0),D900*MIN(Q900,S900),IF(AND(E900&lt;&gt;"mini-trecnh",K900="asphalted",Q900=""),D900*S900,0))),0)</f>
        <v>0</v>
      </c>
      <c r="BS900" s="63">
        <f t="shared" si="645"/>
        <v>0</v>
      </c>
      <c r="BT900" s="63">
        <f t="shared" ref="BT900:BT963" si="665">IF(BQ900&lt;MINEXC,0,IF(AND(E900="normal",F900&lt;5,G900&lt;12,K900="asphalted",AT900&gt;AS900,AS900&lt;&gt;0),(BQ900-AT900)*0.65,IF(AND(E900="normal",F900&lt;5,G900&lt;12,K900="asphalted",AS900&gt;=AT900),(BQ900-AS900)*0.8,IF(AND(E900="normal",F900&lt;5,G900&lt;12,K900="asphalted",AT900&gt;0,AS900=0),(BQ900-AT900)*0.65,0)))*D900)</f>
        <v>0</v>
      </c>
      <c r="BU900" s="63">
        <f t="shared" ref="BU900:BU963" si="666">IF(E900="",0,IF(OR(BT900&gt;0,BO900&gt;0),0,IF(AND(F900&gt;4,G900=0),(BQ900-1.2)*D900*0.8,IF(AND(G900&gt;4,F900=0),(BQ900-0.4)*D900*0.65,IF(OR(AND(G900&gt;4,F900&gt;0),AND(F900&gt;4,G900&gt;0)),(IF(AS900&gt;1.2,(AS900-1.2)*D900*0.8,0)+IF(AT900&gt;AS900,(AT900-AS900)*D900*0.65,0)),0)))))</f>
        <v>0</v>
      </c>
      <c r="BV900" s="57">
        <f t="shared" ref="BV900:BV963" si="667">IF(AND(E900&lt;&gt;"mini-trench",E900&lt;&gt;"special"),MAX(AS900:AT900),0)</f>
        <v>0</v>
      </c>
      <c r="BW900" s="57">
        <f t="shared" ref="BW900:BW963" si="668">IF(AND(E900&lt;&gt;"mini-trench",E900&lt;&gt;"special",BV900&gt;0,BV900&lt;1,K900="asphalted"),IF(O900&lt;&gt;"",MIN(O900,1),1),IF(AND(E900&lt;&gt;"mini-trench",E900&lt;&gt;"special",BV900&gt;0,BV900&gt;1,K900="asphalted"),BV900,0))</f>
        <v>0</v>
      </c>
      <c r="BX900" s="57">
        <f t="shared" si="646"/>
        <v>0</v>
      </c>
      <c r="BY900" s="57">
        <f t="shared" si="650"/>
        <v>0</v>
      </c>
      <c r="BZ900" s="8">
        <f t="shared" ref="BZ900:BZ963" si="669">IF(E900="special",O900*P900*D900-D900*IF(AV900="MV1",0.8*0.4,IF(AV900="MV2",0.8*0.6,IF(AV900="MV3",0.8*0.9,IF(OR(AV900="MV4",AV900="MVCU"),0.8*1.2,IF(AV900="LV1-3",0.65*0.4,IF(OR(AV900="LV4",AV900="LVCU"),0.65*0.5)))))),0)</f>
        <v>0</v>
      </c>
      <c r="CA900" s="8">
        <f t="shared" ref="CA900:CA963" si="670">IF(AND(E900&lt;&gt;"special",K900="Paved interlock"),D900*BV900,IF(AND(E900="special",K900="Paved interlock"),D900*O900,0))</f>
        <v>0</v>
      </c>
      <c r="CB900" s="8">
        <f t="shared" ref="CB900:CB963" si="671">IF(AND(E900&lt;&gt;"special",K900="Paved conc.tiles"),D900*BV900,IF(AND(E900="special",K900="Paved conc.tiles"),D900*O900,0))</f>
        <v>0</v>
      </c>
      <c r="CC900" s="8">
        <f t="shared" ref="CC900:CC963" si="672">IF(AND(E900="special",K900="asphalted"),D900*Q900,0)</f>
        <v>0</v>
      </c>
      <c r="CD900" s="8">
        <f t="shared" ref="CD900:CD963" si="673">IF(OR(K900="Paved interlock",K900="Paved conc.tiles"),1,0)</f>
        <v>0</v>
      </c>
      <c r="CE900" s="8">
        <f t="shared" ref="CE900:CE963" si="674">IFERROR(BR900/D900,0)</f>
        <v>0</v>
      </c>
      <c r="CF900" s="8">
        <f t="shared" ref="CF900:CF963" si="675">IF(AND(F900&gt;0,B900="j transition"),F900,0)+IF(AND(F900&gt;0,C900="j transition"),F900,0)</f>
        <v>0</v>
      </c>
      <c r="CG900" s="8">
        <f t="shared" ref="CG900:CG963" si="676">IF(AND(F900&gt;0,OR(B900="grid",B900="ss",B900="pole",B900="new ss")),F900,0)+IF(AND(F900&gt;0,OR(C900="grid",C900="ss",C900="pole",C900="new ss")),F900,0)</f>
        <v>0</v>
      </c>
      <c r="CH900" s="8">
        <f t="shared" ref="CH900:CH963" si="677">IF(AND(F900&gt;0,B900="joint"),F900,0)+IF(AND(F900&gt;0,C900="joint"),F900,0)+IF(AND(F900&gt;0,B900="j transition"),F900,0)+IF(AND(F900&gt;0,C900="j transition"),F900,0)</f>
        <v>0</v>
      </c>
      <c r="CI900" s="8">
        <f t="shared" ref="CI900:CI963" si="678">IF(AND(H900&gt;0,B900="joint"),H900,0)+IF(AND(H900&gt;0,C900="joint"),H900,0)</f>
        <v>0</v>
      </c>
      <c r="CJ900" s="8">
        <f t="shared" ref="CJ900:CJ963" si="679">IF(AND(I900&gt;0,B900="joint"),I900,0)+IF(AND(I900&gt;0,C900="joint"),I900,0)</f>
        <v>0</v>
      </c>
      <c r="CK900" s="8">
        <f t="shared" ref="CK900:CK963" si="680">IF(AND(J900&gt;0,B900="joint"),J900,0)+IF(AND(J900&gt;0,C900="joint"),J900,0)</f>
        <v>0</v>
      </c>
      <c r="CL900" s="8">
        <f t="shared" ref="CL900:CL963" si="681">IF(AND(H900&gt;0,OR(B900="ss",B900="new ss",B900="DC",B900="new DC")),H900,0)+IF(AND(H900&gt;0,OR(C900="new ss",C900="ss",C900="DC",C900="new DC")),H900,0)</f>
        <v>0</v>
      </c>
      <c r="CM900" s="8">
        <f t="shared" ref="CM900:CM963" si="682">CO900+CP900</f>
        <v>0</v>
      </c>
      <c r="CN900" s="8">
        <f t="shared" ref="CN900:CN963" si="683">IF(OR(B900="new DC",C900="new DC"),H900,0)</f>
        <v>0</v>
      </c>
      <c r="CO900" s="8">
        <f t="shared" ref="CO900:CO963" si="684">IF(AND(J900&gt;0,OR(B900="ss",B900="new ss",B900="DC",B900="new DC")),J900,0)+IF(AND(J900&gt;0,OR(C900="new ss",C900="ss",C900="DC",C900="new DC")),J900,0)</f>
        <v>0</v>
      </c>
      <c r="CP900" s="8">
        <f t="shared" ref="CP900:CP963" si="685">IF(AND(I900&gt;0,OR(B900="ss",B900="new ss",B900="DC",B900="new DC")),I900,0)+IF(AND(I900&gt;0,OR(C900="new ss",C900="ss",C900="DC",C900="new DC")),I900,0)</f>
        <v>0</v>
      </c>
      <c r="CQ900" s="8">
        <f t="shared" ref="CQ900:CQ963" si="686">IF(AND(F900&gt;0,OR(B900="ss",B900="new ss")),F900,0)+IF(AND(F900&gt;0,OR(C900="ss",C900="new ss")),F900,0)</f>
        <v>0</v>
      </c>
      <c r="CR900" s="8">
        <f t="shared" ref="CR900:CR963" si="687">IF(AND(F900&gt;0,OR(B900="grid")),F900,0)+IF(AND(F900&gt;0,OR(C900="grid")),F900,0)</f>
        <v>0</v>
      </c>
      <c r="CS900" s="8">
        <f t="shared" ref="CS900:CS963" si="688">IF(AND(F900&gt;0,OR(B900="pole")),F900,0)+IF(AND(F900&gt;0,OR(C900="pole")),F900,0)</f>
        <v>0</v>
      </c>
      <c r="CT900" s="8">
        <f t="shared" si="647"/>
        <v>0</v>
      </c>
      <c r="CU900" s="8">
        <f t="shared" si="648"/>
        <v>0</v>
      </c>
      <c r="CV900" s="8">
        <f t="shared" si="649"/>
        <v>0</v>
      </c>
    </row>
    <row r="901" spans="1:100" ht="20.5" thickTop="1" thickBot="1" x14ac:dyDescent="0.5">
      <c r="A901" s="32"/>
      <c r="B901" s="10"/>
      <c r="C901" s="10"/>
      <c r="D901" s="11"/>
      <c r="E901" s="10"/>
      <c r="F901" s="10"/>
      <c r="G901" s="19"/>
      <c r="H901" s="19"/>
      <c r="I901" s="19"/>
      <c r="J901" s="19"/>
      <c r="K901" s="10"/>
      <c r="L901" s="10"/>
      <c r="M901" s="10"/>
      <c r="N901" s="10"/>
      <c r="O901" s="18"/>
      <c r="P901" s="18"/>
      <c r="Q901" s="21"/>
      <c r="R901" s="20"/>
      <c r="S901" s="16">
        <f t="shared" si="651"/>
        <v>0</v>
      </c>
      <c r="T901" s="11"/>
      <c r="AS901" s="31">
        <f t="shared" si="652"/>
        <v>0</v>
      </c>
      <c r="AT901" s="31">
        <f t="shared" si="653"/>
        <v>0</v>
      </c>
      <c r="AU901" s="31">
        <f t="shared" si="654"/>
        <v>0</v>
      </c>
      <c r="AV901" s="31">
        <f t="shared" si="655"/>
        <v>0</v>
      </c>
      <c r="AW901" s="31">
        <f t="shared" si="656"/>
        <v>0</v>
      </c>
      <c r="AX901" s="31">
        <f t="shared" si="657"/>
        <v>0</v>
      </c>
      <c r="AY901" s="31">
        <f t="shared" si="658"/>
        <v>0</v>
      </c>
      <c r="AZ901" s="31">
        <f t="shared" si="659"/>
        <v>0</v>
      </c>
      <c r="BA901" s="31">
        <f t="shared" si="660"/>
        <v>0</v>
      </c>
      <c r="BB901" s="31">
        <f t="shared" ref="BB901:BB964" si="689">IFERROR(IF(BN901&gt;0,0,IF(AND(E901="normal",(BR901/D901)&gt;1),BR901,0)),0)</f>
        <v>0</v>
      </c>
      <c r="BM901" s="8">
        <f t="shared" ref="BM901:BM964" si="690">IF(AND(E901&lt;&gt;"special",K901="Concrete"),D901*BV901,IF(AND(E901="special",K901="Concrete"),D901*O901,0))</f>
        <v>0</v>
      </c>
      <c r="BN901" s="8">
        <f t="shared" si="661"/>
        <v>0</v>
      </c>
      <c r="BO901" s="8">
        <f t="shared" si="662"/>
        <v>0</v>
      </c>
      <c r="BQ901" s="8">
        <f t="shared" si="663"/>
        <v>0</v>
      </c>
      <c r="BR901" s="63">
        <f t="shared" si="664"/>
        <v>0</v>
      </c>
      <c r="BS901" s="63">
        <f t="shared" ref="BS901:BS964" si="691">BN901 + IF(BN901&gt;0,IF(R900=0, R901, 0) + IF(R902=0, R901, 0),0)</f>
        <v>0</v>
      </c>
      <c r="BT901" s="63">
        <f t="shared" si="665"/>
        <v>0</v>
      </c>
      <c r="BU901" s="63">
        <f t="shared" si="666"/>
        <v>0</v>
      </c>
      <c r="BV901" s="57">
        <f t="shared" si="667"/>
        <v>0</v>
      </c>
      <c r="BW901" s="57">
        <f t="shared" si="668"/>
        <v>0</v>
      </c>
      <c r="BX901" s="57">
        <f t="shared" ref="BX901:BX964" si="692">IF(AND(R901&gt;0,MandRcalc="Asphalting then M&amp;R"),R901*D901,IF(AND(R901&gt;0,MandRcalc="Milling then Repaving"),(R901-BR901)*D901,0))</f>
        <v>0</v>
      </c>
      <c r="BY901" s="57">
        <f t="shared" si="650"/>
        <v>0</v>
      </c>
      <c r="BZ901" s="8">
        <f t="shared" si="669"/>
        <v>0</v>
      </c>
      <c r="CA901" s="8">
        <f t="shared" si="670"/>
        <v>0</v>
      </c>
      <c r="CB901" s="8">
        <f t="shared" si="671"/>
        <v>0</v>
      </c>
      <c r="CC901" s="8">
        <f t="shared" si="672"/>
        <v>0</v>
      </c>
      <c r="CD901" s="8">
        <f t="shared" si="673"/>
        <v>0</v>
      </c>
      <c r="CE901" s="8">
        <f t="shared" si="674"/>
        <v>0</v>
      </c>
      <c r="CF901" s="8">
        <f t="shared" si="675"/>
        <v>0</v>
      </c>
      <c r="CG901" s="8">
        <f t="shared" si="676"/>
        <v>0</v>
      </c>
      <c r="CH901" s="8">
        <f t="shared" si="677"/>
        <v>0</v>
      </c>
      <c r="CI901" s="8">
        <f t="shared" si="678"/>
        <v>0</v>
      </c>
      <c r="CJ901" s="8">
        <f t="shared" si="679"/>
        <v>0</v>
      </c>
      <c r="CK901" s="8">
        <f t="shared" si="680"/>
        <v>0</v>
      </c>
      <c r="CL901" s="8">
        <f t="shared" si="681"/>
        <v>0</v>
      </c>
      <c r="CM901" s="8">
        <f t="shared" si="682"/>
        <v>0</v>
      </c>
      <c r="CN901" s="8">
        <f t="shared" si="683"/>
        <v>0</v>
      </c>
      <c r="CO901" s="8">
        <f t="shared" si="684"/>
        <v>0</v>
      </c>
      <c r="CP901" s="8">
        <f t="shared" si="685"/>
        <v>0</v>
      </c>
      <c r="CQ901" s="8">
        <f t="shared" si="686"/>
        <v>0</v>
      </c>
      <c r="CR901" s="8">
        <f t="shared" si="687"/>
        <v>0</v>
      </c>
      <c r="CS901" s="8">
        <f t="shared" si="688"/>
        <v>0</v>
      </c>
      <c r="CT901" s="8">
        <f t="shared" si="647"/>
        <v>0</v>
      </c>
      <c r="CU901" s="8">
        <f t="shared" si="648"/>
        <v>0</v>
      </c>
      <c r="CV901" s="8">
        <f t="shared" si="649"/>
        <v>0</v>
      </c>
    </row>
    <row r="902" spans="1:100" ht="20.5" thickTop="1" thickBot="1" x14ac:dyDescent="0.5">
      <c r="A902" s="32"/>
      <c r="B902" s="10"/>
      <c r="C902" s="10"/>
      <c r="D902" s="11"/>
      <c r="E902" s="10"/>
      <c r="F902" s="10"/>
      <c r="G902" s="19"/>
      <c r="H902" s="19"/>
      <c r="I902" s="19"/>
      <c r="J902" s="19"/>
      <c r="K902" s="10"/>
      <c r="L902" s="10"/>
      <c r="M902" s="10"/>
      <c r="N902" s="10"/>
      <c r="O902" s="18"/>
      <c r="P902" s="18"/>
      <c r="Q902" s="21"/>
      <c r="R902" s="20"/>
      <c r="S902" s="16">
        <f t="shared" si="651"/>
        <v>0</v>
      </c>
      <c r="T902" s="11"/>
      <c r="AS902" s="31">
        <f t="shared" si="652"/>
        <v>0</v>
      </c>
      <c r="AT902" s="31">
        <f t="shared" si="653"/>
        <v>0</v>
      </c>
      <c r="AU902" s="31">
        <f t="shared" si="654"/>
        <v>0</v>
      </c>
      <c r="AV902" s="31">
        <f t="shared" si="655"/>
        <v>0</v>
      </c>
      <c r="AW902" s="31">
        <f t="shared" si="656"/>
        <v>0</v>
      </c>
      <c r="AX902" s="31">
        <f t="shared" si="657"/>
        <v>0</v>
      </c>
      <c r="AY902" s="31">
        <f t="shared" si="658"/>
        <v>0</v>
      </c>
      <c r="AZ902" s="31">
        <f t="shared" si="659"/>
        <v>0</v>
      </c>
      <c r="BA902" s="31">
        <f t="shared" si="660"/>
        <v>0</v>
      </c>
      <c r="BB902" s="31">
        <f t="shared" si="689"/>
        <v>0</v>
      </c>
      <c r="BM902" s="8">
        <f t="shared" si="690"/>
        <v>0</v>
      </c>
      <c r="BN902" s="8">
        <f t="shared" si="661"/>
        <v>0</v>
      </c>
      <c r="BO902" s="8">
        <f t="shared" si="662"/>
        <v>0</v>
      </c>
      <c r="BQ902" s="8">
        <f t="shared" si="663"/>
        <v>0</v>
      </c>
      <c r="BR902" s="63">
        <f t="shared" si="664"/>
        <v>0</v>
      </c>
      <c r="BS902" s="63">
        <f t="shared" si="691"/>
        <v>0</v>
      </c>
      <c r="BT902" s="63">
        <f t="shared" si="665"/>
        <v>0</v>
      </c>
      <c r="BU902" s="63">
        <f t="shared" si="666"/>
        <v>0</v>
      </c>
      <c r="BV902" s="57">
        <f t="shared" si="667"/>
        <v>0</v>
      </c>
      <c r="BW902" s="57">
        <f t="shared" si="668"/>
        <v>0</v>
      </c>
      <c r="BX902" s="57">
        <f t="shared" si="692"/>
        <v>0</v>
      </c>
      <c r="BY902" s="57">
        <f t="shared" si="650"/>
        <v>0</v>
      </c>
      <c r="BZ902" s="8">
        <f t="shared" si="669"/>
        <v>0</v>
      </c>
      <c r="CA902" s="8">
        <f t="shared" si="670"/>
        <v>0</v>
      </c>
      <c r="CB902" s="8">
        <f t="shared" si="671"/>
        <v>0</v>
      </c>
      <c r="CC902" s="8">
        <f t="shared" si="672"/>
        <v>0</v>
      </c>
      <c r="CD902" s="8">
        <f t="shared" si="673"/>
        <v>0</v>
      </c>
      <c r="CE902" s="8">
        <f t="shared" si="674"/>
        <v>0</v>
      </c>
      <c r="CF902" s="8">
        <f t="shared" si="675"/>
        <v>0</v>
      </c>
      <c r="CG902" s="8">
        <f t="shared" si="676"/>
        <v>0</v>
      </c>
      <c r="CH902" s="8">
        <f t="shared" si="677"/>
        <v>0</v>
      </c>
      <c r="CI902" s="8">
        <f t="shared" si="678"/>
        <v>0</v>
      </c>
      <c r="CJ902" s="8">
        <f t="shared" si="679"/>
        <v>0</v>
      </c>
      <c r="CK902" s="8">
        <f t="shared" si="680"/>
        <v>0</v>
      </c>
      <c r="CL902" s="8">
        <f t="shared" si="681"/>
        <v>0</v>
      </c>
      <c r="CM902" s="8">
        <f t="shared" si="682"/>
        <v>0</v>
      </c>
      <c r="CN902" s="8">
        <f t="shared" si="683"/>
        <v>0</v>
      </c>
      <c r="CO902" s="8">
        <f t="shared" si="684"/>
        <v>0</v>
      </c>
      <c r="CP902" s="8">
        <f t="shared" si="685"/>
        <v>0</v>
      </c>
      <c r="CQ902" s="8">
        <f t="shared" si="686"/>
        <v>0</v>
      </c>
      <c r="CR902" s="8">
        <f t="shared" si="687"/>
        <v>0</v>
      </c>
      <c r="CS902" s="8">
        <f t="shared" si="688"/>
        <v>0</v>
      </c>
      <c r="CT902" s="8">
        <f t="shared" si="647"/>
        <v>0</v>
      </c>
      <c r="CU902" s="8">
        <f t="shared" si="648"/>
        <v>0</v>
      </c>
      <c r="CV902" s="8">
        <f t="shared" si="649"/>
        <v>0</v>
      </c>
    </row>
    <row r="903" spans="1:100" ht="20.5" thickTop="1" thickBot="1" x14ac:dyDescent="0.5">
      <c r="A903" s="32"/>
      <c r="B903" s="10"/>
      <c r="C903" s="10"/>
      <c r="D903" s="11"/>
      <c r="E903" s="10"/>
      <c r="F903" s="10"/>
      <c r="G903" s="19"/>
      <c r="H903" s="19"/>
      <c r="I903" s="19"/>
      <c r="J903" s="19"/>
      <c r="K903" s="10"/>
      <c r="L903" s="10"/>
      <c r="M903" s="10"/>
      <c r="N903" s="10"/>
      <c r="O903" s="18"/>
      <c r="P903" s="18"/>
      <c r="Q903" s="21"/>
      <c r="R903" s="20"/>
      <c r="S903" s="16">
        <f t="shared" si="651"/>
        <v>0</v>
      </c>
      <c r="T903" s="11"/>
      <c r="AS903" s="31">
        <f t="shared" si="652"/>
        <v>0</v>
      </c>
      <c r="AT903" s="31">
        <f t="shared" si="653"/>
        <v>0</v>
      </c>
      <c r="AU903" s="31">
        <f t="shared" si="654"/>
        <v>0</v>
      </c>
      <c r="AV903" s="31">
        <f t="shared" si="655"/>
        <v>0</v>
      </c>
      <c r="AW903" s="31">
        <f t="shared" si="656"/>
        <v>0</v>
      </c>
      <c r="AX903" s="31">
        <f t="shared" si="657"/>
        <v>0</v>
      </c>
      <c r="AY903" s="31">
        <f t="shared" si="658"/>
        <v>0</v>
      </c>
      <c r="AZ903" s="31">
        <f t="shared" si="659"/>
        <v>0</v>
      </c>
      <c r="BA903" s="31">
        <f t="shared" si="660"/>
        <v>0</v>
      </c>
      <c r="BB903" s="31">
        <f t="shared" si="689"/>
        <v>0</v>
      </c>
      <c r="BM903" s="8">
        <f t="shared" si="690"/>
        <v>0</v>
      </c>
      <c r="BN903" s="8">
        <f t="shared" si="661"/>
        <v>0</v>
      </c>
      <c r="BO903" s="8">
        <f t="shared" si="662"/>
        <v>0</v>
      </c>
      <c r="BQ903" s="8">
        <f t="shared" si="663"/>
        <v>0</v>
      </c>
      <c r="BR903" s="63">
        <f t="shared" si="664"/>
        <v>0</v>
      </c>
      <c r="BS903" s="63">
        <f t="shared" si="691"/>
        <v>0</v>
      </c>
      <c r="BT903" s="63">
        <f t="shared" si="665"/>
        <v>0</v>
      </c>
      <c r="BU903" s="63">
        <f t="shared" si="666"/>
        <v>0</v>
      </c>
      <c r="BV903" s="57">
        <f t="shared" si="667"/>
        <v>0</v>
      </c>
      <c r="BW903" s="57">
        <f t="shared" si="668"/>
        <v>0</v>
      </c>
      <c r="BX903" s="57">
        <f t="shared" si="692"/>
        <v>0</v>
      </c>
      <c r="BY903" s="57">
        <f t="shared" si="650"/>
        <v>0</v>
      </c>
      <c r="BZ903" s="8">
        <f t="shared" si="669"/>
        <v>0</v>
      </c>
      <c r="CA903" s="8">
        <f t="shared" si="670"/>
        <v>0</v>
      </c>
      <c r="CB903" s="8">
        <f t="shared" si="671"/>
        <v>0</v>
      </c>
      <c r="CC903" s="8">
        <f t="shared" si="672"/>
        <v>0</v>
      </c>
      <c r="CD903" s="8">
        <f t="shared" si="673"/>
        <v>0</v>
      </c>
      <c r="CE903" s="8">
        <f t="shared" si="674"/>
        <v>0</v>
      </c>
      <c r="CF903" s="8">
        <f t="shared" si="675"/>
        <v>0</v>
      </c>
      <c r="CG903" s="8">
        <f t="shared" si="676"/>
        <v>0</v>
      </c>
      <c r="CH903" s="8">
        <f t="shared" si="677"/>
        <v>0</v>
      </c>
      <c r="CI903" s="8">
        <f t="shared" si="678"/>
        <v>0</v>
      </c>
      <c r="CJ903" s="8">
        <f t="shared" si="679"/>
        <v>0</v>
      </c>
      <c r="CK903" s="8">
        <f t="shared" si="680"/>
        <v>0</v>
      </c>
      <c r="CL903" s="8">
        <f t="shared" si="681"/>
        <v>0</v>
      </c>
      <c r="CM903" s="8">
        <f t="shared" si="682"/>
        <v>0</v>
      </c>
      <c r="CN903" s="8">
        <f t="shared" si="683"/>
        <v>0</v>
      </c>
      <c r="CO903" s="8">
        <f t="shared" si="684"/>
        <v>0</v>
      </c>
      <c r="CP903" s="8">
        <f t="shared" si="685"/>
        <v>0</v>
      </c>
      <c r="CQ903" s="8">
        <f t="shared" si="686"/>
        <v>0</v>
      </c>
      <c r="CR903" s="8">
        <f t="shared" si="687"/>
        <v>0</v>
      </c>
      <c r="CS903" s="8">
        <f t="shared" si="688"/>
        <v>0</v>
      </c>
      <c r="CT903" s="8">
        <f t="shared" si="647"/>
        <v>0</v>
      </c>
      <c r="CU903" s="8">
        <f t="shared" si="648"/>
        <v>0</v>
      </c>
      <c r="CV903" s="8">
        <f t="shared" si="649"/>
        <v>0</v>
      </c>
    </row>
    <row r="904" spans="1:100" ht="20.5" thickTop="1" thickBot="1" x14ac:dyDescent="0.5">
      <c r="A904" s="32"/>
      <c r="B904" s="10"/>
      <c r="C904" s="10"/>
      <c r="D904" s="11"/>
      <c r="E904" s="10"/>
      <c r="F904" s="10"/>
      <c r="G904" s="19"/>
      <c r="H904" s="19"/>
      <c r="I904" s="19"/>
      <c r="J904" s="19"/>
      <c r="K904" s="10"/>
      <c r="L904" s="10"/>
      <c r="M904" s="10"/>
      <c r="N904" s="10"/>
      <c r="O904" s="18"/>
      <c r="P904" s="18"/>
      <c r="Q904" s="21"/>
      <c r="R904" s="20"/>
      <c r="S904" s="16">
        <f t="shared" si="651"/>
        <v>0</v>
      </c>
      <c r="T904" s="11"/>
      <c r="AS904" s="31">
        <f t="shared" si="652"/>
        <v>0</v>
      </c>
      <c r="AT904" s="31">
        <f t="shared" si="653"/>
        <v>0</v>
      </c>
      <c r="AU904" s="31">
        <f t="shared" si="654"/>
        <v>0</v>
      </c>
      <c r="AV904" s="31">
        <f t="shared" si="655"/>
        <v>0</v>
      </c>
      <c r="AW904" s="31">
        <f t="shared" si="656"/>
        <v>0</v>
      </c>
      <c r="AX904" s="31">
        <f t="shared" si="657"/>
        <v>0</v>
      </c>
      <c r="AY904" s="31">
        <f t="shared" si="658"/>
        <v>0</v>
      </c>
      <c r="AZ904" s="31">
        <f t="shared" si="659"/>
        <v>0</v>
      </c>
      <c r="BA904" s="31">
        <f t="shared" si="660"/>
        <v>0</v>
      </c>
      <c r="BB904" s="31">
        <f t="shared" si="689"/>
        <v>0</v>
      </c>
      <c r="BM904" s="8">
        <f t="shared" si="690"/>
        <v>0</v>
      </c>
      <c r="BN904" s="8">
        <f t="shared" si="661"/>
        <v>0</v>
      </c>
      <c r="BO904" s="8">
        <f t="shared" si="662"/>
        <v>0</v>
      </c>
      <c r="BQ904" s="8">
        <f t="shared" si="663"/>
        <v>0</v>
      </c>
      <c r="BR904" s="63">
        <f t="shared" si="664"/>
        <v>0</v>
      </c>
      <c r="BS904" s="63">
        <f t="shared" si="691"/>
        <v>0</v>
      </c>
      <c r="BT904" s="63">
        <f t="shared" si="665"/>
        <v>0</v>
      </c>
      <c r="BU904" s="63">
        <f t="shared" si="666"/>
        <v>0</v>
      </c>
      <c r="BV904" s="57">
        <f t="shared" si="667"/>
        <v>0</v>
      </c>
      <c r="BW904" s="57">
        <f t="shared" si="668"/>
        <v>0</v>
      </c>
      <c r="BX904" s="57">
        <f t="shared" si="692"/>
        <v>0</v>
      </c>
      <c r="BY904" s="57">
        <f t="shared" si="650"/>
        <v>0</v>
      </c>
      <c r="BZ904" s="8">
        <f t="shared" si="669"/>
        <v>0</v>
      </c>
      <c r="CA904" s="8">
        <f t="shared" si="670"/>
        <v>0</v>
      </c>
      <c r="CB904" s="8">
        <f t="shared" si="671"/>
        <v>0</v>
      </c>
      <c r="CC904" s="8">
        <f t="shared" si="672"/>
        <v>0</v>
      </c>
      <c r="CD904" s="8">
        <f t="shared" si="673"/>
        <v>0</v>
      </c>
      <c r="CE904" s="8">
        <f t="shared" si="674"/>
        <v>0</v>
      </c>
      <c r="CF904" s="8">
        <f t="shared" si="675"/>
        <v>0</v>
      </c>
      <c r="CG904" s="8">
        <f t="shared" si="676"/>
        <v>0</v>
      </c>
      <c r="CH904" s="8">
        <f t="shared" si="677"/>
        <v>0</v>
      </c>
      <c r="CI904" s="8">
        <f t="shared" si="678"/>
        <v>0</v>
      </c>
      <c r="CJ904" s="8">
        <f t="shared" si="679"/>
        <v>0</v>
      </c>
      <c r="CK904" s="8">
        <f t="shared" si="680"/>
        <v>0</v>
      </c>
      <c r="CL904" s="8">
        <f t="shared" si="681"/>
        <v>0</v>
      </c>
      <c r="CM904" s="8">
        <f t="shared" si="682"/>
        <v>0</v>
      </c>
      <c r="CN904" s="8">
        <f t="shared" si="683"/>
        <v>0</v>
      </c>
      <c r="CO904" s="8">
        <f t="shared" si="684"/>
        <v>0</v>
      </c>
      <c r="CP904" s="8">
        <f t="shared" si="685"/>
        <v>0</v>
      </c>
      <c r="CQ904" s="8">
        <f t="shared" si="686"/>
        <v>0</v>
      </c>
      <c r="CR904" s="8">
        <f t="shared" si="687"/>
        <v>0</v>
      </c>
      <c r="CS904" s="8">
        <f t="shared" si="688"/>
        <v>0</v>
      </c>
      <c r="CT904" s="8">
        <f t="shared" si="647"/>
        <v>0</v>
      </c>
      <c r="CU904" s="8">
        <f t="shared" si="648"/>
        <v>0</v>
      </c>
      <c r="CV904" s="8">
        <f t="shared" si="649"/>
        <v>0</v>
      </c>
    </row>
    <row r="905" spans="1:100" ht="20.5" thickTop="1" thickBot="1" x14ac:dyDescent="0.5">
      <c r="A905" s="32"/>
      <c r="B905" s="10"/>
      <c r="C905" s="10"/>
      <c r="D905" s="11"/>
      <c r="E905" s="10"/>
      <c r="F905" s="10"/>
      <c r="G905" s="19"/>
      <c r="H905" s="19"/>
      <c r="I905" s="19"/>
      <c r="J905" s="19"/>
      <c r="K905" s="10"/>
      <c r="L905" s="10"/>
      <c r="M905" s="10"/>
      <c r="N905" s="10"/>
      <c r="O905" s="18"/>
      <c r="P905" s="18"/>
      <c r="Q905" s="21"/>
      <c r="R905" s="20"/>
      <c r="S905" s="16">
        <f t="shared" si="651"/>
        <v>0</v>
      </c>
      <c r="T905" s="11"/>
      <c r="AS905" s="31">
        <f t="shared" si="652"/>
        <v>0</v>
      </c>
      <c r="AT905" s="31">
        <f t="shared" si="653"/>
        <v>0</v>
      </c>
      <c r="AU905" s="31">
        <f t="shared" si="654"/>
        <v>0</v>
      </c>
      <c r="AV905" s="31">
        <f t="shared" si="655"/>
        <v>0</v>
      </c>
      <c r="AW905" s="31">
        <f t="shared" si="656"/>
        <v>0</v>
      </c>
      <c r="AX905" s="31">
        <f t="shared" si="657"/>
        <v>0</v>
      </c>
      <c r="AY905" s="31">
        <f t="shared" si="658"/>
        <v>0</v>
      </c>
      <c r="AZ905" s="31">
        <f t="shared" si="659"/>
        <v>0</v>
      </c>
      <c r="BA905" s="31">
        <f t="shared" si="660"/>
        <v>0</v>
      </c>
      <c r="BB905" s="31">
        <f t="shared" si="689"/>
        <v>0</v>
      </c>
      <c r="BM905" s="8">
        <f t="shared" si="690"/>
        <v>0</v>
      </c>
      <c r="BN905" s="8">
        <f t="shared" si="661"/>
        <v>0</v>
      </c>
      <c r="BO905" s="8">
        <f t="shared" si="662"/>
        <v>0</v>
      </c>
      <c r="BQ905" s="8">
        <f t="shared" si="663"/>
        <v>0</v>
      </c>
      <c r="BR905" s="63">
        <f t="shared" si="664"/>
        <v>0</v>
      </c>
      <c r="BS905" s="63">
        <f t="shared" si="691"/>
        <v>0</v>
      </c>
      <c r="BT905" s="63">
        <f t="shared" si="665"/>
        <v>0</v>
      </c>
      <c r="BU905" s="63">
        <f t="shared" si="666"/>
        <v>0</v>
      </c>
      <c r="BV905" s="57">
        <f t="shared" si="667"/>
        <v>0</v>
      </c>
      <c r="BW905" s="57">
        <f t="shared" si="668"/>
        <v>0</v>
      </c>
      <c r="BX905" s="57">
        <f t="shared" si="692"/>
        <v>0</v>
      </c>
      <c r="BY905" s="57">
        <f t="shared" si="650"/>
        <v>0</v>
      </c>
      <c r="BZ905" s="8">
        <f t="shared" si="669"/>
        <v>0</v>
      </c>
      <c r="CA905" s="8">
        <f t="shared" si="670"/>
        <v>0</v>
      </c>
      <c r="CB905" s="8">
        <f t="shared" si="671"/>
        <v>0</v>
      </c>
      <c r="CC905" s="8">
        <f t="shared" si="672"/>
        <v>0</v>
      </c>
      <c r="CD905" s="8">
        <f t="shared" si="673"/>
        <v>0</v>
      </c>
      <c r="CE905" s="8">
        <f t="shared" si="674"/>
        <v>0</v>
      </c>
      <c r="CF905" s="8">
        <f t="shared" si="675"/>
        <v>0</v>
      </c>
      <c r="CG905" s="8">
        <f t="shared" si="676"/>
        <v>0</v>
      </c>
      <c r="CH905" s="8">
        <f t="shared" si="677"/>
        <v>0</v>
      </c>
      <c r="CI905" s="8">
        <f t="shared" si="678"/>
        <v>0</v>
      </c>
      <c r="CJ905" s="8">
        <f t="shared" si="679"/>
        <v>0</v>
      </c>
      <c r="CK905" s="8">
        <f t="shared" si="680"/>
        <v>0</v>
      </c>
      <c r="CL905" s="8">
        <f t="shared" si="681"/>
        <v>0</v>
      </c>
      <c r="CM905" s="8">
        <f t="shared" si="682"/>
        <v>0</v>
      </c>
      <c r="CN905" s="8">
        <f t="shared" si="683"/>
        <v>0</v>
      </c>
      <c r="CO905" s="8">
        <f t="shared" si="684"/>
        <v>0</v>
      </c>
      <c r="CP905" s="8">
        <f t="shared" si="685"/>
        <v>0</v>
      </c>
      <c r="CQ905" s="8">
        <f t="shared" si="686"/>
        <v>0</v>
      </c>
      <c r="CR905" s="8">
        <f t="shared" si="687"/>
        <v>0</v>
      </c>
      <c r="CS905" s="8">
        <f t="shared" si="688"/>
        <v>0</v>
      </c>
      <c r="CT905" s="8">
        <f t="shared" si="647"/>
        <v>0</v>
      </c>
      <c r="CU905" s="8">
        <f t="shared" si="648"/>
        <v>0</v>
      </c>
      <c r="CV905" s="8">
        <f t="shared" si="649"/>
        <v>0</v>
      </c>
    </row>
    <row r="906" spans="1:100" ht="20.5" thickTop="1" thickBot="1" x14ac:dyDescent="0.5">
      <c r="A906" s="32"/>
      <c r="B906" s="10"/>
      <c r="C906" s="10"/>
      <c r="D906" s="11"/>
      <c r="E906" s="10"/>
      <c r="F906" s="10"/>
      <c r="G906" s="19"/>
      <c r="H906" s="19"/>
      <c r="I906" s="19"/>
      <c r="J906" s="19"/>
      <c r="K906" s="10"/>
      <c r="L906" s="10"/>
      <c r="M906" s="10"/>
      <c r="N906" s="10"/>
      <c r="O906" s="18"/>
      <c r="P906" s="18"/>
      <c r="Q906" s="21"/>
      <c r="R906" s="20"/>
      <c r="S906" s="16">
        <f t="shared" si="651"/>
        <v>0</v>
      </c>
      <c r="T906" s="11"/>
      <c r="AS906" s="31">
        <f t="shared" si="652"/>
        <v>0</v>
      </c>
      <c r="AT906" s="31">
        <f t="shared" si="653"/>
        <v>0</v>
      </c>
      <c r="AU906" s="31">
        <f t="shared" si="654"/>
        <v>0</v>
      </c>
      <c r="AV906" s="31">
        <f t="shared" si="655"/>
        <v>0</v>
      </c>
      <c r="AW906" s="31">
        <f t="shared" si="656"/>
        <v>0</v>
      </c>
      <c r="AX906" s="31">
        <f t="shared" si="657"/>
        <v>0</v>
      </c>
      <c r="AY906" s="31">
        <f t="shared" si="658"/>
        <v>0</v>
      </c>
      <c r="AZ906" s="31">
        <f t="shared" si="659"/>
        <v>0</v>
      </c>
      <c r="BA906" s="31">
        <f t="shared" si="660"/>
        <v>0</v>
      </c>
      <c r="BB906" s="31">
        <f t="shared" si="689"/>
        <v>0</v>
      </c>
      <c r="BM906" s="8">
        <f t="shared" si="690"/>
        <v>0</v>
      </c>
      <c r="BN906" s="8">
        <f t="shared" si="661"/>
        <v>0</v>
      </c>
      <c r="BO906" s="8">
        <f t="shared" si="662"/>
        <v>0</v>
      </c>
      <c r="BQ906" s="8">
        <f t="shared" si="663"/>
        <v>0</v>
      </c>
      <c r="BR906" s="63">
        <f t="shared" si="664"/>
        <v>0</v>
      </c>
      <c r="BS906" s="63">
        <f t="shared" si="691"/>
        <v>0</v>
      </c>
      <c r="BT906" s="63">
        <f t="shared" si="665"/>
        <v>0</v>
      </c>
      <c r="BU906" s="63">
        <f t="shared" si="666"/>
        <v>0</v>
      </c>
      <c r="BV906" s="57">
        <f t="shared" si="667"/>
        <v>0</v>
      </c>
      <c r="BW906" s="57">
        <f t="shared" si="668"/>
        <v>0</v>
      </c>
      <c r="BX906" s="57">
        <f t="shared" si="692"/>
        <v>0</v>
      </c>
      <c r="BY906" s="57">
        <f t="shared" si="650"/>
        <v>0</v>
      </c>
      <c r="BZ906" s="8">
        <f t="shared" si="669"/>
        <v>0</v>
      </c>
      <c r="CA906" s="8">
        <f t="shared" si="670"/>
        <v>0</v>
      </c>
      <c r="CB906" s="8">
        <f t="shared" si="671"/>
        <v>0</v>
      </c>
      <c r="CC906" s="8">
        <f t="shared" si="672"/>
        <v>0</v>
      </c>
      <c r="CD906" s="8">
        <f t="shared" si="673"/>
        <v>0</v>
      </c>
      <c r="CE906" s="8">
        <f t="shared" si="674"/>
        <v>0</v>
      </c>
      <c r="CF906" s="8">
        <f t="shared" si="675"/>
        <v>0</v>
      </c>
      <c r="CG906" s="8">
        <f t="shared" si="676"/>
        <v>0</v>
      </c>
      <c r="CH906" s="8">
        <f t="shared" si="677"/>
        <v>0</v>
      </c>
      <c r="CI906" s="8">
        <f t="shared" si="678"/>
        <v>0</v>
      </c>
      <c r="CJ906" s="8">
        <f t="shared" si="679"/>
        <v>0</v>
      </c>
      <c r="CK906" s="8">
        <f t="shared" si="680"/>
        <v>0</v>
      </c>
      <c r="CL906" s="8">
        <f t="shared" si="681"/>
        <v>0</v>
      </c>
      <c r="CM906" s="8">
        <f t="shared" si="682"/>
        <v>0</v>
      </c>
      <c r="CN906" s="8">
        <f t="shared" si="683"/>
        <v>0</v>
      </c>
      <c r="CO906" s="8">
        <f t="shared" si="684"/>
        <v>0</v>
      </c>
      <c r="CP906" s="8">
        <f t="shared" si="685"/>
        <v>0</v>
      </c>
      <c r="CQ906" s="8">
        <f t="shared" si="686"/>
        <v>0</v>
      </c>
      <c r="CR906" s="8">
        <f t="shared" si="687"/>
        <v>0</v>
      </c>
      <c r="CS906" s="8">
        <f t="shared" si="688"/>
        <v>0</v>
      </c>
      <c r="CT906" s="8">
        <f t="shared" si="647"/>
        <v>0</v>
      </c>
      <c r="CU906" s="8">
        <f t="shared" si="648"/>
        <v>0</v>
      </c>
      <c r="CV906" s="8">
        <f t="shared" si="649"/>
        <v>0</v>
      </c>
    </row>
    <row r="907" spans="1:100" ht="20.5" thickTop="1" thickBot="1" x14ac:dyDescent="0.5">
      <c r="A907" s="32"/>
      <c r="B907" s="10"/>
      <c r="C907" s="10"/>
      <c r="D907" s="11"/>
      <c r="E907" s="10"/>
      <c r="F907" s="10"/>
      <c r="G907" s="19"/>
      <c r="H907" s="19"/>
      <c r="I907" s="19"/>
      <c r="J907" s="19"/>
      <c r="K907" s="10"/>
      <c r="L907" s="10"/>
      <c r="M907" s="10"/>
      <c r="N907" s="10"/>
      <c r="O907" s="18"/>
      <c r="P907" s="18"/>
      <c r="Q907" s="21"/>
      <c r="R907" s="20"/>
      <c r="S907" s="16">
        <f t="shared" si="651"/>
        <v>0</v>
      </c>
      <c r="T907" s="11"/>
      <c r="AS907" s="31">
        <f t="shared" si="652"/>
        <v>0</v>
      </c>
      <c r="AT907" s="31">
        <f t="shared" si="653"/>
        <v>0</v>
      </c>
      <c r="AU907" s="31">
        <f t="shared" si="654"/>
        <v>0</v>
      </c>
      <c r="AV907" s="31">
        <f t="shared" si="655"/>
        <v>0</v>
      </c>
      <c r="AW907" s="31">
        <f t="shared" si="656"/>
        <v>0</v>
      </c>
      <c r="AX907" s="31">
        <f t="shared" si="657"/>
        <v>0</v>
      </c>
      <c r="AY907" s="31">
        <f t="shared" si="658"/>
        <v>0</v>
      </c>
      <c r="AZ907" s="31">
        <f t="shared" si="659"/>
        <v>0</v>
      </c>
      <c r="BA907" s="31">
        <f t="shared" si="660"/>
        <v>0</v>
      </c>
      <c r="BB907" s="31">
        <f t="shared" si="689"/>
        <v>0</v>
      </c>
      <c r="BM907" s="8">
        <f t="shared" si="690"/>
        <v>0</v>
      </c>
      <c r="BN907" s="8">
        <f t="shared" si="661"/>
        <v>0</v>
      </c>
      <c r="BO907" s="8">
        <f t="shared" si="662"/>
        <v>0</v>
      </c>
      <c r="BQ907" s="8">
        <f t="shared" si="663"/>
        <v>0</v>
      </c>
      <c r="BR907" s="63">
        <f t="shared" si="664"/>
        <v>0</v>
      </c>
      <c r="BS907" s="63">
        <f t="shared" si="691"/>
        <v>0</v>
      </c>
      <c r="BT907" s="63">
        <f t="shared" si="665"/>
        <v>0</v>
      </c>
      <c r="BU907" s="63">
        <f t="shared" si="666"/>
        <v>0</v>
      </c>
      <c r="BV907" s="57">
        <f t="shared" si="667"/>
        <v>0</v>
      </c>
      <c r="BW907" s="57">
        <f t="shared" si="668"/>
        <v>0</v>
      </c>
      <c r="BX907" s="57">
        <f t="shared" si="692"/>
        <v>0</v>
      </c>
      <c r="BY907" s="57">
        <f t="shared" si="650"/>
        <v>0</v>
      </c>
      <c r="BZ907" s="8">
        <f t="shared" si="669"/>
        <v>0</v>
      </c>
      <c r="CA907" s="8">
        <f t="shared" si="670"/>
        <v>0</v>
      </c>
      <c r="CB907" s="8">
        <f t="shared" si="671"/>
        <v>0</v>
      </c>
      <c r="CC907" s="8">
        <f t="shared" si="672"/>
        <v>0</v>
      </c>
      <c r="CD907" s="8">
        <f t="shared" si="673"/>
        <v>0</v>
      </c>
      <c r="CE907" s="8">
        <f t="shared" si="674"/>
        <v>0</v>
      </c>
      <c r="CF907" s="8">
        <f t="shared" si="675"/>
        <v>0</v>
      </c>
      <c r="CG907" s="8">
        <f t="shared" si="676"/>
        <v>0</v>
      </c>
      <c r="CH907" s="8">
        <f t="shared" si="677"/>
        <v>0</v>
      </c>
      <c r="CI907" s="8">
        <f t="shared" si="678"/>
        <v>0</v>
      </c>
      <c r="CJ907" s="8">
        <f t="shared" si="679"/>
        <v>0</v>
      </c>
      <c r="CK907" s="8">
        <f t="shared" si="680"/>
        <v>0</v>
      </c>
      <c r="CL907" s="8">
        <f t="shared" si="681"/>
        <v>0</v>
      </c>
      <c r="CM907" s="8">
        <f t="shared" si="682"/>
        <v>0</v>
      </c>
      <c r="CN907" s="8">
        <f t="shared" si="683"/>
        <v>0</v>
      </c>
      <c r="CO907" s="8">
        <f t="shared" si="684"/>
        <v>0</v>
      </c>
      <c r="CP907" s="8">
        <f t="shared" si="685"/>
        <v>0</v>
      </c>
      <c r="CQ907" s="8">
        <f t="shared" si="686"/>
        <v>0</v>
      </c>
      <c r="CR907" s="8">
        <f t="shared" si="687"/>
        <v>0</v>
      </c>
      <c r="CS907" s="8">
        <f t="shared" si="688"/>
        <v>0</v>
      </c>
      <c r="CT907" s="8">
        <f t="shared" si="647"/>
        <v>0</v>
      </c>
      <c r="CU907" s="8">
        <f t="shared" si="648"/>
        <v>0</v>
      </c>
      <c r="CV907" s="8">
        <f t="shared" si="649"/>
        <v>0</v>
      </c>
    </row>
    <row r="908" spans="1:100" ht="20.5" thickTop="1" thickBot="1" x14ac:dyDescent="0.5">
      <c r="A908" s="32"/>
      <c r="B908" s="10"/>
      <c r="C908" s="10"/>
      <c r="D908" s="11"/>
      <c r="E908" s="10"/>
      <c r="F908" s="10"/>
      <c r="G908" s="19"/>
      <c r="H908" s="19"/>
      <c r="I908" s="19"/>
      <c r="J908" s="19"/>
      <c r="K908" s="10"/>
      <c r="L908" s="10"/>
      <c r="M908" s="10"/>
      <c r="N908" s="10"/>
      <c r="O908" s="18"/>
      <c r="P908" s="18"/>
      <c r="Q908" s="21"/>
      <c r="R908" s="20"/>
      <c r="S908" s="16">
        <f t="shared" si="651"/>
        <v>0</v>
      </c>
      <c r="T908" s="11"/>
      <c r="AS908" s="31">
        <f t="shared" si="652"/>
        <v>0</v>
      </c>
      <c r="AT908" s="31">
        <f t="shared" si="653"/>
        <v>0</v>
      </c>
      <c r="AU908" s="31">
        <f t="shared" si="654"/>
        <v>0</v>
      </c>
      <c r="AV908" s="31">
        <f t="shared" si="655"/>
        <v>0</v>
      </c>
      <c r="AW908" s="31">
        <f t="shared" si="656"/>
        <v>0</v>
      </c>
      <c r="AX908" s="31">
        <f t="shared" si="657"/>
        <v>0</v>
      </c>
      <c r="AY908" s="31">
        <f t="shared" si="658"/>
        <v>0</v>
      </c>
      <c r="AZ908" s="31">
        <f t="shared" si="659"/>
        <v>0</v>
      </c>
      <c r="BA908" s="31">
        <f t="shared" si="660"/>
        <v>0</v>
      </c>
      <c r="BB908" s="31">
        <f t="shared" si="689"/>
        <v>0</v>
      </c>
      <c r="BM908" s="8">
        <f t="shared" si="690"/>
        <v>0</v>
      </c>
      <c r="BN908" s="8">
        <f t="shared" si="661"/>
        <v>0</v>
      </c>
      <c r="BO908" s="8">
        <f t="shared" si="662"/>
        <v>0</v>
      </c>
      <c r="BQ908" s="8">
        <f t="shared" si="663"/>
        <v>0</v>
      </c>
      <c r="BR908" s="63">
        <f t="shared" si="664"/>
        <v>0</v>
      </c>
      <c r="BS908" s="63">
        <f t="shared" si="691"/>
        <v>0</v>
      </c>
      <c r="BT908" s="63">
        <f t="shared" si="665"/>
        <v>0</v>
      </c>
      <c r="BU908" s="63">
        <f t="shared" si="666"/>
        <v>0</v>
      </c>
      <c r="BV908" s="57">
        <f t="shared" si="667"/>
        <v>0</v>
      </c>
      <c r="BW908" s="57">
        <f t="shared" si="668"/>
        <v>0</v>
      </c>
      <c r="BX908" s="57">
        <f t="shared" si="692"/>
        <v>0</v>
      </c>
      <c r="BY908" s="57">
        <f t="shared" si="650"/>
        <v>0</v>
      </c>
      <c r="BZ908" s="8">
        <f t="shared" si="669"/>
        <v>0</v>
      </c>
      <c r="CA908" s="8">
        <f t="shared" si="670"/>
        <v>0</v>
      </c>
      <c r="CB908" s="8">
        <f t="shared" si="671"/>
        <v>0</v>
      </c>
      <c r="CC908" s="8">
        <f t="shared" si="672"/>
        <v>0</v>
      </c>
      <c r="CD908" s="8">
        <f t="shared" si="673"/>
        <v>0</v>
      </c>
      <c r="CE908" s="8">
        <f t="shared" si="674"/>
        <v>0</v>
      </c>
      <c r="CF908" s="8">
        <f t="shared" si="675"/>
        <v>0</v>
      </c>
      <c r="CG908" s="8">
        <f t="shared" si="676"/>
        <v>0</v>
      </c>
      <c r="CH908" s="8">
        <f t="shared" si="677"/>
        <v>0</v>
      </c>
      <c r="CI908" s="8">
        <f t="shared" si="678"/>
        <v>0</v>
      </c>
      <c r="CJ908" s="8">
        <f t="shared" si="679"/>
        <v>0</v>
      </c>
      <c r="CK908" s="8">
        <f t="shared" si="680"/>
        <v>0</v>
      </c>
      <c r="CL908" s="8">
        <f t="shared" si="681"/>
        <v>0</v>
      </c>
      <c r="CM908" s="8">
        <f t="shared" si="682"/>
        <v>0</v>
      </c>
      <c r="CN908" s="8">
        <f t="shared" si="683"/>
        <v>0</v>
      </c>
      <c r="CO908" s="8">
        <f t="shared" si="684"/>
        <v>0</v>
      </c>
      <c r="CP908" s="8">
        <f t="shared" si="685"/>
        <v>0</v>
      </c>
      <c r="CQ908" s="8">
        <f t="shared" si="686"/>
        <v>0</v>
      </c>
      <c r="CR908" s="8">
        <f t="shared" si="687"/>
        <v>0</v>
      </c>
      <c r="CS908" s="8">
        <f t="shared" si="688"/>
        <v>0</v>
      </c>
      <c r="CT908" s="8">
        <f t="shared" si="647"/>
        <v>0</v>
      </c>
      <c r="CU908" s="8">
        <f t="shared" si="648"/>
        <v>0</v>
      </c>
      <c r="CV908" s="8">
        <f t="shared" si="649"/>
        <v>0</v>
      </c>
    </row>
    <row r="909" spans="1:100" ht="20.5" thickTop="1" thickBot="1" x14ac:dyDescent="0.5">
      <c r="A909" s="32"/>
      <c r="B909" s="10"/>
      <c r="C909" s="10"/>
      <c r="D909" s="11"/>
      <c r="E909" s="10"/>
      <c r="F909" s="10"/>
      <c r="G909" s="19"/>
      <c r="H909" s="19"/>
      <c r="I909" s="19"/>
      <c r="J909" s="19"/>
      <c r="K909" s="10"/>
      <c r="L909" s="10"/>
      <c r="M909" s="10"/>
      <c r="N909" s="10"/>
      <c r="O909" s="18"/>
      <c r="P909" s="18"/>
      <c r="Q909" s="21"/>
      <c r="R909" s="20"/>
      <c r="S909" s="16">
        <f t="shared" si="651"/>
        <v>0</v>
      </c>
      <c r="T909" s="11"/>
      <c r="AS909" s="31">
        <f t="shared" si="652"/>
        <v>0</v>
      </c>
      <c r="AT909" s="31">
        <f t="shared" si="653"/>
        <v>0</v>
      </c>
      <c r="AU909" s="31">
        <f t="shared" si="654"/>
        <v>0</v>
      </c>
      <c r="AV909" s="31">
        <f t="shared" si="655"/>
        <v>0</v>
      </c>
      <c r="AW909" s="31">
        <f t="shared" si="656"/>
        <v>0</v>
      </c>
      <c r="AX909" s="31">
        <f t="shared" si="657"/>
        <v>0</v>
      </c>
      <c r="AY909" s="31">
        <f t="shared" si="658"/>
        <v>0</v>
      </c>
      <c r="AZ909" s="31">
        <f t="shared" si="659"/>
        <v>0</v>
      </c>
      <c r="BA909" s="31">
        <f t="shared" si="660"/>
        <v>0</v>
      </c>
      <c r="BB909" s="31">
        <f t="shared" si="689"/>
        <v>0</v>
      </c>
      <c r="BM909" s="8">
        <f t="shared" si="690"/>
        <v>0</v>
      </c>
      <c r="BN909" s="8">
        <f t="shared" si="661"/>
        <v>0</v>
      </c>
      <c r="BO909" s="8">
        <f t="shared" si="662"/>
        <v>0</v>
      </c>
      <c r="BQ909" s="8">
        <f t="shared" si="663"/>
        <v>0</v>
      </c>
      <c r="BR909" s="63">
        <f t="shared" si="664"/>
        <v>0</v>
      </c>
      <c r="BS909" s="63">
        <f t="shared" si="691"/>
        <v>0</v>
      </c>
      <c r="BT909" s="63">
        <f t="shared" si="665"/>
        <v>0</v>
      </c>
      <c r="BU909" s="63">
        <f t="shared" si="666"/>
        <v>0</v>
      </c>
      <c r="BV909" s="57">
        <f t="shared" si="667"/>
        <v>0</v>
      </c>
      <c r="BW909" s="57">
        <f t="shared" si="668"/>
        <v>0</v>
      </c>
      <c r="BX909" s="57">
        <f t="shared" si="692"/>
        <v>0</v>
      </c>
      <c r="BY909" s="57">
        <f t="shared" si="650"/>
        <v>0</v>
      </c>
      <c r="BZ909" s="8">
        <f t="shared" si="669"/>
        <v>0</v>
      </c>
      <c r="CA909" s="8">
        <f t="shared" si="670"/>
        <v>0</v>
      </c>
      <c r="CB909" s="8">
        <f t="shared" si="671"/>
        <v>0</v>
      </c>
      <c r="CC909" s="8">
        <f t="shared" si="672"/>
        <v>0</v>
      </c>
      <c r="CD909" s="8">
        <f t="shared" si="673"/>
        <v>0</v>
      </c>
      <c r="CE909" s="8">
        <f t="shared" si="674"/>
        <v>0</v>
      </c>
      <c r="CF909" s="8">
        <f t="shared" si="675"/>
        <v>0</v>
      </c>
      <c r="CG909" s="8">
        <f t="shared" si="676"/>
        <v>0</v>
      </c>
      <c r="CH909" s="8">
        <f t="shared" si="677"/>
        <v>0</v>
      </c>
      <c r="CI909" s="8">
        <f t="shared" si="678"/>
        <v>0</v>
      </c>
      <c r="CJ909" s="8">
        <f t="shared" si="679"/>
        <v>0</v>
      </c>
      <c r="CK909" s="8">
        <f t="shared" si="680"/>
        <v>0</v>
      </c>
      <c r="CL909" s="8">
        <f t="shared" si="681"/>
        <v>0</v>
      </c>
      <c r="CM909" s="8">
        <f t="shared" si="682"/>
        <v>0</v>
      </c>
      <c r="CN909" s="8">
        <f t="shared" si="683"/>
        <v>0</v>
      </c>
      <c r="CO909" s="8">
        <f t="shared" si="684"/>
        <v>0</v>
      </c>
      <c r="CP909" s="8">
        <f t="shared" si="685"/>
        <v>0</v>
      </c>
      <c r="CQ909" s="8">
        <f t="shared" si="686"/>
        <v>0</v>
      </c>
      <c r="CR909" s="8">
        <f t="shared" si="687"/>
        <v>0</v>
      </c>
      <c r="CS909" s="8">
        <f t="shared" si="688"/>
        <v>0</v>
      </c>
      <c r="CT909" s="8">
        <f t="shared" ref="CT909:CT972" si="693">IF(AND(J909&gt;0,OR(B909="MB",B909="new MB")),J909,0)*4+IF(AND(J909&gt;0,OR(C909="MB",C909="new MB")),J909,0)*4</f>
        <v>0</v>
      </c>
      <c r="CU909" s="8">
        <f t="shared" ref="CU909:CU972" si="694">IF(AND(I909&gt;0,OR(B909="MB",B909="new MB")),I909,0)*4+IF(AND(I909&gt;0,OR(C909="MB",C909="new MB")),I909,0)*4</f>
        <v>0</v>
      </c>
      <c r="CV909" s="8">
        <f t="shared" ref="CV909:CV972" si="695">IF(AND(H909&gt;0,OR(B909="MB",B909="new MB")),H909,0)*4+IF(AND(H909&gt;0,OR(C909="MB",C909="new MB")),H909,0)*4</f>
        <v>0</v>
      </c>
    </row>
    <row r="910" spans="1:100" ht="20.5" thickTop="1" thickBot="1" x14ac:dyDescent="0.5">
      <c r="A910" s="32"/>
      <c r="B910" s="10"/>
      <c r="C910" s="10"/>
      <c r="D910" s="11"/>
      <c r="E910" s="10"/>
      <c r="F910" s="10"/>
      <c r="G910" s="19"/>
      <c r="H910" s="19"/>
      <c r="I910" s="19"/>
      <c r="J910" s="19"/>
      <c r="K910" s="10"/>
      <c r="L910" s="10"/>
      <c r="M910" s="10"/>
      <c r="N910" s="10"/>
      <c r="O910" s="18"/>
      <c r="P910" s="18"/>
      <c r="Q910" s="21"/>
      <c r="R910" s="20"/>
      <c r="S910" s="16">
        <f t="shared" si="651"/>
        <v>0</v>
      </c>
      <c r="T910" s="11"/>
      <c r="AS910" s="31">
        <f t="shared" si="652"/>
        <v>0</v>
      </c>
      <c r="AT910" s="31">
        <f t="shared" si="653"/>
        <v>0</v>
      </c>
      <c r="AU910" s="31">
        <f t="shared" si="654"/>
        <v>0</v>
      </c>
      <c r="AV910" s="31">
        <f t="shared" si="655"/>
        <v>0</v>
      </c>
      <c r="AW910" s="31">
        <f t="shared" si="656"/>
        <v>0</v>
      </c>
      <c r="AX910" s="31">
        <f t="shared" si="657"/>
        <v>0</v>
      </c>
      <c r="AY910" s="31">
        <f t="shared" si="658"/>
        <v>0</v>
      </c>
      <c r="AZ910" s="31">
        <f t="shared" si="659"/>
        <v>0</v>
      </c>
      <c r="BA910" s="31">
        <f t="shared" si="660"/>
        <v>0</v>
      </c>
      <c r="BB910" s="31">
        <f t="shared" si="689"/>
        <v>0</v>
      </c>
      <c r="BM910" s="8">
        <f t="shared" si="690"/>
        <v>0</v>
      </c>
      <c r="BN910" s="8">
        <f t="shared" si="661"/>
        <v>0</v>
      </c>
      <c r="BO910" s="8">
        <f t="shared" si="662"/>
        <v>0</v>
      </c>
      <c r="BQ910" s="8">
        <f t="shared" si="663"/>
        <v>0</v>
      </c>
      <c r="BR910" s="63">
        <f t="shared" si="664"/>
        <v>0</v>
      </c>
      <c r="BS910" s="63">
        <f t="shared" si="691"/>
        <v>0</v>
      </c>
      <c r="BT910" s="63">
        <f t="shared" si="665"/>
        <v>0</v>
      </c>
      <c r="BU910" s="63">
        <f t="shared" si="666"/>
        <v>0</v>
      </c>
      <c r="BV910" s="57">
        <f t="shared" si="667"/>
        <v>0</v>
      </c>
      <c r="BW910" s="57">
        <f t="shared" si="668"/>
        <v>0</v>
      </c>
      <c r="BX910" s="57">
        <f t="shared" si="692"/>
        <v>0</v>
      </c>
      <c r="BY910" s="57">
        <f t="shared" si="650"/>
        <v>0</v>
      </c>
      <c r="BZ910" s="8">
        <f t="shared" si="669"/>
        <v>0</v>
      </c>
      <c r="CA910" s="8">
        <f t="shared" si="670"/>
        <v>0</v>
      </c>
      <c r="CB910" s="8">
        <f t="shared" si="671"/>
        <v>0</v>
      </c>
      <c r="CC910" s="8">
        <f t="shared" si="672"/>
        <v>0</v>
      </c>
      <c r="CD910" s="8">
        <f t="shared" si="673"/>
        <v>0</v>
      </c>
      <c r="CE910" s="8">
        <f t="shared" si="674"/>
        <v>0</v>
      </c>
      <c r="CF910" s="8">
        <f t="shared" si="675"/>
        <v>0</v>
      </c>
      <c r="CG910" s="8">
        <f t="shared" si="676"/>
        <v>0</v>
      </c>
      <c r="CH910" s="8">
        <f t="shared" si="677"/>
        <v>0</v>
      </c>
      <c r="CI910" s="8">
        <f t="shared" si="678"/>
        <v>0</v>
      </c>
      <c r="CJ910" s="8">
        <f t="shared" si="679"/>
        <v>0</v>
      </c>
      <c r="CK910" s="8">
        <f t="shared" si="680"/>
        <v>0</v>
      </c>
      <c r="CL910" s="8">
        <f t="shared" si="681"/>
        <v>0</v>
      </c>
      <c r="CM910" s="8">
        <f t="shared" si="682"/>
        <v>0</v>
      </c>
      <c r="CN910" s="8">
        <f t="shared" si="683"/>
        <v>0</v>
      </c>
      <c r="CO910" s="8">
        <f t="shared" si="684"/>
        <v>0</v>
      </c>
      <c r="CP910" s="8">
        <f t="shared" si="685"/>
        <v>0</v>
      </c>
      <c r="CQ910" s="8">
        <f t="shared" si="686"/>
        <v>0</v>
      </c>
      <c r="CR910" s="8">
        <f t="shared" si="687"/>
        <v>0</v>
      </c>
      <c r="CS910" s="8">
        <f t="shared" si="688"/>
        <v>0</v>
      </c>
      <c r="CT910" s="8">
        <f t="shared" si="693"/>
        <v>0</v>
      </c>
      <c r="CU910" s="8">
        <f t="shared" si="694"/>
        <v>0</v>
      </c>
      <c r="CV910" s="8">
        <f t="shared" si="695"/>
        <v>0</v>
      </c>
    </row>
    <row r="911" spans="1:100" ht="20.5" thickTop="1" thickBot="1" x14ac:dyDescent="0.5">
      <c r="A911" s="32"/>
      <c r="B911" s="10"/>
      <c r="C911" s="10"/>
      <c r="D911" s="11"/>
      <c r="E911" s="10"/>
      <c r="F911" s="10"/>
      <c r="G911" s="19"/>
      <c r="H911" s="19"/>
      <c r="I911" s="19"/>
      <c r="J911" s="19"/>
      <c r="K911" s="10"/>
      <c r="L911" s="10"/>
      <c r="M911" s="10"/>
      <c r="N911" s="10"/>
      <c r="O911" s="18"/>
      <c r="P911" s="18"/>
      <c r="Q911" s="21"/>
      <c r="R911" s="20"/>
      <c r="S911" s="16">
        <f t="shared" si="651"/>
        <v>0</v>
      </c>
      <c r="T911" s="11"/>
      <c r="AS911" s="31">
        <f t="shared" si="652"/>
        <v>0</v>
      </c>
      <c r="AT911" s="31">
        <f t="shared" si="653"/>
        <v>0</v>
      </c>
      <c r="AU911" s="31">
        <f t="shared" si="654"/>
        <v>0</v>
      </c>
      <c r="AV911" s="31">
        <f t="shared" si="655"/>
        <v>0</v>
      </c>
      <c r="AW911" s="31">
        <f t="shared" si="656"/>
        <v>0</v>
      </c>
      <c r="AX911" s="31">
        <f t="shared" si="657"/>
        <v>0</v>
      </c>
      <c r="AY911" s="31">
        <f t="shared" si="658"/>
        <v>0</v>
      </c>
      <c r="AZ911" s="31">
        <f t="shared" si="659"/>
        <v>0</v>
      </c>
      <c r="BA911" s="31">
        <f t="shared" si="660"/>
        <v>0</v>
      </c>
      <c r="BB911" s="31">
        <f t="shared" si="689"/>
        <v>0</v>
      </c>
      <c r="BM911" s="8">
        <f t="shared" si="690"/>
        <v>0</v>
      </c>
      <c r="BN911" s="8">
        <f t="shared" si="661"/>
        <v>0</v>
      </c>
      <c r="BO911" s="8">
        <f t="shared" si="662"/>
        <v>0</v>
      </c>
      <c r="BQ911" s="8">
        <f t="shared" si="663"/>
        <v>0</v>
      </c>
      <c r="BR911" s="63">
        <f t="shared" si="664"/>
        <v>0</v>
      </c>
      <c r="BS911" s="63">
        <f t="shared" si="691"/>
        <v>0</v>
      </c>
      <c r="BT911" s="63">
        <f t="shared" si="665"/>
        <v>0</v>
      </c>
      <c r="BU911" s="63">
        <f t="shared" si="666"/>
        <v>0</v>
      </c>
      <c r="BV911" s="57">
        <f t="shared" si="667"/>
        <v>0</v>
      </c>
      <c r="BW911" s="57">
        <f t="shared" si="668"/>
        <v>0</v>
      </c>
      <c r="BX911" s="57">
        <f t="shared" si="692"/>
        <v>0</v>
      </c>
      <c r="BY911" s="57">
        <f t="shared" si="650"/>
        <v>0</v>
      </c>
      <c r="BZ911" s="8">
        <f t="shared" si="669"/>
        <v>0</v>
      </c>
      <c r="CA911" s="8">
        <f t="shared" si="670"/>
        <v>0</v>
      </c>
      <c r="CB911" s="8">
        <f t="shared" si="671"/>
        <v>0</v>
      </c>
      <c r="CC911" s="8">
        <f t="shared" si="672"/>
        <v>0</v>
      </c>
      <c r="CD911" s="8">
        <f t="shared" si="673"/>
        <v>0</v>
      </c>
      <c r="CE911" s="8">
        <f t="shared" si="674"/>
        <v>0</v>
      </c>
      <c r="CF911" s="8">
        <f t="shared" si="675"/>
        <v>0</v>
      </c>
      <c r="CG911" s="8">
        <f t="shared" si="676"/>
        <v>0</v>
      </c>
      <c r="CH911" s="8">
        <f t="shared" si="677"/>
        <v>0</v>
      </c>
      <c r="CI911" s="8">
        <f t="shared" si="678"/>
        <v>0</v>
      </c>
      <c r="CJ911" s="8">
        <f t="shared" si="679"/>
        <v>0</v>
      </c>
      <c r="CK911" s="8">
        <f t="shared" si="680"/>
        <v>0</v>
      </c>
      <c r="CL911" s="8">
        <f t="shared" si="681"/>
        <v>0</v>
      </c>
      <c r="CM911" s="8">
        <f t="shared" si="682"/>
        <v>0</v>
      </c>
      <c r="CN911" s="8">
        <f t="shared" si="683"/>
        <v>0</v>
      </c>
      <c r="CO911" s="8">
        <f t="shared" si="684"/>
        <v>0</v>
      </c>
      <c r="CP911" s="8">
        <f t="shared" si="685"/>
        <v>0</v>
      </c>
      <c r="CQ911" s="8">
        <f t="shared" si="686"/>
        <v>0</v>
      </c>
      <c r="CR911" s="8">
        <f t="shared" si="687"/>
        <v>0</v>
      </c>
      <c r="CS911" s="8">
        <f t="shared" si="688"/>
        <v>0</v>
      </c>
      <c r="CT911" s="8">
        <f t="shared" si="693"/>
        <v>0</v>
      </c>
      <c r="CU911" s="8">
        <f t="shared" si="694"/>
        <v>0</v>
      </c>
      <c r="CV911" s="8">
        <f t="shared" si="695"/>
        <v>0</v>
      </c>
    </row>
    <row r="912" spans="1:100" ht="20.5" thickTop="1" thickBot="1" x14ac:dyDescent="0.5">
      <c r="A912" s="32"/>
      <c r="B912" s="10"/>
      <c r="C912" s="10"/>
      <c r="D912" s="11"/>
      <c r="E912" s="10"/>
      <c r="F912" s="10"/>
      <c r="G912" s="19"/>
      <c r="H912" s="19"/>
      <c r="I912" s="19"/>
      <c r="J912" s="19"/>
      <c r="K912" s="10"/>
      <c r="L912" s="10"/>
      <c r="M912" s="10"/>
      <c r="N912" s="10"/>
      <c r="O912" s="18"/>
      <c r="P912" s="18"/>
      <c r="Q912" s="21"/>
      <c r="R912" s="20"/>
      <c r="S912" s="16">
        <f t="shared" si="651"/>
        <v>0</v>
      </c>
      <c r="T912" s="11"/>
      <c r="AS912" s="31">
        <f t="shared" si="652"/>
        <v>0</v>
      </c>
      <c r="AT912" s="31">
        <f t="shared" si="653"/>
        <v>0</v>
      </c>
      <c r="AU912" s="31">
        <f t="shared" si="654"/>
        <v>0</v>
      </c>
      <c r="AV912" s="31">
        <f t="shared" si="655"/>
        <v>0</v>
      </c>
      <c r="AW912" s="31">
        <f t="shared" si="656"/>
        <v>0</v>
      </c>
      <c r="AX912" s="31">
        <f t="shared" si="657"/>
        <v>0</v>
      </c>
      <c r="AY912" s="31">
        <f t="shared" si="658"/>
        <v>0</v>
      </c>
      <c r="AZ912" s="31">
        <f t="shared" si="659"/>
        <v>0</v>
      </c>
      <c r="BA912" s="31">
        <f t="shared" si="660"/>
        <v>0</v>
      </c>
      <c r="BB912" s="31">
        <f t="shared" si="689"/>
        <v>0</v>
      </c>
      <c r="BM912" s="8">
        <f t="shared" si="690"/>
        <v>0</v>
      </c>
      <c r="BN912" s="8">
        <f t="shared" si="661"/>
        <v>0</v>
      </c>
      <c r="BO912" s="8">
        <f t="shared" si="662"/>
        <v>0</v>
      </c>
      <c r="BQ912" s="8">
        <f t="shared" si="663"/>
        <v>0</v>
      </c>
      <c r="BR912" s="63">
        <f t="shared" si="664"/>
        <v>0</v>
      </c>
      <c r="BS912" s="63">
        <f t="shared" si="691"/>
        <v>0</v>
      </c>
      <c r="BT912" s="63">
        <f t="shared" si="665"/>
        <v>0</v>
      </c>
      <c r="BU912" s="63">
        <f t="shared" si="666"/>
        <v>0</v>
      </c>
      <c r="BV912" s="57">
        <f t="shared" si="667"/>
        <v>0</v>
      </c>
      <c r="BW912" s="57">
        <f t="shared" si="668"/>
        <v>0</v>
      </c>
      <c r="BX912" s="57">
        <f t="shared" si="692"/>
        <v>0</v>
      </c>
      <c r="BY912" s="57">
        <f t="shared" si="650"/>
        <v>0</v>
      </c>
      <c r="BZ912" s="8">
        <f t="shared" si="669"/>
        <v>0</v>
      </c>
      <c r="CA912" s="8">
        <f t="shared" si="670"/>
        <v>0</v>
      </c>
      <c r="CB912" s="8">
        <f t="shared" si="671"/>
        <v>0</v>
      </c>
      <c r="CC912" s="8">
        <f t="shared" si="672"/>
        <v>0</v>
      </c>
      <c r="CD912" s="8">
        <f t="shared" si="673"/>
        <v>0</v>
      </c>
      <c r="CE912" s="8">
        <f t="shared" si="674"/>
        <v>0</v>
      </c>
      <c r="CF912" s="8">
        <f t="shared" si="675"/>
        <v>0</v>
      </c>
      <c r="CG912" s="8">
        <f t="shared" si="676"/>
        <v>0</v>
      </c>
      <c r="CH912" s="8">
        <f t="shared" si="677"/>
        <v>0</v>
      </c>
      <c r="CI912" s="8">
        <f t="shared" si="678"/>
        <v>0</v>
      </c>
      <c r="CJ912" s="8">
        <f t="shared" si="679"/>
        <v>0</v>
      </c>
      <c r="CK912" s="8">
        <f t="shared" si="680"/>
        <v>0</v>
      </c>
      <c r="CL912" s="8">
        <f t="shared" si="681"/>
        <v>0</v>
      </c>
      <c r="CM912" s="8">
        <f t="shared" si="682"/>
        <v>0</v>
      </c>
      <c r="CN912" s="8">
        <f t="shared" si="683"/>
        <v>0</v>
      </c>
      <c r="CO912" s="8">
        <f t="shared" si="684"/>
        <v>0</v>
      </c>
      <c r="CP912" s="8">
        <f t="shared" si="685"/>
        <v>0</v>
      </c>
      <c r="CQ912" s="8">
        <f t="shared" si="686"/>
        <v>0</v>
      </c>
      <c r="CR912" s="8">
        <f t="shared" si="687"/>
        <v>0</v>
      </c>
      <c r="CS912" s="8">
        <f t="shared" si="688"/>
        <v>0</v>
      </c>
      <c r="CT912" s="8">
        <f t="shared" si="693"/>
        <v>0</v>
      </c>
      <c r="CU912" s="8">
        <f t="shared" si="694"/>
        <v>0</v>
      </c>
      <c r="CV912" s="8">
        <f t="shared" si="695"/>
        <v>0</v>
      </c>
    </row>
    <row r="913" spans="1:100" ht="20.5" thickTop="1" thickBot="1" x14ac:dyDescent="0.5">
      <c r="A913" s="32"/>
      <c r="B913" s="10"/>
      <c r="C913" s="10"/>
      <c r="D913" s="11"/>
      <c r="E913" s="10"/>
      <c r="F913" s="10"/>
      <c r="G913" s="19"/>
      <c r="H913" s="19"/>
      <c r="I913" s="19"/>
      <c r="J913" s="19"/>
      <c r="K913" s="10"/>
      <c r="L913" s="10"/>
      <c r="M913" s="10"/>
      <c r="N913" s="10"/>
      <c r="O913" s="18"/>
      <c r="P913" s="18"/>
      <c r="Q913" s="21"/>
      <c r="R913" s="20"/>
      <c r="S913" s="16">
        <f t="shared" si="651"/>
        <v>0</v>
      </c>
      <c r="T913" s="11"/>
      <c r="AS913" s="31">
        <f t="shared" si="652"/>
        <v>0</v>
      </c>
      <c r="AT913" s="31">
        <f t="shared" si="653"/>
        <v>0</v>
      </c>
      <c r="AU913" s="31">
        <f t="shared" si="654"/>
        <v>0</v>
      </c>
      <c r="AV913" s="31">
        <f t="shared" si="655"/>
        <v>0</v>
      </c>
      <c r="AW913" s="31">
        <f t="shared" si="656"/>
        <v>0</v>
      </c>
      <c r="AX913" s="31">
        <f t="shared" si="657"/>
        <v>0</v>
      </c>
      <c r="AY913" s="31">
        <f t="shared" si="658"/>
        <v>0</v>
      </c>
      <c r="AZ913" s="31">
        <f t="shared" si="659"/>
        <v>0</v>
      </c>
      <c r="BA913" s="31">
        <f t="shared" si="660"/>
        <v>0</v>
      </c>
      <c r="BB913" s="31">
        <f t="shared" si="689"/>
        <v>0</v>
      </c>
      <c r="BM913" s="8">
        <f t="shared" si="690"/>
        <v>0</v>
      </c>
      <c r="BN913" s="8">
        <f t="shared" si="661"/>
        <v>0</v>
      </c>
      <c r="BO913" s="8">
        <f t="shared" si="662"/>
        <v>0</v>
      </c>
      <c r="BQ913" s="8">
        <f t="shared" si="663"/>
        <v>0</v>
      </c>
      <c r="BR913" s="63">
        <f t="shared" si="664"/>
        <v>0</v>
      </c>
      <c r="BS913" s="63">
        <f t="shared" si="691"/>
        <v>0</v>
      </c>
      <c r="BT913" s="63">
        <f t="shared" si="665"/>
        <v>0</v>
      </c>
      <c r="BU913" s="63">
        <f t="shared" si="666"/>
        <v>0</v>
      </c>
      <c r="BV913" s="57">
        <f t="shared" si="667"/>
        <v>0</v>
      </c>
      <c r="BW913" s="57">
        <f t="shared" si="668"/>
        <v>0</v>
      </c>
      <c r="BX913" s="57">
        <f t="shared" si="692"/>
        <v>0</v>
      </c>
      <c r="BY913" s="57">
        <f t="shared" si="650"/>
        <v>0</v>
      </c>
      <c r="BZ913" s="8">
        <f t="shared" si="669"/>
        <v>0</v>
      </c>
      <c r="CA913" s="8">
        <f t="shared" si="670"/>
        <v>0</v>
      </c>
      <c r="CB913" s="8">
        <f t="shared" si="671"/>
        <v>0</v>
      </c>
      <c r="CC913" s="8">
        <f t="shared" si="672"/>
        <v>0</v>
      </c>
      <c r="CD913" s="8">
        <f t="shared" si="673"/>
        <v>0</v>
      </c>
      <c r="CE913" s="8">
        <f t="shared" si="674"/>
        <v>0</v>
      </c>
      <c r="CF913" s="8">
        <f t="shared" si="675"/>
        <v>0</v>
      </c>
      <c r="CG913" s="8">
        <f t="shared" si="676"/>
        <v>0</v>
      </c>
      <c r="CH913" s="8">
        <f t="shared" si="677"/>
        <v>0</v>
      </c>
      <c r="CI913" s="8">
        <f t="shared" si="678"/>
        <v>0</v>
      </c>
      <c r="CJ913" s="8">
        <f t="shared" si="679"/>
        <v>0</v>
      </c>
      <c r="CK913" s="8">
        <f t="shared" si="680"/>
        <v>0</v>
      </c>
      <c r="CL913" s="8">
        <f t="shared" si="681"/>
        <v>0</v>
      </c>
      <c r="CM913" s="8">
        <f t="shared" si="682"/>
        <v>0</v>
      </c>
      <c r="CN913" s="8">
        <f t="shared" si="683"/>
        <v>0</v>
      </c>
      <c r="CO913" s="8">
        <f t="shared" si="684"/>
        <v>0</v>
      </c>
      <c r="CP913" s="8">
        <f t="shared" si="685"/>
        <v>0</v>
      </c>
      <c r="CQ913" s="8">
        <f t="shared" si="686"/>
        <v>0</v>
      </c>
      <c r="CR913" s="8">
        <f t="shared" si="687"/>
        <v>0</v>
      </c>
      <c r="CS913" s="8">
        <f t="shared" si="688"/>
        <v>0</v>
      </c>
      <c r="CT913" s="8">
        <f t="shared" si="693"/>
        <v>0</v>
      </c>
      <c r="CU913" s="8">
        <f t="shared" si="694"/>
        <v>0</v>
      </c>
      <c r="CV913" s="8">
        <f t="shared" si="695"/>
        <v>0</v>
      </c>
    </row>
    <row r="914" spans="1:100" ht="20.5" thickTop="1" thickBot="1" x14ac:dyDescent="0.5">
      <c r="A914" s="32"/>
      <c r="B914" s="10"/>
      <c r="C914" s="10"/>
      <c r="D914" s="11"/>
      <c r="E914" s="10"/>
      <c r="F914" s="10"/>
      <c r="G914" s="19"/>
      <c r="H914" s="19"/>
      <c r="I914" s="19"/>
      <c r="J914" s="19"/>
      <c r="K914" s="10"/>
      <c r="L914" s="10"/>
      <c r="M914" s="10"/>
      <c r="N914" s="10"/>
      <c r="O914" s="18"/>
      <c r="P914" s="18"/>
      <c r="Q914" s="21"/>
      <c r="R914" s="20"/>
      <c r="S914" s="16">
        <f t="shared" si="651"/>
        <v>0</v>
      </c>
      <c r="T914" s="11"/>
      <c r="AS914" s="31">
        <f t="shared" si="652"/>
        <v>0</v>
      </c>
      <c r="AT914" s="31">
        <f t="shared" si="653"/>
        <v>0</v>
      </c>
      <c r="AU914" s="31">
        <f t="shared" si="654"/>
        <v>0</v>
      </c>
      <c r="AV914" s="31">
        <f t="shared" si="655"/>
        <v>0</v>
      </c>
      <c r="AW914" s="31">
        <f t="shared" si="656"/>
        <v>0</v>
      </c>
      <c r="AX914" s="31">
        <f t="shared" si="657"/>
        <v>0</v>
      </c>
      <c r="AY914" s="31">
        <f t="shared" si="658"/>
        <v>0</v>
      </c>
      <c r="AZ914" s="31">
        <f t="shared" si="659"/>
        <v>0</v>
      </c>
      <c r="BA914" s="31">
        <f t="shared" si="660"/>
        <v>0</v>
      </c>
      <c r="BB914" s="31">
        <f t="shared" si="689"/>
        <v>0</v>
      </c>
      <c r="BM914" s="8">
        <f t="shared" si="690"/>
        <v>0</v>
      </c>
      <c r="BN914" s="8">
        <f t="shared" si="661"/>
        <v>0</v>
      </c>
      <c r="BO914" s="8">
        <f t="shared" si="662"/>
        <v>0</v>
      </c>
      <c r="BQ914" s="8">
        <f t="shared" si="663"/>
        <v>0</v>
      </c>
      <c r="BR914" s="63">
        <f t="shared" si="664"/>
        <v>0</v>
      </c>
      <c r="BS914" s="63">
        <f t="shared" si="691"/>
        <v>0</v>
      </c>
      <c r="BT914" s="63">
        <f t="shared" si="665"/>
        <v>0</v>
      </c>
      <c r="BU914" s="63">
        <f t="shared" si="666"/>
        <v>0</v>
      </c>
      <c r="BV914" s="57">
        <f t="shared" si="667"/>
        <v>0</v>
      </c>
      <c r="BW914" s="57">
        <f t="shared" si="668"/>
        <v>0</v>
      </c>
      <c r="BX914" s="57">
        <f t="shared" si="692"/>
        <v>0</v>
      </c>
      <c r="BY914" s="57">
        <f t="shared" si="650"/>
        <v>0</v>
      </c>
      <c r="BZ914" s="8">
        <f t="shared" si="669"/>
        <v>0</v>
      </c>
      <c r="CA914" s="8">
        <f t="shared" si="670"/>
        <v>0</v>
      </c>
      <c r="CB914" s="8">
        <f t="shared" si="671"/>
        <v>0</v>
      </c>
      <c r="CC914" s="8">
        <f t="shared" si="672"/>
        <v>0</v>
      </c>
      <c r="CD914" s="8">
        <f t="shared" si="673"/>
        <v>0</v>
      </c>
      <c r="CE914" s="8">
        <f t="shared" si="674"/>
        <v>0</v>
      </c>
      <c r="CF914" s="8">
        <f t="shared" si="675"/>
        <v>0</v>
      </c>
      <c r="CG914" s="8">
        <f t="shared" si="676"/>
        <v>0</v>
      </c>
      <c r="CH914" s="8">
        <f t="shared" si="677"/>
        <v>0</v>
      </c>
      <c r="CI914" s="8">
        <f t="shared" si="678"/>
        <v>0</v>
      </c>
      <c r="CJ914" s="8">
        <f t="shared" si="679"/>
        <v>0</v>
      </c>
      <c r="CK914" s="8">
        <f t="shared" si="680"/>
        <v>0</v>
      </c>
      <c r="CL914" s="8">
        <f t="shared" si="681"/>
        <v>0</v>
      </c>
      <c r="CM914" s="8">
        <f t="shared" si="682"/>
        <v>0</v>
      </c>
      <c r="CN914" s="8">
        <f t="shared" si="683"/>
        <v>0</v>
      </c>
      <c r="CO914" s="8">
        <f t="shared" si="684"/>
        <v>0</v>
      </c>
      <c r="CP914" s="8">
        <f t="shared" si="685"/>
        <v>0</v>
      </c>
      <c r="CQ914" s="8">
        <f t="shared" si="686"/>
        <v>0</v>
      </c>
      <c r="CR914" s="8">
        <f t="shared" si="687"/>
        <v>0</v>
      </c>
      <c r="CS914" s="8">
        <f t="shared" si="688"/>
        <v>0</v>
      </c>
      <c r="CT914" s="8">
        <f t="shared" si="693"/>
        <v>0</v>
      </c>
      <c r="CU914" s="8">
        <f t="shared" si="694"/>
        <v>0</v>
      </c>
      <c r="CV914" s="8">
        <f t="shared" si="695"/>
        <v>0</v>
      </c>
    </row>
    <row r="915" spans="1:100" ht="20.5" thickTop="1" thickBot="1" x14ac:dyDescent="0.5">
      <c r="A915" s="32"/>
      <c r="B915" s="10"/>
      <c r="C915" s="10"/>
      <c r="D915" s="11"/>
      <c r="E915" s="10"/>
      <c r="F915" s="10"/>
      <c r="G915" s="19"/>
      <c r="H915" s="19"/>
      <c r="I915" s="19"/>
      <c r="J915" s="19"/>
      <c r="K915" s="10"/>
      <c r="L915" s="10"/>
      <c r="M915" s="10"/>
      <c r="N915" s="10"/>
      <c r="O915" s="18"/>
      <c r="P915" s="18"/>
      <c r="Q915" s="21"/>
      <c r="R915" s="20"/>
      <c r="S915" s="16">
        <f t="shared" si="651"/>
        <v>0</v>
      </c>
      <c r="T915" s="11"/>
      <c r="AS915" s="31">
        <f t="shared" si="652"/>
        <v>0</v>
      </c>
      <c r="AT915" s="31">
        <f t="shared" si="653"/>
        <v>0</v>
      </c>
      <c r="AU915" s="31">
        <f t="shared" si="654"/>
        <v>0</v>
      </c>
      <c r="AV915" s="31">
        <f t="shared" si="655"/>
        <v>0</v>
      </c>
      <c r="AW915" s="31">
        <f t="shared" si="656"/>
        <v>0</v>
      </c>
      <c r="AX915" s="31">
        <f t="shared" si="657"/>
        <v>0</v>
      </c>
      <c r="AY915" s="31">
        <f t="shared" si="658"/>
        <v>0</v>
      </c>
      <c r="AZ915" s="31">
        <f t="shared" si="659"/>
        <v>0</v>
      </c>
      <c r="BA915" s="31">
        <f t="shared" si="660"/>
        <v>0</v>
      </c>
      <c r="BB915" s="31">
        <f t="shared" si="689"/>
        <v>0</v>
      </c>
      <c r="BM915" s="8">
        <f t="shared" si="690"/>
        <v>0</v>
      </c>
      <c r="BN915" s="8">
        <f t="shared" si="661"/>
        <v>0</v>
      </c>
      <c r="BO915" s="8">
        <f t="shared" si="662"/>
        <v>0</v>
      </c>
      <c r="BQ915" s="8">
        <f t="shared" si="663"/>
        <v>0</v>
      </c>
      <c r="BR915" s="63">
        <f t="shared" si="664"/>
        <v>0</v>
      </c>
      <c r="BS915" s="63">
        <f t="shared" si="691"/>
        <v>0</v>
      </c>
      <c r="BT915" s="63">
        <f t="shared" si="665"/>
        <v>0</v>
      </c>
      <c r="BU915" s="63">
        <f t="shared" si="666"/>
        <v>0</v>
      </c>
      <c r="BV915" s="57">
        <f t="shared" si="667"/>
        <v>0</v>
      </c>
      <c r="BW915" s="57">
        <f t="shared" si="668"/>
        <v>0</v>
      </c>
      <c r="BX915" s="57">
        <f t="shared" si="692"/>
        <v>0</v>
      </c>
      <c r="BY915" s="57">
        <f t="shared" si="650"/>
        <v>0</v>
      </c>
      <c r="BZ915" s="8">
        <f t="shared" si="669"/>
        <v>0</v>
      </c>
      <c r="CA915" s="8">
        <f t="shared" si="670"/>
        <v>0</v>
      </c>
      <c r="CB915" s="8">
        <f t="shared" si="671"/>
        <v>0</v>
      </c>
      <c r="CC915" s="8">
        <f t="shared" si="672"/>
        <v>0</v>
      </c>
      <c r="CD915" s="8">
        <f t="shared" si="673"/>
        <v>0</v>
      </c>
      <c r="CE915" s="8">
        <f t="shared" si="674"/>
        <v>0</v>
      </c>
      <c r="CF915" s="8">
        <f t="shared" si="675"/>
        <v>0</v>
      </c>
      <c r="CG915" s="8">
        <f t="shared" si="676"/>
        <v>0</v>
      </c>
      <c r="CH915" s="8">
        <f t="shared" si="677"/>
        <v>0</v>
      </c>
      <c r="CI915" s="8">
        <f t="shared" si="678"/>
        <v>0</v>
      </c>
      <c r="CJ915" s="8">
        <f t="shared" si="679"/>
        <v>0</v>
      </c>
      <c r="CK915" s="8">
        <f t="shared" si="680"/>
        <v>0</v>
      </c>
      <c r="CL915" s="8">
        <f t="shared" si="681"/>
        <v>0</v>
      </c>
      <c r="CM915" s="8">
        <f t="shared" si="682"/>
        <v>0</v>
      </c>
      <c r="CN915" s="8">
        <f t="shared" si="683"/>
        <v>0</v>
      </c>
      <c r="CO915" s="8">
        <f t="shared" si="684"/>
        <v>0</v>
      </c>
      <c r="CP915" s="8">
        <f t="shared" si="685"/>
        <v>0</v>
      </c>
      <c r="CQ915" s="8">
        <f t="shared" si="686"/>
        <v>0</v>
      </c>
      <c r="CR915" s="8">
        <f t="shared" si="687"/>
        <v>0</v>
      </c>
      <c r="CS915" s="8">
        <f t="shared" si="688"/>
        <v>0</v>
      </c>
      <c r="CT915" s="8">
        <f t="shared" si="693"/>
        <v>0</v>
      </c>
      <c r="CU915" s="8">
        <f t="shared" si="694"/>
        <v>0</v>
      </c>
      <c r="CV915" s="8">
        <f t="shared" si="695"/>
        <v>0</v>
      </c>
    </row>
    <row r="916" spans="1:100" ht="20.5" thickTop="1" thickBot="1" x14ac:dyDescent="0.5">
      <c r="A916" s="32"/>
      <c r="B916" s="10"/>
      <c r="C916" s="10"/>
      <c r="D916" s="11"/>
      <c r="E916" s="10"/>
      <c r="F916" s="10"/>
      <c r="G916" s="19"/>
      <c r="H916" s="19"/>
      <c r="I916" s="19"/>
      <c r="J916" s="19"/>
      <c r="K916" s="10"/>
      <c r="L916" s="10"/>
      <c r="M916" s="10"/>
      <c r="N916" s="10"/>
      <c r="O916" s="18"/>
      <c r="P916" s="18"/>
      <c r="Q916" s="21"/>
      <c r="R916" s="20"/>
      <c r="S916" s="16">
        <f t="shared" si="651"/>
        <v>0</v>
      </c>
      <c r="T916" s="11"/>
      <c r="AS916" s="31">
        <f t="shared" si="652"/>
        <v>0</v>
      </c>
      <c r="AT916" s="31">
        <f t="shared" si="653"/>
        <v>0</v>
      </c>
      <c r="AU916" s="31">
        <f t="shared" si="654"/>
        <v>0</v>
      </c>
      <c r="AV916" s="31">
        <f t="shared" si="655"/>
        <v>0</v>
      </c>
      <c r="AW916" s="31">
        <f t="shared" si="656"/>
        <v>0</v>
      </c>
      <c r="AX916" s="31">
        <f t="shared" si="657"/>
        <v>0</v>
      </c>
      <c r="AY916" s="31">
        <f t="shared" si="658"/>
        <v>0</v>
      </c>
      <c r="AZ916" s="31">
        <f t="shared" si="659"/>
        <v>0</v>
      </c>
      <c r="BA916" s="31">
        <f t="shared" si="660"/>
        <v>0</v>
      </c>
      <c r="BB916" s="31">
        <f t="shared" si="689"/>
        <v>0</v>
      </c>
      <c r="BM916" s="8">
        <f t="shared" si="690"/>
        <v>0</v>
      </c>
      <c r="BN916" s="8">
        <f t="shared" si="661"/>
        <v>0</v>
      </c>
      <c r="BO916" s="8">
        <f t="shared" si="662"/>
        <v>0</v>
      </c>
      <c r="BQ916" s="8">
        <f t="shared" si="663"/>
        <v>0</v>
      </c>
      <c r="BR916" s="63">
        <f t="shared" si="664"/>
        <v>0</v>
      </c>
      <c r="BS916" s="63">
        <f t="shared" si="691"/>
        <v>0</v>
      </c>
      <c r="BT916" s="63">
        <f t="shared" si="665"/>
        <v>0</v>
      </c>
      <c r="BU916" s="63">
        <f t="shared" si="666"/>
        <v>0</v>
      </c>
      <c r="BV916" s="57">
        <f t="shared" si="667"/>
        <v>0</v>
      </c>
      <c r="BW916" s="57">
        <f t="shared" si="668"/>
        <v>0</v>
      </c>
      <c r="BX916" s="57">
        <f t="shared" si="692"/>
        <v>0</v>
      </c>
      <c r="BY916" s="57">
        <f t="shared" si="650"/>
        <v>0</v>
      </c>
      <c r="BZ916" s="8">
        <f t="shared" si="669"/>
        <v>0</v>
      </c>
      <c r="CA916" s="8">
        <f t="shared" si="670"/>
        <v>0</v>
      </c>
      <c r="CB916" s="8">
        <f t="shared" si="671"/>
        <v>0</v>
      </c>
      <c r="CC916" s="8">
        <f t="shared" si="672"/>
        <v>0</v>
      </c>
      <c r="CD916" s="8">
        <f t="shared" si="673"/>
        <v>0</v>
      </c>
      <c r="CE916" s="8">
        <f t="shared" si="674"/>
        <v>0</v>
      </c>
      <c r="CF916" s="8">
        <f t="shared" si="675"/>
        <v>0</v>
      </c>
      <c r="CG916" s="8">
        <f t="shared" si="676"/>
        <v>0</v>
      </c>
      <c r="CH916" s="8">
        <f t="shared" si="677"/>
        <v>0</v>
      </c>
      <c r="CI916" s="8">
        <f t="shared" si="678"/>
        <v>0</v>
      </c>
      <c r="CJ916" s="8">
        <f t="shared" si="679"/>
        <v>0</v>
      </c>
      <c r="CK916" s="8">
        <f t="shared" si="680"/>
        <v>0</v>
      </c>
      <c r="CL916" s="8">
        <f t="shared" si="681"/>
        <v>0</v>
      </c>
      <c r="CM916" s="8">
        <f t="shared" si="682"/>
        <v>0</v>
      </c>
      <c r="CN916" s="8">
        <f t="shared" si="683"/>
        <v>0</v>
      </c>
      <c r="CO916" s="8">
        <f t="shared" si="684"/>
        <v>0</v>
      </c>
      <c r="CP916" s="8">
        <f t="shared" si="685"/>
        <v>0</v>
      </c>
      <c r="CQ916" s="8">
        <f t="shared" si="686"/>
        <v>0</v>
      </c>
      <c r="CR916" s="8">
        <f t="shared" si="687"/>
        <v>0</v>
      </c>
      <c r="CS916" s="8">
        <f t="shared" si="688"/>
        <v>0</v>
      </c>
      <c r="CT916" s="8">
        <f t="shared" si="693"/>
        <v>0</v>
      </c>
      <c r="CU916" s="8">
        <f t="shared" si="694"/>
        <v>0</v>
      </c>
      <c r="CV916" s="8">
        <f t="shared" si="695"/>
        <v>0</v>
      </c>
    </row>
    <row r="917" spans="1:100" ht="20.5" thickTop="1" thickBot="1" x14ac:dyDescent="0.5">
      <c r="A917" s="32"/>
      <c r="B917" s="10"/>
      <c r="C917" s="10"/>
      <c r="D917" s="11"/>
      <c r="E917" s="10"/>
      <c r="F917" s="10"/>
      <c r="G917" s="19"/>
      <c r="H917" s="19"/>
      <c r="I917" s="19"/>
      <c r="J917" s="19"/>
      <c r="K917" s="10"/>
      <c r="L917" s="10"/>
      <c r="M917" s="10"/>
      <c r="N917" s="10"/>
      <c r="O917" s="18"/>
      <c r="P917" s="18"/>
      <c r="Q917" s="21"/>
      <c r="R917" s="20"/>
      <c r="S917" s="16">
        <f t="shared" si="651"/>
        <v>0</v>
      </c>
      <c r="T917" s="11"/>
      <c r="AS917" s="31">
        <f t="shared" si="652"/>
        <v>0</v>
      </c>
      <c r="AT917" s="31">
        <f t="shared" si="653"/>
        <v>0</v>
      </c>
      <c r="AU917" s="31">
        <f t="shared" si="654"/>
        <v>0</v>
      </c>
      <c r="AV917" s="31">
        <f t="shared" si="655"/>
        <v>0</v>
      </c>
      <c r="AW917" s="31">
        <f t="shared" si="656"/>
        <v>0</v>
      </c>
      <c r="AX917" s="31">
        <f t="shared" si="657"/>
        <v>0</v>
      </c>
      <c r="AY917" s="31">
        <f t="shared" si="658"/>
        <v>0</v>
      </c>
      <c r="AZ917" s="31">
        <f t="shared" si="659"/>
        <v>0</v>
      </c>
      <c r="BA917" s="31">
        <f t="shared" si="660"/>
        <v>0</v>
      </c>
      <c r="BB917" s="31">
        <f t="shared" si="689"/>
        <v>0</v>
      </c>
      <c r="BM917" s="8">
        <f t="shared" si="690"/>
        <v>0</v>
      </c>
      <c r="BN917" s="8">
        <f t="shared" si="661"/>
        <v>0</v>
      </c>
      <c r="BO917" s="8">
        <f t="shared" si="662"/>
        <v>0</v>
      </c>
      <c r="BQ917" s="8">
        <f t="shared" si="663"/>
        <v>0</v>
      </c>
      <c r="BR917" s="63">
        <f t="shared" si="664"/>
        <v>0</v>
      </c>
      <c r="BS917" s="63">
        <f t="shared" si="691"/>
        <v>0</v>
      </c>
      <c r="BT917" s="63">
        <f t="shared" si="665"/>
        <v>0</v>
      </c>
      <c r="BU917" s="63">
        <f t="shared" si="666"/>
        <v>0</v>
      </c>
      <c r="BV917" s="57">
        <f t="shared" si="667"/>
        <v>0</v>
      </c>
      <c r="BW917" s="57">
        <f t="shared" si="668"/>
        <v>0</v>
      </c>
      <c r="BX917" s="57">
        <f t="shared" si="692"/>
        <v>0</v>
      </c>
      <c r="BY917" s="57">
        <f t="shared" si="650"/>
        <v>0</v>
      </c>
      <c r="BZ917" s="8">
        <f t="shared" si="669"/>
        <v>0</v>
      </c>
      <c r="CA917" s="8">
        <f t="shared" si="670"/>
        <v>0</v>
      </c>
      <c r="CB917" s="8">
        <f t="shared" si="671"/>
        <v>0</v>
      </c>
      <c r="CC917" s="8">
        <f t="shared" si="672"/>
        <v>0</v>
      </c>
      <c r="CD917" s="8">
        <f t="shared" si="673"/>
        <v>0</v>
      </c>
      <c r="CE917" s="8">
        <f t="shared" si="674"/>
        <v>0</v>
      </c>
      <c r="CF917" s="8">
        <f t="shared" si="675"/>
        <v>0</v>
      </c>
      <c r="CG917" s="8">
        <f t="shared" si="676"/>
        <v>0</v>
      </c>
      <c r="CH917" s="8">
        <f t="shared" si="677"/>
        <v>0</v>
      </c>
      <c r="CI917" s="8">
        <f t="shared" si="678"/>
        <v>0</v>
      </c>
      <c r="CJ917" s="8">
        <f t="shared" si="679"/>
        <v>0</v>
      </c>
      <c r="CK917" s="8">
        <f t="shared" si="680"/>
        <v>0</v>
      </c>
      <c r="CL917" s="8">
        <f t="shared" si="681"/>
        <v>0</v>
      </c>
      <c r="CM917" s="8">
        <f t="shared" si="682"/>
        <v>0</v>
      </c>
      <c r="CN917" s="8">
        <f t="shared" si="683"/>
        <v>0</v>
      </c>
      <c r="CO917" s="8">
        <f t="shared" si="684"/>
        <v>0</v>
      </c>
      <c r="CP917" s="8">
        <f t="shared" si="685"/>
        <v>0</v>
      </c>
      <c r="CQ917" s="8">
        <f t="shared" si="686"/>
        <v>0</v>
      </c>
      <c r="CR917" s="8">
        <f t="shared" si="687"/>
        <v>0</v>
      </c>
      <c r="CS917" s="8">
        <f t="shared" si="688"/>
        <v>0</v>
      </c>
      <c r="CT917" s="8">
        <f t="shared" si="693"/>
        <v>0</v>
      </c>
      <c r="CU917" s="8">
        <f t="shared" si="694"/>
        <v>0</v>
      </c>
      <c r="CV917" s="8">
        <f t="shared" si="695"/>
        <v>0</v>
      </c>
    </row>
    <row r="918" spans="1:100" ht="20.5" thickTop="1" thickBot="1" x14ac:dyDescent="0.5">
      <c r="A918" s="32"/>
      <c r="B918" s="10"/>
      <c r="C918" s="10"/>
      <c r="D918" s="11"/>
      <c r="E918" s="10"/>
      <c r="F918" s="10"/>
      <c r="G918" s="19"/>
      <c r="H918" s="19"/>
      <c r="I918" s="19"/>
      <c r="J918" s="19"/>
      <c r="K918" s="10"/>
      <c r="L918" s="10"/>
      <c r="M918" s="10"/>
      <c r="N918" s="10"/>
      <c r="O918" s="18"/>
      <c r="P918" s="18"/>
      <c r="Q918" s="21"/>
      <c r="R918" s="20"/>
      <c r="S918" s="16">
        <f t="shared" si="651"/>
        <v>0</v>
      </c>
      <c r="T918" s="11"/>
      <c r="AS918" s="31">
        <f t="shared" si="652"/>
        <v>0</v>
      </c>
      <c r="AT918" s="31">
        <f t="shared" si="653"/>
        <v>0</v>
      </c>
      <c r="AU918" s="31">
        <f t="shared" si="654"/>
        <v>0</v>
      </c>
      <c r="AV918" s="31">
        <f t="shared" si="655"/>
        <v>0</v>
      </c>
      <c r="AW918" s="31">
        <f t="shared" si="656"/>
        <v>0</v>
      </c>
      <c r="AX918" s="31">
        <f t="shared" si="657"/>
        <v>0</v>
      </c>
      <c r="AY918" s="31">
        <f t="shared" si="658"/>
        <v>0</v>
      </c>
      <c r="AZ918" s="31">
        <f t="shared" si="659"/>
        <v>0</v>
      </c>
      <c r="BA918" s="31">
        <f t="shared" si="660"/>
        <v>0</v>
      </c>
      <c r="BB918" s="31">
        <f t="shared" si="689"/>
        <v>0</v>
      </c>
      <c r="BM918" s="8">
        <f t="shared" si="690"/>
        <v>0</v>
      </c>
      <c r="BN918" s="8">
        <f t="shared" si="661"/>
        <v>0</v>
      </c>
      <c r="BO918" s="8">
        <f t="shared" si="662"/>
        <v>0</v>
      </c>
      <c r="BQ918" s="8">
        <f t="shared" si="663"/>
        <v>0</v>
      </c>
      <c r="BR918" s="63">
        <f t="shared" si="664"/>
        <v>0</v>
      </c>
      <c r="BS918" s="63">
        <f t="shared" si="691"/>
        <v>0</v>
      </c>
      <c r="BT918" s="63">
        <f t="shared" si="665"/>
        <v>0</v>
      </c>
      <c r="BU918" s="63">
        <f t="shared" si="666"/>
        <v>0</v>
      </c>
      <c r="BV918" s="57">
        <f t="shared" si="667"/>
        <v>0</v>
      </c>
      <c r="BW918" s="57">
        <f t="shared" si="668"/>
        <v>0</v>
      </c>
      <c r="BX918" s="57">
        <f t="shared" si="692"/>
        <v>0</v>
      </c>
      <c r="BY918" s="57">
        <f t="shared" si="650"/>
        <v>0</v>
      </c>
      <c r="BZ918" s="8">
        <f t="shared" si="669"/>
        <v>0</v>
      </c>
      <c r="CA918" s="8">
        <f t="shared" si="670"/>
        <v>0</v>
      </c>
      <c r="CB918" s="8">
        <f t="shared" si="671"/>
        <v>0</v>
      </c>
      <c r="CC918" s="8">
        <f t="shared" si="672"/>
        <v>0</v>
      </c>
      <c r="CD918" s="8">
        <f t="shared" si="673"/>
        <v>0</v>
      </c>
      <c r="CE918" s="8">
        <f t="shared" si="674"/>
        <v>0</v>
      </c>
      <c r="CF918" s="8">
        <f t="shared" si="675"/>
        <v>0</v>
      </c>
      <c r="CG918" s="8">
        <f t="shared" si="676"/>
        <v>0</v>
      </c>
      <c r="CH918" s="8">
        <f t="shared" si="677"/>
        <v>0</v>
      </c>
      <c r="CI918" s="8">
        <f t="shared" si="678"/>
        <v>0</v>
      </c>
      <c r="CJ918" s="8">
        <f t="shared" si="679"/>
        <v>0</v>
      </c>
      <c r="CK918" s="8">
        <f t="shared" si="680"/>
        <v>0</v>
      </c>
      <c r="CL918" s="8">
        <f t="shared" si="681"/>
        <v>0</v>
      </c>
      <c r="CM918" s="8">
        <f t="shared" si="682"/>
        <v>0</v>
      </c>
      <c r="CN918" s="8">
        <f t="shared" si="683"/>
        <v>0</v>
      </c>
      <c r="CO918" s="8">
        <f t="shared" si="684"/>
        <v>0</v>
      </c>
      <c r="CP918" s="8">
        <f t="shared" si="685"/>
        <v>0</v>
      </c>
      <c r="CQ918" s="8">
        <f t="shared" si="686"/>
        <v>0</v>
      </c>
      <c r="CR918" s="8">
        <f t="shared" si="687"/>
        <v>0</v>
      </c>
      <c r="CS918" s="8">
        <f t="shared" si="688"/>
        <v>0</v>
      </c>
      <c r="CT918" s="8">
        <f t="shared" si="693"/>
        <v>0</v>
      </c>
      <c r="CU918" s="8">
        <f t="shared" si="694"/>
        <v>0</v>
      </c>
      <c r="CV918" s="8">
        <f t="shared" si="695"/>
        <v>0</v>
      </c>
    </row>
    <row r="919" spans="1:100" ht="20.5" thickTop="1" thickBot="1" x14ac:dyDescent="0.5">
      <c r="A919" s="32"/>
      <c r="B919" s="10"/>
      <c r="C919" s="10"/>
      <c r="D919" s="11"/>
      <c r="E919" s="10"/>
      <c r="F919" s="10"/>
      <c r="G919" s="19"/>
      <c r="H919" s="19"/>
      <c r="I919" s="19"/>
      <c r="J919" s="19"/>
      <c r="K919" s="10"/>
      <c r="L919" s="10"/>
      <c r="M919" s="10"/>
      <c r="N919" s="10"/>
      <c r="O919" s="18"/>
      <c r="P919" s="18"/>
      <c r="Q919" s="21"/>
      <c r="R919" s="20"/>
      <c r="S919" s="16">
        <f t="shared" si="651"/>
        <v>0</v>
      </c>
      <c r="T919" s="11"/>
      <c r="AS919" s="31">
        <f t="shared" si="652"/>
        <v>0</v>
      </c>
      <c r="AT919" s="31">
        <f t="shared" si="653"/>
        <v>0</v>
      </c>
      <c r="AU919" s="31">
        <f t="shared" si="654"/>
        <v>0</v>
      </c>
      <c r="AV919" s="31">
        <f t="shared" si="655"/>
        <v>0</v>
      </c>
      <c r="AW919" s="31">
        <f t="shared" si="656"/>
        <v>0</v>
      </c>
      <c r="AX919" s="31">
        <f t="shared" si="657"/>
        <v>0</v>
      </c>
      <c r="AY919" s="31">
        <f t="shared" si="658"/>
        <v>0</v>
      </c>
      <c r="AZ919" s="31">
        <f t="shared" si="659"/>
        <v>0</v>
      </c>
      <c r="BA919" s="31">
        <f t="shared" si="660"/>
        <v>0</v>
      </c>
      <c r="BB919" s="31">
        <f t="shared" si="689"/>
        <v>0</v>
      </c>
      <c r="BM919" s="8">
        <f t="shared" si="690"/>
        <v>0</v>
      </c>
      <c r="BN919" s="8">
        <f t="shared" si="661"/>
        <v>0</v>
      </c>
      <c r="BO919" s="8">
        <f t="shared" si="662"/>
        <v>0</v>
      </c>
      <c r="BQ919" s="8">
        <f t="shared" si="663"/>
        <v>0</v>
      </c>
      <c r="BR919" s="63">
        <f t="shared" si="664"/>
        <v>0</v>
      </c>
      <c r="BS919" s="63">
        <f t="shared" si="691"/>
        <v>0</v>
      </c>
      <c r="BT919" s="63">
        <f t="shared" si="665"/>
        <v>0</v>
      </c>
      <c r="BU919" s="63">
        <f t="shared" si="666"/>
        <v>0</v>
      </c>
      <c r="BV919" s="57">
        <f t="shared" si="667"/>
        <v>0</v>
      </c>
      <c r="BW919" s="57">
        <f t="shared" si="668"/>
        <v>0</v>
      </c>
      <c r="BX919" s="57">
        <f t="shared" si="692"/>
        <v>0</v>
      </c>
      <c r="BY919" s="57">
        <f t="shared" si="650"/>
        <v>0</v>
      </c>
      <c r="BZ919" s="8">
        <f t="shared" si="669"/>
        <v>0</v>
      </c>
      <c r="CA919" s="8">
        <f t="shared" si="670"/>
        <v>0</v>
      </c>
      <c r="CB919" s="8">
        <f t="shared" si="671"/>
        <v>0</v>
      </c>
      <c r="CC919" s="8">
        <f t="shared" si="672"/>
        <v>0</v>
      </c>
      <c r="CD919" s="8">
        <f t="shared" si="673"/>
        <v>0</v>
      </c>
      <c r="CE919" s="8">
        <f t="shared" si="674"/>
        <v>0</v>
      </c>
      <c r="CF919" s="8">
        <f t="shared" si="675"/>
        <v>0</v>
      </c>
      <c r="CG919" s="8">
        <f t="shared" si="676"/>
        <v>0</v>
      </c>
      <c r="CH919" s="8">
        <f t="shared" si="677"/>
        <v>0</v>
      </c>
      <c r="CI919" s="8">
        <f t="shared" si="678"/>
        <v>0</v>
      </c>
      <c r="CJ919" s="8">
        <f t="shared" si="679"/>
        <v>0</v>
      </c>
      <c r="CK919" s="8">
        <f t="shared" si="680"/>
        <v>0</v>
      </c>
      <c r="CL919" s="8">
        <f t="shared" si="681"/>
        <v>0</v>
      </c>
      <c r="CM919" s="8">
        <f t="shared" si="682"/>
        <v>0</v>
      </c>
      <c r="CN919" s="8">
        <f t="shared" si="683"/>
        <v>0</v>
      </c>
      <c r="CO919" s="8">
        <f t="shared" si="684"/>
        <v>0</v>
      </c>
      <c r="CP919" s="8">
        <f t="shared" si="685"/>
        <v>0</v>
      </c>
      <c r="CQ919" s="8">
        <f t="shared" si="686"/>
        <v>0</v>
      </c>
      <c r="CR919" s="8">
        <f t="shared" si="687"/>
        <v>0</v>
      </c>
      <c r="CS919" s="8">
        <f t="shared" si="688"/>
        <v>0</v>
      </c>
      <c r="CT919" s="8">
        <f t="shared" si="693"/>
        <v>0</v>
      </c>
      <c r="CU919" s="8">
        <f t="shared" si="694"/>
        <v>0</v>
      </c>
      <c r="CV919" s="8">
        <f t="shared" si="695"/>
        <v>0</v>
      </c>
    </row>
    <row r="920" spans="1:100" ht="20.5" thickTop="1" thickBot="1" x14ac:dyDescent="0.5">
      <c r="A920" s="32"/>
      <c r="B920" s="10"/>
      <c r="C920" s="10"/>
      <c r="D920" s="11"/>
      <c r="E920" s="10"/>
      <c r="F920" s="10"/>
      <c r="G920" s="19"/>
      <c r="H920" s="19"/>
      <c r="I920" s="19"/>
      <c r="J920" s="19"/>
      <c r="K920" s="10"/>
      <c r="L920" s="10"/>
      <c r="M920" s="10"/>
      <c r="N920" s="10"/>
      <c r="O920" s="18"/>
      <c r="P920" s="18"/>
      <c r="Q920" s="21"/>
      <c r="R920" s="20"/>
      <c r="S920" s="16">
        <f t="shared" si="651"/>
        <v>0</v>
      </c>
      <c r="T920" s="11"/>
      <c r="AS920" s="31">
        <f t="shared" si="652"/>
        <v>0</v>
      </c>
      <c r="AT920" s="31">
        <f t="shared" si="653"/>
        <v>0</v>
      </c>
      <c r="AU920" s="31">
        <f t="shared" si="654"/>
        <v>0</v>
      </c>
      <c r="AV920" s="31">
        <f t="shared" si="655"/>
        <v>0</v>
      </c>
      <c r="AW920" s="31">
        <f t="shared" si="656"/>
        <v>0</v>
      </c>
      <c r="AX920" s="31">
        <f t="shared" si="657"/>
        <v>0</v>
      </c>
      <c r="AY920" s="31">
        <f t="shared" si="658"/>
        <v>0</v>
      </c>
      <c r="AZ920" s="31">
        <f t="shared" si="659"/>
        <v>0</v>
      </c>
      <c r="BA920" s="31">
        <f t="shared" si="660"/>
        <v>0</v>
      </c>
      <c r="BB920" s="31">
        <f t="shared" si="689"/>
        <v>0</v>
      </c>
      <c r="BM920" s="8">
        <f t="shared" si="690"/>
        <v>0</v>
      </c>
      <c r="BN920" s="8">
        <f t="shared" si="661"/>
        <v>0</v>
      </c>
      <c r="BO920" s="8">
        <f t="shared" si="662"/>
        <v>0</v>
      </c>
      <c r="BQ920" s="8">
        <f t="shared" si="663"/>
        <v>0</v>
      </c>
      <c r="BR920" s="63">
        <f t="shared" si="664"/>
        <v>0</v>
      </c>
      <c r="BS920" s="63">
        <f t="shared" si="691"/>
        <v>0</v>
      </c>
      <c r="BT920" s="63">
        <f t="shared" si="665"/>
        <v>0</v>
      </c>
      <c r="BU920" s="63">
        <f t="shared" si="666"/>
        <v>0</v>
      </c>
      <c r="BV920" s="57">
        <f t="shared" si="667"/>
        <v>0</v>
      </c>
      <c r="BW920" s="57">
        <f t="shared" si="668"/>
        <v>0</v>
      </c>
      <c r="BX920" s="57">
        <f t="shared" si="692"/>
        <v>0</v>
      </c>
      <c r="BY920" s="57">
        <f t="shared" si="650"/>
        <v>0</v>
      </c>
      <c r="BZ920" s="8">
        <f t="shared" si="669"/>
        <v>0</v>
      </c>
      <c r="CA920" s="8">
        <f t="shared" si="670"/>
        <v>0</v>
      </c>
      <c r="CB920" s="8">
        <f t="shared" si="671"/>
        <v>0</v>
      </c>
      <c r="CC920" s="8">
        <f t="shared" si="672"/>
        <v>0</v>
      </c>
      <c r="CD920" s="8">
        <f t="shared" si="673"/>
        <v>0</v>
      </c>
      <c r="CE920" s="8">
        <f t="shared" si="674"/>
        <v>0</v>
      </c>
      <c r="CF920" s="8">
        <f t="shared" si="675"/>
        <v>0</v>
      </c>
      <c r="CG920" s="8">
        <f t="shared" si="676"/>
        <v>0</v>
      </c>
      <c r="CH920" s="8">
        <f t="shared" si="677"/>
        <v>0</v>
      </c>
      <c r="CI920" s="8">
        <f t="shared" si="678"/>
        <v>0</v>
      </c>
      <c r="CJ920" s="8">
        <f t="shared" si="679"/>
        <v>0</v>
      </c>
      <c r="CK920" s="8">
        <f t="shared" si="680"/>
        <v>0</v>
      </c>
      <c r="CL920" s="8">
        <f t="shared" si="681"/>
        <v>0</v>
      </c>
      <c r="CM920" s="8">
        <f t="shared" si="682"/>
        <v>0</v>
      </c>
      <c r="CN920" s="8">
        <f t="shared" si="683"/>
        <v>0</v>
      </c>
      <c r="CO920" s="8">
        <f t="shared" si="684"/>
        <v>0</v>
      </c>
      <c r="CP920" s="8">
        <f t="shared" si="685"/>
        <v>0</v>
      </c>
      <c r="CQ920" s="8">
        <f t="shared" si="686"/>
        <v>0</v>
      </c>
      <c r="CR920" s="8">
        <f t="shared" si="687"/>
        <v>0</v>
      </c>
      <c r="CS920" s="8">
        <f t="shared" si="688"/>
        <v>0</v>
      </c>
      <c r="CT920" s="8">
        <f t="shared" si="693"/>
        <v>0</v>
      </c>
      <c r="CU920" s="8">
        <f t="shared" si="694"/>
        <v>0</v>
      </c>
      <c r="CV920" s="8">
        <f t="shared" si="695"/>
        <v>0</v>
      </c>
    </row>
    <row r="921" spans="1:100" ht="20.5" thickTop="1" thickBot="1" x14ac:dyDescent="0.5">
      <c r="A921" s="32"/>
      <c r="B921" s="10"/>
      <c r="C921" s="10"/>
      <c r="D921" s="11"/>
      <c r="E921" s="10"/>
      <c r="F921" s="10"/>
      <c r="G921" s="19"/>
      <c r="H921" s="19"/>
      <c r="I921" s="19"/>
      <c r="J921" s="19"/>
      <c r="K921" s="10"/>
      <c r="L921" s="10"/>
      <c r="M921" s="10"/>
      <c r="N921" s="10"/>
      <c r="O921" s="18"/>
      <c r="P921" s="18"/>
      <c r="Q921" s="21"/>
      <c r="R921" s="20"/>
      <c r="S921" s="16">
        <f t="shared" si="651"/>
        <v>0</v>
      </c>
      <c r="T921" s="11"/>
      <c r="AS921" s="31">
        <f t="shared" si="652"/>
        <v>0</v>
      </c>
      <c r="AT921" s="31">
        <f t="shared" si="653"/>
        <v>0</v>
      </c>
      <c r="AU921" s="31">
        <f t="shared" si="654"/>
        <v>0</v>
      </c>
      <c r="AV921" s="31">
        <f t="shared" si="655"/>
        <v>0</v>
      </c>
      <c r="AW921" s="31">
        <f t="shared" si="656"/>
        <v>0</v>
      </c>
      <c r="AX921" s="31">
        <f t="shared" si="657"/>
        <v>0</v>
      </c>
      <c r="AY921" s="31">
        <f t="shared" si="658"/>
        <v>0</v>
      </c>
      <c r="AZ921" s="31">
        <f t="shared" si="659"/>
        <v>0</v>
      </c>
      <c r="BA921" s="31">
        <f t="shared" si="660"/>
        <v>0</v>
      </c>
      <c r="BB921" s="31">
        <f t="shared" si="689"/>
        <v>0</v>
      </c>
      <c r="BM921" s="8">
        <f t="shared" si="690"/>
        <v>0</v>
      </c>
      <c r="BN921" s="8">
        <f t="shared" si="661"/>
        <v>0</v>
      </c>
      <c r="BO921" s="8">
        <f t="shared" si="662"/>
        <v>0</v>
      </c>
      <c r="BQ921" s="8">
        <f t="shared" si="663"/>
        <v>0</v>
      </c>
      <c r="BR921" s="63">
        <f t="shared" si="664"/>
        <v>0</v>
      </c>
      <c r="BS921" s="63">
        <f t="shared" si="691"/>
        <v>0</v>
      </c>
      <c r="BT921" s="63">
        <f t="shared" si="665"/>
        <v>0</v>
      </c>
      <c r="BU921" s="63">
        <f t="shared" si="666"/>
        <v>0</v>
      </c>
      <c r="BV921" s="57">
        <f t="shared" si="667"/>
        <v>0</v>
      </c>
      <c r="BW921" s="57">
        <f t="shared" si="668"/>
        <v>0</v>
      </c>
      <c r="BX921" s="57">
        <f t="shared" si="692"/>
        <v>0</v>
      </c>
      <c r="BY921" s="57">
        <f t="shared" si="650"/>
        <v>0</v>
      </c>
      <c r="BZ921" s="8">
        <f t="shared" si="669"/>
        <v>0</v>
      </c>
      <c r="CA921" s="8">
        <f t="shared" si="670"/>
        <v>0</v>
      </c>
      <c r="CB921" s="8">
        <f t="shared" si="671"/>
        <v>0</v>
      </c>
      <c r="CC921" s="8">
        <f t="shared" si="672"/>
        <v>0</v>
      </c>
      <c r="CD921" s="8">
        <f t="shared" si="673"/>
        <v>0</v>
      </c>
      <c r="CE921" s="8">
        <f t="shared" si="674"/>
        <v>0</v>
      </c>
      <c r="CF921" s="8">
        <f t="shared" si="675"/>
        <v>0</v>
      </c>
      <c r="CG921" s="8">
        <f t="shared" si="676"/>
        <v>0</v>
      </c>
      <c r="CH921" s="8">
        <f t="shared" si="677"/>
        <v>0</v>
      </c>
      <c r="CI921" s="8">
        <f t="shared" si="678"/>
        <v>0</v>
      </c>
      <c r="CJ921" s="8">
        <f t="shared" si="679"/>
        <v>0</v>
      </c>
      <c r="CK921" s="8">
        <f t="shared" si="680"/>
        <v>0</v>
      </c>
      <c r="CL921" s="8">
        <f t="shared" si="681"/>
        <v>0</v>
      </c>
      <c r="CM921" s="8">
        <f t="shared" si="682"/>
        <v>0</v>
      </c>
      <c r="CN921" s="8">
        <f t="shared" si="683"/>
        <v>0</v>
      </c>
      <c r="CO921" s="8">
        <f t="shared" si="684"/>
        <v>0</v>
      </c>
      <c r="CP921" s="8">
        <f t="shared" si="685"/>
        <v>0</v>
      </c>
      <c r="CQ921" s="8">
        <f t="shared" si="686"/>
        <v>0</v>
      </c>
      <c r="CR921" s="8">
        <f t="shared" si="687"/>
        <v>0</v>
      </c>
      <c r="CS921" s="8">
        <f t="shared" si="688"/>
        <v>0</v>
      </c>
      <c r="CT921" s="8">
        <f t="shared" si="693"/>
        <v>0</v>
      </c>
      <c r="CU921" s="8">
        <f t="shared" si="694"/>
        <v>0</v>
      </c>
      <c r="CV921" s="8">
        <f t="shared" si="695"/>
        <v>0</v>
      </c>
    </row>
    <row r="922" spans="1:100" ht="20.5" thickTop="1" thickBot="1" x14ac:dyDescent="0.5">
      <c r="A922" s="32"/>
      <c r="B922" s="10"/>
      <c r="C922" s="10"/>
      <c r="D922" s="11"/>
      <c r="E922" s="10"/>
      <c r="F922" s="10"/>
      <c r="G922" s="19"/>
      <c r="H922" s="19"/>
      <c r="I922" s="19"/>
      <c r="J922" s="19"/>
      <c r="K922" s="10"/>
      <c r="L922" s="10"/>
      <c r="M922" s="10"/>
      <c r="N922" s="10"/>
      <c r="O922" s="18"/>
      <c r="P922" s="18"/>
      <c r="Q922" s="21"/>
      <c r="R922" s="20"/>
      <c r="S922" s="16">
        <f t="shared" si="651"/>
        <v>0</v>
      </c>
      <c r="T922" s="11"/>
      <c r="AS922" s="31">
        <f t="shared" si="652"/>
        <v>0</v>
      </c>
      <c r="AT922" s="31">
        <f t="shared" si="653"/>
        <v>0</v>
      </c>
      <c r="AU922" s="31">
        <f t="shared" si="654"/>
        <v>0</v>
      </c>
      <c r="AV922" s="31">
        <f t="shared" si="655"/>
        <v>0</v>
      </c>
      <c r="AW922" s="31">
        <f t="shared" si="656"/>
        <v>0</v>
      </c>
      <c r="AX922" s="31">
        <f t="shared" si="657"/>
        <v>0</v>
      </c>
      <c r="AY922" s="31">
        <f t="shared" si="658"/>
        <v>0</v>
      </c>
      <c r="AZ922" s="31">
        <f t="shared" si="659"/>
        <v>0</v>
      </c>
      <c r="BA922" s="31">
        <f t="shared" si="660"/>
        <v>0</v>
      </c>
      <c r="BB922" s="31">
        <f t="shared" si="689"/>
        <v>0</v>
      </c>
      <c r="BM922" s="8">
        <f t="shared" si="690"/>
        <v>0</v>
      </c>
      <c r="BN922" s="8">
        <f t="shared" si="661"/>
        <v>0</v>
      </c>
      <c r="BO922" s="8">
        <f t="shared" si="662"/>
        <v>0</v>
      </c>
      <c r="BQ922" s="8">
        <f t="shared" si="663"/>
        <v>0</v>
      </c>
      <c r="BR922" s="63">
        <f t="shared" si="664"/>
        <v>0</v>
      </c>
      <c r="BS922" s="63">
        <f t="shared" si="691"/>
        <v>0</v>
      </c>
      <c r="BT922" s="63">
        <f t="shared" si="665"/>
        <v>0</v>
      </c>
      <c r="BU922" s="63">
        <f t="shared" si="666"/>
        <v>0</v>
      </c>
      <c r="BV922" s="57">
        <f t="shared" si="667"/>
        <v>0</v>
      </c>
      <c r="BW922" s="57">
        <f t="shared" si="668"/>
        <v>0</v>
      </c>
      <c r="BX922" s="57">
        <f t="shared" si="692"/>
        <v>0</v>
      </c>
      <c r="BY922" s="57">
        <f t="shared" si="650"/>
        <v>0</v>
      </c>
      <c r="BZ922" s="8">
        <f t="shared" si="669"/>
        <v>0</v>
      </c>
      <c r="CA922" s="8">
        <f t="shared" si="670"/>
        <v>0</v>
      </c>
      <c r="CB922" s="8">
        <f t="shared" si="671"/>
        <v>0</v>
      </c>
      <c r="CC922" s="8">
        <f t="shared" si="672"/>
        <v>0</v>
      </c>
      <c r="CD922" s="8">
        <f t="shared" si="673"/>
        <v>0</v>
      </c>
      <c r="CE922" s="8">
        <f t="shared" si="674"/>
        <v>0</v>
      </c>
      <c r="CF922" s="8">
        <f t="shared" si="675"/>
        <v>0</v>
      </c>
      <c r="CG922" s="8">
        <f t="shared" si="676"/>
        <v>0</v>
      </c>
      <c r="CH922" s="8">
        <f t="shared" si="677"/>
        <v>0</v>
      </c>
      <c r="CI922" s="8">
        <f t="shared" si="678"/>
        <v>0</v>
      </c>
      <c r="CJ922" s="8">
        <f t="shared" si="679"/>
        <v>0</v>
      </c>
      <c r="CK922" s="8">
        <f t="shared" si="680"/>
        <v>0</v>
      </c>
      <c r="CL922" s="8">
        <f t="shared" si="681"/>
        <v>0</v>
      </c>
      <c r="CM922" s="8">
        <f t="shared" si="682"/>
        <v>0</v>
      </c>
      <c r="CN922" s="8">
        <f t="shared" si="683"/>
        <v>0</v>
      </c>
      <c r="CO922" s="8">
        <f t="shared" si="684"/>
        <v>0</v>
      </c>
      <c r="CP922" s="8">
        <f t="shared" si="685"/>
        <v>0</v>
      </c>
      <c r="CQ922" s="8">
        <f t="shared" si="686"/>
        <v>0</v>
      </c>
      <c r="CR922" s="8">
        <f t="shared" si="687"/>
        <v>0</v>
      </c>
      <c r="CS922" s="8">
        <f t="shared" si="688"/>
        <v>0</v>
      </c>
      <c r="CT922" s="8">
        <f t="shared" si="693"/>
        <v>0</v>
      </c>
      <c r="CU922" s="8">
        <f t="shared" si="694"/>
        <v>0</v>
      </c>
      <c r="CV922" s="8">
        <f t="shared" si="695"/>
        <v>0</v>
      </c>
    </row>
    <row r="923" spans="1:100" ht="20.5" thickTop="1" thickBot="1" x14ac:dyDescent="0.5">
      <c r="A923" s="32"/>
      <c r="B923" s="10"/>
      <c r="C923" s="10"/>
      <c r="D923" s="11"/>
      <c r="E923" s="10"/>
      <c r="F923" s="10"/>
      <c r="G923" s="19"/>
      <c r="H923" s="19"/>
      <c r="I923" s="19"/>
      <c r="J923" s="19"/>
      <c r="K923" s="10"/>
      <c r="L923" s="10"/>
      <c r="M923" s="10"/>
      <c r="N923" s="10"/>
      <c r="O923" s="18"/>
      <c r="P923" s="18"/>
      <c r="Q923" s="21"/>
      <c r="R923" s="20"/>
      <c r="S923" s="16">
        <f t="shared" si="651"/>
        <v>0</v>
      </c>
      <c r="T923" s="11"/>
      <c r="AS923" s="31">
        <f t="shared" si="652"/>
        <v>0</v>
      </c>
      <c r="AT923" s="31">
        <f t="shared" si="653"/>
        <v>0</v>
      </c>
      <c r="AU923" s="31">
        <f t="shared" si="654"/>
        <v>0</v>
      </c>
      <c r="AV923" s="31">
        <f t="shared" si="655"/>
        <v>0</v>
      </c>
      <c r="AW923" s="31">
        <f t="shared" si="656"/>
        <v>0</v>
      </c>
      <c r="AX923" s="31">
        <f t="shared" si="657"/>
        <v>0</v>
      </c>
      <c r="AY923" s="31">
        <f t="shared" si="658"/>
        <v>0</v>
      </c>
      <c r="AZ923" s="31">
        <f t="shared" si="659"/>
        <v>0</v>
      </c>
      <c r="BA923" s="31">
        <f t="shared" si="660"/>
        <v>0</v>
      </c>
      <c r="BB923" s="31">
        <f t="shared" si="689"/>
        <v>0</v>
      </c>
      <c r="BM923" s="8">
        <f t="shared" si="690"/>
        <v>0</v>
      </c>
      <c r="BN923" s="8">
        <f t="shared" si="661"/>
        <v>0</v>
      </c>
      <c r="BO923" s="8">
        <f t="shared" si="662"/>
        <v>0</v>
      </c>
      <c r="BQ923" s="8">
        <f t="shared" si="663"/>
        <v>0</v>
      </c>
      <c r="BR923" s="63">
        <f t="shared" si="664"/>
        <v>0</v>
      </c>
      <c r="BS923" s="63">
        <f t="shared" si="691"/>
        <v>0</v>
      </c>
      <c r="BT923" s="63">
        <f t="shared" si="665"/>
        <v>0</v>
      </c>
      <c r="BU923" s="63">
        <f t="shared" si="666"/>
        <v>0</v>
      </c>
      <c r="BV923" s="57">
        <f t="shared" si="667"/>
        <v>0</v>
      </c>
      <c r="BW923" s="57">
        <f t="shared" si="668"/>
        <v>0</v>
      </c>
      <c r="BX923" s="57">
        <f t="shared" si="692"/>
        <v>0</v>
      </c>
      <c r="BY923" s="57">
        <f t="shared" si="650"/>
        <v>0</v>
      </c>
      <c r="BZ923" s="8">
        <f t="shared" si="669"/>
        <v>0</v>
      </c>
      <c r="CA923" s="8">
        <f t="shared" si="670"/>
        <v>0</v>
      </c>
      <c r="CB923" s="8">
        <f t="shared" si="671"/>
        <v>0</v>
      </c>
      <c r="CC923" s="8">
        <f t="shared" si="672"/>
        <v>0</v>
      </c>
      <c r="CD923" s="8">
        <f t="shared" si="673"/>
        <v>0</v>
      </c>
      <c r="CE923" s="8">
        <f t="shared" si="674"/>
        <v>0</v>
      </c>
      <c r="CF923" s="8">
        <f t="shared" si="675"/>
        <v>0</v>
      </c>
      <c r="CG923" s="8">
        <f t="shared" si="676"/>
        <v>0</v>
      </c>
      <c r="CH923" s="8">
        <f t="shared" si="677"/>
        <v>0</v>
      </c>
      <c r="CI923" s="8">
        <f t="shared" si="678"/>
        <v>0</v>
      </c>
      <c r="CJ923" s="8">
        <f t="shared" si="679"/>
        <v>0</v>
      </c>
      <c r="CK923" s="8">
        <f t="shared" si="680"/>
        <v>0</v>
      </c>
      <c r="CL923" s="8">
        <f t="shared" si="681"/>
        <v>0</v>
      </c>
      <c r="CM923" s="8">
        <f t="shared" si="682"/>
        <v>0</v>
      </c>
      <c r="CN923" s="8">
        <f t="shared" si="683"/>
        <v>0</v>
      </c>
      <c r="CO923" s="8">
        <f t="shared" si="684"/>
        <v>0</v>
      </c>
      <c r="CP923" s="8">
        <f t="shared" si="685"/>
        <v>0</v>
      </c>
      <c r="CQ923" s="8">
        <f t="shared" si="686"/>
        <v>0</v>
      </c>
      <c r="CR923" s="8">
        <f t="shared" si="687"/>
        <v>0</v>
      </c>
      <c r="CS923" s="8">
        <f t="shared" si="688"/>
        <v>0</v>
      </c>
      <c r="CT923" s="8">
        <f t="shared" si="693"/>
        <v>0</v>
      </c>
      <c r="CU923" s="8">
        <f t="shared" si="694"/>
        <v>0</v>
      </c>
      <c r="CV923" s="8">
        <f t="shared" si="695"/>
        <v>0</v>
      </c>
    </row>
    <row r="924" spans="1:100" ht="20.5" thickTop="1" thickBot="1" x14ac:dyDescent="0.5">
      <c r="A924" s="32"/>
      <c r="B924" s="10"/>
      <c r="C924" s="10"/>
      <c r="D924" s="11"/>
      <c r="E924" s="10"/>
      <c r="F924" s="10"/>
      <c r="G924" s="19"/>
      <c r="H924" s="19"/>
      <c r="I924" s="19"/>
      <c r="J924" s="19"/>
      <c r="K924" s="10"/>
      <c r="L924" s="10"/>
      <c r="M924" s="10"/>
      <c r="N924" s="10"/>
      <c r="O924" s="18"/>
      <c r="P924" s="18"/>
      <c r="Q924" s="21"/>
      <c r="R924" s="20"/>
      <c r="S924" s="16">
        <f t="shared" si="651"/>
        <v>0</v>
      </c>
      <c r="T924" s="11"/>
      <c r="AS924" s="31">
        <f t="shared" si="652"/>
        <v>0</v>
      </c>
      <c r="AT924" s="31">
        <f t="shared" si="653"/>
        <v>0</v>
      </c>
      <c r="AU924" s="31">
        <f t="shared" si="654"/>
        <v>0</v>
      </c>
      <c r="AV924" s="31">
        <f t="shared" si="655"/>
        <v>0</v>
      </c>
      <c r="AW924" s="31">
        <f t="shared" si="656"/>
        <v>0</v>
      </c>
      <c r="AX924" s="31">
        <f t="shared" si="657"/>
        <v>0</v>
      </c>
      <c r="AY924" s="31">
        <f t="shared" si="658"/>
        <v>0</v>
      </c>
      <c r="AZ924" s="31">
        <f t="shared" si="659"/>
        <v>0</v>
      </c>
      <c r="BA924" s="31">
        <f t="shared" si="660"/>
        <v>0</v>
      </c>
      <c r="BB924" s="31">
        <f t="shared" si="689"/>
        <v>0</v>
      </c>
      <c r="BM924" s="8">
        <f t="shared" si="690"/>
        <v>0</v>
      </c>
      <c r="BN924" s="8">
        <f t="shared" si="661"/>
        <v>0</v>
      </c>
      <c r="BO924" s="8">
        <f t="shared" si="662"/>
        <v>0</v>
      </c>
      <c r="BQ924" s="8">
        <f t="shared" si="663"/>
        <v>0</v>
      </c>
      <c r="BR924" s="63">
        <f t="shared" si="664"/>
        <v>0</v>
      </c>
      <c r="BS924" s="63">
        <f t="shared" si="691"/>
        <v>0</v>
      </c>
      <c r="BT924" s="63">
        <f t="shared" si="665"/>
        <v>0</v>
      </c>
      <c r="BU924" s="63">
        <f t="shared" si="666"/>
        <v>0</v>
      </c>
      <c r="BV924" s="57">
        <f t="shared" si="667"/>
        <v>0</v>
      </c>
      <c r="BW924" s="57">
        <f t="shared" si="668"/>
        <v>0</v>
      </c>
      <c r="BX924" s="57">
        <f t="shared" si="692"/>
        <v>0</v>
      </c>
      <c r="BY924" s="57">
        <f t="shared" si="650"/>
        <v>0</v>
      </c>
      <c r="BZ924" s="8">
        <f t="shared" si="669"/>
        <v>0</v>
      </c>
      <c r="CA924" s="8">
        <f t="shared" si="670"/>
        <v>0</v>
      </c>
      <c r="CB924" s="8">
        <f t="shared" si="671"/>
        <v>0</v>
      </c>
      <c r="CC924" s="8">
        <f t="shared" si="672"/>
        <v>0</v>
      </c>
      <c r="CD924" s="8">
        <f t="shared" si="673"/>
        <v>0</v>
      </c>
      <c r="CE924" s="8">
        <f t="shared" si="674"/>
        <v>0</v>
      </c>
      <c r="CF924" s="8">
        <f t="shared" si="675"/>
        <v>0</v>
      </c>
      <c r="CG924" s="8">
        <f t="shared" si="676"/>
        <v>0</v>
      </c>
      <c r="CH924" s="8">
        <f t="shared" si="677"/>
        <v>0</v>
      </c>
      <c r="CI924" s="8">
        <f t="shared" si="678"/>
        <v>0</v>
      </c>
      <c r="CJ924" s="8">
        <f t="shared" si="679"/>
        <v>0</v>
      </c>
      <c r="CK924" s="8">
        <f t="shared" si="680"/>
        <v>0</v>
      </c>
      <c r="CL924" s="8">
        <f t="shared" si="681"/>
        <v>0</v>
      </c>
      <c r="CM924" s="8">
        <f t="shared" si="682"/>
        <v>0</v>
      </c>
      <c r="CN924" s="8">
        <f t="shared" si="683"/>
        <v>0</v>
      </c>
      <c r="CO924" s="8">
        <f t="shared" si="684"/>
        <v>0</v>
      </c>
      <c r="CP924" s="8">
        <f t="shared" si="685"/>
        <v>0</v>
      </c>
      <c r="CQ924" s="8">
        <f t="shared" si="686"/>
        <v>0</v>
      </c>
      <c r="CR924" s="8">
        <f t="shared" si="687"/>
        <v>0</v>
      </c>
      <c r="CS924" s="8">
        <f t="shared" si="688"/>
        <v>0</v>
      </c>
      <c r="CT924" s="8">
        <f t="shared" si="693"/>
        <v>0</v>
      </c>
      <c r="CU924" s="8">
        <f t="shared" si="694"/>
        <v>0</v>
      </c>
      <c r="CV924" s="8">
        <f t="shared" si="695"/>
        <v>0</v>
      </c>
    </row>
    <row r="925" spans="1:100" ht="20.5" thickTop="1" thickBot="1" x14ac:dyDescent="0.5">
      <c r="A925" s="32"/>
      <c r="B925" s="10"/>
      <c r="C925" s="10"/>
      <c r="D925" s="11"/>
      <c r="E925" s="10"/>
      <c r="F925" s="10"/>
      <c r="G925" s="19"/>
      <c r="H925" s="19"/>
      <c r="I925" s="19"/>
      <c r="J925" s="19"/>
      <c r="K925" s="10"/>
      <c r="L925" s="10"/>
      <c r="M925" s="10"/>
      <c r="N925" s="10"/>
      <c r="O925" s="18"/>
      <c r="P925" s="18"/>
      <c r="Q925" s="21"/>
      <c r="R925" s="20"/>
      <c r="S925" s="16">
        <f t="shared" si="651"/>
        <v>0</v>
      </c>
      <c r="T925" s="11"/>
      <c r="AS925" s="31">
        <f t="shared" si="652"/>
        <v>0</v>
      </c>
      <c r="AT925" s="31">
        <f t="shared" si="653"/>
        <v>0</v>
      </c>
      <c r="AU925" s="31">
        <f t="shared" si="654"/>
        <v>0</v>
      </c>
      <c r="AV925" s="31">
        <f t="shared" si="655"/>
        <v>0</v>
      </c>
      <c r="AW925" s="31">
        <f t="shared" si="656"/>
        <v>0</v>
      </c>
      <c r="AX925" s="31">
        <f t="shared" si="657"/>
        <v>0</v>
      </c>
      <c r="AY925" s="31">
        <f t="shared" si="658"/>
        <v>0</v>
      </c>
      <c r="AZ925" s="31">
        <f t="shared" si="659"/>
        <v>0</v>
      </c>
      <c r="BA925" s="31">
        <f t="shared" si="660"/>
        <v>0</v>
      </c>
      <c r="BB925" s="31">
        <f t="shared" si="689"/>
        <v>0</v>
      </c>
      <c r="BM925" s="8">
        <f t="shared" si="690"/>
        <v>0</v>
      </c>
      <c r="BN925" s="8">
        <f t="shared" si="661"/>
        <v>0</v>
      </c>
      <c r="BO925" s="8">
        <f t="shared" si="662"/>
        <v>0</v>
      </c>
      <c r="BQ925" s="8">
        <f t="shared" si="663"/>
        <v>0</v>
      </c>
      <c r="BR925" s="63">
        <f t="shared" si="664"/>
        <v>0</v>
      </c>
      <c r="BS925" s="63">
        <f t="shared" si="691"/>
        <v>0</v>
      </c>
      <c r="BT925" s="63">
        <f t="shared" si="665"/>
        <v>0</v>
      </c>
      <c r="BU925" s="63">
        <f t="shared" si="666"/>
        <v>0</v>
      </c>
      <c r="BV925" s="57">
        <f t="shared" si="667"/>
        <v>0</v>
      </c>
      <c r="BW925" s="57">
        <f t="shared" si="668"/>
        <v>0</v>
      </c>
      <c r="BX925" s="57">
        <f t="shared" si="692"/>
        <v>0</v>
      </c>
      <c r="BY925" s="57">
        <f t="shared" ref="BY925:BY988" si="696">IF(AND(OR(N925="YES",N925="HDD",N925="EX PIPES"),K925=""),D925*(F925+G925),0)</f>
        <v>0</v>
      </c>
      <c r="BZ925" s="8">
        <f t="shared" si="669"/>
        <v>0</v>
      </c>
      <c r="CA925" s="8">
        <f t="shared" si="670"/>
        <v>0</v>
      </c>
      <c r="CB925" s="8">
        <f t="shared" si="671"/>
        <v>0</v>
      </c>
      <c r="CC925" s="8">
        <f t="shared" si="672"/>
        <v>0</v>
      </c>
      <c r="CD925" s="8">
        <f t="shared" si="673"/>
        <v>0</v>
      </c>
      <c r="CE925" s="8">
        <f t="shared" si="674"/>
        <v>0</v>
      </c>
      <c r="CF925" s="8">
        <f t="shared" si="675"/>
        <v>0</v>
      </c>
      <c r="CG925" s="8">
        <f t="shared" si="676"/>
        <v>0</v>
      </c>
      <c r="CH925" s="8">
        <f t="shared" si="677"/>
        <v>0</v>
      </c>
      <c r="CI925" s="8">
        <f t="shared" si="678"/>
        <v>0</v>
      </c>
      <c r="CJ925" s="8">
        <f t="shared" si="679"/>
        <v>0</v>
      </c>
      <c r="CK925" s="8">
        <f t="shared" si="680"/>
        <v>0</v>
      </c>
      <c r="CL925" s="8">
        <f t="shared" si="681"/>
        <v>0</v>
      </c>
      <c r="CM925" s="8">
        <f t="shared" si="682"/>
        <v>0</v>
      </c>
      <c r="CN925" s="8">
        <f t="shared" si="683"/>
        <v>0</v>
      </c>
      <c r="CO925" s="8">
        <f t="shared" si="684"/>
        <v>0</v>
      </c>
      <c r="CP925" s="8">
        <f t="shared" si="685"/>
        <v>0</v>
      </c>
      <c r="CQ925" s="8">
        <f t="shared" si="686"/>
        <v>0</v>
      </c>
      <c r="CR925" s="8">
        <f t="shared" si="687"/>
        <v>0</v>
      </c>
      <c r="CS925" s="8">
        <f t="shared" si="688"/>
        <v>0</v>
      </c>
      <c r="CT925" s="8">
        <f t="shared" si="693"/>
        <v>0</v>
      </c>
      <c r="CU925" s="8">
        <f t="shared" si="694"/>
        <v>0</v>
      </c>
      <c r="CV925" s="8">
        <f t="shared" si="695"/>
        <v>0</v>
      </c>
    </row>
    <row r="926" spans="1:100" ht="20.5" thickTop="1" thickBot="1" x14ac:dyDescent="0.5">
      <c r="A926" s="32"/>
      <c r="B926" s="10"/>
      <c r="C926" s="10"/>
      <c r="D926" s="11"/>
      <c r="E926" s="10"/>
      <c r="F926" s="10"/>
      <c r="G926" s="19"/>
      <c r="H926" s="19"/>
      <c r="I926" s="19"/>
      <c r="J926" s="19"/>
      <c r="K926" s="10"/>
      <c r="L926" s="10"/>
      <c r="M926" s="10"/>
      <c r="N926" s="10"/>
      <c r="O926" s="18"/>
      <c r="P926" s="18"/>
      <c r="Q926" s="21"/>
      <c r="R926" s="20"/>
      <c r="S926" s="16">
        <f t="shared" si="651"/>
        <v>0</v>
      </c>
      <c r="T926" s="11"/>
      <c r="AS926" s="31">
        <f t="shared" si="652"/>
        <v>0</v>
      </c>
      <c r="AT926" s="31">
        <f t="shared" si="653"/>
        <v>0</v>
      </c>
      <c r="AU926" s="31">
        <f t="shared" si="654"/>
        <v>0</v>
      </c>
      <c r="AV926" s="31">
        <f t="shared" si="655"/>
        <v>0</v>
      </c>
      <c r="AW926" s="31">
        <f t="shared" si="656"/>
        <v>0</v>
      </c>
      <c r="AX926" s="31">
        <f t="shared" si="657"/>
        <v>0</v>
      </c>
      <c r="AY926" s="31">
        <f t="shared" si="658"/>
        <v>0</v>
      </c>
      <c r="AZ926" s="31">
        <f t="shared" si="659"/>
        <v>0</v>
      </c>
      <c r="BA926" s="31">
        <f t="shared" si="660"/>
        <v>0</v>
      </c>
      <c r="BB926" s="31">
        <f t="shared" si="689"/>
        <v>0</v>
      </c>
      <c r="BM926" s="8">
        <f t="shared" si="690"/>
        <v>0</v>
      </c>
      <c r="BN926" s="8">
        <f t="shared" si="661"/>
        <v>0</v>
      </c>
      <c r="BO926" s="8">
        <f t="shared" si="662"/>
        <v>0</v>
      </c>
      <c r="BQ926" s="8">
        <f t="shared" si="663"/>
        <v>0</v>
      </c>
      <c r="BR926" s="63">
        <f t="shared" si="664"/>
        <v>0</v>
      </c>
      <c r="BS926" s="63">
        <f t="shared" si="691"/>
        <v>0</v>
      </c>
      <c r="BT926" s="63">
        <f t="shared" si="665"/>
        <v>0</v>
      </c>
      <c r="BU926" s="63">
        <f t="shared" si="666"/>
        <v>0</v>
      </c>
      <c r="BV926" s="57">
        <f t="shared" si="667"/>
        <v>0</v>
      </c>
      <c r="BW926" s="57">
        <f t="shared" si="668"/>
        <v>0</v>
      </c>
      <c r="BX926" s="57">
        <f t="shared" si="692"/>
        <v>0</v>
      </c>
      <c r="BY926" s="57">
        <f t="shared" si="696"/>
        <v>0</v>
      </c>
      <c r="BZ926" s="8">
        <f t="shared" si="669"/>
        <v>0</v>
      </c>
      <c r="CA926" s="8">
        <f t="shared" si="670"/>
        <v>0</v>
      </c>
      <c r="CB926" s="8">
        <f t="shared" si="671"/>
        <v>0</v>
      </c>
      <c r="CC926" s="8">
        <f t="shared" si="672"/>
        <v>0</v>
      </c>
      <c r="CD926" s="8">
        <f t="shared" si="673"/>
        <v>0</v>
      </c>
      <c r="CE926" s="8">
        <f t="shared" si="674"/>
        <v>0</v>
      </c>
      <c r="CF926" s="8">
        <f t="shared" si="675"/>
        <v>0</v>
      </c>
      <c r="CG926" s="8">
        <f t="shared" si="676"/>
        <v>0</v>
      </c>
      <c r="CH926" s="8">
        <f t="shared" si="677"/>
        <v>0</v>
      </c>
      <c r="CI926" s="8">
        <f t="shared" si="678"/>
        <v>0</v>
      </c>
      <c r="CJ926" s="8">
        <f t="shared" si="679"/>
        <v>0</v>
      </c>
      <c r="CK926" s="8">
        <f t="shared" si="680"/>
        <v>0</v>
      </c>
      <c r="CL926" s="8">
        <f t="shared" si="681"/>
        <v>0</v>
      </c>
      <c r="CM926" s="8">
        <f t="shared" si="682"/>
        <v>0</v>
      </c>
      <c r="CN926" s="8">
        <f t="shared" si="683"/>
        <v>0</v>
      </c>
      <c r="CO926" s="8">
        <f t="shared" si="684"/>
        <v>0</v>
      </c>
      <c r="CP926" s="8">
        <f t="shared" si="685"/>
        <v>0</v>
      </c>
      <c r="CQ926" s="8">
        <f t="shared" si="686"/>
        <v>0</v>
      </c>
      <c r="CR926" s="8">
        <f t="shared" si="687"/>
        <v>0</v>
      </c>
      <c r="CS926" s="8">
        <f t="shared" si="688"/>
        <v>0</v>
      </c>
      <c r="CT926" s="8">
        <f t="shared" si="693"/>
        <v>0</v>
      </c>
      <c r="CU926" s="8">
        <f t="shared" si="694"/>
        <v>0</v>
      </c>
      <c r="CV926" s="8">
        <f t="shared" si="695"/>
        <v>0</v>
      </c>
    </row>
    <row r="927" spans="1:100" ht="20.5" thickTop="1" thickBot="1" x14ac:dyDescent="0.5">
      <c r="A927" s="32"/>
      <c r="B927" s="10"/>
      <c r="C927" s="10"/>
      <c r="D927" s="11"/>
      <c r="E927" s="10"/>
      <c r="F927" s="10"/>
      <c r="G927" s="19"/>
      <c r="H927" s="19"/>
      <c r="I927" s="19"/>
      <c r="J927" s="19"/>
      <c r="K927" s="10"/>
      <c r="L927" s="10"/>
      <c r="M927" s="10"/>
      <c r="N927" s="10"/>
      <c r="O927" s="18"/>
      <c r="P927" s="18"/>
      <c r="Q927" s="21"/>
      <c r="R927" s="20"/>
      <c r="S927" s="16">
        <f t="shared" si="651"/>
        <v>0</v>
      </c>
      <c r="T927" s="11"/>
      <c r="AS927" s="31">
        <f t="shared" si="652"/>
        <v>0</v>
      </c>
      <c r="AT927" s="31">
        <f t="shared" si="653"/>
        <v>0</v>
      </c>
      <c r="AU927" s="31">
        <f t="shared" si="654"/>
        <v>0</v>
      </c>
      <c r="AV927" s="31">
        <f t="shared" si="655"/>
        <v>0</v>
      </c>
      <c r="AW927" s="31">
        <f t="shared" si="656"/>
        <v>0</v>
      </c>
      <c r="AX927" s="31">
        <f t="shared" si="657"/>
        <v>0</v>
      </c>
      <c r="AY927" s="31">
        <f t="shared" si="658"/>
        <v>0</v>
      </c>
      <c r="AZ927" s="31">
        <f t="shared" si="659"/>
        <v>0</v>
      </c>
      <c r="BA927" s="31">
        <f t="shared" si="660"/>
        <v>0</v>
      </c>
      <c r="BB927" s="31">
        <f t="shared" si="689"/>
        <v>0</v>
      </c>
      <c r="BM927" s="8">
        <f t="shared" si="690"/>
        <v>0</v>
      </c>
      <c r="BN927" s="8">
        <f t="shared" si="661"/>
        <v>0</v>
      </c>
      <c r="BO927" s="8">
        <f t="shared" si="662"/>
        <v>0</v>
      </c>
      <c r="BQ927" s="8">
        <f t="shared" si="663"/>
        <v>0</v>
      </c>
      <c r="BR927" s="63">
        <f t="shared" si="664"/>
        <v>0</v>
      </c>
      <c r="BS927" s="63">
        <f t="shared" si="691"/>
        <v>0</v>
      </c>
      <c r="BT927" s="63">
        <f t="shared" si="665"/>
        <v>0</v>
      </c>
      <c r="BU927" s="63">
        <f t="shared" si="666"/>
        <v>0</v>
      </c>
      <c r="BV927" s="57">
        <f t="shared" si="667"/>
        <v>0</v>
      </c>
      <c r="BW927" s="57">
        <f t="shared" si="668"/>
        <v>0</v>
      </c>
      <c r="BX927" s="57">
        <f t="shared" si="692"/>
        <v>0</v>
      </c>
      <c r="BY927" s="57">
        <f t="shared" si="696"/>
        <v>0</v>
      </c>
      <c r="BZ927" s="8">
        <f t="shared" si="669"/>
        <v>0</v>
      </c>
      <c r="CA927" s="8">
        <f t="shared" si="670"/>
        <v>0</v>
      </c>
      <c r="CB927" s="8">
        <f t="shared" si="671"/>
        <v>0</v>
      </c>
      <c r="CC927" s="8">
        <f t="shared" si="672"/>
        <v>0</v>
      </c>
      <c r="CD927" s="8">
        <f t="shared" si="673"/>
        <v>0</v>
      </c>
      <c r="CE927" s="8">
        <f t="shared" si="674"/>
        <v>0</v>
      </c>
      <c r="CF927" s="8">
        <f t="shared" si="675"/>
        <v>0</v>
      </c>
      <c r="CG927" s="8">
        <f t="shared" si="676"/>
        <v>0</v>
      </c>
      <c r="CH927" s="8">
        <f t="shared" si="677"/>
        <v>0</v>
      </c>
      <c r="CI927" s="8">
        <f t="shared" si="678"/>
        <v>0</v>
      </c>
      <c r="CJ927" s="8">
        <f t="shared" si="679"/>
        <v>0</v>
      </c>
      <c r="CK927" s="8">
        <f t="shared" si="680"/>
        <v>0</v>
      </c>
      <c r="CL927" s="8">
        <f t="shared" si="681"/>
        <v>0</v>
      </c>
      <c r="CM927" s="8">
        <f t="shared" si="682"/>
        <v>0</v>
      </c>
      <c r="CN927" s="8">
        <f t="shared" si="683"/>
        <v>0</v>
      </c>
      <c r="CO927" s="8">
        <f t="shared" si="684"/>
        <v>0</v>
      </c>
      <c r="CP927" s="8">
        <f t="shared" si="685"/>
        <v>0</v>
      </c>
      <c r="CQ927" s="8">
        <f t="shared" si="686"/>
        <v>0</v>
      </c>
      <c r="CR927" s="8">
        <f t="shared" si="687"/>
        <v>0</v>
      </c>
      <c r="CS927" s="8">
        <f t="shared" si="688"/>
        <v>0</v>
      </c>
      <c r="CT927" s="8">
        <f t="shared" si="693"/>
        <v>0</v>
      </c>
      <c r="CU927" s="8">
        <f t="shared" si="694"/>
        <v>0</v>
      </c>
      <c r="CV927" s="8">
        <f t="shared" si="695"/>
        <v>0</v>
      </c>
    </row>
    <row r="928" spans="1:100" ht="20.5" thickTop="1" thickBot="1" x14ac:dyDescent="0.5">
      <c r="A928" s="32"/>
      <c r="B928" s="10"/>
      <c r="C928" s="10"/>
      <c r="D928" s="11"/>
      <c r="E928" s="10"/>
      <c r="F928" s="10"/>
      <c r="G928" s="19"/>
      <c r="H928" s="19"/>
      <c r="I928" s="19"/>
      <c r="J928" s="19"/>
      <c r="K928" s="10"/>
      <c r="L928" s="10"/>
      <c r="M928" s="10"/>
      <c r="N928" s="10"/>
      <c r="O928" s="18"/>
      <c r="P928" s="18"/>
      <c r="Q928" s="21"/>
      <c r="R928" s="20"/>
      <c r="S928" s="16">
        <f t="shared" si="651"/>
        <v>0</v>
      </c>
      <c r="T928" s="11"/>
      <c r="AS928" s="31">
        <f t="shared" si="652"/>
        <v>0</v>
      </c>
      <c r="AT928" s="31">
        <f t="shared" si="653"/>
        <v>0</v>
      </c>
      <c r="AU928" s="31">
        <f t="shared" si="654"/>
        <v>0</v>
      </c>
      <c r="AV928" s="31">
        <f t="shared" si="655"/>
        <v>0</v>
      </c>
      <c r="AW928" s="31">
        <f t="shared" si="656"/>
        <v>0</v>
      </c>
      <c r="AX928" s="31">
        <f t="shared" si="657"/>
        <v>0</v>
      </c>
      <c r="AY928" s="31">
        <f t="shared" si="658"/>
        <v>0</v>
      </c>
      <c r="AZ928" s="31">
        <f t="shared" si="659"/>
        <v>0</v>
      </c>
      <c r="BA928" s="31">
        <f t="shared" si="660"/>
        <v>0</v>
      </c>
      <c r="BB928" s="31">
        <f t="shared" si="689"/>
        <v>0</v>
      </c>
      <c r="BM928" s="8">
        <f t="shared" si="690"/>
        <v>0</v>
      </c>
      <c r="BN928" s="8">
        <f t="shared" si="661"/>
        <v>0</v>
      </c>
      <c r="BO928" s="8">
        <f t="shared" si="662"/>
        <v>0</v>
      </c>
      <c r="BQ928" s="8">
        <f t="shared" si="663"/>
        <v>0</v>
      </c>
      <c r="BR928" s="63">
        <f t="shared" si="664"/>
        <v>0</v>
      </c>
      <c r="BS928" s="63">
        <f t="shared" si="691"/>
        <v>0</v>
      </c>
      <c r="BT928" s="63">
        <f t="shared" si="665"/>
        <v>0</v>
      </c>
      <c r="BU928" s="63">
        <f t="shared" si="666"/>
        <v>0</v>
      </c>
      <c r="BV928" s="57">
        <f t="shared" si="667"/>
        <v>0</v>
      </c>
      <c r="BW928" s="57">
        <f t="shared" si="668"/>
        <v>0</v>
      </c>
      <c r="BX928" s="57">
        <f t="shared" si="692"/>
        <v>0</v>
      </c>
      <c r="BY928" s="57">
        <f t="shared" si="696"/>
        <v>0</v>
      </c>
      <c r="BZ928" s="8">
        <f t="shared" si="669"/>
        <v>0</v>
      </c>
      <c r="CA928" s="8">
        <f t="shared" si="670"/>
        <v>0</v>
      </c>
      <c r="CB928" s="8">
        <f t="shared" si="671"/>
        <v>0</v>
      </c>
      <c r="CC928" s="8">
        <f t="shared" si="672"/>
        <v>0</v>
      </c>
      <c r="CD928" s="8">
        <f t="shared" si="673"/>
        <v>0</v>
      </c>
      <c r="CE928" s="8">
        <f t="shared" si="674"/>
        <v>0</v>
      </c>
      <c r="CF928" s="8">
        <f t="shared" si="675"/>
        <v>0</v>
      </c>
      <c r="CG928" s="8">
        <f t="shared" si="676"/>
        <v>0</v>
      </c>
      <c r="CH928" s="8">
        <f t="shared" si="677"/>
        <v>0</v>
      </c>
      <c r="CI928" s="8">
        <f t="shared" si="678"/>
        <v>0</v>
      </c>
      <c r="CJ928" s="8">
        <f t="shared" si="679"/>
        <v>0</v>
      </c>
      <c r="CK928" s="8">
        <f t="shared" si="680"/>
        <v>0</v>
      </c>
      <c r="CL928" s="8">
        <f t="shared" si="681"/>
        <v>0</v>
      </c>
      <c r="CM928" s="8">
        <f t="shared" si="682"/>
        <v>0</v>
      </c>
      <c r="CN928" s="8">
        <f t="shared" si="683"/>
        <v>0</v>
      </c>
      <c r="CO928" s="8">
        <f t="shared" si="684"/>
        <v>0</v>
      </c>
      <c r="CP928" s="8">
        <f t="shared" si="685"/>
        <v>0</v>
      </c>
      <c r="CQ928" s="8">
        <f t="shared" si="686"/>
        <v>0</v>
      </c>
      <c r="CR928" s="8">
        <f t="shared" si="687"/>
        <v>0</v>
      </c>
      <c r="CS928" s="8">
        <f t="shared" si="688"/>
        <v>0</v>
      </c>
      <c r="CT928" s="8">
        <f t="shared" si="693"/>
        <v>0</v>
      </c>
      <c r="CU928" s="8">
        <f t="shared" si="694"/>
        <v>0</v>
      </c>
      <c r="CV928" s="8">
        <f t="shared" si="695"/>
        <v>0</v>
      </c>
    </row>
    <row r="929" spans="1:100" ht="20.5" thickTop="1" thickBot="1" x14ac:dyDescent="0.5">
      <c r="A929" s="32"/>
      <c r="B929" s="10"/>
      <c r="C929" s="10"/>
      <c r="D929" s="11"/>
      <c r="E929" s="10"/>
      <c r="F929" s="10"/>
      <c r="G929" s="19"/>
      <c r="H929" s="19"/>
      <c r="I929" s="19"/>
      <c r="J929" s="19"/>
      <c r="K929" s="10"/>
      <c r="L929" s="10"/>
      <c r="M929" s="10"/>
      <c r="N929" s="10"/>
      <c r="O929" s="18"/>
      <c r="P929" s="18"/>
      <c r="Q929" s="21"/>
      <c r="R929" s="20"/>
      <c r="S929" s="16">
        <f t="shared" si="651"/>
        <v>0</v>
      </c>
      <c r="T929" s="11"/>
      <c r="AS929" s="31">
        <f t="shared" si="652"/>
        <v>0</v>
      </c>
      <c r="AT929" s="31">
        <f t="shared" si="653"/>
        <v>0</v>
      </c>
      <c r="AU929" s="31">
        <f t="shared" si="654"/>
        <v>0</v>
      </c>
      <c r="AV929" s="31">
        <f t="shared" si="655"/>
        <v>0</v>
      </c>
      <c r="AW929" s="31">
        <f t="shared" si="656"/>
        <v>0</v>
      </c>
      <c r="AX929" s="31">
        <f t="shared" si="657"/>
        <v>0</v>
      </c>
      <c r="AY929" s="31">
        <f t="shared" si="658"/>
        <v>0</v>
      </c>
      <c r="AZ929" s="31">
        <f t="shared" si="659"/>
        <v>0</v>
      </c>
      <c r="BA929" s="31">
        <f t="shared" si="660"/>
        <v>0</v>
      </c>
      <c r="BB929" s="31">
        <f t="shared" si="689"/>
        <v>0</v>
      </c>
      <c r="BM929" s="8">
        <f t="shared" si="690"/>
        <v>0</v>
      </c>
      <c r="BN929" s="8">
        <f t="shared" si="661"/>
        <v>0</v>
      </c>
      <c r="BO929" s="8">
        <f t="shared" si="662"/>
        <v>0</v>
      </c>
      <c r="BQ929" s="8">
        <f t="shared" si="663"/>
        <v>0</v>
      </c>
      <c r="BR929" s="63">
        <f t="shared" si="664"/>
        <v>0</v>
      </c>
      <c r="BS929" s="63">
        <f t="shared" si="691"/>
        <v>0</v>
      </c>
      <c r="BT929" s="63">
        <f t="shared" si="665"/>
        <v>0</v>
      </c>
      <c r="BU929" s="63">
        <f t="shared" si="666"/>
        <v>0</v>
      </c>
      <c r="BV929" s="57">
        <f t="shared" si="667"/>
        <v>0</v>
      </c>
      <c r="BW929" s="57">
        <f t="shared" si="668"/>
        <v>0</v>
      </c>
      <c r="BX929" s="57">
        <f t="shared" si="692"/>
        <v>0</v>
      </c>
      <c r="BY929" s="57">
        <f t="shared" si="696"/>
        <v>0</v>
      </c>
      <c r="BZ929" s="8">
        <f t="shared" si="669"/>
        <v>0</v>
      </c>
      <c r="CA929" s="8">
        <f t="shared" si="670"/>
        <v>0</v>
      </c>
      <c r="CB929" s="8">
        <f t="shared" si="671"/>
        <v>0</v>
      </c>
      <c r="CC929" s="8">
        <f t="shared" si="672"/>
        <v>0</v>
      </c>
      <c r="CD929" s="8">
        <f t="shared" si="673"/>
        <v>0</v>
      </c>
      <c r="CE929" s="8">
        <f t="shared" si="674"/>
        <v>0</v>
      </c>
      <c r="CF929" s="8">
        <f t="shared" si="675"/>
        <v>0</v>
      </c>
      <c r="CG929" s="8">
        <f t="shared" si="676"/>
        <v>0</v>
      </c>
      <c r="CH929" s="8">
        <f t="shared" si="677"/>
        <v>0</v>
      </c>
      <c r="CI929" s="8">
        <f t="shared" si="678"/>
        <v>0</v>
      </c>
      <c r="CJ929" s="8">
        <f t="shared" si="679"/>
        <v>0</v>
      </c>
      <c r="CK929" s="8">
        <f t="shared" si="680"/>
        <v>0</v>
      </c>
      <c r="CL929" s="8">
        <f t="shared" si="681"/>
        <v>0</v>
      </c>
      <c r="CM929" s="8">
        <f t="shared" si="682"/>
        <v>0</v>
      </c>
      <c r="CN929" s="8">
        <f t="shared" si="683"/>
        <v>0</v>
      </c>
      <c r="CO929" s="8">
        <f t="shared" si="684"/>
        <v>0</v>
      </c>
      <c r="CP929" s="8">
        <f t="shared" si="685"/>
        <v>0</v>
      </c>
      <c r="CQ929" s="8">
        <f t="shared" si="686"/>
        <v>0</v>
      </c>
      <c r="CR929" s="8">
        <f t="shared" si="687"/>
        <v>0</v>
      </c>
      <c r="CS929" s="8">
        <f t="shared" si="688"/>
        <v>0</v>
      </c>
      <c r="CT929" s="8">
        <f t="shared" si="693"/>
        <v>0</v>
      </c>
      <c r="CU929" s="8">
        <f t="shared" si="694"/>
        <v>0</v>
      </c>
      <c r="CV929" s="8">
        <f t="shared" si="695"/>
        <v>0</v>
      </c>
    </row>
    <row r="930" spans="1:100" ht="20.5" thickTop="1" thickBot="1" x14ac:dyDescent="0.5">
      <c r="A930" s="32"/>
      <c r="B930" s="10"/>
      <c r="C930" s="10"/>
      <c r="D930" s="11"/>
      <c r="E930" s="10"/>
      <c r="F930" s="10"/>
      <c r="G930" s="19"/>
      <c r="H930" s="19"/>
      <c r="I930" s="19"/>
      <c r="J930" s="19"/>
      <c r="K930" s="10"/>
      <c r="L930" s="10"/>
      <c r="M930" s="10"/>
      <c r="N930" s="10"/>
      <c r="O930" s="18"/>
      <c r="P930" s="18"/>
      <c r="Q930" s="21"/>
      <c r="R930" s="20"/>
      <c r="S930" s="16">
        <f t="shared" si="651"/>
        <v>0</v>
      </c>
      <c r="T930" s="11"/>
      <c r="AS930" s="31">
        <f t="shared" si="652"/>
        <v>0</v>
      </c>
      <c r="AT930" s="31">
        <f t="shared" si="653"/>
        <v>0</v>
      </c>
      <c r="AU930" s="31">
        <f t="shared" si="654"/>
        <v>0</v>
      </c>
      <c r="AV930" s="31">
        <f t="shared" si="655"/>
        <v>0</v>
      </c>
      <c r="AW930" s="31">
        <f t="shared" si="656"/>
        <v>0</v>
      </c>
      <c r="AX930" s="31">
        <f t="shared" si="657"/>
        <v>0</v>
      </c>
      <c r="AY930" s="31">
        <f t="shared" si="658"/>
        <v>0</v>
      </c>
      <c r="AZ930" s="31">
        <f t="shared" si="659"/>
        <v>0</v>
      </c>
      <c r="BA930" s="31">
        <f t="shared" si="660"/>
        <v>0</v>
      </c>
      <c r="BB930" s="31">
        <f t="shared" si="689"/>
        <v>0</v>
      </c>
      <c r="BM930" s="8">
        <f t="shared" si="690"/>
        <v>0</v>
      </c>
      <c r="BN930" s="8">
        <f t="shared" si="661"/>
        <v>0</v>
      </c>
      <c r="BO930" s="8">
        <f t="shared" si="662"/>
        <v>0</v>
      </c>
      <c r="BQ930" s="8">
        <f t="shared" si="663"/>
        <v>0</v>
      </c>
      <c r="BR930" s="63">
        <f t="shared" si="664"/>
        <v>0</v>
      </c>
      <c r="BS930" s="63">
        <f t="shared" si="691"/>
        <v>0</v>
      </c>
      <c r="BT930" s="63">
        <f t="shared" si="665"/>
        <v>0</v>
      </c>
      <c r="BU930" s="63">
        <f t="shared" si="666"/>
        <v>0</v>
      </c>
      <c r="BV930" s="57">
        <f t="shared" si="667"/>
        <v>0</v>
      </c>
      <c r="BW930" s="57">
        <f t="shared" si="668"/>
        <v>0</v>
      </c>
      <c r="BX930" s="57">
        <f t="shared" si="692"/>
        <v>0</v>
      </c>
      <c r="BY930" s="57">
        <f t="shared" si="696"/>
        <v>0</v>
      </c>
      <c r="BZ930" s="8">
        <f t="shared" si="669"/>
        <v>0</v>
      </c>
      <c r="CA930" s="8">
        <f t="shared" si="670"/>
        <v>0</v>
      </c>
      <c r="CB930" s="8">
        <f t="shared" si="671"/>
        <v>0</v>
      </c>
      <c r="CC930" s="8">
        <f t="shared" si="672"/>
        <v>0</v>
      </c>
      <c r="CD930" s="8">
        <f t="shared" si="673"/>
        <v>0</v>
      </c>
      <c r="CE930" s="8">
        <f t="shared" si="674"/>
        <v>0</v>
      </c>
      <c r="CF930" s="8">
        <f t="shared" si="675"/>
        <v>0</v>
      </c>
      <c r="CG930" s="8">
        <f t="shared" si="676"/>
        <v>0</v>
      </c>
      <c r="CH930" s="8">
        <f t="shared" si="677"/>
        <v>0</v>
      </c>
      <c r="CI930" s="8">
        <f t="shared" si="678"/>
        <v>0</v>
      </c>
      <c r="CJ930" s="8">
        <f t="shared" si="679"/>
        <v>0</v>
      </c>
      <c r="CK930" s="8">
        <f t="shared" si="680"/>
        <v>0</v>
      </c>
      <c r="CL930" s="8">
        <f t="shared" si="681"/>
        <v>0</v>
      </c>
      <c r="CM930" s="8">
        <f t="shared" si="682"/>
        <v>0</v>
      </c>
      <c r="CN930" s="8">
        <f t="shared" si="683"/>
        <v>0</v>
      </c>
      <c r="CO930" s="8">
        <f t="shared" si="684"/>
        <v>0</v>
      </c>
      <c r="CP930" s="8">
        <f t="shared" si="685"/>
        <v>0</v>
      </c>
      <c r="CQ930" s="8">
        <f t="shared" si="686"/>
        <v>0</v>
      </c>
      <c r="CR930" s="8">
        <f t="shared" si="687"/>
        <v>0</v>
      </c>
      <c r="CS930" s="8">
        <f t="shared" si="688"/>
        <v>0</v>
      </c>
      <c r="CT930" s="8">
        <f t="shared" si="693"/>
        <v>0</v>
      </c>
      <c r="CU930" s="8">
        <f t="shared" si="694"/>
        <v>0</v>
      </c>
      <c r="CV930" s="8">
        <f t="shared" si="695"/>
        <v>0</v>
      </c>
    </row>
    <row r="931" spans="1:100" ht="20.5" thickTop="1" thickBot="1" x14ac:dyDescent="0.5">
      <c r="A931" s="32"/>
      <c r="B931" s="10"/>
      <c r="C931" s="10"/>
      <c r="D931" s="11"/>
      <c r="E931" s="10"/>
      <c r="F931" s="10"/>
      <c r="G931" s="19"/>
      <c r="H931" s="19"/>
      <c r="I931" s="19"/>
      <c r="J931" s="19"/>
      <c r="K931" s="10"/>
      <c r="L931" s="10"/>
      <c r="M931" s="10"/>
      <c r="N931" s="10"/>
      <c r="O931" s="18"/>
      <c r="P931" s="18"/>
      <c r="Q931" s="21"/>
      <c r="R931" s="20"/>
      <c r="S931" s="16">
        <f t="shared" si="651"/>
        <v>0</v>
      </c>
      <c r="T931" s="11"/>
      <c r="AS931" s="31">
        <f t="shared" si="652"/>
        <v>0</v>
      </c>
      <c r="AT931" s="31">
        <f t="shared" si="653"/>
        <v>0</v>
      </c>
      <c r="AU931" s="31">
        <f t="shared" si="654"/>
        <v>0</v>
      </c>
      <c r="AV931" s="31">
        <f t="shared" si="655"/>
        <v>0</v>
      </c>
      <c r="AW931" s="31">
        <f t="shared" si="656"/>
        <v>0</v>
      </c>
      <c r="AX931" s="31">
        <f t="shared" si="657"/>
        <v>0</v>
      </c>
      <c r="AY931" s="31">
        <f t="shared" si="658"/>
        <v>0</v>
      </c>
      <c r="AZ931" s="31">
        <f t="shared" si="659"/>
        <v>0</v>
      </c>
      <c r="BA931" s="31">
        <f t="shared" si="660"/>
        <v>0</v>
      </c>
      <c r="BB931" s="31">
        <f t="shared" si="689"/>
        <v>0</v>
      </c>
      <c r="BM931" s="8">
        <f t="shared" si="690"/>
        <v>0</v>
      </c>
      <c r="BN931" s="8">
        <f t="shared" si="661"/>
        <v>0</v>
      </c>
      <c r="BO931" s="8">
        <f t="shared" si="662"/>
        <v>0</v>
      </c>
      <c r="BQ931" s="8">
        <f t="shared" si="663"/>
        <v>0</v>
      </c>
      <c r="BR931" s="63">
        <f t="shared" si="664"/>
        <v>0</v>
      </c>
      <c r="BS931" s="63">
        <f t="shared" si="691"/>
        <v>0</v>
      </c>
      <c r="BT931" s="63">
        <f t="shared" si="665"/>
        <v>0</v>
      </c>
      <c r="BU931" s="63">
        <f t="shared" si="666"/>
        <v>0</v>
      </c>
      <c r="BV931" s="57">
        <f t="shared" si="667"/>
        <v>0</v>
      </c>
      <c r="BW931" s="57">
        <f t="shared" si="668"/>
        <v>0</v>
      </c>
      <c r="BX931" s="57">
        <f t="shared" si="692"/>
        <v>0</v>
      </c>
      <c r="BY931" s="57">
        <f t="shared" si="696"/>
        <v>0</v>
      </c>
      <c r="BZ931" s="8">
        <f t="shared" si="669"/>
        <v>0</v>
      </c>
      <c r="CA931" s="8">
        <f t="shared" si="670"/>
        <v>0</v>
      </c>
      <c r="CB931" s="8">
        <f t="shared" si="671"/>
        <v>0</v>
      </c>
      <c r="CC931" s="8">
        <f t="shared" si="672"/>
        <v>0</v>
      </c>
      <c r="CD931" s="8">
        <f t="shared" si="673"/>
        <v>0</v>
      </c>
      <c r="CE931" s="8">
        <f t="shared" si="674"/>
        <v>0</v>
      </c>
      <c r="CF931" s="8">
        <f t="shared" si="675"/>
        <v>0</v>
      </c>
      <c r="CG931" s="8">
        <f t="shared" si="676"/>
        <v>0</v>
      </c>
      <c r="CH931" s="8">
        <f t="shared" si="677"/>
        <v>0</v>
      </c>
      <c r="CI931" s="8">
        <f t="shared" si="678"/>
        <v>0</v>
      </c>
      <c r="CJ931" s="8">
        <f t="shared" si="679"/>
        <v>0</v>
      </c>
      <c r="CK931" s="8">
        <f t="shared" si="680"/>
        <v>0</v>
      </c>
      <c r="CL931" s="8">
        <f t="shared" si="681"/>
        <v>0</v>
      </c>
      <c r="CM931" s="8">
        <f t="shared" si="682"/>
        <v>0</v>
      </c>
      <c r="CN931" s="8">
        <f t="shared" si="683"/>
        <v>0</v>
      </c>
      <c r="CO931" s="8">
        <f t="shared" si="684"/>
        <v>0</v>
      </c>
      <c r="CP931" s="8">
        <f t="shared" si="685"/>
        <v>0</v>
      </c>
      <c r="CQ931" s="8">
        <f t="shared" si="686"/>
        <v>0</v>
      </c>
      <c r="CR931" s="8">
        <f t="shared" si="687"/>
        <v>0</v>
      </c>
      <c r="CS931" s="8">
        <f t="shared" si="688"/>
        <v>0</v>
      </c>
      <c r="CT931" s="8">
        <f t="shared" si="693"/>
        <v>0</v>
      </c>
      <c r="CU931" s="8">
        <f t="shared" si="694"/>
        <v>0</v>
      </c>
      <c r="CV931" s="8">
        <f t="shared" si="695"/>
        <v>0</v>
      </c>
    </row>
    <row r="932" spans="1:100" ht="20.5" thickTop="1" thickBot="1" x14ac:dyDescent="0.5">
      <c r="A932" s="32"/>
      <c r="B932" s="10"/>
      <c r="C932" s="10"/>
      <c r="D932" s="11"/>
      <c r="E932" s="10"/>
      <c r="F932" s="10"/>
      <c r="G932" s="19"/>
      <c r="H932" s="19"/>
      <c r="I932" s="19"/>
      <c r="J932" s="19"/>
      <c r="K932" s="10"/>
      <c r="L932" s="10"/>
      <c r="M932" s="10"/>
      <c r="N932" s="10"/>
      <c r="O932" s="18"/>
      <c r="P932" s="18"/>
      <c r="Q932" s="21"/>
      <c r="R932" s="20"/>
      <c r="S932" s="16">
        <f t="shared" si="651"/>
        <v>0</v>
      </c>
      <c r="T932" s="11"/>
      <c r="AS932" s="31">
        <f t="shared" si="652"/>
        <v>0</v>
      </c>
      <c r="AT932" s="31">
        <f t="shared" si="653"/>
        <v>0</v>
      </c>
      <c r="AU932" s="31">
        <f t="shared" si="654"/>
        <v>0</v>
      </c>
      <c r="AV932" s="31">
        <f t="shared" si="655"/>
        <v>0</v>
      </c>
      <c r="AW932" s="31">
        <f t="shared" si="656"/>
        <v>0</v>
      </c>
      <c r="AX932" s="31">
        <f t="shared" si="657"/>
        <v>0</v>
      </c>
      <c r="AY932" s="31">
        <f t="shared" si="658"/>
        <v>0</v>
      </c>
      <c r="AZ932" s="31">
        <f t="shared" si="659"/>
        <v>0</v>
      </c>
      <c r="BA932" s="31">
        <f t="shared" si="660"/>
        <v>0</v>
      </c>
      <c r="BB932" s="31">
        <f t="shared" si="689"/>
        <v>0</v>
      </c>
      <c r="BM932" s="8">
        <f t="shared" si="690"/>
        <v>0</v>
      </c>
      <c r="BN932" s="8">
        <f t="shared" si="661"/>
        <v>0</v>
      </c>
      <c r="BO932" s="8">
        <f t="shared" si="662"/>
        <v>0</v>
      </c>
      <c r="BQ932" s="8">
        <f t="shared" si="663"/>
        <v>0</v>
      </c>
      <c r="BR932" s="63">
        <f t="shared" si="664"/>
        <v>0</v>
      </c>
      <c r="BS932" s="63">
        <f t="shared" si="691"/>
        <v>0</v>
      </c>
      <c r="BT932" s="63">
        <f t="shared" si="665"/>
        <v>0</v>
      </c>
      <c r="BU932" s="63">
        <f t="shared" si="666"/>
        <v>0</v>
      </c>
      <c r="BV932" s="57">
        <f t="shared" si="667"/>
        <v>0</v>
      </c>
      <c r="BW932" s="57">
        <f t="shared" si="668"/>
        <v>0</v>
      </c>
      <c r="BX932" s="57">
        <f t="shared" si="692"/>
        <v>0</v>
      </c>
      <c r="BY932" s="57">
        <f t="shared" si="696"/>
        <v>0</v>
      </c>
      <c r="BZ932" s="8">
        <f t="shared" si="669"/>
        <v>0</v>
      </c>
      <c r="CA932" s="8">
        <f t="shared" si="670"/>
        <v>0</v>
      </c>
      <c r="CB932" s="8">
        <f t="shared" si="671"/>
        <v>0</v>
      </c>
      <c r="CC932" s="8">
        <f t="shared" si="672"/>
        <v>0</v>
      </c>
      <c r="CD932" s="8">
        <f t="shared" si="673"/>
        <v>0</v>
      </c>
      <c r="CE932" s="8">
        <f t="shared" si="674"/>
        <v>0</v>
      </c>
      <c r="CF932" s="8">
        <f t="shared" si="675"/>
        <v>0</v>
      </c>
      <c r="CG932" s="8">
        <f t="shared" si="676"/>
        <v>0</v>
      </c>
      <c r="CH932" s="8">
        <f t="shared" si="677"/>
        <v>0</v>
      </c>
      <c r="CI932" s="8">
        <f t="shared" si="678"/>
        <v>0</v>
      </c>
      <c r="CJ932" s="8">
        <f t="shared" si="679"/>
        <v>0</v>
      </c>
      <c r="CK932" s="8">
        <f t="shared" si="680"/>
        <v>0</v>
      </c>
      <c r="CL932" s="8">
        <f t="shared" si="681"/>
        <v>0</v>
      </c>
      <c r="CM932" s="8">
        <f t="shared" si="682"/>
        <v>0</v>
      </c>
      <c r="CN932" s="8">
        <f t="shared" si="683"/>
        <v>0</v>
      </c>
      <c r="CO932" s="8">
        <f t="shared" si="684"/>
        <v>0</v>
      </c>
      <c r="CP932" s="8">
        <f t="shared" si="685"/>
        <v>0</v>
      </c>
      <c r="CQ932" s="8">
        <f t="shared" si="686"/>
        <v>0</v>
      </c>
      <c r="CR932" s="8">
        <f t="shared" si="687"/>
        <v>0</v>
      </c>
      <c r="CS932" s="8">
        <f t="shared" si="688"/>
        <v>0</v>
      </c>
      <c r="CT932" s="8">
        <f t="shared" si="693"/>
        <v>0</v>
      </c>
      <c r="CU932" s="8">
        <f t="shared" si="694"/>
        <v>0</v>
      </c>
      <c r="CV932" s="8">
        <f t="shared" si="695"/>
        <v>0</v>
      </c>
    </row>
    <row r="933" spans="1:100" ht="20.5" thickTop="1" thickBot="1" x14ac:dyDescent="0.5">
      <c r="A933" s="32"/>
      <c r="B933" s="10"/>
      <c r="C933" s="10"/>
      <c r="D933" s="11"/>
      <c r="E933" s="10"/>
      <c r="F933" s="10"/>
      <c r="G933" s="19"/>
      <c r="H933" s="19"/>
      <c r="I933" s="19"/>
      <c r="J933" s="19"/>
      <c r="K933" s="10"/>
      <c r="L933" s="10"/>
      <c r="M933" s="10"/>
      <c r="N933" s="10"/>
      <c r="O933" s="18"/>
      <c r="P933" s="18"/>
      <c r="Q933" s="21"/>
      <c r="R933" s="20"/>
      <c r="S933" s="16">
        <f t="shared" si="651"/>
        <v>0</v>
      </c>
      <c r="T933" s="11"/>
      <c r="AS933" s="31">
        <f t="shared" si="652"/>
        <v>0</v>
      </c>
      <c r="AT933" s="31">
        <f t="shared" si="653"/>
        <v>0</v>
      </c>
      <c r="AU933" s="31">
        <f t="shared" si="654"/>
        <v>0</v>
      </c>
      <c r="AV933" s="31">
        <f t="shared" si="655"/>
        <v>0</v>
      </c>
      <c r="AW933" s="31">
        <f t="shared" si="656"/>
        <v>0</v>
      </c>
      <c r="AX933" s="31">
        <f t="shared" si="657"/>
        <v>0</v>
      </c>
      <c r="AY933" s="31">
        <f t="shared" si="658"/>
        <v>0</v>
      </c>
      <c r="AZ933" s="31">
        <f t="shared" si="659"/>
        <v>0</v>
      </c>
      <c r="BA933" s="31">
        <f t="shared" si="660"/>
        <v>0</v>
      </c>
      <c r="BB933" s="31">
        <f t="shared" si="689"/>
        <v>0</v>
      </c>
      <c r="BM933" s="8">
        <f t="shared" si="690"/>
        <v>0</v>
      </c>
      <c r="BN933" s="8">
        <f t="shared" si="661"/>
        <v>0</v>
      </c>
      <c r="BO933" s="8">
        <f t="shared" si="662"/>
        <v>0</v>
      </c>
      <c r="BQ933" s="8">
        <f t="shared" si="663"/>
        <v>0</v>
      </c>
      <c r="BR933" s="63">
        <f t="shared" si="664"/>
        <v>0</v>
      </c>
      <c r="BS933" s="63">
        <f t="shared" si="691"/>
        <v>0</v>
      </c>
      <c r="BT933" s="63">
        <f t="shared" si="665"/>
        <v>0</v>
      </c>
      <c r="BU933" s="63">
        <f t="shared" si="666"/>
        <v>0</v>
      </c>
      <c r="BV933" s="57">
        <f t="shared" si="667"/>
        <v>0</v>
      </c>
      <c r="BW933" s="57">
        <f t="shared" si="668"/>
        <v>0</v>
      </c>
      <c r="BX933" s="57">
        <f t="shared" si="692"/>
        <v>0</v>
      </c>
      <c r="BY933" s="57">
        <f t="shared" si="696"/>
        <v>0</v>
      </c>
      <c r="BZ933" s="8">
        <f t="shared" si="669"/>
        <v>0</v>
      </c>
      <c r="CA933" s="8">
        <f t="shared" si="670"/>
        <v>0</v>
      </c>
      <c r="CB933" s="8">
        <f t="shared" si="671"/>
        <v>0</v>
      </c>
      <c r="CC933" s="8">
        <f t="shared" si="672"/>
        <v>0</v>
      </c>
      <c r="CD933" s="8">
        <f t="shared" si="673"/>
        <v>0</v>
      </c>
      <c r="CE933" s="8">
        <f t="shared" si="674"/>
        <v>0</v>
      </c>
      <c r="CF933" s="8">
        <f t="shared" si="675"/>
        <v>0</v>
      </c>
      <c r="CG933" s="8">
        <f t="shared" si="676"/>
        <v>0</v>
      </c>
      <c r="CH933" s="8">
        <f t="shared" si="677"/>
        <v>0</v>
      </c>
      <c r="CI933" s="8">
        <f t="shared" si="678"/>
        <v>0</v>
      </c>
      <c r="CJ933" s="8">
        <f t="shared" si="679"/>
        <v>0</v>
      </c>
      <c r="CK933" s="8">
        <f t="shared" si="680"/>
        <v>0</v>
      </c>
      <c r="CL933" s="8">
        <f t="shared" si="681"/>
        <v>0</v>
      </c>
      <c r="CM933" s="8">
        <f t="shared" si="682"/>
        <v>0</v>
      </c>
      <c r="CN933" s="8">
        <f t="shared" si="683"/>
        <v>0</v>
      </c>
      <c r="CO933" s="8">
        <f t="shared" si="684"/>
        <v>0</v>
      </c>
      <c r="CP933" s="8">
        <f t="shared" si="685"/>
        <v>0</v>
      </c>
      <c r="CQ933" s="8">
        <f t="shared" si="686"/>
        <v>0</v>
      </c>
      <c r="CR933" s="8">
        <f t="shared" si="687"/>
        <v>0</v>
      </c>
      <c r="CS933" s="8">
        <f t="shared" si="688"/>
        <v>0</v>
      </c>
      <c r="CT933" s="8">
        <f t="shared" si="693"/>
        <v>0</v>
      </c>
      <c r="CU933" s="8">
        <f t="shared" si="694"/>
        <v>0</v>
      </c>
      <c r="CV933" s="8">
        <f t="shared" si="695"/>
        <v>0</v>
      </c>
    </row>
    <row r="934" spans="1:100" ht="20.5" thickTop="1" thickBot="1" x14ac:dyDescent="0.5">
      <c r="A934" s="32"/>
      <c r="B934" s="10"/>
      <c r="C934" s="10"/>
      <c r="D934" s="11"/>
      <c r="E934" s="10"/>
      <c r="F934" s="10"/>
      <c r="G934" s="19"/>
      <c r="H934" s="19"/>
      <c r="I934" s="19"/>
      <c r="J934" s="19"/>
      <c r="K934" s="10"/>
      <c r="L934" s="10"/>
      <c r="M934" s="10"/>
      <c r="N934" s="10"/>
      <c r="O934" s="18"/>
      <c r="P934" s="18"/>
      <c r="Q934" s="21"/>
      <c r="R934" s="20"/>
      <c r="S934" s="16">
        <f t="shared" si="651"/>
        <v>0</v>
      </c>
      <c r="T934" s="11"/>
      <c r="AS934" s="31">
        <f t="shared" si="652"/>
        <v>0</v>
      </c>
      <c r="AT934" s="31">
        <f t="shared" si="653"/>
        <v>0</v>
      </c>
      <c r="AU934" s="31">
        <f t="shared" si="654"/>
        <v>0</v>
      </c>
      <c r="AV934" s="31">
        <f t="shared" si="655"/>
        <v>0</v>
      </c>
      <c r="AW934" s="31">
        <f t="shared" si="656"/>
        <v>0</v>
      </c>
      <c r="AX934" s="31">
        <f t="shared" si="657"/>
        <v>0</v>
      </c>
      <c r="AY934" s="31">
        <f t="shared" si="658"/>
        <v>0</v>
      </c>
      <c r="AZ934" s="31">
        <f t="shared" si="659"/>
        <v>0</v>
      </c>
      <c r="BA934" s="31">
        <f t="shared" si="660"/>
        <v>0</v>
      </c>
      <c r="BB934" s="31">
        <f t="shared" si="689"/>
        <v>0</v>
      </c>
      <c r="BM934" s="8">
        <f t="shared" si="690"/>
        <v>0</v>
      </c>
      <c r="BN934" s="8">
        <f t="shared" si="661"/>
        <v>0</v>
      </c>
      <c r="BO934" s="8">
        <f t="shared" si="662"/>
        <v>0</v>
      </c>
      <c r="BQ934" s="8">
        <f t="shared" si="663"/>
        <v>0</v>
      </c>
      <c r="BR934" s="63">
        <f t="shared" si="664"/>
        <v>0</v>
      </c>
      <c r="BS934" s="63">
        <f t="shared" si="691"/>
        <v>0</v>
      </c>
      <c r="BT934" s="63">
        <f t="shared" si="665"/>
        <v>0</v>
      </c>
      <c r="BU934" s="63">
        <f t="shared" si="666"/>
        <v>0</v>
      </c>
      <c r="BV934" s="57">
        <f t="shared" si="667"/>
        <v>0</v>
      </c>
      <c r="BW934" s="57">
        <f t="shared" si="668"/>
        <v>0</v>
      </c>
      <c r="BX934" s="57">
        <f t="shared" si="692"/>
        <v>0</v>
      </c>
      <c r="BY934" s="57">
        <f t="shared" si="696"/>
        <v>0</v>
      </c>
      <c r="BZ934" s="8">
        <f t="shared" si="669"/>
        <v>0</v>
      </c>
      <c r="CA934" s="8">
        <f t="shared" si="670"/>
        <v>0</v>
      </c>
      <c r="CB934" s="8">
        <f t="shared" si="671"/>
        <v>0</v>
      </c>
      <c r="CC934" s="8">
        <f t="shared" si="672"/>
        <v>0</v>
      </c>
      <c r="CD934" s="8">
        <f t="shared" si="673"/>
        <v>0</v>
      </c>
      <c r="CE934" s="8">
        <f t="shared" si="674"/>
        <v>0</v>
      </c>
      <c r="CF934" s="8">
        <f t="shared" si="675"/>
        <v>0</v>
      </c>
      <c r="CG934" s="8">
        <f t="shared" si="676"/>
        <v>0</v>
      </c>
      <c r="CH934" s="8">
        <f t="shared" si="677"/>
        <v>0</v>
      </c>
      <c r="CI934" s="8">
        <f t="shared" si="678"/>
        <v>0</v>
      </c>
      <c r="CJ934" s="8">
        <f t="shared" si="679"/>
        <v>0</v>
      </c>
      <c r="CK934" s="8">
        <f t="shared" si="680"/>
        <v>0</v>
      </c>
      <c r="CL934" s="8">
        <f t="shared" si="681"/>
        <v>0</v>
      </c>
      <c r="CM934" s="8">
        <f t="shared" si="682"/>
        <v>0</v>
      </c>
      <c r="CN934" s="8">
        <f t="shared" si="683"/>
        <v>0</v>
      </c>
      <c r="CO934" s="8">
        <f t="shared" si="684"/>
        <v>0</v>
      </c>
      <c r="CP934" s="8">
        <f t="shared" si="685"/>
        <v>0</v>
      </c>
      <c r="CQ934" s="8">
        <f t="shared" si="686"/>
        <v>0</v>
      </c>
      <c r="CR934" s="8">
        <f t="shared" si="687"/>
        <v>0</v>
      </c>
      <c r="CS934" s="8">
        <f t="shared" si="688"/>
        <v>0</v>
      </c>
      <c r="CT934" s="8">
        <f t="shared" si="693"/>
        <v>0</v>
      </c>
      <c r="CU934" s="8">
        <f t="shared" si="694"/>
        <v>0</v>
      </c>
      <c r="CV934" s="8">
        <f t="shared" si="695"/>
        <v>0</v>
      </c>
    </row>
    <row r="935" spans="1:100" ht="20.5" thickTop="1" thickBot="1" x14ac:dyDescent="0.5">
      <c r="A935" s="32"/>
      <c r="B935" s="10"/>
      <c r="C935" s="10"/>
      <c r="D935" s="11"/>
      <c r="E935" s="10"/>
      <c r="F935" s="10"/>
      <c r="G935" s="19"/>
      <c r="H935" s="19"/>
      <c r="I935" s="19"/>
      <c r="J935" s="19"/>
      <c r="K935" s="10"/>
      <c r="L935" s="10"/>
      <c r="M935" s="10"/>
      <c r="N935" s="10"/>
      <c r="O935" s="18"/>
      <c r="P935" s="18"/>
      <c r="Q935" s="21"/>
      <c r="R935" s="20"/>
      <c r="S935" s="16">
        <f t="shared" si="651"/>
        <v>0</v>
      </c>
      <c r="T935" s="11"/>
      <c r="AS935" s="31">
        <f t="shared" si="652"/>
        <v>0</v>
      </c>
      <c r="AT935" s="31">
        <f t="shared" si="653"/>
        <v>0</v>
      </c>
      <c r="AU935" s="31">
        <f t="shared" si="654"/>
        <v>0</v>
      </c>
      <c r="AV935" s="31">
        <f t="shared" si="655"/>
        <v>0</v>
      </c>
      <c r="AW935" s="31">
        <f t="shared" si="656"/>
        <v>0</v>
      </c>
      <c r="AX935" s="31">
        <f t="shared" si="657"/>
        <v>0</v>
      </c>
      <c r="AY935" s="31">
        <f t="shared" si="658"/>
        <v>0</v>
      </c>
      <c r="AZ935" s="31">
        <f t="shared" si="659"/>
        <v>0</v>
      </c>
      <c r="BA935" s="31">
        <f t="shared" si="660"/>
        <v>0</v>
      </c>
      <c r="BB935" s="31">
        <f t="shared" si="689"/>
        <v>0</v>
      </c>
      <c r="BM935" s="8">
        <f t="shared" si="690"/>
        <v>0</v>
      </c>
      <c r="BN935" s="8">
        <f t="shared" si="661"/>
        <v>0</v>
      </c>
      <c r="BO935" s="8">
        <f t="shared" si="662"/>
        <v>0</v>
      </c>
      <c r="BQ935" s="8">
        <f t="shared" si="663"/>
        <v>0</v>
      </c>
      <c r="BR935" s="63">
        <f t="shared" si="664"/>
        <v>0</v>
      </c>
      <c r="BS935" s="63">
        <f t="shared" si="691"/>
        <v>0</v>
      </c>
      <c r="BT935" s="63">
        <f t="shared" si="665"/>
        <v>0</v>
      </c>
      <c r="BU935" s="63">
        <f t="shared" si="666"/>
        <v>0</v>
      </c>
      <c r="BV935" s="57">
        <f t="shared" si="667"/>
        <v>0</v>
      </c>
      <c r="BW935" s="57">
        <f t="shared" si="668"/>
        <v>0</v>
      </c>
      <c r="BX935" s="57">
        <f t="shared" si="692"/>
        <v>0</v>
      </c>
      <c r="BY935" s="57">
        <f t="shared" si="696"/>
        <v>0</v>
      </c>
      <c r="BZ935" s="8">
        <f t="shared" si="669"/>
        <v>0</v>
      </c>
      <c r="CA935" s="8">
        <f t="shared" si="670"/>
        <v>0</v>
      </c>
      <c r="CB935" s="8">
        <f t="shared" si="671"/>
        <v>0</v>
      </c>
      <c r="CC935" s="8">
        <f t="shared" si="672"/>
        <v>0</v>
      </c>
      <c r="CD935" s="8">
        <f t="shared" si="673"/>
        <v>0</v>
      </c>
      <c r="CE935" s="8">
        <f t="shared" si="674"/>
        <v>0</v>
      </c>
      <c r="CF935" s="8">
        <f t="shared" si="675"/>
        <v>0</v>
      </c>
      <c r="CG935" s="8">
        <f t="shared" si="676"/>
        <v>0</v>
      </c>
      <c r="CH935" s="8">
        <f t="shared" si="677"/>
        <v>0</v>
      </c>
      <c r="CI935" s="8">
        <f t="shared" si="678"/>
        <v>0</v>
      </c>
      <c r="CJ935" s="8">
        <f t="shared" si="679"/>
        <v>0</v>
      </c>
      <c r="CK935" s="8">
        <f t="shared" si="680"/>
        <v>0</v>
      </c>
      <c r="CL935" s="8">
        <f t="shared" si="681"/>
        <v>0</v>
      </c>
      <c r="CM935" s="8">
        <f t="shared" si="682"/>
        <v>0</v>
      </c>
      <c r="CN935" s="8">
        <f t="shared" si="683"/>
        <v>0</v>
      </c>
      <c r="CO935" s="8">
        <f t="shared" si="684"/>
        <v>0</v>
      </c>
      <c r="CP935" s="8">
        <f t="shared" si="685"/>
        <v>0</v>
      </c>
      <c r="CQ935" s="8">
        <f t="shared" si="686"/>
        <v>0</v>
      </c>
      <c r="CR935" s="8">
        <f t="shared" si="687"/>
        <v>0</v>
      </c>
      <c r="CS935" s="8">
        <f t="shared" si="688"/>
        <v>0</v>
      </c>
      <c r="CT935" s="8">
        <f t="shared" si="693"/>
        <v>0</v>
      </c>
      <c r="CU935" s="8">
        <f t="shared" si="694"/>
        <v>0</v>
      </c>
      <c r="CV935" s="8">
        <f t="shared" si="695"/>
        <v>0</v>
      </c>
    </row>
    <row r="936" spans="1:100" ht="20.5" thickTop="1" thickBot="1" x14ac:dyDescent="0.5">
      <c r="A936" s="32"/>
      <c r="B936" s="10"/>
      <c r="C936" s="10"/>
      <c r="D936" s="11"/>
      <c r="E936" s="10"/>
      <c r="F936" s="10"/>
      <c r="G936" s="19"/>
      <c r="H936" s="19"/>
      <c r="I936" s="19"/>
      <c r="J936" s="19"/>
      <c r="K936" s="10"/>
      <c r="L936" s="10"/>
      <c r="M936" s="10"/>
      <c r="N936" s="10"/>
      <c r="O936" s="18"/>
      <c r="P936" s="18"/>
      <c r="Q936" s="21"/>
      <c r="R936" s="20"/>
      <c r="S936" s="16">
        <f t="shared" si="651"/>
        <v>0</v>
      </c>
      <c r="T936" s="11"/>
      <c r="AS936" s="31">
        <f t="shared" si="652"/>
        <v>0</v>
      </c>
      <c r="AT936" s="31">
        <f t="shared" si="653"/>
        <v>0</v>
      </c>
      <c r="AU936" s="31">
        <f t="shared" si="654"/>
        <v>0</v>
      </c>
      <c r="AV936" s="31">
        <f t="shared" si="655"/>
        <v>0</v>
      </c>
      <c r="AW936" s="31">
        <f t="shared" si="656"/>
        <v>0</v>
      </c>
      <c r="AX936" s="31">
        <f t="shared" si="657"/>
        <v>0</v>
      </c>
      <c r="AY936" s="31">
        <f t="shared" si="658"/>
        <v>0</v>
      </c>
      <c r="AZ936" s="31">
        <f t="shared" si="659"/>
        <v>0</v>
      </c>
      <c r="BA936" s="31">
        <f t="shared" si="660"/>
        <v>0</v>
      </c>
      <c r="BB936" s="31">
        <f t="shared" si="689"/>
        <v>0</v>
      </c>
      <c r="BM936" s="8">
        <f t="shared" si="690"/>
        <v>0</v>
      </c>
      <c r="BN936" s="8">
        <f t="shared" si="661"/>
        <v>0</v>
      </c>
      <c r="BO936" s="8">
        <f t="shared" si="662"/>
        <v>0</v>
      </c>
      <c r="BQ936" s="8">
        <f t="shared" si="663"/>
        <v>0</v>
      </c>
      <c r="BR936" s="63">
        <f t="shared" si="664"/>
        <v>0</v>
      </c>
      <c r="BS936" s="63">
        <f t="shared" si="691"/>
        <v>0</v>
      </c>
      <c r="BT936" s="63">
        <f t="shared" si="665"/>
        <v>0</v>
      </c>
      <c r="BU936" s="63">
        <f t="shared" si="666"/>
        <v>0</v>
      </c>
      <c r="BV936" s="57">
        <f t="shared" si="667"/>
        <v>0</v>
      </c>
      <c r="BW936" s="57">
        <f t="shared" si="668"/>
        <v>0</v>
      </c>
      <c r="BX936" s="57">
        <f t="shared" si="692"/>
        <v>0</v>
      </c>
      <c r="BY936" s="57">
        <f t="shared" si="696"/>
        <v>0</v>
      </c>
      <c r="BZ936" s="8">
        <f t="shared" si="669"/>
        <v>0</v>
      </c>
      <c r="CA936" s="8">
        <f t="shared" si="670"/>
        <v>0</v>
      </c>
      <c r="CB936" s="8">
        <f t="shared" si="671"/>
        <v>0</v>
      </c>
      <c r="CC936" s="8">
        <f t="shared" si="672"/>
        <v>0</v>
      </c>
      <c r="CD936" s="8">
        <f t="shared" si="673"/>
        <v>0</v>
      </c>
      <c r="CE936" s="8">
        <f t="shared" si="674"/>
        <v>0</v>
      </c>
      <c r="CF936" s="8">
        <f t="shared" si="675"/>
        <v>0</v>
      </c>
      <c r="CG936" s="8">
        <f t="shared" si="676"/>
        <v>0</v>
      </c>
      <c r="CH936" s="8">
        <f t="shared" si="677"/>
        <v>0</v>
      </c>
      <c r="CI936" s="8">
        <f t="shared" si="678"/>
        <v>0</v>
      </c>
      <c r="CJ936" s="8">
        <f t="shared" si="679"/>
        <v>0</v>
      </c>
      <c r="CK936" s="8">
        <f t="shared" si="680"/>
        <v>0</v>
      </c>
      <c r="CL936" s="8">
        <f t="shared" si="681"/>
        <v>0</v>
      </c>
      <c r="CM936" s="8">
        <f t="shared" si="682"/>
        <v>0</v>
      </c>
      <c r="CN936" s="8">
        <f t="shared" si="683"/>
        <v>0</v>
      </c>
      <c r="CO936" s="8">
        <f t="shared" si="684"/>
        <v>0</v>
      </c>
      <c r="CP936" s="8">
        <f t="shared" si="685"/>
        <v>0</v>
      </c>
      <c r="CQ936" s="8">
        <f t="shared" si="686"/>
        <v>0</v>
      </c>
      <c r="CR936" s="8">
        <f t="shared" si="687"/>
        <v>0</v>
      </c>
      <c r="CS936" s="8">
        <f t="shared" si="688"/>
        <v>0</v>
      </c>
      <c r="CT936" s="8">
        <f t="shared" si="693"/>
        <v>0</v>
      </c>
      <c r="CU936" s="8">
        <f t="shared" si="694"/>
        <v>0</v>
      </c>
      <c r="CV936" s="8">
        <f t="shared" si="695"/>
        <v>0</v>
      </c>
    </row>
    <row r="937" spans="1:100" ht="20.5" thickTop="1" thickBot="1" x14ac:dyDescent="0.5">
      <c r="A937" s="32"/>
      <c r="B937" s="10"/>
      <c r="C937" s="10"/>
      <c r="D937" s="11"/>
      <c r="E937" s="10"/>
      <c r="F937" s="10"/>
      <c r="G937" s="19"/>
      <c r="H937" s="19"/>
      <c r="I937" s="19"/>
      <c r="J937" s="19"/>
      <c r="K937" s="10"/>
      <c r="L937" s="10"/>
      <c r="M937" s="10"/>
      <c r="N937" s="10"/>
      <c r="O937" s="18"/>
      <c r="P937" s="18"/>
      <c r="Q937" s="21"/>
      <c r="R937" s="20"/>
      <c r="S937" s="16">
        <f t="shared" si="651"/>
        <v>0</v>
      </c>
      <c r="T937" s="11"/>
      <c r="AS937" s="31">
        <f t="shared" si="652"/>
        <v>0</v>
      </c>
      <c r="AT937" s="31">
        <f t="shared" si="653"/>
        <v>0</v>
      </c>
      <c r="AU937" s="31">
        <f t="shared" si="654"/>
        <v>0</v>
      </c>
      <c r="AV937" s="31">
        <f t="shared" si="655"/>
        <v>0</v>
      </c>
      <c r="AW937" s="31">
        <f t="shared" si="656"/>
        <v>0</v>
      </c>
      <c r="AX937" s="31">
        <f t="shared" si="657"/>
        <v>0</v>
      </c>
      <c r="AY937" s="31">
        <f t="shared" si="658"/>
        <v>0</v>
      </c>
      <c r="AZ937" s="31">
        <f t="shared" si="659"/>
        <v>0</v>
      </c>
      <c r="BA937" s="31">
        <f t="shared" si="660"/>
        <v>0</v>
      </c>
      <c r="BB937" s="31">
        <f t="shared" si="689"/>
        <v>0</v>
      </c>
      <c r="BM937" s="8">
        <f t="shared" si="690"/>
        <v>0</v>
      </c>
      <c r="BN937" s="8">
        <f t="shared" si="661"/>
        <v>0</v>
      </c>
      <c r="BO937" s="8">
        <f t="shared" si="662"/>
        <v>0</v>
      </c>
      <c r="BQ937" s="8">
        <f t="shared" si="663"/>
        <v>0</v>
      </c>
      <c r="BR937" s="63">
        <f t="shared" si="664"/>
        <v>0</v>
      </c>
      <c r="BS937" s="63">
        <f t="shared" si="691"/>
        <v>0</v>
      </c>
      <c r="BT937" s="63">
        <f t="shared" si="665"/>
        <v>0</v>
      </c>
      <c r="BU937" s="63">
        <f t="shared" si="666"/>
        <v>0</v>
      </c>
      <c r="BV937" s="57">
        <f t="shared" si="667"/>
        <v>0</v>
      </c>
      <c r="BW937" s="57">
        <f t="shared" si="668"/>
        <v>0</v>
      </c>
      <c r="BX937" s="57">
        <f t="shared" si="692"/>
        <v>0</v>
      </c>
      <c r="BY937" s="57">
        <f t="shared" si="696"/>
        <v>0</v>
      </c>
      <c r="BZ937" s="8">
        <f t="shared" si="669"/>
        <v>0</v>
      </c>
      <c r="CA937" s="8">
        <f t="shared" si="670"/>
        <v>0</v>
      </c>
      <c r="CB937" s="8">
        <f t="shared" si="671"/>
        <v>0</v>
      </c>
      <c r="CC937" s="8">
        <f t="shared" si="672"/>
        <v>0</v>
      </c>
      <c r="CD937" s="8">
        <f t="shared" si="673"/>
        <v>0</v>
      </c>
      <c r="CE937" s="8">
        <f t="shared" si="674"/>
        <v>0</v>
      </c>
      <c r="CF937" s="8">
        <f t="shared" si="675"/>
        <v>0</v>
      </c>
      <c r="CG937" s="8">
        <f t="shared" si="676"/>
        <v>0</v>
      </c>
      <c r="CH937" s="8">
        <f t="shared" si="677"/>
        <v>0</v>
      </c>
      <c r="CI937" s="8">
        <f t="shared" si="678"/>
        <v>0</v>
      </c>
      <c r="CJ937" s="8">
        <f t="shared" si="679"/>
        <v>0</v>
      </c>
      <c r="CK937" s="8">
        <f t="shared" si="680"/>
        <v>0</v>
      </c>
      <c r="CL937" s="8">
        <f t="shared" si="681"/>
        <v>0</v>
      </c>
      <c r="CM937" s="8">
        <f t="shared" si="682"/>
        <v>0</v>
      </c>
      <c r="CN937" s="8">
        <f t="shared" si="683"/>
        <v>0</v>
      </c>
      <c r="CO937" s="8">
        <f t="shared" si="684"/>
        <v>0</v>
      </c>
      <c r="CP937" s="8">
        <f t="shared" si="685"/>
        <v>0</v>
      </c>
      <c r="CQ937" s="8">
        <f t="shared" si="686"/>
        <v>0</v>
      </c>
      <c r="CR937" s="8">
        <f t="shared" si="687"/>
        <v>0</v>
      </c>
      <c r="CS937" s="8">
        <f t="shared" si="688"/>
        <v>0</v>
      </c>
      <c r="CT937" s="8">
        <f t="shared" si="693"/>
        <v>0</v>
      </c>
      <c r="CU937" s="8">
        <f t="shared" si="694"/>
        <v>0</v>
      </c>
      <c r="CV937" s="8">
        <f t="shared" si="695"/>
        <v>0</v>
      </c>
    </row>
    <row r="938" spans="1:100" ht="20.5" thickTop="1" thickBot="1" x14ac:dyDescent="0.5">
      <c r="A938" s="32"/>
      <c r="B938" s="10"/>
      <c r="C938" s="10"/>
      <c r="D938" s="11"/>
      <c r="E938" s="10"/>
      <c r="F938" s="10"/>
      <c r="G938" s="19"/>
      <c r="H938" s="19"/>
      <c r="I938" s="19"/>
      <c r="J938" s="19"/>
      <c r="K938" s="10"/>
      <c r="L938" s="10"/>
      <c r="M938" s="10"/>
      <c r="N938" s="10"/>
      <c r="O938" s="18"/>
      <c r="P938" s="18"/>
      <c r="Q938" s="21"/>
      <c r="R938" s="20"/>
      <c r="S938" s="16">
        <f t="shared" si="651"/>
        <v>0</v>
      </c>
      <c r="T938" s="11"/>
      <c r="AS938" s="31">
        <f t="shared" si="652"/>
        <v>0</v>
      </c>
      <c r="AT938" s="31">
        <f t="shared" si="653"/>
        <v>0</v>
      </c>
      <c r="AU938" s="31">
        <f t="shared" si="654"/>
        <v>0</v>
      </c>
      <c r="AV938" s="31">
        <f t="shared" si="655"/>
        <v>0</v>
      </c>
      <c r="AW938" s="31">
        <f t="shared" si="656"/>
        <v>0</v>
      </c>
      <c r="AX938" s="31">
        <f t="shared" si="657"/>
        <v>0</v>
      </c>
      <c r="AY938" s="31">
        <f t="shared" si="658"/>
        <v>0</v>
      </c>
      <c r="AZ938" s="31">
        <f t="shared" si="659"/>
        <v>0</v>
      </c>
      <c r="BA938" s="31">
        <f t="shared" si="660"/>
        <v>0</v>
      </c>
      <c r="BB938" s="31">
        <f t="shared" si="689"/>
        <v>0</v>
      </c>
      <c r="BM938" s="8">
        <f t="shared" si="690"/>
        <v>0</v>
      </c>
      <c r="BN938" s="8">
        <f t="shared" si="661"/>
        <v>0</v>
      </c>
      <c r="BO938" s="8">
        <f t="shared" si="662"/>
        <v>0</v>
      </c>
      <c r="BQ938" s="8">
        <f t="shared" si="663"/>
        <v>0</v>
      </c>
      <c r="BR938" s="63">
        <f t="shared" si="664"/>
        <v>0</v>
      </c>
      <c r="BS938" s="63">
        <f t="shared" si="691"/>
        <v>0</v>
      </c>
      <c r="BT938" s="63">
        <f t="shared" si="665"/>
        <v>0</v>
      </c>
      <c r="BU938" s="63">
        <f t="shared" si="666"/>
        <v>0</v>
      </c>
      <c r="BV938" s="57">
        <f t="shared" si="667"/>
        <v>0</v>
      </c>
      <c r="BW938" s="57">
        <f t="shared" si="668"/>
        <v>0</v>
      </c>
      <c r="BX938" s="57">
        <f t="shared" si="692"/>
        <v>0</v>
      </c>
      <c r="BY938" s="57">
        <f t="shared" si="696"/>
        <v>0</v>
      </c>
      <c r="BZ938" s="8">
        <f t="shared" si="669"/>
        <v>0</v>
      </c>
      <c r="CA938" s="8">
        <f t="shared" si="670"/>
        <v>0</v>
      </c>
      <c r="CB938" s="8">
        <f t="shared" si="671"/>
        <v>0</v>
      </c>
      <c r="CC938" s="8">
        <f t="shared" si="672"/>
        <v>0</v>
      </c>
      <c r="CD938" s="8">
        <f t="shared" si="673"/>
        <v>0</v>
      </c>
      <c r="CE938" s="8">
        <f t="shared" si="674"/>
        <v>0</v>
      </c>
      <c r="CF938" s="8">
        <f t="shared" si="675"/>
        <v>0</v>
      </c>
      <c r="CG938" s="8">
        <f t="shared" si="676"/>
        <v>0</v>
      </c>
      <c r="CH938" s="8">
        <f t="shared" si="677"/>
        <v>0</v>
      </c>
      <c r="CI938" s="8">
        <f t="shared" si="678"/>
        <v>0</v>
      </c>
      <c r="CJ938" s="8">
        <f t="shared" si="679"/>
        <v>0</v>
      </c>
      <c r="CK938" s="8">
        <f t="shared" si="680"/>
        <v>0</v>
      </c>
      <c r="CL938" s="8">
        <f t="shared" si="681"/>
        <v>0</v>
      </c>
      <c r="CM938" s="8">
        <f t="shared" si="682"/>
        <v>0</v>
      </c>
      <c r="CN938" s="8">
        <f t="shared" si="683"/>
        <v>0</v>
      </c>
      <c r="CO938" s="8">
        <f t="shared" si="684"/>
        <v>0</v>
      </c>
      <c r="CP938" s="8">
        <f t="shared" si="685"/>
        <v>0</v>
      </c>
      <c r="CQ938" s="8">
        <f t="shared" si="686"/>
        <v>0</v>
      </c>
      <c r="CR938" s="8">
        <f t="shared" si="687"/>
        <v>0</v>
      </c>
      <c r="CS938" s="8">
        <f t="shared" si="688"/>
        <v>0</v>
      </c>
      <c r="CT938" s="8">
        <f t="shared" si="693"/>
        <v>0</v>
      </c>
      <c r="CU938" s="8">
        <f t="shared" si="694"/>
        <v>0</v>
      </c>
      <c r="CV938" s="8">
        <f t="shared" si="695"/>
        <v>0</v>
      </c>
    </row>
    <row r="939" spans="1:100" ht="20.5" thickTop="1" thickBot="1" x14ac:dyDescent="0.5">
      <c r="A939" s="32"/>
      <c r="B939" s="10"/>
      <c r="C939" s="10"/>
      <c r="D939" s="11"/>
      <c r="E939" s="10"/>
      <c r="F939" s="10"/>
      <c r="G939" s="19"/>
      <c r="H939" s="19"/>
      <c r="I939" s="19"/>
      <c r="J939" s="19"/>
      <c r="K939" s="10"/>
      <c r="L939" s="10"/>
      <c r="M939" s="10"/>
      <c r="N939" s="10"/>
      <c r="O939" s="18"/>
      <c r="P939" s="18"/>
      <c r="Q939" s="21"/>
      <c r="R939" s="20"/>
      <c r="S939" s="16">
        <f t="shared" si="651"/>
        <v>0</v>
      </c>
      <c r="T939" s="11"/>
      <c r="AS939" s="31">
        <f t="shared" si="652"/>
        <v>0</v>
      </c>
      <c r="AT939" s="31">
        <f t="shared" si="653"/>
        <v>0</v>
      </c>
      <c r="AU939" s="31">
        <f t="shared" si="654"/>
        <v>0</v>
      </c>
      <c r="AV939" s="31">
        <f t="shared" si="655"/>
        <v>0</v>
      </c>
      <c r="AW939" s="31">
        <f t="shared" si="656"/>
        <v>0</v>
      </c>
      <c r="AX939" s="31">
        <f t="shared" si="657"/>
        <v>0</v>
      </c>
      <c r="AY939" s="31">
        <f t="shared" si="658"/>
        <v>0</v>
      </c>
      <c r="AZ939" s="31">
        <f t="shared" si="659"/>
        <v>0</v>
      </c>
      <c r="BA939" s="31">
        <f t="shared" si="660"/>
        <v>0</v>
      </c>
      <c r="BB939" s="31">
        <f t="shared" si="689"/>
        <v>0</v>
      </c>
      <c r="BM939" s="8">
        <f t="shared" si="690"/>
        <v>0</v>
      </c>
      <c r="BN939" s="8">
        <f t="shared" si="661"/>
        <v>0</v>
      </c>
      <c r="BO939" s="8">
        <f t="shared" si="662"/>
        <v>0</v>
      </c>
      <c r="BQ939" s="8">
        <f t="shared" si="663"/>
        <v>0</v>
      </c>
      <c r="BR939" s="63">
        <f t="shared" si="664"/>
        <v>0</v>
      </c>
      <c r="BS939" s="63">
        <f t="shared" si="691"/>
        <v>0</v>
      </c>
      <c r="BT939" s="63">
        <f t="shared" si="665"/>
        <v>0</v>
      </c>
      <c r="BU939" s="63">
        <f t="shared" si="666"/>
        <v>0</v>
      </c>
      <c r="BV939" s="57">
        <f t="shared" si="667"/>
        <v>0</v>
      </c>
      <c r="BW939" s="57">
        <f t="shared" si="668"/>
        <v>0</v>
      </c>
      <c r="BX939" s="57">
        <f t="shared" si="692"/>
        <v>0</v>
      </c>
      <c r="BY939" s="57">
        <f t="shared" si="696"/>
        <v>0</v>
      </c>
      <c r="BZ939" s="8">
        <f t="shared" si="669"/>
        <v>0</v>
      </c>
      <c r="CA939" s="8">
        <f t="shared" si="670"/>
        <v>0</v>
      </c>
      <c r="CB939" s="8">
        <f t="shared" si="671"/>
        <v>0</v>
      </c>
      <c r="CC939" s="8">
        <f t="shared" si="672"/>
        <v>0</v>
      </c>
      <c r="CD939" s="8">
        <f t="shared" si="673"/>
        <v>0</v>
      </c>
      <c r="CE939" s="8">
        <f t="shared" si="674"/>
        <v>0</v>
      </c>
      <c r="CF939" s="8">
        <f t="shared" si="675"/>
        <v>0</v>
      </c>
      <c r="CG939" s="8">
        <f t="shared" si="676"/>
        <v>0</v>
      </c>
      <c r="CH939" s="8">
        <f t="shared" si="677"/>
        <v>0</v>
      </c>
      <c r="CI939" s="8">
        <f t="shared" si="678"/>
        <v>0</v>
      </c>
      <c r="CJ939" s="8">
        <f t="shared" si="679"/>
        <v>0</v>
      </c>
      <c r="CK939" s="8">
        <f t="shared" si="680"/>
        <v>0</v>
      </c>
      <c r="CL939" s="8">
        <f t="shared" si="681"/>
        <v>0</v>
      </c>
      <c r="CM939" s="8">
        <f t="shared" si="682"/>
        <v>0</v>
      </c>
      <c r="CN939" s="8">
        <f t="shared" si="683"/>
        <v>0</v>
      </c>
      <c r="CO939" s="8">
        <f t="shared" si="684"/>
        <v>0</v>
      </c>
      <c r="CP939" s="8">
        <f t="shared" si="685"/>
        <v>0</v>
      </c>
      <c r="CQ939" s="8">
        <f t="shared" si="686"/>
        <v>0</v>
      </c>
      <c r="CR939" s="8">
        <f t="shared" si="687"/>
        <v>0</v>
      </c>
      <c r="CS939" s="8">
        <f t="shared" si="688"/>
        <v>0</v>
      </c>
      <c r="CT939" s="8">
        <f t="shared" si="693"/>
        <v>0</v>
      </c>
      <c r="CU939" s="8">
        <f t="shared" si="694"/>
        <v>0</v>
      </c>
      <c r="CV939" s="8">
        <f t="shared" si="695"/>
        <v>0</v>
      </c>
    </row>
    <row r="940" spans="1:100" ht="20.5" thickTop="1" thickBot="1" x14ac:dyDescent="0.5">
      <c r="A940" s="32"/>
      <c r="B940" s="10"/>
      <c r="C940" s="10"/>
      <c r="D940" s="11"/>
      <c r="E940" s="10"/>
      <c r="F940" s="10"/>
      <c r="G940" s="19"/>
      <c r="H940" s="19"/>
      <c r="I940" s="19"/>
      <c r="J940" s="19"/>
      <c r="K940" s="10"/>
      <c r="L940" s="10"/>
      <c r="M940" s="10"/>
      <c r="N940" s="10"/>
      <c r="O940" s="18"/>
      <c r="P940" s="18"/>
      <c r="Q940" s="21"/>
      <c r="R940" s="20"/>
      <c r="S940" s="16">
        <f t="shared" si="651"/>
        <v>0</v>
      </c>
      <c r="T940" s="11"/>
      <c r="AS940" s="31">
        <f t="shared" si="652"/>
        <v>0</v>
      </c>
      <c r="AT940" s="31">
        <f t="shared" si="653"/>
        <v>0</v>
      </c>
      <c r="AU940" s="31">
        <f t="shared" si="654"/>
        <v>0</v>
      </c>
      <c r="AV940" s="31">
        <f t="shared" si="655"/>
        <v>0</v>
      </c>
      <c r="AW940" s="31">
        <f t="shared" si="656"/>
        <v>0</v>
      </c>
      <c r="AX940" s="31">
        <f t="shared" si="657"/>
        <v>0</v>
      </c>
      <c r="AY940" s="31">
        <f t="shared" si="658"/>
        <v>0</v>
      </c>
      <c r="AZ940" s="31">
        <f t="shared" si="659"/>
        <v>0</v>
      </c>
      <c r="BA940" s="31">
        <f t="shared" si="660"/>
        <v>0</v>
      </c>
      <c r="BB940" s="31">
        <f t="shared" si="689"/>
        <v>0</v>
      </c>
      <c r="BM940" s="8">
        <f t="shared" si="690"/>
        <v>0</v>
      </c>
      <c r="BN940" s="8">
        <f t="shared" si="661"/>
        <v>0</v>
      </c>
      <c r="BO940" s="8">
        <f t="shared" si="662"/>
        <v>0</v>
      </c>
      <c r="BQ940" s="8">
        <f t="shared" si="663"/>
        <v>0</v>
      </c>
      <c r="BR940" s="63">
        <f t="shared" si="664"/>
        <v>0</v>
      </c>
      <c r="BS940" s="63">
        <f t="shared" si="691"/>
        <v>0</v>
      </c>
      <c r="BT940" s="63">
        <f t="shared" si="665"/>
        <v>0</v>
      </c>
      <c r="BU940" s="63">
        <f t="shared" si="666"/>
        <v>0</v>
      </c>
      <c r="BV940" s="57">
        <f t="shared" si="667"/>
        <v>0</v>
      </c>
      <c r="BW940" s="57">
        <f t="shared" si="668"/>
        <v>0</v>
      </c>
      <c r="BX940" s="57">
        <f t="shared" si="692"/>
        <v>0</v>
      </c>
      <c r="BY940" s="57">
        <f t="shared" si="696"/>
        <v>0</v>
      </c>
      <c r="BZ940" s="8">
        <f t="shared" si="669"/>
        <v>0</v>
      </c>
      <c r="CA940" s="8">
        <f t="shared" si="670"/>
        <v>0</v>
      </c>
      <c r="CB940" s="8">
        <f t="shared" si="671"/>
        <v>0</v>
      </c>
      <c r="CC940" s="8">
        <f t="shared" si="672"/>
        <v>0</v>
      </c>
      <c r="CD940" s="8">
        <f t="shared" si="673"/>
        <v>0</v>
      </c>
      <c r="CE940" s="8">
        <f t="shared" si="674"/>
        <v>0</v>
      </c>
      <c r="CF940" s="8">
        <f t="shared" si="675"/>
        <v>0</v>
      </c>
      <c r="CG940" s="8">
        <f t="shared" si="676"/>
        <v>0</v>
      </c>
      <c r="CH940" s="8">
        <f t="shared" si="677"/>
        <v>0</v>
      </c>
      <c r="CI940" s="8">
        <f t="shared" si="678"/>
        <v>0</v>
      </c>
      <c r="CJ940" s="8">
        <f t="shared" si="679"/>
        <v>0</v>
      </c>
      <c r="CK940" s="8">
        <f t="shared" si="680"/>
        <v>0</v>
      </c>
      <c r="CL940" s="8">
        <f t="shared" si="681"/>
        <v>0</v>
      </c>
      <c r="CM940" s="8">
        <f t="shared" si="682"/>
        <v>0</v>
      </c>
      <c r="CN940" s="8">
        <f t="shared" si="683"/>
        <v>0</v>
      </c>
      <c r="CO940" s="8">
        <f t="shared" si="684"/>
        <v>0</v>
      </c>
      <c r="CP940" s="8">
        <f t="shared" si="685"/>
        <v>0</v>
      </c>
      <c r="CQ940" s="8">
        <f t="shared" si="686"/>
        <v>0</v>
      </c>
      <c r="CR940" s="8">
        <f t="shared" si="687"/>
        <v>0</v>
      </c>
      <c r="CS940" s="8">
        <f t="shared" si="688"/>
        <v>0</v>
      </c>
      <c r="CT940" s="8">
        <f t="shared" si="693"/>
        <v>0</v>
      </c>
      <c r="CU940" s="8">
        <f t="shared" si="694"/>
        <v>0</v>
      </c>
      <c r="CV940" s="8">
        <f t="shared" si="695"/>
        <v>0</v>
      </c>
    </row>
    <row r="941" spans="1:100" ht="20.5" thickTop="1" thickBot="1" x14ac:dyDescent="0.5">
      <c r="A941" s="32"/>
      <c r="B941" s="10"/>
      <c r="C941" s="10"/>
      <c r="D941" s="11"/>
      <c r="E941" s="10"/>
      <c r="F941" s="10"/>
      <c r="G941" s="19"/>
      <c r="H941" s="19"/>
      <c r="I941" s="19"/>
      <c r="J941" s="19"/>
      <c r="K941" s="10"/>
      <c r="L941" s="10"/>
      <c r="M941" s="10"/>
      <c r="N941" s="10"/>
      <c r="O941" s="18"/>
      <c r="P941" s="18"/>
      <c r="Q941" s="21"/>
      <c r="R941" s="20"/>
      <c r="S941" s="16">
        <f t="shared" si="651"/>
        <v>0</v>
      </c>
      <c r="T941" s="11"/>
      <c r="AS941" s="31">
        <f t="shared" si="652"/>
        <v>0</v>
      </c>
      <c r="AT941" s="31">
        <f t="shared" si="653"/>
        <v>0</v>
      </c>
      <c r="AU941" s="31">
        <f t="shared" si="654"/>
        <v>0</v>
      </c>
      <c r="AV941" s="31">
        <f t="shared" si="655"/>
        <v>0</v>
      </c>
      <c r="AW941" s="31">
        <f t="shared" si="656"/>
        <v>0</v>
      </c>
      <c r="AX941" s="31">
        <f t="shared" si="657"/>
        <v>0</v>
      </c>
      <c r="AY941" s="31">
        <f t="shared" si="658"/>
        <v>0</v>
      </c>
      <c r="AZ941" s="31">
        <f t="shared" si="659"/>
        <v>0</v>
      </c>
      <c r="BA941" s="31">
        <f t="shared" si="660"/>
        <v>0</v>
      </c>
      <c r="BB941" s="31">
        <f t="shared" si="689"/>
        <v>0</v>
      </c>
      <c r="BM941" s="8">
        <f t="shared" si="690"/>
        <v>0</v>
      </c>
      <c r="BN941" s="8">
        <f t="shared" si="661"/>
        <v>0</v>
      </c>
      <c r="BO941" s="8">
        <f t="shared" si="662"/>
        <v>0</v>
      </c>
      <c r="BQ941" s="8">
        <f t="shared" si="663"/>
        <v>0</v>
      </c>
      <c r="BR941" s="63">
        <f t="shared" si="664"/>
        <v>0</v>
      </c>
      <c r="BS941" s="63">
        <f t="shared" si="691"/>
        <v>0</v>
      </c>
      <c r="BT941" s="63">
        <f t="shared" si="665"/>
        <v>0</v>
      </c>
      <c r="BU941" s="63">
        <f t="shared" si="666"/>
        <v>0</v>
      </c>
      <c r="BV941" s="57">
        <f t="shared" si="667"/>
        <v>0</v>
      </c>
      <c r="BW941" s="57">
        <f t="shared" si="668"/>
        <v>0</v>
      </c>
      <c r="BX941" s="57">
        <f t="shared" si="692"/>
        <v>0</v>
      </c>
      <c r="BY941" s="57">
        <f t="shared" si="696"/>
        <v>0</v>
      </c>
      <c r="BZ941" s="8">
        <f t="shared" si="669"/>
        <v>0</v>
      </c>
      <c r="CA941" s="8">
        <f t="shared" si="670"/>
        <v>0</v>
      </c>
      <c r="CB941" s="8">
        <f t="shared" si="671"/>
        <v>0</v>
      </c>
      <c r="CC941" s="8">
        <f t="shared" si="672"/>
        <v>0</v>
      </c>
      <c r="CD941" s="8">
        <f t="shared" si="673"/>
        <v>0</v>
      </c>
      <c r="CE941" s="8">
        <f t="shared" si="674"/>
        <v>0</v>
      </c>
      <c r="CF941" s="8">
        <f t="shared" si="675"/>
        <v>0</v>
      </c>
      <c r="CG941" s="8">
        <f t="shared" si="676"/>
        <v>0</v>
      </c>
      <c r="CH941" s="8">
        <f t="shared" si="677"/>
        <v>0</v>
      </c>
      <c r="CI941" s="8">
        <f t="shared" si="678"/>
        <v>0</v>
      </c>
      <c r="CJ941" s="8">
        <f t="shared" si="679"/>
        <v>0</v>
      </c>
      <c r="CK941" s="8">
        <f t="shared" si="680"/>
        <v>0</v>
      </c>
      <c r="CL941" s="8">
        <f t="shared" si="681"/>
        <v>0</v>
      </c>
      <c r="CM941" s="8">
        <f t="shared" si="682"/>
        <v>0</v>
      </c>
      <c r="CN941" s="8">
        <f t="shared" si="683"/>
        <v>0</v>
      </c>
      <c r="CO941" s="8">
        <f t="shared" si="684"/>
        <v>0</v>
      </c>
      <c r="CP941" s="8">
        <f t="shared" si="685"/>
        <v>0</v>
      </c>
      <c r="CQ941" s="8">
        <f t="shared" si="686"/>
        <v>0</v>
      </c>
      <c r="CR941" s="8">
        <f t="shared" si="687"/>
        <v>0</v>
      </c>
      <c r="CS941" s="8">
        <f t="shared" si="688"/>
        <v>0</v>
      </c>
      <c r="CT941" s="8">
        <f t="shared" si="693"/>
        <v>0</v>
      </c>
      <c r="CU941" s="8">
        <f t="shared" si="694"/>
        <v>0</v>
      </c>
      <c r="CV941" s="8">
        <f t="shared" si="695"/>
        <v>0</v>
      </c>
    </row>
    <row r="942" spans="1:100" ht="20.5" thickTop="1" thickBot="1" x14ac:dyDescent="0.5">
      <c r="A942" s="32"/>
      <c r="B942" s="10"/>
      <c r="C942" s="10"/>
      <c r="D942" s="11"/>
      <c r="E942" s="10"/>
      <c r="F942" s="10"/>
      <c r="G942" s="19"/>
      <c r="H942" s="19"/>
      <c r="I942" s="19"/>
      <c r="J942" s="19"/>
      <c r="K942" s="10"/>
      <c r="L942" s="10"/>
      <c r="M942" s="10"/>
      <c r="N942" s="10"/>
      <c r="O942" s="18"/>
      <c r="P942" s="18"/>
      <c r="Q942" s="21"/>
      <c r="R942" s="20"/>
      <c r="S942" s="16">
        <f t="shared" si="651"/>
        <v>0</v>
      </c>
      <c r="T942" s="11"/>
      <c r="AS942" s="31">
        <f t="shared" si="652"/>
        <v>0</v>
      </c>
      <c r="AT942" s="31">
        <f t="shared" si="653"/>
        <v>0</v>
      </c>
      <c r="AU942" s="31">
        <f t="shared" si="654"/>
        <v>0</v>
      </c>
      <c r="AV942" s="31">
        <f t="shared" si="655"/>
        <v>0</v>
      </c>
      <c r="AW942" s="31">
        <f t="shared" si="656"/>
        <v>0</v>
      </c>
      <c r="AX942" s="31">
        <f t="shared" si="657"/>
        <v>0</v>
      </c>
      <c r="AY942" s="31">
        <f t="shared" si="658"/>
        <v>0</v>
      </c>
      <c r="AZ942" s="31">
        <f t="shared" si="659"/>
        <v>0</v>
      </c>
      <c r="BA942" s="31">
        <f t="shared" si="660"/>
        <v>0</v>
      </c>
      <c r="BB942" s="31">
        <f t="shared" si="689"/>
        <v>0</v>
      </c>
      <c r="BM942" s="8">
        <f t="shared" si="690"/>
        <v>0</v>
      </c>
      <c r="BN942" s="8">
        <f t="shared" si="661"/>
        <v>0</v>
      </c>
      <c r="BO942" s="8">
        <f t="shared" si="662"/>
        <v>0</v>
      </c>
      <c r="BQ942" s="8">
        <f t="shared" si="663"/>
        <v>0</v>
      </c>
      <c r="BR942" s="63">
        <f t="shared" si="664"/>
        <v>0</v>
      </c>
      <c r="BS942" s="63">
        <f t="shared" si="691"/>
        <v>0</v>
      </c>
      <c r="BT942" s="63">
        <f t="shared" si="665"/>
        <v>0</v>
      </c>
      <c r="BU942" s="63">
        <f t="shared" si="666"/>
        <v>0</v>
      </c>
      <c r="BV942" s="57">
        <f t="shared" si="667"/>
        <v>0</v>
      </c>
      <c r="BW942" s="57">
        <f t="shared" si="668"/>
        <v>0</v>
      </c>
      <c r="BX942" s="57">
        <f t="shared" si="692"/>
        <v>0</v>
      </c>
      <c r="BY942" s="57">
        <f t="shared" si="696"/>
        <v>0</v>
      </c>
      <c r="BZ942" s="8">
        <f t="shared" si="669"/>
        <v>0</v>
      </c>
      <c r="CA942" s="8">
        <f t="shared" si="670"/>
        <v>0</v>
      </c>
      <c r="CB942" s="8">
        <f t="shared" si="671"/>
        <v>0</v>
      </c>
      <c r="CC942" s="8">
        <f t="shared" si="672"/>
        <v>0</v>
      </c>
      <c r="CD942" s="8">
        <f t="shared" si="673"/>
        <v>0</v>
      </c>
      <c r="CE942" s="8">
        <f t="shared" si="674"/>
        <v>0</v>
      </c>
      <c r="CF942" s="8">
        <f t="shared" si="675"/>
        <v>0</v>
      </c>
      <c r="CG942" s="8">
        <f t="shared" si="676"/>
        <v>0</v>
      </c>
      <c r="CH942" s="8">
        <f t="shared" si="677"/>
        <v>0</v>
      </c>
      <c r="CI942" s="8">
        <f t="shared" si="678"/>
        <v>0</v>
      </c>
      <c r="CJ942" s="8">
        <f t="shared" si="679"/>
        <v>0</v>
      </c>
      <c r="CK942" s="8">
        <f t="shared" si="680"/>
        <v>0</v>
      </c>
      <c r="CL942" s="8">
        <f t="shared" si="681"/>
        <v>0</v>
      </c>
      <c r="CM942" s="8">
        <f t="shared" si="682"/>
        <v>0</v>
      </c>
      <c r="CN942" s="8">
        <f t="shared" si="683"/>
        <v>0</v>
      </c>
      <c r="CO942" s="8">
        <f t="shared" si="684"/>
        <v>0</v>
      </c>
      <c r="CP942" s="8">
        <f t="shared" si="685"/>
        <v>0</v>
      </c>
      <c r="CQ942" s="8">
        <f t="shared" si="686"/>
        <v>0</v>
      </c>
      <c r="CR942" s="8">
        <f t="shared" si="687"/>
        <v>0</v>
      </c>
      <c r="CS942" s="8">
        <f t="shared" si="688"/>
        <v>0</v>
      </c>
      <c r="CT942" s="8">
        <f t="shared" si="693"/>
        <v>0</v>
      </c>
      <c r="CU942" s="8">
        <f t="shared" si="694"/>
        <v>0</v>
      </c>
      <c r="CV942" s="8">
        <f t="shared" si="695"/>
        <v>0</v>
      </c>
    </row>
    <row r="943" spans="1:100" ht="20.5" thickTop="1" thickBot="1" x14ac:dyDescent="0.5">
      <c r="A943" s="32"/>
      <c r="B943" s="10"/>
      <c r="C943" s="10"/>
      <c r="D943" s="11"/>
      <c r="E943" s="10"/>
      <c r="F943" s="10"/>
      <c r="G943" s="19"/>
      <c r="H943" s="19"/>
      <c r="I943" s="19"/>
      <c r="J943" s="19"/>
      <c r="K943" s="10"/>
      <c r="L943" s="10"/>
      <c r="M943" s="10"/>
      <c r="N943" s="10"/>
      <c r="O943" s="18"/>
      <c r="P943" s="18"/>
      <c r="Q943" s="21"/>
      <c r="R943" s="20"/>
      <c r="S943" s="16">
        <f t="shared" si="651"/>
        <v>0</v>
      </c>
      <c r="T943" s="11"/>
      <c r="AS943" s="31">
        <f t="shared" si="652"/>
        <v>0</v>
      </c>
      <c r="AT943" s="31">
        <f t="shared" si="653"/>
        <v>0</v>
      </c>
      <c r="AU943" s="31">
        <f t="shared" si="654"/>
        <v>0</v>
      </c>
      <c r="AV943" s="31">
        <f t="shared" si="655"/>
        <v>0</v>
      </c>
      <c r="AW943" s="31">
        <f t="shared" si="656"/>
        <v>0</v>
      </c>
      <c r="AX943" s="31">
        <f t="shared" si="657"/>
        <v>0</v>
      </c>
      <c r="AY943" s="31">
        <f t="shared" si="658"/>
        <v>0</v>
      </c>
      <c r="AZ943" s="31">
        <f t="shared" si="659"/>
        <v>0</v>
      </c>
      <c r="BA943" s="31">
        <f t="shared" si="660"/>
        <v>0</v>
      </c>
      <c r="BB943" s="31">
        <f t="shared" si="689"/>
        <v>0</v>
      </c>
      <c r="BM943" s="8">
        <f t="shared" si="690"/>
        <v>0</v>
      </c>
      <c r="BN943" s="8">
        <f t="shared" si="661"/>
        <v>0</v>
      </c>
      <c r="BO943" s="8">
        <f t="shared" si="662"/>
        <v>0</v>
      </c>
      <c r="BQ943" s="8">
        <f t="shared" si="663"/>
        <v>0</v>
      </c>
      <c r="BR943" s="63">
        <f t="shared" si="664"/>
        <v>0</v>
      </c>
      <c r="BS943" s="63">
        <f t="shared" si="691"/>
        <v>0</v>
      </c>
      <c r="BT943" s="63">
        <f t="shared" si="665"/>
        <v>0</v>
      </c>
      <c r="BU943" s="63">
        <f t="shared" si="666"/>
        <v>0</v>
      </c>
      <c r="BV943" s="57">
        <f t="shared" si="667"/>
        <v>0</v>
      </c>
      <c r="BW943" s="57">
        <f t="shared" si="668"/>
        <v>0</v>
      </c>
      <c r="BX943" s="57">
        <f t="shared" si="692"/>
        <v>0</v>
      </c>
      <c r="BY943" s="57">
        <f t="shared" si="696"/>
        <v>0</v>
      </c>
      <c r="BZ943" s="8">
        <f t="shared" si="669"/>
        <v>0</v>
      </c>
      <c r="CA943" s="8">
        <f t="shared" si="670"/>
        <v>0</v>
      </c>
      <c r="CB943" s="8">
        <f t="shared" si="671"/>
        <v>0</v>
      </c>
      <c r="CC943" s="8">
        <f t="shared" si="672"/>
        <v>0</v>
      </c>
      <c r="CD943" s="8">
        <f t="shared" si="673"/>
        <v>0</v>
      </c>
      <c r="CE943" s="8">
        <f t="shared" si="674"/>
        <v>0</v>
      </c>
      <c r="CF943" s="8">
        <f t="shared" si="675"/>
        <v>0</v>
      </c>
      <c r="CG943" s="8">
        <f t="shared" si="676"/>
        <v>0</v>
      </c>
      <c r="CH943" s="8">
        <f t="shared" si="677"/>
        <v>0</v>
      </c>
      <c r="CI943" s="8">
        <f t="shared" si="678"/>
        <v>0</v>
      </c>
      <c r="CJ943" s="8">
        <f t="shared" si="679"/>
        <v>0</v>
      </c>
      <c r="CK943" s="8">
        <f t="shared" si="680"/>
        <v>0</v>
      </c>
      <c r="CL943" s="8">
        <f t="shared" si="681"/>
        <v>0</v>
      </c>
      <c r="CM943" s="8">
        <f t="shared" si="682"/>
        <v>0</v>
      </c>
      <c r="CN943" s="8">
        <f t="shared" si="683"/>
        <v>0</v>
      </c>
      <c r="CO943" s="8">
        <f t="shared" si="684"/>
        <v>0</v>
      </c>
      <c r="CP943" s="8">
        <f t="shared" si="685"/>
        <v>0</v>
      </c>
      <c r="CQ943" s="8">
        <f t="shared" si="686"/>
        <v>0</v>
      </c>
      <c r="CR943" s="8">
        <f t="shared" si="687"/>
        <v>0</v>
      </c>
      <c r="CS943" s="8">
        <f t="shared" si="688"/>
        <v>0</v>
      </c>
      <c r="CT943" s="8">
        <f t="shared" si="693"/>
        <v>0</v>
      </c>
      <c r="CU943" s="8">
        <f t="shared" si="694"/>
        <v>0</v>
      </c>
      <c r="CV943" s="8">
        <f t="shared" si="695"/>
        <v>0</v>
      </c>
    </row>
    <row r="944" spans="1:100" ht="20.5" thickTop="1" thickBot="1" x14ac:dyDescent="0.5">
      <c r="A944" s="32"/>
      <c r="B944" s="10"/>
      <c r="C944" s="10"/>
      <c r="D944" s="11"/>
      <c r="E944" s="10"/>
      <c r="F944" s="10"/>
      <c r="G944" s="19"/>
      <c r="H944" s="19"/>
      <c r="I944" s="19"/>
      <c r="J944" s="19"/>
      <c r="K944" s="10"/>
      <c r="L944" s="10"/>
      <c r="M944" s="10"/>
      <c r="N944" s="10"/>
      <c r="O944" s="18"/>
      <c r="P944" s="18"/>
      <c r="Q944" s="21"/>
      <c r="R944" s="20"/>
      <c r="S944" s="16">
        <f t="shared" si="651"/>
        <v>0</v>
      </c>
      <c r="T944" s="11"/>
      <c r="AS944" s="31">
        <f t="shared" si="652"/>
        <v>0</v>
      </c>
      <c r="AT944" s="31">
        <f t="shared" si="653"/>
        <v>0</v>
      </c>
      <c r="AU944" s="31">
        <f t="shared" si="654"/>
        <v>0</v>
      </c>
      <c r="AV944" s="31">
        <f t="shared" si="655"/>
        <v>0</v>
      </c>
      <c r="AW944" s="31">
        <f t="shared" si="656"/>
        <v>0</v>
      </c>
      <c r="AX944" s="31">
        <f t="shared" si="657"/>
        <v>0</v>
      </c>
      <c r="AY944" s="31">
        <f t="shared" si="658"/>
        <v>0</v>
      </c>
      <c r="AZ944" s="31">
        <f t="shared" si="659"/>
        <v>0</v>
      </c>
      <c r="BA944" s="31">
        <f t="shared" si="660"/>
        <v>0</v>
      </c>
      <c r="BB944" s="31">
        <f t="shared" si="689"/>
        <v>0</v>
      </c>
      <c r="BM944" s="8">
        <f t="shared" si="690"/>
        <v>0</v>
      </c>
      <c r="BN944" s="8">
        <f t="shared" si="661"/>
        <v>0</v>
      </c>
      <c r="BO944" s="8">
        <f t="shared" si="662"/>
        <v>0</v>
      </c>
      <c r="BQ944" s="8">
        <f t="shared" si="663"/>
        <v>0</v>
      </c>
      <c r="BR944" s="63">
        <f t="shared" si="664"/>
        <v>0</v>
      </c>
      <c r="BS944" s="63">
        <f t="shared" si="691"/>
        <v>0</v>
      </c>
      <c r="BT944" s="63">
        <f t="shared" si="665"/>
        <v>0</v>
      </c>
      <c r="BU944" s="63">
        <f t="shared" si="666"/>
        <v>0</v>
      </c>
      <c r="BV944" s="57">
        <f t="shared" si="667"/>
        <v>0</v>
      </c>
      <c r="BW944" s="57">
        <f t="shared" si="668"/>
        <v>0</v>
      </c>
      <c r="BX944" s="57">
        <f t="shared" si="692"/>
        <v>0</v>
      </c>
      <c r="BY944" s="57">
        <f t="shared" si="696"/>
        <v>0</v>
      </c>
      <c r="BZ944" s="8">
        <f t="shared" si="669"/>
        <v>0</v>
      </c>
      <c r="CA944" s="8">
        <f t="shared" si="670"/>
        <v>0</v>
      </c>
      <c r="CB944" s="8">
        <f t="shared" si="671"/>
        <v>0</v>
      </c>
      <c r="CC944" s="8">
        <f t="shared" si="672"/>
        <v>0</v>
      </c>
      <c r="CD944" s="8">
        <f t="shared" si="673"/>
        <v>0</v>
      </c>
      <c r="CE944" s="8">
        <f t="shared" si="674"/>
        <v>0</v>
      </c>
      <c r="CF944" s="8">
        <f t="shared" si="675"/>
        <v>0</v>
      </c>
      <c r="CG944" s="8">
        <f t="shared" si="676"/>
        <v>0</v>
      </c>
      <c r="CH944" s="8">
        <f t="shared" si="677"/>
        <v>0</v>
      </c>
      <c r="CI944" s="8">
        <f t="shared" si="678"/>
        <v>0</v>
      </c>
      <c r="CJ944" s="8">
        <f t="shared" si="679"/>
        <v>0</v>
      </c>
      <c r="CK944" s="8">
        <f t="shared" si="680"/>
        <v>0</v>
      </c>
      <c r="CL944" s="8">
        <f t="shared" si="681"/>
        <v>0</v>
      </c>
      <c r="CM944" s="8">
        <f t="shared" si="682"/>
        <v>0</v>
      </c>
      <c r="CN944" s="8">
        <f t="shared" si="683"/>
        <v>0</v>
      </c>
      <c r="CO944" s="8">
        <f t="shared" si="684"/>
        <v>0</v>
      </c>
      <c r="CP944" s="8">
        <f t="shared" si="685"/>
        <v>0</v>
      </c>
      <c r="CQ944" s="8">
        <f t="shared" si="686"/>
        <v>0</v>
      </c>
      <c r="CR944" s="8">
        <f t="shared" si="687"/>
        <v>0</v>
      </c>
      <c r="CS944" s="8">
        <f t="shared" si="688"/>
        <v>0</v>
      </c>
      <c r="CT944" s="8">
        <f t="shared" si="693"/>
        <v>0</v>
      </c>
      <c r="CU944" s="8">
        <f t="shared" si="694"/>
        <v>0</v>
      </c>
      <c r="CV944" s="8">
        <f t="shared" si="695"/>
        <v>0</v>
      </c>
    </row>
    <row r="945" spans="1:100" ht="20.5" thickTop="1" thickBot="1" x14ac:dyDescent="0.5">
      <c r="A945" s="32"/>
      <c r="B945" s="10"/>
      <c r="C945" s="10"/>
      <c r="D945" s="11"/>
      <c r="E945" s="10"/>
      <c r="F945" s="10"/>
      <c r="G945" s="19"/>
      <c r="H945" s="19"/>
      <c r="I945" s="19"/>
      <c r="J945" s="19"/>
      <c r="K945" s="10"/>
      <c r="L945" s="10"/>
      <c r="M945" s="10"/>
      <c r="N945" s="10"/>
      <c r="O945" s="18"/>
      <c r="P945" s="18"/>
      <c r="Q945" s="21"/>
      <c r="R945" s="20"/>
      <c r="S945" s="16">
        <f t="shared" si="651"/>
        <v>0</v>
      </c>
      <c r="T945" s="11"/>
      <c r="AS945" s="31">
        <f t="shared" si="652"/>
        <v>0</v>
      </c>
      <c r="AT945" s="31">
        <f t="shared" si="653"/>
        <v>0</v>
      </c>
      <c r="AU945" s="31">
        <f t="shared" si="654"/>
        <v>0</v>
      </c>
      <c r="AV945" s="31">
        <f t="shared" si="655"/>
        <v>0</v>
      </c>
      <c r="AW945" s="31">
        <f t="shared" si="656"/>
        <v>0</v>
      </c>
      <c r="AX945" s="31">
        <f t="shared" si="657"/>
        <v>0</v>
      </c>
      <c r="AY945" s="31">
        <f t="shared" si="658"/>
        <v>0</v>
      </c>
      <c r="AZ945" s="31">
        <f t="shared" si="659"/>
        <v>0</v>
      </c>
      <c r="BA945" s="31">
        <f t="shared" si="660"/>
        <v>0</v>
      </c>
      <c r="BB945" s="31">
        <f t="shared" si="689"/>
        <v>0</v>
      </c>
      <c r="BM945" s="8">
        <f t="shared" si="690"/>
        <v>0</v>
      </c>
      <c r="BN945" s="8">
        <f t="shared" si="661"/>
        <v>0</v>
      </c>
      <c r="BO945" s="8">
        <f t="shared" si="662"/>
        <v>0</v>
      </c>
      <c r="BQ945" s="8">
        <f t="shared" si="663"/>
        <v>0</v>
      </c>
      <c r="BR945" s="63">
        <f t="shared" si="664"/>
        <v>0</v>
      </c>
      <c r="BS945" s="63">
        <f t="shared" si="691"/>
        <v>0</v>
      </c>
      <c r="BT945" s="63">
        <f t="shared" si="665"/>
        <v>0</v>
      </c>
      <c r="BU945" s="63">
        <f t="shared" si="666"/>
        <v>0</v>
      </c>
      <c r="BV945" s="57">
        <f t="shared" si="667"/>
        <v>0</v>
      </c>
      <c r="BW945" s="57">
        <f t="shared" si="668"/>
        <v>0</v>
      </c>
      <c r="BX945" s="57">
        <f t="shared" si="692"/>
        <v>0</v>
      </c>
      <c r="BY945" s="57">
        <f t="shared" si="696"/>
        <v>0</v>
      </c>
      <c r="BZ945" s="8">
        <f t="shared" si="669"/>
        <v>0</v>
      </c>
      <c r="CA945" s="8">
        <f t="shared" si="670"/>
        <v>0</v>
      </c>
      <c r="CB945" s="8">
        <f t="shared" si="671"/>
        <v>0</v>
      </c>
      <c r="CC945" s="8">
        <f t="shared" si="672"/>
        <v>0</v>
      </c>
      <c r="CD945" s="8">
        <f t="shared" si="673"/>
        <v>0</v>
      </c>
      <c r="CE945" s="8">
        <f t="shared" si="674"/>
        <v>0</v>
      </c>
      <c r="CF945" s="8">
        <f t="shared" si="675"/>
        <v>0</v>
      </c>
      <c r="CG945" s="8">
        <f t="shared" si="676"/>
        <v>0</v>
      </c>
      <c r="CH945" s="8">
        <f t="shared" si="677"/>
        <v>0</v>
      </c>
      <c r="CI945" s="8">
        <f t="shared" si="678"/>
        <v>0</v>
      </c>
      <c r="CJ945" s="8">
        <f t="shared" si="679"/>
        <v>0</v>
      </c>
      <c r="CK945" s="8">
        <f t="shared" si="680"/>
        <v>0</v>
      </c>
      <c r="CL945" s="8">
        <f t="shared" si="681"/>
        <v>0</v>
      </c>
      <c r="CM945" s="8">
        <f t="shared" si="682"/>
        <v>0</v>
      </c>
      <c r="CN945" s="8">
        <f t="shared" si="683"/>
        <v>0</v>
      </c>
      <c r="CO945" s="8">
        <f t="shared" si="684"/>
        <v>0</v>
      </c>
      <c r="CP945" s="8">
        <f t="shared" si="685"/>
        <v>0</v>
      </c>
      <c r="CQ945" s="8">
        <f t="shared" si="686"/>
        <v>0</v>
      </c>
      <c r="CR945" s="8">
        <f t="shared" si="687"/>
        <v>0</v>
      </c>
      <c r="CS945" s="8">
        <f t="shared" si="688"/>
        <v>0</v>
      </c>
      <c r="CT945" s="8">
        <f t="shared" si="693"/>
        <v>0</v>
      </c>
      <c r="CU945" s="8">
        <f t="shared" si="694"/>
        <v>0</v>
      </c>
      <c r="CV945" s="8">
        <f t="shared" si="695"/>
        <v>0</v>
      </c>
    </row>
    <row r="946" spans="1:100" ht="20.5" thickTop="1" thickBot="1" x14ac:dyDescent="0.5">
      <c r="A946" s="32"/>
      <c r="B946" s="10"/>
      <c r="C946" s="10"/>
      <c r="D946" s="11"/>
      <c r="E946" s="10"/>
      <c r="F946" s="10"/>
      <c r="G946" s="19"/>
      <c r="H946" s="19"/>
      <c r="I946" s="19"/>
      <c r="J946" s="19"/>
      <c r="K946" s="10"/>
      <c r="L946" s="10"/>
      <c r="M946" s="10"/>
      <c r="N946" s="10"/>
      <c r="O946" s="18"/>
      <c r="P946" s="18"/>
      <c r="Q946" s="21"/>
      <c r="R946" s="20"/>
      <c r="S946" s="16">
        <f t="shared" si="651"/>
        <v>0</v>
      </c>
      <c r="T946" s="11"/>
      <c r="AS946" s="31">
        <f t="shared" si="652"/>
        <v>0</v>
      </c>
      <c r="AT946" s="31">
        <f t="shared" si="653"/>
        <v>0</v>
      </c>
      <c r="AU946" s="31">
        <f t="shared" si="654"/>
        <v>0</v>
      </c>
      <c r="AV946" s="31">
        <f t="shared" si="655"/>
        <v>0</v>
      </c>
      <c r="AW946" s="31">
        <f t="shared" si="656"/>
        <v>0</v>
      </c>
      <c r="AX946" s="31">
        <f t="shared" si="657"/>
        <v>0</v>
      </c>
      <c r="AY946" s="31">
        <f t="shared" si="658"/>
        <v>0</v>
      </c>
      <c r="AZ946" s="31">
        <f t="shared" si="659"/>
        <v>0</v>
      </c>
      <c r="BA946" s="31">
        <f t="shared" si="660"/>
        <v>0</v>
      </c>
      <c r="BB946" s="31">
        <f t="shared" si="689"/>
        <v>0</v>
      </c>
      <c r="BM946" s="8">
        <f t="shared" si="690"/>
        <v>0</v>
      </c>
      <c r="BN946" s="8">
        <f t="shared" si="661"/>
        <v>0</v>
      </c>
      <c r="BO946" s="8">
        <f t="shared" si="662"/>
        <v>0</v>
      </c>
      <c r="BQ946" s="8">
        <f t="shared" si="663"/>
        <v>0</v>
      </c>
      <c r="BR946" s="63">
        <f t="shared" si="664"/>
        <v>0</v>
      </c>
      <c r="BS946" s="63">
        <f t="shared" si="691"/>
        <v>0</v>
      </c>
      <c r="BT946" s="63">
        <f t="shared" si="665"/>
        <v>0</v>
      </c>
      <c r="BU946" s="63">
        <f t="shared" si="666"/>
        <v>0</v>
      </c>
      <c r="BV946" s="57">
        <f t="shared" si="667"/>
        <v>0</v>
      </c>
      <c r="BW946" s="57">
        <f t="shared" si="668"/>
        <v>0</v>
      </c>
      <c r="BX946" s="57">
        <f t="shared" si="692"/>
        <v>0</v>
      </c>
      <c r="BY946" s="57">
        <f t="shared" si="696"/>
        <v>0</v>
      </c>
      <c r="BZ946" s="8">
        <f t="shared" si="669"/>
        <v>0</v>
      </c>
      <c r="CA946" s="8">
        <f t="shared" si="670"/>
        <v>0</v>
      </c>
      <c r="CB946" s="8">
        <f t="shared" si="671"/>
        <v>0</v>
      </c>
      <c r="CC946" s="8">
        <f t="shared" si="672"/>
        <v>0</v>
      </c>
      <c r="CD946" s="8">
        <f t="shared" si="673"/>
        <v>0</v>
      </c>
      <c r="CE946" s="8">
        <f t="shared" si="674"/>
        <v>0</v>
      </c>
      <c r="CF946" s="8">
        <f t="shared" si="675"/>
        <v>0</v>
      </c>
      <c r="CG946" s="8">
        <f t="shared" si="676"/>
        <v>0</v>
      </c>
      <c r="CH946" s="8">
        <f t="shared" si="677"/>
        <v>0</v>
      </c>
      <c r="CI946" s="8">
        <f t="shared" si="678"/>
        <v>0</v>
      </c>
      <c r="CJ946" s="8">
        <f t="shared" si="679"/>
        <v>0</v>
      </c>
      <c r="CK946" s="8">
        <f t="shared" si="680"/>
        <v>0</v>
      </c>
      <c r="CL946" s="8">
        <f t="shared" si="681"/>
        <v>0</v>
      </c>
      <c r="CM946" s="8">
        <f t="shared" si="682"/>
        <v>0</v>
      </c>
      <c r="CN946" s="8">
        <f t="shared" si="683"/>
        <v>0</v>
      </c>
      <c r="CO946" s="8">
        <f t="shared" si="684"/>
        <v>0</v>
      </c>
      <c r="CP946" s="8">
        <f t="shared" si="685"/>
        <v>0</v>
      </c>
      <c r="CQ946" s="8">
        <f t="shared" si="686"/>
        <v>0</v>
      </c>
      <c r="CR946" s="8">
        <f t="shared" si="687"/>
        <v>0</v>
      </c>
      <c r="CS946" s="8">
        <f t="shared" si="688"/>
        <v>0</v>
      </c>
      <c r="CT946" s="8">
        <f t="shared" si="693"/>
        <v>0</v>
      </c>
      <c r="CU946" s="8">
        <f t="shared" si="694"/>
        <v>0</v>
      </c>
      <c r="CV946" s="8">
        <f t="shared" si="695"/>
        <v>0</v>
      </c>
    </row>
    <row r="947" spans="1:100" ht="20.5" thickTop="1" thickBot="1" x14ac:dyDescent="0.5">
      <c r="A947" s="32"/>
      <c r="B947" s="10"/>
      <c r="C947" s="10"/>
      <c r="D947" s="11"/>
      <c r="E947" s="10"/>
      <c r="F947" s="10"/>
      <c r="G947" s="19"/>
      <c r="H947" s="19"/>
      <c r="I947" s="19"/>
      <c r="J947" s="19"/>
      <c r="K947" s="10"/>
      <c r="L947" s="10"/>
      <c r="M947" s="10"/>
      <c r="N947" s="10"/>
      <c r="O947" s="18"/>
      <c r="P947" s="18"/>
      <c r="Q947" s="21"/>
      <c r="R947" s="20"/>
      <c r="S947" s="16">
        <f t="shared" si="651"/>
        <v>0</v>
      </c>
      <c r="T947" s="11"/>
      <c r="AS947" s="31">
        <f t="shared" si="652"/>
        <v>0</v>
      </c>
      <c r="AT947" s="31">
        <f t="shared" si="653"/>
        <v>0</v>
      </c>
      <c r="AU947" s="31">
        <f t="shared" si="654"/>
        <v>0</v>
      </c>
      <c r="AV947" s="31">
        <f t="shared" si="655"/>
        <v>0</v>
      </c>
      <c r="AW947" s="31">
        <f t="shared" si="656"/>
        <v>0</v>
      </c>
      <c r="AX947" s="31">
        <f t="shared" si="657"/>
        <v>0</v>
      </c>
      <c r="AY947" s="31">
        <f t="shared" si="658"/>
        <v>0</v>
      </c>
      <c r="AZ947" s="31">
        <f t="shared" si="659"/>
        <v>0</v>
      </c>
      <c r="BA947" s="31">
        <f t="shared" si="660"/>
        <v>0</v>
      </c>
      <c r="BB947" s="31">
        <f t="shared" si="689"/>
        <v>0</v>
      </c>
      <c r="BM947" s="8">
        <f t="shared" si="690"/>
        <v>0</v>
      </c>
      <c r="BN947" s="8">
        <f t="shared" si="661"/>
        <v>0</v>
      </c>
      <c r="BO947" s="8">
        <f t="shared" si="662"/>
        <v>0</v>
      </c>
      <c r="BQ947" s="8">
        <f t="shared" si="663"/>
        <v>0</v>
      </c>
      <c r="BR947" s="63">
        <f t="shared" si="664"/>
        <v>0</v>
      </c>
      <c r="BS947" s="63">
        <f t="shared" si="691"/>
        <v>0</v>
      </c>
      <c r="BT947" s="63">
        <f t="shared" si="665"/>
        <v>0</v>
      </c>
      <c r="BU947" s="63">
        <f t="shared" si="666"/>
        <v>0</v>
      </c>
      <c r="BV947" s="57">
        <f t="shared" si="667"/>
        <v>0</v>
      </c>
      <c r="BW947" s="57">
        <f t="shared" si="668"/>
        <v>0</v>
      </c>
      <c r="BX947" s="57">
        <f t="shared" si="692"/>
        <v>0</v>
      </c>
      <c r="BY947" s="57">
        <f t="shared" si="696"/>
        <v>0</v>
      </c>
      <c r="BZ947" s="8">
        <f t="shared" si="669"/>
        <v>0</v>
      </c>
      <c r="CA947" s="8">
        <f t="shared" si="670"/>
        <v>0</v>
      </c>
      <c r="CB947" s="8">
        <f t="shared" si="671"/>
        <v>0</v>
      </c>
      <c r="CC947" s="8">
        <f t="shared" si="672"/>
        <v>0</v>
      </c>
      <c r="CD947" s="8">
        <f t="shared" si="673"/>
        <v>0</v>
      </c>
      <c r="CE947" s="8">
        <f t="shared" si="674"/>
        <v>0</v>
      </c>
      <c r="CF947" s="8">
        <f t="shared" si="675"/>
        <v>0</v>
      </c>
      <c r="CG947" s="8">
        <f t="shared" si="676"/>
        <v>0</v>
      </c>
      <c r="CH947" s="8">
        <f t="shared" si="677"/>
        <v>0</v>
      </c>
      <c r="CI947" s="8">
        <f t="shared" si="678"/>
        <v>0</v>
      </c>
      <c r="CJ947" s="8">
        <f t="shared" si="679"/>
        <v>0</v>
      </c>
      <c r="CK947" s="8">
        <f t="shared" si="680"/>
        <v>0</v>
      </c>
      <c r="CL947" s="8">
        <f t="shared" si="681"/>
        <v>0</v>
      </c>
      <c r="CM947" s="8">
        <f t="shared" si="682"/>
        <v>0</v>
      </c>
      <c r="CN947" s="8">
        <f t="shared" si="683"/>
        <v>0</v>
      </c>
      <c r="CO947" s="8">
        <f t="shared" si="684"/>
        <v>0</v>
      </c>
      <c r="CP947" s="8">
        <f t="shared" si="685"/>
        <v>0</v>
      </c>
      <c r="CQ947" s="8">
        <f t="shared" si="686"/>
        <v>0</v>
      </c>
      <c r="CR947" s="8">
        <f t="shared" si="687"/>
        <v>0</v>
      </c>
      <c r="CS947" s="8">
        <f t="shared" si="688"/>
        <v>0</v>
      </c>
      <c r="CT947" s="8">
        <f t="shared" si="693"/>
        <v>0</v>
      </c>
      <c r="CU947" s="8">
        <f t="shared" si="694"/>
        <v>0</v>
      </c>
      <c r="CV947" s="8">
        <f t="shared" si="695"/>
        <v>0</v>
      </c>
    </row>
    <row r="948" spans="1:100" ht="20.5" thickTop="1" thickBot="1" x14ac:dyDescent="0.5">
      <c r="A948" s="32"/>
      <c r="B948" s="10"/>
      <c r="C948" s="10"/>
      <c r="D948" s="11"/>
      <c r="E948" s="10"/>
      <c r="F948" s="10"/>
      <c r="G948" s="19"/>
      <c r="H948" s="19"/>
      <c r="I948" s="19"/>
      <c r="J948" s="19"/>
      <c r="K948" s="10"/>
      <c r="L948" s="10"/>
      <c r="M948" s="10"/>
      <c r="N948" s="10"/>
      <c r="O948" s="18"/>
      <c r="P948" s="18"/>
      <c r="Q948" s="21"/>
      <c r="R948" s="20"/>
      <c r="S948" s="16">
        <f t="shared" si="651"/>
        <v>0</v>
      </c>
      <c r="T948" s="11"/>
      <c r="AS948" s="31">
        <f t="shared" si="652"/>
        <v>0</v>
      </c>
      <c r="AT948" s="31">
        <f t="shared" si="653"/>
        <v>0</v>
      </c>
      <c r="AU948" s="31">
        <f t="shared" si="654"/>
        <v>0</v>
      </c>
      <c r="AV948" s="31">
        <f t="shared" si="655"/>
        <v>0</v>
      </c>
      <c r="AW948" s="31">
        <f t="shared" si="656"/>
        <v>0</v>
      </c>
      <c r="AX948" s="31">
        <f t="shared" si="657"/>
        <v>0</v>
      </c>
      <c r="AY948" s="31">
        <f t="shared" si="658"/>
        <v>0</v>
      </c>
      <c r="AZ948" s="31">
        <f t="shared" si="659"/>
        <v>0</v>
      </c>
      <c r="BA948" s="31">
        <f t="shared" si="660"/>
        <v>0</v>
      </c>
      <c r="BB948" s="31">
        <f t="shared" si="689"/>
        <v>0</v>
      </c>
      <c r="BM948" s="8">
        <f t="shared" si="690"/>
        <v>0</v>
      </c>
      <c r="BN948" s="8">
        <f t="shared" si="661"/>
        <v>0</v>
      </c>
      <c r="BO948" s="8">
        <f t="shared" si="662"/>
        <v>0</v>
      </c>
      <c r="BQ948" s="8">
        <f t="shared" si="663"/>
        <v>0</v>
      </c>
      <c r="BR948" s="63">
        <f t="shared" si="664"/>
        <v>0</v>
      </c>
      <c r="BS948" s="63">
        <f t="shared" si="691"/>
        <v>0</v>
      </c>
      <c r="BT948" s="63">
        <f t="shared" si="665"/>
        <v>0</v>
      </c>
      <c r="BU948" s="63">
        <f t="shared" si="666"/>
        <v>0</v>
      </c>
      <c r="BV948" s="57">
        <f t="shared" si="667"/>
        <v>0</v>
      </c>
      <c r="BW948" s="57">
        <f t="shared" si="668"/>
        <v>0</v>
      </c>
      <c r="BX948" s="57">
        <f t="shared" si="692"/>
        <v>0</v>
      </c>
      <c r="BY948" s="57">
        <f t="shared" si="696"/>
        <v>0</v>
      </c>
      <c r="BZ948" s="8">
        <f t="shared" si="669"/>
        <v>0</v>
      </c>
      <c r="CA948" s="8">
        <f t="shared" si="670"/>
        <v>0</v>
      </c>
      <c r="CB948" s="8">
        <f t="shared" si="671"/>
        <v>0</v>
      </c>
      <c r="CC948" s="8">
        <f t="shared" si="672"/>
        <v>0</v>
      </c>
      <c r="CD948" s="8">
        <f t="shared" si="673"/>
        <v>0</v>
      </c>
      <c r="CE948" s="8">
        <f t="shared" si="674"/>
        <v>0</v>
      </c>
      <c r="CF948" s="8">
        <f t="shared" si="675"/>
        <v>0</v>
      </c>
      <c r="CG948" s="8">
        <f t="shared" si="676"/>
        <v>0</v>
      </c>
      <c r="CH948" s="8">
        <f t="shared" si="677"/>
        <v>0</v>
      </c>
      <c r="CI948" s="8">
        <f t="shared" si="678"/>
        <v>0</v>
      </c>
      <c r="CJ948" s="8">
        <f t="shared" si="679"/>
        <v>0</v>
      </c>
      <c r="CK948" s="8">
        <f t="shared" si="680"/>
        <v>0</v>
      </c>
      <c r="CL948" s="8">
        <f t="shared" si="681"/>
        <v>0</v>
      </c>
      <c r="CM948" s="8">
        <f t="shared" si="682"/>
        <v>0</v>
      </c>
      <c r="CN948" s="8">
        <f t="shared" si="683"/>
        <v>0</v>
      </c>
      <c r="CO948" s="8">
        <f t="shared" si="684"/>
        <v>0</v>
      </c>
      <c r="CP948" s="8">
        <f t="shared" si="685"/>
        <v>0</v>
      </c>
      <c r="CQ948" s="8">
        <f t="shared" si="686"/>
        <v>0</v>
      </c>
      <c r="CR948" s="8">
        <f t="shared" si="687"/>
        <v>0</v>
      </c>
      <c r="CS948" s="8">
        <f t="shared" si="688"/>
        <v>0</v>
      </c>
      <c r="CT948" s="8">
        <f t="shared" si="693"/>
        <v>0</v>
      </c>
      <c r="CU948" s="8">
        <f t="shared" si="694"/>
        <v>0</v>
      </c>
      <c r="CV948" s="8">
        <f t="shared" si="695"/>
        <v>0</v>
      </c>
    </row>
    <row r="949" spans="1:100" ht="20.5" thickTop="1" thickBot="1" x14ac:dyDescent="0.5">
      <c r="A949" s="32"/>
      <c r="B949" s="10"/>
      <c r="C949" s="10"/>
      <c r="D949" s="11"/>
      <c r="E949" s="10"/>
      <c r="F949" s="10"/>
      <c r="G949" s="19"/>
      <c r="H949" s="19"/>
      <c r="I949" s="19"/>
      <c r="J949" s="19"/>
      <c r="K949" s="10"/>
      <c r="L949" s="10"/>
      <c r="M949" s="10"/>
      <c r="N949" s="10"/>
      <c r="O949" s="18"/>
      <c r="P949" s="18"/>
      <c r="Q949" s="21"/>
      <c r="R949" s="20"/>
      <c r="S949" s="16">
        <f t="shared" si="651"/>
        <v>0</v>
      </c>
      <c r="T949" s="11"/>
      <c r="AS949" s="31">
        <f t="shared" si="652"/>
        <v>0</v>
      </c>
      <c r="AT949" s="31">
        <f t="shared" si="653"/>
        <v>0</v>
      </c>
      <c r="AU949" s="31">
        <f t="shared" si="654"/>
        <v>0</v>
      </c>
      <c r="AV949" s="31">
        <f t="shared" si="655"/>
        <v>0</v>
      </c>
      <c r="AW949" s="31">
        <f t="shared" si="656"/>
        <v>0</v>
      </c>
      <c r="AX949" s="31">
        <f t="shared" si="657"/>
        <v>0</v>
      </c>
      <c r="AY949" s="31">
        <f t="shared" si="658"/>
        <v>0</v>
      </c>
      <c r="AZ949" s="31">
        <f t="shared" si="659"/>
        <v>0</v>
      </c>
      <c r="BA949" s="31">
        <f t="shared" si="660"/>
        <v>0</v>
      </c>
      <c r="BB949" s="31">
        <f t="shared" si="689"/>
        <v>0</v>
      </c>
      <c r="BM949" s="8">
        <f t="shared" si="690"/>
        <v>0</v>
      </c>
      <c r="BN949" s="8">
        <f t="shared" si="661"/>
        <v>0</v>
      </c>
      <c r="BO949" s="8">
        <f t="shared" si="662"/>
        <v>0</v>
      </c>
      <c r="BQ949" s="8">
        <f t="shared" si="663"/>
        <v>0</v>
      </c>
      <c r="BR949" s="63">
        <f t="shared" si="664"/>
        <v>0</v>
      </c>
      <c r="BS949" s="63">
        <f t="shared" si="691"/>
        <v>0</v>
      </c>
      <c r="BT949" s="63">
        <f t="shared" si="665"/>
        <v>0</v>
      </c>
      <c r="BU949" s="63">
        <f t="shared" si="666"/>
        <v>0</v>
      </c>
      <c r="BV949" s="57">
        <f t="shared" si="667"/>
        <v>0</v>
      </c>
      <c r="BW949" s="57">
        <f t="shared" si="668"/>
        <v>0</v>
      </c>
      <c r="BX949" s="57">
        <f t="shared" si="692"/>
        <v>0</v>
      </c>
      <c r="BY949" s="57">
        <f t="shared" si="696"/>
        <v>0</v>
      </c>
      <c r="BZ949" s="8">
        <f t="shared" si="669"/>
        <v>0</v>
      </c>
      <c r="CA949" s="8">
        <f t="shared" si="670"/>
        <v>0</v>
      </c>
      <c r="CB949" s="8">
        <f t="shared" si="671"/>
        <v>0</v>
      </c>
      <c r="CC949" s="8">
        <f t="shared" si="672"/>
        <v>0</v>
      </c>
      <c r="CD949" s="8">
        <f t="shared" si="673"/>
        <v>0</v>
      </c>
      <c r="CE949" s="8">
        <f t="shared" si="674"/>
        <v>0</v>
      </c>
      <c r="CF949" s="8">
        <f t="shared" si="675"/>
        <v>0</v>
      </c>
      <c r="CG949" s="8">
        <f t="shared" si="676"/>
        <v>0</v>
      </c>
      <c r="CH949" s="8">
        <f t="shared" si="677"/>
        <v>0</v>
      </c>
      <c r="CI949" s="8">
        <f t="shared" si="678"/>
        <v>0</v>
      </c>
      <c r="CJ949" s="8">
        <f t="shared" si="679"/>
        <v>0</v>
      </c>
      <c r="CK949" s="8">
        <f t="shared" si="680"/>
        <v>0</v>
      </c>
      <c r="CL949" s="8">
        <f t="shared" si="681"/>
        <v>0</v>
      </c>
      <c r="CM949" s="8">
        <f t="shared" si="682"/>
        <v>0</v>
      </c>
      <c r="CN949" s="8">
        <f t="shared" si="683"/>
        <v>0</v>
      </c>
      <c r="CO949" s="8">
        <f t="shared" si="684"/>
        <v>0</v>
      </c>
      <c r="CP949" s="8">
        <f t="shared" si="685"/>
        <v>0</v>
      </c>
      <c r="CQ949" s="8">
        <f t="shared" si="686"/>
        <v>0</v>
      </c>
      <c r="CR949" s="8">
        <f t="shared" si="687"/>
        <v>0</v>
      </c>
      <c r="CS949" s="8">
        <f t="shared" si="688"/>
        <v>0</v>
      </c>
      <c r="CT949" s="8">
        <f t="shared" si="693"/>
        <v>0</v>
      </c>
      <c r="CU949" s="8">
        <f t="shared" si="694"/>
        <v>0</v>
      </c>
      <c r="CV949" s="8">
        <f t="shared" si="695"/>
        <v>0</v>
      </c>
    </row>
    <row r="950" spans="1:100" ht="20.5" thickTop="1" thickBot="1" x14ac:dyDescent="0.5">
      <c r="A950" s="32"/>
      <c r="B950" s="10"/>
      <c r="C950" s="10"/>
      <c r="D950" s="11"/>
      <c r="E950" s="10"/>
      <c r="F950" s="10"/>
      <c r="G950" s="19"/>
      <c r="H950" s="19"/>
      <c r="I950" s="19"/>
      <c r="J950" s="19"/>
      <c r="K950" s="10"/>
      <c r="L950" s="10"/>
      <c r="M950" s="10"/>
      <c r="N950" s="10"/>
      <c r="O950" s="18"/>
      <c r="P950" s="18"/>
      <c r="Q950" s="21"/>
      <c r="R950" s="20"/>
      <c r="S950" s="16">
        <f t="shared" si="651"/>
        <v>0</v>
      </c>
      <c r="T950" s="11"/>
      <c r="AS950" s="31">
        <f t="shared" si="652"/>
        <v>0</v>
      </c>
      <c r="AT950" s="31">
        <f t="shared" si="653"/>
        <v>0</v>
      </c>
      <c r="AU950" s="31">
        <f t="shared" si="654"/>
        <v>0</v>
      </c>
      <c r="AV950" s="31">
        <f t="shared" si="655"/>
        <v>0</v>
      </c>
      <c r="AW950" s="31">
        <f t="shared" si="656"/>
        <v>0</v>
      </c>
      <c r="AX950" s="31">
        <f t="shared" si="657"/>
        <v>0</v>
      </c>
      <c r="AY950" s="31">
        <f t="shared" si="658"/>
        <v>0</v>
      </c>
      <c r="AZ950" s="31">
        <f t="shared" si="659"/>
        <v>0</v>
      </c>
      <c r="BA950" s="31">
        <f t="shared" si="660"/>
        <v>0</v>
      </c>
      <c r="BB950" s="31">
        <f t="shared" si="689"/>
        <v>0</v>
      </c>
      <c r="BM950" s="8">
        <f t="shared" si="690"/>
        <v>0</v>
      </c>
      <c r="BN950" s="8">
        <f t="shared" si="661"/>
        <v>0</v>
      </c>
      <c r="BO950" s="8">
        <f t="shared" si="662"/>
        <v>0</v>
      </c>
      <c r="BQ950" s="8">
        <f t="shared" si="663"/>
        <v>0</v>
      </c>
      <c r="BR950" s="63">
        <f t="shared" si="664"/>
        <v>0</v>
      </c>
      <c r="BS950" s="63">
        <f t="shared" si="691"/>
        <v>0</v>
      </c>
      <c r="BT950" s="63">
        <f t="shared" si="665"/>
        <v>0</v>
      </c>
      <c r="BU950" s="63">
        <f t="shared" si="666"/>
        <v>0</v>
      </c>
      <c r="BV950" s="57">
        <f t="shared" si="667"/>
        <v>0</v>
      </c>
      <c r="BW950" s="57">
        <f t="shared" si="668"/>
        <v>0</v>
      </c>
      <c r="BX950" s="57">
        <f t="shared" si="692"/>
        <v>0</v>
      </c>
      <c r="BY950" s="57">
        <f t="shared" si="696"/>
        <v>0</v>
      </c>
      <c r="BZ950" s="8">
        <f t="shared" si="669"/>
        <v>0</v>
      </c>
      <c r="CA950" s="8">
        <f t="shared" si="670"/>
        <v>0</v>
      </c>
      <c r="CB950" s="8">
        <f t="shared" si="671"/>
        <v>0</v>
      </c>
      <c r="CC950" s="8">
        <f t="shared" si="672"/>
        <v>0</v>
      </c>
      <c r="CD950" s="8">
        <f t="shared" si="673"/>
        <v>0</v>
      </c>
      <c r="CE950" s="8">
        <f t="shared" si="674"/>
        <v>0</v>
      </c>
      <c r="CF950" s="8">
        <f t="shared" si="675"/>
        <v>0</v>
      </c>
      <c r="CG950" s="8">
        <f t="shared" si="676"/>
        <v>0</v>
      </c>
      <c r="CH950" s="8">
        <f t="shared" si="677"/>
        <v>0</v>
      </c>
      <c r="CI950" s="8">
        <f t="shared" si="678"/>
        <v>0</v>
      </c>
      <c r="CJ950" s="8">
        <f t="shared" si="679"/>
        <v>0</v>
      </c>
      <c r="CK950" s="8">
        <f t="shared" si="680"/>
        <v>0</v>
      </c>
      <c r="CL950" s="8">
        <f t="shared" si="681"/>
        <v>0</v>
      </c>
      <c r="CM950" s="8">
        <f t="shared" si="682"/>
        <v>0</v>
      </c>
      <c r="CN950" s="8">
        <f t="shared" si="683"/>
        <v>0</v>
      </c>
      <c r="CO950" s="8">
        <f t="shared" si="684"/>
        <v>0</v>
      </c>
      <c r="CP950" s="8">
        <f t="shared" si="685"/>
        <v>0</v>
      </c>
      <c r="CQ950" s="8">
        <f t="shared" si="686"/>
        <v>0</v>
      </c>
      <c r="CR950" s="8">
        <f t="shared" si="687"/>
        <v>0</v>
      </c>
      <c r="CS950" s="8">
        <f t="shared" si="688"/>
        <v>0</v>
      </c>
      <c r="CT950" s="8">
        <f t="shared" si="693"/>
        <v>0</v>
      </c>
      <c r="CU950" s="8">
        <f t="shared" si="694"/>
        <v>0</v>
      </c>
      <c r="CV950" s="8">
        <f t="shared" si="695"/>
        <v>0</v>
      </c>
    </row>
    <row r="951" spans="1:100" ht="20.5" thickTop="1" thickBot="1" x14ac:dyDescent="0.5">
      <c r="A951" s="32"/>
      <c r="B951" s="10"/>
      <c r="C951" s="10"/>
      <c r="D951" s="11"/>
      <c r="E951" s="10"/>
      <c r="F951" s="10"/>
      <c r="G951" s="19"/>
      <c r="H951" s="19"/>
      <c r="I951" s="19"/>
      <c r="J951" s="19"/>
      <c r="K951" s="10"/>
      <c r="L951" s="10"/>
      <c r="M951" s="10"/>
      <c r="N951" s="10"/>
      <c r="O951" s="18"/>
      <c r="P951" s="18"/>
      <c r="Q951" s="21"/>
      <c r="R951" s="20"/>
      <c r="S951" s="16">
        <f t="shared" si="651"/>
        <v>0</v>
      </c>
      <c r="T951" s="11"/>
      <c r="AS951" s="31">
        <f t="shared" si="652"/>
        <v>0</v>
      </c>
      <c r="AT951" s="31">
        <f t="shared" si="653"/>
        <v>0</v>
      </c>
      <c r="AU951" s="31">
        <f t="shared" si="654"/>
        <v>0</v>
      </c>
      <c r="AV951" s="31">
        <f t="shared" si="655"/>
        <v>0</v>
      </c>
      <c r="AW951" s="31">
        <f t="shared" si="656"/>
        <v>0</v>
      </c>
      <c r="AX951" s="31">
        <f t="shared" si="657"/>
        <v>0</v>
      </c>
      <c r="AY951" s="31">
        <f t="shared" si="658"/>
        <v>0</v>
      </c>
      <c r="AZ951" s="31">
        <f t="shared" si="659"/>
        <v>0</v>
      </c>
      <c r="BA951" s="31">
        <f t="shared" si="660"/>
        <v>0</v>
      </c>
      <c r="BB951" s="31">
        <f t="shared" si="689"/>
        <v>0</v>
      </c>
      <c r="BM951" s="8">
        <f t="shared" si="690"/>
        <v>0</v>
      </c>
      <c r="BN951" s="8">
        <f t="shared" si="661"/>
        <v>0</v>
      </c>
      <c r="BO951" s="8">
        <f t="shared" si="662"/>
        <v>0</v>
      </c>
      <c r="BQ951" s="8">
        <f t="shared" si="663"/>
        <v>0</v>
      </c>
      <c r="BR951" s="63">
        <f t="shared" si="664"/>
        <v>0</v>
      </c>
      <c r="BS951" s="63">
        <f t="shared" si="691"/>
        <v>0</v>
      </c>
      <c r="BT951" s="63">
        <f t="shared" si="665"/>
        <v>0</v>
      </c>
      <c r="BU951" s="63">
        <f t="shared" si="666"/>
        <v>0</v>
      </c>
      <c r="BV951" s="57">
        <f t="shared" si="667"/>
        <v>0</v>
      </c>
      <c r="BW951" s="57">
        <f t="shared" si="668"/>
        <v>0</v>
      </c>
      <c r="BX951" s="57">
        <f t="shared" si="692"/>
        <v>0</v>
      </c>
      <c r="BY951" s="57">
        <f t="shared" si="696"/>
        <v>0</v>
      </c>
      <c r="BZ951" s="8">
        <f t="shared" si="669"/>
        <v>0</v>
      </c>
      <c r="CA951" s="8">
        <f t="shared" si="670"/>
        <v>0</v>
      </c>
      <c r="CB951" s="8">
        <f t="shared" si="671"/>
        <v>0</v>
      </c>
      <c r="CC951" s="8">
        <f t="shared" si="672"/>
        <v>0</v>
      </c>
      <c r="CD951" s="8">
        <f t="shared" si="673"/>
        <v>0</v>
      </c>
      <c r="CE951" s="8">
        <f t="shared" si="674"/>
        <v>0</v>
      </c>
      <c r="CF951" s="8">
        <f t="shared" si="675"/>
        <v>0</v>
      </c>
      <c r="CG951" s="8">
        <f t="shared" si="676"/>
        <v>0</v>
      </c>
      <c r="CH951" s="8">
        <f t="shared" si="677"/>
        <v>0</v>
      </c>
      <c r="CI951" s="8">
        <f t="shared" si="678"/>
        <v>0</v>
      </c>
      <c r="CJ951" s="8">
        <f t="shared" si="679"/>
        <v>0</v>
      </c>
      <c r="CK951" s="8">
        <f t="shared" si="680"/>
        <v>0</v>
      </c>
      <c r="CL951" s="8">
        <f t="shared" si="681"/>
        <v>0</v>
      </c>
      <c r="CM951" s="8">
        <f t="shared" si="682"/>
        <v>0</v>
      </c>
      <c r="CN951" s="8">
        <f t="shared" si="683"/>
        <v>0</v>
      </c>
      <c r="CO951" s="8">
        <f t="shared" si="684"/>
        <v>0</v>
      </c>
      <c r="CP951" s="8">
        <f t="shared" si="685"/>
        <v>0</v>
      </c>
      <c r="CQ951" s="8">
        <f t="shared" si="686"/>
        <v>0</v>
      </c>
      <c r="CR951" s="8">
        <f t="shared" si="687"/>
        <v>0</v>
      </c>
      <c r="CS951" s="8">
        <f t="shared" si="688"/>
        <v>0</v>
      </c>
      <c r="CT951" s="8">
        <f t="shared" si="693"/>
        <v>0</v>
      </c>
      <c r="CU951" s="8">
        <f t="shared" si="694"/>
        <v>0</v>
      </c>
      <c r="CV951" s="8">
        <f t="shared" si="695"/>
        <v>0</v>
      </c>
    </row>
    <row r="952" spans="1:100" ht="20.5" thickTop="1" thickBot="1" x14ac:dyDescent="0.5">
      <c r="A952" s="32"/>
      <c r="B952" s="10"/>
      <c r="C952" s="10"/>
      <c r="D952" s="11"/>
      <c r="E952" s="10"/>
      <c r="F952" s="10"/>
      <c r="G952" s="19"/>
      <c r="H952" s="19"/>
      <c r="I952" s="19"/>
      <c r="J952" s="19"/>
      <c r="K952" s="10"/>
      <c r="L952" s="10"/>
      <c r="M952" s="10"/>
      <c r="N952" s="10"/>
      <c r="O952" s="18"/>
      <c r="P952" s="18"/>
      <c r="Q952" s="21"/>
      <c r="R952" s="20"/>
      <c r="S952" s="16">
        <f t="shared" si="651"/>
        <v>0</v>
      </c>
      <c r="T952" s="11"/>
      <c r="AS952" s="31">
        <f t="shared" si="652"/>
        <v>0</v>
      </c>
      <c r="AT952" s="31">
        <f t="shared" si="653"/>
        <v>0</v>
      </c>
      <c r="AU952" s="31">
        <f t="shared" si="654"/>
        <v>0</v>
      </c>
      <c r="AV952" s="31">
        <f t="shared" si="655"/>
        <v>0</v>
      </c>
      <c r="AW952" s="31">
        <f t="shared" si="656"/>
        <v>0</v>
      </c>
      <c r="AX952" s="31">
        <f t="shared" si="657"/>
        <v>0</v>
      </c>
      <c r="AY952" s="31">
        <f t="shared" si="658"/>
        <v>0</v>
      </c>
      <c r="AZ952" s="31">
        <f t="shared" si="659"/>
        <v>0</v>
      </c>
      <c r="BA952" s="31">
        <f t="shared" si="660"/>
        <v>0</v>
      </c>
      <c r="BB952" s="31">
        <f t="shared" si="689"/>
        <v>0</v>
      </c>
      <c r="BM952" s="8">
        <f t="shared" si="690"/>
        <v>0</v>
      </c>
      <c r="BN952" s="8">
        <f t="shared" si="661"/>
        <v>0</v>
      </c>
      <c r="BO952" s="8">
        <f t="shared" si="662"/>
        <v>0</v>
      </c>
      <c r="BQ952" s="8">
        <f t="shared" si="663"/>
        <v>0</v>
      </c>
      <c r="BR952" s="63">
        <f t="shared" si="664"/>
        <v>0</v>
      </c>
      <c r="BS952" s="63">
        <f t="shared" si="691"/>
        <v>0</v>
      </c>
      <c r="BT952" s="63">
        <f t="shared" si="665"/>
        <v>0</v>
      </c>
      <c r="BU952" s="63">
        <f t="shared" si="666"/>
        <v>0</v>
      </c>
      <c r="BV952" s="57">
        <f t="shared" si="667"/>
        <v>0</v>
      </c>
      <c r="BW952" s="57">
        <f t="shared" si="668"/>
        <v>0</v>
      </c>
      <c r="BX952" s="57">
        <f t="shared" si="692"/>
        <v>0</v>
      </c>
      <c r="BY952" s="57">
        <f t="shared" si="696"/>
        <v>0</v>
      </c>
      <c r="BZ952" s="8">
        <f t="shared" si="669"/>
        <v>0</v>
      </c>
      <c r="CA952" s="8">
        <f t="shared" si="670"/>
        <v>0</v>
      </c>
      <c r="CB952" s="8">
        <f t="shared" si="671"/>
        <v>0</v>
      </c>
      <c r="CC952" s="8">
        <f t="shared" si="672"/>
        <v>0</v>
      </c>
      <c r="CD952" s="8">
        <f t="shared" si="673"/>
        <v>0</v>
      </c>
      <c r="CE952" s="8">
        <f t="shared" si="674"/>
        <v>0</v>
      </c>
      <c r="CF952" s="8">
        <f t="shared" si="675"/>
        <v>0</v>
      </c>
      <c r="CG952" s="8">
        <f t="shared" si="676"/>
        <v>0</v>
      </c>
      <c r="CH952" s="8">
        <f t="shared" si="677"/>
        <v>0</v>
      </c>
      <c r="CI952" s="8">
        <f t="shared" si="678"/>
        <v>0</v>
      </c>
      <c r="CJ952" s="8">
        <f t="shared" si="679"/>
        <v>0</v>
      </c>
      <c r="CK952" s="8">
        <f t="shared" si="680"/>
        <v>0</v>
      </c>
      <c r="CL952" s="8">
        <f t="shared" si="681"/>
        <v>0</v>
      </c>
      <c r="CM952" s="8">
        <f t="shared" si="682"/>
        <v>0</v>
      </c>
      <c r="CN952" s="8">
        <f t="shared" si="683"/>
        <v>0</v>
      </c>
      <c r="CO952" s="8">
        <f t="shared" si="684"/>
        <v>0</v>
      </c>
      <c r="CP952" s="8">
        <f t="shared" si="685"/>
        <v>0</v>
      </c>
      <c r="CQ952" s="8">
        <f t="shared" si="686"/>
        <v>0</v>
      </c>
      <c r="CR952" s="8">
        <f t="shared" si="687"/>
        <v>0</v>
      </c>
      <c r="CS952" s="8">
        <f t="shared" si="688"/>
        <v>0</v>
      </c>
      <c r="CT952" s="8">
        <f t="shared" si="693"/>
        <v>0</v>
      </c>
      <c r="CU952" s="8">
        <f t="shared" si="694"/>
        <v>0</v>
      </c>
      <c r="CV952" s="8">
        <f t="shared" si="695"/>
        <v>0</v>
      </c>
    </row>
    <row r="953" spans="1:100" ht="20.5" thickTop="1" thickBot="1" x14ac:dyDescent="0.5">
      <c r="A953" s="32"/>
      <c r="B953" s="10"/>
      <c r="C953" s="10"/>
      <c r="D953" s="11"/>
      <c r="E953" s="10"/>
      <c r="F953" s="10"/>
      <c r="G953" s="19"/>
      <c r="H953" s="19"/>
      <c r="I953" s="19"/>
      <c r="J953" s="19"/>
      <c r="K953" s="10"/>
      <c r="L953" s="10"/>
      <c r="M953" s="10"/>
      <c r="N953" s="10"/>
      <c r="O953" s="18"/>
      <c r="P953" s="18"/>
      <c r="Q953" s="21"/>
      <c r="R953" s="20"/>
      <c r="S953" s="16">
        <f t="shared" si="651"/>
        <v>0</v>
      </c>
      <c r="T953" s="11"/>
      <c r="AS953" s="31">
        <f t="shared" si="652"/>
        <v>0</v>
      </c>
      <c r="AT953" s="31">
        <f t="shared" si="653"/>
        <v>0</v>
      </c>
      <c r="AU953" s="31">
        <f t="shared" si="654"/>
        <v>0</v>
      </c>
      <c r="AV953" s="31">
        <f t="shared" si="655"/>
        <v>0</v>
      </c>
      <c r="AW953" s="31">
        <f t="shared" si="656"/>
        <v>0</v>
      </c>
      <c r="AX953" s="31">
        <f t="shared" si="657"/>
        <v>0</v>
      </c>
      <c r="AY953" s="31">
        <f t="shared" si="658"/>
        <v>0</v>
      </c>
      <c r="AZ953" s="31">
        <f t="shared" si="659"/>
        <v>0</v>
      </c>
      <c r="BA953" s="31">
        <f t="shared" si="660"/>
        <v>0</v>
      </c>
      <c r="BB953" s="31">
        <f t="shared" si="689"/>
        <v>0</v>
      </c>
      <c r="BM953" s="8">
        <f t="shared" si="690"/>
        <v>0</v>
      </c>
      <c r="BN953" s="8">
        <f t="shared" si="661"/>
        <v>0</v>
      </c>
      <c r="BO953" s="8">
        <f t="shared" si="662"/>
        <v>0</v>
      </c>
      <c r="BQ953" s="8">
        <f t="shared" si="663"/>
        <v>0</v>
      </c>
      <c r="BR953" s="63">
        <f t="shared" si="664"/>
        <v>0</v>
      </c>
      <c r="BS953" s="63">
        <f t="shared" si="691"/>
        <v>0</v>
      </c>
      <c r="BT953" s="63">
        <f t="shared" si="665"/>
        <v>0</v>
      </c>
      <c r="BU953" s="63">
        <f t="shared" si="666"/>
        <v>0</v>
      </c>
      <c r="BV953" s="57">
        <f t="shared" si="667"/>
        <v>0</v>
      </c>
      <c r="BW953" s="57">
        <f t="shared" si="668"/>
        <v>0</v>
      </c>
      <c r="BX953" s="57">
        <f t="shared" si="692"/>
        <v>0</v>
      </c>
      <c r="BY953" s="57">
        <f t="shared" si="696"/>
        <v>0</v>
      </c>
      <c r="BZ953" s="8">
        <f t="shared" si="669"/>
        <v>0</v>
      </c>
      <c r="CA953" s="8">
        <f t="shared" si="670"/>
        <v>0</v>
      </c>
      <c r="CB953" s="8">
        <f t="shared" si="671"/>
        <v>0</v>
      </c>
      <c r="CC953" s="8">
        <f t="shared" si="672"/>
        <v>0</v>
      </c>
      <c r="CD953" s="8">
        <f t="shared" si="673"/>
        <v>0</v>
      </c>
      <c r="CE953" s="8">
        <f t="shared" si="674"/>
        <v>0</v>
      </c>
      <c r="CF953" s="8">
        <f t="shared" si="675"/>
        <v>0</v>
      </c>
      <c r="CG953" s="8">
        <f t="shared" si="676"/>
        <v>0</v>
      </c>
      <c r="CH953" s="8">
        <f t="shared" si="677"/>
        <v>0</v>
      </c>
      <c r="CI953" s="8">
        <f t="shared" si="678"/>
        <v>0</v>
      </c>
      <c r="CJ953" s="8">
        <f t="shared" si="679"/>
        <v>0</v>
      </c>
      <c r="CK953" s="8">
        <f t="shared" si="680"/>
        <v>0</v>
      </c>
      <c r="CL953" s="8">
        <f t="shared" si="681"/>
        <v>0</v>
      </c>
      <c r="CM953" s="8">
        <f t="shared" si="682"/>
        <v>0</v>
      </c>
      <c r="CN953" s="8">
        <f t="shared" si="683"/>
        <v>0</v>
      </c>
      <c r="CO953" s="8">
        <f t="shared" si="684"/>
        <v>0</v>
      </c>
      <c r="CP953" s="8">
        <f t="shared" si="685"/>
        <v>0</v>
      </c>
      <c r="CQ953" s="8">
        <f t="shared" si="686"/>
        <v>0</v>
      </c>
      <c r="CR953" s="8">
        <f t="shared" si="687"/>
        <v>0</v>
      </c>
      <c r="CS953" s="8">
        <f t="shared" si="688"/>
        <v>0</v>
      </c>
      <c r="CT953" s="8">
        <f t="shared" si="693"/>
        <v>0</v>
      </c>
      <c r="CU953" s="8">
        <f t="shared" si="694"/>
        <v>0</v>
      </c>
      <c r="CV953" s="8">
        <f t="shared" si="695"/>
        <v>0</v>
      </c>
    </row>
    <row r="954" spans="1:100" ht="20.5" thickTop="1" thickBot="1" x14ac:dyDescent="0.5">
      <c r="A954" s="32"/>
      <c r="B954" s="10"/>
      <c r="C954" s="10"/>
      <c r="D954" s="11"/>
      <c r="E954" s="10"/>
      <c r="F954" s="10"/>
      <c r="G954" s="19"/>
      <c r="H954" s="19"/>
      <c r="I954" s="19"/>
      <c r="J954" s="19"/>
      <c r="K954" s="10"/>
      <c r="L954" s="10"/>
      <c r="M954" s="10"/>
      <c r="N954" s="10"/>
      <c r="O954" s="18"/>
      <c r="P954" s="18"/>
      <c r="Q954" s="21"/>
      <c r="R954" s="20"/>
      <c r="S954" s="16">
        <f t="shared" si="651"/>
        <v>0</v>
      </c>
      <c r="T954" s="11"/>
      <c r="AS954" s="31">
        <f t="shared" si="652"/>
        <v>0</v>
      </c>
      <c r="AT954" s="31">
        <f t="shared" si="653"/>
        <v>0</v>
      </c>
      <c r="AU954" s="31">
        <f t="shared" si="654"/>
        <v>0</v>
      </c>
      <c r="AV954" s="31">
        <f t="shared" si="655"/>
        <v>0</v>
      </c>
      <c r="AW954" s="31">
        <f t="shared" si="656"/>
        <v>0</v>
      </c>
      <c r="AX954" s="31">
        <f t="shared" si="657"/>
        <v>0</v>
      </c>
      <c r="AY954" s="31">
        <f t="shared" si="658"/>
        <v>0</v>
      </c>
      <c r="AZ954" s="31">
        <f t="shared" si="659"/>
        <v>0</v>
      </c>
      <c r="BA954" s="31">
        <f t="shared" si="660"/>
        <v>0</v>
      </c>
      <c r="BB954" s="31">
        <f t="shared" si="689"/>
        <v>0</v>
      </c>
      <c r="BM954" s="8">
        <f t="shared" si="690"/>
        <v>0</v>
      </c>
      <c r="BN954" s="8">
        <f t="shared" si="661"/>
        <v>0</v>
      </c>
      <c r="BO954" s="8">
        <f t="shared" si="662"/>
        <v>0</v>
      </c>
      <c r="BQ954" s="8">
        <f t="shared" si="663"/>
        <v>0</v>
      </c>
      <c r="BR954" s="63">
        <f t="shared" si="664"/>
        <v>0</v>
      </c>
      <c r="BS954" s="63">
        <f t="shared" si="691"/>
        <v>0</v>
      </c>
      <c r="BT954" s="63">
        <f t="shared" si="665"/>
        <v>0</v>
      </c>
      <c r="BU954" s="63">
        <f t="shared" si="666"/>
        <v>0</v>
      </c>
      <c r="BV954" s="57">
        <f t="shared" si="667"/>
        <v>0</v>
      </c>
      <c r="BW954" s="57">
        <f t="shared" si="668"/>
        <v>0</v>
      </c>
      <c r="BX954" s="57">
        <f t="shared" si="692"/>
        <v>0</v>
      </c>
      <c r="BY954" s="57">
        <f t="shared" si="696"/>
        <v>0</v>
      </c>
      <c r="BZ954" s="8">
        <f t="shared" si="669"/>
        <v>0</v>
      </c>
      <c r="CA954" s="8">
        <f t="shared" si="670"/>
        <v>0</v>
      </c>
      <c r="CB954" s="8">
        <f t="shared" si="671"/>
        <v>0</v>
      </c>
      <c r="CC954" s="8">
        <f t="shared" si="672"/>
        <v>0</v>
      </c>
      <c r="CD954" s="8">
        <f t="shared" si="673"/>
        <v>0</v>
      </c>
      <c r="CE954" s="8">
        <f t="shared" si="674"/>
        <v>0</v>
      </c>
      <c r="CF954" s="8">
        <f t="shared" si="675"/>
        <v>0</v>
      </c>
      <c r="CG954" s="8">
        <f t="shared" si="676"/>
        <v>0</v>
      </c>
      <c r="CH954" s="8">
        <f t="shared" si="677"/>
        <v>0</v>
      </c>
      <c r="CI954" s="8">
        <f t="shared" si="678"/>
        <v>0</v>
      </c>
      <c r="CJ954" s="8">
        <f t="shared" si="679"/>
        <v>0</v>
      </c>
      <c r="CK954" s="8">
        <f t="shared" si="680"/>
        <v>0</v>
      </c>
      <c r="CL954" s="8">
        <f t="shared" si="681"/>
        <v>0</v>
      </c>
      <c r="CM954" s="8">
        <f t="shared" si="682"/>
        <v>0</v>
      </c>
      <c r="CN954" s="8">
        <f t="shared" si="683"/>
        <v>0</v>
      </c>
      <c r="CO954" s="8">
        <f t="shared" si="684"/>
        <v>0</v>
      </c>
      <c r="CP954" s="8">
        <f t="shared" si="685"/>
        <v>0</v>
      </c>
      <c r="CQ954" s="8">
        <f t="shared" si="686"/>
        <v>0</v>
      </c>
      <c r="CR954" s="8">
        <f t="shared" si="687"/>
        <v>0</v>
      </c>
      <c r="CS954" s="8">
        <f t="shared" si="688"/>
        <v>0</v>
      </c>
      <c r="CT954" s="8">
        <f t="shared" si="693"/>
        <v>0</v>
      </c>
      <c r="CU954" s="8">
        <f t="shared" si="694"/>
        <v>0</v>
      </c>
      <c r="CV954" s="8">
        <f t="shared" si="695"/>
        <v>0</v>
      </c>
    </row>
    <row r="955" spans="1:100" ht="20.5" thickTop="1" thickBot="1" x14ac:dyDescent="0.5">
      <c r="A955" s="32"/>
      <c r="B955" s="10"/>
      <c r="C955" s="10"/>
      <c r="D955" s="11"/>
      <c r="E955" s="10"/>
      <c r="F955" s="10"/>
      <c r="G955" s="19"/>
      <c r="H955" s="19"/>
      <c r="I955" s="19"/>
      <c r="J955" s="19"/>
      <c r="K955" s="10"/>
      <c r="L955" s="10"/>
      <c r="M955" s="10"/>
      <c r="N955" s="10"/>
      <c r="O955" s="18"/>
      <c r="P955" s="18"/>
      <c r="Q955" s="21"/>
      <c r="R955" s="20"/>
      <c r="S955" s="16">
        <f t="shared" si="651"/>
        <v>0</v>
      </c>
      <c r="T955" s="11"/>
      <c r="AS955" s="31">
        <f t="shared" si="652"/>
        <v>0</v>
      </c>
      <c r="AT955" s="31">
        <f t="shared" si="653"/>
        <v>0</v>
      </c>
      <c r="AU955" s="31">
        <f t="shared" si="654"/>
        <v>0</v>
      </c>
      <c r="AV955" s="31">
        <f t="shared" si="655"/>
        <v>0</v>
      </c>
      <c r="AW955" s="31">
        <f t="shared" si="656"/>
        <v>0</v>
      </c>
      <c r="AX955" s="31">
        <f t="shared" si="657"/>
        <v>0</v>
      </c>
      <c r="AY955" s="31">
        <f t="shared" si="658"/>
        <v>0</v>
      </c>
      <c r="AZ955" s="31">
        <f t="shared" si="659"/>
        <v>0</v>
      </c>
      <c r="BA955" s="31">
        <f t="shared" si="660"/>
        <v>0</v>
      </c>
      <c r="BB955" s="31">
        <f t="shared" si="689"/>
        <v>0</v>
      </c>
      <c r="BM955" s="8">
        <f t="shared" si="690"/>
        <v>0</v>
      </c>
      <c r="BN955" s="8">
        <f t="shared" si="661"/>
        <v>0</v>
      </c>
      <c r="BO955" s="8">
        <f t="shared" si="662"/>
        <v>0</v>
      </c>
      <c r="BQ955" s="8">
        <f t="shared" si="663"/>
        <v>0</v>
      </c>
      <c r="BR955" s="63">
        <f t="shared" si="664"/>
        <v>0</v>
      </c>
      <c r="BS955" s="63">
        <f t="shared" si="691"/>
        <v>0</v>
      </c>
      <c r="BT955" s="63">
        <f t="shared" si="665"/>
        <v>0</v>
      </c>
      <c r="BU955" s="63">
        <f t="shared" si="666"/>
        <v>0</v>
      </c>
      <c r="BV955" s="57">
        <f t="shared" si="667"/>
        <v>0</v>
      </c>
      <c r="BW955" s="57">
        <f t="shared" si="668"/>
        <v>0</v>
      </c>
      <c r="BX955" s="57">
        <f t="shared" si="692"/>
        <v>0</v>
      </c>
      <c r="BY955" s="57">
        <f t="shared" si="696"/>
        <v>0</v>
      </c>
      <c r="BZ955" s="8">
        <f t="shared" si="669"/>
        <v>0</v>
      </c>
      <c r="CA955" s="8">
        <f t="shared" si="670"/>
        <v>0</v>
      </c>
      <c r="CB955" s="8">
        <f t="shared" si="671"/>
        <v>0</v>
      </c>
      <c r="CC955" s="8">
        <f t="shared" si="672"/>
        <v>0</v>
      </c>
      <c r="CD955" s="8">
        <f t="shared" si="673"/>
        <v>0</v>
      </c>
      <c r="CE955" s="8">
        <f t="shared" si="674"/>
        <v>0</v>
      </c>
      <c r="CF955" s="8">
        <f t="shared" si="675"/>
        <v>0</v>
      </c>
      <c r="CG955" s="8">
        <f t="shared" si="676"/>
        <v>0</v>
      </c>
      <c r="CH955" s="8">
        <f t="shared" si="677"/>
        <v>0</v>
      </c>
      <c r="CI955" s="8">
        <f t="shared" si="678"/>
        <v>0</v>
      </c>
      <c r="CJ955" s="8">
        <f t="shared" si="679"/>
        <v>0</v>
      </c>
      <c r="CK955" s="8">
        <f t="shared" si="680"/>
        <v>0</v>
      </c>
      <c r="CL955" s="8">
        <f t="shared" si="681"/>
        <v>0</v>
      </c>
      <c r="CM955" s="8">
        <f t="shared" si="682"/>
        <v>0</v>
      </c>
      <c r="CN955" s="8">
        <f t="shared" si="683"/>
        <v>0</v>
      </c>
      <c r="CO955" s="8">
        <f t="shared" si="684"/>
        <v>0</v>
      </c>
      <c r="CP955" s="8">
        <f t="shared" si="685"/>
        <v>0</v>
      </c>
      <c r="CQ955" s="8">
        <f t="shared" si="686"/>
        <v>0</v>
      </c>
      <c r="CR955" s="8">
        <f t="shared" si="687"/>
        <v>0</v>
      </c>
      <c r="CS955" s="8">
        <f t="shared" si="688"/>
        <v>0</v>
      </c>
      <c r="CT955" s="8">
        <f t="shared" si="693"/>
        <v>0</v>
      </c>
      <c r="CU955" s="8">
        <f t="shared" si="694"/>
        <v>0</v>
      </c>
      <c r="CV955" s="8">
        <f t="shared" si="695"/>
        <v>0</v>
      </c>
    </row>
    <row r="956" spans="1:100" ht="20.5" thickTop="1" thickBot="1" x14ac:dyDescent="0.5">
      <c r="A956" s="32"/>
      <c r="B956" s="10"/>
      <c r="C956" s="10"/>
      <c r="D956" s="11"/>
      <c r="E956" s="10"/>
      <c r="F956" s="10"/>
      <c r="G956" s="19"/>
      <c r="H956" s="19"/>
      <c r="I956" s="19"/>
      <c r="J956" s="19"/>
      <c r="K956" s="10"/>
      <c r="L956" s="10"/>
      <c r="M956" s="10"/>
      <c r="N956" s="10"/>
      <c r="O956" s="18"/>
      <c r="P956" s="18"/>
      <c r="Q956" s="21"/>
      <c r="R956" s="20"/>
      <c r="S956" s="16">
        <f t="shared" si="651"/>
        <v>0</v>
      </c>
      <c r="T956" s="11"/>
      <c r="AS956" s="31">
        <f t="shared" si="652"/>
        <v>0</v>
      </c>
      <c r="AT956" s="31">
        <f t="shared" si="653"/>
        <v>0</v>
      </c>
      <c r="AU956" s="31">
        <f t="shared" si="654"/>
        <v>0</v>
      </c>
      <c r="AV956" s="31">
        <f t="shared" si="655"/>
        <v>0</v>
      </c>
      <c r="AW956" s="31">
        <f t="shared" si="656"/>
        <v>0</v>
      </c>
      <c r="AX956" s="31">
        <f t="shared" si="657"/>
        <v>0</v>
      </c>
      <c r="AY956" s="31">
        <f t="shared" si="658"/>
        <v>0</v>
      </c>
      <c r="AZ956" s="31">
        <f t="shared" si="659"/>
        <v>0</v>
      </c>
      <c r="BA956" s="31">
        <f t="shared" si="660"/>
        <v>0</v>
      </c>
      <c r="BB956" s="31">
        <f t="shared" si="689"/>
        <v>0</v>
      </c>
      <c r="BM956" s="8">
        <f t="shared" si="690"/>
        <v>0</v>
      </c>
      <c r="BN956" s="8">
        <f t="shared" si="661"/>
        <v>0</v>
      </c>
      <c r="BO956" s="8">
        <f t="shared" si="662"/>
        <v>0</v>
      </c>
      <c r="BQ956" s="8">
        <f t="shared" si="663"/>
        <v>0</v>
      </c>
      <c r="BR956" s="63">
        <f t="shared" si="664"/>
        <v>0</v>
      </c>
      <c r="BS956" s="63">
        <f t="shared" si="691"/>
        <v>0</v>
      </c>
      <c r="BT956" s="63">
        <f t="shared" si="665"/>
        <v>0</v>
      </c>
      <c r="BU956" s="63">
        <f t="shared" si="666"/>
        <v>0</v>
      </c>
      <c r="BV956" s="57">
        <f t="shared" si="667"/>
        <v>0</v>
      </c>
      <c r="BW956" s="57">
        <f t="shared" si="668"/>
        <v>0</v>
      </c>
      <c r="BX956" s="57">
        <f t="shared" si="692"/>
        <v>0</v>
      </c>
      <c r="BY956" s="57">
        <f t="shared" si="696"/>
        <v>0</v>
      </c>
      <c r="BZ956" s="8">
        <f t="shared" si="669"/>
        <v>0</v>
      </c>
      <c r="CA956" s="8">
        <f t="shared" si="670"/>
        <v>0</v>
      </c>
      <c r="CB956" s="8">
        <f t="shared" si="671"/>
        <v>0</v>
      </c>
      <c r="CC956" s="8">
        <f t="shared" si="672"/>
        <v>0</v>
      </c>
      <c r="CD956" s="8">
        <f t="shared" si="673"/>
        <v>0</v>
      </c>
      <c r="CE956" s="8">
        <f t="shared" si="674"/>
        <v>0</v>
      </c>
      <c r="CF956" s="8">
        <f t="shared" si="675"/>
        <v>0</v>
      </c>
      <c r="CG956" s="8">
        <f t="shared" si="676"/>
        <v>0</v>
      </c>
      <c r="CH956" s="8">
        <f t="shared" si="677"/>
        <v>0</v>
      </c>
      <c r="CI956" s="8">
        <f t="shared" si="678"/>
        <v>0</v>
      </c>
      <c r="CJ956" s="8">
        <f t="shared" si="679"/>
        <v>0</v>
      </c>
      <c r="CK956" s="8">
        <f t="shared" si="680"/>
        <v>0</v>
      </c>
      <c r="CL956" s="8">
        <f t="shared" si="681"/>
        <v>0</v>
      </c>
      <c r="CM956" s="8">
        <f t="shared" si="682"/>
        <v>0</v>
      </c>
      <c r="CN956" s="8">
        <f t="shared" si="683"/>
        <v>0</v>
      </c>
      <c r="CO956" s="8">
        <f t="shared" si="684"/>
        <v>0</v>
      </c>
      <c r="CP956" s="8">
        <f t="shared" si="685"/>
        <v>0</v>
      </c>
      <c r="CQ956" s="8">
        <f t="shared" si="686"/>
        <v>0</v>
      </c>
      <c r="CR956" s="8">
        <f t="shared" si="687"/>
        <v>0</v>
      </c>
      <c r="CS956" s="8">
        <f t="shared" si="688"/>
        <v>0</v>
      </c>
      <c r="CT956" s="8">
        <f t="shared" si="693"/>
        <v>0</v>
      </c>
      <c r="CU956" s="8">
        <f t="shared" si="694"/>
        <v>0</v>
      </c>
      <c r="CV956" s="8">
        <f t="shared" si="695"/>
        <v>0</v>
      </c>
    </row>
    <row r="957" spans="1:100" ht="20.5" thickTop="1" thickBot="1" x14ac:dyDescent="0.5">
      <c r="A957" s="32"/>
      <c r="B957" s="10"/>
      <c r="C957" s="10"/>
      <c r="D957" s="11"/>
      <c r="E957" s="10"/>
      <c r="F957" s="10"/>
      <c r="G957" s="19"/>
      <c r="H957" s="19"/>
      <c r="I957" s="19"/>
      <c r="J957" s="19"/>
      <c r="K957" s="10"/>
      <c r="L957" s="10"/>
      <c r="M957" s="10"/>
      <c r="N957" s="10"/>
      <c r="O957" s="18"/>
      <c r="P957" s="18"/>
      <c r="Q957" s="21"/>
      <c r="R957" s="20"/>
      <c r="S957" s="16">
        <f t="shared" si="651"/>
        <v>0</v>
      </c>
      <c r="T957" s="11"/>
      <c r="AS957" s="31">
        <f t="shared" si="652"/>
        <v>0</v>
      </c>
      <c r="AT957" s="31">
        <f t="shared" si="653"/>
        <v>0</v>
      </c>
      <c r="AU957" s="31">
        <f t="shared" si="654"/>
        <v>0</v>
      </c>
      <c r="AV957" s="31">
        <f t="shared" si="655"/>
        <v>0</v>
      </c>
      <c r="AW957" s="31">
        <f t="shared" si="656"/>
        <v>0</v>
      </c>
      <c r="AX957" s="31">
        <f t="shared" si="657"/>
        <v>0</v>
      </c>
      <c r="AY957" s="31">
        <f t="shared" si="658"/>
        <v>0</v>
      </c>
      <c r="AZ957" s="31">
        <f t="shared" si="659"/>
        <v>0</v>
      </c>
      <c r="BA957" s="31">
        <f t="shared" si="660"/>
        <v>0</v>
      </c>
      <c r="BB957" s="31">
        <f t="shared" si="689"/>
        <v>0</v>
      </c>
      <c r="BM957" s="8">
        <f t="shared" si="690"/>
        <v>0</v>
      </c>
      <c r="BN957" s="8">
        <f t="shared" si="661"/>
        <v>0</v>
      </c>
      <c r="BO957" s="8">
        <f t="shared" si="662"/>
        <v>0</v>
      </c>
      <c r="BQ957" s="8">
        <f t="shared" si="663"/>
        <v>0</v>
      </c>
      <c r="BR957" s="63">
        <f t="shared" si="664"/>
        <v>0</v>
      </c>
      <c r="BS957" s="63">
        <f t="shared" si="691"/>
        <v>0</v>
      </c>
      <c r="BT957" s="63">
        <f t="shared" si="665"/>
        <v>0</v>
      </c>
      <c r="BU957" s="63">
        <f t="shared" si="666"/>
        <v>0</v>
      </c>
      <c r="BV957" s="57">
        <f t="shared" si="667"/>
        <v>0</v>
      </c>
      <c r="BW957" s="57">
        <f t="shared" si="668"/>
        <v>0</v>
      </c>
      <c r="BX957" s="57">
        <f t="shared" si="692"/>
        <v>0</v>
      </c>
      <c r="BY957" s="57">
        <f t="shared" si="696"/>
        <v>0</v>
      </c>
      <c r="BZ957" s="8">
        <f t="shared" si="669"/>
        <v>0</v>
      </c>
      <c r="CA957" s="8">
        <f t="shared" si="670"/>
        <v>0</v>
      </c>
      <c r="CB957" s="8">
        <f t="shared" si="671"/>
        <v>0</v>
      </c>
      <c r="CC957" s="8">
        <f t="shared" si="672"/>
        <v>0</v>
      </c>
      <c r="CD957" s="8">
        <f t="shared" si="673"/>
        <v>0</v>
      </c>
      <c r="CE957" s="8">
        <f t="shared" si="674"/>
        <v>0</v>
      </c>
      <c r="CF957" s="8">
        <f t="shared" si="675"/>
        <v>0</v>
      </c>
      <c r="CG957" s="8">
        <f t="shared" si="676"/>
        <v>0</v>
      </c>
      <c r="CH957" s="8">
        <f t="shared" si="677"/>
        <v>0</v>
      </c>
      <c r="CI957" s="8">
        <f t="shared" si="678"/>
        <v>0</v>
      </c>
      <c r="CJ957" s="8">
        <f t="shared" si="679"/>
        <v>0</v>
      </c>
      <c r="CK957" s="8">
        <f t="shared" si="680"/>
        <v>0</v>
      </c>
      <c r="CL957" s="8">
        <f t="shared" si="681"/>
        <v>0</v>
      </c>
      <c r="CM957" s="8">
        <f t="shared" si="682"/>
        <v>0</v>
      </c>
      <c r="CN957" s="8">
        <f t="shared" si="683"/>
        <v>0</v>
      </c>
      <c r="CO957" s="8">
        <f t="shared" si="684"/>
        <v>0</v>
      </c>
      <c r="CP957" s="8">
        <f t="shared" si="685"/>
        <v>0</v>
      </c>
      <c r="CQ957" s="8">
        <f t="shared" si="686"/>
        <v>0</v>
      </c>
      <c r="CR957" s="8">
        <f t="shared" si="687"/>
        <v>0</v>
      </c>
      <c r="CS957" s="8">
        <f t="shared" si="688"/>
        <v>0</v>
      </c>
      <c r="CT957" s="8">
        <f t="shared" si="693"/>
        <v>0</v>
      </c>
      <c r="CU957" s="8">
        <f t="shared" si="694"/>
        <v>0</v>
      </c>
      <c r="CV957" s="8">
        <f t="shared" si="695"/>
        <v>0</v>
      </c>
    </row>
    <row r="958" spans="1:100" ht="20.5" thickTop="1" thickBot="1" x14ac:dyDescent="0.5">
      <c r="A958" s="32"/>
      <c r="B958" s="10"/>
      <c r="C958" s="10"/>
      <c r="D958" s="11"/>
      <c r="E958" s="10"/>
      <c r="F958" s="10"/>
      <c r="G958" s="19"/>
      <c r="H958" s="19"/>
      <c r="I958" s="19"/>
      <c r="J958" s="19"/>
      <c r="K958" s="10"/>
      <c r="L958" s="10"/>
      <c r="M958" s="10"/>
      <c r="N958" s="10"/>
      <c r="O958" s="18"/>
      <c r="P958" s="18"/>
      <c r="Q958" s="21"/>
      <c r="R958" s="20"/>
      <c r="S958" s="16">
        <f t="shared" si="651"/>
        <v>0</v>
      </c>
      <c r="T958" s="11"/>
      <c r="AS958" s="31">
        <f t="shared" si="652"/>
        <v>0</v>
      </c>
      <c r="AT958" s="31">
        <f t="shared" si="653"/>
        <v>0</v>
      </c>
      <c r="AU958" s="31">
        <f t="shared" si="654"/>
        <v>0</v>
      </c>
      <c r="AV958" s="31">
        <f t="shared" si="655"/>
        <v>0</v>
      </c>
      <c r="AW958" s="31">
        <f t="shared" si="656"/>
        <v>0</v>
      </c>
      <c r="AX958" s="31">
        <f t="shared" si="657"/>
        <v>0</v>
      </c>
      <c r="AY958" s="31">
        <f t="shared" si="658"/>
        <v>0</v>
      </c>
      <c r="AZ958" s="31">
        <f t="shared" si="659"/>
        <v>0</v>
      </c>
      <c r="BA958" s="31">
        <f t="shared" si="660"/>
        <v>0</v>
      </c>
      <c r="BB958" s="31">
        <f t="shared" si="689"/>
        <v>0</v>
      </c>
      <c r="BM958" s="8">
        <f t="shared" si="690"/>
        <v>0</v>
      </c>
      <c r="BN958" s="8">
        <f t="shared" si="661"/>
        <v>0</v>
      </c>
      <c r="BO958" s="8">
        <f t="shared" si="662"/>
        <v>0</v>
      </c>
      <c r="BQ958" s="8">
        <f t="shared" si="663"/>
        <v>0</v>
      </c>
      <c r="BR958" s="63">
        <f t="shared" si="664"/>
        <v>0</v>
      </c>
      <c r="BS958" s="63">
        <f t="shared" si="691"/>
        <v>0</v>
      </c>
      <c r="BT958" s="63">
        <f t="shared" si="665"/>
        <v>0</v>
      </c>
      <c r="BU958" s="63">
        <f t="shared" si="666"/>
        <v>0</v>
      </c>
      <c r="BV958" s="57">
        <f t="shared" si="667"/>
        <v>0</v>
      </c>
      <c r="BW958" s="57">
        <f t="shared" si="668"/>
        <v>0</v>
      </c>
      <c r="BX958" s="57">
        <f t="shared" si="692"/>
        <v>0</v>
      </c>
      <c r="BY958" s="57">
        <f t="shared" si="696"/>
        <v>0</v>
      </c>
      <c r="BZ958" s="8">
        <f t="shared" si="669"/>
        <v>0</v>
      </c>
      <c r="CA958" s="8">
        <f t="shared" si="670"/>
        <v>0</v>
      </c>
      <c r="CB958" s="8">
        <f t="shared" si="671"/>
        <v>0</v>
      </c>
      <c r="CC958" s="8">
        <f t="shared" si="672"/>
        <v>0</v>
      </c>
      <c r="CD958" s="8">
        <f t="shared" si="673"/>
        <v>0</v>
      </c>
      <c r="CE958" s="8">
        <f t="shared" si="674"/>
        <v>0</v>
      </c>
      <c r="CF958" s="8">
        <f t="shared" si="675"/>
        <v>0</v>
      </c>
      <c r="CG958" s="8">
        <f t="shared" si="676"/>
        <v>0</v>
      </c>
      <c r="CH958" s="8">
        <f t="shared" si="677"/>
        <v>0</v>
      </c>
      <c r="CI958" s="8">
        <f t="shared" si="678"/>
        <v>0</v>
      </c>
      <c r="CJ958" s="8">
        <f t="shared" si="679"/>
        <v>0</v>
      </c>
      <c r="CK958" s="8">
        <f t="shared" si="680"/>
        <v>0</v>
      </c>
      <c r="CL958" s="8">
        <f t="shared" si="681"/>
        <v>0</v>
      </c>
      <c r="CM958" s="8">
        <f t="shared" si="682"/>
        <v>0</v>
      </c>
      <c r="CN958" s="8">
        <f t="shared" si="683"/>
        <v>0</v>
      </c>
      <c r="CO958" s="8">
        <f t="shared" si="684"/>
        <v>0</v>
      </c>
      <c r="CP958" s="8">
        <f t="shared" si="685"/>
        <v>0</v>
      </c>
      <c r="CQ958" s="8">
        <f t="shared" si="686"/>
        <v>0</v>
      </c>
      <c r="CR958" s="8">
        <f t="shared" si="687"/>
        <v>0</v>
      </c>
      <c r="CS958" s="8">
        <f t="shared" si="688"/>
        <v>0</v>
      </c>
      <c r="CT958" s="8">
        <f t="shared" si="693"/>
        <v>0</v>
      </c>
      <c r="CU958" s="8">
        <f t="shared" si="694"/>
        <v>0</v>
      </c>
      <c r="CV958" s="8">
        <f t="shared" si="695"/>
        <v>0</v>
      </c>
    </row>
    <row r="959" spans="1:100" ht="20.5" thickTop="1" thickBot="1" x14ac:dyDescent="0.5">
      <c r="A959" s="32"/>
      <c r="B959" s="10"/>
      <c r="C959" s="10"/>
      <c r="D959" s="11"/>
      <c r="E959" s="10"/>
      <c r="F959" s="10"/>
      <c r="G959" s="19"/>
      <c r="H959" s="19"/>
      <c r="I959" s="19"/>
      <c r="J959" s="19"/>
      <c r="K959" s="10"/>
      <c r="L959" s="10"/>
      <c r="M959" s="10"/>
      <c r="N959" s="10"/>
      <c r="O959" s="18"/>
      <c r="P959" s="18"/>
      <c r="Q959" s="21"/>
      <c r="R959" s="20"/>
      <c r="S959" s="16">
        <f t="shared" si="651"/>
        <v>0</v>
      </c>
      <c r="T959" s="11"/>
      <c r="AS959" s="31">
        <f t="shared" si="652"/>
        <v>0</v>
      </c>
      <c r="AT959" s="31">
        <f t="shared" si="653"/>
        <v>0</v>
      </c>
      <c r="AU959" s="31">
        <f t="shared" si="654"/>
        <v>0</v>
      </c>
      <c r="AV959" s="31">
        <f t="shared" si="655"/>
        <v>0</v>
      </c>
      <c r="AW959" s="31">
        <f t="shared" si="656"/>
        <v>0</v>
      </c>
      <c r="AX959" s="31">
        <f t="shared" si="657"/>
        <v>0</v>
      </c>
      <c r="AY959" s="31">
        <f t="shared" si="658"/>
        <v>0</v>
      </c>
      <c r="AZ959" s="31">
        <f t="shared" si="659"/>
        <v>0</v>
      </c>
      <c r="BA959" s="31">
        <f t="shared" si="660"/>
        <v>0</v>
      </c>
      <c r="BB959" s="31">
        <f t="shared" si="689"/>
        <v>0</v>
      </c>
      <c r="BM959" s="8">
        <f t="shared" si="690"/>
        <v>0</v>
      </c>
      <c r="BN959" s="8">
        <f t="shared" si="661"/>
        <v>0</v>
      </c>
      <c r="BO959" s="8">
        <f t="shared" si="662"/>
        <v>0</v>
      </c>
      <c r="BQ959" s="8">
        <f t="shared" si="663"/>
        <v>0</v>
      </c>
      <c r="BR959" s="63">
        <f t="shared" si="664"/>
        <v>0</v>
      </c>
      <c r="BS959" s="63">
        <f t="shared" si="691"/>
        <v>0</v>
      </c>
      <c r="BT959" s="63">
        <f t="shared" si="665"/>
        <v>0</v>
      </c>
      <c r="BU959" s="63">
        <f t="shared" si="666"/>
        <v>0</v>
      </c>
      <c r="BV959" s="57">
        <f t="shared" si="667"/>
        <v>0</v>
      </c>
      <c r="BW959" s="57">
        <f t="shared" si="668"/>
        <v>0</v>
      </c>
      <c r="BX959" s="57">
        <f t="shared" si="692"/>
        <v>0</v>
      </c>
      <c r="BY959" s="57">
        <f t="shared" si="696"/>
        <v>0</v>
      </c>
      <c r="BZ959" s="8">
        <f t="shared" si="669"/>
        <v>0</v>
      </c>
      <c r="CA959" s="8">
        <f t="shared" si="670"/>
        <v>0</v>
      </c>
      <c r="CB959" s="8">
        <f t="shared" si="671"/>
        <v>0</v>
      </c>
      <c r="CC959" s="8">
        <f t="shared" si="672"/>
        <v>0</v>
      </c>
      <c r="CD959" s="8">
        <f t="shared" si="673"/>
        <v>0</v>
      </c>
      <c r="CE959" s="8">
        <f t="shared" si="674"/>
        <v>0</v>
      </c>
      <c r="CF959" s="8">
        <f t="shared" si="675"/>
        <v>0</v>
      </c>
      <c r="CG959" s="8">
        <f t="shared" si="676"/>
        <v>0</v>
      </c>
      <c r="CH959" s="8">
        <f t="shared" si="677"/>
        <v>0</v>
      </c>
      <c r="CI959" s="8">
        <f t="shared" si="678"/>
        <v>0</v>
      </c>
      <c r="CJ959" s="8">
        <f t="shared" si="679"/>
        <v>0</v>
      </c>
      <c r="CK959" s="8">
        <f t="shared" si="680"/>
        <v>0</v>
      </c>
      <c r="CL959" s="8">
        <f t="shared" si="681"/>
        <v>0</v>
      </c>
      <c r="CM959" s="8">
        <f t="shared" si="682"/>
        <v>0</v>
      </c>
      <c r="CN959" s="8">
        <f t="shared" si="683"/>
        <v>0</v>
      </c>
      <c r="CO959" s="8">
        <f t="shared" si="684"/>
        <v>0</v>
      </c>
      <c r="CP959" s="8">
        <f t="shared" si="685"/>
        <v>0</v>
      </c>
      <c r="CQ959" s="8">
        <f t="shared" si="686"/>
        <v>0</v>
      </c>
      <c r="CR959" s="8">
        <f t="shared" si="687"/>
        <v>0</v>
      </c>
      <c r="CS959" s="8">
        <f t="shared" si="688"/>
        <v>0</v>
      </c>
      <c r="CT959" s="8">
        <f t="shared" si="693"/>
        <v>0</v>
      </c>
      <c r="CU959" s="8">
        <f t="shared" si="694"/>
        <v>0</v>
      </c>
      <c r="CV959" s="8">
        <f t="shared" si="695"/>
        <v>0</v>
      </c>
    </row>
    <row r="960" spans="1:100" ht="20.5" thickTop="1" thickBot="1" x14ac:dyDescent="0.5">
      <c r="A960" s="32"/>
      <c r="B960" s="10"/>
      <c r="C960" s="10"/>
      <c r="D960" s="11"/>
      <c r="E960" s="10"/>
      <c r="F960" s="10"/>
      <c r="G960" s="19"/>
      <c r="H960" s="19"/>
      <c r="I960" s="19"/>
      <c r="J960" s="19"/>
      <c r="K960" s="10"/>
      <c r="L960" s="10"/>
      <c r="M960" s="10"/>
      <c r="N960" s="10"/>
      <c r="O960" s="18"/>
      <c r="P960" s="18"/>
      <c r="Q960" s="21"/>
      <c r="R960" s="20"/>
      <c r="S960" s="16">
        <f t="shared" si="651"/>
        <v>0</v>
      </c>
      <c r="T960" s="11"/>
      <c r="AS960" s="31">
        <f t="shared" si="652"/>
        <v>0</v>
      </c>
      <c r="AT960" s="31">
        <f t="shared" si="653"/>
        <v>0</v>
      </c>
      <c r="AU960" s="31">
        <f t="shared" si="654"/>
        <v>0</v>
      </c>
      <c r="AV960" s="31">
        <f t="shared" si="655"/>
        <v>0</v>
      </c>
      <c r="AW960" s="31">
        <f t="shared" si="656"/>
        <v>0</v>
      </c>
      <c r="AX960" s="31">
        <f t="shared" si="657"/>
        <v>0</v>
      </c>
      <c r="AY960" s="31">
        <f t="shared" si="658"/>
        <v>0</v>
      </c>
      <c r="AZ960" s="31">
        <f t="shared" si="659"/>
        <v>0</v>
      </c>
      <c r="BA960" s="31">
        <f t="shared" si="660"/>
        <v>0</v>
      </c>
      <c r="BB960" s="31">
        <f t="shared" si="689"/>
        <v>0</v>
      </c>
      <c r="BM960" s="8">
        <f t="shared" si="690"/>
        <v>0</v>
      </c>
      <c r="BN960" s="8">
        <f t="shared" si="661"/>
        <v>0</v>
      </c>
      <c r="BO960" s="8">
        <f t="shared" si="662"/>
        <v>0</v>
      </c>
      <c r="BQ960" s="8">
        <f t="shared" si="663"/>
        <v>0</v>
      </c>
      <c r="BR960" s="63">
        <f t="shared" si="664"/>
        <v>0</v>
      </c>
      <c r="BS960" s="63">
        <f t="shared" si="691"/>
        <v>0</v>
      </c>
      <c r="BT960" s="63">
        <f t="shared" si="665"/>
        <v>0</v>
      </c>
      <c r="BU960" s="63">
        <f t="shared" si="666"/>
        <v>0</v>
      </c>
      <c r="BV960" s="57">
        <f t="shared" si="667"/>
        <v>0</v>
      </c>
      <c r="BW960" s="57">
        <f t="shared" si="668"/>
        <v>0</v>
      </c>
      <c r="BX960" s="57">
        <f t="shared" si="692"/>
        <v>0</v>
      </c>
      <c r="BY960" s="57">
        <f t="shared" si="696"/>
        <v>0</v>
      </c>
      <c r="BZ960" s="8">
        <f t="shared" si="669"/>
        <v>0</v>
      </c>
      <c r="CA960" s="8">
        <f t="shared" si="670"/>
        <v>0</v>
      </c>
      <c r="CB960" s="8">
        <f t="shared" si="671"/>
        <v>0</v>
      </c>
      <c r="CC960" s="8">
        <f t="shared" si="672"/>
        <v>0</v>
      </c>
      <c r="CD960" s="8">
        <f t="shared" si="673"/>
        <v>0</v>
      </c>
      <c r="CE960" s="8">
        <f t="shared" si="674"/>
        <v>0</v>
      </c>
      <c r="CF960" s="8">
        <f t="shared" si="675"/>
        <v>0</v>
      </c>
      <c r="CG960" s="8">
        <f t="shared" si="676"/>
        <v>0</v>
      </c>
      <c r="CH960" s="8">
        <f t="shared" si="677"/>
        <v>0</v>
      </c>
      <c r="CI960" s="8">
        <f t="shared" si="678"/>
        <v>0</v>
      </c>
      <c r="CJ960" s="8">
        <f t="shared" si="679"/>
        <v>0</v>
      </c>
      <c r="CK960" s="8">
        <f t="shared" si="680"/>
        <v>0</v>
      </c>
      <c r="CL960" s="8">
        <f t="shared" si="681"/>
        <v>0</v>
      </c>
      <c r="CM960" s="8">
        <f t="shared" si="682"/>
        <v>0</v>
      </c>
      <c r="CN960" s="8">
        <f t="shared" si="683"/>
        <v>0</v>
      </c>
      <c r="CO960" s="8">
        <f t="shared" si="684"/>
        <v>0</v>
      </c>
      <c r="CP960" s="8">
        <f t="shared" si="685"/>
        <v>0</v>
      </c>
      <c r="CQ960" s="8">
        <f t="shared" si="686"/>
        <v>0</v>
      </c>
      <c r="CR960" s="8">
        <f t="shared" si="687"/>
        <v>0</v>
      </c>
      <c r="CS960" s="8">
        <f t="shared" si="688"/>
        <v>0</v>
      </c>
      <c r="CT960" s="8">
        <f t="shared" si="693"/>
        <v>0</v>
      </c>
      <c r="CU960" s="8">
        <f t="shared" si="694"/>
        <v>0</v>
      </c>
      <c r="CV960" s="8">
        <f t="shared" si="695"/>
        <v>0</v>
      </c>
    </row>
    <row r="961" spans="1:100" ht="20.5" thickTop="1" thickBot="1" x14ac:dyDescent="0.5">
      <c r="A961" s="32"/>
      <c r="B961" s="10"/>
      <c r="C961" s="10"/>
      <c r="D961" s="11"/>
      <c r="E961" s="10"/>
      <c r="F961" s="10"/>
      <c r="G961" s="19"/>
      <c r="H961" s="19"/>
      <c r="I961" s="19"/>
      <c r="J961" s="19"/>
      <c r="K961" s="10"/>
      <c r="L961" s="10"/>
      <c r="M961" s="10"/>
      <c r="N961" s="10"/>
      <c r="O961" s="18"/>
      <c r="P961" s="18"/>
      <c r="Q961" s="21"/>
      <c r="R961" s="20"/>
      <c r="S961" s="16">
        <f t="shared" si="651"/>
        <v>0</v>
      </c>
      <c r="T961" s="11"/>
      <c r="AS961" s="31">
        <f t="shared" si="652"/>
        <v>0</v>
      </c>
      <c r="AT961" s="31">
        <f t="shared" si="653"/>
        <v>0</v>
      </c>
      <c r="AU961" s="31">
        <f t="shared" si="654"/>
        <v>0</v>
      </c>
      <c r="AV961" s="31">
        <f t="shared" si="655"/>
        <v>0</v>
      </c>
      <c r="AW961" s="31">
        <f t="shared" si="656"/>
        <v>0</v>
      </c>
      <c r="AX961" s="31">
        <f t="shared" si="657"/>
        <v>0</v>
      </c>
      <c r="AY961" s="31">
        <f t="shared" si="658"/>
        <v>0</v>
      </c>
      <c r="AZ961" s="31">
        <f t="shared" si="659"/>
        <v>0</v>
      </c>
      <c r="BA961" s="31">
        <f t="shared" si="660"/>
        <v>0</v>
      </c>
      <c r="BB961" s="31">
        <f t="shared" si="689"/>
        <v>0</v>
      </c>
      <c r="BM961" s="8">
        <f t="shared" si="690"/>
        <v>0</v>
      </c>
      <c r="BN961" s="8">
        <f t="shared" si="661"/>
        <v>0</v>
      </c>
      <c r="BO961" s="8">
        <f t="shared" si="662"/>
        <v>0</v>
      </c>
      <c r="BQ961" s="8">
        <f t="shared" si="663"/>
        <v>0</v>
      </c>
      <c r="BR961" s="63">
        <f t="shared" si="664"/>
        <v>0</v>
      </c>
      <c r="BS961" s="63">
        <f t="shared" si="691"/>
        <v>0</v>
      </c>
      <c r="BT961" s="63">
        <f t="shared" si="665"/>
        <v>0</v>
      </c>
      <c r="BU961" s="63">
        <f t="shared" si="666"/>
        <v>0</v>
      </c>
      <c r="BV961" s="57">
        <f t="shared" si="667"/>
        <v>0</v>
      </c>
      <c r="BW961" s="57">
        <f t="shared" si="668"/>
        <v>0</v>
      </c>
      <c r="BX961" s="57">
        <f t="shared" si="692"/>
        <v>0</v>
      </c>
      <c r="BY961" s="57">
        <f t="shared" si="696"/>
        <v>0</v>
      </c>
      <c r="BZ961" s="8">
        <f t="shared" si="669"/>
        <v>0</v>
      </c>
      <c r="CA961" s="8">
        <f t="shared" si="670"/>
        <v>0</v>
      </c>
      <c r="CB961" s="8">
        <f t="shared" si="671"/>
        <v>0</v>
      </c>
      <c r="CC961" s="8">
        <f t="shared" si="672"/>
        <v>0</v>
      </c>
      <c r="CD961" s="8">
        <f t="shared" si="673"/>
        <v>0</v>
      </c>
      <c r="CE961" s="8">
        <f t="shared" si="674"/>
        <v>0</v>
      </c>
      <c r="CF961" s="8">
        <f t="shared" si="675"/>
        <v>0</v>
      </c>
      <c r="CG961" s="8">
        <f t="shared" si="676"/>
        <v>0</v>
      </c>
      <c r="CH961" s="8">
        <f t="shared" si="677"/>
        <v>0</v>
      </c>
      <c r="CI961" s="8">
        <f t="shared" si="678"/>
        <v>0</v>
      </c>
      <c r="CJ961" s="8">
        <f t="shared" si="679"/>
        <v>0</v>
      </c>
      <c r="CK961" s="8">
        <f t="shared" si="680"/>
        <v>0</v>
      </c>
      <c r="CL961" s="8">
        <f t="shared" si="681"/>
        <v>0</v>
      </c>
      <c r="CM961" s="8">
        <f t="shared" si="682"/>
        <v>0</v>
      </c>
      <c r="CN961" s="8">
        <f t="shared" si="683"/>
        <v>0</v>
      </c>
      <c r="CO961" s="8">
        <f t="shared" si="684"/>
        <v>0</v>
      </c>
      <c r="CP961" s="8">
        <f t="shared" si="685"/>
        <v>0</v>
      </c>
      <c r="CQ961" s="8">
        <f t="shared" si="686"/>
        <v>0</v>
      </c>
      <c r="CR961" s="8">
        <f t="shared" si="687"/>
        <v>0</v>
      </c>
      <c r="CS961" s="8">
        <f t="shared" si="688"/>
        <v>0</v>
      </c>
      <c r="CT961" s="8">
        <f t="shared" si="693"/>
        <v>0</v>
      </c>
      <c r="CU961" s="8">
        <f t="shared" si="694"/>
        <v>0</v>
      </c>
      <c r="CV961" s="8">
        <f t="shared" si="695"/>
        <v>0</v>
      </c>
    </row>
    <row r="962" spans="1:100" ht="20.5" thickTop="1" thickBot="1" x14ac:dyDescent="0.5">
      <c r="A962" s="32"/>
      <c r="B962" s="10"/>
      <c r="C962" s="10"/>
      <c r="D962" s="11"/>
      <c r="E962" s="10"/>
      <c r="F962" s="10"/>
      <c r="G962" s="19"/>
      <c r="H962" s="19"/>
      <c r="I962" s="19"/>
      <c r="J962" s="19"/>
      <c r="K962" s="10"/>
      <c r="L962" s="10"/>
      <c r="M962" s="10"/>
      <c r="N962" s="10"/>
      <c r="O962" s="18"/>
      <c r="P962" s="18"/>
      <c r="Q962" s="21"/>
      <c r="R962" s="20"/>
      <c r="S962" s="16">
        <f t="shared" si="651"/>
        <v>0</v>
      </c>
      <c r="T962" s="11"/>
      <c r="AS962" s="31">
        <f t="shared" si="652"/>
        <v>0</v>
      </c>
      <c r="AT962" s="31">
        <f t="shared" si="653"/>
        <v>0</v>
      </c>
      <c r="AU962" s="31">
        <f t="shared" si="654"/>
        <v>0</v>
      </c>
      <c r="AV962" s="31">
        <f t="shared" si="655"/>
        <v>0</v>
      </c>
      <c r="AW962" s="31">
        <f t="shared" si="656"/>
        <v>0</v>
      </c>
      <c r="AX962" s="31">
        <f t="shared" si="657"/>
        <v>0</v>
      </c>
      <c r="AY962" s="31">
        <f t="shared" si="658"/>
        <v>0</v>
      </c>
      <c r="AZ962" s="31">
        <f t="shared" si="659"/>
        <v>0</v>
      </c>
      <c r="BA962" s="31">
        <f t="shared" si="660"/>
        <v>0</v>
      </c>
      <c r="BB962" s="31">
        <f t="shared" si="689"/>
        <v>0</v>
      </c>
      <c r="BM962" s="8">
        <f t="shared" si="690"/>
        <v>0</v>
      </c>
      <c r="BN962" s="8">
        <f t="shared" si="661"/>
        <v>0</v>
      </c>
      <c r="BO962" s="8">
        <f t="shared" si="662"/>
        <v>0</v>
      </c>
      <c r="BQ962" s="8">
        <f t="shared" si="663"/>
        <v>0</v>
      </c>
      <c r="BR962" s="63">
        <f t="shared" si="664"/>
        <v>0</v>
      </c>
      <c r="BS962" s="63">
        <f t="shared" si="691"/>
        <v>0</v>
      </c>
      <c r="BT962" s="63">
        <f t="shared" si="665"/>
        <v>0</v>
      </c>
      <c r="BU962" s="63">
        <f t="shared" si="666"/>
        <v>0</v>
      </c>
      <c r="BV962" s="57">
        <f t="shared" si="667"/>
        <v>0</v>
      </c>
      <c r="BW962" s="57">
        <f t="shared" si="668"/>
        <v>0</v>
      </c>
      <c r="BX962" s="57">
        <f t="shared" si="692"/>
        <v>0</v>
      </c>
      <c r="BY962" s="57">
        <f t="shared" si="696"/>
        <v>0</v>
      </c>
      <c r="BZ962" s="8">
        <f t="shared" si="669"/>
        <v>0</v>
      </c>
      <c r="CA962" s="8">
        <f t="shared" si="670"/>
        <v>0</v>
      </c>
      <c r="CB962" s="8">
        <f t="shared" si="671"/>
        <v>0</v>
      </c>
      <c r="CC962" s="8">
        <f t="shared" si="672"/>
        <v>0</v>
      </c>
      <c r="CD962" s="8">
        <f t="shared" si="673"/>
        <v>0</v>
      </c>
      <c r="CE962" s="8">
        <f t="shared" si="674"/>
        <v>0</v>
      </c>
      <c r="CF962" s="8">
        <f t="shared" si="675"/>
        <v>0</v>
      </c>
      <c r="CG962" s="8">
        <f t="shared" si="676"/>
        <v>0</v>
      </c>
      <c r="CH962" s="8">
        <f t="shared" si="677"/>
        <v>0</v>
      </c>
      <c r="CI962" s="8">
        <f t="shared" si="678"/>
        <v>0</v>
      </c>
      <c r="CJ962" s="8">
        <f t="shared" si="679"/>
        <v>0</v>
      </c>
      <c r="CK962" s="8">
        <f t="shared" si="680"/>
        <v>0</v>
      </c>
      <c r="CL962" s="8">
        <f t="shared" si="681"/>
        <v>0</v>
      </c>
      <c r="CM962" s="8">
        <f t="shared" si="682"/>
        <v>0</v>
      </c>
      <c r="CN962" s="8">
        <f t="shared" si="683"/>
        <v>0</v>
      </c>
      <c r="CO962" s="8">
        <f t="shared" si="684"/>
        <v>0</v>
      </c>
      <c r="CP962" s="8">
        <f t="shared" si="685"/>
        <v>0</v>
      </c>
      <c r="CQ962" s="8">
        <f t="shared" si="686"/>
        <v>0</v>
      </c>
      <c r="CR962" s="8">
        <f t="shared" si="687"/>
        <v>0</v>
      </c>
      <c r="CS962" s="8">
        <f t="shared" si="688"/>
        <v>0</v>
      </c>
      <c r="CT962" s="8">
        <f t="shared" si="693"/>
        <v>0</v>
      </c>
      <c r="CU962" s="8">
        <f t="shared" si="694"/>
        <v>0</v>
      </c>
      <c r="CV962" s="8">
        <f t="shared" si="695"/>
        <v>0</v>
      </c>
    </row>
    <row r="963" spans="1:100" ht="20.5" thickTop="1" thickBot="1" x14ac:dyDescent="0.5">
      <c r="A963" s="32"/>
      <c r="B963" s="10"/>
      <c r="C963" s="10"/>
      <c r="D963" s="11"/>
      <c r="E963" s="10"/>
      <c r="F963" s="10"/>
      <c r="G963" s="19"/>
      <c r="H963" s="19"/>
      <c r="I963" s="19"/>
      <c r="J963" s="19"/>
      <c r="K963" s="10"/>
      <c r="L963" s="10"/>
      <c r="M963" s="10"/>
      <c r="N963" s="10"/>
      <c r="O963" s="18"/>
      <c r="P963" s="18"/>
      <c r="Q963" s="21"/>
      <c r="R963" s="20"/>
      <c r="S963" s="16">
        <f t="shared" si="651"/>
        <v>0</v>
      </c>
      <c r="T963" s="11"/>
      <c r="AS963" s="31">
        <f t="shared" si="652"/>
        <v>0</v>
      </c>
      <c r="AT963" s="31">
        <f t="shared" si="653"/>
        <v>0</v>
      </c>
      <c r="AU963" s="31">
        <f t="shared" si="654"/>
        <v>0</v>
      </c>
      <c r="AV963" s="31">
        <f t="shared" si="655"/>
        <v>0</v>
      </c>
      <c r="AW963" s="31">
        <f t="shared" si="656"/>
        <v>0</v>
      </c>
      <c r="AX963" s="31">
        <f t="shared" si="657"/>
        <v>0</v>
      </c>
      <c r="AY963" s="31">
        <f t="shared" si="658"/>
        <v>0</v>
      </c>
      <c r="AZ963" s="31">
        <f t="shared" si="659"/>
        <v>0</v>
      </c>
      <c r="BA963" s="31">
        <f t="shared" si="660"/>
        <v>0</v>
      </c>
      <c r="BB963" s="31">
        <f t="shared" si="689"/>
        <v>0</v>
      </c>
      <c r="BM963" s="8">
        <f t="shared" si="690"/>
        <v>0</v>
      </c>
      <c r="BN963" s="8">
        <f t="shared" si="661"/>
        <v>0</v>
      </c>
      <c r="BO963" s="8">
        <f t="shared" si="662"/>
        <v>0</v>
      </c>
      <c r="BQ963" s="8">
        <f t="shared" si="663"/>
        <v>0</v>
      </c>
      <c r="BR963" s="63">
        <f t="shared" si="664"/>
        <v>0</v>
      </c>
      <c r="BS963" s="63">
        <f t="shared" si="691"/>
        <v>0</v>
      </c>
      <c r="BT963" s="63">
        <f t="shared" si="665"/>
        <v>0</v>
      </c>
      <c r="BU963" s="63">
        <f t="shared" si="666"/>
        <v>0</v>
      </c>
      <c r="BV963" s="57">
        <f t="shared" si="667"/>
        <v>0</v>
      </c>
      <c r="BW963" s="57">
        <f t="shared" si="668"/>
        <v>0</v>
      </c>
      <c r="BX963" s="57">
        <f t="shared" si="692"/>
        <v>0</v>
      </c>
      <c r="BY963" s="57">
        <f t="shared" si="696"/>
        <v>0</v>
      </c>
      <c r="BZ963" s="8">
        <f t="shared" si="669"/>
        <v>0</v>
      </c>
      <c r="CA963" s="8">
        <f t="shared" si="670"/>
        <v>0</v>
      </c>
      <c r="CB963" s="8">
        <f t="shared" si="671"/>
        <v>0</v>
      </c>
      <c r="CC963" s="8">
        <f t="shared" si="672"/>
        <v>0</v>
      </c>
      <c r="CD963" s="8">
        <f t="shared" si="673"/>
        <v>0</v>
      </c>
      <c r="CE963" s="8">
        <f t="shared" si="674"/>
        <v>0</v>
      </c>
      <c r="CF963" s="8">
        <f t="shared" si="675"/>
        <v>0</v>
      </c>
      <c r="CG963" s="8">
        <f t="shared" si="676"/>
        <v>0</v>
      </c>
      <c r="CH963" s="8">
        <f t="shared" si="677"/>
        <v>0</v>
      </c>
      <c r="CI963" s="8">
        <f t="shared" si="678"/>
        <v>0</v>
      </c>
      <c r="CJ963" s="8">
        <f t="shared" si="679"/>
        <v>0</v>
      </c>
      <c r="CK963" s="8">
        <f t="shared" si="680"/>
        <v>0</v>
      </c>
      <c r="CL963" s="8">
        <f t="shared" si="681"/>
        <v>0</v>
      </c>
      <c r="CM963" s="8">
        <f t="shared" si="682"/>
        <v>0</v>
      </c>
      <c r="CN963" s="8">
        <f t="shared" si="683"/>
        <v>0</v>
      </c>
      <c r="CO963" s="8">
        <f t="shared" si="684"/>
        <v>0</v>
      </c>
      <c r="CP963" s="8">
        <f t="shared" si="685"/>
        <v>0</v>
      </c>
      <c r="CQ963" s="8">
        <f t="shared" si="686"/>
        <v>0</v>
      </c>
      <c r="CR963" s="8">
        <f t="shared" si="687"/>
        <v>0</v>
      </c>
      <c r="CS963" s="8">
        <f t="shared" si="688"/>
        <v>0</v>
      </c>
      <c r="CT963" s="8">
        <f t="shared" si="693"/>
        <v>0</v>
      </c>
      <c r="CU963" s="8">
        <f t="shared" si="694"/>
        <v>0</v>
      </c>
      <c r="CV963" s="8">
        <f t="shared" si="695"/>
        <v>0</v>
      </c>
    </row>
    <row r="964" spans="1:100" ht="20.5" thickTop="1" thickBot="1" x14ac:dyDescent="0.5">
      <c r="A964" s="32"/>
      <c r="B964" s="10"/>
      <c r="C964" s="10"/>
      <c r="D964" s="11"/>
      <c r="E964" s="10"/>
      <c r="F964" s="10"/>
      <c r="G964" s="19"/>
      <c r="H964" s="19"/>
      <c r="I964" s="19"/>
      <c r="J964" s="19"/>
      <c r="K964" s="10"/>
      <c r="L964" s="10"/>
      <c r="M964" s="10"/>
      <c r="N964" s="10"/>
      <c r="O964" s="18"/>
      <c r="P964" s="18"/>
      <c r="Q964" s="21"/>
      <c r="R964" s="20"/>
      <c r="S964" s="16">
        <f t="shared" ref="S964:S1027" si="697">IF(AND(K964="asphalted",M964="sub",BV964&lt;=1,BV964&gt;0),1+2*0.15,IF(AND(K964="asphalted",OR(M964="main",M964="MOT"),BV964&lt;=1,BV964&gt;0),1+2*0.3,IF(AND(K964="asphalted",M964="sub",BV964&gt;1),BV964+2*0.15,IF(AND(K964="asphalted",OR(M964="main",M964="MOT"),BV964&gt;1),BV964+2*0.3,0))))</f>
        <v>0</v>
      </c>
      <c r="T964" s="11"/>
      <c r="AS964" s="31">
        <f t="shared" ref="AS964:AS1027" si="698">IF(F964=1,0.4,IF(F964&gt;1,F964*0.3,0))</f>
        <v>0</v>
      </c>
      <c r="AT964" s="31">
        <f t="shared" ref="AT964:AT1027" si="699">IF(AND(G964&lt;4,G964&gt;0),0.4,IF(G964&gt;3,0.4+(G964-3)*0.1,0))</f>
        <v>0</v>
      </c>
      <c r="AU964" s="31">
        <f t="shared" ref="AU964:AU1027" si="700">AT964-AS964</f>
        <v>0</v>
      </c>
      <c r="AV964" s="31">
        <f t="shared" ref="AV964:AV1027" si="701">IF(AND(OR(OR(E964="normal",E964="special"),E964="special"),F964=0,G964&gt;0,G964&lt;5),"LV"&amp;G964,IF(AND(OR(OR(E964="normal",E964="special"),E964="special"),F964=0,G964&gt;4),"LVCU",IF(AND(OR(OR(E964="normal",E964="special"),E964="special"),F964&gt;4),"MVCU",IF(AND(OR(OR(E964="normal",E964="special"),E964="special"),F964&gt;0,F964&lt;5),"MV"&amp;F964,IF(AND(E964="mini-trench",F964=1),"mini-trench MV",IF(AND(E964="mini-trench",G964&lt;3,G964&lt;&gt;0),"mini-trench LV",0))))))</f>
        <v>0</v>
      </c>
      <c r="AW964" s="31">
        <f t="shared" ref="AW964:AW1027" si="702">IF(B964="joint",F964,0)+IF(C964="joint",F964,0)+IF(OR(B964="new ss",B964="ss"),F964*3)+IF(B964="pole",F964*10)+IF(OR(C964="new ss",C964="ss"),F964*3)+IF(C964="pole",F964*10)+IF(B964="grid",F964*30)+IF(C964="grid",F964*30)</f>
        <v>0</v>
      </c>
      <c r="AX964" s="31">
        <f t="shared" ref="AX964:AX1027" si="703">IF(J964&gt;0,IF(OR(B964="ss",C964="ss"),J964*3,0)+IF(OR(B964="new ss",C964="new ss"),J964*3,0)+IF(OR(B964="DC",C964="DC"),J964*1.5,0)+IF(OR(B964="new DC",C964="new DC"),J964*1.5,0)+IF(OR(B964="MB",C964="MB"),J964*2,0)+IF(OR(B964="pole",C964="pole"),J964*10,0),0)</f>
        <v>0</v>
      </c>
      <c r="AY964" s="31">
        <f t="shared" ref="AY964:AY1027" si="704">IF(I964&gt;0,IF(OR(B964="ss",C964="ss"),I964*3,0)+IF(OR(B964="new ss",C964="new ss"),I964*3,0)+IF(OR(B964="DC",C964="DC"),I964*1.5,0)+IF(OR(B964="new DC",C964="new DC"),J964*1.5,0)+IF(OR(B964="MB",C964="MB"),I964*2,0)+IF(OR(B964="pole",C964="pole"),I964*10,0),0)</f>
        <v>0</v>
      </c>
      <c r="AZ964" s="31">
        <f t="shared" ref="AZ964:AZ1027" si="705">IF(H964&gt;0,IF(OR(B964="ss",C964="ss"),H964*3,0)+IF(OR(B964="new ss",C964="new ss"),H964*3,0)+IF(OR(B964="DC",C964="DC"),H964*2,0)+IF(OR(B964="new DC",C964="new DC"),H964*1.5,0)+IF(OR(B964="MB",C964="MB"),H964*2,0)+IF(OR(B964="pole",C964="pole"),H964*10,0)+IF(OR(B964="pole",C964="pole"),H964*10,0),0)</f>
        <v>0</v>
      </c>
      <c r="BA964" s="31">
        <f t="shared" ref="BA964:BA1027" si="706">IF(E964="manual",IF(AU964&lt;0,D964*AS964*0.8,IF(AND(AS964&gt;0,AU964&gt;0),D964*AS964*0.8+D964*AU964*0.65,IF(AND(AS964=0,AT964&gt;0),D964*AT964*0.65,0))),0)</f>
        <v>0</v>
      </c>
      <c r="BB964" s="31">
        <f t="shared" si="689"/>
        <v>0</v>
      </c>
      <c r="BM964" s="8">
        <f t="shared" si="690"/>
        <v>0</v>
      </c>
      <c r="BN964" s="8">
        <f t="shared" ref="BN964:BN1027" si="707">IFERROR(IF(AND(K964="asphalted",E964="mini-trench",R964=""),1*D964,IF(AND(K964="asphalted",R964&gt;0,MandRcalc="Complete M&amp;R area"),R964*D964,IF(AND(K964="asphalted",R964&gt;0,MandRcalc="M&amp;R area - asphalting area"),(R964-BR964/D964)*D964,0))),0)</f>
        <v>0</v>
      </c>
      <c r="BO964" s="8">
        <f t="shared" ref="BO964:BO1027" si="708">IF(BQ964&lt;MINEXCNA,0,IF(AND(E964="normal",F964&lt;5,G964&lt;12,K964&lt;&gt;"asphalted",AT964&gt;AS964,AS964&lt;&gt;0),(BQ964-AT964)*0.65,IF(AND(E964="normal",F964&lt;5,G964&lt;12,K964&lt;&gt;"asphalted",AS964&gt;=AT964),(BQ964-AS964)*0.8,IF(AND(E964="normal",F964&lt;5,G964&lt;12,K964&lt;&gt;"asphalted",AT964&gt;0,AS964=0),(BQ964-AT964)*0.65,0)))*D964)</f>
        <v>0</v>
      </c>
      <c r="BQ964" s="8">
        <f t="shared" ref="BQ964:BQ1027" si="709">IF(E964="special",O964,IF(AND(OR(E964="normal",E964="manual"),O964="",K964="asphalted",BV964&lt;=MINEXC),MINEXC,IF(AND(OR(E964="normal",E964="manual"),O964&lt;&gt;"",K964="asphalted"),MIN(O964,BV964),IF(AND(OR(E964="normal",E964="manual"),O964="",K964&lt;&gt;"asphalted",BV964&lt;=MINEXCNA),MINEXCNA,IF(AND(OR(E964="normal",E964="manual"),O964&lt;&gt;"",K964&lt;&gt;"asphalted"),MIN(O964,BV964),BV964)))))</f>
        <v>0</v>
      </c>
      <c r="BR964" s="63">
        <f t="shared" ref="BR964:BR1027" si="710">IFERROR(IF(AND(E964&lt;&gt;"mini-trecnh",K964="asphalted",Q964&lt;&gt;"",S964=0),D964*Q964,IF(AND(E964&lt;&gt;"mini-trecnh",K964="asphalted",Q964&lt;&gt;"",S964&lt;&gt;0),D964*MIN(Q964,S964),IF(AND(E964&lt;&gt;"mini-trecnh",K964="asphalted",Q964=""),D964*S964,0))),0)</f>
        <v>0</v>
      </c>
      <c r="BS964" s="63">
        <f t="shared" si="691"/>
        <v>0</v>
      </c>
      <c r="BT964" s="63">
        <f t="shared" ref="BT964:BT1027" si="711">IF(BQ964&lt;MINEXC,0,IF(AND(E964="normal",F964&lt;5,G964&lt;12,K964="asphalted",AT964&gt;AS964,AS964&lt;&gt;0),(BQ964-AT964)*0.65,IF(AND(E964="normal",F964&lt;5,G964&lt;12,K964="asphalted",AS964&gt;=AT964),(BQ964-AS964)*0.8,IF(AND(E964="normal",F964&lt;5,G964&lt;12,K964="asphalted",AT964&gt;0,AS964=0),(BQ964-AT964)*0.65,0)))*D964)</f>
        <v>0</v>
      </c>
      <c r="BU964" s="63">
        <f t="shared" ref="BU964:BU1027" si="712">IF(E964="",0,IF(OR(BT964&gt;0,BO964&gt;0),0,IF(AND(F964&gt;4,G964=0),(BQ964-1.2)*D964*0.8,IF(AND(G964&gt;4,F964=0),(BQ964-0.4)*D964*0.65,IF(OR(AND(G964&gt;4,F964&gt;0),AND(F964&gt;4,G964&gt;0)),(IF(AS964&gt;1.2,(AS964-1.2)*D964*0.8,0)+IF(AT964&gt;AS964,(AT964-AS964)*D964*0.65,0)),0)))))</f>
        <v>0</v>
      </c>
      <c r="BV964" s="57">
        <f t="shared" ref="BV964:BV1027" si="713">IF(AND(E964&lt;&gt;"mini-trench",E964&lt;&gt;"special"),MAX(AS964:AT964),0)</f>
        <v>0</v>
      </c>
      <c r="BW964" s="57">
        <f t="shared" ref="BW964:BW1027" si="714">IF(AND(E964&lt;&gt;"mini-trench",E964&lt;&gt;"special",BV964&gt;0,BV964&lt;1,K964="asphalted"),IF(O964&lt;&gt;"",MIN(O964,1),1),IF(AND(E964&lt;&gt;"mini-trench",E964&lt;&gt;"special",BV964&gt;0,BV964&gt;1,K964="asphalted"),BV964,0))</f>
        <v>0</v>
      </c>
      <c r="BX964" s="57">
        <f t="shared" si="692"/>
        <v>0</v>
      </c>
      <c r="BY964" s="57">
        <f t="shared" si="696"/>
        <v>0</v>
      </c>
      <c r="BZ964" s="8">
        <f t="shared" ref="BZ964:BZ1027" si="715">IF(E964="special",O964*P964*D964-D964*IF(AV964="MV1",0.8*0.4,IF(AV964="MV2",0.8*0.6,IF(AV964="MV3",0.8*0.9,IF(OR(AV964="MV4",AV964="MVCU"),0.8*1.2,IF(AV964="LV1-3",0.65*0.4,IF(OR(AV964="LV4",AV964="LVCU"),0.65*0.5)))))),0)</f>
        <v>0</v>
      </c>
      <c r="CA964" s="8">
        <f t="shared" ref="CA964:CA1027" si="716">IF(AND(E964&lt;&gt;"special",K964="Paved interlock"),D964*BV964,IF(AND(E964="special",K964="Paved interlock"),D964*O964,0))</f>
        <v>0</v>
      </c>
      <c r="CB964" s="8">
        <f t="shared" ref="CB964:CB1027" si="717">IF(AND(E964&lt;&gt;"special",K964="Paved conc.tiles"),D964*BV964,IF(AND(E964="special",K964="Paved conc.tiles"),D964*O964,0))</f>
        <v>0</v>
      </c>
      <c r="CC964" s="8">
        <f t="shared" ref="CC964:CC1027" si="718">IF(AND(E964="special",K964="asphalted"),D964*Q964,0)</f>
        <v>0</v>
      </c>
      <c r="CD964" s="8">
        <f t="shared" ref="CD964:CD1027" si="719">IF(OR(K964="Paved interlock",K964="Paved conc.tiles"),1,0)</f>
        <v>0</v>
      </c>
      <c r="CE964" s="8">
        <f t="shared" ref="CE964:CE1027" si="720">IFERROR(BR964/D964,0)</f>
        <v>0</v>
      </c>
      <c r="CF964" s="8">
        <f t="shared" ref="CF964:CF1027" si="721">IF(AND(F964&gt;0,B964="j transition"),F964,0)+IF(AND(F964&gt;0,C964="j transition"),F964,0)</f>
        <v>0</v>
      </c>
      <c r="CG964" s="8">
        <f t="shared" ref="CG964:CG1027" si="722">IF(AND(F964&gt;0,OR(B964="grid",B964="ss",B964="pole",B964="new ss")),F964,0)+IF(AND(F964&gt;0,OR(C964="grid",C964="ss",C964="pole",C964="new ss")),F964,0)</f>
        <v>0</v>
      </c>
      <c r="CH964" s="8">
        <f t="shared" ref="CH964:CH1027" si="723">IF(AND(F964&gt;0,B964="joint"),F964,0)+IF(AND(F964&gt;0,C964="joint"),F964,0)+IF(AND(F964&gt;0,B964="j transition"),F964,0)+IF(AND(F964&gt;0,C964="j transition"),F964,0)</f>
        <v>0</v>
      </c>
      <c r="CI964" s="8">
        <f t="shared" ref="CI964:CI1027" si="724">IF(AND(H964&gt;0,B964="joint"),H964,0)+IF(AND(H964&gt;0,C964="joint"),H964,0)</f>
        <v>0</v>
      </c>
      <c r="CJ964" s="8">
        <f t="shared" ref="CJ964:CJ1027" si="725">IF(AND(I964&gt;0,B964="joint"),I964,0)+IF(AND(I964&gt;0,C964="joint"),I964,0)</f>
        <v>0</v>
      </c>
      <c r="CK964" s="8">
        <f t="shared" ref="CK964:CK1027" si="726">IF(AND(J964&gt;0,B964="joint"),J964,0)+IF(AND(J964&gt;0,C964="joint"),J964,0)</f>
        <v>0</v>
      </c>
      <c r="CL964" s="8">
        <f t="shared" ref="CL964:CL1027" si="727">IF(AND(H964&gt;0,OR(B964="ss",B964="new ss",B964="DC",B964="new DC")),H964,0)+IF(AND(H964&gt;0,OR(C964="new ss",C964="ss",C964="DC",C964="new DC")),H964,0)</f>
        <v>0</v>
      </c>
      <c r="CM964" s="8">
        <f t="shared" ref="CM964:CM1027" si="728">CO964+CP964</f>
        <v>0</v>
      </c>
      <c r="CN964" s="8">
        <f t="shared" ref="CN964:CN1027" si="729">IF(OR(B964="new DC",C964="new DC"),H964,0)</f>
        <v>0</v>
      </c>
      <c r="CO964" s="8">
        <f t="shared" ref="CO964:CO1027" si="730">IF(AND(J964&gt;0,OR(B964="ss",B964="new ss",B964="DC",B964="new DC")),J964,0)+IF(AND(J964&gt;0,OR(C964="new ss",C964="ss",C964="DC",C964="new DC")),J964,0)</f>
        <v>0</v>
      </c>
      <c r="CP964" s="8">
        <f t="shared" ref="CP964:CP1027" si="731">IF(AND(I964&gt;0,OR(B964="ss",B964="new ss",B964="DC",B964="new DC")),I964,0)+IF(AND(I964&gt;0,OR(C964="new ss",C964="ss",C964="DC",C964="new DC")),I964,0)</f>
        <v>0</v>
      </c>
      <c r="CQ964" s="8">
        <f t="shared" ref="CQ964:CQ1027" si="732">IF(AND(F964&gt;0,OR(B964="ss",B964="new ss")),F964,0)+IF(AND(F964&gt;0,OR(C964="ss",C964="new ss")),F964,0)</f>
        <v>0</v>
      </c>
      <c r="CR964" s="8">
        <f t="shared" ref="CR964:CR1027" si="733">IF(AND(F964&gt;0,OR(B964="grid")),F964,0)+IF(AND(F964&gt;0,OR(C964="grid")),F964,0)</f>
        <v>0</v>
      </c>
      <c r="CS964" s="8">
        <f t="shared" ref="CS964:CS1027" si="734">IF(AND(F964&gt;0,OR(B964="pole")),F964,0)+IF(AND(F964&gt;0,OR(C964="pole")),F964,0)</f>
        <v>0</v>
      </c>
      <c r="CT964" s="8">
        <f t="shared" si="693"/>
        <v>0</v>
      </c>
      <c r="CU964" s="8">
        <f t="shared" si="694"/>
        <v>0</v>
      </c>
      <c r="CV964" s="8">
        <f t="shared" si="695"/>
        <v>0</v>
      </c>
    </row>
    <row r="965" spans="1:100" ht="20.5" thickTop="1" thickBot="1" x14ac:dyDescent="0.5">
      <c r="A965" s="32"/>
      <c r="B965" s="10"/>
      <c r="C965" s="10"/>
      <c r="D965" s="11"/>
      <c r="E965" s="10"/>
      <c r="F965" s="10"/>
      <c r="G965" s="19"/>
      <c r="H965" s="19"/>
      <c r="I965" s="19"/>
      <c r="J965" s="19"/>
      <c r="K965" s="10"/>
      <c r="L965" s="10"/>
      <c r="M965" s="10"/>
      <c r="N965" s="10"/>
      <c r="O965" s="18"/>
      <c r="P965" s="18"/>
      <c r="Q965" s="21"/>
      <c r="R965" s="20"/>
      <c r="S965" s="16">
        <f t="shared" si="697"/>
        <v>0</v>
      </c>
      <c r="T965" s="11"/>
      <c r="AS965" s="31">
        <f t="shared" si="698"/>
        <v>0</v>
      </c>
      <c r="AT965" s="31">
        <f t="shared" si="699"/>
        <v>0</v>
      </c>
      <c r="AU965" s="31">
        <f t="shared" si="700"/>
        <v>0</v>
      </c>
      <c r="AV965" s="31">
        <f t="shared" si="701"/>
        <v>0</v>
      </c>
      <c r="AW965" s="31">
        <f t="shared" si="702"/>
        <v>0</v>
      </c>
      <c r="AX965" s="31">
        <f t="shared" si="703"/>
        <v>0</v>
      </c>
      <c r="AY965" s="31">
        <f t="shared" si="704"/>
        <v>0</v>
      </c>
      <c r="AZ965" s="31">
        <f t="shared" si="705"/>
        <v>0</v>
      </c>
      <c r="BA965" s="31">
        <f t="shared" si="706"/>
        <v>0</v>
      </c>
      <c r="BB965" s="31">
        <f t="shared" ref="BB965:BB1028" si="735">IFERROR(IF(BN965&gt;0,0,IF(AND(E965="normal",(BR965/D965)&gt;1),BR965,0)),0)</f>
        <v>0</v>
      </c>
      <c r="BM965" s="8">
        <f t="shared" ref="BM965:BM1028" si="736">IF(AND(E965&lt;&gt;"special",K965="Concrete"),D965*BV965,IF(AND(E965="special",K965="Concrete"),D965*O965,0))</f>
        <v>0</v>
      </c>
      <c r="BN965" s="8">
        <f t="shared" si="707"/>
        <v>0</v>
      </c>
      <c r="BO965" s="8">
        <f t="shared" si="708"/>
        <v>0</v>
      </c>
      <c r="BQ965" s="8">
        <f t="shared" si="709"/>
        <v>0</v>
      </c>
      <c r="BR965" s="63">
        <f t="shared" si="710"/>
        <v>0</v>
      </c>
      <c r="BS965" s="63">
        <f t="shared" ref="BS965:BS1028" si="737">BN965 + IF(BN965&gt;0,IF(R964=0, R965, 0) + IF(R966=0, R965, 0),0)</f>
        <v>0</v>
      </c>
      <c r="BT965" s="63">
        <f t="shared" si="711"/>
        <v>0</v>
      </c>
      <c r="BU965" s="63">
        <f t="shared" si="712"/>
        <v>0</v>
      </c>
      <c r="BV965" s="57">
        <f t="shared" si="713"/>
        <v>0</v>
      </c>
      <c r="BW965" s="57">
        <f t="shared" si="714"/>
        <v>0</v>
      </c>
      <c r="BX965" s="57">
        <f t="shared" ref="BX965:BX1028" si="738">IF(AND(R965&gt;0,MandRcalc="Asphalting then M&amp;R"),R965*D965,IF(AND(R965&gt;0,MandRcalc="Milling then Repaving"),(R965-BR965)*D965,0))</f>
        <v>0</v>
      </c>
      <c r="BY965" s="57">
        <f t="shared" si="696"/>
        <v>0</v>
      </c>
      <c r="BZ965" s="8">
        <f t="shared" si="715"/>
        <v>0</v>
      </c>
      <c r="CA965" s="8">
        <f t="shared" si="716"/>
        <v>0</v>
      </c>
      <c r="CB965" s="8">
        <f t="shared" si="717"/>
        <v>0</v>
      </c>
      <c r="CC965" s="8">
        <f t="shared" si="718"/>
        <v>0</v>
      </c>
      <c r="CD965" s="8">
        <f t="shared" si="719"/>
        <v>0</v>
      </c>
      <c r="CE965" s="8">
        <f t="shared" si="720"/>
        <v>0</v>
      </c>
      <c r="CF965" s="8">
        <f t="shared" si="721"/>
        <v>0</v>
      </c>
      <c r="CG965" s="8">
        <f t="shared" si="722"/>
        <v>0</v>
      </c>
      <c r="CH965" s="8">
        <f t="shared" si="723"/>
        <v>0</v>
      </c>
      <c r="CI965" s="8">
        <f t="shared" si="724"/>
        <v>0</v>
      </c>
      <c r="CJ965" s="8">
        <f t="shared" si="725"/>
        <v>0</v>
      </c>
      <c r="CK965" s="8">
        <f t="shared" si="726"/>
        <v>0</v>
      </c>
      <c r="CL965" s="8">
        <f t="shared" si="727"/>
        <v>0</v>
      </c>
      <c r="CM965" s="8">
        <f t="shared" si="728"/>
        <v>0</v>
      </c>
      <c r="CN965" s="8">
        <f t="shared" si="729"/>
        <v>0</v>
      </c>
      <c r="CO965" s="8">
        <f t="shared" si="730"/>
        <v>0</v>
      </c>
      <c r="CP965" s="8">
        <f t="shared" si="731"/>
        <v>0</v>
      </c>
      <c r="CQ965" s="8">
        <f t="shared" si="732"/>
        <v>0</v>
      </c>
      <c r="CR965" s="8">
        <f t="shared" si="733"/>
        <v>0</v>
      </c>
      <c r="CS965" s="8">
        <f t="shared" si="734"/>
        <v>0</v>
      </c>
      <c r="CT965" s="8">
        <f t="shared" si="693"/>
        <v>0</v>
      </c>
      <c r="CU965" s="8">
        <f t="shared" si="694"/>
        <v>0</v>
      </c>
      <c r="CV965" s="8">
        <f t="shared" si="695"/>
        <v>0</v>
      </c>
    </row>
    <row r="966" spans="1:100" ht="20.5" thickTop="1" thickBot="1" x14ac:dyDescent="0.5">
      <c r="A966" s="32"/>
      <c r="B966" s="10"/>
      <c r="C966" s="10"/>
      <c r="D966" s="11"/>
      <c r="E966" s="10"/>
      <c r="F966" s="10"/>
      <c r="G966" s="19"/>
      <c r="H966" s="19"/>
      <c r="I966" s="19"/>
      <c r="J966" s="19"/>
      <c r="K966" s="10"/>
      <c r="L966" s="10"/>
      <c r="M966" s="10"/>
      <c r="N966" s="10"/>
      <c r="O966" s="18"/>
      <c r="P966" s="18"/>
      <c r="Q966" s="21"/>
      <c r="R966" s="20"/>
      <c r="S966" s="16">
        <f t="shared" si="697"/>
        <v>0</v>
      </c>
      <c r="T966" s="11"/>
      <c r="AS966" s="31">
        <f t="shared" si="698"/>
        <v>0</v>
      </c>
      <c r="AT966" s="31">
        <f t="shared" si="699"/>
        <v>0</v>
      </c>
      <c r="AU966" s="31">
        <f t="shared" si="700"/>
        <v>0</v>
      </c>
      <c r="AV966" s="31">
        <f t="shared" si="701"/>
        <v>0</v>
      </c>
      <c r="AW966" s="31">
        <f t="shared" si="702"/>
        <v>0</v>
      </c>
      <c r="AX966" s="31">
        <f t="shared" si="703"/>
        <v>0</v>
      </c>
      <c r="AY966" s="31">
        <f t="shared" si="704"/>
        <v>0</v>
      </c>
      <c r="AZ966" s="31">
        <f t="shared" si="705"/>
        <v>0</v>
      </c>
      <c r="BA966" s="31">
        <f t="shared" si="706"/>
        <v>0</v>
      </c>
      <c r="BB966" s="31">
        <f t="shared" si="735"/>
        <v>0</v>
      </c>
      <c r="BM966" s="8">
        <f t="shared" si="736"/>
        <v>0</v>
      </c>
      <c r="BN966" s="8">
        <f t="shared" si="707"/>
        <v>0</v>
      </c>
      <c r="BO966" s="8">
        <f t="shared" si="708"/>
        <v>0</v>
      </c>
      <c r="BQ966" s="8">
        <f t="shared" si="709"/>
        <v>0</v>
      </c>
      <c r="BR966" s="63">
        <f t="shared" si="710"/>
        <v>0</v>
      </c>
      <c r="BS966" s="63">
        <f t="shared" si="737"/>
        <v>0</v>
      </c>
      <c r="BT966" s="63">
        <f t="shared" si="711"/>
        <v>0</v>
      </c>
      <c r="BU966" s="63">
        <f t="shared" si="712"/>
        <v>0</v>
      </c>
      <c r="BV966" s="57">
        <f t="shared" si="713"/>
        <v>0</v>
      </c>
      <c r="BW966" s="57">
        <f t="shared" si="714"/>
        <v>0</v>
      </c>
      <c r="BX966" s="57">
        <f t="shared" si="738"/>
        <v>0</v>
      </c>
      <c r="BY966" s="57">
        <f t="shared" si="696"/>
        <v>0</v>
      </c>
      <c r="BZ966" s="8">
        <f t="shared" si="715"/>
        <v>0</v>
      </c>
      <c r="CA966" s="8">
        <f t="shared" si="716"/>
        <v>0</v>
      </c>
      <c r="CB966" s="8">
        <f t="shared" si="717"/>
        <v>0</v>
      </c>
      <c r="CC966" s="8">
        <f t="shared" si="718"/>
        <v>0</v>
      </c>
      <c r="CD966" s="8">
        <f t="shared" si="719"/>
        <v>0</v>
      </c>
      <c r="CE966" s="8">
        <f t="shared" si="720"/>
        <v>0</v>
      </c>
      <c r="CF966" s="8">
        <f t="shared" si="721"/>
        <v>0</v>
      </c>
      <c r="CG966" s="8">
        <f t="shared" si="722"/>
        <v>0</v>
      </c>
      <c r="CH966" s="8">
        <f t="shared" si="723"/>
        <v>0</v>
      </c>
      <c r="CI966" s="8">
        <f t="shared" si="724"/>
        <v>0</v>
      </c>
      <c r="CJ966" s="8">
        <f t="shared" si="725"/>
        <v>0</v>
      </c>
      <c r="CK966" s="8">
        <f t="shared" si="726"/>
        <v>0</v>
      </c>
      <c r="CL966" s="8">
        <f t="shared" si="727"/>
        <v>0</v>
      </c>
      <c r="CM966" s="8">
        <f t="shared" si="728"/>
        <v>0</v>
      </c>
      <c r="CN966" s="8">
        <f t="shared" si="729"/>
        <v>0</v>
      </c>
      <c r="CO966" s="8">
        <f t="shared" si="730"/>
        <v>0</v>
      </c>
      <c r="CP966" s="8">
        <f t="shared" si="731"/>
        <v>0</v>
      </c>
      <c r="CQ966" s="8">
        <f t="shared" si="732"/>
        <v>0</v>
      </c>
      <c r="CR966" s="8">
        <f t="shared" si="733"/>
        <v>0</v>
      </c>
      <c r="CS966" s="8">
        <f t="shared" si="734"/>
        <v>0</v>
      </c>
      <c r="CT966" s="8">
        <f t="shared" si="693"/>
        <v>0</v>
      </c>
      <c r="CU966" s="8">
        <f t="shared" si="694"/>
        <v>0</v>
      </c>
      <c r="CV966" s="8">
        <f t="shared" si="695"/>
        <v>0</v>
      </c>
    </row>
    <row r="967" spans="1:100" ht="20.5" thickTop="1" thickBot="1" x14ac:dyDescent="0.5">
      <c r="A967" s="32"/>
      <c r="B967" s="10"/>
      <c r="C967" s="10"/>
      <c r="D967" s="11"/>
      <c r="E967" s="10"/>
      <c r="F967" s="10"/>
      <c r="G967" s="19"/>
      <c r="H967" s="19"/>
      <c r="I967" s="19"/>
      <c r="J967" s="19"/>
      <c r="K967" s="10"/>
      <c r="L967" s="10"/>
      <c r="M967" s="10"/>
      <c r="N967" s="10"/>
      <c r="O967" s="18"/>
      <c r="P967" s="18"/>
      <c r="Q967" s="21"/>
      <c r="R967" s="20"/>
      <c r="S967" s="16">
        <f t="shared" si="697"/>
        <v>0</v>
      </c>
      <c r="T967" s="11"/>
      <c r="AS967" s="31">
        <f t="shared" si="698"/>
        <v>0</v>
      </c>
      <c r="AT967" s="31">
        <f t="shared" si="699"/>
        <v>0</v>
      </c>
      <c r="AU967" s="31">
        <f t="shared" si="700"/>
        <v>0</v>
      </c>
      <c r="AV967" s="31">
        <f t="shared" si="701"/>
        <v>0</v>
      </c>
      <c r="AW967" s="31">
        <f t="shared" si="702"/>
        <v>0</v>
      </c>
      <c r="AX967" s="31">
        <f t="shared" si="703"/>
        <v>0</v>
      </c>
      <c r="AY967" s="31">
        <f t="shared" si="704"/>
        <v>0</v>
      </c>
      <c r="AZ967" s="31">
        <f t="shared" si="705"/>
        <v>0</v>
      </c>
      <c r="BA967" s="31">
        <f t="shared" si="706"/>
        <v>0</v>
      </c>
      <c r="BB967" s="31">
        <f t="shared" si="735"/>
        <v>0</v>
      </c>
      <c r="BM967" s="8">
        <f t="shared" si="736"/>
        <v>0</v>
      </c>
      <c r="BN967" s="8">
        <f t="shared" si="707"/>
        <v>0</v>
      </c>
      <c r="BO967" s="8">
        <f t="shared" si="708"/>
        <v>0</v>
      </c>
      <c r="BQ967" s="8">
        <f t="shared" si="709"/>
        <v>0</v>
      </c>
      <c r="BR967" s="63">
        <f t="shared" si="710"/>
        <v>0</v>
      </c>
      <c r="BS967" s="63">
        <f t="shared" si="737"/>
        <v>0</v>
      </c>
      <c r="BT967" s="63">
        <f t="shared" si="711"/>
        <v>0</v>
      </c>
      <c r="BU967" s="63">
        <f t="shared" si="712"/>
        <v>0</v>
      </c>
      <c r="BV967" s="57">
        <f t="shared" si="713"/>
        <v>0</v>
      </c>
      <c r="BW967" s="57">
        <f t="shared" si="714"/>
        <v>0</v>
      </c>
      <c r="BX967" s="57">
        <f t="shared" si="738"/>
        <v>0</v>
      </c>
      <c r="BY967" s="57">
        <f t="shared" si="696"/>
        <v>0</v>
      </c>
      <c r="BZ967" s="8">
        <f t="shared" si="715"/>
        <v>0</v>
      </c>
      <c r="CA967" s="8">
        <f t="shared" si="716"/>
        <v>0</v>
      </c>
      <c r="CB967" s="8">
        <f t="shared" si="717"/>
        <v>0</v>
      </c>
      <c r="CC967" s="8">
        <f t="shared" si="718"/>
        <v>0</v>
      </c>
      <c r="CD967" s="8">
        <f t="shared" si="719"/>
        <v>0</v>
      </c>
      <c r="CE967" s="8">
        <f t="shared" si="720"/>
        <v>0</v>
      </c>
      <c r="CF967" s="8">
        <f t="shared" si="721"/>
        <v>0</v>
      </c>
      <c r="CG967" s="8">
        <f t="shared" si="722"/>
        <v>0</v>
      </c>
      <c r="CH967" s="8">
        <f t="shared" si="723"/>
        <v>0</v>
      </c>
      <c r="CI967" s="8">
        <f t="shared" si="724"/>
        <v>0</v>
      </c>
      <c r="CJ967" s="8">
        <f t="shared" si="725"/>
        <v>0</v>
      </c>
      <c r="CK967" s="8">
        <f t="shared" si="726"/>
        <v>0</v>
      </c>
      <c r="CL967" s="8">
        <f t="shared" si="727"/>
        <v>0</v>
      </c>
      <c r="CM967" s="8">
        <f t="shared" si="728"/>
        <v>0</v>
      </c>
      <c r="CN967" s="8">
        <f t="shared" si="729"/>
        <v>0</v>
      </c>
      <c r="CO967" s="8">
        <f t="shared" si="730"/>
        <v>0</v>
      </c>
      <c r="CP967" s="8">
        <f t="shared" si="731"/>
        <v>0</v>
      </c>
      <c r="CQ967" s="8">
        <f t="shared" si="732"/>
        <v>0</v>
      </c>
      <c r="CR967" s="8">
        <f t="shared" si="733"/>
        <v>0</v>
      </c>
      <c r="CS967" s="8">
        <f t="shared" si="734"/>
        <v>0</v>
      </c>
      <c r="CT967" s="8">
        <f t="shared" si="693"/>
        <v>0</v>
      </c>
      <c r="CU967" s="8">
        <f t="shared" si="694"/>
        <v>0</v>
      </c>
      <c r="CV967" s="8">
        <f t="shared" si="695"/>
        <v>0</v>
      </c>
    </row>
    <row r="968" spans="1:100" ht="20.5" thickTop="1" thickBot="1" x14ac:dyDescent="0.5">
      <c r="A968" s="32"/>
      <c r="B968" s="10"/>
      <c r="C968" s="10"/>
      <c r="D968" s="11"/>
      <c r="E968" s="10"/>
      <c r="F968" s="10"/>
      <c r="G968" s="19"/>
      <c r="H968" s="19"/>
      <c r="I968" s="19"/>
      <c r="J968" s="19"/>
      <c r="K968" s="10"/>
      <c r="L968" s="10"/>
      <c r="M968" s="10"/>
      <c r="N968" s="10"/>
      <c r="O968" s="18"/>
      <c r="P968" s="18"/>
      <c r="Q968" s="21"/>
      <c r="R968" s="20"/>
      <c r="S968" s="16">
        <f t="shared" si="697"/>
        <v>0</v>
      </c>
      <c r="T968" s="11"/>
      <c r="AS968" s="31">
        <f t="shared" si="698"/>
        <v>0</v>
      </c>
      <c r="AT968" s="31">
        <f t="shared" si="699"/>
        <v>0</v>
      </c>
      <c r="AU968" s="31">
        <f t="shared" si="700"/>
        <v>0</v>
      </c>
      <c r="AV968" s="31">
        <f t="shared" si="701"/>
        <v>0</v>
      </c>
      <c r="AW968" s="31">
        <f t="shared" si="702"/>
        <v>0</v>
      </c>
      <c r="AX968" s="31">
        <f t="shared" si="703"/>
        <v>0</v>
      </c>
      <c r="AY968" s="31">
        <f t="shared" si="704"/>
        <v>0</v>
      </c>
      <c r="AZ968" s="31">
        <f t="shared" si="705"/>
        <v>0</v>
      </c>
      <c r="BA968" s="31">
        <f t="shared" si="706"/>
        <v>0</v>
      </c>
      <c r="BB968" s="31">
        <f t="shared" si="735"/>
        <v>0</v>
      </c>
      <c r="BM968" s="8">
        <f t="shared" si="736"/>
        <v>0</v>
      </c>
      <c r="BN968" s="8">
        <f t="shared" si="707"/>
        <v>0</v>
      </c>
      <c r="BO968" s="8">
        <f t="shared" si="708"/>
        <v>0</v>
      </c>
      <c r="BQ968" s="8">
        <f t="shared" si="709"/>
        <v>0</v>
      </c>
      <c r="BR968" s="63">
        <f t="shared" si="710"/>
        <v>0</v>
      </c>
      <c r="BS968" s="63">
        <f t="shared" si="737"/>
        <v>0</v>
      </c>
      <c r="BT968" s="63">
        <f t="shared" si="711"/>
        <v>0</v>
      </c>
      <c r="BU968" s="63">
        <f t="shared" si="712"/>
        <v>0</v>
      </c>
      <c r="BV968" s="57">
        <f t="shared" si="713"/>
        <v>0</v>
      </c>
      <c r="BW968" s="57">
        <f t="shared" si="714"/>
        <v>0</v>
      </c>
      <c r="BX968" s="57">
        <f t="shared" si="738"/>
        <v>0</v>
      </c>
      <c r="BY968" s="57">
        <f t="shared" si="696"/>
        <v>0</v>
      </c>
      <c r="BZ968" s="8">
        <f t="shared" si="715"/>
        <v>0</v>
      </c>
      <c r="CA968" s="8">
        <f t="shared" si="716"/>
        <v>0</v>
      </c>
      <c r="CB968" s="8">
        <f t="shared" si="717"/>
        <v>0</v>
      </c>
      <c r="CC968" s="8">
        <f t="shared" si="718"/>
        <v>0</v>
      </c>
      <c r="CD968" s="8">
        <f t="shared" si="719"/>
        <v>0</v>
      </c>
      <c r="CE968" s="8">
        <f t="shared" si="720"/>
        <v>0</v>
      </c>
      <c r="CF968" s="8">
        <f t="shared" si="721"/>
        <v>0</v>
      </c>
      <c r="CG968" s="8">
        <f t="shared" si="722"/>
        <v>0</v>
      </c>
      <c r="CH968" s="8">
        <f t="shared" si="723"/>
        <v>0</v>
      </c>
      <c r="CI968" s="8">
        <f t="shared" si="724"/>
        <v>0</v>
      </c>
      <c r="CJ968" s="8">
        <f t="shared" si="725"/>
        <v>0</v>
      </c>
      <c r="CK968" s="8">
        <f t="shared" si="726"/>
        <v>0</v>
      </c>
      <c r="CL968" s="8">
        <f t="shared" si="727"/>
        <v>0</v>
      </c>
      <c r="CM968" s="8">
        <f t="shared" si="728"/>
        <v>0</v>
      </c>
      <c r="CN968" s="8">
        <f t="shared" si="729"/>
        <v>0</v>
      </c>
      <c r="CO968" s="8">
        <f t="shared" si="730"/>
        <v>0</v>
      </c>
      <c r="CP968" s="8">
        <f t="shared" si="731"/>
        <v>0</v>
      </c>
      <c r="CQ968" s="8">
        <f t="shared" si="732"/>
        <v>0</v>
      </c>
      <c r="CR968" s="8">
        <f t="shared" si="733"/>
        <v>0</v>
      </c>
      <c r="CS968" s="8">
        <f t="shared" si="734"/>
        <v>0</v>
      </c>
      <c r="CT968" s="8">
        <f t="shared" si="693"/>
        <v>0</v>
      </c>
      <c r="CU968" s="8">
        <f t="shared" si="694"/>
        <v>0</v>
      </c>
      <c r="CV968" s="8">
        <f t="shared" si="695"/>
        <v>0</v>
      </c>
    </row>
    <row r="969" spans="1:100" ht="20.5" thickTop="1" thickBot="1" x14ac:dyDescent="0.5">
      <c r="A969" s="32"/>
      <c r="B969" s="10"/>
      <c r="C969" s="10"/>
      <c r="D969" s="11"/>
      <c r="E969" s="10"/>
      <c r="F969" s="10"/>
      <c r="G969" s="19"/>
      <c r="H969" s="19"/>
      <c r="I969" s="19"/>
      <c r="J969" s="19"/>
      <c r="K969" s="10"/>
      <c r="L969" s="10"/>
      <c r="M969" s="10"/>
      <c r="N969" s="10"/>
      <c r="O969" s="18"/>
      <c r="P969" s="18"/>
      <c r="Q969" s="21"/>
      <c r="R969" s="20"/>
      <c r="S969" s="16">
        <f t="shared" si="697"/>
        <v>0</v>
      </c>
      <c r="T969" s="11"/>
      <c r="AS969" s="31">
        <f t="shared" si="698"/>
        <v>0</v>
      </c>
      <c r="AT969" s="31">
        <f t="shared" si="699"/>
        <v>0</v>
      </c>
      <c r="AU969" s="31">
        <f t="shared" si="700"/>
        <v>0</v>
      </c>
      <c r="AV969" s="31">
        <f t="shared" si="701"/>
        <v>0</v>
      </c>
      <c r="AW969" s="31">
        <f t="shared" si="702"/>
        <v>0</v>
      </c>
      <c r="AX969" s="31">
        <f t="shared" si="703"/>
        <v>0</v>
      </c>
      <c r="AY969" s="31">
        <f t="shared" si="704"/>
        <v>0</v>
      </c>
      <c r="AZ969" s="31">
        <f t="shared" si="705"/>
        <v>0</v>
      </c>
      <c r="BA969" s="31">
        <f t="shared" si="706"/>
        <v>0</v>
      </c>
      <c r="BB969" s="31">
        <f t="shared" si="735"/>
        <v>0</v>
      </c>
      <c r="BM969" s="8">
        <f t="shared" si="736"/>
        <v>0</v>
      </c>
      <c r="BN969" s="8">
        <f t="shared" si="707"/>
        <v>0</v>
      </c>
      <c r="BO969" s="8">
        <f t="shared" si="708"/>
        <v>0</v>
      </c>
      <c r="BQ969" s="8">
        <f t="shared" si="709"/>
        <v>0</v>
      </c>
      <c r="BR969" s="63">
        <f t="shared" si="710"/>
        <v>0</v>
      </c>
      <c r="BS969" s="63">
        <f t="shared" si="737"/>
        <v>0</v>
      </c>
      <c r="BT969" s="63">
        <f t="shared" si="711"/>
        <v>0</v>
      </c>
      <c r="BU969" s="63">
        <f t="shared" si="712"/>
        <v>0</v>
      </c>
      <c r="BV969" s="57">
        <f t="shared" si="713"/>
        <v>0</v>
      </c>
      <c r="BW969" s="57">
        <f t="shared" si="714"/>
        <v>0</v>
      </c>
      <c r="BX969" s="57">
        <f t="shared" si="738"/>
        <v>0</v>
      </c>
      <c r="BY969" s="57">
        <f t="shared" si="696"/>
        <v>0</v>
      </c>
      <c r="BZ969" s="8">
        <f t="shared" si="715"/>
        <v>0</v>
      </c>
      <c r="CA969" s="8">
        <f t="shared" si="716"/>
        <v>0</v>
      </c>
      <c r="CB969" s="8">
        <f t="shared" si="717"/>
        <v>0</v>
      </c>
      <c r="CC969" s="8">
        <f t="shared" si="718"/>
        <v>0</v>
      </c>
      <c r="CD969" s="8">
        <f t="shared" si="719"/>
        <v>0</v>
      </c>
      <c r="CE969" s="8">
        <f t="shared" si="720"/>
        <v>0</v>
      </c>
      <c r="CF969" s="8">
        <f t="shared" si="721"/>
        <v>0</v>
      </c>
      <c r="CG969" s="8">
        <f t="shared" si="722"/>
        <v>0</v>
      </c>
      <c r="CH969" s="8">
        <f t="shared" si="723"/>
        <v>0</v>
      </c>
      <c r="CI969" s="8">
        <f t="shared" si="724"/>
        <v>0</v>
      </c>
      <c r="CJ969" s="8">
        <f t="shared" si="725"/>
        <v>0</v>
      </c>
      <c r="CK969" s="8">
        <f t="shared" si="726"/>
        <v>0</v>
      </c>
      <c r="CL969" s="8">
        <f t="shared" si="727"/>
        <v>0</v>
      </c>
      <c r="CM969" s="8">
        <f t="shared" si="728"/>
        <v>0</v>
      </c>
      <c r="CN969" s="8">
        <f t="shared" si="729"/>
        <v>0</v>
      </c>
      <c r="CO969" s="8">
        <f t="shared" si="730"/>
        <v>0</v>
      </c>
      <c r="CP969" s="8">
        <f t="shared" si="731"/>
        <v>0</v>
      </c>
      <c r="CQ969" s="8">
        <f t="shared" si="732"/>
        <v>0</v>
      </c>
      <c r="CR969" s="8">
        <f t="shared" si="733"/>
        <v>0</v>
      </c>
      <c r="CS969" s="8">
        <f t="shared" si="734"/>
        <v>0</v>
      </c>
      <c r="CT969" s="8">
        <f t="shared" si="693"/>
        <v>0</v>
      </c>
      <c r="CU969" s="8">
        <f t="shared" si="694"/>
        <v>0</v>
      </c>
      <c r="CV969" s="8">
        <f t="shared" si="695"/>
        <v>0</v>
      </c>
    </row>
    <row r="970" spans="1:100" ht="20.5" thickTop="1" thickBot="1" x14ac:dyDescent="0.5">
      <c r="A970" s="32"/>
      <c r="B970" s="10"/>
      <c r="C970" s="10"/>
      <c r="D970" s="11"/>
      <c r="E970" s="10"/>
      <c r="F970" s="10"/>
      <c r="G970" s="19"/>
      <c r="H970" s="19"/>
      <c r="I970" s="19"/>
      <c r="J970" s="19"/>
      <c r="K970" s="10"/>
      <c r="L970" s="10"/>
      <c r="M970" s="10"/>
      <c r="N970" s="10"/>
      <c r="O970" s="18"/>
      <c r="P970" s="18"/>
      <c r="Q970" s="21"/>
      <c r="R970" s="20"/>
      <c r="S970" s="16">
        <f t="shared" si="697"/>
        <v>0</v>
      </c>
      <c r="T970" s="11"/>
      <c r="AS970" s="31">
        <f t="shared" si="698"/>
        <v>0</v>
      </c>
      <c r="AT970" s="31">
        <f t="shared" si="699"/>
        <v>0</v>
      </c>
      <c r="AU970" s="31">
        <f t="shared" si="700"/>
        <v>0</v>
      </c>
      <c r="AV970" s="31">
        <f t="shared" si="701"/>
        <v>0</v>
      </c>
      <c r="AW970" s="31">
        <f t="shared" si="702"/>
        <v>0</v>
      </c>
      <c r="AX970" s="31">
        <f t="shared" si="703"/>
        <v>0</v>
      </c>
      <c r="AY970" s="31">
        <f t="shared" si="704"/>
        <v>0</v>
      </c>
      <c r="AZ970" s="31">
        <f t="shared" si="705"/>
        <v>0</v>
      </c>
      <c r="BA970" s="31">
        <f t="shared" si="706"/>
        <v>0</v>
      </c>
      <c r="BB970" s="31">
        <f t="shared" si="735"/>
        <v>0</v>
      </c>
      <c r="BM970" s="8">
        <f t="shared" si="736"/>
        <v>0</v>
      </c>
      <c r="BN970" s="8">
        <f t="shared" si="707"/>
        <v>0</v>
      </c>
      <c r="BO970" s="8">
        <f t="shared" si="708"/>
        <v>0</v>
      </c>
      <c r="BQ970" s="8">
        <f t="shared" si="709"/>
        <v>0</v>
      </c>
      <c r="BR970" s="63">
        <f t="shared" si="710"/>
        <v>0</v>
      </c>
      <c r="BS970" s="63">
        <f t="shared" si="737"/>
        <v>0</v>
      </c>
      <c r="BT970" s="63">
        <f t="shared" si="711"/>
        <v>0</v>
      </c>
      <c r="BU970" s="63">
        <f t="shared" si="712"/>
        <v>0</v>
      </c>
      <c r="BV970" s="57">
        <f t="shared" si="713"/>
        <v>0</v>
      </c>
      <c r="BW970" s="57">
        <f t="shared" si="714"/>
        <v>0</v>
      </c>
      <c r="BX970" s="57">
        <f t="shared" si="738"/>
        <v>0</v>
      </c>
      <c r="BY970" s="57">
        <f t="shared" si="696"/>
        <v>0</v>
      </c>
      <c r="BZ970" s="8">
        <f t="shared" si="715"/>
        <v>0</v>
      </c>
      <c r="CA970" s="8">
        <f t="shared" si="716"/>
        <v>0</v>
      </c>
      <c r="CB970" s="8">
        <f t="shared" si="717"/>
        <v>0</v>
      </c>
      <c r="CC970" s="8">
        <f t="shared" si="718"/>
        <v>0</v>
      </c>
      <c r="CD970" s="8">
        <f t="shared" si="719"/>
        <v>0</v>
      </c>
      <c r="CE970" s="8">
        <f t="shared" si="720"/>
        <v>0</v>
      </c>
      <c r="CF970" s="8">
        <f t="shared" si="721"/>
        <v>0</v>
      </c>
      <c r="CG970" s="8">
        <f t="shared" si="722"/>
        <v>0</v>
      </c>
      <c r="CH970" s="8">
        <f t="shared" si="723"/>
        <v>0</v>
      </c>
      <c r="CI970" s="8">
        <f t="shared" si="724"/>
        <v>0</v>
      </c>
      <c r="CJ970" s="8">
        <f t="shared" si="725"/>
        <v>0</v>
      </c>
      <c r="CK970" s="8">
        <f t="shared" si="726"/>
        <v>0</v>
      </c>
      <c r="CL970" s="8">
        <f t="shared" si="727"/>
        <v>0</v>
      </c>
      <c r="CM970" s="8">
        <f t="shared" si="728"/>
        <v>0</v>
      </c>
      <c r="CN970" s="8">
        <f t="shared" si="729"/>
        <v>0</v>
      </c>
      <c r="CO970" s="8">
        <f t="shared" si="730"/>
        <v>0</v>
      </c>
      <c r="CP970" s="8">
        <f t="shared" si="731"/>
        <v>0</v>
      </c>
      <c r="CQ970" s="8">
        <f t="shared" si="732"/>
        <v>0</v>
      </c>
      <c r="CR970" s="8">
        <f t="shared" si="733"/>
        <v>0</v>
      </c>
      <c r="CS970" s="8">
        <f t="shared" si="734"/>
        <v>0</v>
      </c>
      <c r="CT970" s="8">
        <f t="shared" si="693"/>
        <v>0</v>
      </c>
      <c r="CU970" s="8">
        <f t="shared" si="694"/>
        <v>0</v>
      </c>
      <c r="CV970" s="8">
        <f t="shared" si="695"/>
        <v>0</v>
      </c>
    </row>
    <row r="971" spans="1:100" ht="20.5" thickTop="1" thickBot="1" x14ac:dyDescent="0.5">
      <c r="A971" s="32"/>
      <c r="B971" s="10"/>
      <c r="C971" s="10"/>
      <c r="D971" s="11"/>
      <c r="E971" s="10"/>
      <c r="F971" s="10"/>
      <c r="G971" s="19"/>
      <c r="H971" s="19"/>
      <c r="I971" s="19"/>
      <c r="J971" s="19"/>
      <c r="K971" s="10"/>
      <c r="L971" s="10"/>
      <c r="M971" s="10"/>
      <c r="N971" s="10"/>
      <c r="O971" s="18"/>
      <c r="P971" s="18"/>
      <c r="Q971" s="21"/>
      <c r="R971" s="20"/>
      <c r="S971" s="16">
        <f t="shared" si="697"/>
        <v>0</v>
      </c>
      <c r="T971" s="11"/>
      <c r="AS971" s="31">
        <f t="shared" si="698"/>
        <v>0</v>
      </c>
      <c r="AT971" s="31">
        <f t="shared" si="699"/>
        <v>0</v>
      </c>
      <c r="AU971" s="31">
        <f t="shared" si="700"/>
        <v>0</v>
      </c>
      <c r="AV971" s="31">
        <f t="shared" si="701"/>
        <v>0</v>
      </c>
      <c r="AW971" s="31">
        <f t="shared" si="702"/>
        <v>0</v>
      </c>
      <c r="AX971" s="31">
        <f t="shared" si="703"/>
        <v>0</v>
      </c>
      <c r="AY971" s="31">
        <f t="shared" si="704"/>
        <v>0</v>
      </c>
      <c r="AZ971" s="31">
        <f t="shared" si="705"/>
        <v>0</v>
      </c>
      <c r="BA971" s="31">
        <f t="shared" si="706"/>
        <v>0</v>
      </c>
      <c r="BB971" s="31">
        <f t="shared" si="735"/>
        <v>0</v>
      </c>
      <c r="BM971" s="8">
        <f t="shared" si="736"/>
        <v>0</v>
      </c>
      <c r="BN971" s="8">
        <f t="shared" si="707"/>
        <v>0</v>
      </c>
      <c r="BO971" s="8">
        <f t="shared" si="708"/>
        <v>0</v>
      </c>
      <c r="BQ971" s="8">
        <f t="shared" si="709"/>
        <v>0</v>
      </c>
      <c r="BR971" s="63">
        <f t="shared" si="710"/>
        <v>0</v>
      </c>
      <c r="BS971" s="63">
        <f t="shared" si="737"/>
        <v>0</v>
      </c>
      <c r="BT971" s="63">
        <f t="shared" si="711"/>
        <v>0</v>
      </c>
      <c r="BU971" s="63">
        <f t="shared" si="712"/>
        <v>0</v>
      </c>
      <c r="BV971" s="57">
        <f t="shared" si="713"/>
        <v>0</v>
      </c>
      <c r="BW971" s="57">
        <f t="shared" si="714"/>
        <v>0</v>
      </c>
      <c r="BX971" s="57">
        <f t="shared" si="738"/>
        <v>0</v>
      </c>
      <c r="BY971" s="57">
        <f t="shared" si="696"/>
        <v>0</v>
      </c>
      <c r="BZ971" s="8">
        <f t="shared" si="715"/>
        <v>0</v>
      </c>
      <c r="CA971" s="8">
        <f t="shared" si="716"/>
        <v>0</v>
      </c>
      <c r="CB971" s="8">
        <f t="shared" si="717"/>
        <v>0</v>
      </c>
      <c r="CC971" s="8">
        <f t="shared" si="718"/>
        <v>0</v>
      </c>
      <c r="CD971" s="8">
        <f t="shared" si="719"/>
        <v>0</v>
      </c>
      <c r="CE971" s="8">
        <f t="shared" si="720"/>
        <v>0</v>
      </c>
      <c r="CF971" s="8">
        <f t="shared" si="721"/>
        <v>0</v>
      </c>
      <c r="CG971" s="8">
        <f t="shared" si="722"/>
        <v>0</v>
      </c>
      <c r="CH971" s="8">
        <f t="shared" si="723"/>
        <v>0</v>
      </c>
      <c r="CI971" s="8">
        <f t="shared" si="724"/>
        <v>0</v>
      </c>
      <c r="CJ971" s="8">
        <f t="shared" si="725"/>
        <v>0</v>
      </c>
      <c r="CK971" s="8">
        <f t="shared" si="726"/>
        <v>0</v>
      </c>
      <c r="CL971" s="8">
        <f t="shared" si="727"/>
        <v>0</v>
      </c>
      <c r="CM971" s="8">
        <f t="shared" si="728"/>
        <v>0</v>
      </c>
      <c r="CN971" s="8">
        <f t="shared" si="729"/>
        <v>0</v>
      </c>
      <c r="CO971" s="8">
        <f t="shared" si="730"/>
        <v>0</v>
      </c>
      <c r="CP971" s="8">
        <f t="shared" si="731"/>
        <v>0</v>
      </c>
      <c r="CQ971" s="8">
        <f t="shared" si="732"/>
        <v>0</v>
      </c>
      <c r="CR971" s="8">
        <f t="shared" si="733"/>
        <v>0</v>
      </c>
      <c r="CS971" s="8">
        <f t="shared" si="734"/>
        <v>0</v>
      </c>
      <c r="CT971" s="8">
        <f t="shared" si="693"/>
        <v>0</v>
      </c>
      <c r="CU971" s="8">
        <f t="shared" si="694"/>
        <v>0</v>
      </c>
      <c r="CV971" s="8">
        <f t="shared" si="695"/>
        <v>0</v>
      </c>
    </row>
    <row r="972" spans="1:100" ht="20.5" thickTop="1" thickBot="1" x14ac:dyDescent="0.5">
      <c r="A972" s="32"/>
      <c r="B972" s="10"/>
      <c r="C972" s="10"/>
      <c r="D972" s="11"/>
      <c r="E972" s="10"/>
      <c r="F972" s="10"/>
      <c r="G972" s="19"/>
      <c r="H972" s="19"/>
      <c r="I972" s="19"/>
      <c r="J972" s="19"/>
      <c r="K972" s="10"/>
      <c r="L972" s="10"/>
      <c r="M972" s="10"/>
      <c r="N972" s="10"/>
      <c r="O972" s="18"/>
      <c r="P972" s="18"/>
      <c r="Q972" s="21"/>
      <c r="R972" s="20"/>
      <c r="S972" s="16">
        <f t="shared" si="697"/>
        <v>0</v>
      </c>
      <c r="T972" s="11"/>
      <c r="AS972" s="31">
        <f t="shared" si="698"/>
        <v>0</v>
      </c>
      <c r="AT972" s="31">
        <f t="shared" si="699"/>
        <v>0</v>
      </c>
      <c r="AU972" s="31">
        <f t="shared" si="700"/>
        <v>0</v>
      </c>
      <c r="AV972" s="31">
        <f t="shared" si="701"/>
        <v>0</v>
      </c>
      <c r="AW972" s="31">
        <f t="shared" si="702"/>
        <v>0</v>
      </c>
      <c r="AX972" s="31">
        <f t="shared" si="703"/>
        <v>0</v>
      </c>
      <c r="AY972" s="31">
        <f t="shared" si="704"/>
        <v>0</v>
      </c>
      <c r="AZ972" s="31">
        <f t="shared" si="705"/>
        <v>0</v>
      </c>
      <c r="BA972" s="31">
        <f t="shared" si="706"/>
        <v>0</v>
      </c>
      <c r="BB972" s="31">
        <f t="shared" si="735"/>
        <v>0</v>
      </c>
      <c r="BM972" s="8">
        <f t="shared" si="736"/>
        <v>0</v>
      </c>
      <c r="BN972" s="8">
        <f t="shared" si="707"/>
        <v>0</v>
      </c>
      <c r="BO972" s="8">
        <f t="shared" si="708"/>
        <v>0</v>
      </c>
      <c r="BQ972" s="8">
        <f t="shared" si="709"/>
        <v>0</v>
      </c>
      <c r="BR972" s="63">
        <f t="shared" si="710"/>
        <v>0</v>
      </c>
      <c r="BS972" s="63">
        <f t="shared" si="737"/>
        <v>0</v>
      </c>
      <c r="BT972" s="63">
        <f t="shared" si="711"/>
        <v>0</v>
      </c>
      <c r="BU972" s="63">
        <f t="shared" si="712"/>
        <v>0</v>
      </c>
      <c r="BV972" s="57">
        <f t="shared" si="713"/>
        <v>0</v>
      </c>
      <c r="BW972" s="57">
        <f t="shared" si="714"/>
        <v>0</v>
      </c>
      <c r="BX972" s="57">
        <f t="shared" si="738"/>
        <v>0</v>
      </c>
      <c r="BY972" s="57">
        <f t="shared" si="696"/>
        <v>0</v>
      </c>
      <c r="BZ972" s="8">
        <f t="shared" si="715"/>
        <v>0</v>
      </c>
      <c r="CA972" s="8">
        <f t="shared" si="716"/>
        <v>0</v>
      </c>
      <c r="CB972" s="8">
        <f t="shared" si="717"/>
        <v>0</v>
      </c>
      <c r="CC972" s="8">
        <f t="shared" si="718"/>
        <v>0</v>
      </c>
      <c r="CD972" s="8">
        <f t="shared" si="719"/>
        <v>0</v>
      </c>
      <c r="CE972" s="8">
        <f t="shared" si="720"/>
        <v>0</v>
      </c>
      <c r="CF972" s="8">
        <f t="shared" si="721"/>
        <v>0</v>
      </c>
      <c r="CG972" s="8">
        <f t="shared" si="722"/>
        <v>0</v>
      </c>
      <c r="CH972" s="8">
        <f t="shared" si="723"/>
        <v>0</v>
      </c>
      <c r="CI972" s="8">
        <f t="shared" si="724"/>
        <v>0</v>
      </c>
      <c r="CJ972" s="8">
        <f t="shared" si="725"/>
        <v>0</v>
      </c>
      <c r="CK972" s="8">
        <f t="shared" si="726"/>
        <v>0</v>
      </c>
      <c r="CL972" s="8">
        <f t="shared" si="727"/>
        <v>0</v>
      </c>
      <c r="CM972" s="8">
        <f t="shared" si="728"/>
        <v>0</v>
      </c>
      <c r="CN972" s="8">
        <f t="shared" si="729"/>
        <v>0</v>
      </c>
      <c r="CO972" s="8">
        <f t="shared" si="730"/>
        <v>0</v>
      </c>
      <c r="CP972" s="8">
        <f t="shared" si="731"/>
        <v>0</v>
      </c>
      <c r="CQ972" s="8">
        <f t="shared" si="732"/>
        <v>0</v>
      </c>
      <c r="CR972" s="8">
        <f t="shared" si="733"/>
        <v>0</v>
      </c>
      <c r="CS972" s="8">
        <f t="shared" si="734"/>
        <v>0</v>
      </c>
      <c r="CT972" s="8">
        <f t="shared" si="693"/>
        <v>0</v>
      </c>
      <c r="CU972" s="8">
        <f t="shared" si="694"/>
        <v>0</v>
      </c>
      <c r="CV972" s="8">
        <f t="shared" si="695"/>
        <v>0</v>
      </c>
    </row>
    <row r="973" spans="1:100" ht="20.5" thickTop="1" thickBot="1" x14ac:dyDescent="0.5">
      <c r="A973" s="32"/>
      <c r="B973" s="10"/>
      <c r="C973" s="10"/>
      <c r="D973" s="11"/>
      <c r="E973" s="10"/>
      <c r="F973" s="10"/>
      <c r="G973" s="19"/>
      <c r="H973" s="19"/>
      <c r="I973" s="19"/>
      <c r="J973" s="19"/>
      <c r="K973" s="10"/>
      <c r="L973" s="10"/>
      <c r="M973" s="10"/>
      <c r="N973" s="10"/>
      <c r="O973" s="18"/>
      <c r="P973" s="18"/>
      <c r="Q973" s="21"/>
      <c r="R973" s="20"/>
      <c r="S973" s="16">
        <f t="shared" si="697"/>
        <v>0</v>
      </c>
      <c r="T973" s="11"/>
      <c r="AS973" s="31">
        <f t="shared" si="698"/>
        <v>0</v>
      </c>
      <c r="AT973" s="31">
        <f t="shared" si="699"/>
        <v>0</v>
      </c>
      <c r="AU973" s="31">
        <f t="shared" si="700"/>
        <v>0</v>
      </c>
      <c r="AV973" s="31">
        <f t="shared" si="701"/>
        <v>0</v>
      </c>
      <c r="AW973" s="31">
        <f t="shared" si="702"/>
        <v>0</v>
      </c>
      <c r="AX973" s="31">
        <f t="shared" si="703"/>
        <v>0</v>
      </c>
      <c r="AY973" s="31">
        <f t="shared" si="704"/>
        <v>0</v>
      </c>
      <c r="AZ973" s="31">
        <f t="shared" si="705"/>
        <v>0</v>
      </c>
      <c r="BA973" s="31">
        <f t="shared" si="706"/>
        <v>0</v>
      </c>
      <c r="BB973" s="31">
        <f t="shared" si="735"/>
        <v>0</v>
      </c>
      <c r="BM973" s="8">
        <f t="shared" si="736"/>
        <v>0</v>
      </c>
      <c r="BN973" s="8">
        <f t="shared" si="707"/>
        <v>0</v>
      </c>
      <c r="BO973" s="8">
        <f t="shared" si="708"/>
        <v>0</v>
      </c>
      <c r="BQ973" s="8">
        <f t="shared" si="709"/>
        <v>0</v>
      </c>
      <c r="BR973" s="63">
        <f t="shared" si="710"/>
        <v>0</v>
      </c>
      <c r="BS973" s="63">
        <f t="shared" si="737"/>
        <v>0</v>
      </c>
      <c r="BT973" s="63">
        <f t="shared" si="711"/>
        <v>0</v>
      </c>
      <c r="BU973" s="63">
        <f t="shared" si="712"/>
        <v>0</v>
      </c>
      <c r="BV973" s="57">
        <f t="shared" si="713"/>
        <v>0</v>
      </c>
      <c r="BW973" s="57">
        <f t="shared" si="714"/>
        <v>0</v>
      </c>
      <c r="BX973" s="57">
        <f t="shared" si="738"/>
        <v>0</v>
      </c>
      <c r="BY973" s="57">
        <f t="shared" si="696"/>
        <v>0</v>
      </c>
      <c r="BZ973" s="8">
        <f t="shared" si="715"/>
        <v>0</v>
      </c>
      <c r="CA973" s="8">
        <f t="shared" si="716"/>
        <v>0</v>
      </c>
      <c r="CB973" s="8">
        <f t="shared" si="717"/>
        <v>0</v>
      </c>
      <c r="CC973" s="8">
        <f t="shared" si="718"/>
        <v>0</v>
      </c>
      <c r="CD973" s="8">
        <f t="shared" si="719"/>
        <v>0</v>
      </c>
      <c r="CE973" s="8">
        <f t="shared" si="720"/>
        <v>0</v>
      </c>
      <c r="CF973" s="8">
        <f t="shared" si="721"/>
        <v>0</v>
      </c>
      <c r="CG973" s="8">
        <f t="shared" si="722"/>
        <v>0</v>
      </c>
      <c r="CH973" s="8">
        <f t="shared" si="723"/>
        <v>0</v>
      </c>
      <c r="CI973" s="8">
        <f t="shared" si="724"/>
        <v>0</v>
      </c>
      <c r="CJ973" s="8">
        <f t="shared" si="725"/>
        <v>0</v>
      </c>
      <c r="CK973" s="8">
        <f t="shared" si="726"/>
        <v>0</v>
      </c>
      <c r="CL973" s="8">
        <f t="shared" si="727"/>
        <v>0</v>
      </c>
      <c r="CM973" s="8">
        <f t="shared" si="728"/>
        <v>0</v>
      </c>
      <c r="CN973" s="8">
        <f t="shared" si="729"/>
        <v>0</v>
      </c>
      <c r="CO973" s="8">
        <f t="shared" si="730"/>
        <v>0</v>
      </c>
      <c r="CP973" s="8">
        <f t="shared" si="731"/>
        <v>0</v>
      </c>
      <c r="CQ973" s="8">
        <f t="shared" si="732"/>
        <v>0</v>
      </c>
      <c r="CR973" s="8">
        <f t="shared" si="733"/>
        <v>0</v>
      </c>
      <c r="CS973" s="8">
        <f t="shared" si="734"/>
        <v>0</v>
      </c>
      <c r="CT973" s="8">
        <f t="shared" ref="CT973:CT1036" si="739">IF(AND(J973&gt;0,OR(B973="MB",B973="new MB")),J973,0)*4+IF(AND(J973&gt;0,OR(C973="MB",C973="new MB")),J973,0)*4</f>
        <v>0</v>
      </c>
      <c r="CU973" s="8">
        <f t="shared" ref="CU973:CU1036" si="740">IF(AND(I973&gt;0,OR(B973="MB",B973="new MB")),I973,0)*4+IF(AND(I973&gt;0,OR(C973="MB",C973="new MB")),I973,0)*4</f>
        <v>0</v>
      </c>
      <c r="CV973" s="8">
        <f t="shared" ref="CV973:CV1036" si="741">IF(AND(H973&gt;0,OR(B973="MB",B973="new MB")),H973,0)*4+IF(AND(H973&gt;0,OR(C973="MB",C973="new MB")),H973,0)*4</f>
        <v>0</v>
      </c>
    </row>
    <row r="974" spans="1:100" ht="20.5" thickTop="1" thickBot="1" x14ac:dyDescent="0.5">
      <c r="A974" s="32"/>
      <c r="B974" s="10"/>
      <c r="C974" s="10"/>
      <c r="D974" s="11"/>
      <c r="E974" s="10"/>
      <c r="F974" s="10"/>
      <c r="G974" s="19"/>
      <c r="H974" s="19"/>
      <c r="I974" s="19"/>
      <c r="J974" s="19"/>
      <c r="K974" s="10"/>
      <c r="L974" s="10"/>
      <c r="M974" s="10"/>
      <c r="N974" s="10"/>
      <c r="O974" s="18"/>
      <c r="P974" s="18"/>
      <c r="Q974" s="21"/>
      <c r="R974" s="20"/>
      <c r="S974" s="16">
        <f t="shared" si="697"/>
        <v>0</v>
      </c>
      <c r="T974" s="11"/>
      <c r="AS974" s="31">
        <f t="shared" si="698"/>
        <v>0</v>
      </c>
      <c r="AT974" s="31">
        <f t="shared" si="699"/>
        <v>0</v>
      </c>
      <c r="AU974" s="31">
        <f t="shared" si="700"/>
        <v>0</v>
      </c>
      <c r="AV974" s="31">
        <f t="shared" si="701"/>
        <v>0</v>
      </c>
      <c r="AW974" s="31">
        <f t="shared" si="702"/>
        <v>0</v>
      </c>
      <c r="AX974" s="31">
        <f t="shared" si="703"/>
        <v>0</v>
      </c>
      <c r="AY974" s="31">
        <f t="shared" si="704"/>
        <v>0</v>
      </c>
      <c r="AZ974" s="31">
        <f t="shared" si="705"/>
        <v>0</v>
      </c>
      <c r="BA974" s="31">
        <f t="shared" si="706"/>
        <v>0</v>
      </c>
      <c r="BB974" s="31">
        <f t="shared" si="735"/>
        <v>0</v>
      </c>
      <c r="BM974" s="8">
        <f t="shared" si="736"/>
        <v>0</v>
      </c>
      <c r="BN974" s="8">
        <f t="shared" si="707"/>
        <v>0</v>
      </c>
      <c r="BO974" s="8">
        <f t="shared" si="708"/>
        <v>0</v>
      </c>
      <c r="BQ974" s="8">
        <f t="shared" si="709"/>
        <v>0</v>
      </c>
      <c r="BR974" s="63">
        <f t="shared" si="710"/>
        <v>0</v>
      </c>
      <c r="BS974" s="63">
        <f t="shared" si="737"/>
        <v>0</v>
      </c>
      <c r="BT974" s="63">
        <f t="shared" si="711"/>
        <v>0</v>
      </c>
      <c r="BU974" s="63">
        <f t="shared" si="712"/>
        <v>0</v>
      </c>
      <c r="BV974" s="57">
        <f t="shared" si="713"/>
        <v>0</v>
      </c>
      <c r="BW974" s="57">
        <f t="shared" si="714"/>
        <v>0</v>
      </c>
      <c r="BX974" s="57">
        <f t="shared" si="738"/>
        <v>0</v>
      </c>
      <c r="BY974" s="57">
        <f t="shared" si="696"/>
        <v>0</v>
      </c>
      <c r="BZ974" s="8">
        <f t="shared" si="715"/>
        <v>0</v>
      </c>
      <c r="CA974" s="8">
        <f t="shared" si="716"/>
        <v>0</v>
      </c>
      <c r="CB974" s="8">
        <f t="shared" si="717"/>
        <v>0</v>
      </c>
      <c r="CC974" s="8">
        <f t="shared" si="718"/>
        <v>0</v>
      </c>
      <c r="CD974" s="8">
        <f t="shared" si="719"/>
        <v>0</v>
      </c>
      <c r="CE974" s="8">
        <f t="shared" si="720"/>
        <v>0</v>
      </c>
      <c r="CF974" s="8">
        <f t="shared" si="721"/>
        <v>0</v>
      </c>
      <c r="CG974" s="8">
        <f t="shared" si="722"/>
        <v>0</v>
      </c>
      <c r="CH974" s="8">
        <f t="shared" si="723"/>
        <v>0</v>
      </c>
      <c r="CI974" s="8">
        <f t="shared" si="724"/>
        <v>0</v>
      </c>
      <c r="CJ974" s="8">
        <f t="shared" si="725"/>
        <v>0</v>
      </c>
      <c r="CK974" s="8">
        <f t="shared" si="726"/>
        <v>0</v>
      </c>
      <c r="CL974" s="8">
        <f t="shared" si="727"/>
        <v>0</v>
      </c>
      <c r="CM974" s="8">
        <f t="shared" si="728"/>
        <v>0</v>
      </c>
      <c r="CN974" s="8">
        <f t="shared" si="729"/>
        <v>0</v>
      </c>
      <c r="CO974" s="8">
        <f t="shared" si="730"/>
        <v>0</v>
      </c>
      <c r="CP974" s="8">
        <f t="shared" si="731"/>
        <v>0</v>
      </c>
      <c r="CQ974" s="8">
        <f t="shared" si="732"/>
        <v>0</v>
      </c>
      <c r="CR974" s="8">
        <f t="shared" si="733"/>
        <v>0</v>
      </c>
      <c r="CS974" s="8">
        <f t="shared" si="734"/>
        <v>0</v>
      </c>
      <c r="CT974" s="8">
        <f t="shared" si="739"/>
        <v>0</v>
      </c>
      <c r="CU974" s="8">
        <f t="shared" si="740"/>
        <v>0</v>
      </c>
      <c r="CV974" s="8">
        <f t="shared" si="741"/>
        <v>0</v>
      </c>
    </row>
    <row r="975" spans="1:100" ht="20.5" thickTop="1" thickBot="1" x14ac:dyDescent="0.5">
      <c r="A975" s="32"/>
      <c r="B975" s="10"/>
      <c r="C975" s="10"/>
      <c r="D975" s="11"/>
      <c r="E975" s="10"/>
      <c r="F975" s="10"/>
      <c r="G975" s="19"/>
      <c r="H975" s="19"/>
      <c r="I975" s="19"/>
      <c r="J975" s="19"/>
      <c r="K975" s="10"/>
      <c r="L975" s="10"/>
      <c r="M975" s="10"/>
      <c r="N975" s="10"/>
      <c r="O975" s="18"/>
      <c r="P975" s="18"/>
      <c r="Q975" s="21"/>
      <c r="R975" s="20"/>
      <c r="S975" s="16">
        <f t="shared" si="697"/>
        <v>0</v>
      </c>
      <c r="T975" s="11"/>
      <c r="AS975" s="31">
        <f t="shared" si="698"/>
        <v>0</v>
      </c>
      <c r="AT975" s="31">
        <f t="shared" si="699"/>
        <v>0</v>
      </c>
      <c r="AU975" s="31">
        <f t="shared" si="700"/>
        <v>0</v>
      </c>
      <c r="AV975" s="31">
        <f t="shared" si="701"/>
        <v>0</v>
      </c>
      <c r="AW975" s="31">
        <f t="shared" si="702"/>
        <v>0</v>
      </c>
      <c r="AX975" s="31">
        <f t="shared" si="703"/>
        <v>0</v>
      </c>
      <c r="AY975" s="31">
        <f t="shared" si="704"/>
        <v>0</v>
      </c>
      <c r="AZ975" s="31">
        <f t="shared" si="705"/>
        <v>0</v>
      </c>
      <c r="BA975" s="31">
        <f t="shared" si="706"/>
        <v>0</v>
      </c>
      <c r="BB975" s="31">
        <f t="shared" si="735"/>
        <v>0</v>
      </c>
      <c r="BM975" s="8">
        <f t="shared" si="736"/>
        <v>0</v>
      </c>
      <c r="BN975" s="8">
        <f t="shared" si="707"/>
        <v>0</v>
      </c>
      <c r="BO975" s="8">
        <f t="shared" si="708"/>
        <v>0</v>
      </c>
      <c r="BQ975" s="8">
        <f t="shared" si="709"/>
        <v>0</v>
      </c>
      <c r="BR975" s="63">
        <f t="shared" si="710"/>
        <v>0</v>
      </c>
      <c r="BS975" s="63">
        <f t="shared" si="737"/>
        <v>0</v>
      </c>
      <c r="BT975" s="63">
        <f t="shared" si="711"/>
        <v>0</v>
      </c>
      <c r="BU975" s="63">
        <f t="shared" si="712"/>
        <v>0</v>
      </c>
      <c r="BV975" s="57">
        <f t="shared" si="713"/>
        <v>0</v>
      </c>
      <c r="BW975" s="57">
        <f t="shared" si="714"/>
        <v>0</v>
      </c>
      <c r="BX975" s="57">
        <f t="shared" si="738"/>
        <v>0</v>
      </c>
      <c r="BY975" s="57">
        <f t="shared" si="696"/>
        <v>0</v>
      </c>
      <c r="BZ975" s="8">
        <f t="shared" si="715"/>
        <v>0</v>
      </c>
      <c r="CA975" s="8">
        <f t="shared" si="716"/>
        <v>0</v>
      </c>
      <c r="CB975" s="8">
        <f t="shared" si="717"/>
        <v>0</v>
      </c>
      <c r="CC975" s="8">
        <f t="shared" si="718"/>
        <v>0</v>
      </c>
      <c r="CD975" s="8">
        <f t="shared" si="719"/>
        <v>0</v>
      </c>
      <c r="CE975" s="8">
        <f t="shared" si="720"/>
        <v>0</v>
      </c>
      <c r="CF975" s="8">
        <f t="shared" si="721"/>
        <v>0</v>
      </c>
      <c r="CG975" s="8">
        <f t="shared" si="722"/>
        <v>0</v>
      </c>
      <c r="CH975" s="8">
        <f t="shared" si="723"/>
        <v>0</v>
      </c>
      <c r="CI975" s="8">
        <f t="shared" si="724"/>
        <v>0</v>
      </c>
      <c r="CJ975" s="8">
        <f t="shared" si="725"/>
        <v>0</v>
      </c>
      <c r="CK975" s="8">
        <f t="shared" si="726"/>
        <v>0</v>
      </c>
      <c r="CL975" s="8">
        <f t="shared" si="727"/>
        <v>0</v>
      </c>
      <c r="CM975" s="8">
        <f t="shared" si="728"/>
        <v>0</v>
      </c>
      <c r="CN975" s="8">
        <f t="shared" si="729"/>
        <v>0</v>
      </c>
      <c r="CO975" s="8">
        <f t="shared" si="730"/>
        <v>0</v>
      </c>
      <c r="CP975" s="8">
        <f t="shared" si="731"/>
        <v>0</v>
      </c>
      <c r="CQ975" s="8">
        <f t="shared" si="732"/>
        <v>0</v>
      </c>
      <c r="CR975" s="8">
        <f t="shared" si="733"/>
        <v>0</v>
      </c>
      <c r="CS975" s="8">
        <f t="shared" si="734"/>
        <v>0</v>
      </c>
      <c r="CT975" s="8">
        <f t="shared" si="739"/>
        <v>0</v>
      </c>
      <c r="CU975" s="8">
        <f t="shared" si="740"/>
        <v>0</v>
      </c>
      <c r="CV975" s="8">
        <f t="shared" si="741"/>
        <v>0</v>
      </c>
    </row>
    <row r="976" spans="1:100" ht="20.5" thickTop="1" thickBot="1" x14ac:dyDescent="0.5">
      <c r="A976" s="32"/>
      <c r="B976" s="10"/>
      <c r="C976" s="10"/>
      <c r="D976" s="11"/>
      <c r="E976" s="10"/>
      <c r="F976" s="10"/>
      <c r="G976" s="19"/>
      <c r="H976" s="19"/>
      <c r="I976" s="19"/>
      <c r="J976" s="19"/>
      <c r="K976" s="10"/>
      <c r="L976" s="10"/>
      <c r="M976" s="10"/>
      <c r="N976" s="10"/>
      <c r="O976" s="18"/>
      <c r="P976" s="18"/>
      <c r="Q976" s="21"/>
      <c r="R976" s="20"/>
      <c r="S976" s="16">
        <f t="shared" si="697"/>
        <v>0</v>
      </c>
      <c r="T976" s="11"/>
      <c r="AS976" s="31">
        <f t="shared" si="698"/>
        <v>0</v>
      </c>
      <c r="AT976" s="31">
        <f t="shared" si="699"/>
        <v>0</v>
      </c>
      <c r="AU976" s="31">
        <f t="shared" si="700"/>
        <v>0</v>
      </c>
      <c r="AV976" s="31">
        <f t="shared" si="701"/>
        <v>0</v>
      </c>
      <c r="AW976" s="31">
        <f t="shared" si="702"/>
        <v>0</v>
      </c>
      <c r="AX976" s="31">
        <f t="shared" si="703"/>
        <v>0</v>
      </c>
      <c r="AY976" s="31">
        <f t="shared" si="704"/>
        <v>0</v>
      </c>
      <c r="AZ976" s="31">
        <f t="shared" si="705"/>
        <v>0</v>
      </c>
      <c r="BA976" s="31">
        <f t="shared" si="706"/>
        <v>0</v>
      </c>
      <c r="BB976" s="31">
        <f t="shared" si="735"/>
        <v>0</v>
      </c>
      <c r="BM976" s="8">
        <f t="shared" si="736"/>
        <v>0</v>
      </c>
      <c r="BN976" s="8">
        <f t="shared" si="707"/>
        <v>0</v>
      </c>
      <c r="BO976" s="8">
        <f t="shared" si="708"/>
        <v>0</v>
      </c>
      <c r="BQ976" s="8">
        <f t="shared" si="709"/>
        <v>0</v>
      </c>
      <c r="BR976" s="63">
        <f t="shared" si="710"/>
        <v>0</v>
      </c>
      <c r="BS976" s="63">
        <f t="shared" si="737"/>
        <v>0</v>
      </c>
      <c r="BT976" s="63">
        <f t="shared" si="711"/>
        <v>0</v>
      </c>
      <c r="BU976" s="63">
        <f t="shared" si="712"/>
        <v>0</v>
      </c>
      <c r="BV976" s="57">
        <f t="shared" si="713"/>
        <v>0</v>
      </c>
      <c r="BW976" s="57">
        <f t="shared" si="714"/>
        <v>0</v>
      </c>
      <c r="BX976" s="57">
        <f t="shared" si="738"/>
        <v>0</v>
      </c>
      <c r="BY976" s="57">
        <f t="shared" si="696"/>
        <v>0</v>
      </c>
      <c r="BZ976" s="8">
        <f t="shared" si="715"/>
        <v>0</v>
      </c>
      <c r="CA976" s="8">
        <f t="shared" si="716"/>
        <v>0</v>
      </c>
      <c r="CB976" s="8">
        <f t="shared" si="717"/>
        <v>0</v>
      </c>
      <c r="CC976" s="8">
        <f t="shared" si="718"/>
        <v>0</v>
      </c>
      <c r="CD976" s="8">
        <f t="shared" si="719"/>
        <v>0</v>
      </c>
      <c r="CE976" s="8">
        <f t="shared" si="720"/>
        <v>0</v>
      </c>
      <c r="CF976" s="8">
        <f t="shared" si="721"/>
        <v>0</v>
      </c>
      <c r="CG976" s="8">
        <f t="shared" si="722"/>
        <v>0</v>
      </c>
      <c r="CH976" s="8">
        <f t="shared" si="723"/>
        <v>0</v>
      </c>
      <c r="CI976" s="8">
        <f t="shared" si="724"/>
        <v>0</v>
      </c>
      <c r="CJ976" s="8">
        <f t="shared" si="725"/>
        <v>0</v>
      </c>
      <c r="CK976" s="8">
        <f t="shared" si="726"/>
        <v>0</v>
      </c>
      <c r="CL976" s="8">
        <f t="shared" si="727"/>
        <v>0</v>
      </c>
      <c r="CM976" s="8">
        <f t="shared" si="728"/>
        <v>0</v>
      </c>
      <c r="CN976" s="8">
        <f t="shared" si="729"/>
        <v>0</v>
      </c>
      <c r="CO976" s="8">
        <f t="shared" si="730"/>
        <v>0</v>
      </c>
      <c r="CP976" s="8">
        <f t="shared" si="731"/>
        <v>0</v>
      </c>
      <c r="CQ976" s="8">
        <f t="shared" si="732"/>
        <v>0</v>
      </c>
      <c r="CR976" s="8">
        <f t="shared" si="733"/>
        <v>0</v>
      </c>
      <c r="CS976" s="8">
        <f t="shared" si="734"/>
        <v>0</v>
      </c>
      <c r="CT976" s="8">
        <f t="shared" si="739"/>
        <v>0</v>
      </c>
      <c r="CU976" s="8">
        <f t="shared" si="740"/>
        <v>0</v>
      </c>
      <c r="CV976" s="8">
        <f t="shared" si="741"/>
        <v>0</v>
      </c>
    </row>
    <row r="977" spans="1:100" ht="20.5" thickTop="1" thickBot="1" x14ac:dyDescent="0.5">
      <c r="A977" s="32"/>
      <c r="B977" s="10"/>
      <c r="C977" s="10"/>
      <c r="D977" s="11"/>
      <c r="E977" s="10"/>
      <c r="F977" s="10"/>
      <c r="G977" s="19"/>
      <c r="H977" s="19"/>
      <c r="I977" s="19"/>
      <c r="J977" s="19"/>
      <c r="K977" s="10"/>
      <c r="L977" s="10"/>
      <c r="M977" s="10"/>
      <c r="N977" s="10"/>
      <c r="O977" s="18"/>
      <c r="P977" s="18"/>
      <c r="Q977" s="21"/>
      <c r="R977" s="20"/>
      <c r="S977" s="16">
        <f t="shared" si="697"/>
        <v>0</v>
      </c>
      <c r="T977" s="11"/>
      <c r="AS977" s="31">
        <f t="shared" si="698"/>
        <v>0</v>
      </c>
      <c r="AT977" s="31">
        <f t="shared" si="699"/>
        <v>0</v>
      </c>
      <c r="AU977" s="31">
        <f t="shared" si="700"/>
        <v>0</v>
      </c>
      <c r="AV977" s="31">
        <f t="shared" si="701"/>
        <v>0</v>
      </c>
      <c r="AW977" s="31">
        <f t="shared" si="702"/>
        <v>0</v>
      </c>
      <c r="AX977" s="31">
        <f t="shared" si="703"/>
        <v>0</v>
      </c>
      <c r="AY977" s="31">
        <f t="shared" si="704"/>
        <v>0</v>
      </c>
      <c r="AZ977" s="31">
        <f t="shared" si="705"/>
        <v>0</v>
      </c>
      <c r="BA977" s="31">
        <f t="shared" si="706"/>
        <v>0</v>
      </c>
      <c r="BB977" s="31">
        <f t="shared" si="735"/>
        <v>0</v>
      </c>
      <c r="BM977" s="8">
        <f t="shared" si="736"/>
        <v>0</v>
      </c>
      <c r="BN977" s="8">
        <f t="shared" si="707"/>
        <v>0</v>
      </c>
      <c r="BO977" s="8">
        <f t="shared" si="708"/>
        <v>0</v>
      </c>
      <c r="BQ977" s="8">
        <f t="shared" si="709"/>
        <v>0</v>
      </c>
      <c r="BR977" s="63">
        <f t="shared" si="710"/>
        <v>0</v>
      </c>
      <c r="BS977" s="63">
        <f t="shared" si="737"/>
        <v>0</v>
      </c>
      <c r="BT977" s="63">
        <f t="shared" si="711"/>
        <v>0</v>
      </c>
      <c r="BU977" s="63">
        <f t="shared" si="712"/>
        <v>0</v>
      </c>
      <c r="BV977" s="57">
        <f t="shared" si="713"/>
        <v>0</v>
      </c>
      <c r="BW977" s="57">
        <f t="shared" si="714"/>
        <v>0</v>
      </c>
      <c r="BX977" s="57">
        <f t="shared" si="738"/>
        <v>0</v>
      </c>
      <c r="BY977" s="57">
        <f t="shared" si="696"/>
        <v>0</v>
      </c>
      <c r="BZ977" s="8">
        <f t="shared" si="715"/>
        <v>0</v>
      </c>
      <c r="CA977" s="8">
        <f t="shared" si="716"/>
        <v>0</v>
      </c>
      <c r="CB977" s="8">
        <f t="shared" si="717"/>
        <v>0</v>
      </c>
      <c r="CC977" s="8">
        <f t="shared" si="718"/>
        <v>0</v>
      </c>
      <c r="CD977" s="8">
        <f t="shared" si="719"/>
        <v>0</v>
      </c>
      <c r="CE977" s="8">
        <f t="shared" si="720"/>
        <v>0</v>
      </c>
      <c r="CF977" s="8">
        <f t="shared" si="721"/>
        <v>0</v>
      </c>
      <c r="CG977" s="8">
        <f t="shared" si="722"/>
        <v>0</v>
      </c>
      <c r="CH977" s="8">
        <f t="shared" si="723"/>
        <v>0</v>
      </c>
      <c r="CI977" s="8">
        <f t="shared" si="724"/>
        <v>0</v>
      </c>
      <c r="CJ977" s="8">
        <f t="shared" si="725"/>
        <v>0</v>
      </c>
      <c r="CK977" s="8">
        <f t="shared" si="726"/>
        <v>0</v>
      </c>
      <c r="CL977" s="8">
        <f t="shared" si="727"/>
        <v>0</v>
      </c>
      <c r="CM977" s="8">
        <f t="shared" si="728"/>
        <v>0</v>
      </c>
      <c r="CN977" s="8">
        <f t="shared" si="729"/>
        <v>0</v>
      </c>
      <c r="CO977" s="8">
        <f t="shared" si="730"/>
        <v>0</v>
      </c>
      <c r="CP977" s="8">
        <f t="shared" si="731"/>
        <v>0</v>
      </c>
      <c r="CQ977" s="8">
        <f t="shared" si="732"/>
        <v>0</v>
      </c>
      <c r="CR977" s="8">
        <f t="shared" si="733"/>
        <v>0</v>
      </c>
      <c r="CS977" s="8">
        <f t="shared" si="734"/>
        <v>0</v>
      </c>
      <c r="CT977" s="8">
        <f t="shared" si="739"/>
        <v>0</v>
      </c>
      <c r="CU977" s="8">
        <f t="shared" si="740"/>
        <v>0</v>
      </c>
      <c r="CV977" s="8">
        <f t="shared" si="741"/>
        <v>0</v>
      </c>
    </row>
    <row r="978" spans="1:100" ht="20.5" thickTop="1" thickBot="1" x14ac:dyDescent="0.5">
      <c r="A978" s="32"/>
      <c r="B978" s="10"/>
      <c r="C978" s="10"/>
      <c r="D978" s="11"/>
      <c r="E978" s="10"/>
      <c r="F978" s="10"/>
      <c r="G978" s="19"/>
      <c r="H978" s="19"/>
      <c r="I978" s="19"/>
      <c r="J978" s="19"/>
      <c r="K978" s="10"/>
      <c r="L978" s="10"/>
      <c r="M978" s="10"/>
      <c r="N978" s="10"/>
      <c r="O978" s="18"/>
      <c r="P978" s="18"/>
      <c r="Q978" s="21"/>
      <c r="R978" s="20"/>
      <c r="S978" s="16">
        <f t="shared" si="697"/>
        <v>0</v>
      </c>
      <c r="T978" s="11"/>
      <c r="AS978" s="31">
        <f t="shared" si="698"/>
        <v>0</v>
      </c>
      <c r="AT978" s="31">
        <f t="shared" si="699"/>
        <v>0</v>
      </c>
      <c r="AU978" s="31">
        <f t="shared" si="700"/>
        <v>0</v>
      </c>
      <c r="AV978" s="31">
        <f t="shared" si="701"/>
        <v>0</v>
      </c>
      <c r="AW978" s="31">
        <f t="shared" si="702"/>
        <v>0</v>
      </c>
      <c r="AX978" s="31">
        <f t="shared" si="703"/>
        <v>0</v>
      </c>
      <c r="AY978" s="31">
        <f t="shared" si="704"/>
        <v>0</v>
      </c>
      <c r="AZ978" s="31">
        <f t="shared" si="705"/>
        <v>0</v>
      </c>
      <c r="BA978" s="31">
        <f t="shared" si="706"/>
        <v>0</v>
      </c>
      <c r="BB978" s="31">
        <f t="shared" si="735"/>
        <v>0</v>
      </c>
      <c r="BM978" s="8">
        <f t="shared" si="736"/>
        <v>0</v>
      </c>
      <c r="BN978" s="8">
        <f t="shared" si="707"/>
        <v>0</v>
      </c>
      <c r="BO978" s="8">
        <f t="shared" si="708"/>
        <v>0</v>
      </c>
      <c r="BQ978" s="8">
        <f t="shared" si="709"/>
        <v>0</v>
      </c>
      <c r="BR978" s="63">
        <f t="shared" si="710"/>
        <v>0</v>
      </c>
      <c r="BS978" s="63">
        <f t="shared" si="737"/>
        <v>0</v>
      </c>
      <c r="BT978" s="63">
        <f t="shared" si="711"/>
        <v>0</v>
      </c>
      <c r="BU978" s="63">
        <f t="shared" si="712"/>
        <v>0</v>
      </c>
      <c r="BV978" s="57">
        <f t="shared" si="713"/>
        <v>0</v>
      </c>
      <c r="BW978" s="57">
        <f t="shared" si="714"/>
        <v>0</v>
      </c>
      <c r="BX978" s="57">
        <f t="shared" si="738"/>
        <v>0</v>
      </c>
      <c r="BY978" s="57">
        <f t="shared" si="696"/>
        <v>0</v>
      </c>
      <c r="BZ978" s="8">
        <f t="shared" si="715"/>
        <v>0</v>
      </c>
      <c r="CA978" s="8">
        <f t="shared" si="716"/>
        <v>0</v>
      </c>
      <c r="CB978" s="8">
        <f t="shared" si="717"/>
        <v>0</v>
      </c>
      <c r="CC978" s="8">
        <f t="shared" si="718"/>
        <v>0</v>
      </c>
      <c r="CD978" s="8">
        <f t="shared" si="719"/>
        <v>0</v>
      </c>
      <c r="CE978" s="8">
        <f t="shared" si="720"/>
        <v>0</v>
      </c>
      <c r="CF978" s="8">
        <f t="shared" si="721"/>
        <v>0</v>
      </c>
      <c r="CG978" s="8">
        <f t="shared" si="722"/>
        <v>0</v>
      </c>
      <c r="CH978" s="8">
        <f t="shared" si="723"/>
        <v>0</v>
      </c>
      <c r="CI978" s="8">
        <f t="shared" si="724"/>
        <v>0</v>
      </c>
      <c r="CJ978" s="8">
        <f t="shared" si="725"/>
        <v>0</v>
      </c>
      <c r="CK978" s="8">
        <f t="shared" si="726"/>
        <v>0</v>
      </c>
      <c r="CL978" s="8">
        <f t="shared" si="727"/>
        <v>0</v>
      </c>
      <c r="CM978" s="8">
        <f t="shared" si="728"/>
        <v>0</v>
      </c>
      <c r="CN978" s="8">
        <f t="shared" si="729"/>
        <v>0</v>
      </c>
      <c r="CO978" s="8">
        <f t="shared" si="730"/>
        <v>0</v>
      </c>
      <c r="CP978" s="8">
        <f t="shared" si="731"/>
        <v>0</v>
      </c>
      <c r="CQ978" s="8">
        <f t="shared" si="732"/>
        <v>0</v>
      </c>
      <c r="CR978" s="8">
        <f t="shared" si="733"/>
        <v>0</v>
      </c>
      <c r="CS978" s="8">
        <f t="shared" si="734"/>
        <v>0</v>
      </c>
      <c r="CT978" s="8">
        <f t="shared" si="739"/>
        <v>0</v>
      </c>
      <c r="CU978" s="8">
        <f t="shared" si="740"/>
        <v>0</v>
      </c>
      <c r="CV978" s="8">
        <f t="shared" si="741"/>
        <v>0</v>
      </c>
    </row>
    <row r="979" spans="1:100" ht="20.5" thickTop="1" thickBot="1" x14ac:dyDescent="0.5">
      <c r="A979" s="32"/>
      <c r="B979" s="10"/>
      <c r="C979" s="10"/>
      <c r="D979" s="11"/>
      <c r="E979" s="10"/>
      <c r="F979" s="10"/>
      <c r="G979" s="19"/>
      <c r="H979" s="19"/>
      <c r="I979" s="19"/>
      <c r="J979" s="19"/>
      <c r="K979" s="10"/>
      <c r="L979" s="10"/>
      <c r="M979" s="10"/>
      <c r="N979" s="10"/>
      <c r="O979" s="18"/>
      <c r="P979" s="18"/>
      <c r="Q979" s="21"/>
      <c r="R979" s="20"/>
      <c r="S979" s="16">
        <f t="shared" si="697"/>
        <v>0</v>
      </c>
      <c r="T979" s="11"/>
      <c r="AS979" s="31">
        <f t="shared" si="698"/>
        <v>0</v>
      </c>
      <c r="AT979" s="31">
        <f t="shared" si="699"/>
        <v>0</v>
      </c>
      <c r="AU979" s="31">
        <f t="shared" si="700"/>
        <v>0</v>
      </c>
      <c r="AV979" s="31">
        <f t="shared" si="701"/>
        <v>0</v>
      </c>
      <c r="AW979" s="31">
        <f t="shared" si="702"/>
        <v>0</v>
      </c>
      <c r="AX979" s="31">
        <f t="shared" si="703"/>
        <v>0</v>
      </c>
      <c r="AY979" s="31">
        <f t="shared" si="704"/>
        <v>0</v>
      </c>
      <c r="AZ979" s="31">
        <f t="shared" si="705"/>
        <v>0</v>
      </c>
      <c r="BA979" s="31">
        <f t="shared" si="706"/>
        <v>0</v>
      </c>
      <c r="BB979" s="31">
        <f t="shared" si="735"/>
        <v>0</v>
      </c>
      <c r="BM979" s="8">
        <f t="shared" si="736"/>
        <v>0</v>
      </c>
      <c r="BN979" s="8">
        <f t="shared" si="707"/>
        <v>0</v>
      </c>
      <c r="BO979" s="8">
        <f t="shared" si="708"/>
        <v>0</v>
      </c>
      <c r="BQ979" s="8">
        <f t="shared" si="709"/>
        <v>0</v>
      </c>
      <c r="BR979" s="63">
        <f t="shared" si="710"/>
        <v>0</v>
      </c>
      <c r="BS979" s="63">
        <f t="shared" si="737"/>
        <v>0</v>
      </c>
      <c r="BT979" s="63">
        <f t="shared" si="711"/>
        <v>0</v>
      </c>
      <c r="BU979" s="63">
        <f t="shared" si="712"/>
        <v>0</v>
      </c>
      <c r="BV979" s="57">
        <f t="shared" si="713"/>
        <v>0</v>
      </c>
      <c r="BW979" s="57">
        <f t="shared" si="714"/>
        <v>0</v>
      </c>
      <c r="BX979" s="57">
        <f t="shared" si="738"/>
        <v>0</v>
      </c>
      <c r="BY979" s="57">
        <f t="shared" si="696"/>
        <v>0</v>
      </c>
      <c r="BZ979" s="8">
        <f t="shared" si="715"/>
        <v>0</v>
      </c>
      <c r="CA979" s="8">
        <f t="shared" si="716"/>
        <v>0</v>
      </c>
      <c r="CB979" s="8">
        <f t="shared" si="717"/>
        <v>0</v>
      </c>
      <c r="CC979" s="8">
        <f t="shared" si="718"/>
        <v>0</v>
      </c>
      <c r="CD979" s="8">
        <f t="shared" si="719"/>
        <v>0</v>
      </c>
      <c r="CE979" s="8">
        <f t="shared" si="720"/>
        <v>0</v>
      </c>
      <c r="CF979" s="8">
        <f t="shared" si="721"/>
        <v>0</v>
      </c>
      <c r="CG979" s="8">
        <f t="shared" si="722"/>
        <v>0</v>
      </c>
      <c r="CH979" s="8">
        <f t="shared" si="723"/>
        <v>0</v>
      </c>
      <c r="CI979" s="8">
        <f t="shared" si="724"/>
        <v>0</v>
      </c>
      <c r="CJ979" s="8">
        <f t="shared" si="725"/>
        <v>0</v>
      </c>
      <c r="CK979" s="8">
        <f t="shared" si="726"/>
        <v>0</v>
      </c>
      <c r="CL979" s="8">
        <f t="shared" si="727"/>
        <v>0</v>
      </c>
      <c r="CM979" s="8">
        <f t="shared" si="728"/>
        <v>0</v>
      </c>
      <c r="CN979" s="8">
        <f t="shared" si="729"/>
        <v>0</v>
      </c>
      <c r="CO979" s="8">
        <f t="shared" si="730"/>
        <v>0</v>
      </c>
      <c r="CP979" s="8">
        <f t="shared" si="731"/>
        <v>0</v>
      </c>
      <c r="CQ979" s="8">
        <f t="shared" si="732"/>
        <v>0</v>
      </c>
      <c r="CR979" s="8">
        <f t="shared" si="733"/>
        <v>0</v>
      </c>
      <c r="CS979" s="8">
        <f t="shared" si="734"/>
        <v>0</v>
      </c>
      <c r="CT979" s="8">
        <f t="shared" si="739"/>
        <v>0</v>
      </c>
      <c r="CU979" s="8">
        <f t="shared" si="740"/>
        <v>0</v>
      </c>
      <c r="CV979" s="8">
        <f t="shared" si="741"/>
        <v>0</v>
      </c>
    </row>
    <row r="980" spans="1:100" ht="20.5" thickTop="1" thickBot="1" x14ac:dyDescent="0.5">
      <c r="A980" s="32"/>
      <c r="B980" s="10"/>
      <c r="C980" s="10"/>
      <c r="D980" s="11"/>
      <c r="E980" s="10"/>
      <c r="F980" s="10"/>
      <c r="G980" s="19"/>
      <c r="H980" s="19"/>
      <c r="I980" s="19"/>
      <c r="J980" s="19"/>
      <c r="K980" s="10"/>
      <c r="L980" s="10"/>
      <c r="M980" s="10"/>
      <c r="N980" s="10"/>
      <c r="O980" s="18"/>
      <c r="P980" s="18"/>
      <c r="Q980" s="21"/>
      <c r="R980" s="20"/>
      <c r="S980" s="16">
        <f t="shared" si="697"/>
        <v>0</v>
      </c>
      <c r="T980" s="11"/>
      <c r="AS980" s="31">
        <f t="shared" si="698"/>
        <v>0</v>
      </c>
      <c r="AT980" s="31">
        <f t="shared" si="699"/>
        <v>0</v>
      </c>
      <c r="AU980" s="31">
        <f t="shared" si="700"/>
        <v>0</v>
      </c>
      <c r="AV980" s="31">
        <f t="shared" si="701"/>
        <v>0</v>
      </c>
      <c r="AW980" s="31">
        <f t="shared" si="702"/>
        <v>0</v>
      </c>
      <c r="AX980" s="31">
        <f t="shared" si="703"/>
        <v>0</v>
      </c>
      <c r="AY980" s="31">
        <f t="shared" si="704"/>
        <v>0</v>
      </c>
      <c r="AZ980" s="31">
        <f t="shared" si="705"/>
        <v>0</v>
      </c>
      <c r="BA980" s="31">
        <f t="shared" si="706"/>
        <v>0</v>
      </c>
      <c r="BB980" s="31">
        <f t="shared" si="735"/>
        <v>0</v>
      </c>
      <c r="BM980" s="8">
        <f t="shared" si="736"/>
        <v>0</v>
      </c>
      <c r="BN980" s="8">
        <f t="shared" si="707"/>
        <v>0</v>
      </c>
      <c r="BO980" s="8">
        <f t="shared" si="708"/>
        <v>0</v>
      </c>
      <c r="BQ980" s="8">
        <f t="shared" si="709"/>
        <v>0</v>
      </c>
      <c r="BR980" s="63">
        <f t="shared" si="710"/>
        <v>0</v>
      </c>
      <c r="BS980" s="63">
        <f t="shared" si="737"/>
        <v>0</v>
      </c>
      <c r="BT980" s="63">
        <f t="shared" si="711"/>
        <v>0</v>
      </c>
      <c r="BU980" s="63">
        <f t="shared" si="712"/>
        <v>0</v>
      </c>
      <c r="BV980" s="57">
        <f t="shared" si="713"/>
        <v>0</v>
      </c>
      <c r="BW980" s="57">
        <f t="shared" si="714"/>
        <v>0</v>
      </c>
      <c r="BX980" s="57">
        <f t="shared" si="738"/>
        <v>0</v>
      </c>
      <c r="BY980" s="57">
        <f t="shared" si="696"/>
        <v>0</v>
      </c>
      <c r="BZ980" s="8">
        <f t="shared" si="715"/>
        <v>0</v>
      </c>
      <c r="CA980" s="8">
        <f t="shared" si="716"/>
        <v>0</v>
      </c>
      <c r="CB980" s="8">
        <f t="shared" si="717"/>
        <v>0</v>
      </c>
      <c r="CC980" s="8">
        <f t="shared" si="718"/>
        <v>0</v>
      </c>
      <c r="CD980" s="8">
        <f t="shared" si="719"/>
        <v>0</v>
      </c>
      <c r="CE980" s="8">
        <f t="shared" si="720"/>
        <v>0</v>
      </c>
      <c r="CF980" s="8">
        <f t="shared" si="721"/>
        <v>0</v>
      </c>
      <c r="CG980" s="8">
        <f t="shared" si="722"/>
        <v>0</v>
      </c>
      <c r="CH980" s="8">
        <f t="shared" si="723"/>
        <v>0</v>
      </c>
      <c r="CI980" s="8">
        <f t="shared" si="724"/>
        <v>0</v>
      </c>
      <c r="CJ980" s="8">
        <f t="shared" si="725"/>
        <v>0</v>
      </c>
      <c r="CK980" s="8">
        <f t="shared" si="726"/>
        <v>0</v>
      </c>
      <c r="CL980" s="8">
        <f t="shared" si="727"/>
        <v>0</v>
      </c>
      <c r="CM980" s="8">
        <f t="shared" si="728"/>
        <v>0</v>
      </c>
      <c r="CN980" s="8">
        <f t="shared" si="729"/>
        <v>0</v>
      </c>
      <c r="CO980" s="8">
        <f t="shared" si="730"/>
        <v>0</v>
      </c>
      <c r="CP980" s="8">
        <f t="shared" si="731"/>
        <v>0</v>
      </c>
      <c r="CQ980" s="8">
        <f t="shared" si="732"/>
        <v>0</v>
      </c>
      <c r="CR980" s="8">
        <f t="shared" si="733"/>
        <v>0</v>
      </c>
      <c r="CS980" s="8">
        <f t="shared" si="734"/>
        <v>0</v>
      </c>
      <c r="CT980" s="8">
        <f t="shared" si="739"/>
        <v>0</v>
      </c>
      <c r="CU980" s="8">
        <f t="shared" si="740"/>
        <v>0</v>
      </c>
      <c r="CV980" s="8">
        <f t="shared" si="741"/>
        <v>0</v>
      </c>
    </row>
    <row r="981" spans="1:100" ht="20.5" thickTop="1" thickBot="1" x14ac:dyDescent="0.5">
      <c r="A981" s="32"/>
      <c r="B981" s="10"/>
      <c r="C981" s="10"/>
      <c r="D981" s="11"/>
      <c r="E981" s="10"/>
      <c r="F981" s="10"/>
      <c r="G981" s="19"/>
      <c r="H981" s="19"/>
      <c r="I981" s="19"/>
      <c r="J981" s="19"/>
      <c r="K981" s="10"/>
      <c r="L981" s="10"/>
      <c r="M981" s="10"/>
      <c r="N981" s="10"/>
      <c r="O981" s="18"/>
      <c r="P981" s="18"/>
      <c r="Q981" s="21"/>
      <c r="R981" s="20"/>
      <c r="S981" s="16">
        <f t="shared" si="697"/>
        <v>0</v>
      </c>
      <c r="T981" s="11"/>
      <c r="AS981" s="31">
        <f t="shared" si="698"/>
        <v>0</v>
      </c>
      <c r="AT981" s="31">
        <f t="shared" si="699"/>
        <v>0</v>
      </c>
      <c r="AU981" s="31">
        <f t="shared" si="700"/>
        <v>0</v>
      </c>
      <c r="AV981" s="31">
        <f t="shared" si="701"/>
        <v>0</v>
      </c>
      <c r="AW981" s="31">
        <f t="shared" si="702"/>
        <v>0</v>
      </c>
      <c r="AX981" s="31">
        <f t="shared" si="703"/>
        <v>0</v>
      </c>
      <c r="AY981" s="31">
        <f t="shared" si="704"/>
        <v>0</v>
      </c>
      <c r="AZ981" s="31">
        <f t="shared" si="705"/>
        <v>0</v>
      </c>
      <c r="BA981" s="31">
        <f t="shared" si="706"/>
        <v>0</v>
      </c>
      <c r="BB981" s="31">
        <f t="shared" si="735"/>
        <v>0</v>
      </c>
      <c r="BM981" s="8">
        <f t="shared" si="736"/>
        <v>0</v>
      </c>
      <c r="BN981" s="8">
        <f t="shared" si="707"/>
        <v>0</v>
      </c>
      <c r="BO981" s="8">
        <f t="shared" si="708"/>
        <v>0</v>
      </c>
      <c r="BQ981" s="8">
        <f t="shared" si="709"/>
        <v>0</v>
      </c>
      <c r="BR981" s="63">
        <f t="shared" si="710"/>
        <v>0</v>
      </c>
      <c r="BS981" s="63">
        <f t="shared" si="737"/>
        <v>0</v>
      </c>
      <c r="BT981" s="63">
        <f t="shared" si="711"/>
        <v>0</v>
      </c>
      <c r="BU981" s="63">
        <f t="shared" si="712"/>
        <v>0</v>
      </c>
      <c r="BV981" s="57">
        <f t="shared" si="713"/>
        <v>0</v>
      </c>
      <c r="BW981" s="57">
        <f t="shared" si="714"/>
        <v>0</v>
      </c>
      <c r="BX981" s="57">
        <f t="shared" si="738"/>
        <v>0</v>
      </c>
      <c r="BY981" s="57">
        <f t="shared" si="696"/>
        <v>0</v>
      </c>
      <c r="BZ981" s="8">
        <f t="shared" si="715"/>
        <v>0</v>
      </c>
      <c r="CA981" s="8">
        <f t="shared" si="716"/>
        <v>0</v>
      </c>
      <c r="CB981" s="8">
        <f t="shared" si="717"/>
        <v>0</v>
      </c>
      <c r="CC981" s="8">
        <f t="shared" si="718"/>
        <v>0</v>
      </c>
      <c r="CD981" s="8">
        <f t="shared" si="719"/>
        <v>0</v>
      </c>
      <c r="CE981" s="8">
        <f t="shared" si="720"/>
        <v>0</v>
      </c>
      <c r="CF981" s="8">
        <f t="shared" si="721"/>
        <v>0</v>
      </c>
      <c r="CG981" s="8">
        <f t="shared" si="722"/>
        <v>0</v>
      </c>
      <c r="CH981" s="8">
        <f t="shared" si="723"/>
        <v>0</v>
      </c>
      <c r="CI981" s="8">
        <f t="shared" si="724"/>
        <v>0</v>
      </c>
      <c r="CJ981" s="8">
        <f t="shared" si="725"/>
        <v>0</v>
      </c>
      <c r="CK981" s="8">
        <f t="shared" si="726"/>
        <v>0</v>
      </c>
      <c r="CL981" s="8">
        <f t="shared" si="727"/>
        <v>0</v>
      </c>
      <c r="CM981" s="8">
        <f t="shared" si="728"/>
        <v>0</v>
      </c>
      <c r="CN981" s="8">
        <f t="shared" si="729"/>
        <v>0</v>
      </c>
      <c r="CO981" s="8">
        <f t="shared" si="730"/>
        <v>0</v>
      </c>
      <c r="CP981" s="8">
        <f t="shared" si="731"/>
        <v>0</v>
      </c>
      <c r="CQ981" s="8">
        <f t="shared" si="732"/>
        <v>0</v>
      </c>
      <c r="CR981" s="8">
        <f t="shared" si="733"/>
        <v>0</v>
      </c>
      <c r="CS981" s="8">
        <f t="shared" si="734"/>
        <v>0</v>
      </c>
      <c r="CT981" s="8">
        <f t="shared" si="739"/>
        <v>0</v>
      </c>
      <c r="CU981" s="8">
        <f t="shared" si="740"/>
        <v>0</v>
      </c>
      <c r="CV981" s="8">
        <f t="shared" si="741"/>
        <v>0</v>
      </c>
    </row>
    <row r="982" spans="1:100" ht="20.5" thickTop="1" thickBot="1" x14ac:dyDescent="0.5">
      <c r="A982" s="32"/>
      <c r="B982" s="10"/>
      <c r="C982" s="10"/>
      <c r="D982" s="11"/>
      <c r="E982" s="10"/>
      <c r="F982" s="10"/>
      <c r="G982" s="19"/>
      <c r="H982" s="19"/>
      <c r="I982" s="19"/>
      <c r="J982" s="19"/>
      <c r="K982" s="10"/>
      <c r="L982" s="10"/>
      <c r="M982" s="10"/>
      <c r="N982" s="10"/>
      <c r="O982" s="18"/>
      <c r="P982" s="18"/>
      <c r="Q982" s="21"/>
      <c r="R982" s="20"/>
      <c r="S982" s="16">
        <f t="shared" si="697"/>
        <v>0</v>
      </c>
      <c r="T982" s="11"/>
      <c r="AS982" s="31">
        <f t="shared" si="698"/>
        <v>0</v>
      </c>
      <c r="AT982" s="31">
        <f t="shared" si="699"/>
        <v>0</v>
      </c>
      <c r="AU982" s="31">
        <f t="shared" si="700"/>
        <v>0</v>
      </c>
      <c r="AV982" s="31">
        <f t="shared" si="701"/>
        <v>0</v>
      </c>
      <c r="AW982" s="31">
        <f t="shared" si="702"/>
        <v>0</v>
      </c>
      <c r="AX982" s="31">
        <f t="shared" si="703"/>
        <v>0</v>
      </c>
      <c r="AY982" s="31">
        <f t="shared" si="704"/>
        <v>0</v>
      </c>
      <c r="AZ982" s="31">
        <f t="shared" si="705"/>
        <v>0</v>
      </c>
      <c r="BA982" s="31">
        <f t="shared" si="706"/>
        <v>0</v>
      </c>
      <c r="BB982" s="31">
        <f t="shared" si="735"/>
        <v>0</v>
      </c>
      <c r="BM982" s="8">
        <f t="shared" si="736"/>
        <v>0</v>
      </c>
      <c r="BN982" s="8">
        <f t="shared" si="707"/>
        <v>0</v>
      </c>
      <c r="BO982" s="8">
        <f t="shared" si="708"/>
        <v>0</v>
      </c>
      <c r="BQ982" s="8">
        <f t="shared" si="709"/>
        <v>0</v>
      </c>
      <c r="BR982" s="63">
        <f t="shared" si="710"/>
        <v>0</v>
      </c>
      <c r="BS982" s="63">
        <f t="shared" si="737"/>
        <v>0</v>
      </c>
      <c r="BT982" s="63">
        <f t="shared" si="711"/>
        <v>0</v>
      </c>
      <c r="BU982" s="63">
        <f t="shared" si="712"/>
        <v>0</v>
      </c>
      <c r="BV982" s="57">
        <f t="shared" si="713"/>
        <v>0</v>
      </c>
      <c r="BW982" s="57">
        <f t="shared" si="714"/>
        <v>0</v>
      </c>
      <c r="BX982" s="57">
        <f t="shared" si="738"/>
        <v>0</v>
      </c>
      <c r="BY982" s="57">
        <f t="shared" si="696"/>
        <v>0</v>
      </c>
      <c r="BZ982" s="8">
        <f t="shared" si="715"/>
        <v>0</v>
      </c>
      <c r="CA982" s="8">
        <f t="shared" si="716"/>
        <v>0</v>
      </c>
      <c r="CB982" s="8">
        <f t="shared" si="717"/>
        <v>0</v>
      </c>
      <c r="CC982" s="8">
        <f t="shared" si="718"/>
        <v>0</v>
      </c>
      <c r="CD982" s="8">
        <f t="shared" si="719"/>
        <v>0</v>
      </c>
      <c r="CE982" s="8">
        <f t="shared" si="720"/>
        <v>0</v>
      </c>
      <c r="CF982" s="8">
        <f t="shared" si="721"/>
        <v>0</v>
      </c>
      <c r="CG982" s="8">
        <f t="shared" si="722"/>
        <v>0</v>
      </c>
      <c r="CH982" s="8">
        <f t="shared" si="723"/>
        <v>0</v>
      </c>
      <c r="CI982" s="8">
        <f t="shared" si="724"/>
        <v>0</v>
      </c>
      <c r="CJ982" s="8">
        <f t="shared" si="725"/>
        <v>0</v>
      </c>
      <c r="CK982" s="8">
        <f t="shared" si="726"/>
        <v>0</v>
      </c>
      <c r="CL982" s="8">
        <f t="shared" si="727"/>
        <v>0</v>
      </c>
      <c r="CM982" s="8">
        <f t="shared" si="728"/>
        <v>0</v>
      </c>
      <c r="CN982" s="8">
        <f t="shared" si="729"/>
        <v>0</v>
      </c>
      <c r="CO982" s="8">
        <f t="shared" si="730"/>
        <v>0</v>
      </c>
      <c r="CP982" s="8">
        <f t="shared" si="731"/>
        <v>0</v>
      </c>
      <c r="CQ982" s="8">
        <f t="shared" si="732"/>
        <v>0</v>
      </c>
      <c r="CR982" s="8">
        <f t="shared" si="733"/>
        <v>0</v>
      </c>
      <c r="CS982" s="8">
        <f t="shared" si="734"/>
        <v>0</v>
      </c>
      <c r="CT982" s="8">
        <f t="shared" si="739"/>
        <v>0</v>
      </c>
      <c r="CU982" s="8">
        <f t="shared" si="740"/>
        <v>0</v>
      </c>
      <c r="CV982" s="8">
        <f t="shared" si="741"/>
        <v>0</v>
      </c>
    </row>
    <row r="983" spans="1:100" ht="20.5" thickTop="1" thickBot="1" x14ac:dyDescent="0.5">
      <c r="A983" s="32"/>
      <c r="B983" s="10"/>
      <c r="C983" s="10"/>
      <c r="D983" s="11"/>
      <c r="E983" s="10"/>
      <c r="F983" s="10"/>
      <c r="G983" s="19"/>
      <c r="H983" s="19"/>
      <c r="I983" s="19"/>
      <c r="J983" s="19"/>
      <c r="K983" s="10"/>
      <c r="L983" s="10"/>
      <c r="M983" s="10"/>
      <c r="N983" s="10"/>
      <c r="O983" s="18"/>
      <c r="P983" s="18"/>
      <c r="Q983" s="21"/>
      <c r="R983" s="20"/>
      <c r="S983" s="16">
        <f t="shared" si="697"/>
        <v>0</v>
      </c>
      <c r="T983" s="11"/>
      <c r="AS983" s="31">
        <f t="shared" si="698"/>
        <v>0</v>
      </c>
      <c r="AT983" s="31">
        <f t="shared" si="699"/>
        <v>0</v>
      </c>
      <c r="AU983" s="31">
        <f t="shared" si="700"/>
        <v>0</v>
      </c>
      <c r="AV983" s="31">
        <f t="shared" si="701"/>
        <v>0</v>
      </c>
      <c r="AW983" s="31">
        <f t="shared" si="702"/>
        <v>0</v>
      </c>
      <c r="AX983" s="31">
        <f t="shared" si="703"/>
        <v>0</v>
      </c>
      <c r="AY983" s="31">
        <f t="shared" si="704"/>
        <v>0</v>
      </c>
      <c r="AZ983" s="31">
        <f t="shared" si="705"/>
        <v>0</v>
      </c>
      <c r="BA983" s="31">
        <f t="shared" si="706"/>
        <v>0</v>
      </c>
      <c r="BB983" s="31">
        <f t="shared" si="735"/>
        <v>0</v>
      </c>
      <c r="BM983" s="8">
        <f t="shared" si="736"/>
        <v>0</v>
      </c>
      <c r="BN983" s="8">
        <f t="shared" si="707"/>
        <v>0</v>
      </c>
      <c r="BO983" s="8">
        <f t="shared" si="708"/>
        <v>0</v>
      </c>
      <c r="BQ983" s="8">
        <f t="shared" si="709"/>
        <v>0</v>
      </c>
      <c r="BR983" s="63">
        <f t="shared" si="710"/>
        <v>0</v>
      </c>
      <c r="BS983" s="63">
        <f t="shared" si="737"/>
        <v>0</v>
      </c>
      <c r="BT983" s="63">
        <f t="shared" si="711"/>
        <v>0</v>
      </c>
      <c r="BU983" s="63">
        <f t="shared" si="712"/>
        <v>0</v>
      </c>
      <c r="BV983" s="57">
        <f t="shared" si="713"/>
        <v>0</v>
      </c>
      <c r="BW983" s="57">
        <f t="shared" si="714"/>
        <v>0</v>
      </c>
      <c r="BX983" s="57">
        <f t="shared" si="738"/>
        <v>0</v>
      </c>
      <c r="BY983" s="57">
        <f t="shared" si="696"/>
        <v>0</v>
      </c>
      <c r="BZ983" s="8">
        <f t="shared" si="715"/>
        <v>0</v>
      </c>
      <c r="CA983" s="8">
        <f t="shared" si="716"/>
        <v>0</v>
      </c>
      <c r="CB983" s="8">
        <f t="shared" si="717"/>
        <v>0</v>
      </c>
      <c r="CC983" s="8">
        <f t="shared" si="718"/>
        <v>0</v>
      </c>
      <c r="CD983" s="8">
        <f t="shared" si="719"/>
        <v>0</v>
      </c>
      <c r="CE983" s="8">
        <f t="shared" si="720"/>
        <v>0</v>
      </c>
      <c r="CF983" s="8">
        <f t="shared" si="721"/>
        <v>0</v>
      </c>
      <c r="CG983" s="8">
        <f t="shared" si="722"/>
        <v>0</v>
      </c>
      <c r="CH983" s="8">
        <f t="shared" si="723"/>
        <v>0</v>
      </c>
      <c r="CI983" s="8">
        <f t="shared" si="724"/>
        <v>0</v>
      </c>
      <c r="CJ983" s="8">
        <f t="shared" si="725"/>
        <v>0</v>
      </c>
      <c r="CK983" s="8">
        <f t="shared" si="726"/>
        <v>0</v>
      </c>
      <c r="CL983" s="8">
        <f t="shared" si="727"/>
        <v>0</v>
      </c>
      <c r="CM983" s="8">
        <f t="shared" si="728"/>
        <v>0</v>
      </c>
      <c r="CN983" s="8">
        <f t="shared" si="729"/>
        <v>0</v>
      </c>
      <c r="CO983" s="8">
        <f t="shared" si="730"/>
        <v>0</v>
      </c>
      <c r="CP983" s="8">
        <f t="shared" si="731"/>
        <v>0</v>
      </c>
      <c r="CQ983" s="8">
        <f t="shared" si="732"/>
        <v>0</v>
      </c>
      <c r="CR983" s="8">
        <f t="shared" si="733"/>
        <v>0</v>
      </c>
      <c r="CS983" s="8">
        <f t="shared" si="734"/>
        <v>0</v>
      </c>
      <c r="CT983" s="8">
        <f t="shared" si="739"/>
        <v>0</v>
      </c>
      <c r="CU983" s="8">
        <f t="shared" si="740"/>
        <v>0</v>
      </c>
      <c r="CV983" s="8">
        <f t="shared" si="741"/>
        <v>0</v>
      </c>
    </row>
    <row r="984" spans="1:100" ht="20.5" thickTop="1" thickBot="1" x14ac:dyDescent="0.5">
      <c r="A984" s="32"/>
      <c r="B984" s="10"/>
      <c r="C984" s="10"/>
      <c r="D984" s="11"/>
      <c r="E984" s="10"/>
      <c r="F984" s="10"/>
      <c r="G984" s="19"/>
      <c r="H984" s="19"/>
      <c r="I984" s="19"/>
      <c r="J984" s="19"/>
      <c r="K984" s="10"/>
      <c r="L984" s="10"/>
      <c r="M984" s="10"/>
      <c r="N984" s="10"/>
      <c r="O984" s="18"/>
      <c r="P984" s="18"/>
      <c r="Q984" s="21"/>
      <c r="R984" s="20"/>
      <c r="S984" s="16">
        <f t="shared" si="697"/>
        <v>0</v>
      </c>
      <c r="T984" s="11"/>
      <c r="AS984" s="31">
        <f t="shared" si="698"/>
        <v>0</v>
      </c>
      <c r="AT984" s="31">
        <f t="shared" si="699"/>
        <v>0</v>
      </c>
      <c r="AU984" s="31">
        <f t="shared" si="700"/>
        <v>0</v>
      </c>
      <c r="AV984" s="31">
        <f t="shared" si="701"/>
        <v>0</v>
      </c>
      <c r="AW984" s="31">
        <f t="shared" si="702"/>
        <v>0</v>
      </c>
      <c r="AX984" s="31">
        <f t="shared" si="703"/>
        <v>0</v>
      </c>
      <c r="AY984" s="31">
        <f t="shared" si="704"/>
        <v>0</v>
      </c>
      <c r="AZ984" s="31">
        <f t="shared" si="705"/>
        <v>0</v>
      </c>
      <c r="BA984" s="31">
        <f t="shared" si="706"/>
        <v>0</v>
      </c>
      <c r="BB984" s="31">
        <f t="shared" si="735"/>
        <v>0</v>
      </c>
      <c r="BM984" s="8">
        <f t="shared" si="736"/>
        <v>0</v>
      </c>
      <c r="BN984" s="8">
        <f t="shared" si="707"/>
        <v>0</v>
      </c>
      <c r="BO984" s="8">
        <f t="shared" si="708"/>
        <v>0</v>
      </c>
      <c r="BQ984" s="8">
        <f t="shared" si="709"/>
        <v>0</v>
      </c>
      <c r="BR984" s="63">
        <f t="shared" si="710"/>
        <v>0</v>
      </c>
      <c r="BS984" s="63">
        <f t="shared" si="737"/>
        <v>0</v>
      </c>
      <c r="BT984" s="63">
        <f t="shared" si="711"/>
        <v>0</v>
      </c>
      <c r="BU984" s="63">
        <f t="shared" si="712"/>
        <v>0</v>
      </c>
      <c r="BV984" s="57">
        <f t="shared" si="713"/>
        <v>0</v>
      </c>
      <c r="BW984" s="57">
        <f t="shared" si="714"/>
        <v>0</v>
      </c>
      <c r="BX984" s="57">
        <f t="shared" si="738"/>
        <v>0</v>
      </c>
      <c r="BY984" s="57">
        <f t="shared" si="696"/>
        <v>0</v>
      </c>
      <c r="BZ984" s="8">
        <f t="shared" si="715"/>
        <v>0</v>
      </c>
      <c r="CA984" s="8">
        <f t="shared" si="716"/>
        <v>0</v>
      </c>
      <c r="CB984" s="8">
        <f t="shared" si="717"/>
        <v>0</v>
      </c>
      <c r="CC984" s="8">
        <f t="shared" si="718"/>
        <v>0</v>
      </c>
      <c r="CD984" s="8">
        <f t="shared" si="719"/>
        <v>0</v>
      </c>
      <c r="CE984" s="8">
        <f t="shared" si="720"/>
        <v>0</v>
      </c>
      <c r="CF984" s="8">
        <f t="shared" si="721"/>
        <v>0</v>
      </c>
      <c r="CG984" s="8">
        <f t="shared" si="722"/>
        <v>0</v>
      </c>
      <c r="CH984" s="8">
        <f t="shared" si="723"/>
        <v>0</v>
      </c>
      <c r="CI984" s="8">
        <f t="shared" si="724"/>
        <v>0</v>
      </c>
      <c r="CJ984" s="8">
        <f t="shared" si="725"/>
        <v>0</v>
      </c>
      <c r="CK984" s="8">
        <f t="shared" si="726"/>
        <v>0</v>
      </c>
      <c r="CL984" s="8">
        <f t="shared" si="727"/>
        <v>0</v>
      </c>
      <c r="CM984" s="8">
        <f t="shared" si="728"/>
        <v>0</v>
      </c>
      <c r="CN984" s="8">
        <f t="shared" si="729"/>
        <v>0</v>
      </c>
      <c r="CO984" s="8">
        <f t="shared" si="730"/>
        <v>0</v>
      </c>
      <c r="CP984" s="8">
        <f t="shared" si="731"/>
        <v>0</v>
      </c>
      <c r="CQ984" s="8">
        <f t="shared" si="732"/>
        <v>0</v>
      </c>
      <c r="CR984" s="8">
        <f t="shared" si="733"/>
        <v>0</v>
      </c>
      <c r="CS984" s="8">
        <f t="shared" si="734"/>
        <v>0</v>
      </c>
      <c r="CT984" s="8">
        <f t="shared" si="739"/>
        <v>0</v>
      </c>
      <c r="CU984" s="8">
        <f t="shared" si="740"/>
        <v>0</v>
      </c>
      <c r="CV984" s="8">
        <f t="shared" si="741"/>
        <v>0</v>
      </c>
    </row>
    <row r="985" spans="1:100" ht="20.5" thickTop="1" thickBot="1" x14ac:dyDescent="0.5">
      <c r="A985" s="32"/>
      <c r="B985" s="10"/>
      <c r="C985" s="10"/>
      <c r="D985" s="11"/>
      <c r="E985" s="10"/>
      <c r="F985" s="10"/>
      <c r="G985" s="19"/>
      <c r="H985" s="19"/>
      <c r="I985" s="19"/>
      <c r="J985" s="19"/>
      <c r="K985" s="10"/>
      <c r="L985" s="10"/>
      <c r="M985" s="10"/>
      <c r="N985" s="10"/>
      <c r="O985" s="18"/>
      <c r="P985" s="18"/>
      <c r="Q985" s="21"/>
      <c r="R985" s="20"/>
      <c r="S985" s="16">
        <f t="shared" si="697"/>
        <v>0</v>
      </c>
      <c r="T985" s="11"/>
      <c r="AS985" s="31">
        <f t="shared" si="698"/>
        <v>0</v>
      </c>
      <c r="AT985" s="31">
        <f t="shared" si="699"/>
        <v>0</v>
      </c>
      <c r="AU985" s="31">
        <f t="shared" si="700"/>
        <v>0</v>
      </c>
      <c r="AV985" s="31">
        <f t="shared" si="701"/>
        <v>0</v>
      </c>
      <c r="AW985" s="31">
        <f t="shared" si="702"/>
        <v>0</v>
      </c>
      <c r="AX985" s="31">
        <f t="shared" si="703"/>
        <v>0</v>
      </c>
      <c r="AY985" s="31">
        <f t="shared" si="704"/>
        <v>0</v>
      </c>
      <c r="AZ985" s="31">
        <f t="shared" si="705"/>
        <v>0</v>
      </c>
      <c r="BA985" s="31">
        <f t="shared" si="706"/>
        <v>0</v>
      </c>
      <c r="BB985" s="31">
        <f t="shared" si="735"/>
        <v>0</v>
      </c>
      <c r="BM985" s="8">
        <f t="shared" si="736"/>
        <v>0</v>
      </c>
      <c r="BN985" s="8">
        <f t="shared" si="707"/>
        <v>0</v>
      </c>
      <c r="BO985" s="8">
        <f t="shared" si="708"/>
        <v>0</v>
      </c>
      <c r="BQ985" s="8">
        <f t="shared" si="709"/>
        <v>0</v>
      </c>
      <c r="BR985" s="63">
        <f t="shared" si="710"/>
        <v>0</v>
      </c>
      <c r="BS985" s="63">
        <f t="shared" si="737"/>
        <v>0</v>
      </c>
      <c r="BT985" s="63">
        <f t="shared" si="711"/>
        <v>0</v>
      </c>
      <c r="BU985" s="63">
        <f t="shared" si="712"/>
        <v>0</v>
      </c>
      <c r="BV985" s="57">
        <f t="shared" si="713"/>
        <v>0</v>
      </c>
      <c r="BW985" s="57">
        <f t="shared" si="714"/>
        <v>0</v>
      </c>
      <c r="BX985" s="57">
        <f t="shared" si="738"/>
        <v>0</v>
      </c>
      <c r="BY985" s="57">
        <f t="shared" si="696"/>
        <v>0</v>
      </c>
      <c r="BZ985" s="8">
        <f t="shared" si="715"/>
        <v>0</v>
      </c>
      <c r="CA985" s="8">
        <f t="shared" si="716"/>
        <v>0</v>
      </c>
      <c r="CB985" s="8">
        <f t="shared" si="717"/>
        <v>0</v>
      </c>
      <c r="CC985" s="8">
        <f t="shared" si="718"/>
        <v>0</v>
      </c>
      <c r="CD985" s="8">
        <f t="shared" si="719"/>
        <v>0</v>
      </c>
      <c r="CE985" s="8">
        <f t="shared" si="720"/>
        <v>0</v>
      </c>
      <c r="CF985" s="8">
        <f t="shared" si="721"/>
        <v>0</v>
      </c>
      <c r="CG985" s="8">
        <f t="shared" si="722"/>
        <v>0</v>
      </c>
      <c r="CH985" s="8">
        <f t="shared" si="723"/>
        <v>0</v>
      </c>
      <c r="CI985" s="8">
        <f t="shared" si="724"/>
        <v>0</v>
      </c>
      <c r="CJ985" s="8">
        <f t="shared" si="725"/>
        <v>0</v>
      </c>
      <c r="CK985" s="8">
        <f t="shared" si="726"/>
        <v>0</v>
      </c>
      <c r="CL985" s="8">
        <f t="shared" si="727"/>
        <v>0</v>
      </c>
      <c r="CM985" s="8">
        <f t="shared" si="728"/>
        <v>0</v>
      </c>
      <c r="CN985" s="8">
        <f t="shared" si="729"/>
        <v>0</v>
      </c>
      <c r="CO985" s="8">
        <f t="shared" si="730"/>
        <v>0</v>
      </c>
      <c r="CP985" s="8">
        <f t="shared" si="731"/>
        <v>0</v>
      </c>
      <c r="CQ985" s="8">
        <f t="shared" si="732"/>
        <v>0</v>
      </c>
      <c r="CR985" s="8">
        <f t="shared" si="733"/>
        <v>0</v>
      </c>
      <c r="CS985" s="8">
        <f t="shared" si="734"/>
        <v>0</v>
      </c>
      <c r="CT985" s="8">
        <f t="shared" si="739"/>
        <v>0</v>
      </c>
      <c r="CU985" s="8">
        <f t="shared" si="740"/>
        <v>0</v>
      </c>
      <c r="CV985" s="8">
        <f t="shared" si="741"/>
        <v>0</v>
      </c>
    </row>
    <row r="986" spans="1:100" ht="20.5" thickTop="1" thickBot="1" x14ac:dyDescent="0.5">
      <c r="A986" s="32"/>
      <c r="B986" s="10"/>
      <c r="C986" s="10"/>
      <c r="D986" s="11"/>
      <c r="E986" s="10"/>
      <c r="F986" s="10"/>
      <c r="G986" s="19"/>
      <c r="H986" s="19"/>
      <c r="I986" s="19"/>
      <c r="J986" s="19"/>
      <c r="K986" s="10"/>
      <c r="L986" s="10"/>
      <c r="M986" s="10"/>
      <c r="N986" s="10"/>
      <c r="O986" s="18"/>
      <c r="P986" s="18"/>
      <c r="Q986" s="21"/>
      <c r="R986" s="20"/>
      <c r="S986" s="16">
        <f t="shared" si="697"/>
        <v>0</v>
      </c>
      <c r="T986" s="11"/>
      <c r="AS986" s="31">
        <f t="shared" si="698"/>
        <v>0</v>
      </c>
      <c r="AT986" s="31">
        <f t="shared" si="699"/>
        <v>0</v>
      </c>
      <c r="AU986" s="31">
        <f t="shared" si="700"/>
        <v>0</v>
      </c>
      <c r="AV986" s="31">
        <f t="shared" si="701"/>
        <v>0</v>
      </c>
      <c r="AW986" s="31">
        <f t="shared" si="702"/>
        <v>0</v>
      </c>
      <c r="AX986" s="31">
        <f t="shared" si="703"/>
        <v>0</v>
      </c>
      <c r="AY986" s="31">
        <f t="shared" si="704"/>
        <v>0</v>
      </c>
      <c r="AZ986" s="31">
        <f t="shared" si="705"/>
        <v>0</v>
      </c>
      <c r="BA986" s="31">
        <f t="shared" si="706"/>
        <v>0</v>
      </c>
      <c r="BB986" s="31">
        <f t="shared" si="735"/>
        <v>0</v>
      </c>
      <c r="BM986" s="8">
        <f t="shared" si="736"/>
        <v>0</v>
      </c>
      <c r="BN986" s="8">
        <f t="shared" si="707"/>
        <v>0</v>
      </c>
      <c r="BO986" s="8">
        <f t="shared" si="708"/>
        <v>0</v>
      </c>
      <c r="BQ986" s="8">
        <f t="shared" si="709"/>
        <v>0</v>
      </c>
      <c r="BR986" s="63">
        <f t="shared" si="710"/>
        <v>0</v>
      </c>
      <c r="BS986" s="63">
        <f t="shared" si="737"/>
        <v>0</v>
      </c>
      <c r="BT986" s="63">
        <f t="shared" si="711"/>
        <v>0</v>
      </c>
      <c r="BU986" s="63">
        <f t="shared" si="712"/>
        <v>0</v>
      </c>
      <c r="BV986" s="57">
        <f t="shared" si="713"/>
        <v>0</v>
      </c>
      <c r="BW986" s="57">
        <f t="shared" si="714"/>
        <v>0</v>
      </c>
      <c r="BX986" s="57">
        <f t="shared" si="738"/>
        <v>0</v>
      </c>
      <c r="BY986" s="57">
        <f t="shared" si="696"/>
        <v>0</v>
      </c>
      <c r="BZ986" s="8">
        <f t="shared" si="715"/>
        <v>0</v>
      </c>
      <c r="CA986" s="8">
        <f t="shared" si="716"/>
        <v>0</v>
      </c>
      <c r="CB986" s="8">
        <f t="shared" si="717"/>
        <v>0</v>
      </c>
      <c r="CC986" s="8">
        <f t="shared" si="718"/>
        <v>0</v>
      </c>
      <c r="CD986" s="8">
        <f t="shared" si="719"/>
        <v>0</v>
      </c>
      <c r="CE986" s="8">
        <f t="shared" si="720"/>
        <v>0</v>
      </c>
      <c r="CF986" s="8">
        <f t="shared" si="721"/>
        <v>0</v>
      </c>
      <c r="CG986" s="8">
        <f t="shared" si="722"/>
        <v>0</v>
      </c>
      <c r="CH986" s="8">
        <f t="shared" si="723"/>
        <v>0</v>
      </c>
      <c r="CI986" s="8">
        <f t="shared" si="724"/>
        <v>0</v>
      </c>
      <c r="CJ986" s="8">
        <f t="shared" si="725"/>
        <v>0</v>
      </c>
      <c r="CK986" s="8">
        <f t="shared" si="726"/>
        <v>0</v>
      </c>
      <c r="CL986" s="8">
        <f t="shared" si="727"/>
        <v>0</v>
      </c>
      <c r="CM986" s="8">
        <f t="shared" si="728"/>
        <v>0</v>
      </c>
      <c r="CN986" s="8">
        <f t="shared" si="729"/>
        <v>0</v>
      </c>
      <c r="CO986" s="8">
        <f t="shared" si="730"/>
        <v>0</v>
      </c>
      <c r="CP986" s="8">
        <f t="shared" si="731"/>
        <v>0</v>
      </c>
      <c r="CQ986" s="8">
        <f t="shared" si="732"/>
        <v>0</v>
      </c>
      <c r="CR986" s="8">
        <f t="shared" si="733"/>
        <v>0</v>
      </c>
      <c r="CS986" s="8">
        <f t="shared" si="734"/>
        <v>0</v>
      </c>
      <c r="CT986" s="8">
        <f t="shared" si="739"/>
        <v>0</v>
      </c>
      <c r="CU986" s="8">
        <f t="shared" si="740"/>
        <v>0</v>
      </c>
      <c r="CV986" s="8">
        <f t="shared" si="741"/>
        <v>0</v>
      </c>
    </row>
    <row r="987" spans="1:100" ht="20.5" thickTop="1" thickBot="1" x14ac:dyDescent="0.5">
      <c r="A987" s="32"/>
      <c r="B987" s="10"/>
      <c r="C987" s="10"/>
      <c r="D987" s="11"/>
      <c r="E987" s="10"/>
      <c r="F987" s="10"/>
      <c r="G987" s="19"/>
      <c r="H987" s="19"/>
      <c r="I987" s="19"/>
      <c r="J987" s="19"/>
      <c r="K987" s="10"/>
      <c r="L987" s="10"/>
      <c r="M987" s="10"/>
      <c r="N987" s="10"/>
      <c r="O987" s="18"/>
      <c r="P987" s="18"/>
      <c r="Q987" s="21"/>
      <c r="R987" s="20"/>
      <c r="S987" s="16">
        <f t="shared" si="697"/>
        <v>0</v>
      </c>
      <c r="T987" s="11"/>
      <c r="AS987" s="31">
        <f t="shared" si="698"/>
        <v>0</v>
      </c>
      <c r="AT987" s="31">
        <f t="shared" si="699"/>
        <v>0</v>
      </c>
      <c r="AU987" s="31">
        <f t="shared" si="700"/>
        <v>0</v>
      </c>
      <c r="AV987" s="31">
        <f t="shared" si="701"/>
        <v>0</v>
      </c>
      <c r="AW987" s="31">
        <f t="shared" si="702"/>
        <v>0</v>
      </c>
      <c r="AX987" s="31">
        <f t="shared" si="703"/>
        <v>0</v>
      </c>
      <c r="AY987" s="31">
        <f t="shared" si="704"/>
        <v>0</v>
      </c>
      <c r="AZ987" s="31">
        <f t="shared" si="705"/>
        <v>0</v>
      </c>
      <c r="BA987" s="31">
        <f t="shared" si="706"/>
        <v>0</v>
      </c>
      <c r="BB987" s="31">
        <f t="shared" si="735"/>
        <v>0</v>
      </c>
      <c r="BM987" s="8">
        <f t="shared" si="736"/>
        <v>0</v>
      </c>
      <c r="BN987" s="8">
        <f t="shared" si="707"/>
        <v>0</v>
      </c>
      <c r="BO987" s="8">
        <f t="shared" si="708"/>
        <v>0</v>
      </c>
      <c r="BQ987" s="8">
        <f t="shared" si="709"/>
        <v>0</v>
      </c>
      <c r="BR987" s="63">
        <f t="shared" si="710"/>
        <v>0</v>
      </c>
      <c r="BS987" s="63">
        <f t="shared" si="737"/>
        <v>0</v>
      </c>
      <c r="BT987" s="63">
        <f t="shared" si="711"/>
        <v>0</v>
      </c>
      <c r="BU987" s="63">
        <f t="shared" si="712"/>
        <v>0</v>
      </c>
      <c r="BV987" s="57">
        <f t="shared" si="713"/>
        <v>0</v>
      </c>
      <c r="BW987" s="57">
        <f t="shared" si="714"/>
        <v>0</v>
      </c>
      <c r="BX987" s="57">
        <f t="shared" si="738"/>
        <v>0</v>
      </c>
      <c r="BY987" s="57">
        <f t="shared" si="696"/>
        <v>0</v>
      </c>
      <c r="BZ987" s="8">
        <f t="shared" si="715"/>
        <v>0</v>
      </c>
      <c r="CA987" s="8">
        <f t="shared" si="716"/>
        <v>0</v>
      </c>
      <c r="CB987" s="8">
        <f t="shared" si="717"/>
        <v>0</v>
      </c>
      <c r="CC987" s="8">
        <f t="shared" si="718"/>
        <v>0</v>
      </c>
      <c r="CD987" s="8">
        <f t="shared" si="719"/>
        <v>0</v>
      </c>
      <c r="CE987" s="8">
        <f t="shared" si="720"/>
        <v>0</v>
      </c>
      <c r="CF987" s="8">
        <f t="shared" si="721"/>
        <v>0</v>
      </c>
      <c r="CG987" s="8">
        <f t="shared" si="722"/>
        <v>0</v>
      </c>
      <c r="CH987" s="8">
        <f t="shared" si="723"/>
        <v>0</v>
      </c>
      <c r="CI987" s="8">
        <f t="shared" si="724"/>
        <v>0</v>
      </c>
      <c r="CJ987" s="8">
        <f t="shared" si="725"/>
        <v>0</v>
      </c>
      <c r="CK987" s="8">
        <f t="shared" si="726"/>
        <v>0</v>
      </c>
      <c r="CL987" s="8">
        <f t="shared" si="727"/>
        <v>0</v>
      </c>
      <c r="CM987" s="8">
        <f t="shared" si="728"/>
        <v>0</v>
      </c>
      <c r="CN987" s="8">
        <f t="shared" si="729"/>
        <v>0</v>
      </c>
      <c r="CO987" s="8">
        <f t="shared" si="730"/>
        <v>0</v>
      </c>
      <c r="CP987" s="8">
        <f t="shared" si="731"/>
        <v>0</v>
      </c>
      <c r="CQ987" s="8">
        <f t="shared" si="732"/>
        <v>0</v>
      </c>
      <c r="CR987" s="8">
        <f t="shared" si="733"/>
        <v>0</v>
      </c>
      <c r="CS987" s="8">
        <f t="shared" si="734"/>
        <v>0</v>
      </c>
      <c r="CT987" s="8">
        <f t="shared" si="739"/>
        <v>0</v>
      </c>
      <c r="CU987" s="8">
        <f t="shared" si="740"/>
        <v>0</v>
      </c>
      <c r="CV987" s="8">
        <f t="shared" si="741"/>
        <v>0</v>
      </c>
    </row>
    <row r="988" spans="1:100" ht="20.5" thickTop="1" thickBot="1" x14ac:dyDescent="0.5">
      <c r="A988" s="32"/>
      <c r="B988" s="10"/>
      <c r="C988" s="10"/>
      <c r="D988" s="11"/>
      <c r="E988" s="10"/>
      <c r="F988" s="10"/>
      <c r="G988" s="19"/>
      <c r="H988" s="19"/>
      <c r="I988" s="19"/>
      <c r="J988" s="19"/>
      <c r="K988" s="10"/>
      <c r="L988" s="10"/>
      <c r="M988" s="10"/>
      <c r="N988" s="10"/>
      <c r="O988" s="18"/>
      <c r="P988" s="18"/>
      <c r="Q988" s="21"/>
      <c r="R988" s="20"/>
      <c r="S988" s="16">
        <f t="shared" si="697"/>
        <v>0</v>
      </c>
      <c r="T988" s="11"/>
      <c r="AS988" s="31">
        <f t="shared" si="698"/>
        <v>0</v>
      </c>
      <c r="AT988" s="31">
        <f t="shared" si="699"/>
        <v>0</v>
      </c>
      <c r="AU988" s="31">
        <f t="shared" si="700"/>
        <v>0</v>
      </c>
      <c r="AV988" s="31">
        <f t="shared" si="701"/>
        <v>0</v>
      </c>
      <c r="AW988" s="31">
        <f t="shared" si="702"/>
        <v>0</v>
      </c>
      <c r="AX988" s="31">
        <f t="shared" si="703"/>
        <v>0</v>
      </c>
      <c r="AY988" s="31">
        <f t="shared" si="704"/>
        <v>0</v>
      </c>
      <c r="AZ988" s="31">
        <f t="shared" si="705"/>
        <v>0</v>
      </c>
      <c r="BA988" s="31">
        <f t="shared" si="706"/>
        <v>0</v>
      </c>
      <c r="BB988" s="31">
        <f t="shared" si="735"/>
        <v>0</v>
      </c>
      <c r="BM988" s="8">
        <f t="shared" si="736"/>
        <v>0</v>
      </c>
      <c r="BN988" s="8">
        <f t="shared" si="707"/>
        <v>0</v>
      </c>
      <c r="BO988" s="8">
        <f t="shared" si="708"/>
        <v>0</v>
      </c>
      <c r="BQ988" s="8">
        <f t="shared" si="709"/>
        <v>0</v>
      </c>
      <c r="BR988" s="63">
        <f t="shared" si="710"/>
        <v>0</v>
      </c>
      <c r="BS988" s="63">
        <f t="shared" si="737"/>
        <v>0</v>
      </c>
      <c r="BT988" s="63">
        <f t="shared" si="711"/>
        <v>0</v>
      </c>
      <c r="BU988" s="63">
        <f t="shared" si="712"/>
        <v>0</v>
      </c>
      <c r="BV988" s="57">
        <f t="shared" si="713"/>
        <v>0</v>
      </c>
      <c r="BW988" s="57">
        <f t="shared" si="714"/>
        <v>0</v>
      </c>
      <c r="BX988" s="57">
        <f t="shared" si="738"/>
        <v>0</v>
      </c>
      <c r="BY988" s="57">
        <f t="shared" si="696"/>
        <v>0</v>
      </c>
      <c r="BZ988" s="8">
        <f t="shared" si="715"/>
        <v>0</v>
      </c>
      <c r="CA988" s="8">
        <f t="shared" si="716"/>
        <v>0</v>
      </c>
      <c r="CB988" s="8">
        <f t="shared" si="717"/>
        <v>0</v>
      </c>
      <c r="CC988" s="8">
        <f t="shared" si="718"/>
        <v>0</v>
      </c>
      <c r="CD988" s="8">
        <f t="shared" si="719"/>
        <v>0</v>
      </c>
      <c r="CE988" s="8">
        <f t="shared" si="720"/>
        <v>0</v>
      </c>
      <c r="CF988" s="8">
        <f t="shared" si="721"/>
        <v>0</v>
      </c>
      <c r="CG988" s="8">
        <f t="shared" si="722"/>
        <v>0</v>
      </c>
      <c r="CH988" s="8">
        <f t="shared" si="723"/>
        <v>0</v>
      </c>
      <c r="CI988" s="8">
        <f t="shared" si="724"/>
        <v>0</v>
      </c>
      <c r="CJ988" s="8">
        <f t="shared" si="725"/>
        <v>0</v>
      </c>
      <c r="CK988" s="8">
        <f t="shared" si="726"/>
        <v>0</v>
      </c>
      <c r="CL988" s="8">
        <f t="shared" si="727"/>
        <v>0</v>
      </c>
      <c r="CM988" s="8">
        <f t="shared" si="728"/>
        <v>0</v>
      </c>
      <c r="CN988" s="8">
        <f t="shared" si="729"/>
        <v>0</v>
      </c>
      <c r="CO988" s="8">
        <f t="shared" si="730"/>
        <v>0</v>
      </c>
      <c r="CP988" s="8">
        <f t="shared" si="731"/>
        <v>0</v>
      </c>
      <c r="CQ988" s="8">
        <f t="shared" si="732"/>
        <v>0</v>
      </c>
      <c r="CR988" s="8">
        <f t="shared" si="733"/>
        <v>0</v>
      </c>
      <c r="CS988" s="8">
        <f t="shared" si="734"/>
        <v>0</v>
      </c>
      <c r="CT988" s="8">
        <f t="shared" si="739"/>
        <v>0</v>
      </c>
      <c r="CU988" s="8">
        <f t="shared" si="740"/>
        <v>0</v>
      </c>
      <c r="CV988" s="8">
        <f t="shared" si="741"/>
        <v>0</v>
      </c>
    </row>
    <row r="989" spans="1:100" ht="20.5" thickTop="1" thickBot="1" x14ac:dyDescent="0.5">
      <c r="A989" s="32"/>
      <c r="B989" s="10"/>
      <c r="C989" s="10"/>
      <c r="D989" s="11"/>
      <c r="E989" s="10"/>
      <c r="F989" s="10"/>
      <c r="G989" s="19"/>
      <c r="H989" s="19"/>
      <c r="I989" s="19"/>
      <c r="J989" s="19"/>
      <c r="K989" s="10"/>
      <c r="L989" s="10"/>
      <c r="M989" s="10"/>
      <c r="N989" s="10"/>
      <c r="O989" s="18"/>
      <c r="P989" s="18"/>
      <c r="Q989" s="21"/>
      <c r="R989" s="20"/>
      <c r="S989" s="16">
        <f t="shared" si="697"/>
        <v>0</v>
      </c>
      <c r="T989" s="11"/>
      <c r="AS989" s="31">
        <f t="shared" si="698"/>
        <v>0</v>
      </c>
      <c r="AT989" s="31">
        <f t="shared" si="699"/>
        <v>0</v>
      </c>
      <c r="AU989" s="31">
        <f t="shared" si="700"/>
        <v>0</v>
      </c>
      <c r="AV989" s="31">
        <f t="shared" si="701"/>
        <v>0</v>
      </c>
      <c r="AW989" s="31">
        <f t="shared" si="702"/>
        <v>0</v>
      </c>
      <c r="AX989" s="31">
        <f t="shared" si="703"/>
        <v>0</v>
      </c>
      <c r="AY989" s="31">
        <f t="shared" si="704"/>
        <v>0</v>
      </c>
      <c r="AZ989" s="31">
        <f t="shared" si="705"/>
        <v>0</v>
      </c>
      <c r="BA989" s="31">
        <f t="shared" si="706"/>
        <v>0</v>
      </c>
      <c r="BB989" s="31">
        <f t="shared" si="735"/>
        <v>0</v>
      </c>
      <c r="BM989" s="8">
        <f t="shared" si="736"/>
        <v>0</v>
      </c>
      <c r="BN989" s="8">
        <f t="shared" si="707"/>
        <v>0</v>
      </c>
      <c r="BO989" s="8">
        <f t="shared" si="708"/>
        <v>0</v>
      </c>
      <c r="BQ989" s="8">
        <f t="shared" si="709"/>
        <v>0</v>
      </c>
      <c r="BR989" s="63">
        <f t="shared" si="710"/>
        <v>0</v>
      </c>
      <c r="BS989" s="63">
        <f t="shared" si="737"/>
        <v>0</v>
      </c>
      <c r="BT989" s="63">
        <f t="shared" si="711"/>
        <v>0</v>
      </c>
      <c r="BU989" s="63">
        <f t="shared" si="712"/>
        <v>0</v>
      </c>
      <c r="BV989" s="57">
        <f t="shared" si="713"/>
        <v>0</v>
      </c>
      <c r="BW989" s="57">
        <f t="shared" si="714"/>
        <v>0</v>
      </c>
      <c r="BX989" s="57">
        <f t="shared" si="738"/>
        <v>0</v>
      </c>
      <c r="BY989" s="57">
        <f t="shared" ref="BY989:BY1052" si="742">IF(AND(OR(N989="YES",N989="HDD",N989="EX PIPES"),K989=""),D989*(F989+G989),0)</f>
        <v>0</v>
      </c>
      <c r="BZ989" s="8">
        <f t="shared" si="715"/>
        <v>0</v>
      </c>
      <c r="CA989" s="8">
        <f t="shared" si="716"/>
        <v>0</v>
      </c>
      <c r="CB989" s="8">
        <f t="shared" si="717"/>
        <v>0</v>
      </c>
      <c r="CC989" s="8">
        <f t="shared" si="718"/>
        <v>0</v>
      </c>
      <c r="CD989" s="8">
        <f t="shared" si="719"/>
        <v>0</v>
      </c>
      <c r="CE989" s="8">
        <f t="shared" si="720"/>
        <v>0</v>
      </c>
      <c r="CF989" s="8">
        <f t="shared" si="721"/>
        <v>0</v>
      </c>
      <c r="CG989" s="8">
        <f t="shared" si="722"/>
        <v>0</v>
      </c>
      <c r="CH989" s="8">
        <f t="shared" si="723"/>
        <v>0</v>
      </c>
      <c r="CI989" s="8">
        <f t="shared" si="724"/>
        <v>0</v>
      </c>
      <c r="CJ989" s="8">
        <f t="shared" si="725"/>
        <v>0</v>
      </c>
      <c r="CK989" s="8">
        <f t="shared" si="726"/>
        <v>0</v>
      </c>
      <c r="CL989" s="8">
        <f t="shared" si="727"/>
        <v>0</v>
      </c>
      <c r="CM989" s="8">
        <f t="shared" si="728"/>
        <v>0</v>
      </c>
      <c r="CN989" s="8">
        <f t="shared" si="729"/>
        <v>0</v>
      </c>
      <c r="CO989" s="8">
        <f t="shared" si="730"/>
        <v>0</v>
      </c>
      <c r="CP989" s="8">
        <f t="shared" si="731"/>
        <v>0</v>
      </c>
      <c r="CQ989" s="8">
        <f t="shared" si="732"/>
        <v>0</v>
      </c>
      <c r="CR989" s="8">
        <f t="shared" si="733"/>
        <v>0</v>
      </c>
      <c r="CS989" s="8">
        <f t="shared" si="734"/>
        <v>0</v>
      </c>
      <c r="CT989" s="8">
        <f t="shared" si="739"/>
        <v>0</v>
      </c>
      <c r="CU989" s="8">
        <f t="shared" si="740"/>
        <v>0</v>
      </c>
      <c r="CV989" s="8">
        <f t="shared" si="741"/>
        <v>0</v>
      </c>
    </row>
    <row r="990" spans="1:100" ht="20.5" thickTop="1" thickBot="1" x14ac:dyDescent="0.5">
      <c r="A990" s="32"/>
      <c r="B990" s="10"/>
      <c r="C990" s="10"/>
      <c r="D990" s="11"/>
      <c r="E990" s="10"/>
      <c r="F990" s="10"/>
      <c r="G990" s="19"/>
      <c r="H990" s="19"/>
      <c r="I990" s="19"/>
      <c r="J990" s="19"/>
      <c r="K990" s="10"/>
      <c r="L990" s="10"/>
      <c r="M990" s="10"/>
      <c r="N990" s="10"/>
      <c r="O990" s="18"/>
      <c r="P990" s="18"/>
      <c r="Q990" s="21"/>
      <c r="R990" s="20"/>
      <c r="S990" s="16">
        <f t="shared" si="697"/>
        <v>0</v>
      </c>
      <c r="T990" s="11"/>
      <c r="AS990" s="31">
        <f t="shared" si="698"/>
        <v>0</v>
      </c>
      <c r="AT990" s="31">
        <f t="shared" si="699"/>
        <v>0</v>
      </c>
      <c r="AU990" s="31">
        <f t="shared" si="700"/>
        <v>0</v>
      </c>
      <c r="AV990" s="31">
        <f t="shared" si="701"/>
        <v>0</v>
      </c>
      <c r="AW990" s="31">
        <f t="shared" si="702"/>
        <v>0</v>
      </c>
      <c r="AX990" s="31">
        <f t="shared" si="703"/>
        <v>0</v>
      </c>
      <c r="AY990" s="31">
        <f t="shared" si="704"/>
        <v>0</v>
      </c>
      <c r="AZ990" s="31">
        <f t="shared" si="705"/>
        <v>0</v>
      </c>
      <c r="BA990" s="31">
        <f t="shared" si="706"/>
        <v>0</v>
      </c>
      <c r="BB990" s="31">
        <f t="shared" si="735"/>
        <v>0</v>
      </c>
      <c r="BM990" s="8">
        <f t="shared" si="736"/>
        <v>0</v>
      </c>
      <c r="BN990" s="8">
        <f t="shared" si="707"/>
        <v>0</v>
      </c>
      <c r="BO990" s="8">
        <f t="shared" si="708"/>
        <v>0</v>
      </c>
      <c r="BQ990" s="8">
        <f t="shared" si="709"/>
        <v>0</v>
      </c>
      <c r="BR990" s="63">
        <f t="shared" si="710"/>
        <v>0</v>
      </c>
      <c r="BS990" s="63">
        <f t="shared" si="737"/>
        <v>0</v>
      </c>
      <c r="BT990" s="63">
        <f t="shared" si="711"/>
        <v>0</v>
      </c>
      <c r="BU990" s="63">
        <f t="shared" si="712"/>
        <v>0</v>
      </c>
      <c r="BV990" s="57">
        <f t="shared" si="713"/>
        <v>0</v>
      </c>
      <c r="BW990" s="57">
        <f t="shared" si="714"/>
        <v>0</v>
      </c>
      <c r="BX990" s="57">
        <f t="shared" si="738"/>
        <v>0</v>
      </c>
      <c r="BY990" s="57">
        <f t="shared" si="742"/>
        <v>0</v>
      </c>
      <c r="BZ990" s="8">
        <f t="shared" si="715"/>
        <v>0</v>
      </c>
      <c r="CA990" s="8">
        <f t="shared" si="716"/>
        <v>0</v>
      </c>
      <c r="CB990" s="8">
        <f t="shared" si="717"/>
        <v>0</v>
      </c>
      <c r="CC990" s="8">
        <f t="shared" si="718"/>
        <v>0</v>
      </c>
      <c r="CD990" s="8">
        <f t="shared" si="719"/>
        <v>0</v>
      </c>
      <c r="CE990" s="8">
        <f t="shared" si="720"/>
        <v>0</v>
      </c>
      <c r="CF990" s="8">
        <f t="shared" si="721"/>
        <v>0</v>
      </c>
      <c r="CG990" s="8">
        <f t="shared" si="722"/>
        <v>0</v>
      </c>
      <c r="CH990" s="8">
        <f t="shared" si="723"/>
        <v>0</v>
      </c>
      <c r="CI990" s="8">
        <f t="shared" si="724"/>
        <v>0</v>
      </c>
      <c r="CJ990" s="8">
        <f t="shared" si="725"/>
        <v>0</v>
      </c>
      <c r="CK990" s="8">
        <f t="shared" si="726"/>
        <v>0</v>
      </c>
      <c r="CL990" s="8">
        <f t="shared" si="727"/>
        <v>0</v>
      </c>
      <c r="CM990" s="8">
        <f t="shared" si="728"/>
        <v>0</v>
      </c>
      <c r="CN990" s="8">
        <f t="shared" si="729"/>
        <v>0</v>
      </c>
      <c r="CO990" s="8">
        <f t="shared" si="730"/>
        <v>0</v>
      </c>
      <c r="CP990" s="8">
        <f t="shared" si="731"/>
        <v>0</v>
      </c>
      <c r="CQ990" s="8">
        <f t="shared" si="732"/>
        <v>0</v>
      </c>
      <c r="CR990" s="8">
        <f t="shared" si="733"/>
        <v>0</v>
      </c>
      <c r="CS990" s="8">
        <f t="shared" si="734"/>
        <v>0</v>
      </c>
      <c r="CT990" s="8">
        <f t="shared" si="739"/>
        <v>0</v>
      </c>
      <c r="CU990" s="8">
        <f t="shared" si="740"/>
        <v>0</v>
      </c>
      <c r="CV990" s="8">
        <f t="shared" si="741"/>
        <v>0</v>
      </c>
    </row>
    <row r="991" spans="1:100" ht="20.5" thickTop="1" thickBot="1" x14ac:dyDescent="0.5">
      <c r="A991" s="32"/>
      <c r="B991" s="10"/>
      <c r="C991" s="10"/>
      <c r="D991" s="11"/>
      <c r="E991" s="10"/>
      <c r="F991" s="10"/>
      <c r="G991" s="19"/>
      <c r="H991" s="19"/>
      <c r="I991" s="19"/>
      <c r="J991" s="19"/>
      <c r="K991" s="10"/>
      <c r="L991" s="10"/>
      <c r="M991" s="10"/>
      <c r="N991" s="10"/>
      <c r="O991" s="18"/>
      <c r="P991" s="18"/>
      <c r="Q991" s="21"/>
      <c r="R991" s="20"/>
      <c r="S991" s="16">
        <f t="shared" si="697"/>
        <v>0</v>
      </c>
      <c r="T991" s="11"/>
      <c r="AS991" s="31">
        <f t="shared" si="698"/>
        <v>0</v>
      </c>
      <c r="AT991" s="31">
        <f t="shared" si="699"/>
        <v>0</v>
      </c>
      <c r="AU991" s="31">
        <f t="shared" si="700"/>
        <v>0</v>
      </c>
      <c r="AV991" s="31">
        <f t="shared" si="701"/>
        <v>0</v>
      </c>
      <c r="AW991" s="31">
        <f t="shared" si="702"/>
        <v>0</v>
      </c>
      <c r="AX991" s="31">
        <f t="shared" si="703"/>
        <v>0</v>
      </c>
      <c r="AY991" s="31">
        <f t="shared" si="704"/>
        <v>0</v>
      </c>
      <c r="AZ991" s="31">
        <f t="shared" si="705"/>
        <v>0</v>
      </c>
      <c r="BA991" s="31">
        <f t="shared" si="706"/>
        <v>0</v>
      </c>
      <c r="BB991" s="31">
        <f t="shared" si="735"/>
        <v>0</v>
      </c>
      <c r="BM991" s="8">
        <f t="shared" si="736"/>
        <v>0</v>
      </c>
      <c r="BN991" s="8">
        <f t="shared" si="707"/>
        <v>0</v>
      </c>
      <c r="BO991" s="8">
        <f t="shared" si="708"/>
        <v>0</v>
      </c>
      <c r="BQ991" s="8">
        <f t="shared" si="709"/>
        <v>0</v>
      </c>
      <c r="BR991" s="63">
        <f t="shared" si="710"/>
        <v>0</v>
      </c>
      <c r="BS991" s="63">
        <f t="shared" si="737"/>
        <v>0</v>
      </c>
      <c r="BT991" s="63">
        <f t="shared" si="711"/>
        <v>0</v>
      </c>
      <c r="BU991" s="63">
        <f t="shared" si="712"/>
        <v>0</v>
      </c>
      <c r="BV991" s="57">
        <f t="shared" si="713"/>
        <v>0</v>
      </c>
      <c r="BW991" s="57">
        <f t="shared" si="714"/>
        <v>0</v>
      </c>
      <c r="BX991" s="57">
        <f t="shared" si="738"/>
        <v>0</v>
      </c>
      <c r="BY991" s="57">
        <f t="shared" si="742"/>
        <v>0</v>
      </c>
      <c r="BZ991" s="8">
        <f t="shared" si="715"/>
        <v>0</v>
      </c>
      <c r="CA991" s="8">
        <f t="shared" si="716"/>
        <v>0</v>
      </c>
      <c r="CB991" s="8">
        <f t="shared" si="717"/>
        <v>0</v>
      </c>
      <c r="CC991" s="8">
        <f t="shared" si="718"/>
        <v>0</v>
      </c>
      <c r="CD991" s="8">
        <f t="shared" si="719"/>
        <v>0</v>
      </c>
      <c r="CE991" s="8">
        <f t="shared" si="720"/>
        <v>0</v>
      </c>
      <c r="CF991" s="8">
        <f t="shared" si="721"/>
        <v>0</v>
      </c>
      <c r="CG991" s="8">
        <f t="shared" si="722"/>
        <v>0</v>
      </c>
      <c r="CH991" s="8">
        <f t="shared" si="723"/>
        <v>0</v>
      </c>
      <c r="CI991" s="8">
        <f t="shared" si="724"/>
        <v>0</v>
      </c>
      <c r="CJ991" s="8">
        <f t="shared" si="725"/>
        <v>0</v>
      </c>
      <c r="CK991" s="8">
        <f t="shared" si="726"/>
        <v>0</v>
      </c>
      <c r="CL991" s="8">
        <f t="shared" si="727"/>
        <v>0</v>
      </c>
      <c r="CM991" s="8">
        <f t="shared" si="728"/>
        <v>0</v>
      </c>
      <c r="CN991" s="8">
        <f t="shared" si="729"/>
        <v>0</v>
      </c>
      <c r="CO991" s="8">
        <f t="shared" si="730"/>
        <v>0</v>
      </c>
      <c r="CP991" s="8">
        <f t="shared" si="731"/>
        <v>0</v>
      </c>
      <c r="CQ991" s="8">
        <f t="shared" si="732"/>
        <v>0</v>
      </c>
      <c r="CR991" s="8">
        <f t="shared" si="733"/>
        <v>0</v>
      </c>
      <c r="CS991" s="8">
        <f t="shared" si="734"/>
        <v>0</v>
      </c>
      <c r="CT991" s="8">
        <f t="shared" si="739"/>
        <v>0</v>
      </c>
      <c r="CU991" s="8">
        <f t="shared" si="740"/>
        <v>0</v>
      </c>
      <c r="CV991" s="8">
        <f t="shared" si="741"/>
        <v>0</v>
      </c>
    </row>
    <row r="992" spans="1:100" ht="20.5" thickTop="1" thickBot="1" x14ac:dyDescent="0.5">
      <c r="A992" s="32"/>
      <c r="B992" s="10"/>
      <c r="C992" s="10"/>
      <c r="D992" s="11"/>
      <c r="E992" s="10"/>
      <c r="F992" s="10"/>
      <c r="G992" s="19"/>
      <c r="H992" s="19"/>
      <c r="I992" s="19"/>
      <c r="J992" s="19"/>
      <c r="K992" s="10"/>
      <c r="L992" s="10"/>
      <c r="M992" s="10"/>
      <c r="N992" s="10"/>
      <c r="O992" s="18"/>
      <c r="P992" s="18"/>
      <c r="Q992" s="21"/>
      <c r="R992" s="20"/>
      <c r="S992" s="16">
        <f t="shared" si="697"/>
        <v>0</v>
      </c>
      <c r="T992" s="11"/>
      <c r="AS992" s="31">
        <f t="shared" si="698"/>
        <v>0</v>
      </c>
      <c r="AT992" s="31">
        <f t="shared" si="699"/>
        <v>0</v>
      </c>
      <c r="AU992" s="31">
        <f t="shared" si="700"/>
        <v>0</v>
      </c>
      <c r="AV992" s="31">
        <f t="shared" si="701"/>
        <v>0</v>
      </c>
      <c r="AW992" s="31">
        <f t="shared" si="702"/>
        <v>0</v>
      </c>
      <c r="AX992" s="31">
        <f t="shared" si="703"/>
        <v>0</v>
      </c>
      <c r="AY992" s="31">
        <f t="shared" si="704"/>
        <v>0</v>
      </c>
      <c r="AZ992" s="31">
        <f t="shared" si="705"/>
        <v>0</v>
      </c>
      <c r="BA992" s="31">
        <f t="shared" si="706"/>
        <v>0</v>
      </c>
      <c r="BB992" s="31">
        <f t="shared" si="735"/>
        <v>0</v>
      </c>
      <c r="BM992" s="8">
        <f t="shared" si="736"/>
        <v>0</v>
      </c>
      <c r="BN992" s="8">
        <f t="shared" si="707"/>
        <v>0</v>
      </c>
      <c r="BO992" s="8">
        <f t="shared" si="708"/>
        <v>0</v>
      </c>
      <c r="BQ992" s="8">
        <f t="shared" si="709"/>
        <v>0</v>
      </c>
      <c r="BR992" s="63">
        <f t="shared" si="710"/>
        <v>0</v>
      </c>
      <c r="BS992" s="63">
        <f t="shared" si="737"/>
        <v>0</v>
      </c>
      <c r="BT992" s="63">
        <f t="shared" si="711"/>
        <v>0</v>
      </c>
      <c r="BU992" s="63">
        <f t="shared" si="712"/>
        <v>0</v>
      </c>
      <c r="BV992" s="57">
        <f t="shared" si="713"/>
        <v>0</v>
      </c>
      <c r="BW992" s="57">
        <f t="shared" si="714"/>
        <v>0</v>
      </c>
      <c r="BX992" s="57">
        <f t="shared" si="738"/>
        <v>0</v>
      </c>
      <c r="BY992" s="57">
        <f t="shared" si="742"/>
        <v>0</v>
      </c>
      <c r="BZ992" s="8">
        <f t="shared" si="715"/>
        <v>0</v>
      </c>
      <c r="CA992" s="8">
        <f t="shared" si="716"/>
        <v>0</v>
      </c>
      <c r="CB992" s="8">
        <f t="shared" si="717"/>
        <v>0</v>
      </c>
      <c r="CC992" s="8">
        <f t="shared" si="718"/>
        <v>0</v>
      </c>
      <c r="CD992" s="8">
        <f t="shared" si="719"/>
        <v>0</v>
      </c>
      <c r="CE992" s="8">
        <f t="shared" si="720"/>
        <v>0</v>
      </c>
      <c r="CF992" s="8">
        <f t="shared" si="721"/>
        <v>0</v>
      </c>
      <c r="CG992" s="8">
        <f t="shared" si="722"/>
        <v>0</v>
      </c>
      <c r="CH992" s="8">
        <f t="shared" si="723"/>
        <v>0</v>
      </c>
      <c r="CI992" s="8">
        <f t="shared" si="724"/>
        <v>0</v>
      </c>
      <c r="CJ992" s="8">
        <f t="shared" si="725"/>
        <v>0</v>
      </c>
      <c r="CK992" s="8">
        <f t="shared" si="726"/>
        <v>0</v>
      </c>
      <c r="CL992" s="8">
        <f t="shared" si="727"/>
        <v>0</v>
      </c>
      <c r="CM992" s="8">
        <f t="shared" si="728"/>
        <v>0</v>
      </c>
      <c r="CN992" s="8">
        <f t="shared" si="729"/>
        <v>0</v>
      </c>
      <c r="CO992" s="8">
        <f t="shared" si="730"/>
        <v>0</v>
      </c>
      <c r="CP992" s="8">
        <f t="shared" si="731"/>
        <v>0</v>
      </c>
      <c r="CQ992" s="8">
        <f t="shared" si="732"/>
        <v>0</v>
      </c>
      <c r="CR992" s="8">
        <f t="shared" si="733"/>
        <v>0</v>
      </c>
      <c r="CS992" s="8">
        <f t="shared" si="734"/>
        <v>0</v>
      </c>
      <c r="CT992" s="8">
        <f t="shared" si="739"/>
        <v>0</v>
      </c>
      <c r="CU992" s="8">
        <f t="shared" si="740"/>
        <v>0</v>
      </c>
      <c r="CV992" s="8">
        <f t="shared" si="741"/>
        <v>0</v>
      </c>
    </row>
    <row r="993" spans="1:100" ht="20.5" thickTop="1" thickBot="1" x14ac:dyDescent="0.5">
      <c r="A993" s="32"/>
      <c r="B993" s="10"/>
      <c r="C993" s="10"/>
      <c r="D993" s="11"/>
      <c r="E993" s="10"/>
      <c r="F993" s="10"/>
      <c r="G993" s="19"/>
      <c r="H993" s="19"/>
      <c r="I993" s="19"/>
      <c r="J993" s="19"/>
      <c r="K993" s="10"/>
      <c r="L993" s="10"/>
      <c r="M993" s="10"/>
      <c r="N993" s="10"/>
      <c r="O993" s="18"/>
      <c r="P993" s="18"/>
      <c r="Q993" s="21"/>
      <c r="R993" s="20"/>
      <c r="S993" s="16">
        <f t="shared" si="697"/>
        <v>0</v>
      </c>
      <c r="T993" s="11"/>
      <c r="AS993" s="31">
        <f t="shared" si="698"/>
        <v>0</v>
      </c>
      <c r="AT993" s="31">
        <f t="shared" si="699"/>
        <v>0</v>
      </c>
      <c r="AU993" s="31">
        <f t="shared" si="700"/>
        <v>0</v>
      </c>
      <c r="AV993" s="31">
        <f t="shared" si="701"/>
        <v>0</v>
      </c>
      <c r="AW993" s="31">
        <f t="shared" si="702"/>
        <v>0</v>
      </c>
      <c r="AX993" s="31">
        <f t="shared" si="703"/>
        <v>0</v>
      </c>
      <c r="AY993" s="31">
        <f t="shared" si="704"/>
        <v>0</v>
      </c>
      <c r="AZ993" s="31">
        <f t="shared" si="705"/>
        <v>0</v>
      </c>
      <c r="BA993" s="31">
        <f t="shared" si="706"/>
        <v>0</v>
      </c>
      <c r="BB993" s="31">
        <f t="shared" si="735"/>
        <v>0</v>
      </c>
      <c r="BM993" s="8">
        <f t="shared" si="736"/>
        <v>0</v>
      </c>
      <c r="BN993" s="8">
        <f t="shared" si="707"/>
        <v>0</v>
      </c>
      <c r="BO993" s="8">
        <f t="shared" si="708"/>
        <v>0</v>
      </c>
      <c r="BQ993" s="8">
        <f t="shared" si="709"/>
        <v>0</v>
      </c>
      <c r="BR993" s="63">
        <f t="shared" si="710"/>
        <v>0</v>
      </c>
      <c r="BS993" s="63">
        <f t="shared" si="737"/>
        <v>0</v>
      </c>
      <c r="BT993" s="63">
        <f t="shared" si="711"/>
        <v>0</v>
      </c>
      <c r="BU993" s="63">
        <f t="shared" si="712"/>
        <v>0</v>
      </c>
      <c r="BV993" s="57">
        <f t="shared" si="713"/>
        <v>0</v>
      </c>
      <c r="BW993" s="57">
        <f t="shared" si="714"/>
        <v>0</v>
      </c>
      <c r="BX993" s="57">
        <f t="shared" si="738"/>
        <v>0</v>
      </c>
      <c r="BY993" s="57">
        <f t="shared" si="742"/>
        <v>0</v>
      </c>
      <c r="BZ993" s="8">
        <f t="shared" si="715"/>
        <v>0</v>
      </c>
      <c r="CA993" s="8">
        <f t="shared" si="716"/>
        <v>0</v>
      </c>
      <c r="CB993" s="8">
        <f t="shared" si="717"/>
        <v>0</v>
      </c>
      <c r="CC993" s="8">
        <f t="shared" si="718"/>
        <v>0</v>
      </c>
      <c r="CD993" s="8">
        <f t="shared" si="719"/>
        <v>0</v>
      </c>
      <c r="CE993" s="8">
        <f t="shared" si="720"/>
        <v>0</v>
      </c>
      <c r="CF993" s="8">
        <f t="shared" si="721"/>
        <v>0</v>
      </c>
      <c r="CG993" s="8">
        <f t="shared" si="722"/>
        <v>0</v>
      </c>
      <c r="CH993" s="8">
        <f t="shared" si="723"/>
        <v>0</v>
      </c>
      <c r="CI993" s="8">
        <f t="shared" si="724"/>
        <v>0</v>
      </c>
      <c r="CJ993" s="8">
        <f t="shared" si="725"/>
        <v>0</v>
      </c>
      <c r="CK993" s="8">
        <f t="shared" si="726"/>
        <v>0</v>
      </c>
      <c r="CL993" s="8">
        <f t="shared" si="727"/>
        <v>0</v>
      </c>
      <c r="CM993" s="8">
        <f t="shared" si="728"/>
        <v>0</v>
      </c>
      <c r="CN993" s="8">
        <f t="shared" si="729"/>
        <v>0</v>
      </c>
      <c r="CO993" s="8">
        <f t="shared" si="730"/>
        <v>0</v>
      </c>
      <c r="CP993" s="8">
        <f t="shared" si="731"/>
        <v>0</v>
      </c>
      <c r="CQ993" s="8">
        <f t="shared" si="732"/>
        <v>0</v>
      </c>
      <c r="CR993" s="8">
        <f t="shared" si="733"/>
        <v>0</v>
      </c>
      <c r="CS993" s="8">
        <f t="shared" si="734"/>
        <v>0</v>
      </c>
      <c r="CT993" s="8">
        <f t="shared" si="739"/>
        <v>0</v>
      </c>
      <c r="CU993" s="8">
        <f t="shared" si="740"/>
        <v>0</v>
      </c>
      <c r="CV993" s="8">
        <f t="shared" si="741"/>
        <v>0</v>
      </c>
    </row>
    <row r="994" spans="1:100" ht="20.5" thickTop="1" thickBot="1" x14ac:dyDescent="0.5">
      <c r="A994" s="32"/>
      <c r="B994" s="10"/>
      <c r="C994" s="10"/>
      <c r="D994" s="11"/>
      <c r="E994" s="10"/>
      <c r="F994" s="10"/>
      <c r="G994" s="19"/>
      <c r="H994" s="19"/>
      <c r="I994" s="19"/>
      <c r="J994" s="19"/>
      <c r="K994" s="10"/>
      <c r="L994" s="10"/>
      <c r="M994" s="10"/>
      <c r="N994" s="10"/>
      <c r="O994" s="18"/>
      <c r="P994" s="18"/>
      <c r="Q994" s="21"/>
      <c r="R994" s="20"/>
      <c r="S994" s="16">
        <f t="shared" si="697"/>
        <v>0</v>
      </c>
      <c r="T994" s="11"/>
      <c r="AS994" s="31">
        <f t="shared" si="698"/>
        <v>0</v>
      </c>
      <c r="AT994" s="31">
        <f t="shared" si="699"/>
        <v>0</v>
      </c>
      <c r="AU994" s="31">
        <f t="shared" si="700"/>
        <v>0</v>
      </c>
      <c r="AV994" s="31">
        <f t="shared" si="701"/>
        <v>0</v>
      </c>
      <c r="AW994" s="31">
        <f t="shared" si="702"/>
        <v>0</v>
      </c>
      <c r="AX994" s="31">
        <f t="shared" si="703"/>
        <v>0</v>
      </c>
      <c r="AY994" s="31">
        <f t="shared" si="704"/>
        <v>0</v>
      </c>
      <c r="AZ994" s="31">
        <f t="shared" si="705"/>
        <v>0</v>
      </c>
      <c r="BA994" s="31">
        <f t="shared" si="706"/>
        <v>0</v>
      </c>
      <c r="BB994" s="31">
        <f t="shared" si="735"/>
        <v>0</v>
      </c>
      <c r="BM994" s="8">
        <f t="shared" si="736"/>
        <v>0</v>
      </c>
      <c r="BN994" s="8">
        <f t="shared" si="707"/>
        <v>0</v>
      </c>
      <c r="BO994" s="8">
        <f t="shared" si="708"/>
        <v>0</v>
      </c>
      <c r="BQ994" s="8">
        <f t="shared" si="709"/>
        <v>0</v>
      </c>
      <c r="BR994" s="63">
        <f t="shared" si="710"/>
        <v>0</v>
      </c>
      <c r="BS994" s="63">
        <f t="shared" si="737"/>
        <v>0</v>
      </c>
      <c r="BT994" s="63">
        <f t="shared" si="711"/>
        <v>0</v>
      </c>
      <c r="BU994" s="63">
        <f t="shared" si="712"/>
        <v>0</v>
      </c>
      <c r="BV994" s="57">
        <f t="shared" si="713"/>
        <v>0</v>
      </c>
      <c r="BW994" s="57">
        <f t="shared" si="714"/>
        <v>0</v>
      </c>
      <c r="BX994" s="57">
        <f t="shared" si="738"/>
        <v>0</v>
      </c>
      <c r="BY994" s="57">
        <f t="shared" si="742"/>
        <v>0</v>
      </c>
      <c r="BZ994" s="8">
        <f t="shared" si="715"/>
        <v>0</v>
      </c>
      <c r="CA994" s="8">
        <f t="shared" si="716"/>
        <v>0</v>
      </c>
      <c r="CB994" s="8">
        <f t="shared" si="717"/>
        <v>0</v>
      </c>
      <c r="CC994" s="8">
        <f t="shared" si="718"/>
        <v>0</v>
      </c>
      <c r="CD994" s="8">
        <f t="shared" si="719"/>
        <v>0</v>
      </c>
      <c r="CE994" s="8">
        <f t="shared" si="720"/>
        <v>0</v>
      </c>
      <c r="CF994" s="8">
        <f t="shared" si="721"/>
        <v>0</v>
      </c>
      <c r="CG994" s="8">
        <f t="shared" si="722"/>
        <v>0</v>
      </c>
      <c r="CH994" s="8">
        <f t="shared" si="723"/>
        <v>0</v>
      </c>
      <c r="CI994" s="8">
        <f t="shared" si="724"/>
        <v>0</v>
      </c>
      <c r="CJ994" s="8">
        <f t="shared" si="725"/>
        <v>0</v>
      </c>
      <c r="CK994" s="8">
        <f t="shared" si="726"/>
        <v>0</v>
      </c>
      <c r="CL994" s="8">
        <f t="shared" si="727"/>
        <v>0</v>
      </c>
      <c r="CM994" s="8">
        <f t="shared" si="728"/>
        <v>0</v>
      </c>
      <c r="CN994" s="8">
        <f t="shared" si="729"/>
        <v>0</v>
      </c>
      <c r="CO994" s="8">
        <f t="shared" si="730"/>
        <v>0</v>
      </c>
      <c r="CP994" s="8">
        <f t="shared" si="731"/>
        <v>0</v>
      </c>
      <c r="CQ994" s="8">
        <f t="shared" si="732"/>
        <v>0</v>
      </c>
      <c r="CR994" s="8">
        <f t="shared" si="733"/>
        <v>0</v>
      </c>
      <c r="CS994" s="8">
        <f t="shared" si="734"/>
        <v>0</v>
      </c>
      <c r="CT994" s="8">
        <f t="shared" si="739"/>
        <v>0</v>
      </c>
      <c r="CU994" s="8">
        <f t="shared" si="740"/>
        <v>0</v>
      </c>
      <c r="CV994" s="8">
        <f t="shared" si="741"/>
        <v>0</v>
      </c>
    </row>
    <row r="995" spans="1:100" ht="20.5" thickTop="1" thickBot="1" x14ac:dyDescent="0.5">
      <c r="A995" s="32"/>
      <c r="B995" s="10"/>
      <c r="C995" s="10"/>
      <c r="D995" s="11"/>
      <c r="E995" s="10"/>
      <c r="F995" s="10"/>
      <c r="G995" s="19"/>
      <c r="H995" s="19"/>
      <c r="I995" s="19"/>
      <c r="J995" s="19"/>
      <c r="K995" s="10"/>
      <c r="L995" s="10"/>
      <c r="M995" s="10"/>
      <c r="N995" s="10"/>
      <c r="O995" s="18"/>
      <c r="P995" s="18"/>
      <c r="Q995" s="21"/>
      <c r="R995" s="20"/>
      <c r="S995" s="16">
        <f t="shared" si="697"/>
        <v>0</v>
      </c>
      <c r="T995" s="11"/>
      <c r="AS995" s="31">
        <f t="shared" si="698"/>
        <v>0</v>
      </c>
      <c r="AT995" s="31">
        <f t="shared" si="699"/>
        <v>0</v>
      </c>
      <c r="AU995" s="31">
        <f t="shared" si="700"/>
        <v>0</v>
      </c>
      <c r="AV995" s="31">
        <f t="shared" si="701"/>
        <v>0</v>
      </c>
      <c r="AW995" s="31">
        <f t="shared" si="702"/>
        <v>0</v>
      </c>
      <c r="AX995" s="31">
        <f t="shared" si="703"/>
        <v>0</v>
      </c>
      <c r="AY995" s="31">
        <f t="shared" si="704"/>
        <v>0</v>
      </c>
      <c r="AZ995" s="31">
        <f t="shared" si="705"/>
        <v>0</v>
      </c>
      <c r="BA995" s="31">
        <f t="shared" si="706"/>
        <v>0</v>
      </c>
      <c r="BB995" s="31">
        <f t="shared" si="735"/>
        <v>0</v>
      </c>
      <c r="BM995" s="8">
        <f t="shared" si="736"/>
        <v>0</v>
      </c>
      <c r="BN995" s="8">
        <f t="shared" si="707"/>
        <v>0</v>
      </c>
      <c r="BO995" s="8">
        <f t="shared" si="708"/>
        <v>0</v>
      </c>
      <c r="BQ995" s="8">
        <f t="shared" si="709"/>
        <v>0</v>
      </c>
      <c r="BR995" s="63">
        <f t="shared" si="710"/>
        <v>0</v>
      </c>
      <c r="BS995" s="63">
        <f t="shared" si="737"/>
        <v>0</v>
      </c>
      <c r="BT995" s="63">
        <f t="shared" si="711"/>
        <v>0</v>
      </c>
      <c r="BU995" s="63">
        <f t="shared" si="712"/>
        <v>0</v>
      </c>
      <c r="BV995" s="57">
        <f t="shared" si="713"/>
        <v>0</v>
      </c>
      <c r="BW995" s="57">
        <f t="shared" si="714"/>
        <v>0</v>
      </c>
      <c r="BX995" s="57">
        <f t="shared" si="738"/>
        <v>0</v>
      </c>
      <c r="BY995" s="57">
        <f t="shared" si="742"/>
        <v>0</v>
      </c>
      <c r="BZ995" s="8">
        <f t="shared" si="715"/>
        <v>0</v>
      </c>
      <c r="CA995" s="8">
        <f t="shared" si="716"/>
        <v>0</v>
      </c>
      <c r="CB995" s="8">
        <f t="shared" si="717"/>
        <v>0</v>
      </c>
      <c r="CC995" s="8">
        <f t="shared" si="718"/>
        <v>0</v>
      </c>
      <c r="CD995" s="8">
        <f t="shared" si="719"/>
        <v>0</v>
      </c>
      <c r="CE995" s="8">
        <f t="shared" si="720"/>
        <v>0</v>
      </c>
      <c r="CF995" s="8">
        <f t="shared" si="721"/>
        <v>0</v>
      </c>
      <c r="CG995" s="8">
        <f t="shared" si="722"/>
        <v>0</v>
      </c>
      <c r="CH995" s="8">
        <f t="shared" si="723"/>
        <v>0</v>
      </c>
      <c r="CI995" s="8">
        <f t="shared" si="724"/>
        <v>0</v>
      </c>
      <c r="CJ995" s="8">
        <f t="shared" si="725"/>
        <v>0</v>
      </c>
      <c r="CK995" s="8">
        <f t="shared" si="726"/>
        <v>0</v>
      </c>
      <c r="CL995" s="8">
        <f t="shared" si="727"/>
        <v>0</v>
      </c>
      <c r="CM995" s="8">
        <f t="shared" si="728"/>
        <v>0</v>
      </c>
      <c r="CN995" s="8">
        <f t="shared" si="729"/>
        <v>0</v>
      </c>
      <c r="CO995" s="8">
        <f t="shared" si="730"/>
        <v>0</v>
      </c>
      <c r="CP995" s="8">
        <f t="shared" si="731"/>
        <v>0</v>
      </c>
      <c r="CQ995" s="8">
        <f t="shared" si="732"/>
        <v>0</v>
      </c>
      <c r="CR995" s="8">
        <f t="shared" si="733"/>
        <v>0</v>
      </c>
      <c r="CS995" s="8">
        <f t="shared" si="734"/>
        <v>0</v>
      </c>
      <c r="CT995" s="8">
        <f t="shared" si="739"/>
        <v>0</v>
      </c>
      <c r="CU995" s="8">
        <f t="shared" si="740"/>
        <v>0</v>
      </c>
      <c r="CV995" s="8">
        <f t="shared" si="741"/>
        <v>0</v>
      </c>
    </row>
    <row r="996" spans="1:100" ht="20.5" thickTop="1" thickBot="1" x14ac:dyDescent="0.5">
      <c r="A996" s="32"/>
      <c r="B996" s="10"/>
      <c r="C996" s="10"/>
      <c r="D996" s="11"/>
      <c r="E996" s="10"/>
      <c r="F996" s="10"/>
      <c r="G996" s="19"/>
      <c r="H996" s="19"/>
      <c r="I996" s="19"/>
      <c r="J996" s="19"/>
      <c r="K996" s="10"/>
      <c r="L996" s="10"/>
      <c r="M996" s="10"/>
      <c r="N996" s="10"/>
      <c r="O996" s="18"/>
      <c r="P996" s="18"/>
      <c r="Q996" s="21"/>
      <c r="R996" s="20"/>
      <c r="S996" s="16">
        <f t="shared" si="697"/>
        <v>0</v>
      </c>
      <c r="T996" s="11"/>
      <c r="AS996" s="31">
        <f t="shared" si="698"/>
        <v>0</v>
      </c>
      <c r="AT996" s="31">
        <f t="shared" si="699"/>
        <v>0</v>
      </c>
      <c r="AU996" s="31">
        <f t="shared" si="700"/>
        <v>0</v>
      </c>
      <c r="AV996" s="31">
        <f t="shared" si="701"/>
        <v>0</v>
      </c>
      <c r="AW996" s="31">
        <f t="shared" si="702"/>
        <v>0</v>
      </c>
      <c r="AX996" s="31">
        <f t="shared" si="703"/>
        <v>0</v>
      </c>
      <c r="AY996" s="31">
        <f t="shared" si="704"/>
        <v>0</v>
      </c>
      <c r="AZ996" s="31">
        <f t="shared" si="705"/>
        <v>0</v>
      </c>
      <c r="BA996" s="31">
        <f t="shared" si="706"/>
        <v>0</v>
      </c>
      <c r="BB996" s="31">
        <f t="shared" si="735"/>
        <v>0</v>
      </c>
      <c r="BM996" s="8">
        <f t="shared" si="736"/>
        <v>0</v>
      </c>
      <c r="BN996" s="8">
        <f t="shared" si="707"/>
        <v>0</v>
      </c>
      <c r="BO996" s="8">
        <f t="shared" si="708"/>
        <v>0</v>
      </c>
      <c r="BQ996" s="8">
        <f t="shared" si="709"/>
        <v>0</v>
      </c>
      <c r="BR996" s="63">
        <f t="shared" si="710"/>
        <v>0</v>
      </c>
      <c r="BS996" s="63">
        <f t="shared" si="737"/>
        <v>0</v>
      </c>
      <c r="BT996" s="63">
        <f t="shared" si="711"/>
        <v>0</v>
      </c>
      <c r="BU996" s="63">
        <f t="shared" si="712"/>
        <v>0</v>
      </c>
      <c r="BV996" s="57">
        <f t="shared" si="713"/>
        <v>0</v>
      </c>
      <c r="BW996" s="57">
        <f t="shared" si="714"/>
        <v>0</v>
      </c>
      <c r="BX996" s="57">
        <f t="shared" si="738"/>
        <v>0</v>
      </c>
      <c r="BY996" s="57">
        <f t="shared" si="742"/>
        <v>0</v>
      </c>
      <c r="BZ996" s="8">
        <f t="shared" si="715"/>
        <v>0</v>
      </c>
      <c r="CA996" s="8">
        <f t="shared" si="716"/>
        <v>0</v>
      </c>
      <c r="CB996" s="8">
        <f t="shared" si="717"/>
        <v>0</v>
      </c>
      <c r="CC996" s="8">
        <f t="shared" si="718"/>
        <v>0</v>
      </c>
      <c r="CD996" s="8">
        <f t="shared" si="719"/>
        <v>0</v>
      </c>
      <c r="CE996" s="8">
        <f t="shared" si="720"/>
        <v>0</v>
      </c>
      <c r="CF996" s="8">
        <f t="shared" si="721"/>
        <v>0</v>
      </c>
      <c r="CG996" s="8">
        <f t="shared" si="722"/>
        <v>0</v>
      </c>
      <c r="CH996" s="8">
        <f t="shared" si="723"/>
        <v>0</v>
      </c>
      <c r="CI996" s="8">
        <f t="shared" si="724"/>
        <v>0</v>
      </c>
      <c r="CJ996" s="8">
        <f t="shared" si="725"/>
        <v>0</v>
      </c>
      <c r="CK996" s="8">
        <f t="shared" si="726"/>
        <v>0</v>
      </c>
      <c r="CL996" s="8">
        <f t="shared" si="727"/>
        <v>0</v>
      </c>
      <c r="CM996" s="8">
        <f t="shared" si="728"/>
        <v>0</v>
      </c>
      <c r="CN996" s="8">
        <f t="shared" si="729"/>
        <v>0</v>
      </c>
      <c r="CO996" s="8">
        <f t="shared" si="730"/>
        <v>0</v>
      </c>
      <c r="CP996" s="8">
        <f t="shared" si="731"/>
        <v>0</v>
      </c>
      <c r="CQ996" s="8">
        <f t="shared" si="732"/>
        <v>0</v>
      </c>
      <c r="CR996" s="8">
        <f t="shared" si="733"/>
        <v>0</v>
      </c>
      <c r="CS996" s="8">
        <f t="shared" si="734"/>
        <v>0</v>
      </c>
      <c r="CT996" s="8">
        <f t="shared" si="739"/>
        <v>0</v>
      </c>
      <c r="CU996" s="8">
        <f t="shared" si="740"/>
        <v>0</v>
      </c>
      <c r="CV996" s="8">
        <f t="shared" si="741"/>
        <v>0</v>
      </c>
    </row>
    <row r="997" spans="1:100" ht="20.5" thickTop="1" thickBot="1" x14ac:dyDescent="0.5">
      <c r="A997" s="32"/>
      <c r="B997" s="10"/>
      <c r="C997" s="10"/>
      <c r="D997" s="11"/>
      <c r="E997" s="10"/>
      <c r="F997" s="10"/>
      <c r="G997" s="19"/>
      <c r="H997" s="19"/>
      <c r="I997" s="19"/>
      <c r="J997" s="19"/>
      <c r="K997" s="10"/>
      <c r="L997" s="10"/>
      <c r="M997" s="10"/>
      <c r="N997" s="10"/>
      <c r="O997" s="18"/>
      <c r="P997" s="18"/>
      <c r="Q997" s="21"/>
      <c r="R997" s="20"/>
      <c r="S997" s="16">
        <f t="shared" si="697"/>
        <v>0</v>
      </c>
      <c r="T997" s="11"/>
      <c r="AS997" s="31">
        <f t="shared" si="698"/>
        <v>0</v>
      </c>
      <c r="AT997" s="31">
        <f t="shared" si="699"/>
        <v>0</v>
      </c>
      <c r="AU997" s="31">
        <f t="shared" si="700"/>
        <v>0</v>
      </c>
      <c r="AV997" s="31">
        <f t="shared" si="701"/>
        <v>0</v>
      </c>
      <c r="AW997" s="31">
        <f t="shared" si="702"/>
        <v>0</v>
      </c>
      <c r="AX997" s="31">
        <f t="shared" si="703"/>
        <v>0</v>
      </c>
      <c r="AY997" s="31">
        <f t="shared" si="704"/>
        <v>0</v>
      </c>
      <c r="AZ997" s="31">
        <f t="shared" si="705"/>
        <v>0</v>
      </c>
      <c r="BA997" s="31">
        <f t="shared" si="706"/>
        <v>0</v>
      </c>
      <c r="BB997" s="31">
        <f t="shared" si="735"/>
        <v>0</v>
      </c>
      <c r="BM997" s="8">
        <f t="shared" si="736"/>
        <v>0</v>
      </c>
      <c r="BN997" s="8">
        <f t="shared" si="707"/>
        <v>0</v>
      </c>
      <c r="BO997" s="8">
        <f t="shared" si="708"/>
        <v>0</v>
      </c>
      <c r="BQ997" s="8">
        <f t="shared" si="709"/>
        <v>0</v>
      </c>
      <c r="BR997" s="63">
        <f t="shared" si="710"/>
        <v>0</v>
      </c>
      <c r="BS997" s="63">
        <f t="shared" si="737"/>
        <v>0</v>
      </c>
      <c r="BT997" s="63">
        <f t="shared" si="711"/>
        <v>0</v>
      </c>
      <c r="BU997" s="63">
        <f t="shared" si="712"/>
        <v>0</v>
      </c>
      <c r="BV997" s="57">
        <f t="shared" si="713"/>
        <v>0</v>
      </c>
      <c r="BW997" s="57">
        <f t="shared" si="714"/>
        <v>0</v>
      </c>
      <c r="BX997" s="57">
        <f t="shared" si="738"/>
        <v>0</v>
      </c>
      <c r="BY997" s="57">
        <f t="shared" si="742"/>
        <v>0</v>
      </c>
      <c r="BZ997" s="8">
        <f t="shared" si="715"/>
        <v>0</v>
      </c>
      <c r="CA997" s="8">
        <f t="shared" si="716"/>
        <v>0</v>
      </c>
      <c r="CB997" s="8">
        <f t="shared" si="717"/>
        <v>0</v>
      </c>
      <c r="CC997" s="8">
        <f t="shared" si="718"/>
        <v>0</v>
      </c>
      <c r="CD997" s="8">
        <f t="shared" si="719"/>
        <v>0</v>
      </c>
      <c r="CE997" s="8">
        <f t="shared" si="720"/>
        <v>0</v>
      </c>
      <c r="CF997" s="8">
        <f t="shared" si="721"/>
        <v>0</v>
      </c>
      <c r="CG997" s="8">
        <f t="shared" si="722"/>
        <v>0</v>
      </c>
      <c r="CH997" s="8">
        <f t="shared" si="723"/>
        <v>0</v>
      </c>
      <c r="CI997" s="8">
        <f t="shared" si="724"/>
        <v>0</v>
      </c>
      <c r="CJ997" s="8">
        <f t="shared" si="725"/>
        <v>0</v>
      </c>
      <c r="CK997" s="8">
        <f t="shared" si="726"/>
        <v>0</v>
      </c>
      <c r="CL997" s="8">
        <f t="shared" si="727"/>
        <v>0</v>
      </c>
      <c r="CM997" s="8">
        <f t="shared" si="728"/>
        <v>0</v>
      </c>
      <c r="CN997" s="8">
        <f t="shared" si="729"/>
        <v>0</v>
      </c>
      <c r="CO997" s="8">
        <f t="shared" si="730"/>
        <v>0</v>
      </c>
      <c r="CP997" s="8">
        <f t="shared" si="731"/>
        <v>0</v>
      </c>
      <c r="CQ997" s="8">
        <f t="shared" si="732"/>
        <v>0</v>
      </c>
      <c r="CR997" s="8">
        <f t="shared" si="733"/>
        <v>0</v>
      </c>
      <c r="CS997" s="8">
        <f t="shared" si="734"/>
        <v>0</v>
      </c>
      <c r="CT997" s="8">
        <f t="shared" si="739"/>
        <v>0</v>
      </c>
      <c r="CU997" s="8">
        <f t="shared" si="740"/>
        <v>0</v>
      </c>
      <c r="CV997" s="8">
        <f t="shared" si="741"/>
        <v>0</v>
      </c>
    </row>
    <row r="998" spans="1:100" ht="20.5" thickTop="1" thickBot="1" x14ac:dyDescent="0.5">
      <c r="A998" s="32"/>
      <c r="B998" s="10"/>
      <c r="C998" s="10"/>
      <c r="D998" s="11"/>
      <c r="E998" s="10"/>
      <c r="F998" s="10"/>
      <c r="G998" s="19"/>
      <c r="H998" s="19"/>
      <c r="I998" s="19"/>
      <c r="J998" s="19"/>
      <c r="K998" s="10"/>
      <c r="L998" s="10"/>
      <c r="M998" s="10"/>
      <c r="N998" s="10"/>
      <c r="O998" s="18"/>
      <c r="P998" s="18"/>
      <c r="Q998" s="21"/>
      <c r="R998" s="20"/>
      <c r="S998" s="16">
        <f t="shared" si="697"/>
        <v>0</v>
      </c>
      <c r="T998" s="11"/>
      <c r="AS998" s="31">
        <f t="shared" si="698"/>
        <v>0</v>
      </c>
      <c r="AT998" s="31">
        <f t="shared" si="699"/>
        <v>0</v>
      </c>
      <c r="AU998" s="31">
        <f t="shared" si="700"/>
        <v>0</v>
      </c>
      <c r="AV998" s="31">
        <f t="shared" si="701"/>
        <v>0</v>
      </c>
      <c r="AW998" s="31">
        <f t="shared" si="702"/>
        <v>0</v>
      </c>
      <c r="AX998" s="31">
        <f t="shared" si="703"/>
        <v>0</v>
      </c>
      <c r="AY998" s="31">
        <f t="shared" si="704"/>
        <v>0</v>
      </c>
      <c r="AZ998" s="31">
        <f t="shared" si="705"/>
        <v>0</v>
      </c>
      <c r="BA998" s="31">
        <f t="shared" si="706"/>
        <v>0</v>
      </c>
      <c r="BB998" s="31">
        <f t="shared" si="735"/>
        <v>0</v>
      </c>
      <c r="BM998" s="8">
        <f t="shared" si="736"/>
        <v>0</v>
      </c>
      <c r="BN998" s="8">
        <f t="shared" si="707"/>
        <v>0</v>
      </c>
      <c r="BO998" s="8">
        <f t="shared" si="708"/>
        <v>0</v>
      </c>
      <c r="BQ998" s="8">
        <f t="shared" si="709"/>
        <v>0</v>
      </c>
      <c r="BR998" s="63">
        <f t="shared" si="710"/>
        <v>0</v>
      </c>
      <c r="BS998" s="63">
        <f t="shared" si="737"/>
        <v>0</v>
      </c>
      <c r="BT998" s="63">
        <f t="shared" si="711"/>
        <v>0</v>
      </c>
      <c r="BU998" s="63">
        <f t="shared" si="712"/>
        <v>0</v>
      </c>
      <c r="BV998" s="57">
        <f t="shared" si="713"/>
        <v>0</v>
      </c>
      <c r="BW998" s="57">
        <f t="shared" si="714"/>
        <v>0</v>
      </c>
      <c r="BX998" s="57">
        <f t="shared" si="738"/>
        <v>0</v>
      </c>
      <c r="BY998" s="57">
        <f t="shared" si="742"/>
        <v>0</v>
      </c>
      <c r="BZ998" s="8">
        <f t="shared" si="715"/>
        <v>0</v>
      </c>
      <c r="CA998" s="8">
        <f t="shared" si="716"/>
        <v>0</v>
      </c>
      <c r="CB998" s="8">
        <f t="shared" si="717"/>
        <v>0</v>
      </c>
      <c r="CC998" s="8">
        <f t="shared" si="718"/>
        <v>0</v>
      </c>
      <c r="CD998" s="8">
        <f t="shared" si="719"/>
        <v>0</v>
      </c>
      <c r="CE998" s="8">
        <f t="shared" si="720"/>
        <v>0</v>
      </c>
      <c r="CF998" s="8">
        <f t="shared" si="721"/>
        <v>0</v>
      </c>
      <c r="CG998" s="8">
        <f t="shared" si="722"/>
        <v>0</v>
      </c>
      <c r="CH998" s="8">
        <f t="shared" si="723"/>
        <v>0</v>
      </c>
      <c r="CI998" s="8">
        <f t="shared" si="724"/>
        <v>0</v>
      </c>
      <c r="CJ998" s="8">
        <f t="shared" si="725"/>
        <v>0</v>
      </c>
      <c r="CK998" s="8">
        <f t="shared" si="726"/>
        <v>0</v>
      </c>
      <c r="CL998" s="8">
        <f t="shared" si="727"/>
        <v>0</v>
      </c>
      <c r="CM998" s="8">
        <f t="shared" si="728"/>
        <v>0</v>
      </c>
      <c r="CN998" s="8">
        <f t="shared" si="729"/>
        <v>0</v>
      </c>
      <c r="CO998" s="8">
        <f t="shared" si="730"/>
        <v>0</v>
      </c>
      <c r="CP998" s="8">
        <f t="shared" si="731"/>
        <v>0</v>
      </c>
      <c r="CQ998" s="8">
        <f t="shared" si="732"/>
        <v>0</v>
      </c>
      <c r="CR998" s="8">
        <f t="shared" si="733"/>
        <v>0</v>
      </c>
      <c r="CS998" s="8">
        <f t="shared" si="734"/>
        <v>0</v>
      </c>
      <c r="CT998" s="8">
        <f t="shared" si="739"/>
        <v>0</v>
      </c>
      <c r="CU998" s="8">
        <f t="shared" si="740"/>
        <v>0</v>
      </c>
      <c r="CV998" s="8">
        <f t="shared" si="741"/>
        <v>0</v>
      </c>
    </row>
    <row r="999" spans="1:100" ht="20.5" thickTop="1" thickBot="1" x14ac:dyDescent="0.5">
      <c r="A999" s="32"/>
      <c r="B999" s="10"/>
      <c r="C999" s="10"/>
      <c r="D999" s="11"/>
      <c r="E999" s="10"/>
      <c r="F999" s="10"/>
      <c r="G999" s="19"/>
      <c r="H999" s="19"/>
      <c r="I999" s="19"/>
      <c r="J999" s="19"/>
      <c r="K999" s="10"/>
      <c r="L999" s="10"/>
      <c r="M999" s="10"/>
      <c r="N999" s="10"/>
      <c r="O999" s="18"/>
      <c r="P999" s="18"/>
      <c r="Q999" s="21"/>
      <c r="R999" s="20"/>
      <c r="S999" s="16">
        <f t="shared" si="697"/>
        <v>0</v>
      </c>
      <c r="T999" s="11"/>
      <c r="AS999" s="31">
        <f t="shared" si="698"/>
        <v>0</v>
      </c>
      <c r="AT999" s="31">
        <f t="shared" si="699"/>
        <v>0</v>
      </c>
      <c r="AU999" s="31">
        <f t="shared" si="700"/>
        <v>0</v>
      </c>
      <c r="AV999" s="31">
        <f t="shared" si="701"/>
        <v>0</v>
      </c>
      <c r="AW999" s="31">
        <f t="shared" si="702"/>
        <v>0</v>
      </c>
      <c r="AX999" s="31">
        <f t="shared" si="703"/>
        <v>0</v>
      </c>
      <c r="AY999" s="31">
        <f t="shared" si="704"/>
        <v>0</v>
      </c>
      <c r="AZ999" s="31">
        <f t="shared" si="705"/>
        <v>0</v>
      </c>
      <c r="BA999" s="31">
        <f t="shared" si="706"/>
        <v>0</v>
      </c>
      <c r="BB999" s="31">
        <f t="shared" si="735"/>
        <v>0</v>
      </c>
      <c r="BM999" s="8">
        <f t="shared" si="736"/>
        <v>0</v>
      </c>
      <c r="BN999" s="8">
        <f t="shared" si="707"/>
        <v>0</v>
      </c>
      <c r="BO999" s="8">
        <f t="shared" si="708"/>
        <v>0</v>
      </c>
      <c r="BQ999" s="8">
        <f t="shared" si="709"/>
        <v>0</v>
      </c>
      <c r="BR999" s="63">
        <f t="shared" si="710"/>
        <v>0</v>
      </c>
      <c r="BS999" s="63">
        <f t="shared" si="737"/>
        <v>0</v>
      </c>
      <c r="BT999" s="63">
        <f t="shared" si="711"/>
        <v>0</v>
      </c>
      <c r="BU999" s="63">
        <f t="shared" si="712"/>
        <v>0</v>
      </c>
      <c r="BV999" s="57">
        <f t="shared" si="713"/>
        <v>0</v>
      </c>
      <c r="BW999" s="57">
        <f t="shared" si="714"/>
        <v>0</v>
      </c>
      <c r="BX999" s="57">
        <f t="shared" si="738"/>
        <v>0</v>
      </c>
      <c r="BY999" s="57">
        <f t="shared" si="742"/>
        <v>0</v>
      </c>
      <c r="BZ999" s="8">
        <f t="shared" si="715"/>
        <v>0</v>
      </c>
      <c r="CA999" s="8">
        <f t="shared" si="716"/>
        <v>0</v>
      </c>
      <c r="CB999" s="8">
        <f t="shared" si="717"/>
        <v>0</v>
      </c>
      <c r="CC999" s="8">
        <f t="shared" si="718"/>
        <v>0</v>
      </c>
      <c r="CD999" s="8">
        <f t="shared" si="719"/>
        <v>0</v>
      </c>
      <c r="CE999" s="8">
        <f t="shared" si="720"/>
        <v>0</v>
      </c>
      <c r="CF999" s="8">
        <f t="shared" si="721"/>
        <v>0</v>
      </c>
      <c r="CG999" s="8">
        <f t="shared" si="722"/>
        <v>0</v>
      </c>
      <c r="CH999" s="8">
        <f t="shared" si="723"/>
        <v>0</v>
      </c>
      <c r="CI999" s="8">
        <f t="shared" si="724"/>
        <v>0</v>
      </c>
      <c r="CJ999" s="8">
        <f t="shared" si="725"/>
        <v>0</v>
      </c>
      <c r="CK999" s="8">
        <f t="shared" si="726"/>
        <v>0</v>
      </c>
      <c r="CL999" s="8">
        <f t="shared" si="727"/>
        <v>0</v>
      </c>
      <c r="CM999" s="8">
        <f t="shared" si="728"/>
        <v>0</v>
      </c>
      <c r="CN999" s="8">
        <f t="shared" si="729"/>
        <v>0</v>
      </c>
      <c r="CO999" s="8">
        <f t="shared" si="730"/>
        <v>0</v>
      </c>
      <c r="CP999" s="8">
        <f t="shared" si="731"/>
        <v>0</v>
      </c>
      <c r="CQ999" s="8">
        <f t="shared" si="732"/>
        <v>0</v>
      </c>
      <c r="CR999" s="8">
        <f t="shared" si="733"/>
        <v>0</v>
      </c>
      <c r="CS999" s="8">
        <f t="shared" si="734"/>
        <v>0</v>
      </c>
      <c r="CT999" s="8">
        <f t="shared" si="739"/>
        <v>0</v>
      </c>
      <c r="CU999" s="8">
        <f t="shared" si="740"/>
        <v>0</v>
      </c>
      <c r="CV999" s="8">
        <f t="shared" si="741"/>
        <v>0</v>
      </c>
    </row>
    <row r="1000" spans="1:100" ht="20.5" thickTop="1" thickBot="1" x14ac:dyDescent="0.5">
      <c r="A1000" s="32"/>
      <c r="B1000" s="10"/>
      <c r="C1000" s="10"/>
      <c r="D1000" s="11"/>
      <c r="E1000" s="10"/>
      <c r="F1000" s="10"/>
      <c r="G1000" s="19"/>
      <c r="H1000" s="19"/>
      <c r="I1000" s="19"/>
      <c r="J1000" s="19"/>
      <c r="K1000" s="10"/>
      <c r="L1000" s="10"/>
      <c r="M1000" s="10"/>
      <c r="N1000" s="10"/>
      <c r="O1000" s="18"/>
      <c r="P1000" s="18"/>
      <c r="Q1000" s="21"/>
      <c r="R1000" s="20"/>
      <c r="S1000" s="16">
        <f t="shared" si="697"/>
        <v>0</v>
      </c>
      <c r="T1000" s="11"/>
      <c r="AS1000" s="31">
        <f t="shared" si="698"/>
        <v>0</v>
      </c>
      <c r="AT1000" s="31">
        <f t="shared" si="699"/>
        <v>0</v>
      </c>
      <c r="AU1000" s="31">
        <f t="shared" si="700"/>
        <v>0</v>
      </c>
      <c r="AV1000" s="31">
        <f t="shared" si="701"/>
        <v>0</v>
      </c>
      <c r="AW1000" s="31">
        <f t="shared" si="702"/>
        <v>0</v>
      </c>
      <c r="AX1000" s="31">
        <f t="shared" si="703"/>
        <v>0</v>
      </c>
      <c r="AY1000" s="31">
        <f t="shared" si="704"/>
        <v>0</v>
      </c>
      <c r="AZ1000" s="31">
        <f t="shared" si="705"/>
        <v>0</v>
      </c>
      <c r="BA1000" s="31">
        <f t="shared" si="706"/>
        <v>0</v>
      </c>
      <c r="BB1000" s="31">
        <f t="shared" si="735"/>
        <v>0</v>
      </c>
      <c r="BM1000" s="8">
        <f t="shared" si="736"/>
        <v>0</v>
      </c>
      <c r="BN1000" s="8">
        <f t="shared" si="707"/>
        <v>0</v>
      </c>
      <c r="BO1000" s="8">
        <f t="shared" si="708"/>
        <v>0</v>
      </c>
      <c r="BQ1000" s="8">
        <f t="shared" si="709"/>
        <v>0</v>
      </c>
      <c r="BR1000" s="63">
        <f t="shared" si="710"/>
        <v>0</v>
      </c>
      <c r="BS1000" s="63">
        <f t="shared" si="737"/>
        <v>0</v>
      </c>
      <c r="BT1000" s="63">
        <f t="shared" si="711"/>
        <v>0</v>
      </c>
      <c r="BU1000" s="63">
        <f t="shared" si="712"/>
        <v>0</v>
      </c>
      <c r="BV1000" s="57">
        <f t="shared" si="713"/>
        <v>0</v>
      </c>
      <c r="BW1000" s="57">
        <f t="shared" si="714"/>
        <v>0</v>
      </c>
      <c r="BX1000" s="57">
        <f t="shared" si="738"/>
        <v>0</v>
      </c>
      <c r="BY1000" s="57">
        <f t="shared" si="742"/>
        <v>0</v>
      </c>
      <c r="BZ1000" s="8">
        <f t="shared" si="715"/>
        <v>0</v>
      </c>
      <c r="CA1000" s="8">
        <f t="shared" si="716"/>
        <v>0</v>
      </c>
      <c r="CB1000" s="8">
        <f t="shared" si="717"/>
        <v>0</v>
      </c>
      <c r="CC1000" s="8">
        <f t="shared" si="718"/>
        <v>0</v>
      </c>
      <c r="CD1000" s="8">
        <f t="shared" si="719"/>
        <v>0</v>
      </c>
      <c r="CE1000" s="8">
        <f t="shared" si="720"/>
        <v>0</v>
      </c>
      <c r="CF1000" s="8">
        <f t="shared" si="721"/>
        <v>0</v>
      </c>
      <c r="CG1000" s="8">
        <f t="shared" si="722"/>
        <v>0</v>
      </c>
      <c r="CH1000" s="8">
        <f t="shared" si="723"/>
        <v>0</v>
      </c>
      <c r="CI1000" s="8">
        <f t="shared" si="724"/>
        <v>0</v>
      </c>
      <c r="CJ1000" s="8">
        <f t="shared" si="725"/>
        <v>0</v>
      </c>
      <c r="CK1000" s="8">
        <f t="shared" si="726"/>
        <v>0</v>
      </c>
      <c r="CL1000" s="8">
        <f t="shared" si="727"/>
        <v>0</v>
      </c>
      <c r="CM1000" s="8">
        <f t="shared" si="728"/>
        <v>0</v>
      </c>
      <c r="CN1000" s="8">
        <f t="shared" si="729"/>
        <v>0</v>
      </c>
      <c r="CO1000" s="8">
        <f t="shared" si="730"/>
        <v>0</v>
      </c>
      <c r="CP1000" s="8">
        <f t="shared" si="731"/>
        <v>0</v>
      </c>
      <c r="CQ1000" s="8">
        <f t="shared" si="732"/>
        <v>0</v>
      </c>
      <c r="CR1000" s="8">
        <f t="shared" si="733"/>
        <v>0</v>
      </c>
      <c r="CS1000" s="8">
        <f t="shared" si="734"/>
        <v>0</v>
      </c>
      <c r="CT1000" s="8">
        <f t="shared" si="739"/>
        <v>0</v>
      </c>
      <c r="CU1000" s="8">
        <f t="shared" si="740"/>
        <v>0</v>
      </c>
      <c r="CV1000" s="8">
        <f t="shared" si="741"/>
        <v>0</v>
      </c>
    </row>
    <row r="1001" spans="1:100" ht="20.5" thickTop="1" thickBot="1" x14ac:dyDescent="0.5">
      <c r="A1001" s="32"/>
      <c r="B1001" s="10"/>
      <c r="C1001" s="10"/>
      <c r="D1001" s="11"/>
      <c r="E1001" s="10"/>
      <c r="F1001" s="10"/>
      <c r="G1001" s="19"/>
      <c r="H1001" s="19"/>
      <c r="I1001" s="19"/>
      <c r="J1001" s="19"/>
      <c r="K1001" s="10"/>
      <c r="L1001" s="10"/>
      <c r="M1001" s="10"/>
      <c r="N1001" s="10"/>
      <c r="O1001" s="18"/>
      <c r="P1001" s="18"/>
      <c r="Q1001" s="21"/>
      <c r="R1001" s="20"/>
      <c r="S1001" s="16">
        <f t="shared" si="697"/>
        <v>0</v>
      </c>
      <c r="T1001" s="11"/>
      <c r="AS1001" s="31">
        <f t="shared" si="698"/>
        <v>0</v>
      </c>
      <c r="AT1001" s="31">
        <f t="shared" si="699"/>
        <v>0</v>
      </c>
      <c r="AU1001" s="31">
        <f t="shared" si="700"/>
        <v>0</v>
      </c>
      <c r="AV1001" s="31">
        <f t="shared" si="701"/>
        <v>0</v>
      </c>
      <c r="AW1001" s="31">
        <f t="shared" si="702"/>
        <v>0</v>
      </c>
      <c r="AX1001" s="31">
        <f t="shared" si="703"/>
        <v>0</v>
      </c>
      <c r="AY1001" s="31">
        <f t="shared" si="704"/>
        <v>0</v>
      </c>
      <c r="AZ1001" s="31">
        <f t="shared" si="705"/>
        <v>0</v>
      </c>
      <c r="BA1001" s="31">
        <f t="shared" si="706"/>
        <v>0</v>
      </c>
      <c r="BB1001" s="31">
        <f t="shared" si="735"/>
        <v>0</v>
      </c>
      <c r="BM1001" s="8">
        <f t="shared" si="736"/>
        <v>0</v>
      </c>
      <c r="BN1001" s="8">
        <f t="shared" si="707"/>
        <v>0</v>
      </c>
      <c r="BO1001" s="8">
        <f t="shared" si="708"/>
        <v>0</v>
      </c>
      <c r="BQ1001" s="8">
        <f t="shared" si="709"/>
        <v>0</v>
      </c>
      <c r="BR1001" s="63">
        <f t="shared" si="710"/>
        <v>0</v>
      </c>
      <c r="BS1001" s="63">
        <f t="shared" si="737"/>
        <v>0</v>
      </c>
      <c r="BT1001" s="63">
        <f t="shared" si="711"/>
        <v>0</v>
      </c>
      <c r="BU1001" s="63">
        <f t="shared" si="712"/>
        <v>0</v>
      </c>
      <c r="BV1001" s="57">
        <f t="shared" si="713"/>
        <v>0</v>
      </c>
      <c r="BW1001" s="57">
        <f t="shared" si="714"/>
        <v>0</v>
      </c>
      <c r="BX1001" s="57">
        <f t="shared" si="738"/>
        <v>0</v>
      </c>
      <c r="BY1001" s="57">
        <f t="shared" si="742"/>
        <v>0</v>
      </c>
      <c r="BZ1001" s="8">
        <f t="shared" si="715"/>
        <v>0</v>
      </c>
      <c r="CA1001" s="8">
        <f t="shared" si="716"/>
        <v>0</v>
      </c>
      <c r="CB1001" s="8">
        <f t="shared" si="717"/>
        <v>0</v>
      </c>
      <c r="CC1001" s="8">
        <f t="shared" si="718"/>
        <v>0</v>
      </c>
      <c r="CD1001" s="8">
        <f t="shared" si="719"/>
        <v>0</v>
      </c>
      <c r="CE1001" s="8">
        <f t="shared" si="720"/>
        <v>0</v>
      </c>
      <c r="CF1001" s="8">
        <f t="shared" si="721"/>
        <v>0</v>
      </c>
      <c r="CG1001" s="8">
        <f t="shared" si="722"/>
        <v>0</v>
      </c>
      <c r="CH1001" s="8">
        <f t="shared" si="723"/>
        <v>0</v>
      </c>
      <c r="CI1001" s="8">
        <f t="shared" si="724"/>
        <v>0</v>
      </c>
      <c r="CJ1001" s="8">
        <f t="shared" si="725"/>
        <v>0</v>
      </c>
      <c r="CK1001" s="8">
        <f t="shared" si="726"/>
        <v>0</v>
      </c>
      <c r="CL1001" s="8">
        <f t="shared" si="727"/>
        <v>0</v>
      </c>
      <c r="CM1001" s="8">
        <f t="shared" si="728"/>
        <v>0</v>
      </c>
      <c r="CN1001" s="8">
        <f t="shared" si="729"/>
        <v>0</v>
      </c>
      <c r="CO1001" s="8">
        <f t="shared" si="730"/>
        <v>0</v>
      </c>
      <c r="CP1001" s="8">
        <f t="shared" si="731"/>
        <v>0</v>
      </c>
      <c r="CQ1001" s="8">
        <f t="shared" si="732"/>
        <v>0</v>
      </c>
      <c r="CR1001" s="8">
        <f t="shared" si="733"/>
        <v>0</v>
      </c>
      <c r="CS1001" s="8">
        <f t="shared" si="734"/>
        <v>0</v>
      </c>
      <c r="CT1001" s="8">
        <f t="shared" si="739"/>
        <v>0</v>
      </c>
      <c r="CU1001" s="8">
        <f t="shared" si="740"/>
        <v>0</v>
      </c>
      <c r="CV1001" s="8">
        <f t="shared" si="741"/>
        <v>0</v>
      </c>
    </row>
    <row r="1002" spans="1:100" ht="20.5" thickTop="1" thickBot="1" x14ac:dyDescent="0.5">
      <c r="A1002" s="32"/>
      <c r="B1002" s="10"/>
      <c r="C1002" s="10"/>
      <c r="D1002" s="11"/>
      <c r="E1002" s="10"/>
      <c r="F1002" s="10"/>
      <c r="G1002" s="19"/>
      <c r="H1002" s="19"/>
      <c r="I1002" s="19"/>
      <c r="J1002" s="19"/>
      <c r="K1002" s="10"/>
      <c r="L1002" s="10"/>
      <c r="M1002" s="10"/>
      <c r="N1002" s="10"/>
      <c r="O1002" s="18"/>
      <c r="P1002" s="18"/>
      <c r="Q1002" s="21"/>
      <c r="R1002" s="20"/>
      <c r="S1002" s="16">
        <f t="shared" si="697"/>
        <v>0</v>
      </c>
      <c r="T1002" s="11"/>
      <c r="AS1002" s="31">
        <f t="shared" si="698"/>
        <v>0</v>
      </c>
      <c r="AT1002" s="31">
        <f t="shared" si="699"/>
        <v>0</v>
      </c>
      <c r="AU1002" s="31">
        <f t="shared" si="700"/>
        <v>0</v>
      </c>
      <c r="AV1002" s="31">
        <f t="shared" si="701"/>
        <v>0</v>
      </c>
      <c r="AW1002" s="31">
        <f t="shared" si="702"/>
        <v>0</v>
      </c>
      <c r="AX1002" s="31">
        <f t="shared" si="703"/>
        <v>0</v>
      </c>
      <c r="AY1002" s="31">
        <f t="shared" si="704"/>
        <v>0</v>
      </c>
      <c r="AZ1002" s="31">
        <f t="shared" si="705"/>
        <v>0</v>
      </c>
      <c r="BA1002" s="31">
        <f t="shared" si="706"/>
        <v>0</v>
      </c>
      <c r="BB1002" s="31">
        <f t="shared" si="735"/>
        <v>0</v>
      </c>
      <c r="BM1002" s="8">
        <f t="shared" si="736"/>
        <v>0</v>
      </c>
      <c r="BN1002" s="8">
        <f t="shared" si="707"/>
        <v>0</v>
      </c>
      <c r="BO1002" s="8">
        <f t="shared" si="708"/>
        <v>0</v>
      </c>
      <c r="BQ1002" s="8">
        <f t="shared" si="709"/>
        <v>0</v>
      </c>
      <c r="BR1002" s="63">
        <f t="shared" si="710"/>
        <v>0</v>
      </c>
      <c r="BS1002" s="63">
        <f t="shared" si="737"/>
        <v>0</v>
      </c>
      <c r="BT1002" s="63">
        <f t="shared" si="711"/>
        <v>0</v>
      </c>
      <c r="BU1002" s="63">
        <f t="shared" si="712"/>
        <v>0</v>
      </c>
      <c r="BV1002" s="57">
        <f t="shared" si="713"/>
        <v>0</v>
      </c>
      <c r="BW1002" s="57">
        <f t="shared" si="714"/>
        <v>0</v>
      </c>
      <c r="BX1002" s="57">
        <f t="shared" si="738"/>
        <v>0</v>
      </c>
      <c r="BY1002" s="57">
        <f t="shared" si="742"/>
        <v>0</v>
      </c>
      <c r="BZ1002" s="8">
        <f t="shared" si="715"/>
        <v>0</v>
      </c>
      <c r="CA1002" s="8">
        <f t="shared" si="716"/>
        <v>0</v>
      </c>
      <c r="CB1002" s="8">
        <f t="shared" si="717"/>
        <v>0</v>
      </c>
      <c r="CC1002" s="8">
        <f t="shared" si="718"/>
        <v>0</v>
      </c>
      <c r="CD1002" s="8">
        <f t="shared" si="719"/>
        <v>0</v>
      </c>
      <c r="CE1002" s="8">
        <f t="shared" si="720"/>
        <v>0</v>
      </c>
      <c r="CF1002" s="8">
        <f t="shared" si="721"/>
        <v>0</v>
      </c>
      <c r="CG1002" s="8">
        <f t="shared" si="722"/>
        <v>0</v>
      </c>
      <c r="CH1002" s="8">
        <f t="shared" si="723"/>
        <v>0</v>
      </c>
      <c r="CI1002" s="8">
        <f t="shared" si="724"/>
        <v>0</v>
      </c>
      <c r="CJ1002" s="8">
        <f t="shared" si="725"/>
        <v>0</v>
      </c>
      <c r="CK1002" s="8">
        <f t="shared" si="726"/>
        <v>0</v>
      </c>
      <c r="CL1002" s="8">
        <f t="shared" si="727"/>
        <v>0</v>
      </c>
      <c r="CM1002" s="8">
        <f t="shared" si="728"/>
        <v>0</v>
      </c>
      <c r="CN1002" s="8">
        <f t="shared" si="729"/>
        <v>0</v>
      </c>
      <c r="CO1002" s="8">
        <f t="shared" si="730"/>
        <v>0</v>
      </c>
      <c r="CP1002" s="8">
        <f t="shared" si="731"/>
        <v>0</v>
      </c>
      <c r="CQ1002" s="8">
        <f t="shared" si="732"/>
        <v>0</v>
      </c>
      <c r="CR1002" s="8">
        <f t="shared" si="733"/>
        <v>0</v>
      </c>
      <c r="CS1002" s="8">
        <f t="shared" si="734"/>
        <v>0</v>
      </c>
      <c r="CT1002" s="8">
        <f t="shared" si="739"/>
        <v>0</v>
      </c>
      <c r="CU1002" s="8">
        <f t="shared" si="740"/>
        <v>0</v>
      </c>
      <c r="CV1002" s="8">
        <f t="shared" si="741"/>
        <v>0</v>
      </c>
    </row>
    <row r="1003" spans="1:100" ht="20.5" thickTop="1" thickBot="1" x14ac:dyDescent="0.5">
      <c r="A1003" s="32"/>
      <c r="B1003" s="10"/>
      <c r="C1003" s="10"/>
      <c r="D1003" s="11"/>
      <c r="E1003" s="10"/>
      <c r="F1003" s="10"/>
      <c r="G1003" s="19"/>
      <c r="H1003" s="19"/>
      <c r="I1003" s="19"/>
      <c r="J1003" s="19"/>
      <c r="K1003" s="10"/>
      <c r="L1003" s="10"/>
      <c r="M1003" s="10"/>
      <c r="N1003" s="10"/>
      <c r="O1003" s="18"/>
      <c r="P1003" s="18"/>
      <c r="Q1003" s="21"/>
      <c r="R1003" s="20"/>
      <c r="S1003" s="16">
        <f t="shared" si="697"/>
        <v>0</v>
      </c>
      <c r="T1003" s="11"/>
      <c r="AS1003" s="31">
        <f t="shared" si="698"/>
        <v>0</v>
      </c>
      <c r="AT1003" s="31">
        <f t="shared" si="699"/>
        <v>0</v>
      </c>
      <c r="AU1003" s="31">
        <f t="shared" si="700"/>
        <v>0</v>
      </c>
      <c r="AV1003" s="31">
        <f t="shared" si="701"/>
        <v>0</v>
      </c>
      <c r="AW1003" s="31">
        <f t="shared" si="702"/>
        <v>0</v>
      </c>
      <c r="AX1003" s="31">
        <f t="shared" si="703"/>
        <v>0</v>
      </c>
      <c r="AY1003" s="31">
        <f t="shared" si="704"/>
        <v>0</v>
      </c>
      <c r="AZ1003" s="31">
        <f t="shared" si="705"/>
        <v>0</v>
      </c>
      <c r="BA1003" s="31">
        <f t="shared" si="706"/>
        <v>0</v>
      </c>
      <c r="BB1003" s="31">
        <f t="shared" si="735"/>
        <v>0</v>
      </c>
      <c r="BM1003" s="8">
        <f t="shared" si="736"/>
        <v>0</v>
      </c>
      <c r="BN1003" s="8">
        <f t="shared" si="707"/>
        <v>0</v>
      </c>
      <c r="BO1003" s="8">
        <f t="shared" si="708"/>
        <v>0</v>
      </c>
      <c r="BQ1003" s="8">
        <f t="shared" si="709"/>
        <v>0</v>
      </c>
      <c r="BR1003" s="63">
        <f t="shared" si="710"/>
        <v>0</v>
      </c>
      <c r="BS1003" s="63">
        <f t="shared" si="737"/>
        <v>0</v>
      </c>
      <c r="BT1003" s="63">
        <f t="shared" si="711"/>
        <v>0</v>
      </c>
      <c r="BU1003" s="63">
        <f t="shared" si="712"/>
        <v>0</v>
      </c>
      <c r="BV1003" s="57">
        <f t="shared" si="713"/>
        <v>0</v>
      </c>
      <c r="BW1003" s="57">
        <f t="shared" si="714"/>
        <v>0</v>
      </c>
      <c r="BX1003" s="57">
        <f t="shared" si="738"/>
        <v>0</v>
      </c>
      <c r="BY1003" s="57">
        <f t="shared" si="742"/>
        <v>0</v>
      </c>
      <c r="BZ1003" s="8">
        <f t="shared" si="715"/>
        <v>0</v>
      </c>
      <c r="CA1003" s="8">
        <f t="shared" si="716"/>
        <v>0</v>
      </c>
      <c r="CB1003" s="8">
        <f t="shared" si="717"/>
        <v>0</v>
      </c>
      <c r="CC1003" s="8">
        <f t="shared" si="718"/>
        <v>0</v>
      </c>
      <c r="CD1003" s="8">
        <f t="shared" si="719"/>
        <v>0</v>
      </c>
      <c r="CE1003" s="8">
        <f t="shared" si="720"/>
        <v>0</v>
      </c>
      <c r="CF1003" s="8">
        <f t="shared" si="721"/>
        <v>0</v>
      </c>
      <c r="CG1003" s="8">
        <f t="shared" si="722"/>
        <v>0</v>
      </c>
      <c r="CH1003" s="8">
        <f t="shared" si="723"/>
        <v>0</v>
      </c>
      <c r="CI1003" s="8">
        <f t="shared" si="724"/>
        <v>0</v>
      </c>
      <c r="CJ1003" s="8">
        <f t="shared" si="725"/>
        <v>0</v>
      </c>
      <c r="CK1003" s="8">
        <f t="shared" si="726"/>
        <v>0</v>
      </c>
      <c r="CL1003" s="8">
        <f t="shared" si="727"/>
        <v>0</v>
      </c>
      <c r="CM1003" s="8">
        <f t="shared" si="728"/>
        <v>0</v>
      </c>
      <c r="CN1003" s="8">
        <f t="shared" si="729"/>
        <v>0</v>
      </c>
      <c r="CO1003" s="8">
        <f t="shared" si="730"/>
        <v>0</v>
      </c>
      <c r="CP1003" s="8">
        <f t="shared" si="731"/>
        <v>0</v>
      </c>
      <c r="CQ1003" s="8">
        <f t="shared" si="732"/>
        <v>0</v>
      </c>
      <c r="CR1003" s="8">
        <f t="shared" si="733"/>
        <v>0</v>
      </c>
      <c r="CS1003" s="8">
        <f t="shared" si="734"/>
        <v>0</v>
      </c>
      <c r="CT1003" s="8">
        <f t="shared" si="739"/>
        <v>0</v>
      </c>
      <c r="CU1003" s="8">
        <f t="shared" si="740"/>
        <v>0</v>
      </c>
      <c r="CV1003" s="8">
        <f t="shared" si="741"/>
        <v>0</v>
      </c>
    </row>
    <row r="1004" spans="1:100" ht="20.5" thickTop="1" thickBot="1" x14ac:dyDescent="0.5">
      <c r="A1004" s="32"/>
      <c r="B1004" s="10"/>
      <c r="C1004" s="10"/>
      <c r="D1004" s="11"/>
      <c r="E1004" s="10"/>
      <c r="F1004" s="10"/>
      <c r="G1004" s="19"/>
      <c r="H1004" s="19"/>
      <c r="I1004" s="19"/>
      <c r="J1004" s="19"/>
      <c r="K1004" s="10"/>
      <c r="L1004" s="10"/>
      <c r="M1004" s="10"/>
      <c r="N1004" s="10"/>
      <c r="O1004" s="18"/>
      <c r="P1004" s="18"/>
      <c r="Q1004" s="21"/>
      <c r="R1004" s="20"/>
      <c r="S1004" s="16">
        <f t="shared" si="697"/>
        <v>0</v>
      </c>
      <c r="T1004" s="11"/>
      <c r="AS1004" s="31">
        <f t="shared" si="698"/>
        <v>0</v>
      </c>
      <c r="AT1004" s="31">
        <f t="shared" si="699"/>
        <v>0</v>
      </c>
      <c r="AU1004" s="31">
        <f t="shared" si="700"/>
        <v>0</v>
      </c>
      <c r="AV1004" s="31">
        <f t="shared" si="701"/>
        <v>0</v>
      </c>
      <c r="AW1004" s="31">
        <f t="shared" si="702"/>
        <v>0</v>
      </c>
      <c r="AX1004" s="31">
        <f t="shared" si="703"/>
        <v>0</v>
      </c>
      <c r="AY1004" s="31">
        <f t="shared" si="704"/>
        <v>0</v>
      </c>
      <c r="AZ1004" s="31">
        <f t="shared" si="705"/>
        <v>0</v>
      </c>
      <c r="BA1004" s="31">
        <f t="shared" si="706"/>
        <v>0</v>
      </c>
      <c r="BB1004" s="31">
        <f t="shared" si="735"/>
        <v>0</v>
      </c>
      <c r="BM1004" s="8">
        <f t="shared" si="736"/>
        <v>0</v>
      </c>
      <c r="BN1004" s="8">
        <f t="shared" si="707"/>
        <v>0</v>
      </c>
      <c r="BO1004" s="8">
        <f t="shared" si="708"/>
        <v>0</v>
      </c>
      <c r="BQ1004" s="8">
        <f t="shared" si="709"/>
        <v>0</v>
      </c>
      <c r="BR1004" s="63">
        <f t="shared" si="710"/>
        <v>0</v>
      </c>
      <c r="BS1004" s="63">
        <f t="shared" si="737"/>
        <v>0</v>
      </c>
      <c r="BT1004" s="63">
        <f t="shared" si="711"/>
        <v>0</v>
      </c>
      <c r="BU1004" s="63">
        <f t="shared" si="712"/>
        <v>0</v>
      </c>
      <c r="BV1004" s="57">
        <f t="shared" si="713"/>
        <v>0</v>
      </c>
      <c r="BW1004" s="57">
        <f t="shared" si="714"/>
        <v>0</v>
      </c>
      <c r="BX1004" s="57">
        <f t="shared" si="738"/>
        <v>0</v>
      </c>
      <c r="BY1004" s="57">
        <f t="shared" si="742"/>
        <v>0</v>
      </c>
      <c r="BZ1004" s="8">
        <f t="shared" si="715"/>
        <v>0</v>
      </c>
      <c r="CA1004" s="8">
        <f t="shared" si="716"/>
        <v>0</v>
      </c>
      <c r="CB1004" s="8">
        <f t="shared" si="717"/>
        <v>0</v>
      </c>
      <c r="CC1004" s="8">
        <f t="shared" si="718"/>
        <v>0</v>
      </c>
      <c r="CD1004" s="8">
        <f t="shared" si="719"/>
        <v>0</v>
      </c>
      <c r="CE1004" s="8">
        <f t="shared" si="720"/>
        <v>0</v>
      </c>
      <c r="CF1004" s="8">
        <f t="shared" si="721"/>
        <v>0</v>
      </c>
      <c r="CG1004" s="8">
        <f t="shared" si="722"/>
        <v>0</v>
      </c>
      <c r="CH1004" s="8">
        <f t="shared" si="723"/>
        <v>0</v>
      </c>
      <c r="CI1004" s="8">
        <f t="shared" si="724"/>
        <v>0</v>
      </c>
      <c r="CJ1004" s="8">
        <f t="shared" si="725"/>
        <v>0</v>
      </c>
      <c r="CK1004" s="8">
        <f t="shared" si="726"/>
        <v>0</v>
      </c>
      <c r="CL1004" s="8">
        <f t="shared" si="727"/>
        <v>0</v>
      </c>
      <c r="CM1004" s="8">
        <f t="shared" si="728"/>
        <v>0</v>
      </c>
      <c r="CN1004" s="8">
        <f t="shared" si="729"/>
        <v>0</v>
      </c>
      <c r="CO1004" s="8">
        <f t="shared" si="730"/>
        <v>0</v>
      </c>
      <c r="CP1004" s="8">
        <f t="shared" si="731"/>
        <v>0</v>
      </c>
      <c r="CQ1004" s="8">
        <f t="shared" si="732"/>
        <v>0</v>
      </c>
      <c r="CR1004" s="8">
        <f t="shared" si="733"/>
        <v>0</v>
      </c>
      <c r="CS1004" s="8">
        <f t="shared" si="734"/>
        <v>0</v>
      </c>
      <c r="CT1004" s="8">
        <f t="shared" si="739"/>
        <v>0</v>
      </c>
      <c r="CU1004" s="8">
        <f t="shared" si="740"/>
        <v>0</v>
      </c>
      <c r="CV1004" s="8">
        <f t="shared" si="741"/>
        <v>0</v>
      </c>
    </row>
    <row r="1005" spans="1:100" ht="20.5" thickTop="1" thickBot="1" x14ac:dyDescent="0.5">
      <c r="A1005" s="32"/>
      <c r="B1005" s="10"/>
      <c r="C1005" s="10"/>
      <c r="D1005" s="11"/>
      <c r="E1005" s="10"/>
      <c r="F1005" s="10"/>
      <c r="G1005" s="19"/>
      <c r="H1005" s="19"/>
      <c r="I1005" s="19"/>
      <c r="J1005" s="19"/>
      <c r="K1005" s="10"/>
      <c r="L1005" s="10"/>
      <c r="M1005" s="10"/>
      <c r="N1005" s="10"/>
      <c r="O1005" s="18"/>
      <c r="P1005" s="18"/>
      <c r="Q1005" s="21"/>
      <c r="R1005" s="20"/>
      <c r="S1005" s="16">
        <f t="shared" si="697"/>
        <v>0</v>
      </c>
      <c r="T1005" s="11"/>
      <c r="AS1005" s="31">
        <f t="shared" si="698"/>
        <v>0</v>
      </c>
      <c r="AT1005" s="31">
        <f t="shared" si="699"/>
        <v>0</v>
      </c>
      <c r="AU1005" s="31">
        <f t="shared" si="700"/>
        <v>0</v>
      </c>
      <c r="AV1005" s="31">
        <f t="shared" si="701"/>
        <v>0</v>
      </c>
      <c r="AW1005" s="31">
        <f t="shared" si="702"/>
        <v>0</v>
      </c>
      <c r="AX1005" s="31">
        <f t="shared" si="703"/>
        <v>0</v>
      </c>
      <c r="AY1005" s="31">
        <f t="shared" si="704"/>
        <v>0</v>
      </c>
      <c r="AZ1005" s="31">
        <f t="shared" si="705"/>
        <v>0</v>
      </c>
      <c r="BA1005" s="31">
        <f t="shared" si="706"/>
        <v>0</v>
      </c>
      <c r="BB1005" s="31">
        <f t="shared" si="735"/>
        <v>0</v>
      </c>
      <c r="BM1005" s="8">
        <f t="shared" si="736"/>
        <v>0</v>
      </c>
      <c r="BN1005" s="8">
        <f t="shared" si="707"/>
        <v>0</v>
      </c>
      <c r="BO1005" s="8">
        <f t="shared" si="708"/>
        <v>0</v>
      </c>
      <c r="BQ1005" s="8">
        <f t="shared" si="709"/>
        <v>0</v>
      </c>
      <c r="BR1005" s="63">
        <f t="shared" si="710"/>
        <v>0</v>
      </c>
      <c r="BS1005" s="63">
        <f t="shared" si="737"/>
        <v>0</v>
      </c>
      <c r="BT1005" s="63">
        <f t="shared" si="711"/>
        <v>0</v>
      </c>
      <c r="BU1005" s="63">
        <f t="shared" si="712"/>
        <v>0</v>
      </c>
      <c r="BV1005" s="57">
        <f t="shared" si="713"/>
        <v>0</v>
      </c>
      <c r="BW1005" s="57">
        <f t="shared" si="714"/>
        <v>0</v>
      </c>
      <c r="BX1005" s="57">
        <f t="shared" si="738"/>
        <v>0</v>
      </c>
      <c r="BY1005" s="57">
        <f t="shared" si="742"/>
        <v>0</v>
      </c>
      <c r="BZ1005" s="8">
        <f t="shared" si="715"/>
        <v>0</v>
      </c>
      <c r="CA1005" s="8">
        <f t="shared" si="716"/>
        <v>0</v>
      </c>
      <c r="CB1005" s="8">
        <f t="shared" si="717"/>
        <v>0</v>
      </c>
      <c r="CC1005" s="8">
        <f t="shared" si="718"/>
        <v>0</v>
      </c>
      <c r="CD1005" s="8">
        <f t="shared" si="719"/>
        <v>0</v>
      </c>
      <c r="CE1005" s="8">
        <f t="shared" si="720"/>
        <v>0</v>
      </c>
      <c r="CF1005" s="8">
        <f t="shared" si="721"/>
        <v>0</v>
      </c>
      <c r="CG1005" s="8">
        <f t="shared" si="722"/>
        <v>0</v>
      </c>
      <c r="CH1005" s="8">
        <f t="shared" si="723"/>
        <v>0</v>
      </c>
      <c r="CI1005" s="8">
        <f t="shared" si="724"/>
        <v>0</v>
      </c>
      <c r="CJ1005" s="8">
        <f t="shared" si="725"/>
        <v>0</v>
      </c>
      <c r="CK1005" s="8">
        <f t="shared" si="726"/>
        <v>0</v>
      </c>
      <c r="CL1005" s="8">
        <f t="shared" si="727"/>
        <v>0</v>
      </c>
      <c r="CM1005" s="8">
        <f t="shared" si="728"/>
        <v>0</v>
      </c>
      <c r="CN1005" s="8">
        <f t="shared" si="729"/>
        <v>0</v>
      </c>
      <c r="CO1005" s="8">
        <f t="shared" si="730"/>
        <v>0</v>
      </c>
      <c r="CP1005" s="8">
        <f t="shared" si="731"/>
        <v>0</v>
      </c>
      <c r="CQ1005" s="8">
        <f t="shared" si="732"/>
        <v>0</v>
      </c>
      <c r="CR1005" s="8">
        <f t="shared" si="733"/>
        <v>0</v>
      </c>
      <c r="CS1005" s="8">
        <f t="shared" si="734"/>
        <v>0</v>
      </c>
      <c r="CT1005" s="8">
        <f t="shared" si="739"/>
        <v>0</v>
      </c>
      <c r="CU1005" s="8">
        <f t="shared" si="740"/>
        <v>0</v>
      </c>
      <c r="CV1005" s="8">
        <f t="shared" si="741"/>
        <v>0</v>
      </c>
    </row>
    <row r="1006" spans="1:100" ht="20.5" thickTop="1" thickBot="1" x14ac:dyDescent="0.5">
      <c r="A1006" s="32"/>
      <c r="B1006" s="10"/>
      <c r="C1006" s="10"/>
      <c r="D1006" s="11"/>
      <c r="E1006" s="10"/>
      <c r="F1006" s="10"/>
      <c r="G1006" s="19"/>
      <c r="H1006" s="19"/>
      <c r="I1006" s="19"/>
      <c r="J1006" s="19"/>
      <c r="K1006" s="10"/>
      <c r="L1006" s="10"/>
      <c r="M1006" s="10"/>
      <c r="N1006" s="10"/>
      <c r="O1006" s="18"/>
      <c r="P1006" s="18"/>
      <c r="Q1006" s="21"/>
      <c r="R1006" s="20"/>
      <c r="S1006" s="16">
        <f t="shared" si="697"/>
        <v>0</v>
      </c>
      <c r="T1006" s="11"/>
      <c r="AS1006" s="31">
        <f t="shared" si="698"/>
        <v>0</v>
      </c>
      <c r="AT1006" s="31">
        <f t="shared" si="699"/>
        <v>0</v>
      </c>
      <c r="AU1006" s="31">
        <f t="shared" si="700"/>
        <v>0</v>
      </c>
      <c r="AV1006" s="31">
        <f t="shared" si="701"/>
        <v>0</v>
      </c>
      <c r="AW1006" s="31">
        <f t="shared" si="702"/>
        <v>0</v>
      </c>
      <c r="AX1006" s="31">
        <f t="shared" si="703"/>
        <v>0</v>
      </c>
      <c r="AY1006" s="31">
        <f t="shared" si="704"/>
        <v>0</v>
      </c>
      <c r="AZ1006" s="31">
        <f t="shared" si="705"/>
        <v>0</v>
      </c>
      <c r="BA1006" s="31">
        <f t="shared" si="706"/>
        <v>0</v>
      </c>
      <c r="BB1006" s="31">
        <f t="shared" si="735"/>
        <v>0</v>
      </c>
      <c r="BM1006" s="8">
        <f t="shared" si="736"/>
        <v>0</v>
      </c>
      <c r="BN1006" s="8">
        <f t="shared" si="707"/>
        <v>0</v>
      </c>
      <c r="BO1006" s="8">
        <f t="shared" si="708"/>
        <v>0</v>
      </c>
      <c r="BQ1006" s="8">
        <f t="shared" si="709"/>
        <v>0</v>
      </c>
      <c r="BR1006" s="63">
        <f t="shared" si="710"/>
        <v>0</v>
      </c>
      <c r="BS1006" s="63">
        <f t="shared" si="737"/>
        <v>0</v>
      </c>
      <c r="BT1006" s="63">
        <f t="shared" si="711"/>
        <v>0</v>
      </c>
      <c r="BU1006" s="63">
        <f t="shared" si="712"/>
        <v>0</v>
      </c>
      <c r="BV1006" s="57">
        <f t="shared" si="713"/>
        <v>0</v>
      </c>
      <c r="BW1006" s="57">
        <f t="shared" si="714"/>
        <v>0</v>
      </c>
      <c r="BX1006" s="57">
        <f t="shared" si="738"/>
        <v>0</v>
      </c>
      <c r="BY1006" s="57">
        <f t="shared" si="742"/>
        <v>0</v>
      </c>
      <c r="BZ1006" s="8">
        <f t="shared" si="715"/>
        <v>0</v>
      </c>
      <c r="CA1006" s="8">
        <f t="shared" si="716"/>
        <v>0</v>
      </c>
      <c r="CB1006" s="8">
        <f t="shared" si="717"/>
        <v>0</v>
      </c>
      <c r="CC1006" s="8">
        <f t="shared" si="718"/>
        <v>0</v>
      </c>
      <c r="CD1006" s="8">
        <f t="shared" si="719"/>
        <v>0</v>
      </c>
      <c r="CE1006" s="8">
        <f t="shared" si="720"/>
        <v>0</v>
      </c>
      <c r="CF1006" s="8">
        <f t="shared" si="721"/>
        <v>0</v>
      </c>
      <c r="CG1006" s="8">
        <f t="shared" si="722"/>
        <v>0</v>
      </c>
      <c r="CH1006" s="8">
        <f t="shared" si="723"/>
        <v>0</v>
      </c>
      <c r="CI1006" s="8">
        <f t="shared" si="724"/>
        <v>0</v>
      </c>
      <c r="CJ1006" s="8">
        <f t="shared" si="725"/>
        <v>0</v>
      </c>
      <c r="CK1006" s="8">
        <f t="shared" si="726"/>
        <v>0</v>
      </c>
      <c r="CL1006" s="8">
        <f t="shared" si="727"/>
        <v>0</v>
      </c>
      <c r="CM1006" s="8">
        <f t="shared" si="728"/>
        <v>0</v>
      </c>
      <c r="CN1006" s="8">
        <f t="shared" si="729"/>
        <v>0</v>
      </c>
      <c r="CO1006" s="8">
        <f t="shared" si="730"/>
        <v>0</v>
      </c>
      <c r="CP1006" s="8">
        <f t="shared" si="731"/>
        <v>0</v>
      </c>
      <c r="CQ1006" s="8">
        <f t="shared" si="732"/>
        <v>0</v>
      </c>
      <c r="CR1006" s="8">
        <f t="shared" si="733"/>
        <v>0</v>
      </c>
      <c r="CS1006" s="8">
        <f t="shared" si="734"/>
        <v>0</v>
      </c>
      <c r="CT1006" s="8">
        <f t="shared" si="739"/>
        <v>0</v>
      </c>
      <c r="CU1006" s="8">
        <f t="shared" si="740"/>
        <v>0</v>
      </c>
      <c r="CV1006" s="8">
        <f t="shared" si="741"/>
        <v>0</v>
      </c>
    </row>
    <row r="1007" spans="1:100" ht="20.5" thickTop="1" thickBot="1" x14ac:dyDescent="0.5">
      <c r="A1007" s="32"/>
      <c r="B1007" s="10"/>
      <c r="C1007" s="10"/>
      <c r="D1007" s="11"/>
      <c r="E1007" s="10"/>
      <c r="F1007" s="10"/>
      <c r="G1007" s="19"/>
      <c r="H1007" s="19"/>
      <c r="I1007" s="19"/>
      <c r="J1007" s="19"/>
      <c r="K1007" s="10"/>
      <c r="L1007" s="10"/>
      <c r="M1007" s="10"/>
      <c r="N1007" s="10"/>
      <c r="O1007" s="18"/>
      <c r="P1007" s="18"/>
      <c r="Q1007" s="21"/>
      <c r="R1007" s="20"/>
      <c r="S1007" s="16">
        <f t="shared" si="697"/>
        <v>0</v>
      </c>
      <c r="T1007" s="11"/>
      <c r="AS1007" s="31">
        <f t="shared" si="698"/>
        <v>0</v>
      </c>
      <c r="AT1007" s="31">
        <f t="shared" si="699"/>
        <v>0</v>
      </c>
      <c r="AU1007" s="31">
        <f t="shared" si="700"/>
        <v>0</v>
      </c>
      <c r="AV1007" s="31">
        <f t="shared" si="701"/>
        <v>0</v>
      </c>
      <c r="AW1007" s="31">
        <f t="shared" si="702"/>
        <v>0</v>
      </c>
      <c r="AX1007" s="31">
        <f t="shared" si="703"/>
        <v>0</v>
      </c>
      <c r="AY1007" s="31">
        <f t="shared" si="704"/>
        <v>0</v>
      </c>
      <c r="AZ1007" s="31">
        <f t="shared" si="705"/>
        <v>0</v>
      </c>
      <c r="BA1007" s="31">
        <f t="shared" si="706"/>
        <v>0</v>
      </c>
      <c r="BB1007" s="31">
        <f t="shared" si="735"/>
        <v>0</v>
      </c>
      <c r="BM1007" s="8">
        <f t="shared" si="736"/>
        <v>0</v>
      </c>
      <c r="BN1007" s="8">
        <f t="shared" si="707"/>
        <v>0</v>
      </c>
      <c r="BO1007" s="8">
        <f t="shared" si="708"/>
        <v>0</v>
      </c>
      <c r="BQ1007" s="8">
        <f t="shared" si="709"/>
        <v>0</v>
      </c>
      <c r="BR1007" s="63">
        <f t="shared" si="710"/>
        <v>0</v>
      </c>
      <c r="BS1007" s="63">
        <f t="shared" si="737"/>
        <v>0</v>
      </c>
      <c r="BT1007" s="63">
        <f t="shared" si="711"/>
        <v>0</v>
      </c>
      <c r="BU1007" s="63">
        <f t="shared" si="712"/>
        <v>0</v>
      </c>
      <c r="BV1007" s="57">
        <f t="shared" si="713"/>
        <v>0</v>
      </c>
      <c r="BW1007" s="57">
        <f t="shared" si="714"/>
        <v>0</v>
      </c>
      <c r="BX1007" s="57">
        <f t="shared" si="738"/>
        <v>0</v>
      </c>
      <c r="BY1007" s="57">
        <f t="shared" si="742"/>
        <v>0</v>
      </c>
      <c r="BZ1007" s="8">
        <f t="shared" si="715"/>
        <v>0</v>
      </c>
      <c r="CA1007" s="8">
        <f t="shared" si="716"/>
        <v>0</v>
      </c>
      <c r="CB1007" s="8">
        <f t="shared" si="717"/>
        <v>0</v>
      </c>
      <c r="CC1007" s="8">
        <f t="shared" si="718"/>
        <v>0</v>
      </c>
      <c r="CD1007" s="8">
        <f t="shared" si="719"/>
        <v>0</v>
      </c>
      <c r="CE1007" s="8">
        <f t="shared" si="720"/>
        <v>0</v>
      </c>
      <c r="CF1007" s="8">
        <f t="shared" si="721"/>
        <v>0</v>
      </c>
      <c r="CG1007" s="8">
        <f t="shared" si="722"/>
        <v>0</v>
      </c>
      <c r="CH1007" s="8">
        <f t="shared" si="723"/>
        <v>0</v>
      </c>
      <c r="CI1007" s="8">
        <f t="shared" si="724"/>
        <v>0</v>
      </c>
      <c r="CJ1007" s="8">
        <f t="shared" si="725"/>
        <v>0</v>
      </c>
      <c r="CK1007" s="8">
        <f t="shared" si="726"/>
        <v>0</v>
      </c>
      <c r="CL1007" s="8">
        <f t="shared" si="727"/>
        <v>0</v>
      </c>
      <c r="CM1007" s="8">
        <f t="shared" si="728"/>
        <v>0</v>
      </c>
      <c r="CN1007" s="8">
        <f t="shared" si="729"/>
        <v>0</v>
      </c>
      <c r="CO1007" s="8">
        <f t="shared" si="730"/>
        <v>0</v>
      </c>
      <c r="CP1007" s="8">
        <f t="shared" si="731"/>
        <v>0</v>
      </c>
      <c r="CQ1007" s="8">
        <f t="shared" si="732"/>
        <v>0</v>
      </c>
      <c r="CR1007" s="8">
        <f t="shared" si="733"/>
        <v>0</v>
      </c>
      <c r="CS1007" s="8">
        <f t="shared" si="734"/>
        <v>0</v>
      </c>
      <c r="CT1007" s="8">
        <f t="shared" si="739"/>
        <v>0</v>
      </c>
      <c r="CU1007" s="8">
        <f t="shared" si="740"/>
        <v>0</v>
      </c>
      <c r="CV1007" s="8">
        <f t="shared" si="741"/>
        <v>0</v>
      </c>
    </row>
    <row r="1008" spans="1:100" ht="20.5" thickTop="1" thickBot="1" x14ac:dyDescent="0.5">
      <c r="A1008" s="32"/>
      <c r="B1008" s="10"/>
      <c r="C1008" s="10"/>
      <c r="D1008" s="11"/>
      <c r="E1008" s="10"/>
      <c r="F1008" s="10"/>
      <c r="G1008" s="19"/>
      <c r="H1008" s="19"/>
      <c r="I1008" s="19"/>
      <c r="J1008" s="19"/>
      <c r="K1008" s="10"/>
      <c r="L1008" s="10"/>
      <c r="M1008" s="10"/>
      <c r="N1008" s="10"/>
      <c r="O1008" s="18"/>
      <c r="P1008" s="18"/>
      <c r="Q1008" s="21"/>
      <c r="R1008" s="20"/>
      <c r="S1008" s="16">
        <f t="shared" si="697"/>
        <v>0</v>
      </c>
      <c r="T1008" s="11"/>
      <c r="AS1008" s="31">
        <f t="shared" si="698"/>
        <v>0</v>
      </c>
      <c r="AT1008" s="31">
        <f t="shared" si="699"/>
        <v>0</v>
      </c>
      <c r="AU1008" s="31">
        <f t="shared" si="700"/>
        <v>0</v>
      </c>
      <c r="AV1008" s="31">
        <f t="shared" si="701"/>
        <v>0</v>
      </c>
      <c r="AW1008" s="31">
        <f t="shared" si="702"/>
        <v>0</v>
      </c>
      <c r="AX1008" s="31">
        <f t="shared" si="703"/>
        <v>0</v>
      </c>
      <c r="AY1008" s="31">
        <f t="shared" si="704"/>
        <v>0</v>
      </c>
      <c r="AZ1008" s="31">
        <f t="shared" si="705"/>
        <v>0</v>
      </c>
      <c r="BA1008" s="31">
        <f t="shared" si="706"/>
        <v>0</v>
      </c>
      <c r="BB1008" s="31">
        <f t="shared" si="735"/>
        <v>0</v>
      </c>
      <c r="BM1008" s="8">
        <f t="shared" si="736"/>
        <v>0</v>
      </c>
      <c r="BN1008" s="8">
        <f t="shared" si="707"/>
        <v>0</v>
      </c>
      <c r="BO1008" s="8">
        <f t="shared" si="708"/>
        <v>0</v>
      </c>
      <c r="BQ1008" s="8">
        <f t="shared" si="709"/>
        <v>0</v>
      </c>
      <c r="BR1008" s="63">
        <f t="shared" si="710"/>
        <v>0</v>
      </c>
      <c r="BS1008" s="63">
        <f t="shared" si="737"/>
        <v>0</v>
      </c>
      <c r="BT1008" s="63">
        <f t="shared" si="711"/>
        <v>0</v>
      </c>
      <c r="BU1008" s="63">
        <f t="shared" si="712"/>
        <v>0</v>
      </c>
      <c r="BV1008" s="57">
        <f t="shared" si="713"/>
        <v>0</v>
      </c>
      <c r="BW1008" s="57">
        <f t="shared" si="714"/>
        <v>0</v>
      </c>
      <c r="BX1008" s="57">
        <f t="shared" si="738"/>
        <v>0</v>
      </c>
      <c r="BY1008" s="57">
        <f t="shared" si="742"/>
        <v>0</v>
      </c>
      <c r="BZ1008" s="8">
        <f t="shared" si="715"/>
        <v>0</v>
      </c>
      <c r="CA1008" s="8">
        <f t="shared" si="716"/>
        <v>0</v>
      </c>
      <c r="CB1008" s="8">
        <f t="shared" si="717"/>
        <v>0</v>
      </c>
      <c r="CC1008" s="8">
        <f t="shared" si="718"/>
        <v>0</v>
      </c>
      <c r="CD1008" s="8">
        <f t="shared" si="719"/>
        <v>0</v>
      </c>
      <c r="CE1008" s="8">
        <f t="shared" si="720"/>
        <v>0</v>
      </c>
      <c r="CF1008" s="8">
        <f t="shared" si="721"/>
        <v>0</v>
      </c>
      <c r="CG1008" s="8">
        <f t="shared" si="722"/>
        <v>0</v>
      </c>
      <c r="CH1008" s="8">
        <f t="shared" si="723"/>
        <v>0</v>
      </c>
      <c r="CI1008" s="8">
        <f t="shared" si="724"/>
        <v>0</v>
      </c>
      <c r="CJ1008" s="8">
        <f t="shared" si="725"/>
        <v>0</v>
      </c>
      <c r="CK1008" s="8">
        <f t="shared" si="726"/>
        <v>0</v>
      </c>
      <c r="CL1008" s="8">
        <f t="shared" si="727"/>
        <v>0</v>
      </c>
      <c r="CM1008" s="8">
        <f t="shared" si="728"/>
        <v>0</v>
      </c>
      <c r="CN1008" s="8">
        <f t="shared" si="729"/>
        <v>0</v>
      </c>
      <c r="CO1008" s="8">
        <f t="shared" si="730"/>
        <v>0</v>
      </c>
      <c r="CP1008" s="8">
        <f t="shared" si="731"/>
        <v>0</v>
      </c>
      <c r="CQ1008" s="8">
        <f t="shared" si="732"/>
        <v>0</v>
      </c>
      <c r="CR1008" s="8">
        <f t="shared" si="733"/>
        <v>0</v>
      </c>
      <c r="CS1008" s="8">
        <f t="shared" si="734"/>
        <v>0</v>
      </c>
      <c r="CT1008" s="8">
        <f t="shared" si="739"/>
        <v>0</v>
      </c>
      <c r="CU1008" s="8">
        <f t="shared" si="740"/>
        <v>0</v>
      </c>
      <c r="CV1008" s="8">
        <f t="shared" si="741"/>
        <v>0</v>
      </c>
    </row>
    <row r="1009" spans="1:100" ht="20.5" thickTop="1" thickBot="1" x14ac:dyDescent="0.5">
      <c r="A1009" s="32"/>
      <c r="B1009" s="10"/>
      <c r="C1009" s="10"/>
      <c r="D1009" s="11"/>
      <c r="E1009" s="10"/>
      <c r="F1009" s="10"/>
      <c r="G1009" s="19"/>
      <c r="H1009" s="19"/>
      <c r="I1009" s="19"/>
      <c r="J1009" s="19"/>
      <c r="K1009" s="10"/>
      <c r="L1009" s="10"/>
      <c r="M1009" s="10"/>
      <c r="N1009" s="10"/>
      <c r="O1009" s="18"/>
      <c r="P1009" s="18"/>
      <c r="Q1009" s="21"/>
      <c r="R1009" s="20"/>
      <c r="S1009" s="16">
        <f t="shared" si="697"/>
        <v>0</v>
      </c>
      <c r="T1009" s="11"/>
      <c r="AS1009" s="31">
        <f t="shared" si="698"/>
        <v>0</v>
      </c>
      <c r="AT1009" s="31">
        <f t="shared" si="699"/>
        <v>0</v>
      </c>
      <c r="AU1009" s="31">
        <f t="shared" si="700"/>
        <v>0</v>
      </c>
      <c r="AV1009" s="31">
        <f t="shared" si="701"/>
        <v>0</v>
      </c>
      <c r="AW1009" s="31">
        <f t="shared" si="702"/>
        <v>0</v>
      </c>
      <c r="AX1009" s="31">
        <f t="shared" si="703"/>
        <v>0</v>
      </c>
      <c r="AY1009" s="31">
        <f t="shared" si="704"/>
        <v>0</v>
      </c>
      <c r="AZ1009" s="31">
        <f t="shared" si="705"/>
        <v>0</v>
      </c>
      <c r="BA1009" s="31">
        <f t="shared" si="706"/>
        <v>0</v>
      </c>
      <c r="BB1009" s="31">
        <f t="shared" si="735"/>
        <v>0</v>
      </c>
      <c r="BM1009" s="8">
        <f t="shared" si="736"/>
        <v>0</v>
      </c>
      <c r="BN1009" s="8">
        <f t="shared" si="707"/>
        <v>0</v>
      </c>
      <c r="BO1009" s="8">
        <f t="shared" si="708"/>
        <v>0</v>
      </c>
      <c r="BQ1009" s="8">
        <f t="shared" si="709"/>
        <v>0</v>
      </c>
      <c r="BR1009" s="63">
        <f t="shared" si="710"/>
        <v>0</v>
      </c>
      <c r="BS1009" s="63">
        <f t="shared" si="737"/>
        <v>0</v>
      </c>
      <c r="BT1009" s="63">
        <f t="shared" si="711"/>
        <v>0</v>
      </c>
      <c r="BU1009" s="63">
        <f t="shared" si="712"/>
        <v>0</v>
      </c>
      <c r="BV1009" s="57">
        <f t="shared" si="713"/>
        <v>0</v>
      </c>
      <c r="BW1009" s="57">
        <f t="shared" si="714"/>
        <v>0</v>
      </c>
      <c r="BX1009" s="57">
        <f t="shared" si="738"/>
        <v>0</v>
      </c>
      <c r="BY1009" s="57">
        <f t="shared" si="742"/>
        <v>0</v>
      </c>
      <c r="BZ1009" s="8">
        <f t="shared" si="715"/>
        <v>0</v>
      </c>
      <c r="CA1009" s="8">
        <f t="shared" si="716"/>
        <v>0</v>
      </c>
      <c r="CB1009" s="8">
        <f t="shared" si="717"/>
        <v>0</v>
      </c>
      <c r="CC1009" s="8">
        <f t="shared" si="718"/>
        <v>0</v>
      </c>
      <c r="CD1009" s="8">
        <f t="shared" si="719"/>
        <v>0</v>
      </c>
      <c r="CE1009" s="8">
        <f t="shared" si="720"/>
        <v>0</v>
      </c>
      <c r="CF1009" s="8">
        <f t="shared" si="721"/>
        <v>0</v>
      </c>
      <c r="CG1009" s="8">
        <f t="shared" si="722"/>
        <v>0</v>
      </c>
      <c r="CH1009" s="8">
        <f t="shared" si="723"/>
        <v>0</v>
      </c>
      <c r="CI1009" s="8">
        <f t="shared" si="724"/>
        <v>0</v>
      </c>
      <c r="CJ1009" s="8">
        <f t="shared" si="725"/>
        <v>0</v>
      </c>
      <c r="CK1009" s="8">
        <f t="shared" si="726"/>
        <v>0</v>
      </c>
      <c r="CL1009" s="8">
        <f t="shared" si="727"/>
        <v>0</v>
      </c>
      <c r="CM1009" s="8">
        <f t="shared" si="728"/>
        <v>0</v>
      </c>
      <c r="CN1009" s="8">
        <f t="shared" si="729"/>
        <v>0</v>
      </c>
      <c r="CO1009" s="8">
        <f t="shared" si="730"/>
        <v>0</v>
      </c>
      <c r="CP1009" s="8">
        <f t="shared" si="731"/>
        <v>0</v>
      </c>
      <c r="CQ1009" s="8">
        <f t="shared" si="732"/>
        <v>0</v>
      </c>
      <c r="CR1009" s="8">
        <f t="shared" si="733"/>
        <v>0</v>
      </c>
      <c r="CS1009" s="8">
        <f t="shared" si="734"/>
        <v>0</v>
      </c>
      <c r="CT1009" s="8">
        <f t="shared" si="739"/>
        <v>0</v>
      </c>
      <c r="CU1009" s="8">
        <f t="shared" si="740"/>
        <v>0</v>
      </c>
      <c r="CV1009" s="8">
        <f t="shared" si="741"/>
        <v>0</v>
      </c>
    </row>
    <row r="1010" spans="1:100" ht="20.5" thickTop="1" thickBot="1" x14ac:dyDescent="0.5">
      <c r="A1010" s="32"/>
      <c r="B1010" s="10"/>
      <c r="C1010" s="10"/>
      <c r="D1010" s="11"/>
      <c r="E1010" s="10"/>
      <c r="F1010" s="10"/>
      <c r="G1010" s="19"/>
      <c r="H1010" s="19"/>
      <c r="I1010" s="19"/>
      <c r="J1010" s="19"/>
      <c r="K1010" s="10"/>
      <c r="L1010" s="10"/>
      <c r="M1010" s="10"/>
      <c r="N1010" s="10"/>
      <c r="O1010" s="18"/>
      <c r="P1010" s="18"/>
      <c r="Q1010" s="21"/>
      <c r="R1010" s="20"/>
      <c r="S1010" s="16">
        <f t="shared" si="697"/>
        <v>0</v>
      </c>
      <c r="T1010" s="11"/>
      <c r="AS1010" s="31">
        <f t="shared" si="698"/>
        <v>0</v>
      </c>
      <c r="AT1010" s="31">
        <f t="shared" si="699"/>
        <v>0</v>
      </c>
      <c r="AU1010" s="31">
        <f t="shared" si="700"/>
        <v>0</v>
      </c>
      <c r="AV1010" s="31">
        <f t="shared" si="701"/>
        <v>0</v>
      </c>
      <c r="AW1010" s="31">
        <f t="shared" si="702"/>
        <v>0</v>
      </c>
      <c r="AX1010" s="31">
        <f t="shared" si="703"/>
        <v>0</v>
      </c>
      <c r="AY1010" s="31">
        <f t="shared" si="704"/>
        <v>0</v>
      </c>
      <c r="AZ1010" s="31">
        <f t="shared" si="705"/>
        <v>0</v>
      </c>
      <c r="BA1010" s="31">
        <f t="shared" si="706"/>
        <v>0</v>
      </c>
      <c r="BB1010" s="31">
        <f t="shared" si="735"/>
        <v>0</v>
      </c>
      <c r="BM1010" s="8">
        <f t="shared" si="736"/>
        <v>0</v>
      </c>
      <c r="BN1010" s="8">
        <f t="shared" si="707"/>
        <v>0</v>
      </c>
      <c r="BO1010" s="8">
        <f t="shared" si="708"/>
        <v>0</v>
      </c>
      <c r="BQ1010" s="8">
        <f t="shared" si="709"/>
        <v>0</v>
      </c>
      <c r="BR1010" s="63">
        <f t="shared" si="710"/>
        <v>0</v>
      </c>
      <c r="BS1010" s="63">
        <f t="shared" si="737"/>
        <v>0</v>
      </c>
      <c r="BT1010" s="63">
        <f t="shared" si="711"/>
        <v>0</v>
      </c>
      <c r="BU1010" s="63">
        <f t="shared" si="712"/>
        <v>0</v>
      </c>
      <c r="BV1010" s="57">
        <f t="shared" si="713"/>
        <v>0</v>
      </c>
      <c r="BW1010" s="57">
        <f t="shared" si="714"/>
        <v>0</v>
      </c>
      <c r="BX1010" s="57">
        <f t="shared" si="738"/>
        <v>0</v>
      </c>
      <c r="BY1010" s="57">
        <f t="shared" si="742"/>
        <v>0</v>
      </c>
      <c r="BZ1010" s="8">
        <f t="shared" si="715"/>
        <v>0</v>
      </c>
      <c r="CA1010" s="8">
        <f t="shared" si="716"/>
        <v>0</v>
      </c>
      <c r="CB1010" s="8">
        <f t="shared" si="717"/>
        <v>0</v>
      </c>
      <c r="CC1010" s="8">
        <f t="shared" si="718"/>
        <v>0</v>
      </c>
      <c r="CD1010" s="8">
        <f t="shared" si="719"/>
        <v>0</v>
      </c>
      <c r="CE1010" s="8">
        <f t="shared" si="720"/>
        <v>0</v>
      </c>
      <c r="CF1010" s="8">
        <f t="shared" si="721"/>
        <v>0</v>
      </c>
      <c r="CG1010" s="8">
        <f t="shared" si="722"/>
        <v>0</v>
      </c>
      <c r="CH1010" s="8">
        <f t="shared" si="723"/>
        <v>0</v>
      </c>
      <c r="CI1010" s="8">
        <f t="shared" si="724"/>
        <v>0</v>
      </c>
      <c r="CJ1010" s="8">
        <f t="shared" si="725"/>
        <v>0</v>
      </c>
      <c r="CK1010" s="8">
        <f t="shared" si="726"/>
        <v>0</v>
      </c>
      <c r="CL1010" s="8">
        <f t="shared" si="727"/>
        <v>0</v>
      </c>
      <c r="CM1010" s="8">
        <f t="shared" si="728"/>
        <v>0</v>
      </c>
      <c r="CN1010" s="8">
        <f t="shared" si="729"/>
        <v>0</v>
      </c>
      <c r="CO1010" s="8">
        <f t="shared" si="730"/>
        <v>0</v>
      </c>
      <c r="CP1010" s="8">
        <f t="shared" si="731"/>
        <v>0</v>
      </c>
      <c r="CQ1010" s="8">
        <f t="shared" si="732"/>
        <v>0</v>
      </c>
      <c r="CR1010" s="8">
        <f t="shared" si="733"/>
        <v>0</v>
      </c>
      <c r="CS1010" s="8">
        <f t="shared" si="734"/>
        <v>0</v>
      </c>
      <c r="CT1010" s="8">
        <f t="shared" si="739"/>
        <v>0</v>
      </c>
      <c r="CU1010" s="8">
        <f t="shared" si="740"/>
        <v>0</v>
      </c>
      <c r="CV1010" s="8">
        <f t="shared" si="741"/>
        <v>0</v>
      </c>
    </row>
    <row r="1011" spans="1:100" ht="20.5" thickTop="1" thickBot="1" x14ac:dyDescent="0.5">
      <c r="A1011" s="32"/>
      <c r="B1011" s="10"/>
      <c r="C1011" s="10"/>
      <c r="D1011" s="11"/>
      <c r="E1011" s="10"/>
      <c r="F1011" s="10"/>
      <c r="G1011" s="19"/>
      <c r="H1011" s="19"/>
      <c r="I1011" s="19"/>
      <c r="J1011" s="19"/>
      <c r="K1011" s="10"/>
      <c r="L1011" s="10"/>
      <c r="M1011" s="10"/>
      <c r="N1011" s="10"/>
      <c r="O1011" s="18"/>
      <c r="P1011" s="18"/>
      <c r="Q1011" s="21"/>
      <c r="R1011" s="20"/>
      <c r="S1011" s="16">
        <f t="shared" si="697"/>
        <v>0</v>
      </c>
      <c r="T1011" s="11"/>
      <c r="AS1011" s="31">
        <f t="shared" si="698"/>
        <v>0</v>
      </c>
      <c r="AT1011" s="31">
        <f t="shared" si="699"/>
        <v>0</v>
      </c>
      <c r="AU1011" s="31">
        <f t="shared" si="700"/>
        <v>0</v>
      </c>
      <c r="AV1011" s="31">
        <f t="shared" si="701"/>
        <v>0</v>
      </c>
      <c r="AW1011" s="31">
        <f t="shared" si="702"/>
        <v>0</v>
      </c>
      <c r="AX1011" s="31">
        <f t="shared" si="703"/>
        <v>0</v>
      </c>
      <c r="AY1011" s="31">
        <f t="shared" si="704"/>
        <v>0</v>
      </c>
      <c r="AZ1011" s="31">
        <f t="shared" si="705"/>
        <v>0</v>
      </c>
      <c r="BA1011" s="31">
        <f t="shared" si="706"/>
        <v>0</v>
      </c>
      <c r="BB1011" s="31">
        <f t="shared" si="735"/>
        <v>0</v>
      </c>
      <c r="BM1011" s="8">
        <f t="shared" si="736"/>
        <v>0</v>
      </c>
      <c r="BN1011" s="8">
        <f t="shared" si="707"/>
        <v>0</v>
      </c>
      <c r="BO1011" s="8">
        <f t="shared" si="708"/>
        <v>0</v>
      </c>
      <c r="BQ1011" s="8">
        <f t="shared" si="709"/>
        <v>0</v>
      </c>
      <c r="BR1011" s="63">
        <f t="shared" si="710"/>
        <v>0</v>
      </c>
      <c r="BS1011" s="63">
        <f t="shared" si="737"/>
        <v>0</v>
      </c>
      <c r="BT1011" s="63">
        <f t="shared" si="711"/>
        <v>0</v>
      </c>
      <c r="BU1011" s="63">
        <f t="shared" si="712"/>
        <v>0</v>
      </c>
      <c r="BV1011" s="57">
        <f t="shared" si="713"/>
        <v>0</v>
      </c>
      <c r="BW1011" s="57">
        <f t="shared" si="714"/>
        <v>0</v>
      </c>
      <c r="BX1011" s="57">
        <f t="shared" si="738"/>
        <v>0</v>
      </c>
      <c r="BY1011" s="57">
        <f t="shared" si="742"/>
        <v>0</v>
      </c>
      <c r="BZ1011" s="8">
        <f t="shared" si="715"/>
        <v>0</v>
      </c>
      <c r="CA1011" s="8">
        <f t="shared" si="716"/>
        <v>0</v>
      </c>
      <c r="CB1011" s="8">
        <f t="shared" si="717"/>
        <v>0</v>
      </c>
      <c r="CC1011" s="8">
        <f t="shared" si="718"/>
        <v>0</v>
      </c>
      <c r="CD1011" s="8">
        <f t="shared" si="719"/>
        <v>0</v>
      </c>
      <c r="CE1011" s="8">
        <f t="shared" si="720"/>
        <v>0</v>
      </c>
      <c r="CF1011" s="8">
        <f t="shared" si="721"/>
        <v>0</v>
      </c>
      <c r="CG1011" s="8">
        <f t="shared" si="722"/>
        <v>0</v>
      </c>
      <c r="CH1011" s="8">
        <f t="shared" si="723"/>
        <v>0</v>
      </c>
      <c r="CI1011" s="8">
        <f t="shared" si="724"/>
        <v>0</v>
      </c>
      <c r="CJ1011" s="8">
        <f t="shared" si="725"/>
        <v>0</v>
      </c>
      <c r="CK1011" s="8">
        <f t="shared" si="726"/>
        <v>0</v>
      </c>
      <c r="CL1011" s="8">
        <f t="shared" si="727"/>
        <v>0</v>
      </c>
      <c r="CM1011" s="8">
        <f t="shared" si="728"/>
        <v>0</v>
      </c>
      <c r="CN1011" s="8">
        <f t="shared" si="729"/>
        <v>0</v>
      </c>
      <c r="CO1011" s="8">
        <f t="shared" si="730"/>
        <v>0</v>
      </c>
      <c r="CP1011" s="8">
        <f t="shared" si="731"/>
        <v>0</v>
      </c>
      <c r="CQ1011" s="8">
        <f t="shared" si="732"/>
        <v>0</v>
      </c>
      <c r="CR1011" s="8">
        <f t="shared" si="733"/>
        <v>0</v>
      </c>
      <c r="CS1011" s="8">
        <f t="shared" si="734"/>
        <v>0</v>
      </c>
      <c r="CT1011" s="8">
        <f t="shared" si="739"/>
        <v>0</v>
      </c>
      <c r="CU1011" s="8">
        <f t="shared" si="740"/>
        <v>0</v>
      </c>
      <c r="CV1011" s="8">
        <f t="shared" si="741"/>
        <v>0</v>
      </c>
    </row>
    <row r="1012" spans="1:100" ht="20.5" thickTop="1" thickBot="1" x14ac:dyDescent="0.5">
      <c r="A1012" s="32"/>
      <c r="B1012" s="10"/>
      <c r="C1012" s="10"/>
      <c r="D1012" s="11"/>
      <c r="E1012" s="10"/>
      <c r="F1012" s="10"/>
      <c r="G1012" s="19"/>
      <c r="H1012" s="19"/>
      <c r="I1012" s="19"/>
      <c r="J1012" s="19"/>
      <c r="K1012" s="10"/>
      <c r="L1012" s="10"/>
      <c r="M1012" s="10"/>
      <c r="N1012" s="10"/>
      <c r="O1012" s="18"/>
      <c r="P1012" s="18"/>
      <c r="Q1012" s="21"/>
      <c r="R1012" s="20"/>
      <c r="S1012" s="16">
        <f t="shared" si="697"/>
        <v>0</v>
      </c>
      <c r="T1012" s="11"/>
      <c r="AS1012" s="31">
        <f t="shared" si="698"/>
        <v>0</v>
      </c>
      <c r="AT1012" s="31">
        <f t="shared" si="699"/>
        <v>0</v>
      </c>
      <c r="AU1012" s="31">
        <f t="shared" si="700"/>
        <v>0</v>
      </c>
      <c r="AV1012" s="31">
        <f t="shared" si="701"/>
        <v>0</v>
      </c>
      <c r="AW1012" s="31">
        <f t="shared" si="702"/>
        <v>0</v>
      </c>
      <c r="AX1012" s="31">
        <f t="shared" si="703"/>
        <v>0</v>
      </c>
      <c r="AY1012" s="31">
        <f t="shared" si="704"/>
        <v>0</v>
      </c>
      <c r="AZ1012" s="31">
        <f t="shared" si="705"/>
        <v>0</v>
      </c>
      <c r="BA1012" s="31">
        <f t="shared" si="706"/>
        <v>0</v>
      </c>
      <c r="BB1012" s="31">
        <f t="shared" si="735"/>
        <v>0</v>
      </c>
      <c r="BM1012" s="8">
        <f t="shared" si="736"/>
        <v>0</v>
      </c>
      <c r="BN1012" s="8">
        <f t="shared" si="707"/>
        <v>0</v>
      </c>
      <c r="BO1012" s="8">
        <f t="shared" si="708"/>
        <v>0</v>
      </c>
      <c r="BQ1012" s="8">
        <f t="shared" si="709"/>
        <v>0</v>
      </c>
      <c r="BR1012" s="63">
        <f t="shared" si="710"/>
        <v>0</v>
      </c>
      <c r="BS1012" s="63">
        <f t="shared" si="737"/>
        <v>0</v>
      </c>
      <c r="BT1012" s="63">
        <f t="shared" si="711"/>
        <v>0</v>
      </c>
      <c r="BU1012" s="63">
        <f t="shared" si="712"/>
        <v>0</v>
      </c>
      <c r="BV1012" s="57">
        <f t="shared" si="713"/>
        <v>0</v>
      </c>
      <c r="BW1012" s="57">
        <f t="shared" si="714"/>
        <v>0</v>
      </c>
      <c r="BX1012" s="57">
        <f t="shared" si="738"/>
        <v>0</v>
      </c>
      <c r="BY1012" s="57">
        <f t="shared" si="742"/>
        <v>0</v>
      </c>
      <c r="BZ1012" s="8">
        <f t="shared" si="715"/>
        <v>0</v>
      </c>
      <c r="CA1012" s="8">
        <f t="shared" si="716"/>
        <v>0</v>
      </c>
      <c r="CB1012" s="8">
        <f t="shared" si="717"/>
        <v>0</v>
      </c>
      <c r="CC1012" s="8">
        <f t="shared" si="718"/>
        <v>0</v>
      </c>
      <c r="CD1012" s="8">
        <f t="shared" si="719"/>
        <v>0</v>
      </c>
      <c r="CE1012" s="8">
        <f t="shared" si="720"/>
        <v>0</v>
      </c>
      <c r="CF1012" s="8">
        <f t="shared" si="721"/>
        <v>0</v>
      </c>
      <c r="CG1012" s="8">
        <f t="shared" si="722"/>
        <v>0</v>
      </c>
      <c r="CH1012" s="8">
        <f t="shared" si="723"/>
        <v>0</v>
      </c>
      <c r="CI1012" s="8">
        <f t="shared" si="724"/>
        <v>0</v>
      </c>
      <c r="CJ1012" s="8">
        <f t="shared" si="725"/>
        <v>0</v>
      </c>
      <c r="CK1012" s="8">
        <f t="shared" si="726"/>
        <v>0</v>
      </c>
      <c r="CL1012" s="8">
        <f t="shared" si="727"/>
        <v>0</v>
      </c>
      <c r="CM1012" s="8">
        <f t="shared" si="728"/>
        <v>0</v>
      </c>
      <c r="CN1012" s="8">
        <f t="shared" si="729"/>
        <v>0</v>
      </c>
      <c r="CO1012" s="8">
        <f t="shared" si="730"/>
        <v>0</v>
      </c>
      <c r="CP1012" s="8">
        <f t="shared" si="731"/>
        <v>0</v>
      </c>
      <c r="CQ1012" s="8">
        <f t="shared" si="732"/>
        <v>0</v>
      </c>
      <c r="CR1012" s="8">
        <f t="shared" si="733"/>
        <v>0</v>
      </c>
      <c r="CS1012" s="8">
        <f t="shared" si="734"/>
        <v>0</v>
      </c>
      <c r="CT1012" s="8">
        <f t="shared" si="739"/>
        <v>0</v>
      </c>
      <c r="CU1012" s="8">
        <f t="shared" si="740"/>
        <v>0</v>
      </c>
      <c r="CV1012" s="8">
        <f t="shared" si="741"/>
        <v>0</v>
      </c>
    </row>
    <row r="1013" spans="1:100" ht="20.5" thickTop="1" thickBot="1" x14ac:dyDescent="0.5">
      <c r="A1013" s="32"/>
      <c r="B1013" s="10"/>
      <c r="C1013" s="10"/>
      <c r="D1013" s="11"/>
      <c r="E1013" s="10"/>
      <c r="F1013" s="10"/>
      <c r="G1013" s="19"/>
      <c r="H1013" s="19"/>
      <c r="I1013" s="19"/>
      <c r="J1013" s="19"/>
      <c r="K1013" s="10"/>
      <c r="L1013" s="10"/>
      <c r="M1013" s="10"/>
      <c r="N1013" s="10"/>
      <c r="O1013" s="18"/>
      <c r="P1013" s="18"/>
      <c r="Q1013" s="21"/>
      <c r="R1013" s="20"/>
      <c r="S1013" s="16">
        <f t="shared" si="697"/>
        <v>0</v>
      </c>
      <c r="T1013" s="11"/>
      <c r="AS1013" s="31">
        <f t="shared" si="698"/>
        <v>0</v>
      </c>
      <c r="AT1013" s="31">
        <f t="shared" si="699"/>
        <v>0</v>
      </c>
      <c r="AU1013" s="31">
        <f t="shared" si="700"/>
        <v>0</v>
      </c>
      <c r="AV1013" s="31">
        <f t="shared" si="701"/>
        <v>0</v>
      </c>
      <c r="AW1013" s="31">
        <f t="shared" si="702"/>
        <v>0</v>
      </c>
      <c r="AX1013" s="31">
        <f t="shared" si="703"/>
        <v>0</v>
      </c>
      <c r="AY1013" s="31">
        <f t="shared" si="704"/>
        <v>0</v>
      </c>
      <c r="AZ1013" s="31">
        <f t="shared" si="705"/>
        <v>0</v>
      </c>
      <c r="BA1013" s="31">
        <f t="shared" si="706"/>
        <v>0</v>
      </c>
      <c r="BB1013" s="31">
        <f t="shared" si="735"/>
        <v>0</v>
      </c>
      <c r="BM1013" s="8">
        <f t="shared" si="736"/>
        <v>0</v>
      </c>
      <c r="BN1013" s="8">
        <f t="shared" si="707"/>
        <v>0</v>
      </c>
      <c r="BO1013" s="8">
        <f t="shared" si="708"/>
        <v>0</v>
      </c>
      <c r="BQ1013" s="8">
        <f t="shared" si="709"/>
        <v>0</v>
      </c>
      <c r="BR1013" s="63">
        <f t="shared" si="710"/>
        <v>0</v>
      </c>
      <c r="BS1013" s="63">
        <f t="shared" si="737"/>
        <v>0</v>
      </c>
      <c r="BT1013" s="63">
        <f t="shared" si="711"/>
        <v>0</v>
      </c>
      <c r="BU1013" s="63">
        <f t="shared" si="712"/>
        <v>0</v>
      </c>
      <c r="BV1013" s="57">
        <f t="shared" si="713"/>
        <v>0</v>
      </c>
      <c r="BW1013" s="57">
        <f t="shared" si="714"/>
        <v>0</v>
      </c>
      <c r="BX1013" s="57">
        <f t="shared" si="738"/>
        <v>0</v>
      </c>
      <c r="BY1013" s="57">
        <f t="shared" si="742"/>
        <v>0</v>
      </c>
      <c r="BZ1013" s="8">
        <f t="shared" si="715"/>
        <v>0</v>
      </c>
      <c r="CA1013" s="8">
        <f t="shared" si="716"/>
        <v>0</v>
      </c>
      <c r="CB1013" s="8">
        <f t="shared" si="717"/>
        <v>0</v>
      </c>
      <c r="CC1013" s="8">
        <f t="shared" si="718"/>
        <v>0</v>
      </c>
      <c r="CD1013" s="8">
        <f t="shared" si="719"/>
        <v>0</v>
      </c>
      <c r="CE1013" s="8">
        <f t="shared" si="720"/>
        <v>0</v>
      </c>
      <c r="CF1013" s="8">
        <f t="shared" si="721"/>
        <v>0</v>
      </c>
      <c r="CG1013" s="8">
        <f t="shared" si="722"/>
        <v>0</v>
      </c>
      <c r="CH1013" s="8">
        <f t="shared" si="723"/>
        <v>0</v>
      </c>
      <c r="CI1013" s="8">
        <f t="shared" si="724"/>
        <v>0</v>
      </c>
      <c r="CJ1013" s="8">
        <f t="shared" si="725"/>
        <v>0</v>
      </c>
      <c r="CK1013" s="8">
        <f t="shared" si="726"/>
        <v>0</v>
      </c>
      <c r="CL1013" s="8">
        <f t="shared" si="727"/>
        <v>0</v>
      </c>
      <c r="CM1013" s="8">
        <f t="shared" si="728"/>
        <v>0</v>
      </c>
      <c r="CN1013" s="8">
        <f t="shared" si="729"/>
        <v>0</v>
      </c>
      <c r="CO1013" s="8">
        <f t="shared" si="730"/>
        <v>0</v>
      </c>
      <c r="CP1013" s="8">
        <f t="shared" si="731"/>
        <v>0</v>
      </c>
      <c r="CQ1013" s="8">
        <f t="shared" si="732"/>
        <v>0</v>
      </c>
      <c r="CR1013" s="8">
        <f t="shared" si="733"/>
        <v>0</v>
      </c>
      <c r="CS1013" s="8">
        <f t="shared" si="734"/>
        <v>0</v>
      </c>
      <c r="CT1013" s="8">
        <f t="shared" si="739"/>
        <v>0</v>
      </c>
      <c r="CU1013" s="8">
        <f t="shared" si="740"/>
        <v>0</v>
      </c>
      <c r="CV1013" s="8">
        <f t="shared" si="741"/>
        <v>0</v>
      </c>
    </row>
    <row r="1014" spans="1:100" ht="20.5" thickTop="1" thickBot="1" x14ac:dyDescent="0.5">
      <c r="A1014" s="32"/>
      <c r="B1014" s="10"/>
      <c r="C1014" s="10"/>
      <c r="D1014" s="11"/>
      <c r="E1014" s="10"/>
      <c r="F1014" s="10"/>
      <c r="G1014" s="19"/>
      <c r="H1014" s="19"/>
      <c r="I1014" s="19"/>
      <c r="J1014" s="19"/>
      <c r="K1014" s="10"/>
      <c r="L1014" s="10"/>
      <c r="M1014" s="10"/>
      <c r="N1014" s="10"/>
      <c r="O1014" s="18"/>
      <c r="P1014" s="18"/>
      <c r="Q1014" s="21"/>
      <c r="R1014" s="20"/>
      <c r="S1014" s="16">
        <f t="shared" si="697"/>
        <v>0</v>
      </c>
      <c r="T1014" s="11"/>
      <c r="AS1014" s="31">
        <f t="shared" si="698"/>
        <v>0</v>
      </c>
      <c r="AT1014" s="31">
        <f t="shared" si="699"/>
        <v>0</v>
      </c>
      <c r="AU1014" s="31">
        <f t="shared" si="700"/>
        <v>0</v>
      </c>
      <c r="AV1014" s="31">
        <f t="shared" si="701"/>
        <v>0</v>
      </c>
      <c r="AW1014" s="31">
        <f t="shared" si="702"/>
        <v>0</v>
      </c>
      <c r="AX1014" s="31">
        <f t="shared" si="703"/>
        <v>0</v>
      </c>
      <c r="AY1014" s="31">
        <f t="shared" si="704"/>
        <v>0</v>
      </c>
      <c r="AZ1014" s="31">
        <f t="shared" si="705"/>
        <v>0</v>
      </c>
      <c r="BA1014" s="31">
        <f t="shared" si="706"/>
        <v>0</v>
      </c>
      <c r="BB1014" s="31">
        <f t="shared" si="735"/>
        <v>0</v>
      </c>
      <c r="BM1014" s="8">
        <f t="shared" si="736"/>
        <v>0</v>
      </c>
      <c r="BN1014" s="8">
        <f t="shared" si="707"/>
        <v>0</v>
      </c>
      <c r="BO1014" s="8">
        <f t="shared" si="708"/>
        <v>0</v>
      </c>
      <c r="BQ1014" s="8">
        <f t="shared" si="709"/>
        <v>0</v>
      </c>
      <c r="BR1014" s="63">
        <f t="shared" si="710"/>
        <v>0</v>
      </c>
      <c r="BS1014" s="63">
        <f t="shared" si="737"/>
        <v>0</v>
      </c>
      <c r="BT1014" s="63">
        <f t="shared" si="711"/>
        <v>0</v>
      </c>
      <c r="BU1014" s="63">
        <f t="shared" si="712"/>
        <v>0</v>
      </c>
      <c r="BV1014" s="57">
        <f t="shared" si="713"/>
        <v>0</v>
      </c>
      <c r="BW1014" s="57">
        <f t="shared" si="714"/>
        <v>0</v>
      </c>
      <c r="BX1014" s="57">
        <f t="shared" si="738"/>
        <v>0</v>
      </c>
      <c r="BY1014" s="57">
        <f t="shared" si="742"/>
        <v>0</v>
      </c>
      <c r="BZ1014" s="8">
        <f t="shared" si="715"/>
        <v>0</v>
      </c>
      <c r="CA1014" s="8">
        <f t="shared" si="716"/>
        <v>0</v>
      </c>
      <c r="CB1014" s="8">
        <f t="shared" si="717"/>
        <v>0</v>
      </c>
      <c r="CC1014" s="8">
        <f t="shared" si="718"/>
        <v>0</v>
      </c>
      <c r="CD1014" s="8">
        <f t="shared" si="719"/>
        <v>0</v>
      </c>
      <c r="CE1014" s="8">
        <f t="shared" si="720"/>
        <v>0</v>
      </c>
      <c r="CF1014" s="8">
        <f t="shared" si="721"/>
        <v>0</v>
      </c>
      <c r="CG1014" s="8">
        <f t="shared" si="722"/>
        <v>0</v>
      </c>
      <c r="CH1014" s="8">
        <f t="shared" si="723"/>
        <v>0</v>
      </c>
      <c r="CI1014" s="8">
        <f t="shared" si="724"/>
        <v>0</v>
      </c>
      <c r="CJ1014" s="8">
        <f t="shared" si="725"/>
        <v>0</v>
      </c>
      <c r="CK1014" s="8">
        <f t="shared" si="726"/>
        <v>0</v>
      </c>
      <c r="CL1014" s="8">
        <f t="shared" si="727"/>
        <v>0</v>
      </c>
      <c r="CM1014" s="8">
        <f t="shared" si="728"/>
        <v>0</v>
      </c>
      <c r="CN1014" s="8">
        <f t="shared" si="729"/>
        <v>0</v>
      </c>
      <c r="CO1014" s="8">
        <f t="shared" si="730"/>
        <v>0</v>
      </c>
      <c r="CP1014" s="8">
        <f t="shared" si="731"/>
        <v>0</v>
      </c>
      <c r="CQ1014" s="8">
        <f t="shared" si="732"/>
        <v>0</v>
      </c>
      <c r="CR1014" s="8">
        <f t="shared" si="733"/>
        <v>0</v>
      </c>
      <c r="CS1014" s="8">
        <f t="shared" si="734"/>
        <v>0</v>
      </c>
      <c r="CT1014" s="8">
        <f t="shared" si="739"/>
        <v>0</v>
      </c>
      <c r="CU1014" s="8">
        <f t="shared" si="740"/>
        <v>0</v>
      </c>
      <c r="CV1014" s="8">
        <f t="shared" si="741"/>
        <v>0</v>
      </c>
    </row>
    <row r="1015" spans="1:100" ht="20.5" thickTop="1" thickBot="1" x14ac:dyDescent="0.5">
      <c r="A1015" s="32"/>
      <c r="B1015" s="10"/>
      <c r="C1015" s="10"/>
      <c r="D1015" s="11"/>
      <c r="E1015" s="10"/>
      <c r="F1015" s="10"/>
      <c r="G1015" s="19"/>
      <c r="H1015" s="19"/>
      <c r="I1015" s="19"/>
      <c r="J1015" s="19"/>
      <c r="K1015" s="10"/>
      <c r="L1015" s="10"/>
      <c r="M1015" s="10"/>
      <c r="N1015" s="10"/>
      <c r="O1015" s="18"/>
      <c r="P1015" s="18"/>
      <c r="Q1015" s="21"/>
      <c r="R1015" s="20"/>
      <c r="S1015" s="16">
        <f t="shared" si="697"/>
        <v>0</v>
      </c>
      <c r="T1015" s="11"/>
      <c r="AS1015" s="31">
        <f t="shared" si="698"/>
        <v>0</v>
      </c>
      <c r="AT1015" s="31">
        <f t="shared" si="699"/>
        <v>0</v>
      </c>
      <c r="AU1015" s="31">
        <f t="shared" si="700"/>
        <v>0</v>
      </c>
      <c r="AV1015" s="31">
        <f t="shared" si="701"/>
        <v>0</v>
      </c>
      <c r="AW1015" s="31">
        <f t="shared" si="702"/>
        <v>0</v>
      </c>
      <c r="AX1015" s="31">
        <f t="shared" si="703"/>
        <v>0</v>
      </c>
      <c r="AY1015" s="31">
        <f t="shared" si="704"/>
        <v>0</v>
      </c>
      <c r="AZ1015" s="31">
        <f t="shared" si="705"/>
        <v>0</v>
      </c>
      <c r="BA1015" s="31">
        <f t="shared" si="706"/>
        <v>0</v>
      </c>
      <c r="BB1015" s="31">
        <f t="shared" si="735"/>
        <v>0</v>
      </c>
      <c r="BM1015" s="8">
        <f t="shared" si="736"/>
        <v>0</v>
      </c>
      <c r="BN1015" s="8">
        <f t="shared" si="707"/>
        <v>0</v>
      </c>
      <c r="BO1015" s="8">
        <f t="shared" si="708"/>
        <v>0</v>
      </c>
      <c r="BQ1015" s="8">
        <f t="shared" si="709"/>
        <v>0</v>
      </c>
      <c r="BR1015" s="63">
        <f t="shared" si="710"/>
        <v>0</v>
      </c>
      <c r="BS1015" s="63">
        <f t="shared" si="737"/>
        <v>0</v>
      </c>
      <c r="BT1015" s="63">
        <f t="shared" si="711"/>
        <v>0</v>
      </c>
      <c r="BU1015" s="63">
        <f t="shared" si="712"/>
        <v>0</v>
      </c>
      <c r="BV1015" s="57">
        <f t="shared" si="713"/>
        <v>0</v>
      </c>
      <c r="BW1015" s="57">
        <f t="shared" si="714"/>
        <v>0</v>
      </c>
      <c r="BX1015" s="57">
        <f t="shared" si="738"/>
        <v>0</v>
      </c>
      <c r="BY1015" s="57">
        <f t="shared" si="742"/>
        <v>0</v>
      </c>
      <c r="BZ1015" s="8">
        <f t="shared" si="715"/>
        <v>0</v>
      </c>
      <c r="CA1015" s="8">
        <f t="shared" si="716"/>
        <v>0</v>
      </c>
      <c r="CB1015" s="8">
        <f t="shared" si="717"/>
        <v>0</v>
      </c>
      <c r="CC1015" s="8">
        <f t="shared" si="718"/>
        <v>0</v>
      </c>
      <c r="CD1015" s="8">
        <f t="shared" si="719"/>
        <v>0</v>
      </c>
      <c r="CE1015" s="8">
        <f t="shared" si="720"/>
        <v>0</v>
      </c>
      <c r="CF1015" s="8">
        <f t="shared" si="721"/>
        <v>0</v>
      </c>
      <c r="CG1015" s="8">
        <f t="shared" si="722"/>
        <v>0</v>
      </c>
      <c r="CH1015" s="8">
        <f t="shared" si="723"/>
        <v>0</v>
      </c>
      <c r="CI1015" s="8">
        <f t="shared" si="724"/>
        <v>0</v>
      </c>
      <c r="CJ1015" s="8">
        <f t="shared" si="725"/>
        <v>0</v>
      </c>
      <c r="CK1015" s="8">
        <f t="shared" si="726"/>
        <v>0</v>
      </c>
      <c r="CL1015" s="8">
        <f t="shared" si="727"/>
        <v>0</v>
      </c>
      <c r="CM1015" s="8">
        <f t="shared" si="728"/>
        <v>0</v>
      </c>
      <c r="CN1015" s="8">
        <f t="shared" si="729"/>
        <v>0</v>
      </c>
      <c r="CO1015" s="8">
        <f t="shared" si="730"/>
        <v>0</v>
      </c>
      <c r="CP1015" s="8">
        <f t="shared" si="731"/>
        <v>0</v>
      </c>
      <c r="CQ1015" s="8">
        <f t="shared" si="732"/>
        <v>0</v>
      </c>
      <c r="CR1015" s="8">
        <f t="shared" si="733"/>
        <v>0</v>
      </c>
      <c r="CS1015" s="8">
        <f t="shared" si="734"/>
        <v>0</v>
      </c>
      <c r="CT1015" s="8">
        <f t="shared" si="739"/>
        <v>0</v>
      </c>
      <c r="CU1015" s="8">
        <f t="shared" si="740"/>
        <v>0</v>
      </c>
      <c r="CV1015" s="8">
        <f t="shared" si="741"/>
        <v>0</v>
      </c>
    </row>
    <row r="1016" spans="1:100" ht="20.5" thickTop="1" thickBot="1" x14ac:dyDescent="0.5">
      <c r="A1016" s="32"/>
      <c r="B1016" s="10"/>
      <c r="C1016" s="10"/>
      <c r="D1016" s="11"/>
      <c r="E1016" s="10"/>
      <c r="F1016" s="10"/>
      <c r="G1016" s="19"/>
      <c r="H1016" s="19"/>
      <c r="I1016" s="19"/>
      <c r="J1016" s="19"/>
      <c r="K1016" s="10"/>
      <c r="L1016" s="10"/>
      <c r="M1016" s="10"/>
      <c r="N1016" s="10"/>
      <c r="O1016" s="18"/>
      <c r="P1016" s="18"/>
      <c r="Q1016" s="21"/>
      <c r="R1016" s="20"/>
      <c r="S1016" s="16">
        <f t="shared" si="697"/>
        <v>0</v>
      </c>
      <c r="T1016" s="11"/>
      <c r="AS1016" s="31">
        <f t="shared" si="698"/>
        <v>0</v>
      </c>
      <c r="AT1016" s="31">
        <f t="shared" si="699"/>
        <v>0</v>
      </c>
      <c r="AU1016" s="31">
        <f t="shared" si="700"/>
        <v>0</v>
      </c>
      <c r="AV1016" s="31">
        <f t="shared" si="701"/>
        <v>0</v>
      </c>
      <c r="AW1016" s="31">
        <f t="shared" si="702"/>
        <v>0</v>
      </c>
      <c r="AX1016" s="31">
        <f t="shared" si="703"/>
        <v>0</v>
      </c>
      <c r="AY1016" s="31">
        <f t="shared" si="704"/>
        <v>0</v>
      </c>
      <c r="AZ1016" s="31">
        <f t="shared" si="705"/>
        <v>0</v>
      </c>
      <c r="BA1016" s="31">
        <f t="shared" si="706"/>
        <v>0</v>
      </c>
      <c r="BB1016" s="31">
        <f t="shared" si="735"/>
        <v>0</v>
      </c>
      <c r="BM1016" s="8">
        <f t="shared" si="736"/>
        <v>0</v>
      </c>
      <c r="BN1016" s="8">
        <f t="shared" si="707"/>
        <v>0</v>
      </c>
      <c r="BO1016" s="8">
        <f t="shared" si="708"/>
        <v>0</v>
      </c>
      <c r="BQ1016" s="8">
        <f t="shared" si="709"/>
        <v>0</v>
      </c>
      <c r="BR1016" s="63">
        <f t="shared" si="710"/>
        <v>0</v>
      </c>
      <c r="BS1016" s="63">
        <f t="shared" si="737"/>
        <v>0</v>
      </c>
      <c r="BT1016" s="63">
        <f t="shared" si="711"/>
        <v>0</v>
      </c>
      <c r="BU1016" s="63">
        <f t="shared" si="712"/>
        <v>0</v>
      </c>
      <c r="BV1016" s="57">
        <f t="shared" si="713"/>
        <v>0</v>
      </c>
      <c r="BW1016" s="57">
        <f t="shared" si="714"/>
        <v>0</v>
      </c>
      <c r="BX1016" s="57">
        <f t="shared" si="738"/>
        <v>0</v>
      </c>
      <c r="BY1016" s="57">
        <f t="shared" si="742"/>
        <v>0</v>
      </c>
      <c r="BZ1016" s="8">
        <f t="shared" si="715"/>
        <v>0</v>
      </c>
      <c r="CA1016" s="8">
        <f t="shared" si="716"/>
        <v>0</v>
      </c>
      <c r="CB1016" s="8">
        <f t="shared" si="717"/>
        <v>0</v>
      </c>
      <c r="CC1016" s="8">
        <f t="shared" si="718"/>
        <v>0</v>
      </c>
      <c r="CD1016" s="8">
        <f t="shared" si="719"/>
        <v>0</v>
      </c>
      <c r="CE1016" s="8">
        <f t="shared" si="720"/>
        <v>0</v>
      </c>
      <c r="CF1016" s="8">
        <f t="shared" si="721"/>
        <v>0</v>
      </c>
      <c r="CG1016" s="8">
        <f t="shared" si="722"/>
        <v>0</v>
      </c>
      <c r="CH1016" s="8">
        <f t="shared" si="723"/>
        <v>0</v>
      </c>
      <c r="CI1016" s="8">
        <f t="shared" si="724"/>
        <v>0</v>
      </c>
      <c r="CJ1016" s="8">
        <f t="shared" si="725"/>
        <v>0</v>
      </c>
      <c r="CK1016" s="8">
        <f t="shared" si="726"/>
        <v>0</v>
      </c>
      <c r="CL1016" s="8">
        <f t="shared" si="727"/>
        <v>0</v>
      </c>
      <c r="CM1016" s="8">
        <f t="shared" si="728"/>
        <v>0</v>
      </c>
      <c r="CN1016" s="8">
        <f t="shared" si="729"/>
        <v>0</v>
      </c>
      <c r="CO1016" s="8">
        <f t="shared" si="730"/>
        <v>0</v>
      </c>
      <c r="CP1016" s="8">
        <f t="shared" si="731"/>
        <v>0</v>
      </c>
      <c r="CQ1016" s="8">
        <f t="shared" si="732"/>
        <v>0</v>
      </c>
      <c r="CR1016" s="8">
        <f t="shared" si="733"/>
        <v>0</v>
      </c>
      <c r="CS1016" s="8">
        <f t="shared" si="734"/>
        <v>0</v>
      </c>
      <c r="CT1016" s="8">
        <f t="shared" si="739"/>
        <v>0</v>
      </c>
      <c r="CU1016" s="8">
        <f t="shared" si="740"/>
        <v>0</v>
      </c>
      <c r="CV1016" s="8">
        <f t="shared" si="741"/>
        <v>0</v>
      </c>
    </row>
    <row r="1017" spans="1:100" ht="20.5" thickTop="1" thickBot="1" x14ac:dyDescent="0.5">
      <c r="A1017" s="32"/>
      <c r="B1017" s="10"/>
      <c r="C1017" s="10"/>
      <c r="D1017" s="11"/>
      <c r="E1017" s="10"/>
      <c r="F1017" s="10"/>
      <c r="G1017" s="19"/>
      <c r="H1017" s="19"/>
      <c r="I1017" s="19"/>
      <c r="J1017" s="19"/>
      <c r="K1017" s="10"/>
      <c r="L1017" s="10"/>
      <c r="M1017" s="10"/>
      <c r="N1017" s="10"/>
      <c r="O1017" s="18"/>
      <c r="P1017" s="18"/>
      <c r="Q1017" s="21"/>
      <c r="R1017" s="20"/>
      <c r="S1017" s="16">
        <f t="shared" si="697"/>
        <v>0</v>
      </c>
      <c r="T1017" s="11"/>
      <c r="AS1017" s="31">
        <f t="shared" si="698"/>
        <v>0</v>
      </c>
      <c r="AT1017" s="31">
        <f t="shared" si="699"/>
        <v>0</v>
      </c>
      <c r="AU1017" s="31">
        <f t="shared" si="700"/>
        <v>0</v>
      </c>
      <c r="AV1017" s="31">
        <f t="shared" si="701"/>
        <v>0</v>
      </c>
      <c r="AW1017" s="31">
        <f t="shared" si="702"/>
        <v>0</v>
      </c>
      <c r="AX1017" s="31">
        <f t="shared" si="703"/>
        <v>0</v>
      </c>
      <c r="AY1017" s="31">
        <f t="shared" si="704"/>
        <v>0</v>
      </c>
      <c r="AZ1017" s="31">
        <f t="shared" si="705"/>
        <v>0</v>
      </c>
      <c r="BA1017" s="31">
        <f t="shared" si="706"/>
        <v>0</v>
      </c>
      <c r="BB1017" s="31">
        <f t="shared" si="735"/>
        <v>0</v>
      </c>
      <c r="BM1017" s="8">
        <f t="shared" si="736"/>
        <v>0</v>
      </c>
      <c r="BN1017" s="8">
        <f t="shared" si="707"/>
        <v>0</v>
      </c>
      <c r="BO1017" s="8">
        <f t="shared" si="708"/>
        <v>0</v>
      </c>
      <c r="BQ1017" s="8">
        <f t="shared" si="709"/>
        <v>0</v>
      </c>
      <c r="BR1017" s="63">
        <f t="shared" si="710"/>
        <v>0</v>
      </c>
      <c r="BS1017" s="63">
        <f t="shared" si="737"/>
        <v>0</v>
      </c>
      <c r="BT1017" s="63">
        <f t="shared" si="711"/>
        <v>0</v>
      </c>
      <c r="BU1017" s="63">
        <f t="shared" si="712"/>
        <v>0</v>
      </c>
      <c r="BV1017" s="57">
        <f t="shared" si="713"/>
        <v>0</v>
      </c>
      <c r="BW1017" s="57">
        <f t="shared" si="714"/>
        <v>0</v>
      </c>
      <c r="BX1017" s="57">
        <f t="shared" si="738"/>
        <v>0</v>
      </c>
      <c r="BY1017" s="57">
        <f t="shared" si="742"/>
        <v>0</v>
      </c>
      <c r="BZ1017" s="8">
        <f t="shared" si="715"/>
        <v>0</v>
      </c>
      <c r="CA1017" s="8">
        <f t="shared" si="716"/>
        <v>0</v>
      </c>
      <c r="CB1017" s="8">
        <f t="shared" si="717"/>
        <v>0</v>
      </c>
      <c r="CC1017" s="8">
        <f t="shared" si="718"/>
        <v>0</v>
      </c>
      <c r="CD1017" s="8">
        <f t="shared" si="719"/>
        <v>0</v>
      </c>
      <c r="CE1017" s="8">
        <f t="shared" si="720"/>
        <v>0</v>
      </c>
      <c r="CF1017" s="8">
        <f t="shared" si="721"/>
        <v>0</v>
      </c>
      <c r="CG1017" s="8">
        <f t="shared" si="722"/>
        <v>0</v>
      </c>
      <c r="CH1017" s="8">
        <f t="shared" si="723"/>
        <v>0</v>
      </c>
      <c r="CI1017" s="8">
        <f t="shared" si="724"/>
        <v>0</v>
      </c>
      <c r="CJ1017" s="8">
        <f t="shared" si="725"/>
        <v>0</v>
      </c>
      <c r="CK1017" s="8">
        <f t="shared" si="726"/>
        <v>0</v>
      </c>
      <c r="CL1017" s="8">
        <f t="shared" si="727"/>
        <v>0</v>
      </c>
      <c r="CM1017" s="8">
        <f t="shared" si="728"/>
        <v>0</v>
      </c>
      <c r="CN1017" s="8">
        <f t="shared" si="729"/>
        <v>0</v>
      </c>
      <c r="CO1017" s="8">
        <f t="shared" si="730"/>
        <v>0</v>
      </c>
      <c r="CP1017" s="8">
        <f t="shared" si="731"/>
        <v>0</v>
      </c>
      <c r="CQ1017" s="8">
        <f t="shared" si="732"/>
        <v>0</v>
      </c>
      <c r="CR1017" s="8">
        <f t="shared" si="733"/>
        <v>0</v>
      </c>
      <c r="CS1017" s="8">
        <f t="shared" si="734"/>
        <v>0</v>
      </c>
      <c r="CT1017" s="8">
        <f t="shared" si="739"/>
        <v>0</v>
      </c>
      <c r="CU1017" s="8">
        <f t="shared" si="740"/>
        <v>0</v>
      </c>
      <c r="CV1017" s="8">
        <f t="shared" si="741"/>
        <v>0</v>
      </c>
    </row>
    <row r="1018" spans="1:100" ht="20.5" thickTop="1" thickBot="1" x14ac:dyDescent="0.5">
      <c r="A1018" s="32"/>
      <c r="B1018" s="10"/>
      <c r="C1018" s="10"/>
      <c r="D1018" s="11"/>
      <c r="E1018" s="10"/>
      <c r="F1018" s="10"/>
      <c r="G1018" s="19"/>
      <c r="H1018" s="19"/>
      <c r="I1018" s="19"/>
      <c r="J1018" s="19"/>
      <c r="K1018" s="10"/>
      <c r="L1018" s="10"/>
      <c r="M1018" s="10"/>
      <c r="N1018" s="10"/>
      <c r="O1018" s="18"/>
      <c r="P1018" s="18"/>
      <c r="Q1018" s="21"/>
      <c r="R1018" s="20"/>
      <c r="S1018" s="16">
        <f t="shared" si="697"/>
        <v>0</v>
      </c>
      <c r="T1018" s="11"/>
      <c r="AS1018" s="31">
        <f t="shared" si="698"/>
        <v>0</v>
      </c>
      <c r="AT1018" s="31">
        <f t="shared" si="699"/>
        <v>0</v>
      </c>
      <c r="AU1018" s="31">
        <f t="shared" si="700"/>
        <v>0</v>
      </c>
      <c r="AV1018" s="31">
        <f t="shared" si="701"/>
        <v>0</v>
      </c>
      <c r="AW1018" s="31">
        <f t="shared" si="702"/>
        <v>0</v>
      </c>
      <c r="AX1018" s="31">
        <f t="shared" si="703"/>
        <v>0</v>
      </c>
      <c r="AY1018" s="31">
        <f t="shared" si="704"/>
        <v>0</v>
      </c>
      <c r="AZ1018" s="31">
        <f t="shared" si="705"/>
        <v>0</v>
      </c>
      <c r="BA1018" s="31">
        <f t="shared" si="706"/>
        <v>0</v>
      </c>
      <c r="BB1018" s="31">
        <f t="shared" si="735"/>
        <v>0</v>
      </c>
      <c r="BM1018" s="8">
        <f t="shared" si="736"/>
        <v>0</v>
      </c>
      <c r="BN1018" s="8">
        <f t="shared" si="707"/>
        <v>0</v>
      </c>
      <c r="BO1018" s="8">
        <f t="shared" si="708"/>
        <v>0</v>
      </c>
      <c r="BQ1018" s="8">
        <f t="shared" si="709"/>
        <v>0</v>
      </c>
      <c r="BR1018" s="63">
        <f t="shared" si="710"/>
        <v>0</v>
      </c>
      <c r="BS1018" s="63">
        <f t="shared" si="737"/>
        <v>0</v>
      </c>
      <c r="BT1018" s="63">
        <f t="shared" si="711"/>
        <v>0</v>
      </c>
      <c r="BU1018" s="63">
        <f t="shared" si="712"/>
        <v>0</v>
      </c>
      <c r="BV1018" s="57">
        <f t="shared" si="713"/>
        <v>0</v>
      </c>
      <c r="BW1018" s="57">
        <f t="shared" si="714"/>
        <v>0</v>
      </c>
      <c r="BX1018" s="57">
        <f t="shared" si="738"/>
        <v>0</v>
      </c>
      <c r="BY1018" s="57">
        <f t="shared" si="742"/>
        <v>0</v>
      </c>
      <c r="BZ1018" s="8">
        <f t="shared" si="715"/>
        <v>0</v>
      </c>
      <c r="CA1018" s="8">
        <f t="shared" si="716"/>
        <v>0</v>
      </c>
      <c r="CB1018" s="8">
        <f t="shared" si="717"/>
        <v>0</v>
      </c>
      <c r="CC1018" s="8">
        <f t="shared" si="718"/>
        <v>0</v>
      </c>
      <c r="CD1018" s="8">
        <f t="shared" si="719"/>
        <v>0</v>
      </c>
      <c r="CE1018" s="8">
        <f t="shared" si="720"/>
        <v>0</v>
      </c>
      <c r="CF1018" s="8">
        <f t="shared" si="721"/>
        <v>0</v>
      </c>
      <c r="CG1018" s="8">
        <f t="shared" si="722"/>
        <v>0</v>
      </c>
      <c r="CH1018" s="8">
        <f t="shared" si="723"/>
        <v>0</v>
      </c>
      <c r="CI1018" s="8">
        <f t="shared" si="724"/>
        <v>0</v>
      </c>
      <c r="CJ1018" s="8">
        <f t="shared" si="725"/>
        <v>0</v>
      </c>
      <c r="CK1018" s="8">
        <f t="shared" si="726"/>
        <v>0</v>
      </c>
      <c r="CL1018" s="8">
        <f t="shared" si="727"/>
        <v>0</v>
      </c>
      <c r="CM1018" s="8">
        <f t="shared" si="728"/>
        <v>0</v>
      </c>
      <c r="CN1018" s="8">
        <f t="shared" si="729"/>
        <v>0</v>
      </c>
      <c r="CO1018" s="8">
        <f t="shared" si="730"/>
        <v>0</v>
      </c>
      <c r="CP1018" s="8">
        <f t="shared" si="731"/>
        <v>0</v>
      </c>
      <c r="CQ1018" s="8">
        <f t="shared" si="732"/>
        <v>0</v>
      </c>
      <c r="CR1018" s="8">
        <f t="shared" si="733"/>
        <v>0</v>
      </c>
      <c r="CS1018" s="8">
        <f t="shared" si="734"/>
        <v>0</v>
      </c>
      <c r="CT1018" s="8">
        <f t="shared" si="739"/>
        <v>0</v>
      </c>
      <c r="CU1018" s="8">
        <f t="shared" si="740"/>
        <v>0</v>
      </c>
      <c r="CV1018" s="8">
        <f t="shared" si="741"/>
        <v>0</v>
      </c>
    </row>
    <row r="1019" spans="1:100" ht="20.5" thickTop="1" thickBot="1" x14ac:dyDescent="0.5">
      <c r="A1019" s="32"/>
      <c r="B1019" s="10"/>
      <c r="C1019" s="10"/>
      <c r="D1019" s="11"/>
      <c r="E1019" s="10"/>
      <c r="F1019" s="10"/>
      <c r="G1019" s="19"/>
      <c r="H1019" s="19"/>
      <c r="I1019" s="19"/>
      <c r="J1019" s="19"/>
      <c r="K1019" s="10"/>
      <c r="L1019" s="10"/>
      <c r="M1019" s="10"/>
      <c r="N1019" s="10"/>
      <c r="O1019" s="18"/>
      <c r="P1019" s="18"/>
      <c r="Q1019" s="21"/>
      <c r="R1019" s="20"/>
      <c r="S1019" s="16">
        <f t="shared" si="697"/>
        <v>0</v>
      </c>
      <c r="T1019" s="11"/>
      <c r="AS1019" s="31">
        <f t="shared" si="698"/>
        <v>0</v>
      </c>
      <c r="AT1019" s="31">
        <f t="shared" si="699"/>
        <v>0</v>
      </c>
      <c r="AU1019" s="31">
        <f t="shared" si="700"/>
        <v>0</v>
      </c>
      <c r="AV1019" s="31">
        <f t="shared" si="701"/>
        <v>0</v>
      </c>
      <c r="AW1019" s="31">
        <f t="shared" si="702"/>
        <v>0</v>
      </c>
      <c r="AX1019" s="31">
        <f t="shared" si="703"/>
        <v>0</v>
      </c>
      <c r="AY1019" s="31">
        <f t="shared" si="704"/>
        <v>0</v>
      </c>
      <c r="AZ1019" s="31">
        <f t="shared" si="705"/>
        <v>0</v>
      </c>
      <c r="BA1019" s="31">
        <f t="shared" si="706"/>
        <v>0</v>
      </c>
      <c r="BB1019" s="31">
        <f t="shared" si="735"/>
        <v>0</v>
      </c>
      <c r="BM1019" s="8">
        <f t="shared" si="736"/>
        <v>0</v>
      </c>
      <c r="BN1019" s="8">
        <f t="shared" si="707"/>
        <v>0</v>
      </c>
      <c r="BO1019" s="8">
        <f t="shared" si="708"/>
        <v>0</v>
      </c>
      <c r="BQ1019" s="8">
        <f t="shared" si="709"/>
        <v>0</v>
      </c>
      <c r="BR1019" s="63">
        <f t="shared" si="710"/>
        <v>0</v>
      </c>
      <c r="BS1019" s="63">
        <f t="shared" si="737"/>
        <v>0</v>
      </c>
      <c r="BT1019" s="63">
        <f t="shared" si="711"/>
        <v>0</v>
      </c>
      <c r="BU1019" s="63">
        <f t="shared" si="712"/>
        <v>0</v>
      </c>
      <c r="BV1019" s="57">
        <f t="shared" si="713"/>
        <v>0</v>
      </c>
      <c r="BW1019" s="57">
        <f t="shared" si="714"/>
        <v>0</v>
      </c>
      <c r="BX1019" s="57">
        <f t="shared" si="738"/>
        <v>0</v>
      </c>
      <c r="BY1019" s="57">
        <f t="shared" si="742"/>
        <v>0</v>
      </c>
      <c r="BZ1019" s="8">
        <f t="shared" si="715"/>
        <v>0</v>
      </c>
      <c r="CA1019" s="8">
        <f t="shared" si="716"/>
        <v>0</v>
      </c>
      <c r="CB1019" s="8">
        <f t="shared" si="717"/>
        <v>0</v>
      </c>
      <c r="CC1019" s="8">
        <f t="shared" si="718"/>
        <v>0</v>
      </c>
      <c r="CD1019" s="8">
        <f t="shared" si="719"/>
        <v>0</v>
      </c>
      <c r="CE1019" s="8">
        <f t="shared" si="720"/>
        <v>0</v>
      </c>
      <c r="CF1019" s="8">
        <f t="shared" si="721"/>
        <v>0</v>
      </c>
      <c r="CG1019" s="8">
        <f t="shared" si="722"/>
        <v>0</v>
      </c>
      <c r="CH1019" s="8">
        <f t="shared" si="723"/>
        <v>0</v>
      </c>
      <c r="CI1019" s="8">
        <f t="shared" si="724"/>
        <v>0</v>
      </c>
      <c r="CJ1019" s="8">
        <f t="shared" si="725"/>
        <v>0</v>
      </c>
      <c r="CK1019" s="8">
        <f t="shared" si="726"/>
        <v>0</v>
      </c>
      <c r="CL1019" s="8">
        <f t="shared" si="727"/>
        <v>0</v>
      </c>
      <c r="CM1019" s="8">
        <f t="shared" si="728"/>
        <v>0</v>
      </c>
      <c r="CN1019" s="8">
        <f t="shared" si="729"/>
        <v>0</v>
      </c>
      <c r="CO1019" s="8">
        <f t="shared" si="730"/>
        <v>0</v>
      </c>
      <c r="CP1019" s="8">
        <f t="shared" si="731"/>
        <v>0</v>
      </c>
      <c r="CQ1019" s="8">
        <f t="shared" si="732"/>
        <v>0</v>
      </c>
      <c r="CR1019" s="8">
        <f t="shared" si="733"/>
        <v>0</v>
      </c>
      <c r="CS1019" s="8">
        <f t="shared" si="734"/>
        <v>0</v>
      </c>
      <c r="CT1019" s="8">
        <f t="shared" si="739"/>
        <v>0</v>
      </c>
      <c r="CU1019" s="8">
        <f t="shared" si="740"/>
        <v>0</v>
      </c>
      <c r="CV1019" s="8">
        <f t="shared" si="741"/>
        <v>0</v>
      </c>
    </row>
    <row r="1020" spans="1:100" ht="20.5" thickTop="1" thickBot="1" x14ac:dyDescent="0.5">
      <c r="A1020" s="32"/>
      <c r="B1020" s="10"/>
      <c r="C1020" s="10"/>
      <c r="D1020" s="11"/>
      <c r="E1020" s="10"/>
      <c r="F1020" s="10"/>
      <c r="G1020" s="19"/>
      <c r="H1020" s="19"/>
      <c r="I1020" s="19"/>
      <c r="J1020" s="19"/>
      <c r="K1020" s="10"/>
      <c r="L1020" s="10"/>
      <c r="M1020" s="10"/>
      <c r="N1020" s="10"/>
      <c r="O1020" s="18"/>
      <c r="P1020" s="18"/>
      <c r="Q1020" s="21"/>
      <c r="R1020" s="20"/>
      <c r="S1020" s="16">
        <f t="shared" si="697"/>
        <v>0</v>
      </c>
      <c r="T1020" s="11"/>
      <c r="AS1020" s="31">
        <f t="shared" si="698"/>
        <v>0</v>
      </c>
      <c r="AT1020" s="31">
        <f t="shared" si="699"/>
        <v>0</v>
      </c>
      <c r="AU1020" s="31">
        <f t="shared" si="700"/>
        <v>0</v>
      </c>
      <c r="AV1020" s="31">
        <f t="shared" si="701"/>
        <v>0</v>
      </c>
      <c r="AW1020" s="31">
        <f t="shared" si="702"/>
        <v>0</v>
      </c>
      <c r="AX1020" s="31">
        <f t="shared" si="703"/>
        <v>0</v>
      </c>
      <c r="AY1020" s="31">
        <f t="shared" si="704"/>
        <v>0</v>
      </c>
      <c r="AZ1020" s="31">
        <f t="shared" si="705"/>
        <v>0</v>
      </c>
      <c r="BA1020" s="31">
        <f t="shared" si="706"/>
        <v>0</v>
      </c>
      <c r="BB1020" s="31">
        <f t="shared" si="735"/>
        <v>0</v>
      </c>
      <c r="BM1020" s="8">
        <f t="shared" si="736"/>
        <v>0</v>
      </c>
      <c r="BN1020" s="8">
        <f t="shared" si="707"/>
        <v>0</v>
      </c>
      <c r="BO1020" s="8">
        <f t="shared" si="708"/>
        <v>0</v>
      </c>
      <c r="BQ1020" s="8">
        <f t="shared" si="709"/>
        <v>0</v>
      </c>
      <c r="BR1020" s="63">
        <f t="shared" si="710"/>
        <v>0</v>
      </c>
      <c r="BS1020" s="63">
        <f t="shared" si="737"/>
        <v>0</v>
      </c>
      <c r="BT1020" s="63">
        <f t="shared" si="711"/>
        <v>0</v>
      </c>
      <c r="BU1020" s="63">
        <f t="shared" si="712"/>
        <v>0</v>
      </c>
      <c r="BV1020" s="57">
        <f t="shared" si="713"/>
        <v>0</v>
      </c>
      <c r="BW1020" s="57">
        <f t="shared" si="714"/>
        <v>0</v>
      </c>
      <c r="BX1020" s="57">
        <f t="shared" si="738"/>
        <v>0</v>
      </c>
      <c r="BY1020" s="57">
        <f t="shared" si="742"/>
        <v>0</v>
      </c>
      <c r="BZ1020" s="8">
        <f t="shared" si="715"/>
        <v>0</v>
      </c>
      <c r="CA1020" s="8">
        <f t="shared" si="716"/>
        <v>0</v>
      </c>
      <c r="CB1020" s="8">
        <f t="shared" si="717"/>
        <v>0</v>
      </c>
      <c r="CC1020" s="8">
        <f t="shared" si="718"/>
        <v>0</v>
      </c>
      <c r="CD1020" s="8">
        <f t="shared" si="719"/>
        <v>0</v>
      </c>
      <c r="CE1020" s="8">
        <f t="shared" si="720"/>
        <v>0</v>
      </c>
      <c r="CF1020" s="8">
        <f t="shared" si="721"/>
        <v>0</v>
      </c>
      <c r="CG1020" s="8">
        <f t="shared" si="722"/>
        <v>0</v>
      </c>
      <c r="CH1020" s="8">
        <f t="shared" si="723"/>
        <v>0</v>
      </c>
      <c r="CI1020" s="8">
        <f t="shared" si="724"/>
        <v>0</v>
      </c>
      <c r="CJ1020" s="8">
        <f t="shared" si="725"/>
        <v>0</v>
      </c>
      <c r="CK1020" s="8">
        <f t="shared" si="726"/>
        <v>0</v>
      </c>
      <c r="CL1020" s="8">
        <f t="shared" si="727"/>
        <v>0</v>
      </c>
      <c r="CM1020" s="8">
        <f t="shared" si="728"/>
        <v>0</v>
      </c>
      <c r="CN1020" s="8">
        <f t="shared" si="729"/>
        <v>0</v>
      </c>
      <c r="CO1020" s="8">
        <f t="shared" si="730"/>
        <v>0</v>
      </c>
      <c r="CP1020" s="8">
        <f t="shared" si="731"/>
        <v>0</v>
      </c>
      <c r="CQ1020" s="8">
        <f t="shared" si="732"/>
        <v>0</v>
      </c>
      <c r="CR1020" s="8">
        <f t="shared" si="733"/>
        <v>0</v>
      </c>
      <c r="CS1020" s="8">
        <f t="shared" si="734"/>
        <v>0</v>
      </c>
      <c r="CT1020" s="8">
        <f t="shared" si="739"/>
        <v>0</v>
      </c>
      <c r="CU1020" s="8">
        <f t="shared" si="740"/>
        <v>0</v>
      </c>
      <c r="CV1020" s="8">
        <f t="shared" si="741"/>
        <v>0</v>
      </c>
    </row>
    <row r="1021" spans="1:100" ht="20.5" thickTop="1" thickBot="1" x14ac:dyDescent="0.5">
      <c r="A1021" s="32"/>
      <c r="B1021" s="10"/>
      <c r="C1021" s="10"/>
      <c r="D1021" s="11"/>
      <c r="E1021" s="10"/>
      <c r="F1021" s="10"/>
      <c r="G1021" s="19"/>
      <c r="H1021" s="19"/>
      <c r="I1021" s="19"/>
      <c r="J1021" s="19"/>
      <c r="K1021" s="10"/>
      <c r="L1021" s="10"/>
      <c r="M1021" s="10"/>
      <c r="N1021" s="10"/>
      <c r="O1021" s="18"/>
      <c r="P1021" s="18"/>
      <c r="Q1021" s="21"/>
      <c r="R1021" s="20"/>
      <c r="S1021" s="16">
        <f t="shared" si="697"/>
        <v>0</v>
      </c>
      <c r="T1021" s="11"/>
      <c r="AS1021" s="31">
        <f t="shared" si="698"/>
        <v>0</v>
      </c>
      <c r="AT1021" s="31">
        <f t="shared" si="699"/>
        <v>0</v>
      </c>
      <c r="AU1021" s="31">
        <f t="shared" si="700"/>
        <v>0</v>
      </c>
      <c r="AV1021" s="31">
        <f t="shared" si="701"/>
        <v>0</v>
      </c>
      <c r="AW1021" s="31">
        <f t="shared" si="702"/>
        <v>0</v>
      </c>
      <c r="AX1021" s="31">
        <f t="shared" si="703"/>
        <v>0</v>
      </c>
      <c r="AY1021" s="31">
        <f t="shared" si="704"/>
        <v>0</v>
      </c>
      <c r="AZ1021" s="31">
        <f t="shared" si="705"/>
        <v>0</v>
      </c>
      <c r="BA1021" s="31">
        <f t="shared" si="706"/>
        <v>0</v>
      </c>
      <c r="BB1021" s="31">
        <f t="shared" si="735"/>
        <v>0</v>
      </c>
      <c r="BM1021" s="8">
        <f t="shared" si="736"/>
        <v>0</v>
      </c>
      <c r="BN1021" s="8">
        <f t="shared" si="707"/>
        <v>0</v>
      </c>
      <c r="BO1021" s="8">
        <f t="shared" si="708"/>
        <v>0</v>
      </c>
      <c r="BQ1021" s="8">
        <f t="shared" si="709"/>
        <v>0</v>
      </c>
      <c r="BR1021" s="63">
        <f t="shared" si="710"/>
        <v>0</v>
      </c>
      <c r="BS1021" s="63">
        <f t="shared" si="737"/>
        <v>0</v>
      </c>
      <c r="BT1021" s="63">
        <f t="shared" si="711"/>
        <v>0</v>
      </c>
      <c r="BU1021" s="63">
        <f t="shared" si="712"/>
        <v>0</v>
      </c>
      <c r="BV1021" s="57">
        <f t="shared" si="713"/>
        <v>0</v>
      </c>
      <c r="BW1021" s="57">
        <f t="shared" si="714"/>
        <v>0</v>
      </c>
      <c r="BX1021" s="57">
        <f t="shared" si="738"/>
        <v>0</v>
      </c>
      <c r="BY1021" s="57">
        <f t="shared" si="742"/>
        <v>0</v>
      </c>
      <c r="BZ1021" s="8">
        <f t="shared" si="715"/>
        <v>0</v>
      </c>
      <c r="CA1021" s="8">
        <f t="shared" si="716"/>
        <v>0</v>
      </c>
      <c r="CB1021" s="8">
        <f t="shared" si="717"/>
        <v>0</v>
      </c>
      <c r="CC1021" s="8">
        <f t="shared" si="718"/>
        <v>0</v>
      </c>
      <c r="CD1021" s="8">
        <f t="shared" si="719"/>
        <v>0</v>
      </c>
      <c r="CE1021" s="8">
        <f t="shared" si="720"/>
        <v>0</v>
      </c>
      <c r="CF1021" s="8">
        <f t="shared" si="721"/>
        <v>0</v>
      </c>
      <c r="CG1021" s="8">
        <f t="shared" si="722"/>
        <v>0</v>
      </c>
      <c r="CH1021" s="8">
        <f t="shared" si="723"/>
        <v>0</v>
      </c>
      <c r="CI1021" s="8">
        <f t="shared" si="724"/>
        <v>0</v>
      </c>
      <c r="CJ1021" s="8">
        <f t="shared" si="725"/>
        <v>0</v>
      </c>
      <c r="CK1021" s="8">
        <f t="shared" si="726"/>
        <v>0</v>
      </c>
      <c r="CL1021" s="8">
        <f t="shared" si="727"/>
        <v>0</v>
      </c>
      <c r="CM1021" s="8">
        <f t="shared" si="728"/>
        <v>0</v>
      </c>
      <c r="CN1021" s="8">
        <f t="shared" si="729"/>
        <v>0</v>
      </c>
      <c r="CO1021" s="8">
        <f t="shared" si="730"/>
        <v>0</v>
      </c>
      <c r="CP1021" s="8">
        <f t="shared" si="731"/>
        <v>0</v>
      </c>
      <c r="CQ1021" s="8">
        <f t="shared" si="732"/>
        <v>0</v>
      </c>
      <c r="CR1021" s="8">
        <f t="shared" si="733"/>
        <v>0</v>
      </c>
      <c r="CS1021" s="8">
        <f t="shared" si="734"/>
        <v>0</v>
      </c>
      <c r="CT1021" s="8">
        <f t="shared" si="739"/>
        <v>0</v>
      </c>
      <c r="CU1021" s="8">
        <f t="shared" si="740"/>
        <v>0</v>
      </c>
      <c r="CV1021" s="8">
        <f t="shared" si="741"/>
        <v>0</v>
      </c>
    </row>
    <row r="1022" spans="1:100" ht="20.5" thickTop="1" thickBot="1" x14ac:dyDescent="0.5">
      <c r="A1022" s="32"/>
      <c r="B1022" s="10"/>
      <c r="C1022" s="10"/>
      <c r="D1022" s="11"/>
      <c r="E1022" s="10"/>
      <c r="F1022" s="10"/>
      <c r="G1022" s="19"/>
      <c r="H1022" s="19"/>
      <c r="I1022" s="19"/>
      <c r="J1022" s="19"/>
      <c r="K1022" s="10"/>
      <c r="L1022" s="10"/>
      <c r="M1022" s="10"/>
      <c r="N1022" s="10"/>
      <c r="O1022" s="18"/>
      <c r="P1022" s="18"/>
      <c r="Q1022" s="21"/>
      <c r="R1022" s="20"/>
      <c r="S1022" s="16">
        <f t="shared" si="697"/>
        <v>0</v>
      </c>
      <c r="T1022" s="11"/>
      <c r="AS1022" s="31">
        <f t="shared" si="698"/>
        <v>0</v>
      </c>
      <c r="AT1022" s="31">
        <f t="shared" si="699"/>
        <v>0</v>
      </c>
      <c r="AU1022" s="31">
        <f t="shared" si="700"/>
        <v>0</v>
      </c>
      <c r="AV1022" s="31">
        <f t="shared" si="701"/>
        <v>0</v>
      </c>
      <c r="AW1022" s="31">
        <f t="shared" si="702"/>
        <v>0</v>
      </c>
      <c r="AX1022" s="31">
        <f t="shared" si="703"/>
        <v>0</v>
      </c>
      <c r="AY1022" s="31">
        <f t="shared" si="704"/>
        <v>0</v>
      </c>
      <c r="AZ1022" s="31">
        <f t="shared" si="705"/>
        <v>0</v>
      </c>
      <c r="BA1022" s="31">
        <f t="shared" si="706"/>
        <v>0</v>
      </c>
      <c r="BB1022" s="31">
        <f t="shared" si="735"/>
        <v>0</v>
      </c>
      <c r="BM1022" s="8">
        <f t="shared" si="736"/>
        <v>0</v>
      </c>
      <c r="BN1022" s="8">
        <f t="shared" si="707"/>
        <v>0</v>
      </c>
      <c r="BO1022" s="8">
        <f t="shared" si="708"/>
        <v>0</v>
      </c>
      <c r="BQ1022" s="8">
        <f t="shared" si="709"/>
        <v>0</v>
      </c>
      <c r="BR1022" s="63">
        <f t="shared" si="710"/>
        <v>0</v>
      </c>
      <c r="BS1022" s="63">
        <f t="shared" si="737"/>
        <v>0</v>
      </c>
      <c r="BT1022" s="63">
        <f t="shared" si="711"/>
        <v>0</v>
      </c>
      <c r="BU1022" s="63">
        <f t="shared" si="712"/>
        <v>0</v>
      </c>
      <c r="BV1022" s="57">
        <f t="shared" si="713"/>
        <v>0</v>
      </c>
      <c r="BW1022" s="57">
        <f t="shared" si="714"/>
        <v>0</v>
      </c>
      <c r="BX1022" s="57">
        <f t="shared" si="738"/>
        <v>0</v>
      </c>
      <c r="BY1022" s="57">
        <f t="shared" si="742"/>
        <v>0</v>
      </c>
      <c r="BZ1022" s="8">
        <f t="shared" si="715"/>
        <v>0</v>
      </c>
      <c r="CA1022" s="8">
        <f t="shared" si="716"/>
        <v>0</v>
      </c>
      <c r="CB1022" s="8">
        <f t="shared" si="717"/>
        <v>0</v>
      </c>
      <c r="CC1022" s="8">
        <f t="shared" si="718"/>
        <v>0</v>
      </c>
      <c r="CD1022" s="8">
        <f t="shared" si="719"/>
        <v>0</v>
      </c>
      <c r="CE1022" s="8">
        <f t="shared" si="720"/>
        <v>0</v>
      </c>
      <c r="CF1022" s="8">
        <f t="shared" si="721"/>
        <v>0</v>
      </c>
      <c r="CG1022" s="8">
        <f t="shared" si="722"/>
        <v>0</v>
      </c>
      <c r="CH1022" s="8">
        <f t="shared" si="723"/>
        <v>0</v>
      </c>
      <c r="CI1022" s="8">
        <f t="shared" si="724"/>
        <v>0</v>
      </c>
      <c r="CJ1022" s="8">
        <f t="shared" si="725"/>
        <v>0</v>
      </c>
      <c r="CK1022" s="8">
        <f t="shared" si="726"/>
        <v>0</v>
      </c>
      <c r="CL1022" s="8">
        <f t="shared" si="727"/>
        <v>0</v>
      </c>
      <c r="CM1022" s="8">
        <f t="shared" si="728"/>
        <v>0</v>
      </c>
      <c r="CN1022" s="8">
        <f t="shared" si="729"/>
        <v>0</v>
      </c>
      <c r="CO1022" s="8">
        <f t="shared" si="730"/>
        <v>0</v>
      </c>
      <c r="CP1022" s="8">
        <f t="shared" si="731"/>
        <v>0</v>
      </c>
      <c r="CQ1022" s="8">
        <f t="shared" si="732"/>
        <v>0</v>
      </c>
      <c r="CR1022" s="8">
        <f t="shared" si="733"/>
        <v>0</v>
      </c>
      <c r="CS1022" s="8">
        <f t="shared" si="734"/>
        <v>0</v>
      </c>
      <c r="CT1022" s="8">
        <f t="shared" si="739"/>
        <v>0</v>
      </c>
      <c r="CU1022" s="8">
        <f t="shared" si="740"/>
        <v>0</v>
      </c>
      <c r="CV1022" s="8">
        <f t="shared" si="741"/>
        <v>0</v>
      </c>
    </row>
    <row r="1023" spans="1:100" ht="20.5" thickTop="1" thickBot="1" x14ac:dyDescent="0.5">
      <c r="A1023" s="32"/>
      <c r="B1023" s="10"/>
      <c r="C1023" s="10"/>
      <c r="D1023" s="11"/>
      <c r="E1023" s="10"/>
      <c r="F1023" s="10"/>
      <c r="G1023" s="19"/>
      <c r="H1023" s="19"/>
      <c r="I1023" s="19"/>
      <c r="J1023" s="19"/>
      <c r="K1023" s="10"/>
      <c r="L1023" s="10"/>
      <c r="M1023" s="10"/>
      <c r="N1023" s="10"/>
      <c r="O1023" s="18"/>
      <c r="P1023" s="18"/>
      <c r="Q1023" s="21"/>
      <c r="R1023" s="20"/>
      <c r="S1023" s="16">
        <f t="shared" si="697"/>
        <v>0</v>
      </c>
      <c r="T1023" s="11"/>
      <c r="AS1023" s="31">
        <f t="shared" si="698"/>
        <v>0</v>
      </c>
      <c r="AT1023" s="31">
        <f t="shared" si="699"/>
        <v>0</v>
      </c>
      <c r="AU1023" s="31">
        <f t="shared" si="700"/>
        <v>0</v>
      </c>
      <c r="AV1023" s="31">
        <f t="shared" si="701"/>
        <v>0</v>
      </c>
      <c r="AW1023" s="31">
        <f t="shared" si="702"/>
        <v>0</v>
      </c>
      <c r="AX1023" s="31">
        <f t="shared" si="703"/>
        <v>0</v>
      </c>
      <c r="AY1023" s="31">
        <f t="shared" si="704"/>
        <v>0</v>
      </c>
      <c r="AZ1023" s="31">
        <f t="shared" si="705"/>
        <v>0</v>
      </c>
      <c r="BA1023" s="31">
        <f t="shared" si="706"/>
        <v>0</v>
      </c>
      <c r="BB1023" s="31">
        <f t="shared" si="735"/>
        <v>0</v>
      </c>
      <c r="BM1023" s="8">
        <f t="shared" si="736"/>
        <v>0</v>
      </c>
      <c r="BN1023" s="8">
        <f t="shared" si="707"/>
        <v>0</v>
      </c>
      <c r="BO1023" s="8">
        <f t="shared" si="708"/>
        <v>0</v>
      </c>
      <c r="BQ1023" s="8">
        <f t="shared" si="709"/>
        <v>0</v>
      </c>
      <c r="BR1023" s="63">
        <f t="shared" si="710"/>
        <v>0</v>
      </c>
      <c r="BS1023" s="63">
        <f t="shared" si="737"/>
        <v>0</v>
      </c>
      <c r="BT1023" s="63">
        <f t="shared" si="711"/>
        <v>0</v>
      </c>
      <c r="BU1023" s="63">
        <f t="shared" si="712"/>
        <v>0</v>
      </c>
      <c r="BV1023" s="57">
        <f t="shared" si="713"/>
        <v>0</v>
      </c>
      <c r="BW1023" s="57">
        <f t="shared" si="714"/>
        <v>0</v>
      </c>
      <c r="BX1023" s="57">
        <f t="shared" si="738"/>
        <v>0</v>
      </c>
      <c r="BY1023" s="57">
        <f t="shared" si="742"/>
        <v>0</v>
      </c>
      <c r="BZ1023" s="8">
        <f t="shared" si="715"/>
        <v>0</v>
      </c>
      <c r="CA1023" s="8">
        <f t="shared" si="716"/>
        <v>0</v>
      </c>
      <c r="CB1023" s="8">
        <f t="shared" si="717"/>
        <v>0</v>
      </c>
      <c r="CC1023" s="8">
        <f t="shared" si="718"/>
        <v>0</v>
      </c>
      <c r="CD1023" s="8">
        <f t="shared" si="719"/>
        <v>0</v>
      </c>
      <c r="CE1023" s="8">
        <f t="shared" si="720"/>
        <v>0</v>
      </c>
      <c r="CF1023" s="8">
        <f t="shared" si="721"/>
        <v>0</v>
      </c>
      <c r="CG1023" s="8">
        <f t="shared" si="722"/>
        <v>0</v>
      </c>
      <c r="CH1023" s="8">
        <f t="shared" si="723"/>
        <v>0</v>
      </c>
      <c r="CI1023" s="8">
        <f t="shared" si="724"/>
        <v>0</v>
      </c>
      <c r="CJ1023" s="8">
        <f t="shared" si="725"/>
        <v>0</v>
      </c>
      <c r="CK1023" s="8">
        <f t="shared" si="726"/>
        <v>0</v>
      </c>
      <c r="CL1023" s="8">
        <f t="shared" si="727"/>
        <v>0</v>
      </c>
      <c r="CM1023" s="8">
        <f t="shared" si="728"/>
        <v>0</v>
      </c>
      <c r="CN1023" s="8">
        <f t="shared" si="729"/>
        <v>0</v>
      </c>
      <c r="CO1023" s="8">
        <f t="shared" si="730"/>
        <v>0</v>
      </c>
      <c r="CP1023" s="8">
        <f t="shared" si="731"/>
        <v>0</v>
      </c>
      <c r="CQ1023" s="8">
        <f t="shared" si="732"/>
        <v>0</v>
      </c>
      <c r="CR1023" s="8">
        <f t="shared" si="733"/>
        <v>0</v>
      </c>
      <c r="CS1023" s="8">
        <f t="shared" si="734"/>
        <v>0</v>
      </c>
      <c r="CT1023" s="8">
        <f t="shared" si="739"/>
        <v>0</v>
      </c>
      <c r="CU1023" s="8">
        <f t="shared" si="740"/>
        <v>0</v>
      </c>
      <c r="CV1023" s="8">
        <f t="shared" si="741"/>
        <v>0</v>
      </c>
    </row>
    <row r="1024" spans="1:100" ht="20.5" thickTop="1" thickBot="1" x14ac:dyDescent="0.5">
      <c r="A1024" s="32"/>
      <c r="B1024" s="10"/>
      <c r="C1024" s="10"/>
      <c r="D1024" s="11"/>
      <c r="E1024" s="10"/>
      <c r="F1024" s="10"/>
      <c r="G1024" s="19"/>
      <c r="H1024" s="19"/>
      <c r="I1024" s="19"/>
      <c r="J1024" s="19"/>
      <c r="K1024" s="10"/>
      <c r="L1024" s="10"/>
      <c r="M1024" s="10"/>
      <c r="N1024" s="10"/>
      <c r="O1024" s="18"/>
      <c r="P1024" s="18"/>
      <c r="Q1024" s="21"/>
      <c r="R1024" s="20"/>
      <c r="S1024" s="16">
        <f t="shared" si="697"/>
        <v>0</v>
      </c>
      <c r="T1024" s="11"/>
      <c r="AS1024" s="31">
        <f t="shared" si="698"/>
        <v>0</v>
      </c>
      <c r="AT1024" s="31">
        <f t="shared" si="699"/>
        <v>0</v>
      </c>
      <c r="AU1024" s="31">
        <f t="shared" si="700"/>
        <v>0</v>
      </c>
      <c r="AV1024" s="31">
        <f t="shared" si="701"/>
        <v>0</v>
      </c>
      <c r="AW1024" s="31">
        <f t="shared" si="702"/>
        <v>0</v>
      </c>
      <c r="AX1024" s="31">
        <f t="shared" si="703"/>
        <v>0</v>
      </c>
      <c r="AY1024" s="31">
        <f t="shared" si="704"/>
        <v>0</v>
      </c>
      <c r="AZ1024" s="31">
        <f t="shared" si="705"/>
        <v>0</v>
      </c>
      <c r="BA1024" s="31">
        <f t="shared" si="706"/>
        <v>0</v>
      </c>
      <c r="BB1024" s="31">
        <f t="shared" si="735"/>
        <v>0</v>
      </c>
      <c r="BM1024" s="8">
        <f t="shared" si="736"/>
        <v>0</v>
      </c>
      <c r="BN1024" s="8">
        <f t="shared" si="707"/>
        <v>0</v>
      </c>
      <c r="BO1024" s="8">
        <f t="shared" si="708"/>
        <v>0</v>
      </c>
      <c r="BQ1024" s="8">
        <f t="shared" si="709"/>
        <v>0</v>
      </c>
      <c r="BR1024" s="63">
        <f t="shared" si="710"/>
        <v>0</v>
      </c>
      <c r="BS1024" s="63">
        <f t="shared" si="737"/>
        <v>0</v>
      </c>
      <c r="BT1024" s="63">
        <f t="shared" si="711"/>
        <v>0</v>
      </c>
      <c r="BU1024" s="63">
        <f t="shared" si="712"/>
        <v>0</v>
      </c>
      <c r="BV1024" s="57">
        <f t="shared" si="713"/>
        <v>0</v>
      </c>
      <c r="BW1024" s="57">
        <f t="shared" si="714"/>
        <v>0</v>
      </c>
      <c r="BX1024" s="57">
        <f t="shared" si="738"/>
        <v>0</v>
      </c>
      <c r="BY1024" s="57">
        <f t="shared" si="742"/>
        <v>0</v>
      </c>
      <c r="BZ1024" s="8">
        <f t="shared" si="715"/>
        <v>0</v>
      </c>
      <c r="CA1024" s="8">
        <f t="shared" si="716"/>
        <v>0</v>
      </c>
      <c r="CB1024" s="8">
        <f t="shared" si="717"/>
        <v>0</v>
      </c>
      <c r="CC1024" s="8">
        <f t="shared" si="718"/>
        <v>0</v>
      </c>
      <c r="CD1024" s="8">
        <f t="shared" si="719"/>
        <v>0</v>
      </c>
      <c r="CE1024" s="8">
        <f t="shared" si="720"/>
        <v>0</v>
      </c>
      <c r="CF1024" s="8">
        <f t="shared" si="721"/>
        <v>0</v>
      </c>
      <c r="CG1024" s="8">
        <f t="shared" si="722"/>
        <v>0</v>
      </c>
      <c r="CH1024" s="8">
        <f t="shared" si="723"/>
        <v>0</v>
      </c>
      <c r="CI1024" s="8">
        <f t="shared" si="724"/>
        <v>0</v>
      </c>
      <c r="CJ1024" s="8">
        <f t="shared" si="725"/>
        <v>0</v>
      </c>
      <c r="CK1024" s="8">
        <f t="shared" si="726"/>
        <v>0</v>
      </c>
      <c r="CL1024" s="8">
        <f t="shared" si="727"/>
        <v>0</v>
      </c>
      <c r="CM1024" s="8">
        <f t="shared" si="728"/>
        <v>0</v>
      </c>
      <c r="CN1024" s="8">
        <f t="shared" si="729"/>
        <v>0</v>
      </c>
      <c r="CO1024" s="8">
        <f t="shared" si="730"/>
        <v>0</v>
      </c>
      <c r="CP1024" s="8">
        <f t="shared" si="731"/>
        <v>0</v>
      </c>
      <c r="CQ1024" s="8">
        <f t="shared" si="732"/>
        <v>0</v>
      </c>
      <c r="CR1024" s="8">
        <f t="shared" si="733"/>
        <v>0</v>
      </c>
      <c r="CS1024" s="8">
        <f t="shared" si="734"/>
        <v>0</v>
      </c>
      <c r="CT1024" s="8">
        <f t="shared" si="739"/>
        <v>0</v>
      </c>
      <c r="CU1024" s="8">
        <f t="shared" si="740"/>
        <v>0</v>
      </c>
      <c r="CV1024" s="8">
        <f t="shared" si="741"/>
        <v>0</v>
      </c>
    </row>
    <row r="1025" spans="1:100" ht="20.5" thickTop="1" thickBot="1" x14ac:dyDescent="0.5">
      <c r="A1025" s="32"/>
      <c r="B1025" s="10"/>
      <c r="C1025" s="10"/>
      <c r="D1025" s="11"/>
      <c r="E1025" s="10"/>
      <c r="F1025" s="10"/>
      <c r="G1025" s="19"/>
      <c r="H1025" s="19"/>
      <c r="I1025" s="19"/>
      <c r="J1025" s="19"/>
      <c r="K1025" s="10"/>
      <c r="L1025" s="10"/>
      <c r="M1025" s="10"/>
      <c r="N1025" s="10"/>
      <c r="O1025" s="18"/>
      <c r="P1025" s="18"/>
      <c r="Q1025" s="21"/>
      <c r="R1025" s="20"/>
      <c r="S1025" s="16">
        <f t="shared" si="697"/>
        <v>0</v>
      </c>
      <c r="T1025" s="11"/>
      <c r="AS1025" s="31">
        <f t="shared" si="698"/>
        <v>0</v>
      </c>
      <c r="AT1025" s="31">
        <f t="shared" si="699"/>
        <v>0</v>
      </c>
      <c r="AU1025" s="31">
        <f t="shared" si="700"/>
        <v>0</v>
      </c>
      <c r="AV1025" s="31">
        <f t="shared" si="701"/>
        <v>0</v>
      </c>
      <c r="AW1025" s="31">
        <f t="shared" si="702"/>
        <v>0</v>
      </c>
      <c r="AX1025" s="31">
        <f t="shared" si="703"/>
        <v>0</v>
      </c>
      <c r="AY1025" s="31">
        <f t="shared" si="704"/>
        <v>0</v>
      </c>
      <c r="AZ1025" s="31">
        <f t="shared" si="705"/>
        <v>0</v>
      </c>
      <c r="BA1025" s="31">
        <f t="shared" si="706"/>
        <v>0</v>
      </c>
      <c r="BB1025" s="31">
        <f t="shared" si="735"/>
        <v>0</v>
      </c>
      <c r="BM1025" s="8">
        <f t="shared" si="736"/>
        <v>0</v>
      </c>
      <c r="BN1025" s="8">
        <f t="shared" si="707"/>
        <v>0</v>
      </c>
      <c r="BO1025" s="8">
        <f t="shared" si="708"/>
        <v>0</v>
      </c>
      <c r="BQ1025" s="8">
        <f t="shared" si="709"/>
        <v>0</v>
      </c>
      <c r="BR1025" s="63">
        <f t="shared" si="710"/>
        <v>0</v>
      </c>
      <c r="BS1025" s="63">
        <f t="shared" si="737"/>
        <v>0</v>
      </c>
      <c r="BT1025" s="63">
        <f t="shared" si="711"/>
        <v>0</v>
      </c>
      <c r="BU1025" s="63">
        <f t="shared" si="712"/>
        <v>0</v>
      </c>
      <c r="BV1025" s="57">
        <f t="shared" si="713"/>
        <v>0</v>
      </c>
      <c r="BW1025" s="57">
        <f t="shared" si="714"/>
        <v>0</v>
      </c>
      <c r="BX1025" s="57">
        <f t="shared" si="738"/>
        <v>0</v>
      </c>
      <c r="BY1025" s="57">
        <f t="shared" si="742"/>
        <v>0</v>
      </c>
      <c r="BZ1025" s="8">
        <f t="shared" si="715"/>
        <v>0</v>
      </c>
      <c r="CA1025" s="8">
        <f t="shared" si="716"/>
        <v>0</v>
      </c>
      <c r="CB1025" s="8">
        <f t="shared" si="717"/>
        <v>0</v>
      </c>
      <c r="CC1025" s="8">
        <f t="shared" si="718"/>
        <v>0</v>
      </c>
      <c r="CD1025" s="8">
        <f t="shared" si="719"/>
        <v>0</v>
      </c>
      <c r="CE1025" s="8">
        <f t="shared" si="720"/>
        <v>0</v>
      </c>
      <c r="CF1025" s="8">
        <f t="shared" si="721"/>
        <v>0</v>
      </c>
      <c r="CG1025" s="8">
        <f t="shared" si="722"/>
        <v>0</v>
      </c>
      <c r="CH1025" s="8">
        <f t="shared" si="723"/>
        <v>0</v>
      </c>
      <c r="CI1025" s="8">
        <f t="shared" si="724"/>
        <v>0</v>
      </c>
      <c r="CJ1025" s="8">
        <f t="shared" si="725"/>
        <v>0</v>
      </c>
      <c r="CK1025" s="8">
        <f t="shared" si="726"/>
        <v>0</v>
      </c>
      <c r="CL1025" s="8">
        <f t="shared" si="727"/>
        <v>0</v>
      </c>
      <c r="CM1025" s="8">
        <f t="shared" si="728"/>
        <v>0</v>
      </c>
      <c r="CN1025" s="8">
        <f t="shared" si="729"/>
        <v>0</v>
      </c>
      <c r="CO1025" s="8">
        <f t="shared" si="730"/>
        <v>0</v>
      </c>
      <c r="CP1025" s="8">
        <f t="shared" si="731"/>
        <v>0</v>
      </c>
      <c r="CQ1025" s="8">
        <f t="shared" si="732"/>
        <v>0</v>
      </c>
      <c r="CR1025" s="8">
        <f t="shared" si="733"/>
        <v>0</v>
      </c>
      <c r="CS1025" s="8">
        <f t="shared" si="734"/>
        <v>0</v>
      </c>
      <c r="CT1025" s="8">
        <f t="shared" si="739"/>
        <v>0</v>
      </c>
      <c r="CU1025" s="8">
        <f t="shared" si="740"/>
        <v>0</v>
      </c>
      <c r="CV1025" s="8">
        <f t="shared" si="741"/>
        <v>0</v>
      </c>
    </row>
    <row r="1026" spans="1:100" ht="20.5" thickTop="1" thickBot="1" x14ac:dyDescent="0.5">
      <c r="A1026" s="32"/>
      <c r="B1026" s="10"/>
      <c r="C1026" s="10"/>
      <c r="D1026" s="11"/>
      <c r="E1026" s="10"/>
      <c r="F1026" s="10"/>
      <c r="G1026" s="19"/>
      <c r="H1026" s="19"/>
      <c r="I1026" s="19"/>
      <c r="J1026" s="19"/>
      <c r="K1026" s="10"/>
      <c r="L1026" s="10"/>
      <c r="M1026" s="10"/>
      <c r="N1026" s="10"/>
      <c r="O1026" s="18"/>
      <c r="P1026" s="18"/>
      <c r="Q1026" s="21"/>
      <c r="R1026" s="20"/>
      <c r="S1026" s="16">
        <f t="shared" si="697"/>
        <v>0</v>
      </c>
      <c r="T1026" s="11"/>
      <c r="AS1026" s="31">
        <f t="shared" si="698"/>
        <v>0</v>
      </c>
      <c r="AT1026" s="31">
        <f t="shared" si="699"/>
        <v>0</v>
      </c>
      <c r="AU1026" s="31">
        <f t="shared" si="700"/>
        <v>0</v>
      </c>
      <c r="AV1026" s="31">
        <f t="shared" si="701"/>
        <v>0</v>
      </c>
      <c r="AW1026" s="31">
        <f t="shared" si="702"/>
        <v>0</v>
      </c>
      <c r="AX1026" s="31">
        <f t="shared" si="703"/>
        <v>0</v>
      </c>
      <c r="AY1026" s="31">
        <f t="shared" si="704"/>
        <v>0</v>
      </c>
      <c r="AZ1026" s="31">
        <f t="shared" si="705"/>
        <v>0</v>
      </c>
      <c r="BA1026" s="31">
        <f t="shared" si="706"/>
        <v>0</v>
      </c>
      <c r="BB1026" s="31">
        <f t="shared" si="735"/>
        <v>0</v>
      </c>
      <c r="BM1026" s="8">
        <f t="shared" si="736"/>
        <v>0</v>
      </c>
      <c r="BN1026" s="8">
        <f t="shared" si="707"/>
        <v>0</v>
      </c>
      <c r="BO1026" s="8">
        <f t="shared" si="708"/>
        <v>0</v>
      </c>
      <c r="BQ1026" s="8">
        <f t="shared" si="709"/>
        <v>0</v>
      </c>
      <c r="BR1026" s="63">
        <f t="shared" si="710"/>
        <v>0</v>
      </c>
      <c r="BS1026" s="63">
        <f t="shared" si="737"/>
        <v>0</v>
      </c>
      <c r="BT1026" s="63">
        <f t="shared" si="711"/>
        <v>0</v>
      </c>
      <c r="BU1026" s="63">
        <f t="shared" si="712"/>
        <v>0</v>
      </c>
      <c r="BV1026" s="57">
        <f t="shared" si="713"/>
        <v>0</v>
      </c>
      <c r="BW1026" s="57">
        <f t="shared" si="714"/>
        <v>0</v>
      </c>
      <c r="BX1026" s="57">
        <f t="shared" si="738"/>
        <v>0</v>
      </c>
      <c r="BY1026" s="57">
        <f t="shared" si="742"/>
        <v>0</v>
      </c>
      <c r="BZ1026" s="8">
        <f t="shared" si="715"/>
        <v>0</v>
      </c>
      <c r="CA1026" s="8">
        <f t="shared" si="716"/>
        <v>0</v>
      </c>
      <c r="CB1026" s="8">
        <f t="shared" si="717"/>
        <v>0</v>
      </c>
      <c r="CC1026" s="8">
        <f t="shared" si="718"/>
        <v>0</v>
      </c>
      <c r="CD1026" s="8">
        <f t="shared" si="719"/>
        <v>0</v>
      </c>
      <c r="CE1026" s="8">
        <f t="shared" si="720"/>
        <v>0</v>
      </c>
      <c r="CF1026" s="8">
        <f t="shared" si="721"/>
        <v>0</v>
      </c>
      <c r="CG1026" s="8">
        <f t="shared" si="722"/>
        <v>0</v>
      </c>
      <c r="CH1026" s="8">
        <f t="shared" si="723"/>
        <v>0</v>
      </c>
      <c r="CI1026" s="8">
        <f t="shared" si="724"/>
        <v>0</v>
      </c>
      <c r="CJ1026" s="8">
        <f t="shared" si="725"/>
        <v>0</v>
      </c>
      <c r="CK1026" s="8">
        <f t="shared" si="726"/>
        <v>0</v>
      </c>
      <c r="CL1026" s="8">
        <f t="shared" si="727"/>
        <v>0</v>
      </c>
      <c r="CM1026" s="8">
        <f t="shared" si="728"/>
        <v>0</v>
      </c>
      <c r="CN1026" s="8">
        <f t="shared" si="729"/>
        <v>0</v>
      </c>
      <c r="CO1026" s="8">
        <f t="shared" si="730"/>
        <v>0</v>
      </c>
      <c r="CP1026" s="8">
        <f t="shared" si="731"/>
        <v>0</v>
      </c>
      <c r="CQ1026" s="8">
        <f t="shared" si="732"/>
        <v>0</v>
      </c>
      <c r="CR1026" s="8">
        <f t="shared" si="733"/>
        <v>0</v>
      </c>
      <c r="CS1026" s="8">
        <f t="shared" si="734"/>
        <v>0</v>
      </c>
      <c r="CT1026" s="8">
        <f t="shared" si="739"/>
        <v>0</v>
      </c>
      <c r="CU1026" s="8">
        <f t="shared" si="740"/>
        <v>0</v>
      </c>
      <c r="CV1026" s="8">
        <f t="shared" si="741"/>
        <v>0</v>
      </c>
    </row>
    <row r="1027" spans="1:100" ht="20.5" thickTop="1" thickBot="1" x14ac:dyDescent="0.5">
      <c r="A1027" s="32"/>
      <c r="B1027" s="10"/>
      <c r="C1027" s="10"/>
      <c r="D1027" s="11"/>
      <c r="E1027" s="10"/>
      <c r="F1027" s="10"/>
      <c r="G1027" s="19"/>
      <c r="H1027" s="19"/>
      <c r="I1027" s="19"/>
      <c r="J1027" s="19"/>
      <c r="K1027" s="10"/>
      <c r="L1027" s="10"/>
      <c r="M1027" s="10"/>
      <c r="N1027" s="10"/>
      <c r="O1027" s="18"/>
      <c r="P1027" s="18"/>
      <c r="Q1027" s="21"/>
      <c r="R1027" s="20"/>
      <c r="S1027" s="16">
        <f t="shared" si="697"/>
        <v>0</v>
      </c>
      <c r="T1027" s="11"/>
      <c r="AS1027" s="31">
        <f t="shared" si="698"/>
        <v>0</v>
      </c>
      <c r="AT1027" s="31">
        <f t="shared" si="699"/>
        <v>0</v>
      </c>
      <c r="AU1027" s="31">
        <f t="shared" si="700"/>
        <v>0</v>
      </c>
      <c r="AV1027" s="31">
        <f t="shared" si="701"/>
        <v>0</v>
      </c>
      <c r="AW1027" s="31">
        <f t="shared" si="702"/>
        <v>0</v>
      </c>
      <c r="AX1027" s="31">
        <f t="shared" si="703"/>
        <v>0</v>
      </c>
      <c r="AY1027" s="31">
        <f t="shared" si="704"/>
        <v>0</v>
      </c>
      <c r="AZ1027" s="31">
        <f t="shared" si="705"/>
        <v>0</v>
      </c>
      <c r="BA1027" s="31">
        <f t="shared" si="706"/>
        <v>0</v>
      </c>
      <c r="BB1027" s="31">
        <f t="shared" si="735"/>
        <v>0</v>
      </c>
      <c r="BM1027" s="8">
        <f t="shared" si="736"/>
        <v>0</v>
      </c>
      <c r="BN1027" s="8">
        <f t="shared" si="707"/>
        <v>0</v>
      </c>
      <c r="BO1027" s="8">
        <f t="shared" si="708"/>
        <v>0</v>
      </c>
      <c r="BQ1027" s="8">
        <f t="shared" si="709"/>
        <v>0</v>
      </c>
      <c r="BR1027" s="63">
        <f t="shared" si="710"/>
        <v>0</v>
      </c>
      <c r="BS1027" s="63">
        <f t="shared" si="737"/>
        <v>0</v>
      </c>
      <c r="BT1027" s="63">
        <f t="shared" si="711"/>
        <v>0</v>
      </c>
      <c r="BU1027" s="63">
        <f t="shared" si="712"/>
        <v>0</v>
      </c>
      <c r="BV1027" s="57">
        <f t="shared" si="713"/>
        <v>0</v>
      </c>
      <c r="BW1027" s="57">
        <f t="shared" si="714"/>
        <v>0</v>
      </c>
      <c r="BX1027" s="57">
        <f t="shared" si="738"/>
        <v>0</v>
      </c>
      <c r="BY1027" s="57">
        <f t="shared" si="742"/>
        <v>0</v>
      </c>
      <c r="BZ1027" s="8">
        <f t="shared" si="715"/>
        <v>0</v>
      </c>
      <c r="CA1027" s="8">
        <f t="shared" si="716"/>
        <v>0</v>
      </c>
      <c r="CB1027" s="8">
        <f t="shared" si="717"/>
        <v>0</v>
      </c>
      <c r="CC1027" s="8">
        <f t="shared" si="718"/>
        <v>0</v>
      </c>
      <c r="CD1027" s="8">
        <f t="shared" si="719"/>
        <v>0</v>
      </c>
      <c r="CE1027" s="8">
        <f t="shared" si="720"/>
        <v>0</v>
      </c>
      <c r="CF1027" s="8">
        <f t="shared" si="721"/>
        <v>0</v>
      </c>
      <c r="CG1027" s="8">
        <f t="shared" si="722"/>
        <v>0</v>
      </c>
      <c r="CH1027" s="8">
        <f t="shared" si="723"/>
        <v>0</v>
      </c>
      <c r="CI1027" s="8">
        <f t="shared" si="724"/>
        <v>0</v>
      </c>
      <c r="CJ1027" s="8">
        <f t="shared" si="725"/>
        <v>0</v>
      </c>
      <c r="CK1027" s="8">
        <f t="shared" si="726"/>
        <v>0</v>
      </c>
      <c r="CL1027" s="8">
        <f t="shared" si="727"/>
        <v>0</v>
      </c>
      <c r="CM1027" s="8">
        <f t="shared" si="728"/>
        <v>0</v>
      </c>
      <c r="CN1027" s="8">
        <f t="shared" si="729"/>
        <v>0</v>
      </c>
      <c r="CO1027" s="8">
        <f t="shared" si="730"/>
        <v>0</v>
      </c>
      <c r="CP1027" s="8">
        <f t="shared" si="731"/>
        <v>0</v>
      </c>
      <c r="CQ1027" s="8">
        <f t="shared" si="732"/>
        <v>0</v>
      </c>
      <c r="CR1027" s="8">
        <f t="shared" si="733"/>
        <v>0</v>
      </c>
      <c r="CS1027" s="8">
        <f t="shared" si="734"/>
        <v>0</v>
      </c>
      <c r="CT1027" s="8">
        <f t="shared" si="739"/>
        <v>0</v>
      </c>
      <c r="CU1027" s="8">
        <f t="shared" si="740"/>
        <v>0</v>
      </c>
      <c r="CV1027" s="8">
        <f t="shared" si="741"/>
        <v>0</v>
      </c>
    </row>
    <row r="1028" spans="1:100" ht="20.5" thickTop="1" thickBot="1" x14ac:dyDescent="0.5">
      <c r="A1028" s="32"/>
      <c r="B1028" s="10"/>
      <c r="C1028" s="10"/>
      <c r="D1028" s="11"/>
      <c r="E1028" s="10"/>
      <c r="F1028" s="10"/>
      <c r="G1028" s="19"/>
      <c r="H1028" s="19"/>
      <c r="I1028" s="19"/>
      <c r="J1028" s="19"/>
      <c r="K1028" s="10"/>
      <c r="L1028" s="10"/>
      <c r="M1028" s="10"/>
      <c r="N1028" s="10"/>
      <c r="O1028" s="18"/>
      <c r="P1028" s="18"/>
      <c r="Q1028" s="21"/>
      <c r="R1028" s="20"/>
      <c r="S1028" s="16">
        <f t="shared" ref="S1028:S1091" si="743">IF(AND(K1028="asphalted",M1028="sub",BV1028&lt;=1,BV1028&gt;0),1+2*0.15,IF(AND(K1028="asphalted",OR(M1028="main",M1028="MOT"),BV1028&lt;=1,BV1028&gt;0),1+2*0.3,IF(AND(K1028="asphalted",M1028="sub",BV1028&gt;1),BV1028+2*0.15,IF(AND(K1028="asphalted",OR(M1028="main",M1028="MOT"),BV1028&gt;1),BV1028+2*0.3,0))))</f>
        <v>0</v>
      </c>
      <c r="T1028" s="11"/>
      <c r="AS1028" s="31">
        <f t="shared" ref="AS1028:AS1091" si="744">IF(F1028=1,0.4,IF(F1028&gt;1,F1028*0.3,0))</f>
        <v>0</v>
      </c>
      <c r="AT1028" s="31">
        <f t="shared" ref="AT1028:AT1091" si="745">IF(AND(G1028&lt;4,G1028&gt;0),0.4,IF(G1028&gt;3,0.4+(G1028-3)*0.1,0))</f>
        <v>0</v>
      </c>
      <c r="AU1028" s="31">
        <f t="shared" ref="AU1028:AU1091" si="746">AT1028-AS1028</f>
        <v>0</v>
      </c>
      <c r="AV1028" s="31">
        <f t="shared" ref="AV1028:AV1091" si="747">IF(AND(OR(OR(E1028="normal",E1028="special"),E1028="special"),F1028=0,G1028&gt;0,G1028&lt;5),"LV"&amp;G1028,IF(AND(OR(OR(E1028="normal",E1028="special"),E1028="special"),F1028=0,G1028&gt;4),"LVCU",IF(AND(OR(OR(E1028="normal",E1028="special"),E1028="special"),F1028&gt;4),"MVCU",IF(AND(OR(OR(E1028="normal",E1028="special"),E1028="special"),F1028&gt;0,F1028&lt;5),"MV"&amp;F1028,IF(AND(E1028="mini-trench",F1028=1),"mini-trench MV",IF(AND(E1028="mini-trench",G1028&lt;3,G1028&lt;&gt;0),"mini-trench LV",0))))))</f>
        <v>0</v>
      </c>
      <c r="AW1028" s="31">
        <f t="shared" ref="AW1028:AW1091" si="748">IF(B1028="joint",F1028,0)+IF(C1028="joint",F1028,0)+IF(OR(B1028="new ss",B1028="ss"),F1028*3)+IF(B1028="pole",F1028*10)+IF(OR(C1028="new ss",C1028="ss"),F1028*3)+IF(C1028="pole",F1028*10)+IF(B1028="grid",F1028*30)+IF(C1028="grid",F1028*30)</f>
        <v>0</v>
      </c>
      <c r="AX1028" s="31">
        <f t="shared" ref="AX1028:AX1091" si="749">IF(J1028&gt;0,IF(OR(B1028="ss",C1028="ss"),J1028*3,0)+IF(OR(B1028="new ss",C1028="new ss"),J1028*3,0)+IF(OR(B1028="DC",C1028="DC"),J1028*1.5,0)+IF(OR(B1028="new DC",C1028="new DC"),J1028*1.5,0)+IF(OR(B1028="MB",C1028="MB"),J1028*2,0)+IF(OR(B1028="pole",C1028="pole"),J1028*10,0),0)</f>
        <v>0</v>
      </c>
      <c r="AY1028" s="31">
        <f t="shared" ref="AY1028:AY1091" si="750">IF(I1028&gt;0,IF(OR(B1028="ss",C1028="ss"),I1028*3,0)+IF(OR(B1028="new ss",C1028="new ss"),I1028*3,0)+IF(OR(B1028="DC",C1028="DC"),I1028*1.5,0)+IF(OR(B1028="new DC",C1028="new DC"),J1028*1.5,0)+IF(OR(B1028="MB",C1028="MB"),I1028*2,0)+IF(OR(B1028="pole",C1028="pole"),I1028*10,0),0)</f>
        <v>0</v>
      </c>
      <c r="AZ1028" s="31">
        <f t="shared" ref="AZ1028:AZ1091" si="751">IF(H1028&gt;0,IF(OR(B1028="ss",C1028="ss"),H1028*3,0)+IF(OR(B1028="new ss",C1028="new ss"),H1028*3,0)+IF(OR(B1028="DC",C1028="DC"),H1028*2,0)+IF(OR(B1028="new DC",C1028="new DC"),H1028*1.5,0)+IF(OR(B1028="MB",C1028="MB"),H1028*2,0)+IF(OR(B1028="pole",C1028="pole"),H1028*10,0)+IF(OR(B1028="pole",C1028="pole"),H1028*10,0),0)</f>
        <v>0</v>
      </c>
      <c r="BA1028" s="31">
        <f t="shared" ref="BA1028:BA1091" si="752">IF(E1028="manual",IF(AU1028&lt;0,D1028*AS1028*0.8,IF(AND(AS1028&gt;0,AU1028&gt;0),D1028*AS1028*0.8+D1028*AU1028*0.65,IF(AND(AS1028=0,AT1028&gt;0),D1028*AT1028*0.65,0))),0)</f>
        <v>0</v>
      </c>
      <c r="BB1028" s="31">
        <f t="shared" si="735"/>
        <v>0</v>
      </c>
      <c r="BM1028" s="8">
        <f t="shared" si="736"/>
        <v>0</v>
      </c>
      <c r="BN1028" s="8">
        <f t="shared" ref="BN1028:BN1091" si="753">IFERROR(IF(AND(K1028="asphalted",E1028="mini-trench",R1028=""),1*D1028,IF(AND(K1028="asphalted",R1028&gt;0,MandRcalc="Complete M&amp;R area"),R1028*D1028,IF(AND(K1028="asphalted",R1028&gt;0,MandRcalc="M&amp;R area - asphalting area"),(R1028-BR1028/D1028)*D1028,0))),0)</f>
        <v>0</v>
      </c>
      <c r="BO1028" s="8">
        <f t="shared" ref="BO1028:BO1091" si="754">IF(BQ1028&lt;MINEXCNA,0,IF(AND(E1028="normal",F1028&lt;5,G1028&lt;12,K1028&lt;&gt;"asphalted",AT1028&gt;AS1028,AS1028&lt;&gt;0),(BQ1028-AT1028)*0.65,IF(AND(E1028="normal",F1028&lt;5,G1028&lt;12,K1028&lt;&gt;"asphalted",AS1028&gt;=AT1028),(BQ1028-AS1028)*0.8,IF(AND(E1028="normal",F1028&lt;5,G1028&lt;12,K1028&lt;&gt;"asphalted",AT1028&gt;0,AS1028=0),(BQ1028-AT1028)*0.65,0)))*D1028)</f>
        <v>0</v>
      </c>
      <c r="BQ1028" s="8">
        <f t="shared" ref="BQ1028:BQ1091" si="755">IF(E1028="special",O1028,IF(AND(OR(E1028="normal",E1028="manual"),O1028="",K1028="asphalted",BV1028&lt;=MINEXC),MINEXC,IF(AND(OR(E1028="normal",E1028="manual"),O1028&lt;&gt;"",K1028="asphalted"),MIN(O1028,BV1028),IF(AND(OR(E1028="normal",E1028="manual"),O1028="",K1028&lt;&gt;"asphalted",BV1028&lt;=MINEXCNA),MINEXCNA,IF(AND(OR(E1028="normal",E1028="manual"),O1028&lt;&gt;"",K1028&lt;&gt;"asphalted"),MIN(O1028,BV1028),BV1028)))))</f>
        <v>0</v>
      </c>
      <c r="BR1028" s="63">
        <f t="shared" ref="BR1028:BR1091" si="756">IFERROR(IF(AND(E1028&lt;&gt;"mini-trecnh",K1028="asphalted",Q1028&lt;&gt;"",S1028=0),D1028*Q1028,IF(AND(E1028&lt;&gt;"mini-trecnh",K1028="asphalted",Q1028&lt;&gt;"",S1028&lt;&gt;0),D1028*MIN(Q1028,S1028),IF(AND(E1028&lt;&gt;"mini-trecnh",K1028="asphalted",Q1028=""),D1028*S1028,0))),0)</f>
        <v>0</v>
      </c>
      <c r="BS1028" s="63">
        <f t="shared" si="737"/>
        <v>0</v>
      </c>
      <c r="BT1028" s="63">
        <f t="shared" ref="BT1028:BT1091" si="757">IF(BQ1028&lt;MINEXC,0,IF(AND(E1028="normal",F1028&lt;5,G1028&lt;12,K1028="asphalted",AT1028&gt;AS1028,AS1028&lt;&gt;0),(BQ1028-AT1028)*0.65,IF(AND(E1028="normal",F1028&lt;5,G1028&lt;12,K1028="asphalted",AS1028&gt;=AT1028),(BQ1028-AS1028)*0.8,IF(AND(E1028="normal",F1028&lt;5,G1028&lt;12,K1028="asphalted",AT1028&gt;0,AS1028=0),(BQ1028-AT1028)*0.65,0)))*D1028)</f>
        <v>0</v>
      </c>
      <c r="BU1028" s="63">
        <f t="shared" ref="BU1028:BU1091" si="758">IF(E1028="",0,IF(OR(BT1028&gt;0,BO1028&gt;0),0,IF(AND(F1028&gt;4,G1028=0),(BQ1028-1.2)*D1028*0.8,IF(AND(G1028&gt;4,F1028=0),(BQ1028-0.4)*D1028*0.65,IF(OR(AND(G1028&gt;4,F1028&gt;0),AND(F1028&gt;4,G1028&gt;0)),(IF(AS1028&gt;1.2,(AS1028-1.2)*D1028*0.8,0)+IF(AT1028&gt;AS1028,(AT1028-AS1028)*D1028*0.65,0)),0)))))</f>
        <v>0</v>
      </c>
      <c r="BV1028" s="57">
        <f t="shared" ref="BV1028:BV1091" si="759">IF(AND(E1028&lt;&gt;"mini-trench",E1028&lt;&gt;"special"),MAX(AS1028:AT1028),0)</f>
        <v>0</v>
      </c>
      <c r="BW1028" s="57">
        <f t="shared" ref="BW1028:BW1091" si="760">IF(AND(E1028&lt;&gt;"mini-trench",E1028&lt;&gt;"special",BV1028&gt;0,BV1028&lt;1,K1028="asphalted"),IF(O1028&lt;&gt;"",MIN(O1028,1),1),IF(AND(E1028&lt;&gt;"mini-trench",E1028&lt;&gt;"special",BV1028&gt;0,BV1028&gt;1,K1028="asphalted"),BV1028,0))</f>
        <v>0</v>
      </c>
      <c r="BX1028" s="57">
        <f t="shared" si="738"/>
        <v>0</v>
      </c>
      <c r="BY1028" s="57">
        <f t="shared" si="742"/>
        <v>0</v>
      </c>
      <c r="BZ1028" s="8">
        <f t="shared" ref="BZ1028:BZ1091" si="761">IF(E1028="special",O1028*P1028*D1028-D1028*IF(AV1028="MV1",0.8*0.4,IF(AV1028="MV2",0.8*0.6,IF(AV1028="MV3",0.8*0.9,IF(OR(AV1028="MV4",AV1028="MVCU"),0.8*1.2,IF(AV1028="LV1-3",0.65*0.4,IF(OR(AV1028="LV4",AV1028="LVCU"),0.65*0.5)))))),0)</f>
        <v>0</v>
      </c>
      <c r="CA1028" s="8">
        <f t="shared" ref="CA1028:CA1091" si="762">IF(AND(E1028&lt;&gt;"special",K1028="Paved interlock"),D1028*BV1028,IF(AND(E1028="special",K1028="Paved interlock"),D1028*O1028,0))</f>
        <v>0</v>
      </c>
      <c r="CB1028" s="8">
        <f t="shared" ref="CB1028:CB1091" si="763">IF(AND(E1028&lt;&gt;"special",K1028="Paved conc.tiles"),D1028*BV1028,IF(AND(E1028="special",K1028="Paved conc.tiles"),D1028*O1028,0))</f>
        <v>0</v>
      </c>
      <c r="CC1028" s="8">
        <f t="shared" ref="CC1028:CC1091" si="764">IF(AND(E1028="special",K1028="asphalted"),D1028*Q1028,0)</f>
        <v>0</v>
      </c>
      <c r="CD1028" s="8">
        <f t="shared" ref="CD1028:CD1091" si="765">IF(OR(K1028="Paved interlock",K1028="Paved conc.tiles"),1,0)</f>
        <v>0</v>
      </c>
      <c r="CE1028" s="8">
        <f t="shared" ref="CE1028:CE1091" si="766">IFERROR(BR1028/D1028,0)</f>
        <v>0</v>
      </c>
      <c r="CF1028" s="8">
        <f t="shared" ref="CF1028:CF1091" si="767">IF(AND(F1028&gt;0,B1028="j transition"),F1028,0)+IF(AND(F1028&gt;0,C1028="j transition"),F1028,0)</f>
        <v>0</v>
      </c>
      <c r="CG1028" s="8">
        <f t="shared" ref="CG1028:CG1091" si="768">IF(AND(F1028&gt;0,OR(B1028="grid",B1028="ss",B1028="pole",B1028="new ss")),F1028,0)+IF(AND(F1028&gt;0,OR(C1028="grid",C1028="ss",C1028="pole",C1028="new ss")),F1028,0)</f>
        <v>0</v>
      </c>
      <c r="CH1028" s="8">
        <f t="shared" ref="CH1028:CH1091" si="769">IF(AND(F1028&gt;0,B1028="joint"),F1028,0)+IF(AND(F1028&gt;0,C1028="joint"),F1028,0)+IF(AND(F1028&gt;0,B1028="j transition"),F1028,0)+IF(AND(F1028&gt;0,C1028="j transition"),F1028,0)</f>
        <v>0</v>
      </c>
      <c r="CI1028" s="8">
        <f t="shared" ref="CI1028:CI1091" si="770">IF(AND(H1028&gt;0,B1028="joint"),H1028,0)+IF(AND(H1028&gt;0,C1028="joint"),H1028,0)</f>
        <v>0</v>
      </c>
      <c r="CJ1028" s="8">
        <f t="shared" ref="CJ1028:CJ1091" si="771">IF(AND(I1028&gt;0,B1028="joint"),I1028,0)+IF(AND(I1028&gt;0,C1028="joint"),I1028,0)</f>
        <v>0</v>
      </c>
      <c r="CK1028" s="8">
        <f t="shared" ref="CK1028:CK1091" si="772">IF(AND(J1028&gt;0,B1028="joint"),J1028,0)+IF(AND(J1028&gt;0,C1028="joint"),J1028,0)</f>
        <v>0</v>
      </c>
      <c r="CL1028" s="8">
        <f t="shared" ref="CL1028:CL1091" si="773">IF(AND(H1028&gt;0,OR(B1028="ss",B1028="new ss",B1028="DC",B1028="new DC")),H1028,0)+IF(AND(H1028&gt;0,OR(C1028="new ss",C1028="ss",C1028="DC",C1028="new DC")),H1028,0)</f>
        <v>0</v>
      </c>
      <c r="CM1028" s="8">
        <f t="shared" ref="CM1028:CM1091" si="774">CO1028+CP1028</f>
        <v>0</v>
      </c>
      <c r="CN1028" s="8">
        <f t="shared" ref="CN1028:CN1091" si="775">IF(OR(B1028="new DC",C1028="new DC"),H1028,0)</f>
        <v>0</v>
      </c>
      <c r="CO1028" s="8">
        <f t="shared" ref="CO1028:CO1091" si="776">IF(AND(J1028&gt;0,OR(B1028="ss",B1028="new ss",B1028="DC",B1028="new DC")),J1028,0)+IF(AND(J1028&gt;0,OR(C1028="new ss",C1028="ss",C1028="DC",C1028="new DC")),J1028,0)</f>
        <v>0</v>
      </c>
      <c r="CP1028" s="8">
        <f t="shared" ref="CP1028:CP1091" si="777">IF(AND(I1028&gt;0,OR(B1028="ss",B1028="new ss",B1028="DC",B1028="new DC")),I1028,0)+IF(AND(I1028&gt;0,OR(C1028="new ss",C1028="ss",C1028="DC",C1028="new DC")),I1028,0)</f>
        <v>0</v>
      </c>
      <c r="CQ1028" s="8">
        <f t="shared" ref="CQ1028:CQ1091" si="778">IF(AND(F1028&gt;0,OR(B1028="ss",B1028="new ss")),F1028,0)+IF(AND(F1028&gt;0,OR(C1028="ss",C1028="new ss")),F1028,0)</f>
        <v>0</v>
      </c>
      <c r="CR1028" s="8">
        <f t="shared" ref="CR1028:CR1091" si="779">IF(AND(F1028&gt;0,OR(B1028="grid")),F1028,0)+IF(AND(F1028&gt;0,OR(C1028="grid")),F1028,0)</f>
        <v>0</v>
      </c>
      <c r="CS1028" s="8">
        <f t="shared" ref="CS1028:CS1091" si="780">IF(AND(F1028&gt;0,OR(B1028="pole")),F1028,0)+IF(AND(F1028&gt;0,OR(C1028="pole")),F1028,0)</f>
        <v>0</v>
      </c>
      <c r="CT1028" s="8">
        <f t="shared" si="739"/>
        <v>0</v>
      </c>
      <c r="CU1028" s="8">
        <f t="shared" si="740"/>
        <v>0</v>
      </c>
      <c r="CV1028" s="8">
        <f t="shared" si="741"/>
        <v>0</v>
      </c>
    </row>
    <row r="1029" spans="1:100" ht="20.5" thickTop="1" thickBot="1" x14ac:dyDescent="0.5">
      <c r="A1029" s="32"/>
      <c r="B1029" s="10"/>
      <c r="C1029" s="10"/>
      <c r="D1029" s="11"/>
      <c r="E1029" s="10"/>
      <c r="F1029" s="10"/>
      <c r="G1029" s="19"/>
      <c r="H1029" s="19"/>
      <c r="I1029" s="19"/>
      <c r="J1029" s="19"/>
      <c r="K1029" s="10"/>
      <c r="L1029" s="10"/>
      <c r="M1029" s="10"/>
      <c r="N1029" s="10"/>
      <c r="O1029" s="18"/>
      <c r="P1029" s="18"/>
      <c r="Q1029" s="21"/>
      <c r="R1029" s="20"/>
      <c r="S1029" s="16">
        <f t="shared" si="743"/>
        <v>0</v>
      </c>
      <c r="T1029" s="11"/>
      <c r="AS1029" s="31">
        <f t="shared" si="744"/>
        <v>0</v>
      </c>
      <c r="AT1029" s="31">
        <f t="shared" si="745"/>
        <v>0</v>
      </c>
      <c r="AU1029" s="31">
        <f t="shared" si="746"/>
        <v>0</v>
      </c>
      <c r="AV1029" s="31">
        <f t="shared" si="747"/>
        <v>0</v>
      </c>
      <c r="AW1029" s="31">
        <f t="shared" si="748"/>
        <v>0</v>
      </c>
      <c r="AX1029" s="31">
        <f t="shared" si="749"/>
        <v>0</v>
      </c>
      <c r="AY1029" s="31">
        <f t="shared" si="750"/>
        <v>0</v>
      </c>
      <c r="AZ1029" s="31">
        <f t="shared" si="751"/>
        <v>0</v>
      </c>
      <c r="BA1029" s="31">
        <f t="shared" si="752"/>
        <v>0</v>
      </c>
      <c r="BB1029" s="31">
        <f t="shared" ref="BB1029:BB1092" si="781">IFERROR(IF(BN1029&gt;0,0,IF(AND(E1029="normal",(BR1029/D1029)&gt;1),BR1029,0)),0)</f>
        <v>0</v>
      </c>
      <c r="BM1029" s="8">
        <f t="shared" ref="BM1029:BM1092" si="782">IF(AND(E1029&lt;&gt;"special",K1029="Concrete"),D1029*BV1029,IF(AND(E1029="special",K1029="Concrete"),D1029*O1029,0))</f>
        <v>0</v>
      </c>
      <c r="BN1029" s="8">
        <f t="shared" si="753"/>
        <v>0</v>
      </c>
      <c r="BO1029" s="8">
        <f t="shared" si="754"/>
        <v>0</v>
      </c>
      <c r="BQ1029" s="8">
        <f t="shared" si="755"/>
        <v>0</v>
      </c>
      <c r="BR1029" s="63">
        <f t="shared" si="756"/>
        <v>0</v>
      </c>
      <c r="BS1029" s="63">
        <f t="shared" ref="BS1029:BS1092" si="783">BN1029 + IF(BN1029&gt;0,IF(R1028=0, R1029, 0) + IF(R1030=0, R1029, 0),0)</f>
        <v>0</v>
      </c>
      <c r="BT1029" s="63">
        <f t="shared" si="757"/>
        <v>0</v>
      </c>
      <c r="BU1029" s="63">
        <f t="shared" si="758"/>
        <v>0</v>
      </c>
      <c r="BV1029" s="57">
        <f t="shared" si="759"/>
        <v>0</v>
      </c>
      <c r="BW1029" s="57">
        <f t="shared" si="760"/>
        <v>0</v>
      </c>
      <c r="BX1029" s="57">
        <f t="shared" ref="BX1029:BX1092" si="784">IF(AND(R1029&gt;0,MandRcalc="Asphalting then M&amp;R"),R1029*D1029,IF(AND(R1029&gt;0,MandRcalc="Milling then Repaving"),(R1029-BR1029)*D1029,0))</f>
        <v>0</v>
      </c>
      <c r="BY1029" s="57">
        <f t="shared" si="742"/>
        <v>0</v>
      </c>
      <c r="BZ1029" s="8">
        <f t="shared" si="761"/>
        <v>0</v>
      </c>
      <c r="CA1029" s="8">
        <f t="shared" si="762"/>
        <v>0</v>
      </c>
      <c r="CB1029" s="8">
        <f t="shared" si="763"/>
        <v>0</v>
      </c>
      <c r="CC1029" s="8">
        <f t="shared" si="764"/>
        <v>0</v>
      </c>
      <c r="CD1029" s="8">
        <f t="shared" si="765"/>
        <v>0</v>
      </c>
      <c r="CE1029" s="8">
        <f t="shared" si="766"/>
        <v>0</v>
      </c>
      <c r="CF1029" s="8">
        <f t="shared" si="767"/>
        <v>0</v>
      </c>
      <c r="CG1029" s="8">
        <f t="shared" si="768"/>
        <v>0</v>
      </c>
      <c r="CH1029" s="8">
        <f t="shared" si="769"/>
        <v>0</v>
      </c>
      <c r="CI1029" s="8">
        <f t="shared" si="770"/>
        <v>0</v>
      </c>
      <c r="CJ1029" s="8">
        <f t="shared" si="771"/>
        <v>0</v>
      </c>
      <c r="CK1029" s="8">
        <f t="shared" si="772"/>
        <v>0</v>
      </c>
      <c r="CL1029" s="8">
        <f t="shared" si="773"/>
        <v>0</v>
      </c>
      <c r="CM1029" s="8">
        <f t="shared" si="774"/>
        <v>0</v>
      </c>
      <c r="CN1029" s="8">
        <f t="shared" si="775"/>
        <v>0</v>
      </c>
      <c r="CO1029" s="8">
        <f t="shared" si="776"/>
        <v>0</v>
      </c>
      <c r="CP1029" s="8">
        <f t="shared" si="777"/>
        <v>0</v>
      </c>
      <c r="CQ1029" s="8">
        <f t="shared" si="778"/>
        <v>0</v>
      </c>
      <c r="CR1029" s="8">
        <f t="shared" si="779"/>
        <v>0</v>
      </c>
      <c r="CS1029" s="8">
        <f t="shared" si="780"/>
        <v>0</v>
      </c>
      <c r="CT1029" s="8">
        <f t="shared" si="739"/>
        <v>0</v>
      </c>
      <c r="CU1029" s="8">
        <f t="shared" si="740"/>
        <v>0</v>
      </c>
      <c r="CV1029" s="8">
        <f t="shared" si="741"/>
        <v>0</v>
      </c>
    </row>
    <row r="1030" spans="1:100" ht="20.5" thickTop="1" thickBot="1" x14ac:dyDescent="0.5">
      <c r="A1030" s="32"/>
      <c r="B1030" s="10"/>
      <c r="C1030" s="10"/>
      <c r="D1030" s="11"/>
      <c r="E1030" s="10"/>
      <c r="F1030" s="10"/>
      <c r="G1030" s="19"/>
      <c r="H1030" s="19"/>
      <c r="I1030" s="19"/>
      <c r="J1030" s="19"/>
      <c r="K1030" s="10"/>
      <c r="L1030" s="10"/>
      <c r="M1030" s="10"/>
      <c r="N1030" s="10"/>
      <c r="O1030" s="18"/>
      <c r="P1030" s="18"/>
      <c r="Q1030" s="21"/>
      <c r="R1030" s="20"/>
      <c r="S1030" s="16">
        <f t="shared" si="743"/>
        <v>0</v>
      </c>
      <c r="T1030" s="11"/>
      <c r="AS1030" s="31">
        <f t="shared" si="744"/>
        <v>0</v>
      </c>
      <c r="AT1030" s="31">
        <f t="shared" si="745"/>
        <v>0</v>
      </c>
      <c r="AU1030" s="31">
        <f t="shared" si="746"/>
        <v>0</v>
      </c>
      <c r="AV1030" s="31">
        <f t="shared" si="747"/>
        <v>0</v>
      </c>
      <c r="AW1030" s="31">
        <f t="shared" si="748"/>
        <v>0</v>
      </c>
      <c r="AX1030" s="31">
        <f t="shared" si="749"/>
        <v>0</v>
      </c>
      <c r="AY1030" s="31">
        <f t="shared" si="750"/>
        <v>0</v>
      </c>
      <c r="AZ1030" s="31">
        <f t="shared" si="751"/>
        <v>0</v>
      </c>
      <c r="BA1030" s="31">
        <f t="shared" si="752"/>
        <v>0</v>
      </c>
      <c r="BB1030" s="31">
        <f t="shared" si="781"/>
        <v>0</v>
      </c>
      <c r="BM1030" s="8">
        <f t="shared" si="782"/>
        <v>0</v>
      </c>
      <c r="BN1030" s="8">
        <f t="shared" si="753"/>
        <v>0</v>
      </c>
      <c r="BO1030" s="8">
        <f t="shared" si="754"/>
        <v>0</v>
      </c>
      <c r="BQ1030" s="8">
        <f t="shared" si="755"/>
        <v>0</v>
      </c>
      <c r="BR1030" s="63">
        <f t="shared" si="756"/>
        <v>0</v>
      </c>
      <c r="BS1030" s="63">
        <f t="shared" si="783"/>
        <v>0</v>
      </c>
      <c r="BT1030" s="63">
        <f t="shared" si="757"/>
        <v>0</v>
      </c>
      <c r="BU1030" s="63">
        <f t="shared" si="758"/>
        <v>0</v>
      </c>
      <c r="BV1030" s="57">
        <f t="shared" si="759"/>
        <v>0</v>
      </c>
      <c r="BW1030" s="57">
        <f t="shared" si="760"/>
        <v>0</v>
      </c>
      <c r="BX1030" s="57">
        <f t="shared" si="784"/>
        <v>0</v>
      </c>
      <c r="BY1030" s="57">
        <f t="shared" si="742"/>
        <v>0</v>
      </c>
      <c r="BZ1030" s="8">
        <f t="shared" si="761"/>
        <v>0</v>
      </c>
      <c r="CA1030" s="8">
        <f t="shared" si="762"/>
        <v>0</v>
      </c>
      <c r="CB1030" s="8">
        <f t="shared" si="763"/>
        <v>0</v>
      </c>
      <c r="CC1030" s="8">
        <f t="shared" si="764"/>
        <v>0</v>
      </c>
      <c r="CD1030" s="8">
        <f t="shared" si="765"/>
        <v>0</v>
      </c>
      <c r="CE1030" s="8">
        <f t="shared" si="766"/>
        <v>0</v>
      </c>
      <c r="CF1030" s="8">
        <f t="shared" si="767"/>
        <v>0</v>
      </c>
      <c r="CG1030" s="8">
        <f t="shared" si="768"/>
        <v>0</v>
      </c>
      <c r="CH1030" s="8">
        <f t="shared" si="769"/>
        <v>0</v>
      </c>
      <c r="CI1030" s="8">
        <f t="shared" si="770"/>
        <v>0</v>
      </c>
      <c r="CJ1030" s="8">
        <f t="shared" si="771"/>
        <v>0</v>
      </c>
      <c r="CK1030" s="8">
        <f t="shared" si="772"/>
        <v>0</v>
      </c>
      <c r="CL1030" s="8">
        <f t="shared" si="773"/>
        <v>0</v>
      </c>
      <c r="CM1030" s="8">
        <f t="shared" si="774"/>
        <v>0</v>
      </c>
      <c r="CN1030" s="8">
        <f t="shared" si="775"/>
        <v>0</v>
      </c>
      <c r="CO1030" s="8">
        <f t="shared" si="776"/>
        <v>0</v>
      </c>
      <c r="CP1030" s="8">
        <f t="shared" si="777"/>
        <v>0</v>
      </c>
      <c r="CQ1030" s="8">
        <f t="shared" si="778"/>
        <v>0</v>
      </c>
      <c r="CR1030" s="8">
        <f t="shared" si="779"/>
        <v>0</v>
      </c>
      <c r="CS1030" s="8">
        <f t="shared" si="780"/>
        <v>0</v>
      </c>
      <c r="CT1030" s="8">
        <f t="shared" si="739"/>
        <v>0</v>
      </c>
      <c r="CU1030" s="8">
        <f t="shared" si="740"/>
        <v>0</v>
      </c>
      <c r="CV1030" s="8">
        <f t="shared" si="741"/>
        <v>0</v>
      </c>
    </row>
    <row r="1031" spans="1:100" ht="20.5" thickTop="1" thickBot="1" x14ac:dyDescent="0.5">
      <c r="A1031" s="32"/>
      <c r="B1031" s="10"/>
      <c r="C1031" s="10"/>
      <c r="D1031" s="11"/>
      <c r="E1031" s="10"/>
      <c r="F1031" s="10"/>
      <c r="G1031" s="19"/>
      <c r="H1031" s="19"/>
      <c r="I1031" s="19"/>
      <c r="J1031" s="19"/>
      <c r="K1031" s="10"/>
      <c r="L1031" s="10"/>
      <c r="M1031" s="10"/>
      <c r="N1031" s="10"/>
      <c r="O1031" s="18"/>
      <c r="P1031" s="18"/>
      <c r="Q1031" s="21"/>
      <c r="R1031" s="20"/>
      <c r="S1031" s="16">
        <f t="shared" si="743"/>
        <v>0</v>
      </c>
      <c r="T1031" s="11"/>
      <c r="AS1031" s="31">
        <f t="shared" si="744"/>
        <v>0</v>
      </c>
      <c r="AT1031" s="31">
        <f t="shared" si="745"/>
        <v>0</v>
      </c>
      <c r="AU1031" s="31">
        <f t="shared" si="746"/>
        <v>0</v>
      </c>
      <c r="AV1031" s="31">
        <f t="shared" si="747"/>
        <v>0</v>
      </c>
      <c r="AW1031" s="31">
        <f t="shared" si="748"/>
        <v>0</v>
      </c>
      <c r="AX1031" s="31">
        <f t="shared" si="749"/>
        <v>0</v>
      </c>
      <c r="AY1031" s="31">
        <f t="shared" si="750"/>
        <v>0</v>
      </c>
      <c r="AZ1031" s="31">
        <f t="shared" si="751"/>
        <v>0</v>
      </c>
      <c r="BA1031" s="31">
        <f t="shared" si="752"/>
        <v>0</v>
      </c>
      <c r="BB1031" s="31">
        <f t="shared" si="781"/>
        <v>0</v>
      </c>
      <c r="BM1031" s="8">
        <f t="shared" si="782"/>
        <v>0</v>
      </c>
      <c r="BN1031" s="8">
        <f t="shared" si="753"/>
        <v>0</v>
      </c>
      <c r="BO1031" s="8">
        <f t="shared" si="754"/>
        <v>0</v>
      </c>
      <c r="BQ1031" s="8">
        <f t="shared" si="755"/>
        <v>0</v>
      </c>
      <c r="BR1031" s="63">
        <f t="shared" si="756"/>
        <v>0</v>
      </c>
      <c r="BS1031" s="63">
        <f t="shared" si="783"/>
        <v>0</v>
      </c>
      <c r="BT1031" s="63">
        <f t="shared" si="757"/>
        <v>0</v>
      </c>
      <c r="BU1031" s="63">
        <f t="shared" si="758"/>
        <v>0</v>
      </c>
      <c r="BV1031" s="57">
        <f t="shared" si="759"/>
        <v>0</v>
      </c>
      <c r="BW1031" s="57">
        <f t="shared" si="760"/>
        <v>0</v>
      </c>
      <c r="BX1031" s="57">
        <f t="shared" si="784"/>
        <v>0</v>
      </c>
      <c r="BY1031" s="57">
        <f t="shared" si="742"/>
        <v>0</v>
      </c>
      <c r="BZ1031" s="8">
        <f t="shared" si="761"/>
        <v>0</v>
      </c>
      <c r="CA1031" s="8">
        <f t="shared" si="762"/>
        <v>0</v>
      </c>
      <c r="CB1031" s="8">
        <f t="shared" si="763"/>
        <v>0</v>
      </c>
      <c r="CC1031" s="8">
        <f t="shared" si="764"/>
        <v>0</v>
      </c>
      <c r="CD1031" s="8">
        <f t="shared" si="765"/>
        <v>0</v>
      </c>
      <c r="CE1031" s="8">
        <f t="shared" si="766"/>
        <v>0</v>
      </c>
      <c r="CF1031" s="8">
        <f t="shared" si="767"/>
        <v>0</v>
      </c>
      <c r="CG1031" s="8">
        <f t="shared" si="768"/>
        <v>0</v>
      </c>
      <c r="CH1031" s="8">
        <f t="shared" si="769"/>
        <v>0</v>
      </c>
      <c r="CI1031" s="8">
        <f t="shared" si="770"/>
        <v>0</v>
      </c>
      <c r="CJ1031" s="8">
        <f t="shared" si="771"/>
        <v>0</v>
      </c>
      <c r="CK1031" s="8">
        <f t="shared" si="772"/>
        <v>0</v>
      </c>
      <c r="CL1031" s="8">
        <f t="shared" si="773"/>
        <v>0</v>
      </c>
      <c r="CM1031" s="8">
        <f t="shared" si="774"/>
        <v>0</v>
      </c>
      <c r="CN1031" s="8">
        <f t="shared" si="775"/>
        <v>0</v>
      </c>
      <c r="CO1031" s="8">
        <f t="shared" si="776"/>
        <v>0</v>
      </c>
      <c r="CP1031" s="8">
        <f t="shared" si="777"/>
        <v>0</v>
      </c>
      <c r="CQ1031" s="8">
        <f t="shared" si="778"/>
        <v>0</v>
      </c>
      <c r="CR1031" s="8">
        <f t="shared" si="779"/>
        <v>0</v>
      </c>
      <c r="CS1031" s="8">
        <f t="shared" si="780"/>
        <v>0</v>
      </c>
      <c r="CT1031" s="8">
        <f t="shared" si="739"/>
        <v>0</v>
      </c>
      <c r="CU1031" s="8">
        <f t="shared" si="740"/>
        <v>0</v>
      </c>
      <c r="CV1031" s="8">
        <f t="shared" si="741"/>
        <v>0</v>
      </c>
    </row>
    <row r="1032" spans="1:100" ht="20.5" thickTop="1" thickBot="1" x14ac:dyDescent="0.5">
      <c r="A1032" s="32"/>
      <c r="B1032" s="10"/>
      <c r="C1032" s="10"/>
      <c r="D1032" s="11"/>
      <c r="E1032" s="10"/>
      <c r="F1032" s="10"/>
      <c r="G1032" s="19"/>
      <c r="H1032" s="19"/>
      <c r="I1032" s="19"/>
      <c r="J1032" s="19"/>
      <c r="K1032" s="10"/>
      <c r="L1032" s="10"/>
      <c r="M1032" s="10"/>
      <c r="N1032" s="10"/>
      <c r="O1032" s="18"/>
      <c r="P1032" s="18"/>
      <c r="Q1032" s="21"/>
      <c r="R1032" s="20"/>
      <c r="S1032" s="16">
        <f t="shared" si="743"/>
        <v>0</v>
      </c>
      <c r="T1032" s="11"/>
      <c r="AS1032" s="31">
        <f t="shared" si="744"/>
        <v>0</v>
      </c>
      <c r="AT1032" s="31">
        <f t="shared" si="745"/>
        <v>0</v>
      </c>
      <c r="AU1032" s="31">
        <f t="shared" si="746"/>
        <v>0</v>
      </c>
      <c r="AV1032" s="31">
        <f t="shared" si="747"/>
        <v>0</v>
      </c>
      <c r="AW1032" s="31">
        <f t="shared" si="748"/>
        <v>0</v>
      </c>
      <c r="AX1032" s="31">
        <f t="shared" si="749"/>
        <v>0</v>
      </c>
      <c r="AY1032" s="31">
        <f t="shared" si="750"/>
        <v>0</v>
      </c>
      <c r="AZ1032" s="31">
        <f t="shared" si="751"/>
        <v>0</v>
      </c>
      <c r="BA1032" s="31">
        <f t="shared" si="752"/>
        <v>0</v>
      </c>
      <c r="BB1032" s="31">
        <f t="shared" si="781"/>
        <v>0</v>
      </c>
      <c r="BM1032" s="8">
        <f t="shared" si="782"/>
        <v>0</v>
      </c>
      <c r="BN1032" s="8">
        <f t="shared" si="753"/>
        <v>0</v>
      </c>
      <c r="BO1032" s="8">
        <f t="shared" si="754"/>
        <v>0</v>
      </c>
      <c r="BQ1032" s="8">
        <f t="shared" si="755"/>
        <v>0</v>
      </c>
      <c r="BR1032" s="63">
        <f t="shared" si="756"/>
        <v>0</v>
      </c>
      <c r="BS1032" s="63">
        <f t="shared" si="783"/>
        <v>0</v>
      </c>
      <c r="BT1032" s="63">
        <f t="shared" si="757"/>
        <v>0</v>
      </c>
      <c r="BU1032" s="63">
        <f t="shared" si="758"/>
        <v>0</v>
      </c>
      <c r="BV1032" s="57">
        <f t="shared" si="759"/>
        <v>0</v>
      </c>
      <c r="BW1032" s="57">
        <f t="shared" si="760"/>
        <v>0</v>
      </c>
      <c r="BX1032" s="57">
        <f t="shared" si="784"/>
        <v>0</v>
      </c>
      <c r="BY1032" s="57">
        <f t="shared" si="742"/>
        <v>0</v>
      </c>
      <c r="BZ1032" s="8">
        <f t="shared" si="761"/>
        <v>0</v>
      </c>
      <c r="CA1032" s="8">
        <f t="shared" si="762"/>
        <v>0</v>
      </c>
      <c r="CB1032" s="8">
        <f t="shared" si="763"/>
        <v>0</v>
      </c>
      <c r="CC1032" s="8">
        <f t="shared" si="764"/>
        <v>0</v>
      </c>
      <c r="CD1032" s="8">
        <f t="shared" si="765"/>
        <v>0</v>
      </c>
      <c r="CE1032" s="8">
        <f t="shared" si="766"/>
        <v>0</v>
      </c>
      <c r="CF1032" s="8">
        <f t="shared" si="767"/>
        <v>0</v>
      </c>
      <c r="CG1032" s="8">
        <f t="shared" si="768"/>
        <v>0</v>
      </c>
      <c r="CH1032" s="8">
        <f t="shared" si="769"/>
        <v>0</v>
      </c>
      <c r="CI1032" s="8">
        <f t="shared" si="770"/>
        <v>0</v>
      </c>
      <c r="CJ1032" s="8">
        <f t="shared" si="771"/>
        <v>0</v>
      </c>
      <c r="CK1032" s="8">
        <f t="shared" si="772"/>
        <v>0</v>
      </c>
      <c r="CL1032" s="8">
        <f t="shared" si="773"/>
        <v>0</v>
      </c>
      <c r="CM1032" s="8">
        <f t="shared" si="774"/>
        <v>0</v>
      </c>
      <c r="CN1032" s="8">
        <f t="shared" si="775"/>
        <v>0</v>
      </c>
      <c r="CO1032" s="8">
        <f t="shared" si="776"/>
        <v>0</v>
      </c>
      <c r="CP1032" s="8">
        <f t="shared" si="777"/>
        <v>0</v>
      </c>
      <c r="CQ1032" s="8">
        <f t="shared" si="778"/>
        <v>0</v>
      </c>
      <c r="CR1032" s="8">
        <f t="shared" si="779"/>
        <v>0</v>
      </c>
      <c r="CS1032" s="8">
        <f t="shared" si="780"/>
        <v>0</v>
      </c>
      <c r="CT1032" s="8">
        <f t="shared" si="739"/>
        <v>0</v>
      </c>
      <c r="CU1032" s="8">
        <f t="shared" si="740"/>
        <v>0</v>
      </c>
      <c r="CV1032" s="8">
        <f t="shared" si="741"/>
        <v>0</v>
      </c>
    </row>
    <row r="1033" spans="1:100" ht="20.5" thickTop="1" thickBot="1" x14ac:dyDescent="0.5">
      <c r="A1033" s="32"/>
      <c r="B1033" s="10"/>
      <c r="C1033" s="10"/>
      <c r="D1033" s="11"/>
      <c r="E1033" s="10"/>
      <c r="F1033" s="10"/>
      <c r="G1033" s="19"/>
      <c r="H1033" s="19"/>
      <c r="I1033" s="19"/>
      <c r="J1033" s="19"/>
      <c r="K1033" s="10"/>
      <c r="L1033" s="10"/>
      <c r="M1033" s="10"/>
      <c r="N1033" s="10"/>
      <c r="O1033" s="18"/>
      <c r="P1033" s="18"/>
      <c r="Q1033" s="21"/>
      <c r="R1033" s="20"/>
      <c r="S1033" s="16">
        <f t="shared" si="743"/>
        <v>0</v>
      </c>
      <c r="T1033" s="11"/>
      <c r="AS1033" s="31">
        <f t="shared" si="744"/>
        <v>0</v>
      </c>
      <c r="AT1033" s="31">
        <f t="shared" si="745"/>
        <v>0</v>
      </c>
      <c r="AU1033" s="31">
        <f t="shared" si="746"/>
        <v>0</v>
      </c>
      <c r="AV1033" s="31">
        <f t="shared" si="747"/>
        <v>0</v>
      </c>
      <c r="AW1033" s="31">
        <f t="shared" si="748"/>
        <v>0</v>
      </c>
      <c r="AX1033" s="31">
        <f t="shared" si="749"/>
        <v>0</v>
      </c>
      <c r="AY1033" s="31">
        <f t="shared" si="750"/>
        <v>0</v>
      </c>
      <c r="AZ1033" s="31">
        <f t="shared" si="751"/>
        <v>0</v>
      </c>
      <c r="BA1033" s="31">
        <f t="shared" si="752"/>
        <v>0</v>
      </c>
      <c r="BB1033" s="31">
        <f t="shared" si="781"/>
        <v>0</v>
      </c>
      <c r="BM1033" s="8">
        <f t="shared" si="782"/>
        <v>0</v>
      </c>
      <c r="BN1033" s="8">
        <f t="shared" si="753"/>
        <v>0</v>
      </c>
      <c r="BO1033" s="8">
        <f t="shared" si="754"/>
        <v>0</v>
      </c>
      <c r="BQ1033" s="8">
        <f t="shared" si="755"/>
        <v>0</v>
      </c>
      <c r="BR1033" s="63">
        <f t="shared" si="756"/>
        <v>0</v>
      </c>
      <c r="BS1033" s="63">
        <f t="shared" si="783"/>
        <v>0</v>
      </c>
      <c r="BT1033" s="63">
        <f t="shared" si="757"/>
        <v>0</v>
      </c>
      <c r="BU1033" s="63">
        <f t="shared" si="758"/>
        <v>0</v>
      </c>
      <c r="BV1033" s="57">
        <f t="shared" si="759"/>
        <v>0</v>
      </c>
      <c r="BW1033" s="57">
        <f t="shared" si="760"/>
        <v>0</v>
      </c>
      <c r="BX1033" s="57">
        <f t="shared" si="784"/>
        <v>0</v>
      </c>
      <c r="BY1033" s="57">
        <f t="shared" si="742"/>
        <v>0</v>
      </c>
      <c r="BZ1033" s="8">
        <f t="shared" si="761"/>
        <v>0</v>
      </c>
      <c r="CA1033" s="8">
        <f t="shared" si="762"/>
        <v>0</v>
      </c>
      <c r="CB1033" s="8">
        <f t="shared" si="763"/>
        <v>0</v>
      </c>
      <c r="CC1033" s="8">
        <f t="shared" si="764"/>
        <v>0</v>
      </c>
      <c r="CD1033" s="8">
        <f t="shared" si="765"/>
        <v>0</v>
      </c>
      <c r="CE1033" s="8">
        <f t="shared" si="766"/>
        <v>0</v>
      </c>
      <c r="CF1033" s="8">
        <f t="shared" si="767"/>
        <v>0</v>
      </c>
      <c r="CG1033" s="8">
        <f t="shared" si="768"/>
        <v>0</v>
      </c>
      <c r="CH1033" s="8">
        <f t="shared" si="769"/>
        <v>0</v>
      </c>
      <c r="CI1033" s="8">
        <f t="shared" si="770"/>
        <v>0</v>
      </c>
      <c r="CJ1033" s="8">
        <f t="shared" si="771"/>
        <v>0</v>
      </c>
      <c r="CK1033" s="8">
        <f t="shared" si="772"/>
        <v>0</v>
      </c>
      <c r="CL1033" s="8">
        <f t="shared" si="773"/>
        <v>0</v>
      </c>
      <c r="CM1033" s="8">
        <f t="shared" si="774"/>
        <v>0</v>
      </c>
      <c r="CN1033" s="8">
        <f t="shared" si="775"/>
        <v>0</v>
      </c>
      <c r="CO1033" s="8">
        <f t="shared" si="776"/>
        <v>0</v>
      </c>
      <c r="CP1033" s="8">
        <f t="shared" si="777"/>
        <v>0</v>
      </c>
      <c r="CQ1033" s="8">
        <f t="shared" si="778"/>
        <v>0</v>
      </c>
      <c r="CR1033" s="8">
        <f t="shared" si="779"/>
        <v>0</v>
      </c>
      <c r="CS1033" s="8">
        <f t="shared" si="780"/>
        <v>0</v>
      </c>
      <c r="CT1033" s="8">
        <f t="shared" si="739"/>
        <v>0</v>
      </c>
      <c r="CU1033" s="8">
        <f t="shared" si="740"/>
        <v>0</v>
      </c>
      <c r="CV1033" s="8">
        <f t="shared" si="741"/>
        <v>0</v>
      </c>
    </row>
    <row r="1034" spans="1:100" ht="20.5" thickTop="1" thickBot="1" x14ac:dyDescent="0.5">
      <c r="A1034" s="32"/>
      <c r="B1034" s="10"/>
      <c r="C1034" s="10"/>
      <c r="D1034" s="11"/>
      <c r="E1034" s="10"/>
      <c r="F1034" s="10"/>
      <c r="G1034" s="19"/>
      <c r="H1034" s="19"/>
      <c r="I1034" s="19"/>
      <c r="J1034" s="19"/>
      <c r="K1034" s="10"/>
      <c r="L1034" s="10"/>
      <c r="M1034" s="10"/>
      <c r="N1034" s="10"/>
      <c r="O1034" s="18"/>
      <c r="P1034" s="18"/>
      <c r="Q1034" s="21"/>
      <c r="R1034" s="20"/>
      <c r="S1034" s="16">
        <f t="shared" si="743"/>
        <v>0</v>
      </c>
      <c r="T1034" s="11"/>
      <c r="AS1034" s="31">
        <f t="shared" si="744"/>
        <v>0</v>
      </c>
      <c r="AT1034" s="31">
        <f t="shared" si="745"/>
        <v>0</v>
      </c>
      <c r="AU1034" s="31">
        <f t="shared" si="746"/>
        <v>0</v>
      </c>
      <c r="AV1034" s="31">
        <f t="shared" si="747"/>
        <v>0</v>
      </c>
      <c r="AW1034" s="31">
        <f t="shared" si="748"/>
        <v>0</v>
      </c>
      <c r="AX1034" s="31">
        <f t="shared" si="749"/>
        <v>0</v>
      </c>
      <c r="AY1034" s="31">
        <f t="shared" si="750"/>
        <v>0</v>
      </c>
      <c r="AZ1034" s="31">
        <f t="shared" si="751"/>
        <v>0</v>
      </c>
      <c r="BA1034" s="31">
        <f t="shared" si="752"/>
        <v>0</v>
      </c>
      <c r="BB1034" s="31">
        <f t="shared" si="781"/>
        <v>0</v>
      </c>
      <c r="BM1034" s="8">
        <f t="shared" si="782"/>
        <v>0</v>
      </c>
      <c r="BN1034" s="8">
        <f t="shared" si="753"/>
        <v>0</v>
      </c>
      <c r="BO1034" s="8">
        <f t="shared" si="754"/>
        <v>0</v>
      </c>
      <c r="BQ1034" s="8">
        <f t="shared" si="755"/>
        <v>0</v>
      </c>
      <c r="BR1034" s="63">
        <f t="shared" si="756"/>
        <v>0</v>
      </c>
      <c r="BS1034" s="63">
        <f t="shared" si="783"/>
        <v>0</v>
      </c>
      <c r="BT1034" s="63">
        <f t="shared" si="757"/>
        <v>0</v>
      </c>
      <c r="BU1034" s="63">
        <f t="shared" si="758"/>
        <v>0</v>
      </c>
      <c r="BV1034" s="57">
        <f t="shared" si="759"/>
        <v>0</v>
      </c>
      <c r="BW1034" s="57">
        <f t="shared" si="760"/>
        <v>0</v>
      </c>
      <c r="BX1034" s="57">
        <f t="shared" si="784"/>
        <v>0</v>
      </c>
      <c r="BY1034" s="57">
        <f t="shared" si="742"/>
        <v>0</v>
      </c>
      <c r="BZ1034" s="8">
        <f t="shared" si="761"/>
        <v>0</v>
      </c>
      <c r="CA1034" s="8">
        <f t="shared" si="762"/>
        <v>0</v>
      </c>
      <c r="CB1034" s="8">
        <f t="shared" si="763"/>
        <v>0</v>
      </c>
      <c r="CC1034" s="8">
        <f t="shared" si="764"/>
        <v>0</v>
      </c>
      <c r="CD1034" s="8">
        <f t="shared" si="765"/>
        <v>0</v>
      </c>
      <c r="CE1034" s="8">
        <f t="shared" si="766"/>
        <v>0</v>
      </c>
      <c r="CF1034" s="8">
        <f t="shared" si="767"/>
        <v>0</v>
      </c>
      <c r="CG1034" s="8">
        <f t="shared" si="768"/>
        <v>0</v>
      </c>
      <c r="CH1034" s="8">
        <f t="shared" si="769"/>
        <v>0</v>
      </c>
      <c r="CI1034" s="8">
        <f t="shared" si="770"/>
        <v>0</v>
      </c>
      <c r="CJ1034" s="8">
        <f t="shared" si="771"/>
        <v>0</v>
      </c>
      <c r="CK1034" s="8">
        <f t="shared" si="772"/>
        <v>0</v>
      </c>
      <c r="CL1034" s="8">
        <f t="shared" si="773"/>
        <v>0</v>
      </c>
      <c r="CM1034" s="8">
        <f t="shared" si="774"/>
        <v>0</v>
      </c>
      <c r="CN1034" s="8">
        <f t="shared" si="775"/>
        <v>0</v>
      </c>
      <c r="CO1034" s="8">
        <f t="shared" si="776"/>
        <v>0</v>
      </c>
      <c r="CP1034" s="8">
        <f t="shared" si="777"/>
        <v>0</v>
      </c>
      <c r="CQ1034" s="8">
        <f t="shared" si="778"/>
        <v>0</v>
      </c>
      <c r="CR1034" s="8">
        <f t="shared" si="779"/>
        <v>0</v>
      </c>
      <c r="CS1034" s="8">
        <f t="shared" si="780"/>
        <v>0</v>
      </c>
      <c r="CT1034" s="8">
        <f t="shared" si="739"/>
        <v>0</v>
      </c>
      <c r="CU1034" s="8">
        <f t="shared" si="740"/>
        <v>0</v>
      </c>
      <c r="CV1034" s="8">
        <f t="shared" si="741"/>
        <v>0</v>
      </c>
    </row>
    <row r="1035" spans="1:100" ht="20.5" thickTop="1" thickBot="1" x14ac:dyDescent="0.5">
      <c r="A1035" s="32"/>
      <c r="B1035" s="10"/>
      <c r="C1035" s="10"/>
      <c r="D1035" s="11"/>
      <c r="E1035" s="10"/>
      <c r="F1035" s="10"/>
      <c r="G1035" s="19"/>
      <c r="H1035" s="19"/>
      <c r="I1035" s="19"/>
      <c r="J1035" s="19"/>
      <c r="K1035" s="10"/>
      <c r="L1035" s="10"/>
      <c r="M1035" s="10"/>
      <c r="N1035" s="10"/>
      <c r="O1035" s="18"/>
      <c r="P1035" s="18"/>
      <c r="Q1035" s="21"/>
      <c r="R1035" s="20"/>
      <c r="S1035" s="16">
        <f t="shared" si="743"/>
        <v>0</v>
      </c>
      <c r="T1035" s="11"/>
      <c r="AS1035" s="31">
        <f t="shared" si="744"/>
        <v>0</v>
      </c>
      <c r="AT1035" s="31">
        <f t="shared" si="745"/>
        <v>0</v>
      </c>
      <c r="AU1035" s="31">
        <f t="shared" si="746"/>
        <v>0</v>
      </c>
      <c r="AV1035" s="31">
        <f t="shared" si="747"/>
        <v>0</v>
      </c>
      <c r="AW1035" s="31">
        <f t="shared" si="748"/>
        <v>0</v>
      </c>
      <c r="AX1035" s="31">
        <f t="shared" si="749"/>
        <v>0</v>
      </c>
      <c r="AY1035" s="31">
        <f t="shared" si="750"/>
        <v>0</v>
      </c>
      <c r="AZ1035" s="31">
        <f t="shared" si="751"/>
        <v>0</v>
      </c>
      <c r="BA1035" s="31">
        <f t="shared" si="752"/>
        <v>0</v>
      </c>
      <c r="BB1035" s="31">
        <f t="shared" si="781"/>
        <v>0</v>
      </c>
      <c r="BM1035" s="8">
        <f t="shared" si="782"/>
        <v>0</v>
      </c>
      <c r="BN1035" s="8">
        <f t="shared" si="753"/>
        <v>0</v>
      </c>
      <c r="BO1035" s="8">
        <f t="shared" si="754"/>
        <v>0</v>
      </c>
      <c r="BQ1035" s="8">
        <f t="shared" si="755"/>
        <v>0</v>
      </c>
      <c r="BR1035" s="63">
        <f t="shared" si="756"/>
        <v>0</v>
      </c>
      <c r="BS1035" s="63">
        <f t="shared" si="783"/>
        <v>0</v>
      </c>
      <c r="BT1035" s="63">
        <f t="shared" si="757"/>
        <v>0</v>
      </c>
      <c r="BU1035" s="63">
        <f t="shared" si="758"/>
        <v>0</v>
      </c>
      <c r="BV1035" s="57">
        <f t="shared" si="759"/>
        <v>0</v>
      </c>
      <c r="BW1035" s="57">
        <f t="shared" si="760"/>
        <v>0</v>
      </c>
      <c r="BX1035" s="57">
        <f t="shared" si="784"/>
        <v>0</v>
      </c>
      <c r="BY1035" s="57">
        <f t="shared" si="742"/>
        <v>0</v>
      </c>
      <c r="BZ1035" s="8">
        <f t="shared" si="761"/>
        <v>0</v>
      </c>
      <c r="CA1035" s="8">
        <f t="shared" si="762"/>
        <v>0</v>
      </c>
      <c r="CB1035" s="8">
        <f t="shared" si="763"/>
        <v>0</v>
      </c>
      <c r="CC1035" s="8">
        <f t="shared" si="764"/>
        <v>0</v>
      </c>
      <c r="CD1035" s="8">
        <f t="shared" si="765"/>
        <v>0</v>
      </c>
      <c r="CE1035" s="8">
        <f t="shared" si="766"/>
        <v>0</v>
      </c>
      <c r="CF1035" s="8">
        <f t="shared" si="767"/>
        <v>0</v>
      </c>
      <c r="CG1035" s="8">
        <f t="shared" si="768"/>
        <v>0</v>
      </c>
      <c r="CH1035" s="8">
        <f t="shared" si="769"/>
        <v>0</v>
      </c>
      <c r="CI1035" s="8">
        <f t="shared" si="770"/>
        <v>0</v>
      </c>
      <c r="CJ1035" s="8">
        <f t="shared" si="771"/>
        <v>0</v>
      </c>
      <c r="CK1035" s="8">
        <f t="shared" si="772"/>
        <v>0</v>
      </c>
      <c r="CL1035" s="8">
        <f t="shared" si="773"/>
        <v>0</v>
      </c>
      <c r="CM1035" s="8">
        <f t="shared" si="774"/>
        <v>0</v>
      </c>
      <c r="CN1035" s="8">
        <f t="shared" si="775"/>
        <v>0</v>
      </c>
      <c r="CO1035" s="8">
        <f t="shared" si="776"/>
        <v>0</v>
      </c>
      <c r="CP1035" s="8">
        <f t="shared" si="777"/>
        <v>0</v>
      </c>
      <c r="CQ1035" s="8">
        <f t="shared" si="778"/>
        <v>0</v>
      </c>
      <c r="CR1035" s="8">
        <f t="shared" si="779"/>
        <v>0</v>
      </c>
      <c r="CS1035" s="8">
        <f t="shared" si="780"/>
        <v>0</v>
      </c>
      <c r="CT1035" s="8">
        <f t="shared" si="739"/>
        <v>0</v>
      </c>
      <c r="CU1035" s="8">
        <f t="shared" si="740"/>
        <v>0</v>
      </c>
      <c r="CV1035" s="8">
        <f t="shared" si="741"/>
        <v>0</v>
      </c>
    </row>
    <row r="1036" spans="1:100" ht="20.5" thickTop="1" thickBot="1" x14ac:dyDescent="0.5">
      <c r="A1036" s="32"/>
      <c r="B1036" s="10"/>
      <c r="C1036" s="10"/>
      <c r="D1036" s="11"/>
      <c r="E1036" s="10"/>
      <c r="F1036" s="10"/>
      <c r="G1036" s="19"/>
      <c r="H1036" s="19"/>
      <c r="I1036" s="19"/>
      <c r="J1036" s="19"/>
      <c r="K1036" s="10"/>
      <c r="L1036" s="10"/>
      <c r="M1036" s="10"/>
      <c r="N1036" s="10"/>
      <c r="O1036" s="18"/>
      <c r="P1036" s="18"/>
      <c r="Q1036" s="21"/>
      <c r="R1036" s="20"/>
      <c r="S1036" s="16">
        <f t="shared" si="743"/>
        <v>0</v>
      </c>
      <c r="T1036" s="11"/>
      <c r="AS1036" s="31">
        <f t="shared" si="744"/>
        <v>0</v>
      </c>
      <c r="AT1036" s="31">
        <f t="shared" si="745"/>
        <v>0</v>
      </c>
      <c r="AU1036" s="31">
        <f t="shared" si="746"/>
        <v>0</v>
      </c>
      <c r="AV1036" s="31">
        <f t="shared" si="747"/>
        <v>0</v>
      </c>
      <c r="AW1036" s="31">
        <f t="shared" si="748"/>
        <v>0</v>
      </c>
      <c r="AX1036" s="31">
        <f t="shared" si="749"/>
        <v>0</v>
      </c>
      <c r="AY1036" s="31">
        <f t="shared" si="750"/>
        <v>0</v>
      </c>
      <c r="AZ1036" s="31">
        <f t="shared" si="751"/>
        <v>0</v>
      </c>
      <c r="BA1036" s="31">
        <f t="shared" si="752"/>
        <v>0</v>
      </c>
      <c r="BB1036" s="31">
        <f t="shared" si="781"/>
        <v>0</v>
      </c>
      <c r="BM1036" s="8">
        <f t="shared" si="782"/>
        <v>0</v>
      </c>
      <c r="BN1036" s="8">
        <f t="shared" si="753"/>
        <v>0</v>
      </c>
      <c r="BO1036" s="8">
        <f t="shared" si="754"/>
        <v>0</v>
      </c>
      <c r="BQ1036" s="8">
        <f t="shared" si="755"/>
        <v>0</v>
      </c>
      <c r="BR1036" s="63">
        <f t="shared" si="756"/>
        <v>0</v>
      </c>
      <c r="BS1036" s="63">
        <f t="shared" si="783"/>
        <v>0</v>
      </c>
      <c r="BT1036" s="63">
        <f t="shared" si="757"/>
        <v>0</v>
      </c>
      <c r="BU1036" s="63">
        <f t="shared" si="758"/>
        <v>0</v>
      </c>
      <c r="BV1036" s="57">
        <f t="shared" si="759"/>
        <v>0</v>
      </c>
      <c r="BW1036" s="57">
        <f t="shared" si="760"/>
        <v>0</v>
      </c>
      <c r="BX1036" s="57">
        <f t="shared" si="784"/>
        <v>0</v>
      </c>
      <c r="BY1036" s="57">
        <f t="shared" si="742"/>
        <v>0</v>
      </c>
      <c r="BZ1036" s="8">
        <f t="shared" si="761"/>
        <v>0</v>
      </c>
      <c r="CA1036" s="8">
        <f t="shared" si="762"/>
        <v>0</v>
      </c>
      <c r="CB1036" s="8">
        <f t="shared" si="763"/>
        <v>0</v>
      </c>
      <c r="CC1036" s="8">
        <f t="shared" si="764"/>
        <v>0</v>
      </c>
      <c r="CD1036" s="8">
        <f t="shared" si="765"/>
        <v>0</v>
      </c>
      <c r="CE1036" s="8">
        <f t="shared" si="766"/>
        <v>0</v>
      </c>
      <c r="CF1036" s="8">
        <f t="shared" si="767"/>
        <v>0</v>
      </c>
      <c r="CG1036" s="8">
        <f t="shared" si="768"/>
        <v>0</v>
      </c>
      <c r="CH1036" s="8">
        <f t="shared" si="769"/>
        <v>0</v>
      </c>
      <c r="CI1036" s="8">
        <f t="shared" si="770"/>
        <v>0</v>
      </c>
      <c r="CJ1036" s="8">
        <f t="shared" si="771"/>
        <v>0</v>
      </c>
      <c r="CK1036" s="8">
        <f t="shared" si="772"/>
        <v>0</v>
      </c>
      <c r="CL1036" s="8">
        <f t="shared" si="773"/>
        <v>0</v>
      </c>
      <c r="CM1036" s="8">
        <f t="shared" si="774"/>
        <v>0</v>
      </c>
      <c r="CN1036" s="8">
        <f t="shared" si="775"/>
        <v>0</v>
      </c>
      <c r="CO1036" s="8">
        <f t="shared" si="776"/>
        <v>0</v>
      </c>
      <c r="CP1036" s="8">
        <f t="shared" si="777"/>
        <v>0</v>
      </c>
      <c r="CQ1036" s="8">
        <f t="shared" si="778"/>
        <v>0</v>
      </c>
      <c r="CR1036" s="8">
        <f t="shared" si="779"/>
        <v>0</v>
      </c>
      <c r="CS1036" s="8">
        <f t="shared" si="780"/>
        <v>0</v>
      </c>
      <c r="CT1036" s="8">
        <f t="shared" si="739"/>
        <v>0</v>
      </c>
      <c r="CU1036" s="8">
        <f t="shared" si="740"/>
        <v>0</v>
      </c>
      <c r="CV1036" s="8">
        <f t="shared" si="741"/>
        <v>0</v>
      </c>
    </row>
    <row r="1037" spans="1:100" ht="20.5" thickTop="1" thickBot="1" x14ac:dyDescent="0.5">
      <c r="A1037" s="32"/>
      <c r="B1037" s="10"/>
      <c r="C1037" s="10"/>
      <c r="D1037" s="11"/>
      <c r="E1037" s="10"/>
      <c r="F1037" s="10"/>
      <c r="G1037" s="19"/>
      <c r="H1037" s="19"/>
      <c r="I1037" s="19"/>
      <c r="J1037" s="19"/>
      <c r="K1037" s="10"/>
      <c r="L1037" s="10"/>
      <c r="M1037" s="10"/>
      <c r="N1037" s="10"/>
      <c r="O1037" s="18"/>
      <c r="P1037" s="18"/>
      <c r="Q1037" s="21"/>
      <c r="R1037" s="20"/>
      <c r="S1037" s="16">
        <f t="shared" si="743"/>
        <v>0</v>
      </c>
      <c r="T1037" s="11"/>
      <c r="AS1037" s="31">
        <f t="shared" si="744"/>
        <v>0</v>
      </c>
      <c r="AT1037" s="31">
        <f t="shared" si="745"/>
        <v>0</v>
      </c>
      <c r="AU1037" s="31">
        <f t="shared" si="746"/>
        <v>0</v>
      </c>
      <c r="AV1037" s="31">
        <f t="shared" si="747"/>
        <v>0</v>
      </c>
      <c r="AW1037" s="31">
        <f t="shared" si="748"/>
        <v>0</v>
      </c>
      <c r="AX1037" s="31">
        <f t="shared" si="749"/>
        <v>0</v>
      </c>
      <c r="AY1037" s="31">
        <f t="shared" si="750"/>
        <v>0</v>
      </c>
      <c r="AZ1037" s="31">
        <f t="shared" si="751"/>
        <v>0</v>
      </c>
      <c r="BA1037" s="31">
        <f t="shared" si="752"/>
        <v>0</v>
      </c>
      <c r="BB1037" s="31">
        <f t="shared" si="781"/>
        <v>0</v>
      </c>
      <c r="BM1037" s="8">
        <f t="shared" si="782"/>
        <v>0</v>
      </c>
      <c r="BN1037" s="8">
        <f t="shared" si="753"/>
        <v>0</v>
      </c>
      <c r="BO1037" s="8">
        <f t="shared" si="754"/>
        <v>0</v>
      </c>
      <c r="BQ1037" s="8">
        <f t="shared" si="755"/>
        <v>0</v>
      </c>
      <c r="BR1037" s="63">
        <f t="shared" si="756"/>
        <v>0</v>
      </c>
      <c r="BS1037" s="63">
        <f t="shared" si="783"/>
        <v>0</v>
      </c>
      <c r="BT1037" s="63">
        <f t="shared" si="757"/>
        <v>0</v>
      </c>
      <c r="BU1037" s="63">
        <f t="shared" si="758"/>
        <v>0</v>
      </c>
      <c r="BV1037" s="57">
        <f t="shared" si="759"/>
        <v>0</v>
      </c>
      <c r="BW1037" s="57">
        <f t="shared" si="760"/>
        <v>0</v>
      </c>
      <c r="BX1037" s="57">
        <f t="shared" si="784"/>
        <v>0</v>
      </c>
      <c r="BY1037" s="57">
        <f t="shared" si="742"/>
        <v>0</v>
      </c>
      <c r="BZ1037" s="8">
        <f t="shared" si="761"/>
        <v>0</v>
      </c>
      <c r="CA1037" s="8">
        <f t="shared" si="762"/>
        <v>0</v>
      </c>
      <c r="CB1037" s="8">
        <f t="shared" si="763"/>
        <v>0</v>
      </c>
      <c r="CC1037" s="8">
        <f t="shared" si="764"/>
        <v>0</v>
      </c>
      <c r="CD1037" s="8">
        <f t="shared" si="765"/>
        <v>0</v>
      </c>
      <c r="CE1037" s="8">
        <f t="shared" si="766"/>
        <v>0</v>
      </c>
      <c r="CF1037" s="8">
        <f t="shared" si="767"/>
        <v>0</v>
      </c>
      <c r="CG1037" s="8">
        <f t="shared" si="768"/>
        <v>0</v>
      </c>
      <c r="CH1037" s="8">
        <f t="shared" si="769"/>
        <v>0</v>
      </c>
      <c r="CI1037" s="8">
        <f t="shared" si="770"/>
        <v>0</v>
      </c>
      <c r="CJ1037" s="8">
        <f t="shared" si="771"/>
        <v>0</v>
      </c>
      <c r="CK1037" s="8">
        <f t="shared" si="772"/>
        <v>0</v>
      </c>
      <c r="CL1037" s="8">
        <f t="shared" si="773"/>
        <v>0</v>
      </c>
      <c r="CM1037" s="8">
        <f t="shared" si="774"/>
        <v>0</v>
      </c>
      <c r="CN1037" s="8">
        <f t="shared" si="775"/>
        <v>0</v>
      </c>
      <c r="CO1037" s="8">
        <f t="shared" si="776"/>
        <v>0</v>
      </c>
      <c r="CP1037" s="8">
        <f t="shared" si="777"/>
        <v>0</v>
      </c>
      <c r="CQ1037" s="8">
        <f t="shared" si="778"/>
        <v>0</v>
      </c>
      <c r="CR1037" s="8">
        <f t="shared" si="779"/>
        <v>0</v>
      </c>
      <c r="CS1037" s="8">
        <f t="shared" si="780"/>
        <v>0</v>
      </c>
      <c r="CT1037" s="8">
        <f t="shared" ref="CT1037:CT1100" si="785">IF(AND(J1037&gt;0,OR(B1037="MB",B1037="new MB")),J1037,0)*4+IF(AND(J1037&gt;0,OR(C1037="MB",C1037="new MB")),J1037,0)*4</f>
        <v>0</v>
      </c>
      <c r="CU1037" s="8">
        <f t="shared" ref="CU1037:CU1100" si="786">IF(AND(I1037&gt;0,OR(B1037="MB",B1037="new MB")),I1037,0)*4+IF(AND(I1037&gt;0,OR(C1037="MB",C1037="new MB")),I1037,0)*4</f>
        <v>0</v>
      </c>
      <c r="CV1037" s="8">
        <f t="shared" ref="CV1037:CV1100" si="787">IF(AND(H1037&gt;0,OR(B1037="MB",B1037="new MB")),H1037,0)*4+IF(AND(H1037&gt;0,OR(C1037="MB",C1037="new MB")),H1037,0)*4</f>
        <v>0</v>
      </c>
    </row>
    <row r="1038" spans="1:100" ht="20.5" thickTop="1" thickBot="1" x14ac:dyDescent="0.5">
      <c r="A1038" s="32"/>
      <c r="B1038" s="10"/>
      <c r="C1038" s="10"/>
      <c r="D1038" s="11"/>
      <c r="E1038" s="10"/>
      <c r="F1038" s="10"/>
      <c r="G1038" s="19"/>
      <c r="H1038" s="19"/>
      <c r="I1038" s="19"/>
      <c r="J1038" s="19"/>
      <c r="K1038" s="10"/>
      <c r="L1038" s="10"/>
      <c r="M1038" s="10"/>
      <c r="N1038" s="10"/>
      <c r="O1038" s="18"/>
      <c r="P1038" s="18"/>
      <c r="Q1038" s="21"/>
      <c r="R1038" s="20"/>
      <c r="S1038" s="16">
        <f t="shared" si="743"/>
        <v>0</v>
      </c>
      <c r="T1038" s="11"/>
      <c r="AS1038" s="31">
        <f t="shared" si="744"/>
        <v>0</v>
      </c>
      <c r="AT1038" s="31">
        <f t="shared" si="745"/>
        <v>0</v>
      </c>
      <c r="AU1038" s="31">
        <f t="shared" si="746"/>
        <v>0</v>
      </c>
      <c r="AV1038" s="31">
        <f t="shared" si="747"/>
        <v>0</v>
      </c>
      <c r="AW1038" s="31">
        <f t="shared" si="748"/>
        <v>0</v>
      </c>
      <c r="AX1038" s="31">
        <f t="shared" si="749"/>
        <v>0</v>
      </c>
      <c r="AY1038" s="31">
        <f t="shared" si="750"/>
        <v>0</v>
      </c>
      <c r="AZ1038" s="31">
        <f t="shared" si="751"/>
        <v>0</v>
      </c>
      <c r="BA1038" s="31">
        <f t="shared" si="752"/>
        <v>0</v>
      </c>
      <c r="BB1038" s="31">
        <f t="shared" si="781"/>
        <v>0</v>
      </c>
      <c r="BM1038" s="8">
        <f t="shared" si="782"/>
        <v>0</v>
      </c>
      <c r="BN1038" s="8">
        <f t="shared" si="753"/>
        <v>0</v>
      </c>
      <c r="BO1038" s="8">
        <f t="shared" si="754"/>
        <v>0</v>
      </c>
      <c r="BQ1038" s="8">
        <f t="shared" si="755"/>
        <v>0</v>
      </c>
      <c r="BR1038" s="63">
        <f t="shared" si="756"/>
        <v>0</v>
      </c>
      <c r="BS1038" s="63">
        <f t="shared" si="783"/>
        <v>0</v>
      </c>
      <c r="BT1038" s="63">
        <f t="shared" si="757"/>
        <v>0</v>
      </c>
      <c r="BU1038" s="63">
        <f t="shared" si="758"/>
        <v>0</v>
      </c>
      <c r="BV1038" s="57">
        <f t="shared" si="759"/>
        <v>0</v>
      </c>
      <c r="BW1038" s="57">
        <f t="shared" si="760"/>
        <v>0</v>
      </c>
      <c r="BX1038" s="57">
        <f t="shared" si="784"/>
        <v>0</v>
      </c>
      <c r="BY1038" s="57">
        <f t="shared" si="742"/>
        <v>0</v>
      </c>
      <c r="BZ1038" s="8">
        <f t="shared" si="761"/>
        <v>0</v>
      </c>
      <c r="CA1038" s="8">
        <f t="shared" si="762"/>
        <v>0</v>
      </c>
      <c r="CB1038" s="8">
        <f t="shared" si="763"/>
        <v>0</v>
      </c>
      <c r="CC1038" s="8">
        <f t="shared" si="764"/>
        <v>0</v>
      </c>
      <c r="CD1038" s="8">
        <f t="shared" si="765"/>
        <v>0</v>
      </c>
      <c r="CE1038" s="8">
        <f t="shared" si="766"/>
        <v>0</v>
      </c>
      <c r="CF1038" s="8">
        <f t="shared" si="767"/>
        <v>0</v>
      </c>
      <c r="CG1038" s="8">
        <f t="shared" si="768"/>
        <v>0</v>
      </c>
      <c r="CH1038" s="8">
        <f t="shared" si="769"/>
        <v>0</v>
      </c>
      <c r="CI1038" s="8">
        <f t="shared" si="770"/>
        <v>0</v>
      </c>
      <c r="CJ1038" s="8">
        <f t="shared" si="771"/>
        <v>0</v>
      </c>
      <c r="CK1038" s="8">
        <f t="shared" si="772"/>
        <v>0</v>
      </c>
      <c r="CL1038" s="8">
        <f t="shared" si="773"/>
        <v>0</v>
      </c>
      <c r="CM1038" s="8">
        <f t="shared" si="774"/>
        <v>0</v>
      </c>
      <c r="CN1038" s="8">
        <f t="shared" si="775"/>
        <v>0</v>
      </c>
      <c r="CO1038" s="8">
        <f t="shared" si="776"/>
        <v>0</v>
      </c>
      <c r="CP1038" s="8">
        <f t="shared" si="777"/>
        <v>0</v>
      </c>
      <c r="CQ1038" s="8">
        <f t="shared" si="778"/>
        <v>0</v>
      </c>
      <c r="CR1038" s="8">
        <f t="shared" si="779"/>
        <v>0</v>
      </c>
      <c r="CS1038" s="8">
        <f t="shared" si="780"/>
        <v>0</v>
      </c>
      <c r="CT1038" s="8">
        <f t="shared" si="785"/>
        <v>0</v>
      </c>
      <c r="CU1038" s="8">
        <f t="shared" si="786"/>
        <v>0</v>
      </c>
      <c r="CV1038" s="8">
        <f t="shared" si="787"/>
        <v>0</v>
      </c>
    </row>
    <row r="1039" spans="1:100" ht="20.5" thickTop="1" thickBot="1" x14ac:dyDescent="0.5">
      <c r="A1039" s="32"/>
      <c r="B1039" s="10"/>
      <c r="C1039" s="10"/>
      <c r="D1039" s="11"/>
      <c r="E1039" s="10"/>
      <c r="F1039" s="10"/>
      <c r="G1039" s="19"/>
      <c r="H1039" s="19"/>
      <c r="I1039" s="19"/>
      <c r="J1039" s="19"/>
      <c r="K1039" s="10"/>
      <c r="L1039" s="10"/>
      <c r="M1039" s="10"/>
      <c r="N1039" s="10"/>
      <c r="O1039" s="18"/>
      <c r="P1039" s="18"/>
      <c r="Q1039" s="21"/>
      <c r="R1039" s="20"/>
      <c r="S1039" s="16">
        <f t="shared" si="743"/>
        <v>0</v>
      </c>
      <c r="T1039" s="11"/>
      <c r="AS1039" s="31">
        <f t="shared" si="744"/>
        <v>0</v>
      </c>
      <c r="AT1039" s="31">
        <f t="shared" si="745"/>
        <v>0</v>
      </c>
      <c r="AU1039" s="31">
        <f t="shared" si="746"/>
        <v>0</v>
      </c>
      <c r="AV1039" s="31">
        <f t="shared" si="747"/>
        <v>0</v>
      </c>
      <c r="AW1039" s="31">
        <f t="shared" si="748"/>
        <v>0</v>
      </c>
      <c r="AX1039" s="31">
        <f t="shared" si="749"/>
        <v>0</v>
      </c>
      <c r="AY1039" s="31">
        <f t="shared" si="750"/>
        <v>0</v>
      </c>
      <c r="AZ1039" s="31">
        <f t="shared" si="751"/>
        <v>0</v>
      </c>
      <c r="BA1039" s="31">
        <f t="shared" si="752"/>
        <v>0</v>
      </c>
      <c r="BB1039" s="31">
        <f t="shared" si="781"/>
        <v>0</v>
      </c>
      <c r="BM1039" s="8">
        <f t="shared" si="782"/>
        <v>0</v>
      </c>
      <c r="BN1039" s="8">
        <f t="shared" si="753"/>
        <v>0</v>
      </c>
      <c r="BO1039" s="8">
        <f t="shared" si="754"/>
        <v>0</v>
      </c>
      <c r="BQ1039" s="8">
        <f t="shared" si="755"/>
        <v>0</v>
      </c>
      <c r="BR1039" s="63">
        <f t="shared" si="756"/>
        <v>0</v>
      </c>
      <c r="BS1039" s="63">
        <f t="shared" si="783"/>
        <v>0</v>
      </c>
      <c r="BT1039" s="63">
        <f t="shared" si="757"/>
        <v>0</v>
      </c>
      <c r="BU1039" s="63">
        <f t="shared" si="758"/>
        <v>0</v>
      </c>
      <c r="BV1039" s="57">
        <f t="shared" si="759"/>
        <v>0</v>
      </c>
      <c r="BW1039" s="57">
        <f t="shared" si="760"/>
        <v>0</v>
      </c>
      <c r="BX1039" s="57">
        <f t="shared" si="784"/>
        <v>0</v>
      </c>
      <c r="BY1039" s="57">
        <f t="shared" si="742"/>
        <v>0</v>
      </c>
      <c r="BZ1039" s="8">
        <f t="shared" si="761"/>
        <v>0</v>
      </c>
      <c r="CA1039" s="8">
        <f t="shared" si="762"/>
        <v>0</v>
      </c>
      <c r="CB1039" s="8">
        <f t="shared" si="763"/>
        <v>0</v>
      </c>
      <c r="CC1039" s="8">
        <f t="shared" si="764"/>
        <v>0</v>
      </c>
      <c r="CD1039" s="8">
        <f t="shared" si="765"/>
        <v>0</v>
      </c>
      <c r="CE1039" s="8">
        <f t="shared" si="766"/>
        <v>0</v>
      </c>
      <c r="CF1039" s="8">
        <f t="shared" si="767"/>
        <v>0</v>
      </c>
      <c r="CG1039" s="8">
        <f t="shared" si="768"/>
        <v>0</v>
      </c>
      <c r="CH1039" s="8">
        <f t="shared" si="769"/>
        <v>0</v>
      </c>
      <c r="CI1039" s="8">
        <f t="shared" si="770"/>
        <v>0</v>
      </c>
      <c r="CJ1039" s="8">
        <f t="shared" si="771"/>
        <v>0</v>
      </c>
      <c r="CK1039" s="8">
        <f t="shared" si="772"/>
        <v>0</v>
      </c>
      <c r="CL1039" s="8">
        <f t="shared" si="773"/>
        <v>0</v>
      </c>
      <c r="CM1039" s="8">
        <f t="shared" si="774"/>
        <v>0</v>
      </c>
      <c r="CN1039" s="8">
        <f t="shared" si="775"/>
        <v>0</v>
      </c>
      <c r="CO1039" s="8">
        <f t="shared" si="776"/>
        <v>0</v>
      </c>
      <c r="CP1039" s="8">
        <f t="shared" si="777"/>
        <v>0</v>
      </c>
      <c r="CQ1039" s="8">
        <f t="shared" si="778"/>
        <v>0</v>
      </c>
      <c r="CR1039" s="8">
        <f t="shared" si="779"/>
        <v>0</v>
      </c>
      <c r="CS1039" s="8">
        <f t="shared" si="780"/>
        <v>0</v>
      </c>
      <c r="CT1039" s="8">
        <f t="shared" si="785"/>
        <v>0</v>
      </c>
      <c r="CU1039" s="8">
        <f t="shared" si="786"/>
        <v>0</v>
      </c>
      <c r="CV1039" s="8">
        <f t="shared" si="787"/>
        <v>0</v>
      </c>
    </row>
    <row r="1040" spans="1:100" ht="20.5" thickTop="1" thickBot="1" x14ac:dyDescent="0.5">
      <c r="A1040" s="32"/>
      <c r="B1040" s="10"/>
      <c r="C1040" s="10"/>
      <c r="D1040" s="11"/>
      <c r="E1040" s="10"/>
      <c r="F1040" s="10"/>
      <c r="G1040" s="19"/>
      <c r="H1040" s="19"/>
      <c r="I1040" s="19"/>
      <c r="J1040" s="19"/>
      <c r="K1040" s="10"/>
      <c r="L1040" s="10"/>
      <c r="M1040" s="10"/>
      <c r="N1040" s="10"/>
      <c r="O1040" s="18"/>
      <c r="P1040" s="18"/>
      <c r="Q1040" s="21"/>
      <c r="R1040" s="20"/>
      <c r="S1040" s="16">
        <f t="shared" si="743"/>
        <v>0</v>
      </c>
      <c r="T1040" s="11"/>
      <c r="AS1040" s="31">
        <f t="shared" si="744"/>
        <v>0</v>
      </c>
      <c r="AT1040" s="31">
        <f t="shared" si="745"/>
        <v>0</v>
      </c>
      <c r="AU1040" s="31">
        <f t="shared" si="746"/>
        <v>0</v>
      </c>
      <c r="AV1040" s="31">
        <f t="shared" si="747"/>
        <v>0</v>
      </c>
      <c r="AW1040" s="31">
        <f t="shared" si="748"/>
        <v>0</v>
      </c>
      <c r="AX1040" s="31">
        <f t="shared" si="749"/>
        <v>0</v>
      </c>
      <c r="AY1040" s="31">
        <f t="shared" si="750"/>
        <v>0</v>
      </c>
      <c r="AZ1040" s="31">
        <f t="shared" si="751"/>
        <v>0</v>
      </c>
      <c r="BA1040" s="31">
        <f t="shared" si="752"/>
        <v>0</v>
      </c>
      <c r="BB1040" s="31">
        <f t="shared" si="781"/>
        <v>0</v>
      </c>
      <c r="BM1040" s="8">
        <f t="shared" si="782"/>
        <v>0</v>
      </c>
      <c r="BN1040" s="8">
        <f t="shared" si="753"/>
        <v>0</v>
      </c>
      <c r="BO1040" s="8">
        <f t="shared" si="754"/>
        <v>0</v>
      </c>
      <c r="BQ1040" s="8">
        <f t="shared" si="755"/>
        <v>0</v>
      </c>
      <c r="BR1040" s="63">
        <f t="shared" si="756"/>
        <v>0</v>
      </c>
      <c r="BS1040" s="63">
        <f t="shared" si="783"/>
        <v>0</v>
      </c>
      <c r="BT1040" s="63">
        <f t="shared" si="757"/>
        <v>0</v>
      </c>
      <c r="BU1040" s="63">
        <f t="shared" si="758"/>
        <v>0</v>
      </c>
      <c r="BV1040" s="57">
        <f t="shared" si="759"/>
        <v>0</v>
      </c>
      <c r="BW1040" s="57">
        <f t="shared" si="760"/>
        <v>0</v>
      </c>
      <c r="BX1040" s="57">
        <f t="shared" si="784"/>
        <v>0</v>
      </c>
      <c r="BY1040" s="57">
        <f t="shared" si="742"/>
        <v>0</v>
      </c>
      <c r="BZ1040" s="8">
        <f t="shared" si="761"/>
        <v>0</v>
      </c>
      <c r="CA1040" s="8">
        <f t="shared" si="762"/>
        <v>0</v>
      </c>
      <c r="CB1040" s="8">
        <f t="shared" si="763"/>
        <v>0</v>
      </c>
      <c r="CC1040" s="8">
        <f t="shared" si="764"/>
        <v>0</v>
      </c>
      <c r="CD1040" s="8">
        <f t="shared" si="765"/>
        <v>0</v>
      </c>
      <c r="CE1040" s="8">
        <f t="shared" si="766"/>
        <v>0</v>
      </c>
      <c r="CF1040" s="8">
        <f t="shared" si="767"/>
        <v>0</v>
      </c>
      <c r="CG1040" s="8">
        <f t="shared" si="768"/>
        <v>0</v>
      </c>
      <c r="CH1040" s="8">
        <f t="shared" si="769"/>
        <v>0</v>
      </c>
      <c r="CI1040" s="8">
        <f t="shared" si="770"/>
        <v>0</v>
      </c>
      <c r="CJ1040" s="8">
        <f t="shared" si="771"/>
        <v>0</v>
      </c>
      <c r="CK1040" s="8">
        <f t="shared" si="772"/>
        <v>0</v>
      </c>
      <c r="CL1040" s="8">
        <f t="shared" si="773"/>
        <v>0</v>
      </c>
      <c r="CM1040" s="8">
        <f t="shared" si="774"/>
        <v>0</v>
      </c>
      <c r="CN1040" s="8">
        <f t="shared" si="775"/>
        <v>0</v>
      </c>
      <c r="CO1040" s="8">
        <f t="shared" si="776"/>
        <v>0</v>
      </c>
      <c r="CP1040" s="8">
        <f t="shared" si="777"/>
        <v>0</v>
      </c>
      <c r="CQ1040" s="8">
        <f t="shared" si="778"/>
        <v>0</v>
      </c>
      <c r="CR1040" s="8">
        <f t="shared" si="779"/>
        <v>0</v>
      </c>
      <c r="CS1040" s="8">
        <f t="shared" si="780"/>
        <v>0</v>
      </c>
      <c r="CT1040" s="8">
        <f t="shared" si="785"/>
        <v>0</v>
      </c>
      <c r="CU1040" s="8">
        <f t="shared" si="786"/>
        <v>0</v>
      </c>
      <c r="CV1040" s="8">
        <f t="shared" si="787"/>
        <v>0</v>
      </c>
    </row>
    <row r="1041" spans="1:100" ht="20.5" thickTop="1" thickBot="1" x14ac:dyDescent="0.5">
      <c r="A1041" s="32"/>
      <c r="B1041" s="10"/>
      <c r="C1041" s="10"/>
      <c r="D1041" s="11"/>
      <c r="E1041" s="10"/>
      <c r="F1041" s="10"/>
      <c r="G1041" s="19"/>
      <c r="H1041" s="19"/>
      <c r="I1041" s="19"/>
      <c r="J1041" s="19"/>
      <c r="K1041" s="10"/>
      <c r="L1041" s="10"/>
      <c r="M1041" s="10"/>
      <c r="N1041" s="10"/>
      <c r="O1041" s="18"/>
      <c r="P1041" s="18"/>
      <c r="Q1041" s="21"/>
      <c r="R1041" s="20"/>
      <c r="S1041" s="16">
        <f t="shared" si="743"/>
        <v>0</v>
      </c>
      <c r="T1041" s="11"/>
      <c r="AS1041" s="31">
        <f t="shared" si="744"/>
        <v>0</v>
      </c>
      <c r="AT1041" s="31">
        <f t="shared" si="745"/>
        <v>0</v>
      </c>
      <c r="AU1041" s="31">
        <f t="shared" si="746"/>
        <v>0</v>
      </c>
      <c r="AV1041" s="31">
        <f t="shared" si="747"/>
        <v>0</v>
      </c>
      <c r="AW1041" s="31">
        <f t="shared" si="748"/>
        <v>0</v>
      </c>
      <c r="AX1041" s="31">
        <f t="shared" si="749"/>
        <v>0</v>
      </c>
      <c r="AY1041" s="31">
        <f t="shared" si="750"/>
        <v>0</v>
      </c>
      <c r="AZ1041" s="31">
        <f t="shared" si="751"/>
        <v>0</v>
      </c>
      <c r="BA1041" s="31">
        <f t="shared" si="752"/>
        <v>0</v>
      </c>
      <c r="BB1041" s="31">
        <f t="shared" si="781"/>
        <v>0</v>
      </c>
      <c r="BM1041" s="8">
        <f t="shared" si="782"/>
        <v>0</v>
      </c>
      <c r="BN1041" s="8">
        <f t="shared" si="753"/>
        <v>0</v>
      </c>
      <c r="BO1041" s="8">
        <f t="shared" si="754"/>
        <v>0</v>
      </c>
      <c r="BQ1041" s="8">
        <f t="shared" si="755"/>
        <v>0</v>
      </c>
      <c r="BR1041" s="63">
        <f t="shared" si="756"/>
        <v>0</v>
      </c>
      <c r="BS1041" s="63">
        <f t="shared" si="783"/>
        <v>0</v>
      </c>
      <c r="BT1041" s="63">
        <f t="shared" si="757"/>
        <v>0</v>
      </c>
      <c r="BU1041" s="63">
        <f t="shared" si="758"/>
        <v>0</v>
      </c>
      <c r="BV1041" s="57">
        <f t="shared" si="759"/>
        <v>0</v>
      </c>
      <c r="BW1041" s="57">
        <f t="shared" si="760"/>
        <v>0</v>
      </c>
      <c r="BX1041" s="57">
        <f t="shared" si="784"/>
        <v>0</v>
      </c>
      <c r="BY1041" s="57">
        <f t="shared" si="742"/>
        <v>0</v>
      </c>
      <c r="BZ1041" s="8">
        <f t="shared" si="761"/>
        <v>0</v>
      </c>
      <c r="CA1041" s="8">
        <f t="shared" si="762"/>
        <v>0</v>
      </c>
      <c r="CB1041" s="8">
        <f t="shared" si="763"/>
        <v>0</v>
      </c>
      <c r="CC1041" s="8">
        <f t="shared" si="764"/>
        <v>0</v>
      </c>
      <c r="CD1041" s="8">
        <f t="shared" si="765"/>
        <v>0</v>
      </c>
      <c r="CE1041" s="8">
        <f t="shared" si="766"/>
        <v>0</v>
      </c>
      <c r="CF1041" s="8">
        <f t="shared" si="767"/>
        <v>0</v>
      </c>
      <c r="CG1041" s="8">
        <f t="shared" si="768"/>
        <v>0</v>
      </c>
      <c r="CH1041" s="8">
        <f t="shared" si="769"/>
        <v>0</v>
      </c>
      <c r="CI1041" s="8">
        <f t="shared" si="770"/>
        <v>0</v>
      </c>
      <c r="CJ1041" s="8">
        <f t="shared" si="771"/>
        <v>0</v>
      </c>
      <c r="CK1041" s="8">
        <f t="shared" si="772"/>
        <v>0</v>
      </c>
      <c r="CL1041" s="8">
        <f t="shared" si="773"/>
        <v>0</v>
      </c>
      <c r="CM1041" s="8">
        <f t="shared" si="774"/>
        <v>0</v>
      </c>
      <c r="CN1041" s="8">
        <f t="shared" si="775"/>
        <v>0</v>
      </c>
      <c r="CO1041" s="8">
        <f t="shared" si="776"/>
        <v>0</v>
      </c>
      <c r="CP1041" s="8">
        <f t="shared" si="777"/>
        <v>0</v>
      </c>
      <c r="CQ1041" s="8">
        <f t="shared" si="778"/>
        <v>0</v>
      </c>
      <c r="CR1041" s="8">
        <f t="shared" si="779"/>
        <v>0</v>
      </c>
      <c r="CS1041" s="8">
        <f t="shared" si="780"/>
        <v>0</v>
      </c>
      <c r="CT1041" s="8">
        <f t="shared" si="785"/>
        <v>0</v>
      </c>
      <c r="CU1041" s="8">
        <f t="shared" si="786"/>
        <v>0</v>
      </c>
      <c r="CV1041" s="8">
        <f t="shared" si="787"/>
        <v>0</v>
      </c>
    </row>
    <row r="1042" spans="1:100" ht="20.5" thickTop="1" thickBot="1" x14ac:dyDescent="0.5">
      <c r="A1042" s="32"/>
      <c r="B1042" s="10"/>
      <c r="C1042" s="10"/>
      <c r="D1042" s="11"/>
      <c r="E1042" s="10"/>
      <c r="F1042" s="10"/>
      <c r="G1042" s="19"/>
      <c r="H1042" s="19"/>
      <c r="I1042" s="19"/>
      <c r="J1042" s="19"/>
      <c r="K1042" s="10"/>
      <c r="L1042" s="10"/>
      <c r="M1042" s="10"/>
      <c r="N1042" s="10"/>
      <c r="O1042" s="18"/>
      <c r="P1042" s="18"/>
      <c r="Q1042" s="21"/>
      <c r="R1042" s="20"/>
      <c r="S1042" s="16">
        <f t="shared" si="743"/>
        <v>0</v>
      </c>
      <c r="T1042" s="11"/>
      <c r="AS1042" s="31">
        <f t="shared" si="744"/>
        <v>0</v>
      </c>
      <c r="AT1042" s="31">
        <f t="shared" si="745"/>
        <v>0</v>
      </c>
      <c r="AU1042" s="31">
        <f t="shared" si="746"/>
        <v>0</v>
      </c>
      <c r="AV1042" s="31">
        <f t="shared" si="747"/>
        <v>0</v>
      </c>
      <c r="AW1042" s="31">
        <f t="shared" si="748"/>
        <v>0</v>
      </c>
      <c r="AX1042" s="31">
        <f t="shared" si="749"/>
        <v>0</v>
      </c>
      <c r="AY1042" s="31">
        <f t="shared" si="750"/>
        <v>0</v>
      </c>
      <c r="AZ1042" s="31">
        <f t="shared" si="751"/>
        <v>0</v>
      </c>
      <c r="BA1042" s="31">
        <f t="shared" si="752"/>
        <v>0</v>
      </c>
      <c r="BB1042" s="31">
        <f t="shared" si="781"/>
        <v>0</v>
      </c>
      <c r="BM1042" s="8">
        <f t="shared" si="782"/>
        <v>0</v>
      </c>
      <c r="BN1042" s="8">
        <f t="shared" si="753"/>
        <v>0</v>
      </c>
      <c r="BO1042" s="8">
        <f t="shared" si="754"/>
        <v>0</v>
      </c>
      <c r="BQ1042" s="8">
        <f t="shared" si="755"/>
        <v>0</v>
      </c>
      <c r="BR1042" s="63">
        <f t="shared" si="756"/>
        <v>0</v>
      </c>
      <c r="BS1042" s="63">
        <f t="shared" si="783"/>
        <v>0</v>
      </c>
      <c r="BT1042" s="63">
        <f t="shared" si="757"/>
        <v>0</v>
      </c>
      <c r="BU1042" s="63">
        <f t="shared" si="758"/>
        <v>0</v>
      </c>
      <c r="BV1042" s="57">
        <f t="shared" si="759"/>
        <v>0</v>
      </c>
      <c r="BW1042" s="57">
        <f t="shared" si="760"/>
        <v>0</v>
      </c>
      <c r="BX1042" s="57">
        <f t="shared" si="784"/>
        <v>0</v>
      </c>
      <c r="BY1042" s="57">
        <f t="shared" si="742"/>
        <v>0</v>
      </c>
      <c r="BZ1042" s="8">
        <f t="shared" si="761"/>
        <v>0</v>
      </c>
      <c r="CA1042" s="8">
        <f t="shared" si="762"/>
        <v>0</v>
      </c>
      <c r="CB1042" s="8">
        <f t="shared" si="763"/>
        <v>0</v>
      </c>
      <c r="CC1042" s="8">
        <f t="shared" si="764"/>
        <v>0</v>
      </c>
      <c r="CD1042" s="8">
        <f t="shared" si="765"/>
        <v>0</v>
      </c>
      <c r="CE1042" s="8">
        <f t="shared" si="766"/>
        <v>0</v>
      </c>
      <c r="CF1042" s="8">
        <f t="shared" si="767"/>
        <v>0</v>
      </c>
      <c r="CG1042" s="8">
        <f t="shared" si="768"/>
        <v>0</v>
      </c>
      <c r="CH1042" s="8">
        <f t="shared" si="769"/>
        <v>0</v>
      </c>
      <c r="CI1042" s="8">
        <f t="shared" si="770"/>
        <v>0</v>
      </c>
      <c r="CJ1042" s="8">
        <f t="shared" si="771"/>
        <v>0</v>
      </c>
      <c r="CK1042" s="8">
        <f t="shared" si="772"/>
        <v>0</v>
      </c>
      <c r="CL1042" s="8">
        <f t="shared" si="773"/>
        <v>0</v>
      </c>
      <c r="CM1042" s="8">
        <f t="shared" si="774"/>
        <v>0</v>
      </c>
      <c r="CN1042" s="8">
        <f t="shared" si="775"/>
        <v>0</v>
      </c>
      <c r="CO1042" s="8">
        <f t="shared" si="776"/>
        <v>0</v>
      </c>
      <c r="CP1042" s="8">
        <f t="shared" si="777"/>
        <v>0</v>
      </c>
      <c r="CQ1042" s="8">
        <f t="shared" si="778"/>
        <v>0</v>
      </c>
      <c r="CR1042" s="8">
        <f t="shared" si="779"/>
        <v>0</v>
      </c>
      <c r="CS1042" s="8">
        <f t="shared" si="780"/>
        <v>0</v>
      </c>
      <c r="CT1042" s="8">
        <f t="shared" si="785"/>
        <v>0</v>
      </c>
      <c r="CU1042" s="8">
        <f t="shared" si="786"/>
        <v>0</v>
      </c>
      <c r="CV1042" s="8">
        <f t="shared" si="787"/>
        <v>0</v>
      </c>
    </row>
    <row r="1043" spans="1:100" ht="20.5" thickTop="1" thickBot="1" x14ac:dyDescent="0.5">
      <c r="A1043" s="32"/>
      <c r="B1043" s="10"/>
      <c r="C1043" s="10"/>
      <c r="D1043" s="11"/>
      <c r="E1043" s="10"/>
      <c r="F1043" s="10"/>
      <c r="G1043" s="19"/>
      <c r="H1043" s="19"/>
      <c r="I1043" s="19"/>
      <c r="J1043" s="19"/>
      <c r="K1043" s="10"/>
      <c r="L1043" s="10"/>
      <c r="M1043" s="10"/>
      <c r="N1043" s="10"/>
      <c r="O1043" s="18"/>
      <c r="P1043" s="18"/>
      <c r="Q1043" s="21"/>
      <c r="R1043" s="20"/>
      <c r="S1043" s="16">
        <f t="shared" si="743"/>
        <v>0</v>
      </c>
      <c r="T1043" s="11"/>
      <c r="AS1043" s="31">
        <f t="shared" si="744"/>
        <v>0</v>
      </c>
      <c r="AT1043" s="31">
        <f t="shared" si="745"/>
        <v>0</v>
      </c>
      <c r="AU1043" s="31">
        <f t="shared" si="746"/>
        <v>0</v>
      </c>
      <c r="AV1043" s="31">
        <f t="shared" si="747"/>
        <v>0</v>
      </c>
      <c r="AW1043" s="31">
        <f t="shared" si="748"/>
        <v>0</v>
      </c>
      <c r="AX1043" s="31">
        <f t="shared" si="749"/>
        <v>0</v>
      </c>
      <c r="AY1043" s="31">
        <f t="shared" si="750"/>
        <v>0</v>
      </c>
      <c r="AZ1043" s="31">
        <f t="shared" si="751"/>
        <v>0</v>
      </c>
      <c r="BA1043" s="31">
        <f t="shared" si="752"/>
        <v>0</v>
      </c>
      <c r="BB1043" s="31">
        <f t="shared" si="781"/>
        <v>0</v>
      </c>
      <c r="BM1043" s="8">
        <f t="shared" si="782"/>
        <v>0</v>
      </c>
      <c r="BN1043" s="8">
        <f t="shared" si="753"/>
        <v>0</v>
      </c>
      <c r="BO1043" s="8">
        <f t="shared" si="754"/>
        <v>0</v>
      </c>
      <c r="BQ1043" s="8">
        <f t="shared" si="755"/>
        <v>0</v>
      </c>
      <c r="BR1043" s="63">
        <f t="shared" si="756"/>
        <v>0</v>
      </c>
      <c r="BS1043" s="63">
        <f t="shared" si="783"/>
        <v>0</v>
      </c>
      <c r="BT1043" s="63">
        <f t="shared" si="757"/>
        <v>0</v>
      </c>
      <c r="BU1043" s="63">
        <f t="shared" si="758"/>
        <v>0</v>
      </c>
      <c r="BV1043" s="57">
        <f t="shared" si="759"/>
        <v>0</v>
      </c>
      <c r="BW1043" s="57">
        <f t="shared" si="760"/>
        <v>0</v>
      </c>
      <c r="BX1043" s="57">
        <f t="shared" si="784"/>
        <v>0</v>
      </c>
      <c r="BY1043" s="57">
        <f t="shared" si="742"/>
        <v>0</v>
      </c>
      <c r="BZ1043" s="8">
        <f t="shared" si="761"/>
        <v>0</v>
      </c>
      <c r="CA1043" s="8">
        <f t="shared" si="762"/>
        <v>0</v>
      </c>
      <c r="CB1043" s="8">
        <f t="shared" si="763"/>
        <v>0</v>
      </c>
      <c r="CC1043" s="8">
        <f t="shared" si="764"/>
        <v>0</v>
      </c>
      <c r="CD1043" s="8">
        <f t="shared" si="765"/>
        <v>0</v>
      </c>
      <c r="CE1043" s="8">
        <f t="shared" si="766"/>
        <v>0</v>
      </c>
      <c r="CF1043" s="8">
        <f t="shared" si="767"/>
        <v>0</v>
      </c>
      <c r="CG1043" s="8">
        <f t="shared" si="768"/>
        <v>0</v>
      </c>
      <c r="CH1043" s="8">
        <f t="shared" si="769"/>
        <v>0</v>
      </c>
      <c r="CI1043" s="8">
        <f t="shared" si="770"/>
        <v>0</v>
      </c>
      <c r="CJ1043" s="8">
        <f t="shared" si="771"/>
        <v>0</v>
      </c>
      <c r="CK1043" s="8">
        <f t="shared" si="772"/>
        <v>0</v>
      </c>
      <c r="CL1043" s="8">
        <f t="shared" si="773"/>
        <v>0</v>
      </c>
      <c r="CM1043" s="8">
        <f t="shared" si="774"/>
        <v>0</v>
      </c>
      <c r="CN1043" s="8">
        <f t="shared" si="775"/>
        <v>0</v>
      </c>
      <c r="CO1043" s="8">
        <f t="shared" si="776"/>
        <v>0</v>
      </c>
      <c r="CP1043" s="8">
        <f t="shared" si="777"/>
        <v>0</v>
      </c>
      <c r="CQ1043" s="8">
        <f t="shared" si="778"/>
        <v>0</v>
      </c>
      <c r="CR1043" s="8">
        <f t="shared" si="779"/>
        <v>0</v>
      </c>
      <c r="CS1043" s="8">
        <f t="shared" si="780"/>
        <v>0</v>
      </c>
      <c r="CT1043" s="8">
        <f t="shared" si="785"/>
        <v>0</v>
      </c>
      <c r="CU1043" s="8">
        <f t="shared" si="786"/>
        <v>0</v>
      </c>
      <c r="CV1043" s="8">
        <f t="shared" si="787"/>
        <v>0</v>
      </c>
    </row>
    <row r="1044" spans="1:100" ht="20.5" thickTop="1" thickBot="1" x14ac:dyDescent="0.5">
      <c r="A1044" s="32"/>
      <c r="B1044" s="10"/>
      <c r="C1044" s="10"/>
      <c r="D1044" s="11"/>
      <c r="E1044" s="10"/>
      <c r="F1044" s="10"/>
      <c r="G1044" s="19"/>
      <c r="H1044" s="19"/>
      <c r="I1044" s="19"/>
      <c r="J1044" s="19"/>
      <c r="K1044" s="10"/>
      <c r="L1044" s="10"/>
      <c r="M1044" s="10"/>
      <c r="N1044" s="10"/>
      <c r="O1044" s="18"/>
      <c r="P1044" s="18"/>
      <c r="Q1044" s="21"/>
      <c r="R1044" s="20"/>
      <c r="S1044" s="16">
        <f t="shared" si="743"/>
        <v>0</v>
      </c>
      <c r="T1044" s="11"/>
      <c r="AS1044" s="31">
        <f t="shared" si="744"/>
        <v>0</v>
      </c>
      <c r="AT1044" s="31">
        <f t="shared" si="745"/>
        <v>0</v>
      </c>
      <c r="AU1044" s="31">
        <f t="shared" si="746"/>
        <v>0</v>
      </c>
      <c r="AV1044" s="31">
        <f t="shared" si="747"/>
        <v>0</v>
      </c>
      <c r="AW1044" s="31">
        <f t="shared" si="748"/>
        <v>0</v>
      </c>
      <c r="AX1044" s="31">
        <f t="shared" si="749"/>
        <v>0</v>
      </c>
      <c r="AY1044" s="31">
        <f t="shared" si="750"/>
        <v>0</v>
      </c>
      <c r="AZ1044" s="31">
        <f t="shared" si="751"/>
        <v>0</v>
      </c>
      <c r="BA1044" s="31">
        <f t="shared" si="752"/>
        <v>0</v>
      </c>
      <c r="BB1044" s="31">
        <f t="shared" si="781"/>
        <v>0</v>
      </c>
      <c r="BM1044" s="8">
        <f t="shared" si="782"/>
        <v>0</v>
      </c>
      <c r="BN1044" s="8">
        <f t="shared" si="753"/>
        <v>0</v>
      </c>
      <c r="BO1044" s="8">
        <f t="shared" si="754"/>
        <v>0</v>
      </c>
      <c r="BQ1044" s="8">
        <f t="shared" si="755"/>
        <v>0</v>
      </c>
      <c r="BR1044" s="63">
        <f t="shared" si="756"/>
        <v>0</v>
      </c>
      <c r="BS1044" s="63">
        <f t="shared" si="783"/>
        <v>0</v>
      </c>
      <c r="BT1044" s="63">
        <f t="shared" si="757"/>
        <v>0</v>
      </c>
      <c r="BU1044" s="63">
        <f t="shared" si="758"/>
        <v>0</v>
      </c>
      <c r="BV1044" s="57">
        <f t="shared" si="759"/>
        <v>0</v>
      </c>
      <c r="BW1044" s="57">
        <f t="shared" si="760"/>
        <v>0</v>
      </c>
      <c r="BX1044" s="57">
        <f t="shared" si="784"/>
        <v>0</v>
      </c>
      <c r="BY1044" s="57">
        <f t="shared" si="742"/>
        <v>0</v>
      </c>
      <c r="BZ1044" s="8">
        <f t="shared" si="761"/>
        <v>0</v>
      </c>
      <c r="CA1044" s="8">
        <f t="shared" si="762"/>
        <v>0</v>
      </c>
      <c r="CB1044" s="8">
        <f t="shared" si="763"/>
        <v>0</v>
      </c>
      <c r="CC1044" s="8">
        <f t="shared" si="764"/>
        <v>0</v>
      </c>
      <c r="CD1044" s="8">
        <f t="shared" si="765"/>
        <v>0</v>
      </c>
      <c r="CE1044" s="8">
        <f t="shared" si="766"/>
        <v>0</v>
      </c>
      <c r="CF1044" s="8">
        <f t="shared" si="767"/>
        <v>0</v>
      </c>
      <c r="CG1044" s="8">
        <f t="shared" si="768"/>
        <v>0</v>
      </c>
      <c r="CH1044" s="8">
        <f t="shared" si="769"/>
        <v>0</v>
      </c>
      <c r="CI1044" s="8">
        <f t="shared" si="770"/>
        <v>0</v>
      </c>
      <c r="CJ1044" s="8">
        <f t="shared" si="771"/>
        <v>0</v>
      </c>
      <c r="CK1044" s="8">
        <f t="shared" si="772"/>
        <v>0</v>
      </c>
      <c r="CL1044" s="8">
        <f t="shared" si="773"/>
        <v>0</v>
      </c>
      <c r="CM1044" s="8">
        <f t="shared" si="774"/>
        <v>0</v>
      </c>
      <c r="CN1044" s="8">
        <f t="shared" si="775"/>
        <v>0</v>
      </c>
      <c r="CO1044" s="8">
        <f t="shared" si="776"/>
        <v>0</v>
      </c>
      <c r="CP1044" s="8">
        <f t="shared" si="777"/>
        <v>0</v>
      </c>
      <c r="CQ1044" s="8">
        <f t="shared" si="778"/>
        <v>0</v>
      </c>
      <c r="CR1044" s="8">
        <f t="shared" si="779"/>
        <v>0</v>
      </c>
      <c r="CS1044" s="8">
        <f t="shared" si="780"/>
        <v>0</v>
      </c>
      <c r="CT1044" s="8">
        <f t="shared" si="785"/>
        <v>0</v>
      </c>
      <c r="CU1044" s="8">
        <f t="shared" si="786"/>
        <v>0</v>
      </c>
      <c r="CV1044" s="8">
        <f t="shared" si="787"/>
        <v>0</v>
      </c>
    </row>
    <row r="1045" spans="1:100" ht="20.5" thickTop="1" thickBot="1" x14ac:dyDescent="0.5">
      <c r="A1045" s="32"/>
      <c r="B1045" s="10"/>
      <c r="C1045" s="10"/>
      <c r="D1045" s="11"/>
      <c r="E1045" s="10"/>
      <c r="F1045" s="10"/>
      <c r="G1045" s="19"/>
      <c r="H1045" s="19"/>
      <c r="I1045" s="19"/>
      <c r="J1045" s="19"/>
      <c r="K1045" s="10"/>
      <c r="L1045" s="10"/>
      <c r="M1045" s="10"/>
      <c r="N1045" s="10"/>
      <c r="O1045" s="18"/>
      <c r="P1045" s="18"/>
      <c r="Q1045" s="21"/>
      <c r="R1045" s="20"/>
      <c r="S1045" s="16">
        <f t="shared" si="743"/>
        <v>0</v>
      </c>
      <c r="T1045" s="11"/>
      <c r="AS1045" s="31">
        <f t="shared" si="744"/>
        <v>0</v>
      </c>
      <c r="AT1045" s="31">
        <f t="shared" si="745"/>
        <v>0</v>
      </c>
      <c r="AU1045" s="31">
        <f t="shared" si="746"/>
        <v>0</v>
      </c>
      <c r="AV1045" s="31">
        <f t="shared" si="747"/>
        <v>0</v>
      </c>
      <c r="AW1045" s="31">
        <f t="shared" si="748"/>
        <v>0</v>
      </c>
      <c r="AX1045" s="31">
        <f t="shared" si="749"/>
        <v>0</v>
      </c>
      <c r="AY1045" s="31">
        <f t="shared" si="750"/>
        <v>0</v>
      </c>
      <c r="AZ1045" s="31">
        <f t="shared" si="751"/>
        <v>0</v>
      </c>
      <c r="BA1045" s="31">
        <f t="shared" si="752"/>
        <v>0</v>
      </c>
      <c r="BB1045" s="31">
        <f t="shared" si="781"/>
        <v>0</v>
      </c>
      <c r="BM1045" s="8">
        <f t="shared" si="782"/>
        <v>0</v>
      </c>
      <c r="BN1045" s="8">
        <f t="shared" si="753"/>
        <v>0</v>
      </c>
      <c r="BO1045" s="8">
        <f t="shared" si="754"/>
        <v>0</v>
      </c>
      <c r="BQ1045" s="8">
        <f t="shared" si="755"/>
        <v>0</v>
      </c>
      <c r="BR1045" s="63">
        <f t="shared" si="756"/>
        <v>0</v>
      </c>
      <c r="BS1045" s="63">
        <f t="shared" si="783"/>
        <v>0</v>
      </c>
      <c r="BT1045" s="63">
        <f t="shared" si="757"/>
        <v>0</v>
      </c>
      <c r="BU1045" s="63">
        <f t="shared" si="758"/>
        <v>0</v>
      </c>
      <c r="BV1045" s="57">
        <f t="shared" si="759"/>
        <v>0</v>
      </c>
      <c r="BW1045" s="57">
        <f t="shared" si="760"/>
        <v>0</v>
      </c>
      <c r="BX1045" s="57">
        <f t="shared" si="784"/>
        <v>0</v>
      </c>
      <c r="BY1045" s="57">
        <f t="shared" si="742"/>
        <v>0</v>
      </c>
      <c r="BZ1045" s="8">
        <f t="shared" si="761"/>
        <v>0</v>
      </c>
      <c r="CA1045" s="8">
        <f t="shared" si="762"/>
        <v>0</v>
      </c>
      <c r="CB1045" s="8">
        <f t="shared" si="763"/>
        <v>0</v>
      </c>
      <c r="CC1045" s="8">
        <f t="shared" si="764"/>
        <v>0</v>
      </c>
      <c r="CD1045" s="8">
        <f t="shared" si="765"/>
        <v>0</v>
      </c>
      <c r="CE1045" s="8">
        <f t="shared" si="766"/>
        <v>0</v>
      </c>
      <c r="CF1045" s="8">
        <f t="shared" si="767"/>
        <v>0</v>
      </c>
      <c r="CG1045" s="8">
        <f t="shared" si="768"/>
        <v>0</v>
      </c>
      <c r="CH1045" s="8">
        <f t="shared" si="769"/>
        <v>0</v>
      </c>
      <c r="CI1045" s="8">
        <f t="shared" si="770"/>
        <v>0</v>
      </c>
      <c r="CJ1045" s="8">
        <f t="shared" si="771"/>
        <v>0</v>
      </c>
      <c r="CK1045" s="8">
        <f t="shared" si="772"/>
        <v>0</v>
      </c>
      <c r="CL1045" s="8">
        <f t="shared" si="773"/>
        <v>0</v>
      </c>
      <c r="CM1045" s="8">
        <f t="shared" si="774"/>
        <v>0</v>
      </c>
      <c r="CN1045" s="8">
        <f t="shared" si="775"/>
        <v>0</v>
      </c>
      <c r="CO1045" s="8">
        <f t="shared" si="776"/>
        <v>0</v>
      </c>
      <c r="CP1045" s="8">
        <f t="shared" si="777"/>
        <v>0</v>
      </c>
      <c r="CQ1045" s="8">
        <f t="shared" si="778"/>
        <v>0</v>
      </c>
      <c r="CR1045" s="8">
        <f t="shared" si="779"/>
        <v>0</v>
      </c>
      <c r="CS1045" s="8">
        <f t="shared" si="780"/>
        <v>0</v>
      </c>
      <c r="CT1045" s="8">
        <f t="shared" si="785"/>
        <v>0</v>
      </c>
      <c r="CU1045" s="8">
        <f t="shared" si="786"/>
        <v>0</v>
      </c>
      <c r="CV1045" s="8">
        <f t="shared" si="787"/>
        <v>0</v>
      </c>
    </row>
    <row r="1046" spans="1:100" ht="20.5" thickTop="1" thickBot="1" x14ac:dyDescent="0.5">
      <c r="A1046" s="32"/>
      <c r="B1046" s="10"/>
      <c r="C1046" s="10"/>
      <c r="D1046" s="11"/>
      <c r="E1046" s="10"/>
      <c r="F1046" s="10"/>
      <c r="G1046" s="19"/>
      <c r="H1046" s="19"/>
      <c r="I1046" s="19"/>
      <c r="J1046" s="19"/>
      <c r="K1046" s="10"/>
      <c r="L1046" s="10"/>
      <c r="M1046" s="10"/>
      <c r="N1046" s="10"/>
      <c r="O1046" s="18"/>
      <c r="P1046" s="18"/>
      <c r="Q1046" s="21"/>
      <c r="R1046" s="20"/>
      <c r="S1046" s="16">
        <f t="shared" si="743"/>
        <v>0</v>
      </c>
      <c r="T1046" s="11"/>
      <c r="AS1046" s="31">
        <f t="shared" si="744"/>
        <v>0</v>
      </c>
      <c r="AT1046" s="31">
        <f t="shared" si="745"/>
        <v>0</v>
      </c>
      <c r="AU1046" s="31">
        <f t="shared" si="746"/>
        <v>0</v>
      </c>
      <c r="AV1046" s="31">
        <f t="shared" si="747"/>
        <v>0</v>
      </c>
      <c r="AW1046" s="31">
        <f t="shared" si="748"/>
        <v>0</v>
      </c>
      <c r="AX1046" s="31">
        <f t="shared" si="749"/>
        <v>0</v>
      </c>
      <c r="AY1046" s="31">
        <f t="shared" si="750"/>
        <v>0</v>
      </c>
      <c r="AZ1046" s="31">
        <f t="shared" si="751"/>
        <v>0</v>
      </c>
      <c r="BA1046" s="31">
        <f t="shared" si="752"/>
        <v>0</v>
      </c>
      <c r="BB1046" s="31">
        <f t="shared" si="781"/>
        <v>0</v>
      </c>
      <c r="BM1046" s="8">
        <f t="shared" si="782"/>
        <v>0</v>
      </c>
      <c r="BN1046" s="8">
        <f t="shared" si="753"/>
        <v>0</v>
      </c>
      <c r="BO1046" s="8">
        <f t="shared" si="754"/>
        <v>0</v>
      </c>
      <c r="BQ1046" s="8">
        <f t="shared" si="755"/>
        <v>0</v>
      </c>
      <c r="BR1046" s="63">
        <f t="shared" si="756"/>
        <v>0</v>
      </c>
      <c r="BS1046" s="63">
        <f t="shared" si="783"/>
        <v>0</v>
      </c>
      <c r="BT1046" s="63">
        <f t="shared" si="757"/>
        <v>0</v>
      </c>
      <c r="BU1046" s="63">
        <f t="shared" si="758"/>
        <v>0</v>
      </c>
      <c r="BV1046" s="57">
        <f t="shared" si="759"/>
        <v>0</v>
      </c>
      <c r="BW1046" s="57">
        <f t="shared" si="760"/>
        <v>0</v>
      </c>
      <c r="BX1046" s="57">
        <f t="shared" si="784"/>
        <v>0</v>
      </c>
      <c r="BY1046" s="57">
        <f t="shared" si="742"/>
        <v>0</v>
      </c>
      <c r="BZ1046" s="8">
        <f t="shared" si="761"/>
        <v>0</v>
      </c>
      <c r="CA1046" s="8">
        <f t="shared" si="762"/>
        <v>0</v>
      </c>
      <c r="CB1046" s="8">
        <f t="shared" si="763"/>
        <v>0</v>
      </c>
      <c r="CC1046" s="8">
        <f t="shared" si="764"/>
        <v>0</v>
      </c>
      <c r="CD1046" s="8">
        <f t="shared" si="765"/>
        <v>0</v>
      </c>
      <c r="CE1046" s="8">
        <f t="shared" si="766"/>
        <v>0</v>
      </c>
      <c r="CF1046" s="8">
        <f t="shared" si="767"/>
        <v>0</v>
      </c>
      <c r="CG1046" s="8">
        <f t="shared" si="768"/>
        <v>0</v>
      </c>
      <c r="CH1046" s="8">
        <f t="shared" si="769"/>
        <v>0</v>
      </c>
      <c r="CI1046" s="8">
        <f t="shared" si="770"/>
        <v>0</v>
      </c>
      <c r="CJ1046" s="8">
        <f t="shared" si="771"/>
        <v>0</v>
      </c>
      <c r="CK1046" s="8">
        <f t="shared" si="772"/>
        <v>0</v>
      </c>
      <c r="CL1046" s="8">
        <f t="shared" si="773"/>
        <v>0</v>
      </c>
      <c r="CM1046" s="8">
        <f t="shared" si="774"/>
        <v>0</v>
      </c>
      <c r="CN1046" s="8">
        <f t="shared" si="775"/>
        <v>0</v>
      </c>
      <c r="CO1046" s="8">
        <f t="shared" si="776"/>
        <v>0</v>
      </c>
      <c r="CP1046" s="8">
        <f t="shared" si="777"/>
        <v>0</v>
      </c>
      <c r="CQ1046" s="8">
        <f t="shared" si="778"/>
        <v>0</v>
      </c>
      <c r="CR1046" s="8">
        <f t="shared" si="779"/>
        <v>0</v>
      </c>
      <c r="CS1046" s="8">
        <f t="shared" si="780"/>
        <v>0</v>
      </c>
      <c r="CT1046" s="8">
        <f t="shared" si="785"/>
        <v>0</v>
      </c>
      <c r="CU1046" s="8">
        <f t="shared" si="786"/>
        <v>0</v>
      </c>
      <c r="CV1046" s="8">
        <f t="shared" si="787"/>
        <v>0</v>
      </c>
    </row>
    <row r="1047" spans="1:100" ht="20.5" thickTop="1" thickBot="1" x14ac:dyDescent="0.5">
      <c r="A1047" s="32"/>
      <c r="B1047" s="10"/>
      <c r="C1047" s="10"/>
      <c r="D1047" s="11"/>
      <c r="E1047" s="10"/>
      <c r="F1047" s="10"/>
      <c r="G1047" s="19"/>
      <c r="H1047" s="19"/>
      <c r="I1047" s="19"/>
      <c r="J1047" s="19"/>
      <c r="K1047" s="10"/>
      <c r="L1047" s="10"/>
      <c r="M1047" s="10"/>
      <c r="N1047" s="10"/>
      <c r="O1047" s="18"/>
      <c r="P1047" s="18"/>
      <c r="Q1047" s="21"/>
      <c r="R1047" s="20"/>
      <c r="S1047" s="16">
        <f t="shared" si="743"/>
        <v>0</v>
      </c>
      <c r="T1047" s="11"/>
      <c r="AS1047" s="31">
        <f t="shared" si="744"/>
        <v>0</v>
      </c>
      <c r="AT1047" s="31">
        <f t="shared" si="745"/>
        <v>0</v>
      </c>
      <c r="AU1047" s="31">
        <f t="shared" si="746"/>
        <v>0</v>
      </c>
      <c r="AV1047" s="31">
        <f t="shared" si="747"/>
        <v>0</v>
      </c>
      <c r="AW1047" s="31">
        <f t="shared" si="748"/>
        <v>0</v>
      </c>
      <c r="AX1047" s="31">
        <f t="shared" si="749"/>
        <v>0</v>
      </c>
      <c r="AY1047" s="31">
        <f t="shared" si="750"/>
        <v>0</v>
      </c>
      <c r="AZ1047" s="31">
        <f t="shared" si="751"/>
        <v>0</v>
      </c>
      <c r="BA1047" s="31">
        <f t="shared" si="752"/>
        <v>0</v>
      </c>
      <c r="BB1047" s="31">
        <f t="shared" si="781"/>
        <v>0</v>
      </c>
      <c r="BM1047" s="8">
        <f t="shared" si="782"/>
        <v>0</v>
      </c>
      <c r="BN1047" s="8">
        <f t="shared" si="753"/>
        <v>0</v>
      </c>
      <c r="BO1047" s="8">
        <f t="shared" si="754"/>
        <v>0</v>
      </c>
      <c r="BQ1047" s="8">
        <f t="shared" si="755"/>
        <v>0</v>
      </c>
      <c r="BR1047" s="63">
        <f t="shared" si="756"/>
        <v>0</v>
      </c>
      <c r="BS1047" s="63">
        <f t="shared" si="783"/>
        <v>0</v>
      </c>
      <c r="BT1047" s="63">
        <f t="shared" si="757"/>
        <v>0</v>
      </c>
      <c r="BU1047" s="63">
        <f t="shared" si="758"/>
        <v>0</v>
      </c>
      <c r="BV1047" s="57">
        <f t="shared" si="759"/>
        <v>0</v>
      </c>
      <c r="BW1047" s="57">
        <f t="shared" si="760"/>
        <v>0</v>
      </c>
      <c r="BX1047" s="57">
        <f t="shared" si="784"/>
        <v>0</v>
      </c>
      <c r="BY1047" s="57">
        <f t="shared" si="742"/>
        <v>0</v>
      </c>
      <c r="BZ1047" s="8">
        <f t="shared" si="761"/>
        <v>0</v>
      </c>
      <c r="CA1047" s="8">
        <f t="shared" si="762"/>
        <v>0</v>
      </c>
      <c r="CB1047" s="8">
        <f t="shared" si="763"/>
        <v>0</v>
      </c>
      <c r="CC1047" s="8">
        <f t="shared" si="764"/>
        <v>0</v>
      </c>
      <c r="CD1047" s="8">
        <f t="shared" si="765"/>
        <v>0</v>
      </c>
      <c r="CE1047" s="8">
        <f t="shared" si="766"/>
        <v>0</v>
      </c>
      <c r="CF1047" s="8">
        <f t="shared" si="767"/>
        <v>0</v>
      </c>
      <c r="CG1047" s="8">
        <f t="shared" si="768"/>
        <v>0</v>
      </c>
      <c r="CH1047" s="8">
        <f t="shared" si="769"/>
        <v>0</v>
      </c>
      <c r="CI1047" s="8">
        <f t="shared" si="770"/>
        <v>0</v>
      </c>
      <c r="CJ1047" s="8">
        <f t="shared" si="771"/>
        <v>0</v>
      </c>
      <c r="CK1047" s="8">
        <f t="shared" si="772"/>
        <v>0</v>
      </c>
      <c r="CL1047" s="8">
        <f t="shared" si="773"/>
        <v>0</v>
      </c>
      <c r="CM1047" s="8">
        <f t="shared" si="774"/>
        <v>0</v>
      </c>
      <c r="CN1047" s="8">
        <f t="shared" si="775"/>
        <v>0</v>
      </c>
      <c r="CO1047" s="8">
        <f t="shared" si="776"/>
        <v>0</v>
      </c>
      <c r="CP1047" s="8">
        <f t="shared" si="777"/>
        <v>0</v>
      </c>
      <c r="CQ1047" s="8">
        <f t="shared" si="778"/>
        <v>0</v>
      </c>
      <c r="CR1047" s="8">
        <f t="shared" si="779"/>
        <v>0</v>
      </c>
      <c r="CS1047" s="8">
        <f t="shared" si="780"/>
        <v>0</v>
      </c>
      <c r="CT1047" s="8">
        <f t="shared" si="785"/>
        <v>0</v>
      </c>
      <c r="CU1047" s="8">
        <f t="shared" si="786"/>
        <v>0</v>
      </c>
      <c r="CV1047" s="8">
        <f t="shared" si="787"/>
        <v>0</v>
      </c>
    </row>
    <row r="1048" spans="1:100" ht="20.5" thickTop="1" thickBot="1" x14ac:dyDescent="0.5">
      <c r="A1048" s="32"/>
      <c r="B1048" s="10"/>
      <c r="C1048" s="10"/>
      <c r="D1048" s="11"/>
      <c r="E1048" s="10"/>
      <c r="F1048" s="10"/>
      <c r="G1048" s="19"/>
      <c r="H1048" s="19"/>
      <c r="I1048" s="19"/>
      <c r="J1048" s="19"/>
      <c r="K1048" s="10"/>
      <c r="L1048" s="10"/>
      <c r="M1048" s="10"/>
      <c r="N1048" s="10"/>
      <c r="O1048" s="18"/>
      <c r="P1048" s="18"/>
      <c r="Q1048" s="21"/>
      <c r="R1048" s="20"/>
      <c r="S1048" s="16">
        <f t="shared" si="743"/>
        <v>0</v>
      </c>
      <c r="T1048" s="11"/>
      <c r="AS1048" s="31">
        <f t="shared" si="744"/>
        <v>0</v>
      </c>
      <c r="AT1048" s="31">
        <f t="shared" si="745"/>
        <v>0</v>
      </c>
      <c r="AU1048" s="31">
        <f t="shared" si="746"/>
        <v>0</v>
      </c>
      <c r="AV1048" s="31">
        <f t="shared" si="747"/>
        <v>0</v>
      </c>
      <c r="AW1048" s="31">
        <f t="shared" si="748"/>
        <v>0</v>
      </c>
      <c r="AX1048" s="31">
        <f t="shared" si="749"/>
        <v>0</v>
      </c>
      <c r="AY1048" s="31">
        <f t="shared" si="750"/>
        <v>0</v>
      </c>
      <c r="AZ1048" s="31">
        <f t="shared" si="751"/>
        <v>0</v>
      </c>
      <c r="BA1048" s="31">
        <f t="shared" si="752"/>
        <v>0</v>
      </c>
      <c r="BB1048" s="31">
        <f t="shared" si="781"/>
        <v>0</v>
      </c>
      <c r="BM1048" s="8">
        <f t="shared" si="782"/>
        <v>0</v>
      </c>
      <c r="BN1048" s="8">
        <f t="shared" si="753"/>
        <v>0</v>
      </c>
      <c r="BO1048" s="8">
        <f t="shared" si="754"/>
        <v>0</v>
      </c>
      <c r="BQ1048" s="8">
        <f t="shared" si="755"/>
        <v>0</v>
      </c>
      <c r="BR1048" s="63">
        <f t="shared" si="756"/>
        <v>0</v>
      </c>
      <c r="BS1048" s="63">
        <f t="shared" si="783"/>
        <v>0</v>
      </c>
      <c r="BT1048" s="63">
        <f t="shared" si="757"/>
        <v>0</v>
      </c>
      <c r="BU1048" s="63">
        <f t="shared" si="758"/>
        <v>0</v>
      </c>
      <c r="BV1048" s="57">
        <f t="shared" si="759"/>
        <v>0</v>
      </c>
      <c r="BW1048" s="57">
        <f t="shared" si="760"/>
        <v>0</v>
      </c>
      <c r="BX1048" s="57">
        <f t="shared" si="784"/>
        <v>0</v>
      </c>
      <c r="BY1048" s="57">
        <f t="shared" si="742"/>
        <v>0</v>
      </c>
      <c r="BZ1048" s="8">
        <f t="shared" si="761"/>
        <v>0</v>
      </c>
      <c r="CA1048" s="8">
        <f t="shared" si="762"/>
        <v>0</v>
      </c>
      <c r="CB1048" s="8">
        <f t="shared" si="763"/>
        <v>0</v>
      </c>
      <c r="CC1048" s="8">
        <f t="shared" si="764"/>
        <v>0</v>
      </c>
      <c r="CD1048" s="8">
        <f t="shared" si="765"/>
        <v>0</v>
      </c>
      <c r="CE1048" s="8">
        <f t="shared" si="766"/>
        <v>0</v>
      </c>
      <c r="CF1048" s="8">
        <f t="shared" si="767"/>
        <v>0</v>
      </c>
      <c r="CG1048" s="8">
        <f t="shared" si="768"/>
        <v>0</v>
      </c>
      <c r="CH1048" s="8">
        <f t="shared" si="769"/>
        <v>0</v>
      </c>
      <c r="CI1048" s="8">
        <f t="shared" si="770"/>
        <v>0</v>
      </c>
      <c r="CJ1048" s="8">
        <f t="shared" si="771"/>
        <v>0</v>
      </c>
      <c r="CK1048" s="8">
        <f t="shared" si="772"/>
        <v>0</v>
      </c>
      <c r="CL1048" s="8">
        <f t="shared" si="773"/>
        <v>0</v>
      </c>
      <c r="CM1048" s="8">
        <f t="shared" si="774"/>
        <v>0</v>
      </c>
      <c r="CN1048" s="8">
        <f t="shared" si="775"/>
        <v>0</v>
      </c>
      <c r="CO1048" s="8">
        <f t="shared" si="776"/>
        <v>0</v>
      </c>
      <c r="CP1048" s="8">
        <f t="shared" si="777"/>
        <v>0</v>
      </c>
      <c r="CQ1048" s="8">
        <f t="shared" si="778"/>
        <v>0</v>
      </c>
      <c r="CR1048" s="8">
        <f t="shared" si="779"/>
        <v>0</v>
      </c>
      <c r="CS1048" s="8">
        <f t="shared" si="780"/>
        <v>0</v>
      </c>
      <c r="CT1048" s="8">
        <f t="shared" si="785"/>
        <v>0</v>
      </c>
      <c r="CU1048" s="8">
        <f t="shared" si="786"/>
        <v>0</v>
      </c>
      <c r="CV1048" s="8">
        <f t="shared" si="787"/>
        <v>0</v>
      </c>
    </row>
    <row r="1049" spans="1:100" ht="20.5" thickTop="1" thickBot="1" x14ac:dyDescent="0.5">
      <c r="A1049" s="32"/>
      <c r="B1049" s="10"/>
      <c r="C1049" s="10"/>
      <c r="D1049" s="11"/>
      <c r="E1049" s="10"/>
      <c r="F1049" s="10"/>
      <c r="G1049" s="19"/>
      <c r="H1049" s="19"/>
      <c r="I1049" s="19"/>
      <c r="J1049" s="19"/>
      <c r="K1049" s="10"/>
      <c r="L1049" s="10"/>
      <c r="M1049" s="10"/>
      <c r="N1049" s="10"/>
      <c r="O1049" s="18"/>
      <c r="P1049" s="18"/>
      <c r="Q1049" s="21"/>
      <c r="R1049" s="20"/>
      <c r="S1049" s="16">
        <f t="shared" si="743"/>
        <v>0</v>
      </c>
      <c r="T1049" s="11"/>
      <c r="AS1049" s="31">
        <f t="shared" si="744"/>
        <v>0</v>
      </c>
      <c r="AT1049" s="31">
        <f t="shared" si="745"/>
        <v>0</v>
      </c>
      <c r="AU1049" s="31">
        <f t="shared" si="746"/>
        <v>0</v>
      </c>
      <c r="AV1049" s="31">
        <f t="shared" si="747"/>
        <v>0</v>
      </c>
      <c r="AW1049" s="31">
        <f t="shared" si="748"/>
        <v>0</v>
      </c>
      <c r="AX1049" s="31">
        <f t="shared" si="749"/>
        <v>0</v>
      </c>
      <c r="AY1049" s="31">
        <f t="shared" si="750"/>
        <v>0</v>
      </c>
      <c r="AZ1049" s="31">
        <f t="shared" si="751"/>
        <v>0</v>
      </c>
      <c r="BA1049" s="31">
        <f t="shared" si="752"/>
        <v>0</v>
      </c>
      <c r="BB1049" s="31">
        <f t="shared" si="781"/>
        <v>0</v>
      </c>
      <c r="BM1049" s="8">
        <f t="shared" si="782"/>
        <v>0</v>
      </c>
      <c r="BN1049" s="8">
        <f t="shared" si="753"/>
        <v>0</v>
      </c>
      <c r="BO1049" s="8">
        <f t="shared" si="754"/>
        <v>0</v>
      </c>
      <c r="BQ1049" s="8">
        <f t="shared" si="755"/>
        <v>0</v>
      </c>
      <c r="BR1049" s="63">
        <f t="shared" si="756"/>
        <v>0</v>
      </c>
      <c r="BS1049" s="63">
        <f t="shared" si="783"/>
        <v>0</v>
      </c>
      <c r="BT1049" s="63">
        <f t="shared" si="757"/>
        <v>0</v>
      </c>
      <c r="BU1049" s="63">
        <f t="shared" si="758"/>
        <v>0</v>
      </c>
      <c r="BV1049" s="57">
        <f t="shared" si="759"/>
        <v>0</v>
      </c>
      <c r="BW1049" s="57">
        <f t="shared" si="760"/>
        <v>0</v>
      </c>
      <c r="BX1049" s="57">
        <f t="shared" si="784"/>
        <v>0</v>
      </c>
      <c r="BY1049" s="57">
        <f t="shared" si="742"/>
        <v>0</v>
      </c>
      <c r="BZ1049" s="8">
        <f t="shared" si="761"/>
        <v>0</v>
      </c>
      <c r="CA1049" s="8">
        <f t="shared" si="762"/>
        <v>0</v>
      </c>
      <c r="CB1049" s="8">
        <f t="shared" si="763"/>
        <v>0</v>
      </c>
      <c r="CC1049" s="8">
        <f t="shared" si="764"/>
        <v>0</v>
      </c>
      <c r="CD1049" s="8">
        <f t="shared" si="765"/>
        <v>0</v>
      </c>
      <c r="CE1049" s="8">
        <f t="shared" si="766"/>
        <v>0</v>
      </c>
      <c r="CF1049" s="8">
        <f t="shared" si="767"/>
        <v>0</v>
      </c>
      <c r="CG1049" s="8">
        <f t="shared" si="768"/>
        <v>0</v>
      </c>
      <c r="CH1049" s="8">
        <f t="shared" si="769"/>
        <v>0</v>
      </c>
      <c r="CI1049" s="8">
        <f t="shared" si="770"/>
        <v>0</v>
      </c>
      <c r="CJ1049" s="8">
        <f t="shared" si="771"/>
        <v>0</v>
      </c>
      <c r="CK1049" s="8">
        <f t="shared" si="772"/>
        <v>0</v>
      </c>
      <c r="CL1049" s="8">
        <f t="shared" si="773"/>
        <v>0</v>
      </c>
      <c r="CM1049" s="8">
        <f t="shared" si="774"/>
        <v>0</v>
      </c>
      <c r="CN1049" s="8">
        <f t="shared" si="775"/>
        <v>0</v>
      </c>
      <c r="CO1049" s="8">
        <f t="shared" si="776"/>
        <v>0</v>
      </c>
      <c r="CP1049" s="8">
        <f t="shared" si="777"/>
        <v>0</v>
      </c>
      <c r="CQ1049" s="8">
        <f t="shared" si="778"/>
        <v>0</v>
      </c>
      <c r="CR1049" s="8">
        <f t="shared" si="779"/>
        <v>0</v>
      </c>
      <c r="CS1049" s="8">
        <f t="shared" si="780"/>
        <v>0</v>
      </c>
      <c r="CT1049" s="8">
        <f t="shared" si="785"/>
        <v>0</v>
      </c>
      <c r="CU1049" s="8">
        <f t="shared" si="786"/>
        <v>0</v>
      </c>
      <c r="CV1049" s="8">
        <f t="shared" si="787"/>
        <v>0</v>
      </c>
    </row>
    <row r="1050" spans="1:100" ht="20.5" thickTop="1" thickBot="1" x14ac:dyDescent="0.5">
      <c r="A1050" s="32"/>
      <c r="B1050" s="10"/>
      <c r="C1050" s="10"/>
      <c r="D1050" s="11"/>
      <c r="E1050" s="10"/>
      <c r="F1050" s="10"/>
      <c r="G1050" s="19"/>
      <c r="H1050" s="19"/>
      <c r="I1050" s="19"/>
      <c r="J1050" s="19"/>
      <c r="K1050" s="10"/>
      <c r="L1050" s="10"/>
      <c r="M1050" s="10"/>
      <c r="N1050" s="10"/>
      <c r="O1050" s="18"/>
      <c r="P1050" s="18"/>
      <c r="Q1050" s="21"/>
      <c r="R1050" s="20"/>
      <c r="S1050" s="16">
        <f t="shared" si="743"/>
        <v>0</v>
      </c>
      <c r="T1050" s="11"/>
      <c r="AS1050" s="31">
        <f t="shared" si="744"/>
        <v>0</v>
      </c>
      <c r="AT1050" s="31">
        <f t="shared" si="745"/>
        <v>0</v>
      </c>
      <c r="AU1050" s="31">
        <f t="shared" si="746"/>
        <v>0</v>
      </c>
      <c r="AV1050" s="31">
        <f t="shared" si="747"/>
        <v>0</v>
      </c>
      <c r="AW1050" s="31">
        <f t="shared" si="748"/>
        <v>0</v>
      </c>
      <c r="AX1050" s="31">
        <f t="shared" si="749"/>
        <v>0</v>
      </c>
      <c r="AY1050" s="31">
        <f t="shared" si="750"/>
        <v>0</v>
      </c>
      <c r="AZ1050" s="31">
        <f t="shared" si="751"/>
        <v>0</v>
      </c>
      <c r="BA1050" s="31">
        <f t="shared" si="752"/>
        <v>0</v>
      </c>
      <c r="BB1050" s="31">
        <f t="shared" si="781"/>
        <v>0</v>
      </c>
      <c r="BM1050" s="8">
        <f t="shared" si="782"/>
        <v>0</v>
      </c>
      <c r="BN1050" s="8">
        <f t="shared" si="753"/>
        <v>0</v>
      </c>
      <c r="BO1050" s="8">
        <f t="shared" si="754"/>
        <v>0</v>
      </c>
      <c r="BQ1050" s="8">
        <f t="shared" si="755"/>
        <v>0</v>
      </c>
      <c r="BR1050" s="63">
        <f t="shared" si="756"/>
        <v>0</v>
      </c>
      <c r="BS1050" s="63">
        <f t="shared" si="783"/>
        <v>0</v>
      </c>
      <c r="BT1050" s="63">
        <f t="shared" si="757"/>
        <v>0</v>
      </c>
      <c r="BU1050" s="63">
        <f t="shared" si="758"/>
        <v>0</v>
      </c>
      <c r="BV1050" s="57">
        <f t="shared" si="759"/>
        <v>0</v>
      </c>
      <c r="BW1050" s="57">
        <f t="shared" si="760"/>
        <v>0</v>
      </c>
      <c r="BX1050" s="57">
        <f t="shared" si="784"/>
        <v>0</v>
      </c>
      <c r="BY1050" s="57">
        <f t="shared" si="742"/>
        <v>0</v>
      </c>
      <c r="BZ1050" s="8">
        <f t="shared" si="761"/>
        <v>0</v>
      </c>
      <c r="CA1050" s="8">
        <f t="shared" si="762"/>
        <v>0</v>
      </c>
      <c r="CB1050" s="8">
        <f t="shared" si="763"/>
        <v>0</v>
      </c>
      <c r="CC1050" s="8">
        <f t="shared" si="764"/>
        <v>0</v>
      </c>
      <c r="CD1050" s="8">
        <f t="shared" si="765"/>
        <v>0</v>
      </c>
      <c r="CE1050" s="8">
        <f t="shared" si="766"/>
        <v>0</v>
      </c>
      <c r="CF1050" s="8">
        <f t="shared" si="767"/>
        <v>0</v>
      </c>
      <c r="CG1050" s="8">
        <f t="shared" si="768"/>
        <v>0</v>
      </c>
      <c r="CH1050" s="8">
        <f t="shared" si="769"/>
        <v>0</v>
      </c>
      <c r="CI1050" s="8">
        <f t="shared" si="770"/>
        <v>0</v>
      </c>
      <c r="CJ1050" s="8">
        <f t="shared" si="771"/>
        <v>0</v>
      </c>
      <c r="CK1050" s="8">
        <f t="shared" si="772"/>
        <v>0</v>
      </c>
      <c r="CL1050" s="8">
        <f t="shared" si="773"/>
        <v>0</v>
      </c>
      <c r="CM1050" s="8">
        <f t="shared" si="774"/>
        <v>0</v>
      </c>
      <c r="CN1050" s="8">
        <f t="shared" si="775"/>
        <v>0</v>
      </c>
      <c r="CO1050" s="8">
        <f t="shared" si="776"/>
        <v>0</v>
      </c>
      <c r="CP1050" s="8">
        <f t="shared" si="777"/>
        <v>0</v>
      </c>
      <c r="CQ1050" s="8">
        <f t="shared" si="778"/>
        <v>0</v>
      </c>
      <c r="CR1050" s="8">
        <f t="shared" si="779"/>
        <v>0</v>
      </c>
      <c r="CS1050" s="8">
        <f t="shared" si="780"/>
        <v>0</v>
      </c>
      <c r="CT1050" s="8">
        <f t="shared" si="785"/>
        <v>0</v>
      </c>
      <c r="CU1050" s="8">
        <f t="shared" si="786"/>
        <v>0</v>
      </c>
      <c r="CV1050" s="8">
        <f t="shared" si="787"/>
        <v>0</v>
      </c>
    </row>
    <row r="1051" spans="1:100" ht="20.5" thickTop="1" thickBot="1" x14ac:dyDescent="0.5">
      <c r="A1051" s="32"/>
      <c r="B1051" s="10"/>
      <c r="C1051" s="10"/>
      <c r="D1051" s="11"/>
      <c r="E1051" s="10"/>
      <c r="F1051" s="10"/>
      <c r="G1051" s="19"/>
      <c r="H1051" s="19"/>
      <c r="I1051" s="19"/>
      <c r="J1051" s="19"/>
      <c r="K1051" s="10"/>
      <c r="L1051" s="10"/>
      <c r="M1051" s="10"/>
      <c r="N1051" s="10"/>
      <c r="O1051" s="18"/>
      <c r="P1051" s="18"/>
      <c r="Q1051" s="21"/>
      <c r="R1051" s="20"/>
      <c r="S1051" s="16">
        <f t="shared" si="743"/>
        <v>0</v>
      </c>
      <c r="T1051" s="11"/>
      <c r="AS1051" s="31">
        <f t="shared" si="744"/>
        <v>0</v>
      </c>
      <c r="AT1051" s="31">
        <f t="shared" si="745"/>
        <v>0</v>
      </c>
      <c r="AU1051" s="31">
        <f t="shared" si="746"/>
        <v>0</v>
      </c>
      <c r="AV1051" s="31">
        <f t="shared" si="747"/>
        <v>0</v>
      </c>
      <c r="AW1051" s="31">
        <f t="shared" si="748"/>
        <v>0</v>
      </c>
      <c r="AX1051" s="31">
        <f t="shared" si="749"/>
        <v>0</v>
      </c>
      <c r="AY1051" s="31">
        <f t="shared" si="750"/>
        <v>0</v>
      </c>
      <c r="AZ1051" s="31">
        <f t="shared" si="751"/>
        <v>0</v>
      </c>
      <c r="BA1051" s="31">
        <f t="shared" si="752"/>
        <v>0</v>
      </c>
      <c r="BB1051" s="31">
        <f t="shared" si="781"/>
        <v>0</v>
      </c>
      <c r="BM1051" s="8">
        <f t="shared" si="782"/>
        <v>0</v>
      </c>
      <c r="BN1051" s="8">
        <f t="shared" si="753"/>
        <v>0</v>
      </c>
      <c r="BO1051" s="8">
        <f t="shared" si="754"/>
        <v>0</v>
      </c>
      <c r="BQ1051" s="8">
        <f t="shared" si="755"/>
        <v>0</v>
      </c>
      <c r="BR1051" s="63">
        <f t="shared" si="756"/>
        <v>0</v>
      </c>
      <c r="BS1051" s="63">
        <f t="shared" si="783"/>
        <v>0</v>
      </c>
      <c r="BT1051" s="63">
        <f t="shared" si="757"/>
        <v>0</v>
      </c>
      <c r="BU1051" s="63">
        <f t="shared" si="758"/>
        <v>0</v>
      </c>
      <c r="BV1051" s="57">
        <f t="shared" si="759"/>
        <v>0</v>
      </c>
      <c r="BW1051" s="57">
        <f t="shared" si="760"/>
        <v>0</v>
      </c>
      <c r="BX1051" s="57">
        <f t="shared" si="784"/>
        <v>0</v>
      </c>
      <c r="BY1051" s="57">
        <f t="shared" si="742"/>
        <v>0</v>
      </c>
      <c r="BZ1051" s="8">
        <f t="shared" si="761"/>
        <v>0</v>
      </c>
      <c r="CA1051" s="8">
        <f t="shared" si="762"/>
        <v>0</v>
      </c>
      <c r="CB1051" s="8">
        <f t="shared" si="763"/>
        <v>0</v>
      </c>
      <c r="CC1051" s="8">
        <f t="shared" si="764"/>
        <v>0</v>
      </c>
      <c r="CD1051" s="8">
        <f t="shared" si="765"/>
        <v>0</v>
      </c>
      <c r="CE1051" s="8">
        <f t="shared" si="766"/>
        <v>0</v>
      </c>
      <c r="CF1051" s="8">
        <f t="shared" si="767"/>
        <v>0</v>
      </c>
      <c r="CG1051" s="8">
        <f t="shared" si="768"/>
        <v>0</v>
      </c>
      <c r="CH1051" s="8">
        <f t="shared" si="769"/>
        <v>0</v>
      </c>
      <c r="CI1051" s="8">
        <f t="shared" si="770"/>
        <v>0</v>
      </c>
      <c r="CJ1051" s="8">
        <f t="shared" si="771"/>
        <v>0</v>
      </c>
      <c r="CK1051" s="8">
        <f t="shared" si="772"/>
        <v>0</v>
      </c>
      <c r="CL1051" s="8">
        <f t="shared" si="773"/>
        <v>0</v>
      </c>
      <c r="CM1051" s="8">
        <f t="shared" si="774"/>
        <v>0</v>
      </c>
      <c r="CN1051" s="8">
        <f t="shared" si="775"/>
        <v>0</v>
      </c>
      <c r="CO1051" s="8">
        <f t="shared" si="776"/>
        <v>0</v>
      </c>
      <c r="CP1051" s="8">
        <f t="shared" si="777"/>
        <v>0</v>
      </c>
      <c r="CQ1051" s="8">
        <f t="shared" si="778"/>
        <v>0</v>
      </c>
      <c r="CR1051" s="8">
        <f t="shared" si="779"/>
        <v>0</v>
      </c>
      <c r="CS1051" s="8">
        <f t="shared" si="780"/>
        <v>0</v>
      </c>
      <c r="CT1051" s="8">
        <f t="shared" si="785"/>
        <v>0</v>
      </c>
      <c r="CU1051" s="8">
        <f t="shared" si="786"/>
        <v>0</v>
      </c>
      <c r="CV1051" s="8">
        <f t="shared" si="787"/>
        <v>0</v>
      </c>
    </row>
    <row r="1052" spans="1:100" ht="20.5" thickTop="1" thickBot="1" x14ac:dyDescent="0.5">
      <c r="A1052" s="32"/>
      <c r="B1052" s="10"/>
      <c r="C1052" s="10"/>
      <c r="D1052" s="11"/>
      <c r="E1052" s="10"/>
      <c r="F1052" s="10"/>
      <c r="G1052" s="19"/>
      <c r="H1052" s="19"/>
      <c r="I1052" s="19"/>
      <c r="J1052" s="19"/>
      <c r="K1052" s="10"/>
      <c r="L1052" s="10"/>
      <c r="M1052" s="10"/>
      <c r="N1052" s="10"/>
      <c r="O1052" s="18"/>
      <c r="P1052" s="18"/>
      <c r="Q1052" s="21"/>
      <c r="R1052" s="20"/>
      <c r="S1052" s="16">
        <f t="shared" si="743"/>
        <v>0</v>
      </c>
      <c r="T1052" s="11"/>
      <c r="AS1052" s="31">
        <f t="shared" si="744"/>
        <v>0</v>
      </c>
      <c r="AT1052" s="31">
        <f t="shared" si="745"/>
        <v>0</v>
      </c>
      <c r="AU1052" s="31">
        <f t="shared" si="746"/>
        <v>0</v>
      </c>
      <c r="AV1052" s="31">
        <f t="shared" si="747"/>
        <v>0</v>
      </c>
      <c r="AW1052" s="31">
        <f t="shared" si="748"/>
        <v>0</v>
      </c>
      <c r="AX1052" s="31">
        <f t="shared" si="749"/>
        <v>0</v>
      </c>
      <c r="AY1052" s="31">
        <f t="shared" si="750"/>
        <v>0</v>
      </c>
      <c r="AZ1052" s="31">
        <f t="shared" si="751"/>
        <v>0</v>
      </c>
      <c r="BA1052" s="31">
        <f t="shared" si="752"/>
        <v>0</v>
      </c>
      <c r="BB1052" s="31">
        <f t="shared" si="781"/>
        <v>0</v>
      </c>
      <c r="BM1052" s="8">
        <f t="shared" si="782"/>
        <v>0</v>
      </c>
      <c r="BN1052" s="8">
        <f t="shared" si="753"/>
        <v>0</v>
      </c>
      <c r="BO1052" s="8">
        <f t="shared" si="754"/>
        <v>0</v>
      </c>
      <c r="BQ1052" s="8">
        <f t="shared" si="755"/>
        <v>0</v>
      </c>
      <c r="BR1052" s="63">
        <f t="shared" si="756"/>
        <v>0</v>
      </c>
      <c r="BS1052" s="63">
        <f t="shared" si="783"/>
        <v>0</v>
      </c>
      <c r="BT1052" s="63">
        <f t="shared" si="757"/>
        <v>0</v>
      </c>
      <c r="BU1052" s="63">
        <f t="shared" si="758"/>
        <v>0</v>
      </c>
      <c r="BV1052" s="57">
        <f t="shared" si="759"/>
        <v>0</v>
      </c>
      <c r="BW1052" s="57">
        <f t="shared" si="760"/>
        <v>0</v>
      </c>
      <c r="BX1052" s="57">
        <f t="shared" si="784"/>
        <v>0</v>
      </c>
      <c r="BY1052" s="57">
        <f t="shared" si="742"/>
        <v>0</v>
      </c>
      <c r="BZ1052" s="8">
        <f t="shared" si="761"/>
        <v>0</v>
      </c>
      <c r="CA1052" s="8">
        <f t="shared" si="762"/>
        <v>0</v>
      </c>
      <c r="CB1052" s="8">
        <f t="shared" si="763"/>
        <v>0</v>
      </c>
      <c r="CC1052" s="8">
        <f t="shared" si="764"/>
        <v>0</v>
      </c>
      <c r="CD1052" s="8">
        <f t="shared" si="765"/>
        <v>0</v>
      </c>
      <c r="CE1052" s="8">
        <f t="shared" si="766"/>
        <v>0</v>
      </c>
      <c r="CF1052" s="8">
        <f t="shared" si="767"/>
        <v>0</v>
      </c>
      <c r="CG1052" s="8">
        <f t="shared" si="768"/>
        <v>0</v>
      </c>
      <c r="CH1052" s="8">
        <f t="shared" si="769"/>
        <v>0</v>
      </c>
      <c r="CI1052" s="8">
        <f t="shared" si="770"/>
        <v>0</v>
      </c>
      <c r="CJ1052" s="8">
        <f t="shared" si="771"/>
        <v>0</v>
      </c>
      <c r="CK1052" s="8">
        <f t="shared" si="772"/>
        <v>0</v>
      </c>
      <c r="CL1052" s="8">
        <f t="shared" si="773"/>
        <v>0</v>
      </c>
      <c r="CM1052" s="8">
        <f t="shared" si="774"/>
        <v>0</v>
      </c>
      <c r="CN1052" s="8">
        <f t="shared" si="775"/>
        <v>0</v>
      </c>
      <c r="CO1052" s="8">
        <f t="shared" si="776"/>
        <v>0</v>
      </c>
      <c r="CP1052" s="8">
        <f t="shared" si="777"/>
        <v>0</v>
      </c>
      <c r="CQ1052" s="8">
        <f t="shared" si="778"/>
        <v>0</v>
      </c>
      <c r="CR1052" s="8">
        <f t="shared" si="779"/>
        <v>0</v>
      </c>
      <c r="CS1052" s="8">
        <f t="shared" si="780"/>
        <v>0</v>
      </c>
      <c r="CT1052" s="8">
        <f t="shared" si="785"/>
        <v>0</v>
      </c>
      <c r="CU1052" s="8">
        <f t="shared" si="786"/>
        <v>0</v>
      </c>
      <c r="CV1052" s="8">
        <f t="shared" si="787"/>
        <v>0</v>
      </c>
    </row>
    <row r="1053" spans="1:100" ht="20.5" thickTop="1" thickBot="1" x14ac:dyDescent="0.5">
      <c r="A1053" s="32"/>
      <c r="B1053" s="10"/>
      <c r="C1053" s="10"/>
      <c r="D1053" s="11"/>
      <c r="E1053" s="10"/>
      <c r="F1053" s="10"/>
      <c r="G1053" s="19"/>
      <c r="H1053" s="19"/>
      <c r="I1053" s="19"/>
      <c r="J1053" s="19"/>
      <c r="K1053" s="10"/>
      <c r="L1053" s="10"/>
      <c r="M1053" s="10"/>
      <c r="N1053" s="10"/>
      <c r="O1053" s="18"/>
      <c r="P1053" s="18"/>
      <c r="Q1053" s="21"/>
      <c r="R1053" s="20"/>
      <c r="S1053" s="16">
        <f t="shared" si="743"/>
        <v>0</v>
      </c>
      <c r="T1053" s="11"/>
      <c r="AS1053" s="31">
        <f t="shared" si="744"/>
        <v>0</v>
      </c>
      <c r="AT1053" s="31">
        <f t="shared" si="745"/>
        <v>0</v>
      </c>
      <c r="AU1053" s="31">
        <f t="shared" si="746"/>
        <v>0</v>
      </c>
      <c r="AV1053" s="31">
        <f t="shared" si="747"/>
        <v>0</v>
      </c>
      <c r="AW1053" s="31">
        <f t="shared" si="748"/>
        <v>0</v>
      </c>
      <c r="AX1053" s="31">
        <f t="shared" si="749"/>
        <v>0</v>
      </c>
      <c r="AY1053" s="31">
        <f t="shared" si="750"/>
        <v>0</v>
      </c>
      <c r="AZ1053" s="31">
        <f t="shared" si="751"/>
        <v>0</v>
      </c>
      <c r="BA1053" s="31">
        <f t="shared" si="752"/>
        <v>0</v>
      </c>
      <c r="BB1053" s="31">
        <f t="shared" si="781"/>
        <v>0</v>
      </c>
      <c r="BM1053" s="8">
        <f t="shared" si="782"/>
        <v>0</v>
      </c>
      <c r="BN1053" s="8">
        <f t="shared" si="753"/>
        <v>0</v>
      </c>
      <c r="BO1053" s="8">
        <f t="shared" si="754"/>
        <v>0</v>
      </c>
      <c r="BQ1053" s="8">
        <f t="shared" si="755"/>
        <v>0</v>
      </c>
      <c r="BR1053" s="63">
        <f t="shared" si="756"/>
        <v>0</v>
      </c>
      <c r="BS1053" s="63">
        <f t="shared" si="783"/>
        <v>0</v>
      </c>
      <c r="BT1053" s="63">
        <f t="shared" si="757"/>
        <v>0</v>
      </c>
      <c r="BU1053" s="63">
        <f t="shared" si="758"/>
        <v>0</v>
      </c>
      <c r="BV1053" s="57">
        <f t="shared" si="759"/>
        <v>0</v>
      </c>
      <c r="BW1053" s="57">
        <f t="shared" si="760"/>
        <v>0</v>
      </c>
      <c r="BX1053" s="57">
        <f t="shared" si="784"/>
        <v>0</v>
      </c>
      <c r="BY1053" s="57">
        <f t="shared" ref="BY1053:BY1116" si="788">IF(AND(OR(N1053="YES",N1053="HDD",N1053="EX PIPES"),K1053=""),D1053*(F1053+G1053),0)</f>
        <v>0</v>
      </c>
      <c r="BZ1053" s="8">
        <f t="shared" si="761"/>
        <v>0</v>
      </c>
      <c r="CA1053" s="8">
        <f t="shared" si="762"/>
        <v>0</v>
      </c>
      <c r="CB1053" s="8">
        <f t="shared" si="763"/>
        <v>0</v>
      </c>
      <c r="CC1053" s="8">
        <f t="shared" si="764"/>
        <v>0</v>
      </c>
      <c r="CD1053" s="8">
        <f t="shared" si="765"/>
        <v>0</v>
      </c>
      <c r="CE1053" s="8">
        <f t="shared" si="766"/>
        <v>0</v>
      </c>
      <c r="CF1053" s="8">
        <f t="shared" si="767"/>
        <v>0</v>
      </c>
      <c r="CG1053" s="8">
        <f t="shared" si="768"/>
        <v>0</v>
      </c>
      <c r="CH1053" s="8">
        <f t="shared" si="769"/>
        <v>0</v>
      </c>
      <c r="CI1053" s="8">
        <f t="shared" si="770"/>
        <v>0</v>
      </c>
      <c r="CJ1053" s="8">
        <f t="shared" si="771"/>
        <v>0</v>
      </c>
      <c r="CK1053" s="8">
        <f t="shared" si="772"/>
        <v>0</v>
      </c>
      <c r="CL1053" s="8">
        <f t="shared" si="773"/>
        <v>0</v>
      </c>
      <c r="CM1053" s="8">
        <f t="shared" si="774"/>
        <v>0</v>
      </c>
      <c r="CN1053" s="8">
        <f t="shared" si="775"/>
        <v>0</v>
      </c>
      <c r="CO1053" s="8">
        <f t="shared" si="776"/>
        <v>0</v>
      </c>
      <c r="CP1053" s="8">
        <f t="shared" si="777"/>
        <v>0</v>
      </c>
      <c r="CQ1053" s="8">
        <f t="shared" si="778"/>
        <v>0</v>
      </c>
      <c r="CR1053" s="8">
        <f t="shared" si="779"/>
        <v>0</v>
      </c>
      <c r="CS1053" s="8">
        <f t="shared" si="780"/>
        <v>0</v>
      </c>
      <c r="CT1053" s="8">
        <f t="shared" si="785"/>
        <v>0</v>
      </c>
      <c r="CU1053" s="8">
        <f t="shared" si="786"/>
        <v>0</v>
      </c>
      <c r="CV1053" s="8">
        <f t="shared" si="787"/>
        <v>0</v>
      </c>
    </row>
    <row r="1054" spans="1:100" ht="20.5" thickTop="1" thickBot="1" x14ac:dyDescent="0.5">
      <c r="A1054" s="32"/>
      <c r="B1054" s="10"/>
      <c r="C1054" s="10"/>
      <c r="D1054" s="11"/>
      <c r="E1054" s="10"/>
      <c r="F1054" s="10"/>
      <c r="G1054" s="19"/>
      <c r="H1054" s="19"/>
      <c r="I1054" s="19"/>
      <c r="J1054" s="19"/>
      <c r="K1054" s="10"/>
      <c r="L1054" s="10"/>
      <c r="M1054" s="10"/>
      <c r="N1054" s="10"/>
      <c r="O1054" s="18"/>
      <c r="P1054" s="18"/>
      <c r="Q1054" s="21"/>
      <c r="R1054" s="20"/>
      <c r="S1054" s="16">
        <f t="shared" si="743"/>
        <v>0</v>
      </c>
      <c r="T1054" s="11"/>
      <c r="AS1054" s="31">
        <f t="shared" si="744"/>
        <v>0</v>
      </c>
      <c r="AT1054" s="31">
        <f t="shared" si="745"/>
        <v>0</v>
      </c>
      <c r="AU1054" s="31">
        <f t="shared" si="746"/>
        <v>0</v>
      </c>
      <c r="AV1054" s="31">
        <f t="shared" si="747"/>
        <v>0</v>
      </c>
      <c r="AW1054" s="31">
        <f t="shared" si="748"/>
        <v>0</v>
      </c>
      <c r="AX1054" s="31">
        <f t="shared" si="749"/>
        <v>0</v>
      </c>
      <c r="AY1054" s="31">
        <f t="shared" si="750"/>
        <v>0</v>
      </c>
      <c r="AZ1054" s="31">
        <f t="shared" si="751"/>
        <v>0</v>
      </c>
      <c r="BA1054" s="31">
        <f t="shared" si="752"/>
        <v>0</v>
      </c>
      <c r="BB1054" s="31">
        <f t="shared" si="781"/>
        <v>0</v>
      </c>
      <c r="BM1054" s="8">
        <f t="shared" si="782"/>
        <v>0</v>
      </c>
      <c r="BN1054" s="8">
        <f t="shared" si="753"/>
        <v>0</v>
      </c>
      <c r="BO1054" s="8">
        <f t="shared" si="754"/>
        <v>0</v>
      </c>
      <c r="BQ1054" s="8">
        <f t="shared" si="755"/>
        <v>0</v>
      </c>
      <c r="BR1054" s="63">
        <f t="shared" si="756"/>
        <v>0</v>
      </c>
      <c r="BS1054" s="63">
        <f t="shared" si="783"/>
        <v>0</v>
      </c>
      <c r="BT1054" s="63">
        <f t="shared" si="757"/>
        <v>0</v>
      </c>
      <c r="BU1054" s="63">
        <f t="shared" si="758"/>
        <v>0</v>
      </c>
      <c r="BV1054" s="57">
        <f t="shared" si="759"/>
        <v>0</v>
      </c>
      <c r="BW1054" s="57">
        <f t="shared" si="760"/>
        <v>0</v>
      </c>
      <c r="BX1054" s="57">
        <f t="shared" si="784"/>
        <v>0</v>
      </c>
      <c r="BY1054" s="57">
        <f t="shared" si="788"/>
        <v>0</v>
      </c>
      <c r="BZ1054" s="8">
        <f t="shared" si="761"/>
        <v>0</v>
      </c>
      <c r="CA1054" s="8">
        <f t="shared" si="762"/>
        <v>0</v>
      </c>
      <c r="CB1054" s="8">
        <f t="shared" si="763"/>
        <v>0</v>
      </c>
      <c r="CC1054" s="8">
        <f t="shared" si="764"/>
        <v>0</v>
      </c>
      <c r="CD1054" s="8">
        <f t="shared" si="765"/>
        <v>0</v>
      </c>
      <c r="CE1054" s="8">
        <f t="shared" si="766"/>
        <v>0</v>
      </c>
      <c r="CF1054" s="8">
        <f t="shared" si="767"/>
        <v>0</v>
      </c>
      <c r="CG1054" s="8">
        <f t="shared" si="768"/>
        <v>0</v>
      </c>
      <c r="CH1054" s="8">
        <f t="shared" si="769"/>
        <v>0</v>
      </c>
      <c r="CI1054" s="8">
        <f t="shared" si="770"/>
        <v>0</v>
      </c>
      <c r="CJ1054" s="8">
        <f t="shared" si="771"/>
        <v>0</v>
      </c>
      <c r="CK1054" s="8">
        <f t="shared" si="772"/>
        <v>0</v>
      </c>
      <c r="CL1054" s="8">
        <f t="shared" si="773"/>
        <v>0</v>
      </c>
      <c r="CM1054" s="8">
        <f t="shared" si="774"/>
        <v>0</v>
      </c>
      <c r="CN1054" s="8">
        <f t="shared" si="775"/>
        <v>0</v>
      </c>
      <c r="CO1054" s="8">
        <f t="shared" si="776"/>
        <v>0</v>
      </c>
      <c r="CP1054" s="8">
        <f t="shared" si="777"/>
        <v>0</v>
      </c>
      <c r="CQ1054" s="8">
        <f t="shared" si="778"/>
        <v>0</v>
      </c>
      <c r="CR1054" s="8">
        <f t="shared" si="779"/>
        <v>0</v>
      </c>
      <c r="CS1054" s="8">
        <f t="shared" si="780"/>
        <v>0</v>
      </c>
      <c r="CT1054" s="8">
        <f t="shared" si="785"/>
        <v>0</v>
      </c>
      <c r="CU1054" s="8">
        <f t="shared" si="786"/>
        <v>0</v>
      </c>
      <c r="CV1054" s="8">
        <f t="shared" si="787"/>
        <v>0</v>
      </c>
    </row>
    <row r="1055" spans="1:100" ht="20.5" thickTop="1" thickBot="1" x14ac:dyDescent="0.5">
      <c r="A1055" s="32"/>
      <c r="B1055" s="10"/>
      <c r="C1055" s="10"/>
      <c r="D1055" s="11"/>
      <c r="E1055" s="10"/>
      <c r="F1055" s="10"/>
      <c r="G1055" s="19"/>
      <c r="H1055" s="19"/>
      <c r="I1055" s="19"/>
      <c r="J1055" s="19"/>
      <c r="K1055" s="10"/>
      <c r="L1055" s="10"/>
      <c r="M1055" s="10"/>
      <c r="N1055" s="10"/>
      <c r="O1055" s="18"/>
      <c r="P1055" s="18"/>
      <c r="Q1055" s="21"/>
      <c r="R1055" s="20"/>
      <c r="S1055" s="16">
        <f t="shared" si="743"/>
        <v>0</v>
      </c>
      <c r="T1055" s="11"/>
      <c r="AS1055" s="31">
        <f t="shared" si="744"/>
        <v>0</v>
      </c>
      <c r="AT1055" s="31">
        <f t="shared" si="745"/>
        <v>0</v>
      </c>
      <c r="AU1055" s="31">
        <f t="shared" si="746"/>
        <v>0</v>
      </c>
      <c r="AV1055" s="31">
        <f t="shared" si="747"/>
        <v>0</v>
      </c>
      <c r="AW1055" s="31">
        <f t="shared" si="748"/>
        <v>0</v>
      </c>
      <c r="AX1055" s="31">
        <f t="shared" si="749"/>
        <v>0</v>
      </c>
      <c r="AY1055" s="31">
        <f t="shared" si="750"/>
        <v>0</v>
      </c>
      <c r="AZ1055" s="31">
        <f t="shared" si="751"/>
        <v>0</v>
      </c>
      <c r="BA1055" s="31">
        <f t="shared" si="752"/>
        <v>0</v>
      </c>
      <c r="BB1055" s="31">
        <f t="shared" si="781"/>
        <v>0</v>
      </c>
      <c r="BM1055" s="8">
        <f t="shared" si="782"/>
        <v>0</v>
      </c>
      <c r="BN1055" s="8">
        <f t="shared" si="753"/>
        <v>0</v>
      </c>
      <c r="BO1055" s="8">
        <f t="shared" si="754"/>
        <v>0</v>
      </c>
      <c r="BQ1055" s="8">
        <f t="shared" si="755"/>
        <v>0</v>
      </c>
      <c r="BR1055" s="63">
        <f t="shared" si="756"/>
        <v>0</v>
      </c>
      <c r="BS1055" s="63">
        <f t="shared" si="783"/>
        <v>0</v>
      </c>
      <c r="BT1055" s="63">
        <f t="shared" si="757"/>
        <v>0</v>
      </c>
      <c r="BU1055" s="63">
        <f t="shared" si="758"/>
        <v>0</v>
      </c>
      <c r="BV1055" s="57">
        <f t="shared" si="759"/>
        <v>0</v>
      </c>
      <c r="BW1055" s="57">
        <f t="shared" si="760"/>
        <v>0</v>
      </c>
      <c r="BX1055" s="57">
        <f t="shared" si="784"/>
        <v>0</v>
      </c>
      <c r="BY1055" s="57">
        <f t="shared" si="788"/>
        <v>0</v>
      </c>
      <c r="BZ1055" s="8">
        <f t="shared" si="761"/>
        <v>0</v>
      </c>
      <c r="CA1055" s="8">
        <f t="shared" si="762"/>
        <v>0</v>
      </c>
      <c r="CB1055" s="8">
        <f t="shared" si="763"/>
        <v>0</v>
      </c>
      <c r="CC1055" s="8">
        <f t="shared" si="764"/>
        <v>0</v>
      </c>
      <c r="CD1055" s="8">
        <f t="shared" si="765"/>
        <v>0</v>
      </c>
      <c r="CE1055" s="8">
        <f t="shared" si="766"/>
        <v>0</v>
      </c>
      <c r="CF1055" s="8">
        <f t="shared" si="767"/>
        <v>0</v>
      </c>
      <c r="CG1055" s="8">
        <f t="shared" si="768"/>
        <v>0</v>
      </c>
      <c r="CH1055" s="8">
        <f t="shared" si="769"/>
        <v>0</v>
      </c>
      <c r="CI1055" s="8">
        <f t="shared" si="770"/>
        <v>0</v>
      </c>
      <c r="CJ1055" s="8">
        <f t="shared" si="771"/>
        <v>0</v>
      </c>
      <c r="CK1055" s="8">
        <f t="shared" si="772"/>
        <v>0</v>
      </c>
      <c r="CL1055" s="8">
        <f t="shared" si="773"/>
        <v>0</v>
      </c>
      <c r="CM1055" s="8">
        <f t="shared" si="774"/>
        <v>0</v>
      </c>
      <c r="CN1055" s="8">
        <f t="shared" si="775"/>
        <v>0</v>
      </c>
      <c r="CO1055" s="8">
        <f t="shared" si="776"/>
        <v>0</v>
      </c>
      <c r="CP1055" s="8">
        <f t="shared" si="777"/>
        <v>0</v>
      </c>
      <c r="CQ1055" s="8">
        <f t="shared" si="778"/>
        <v>0</v>
      </c>
      <c r="CR1055" s="8">
        <f t="shared" si="779"/>
        <v>0</v>
      </c>
      <c r="CS1055" s="8">
        <f t="shared" si="780"/>
        <v>0</v>
      </c>
      <c r="CT1055" s="8">
        <f t="shared" si="785"/>
        <v>0</v>
      </c>
      <c r="CU1055" s="8">
        <f t="shared" si="786"/>
        <v>0</v>
      </c>
      <c r="CV1055" s="8">
        <f t="shared" si="787"/>
        <v>0</v>
      </c>
    </row>
    <row r="1056" spans="1:100" ht="20.5" thickTop="1" thickBot="1" x14ac:dyDescent="0.5">
      <c r="A1056" s="32"/>
      <c r="B1056" s="10"/>
      <c r="C1056" s="10"/>
      <c r="D1056" s="11"/>
      <c r="E1056" s="10"/>
      <c r="F1056" s="10"/>
      <c r="G1056" s="19"/>
      <c r="H1056" s="19"/>
      <c r="I1056" s="19"/>
      <c r="J1056" s="19"/>
      <c r="K1056" s="10"/>
      <c r="L1056" s="10"/>
      <c r="M1056" s="10"/>
      <c r="N1056" s="10"/>
      <c r="O1056" s="18"/>
      <c r="P1056" s="18"/>
      <c r="Q1056" s="21"/>
      <c r="R1056" s="20"/>
      <c r="S1056" s="16">
        <f t="shared" si="743"/>
        <v>0</v>
      </c>
      <c r="T1056" s="11"/>
      <c r="AS1056" s="31">
        <f t="shared" si="744"/>
        <v>0</v>
      </c>
      <c r="AT1056" s="31">
        <f t="shared" si="745"/>
        <v>0</v>
      </c>
      <c r="AU1056" s="31">
        <f t="shared" si="746"/>
        <v>0</v>
      </c>
      <c r="AV1056" s="31">
        <f t="shared" si="747"/>
        <v>0</v>
      </c>
      <c r="AW1056" s="31">
        <f t="shared" si="748"/>
        <v>0</v>
      </c>
      <c r="AX1056" s="31">
        <f t="shared" si="749"/>
        <v>0</v>
      </c>
      <c r="AY1056" s="31">
        <f t="shared" si="750"/>
        <v>0</v>
      </c>
      <c r="AZ1056" s="31">
        <f t="shared" si="751"/>
        <v>0</v>
      </c>
      <c r="BA1056" s="31">
        <f t="shared" si="752"/>
        <v>0</v>
      </c>
      <c r="BB1056" s="31">
        <f t="shared" si="781"/>
        <v>0</v>
      </c>
      <c r="BM1056" s="8">
        <f t="shared" si="782"/>
        <v>0</v>
      </c>
      <c r="BN1056" s="8">
        <f t="shared" si="753"/>
        <v>0</v>
      </c>
      <c r="BO1056" s="8">
        <f t="shared" si="754"/>
        <v>0</v>
      </c>
      <c r="BQ1056" s="8">
        <f t="shared" si="755"/>
        <v>0</v>
      </c>
      <c r="BR1056" s="63">
        <f t="shared" si="756"/>
        <v>0</v>
      </c>
      <c r="BS1056" s="63">
        <f t="shared" si="783"/>
        <v>0</v>
      </c>
      <c r="BT1056" s="63">
        <f t="shared" si="757"/>
        <v>0</v>
      </c>
      <c r="BU1056" s="63">
        <f t="shared" si="758"/>
        <v>0</v>
      </c>
      <c r="BV1056" s="57">
        <f t="shared" si="759"/>
        <v>0</v>
      </c>
      <c r="BW1056" s="57">
        <f t="shared" si="760"/>
        <v>0</v>
      </c>
      <c r="BX1056" s="57">
        <f t="shared" si="784"/>
        <v>0</v>
      </c>
      <c r="BY1056" s="57">
        <f t="shared" si="788"/>
        <v>0</v>
      </c>
      <c r="BZ1056" s="8">
        <f t="shared" si="761"/>
        <v>0</v>
      </c>
      <c r="CA1056" s="8">
        <f t="shared" si="762"/>
        <v>0</v>
      </c>
      <c r="CB1056" s="8">
        <f t="shared" si="763"/>
        <v>0</v>
      </c>
      <c r="CC1056" s="8">
        <f t="shared" si="764"/>
        <v>0</v>
      </c>
      <c r="CD1056" s="8">
        <f t="shared" si="765"/>
        <v>0</v>
      </c>
      <c r="CE1056" s="8">
        <f t="shared" si="766"/>
        <v>0</v>
      </c>
      <c r="CF1056" s="8">
        <f t="shared" si="767"/>
        <v>0</v>
      </c>
      <c r="CG1056" s="8">
        <f t="shared" si="768"/>
        <v>0</v>
      </c>
      <c r="CH1056" s="8">
        <f t="shared" si="769"/>
        <v>0</v>
      </c>
      <c r="CI1056" s="8">
        <f t="shared" si="770"/>
        <v>0</v>
      </c>
      <c r="CJ1056" s="8">
        <f t="shared" si="771"/>
        <v>0</v>
      </c>
      <c r="CK1056" s="8">
        <f t="shared" si="772"/>
        <v>0</v>
      </c>
      <c r="CL1056" s="8">
        <f t="shared" si="773"/>
        <v>0</v>
      </c>
      <c r="CM1056" s="8">
        <f t="shared" si="774"/>
        <v>0</v>
      </c>
      <c r="CN1056" s="8">
        <f t="shared" si="775"/>
        <v>0</v>
      </c>
      <c r="CO1056" s="8">
        <f t="shared" si="776"/>
        <v>0</v>
      </c>
      <c r="CP1056" s="8">
        <f t="shared" si="777"/>
        <v>0</v>
      </c>
      <c r="CQ1056" s="8">
        <f t="shared" si="778"/>
        <v>0</v>
      </c>
      <c r="CR1056" s="8">
        <f t="shared" si="779"/>
        <v>0</v>
      </c>
      <c r="CS1056" s="8">
        <f t="shared" si="780"/>
        <v>0</v>
      </c>
      <c r="CT1056" s="8">
        <f t="shared" si="785"/>
        <v>0</v>
      </c>
      <c r="CU1056" s="8">
        <f t="shared" si="786"/>
        <v>0</v>
      </c>
      <c r="CV1056" s="8">
        <f t="shared" si="787"/>
        <v>0</v>
      </c>
    </row>
    <row r="1057" spans="1:100" ht="20.5" thickTop="1" thickBot="1" x14ac:dyDescent="0.5">
      <c r="A1057" s="32"/>
      <c r="B1057" s="10"/>
      <c r="C1057" s="10"/>
      <c r="D1057" s="11"/>
      <c r="E1057" s="10"/>
      <c r="F1057" s="10"/>
      <c r="G1057" s="19"/>
      <c r="H1057" s="19"/>
      <c r="I1057" s="19"/>
      <c r="J1057" s="19"/>
      <c r="K1057" s="10"/>
      <c r="L1057" s="10"/>
      <c r="M1057" s="10"/>
      <c r="N1057" s="10"/>
      <c r="O1057" s="18"/>
      <c r="P1057" s="18"/>
      <c r="Q1057" s="21"/>
      <c r="R1057" s="20"/>
      <c r="S1057" s="16">
        <f t="shared" si="743"/>
        <v>0</v>
      </c>
      <c r="T1057" s="11"/>
      <c r="AS1057" s="31">
        <f t="shared" si="744"/>
        <v>0</v>
      </c>
      <c r="AT1057" s="31">
        <f t="shared" si="745"/>
        <v>0</v>
      </c>
      <c r="AU1057" s="31">
        <f t="shared" si="746"/>
        <v>0</v>
      </c>
      <c r="AV1057" s="31">
        <f t="shared" si="747"/>
        <v>0</v>
      </c>
      <c r="AW1057" s="31">
        <f t="shared" si="748"/>
        <v>0</v>
      </c>
      <c r="AX1057" s="31">
        <f t="shared" si="749"/>
        <v>0</v>
      </c>
      <c r="AY1057" s="31">
        <f t="shared" si="750"/>
        <v>0</v>
      </c>
      <c r="AZ1057" s="31">
        <f t="shared" si="751"/>
        <v>0</v>
      </c>
      <c r="BA1057" s="31">
        <f t="shared" si="752"/>
        <v>0</v>
      </c>
      <c r="BB1057" s="31">
        <f t="shared" si="781"/>
        <v>0</v>
      </c>
      <c r="BM1057" s="8">
        <f t="shared" si="782"/>
        <v>0</v>
      </c>
      <c r="BN1057" s="8">
        <f t="shared" si="753"/>
        <v>0</v>
      </c>
      <c r="BO1057" s="8">
        <f t="shared" si="754"/>
        <v>0</v>
      </c>
      <c r="BQ1057" s="8">
        <f t="shared" si="755"/>
        <v>0</v>
      </c>
      <c r="BR1057" s="63">
        <f t="shared" si="756"/>
        <v>0</v>
      </c>
      <c r="BS1057" s="63">
        <f t="shared" si="783"/>
        <v>0</v>
      </c>
      <c r="BT1057" s="63">
        <f t="shared" si="757"/>
        <v>0</v>
      </c>
      <c r="BU1057" s="63">
        <f t="shared" si="758"/>
        <v>0</v>
      </c>
      <c r="BV1057" s="57">
        <f t="shared" si="759"/>
        <v>0</v>
      </c>
      <c r="BW1057" s="57">
        <f t="shared" si="760"/>
        <v>0</v>
      </c>
      <c r="BX1057" s="57">
        <f t="shared" si="784"/>
        <v>0</v>
      </c>
      <c r="BY1057" s="57">
        <f t="shared" si="788"/>
        <v>0</v>
      </c>
      <c r="BZ1057" s="8">
        <f t="shared" si="761"/>
        <v>0</v>
      </c>
      <c r="CA1057" s="8">
        <f t="shared" si="762"/>
        <v>0</v>
      </c>
      <c r="CB1057" s="8">
        <f t="shared" si="763"/>
        <v>0</v>
      </c>
      <c r="CC1057" s="8">
        <f t="shared" si="764"/>
        <v>0</v>
      </c>
      <c r="CD1057" s="8">
        <f t="shared" si="765"/>
        <v>0</v>
      </c>
      <c r="CE1057" s="8">
        <f t="shared" si="766"/>
        <v>0</v>
      </c>
      <c r="CF1057" s="8">
        <f t="shared" si="767"/>
        <v>0</v>
      </c>
      <c r="CG1057" s="8">
        <f t="shared" si="768"/>
        <v>0</v>
      </c>
      <c r="CH1057" s="8">
        <f t="shared" si="769"/>
        <v>0</v>
      </c>
      <c r="CI1057" s="8">
        <f t="shared" si="770"/>
        <v>0</v>
      </c>
      <c r="CJ1057" s="8">
        <f t="shared" si="771"/>
        <v>0</v>
      </c>
      <c r="CK1057" s="8">
        <f t="shared" si="772"/>
        <v>0</v>
      </c>
      <c r="CL1057" s="8">
        <f t="shared" si="773"/>
        <v>0</v>
      </c>
      <c r="CM1057" s="8">
        <f t="shared" si="774"/>
        <v>0</v>
      </c>
      <c r="CN1057" s="8">
        <f t="shared" si="775"/>
        <v>0</v>
      </c>
      <c r="CO1057" s="8">
        <f t="shared" si="776"/>
        <v>0</v>
      </c>
      <c r="CP1057" s="8">
        <f t="shared" si="777"/>
        <v>0</v>
      </c>
      <c r="CQ1057" s="8">
        <f t="shared" si="778"/>
        <v>0</v>
      </c>
      <c r="CR1057" s="8">
        <f t="shared" si="779"/>
        <v>0</v>
      </c>
      <c r="CS1057" s="8">
        <f t="shared" si="780"/>
        <v>0</v>
      </c>
      <c r="CT1057" s="8">
        <f t="shared" si="785"/>
        <v>0</v>
      </c>
      <c r="CU1057" s="8">
        <f t="shared" si="786"/>
        <v>0</v>
      </c>
      <c r="CV1057" s="8">
        <f t="shared" si="787"/>
        <v>0</v>
      </c>
    </row>
    <row r="1058" spans="1:100" ht="20.5" thickTop="1" thickBot="1" x14ac:dyDescent="0.5">
      <c r="A1058" s="32"/>
      <c r="B1058" s="10"/>
      <c r="C1058" s="10"/>
      <c r="D1058" s="11"/>
      <c r="E1058" s="10"/>
      <c r="F1058" s="10"/>
      <c r="G1058" s="19"/>
      <c r="H1058" s="19"/>
      <c r="I1058" s="19"/>
      <c r="J1058" s="19"/>
      <c r="K1058" s="10"/>
      <c r="L1058" s="10"/>
      <c r="M1058" s="10"/>
      <c r="N1058" s="10"/>
      <c r="O1058" s="18"/>
      <c r="P1058" s="18"/>
      <c r="Q1058" s="21"/>
      <c r="R1058" s="20"/>
      <c r="S1058" s="16">
        <f t="shared" si="743"/>
        <v>0</v>
      </c>
      <c r="T1058" s="11"/>
      <c r="AS1058" s="31">
        <f t="shared" si="744"/>
        <v>0</v>
      </c>
      <c r="AT1058" s="31">
        <f t="shared" si="745"/>
        <v>0</v>
      </c>
      <c r="AU1058" s="31">
        <f t="shared" si="746"/>
        <v>0</v>
      </c>
      <c r="AV1058" s="31">
        <f t="shared" si="747"/>
        <v>0</v>
      </c>
      <c r="AW1058" s="31">
        <f t="shared" si="748"/>
        <v>0</v>
      </c>
      <c r="AX1058" s="31">
        <f t="shared" si="749"/>
        <v>0</v>
      </c>
      <c r="AY1058" s="31">
        <f t="shared" si="750"/>
        <v>0</v>
      </c>
      <c r="AZ1058" s="31">
        <f t="shared" si="751"/>
        <v>0</v>
      </c>
      <c r="BA1058" s="31">
        <f t="shared" si="752"/>
        <v>0</v>
      </c>
      <c r="BB1058" s="31">
        <f t="shared" si="781"/>
        <v>0</v>
      </c>
      <c r="BM1058" s="8">
        <f t="shared" si="782"/>
        <v>0</v>
      </c>
      <c r="BN1058" s="8">
        <f t="shared" si="753"/>
        <v>0</v>
      </c>
      <c r="BO1058" s="8">
        <f t="shared" si="754"/>
        <v>0</v>
      </c>
      <c r="BQ1058" s="8">
        <f t="shared" si="755"/>
        <v>0</v>
      </c>
      <c r="BR1058" s="63">
        <f t="shared" si="756"/>
        <v>0</v>
      </c>
      <c r="BS1058" s="63">
        <f t="shared" si="783"/>
        <v>0</v>
      </c>
      <c r="BT1058" s="63">
        <f t="shared" si="757"/>
        <v>0</v>
      </c>
      <c r="BU1058" s="63">
        <f t="shared" si="758"/>
        <v>0</v>
      </c>
      <c r="BV1058" s="57">
        <f t="shared" si="759"/>
        <v>0</v>
      </c>
      <c r="BW1058" s="57">
        <f t="shared" si="760"/>
        <v>0</v>
      </c>
      <c r="BX1058" s="57">
        <f t="shared" si="784"/>
        <v>0</v>
      </c>
      <c r="BY1058" s="57">
        <f t="shared" si="788"/>
        <v>0</v>
      </c>
      <c r="BZ1058" s="8">
        <f t="shared" si="761"/>
        <v>0</v>
      </c>
      <c r="CA1058" s="8">
        <f t="shared" si="762"/>
        <v>0</v>
      </c>
      <c r="CB1058" s="8">
        <f t="shared" si="763"/>
        <v>0</v>
      </c>
      <c r="CC1058" s="8">
        <f t="shared" si="764"/>
        <v>0</v>
      </c>
      <c r="CD1058" s="8">
        <f t="shared" si="765"/>
        <v>0</v>
      </c>
      <c r="CE1058" s="8">
        <f t="shared" si="766"/>
        <v>0</v>
      </c>
      <c r="CF1058" s="8">
        <f t="shared" si="767"/>
        <v>0</v>
      </c>
      <c r="CG1058" s="8">
        <f t="shared" si="768"/>
        <v>0</v>
      </c>
      <c r="CH1058" s="8">
        <f t="shared" si="769"/>
        <v>0</v>
      </c>
      <c r="CI1058" s="8">
        <f t="shared" si="770"/>
        <v>0</v>
      </c>
      <c r="CJ1058" s="8">
        <f t="shared" si="771"/>
        <v>0</v>
      </c>
      <c r="CK1058" s="8">
        <f t="shared" si="772"/>
        <v>0</v>
      </c>
      <c r="CL1058" s="8">
        <f t="shared" si="773"/>
        <v>0</v>
      </c>
      <c r="CM1058" s="8">
        <f t="shared" si="774"/>
        <v>0</v>
      </c>
      <c r="CN1058" s="8">
        <f t="shared" si="775"/>
        <v>0</v>
      </c>
      <c r="CO1058" s="8">
        <f t="shared" si="776"/>
        <v>0</v>
      </c>
      <c r="CP1058" s="8">
        <f t="shared" si="777"/>
        <v>0</v>
      </c>
      <c r="CQ1058" s="8">
        <f t="shared" si="778"/>
        <v>0</v>
      </c>
      <c r="CR1058" s="8">
        <f t="shared" si="779"/>
        <v>0</v>
      </c>
      <c r="CS1058" s="8">
        <f t="shared" si="780"/>
        <v>0</v>
      </c>
      <c r="CT1058" s="8">
        <f t="shared" si="785"/>
        <v>0</v>
      </c>
      <c r="CU1058" s="8">
        <f t="shared" si="786"/>
        <v>0</v>
      </c>
      <c r="CV1058" s="8">
        <f t="shared" si="787"/>
        <v>0</v>
      </c>
    </row>
    <row r="1059" spans="1:100" ht="20.5" thickTop="1" thickBot="1" x14ac:dyDescent="0.5">
      <c r="A1059" s="32"/>
      <c r="B1059" s="10"/>
      <c r="C1059" s="10"/>
      <c r="D1059" s="11"/>
      <c r="E1059" s="10"/>
      <c r="F1059" s="10"/>
      <c r="G1059" s="19"/>
      <c r="H1059" s="19"/>
      <c r="I1059" s="19"/>
      <c r="J1059" s="19"/>
      <c r="K1059" s="10"/>
      <c r="L1059" s="10"/>
      <c r="M1059" s="10"/>
      <c r="N1059" s="10"/>
      <c r="O1059" s="18"/>
      <c r="P1059" s="18"/>
      <c r="Q1059" s="21"/>
      <c r="R1059" s="20"/>
      <c r="S1059" s="16">
        <f t="shared" si="743"/>
        <v>0</v>
      </c>
      <c r="T1059" s="11"/>
      <c r="AS1059" s="31">
        <f t="shared" si="744"/>
        <v>0</v>
      </c>
      <c r="AT1059" s="31">
        <f t="shared" si="745"/>
        <v>0</v>
      </c>
      <c r="AU1059" s="31">
        <f t="shared" si="746"/>
        <v>0</v>
      </c>
      <c r="AV1059" s="31">
        <f t="shared" si="747"/>
        <v>0</v>
      </c>
      <c r="AW1059" s="31">
        <f t="shared" si="748"/>
        <v>0</v>
      </c>
      <c r="AX1059" s="31">
        <f t="shared" si="749"/>
        <v>0</v>
      </c>
      <c r="AY1059" s="31">
        <f t="shared" si="750"/>
        <v>0</v>
      </c>
      <c r="AZ1059" s="31">
        <f t="shared" si="751"/>
        <v>0</v>
      </c>
      <c r="BA1059" s="31">
        <f t="shared" si="752"/>
        <v>0</v>
      </c>
      <c r="BB1059" s="31">
        <f t="shared" si="781"/>
        <v>0</v>
      </c>
      <c r="BM1059" s="8">
        <f t="shared" si="782"/>
        <v>0</v>
      </c>
      <c r="BN1059" s="8">
        <f t="shared" si="753"/>
        <v>0</v>
      </c>
      <c r="BO1059" s="8">
        <f t="shared" si="754"/>
        <v>0</v>
      </c>
      <c r="BQ1059" s="8">
        <f t="shared" si="755"/>
        <v>0</v>
      </c>
      <c r="BR1059" s="63">
        <f t="shared" si="756"/>
        <v>0</v>
      </c>
      <c r="BS1059" s="63">
        <f t="shared" si="783"/>
        <v>0</v>
      </c>
      <c r="BT1059" s="63">
        <f t="shared" si="757"/>
        <v>0</v>
      </c>
      <c r="BU1059" s="63">
        <f t="shared" si="758"/>
        <v>0</v>
      </c>
      <c r="BV1059" s="57">
        <f t="shared" si="759"/>
        <v>0</v>
      </c>
      <c r="BW1059" s="57">
        <f t="shared" si="760"/>
        <v>0</v>
      </c>
      <c r="BX1059" s="57">
        <f t="shared" si="784"/>
        <v>0</v>
      </c>
      <c r="BY1059" s="57">
        <f t="shared" si="788"/>
        <v>0</v>
      </c>
      <c r="BZ1059" s="8">
        <f t="shared" si="761"/>
        <v>0</v>
      </c>
      <c r="CA1059" s="8">
        <f t="shared" si="762"/>
        <v>0</v>
      </c>
      <c r="CB1059" s="8">
        <f t="shared" si="763"/>
        <v>0</v>
      </c>
      <c r="CC1059" s="8">
        <f t="shared" si="764"/>
        <v>0</v>
      </c>
      <c r="CD1059" s="8">
        <f t="shared" si="765"/>
        <v>0</v>
      </c>
      <c r="CE1059" s="8">
        <f t="shared" si="766"/>
        <v>0</v>
      </c>
      <c r="CF1059" s="8">
        <f t="shared" si="767"/>
        <v>0</v>
      </c>
      <c r="CG1059" s="8">
        <f t="shared" si="768"/>
        <v>0</v>
      </c>
      <c r="CH1059" s="8">
        <f t="shared" si="769"/>
        <v>0</v>
      </c>
      <c r="CI1059" s="8">
        <f t="shared" si="770"/>
        <v>0</v>
      </c>
      <c r="CJ1059" s="8">
        <f t="shared" si="771"/>
        <v>0</v>
      </c>
      <c r="CK1059" s="8">
        <f t="shared" si="772"/>
        <v>0</v>
      </c>
      <c r="CL1059" s="8">
        <f t="shared" si="773"/>
        <v>0</v>
      </c>
      <c r="CM1059" s="8">
        <f t="shared" si="774"/>
        <v>0</v>
      </c>
      <c r="CN1059" s="8">
        <f t="shared" si="775"/>
        <v>0</v>
      </c>
      <c r="CO1059" s="8">
        <f t="shared" si="776"/>
        <v>0</v>
      </c>
      <c r="CP1059" s="8">
        <f t="shared" si="777"/>
        <v>0</v>
      </c>
      <c r="CQ1059" s="8">
        <f t="shared" si="778"/>
        <v>0</v>
      </c>
      <c r="CR1059" s="8">
        <f t="shared" si="779"/>
        <v>0</v>
      </c>
      <c r="CS1059" s="8">
        <f t="shared" si="780"/>
        <v>0</v>
      </c>
      <c r="CT1059" s="8">
        <f t="shared" si="785"/>
        <v>0</v>
      </c>
      <c r="CU1059" s="8">
        <f t="shared" si="786"/>
        <v>0</v>
      </c>
      <c r="CV1059" s="8">
        <f t="shared" si="787"/>
        <v>0</v>
      </c>
    </row>
    <row r="1060" spans="1:100" ht="20.5" thickTop="1" thickBot="1" x14ac:dyDescent="0.5">
      <c r="A1060" s="32"/>
      <c r="B1060" s="10"/>
      <c r="C1060" s="10"/>
      <c r="D1060" s="11"/>
      <c r="E1060" s="10"/>
      <c r="F1060" s="10"/>
      <c r="G1060" s="19"/>
      <c r="H1060" s="19"/>
      <c r="I1060" s="19"/>
      <c r="J1060" s="19"/>
      <c r="K1060" s="10"/>
      <c r="L1060" s="10"/>
      <c r="M1060" s="10"/>
      <c r="N1060" s="10"/>
      <c r="O1060" s="18"/>
      <c r="P1060" s="18"/>
      <c r="Q1060" s="21"/>
      <c r="R1060" s="20"/>
      <c r="S1060" s="16">
        <f t="shared" si="743"/>
        <v>0</v>
      </c>
      <c r="T1060" s="11"/>
      <c r="AS1060" s="31">
        <f t="shared" si="744"/>
        <v>0</v>
      </c>
      <c r="AT1060" s="31">
        <f t="shared" si="745"/>
        <v>0</v>
      </c>
      <c r="AU1060" s="31">
        <f t="shared" si="746"/>
        <v>0</v>
      </c>
      <c r="AV1060" s="31">
        <f t="shared" si="747"/>
        <v>0</v>
      </c>
      <c r="AW1060" s="31">
        <f t="shared" si="748"/>
        <v>0</v>
      </c>
      <c r="AX1060" s="31">
        <f t="shared" si="749"/>
        <v>0</v>
      </c>
      <c r="AY1060" s="31">
        <f t="shared" si="750"/>
        <v>0</v>
      </c>
      <c r="AZ1060" s="31">
        <f t="shared" si="751"/>
        <v>0</v>
      </c>
      <c r="BA1060" s="31">
        <f t="shared" si="752"/>
        <v>0</v>
      </c>
      <c r="BB1060" s="31">
        <f t="shared" si="781"/>
        <v>0</v>
      </c>
      <c r="BM1060" s="8">
        <f t="shared" si="782"/>
        <v>0</v>
      </c>
      <c r="BN1060" s="8">
        <f t="shared" si="753"/>
        <v>0</v>
      </c>
      <c r="BO1060" s="8">
        <f t="shared" si="754"/>
        <v>0</v>
      </c>
      <c r="BQ1060" s="8">
        <f t="shared" si="755"/>
        <v>0</v>
      </c>
      <c r="BR1060" s="63">
        <f t="shared" si="756"/>
        <v>0</v>
      </c>
      <c r="BS1060" s="63">
        <f t="shared" si="783"/>
        <v>0</v>
      </c>
      <c r="BT1060" s="63">
        <f t="shared" si="757"/>
        <v>0</v>
      </c>
      <c r="BU1060" s="63">
        <f t="shared" si="758"/>
        <v>0</v>
      </c>
      <c r="BV1060" s="57">
        <f t="shared" si="759"/>
        <v>0</v>
      </c>
      <c r="BW1060" s="57">
        <f t="shared" si="760"/>
        <v>0</v>
      </c>
      <c r="BX1060" s="57">
        <f t="shared" si="784"/>
        <v>0</v>
      </c>
      <c r="BY1060" s="57">
        <f t="shared" si="788"/>
        <v>0</v>
      </c>
      <c r="BZ1060" s="8">
        <f t="shared" si="761"/>
        <v>0</v>
      </c>
      <c r="CA1060" s="8">
        <f t="shared" si="762"/>
        <v>0</v>
      </c>
      <c r="CB1060" s="8">
        <f t="shared" si="763"/>
        <v>0</v>
      </c>
      <c r="CC1060" s="8">
        <f t="shared" si="764"/>
        <v>0</v>
      </c>
      <c r="CD1060" s="8">
        <f t="shared" si="765"/>
        <v>0</v>
      </c>
      <c r="CE1060" s="8">
        <f t="shared" si="766"/>
        <v>0</v>
      </c>
      <c r="CF1060" s="8">
        <f t="shared" si="767"/>
        <v>0</v>
      </c>
      <c r="CG1060" s="8">
        <f t="shared" si="768"/>
        <v>0</v>
      </c>
      <c r="CH1060" s="8">
        <f t="shared" si="769"/>
        <v>0</v>
      </c>
      <c r="CI1060" s="8">
        <f t="shared" si="770"/>
        <v>0</v>
      </c>
      <c r="CJ1060" s="8">
        <f t="shared" si="771"/>
        <v>0</v>
      </c>
      <c r="CK1060" s="8">
        <f t="shared" si="772"/>
        <v>0</v>
      </c>
      <c r="CL1060" s="8">
        <f t="shared" si="773"/>
        <v>0</v>
      </c>
      <c r="CM1060" s="8">
        <f t="shared" si="774"/>
        <v>0</v>
      </c>
      <c r="CN1060" s="8">
        <f t="shared" si="775"/>
        <v>0</v>
      </c>
      <c r="CO1060" s="8">
        <f t="shared" si="776"/>
        <v>0</v>
      </c>
      <c r="CP1060" s="8">
        <f t="shared" si="777"/>
        <v>0</v>
      </c>
      <c r="CQ1060" s="8">
        <f t="shared" si="778"/>
        <v>0</v>
      </c>
      <c r="CR1060" s="8">
        <f t="shared" si="779"/>
        <v>0</v>
      </c>
      <c r="CS1060" s="8">
        <f t="shared" si="780"/>
        <v>0</v>
      </c>
      <c r="CT1060" s="8">
        <f t="shared" si="785"/>
        <v>0</v>
      </c>
      <c r="CU1060" s="8">
        <f t="shared" si="786"/>
        <v>0</v>
      </c>
      <c r="CV1060" s="8">
        <f t="shared" si="787"/>
        <v>0</v>
      </c>
    </row>
    <row r="1061" spans="1:100" ht="20.5" thickTop="1" thickBot="1" x14ac:dyDescent="0.5">
      <c r="A1061" s="32"/>
      <c r="B1061" s="10"/>
      <c r="C1061" s="10"/>
      <c r="D1061" s="11"/>
      <c r="E1061" s="10"/>
      <c r="F1061" s="10"/>
      <c r="G1061" s="19"/>
      <c r="H1061" s="19"/>
      <c r="I1061" s="19"/>
      <c r="J1061" s="19"/>
      <c r="K1061" s="10"/>
      <c r="L1061" s="10"/>
      <c r="M1061" s="10"/>
      <c r="N1061" s="10"/>
      <c r="O1061" s="18"/>
      <c r="P1061" s="18"/>
      <c r="Q1061" s="21"/>
      <c r="R1061" s="20"/>
      <c r="S1061" s="16">
        <f t="shared" si="743"/>
        <v>0</v>
      </c>
      <c r="T1061" s="11"/>
      <c r="AS1061" s="31">
        <f t="shared" si="744"/>
        <v>0</v>
      </c>
      <c r="AT1061" s="31">
        <f t="shared" si="745"/>
        <v>0</v>
      </c>
      <c r="AU1061" s="31">
        <f t="shared" si="746"/>
        <v>0</v>
      </c>
      <c r="AV1061" s="31">
        <f t="shared" si="747"/>
        <v>0</v>
      </c>
      <c r="AW1061" s="31">
        <f t="shared" si="748"/>
        <v>0</v>
      </c>
      <c r="AX1061" s="31">
        <f t="shared" si="749"/>
        <v>0</v>
      </c>
      <c r="AY1061" s="31">
        <f t="shared" si="750"/>
        <v>0</v>
      </c>
      <c r="AZ1061" s="31">
        <f t="shared" si="751"/>
        <v>0</v>
      </c>
      <c r="BA1061" s="31">
        <f t="shared" si="752"/>
        <v>0</v>
      </c>
      <c r="BB1061" s="31">
        <f t="shared" si="781"/>
        <v>0</v>
      </c>
      <c r="BM1061" s="8">
        <f t="shared" si="782"/>
        <v>0</v>
      </c>
      <c r="BN1061" s="8">
        <f t="shared" si="753"/>
        <v>0</v>
      </c>
      <c r="BO1061" s="8">
        <f t="shared" si="754"/>
        <v>0</v>
      </c>
      <c r="BQ1061" s="8">
        <f t="shared" si="755"/>
        <v>0</v>
      </c>
      <c r="BR1061" s="63">
        <f t="shared" si="756"/>
        <v>0</v>
      </c>
      <c r="BS1061" s="63">
        <f t="shared" si="783"/>
        <v>0</v>
      </c>
      <c r="BT1061" s="63">
        <f t="shared" si="757"/>
        <v>0</v>
      </c>
      <c r="BU1061" s="63">
        <f t="shared" si="758"/>
        <v>0</v>
      </c>
      <c r="BV1061" s="57">
        <f t="shared" si="759"/>
        <v>0</v>
      </c>
      <c r="BW1061" s="57">
        <f t="shared" si="760"/>
        <v>0</v>
      </c>
      <c r="BX1061" s="57">
        <f t="shared" si="784"/>
        <v>0</v>
      </c>
      <c r="BY1061" s="57">
        <f t="shared" si="788"/>
        <v>0</v>
      </c>
      <c r="BZ1061" s="8">
        <f t="shared" si="761"/>
        <v>0</v>
      </c>
      <c r="CA1061" s="8">
        <f t="shared" si="762"/>
        <v>0</v>
      </c>
      <c r="CB1061" s="8">
        <f t="shared" si="763"/>
        <v>0</v>
      </c>
      <c r="CC1061" s="8">
        <f t="shared" si="764"/>
        <v>0</v>
      </c>
      <c r="CD1061" s="8">
        <f t="shared" si="765"/>
        <v>0</v>
      </c>
      <c r="CE1061" s="8">
        <f t="shared" si="766"/>
        <v>0</v>
      </c>
      <c r="CF1061" s="8">
        <f t="shared" si="767"/>
        <v>0</v>
      </c>
      <c r="CG1061" s="8">
        <f t="shared" si="768"/>
        <v>0</v>
      </c>
      <c r="CH1061" s="8">
        <f t="shared" si="769"/>
        <v>0</v>
      </c>
      <c r="CI1061" s="8">
        <f t="shared" si="770"/>
        <v>0</v>
      </c>
      <c r="CJ1061" s="8">
        <f t="shared" si="771"/>
        <v>0</v>
      </c>
      <c r="CK1061" s="8">
        <f t="shared" si="772"/>
        <v>0</v>
      </c>
      <c r="CL1061" s="8">
        <f t="shared" si="773"/>
        <v>0</v>
      </c>
      <c r="CM1061" s="8">
        <f t="shared" si="774"/>
        <v>0</v>
      </c>
      <c r="CN1061" s="8">
        <f t="shared" si="775"/>
        <v>0</v>
      </c>
      <c r="CO1061" s="8">
        <f t="shared" si="776"/>
        <v>0</v>
      </c>
      <c r="CP1061" s="8">
        <f t="shared" si="777"/>
        <v>0</v>
      </c>
      <c r="CQ1061" s="8">
        <f t="shared" si="778"/>
        <v>0</v>
      </c>
      <c r="CR1061" s="8">
        <f t="shared" si="779"/>
        <v>0</v>
      </c>
      <c r="CS1061" s="8">
        <f t="shared" si="780"/>
        <v>0</v>
      </c>
      <c r="CT1061" s="8">
        <f t="shared" si="785"/>
        <v>0</v>
      </c>
      <c r="CU1061" s="8">
        <f t="shared" si="786"/>
        <v>0</v>
      </c>
      <c r="CV1061" s="8">
        <f t="shared" si="787"/>
        <v>0</v>
      </c>
    </row>
    <row r="1062" spans="1:100" ht="20.5" thickTop="1" thickBot="1" x14ac:dyDescent="0.5">
      <c r="A1062" s="32"/>
      <c r="B1062" s="10"/>
      <c r="C1062" s="10"/>
      <c r="D1062" s="11"/>
      <c r="E1062" s="10"/>
      <c r="F1062" s="10"/>
      <c r="G1062" s="19"/>
      <c r="H1062" s="19"/>
      <c r="I1062" s="19"/>
      <c r="J1062" s="19"/>
      <c r="K1062" s="10"/>
      <c r="L1062" s="10"/>
      <c r="M1062" s="10"/>
      <c r="N1062" s="10"/>
      <c r="O1062" s="18"/>
      <c r="P1062" s="18"/>
      <c r="Q1062" s="21"/>
      <c r="R1062" s="20"/>
      <c r="S1062" s="16">
        <f t="shared" si="743"/>
        <v>0</v>
      </c>
      <c r="T1062" s="11"/>
      <c r="AS1062" s="31">
        <f t="shared" si="744"/>
        <v>0</v>
      </c>
      <c r="AT1062" s="31">
        <f t="shared" si="745"/>
        <v>0</v>
      </c>
      <c r="AU1062" s="31">
        <f t="shared" si="746"/>
        <v>0</v>
      </c>
      <c r="AV1062" s="31">
        <f t="shared" si="747"/>
        <v>0</v>
      </c>
      <c r="AW1062" s="31">
        <f t="shared" si="748"/>
        <v>0</v>
      </c>
      <c r="AX1062" s="31">
        <f t="shared" si="749"/>
        <v>0</v>
      </c>
      <c r="AY1062" s="31">
        <f t="shared" si="750"/>
        <v>0</v>
      </c>
      <c r="AZ1062" s="31">
        <f t="shared" si="751"/>
        <v>0</v>
      </c>
      <c r="BA1062" s="31">
        <f t="shared" si="752"/>
        <v>0</v>
      </c>
      <c r="BB1062" s="31">
        <f t="shared" si="781"/>
        <v>0</v>
      </c>
      <c r="BM1062" s="8">
        <f t="shared" si="782"/>
        <v>0</v>
      </c>
      <c r="BN1062" s="8">
        <f t="shared" si="753"/>
        <v>0</v>
      </c>
      <c r="BO1062" s="8">
        <f t="shared" si="754"/>
        <v>0</v>
      </c>
      <c r="BQ1062" s="8">
        <f t="shared" si="755"/>
        <v>0</v>
      </c>
      <c r="BR1062" s="63">
        <f t="shared" si="756"/>
        <v>0</v>
      </c>
      <c r="BS1062" s="63">
        <f t="shared" si="783"/>
        <v>0</v>
      </c>
      <c r="BT1062" s="63">
        <f t="shared" si="757"/>
        <v>0</v>
      </c>
      <c r="BU1062" s="63">
        <f t="shared" si="758"/>
        <v>0</v>
      </c>
      <c r="BV1062" s="57">
        <f t="shared" si="759"/>
        <v>0</v>
      </c>
      <c r="BW1062" s="57">
        <f t="shared" si="760"/>
        <v>0</v>
      </c>
      <c r="BX1062" s="57">
        <f t="shared" si="784"/>
        <v>0</v>
      </c>
      <c r="BY1062" s="57">
        <f t="shared" si="788"/>
        <v>0</v>
      </c>
      <c r="BZ1062" s="8">
        <f t="shared" si="761"/>
        <v>0</v>
      </c>
      <c r="CA1062" s="8">
        <f t="shared" si="762"/>
        <v>0</v>
      </c>
      <c r="CB1062" s="8">
        <f t="shared" si="763"/>
        <v>0</v>
      </c>
      <c r="CC1062" s="8">
        <f t="shared" si="764"/>
        <v>0</v>
      </c>
      <c r="CD1062" s="8">
        <f t="shared" si="765"/>
        <v>0</v>
      </c>
      <c r="CE1062" s="8">
        <f t="shared" si="766"/>
        <v>0</v>
      </c>
      <c r="CF1062" s="8">
        <f t="shared" si="767"/>
        <v>0</v>
      </c>
      <c r="CG1062" s="8">
        <f t="shared" si="768"/>
        <v>0</v>
      </c>
      <c r="CH1062" s="8">
        <f t="shared" si="769"/>
        <v>0</v>
      </c>
      <c r="CI1062" s="8">
        <f t="shared" si="770"/>
        <v>0</v>
      </c>
      <c r="CJ1062" s="8">
        <f t="shared" si="771"/>
        <v>0</v>
      </c>
      <c r="CK1062" s="8">
        <f t="shared" si="772"/>
        <v>0</v>
      </c>
      <c r="CL1062" s="8">
        <f t="shared" si="773"/>
        <v>0</v>
      </c>
      <c r="CM1062" s="8">
        <f t="shared" si="774"/>
        <v>0</v>
      </c>
      <c r="CN1062" s="8">
        <f t="shared" si="775"/>
        <v>0</v>
      </c>
      <c r="CO1062" s="8">
        <f t="shared" si="776"/>
        <v>0</v>
      </c>
      <c r="CP1062" s="8">
        <f t="shared" si="777"/>
        <v>0</v>
      </c>
      <c r="CQ1062" s="8">
        <f t="shared" si="778"/>
        <v>0</v>
      </c>
      <c r="CR1062" s="8">
        <f t="shared" si="779"/>
        <v>0</v>
      </c>
      <c r="CS1062" s="8">
        <f t="shared" si="780"/>
        <v>0</v>
      </c>
      <c r="CT1062" s="8">
        <f t="shared" si="785"/>
        <v>0</v>
      </c>
      <c r="CU1062" s="8">
        <f t="shared" si="786"/>
        <v>0</v>
      </c>
      <c r="CV1062" s="8">
        <f t="shared" si="787"/>
        <v>0</v>
      </c>
    </row>
    <row r="1063" spans="1:100" ht="20.5" thickTop="1" thickBot="1" x14ac:dyDescent="0.5">
      <c r="A1063" s="32"/>
      <c r="B1063" s="10"/>
      <c r="C1063" s="10"/>
      <c r="D1063" s="11"/>
      <c r="E1063" s="10"/>
      <c r="F1063" s="10"/>
      <c r="G1063" s="19"/>
      <c r="H1063" s="19"/>
      <c r="I1063" s="19"/>
      <c r="J1063" s="19"/>
      <c r="K1063" s="10"/>
      <c r="L1063" s="10"/>
      <c r="M1063" s="10"/>
      <c r="N1063" s="10"/>
      <c r="O1063" s="18"/>
      <c r="P1063" s="18"/>
      <c r="Q1063" s="21"/>
      <c r="R1063" s="20"/>
      <c r="S1063" s="16">
        <f t="shared" si="743"/>
        <v>0</v>
      </c>
      <c r="T1063" s="11"/>
      <c r="AS1063" s="31">
        <f t="shared" si="744"/>
        <v>0</v>
      </c>
      <c r="AT1063" s="31">
        <f t="shared" si="745"/>
        <v>0</v>
      </c>
      <c r="AU1063" s="31">
        <f t="shared" si="746"/>
        <v>0</v>
      </c>
      <c r="AV1063" s="31">
        <f t="shared" si="747"/>
        <v>0</v>
      </c>
      <c r="AW1063" s="31">
        <f t="shared" si="748"/>
        <v>0</v>
      </c>
      <c r="AX1063" s="31">
        <f t="shared" si="749"/>
        <v>0</v>
      </c>
      <c r="AY1063" s="31">
        <f t="shared" si="750"/>
        <v>0</v>
      </c>
      <c r="AZ1063" s="31">
        <f t="shared" si="751"/>
        <v>0</v>
      </c>
      <c r="BA1063" s="31">
        <f t="shared" si="752"/>
        <v>0</v>
      </c>
      <c r="BB1063" s="31">
        <f t="shared" si="781"/>
        <v>0</v>
      </c>
      <c r="BM1063" s="8">
        <f t="shared" si="782"/>
        <v>0</v>
      </c>
      <c r="BN1063" s="8">
        <f t="shared" si="753"/>
        <v>0</v>
      </c>
      <c r="BO1063" s="8">
        <f t="shared" si="754"/>
        <v>0</v>
      </c>
      <c r="BQ1063" s="8">
        <f t="shared" si="755"/>
        <v>0</v>
      </c>
      <c r="BR1063" s="63">
        <f t="shared" si="756"/>
        <v>0</v>
      </c>
      <c r="BS1063" s="63">
        <f t="shared" si="783"/>
        <v>0</v>
      </c>
      <c r="BT1063" s="63">
        <f t="shared" si="757"/>
        <v>0</v>
      </c>
      <c r="BU1063" s="63">
        <f t="shared" si="758"/>
        <v>0</v>
      </c>
      <c r="BV1063" s="57">
        <f t="shared" si="759"/>
        <v>0</v>
      </c>
      <c r="BW1063" s="57">
        <f t="shared" si="760"/>
        <v>0</v>
      </c>
      <c r="BX1063" s="57">
        <f t="shared" si="784"/>
        <v>0</v>
      </c>
      <c r="BY1063" s="57">
        <f t="shared" si="788"/>
        <v>0</v>
      </c>
      <c r="BZ1063" s="8">
        <f t="shared" si="761"/>
        <v>0</v>
      </c>
      <c r="CA1063" s="8">
        <f t="shared" si="762"/>
        <v>0</v>
      </c>
      <c r="CB1063" s="8">
        <f t="shared" si="763"/>
        <v>0</v>
      </c>
      <c r="CC1063" s="8">
        <f t="shared" si="764"/>
        <v>0</v>
      </c>
      <c r="CD1063" s="8">
        <f t="shared" si="765"/>
        <v>0</v>
      </c>
      <c r="CE1063" s="8">
        <f t="shared" si="766"/>
        <v>0</v>
      </c>
      <c r="CF1063" s="8">
        <f t="shared" si="767"/>
        <v>0</v>
      </c>
      <c r="CG1063" s="8">
        <f t="shared" si="768"/>
        <v>0</v>
      </c>
      <c r="CH1063" s="8">
        <f t="shared" si="769"/>
        <v>0</v>
      </c>
      <c r="CI1063" s="8">
        <f t="shared" si="770"/>
        <v>0</v>
      </c>
      <c r="CJ1063" s="8">
        <f t="shared" si="771"/>
        <v>0</v>
      </c>
      <c r="CK1063" s="8">
        <f t="shared" si="772"/>
        <v>0</v>
      </c>
      <c r="CL1063" s="8">
        <f t="shared" si="773"/>
        <v>0</v>
      </c>
      <c r="CM1063" s="8">
        <f t="shared" si="774"/>
        <v>0</v>
      </c>
      <c r="CN1063" s="8">
        <f t="shared" si="775"/>
        <v>0</v>
      </c>
      <c r="CO1063" s="8">
        <f t="shared" si="776"/>
        <v>0</v>
      </c>
      <c r="CP1063" s="8">
        <f t="shared" si="777"/>
        <v>0</v>
      </c>
      <c r="CQ1063" s="8">
        <f t="shared" si="778"/>
        <v>0</v>
      </c>
      <c r="CR1063" s="8">
        <f t="shared" si="779"/>
        <v>0</v>
      </c>
      <c r="CS1063" s="8">
        <f t="shared" si="780"/>
        <v>0</v>
      </c>
      <c r="CT1063" s="8">
        <f t="shared" si="785"/>
        <v>0</v>
      </c>
      <c r="CU1063" s="8">
        <f t="shared" si="786"/>
        <v>0</v>
      </c>
      <c r="CV1063" s="8">
        <f t="shared" si="787"/>
        <v>0</v>
      </c>
    </row>
    <row r="1064" spans="1:100" ht="20.5" thickTop="1" thickBot="1" x14ac:dyDescent="0.5">
      <c r="A1064" s="32"/>
      <c r="B1064" s="10"/>
      <c r="C1064" s="10"/>
      <c r="D1064" s="11"/>
      <c r="E1064" s="10"/>
      <c r="F1064" s="10"/>
      <c r="G1064" s="19"/>
      <c r="H1064" s="19"/>
      <c r="I1064" s="19"/>
      <c r="J1064" s="19"/>
      <c r="K1064" s="10"/>
      <c r="L1064" s="10"/>
      <c r="M1064" s="10"/>
      <c r="N1064" s="10"/>
      <c r="O1064" s="18"/>
      <c r="P1064" s="18"/>
      <c r="Q1064" s="21"/>
      <c r="R1064" s="20"/>
      <c r="S1064" s="16">
        <f t="shared" si="743"/>
        <v>0</v>
      </c>
      <c r="T1064" s="11"/>
      <c r="AS1064" s="31">
        <f t="shared" si="744"/>
        <v>0</v>
      </c>
      <c r="AT1064" s="31">
        <f t="shared" si="745"/>
        <v>0</v>
      </c>
      <c r="AU1064" s="31">
        <f t="shared" si="746"/>
        <v>0</v>
      </c>
      <c r="AV1064" s="31">
        <f t="shared" si="747"/>
        <v>0</v>
      </c>
      <c r="AW1064" s="31">
        <f t="shared" si="748"/>
        <v>0</v>
      </c>
      <c r="AX1064" s="31">
        <f t="shared" si="749"/>
        <v>0</v>
      </c>
      <c r="AY1064" s="31">
        <f t="shared" si="750"/>
        <v>0</v>
      </c>
      <c r="AZ1064" s="31">
        <f t="shared" si="751"/>
        <v>0</v>
      </c>
      <c r="BA1064" s="31">
        <f t="shared" si="752"/>
        <v>0</v>
      </c>
      <c r="BB1064" s="31">
        <f t="shared" si="781"/>
        <v>0</v>
      </c>
      <c r="BM1064" s="8">
        <f t="shared" si="782"/>
        <v>0</v>
      </c>
      <c r="BN1064" s="8">
        <f t="shared" si="753"/>
        <v>0</v>
      </c>
      <c r="BO1064" s="8">
        <f t="shared" si="754"/>
        <v>0</v>
      </c>
      <c r="BQ1064" s="8">
        <f t="shared" si="755"/>
        <v>0</v>
      </c>
      <c r="BR1064" s="63">
        <f t="shared" si="756"/>
        <v>0</v>
      </c>
      <c r="BS1064" s="63">
        <f t="shared" si="783"/>
        <v>0</v>
      </c>
      <c r="BT1064" s="63">
        <f t="shared" si="757"/>
        <v>0</v>
      </c>
      <c r="BU1064" s="63">
        <f t="shared" si="758"/>
        <v>0</v>
      </c>
      <c r="BV1064" s="57">
        <f t="shared" si="759"/>
        <v>0</v>
      </c>
      <c r="BW1064" s="57">
        <f t="shared" si="760"/>
        <v>0</v>
      </c>
      <c r="BX1064" s="57">
        <f t="shared" si="784"/>
        <v>0</v>
      </c>
      <c r="BY1064" s="57">
        <f t="shared" si="788"/>
        <v>0</v>
      </c>
      <c r="BZ1064" s="8">
        <f t="shared" si="761"/>
        <v>0</v>
      </c>
      <c r="CA1064" s="8">
        <f t="shared" si="762"/>
        <v>0</v>
      </c>
      <c r="CB1064" s="8">
        <f t="shared" si="763"/>
        <v>0</v>
      </c>
      <c r="CC1064" s="8">
        <f t="shared" si="764"/>
        <v>0</v>
      </c>
      <c r="CD1064" s="8">
        <f t="shared" si="765"/>
        <v>0</v>
      </c>
      <c r="CE1064" s="8">
        <f t="shared" si="766"/>
        <v>0</v>
      </c>
      <c r="CF1064" s="8">
        <f t="shared" si="767"/>
        <v>0</v>
      </c>
      <c r="CG1064" s="8">
        <f t="shared" si="768"/>
        <v>0</v>
      </c>
      <c r="CH1064" s="8">
        <f t="shared" si="769"/>
        <v>0</v>
      </c>
      <c r="CI1064" s="8">
        <f t="shared" si="770"/>
        <v>0</v>
      </c>
      <c r="CJ1064" s="8">
        <f t="shared" si="771"/>
        <v>0</v>
      </c>
      <c r="CK1064" s="8">
        <f t="shared" si="772"/>
        <v>0</v>
      </c>
      <c r="CL1064" s="8">
        <f t="shared" si="773"/>
        <v>0</v>
      </c>
      <c r="CM1064" s="8">
        <f t="shared" si="774"/>
        <v>0</v>
      </c>
      <c r="CN1064" s="8">
        <f t="shared" si="775"/>
        <v>0</v>
      </c>
      <c r="CO1064" s="8">
        <f t="shared" si="776"/>
        <v>0</v>
      </c>
      <c r="CP1064" s="8">
        <f t="shared" si="777"/>
        <v>0</v>
      </c>
      <c r="CQ1064" s="8">
        <f t="shared" si="778"/>
        <v>0</v>
      </c>
      <c r="CR1064" s="8">
        <f t="shared" si="779"/>
        <v>0</v>
      </c>
      <c r="CS1064" s="8">
        <f t="shared" si="780"/>
        <v>0</v>
      </c>
      <c r="CT1064" s="8">
        <f t="shared" si="785"/>
        <v>0</v>
      </c>
      <c r="CU1064" s="8">
        <f t="shared" si="786"/>
        <v>0</v>
      </c>
      <c r="CV1064" s="8">
        <f t="shared" si="787"/>
        <v>0</v>
      </c>
    </row>
    <row r="1065" spans="1:100" ht="20.5" thickTop="1" thickBot="1" x14ac:dyDescent="0.5">
      <c r="A1065" s="32"/>
      <c r="B1065" s="10"/>
      <c r="C1065" s="10"/>
      <c r="D1065" s="11"/>
      <c r="E1065" s="10"/>
      <c r="F1065" s="10"/>
      <c r="G1065" s="19"/>
      <c r="H1065" s="19"/>
      <c r="I1065" s="19"/>
      <c r="J1065" s="19"/>
      <c r="K1065" s="10"/>
      <c r="L1065" s="10"/>
      <c r="M1065" s="10"/>
      <c r="N1065" s="10"/>
      <c r="O1065" s="18"/>
      <c r="P1065" s="18"/>
      <c r="Q1065" s="21"/>
      <c r="R1065" s="20"/>
      <c r="S1065" s="16">
        <f t="shared" si="743"/>
        <v>0</v>
      </c>
      <c r="T1065" s="11"/>
      <c r="AS1065" s="31">
        <f t="shared" si="744"/>
        <v>0</v>
      </c>
      <c r="AT1065" s="31">
        <f t="shared" si="745"/>
        <v>0</v>
      </c>
      <c r="AU1065" s="31">
        <f t="shared" si="746"/>
        <v>0</v>
      </c>
      <c r="AV1065" s="31">
        <f t="shared" si="747"/>
        <v>0</v>
      </c>
      <c r="AW1065" s="31">
        <f t="shared" si="748"/>
        <v>0</v>
      </c>
      <c r="AX1065" s="31">
        <f t="shared" si="749"/>
        <v>0</v>
      </c>
      <c r="AY1065" s="31">
        <f t="shared" si="750"/>
        <v>0</v>
      </c>
      <c r="AZ1065" s="31">
        <f t="shared" si="751"/>
        <v>0</v>
      </c>
      <c r="BA1065" s="31">
        <f t="shared" si="752"/>
        <v>0</v>
      </c>
      <c r="BB1065" s="31">
        <f t="shared" si="781"/>
        <v>0</v>
      </c>
      <c r="BM1065" s="8">
        <f t="shared" si="782"/>
        <v>0</v>
      </c>
      <c r="BN1065" s="8">
        <f t="shared" si="753"/>
        <v>0</v>
      </c>
      <c r="BO1065" s="8">
        <f t="shared" si="754"/>
        <v>0</v>
      </c>
      <c r="BQ1065" s="8">
        <f t="shared" si="755"/>
        <v>0</v>
      </c>
      <c r="BR1065" s="63">
        <f t="shared" si="756"/>
        <v>0</v>
      </c>
      <c r="BS1065" s="63">
        <f t="shared" si="783"/>
        <v>0</v>
      </c>
      <c r="BT1065" s="63">
        <f t="shared" si="757"/>
        <v>0</v>
      </c>
      <c r="BU1065" s="63">
        <f t="shared" si="758"/>
        <v>0</v>
      </c>
      <c r="BV1065" s="57">
        <f t="shared" si="759"/>
        <v>0</v>
      </c>
      <c r="BW1065" s="57">
        <f t="shared" si="760"/>
        <v>0</v>
      </c>
      <c r="BX1065" s="57">
        <f t="shared" si="784"/>
        <v>0</v>
      </c>
      <c r="BY1065" s="57">
        <f t="shared" si="788"/>
        <v>0</v>
      </c>
      <c r="BZ1065" s="8">
        <f t="shared" si="761"/>
        <v>0</v>
      </c>
      <c r="CA1065" s="8">
        <f t="shared" si="762"/>
        <v>0</v>
      </c>
      <c r="CB1065" s="8">
        <f t="shared" si="763"/>
        <v>0</v>
      </c>
      <c r="CC1065" s="8">
        <f t="shared" si="764"/>
        <v>0</v>
      </c>
      <c r="CD1065" s="8">
        <f t="shared" si="765"/>
        <v>0</v>
      </c>
      <c r="CE1065" s="8">
        <f t="shared" si="766"/>
        <v>0</v>
      </c>
      <c r="CF1065" s="8">
        <f t="shared" si="767"/>
        <v>0</v>
      </c>
      <c r="CG1065" s="8">
        <f t="shared" si="768"/>
        <v>0</v>
      </c>
      <c r="CH1065" s="8">
        <f t="shared" si="769"/>
        <v>0</v>
      </c>
      <c r="CI1065" s="8">
        <f t="shared" si="770"/>
        <v>0</v>
      </c>
      <c r="CJ1065" s="8">
        <f t="shared" si="771"/>
        <v>0</v>
      </c>
      <c r="CK1065" s="8">
        <f t="shared" si="772"/>
        <v>0</v>
      </c>
      <c r="CL1065" s="8">
        <f t="shared" si="773"/>
        <v>0</v>
      </c>
      <c r="CM1065" s="8">
        <f t="shared" si="774"/>
        <v>0</v>
      </c>
      <c r="CN1065" s="8">
        <f t="shared" si="775"/>
        <v>0</v>
      </c>
      <c r="CO1065" s="8">
        <f t="shared" si="776"/>
        <v>0</v>
      </c>
      <c r="CP1065" s="8">
        <f t="shared" si="777"/>
        <v>0</v>
      </c>
      <c r="CQ1065" s="8">
        <f t="shared" si="778"/>
        <v>0</v>
      </c>
      <c r="CR1065" s="8">
        <f t="shared" si="779"/>
        <v>0</v>
      </c>
      <c r="CS1065" s="8">
        <f t="shared" si="780"/>
        <v>0</v>
      </c>
      <c r="CT1065" s="8">
        <f t="shared" si="785"/>
        <v>0</v>
      </c>
      <c r="CU1065" s="8">
        <f t="shared" si="786"/>
        <v>0</v>
      </c>
      <c r="CV1065" s="8">
        <f t="shared" si="787"/>
        <v>0</v>
      </c>
    </row>
    <row r="1066" spans="1:100" ht="20.5" thickTop="1" thickBot="1" x14ac:dyDescent="0.5">
      <c r="A1066" s="32"/>
      <c r="B1066" s="10"/>
      <c r="C1066" s="10"/>
      <c r="D1066" s="11"/>
      <c r="E1066" s="10"/>
      <c r="F1066" s="10"/>
      <c r="G1066" s="19"/>
      <c r="H1066" s="19"/>
      <c r="I1066" s="19"/>
      <c r="J1066" s="19"/>
      <c r="K1066" s="10"/>
      <c r="L1066" s="10"/>
      <c r="M1066" s="10"/>
      <c r="N1066" s="10"/>
      <c r="O1066" s="18"/>
      <c r="P1066" s="18"/>
      <c r="Q1066" s="21"/>
      <c r="R1066" s="20"/>
      <c r="S1066" s="16">
        <f t="shared" si="743"/>
        <v>0</v>
      </c>
      <c r="T1066" s="11"/>
      <c r="AS1066" s="31">
        <f t="shared" si="744"/>
        <v>0</v>
      </c>
      <c r="AT1066" s="31">
        <f t="shared" si="745"/>
        <v>0</v>
      </c>
      <c r="AU1066" s="31">
        <f t="shared" si="746"/>
        <v>0</v>
      </c>
      <c r="AV1066" s="31">
        <f t="shared" si="747"/>
        <v>0</v>
      </c>
      <c r="AW1066" s="31">
        <f t="shared" si="748"/>
        <v>0</v>
      </c>
      <c r="AX1066" s="31">
        <f t="shared" si="749"/>
        <v>0</v>
      </c>
      <c r="AY1066" s="31">
        <f t="shared" si="750"/>
        <v>0</v>
      </c>
      <c r="AZ1066" s="31">
        <f t="shared" si="751"/>
        <v>0</v>
      </c>
      <c r="BA1066" s="31">
        <f t="shared" si="752"/>
        <v>0</v>
      </c>
      <c r="BB1066" s="31">
        <f t="shared" si="781"/>
        <v>0</v>
      </c>
      <c r="BM1066" s="8">
        <f t="shared" si="782"/>
        <v>0</v>
      </c>
      <c r="BN1066" s="8">
        <f t="shared" si="753"/>
        <v>0</v>
      </c>
      <c r="BO1066" s="8">
        <f t="shared" si="754"/>
        <v>0</v>
      </c>
      <c r="BQ1066" s="8">
        <f t="shared" si="755"/>
        <v>0</v>
      </c>
      <c r="BR1066" s="63">
        <f t="shared" si="756"/>
        <v>0</v>
      </c>
      <c r="BS1066" s="63">
        <f t="shared" si="783"/>
        <v>0</v>
      </c>
      <c r="BT1066" s="63">
        <f t="shared" si="757"/>
        <v>0</v>
      </c>
      <c r="BU1066" s="63">
        <f t="shared" si="758"/>
        <v>0</v>
      </c>
      <c r="BV1066" s="57">
        <f t="shared" si="759"/>
        <v>0</v>
      </c>
      <c r="BW1066" s="57">
        <f t="shared" si="760"/>
        <v>0</v>
      </c>
      <c r="BX1066" s="57">
        <f t="shared" si="784"/>
        <v>0</v>
      </c>
      <c r="BY1066" s="57">
        <f t="shared" si="788"/>
        <v>0</v>
      </c>
      <c r="BZ1066" s="8">
        <f t="shared" si="761"/>
        <v>0</v>
      </c>
      <c r="CA1066" s="8">
        <f t="shared" si="762"/>
        <v>0</v>
      </c>
      <c r="CB1066" s="8">
        <f t="shared" si="763"/>
        <v>0</v>
      </c>
      <c r="CC1066" s="8">
        <f t="shared" si="764"/>
        <v>0</v>
      </c>
      <c r="CD1066" s="8">
        <f t="shared" si="765"/>
        <v>0</v>
      </c>
      <c r="CE1066" s="8">
        <f t="shared" si="766"/>
        <v>0</v>
      </c>
      <c r="CF1066" s="8">
        <f t="shared" si="767"/>
        <v>0</v>
      </c>
      <c r="CG1066" s="8">
        <f t="shared" si="768"/>
        <v>0</v>
      </c>
      <c r="CH1066" s="8">
        <f t="shared" si="769"/>
        <v>0</v>
      </c>
      <c r="CI1066" s="8">
        <f t="shared" si="770"/>
        <v>0</v>
      </c>
      <c r="CJ1066" s="8">
        <f t="shared" si="771"/>
        <v>0</v>
      </c>
      <c r="CK1066" s="8">
        <f t="shared" si="772"/>
        <v>0</v>
      </c>
      <c r="CL1066" s="8">
        <f t="shared" si="773"/>
        <v>0</v>
      </c>
      <c r="CM1066" s="8">
        <f t="shared" si="774"/>
        <v>0</v>
      </c>
      <c r="CN1066" s="8">
        <f t="shared" si="775"/>
        <v>0</v>
      </c>
      <c r="CO1066" s="8">
        <f t="shared" si="776"/>
        <v>0</v>
      </c>
      <c r="CP1066" s="8">
        <f t="shared" si="777"/>
        <v>0</v>
      </c>
      <c r="CQ1066" s="8">
        <f t="shared" si="778"/>
        <v>0</v>
      </c>
      <c r="CR1066" s="8">
        <f t="shared" si="779"/>
        <v>0</v>
      </c>
      <c r="CS1066" s="8">
        <f t="shared" si="780"/>
        <v>0</v>
      </c>
      <c r="CT1066" s="8">
        <f t="shared" si="785"/>
        <v>0</v>
      </c>
      <c r="CU1066" s="8">
        <f t="shared" si="786"/>
        <v>0</v>
      </c>
      <c r="CV1066" s="8">
        <f t="shared" si="787"/>
        <v>0</v>
      </c>
    </row>
    <row r="1067" spans="1:100" ht="20.5" thickTop="1" thickBot="1" x14ac:dyDescent="0.5">
      <c r="A1067" s="32"/>
      <c r="B1067" s="10"/>
      <c r="C1067" s="10"/>
      <c r="D1067" s="11"/>
      <c r="E1067" s="10"/>
      <c r="F1067" s="10"/>
      <c r="G1067" s="19"/>
      <c r="H1067" s="19"/>
      <c r="I1067" s="19"/>
      <c r="J1067" s="19"/>
      <c r="K1067" s="10"/>
      <c r="L1067" s="10"/>
      <c r="M1067" s="10"/>
      <c r="N1067" s="10"/>
      <c r="O1067" s="18"/>
      <c r="P1067" s="18"/>
      <c r="Q1067" s="21"/>
      <c r="R1067" s="20"/>
      <c r="S1067" s="16">
        <f t="shared" si="743"/>
        <v>0</v>
      </c>
      <c r="T1067" s="11"/>
      <c r="AS1067" s="31">
        <f t="shared" si="744"/>
        <v>0</v>
      </c>
      <c r="AT1067" s="31">
        <f t="shared" si="745"/>
        <v>0</v>
      </c>
      <c r="AU1067" s="31">
        <f t="shared" si="746"/>
        <v>0</v>
      </c>
      <c r="AV1067" s="31">
        <f t="shared" si="747"/>
        <v>0</v>
      </c>
      <c r="AW1067" s="31">
        <f t="shared" si="748"/>
        <v>0</v>
      </c>
      <c r="AX1067" s="31">
        <f t="shared" si="749"/>
        <v>0</v>
      </c>
      <c r="AY1067" s="31">
        <f t="shared" si="750"/>
        <v>0</v>
      </c>
      <c r="AZ1067" s="31">
        <f t="shared" si="751"/>
        <v>0</v>
      </c>
      <c r="BA1067" s="31">
        <f t="shared" si="752"/>
        <v>0</v>
      </c>
      <c r="BB1067" s="31">
        <f t="shared" si="781"/>
        <v>0</v>
      </c>
      <c r="BM1067" s="8">
        <f t="shared" si="782"/>
        <v>0</v>
      </c>
      <c r="BN1067" s="8">
        <f t="shared" si="753"/>
        <v>0</v>
      </c>
      <c r="BO1067" s="8">
        <f t="shared" si="754"/>
        <v>0</v>
      </c>
      <c r="BQ1067" s="8">
        <f t="shared" si="755"/>
        <v>0</v>
      </c>
      <c r="BR1067" s="63">
        <f t="shared" si="756"/>
        <v>0</v>
      </c>
      <c r="BS1067" s="63">
        <f t="shared" si="783"/>
        <v>0</v>
      </c>
      <c r="BT1067" s="63">
        <f t="shared" si="757"/>
        <v>0</v>
      </c>
      <c r="BU1067" s="63">
        <f t="shared" si="758"/>
        <v>0</v>
      </c>
      <c r="BV1067" s="57">
        <f t="shared" si="759"/>
        <v>0</v>
      </c>
      <c r="BW1067" s="57">
        <f t="shared" si="760"/>
        <v>0</v>
      </c>
      <c r="BX1067" s="57">
        <f t="shared" si="784"/>
        <v>0</v>
      </c>
      <c r="BY1067" s="57">
        <f t="shared" si="788"/>
        <v>0</v>
      </c>
      <c r="BZ1067" s="8">
        <f t="shared" si="761"/>
        <v>0</v>
      </c>
      <c r="CA1067" s="8">
        <f t="shared" si="762"/>
        <v>0</v>
      </c>
      <c r="CB1067" s="8">
        <f t="shared" si="763"/>
        <v>0</v>
      </c>
      <c r="CC1067" s="8">
        <f t="shared" si="764"/>
        <v>0</v>
      </c>
      <c r="CD1067" s="8">
        <f t="shared" si="765"/>
        <v>0</v>
      </c>
      <c r="CE1067" s="8">
        <f t="shared" si="766"/>
        <v>0</v>
      </c>
      <c r="CF1067" s="8">
        <f t="shared" si="767"/>
        <v>0</v>
      </c>
      <c r="CG1067" s="8">
        <f t="shared" si="768"/>
        <v>0</v>
      </c>
      <c r="CH1067" s="8">
        <f t="shared" si="769"/>
        <v>0</v>
      </c>
      <c r="CI1067" s="8">
        <f t="shared" si="770"/>
        <v>0</v>
      </c>
      <c r="CJ1067" s="8">
        <f t="shared" si="771"/>
        <v>0</v>
      </c>
      <c r="CK1067" s="8">
        <f t="shared" si="772"/>
        <v>0</v>
      </c>
      <c r="CL1067" s="8">
        <f t="shared" si="773"/>
        <v>0</v>
      </c>
      <c r="CM1067" s="8">
        <f t="shared" si="774"/>
        <v>0</v>
      </c>
      <c r="CN1067" s="8">
        <f t="shared" si="775"/>
        <v>0</v>
      </c>
      <c r="CO1067" s="8">
        <f t="shared" si="776"/>
        <v>0</v>
      </c>
      <c r="CP1067" s="8">
        <f t="shared" si="777"/>
        <v>0</v>
      </c>
      <c r="CQ1067" s="8">
        <f t="shared" si="778"/>
        <v>0</v>
      </c>
      <c r="CR1067" s="8">
        <f t="shared" si="779"/>
        <v>0</v>
      </c>
      <c r="CS1067" s="8">
        <f t="shared" si="780"/>
        <v>0</v>
      </c>
      <c r="CT1067" s="8">
        <f t="shared" si="785"/>
        <v>0</v>
      </c>
      <c r="CU1067" s="8">
        <f t="shared" si="786"/>
        <v>0</v>
      </c>
      <c r="CV1067" s="8">
        <f t="shared" si="787"/>
        <v>0</v>
      </c>
    </row>
    <row r="1068" spans="1:100" ht="20.5" thickTop="1" thickBot="1" x14ac:dyDescent="0.5">
      <c r="A1068" s="32"/>
      <c r="B1068" s="10"/>
      <c r="C1068" s="10"/>
      <c r="D1068" s="11"/>
      <c r="E1068" s="10"/>
      <c r="F1068" s="10"/>
      <c r="G1068" s="19"/>
      <c r="H1068" s="19"/>
      <c r="I1068" s="19"/>
      <c r="J1068" s="19"/>
      <c r="K1068" s="10"/>
      <c r="L1068" s="10"/>
      <c r="M1068" s="10"/>
      <c r="N1068" s="10"/>
      <c r="O1068" s="18"/>
      <c r="P1068" s="18"/>
      <c r="Q1068" s="21"/>
      <c r="R1068" s="20"/>
      <c r="S1068" s="16">
        <f t="shared" si="743"/>
        <v>0</v>
      </c>
      <c r="T1068" s="11"/>
      <c r="AS1068" s="31">
        <f t="shared" si="744"/>
        <v>0</v>
      </c>
      <c r="AT1068" s="31">
        <f t="shared" si="745"/>
        <v>0</v>
      </c>
      <c r="AU1068" s="31">
        <f t="shared" si="746"/>
        <v>0</v>
      </c>
      <c r="AV1068" s="31">
        <f t="shared" si="747"/>
        <v>0</v>
      </c>
      <c r="AW1068" s="31">
        <f t="shared" si="748"/>
        <v>0</v>
      </c>
      <c r="AX1068" s="31">
        <f t="shared" si="749"/>
        <v>0</v>
      </c>
      <c r="AY1068" s="31">
        <f t="shared" si="750"/>
        <v>0</v>
      </c>
      <c r="AZ1068" s="31">
        <f t="shared" si="751"/>
        <v>0</v>
      </c>
      <c r="BA1068" s="31">
        <f t="shared" si="752"/>
        <v>0</v>
      </c>
      <c r="BB1068" s="31">
        <f t="shared" si="781"/>
        <v>0</v>
      </c>
      <c r="BM1068" s="8">
        <f t="shared" si="782"/>
        <v>0</v>
      </c>
      <c r="BN1068" s="8">
        <f t="shared" si="753"/>
        <v>0</v>
      </c>
      <c r="BO1068" s="8">
        <f t="shared" si="754"/>
        <v>0</v>
      </c>
      <c r="BQ1068" s="8">
        <f t="shared" si="755"/>
        <v>0</v>
      </c>
      <c r="BR1068" s="63">
        <f t="shared" si="756"/>
        <v>0</v>
      </c>
      <c r="BS1068" s="63">
        <f t="shared" si="783"/>
        <v>0</v>
      </c>
      <c r="BT1068" s="63">
        <f t="shared" si="757"/>
        <v>0</v>
      </c>
      <c r="BU1068" s="63">
        <f t="shared" si="758"/>
        <v>0</v>
      </c>
      <c r="BV1068" s="57">
        <f t="shared" si="759"/>
        <v>0</v>
      </c>
      <c r="BW1068" s="57">
        <f t="shared" si="760"/>
        <v>0</v>
      </c>
      <c r="BX1068" s="57">
        <f t="shared" si="784"/>
        <v>0</v>
      </c>
      <c r="BY1068" s="57">
        <f t="shared" si="788"/>
        <v>0</v>
      </c>
      <c r="BZ1068" s="8">
        <f t="shared" si="761"/>
        <v>0</v>
      </c>
      <c r="CA1068" s="8">
        <f t="shared" si="762"/>
        <v>0</v>
      </c>
      <c r="CB1068" s="8">
        <f t="shared" si="763"/>
        <v>0</v>
      </c>
      <c r="CC1068" s="8">
        <f t="shared" si="764"/>
        <v>0</v>
      </c>
      <c r="CD1068" s="8">
        <f t="shared" si="765"/>
        <v>0</v>
      </c>
      <c r="CE1068" s="8">
        <f t="shared" si="766"/>
        <v>0</v>
      </c>
      <c r="CF1068" s="8">
        <f t="shared" si="767"/>
        <v>0</v>
      </c>
      <c r="CG1068" s="8">
        <f t="shared" si="768"/>
        <v>0</v>
      </c>
      <c r="CH1068" s="8">
        <f t="shared" si="769"/>
        <v>0</v>
      </c>
      <c r="CI1068" s="8">
        <f t="shared" si="770"/>
        <v>0</v>
      </c>
      <c r="CJ1068" s="8">
        <f t="shared" si="771"/>
        <v>0</v>
      </c>
      <c r="CK1068" s="8">
        <f t="shared" si="772"/>
        <v>0</v>
      </c>
      <c r="CL1068" s="8">
        <f t="shared" si="773"/>
        <v>0</v>
      </c>
      <c r="CM1068" s="8">
        <f t="shared" si="774"/>
        <v>0</v>
      </c>
      <c r="CN1068" s="8">
        <f t="shared" si="775"/>
        <v>0</v>
      </c>
      <c r="CO1068" s="8">
        <f t="shared" si="776"/>
        <v>0</v>
      </c>
      <c r="CP1068" s="8">
        <f t="shared" si="777"/>
        <v>0</v>
      </c>
      <c r="CQ1068" s="8">
        <f t="shared" si="778"/>
        <v>0</v>
      </c>
      <c r="CR1068" s="8">
        <f t="shared" si="779"/>
        <v>0</v>
      </c>
      <c r="CS1068" s="8">
        <f t="shared" si="780"/>
        <v>0</v>
      </c>
      <c r="CT1068" s="8">
        <f t="shared" si="785"/>
        <v>0</v>
      </c>
      <c r="CU1068" s="8">
        <f t="shared" si="786"/>
        <v>0</v>
      </c>
      <c r="CV1068" s="8">
        <f t="shared" si="787"/>
        <v>0</v>
      </c>
    </row>
    <row r="1069" spans="1:100" ht="20.5" thickTop="1" thickBot="1" x14ac:dyDescent="0.5">
      <c r="A1069" s="32"/>
      <c r="B1069" s="10"/>
      <c r="C1069" s="10"/>
      <c r="D1069" s="11"/>
      <c r="E1069" s="10"/>
      <c r="F1069" s="10"/>
      <c r="G1069" s="19"/>
      <c r="H1069" s="19"/>
      <c r="I1069" s="19"/>
      <c r="J1069" s="19"/>
      <c r="K1069" s="10"/>
      <c r="L1069" s="10"/>
      <c r="M1069" s="10"/>
      <c r="N1069" s="10"/>
      <c r="O1069" s="18"/>
      <c r="P1069" s="18"/>
      <c r="Q1069" s="21"/>
      <c r="R1069" s="20"/>
      <c r="S1069" s="16">
        <f t="shared" si="743"/>
        <v>0</v>
      </c>
      <c r="T1069" s="11"/>
      <c r="AS1069" s="31">
        <f t="shared" si="744"/>
        <v>0</v>
      </c>
      <c r="AT1069" s="31">
        <f t="shared" si="745"/>
        <v>0</v>
      </c>
      <c r="AU1069" s="31">
        <f t="shared" si="746"/>
        <v>0</v>
      </c>
      <c r="AV1069" s="31">
        <f t="shared" si="747"/>
        <v>0</v>
      </c>
      <c r="AW1069" s="31">
        <f t="shared" si="748"/>
        <v>0</v>
      </c>
      <c r="AX1069" s="31">
        <f t="shared" si="749"/>
        <v>0</v>
      </c>
      <c r="AY1069" s="31">
        <f t="shared" si="750"/>
        <v>0</v>
      </c>
      <c r="AZ1069" s="31">
        <f t="shared" si="751"/>
        <v>0</v>
      </c>
      <c r="BA1069" s="31">
        <f t="shared" si="752"/>
        <v>0</v>
      </c>
      <c r="BB1069" s="31">
        <f t="shared" si="781"/>
        <v>0</v>
      </c>
      <c r="BM1069" s="8">
        <f t="shared" si="782"/>
        <v>0</v>
      </c>
      <c r="BN1069" s="8">
        <f t="shared" si="753"/>
        <v>0</v>
      </c>
      <c r="BO1069" s="8">
        <f t="shared" si="754"/>
        <v>0</v>
      </c>
      <c r="BQ1069" s="8">
        <f t="shared" si="755"/>
        <v>0</v>
      </c>
      <c r="BR1069" s="63">
        <f t="shared" si="756"/>
        <v>0</v>
      </c>
      <c r="BS1069" s="63">
        <f t="shared" si="783"/>
        <v>0</v>
      </c>
      <c r="BT1069" s="63">
        <f t="shared" si="757"/>
        <v>0</v>
      </c>
      <c r="BU1069" s="63">
        <f t="shared" si="758"/>
        <v>0</v>
      </c>
      <c r="BV1069" s="57">
        <f t="shared" si="759"/>
        <v>0</v>
      </c>
      <c r="BW1069" s="57">
        <f t="shared" si="760"/>
        <v>0</v>
      </c>
      <c r="BX1069" s="57">
        <f t="shared" si="784"/>
        <v>0</v>
      </c>
      <c r="BY1069" s="57">
        <f t="shared" si="788"/>
        <v>0</v>
      </c>
      <c r="BZ1069" s="8">
        <f t="shared" si="761"/>
        <v>0</v>
      </c>
      <c r="CA1069" s="8">
        <f t="shared" si="762"/>
        <v>0</v>
      </c>
      <c r="CB1069" s="8">
        <f t="shared" si="763"/>
        <v>0</v>
      </c>
      <c r="CC1069" s="8">
        <f t="shared" si="764"/>
        <v>0</v>
      </c>
      <c r="CD1069" s="8">
        <f t="shared" si="765"/>
        <v>0</v>
      </c>
      <c r="CE1069" s="8">
        <f t="shared" si="766"/>
        <v>0</v>
      </c>
      <c r="CF1069" s="8">
        <f t="shared" si="767"/>
        <v>0</v>
      </c>
      <c r="CG1069" s="8">
        <f t="shared" si="768"/>
        <v>0</v>
      </c>
      <c r="CH1069" s="8">
        <f t="shared" si="769"/>
        <v>0</v>
      </c>
      <c r="CI1069" s="8">
        <f t="shared" si="770"/>
        <v>0</v>
      </c>
      <c r="CJ1069" s="8">
        <f t="shared" si="771"/>
        <v>0</v>
      </c>
      <c r="CK1069" s="8">
        <f t="shared" si="772"/>
        <v>0</v>
      </c>
      <c r="CL1069" s="8">
        <f t="shared" si="773"/>
        <v>0</v>
      </c>
      <c r="CM1069" s="8">
        <f t="shared" si="774"/>
        <v>0</v>
      </c>
      <c r="CN1069" s="8">
        <f t="shared" si="775"/>
        <v>0</v>
      </c>
      <c r="CO1069" s="8">
        <f t="shared" si="776"/>
        <v>0</v>
      </c>
      <c r="CP1069" s="8">
        <f t="shared" si="777"/>
        <v>0</v>
      </c>
      <c r="CQ1069" s="8">
        <f t="shared" si="778"/>
        <v>0</v>
      </c>
      <c r="CR1069" s="8">
        <f t="shared" si="779"/>
        <v>0</v>
      </c>
      <c r="CS1069" s="8">
        <f t="shared" si="780"/>
        <v>0</v>
      </c>
      <c r="CT1069" s="8">
        <f t="shared" si="785"/>
        <v>0</v>
      </c>
      <c r="CU1069" s="8">
        <f t="shared" si="786"/>
        <v>0</v>
      </c>
      <c r="CV1069" s="8">
        <f t="shared" si="787"/>
        <v>0</v>
      </c>
    </row>
    <row r="1070" spans="1:100" ht="20.5" thickTop="1" thickBot="1" x14ac:dyDescent="0.5">
      <c r="A1070" s="32"/>
      <c r="B1070" s="10"/>
      <c r="C1070" s="10"/>
      <c r="D1070" s="11"/>
      <c r="E1070" s="10"/>
      <c r="F1070" s="10"/>
      <c r="G1070" s="19"/>
      <c r="H1070" s="19"/>
      <c r="I1070" s="19"/>
      <c r="J1070" s="19"/>
      <c r="K1070" s="10"/>
      <c r="L1070" s="10"/>
      <c r="M1070" s="10"/>
      <c r="N1070" s="10"/>
      <c r="O1070" s="18"/>
      <c r="P1070" s="18"/>
      <c r="Q1070" s="21"/>
      <c r="R1070" s="20"/>
      <c r="S1070" s="16">
        <f t="shared" si="743"/>
        <v>0</v>
      </c>
      <c r="T1070" s="11"/>
      <c r="AS1070" s="31">
        <f t="shared" si="744"/>
        <v>0</v>
      </c>
      <c r="AT1070" s="31">
        <f t="shared" si="745"/>
        <v>0</v>
      </c>
      <c r="AU1070" s="31">
        <f t="shared" si="746"/>
        <v>0</v>
      </c>
      <c r="AV1070" s="31">
        <f t="shared" si="747"/>
        <v>0</v>
      </c>
      <c r="AW1070" s="31">
        <f t="shared" si="748"/>
        <v>0</v>
      </c>
      <c r="AX1070" s="31">
        <f t="shared" si="749"/>
        <v>0</v>
      </c>
      <c r="AY1070" s="31">
        <f t="shared" si="750"/>
        <v>0</v>
      </c>
      <c r="AZ1070" s="31">
        <f t="shared" si="751"/>
        <v>0</v>
      </c>
      <c r="BA1070" s="31">
        <f t="shared" si="752"/>
        <v>0</v>
      </c>
      <c r="BB1070" s="31">
        <f t="shared" si="781"/>
        <v>0</v>
      </c>
      <c r="BM1070" s="8">
        <f t="shared" si="782"/>
        <v>0</v>
      </c>
      <c r="BN1070" s="8">
        <f t="shared" si="753"/>
        <v>0</v>
      </c>
      <c r="BO1070" s="8">
        <f t="shared" si="754"/>
        <v>0</v>
      </c>
      <c r="BQ1070" s="8">
        <f t="shared" si="755"/>
        <v>0</v>
      </c>
      <c r="BR1070" s="63">
        <f t="shared" si="756"/>
        <v>0</v>
      </c>
      <c r="BS1070" s="63">
        <f t="shared" si="783"/>
        <v>0</v>
      </c>
      <c r="BT1070" s="63">
        <f t="shared" si="757"/>
        <v>0</v>
      </c>
      <c r="BU1070" s="63">
        <f t="shared" si="758"/>
        <v>0</v>
      </c>
      <c r="BV1070" s="57">
        <f t="shared" si="759"/>
        <v>0</v>
      </c>
      <c r="BW1070" s="57">
        <f t="shared" si="760"/>
        <v>0</v>
      </c>
      <c r="BX1070" s="57">
        <f t="shared" si="784"/>
        <v>0</v>
      </c>
      <c r="BY1070" s="57">
        <f t="shared" si="788"/>
        <v>0</v>
      </c>
      <c r="BZ1070" s="8">
        <f t="shared" si="761"/>
        <v>0</v>
      </c>
      <c r="CA1070" s="8">
        <f t="shared" si="762"/>
        <v>0</v>
      </c>
      <c r="CB1070" s="8">
        <f t="shared" si="763"/>
        <v>0</v>
      </c>
      <c r="CC1070" s="8">
        <f t="shared" si="764"/>
        <v>0</v>
      </c>
      <c r="CD1070" s="8">
        <f t="shared" si="765"/>
        <v>0</v>
      </c>
      <c r="CE1070" s="8">
        <f t="shared" si="766"/>
        <v>0</v>
      </c>
      <c r="CF1070" s="8">
        <f t="shared" si="767"/>
        <v>0</v>
      </c>
      <c r="CG1070" s="8">
        <f t="shared" si="768"/>
        <v>0</v>
      </c>
      <c r="CH1070" s="8">
        <f t="shared" si="769"/>
        <v>0</v>
      </c>
      <c r="CI1070" s="8">
        <f t="shared" si="770"/>
        <v>0</v>
      </c>
      <c r="CJ1070" s="8">
        <f t="shared" si="771"/>
        <v>0</v>
      </c>
      <c r="CK1070" s="8">
        <f t="shared" si="772"/>
        <v>0</v>
      </c>
      <c r="CL1070" s="8">
        <f t="shared" si="773"/>
        <v>0</v>
      </c>
      <c r="CM1070" s="8">
        <f t="shared" si="774"/>
        <v>0</v>
      </c>
      <c r="CN1070" s="8">
        <f t="shared" si="775"/>
        <v>0</v>
      </c>
      <c r="CO1070" s="8">
        <f t="shared" si="776"/>
        <v>0</v>
      </c>
      <c r="CP1070" s="8">
        <f t="shared" si="777"/>
        <v>0</v>
      </c>
      <c r="CQ1070" s="8">
        <f t="shared" si="778"/>
        <v>0</v>
      </c>
      <c r="CR1070" s="8">
        <f t="shared" si="779"/>
        <v>0</v>
      </c>
      <c r="CS1070" s="8">
        <f t="shared" si="780"/>
        <v>0</v>
      </c>
      <c r="CT1070" s="8">
        <f t="shared" si="785"/>
        <v>0</v>
      </c>
      <c r="CU1070" s="8">
        <f t="shared" si="786"/>
        <v>0</v>
      </c>
      <c r="CV1070" s="8">
        <f t="shared" si="787"/>
        <v>0</v>
      </c>
    </row>
    <row r="1071" spans="1:100" ht="20.5" thickTop="1" thickBot="1" x14ac:dyDescent="0.5">
      <c r="A1071" s="32"/>
      <c r="B1071" s="10"/>
      <c r="C1071" s="10"/>
      <c r="D1071" s="11"/>
      <c r="E1071" s="10"/>
      <c r="F1071" s="10"/>
      <c r="G1071" s="19"/>
      <c r="H1071" s="19"/>
      <c r="I1071" s="19"/>
      <c r="J1071" s="19"/>
      <c r="K1071" s="10"/>
      <c r="L1071" s="10"/>
      <c r="M1071" s="10"/>
      <c r="N1071" s="10"/>
      <c r="O1071" s="18"/>
      <c r="P1071" s="18"/>
      <c r="Q1071" s="21"/>
      <c r="R1071" s="20"/>
      <c r="S1071" s="16">
        <f t="shared" si="743"/>
        <v>0</v>
      </c>
      <c r="T1071" s="11"/>
      <c r="AS1071" s="31">
        <f t="shared" si="744"/>
        <v>0</v>
      </c>
      <c r="AT1071" s="31">
        <f t="shared" si="745"/>
        <v>0</v>
      </c>
      <c r="AU1071" s="31">
        <f t="shared" si="746"/>
        <v>0</v>
      </c>
      <c r="AV1071" s="31">
        <f t="shared" si="747"/>
        <v>0</v>
      </c>
      <c r="AW1071" s="31">
        <f t="shared" si="748"/>
        <v>0</v>
      </c>
      <c r="AX1071" s="31">
        <f t="shared" si="749"/>
        <v>0</v>
      </c>
      <c r="AY1071" s="31">
        <f t="shared" si="750"/>
        <v>0</v>
      </c>
      <c r="AZ1071" s="31">
        <f t="shared" si="751"/>
        <v>0</v>
      </c>
      <c r="BA1071" s="31">
        <f t="shared" si="752"/>
        <v>0</v>
      </c>
      <c r="BB1071" s="31">
        <f t="shared" si="781"/>
        <v>0</v>
      </c>
      <c r="BM1071" s="8">
        <f t="shared" si="782"/>
        <v>0</v>
      </c>
      <c r="BN1071" s="8">
        <f t="shared" si="753"/>
        <v>0</v>
      </c>
      <c r="BO1071" s="8">
        <f t="shared" si="754"/>
        <v>0</v>
      </c>
      <c r="BQ1071" s="8">
        <f t="shared" si="755"/>
        <v>0</v>
      </c>
      <c r="BR1071" s="63">
        <f t="shared" si="756"/>
        <v>0</v>
      </c>
      <c r="BS1071" s="63">
        <f t="shared" si="783"/>
        <v>0</v>
      </c>
      <c r="BT1071" s="63">
        <f t="shared" si="757"/>
        <v>0</v>
      </c>
      <c r="BU1071" s="63">
        <f t="shared" si="758"/>
        <v>0</v>
      </c>
      <c r="BV1071" s="57">
        <f t="shared" si="759"/>
        <v>0</v>
      </c>
      <c r="BW1071" s="57">
        <f t="shared" si="760"/>
        <v>0</v>
      </c>
      <c r="BX1071" s="57">
        <f t="shared" si="784"/>
        <v>0</v>
      </c>
      <c r="BY1071" s="57">
        <f t="shared" si="788"/>
        <v>0</v>
      </c>
      <c r="BZ1071" s="8">
        <f t="shared" si="761"/>
        <v>0</v>
      </c>
      <c r="CA1071" s="8">
        <f t="shared" si="762"/>
        <v>0</v>
      </c>
      <c r="CB1071" s="8">
        <f t="shared" si="763"/>
        <v>0</v>
      </c>
      <c r="CC1071" s="8">
        <f t="shared" si="764"/>
        <v>0</v>
      </c>
      <c r="CD1071" s="8">
        <f t="shared" si="765"/>
        <v>0</v>
      </c>
      <c r="CE1071" s="8">
        <f t="shared" si="766"/>
        <v>0</v>
      </c>
      <c r="CF1071" s="8">
        <f t="shared" si="767"/>
        <v>0</v>
      </c>
      <c r="CG1071" s="8">
        <f t="shared" si="768"/>
        <v>0</v>
      </c>
      <c r="CH1071" s="8">
        <f t="shared" si="769"/>
        <v>0</v>
      </c>
      <c r="CI1071" s="8">
        <f t="shared" si="770"/>
        <v>0</v>
      </c>
      <c r="CJ1071" s="8">
        <f t="shared" si="771"/>
        <v>0</v>
      </c>
      <c r="CK1071" s="8">
        <f t="shared" si="772"/>
        <v>0</v>
      </c>
      <c r="CL1071" s="8">
        <f t="shared" si="773"/>
        <v>0</v>
      </c>
      <c r="CM1071" s="8">
        <f t="shared" si="774"/>
        <v>0</v>
      </c>
      <c r="CN1071" s="8">
        <f t="shared" si="775"/>
        <v>0</v>
      </c>
      <c r="CO1071" s="8">
        <f t="shared" si="776"/>
        <v>0</v>
      </c>
      <c r="CP1071" s="8">
        <f t="shared" si="777"/>
        <v>0</v>
      </c>
      <c r="CQ1071" s="8">
        <f t="shared" si="778"/>
        <v>0</v>
      </c>
      <c r="CR1071" s="8">
        <f t="shared" si="779"/>
        <v>0</v>
      </c>
      <c r="CS1071" s="8">
        <f t="shared" si="780"/>
        <v>0</v>
      </c>
      <c r="CT1071" s="8">
        <f t="shared" si="785"/>
        <v>0</v>
      </c>
      <c r="CU1071" s="8">
        <f t="shared" si="786"/>
        <v>0</v>
      </c>
      <c r="CV1071" s="8">
        <f t="shared" si="787"/>
        <v>0</v>
      </c>
    </row>
    <row r="1072" spans="1:100" ht="20.5" thickTop="1" thickBot="1" x14ac:dyDescent="0.5">
      <c r="A1072" s="32"/>
      <c r="B1072" s="10"/>
      <c r="C1072" s="10"/>
      <c r="D1072" s="11"/>
      <c r="E1072" s="10"/>
      <c r="F1072" s="10"/>
      <c r="G1072" s="19"/>
      <c r="H1072" s="19"/>
      <c r="I1072" s="19"/>
      <c r="J1072" s="19"/>
      <c r="K1072" s="10"/>
      <c r="L1072" s="10"/>
      <c r="M1072" s="10"/>
      <c r="N1072" s="10"/>
      <c r="O1072" s="18"/>
      <c r="P1072" s="18"/>
      <c r="Q1072" s="21"/>
      <c r="R1072" s="20"/>
      <c r="S1072" s="16">
        <f t="shared" si="743"/>
        <v>0</v>
      </c>
      <c r="T1072" s="11"/>
      <c r="AS1072" s="31">
        <f t="shared" si="744"/>
        <v>0</v>
      </c>
      <c r="AT1072" s="31">
        <f t="shared" si="745"/>
        <v>0</v>
      </c>
      <c r="AU1072" s="31">
        <f t="shared" si="746"/>
        <v>0</v>
      </c>
      <c r="AV1072" s="31">
        <f t="shared" si="747"/>
        <v>0</v>
      </c>
      <c r="AW1072" s="31">
        <f t="shared" si="748"/>
        <v>0</v>
      </c>
      <c r="AX1072" s="31">
        <f t="shared" si="749"/>
        <v>0</v>
      </c>
      <c r="AY1072" s="31">
        <f t="shared" si="750"/>
        <v>0</v>
      </c>
      <c r="AZ1072" s="31">
        <f t="shared" si="751"/>
        <v>0</v>
      </c>
      <c r="BA1072" s="31">
        <f t="shared" si="752"/>
        <v>0</v>
      </c>
      <c r="BB1072" s="31">
        <f t="shared" si="781"/>
        <v>0</v>
      </c>
      <c r="BM1072" s="8">
        <f t="shared" si="782"/>
        <v>0</v>
      </c>
      <c r="BN1072" s="8">
        <f t="shared" si="753"/>
        <v>0</v>
      </c>
      <c r="BO1072" s="8">
        <f t="shared" si="754"/>
        <v>0</v>
      </c>
      <c r="BQ1072" s="8">
        <f t="shared" si="755"/>
        <v>0</v>
      </c>
      <c r="BR1072" s="63">
        <f t="shared" si="756"/>
        <v>0</v>
      </c>
      <c r="BS1072" s="63">
        <f t="shared" si="783"/>
        <v>0</v>
      </c>
      <c r="BT1072" s="63">
        <f t="shared" si="757"/>
        <v>0</v>
      </c>
      <c r="BU1072" s="63">
        <f t="shared" si="758"/>
        <v>0</v>
      </c>
      <c r="BV1072" s="57">
        <f t="shared" si="759"/>
        <v>0</v>
      </c>
      <c r="BW1072" s="57">
        <f t="shared" si="760"/>
        <v>0</v>
      </c>
      <c r="BX1072" s="57">
        <f t="shared" si="784"/>
        <v>0</v>
      </c>
      <c r="BY1072" s="57">
        <f t="shared" si="788"/>
        <v>0</v>
      </c>
      <c r="BZ1072" s="8">
        <f t="shared" si="761"/>
        <v>0</v>
      </c>
      <c r="CA1072" s="8">
        <f t="shared" si="762"/>
        <v>0</v>
      </c>
      <c r="CB1072" s="8">
        <f t="shared" si="763"/>
        <v>0</v>
      </c>
      <c r="CC1072" s="8">
        <f t="shared" si="764"/>
        <v>0</v>
      </c>
      <c r="CD1072" s="8">
        <f t="shared" si="765"/>
        <v>0</v>
      </c>
      <c r="CE1072" s="8">
        <f t="shared" si="766"/>
        <v>0</v>
      </c>
      <c r="CF1072" s="8">
        <f t="shared" si="767"/>
        <v>0</v>
      </c>
      <c r="CG1072" s="8">
        <f t="shared" si="768"/>
        <v>0</v>
      </c>
      <c r="CH1072" s="8">
        <f t="shared" si="769"/>
        <v>0</v>
      </c>
      <c r="CI1072" s="8">
        <f t="shared" si="770"/>
        <v>0</v>
      </c>
      <c r="CJ1072" s="8">
        <f t="shared" si="771"/>
        <v>0</v>
      </c>
      <c r="CK1072" s="8">
        <f t="shared" si="772"/>
        <v>0</v>
      </c>
      <c r="CL1072" s="8">
        <f t="shared" si="773"/>
        <v>0</v>
      </c>
      <c r="CM1072" s="8">
        <f t="shared" si="774"/>
        <v>0</v>
      </c>
      <c r="CN1072" s="8">
        <f t="shared" si="775"/>
        <v>0</v>
      </c>
      <c r="CO1072" s="8">
        <f t="shared" si="776"/>
        <v>0</v>
      </c>
      <c r="CP1072" s="8">
        <f t="shared" si="777"/>
        <v>0</v>
      </c>
      <c r="CQ1072" s="8">
        <f t="shared" si="778"/>
        <v>0</v>
      </c>
      <c r="CR1072" s="8">
        <f t="shared" si="779"/>
        <v>0</v>
      </c>
      <c r="CS1072" s="8">
        <f t="shared" si="780"/>
        <v>0</v>
      </c>
      <c r="CT1072" s="8">
        <f t="shared" si="785"/>
        <v>0</v>
      </c>
      <c r="CU1072" s="8">
        <f t="shared" si="786"/>
        <v>0</v>
      </c>
      <c r="CV1072" s="8">
        <f t="shared" si="787"/>
        <v>0</v>
      </c>
    </row>
    <row r="1073" spans="1:100" ht="20.5" thickTop="1" thickBot="1" x14ac:dyDescent="0.5">
      <c r="A1073" s="32"/>
      <c r="B1073" s="10"/>
      <c r="C1073" s="10"/>
      <c r="D1073" s="11"/>
      <c r="E1073" s="10"/>
      <c r="F1073" s="10"/>
      <c r="G1073" s="19"/>
      <c r="H1073" s="19"/>
      <c r="I1073" s="19"/>
      <c r="J1073" s="19"/>
      <c r="K1073" s="10"/>
      <c r="L1073" s="10"/>
      <c r="M1073" s="10"/>
      <c r="N1073" s="10"/>
      <c r="O1073" s="18"/>
      <c r="P1073" s="18"/>
      <c r="Q1073" s="21"/>
      <c r="R1073" s="20"/>
      <c r="S1073" s="16">
        <f t="shared" si="743"/>
        <v>0</v>
      </c>
      <c r="T1073" s="11"/>
      <c r="AS1073" s="31">
        <f t="shared" si="744"/>
        <v>0</v>
      </c>
      <c r="AT1073" s="31">
        <f t="shared" si="745"/>
        <v>0</v>
      </c>
      <c r="AU1073" s="31">
        <f t="shared" si="746"/>
        <v>0</v>
      </c>
      <c r="AV1073" s="31">
        <f t="shared" si="747"/>
        <v>0</v>
      </c>
      <c r="AW1073" s="31">
        <f t="shared" si="748"/>
        <v>0</v>
      </c>
      <c r="AX1073" s="31">
        <f t="shared" si="749"/>
        <v>0</v>
      </c>
      <c r="AY1073" s="31">
        <f t="shared" si="750"/>
        <v>0</v>
      </c>
      <c r="AZ1073" s="31">
        <f t="shared" si="751"/>
        <v>0</v>
      </c>
      <c r="BA1073" s="31">
        <f t="shared" si="752"/>
        <v>0</v>
      </c>
      <c r="BB1073" s="31">
        <f t="shared" si="781"/>
        <v>0</v>
      </c>
      <c r="BM1073" s="8">
        <f t="shared" si="782"/>
        <v>0</v>
      </c>
      <c r="BN1073" s="8">
        <f t="shared" si="753"/>
        <v>0</v>
      </c>
      <c r="BO1073" s="8">
        <f t="shared" si="754"/>
        <v>0</v>
      </c>
      <c r="BQ1073" s="8">
        <f t="shared" si="755"/>
        <v>0</v>
      </c>
      <c r="BR1073" s="63">
        <f t="shared" si="756"/>
        <v>0</v>
      </c>
      <c r="BS1073" s="63">
        <f t="shared" si="783"/>
        <v>0</v>
      </c>
      <c r="BT1073" s="63">
        <f t="shared" si="757"/>
        <v>0</v>
      </c>
      <c r="BU1073" s="63">
        <f t="shared" si="758"/>
        <v>0</v>
      </c>
      <c r="BV1073" s="57">
        <f t="shared" si="759"/>
        <v>0</v>
      </c>
      <c r="BW1073" s="57">
        <f t="shared" si="760"/>
        <v>0</v>
      </c>
      <c r="BX1073" s="57">
        <f t="shared" si="784"/>
        <v>0</v>
      </c>
      <c r="BY1073" s="57">
        <f t="shared" si="788"/>
        <v>0</v>
      </c>
      <c r="BZ1073" s="8">
        <f t="shared" si="761"/>
        <v>0</v>
      </c>
      <c r="CA1073" s="8">
        <f t="shared" si="762"/>
        <v>0</v>
      </c>
      <c r="CB1073" s="8">
        <f t="shared" si="763"/>
        <v>0</v>
      </c>
      <c r="CC1073" s="8">
        <f t="shared" si="764"/>
        <v>0</v>
      </c>
      <c r="CD1073" s="8">
        <f t="shared" si="765"/>
        <v>0</v>
      </c>
      <c r="CE1073" s="8">
        <f t="shared" si="766"/>
        <v>0</v>
      </c>
      <c r="CF1073" s="8">
        <f t="shared" si="767"/>
        <v>0</v>
      </c>
      <c r="CG1073" s="8">
        <f t="shared" si="768"/>
        <v>0</v>
      </c>
      <c r="CH1073" s="8">
        <f t="shared" si="769"/>
        <v>0</v>
      </c>
      <c r="CI1073" s="8">
        <f t="shared" si="770"/>
        <v>0</v>
      </c>
      <c r="CJ1073" s="8">
        <f t="shared" si="771"/>
        <v>0</v>
      </c>
      <c r="CK1073" s="8">
        <f t="shared" si="772"/>
        <v>0</v>
      </c>
      <c r="CL1073" s="8">
        <f t="shared" si="773"/>
        <v>0</v>
      </c>
      <c r="CM1073" s="8">
        <f t="shared" si="774"/>
        <v>0</v>
      </c>
      <c r="CN1073" s="8">
        <f t="shared" si="775"/>
        <v>0</v>
      </c>
      <c r="CO1073" s="8">
        <f t="shared" si="776"/>
        <v>0</v>
      </c>
      <c r="CP1073" s="8">
        <f t="shared" si="777"/>
        <v>0</v>
      </c>
      <c r="CQ1073" s="8">
        <f t="shared" si="778"/>
        <v>0</v>
      </c>
      <c r="CR1073" s="8">
        <f t="shared" si="779"/>
        <v>0</v>
      </c>
      <c r="CS1073" s="8">
        <f t="shared" si="780"/>
        <v>0</v>
      </c>
      <c r="CT1073" s="8">
        <f t="shared" si="785"/>
        <v>0</v>
      </c>
      <c r="CU1073" s="8">
        <f t="shared" si="786"/>
        <v>0</v>
      </c>
      <c r="CV1073" s="8">
        <f t="shared" si="787"/>
        <v>0</v>
      </c>
    </row>
    <row r="1074" spans="1:100" ht="20.5" thickTop="1" thickBot="1" x14ac:dyDescent="0.5">
      <c r="A1074" s="32"/>
      <c r="B1074" s="10"/>
      <c r="C1074" s="10"/>
      <c r="D1074" s="11"/>
      <c r="E1074" s="10"/>
      <c r="F1074" s="10"/>
      <c r="G1074" s="19"/>
      <c r="H1074" s="19"/>
      <c r="I1074" s="19"/>
      <c r="J1074" s="19"/>
      <c r="K1074" s="10"/>
      <c r="L1074" s="10"/>
      <c r="M1074" s="10"/>
      <c r="N1074" s="10"/>
      <c r="O1074" s="18"/>
      <c r="P1074" s="18"/>
      <c r="Q1074" s="21"/>
      <c r="R1074" s="20"/>
      <c r="S1074" s="16">
        <f t="shared" si="743"/>
        <v>0</v>
      </c>
      <c r="T1074" s="11"/>
      <c r="AS1074" s="31">
        <f t="shared" si="744"/>
        <v>0</v>
      </c>
      <c r="AT1074" s="31">
        <f t="shared" si="745"/>
        <v>0</v>
      </c>
      <c r="AU1074" s="31">
        <f t="shared" si="746"/>
        <v>0</v>
      </c>
      <c r="AV1074" s="31">
        <f t="shared" si="747"/>
        <v>0</v>
      </c>
      <c r="AW1074" s="31">
        <f t="shared" si="748"/>
        <v>0</v>
      </c>
      <c r="AX1074" s="31">
        <f t="shared" si="749"/>
        <v>0</v>
      </c>
      <c r="AY1074" s="31">
        <f t="shared" si="750"/>
        <v>0</v>
      </c>
      <c r="AZ1074" s="31">
        <f t="shared" si="751"/>
        <v>0</v>
      </c>
      <c r="BA1074" s="31">
        <f t="shared" si="752"/>
        <v>0</v>
      </c>
      <c r="BB1074" s="31">
        <f t="shared" si="781"/>
        <v>0</v>
      </c>
      <c r="BM1074" s="8">
        <f t="shared" si="782"/>
        <v>0</v>
      </c>
      <c r="BN1074" s="8">
        <f t="shared" si="753"/>
        <v>0</v>
      </c>
      <c r="BO1074" s="8">
        <f t="shared" si="754"/>
        <v>0</v>
      </c>
      <c r="BQ1074" s="8">
        <f t="shared" si="755"/>
        <v>0</v>
      </c>
      <c r="BR1074" s="63">
        <f t="shared" si="756"/>
        <v>0</v>
      </c>
      <c r="BS1074" s="63">
        <f t="shared" si="783"/>
        <v>0</v>
      </c>
      <c r="BT1074" s="63">
        <f t="shared" si="757"/>
        <v>0</v>
      </c>
      <c r="BU1074" s="63">
        <f t="shared" si="758"/>
        <v>0</v>
      </c>
      <c r="BV1074" s="57">
        <f t="shared" si="759"/>
        <v>0</v>
      </c>
      <c r="BW1074" s="57">
        <f t="shared" si="760"/>
        <v>0</v>
      </c>
      <c r="BX1074" s="57">
        <f t="shared" si="784"/>
        <v>0</v>
      </c>
      <c r="BY1074" s="57">
        <f t="shared" si="788"/>
        <v>0</v>
      </c>
      <c r="BZ1074" s="8">
        <f t="shared" si="761"/>
        <v>0</v>
      </c>
      <c r="CA1074" s="8">
        <f t="shared" si="762"/>
        <v>0</v>
      </c>
      <c r="CB1074" s="8">
        <f t="shared" si="763"/>
        <v>0</v>
      </c>
      <c r="CC1074" s="8">
        <f t="shared" si="764"/>
        <v>0</v>
      </c>
      <c r="CD1074" s="8">
        <f t="shared" si="765"/>
        <v>0</v>
      </c>
      <c r="CE1074" s="8">
        <f t="shared" si="766"/>
        <v>0</v>
      </c>
      <c r="CF1074" s="8">
        <f t="shared" si="767"/>
        <v>0</v>
      </c>
      <c r="CG1074" s="8">
        <f t="shared" si="768"/>
        <v>0</v>
      </c>
      <c r="CH1074" s="8">
        <f t="shared" si="769"/>
        <v>0</v>
      </c>
      <c r="CI1074" s="8">
        <f t="shared" si="770"/>
        <v>0</v>
      </c>
      <c r="CJ1074" s="8">
        <f t="shared" si="771"/>
        <v>0</v>
      </c>
      <c r="CK1074" s="8">
        <f t="shared" si="772"/>
        <v>0</v>
      </c>
      <c r="CL1074" s="8">
        <f t="shared" si="773"/>
        <v>0</v>
      </c>
      <c r="CM1074" s="8">
        <f t="shared" si="774"/>
        <v>0</v>
      </c>
      <c r="CN1074" s="8">
        <f t="shared" si="775"/>
        <v>0</v>
      </c>
      <c r="CO1074" s="8">
        <f t="shared" si="776"/>
        <v>0</v>
      </c>
      <c r="CP1074" s="8">
        <f t="shared" si="777"/>
        <v>0</v>
      </c>
      <c r="CQ1074" s="8">
        <f t="shared" si="778"/>
        <v>0</v>
      </c>
      <c r="CR1074" s="8">
        <f t="shared" si="779"/>
        <v>0</v>
      </c>
      <c r="CS1074" s="8">
        <f t="shared" si="780"/>
        <v>0</v>
      </c>
      <c r="CT1074" s="8">
        <f t="shared" si="785"/>
        <v>0</v>
      </c>
      <c r="CU1074" s="8">
        <f t="shared" si="786"/>
        <v>0</v>
      </c>
      <c r="CV1074" s="8">
        <f t="shared" si="787"/>
        <v>0</v>
      </c>
    </row>
    <row r="1075" spans="1:100" ht="20.5" thickTop="1" thickBot="1" x14ac:dyDescent="0.5">
      <c r="A1075" s="32"/>
      <c r="B1075" s="10"/>
      <c r="C1075" s="10"/>
      <c r="D1075" s="11"/>
      <c r="E1075" s="10"/>
      <c r="F1075" s="10"/>
      <c r="G1075" s="19"/>
      <c r="H1075" s="19"/>
      <c r="I1075" s="19"/>
      <c r="J1075" s="19"/>
      <c r="K1075" s="10"/>
      <c r="L1075" s="10"/>
      <c r="M1075" s="10"/>
      <c r="N1075" s="10"/>
      <c r="O1075" s="18"/>
      <c r="P1075" s="18"/>
      <c r="Q1075" s="21"/>
      <c r="R1075" s="20"/>
      <c r="S1075" s="16">
        <f t="shared" si="743"/>
        <v>0</v>
      </c>
      <c r="T1075" s="11"/>
      <c r="AS1075" s="31">
        <f t="shared" si="744"/>
        <v>0</v>
      </c>
      <c r="AT1075" s="31">
        <f t="shared" si="745"/>
        <v>0</v>
      </c>
      <c r="AU1075" s="31">
        <f t="shared" si="746"/>
        <v>0</v>
      </c>
      <c r="AV1075" s="31">
        <f t="shared" si="747"/>
        <v>0</v>
      </c>
      <c r="AW1075" s="31">
        <f t="shared" si="748"/>
        <v>0</v>
      </c>
      <c r="AX1075" s="31">
        <f t="shared" si="749"/>
        <v>0</v>
      </c>
      <c r="AY1075" s="31">
        <f t="shared" si="750"/>
        <v>0</v>
      </c>
      <c r="AZ1075" s="31">
        <f t="shared" si="751"/>
        <v>0</v>
      </c>
      <c r="BA1075" s="31">
        <f t="shared" si="752"/>
        <v>0</v>
      </c>
      <c r="BB1075" s="31">
        <f t="shared" si="781"/>
        <v>0</v>
      </c>
      <c r="BM1075" s="8">
        <f t="shared" si="782"/>
        <v>0</v>
      </c>
      <c r="BN1075" s="8">
        <f t="shared" si="753"/>
        <v>0</v>
      </c>
      <c r="BO1075" s="8">
        <f t="shared" si="754"/>
        <v>0</v>
      </c>
      <c r="BQ1075" s="8">
        <f t="shared" si="755"/>
        <v>0</v>
      </c>
      <c r="BR1075" s="63">
        <f t="shared" si="756"/>
        <v>0</v>
      </c>
      <c r="BS1075" s="63">
        <f t="shared" si="783"/>
        <v>0</v>
      </c>
      <c r="BT1075" s="63">
        <f t="shared" si="757"/>
        <v>0</v>
      </c>
      <c r="BU1075" s="63">
        <f t="shared" si="758"/>
        <v>0</v>
      </c>
      <c r="BV1075" s="57">
        <f t="shared" si="759"/>
        <v>0</v>
      </c>
      <c r="BW1075" s="57">
        <f t="shared" si="760"/>
        <v>0</v>
      </c>
      <c r="BX1075" s="57">
        <f t="shared" si="784"/>
        <v>0</v>
      </c>
      <c r="BY1075" s="57">
        <f t="shared" si="788"/>
        <v>0</v>
      </c>
      <c r="BZ1075" s="8">
        <f t="shared" si="761"/>
        <v>0</v>
      </c>
      <c r="CA1075" s="8">
        <f t="shared" si="762"/>
        <v>0</v>
      </c>
      <c r="CB1075" s="8">
        <f t="shared" si="763"/>
        <v>0</v>
      </c>
      <c r="CC1075" s="8">
        <f t="shared" si="764"/>
        <v>0</v>
      </c>
      <c r="CD1075" s="8">
        <f t="shared" si="765"/>
        <v>0</v>
      </c>
      <c r="CE1075" s="8">
        <f t="shared" si="766"/>
        <v>0</v>
      </c>
      <c r="CF1075" s="8">
        <f t="shared" si="767"/>
        <v>0</v>
      </c>
      <c r="CG1075" s="8">
        <f t="shared" si="768"/>
        <v>0</v>
      </c>
      <c r="CH1075" s="8">
        <f t="shared" si="769"/>
        <v>0</v>
      </c>
      <c r="CI1075" s="8">
        <f t="shared" si="770"/>
        <v>0</v>
      </c>
      <c r="CJ1075" s="8">
        <f t="shared" si="771"/>
        <v>0</v>
      </c>
      <c r="CK1075" s="8">
        <f t="shared" si="772"/>
        <v>0</v>
      </c>
      <c r="CL1075" s="8">
        <f t="shared" si="773"/>
        <v>0</v>
      </c>
      <c r="CM1075" s="8">
        <f t="shared" si="774"/>
        <v>0</v>
      </c>
      <c r="CN1075" s="8">
        <f t="shared" si="775"/>
        <v>0</v>
      </c>
      <c r="CO1075" s="8">
        <f t="shared" si="776"/>
        <v>0</v>
      </c>
      <c r="CP1075" s="8">
        <f t="shared" si="777"/>
        <v>0</v>
      </c>
      <c r="CQ1075" s="8">
        <f t="shared" si="778"/>
        <v>0</v>
      </c>
      <c r="CR1075" s="8">
        <f t="shared" si="779"/>
        <v>0</v>
      </c>
      <c r="CS1075" s="8">
        <f t="shared" si="780"/>
        <v>0</v>
      </c>
      <c r="CT1075" s="8">
        <f t="shared" si="785"/>
        <v>0</v>
      </c>
      <c r="CU1075" s="8">
        <f t="shared" si="786"/>
        <v>0</v>
      </c>
      <c r="CV1075" s="8">
        <f t="shared" si="787"/>
        <v>0</v>
      </c>
    </row>
    <row r="1076" spans="1:100" ht="20.5" thickTop="1" thickBot="1" x14ac:dyDescent="0.5">
      <c r="A1076" s="32"/>
      <c r="B1076" s="10"/>
      <c r="C1076" s="10"/>
      <c r="D1076" s="11"/>
      <c r="E1076" s="10"/>
      <c r="F1076" s="10"/>
      <c r="G1076" s="19"/>
      <c r="H1076" s="19"/>
      <c r="I1076" s="19"/>
      <c r="J1076" s="19"/>
      <c r="K1076" s="10"/>
      <c r="L1076" s="10"/>
      <c r="M1076" s="10"/>
      <c r="N1076" s="10"/>
      <c r="O1076" s="18"/>
      <c r="P1076" s="18"/>
      <c r="Q1076" s="21"/>
      <c r="R1076" s="20"/>
      <c r="S1076" s="16">
        <f t="shared" si="743"/>
        <v>0</v>
      </c>
      <c r="T1076" s="11"/>
      <c r="AS1076" s="31">
        <f t="shared" si="744"/>
        <v>0</v>
      </c>
      <c r="AT1076" s="31">
        <f t="shared" si="745"/>
        <v>0</v>
      </c>
      <c r="AU1076" s="31">
        <f t="shared" si="746"/>
        <v>0</v>
      </c>
      <c r="AV1076" s="31">
        <f t="shared" si="747"/>
        <v>0</v>
      </c>
      <c r="AW1076" s="31">
        <f t="shared" si="748"/>
        <v>0</v>
      </c>
      <c r="AX1076" s="31">
        <f t="shared" si="749"/>
        <v>0</v>
      </c>
      <c r="AY1076" s="31">
        <f t="shared" si="750"/>
        <v>0</v>
      </c>
      <c r="AZ1076" s="31">
        <f t="shared" si="751"/>
        <v>0</v>
      </c>
      <c r="BA1076" s="31">
        <f t="shared" si="752"/>
        <v>0</v>
      </c>
      <c r="BB1076" s="31">
        <f t="shared" si="781"/>
        <v>0</v>
      </c>
      <c r="BM1076" s="8">
        <f t="shared" si="782"/>
        <v>0</v>
      </c>
      <c r="BN1076" s="8">
        <f t="shared" si="753"/>
        <v>0</v>
      </c>
      <c r="BO1076" s="8">
        <f t="shared" si="754"/>
        <v>0</v>
      </c>
      <c r="BQ1076" s="8">
        <f t="shared" si="755"/>
        <v>0</v>
      </c>
      <c r="BR1076" s="63">
        <f t="shared" si="756"/>
        <v>0</v>
      </c>
      <c r="BS1076" s="63">
        <f t="shared" si="783"/>
        <v>0</v>
      </c>
      <c r="BT1076" s="63">
        <f t="shared" si="757"/>
        <v>0</v>
      </c>
      <c r="BU1076" s="63">
        <f t="shared" si="758"/>
        <v>0</v>
      </c>
      <c r="BV1076" s="57">
        <f t="shared" si="759"/>
        <v>0</v>
      </c>
      <c r="BW1076" s="57">
        <f t="shared" si="760"/>
        <v>0</v>
      </c>
      <c r="BX1076" s="57">
        <f t="shared" si="784"/>
        <v>0</v>
      </c>
      <c r="BY1076" s="57">
        <f t="shared" si="788"/>
        <v>0</v>
      </c>
      <c r="BZ1076" s="8">
        <f t="shared" si="761"/>
        <v>0</v>
      </c>
      <c r="CA1076" s="8">
        <f t="shared" si="762"/>
        <v>0</v>
      </c>
      <c r="CB1076" s="8">
        <f t="shared" si="763"/>
        <v>0</v>
      </c>
      <c r="CC1076" s="8">
        <f t="shared" si="764"/>
        <v>0</v>
      </c>
      <c r="CD1076" s="8">
        <f t="shared" si="765"/>
        <v>0</v>
      </c>
      <c r="CE1076" s="8">
        <f t="shared" si="766"/>
        <v>0</v>
      </c>
      <c r="CF1076" s="8">
        <f t="shared" si="767"/>
        <v>0</v>
      </c>
      <c r="CG1076" s="8">
        <f t="shared" si="768"/>
        <v>0</v>
      </c>
      <c r="CH1076" s="8">
        <f t="shared" si="769"/>
        <v>0</v>
      </c>
      <c r="CI1076" s="8">
        <f t="shared" si="770"/>
        <v>0</v>
      </c>
      <c r="CJ1076" s="8">
        <f t="shared" si="771"/>
        <v>0</v>
      </c>
      <c r="CK1076" s="8">
        <f t="shared" si="772"/>
        <v>0</v>
      </c>
      <c r="CL1076" s="8">
        <f t="shared" si="773"/>
        <v>0</v>
      </c>
      <c r="CM1076" s="8">
        <f t="shared" si="774"/>
        <v>0</v>
      </c>
      <c r="CN1076" s="8">
        <f t="shared" si="775"/>
        <v>0</v>
      </c>
      <c r="CO1076" s="8">
        <f t="shared" si="776"/>
        <v>0</v>
      </c>
      <c r="CP1076" s="8">
        <f t="shared" si="777"/>
        <v>0</v>
      </c>
      <c r="CQ1076" s="8">
        <f t="shared" si="778"/>
        <v>0</v>
      </c>
      <c r="CR1076" s="8">
        <f t="shared" si="779"/>
        <v>0</v>
      </c>
      <c r="CS1076" s="8">
        <f t="shared" si="780"/>
        <v>0</v>
      </c>
      <c r="CT1076" s="8">
        <f t="shared" si="785"/>
        <v>0</v>
      </c>
      <c r="CU1076" s="8">
        <f t="shared" si="786"/>
        <v>0</v>
      </c>
      <c r="CV1076" s="8">
        <f t="shared" si="787"/>
        <v>0</v>
      </c>
    </row>
    <row r="1077" spans="1:100" ht="20.5" thickTop="1" thickBot="1" x14ac:dyDescent="0.5">
      <c r="A1077" s="32"/>
      <c r="B1077" s="10"/>
      <c r="C1077" s="10"/>
      <c r="D1077" s="11"/>
      <c r="E1077" s="10"/>
      <c r="F1077" s="10"/>
      <c r="G1077" s="19"/>
      <c r="H1077" s="19"/>
      <c r="I1077" s="19"/>
      <c r="J1077" s="19"/>
      <c r="K1077" s="10"/>
      <c r="L1077" s="10"/>
      <c r="M1077" s="10"/>
      <c r="N1077" s="10"/>
      <c r="O1077" s="18"/>
      <c r="P1077" s="18"/>
      <c r="Q1077" s="21"/>
      <c r="R1077" s="20"/>
      <c r="S1077" s="16">
        <f t="shared" si="743"/>
        <v>0</v>
      </c>
      <c r="T1077" s="11"/>
      <c r="AS1077" s="31">
        <f t="shared" si="744"/>
        <v>0</v>
      </c>
      <c r="AT1077" s="31">
        <f t="shared" si="745"/>
        <v>0</v>
      </c>
      <c r="AU1077" s="31">
        <f t="shared" si="746"/>
        <v>0</v>
      </c>
      <c r="AV1077" s="31">
        <f t="shared" si="747"/>
        <v>0</v>
      </c>
      <c r="AW1077" s="31">
        <f t="shared" si="748"/>
        <v>0</v>
      </c>
      <c r="AX1077" s="31">
        <f t="shared" si="749"/>
        <v>0</v>
      </c>
      <c r="AY1077" s="31">
        <f t="shared" si="750"/>
        <v>0</v>
      </c>
      <c r="AZ1077" s="31">
        <f t="shared" si="751"/>
        <v>0</v>
      </c>
      <c r="BA1077" s="31">
        <f t="shared" si="752"/>
        <v>0</v>
      </c>
      <c r="BB1077" s="31">
        <f t="shared" si="781"/>
        <v>0</v>
      </c>
      <c r="BM1077" s="8">
        <f t="shared" si="782"/>
        <v>0</v>
      </c>
      <c r="BN1077" s="8">
        <f t="shared" si="753"/>
        <v>0</v>
      </c>
      <c r="BO1077" s="8">
        <f t="shared" si="754"/>
        <v>0</v>
      </c>
      <c r="BQ1077" s="8">
        <f t="shared" si="755"/>
        <v>0</v>
      </c>
      <c r="BR1077" s="63">
        <f t="shared" si="756"/>
        <v>0</v>
      </c>
      <c r="BS1077" s="63">
        <f t="shared" si="783"/>
        <v>0</v>
      </c>
      <c r="BT1077" s="63">
        <f t="shared" si="757"/>
        <v>0</v>
      </c>
      <c r="BU1077" s="63">
        <f t="shared" si="758"/>
        <v>0</v>
      </c>
      <c r="BV1077" s="57">
        <f t="shared" si="759"/>
        <v>0</v>
      </c>
      <c r="BW1077" s="57">
        <f t="shared" si="760"/>
        <v>0</v>
      </c>
      <c r="BX1077" s="57">
        <f t="shared" si="784"/>
        <v>0</v>
      </c>
      <c r="BY1077" s="57">
        <f t="shared" si="788"/>
        <v>0</v>
      </c>
      <c r="BZ1077" s="8">
        <f t="shared" si="761"/>
        <v>0</v>
      </c>
      <c r="CA1077" s="8">
        <f t="shared" si="762"/>
        <v>0</v>
      </c>
      <c r="CB1077" s="8">
        <f t="shared" si="763"/>
        <v>0</v>
      </c>
      <c r="CC1077" s="8">
        <f t="shared" si="764"/>
        <v>0</v>
      </c>
      <c r="CD1077" s="8">
        <f t="shared" si="765"/>
        <v>0</v>
      </c>
      <c r="CE1077" s="8">
        <f t="shared" si="766"/>
        <v>0</v>
      </c>
      <c r="CF1077" s="8">
        <f t="shared" si="767"/>
        <v>0</v>
      </c>
      <c r="CG1077" s="8">
        <f t="shared" si="768"/>
        <v>0</v>
      </c>
      <c r="CH1077" s="8">
        <f t="shared" si="769"/>
        <v>0</v>
      </c>
      <c r="CI1077" s="8">
        <f t="shared" si="770"/>
        <v>0</v>
      </c>
      <c r="CJ1077" s="8">
        <f t="shared" si="771"/>
        <v>0</v>
      </c>
      <c r="CK1077" s="8">
        <f t="shared" si="772"/>
        <v>0</v>
      </c>
      <c r="CL1077" s="8">
        <f t="shared" si="773"/>
        <v>0</v>
      </c>
      <c r="CM1077" s="8">
        <f t="shared" si="774"/>
        <v>0</v>
      </c>
      <c r="CN1077" s="8">
        <f t="shared" si="775"/>
        <v>0</v>
      </c>
      <c r="CO1077" s="8">
        <f t="shared" si="776"/>
        <v>0</v>
      </c>
      <c r="CP1077" s="8">
        <f t="shared" si="777"/>
        <v>0</v>
      </c>
      <c r="CQ1077" s="8">
        <f t="shared" si="778"/>
        <v>0</v>
      </c>
      <c r="CR1077" s="8">
        <f t="shared" si="779"/>
        <v>0</v>
      </c>
      <c r="CS1077" s="8">
        <f t="shared" si="780"/>
        <v>0</v>
      </c>
      <c r="CT1077" s="8">
        <f t="shared" si="785"/>
        <v>0</v>
      </c>
      <c r="CU1077" s="8">
        <f t="shared" si="786"/>
        <v>0</v>
      </c>
      <c r="CV1077" s="8">
        <f t="shared" si="787"/>
        <v>0</v>
      </c>
    </row>
    <row r="1078" spans="1:100" ht="20.5" thickTop="1" thickBot="1" x14ac:dyDescent="0.5">
      <c r="A1078" s="32"/>
      <c r="B1078" s="10"/>
      <c r="C1078" s="10"/>
      <c r="D1078" s="11"/>
      <c r="E1078" s="10"/>
      <c r="F1078" s="10"/>
      <c r="G1078" s="19"/>
      <c r="H1078" s="19"/>
      <c r="I1078" s="19"/>
      <c r="J1078" s="19"/>
      <c r="K1078" s="10"/>
      <c r="L1078" s="10"/>
      <c r="M1078" s="10"/>
      <c r="N1078" s="10"/>
      <c r="O1078" s="18"/>
      <c r="P1078" s="18"/>
      <c r="Q1078" s="21"/>
      <c r="R1078" s="20"/>
      <c r="S1078" s="16">
        <f t="shared" si="743"/>
        <v>0</v>
      </c>
      <c r="T1078" s="11"/>
      <c r="AS1078" s="31">
        <f t="shared" si="744"/>
        <v>0</v>
      </c>
      <c r="AT1078" s="31">
        <f t="shared" si="745"/>
        <v>0</v>
      </c>
      <c r="AU1078" s="31">
        <f t="shared" si="746"/>
        <v>0</v>
      </c>
      <c r="AV1078" s="31">
        <f t="shared" si="747"/>
        <v>0</v>
      </c>
      <c r="AW1078" s="31">
        <f t="shared" si="748"/>
        <v>0</v>
      </c>
      <c r="AX1078" s="31">
        <f t="shared" si="749"/>
        <v>0</v>
      </c>
      <c r="AY1078" s="31">
        <f t="shared" si="750"/>
        <v>0</v>
      </c>
      <c r="AZ1078" s="31">
        <f t="shared" si="751"/>
        <v>0</v>
      </c>
      <c r="BA1078" s="31">
        <f t="shared" si="752"/>
        <v>0</v>
      </c>
      <c r="BB1078" s="31">
        <f t="shared" si="781"/>
        <v>0</v>
      </c>
      <c r="BM1078" s="8">
        <f t="shared" si="782"/>
        <v>0</v>
      </c>
      <c r="BN1078" s="8">
        <f t="shared" si="753"/>
        <v>0</v>
      </c>
      <c r="BO1078" s="8">
        <f t="shared" si="754"/>
        <v>0</v>
      </c>
      <c r="BQ1078" s="8">
        <f t="shared" si="755"/>
        <v>0</v>
      </c>
      <c r="BR1078" s="63">
        <f t="shared" si="756"/>
        <v>0</v>
      </c>
      <c r="BS1078" s="63">
        <f t="shared" si="783"/>
        <v>0</v>
      </c>
      <c r="BT1078" s="63">
        <f t="shared" si="757"/>
        <v>0</v>
      </c>
      <c r="BU1078" s="63">
        <f t="shared" si="758"/>
        <v>0</v>
      </c>
      <c r="BV1078" s="57">
        <f t="shared" si="759"/>
        <v>0</v>
      </c>
      <c r="BW1078" s="57">
        <f t="shared" si="760"/>
        <v>0</v>
      </c>
      <c r="BX1078" s="57">
        <f t="shared" si="784"/>
        <v>0</v>
      </c>
      <c r="BY1078" s="57">
        <f t="shared" si="788"/>
        <v>0</v>
      </c>
      <c r="BZ1078" s="8">
        <f t="shared" si="761"/>
        <v>0</v>
      </c>
      <c r="CA1078" s="8">
        <f t="shared" si="762"/>
        <v>0</v>
      </c>
      <c r="CB1078" s="8">
        <f t="shared" si="763"/>
        <v>0</v>
      </c>
      <c r="CC1078" s="8">
        <f t="shared" si="764"/>
        <v>0</v>
      </c>
      <c r="CD1078" s="8">
        <f t="shared" si="765"/>
        <v>0</v>
      </c>
      <c r="CE1078" s="8">
        <f t="shared" si="766"/>
        <v>0</v>
      </c>
      <c r="CF1078" s="8">
        <f t="shared" si="767"/>
        <v>0</v>
      </c>
      <c r="CG1078" s="8">
        <f t="shared" si="768"/>
        <v>0</v>
      </c>
      <c r="CH1078" s="8">
        <f t="shared" si="769"/>
        <v>0</v>
      </c>
      <c r="CI1078" s="8">
        <f t="shared" si="770"/>
        <v>0</v>
      </c>
      <c r="CJ1078" s="8">
        <f t="shared" si="771"/>
        <v>0</v>
      </c>
      <c r="CK1078" s="8">
        <f t="shared" si="772"/>
        <v>0</v>
      </c>
      <c r="CL1078" s="8">
        <f t="shared" si="773"/>
        <v>0</v>
      </c>
      <c r="CM1078" s="8">
        <f t="shared" si="774"/>
        <v>0</v>
      </c>
      <c r="CN1078" s="8">
        <f t="shared" si="775"/>
        <v>0</v>
      </c>
      <c r="CO1078" s="8">
        <f t="shared" si="776"/>
        <v>0</v>
      </c>
      <c r="CP1078" s="8">
        <f t="shared" si="777"/>
        <v>0</v>
      </c>
      <c r="CQ1078" s="8">
        <f t="shared" si="778"/>
        <v>0</v>
      </c>
      <c r="CR1078" s="8">
        <f t="shared" si="779"/>
        <v>0</v>
      </c>
      <c r="CS1078" s="8">
        <f t="shared" si="780"/>
        <v>0</v>
      </c>
      <c r="CT1078" s="8">
        <f t="shared" si="785"/>
        <v>0</v>
      </c>
      <c r="CU1078" s="8">
        <f t="shared" si="786"/>
        <v>0</v>
      </c>
      <c r="CV1078" s="8">
        <f t="shared" si="787"/>
        <v>0</v>
      </c>
    </row>
    <row r="1079" spans="1:100" ht="20.5" thickTop="1" thickBot="1" x14ac:dyDescent="0.5">
      <c r="A1079" s="32"/>
      <c r="B1079" s="10"/>
      <c r="C1079" s="10"/>
      <c r="D1079" s="11"/>
      <c r="E1079" s="10"/>
      <c r="F1079" s="10"/>
      <c r="G1079" s="19"/>
      <c r="H1079" s="19"/>
      <c r="I1079" s="19"/>
      <c r="J1079" s="19"/>
      <c r="K1079" s="10"/>
      <c r="L1079" s="10"/>
      <c r="M1079" s="10"/>
      <c r="N1079" s="10"/>
      <c r="O1079" s="18"/>
      <c r="P1079" s="18"/>
      <c r="Q1079" s="21"/>
      <c r="R1079" s="20"/>
      <c r="S1079" s="16">
        <f t="shared" si="743"/>
        <v>0</v>
      </c>
      <c r="T1079" s="11"/>
      <c r="AS1079" s="31">
        <f t="shared" si="744"/>
        <v>0</v>
      </c>
      <c r="AT1079" s="31">
        <f t="shared" si="745"/>
        <v>0</v>
      </c>
      <c r="AU1079" s="31">
        <f t="shared" si="746"/>
        <v>0</v>
      </c>
      <c r="AV1079" s="31">
        <f t="shared" si="747"/>
        <v>0</v>
      </c>
      <c r="AW1079" s="31">
        <f t="shared" si="748"/>
        <v>0</v>
      </c>
      <c r="AX1079" s="31">
        <f t="shared" si="749"/>
        <v>0</v>
      </c>
      <c r="AY1079" s="31">
        <f t="shared" si="750"/>
        <v>0</v>
      </c>
      <c r="AZ1079" s="31">
        <f t="shared" si="751"/>
        <v>0</v>
      </c>
      <c r="BA1079" s="31">
        <f t="shared" si="752"/>
        <v>0</v>
      </c>
      <c r="BB1079" s="31">
        <f t="shared" si="781"/>
        <v>0</v>
      </c>
      <c r="BM1079" s="8">
        <f t="shared" si="782"/>
        <v>0</v>
      </c>
      <c r="BN1079" s="8">
        <f t="shared" si="753"/>
        <v>0</v>
      </c>
      <c r="BO1079" s="8">
        <f t="shared" si="754"/>
        <v>0</v>
      </c>
      <c r="BQ1079" s="8">
        <f t="shared" si="755"/>
        <v>0</v>
      </c>
      <c r="BR1079" s="63">
        <f t="shared" si="756"/>
        <v>0</v>
      </c>
      <c r="BS1079" s="63">
        <f t="shared" si="783"/>
        <v>0</v>
      </c>
      <c r="BT1079" s="63">
        <f t="shared" si="757"/>
        <v>0</v>
      </c>
      <c r="BU1079" s="63">
        <f t="shared" si="758"/>
        <v>0</v>
      </c>
      <c r="BV1079" s="57">
        <f t="shared" si="759"/>
        <v>0</v>
      </c>
      <c r="BW1079" s="57">
        <f t="shared" si="760"/>
        <v>0</v>
      </c>
      <c r="BX1079" s="57">
        <f t="shared" si="784"/>
        <v>0</v>
      </c>
      <c r="BY1079" s="57">
        <f t="shared" si="788"/>
        <v>0</v>
      </c>
      <c r="BZ1079" s="8">
        <f t="shared" si="761"/>
        <v>0</v>
      </c>
      <c r="CA1079" s="8">
        <f t="shared" si="762"/>
        <v>0</v>
      </c>
      <c r="CB1079" s="8">
        <f t="shared" si="763"/>
        <v>0</v>
      </c>
      <c r="CC1079" s="8">
        <f t="shared" si="764"/>
        <v>0</v>
      </c>
      <c r="CD1079" s="8">
        <f t="shared" si="765"/>
        <v>0</v>
      </c>
      <c r="CE1079" s="8">
        <f t="shared" si="766"/>
        <v>0</v>
      </c>
      <c r="CF1079" s="8">
        <f t="shared" si="767"/>
        <v>0</v>
      </c>
      <c r="CG1079" s="8">
        <f t="shared" si="768"/>
        <v>0</v>
      </c>
      <c r="CH1079" s="8">
        <f t="shared" si="769"/>
        <v>0</v>
      </c>
      <c r="CI1079" s="8">
        <f t="shared" si="770"/>
        <v>0</v>
      </c>
      <c r="CJ1079" s="8">
        <f t="shared" si="771"/>
        <v>0</v>
      </c>
      <c r="CK1079" s="8">
        <f t="shared" si="772"/>
        <v>0</v>
      </c>
      <c r="CL1079" s="8">
        <f t="shared" si="773"/>
        <v>0</v>
      </c>
      <c r="CM1079" s="8">
        <f t="shared" si="774"/>
        <v>0</v>
      </c>
      <c r="CN1079" s="8">
        <f t="shared" si="775"/>
        <v>0</v>
      </c>
      <c r="CO1079" s="8">
        <f t="shared" si="776"/>
        <v>0</v>
      </c>
      <c r="CP1079" s="8">
        <f t="shared" si="777"/>
        <v>0</v>
      </c>
      <c r="CQ1079" s="8">
        <f t="shared" si="778"/>
        <v>0</v>
      </c>
      <c r="CR1079" s="8">
        <f t="shared" si="779"/>
        <v>0</v>
      </c>
      <c r="CS1079" s="8">
        <f t="shared" si="780"/>
        <v>0</v>
      </c>
      <c r="CT1079" s="8">
        <f t="shared" si="785"/>
        <v>0</v>
      </c>
      <c r="CU1079" s="8">
        <f t="shared" si="786"/>
        <v>0</v>
      </c>
      <c r="CV1079" s="8">
        <f t="shared" si="787"/>
        <v>0</v>
      </c>
    </row>
    <row r="1080" spans="1:100" ht="20.5" thickTop="1" thickBot="1" x14ac:dyDescent="0.5">
      <c r="A1080" s="32"/>
      <c r="B1080" s="10"/>
      <c r="C1080" s="10"/>
      <c r="D1080" s="11"/>
      <c r="E1080" s="10"/>
      <c r="F1080" s="10"/>
      <c r="G1080" s="19"/>
      <c r="H1080" s="19"/>
      <c r="I1080" s="19"/>
      <c r="J1080" s="19"/>
      <c r="K1080" s="10"/>
      <c r="L1080" s="10"/>
      <c r="M1080" s="10"/>
      <c r="N1080" s="10"/>
      <c r="O1080" s="18"/>
      <c r="P1080" s="18"/>
      <c r="Q1080" s="21"/>
      <c r="R1080" s="20"/>
      <c r="S1080" s="16">
        <f t="shared" si="743"/>
        <v>0</v>
      </c>
      <c r="T1080" s="11"/>
      <c r="AS1080" s="31">
        <f t="shared" si="744"/>
        <v>0</v>
      </c>
      <c r="AT1080" s="31">
        <f t="shared" si="745"/>
        <v>0</v>
      </c>
      <c r="AU1080" s="31">
        <f t="shared" si="746"/>
        <v>0</v>
      </c>
      <c r="AV1080" s="31">
        <f t="shared" si="747"/>
        <v>0</v>
      </c>
      <c r="AW1080" s="31">
        <f t="shared" si="748"/>
        <v>0</v>
      </c>
      <c r="AX1080" s="31">
        <f t="shared" si="749"/>
        <v>0</v>
      </c>
      <c r="AY1080" s="31">
        <f t="shared" si="750"/>
        <v>0</v>
      </c>
      <c r="AZ1080" s="31">
        <f t="shared" si="751"/>
        <v>0</v>
      </c>
      <c r="BA1080" s="31">
        <f t="shared" si="752"/>
        <v>0</v>
      </c>
      <c r="BB1080" s="31">
        <f t="shared" si="781"/>
        <v>0</v>
      </c>
      <c r="BM1080" s="8">
        <f t="shared" si="782"/>
        <v>0</v>
      </c>
      <c r="BN1080" s="8">
        <f t="shared" si="753"/>
        <v>0</v>
      </c>
      <c r="BO1080" s="8">
        <f t="shared" si="754"/>
        <v>0</v>
      </c>
      <c r="BQ1080" s="8">
        <f t="shared" si="755"/>
        <v>0</v>
      </c>
      <c r="BR1080" s="63">
        <f t="shared" si="756"/>
        <v>0</v>
      </c>
      <c r="BS1080" s="63">
        <f t="shared" si="783"/>
        <v>0</v>
      </c>
      <c r="BT1080" s="63">
        <f t="shared" si="757"/>
        <v>0</v>
      </c>
      <c r="BU1080" s="63">
        <f t="shared" si="758"/>
        <v>0</v>
      </c>
      <c r="BV1080" s="57">
        <f t="shared" si="759"/>
        <v>0</v>
      </c>
      <c r="BW1080" s="57">
        <f t="shared" si="760"/>
        <v>0</v>
      </c>
      <c r="BX1080" s="57">
        <f t="shared" si="784"/>
        <v>0</v>
      </c>
      <c r="BY1080" s="57">
        <f t="shared" si="788"/>
        <v>0</v>
      </c>
      <c r="BZ1080" s="8">
        <f t="shared" si="761"/>
        <v>0</v>
      </c>
      <c r="CA1080" s="8">
        <f t="shared" si="762"/>
        <v>0</v>
      </c>
      <c r="CB1080" s="8">
        <f t="shared" si="763"/>
        <v>0</v>
      </c>
      <c r="CC1080" s="8">
        <f t="shared" si="764"/>
        <v>0</v>
      </c>
      <c r="CD1080" s="8">
        <f t="shared" si="765"/>
        <v>0</v>
      </c>
      <c r="CE1080" s="8">
        <f t="shared" si="766"/>
        <v>0</v>
      </c>
      <c r="CF1080" s="8">
        <f t="shared" si="767"/>
        <v>0</v>
      </c>
      <c r="CG1080" s="8">
        <f t="shared" si="768"/>
        <v>0</v>
      </c>
      <c r="CH1080" s="8">
        <f t="shared" si="769"/>
        <v>0</v>
      </c>
      <c r="CI1080" s="8">
        <f t="shared" si="770"/>
        <v>0</v>
      </c>
      <c r="CJ1080" s="8">
        <f t="shared" si="771"/>
        <v>0</v>
      </c>
      <c r="CK1080" s="8">
        <f t="shared" si="772"/>
        <v>0</v>
      </c>
      <c r="CL1080" s="8">
        <f t="shared" si="773"/>
        <v>0</v>
      </c>
      <c r="CM1080" s="8">
        <f t="shared" si="774"/>
        <v>0</v>
      </c>
      <c r="CN1080" s="8">
        <f t="shared" si="775"/>
        <v>0</v>
      </c>
      <c r="CO1080" s="8">
        <f t="shared" si="776"/>
        <v>0</v>
      </c>
      <c r="CP1080" s="8">
        <f t="shared" si="777"/>
        <v>0</v>
      </c>
      <c r="CQ1080" s="8">
        <f t="shared" si="778"/>
        <v>0</v>
      </c>
      <c r="CR1080" s="8">
        <f t="shared" si="779"/>
        <v>0</v>
      </c>
      <c r="CS1080" s="8">
        <f t="shared" si="780"/>
        <v>0</v>
      </c>
      <c r="CT1080" s="8">
        <f t="shared" si="785"/>
        <v>0</v>
      </c>
      <c r="CU1080" s="8">
        <f t="shared" si="786"/>
        <v>0</v>
      </c>
      <c r="CV1080" s="8">
        <f t="shared" si="787"/>
        <v>0</v>
      </c>
    </row>
    <row r="1081" spans="1:100" ht="20.5" thickTop="1" thickBot="1" x14ac:dyDescent="0.5">
      <c r="A1081" s="32"/>
      <c r="B1081" s="10"/>
      <c r="C1081" s="10"/>
      <c r="D1081" s="11"/>
      <c r="E1081" s="10"/>
      <c r="F1081" s="10"/>
      <c r="G1081" s="19"/>
      <c r="H1081" s="19"/>
      <c r="I1081" s="19"/>
      <c r="J1081" s="19"/>
      <c r="K1081" s="10"/>
      <c r="L1081" s="10"/>
      <c r="M1081" s="10"/>
      <c r="N1081" s="10"/>
      <c r="O1081" s="18"/>
      <c r="P1081" s="18"/>
      <c r="Q1081" s="21"/>
      <c r="R1081" s="20"/>
      <c r="S1081" s="16">
        <f t="shared" si="743"/>
        <v>0</v>
      </c>
      <c r="T1081" s="11"/>
      <c r="AS1081" s="31">
        <f t="shared" si="744"/>
        <v>0</v>
      </c>
      <c r="AT1081" s="31">
        <f t="shared" si="745"/>
        <v>0</v>
      </c>
      <c r="AU1081" s="31">
        <f t="shared" si="746"/>
        <v>0</v>
      </c>
      <c r="AV1081" s="31">
        <f t="shared" si="747"/>
        <v>0</v>
      </c>
      <c r="AW1081" s="31">
        <f t="shared" si="748"/>
        <v>0</v>
      </c>
      <c r="AX1081" s="31">
        <f t="shared" si="749"/>
        <v>0</v>
      </c>
      <c r="AY1081" s="31">
        <f t="shared" si="750"/>
        <v>0</v>
      </c>
      <c r="AZ1081" s="31">
        <f t="shared" si="751"/>
        <v>0</v>
      </c>
      <c r="BA1081" s="31">
        <f t="shared" si="752"/>
        <v>0</v>
      </c>
      <c r="BB1081" s="31">
        <f t="shared" si="781"/>
        <v>0</v>
      </c>
      <c r="BM1081" s="8">
        <f t="shared" si="782"/>
        <v>0</v>
      </c>
      <c r="BN1081" s="8">
        <f t="shared" si="753"/>
        <v>0</v>
      </c>
      <c r="BO1081" s="8">
        <f t="shared" si="754"/>
        <v>0</v>
      </c>
      <c r="BQ1081" s="8">
        <f t="shared" si="755"/>
        <v>0</v>
      </c>
      <c r="BR1081" s="63">
        <f t="shared" si="756"/>
        <v>0</v>
      </c>
      <c r="BS1081" s="63">
        <f t="shared" si="783"/>
        <v>0</v>
      </c>
      <c r="BT1081" s="63">
        <f t="shared" si="757"/>
        <v>0</v>
      </c>
      <c r="BU1081" s="63">
        <f t="shared" si="758"/>
        <v>0</v>
      </c>
      <c r="BV1081" s="57">
        <f t="shared" si="759"/>
        <v>0</v>
      </c>
      <c r="BW1081" s="57">
        <f t="shared" si="760"/>
        <v>0</v>
      </c>
      <c r="BX1081" s="57">
        <f t="shared" si="784"/>
        <v>0</v>
      </c>
      <c r="BY1081" s="57">
        <f t="shared" si="788"/>
        <v>0</v>
      </c>
      <c r="BZ1081" s="8">
        <f t="shared" si="761"/>
        <v>0</v>
      </c>
      <c r="CA1081" s="8">
        <f t="shared" si="762"/>
        <v>0</v>
      </c>
      <c r="CB1081" s="8">
        <f t="shared" si="763"/>
        <v>0</v>
      </c>
      <c r="CC1081" s="8">
        <f t="shared" si="764"/>
        <v>0</v>
      </c>
      <c r="CD1081" s="8">
        <f t="shared" si="765"/>
        <v>0</v>
      </c>
      <c r="CE1081" s="8">
        <f t="shared" si="766"/>
        <v>0</v>
      </c>
      <c r="CF1081" s="8">
        <f t="shared" si="767"/>
        <v>0</v>
      </c>
      <c r="CG1081" s="8">
        <f t="shared" si="768"/>
        <v>0</v>
      </c>
      <c r="CH1081" s="8">
        <f t="shared" si="769"/>
        <v>0</v>
      </c>
      <c r="CI1081" s="8">
        <f t="shared" si="770"/>
        <v>0</v>
      </c>
      <c r="CJ1081" s="8">
        <f t="shared" si="771"/>
        <v>0</v>
      </c>
      <c r="CK1081" s="8">
        <f t="shared" si="772"/>
        <v>0</v>
      </c>
      <c r="CL1081" s="8">
        <f t="shared" si="773"/>
        <v>0</v>
      </c>
      <c r="CM1081" s="8">
        <f t="shared" si="774"/>
        <v>0</v>
      </c>
      <c r="CN1081" s="8">
        <f t="shared" si="775"/>
        <v>0</v>
      </c>
      <c r="CO1081" s="8">
        <f t="shared" si="776"/>
        <v>0</v>
      </c>
      <c r="CP1081" s="8">
        <f t="shared" si="777"/>
        <v>0</v>
      </c>
      <c r="CQ1081" s="8">
        <f t="shared" si="778"/>
        <v>0</v>
      </c>
      <c r="CR1081" s="8">
        <f t="shared" si="779"/>
        <v>0</v>
      </c>
      <c r="CS1081" s="8">
        <f t="shared" si="780"/>
        <v>0</v>
      </c>
      <c r="CT1081" s="8">
        <f t="shared" si="785"/>
        <v>0</v>
      </c>
      <c r="CU1081" s="8">
        <f t="shared" si="786"/>
        <v>0</v>
      </c>
      <c r="CV1081" s="8">
        <f t="shared" si="787"/>
        <v>0</v>
      </c>
    </row>
    <row r="1082" spans="1:100" ht="20.5" thickTop="1" thickBot="1" x14ac:dyDescent="0.5">
      <c r="A1082" s="32"/>
      <c r="B1082" s="10"/>
      <c r="C1082" s="10"/>
      <c r="D1082" s="11"/>
      <c r="E1082" s="10"/>
      <c r="F1082" s="10"/>
      <c r="G1082" s="19"/>
      <c r="H1082" s="19"/>
      <c r="I1082" s="19"/>
      <c r="J1082" s="19"/>
      <c r="K1082" s="10"/>
      <c r="L1082" s="10"/>
      <c r="M1082" s="10"/>
      <c r="N1082" s="10"/>
      <c r="O1082" s="18"/>
      <c r="P1082" s="18"/>
      <c r="Q1082" s="21"/>
      <c r="R1082" s="20"/>
      <c r="S1082" s="16">
        <f t="shared" si="743"/>
        <v>0</v>
      </c>
      <c r="T1082" s="11"/>
      <c r="AS1082" s="31">
        <f t="shared" si="744"/>
        <v>0</v>
      </c>
      <c r="AT1082" s="31">
        <f t="shared" si="745"/>
        <v>0</v>
      </c>
      <c r="AU1082" s="31">
        <f t="shared" si="746"/>
        <v>0</v>
      </c>
      <c r="AV1082" s="31">
        <f t="shared" si="747"/>
        <v>0</v>
      </c>
      <c r="AW1082" s="31">
        <f t="shared" si="748"/>
        <v>0</v>
      </c>
      <c r="AX1082" s="31">
        <f t="shared" si="749"/>
        <v>0</v>
      </c>
      <c r="AY1082" s="31">
        <f t="shared" si="750"/>
        <v>0</v>
      </c>
      <c r="AZ1082" s="31">
        <f t="shared" si="751"/>
        <v>0</v>
      </c>
      <c r="BA1082" s="31">
        <f t="shared" si="752"/>
        <v>0</v>
      </c>
      <c r="BB1082" s="31">
        <f t="shared" si="781"/>
        <v>0</v>
      </c>
      <c r="BM1082" s="8">
        <f t="shared" si="782"/>
        <v>0</v>
      </c>
      <c r="BN1082" s="8">
        <f t="shared" si="753"/>
        <v>0</v>
      </c>
      <c r="BO1082" s="8">
        <f t="shared" si="754"/>
        <v>0</v>
      </c>
      <c r="BQ1082" s="8">
        <f t="shared" si="755"/>
        <v>0</v>
      </c>
      <c r="BR1082" s="63">
        <f t="shared" si="756"/>
        <v>0</v>
      </c>
      <c r="BS1082" s="63">
        <f t="shared" si="783"/>
        <v>0</v>
      </c>
      <c r="BT1082" s="63">
        <f t="shared" si="757"/>
        <v>0</v>
      </c>
      <c r="BU1082" s="63">
        <f t="shared" si="758"/>
        <v>0</v>
      </c>
      <c r="BV1082" s="57">
        <f t="shared" si="759"/>
        <v>0</v>
      </c>
      <c r="BW1082" s="57">
        <f t="shared" si="760"/>
        <v>0</v>
      </c>
      <c r="BX1082" s="57">
        <f t="shared" si="784"/>
        <v>0</v>
      </c>
      <c r="BY1082" s="57">
        <f t="shared" si="788"/>
        <v>0</v>
      </c>
      <c r="BZ1082" s="8">
        <f t="shared" si="761"/>
        <v>0</v>
      </c>
      <c r="CA1082" s="8">
        <f t="shared" si="762"/>
        <v>0</v>
      </c>
      <c r="CB1082" s="8">
        <f t="shared" si="763"/>
        <v>0</v>
      </c>
      <c r="CC1082" s="8">
        <f t="shared" si="764"/>
        <v>0</v>
      </c>
      <c r="CD1082" s="8">
        <f t="shared" si="765"/>
        <v>0</v>
      </c>
      <c r="CE1082" s="8">
        <f t="shared" si="766"/>
        <v>0</v>
      </c>
      <c r="CF1082" s="8">
        <f t="shared" si="767"/>
        <v>0</v>
      </c>
      <c r="CG1082" s="8">
        <f t="shared" si="768"/>
        <v>0</v>
      </c>
      <c r="CH1082" s="8">
        <f t="shared" si="769"/>
        <v>0</v>
      </c>
      <c r="CI1082" s="8">
        <f t="shared" si="770"/>
        <v>0</v>
      </c>
      <c r="CJ1082" s="8">
        <f t="shared" si="771"/>
        <v>0</v>
      </c>
      <c r="CK1082" s="8">
        <f t="shared" si="772"/>
        <v>0</v>
      </c>
      <c r="CL1082" s="8">
        <f t="shared" si="773"/>
        <v>0</v>
      </c>
      <c r="CM1082" s="8">
        <f t="shared" si="774"/>
        <v>0</v>
      </c>
      <c r="CN1082" s="8">
        <f t="shared" si="775"/>
        <v>0</v>
      </c>
      <c r="CO1082" s="8">
        <f t="shared" si="776"/>
        <v>0</v>
      </c>
      <c r="CP1082" s="8">
        <f t="shared" si="777"/>
        <v>0</v>
      </c>
      <c r="CQ1082" s="8">
        <f t="shared" si="778"/>
        <v>0</v>
      </c>
      <c r="CR1082" s="8">
        <f t="shared" si="779"/>
        <v>0</v>
      </c>
      <c r="CS1082" s="8">
        <f t="shared" si="780"/>
        <v>0</v>
      </c>
      <c r="CT1082" s="8">
        <f t="shared" si="785"/>
        <v>0</v>
      </c>
      <c r="CU1082" s="8">
        <f t="shared" si="786"/>
        <v>0</v>
      </c>
      <c r="CV1082" s="8">
        <f t="shared" si="787"/>
        <v>0</v>
      </c>
    </row>
    <row r="1083" spans="1:100" ht="20.5" thickTop="1" thickBot="1" x14ac:dyDescent="0.5">
      <c r="A1083" s="32"/>
      <c r="B1083" s="10"/>
      <c r="C1083" s="10"/>
      <c r="D1083" s="11"/>
      <c r="E1083" s="10"/>
      <c r="F1083" s="10"/>
      <c r="G1083" s="19"/>
      <c r="H1083" s="19"/>
      <c r="I1083" s="19"/>
      <c r="J1083" s="19"/>
      <c r="K1083" s="10"/>
      <c r="L1083" s="10"/>
      <c r="M1083" s="10"/>
      <c r="N1083" s="10"/>
      <c r="O1083" s="18"/>
      <c r="P1083" s="18"/>
      <c r="Q1083" s="21"/>
      <c r="R1083" s="20"/>
      <c r="S1083" s="16">
        <f t="shared" si="743"/>
        <v>0</v>
      </c>
      <c r="T1083" s="11"/>
      <c r="AS1083" s="31">
        <f t="shared" si="744"/>
        <v>0</v>
      </c>
      <c r="AT1083" s="31">
        <f t="shared" si="745"/>
        <v>0</v>
      </c>
      <c r="AU1083" s="31">
        <f t="shared" si="746"/>
        <v>0</v>
      </c>
      <c r="AV1083" s="31">
        <f t="shared" si="747"/>
        <v>0</v>
      </c>
      <c r="AW1083" s="31">
        <f t="shared" si="748"/>
        <v>0</v>
      </c>
      <c r="AX1083" s="31">
        <f t="shared" si="749"/>
        <v>0</v>
      </c>
      <c r="AY1083" s="31">
        <f t="shared" si="750"/>
        <v>0</v>
      </c>
      <c r="AZ1083" s="31">
        <f t="shared" si="751"/>
        <v>0</v>
      </c>
      <c r="BA1083" s="31">
        <f t="shared" si="752"/>
        <v>0</v>
      </c>
      <c r="BB1083" s="31">
        <f t="shared" si="781"/>
        <v>0</v>
      </c>
      <c r="BM1083" s="8">
        <f t="shared" si="782"/>
        <v>0</v>
      </c>
      <c r="BN1083" s="8">
        <f t="shared" si="753"/>
        <v>0</v>
      </c>
      <c r="BO1083" s="8">
        <f t="shared" si="754"/>
        <v>0</v>
      </c>
      <c r="BQ1083" s="8">
        <f t="shared" si="755"/>
        <v>0</v>
      </c>
      <c r="BR1083" s="63">
        <f t="shared" si="756"/>
        <v>0</v>
      </c>
      <c r="BS1083" s="63">
        <f t="shared" si="783"/>
        <v>0</v>
      </c>
      <c r="BT1083" s="63">
        <f t="shared" si="757"/>
        <v>0</v>
      </c>
      <c r="BU1083" s="63">
        <f t="shared" si="758"/>
        <v>0</v>
      </c>
      <c r="BV1083" s="57">
        <f t="shared" si="759"/>
        <v>0</v>
      </c>
      <c r="BW1083" s="57">
        <f t="shared" si="760"/>
        <v>0</v>
      </c>
      <c r="BX1083" s="57">
        <f t="shared" si="784"/>
        <v>0</v>
      </c>
      <c r="BY1083" s="57">
        <f t="shared" si="788"/>
        <v>0</v>
      </c>
      <c r="BZ1083" s="8">
        <f t="shared" si="761"/>
        <v>0</v>
      </c>
      <c r="CA1083" s="8">
        <f t="shared" si="762"/>
        <v>0</v>
      </c>
      <c r="CB1083" s="8">
        <f t="shared" si="763"/>
        <v>0</v>
      </c>
      <c r="CC1083" s="8">
        <f t="shared" si="764"/>
        <v>0</v>
      </c>
      <c r="CD1083" s="8">
        <f t="shared" si="765"/>
        <v>0</v>
      </c>
      <c r="CE1083" s="8">
        <f t="shared" si="766"/>
        <v>0</v>
      </c>
      <c r="CF1083" s="8">
        <f t="shared" si="767"/>
        <v>0</v>
      </c>
      <c r="CG1083" s="8">
        <f t="shared" si="768"/>
        <v>0</v>
      </c>
      <c r="CH1083" s="8">
        <f t="shared" si="769"/>
        <v>0</v>
      </c>
      <c r="CI1083" s="8">
        <f t="shared" si="770"/>
        <v>0</v>
      </c>
      <c r="CJ1083" s="8">
        <f t="shared" si="771"/>
        <v>0</v>
      </c>
      <c r="CK1083" s="8">
        <f t="shared" si="772"/>
        <v>0</v>
      </c>
      <c r="CL1083" s="8">
        <f t="shared" si="773"/>
        <v>0</v>
      </c>
      <c r="CM1083" s="8">
        <f t="shared" si="774"/>
        <v>0</v>
      </c>
      <c r="CN1083" s="8">
        <f t="shared" si="775"/>
        <v>0</v>
      </c>
      <c r="CO1083" s="8">
        <f t="shared" si="776"/>
        <v>0</v>
      </c>
      <c r="CP1083" s="8">
        <f t="shared" si="777"/>
        <v>0</v>
      </c>
      <c r="CQ1083" s="8">
        <f t="shared" si="778"/>
        <v>0</v>
      </c>
      <c r="CR1083" s="8">
        <f t="shared" si="779"/>
        <v>0</v>
      </c>
      <c r="CS1083" s="8">
        <f t="shared" si="780"/>
        <v>0</v>
      </c>
      <c r="CT1083" s="8">
        <f t="shared" si="785"/>
        <v>0</v>
      </c>
      <c r="CU1083" s="8">
        <f t="shared" si="786"/>
        <v>0</v>
      </c>
      <c r="CV1083" s="8">
        <f t="shared" si="787"/>
        <v>0</v>
      </c>
    </row>
    <row r="1084" spans="1:100" ht="20.5" thickTop="1" thickBot="1" x14ac:dyDescent="0.5">
      <c r="A1084" s="32"/>
      <c r="B1084" s="10"/>
      <c r="C1084" s="10"/>
      <c r="D1084" s="11"/>
      <c r="E1084" s="10"/>
      <c r="F1084" s="10"/>
      <c r="G1084" s="19"/>
      <c r="H1084" s="19"/>
      <c r="I1084" s="19"/>
      <c r="J1084" s="19"/>
      <c r="K1084" s="10"/>
      <c r="L1084" s="10"/>
      <c r="M1084" s="10"/>
      <c r="N1084" s="10"/>
      <c r="O1084" s="18"/>
      <c r="P1084" s="18"/>
      <c r="Q1084" s="21"/>
      <c r="R1084" s="20"/>
      <c r="S1084" s="16">
        <f t="shared" si="743"/>
        <v>0</v>
      </c>
      <c r="T1084" s="11"/>
      <c r="AS1084" s="31">
        <f t="shared" si="744"/>
        <v>0</v>
      </c>
      <c r="AT1084" s="31">
        <f t="shared" si="745"/>
        <v>0</v>
      </c>
      <c r="AU1084" s="31">
        <f t="shared" si="746"/>
        <v>0</v>
      </c>
      <c r="AV1084" s="31">
        <f t="shared" si="747"/>
        <v>0</v>
      </c>
      <c r="AW1084" s="31">
        <f t="shared" si="748"/>
        <v>0</v>
      </c>
      <c r="AX1084" s="31">
        <f t="shared" si="749"/>
        <v>0</v>
      </c>
      <c r="AY1084" s="31">
        <f t="shared" si="750"/>
        <v>0</v>
      </c>
      <c r="AZ1084" s="31">
        <f t="shared" si="751"/>
        <v>0</v>
      </c>
      <c r="BA1084" s="31">
        <f t="shared" si="752"/>
        <v>0</v>
      </c>
      <c r="BB1084" s="31">
        <f t="shared" si="781"/>
        <v>0</v>
      </c>
      <c r="BM1084" s="8">
        <f t="shared" si="782"/>
        <v>0</v>
      </c>
      <c r="BN1084" s="8">
        <f t="shared" si="753"/>
        <v>0</v>
      </c>
      <c r="BO1084" s="8">
        <f t="shared" si="754"/>
        <v>0</v>
      </c>
      <c r="BQ1084" s="8">
        <f t="shared" si="755"/>
        <v>0</v>
      </c>
      <c r="BR1084" s="63">
        <f t="shared" si="756"/>
        <v>0</v>
      </c>
      <c r="BS1084" s="63">
        <f t="shared" si="783"/>
        <v>0</v>
      </c>
      <c r="BT1084" s="63">
        <f t="shared" si="757"/>
        <v>0</v>
      </c>
      <c r="BU1084" s="63">
        <f t="shared" si="758"/>
        <v>0</v>
      </c>
      <c r="BV1084" s="57">
        <f t="shared" si="759"/>
        <v>0</v>
      </c>
      <c r="BW1084" s="57">
        <f t="shared" si="760"/>
        <v>0</v>
      </c>
      <c r="BX1084" s="57">
        <f t="shared" si="784"/>
        <v>0</v>
      </c>
      <c r="BY1084" s="57">
        <f t="shared" si="788"/>
        <v>0</v>
      </c>
      <c r="BZ1084" s="8">
        <f t="shared" si="761"/>
        <v>0</v>
      </c>
      <c r="CA1084" s="8">
        <f t="shared" si="762"/>
        <v>0</v>
      </c>
      <c r="CB1084" s="8">
        <f t="shared" si="763"/>
        <v>0</v>
      </c>
      <c r="CC1084" s="8">
        <f t="shared" si="764"/>
        <v>0</v>
      </c>
      <c r="CD1084" s="8">
        <f t="shared" si="765"/>
        <v>0</v>
      </c>
      <c r="CE1084" s="8">
        <f t="shared" si="766"/>
        <v>0</v>
      </c>
      <c r="CF1084" s="8">
        <f t="shared" si="767"/>
        <v>0</v>
      </c>
      <c r="CG1084" s="8">
        <f t="shared" si="768"/>
        <v>0</v>
      </c>
      <c r="CH1084" s="8">
        <f t="shared" si="769"/>
        <v>0</v>
      </c>
      <c r="CI1084" s="8">
        <f t="shared" si="770"/>
        <v>0</v>
      </c>
      <c r="CJ1084" s="8">
        <f t="shared" si="771"/>
        <v>0</v>
      </c>
      <c r="CK1084" s="8">
        <f t="shared" si="772"/>
        <v>0</v>
      </c>
      <c r="CL1084" s="8">
        <f t="shared" si="773"/>
        <v>0</v>
      </c>
      <c r="CM1084" s="8">
        <f t="shared" si="774"/>
        <v>0</v>
      </c>
      <c r="CN1084" s="8">
        <f t="shared" si="775"/>
        <v>0</v>
      </c>
      <c r="CO1084" s="8">
        <f t="shared" si="776"/>
        <v>0</v>
      </c>
      <c r="CP1084" s="8">
        <f t="shared" si="777"/>
        <v>0</v>
      </c>
      <c r="CQ1084" s="8">
        <f t="shared" si="778"/>
        <v>0</v>
      </c>
      <c r="CR1084" s="8">
        <f t="shared" si="779"/>
        <v>0</v>
      </c>
      <c r="CS1084" s="8">
        <f t="shared" si="780"/>
        <v>0</v>
      </c>
      <c r="CT1084" s="8">
        <f t="shared" si="785"/>
        <v>0</v>
      </c>
      <c r="CU1084" s="8">
        <f t="shared" si="786"/>
        <v>0</v>
      </c>
      <c r="CV1084" s="8">
        <f t="shared" si="787"/>
        <v>0</v>
      </c>
    </row>
    <row r="1085" spans="1:100" ht="20.5" thickTop="1" thickBot="1" x14ac:dyDescent="0.5">
      <c r="A1085" s="32"/>
      <c r="B1085" s="10"/>
      <c r="C1085" s="10"/>
      <c r="D1085" s="11"/>
      <c r="E1085" s="10"/>
      <c r="F1085" s="10"/>
      <c r="G1085" s="19"/>
      <c r="H1085" s="19"/>
      <c r="I1085" s="19"/>
      <c r="J1085" s="19"/>
      <c r="K1085" s="10"/>
      <c r="L1085" s="10"/>
      <c r="M1085" s="10"/>
      <c r="N1085" s="10"/>
      <c r="O1085" s="18"/>
      <c r="P1085" s="18"/>
      <c r="Q1085" s="21"/>
      <c r="R1085" s="20"/>
      <c r="S1085" s="16">
        <f t="shared" si="743"/>
        <v>0</v>
      </c>
      <c r="T1085" s="11"/>
      <c r="AS1085" s="31">
        <f t="shared" si="744"/>
        <v>0</v>
      </c>
      <c r="AT1085" s="31">
        <f t="shared" si="745"/>
        <v>0</v>
      </c>
      <c r="AU1085" s="31">
        <f t="shared" si="746"/>
        <v>0</v>
      </c>
      <c r="AV1085" s="31">
        <f t="shared" si="747"/>
        <v>0</v>
      </c>
      <c r="AW1085" s="31">
        <f t="shared" si="748"/>
        <v>0</v>
      </c>
      <c r="AX1085" s="31">
        <f t="shared" si="749"/>
        <v>0</v>
      </c>
      <c r="AY1085" s="31">
        <f t="shared" si="750"/>
        <v>0</v>
      </c>
      <c r="AZ1085" s="31">
        <f t="shared" si="751"/>
        <v>0</v>
      </c>
      <c r="BA1085" s="31">
        <f t="shared" si="752"/>
        <v>0</v>
      </c>
      <c r="BB1085" s="31">
        <f t="shared" si="781"/>
        <v>0</v>
      </c>
      <c r="BM1085" s="8">
        <f t="shared" si="782"/>
        <v>0</v>
      </c>
      <c r="BN1085" s="8">
        <f t="shared" si="753"/>
        <v>0</v>
      </c>
      <c r="BO1085" s="8">
        <f t="shared" si="754"/>
        <v>0</v>
      </c>
      <c r="BQ1085" s="8">
        <f t="shared" si="755"/>
        <v>0</v>
      </c>
      <c r="BR1085" s="63">
        <f t="shared" si="756"/>
        <v>0</v>
      </c>
      <c r="BS1085" s="63">
        <f t="shared" si="783"/>
        <v>0</v>
      </c>
      <c r="BT1085" s="63">
        <f t="shared" si="757"/>
        <v>0</v>
      </c>
      <c r="BU1085" s="63">
        <f t="shared" si="758"/>
        <v>0</v>
      </c>
      <c r="BV1085" s="57">
        <f t="shared" si="759"/>
        <v>0</v>
      </c>
      <c r="BW1085" s="57">
        <f t="shared" si="760"/>
        <v>0</v>
      </c>
      <c r="BX1085" s="57">
        <f t="shared" si="784"/>
        <v>0</v>
      </c>
      <c r="BY1085" s="57">
        <f t="shared" si="788"/>
        <v>0</v>
      </c>
      <c r="BZ1085" s="8">
        <f t="shared" si="761"/>
        <v>0</v>
      </c>
      <c r="CA1085" s="8">
        <f t="shared" si="762"/>
        <v>0</v>
      </c>
      <c r="CB1085" s="8">
        <f t="shared" si="763"/>
        <v>0</v>
      </c>
      <c r="CC1085" s="8">
        <f t="shared" si="764"/>
        <v>0</v>
      </c>
      <c r="CD1085" s="8">
        <f t="shared" si="765"/>
        <v>0</v>
      </c>
      <c r="CE1085" s="8">
        <f t="shared" si="766"/>
        <v>0</v>
      </c>
      <c r="CF1085" s="8">
        <f t="shared" si="767"/>
        <v>0</v>
      </c>
      <c r="CG1085" s="8">
        <f t="shared" si="768"/>
        <v>0</v>
      </c>
      <c r="CH1085" s="8">
        <f t="shared" si="769"/>
        <v>0</v>
      </c>
      <c r="CI1085" s="8">
        <f t="shared" si="770"/>
        <v>0</v>
      </c>
      <c r="CJ1085" s="8">
        <f t="shared" si="771"/>
        <v>0</v>
      </c>
      <c r="CK1085" s="8">
        <f t="shared" si="772"/>
        <v>0</v>
      </c>
      <c r="CL1085" s="8">
        <f t="shared" si="773"/>
        <v>0</v>
      </c>
      <c r="CM1085" s="8">
        <f t="shared" si="774"/>
        <v>0</v>
      </c>
      <c r="CN1085" s="8">
        <f t="shared" si="775"/>
        <v>0</v>
      </c>
      <c r="CO1085" s="8">
        <f t="shared" si="776"/>
        <v>0</v>
      </c>
      <c r="CP1085" s="8">
        <f t="shared" si="777"/>
        <v>0</v>
      </c>
      <c r="CQ1085" s="8">
        <f t="shared" si="778"/>
        <v>0</v>
      </c>
      <c r="CR1085" s="8">
        <f t="shared" si="779"/>
        <v>0</v>
      </c>
      <c r="CS1085" s="8">
        <f t="shared" si="780"/>
        <v>0</v>
      </c>
      <c r="CT1085" s="8">
        <f t="shared" si="785"/>
        <v>0</v>
      </c>
      <c r="CU1085" s="8">
        <f t="shared" si="786"/>
        <v>0</v>
      </c>
      <c r="CV1085" s="8">
        <f t="shared" si="787"/>
        <v>0</v>
      </c>
    </row>
    <row r="1086" spans="1:100" ht="20.5" thickTop="1" thickBot="1" x14ac:dyDescent="0.5">
      <c r="A1086" s="32"/>
      <c r="B1086" s="10"/>
      <c r="C1086" s="10"/>
      <c r="D1086" s="11"/>
      <c r="E1086" s="10"/>
      <c r="F1086" s="10"/>
      <c r="G1086" s="19"/>
      <c r="H1086" s="19"/>
      <c r="I1086" s="19"/>
      <c r="J1086" s="19"/>
      <c r="K1086" s="10"/>
      <c r="L1086" s="10"/>
      <c r="M1086" s="10"/>
      <c r="N1086" s="10"/>
      <c r="O1086" s="18"/>
      <c r="P1086" s="18"/>
      <c r="Q1086" s="21"/>
      <c r="R1086" s="20"/>
      <c r="S1086" s="16">
        <f t="shared" si="743"/>
        <v>0</v>
      </c>
      <c r="T1086" s="11"/>
      <c r="AS1086" s="31">
        <f t="shared" si="744"/>
        <v>0</v>
      </c>
      <c r="AT1086" s="31">
        <f t="shared" si="745"/>
        <v>0</v>
      </c>
      <c r="AU1086" s="31">
        <f t="shared" si="746"/>
        <v>0</v>
      </c>
      <c r="AV1086" s="31">
        <f t="shared" si="747"/>
        <v>0</v>
      </c>
      <c r="AW1086" s="31">
        <f t="shared" si="748"/>
        <v>0</v>
      </c>
      <c r="AX1086" s="31">
        <f t="shared" si="749"/>
        <v>0</v>
      </c>
      <c r="AY1086" s="31">
        <f t="shared" si="750"/>
        <v>0</v>
      </c>
      <c r="AZ1086" s="31">
        <f t="shared" si="751"/>
        <v>0</v>
      </c>
      <c r="BA1086" s="31">
        <f t="shared" si="752"/>
        <v>0</v>
      </c>
      <c r="BB1086" s="31">
        <f t="shared" si="781"/>
        <v>0</v>
      </c>
      <c r="BM1086" s="8">
        <f t="shared" si="782"/>
        <v>0</v>
      </c>
      <c r="BN1086" s="8">
        <f t="shared" si="753"/>
        <v>0</v>
      </c>
      <c r="BO1086" s="8">
        <f t="shared" si="754"/>
        <v>0</v>
      </c>
      <c r="BQ1086" s="8">
        <f t="shared" si="755"/>
        <v>0</v>
      </c>
      <c r="BR1086" s="63">
        <f t="shared" si="756"/>
        <v>0</v>
      </c>
      <c r="BS1086" s="63">
        <f t="shared" si="783"/>
        <v>0</v>
      </c>
      <c r="BT1086" s="63">
        <f t="shared" si="757"/>
        <v>0</v>
      </c>
      <c r="BU1086" s="63">
        <f t="shared" si="758"/>
        <v>0</v>
      </c>
      <c r="BV1086" s="57">
        <f t="shared" si="759"/>
        <v>0</v>
      </c>
      <c r="BW1086" s="57">
        <f t="shared" si="760"/>
        <v>0</v>
      </c>
      <c r="BX1086" s="57">
        <f t="shared" si="784"/>
        <v>0</v>
      </c>
      <c r="BY1086" s="57">
        <f t="shared" si="788"/>
        <v>0</v>
      </c>
      <c r="BZ1086" s="8">
        <f t="shared" si="761"/>
        <v>0</v>
      </c>
      <c r="CA1086" s="8">
        <f t="shared" si="762"/>
        <v>0</v>
      </c>
      <c r="CB1086" s="8">
        <f t="shared" si="763"/>
        <v>0</v>
      </c>
      <c r="CC1086" s="8">
        <f t="shared" si="764"/>
        <v>0</v>
      </c>
      <c r="CD1086" s="8">
        <f t="shared" si="765"/>
        <v>0</v>
      </c>
      <c r="CE1086" s="8">
        <f t="shared" si="766"/>
        <v>0</v>
      </c>
      <c r="CF1086" s="8">
        <f t="shared" si="767"/>
        <v>0</v>
      </c>
      <c r="CG1086" s="8">
        <f t="shared" si="768"/>
        <v>0</v>
      </c>
      <c r="CH1086" s="8">
        <f t="shared" si="769"/>
        <v>0</v>
      </c>
      <c r="CI1086" s="8">
        <f t="shared" si="770"/>
        <v>0</v>
      </c>
      <c r="CJ1086" s="8">
        <f t="shared" si="771"/>
        <v>0</v>
      </c>
      <c r="CK1086" s="8">
        <f t="shared" si="772"/>
        <v>0</v>
      </c>
      <c r="CL1086" s="8">
        <f t="shared" si="773"/>
        <v>0</v>
      </c>
      <c r="CM1086" s="8">
        <f t="shared" si="774"/>
        <v>0</v>
      </c>
      <c r="CN1086" s="8">
        <f t="shared" si="775"/>
        <v>0</v>
      </c>
      <c r="CO1086" s="8">
        <f t="shared" si="776"/>
        <v>0</v>
      </c>
      <c r="CP1086" s="8">
        <f t="shared" si="777"/>
        <v>0</v>
      </c>
      <c r="CQ1086" s="8">
        <f t="shared" si="778"/>
        <v>0</v>
      </c>
      <c r="CR1086" s="8">
        <f t="shared" si="779"/>
        <v>0</v>
      </c>
      <c r="CS1086" s="8">
        <f t="shared" si="780"/>
        <v>0</v>
      </c>
      <c r="CT1086" s="8">
        <f t="shared" si="785"/>
        <v>0</v>
      </c>
      <c r="CU1086" s="8">
        <f t="shared" si="786"/>
        <v>0</v>
      </c>
      <c r="CV1086" s="8">
        <f t="shared" si="787"/>
        <v>0</v>
      </c>
    </row>
    <row r="1087" spans="1:100" ht="20.5" thickTop="1" thickBot="1" x14ac:dyDescent="0.5">
      <c r="A1087" s="32"/>
      <c r="B1087" s="10"/>
      <c r="C1087" s="10"/>
      <c r="D1087" s="11"/>
      <c r="E1087" s="10"/>
      <c r="F1087" s="10"/>
      <c r="G1087" s="19"/>
      <c r="H1087" s="19"/>
      <c r="I1087" s="19"/>
      <c r="J1087" s="19"/>
      <c r="K1087" s="10"/>
      <c r="L1087" s="10"/>
      <c r="M1087" s="10"/>
      <c r="N1087" s="10"/>
      <c r="O1087" s="18"/>
      <c r="P1087" s="18"/>
      <c r="Q1087" s="21"/>
      <c r="R1087" s="20"/>
      <c r="S1087" s="16">
        <f t="shared" si="743"/>
        <v>0</v>
      </c>
      <c r="T1087" s="11"/>
      <c r="AS1087" s="31">
        <f t="shared" si="744"/>
        <v>0</v>
      </c>
      <c r="AT1087" s="31">
        <f t="shared" si="745"/>
        <v>0</v>
      </c>
      <c r="AU1087" s="31">
        <f t="shared" si="746"/>
        <v>0</v>
      </c>
      <c r="AV1087" s="31">
        <f t="shared" si="747"/>
        <v>0</v>
      </c>
      <c r="AW1087" s="31">
        <f t="shared" si="748"/>
        <v>0</v>
      </c>
      <c r="AX1087" s="31">
        <f t="shared" si="749"/>
        <v>0</v>
      </c>
      <c r="AY1087" s="31">
        <f t="shared" si="750"/>
        <v>0</v>
      </c>
      <c r="AZ1087" s="31">
        <f t="shared" si="751"/>
        <v>0</v>
      </c>
      <c r="BA1087" s="31">
        <f t="shared" si="752"/>
        <v>0</v>
      </c>
      <c r="BB1087" s="31">
        <f t="shared" si="781"/>
        <v>0</v>
      </c>
      <c r="BM1087" s="8">
        <f t="shared" si="782"/>
        <v>0</v>
      </c>
      <c r="BN1087" s="8">
        <f t="shared" si="753"/>
        <v>0</v>
      </c>
      <c r="BO1087" s="8">
        <f t="shared" si="754"/>
        <v>0</v>
      </c>
      <c r="BQ1087" s="8">
        <f t="shared" si="755"/>
        <v>0</v>
      </c>
      <c r="BR1087" s="63">
        <f t="shared" si="756"/>
        <v>0</v>
      </c>
      <c r="BS1087" s="63">
        <f t="shared" si="783"/>
        <v>0</v>
      </c>
      <c r="BT1087" s="63">
        <f t="shared" si="757"/>
        <v>0</v>
      </c>
      <c r="BU1087" s="63">
        <f t="shared" si="758"/>
        <v>0</v>
      </c>
      <c r="BV1087" s="57">
        <f t="shared" si="759"/>
        <v>0</v>
      </c>
      <c r="BW1087" s="57">
        <f t="shared" si="760"/>
        <v>0</v>
      </c>
      <c r="BX1087" s="57">
        <f t="shared" si="784"/>
        <v>0</v>
      </c>
      <c r="BY1087" s="57">
        <f t="shared" si="788"/>
        <v>0</v>
      </c>
      <c r="BZ1087" s="8">
        <f t="shared" si="761"/>
        <v>0</v>
      </c>
      <c r="CA1087" s="8">
        <f t="shared" si="762"/>
        <v>0</v>
      </c>
      <c r="CB1087" s="8">
        <f t="shared" si="763"/>
        <v>0</v>
      </c>
      <c r="CC1087" s="8">
        <f t="shared" si="764"/>
        <v>0</v>
      </c>
      <c r="CD1087" s="8">
        <f t="shared" si="765"/>
        <v>0</v>
      </c>
      <c r="CE1087" s="8">
        <f t="shared" si="766"/>
        <v>0</v>
      </c>
      <c r="CF1087" s="8">
        <f t="shared" si="767"/>
        <v>0</v>
      </c>
      <c r="CG1087" s="8">
        <f t="shared" si="768"/>
        <v>0</v>
      </c>
      <c r="CH1087" s="8">
        <f t="shared" si="769"/>
        <v>0</v>
      </c>
      <c r="CI1087" s="8">
        <f t="shared" si="770"/>
        <v>0</v>
      </c>
      <c r="CJ1087" s="8">
        <f t="shared" si="771"/>
        <v>0</v>
      </c>
      <c r="CK1087" s="8">
        <f t="shared" si="772"/>
        <v>0</v>
      </c>
      <c r="CL1087" s="8">
        <f t="shared" si="773"/>
        <v>0</v>
      </c>
      <c r="CM1087" s="8">
        <f t="shared" si="774"/>
        <v>0</v>
      </c>
      <c r="CN1087" s="8">
        <f t="shared" si="775"/>
        <v>0</v>
      </c>
      <c r="CO1087" s="8">
        <f t="shared" si="776"/>
        <v>0</v>
      </c>
      <c r="CP1087" s="8">
        <f t="shared" si="777"/>
        <v>0</v>
      </c>
      <c r="CQ1087" s="8">
        <f t="shared" si="778"/>
        <v>0</v>
      </c>
      <c r="CR1087" s="8">
        <f t="shared" si="779"/>
        <v>0</v>
      </c>
      <c r="CS1087" s="8">
        <f t="shared" si="780"/>
        <v>0</v>
      </c>
      <c r="CT1087" s="8">
        <f t="shared" si="785"/>
        <v>0</v>
      </c>
      <c r="CU1087" s="8">
        <f t="shared" si="786"/>
        <v>0</v>
      </c>
      <c r="CV1087" s="8">
        <f t="shared" si="787"/>
        <v>0</v>
      </c>
    </row>
    <row r="1088" spans="1:100" ht="20.5" thickTop="1" thickBot="1" x14ac:dyDescent="0.5">
      <c r="A1088" s="32"/>
      <c r="B1088" s="10"/>
      <c r="C1088" s="10"/>
      <c r="D1088" s="11"/>
      <c r="E1088" s="10"/>
      <c r="F1088" s="10"/>
      <c r="G1088" s="19"/>
      <c r="H1088" s="19"/>
      <c r="I1088" s="19"/>
      <c r="J1088" s="19"/>
      <c r="K1088" s="10"/>
      <c r="L1088" s="10"/>
      <c r="M1088" s="10"/>
      <c r="N1088" s="10"/>
      <c r="O1088" s="18"/>
      <c r="P1088" s="18"/>
      <c r="Q1088" s="21"/>
      <c r="R1088" s="20"/>
      <c r="S1088" s="16">
        <f t="shared" si="743"/>
        <v>0</v>
      </c>
      <c r="T1088" s="11"/>
      <c r="AS1088" s="31">
        <f t="shared" si="744"/>
        <v>0</v>
      </c>
      <c r="AT1088" s="31">
        <f t="shared" si="745"/>
        <v>0</v>
      </c>
      <c r="AU1088" s="31">
        <f t="shared" si="746"/>
        <v>0</v>
      </c>
      <c r="AV1088" s="31">
        <f t="shared" si="747"/>
        <v>0</v>
      </c>
      <c r="AW1088" s="31">
        <f t="shared" si="748"/>
        <v>0</v>
      </c>
      <c r="AX1088" s="31">
        <f t="shared" si="749"/>
        <v>0</v>
      </c>
      <c r="AY1088" s="31">
        <f t="shared" si="750"/>
        <v>0</v>
      </c>
      <c r="AZ1088" s="31">
        <f t="shared" si="751"/>
        <v>0</v>
      </c>
      <c r="BA1088" s="31">
        <f t="shared" si="752"/>
        <v>0</v>
      </c>
      <c r="BB1088" s="31">
        <f t="shared" si="781"/>
        <v>0</v>
      </c>
      <c r="BM1088" s="8">
        <f t="shared" si="782"/>
        <v>0</v>
      </c>
      <c r="BN1088" s="8">
        <f t="shared" si="753"/>
        <v>0</v>
      </c>
      <c r="BO1088" s="8">
        <f t="shared" si="754"/>
        <v>0</v>
      </c>
      <c r="BQ1088" s="8">
        <f t="shared" si="755"/>
        <v>0</v>
      </c>
      <c r="BR1088" s="63">
        <f t="shared" si="756"/>
        <v>0</v>
      </c>
      <c r="BS1088" s="63">
        <f t="shared" si="783"/>
        <v>0</v>
      </c>
      <c r="BT1088" s="63">
        <f t="shared" si="757"/>
        <v>0</v>
      </c>
      <c r="BU1088" s="63">
        <f t="shared" si="758"/>
        <v>0</v>
      </c>
      <c r="BV1088" s="57">
        <f t="shared" si="759"/>
        <v>0</v>
      </c>
      <c r="BW1088" s="57">
        <f t="shared" si="760"/>
        <v>0</v>
      </c>
      <c r="BX1088" s="57">
        <f t="shared" si="784"/>
        <v>0</v>
      </c>
      <c r="BY1088" s="57">
        <f t="shared" si="788"/>
        <v>0</v>
      </c>
      <c r="BZ1088" s="8">
        <f t="shared" si="761"/>
        <v>0</v>
      </c>
      <c r="CA1088" s="8">
        <f t="shared" si="762"/>
        <v>0</v>
      </c>
      <c r="CB1088" s="8">
        <f t="shared" si="763"/>
        <v>0</v>
      </c>
      <c r="CC1088" s="8">
        <f t="shared" si="764"/>
        <v>0</v>
      </c>
      <c r="CD1088" s="8">
        <f t="shared" si="765"/>
        <v>0</v>
      </c>
      <c r="CE1088" s="8">
        <f t="shared" si="766"/>
        <v>0</v>
      </c>
      <c r="CF1088" s="8">
        <f t="shared" si="767"/>
        <v>0</v>
      </c>
      <c r="CG1088" s="8">
        <f t="shared" si="768"/>
        <v>0</v>
      </c>
      <c r="CH1088" s="8">
        <f t="shared" si="769"/>
        <v>0</v>
      </c>
      <c r="CI1088" s="8">
        <f t="shared" si="770"/>
        <v>0</v>
      </c>
      <c r="CJ1088" s="8">
        <f t="shared" si="771"/>
        <v>0</v>
      </c>
      <c r="CK1088" s="8">
        <f t="shared" si="772"/>
        <v>0</v>
      </c>
      <c r="CL1088" s="8">
        <f t="shared" si="773"/>
        <v>0</v>
      </c>
      <c r="CM1088" s="8">
        <f t="shared" si="774"/>
        <v>0</v>
      </c>
      <c r="CN1088" s="8">
        <f t="shared" si="775"/>
        <v>0</v>
      </c>
      <c r="CO1088" s="8">
        <f t="shared" si="776"/>
        <v>0</v>
      </c>
      <c r="CP1088" s="8">
        <f t="shared" si="777"/>
        <v>0</v>
      </c>
      <c r="CQ1088" s="8">
        <f t="shared" si="778"/>
        <v>0</v>
      </c>
      <c r="CR1088" s="8">
        <f t="shared" si="779"/>
        <v>0</v>
      </c>
      <c r="CS1088" s="8">
        <f t="shared" si="780"/>
        <v>0</v>
      </c>
      <c r="CT1088" s="8">
        <f t="shared" si="785"/>
        <v>0</v>
      </c>
      <c r="CU1088" s="8">
        <f t="shared" si="786"/>
        <v>0</v>
      </c>
      <c r="CV1088" s="8">
        <f t="shared" si="787"/>
        <v>0</v>
      </c>
    </row>
    <row r="1089" spans="1:100" ht="20.5" thickTop="1" thickBot="1" x14ac:dyDescent="0.5">
      <c r="A1089" s="32"/>
      <c r="B1089" s="10"/>
      <c r="C1089" s="10"/>
      <c r="D1089" s="11"/>
      <c r="E1089" s="10"/>
      <c r="F1089" s="10"/>
      <c r="G1089" s="19"/>
      <c r="H1089" s="19"/>
      <c r="I1089" s="19"/>
      <c r="J1089" s="19"/>
      <c r="K1089" s="10"/>
      <c r="L1089" s="10"/>
      <c r="M1089" s="10"/>
      <c r="N1089" s="10"/>
      <c r="O1089" s="18"/>
      <c r="P1089" s="18"/>
      <c r="Q1089" s="21"/>
      <c r="R1089" s="20"/>
      <c r="S1089" s="16">
        <f t="shared" si="743"/>
        <v>0</v>
      </c>
      <c r="T1089" s="11"/>
      <c r="AS1089" s="31">
        <f t="shared" si="744"/>
        <v>0</v>
      </c>
      <c r="AT1089" s="31">
        <f t="shared" si="745"/>
        <v>0</v>
      </c>
      <c r="AU1089" s="31">
        <f t="shared" si="746"/>
        <v>0</v>
      </c>
      <c r="AV1089" s="31">
        <f t="shared" si="747"/>
        <v>0</v>
      </c>
      <c r="AW1089" s="31">
        <f t="shared" si="748"/>
        <v>0</v>
      </c>
      <c r="AX1089" s="31">
        <f t="shared" si="749"/>
        <v>0</v>
      </c>
      <c r="AY1089" s="31">
        <f t="shared" si="750"/>
        <v>0</v>
      </c>
      <c r="AZ1089" s="31">
        <f t="shared" si="751"/>
        <v>0</v>
      </c>
      <c r="BA1089" s="31">
        <f t="shared" si="752"/>
        <v>0</v>
      </c>
      <c r="BB1089" s="31">
        <f t="shared" si="781"/>
        <v>0</v>
      </c>
      <c r="BM1089" s="8">
        <f t="shared" si="782"/>
        <v>0</v>
      </c>
      <c r="BN1089" s="8">
        <f t="shared" si="753"/>
        <v>0</v>
      </c>
      <c r="BO1089" s="8">
        <f t="shared" si="754"/>
        <v>0</v>
      </c>
      <c r="BQ1089" s="8">
        <f t="shared" si="755"/>
        <v>0</v>
      </c>
      <c r="BR1089" s="63">
        <f t="shared" si="756"/>
        <v>0</v>
      </c>
      <c r="BS1089" s="63">
        <f t="shared" si="783"/>
        <v>0</v>
      </c>
      <c r="BT1089" s="63">
        <f t="shared" si="757"/>
        <v>0</v>
      </c>
      <c r="BU1089" s="63">
        <f t="shared" si="758"/>
        <v>0</v>
      </c>
      <c r="BV1089" s="57">
        <f t="shared" si="759"/>
        <v>0</v>
      </c>
      <c r="BW1089" s="57">
        <f t="shared" si="760"/>
        <v>0</v>
      </c>
      <c r="BX1089" s="57">
        <f t="shared" si="784"/>
        <v>0</v>
      </c>
      <c r="BY1089" s="57">
        <f t="shared" si="788"/>
        <v>0</v>
      </c>
      <c r="BZ1089" s="8">
        <f t="shared" si="761"/>
        <v>0</v>
      </c>
      <c r="CA1089" s="8">
        <f t="shared" si="762"/>
        <v>0</v>
      </c>
      <c r="CB1089" s="8">
        <f t="shared" si="763"/>
        <v>0</v>
      </c>
      <c r="CC1089" s="8">
        <f t="shared" si="764"/>
        <v>0</v>
      </c>
      <c r="CD1089" s="8">
        <f t="shared" si="765"/>
        <v>0</v>
      </c>
      <c r="CE1089" s="8">
        <f t="shared" si="766"/>
        <v>0</v>
      </c>
      <c r="CF1089" s="8">
        <f t="shared" si="767"/>
        <v>0</v>
      </c>
      <c r="CG1089" s="8">
        <f t="shared" si="768"/>
        <v>0</v>
      </c>
      <c r="CH1089" s="8">
        <f t="shared" si="769"/>
        <v>0</v>
      </c>
      <c r="CI1089" s="8">
        <f t="shared" si="770"/>
        <v>0</v>
      </c>
      <c r="CJ1089" s="8">
        <f t="shared" si="771"/>
        <v>0</v>
      </c>
      <c r="CK1089" s="8">
        <f t="shared" si="772"/>
        <v>0</v>
      </c>
      <c r="CL1089" s="8">
        <f t="shared" si="773"/>
        <v>0</v>
      </c>
      <c r="CM1089" s="8">
        <f t="shared" si="774"/>
        <v>0</v>
      </c>
      <c r="CN1089" s="8">
        <f t="shared" si="775"/>
        <v>0</v>
      </c>
      <c r="CO1089" s="8">
        <f t="shared" si="776"/>
        <v>0</v>
      </c>
      <c r="CP1089" s="8">
        <f t="shared" si="777"/>
        <v>0</v>
      </c>
      <c r="CQ1089" s="8">
        <f t="shared" si="778"/>
        <v>0</v>
      </c>
      <c r="CR1089" s="8">
        <f t="shared" si="779"/>
        <v>0</v>
      </c>
      <c r="CS1089" s="8">
        <f t="shared" si="780"/>
        <v>0</v>
      </c>
      <c r="CT1089" s="8">
        <f t="shared" si="785"/>
        <v>0</v>
      </c>
      <c r="CU1089" s="8">
        <f t="shared" si="786"/>
        <v>0</v>
      </c>
      <c r="CV1089" s="8">
        <f t="shared" si="787"/>
        <v>0</v>
      </c>
    </row>
    <row r="1090" spans="1:100" ht="20.5" thickTop="1" thickBot="1" x14ac:dyDescent="0.5">
      <c r="A1090" s="32"/>
      <c r="B1090" s="10"/>
      <c r="C1090" s="10"/>
      <c r="D1090" s="11"/>
      <c r="E1090" s="10"/>
      <c r="F1090" s="10"/>
      <c r="G1090" s="19"/>
      <c r="H1090" s="19"/>
      <c r="I1090" s="19"/>
      <c r="J1090" s="19"/>
      <c r="K1090" s="10"/>
      <c r="L1090" s="10"/>
      <c r="M1090" s="10"/>
      <c r="N1090" s="10"/>
      <c r="O1090" s="18"/>
      <c r="P1090" s="18"/>
      <c r="Q1090" s="21"/>
      <c r="R1090" s="20"/>
      <c r="S1090" s="16">
        <f t="shared" si="743"/>
        <v>0</v>
      </c>
      <c r="T1090" s="11"/>
      <c r="AS1090" s="31">
        <f t="shared" si="744"/>
        <v>0</v>
      </c>
      <c r="AT1090" s="31">
        <f t="shared" si="745"/>
        <v>0</v>
      </c>
      <c r="AU1090" s="31">
        <f t="shared" si="746"/>
        <v>0</v>
      </c>
      <c r="AV1090" s="31">
        <f t="shared" si="747"/>
        <v>0</v>
      </c>
      <c r="AW1090" s="31">
        <f t="shared" si="748"/>
        <v>0</v>
      </c>
      <c r="AX1090" s="31">
        <f t="shared" si="749"/>
        <v>0</v>
      </c>
      <c r="AY1090" s="31">
        <f t="shared" si="750"/>
        <v>0</v>
      </c>
      <c r="AZ1090" s="31">
        <f t="shared" si="751"/>
        <v>0</v>
      </c>
      <c r="BA1090" s="31">
        <f t="shared" si="752"/>
        <v>0</v>
      </c>
      <c r="BB1090" s="31">
        <f t="shared" si="781"/>
        <v>0</v>
      </c>
      <c r="BM1090" s="8">
        <f t="shared" si="782"/>
        <v>0</v>
      </c>
      <c r="BN1090" s="8">
        <f t="shared" si="753"/>
        <v>0</v>
      </c>
      <c r="BO1090" s="8">
        <f t="shared" si="754"/>
        <v>0</v>
      </c>
      <c r="BQ1090" s="8">
        <f t="shared" si="755"/>
        <v>0</v>
      </c>
      <c r="BR1090" s="63">
        <f t="shared" si="756"/>
        <v>0</v>
      </c>
      <c r="BS1090" s="63">
        <f t="shared" si="783"/>
        <v>0</v>
      </c>
      <c r="BT1090" s="63">
        <f t="shared" si="757"/>
        <v>0</v>
      </c>
      <c r="BU1090" s="63">
        <f t="shared" si="758"/>
        <v>0</v>
      </c>
      <c r="BV1090" s="57">
        <f t="shared" si="759"/>
        <v>0</v>
      </c>
      <c r="BW1090" s="57">
        <f t="shared" si="760"/>
        <v>0</v>
      </c>
      <c r="BX1090" s="57">
        <f t="shared" si="784"/>
        <v>0</v>
      </c>
      <c r="BY1090" s="57">
        <f t="shared" si="788"/>
        <v>0</v>
      </c>
      <c r="BZ1090" s="8">
        <f t="shared" si="761"/>
        <v>0</v>
      </c>
      <c r="CA1090" s="8">
        <f t="shared" si="762"/>
        <v>0</v>
      </c>
      <c r="CB1090" s="8">
        <f t="shared" si="763"/>
        <v>0</v>
      </c>
      <c r="CC1090" s="8">
        <f t="shared" si="764"/>
        <v>0</v>
      </c>
      <c r="CD1090" s="8">
        <f t="shared" si="765"/>
        <v>0</v>
      </c>
      <c r="CE1090" s="8">
        <f t="shared" si="766"/>
        <v>0</v>
      </c>
      <c r="CF1090" s="8">
        <f t="shared" si="767"/>
        <v>0</v>
      </c>
      <c r="CG1090" s="8">
        <f t="shared" si="768"/>
        <v>0</v>
      </c>
      <c r="CH1090" s="8">
        <f t="shared" si="769"/>
        <v>0</v>
      </c>
      <c r="CI1090" s="8">
        <f t="shared" si="770"/>
        <v>0</v>
      </c>
      <c r="CJ1090" s="8">
        <f t="shared" si="771"/>
        <v>0</v>
      </c>
      <c r="CK1090" s="8">
        <f t="shared" si="772"/>
        <v>0</v>
      </c>
      <c r="CL1090" s="8">
        <f t="shared" si="773"/>
        <v>0</v>
      </c>
      <c r="CM1090" s="8">
        <f t="shared" si="774"/>
        <v>0</v>
      </c>
      <c r="CN1090" s="8">
        <f t="shared" si="775"/>
        <v>0</v>
      </c>
      <c r="CO1090" s="8">
        <f t="shared" si="776"/>
        <v>0</v>
      </c>
      <c r="CP1090" s="8">
        <f t="shared" si="777"/>
        <v>0</v>
      </c>
      <c r="CQ1090" s="8">
        <f t="shared" si="778"/>
        <v>0</v>
      </c>
      <c r="CR1090" s="8">
        <f t="shared" si="779"/>
        <v>0</v>
      </c>
      <c r="CS1090" s="8">
        <f t="shared" si="780"/>
        <v>0</v>
      </c>
      <c r="CT1090" s="8">
        <f t="shared" si="785"/>
        <v>0</v>
      </c>
      <c r="CU1090" s="8">
        <f t="shared" si="786"/>
        <v>0</v>
      </c>
      <c r="CV1090" s="8">
        <f t="shared" si="787"/>
        <v>0</v>
      </c>
    </row>
    <row r="1091" spans="1:100" ht="20.5" thickTop="1" thickBot="1" x14ac:dyDescent="0.5">
      <c r="A1091" s="32"/>
      <c r="B1091" s="10"/>
      <c r="C1091" s="10"/>
      <c r="D1091" s="11"/>
      <c r="E1091" s="10"/>
      <c r="F1091" s="10"/>
      <c r="G1091" s="19"/>
      <c r="H1091" s="19"/>
      <c r="I1091" s="19"/>
      <c r="J1091" s="19"/>
      <c r="K1091" s="10"/>
      <c r="L1091" s="10"/>
      <c r="M1091" s="10"/>
      <c r="N1091" s="10"/>
      <c r="O1091" s="18"/>
      <c r="P1091" s="18"/>
      <c r="Q1091" s="21"/>
      <c r="R1091" s="20"/>
      <c r="S1091" s="16">
        <f t="shared" si="743"/>
        <v>0</v>
      </c>
      <c r="T1091" s="11"/>
      <c r="AS1091" s="31">
        <f t="shared" si="744"/>
        <v>0</v>
      </c>
      <c r="AT1091" s="31">
        <f t="shared" si="745"/>
        <v>0</v>
      </c>
      <c r="AU1091" s="31">
        <f t="shared" si="746"/>
        <v>0</v>
      </c>
      <c r="AV1091" s="31">
        <f t="shared" si="747"/>
        <v>0</v>
      </c>
      <c r="AW1091" s="31">
        <f t="shared" si="748"/>
        <v>0</v>
      </c>
      <c r="AX1091" s="31">
        <f t="shared" si="749"/>
        <v>0</v>
      </c>
      <c r="AY1091" s="31">
        <f t="shared" si="750"/>
        <v>0</v>
      </c>
      <c r="AZ1091" s="31">
        <f t="shared" si="751"/>
        <v>0</v>
      </c>
      <c r="BA1091" s="31">
        <f t="shared" si="752"/>
        <v>0</v>
      </c>
      <c r="BB1091" s="31">
        <f t="shared" si="781"/>
        <v>0</v>
      </c>
      <c r="BM1091" s="8">
        <f t="shared" si="782"/>
        <v>0</v>
      </c>
      <c r="BN1091" s="8">
        <f t="shared" si="753"/>
        <v>0</v>
      </c>
      <c r="BO1091" s="8">
        <f t="shared" si="754"/>
        <v>0</v>
      </c>
      <c r="BQ1091" s="8">
        <f t="shared" si="755"/>
        <v>0</v>
      </c>
      <c r="BR1091" s="63">
        <f t="shared" si="756"/>
        <v>0</v>
      </c>
      <c r="BS1091" s="63">
        <f t="shared" si="783"/>
        <v>0</v>
      </c>
      <c r="BT1091" s="63">
        <f t="shared" si="757"/>
        <v>0</v>
      </c>
      <c r="BU1091" s="63">
        <f t="shared" si="758"/>
        <v>0</v>
      </c>
      <c r="BV1091" s="57">
        <f t="shared" si="759"/>
        <v>0</v>
      </c>
      <c r="BW1091" s="57">
        <f t="shared" si="760"/>
        <v>0</v>
      </c>
      <c r="BX1091" s="57">
        <f t="shared" si="784"/>
        <v>0</v>
      </c>
      <c r="BY1091" s="57">
        <f t="shared" si="788"/>
        <v>0</v>
      </c>
      <c r="BZ1091" s="8">
        <f t="shared" si="761"/>
        <v>0</v>
      </c>
      <c r="CA1091" s="8">
        <f t="shared" si="762"/>
        <v>0</v>
      </c>
      <c r="CB1091" s="8">
        <f t="shared" si="763"/>
        <v>0</v>
      </c>
      <c r="CC1091" s="8">
        <f t="shared" si="764"/>
        <v>0</v>
      </c>
      <c r="CD1091" s="8">
        <f t="shared" si="765"/>
        <v>0</v>
      </c>
      <c r="CE1091" s="8">
        <f t="shared" si="766"/>
        <v>0</v>
      </c>
      <c r="CF1091" s="8">
        <f t="shared" si="767"/>
        <v>0</v>
      </c>
      <c r="CG1091" s="8">
        <f t="shared" si="768"/>
        <v>0</v>
      </c>
      <c r="CH1091" s="8">
        <f t="shared" si="769"/>
        <v>0</v>
      </c>
      <c r="CI1091" s="8">
        <f t="shared" si="770"/>
        <v>0</v>
      </c>
      <c r="CJ1091" s="8">
        <f t="shared" si="771"/>
        <v>0</v>
      </c>
      <c r="CK1091" s="8">
        <f t="shared" si="772"/>
        <v>0</v>
      </c>
      <c r="CL1091" s="8">
        <f t="shared" si="773"/>
        <v>0</v>
      </c>
      <c r="CM1091" s="8">
        <f t="shared" si="774"/>
        <v>0</v>
      </c>
      <c r="CN1091" s="8">
        <f t="shared" si="775"/>
        <v>0</v>
      </c>
      <c r="CO1091" s="8">
        <f t="shared" si="776"/>
        <v>0</v>
      </c>
      <c r="CP1091" s="8">
        <f t="shared" si="777"/>
        <v>0</v>
      </c>
      <c r="CQ1091" s="8">
        <f t="shared" si="778"/>
        <v>0</v>
      </c>
      <c r="CR1091" s="8">
        <f t="shared" si="779"/>
        <v>0</v>
      </c>
      <c r="CS1091" s="8">
        <f t="shared" si="780"/>
        <v>0</v>
      </c>
      <c r="CT1091" s="8">
        <f t="shared" si="785"/>
        <v>0</v>
      </c>
      <c r="CU1091" s="8">
        <f t="shared" si="786"/>
        <v>0</v>
      </c>
      <c r="CV1091" s="8">
        <f t="shared" si="787"/>
        <v>0</v>
      </c>
    </row>
    <row r="1092" spans="1:100" ht="20.5" thickTop="1" thickBot="1" x14ac:dyDescent="0.5">
      <c r="A1092" s="32"/>
      <c r="B1092" s="10"/>
      <c r="C1092" s="10"/>
      <c r="D1092" s="11"/>
      <c r="E1092" s="10"/>
      <c r="F1092" s="10"/>
      <c r="G1092" s="19"/>
      <c r="H1092" s="19"/>
      <c r="I1092" s="19"/>
      <c r="J1092" s="19"/>
      <c r="K1092" s="10"/>
      <c r="L1092" s="10"/>
      <c r="M1092" s="10"/>
      <c r="N1092" s="10"/>
      <c r="O1092" s="18"/>
      <c r="P1092" s="18"/>
      <c r="Q1092" s="21"/>
      <c r="R1092" s="20"/>
      <c r="S1092" s="16">
        <f t="shared" ref="S1092:S1155" si="789">IF(AND(K1092="asphalted",M1092="sub",BV1092&lt;=1,BV1092&gt;0),1+2*0.15,IF(AND(K1092="asphalted",OR(M1092="main",M1092="MOT"),BV1092&lt;=1,BV1092&gt;0),1+2*0.3,IF(AND(K1092="asphalted",M1092="sub",BV1092&gt;1),BV1092+2*0.15,IF(AND(K1092="asphalted",OR(M1092="main",M1092="MOT"),BV1092&gt;1),BV1092+2*0.3,0))))</f>
        <v>0</v>
      </c>
      <c r="T1092" s="11"/>
      <c r="AS1092" s="31">
        <f t="shared" ref="AS1092:AS1155" si="790">IF(F1092=1,0.4,IF(F1092&gt;1,F1092*0.3,0))</f>
        <v>0</v>
      </c>
      <c r="AT1092" s="31">
        <f t="shared" ref="AT1092:AT1155" si="791">IF(AND(G1092&lt;4,G1092&gt;0),0.4,IF(G1092&gt;3,0.4+(G1092-3)*0.1,0))</f>
        <v>0</v>
      </c>
      <c r="AU1092" s="31">
        <f t="shared" ref="AU1092:AU1155" si="792">AT1092-AS1092</f>
        <v>0</v>
      </c>
      <c r="AV1092" s="31">
        <f t="shared" ref="AV1092:AV1155" si="793">IF(AND(OR(OR(E1092="normal",E1092="special"),E1092="special"),F1092=0,G1092&gt;0,G1092&lt;5),"LV"&amp;G1092,IF(AND(OR(OR(E1092="normal",E1092="special"),E1092="special"),F1092=0,G1092&gt;4),"LVCU",IF(AND(OR(OR(E1092="normal",E1092="special"),E1092="special"),F1092&gt;4),"MVCU",IF(AND(OR(OR(E1092="normal",E1092="special"),E1092="special"),F1092&gt;0,F1092&lt;5),"MV"&amp;F1092,IF(AND(E1092="mini-trench",F1092=1),"mini-trench MV",IF(AND(E1092="mini-trench",G1092&lt;3,G1092&lt;&gt;0),"mini-trench LV",0))))))</f>
        <v>0</v>
      </c>
      <c r="AW1092" s="31">
        <f t="shared" ref="AW1092:AW1155" si="794">IF(B1092="joint",F1092,0)+IF(C1092="joint",F1092,0)+IF(OR(B1092="new ss",B1092="ss"),F1092*3)+IF(B1092="pole",F1092*10)+IF(OR(C1092="new ss",C1092="ss"),F1092*3)+IF(C1092="pole",F1092*10)+IF(B1092="grid",F1092*30)+IF(C1092="grid",F1092*30)</f>
        <v>0</v>
      </c>
      <c r="AX1092" s="31">
        <f t="shared" ref="AX1092:AX1155" si="795">IF(J1092&gt;0,IF(OR(B1092="ss",C1092="ss"),J1092*3,0)+IF(OR(B1092="new ss",C1092="new ss"),J1092*3,0)+IF(OR(B1092="DC",C1092="DC"),J1092*1.5,0)+IF(OR(B1092="new DC",C1092="new DC"),J1092*1.5,0)+IF(OR(B1092="MB",C1092="MB"),J1092*2,0)+IF(OR(B1092="pole",C1092="pole"),J1092*10,0),0)</f>
        <v>0</v>
      </c>
      <c r="AY1092" s="31">
        <f t="shared" ref="AY1092:AY1155" si="796">IF(I1092&gt;0,IF(OR(B1092="ss",C1092="ss"),I1092*3,0)+IF(OR(B1092="new ss",C1092="new ss"),I1092*3,0)+IF(OR(B1092="DC",C1092="DC"),I1092*1.5,0)+IF(OR(B1092="new DC",C1092="new DC"),J1092*1.5,0)+IF(OR(B1092="MB",C1092="MB"),I1092*2,0)+IF(OR(B1092="pole",C1092="pole"),I1092*10,0),0)</f>
        <v>0</v>
      </c>
      <c r="AZ1092" s="31">
        <f t="shared" ref="AZ1092:AZ1155" si="797">IF(H1092&gt;0,IF(OR(B1092="ss",C1092="ss"),H1092*3,0)+IF(OR(B1092="new ss",C1092="new ss"),H1092*3,0)+IF(OR(B1092="DC",C1092="DC"),H1092*2,0)+IF(OR(B1092="new DC",C1092="new DC"),H1092*1.5,0)+IF(OR(B1092="MB",C1092="MB"),H1092*2,0)+IF(OR(B1092="pole",C1092="pole"),H1092*10,0)+IF(OR(B1092="pole",C1092="pole"),H1092*10,0),0)</f>
        <v>0</v>
      </c>
      <c r="BA1092" s="31">
        <f t="shared" ref="BA1092:BA1155" si="798">IF(E1092="manual",IF(AU1092&lt;0,D1092*AS1092*0.8,IF(AND(AS1092&gt;0,AU1092&gt;0),D1092*AS1092*0.8+D1092*AU1092*0.65,IF(AND(AS1092=0,AT1092&gt;0),D1092*AT1092*0.65,0))),0)</f>
        <v>0</v>
      </c>
      <c r="BB1092" s="31">
        <f t="shared" si="781"/>
        <v>0</v>
      </c>
      <c r="BM1092" s="8">
        <f t="shared" si="782"/>
        <v>0</v>
      </c>
      <c r="BN1092" s="8">
        <f t="shared" ref="BN1092:BN1155" si="799">IFERROR(IF(AND(K1092="asphalted",E1092="mini-trench",R1092=""),1*D1092,IF(AND(K1092="asphalted",R1092&gt;0,MandRcalc="Complete M&amp;R area"),R1092*D1092,IF(AND(K1092="asphalted",R1092&gt;0,MandRcalc="M&amp;R area - asphalting area"),(R1092-BR1092/D1092)*D1092,0))),0)</f>
        <v>0</v>
      </c>
      <c r="BO1092" s="8">
        <f t="shared" ref="BO1092:BO1155" si="800">IF(BQ1092&lt;MINEXCNA,0,IF(AND(E1092="normal",F1092&lt;5,G1092&lt;12,K1092&lt;&gt;"asphalted",AT1092&gt;AS1092,AS1092&lt;&gt;0),(BQ1092-AT1092)*0.65,IF(AND(E1092="normal",F1092&lt;5,G1092&lt;12,K1092&lt;&gt;"asphalted",AS1092&gt;=AT1092),(BQ1092-AS1092)*0.8,IF(AND(E1092="normal",F1092&lt;5,G1092&lt;12,K1092&lt;&gt;"asphalted",AT1092&gt;0,AS1092=0),(BQ1092-AT1092)*0.65,0)))*D1092)</f>
        <v>0</v>
      </c>
      <c r="BQ1092" s="8">
        <f t="shared" ref="BQ1092:BQ1155" si="801">IF(E1092="special",O1092,IF(AND(OR(E1092="normal",E1092="manual"),O1092="",K1092="asphalted",BV1092&lt;=MINEXC),MINEXC,IF(AND(OR(E1092="normal",E1092="manual"),O1092&lt;&gt;"",K1092="asphalted"),MIN(O1092,BV1092),IF(AND(OR(E1092="normal",E1092="manual"),O1092="",K1092&lt;&gt;"asphalted",BV1092&lt;=MINEXCNA),MINEXCNA,IF(AND(OR(E1092="normal",E1092="manual"),O1092&lt;&gt;"",K1092&lt;&gt;"asphalted"),MIN(O1092,BV1092),BV1092)))))</f>
        <v>0</v>
      </c>
      <c r="BR1092" s="63">
        <f t="shared" ref="BR1092:BR1155" si="802">IFERROR(IF(AND(E1092&lt;&gt;"mini-trecnh",K1092="asphalted",Q1092&lt;&gt;"",S1092=0),D1092*Q1092,IF(AND(E1092&lt;&gt;"mini-trecnh",K1092="asphalted",Q1092&lt;&gt;"",S1092&lt;&gt;0),D1092*MIN(Q1092,S1092),IF(AND(E1092&lt;&gt;"mini-trecnh",K1092="asphalted",Q1092=""),D1092*S1092,0))),0)</f>
        <v>0</v>
      </c>
      <c r="BS1092" s="63">
        <f t="shared" si="783"/>
        <v>0</v>
      </c>
      <c r="BT1092" s="63">
        <f t="shared" ref="BT1092:BT1155" si="803">IF(BQ1092&lt;MINEXC,0,IF(AND(E1092="normal",F1092&lt;5,G1092&lt;12,K1092="asphalted",AT1092&gt;AS1092,AS1092&lt;&gt;0),(BQ1092-AT1092)*0.65,IF(AND(E1092="normal",F1092&lt;5,G1092&lt;12,K1092="asphalted",AS1092&gt;=AT1092),(BQ1092-AS1092)*0.8,IF(AND(E1092="normal",F1092&lt;5,G1092&lt;12,K1092="asphalted",AT1092&gt;0,AS1092=0),(BQ1092-AT1092)*0.65,0)))*D1092)</f>
        <v>0</v>
      </c>
      <c r="BU1092" s="63">
        <f t="shared" ref="BU1092:BU1155" si="804">IF(E1092="",0,IF(OR(BT1092&gt;0,BO1092&gt;0),0,IF(AND(F1092&gt;4,G1092=0),(BQ1092-1.2)*D1092*0.8,IF(AND(G1092&gt;4,F1092=0),(BQ1092-0.4)*D1092*0.65,IF(OR(AND(G1092&gt;4,F1092&gt;0),AND(F1092&gt;4,G1092&gt;0)),(IF(AS1092&gt;1.2,(AS1092-1.2)*D1092*0.8,0)+IF(AT1092&gt;AS1092,(AT1092-AS1092)*D1092*0.65,0)),0)))))</f>
        <v>0</v>
      </c>
      <c r="BV1092" s="57">
        <f t="shared" ref="BV1092:BV1155" si="805">IF(AND(E1092&lt;&gt;"mini-trench",E1092&lt;&gt;"special"),MAX(AS1092:AT1092),0)</f>
        <v>0</v>
      </c>
      <c r="BW1092" s="57">
        <f t="shared" ref="BW1092:BW1155" si="806">IF(AND(E1092&lt;&gt;"mini-trench",E1092&lt;&gt;"special",BV1092&gt;0,BV1092&lt;1,K1092="asphalted"),IF(O1092&lt;&gt;"",MIN(O1092,1),1),IF(AND(E1092&lt;&gt;"mini-trench",E1092&lt;&gt;"special",BV1092&gt;0,BV1092&gt;1,K1092="asphalted"),BV1092,0))</f>
        <v>0</v>
      </c>
      <c r="BX1092" s="57">
        <f t="shared" si="784"/>
        <v>0</v>
      </c>
      <c r="BY1092" s="57">
        <f t="shared" si="788"/>
        <v>0</v>
      </c>
      <c r="BZ1092" s="8">
        <f t="shared" ref="BZ1092:BZ1155" si="807">IF(E1092="special",O1092*P1092*D1092-D1092*IF(AV1092="MV1",0.8*0.4,IF(AV1092="MV2",0.8*0.6,IF(AV1092="MV3",0.8*0.9,IF(OR(AV1092="MV4",AV1092="MVCU"),0.8*1.2,IF(AV1092="LV1-3",0.65*0.4,IF(OR(AV1092="LV4",AV1092="LVCU"),0.65*0.5)))))),0)</f>
        <v>0</v>
      </c>
      <c r="CA1092" s="8">
        <f t="shared" ref="CA1092:CA1155" si="808">IF(AND(E1092&lt;&gt;"special",K1092="Paved interlock"),D1092*BV1092,IF(AND(E1092="special",K1092="Paved interlock"),D1092*O1092,0))</f>
        <v>0</v>
      </c>
      <c r="CB1092" s="8">
        <f t="shared" ref="CB1092:CB1155" si="809">IF(AND(E1092&lt;&gt;"special",K1092="Paved conc.tiles"),D1092*BV1092,IF(AND(E1092="special",K1092="Paved conc.tiles"),D1092*O1092,0))</f>
        <v>0</v>
      </c>
      <c r="CC1092" s="8">
        <f t="shared" ref="CC1092:CC1155" si="810">IF(AND(E1092="special",K1092="asphalted"),D1092*Q1092,0)</f>
        <v>0</v>
      </c>
      <c r="CD1092" s="8">
        <f t="shared" ref="CD1092:CD1155" si="811">IF(OR(K1092="Paved interlock",K1092="Paved conc.tiles"),1,0)</f>
        <v>0</v>
      </c>
      <c r="CE1092" s="8">
        <f t="shared" ref="CE1092:CE1155" si="812">IFERROR(BR1092/D1092,0)</f>
        <v>0</v>
      </c>
      <c r="CF1092" s="8">
        <f t="shared" ref="CF1092:CF1155" si="813">IF(AND(F1092&gt;0,B1092="j transition"),F1092,0)+IF(AND(F1092&gt;0,C1092="j transition"),F1092,0)</f>
        <v>0</v>
      </c>
      <c r="CG1092" s="8">
        <f t="shared" ref="CG1092:CG1155" si="814">IF(AND(F1092&gt;0,OR(B1092="grid",B1092="ss",B1092="pole",B1092="new ss")),F1092,0)+IF(AND(F1092&gt;0,OR(C1092="grid",C1092="ss",C1092="pole",C1092="new ss")),F1092,0)</f>
        <v>0</v>
      </c>
      <c r="CH1092" s="8">
        <f t="shared" ref="CH1092:CH1155" si="815">IF(AND(F1092&gt;0,B1092="joint"),F1092,0)+IF(AND(F1092&gt;0,C1092="joint"),F1092,0)+IF(AND(F1092&gt;0,B1092="j transition"),F1092,0)+IF(AND(F1092&gt;0,C1092="j transition"),F1092,0)</f>
        <v>0</v>
      </c>
      <c r="CI1092" s="8">
        <f t="shared" ref="CI1092:CI1155" si="816">IF(AND(H1092&gt;0,B1092="joint"),H1092,0)+IF(AND(H1092&gt;0,C1092="joint"),H1092,0)</f>
        <v>0</v>
      </c>
      <c r="CJ1092" s="8">
        <f t="shared" ref="CJ1092:CJ1155" si="817">IF(AND(I1092&gt;0,B1092="joint"),I1092,0)+IF(AND(I1092&gt;0,C1092="joint"),I1092,0)</f>
        <v>0</v>
      </c>
      <c r="CK1092" s="8">
        <f t="shared" ref="CK1092:CK1155" si="818">IF(AND(J1092&gt;0,B1092="joint"),J1092,0)+IF(AND(J1092&gt;0,C1092="joint"),J1092,0)</f>
        <v>0</v>
      </c>
      <c r="CL1092" s="8">
        <f t="shared" ref="CL1092:CL1155" si="819">IF(AND(H1092&gt;0,OR(B1092="ss",B1092="new ss",B1092="DC",B1092="new DC")),H1092,0)+IF(AND(H1092&gt;0,OR(C1092="new ss",C1092="ss",C1092="DC",C1092="new DC")),H1092,0)</f>
        <v>0</v>
      </c>
      <c r="CM1092" s="8">
        <f t="shared" ref="CM1092:CM1155" si="820">CO1092+CP1092</f>
        <v>0</v>
      </c>
      <c r="CN1092" s="8">
        <f t="shared" ref="CN1092:CN1155" si="821">IF(OR(B1092="new DC",C1092="new DC"),H1092,0)</f>
        <v>0</v>
      </c>
      <c r="CO1092" s="8">
        <f t="shared" ref="CO1092:CO1155" si="822">IF(AND(J1092&gt;0,OR(B1092="ss",B1092="new ss",B1092="DC",B1092="new DC")),J1092,0)+IF(AND(J1092&gt;0,OR(C1092="new ss",C1092="ss",C1092="DC",C1092="new DC")),J1092,0)</f>
        <v>0</v>
      </c>
      <c r="CP1092" s="8">
        <f t="shared" ref="CP1092:CP1155" si="823">IF(AND(I1092&gt;0,OR(B1092="ss",B1092="new ss",B1092="DC",B1092="new DC")),I1092,0)+IF(AND(I1092&gt;0,OR(C1092="new ss",C1092="ss",C1092="DC",C1092="new DC")),I1092,0)</f>
        <v>0</v>
      </c>
      <c r="CQ1092" s="8">
        <f t="shared" ref="CQ1092:CQ1155" si="824">IF(AND(F1092&gt;0,OR(B1092="ss",B1092="new ss")),F1092,0)+IF(AND(F1092&gt;0,OR(C1092="ss",C1092="new ss")),F1092,0)</f>
        <v>0</v>
      </c>
      <c r="CR1092" s="8">
        <f t="shared" ref="CR1092:CR1155" si="825">IF(AND(F1092&gt;0,OR(B1092="grid")),F1092,0)+IF(AND(F1092&gt;0,OR(C1092="grid")),F1092,0)</f>
        <v>0</v>
      </c>
      <c r="CS1092" s="8">
        <f t="shared" ref="CS1092:CS1155" si="826">IF(AND(F1092&gt;0,OR(B1092="pole")),F1092,0)+IF(AND(F1092&gt;0,OR(C1092="pole")),F1092,0)</f>
        <v>0</v>
      </c>
      <c r="CT1092" s="8">
        <f t="shared" si="785"/>
        <v>0</v>
      </c>
      <c r="CU1092" s="8">
        <f t="shared" si="786"/>
        <v>0</v>
      </c>
      <c r="CV1092" s="8">
        <f t="shared" si="787"/>
        <v>0</v>
      </c>
    </row>
    <row r="1093" spans="1:100" ht="20.5" thickTop="1" thickBot="1" x14ac:dyDescent="0.5">
      <c r="A1093" s="32"/>
      <c r="B1093" s="10"/>
      <c r="C1093" s="10"/>
      <c r="D1093" s="11"/>
      <c r="E1093" s="10"/>
      <c r="F1093" s="10"/>
      <c r="G1093" s="19"/>
      <c r="H1093" s="19"/>
      <c r="I1093" s="19"/>
      <c r="J1093" s="19"/>
      <c r="K1093" s="10"/>
      <c r="L1093" s="10"/>
      <c r="M1093" s="10"/>
      <c r="N1093" s="10"/>
      <c r="O1093" s="18"/>
      <c r="P1093" s="18"/>
      <c r="Q1093" s="21"/>
      <c r="R1093" s="20"/>
      <c r="S1093" s="16">
        <f t="shared" si="789"/>
        <v>0</v>
      </c>
      <c r="T1093" s="11"/>
      <c r="AS1093" s="31">
        <f t="shared" si="790"/>
        <v>0</v>
      </c>
      <c r="AT1093" s="31">
        <f t="shared" si="791"/>
        <v>0</v>
      </c>
      <c r="AU1093" s="31">
        <f t="shared" si="792"/>
        <v>0</v>
      </c>
      <c r="AV1093" s="31">
        <f t="shared" si="793"/>
        <v>0</v>
      </c>
      <c r="AW1093" s="31">
        <f t="shared" si="794"/>
        <v>0</v>
      </c>
      <c r="AX1093" s="31">
        <f t="shared" si="795"/>
        <v>0</v>
      </c>
      <c r="AY1093" s="31">
        <f t="shared" si="796"/>
        <v>0</v>
      </c>
      <c r="AZ1093" s="31">
        <f t="shared" si="797"/>
        <v>0</v>
      </c>
      <c r="BA1093" s="31">
        <f t="shared" si="798"/>
        <v>0</v>
      </c>
      <c r="BB1093" s="31">
        <f t="shared" ref="BB1093:BB1156" si="827">IFERROR(IF(BN1093&gt;0,0,IF(AND(E1093="normal",(BR1093/D1093)&gt;1),BR1093,0)),0)</f>
        <v>0</v>
      </c>
      <c r="BM1093" s="8">
        <f t="shared" ref="BM1093:BM1156" si="828">IF(AND(E1093&lt;&gt;"special",K1093="Concrete"),D1093*BV1093,IF(AND(E1093="special",K1093="Concrete"),D1093*O1093,0))</f>
        <v>0</v>
      </c>
      <c r="BN1093" s="8">
        <f t="shared" si="799"/>
        <v>0</v>
      </c>
      <c r="BO1093" s="8">
        <f t="shared" si="800"/>
        <v>0</v>
      </c>
      <c r="BQ1093" s="8">
        <f t="shared" si="801"/>
        <v>0</v>
      </c>
      <c r="BR1093" s="63">
        <f t="shared" si="802"/>
        <v>0</v>
      </c>
      <c r="BS1093" s="63">
        <f t="shared" ref="BS1093:BS1156" si="829">BN1093 + IF(BN1093&gt;0,IF(R1092=0, R1093, 0) + IF(R1094=0, R1093, 0),0)</f>
        <v>0</v>
      </c>
      <c r="BT1093" s="63">
        <f t="shared" si="803"/>
        <v>0</v>
      </c>
      <c r="BU1093" s="63">
        <f t="shared" si="804"/>
        <v>0</v>
      </c>
      <c r="BV1093" s="57">
        <f t="shared" si="805"/>
        <v>0</v>
      </c>
      <c r="BW1093" s="57">
        <f t="shared" si="806"/>
        <v>0</v>
      </c>
      <c r="BX1093" s="57">
        <f t="shared" ref="BX1093:BX1156" si="830">IF(AND(R1093&gt;0,MandRcalc="Asphalting then M&amp;R"),R1093*D1093,IF(AND(R1093&gt;0,MandRcalc="Milling then Repaving"),(R1093-BR1093)*D1093,0))</f>
        <v>0</v>
      </c>
      <c r="BY1093" s="57">
        <f t="shared" si="788"/>
        <v>0</v>
      </c>
      <c r="BZ1093" s="8">
        <f t="shared" si="807"/>
        <v>0</v>
      </c>
      <c r="CA1093" s="8">
        <f t="shared" si="808"/>
        <v>0</v>
      </c>
      <c r="CB1093" s="8">
        <f t="shared" si="809"/>
        <v>0</v>
      </c>
      <c r="CC1093" s="8">
        <f t="shared" si="810"/>
        <v>0</v>
      </c>
      <c r="CD1093" s="8">
        <f t="shared" si="811"/>
        <v>0</v>
      </c>
      <c r="CE1093" s="8">
        <f t="shared" si="812"/>
        <v>0</v>
      </c>
      <c r="CF1093" s="8">
        <f t="shared" si="813"/>
        <v>0</v>
      </c>
      <c r="CG1093" s="8">
        <f t="shared" si="814"/>
        <v>0</v>
      </c>
      <c r="CH1093" s="8">
        <f t="shared" si="815"/>
        <v>0</v>
      </c>
      <c r="CI1093" s="8">
        <f t="shared" si="816"/>
        <v>0</v>
      </c>
      <c r="CJ1093" s="8">
        <f t="shared" si="817"/>
        <v>0</v>
      </c>
      <c r="CK1093" s="8">
        <f t="shared" si="818"/>
        <v>0</v>
      </c>
      <c r="CL1093" s="8">
        <f t="shared" si="819"/>
        <v>0</v>
      </c>
      <c r="CM1093" s="8">
        <f t="shared" si="820"/>
        <v>0</v>
      </c>
      <c r="CN1093" s="8">
        <f t="shared" si="821"/>
        <v>0</v>
      </c>
      <c r="CO1093" s="8">
        <f t="shared" si="822"/>
        <v>0</v>
      </c>
      <c r="CP1093" s="8">
        <f t="shared" si="823"/>
        <v>0</v>
      </c>
      <c r="CQ1093" s="8">
        <f t="shared" si="824"/>
        <v>0</v>
      </c>
      <c r="CR1093" s="8">
        <f t="shared" si="825"/>
        <v>0</v>
      </c>
      <c r="CS1093" s="8">
        <f t="shared" si="826"/>
        <v>0</v>
      </c>
      <c r="CT1093" s="8">
        <f t="shared" si="785"/>
        <v>0</v>
      </c>
      <c r="CU1093" s="8">
        <f t="shared" si="786"/>
        <v>0</v>
      </c>
      <c r="CV1093" s="8">
        <f t="shared" si="787"/>
        <v>0</v>
      </c>
    </row>
    <row r="1094" spans="1:100" ht="20.5" thickTop="1" thickBot="1" x14ac:dyDescent="0.5">
      <c r="A1094" s="32"/>
      <c r="B1094" s="10"/>
      <c r="C1094" s="10"/>
      <c r="D1094" s="11"/>
      <c r="E1094" s="10"/>
      <c r="F1094" s="10"/>
      <c r="G1094" s="19"/>
      <c r="H1094" s="19"/>
      <c r="I1094" s="19"/>
      <c r="J1094" s="19"/>
      <c r="K1094" s="10"/>
      <c r="L1094" s="10"/>
      <c r="M1094" s="10"/>
      <c r="N1094" s="10"/>
      <c r="O1094" s="18"/>
      <c r="P1094" s="18"/>
      <c r="Q1094" s="21"/>
      <c r="R1094" s="20"/>
      <c r="S1094" s="16">
        <f t="shared" si="789"/>
        <v>0</v>
      </c>
      <c r="T1094" s="11"/>
      <c r="AS1094" s="31">
        <f t="shared" si="790"/>
        <v>0</v>
      </c>
      <c r="AT1094" s="31">
        <f t="shared" si="791"/>
        <v>0</v>
      </c>
      <c r="AU1094" s="31">
        <f t="shared" si="792"/>
        <v>0</v>
      </c>
      <c r="AV1094" s="31">
        <f t="shared" si="793"/>
        <v>0</v>
      </c>
      <c r="AW1094" s="31">
        <f t="shared" si="794"/>
        <v>0</v>
      </c>
      <c r="AX1094" s="31">
        <f t="shared" si="795"/>
        <v>0</v>
      </c>
      <c r="AY1094" s="31">
        <f t="shared" si="796"/>
        <v>0</v>
      </c>
      <c r="AZ1094" s="31">
        <f t="shared" si="797"/>
        <v>0</v>
      </c>
      <c r="BA1094" s="31">
        <f t="shared" si="798"/>
        <v>0</v>
      </c>
      <c r="BB1094" s="31">
        <f t="shared" si="827"/>
        <v>0</v>
      </c>
      <c r="BM1094" s="8">
        <f t="shared" si="828"/>
        <v>0</v>
      </c>
      <c r="BN1094" s="8">
        <f t="shared" si="799"/>
        <v>0</v>
      </c>
      <c r="BO1094" s="8">
        <f t="shared" si="800"/>
        <v>0</v>
      </c>
      <c r="BQ1094" s="8">
        <f t="shared" si="801"/>
        <v>0</v>
      </c>
      <c r="BR1094" s="63">
        <f t="shared" si="802"/>
        <v>0</v>
      </c>
      <c r="BS1094" s="63">
        <f t="shared" si="829"/>
        <v>0</v>
      </c>
      <c r="BT1094" s="63">
        <f t="shared" si="803"/>
        <v>0</v>
      </c>
      <c r="BU1094" s="63">
        <f t="shared" si="804"/>
        <v>0</v>
      </c>
      <c r="BV1094" s="57">
        <f t="shared" si="805"/>
        <v>0</v>
      </c>
      <c r="BW1094" s="57">
        <f t="shared" si="806"/>
        <v>0</v>
      </c>
      <c r="BX1094" s="57">
        <f t="shared" si="830"/>
        <v>0</v>
      </c>
      <c r="BY1094" s="57">
        <f t="shared" si="788"/>
        <v>0</v>
      </c>
      <c r="BZ1094" s="8">
        <f t="shared" si="807"/>
        <v>0</v>
      </c>
      <c r="CA1094" s="8">
        <f t="shared" si="808"/>
        <v>0</v>
      </c>
      <c r="CB1094" s="8">
        <f t="shared" si="809"/>
        <v>0</v>
      </c>
      <c r="CC1094" s="8">
        <f t="shared" si="810"/>
        <v>0</v>
      </c>
      <c r="CD1094" s="8">
        <f t="shared" si="811"/>
        <v>0</v>
      </c>
      <c r="CE1094" s="8">
        <f t="shared" si="812"/>
        <v>0</v>
      </c>
      <c r="CF1094" s="8">
        <f t="shared" si="813"/>
        <v>0</v>
      </c>
      <c r="CG1094" s="8">
        <f t="shared" si="814"/>
        <v>0</v>
      </c>
      <c r="CH1094" s="8">
        <f t="shared" si="815"/>
        <v>0</v>
      </c>
      <c r="CI1094" s="8">
        <f t="shared" si="816"/>
        <v>0</v>
      </c>
      <c r="CJ1094" s="8">
        <f t="shared" si="817"/>
        <v>0</v>
      </c>
      <c r="CK1094" s="8">
        <f t="shared" si="818"/>
        <v>0</v>
      </c>
      <c r="CL1094" s="8">
        <f t="shared" si="819"/>
        <v>0</v>
      </c>
      <c r="CM1094" s="8">
        <f t="shared" si="820"/>
        <v>0</v>
      </c>
      <c r="CN1094" s="8">
        <f t="shared" si="821"/>
        <v>0</v>
      </c>
      <c r="CO1094" s="8">
        <f t="shared" si="822"/>
        <v>0</v>
      </c>
      <c r="CP1094" s="8">
        <f t="shared" si="823"/>
        <v>0</v>
      </c>
      <c r="CQ1094" s="8">
        <f t="shared" si="824"/>
        <v>0</v>
      </c>
      <c r="CR1094" s="8">
        <f t="shared" si="825"/>
        <v>0</v>
      </c>
      <c r="CS1094" s="8">
        <f t="shared" si="826"/>
        <v>0</v>
      </c>
      <c r="CT1094" s="8">
        <f t="shared" si="785"/>
        <v>0</v>
      </c>
      <c r="CU1094" s="8">
        <f t="shared" si="786"/>
        <v>0</v>
      </c>
      <c r="CV1094" s="8">
        <f t="shared" si="787"/>
        <v>0</v>
      </c>
    </row>
    <row r="1095" spans="1:100" ht="20.5" thickTop="1" thickBot="1" x14ac:dyDescent="0.5">
      <c r="A1095" s="32"/>
      <c r="B1095" s="10"/>
      <c r="C1095" s="10"/>
      <c r="D1095" s="11"/>
      <c r="E1095" s="10"/>
      <c r="F1095" s="10"/>
      <c r="G1095" s="19"/>
      <c r="H1095" s="19"/>
      <c r="I1095" s="19"/>
      <c r="J1095" s="19"/>
      <c r="K1095" s="10"/>
      <c r="L1095" s="10"/>
      <c r="M1095" s="10"/>
      <c r="N1095" s="10"/>
      <c r="O1095" s="18"/>
      <c r="P1095" s="18"/>
      <c r="Q1095" s="21"/>
      <c r="R1095" s="20"/>
      <c r="S1095" s="16">
        <f t="shared" si="789"/>
        <v>0</v>
      </c>
      <c r="T1095" s="11"/>
      <c r="AS1095" s="31">
        <f t="shared" si="790"/>
        <v>0</v>
      </c>
      <c r="AT1095" s="31">
        <f t="shared" si="791"/>
        <v>0</v>
      </c>
      <c r="AU1095" s="31">
        <f t="shared" si="792"/>
        <v>0</v>
      </c>
      <c r="AV1095" s="31">
        <f t="shared" si="793"/>
        <v>0</v>
      </c>
      <c r="AW1095" s="31">
        <f t="shared" si="794"/>
        <v>0</v>
      </c>
      <c r="AX1095" s="31">
        <f t="shared" si="795"/>
        <v>0</v>
      </c>
      <c r="AY1095" s="31">
        <f t="shared" si="796"/>
        <v>0</v>
      </c>
      <c r="AZ1095" s="31">
        <f t="shared" si="797"/>
        <v>0</v>
      </c>
      <c r="BA1095" s="31">
        <f t="shared" si="798"/>
        <v>0</v>
      </c>
      <c r="BB1095" s="31">
        <f t="shared" si="827"/>
        <v>0</v>
      </c>
      <c r="BM1095" s="8">
        <f t="shared" si="828"/>
        <v>0</v>
      </c>
      <c r="BN1095" s="8">
        <f t="shared" si="799"/>
        <v>0</v>
      </c>
      <c r="BO1095" s="8">
        <f t="shared" si="800"/>
        <v>0</v>
      </c>
      <c r="BQ1095" s="8">
        <f t="shared" si="801"/>
        <v>0</v>
      </c>
      <c r="BR1095" s="63">
        <f t="shared" si="802"/>
        <v>0</v>
      </c>
      <c r="BS1095" s="63">
        <f t="shared" si="829"/>
        <v>0</v>
      </c>
      <c r="BT1095" s="63">
        <f t="shared" si="803"/>
        <v>0</v>
      </c>
      <c r="BU1095" s="63">
        <f t="shared" si="804"/>
        <v>0</v>
      </c>
      <c r="BV1095" s="57">
        <f t="shared" si="805"/>
        <v>0</v>
      </c>
      <c r="BW1095" s="57">
        <f t="shared" si="806"/>
        <v>0</v>
      </c>
      <c r="BX1095" s="57">
        <f t="shared" si="830"/>
        <v>0</v>
      </c>
      <c r="BY1095" s="57">
        <f t="shared" si="788"/>
        <v>0</v>
      </c>
      <c r="BZ1095" s="8">
        <f t="shared" si="807"/>
        <v>0</v>
      </c>
      <c r="CA1095" s="8">
        <f t="shared" si="808"/>
        <v>0</v>
      </c>
      <c r="CB1095" s="8">
        <f t="shared" si="809"/>
        <v>0</v>
      </c>
      <c r="CC1095" s="8">
        <f t="shared" si="810"/>
        <v>0</v>
      </c>
      <c r="CD1095" s="8">
        <f t="shared" si="811"/>
        <v>0</v>
      </c>
      <c r="CE1095" s="8">
        <f t="shared" si="812"/>
        <v>0</v>
      </c>
      <c r="CF1095" s="8">
        <f t="shared" si="813"/>
        <v>0</v>
      </c>
      <c r="CG1095" s="8">
        <f t="shared" si="814"/>
        <v>0</v>
      </c>
      <c r="CH1095" s="8">
        <f t="shared" si="815"/>
        <v>0</v>
      </c>
      <c r="CI1095" s="8">
        <f t="shared" si="816"/>
        <v>0</v>
      </c>
      <c r="CJ1095" s="8">
        <f t="shared" si="817"/>
        <v>0</v>
      </c>
      <c r="CK1095" s="8">
        <f t="shared" si="818"/>
        <v>0</v>
      </c>
      <c r="CL1095" s="8">
        <f t="shared" si="819"/>
        <v>0</v>
      </c>
      <c r="CM1095" s="8">
        <f t="shared" si="820"/>
        <v>0</v>
      </c>
      <c r="CN1095" s="8">
        <f t="shared" si="821"/>
        <v>0</v>
      </c>
      <c r="CO1095" s="8">
        <f t="shared" si="822"/>
        <v>0</v>
      </c>
      <c r="CP1095" s="8">
        <f t="shared" si="823"/>
        <v>0</v>
      </c>
      <c r="CQ1095" s="8">
        <f t="shared" si="824"/>
        <v>0</v>
      </c>
      <c r="CR1095" s="8">
        <f t="shared" si="825"/>
        <v>0</v>
      </c>
      <c r="CS1095" s="8">
        <f t="shared" si="826"/>
        <v>0</v>
      </c>
      <c r="CT1095" s="8">
        <f t="shared" si="785"/>
        <v>0</v>
      </c>
      <c r="CU1095" s="8">
        <f t="shared" si="786"/>
        <v>0</v>
      </c>
      <c r="CV1095" s="8">
        <f t="shared" si="787"/>
        <v>0</v>
      </c>
    </row>
    <row r="1096" spans="1:100" ht="20.5" thickTop="1" thickBot="1" x14ac:dyDescent="0.5">
      <c r="A1096" s="32"/>
      <c r="B1096" s="10"/>
      <c r="C1096" s="10"/>
      <c r="D1096" s="11"/>
      <c r="E1096" s="10"/>
      <c r="F1096" s="10"/>
      <c r="G1096" s="19"/>
      <c r="H1096" s="19"/>
      <c r="I1096" s="19"/>
      <c r="J1096" s="19"/>
      <c r="K1096" s="10"/>
      <c r="L1096" s="10"/>
      <c r="M1096" s="10"/>
      <c r="N1096" s="10"/>
      <c r="O1096" s="18"/>
      <c r="P1096" s="18"/>
      <c r="Q1096" s="21"/>
      <c r="R1096" s="20"/>
      <c r="S1096" s="16">
        <f t="shared" si="789"/>
        <v>0</v>
      </c>
      <c r="T1096" s="11"/>
      <c r="AS1096" s="31">
        <f t="shared" si="790"/>
        <v>0</v>
      </c>
      <c r="AT1096" s="31">
        <f t="shared" si="791"/>
        <v>0</v>
      </c>
      <c r="AU1096" s="31">
        <f t="shared" si="792"/>
        <v>0</v>
      </c>
      <c r="AV1096" s="31">
        <f t="shared" si="793"/>
        <v>0</v>
      </c>
      <c r="AW1096" s="31">
        <f t="shared" si="794"/>
        <v>0</v>
      </c>
      <c r="AX1096" s="31">
        <f t="shared" si="795"/>
        <v>0</v>
      </c>
      <c r="AY1096" s="31">
        <f t="shared" si="796"/>
        <v>0</v>
      </c>
      <c r="AZ1096" s="31">
        <f t="shared" si="797"/>
        <v>0</v>
      </c>
      <c r="BA1096" s="31">
        <f t="shared" si="798"/>
        <v>0</v>
      </c>
      <c r="BB1096" s="31">
        <f t="shared" si="827"/>
        <v>0</v>
      </c>
      <c r="BM1096" s="8">
        <f t="shared" si="828"/>
        <v>0</v>
      </c>
      <c r="BN1096" s="8">
        <f t="shared" si="799"/>
        <v>0</v>
      </c>
      <c r="BO1096" s="8">
        <f t="shared" si="800"/>
        <v>0</v>
      </c>
      <c r="BQ1096" s="8">
        <f t="shared" si="801"/>
        <v>0</v>
      </c>
      <c r="BR1096" s="63">
        <f t="shared" si="802"/>
        <v>0</v>
      </c>
      <c r="BS1096" s="63">
        <f t="shared" si="829"/>
        <v>0</v>
      </c>
      <c r="BT1096" s="63">
        <f t="shared" si="803"/>
        <v>0</v>
      </c>
      <c r="BU1096" s="63">
        <f t="shared" si="804"/>
        <v>0</v>
      </c>
      <c r="BV1096" s="57">
        <f t="shared" si="805"/>
        <v>0</v>
      </c>
      <c r="BW1096" s="57">
        <f t="shared" si="806"/>
        <v>0</v>
      </c>
      <c r="BX1096" s="57">
        <f t="shared" si="830"/>
        <v>0</v>
      </c>
      <c r="BY1096" s="57">
        <f t="shared" si="788"/>
        <v>0</v>
      </c>
      <c r="BZ1096" s="8">
        <f t="shared" si="807"/>
        <v>0</v>
      </c>
      <c r="CA1096" s="8">
        <f t="shared" si="808"/>
        <v>0</v>
      </c>
      <c r="CB1096" s="8">
        <f t="shared" si="809"/>
        <v>0</v>
      </c>
      <c r="CC1096" s="8">
        <f t="shared" si="810"/>
        <v>0</v>
      </c>
      <c r="CD1096" s="8">
        <f t="shared" si="811"/>
        <v>0</v>
      </c>
      <c r="CE1096" s="8">
        <f t="shared" si="812"/>
        <v>0</v>
      </c>
      <c r="CF1096" s="8">
        <f t="shared" si="813"/>
        <v>0</v>
      </c>
      <c r="CG1096" s="8">
        <f t="shared" si="814"/>
        <v>0</v>
      </c>
      <c r="CH1096" s="8">
        <f t="shared" si="815"/>
        <v>0</v>
      </c>
      <c r="CI1096" s="8">
        <f t="shared" si="816"/>
        <v>0</v>
      </c>
      <c r="CJ1096" s="8">
        <f t="shared" si="817"/>
        <v>0</v>
      </c>
      <c r="CK1096" s="8">
        <f t="shared" si="818"/>
        <v>0</v>
      </c>
      <c r="CL1096" s="8">
        <f t="shared" si="819"/>
        <v>0</v>
      </c>
      <c r="CM1096" s="8">
        <f t="shared" si="820"/>
        <v>0</v>
      </c>
      <c r="CN1096" s="8">
        <f t="shared" si="821"/>
        <v>0</v>
      </c>
      <c r="CO1096" s="8">
        <f t="shared" si="822"/>
        <v>0</v>
      </c>
      <c r="CP1096" s="8">
        <f t="shared" si="823"/>
        <v>0</v>
      </c>
      <c r="CQ1096" s="8">
        <f t="shared" si="824"/>
        <v>0</v>
      </c>
      <c r="CR1096" s="8">
        <f t="shared" si="825"/>
        <v>0</v>
      </c>
      <c r="CS1096" s="8">
        <f t="shared" si="826"/>
        <v>0</v>
      </c>
      <c r="CT1096" s="8">
        <f t="shared" si="785"/>
        <v>0</v>
      </c>
      <c r="CU1096" s="8">
        <f t="shared" si="786"/>
        <v>0</v>
      </c>
      <c r="CV1096" s="8">
        <f t="shared" si="787"/>
        <v>0</v>
      </c>
    </row>
    <row r="1097" spans="1:100" ht="20.5" thickTop="1" thickBot="1" x14ac:dyDescent="0.5">
      <c r="A1097" s="32"/>
      <c r="B1097" s="10"/>
      <c r="C1097" s="10"/>
      <c r="D1097" s="11"/>
      <c r="E1097" s="10"/>
      <c r="F1097" s="10"/>
      <c r="G1097" s="19"/>
      <c r="H1097" s="19"/>
      <c r="I1097" s="19"/>
      <c r="J1097" s="19"/>
      <c r="K1097" s="10"/>
      <c r="L1097" s="10"/>
      <c r="M1097" s="10"/>
      <c r="N1097" s="10"/>
      <c r="O1097" s="18"/>
      <c r="P1097" s="18"/>
      <c r="Q1097" s="21"/>
      <c r="R1097" s="20"/>
      <c r="S1097" s="16">
        <f t="shared" si="789"/>
        <v>0</v>
      </c>
      <c r="T1097" s="11"/>
      <c r="AS1097" s="31">
        <f t="shared" si="790"/>
        <v>0</v>
      </c>
      <c r="AT1097" s="31">
        <f t="shared" si="791"/>
        <v>0</v>
      </c>
      <c r="AU1097" s="31">
        <f t="shared" si="792"/>
        <v>0</v>
      </c>
      <c r="AV1097" s="31">
        <f t="shared" si="793"/>
        <v>0</v>
      </c>
      <c r="AW1097" s="31">
        <f t="shared" si="794"/>
        <v>0</v>
      </c>
      <c r="AX1097" s="31">
        <f t="shared" si="795"/>
        <v>0</v>
      </c>
      <c r="AY1097" s="31">
        <f t="shared" si="796"/>
        <v>0</v>
      </c>
      <c r="AZ1097" s="31">
        <f t="shared" si="797"/>
        <v>0</v>
      </c>
      <c r="BA1097" s="31">
        <f t="shared" si="798"/>
        <v>0</v>
      </c>
      <c r="BB1097" s="31">
        <f t="shared" si="827"/>
        <v>0</v>
      </c>
      <c r="BM1097" s="8">
        <f t="shared" si="828"/>
        <v>0</v>
      </c>
      <c r="BN1097" s="8">
        <f t="shared" si="799"/>
        <v>0</v>
      </c>
      <c r="BO1097" s="8">
        <f t="shared" si="800"/>
        <v>0</v>
      </c>
      <c r="BQ1097" s="8">
        <f t="shared" si="801"/>
        <v>0</v>
      </c>
      <c r="BR1097" s="63">
        <f t="shared" si="802"/>
        <v>0</v>
      </c>
      <c r="BS1097" s="63">
        <f t="shared" si="829"/>
        <v>0</v>
      </c>
      <c r="BT1097" s="63">
        <f t="shared" si="803"/>
        <v>0</v>
      </c>
      <c r="BU1097" s="63">
        <f t="shared" si="804"/>
        <v>0</v>
      </c>
      <c r="BV1097" s="57">
        <f t="shared" si="805"/>
        <v>0</v>
      </c>
      <c r="BW1097" s="57">
        <f t="shared" si="806"/>
        <v>0</v>
      </c>
      <c r="BX1097" s="57">
        <f t="shared" si="830"/>
        <v>0</v>
      </c>
      <c r="BY1097" s="57">
        <f t="shared" si="788"/>
        <v>0</v>
      </c>
      <c r="BZ1097" s="8">
        <f t="shared" si="807"/>
        <v>0</v>
      </c>
      <c r="CA1097" s="8">
        <f t="shared" si="808"/>
        <v>0</v>
      </c>
      <c r="CB1097" s="8">
        <f t="shared" si="809"/>
        <v>0</v>
      </c>
      <c r="CC1097" s="8">
        <f t="shared" si="810"/>
        <v>0</v>
      </c>
      <c r="CD1097" s="8">
        <f t="shared" si="811"/>
        <v>0</v>
      </c>
      <c r="CE1097" s="8">
        <f t="shared" si="812"/>
        <v>0</v>
      </c>
      <c r="CF1097" s="8">
        <f t="shared" si="813"/>
        <v>0</v>
      </c>
      <c r="CG1097" s="8">
        <f t="shared" si="814"/>
        <v>0</v>
      </c>
      <c r="CH1097" s="8">
        <f t="shared" si="815"/>
        <v>0</v>
      </c>
      <c r="CI1097" s="8">
        <f t="shared" si="816"/>
        <v>0</v>
      </c>
      <c r="CJ1097" s="8">
        <f t="shared" si="817"/>
        <v>0</v>
      </c>
      <c r="CK1097" s="8">
        <f t="shared" si="818"/>
        <v>0</v>
      </c>
      <c r="CL1097" s="8">
        <f t="shared" si="819"/>
        <v>0</v>
      </c>
      <c r="CM1097" s="8">
        <f t="shared" si="820"/>
        <v>0</v>
      </c>
      <c r="CN1097" s="8">
        <f t="shared" si="821"/>
        <v>0</v>
      </c>
      <c r="CO1097" s="8">
        <f t="shared" si="822"/>
        <v>0</v>
      </c>
      <c r="CP1097" s="8">
        <f t="shared" si="823"/>
        <v>0</v>
      </c>
      <c r="CQ1097" s="8">
        <f t="shared" si="824"/>
        <v>0</v>
      </c>
      <c r="CR1097" s="8">
        <f t="shared" si="825"/>
        <v>0</v>
      </c>
      <c r="CS1097" s="8">
        <f t="shared" si="826"/>
        <v>0</v>
      </c>
      <c r="CT1097" s="8">
        <f t="shared" si="785"/>
        <v>0</v>
      </c>
      <c r="CU1097" s="8">
        <f t="shared" si="786"/>
        <v>0</v>
      </c>
      <c r="CV1097" s="8">
        <f t="shared" si="787"/>
        <v>0</v>
      </c>
    </row>
    <row r="1098" spans="1:100" ht="20.5" thickTop="1" thickBot="1" x14ac:dyDescent="0.5">
      <c r="A1098" s="32"/>
      <c r="B1098" s="10"/>
      <c r="C1098" s="10"/>
      <c r="D1098" s="11"/>
      <c r="E1098" s="10"/>
      <c r="F1098" s="10"/>
      <c r="G1098" s="19"/>
      <c r="H1098" s="19"/>
      <c r="I1098" s="19"/>
      <c r="J1098" s="19"/>
      <c r="K1098" s="10"/>
      <c r="L1098" s="10"/>
      <c r="M1098" s="10"/>
      <c r="N1098" s="10"/>
      <c r="O1098" s="18"/>
      <c r="P1098" s="18"/>
      <c r="Q1098" s="21"/>
      <c r="R1098" s="20"/>
      <c r="S1098" s="16">
        <f t="shared" si="789"/>
        <v>0</v>
      </c>
      <c r="T1098" s="11"/>
      <c r="AS1098" s="31">
        <f t="shared" si="790"/>
        <v>0</v>
      </c>
      <c r="AT1098" s="31">
        <f t="shared" si="791"/>
        <v>0</v>
      </c>
      <c r="AU1098" s="31">
        <f t="shared" si="792"/>
        <v>0</v>
      </c>
      <c r="AV1098" s="31">
        <f t="shared" si="793"/>
        <v>0</v>
      </c>
      <c r="AW1098" s="31">
        <f t="shared" si="794"/>
        <v>0</v>
      </c>
      <c r="AX1098" s="31">
        <f t="shared" si="795"/>
        <v>0</v>
      </c>
      <c r="AY1098" s="31">
        <f t="shared" si="796"/>
        <v>0</v>
      </c>
      <c r="AZ1098" s="31">
        <f t="shared" si="797"/>
        <v>0</v>
      </c>
      <c r="BA1098" s="31">
        <f t="shared" si="798"/>
        <v>0</v>
      </c>
      <c r="BB1098" s="31">
        <f t="shared" si="827"/>
        <v>0</v>
      </c>
      <c r="BM1098" s="8">
        <f t="shared" si="828"/>
        <v>0</v>
      </c>
      <c r="BN1098" s="8">
        <f t="shared" si="799"/>
        <v>0</v>
      </c>
      <c r="BO1098" s="8">
        <f t="shared" si="800"/>
        <v>0</v>
      </c>
      <c r="BQ1098" s="8">
        <f t="shared" si="801"/>
        <v>0</v>
      </c>
      <c r="BR1098" s="63">
        <f t="shared" si="802"/>
        <v>0</v>
      </c>
      <c r="BS1098" s="63">
        <f t="shared" si="829"/>
        <v>0</v>
      </c>
      <c r="BT1098" s="63">
        <f t="shared" si="803"/>
        <v>0</v>
      </c>
      <c r="BU1098" s="63">
        <f t="shared" si="804"/>
        <v>0</v>
      </c>
      <c r="BV1098" s="57">
        <f t="shared" si="805"/>
        <v>0</v>
      </c>
      <c r="BW1098" s="57">
        <f t="shared" si="806"/>
        <v>0</v>
      </c>
      <c r="BX1098" s="57">
        <f t="shared" si="830"/>
        <v>0</v>
      </c>
      <c r="BY1098" s="57">
        <f t="shared" si="788"/>
        <v>0</v>
      </c>
      <c r="BZ1098" s="8">
        <f t="shared" si="807"/>
        <v>0</v>
      </c>
      <c r="CA1098" s="8">
        <f t="shared" si="808"/>
        <v>0</v>
      </c>
      <c r="CB1098" s="8">
        <f t="shared" si="809"/>
        <v>0</v>
      </c>
      <c r="CC1098" s="8">
        <f t="shared" si="810"/>
        <v>0</v>
      </c>
      <c r="CD1098" s="8">
        <f t="shared" si="811"/>
        <v>0</v>
      </c>
      <c r="CE1098" s="8">
        <f t="shared" si="812"/>
        <v>0</v>
      </c>
      <c r="CF1098" s="8">
        <f t="shared" si="813"/>
        <v>0</v>
      </c>
      <c r="CG1098" s="8">
        <f t="shared" si="814"/>
        <v>0</v>
      </c>
      <c r="CH1098" s="8">
        <f t="shared" si="815"/>
        <v>0</v>
      </c>
      <c r="CI1098" s="8">
        <f t="shared" si="816"/>
        <v>0</v>
      </c>
      <c r="CJ1098" s="8">
        <f t="shared" si="817"/>
        <v>0</v>
      </c>
      <c r="CK1098" s="8">
        <f t="shared" si="818"/>
        <v>0</v>
      </c>
      <c r="CL1098" s="8">
        <f t="shared" si="819"/>
        <v>0</v>
      </c>
      <c r="CM1098" s="8">
        <f t="shared" si="820"/>
        <v>0</v>
      </c>
      <c r="CN1098" s="8">
        <f t="shared" si="821"/>
        <v>0</v>
      </c>
      <c r="CO1098" s="8">
        <f t="shared" si="822"/>
        <v>0</v>
      </c>
      <c r="CP1098" s="8">
        <f t="shared" si="823"/>
        <v>0</v>
      </c>
      <c r="CQ1098" s="8">
        <f t="shared" si="824"/>
        <v>0</v>
      </c>
      <c r="CR1098" s="8">
        <f t="shared" si="825"/>
        <v>0</v>
      </c>
      <c r="CS1098" s="8">
        <f t="shared" si="826"/>
        <v>0</v>
      </c>
      <c r="CT1098" s="8">
        <f t="shared" si="785"/>
        <v>0</v>
      </c>
      <c r="CU1098" s="8">
        <f t="shared" si="786"/>
        <v>0</v>
      </c>
      <c r="CV1098" s="8">
        <f t="shared" si="787"/>
        <v>0</v>
      </c>
    </row>
    <row r="1099" spans="1:100" ht="20.5" thickTop="1" thickBot="1" x14ac:dyDescent="0.5">
      <c r="A1099" s="32"/>
      <c r="B1099" s="10"/>
      <c r="C1099" s="10"/>
      <c r="D1099" s="11"/>
      <c r="E1099" s="10"/>
      <c r="F1099" s="10"/>
      <c r="G1099" s="19"/>
      <c r="H1099" s="19"/>
      <c r="I1099" s="19"/>
      <c r="J1099" s="19"/>
      <c r="K1099" s="10"/>
      <c r="L1099" s="10"/>
      <c r="M1099" s="10"/>
      <c r="N1099" s="10"/>
      <c r="O1099" s="18"/>
      <c r="P1099" s="18"/>
      <c r="Q1099" s="21"/>
      <c r="R1099" s="20"/>
      <c r="S1099" s="16">
        <f t="shared" si="789"/>
        <v>0</v>
      </c>
      <c r="T1099" s="11"/>
      <c r="AS1099" s="31">
        <f t="shared" si="790"/>
        <v>0</v>
      </c>
      <c r="AT1099" s="31">
        <f t="shared" si="791"/>
        <v>0</v>
      </c>
      <c r="AU1099" s="31">
        <f t="shared" si="792"/>
        <v>0</v>
      </c>
      <c r="AV1099" s="31">
        <f t="shared" si="793"/>
        <v>0</v>
      </c>
      <c r="AW1099" s="31">
        <f t="shared" si="794"/>
        <v>0</v>
      </c>
      <c r="AX1099" s="31">
        <f t="shared" si="795"/>
        <v>0</v>
      </c>
      <c r="AY1099" s="31">
        <f t="shared" si="796"/>
        <v>0</v>
      </c>
      <c r="AZ1099" s="31">
        <f t="shared" si="797"/>
        <v>0</v>
      </c>
      <c r="BA1099" s="31">
        <f t="shared" si="798"/>
        <v>0</v>
      </c>
      <c r="BB1099" s="31">
        <f t="shared" si="827"/>
        <v>0</v>
      </c>
      <c r="BM1099" s="8">
        <f t="shared" si="828"/>
        <v>0</v>
      </c>
      <c r="BN1099" s="8">
        <f t="shared" si="799"/>
        <v>0</v>
      </c>
      <c r="BO1099" s="8">
        <f t="shared" si="800"/>
        <v>0</v>
      </c>
      <c r="BQ1099" s="8">
        <f t="shared" si="801"/>
        <v>0</v>
      </c>
      <c r="BR1099" s="63">
        <f t="shared" si="802"/>
        <v>0</v>
      </c>
      <c r="BS1099" s="63">
        <f t="shared" si="829"/>
        <v>0</v>
      </c>
      <c r="BT1099" s="63">
        <f t="shared" si="803"/>
        <v>0</v>
      </c>
      <c r="BU1099" s="63">
        <f t="shared" si="804"/>
        <v>0</v>
      </c>
      <c r="BV1099" s="57">
        <f t="shared" si="805"/>
        <v>0</v>
      </c>
      <c r="BW1099" s="57">
        <f t="shared" si="806"/>
        <v>0</v>
      </c>
      <c r="BX1099" s="57">
        <f t="shared" si="830"/>
        <v>0</v>
      </c>
      <c r="BY1099" s="57">
        <f t="shared" si="788"/>
        <v>0</v>
      </c>
      <c r="BZ1099" s="8">
        <f t="shared" si="807"/>
        <v>0</v>
      </c>
      <c r="CA1099" s="8">
        <f t="shared" si="808"/>
        <v>0</v>
      </c>
      <c r="CB1099" s="8">
        <f t="shared" si="809"/>
        <v>0</v>
      </c>
      <c r="CC1099" s="8">
        <f t="shared" si="810"/>
        <v>0</v>
      </c>
      <c r="CD1099" s="8">
        <f t="shared" si="811"/>
        <v>0</v>
      </c>
      <c r="CE1099" s="8">
        <f t="shared" si="812"/>
        <v>0</v>
      </c>
      <c r="CF1099" s="8">
        <f t="shared" si="813"/>
        <v>0</v>
      </c>
      <c r="CG1099" s="8">
        <f t="shared" si="814"/>
        <v>0</v>
      </c>
      <c r="CH1099" s="8">
        <f t="shared" si="815"/>
        <v>0</v>
      </c>
      <c r="CI1099" s="8">
        <f t="shared" si="816"/>
        <v>0</v>
      </c>
      <c r="CJ1099" s="8">
        <f t="shared" si="817"/>
        <v>0</v>
      </c>
      <c r="CK1099" s="8">
        <f t="shared" si="818"/>
        <v>0</v>
      </c>
      <c r="CL1099" s="8">
        <f t="shared" si="819"/>
        <v>0</v>
      </c>
      <c r="CM1099" s="8">
        <f t="shared" si="820"/>
        <v>0</v>
      </c>
      <c r="CN1099" s="8">
        <f t="shared" si="821"/>
        <v>0</v>
      </c>
      <c r="CO1099" s="8">
        <f t="shared" si="822"/>
        <v>0</v>
      </c>
      <c r="CP1099" s="8">
        <f t="shared" si="823"/>
        <v>0</v>
      </c>
      <c r="CQ1099" s="8">
        <f t="shared" si="824"/>
        <v>0</v>
      </c>
      <c r="CR1099" s="8">
        <f t="shared" si="825"/>
        <v>0</v>
      </c>
      <c r="CS1099" s="8">
        <f t="shared" si="826"/>
        <v>0</v>
      </c>
      <c r="CT1099" s="8">
        <f t="shared" si="785"/>
        <v>0</v>
      </c>
      <c r="CU1099" s="8">
        <f t="shared" si="786"/>
        <v>0</v>
      </c>
      <c r="CV1099" s="8">
        <f t="shared" si="787"/>
        <v>0</v>
      </c>
    </row>
    <row r="1100" spans="1:100" ht="20.5" thickTop="1" thickBot="1" x14ac:dyDescent="0.5">
      <c r="A1100" s="32"/>
      <c r="B1100" s="10"/>
      <c r="C1100" s="10"/>
      <c r="D1100" s="11"/>
      <c r="E1100" s="10"/>
      <c r="F1100" s="10"/>
      <c r="G1100" s="19"/>
      <c r="H1100" s="19"/>
      <c r="I1100" s="19"/>
      <c r="J1100" s="19"/>
      <c r="K1100" s="10"/>
      <c r="L1100" s="10"/>
      <c r="M1100" s="10"/>
      <c r="N1100" s="10"/>
      <c r="O1100" s="18"/>
      <c r="P1100" s="18"/>
      <c r="Q1100" s="21"/>
      <c r="R1100" s="20"/>
      <c r="S1100" s="16">
        <f t="shared" si="789"/>
        <v>0</v>
      </c>
      <c r="T1100" s="11"/>
      <c r="AS1100" s="31">
        <f t="shared" si="790"/>
        <v>0</v>
      </c>
      <c r="AT1100" s="31">
        <f t="shared" si="791"/>
        <v>0</v>
      </c>
      <c r="AU1100" s="31">
        <f t="shared" si="792"/>
        <v>0</v>
      </c>
      <c r="AV1100" s="31">
        <f t="shared" si="793"/>
        <v>0</v>
      </c>
      <c r="AW1100" s="31">
        <f t="shared" si="794"/>
        <v>0</v>
      </c>
      <c r="AX1100" s="31">
        <f t="shared" si="795"/>
        <v>0</v>
      </c>
      <c r="AY1100" s="31">
        <f t="shared" si="796"/>
        <v>0</v>
      </c>
      <c r="AZ1100" s="31">
        <f t="shared" si="797"/>
        <v>0</v>
      </c>
      <c r="BA1100" s="31">
        <f t="shared" si="798"/>
        <v>0</v>
      </c>
      <c r="BB1100" s="31">
        <f t="shared" si="827"/>
        <v>0</v>
      </c>
      <c r="BM1100" s="8">
        <f t="shared" si="828"/>
        <v>0</v>
      </c>
      <c r="BN1100" s="8">
        <f t="shared" si="799"/>
        <v>0</v>
      </c>
      <c r="BO1100" s="8">
        <f t="shared" si="800"/>
        <v>0</v>
      </c>
      <c r="BQ1100" s="8">
        <f t="shared" si="801"/>
        <v>0</v>
      </c>
      <c r="BR1100" s="63">
        <f t="shared" si="802"/>
        <v>0</v>
      </c>
      <c r="BS1100" s="63">
        <f t="shared" si="829"/>
        <v>0</v>
      </c>
      <c r="BT1100" s="63">
        <f t="shared" si="803"/>
        <v>0</v>
      </c>
      <c r="BU1100" s="63">
        <f t="shared" si="804"/>
        <v>0</v>
      </c>
      <c r="BV1100" s="57">
        <f t="shared" si="805"/>
        <v>0</v>
      </c>
      <c r="BW1100" s="57">
        <f t="shared" si="806"/>
        <v>0</v>
      </c>
      <c r="BX1100" s="57">
        <f t="shared" si="830"/>
        <v>0</v>
      </c>
      <c r="BY1100" s="57">
        <f t="shared" si="788"/>
        <v>0</v>
      </c>
      <c r="BZ1100" s="8">
        <f t="shared" si="807"/>
        <v>0</v>
      </c>
      <c r="CA1100" s="8">
        <f t="shared" si="808"/>
        <v>0</v>
      </c>
      <c r="CB1100" s="8">
        <f t="shared" si="809"/>
        <v>0</v>
      </c>
      <c r="CC1100" s="8">
        <f t="shared" si="810"/>
        <v>0</v>
      </c>
      <c r="CD1100" s="8">
        <f t="shared" si="811"/>
        <v>0</v>
      </c>
      <c r="CE1100" s="8">
        <f t="shared" si="812"/>
        <v>0</v>
      </c>
      <c r="CF1100" s="8">
        <f t="shared" si="813"/>
        <v>0</v>
      </c>
      <c r="CG1100" s="8">
        <f t="shared" si="814"/>
        <v>0</v>
      </c>
      <c r="CH1100" s="8">
        <f t="shared" si="815"/>
        <v>0</v>
      </c>
      <c r="CI1100" s="8">
        <f t="shared" si="816"/>
        <v>0</v>
      </c>
      <c r="CJ1100" s="8">
        <f t="shared" si="817"/>
        <v>0</v>
      </c>
      <c r="CK1100" s="8">
        <f t="shared" si="818"/>
        <v>0</v>
      </c>
      <c r="CL1100" s="8">
        <f t="shared" si="819"/>
        <v>0</v>
      </c>
      <c r="CM1100" s="8">
        <f t="shared" si="820"/>
        <v>0</v>
      </c>
      <c r="CN1100" s="8">
        <f t="shared" si="821"/>
        <v>0</v>
      </c>
      <c r="CO1100" s="8">
        <f t="shared" si="822"/>
        <v>0</v>
      </c>
      <c r="CP1100" s="8">
        <f t="shared" si="823"/>
        <v>0</v>
      </c>
      <c r="CQ1100" s="8">
        <f t="shared" si="824"/>
        <v>0</v>
      </c>
      <c r="CR1100" s="8">
        <f t="shared" si="825"/>
        <v>0</v>
      </c>
      <c r="CS1100" s="8">
        <f t="shared" si="826"/>
        <v>0</v>
      </c>
      <c r="CT1100" s="8">
        <f t="shared" si="785"/>
        <v>0</v>
      </c>
      <c r="CU1100" s="8">
        <f t="shared" si="786"/>
        <v>0</v>
      </c>
      <c r="CV1100" s="8">
        <f t="shared" si="787"/>
        <v>0</v>
      </c>
    </row>
    <row r="1101" spans="1:100" ht="20.5" thickTop="1" thickBot="1" x14ac:dyDescent="0.5">
      <c r="A1101" s="32"/>
      <c r="B1101" s="10"/>
      <c r="C1101" s="10"/>
      <c r="D1101" s="11"/>
      <c r="E1101" s="10"/>
      <c r="F1101" s="10"/>
      <c r="G1101" s="19"/>
      <c r="H1101" s="19"/>
      <c r="I1101" s="19"/>
      <c r="J1101" s="19"/>
      <c r="K1101" s="10"/>
      <c r="L1101" s="10"/>
      <c r="M1101" s="10"/>
      <c r="N1101" s="10"/>
      <c r="O1101" s="18"/>
      <c r="P1101" s="18"/>
      <c r="Q1101" s="21"/>
      <c r="R1101" s="20"/>
      <c r="S1101" s="16">
        <f t="shared" si="789"/>
        <v>0</v>
      </c>
      <c r="T1101" s="11"/>
      <c r="AS1101" s="31">
        <f t="shared" si="790"/>
        <v>0</v>
      </c>
      <c r="AT1101" s="31">
        <f t="shared" si="791"/>
        <v>0</v>
      </c>
      <c r="AU1101" s="31">
        <f t="shared" si="792"/>
        <v>0</v>
      </c>
      <c r="AV1101" s="31">
        <f t="shared" si="793"/>
        <v>0</v>
      </c>
      <c r="AW1101" s="31">
        <f t="shared" si="794"/>
        <v>0</v>
      </c>
      <c r="AX1101" s="31">
        <f t="shared" si="795"/>
        <v>0</v>
      </c>
      <c r="AY1101" s="31">
        <f t="shared" si="796"/>
        <v>0</v>
      </c>
      <c r="AZ1101" s="31">
        <f t="shared" si="797"/>
        <v>0</v>
      </c>
      <c r="BA1101" s="31">
        <f t="shared" si="798"/>
        <v>0</v>
      </c>
      <c r="BB1101" s="31">
        <f t="shared" si="827"/>
        <v>0</v>
      </c>
      <c r="BM1101" s="8">
        <f t="shared" si="828"/>
        <v>0</v>
      </c>
      <c r="BN1101" s="8">
        <f t="shared" si="799"/>
        <v>0</v>
      </c>
      <c r="BO1101" s="8">
        <f t="shared" si="800"/>
        <v>0</v>
      </c>
      <c r="BQ1101" s="8">
        <f t="shared" si="801"/>
        <v>0</v>
      </c>
      <c r="BR1101" s="63">
        <f t="shared" si="802"/>
        <v>0</v>
      </c>
      <c r="BS1101" s="63">
        <f t="shared" si="829"/>
        <v>0</v>
      </c>
      <c r="BT1101" s="63">
        <f t="shared" si="803"/>
        <v>0</v>
      </c>
      <c r="BU1101" s="63">
        <f t="shared" si="804"/>
        <v>0</v>
      </c>
      <c r="BV1101" s="57">
        <f t="shared" si="805"/>
        <v>0</v>
      </c>
      <c r="BW1101" s="57">
        <f t="shared" si="806"/>
        <v>0</v>
      </c>
      <c r="BX1101" s="57">
        <f t="shared" si="830"/>
        <v>0</v>
      </c>
      <c r="BY1101" s="57">
        <f t="shared" si="788"/>
        <v>0</v>
      </c>
      <c r="BZ1101" s="8">
        <f t="shared" si="807"/>
        <v>0</v>
      </c>
      <c r="CA1101" s="8">
        <f t="shared" si="808"/>
        <v>0</v>
      </c>
      <c r="CB1101" s="8">
        <f t="shared" si="809"/>
        <v>0</v>
      </c>
      <c r="CC1101" s="8">
        <f t="shared" si="810"/>
        <v>0</v>
      </c>
      <c r="CD1101" s="8">
        <f t="shared" si="811"/>
        <v>0</v>
      </c>
      <c r="CE1101" s="8">
        <f t="shared" si="812"/>
        <v>0</v>
      </c>
      <c r="CF1101" s="8">
        <f t="shared" si="813"/>
        <v>0</v>
      </c>
      <c r="CG1101" s="8">
        <f t="shared" si="814"/>
        <v>0</v>
      </c>
      <c r="CH1101" s="8">
        <f t="shared" si="815"/>
        <v>0</v>
      </c>
      <c r="CI1101" s="8">
        <f t="shared" si="816"/>
        <v>0</v>
      </c>
      <c r="CJ1101" s="8">
        <f t="shared" si="817"/>
        <v>0</v>
      </c>
      <c r="CK1101" s="8">
        <f t="shared" si="818"/>
        <v>0</v>
      </c>
      <c r="CL1101" s="8">
        <f t="shared" si="819"/>
        <v>0</v>
      </c>
      <c r="CM1101" s="8">
        <f t="shared" si="820"/>
        <v>0</v>
      </c>
      <c r="CN1101" s="8">
        <f t="shared" si="821"/>
        <v>0</v>
      </c>
      <c r="CO1101" s="8">
        <f t="shared" si="822"/>
        <v>0</v>
      </c>
      <c r="CP1101" s="8">
        <f t="shared" si="823"/>
        <v>0</v>
      </c>
      <c r="CQ1101" s="8">
        <f t="shared" si="824"/>
        <v>0</v>
      </c>
      <c r="CR1101" s="8">
        <f t="shared" si="825"/>
        <v>0</v>
      </c>
      <c r="CS1101" s="8">
        <f t="shared" si="826"/>
        <v>0</v>
      </c>
      <c r="CT1101" s="8">
        <f t="shared" ref="CT1101:CT1164" si="831">IF(AND(J1101&gt;0,OR(B1101="MB",B1101="new MB")),J1101,0)*4+IF(AND(J1101&gt;0,OR(C1101="MB",C1101="new MB")),J1101,0)*4</f>
        <v>0</v>
      </c>
      <c r="CU1101" s="8">
        <f t="shared" ref="CU1101:CU1164" si="832">IF(AND(I1101&gt;0,OR(B1101="MB",B1101="new MB")),I1101,0)*4+IF(AND(I1101&gt;0,OR(C1101="MB",C1101="new MB")),I1101,0)*4</f>
        <v>0</v>
      </c>
      <c r="CV1101" s="8">
        <f t="shared" ref="CV1101:CV1164" si="833">IF(AND(H1101&gt;0,OR(B1101="MB",B1101="new MB")),H1101,0)*4+IF(AND(H1101&gt;0,OR(C1101="MB",C1101="new MB")),H1101,0)*4</f>
        <v>0</v>
      </c>
    </row>
    <row r="1102" spans="1:100" ht="20.5" thickTop="1" thickBot="1" x14ac:dyDescent="0.5">
      <c r="A1102" s="32"/>
      <c r="B1102" s="10"/>
      <c r="C1102" s="10"/>
      <c r="D1102" s="11"/>
      <c r="E1102" s="10"/>
      <c r="F1102" s="10"/>
      <c r="G1102" s="19"/>
      <c r="H1102" s="19"/>
      <c r="I1102" s="19"/>
      <c r="J1102" s="19"/>
      <c r="K1102" s="10"/>
      <c r="L1102" s="10"/>
      <c r="M1102" s="10"/>
      <c r="N1102" s="10"/>
      <c r="O1102" s="18"/>
      <c r="P1102" s="18"/>
      <c r="Q1102" s="21"/>
      <c r="R1102" s="20"/>
      <c r="S1102" s="16">
        <f t="shared" si="789"/>
        <v>0</v>
      </c>
      <c r="T1102" s="11"/>
      <c r="AS1102" s="31">
        <f t="shared" si="790"/>
        <v>0</v>
      </c>
      <c r="AT1102" s="31">
        <f t="shared" si="791"/>
        <v>0</v>
      </c>
      <c r="AU1102" s="31">
        <f t="shared" si="792"/>
        <v>0</v>
      </c>
      <c r="AV1102" s="31">
        <f t="shared" si="793"/>
        <v>0</v>
      </c>
      <c r="AW1102" s="31">
        <f t="shared" si="794"/>
        <v>0</v>
      </c>
      <c r="AX1102" s="31">
        <f t="shared" si="795"/>
        <v>0</v>
      </c>
      <c r="AY1102" s="31">
        <f t="shared" si="796"/>
        <v>0</v>
      </c>
      <c r="AZ1102" s="31">
        <f t="shared" si="797"/>
        <v>0</v>
      </c>
      <c r="BA1102" s="31">
        <f t="shared" si="798"/>
        <v>0</v>
      </c>
      <c r="BB1102" s="31">
        <f t="shared" si="827"/>
        <v>0</v>
      </c>
      <c r="BM1102" s="8">
        <f t="shared" si="828"/>
        <v>0</v>
      </c>
      <c r="BN1102" s="8">
        <f t="shared" si="799"/>
        <v>0</v>
      </c>
      <c r="BO1102" s="8">
        <f t="shared" si="800"/>
        <v>0</v>
      </c>
      <c r="BQ1102" s="8">
        <f t="shared" si="801"/>
        <v>0</v>
      </c>
      <c r="BR1102" s="63">
        <f t="shared" si="802"/>
        <v>0</v>
      </c>
      <c r="BS1102" s="63">
        <f t="shared" si="829"/>
        <v>0</v>
      </c>
      <c r="BT1102" s="63">
        <f t="shared" si="803"/>
        <v>0</v>
      </c>
      <c r="BU1102" s="63">
        <f t="shared" si="804"/>
        <v>0</v>
      </c>
      <c r="BV1102" s="57">
        <f t="shared" si="805"/>
        <v>0</v>
      </c>
      <c r="BW1102" s="57">
        <f t="shared" si="806"/>
        <v>0</v>
      </c>
      <c r="BX1102" s="57">
        <f t="shared" si="830"/>
        <v>0</v>
      </c>
      <c r="BY1102" s="57">
        <f t="shared" si="788"/>
        <v>0</v>
      </c>
      <c r="BZ1102" s="8">
        <f t="shared" si="807"/>
        <v>0</v>
      </c>
      <c r="CA1102" s="8">
        <f t="shared" si="808"/>
        <v>0</v>
      </c>
      <c r="CB1102" s="8">
        <f t="shared" si="809"/>
        <v>0</v>
      </c>
      <c r="CC1102" s="8">
        <f t="shared" si="810"/>
        <v>0</v>
      </c>
      <c r="CD1102" s="8">
        <f t="shared" si="811"/>
        <v>0</v>
      </c>
      <c r="CE1102" s="8">
        <f t="shared" si="812"/>
        <v>0</v>
      </c>
      <c r="CF1102" s="8">
        <f t="shared" si="813"/>
        <v>0</v>
      </c>
      <c r="CG1102" s="8">
        <f t="shared" si="814"/>
        <v>0</v>
      </c>
      <c r="CH1102" s="8">
        <f t="shared" si="815"/>
        <v>0</v>
      </c>
      <c r="CI1102" s="8">
        <f t="shared" si="816"/>
        <v>0</v>
      </c>
      <c r="CJ1102" s="8">
        <f t="shared" si="817"/>
        <v>0</v>
      </c>
      <c r="CK1102" s="8">
        <f t="shared" si="818"/>
        <v>0</v>
      </c>
      <c r="CL1102" s="8">
        <f t="shared" si="819"/>
        <v>0</v>
      </c>
      <c r="CM1102" s="8">
        <f t="shared" si="820"/>
        <v>0</v>
      </c>
      <c r="CN1102" s="8">
        <f t="shared" si="821"/>
        <v>0</v>
      </c>
      <c r="CO1102" s="8">
        <f t="shared" si="822"/>
        <v>0</v>
      </c>
      <c r="CP1102" s="8">
        <f t="shared" si="823"/>
        <v>0</v>
      </c>
      <c r="CQ1102" s="8">
        <f t="shared" si="824"/>
        <v>0</v>
      </c>
      <c r="CR1102" s="8">
        <f t="shared" si="825"/>
        <v>0</v>
      </c>
      <c r="CS1102" s="8">
        <f t="shared" si="826"/>
        <v>0</v>
      </c>
      <c r="CT1102" s="8">
        <f t="shared" si="831"/>
        <v>0</v>
      </c>
      <c r="CU1102" s="8">
        <f t="shared" si="832"/>
        <v>0</v>
      </c>
      <c r="CV1102" s="8">
        <f t="shared" si="833"/>
        <v>0</v>
      </c>
    </row>
    <row r="1103" spans="1:100" ht="20.5" thickTop="1" thickBot="1" x14ac:dyDescent="0.5">
      <c r="A1103" s="32"/>
      <c r="B1103" s="10"/>
      <c r="C1103" s="10"/>
      <c r="D1103" s="11"/>
      <c r="E1103" s="10"/>
      <c r="F1103" s="10"/>
      <c r="G1103" s="19"/>
      <c r="H1103" s="19"/>
      <c r="I1103" s="19"/>
      <c r="J1103" s="19"/>
      <c r="K1103" s="10"/>
      <c r="L1103" s="10"/>
      <c r="M1103" s="10"/>
      <c r="N1103" s="10"/>
      <c r="O1103" s="18"/>
      <c r="P1103" s="18"/>
      <c r="Q1103" s="21"/>
      <c r="R1103" s="20"/>
      <c r="S1103" s="16">
        <f t="shared" si="789"/>
        <v>0</v>
      </c>
      <c r="T1103" s="11"/>
      <c r="AS1103" s="31">
        <f t="shared" si="790"/>
        <v>0</v>
      </c>
      <c r="AT1103" s="31">
        <f t="shared" si="791"/>
        <v>0</v>
      </c>
      <c r="AU1103" s="31">
        <f t="shared" si="792"/>
        <v>0</v>
      </c>
      <c r="AV1103" s="31">
        <f t="shared" si="793"/>
        <v>0</v>
      </c>
      <c r="AW1103" s="31">
        <f t="shared" si="794"/>
        <v>0</v>
      </c>
      <c r="AX1103" s="31">
        <f t="shared" si="795"/>
        <v>0</v>
      </c>
      <c r="AY1103" s="31">
        <f t="shared" si="796"/>
        <v>0</v>
      </c>
      <c r="AZ1103" s="31">
        <f t="shared" si="797"/>
        <v>0</v>
      </c>
      <c r="BA1103" s="31">
        <f t="shared" si="798"/>
        <v>0</v>
      </c>
      <c r="BB1103" s="31">
        <f t="shared" si="827"/>
        <v>0</v>
      </c>
      <c r="BM1103" s="8">
        <f t="shared" si="828"/>
        <v>0</v>
      </c>
      <c r="BN1103" s="8">
        <f t="shared" si="799"/>
        <v>0</v>
      </c>
      <c r="BO1103" s="8">
        <f t="shared" si="800"/>
        <v>0</v>
      </c>
      <c r="BQ1103" s="8">
        <f t="shared" si="801"/>
        <v>0</v>
      </c>
      <c r="BR1103" s="63">
        <f t="shared" si="802"/>
        <v>0</v>
      </c>
      <c r="BS1103" s="63">
        <f t="shared" si="829"/>
        <v>0</v>
      </c>
      <c r="BT1103" s="63">
        <f t="shared" si="803"/>
        <v>0</v>
      </c>
      <c r="BU1103" s="63">
        <f t="shared" si="804"/>
        <v>0</v>
      </c>
      <c r="BV1103" s="57">
        <f t="shared" si="805"/>
        <v>0</v>
      </c>
      <c r="BW1103" s="57">
        <f t="shared" si="806"/>
        <v>0</v>
      </c>
      <c r="BX1103" s="57">
        <f t="shared" si="830"/>
        <v>0</v>
      </c>
      <c r="BY1103" s="57">
        <f t="shared" si="788"/>
        <v>0</v>
      </c>
      <c r="BZ1103" s="8">
        <f t="shared" si="807"/>
        <v>0</v>
      </c>
      <c r="CA1103" s="8">
        <f t="shared" si="808"/>
        <v>0</v>
      </c>
      <c r="CB1103" s="8">
        <f t="shared" si="809"/>
        <v>0</v>
      </c>
      <c r="CC1103" s="8">
        <f t="shared" si="810"/>
        <v>0</v>
      </c>
      <c r="CD1103" s="8">
        <f t="shared" si="811"/>
        <v>0</v>
      </c>
      <c r="CE1103" s="8">
        <f t="shared" si="812"/>
        <v>0</v>
      </c>
      <c r="CF1103" s="8">
        <f t="shared" si="813"/>
        <v>0</v>
      </c>
      <c r="CG1103" s="8">
        <f t="shared" si="814"/>
        <v>0</v>
      </c>
      <c r="CH1103" s="8">
        <f t="shared" si="815"/>
        <v>0</v>
      </c>
      <c r="CI1103" s="8">
        <f t="shared" si="816"/>
        <v>0</v>
      </c>
      <c r="CJ1103" s="8">
        <f t="shared" si="817"/>
        <v>0</v>
      </c>
      <c r="CK1103" s="8">
        <f t="shared" si="818"/>
        <v>0</v>
      </c>
      <c r="CL1103" s="8">
        <f t="shared" si="819"/>
        <v>0</v>
      </c>
      <c r="CM1103" s="8">
        <f t="shared" si="820"/>
        <v>0</v>
      </c>
      <c r="CN1103" s="8">
        <f t="shared" si="821"/>
        <v>0</v>
      </c>
      <c r="CO1103" s="8">
        <f t="shared" si="822"/>
        <v>0</v>
      </c>
      <c r="CP1103" s="8">
        <f t="shared" si="823"/>
        <v>0</v>
      </c>
      <c r="CQ1103" s="8">
        <f t="shared" si="824"/>
        <v>0</v>
      </c>
      <c r="CR1103" s="8">
        <f t="shared" si="825"/>
        <v>0</v>
      </c>
      <c r="CS1103" s="8">
        <f t="shared" si="826"/>
        <v>0</v>
      </c>
      <c r="CT1103" s="8">
        <f t="shared" si="831"/>
        <v>0</v>
      </c>
      <c r="CU1103" s="8">
        <f t="shared" si="832"/>
        <v>0</v>
      </c>
      <c r="CV1103" s="8">
        <f t="shared" si="833"/>
        <v>0</v>
      </c>
    </row>
    <row r="1104" spans="1:100" ht="20.5" thickTop="1" thickBot="1" x14ac:dyDescent="0.5">
      <c r="A1104" s="32"/>
      <c r="B1104" s="10"/>
      <c r="C1104" s="10"/>
      <c r="D1104" s="11"/>
      <c r="E1104" s="10"/>
      <c r="F1104" s="10"/>
      <c r="G1104" s="19"/>
      <c r="H1104" s="19"/>
      <c r="I1104" s="19"/>
      <c r="J1104" s="19"/>
      <c r="K1104" s="10"/>
      <c r="L1104" s="10"/>
      <c r="M1104" s="10"/>
      <c r="N1104" s="10"/>
      <c r="O1104" s="18"/>
      <c r="P1104" s="18"/>
      <c r="Q1104" s="21"/>
      <c r="R1104" s="20"/>
      <c r="S1104" s="16">
        <f t="shared" si="789"/>
        <v>0</v>
      </c>
      <c r="T1104" s="11"/>
      <c r="AS1104" s="31">
        <f t="shared" si="790"/>
        <v>0</v>
      </c>
      <c r="AT1104" s="31">
        <f t="shared" si="791"/>
        <v>0</v>
      </c>
      <c r="AU1104" s="31">
        <f t="shared" si="792"/>
        <v>0</v>
      </c>
      <c r="AV1104" s="31">
        <f t="shared" si="793"/>
        <v>0</v>
      </c>
      <c r="AW1104" s="31">
        <f t="shared" si="794"/>
        <v>0</v>
      </c>
      <c r="AX1104" s="31">
        <f t="shared" si="795"/>
        <v>0</v>
      </c>
      <c r="AY1104" s="31">
        <f t="shared" si="796"/>
        <v>0</v>
      </c>
      <c r="AZ1104" s="31">
        <f t="shared" si="797"/>
        <v>0</v>
      </c>
      <c r="BA1104" s="31">
        <f t="shared" si="798"/>
        <v>0</v>
      </c>
      <c r="BB1104" s="31">
        <f t="shared" si="827"/>
        <v>0</v>
      </c>
      <c r="BM1104" s="8">
        <f t="shared" si="828"/>
        <v>0</v>
      </c>
      <c r="BN1104" s="8">
        <f t="shared" si="799"/>
        <v>0</v>
      </c>
      <c r="BO1104" s="8">
        <f t="shared" si="800"/>
        <v>0</v>
      </c>
      <c r="BQ1104" s="8">
        <f t="shared" si="801"/>
        <v>0</v>
      </c>
      <c r="BR1104" s="63">
        <f t="shared" si="802"/>
        <v>0</v>
      </c>
      <c r="BS1104" s="63">
        <f t="shared" si="829"/>
        <v>0</v>
      </c>
      <c r="BT1104" s="63">
        <f t="shared" si="803"/>
        <v>0</v>
      </c>
      <c r="BU1104" s="63">
        <f t="shared" si="804"/>
        <v>0</v>
      </c>
      <c r="BV1104" s="57">
        <f t="shared" si="805"/>
        <v>0</v>
      </c>
      <c r="BW1104" s="57">
        <f t="shared" si="806"/>
        <v>0</v>
      </c>
      <c r="BX1104" s="57">
        <f t="shared" si="830"/>
        <v>0</v>
      </c>
      <c r="BY1104" s="57">
        <f t="shared" si="788"/>
        <v>0</v>
      </c>
      <c r="BZ1104" s="8">
        <f t="shared" si="807"/>
        <v>0</v>
      </c>
      <c r="CA1104" s="8">
        <f t="shared" si="808"/>
        <v>0</v>
      </c>
      <c r="CB1104" s="8">
        <f t="shared" si="809"/>
        <v>0</v>
      </c>
      <c r="CC1104" s="8">
        <f t="shared" si="810"/>
        <v>0</v>
      </c>
      <c r="CD1104" s="8">
        <f t="shared" si="811"/>
        <v>0</v>
      </c>
      <c r="CE1104" s="8">
        <f t="shared" si="812"/>
        <v>0</v>
      </c>
      <c r="CF1104" s="8">
        <f t="shared" si="813"/>
        <v>0</v>
      </c>
      <c r="CG1104" s="8">
        <f t="shared" si="814"/>
        <v>0</v>
      </c>
      <c r="CH1104" s="8">
        <f t="shared" si="815"/>
        <v>0</v>
      </c>
      <c r="CI1104" s="8">
        <f t="shared" si="816"/>
        <v>0</v>
      </c>
      <c r="CJ1104" s="8">
        <f t="shared" si="817"/>
        <v>0</v>
      </c>
      <c r="CK1104" s="8">
        <f t="shared" si="818"/>
        <v>0</v>
      </c>
      <c r="CL1104" s="8">
        <f t="shared" si="819"/>
        <v>0</v>
      </c>
      <c r="CM1104" s="8">
        <f t="shared" si="820"/>
        <v>0</v>
      </c>
      <c r="CN1104" s="8">
        <f t="shared" si="821"/>
        <v>0</v>
      </c>
      <c r="CO1104" s="8">
        <f t="shared" si="822"/>
        <v>0</v>
      </c>
      <c r="CP1104" s="8">
        <f t="shared" si="823"/>
        <v>0</v>
      </c>
      <c r="CQ1104" s="8">
        <f t="shared" si="824"/>
        <v>0</v>
      </c>
      <c r="CR1104" s="8">
        <f t="shared" si="825"/>
        <v>0</v>
      </c>
      <c r="CS1104" s="8">
        <f t="shared" si="826"/>
        <v>0</v>
      </c>
      <c r="CT1104" s="8">
        <f t="shared" si="831"/>
        <v>0</v>
      </c>
      <c r="CU1104" s="8">
        <f t="shared" si="832"/>
        <v>0</v>
      </c>
      <c r="CV1104" s="8">
        <f t="shared" si="833"/>
        <v>0</v>
      </c>
    </row>
    <row r="1105" spans="1:100" ht="20.5" thickTop="1" thickBot="1" x14ac:dyDescent="0.5">
      <c r="A1105" s="32"/>
      <c r="B1105" s="10"/>
      <c r="C1105" s="10"/>
      <c r="D1105" s="11"/>
      <c r="E1105" s="10"/>
      <c r="F1105" s="10"/>
      <c r="G1105" s="19"/>
      <c r="H1105" s="19"/>
      <c r="I1105" s="19"/>
      <c r="J1105" s="19"/>
      <c r="K1105" s="10"/>
      <c r="L1105" s="10"/>
      <c r="M1105" s="10"/>
      <c r="N1105" s="10"/>
      <c r="O1105" s="18"/>
      <c r="P1105" s="18"/>
      <c r="Q1105" s="21"/>
      <c r="R1105" s="20"/>
      <c r="S1105" s="16">
        <f t="shared" si="789"/>
        <v>0</v>
      </c>
      <c r="T1105" s="11"/>
      <c r="AS1105" s="31">
        <f t="shared" si="790"/>
        <v>0</v>
      </c>
      <c r="AT1105" s="31">
        <f t="shared" si="791"/>
        <v>0</v>
      </c>
      <c r="AU1105" s="31">
        <f t="shared" si="792"/>
        <v>0</v>
      </c>
      <c r="AV1105" s="31">
        <f t="shared" si="793"/>
        <v>0</v>
      </c>
      <c r="AW1105" s="31">
        <f t="shared" si="794"/>
        <v>0</v>
      </c>
      <c r="AX1105" s="31">
        <f t="shared" si="795"/>
        <v>0</v>
      </c>
      <c r="AY1105" s="31">
        <f t="shared" si="796"/>
        <v>0</v>
      </c>
      <c r="AZ1105" s="31">
        <f t="shared" si="797"/>
        <v>0</v>
      </c>
      <c r="BA1105" s="31">
        <f t="shared" si="798"/>
        <v>0</v>
      </c>
      <c r="BB1105" s="31">
        <f t="shared" si="827"/>
        <v>0</v>
      </c>
      <c r="BM1105" s="8">
        <f t="shared" si="828"/>
        <v>0</v>
      </c>
      <c r="BN1105" s="8">
        <f t="shared" si="799"/>
        <v>0</v>
      </c>
      <c r="BO1105" s="8">
        <f t="shared" si="800"/>
        <v>0</v>
      </c>
      <c r="BQ1105" s="8">
        <f t="shared" si="801"/>
        <v>0</v>
      </c>
      <c r="BR1105" s="63">
        <f t="shared" si="802"/>
        <v>0</v>
      </c>
      <c r="BS1105" s="63">
        <f t="shared" si="829"/>
        <v>0</v>
      </c>
      <c r="BT1105" s="63">
        <f t="shared" si="803"/>
        <v>0</v>
      </c>
      <c r="BU1105" s="63">
        <f t="shared" si="804"/>
        <v>0</v>
      </c>
      <c r="BV1105" s="57">
        <f t="shared" si="805"/>
        <v>0</v>
      </c>
      <c r="BW1105" s="57">
        <f t="shared" si="806"/>
        <v>0</v>
      </c>
      <c r="BX1105" s="57">
        <f t="shared" si="830"/>
        <v>0</v>
      </c>
      <c r="BY1105" s="57">
        <f t="shared" si="788"/>
        <v>0</v>
      </c>
      <c r="BZ1105" s="8">
        <f t="shared" si="807"/>
        <v>0</v>
      </c>
      <c r="CA1105" s="8">
        <f t="shared" si="808"/>
        <v>0</v>
      </c>
      <c r="CB1105" s="8">
        <f t="shared" si="809"/>
        <v>0</v>
      </c>
      <c r="CC1105" s="8">
        <f t="shared" si="810"/>
        <v>0</v>
      </c>
      <c r="CD1105" s="8">
        <f t="shared" si="811"/>
        <v>0</v>
      </c>
      <c r="CE1105" s="8">
        <f t="shared" si="812"/>
        <v>0</v>
      </c>
      <c r="CF1105" s="8">
        <f t="shared" si="813"/>
        <v>0</v>
      </c>
      <c r="CG1105" s="8">
        <f t="shared" si="814"/>
        <v>0</v>
      </c>
      <c r="CH1105" s="8">
        <f t="shared" si="815"/>
        <v>0</v>
      </c>
      <c r="CI1105" s="8">
        <f t="shared" si="816"/>
        <v>0</v>
      </c>
      <c r="CJ1105" s="8">
        <f t="shared" si="817"/>
        <v>0</v>
      </c>
      <c r="CK1105" s="8">
        <f t="shared" si="818"/>
        <v>0</v>
      </c>
      <c r="CL1105" s="8">
        <f t="shared" si="819"/>
        <v>0</v>
      </c>
      <c r="CM1105" s="8">
        <f t="shared" si="820"/>
        <v>0</v>
      </c>
      <c r="CN1105" s="8">
        <f t="shared" si="821"/>
        <v>0</v>
      </c>
      <c r="CO1105" s="8">
        <f t="shared" si="822"/>
        <v>0</v>
      </c>
      <c r="CP1105" s="8">
        <f t="shared" si="823"/>
        <v>0</v>
      </c>
      <c r="CQ1105" s="8">
        <f t="shared" si="824"/>
        <v>0</v>
      </c>
      <c r="CR1105" s="8">
        <f t="shared" si="825"/>
        <v>0</v>
      </c>
      <c r="CS1105" s="8">
        <f t="shared" si="826"/>
        <v>0</v>
      </c>
      <c r="CT1105" s="8">
        <f t="shared" si="831"/>
        <v>0</v>
      </c>
      <c r="CU1105" s="8">
        <f t="shared" si="832"/>
        <v>0</v>
      </c>
      <c r="CV1105" s="8">
        <f t="shared" si="833"/>
        <v>0</v>
      </c>
    </row>
    <row r="1106" spans="1:100" ht="20.5" thickTop="1" thickBot="1" x14ac:dyDescent="0.5">
      <c r="A1106" s="32"/>
      <c r="B1106" s="10"/>
      <c r="C1106" s="10"/>
      <c r="D1106" s="11"/>
      <c r="E1106" s="10"/>
      <c r="F1106" s="10"/>
      <c r="G1106" s="19"/>
      <c r="H1106" s="19"/>
      <c r="I1106" s="19"/>
      <c r="J1106" s="19"/>
      <c r="K1106" s="10"/>
      <c r="L1106" s="10"/>
      <c r="M1106" s="10"/>
      <c r="N1106" s="10"/>
      <c r="O1106" s="18"/>
      <c r="P1106" s="18"/>
      <c r="Q1106" s="21"/>
      <c r="R1106" s="20"/>
      <c r="S1106" s="16">
        <f t="shared" si="789"/>
        <v>0</v>
      </c>
      <c r="T1106" s="11"/>
      <c r="AS1106" s="31">
        <f t="shared" si="790"/>
        <v>0</v>
      </c>
      <c r="AT1106" s="31">
        <f t="shared" si="791"/>
        <v>0</v>
      </c>
      <c r="AU1106" s="31">
        <f t="shared" si="792"/>
        <v>0</v>
      </c>
      <c r="AV1106" s="31">
        <f t="shared" si="793"/>
        <v>0</v>
      </c>
      <c r="AW1106" s="31">
        <f t="shared" si="794"/>
        <v>0</v>
      </c>
      <c r="AX1106" s="31">
        <f t="shared" si="795"/>
        <v>0</v>
      </c>
      <c r="AY1106" s="31">
        <f t="shared" si="796"/>
        <v>0</v>
      </c>
      <c r="AZ1106" s="31">
        <f t="shared" si="797"/>
        <v>0</v>
      </c>
      <c r="BA1106" s="31">
        <f t="shared" si="798"/>
        <v>0</v>
      </c>
      <c r="BB1106" s="31">
        <f t="shared" si="827"/>
        <v>0</v>
      </c>
      <c r="BM1106" s="8">
        <f t="shared" si="828"/>
        <v>0</v>
      </c>
      <c r="BN1106" s="8">
        <f t="shared" si="799"/>
        <v>0</v>
      </c>
      <c r="BO1106" s="8">
        <f t="shared" si="800"/>
        <v>0</v>
      </c>
      <c r="BQ1106" s="8">
        <f t="shared" si="801"/>
        <v>0</v>
      </c>
      <c r="BR1106" s="63">
        <f t="shared" si="802"/>
        <v>0</v>
      </c>
      <c r="BS1106" s="63">
        <f t="shared" si="829"/>
        <v>0</v>
      </c>
      <c r="BT1106" s="63">
        <f t="shared" si="803"/>
        <v>0</v>
      </c>
      <c r="BU1106" s="63">
        <f t="shared" si="804"/>
        <v>0</v>
      </c>
      <c r="BV1106" s="57">
        <f t="shared" si="805"/>
        <v>0</v>
      </c>
      <c r="BW1106" s="57">
        <f t="shared" si="806"/>
        <v>0</v>
      </c>
      <c r="BX1106" s="57">
        <f t="shared" si="830"/>
        <v>0</v>
      </c>
      <c r="BY1106" s="57">
        <f t="shared" si="788"/>
        <v>0</v>
      </c>
      <c r="BZ1106" s="8">
        <f t="shared" si="807"/>
        <v>0</v>
      </c>
      <c r="CA1106" s="8">
        <f t="shared" si="808"/>
        <v>0</v>
      </c>
      <c r="CB1106" s="8">
        <f t="shared" si="809"/>
        <v>0</v>
      </c>
      <c r="CC1106" s="8">
        <f t="shared" si="810"/>
        <v>0</v>
      </c>
      <c r="CD1106" s="8">
        <f t="shared" si="811"/>
        <v>0</v>
      </c>
      <c r="CE1106" s="8">
        <f t="shared" si="812"/>
        <v>0</v>
      </c>
      <c r="CF1106" s="8">
        <f t="shared" si="813"/>
        <v>0</v>
      </c>
      <c r="CG1106" s="8">
        <f t="shared" si="814"/>
        <v>0</v>
      </c>
      <c r="CH1106" s="8">
        <f t="shared" si="815"/>
        <v>0</v>
      </c>
      <c r="CI1106" s="8">
        <f t="shared" si="816"/>
        <v>0</v>
      </c>
      <c r="CJ1106" s="8">
        <f t="shared" si="817"/>
        <v>0</v>
      </c>
      <c r="CK1106" s="8">
        <f t="shared" si="818"/>
        <v>0</v>
      </c>
      <c r="CL1106" s="8">
        <f t="shared" si="819"/>
        <v>0</v>
      </c>
      <c r="CM1106" s="8">
        <f t="shared" si="820"/>
        <v>0</v>
      </c>
      <c r="CN1106" s="8">
        <f t="shared" si="821"/>
        <v>0</v>
      </c>
      <c r="CO1106" s="8">
        <f t="shared" si="822"/>
        <v>0</v>
      </c>
      <c r="CP1106" s="8">
        <f t="shared" si="823"/>
        <v>0</v>
      </c>
      <c r="CQ1106" s="8">
        <f t="shared" si="824"/>
        <v>0</v>
      </c>
      <c r="CR1106" s="8">
        <f t="shared" si="825"/>
        <v>0</v>
      </c>
      <c r="CS1106" s="8">
        <f t="shared" si="826"/>
        <v>0</v>
      </c>
      <c r="CT1106" s="8">
        <f t="shared" si="831"/>
        <v>0</v>
      </c>
      <c r="CU1106" s="8">
        <f t="shared" si="832"/>
        <v>0</v>
      </c>
      <c r="CV1106" s="8">
        <f t="shared" si="833"/>
        <v>0</v>
      </c>
    </row>
    <row r="1107" spans="1:100" ht="20.5" thickTop="1" thickBot="1" x14ac:dyDescent="0.5">
      <c r="A1107" s="32"/>
      <c r="B1107" s="10"/>
      <c r="C1107" s="10"/>
      <c r="D1107" s="11"/>
      <c r="E1107" s="10"/>
      <c r="F1107" s="10"/>
      <c r="G1107" s="19"/>
      <c r="H1107" s="19"/>
      <c r="I1107" s="19"/>
      <c r="J1107" s="19"/>
      <c r="K1107" s="10"/>
      <c r="L1107" s="10"/>
      <c r="M1107" s="10"/>
      <c r="N1107" s="10"/>
      <c r="O1107" s="18"/>
      <c r="P1107" s="18"/>
      <c r="Q1107" s="21"/>
      <c r="R1107" s="20"/>
      <c r="S1107" s="16">
        <f t="shared" si="789"/>
        <v>0</v>
      </c>
      <c r="T1107" s="11"/>
      <c r="AS1107" s="31">
        <f t="shared" si="790"/>
        <v>0</v>
      </c>
      <c r="AT1107" s="31">
        <f t="shared" si="791"/>
        <v>0</v>
      </c>
      <c r="AU1107" s="31">
        <f t="shared" si="792"/>
        <v>0</v>
      </c>
      <c r="AV1107" s="31">
        <f t="shared" si="793"/>
        <v>0</v>
      </c>
      <c r="AW1107" s="31">
        <f t="shared" si="794"/>
        <v>0</v>
      </c>
      <c r="AX1107" s="31">
        <f t="shared" si="795"/>
        <v>0</v>
      </c>
      <c r="AY1107" s="31">
        <f t="shared" si="796"/>
        <v>0</v>
      </c>
      <c r="AZ1107" s="31">
        <f t="shared" si="797"/>
        <v>0</v>
      </c>
      <c r="BA1107" s="31">
        <f t="shared" si="798"/>
        <v>0</v>
      </c>
      <c r="BB1107" s="31">
        <f t="shared" si="827"/>
        <v>0</v>
      </c>
      <c r="BM1107" s="8">
        <f t="shared" si="828"/>
        <v>0</v>
      </c>
      <c r="BN1107" s="8">
        <f t="shared" si="799"/>
        <v>0</v>
      </c>
      <c r="BO1107" s="8">
        <f t="shared" si="800"/>
        <v>0</v>
      </c>
      <c r="BQ1107" s="8">
        <f t="shared" si="801"/>
        <v>0</v>
      </c>
      <c r="BR1107" s="63">
        <f t="shared" si="802"/>
        <v>0</v>
      </c>
      <c r="BS1107" s="63">
        <f t="shared" si="829"/>
        <v>0</v>
      </c>
      <c r="BT1107" s="63">
        <f t="shared" si="803"/>
        <v>0</v>
      </c>
      <c r="BU1107" s="63">
        <f t="shared" si="804"/>
        <v>0</v>
      </c>
      <c r="BV1107" s="57">
        <f t="shared" si="805"/>
        <v>0</v>
      </c>
      <c r="BW1107" s="57">
        <f t="shared" si="806"/>
        <v>0</v>
      </c>
      <c r="BX1107" s="57">
        <f t="shared" si="830"/>
        <v>0</v>
      </c>
      <c r="BY1107" s="57">
        <f t="shared" si="788"/>
        <v>0</v>
      </c>
      <c r="BZ1107" s="8">
        <f t="shared" si="807"/>
        <v>0</v>
      </c>
      <c r="CA1107" s="8">
        <f t="shared" si="808"/>
        <v>0</v>
      </c>
      <c r="CB1107" s="8">
        <f t="shared" si="809"/>
        <v>0</v>
      </c>
      <c r="CC1107" s="8">
        <f t="shared" si="810"/>
        <v>0</v>
      </c>
      <c r="CD1107" s="8">
        <f t="shared" si="811"/>
        <v>0</v>
      </c>
      <c r="CE1107" s="8">
        <f t="shared" si="812"/>
        <v>0</v>
      </c>
      <c r="CF1107" s="8">
        <f t="shared" si="813"/>
        <v>0</v>
      </c>
      <c r="CG1107" s="8">
        <f t="shared" si="814"/>
        <v>0</v>
      </c>
      <c r="CH1107" s="8">
        <f t="shared" si="815"/>
        <v>0</v>
      </c>
      <c r="CI1107" s="8">
        <f t="shared" si="816"/>
        <v>0</v>
      </c>
      <c r="CJ1107" s="8">
        <f t="shared" si="817"/>
        <v>0</v>
      </c>
      <c r="CK1107" s="8">
        <f t="shared" si="818"/>
        <v>0</v>
      </c>
      <c r="CL1107" s="8">
        <f t="shared" si="819"/>
        <v>0</v>
      </c>
      <c r="CM1107" s="8">
        <f t="shared" si="820"/>
        <v>0</v>
      </c>
      <c r="CN1107" s="8">
        <f t="shared" si="821"/>
        <v>0</v>
      </c>
      <c r="CO1107" s="8">
        <f t="shared" si="822"/>
        <v>0</v>
      </c>
      <c r="CP1107" s="8">
        <f t="shared" si="823"/>
        <v>0</v>
      </c>
      <c r="CQ1107" s="8">
        <f t="shared" si="824"/>
        <v>0</v>
      </c>
      <c r="CR1107" s="8">
        <f t="shared" si="825"/>
        <v>0</v>
      </c>
      <c r="CS1107" s="8">
        <f t="shared" si="826"/>
        <v>0</v>
      </c>
      <c r="CT1107" s="8">
        <f t="shared" si="831"/>
        <v>0</v>
      </c>
      <c r="CU1107" s="8">
        <f t="shared" si="832"/>
        <v>0</v>
      </c>
      <c r="CV1107" s="8">
        <f t="shared" si="833"/>
        <v>0</v>
      </c>
    </row>
    <row r="1108" spans="1:100" ht="20.5" thickTop="1" thickBot="1" x14ac:dyDescent="0.5">
      <c r="A1108" s="32"/>
      <c r="B1108" s="10"/>
      <c r="C1108" s="10"/>
      <c r="D1108" s="11"/>
      <c r="E1108" s="10"/>
      <c r="F1108" s="10"/>
      <c r="G1108" s="19"/>
      <c r="H1108" s="19"/>
      <c r="I1108" s="19"/>
      <c r="J1108" s="19"/>
      <c r="K1108" s="10"/>
      <c r="L1108" s="10"/>
      <c r="M1108" s="10"/>
      <c r="N1108" s="10"/>
      <c r="O1108" s="18"/>
      <c r="P1108" s="18"/>
      <c r="Q1108" s="21"/>
      <c r="R1108" s="20"/>
      <c r="S1108" s="16">
        <f t="shared" si="789"/>
        <v>0</v>
      </c>
      <c r="T1108" s="11"/>
      <c r="AS1108" s="31">
        <f t="shared" si="790"/>
        <v>0</v>
      </c>
      <c r="AT1108" s="31">
        <f t="shared" si="791"/>
        <v>0</v>
      </c>
      <c r="AU1108" s="31">
        <f t="shared" si="792"/>
        <v>0</v>
      </c>
      <c r="AV1108" s="31">
        <f t="shared" si="793"/>
        <v>0</v>
      </c>
      <c r="AW1108" s="31">
        <f t="shared" si="794"/>
        <v>0</v>
      </c>
      <c r="AX1108" s="31">
        <f t="shared" si="795"/>
        <v>0</v>
      </c>
      <c r="AY1108" s="31">
        <f t="shared" si="796"/>
        <v>0</v>
      </c>
      <c r="AZ1108" s="31">
        <f t="shared" si="797"/>
        <v>0</v>
      </c>
      <c r="BA1108" s="31">
        <f t="shared" si="798"/>
        <v>0</v>
      </c>
      <c r="BB1108" s="31">
        <f t="shared" si="827"/>
        <v>0</v>
      </c>
      <c r="BM1108" s="8">
        <f t="shared" si="828"/>
        <v>0</v>
      </c>
      <c r="BN1108" s="8">
        <f t="shared" si="799"/>
        <v>0</v>
      </c>
      <c r="BO1108" s="8">
        <f t="shared" si="800"/>
        <v>0</v>
      </c>
      <c r="BQ1108" s="8">
        <f t="shared" si="801"/>
        <v>0</v>
      </c>
      <c r="BR1108" s="63">
        <f t="shared" si="802"/>
        <v>0</v>
      </c>
      <c r="BS1108" s="63">
        <f t="shared" si="829"/>
        <v>0</v>
      </c>
      <c r="BT1108" s="63">
        <f t="shared" si="803"/>
        <v>0</v>
      </c>
      <c r="BU1108" s="63">
        <f t="shared" si="804"/>
        <v>0</v>
      </c>
      <c r="BV1108" s="57">
        <f t="shared" si="805"/>
        <v>0</v>
      </c>
      <c r="BW1108" s="57">
        <f t="shared" si="806"/>
        <v>0</v>
      </c>
      <c r="BX1108" s="57">
        <f t="shared" si="830"/>
        <v>0</v>
      </c>
      <c r="BY1108" s="57">
        <f t="shared" si="788"/>
        <v>0</v>
      </c>
      <c r="BZ1108" s="8">
        <f t="shared" si="807"/>
        <v>0</v>
      </c>
      <c r="CA1108" s="8">
        <f t="shared" si="808"/>
        <v>0</v>
      </c>
      <c r="CB1108" s="8">
        <f t="shared" si="809"/>
        <v>0</v>
      </c>
      <c r="CC1108" s="8">
        <f t="shared" si="810"/>
        <v>0</v>
      </c>
      <c r="CD1108" s="8">
        <f t="shared" si="811"/>
        <v>0</v>
      </c>
      <c r="CE1108" s="8">
        <f t="shared" si="812"/>
        <v>0</v>
      </c>
      <c r="CF1108" s="8">
        <f t="shared" si="813"/>
        <v>0</v>
      </c>
      <c r="CG1108" s="8">
        <f t="shared" si="814"/>
        <v>0</v>
      </c>
      <c r="CH1108" s="8">
        <f t="shared" si="815"/>
        <v>0</v>
      </c>
      <c r="CI1108" s="8">
        <f t="shared" si="816"/>
        <v>0</v>
      </c>
      <c r="CJ1108" s="8">
        <f t="shared" si="817"/>
        <v>0</v>
      </c>
      <c r="CK1108" s="8">
        <f t="shared" si="818"/>
        <v>0</v>
      </c>
      <c r="CL1108" s="8">
        <f t="shared" si="819"/>
        <v>0</v>
      </c>
      <c r="CM1108" s="8">
        <f t="shared" si="820"/>
        <v>0</v>
      </c>
      <c r="CN1108" s="8">
        <f t="shared" si="821"/>
        <v>0</v>
      </c>
      <c r="CO1108" s="8">
        <f t="shared" si="822"/>
        <v>0</v>
      </c>
      <c r="CP1108" s="8">
        <f t="shared" si="823"/>
        <v>0</v>
      </c>
      <c r="CQ1108" s="8">
        <f t="shared" si="824"/>
        <v>0</v>
      </c>
      <c r="CR1108" s="8">
        <f t="shared" si="825"/>
        <v>0</v>
      </c>
      <c r="CS1108" s="8">
        <f t="shared" si="826"/>
        <v>0</v>
      </c>
      <c r="CT1108" s="8">
        <f t="shared" si="831"/>
        <v>0</v>
      </c>
      <c r="CU1108" s="8">
        <f t="shared" si="832"/>
        <v>0</v>
      </c>
      <c r="CV1108" s="8">
        <f t="shared" si="833"/>
        <v>0</v>
      </c>
    </row>
    <row r="1109" spans="1:100" ht="20.5" thickTop="1" thickBot="1" x14ac:dyDescent="0.5">
      <c r="A1109" s="32"/>
      <c r="B1109" s="10"/>
      <c r="C1109" s="10"/>
      <c r="D1109" s="11"/>
      <c r="E1109" s="10"/>
      <c r="F1109" s="10"/>
      <c r="G1109" s="19"/>
      <c r="H1109" s="19"/>
      <c r="I1109" s="19"/>
      <c r="J1109" s="19"/>
      <c r="K1109" s="10"/>
      <c r="L1109" s="10"/>
      <c r="M1109" s="10"/>
      <c r="N1109" s="10"/>
      <c r="O1109" s="18"/>
      <c r="P1109" s="18"/>
      <c r="Q1109" s="21"/>
      <c r="R1109" s="20"/>
      <c r="S1109" s="16">
        <f t="shared" si="789"/>
        <v>0</v>
      </c>
      <c r="T1109" s="11"/>
      <c r="AS1109" s="31">
        <f t="shared" si="790"/>
        <v>0</v>
      </c>
      <c r="AT1109" s="31">
        <f t="shared" si="791"/>
        <v>0</v>
      </c>
      <c r="AU1109" s="31">
        <f t="shared" si="792"/>
        <v>0</v>
      </c>
      <c r="AV1109" s="31">
        <f t="shared" si="793"/>
        <v>0</v>
      </c>
      <c r="AW1109" s="31">
        <f t="shared" si="794"/>
        <v>0</v>
      </c>
      <c r="AX1109" s="31">
        <f t="shared" si="795"/>
        <v>0</v>
      </c>
      <c r="AY1109" s="31">
        <f t="shared" si="796"/>
        <v>0</v>
      </c>
      <c r="AZ1109" s="31">
        <f t="shared" si="797"/>
        <v>0</v>
      </c>
      <c r="BA1109" s="31">
        <f t="shared" si="798"/>
        <v>0</v>
      </c>
      <c r="BB1109" s="31">
        <f t="shared" si="827"/>
        <v>0</v>
      </c>
      <c r="BM1109" s="8">
        <f t="shared" si="828"/>
        <v>0</v>
      </c>
      <c r="BN1109" s="8">
        <f t="shared" si="799"/>
        <v>0</v>
      </c>
      <c r="BO1109" s="8">
        <f t="shared" si="800"/>
        <v>0</v>
      </c>
      <c r="BQ1109" s="8">
        <f t="shared" si="801"/>
        <v>0</v>
      </c>
      <c r="BR1109" s="63">
        <f t="shared" si="802"/>
        <v>0</v>
      </c>
      <c r="BS1109" s="63">
        <f t="shared" si="829"/>
        <v>0</v>
      </c>
      <c r="BT1109" s="63">
        <f t="shared" si="803"/>
        <v>0</v>
      </c>
      <c r="BU1109" s="63">
        <f t="shared" si="804"/>
        <v>0</v>
      </c>
      <c r="BV1109" s="57">
        <f t="shared" si="805"/>
        <v>0</v>
      </c>
      <c r="BW1109" s="57">
        <f t="shared" si="806"/>
        <v>0</v>
      </c>
      <c r="BX1109" s="57">
        <f t="shared" si="830"/>
        <v>0</v>
      </c>
      <c r="BY1109" s="57">
        <f t="shared" si="788"/>
        <v>0</v>
      </c>
      <c r="BZ1109" s="8">
        <f t="shared" si="807"/>
        <v>0</v>
      </c>
      <c r="CA1109" s="8">
        <f t="shared" si="808"/>
        <v>0</v>
      </c>
      <c r="CB1109" s="8">
        <f t="shared" si="809"/>
        <v>0</v>
      </c>
      <c r="CC1109" s="8">
        <f t="shared" si="810"/>
        <v>0</v>
      </c>
      <c r="CD1109" s="8">
        <f t="shared" si="811"/>
        <v>0</v>
      </c>
      <c r="CE1109" s="8">
        <f t="shared" si="812"/>
        <v>0</v>
      </c>
      <c r="CF1109" s="8">
        <f t="shared" si="813"/>
        <v>0</v>
      </c>
      <c r="CG1109" s="8">
        <f t="shared" si="814"/>
        <v>0</v>
      </c>
      <c r="CH1109" s="8">
        <f t="shared" si="815"/>
        <v>0</v>
      </c>
      <c r="CI1109" s="8">
        <f t="shared" si="816"/>
        <v>0</v>
      </c>
      <c r="CJ1109" s="8">
        <f t="shared" si="817"/>
        <v>0</v>
      </c>
      <c r="CK1109" s="8">
        <f t="shared" si="818"/>
        <v>0</v>
      </c>
      <c r="CL1109" s="8">
        <f t="shared" si="819"/>
        <v>0</v>
      </c>
      <c r="CM1109" s="8">
        <f t="shared" si="820"/>
        <v>0</v>
      </c>
      <c r="CN1109" s="8">
        <f t="shared" si="821"/>
        <v>0</v>
      </c>
      <c r="CO1109" s="8">
        <f t="shared" si="822"/>
        <v>0</v>
      </c>
      <c r="CP1109" s="8">
        <f t="shared" si="823"/>
        <v>0</v>
      </c>
      <c r="CQ1109" s="8">
        <f t="shared" si="824"/>
        <v>0</v>
      </c>
      <c r="CR1109" s="8">
        <f t="shared" si="825"/>
        <v>0</v>
      </c>
      <c r="CS1109" s="8">
        <f t="shared" si="826"/>
        <v>0</v>
      </c>
      <c r="CT1109" s="8">
        <f t="shared" si="831"/>
        <v>0</v>
      </c>
      <c r="CU1109" s="8">
        <f t="shared" si="832"/>
        <v>0</v>
      </c>
      <c r="CV1109" s="8">
        <f t="shared" si="833"/>
        <v>0</v>
      </c>
    </row>
    <row r="1110" spans="1:100" ht="20.5" thickTop="1" thickBot="1" x14ac:dyDescent="0.5">
      <c r="A1110" s="32"/>
      <c r="B1110" s="10"/>
      <c r="C1110" s="10"/>
      <c r="D1110" s="11"/>
      <c r="E1110" s="10"/>
      <c r="F1110" s="10"/>
      <c r="G1110" s="19"/>
      <c r="H1110" s="19"/>
      <c r="I1110" s="19"/>
      <c r="J1110" s="19"/>
      <c r="K1110" s="10"/>
      <c r="L1110" s="10"/>
      <c r="M1110" s="10"/>
      <c r="N1110" s="10"/>
      <c r="O1110" s="18"/>
      <c r="P1110" s="18"/>
      <c r="Q1110" s="21"/>
      <c r="R1110" s="20"/>
      <c r="S1110" s="16">
        <f t="shared" si="789"/>
        <v>0</v>
      </c>
      <c r="T1110" s="11"/>
      <c r="AS1110" s="31">
        <f t="shared" si="790"/>
        <v>0</v>
      </c>
      <c r="AT1110" s="31">
        <f t="shared" si="791"/>
        <v>0</v>
      </c>
      <c r="AU1110" s="31">
        <f t="shared" si="792"/>
        <v>0</v>
      </c>
      <c r="AV1110" s="31">
        <f t="shared" si="793"/>
        <v>0</v>
      </c>
      <c r="AW1110" s="31">
        <f t="shared" si="794"/>
        <v>0</v>
      </c>
      <c r="AX1110" s="31">
        <f t="shared" si="795"/>
        <v>0</v>
      </c>
      <c r="AY1110" s="31">
        <f t="shared" si="796"/>
        <v>0</v>
      </c>
      <c r="AZ1110" s="31">
        <f t="shared" si="797"/>
        <v>0</v>
      </c>
      <c r="BA1110" s="31">
        <f t="shared" si="798"/>
        <v>0</v>
      </c>
      <c r="BB1110" s="31">
        <f t="shared" si="827"/>
        <v>0</v>
      </c>
      <c r="BM1110" s="8">
        <f t="shared" si="828"/>
        <v>0</v>
      </c>
      <c r="BN1110" s="8">
        <f t="shared" si="799"/>
        <v>0</v>
      </c>
      <c r="BO1110" s="8">
        <f t="shared" si="800"/>
        <v>0</v>
      </c>
      <c r="BQ1110" s="8">
        <f t="shared" si="801"/>
        <v>0</v>
      </c>
      <c r="BR1110" s="63">
        <f t="shared" si="802"/>
        <v>0</v>
      </c>
      <c r="BS1110" s="63">
        <f t="shared" si="829"/>
        <v>0</v>
      </c>
      <c r="BT1110" s="63">
        <f t="shared" si="803"/>
        <v>0</v>
      </c>
      <c r="BU1110" s="63">
        <f t="shared" si="804"/>
        <v>0</v>
      </c>
      <c r="BV1110" s="57">
        <f t="shared" si="805"/>
        <v>0</v>
      </c>
      <c r="BW1110" s="57">
        <f t="shared" si="806"/>
        <v>0</v>
      </c>
      <c r="BX1110" s="57">
        <f t="shared" si="830"/>
        <v>0</v>
      </c>
      <c r="BY1110" s="57">
        <f t="shared" si="788"/>
        <v>0</v>
      </c>
      <c r="BZ1110" s="8">
        <f t="shared" si="807"/>
        <v>0</v>
      </c>
      <c r="CA1110" s="8">
        <f t="shared" si="808"/>
        <v>0</v>
      </c>
      <c r="CB1110" s="8">
        <f t="shared" si="809"/>
        <v>0</v>
      </c>
      <c r="CC1110" s="8">
        <f t="shared" si="810"/>
        <v>0</v>
      </c>
      <c r="CD1110" s="8">
        <f t="shared" si="811"/>
        <v>0</v>
      </c>
      <c r="CE1110" s="8">
        <f t="shared" si="812"/>
        <v>0</v>
      </c>
      <c r="CF1110" s="8">
        <f t="shared" si="813"/>
        <v>0</v>
      </c>
      <c r="CG1110" s="8">
        <f t="shared" si="814"/>
        <v>0</v>
      </c>
      <c r="CH1110" s="8">
        <f t="shared" si="815"/>
        <v>0</v>
      </c>
      <c r="CI1110" s="8">
        <f t="shared" si="816"/>
        <v>0</v>
      </c>
      <c r="CJ1110" s="8">
        <f t="shared" si="817"/>
        <v>0</v>
      </c>
      <c r="CK1110" s="8">
        <f t="shared" si="818"/>
        <v>0</v>
      </c>
      <c r="CL1110" s="8">
        <f t="shared" si="819"/>
        <v>0</v>
      </c>
      <c r="CM1110" s="8">
        <f t="shared" si="820"/>
        <v>0</v>
      </c>
      <c r="CN1110" s="8">
        <f t="shared" si="821"/>
        <v>0</v>
      </c>
      <c r="CO1110" s="8">
        <f t="shared" si="822"/>
        <v>0</v>
      </c>
      <c r="CP1110" s="8">
        <f t="shared" si="823"/>
        <v>0</v>
      </c>
      <c r="CQ1110" s="8">
        <f t="shared" si="824"/>
        <v>0</v>
      </c>
      <c r="CR1110" s="8">
        <f t="shared" si="825"/>
        <v>0</v>
      </c>
      <c r="CS1110" s="8">
        <f t="shared" si="826"/>
        <v>0</v>
      </c>
      <c r="CT1110" s="8">
        <f t="shared" si="831"/>
        <v>0</v>
      </c>
      <c r="CU1110" s="8">
        <f t="shared" si="832"/>
        <v>0</v>
      </c>
      <c r="CV1110" s="8">
        <f t="shared" si="833"/>
        <v>0</v>
      </c>
    </row>
    <row r="1111" spans="1:100" ht="20.5" thickTop="1" thickBot="1" x14ac:dyDescent="0.5">
      <c r="A1111" s="32"/>
      <c r="B1111" s="10"/>
      <c r="C1111" s="10"/>
      <c r="D1111" s="11"/>
      <c r="E1111" s="10"/>
      <c r="F1111" s="10"/>
      <c r="G1111" s="19"/>
      <c r="H1111" s="19"/>
      <c r="I1111" s="19"/>
      <c r="J1111" s="19"/>
      <c r="K1111" s="10"/>
      <c r="L1111" s="10"/>
      <c r="M1111" s="10"/>
      <c r="N1111" s="10"/>
      <c r="O1111" s="18"/>
      <c r="P1111" s="18"/>
      <c r="Q1111" s="21"/>
      <c r="R1111" s="20"/>
      <c r="S1111" s="16">
        <f t="shared" si="789"/>
        <v>0</v>
      </c>
      <c r="T1111" s="11"/>
      <c r="AS1111" s="31">
        <f t="shared" si="790"/>
        <v>0</v>
      </c>
      <c r="AT1111" s="31">
        <f t="shared" si="791"/>
        <v>0</v>
      </c>
      <c r="AU1111" s="31">
        <f t="shared" si="792"/>
        <v>0</v>
      </c>
      <c r="AV1111" s="31">
        <f t="shared" si="793"/>
        <v>0</v>
      </c>
      <c r="AW1111" s="31">
        <f t="shared" si="794"/>
        <v>0</v>
      </c>
      <c r="AX1111" s="31">
        <f t="shared" si="795"/>
        <v>0</v>
      </c>
      <c r="AY1111" s="31">
        <f t="shared" si="796"/>
        <v>0</v>
      </c>
      <c r="AZ1111" s="31">
        <f t="shared" si="797"/>
        <v>0</v>
      </c>
      <c r="BA1111" s="31">
        <f t="shared" si="798"/>
        <v>0</v>
      </c>
      <c r="BB1111" s="31">
        <f t="shared" si="827"/>
        <v>0</v>
      </c>
      <c r="BM1111" s="8">
        <f t="shared" si="828"/>
        <v>0</v>
      </c>
      <c r="BN1111" s="8">
        <f t="shared" si="799"/>
        <v>0</v>
      </c>
      <c r="BO1111" s="8">
        <f t="shared" si="800"/>
        <v>0</v>
      </c>
      <c r="BQ1111" s="8">
        <f t="shared" si="801"/>
        <v>0</v>
      </c>
      <c r="BR1111" s="63">
        <f t="shared" si="802"/>
        <v>0</v>
      </c>
      <c r="BS1111" s="63">
        <f t="shared" si="829"/>
        <v>0</v>
      </c>
      <c r="BT1111" s="63">
        <f t="shared" si="803"/>
        <v>0</v>
      </c>
      <c r="BU1111" s="63">
        <f t="shared" si="804"/>
        <v>0</v>
      </c>
      <c r="BV1111" s="57">
        <f t="shared" si="805"/>
        <v>0</v>
      </c>
      <c r="BW1111" s="57">
        <f t="shared" si="806"/>
        <v>0</v>
      </c>
      <c r="BX1111" s="57">
        <f t="shared" si="830"/>
        <v>0</v>
      </c>
      <c r="BY1111" s="57">
        <f t="shared" si="788"/>
        <v>0</v>
      </c>
      <c r="BZ1111" s="8">
        <f t="shared" si="807"/>
        <v>0</v>
      </c>
      <c r="CA1111" s="8">
        <f t="shared" si="808"/>
        <v>0</v>
      </c>
      <c r="CB1111" s="8">
        <f t="shared" si="809"/>
        <v>0</v>
      </c>
      <c r="CC1111" s="8">
        <f t="shared" si="810"/>
        <v>0</v>
      </c>
      <c r="CD1111" s="8">
        <f t="shared" si="811"/>
        <v>0</v>
      </c>
      <c r="CE1111" s="8">
        <f t="shared" si="812"/>
        <v>0</v>
      </c>
      <c r="CF1111" s="8">
        <f t="shared" si="813"/>
        <v>0</v>
      </c>
      <c r="CG1111" s="8">
        <f t="shared" si="814"/>
        <v>0</v>
      </c>
      <c r="CH1111" s="8">
        <f t="shared" si="815"/>
        <v>0</v>
      </c>
      <c r="CI1111" s="8">
        <f t="shared" si="816"/>
        <v>0</v>
      </c>
      <c r="CJ1111" s="8">
        <f t="shared" si="817"/>
        <v>0</v>
      </c>
      <c r="CK1111" s="8">
        <f t="shared" si="818"/>
        <v>0</v>
      </c>
      <c r="CL1111" s="8">
        <f t="shared" si="819"/>
        <v>0</v>
      </c>
      <c r="CM1111" s="8">
        <f t="shared" si="820"/>
        <v>0</v>
      </c>
      <c r="CN1111" s="8">
        <f t="shared" si="821"/>
        <v>0</v>
      </c>
      <c r="CO1111" s="8">
        <f t="shared" si="822"/>
        <v>0</v>
      </c>
      <c r="CP1111" s="8">
        <f t="shared" si="823"/>
        <v>0</v>
      </c>
      <c r="CQ1111" s="8">
        <f t="shared" si="824"/>
        <v>0</v>
      </c>
      <c r="CR1111" s="8">
        <f t="shared" si="825"/>
        <v>0</v>
      </c>
      <c r="CS1111" s="8">
        <f t="shared" si="826"/>
        <v>0</v>
      </c>
      <c r="CT1111" s="8">
        <f t="shared" si="831"/>
        <v>0</v>
      </c>
      <c r="CU1111" s="8">
        <f t="shared" si="832"/>
        <v>0</v>
      </c>
      <c r="CV1111" s="8">
        <f t="shared" si="833"/>
        <v>0</v>
      </c>
    </row>
    <row r="1112" spans="1:100" ht="20.5" thickTop="1" thickBot="1" x14ac:dyDescent="0.5">
      <c r="A1112" s="32"/>
      <c r="B1112" s="10"/>
      <c r="C1112" s="10"/>
      <c r="D1112" s="11"/>
      <c r="E1112" s="10"/>
      <c r="F1112" s="10"/>
      <c r="G1112" s="19"/>
      <c r="H1112" s="19"/>
      <c r="I1112" s="19"/>
      <c r="J1112" s="19"/>
      <c r="K1112" s="10"/>
      <c r="L1112" s="10"/>
      <c r="M1112" s="10"/>
      <c r="N1112" s="10"/>
      <c r="O1112" s="18"/>
      <c r="P1112" s="18"/>
      <c r="Q1112" s="21"/>
      <c r="R1112" s="20"/>
      <c r="S1112" s="16">
        <f t="shared" si="789"/>
        <v>0</v>
      </c>
      <c r="T1112" s="11"/>
      <c r="AS1112" s="31">
        <f t="shared" si="790"/>
        <v>0</v>
      </c>
      <c r="AT1112" s="31">
        <f t="shared" si="791"/>
        <v>0</v>
      </c>
      <c r="AU1112" s="31">
        <f t="shared" si="792"/>
        <v>0</v>
      </c>
      <c r="AV1112" s="31">
        <f t="shared" si="793"/>
        <v>0</v>
      </c>
      <c r="AW1112" s="31">
        <f t="shared" si="794"/>
        <v>0</v>
      </c>
      <c r="AX1112" s="31">
        <f t="shared" si="795"/>
        <v>0</v>
      </c>
      <c r="AY1112" s="31">
        <f t="shared" si="796"/>
        <v>0</v>
      </c>
      <c r="AZ1112" s="31">
        <f t="shared" si="797"/>
        <v>0</v>
      </c>
      <c r="BA1112" s="31">
        <f t="shared" si="798"/>
        <v>0</v>
      </c>
      <c r="BB1112" s="31">
        <f t="shared" si="827"/>
        <v>0</v>
      </c>
      <c r="BM1112" s="8">
        <f t="shared" si="828"/>
        <v>0</v>
      </c>
      <c r="BN1112" s="8">
        <f t="shared" si="799"/>
        <v>0</v>
      </c>
      <c r="BO1112" s="8">
        <f t="shared" si="800"/>
        <v>0</v>
      </c>
      <c r="BQ1112" s="8">
        <f t="shared" si="801"/>
        <v>0</v>
      </c>
      <c r="BR1112" s="63">
        <f t="shared" si="802"/>
        <v>0</v>
      </c>
      <c r="BS1112" s="63">
        <f t="shared" si="829"/>
        <v>0</v>
      </c>
      <c r="BT1112" s="63">
        <f t="shared" si="803"/>
        <v>0</v>
      </c>
      <c r="BU1112" s="63">
        <f t="shared" si="804"/>
        <v>0</v>
      </c>
      <c r="BV1112" s="57">
        <f t="shared" si="805"/>
        <v>0</v>
      </c>
      <c r="BW1112" s="57">
        <f t="shared" si="806"/>
        <v>0</v>
      </c>
      <c r="BX1112" s="57">
        <f t="shared" si="830"/>
        <v>0</v>
      </c>
      <c r="BY1112" s="57">
        <f t="shared" si="788"/>
        <v>0</v>
      </c>
      <c r="BZ1112" s="8">
        <f t="shared" si="807"/>
        <v>0</v>
      </c>
      <c r="CA1112" s="8">
        <f t="shared" si="808"/>
        <v>0</v>
      </c>
      <c r="CB1112" s="8">
        <f t="shared" si="809"/>
        <v>0</v>
      </c>
      <c r="CC1112" s="8">
        <f t="shared" si="810"/>
        <v>0</v>
      </c>
      <c r="CD1112" s="8">
        <f t="shared" si="811"/>
        <v>0</v>
      </c>
      <c r="CE1112" s="8">
        <f t="shared" si="812"/>
        <v>0</v>
      </c>
      <c r="CF1112" s="8">
        <f t="shared" si="813"/>
        <v>0</v>
      </c>
      <c r="CG1112" s="8">
        <f t="shared" si="814"/>
        <v>0</v>
      </c>
      <c r="CH1112" s="8">
        <f t="shared" si="815"/>
        <v>0</v>
      </c>
      <c r="CI1112" s="8">
        <f t="shared" si="816"/>
        <v>0</v>
      </c>
      <c r="CJ1112" s="8">
        <f t="shared" si="817"/>
        <v>0</v>
      </c>
      <c r="CK1112" s="8">
        <f t="shared" si="818"/>
        <v>0</v>
      </c>
      <c r="CL1112" s="8">
        <f t="shared" si="819"/>
        <v>0</v>
      </c>
      <c r="CM1112" s="8">
        <f t="shared" si="820"/>
        <v>0</v>
      </c>
      <c r="CN1112" s="8">
        <f t="shared" si="821"/>
        <v>0</v>
      </c>
      <c r="CO1112" s="8">
        <f t="shared" si="822"/>
        <v>0</v>
      </c>
      <c r="CP1112" s="8">
        <f t="shared" si="823"/>
        <v>0</v>
      </c>
      <c r="CQ1112" s="8">
        <f t="shared" si="824"/>
        <v>0</v>
      </c>
      <c r="CR1112" s="8">
        <f t="shared" si="825"/>
        <v>0</v>
      </c>
      <c r="CS1112" s="8">
        <f t="shared" si="826"/>
        <v>0</v>
      </c>
      <c r="CT1112" s="8">
        <f t="shared" si="831"/>
        <v>0</v>
      </c>
      <c r="CU1112" s="8">
        <f t="shared" si="832"/>
        <v>0</v>
      </c>
      <c r="CV1112" s="8">
        <f t="shared" si="833"/>
        <v>0</v>
      </c>
    </row>
    <row r="1113" spans="1:100" ht="20.5" thickTop="1" thickBot="1" x14ac:dyDescent="0.5">
      <c r="A1113" s="32"/>
      <c r="B1113" s="10"/>
      <c r="C1113" s="10"/>
      <c r="D1113" s="11"/>
      <c r="E1113" s="10"/>
      <c r="F1113" s="10"/>
      <c r="G1113" s="19"/>
      <c r="H1113" s="19"/>
      <c r="I1113" s="19"/>
      <c r="J1113" s="19"/>
      <c r="K1113" s="10"/>
      <c r="L1113" s="10"/>
      <c r="M1113" s="10"/>
      <c r="N1113" s="10"/>
      <c r="O1113" s="18"/>
      <c r="P1113" s="18"/>
      <c r="Q1113" s="21"/>
      <c r="R1113" s="20"/>
      <c r="S1113" s="16">
        <f t="shared" si="789"/>
        <v>0</v>
      </c>
      <c r="T1113" s="11"/>
      <c r="AS1113" s="31">
        <f t="shared" si="790"/>
        <v>0</v>
      </c>
      <c r="AT1113" s="31">
        <f t="shared" si="791"/>
        <v>0</v>
      </c>
      <c r="AU1113" s="31">
        <f t="shared" si="792"/>
        <v>0</v>
      </c>
      <c r="AV1113" s="31">
        <f t="shared" si="793"/>
        <v>0</v>
      </c>
      <c r="AW1113" s="31">
        <f t="shared" si="794"/>
        <v>0</v>
      </c>
      <c r="AX1113" s="31">
        <f t="shared" si="795"/>
        <v>0</v>
      </c>
      <c r="AY1113" s="31">
        <f t="shared" si="796"/>
        <v>0</v>
      </c>
      <c r="AZ1113" s="31">
        <f t="shared" si="797"/>
        <v>0</v>
      </c>
      <c r="BA1113" s="31">
        <f t="shared" si="798"/>
        <v>0</v>
      </c>
      <c r="BB1113" s="31">
        <f t="shared" si="827"/>
        <v>0</v>
      </c>
      <c r="BM1113" s="8">
        <f t="shared" si="828"/>
        <v>0</v>
      </c>
      <c r="BN1113" s="8">
        <f t="shared" si="799"/>
        <v>0</v>
      </c>
      <c r="BO1113" s="8">
        <f t="shared" si="800"/>
        <v>0</v>
      </c>
      <c r="BQ1113" s="8">
        <f t="shared" si="801"/>
        <v>0</v>
      </c>
      <c r="BR1113" s="63">
        <f t="shared" si="802"/>
        <v>0</v>
      </c>
      <c r="BS1113" s="63">
        <f t="shared" si="829"/>
        <v>0</v>
      </c>
      <c r="BT1113" s="63">
        <f t="shared" si="803"/>
        <v>0</v>
      </c>
      <c r="BU1113" s="63">
        <f t="shared" si="804"/>
        <v>0</v>
      </c>
      <c r="BV1113" s="57">
        <f t="shared" si="805"/>
        <v>0</v>
      </c>
      <c r="BW1113" s="57">
        <f t="shared" si="806"/>
        <v>0</v>
      </c>
      <c r="BX1113" s="57">
        <f t="shared" si="830"/>
        <v>0</v>
      </c>
      <c r="BY1113" s="57">
        <f t="shared" si="788"/>
        <v>0</v>
      </c>
      <c r="BZ1113" s="8">
        <f t="shared" si="807"/>
        <v>0</v>
      </c>
      <c r="CA1113" s="8">
        <f t="shared" si="808"/>
        <v>0</v>
      </c>
      <c r="CB1113" s="8">
        <f t="shared" si="809"/>
        <v>0</v>
      </c>
      <c r="CC1113" s="8">
        <f t="shared" si="810"/>
        <v>0</v>
      </c>
      <c r="CD1113" s="8">
        <f t="shared" si="811"/>
        <v>0</v>
      </c>
      <c r="CE1113" s="8">
        <f t="shared" si="812"/>
        <v>0</v>
      </c>
      <c r="CF1113" s="8">
        <f t="shared" si="813"/>
        <v>0</v>
      </c>
      <c r="CG1113" s="8">
        <f t="shared" si="814"/>
        <v>0</v>
      </c>
      <c r="CH1113" s="8">
        <f t="shared" si="815"/>
        <v>0</v>
      </c>
      <c r="CI1113" s="8">
        <f t="shared" si="816"/>
        <v>0</v>
      </c>
      <c r="CJ1113" s="8">
        <f t="shared" si="817"/>
        <v>0</v>
      </c>
      <c r="CK1113" s="8">
        <f t="shared" si="818"/>
        <v>0</v>
      </c>
      <c r="CL1113" s="8">
        <f t="shared" si="819"/>
        <v>0</v>
      </c>
      <c r="CM1113" s="8">
        <f t="shared" si="820"/>
        <v>0</v>
      </c>
      <c r="CN1113" s="8">
        <f t="shared" si="821"/>
        <v>0</v>
      </c>
      <c r="CO1113" s="8">
        <f t="shared" si="822"/>
        <v>0</v>
      </c>
      <c r="CP1113" s="8">
        <f t="shared" si="823"/>
        <v>0</v>
      </c>
      <c r="CQ1113" s="8">
        <f t="shared" si="824"/>
        <v>0</v>
      </c>
      <c r="CR1113" s="8">
        <f t="shared" si="825"/>
        <v>0</v>
      </c>
      <c r="CS1113" s="8">
        <f t="shared" si="826"/>
        <v>0</v>
      </c>
      <c r="CT1113" s="8">
        <f t="shared" si="831"/>
        <v>0</v>
      </c>
      <c r="CU1113" s="8">
        <f t="shared" si="832"/>
        <v>0</v>
      </c>
      <c r="CV1113" s="8">
        <f t="shared" si="833"/>
        <v>0</v>
      </c>
    </row>
    <row r="1114" spans="1:100" ht="20.5" thickTop="1" thickBot="1" x14ac:dyDescent="0.5">
      <c r="A1114" s="32"/>
      <c r="B1114" s="10"/>
      <c r="C1114" s="10"/>
      <c r="D1114" s="11"/>
      <c r="E1114" s="10"/>
      <c r="F1114" s="10"/>
      <c r="G1114" s="19"/>
      <c r="H1114" s="19"/>
      <c r="I1114" s="19"/>
      <c r="J1114" s="19"/>
      <c r="K1114" s="10"/>
      <c r="L1114" s="10"/>
      <c r="M1114" s="10"/>
      <c r="N1114" s="10"/>
      <c r="O1114" s="18"/>
      <c r="P1114" s="18"/>
      <c r="Q1114" s="21"/>
      <c r="R1114" s="20"/>
      <c r="S1114" s="16">
        <f t="shared" si="789"/>
        <v>0</v>
      </c>
      <c r="T1114" s="11"/>
      <c r="AS1114" s="31">
        <f t="shared" si="790"/>
        <v>0</v>
      </c>
      <c r="AT1114" s="31">
        <f t="shared" si="791"/>
        <v>0</v>
      </c>
      <c r="AU1114" s="31">
        <f t="shared" si="792"/>
        <v>0</v>
      </c>
      <c r="AV1114" s="31">
        <f t="shared" si="793"/>
        <v>0</v>
      </c>
      <c r="AW1114" s="31">
        <f t="shared" si="794"/>
        <v>0</v>
      </c>
      <c r="AX1114" s="31">
        <f t="shared" si="795"/>
        <v>0</v>
      </c>
      <c r="AY1114" s="31">
        <f t="shared" si="796"/>
        <v>0</v>
      </c>
      <c r="AZ1114" s="31">
        <f t="shared" si="797"/>
        <v>0</v>
      </c>
      <c r="BA1114" s="31">
        <f t="shared" si="798"/>
        <v>0</v>
      </c>
      <c r="BB1114" s="31">
        <f t="shared" si="827"/>
        <v>0</v>
      </c>
      <c r="BM1114" s="8">
        <f t="shared" si="828"/>
        <v>0</v>
      </c>
      <c r="BN1114" s="8">
        <f t="shared" si="799"/>
        <v>0</v>
      </c>
      <c r="BO1114" s="8">
        <f t="shared" si="800"/>
        <v>0</v>
      </c>
      <c r="BQ1114" s="8">
        <f t="shared" si="801"/>
        <v>0</v>
      </c>
      <c r="BR1114" s="63">
        <f t="shared" si="802"/>
        <v>0</v>
      </c>
      <c r="BS1114" s="63">
        <f t="shared" si="829"/>
        <v>0</v>
      </c>
      <c r="BT1114" s="63">
        <f t="shared" si="803"/>
        <v>0</v>
      </c>
      <c r="BU1114" s="63">
        <f t="shared" si="804"/>
        <v>0</v>
      </c>
      <c r="BV1114" s="57">
        <f t="shared" si="805"/>
        <v>0</v>
      </c>
      <c r="BW1114" s="57">
        <f t="shared" si="806"/>
        <v>0</v>
      </c>
      <c r="BX1114" s="57">
        <f t="shared" si="830"/>
        <v>0</v>
      </c>
      <c r="BY1114" s="57">
        <f t="shared" si="788"/>
        <v>0</v>
      </c>
      <c r="BZ1114" s="8">
        <f t="shared" si="807"/>
        <v>0</v>
      </c>
      <c r="CA1114" s="8">
        <f t="shared" si="808"/>
        <v>0</v>
      </c>
      <c r="CB1114" s="8">
        <f t="shared" si="809"/>
        <v>0</v>
      </c>
      <c r="CC1114" s="8">
        <f t="shared" si="810"/>
        <v>0</v>
      </c>
      <c r="CD1114" s="8">
        <f t="shared" si="811"/>
        <v>0</v>
      </c>
      <c r="CE1114" s="8">
        <f t="shared" si="812"/>
        <v>0</v>
      </c>
      <c r="CF1114" s="8">
        <f t="shared" si="813"/>
        <v>0</v>
      </c>
      <c r="CG1114" s="8">
        <f t="shared" si="814"/>
        <v>0</v>
      </c>
      <c r="CH1114" s="8">
        <f t="shared" si="815"/>
        <v>0</v>
      </c>
      <c r="CI1114" s="8">
        <f t="shared" si="816"/>
        <v>0</v>
      </c>
      <c r="CJ1114" s="8">
        <f t="shared" si="817"/>
        <v>0</v>
      </c>
      <c r="CK1114" s="8">
        <f t="shared" si="818"/>
        <v>0</v>
      </c>
      <c r="CL1114" s="8">
        <f t="shared" si="819"/>
        <v>0</v>
      </c>
      <c r="CM1114" s="8">
        <f t="shared" si="820"/>
        <v>0</v>
      </c>
      <c r="CN1114" s="8">
        <f t="shared" si="821"/>
        <v>0</v>
      </c>
      <c r="CO1114" s="8">
        <f t="shared" si="822"/>
        <v>0</v>
      </c>
      <c r="CP1114" s="8">
        <f t="shared" si="823"/>
        <v>0</v>
      </c>
      <c r="CQ1114" s="8">
        <f t="shared" si="824"/>
        <v>0</v>
      </c>
      <c r="CR1114" s="8">
        <f t="shared" si="825"/>
        <v>0</v>
      </c>
      <c r="CS1114" s="8">
        <f t="shared" si="826"/>
        <v>0</v>
      </c>
      <c r="CT1114" s="8">
        <f t="shared" si="831"/>
        <v>0</v>
      </c>
      <c r="CU1114" s="8">
        <f t="shared" si="832"/>
        <v>0</v>
      </c>
      <c r="CV1114" s="8">
        <f t="shared" si="833"/>
        <v>0</v>
      </c>
    </row>
    <row r="1115" spans="1:100" ht="20.5" thickTop="1" thickBot="1" x14ac:dyDescent="0.5">
      <c r="A1115" s="32"/>
      <c r="B1115" s="10"/>
      <c r="C1115" s="10"/>
      <c r="D1115" s="11"/>
      <c r="E1115" s="10"/>
      <c r="F1115" s="10"/>
      <c r="G1115" s="19"/>
      <c r="H1115" s="19"/>
      <c r="I1115" s="19"/>
      <c r="J1115" s="19"/>
      <c r="K1115" s="10"/>
      <c r="L1115" s="10"/>
      <c r="M1115" s="10"/>
      <c r="N1115" s="10"/>
      <c r="O1115" s="18"/>
      <c r="P1115" s="18"/>
      <c r="Q1115" s="21"/>
      <c r="R1115" s="20"/>
      <c r="S1115" s="16">
        <f t="shared" si="789"/>
        <v>0</v>
      </c>
      <c r="T1115" s="11"/>
      <c r="AS1115" s="31">
        <f t="shared" si="790"/>
        <v>0</v>
      </c>
      <c r="AT1115" s="31">
        <f t="shared" si="791"/>
        <v>0</v>
      </c>
      <c r="AU1115" s="31">
        <f t="shared" si="792"/>
        <v>0</v>
      </c>
      <c r="AV1115" s="31">
        <f t="shared" si="793"/>
        <v>0</v>
      </c>
      <c r="AW1115" s="31">
        <f t="shared" si="794"/>
        <v>0</v>
      </c>
      <c r="AX1115" s="31">
        <f t="shared" si="795"/>
        <v>0</v>
      </c>
      <c r="AY1115" s="31">
        <f t="shared" si="796"/>
        <v>0</v>
      </c>
      <c r="AZ1115" s="31">
        <f t="shared" si="797"/>
        <v>0</v>
      </c>
      <c r="BA1115" s="31">
        <f t="shared" si="798"/>
        <v>0</v>
      </c>
      <c r="BB1115" s="31">
        <f t="shared" si="827"/>
        <v>0</v>
      </c>
      <c r="BM1115" s="8">
        <f t="shared" si="828"/>
        <v>0</v>
      </c>
      <c r="BN1115" s="8">
        <f t="shared" si="799"/>
        <v>0</v>
      </c>
      <c r="BO1115" s="8">
        <f t="shared" si="800"/>
        <v>0</v>
      </c>
      <c r="BQ1115" s="8">
        <f t="shared" si="801"/>
        <v>0</v>
      </c>
      <c r="BR1115" s="63">
        <f t="shared" si="802"/>
        <v>0</v>
      </c>
      <c r="BS1115" s="63">
        <f t="shared" si="829"/>
        <v>0</v>
      </c>
      <c r="BT1115" s="63">
        <f t="shared" si="803"/>
        <v>0</v>
      </c>
      <c r="BU1115" s="63">
        <f t="shared" si="804"/>
        <v>0</v>
      </c>
      <c r="BV1115" s="57">
        <f t="shared" si="805"/>
        <v>0</v>
      </c>
      <c r="BW1115" s="57">
        <f t="shared" si="806"/>
        <v>0</v>
      </c>
      <c r="BX1115" s="57">
        <f t="shared" si="830"/>
        <v>0</v>
      </c>
      <c r="BY1115" s="57">
        <f t="shared" si="788"/>
        <v>0</v>
      </c>
      <c r="BZ1115" s="8">
        <f t="shared" si="807"/>
        <v>0</v>
      </c>
      <c r="CA1115" s="8">
        <f t="shared" si="808"/>
        <v>0</v>
      </c>
      <c r="CB1115" s="8">
        <f t="shared" si="809"/>
        <v>0</v>
      </c>
      <c r="CC1115" s="8">
        <f t="shared" si="810"/>
        <v>0</v>
      </c>
      <c r="CD1115" s="8">
        <f t="shared" si="811"/>
        <v>0</v>
      </c>
      <c r="CE1115" s="8">
        <f t="shared" si="812"/>
        <v>0</v>
      </c>
      <c r="CF1115" s="8">
        <f t="shared" si="813"/>
        <v>0</v>
      </c>
      <c r="CG1115" s="8">
        <f t="shared" si="814"/>
        <v>0</v>
      </c>
      <c r="CH1115" s="8">
        <f t="shared" si="815"/>
        <v>0</v>
      </c>
      <c r="CI1115" s="8">
        <f t="shared" si="816"/>
        <v>0</v>
      </c>
      <c r="CJ1115" s="8">
        <f t="shared" si="817"/>
        <v>0</v>
      </c>
      <c r="CK1115" s="8">
        <f t="shared" si="818"/>
        <v>0</v>
      </c>
      <c r="CL1115" s="8">
        <f t="shared" si="819"/>
        <v>0</v>
      </c>
      <c r="CM1115" s="8">
        <f t="shared" si="820"/>
        <v>0</v>
      </c>
      <c r="CN1115" s="8">
        <f t="shared" si="821"/>
        <v>0</v>
      </c>
      <c r="CO1115" s="8">
        <f t="shared" si="822"/>
        <v>0</v>
      </c>
      <c r="CP1115" s="8">
        <f t="shared" si="823"/>
        <v>0</v>
      </c>
      <c r="CQ1115" s="8">
        <f t="shared" si="824"/>
        <v>0</v>
      </c>
      <c r="CR1115" s="8">
        <f t="shared" si="825"/>
        <v>0</v>
      </c>
      <c r="CS1115" s="8">
        <f t="shared" si="826"/>
        <v>0</v>
      </c>
      <c r="CT1115" s="8">
        <f t="shared" si="831"/>
        <v>0</v>
      </c>
      <c r="CU1115" s="8">
        <f t="shared" si="832"/>
        <v>0</v>
      </c>
      <c r="CV1115" s="8">
        <f t="shared" si="833"/>
        <v>0</v>
      </c>
    </row>
    <row r="1116" spans="1:100" ht="20.5" thickTop="1" thickBot="1" x14ac:dyDescent="0.5">
      <c r="A1116" s="32"/>
      <c r="B1116" s="10"/>
      <c r="C1116" s="10"/>
      <c r="D1116" s="11"/>
      <c r="E1116" s="10"/>
      <c r="F1116" s="10"/>
      <c r="G1116" s="19"/>
      <c r="H1116" s="19"/>
      <c r="I1116" s="19"/>
      <c r="J1116" s="19"/>
      <c r="K1116" s="10"/>
      <c r="L1116" s="10"/>
      <c r="M1116" s="10"/>
      <c r="N1116" s="10"/>
      <c r="O1116" s="18"/>
      <c r="P1116" s="18"/>
      <c r="Q1116" s="21"/>
      <c r="R1116" s="20"/>
      <c r="S1116" s="16">
        <f t="shared" si="789"/>
        <v>0</v>
      </c>
      <c r="T1116" s="11"/>
      <c r="AS1116" s="31">
        <f t="shared" si="790"/>
        <v>0</v>
      </c>
      <c r="AT1116" s="31">
        <f t="shared" si="791"/>
        <v>0</v>
      </c>
      <c r="AU1116" s="31">
        <f t="shared" si="792"/>
        <v>0</v>
      </c>
      <c r="AV1116" s="31">
        <f t="shared" si="793"/>
        <v>0</v>
      </c>
      <c r="AW1116" s="31">
        <f t="shared" si="794"/>
        <v>0</v>
      </c>
      <c r="AX1116" s="31">
        <f t="shared" si="795"/>
        <v>0</v>
      </c>
      <c r="AY1116" s="31">
        <f t="shared" si="796"/>
        <v>0</v>
      </c>
      <c r="AZ1116" s="31">
        <f t="shared" si="797"/>
        <v>0</v>
      </c>
      <c r="BA1116" s="31">
        <f t="shared" si="798"/>
        <v>0</v>
      </c>
      <c r="BB1116" s="31">
        <f t="shared" si="827"/>
        <v>0</v>
      </c>
      <c r="BM1116" s="8">
        <f t="shared" si="828"/>
        <v>0</v>
      </c>
      <c r="BN1116" s="8">
        <f t="shared" si="799"/>
        <v>0</v>
      </c>
      <c r="BO1116" s="8">
        <f t="shared" si="800"/>
        <v>0</v>
      </c>
      <c r="BQ1116" s="8">
        <f t="shared" si="801"/>
        <v>0</v>
      </c>
      <c r="BR1116" s="63">
        <f t="shared" si="802"/>
        <v>0</v>
      </c>
      <c r="BS1116" s="63">
        <f t="shared" si="829"/>
        <v>0</v>
      </c>
      <c r="BT1116" s="63">
        <f t="shared" si="803"/>
        <v>0</v>
      </c>
      <c r="BU1116" s="63">
        <f t="shared" si="804"/>
        <v>0</v>
      </c>
      <c r="BV1116" s="57">
        <f t="shared" si="805"/>
        <v>0</v>
      </c>
      <c r="BW1116" s="57">
        <f t="shared" si="806"/>
        <v>0</v>
      </c>
      <c r="BX1116" s="57">
        <f t="shared" si="830"/>
        <v>0</v>
      </c>
      <c r="BY1116" s="57">
        <f t="shared" si="788"/>
        <v>0</v>
      </c>
      <c r="BZ1116" s="8">
        <f t="shared" si="807"/>
        <v>0</v>
      </c>
      <c r="CA1116" s="8">
        <f t="shared" si="808"/>
        <v>0</v>
      </c>
      <c r="CB1116" s="8">
        <f t="shared" si="809"/>
        <v>0</v>
      </c>
      <c r="CC1116" s="8">
        <f t="shared" si="810"/>
        <v>0</v>
      </c>
      <c r="CD1116" s="8">
        <f t="shared" si="811"/>
        <v>0</v>
      </c>
      <c r="CE1116" s="8">
        <f t="shared" si="812"/>
        <v>0</v>
      </c>
      <c r="CF1116" s="8">
        <f t="shared" si="813"/>
        <v>0</v>
      </c>
      <c r="CG1116" s="8">
        <f t="shared" si="814"/>
        <v>0</v>
      </c>
      <c r="CH1116" s="8">
        <f t="shared" si="815"/>
        <v>0</v>
      </c>
      <c r="CI1116" s="8">
        <f t="shared" si="816"/>
        <v>0</v>
      </c>
      <c r="CJ1116" s="8">
        <f t="shared" si="817"/>
        <v>0</v>
      </c>
      <c r="CK1116" s="8">
        <f t="shared" si="818"/>
        <v>0</v>
      </c>
      <c r="CL1116" s="8">
        <f t="shared" si="819"/>
        <v>0</v>
      </c>
      <c r="CM1116" s="8">
        <f t="shared" si="820"/>
        <v>0</v>
      </c>
      <c r="CN1116" s="8">
        <f t="shared" si="821"/>
        <v>0</v>
      </c>
      <c r="CO1116" s="8">
        <f t="shared" si="822"/>
        <v>0</v>
      </c>
      <c r="CP1116" s="8">
        <f t="shared" si="823"/>
        <v>0</v>
      </c>
      <c r="CQ1116" s="8">
        <f t="shared" si="824"/>
        <v>0</v>
      </c>
      <c r="CR1116" s="8">
        <f t="shared" si="825"/>
        <v>0</v>
      </c>
      <c r="CS1116" s="8">
        <f t="shared" si="826"/>
        <v>0</v>
      </c>
      <c r="CT1116" s="8">
        <f t="shared" si="831"/>
        <v>0</v>
      </c>
      <c r="CU1116" s="8">
        <f t="shared" si="832"/>
        <v>0</v>
      </c>
      <c r="CV1116" s="8">
        <f t="shared" si="833"/>
        <v>0</v>
      </c>
    </row>
    <row r="1117" spans="1:100" ht="20.5" thickTop="1" thickBot="1" x14ac:dyDescent="0.5">
      <c r="A1117" s="32"/>
      <c r="B1117" s="10"/>
      <c r="C1117" s="10"/>
      <c r="D1117" s="11"/>
      <c r="E1117" s="10"/>
      <c r="F1117" s="10"/>
      <c r="G1117" s="19"/>
      <c r="H1117" s="19"/>
      <c r="I1117" s="19"/>
      <c r="J1117" s="19"/>
      <c r="K1117" s="10"/>
      <c r="L1117" s="10"/>
      <c r="M1117" s="10"/>
      <c r="N1117" s="10"/>
      <c r="O1117" s="18"/>
      <c r="P1117" s="18"/>
      <c r="Q1117" s="21"/>
      <c r="R1117" s="20"/>
      <c r="S1117" s="16">
        <f t="shared" si="789"/>
        <v>0</v>
      </c>
      <c r="T1117" s="11"/>
      <c r="AS1117" s="31">
        <f t="shared" si="790"/>
        <v>0</v>
      </c>
      <c r="AT1117" s="31">
        <f t="shared" si="791"/>
        <v>0</v>
      </c>
      <c r="AU1117" s="31">
        <f t="shared" si="792"/>
        <v>0</v>
      </c>
      <c r="AV1117" s="31">
        <f t="shared" si="793"/>
        <v>0</v>
      </c>
      <c r="AW1117" s="31">
        <f t="shared" si="794"/>
        <v>0</v>
      </c>
      <c r="AX1117" s="31">
        <f t="shared" si="795"/>
        <v>0</v>
      </c>
      <c r="AY1117" s="31">
        <f t="shared" si="796"/>
        <v>0</v>
      </c>
      <c r="AZ1117" s="31">
        <f t="shared" si="797"/>
        <v>0</v>
      </c>
      <c r="BA1117" s="31">
        <f t="shared" si="798"/>
        <v>0</v>
      </c>
      <c r="BB1117" s="31">
        <f t="shared" si="827"/>
        <v>0</v>
      </c>
      <c r="BM1117" s="8">
        <f t="shared" si="828"/>
        <v>0</v>
      </c>
      <c r="BN1117" s="8">
        <f t="shared" si="799"/>
        <v>0</v>
      </c>
      <c r="BO1117" s="8">
        <f t="shared" si="800"/>
        <v>0</v>
      </c>
      <c r="BQ1117" s="8">
        <f t="shared" si="801"/>
        <v>0</v>
      </c>
      <c r="BR1117" s="63">
        <f t="shared" si="802"/>
        <v>0</v>
      </c>
      <c r="BS1117" s="63">
        <f t="shared" si="829"/>
        <v>0</v>
      </c>
      <c r="BT1117" s="63">
        <f t="shared" si="803"/>
        <v>0</v>
      </c>
      <c r="BU1117" s="63">
        <f t="shared" si="804"/>
        <v>0</v>
      </c>
      <c r="BV1117" s="57">
        <f t="shared" si="805"/>
        <v>0</v>
      </c>
      <c r="BW1117" s="57">
        <f t="shared" si="806"/>
        <v>0</v>
      </c>
      <c r="BX1117" s="57">
        <f t="shared" si="830"/>
        <v>0</v>
      </c>
      <c r="BY1117" s="57">
        <f t="shared" ref="BY1117:BY1180" si="834">IF(AND(OR(N1117="YES",N1117="HDD",N1117="EX PIPES"),K1117=""),D1117*(F1117+G1117),0)</f>
        <v>0</v>
      </c>
      <c r="BZ1117" s="8">
        <f t="shared" si="807"/>
        <v>0</v>
      </c>
      <c r="CA1117" s="8">
        <f t="shared" si="808"/>
        <v>0</v>
      </c>
      <c r="CB1117" s="8">
        <f t="shared" si="809"/>
        <v>0</v>
      </c>
      <c r="CC1117" s="8">
        <f t="shared" si="810"/>
        <v>0</v>
      </c>
      <c r="CD1117" s="8">
        <f t="shared" si="811"/>
        <v>0</v>
      </c>
      <c r="CE1117" s="8">
        <f t="shared" si="812"/>
        <v>0</v>
      </c>
      <c r="CF1117" s="8">
        <f t="shared" si="813"/>
        <v>0</v>
      </c>
      <c r="CG1117" s="8">
        <f t="shared" si="814"/>
        <v>0</v>
      </c>
      <c r="CH1117" s="8">
        <f t="shared" si="815"/>
        <v>0</v>
      </c>
      <c r="CI1117" s="8">
        <f t="shared" si="816"/>
        <v>0</v>
      </c>
      <c r="CJ1117" s="8">
        <f t="shared" si="817"/>
        <v>0</v>
      </c>
      <c r="CK1117" s="8">
        <f t="shared" si="818"/>
        <v>0</v>
      </c>
      <c r="CL1117" s="8">
        <f t="shared" si="819"/>
        <v>0</v>
      </c>
      <c r="CM1117" s="8">
        <f t="shared" si="820"/>
        <v>0</v>
      </c>
      <c r="CN1117" s="8">
        <f t="shared" si="821"/>
        <v>0</v>
      </c>
      <c r="CO1117" s="8">
        <f t="shared" si="822"/>
        <v>0</v>
      </c>
      <c r="CP1117" s="8">
        <f t="shared" si="823"/>
        <v>0</v>
      </c>
      <c r="CQ1117" s="8">
        <f t="shared" si="824"/>
        <v>0</v>
      </c>
      <c r="CR1117" s="8">
        <f t="shared" si="825"/>
        <v>0</v>
      </c>
      <c r="CS1117" s="8">
        <f t="shared" si="826"/>
        <v>0</v>
      </c>
      <c r="CT1117" s="8">
        <f t="shared" si="831"/>
        <v>0</v>
      </c>
      <c r="CU1117" s="8">
        <f t="shared" si="832"/>
        <v>0</v>
      </c>
      <c r="CV1117" s="8">
        <f t="shared" si="833"/>
        <v>0</v>
      </c>
    </row>
    <row r="1118" spans="1:100" ht="20.5" thickTop="1" thickBot="1" x14ac:dyDescent="0.5">
      <c r="A1118" s="32"/>
      <c r="B1118" s="10"/>
      <c r="C1118" s="10"/>
      <c r="D1118" s="11"/>
      <c r="E1118" s="10"/>
      <c r="F1118" s="10"/>
      <c r="G1118" s="19"/>
      <c r="H1118" s="19"/>
      <c r="I1118" s="19"/>
      <c r="J1118" s="19"/>
      <c r="K1118" s="10"/>
      <c r="L1118" s="10"/>
      <c r="M1118" s="10"/>
      <c r="N1118" s="10"/>
      <c r="O1118" s="18"/>
      <c r="P1118" s="18"/>
      <c r="Q1118" s="21"/>
      <c r="R1118" s="20"/>
      <c r="S1118" s="16">
        <f t="shared" si="789"/>
        <v>0</v>
      </c>
      <c r="T1118" s="11"/>
      <c r="AS1118" s="31">
        <f t="shared" si="790"/>
        <v>0</v>
      </c>
      <c r="AT1118" s="31">
        <f t="shared" si="791"/>
        <v>0</v>
      </c>
      <c r="AU1118" s="31">
        <f t="shared" si="792"/>
        <v>0</v>
      </c>
      <c r="AV1118" s="31">
        <f t="shared" si="793"/>
        <v>0</v>
      </c>
      <c r="AW1118" s="31">
        <f t="shared" si="794"/>
        <v>0</v>
      </c>
      <c r="AX1118" s="31">
        <f t="shared" si="795"/>
        <v>0</v>
      </c>
      <c r="AY1118" s="31">
        <f t="shared" si="796"/>
        <v>0</v>
      </c>
      <c r="AZ1118" s="31">
        <f t="shared" si="797"/>
        <v>0</v>
      </c>
      <c r="BA1118" s="31">
        <f t="shared" si="798"/>
        <v>0</v>
      </c>
      <c r="BB1118" s="31">
        <f t="shared" si="827"/>
        <v>0</v>
      </c>
      <c r="BM1118" s="8">
        <f t="shared" si="828"/>
        <v>0</v>
      </c>
      <c r="BN1118" s="8">
        <f t="shared" si="799"/>
        <v>0</v>
      </c>
      <c r="BO1118" s="8">
        <f t="shared" si="800"/>
        <v>0</v>
      </c>
      <c r="BQ1118" s="8">
        <f t="shared" si="801"/>
        <v>0</v>
      </c>
      <c r="BR1118" s="63">
        <f t="shared" si="802"/>
        <v>0</v>
      </c>
      <c r="BS1118" s="63">
        <f t="shared" si="829"/>
        <v>0</v>
      </c>
      <c r="BT1118" s="63">
        <f t="shared" si="803"/>
        <v>0</v>
      </c>
      <c r="BU1118" s="63">
        <f t="shared" si="804"/>
        <v>0</v>
      </c>
      <c r="BV1118" s="57">
        <f t="shared" si="805"/>
        <v>0</v>
      </c>
      <c r="BW1118" s="57">
        <f t="shared" si="806"/>
        <v>0</v>
      </c>
      <c r="BX1118" s="57">
        <f t="shared" si="830"/>
        <v>0</v>
      </c>
      <c r="BY1118" s="57">
        <f t="shared" si="834"/>
        <v>0</v>
      </c>
      <c r="BZ1118" s="8">
        <f t="shared" si="807"/>
        <v>0</v>
      </c>
      <c r="CA1118" s="8">
        <f t="shared" si="808"/>
        <v>0</v>
      </c>
      <c r="CB1118" s="8">
        <f t="shared" si="809"/>
        <v>0</v>
      </c>
      <c r="CC1118" s="8">
        <f t="shared" si="810"/>
        <v>0</v>
      </c>
      <c r="CD1118" s="8">
        <f t="shared" si="811"/>
        <v>0</v>
      </c>
      <c r="CE1118" s="8">
        <f t="shared" si="812"/>
        <v>0</v>
      </c>
      <c r="CF1118" s="8">
        <f t="shared" si="813"/>
        <v>0</v>
      </c>
      <c r="CG1118" s="8">
        <f t="shared" si="814"/>
        <v>0</v>
      </c>
      <c r="CH1118" s="8">
        <f t="shared" si="815"/>
        <v>0</v>
      </c>
      <c r="CI1118" s="8">
        <f t="shared" si="816"/>
        <v>0</v>
      </c>
      <c r="CJ1118" s="8">
        <f t="shared" si="817"/>
        <v>0</v>
      </c>
      <c r="CK1118" s="8">
        <f t="shared" si="818"/>
        <v>0</v>
      </c>
      <c r="CL1118" s="8">
        <f t="shared" si="819"/>
        <v>0</v>
      </c>
      <c r="CM1118" s="8">
        <f t="shared" si="820"/>
        <v>0</v>
      </c>
      <c r="CN1118" s="8">
        <f t="shared" si="821"/>
        <v>0</v>
      </c>
      <c r="CO1118" s="8">
        <f t="shared" si="822"/>
        <v>0</v>
      </c>
      <c r="CP1118" s="8">
        <f t="shared" si="823"/>
        <v>0</v>
      </c>
      <c r="CQ1118" s="8">
        <f t="shared" si="824"/>
        <v>0</v>
      </c>
      <c r="CR1118" s="8">
        <f t="shared" si="825"/>
        <v>0</v>
      </c>
      <c r="CS1118" s="8">
        <f t="shared" si="826"/>
        <v>0</v>
      </c>
      <c r="CT1118" s="8">
        <f t="shared" si="831"/>
        <v>0</v>
      </c>
      <c r="CU1118" s="8">
        <f t="shared" si="832"/>
        <v>0</v>
      </c>
      <c r="CV1118" s="8">
        <f t="shared" si="833"/>
        <v>0</v>
      </c>
    </row>
    <row r="1119" spans="1:100" ht="20.5" thickTop="1" thickBot="1" x14ac:dyDescent="0.5">
      <c r="A1119" s="32"/>
      <c r="B1119" s="10"/>
      <c r="C1119" s="10"/>
      <c r="D1119" s="11"/>
      <c r="E1119" s="10"/>
      <c r="F1119" s="10"/>
      <c r="G1119" s="19"/>
      <c r="H1119" s="19"/>
      <c r="I1119" s="19"/>
      <c r="J1119" s="19"/>
      <c r="K1119" s="10"/>
      <c r="L1119" s="10"/>
      <c r="M1119" s="10"/>
      <c r="N1119" s="10"/>
      <c r="O1119" s="18"/>
      <c r="P1119" s="18"/>
      <c r="Q1119" s="21"/>
      <c r="R1119" s="20"/>
      <c r="S1119" s="16">
        <f t="shared" si="789"/>
        <v>0</v>
      </c>
      <c r="T1119" s="11"/>
      <c r="AS1119" s="31">
        <f t="shared" si="790"/>
        <v>0</v>
      </c>
      <c r="AT1119" s="31">
        <f t="shared" si="791"/>
        <v>0</v>
      </c>
      <c r="AU1119" s="31">
        <f t="shared" si="792"/>
        <v>0</v>
      </c>
      <c r="AV1119" s="31">
        <f t="shared" si="793"/>
        <v>0</v>
      </c>
      <c r="AW1119" s="31">
        <f t="shared" si="794"/>
        <v>0</v>
      </c>
      <c r="AX1119" s="31">
        <f t="shared" si="795"/>
        <v>0</v>
      </c>
      <c r="AY1119" s="31">
        <f t="shared" si="796"/>
        <v>0</v>
      </c>
      <c r="AZ1119" s="31">
        <f t="shared" si="797"/>
        <v>0</v>
      </c>
      <c r="BA1119" s="31">
        <f t="shared" si="798"/>
        <v>0</v>
      </c>
      <c r="BB1119" s="31">
        <f t="shared" si="827"/>
        <v>0</v>
      </c>
      <c r="BM1119" s="8">
        <f t="shared" si="828"/>
        <v>0</v>
      </c>
      <c r="BN1119" s="8">
        <f t="shared" si="799"/>
        <v>0</v>
      </c>
      <c r="BO1119" s="8">
        <f t="shared" si="800"/>
        <v>0</v>
      </c>
      <c r="BQ1119" s="8">
        <f t="shared" si="801"/>
        <v>0</v>
      </c>
      <c r="BR1119" s="63">
        <f t="shared" si="802"/>
        <v>0</v>
      </c>
      <c r="BS1119" s="63">
        <f t="shared" si="829"/>
        <v>0</v>
      </c>
      <c r="BT1119" s="63">
        <f t="shared" si="803"/>
        <v>0</v>
      </c>
      <c r="BU1119" s="63">
        <f t="shared" si="804"/>
        <v>0</v>
      </c>
      <c r="BV1119" s="57">
        <f t="shared" si="805"/>
        <v>0</v>
      </c>
      <c r="BW1119" s="57">
        <f t="shared" si="806"/>
        <v>0</v>
      </c>
      <c r="BX1119" s="57">
        <f t="shared" si="830"/>
        <v>0</v>
      </c>
      <c r="BY1119" s="57">
        <f t="shared" si="834"/>
        <v>0</v>
      </c>
      <c r="BZ1119" s="8">
        <f t="shared" si="807"/>
        <v>0</v>
      </c>
      <c r="CA1119" s="8">
        <f t="shared" si="808"/>
        <v>0</v>
      </c>
      <c r="CB1119" s="8">
        <f t="shared" si="809"/>
        <v>0</v>
      </c>
      <c r="CC1119" s="8">
        <f t="shared" si="810"/>
        <v>0</v>
      </c>
      <c r="CD1119" s="8">
        <f t="shared" si="811"/>
        <v>0</v>
      </c>
      <c r="CE1119" s="8">
        <f t="shared" si="812"/>
        <v>0</v>
      </c>
      <c r="CF1119" s="8">
        <f t="shared" si="813"/>
        <v>0</v>
      </c>
      <c r="CG1119" s="8">
        <f t="shared" si="814"/>
        <v>0</v>
      </c>
      <c r="CH1119" s="8">
        <f t="shared" si="815"/>
        <v>0</v>
      </c>
      <c r="CI1119" s="8">
        <f t="shared" si="816"/>
        <v>0</v>
      </c>
      <c r="CJ1119" s="8">
        <f t="shared" si="817"/>
        <v>0</v>
      </c>
      <c r="CK1119" s="8">
        <f t="shared" si="818"/>
        <v>0</v>
      </c>
      <c r="CL1119" s="8">
        <f t="shared" si="819"/>
        <v>0</v>
      </c>
      <c r="CM1119" s="8">
        <f t="shared" si="820"/>
        <v>0</v>
      </c>
      <c r="CN1119" s="8">
        <f t="shared" si="821"/>
        <v>0</v>
      </c>
      <c r="CO1119" s="8">
        <f t="shared" si="822"/>
        <v>0</v>
      </c>
      <c r="CP1119" s="8">
        <f t="shared" si="823"/>
        <v>0</v>
      </c>
      <c r="CQ1119" s="8">
        <f t="shared" si="824"/>
        <v>0</v>
      </c>
      <c r="CR1119" s="8">
        <f t="shared" si="825"/>
        <v>0</v>
      </c>
      <c r="CS1119" s="8">
        <f t="shared" si="826"/>
        <v>0</v>
      </c>
      <c r="CT1119" s="8">
        <f t="shared" si="831"/>
        <v>0</v>
      </c>
      <c r="CU1119" s="8">
        <f t="shared" si="832"/>
        <v>0</v>
      </c>
      <c r="CV1119" s="8">
        <f t="shared" si="833"/>
        <v>0</v>
      </c>
    </row>
    <row r="1120" spans="1:100" ht="20.5" thickTop="1" thickBot="1" x14ac:dyDescent="0.5">
      <c r="A1120" s="32"/>
      <c r="B1120" s="10"/>
      <c r="C1120" s="10"/>
      <c r="D1120" s="11"/>
      <c r="E1120" s="10"/>
      <c r="F1120" s="10"/>
      <c r="G1120" s="19"/>
      <c r="H1120" s="19"/>
      <c r="I1120" s="19"/>
      <c r="J1120" s="19"/>
      <c r="K1120" s="10"/>
      <c r="L1120" s="10"/>
      <c r="M1120" s="10"/>
      <c r="N1120" s="10"/>
      <c r="O1120" s="18"/>
      <c r="P1120" s="18"/>
      <c r="Q1120" s="21"/>
      <c r="R1120" s="20"/>
      <c r="S1120" s="16">
        <f t="shared" si="789"/>
        <v>0</v>
      </c>
      <c r="T1120" s="11"/>
      <c r="AS1120" s="31">
        <f t="shared" si="790"/>
        <v>0</v>
      </c>
      <c r="AT1120" s="31">
        <f t="shared" si="791"/>
        <v>0</v>
      </c>
      <c r="AU1120" s="31">
        <f t="shared" si="792"/>
        <v>0</v>
      </c>
      <c r="AV1120" s="31">
        <f t="shared" si="793"/>
        <v>0</v>
      </c>
      <c r="AW1120" s="31">
        <f t="shared" si="794"/>
        <v>0</v>
      </c>
      <c r="AX1120" s="31">
        <f t="shared" si="795"/>
        <v>0</v>
      </c>
      <c r="AY1120" s="31">
        <f t="shared" si="796"/>
        <v>0</v>
      </c>
      <c r="AZ1120" s="31">
        <f t="shared" si="797"/>
        <v>0</v>
      </c>
      <c r="BA1120" s="31">
        <f t="shared" si="798"/>
        <v>0</v>
      </c>
      <c r="BB1120" s="31">
        <f t="shared" si="827"/>
        <v>0</v>
      </c>
      <c r="BM1120" s="8">
        <f t="shared" si="828"/>
        <v>0</v>
      </c>
      <c r="BN1120" s="8">
        <f t="shared" si="799"/>
        <v>0</v>
      </c>
      <c r="BO1120" s="8">
        <f t="shared" si="800"/>
        <v>0</v>
      </c>
      <c r="BQ1120" s="8">
        <f t="shared" si="801"/>
        <v>0</v>
      </c>
      <c r="BR1120" s="63">
        <f t="shared" si="802"/>
        <v>0</v>
      </c>
      <c r="BS1120" s="63">
        <f t="shared" si="829"/>
        <v>0</v>
      </c>
      <c r="BT1120" s="63">
        <f t="shared" si="803"/>
        <v>0</v>
      </c>
      <c r="BU1120" s="63">
        <f t="shared" si="804"/>
        <v>0</v>
      </c>
      <c r="BV1120" s="57">
        <f t="shared" si="805"/>
        <v>0</v>
      </c>
      <c r="BW1120" s="57">
        <f t="shared" si="806"/>
        <v>0</v>
      </c>
      <c r="BX1120" s="57">
        <f t="shared" si="830"/>
        <v>0</v>
      </c>
      <c r="BY1120" s="57">
        <f t="shared" si="834"/>
        <v>0</v>
      </c>
      <c r="BZ1120" s="8">
        <f t="shared" si="807"/>
        <v>0</v>
      </c>
      <c r="CA1120" s="8">
        <f t="shared" si="808"/>
        <v>0</v>
      </c>
      <c r="CB1120" s="8">
        <f t="shared" si="809"/>
        <v>0</v>
      </c>
      <c r="CC1120" s="8">
        <f t="shared" si="810"/>
        <v>0</v>
      </c>
      <c r="CD1120" s="8">
        <f t="shared" si="811"/>
        <v>0</v>
      </c>
      <c r="CE1120" s="8">
        <f t="shared" si="812"/>
        <v>0</v>
      </c>
      <c r="CF1120" s="8">
        <f t="shared" si="813"/>
        <v>0</v>
      </c>
      <c r="CG1120" s="8">
        <f t="shared" si="814"/>
        <v>0</v>
      </c>
      <c r="CH1120" s="8">
        <f t="shared" si="815"/>
        <v>0</v>
      </c>
      <c r="CI1120" s="8">
        <f t="shared" si="816"/>
        <v>0</v>
      </c>
      <c r="CJ1120" s="8">
        <f t="shared" si="817"/>
        <v>0</v>
      </c>
      <c r="CK1120" s="8">
        <f t="shared" si="818"/>
        <v>0</v>
      </c>
      <c r="CL1120" s="8">
        <f t="shared" si="819"/>
        <v>0</v>
      </c>
      <c r="CM1120" s="8">
        <f t="shared" si="820"/>
        <v>0</v>
      </c>
      <c r="CN1120" s="8">
        <f t="shared" si="821"/>
        <v>0</v>
      </c>
      <c r="CO1120" s="8">
        <f t="shared" si="822"/>
        <v>0</v>
      </c>
      <c r="CP1120" s="8">
        <f t="shared" si="823"/>
        <v>0</v>
      </c>
      <c r="CQ1120" s="8">
        <f t="shared" si="824"/>
        <v>0</v>
      </c>
      <c r="CR1120" s="8">
        <f t="shared" si="825"/>
        <v>0</v>
      </c>
      <c r="CS1120" s="8">
        <f t="shared" si="826"/>
        <v>0</v>
      </c>
      <c r="CT1120" s="8">
        <f t="shared" si="831"/>
        <v>0</v>
      </c>
      <c r="CU1120" s="8">
        <f t="shared" si="832"/>
        <v>0</v>
      </c>
      <c r="CV1120" s="8">
        <f t="shared" si="833"/>
        <v>0</v>
      </c>
    </row>
    <row r="1121" spans="1:100" ht="20.5" thickTop="1" thickBot="1" x14ac:dyDescent="0.5">
      <c r="A1121" s="32"/>
      <c r="B1121" s="10"/>
      <c r="C1121" s="10"/>
      <c r="D1121" s="11"/>
      <c r="E1121" s="10"/>
      <c r="F1121" s="10"/>
      <c r="G1121" s="19"/>
      <c r="H1121" s="19"/>
      <c r="I1121" s="19"/>
      <c r="J1121" s="19"/>
      <c r="K1121" s="10"/>
      <c r="L1121" s="10"/>
      <c r="M1121" s="10"/>
      <c r="N1121" s="10"/>
      <c r="O1121" s="18"/>
      <c r="P1121" s="18"/>
      <c r="Q1121" s="21"/>
      <c r="R1121" s="20"/>
      <c r="S1121" s="16">
        <f t="shared" si="789"/>
        <v>0</v>
      </c>
      <c r="T1121" s="11"/>
      <c r="AS1121" s="31">
        <f t="shared" si="790"/>
        <v>0</v>
      </c>
      <c r="AT1121" s="31">
        <f t="shared" si="791"/>
        <v>0</v>
      </c>
      <c r="AU1121" s="31">
        <f t="shared" si="792"/>
        <v>0</v>
      </c>
      <c r="AV1121" s="31">
        <f t="shared" si="793"/>
        <v>0</v>
      </c>
      <c r="AW1121" s="31">
        <f t="shared" si="794"/>
        <v>0</v>
      </c>
      <c r="AX1121" s="31">
        <f t="shared" si="795"/>
        <v>0</v>
      </c>
      <c r="AY1121" s="31">
        <f t="shared" si="796"/>
        <v>0</v>
      </c>
      <c r="AZ1121" s="31">
        <f t="shared" si="797"/>
        <v>0</v>
      </c>
      <c r="BA1121" s="31">
        <f t="shared" si="798"/>
        <v>0</v>
      </c>
      <c r="BB1121" s="31">
        <f t="shared" si="827"/>
        <v>0</v>
      </c>
      <c r="BM1121" s="8">
        <f t="shared" si="828"/>
        <v>0</v>
      </c>
      <c r="BN1121" s="8">
        <f t="shared" si="799"/>
        <v>0</v>
      </c>
      <c r="BO1121" s="8">
        <f t="shared" si="800"/>
        <v>0</v>
      </c>
      <c r="BQ1121" s="8">
        <f t="shared" si="801"/>
        <v>0</v>
      </c>
      <c r="BR1121" s="63">
        <f t="shared" si="802"/>
        <v>0</v>
      </c>
      <c r="BS1121" s="63">
        <f t="shared" si="829"/>
        <v>0</v>
      </c>
      <c r="BT1121" s="63">
        <f t="shared" si="803"/>
        <v>0</v>
      </c>
      <c r="BU1121" s="63">
        <f t="shared" si="804"/>
        <v>0</v>
      </c>
      <c r="BV1121" s="57">
        <f t="shared" si="805"/>
        <v>0</v>
      </c>
      <c r="BW1121" s="57">
        <f t="shared" si="806"/>
        <v>0</v>
      </c>
      <c r="BX1121" s="57">
        <f t="shared" si="830"/>
        <v>0</v>
      </c>
      <c r="BY1121" s="57">
        <f t="shared" si="834"/>
        <v>0</v>
      </c>
      <c r="BZ1121" s="8">
        <f t="shared" si="807"/>
        <v>0</v>
      </c>
      <c r="CA1121" s="8">
        <f t="shared" si="808"/>
        <v>0</v>
      </c>
      <c r="CB1121" s="8">
        <f t="shared" si="809"/>
        <v>0</v>
      </c>
      <c r="CC1121" s="8">
        <f t="shared" si="810"/>
        <v>0</v>
      </c>
      <c r="CD1121" s="8">
        <f t="shared" si="811"/>
        <v>0</v>
      </c>
      <c r="CE1121" s="8">
        <f t="shared" si="812"/>
        <v>0</v>
      </c>
      <c r="CF1121" s="8">
        <f t="shared" si="813"/>
        <v>0</v>
      </c>
      <c r="CG1121" s="8">
        <f t="shared" si="814"/>
        <v>0</v>
      </c>
      <c r="CH1121" s="8">
        <f t="shared" si="815"/>
        <v>0</v>
      </c>
      <c r="CI1121" s="8">
        <f t="shared" si="816"/>
        <v>0</v>
      </c>
      <c r="CJ1121" s="8">
        <f t="shared" si="817"/>
        <v>0</v>
      </c>
      <c r="CK1121" s="8">
        <f t="shared" si="818"/>
        <v>0</v>
      </c>
      <c r="CL1121" s="8">
        <f t="shared" si="819"/>
        <v>0</v>
      </c>
      <c r="CM1121" s="8">
        <f t="shared" si="820"/>
        <v>0</v>
      </c>
      <c r="CN1121" s="8">
        <f t="shared" si="821"/>
        <v>0</v>
      </c>
      <c r="CO1121" s="8">
        <f t="shared" si="822"/>
        <v>0</v>
      </c>
      <c r="CP1121" s="8">
        <f t="shared" si="823"/>
        <v>0</v>
      </c>
      <c r="CQ1121" s="8">
        <f t="shared" si="824"/>
        <v>0</v>
      </c>
      <c r="CR1121" s="8">
        <f t="shared" si="825"/>
        <v>0</v>
      </c>
      <c r="CS1121" s="8">
        <f t="shared" si="826"/>
        <v>0</v>
      </c>
      <c r="CT1121" s="8">
        <f t="shared" si="831"/>
        <v>0</v>
      </c>
      <c r="CU1121" s="8">
        <f t="shared" si="832"/>
        <v>0</v>
      </c>
      <c r="CV1121" s="8">
        <f t="shared" si="833"/>
        <v>0</v>
      </c>
    </row>
    <row r="1122" spans="1:100" ht="20.5" thickTop="1" thickBot="1" x14ac:dyDescent="0.5">
      <c r="A1122" s="32"/>
      <c r="B1122" s="10"/>
      <c r="C1122" s="10"/>
      <c r="D1122" s="11"/>
      <c r="E1122" s="10"/>
      <c r="F1122" s="10"/>
      <c r="G1122" s="19"/>
      <c r="H1122" s="19"/>
      <c r="I1122" s="19"/>
      <c r="J1122" s="19"/>
      <c r="K1122" s="10"/>
      <c r="L1122" s="10"/>
      <c r="M1122" s="10"/>
      <c r="N1122" s="10"/>
      <c r="O1122" s="18"/>
      <c r="P1122" s="18"/>
      <c r="Q1122" s="21"/>
      <c r="R1122" s="20"/>
      <c r="S1122" s="16">
        <f t="shared" si="789"/>
        <v>0</v>
      </c>
      <c r="T1122" s="11"/>
      <c r="AS1122" s="31">
        <f t="shared" si="790"/>
        <v>0</v>
      </c>
      <c r="AT1122" s="31">
        <f t="shared" si="791"/>
        <v>0</v>
      </c>
      <c r="AU1122" s="31">
        <f t="shared" si="792"/>
        <v>0</v>
      </c>
      <c r="AV1122" s="31">
        <f t="shared" si="793"/>
        <v>0</v>
      </c>
      <c r="AW1122" s="31">
        <f t="shared" si="794"/>
        <v>0</v>
      </c>
      <c r="AX1122" s="31">
        <f t="shared" si="795"/>
        <v>0</v>
      </c>
      <c r="AY1122" s="31">
        <f t="shared" si="796"/>
        <v>0</v>
      </c>
      <c r="AZ1122" s="31">
        <f t="shared" si="797"/>
        <v>0</v>
      </c>
      <c r="BA1122" s="31">
        <f t="shared" si="798"/>
        <v>0</v>
      </c>
      <c r="BB1122" s="31">
        <f t="shared" si="827"/>
        <v>0</v>
      </c>
      <c r="BM1122" s="8">
        <f t="shared" si="828"/>
        <v>0</v>
      </c>
      <c r="BN1122" s="8">
        <f t="shared" si="799"/>
        <v>0</v>
      </c>
      <c r="BO1122" s="8">
        <f t="shared" si="800"/>
        <v>0</v>
      </c>
      <c r="BQ1122" s="8">
        <f t="shared" si="801"/>
        <v>0</v>
      </c>
      <c r="BR1122" s="63">
        <f t="shared" si="802"/>
        <v>0</v>
      </c>
      <c r="BS1122" s="63">
        <f t="shared" si="829"/>
        <v>0</v>
      </c>
      <c r="BT1122" s="63">
        <f t="shared" si="803"/>
        <v>0</v>
      </c>
      <c r="BU1122" s="63">
        <f t="shared" si="804"/>
        <v>0</v>
      </c>
      <c r="BV1122" s="57">
        <f t="shared" si="805"/>
        <v>0</v>
      </c>
      <c r="BW1122" s="57">
        <f t="shared" si="806"/>
        <v>0</v>
      </c>
      <c r="BX1122" s="57">
        <f t="shared" si="830"/>
        <v>0</v>
      </c>
      <c r="BY1122" s="57">
        <f t="shared" si="834"/>
        <v>0</v>
      </c>
      <c r="BZ1122" s="8">
        <f t="shared" si="807"/>
        <v>0</v>
      </c>
      <c r="CA1122" s="8">
        <f t="shared" si="808"/>
        <v>0</v>
      </c>
      <c r="CB1122" s="8">
        <f t="shared" si="809"/>
        <v>0</v>
      </c>
      <c r="CC1122" s="8">
        <f t="shared" si="810"/>
        <v>0</v>
      </c>
      <c r="CD1122" s="8">
        <f t="shared" si="811"/>
        <v>0</v>
      </c>
      <c r="CE1122" s="8">
        <f t="shared" si="812"/>
        <v>0</v>
      </c>
      <c r="CF1122" s="8">
        <f t="shared" si="813"/>
        <v>0</v>
      </c>
      <c r="CG1122" s="8">
        <f t="shared" si="814"/>
        <v>0</v>
      </c>
      <c r="CH1122" s="8">
        <f t="shared" si="815"/>
        <v>0</v>
      </c>
      <c r="CI1122" s="8">
        <f t="shared" si="816"/>
        <v>0</v>
      </c>
      <c r="CJ1122" s="8">
        <f t="shared" si="817"/>
        <v>0</v>
      </c>
      <c r="CK1122" s="8">
        <f t="shared" si="818"/>
        <v>0</v>
      </c>
      <c r="CL1122" s="8">
        <f t="shared" si="819"/>
        <v>0</v>
      </c>
      <c r="CM1122" s="8">
        <f t="shared" si="820"/>
        <v>0</v>
      </c>
      <c r="CN1122" s="8">
        <f t="shared" si="821"/>
        <v>0</v>
      </c>
      <c r="CO1122" s="8">
        <f t="shared" si="822"/>
        <v>0</v>
      </c>
      <c r="CP1122" s="8">
        <f t="shared" si="823"/>
        <v>0</v>
      </c>
      <c r="CQ1122" s="8">
        <f t="shared" si="824"/>
        <v>0</v>
      </c>
      <c r="CR1122" s="8">
        <f t="shared" si="825"/>
        <v>0</v>
      </c>
      <c r="CS1122" s="8">
        <f t="shared" si="826"/>
        <v>0</v>
      </c>
      <c r="CT1122" s="8">
        <f t="shared" si="831"/>
        <v>0</v>
      </c>
      <c r="CU1122" s="8">
        <f t="shared" si="832"/>
        <v>0</v>
      </c>
      <c r="CV1122" s="8">
        <f t="shared" si="833"/>
        <v>0</v>
      </c>
    </row>
    <row r="1123" spans="1:100" ht="20.5" thickTop="1" thickBot="1" x14ac:dyDescent="0.5">
      <c r="A1123" s="32"/>
      <c r="B1123" s="10"/>
      <c r="C1123" s="10"/>
      <c r="D1123" s="11"/>
      <c r="E1123" s="10"/>
      <c r="F1123" s="10"/>
      <c r="G1123" s="19"/>
      <c r="H1123" s="19"/>
      <c r="I1123" s="19"/>
      <c r="J1123" s="19"/>
      <c r="K1123" s="10"/>
      <c r="L1123" s="10"/>
      <c r="M1123" s="10"/>
      <c r="N1123" s="10"/>
      <c r="O1123" s="18"/>
      <c r="P1123" s="18"/>
      <c r="Q1123" s="21"/>
      <c r="R1123" s="20"/>
      <c r="S1123" s="16">
        <f t="shared" si="789"/>
        <v>0</v>
      </c>
      <c r="T1123" s="11"/>
      <c r="AS1123" s="31">
        <f t="shared" si="790"/>
        <v>0</v>
      </c>
      <c r="AT1123" s="31">
        <f t="shared" si="791"/>
        <v>0</v>
      </c>
      <c r="AU1123" s="31">
        <f t="shared" si="792"/>
        <v>0</v>
      </c>
      <c r="AV1123" s="31">
        <f t="shared" si="793"/>
        <v>0</v>
      </c>
      <c r="AW1123" s="31">
        <f t="shared" si="794"/>
        <v>0</v>
      </c>
      <c r="AX1123" s="31">
        <f t="shared" si="795"/>
        <v>0</v>
      </c>
      <c r="AY1123" s="31">
        <f t="shared" si="796"/>
        <v>0</v>
      </c>
      <c r="AZ1123" s="31">
        <f t="shared" si="797"/>
        <v>0</v>
      </c>
      <c r="BA1123" s="31">
        <f t="shared" si="798"/>
        <v>0</v>
      </c>
      <c r="BB1123" s="31">
        <f t="shared" si="827"/>
        <v>0</v>
      </c>
      <c r="BM1123" s="8">
        <f t="shared" si="828"/>
        <v>0</v>
      </c>
      <c r="BN1123" s="8">
        <f t="shared" si="799"/>
        <v>0</v>
      </c>
      <c r="BO1123" s="8">
        <f t="shared" si="800"/>
        <v>0</v>
      </c>
      <c r="BQ1123" s="8">
        <f t="shared" si="801"/>
        <v>0</v>
      </c>
      <c r="BR1123" s="63">
        <f t="shared" si="802"/>
        <v>0</v>
      </c>
      <c r="BS1123" s="63">
        <f t="shared" si="829"/>
        <v>0</v>
      </c>
      <c r="BT1123" s="63">
        <f t="shared" si="803"/>
        <v>0</v>
      </c>
      <c r="BU1123" s="63">
        <f t="shared" si="804"/>
        <v>0</v>
      </c>
      <c r="BV1123" s="57">
        <f t="shared" si="805"/>
        <v>0</v>
      </c>
      <c r="BW1123" s="57">
        <f t="shared" si="806"/>
        <v>0</v>
      </c>
      <c r="BX1123" s="57">
        <f t="shared" si="830"/>
        <v>0</v>
      </c>
      <c r="BY1123" s="57">
        <f t="shared" si="834"/>
        <v>0</v>
      </c>
      <c r="BZ1123" s="8">
        <f t="shared" si="807"/>
        <v>0</v>
      </c>
      <c r="CA1123" s="8">
        <f t="shared" si="808"/>
        <v>0</v>
      </c>
      <c r="CB1123" s="8">
        <f t="shared" si="809"/>
        <v>0</v>
      </c>
      <c r="CC1123" s="8">
        <f t="shared" si="810"/>
        <v>0</v>
      </c>
      <c r="CD1123" s="8">
        <f t="shared" si="811"/>
        <v>0</v>
      </c>
      <c r="CE1123" s="8">
        <f t="shared" si="812"/>
        <v>0</v>
      </c>
      <c r="CF1123" s="8">
        <f t="shared" si="813"/>
        <v>0</v>
      </c>
      <c r="CG1123" s="8">
        <f t="shared" si="814"/>
        <v>0</v>
      </c>
      <c r="CH1123" s="8">
        <f t="shared" si="815"/>
        <v>0</v>
      </c>
      <c r="CI1123" s="8">
        <f t="shared" si="816"/>
        <v>0</v>
      </c>
      <c r="CJ1123" s="8">
        <f t="shared" si="817"/>
        <v>0</v>
      </c>
      <c r="CK1123" s="8">
        <f t="shared" si="818"/>
        <v>0</v>
      </c>
      <c r="CL1123" s="8">
        <f t="shared" si="819"/>
        <v>0</v>
      </c>
      <c r="CM1123" s="8">
        <f t="shared" si="820"/>
        <v>0</v>
      </c>
      <c r="CN1123" s="8">
        <f t="shared" si="821"/>
        <v>0</v>
      </c>
      <c r="CO1123" s="8">
        <f t="shared" si="822"/>
        <v>0</v>
      </c>
      <c r="CP1123" s="8">
        <f t="shared" si="823"/>
        <v>0</v>
      </c>
      <c r="CQ1123" s="8">
        <f t="shared" si="824"/>
        <v>0</v>
      </c>
      <c r="CR1123" s="8">
        <f t="shared" si="825"/>
        <v>0</v>
      </c>
      <c r="CS1123" s="8">
        <f t="shared" si="826"/>
        <v>0</v>
      </c>
      <c r="CT1123" s="8">
        <f t="shared" si="831"/>
        <v>0</v>
      </c>
      <c r="CU1123" s="8">
        <f t="shared" si="832"/>
        <v>0</v>
      </c>
      <c r="CV1123" s="8">
        <f t="shared" si="833"/>
        <v>0</v>
      </c>
    </row>
    <row r="1124" spans="1:100" ht="20.5" thickTop="1" thickBot="1" x14ac:dyDescent="0.5">
      <c r="A1124" s="32"/>
      <c r="B1124" s="10"/>
      <c r="C1124" s="10"/>
      <c r="D1124" s="11"/>
      <c r="E1124" s="10"/>
      <c r="F1124" s="10"/>
      <c r="G1124" s="19"/>
      <c r="H1124" s="19"/>
      <c r="I1124" s="19"/>
      <c r="J1124" s="19"/>
      <c r="K1124" s="10"/>
      <c r="L1124" s="10"/>
      <c r="M1124" s="10"/>
      <c r="N1124" s="10"/>
      <c r="O1124" s="18"/>
      <c r="P1124" s="18"/>
      <c r="Q1124" s="21"/>
      <c r="R1124" s="20"/>
      <c r="S1124" s="16">
        <f t="shared" si="789"/>
        <v>0</v>
      </c>
      <c r="T1124" s="11"/>
      <c r="AS1124" s="31">
        <f t="shared" si="790"/>
        <v>0</v>
      </c>
      <c r="AT1124" s="31">
        <f t="shared" si="791"/>
        <v>0</v>
      </c>
      <c r="AU1124" s="31">
        <f t="shared" si="792"/>
        <v>0</v>
      </c>
      <c r="AV1124" s="31">
        <f t="shared" si="793"/>
        <v>0</v>
      </c>
      <c r="AW1124" s="31">
        <f t="shared" si="794"/>
        <v>0</v>
      </c>
      <c r="AX1124" s="31">
        <f t="shared" si="795"/>
        <v>0</v>
      </c>
      <c r="AY1124" s="31">
        <f t="shared" si="796"/>
        <v>0</v>
      </c>
      <c r="AZ1124" s="31">
        <f t="shared" si="797"/>
        <v>0</v>
      </c>
      <c r="BA1124" s="31">
        <f t="shared" si="798"/>
        <v>0</v>
      </c>
      <c r="BB1124" s="31">
        <f t="shared" si="827"/>
        <v>0</v>
      </c>
      <c r="BM1124" s="8">
        <f t="shared" si="828"/>
        <v>0</v>
      </c>
      <c r="BN1124" s="8">
        <f t="shared" si="799"/>
        <v>0</v>
      </c>
      <c r="BO1124" s="8">
        <f t="shared" si="800"/>
        <v>0</v>
      </c>
      <c r="BQ1124" s="8">
        <f t="shared" si="801"/>
        <v>0</v>
      </c>
      <c r="BR1124" s="63">
        <f t="shared" si="802"/>
        <v>0</v>
      </c>
      <c r="BS1124" s="63">
        <f t="shared" si="829"/>
        <v>0</v>
      </c>
      <c r="BT1124" s="63">
        <f t="shared" si="803"/>
        <v>0</v>
      </c>
      <c r="BU1124" s="63">
        <f t="shared" si="804"/>
        <v>0</v>
      </c>
      <c r="BV1124" s="57">
        <f t="shared" si="805"/>
        <v>0</v>
      </c>
      <c r="BW1124" s="57">
        <f t="shared" si="806"/>
        <v>0</v>
      </c>
      <c r="BX1124" s="57">
        <f t="shared" si="830"/>
        <v>0</v>
      </c>
      <c r="BY1124" s="57">
        <f t="shared" si="834"/>
        <v>0</v>
      </c>
      <c r="BZ1124" s="8">
        <f t="shared" si="807"/>
        <v>0</v>
      </c>
      <c r="CA1124" s="8">
        <f t="shared" si="808"/>
        <v>0</v>
      </c>
      <c r="CB1124" s="8">
        <f t="shared" si="809"/>
        <v>0</v>
      </c>
      <c r="CC1124" s="8">
        <f t="shared" si="810"/>
        <v>0</v>
      </c>
      <c r="CD1124" s="8">
        <f t="shared" si="811"/>
        <v>0</v>
      </c>
      <c r="CE1124" s="8">
        <f t="shared" si="812"/>
        <v>0</v>
      </c>
      <c r="CF1124" s="8">
        <f t="shared" si="813"/>
        <v>0</v>
      </c>
      <c r="CG1124" s="8">
        <f t="shared" si="814"/>
        <v>0</v>
      </c>
      <c r="CH1124" s="8">
        <f t="shared" si="815"/>
        <v>0</v>
      </c>
      <c r="CI1124" s="8">
        <f t="shared" si="816"/>
        <v>0</v>
      </c>
      <c r="CJ1124" s="8">
        <f t="shared" si="817"/>
        <v>0</v>
      </c>
      <c r="CK1124" s="8">
        <f t="shared" si="818"/>
        <v>0</v>
      </c>
      <c r="CL1124" s="8">
        <f t="shared" si="819"/>
        <v>0</v>
      </c>
      <c r="CM1124" s="8">
        <f t="shared" si="820"/>
        <v>0</v>
      </c>
      <c r="CN1124" s="8">
        <f t="shared" si="821"/>
        <v>0</v>
      </c>
      <c r="CO1124" s="8">
        <f t="shared" si="822"/>
        <v>0</v>
      </c>
      <c r="CP1124" s="8">
        <f t="shared" si="823"/>
        <v>0</v>
      </c>
      <c r="CQ1124" s="8">
        <f t="shared" si="824"/>
        <v>0</v>
      </c>
      <c r="CR1124" s="8">
        <f t="shared" si="825"/>
        <v>0</v>
      </c>
      <c r="CS1124" s="8">
        <f t="shared" si="826"/>
        <v>0</v>
      </c>
      <c r="CT1124" s="8">
        <f t="shared" si="831"/>
        <v>0</v>
      </c>
      <c r="CU1124" s="8">
        <f t="shared" si="832"/>
        <v>0</v>
      </c>
      <c r="CV1124" s="8">
        <f t="shared" si="833"/>
        <v>0</v>
      </c>
    </row>
    <row r="1125" spans="1:100" ht="20.5" thickTop="1" thickBot="1" x14ac:dyDescent="0.5">
      <c r="A1125" s="32"/>
      <c r="B1125" s="10"/>
      <c r="C1125" s="10"/>
      <c r="D1125" s="11"/>
      <c r="E1125" s="10"/>
      <c r="F1125" s="10"/>
      <c r="G1125" s="19"/>
      <c r="H1125" s="19"/>
      <c r="I1125" s="19"/>
      <c r="J1125" s="19"/>
      <c r="K1125" s="10"/>
      <c r="L1125" s="10"/>
      <c r="M1125" s="10"/>
      <c r="N1125" s="10"/>
      <c r="O1125" s="18"/>
      <c r="P1125" s="18"/>
      <c r="Q1125" s="21"/>
      <c r="R1125" s="20"/>
      <c r="S1125" s="16">
        <f t="shared" si="789"/>
        <v>0</v>
      </c>
      <c r="T1125" s="11"/>
      <c r="AS1125" s="31">
        <f t="shared" si="790"/>
        <v>0</v>
      </c>
      <c r="AT1125" s="31">
        <f t="shared" si="791"/>
        <v>0</v>
      </c>
      <c r="AU1125" s="31">
        <f t="shared" si="792"/>
        <v>0</v>
      </c>
      <c r="AV1125" s="31">
        <f t="shared" si="793"/>
        <v>0</v>
      </c>
      <c r="AW1125" s="31">
        <f t="shared" si="794"/>
        <v>0</v>
      </c>
      <c r="AX1125" s="31">
        <f t="shared" si="795"/>
        <v>0</v>
      </c>
      <c r="AY1125" s="31">
        <f t="shared" si="796"/>
        <v>0</v>
      </c>
      <c r="AZ1125" s="31">
        <f t="shared" si="797"/>
        <v>0</v>
      </c>
      <c r="BA1125" s="31">
        <f t="shared" si="798"/>
        <v>0</v>
      </c>
      <c r="BB1125" s="31">
        <f t="shared" si="827"/>
        <v>0</v>
      </c>
      <c r="BM1125" s="8">
        <f t="shared" si="828"/>
        <v>0</v>
      </c>
      <c r="BN1125" s="8">
        <f t="shared" si="799"/>
        <v>0</v>
      </c>
      <c r="BO1125" s="8">
        <f t="shared" si="800"/>
        <v>0</v>
      </c>
      <c r="BQ1125" s="8">
        <f t="shared" si="801"/>
        <v>0</v>
      </c>
      <c r="BR1125" s="63">
        <f t="shared" si="802"/>
        <v>0</v>
      </c>
      <c r="BS1125" s="63">
        <f t="shared" si="829"/>
        <v>0</v>
      </c>
      <c r="BT1125" s="63">
        <f t="shared" si="803"/>
        <v>0</v>
      </c>
      <c r="BU1125" s="63">
        <f t="shared" si="804"/>
        <v>0</v>
      </c>
      <c r="BV1125" s="57">
        <f t="shared" si="805"/>
        <v>0</v>
      </c>
      <c r="BW1125" s="57">
        <f t="shared" si="806"/>
        <v>0</v>
      </c>
      <c r="BX1125" s="57">
        <f t="shared" si="830"/>
        <v>0</v>
      </c>
      <c r="BY1125" s="57">
        <f t="shared" si="834"/>
        <v>0</v>
      </c>
      <c r="BZ1125" s="8">
        <f t="shared" si="807"/>
        <v>0</v>
      </c>
      <c r="CA1125" s="8">
        <f t="shared" si="808"/>
        <v>0</v>
      </c>
      <c r="CB1125" s="8">
        <f t="shared" si="809"/>
        <v>0</v>
      </c>
      <c r="CC1125" s="8">
        <f t="shared" si="810"/>
        <v>0</v>
      </c>
      <c r="CD1125" s="8">
        <f t="shared" si="811"/>
        <v>0</v>
      </c>
      <c r="CE1125" s="8">
        <f t="shared" si="812"/>
        <v>0</v>
      </c>
      <c r="CF1125" s="8">
        <f t="shared" si="813"/>
        <v>0</v>
      </c>
      <c r="CG1125" s="8">
        <f t="shared" si="814"/>
        <v>0</v>
      </c>
      <c r="CH1125" s="8">
        <f t="shared" si="815"/>
        <v>0</v>
      </c>
      <c r="CI1125" s="8">
        <f t="shared" si="816"/>
        <v>0</v>
      </c>
      <c r="CJ1125" s="8">
        <f t="shared" si="817"/>
        <v>0</v>
      </c>
      <c r="CK1125" s="8">
        <f t="shared" si="818"/>
        <v>0</v>
      </c>
      <c r="CL1125" s="8">
        <f t="shared" si="819"/>
        <v>0</v>
      </c>
      <c r="CM1125" s="8">
        <f t="shared" si="820"/>
        <v>0</v>
      </c>
      <c r="CN1125" s="8">
        <f t="shared" si="821"/>
        <v>0</v>
      </c>
      <c r="CO1125" s="8">
        <f t="shared" si="822"/>
        <v>0</v>
      </c>
      <c r="CP1125" s="8">
        <f t="shared" si="823"/>
        <v>0</v>
      </c>
      <c r="CQ1125" s="8">
        <f t="shared" si="824"/>
        <v>0</v>
      </c>
      <c r="CR1125" s="8">
        <f t="shared" si="825"/>
        <v>0</v>
      </c>
      <c r="CS1125" s="8">
        <f t="shared" si="826"/>
        <v>0</v>
      </c>
      <c r="CT1125" s="8">
        <f t="shared" si="831"/>
        <v>0</v>
      </c>
      <c r="CU1125" s="8">
        <f t="shared" si="832"/>
        <v>0</v>
      </c>
      <c r="CV1125" s="8">
        <f t="shared" si="833"/>
        <v>0</v>
      </c>
    </row>
    <row r="1126" spans="1:100" ht="20.5" thickTop="1" thickBot="1" x14ac:dyDescent="0.5">
      <c r="A1126" s="32"/>
      <c r="B1126" s="10"/>
      <c r="C1126" s="10"/>
      <c r="D1126" s="11"/>
      <c r="E1126" s="10"/>
      <c r="F1126" s="10"/>
      <c r="G1126" s="19"/>
      <c r="H1126" s="19"/>
      <c r="I1126" s="19"/>
      <c r="J1126" s="19"/>
      <c r="K1126" s="10"/>
      <c r="L1126" s="10"/>
      <c r="M1126" s="10"/>
      <c r="N1126" s="10"/>
      <c r="O1126" s="18"/>
      <c r="P1126" s="18"/>
      <c r="Q1126" s="21"/>
      <c r="R1126" s="20"/>
      <c r="S1126" s="16">
        <f t="shared" si="789"/>
        <v>0</v>
      </c>
      <c r="T1126" s="11"/>
      <c r="AS1126" s="31">
        <f t="shared" si="790"/>
        <v>0</v>
      </c>
      <c r="AT1126" s="31">
        <f t="shared" si="791"/>
        <v>0</v>
      </c>
      <c r="AU1126" s="31">
        <f t="shared" si="792"/>
        <v>0</v>
      </c>
      <c r="AV1126" s="31">
        <f t="shared" si="793"/>
        <v>0</v>
      </c>
      <c r="AW1126" s="31">
        <f t="shared" si="794"/>
        <v>0</v>
      </c>
      <c r="AX1126" s="31">
        <f t="shared" si="795"/>
        <v>0</v>
      </c>
      <c r="AY1126" s="31">
        <f t="shared" si="796"/>
        <v>0</v>
      </c>
      <c r="AZ1126" s="31">
        <f t="shared" si="797"/>
        <v>0</v>
      </c>
      <c r="BA1126" s="31">
        <f t="shared" si="798"/>
        <v>0</v>
      </c>
      <c r="BB1126" s="31">
        <f t="shared" si="827"/>
        <v>0</v>
      </c>
      <c r="BM1126" s="8">
        <f t="shared" si="828"/>
        <v>0</v>
      </c>
      <c r="BN1126" s="8">
        <f t="shared" si="799"/>
        <v>0</v>
      </c>
      <c r="BO1126" s="8">
        <f t="shared" si="800"/>
        <v>0</v>
      </c>
      <c r="BQ1126" s="8">
        <f t="shared" si="801"/>
        <v>0</v>
      </c>
      <c r="BR1126" s="63">
        <f t="shared" si="802"/>
        <v>0</v>
      </c>
      <c r="BS1126" s="63">
        <f t="shared" si="829"/>
        <v>0</v>
      </c>
      <c r="BT1126" s="63">
        <f t="shared" si="803"/>
        <v>0</v>
      </c>
      <c r="BU1126" s="63">
        <f t="shared" si="804"/>
        <v>0</v>
      </c>
      <c r="BV1126" s="57">
        <f t="shared" si="805"/>
        <v>0</v>
      </c>
      <c r="BW1126" s="57">
        <f t="shared" si="806"/>
        <v>0</v>
      </c>
      <c r="BX1126" s="57">
        <f t="shared" si="830"/>
        <v>0</v>
      </c>
      <c r="BY1126" s="57">
        <f t="shared" si="834"/>
        <v>0</v>
      </c>
      <c r="BZ1126" s="8">
        <f t="shared" si="807"/>
        <v>0</v>
      </c>
      <c r="CA1126" s="8">
        <f t="shared" si="808"/>
        <v>0</v>
      </c>
      <c r="CB1126" s="8">
        <f t="shared" si="809"/>
        <v>0</v>
      </c>
      <c r="CC1126" s="8">
        <f t="shared" si="810"/>
        <v>0</v>
      </c>
      <c r="CD1126" s="8">
        <f t="shared" si="811"/>
        <v>0</v>
      </c>
      <c r="CE1126" s="8">
        <f t="shared" si="812"/>
        <v>0</v>
      </c>
      <c r="CF1126" s="8">
        <f t="shared" si="813"/>
        <v>0</v>
      </c>
      <c r="CG1126" s="8">
        <f t="shared" si="814"/>
        <v>0</v>
      </c>
      <c r="CH1126" s="8">
        <f t="shared" si="815"/>
        <v>0</v>
      </c>
      <c r="CI1126" s="8">
        <f t="shared" si="816"/>
        <v>0</v>
      </c>
      <c r="CJ1126" s="8">
        <f t="shared" si="817"/>
        <v>0</v>
      </c>
      <c r="CK1126" s="8">
        <f t="shared" si="818"/>
        <v>0</v>
      </c>
      <c r="CL1126" s="8">
        <f t="shared" si="819"/>
        <v>0</v>
      </c>
      <c r="CM1126" s="8">
        <f t="shared" si="820"/>
        <v>0</v>
      </c>
      <c r="CN1126" s="8">
        <f t="shared" si="821"/>
        <v>0</v>
      </c>
      <c r="CO1126" s="8">
        <f t="shared" si="822"/>
        <v>0</v>
      </c>
      <c r="CP1126" s="8">
        <f t="shared" si="823"/>
        <v>0</v>
      </c>
      <c r="CQ1126" s="8">
        <f t="shared" si="824"/>
        <v>0</v>
      </c>
      <c r="CR1126" s="8">
        <f t="shared" si="825"/>
        <v>0</v>
      </c>
      <c r="CS1126" s="8">
        <f t="shared" si="826"/>
        <v>0</v>
      </c>
      <c r="CT1126" s="8">
        <f t="shared" si="831"/>
        <v>0</v>
      </c>
      <c r="CU1126" s="8">
        <f t="shared" si="832"/>
        <v>0</v>
      </c>
      <c r="CV1126" s="8">
        <f t="shared" si="833"/>
        <v>0</v>
      </c>
    </row>
    <row r="1127" spans="1:100" ht="20.5" thickTop="1" thickBot="1" x14ac:dyDescent="0.5">
      <c r="A1127" s="32"/>
      <c r="B1127" s="10"/>
      <c r="C1127" s="10"/>
      <c r="D1127" s="11"/>
      <c r="E1127" s="10"/>
      <c r="F1127" s="10"/>
      <c r="G1127" s="19"/>
      <c r="H1127" s="19"/>
      <c r="I1127" s="19"/>
      <c r="J1127" s="19"/>
      <c r="K1127" s="10"/>
      <c r="L1127" s="10"/>
      <c r="M1127" s="10"/>
      <c r="N1127" s="10"/>
      <c r="O1127" s="18"/>
      <c r="P1127" s="18"/>
      <c r="Q1127" s="21"/>
      <c r="R1127" s="20"/>
      <c r="S1127" s="16">
        <f t="shared" si="789"/>
        <v>0</v>
      </c>
      <c r="T1127" s="11"/>
      <c r="AS1127" s="31">
        <f t="shared" si="790"/>
        <v>0</v>
      </c>
      <c r="AT1127" s="31">
        <f t="shared" si="791"/>
        <v>0</v>
      </c>
      <c r="AU1127" s="31">
        <f t="shared" si="792"/>
        <v>0</v>
      </c>
      <c r="AV1127" s="31">
        <f t="shared" si="793"/>
        <v>0</v>
      </c>
      <c r="AW1127" s="31">
        <f t="shared" si="794"/>
        <v>0</v>
      </c>
      <c r="AX1127" s="31">
        <f t="shared" si="795"/>
        <v>0</v>
      </c>
      <c r="AY1127" s="31">
        <f t="shared" si="796"/>
        <v>0</v>
      </c>
      <c r="AZ1127" s="31">
        <f t="shared" si="797"/>
        <v>0</v>
      </c>
      <c r="BA1127" s="31">
        <f t="shared" si="798"/>
        <v>0</v>
      </c>
      <c r="BB1127" s="31">
        <f t="shared" si="827"/>
        <v>0</v>
      </c>
      <c r="BM1127" s="8">
        <f t="shared" si="828"/>
        <v>0</v>
      </c>
      <c r="BN1127" s="8">
        <f t="shared" si="799"/>
        <v>0</v>
      </c>
      <c r="BO1127" s="8">
        <f t="shared" si="800"/>
        <v>0</v>
      </c>
      <c r="BQ1127" s="8">
        <f t="shared" si="801"/>
        <v>0</v>
      </c>
      <c r="BR1127" s="63">
        <f t="shared" si="802"/>
        <v>0</v>
      </c>
      <c r="BS1127" s="63">
        <f t="shared" si="829"/>
        <v>0</v>
      </c>
      <c r="BT1127" s="63">
        <f t="shared" si="803"/>
        <v>0</v>
      </c>
      <c r="BU1127" s="63">
        <f t="shared" si="804"/>
        <v>0</v>
      </c>
      <c r="BV1127" s="57">
        <f t="shared" si="805"/>
        <v>0</v>
      </c>
      <c r="BW1127" s="57">
        <f t="shared" si="806"/>
        <v>0</v>
      </c>
      <c r="BX1127" s="57">
        <f t="shared" si="830"/>
        <v>0</v>
      </c>
      <c r="BY1127" s="57">
        <f t="shared" si="834"/>
        <v>0</v>
      </c>
      <c r="BZ1127" s="8">
        <f t="shared" si="807"/>
        <v>0</v>
      </c>
      <c r="CA1127" s="8">
        <f t="shared" si="808"/>
        <v>0</v>
      </c>
      <c r="CB1127" s="8">
        <f t="shared" si="809"/>
        <v>0</v>
      </c>
      <c r="CC1127" s="8">
        <f t="shared" si="810"/>
        <v>0</v>
      </c>
      <c r="CD1127" s="8">
        <f t="shared" si="811"/>
        <v>0</v>
      </c>
      <c r="CE1127" s="8">
        <f t="shared" si="812"/>
        <v>0</v>
      </c>
      <c r="CF1127" s="8">
        <f t="shared" si="813"/>
        <v>0</v>
      </c>
      <c r="CG1127" s="8">
        <f t="shared" si="814"/>
        <v>0</v>
      </c>
      <c r="CH1127" s="8">
        <f t="shared" si="815"/>
        <v>0</v>
      </c>
      <c r="CI1127" s="8">
        <f t="shared" si="816"/>
        <v>0</v>
      </c>
      <c r="CJ1127" s="8">
        <f t="shared" si="817"/>
        <v>0</v>
      </c>
      <c r="CK1127" s="8">
        <f t="shared" si="818"/>
        <v>0</v>
      </c>
      <c r="CL1127" s="8">
        <f t="shared" si="819"/>
        <v>0</v>
      </c>
      <c r="CM1127" s="8">
        <f t="shared" si="820"/>
        <v>0</v>
      </c>
      <c r="CN1127" s="8">
        <f t="shared" si="821"/>
        <v>0</v>
      </c>
      <c r="CO1127" s="8">
        <f t="shared" si="822"/>
        <v>0</v>
      </c>
      <c r="CP1127" s="8">
        <f t="shared" si="823"/>
        <v>0</v>
      </c>
      <c r="CQ1127" s="8">
        <f t="shared" si="824"/>
        <v>0</v>
      </c>
      <c r="CR1127" s="8">
        <f t="shared" si="825"/>
        <v>0</v>
      </c>
      <c r="CS1127" s="8">
        <f t="shared" si="826"/>
        <v>0</v>
      </c>
      <c r="CT1127" s="8">
        <f t="shared" si="831"/>
        <v>0</v>
      </c>
      <c r="CU1127" s="8">
        <f t="shared" si="832"/>
        <v>0</v>
      </c>
      <c r="CV1127" s="8">
        <f t="shared" si="833"/>
        <v>0</v>
      </c>
    </row>
    <row r="1128" spans="1:100" ht="20.5" thickTop="1" thickBot="1" x14ac:dyDescent="0.5">
      <c r="A1128" s="32"/>
      <c r="B1128" s="10"/>
      <c r="C1128" s="10"/>
      <c r="D1128" s="11"/>
      <c r="E1128" s="10"/>
      <c r="F1128" s="10"/>
      <c r="G1128" s="19"/>
      <c r="H1128" s="19"/>
      <c r="I1128" s="19"/>
      <c r="J1128" s="19"/>
      <c r="K1128" s="10"/>
      <c r="L1128" s="10"/>
      <c r="M1128" s="10"/>
      <c r="N1128" s="10"/>
      <c r="O1128" s="18"/>
      <c r="P1128" s="18"/>
      <c r="Q1128" s="21"/>
      <c r="R1128" s="20"/>
      <c r="S1128" s="16">
        <f t="shared" si="789"/>
        <v>0</v>
      </c>
      <c r="T1128" s="11"/>
      <c r="AS1128" s="31">
        <f t="shared" si="790"/>
        <v>0</v>
      </c>
      <c r="AT1128" s="31">
        <f t="shared" si="791"/>
        <v>0</v>
      </c>
      <c r="AU1128" s="31">
        <f t="shared" si="792"/>
        <v>0</v>
      </c>
      <c r="AV1128" s="31">
        <f t="shared" si="793"/>
        <v>0</v>
      </c>
      <c r="AW1128" s="31">
        <f t="shared" si="794"/>
        <v>0</v>
      </c>
      <c r="AX1128" s="31">
        <f t="shared" si="795"/>
        <v>0</v>
      </c>
      <c r="AY1128" s="31">
        <f t="shared" si="796"/>
        <v>0</v>
      </c>
      <c r="AZ1128" s="31">
        <f t="shared" si="797"/>
        <v>0</v>
      </c>
      <c r="BA1128" s="31">
        <f t="shared" si="798"/>
        <v>0</v>
      </c>
      <c r="BB1128" s="31">
        <f t="shared" si="827"/>
        <v>0</v>
      </c>
      <c r="BM1128" s="8">
        <f t="shared" si="828"/>
        <v>0</v>
      </c>
      <c r="BN1128" s="8">
        <f t="shared" si="799"/>
        <v>0</v>
      </c>
      <c r="BO1128" s="8">
        <f t="shared" si="800"/>
        <v>0</v>
      </c>
      <c r="BQ1128" s="8">
        <f t="shared" si="801"/>
        <v>0</v>
      </c>
      <c r="BR1128" s="63">
        <f t="shared" si="802"/>
        <v>0</v>
      </c>
      <c r="BS1128" s="63">
        <f t="shared" si="829"/>
        <v>0</v>
      </c>
      <c r="BT1128" s="63">
        <f t="shared" si="803"/>
        <v>0</v>
      </c>
      <c r="BU1128" s="63">
        <f t="shared" si="804"/>
        <v>0</v>
      </c>
      <c r="BV1128" s="57">
        <f t="shared" si="805"/>
        <v>0</v>
      </c>
      <c r="BW1128" s="57">
        <f t="shared" si="806"/>
        <v>0</v>
      </c>
      <c r="BX1128" s="57">
        <f t="shared" si="830"/>
        <v>0</v>
      </c>
      <c r="BY1128" s="57">
        <f t="shared" si="834"/>
        <v>0</v>
      </c>
      <c r="BZ1128" s="8">
        <f t="shared" si="807"/>
        <v>0</v>
      </c>
      <c r="CA1128" s="8">
        <f t="shared" si="808"/>
        <v>0</v>
      </c>
      <c r="CB1128" s="8">
        <f t="shared" si="809"/>
        <v>0</v>
      </c>
      <c r="CC1128" s="8">
        <f t="shared" si="810"/>
        <v>0</v>
      </c>
      <c r="CD1128" s="8">
        <f t="shared" si="811"/>
        <v>0</v>
      </c>
      <c r="CE1128" s="8">
        <f t="shared" si="812"/>
        <v>0</v>
      </c>
      <c r="CF1128" s="8">
        <f t="shared" si="813"/>
        <v>0</v>
      </c>
      <c r="CG1128" s="8">
        <f t="shared" si="814"/>
        <v>0</v>
      </c>
      <c r="CH1128" s="8">
        <f t="shared" si="815"/>
        <v>0</v>
      </c>
      <c r="CI1128" s="8">
        <f t="shared" si="816"/>
        <v>0</v>
      </c>
      <c r="CJ1128" s="8">
        <f t="shared" si="817"/>
        <v>0</v>
      </c>
      <c r="CK1128" s="8">
        <f t="shared" si="818"/>
        <v>0</v>
      </c>
      <c r="CL1128" s="8">
        <f t="shared" si="819"/>
        <v>0</v>
      </c>
      <c r="CM1128" s="8">
        <f t="shared" si="820"/>
        <v>0</v>
      </c>
      <c r="CN1128" s="8">
        <f t="shared" si="821"/>
        <v>0</v>
      </c>
      <c r="CO1128" s="8">
        <f t="shared" si="822"/>
        <v>0</v>
      </c>
      <c r="CP1128" s="8">
        <f t="shared" si="823"/>
        <v>0</v>
      </c>
      <c r="CQ1128" s="8">
        <f t="shared" si="824"/>
        <v>0</v>
      </c>
      <c r="CR1128" s="8">
        <f t="shared" si="825"/>
        <v>0</v>
      </c>
      <c r="CS1128" s="8">
        <f t="shared" si="826"/>
        <v>0</v>
      </c>
      <c r="CT1128" s="8">
        <f t="shared" si="831"/>
        <v>0</v>
      </c>
      <c r="CU1128" s="8">
        <f t="shared" si="832"/>
        <v>0</v>
      </c>
      <c r="CV1128" s="8">
        <f t="shared" si="833"/>
        <v>0</v>
      </c>
    </row>
    <row r="1129" spans="1:100" ht="20.5" thickTop="1" thickBot="1" x14ac:dyDescent="0.5">
      <c r="A1129" s="32"/>
      <c r="B1129" s="10"/>
      <c r="C1129" s="10"/>
      <c r="D1129" s="11"/>
      <c r="E1129" s="10"/>
      <c r="F1129" s="10"/>
      <c r="G1129" s="19"/>
      <c r="H1129" s="19"/>
      <c r="I1129" s="19"/>
      <c r="J1129" s="19"/>
      <c r="K1129" s="10"/>
      <c r="L1129" s="10"/>
      <c r="M1129" s="10"/>
      <c r="N1129" s="10"/>
      <c r="O1129" s="18"/>
      <c r="P1129" s="18"/>
      <c r="Q1129" s="21"/>
      <c r="R1129" s="20"/>
      <c r="S1129" s="16">
        <f t="shared" si="789"/>
        <v>0</v>
      </c>
      <c r="T1129" s="11"/>
      <c r="AS1129" s="31">
        <f t="shared" si="790"/>
        <v>0</v>
      </c>
      <c r="AT1129" s="31">
        <f t="shared" si="791"/>
        <v>0</v>
      </c>
      <c r="AU1129" s="31">
        <f t="shared" si="792"/>
        <v>0</v>
      </c>
      <c r="AV1129" s="31">
        <f t="shared" si="793"/>
        <v>0</v>
      </c>
      <c r="AW1129" s="31">
        <f t="shared" si="794"/>
        <v>0</v>
      </c>
      <c r="AX1129" s="31">
        <f t="shared" si="795"/>
        <v>0</v>
      </c>
      <c r="AY1129" s="31">
        <f t="shared" si="796"/>
        <v>0</v>
      </c>
      <c r="AZ1129" s="31">
        <f t="shared" si="797"/>
        <v>0</v>
      </c>
      <c r="BA1129" s="31">
        <f t="shared" si="798"/>
        <v>0</v>
      </c>
      <c r="BB1129" s="31">
        <f t="shared" si="827"/>
        <v>0</v>
      </c>
      <c r="BM1129" s="8">
        <f t="shared" si="828"/>
        <v>0</v>
      </c>
      <c r="BN1129" s="8">
        <f t="shared" si="799"/>
        <v>0</v>
      </c>
      <c r="BO1129" s="8">
        <f t="shared" si="800"/>
        <v>0</v>
      </c>
      <c r="BQ1129" s="8">
        <f t="shared" si="801"/>
        <v>0</v>
      </c>
      <c r="BR1129" s="63">
        <f t="shared" si="802"/>
        <v>0</v>
      </c>
      <c r="BS1129" s="63">
        <f t="shared" si="829"/>
        <v>0</v>
      </c>
      <c r="BT1129" s="63">
        <f t="shared" si="803"/>
        <v>0</v>
      </c>
      <c r="BU1129" s="63">
        <f t="shared" si="804"/>
        <v>0</v>
      </c>
      <c r="BV1129" s="57">
        <f t="shared" si="805"/>
        <v>0</v>
      </c>
      <c r="BW1129" s="57">
        <f t="shared" si="806"/>
        <v>0</v>
      </c>
      <c r="BX1129" s="57">
        <f t="shared" si="830"/>
        <v>0</v>
      </c>
      <c r="BY1129" s="57">
        <f t="shared" si="834"/>
        <v>0</v>
      </c>
      <c r="BZ1129" s="8">
        <f t="shared" si="807"/>
        <v>0</v>
      </c>
      <c r="CA1129" s="8">
        <f t="shared" si="808"/>
        <v>0</v>
      </c>
      <c r="CB1129" s="8">
        <f t="shared" si="809"/>
        <v>0</v>
      </c>
      <c r="CC1129" s="8">
        <f t="shared" si="810"/>
        <v>0</v>
      </c>
      <c r="CD1129" s="8">
        <f t="shared" si="811"/>
        <v>0</v>
      </c>
      <c r="CE1129" s="8">
        <f t="shared" si="812"/>
        <v>0</v>
      </c>
      <c r="CF1129" s="8">
        <f t="shared" si="813"/>
        <v>0</v>
      </c>
      <c r="CG1129" s="8">
        <f t="shared" si="814"/>
        <v>0</v>
      </c>
      <c r="CH1129" s="8">
        <f t="shared" si="815"/>
        <v>0</v>
      </c>
      <c r="CI1129" s="8">
        <f t="shared" si="816"/>
        <v>0</v>
      </c>
      <c r="CJ1129" s="8">
        <f t="shared" si="817"/>
        <v>0</v>
      </c>
      <c r="CK1129" s="8">
        <f t="shared" si="818"/>
        <v>0</v>
      </c>
      <c r="CL1129" s="8">
        <f t="shared" si="819"/>
        <v>0</v>
      </c>
      <c r="CM1129" s="8">
        <f t="shared" si="820"/>
        <v>0</v>
      </c>
      <c r="CN1129" s="8">
        <f t="shared" si="821"/>
        <v>0</v>
      </c>
      <c r="CO1129" s="8">
        <f t="shared" si="822"/>
        <v>0</v>
      </c>
      <c r="CP1129" s="8">
        <f t="shared" si="823"/>
        <v>0</v>
      </c>
      <c r="CQ1129" s="8">
        <f t="shared" si="824"/>
        <v>0</v>
      </c>
      <c r="CR1129" s="8">
        <f t="shared" si="825"/>
        <v>0</v>
      </c>
      <c r="CS1129" s="8">
        <f t="shared" si="826"/>
        <v>0</v>
      </c>
      <c r="CT1129" s="8">
        <f t="shared" si="831"/>
        <v>0</v>
      </c>
      <c r="CU1129" s="8">
        <f t="shared" si="832"/>
        <v>0</v>
      </c>
      <c r="CV1129" s="8">
        <f t="shared" si="833"/>
        <v>0</v>
      </c>
    </row>
    <row r="1130" spans="1:100" ht="20.5" thickTop="1" thickBot="1" x14ac:dyDescent="0.5">
      <c r="A1130" s="32"/>
      <c r="B1130" s="10"/>
      <c r="C1130" s="10"/>
      <c r="D1130" s="11"/>
      <c r="E1130" s="10"/>
      <c r="F1130" s="10"/>
      <c r="G1130" s="19"/>
      <c r="H1130" s="19"/>
      <c r="I1130" s="19"/>
      <c r="J1130" s="19"/>
      <c r="K1130" s="10"/>
      <c r="L1130" s="10"/>
      <c r="M1130" s="10"/>
      <c r="N1130" s="10"/>
      <c r="O1130" s="18"/>
      <c r="P1130" s="18"/>
      <c r="Q1130" s="21"/>
      <c r="R1130" s="20"/>
      <c r="S1130" s="16">
        <f t="shared" si="789"/>
        <v>0</v>
      </c>
      <c r="T1130" s="11"/>
      <c r="AS1130" s="31">
        <f t="shared" si="790"/>
        <v>0</v>
      </c>
      <c r="AT1130" s="31">
        <f t="shared" si="791"/>
        <v>0</v>
      </c>
      <c r="AU1130" s="31">
        <f t="shared" si="792"/>
        <v>0</v>
      </c>
      <c r="AV1130" s="31">
        <f t="shared" si="793"/>
        <v>0</v>
      </c>
      <c r="AW1130" s="31">
        <f t="shared" si="794"/>
        <v>0</v>
      </c>
      <c r="AX1130" s="31">
        <f t="shared" si="795"/>
        <v>0</v>
      </c>
      <c r="AY1130" s="31">
        <f t="shared" si="796"/>
        <v>0</v>
      </c>
      <c r="AZ1130" s="31">
        <f t="shared" si="797"/>
        <v>0</v>
      </c>
      <c r="BA1130" s="31">
        <f t="shared" si="798"/>
        <v>0</v>
      </c>
      <c r="BB1130" s="31">
        <f t="shared" si="827"/>
        <v>0</v>
      </c>
      <c r="BM1130" s="8">
        <f t="shared" si="828"/>
        <v>0</v>
      </c>
      <c r="BN1130" s="8">
        <f t="shared" si="799"/>
        <v>0</v>
      </c>
      <c r="BO1130" s="8">
        <f t="shared" si="800"/>
        <v>0</v>
      </c>
      <c r="BQ1130" s="8">
        <f t="shared" si="801"/>
        <v>0</v>
      </c>
      <c r="BR1130" s="63">
        <f t="shared" si="802"/>
        <v>0</v>
      </c>
      <c r="BS1130" s="63">
        <f t="shared" si="829"/>
        <v>0</v>
      </c>
      <c r="BT1130" s="63">
        <f t="shared" si="803"/>
        <v>0</v>
      </c>
      <c r="BU1130" s="63">
        <f t="shared" si="804"/>
        <v>0</v>
      </c>
      <c r="BV1130" s="57">
        <f t="shared" si="805"/>
        <v>0</v>
      </c>
      <c r="BW1130" s="57">
        <f t="shared" si="806"/>
        <v>0</v>
      </c>
      <c r="BX1130" s="57">
        <f t="shared" si="830"/>
        <v>0</v>
      </c>
      <c r="BY1130" s="57">
        <f t="shared" si="834"/>
        <v>0</v>
      </c>
      <c r="BZ1130" s="8">
        <f t="shared" si="807"/>
        <v>0</v>
      </c>
      <c r="CA1130" s="8">
        <f t="shared" si="808"/>
        <v>0</v>
      </c>
      <c r="CB1130" s="8">
        <f t="shared" si="809"/>
        <v>0</v>
      </c>
      <c r="CC1130" s="8">
        <f t="shared" si="810"/>
        <v>0</v>
      </c>
      <c r="CD1130" s="8">
        <f t="shared" si="811"/>
        <v>0</v>
      </c>
      <c r="CE1130" s="8">
        <f t="shared" si="812"/>
        <v>0</v>
      </c>
      <c r="CF1130" s="8">
        <f t="shared" si="813"/>
        <v>0</v>
      </c>
      <c r="CG1130" s="8">
        <f t="shared" si="814"/>
        <v>0</v>
      </c>
      <c r="CH1130" s="8">
        <f t="shared" si="815"/>
        <v>0</v>
      </c>
      <c r="CI1130" s="8">
        <f t="shared" si="816"/>
        <v>0</v>
      </c>
      <c r="CJ1130" s="8">
        <f t="shared" si="817"/>
        <v>0</v>
      </c>
      <c r="CK1130" s="8">
        <f t="shared" si="818"/>
        <v>0</v>
      </c>
      <c r="CL1130" s="8">
        <f t="shared" si="819"/>
        <v>0</v>
      </c>
      <c r="CM1130" s="8">
        <f t="shared" si="820"/>
        <v>0</v>
      </c>
      <c r="CN1130" s="8">
        <f t="shared" si="821"/>
        <v>0</v>
      </c>
      <c r="CO1130" s="8">
        <f t="shared" si="822"/>
        <v>0</v>
      </c>
      <c r="CP1130" s="8">
        <f t="shared" si="823"/>
        <v>0</v>
      </c>
      <c r="CQ1130" s="8">
        <f t="shared" si="824"/>
        <v>0</v>
      </c>
      <c r="CR1130" s="8">
        <f t="shared" si="825"/>
        <v>0</v>
      </c>
      <c r="CS1130" s="8">
        <f t="shared" si="826"/>
        <v>0</v>
      </c>
      <c r="CT1130" s="8">
        <f t="shared" si="831"/>
        <v>0</v>
      </c>
      <c r="CU1130" s="8">
        <f t="shared" si="832"/>
        <v>0</v>
      </c>
      <c r="CV1130" s="8">
        <f t="shared" si="833"/>
        <v>0</v>
      </c>
    </row>
    <row r="1131" spans="1:100" ht="20.5" thickTop="1" thickBot="1" x14ac:dyDescent="0.5">
      <c r="A1131" s="32"/>
      <c r="B1131" s="10"/>
      <c r="C1131" s="10"/>
      <c r="D1131" s="11"/>
      <c r="E1131" s="10"/>
      <c r="F1131" s="10"/>
      <c r="G1131" s="19"/>
      <c r="H1131" s="19"/>
      <c r="I1131" s="19"/>
      <c r="J1131" s="19"/>
      <c r="K1131" s="10"/>
      <c r="L1131" s="10"/>
      <c r="M1131" s="10"/>
      <c r="N1131" s="10"/>
      <c r="O1131" s="18"/>
      <c r="P1131" s="18"/>
      <c r="Q1131" s="21"/>
      <c r="R1131" s="20"/>
      <c r="S1131" s="16">
        <f t="shared" si="789"/>
        <v>0</v>
      </c>
      <c r="T1131" s="11"/>
      <c r="AS1131" s="31">
        <f t="shared" si="790"/>
        <v>0</v>
      </c>
      <c r="AT1131" s="31">
        <f t="shared" si="791"/>
        <v>0</v>
      </c>
      <c r="AU1131" s="31">
        <f t="shared" si="792"/>
        <v>0</v>
      </c>
      <c r="AV1131" s="31">
        <f t="shared" si="793"/>
        <v>0</v>
      </c>
      <c r="AW1131" s="31">
        <f t="shared" si="794"/>
        <v>0</v>
      </c>
      <c r="AX1131" s="31">
        <f t="shared" si="795"/>
        <v>0</v>
      </c>
      <c r="AY1131" s="31">
        <f t="shared" si="796"/>
        <v>0</v>
      </c>
      <c r="AZ1131" s="31">
        <f t="shared" si="797"/>
        <v>0</v>
      </c>
      <c r="BA1131" s="31">
        <f t="shared" si="798"/>
        <v>0</v>
      </c>
      <c r="BB1131" s="31">
        <f t="shared" si="827"/>
        <v>0</v>
      </c>
      <c r="BM1131" s="8">
        <f t="shared" si="828"/>
        <v>0</v>
      </c>
      <c r="BN1131" s="8">
        <f t="shared" si="799"/>
        <v>0</v>
      </c>
      <c r="BO1131" s="8">
        <f t="shared" si="800"/>
        <v>0</v>
      </c>
      <c r="BQ1131" s="8">
        <f t="shared" si="801"/>
        <v>0</v>
      </c>
      <c r="BR1131" s="63">
        <f t="shared" si="802"/>
        <v>0</v>
      </c>
      <c r="BS1131" s="63">
        <f t="shared" si="829"/>
        <v>0</v>
      </c>
      <c r="BT1131" s="63">
        <f t="shared" si="803"/>
        <v>0</v>
      </c>
      <c r="BU1131" s="63">
        <f t="shared" si="804"/>
        <v>0</v>
      </c>
      <c r="BV1131" s="57">
        <f t="shared" si="805"/>
        <v>0</v>
      </c>
      <c r="BW1131" s="57">
        <f t="shared" si="806"/>
        <v>0</v>
      </c>
      <c r="BX1131" s="57">
        <f t="shared" si="830"/>
        <v>0</v>
      </c>
      <c r="BY1131" s="57">
        <f t="shared" si="834"/>
        <v>0</v>
      </c>
      <c r="BZ1131" s="8">
        <f t="shared" si="807"/>
        <v>0</v>
      </c>
      <c r="CA1131" s="8">
        <f t="shared" si="808"/>
        <v>0</v>
      </c>
      <c r="CB1131" s="8">
        <f t="shared" si="809"/>
        <v>0</v>
      </c>
      <c r="CC1131" s="8">
        <f t="shared" si="810"/>
        <v>0</v>
      </c>
      <c r="CD1131" s="8">
        <f t="shared" si="811"/>
        <v>0</v>
      </c>
      <c r="CE1131" s="8">
        <f t="shared" si="812"/>
        <v>0</v>
      </c>
      <c r="CF1131" s="8">
        <f t="shared" si="813"/>
        <v>0</v>
      </c>
      <c r="CG1131" s="8">
        <f t="shared" si="814"/>
        <v>0</v>
      </c>
      <c r="CH1131" s="8">
        <f t="shared" si="815"/>
        <v>0</v>
      </c>
      <c r="CI1131" s="8">
        <f t="shared" si="816"/>
        <v>0</v>
      </c>
      <c r="CJ1131" s="8">
        <f t="shared" si="817"/>
        <v>0</v>
      </c>
      <c r="CK1131" s="8">
        <f t="shared" si="818"/>
        <v>0</v>
      </c>
      <c r="CL1131" s="8">
        <f t="shared" si="819"/>
        <v>0</v>
      </c>
      <c r="CM1131" s="8">
        <f t="shared" si="820"/>
        <v>0</v>
      </c>
      <c r="CN1131" s="8">
        <f t="shared" si="821"/>
        <v>0</v>
      </c>
      <c r="CO1131" s="8">
        <f t="shared" si="822"/>
        <v>0</v>
      </c>
      <c r="CP1131" s="8">
        <f t="shared" si="823"/>
        <v>0</v>
      </c>
      <c r="CQ1131" s="8">
        <f t="shared" si="824"/>
        <v>0</v>
      </c>
      <c r="CR1131" s="8">
        <f t="shared" si="825"/>
        <v>0</v>
      </c>
      <c r="CS1131" s="8">
        <f t="shared" si="826"/>
        <v>0</v>
      </c>
      <c r="CT1131" s="8">
        <f t="shared" si="831"/>
        <v>0</v>
      </c>
      <c r="CU1131" s="8">
        <f t="shared" si="832"/>
        <v>0</v>
      </c>
      <c r="CV1131" s="8">
        <f t="shared" si="833"/>
        <v>0</v>
      </c>
    </row>
    <row r="1132" spans="1:100" ht="20.5" thickTop="1" thickBot="1" x14ac:dyDescent="0.5">
      <c r="A1132" s="32"/>
      <c r="B1132" s="10"/>
      <c r="C1132" s="10"/>
      <c r="D1132" s="11"/>
      <c r="E1132" s="10"/>
      <c r="F1132" s="10"/>
      <c r="G1132" s="19"/>
      <c r="H1132" s="19"/>
      <c r="I1132" s="19"/>
      <c r="J1132" s="19"/>
      <c r="K1132" s="10"/>
      <c r="L1132" s="10"/>
      <c r="M1132" s="10"/>
      <c r="N1132" s="10"/>
      <c r="O1132" s="18"/>
      <c r="P1132" s="18"/>
      <c r="Q1132" s="21"/>
      <c r="R1132" s="20"/>
      <c r="S1132" s="16">
        <f t="shared" si="789"/>
        <v>0</v>
      </c>
      <c r="T1132" s="11"/>
      <c r="AS1132" s="31">
        <f t="shared" si="790"/>
        <v>0</v>
      </c>
      <c r="AT1132" s="31">
        <f t="shared" si="791"/>
        <v>0</v>
      </c>
      <c r="AU1132" s="31">
        <f t="shared" si="792"/>
        <v>0</v>
      </c>
      <c r="AV1132" s="31">
        <f t="shared" si="793"/>
        <v>0</v>
      </c>
      <c r="AW1132" s="31">
        <f t="shared" si="794"/>
        <v>0</v>
      </c>
      <c r="AX1132" s="31">
        <f t="shared" si="795"/>
        <v>0</v>
      </c>
      <c r="AY1132" s="31">
        <f t="shared" si="796"/>
        <v>0</v>
      </c>
      <c r="AZ1132" s="31">
        <f t="shared" si="797"/>
        <v>0</v>
      </c>
      <c r="BA1132" s="31">
        <f t="shared" si="798"/>
        <v>0</v>
      </c>
      <c r="BB1132" s="31">
        <f t="shared" si="827"/>
        <v>0</v>
      </c>
      <c r="BM1132" s="8">
        <f t="shared" si="828"/>
        <v>0</v>
      </c>
      <c r="BN1132" s="8">
        <f t="shared" si="799"/>
        <v>0</v>
      </c>
      <c r="BO1132" s="8">
        <f t="shared" si="800"/>
        <v>0</v>
      </c>
      <c r="BQ1132" s="8">
        <f t="shared" si="801"/>
        <v>0</v>
      </c>
      <c r="BR1132" s="63">
        <f t="shared" si="802"/>
        <v>0</v>
      </c>
      <c r="BS1132" s="63">
        <f t="shared" si="829"/>
        <v>0</v>
      </c>
      <c r="BT1132" s="63">
        <f t="shared" si="803"/>
        <v>0</v>
      </c>
      <c r="BU1132" s="63">
        <f t="shared" si="804"/>
        <v>0</v>
      </c>
      <c r="BV1132" s="57">
        <f t="shared" si="805"/>
        <v>0</v>
      </c>
      <c r="BW1132" s="57">
        <f t="shared" si="806"/>
        <v>0</v>
      </c>
      <c r="BX1132" s="57">
        <f t="shared" si="830"/>
        <v>0</v>
      </c>
      <c r="BY1132" s="57">
        <f t="shared" si="834"/>
        <v>0</v>
      </c>
      <c r="BZ1132" s="8">
        <f t="shared" si="807"/>
        <v>0</v>
      </c>
      <c r="CA1132" s="8">
        <f t="shared" si="808"/>
        <v>0</v>
      </c>
      <c r="CB1132" s="8">
        <f t="shared" si="809"/>
        <v>0</v>
      </c>
      <c r="CC1132" s="8">
        <f t="shared" si="810"/>
        <v>0</v>
      </c>
      <c r="CD1132" s="8">
        <f t="shared" si="811"/>
        <v>0</v>
      </c>
      <c r="CE1132" s="8">
        <f t="shared" si="812"/>
        <v>0</v>
      </c>
      <c r="CF1132" s="8">
        <f t="shared" si="813"/>
        <v>0</v>
      </c>
      <c r="CG1132" s="8">
        <f t="shared" si="814"/>
        <v>0</v>
      </c>
      <c r="CH1132" s="8">
        <f t="shared" si="815"/>
        <v>0</v>
      </c>
      <c r="CI1132" s="8">
        <f t="shared" si="816"/>
        <v>0</v>
      </c>
      <c r="CJ1132" s="8">
        <f t="shared" si="817"/>
        <v>0</v>
      </c>
      <c r="CK1132" s="8">
        <f t="shared" si="818"/>
        <v>0</v>
      </c>
      <c r="CL1132" s="8">
        <f t="shared" si="819"/>
        <v>0</v>
      </c>
      <c r="CM1132" s="8">
        <f t="shared" si="820"/>
        <v>0</v>
      </c>
      <c r="CN1132" s="8">
        <f t="shared" si="821"/>
        <v>0</v>
      </c>
      <c r="CO1132" s="8">
        <f t="shared" si="822"/>
        <v>0</v>
      </c>
      <c r="CP1132" s="8">
        <f t="shared" si="823"/>
        <v>0</v>
      </c>
      <c r="CQ1132" s="8">
        <f t="shared" si="824"/>
        <v>0</v>
      </c>
      <c r="CR1132" s="8">
        <f t="shared" si="825"/>
        <v>0</v>
      </c>
      <c r="CS1132" s="8">
        <f t="shared" si="826"/>
        <v>0</v>
      </c>
      <c r="CT1132" s="8">
        <f t="shared" si="831"/>
        <v>0</v>
      </c>
      <c r="CU1132" s="8">
        <f t="shared" si="832"/>
        <v>0</v>
      </c>
      <c r="CV1132" s="8">
        <f t="shared" si="833"/>
        <v>0</v>
      </c>
    </row>
    <row r="1133" spans="1:100" ht="20.5" thickTop="1" thickBot="1" x14ac:dyDescent="0.5">
      <c r="A1133" s="32"/>
      <c r="B1133" s="10"/>
      <c r="C1133" s="10"/>
      <c r="D1133" s="11"/>
      <c r="E1133" s="10"/>
      <c r="F1133" s="10"/>
      <c r="G1133" s="19"/>
      <c r="H1133" s="19"/>
      <c r="I1133" s="19"/>
      <c r="J1133" s="19"/>
      <c r="K1133" s="10"/>
      <c r="L1133" s="10"/>
      <c r="M1133" s="10"/>
      <c r="N1133" s="10"/>
      <c r="O1133" s="18"/>
      <c r="P1133" s="18"/>
      <c r="Q1133" s="21"/>
      <c r="R1133" s="20"/>
      <c r="S1133" s="16">
        <f t="shared" si="789"/>
        <v>0</v>
      </c>
      <c r="T1133" s="11"/>
      <c r="AS1133" s="31">
        <f t="shared" si="790"/>
        <v>0</v>
      </c>
      <c r="AT1133" s="31">
        <f t="shared" si="791"/>
        <v>0</v>
      </c>
      <c r="AU1133" s="31">
        <f t="shared" si="792"/>
        <v>0</v>
      </c>
      <c r="AV1133" s="31">
        <f t="shared" si="793"/>
        <v>0</v>
      </c>
      <c r="AW1133" s="31">
        <f t="shared" si="794"/>
        <v>0</v>
      </c>
      <c r="AX1133" s="31">
        <f t="shared" si="795"/>
        <v>0</v>
      </c>
      <c r="AY1133" s="31">
        <f t="shared" si="796"/>
        <v>0</v>
      </c>
      <c r="AZ1133" s="31">
        <f t="shared" si="797"/>
        <v>0</v>
      </c>
      <c r="BA1133" s="31">
        <f t="shared" si="798"/>
        <v>0</v>
      </c>
      <c r="BB1133" s="31">
        <f t="shared" si="827"/>
        <v>0</v>
      </c>
      <c r="BM1133" s="8">
        <f t="shared" si="828"/>
        <v>0</v>
      </c>
      <c r="BN1133" s="8">
        <f t="shared" si="799"/>
        <v>0</v>
      </c>
      <c r="BO1133" s="8">
        <f t="shared" si="800"/>
        <v>0</v>
      </c>
      <c r="BQ1133" s="8">
        <f t="shared" si="801"/>
        <v>0</v>
      </c>
      <c r="BR1133" s="63">
        <f t="shared" si="802"/>
        <v>0</v>
      </c>
      <c r="BS1133" s="63">
        <f t="shared" si="829"/>
        <v>0</v>
      </c>
      <c r="BT1133" s="63">
        <f t="shared" si="803"/>
        <v>0</v>
      </c>
      <c r="BU1133" s="63">
        <f t="shared" si="804"/>
        <v>0</v>
      </c>
      <c r="BV1133" s="57">
        <f t="shared" si="805"/>
        <v>0</v>
      </c>
      <c r="BW1133" s="57">
        <f t="shared" si="806"/>
        <v>0</v>
      </c>
      <c r="BX1133" s="57">
        <f t="shared" si="830"/>
        <v>0</v>
      </c>
      <c r="BY1133" s="57">
        <f t="shared" si="834"/>
        <v>0</v>
      </c>
      <c r="BZ1133" s="8">
        <f t="shared" si="807"/>
        <v>0</v>
      </c>
      <c r="CA1133" s="8">
        <f t="shared" si="808"/>
        <v>0</v>
      </c>
      <c r="CB1133" s="8">
        <f t="shared" si="809"/>
        <v>0</v>
      </c>
      <c r="CC1133" s="8">
        <f t="shared" si="810"/>
        <v>0</v>
      </c>
      <c r="CD1133" s="8">
        <f t="shared" si="811"/>
        <v>0</v>
      </c>
      <c r="CE1133" s="8">
        <f t="shared" si="812"/>
        <v>0</v>
      </c>
      <c r="CF1133" s="8">
        <f t="shared" si="813"/>
        <v>0</v>
      </c>
      <c r="CG1133" s="8">
        <f t="shared" si="814"/>
        <v>0</v>
      </c>
      <c r="CH1133" s="8">
        <f t="shared" si="815"/>
        <v>0</v>
      </c>
      <c r="CI1133" s="8">
        <f t="shared" si="816"/>
        <v>0</v>
      </c>
      <c r="CJ1133" s="8">
        <f t="shared" si="817"/>
        <v>0</v>
      </c>
      <c r="CK1133" s="8">
        <f t="shared" si="818"/>
        <v>0</v>
      </c>
      <c r="CL1133" s="8">
        <f t="shared" si="819"/>
        <v>0</v>
      </c>
      <c r="CM1133" s="8">
        <f t="shared" si="820"/>
        <v>0</v>
      </c>
      <c r="CN1133" s="8">
        <f t="shared" si="821"/>
        <v>0</v>
      </c>
      <c r="CO1133" s="8">
        <f t="shared" si="822"/>
        <v>0</v>
      </c>
      <c r="CP1133" s="8">
        <f t="shared" si="823"/>
        <v>0</v>
      </c>
      <c r="CQ1133" s="8">
        <f t="shared" si="824"/>
        <v>0</v>
      </c>
      <c r="CR1133" s="8">
        <f t="shared" si="825"/>
        <v>0</v>
      </c>
      <c r="CS1133" s="8">
        <f t="shared" si="826"/>
        <v>0</v>
      </c>
      <c r="CT1133" s="8">
        <f t="shared" si="831"/>
        <v>0</v>
      </c>
      <c r="CU1133" s="8">
        <f t="shared" si="832"/>
        <v>0</v>
      </c>
      <c r="CV1133" s="8">
        <f t="shared" si="833"/>
        <v>0</v>
      </c>
    </row>
    <row r="1134" spans="1:100" ht="20.5" thickTop="1" thickBot="1" x14ac:dyDescent="0.5">
      <c r="A1134" s="32"/>
      <c r="B1134" s="10"/>
      <c r="C1134" s="10"/>
      <c r="D1134" s="11"/>
      <c r="E1134" s="10"/>
      <c r="F1134" s="10"/>
      <c r="G1134" s="19"/>
      <c r="H1134" s="19"/>
      <c r="I1134" s="19"/>
      <c r="J1134" s="19"/>
      <c r="K1134" s="10"/>
      <c r="L1134" s="10"/>
      <c r="M1134" s="10"/>
      <c r="N1134" s="10"/>
      <c r="O1134" s="18"/>
      <c r="P1134" s="18"/>
      <c r="Q1134" s="21"/>
      <c r="R1134" s="20"/>
      <c r="S1134" s="16">
        <f t="shared" si="789"/>
        <v>0</v>
      </c>
      <c r="T1134" s="11"/>
      <c r="AS1134" s="31">
        <f t="shared" si="790"/>
        <v>0</v>
      </c>
      <c r="AT1134" s="31">
        <f t="shared" si="791"/>
        <v>0</v>
      </c>
      <c r="AU1134" s="31">
        <f t="shared" si="792"/>
        <v>0</v>
      </c>
      <c r="AV1134" s="31">
        <f t="shared" si="793"/>
        <v>0</v>
      </c>
      <c r="AW1134" s="31">
        <f t="shared" si="794"/>
        <v>0</v>
      </c>
      <c r="AX1134" s="31">
        <f t="shared" si="795"/>
        <v>0</v>
      </c>
      <c r="AY1134" s="31">
        <f t="shared" si="796"/>
        <v>0</v>
      </c>
      <c r="AZ1134" s="31">
        <f t="shared" si="797"/>
        <v>0</v>
      </c>
      <c r="BA1134" s="31">
        <f t="shared" si="798"/>
        <v>0</v>
      </c>
      <c r="BB1134" s="31">
        <f t="shared" si="827"/>
        <v>0</v>
      </c>
      <c r="BM1134" s="8">
        <f t="shared" si="828"/>
        <v>0</v>
      </c>
      <c r="BN1134" s="8">
        <f t="shared" si="799"/>
        <v>0</v>
      </c>
      <c r="BO1134" s="8">
        <f t="shared" si="800"/>
        <v>0</v>
      </c>
      <c r="BQ1134" s="8">
        <f t="shared" si="801"/>
        <v>0</v>
      </c>
      <c r="BR1134" s="63">
        <f t="shared" si="802"/>
        <v>0</v>
      </c>
      <c r="BS1134" s="63">
        <f t="shared" si="829"/>
        <v>0</v>
      </c>
      <c r="BT1134" s="63">
        <f t="shared" si="803"/>
        <v>0</v>
      </c>
      <c r="BU1134" s="63">
        <f t="shared" si="804"/>
        <v>0</v>
      </c>
      <c r="BV1134" s="57">
        <f t="shared" si="805"/>
        <v>0</v>
      </c>
      <c r="BW1134" s="57">
        <f t="shared" si="806"/>
        <v>0</v>
      </c>
      <c r="BX1134" s="57">
        <f t="shared" si="830"/>
        <v>0</v>
      </c>
      <c r="BY1134" s="57">
        <f t="shared" si="834"/>
        <v>0</v>
      </c>
      <c r="BZ1134" s="8">
        <f t="shared" si="807"/>
        <v>0</v>
      </c>
      <c r="CA1134" s="8">
        <f t="shared" si="808"/>
        <v>0</v>
      </c>
      <c r="CB1134" s="8">
        <f t="shared" si="809"/>
        <v>0</v>
      </c>
      <c r="CC1134" s="8">
        <f t="shared" si="810"/>
        <v>0</v>
      </c>
      <c r="CD1134" s="8">
        <f t="shared" si="811"/>
        <v>0</v>
      </c>
      <c r="CE1134" s="8">
        <f t="shared" si="812"/>
        <v>0</v>
      </c>
      <c r="CF1134" s="8">
        <f t="shared" si="813"/>
        <v>0</v>
      </c>
      <c r="CG1134" s="8">
        <f t="shared" si="814"/>
        <v>0</v>
      </c>
      <c r="CH1134" s="8">
        <f t="shared" si="815"/>
        <v>0</v>
      </c>
      <c r="CI1134" s="8">
        <f t="shared" si="816"/>
        <v>0</v>
      </c>
      <c r="CJ1134" s="8">
        <f t="shared" si="817"/>
        <v>0</v>
      </c>
      <c r="CK1134" s="8">
        <f t="shared" si="818"/>
        <v>0</v>
      </c>
      <c r="CL1134" s="8">
        <f t="shared" si="819"/>
        <v>0</v>
      </c>
      <c r="CM1134" s="8">
        <f t="shared" si="820"/>
        <v>0</v>
      </c>
      <c r="CN1134" s="8">
        <f t="shared" si="821"/>
        <v>0</v>
      </c>
      <c r="CO1134" s="8">
        <f t="shared" si="822"/>
        <v>0</v>
      </c>
      <c r="CP1134" s="8">
        <f t="shared" si="823"/>
        <v>0</v>
      </c>
      <c r="CQ1134" s="8">
        <f t="shared" si="824"/>
        <v>0</v>
      </c>
      <c r="CR1134" s="8">
        <f t="shared" si="825"/>
        <v>0</v>
      </c>
      <c r="CS1134" s="8">
        <f t="shared" si="826"/>
        <v>0</v>
      </c>
      <c r="CT1134" s="8">
        <f t="shared" si="831"/>
        <v>0</v>
      </c>
      <c r="CU1134" s="8">
        <f t="shared" si="832"/>
        <v>0</v>
      </c>
      <c r="CV1134" s="8">
        <f t="shared" si="833"/>
        <v>0</v>
      </c>
    </row>
    <row r="1135" spans="1:100" ht="20.5" thickTop="1" thickBot="1" x14ac:dyDescent="0.5">
      <c r="A1135" s="32"/>
      <c r="B1135" s="10"/>
      <c r="C1135" s="10"/>
      <c r="D1135" s="11"/>
      <c r="E1135" s="10"/>
      <c r="F1135" s="10"/>
      <c r="G1135" s="19"/>
      <c r="H1135" s="19"/>
      <c r="I1135" s="19"/>
      <c r="J1135" s="19"/>
      <c r="K1135" s="10"/>
      <c r="L1135" s="10"/>
      <c r="M1135" s="10"/>
      <c r="N1135" s="10"/>
      <c r="O1135" s="18"/>
      <c r="P1135" s="18"/>
      <c r="Q1135" s="21"/>
      <c r="R1135" s="20"/>
      <c r="S1135" s="16">
        <f t="shared" si="789"/>
        <v>0</v>
      </c>
      <c r="T1135" s="11"/>
      <c r="AS1135" s="31">
        <f t="shared" si="790"/>
        <v>0</v>
      </c>
      <c r="AT1135" s="31">
        <f t="shared" si="791"/>
        <v>0</v>
      </c>
      <c r="AU1135" s="31">
        <f t="shared" si="792"/>
        <v>0</v>
      </c>
      <c r="AV1135" s="31">
        <f t="shared" si="793"/>
        <v>0</v>
      </c>
      <c r="AW1135" s="31">
        <f t="shared" si="794"/>
        <v>0</v>
      </c>
      <c r="AX1135" s="31">
        <f t="shared" si="795"/>
        <v>0</v>
      </c>
      <c r="AY1135" s="31">
        <f t="shared" si="796"/>
        <v>0</v>
      </c>
      <c r="AZ1135" s="31">
        <f t="shared" si="797"/>
        <v>0</v>
      </c>
      <c r="BA1135" s="31">
        <f t="shared" si="798"/>
        <v>0</v>
      </c>
      <c r="BB1135" s="31">
        <f t="shared" si="827"/>
        <v>0</v>
      </c>
      <c r="BM1135" s="8">
        <f t="shared" si="828"/>
        <v>0</v>
      </c>
      <c r="BN1135" s="8">
        <f t="shared" si="799"/>
        <v>0</v>
      </c>
      <c r="BO1135" s="8">
        <f t="shared" si="800"/>
        <v>0</v>
      </c>
      <c r="BQ1135" s="8">
        <f t="shared" si="801"/>
        <v>0</v>
      </c>
      <c r="BR1135" s="63">
        <f t="shared" si="802"/>
        <v>0</v>
      </c>
      <c r="BS1135" s="63">
        <f t="shared" si="829"/>
        <v>0</v>
      </c>
      <c r="BT1135" s="63">
        <f t="shared" si="803"/>
        <v>0</v>
      </c>
      <c r="BU1135" s="63">
        <f t="shared" si="804"/>
        <v>0</v>
      </c>
      <c r="BV1135" s="57">
        <f t="shared" si="805"/>
        <v>0</v>
      </c>
      <c r="BW1135" s="57">
        <f t="shared" si="806"/>
        <v>0</v>
      </c>
      <c r="BX1135" s="57">
        <f t="shared" si="830"/>
        <v>0</v>
      </c>
      <c r="BY1135" s="57">
        <f t="shared" si="834"/>
        <v>0</v>
      </c>
      <c r="BZ1135" s="8">
        <f t="shared" si="807"/>
        <v>0</v>
      </c>
      <c r="CA1135" s="8">
        <f t="shared" si="808"/>
        <v>0</v>
      </c>
      <c r="CB1135" s="8">
        <f t="shared" si="809"/>
        <v>0</v>
      </c>
      <c r="CC1135" s="8">
        <f t="shared" si="810"/>
        <v>0</v>
      </c>
      <c r="CD1135" s="8">
        <f t="shared" si="811"/>
        <v>0</v>
      </c>
      <c r="CE1135" s="8">
        <f t="shared" si="812"/>
        <v>0</v>
      </c>
      <c r="CF1135" s="8">
        <f t="shared" si="813"/>
        <v>0</v>
      </c>
      <c r="CG1135" s="8">
        <f t="shared" si="814"/>
        <v>0</v>
      </c>
      <c r="CH1135" s="8">
        <f t="shared" si="815"/>
        <v>0</v>
      </c>
      <c r="CI1135" s="8">
        <f t="shared" si="816"/>
        <v>0</v>
      </c>
      <c r="CJ1135" s="8">
        <f t="shared" si="817"/>
        <v>0</v>
      </c>
      <c r="CK1135" s="8">
        <f t="shared" si="818"/>
        <v>0</v>
      </c>
      <c r="CL1135" s="8">
        <f t="shared" si="819"/>
        <v>0</v>
      </c>
      <c r="CM1135" s="8">
        <f t="shared" si="820"/>
        <v>0</v>
      </c>
      <c r="CN1135" s="8">
        <f t="shared" si="821"/>
        <v>0</v>
      </c>
      <c r="CO1135" s="8">
        <f t="shared" si="822"/>
        <v>0</v>
      </c>
      <c r="CP1135" s="8">
        <f t="shared" si="823"/>
        <v>0</v>
      </c>
      <c r="CQ1135" s="8">
        <f t="shared" si="824"/>
        <v>0</v>
      </c>
      <c r="CR1135" s="8">
        <f t="shared" si="825"/>
        <v>0</v>
      </c>
      <c r="CS1135" s="8">
        <f t="shared" si="826"/>
        <v>0</v>
      </c>
      <c r="CT1135" s="8">
        <f t="shared" si="831"/>
        <v>0</v>
      </c>
      <c r="CU1135" s="8">
        <f t="shared" si="832"/>
        <v>0</v>
      </c>
      <c r="CV1135" s="8">
        <f t="shared" si="833"/>
        <v>0</v>
      </c>
    </row>
    <row r="1136" spans="1:100" ht="20.5" thickTop="1" thickBot="1" x14ac:dyDescent="0.5">
      <c r="A1136" s="32"/>
      <c r="B1136" s="10"/>
      <c r="C1136" s="10"/>
      <c r="D1136" s="11"/>
      <c r="E1136" s="10"/>
      <c r="F1136" s="10"/>
      <c r="G1136" s="19"/>
      <c r="H1136" s="19"/>
      <c r="I1136" s="19"/>
      <c r="J1136" s="19"/>
      <c r="K1136" s="10"/>
      <c r="L1136" s="10"/>
      <c r="M1136" s="10"/>
      <c r="N1136" s="10"/>
      <c r="O1136" s="18"/>
      <c r="P1136" s="18"/>
      <c r="Q1136" s="21"/>
      <c r="R1136" s="20"/>
      <c r="S1136" s="16">
        <f t="shared" si="789"/>
        <v>0</v>
      </c>
      <c r="T1136" s="11"/>
      <c r="AS1136" s="31">
        <f t="shared" si="790"/>
        <v>0</v>
      </c>
      <c r="AT1136" s="31">
        <f t="shared" si="791"/>
        <v>0</v>
      </c>
      <c r="AU1136" s="31">
        <f t="shared" si="792"/>
        <v>0</v>
      </c>
      <c r="AV1136" s="31">
        <f t="shared" si="793"/>
        <v>0</v>
      </c>
      <c r="AW1136" s="31">
        <f t="shared" si="794"/>
        <v>0</v>
      </c>
      <c r="AX1136" s="31">
        <f t="shared" si="795"/>
        <v>0</v>
      </c>
      <c r="AY1136" s="31">
        <f t="shared" si="796"/>
        <v>0</v>
      </c>
      <c r="AZ1136" s="31">
        <f t="shared" si="797"/>
        <v>0</v>
      </c>
      <c r="BA1136" s="31">
        <f t="shared" si="798"/>
        <v>0</v>
      </c>
      <c r="BB1136" s="31">
        <f t="shared" si="827"/>
        <v>0</v>
      </c>
      <c r="BM1136" s="8">
        <f t="shared" si="828"/>
        <v>0</v>
      </c>
      <c r="BN1136" s="8">
        <f t="shared" si="799"/>
        <v>0</v>
      </c>
      <c r="BO1136" s="8">
        <f t="shared" si="800"/>
        <v>0</v>
      </c>
      <c r="BQ1136" s="8">
        <f t="shared" si="801"/>
        <v>0</v>
      </c>
      <c r="BR1136" s="63">
        <f t="shared" si="802"/>
        <v>0</v>
      </c>
      <c r="BS1136" s="63">
        <f t="shared" si="829"/>
        <v>0</v>
      </c>
      <c r="BT1136" s="63">
        <f t="shared" si="803"/>
        <v>0</v>
      </c>
      <c r="BU1136" s="63">
        <f t="shared" si="804"/>
        <v>0</v>
      </c>
      <c r="BV1136" s="57">
        <f t="shared" si="805"/>
        <v>0</v>
      </c>
      <c r="BW1136" s="57">
        <f t="shared" si="806"/>
        <v>0</v>
      </c>
      <c r="BX1136" s="57">
        <f t="shared" si="830"/>
        <v>0</v>
      </c>
      <c r="BY1136" s="57">
        <f t="shared" si="834"/>
        <v>0</v>
      </c>
      <c r="BZ1136" s="8">
        <f t="shared" si="807"/>
        <v>0</v>
      </c>
      <c r="CA1136" s="8">
        <f t="shared" si="808"/>
        <v>0</v>
      </c>
      <c r="CB1136" s="8">
        <f t="shared" si="809"/>
        <v>0</v>
      </c>
      <c r="CC1136" s="8">
        <f t="shared" si="810"/>
        <v>0</v>
      </c>
      <c r="CD1136" s="8">
        <f t="shared" si="811"/>
        <v>0</v>
      </c>
      <c r="CE1136" s="8">
        <f t="shared" si="812"/>
        <v>0</v>
      </c>
      <c r="CF1136" s="8">
        <f t="shared" si="813"/>
        <v>0</v>
      </c>
      <c r="CG1136" s="8">
        <f t="shared" si="814"/>
        <v>0</v>
      </c>
      <c r="CH1136" s="8">
        <f t="shared" si="815"/>
        <v>0</v>
      </c>
      <c r="CI1136" s="8">
        <f t="shared" si="816"/>
        <v>0</v>
      </c>
      <c r="CJ1136" s="8">
        <f t="shared" si="817"/>
        <v>0</v>
      </c>
      <c r="CK1136" s="8">
        <f t="shared" si="818"/>
        <v>0</v>
      </c>
      <c r="CL1136" s="8">
        <f t="shared" si="819"/>
        <v>0</v>
      </c>
      <c r="CM1136" s="8">
        <f t="shared" si="820"/>
        <v>0</v>
      </c>
      <c r="CN1136" s="8">
        <f t="shared" si="821"/>
        <v>0</v>
      </c>
      <c r="CO1136" s="8">
        <f t="shared" si="822"/>
        <v>0</v>
      </c>
      <c r="CP1136" s="8">
        <f t="shared" si="823"/>
        <v>0</v>
      </c>
      <c r="CQ1136" s="8">
        <f t="shared" si="824"/>
        <v>0</v>
      </c>
      <c r="CR1136" s="8">
        <f t="shared" si="825"/>
        <v>0</v>
      </c>
      <c r="CS1136" s="8">
        <f t="shared" si="826"/>
        <v>0</v>
      </c>
      <c r="CT1136" s="8">
        <f t="shared" si="831"/>
        <v>0</v>
      </c>
      <c r="CU1136" s="8">
        <f t="shared" si="832"/>
        <v>0</v>
      </c>
      <c r="CV1136" s="8">
        <f t="shared" si="833"/>
        <v>0</v>
      </c>
    </row>
    <row r="1137" spans="1:100" ht="20.5" thickTop="1" thickBot="1" x14ac:dyDescent="0.5">
      <c r="A1137" s="32"/>
      <c r="B1137" s="10"/>
      <c r="C1137" s="10"/>
      <c r="D1137" s="11"/>
      <c r="E1137" s="10"/>
      <c r="F1137" s="10"/>
      <c r="G1137" s="19"/>
      <c r="H1137" s="19"/>
      <c r="I1137" s="19"/>
      <c r="J1137" s="19"/>
      <c r="K1137" s="10"/>
      <c r="L1137" s="10"/>
      <c r="M1137" s="10"/>
      <c r="N1137" s="10"/>
      <c r="O1137" s="18"/>
      <c r="P1137" s="18"/>
      <c r="Q1137" s="21"/>
      <c r="R1137" s="20"/>
      <c r="S1137" s="16">
        <f t="shared" si="789"/>
        <v>0</v>
      </c>
      <c r="T1137" s="11"/>
      <c r="AS1137" s="31">
        <f t="shared" si="790"/>
        <v>0</v>
      </c>
      <c r="AT1137" s="31">
        <f t="shared" si="791"/>
        <v>0</v>
      </c>
      <c r="AU1137" s="31">
        <f t="shared" si="792"/>
        <v>0</v>
      </c>
      <c r="AV1137" s="31">
        <f t="shared" si="793"/>
        <v>0</v>
      </c>
      <c r="AW1137" s="31">
        <f t="shared" si="794"/>
        <v>0</v>
      </c>
      <c r="AX1137" s="31">
        <f t="shared" si="795"/>
        <v>0</v>
      </c>
      <c r="AY1137" s="31">
        <f t="shared" si="796"/>
        <v>0</v>
      </c>
      <c r="AZ1137" s="31">
        <f t="shared" si="797"/>
        <v>0</v>
      </c>
      <c r="BA1137" s="31">
        <f t="shared" si="798"/>
        <v>0</v>
      </c>
      <c r="BB1137" s="31">
        <f t="shared" si="827"/>
        <v>0</v>
      </c>
      <c r="BM1137" s="8">
        <f t="shared" si="828"/>
        <v>0</v>
      </c>
      <c r="BN1137" s="8">
        <f t="shared" si="799"/>
        <v>0</v>
      </c>
      <c r="BO1137" s="8">
        <f t="shared" si="800"/>
        <v>0</v>
      </c>
      <c r="BQ1137" s="8">
        <f t="shared" si="801"/>
        <v>0</v>
      </c>
      <c r="BR1137" s="63">
        <f t="shared" si="802"/>
        <v>0</v>
      </c>
      <c r="BS1137" s="63">
        <f t="shared" si="829"/>
        <v>0</v>
      </c>
      <c r="BT1137" s="63">
        <f t="shared" si="803"/>
        <v>0</v>
      </c>
      <c r="BU1137" s="63">
        <f t="shared" si="804"/>
        <v>0</v>
      </c>
      <c r="BV1137" s="57">
        <f t="shared" si="805"/>
        <v>0</v>
      </c>
      <c r="BW1137" s="57">
        <f t="shared" si="806"/>
        <v>0</v>
      </c>
      <c r="BX1137" s="57">
        <f t="shared" si="830"/>
        <v>0</v>
      </c>
      <c r="BY1137" s="57">
        <f t="shared" si="834"/>
        <v>0</v>
      </c>
      <c r="BZ1137" s="8">
        <f t="shared" si="807"/>
        <v>0</v>
      </c>
      <c r="CA1137" s="8">
        <f t="shared" si="808"/>
        <v>0</v>
      </c>
      <c r="CB1137" s="8">
        <f t="shared" si="809"/>
        <v>0</v>
      </c>
      <c r="CC1137" s="8">
        <f t="shared" si="810"/>
        <v>0</v>
      </c>
      <c r="CD1137" s="8">
        <f t="shared" si="811"/>
        <v>0</v>
      </c>
      <c r="CE1137" s="8">
        <f t="shared" si="812"/>
        <v>0</v>
      </c>
      <c r="CF1137" s="8">
        <f t="shared" si="813"/>
        <v>0</v>
      </c>
      <c r="CG1137" s="8">
        <f t="shared" si="814"/>
        <v>0</v>
      </c>
      <c r="CH1137" s="8">
        <f t="shared" si="815"/>
        <v>0</v>
      </c>
      <c r="CI1137" s="8">
        <f t="shared" si="816"/>
        <v>0</v>
      </c>
      <c r="CJ1137" s="8">
        <f t="shared" si="817"/>
        <v>0</v>
      </c>
      <c r="CK1137" s="8">
        <f t="shared" si="818"/>
        <v>0</v>
      </c>
      <c r="CL1137" s="8">
        <f t="shared" si="819"/>
        <v>0</v>
      </c>
      <c r="CM1137" s="8">
        <f t="shared" si="820"/>
        <v>0</v>
      </c>
      <c r="CN1137" s="8">
        <f t="shared" si="821"/>
        <v>0</v>
      </c>
      <c r="CO1137" s="8">
        <f t="shared" si="822"/>
        <v>0</v>
      </c>
      <c r="CP1137" s="8">
        <f t="shared" si="823"/>
        <v>0</v>
      </c>
      <c r="CQ1137" s="8">
        <f t="shared" si="824"/>
        <v>0</v>
      </c>
      <c r="CR1137" s="8">
        <f t="shared" si="825"/>
        <v>0</v>
      </c>
      <c r="CS1137" s="8">
        <f t="shared" si="826"/>
        <v>0</v>
      </c>
      <c r="CT1137" s="8">
        <f t="shared" si="831"/>
        <v>0</v>
      </c>
      <c r="CU1137" s="8">
        <f t="shared" si="832"/>
        <v>0</v>
      </c>
      <c r="CV1137" s="8">
        <f t="shared" si="833"/>
        <v>0</v>
      </c>
    </row>
    <row r="1138" spans="1:100" ht="20.5" thickTop="1" thickBot="1" x14ac:dyDescent="0.5">
      <c r="A1138" s="32"/>
      <c r="B1138" s="10"/>
      <c r="C1138" s="10"/>
      <c r="D1138" s="11"/>
      <c r="E1138" s="10"/>
      <c r="F1138" s="10"/>
      <c r="G1138" s="19"/>
      <c r="H1138" s="19"/>
      <c r="I1138" s="19"/>
      <c r="J1138" s="19"/>
      <c r="K1138" s="10"/>
      <c r="L1138" s="10"/>
      <c r="M1138" s="10"/>
      <c r="N1138" s="10"/>
      <c r="O1138" s="18"/>
      <c r="P1138" s="18"/>
      <c r="Q1138" s="21"/>
      <c r="R1138" s="20"/>
      <c r="S1138" s="16">
        <f t="shared" si="789"/>
        <v>0</v>
      </c>
      <c r="T1138" s="11"/>
      <c r="AS1138" s="31">
        <f t="shared" si="790"/>
        <v>0</v>
      </c>
      <c r="AT1138" s="31">
        <f t="shared" si="791"/>
        <v>0</v>
      </c>
      <c r="AU1138" s="31">
        <f t="shared" si="792"/>
        <v>0</v>
      </c>
      <c r="AV1138" s="31">
        <f t="shared" si="793"/>
        <v>0</v>
      </c>
      <c r="AW1138" s="31">
        <f t="shared" si="794"/>
        <v>0</v>
      </c>
      <c r="AX1138" s="31">
        <f t="shared" si="795"/>
        <v>0</v>
      </c>
      <c r="AY1138" s="31">
        <f t="shared" si="796"/>
        <v>0</v>
      </c>
      <c r="AZ1138" s="31">
        <f t="shared" si="797"/>
        <v>0</v>
      </c>
      <c r="BA1138" s="31">
        <f t="shared" si="798"/>
        <v>0</v>
      </c>
      <c r="BB1138" s="31">
        <f t="shared" si="827"/>
        <v>0</v>
      </c>
      <c r="BM1138" s="8">
        <f t="shared" si="828"/>
        <v>0</v>
      </c>
      <c r="BN1138" s="8">
        <f t="shared" si="799"/>
        <v>0</v>
      </c>
      <c r="BO1138" s="8">
        <f t="shared" si="800"/>
        <v>0</v>
      </c>
      <c r="BQ1138" s="8">
        <f t="shared" si="801"/>
        <v>0</v>
      </c>
      <c r="BR1138" s="63">
        <f t="shared" si="802"/>
        <v>0</v>
      </c>
      <c r="BS1138" s="63">
        <f t="shared" si="829"/>
        <v>0</v>
      </c>
      <c r="BT1138" s="63">
        <f t="shared" si="803"/>
        <v>0</v>
      </c>
      <c r="BU1138" s="63">
        <f t="shared" si="804"/>
        <v>0</v>
      </c>
      <c r="BV1138" s="57">
        <f t="shared" si="805"/>
        <v>0</v>
      </c>
      <c r="BW1138" s="57">
        <f t="shared" si="806"/>
        <v>0</v>
      </c>
      <c r="BX1138" s="57">
        <f t="shared" si="830"/>
        <v>0</v>
      </c>
      <c r="BY1138" s="57">
        <f t="shared" si="834"/>
        <v>0</v>
      </c>
      <c r="BZ1138" s="8">
        <f t="shared" si="807"/>
        <v>0</v>
      </c>
      <c r="CA1138" s="8">
        <f t="shared" si="808"/>
        <v>0</v>
      </c>
      <c r="CB1138" s="8">
        <f t="shared" si="809"/>
        <v>0</v>
      </c>
      <c r="CC1138" s="8">
        <f t="shared" si="810"/>
        <v>0</v>
      </c>
      <c r="CD1138" s="8">
        <f t="shared" si="811"/>
        <v>0</v>
      </c>
      <c r="CE1138" s="8">
        <f t="shared" si="812"/>
        <v>0</v>
      </c>
      <c r="CF1138" s="8">
        <f t="shared" si="813"/>
        <v>0</v>
      </c>
      <c r="CG1138" s="8">
        <f t="shared" si="814"/>
        <v>0</v>
      </c>
      <c r="CH1138" s="8">
        <f t="shared" si="815"/>
        <v>0</v>
      </c>
      <c r="CI1138" s="8">
        <f t="shared" si="816"/>
        <v>0</v>
      </c>
      <c r="CJ1138" s="8">
        <f t="shared" si="817"/>
        <v>0</v>
      </c>
      <c r="CK1138" s="8">
        <f t="shared" si="818"/>
        <v>0</v>
      </c>
      <c r="CL1138" s="8">
        <f t="shared" si="819"/>
        <v>0</v>
      </c>
      <c r="CM1138" s="8">
        <f t="shared" si="820"/>
        <v>0</v>
      </c>
      <c r="CN1138" s="8">
        <f t="shared" si="821"/>
        <v>0</v>
      </c>
      <c r="CO1138" s="8">
        <f t="shared" si="822"/>
        <v>0</v>
      </c>
      <c r="CP1138" s="8">
        <f t="shared" si="823"/>
        <v>0</v>
      </c>
      <c r="CQ1138" s="8">
        <f t="shared" si="824"/>
        <v>0</v>
      </c>
      <c r="CR1138" s="8">
        <f t="shared" si="825"/>
        <v>0</v>
      </c>
      <c r="CS1138" s="8">
        <f t="shared" si="826"/>
        <v>0</v>
      </c>
      <c r="CT1138" s="8">
        <f t="shared" si="831"/>
        <v>0</v>
      </c>
      <c r="CU1138" s="8">
        <f t="shared" si="832"/>
        <v>0</v>
      </c>
      <c r="CV1138" s="8">
        <f t="shared" si="833"/>
        <v>0</v>
      </c>
    </row>
    <row r="1139" spans="1:100" ht="20.5" thickTop="1" thickBot="1" x14ac:dyDescent="0.5">
      <c r="A1139" s="32"/>
      <c r="B1139" s="10"/>
      <c r="C1139" s="10"/>
      <c r="D1139" s="11"/>
      <c r="E1139" s="10"/>
      <c r="F1139" s="10"/>
      <c r="G1139" s="19"/>
      <c r="H1139" s="19"/>
      <c r="I1139" s="19"/>
      <c r="J1139" s="19"/>
      <c r="K1139" s="10"/>
      <c r="L1139" s="10"/>
      <c r="M1139" s="10"/>
      <c r="N1139" s="10"/>
      <c r="O1139" s="18"/>
      <c r="P1139" s="18"/>
      <c r="Q1139" s="21"/>
      <c r="R1139" s="20"/>
      <c r="S1139" s="16">
        <f t="shared" si="789"/>
        <v>0</v>
      </c>
      <c r="T1139" s="11"/>
      <c r="AS1139" s="31">
        <f t="shared" si="790"/>
        <v>0</v>
      </c>
      <c r="AT1139" s="31">
        <f t="shared" si="791"/>
        <v>0</v>
      </c>
      <c r="AU1139" s="31">
        <f t="shared" si="792"/>
        <v>0</v>
      </c>
      <c r="AV1139" s="31">
        <f t="shared" si="793"/>
        <v>0</v>
      </c>
      <c r="AW1139" s="31">
        <f t="shared" si="794"/>
        <v>0</v>
      </c>
      <c r="AX1139" s="31">
        <f t="shared" si="795"/>
        <v>0</v>
      </c>
      <c r="AY1139" s="31">
        <f t="shared" si="796"/>
        <v>0</v>
      </c>
      <c r="AZ1139" s="31">
        <f t="shared" si="797"/>
        <v>0</v>
      </c>
      <c r="BA1139" s="31">
        <f t="shared" si="798"/>
        <v>0</v>
      </c>
      <c r="BB1139" s="31">
        <f t="shared" si="827"/>
        <v>0</v>
      </c>
      <c r="BM1139" s="8">
        <f t="shared" si="828"/>
        <v>0</v>
      </c>
      <c r="BN1139" s="8">
        <f t="shared" si="799"/>
        <v>0</v>
      </c>
      <c r="BO1139" s="8">
        <f t="shared" si="800"/>
        <v>0</v>
      </c>
      <c r="BQ1139" s="8">
        <f t="shared" si="801"/>
        <v>0</v>
      </c>
      <c r="BR1139" s="63">
        <f t="shared" si="802"/>
        <v>0</v>
      </c>
      <c r="BS1139" s="63">
        <f t="shared" si="829"/>
        <v>0</v>
      </c>
      <c r="BT1139" s="63">
        <f t="shared" si="803"/>
        <v>0</v>
      </c>
      <c r="BU1139" s="63">
        <f t="shared" si="804"/>
        <v>0</v>
      </c>
      <c r="BV1139" s="57">
        <f t="shared" si="805"/>
        <v>0</v>
      </c>
      <c r="BW1139" s="57">
        <f t="shared" si="806"/>
        <v>0</v>
      </c>
      <c r="BX1139" s="57">
        <f t="shared" si="830"/>
        <v>0</v>
      </c>
      <c r="BY1139" s="57">
        <f t="shared" si="834"/>
        <v>0</v>
      </c>
      <c r="BZ1139" s="8">
        <f t="shared" si="807"/>
        <v>0</v>
      </c>
      <c r="CA1139" s="8">
        <f t="shared" si="808"/>
        <v>0</v>
      </c>
      <c r="CB1139" s="8">
        <f t="shared" si="809"/>
        <v>0</v>
      </c>
      <c r="CC1139" s="8">
        <f t="shared" si="810"/>
        <v>0</v>
      </c>
      <c r="CD1139" s="8">
        <f t="shared" si="811"/>
        <v>0</v>
      </c>
      <c r="CE1139" s="8">
        <f t="shared" si="812"/>
        <v>0</v>
      </c>
      <c r="CF1139" s="8">
        <f t="shared" si="813"/>
        <v>0</v>
      </c>
      <c r="CG1139" s="8">
        <f t="shared" si="814"/>
        <v>0</v>
      </c>
      <c r="CH1139" s="8">
        <f t="shared" si="815"/>
        <v>0</v>
      </c>
      <c r="CI1139" s="8">
        <f t="shared" si="816"/>
        <v>0</v>
      </c>
      <c r="CJ1139" s="8">
        <f t="shared" si="817"/>
        <v>0</v>
      </c>
      <c r="CK1139" s="8">
        <f t="shared" si="818"/>
        <v>0</v>
      </c>
      <c r="CL1139" s="8">
        <f t="shared" si="819"/>
        <v>0</v>
      </c>
      <c r="CM1139" s="8">
        <f t="shared" si="820"/>
        <v>0</v>
      </c>
      <c r="CN1139" s="8">
        <f t="shared" si="821"/>
        <v>0</v>
      </c>
      <c r="CO1139" s="8">
        <f t="shared" si="822"/>
        <v>0</v>
      </c>
      <c r="CP1139" s="8">
        <f t="shared" si="823"/>
        <v>0</v>
      </c>
      <c r="CQ1139" s="8">
        <f t="shared" si="824"/>
        <v>0</v>
      </c>
      <c r="CR1139" s="8">
        <f t="shared" si="825"/>
        <v>0</v>
      </c>
      <c r="CS1139" s="8">
        <f t="shared" si="826"/>
        <v>0</v>
      </c>
      <c r="CT1139" s="8">
        <f t="shared" si="831"/>
        <v>0</v>
      </c>
      <c r="CU1139" s="8">
        <f t="shared" si="832"/>
        <v>0</v>
      </c>
      <c r="CV1139" s="8">
        <f t="shared" si="833"/>
        <v>0</v>
      </c>
    </row>
    <row r="1140" spans="1:100" ht="20.5" thickTop="1" thickBot="1" x14ac:dyDescent="0.5">
      <c r="A1140" s="32"/>
      <c r="B1140" s="10"/>
      <c r="C1140" s="10"/>
      <c r="D1140" s="11"/>
      <c r="E1140" s="10"/>
      <c r="F1140" s="10"/>
      <c r="G1140" s="19"/>
      <c r="H1140" s="19"/>
      <c r="I1140" s="19"/>
      <c r="J1140" s="19"/>
      <c r="K1140" s="10"/>
      <c r="L1140" s="10"/>
      <c r="M1140" s="10"/>
      <c r="N1140" s="10"/>
      <c r="O1140" s="18"/>
      <c r="P1140" s="18"/>
      <c r="Q1140" s="21"/>
      <c r="R1140" s="20"/>
      <c r="S1140" s="16">
        <f t="shared" si="789"/>
        <v>0</v>
      </c>
      <c r="T1140" s="11"/>
      <c r="AS1140" s="31">
        <f t="shared" si="790"/>
        <v>0</v>
      </c>
      <c r="AT1140" s="31">
        <f t="shared" si="791"/>
        <v>0</v>
      </c>
      <c r="AU1140" s="31">
        <f t="shared" si="792"/>
        <v>0</v>
      </c>
      <c r="AV1140" s="31">
        <f t="shared" si="793"/>
        <v>0</v>
      </c>
      <c r="AW1140" s="31">
        <f t="shared" si="794"/>
        <v>0</v>
      </c>
      <c r="AX1140" s="31">
        <f t="shared" si="795"/>
        <v>0</v>
      </c>
      <c r="AY1140" s="31">
        <f t="shared" si="796"/>
        <v>0</v>
      </c>
      <c r="AZ1140" s="31">
        <f t="shared" si="797"/>
        <v>0</v>
      </c>
      <c r="BA1140" s="31">
        <f t="shared" si="798"/>
        <v>0</v>
      </c>
      <c r="BB1140" s="31">
        <f t="shared" si="827"/>
        <v>0</v>
      </c>
      <c r="BM1140" s="8">
        <f t="shared" si="828"/>
        <v>0</v>
      </c>
      <c r="BN1140" s="8">
        <f t="shared" si="799"/>
        <v>0</v>
      </c>
      <c r="BO1140" s="8">
        <f t="shared" si="800"/>
        <v>0</v>
      </c>
      <c r="BQ1140" s="8">
        <f t="shared" si="801"/>
        <v>0</v>
      </c>
      <c r="BR1140" s="63">
        <f t="shared" si="802"/>
        <v>0</v>
      </c>
      <c r="BS1140" s="63">
        <f t="shared" si="829"/>
        <v>0</v>
      </c>
      <c r="BT1140" s="63">
        <f t="shared" si="803"/>
        <v>0</v>
      </c>
      <c r="BU1140" s="63">
        <f t="shared" si="804"/>
        <v>0</v>
      </c>
      <c r="BV1140" s="57">
        <f t="shared" si="805"/>
        <v>0</v>
      </c>
      <c r="BW1140" s="57">
        <f t="shared" si="806"/>
        <v>0</v>
      </c>
      <c r="BX1140" s="57">
        <f t="shared" si="830"/>
        <v>0</v>
      </c>
      <c r="BY1140" s="57">
        <f t="shared" si="834"/>
        <v>0</v>
      </c>
      <c r="BZ1140" s="8">
        <f t="shared" si="807"/>
        <v>0</v>
      </c>
      <c r="CA1140" s="8">
        <f t="shared" si="808"/>
        <v>0</v>
      </c>
      <c r="CB1140" s="8">
        <f t="shared" si="809"/>
        <v>0</v>
      </c>
      <c r="CC1140" s="8">
        <f t="shared" si="810"/>
        <v>0</v>
      </c>
      <c r="CD1140" s="8">
        <f t="shared" si="811"/>
        <v>0</v>
      </c>
      <c r="CE1140" s="8">
        <f t="shared" si="812"/>
        <v>0</v>
      </c>
      <c r="CF1140" s="8">
        <f t="shared" si="813"/>
        <v>0</v>
      </c>
      <c r="CG1140" s="8">
        <f t="shared" si="814"/>
        <v>0</v>
      </c>
      <c r="CH1140" s="8">
        <f t="shared" si="815"/>
        <v>0</v>
      </c>
      <c r="CI1140" s="8">
        <f t="shared" si="816"/>
        <v>0</v>
      </c>
      <c r="CJ1140" s="8">
        <f t="shared" si="817"/>
        <v>0</v>
      </c>
      <c r="CK1140" s="8">
        <f t="shared" si="818"/>
        <v>0</v>
      </c>
      <c r="CL1140" s="8">
        <f t="shared" si="819"/>
        <v>0</v>
      </c>
      <c r="CM1140" s="8">
        <f t="shared" si="820"/>
        <v>0</v>
      </c>
      <c r="CN1140" s="8">
        <f t="shared" si="821"/>
        <v>0</v>
      </c>
      <c r="CO1140" s="8">
        <f t="shared" si="822"/>
        <v>0</v>
      </c>
      <c r="CP1140" s="8">
        <f t="shared" si="823"/>
        <v>0</v>
      </c>
      <c r="CQ1140" s="8">
        <f t="shared" si="824"/>
        <v>0</v>
      </c>
      <c r="CR1140" s="8">
        <f t="shared" si="825"/>
        <v>0</v>
      </c>
      <c r="CS1140" s="8">
        <f t="shared" si="826"/>
        <v>0</v>
      </c>
      <c r="CT1140" s="8">
        <f t="shared" si="831"/>
        <v>0</v>
      </c>
      <c r="CU1140" s="8">
        <f t="shared" si="832"/>
        <v>0</v>
      </c>
      <c r="CV1140" s="8">
        <f t="shared" si="833"/>
        <v>0</v>
      </c>
    </row>
    <row r="1141" spans="1:100" ht="20.5" thickTop="1" thickBot="1" x14ac:dyDescent="0.5">
      <c r="A1141" s="32"/>
      <c r="B1141" s="10"/>
      <c r="C1141" s="10"/>
      <c r="D1141" s="11"/>
      <c r="E1141" s="10"/>
      <c r="F1141" s="10"/>
      <c r="G1141" s="19"/>
      <c r="H1141" s="19"/>
      <c r="I1141" s="19"/>
      <c r="J1141" s="19"/>
      <c r="K1141" s="10"/>
      <c r="L1141" s="10"/>
      <c r="M1141" s="10"/>
      <c r="N1141" s="10"/>
      <c r="O1141" s="18"/>
      <c r="P1141" s="18"/>
      <c r="Q1141" s="21"/>
      <c r="R1141" s="20"/>
      <c r="S1141" s="16">
        <f t="shared" si="789"/>
        <v>0</v>
      </c>
      <c r="T1141" s="11"/>
      <c r="AS1141" s="31">
        <f t="shared" si="790"/>
        <v>0</v>
      </c>
      <c r="AT1141" s="31">
        <f t="shared" si="791"/>
        <v>0</v>
      </c>
      <c r="AU1141" s="31">
        <f t="shared" si="792"/>
        <v>0</v>
      </c>
      <c r="AV1141" s="31">
        <f t="shared" si="793"/>
        <v>0</v>
      </c>
      <c r="AW1141" s="31">
        <f t="shared" si="794"/>
        <v>0</v>
      </c>
      <c r="AX1141" s="31">
        <f t="shared" si="795"/>
        <v>0</v>
      </c>
      <c r="AY1141" s="31">
        <f t="shared" si="796"/>
        <v>0</v>
      </c>
      <c r="AZ1141" s="31">
        <f t="shared" si="797"/>
        <v>0</v>
      </c>
      <c r="BA1141" s="31">
        <f t="shared" si="798"/>
        <v>0</v>
      </c>
      <c r="BB1141" s="31">
        <f t="shared" si="827"/>
        <v>0</v>
      </c>
      <c r="BM1141" s="8">
        <f t="shared" si="828"/>
        <v>0</v>
      </c>
      <c r="BN1141" s="8">
        <f t="shared" si="799"/>
        <v>0</v>
      </c>
      <c r="BO1141" s="8">
        <f t="shared" si="800"/>
        <v>0</v>
      </c>
      <c r="BQ1141" s="8">
        <f t="shared" si="801"/>
        <v>0</v>
      </c>
      <c r="BR1141" s="63">
        <f t="shared" si="802"/>
        <v>0</v>
      </c>
      <c r="BS1141" s="63">
        <f t="shared" si="829"/>
        <v>0</v>
      </c>
      <c r="BT1141" s="63">
        <f t="shared" si="803"/>
        <v>0</v>
      </c>
      <c r="BU1141" s="63">
        <f t="shared" si="804"/>
        <v>0</v>
      </c>
      <c r="BV1141" s="57">
        <f t="shared" si="805"/>
        <v>0</v>
      </c>
      <c r="BW1141" s="57">
        <f t="shared" si="806"/>
        <v>0</v>
      </c>
      <c r="BX1141" s="57">
        <f t="shared" si="830"/>
        <v>0</v>
      </c>
      <c r="BY1141" s="57">
        <f t="shared" si="834"/>
        <v>0</v>
      </c>
      <c r="BZ1141" s="8">
        <f t="shared" si="807"/>
        <v>0</v>
      </c>
      <c r="CA1141" s="8">
        <f t="shared" si="808"/>
        <v>0</v>
      </c>
      <c r="CB1141" s="8">
        <f t="shared" si="809"/>
        <v>0</v>
      </c>
      <c r="CC1141" s="8">
        <f t="shared" si="810"/>
        <v>0</v>
      </c>
      <c r="CD1141" s="8">
        <f t="shared" si="811"/>
        <v>0</v>
      </c>
      <c r="CE1141" s="8">
        <f t="shared" si="812"/>
        <v>0</v>
      </c>
      <c r="CF1141" s="8">
        <f t="shared" si="813"/>
        <v>0</v>
      </c>
      <c r="CG1141" s="8">
        <f t="shared" si="814"/>
        <v>0</v>
      </c>
      <c r="CH1141" s="8">
        <f t="shared" si="815"/>
        <v>0</v>
      </c>
      <c r="CI1141" s="8">
        <f t="shared" si="816"/>
        <v>0</v>
      </c>
      <c r="CJ1141" s="8">
        <f t="shared" si="817"/>
        <v>0</v>
      </c>
      <c r="CK1141" s="8">
        <f t="shared" si="818"/>
        <v>0</v>
      </c>
      <c r="CL1141" s="8">
        <f t="shared" si="819"/>
        <v>0</v>
      </c>
      <c r="CM1141" s="8">
        <f t="shared" si="820"/>
        <v>0</v>
      </c>
      <c r="CN1141" s="8">
        <f t="shared" si="821"/>
        <v>0</v>
      </c>
      <c r="CO1141" s="8">
        <f t="shared" si="822"/>
        <v>0</v>
      </c>
      <c r="CP1141" s="8">
        <f t="shared" si="823"/>
        <v>0</v>
      </c>
      <c r="CQ1141" s="8">
        <f t="shared" si="824"/>
        <v>0</v>
      </c>
      <c r="CR1141" s="8">
        <f t="shared" si="825"/>
        <v>0</v>
      </c>
      <c r="CS1141" s="8">
        <f t="shared" si="826"/>
        <v>0</v>
      </c>
      <c r="CT1141" s="8">
        <f t="shared" si="831"/>
        <v>0</v>
      </c>
      <c r="CU1141" s="8">
        <f t="shared" si="832"/>
        <v>0</v>
      </c>
      <c r="CV1141" s="8">
        <f t="shared" si="833"/>
        <v>0</v>
      </c>
    </row>
    <row r="1142" spans="1:100" ht="20.5" thickTop="1" thickBot="1" x14ac:dyDescent="0.5">
      <c r="A1142" s="32"/>
      <c r="B1142" s="10"/>
      <c r="C1142" s="10"/>
      <c r="D1142" s="11"/>
      <c r="E1142" s="10"/>
      <c r="F1142" s="10"/>
      <c r="G1142" s="19"/>
      <c r="H1142" s="19"/>
      <c r="I1142" s="19"/>
      <c r="J1142" s="19"/>
      <c r="K1142" s="10"/>
      <c r="L1142" s="10"/>
      <c r="M1142" s="10"/>
      <c r="N1142" s="10"/>
      <c r="O1142" s="18"/>
      <c r="P1142" s="18"/>
      <c r="Q1142" s="21"/>
      <c r="R1142" s="20"/>
      <c r="S1142" s="16">
        <f t="shared" si="789"/>
        <v>0</v>
      </c>
      <c r="T1142" s="11"/>
      <c r="AS1142" s="31">
        <f t="shared" si="790"/>
        <v>0</v>
      </c>
      <c r="AT1142" s="31">
        <f t="shared" si="791"/>
        <v>0</v>
      </c>
      <c r="AU1142" s="31">
        <f t="shared" si="792"/>
        <v>0</v>
      </c>
      <c r="AV1142" s="31">
        <f t="shared" si="793"/>
        <v>0</v>
      </c>
      <c r="AW1142" s="31">
        <f t="shared" si="794"/>
        <v>0</v>
      </c>
      <c r="AX1142" s="31">
        <f t="shared" si="795"/>
        <v>0</v>
      </c>
      <c r="AY1142" s="31">
        <f t="shared" si="796"/>
        <v>0</v>
      </c>
      <c r="AZ1142" s="31">
        <f t="shared" si="797"/>
        <v>0</v>
      </c>
      <c r="BA1142" s="31">
        <f t="shared" si="798"/>
        <v>0</v>
      </c>
      <c r="BB1142" s="31">
        <f t="shared" si="827"/>
        <v>0</v>
      </c>
      <c r="BM1142" s="8">
        <f t="shared" si="828"/>
        <v>0</v>
      </c>
      <c r="BN1142" s="8">
        <f t="shared" si="799"/>
        <v>0</v>
      </c>
      <c r="BO1142" s="8">
        <f t="shared" si="800"/>
        <v>0</v>
      </c>
      <c r="BQ1142" s="8">
        <f t="shared" si="801"/>
        <v>0</v>
      </c>
      <c r="BR1142" s="63">
        <f t="shared" si="802"/>
        <v>0</v>
      </c>
      <c r="BS1142" s="63">
        <f t="shared" si="829"/>
        <v>0</v>
      </c>
      <c r="BT1142" s="63">
        <f t="shared" si="803"/>
        <v>0</v>
      </c>
      <c r="BU1142" s="63">
        <f t="shared" si="804"/>
        <v>0</v>
      </c>
      <c r="BV1142" s="57">
        <f t="shared" si="805"/>
        <v>0</v>
      </c>
      <c r="BW1142" s="57">
        <f t="shared" si="806"/>
        <v>0</v>
      </c>
      <c r="BX1142" s="57">
        <f t="shared" si="830"/>
        <v>0</v>
      </c>
      <c r="BY1142" s="57">
        <f t="shared" si="834"/>
        <v>0</v>
      </c>
      <c r="BZ1142" s="8">
        <f t="shared" si="807"/>
        <v>0</v>
      </c>
      <c r="CA1142" s="8">
        <f t="shared" si="808"/>
        <v>0</v>
      </c>
      <c r="CB1142" s="8">
        <f t="shared" si="809"/>
        <v>0</v>
      </c>
      <c r="CC1142" s="8">
        <f t="shared" si="810"/>
        <v>0</v>
      </c>
      <c r="CD1142" s="8">
        <f t="shared" si="811"/>
        <v>0</v>
      </c>
      <c r="CE1142" s="8">
        <f t="shared" si="812"/>
        <v>0</v>
      </c>
      <c r="CF1142" s="8">
        <f t="shared" si="813"/>
        <v>0</v>
      </c>
      <c r="CG1142" s="8">
        <f t="shared" si="814"/>
        <v>0</v>
      </c>
      <c r="CH1142" s="8">
        <f t="shared" si="815"/>
        <v>0</v>
      </c>
      <c r="CI1142" s="8">
        <f t="shared" si="816"/>
        <v>0</v>
      </c>
      <c r="CJ1142" s="8">
        <f t="shared" si="817"/>
        <v>0</v>
      </c>
      <c r="CK1142" s="8">
        <f t="shared" si="818"/>
        <v>0</v>
      </c>
      <c r="CL1142" s="8">
        <f t="shared" si="819"/>
        <v>0</v>
      </c>
      <c r="CM1142" s="8">
        <f t="shared" si="820"/>
        <v>0</v>
      </c>
      <c r="CN1142" s="8">
        <f t="shared" si="821"/>
        <v>0</v>
      </c>
      <c r="CO1142" s="8">
        <f t="shared" si="822"/>
        <v>0</v>
      </c>
      <c r="CP1142" s="8">
        <f t="shared" si="823"/>
        <v>0</v>
      </c>
      <c r="CQ1142" s="8">
        <f t="shared" si="824"/>
        <v>0</v>
      </c>
      <c r="CR1142" s="8">
        <f t="shared" si="825"/>
        <v>0</v>
      </c>
      <c r="CS1142" s="8">
        <f t="shared" si="826"/>
        <v>0</v>
      </c>
      <c r="CT1142" s="8">
        <f t="shared" si="831"/>
        <v>0</v>
      </c>
      <c r="CU1142" s="8">
        <f t="shared" si="832"/>
        <v>0</v>
      </c>
      <c r="CV1142" s="8">
        <f t="shared" si="833"/>
        <v>0</v>
      </c>
    </row>
    <row r="1143" spans="1:100" ht="20.5" thickTop="1" thickBot="1" x14ac:dyDescent="0.5">
      <c r="A1143" s="32"/>
      <c r="B1143" s="10"/>
      <c r="C1143" s="10"/>
      <c r="D1143" s="11"/>
      <c r="E1143" s="10"/>
      <c r="F1143" s="10"/>
      <c r="G1143" s="19"/>
      <c r="H1143" s="19"/>
      <c r="I1143" s="19"/>
      <c r="J1143" s="19"/>
      <c r="K1143" s="10"/>
      <c r="L1143" s="10"/>
      <c r="M1143" s="10"/>
      <c r="N1143" s="10"/>
      <c r="O1143" s="18"/>
      <c r="P1143" s="18"/>
      <c r="Q1143" s="21"/>
      <c r="R1143" s="20"/>
      <c r="S1143" s="16">
        <f t="shared" si="789"/>
        <v>0</v>
      </c>
      <c r="T1143" s="11"/>
      <c r="AS1143" s="31">
        <f t="shared" si="790"/>
        <v>0</v>
      </c>
      <c r="AT1143" s="31">
        <f t="shared" si="791"/>
        <v>0</v>
      </c>
      <c r="AU1143" s="31">
        <f t="shared" si="792"/>
        <v>0</v>
      </c>
      <c r="AV1143" s="31">
        <f t="shared" si="793"/>
        <v>0</v>
      </c>
      <c r="AW1143" s="31">
        <f t="shared" si="794"/>
        <v>0</v>
      </c>
      <c r="AX1143" s="31">
        <f t="shared" si="795"/>
        <v>0</v>
      </c>
      <c r="AY1143" s="31">
        <f t="shared" si="796"/>
        <v>0</v>
      </c>
      <c r="AZ1143" s="31">
        <f t="shared" si="797"/>
        <v>0</v>
      </c>
      <c r="BA1143" s="31">
        <f t="shared" si="798"/>
        <v>0</v>
      </c>
      <c r="BB1143" s="31">
        <f t="shared" si="827"/>
        <v>0</v>
      </c>
      <c r="BM1143" s="8">
        <f t="shared" si="828"/>
        <v>0</v>
      </c>
      <c r="BN1143" s="8">
        <f t="shared" si="799"/>
        <v>0</v>
      </c>
      <c r="BO1143" s="8">
        <f t="shared" si="800"/>
        <v>0</v>
      </c>
      <c r="BQ1143" s="8">
        <f t="shared" si="801"/>
        <v>0</v>
      </c>
      <c r="BR1143" s="63">
        <f t="shared" si="802"/>
        <v>0</v>
      </c>
      <c r="BS1143" s="63">
        <f t="shared" si="829"/>
        <v>0</v>
      </c>
      <c r="BT1143" s="63">
        <f t="shared" si="803"/>
        <v>0</v>
      </c>
      <c r="BU1143" s="63">
        <f t="shared" si="804"/>
        <v>0</v>
      </c>
      <c r="BV1143" s="57">
        <f t="shared" si="805"/>
        <v>0</v>
      </c>
      <c r="BW1143" s="57">
        <f t="shared" si="806"/>
        <v>0</v>
      </c>
      <c r="BX1143" s="57">
        <f t="shared" si="830"/>
        <v>0</v>
      </c>
      <c r="BY1143" s="57">
        <f t="shared" si="834"/>
        <v>0</v>
      </c>
      <c r="BZ1143" s="8">
        <f t="shared" si="807"/>
        <v>0</v>
      </c>
      <c r="CA1143" s="8">
        <f t="shared" si="808"/>
        <v>0</v>
      </c>
      <c r="CB1143" s="8">
        <f t="shared" si="809"/>
        <v>0</v>
      </c>
      <c r="CC1143" s="8">
        <f t="shared" si="810"/>
        <v>0</v>
      </c>
      <c r="CD1143" s="8">
        <f t="shared" si="811"/>
        <v>0</v>
      </c>
      <c r="CE1143" s="8">
        <f t="shared" si="812"/>
        <v>0</v>
      </c>
      <c r="CF1143" s="8">
        <f t="shared" si="813"/>
        <v>0</v>
      </c>
      <c r="CG1143" s="8">
        <f t="shared" si="814"/>
        <v>0</v>
      </c>
      <c r="CH1143" s="8">
        <f t="shared" si="815"/>
        <v>0</v>
      </c>
      <c r="CI1143" s="8">
        <f t="shared" si="816"/>
        <v>0</v>
      </c>
      <c r="CJ1143" s="8">
        <f t="shared" si="817"/>
        <v>0</v>
      </c>
      <c r="CK1143" s="8">
        <f t="shared" si="818"/>
        <v>0</v>
      </c>
      <c r="CL1143" s="8">
        <f t="shared" si="819"/>
        <v>0</v>
      </c>
      <c r="CM1143" s="8">
        <f t="shared" si="820"/>
        <v>0</v>
      </c>
      <c r="CN1143" s="8">
        <f t="shared" si="821"/>
        <v>0</v>
      </c>
      <c r="CO1143" s="8">
        <f t="shared" si="822"/>
        <v>0</v>
      </c>
      <c r="CP1143" s="8">
        <f t="shared" si="823"/>
        <v>0</v>
      </c>
      <c r="CQ1143" s="8">
        <f t="shared" si="824"/>
        <v>0</v>
      </c>
      <c r="CR1143" s="8">
        <f t="shared" si="825"/>
        <v>0</v>
      </c>
      <c r="CS1143" s="8">
        <f t="shared" si="826"/>
        <v>0</v>
      </c>
      <c r="CT1143" s="8">
        <f t="shared" si="831"/>
        <v>0</v>
      </c>
      <c r="CU1143" s="8">
        <f t="shared" si="832"/>
        <v>0</v>
      </c>
      <c r="CV1143" s="8">
        <f t="shared" si="833"/>
        <v>0</v>
      </c>
    </row>
    <row r="1144" spans="1:100" ht="20.5" thickTop="1" thickBot="1" x14ac:dyDescent="0.5">
      <c r="A1144" s="32"/>
      <c r="B1144" s="10"/>
      <c r="C1144" s="10"/>
      <c r="D1144" s="11"/>
      <c r="E1144" s="10"/>
      <c r="F1144" s="10"/>
      <c r="G1144" s="19"/>
      <c r="H1144" s="19"/>
      <c r="I1144" s="19"/>
      <c r="J1144" s="19"/>
      <c r="K1144" s="10"/>
      <c r="L1144" s="10"/>
      <c r="M1144" s="10"/>
      <c r="N1144" s="10"/>
      <c r="O1144" s="18"/>
      <c r="P1144" s="18"/>
      <c r="Q1144" s="21"/>
      <c r="R1144" s="20"/>
      <c r="S1144" s="16">
        <f t="shared" si="789"/>
        <v>0</v>
      </c>
      <c r="T1144" s="11"/>
      <c r="AS1144" s="31">
        <f t="shared" si="790"/>
        <v>0</v>
      </c>
      <c r="AT1144" s="31">
        <f t="shared" si="791"/>
        <v>0</v>
      </c>
      <c r="AU1144" s="31">
        <f t="shared" si="792"/>
        <v>0</v>
      </c>
      <c r="AV1144" s="31">
        <f t="shared" si="793"/>
        <v>0</v>
      </c>
      <c r="AW1144" s="31">
        <f t="shared" si="794"/>
        <v>0</v>
      </c>
      <c r="AX1144" s="31">
        <f t="shared" si="795"/>
        <v>0</v>
      </c>
      <c r="AY1144" s="31">
        <f t="shared" si="796"/>
        <v>0</v>
      </c>
      <c r="AZ1144" s="31">
        <f t="shared" si="797"/>
        <v>0</v>
      </c>
      <c r="BA1144" s="31">
        <f t="shared" si="798"/>
        <v>0</v>
      </c>
      <c r="BB1144" s="31">
        <f t="shared" si="827"/>
        <v>0</v>
      </c>
      <c r="BM1144" s="8">
        <f t="shared" si="828"/>
        <v>0</v>
      </c>
      <c r="BN1144" s="8">
        <f t="shared" si="799"/>
        <v>0</v>
      </c>
      <c r="BO1144" s="8">
        <f t="shared" si="800"/>
        <v>0</v>
      </c>
      <c r="BQ1144" s="8">
        <f t="shared" si="801"/>
        <v>0</v>
      </c>
      <c r="BR1144" s="63">
        <f t="shared" si="802"/>
        <v>0</v>
      </c>
      <c r="BS1144" s="63">
        <f t="shared" si="829"/>
        <v>0</v>
      </c>
      <c r="BT1144" s="63">
        <f t="shared" si="803"/>
        <v>0</v>
      </c>
      <c r="BU1144" s="63">
        <f t="shared" si="804"/>
        <v>0</v>
      </c>
      <c r="BV1144" s="57">
        <f t="shared" si="805"/>
        <v>0</v>
      </c>
      <c r="BW1144" s="57">
        <f t="shared" si="806"/>
        <v>0</v>
      </c>
      <c r="BX1144" s="57">
        <f t="shared" si="830"/>
        <v>0</v>
      </c>
      <c r="BY1144" s="57">
        <f t="shared" si="834"/>
        <v>0</v>
      </c>
      <c r="BZ1144" s="8">
        <f t="shared" si="807"/>
        <v>0</v>
      </c>
      <c r="CA1144" s="8">
        <f t="shared" si="808"/>
        <v>0</v>
      </c>
      <c r="CB1144" s="8">
        <f t="shared" si="809"/>
        <v>0</v>
      </c>
      <c r="CC1144" s="8">
        <f t="shared" si="810"/>
        <v>0</v>
      </c>
      <c r="CD1144" s="8">
        <f t="shared" si="811"/>
        <v>0</v>
      </c>
      <c r="CE1144" s="8">
        <f t="shared" si="812"/>
        <v>0</v>
      </c>
      <c r="CF1144" s="8">
        <f t="shared" si="813"/>
        <v>0</v>
      </c>
      <c r="CG1144" s="8">
        <f t="shared" si="814"/>
        <v>0</v>
      </c>
      <c r="CH1144" s="8">
        <f t="shared" si="815"/>
        <v>0</v>
      </c>
      <c r="CI1144" s="8">
        <f t="shared" si="816"/>
        <v>0</v>
      </c>
      <c r="CJ1144" s="8">
        <f t="shared" si="817"/>
        <v>0</v>
      </c>
      <c r="CK1144" s="8">
        <f t="shared" si="818"/>
        <v>0</v>
      </c>
      <c r="CL1144" s="8">
        <f t="shared" si="819"/>
        <v>0</v>
      </c>
      <c r="CM1144" s="8">
        <f t="shared" si="820"/>
        <v>0</v>
      </c>
      <c r="CN1144" s="8">
        <f t="shared" si="821"/>
        <v>0</v>
      </c>
      <c r="CO1144" s="8">
        <f t="shared" si="822"/>
        <v>0</v>
      </c>
      <c r="CP1144" s="8">
        <f t="shared" si="823"/>
        <v>0</v>
      </c>
      <c r="CQ1144" s="8">
        <f t="shared" si="824"/>
        <v>0</v>
      </c>
      <c r="CR1144" s="8">
        <f t="shared" si="825"/>
        <v>0</v>
      </c>
      <c r="CS1144" s="8">
        <f t="shared" si="826"/>
        <v>0</v>
      </c>
      <c r="CT1144" s="8">
        <f t="shared" si="831"/>
        <v>0</v>
      </c>
      <c r="CU1144" s="8">
        <f t="shared" si="832"/>
        <v>0</v>
      </c>
      <c r="CV1144" s="8">
        <f t="shared" si="833"/>
        <v>0</v>
      </c>
    </row>
    <row r="1145" spans="1:100" ht="20.5" thickTop="1" thickBot="1" x14ac:dyDescent="0.5">
      <c r="A1145" s="32"/>
      <c r="B1145" s="10"/>
      <c r="C1145" s="10"/>
      <c r="D1145" s="11"/>
      <c r="E1145" s="10"/>
      <c r="F1145" s="10"/>
      <c r="G1145" s="19"/>
      <c r="H1145" s="19"/>
      <c r="I1145" s="19"/>
      <c r="J1145" s="19"/>
      <c r="K1145" s="10"/>
      <c r="L1145" s="10"/>
      <c r="M1145" s="10"/>
      <c r="N1145" s="10"/>
      <c r="O1145" s="18"/>
      <c r="P1145" s="18"/>
      <c r="Q1145" s="21"/>
      <c r="R1145" s="20"/>
      <c r="S1145" s="16">
        <f t="shared" si="789"/>
        <v>0</v>
      </c>
      <c r="T1145" s="11"/>
      <c r="AS1145" s="31">
        <f t="shared" si="790"/>
        <v>0</v>
      </c>
      <c r="AT1145" s="31">
        <f t="shared" si="791"/>
        <v>0</v>
      </c>
      <c r="AU1145" s="31">
        <f t="shared" si="792"/>
        <v>0</v>
      </c>
      <c r="AV1145" s="31">
        <f t="shared" si="793"/>
        <v>0</v>
      </c>
      <c r="AW1145" s="31">
        <f t="shared" si="794"/>
        <v>0</v>
      </c>
      <c r="AX1145" s="31">
        <f t="shared" si="795"/>
        <v>0</v>
      </c>
      <c r="AY1145" s="31">
        <f t="shared" si="796"/>
        <v>0</v>
      </c>
      <c r="AZ1145" s="31">
        <f t="shared" si="797"/>
        <v>0</v>
      </c>
      <c r="BA1145" s="31">
        <f t="shared" si="798"/>
        <v>0</v>
      </c>
      <c r="BB1145" s="31">
        <f t="shared" si="827"/>
        <v>0</v>
      </c>
      <c r="BM1145" s="8">
        <f t="shared" si="828"/>
        <v>0</v>
      </c>
      <c r="BN1145" s="8">
        <f t="shared" si="799"/>
        <v>0</v>
      </c>
      <c r="BO1145" s="8">
        <f t="shared" si="800"/>
        <v>0</v>
      </c>
      <c r="BQ1145" s="8">
        <f t="shared" si="801"/>
        <v>0</v>
      </c>
      <c r="BR1145" s="63">
        <f t="shared" si="802"/>
        <v>0</v>
      </c>
      <c r="BS1145" s="63">
        <f t="shared" si="829"/>
        <v>0</v>
      </c>
      <c r="BT1145" s="63">
        <f t="shared" si="803"/>
        <v>0</v>
      </c>
      <c r="BU1145" s="63">
        <f t="shared" si="804"/>
        <v>0</v>
      </c>
      <c r="BV1145" s="57">
        <f t="shared" si="805"/>
        <v>0</v>
      </c>
      <c r="BW1145" s="57">
        <f t="shared" si="806"/>
        <v>0</v>
      </c>
      <c r="BX1145" s="57">
        <f t="shared" si="830"/>
        <v>0</v>
      </c>
      <c r="BY1145" s="57">
        <f t="shared" si="834"/>
        <v>0</v>
      </c>
      <c r="BZ1145" s="8">
        <f t="shared" si="807"/>
        <v>0</v>
      </c>
      <c r="CA1145" s="8">
        <f t="shared" si="808"/>
        <v>0</v>
      </c>
      <c r="CB1145" s="8">
        <f t="shared" si="809"/>
        <v>0</v>
      </c>
      <c r="CC1145" s="8">
        <f t="shared" si="810"/>
        <v>0</v>
      </c>
      <c r="CD1145" s="8">
        <f t="shared" si="811"/>
        <v>0</v>
      </c>
      <c r="CE1145" s="8">
        <f t="shared" si="812"/>
        <v>0</v>
      </c>
      <c r="CF1145" s="8">
        <f t="shared" si="813"/>
        <v>0</v>
      </c>
      <c r="CG1145" s="8">
        <f t="shared" si="814"/>
        <v>0</v>
      </c>
      <c r="CH1145" s="8">
        <f t="shared" si="815"/>
        <v>0</v>
      </c>
      <c r="CI1145" s="8">
        <f t="shared" si="816"/>
        <v>0</v>
      </c>
      <c r="CJ1145" s="8">
        <f t="shared" si="817"/>
        <v>0</v>
      </c>
      <c r="CK1145" s="8">
        <f t="shared" si="818"/>
        <v>0</v>
      </c>
      <c r="CL1145" s="8">
        <f t="shared" si="819"/>
        <v>0</v>
      </c>
      <c r="CM1145" s="8">
        <f t="shared" si="820"/>
        <v>0</v>
      </c>
      <c r="CN1145" s="8">
        <f t="shared" si="821"/>
        <v>0</v>
      </c>
      <c r="CO1145" s="8">
        <f t="shared" si="822"/>
        <v>0</v>
      </c>
      <c r="CP1145" s="8">
        <f t="shared" si="823"/>
        <v>0</v>
      </c>
      <c r="CQ1145" s="8">
        <f t="shared" si="824"/>
        <v>0</v>
      </c>
      <c r="CR1145" s="8">
        <f t="shared" si="825"/>
        <v>0</v>
      </c>
      <c r="CS1145" s="8">
        <f t="shared" si="826"/>
        <v>0</v>
      </c>
      <c r="CT1145" s="8">
        <f t="shared" si="831"/>
        <v>0</v>
      </c>
      <c r="CU1145" s="8">
        <f t="shared" si="832"/>
        <v>0</v>
      </c>
      <c r="CV1145" s="8">
        <f t="shared" si="833"/>
        <v>0</v>
      </c>
    </row>
    <row r="1146" spans="1:100" ht="20.5" thickTop="1" thickBot="1" x14ac:dyDescent="0.5">
      <c r="A1146" s="32"/>
      <c r="B1146" s="10"/>
      <c r="C1146" s="10"/>
      <c r="D1146" s="11"/>
      <c r="E1146" s="10"/>
      <c r="F1146" s="10"/>
      <c r="G1146" s="19"/>
      <c r="H1146" s="19"/>
      <c r="I1146" s="19"/>
      <c r="J1146" s="19"/>
      <c r="K1146" s="10"/>
      <c r="L1146" s="10"/>
      <c r="M1146" s="10"/>
      <c r="N1146" s="10"/>
      <c r="O1146" s="18"/>
      <c r="P1146" s="18"/>
      <c r="Q1146" s="21"/>
      <c r="R1146" s="20"/>
      <c r="S1146" s="16">
        <f t="shared" si="789"/>
        <v>0</v>
      </c>
      <c r="T1146" s="11"/>
      <c r="AS1146" s="31">
        <f t="shared" si="790"/>
        <v>0</v>
      </c>
      <c r="AT1146" s="31">
        <f t="shared" si="791"/>
        <v>0</v>
      </c>
      <c r="AU1146" s="31">
        <f t="shared" si="792"/>
        <v>0</v>
      </c>
      <c r="AV1146" s="31">
        <f t="shared" si="793"/>
        <v>0</v>
      </c>
      <c r="AW1146" s="31">
        <f t="shared" si="794"/>
        <v>0</v>
      </c>
      <c r="AX1146" s="31">
        <f t="shared" si="795"/>
        <v>0</v>
      </c>
      <c r="AY1146" s="31">
        <f t="shared" si="796"/>
        <v>0</v>
      </c>
      <c r="AZ1146" s="31">
        <f t="shared" si="797"/>
        <v>0</v>
      </c>
      <c r="BA1146" s="31">
        <f t="shared" si="798"/>
        <v>0</v>
      </c>
      <c r="BB1146" s="31">
        <f t="shared" si="827"/>
        <v>0</v>
      </c>
      <c r="BM1146" s="8">
        <f t="shared" si="828"/>
        <v>0</v>
      </c>
      <c r="BN1146" s="8">
        <f t="shared" si="799"/>
        <v>0</v>
      </c>
      <c r="BO1146" s="8">
        <f t="shared" si="800"/>
        <v>0</v>
      </c>
      <c r="BQ1146" s="8">
        <f t="shared" si="801"/>
        <v>0</v>
      </c>
      <c r="BR1146" s="63">
        <f t="shared" si="802"/>
        <v>0</v>
      </c>
      <c r="BS1146" s="63">
        <f t="shared" si="829"/>
        <v>0</v>
      </c>
      <c r="BT1146" s="63">
        <f t="shared" si="803"/>
        <v>0</v>
      </c>
      <c r="BU1146" s="63">
        <f t="shared" si="804"/>
        <v>0</v>
      </c>
      <c r="BV1146" s="57">
        <f t="shared" si="805"/>
        <v>0</v>
      </c>
      <c r="BW1146" s="57">
        <f t="shared" si="806"/>
        <v>0</v>
      </c>
      <c r="BX1146" s="57">
        <f t="shared" si="830"/>
        <v>0</v>
      </c>
      <c r="BY1146" s="57">
        <f t="shared" si="834"/>
        <v>0</v>
      </c>
      <c r="BZ1146" s="8">
        <f t="shared" si="807"/>
        <v>0</v>
      </c>
      <c r="CA1146" s="8">
        <f t="shared" si="808"/>
        <v>0</v>
      </c>
      <c r="CB1146" s="8">
        <f t="shared" si="809"/>
        <v>0</v>
      </c>
      <c r="CC1146" s="8">
        <f t="shared" si="810"/>
        <v>0</v>
      </c>
      <c r="CD1146" s="8">
        <f t="shared" si="811"/>
        <v>0</v>
      </c>
      <c r="CE1146" s="8">
        <f t="shared" si="812"/>
        <v>0</v>
      </c>
      <c r="CF1146" s="8">
        <f t="shared" si="813"/>
        <v>0</v>
      </c>
      <c r="CG1146" s="8">
        <f t="shared" si="814"/>
        <v>0</v>
      </c>
      <c r="CH1146" s="8">
        <f t="shared" si="815"/>
        <v>0</v>
      </c>
      <c r="CI1146" s="8">
        <f t="shared" si="816"/>
        <v>0</v>
      </c>
      <c r="CJ1146" s="8">
        <f t="shared" si="817"/>
        <v>0</v>
      </c>
      <c r="CK1146" s="8">
        <f t="shared" si="818"/>
        <v>0</v>
      </c>
      <c r="CL1146" s="8">
        <f t="shared" si="819"/>
        <v>0</v>
      </c>
      <c r="CM1146" s="8">
        <f t="shared" si="820"/>
        <v>0</v>
      </c>
      <c r="CN1146" s="8">
        <f t="shared" si="821"/>
        <v>0</v>
      </c>
      <c r="CO1146" s="8">
        <f t="shared" si="822"/>
        <v>0</v>
      </c>
      <c r="CP1146" s="8">
        <f t="shared" si="823"/>
        <v>0</v>
      </c>
      <c r="CQ1146" s="8">
        <f t="shared" si="824"/>
        <v>0</v>
      </c>
      <c r="CR1146" s="8">
        <f t="shared" si="825"/>
        <v>0</v>
      </c>
      <c r="CS1146" s="8">
        <f t="shared" si="826"/>
        <v>0</v>
      </c>
      <c r="CT1146" s="8">
        <f t="shared" si="831"/>
        <v>0</v>
      </c>
      <c r="CU1146" s="8">
        <f t="shared" si="832"/>
        <v>0</v>
      </c>
      <c r="CV1146" s="8">
        <f t="shared" si="833"/>
        <v>0</v>
      </c>
    </row>
    <row r="1147" spans="1:100" ht="20.5" thickTop="1" thickBot="1" x14ac:dyDescent="0.5">
      <c r="A1147" s="32"/>
      <c r="B1147" s="10"/>
      <c r="C1147" s="10"/>
      <c r="D1147" s="11"/>
      <c r="E1147" s="10"/>
      <c r="F1147" s="10"/>
      <c r="G1147" s="19"/>
      <c r="H1147" s="19"/>
      <c r="I1147" s="19"/>
      <c r="J1147" s="19"/>
      <c r="K1147" s="10"/>
      <c r="L1147" s="10"/>
      <c r="M1147" s="10"/>
      <c r="N1147" s="10"/>
      <c r="O1147" s="18"/>
      <c r="P1147" s="18"/>
      <c r="Q1147" s="21"/>
      <c r="R1147" s="20"/>
      <c r="S1147" s="16">
        <f t="shared" si="789"/>
        <v>0</v>
      </c>
      <c r="T1147" s="11"/>
      <c r="AS1147" s="31">
        <f t="shared" si="790"/>
        <v>0</v>
      </c>
      <c r="AT1147" s="31">
        <f t="shared" si="791"/>
        <v>0</v>
      </c>
      <c r="AU1147" s="31">
        <f t="shared" si="792"/>
        <v>0</v>
      </c>
      <c r="AV1147" s="31">
        <f t="shared" si="793"/>
        <v>0</v>
      </c>
      <c r="AW1147" s="31">
        <f t="shared" si="794"/>
        <v>0</v>
      </c>
      <c r="AX1147" s="31">
        <f t="shared" si="795"/>
        <v>0</v>
      </c>
      <c r="AY1147" s="31">
        <f t="shared" si="796"/>
        <v>0</v>
      </c>
      <c r="AZ1147" s="31">
        <f t="shared" si="797"/>
        <v>0</v>
      </c>
      <c r="BA1147" s="31">
        <f t="shared" si="798"/>
        <v>0</v>
      </c>
      <c r="BB1147" s="31">
        <f t="shared" si="827"/>
        <v>0</v>
      </c>
      <c r="BM1147" s="8">
        <f t="shared" si="828"/>
        <v>0</v>
      </c>
      <c r="BN1147" s="8">
        <f t="shared" si="799"/>
        <v>0</v>
      </c>
      <c r="BO1147" s="8">
        <f t="shared" si="800"/>
        <v>0</v>
      </c>
      <c r="BQ1147" s="8">
        <f t="shared" si="801"/>
        <v>0</v>
      </c>
      <c r="BR1147" s="63">
        <f t="shared" si="802"/>
        <v>0</v>
      </c>
      <c r="BS1147" s="63">
        <f t="shared" si="829"/>
        <v>0</v>
      </c>
      <c r="BT1147" s="63">
        <f t="shared" si="803"/>
        <v>0</v>
      </c>
      <c r="BU1147" s="63">
        <f t="shared" si="804"/>
        <v>0</v>
      </c>
      <c r="BV1147" s="57">
        <f t="shared" si="805"/>
        <v>0</v>
      </c>
      <c r="BW1147" s="57">
        <f t="shared" si="806"/>
        <v>0</v>
      </c>
      <c r="BX1147" s="57">
        <f t="shared" si="830"/>
        <v>0</v>
      </c>
      <c r="BY1147" s="57">
        <f t="shared" si="834"/>
        <v>0</v>
      </c>
      <c r="BZ1147" s="8">
        <f t="shared" si="807"/>
        <v>0</v>
      </c>
      <c r="CA1147" s="8">
        <f t="shared" si="808"/>
        <v>0</v>
      </c>
      <c r="CB1147" s="8">
        <f t="shared" si="809"/>
        <v>0</v>
      </c>
      <c r="CC1147" s="8">
        <f t="shared" si="810"/>
        <v>0</v>
      </c>
      <c r="CD1147" s="8">
        <f t="shared" si="811"/>
        <v>0</v>
      </c>
      <c r="CE1147" s="8">
        <f t="shared" si="812"/>
        <v>0</v>
      </c>
      <c r="CF1147" s="8">
        <f t="shared" si="813"/>
        <v>0</v>
      </c>
      <c r="CG1147" s="8">
        <f t="shared" si="814"/>
        <v>0</v>
      </c>
      <c r="CH1147" s="8">
        <f t="shared" si="815"/>
        <v>0</v>
      </c>
      <c r="CI1147" s="8">
        <f t="shared" si="816"/>
        <v>0</v>
      </c>
      <c r="CJ1147" s="8">
        <f t="shared" si="817"/>
        <v>0</v>
      </c>
      <c r="CK1147" s="8">
        <f t="shared" si="818"/>
        <v>0</v>
      </c>
      <c r="CL1147" s="8">
        <f t="shared" si="819"/>
        <v>0</v>
      </c>
      <c r="CM1147" s="8">
        <f t="shared" si="820"/>
        <v>0</v>
      </c>
      <c r="CN1147" s="8">
        <f t="shared" si="821"/>
        <v>0</v>
      </c>
      <c r="CO1147" s="8">
        <f t="shared" si="822"/>
        <v>0</v>
      </c>
      <c r="CP1147" s="8">
        <f t="shared" si="823"/>
        <v>0</v>
      </c>
      <c r="CQ1147" s="8">
        <f t="shared" si="824"/>
        <v>0</v>
      </c>
      <c r="CR1147" s="8">
        <f t="shared" si="825"/>
        <v>0</v>
      </c>
      <c r="CS1147" s="8">
        <f t="shared" si="826"/>
        <v>0</v>
      </c>
      <c r="CT1147" s="8">
        <f t="shared" si="831"/>
        <v>0</v>
      </c>
      <c r="CU1147" s="8">
        <f t="shared" si="832"/>
        <v>0</v>
      </c>
      <c r="CV1147" s="8">
        <f t="shared" si="833"/>
        <v>0</v>
      </c>
    </row>
    <row r="1148" spans="1:100" ht="20.5" thickTop="1" thickBot="1" x14ac:dyDescent="0.5">
      <c r="A1148" s="32"/>
      <c r="B1148" s="10"/>
      <c r="C1148" s="10"/>
      <c r="D1148" s="11"/>
      <c r="E1148" s="10"/>
      <c r="F1148" s="10"/>
      <c r="G1148" s="19"/>
      <c r="H1148" s="19"/>
      <c r="I1148" s="19"/>
      <c r="J1148" s="19"/>
      <c r="K1148" s="10"/>
      <c r="L1148" s="10"/>
      <c r="M1148" s="10"/>
      <c r="N1148" s="10"/>
      <c r="O1148" s="18"/>
      <c r="P1148" s="18"/>
      <c r="Q1148" s="21"/>
      <c r="R1148" s="20"/>
      <c r="S1148" s="16">
        <f t="shared" si="789"/>
        <v>0</v>
      </c>
      <c r="T1148" s="11"/>
      <c r="AS1148" s="31">
        <f t="shared" si="790"/>
        <v>0</v>
      </c>
      <c r="AT1148" s="31">
        <f t="shared" si="791"/>
        <v>0</v>
      </c>
      <c r="AU1148" s="31">
        <f t="shared" si="792"/>
        <v>0</v>
      </c>
      <c r="AV1148" s="31">
        <f t="shared" si="793"/>
        <v>0</v>
      </c>
      <c r="AW1148" s="31">
        <f t="shared" si="794"/>
        <v>0</v>
      </c>
      <c r="AX1148" s="31">
        <f t="shared" si="795"/>
        <v>0</v>
      </c>
      <c r="AY1148" s="31">
        <f t="shared" si="796"/>
        <v>0</v>
      </c>
      <c r="AZ1148" s="31">
        <f t="shared" si="797"/>
        <v>0</v>
      </c>
      <c r="BA1148" s="31">
        <f t="shared" si="798"/>
        <v>0</v>
      </c>
      <c r="BB1148" s="31">
        <f t="shared" si="827"/>
        <v>0</v>
      </c>
      <c r="BM1148" s="8">
        <f t="shared" si="828"/>
        <v>0</v>
      </c>
      <c r="BN1148" s="8">
        <f t="shared" si="799"/>
        <v>0</v>
      </c>
      <c r="BO1148" s="8">
        <f t="shared" si="800"/>
        <v>0</v>
      </c>
      <c r="BQ1148" s="8">
        <f t="shared" si="801"/>
        <v>0</v>
      </c>
      <c r="BR1148" s="63">
        <f t="shared" si="802"/>
        <v>0</v>
      </c>
      <c r="BS1148" s="63">
        <f t="shared" si="829"/>
        <v>0</v>
      </c>
      <c r="BT1148" s="63">
        <f t="shared" si="803"/>
        <v>0</v>
      </c>
      <c r="BU1148" s="63">
        <f t="shared" si="804"/>
        <v>0</v>
      </c>
      <c r="BV1148" s="57">
        <f t="shared" si="805"/>
        <v>0</v>
      </c>
      <c r="BW1148" s="57">
        <f t="shared" si="806"/>
        <v>0</v>
      </c>
      <c r="BX1148" s="57">
        <f t="shared" si="830"/>
        <v>0</v>
      </c>
      <c r="BY1148" s="57">
        <f t="shared" si="834"/>
        <v>0</v>
      </c>
      <c r="BZ1148" s="8">
        <f t="shared" si="807"/>
        <v>0</v>
      </c>
      <c r="CA1148" s="8">
        <f t="shared" si="808"/>
        <v>0</v>
      </c>
      <c r="CB1148" s="8">
        <f t="shared" si="809"/>
        <v>0</v>
      </c>
      <c r="CC1148" s="8">
        <f t="shared" si="810"/>
        <v>0</v>
      </c>
      <c r="CD1148" s="8">
        <f t="shared" si="811"/>
        <v>0</v>
      </c>
      <c r="CE1148" s="8">
        <f t="shared" si="812"/>
        <v>0</v>
      </c>
      <c r="CF1148" s="8">
        <f t="shared" si="813"/>
        <v>0</v>
      </c>
      <c r="CG1148" s="8">
        <f t="shared" si="814"/>
        <v>0</v>
      </c>
      <c r="CH1148" s="8">
        <f t="shared" si="815"/>
        <v>0</v>
      </c>
      <c r="CI1148" s="8">
        <f t="shared" si="816"/>
        <v>0</v>
      </c>
      <c r="CJ1148" s="8">
        <f t="shared" si="817"/>
        <v>0</v>
      </c>
      <c r="CK1148" s="8">
        <f t="shared" si="818"/>
        <v>0</v>
      </c>
      <c r="CL1148" s="8">
        <f t="shared" si="819"/>
        <v>0</v>
      </c>
      <c r="CM1148" s="8">
        <f t="shared" si="820"/>
        <v>0</v>
      </c>
      <c r="CN1148" s="8">
        <f t="shared" si="821"/>
        <v>0</v>
      </c>
      <c r="CO1148" s="8">
        <f t="shared" si="822"/>
        <v>0</v>
      </c>
      <c r="CP1148" s="8">
        <f t="shared" si="823"/>
        <v>0</v>
      </c>
      <c r="CQ1148" s="8">
        <f t="shared" si="824"/>
        <v>0</v>
      </c>
      <c r="CR1148" s="8">
        <f t="shared" si="825"/>
        <v>0</v>
      </c>
      <c r="CS1148" s="8">
        <f t="shared" si="826"/>
        <v>0</v>
      </c>
      <c r="CT1148" s="8">
        <f t="shared" si="831"/>
        <v>0</v>
      </c>
      <c r="CU1148" s="8">
        <f t="shared" si="832"/>
        <v>0</v>
      </c>
      <c r="CV1148" s="8">
        <f t="shared" si="833"/>
        <v>0</v>
      </c>
    </row>
    <row r="1149" spans="1:100" ht="20.5" thickTop="1" thickBot="1" x14ac:dyDescent="0.5">
      <c r="A1149" s="32"/>
      <c r="B1149" s="10"/>
      <c r="C1149" s="10"/>
      <c r="D1149" s="11"/>
      <c r="E1149" s="10"/>
      <c r="F1149" s="10"/>
      <c r="G1149" s="19"/>
      <c r="H1149" s="19"/>
      <c r="I1149" s="19"/>
      <c r="J1149" s="19"/>
      <c r="K1149" s="10"/>
      <c r="L1149" s="10"/>
      <c r="M1149" s="10"/>
      <c r="N1149" s="10"/>
      <c r="O1149" s="18"/>
      <c r="P1149" s="18"/>
      <c r="Q1149" s="21"/>
      <c r="R1149" s="20"/>
      <c r="S1149" s="16">
        <f t="shared" si="789"/>
        <v>0</v>
      </c>
      <c r="T1149" s="11"/>
      <c r="AS1149" s="31">
        <f t="shared" si="790"/>
        <v>0</v>
      </c>
      <c r="AT1149" s="31">
        <f t="shared" si="791"/>
        <v>0</v>
      </c>
      <c r="AU1149" s="31">
        <f t="shared" si="792"/>
        <v>0</v>
      </c>
      <c r="AV1149" s="31">
        <f t="shared" si="793"/>
        <v>0</v>
      </c>
      <c r="AW1149" s="31">
        <f t="shared" si="794"/>
        <v>0</v>
      </c>
      <c r="AX1149" s="31">
        <f t="shared" si="795"/>
        <v>0</v>
      </c>
      <c r="AY1149" s="31">
        <f t="shared" si="796"/>
        <v>0</v>
      </c>
      <c r="AZ1149" s="31">
        <f t="shared" si="797"/>
        <v>0</v>
      </c>
      <c r="BA1149" s="31">
        <f t="shared" si="798"/>
        <v>0</v>
      </c>
      <c r="BB1149" s="31">
        <f t="shared" si="827"/>
        <v>0</v>
      </c>
      <c r="BM1149" s="8">
        <f t="shared" si="828"/>
        <v>0</v>
      </c>
      <c r="BN1149" s="8">
        <f t="shared" si="799"/>
        <v>0</v>
      </c>
      <c r="BO1149" s="8">
        <f t="shared" si="800"/>
        <v>0</v>
      </c>
      <c r="BQ1149" s="8">
        <f t="shared" si="801"/>
        <v>0</v>
      </c>
      <c r="BR1149" s="63">
        <f t="shared" si="802"/>
        <v>0</v>
      </c>
      <c r="BS1149" s="63">
        <f t="shared" si="829"/>
        <v>0</v>
      </c>
      <c r="BT1149" s="63">
        <f t="shared" si="803"/>
        <v>0</v>
      </c>
      <c r="BU1149" s="63">
        <f t="shared" si="804"/>
        <v>0</v>
      </c>
      <c r="BV1149" s="57">
        <f t="shared" si="805"/>
        <v>0</v>
      </c>
      <c r="BW1149" s="57">
        <f t="shared" si="806"/>
        <v>0</v>
      </c>
      <c r="BX1149" s="57">
        <f t="shared" si="830"/>
        <v>0</v>
      </c>
      <c r="BY1149" s="57">
        <f t="shared" si="834"/>
        <v>0</v>
      </c>
      <c r="BZ1149" s="8">
        <f t="shared" si="807"/>
        <v>0</v>
      </c>
      <c r="CA1149" s="8">
        <f t="shared" si="808"/>
        <v>0</v>
      </c>
      <c r="CB1149" s="8">
        <f t="shared" si="809"/>
        <v>0</v>
      </c>
      <c r="CC1149" s="8">
        <f t="shared" si="810"/>
        <v>0</v>
      </c>
      <c r="CD1149" s="8">
        <f t="shared" si="811"/>
        <v>0</v>
      </c>
      <c r="CE1149" s="8">
        <f t="shared" si="812"/>
        <v>0</v>
      </c>
      <c r="CF1149" s="8">
        <f t="shared" si="813"/>
        <v>0</v>
      </c>
      <c r="CG1149" s="8">
        <f t="shared" si="814"/>
        <v>0</v>
      </c>
      <c r="CH1149" s="8">
        <f t="shared" si="815"/>
        <v>0</v>
      </c>
      <c r="CI1149" s="8">
        <f t="shared" si="816"/>
        <v>0</v>
      </c>
      <c r="CJ1149" s="8">
        <f t="shared" si="817"/>
        <v>0</v>
      </c>
      <c r="CK1149" s="8">
        <f t="shared" si="818"/>
        <v>0</v>
      </c>
      <c r="CL1149" s="8">
        <f t="shared" si="819"/>
        <v>0</v>
      </c>
      <c r="CM1149" s="8">
        <f t="shared" si="820"/>
        <v>0</v>
      </c>
      <c r="CN1149" s="8">
        <f t="shared" si="821"/>
        <v>0</v>
      </c>
      <c r="CO1149" s="8">
        <f t="shared" si="822"/>
        <v>0</v>
      </c>
      <c r="CP1149" s="8">
        <f t="shared" si="823"/>
        <v>0</v>
      </c>
      <c r="CQ1149" s="8">
        <f t="shared" si="824"/>
        <v>0</v>
      </c>
      <c r="CR1149" s="8">
        <f t="shared" si="825"/>
        <v>0</v>
      </c>
      <c r="CS1149" s="8">
        <f t="shared" si="826"/>
        <v>0</v>
      </c>
      <c r="CT1149" s="8">
        <f t="shared" si="831"/>
        <v>0</v>
      </c>
      <c r="CU1149" s="8">
        <f t="shared" si="832"/>
        <v>0</v>
      </c>
      <c r="CV1149" s="8">
        <f t="shared" si="833"/>
        <v>0</v>
      </c>
    </row>
    <row r="1150" spans="1:100" ht="20.5" thickTop="1" thickBot="1" x14ac:dyDescent="0.5">
      <c r="A1150" s="32"/>
      <c r="B1150" s="10"/>
      <c r="C1150" s="10"/>
      <c r="D1150" s="11"/>
      <c r="E1150" s="10"/>
      <c r="F1150" s="10"/>
      <c r="G1150" s="19"/>
      <c r="H1150" s="19"/>
      <c r="I1150" s="19"/>
      <c r="J1150" s="19"/>
      <c r="K1150" s="10"/>
      <c r="L1150" s="10"/>
      <c r="M1150" s="10"/>
      <c r="N1150" s="10"/>
      <c r="O1150" s="18"/>
      <c r="P1150" s="18"/>
      <c r="Q1150" s="21"/>
      <c r="R1150" s="20"/>
      <c r="S1150" s="16">
        <f t="shared" si="789"/>
        <v>0</v>
      </c>
      <c r="T1150" s="11"/>
      <c r="AS1150" s="31">
        <f t="shared" si="790"/>
        <v>0</v>
      </c>
      <c r="AT1150" s="31">
        <f t="shared" si="791"/>
        <v>0</v>
      </c>
      <c r="AU1150" s="31">
        <f t="shared" si="792"/>
        <v>0</v>
      </c>
      <c r="AV1150" s="31">
        <f t="shared" si="793"/>
        <v>0</v>
      </c>
      <c r="AW1150" s="31">
        <f t="shared" si="794"/>
        <v>0</v>
      </c>
      <c r="AX1150" s="31">
        <f t="shared" si="795"/>
        <v>0</v>
      </c>
      <c r="AY1150" s="31">
        <f t="shared" si="796"/>
        <v>0</v>
      </c>
      <c r="AZ1150" s="31">
        <f t="shared" si="797"/>
        <v>0</v>
      </c>
      <c r="BA1150" s="31">
        <f t="shared" si="798"/>
        <v>0</v>
      </c>
      <c r="BB1150" s="31">
        <f t="shared" si="827"/>
        <v>0</v>
      </c>
      <c r="BM1150" s="8">
        <f t="shared" si="828"/>
        <v>0</v>
      </c>
      <c r="BN1150" s="8">
        <f t="shared" si="799"/>
        <v>0</v>
      </c>
      <c r="BO1150" s="8">
        <f t="shared" si="800"/>
        <v>0</v>
      </c>
      <c r="BQ1150" s="8">
        <f t="shared" si="801"/>
        <v>0</v>
      </c>
      <c r="BR1150" s="63">
        <f t="shared" si="802"/>
        <v>0</v>
      </c>
      <c r="BS1150" s="63">
        <f t="shared" si="829"/>
        <v>0</v>
      </c>
      <c r="BT1150" s="63">
        <f t="shared" si="803"/>
        <v>0</v>
      </c>
      <c r="BU1150" s="63">
        <f t="shared" si="804"/>
        <v>0</v>
      </c>
      <c r="BV1150" s="57">
        <f t="shared" si="805"/>
        <v>0</v>
      </c>
      <c r="BW1150" s="57">
        <f t="shared" si="806"/>
        <v>0</v>
      </c>
      <c r="BX1150" s="57">
        <f t="shared" si="830"/>
        <v>0</v>
      </c>
      <c r="BY1150" s="57">
        <f t="shared" si="834"/>
        <v>0</v>
      </c>
      <c r="BZ1150" s="8">
        <f t="shared" si="807"/>
        <v>0</v>
      </c>
      <c r="CA1150" s="8">
        <f t="shared" si="808"/>
        <v>0</v>
      </c>
      <c r="CB1150" s="8">
        <f t="shared" si="809"/>
        <v>0</v>
      </c>
      <c r="CC1150" s="8">
        <f t="shared" si="810"/>
        <v>0</v>
      </c>
      <c r="CD1150" s="8">
        <f t="shared" si="811"/>
        <v>0</v>
      </c>
      <c r="CE1150" s="8">
        <f t="shared" si="812"/>
        <v>0</v>
      </c>
      <c r="CF1150" s="8">
        <f t="shared" si="813"/>
        <v>0</v>
      </c>
      <c r="CG1150" s="8">
        <f t="shared" si="814"/>
        <v>0</v>
      </c>
      <c r="CH1150" s="8">
        <f t="shared" si="815"/>
        <v>0</v>
      </c>
      <c r="CI1150" s="8">
        <f t="shared" si="816"/>
        <v>0</v>
      </c>
      <c r="CJ1150" s="8">
        <f t="shared" si="817"/>
        <v>0</v>
      </c>
      <c r="CK1150" s="8">
        <f t="shared" si="818"/>
        <v>0</v>
      </c>
      <c r="CL1150" s="8">
        <f t="shared" si="819"/>
        <v>0</v>
      </c>
      <c r="CM1150" s="8">
        <f t="shared" si="820"/>
        <v>0</v>
      </c>
      <c r="CN1150" s="8">
        <f t="shared" si="821"/>
        <v>0</v>
      </c>
      <c r="CO1150" s="8">
        <f t="shared" si="822"/>
        <v>0</v>
      </c>
      <c r="CP1150" s="8">
        <f t="shared" si="823"/>
        <v>0</v>
      </c>
      <c r="CQ1150" s="8">
        <f t="shared" si="824"/>
        <v>0</v>
      </c>
      <c r="CR1150" s="8">
        <f t="shared" si="825"/>
        <v>0</v>
      </c>
      <c r="CS1150" s="8">
        <f t="shared" si="826"/>
        <v>0</v>
      </c>
      <c r="CT1150" s="8">
        <f t="shared" si="831"/>
        <v>0</v>
      </c>
      <c r="CU1150" s="8">
        <f t="shared" si="832"/>
        <v>0</v>
      </c>
      <c r="CV1150" s="8">
        <f t="shared" si="833"/>
        <v>0</v>
      </c>
    </row>
    <row r="1151" spans="1:100" ht="20.5" thickTop="1" thickBot="1" x14ac:dyDescent="0.5">
      <c r="A1151" s="32"/>
      <c r="B1151" s="10"/>
      <c r="C1151" s="10"/>
      <c r="D1151" s="11"/>
      <c r="E1151" s="10"/>
      <c r="F1151" s="10"/>
      <c r="G1151" s="19"/>
      <c r="H1151" s="19"/>
      <c r="I1151" s="19"/>
      <c r="J1151" s="19"/>
      <c r="K1151" s="10"/>
      <c r="L1151" s="10"/>
      <c r="M1151" s="10"/>
      <c r="N1151" s="10"/>
      <c r="O1151" s="18"/>
      <c r="P1151" s="18"/>
      <c r="Q1151" s="21"/>
      <c r="R1151" s="20"/>
      <c r="S1151" s="16">
        <f t="shared" si="789"/>
        <v>0</v>
      </c>
      <c r="T1151" s="11"/>
      <c r="AS1151" s="31">
        <f t="shared" si="790"/>
        <v>0</v>
      </c>
      <c r="AT1151" s="31">
        <f t="shared" si="791"/>
        <v>0</v>
      </c>
      <c r="AU1151" s="31">
        <f t="shared" si="792"/>
        <v>0</v>
      </c>
      <c r="AV1151" s="31">
        <f t="shared" si="793"/>
        <v>0</v>
      </c>
      <c r="AW1151" s="31">
        <f t="shared" si="794"/>
        <v>0</v>
      </c>
      <c r="AX1151" s="31">
        <f t="shared" si="795"/>
        <v>0</v>
      </c>
      <c r="AY1151" s="31">
        <f t="shared" si="796"/>
        <v>0</v>
      </c>
      <c r="AZ1151" s="31">
        <f t="shared" si="797"/>
        <v>0</v>
      </c>
      <c r="BA1151" s="31">
        <f t="shared" si="798"/>
        <v>0</v>
      </c>
      <c r="BB1151" s="31">
        <f t="shared" si="827"/>
        <v>0</v>
      </c>
      <c r="BM1151" s="8">
        <f t="shared" si="828"/>
        <v>0</v>
      </c>
      <c r="BN1151" s="8">
        <f t="shared" si="799"/>
        <v>0</v>
      </c>
      <c r="BO1151" s="8">
        <f t="shared" si="800"/>
        <v>0</v>
      </c>
      <c r="BQ1151" s="8">
        <f t="shared" si="801"/>
        <v>0</v>
      </c>
      <c r="BR1151" s="63">
        <f t="shared" si="802"/>
        <v>0</v>
      </c>
      <c r="BS1151" s="63">
        <f t="shared" si="829"/>
        <v>0</v>
      </c>
      <c r="BT1151" s="63">
        <f t="shared" si="803"/>
        <v>0</v>
      </c>
      <c r="BU1151" s="63">
        <f t="shared" si="804"/>
        <v>0</v>
      </c>
      <c r="BV1151" s="57">
        <f t="shared" si="805"/>
        <v>0</v>
      </c>
      <c r="BW1151" s="57">
        <f t="shared" si="806"/>
        <v>0</v>
      </c>
      <c r="BX1151" s="57">
        <f t="shared" si="830"/>
        <v>0</v>
      </c>
      <c r="BY1151" s="57">
        <f t="shared" si="834"/>
        <v>0</v>
      </c>
      <c r="BZ1151" s="8">
        <f t="shared" si="807"/>
        <v>0</v>
      </c>
      <c r="CA1151" s="8">
        <f t="shared" si="808"/>
        <v>0</v>
      </c>
      <c r="CB1151" s="8">
        <f t="shared" si="809"/>
        <v>0</v>
      </c>
      <c r="CC1151" s="8">
        <f t="shared" si="810"/>
        <v>0</v>
      </c>
      <c r="CD1151" s="8">
        <f t="shared" si="811"/>
        <v>0</v>
      </c>
      <c r="CE1151" s="8">
        <f t="shared" si="812"/>
        <v>0</v>
      </c>
      <c r="CF1151" s="8">
        <f t="shared" si="813"/>
        <v>0</v>
      </c>
      <c r="CG1151" s="8">
        <f t="shared" si="814"/>
        <v>0</v>
      </c>
      <c r="CH1151" s="8">
        <f t="shared" si="815"/>
        <v>0</v>
      </c>
      <c r="CI1151" s="8">
        <f t="shared" si="816"/>
        <v>0</v>
      </c>
      <c r="CJ1151" s="8">
        <f t="shared" si="817"/>
        <v>0</v>
      </c>
      <c r="CK1151" s="8">
        <f t="shared" si="818"/>
        <v>0</v>
      </c>
      <c r="CL1151" s="8">
        <f t="shared" si="819"/>
        <v>0</v>
      </c>
      <c r="CM1151" s="8">
        <f t="shared" si="820"/>
        <v>0</v>
      </c>
      <c r="CN1151" s="8">
        <f t="shared" si="821"/>
        <v>0</v>
      </c>
      <c r="CO1151" s="8">
        <f t="shared" si="822"/>
        <v>0</v>
      </c>
      <c r="CP1151" s="8">
        <f t="shared" si="823"/>
        <v>0</v>
      </c>
      <c r="CQ1151" s="8">
        <f t="shared" si="824"/>
        <v>0</v>
      </c>
      <c r="CR1151" s="8">
        <f t="shared" si="825"/>
        <v>0</v>
      </c>
      <c r="CS1151" s="8">
        <f t="shared" si="826"/>
        <v>0</v>
      </c>
      <c r="CT1151" s="8">
        <f t="shared" si="831"/>
        <v>0</v>
      </c>
      <c r="CU1151" s="8">
        <f t="shared" si="832"/>
        <v>0</v>
      </c>
      <c r="CV1151" s="8">
        <f t="shared" si="833"/>
        <v>0</v>
      </c>
    </row>
    <row r="1152" spans="1:100" ht="20.5" thickTop="1" thickBot="1" x14ac:dyDescent="0.5">
      <c r="A1152" s="32"/>
      <c r="B1152" s="10"/>
      <c r="C1152" s="10"/>
      <c r="D1152" s="11"/>
      <c r="E1152" s="10"/>
      <c r="F1152" s="10"/>
      <c r="G1152" s="19"/>
      <c r="H1152" s="19"/>
      <c r="I1152" s="19"/>
      <c r="J1152" s="19"/>
      <c r="K1152" s="10"/>
      <c r="L1152" s="10"/>
      <c r="M1152" s="10"/>
      <c r="N1152" s="10"/>
      <c r="O1152" s="18"/>
      <c r="P1152" s="18"/>
      <c r="Q1152" s="21"/>
      <c r="R1152" s="20"/>
      <c r="S1152" s="16">
        <f t="shared" si="789"/>
        <v>0</v>
      </c>
      <c r="T1152" s="11"/>
      <c r="AS1152" s="31">
        <f t="shared" si="790"/>
        <v>0</v>
      </c>
      <c r="AT1152" s="31">
        <f t="shared" si="791"/>
        <v>0</v>
      </c>
      <c r="AU1152" s="31">
        <f t="shared" si="792"/>
        <v>0</v>
      </c>
      <c r="AV1152" s="31">
        <f t="shared" si="793"/>
        <v>0</v>
      </c>
      <c r="AW1152" s="31">
        <f t="shared" si="794"/>
        <v>0</v>
      </c>
      <c r="AX1152" s="31">
        <f t="shared" si="795"/>
        <v>0</v>
      </c>
      <c r="AY1152" s="31">
        <f t="shared" si="796"/>
        <v>0</v>
      </c>
      <c r="AZ1152" s="31">
        <f t="shared" si="797"/>
        <v>0</v>
      </c>
      <c r="BA1152" s="31">
        <f t="shared" si="798"/>
        <v>0</v>
      </c>
      <c r="BB1152" s="31">
        <f t="shared" si="827"/>
        <v>0</v>
      </c>
      <c r="BM1152" s="8">
        <f t="shared" si="828"/>
        <v>0</v>
      </c>
      <c r="BN1152" s="8">
        <f t="shared" si="799"/>
        <v>0</v>
      </c>
      <c r="BO1152" s="8">
        <f t="shared" si="800"/>
        <v>0</v>
      </c>
      <c r="BQ1152" s="8">
        <f t="shared" si="801"/>
        <v>0</v>
      </c>
      <c r="BR1152" s="63">
        <f t="shared" si="802"/>
        <v>0</v>
      </c>
      <c r="BS1152" s="63">
        <f t="shared" si="829"/>
        <v>0</v>
      </c>
      <c r="BT1152" s="63">
        <f t="shared" si="803"/>
        <v>0</v>
      </c>
      <c r="BU1152" s="63">
        <f t="shared" si="804"/>
        <v>0</v>
      </c>
      <c r="BV1152" s="57">
        <f t="shared" si="805"/>
        <v>0</v>
      </c>
      <c r="BW1152" s="57">
        <f t="shared" si="806"/>
        <v>0</v>
      </c>
      <c r="BX1152" s="57">
        <f t="shared" si="830"/>
        <v>0</v>
      </c>
      <c r="BY1152" s="57">
        <f t="shared" si="834"/>
        <v>0</v>
      </c>
      <c r="BZ1152" s="8">
        <f t="shared" si="807"/>
        <v>0</v>
      </c>
      <c r="CA1152" s="8">
        <f t="shared" si="808"/>
        <v>0</v>
      </c>
      <c r="CB1152" s="8">
        <f t="shared" si="809"/>
        <v>0</v>
      </c>
      <c r="CC1152" s="8">
        <f t="shared" si="810"/>
        <v>0</v>
      </c>
      <c r="CD1152" s="8">
        <f t="shared" si="811"/>
        <v>0</v>
      </c>
      <c r="CE1152" s="8">
        <f t="shared" si="812"/>
        <v>0</v>
      </c>
      <c r="CF1152" s="8">
        <f t="shared" si="813"/>
        <v>0</v>
      </c>
      <c r="CG1152" s="8">
        <f t="shared" si="814"/>
        <v>0</v>
      </c>
      <c r="CH1152" s="8">
        <f t="shared" si="815"/>
        <v>0</v>
      </c>
      <c r="CI1152" s="8">
        <f t="shared" si="816"/>
        <v>0</v>
      </c>
      <c r="CJ1152" s="8">
        <f t="shared" si="817"/>
        <v>0</v>
      </c>
      <c r="CK1152" s="8">
        <f t="shared" si="818"/>
        <v>0</v>
      </c>
      <c r="CL1152" s="8">
        <f t="shared" si="819"/>
        <v>0</v>
      </c>
      <c r="CM1152" s="8">
        <f t="shared" si="820"/>
        <v>0</v>
      </c>
      <c r="CN1152" s="8">
        <f t="shared" si="821"/>
        <v>0</v>
      </c>
      <c r="CO1152" s="8">
        <f t="shared" si="822"/>
        <v>0</v>
      </c>
      <c r="CP1152" s="8">
        <f t="shared" si="823"/>
        <v>0</v>
      </c>
      <c r="CQ1152" s="8">
        <f t="shared" si="824"/>
        <v>0</v>
      </c>
      <c r="CR1152" s="8">
        <f t="shared" si="825"/>
        <v>0</v>
      </c>
      <c r="CS1152" s="8">
        <f t="shared" si="826"/>
        <v>0</v>
      </c>
      <c r="CT1152" s="8">
        <f t="shared" si="831"/>
        <v>0</v>
      </c>
      <c r="CU1152" s="8">
        <f t="shared" si="832"/>
        <v>0</v>
      </c>
      <c r="CV1152" s="8">
        <f t="shared" si="833"/>
        <v>0</v>
      </c>
    </row>
    <row r="1153" spans="1:100" ht="20.5" thickTop="1" thickBot="1" x14ac:dyDescent="0.5">
      <c r="A1153" s="32"/>
      <c r="B1153" s="10"/>
      <c r="C1153" s="10"/>
      <c r="D1153" s="11"/>
      <c r="E1153" s="10"/>
      <c r="F1153" s="10"/>
      <c r="G1153" s="19"/>
      <c r="H1153" s="19"/>
      <c r="I1153" s="19"/>
      <c r="J1153" s="19"/>
      <c r="K1153" s="10"/>
      <c r="L1153" s="10"/>
      <c r="M1153" s="10"/>
      <c r="N1153" s="10"/>
      <c r="O1153" s="18"/>
      <c r="P1153" s="18"/>
      <c r="Q1153" s="21"/>
      <c r="R1153" s="20"/>
      <c r="S1153" s="16">
        <f t="shared" si="789"/>
        <v>0</v>
      </c>
      <c r="T1153" s="11"/>
      <c r="AS1153" s="31">
        <f t="shared" si="790"/>
        <v>0</v>
      </c>
      <c r="AT1153" s="31">
        <f t="shared" si="791"/>
        <v>0</v>
      </c>
      <c r="AU1153" s="31">
        <f t="shared" si="792"/>
        <v>0</v>
      </c>
      <c r="AV1153" s="31">
        <f t="shared" si="793"/>
        <v>0</v>
      </c>
      <c r="AW1153" s="31">
        <f t="shared" si="794"/>
        <v>0</v>
      </c>
      <c r="AX1153" s="31">
        <f t="shared" si="795"/>
        <v>0</v>
      </c>
      <c r="AY1153" s="31">
        <f t="shared" si="796"/>
        <v>0</v>
      </c>
      <c r="AZ1153" s="31">
        <f t="shared" si="797"/>
        <v>0</v>
      </c>
      <c r="BA1153" s="31">
        <f t="shared" si="798"/>
        <v>0</v>
      </c>
      <c r="BB1153" s="31">
        <f t="shared" si="827"/>
        <v>0</v>
      </c>
      <c r="BM1153" s="8">
        <f t="shared" si="828"/>
        <v>0</v>
      </c>
      <c r="BN1153" s="8">
        <f t="shared" si="799"/>
        <v>0</v>
      </c>
      <c r="BO1153" s="8">
        <f t="shared" si="800"/>
        <v>0</v>
      </c>
      <c r="BQ1153" s="8">
        <f t="shared" si="801"/>
        <v>0</v>
      </c>
      <c r="BR1153" s="63">
        <f t="shared" si="802"/>
        <v>0</v>
      </c>
      <c r="BS1153" s="63">
        <f t="shared" si="829"/>
        <v>0</v>
      </c>
      <c r="BT1153" s="63">
        <f t="shared" si="803"/>
        <v>0</v>
      </c>
      <c r="BU1153" s="63">
        <f t="shared" si="804"/>
        <v>0</v>
      </c>
      <c r="BV1153" s="57">
        <f t="shared" si="805"/>
        <v>0</v>
      </c>
      <c r="BW1153" s="57">
        <f t="shared" si="806"/>
        <v>0</v>
      </c>
      <c r="BX1153" s="57">
        <f t="shared" si="830"/>
        <v>0</v>
      </c>
      <c r="BY1153" s="57">
        <f t="shared" si="834"/>
        <v>0</v>
      </c>
      <c r="BZ1153" s="8">
        <f t="shared" si="807"/>
        <v>0</v>
      </c>
      <c r="CA1153" s="8">
        <f t="shared" si="808"/>
        <v>0</v>
      </c>
      <c r="CB1153" s="8">
        <f t="shared" si="809"/>
        <v>0</v>
      </c>
      <c r="CC1153" s="8">
        <f t="shared" si="810"/>
        <v>0</v>
      </c>
      <c r="CD1153" s="8">
        <f t="shared" si="811"/>
        <v>0</v>
      </c>
      <c r="CE1153" s="8">
        <f t="shared" si="812"/>
        <v>0</v>
      </c>
      <c r="CF1153" s="8">
        <f t="shared" si="813"/>
        <v>0</v>
      </c>
      <c r="CG1153" s="8">
        <f t="shared" si="814"/>
        <v>0</v>
      </c>
      <c r="CH1153" s="8">
        <f t="shared" si="815"/>
        <v>0</v>
      </c>
      <c r="CI1153" s="8">
        <f t="shared" si="816"/>
        <v>0</v>
      </c>
      <c r="CJ1153" s="8">
        <f t="shared" si="817"/>
        <v>0</v>
      </c>
      <c r="CK1153" s="8">
        <f t="shared" si="818"/>
        <v>0</v>
      </c>
      <c r="CL1153" s="8">
        <f t="shared" si="819"/>
        <v>0</v>
      </c>
      <c r="CM1153" s="8">
        <f t="shared" si="820"/>
        <v>0</v>
      </c>
      <c r="CN1153" s="8">
        <f t="shared" si="821"/>
        <v>0</v>
      </c>
      <c r="CO1153" s="8">
        <f t="shared" si="822"/>
        <v>0</v>
      </c>
      <c r="CP1153" s="8">
        <f t="shared" si="823"/>
        <v>0</v>
      </c>
      <c r="CQ1153" s="8">
        <f t="shared" si="824"/>
        <v>0</v>
      </c>
      <c r="CR1153" s="8">
        <f t="shared" si="825"/>
        <v>0</v>
      </c>
      <c r="CS1153" s="8">
        <f t="shared" si="826"/>
        <v>0</v>
      </c>
      <c r="CT1153" s="8">
        <f t="shared" si="831"/>
        <v>0</v>
      </c>
      <c r="CU1153" s="8">
        <f t="shared" si="832"/>
        <v>0</v>
      </c>
      <c r="CV1153" s="8">
        <f t="shared" si="833"/>
        <v>0</v>
      </c>
    </row>
    <row r="1154" spans="1:100" ht="20.5" thickTop="1" thickBot="1" x14ac:dyDescent="0.5">
      <c r="A1154" s="32"/>
      <c r="B1154" s="10"/>
      <c r="C1154" s="10"/>
      <c r="D1154" s="11"/>
      <c r="E1154" s="10"/>
      <c r="F1154" s="10"/>
      <c r="G1154" s="19"/>
      <c r="H1154" s="19"/>
      <c r="I1154" s="19"/>
      <c r="J1154" s="19"/>
      <c r="K1154" s="10"/>
      <c r="L1154" s="10"/>
      <c r="M1154" s="10"/>
      <c r="N1154" s="10"/>
      <c r="O1154" s="18"/>
      <c r="P1154" s="18"/>
      <c r="Q1154" s="21"/>
      <c r="R1154" s="20"/>
      <c r="S1154" s="16">
        <f t="shared" si="789"/>
        <v>0</v>
      </c>
      <c r="T1154" s="11"/>
      <c r="AS1154" s="31">
        <f t="shared" si="790"/>
        <v>0</v>
      </c>
      <c r="AT1154" s="31">
        <f t="shared" si="791"/>
        <v>0</v>
      </c>
      <c r="AU1154" s="31">
        <f t="shared" si="792"/>
        <v>0</v>
      </c>
      <c r="AV1154" s="31">
        <f t="shared" si="793"/>
        <v>0</v>
      </c>
      <c r="AW1154" s="31">
        <f t="shared" si="794"/>
        <v>0</v>
      </c>
      <c r="AX1154" s="31">
        <f t="shared" si="795"/>
        <v>0</v>
      </c>
      <c r="AY1154" s="31">
        <f t="shared" si="796"/>
        <v>0</v>
      </c>
      <c r="AZ1154" s="31">
        <f t="shared" si="797"/>
        <v>0</v>
      </c>
      <c r="BA1154" s="31">
        <f t="shared" si="798"/>
        <v>0</v>
      </c>
      <c r="BB1154" s="31">
        <f t="shared" si="827"/>
        <v>0</v>
      </c>
      <c r="BM1154" s="8">
        <f t="shared" si="828"/>
        <v>0</v>
      </c>
      <c r="BN1154" s="8">
        <f t="shared" si="799"/>
        <v>0</v>
      </c>
      <c r="BO1154" s="8">
        <f t="shared" si="800"/>
        <v>0</v>
      </c>
      <c r="BQ1154" s="8">
        <f t="shared" si="801"/>
        <v>0</v>
      </c>
      <c r="BR1154" s="63">
        <f t="shared" si="802"/>
        <v>0</v>
      </c>
      <c r="BS1154" s="63">
        <f t="shared" si="829"/>
        <v>0</v>
      </c>
      <c r="BT1154" s="63">
        <f t="shared" si="803"/>
        <v>0</v>
      </c>
      <c r="BU1154" s="63">
        <f t="shared" si="804"/>
        <v>0</v>
      </c>
      <c r="BV1154" s="57">
        <f t="shared" si="805"/>
        <v>0</v>
      </c>
      <c r="BW1154" s="57">
        <f t="shared" si="806"/>
        <v>0</v>
      </c>
      <c r="BX1154" s="57">
        <f t="shared" si="830"/>
        <v>0</v>
      </c>
      <c r="BY1154" s="57">
        <f t="shared" si="834"/>
        <v>0</v>
      </c>
      <c r="BZ1154" s="8">
        <f t="shared" si="807"/>
        <v>0</v>
      </c>
      <c r="CA1154" s="8">
        <f t="shared" si="808"/>
        <v>0</v>
      </c>
      <c r="CB1154" s="8">
        <f t="shared" si="809"/>
        <v>0</v>
      </c>
      <c r="CC1154" s="8">
        <f t="shared" si="810"/>
        <v>0</v>
      </c>
      <c r="CD1154" s="8">
        <f t="shared" si="811"/>
        <v>0</v>
      </c>
      <c r="CE1154" s="8">
        <f t="shared" si="812"/>
        <v>0</v>
      </c>
      <c r="CF1154" s="8">
        <f t="shared" si="813"/>
        <v>0</v>
      </c>
      <c r="CG1154" s="8">
        <f t="shared" si="814"/>
        <v>0</v>
      </c>
      <c r="CH1154" s="8">
        <f t="shared" si="815"/>
        <v>0</v>
      </c>
      <c r="CI1154" s="8">
        <f t="shared" si="816"/>
        <v>0</v>
      </c>
      <c r="CJ1154" s="8">
        <f t="shared" si="817"/>
        <v>0</v>
      </c>
      <c r="CK1154" s="8">
        <f t="shared" si="818"/>
        <v>0</v>
      </c>
      <c r="CL1154" s="8">
        <f t="shared" si="819"/>
        <v>0</v>
      </c>
      <c r="CM1154" s="8">
        <f t="shared" si="820"/>
        <v>0</v>
      </c>
      <c r="CN1154" s="8">
        <f t="shared" si="821"/>
        <v>0</v>
      </c>
      <c r="CO1154" s="8">
        <f t="shared" si="822"/>
        <v>0</v>
      </c>
      <c r="CP1154" s="8">
        <f t="shared" si="823"/>
        <v>0</v>
      </c>
      <c r="CQ1154" s="8">
        <f t="shared" si="824"/>
        <v>0</v>
      </c>
      <c r="CR1154" s="8">
        <f t="shared" si="825"/>
        <v>0</v>
      </c>
      <c r="CS1154" s="8">
        <f t="shared" si="826"/>
        <v>0</v>
      </c>
      <c r="CT1154" s="8">
        <f t="shared" si="831"/>
        <v>0</v>
      </c>
      <c r="CU1154" s="8">
        <f t="shared" si="832"/>
        <v>0</v>
      </c>
      <c r="CV1154" s="8">
        <f t="shared" si="833"/>
        <v>0</v>
      </c>
    </row>
    <row r="1155" spans="1:100" ht="20.5" thickTop="1" thickBot="1" x14ac:dyDescent="0.5">
      <c r="A1155" s="32"/>
      <c r="B1155" s="10"/>
      <c r="C1155" s="10"/>
      <c r="D1155" s="11"/>
      <c r="E1155" s="10"/>
      <c r="F1155" s="10"/>
      <c r="G1155" s="19"/>
      <c r="H1155" s="19"/>
      <c r="I1155" s="19"/>
      <c r="J1155" s="19"/>
      <c r="K1155" s="10"/>
      <c r="L1155" s="10"/>
      <c r="M1155" s="10"/>
      <c r="N1155" s="10"/>
      <c r="O1155" s="18"/>
      <c r="P1155" s="18"/>
      <c r="Q1155" s="21"/>
      <c r="R1155" s="20"/>
      <c r="S1155" s="16">
        <f t="shared" si="789"/>
        <v>0</v>
      </c>
      <c r="T1155" s="11"/>
      <c r="AS1155" s="31">
        <f t="shared" si="790"/>
        <v>0</v>
      </c>
      <c r="AT1155" s="31">
        <f t="shared" si="791"/>
        <v>0</v>
      </c>
      <c r="AU1155" s="31">
        <f t="shared" si="792"/>
        <v>0</v>
      </c>
      <c r="AV1155" s="31">
        <f t="shared" si="793"/>
        <v>0</v>
      </c>
      <c r="AW1155" s="31">
        <f t="shared" si="794"/>
        <v>0</v>
      </c>
      <c r="AX1155" s="31">
        <f t="shared" si="795"/>
        <v>0</v>
      </c>
      <c r="AY1155" s="31">
        <f t="shared" si="796"/>
        <v>0</v>
      </c>
      <c r="AZ1155" s="31">
        <f t="shared" si="797"/>
        <v>0</v>
      </c>
      <c r="BA1155" s="31">
        <f t="shared" si="798"/>
        <v>0</v>
      </c>
      <c r="BB1155" s="31">
        <f t="shared" si="827"/>
        <v>0</v>
      </c>
      <c r="BM1155" s="8">
        <f t="shared" si="828"/>
        <v>0</v>
      </c>
      <c r="BN1155" s="8">
        <f t="shared" si="799"/>
        <v>0</v>
      </c>
      <c r="BO1155" s="8">
        <f t="shared" si="800"/>
        <v>0</v>
      </c>
      <c r="BQ1155" s="8">
        <f t="shared" si="801"/>
        <v>0</v>
      </c>
      <c r="BR1155" s="63">
        <f t="shared" si="802"/>
        <v>0</v>
      </c>
      <c r="BS1155" s="63">
        <f t="shared" si="829"/>
        <v>0</v>
      </c>
      <c r="BT1155" s="63">
        <f t="shared" si="803"/>
        <v>0</v>
      </c>
      <c r="BU1155" s="63">
        <f t="shared" si="804"/>
        <v>0</v>
      </c>
      <c r="BV1155" s="57">
        <f t="shared" si="805"/>
        <v>0</v>
      </c>
      <c r="BW1155" s="57">
        <f t="shared" si="806"/>
        <v>0</v>
      </c>
      <c r="BX1155" s="57">
        <f t="shared" si="830"/>
        <v>0</v>
      </c>
      <c r="BY1155" s="57">
        <f t="shared" si="834"/>
        <v>0</v>
      </c>
      <c r="BZ1155" s="8">
        <f t="shared" si="807"/>
        <v>0</v>
      </c>
      <c r="CA1155" s="8">
        <f t="shared" si="808"/>
        <v>0</v>
      </c>
      <c r="CB1155" s="8">
        <f t="shared" si="809"/>
        <v>0</v>
      </c>
      <c r="CC1155" s="8">
        <f t="shared" si="810"/>
        <v>0</v>
      </c>
      <c r="CD1155" s="8">
        <f t="shared" si="811"/>
        <v>0</v>
      </c>
      <c r="CE1155" s="8">
        <f t="shared" si="812"/>
        <v>0</v>
      </c>
      <c r="CF1155" s="8">
        <f t="shared" si="813"/>
        <v>0</v>
      </c>
      <c r="CG1155" s="8">
        <f t="shared" si="814"/>
        <v>0</v>
      </c>
      <c r="CH1155" s="8">
        <f t="shared" si="815"/>
        <v>0</v>
      </c>
      <c r="CI1155" s="8">
        <f t="shared" si="816"/>
        <v>0</v>
      </c>
      <c r="CJ1155" s="8">
        <f t="shared" si="817"/>
        <v>0</v>
      </c>
      <c r="CK1155" s="8">
        <f t="shared" si="818"/>
        <v>0</v>
      </c>
      <c r="CL1155" s="8">
        <f t="shared" si="819"/>
        <v>0</v>
      </c>
      <c r="CM1155" s="8">
        <f t="shared" si="820"/>
        <v>0</v>
      </c>
      <c r="CN1155" s="8">
        <f t="shared" si="821"/>
        <v>0</v>
      </c>
      <c r="CO1155" s="8">
        <f t="shared" si="822"/>
        <v>0</v>
      </c>
      <c r="CP1155" s="8">
        <f t="shared" si="823"/>
        <v>0</v>
      </c>
      <c r="CQ1155" s="8">
        <f t="shared" si="824"/>
        <v>0</v>
      </c>
      <c r="CR1155" s="8">
        <f t="shared" si="825"/>
        <v>0</v>
      </c>
      <c r="CS1155" s="8">
        <f t="shared" si="826"/>
        <v>0</v>
      </c>
      <c r="CT1155" s="8">
        <f t="shared" si="831"/>
        <v>0</v>
      </c>
      <c r="CU1155" s="8">
        <f t="shared" si="832"/>
        <v>0</v>
      </c>
      <c r="CV1155" s="8">
        <f t="shared" si="833"/>
        <v>0</v>
      </c>
    </row>
    <row r="1156" spans="1:100" ht="20.5" thickTop="1" thickBot="1" x14ac:dyDescent="0.5">
      <c r="A1156" s="32"/>
      <c r="B1156" s="10"/>
      <c r="C1156" s="10"/>
      <c r="D1156" s="11"/>
      <c r="E1156" s="10"/>
      <c r="F1156" s="10"/>
      <c r="G1156" s="19"/>
      <c r="H1156" s="19"/>
      <c r="I1156" s="19"/>
      <c r="J1156" s="19"/>
      <c r="K1156" s="10"/>
      <c r="L1156" s="10"/>
      <c r="M1156" s="10"/>
      <c r="N1156" s="10"/>
      <c r="O1156" s="18"/>
      <c r="P1156" s="18"/>
      <c r="Q1156" s="21"/>
      <c r="R1156" s="20"/>
      <c r="S1156" s="16">
        <f t="shared" ref="S1156:S1219" si="835">IF(AND(K1156="asphalted",M1156="sub",BV1156&lt;=1,BV1156&gt;0),1+2*0.15,IF(AND(K1156="asphalted",OR(M1156="main",M1156="MOT"),BV1156&lt;=1,BV1156&gt;0),1+2*0.3,IF(AND(K1156="asphalted",M1156="sub",BV1156&gt;1),BV1156+2*0.15,IF(AND(K1156="asphalted",OR(M1156="main",M1156="MOT"),BV1156&gt;1),BV1156+2*0.3,0))))</f>
        <v>0</v>
      </c>
      <c r="T1156" s="11"/>
      <c r="AS1156" s="31">
        <f t="shared" ref="AS1156:AS1219" si="836">IF(F1156=1,0.4,IF(F1156&gt;1,F1156*0.3,0))</f>
        <v>0</v>
      </c>
      <c r="AT1156" s="31">
        <f t="shared" ref="AT1156:AT1219" si="837">IF(AND(G1156&lt;4,G1156&gt;0),0.4,IF(G1156&gt;3,0.4+(G1156-3)*0.1,0))</f>
        <v>0</v>
      </c>
      <c r="AU1156" s="31">
        <f t="shared" ref="AU1156:AU1219" si="838">AT1156-AS1156</f>
        <v>0</v>
      </c>
      <c r="AV1156" s="31">
        <f t="shared" ref="AV1156:AV1219" si="839">IF(AND(OR(OR(E1156="normal",E1156="special"),E1156="special"),F1156=0,G1156&gt;0,G1156&lt;5),"LV"&amp;G1156,IF(AND(OR(OR(E1156="normal",E1156="special"),E1156="special"),F1156=0,G1156&gt;4),"LVCU",IF(AND(OR(OR(E1156="normal",E1156="special"),E1156="special"),F1156&gt;4),"MVCU",IF(AND(OR(OR(E1156="normal",E1156="special"),E1156="special"),F1156&gt;0,F1156&lt;5),"MV"&amp;F1156,IF(AND(E1156="mini-trench",F1156=1),"mini-trench MV",IF(AND(E1156="mini-trench",G1156&lt;3,G1156&lt;&gt;0),"mini-trench LV",0))))))</f>
        <v>0</v>
      </c>
      <c r="AW1156" s="31">
        <f t="shared" ref="AW1156:AW1219" si="840">IF(B1156="joint",F1156,0)+IF(C1156="joint",F1156,0)+IF(OR(B1156="new ss",B1156="ss"),F1156*3)+IF(B1156="pole",F1156*10)+IF(OR(C1156="new ss",C1156="ss"),F1156*3)+IF(C1156="pole",F1156*10)+IF(B1156="grid",F1156*30)+IF(C1156="grid",F1156*30)</f>
        <v>0</v>
      </c>
      <c r="AX1156" s="31">
        <f t="shared" ref="AX1156:AX1219" si="841">IF(J1156&gt;0,IF(OR(B1156="ss",C1156="ss"),J1156*3,0)+IF(OR(B1156="new ss",C1156="new ss"),J1156*3,0)+IF(OR(B1156="DC",C1156="DC"),J1156*1.5,0)+IF(OR(B1156="new DC",C1156="new DC"),J1156*1.5,0)+IF(OR(B1156="MB",C1156="MB"),J1156*2,0)+IF(OR(B1156="pole",C1156="pole"),J1156*10,0),0)</f>
        <v>0</v>
      </c>
      <c r="AY1156" s="31">
        <f t="shared" ref="AY1156:AY1219" si="842">IF(I1156&gt;0,IF(OR(B1156="ss",C1156="ss"),I1156*3,0)+IF(OR(B1156="new ss",C1156="new ss"),I1156*3,0)+IF(OR(B1156="DC",C1156="DC"),I1156*1.5,0)+IF(OR(B1156="new DC",C1156="new DC"),J1156*1.5,0)+IF(OR(B1156="MB",C1156="MB"),I1156*2,0)+IF(OR(B1156="pole",C1156="pole"),I1156*10,0),0)</f>
        <v>0</v>
      </c>
      <c r="AZ1156" s="31">
        <f t="shared" ref="AZ1156:AZ1219" si="843">IF(H1156&gt;0,IF(OR(B1156="ss",C1156="ss"),H1156*3,0)+IF(OR(B1156="new ss",C1156="new ss"),H1156*3,0)+IF(OR(B1156="DC",C1156="DC"),H1156*2,0)+IF(OR(B1156="new DC",C1156="new DC"),H1156*1.5,0)+IF(OR(B1156="MB",C1156="MB"),H1156*2,0)+IF(OR(B1156="pole",C1156="pole"),H1156*10,0)+IF(OR(B1156="pole",C1156="pole"),H1156*10,0),0)</f>
        <v>0</v>
      </c>
      <c r="BA1156" s="31">
        <f t="shared" ref="BA1156:BA1219" si="844">IF(E1156="manual",IF(AU1156&lt;0,D1156*AS1156*0.8,IF(AND(AS1156&gt;0,AU1156&gt;0),D1156*AS1156*0.8+D1156*AU1156*0.65,IF(AND(AS1156=0,AT1156&gt;0),D1156*AT1156*0.65,0))),0)</f>
        <v>0</v>
      </c>
      <c r="BB1156" s="31">
        <f t="shared" si="827"/>
        <v>0</v>
      </c>
      <c r="BM1156" s="8">
        <f t="shared" si="828"/>
        <v>0</v>
      </c>
      <c r="BN1156" s="8">
        <f t="shared" ref="BN1156:BN1219" si="845">IFERROR(IF(AND(K1156="asphalted",E1156="mini-trench",R1156=""),1*D1156,IF(AND(K1156="asphalted",R1156&gt;0,MandRcalc="Complete M&amp;R area"),R1156*D1156,IF(AND(K1156="asphalted",R1156&gt;0,MandRcalc="M&amp;R area - asphalting area"),(R1156-BR1156/D1156)*D1156,0))),0)</f>
        <v>0</v>
      </c>
      <c r="BO1156" s="8">
        <f t="shared" ref="BO1156:BO1219" si="846">IF(BQ1156&lt;MINEXCNA,0,IF(AND(E1156="normal",F1156&lt;5,G1156&lt;12,K1156&lt;&gt;"asphalted",AT1156&gt;AS1156,AS1156&lt;&gt;0),(BQ1156-AT1156)*0.65,IF(AND(E1156="normal",F1156&lt;5,G1156&lt;12,K1156&lt;&gt;"asphalted",AS1156&gt;=AT1156),(BQ1156-AS1156)*0.8,IF(AND(E1156="normal",F1156&lt;5,G1156&lt;12,K1156&lt;&gt;"asphalted",AT1156&gt;0,AS1156=0),(BQ1156-AT1156)*0.65,0)))*D1156)</f>
        <v>0</v>
      </c>
      <c r="BQ1156" s="8">
        <f t="shared" ref="BQ1156:BQ1219" si="847">IF(E1156="special",O1156,IF(AND(OR(E1156="normal",E1156="manual"),O1156="",K1156="asphalted",BV1156&lt;=MINEXC),MINEXC,IF(AND(OR(E1156="normal",E1156="manual"),O1156&lt;&gt;"",K1156="asphalted"),MIN(O1156,BV1156),IF(AND(OR(E1156="normal",E1156="manual"),O1156="",K1156&lt;&gt;"asphalted",BV1156&lt;=MINEXCNA),MINEXCNA,IF(AND(OR(E1156="normal",E1156="manual"),O1156&lt;&gt;"",K1156&lt;&gt;"asphalted"),MIN(O1156,BV1156),BV1156)))))</f>
        <v>0</v>
      </c>
      <c r="BR1156" s="63">
        <f t="shared" ref="BR1156:BR1219" si="848">IFERROR(IF(AND(E1156&lt;&gt;"mini-trecnh",K1156="asphalted",Q1156&lt;&gt;"",S1156=0),D1156*Q1156,IF(AND(E1156&lt;&gt;"mini-trecnh",K1156="asphalted",Q1156&lt;&gt;"",S1156&lt;&gt;0),D1156*MIN(Q1156,S1156),IF(AND(E1156&lt;&gt;"mini-trecnh",K1156="asphalted",Q1156=""),D1156*S1156,0))),0)</f>
        <v>0</v>
      </c>
      <c r="BS1156" s="63">
        <f t="shared" si="829"/>
        <v>0</v>
      </c>
      <c r="BT1156" s="63">
        <f t="shared" ref="BT1156:BT1219" si="849">IF(BQ1156&lt;MINEXC,0,IF(AND(E1156="normal",F1156&lt;5,G1156&lt;12,K1156="asphalted",AT1156&gt;AS1156,AS1156&lt;&gt;0),(BQ1156-AT1156)*0.65,IF(AND(E1156="normal",F1156&lt;5,G1156&lt;12,K1156="asphalted",AS1156&gt;=AT1156),(BQ1156-AS1156)*0.8,IF(AND(E1156="normal",F1156&lt;5,G1156&lt;12,K1156="asphalted",AT1156&gt;0,AS1156=0),(BQ1156-AT1156)*0.65,0)))*D1156)</f>
        <v>0</v>
      </c>
      <c r="BU1156" s="63">
        <f t="shared" ref="BU1156:BU1219" si="850">IF(E1156="",0,IF(OR(BT1156&gt;0,BO1156&gt;0),0,IF(AND(F1156&gt;4,G1156=0),(BQ1156-1.2)*D1156*0.8,IF(AND(G1156&gt;4,F1156=0),(BQ1156-0.4)*D1156*0.65,IF(OR(AND(G1156&gt;4,F1156&gt;0),AND(F1156&gt;4,G1156&gt;0)),(IF(AS1156&gt;1.2,(AS1156-1.2)*D1156*0.8,0)+IF(AT1156&gt;AS1156,(AT1156-AS1156)*D1156*0.65,0)),0)))))</f>
        <v>0</v>
      </c>
      <c r="BV1156" s="57">
        <f t="shared" ref="BV1156:BV1219" si="851">IF(AND(E1156&lt;&gt;"mini-trench",E1156&lt;&gt;"special"),MAX(AS1156:AT1156),0)</f>
        <v>0</v>
      </c>
      <c r="BW1156" s="57">
        <f t="shared" ref="BW1156:BW1219" si="852">IF(AND(E1156&lt;&gt;"mini-trench",E1156&lt;&gt;"special",BV1156&gt;0,BV1156&lt;1,K1156="asphalted"),IF(O1156&lt;&gt;"",MIN(O1156,1),1),IF(AND(E1156&lt;&gt;"mini-trench",E1156&lt;&gt;"special",BV1156&gt;0,BV1156&gt;1,K1156="asphalted"),BV1156,0))</f>
        <v>0</v>
      </c>
      <c r="BX1156" s="57">
        <f t="shared" si="830"/>
        <v>0</v>
      </c>
      <c r="BY1156" s="57">
        <f t="shared" si="834"/>
        <v>0</v>
      </c>
      <c r="BZ1156" s="8">
        <f t="shared" ref="BZ1156:BZ1219" si="853">IF(E1156="special",O1156*P1156*D1156-D1156*IF(AV1156="MV1",0.8*0.4,IF(AV1156="MV2",0.8*0.6,IF(AV1156="MV3",0.8*0.9,IF(OR(AV1156="MV4",AV1156="MVCU"),0.8*1.2,IF(AV1156="LV1-3",0.65*0.4,IF(OR(AV1156="LV4",AV1156="LVCU"),0.65*0.5)))))),0)</f>
        <v>0</v>
      </c>
      <c r="CA1156" s="8">
        <f t="shared" ref="CA1156:CA1219" si="854">IF(AND(E1156&lt;&gt;"special",K1156="Paved interlock"),D1156*BV1156,IF(AND(E1156="special",K1156="Paved interlock"),D1156*O1156,0))</f>
        <v>0</v>
      </c>
      <c r="CB1156" s="8">
        <f t="shared" ref="CB1156:CB1219" si="855">IF(AND(E1156&lt;&gt;"special",K1156="Paved conc.tiles"),D1156*BV1156,IF(AND(E1156="special",K1156="Paved conc.tiles"),D1156*O1156,0))</f>
        <v>0</v>
      </c>
      <c r="CC1156" s="8">
        <f t="shared" ref="CC1156:CC1219" si="856">IF(AND(E1156="special",K1156="asphalted"),D1156*Q1156,0)</f>
        <v>0</v>
      </c>
      <c r="CD1156" s="8">
        <f t="shared" ref="CD1156:CD1219" si="857">IF(OR(K1156="Paved interlock",K1156="Paved conc.tiles"),1,0)</f>
        <v>0</v>
      </c>
      <c r="CE1156" s="8">
        <f t="shared" ref="CE1156:CE1219" si="858">IFERROR(BR1156/D1156,0)</f>
        <v>0</v>
      </c>
      <c r="CF1156" s="8">
        <f t="shared" ref="CF1156:CF1219" si="859">IF(AND(F1156&gt;0,B1156="j transition"),F1156,0)+IF(AND(F1156&gt;0,C1156="j transition"),F1156,0)</f>
        <v>0</v>
      </c>
      <c r="CG1156" s="8">
        <f t="shared" ref="CG1156:CG1219" si="860">IF(AND(F1156&gt;0,OR(B1156="grid",B1156="ss",B1156="pole",B1156="new ss")),F1156,0)+IF(AND(F1156&gt;0,OR(C1156="grid",C1156="ss",C1156="pole",C1156="new ss")),F1156,0)</f>
        <v>0</v>
      </c>
      <c r="CH1156" s="8">
        <f t="shared" ref="CH1156:CH1219" si="861">IF(AND(F1156&gt;0,B1156="joint"),F1156,0)+IF(AND(F1156&gt;0,C1156="joint"),F1156,0)+IF(AND(F1156&gt;0,B1156="j transition"),F1156,0)+IF(AND(F1156&gt;0,C1156="j transition"),F1156,0)</f>
        <v>0</v>
      </c>
      <c r="CI1156" s="8">
        <f t="shared" ref="CI1156:CI1219" si="862">IF(AND(H1156&gt;0,B1156="joint"),H1156,0)+IF(AND(H1156&gt;0,C1156="joint"),H1156,0)</f>
        <v>0</v>
      </c>
      <c r="CJ1156" s="8">
        <f t="shared" ref="CJ1156:CJ1219" si="863">IF(AND(I1156&gt;0,B1156="joint"),I1156,0)+IF(AND(I1156&gt;0,C1156="joint"),I1156,0)</f>
        <v>0</v>
      </c>
      <c r="CK1156" s="8">
        <f t="shared" ref="CK1156:CK1219" si="864">IF(AND(J1156&gt;0,B1156="joint"),J1156,0)+IF(AND(J1156&gt;0,C1156="joint"),J1156,0)</f>
        <v>0</v>
      </c>
      <c r="CL1156" s="8">
        <f t="shared" ref="CL1156:CL1219" si="865">IF(AND(H1156&gt;0,OR(B1156="ss",B1156="new ss",B1156="DC",B1156="new DC")),H1156,0)+IF(AND(H1156&gt;0,OR(C1156="new ss",C1156="ss",C1156="DC",C1156="new DC")),H1156,0)</f>
        <v>0</v>
      </c>
      <c r="CM1156" s="8">
        <f t="shared" ref="CM1156:CM1219" si="866">CO1156+CP1156</f>
        <v>0</v>
      </c>
      <c r="CN1156" s="8">
        <f t="shared" ref="CN1156:CN1219" si="867">IF(OR(B1156="new DC",C1156="new DC"),H1156,0)</f>
        <v>0</v>
      </c>
      <c r="CO1156" s="8">
        <f t="shared" ref="CO1156:CO1219" si="868">IF(AND(J1156&gt;0,OR(B1156="ss",B1156="new ss",B1156="DC",B1156="new DC")),J1156,0)+IF(AND(J1156&gt;0,OR(C1156="new ss",C1156="ss",C1156="DC",C1156="new DC")),J1156,0)</f>
        <v>0</v>
      </c>
      <c r="CP1156" s="8">
        <f t="shared" ref="CP1156:CP1219" si="869">IF(AND(I1156&gt;0,OR(B1156="ss",B1156="new ss",B1156="DC",B1156="new DC")),I1156,0)+IF(AND(I1156&gt;0,OR(C1156="new ss",C1156="ss",C1156="DC",C1156="new DC")),I1156,0)</f>
        <v>0</v>
      </c>
      <c r="CQ1156" s="8">
        <f t="shared" ref="CQ1156:CQ1219" si="870">IF(AND(F1156&gt;0,OR(B1156="ss",B1156="new ss")),F1156,0)+IF(AND(F1156&gt;0,OR(C1156="ss",C1156="new ss")),F1156,0)</f>
        <v>0</v>
      </c>
      <c r="CR1156" s="8">
        <f t="shared" ref="CR1156:CR1219" si="871">IF(AND(F1156&gt;0,OR(B1156="grid")),F1156,0)+IF(AND(F1156&gt;0,OR(C1156="grid")),F1156,0)</f>
        <v>0</v>
      </c>
      <c r="CS1156" s="8">
        <f t="shared" ref="CS1156:CS1219" si="872">IF(AND(F1156&gt;0,OR(B1156="pole")),F1156,0)+IF(AND(F1156&gt;0,OR(C1156="pole")),F1156,0)</f>
        <v>0</v>
      </c>
      <c r="CT1156" s="8">
        <f t="shared" si="831"/>
        <v>0</v>
      </c>
      <c r="CU1156" s="8">
        <f t="shared" si="832"/>
        <v>0</v>
      </c>
      <c r="CV1156" s="8">
        <f t="shared" si="833"/>
        <v>0</v>
      </c>
    </row>
    <row r="1157" spans="1:100" ht="20.5" thickTop="1" thickBot="1" x14ac:dyDescent="0.5">
      <c r="A1157" s="32"/>
      <c r="B1157" s="10"/>
      <c r="C1157" s="10"/>
      <c r="D1157" s="11"/>
      <c r="E1157" s="10"/>
      <c r="F1157" s="10"/>
      <c r="G1157" s="19"/>
      <c r="H1157" s="19"/>
      <c r="I1157" s="19"/>
      <c r="J1157" s="19"/>
      <c r="K1157" s="10"/>
      <c r="L1157" s="10"/>
      <c r="M1157" s="10"/>
      <c r="N1157" s="10"/>
      <c r="O1157" s="18"/>
      <c r="P1157" s="18"/>
      <c r="Q1157" s="21"/>
      <c r="R1157" s="20"/>
      <c r="S1157" s="16">
        <f t="shared" si="835"/>
        <v>0</v>
      </c>
      <c r="T1157" s="11"/>
      <c r="AS1157" s="31">
        <f t="shared" si="836"/>
        <v>0</v>
      </c>
      <c r="AT1157" s="31">
        <f t="shared" si="837"/>
        <v>0</v>
      </c>
      <c r="AU1157" s="31">
        <f t="shared" si="838"/>
        <v>0</v>
      </c>
      <c r="AV1157" s="31">
        <f t="shared" si="839"/>
        <v>0</v>
      </c>
      <c r="AW1157" s="31">
        <f t="shared" si="840"/>
        <v>0</v>
      </c>
      <c r="AX1157" s="31">
        <f t="shared" si="841"/>
        <v>0</v>
      </c>
      <c r="AY1157" s="31">
        <f t="shared" si="842"/>
        <v>0</v>
      </c>
      <c r="AZ1157" s="31">
        <f t="shared" si="843"/>
        <v>0</v>
      </c>
      <c r="BA1157" s="31">
        <f t="shared" si="844"/>
        <v>0</v>
      </c>
      <c r="BB1157" s="31">
        <f t="shared" ref="BB1157:BB1220" si="873">IFERROR(IF(BN1157&gt;0,0,IF(AND(E1157="normal",(BR1157/D1157)&gt;1),BR1157,0)),0)</f>
        <v>0</v>
      </c>
      <c r="BM1157" s="8">
        <f t="shared" ref="BM1157:BM1220" si="874">IF(AND(E1157&lt;&gt;"special",K1157="Concrete"),D1157*BV1157,IF(AND(E1157="special",K1157="Concrete"),D1157*O1157,0))</f>
        <v>0</v>
      </c>
      <c r="BN1157" s="8">
        <f t="shared" si="845"/>
        <v>0</v>
      </c>
      <c r="BO1157" s="8">
        <f t="shared" si="846"/>
        <v>0</v>
      </c>
      <c r="BQ1157" s="8">
        <f t="shared" si="847"/>
        <v>0</v>
      </c>
      <c r="BR1157" s="63">
        <f t="shared" si="848"/>
        <v>0</v>
      </c>
      <c r="BS1157" s="63">
        <f t="shared" ref="BS1157:BS1220" si="875">BN1157 + IF(BN1157&gt;0,IF(R1156=0, R1157, 0) + IF(R1158=0, R1157, 0),0)</f>
        <v>0</v>
      </c>
      <c r="BT1157" s="63">
        <f t="shared" si="849"/>
        <v>0</v>
      </c>
      <c r="BU1157" s="63">
        <f t="shared" si="850"/>
        <v>0</v>
      </c>
      <c r="BV1157" s="57">
        <f t="shared" si="851"/>
        <v>0</v>
      </c>
      <c r="BW1157" s="57">
        <f t="shared" si="852"/>
        <v>0</v>
      </c>
      <c r="BX1157" s="57">
        <f t="shared" ref="BX1157:BX1220" si="876">IF(AND(R1157&gt;0,MandRcalc="Asphalting then M&amp;R"),R1157*D1157,IF(AND(R1157&gt;0,MandRcalc="Milling then Repaving"),(R1157-BR1157)*D1157,0))</f>
        <v>0</v>
      </c>
      <c r="BY1157" s="57">
        <f t="shared" si="834"/>
        <v>0</v>
      </c>
      <c r="BZ1157" s="8">
        <f t="shared" si="853"/>
        <v>0</v>
      </c>
      <c r="CA1157" s="8">
        <f t="shared" si="854"/>
        <v>0</v>
      </c>
      <c r="CB1157" s="8">
        <f t="shared" si="855"/>
        <v>0</v>
      </c>
      <c r="CC1157" s="8">
        <f t="shared" si="856"/>
        <v>0</v>
      </c>
      <c r="CD1157" s="8">
        <f t="shared" si="857"/>
        <v>0</v>
      </c>
      <c r="CE1157" s="8">
        <f t="shared" si="858"/>
        <v>0</v>
      </c>
      <c r="CF1157" s="8">
        <f t="shared" si="859"/>
        <v>0</v>
      </c>
      <c r="CG1157" s="8">
        <f t="shared" si="860"/>
        <v>0</v>
      </c>
      <c r="CH1157" s="8">
        <f t="shared" si="861"/>
        <v>0</v>
      </c>
      <c r="CI1157" s="8">
        <f t="shared" si="862"/>
        <v>0</v>
      </c>
      <c r="CJ1157" s="8">
        <f t="shared" si="863"/>
        <v>0</v>
      </c>
      <c r="CK1157" s="8">
        <f t="shared" si="864"/>
        <v>0</v>
      </c>
      <c r="CL1157" s="8">
        <f t="shared" si="865"/>
        <v>0</v>
      </c>
      <c r="CM1157" s="8">
        <f t="shared" si="866"/>
        <v>0</v>
      </c>
      <c r="CN1157" s="8">
        <f t="shared" si="867"/>
        <v>0</v>
      </c>
      <c r="CO1157" s="8">
        <f t="shared" si="868"/>
        <v>0</v>
      </c>
      <c r="CP1157" s="8">
        <f t="shared" si="869"/>
        <v>0</v>
      </c>
      <c r="CQ1157" s="8">
        <f t="shared" si="870"/>
        <v>0</v>
      </c>
      <c r="CR1157" s="8">
        <f t="shared" si="871"/>
        <v>0</v>
      </c>
      <c r="CS1157" s="8">
        <f t="shared" si="872"/>
        <v>0</v>
      </c>
      <c r="CT1157" s="8">
        <f t="shared" si="831"/>
        <v>0</v>
      </c>
      <c r="CU1157" s="8">
        <f t="shared" si="832"/>
        <v>0</v>
      </c>
      <c r="CV1157" s="8">
        <f t="shared" si="833"/>
        <v>0</v>
      </c>
    </row>
    <row r="1158" spans="1:100" ht="20.5" thickTop="1" thickBot="1" x14ac:dyDescent="0.5">
      <c r="A1158" s="32"/>
      <c r="B1158" s="10"/>
      <c r="C1158" s="10"/>
      <c r="D1158" s="11"/>
      <c r="E1158" s="10"/>
      <c r="F1158" s="10"/>
      <c r="G1158" s="19"/>
      <c r="H1158" s="19"/>
      <c r="I1158" s="19"/>
      <c r="J1158" s="19"/>
      <c r="K1158" s="10"/>
      <c r="L1158" s="10"/>
      <c r="M1158" s="10"/>
      <c r="N1158" s="10"/>
      <c r="O1158" s="18"/>
      <c r="P1158" s="18"/>
      <c r="Q1158" s="21"/>
      <c r="R1158" s="20"/>
      <c r="S1158" s="16">
        <f t="shared" si="835"/>
        <v>0</v>
      </c>
      <c r="T1158" s="11"/>
      <c r="AS1158" s="31">
        <f t="shared" si="836"/>
        <v>0</v>
      </c>
      <c r="AT1158" s="31">
        <f t="shared" si="837"/>
        <v>0</v>
      </c>
      <c r="AU1158" s="31">
        <f t="shared" si="838"/>
        <v>0</v>
      </c>
      <c r="AV1158" s="31">
        <f t="shared" si="839"/>
        <v>0</v>
      </c>
      <c r="AW1158" s="31">
        <f t="shared" si="840"/>
        <v>0</v>
      </c>
      <c r="AX1158" s="31">
        <f t="shared" si="841"/>
        <v>0</v>
      </c>
      <c r="AY1158" s="31">
        <f t="shared" si="842"/>
        <v>0</v>
      </c>
      <c r="AZ1158" s="31">
        <f t="shared" si="843"/>
        <v>0</v>
      </c>
      <c r="BA1158" s="31">
        <f t="shared" si="844"/>
        <v>0</v>
      </c>
      <c r="BB1158" s="31">
        <f t="shared" si="873"/>
        <v>0</v>
      </c>
      <c r="BM1158" s="8">
        <f t="shared" si="874"/>
        <v>0</v>
      </c>
      <c r="BN1158" s="8">
        <f t="shared" si="845"/>
        <v>0</v>
      </c>
      <c r="BO1158" s="8">
        <f t="shared" si="846"/>
        <v>0</v>
      </c>
      <c r="BQ1158" s="8">
        <f t="shared" si="847"/>
        <v>0</v>
      </c>
      <c r="BR1158" s="63">
        <f t="shared" si="848"/>
        <v>0</v>
      </c>
      <c r="BS1158" s="63">
        <f t="shared" si="875"/>
        <v>0</v>
      </c>
      <c r="BT1158" s="63">
        <f t="shared" si="849"/>
        <v>0</v>
      </c>
      <c r="BU1158" s="63">
        <f t="shared" si="850"/>
        <v>0</v>
      </c>
      <c r="BV1158" s="57">
        <f t="shared" si="851"/>
        <v>0</v>
      </c>
      <c r="BW1158" s="57">
        <f t="shared" si="852"/>
        <v>0</v>
      </c>
      <c r="BX1158" s="57">
        <f t="shared" si="876"/>
        <v>0</v>
      </c>
      <c r="BY1158" s="57">
        <f t="shared" si="834"/>
        <v>0</v>
      </c>
      <c r="BZ1158" s="8">
        <f t="shared" si="853"/>
        <v>0</v>
      </c>
      <c r="CA1158" s="8">
        <f t="shared" si="854"/>
        <v>0</v>
      </c>
      <c r="CB1158" s="8">
        <f t="shared" si="855"/>
        <v>0</v>
      </c>
      <c r="CC1158" s="8">
        <f t="shared" si="856"/>
        <v>0</v>
      </c>
      <c r="CD1158" s="8">
        <f t="shared" si="857"/>
        <v>0</v>
      </c>
      <c r="CE1158" s="8">
        <f t="shared" si="858"/>
        <v>0</v>
      </c>
      <c r="CF1158" s="8">
        <f t="shared" si="859"/>
        <v>0</v>
      </c>
      <c r="CG1158" s="8">
        <f t="shared" si="860"/>
        <v>0</v>
      </c>
      <c r="CH1158" s="8">
        <f t="shared" si="861"/>
        <v>0</v>
      </c>
      <c r="CI1158" s="8">
        <f t="shared" si="862"/>
        <v>0</v>
      </c>
      <c r="CJ1158" s="8">
        <f t="shared" si="863"/>
        <v>0</v>
      </c>
      <c r="CK1158" s="8">
        <f t="shared" si="864"/>
        <v>0</v>
      </c>
      <c r="CL1158" s="8">
        <f t="shared" si="865"/>
        <v>0</v>
      </c>
      <c r="CM1158" s="8">
        <f t="shared" si="866"/>
        <v>0</v>
      </c>
      <c r="CN1158" s="8">
        <f t="shared" si="867"/>
        <v>0</v>
      </c>
      <c r="CO1158" s="8">
        <f t="shared" si="868"/>
        <v>0</v>
      </c>
      <c r="CP1158" s="8">
        <f t="shared" si="869"/>
        <v>0</v>
      </c>
      <c r="CQ1158" s="8">
        <f t="shared" si="870"/>
        <v>0</v>
      </c>
      <c r="CR1158" s="8">
        <f t="shared" si="871"/>
        <v>0</v>
      </c>
      <c r="CS1158" s="8">
        <f t="shared" si="872"/>
        <v>0</v>
      </c>
      <c r="CT1158" s="8">
        <f t="shared" si="831"/>
        <v>0</v>
      </c>
      <c r="CU1158" s="8">
        <f t="shared" si="832"/>
        <v>0</v>
      </c>
      <c r="CV1158" s="8">
        <f t="shared" si="833"/>
        <v>0</v>
      </c>
    </row>
    <row r="1159" spans="1:100" ht="20.5" thickTop="1" thickBot="1" x14ac:dyDescent="0.5">
      <c r="A1159" s="32"/>
      <c r="B1159" s="10"/>
      <c r="C1159" s="10"/>
      <c r="D1159" s="11"/>
      <c r="E1159" s="10"/>
      <c r="F1159" s="10"/>
      <c r="G1159" s="19"/>
      <c r="H1159" s="19"/>
      <c r="I1159" s="19"/>
      <c r="J1159" s="19"/>
      <c r="K1159" s="10"/>
      <c r="L1159" s="10"/>
      <c r="M1159" s="10"/>
      <c r="N1159" s="10"/>
      <c r="O1159" s="18"/>
      <c r="P1159" s="18"/>
      <c r="Q1159" s="21"/>
      <c r="R1159" s="20"/>
      <c r="S1159" s="16">
        <f t="shared" si="835"/>
        <v>0</v>
      </c>
      <c r="T1159" s="11"/>
      <c r="AS1159" s="31">
        <f t="shared" si="836"/>
        <v>0</v>
      </c>
      <c r="AT1159" s="31">
        <f t="shared" si="837"/>
        <v>0</v>
      </c>
      <c r="AU1159" s="31">
        <f t="shared" si="838"/>
        <v>0</v>
      </c>
      <c r="AV1159" s="31">
        <f t="shared" si="839"/>
        <v>0</v>
      </c>
      <c r="AW1159" s="31">
        <f t="shared" si="840"/>
        <v>0</v>
      </c>
      <c r="AX1159" s="31">
        <f t="shared" si="841"/>
        <v>0</v>
      </c>
      <c r="AY1159" s="31">
        <f t="shared" si="842"/>
        <v>0</v>
      </c>
      <c r="AZ1159" s="31">
        <f t="shared" si="843"/>
        <v>0</v>
      </c>
      <c r="BA1159" s="31">
        <f t="shared" si="844"/>
        <v>0</v>
      </c>
      <c r="BB1159" s="31">
        <f t="shared" si="873"/>
        <v>0</v>
      </c>
      <c r="BM1159" s="8">
        <f t="shared" si="874"/>
        <v>0</v>
      </c>
      <c r="BN1159" s="8">
        <f t="shared" si="845"/>
        <v>0</v>
      </c>
      <c r="BO1159" s="8">
        <f t="shared" si="846"/>
        <v>0</v>
      </c>
      <c r="BQ1159" s="8">
        <f t="shared" si="847"/>
        <v>0</v>
      </c>
      <c r="BR1159" s="63">
        <f t="shared" si="848"/>
        <v>0</v>
      </c>
      <c r="BS1159" s="63">
        <f t="shared" si="875"/>
        <v>0</v>
      </c>
      <c r="BT1159" s="63">
        <f t="shared" si="849"/>
        <v>0</v>
      </c>
      <c r="BU1159" s="63">
        <f t="shared" si="850"/>
        <v>0</v>
      </c>
      <c r="BV1159" s="57">
        <f t="shared" si="851"/>
        <v>0</v>
      </c>
      <c r="BW1159" s="57">
        <f t="shared" si="852"/>
        <v>0</v>
      </c>
      <c r="BX1159" s="57">
        <f t="shared" si="876"/>
        <v>0</v>
      </c>
      <c r="BY1159" s="57">
        <f t="shared" si="834"/>
        <v>0</v>
      </c>
      <c r="BZ1159" s="8">
        <f t="shared" si="853"/>
        <v>0</v>
      </c>
      <c r="CA1159" s="8">
        <f t="shared" si="854"/>
        <v>0</v>
      </c>
      <c r="CB1159" s="8">
        <f t="shared" si="855"/>
        <v>0</v>
      </c>
      <c r="CC1159" s="8">
        <f t="shared" si="856"/>
        <v>0</v>
      </c>
      <c r="CD1159" s="8">
        <f t="shared" si="857"/>
        <v>0</v>
      </c>
      <c r="CE1159" s="8">
        <f t="shared" si="858"/>
        <v>0</v>
      </c>
      <c r="CF1159" s="8">
        <f t="shared" si="859"/>
        <v>0</v>
      </c>
      <c r="CG1159" s="8">
        <f t="shared" si="860"/>
        <v>0</v>
      </c>
      <c r="CH1159" s="8">
        <f t="shared" si="861"/>
        <v>0</v>
      </c>
      <c r="CI1159" s="8">
        <f t="shared" si="862"/>
        <v>0</v>
      </c>
      <c r="CJ1159" s="8">
        <f t="shared" si="863"/>
        <v>0</v>
      </c>
      <c r="CK1159" s="8">
        <f t="shared" si="864"/>
        <v>0</v>
      </c>
      <c r="CL1159" s="8">
        <f t="shared" si="865"/>
        <v>0</v>
      </c>
      <c r="CM1159" s="8">
        <f t="shared" si="866"/>
        <v>0</v>
      </c>
      <c r="CN1159" s="8">
        <f t="shared" si="867"/>
        <v>0</v>
      </c>
      <c r="CO1159" s="8">
        <f t="shared" si="868"/>
        <v>0</v>
      </c>
      <c r="CP1159" s="8">
        <f t="shared" si="869"/>
        <v>0</v>
      </c>
      <c r="CQ1159" s="8">
        <f t="shared" si="870"/>
        <v>0</v>
      </c>
      <c r="CR1159" s="8">
        <f t="shared" si="871"/>
        <v>0</v>
      </c>
      <c r="CS1159" s="8">
        <f t="shared" si="872"/>
        <v>0</v>
      </c>
      <c r="CT1159" s="8">
        <f t="shared" si="831"/>
        <v>0</v>
      </c>
      <c r="CU1159" s="8">
        <f t="shared" si="832"/>
        <v>0</v>
      </c>
      <c r="CV1159" s="8">
        <f t="shared" si="833"/>
        <v>0</v>
      </c>
    </row>
    <row r="1160" spans="1:100" ht="20.5" thickTop="1" thickBot="1" x14ac:dyDescent="0.5">
      <c r="A1160" s="32"/>
      <c r="B1160" s="10"/>
      <c r="C1160" s="10"/>
      <c r="D1160" s="11"/>
      <c r="E1160" s="10"/>
      <c r="F1160" s="10"/>
      <c r="G1160" s="19"/>
      <c r="H1160" s="19"/>
      <c r="I1160" s="19"/>
      <c r="J1160" s="19"/>
      <c r="K1160" s="10"/>
      <c r="L1160" s="10"/>
      <c r="M1160" s="10"/>
      <c r="N1160" s="10"/>
      <c r="O1160" s="18"/>
      <c r="P1160" s="18"/>
      <c r="Q1160" s="21"/>
      <c r="R1160" s="20"/>
      <c r="S1160" s="16">
        <f t="shared" si="835"/>
        <v>0</v>
      </c>
      <c r="T1160" s="11"/>
      <c r="AS1160" s="31">
        <f t="shared" si="836"/>
        <v>0</v>
      </c>
      <c r="AT1160" s="31">
        <f t="shared" si="837"/>
        <v>0</v>
      </c>
      <c r="AU1160" s="31">
        <f t="shared" si="838"/>
        <v>0</v>
      </c>
      <c r="AV1160" s="31">
        <f t="shared" si="839"/>
        <v>0</v>
      </c>
      <c r="AW1160" s="31">
        <f t="shared" si="840"/>
        <v>0</v>
      </c>
      <c r="AX1160" s="31">
        <f t="shared" si="841"/>
        <v>0</v>
      </c>
      <c r="AY1160" s="31">
        <f t="shared" si="842"/>
        <v>0</v>
      </c>
      <c r="AZ1160" s="31">
        <f t="shared" si="843"/>
        <v>0</v>
      </c>
      <c r="BA1160" s="31">
        <f t="shared" si="844"/>
        <v>0</v>
      </c>
      <c r="BB1160" s="31">
        <f t="shared" si="873"/>
        <v>0</v>
      </c>
      <c r="BM1160" s="8">
        <f t="shared" si="874"/>
        <v>0</v>
      </c>
      <c r="BN1160" s="8">
        <f t="shared" si="845"/>
        <v>0</v>
      </c>
      <c r="BO1160" s="8">
        <f t="shared" si="846"/>
        <v>0</v>
      </c>
      <c r="BQ1160" s="8">
        <f t="shared" si="847"/>
        <v>0</v>
      </c>
      <c r="BR1160" s="63">
        <f t="shared" si="848"/>
        <v>0</v>
      </c>
      <c r="BS1160" s="63">
        <f t="shared" si="875"/>
        <v>0</v>
      </c>
      <c r="BT1160" s="63">
        <f t="shared" si="849"/>
        <v>0</v>
      </c>
      <c r="BU1160" s="63">
        <f t="shared" si="850"/>
        <v>0</v>
      </c>
      <c r="BV1160" s="57">
        <f t="shared" si="851"/>
        <v>0</v>
      </c>
      <c r="BW1160" s="57">
        <f t="shared" si="852"/>
        <v>0</v>
      </c>
      <c r="BX1160" s="57">
        <f t="shared" si="876"/>
        <v>0</v>
      </c>
      <c r="BY1160" s="57">
        <f t="shared" si="834"/>
        <v>0</v>
      </c>
      <c r="BZ1160" s="8">
        <f t="shared" si="853"/>
        <v>0</v>
      </c>
      <c r="CA1160" s="8">
        <f t="shared" si="854"/>
        <v>0</v>
      </c>
      <c r="CB1160" s="8">
        <f t="shared" si="855"/>
        <v>0</v>
      </c>
      <c r="CC1160" s="8">
        <f t="shared" si="856"/>
        <v>0</v>
      </c>
      <c r="CD1160" s="8">
        <f t="shared" si="857"/>
        <v>0</v>
      </c>
      <c r="CE1160" s="8">
        <f t="shared" si="858"/>
        <v>0</v>
      </c>
      <c r="CF1160" s="8">
        <f t="shared" si="859"/>
        <v>0</v>
      </c>
      <c r="CG1160" s="8">
        <f t="shared" si="860"/>
        <v>0</v>
      </c>
      <c r="CH1160" s="8">
        <f t="shared" si="861"/>
        <v>0</v>
      </c>
      <c r="CI1160" s="8">
        <f t="shared" si="862"/>
        <v>0</v>
      </c>
      <c r="CJ1160" s="8">
        <f t="shared" si="863"/>
        <v>0</v>
      </c>
      <c r="CK1160" s="8">
        <f t="shared" si="864"/>
        <v>0</v>
      </c>
      <c r="CL1160" s="8">
        <f t="shared" si="865"/>
        <v>0</v>
      </c>
      <c r="CM1160" s="8">
        <f t="shared" si="866"/>
        <v>0</v>
      </c>
      <c r="CN1160" s="8">
        <f t="shared" si="867"/>
        <v>0</v>
      </c>
      <c r="CO1160" s="8">
        <f t="shared" si="868"/>
        <v>0</v>
      </c>
      <c r="CP1160" s="8">
        <f t="shared" si="869"/>
        <v>0</v>
      </c>
      <c r="CQ1160" s="8">
        <f t="shared" si="870"/>
        <v>0</v>
      </c>
      <c r="CR1160" s="8">
        <f t="shared" si="871"/>
        <v>0</v>
      </c>
      <c r="CS1160" s="8">
        <f t="shared" si="872"/>
        <v>0</v>
      </c>
      <c r="CT1160" s="8">
        <f t="shared" si="831"/>
        <v>0</v>
      </c>
      <c r="CU1160" s="8">
        <f t="shared" si="832"/>
        <v>0</v>
      </c>
      <c r="CV1160" s="8">
        <f t="shared" si="833"/>
        <v>0</v>
      </c>
    </row>
    <row r="1161" spans="1:100" ht="20.5" thickTop="1" thickBot="1" x14ac:dyDescent="0.5">
      <c r="A1161" s="32"/>
      <c r="B1161" s="10"/>
      <c r="C1161" s="10"/>
      <c r="D1161" s="11"/>
      <c r="E1161" s="10"/>
      <c r="F1161" s="10"/>
      <c r="G1161" s="19"/>
      <c r="H1161" s="19"/>
      <c r="I1161" s="19"/>
      <c r="J1161" s="19"/>
      <c r="K1161" s="10"/>
      <c r="L1161" s="10"/>
      <c r="M1161" s="10"/>
      <c r="N1161" s="10"/>
      <c r="O1161" s="18"/>
      <c r="P1161" s="18"/>
      <c r="Q1161" s="21"/>
      <c r="R1161" s="20"/>
      <c r="S1161" s="16">
        <f t="shared" si="835"/>
        <v>0</v>
      </c>
      <c r="T1161" s="11"/>
      <c r="AS1161" s="31">
        <f t="shared" si="836"/>
        <v>0</v>
      </c>
      <c r="AT1161" s="31">
        <f t="shared" si="837"/>
        <v>0</v>
      </c>
      <c r="AU1161" s="31">
        <f t="shared" si="838"/>
        <v>0</v>
      </c>
      <c r="AV1161" s="31">
        <f t="shared" si="839"/>
        <v>0</v>
      </c>
      <c r="AW1161" s="31">
        <f t="shared" si="840"/>
        <v>0</v>
      </c>
      <c r="AX1161" s="31">
        <f t="shared" si="841"/>
        <v>0</v>
      </c>
      <c r="AY1161" s="31">
        <f t="shared" si="842"/>
        <v>0</v>
      </c>
      <c r="AZ1161" s="31">
        <f t="shared" si="843"/>
        <v>0</v>
      </c>
      <c r="BA1161" s="31">
        <f t="shared" si="844"/>
        <v>0</v>
      </c>
      <c r="BB1161" s="31">
        <f t="shared" si="873"/>
        <v>0</v>
      </c>
      <c r="BM1161" s="8">
        <f t="shared" si="874"/>
        <v>0</v>
      </c>
      <c r="BN1161" s="8">
        <f t="shared" si="845"/>
        <v>0</v>
      </c>
      <c r="BO1161" s="8">
        <f t="shared" si="846"/>
        <v>0</v>
      </c>
      <c r="BQ1161" s="8">
        <f t="shared" si="847"/>
        <v>0</v>
      </c>
      <c r="BR1161" s="63">
        <f t="shared" si="848"/>
        <v>0</v>
      </c>
      <c r="BS1161" s="63">
        <f t="shared" si="875"/>
        <v>0</v>
      </c>
      <c r="BT1161" s="63">
        <f t="shared" si="849"/>
        <v>0</v>
      </c>
      <c r="BU1161" s="63">
        <f t="shared" si="850"/>
        <v>0</v>
      </c>
      <c r="BV1161" s="57">
        <f t="shared" si="851"/>
        <v>0</v>
      </c>
      <c r="BW1161" s="57">
        <f t="shared" si="852"/>
        <v>0</v>
      </c>
      <c r="BX1161" s="57">
        <f t="shared" si="876"/>
        <v>0</v>
      </c>
      <c r="BY1161" s="57">
        <f t="shared" si="834"/>
        <v>0</v>
      </c>
      <c r="BZ1161" s="8">
        <f t="shared" si="853"/>
        <v>0</v>
      </c>
      <c r="CA1161" s="8">
        <f t="shared" si="854"/>
        <v>0</v>
      </c>
      <c r="CB1161" s="8">
        <f t="shared" si="855"/>
        <v>0</v>
      </c>
      <c r="CC1161" s="8">
        <f t="shared" si="856"/>
        <v>0</v>
      </c>
      <c r="CD1161" s="8">
        <f t="shared" si="857"/>
        <v>0</v>
      </c>
      <c r="CE1161" s="8">
        <f t="shared" si="858"/>
        <v>0</v>
      </c>
      <c r="CF1161" s="8">
        <f t="shared" si="859"/>
        <v>0</v>
      </c>
      <c r="CG1161" s="8">
        <f t="shared" si="860"/>
        <v>0</v>
      </c>
      <c r="CH1161" s="8">
        <f t="shared" si="861"/>
        <v>0</v>
      </c>
      <c r="CI1161" s="8">
        <f t="shared" si="862"/>
        <v>0</v>
      </c>
      <c r="CJ1161" s="8">
        <f t="shared" si="863"/>
        <v>0</v>
      </c>
      <c r="CK1161" s="8">
        <f t="shared" si="864"/>
        <v>0</v>
      </c>
      <c r="CL1161" s="8">
        <f t="shared" si="865"/>
        <v>0</v>
      </c>
      <c r="CM1161" s="8">
        <f t="shared" si="866"/>
        <v>0</v>
      </c>
      <c r="CN1161" s="8">
        <f t="shared" si="867"/>
        <v>0</v>
      </c>
      <c r="CO1161" s="8">
        <f t="shared" si="868"/>
        <v>0</v>
      </c>
      <c r="CP1161" s="8">
        <f t="shared" si="869"/>
        <v>0</v>
      </c>
      <c r="CQ1161" s="8">
        <f t="shared" si="870"/>
        <v>0</v>
      </c>
      <c r="CR1161" s="8">
        <f t="shared" si="871"/>
        <v>0</v>
      </c>
      <c r="CS1161" s="8">
        <f t="shared" si="872"/>
        <v>0</v>
      </c>
      <c r="CT1161" s="8">
        <f t="shared" si="831"/>
        <v>0</v>
      </c>
      <c r="CU1161" s="8">
        <f t="shared" si="832"/>
        <v>0</v>
      </c>
      <c r="CV1161" s="8">
        <f t="shared" si="833"/>
        <v>0</v>
      </c>
    </row>
    <row r="1162" spans="1:100" ht="20.5" thickTop="1" thickBot="1" x14ac:dyDescent="0.5">
      <c r="A1162" s="32"/>
      <c r="B1162" s="10"/>
      <c r="C1162" s="10"/>
      <c r="D1162" s="11"/>
      <c r="E1162" s="10"/>
      <c r="F1162" s="10"/>
      <c r="G1162" s="19"/>
      <c r="H1162" s="19"/>
      <c r="I1162" s="19"/>
      <c r="J1162" s="19"/>
      <c r="K1162" s="10"/>
      <c r="L1162" s="10"/>
      <c r="M1162" s="10"/>
      <c r="N1162" s="10"/>
      <c r="O1162" s="18"/>
      <c r="P1162" s="18"/>
      <c r="Q1162" s="21"/>
      <c r="R1162" s="20"/>
      <c r="S1162" s="16">
        <f t="shared" si="835"/>
        <v>0</v>
      </c>
      <c r="T1162" s="11"/>
      <c r="AS1162" s="31">
        <f t="shared" si="836"/>
        <v>0</v>
      </c>
      <c r="AT1162" s="31">
        <f t="shared" si="837"/>
        <v>0</v>
      </c>
      <c r="AU1162" s="31">
        <f t="shared" si="838"/>
        <v>0</v>
      </c>
      <c r="AV1162" s="31">
        <f t="shared" si="839"/>
        <v>0</v>
      </c>
      <c r="AW1162" s="31">
        <f t="shared" si="840"/>
        <v>0</v>
      </c>
      <c r="AX1162" s="31">
        <f t="shared" si="841"/>
        <v>0</v>
      </c>
      <c r="AY1162" s="31">
        <f t="shared" si="842"/>
        <v>0</v>
      </c>
      <c r="AZ1162" s="31">
        <f t="shared" si="843"/>
        <v>0</v>
      </c>
      <c r="BA1162" s="31">
        <f t="shared" si="844"/>
        <v>0</v>
      </c>
      <c r="BB1162" s="31">
        <f t="shared" si="873"/>
        <v>0</v>
      </c>
      <c r="BM1162" s="8">
        <f t="shared" si="874"/>
        <v>0</v>
      </c>
      <c r="BN1162" s="8">
        <f t="shared" si="845"/>
        <v>0</v>
      </c>
      <c r="BO1162" s="8">
        <f t="shared" si="846"/>
        <v>0</v>
      </c>
      <c r="BQ1162" s="8">
        <f t="shared" si="847"/>
        <v>0</v>
      </c>
      <c r="BR1162" s="63">
        <f t="shared" si="848"/>
        <v>0</v>
      </c>
      <c r="BS1162" s="63">
        <f t="shared" si="875"/>
        <v>0</v>
      </c>
      <c r="BT1162" s="63">
        <f t="shared" si="849"/>
        <v>0</v>
      </c>
      <c r="BU1162" s="63">
        <f t="shared" si="850"/>
        <v>0</v>
      </c>
      <c r="BV1162" s="57">
        <f t="shared" si="851"/>
        <v>0</v>
      </c>
      <c r="BW1162" s="57">
        <f t="shared" si="852"/>
        <v>0</v>
      </c>
      <c r="BX1162" s="57">
        <f t="shared" si="876"/>
        <v>0</v>
      </c>
      <c r="BY1162" s="57">
        <f t="shared" si="834"/>
        <v>0</v>
      </c>
      <c r="BZ1162" s="8">
        <f t="shared" si="853"/>
        <v>0</v>
      </c>
      <c r="CA1162" s="8">
        <f t="shared" si="854"/>
        <v>0</v>
      </c>
      <c r="CB1162" s="8">
        <f t="shared" si="855"/>
        <v>0</v>
      </c>
      <c r="CC1162" s="8">
        <f t="shared" si="856"/>
        <v>0</v>
      </c>
      <c r="CD1162" s="8">
        <f t="shared" si="857"/>
        <v>0</v>
      </c>
      <c r="CE1162" s="8">
        <f t="shared" si="858"/>
        <v>0</v>
      </c>
      <c r="CF1162" s="8">
        <f t="shared" si="859"/>
        <v>0</v>
      </c>
      <c r="CG1162" s="8">
        <f t="shared" si="860"/>
        <v>0</v>
      </c>
      <c r="CH1162" s="8">
        <f t="shared" si="861"/>
        <v>0</v>
      </c>
      <c r="CI1162" s="8">
        <f t="shared" si="862"/>
        <v>0</v>
      </c>
      <c r="CJ1162" s="8">
        <f t="shared" si="863"/>
        <v>0</v>
      </c>
      <c r="CK1162" s="8">
        <f t="shared" si="864"/>
        <v>0</v>
      </c>
      <c r="CL1162" s="8">
        <f t="shared" si="865"/>
        <v>0</v>
      </c>
      <c r="CM1162" s="8">
        <f t="shared" si="866"/>
        <v>0</v>
      </c>
      <c r="CN1162" s="8">
        <f t="shared" si="867"/>
        <v>0</v>
      </c>
      <c r="CO1162" s="8">
        <f t="shared" si="868"/>
        <v>0</v>
      </c>
      <c r="CP1162" s="8">
        <f t="shared" si="869"/>
        <v>0</v>
      </c>
      <c r="CQ1162" s="8">
        <f t="shared" si="870"/>
        <v>0</v>
      </c>
      <c r="CR1162" s="8">
        <f t="shared" si="871"/>
        <v>0</v>
      </c>
      <c r="CS1162" s="8">
        <f t="shared" si="872"/>
        <v>0</v>
      </c>
      <c r="CT1162" s="8">
        <f t="shared" si="831"/>
        <v>0</v>
      </c>
      <c r="CU1162" s="8">
        <f t="shared" si="832"/>
        <v>0</v>
      </c>
      <c r="CV1162" s="8">
        <f t="shared" si="833"/>
        <v>0</v>
      </c>
    </row>
    <row r="1163" spans="1:100" ht="20.5" thickTop="1" thickBot="1" x14ac:dyDescent="0.5">
      <c r="A1163" s="32"/>
      <c r="B1163" s="10"/>
      <c r="C1163" s="10"/>
      <c r="D1163" s="11"/>
      <c r="E1163" s="10"/>
      <c r="F1163" s="10"/>
      <c r="G1163" s="19"/>
      <c r="H1163" s="19"/>
      <c r="I1163" s="19"/>
      <c r="J1163" s="19"/>
      <c r="K1163" s="10"/>
      <c r="L1163" s="10"/>
      <c r="M1163" s="10"/>
      <c r="N1163" s="10"/>
      <c r="O1163" s="18"/>
      <c r="P1163" s="18"/>
      <c r="Q1163" s="21"/>
      <c r="R1163" s="20"/>
      <c r="S1163" s="16">
        <f t="shared" si="835"/>
        <v>0</v>
      </c>
      <c r="T1163" s="11"/>
      <c r="AS1163" s="31">
        <f t="shared" si="836"/>
        <v>0</v>
      </c>
      <c r="AT1163" s="31">
        <f t="shared" si="837"/>
        <v>0</v>
      </c>
      <c r="AU1163" s="31">
        <f t="shared" si="838"/>
        <v>0</v>
      </c>
      <c r="AV1163" s="31">
        <f t="shared" si="839"/>
        <v>0</v>
      </c>
      <c r="AW1163" s="31">
        <f t="shared" si="840"/>
        <v>0</v>
      </c>
      <c r="AX1163" s="31">
        <f t="shared" si="841"/>
        <v>0</v>
      </c>
      <c r="AY1163" s="31">
        <f t="shared" si="842"/>
        <v>0</v>
      </c>
      <c r="AZ1163" s="31">
        <f t="shared" si="843"/>
        <v>0</v>
      </c>
      <c r="BA1163" s="31">
        <f t="shared" si="844"/>
        <v>0</v>
      </c>
      <c r="BB1163" s="31">
        <f t="shared" si="873"/>
        <v>0</v>
      </c>
      <c r="BM1163" s="8">
        <f t="shared" si="874"/>
        <v>0</v>
      </c>
      <c r="BN1163" s="8">
        <f t="shared" si="845"/>
        <v>0</v>
      </c>
      <c r="BO1163" s="8">
        <f t="shared" si="846"/>
        <v>0</v>
      </c>
      <c r="BQ1163" s="8">
        <f t="shared" si="847"/>
        <v>0</v>
      </c>
      <c r="BR1163" s="63">
        <f t="shared" si="848"/>
        <v>0</v>
      </c>
      <c r="BS1163" s="63">
        <f t="shared" si="875"/>
        <v>0</v>
      </c>
      <c r="BT1163" s="63">
        <f t="shared" si="849"/>
        <v>0</v>
      </c>
      <c r="BU1163" s="63">
        <f t="shared" si="850"/>
        <v>0</v>
      </c>
      <c r="BV1163" s="57">
        <f t="shared" si="851"/>
        <v>0</v>
      </c>
      <c r="BW1163" s="57">
        <f t="shared" si="852"/>
        <v>0</v>
      </c>
      <c r="BX1163" s="57">
        <f t="shared" si="876"/>
        <v>0</v>
      </c>
      <c r="BY1163" s="57">
        <f t="shared" si="834"/>
        <v>0</v>
      </c>
      <c r="BZ1163" s="8">
        <f t="shared" si="853"/>
        <v>0</v>
      </c>
      <c r="CA1163" s="8">
        <f t="shared" si="854"/>
        <v>0</v>
      </c>
      <c r="CB1163" s="8">
        <f t="shared" si="855"/>
        <v>0</v>
      </c>
      <c r="CC1163" s="8">
        <f t="shared" si="856"/>
        <v>0</v>
      </c>
      <c r="CD1163" s="8">
        <f t="shared" si="857"/>
        <v>0</v>
      </c>
      <c r="CE1163" s="8">
        <f t="shared" si="858"/>
        <v>0</v>
      </c>
      <c r="CF1163" s="8">
        <f t="shared" si="859"/>
        <v>0</v>
      </c>
      <c r="CG1163" s="8">
        <f t="shared" si="860"/>
        <v>0</v>
      </c>
      <c r="CH1163" s="8">
        <f t="shared" si="861"/>
        <v>0</v>
      </c>
      <c r="CI1163" s="8">
        <f t="shared" si="862"/>
        <v>0</v>
      </c>
      <c r="CJ1163" s="8">
        <f t="shared" si="863"/>
        <v>0</v>
      </c>
      <c r="CK1163" s="8">
        <f t="shared" si="864"/>
        <v>0</v>
      </c>
      <c r="CL1163" s="8">
        <f t="shared" si="865"/>
        <v>0</v>
      </c>
      <c r="CM1163" s="8">
        <f t="shared" si="866"/>
        <v>0</v>
      </c>
      <c r="CN1163" s="8">
        <f t="shared" si="867"/>
        <v>0</v>
      </c>
      <c r="CO1163" s="8">
        <f t="shared" si="868"/>
        <v>0</v>
      </c>
      <c r="CP1163" s="8">
        <f t="shared" si="869"/>
        <v>0</v>
      </c>
      <c r="CQ1163" s="8">
        <f t="shared" si="870"/>
        <v>0</v>
      </c>
      <c r="CR1163" s="8">
        <f t="shared" si="871"/>
        <v>0</v>
      </c>
      <c r="CS1163" s="8">
        <f t="shared" si="872"/>
        <v>0</v>
      </c>
      <c r="CT1163" s="8">
        <f t="shared" si="831"/>
        <v>0</v>
      </c>
      <c r="CU1163" s="8">
        <f t="shared" si="832"/>
        <v>0</v>
      </c>
      <c r="CV1163" s="8">
        <f t="shared" si="833"/>
        <v>0</v>
      </c>
    </row>
    <row r="1164" spans="1:100" ht="20.5" thickTop="1" thickBot="1" x14ac:dyDescent="0.5">
      <c r="A1164" s="32"/>
      <c r="B1164" s="10"/>
      <c r="C1164" s="10"/>
      <c r="D1164" s="11"/>
      <c r="E1164" s="10"/>
      <c r="F1164" s="10"/>
      <c r="G1164" s="19"/>
      <c r="H1164" s="19"/>
      <c r="I1164" s="19"/>
      <c r="J1164" s="19"/>
      <c r="K1164" s="10"/>
      <c r="L1164" s="10"/>
      <c r="M1164" s="10"/>
      <c r="N1164" s="10"/>
      <c r="O1164" s="18"/>
      <c r="P1164" s="18"/>
      <c r="Q1164" s="21"/>
      <c r="R1164" s="20"/>
      <c r="S1164" s="16">
        <f t="shared" si="835"/>
        <v>0</v>
      </c>
      <c r="T1164" s="11"/>
      <c r="AS1164" s="31">
        <f t="shared" si="836"/>
        <v>0</v>
      </c>
      <c r="AT1164" s="31">
        <f t="shared" si="837"/>
        <v>0</v>
      </c>
      <c r="AU1164" s="31">
        <f t="shared" si="838"/>
        <v>0</v>
      </c>
      <c r="AV1164" s="31">
        <f t="shared" si="839"/>
        <v>0</v>
      </c>
      <c r="AW1164" s="31">
        <f t="shared" si="840"/>
        <v>0</v>
      </c>
      <c r="AX1164" s="31">
        <f t="shared" si="841"/>
        <v>0</v>
      </c>
      <c r="AY1164" s="31">
        <f t="shared" si="842"/>
        <v>0</v>
      </c>
      <c r="AZ1164" s="31">
        <f t="shared" si="843"/>
        <v>0</v>
      </c>
      <c r="BA1164" s="31">
        <f t="shared" si="844"/>
        <v>0</v>
      </c>
      <c r="BB1164" s="31">
        <f t="shared" si="873"/>
        <v>0</v>
      </c>
      <c r="BM1164" s="8">
        <f t="shared" si="874"/>
        <v>0</v>
      </c>
      <c r="BN1164" s="8">
        <f t="shared" si="845"/>
        <v>0</v>
      </c>
      <c r="BO1164" s="8">
        <f t="shared" si="846"/>
        <v>0</v>
      </c>
      <c r="BQ1164" s="8">
        <f t="shared" si="847"/>
        <v>0</v>
      </c>
      <c r="BR1164" s="63">
        <f t="shared" si="848"/>
        <v>0</v>
      </c>
      <c r="BS1164" s="63">
        <f t="shared" si="875"/>
        <v>0</v>
      </c>
      <c r="BT1164" s="63">
        <f t="shared" si="849"/>
        <v>0</v>
      </c>
      <c r="BU1164" s="63">
        <f t="shared" si="850"/>
        <v>0</v>
      </c>
      <c r="BV1164" s="57">
        <f t="shared" si="851"/>
        <v>0</v>
      </c>
      <c r="BW1164" s="57">
        <f t="shared" si="852"/>
        <v>0</v>
      </c>
      <c r="BX1164" s="57">
        <f t="shared" si="876"/>
        <v>0</v>
      </c>
      <c r="BY1164" s="57">
        <f t="shared" si="834"/>
        <v>0</v>
      </c>
      <c r="BZ1164" s="8">
        <f t="shared" si="853"/>
        <v>0</v>
      </c>
      <c r="CA1164" s="8">
        <f t="shared" si="854"/>
        <v>0</v>
      </c>
      <c r="CB1164" s="8">
        <f t="shared" si="855"/>
        <v>0</v>
      </c>
      <c r="CC1164" s="8">
        <f t="shared" si="856"/>
        <v>0</v>
      </c>
      <c r="CD1164" s="8">
        <f t="shared" si="857"/>
        <v>0</v>
      </c>
      <c r="CE1164" s="8">
        <f t="shared" si="858"/>
        <v>0</v>
      </c>
      <c r="CF1164" s="8">
        <f t="shared" si="859"/>
        <v>0</v>
      </c>
      <c r="CG1164" s="8">
        <f t="shared" si="860"/>
        <v>0</v>
      </c>
      <c r="CH1164" s="8">
        <f t="shared" si="861"/>
        <v>0</v>
      </c>
      <c r="CI1164" s="8">
        <f t="shared" si="862"/>
        <v>0</v>
      </c>
      <c r="CJ1164" s="8">
        <f t="shared" si="863"/>
        <v>0</v>
      </c>
      <c r="CK1164" s="8">
        <f t="shared" si="864"/>
        <v>0</v>
      </c>
      <c r="CL1164" s="8">
        <f t="shared" si="865"/>
        <v>0</v>
      </c>
      <c r="CM1164" s="8">
        <f t="shared" si="866"/>
        <v>0</v>
      </c>
      <c r="CN1164" s="8">
        <f t="shared" si="867"/>
        <v>0</v>
      </c>
      <c r="CO1164" s="8">
        <f t="shared" si="868"/>
        <v>0</v>
      </c>
      <c r="CP1164" s="8">
        <f t="shared" si="869"/>
        <v>0</v>
      </c>
      <c r="CQ1164" s="8">
        <f t="shared" si="870"/>
        <v>0</v>
      </c>
      <c r="CR1164" s="8">
        <f t="shared" si="871"/>
        <v>0</v>
      </c>
      <c r="CS1164" s="8">
        <f t="shared" si="872"/>
        <v>0</v>
      </c>
      <c r="CT1164" s="8">
        <f t="shared" si="831"/>
        <v>0</v>
      </c>
      <c r="CU1164" s="8">
        <f t="shared" si="832"/>
        <v>0</v>
      </c>
      <c r="CV1164" s="8">
        <f t="shared" si="833"/>
        <v>0</v>
      </c>
    </row>
    <row r="1165" spans="1:100" ht="20.5" thickTop="1" thickBot="1" x14ac:dyDescent="0.5">
      <c r="A1165" s="32"/>
      <c r="B1165" s="10"/>
      <c r="C1165" s="10"/>
      <c r="D1165" s="11"/>
      <c r="E1165" s="10"/>
      <c r="F1165" s="10"/>
      <c r="G1165" s="19"/>
      <c r="H1165" s="19"/>
      <c r="I1165" s="19"/>
      <c r="J1165" s="19"/>
      <c r="K1165" s="10"/>
      <c r="L1165" s="10"/>
      <c r="M1165" s="10"/>
      <c r="N1165" s="10"/>
      <c r="O1165" s="18"/>
      <c r="P1165" s="18"/>
      <c r="Q1165" s="21"/>
      <c r="R1165" s="20"/>
      <c r="S1165" s="16">
        <f t="shared" si="835"/>
        <v>0</v>
      </c>
      <c r="T1165" s="11"/>
      <c r="AS1165" s="31">
        <f t="shared" si="836"/>
        <v>0</v>
      </c>
      <c r="AT1165" s="31">
        <f t="shared" si="837"/>
        <v>0</v>
      </c>
      <c r="AU1165" s="31">
        <f t="shared" si="838"/>
        <v>0</v>
      </c>
      <c r="AV1165" s="31">
        <f t="shared" si="839"/>
        <v>0</v>
      </c>
      <c r="AW1165" s="31">
        <f t="shared" si="840"/>
        <v>0</v>
      </c>
      <c r="AX1165" s="31">
        <f t="shared" si="841"/>
        <v>0</v>
      </c>
      <c r="AY1165" s="31">
        <f t="shared" si="842"/>
        <v>0</v>
      </c>
      <c r="AZ1165" s="31">
        <f t="shared" si="843"/>
        <v>0</v>
      </c>
      <c r="BA1165" s="31">
        <f t="shared" si="844"/>
        <v>0</v>
      </c>
      <c r="BB1165" s="31">
        <f t="shared" si="873"/>
        <v>0</v>
      </c>
      <c r="BM1165" s="8">
        <f t="shared" si="874"/>
        <v>0</v>
      </c>
      <c r="BN1165" s="8">
        <f t="shared" si="845"/>
        <v>0</v>
      </c>
      <c r="BO1165" s="8">
        <f t="shared" si="846"/>
        <v>0</v>
      </c>
      <c r="BQ1165" s="8">
        <f t="shared" si="847"/>
        <v>0</v>
      </c>
      <c r="BR1165" s="63">
        <f t="shared" si="848"/>
        <v>0</v>
      </c>
      <c r="BS1165" s="63">
        <f t="shared" si="875"/>
        <v>0</v>
      </c>
      <c r="BT1165" s="63">
        <f t="shared" si="849"/>
        <v>0</v>
      </c>
      <c r="BU1165" s="63">
        <f t="shared" si="850"/>
        <v>0</v>
      </c>
      <c r="BV1165" s="57">
        <f t="shared" si="851"/>
        <v>0</v>
      </c>
      <c r="BW1165" s="57">
        <f t="shared" si="852"/>
        <v>0</v>
      </c>
      <c r="BX1165" s="57">
        <f t="shared" si="876"/>
        <v>0</v>
      </c>
      <c r="BY1165" s="57">
        <f t="shared" si="834"/>
        <v>0</v>
      </c>
      <c r="BZ1165" s="8">
        <f t="shared" si="853"/>
        <v>0</v>
      </c>
      <c r="CA1165" s="8">
        <f t="shared" si="854"/>
        <v>0</v>
      </c>
      <c r="CB1165" s="8">
        <f t="shared" si="855"/>
        <v>0</v>
      </c>
      <c r="CC1165" s="8">
        <f t="shared" si="856"/>
        <v>0</v>
      </c>
      <c r="CD1165" s="8">
        <f t="shared" si="857"/>
        <v>0</v>
      </c>
      <c r="CE1165" s="8">
        <f t="shared" si="858"/>
        <v>0</v>
      </c>
      <c r="CF1165" s="8">
        <f t="shared" si="859"/>
        <v>0</v>
      </c>
      <c r="CG1165" s="8">
        <f t="shared" si="860"/>
        <v>0</v>
      </c>
      <c r="CH1165" s="8">
        <f t="shared" si="861"/>
        <v>0</v>
      </c>
      <c r="CI1165" s="8">
        <f t="shared" si="862"/>
        <v>0</v>
      </c>
      <c r="CJ1165" s="8">
        <f t="shared" si="863"/>
        <v>0</v>
      </c>
      <c r="CK1165" s="8">
        <f t="shared" si="864"/>
        <v>0</v>
      </c>
      <c r="CL1165" s="8">
        <f t="shared" si="865"/>
        <v>0</v>
      </c>
      <c r="CM1165" s="8">
        <f t="shared" si="866"/>
        <v>0</v>
      </c>
      <c r="CN1165" s="8">
        <f t="shared" si="867"/>
        <v>0</v>
      </c>
      <c r="CO1165" s="8">
        <f t="shared" si="868"/>
        <v>0</v>
      </c>
      <c r="CP1165" s="8">
        <f t="shared" si="869"/>
        <v>0</v>
      </c>
      <c r="CQ1165" s="8">
        <f t="shared" si="870"/>
        <v>0</v>
      </c>
      <c r="CR1165" s="8">
        <f t="shared" si="871"/>
        <v>0</v>
      </c>
      <c r="CS1165" s="8">
        <f t="shared" si="872"/>
        <v>0</v>
      </c>
      <c r="CT1165" s="8">
        <f t="shared" ref="CT1165:CT1228" si="877">IF(AND(J1165&gt;0,OR(B1165="MB",B1165="new MB")),J1165,0)*4+IF(AND(J1165&gt;0,OR(C1165="MB",C1165="new MB")),J1165,0)*4</f>
        <v>0</v>
      </c>
      <c r="CU1165" s="8">
        <f t="shared" ref="CU1165:CU1228" si="878">IF(AND(I1165&gt;0,OR(B1165="MB",B1165="new MB")),I1165,0)*4+IF(AND(I1165&gt;0,OR(C1165="MB",C1165="new MB")),I1165,0)*4</f>
        <v>0</v>
      </c>
      <c r="CV1165" s="8">
        <f t="shared" ref="CV1165:CV1228" si="879">IF(AND(H1165&gt;0,OR(B1165="MB",B1165="new MB")),H1165,0)*4+IF(AND(H1165&gt;0,OR(C1165="MB",C1165="new MB")),H1165,0)*4</f>
        <v>0</v>
      </c>
    </row>
    <row r="1166" spans="1:100" ht="20.5" thickTop="1" thickBot="1" x14ac:dyDescent="0.5">
      <c r="A1166" s="32"/>
      <c r="B1166" s="10"/>
      <c r="C1166" s="10"/>
      <c r="D1166" s="11"/>
      <c r="E1166" s="10"/>
      <c r="F1166" s="10"/>
      <c r="G1166" s="19"/>
      <c r="H1166" s="19"/>
      <c r="I1166" s="19"/>
      <c r="J1166" s="19"/>
      <c r="K1166" s="10"/>
      <c r="L1166" s="10"/>
      <c r="M1166" s="10"/>
      <c r="N1166" s="10"/>
      <c r="O1166" s="18"/>
      <c r="P1166" s="18"/>
      <c r="Q1166" s="21"/>
      <c r="R1166" s="20"/>
      <c r="S1166" s="16">
        <f t="shared" si="835"/>
        <v>0</v>
      </c>
      <c r="T1166" s="11"/>
      <c r="AS1166" s="31">
        <f t="shared" si="836"/>
        <v>0</v>
      </c>
      <c r="AT1166" s="31">
        <f t="shared" si="837"/>
        <v>0</v>
      </c>
      <c r="AU1166" s="31">
        <f t="shared" si="838"/>
        <v>0</v>
      </c>
      <c r="AV1166" s="31">
        <f t="shared" si="839"/>
        <v>0</v>
      </c>
      <c r="AW1166" s="31">
        <f t="shared" si="840"/>
        <v>0</v>
      </c>
      <c r="AX1166" s="31">
        <f t="shared" si="841"/>
        <v>0</v>
      </c>
      <c r="AY1166" s="31">
        <f t="shared" si="842"/>
        <v>0</v>
      </c>
      <c r="AZ1166" s="31">
        <f t="shared" si="843"/>
        <v>0</v>
      </c>
      <c r="BA1166" s="31">
        <f t="shared" si="844"/>
        <v>0</v>
      </c>
      <c r="BB1166" s="31">
        <f t="shared" si="873"/>
        <v>0</v>
      </c>
      <c r="BM1166" s="8">
        <f t="shared" si="874"/>
        <v>0</v>
      </c>
      <c r="BN1166" s="8">
        <f t="shared" si="845"/>
        <v>0</v>
      </c>
      <c r="BO1166" s="8">
        <f t="shared" si="846"/>
        <v>0</v>
      </c>
      <c r="BQ1166" s="8">
        <f t="shared" si="847"/>
        <v>0</v>
      </c>
      <c r="BR1166" s="63">
        <f t="shared" si="848"/>
        <v>0</v>
      </c>
      <c r="BS1166" s="63">
        <f t="shared" si="875"/>
        <v>0</v>
      </c>
      <c r="BT1166" s="63">
        <f t="shared" si="849"/>
        <v>0</v>
      </c>
      <c r="BU1166" s="63">
        <f t="shared" si="850"/>
        <v>0</v>
      </c>
      <c r="BV1166" s="57">
        <f t="shared" si="851"/>
        <v>0</v>
      </c>
      <c r="BW1166" s="57">
        <f t="shared" si="852"/>
        <v>0</v>
      </c>
      <c r="BX1166" s="57">
        <f t="shared" si="876"/>
        <v>0</v>
      </c>
      <c r="BY1166" s="57">
        <f t="shared" si="834"/>
        <v>0</v>
      </c>
      <c r="BZ1166" s="8">
        <f t="shared" si="853"/>
        <v>0</v>
      </c>
      <c r="CA1166" s="8">
        <f t="shared" si="854"/>
        <v>0</v>
      </c>
      <c r="CB1166" s="8">
        <f t="shared" si="855"/>
        <v>0</v>
      </c>
      <c r="CC1166" s="8">
        <f t="shared" si="856"/>
        <v>0</v>
      </c>
      <c r="CD1166" s="8">
        <f t="shared" si="857"/>
        <v>0</v>
      </c>
      <c r="CE1166" s="8">
        <f t="shared" si="858"/>
        <v>0</v>
      </c>
      <c r="CF1166" s="8">
        <f t="shared" si="859"/>
        <v>0</v>
      </c>
      <c r="CG1166" s="8">
        <f t="shared" si="860"/>
        <v>0</v>
      </c>
      <c r="CH1166" s="8">
        <f t="shared" si="861"/>
        <v>0</v>
      </c>
      <c r="CI1166" s="8">
        <f t="shared" si="862"/>
        <v>0</v>
      </c>
      <c r="CJ1166" s="8">
        <f t="shared" si="863"/>
        <v>0</v>
      </c>
      <c r="CK1166" s="8">
        <f t="shared" si="864"/>
        <v>0</v>
      </c>
      <c r="CL1166" s="8">
        <f t="shared" si="865"/>
        <v>0</v>
      </c>
      <c r="CM1166" s="8">
        <f t="shared" si="866"/>
        <v>0</v>
      </c>
      <c r="CN1166" s="8">
        <f t="shared" si="867"/>
        <v>0</v>
      </c>
      <c r="CO1166" s="8">
        <f t="shared" si="868"/>
        <v>0</v>
      </c>
      <c r="CP1166" s="8">
        <f t="shared" si="869"/>
        <v>0</v>
      </c>
      <c r="CQ1166" s="8">
        <f t="shared" si="870"/>
        <v>0</v>
      </c>
      <c r="CR1166" s="8">
        <f t="shared" si="871"/>
        <v>0</v>
      </c>
      <c r="CS1166" s="8">
        <f t="shared" si="872"/>
        <v>0</v>
      </c>
      <c r="CT1166" s="8">
        <f t="shared" si="877"/>
        <v>0</v>
      </c>
      <c r="CU1166" s="8">
        <f t="shared" si="878"/>
        <v>0</v>
      </c>
      <c r="CV1166" s="8">
        <f t="shared" si="879"/>
        <v>0</v>
      </c>
    </row>
    <row r="1167" spans="1:100" ht="20.5" thickTop="1" thickBot="1" x14ac:dyDescent="0.5">
      <c r="A1167" s="32"/>
      <c r="B1167" s="10"/>
      <c r="C1167" s="10"/>
      <c r="D1167" s="11"/>
      <c r="E1167" s="10"/>
      <c r="F1167" s="10"/>
      <c r="G1167" s="19"/>
      <c r="H1167" s="19"/>
      <c r="I1167" s="19"/>
      <c r="J1167" s="19"/>
      <c r="K1167" s="10"/>
      <c r="L1167" s="10"/>
      <c r="M1167" s="10"/>
      <c r="N1167" s="10"/>
      <c r="O1167" s="18"/>
      <c r="P1167" s="18"/>
      <c r="Q1167" s="21"/>
      <c r="R1167" s="20"/>
      <c r="S1167" s="16">
        <f t="shared" si="835"/>
        <v>0</v>
      </c>
      <c r="T1167" s="11"/>
      <c r="AS1167" s="31">
        <f t="shared" si="836"/>
        <v>0</v>
      </c>
      <c r="AT1167" s="31">
        <f t="shared" si="837"/>
        <v>0</v>
      </c>
      <c r="AU1167" s="31">
        <f t="shared" si="838"/>
        <v>0</v>
      </c>
      <c r="AV1167" s="31">
        <f t="shared" si="839"/>
        <v>0</v>
      </c>
      <c r="AW1167" s="31">
        <f t="shared" si="840"/>
        <v>0</v>
      </c>
      <c r="AX1167" s="31">
        <f t="shared" si="841"/>
        <v>0</v>
      </c>
      <c r="AY1167" s="31">
        <f t="shared" si="842"/>
        <v>0</v>
      </c>
      <c r="AZ1167" s="31">
        <f t="shared" si="843"/>
        <v>0</v>
      </c>
      <c r="BA1167" s="31">
        <f t="shared" si="844"/>
        <v>0</v>
      </c>
      <c r="BB1167" s="31">
        <f t="shared" si="873"/>
        <v>0</v>
      </c>
      <c r="BM1167" s="8">
        <f t="shared" si="874"/>
        <v>0</v>
      </c>
      <c r="BN1167" s="8">
        <f t="shared" si="845"/>
        <v>0</v>
      </c>
      <c r="BO1167" s="8">
        <f t="shared" si="846"/>
        <v>0</v>
      </c>
      <c r="BQ1167" s="8">
        <f t="shared" si="847"/>
        <v>0</v>
      </c>
      <c r="BR1167" s="63">
        <f t="shared" si="848"/>
        <v>0</v>
      </c>
      <c r="BS1167" s="63">
        <f t="shared" si="875"/>
        <v>0</v>
      </c>
      <c r="BT1167" s="63">
        <f t="shared" si="849"/>
        <v>0</v>
      </c>
      <c r="BU1167" s="63">
        <f t="shared" si="850"/>
        <v>0</v>
      </c>
      <c r="BV1167" s="57">
        <f t="shared" si="851"/>
        <v>0</v>
      </c>
      <c r="BW1167" s="57">
        <f t="shared" si="852"/>
        <v>0</v>
      </c>
      <c r="BX1167" s="57">
        <f t="shared" si="876"/>
        <v>0</v>
      </c>
      <c r="BY1167" s="57">
        <f t="shared" si="834"/>
        <v>0</v>
      </c>
      <c r="BZ1167" s="8">
        <f t="shared" si="853"/>
        <v>0</v>
      </c>
      <c r="CA1167" s="8">
        <f t="shared" si="854"/>
        <v>0</v>
      </c>
      <c r="CB1167" s="8">
        <f t="shared" si="855"/>
        <v>0</v>
      </c>
      <c r="CC1167" s="8">
        <f t="shared" si="856"/>
        <v>0</v>
      </c>
      <c r="CD1167" s="8">
        <f t="shared" si="857"/>
        <v>0</v>
      </c>
      <c r="CE1167" s="8">
        <f t="shared" si="858"/>
        <v>0</v>
      </c>
      <c r="CF1167" s="8">
        <f t="shared" si="859"/>
        <v>0</v>
      </c>
      <c r="CG1167" s="8">
        <f t="shared" si="860"/>
        <v>0</v>
      </c>
      <c r="CH1167" s="8">
        <f t="shared" si="861"/>
        <v>0</v>
      </c>
      <c r="CI1167" s="8">
        <f t="shared" si="862"/>
        <v>0</v>
      </c>
      <c r="CJ1167" s="8">
        <f t="shared" si="863"/>
        <v>0</v>
      </c>
      <c r="CK1167" s="8">
        <f t="shared" si="864"/>
        <v>0</v>
      </c>
      <c r="CL1167" s="8">
        <f t="shared" si="865"/>
        <v>0</v>
      </c>
      <c r="CM1167" s="8">
        <f t="shared" si="866"/>
        <v>0</v>
      </c>
      <c r="CN1167" s="8">
        <f t="shared" si="867"/>
        <v>0</v>
      </c>
      <c r="CO1167" s="8">
        <f t="shared" si="868"/>
        <v>0</v>
      </c>
      <c r="CP1167" s="8">
        <f t="shared" si="869"/>
        <v>0</v>
      </c>
      <c r="CQ1167" s="8">
        <f t="shared" si="870"/>
        <v>0</v>
      </c>
      <c r="CR1167" s="8">
        <f t="shared" si="871"/>
        <v>0</v>
      </c>
      <c r="CS1167" s="8">
        <f t="shared" si="872"/>
        <v>0</v>
      </c>
      <c r="CT1167" s="8">
        <f t="shared" si="877"/>
        <v>0</v>
      </c>
      <c r="CU1167" s="8">
        <f t="shared" si="878"/>
        <v>0</v>
      </c>
      <c r="CV1167" s="8">
        <f t="shared" si="879"/>
        <v>0</v>
      </c>
    </row>
    <row r="1168" spans="1:100" ht="20.5" thickTop="1" thickBot="1" x14ac:dyDescent="0.5">
      <c r="A1168" s="32"/>
      <c r="B1168" s="10"/>
      <c r="C1168" s="10"/>
      <c r="D1168" s="11"/>
      <c r="E1168" s="10"/>
      <c r="F1168" s="10"/>
      <c r="G1168" s="19"/>
      <c r="H1168" s="19"/>
      <c r="I1168" s="19"/>
      <c r="J1168" s="19"/>
      <c r="K1168" s="10"/>
      <c r="L1168" s="10"/>
      <c r="M1168" s="10"/>
      <c r="N1168" s="10"/>
      <c r="O1168" s="18"/>
      <c r="P1168" s="18"/>
      <c r="Q1168" s="21"/>
      <c r="R1168" s="20"/>
      <c r="S1168" s="16">
        <f t="shared" si="835"/>
        <v>0</v>
      </c>
      <c r="T1168" s="11"/>
      <c r="AS1168" s="31">
        <f t="shared" si="836"/>
        <v>0</v>
      </c>
      <c r="AT1168" s="31">
        <f t="shared" si="837"/>
        <v>0</v>
      </c>
      <c r="AU1168" s="31">
        <f t="shared" si="838"/>
        <v>0</v>
      </c>
      <c r="AV1168" s="31">
        <f t="shared" si="839"/>
        <v>0</v>
      </c>
      <c r="AW1168" s="31">
        <f t="shared" si="840"/>
        <v>0</v>
      </c>
      <c r="AX1168" s="31">
        <f t="shared" si="841"/>
        <v>0</v>
      </c>
      <c r="AY1168" s="31">
        <f t="shared" si="842"/>
        <v>0</v>
      </c>
      <c r="AZ1168" s="31">
        <f t="shared" si="843"/>
        <v>0</v>
      </c>
      <c r="BA1168" s="31">
        <f t="shared" si="844"/>
        <v>0</v>
      </c>
      <c r="BB1168" s="31">
        <f t="shared" si="873"/>
        <v>0</v>
      </c>
      <c r="BM1168" s="8">
        <f t="shared" si="874"/>
        <v>0</v>
      </c>
      <c r="BN1168" s="8">
        <f t="shared" si="845"/>
        <v>0</v>
      </c>
      <c r="BO1168" s="8">
        <f t="shared" si="846"/>
        <v>0</v>
      </c>
      <c r="BQ1168" s="8">
        <f t="shared" si="847"/>
        <v>0</v>
      </c>
      <c r="BR1168" s="63">
        <f t="shared" si="848"/>
        <v>0</v>
      </c>
      <c r="BS1168" s="63">
        <f t="shared" si="875"/>
        <v>0</v>
      </c>
      <c r="BT1168" s="63">
        <f t="shared" si="849"/>
        <v>0</v>
      </c>
      <c r="BU1168" s="63">
        <f t="shared" si="850"/>
        <v>0</v>
      </c>
      <c r="BV1168" s="57">
        <f t="shared" si="851"/>
        <v>0</v>
      </c>
      <c r="BW1168" s="57">
        <f t="shared" si="852"/>
        <v>0</v>
      </c>
      <c r="BX1168" s="57">
        <f t="shared" si="876"/>
        <v>0</v>
      </c>
      <c r="BY1168" s="57">
        <f t="shared" si="834"/>
        <v>0</v>
      </c>
      <c r="BZ1168" s="8">
        <f t="shared" si="853"/>
        <v>0</v>
      </c>
      <c r="CA1168" s="8">
        <f t="shared" si="854"/>
        <v>0</v>
      </c>
      <c r="CB1168" s="8">
        <f t="shared" si="855"/>
        <v>0</v>
      </c>
      <c r="CC1168" s="8">
        <f t="shared" si="856"/>
        <v>0</v>
      </c>
      <c r="CD1168" s="8">
        <f t="shared" si="857"/>
        <v>0</v>
      </c>
      <c r="CE1168" s="8">
        <f t="shared" si="858"/>
        <v>0</v>
      </c>
      <c r="CF1168" s="8">
        <f t="shared" si="859"/>
        <v>0</v>
      </c>
      <c r="CG1168" s="8">
        <f t="shared" si="860"/>
        <v>0</v>
      </c>
      <c r="CH1168" s="8">
        <f t="shared" si="861"/>
        <v>0</v>
      </c>
      <c r="CI1168" s="8">
        <f t="shared" si="862"/>
        <v>0</v>
      </c>
      <c r="CJ1168" s="8">
        <f t="shared" si="863"/>
        <v>0</v>
      </c>
      <c r="CK1168" s="8">
        <f t="shared" si="864"/>
        <v>0</v>
      </c>
      <c r="CL1168" s="8">
        <f t="shared" si="865"/>
        <v>0</v>
      </c>
      <c r="CM1168" s="8">
        <f t="shared" si="866"/>
        <v>0</v>
      </c>
      <c r="CN1168" s="8">
        <f t="shared" si="867"/>
        <v>0</v>
      </c>
      <c r="CO1168" s="8">
        <f t="shared" si="868"/>
        <v>0</v>
      </c>
      <c r="CP1168" s="8">
        <f t="shared" si="869"/>
        <v>0</v>
      </c>
      <c r="CQ1168" s="8">
        <f t="shared" si="870"/>
        <v>0</v>
      </c>
      <c r="CR1168" s="8">
        <f t="shared" si="871"/>
        <v>0</v>
      </c>
      <c r="CS1168" s="8">
        <f t="shared" si="872"/>
        <v>0</v>
      </c>
      <c r="CT1168" s="8">
        <f t="shared" si="877"/>
        <v>0</v>
      </c>
      <c r="CU1168" s="8">
        <f t="shared" si="878"/>
        <v>0</v>
      </c>
      <c r="CV1168" s="8">
        <f t="shared" si="879"/>
        <v>0</v>
      </c>
    </row>
    <row r="1169" spans="1:100" ht="20.5" thickTop="1" thickBot="1" x14ac:dyDescent="0.5">
      <c r="A1169" s="32"/>
      <c r="B1169" s="10"/>
      <c r="C1169" s="10"/>
      <c r="D1169" s="11"/>
      <c r="E1169" s="10"/>
      <c r="F1169" s="10"/>
      <c r="G1169" s="19"/>
      <c r="H1169" s="19"/>
      <c r="I1169" s="19"/>
      <c r="J1169" s="19"/>
      <c r="K1169" s="10"/>
      <c r="L1169" s="10"/>
      <c r="M1169" s="10"/>
      <c r="N1169" s="10"/>
      <c r="O1169" s="18"/>
      <c r="P1169" s="18"/>
      <c r="Q1169" s="21"/>
      <c r="R1169" s="20"/>
      <c r="S1169" s="16">
        <f t="shared" si="835"/>
        <v>0</v>
      </c>
      <c r="T1169" s="11"/>
      <c r="AS1169" s="31">
        <f t="shared" si="836"/>
        <v>0</v>
      </c>
      <c r="AT1169" s="31">
        <f t="shared" si="837"/>
        <v>0</v>
      </c>
      <c r="AU1169" s="31">
        <f t="shared" si="838"/>
        <v>0</v>
      </c>
      <c r="AV1169" s="31">
        <f t="shared" si="839"/>
        <v>0</v>
      </c>
      <c r="AW1169" s="31">
        <f t="shared" si="840"/>
        <v>0</v>
      </c>
      <c r="AX1169" s="31">
        <f t="shared" si="841"/>
        <v>0</v>
      </c>
      <c r="AY1169" s="31">
        <f t="shared" si="842"/>
        <v>0</v>
      </c>
      <c r="AZ1169" s="31">
        <f t="shared" si="843"/>
        <v>0</v>
      </c>
      <c r="BA1169" s="31">
        <f t="shared" si="844"/>
        <v>0</v>
      </c>
      <c r="BB1169" s="31">
        <f t="shared" si="873"/>
        <v>0</v>
      </c>
      <c r="BM1169" s="8">
        <f t="shared" si="874"/>
        <v>0</v>
      </c>
      <c r="BN1169" s="8">
        <f t="shared" si="845"/>
        <v>0</v>
      </c>
      <c r="BO1169" s="8">
        <f t="shared" si="846"/>
        <v>0</v>
      </c>
      <c r="BQ1169" s="8">
        <f t="shared" si="847"/>
        <v>0</v>
      </c>
      <c r="BR1169" s="63">
        <f t="shared" si="848"/>
        <v>0</v>
      </c>
      <c r="BS1169" s="63">
        <f t="shared" si="875"/>
        <v>0</v>
      </c>
      <c r="BT1169" s="63">
        <f t="shared" si="849"/>
        <v>0</v>
      </c>
      <c r="BU1169" s="63">
        <f t="shared" si="850"/>
        <v>0</v>
      </c>
      <c r="BV1169" s="57">
        <f t="shared" si="851"/>
        <v>0</v>
      </c>
      <c r="BW1169" s="57">
        <f t="shared" si="852"/>
        <v>0</v>
      </c>
      <c r="BX1169" s="57">
        <f t="shared" si="876"/>
        <v>0</v>
      </c>
      <c r="BY1169" s="57">
        <f t="shared" si="834"/>
        <v>0</v>
      </c>
      <c r="BZ1169" s="8">
        <f t="shared" si="853"/>
        <v>0</v>
      </c>
      <c r="CA1169" s="8">
        <f t="shared" si="854"/>
        <v>0</v>
      </c>
      <c r="CB1169" s="8">
        <f t="shared" si="855"/>
        <v>0</v>
      </c>
      <c r="CC1169" s="8">
        <f t="shared" si="856"/>
        <v>0</v>
      </c>
      <c r="CD1169" s="8">
        <f t="shared" si="857"/>
        <v>0</v>
      </c>
      <c r="CE1169" s="8">
        <f t="shared" si="858"/>
        <v>0</v>
      </c>
      <c r="CF1169" s="8">
        <f t="shared" si="859"/>
        <v>0</v>
      </c>
      <c r="CG1169" s="8">
        <f t="shared" si="860"/>
        <v>0</v>
      </c>
      <c r="CH1169" s="8">
        <f t="shared" si="861"/>
        <v>0</v>
      </c>
      <c r="CI1169" s="8">
        <f t="shared" si="862"/>
        <v>0</v>
      </c>
      <c r="CJ1169" s="8">
        <f t="shared" si="863"/>
        <v>0</v>
      </c>
      <c r="CK1169" s="8">
        <f t="shared" si="864"/>
        <v>0</v>
      </c>
      <c r="CL1169" s="8">
        <f t="shared" si="865"/>
        <v>0</v>
      </c>
      <c r="CM1169" s="8">
        <f t="shared" si="866"/>
        <v>0</v>
      </c>
      <c r="CN1169" s="8">
        <f t="shared" si="867"/>
        <v>0</v>
      </c>
      <c r="CO1169" s="8">
        <f t="shared" si="868"/>
        <v>0</v>
      </c>
      <c r="CP1169" s="8">
        <f t="shared" si="869"/>
        <v>0</v>
      </c>
      <c r="CQ1169" s="8">
        <f t="shared" si="870"/>
        <v>0</v>
      </c>
      <c r="CR1169" s="8">
        <f t="shared" si="871"/>
        <v>0</v>
      </c>
      <c r="CS1169" s="8">
        <f t="shared" si="872"/>
        <v>0</v>
      </c>
      <c r="CT1169" s="8">
        <f t="shared" si="877"/>
        <v>0</v>
      </c>
      <c r="CU1169" s="8">
        <f t="shared" si="878"/>
        <v>0</v>
      </c>
      <c r="CV1169" s="8">
        <f t="shared" si="879"/>
        <v>0</v>
      </c>
    </row>
    <row r="1170" spans="1:100" ht="20.5" thickTop="1" thickBot="1" x14ac:dyDescent="0.5">
      <c r="A1170" s="32"/>
      <c r="B1170" s="10"/>
      <c r="C1170" s="10"/>
      <c r="D1170" s="11"/>
      <c r="E1170" s="10"/>
      <c r="F1170" s="10"/>
      <c r="G1170" s="19"/>
      <c r="H1170" s="19"/>
      <c r="I1170" s="19"/>
      <c r="J1170" s="19"/>
      <c r="K1170" s="10"/>
      <c r="L1170" s="10"/>
      <c r="M1170" s="10"/>
      <c r="N1170" s="10"/>
      <c r="O1170" s="18"/>
      <c r="P1170" s="18"/>
      <c r="Q1170" s="21"/>
      <c r="R1170" s="20"/>
      <c r="S1170" s="16">
        <f t="shared" si="835"/>
        <v>0</v>
      </c>
      <c r="T1170" s="11"/>
      <c r="AS1170" s="31">
        <f t="shared" si="836"/>
        <v>0</v>
      </c>
      <c r="AT1170" s="31">
        <f t="shared" si="837"/>
        <v>0</v>
      </c>
      <c r="AU1170" s="31">
        <f t="shared" si="838"/>
        <v>0</v>
      </c>
      <c r="AV1170" s="31">
        <f t="shared" si="839"/>
        <v>0</v>
      </c>
      <c r="AW1170" s="31">
        <f t="shared" si="840"/>
        <v>0</v>
      </c>
      <c r="AX1170" s="31">
        <f t="shared" si="841"/>
        <v>0</v>
      </c>
      <c r="AY1170" s="31">
        <f t="shared" si="842"/>
        <v>0</v>
      </c>
      <c r="AZ1170" s="31">
        <f t="shared" si="843"/>
        <v>0</v>
      </c>
      <c r="BA1170" s="31">
        <f t="shared" si="844"/>
        <v>0</v>
      </c>
      <c r="BB1170" s="31">
        <f t="shared" si="873"/>
        <v>0</v>
      </c>
      <c r="BM1170" s="8">
        <f t="shared" si="874"/>
        <v>0</v>
      </c>
      <c r="BN1170" s="8">
        <f t="shared" si="845"/>
        <v>0</v>
      </c>
      <c r="BO1170" s="8">
        <f t="shared" si="846"/>
        <v>0</v>
      </c>
      <c r="BQ1170" s="8">
        <f t="shared" si="847"/>
        <v>0</v>
      </c>
      <c r="BR1170" s="63">
        <f t="shared" si="848"/>
        <v>0</v>
      </c>
      <c r="BS1170" s="63">
        <f t="shared" si="875"/>
        <v>0</v>
      </c>
      <c r="BT1170" s="63">
        <f t="shared" si="849"/>
        <v>0</v>
      </c>
      <c r="BU1170" s="63">
        <f t="shared" si="850"/>
        <v>0</v>
      </c>
      <c r="BV1170" s="57">
        <f t="shared" si="851"/>
        <v>0</v>
      </c>
      <c r="BW1170" s="57">
        <f t="shared" si="852"/>
        <v>0</v>
      </c>
      <c r="BX1170" s="57">
        <f t="shared" si="876"/>
        <v>0</v>
      </c>
      <c r="BY1170" s="57">
        <f t="shared" si="834"/>
        <v>0</v>
      </c>
      <c r="BZ1170" s="8">
        <f t="shared" si="853"/>
        <v>0</v>
      </c>
      <c r="CA1170" s="8">
        <f t="shared" si="854"/>
        <v>0</v>
      </c>
      <c r="CB1170" s="8">
        <f t="shared" si="855"/>
        <v>0</v>
      </c>
      <c r="CC1170" s="8">
        <f t="shared" si="856"/>
        <v>0</v>
      </c>
      <c r="CD1170" s="8">
        <f t="shared" si="857"/>
        <v>0</v>
      </c>
      <c r="CE1170" s="8">
        <f t="shared" si="858"/>
        <v>0</v>
      </c>
      <c r="CF1170" s="8">
        <f t="shared" si="859"/>
        <v>0</v>
      </c>
      <c r="CG1170" s="8">
        <f t="shared" si="860"/>
        <v>0</v>
      </c>
      <c r="CH1170" s="8">
        <f t="shared" si="861"/>
        <v>0</v>
      </c>
      <c r="CI1170" s="8">
        <f t="shared" si="862"/>
        <v>0</v>
      </c>
      <c r="CJ1170" s="8">
        <f t="shared" si="863"/>
        <v>0</v>
      </c>
      <c r="CK1170" s="8">
        <f t="shared" si="864"/>
        <v>0</v>
      </c>
      <c r="CL1170" s="8">
        <f t="shared" si="865"/>
        <v>0</v>
      </c>
      <c r="CM1170" s="8">
        <f t="shared" si="866"/>
        <v>0</v>
      </c>
      <c r="CN1170" s="8">
        <f t="shared" si="867"/>
        <v>0</v>
      </c>
      <c r="CO1170" s="8">
        <f t="shared" si="868"/>
        <v>0</v>
      </c>
      <c r="CP1170" s="8">
        <f t="shared" si="869"/>
        <v>0</v>
      </c>
      <c r="CQ1170" s="8">
        <f t="shared" si="870"/>
        <v>0</v>
      </c>
      <c r="CR1170" s="8">
        <f t="shared" si="871"/>
        <v>0</v>
      </c>
      <c r="CS1170" s="8">
        <f t="shared" si="872"/>
        <v>0</v>
      </c>
      <c r="CT1170" s="8">
        <f t="shared" si="877"/>
        <v>0</v>
      </c>
      <c r="CU1170" s="8">
        <f t="shared" si="878"/>
        <v>0</v>
      </c>
      <c r="CV1170" s="8">
        <f t="shared" si="879"/>
        <v>0</v>
      </c>
    </row>
    <row r="1171" spans="1:100" ht="20.5" thickTop="1" thickBot="1" x14ac:dyDescent="0.5">
      <c r="A1171" s="32"/>
      <c r="B1171" s="10"/>
      <c r="C1171" s="10"/>
      <c r="D1171" s="11"/>
      <c r="E1171" s="10"/>
      <c r="F1171" s="10"/>
      <c r="G1171" s="19"/>
      <c r="H1171" s="19"/>
      <c r="I1171" s="19"/>
      <c r="J1171" s="19"/>
      <c r="K1171" s="10"/>
      <c r="L1171" s="10"/>
      <c r="M1171" s="10"/>
      <c r="N1171" s="10"/>
      <c r="O1171" s="18"/>
      <c r="P1171" s="18"/>
      <c r="Q1171" s="21"/>
      <c r="R1171" s="20"/>
      <c r="S1171" s="16">
        <f t="shared" si="835"/>
        <v>0</v>
      </c>
      <c r="T1171" s="11"/>
      <c r="AS1171" s="31">
        <f t="shared" si="836"/>
        <v>0</v>
      </c>
      <c r="AT1171" s="31">
        <f t="shared" si="837"/>
        <v>0</v>
      </c>
      <c r="AU1171" s="31">
        <f t="shared" si="838"/>
        <v>0</v>
      </c>
      <c r="AV1171" s="31">
        <f t="shared" si="839"/>
        <v>0</v>
      </c>
      <c r="AW1171" s="31">
        <f t="shared" si="840"/>
        <v>0</v>
      </c>
      <c r="AX1171" s="31">
        <f t="shared" si="841"/>
        <v>0</v>
      </c>
      <c r="AY1171" s="31">
        <f t="shared" si="842"/>
        <v>0</v>
      </c>
      <c r="AZ1171" s="31">
        <f t="shared" si="843"/>
        <v>0</v>
      </c>
      <c r="BA1171" s="31">
        <f t="shared" si="844"/>
        <v>0</v>
      </c>
      <c r="BB1171" s="31">
        <f t="shared" si="873"/>
        <v>0</v>
      </c>
      <c r="BM1171" s="8">
        <f t="shared" si="874"/>
        <v>0</v>
      </c>
      <c r="BN1171" s="8">
        <f t="shared" si="845"/>
        <v>0</v>
      </c>
      <c r="BO1171" s="8">
        <f t="shared" si="846"/>
        <v>0</v>
      </c>
      <c r="BQ1171" s="8">
        <f t="shared" si="847"/>
        <v>0</v>
      </c>
      <c r="BR1171" s="63">
        <f t="shared" si="848"/>
        <v>0</v>
      </c>
      <c r="BS1171" s="63">
        <f t="shared" si="875"/>
        <v>0</v>
      </c>
      <c r="BT1171" s="63">
        <f t="shared" si="849"/>
        <v>0</v>
      </c>
      <c r="BU1171" s="63">
        <f t="shared" si="850"/>
        <v>0</v>
      </c>
      <c r="BV1171" s="57">
        <f t="shared" si="851"/>
        <v>0</v>
      </c>
      <c r="BW1171" s="57">
        <f t="shared" si="852"/>
        <v>0</v>
      </c>
      <c r="BX1171" s="57">
        <f t="shared" si="876"/>
        <v>0</v>
      </c>
      <c r="BY1171" s="57">
        <f t="shared" si="834"/>
        <v>0</v>
      </c>
      <c r="BZ1171" s="8">
        <f t="shared" si="853"/>
        <v>0</v>
      </c>
      <c r="CA1171" s="8">
        <f t="shared" si="854"/>
        <v>0</v>
      </c>
      <c r="CB1171" s="8">
        <f t="shared" si="855"/>
        <v>0</v>
      </c>
      <c r="CC1171" s="8">
        <f t="shared" si="856"/>
        <v>0</v>
      </c>
      <c r="CD1171" s="8">
        <f t="shared" si="857"/>
        <v>0</v>
      </c>
      <c r="CE1171" s="8">
        <f t="shared" si="858"/>
        <v>0</v>
      </c>
      <c r="CF1171" s="8">
        <f t="shared" si="859"/>
        <v>0</v>
      </c>
      <c r="CG1171" s="8">
        <f t="shared" si="860"/>
        <v>0</v>
      </c>
      <c r="CH1171" s="8">
        <f t="shared" si="861"/>
        <v>0</v>
      </c>
      <c r="CI1171" s="8">
        <f t="shared" si="862"/>
        <v>0</v>
      </c>
      <c r="CJ1171" s="8">
        <f t="shared" si="863"/>
        <v>0</v>
      </c>
      <c r="CK1171" s="8">
        <f t="shared" si="864"/>
        <v>0</v>
      </c>
      <c r="CL1171" s="8">
        <f t="shared" si="865"/>
        <v>0</v>
      </c>
      <c r="CM1171" s="8">
        <f t="shared" si="866"/>
        <v>0</v>
      </c>
      <c r="CN1171" s="8">
        <f t="shared" si="867"/>
        <v>0</v>
      </c>
      <c r="CO1171" s="8">
        <f t="shared" si="868"/>
        <v>0</v>
      </c>
      <c r="CP1171" s="8">
        <f t="shared" si="869"/>
        <v>0</v>
      </c>
      <c r="CQ1171" s="8">
        <f t="shared" si="870"/>
        <v>0</v>
      </c>
      <c r="CR1171" s="8">
        <f t="shared" si="871"/>
        <v>0</v>
      </c>
      <c r="CS1171" s="8">
        <f t="shared" si="872"/>
        <v>0</v>
      </c>
      <c r="CT1171" s="8">
        <f t="shared" si="877"/>
        <v>0</v>
      </c>
      <c r="CU1171" s="8">
        <f t="shared" si="878"/>
        <v>0</v>
      </c>
      <c r="CV1171" s="8">
        <f t="shared" si="879"/>
        <v>0</v>
      </c>
    </row>
    <row r="1172" spans="1:100" ht="20.5" thickTop="1" thickBot="1" x14ac:dyDescent="0.5">
      <c r="A1172" s="32"/>
      <c r="B1172" s="10"/>
      <c r="C1172" s="10"/>
      <c r="D1172" s="11"/>
      <c r="E1172" s="10"/>
      <c r="F1172" s="10"/>
      <c r="G1172" s="19"/>
      <c r="H1172" s="19"/>
      <c r="I1172" s="19"/>
      <c r="J1172" s="19"/>
      <c r="K1172" s="10"/>
      <c r="L1172" s="10"/>
      <c r="M1172" s="10"/>
      <c r="N1172" s="10"/>
      <c r="O1172" s="18"/>
      <c r="P1172" s="18"/>
      <c r="Q1172" s="21"/>
      <c r="R1172" s="20"/>
      <c r="S1172" s="16">
        <f t="shared" si="835"/>
        <v>0</v>
      </c>
      <c r="T1172" s="11"/>
      <c r="AS1172" s="31">
        <f t="shared" si="836"/>
        <v>0</v>
      </c>
      <c r="AT1172" s="31">
        <f t="shared" si="837"/>
        <v>0</v>
      </c>
      <c r="AU1172" s="31">
        <f t="shared" si="838"/>
        <v>0</v>
      </c>
      <c r="AV1172" s="31">
        <f t="shared" si="839"/>
        <v>0</v>
      </c>
      <c r="AW1172" s="31">
        <f t="shared" si="840"/>
        <v>0</v>
      </c>
      <c r="AX1172" s="31">
        <f t="shared" si="841"/>
        <v>0</v>
      </c>
      <c r="AY1172" s="31">
        <f t="shared" si="842"/>
        <v>0</v>
      </c>
      <c r="AZ1172" s="31">
        <f t="shared" si="843"/>
        <v>0</v>
      </c>
      <c r="BA1172" s="31">
        <f t="shared" si="844"/>
        <v>0</v>
      </c>
      <c r="BB1172" s="31">
        <f t="shared" si="873"/>
        <v>0</v>
      </c>
      <c r="BM1172" s="8">
        <f t="shared" si="874"/>
        <v>0</v>
      </c>
      <c r="BN1172" s="8">
        <f t="shared" si="845"/>
        <v>0</v>
      </c>
      <c r="BO1172" s="8">
        <f t="shared" si="846"/>
        <v>0</v>
      </c>
      <c r="BQ1172" s="8">
        <f t="shared" si="847"/>
        <v>0</v>
      </c>
      <c r="BR1172" s="63">
        <f t="shared" si="848"/>
        <v>0</v>
      </c>
      <c r="BS1172" s="63">
        <f t="shared" si="875"/>
        <v>0</v>
      </c>
      <c r="BT1172" s="63">
        <f t="shared" si="849"/>
        <v>0</v>
      </c>
      <c r="BU1172" s="63">
        <f t="shared" si="850"/>
        <v>0</v>
      </c>
      <c r="BV1172" s="57">
        <f t="shared" si="851"/>
        <v>0</v>
      </c>
      <c r="BW1172" s="57">
        <f t="shared" si="852"/>
        <v>0</v>
      </c>
      <c r="BX1172" s="57">
        <f t="shared" si="876"/>
        <v>0</v>
      </c>
      <c r="BY1172" s="57">
        <f t="shared" si="834"/>
        <v>0</v>
      </c>
      <c r="BZ1172" s="8">
        <f t="shared" si="853"/>
        <v>0</v>
      </c>
      <c r="CA1172" s="8">
        <f t="shared" si="854"/>
        <v>0</v>
      </c>
      <c r="CB1172" s="8">
        <f t="shared" si="855"/>
        <v>0</v>
      </c>
      <c r="CC1172" s="8">
        <f t="shared" si="856"/>
        <v>0</v>
      </c>
      <c r="CD1172" s="8">
        <f t="shared" si="857"/>
        <v>0</v>
      </c>
      <c r="CE1172" s="8">
        <f t="shared" si="858"/>
        <v>0</v>
      </c>
      <c r="CF1172" s="8">
        <f t="shared" si="859"/>
        <v>0</v>
      </c>
      <c r="CG1172" s="8">
        <f t="shared" si="860"/>
        <v>0</v>
      </c>
      <c r="CH1172" s="8">
        <f t="shared" si="861"/>
        <v>0</v>
      </c>
      <c r="CI1172" s="8">
        <f t="shared" si="862"/>
        <v>0</v>
      </c>
      <c r="CJ1172" s="8">
        <f t="shared" si="863"/>
        <v>0</v>
      </c>
      <c r="CK1172" s="8">
        <f t="shared" si="864"/>
        <v>0</v>
      </c>
      <c r="CL1172" s="8">
        <f t="shared" si="865"/>
        <v>0</v>
      </c>
      <c r="CM1172" s="8">
        <f t="shared" si="866"/>
        <v>0</v>
      </c>
      <c r="CN1172" s="8">
        <f t="shared" si="867"/>
        <v>0</v>
      </c>
      <c r="CO1172" s="8">
        <f t="shared" si="868"/>
        <v>0</v>
      </c>
      <c r="CP1172" s="8">
        <f t="shared" si="869"/>
        <v>0</v>
      </c>
      <c r="CQ1172" s="8">
        <f t="shared" si="870"/>
        <v>0</v>
      </c>
      <c r="CR1172" s="8">
        <f t="shared" si="871"/>
        <v>0</v>
      </c>
      <c r="CS1172" s="8">
        <f t="shared" si="872"/>
        <v>0</v>
      </c>
      <c r="CT1172" s="8">
        <f t="shared" si="877"/>
        <v>0</v>
      </c>
      <c r="CU1172" s="8">
        <f t="shared" si="878"/>
        <v>0</v>
      </c>
      <c r="CV1172" s="8">
        <f t="shared" si="879"/>
        <v>0</v>
      </c>
    </row>
    <row r="1173" spans="1:100" ht="20.5" thickTop="1" thickBot="1" x14ac:dyDescent="0.5">
      <c r="A1173" s="32"/>
      <c r="B1173" s="10"/>
      <c r="C1173" s="10"/>
      <c r="D1173" s="11"/>
      <c r="E1173" s="10"/>
      <c r="F1173" s="10"/>
      <c r="G1173" s="19"/>
      <c r="H1173" s="19"/>
      <c r="I1173" s="19"/>
      <c r="J1173" s="19"/>
      <c r="K1173" s="10"/>
      <c r="L1173" s="10"/>
      <c r="M1173" s="10"/>
      <c r="N1173" s="10"/>
      <c r="O1173" s="18"/>
      <c r="P1173" s="18"/>
      <c r="Q1173" s="21"/>
      <c r="R1173" s="20"/>
      <c r="S1173" s="16">
        <f t="shared" si="835"/>
        <v>0</v>
      </c>
      <c r="T1173" s="11"/>
      <c r="AS1173" s="31">
        <f t="shared" si="836"/>
        <v>0</v>
      </c>
      <c r="AT1173" s="31">
        <f t="shared" si="837"/>
        <v>0</v>
      </c>
      <c r="AU1173" s="31">
        <f t="shared" si="838"/>
        <v>0</v>
      </c>
      <c r="AV1173" s="31">
        <f t="shared" si="839"/>
        <v>0</v>
      </c>
      <c r="AW1173" s="31">
        <f t="shared" si="840"/>
        <v>0</v>
      </c>
      <c r="AX1173" s="31">
        <f t="shared" si="841"/>
        <v>0</v>
      </c>
      <c r="AY1173" s="31">
        <f t="shared" si="842"/>
        <v>0</v>
      </c>
      <c r="AZ1173" s="31">
        <f t="shared" si="843"/>
        <v>0</v>
      </c>
      <c r="BA1173" s="31">
        <f t="shared" si="844"/>
        <v>0</v>
      </c>
      <c r="BB1173" s="31">
        <f t="shared" si="873"/>
        <v>0</v>
      </c>
      <c r="BM1173" s="8">
        <f t="shared" si="874"/>
        <v>0</v>
      </c>
      <c r="BN1173" s="8">
        <f t="shared" si="845"/>
        <v>0</v>
      </c>
      <c r="BO1173" s="8">
        <f t="shared" si="846"/>
        <v>0</v>
      </c>
      <c r="BQ1173" s="8">
        <f t="shared" si="847"/>
        <v>0</v>
      </c>
      <c r="BR1173" s="63">
        <f t="shared" si="848"/>
        <v>0</v>
      </c>
      <c r="BS1173" s="63">
        <f t="shared" si="875"/>
        <v>0</v>
      </c>
      <c r="BT1173" s="63">
        <f t="shared" si="849"/>
        <v>0</v>
      </c>
      <c r="BU1173" s="63">
        <f t="shared" si="850"/>
        <v>0</v>
      </c>
      <c r="BV1173" s="57">
        <f t="shared" si="851"/>
        <v>0</v>
      </c>
      <c r="BW1173" s="57">
        <f t="shared" si="852"/>
        <v>0</v>
      </c>
      <c r="BX1173" s="57">
        <f t="shared" si="876"/>
        <v>0</v>
      </c>
      <c r="BY1173" s="57">
        <f t="shared" si="834"/>
        <v>0</v>
      </c>
      <c r="BZ1173" s="8">
        <f t="shared" si="853"/>
        <v>0</v>
      </c>
      <c r="CA1173" s="8">
        <f t="shared" si="854"/>
        <v>0</v>
      </c>
      <c r="CB1173" s="8">
        <f t="shared" si="855"/>
        <v>0</v>
      </c>
      <c r="CC1173" s="8">
        <f t="shared" si="856"/>
        <v>0</v>
      </c>
      <c r="CD1173" s="8">
        <f t="shared" si="857"/>
        <v>0</v>
      </c>
      <c r="CE1173" s="8">
        <f t="shared" si="858"/>
        <v>0</v>
      </c>
      <c r="CF1173" s="8">
        <f t="shared" si="859"/>
        <v>0</v>
      </c>
      <c r="CG1173" s="8">
        <f t="shared" si="860"/>
        <v>0</v>
      </c>
      <c r="CH1173" s="8">
        <f t="shared" si="861"/>
        <v>0</v>
      </c>
      <c r="CI1173" s="8">
        <f t="shared" si="862"/>
        <v>0</v>
      </c>
      <c r="CJ1173" s="8">
        <f t="shared" si="863"/>
        <v>0</v>
      </c>
      <c r="CK1173" s="8">
        <f t="shared" si="864"/>
        <v>0</v>
      </c>
      <c r="CL1173" s="8">
        <f t="shared" si="865"/>
        <v>0</v>
      </c>
      <c r="CM1173" s="8">
        <f t="shared" si="866"/>
        <v>0</v>
      </c>
      <c r="CN1173" s="8">
        <f t="shared" si="867"/>
        <v>0</v>
      </c>
      <c r="CO1173" s="8">
        <f t="shared" si="868"/>
        <v>0</v>
      </c>
      <c r="CP1173" s="8">
        <f t="shared" si="869"/>
        <v>0</v>
      </c>
      <c r="CQ1173" s="8">
        <f t="shared" si="870"/>
        <v>0</v>
      </c>
      <c r="CR1173" s="8">
        <f t="shared" si="871"/>
        <v>0</v>
      </c>
      <c r="CS1173" s="8">
        <f t="shared" si="872"/>
        <v>0</v>
      </c>
      <c r="CT1173" s="8">
        <f t="shared" si="877"/>
        <v>0</v>
      </c>
      <c r="CU1173" s="8">
        <f t="shared" si="878"/>
        <v>0</v>
      </c>
      <c r="CV1173" s="8">
        <f t="shared" si="879"/>
        <v>0</v>
      </c>
    </row>
    <row r="1174" spans="1:100" ht="20.5" thickTop="1" thickBot="1" x14ac:dyDescent="0.5">
      <c r="A1174" s="32"/>
      <c r="B1174" s="10"/>
      <c r="C1174" s="10"/>
      <c r="D1174" s="11"/>
      <c r="E1174" s="10"/>
      <c r="F1174" s="10"/>
      <c r="G1174" s="19"/>
      <c r="H1174" s="19"/>
      <c r="I1174" s="19"/>
      <c r="J1174" s="19"/>
      <c r="K1174" s="10"/>
      <c r="L1174" s="10"/>
      <c r="M1174" s="10"/>
      <c r="N1174" s="10"/>
      <c r="O1174" s="18"/>
      <c r="P1174" s="18"/>
      <c r="Q1174" s="21"/>
      <c r="R1174" s="20"/>
      <c r="S1174" s="16">
        <f t="shared" si="835"/>
        <v>0</v>
      </c>
      <c r="T1174" s="11"/>
      <c r="AS1174" s="31">
        <f t="shared" si="836"/>
        <v>0</v>
      </c>
      <c r="AT1174" s="31">
        <f t="shared" si="837"/>
        <v>0</v>
      </c>
      <c r="AU1174" s="31">
        <f t="shared" si="838"/>
        <v>0</v>
      </c>
      <c r="AV1174" s="31">
        <f t="shared" si="839"/>
        <v>0</v>
      </c>
      <c r="AW1174" s="31">
        <f t="shared" si="840"/>
        <v>0</v>
      </c>
      <c r="AX1174" s="31">
        <f t="shared" si="841"/>
        <v>0</v>
      </c>
      <c r="AY1174" s="31">
        <f t="shared" si="842"/>
        <v>0</v>
      </c>
      <c r="AZ1174" s="31">
        <f t="shared" si="843"/>
        <v>0</v>
      </c>
      <c r="BA1174" s="31">
        <f t="shared" si="844"/>
        <v>0</v>
      </c>
      <c r="BB1174" s="31">
        <f t="shared" si="873"/>
        <v>0</v>
      </c>
      <c r="BM1174" s="8">
        <f t="shared" si="874"/>
        <v>0</v>
      </c>
      <c r="BN1174" s="8">
        <f t="shared" si="845"/>
        <v>0</v>
      </c>
      <c r="BO1174" s="8">
        <f t="shared" si="846"/>
        <v>0</v>
      </c>
      <c r="BQ1174" s="8">
        <f t="shared" si="847"/>
        <v>0</v>
      </c>
      <c r="BR1174" s="63">
        <f t="shared" si="848"/>
        <v>0</v>
      </c>
      <c r="BS1174" s="63">
        <f t="shared" si="875"/>
        <v>0</v>
      </c>
      <c r="BT1174" s="63">
        <f t="shared" si="849"/>
        <v>0</v>
      </c>
      <c r="BU1174" s="63">
        <f t="shared" si="850"/>
        <v>0</v>
      </c>
      <c r="BV1174" s="57">
        <f t="shared" si="851"/>
        <v>0</v>
      </c>
      <c r="BW1174" s="57">
        <f t="shared" si="852"/>
        <v>0</v>
      </c>
      <c r="BX1174" s="57">
        <f t="shared" si="876"/>
        <v>0</v>
      </c>
      <c r="BY1174" s="57">
        <f t="shared" si="834"/>
        <v>0</v>
      </c>
      <c r="BZ1174" s="8">
        <f t="shared" si="853"/>
        <v>0</v>
      </c>
      <c r="CA1174" s="8">
        <f t="shared" si="854"/>
        <v>0</v>
      </c>
      <c r="CB1174" s="8">
        <f t="shared" si="855"/>
        <v>0</v>
      </c>
      <c r="CC1174" s="8">
        <f t="shared" si="856"/>
        <v>0</v>
      </c>
      <c r="CD1174" s="8">
        <f t="shared" si="857"/>
        <v>0</v>
      </c>
      <c r="CE1174" s="8">
        <f t="shared" si="858"/>
        <v>0</v>
      </c>
      <c r="CF1174" s="8">
        <f t="shared" si="859"/>
        <v>0</v>
      </c>
      <c r="CG1174" s="8">
        <f t="shared" si="860"/>
        <v>0</v>
      </c>
      <c r="CH1174" s="8">
        <f t="shared" si="861"/>
        <v>0</v>
      </c>
      <c r="CI1174" s="8">
        <f t="shared" si="862"/>
        <v>0</v>
      </c>
      <c r="CJ1174" s="8">
        <f t="shared" si="863"/>
        <v>0</v>
      </c>
      <c r="CK1174" s="8">
        <f t="shared" si="864"/>
        <v>0</v>
      </c>
      <c r="CL1174" s="8">
        <f t="shared" si="865"/>
        <v>0</v>
      </c>
      <c r="CM1174" s="8">
        <f t="shared" si="866"/>
        <v>0</v>
      </c>
      <c r="CN1174" s="8">
        <f t="shared" si="867"/>
        <v>0</v>
      </c>
      <c r="CO1174" s="8">
        <f t="shared" si="868"/>
        <v>0</v>
      </c>
      <c r="CP1174" s="8">
        <f t="shared" si="869"/>
        <v>0</v>
      </c>
      <c r="CQ1174" s="8">
        <f t="shared" si="870"/>
        <v>0</v>
      </c>
      <c r="CR1174" s="8">
        <f t="shared" si="871"/>
        <v>0</v>
      </c>
      <c r="CS1174" s="8">
        <f t="shared" si="872"/>
        <v>0</v>
      </c>
      <c r="CT1174" s="8">
        <f t="shared" si="877"/>
        <v>0</v>
      </c>
      <c r="CU1174" s="8">
        <f t="shared" si="878"/>
        <v>0</v>
      </c>
      <c r="CV1174" s="8">
        <f t="shared" si="879"/>
        <v>0</v>
      </c>
    </row>
    <row r="1175" spans="1:100" ht="20.5" thickTop="1" thickBot="1" x14ac:dyDescent="0.5">
      <c r="A1175" s="32"/>
      <c r="B1175" s="10"/>
      <c r="C1175" s="10"/>
      <c r="D1175" s="11"/>
      <c r="E1175" s="10"/>
      <c r="F1175" s="10"/>
      <c r="G1175" s="19"/>
      <c r="H1175" s="19"/>
      <c r="I1175" s="19"/>
      <c r="J1175" s="19"/>
      <c r="K1175" s="10"/>
      <c r="L1175" s="10"/>
      <c r="M1175" s="10"/>
      <c r="N1175" s="10"/>
      <c r="O1175" s="18"/>
      <c r="P1175" s="18"/>
      <c r="Q1175" s="21"/>
      <c r="R1175" s="20"/>
      <c r="S1175" s="16">
        <f t="shared" si="835"/>
        <v>0</v>
      </c>
      <c r="T1175" s="11"/>
      <c r="AS1175" s="31">
        <f t="shared" si="836"/>
        <v>0</v>
      </c>
      <c r="AT1175" s="31">
        <f t="shared" si="837"/>
        <v>0</v>
      </c>
      <c r="AU1175" s="31">
        <f t="shared" si="838"/>
        <v>0</v>
      </c>
      <c r="AV1175" s="31">
        <f t="shared" si="839"/>
        <v>0</v>
      </c>
      <c r="AW1175" s="31">
        <f t="shared" si="840"/>
        <v>0</v>
      </c>
      <c r="AX1175" s="31">
        <f t="shared" si="841"/>
        <v>0</v>
      </c>
      <c r="AY1175" s="31">
        <f t="shared" si="842"/>
        <v>0</v>
      </c>
      <c r="AZ1175" s="31">
        <f t="shared" si="843"/>
        <v>0</v>
      </c>
      <c r="BA1175" s="31">
        <f t="shared" si="844"/>
        <v>0</v>
      </c>
      <c r="BB1175" s="31">
        <f t="shared" si="873"/>
        <v>0</v>
      </c>
      <c r="BM1175" s="8">
        <f t="shared" si="874"/>
        <v>0</v>
      </c>
      <c r="BN1175" s="8">
        <f t="shared" si="845"/>
        <v>0</v>
      </c>
      <c r="BO1175" s="8">
        <f t="shared" si="846"/>
        <v>0</v>
      </c>
      <c r="BQ1175" s="8">
        <f t="shared" si="847"/>
        <v>0</v>
      </c>
      <c r="BR1175" s="63">
        <f t="shared" si="848"/>
        <v>0</v>
      </c>
      <c r="BS1175" s="63">
        <f t="shared" si="875"/>
        <v>0</v>
      </c>
      <c r="BT1175" s="63">
        <f t="shared" si="849"/>
        <v>0</v>
      </c>
      <c r="BU1175" s="63">
        <f t="shared" si="850"/>
        <v>0</v>
      </c>
      <c r="BV1175" s="57">
        <f t="shared" si="851"/>
        <v>0</v>
      </c>
      <c r="BW1175" s="57">
        <f t="shared" si="852"/>
        <v>0</v>
      </c>
      <c r="BX1175" s="57">
        <f t="shared" si="876"/>
        <v>0</v>
      </c>
      <c r="BY1175" s="57">
        <f t="shared" si="834"/>
        <v>0</v>
      </c>
      <c r="BZ1175" s="8">
        <f t="shared" si="853"/>
        <v>0</v>
      </c>
      <c r="CA1175" s="8">
        <f t="shared" si="854"/>
        <v>0</v>
      </c>
      <c r="CB1175" s="8">
        <f t="shared" si="855"/>
        <v>0</v>
      </c>
      <c r="CC1175" s="8">
        <f t="shared" si="856"/>
        <v>0</v>
      </c>
      <c r="CD1175" s="8">
        <f t="shared" si="857"/>
        <v>0</v>
      </c>
      <c r="CE1175" s="8">
        <f t="shared" si="858"/>
        <v>0</v>
      </c>
      <c r="CF1175" s="8">
        <f t="shared" si="859"/>
        <v>0</v>
      </c>
      <c r="CG1175" s="8">
        <f t="shared" si="860"/>
        <v>0</v>
      </c>
      <c r="CH1175" s="8">
        <f t="shared" si="861"/>
        <v>0</v>
      </c>
      <c r="CI1175" s="8">
        <f t="shared" si="862"/>
        <v>0</v>
      </c>
      <c r="CJ1175" s="8">
        <f t="shared" si="863"/>
        <v>0</v>
      </c>
      <c r="CK1175" s="8">
        <f t="shared" si="864"/>
        <v>0</v>
      </c>
      <c r="CL1175" s="8">
        <f t="shared" si="865"/>
        <v>0</v>
      </c>
      <c r="CM1175" s="8">
        <f t="shared" si="866"/>
        <v>0</v>
      </c>
      <c r="CN1175" s="8">
        <f t="shared" si="867"/>
        <v>0</v>
      </c>
      <c r="CO1175" s="8">
        <f t="shared" si="868"/>
        <v>0</v>
      </c>
      <c r="CP1175" s="8">
        <f t="shared" si="869"/>
        <v>0</v>
      </c>
      <c r="CQ1175" s="8">
        <f t="shared" si="870"/>
        <v>0</v>
      </c>
      <c r="CR1175" s="8">
        <f t="shared" si="871"/>
        <v>0</v>
      </c>
      <c r="CS1175" s="8">
        <f t="shared" si="872"/>
        <v>0</v>
      </c>
      <c r="CT1175" s="8">
        <f t="shared" si="877"/>
        <v>0</v>
      </c>
      <c r="CU1175" s="8">
        <f t="shared" si="878"/>
        <v>0</v>
      </c>
      <c r="CV1175" s="8">
        <f t="shared" si="879"/>
        <v>0</v>
      </c>
    </row>
    <row r="1176" spans="1:100" ht="20.5" thickTop="1" thickBot="1" x14ac:dyDescent="0.5">
      <c r="A1176" s="32"/>
      <c r="B1176" s="10"/>
      <c r="C1176" s="10"/>
      <c r="D1176" s="11"/>
      <c r="E1176" s="10"/>
      <c r="F1176" s="10"/>
      <c r="G1176" s="19"/>
      <c r="H1176" s="19"/>
      <c r="I1176" s="19"/>
      <c r="J1176" s="19"/>
      <c r="K1176" s="10"/>
      <c r="L1176" s="10"/>
      <c r="M1176" s="10"/>
      <c r="N1176" s="10"/>
      <c r="O1176" s="18"/>
      <c r="P1176" s="18"/>
      <c r="Q1176" s="21"/>
      <c r="R1176" s="20"/>
      <c r="S1176" s="16">
        <f t="shared" si="835"/>
        <v>0</v>
      </c>
      <c r="T1176" s="11"/>
      <c r="AS1176" s="31">
        <f t="shared" si="836"/>
        <v>0</v>
      </c>
      <c r="AT1176" s="31">
        <f t="shared" si="837"/>
        <v>0</v>
      </c>
      <c r="AU1176" s="31">
        <f t="shared" si="838"/>
        <v>0</v>
      </c>
      <c r="AV1176" s="31">
        <f t="shared" si="839"/>
        <v>0</v>
      </c>
      <c r="AW1176" s="31">
        <f t="shared" si="840"/>
        <v>0</v>
      </c>
      <c r="AX1176" s="31">
        <f t="shared" si="841"/>
        <v>0</v>
      </c>
      <c r="AY1176" s="31">
        <f t="shared" si="842"/>
        <v>0</v>
      </c>
      <c r="AZ1176" s="31">
        <f t="shared" si="843"/>
        <v>0</v>
      </c>
      <c r="BA1176" s="31">
        <f t="shared" si="844"/>
        <v>0</v>
      </c>
      <c r="BB1176" s="31">
        <f t="shared" si="873"/>
        <v>0</v>
      </c>
      <c r="BM1176" s="8">
        <f t="shared" si="874"/>
        <v>0</v>
      </c>
      <c r="BN1176" s="8">
        <f t="shared" si="845"/>
        <v>0</v>
      </c>
      <c r="BO1176" s="8">
        <f t="shared" si="846"/>
        <v>0</v>
      </c>
      <c r="BQ1176" s="8">
        <f t="shared" si="847"/>
        <v>0</v>
      </c>
      <c r="BR1176" s="63">
        <f t="shared" si="848"/>
        <v>0</v>
      </c>
      <c r="BS1176" s="63">
        <f t="shared" si="875"/>
        <v>0</v>
      </c>
      <c r="BT1176" s="63">
        <f t="shared" si="849"/>
        <v>0</v>
      </c>
      <c r="BU1176" s="63">
        <f t="shared" si="850"/>
        <v>0</v>
      </c>
      <c r="BV1176" s="57">
        <f t="shared" si="851"/>
        <v>0</v>
      </c>
      <c r="BW1176" s="57">
        <f t="shared" si="852"/>
        <v>0</v>
      </c>
      <c r="BX1176" s="57">
        <f t="shared" si="876"/>
        <v>0</v>
      </c>
      <c r="BY1176" s="57">
        <f t="shared" si="834"/>
        <v>0</v>
      </c>
      <c r="BZ1176" s="8">
        <f t="shared" si="853"/>
        <v>0</v>
      </c>
      <c r="CA1176" s="8">
        <f t="shared" si="854"/>
        <v>0</v>
      </c>
      <c r="CB1176" s="8">
        <f t="shared" si="855"/>
        <v>0</v>
      </c>
      <c r="CC1176" s="8">
        <f t="shared" si="856"/>
        <v>0</v>
      </c>
      <c r="CD1176" s="8">
        <f t="shared" si="857"/>
        <v>0</v>
      </c>
      <c r="CE1176" s="8">
        <f t="shared" si="858"/>
        <v>0</v>
      </c>
      <c r="CF1176" s="8">
        <f t="shared" si="859"/>
        <v>0</v>
      </c>
      <c r="CG1176" s="8">
        <f t="shared" si="860"/>
        <v>0</v>
      </c>
      <c r="CH1176" s="8">
        <f t="shared" si="861"/>
        <v>0</v>
      </c>
      <c r="CI1176" s="8">
        <f t="shared" si="862"/>
        <v>0</v>
      </c>
      <c r="CJ1176" s="8">
        <f t="shared" si="863"/>
        <v>0</v>
      </c>
      <c r="CK1176" s="8">
        <f t="shared" si="864"/>
        <v>0</v>
      </c>
      <c r="CL1176" s="8">
        <f t="shared" si="865"/>
        <v>0</v>
      </c>
      <c r="CM1176" s="8">
        <f t="shared" si="866"/>
        <v>0</v>
      </c>
      <c r="CN1176" s="8">
        <f t="shared" si="867"/>
        <v>0</v>
      </c>
      <c r="CO1176" s="8">
        <f t="shared" si="868"/>
        <v>0</v>
      </c>
      <c r="CP1176" s="8">
        <f t="shared" si="869"/>
        <v>0</v>
      </c>
      <c r="CQ1176" s="8">
        <f t="shared" si="870"/>
        <v>0</v>
      </c>
      <c r="CR1176" s="8">
        <f t="shared" si="871"/>
        <v>0</v>
      </c>
      <c r="CS1176" s="8">
        <f t="shared" si="872"/>
        <v>0</v>
      </c>
      <c r="CT1176" s="8">
        <f t="shared" si="877"/>
        <v>0</v>
      </c>
      <c r="CU1176" s="8">
        <f t="shared" si="878"/>
        <v>0</v>
      </c>
      <c r="CV1176" s="8">
        <f t="shared" si="879"/>
        <v>0</v>
      </c>
    </row>
    <row r="1177" spans="1:100" ht="20.5" thickTop="1" thickBot="1" x14ac:dyDescent="0.5">
      <c r="A1177" s="32"/>
      <c r="B1177" s="10"/>
      <c r="C1177" s="10"/>
      <c r="D1177" s="11"/>
      <c r="E1177" s="10"/>
      <c r="F1177" s="10"/>
      <c r="G1177" s="19"/>
      <c r="H1177" s="19"/>
      <c r="I1177" s="19"/>
      <c r="J1177" s="19"/>
      <c r="K1177" s="10"/>
      <c r="L1177" s="10"/>
      <c r="M1177" s="10"/>
      <c r="N1177" s="10"/>
      <c r="O1177" s="18"/>
      <c r="P1177" s="18"/>
      <c r="Q1177" s="21"/>
      <c r="R1177" s="20"/>
      <c r="S1177" s="16">
        <f t="shared" si="835"/>
        <v>0</v>
      </c>
      <c r="T1177" s="11"/>
      <c r="AS1177" s="31">
        <f t="shared" si="836"/>
        <v>0</v>
      </c>
      <c r="AT1177" s="31">
        <f t="shared" si="837"/>
        <v>0</v>
      </c>
      <c r="AU1177" s="31">
        <f t="shared" si="838"/>
        <v>0</v>
      </c>
      <c r="AV1177" s="31">
        <f t="shared" si="839"/>
        <v>0</v>
      </c>
      <c r="AW1177" s="31">
        <f t="shared" si="840"/>
        <v>0</v>
      </c>
      <c r="AX1177" s="31">
        <f t="shared" si="841"/>
        <v>0</v>
      </c>
      <c r="AY1177" s="31">
        <f t="shared" si="842"/>
        <v>0</v>
      </c>
      <c r="AZ1177" s="31">
        <f t="shared" si="843"/>
        <v>0</v>
      </c>
      <c r="BA1177" s="31">
        <f t="shared" si="844"/>
        <v>0</v>
      </c>
      <c r="BB1177" s="31">
        <f t="shared" si="873"/>
        <v>0</v>
      </c>
      <c r="BM1177" s="8">
        <f t="shared" si="874"/>
        <v>0</v>
      </c>
      <c r="BN1177" s="8">
        <f t="shared" si="845"/>
        <v>0</v>
      </c>
      <c r="BO1177" s="8">
        <f t="shared" si="846"/>
        <v>0</v>
      </c>
      <c r="BQ1177" s="8">
        <f t="shared" si="847"/>
        <v>0</v>
      </c>
      <c r="BR1177" s="63">
        <f t="shared" si="848"/>
        <v>0</v>
      </c>
      <c r="BS1177" s="63">
        <f t="shared" si="875"/>
        <v>0</v>
      </c>
      <c r="BT1177" s="63">
        <f t="shared" si="849"/>
        <v>0</v>
      </c>
      <c r="BU1177" s="63">
        <f t="shared" si="850"/>
        <v>0</v>
      </c>
      <c r="BV1177" s="57">
        <f t="shared" si="851"/>
        <v>0</v>
      </c>
      <c r="BW1177" s="57">
        <f t="shared" si="852"/>
        <v>0</v>
      </c>
      <c r="BX1177" s="57">
        <f t="shared" si="876"/>
        <v>0</v>
      </c>
      <c r="BY1177" s="57">
        <f t="shared" si="834"/>
        <v>0</v>
      </c>
      <c r="BZ1177" s="8">
        <f t="shared" si="853"/>
        <v>0</v>
      </c>
      <c r="CA1177" s="8">
        <f t="shared" si="854"/>
        <v>0</v>
      </c>
      <c r="CB1177" s="8">
        <f t="shared" si="855"/>
        <v>0</v>
      </c>
      <c r="CC1177" s="8">
        <f t="shared" si="856"/>
        <v>0</v>
      </c>
      <c r="CD1177" s="8">
        <f t="shared" si="857"/>
        <v>0</v>
      </c>
      <c r="CE1177" s="8">
        <f t="shared" si="858"/>
        <v>0</v>
      </c>
      <c r="CF1177" s="8">
        <f t="shared" si="859"/>
        <v>0</v>
      </c>
      <c r="CG1177" s="8">
        <f t="shared" si="860"/>
        <v>0</v>
      </c>
      <c r="CH1177" s="8">
        <f t="shared" si="861"/>
        <v>0</v>
      </c>
      <c r="CI1177" s="8">
        <f t="shared" si="862"/>
        <v>0</v>
      </c>
      <c r="CJ1177" s="8">
        <f t="shared" si="863"/>
        <v>0</v>
      </c>
      <c r="CK1177" s="8">
        <f t="shared" si="864"/>
        <v>0</v>
      </c>
      <c r="CL1177" s="8">
        <f t="shared" si="865"/>
        <v>0</v>
      </c>
      <c r="CM1177" s="8">
        <f t="shared" si="866"/>
        <v>0</v>
      </c>
      <c r="CN1177" s="8">
        <f t="shared" si="867"/>
        <v>0</v>
      </c>
      <c r="CO1177" s="8">
        <f t="shared" si="868"/>
        <v>0</v>
      </c>
      <c r="CP1177" s="8">
        <f t="shared" si="869"/>
        <v>0</v>
      </c>
      <c r="CQ1177" s="8">
        <f t="shared" si="870"/>
        <v>0</v>
      </c>
      <c r="CR1177" s="8">
        <f t="shared" si="871"/>
        <v>0</v>
      </c>
      <c r="CS1177" s="8">
        <f t="shared" si="872"/>
        <v>0</v>
      </c>
      <c r="CT1177" s="8">
        <f t="shared" si="877"/>
        <v>0</v>
      </c>
      <c r="CU1177" s="8">
        <f t="shared" si="878"/>
        <v>0</v>
      </c>
      <c r="CV1177" s="8">
        <f t="shared" si="879"/>
        <v>0</v>
      </c>
    </row>
    <row r="1178" spans="1:100" ht="20.5" thickTop="1" thickBot="1" x14ac:dyDescent="0.5">
      <c r="A1178" s="32"/>
      <c r="B1178" s="10"/>
      <c r="C1178" s="10"/>
      <c r="D1178" s="11"/>
      <c r="E1178" s="10"/>
      <c r="F1178" s="10"/>
      <c r="G1178" s="19"/>
      <c r="H1178" s="19"/>
      <c r="I1178" s="19"/>
      <c r="J1178" s="19"/>
      <c r="K1178" s="10"/>
      <c r="L1178" s="10"/>
      <c r="M1178" s="10"/>
      <c r="N1178" s="10"/>
      <c r="O1178" s="18"/>
      <c r="P1178" s="18"/>
      <c r="Q1178" s="21"/>
      <c r="R1178" s="20"/>
      <c r="S1178" s="16">
        <f t="shared" si="835"/>
        <v>0</v>
      </c>
      <c r="T1178" s="11"/>
      <c r="AS1178" s="31">
        <f t="shared" si="836"/>
        <v>0</v>
      </c>
      <c r="AT1178" s="31">
        <f t="shared" si="837"/>
        <v>0</v>
      </c>
      <c r="AU1178" s="31">
        <f t="shared" si="838"/>
        <v>0</v>
      </c>
      <c r="AV1178" s="31">
        <f t="shared" si="839"/>
        <v>0</v>
      </c>
      <c r="AW1178" s="31">
        <f t="shared" si="840"/>
        <v>0</v>
      </c>
      <c r="AX1178" s="31">
        <f t="shared" si="841"/>
        <v>0</v>
      </c>
      <c r="AY1178" s="31">
        <f t="shared" si="842"/>
        <v>0</v>
      </c>
      <c r="AZ1178" s="31">
        <f t="shared" si="843"/>
        <v>0</v>
      </c>
      <c r="BA1178" s="31">
        <f t="shared" si="844"/>
        <v>0</v>
      </c>
      <c r="BB1178" s="31">
        <f t="shared" si="873"/>
        <v>0</v>
      </c>
      <c r="BM1178" s="8">
        <f t="shared" si="874"/>
        <v>0</v>
      </c>
      <c r="BN1178" s="8">
        <f t="shared" si="845"/>
        <v>0</v>
      </c>
      <c r="BO1178" s="8">
        <f t="shared" si="846"/>
        <v>0</v>
      </c>
      <c r="BQ1178" s="8">
        <f t="shared" si="847"/>
        <v>0</v>
      </c>
      <c r="BR1178" s="63">
        <f t="shared" si="848"/>
        <v>0</v>
      </c>
      <c r="BS1178" s="63">
        <f t="shared" si="875"/>
        <v>0</v>
      </c>
      <c r="BT1178" s="63">
        <f t="shared" si="849"/>
        <v>0</v>
      </c>
      <c r="BU1178" s="63">
        <f t="shared" si="850"/>
        <v>0</v>
      </c>
      <c r="BV1178" s="57">
        <f t="shared" si="851"/>
        <v>0</v>
      </c>
      <c r="BW1178" s="57">
        <f t="shared" si="852"/>
        <v>0</v>
      </c>
      <c r="BX1178" s="57">
        <f t="shared" si="876"/>
        <v>0</v>
      </c>
      <c r="BY1178" s="57">
        <f t="shared" si="834"/>
        <v>0</v>
      </c>
      <c r="BZ1178" s="8">
        <f t="shared" si="853"/>
        <v>0</v>
      </c>
      <c r="CA1178" s="8">
        <f t="shared" si="854"/>
        <v>0</v>
      </c>
      <c r="CB1178" s="8">
        <f t="shared" si="855"/>
        <v>0</v>
      </c>
      <c r="CC1178" s="8">
        <f t="shared" si="856"/>
        <v>0</v>
      </c>
      <c r="CD1178" s="8">
        <f t="shared" si="857"/>
        <v>0</v>
      </c>
      <c r="CE1178" s="8">
        <f t="shared" si="858"/>
        <v>0</v>
      </c>
      <c r="CF1178" s="8">
        <f t="shared" si="859"/>
        <v>0</v>
      </c>
      <c r="CG1178" s="8">
        <f t="shared" si="860"/>
        <v>0</v>
      </c>
      <c r="CH1178" s="8">
        <f t="shared" si="861"/>
        <v>0</v>
      </c>
      <c r="CI1178" s="8">
        <f t="shared" si="862"/>
        <v>0</v>
      </c>
      <c r="CJ1178" s="8">
        <f t="shared" si="863"/>
        <v>0</v>
      </c>
      <c r="CK1178" s="8">
        <f t="shared" si="864"/>
        <v>0</v>
      </c>
      <c r="CL1178" s="8">
        <f t="shared" si="865"/>
        <v>0</v>
      </c>
      <c r="CM1178" s="8">
        <f t="shared" si="866"/>
        <v>0</v>
      </c>
      <c r="CN1178" s="8">
        <f t="shared" si="867"/>
        <v>0</v>
      </c>
      <c r="CO1178" s="8">
        <f t="shared" si="868"/>
        <v>0</v>
      </c>
      <c r="CP1178" s="8">
        <f t="shared" si="869"/>
        <v>0</v>
      </c>
      <c r="CQ1178" s="8">
        <f t="shared" si="870"/>
        <v>0</v>
      </c>
      <c r="CR1178" s="8">
        <f t="shared" si="871"/>
        <v>0</v>
      </c>
      <c r="CS1178" s="8">
        <f t="shared" si="872"/>
        <v>0</v>
      </c>
      <c r="CT1178" s="8">
        <f t="shared" si="877"/>
        <v>0</v>
      </c>
      <c r="CU1178" s="8">
        <f t="shared" si="878"/>
        <v>0</v>
      </c>
      <c r="CV1178" s="8">
        <f t="shared" si="879"/>
        <v>0</v>
      </c>
    </row>
    <row r="1179" spans="1:100" ht="20.5" thickTop="1" thickBot="1" x14ac:dyDescent="0.5">
      <c r="A1179" s="32"/>
      <c r="B1179" s="10"/>
      <c r="C1179" s="10"/>
      <c r="D1179" s="11"/>
      <c r="E1179" s="10"/>
      <c r="F1179" s="10"/>
      <c r="G1179" s="19"/>
      <c r="H1179" s="19"/>
      <c r="I1179" s="19"/>
      <c r="J1179" s="19"/>
      <c r="K1179" s="10"/>
      <c r="L1179" s="10"/>
      <c r="M1179" s="10"/>
      <c r="N1179" s="10"/>
      <c r="O1179" s="18"/>
      <c r="P1179" s="18"/>
      <c r="Q1179" s="21"/>
      <c r="R1179" s="20"/>
      <c r="S1179" s="16">
        <f t="shared" si="835"/>
        <v>0</v>
      </c>
      <c r="T1179" s="11"/>
      <c r="AS1179" s="31">
        <f t="shared" si="836"/>
        <v>0</v>
      </c>
      <c r="AT1179" s="31">
        <f t="shared" si="837"/>
        <v>0</v>
      </c>
      <c r="AU1179" s="31">
        <f t="shared" si="838"/>
        <v>0</v>
      </c>
      <c r="AV1179" s="31">
        <f t="shared" si="839"/>
        <v>0</v>
      </c>
      <c r="AW1179" s="31">
        <f t="shared" si="840"/>
        <v>0</v>
      </c>
      <c r="AX1179" s="31">
        <f t="shared" si="841"/>
        <v>0</v>
      </c>
      <c r="AY1179" s="31">
        <f t="shared" si="842"/>
        <v>0</v>
      </c>
      <c r="AZ1179" s="31">
        <f t="shared" si="843"/>
        <v>0</v>
      </c>
      <c r="BA1179" s="31">
        <f t="shared" si="844"/>
        <v>0</v>
      </c>
      <c r="BB1179" s="31">
        <f t="shared" si="873"/>
        <v>0</v>
      </c>
      <c r="BM1179" s="8">
        <f t="shared" si="874"/>
        <v>0</v>
      </c>
      <c r="BN1179" s="8">
        <f t="shared" si="845"/>
        <v>0</v>
      </c>
      <c r="BO1179" s="8">
        <f t="shared" si="846"/>
        <v>0</v>
      </c>
      <c r="BQ1179" s="8">
        <f t="shared" si="847"/>
        <v>0</v>
      </c>
      <c r="BR1179" s="63">
        <f t="shared" si="848"/>
        <v>0</v>
      </c>
      <c r="BS1179" s="63">
        <f t="shared" si="875"/>
        <v>0</v>
      </c>
      <c r="BT1179" s="63">
        <f t="shared" si="849"/>
        <v>0</v>
      </c>
      <c r="BU1179" s="63">
        <f t="shared" si="850"/>
        <v>0</v>
      </c>
      <c r="BV1179" s="57">
        <f t="shared" si="851"/>
        <v>0</v>
      </c>
      <c r="BW1179" s="57">
        <f t="shared" si="852"/>
        <v>0</v>
      </c>
      <c r="BX1179" s="57">
        <f t="shared" si="876"/>
        <v>0</v>
      </c>
      <c r="BY1179" s="57">
        <f t="shared" si="834"/>
        <v>0</v>
      </c>
      <c r="BZ1179" s="8">
        <f t="shared" si="853"/>
        <v>0</v>
      </c>
      <c r="CA1179" s="8">
        <f t="shared" si="854"/>
        <v>0</v>
      </c>
      <c r="CB1179" s="8">
        <f t="shared" si="855"/>
        <v>0</v>
      </c>
      <c r="CC1179" s="8">
        <f t="shared" si="856"/>
        <v>0</v>
      </c>
      <c r="CD1179" s="8">
        <f t="shared" si="857"/>
        <v>0</v>
      </c>
      <c r="CE1179" s="8">
        <f t="shared" si="858"/>
        <v>0</v>
      </c>
      <c r="CF1179" s="8">
        <f t="shared" si="859"/>
        <v>0</v>
      </c>
      <c r="CG1179" s="8">
        <f t="shared" si="860"/>
        <v>0</v>
      </c>
      <c r="CH1179" s="8">
        <f t="shared" si="861"/>
        <v>0</v>
      </c>
      <c r="CI1179" s="8">
        <f t="shared" si="862"/>
        <v>0</v>
      </c>
      <c r="CJ1179" s="8">
        <f t="shared" si="863"/>
        <v>0</v>
      </c>
      <c r="CK1179" s="8">
        <f t="shared" si="864"/>
        <v>0</v>
      </c>
      <c r="CL1179" s="8">
        <f t="shared" si="865"/>
        <v>0</v>
      </c>
      <c r="CM1179" s="8">
        <f t="shared" si="866"/>
        <v>0</v>
      </c>
      <c r="CN1179" s="8">
        <f t="shared" si="867"/>
        <v>0</v>
      </c>
      <c r="CO1179" s="8">
        <f t="shared" si="868"/>
        <v>0</v>
      </c>
      <c r="CP1179" s="8">
        <f t="shared" si="869"/>
        <v>0</v>
      </c>
      <c r="CQ1179" s="8">
        <f t="shared" si="870"/>
        <v>0</v>
      </c>
      <c r="CR1179" s="8">
        <f t="shared" si="871"/>
        <v>0</v>
      </c>
      <c r="CS1179" s="8">
        <f t="shared" si="872"/>
        <v>0</v>
      </c>
      <c r="CT1179" s="8">
        <f t="shared" si="877"/>
        <v>0</v>
      </c>
      <c r="CU1179" s="8">
        <f t="shared" si="878"/>
        <v>0</v>
      </c>
      <c r="CV1179" s="8">
        <f t="shared" si="879"/>
        <v>0</v>
      </c>
    </row>
    <row r="1180" spans="1:100" ht="20.5" thickTop="1" thickBot="1" x14ac:dyDescent="0.5">
      <c r="A1180" s="32"/>
      <c r="B1180" s="10"/>
      <c r="C1180" s="10"/>
      <c r="D1180" s="11"/>
      <c r="E1180" s="10"/>
      <c r="F1180" s="10"/>
      <c r="G1180" s="19"/>
      <c r="H1180" s="19"/>
      <c r="I1180" s="19"/>
      <c r="J1180" s="19"/>
      <c r="K1180" s="10"/>
      <c r="L1180" s="10"/>
      <c r="M1180" s="10"/>
      <c r="N1180" s="10"/>
      <c r="O1180" s="18"/>
      <c r="P1180" s="18"/>
      <c r="Q1180" s="21"/>
      <c r="R1180" s="20"/>
      <c r="S1180" s="16">
        <f t="shared" si="835"/>
        <v>0</v>
      </c>
      <c r="T1180" s="11"/>
      <c r="AS1180" s="31">
        <f t="shared" si="836"/>
        <v>0</v>
      </c>
      <c r="AT1180" s="31">
        <f t="shared" si="837"/>
        <v>0</v>
      </c>
      <c r="AU1180" s="31">
        <f t="shared" si="838"/>
        <v>0</v>
      </c>
      <c r="AV1180" s="31">
        <f t="shared" si="839"/>
        <v>0</v>
      </c>
      <c r="AW1180" s="31">
        <f t="shared" si="840"/>
        <v>0</v>
      </c>
      <c r="AX1180" s="31">
        <f t="shared" si="841"/>
        <v>0</v>
      </c>
      <c r="AY1180" s="31">
        <f t="shared" si="842"/>
        <v>0</v>
      </c>
      <c r="AZ1180" s="31">
        <f t="shared" si="843"/>
        <v>0</v>
      </c>
      <c r="BA1180" s="31">
        <f t="shared" si="844"/>
        <v>0</v>
      </c>
      <c r="BB1180" s="31">
        <f t="shared" si="873"/>
        <v>0</v>
      </c>
      <c r="BM1180" s="8">
        <f t="shared" si="874"/>
        <v>0</v>
      </c>
      <c r="BN1180" s="8">
        <f t="shared" si="845"/>
        <v>0</v>
      </c>
      <c r="BO1180" s="8">
        <f t="shared" si="846"/>
        <v>0</v>
      </c>
      <c r="BQ1180" s="8">
        <f t="shared" si="847"/>
        <v>0</v>
      </c>
      <c r="BR1180" s="63">
        <f t="shared" si="848"/>
        <v>0</v>
      </c>
      <c r="BS1180" s="63">
        <f t="shared" si="875"/>
        <v>0</v>
      </c>
      <c r="BT1180" s="63">
        <f t="shared" si="849"/>
        <v>0</v>
      </c>
      <c r="BU1180" s="63">
        <f t="shared" si="850"/>
        <v>0</v>
      </c>
      <c r="BV1180" s="57">
        <f t="shared" si="851"/>
        <v>0</v>
      </c>
      <c r="BW1180" s="57">
        <f t="shared" si="852"/>
        <v>0</v>
      </c>
      <c r="BX1180" s="57">
        <f t="shared" si="876"/>
        <v>0</v>
      </c>
      <c r="BY1180" s="57">
        <f t="shared" si="834"/>
        <v>0</v>
      </c>
      <c r="BZ1180" s="8">
        <f t="shared" si="853"/>
        <v>0</v>
      </c>
      <c r="CA1180" s="8">
        <f t="shared" si="854"/>
        <v>0</v>
      </c>
      <c r="CB1180" s="8">
        <f t="shared" si="855"/>
        <v>0</v>
      </c>
      <c r="CC1180" s="8">
        <f t="shared" si="856"/>
        <v>0</v>
      </c>
      <c r="CD1180" s="8">
        <f t="shared" si="857"/>
        <v>0</v>
      </c>
      <c r="CE1180" s="8">
        <f t="shared" si="858"/>
        <v>0</v>
      </c>
      <c r="CF1180" s="8">
        <f t="shared" si="859"/>
        <v>0</v>
      </c>
      <c r="CG1180" s="8">
        <f t="shared" si="860"/>
        <v>0</v>
      </c>
      <c r="CH1180" s="8">
        <f t="shared" si="861"/>
        <v>0</v>
      </c>
      <c r="CI1180" s="8">
        <f t="shared" si="862"/>
        <v>0</v>
      </c>
      <c r="CJ1180" s="8">
        <f t="shared" si="863"/>
        <v>0</v>
      </c>
      <c r="CK1180" s="8">
        <f t="shared" si="864"/>
        <v>0</v>
      </c>
      <c r="CL1180" s="8">
        <f t="shared" si="865"/>
        <v>0</v>
      </c>
      <c r="CM1180" s="8">
        <f t="shared" si="866"/>
        <v>0</v>
      </c>
      <c r="CN1180" s="8">
        <f t="shared" si="867"/>
        <v>0</v>
      </c>
      <c r="CO1180" s="8">
        <f t="shared" si="868"/>
        <v>0</v>
      </c>
      <c r="CP1180" s="8">
        <f t="shared" si="869"/>
        <v>0</v>
      </c>
      <c r="CQ1180" s="8">
        <f t="shared" si="870"/>
        <v>0</v>
      </c>
      <c r="CR1180" s="8">
        <f t="shared" si="871"/>
        <v>0</v>
      </c>
      <c r="CS1180" s="8">
        <f t="shared" si="872"/>
        <v>0</v>
      </c>
      <c r="CT1180" s="8">
        <f t="shared" si="877"/>
        <v>0</v>
      </c>
      <c r="CU1180" s="8">
        <f t="shared" si="878"/>
        <v>0</v>
      </c>
      <c r="CV1180" s="8">
        <f t="shared" si="879"/>
        <v>0</v>
      </c>
    </row>
    <row r="1181" spans="1:100" ht="20.5" thickTop="1" thickBot="1" x14ac:dyDescent="0.5">
      <c r="A1181" s="32"/>
      <c r="B1181" s="10"/>
      <c r="C1181" s="10"/>
      <c r="D1181" s="11"/>
      <c r="E1181" s="10"/>
      <c r="F1181" s="10"/>
      <c r="G1181" s="19"/>
      <c r="H1181" s="19"/>
      <c r="I1181" s="19"/>
      <c r="J1181" s="19"/>
      <c r="K1181" s="10"/>
      <c r="L1181" s="10"/>
      <c r="M1181" s="10"/>
      <c r="N1181" s="10"/>
      <c r="O1181" s="18"/>
      <c r="P1181" s="18"/>
      <c r="Q1181" s="21"/>
      <c r="R1181" s="20"/>
      <c r="S1181" s="16">
        <f t="shared" si="835"/>
        <v>0</v>
      </c>
      <c r="T1181" s="11"/>
      <c r="AS1181" s="31">
        <f t="shared" si="836"/>
        <v>0</v>
      </c>
      <c r="AT1181" s="31">
        <f t="shared" si="837"/>
        <v>0</v>
      </c>
      <c r="AU1181" s="31">
        <f t="shared" si="838"/>
        <v>0</v>
      </c>
      <c r="AV1181" s="31">
        <f t="shared" si="839"/>
        <v>0</v>
      </c>
      <c r="AW1181" s="31">
        <f t="shared" si="840"/>
        <v>0</v>
      </c>
      <c r="AX1181" s="31">
        <f t="shared" si="841"/>
        <v>0</v>
      </c>
      <c r="AY1181" s="31">
        <f t="shared" si="842"/>
        <v>0</v>
      </c>
      <c r="AZ1181" s="31">
        <f t="shared" si="843"/>
        <v>0</v>
      </c>
      <c r="BA1181" s="31">
        <f t="shared" si="844"/>
        <v>0</v>
      </c>
      <c r="BB1181" s="31">
        <f t="shared" si="873"/>
        <v>0</v>
      </c>
      <c r="BM1181" s="8">
        <f t="shared" si="874"/>
        <v>0</v>
      </c>
      <c r="BN1181" s="8">
        <f t="shared" si="845"/>
        <v>0</v>
      </c>
      <c r="BO1181" s="8">
        <f t="shared" si="846"/>
        <v>0</v>
      </c>
      <c r="BQ1181" s="8">
        <f t="shared" si="847"/>
        <v>0</v>
      </c>
      <c r="BR1181" s="63">
        <f t="shared" si="848"/>
        <v>0</v>
      </c>
      <c r="BS1181" s="63">
        <f t="shared" si="875"/>
        <v>0</v>
      </c>
      <c r="BT1181" s="63">
        <f t="shared" si="849"/>
        <v>0</v>
      </c>
      <c r="BU1181" s="63">
        <f t="shared" si="850"/>
        <v>0</v>
      </c>
      <c r="BV1181" s="57">
        <f t="shared" si="851"/>
        <v>0</v>
      </c>
      <c r="BW1181" s="57">
        <f t="shared" si="852"/>
        <v>0</v>
      </c>
      <c r="BX1181" s="57">
        <f t="shared" si="876"/>
        <v>0</v>
      </c>
      <c r="BY1181" s="57">
        <f t="shared" ref="BY1181:BY1244" si="880">IF(AND(OR(N1181="YES",N1181="HDD",N1181="EX PIPES"),K1181=""),D1181*(F1181+G1181),0)</f>
        <v>0</v>
      </c>
      <c r="BZ1181" s="8">
        <f t="shared" si="853"/>
        <v>0</v>
      </c>
      <c r="CA1181" s="8">
        <f t="shared" si="854"/>
        <v>0</v>
      </c>
      <c r="CB1181" s="8">
        <f t="shared" si="855"/>
        <v>0</v>
      </c>
      <c r="CC1181" s="8">
        <f t="shared" si="856"/>
        <v>0</v>
      </c>
      <c r="CD1181" s="8">
        <f t="shared" si="857"/>
        <v>0</v>
      </c>
      <c r="CE1181" s="8">
        <f t="shared" si="858"/>
        <v>0</v>
      </c>
      <c r="CF1181" s="8">
        <f t="shared" si="859"/>
        <v>0</v>
      </c>
      <c r="CG1181" s="8">
        <f t="shared" si="860"/>
        <v>0</v>
      </c>
      <c r="CH1181" s="8">
        <f t="shared" si="861"/>
        <v>0</v>
      </c>
      <c r="CI1181" s="8">
        <f t="shared" si="862"/>
        <v>0</v>
      </c>
      <c r="CJ1181" s="8">
        <f t="shared" si="863"/>
        <v>0</v>
      </c>
      <c r="CK1181" s="8">
        <f t="shared" si="864"/>
        <v>0</v>
      </c>
      <c r="CL1181" s="8">
        <f t="shared" si="865"/>
        <v>0</v>
      </c>
      <c r="CM1181" s="8">
        <f t="shared" si="866"/>
        <v>0</v>
      </c>
      <c r="CN1181" s="8">
        <f t="shared" si="867"/>
        <v>0</v>
      </c>
      <c r="CO1181" s="8">
        <f t="shared" si="868"/>
        <v>0</v>
      </c>
      <c r="CP1181" s="8">
        <f t="shared" si="869"/>
        <v>0</v>
      </c>
      <c r="CQ1181" s="8">
        <f t="shared" si="870"/>
        <v>0</v>
      </c>
      <c r="CR1181" s="8">
        <f t="shared" si="871"/>
        <v>0</v>
      </c>
      <c r="CS1181" s="8">
        <f t="shared" si="872"/>
        <v>0</v>
      </c>
      <c r="CT1181" s="8">
        <f t="shared" si="877"/>
        <v>0</v>
      </c>
      <c r="CU1181" s="8">
        <f t="shared" si="878"/>
        <v>0</v>
      </c>
      <c r="CV1181" s="8">
        <f t="shared" si="879"/>
        <v>0</v>
      </c>
    </row>
    <row r="1182" spans="1:100" ht="20.5" thickTop="1" thickBot="1" x14ac:dyDescent="0.5">
      <c r="A1182" s="32"/>
      <c r="B1182" s="10"/>
      <c r="C1182" s="10"/>
      <c r="D1182" s="11"/>
      <c r="E1182" s="10"/>
      <c r="F1182" s="10"/>
      <c r="G1182" s="19"/>
      <c r="H1182" s="19"/>
      <c r="I1182" s="19"/>
      <c r="J1182" s="19"/>
      <c r="K1182" s="10"/>
      <c r="L1182" s="10"/>
      <c r="M1182" s="10"/>
      <c r="N1182" s="10"/>
      <c r="O1182" s="18"/>
      <c r="P1182" s="18"/>
      <c r="Q1182" s="21"/>
      <c r="R1182" s="20"/>
      <c r="S1182" s="16">
        <f t="shared" si="835"/>
        <v>0</v>
      </c>
      <c r="T1182" s="11"/>
      <c r="AS1182" s="31">
        <f t="shared" si="836"/>
        <v>0</v>
      </c>
      <c r="AT1182" s="31">
        <f t="shared" si="837"/>
        <v>0</v>
      </c>
      <c r="AU1182" s="31">
        <f t="shared" si="838"/>
        <v>0</v>
      </c>
      <c r="AV1182" s="31">
        <f t="shared" si="839"/>
        <v>0</v>
      </c>
      <c r="AW1182" s="31">
        <f t="shared" si="840"/>
        <v>0</v>
      </c>
      <c r="AX1182" s="31">
        <f t="shared" si="841"/>
        <v>0</v>
      </c>
      <c r="AY1182" s="31">
        <f t="shared" si="842"/>
        <v>0</v>
      </c>
      <c r="AZ1182" s="31">
        <f t="shared" si="843"/>
        <v>0</v>
      </c>
      <c r="BA1182" s="31">
        <f t="shared" si="844"/>
        <v>0</v>
      </c>
      <c r="BB1182" s="31">
        <f t="shared" si="873"/>
        <v>0</v>
      </c>
      <c r="BM1182" s="8">
        <f t="shared" si="874"/>
        <v>0</v>
      </c>
      <c r="BN1182" s="8">
        <f t="shared" si="845"/>
        <v>0</v>
      </c>
      <c r="BO1182" s="8">
        <f t="shared" si="846"/>
        <v>0</v>
      </c>
      <c r="BQ1182" s="8">
        <f t="shared" si="847"/>
        <v>0</v>
      </c>
      <c r="BR1182" s="63">
        <f t="shared" si="848"/>
        <v>0</v>
      </c>
      <c r="BS1182" s="63">
        <f t="shared" si="875"/>
        <v>0</v>
      </c>
      <c r="BT1182" s="63">
        <f t="shared" si="849"/>
        <v>0</v>
      </c>
      <c r="BU1182" s="63">
        <f t="shared" si="850"/>
        <v>0</v>
      </c>
      <c r="BV1182" s="57">
        <f t="shared" si="851"/>
        <v>0</v>
      </c>
      <c r="BW1182" s="57">
        <f t="shared" si="852"/>
        <v>0</v>
      </c>
      <c r="BX1182" s="57">
        <f t="shared" si="876"/>
        <v>0</v>
      </c>
      <c r="BY1182" s="57">
        <f t="shared" si="880"/>
        <v>0</v>
      </c>
      <c r="BZ1182" s="8">
        <f t="shared" si="853"/>
        <v>0</v>
      </c>
      <c r="CA1182" s="8">
        <f t="shared" si="854"/>
        <v>0</v>
      </c>
      <c r="CB1182" s="8">
        <f t="shared" si="855"/>
        <v>0</v>
      </c>
      <c r="CC1182" s="8">
        <f t="shared" si="856"/>
        <v>0</v>
      </c>
      <c r="CD1182" s="8">
        <f t="shared" si="857"/>
        <v>0</v>
      </c>
      <c r="CE1182" s="8">
        <f t="shared" si="858"/>
        <v>0</v>
      </c>
      <c r="CF1182" s="8">
        <f t="shared" si="859"/>
        <v>0</v>
      </c>
      <c r="CG1182" s="8">
        <f t="shared" si="860"/>
        <v>0</v>
      </c>
      <c r="CH1182" s="8">
        <f t="shared" si="861"/>
        <v>0</v>
      </c>
      <c r="CI1182" s="8">
        <f t="shared" si="862"/>
        <v>0</v>
      </c>
      <c r="CJ1182" s="8">
        <f t="shared" si="863"/>
        <v>0</v>
      </c>
      <c r="CK1182" s="8">
        <f t="shared" si="864"/>
        <v>0</v>
      </c>
      <c r="CL1182" s="8">
        <f t="shared" si="865"/>
        <v>0</v>
      </c>
      <c r="CM1182" s="8">
        <f t="shared" si="866"/>
        <v>0</v>
      </c>
      <c r="CN1182" s="8">
        <f t="shared" si="867"/>
        <v>0</v>
      </c>
      <c r="CO1182" s="8">
        <f t="shared" si="868"/>
        <v>0</v>
      </c>
      <c r="CP1182" s="8">
        <f t="shared" si="869"/>
        <v>0</v>
      </c>
      <c r="CQ1182" s="8">
        <f t="shared" si="870"/>
        <v>0</v>
      </c>
      <c r="CR1182" s="8">
        <f t="shared" si="871"/>
        <v>0</v>
      </c>
      <c r="CS1182" s="8">
        <f t="shared" si="872"/>
        <v>0</v>
      </c>
      <c r="CT1182" s="8">
        <f t="shared" si="877"/>
        <v>0</v>
      </c>
      <c r="CU1182" s="8">
        <f t="shared" si="878"/>
        <v>0</v>
      </c>
      <c r="CV1182" s="8">
        <f t="shared" si="879"/>
        <v>0</v>
      </c>
    </row>
    <row r="1183" spans="1:100" ht="20.5" thickTop="1" thickBot="1" x14ac:dyDescent="0.5">
      <c r="A1183" s="32"/>
      <c r="B1183" s="10"/>
      <c r="C1183" s="10"/>
      <c r="D1183" s="11"/>
      <c r="E1183" s="10"/>
      <c r="F1183" s="10"/>
      <c r="G1183" s="19"/>
      <c r="H1183" s="19"/>
      <c r="I1183" s="19"/>
      <c r="J1183" s="19"/>
      <c r="K1183" s="10"/>
      <c r="L1183" s="10"/>
      <c r="M1183" s="10"/>
      <c r="N1183" s="10"/>
      <c r="O1183" s="18"/>
      <c r="P1183" s="18"/>
      <c r="Q1183" s="21"/>
      <c r="R1183" s="20"/>
      <c r="S1183" s="16">
        <f t="shared" si="835"/>
        <v>0</v>
      </c>
      <c r="T1183" s="11"/>
      <c r="AS1183" s="31">
        <f t="shared" si="836"/>
        <v>0</v>
      </c>
      <c r="AT1183" s="31">
        <f t="shared" si="837"/>
        <v>0</v>
      </c>
      <c r="AU1183" s="31">
        <f t="shared" si="838"/>
        <v>0</v>
      </c>
      <c r="AV1183" s="31">
        <f t="shared" si="839"/>
        <v>0</v>
      </c>
      <c r="AW1183" s="31">
        <f t="shared" si="840"/>
        <v>0</v>
      </c>
      <c r="AX1183" s="31">
        <f t="shared" si="841"/>
        <v>0</v>
      </c>
      <c r="AY1183" s="31">
        <f t="shared" si="842"/>
        <v>0</v>
      </c>
      <c r="AZ1183" s="31">
        <f t="shared" si="843"/>
        <v>0</v>
      </c>
      <c r="BA1183" s="31">
        <f t="shared" si="844"/>
        <v>0</v>
      </c>
      <c r="BB1183" s="31">
        <f t="shared" si="873"/>
        <v>0</v>
      </c>
      <c r="BM1183" s="8">
        <f t="shared" si="874"/>
        <v>0</v>
      </c>
      <c r="BN1183" s="8">
        <f t="shared" si="845"/>
        <v>0</v>
      </c>
      <c r="BO1183" s="8">
        <f t="shared" si="846"/>
        <v>0</v>
      </c>
      <c r="BQ1183" s="8">
        <f t="shared" si="847"/>
        <v>0</v>
      </c>
      <c r="BR1183" s="63">
        <f t="shared" si="848"/>
        <v>0</v>
      </c>
      <c r="BS1183" s="63">
        <f t="shared" si="875"/>
        <v>0</v>
      </c>
      <c r="BT1183" s="63">
        <f t="shared" si="849"/>
        <v>0</v>
      </c>
      <c r="BU1183" s="63">
        <f t="shared" si="850"/>
        <v>0</v>
      </c>
      <c r="BV1183" s="57">
        <f t="shared" si="851"/>
        <v>0</v>
      </c>
      <c r="BW1183" s="57">
        <f t="shared" si="852"/>
        <v>0</v>
      </c>
      <c r="BX1183" s="57">
        <f t="shared" si="876"/>
        <v>0</v>
      </c>
      <c r="BY1183" s="57">
        <f t="shared" si="880"/>
        <v>0</v>
      </c>
      <c r="BZ1183" s="8">
        <f t="shared" si="853"/>
        <v>0</v>
      </c>
      <c r="CA1183" s="8">
        <f t="shared" si="854"/>
        <v>0</v>
      </c>
      <c r="CB1183" s="8">
        <f t="shared" si="855"/>
        <v>0</v>
      </c>
      <c r="CC1183" s="8">
        <f t="shared" si="856"/>
        <v>0</v>
      </c>
      <c r="CD1183" s="8">
        <f t="shared" si="857"/>
        <v>0</v>
      </c>
      <c r="CE1183" s="8">
        <f t="shared" si="858"/>
        <v>0</v>
      </c>
      <c r="CF1183" s="8">
        <f t="shared" si="859"/>
        <v>0</v>
      </c>
      <c r="CG1183" s="8">
        <f t="shared" si="860"/>
        <v>0</v>
      </c>
      <c r="CH1183" s="8">
        <f t="shared" si="861"/>
        <v>0</v>
      </c>
      <c r="CI1183" s="8">
        <f t="shared" si="862"/>
        <v>0</v>
      </c>
      <c r="CJ1183" s="8">
        <f t="shared" si="863"/>
        <v>0</v>
      </c>
      <c r="CK1183" s="8">
        <f t="shared" si="864"/>
        <v>0</v>
      </c>
      <c r="CL1183" s="8">
        <f t="shared" si="865"/>
        <v>0</v>
      </c>
      <c r="CM1183" s="8">
        <f t="shared" si="866"/>
        <v>0</v>
      </c>
      <c r="CN1183" s="8">
        <f t="shared" si="867"/>
        <v>0</v>
      </c>
      <c r="CO1183" s="8">
        <f t="shared" si="868"/>
        <v>0</v>
      </c>
      <c r="CP1183" s="8">
        <f t="shared" si="869"/>
        <v>0</v>
      </c>
      <c r="CQ1183" s="8">
        <f t="shared" si="870"/>
        <v>0</v>
      </c>
      <c r="CR1183" s="8">
        <f t="shared" si="871"/>
        <v>0</v>
      </c>
      <c r="CS1183" s="8">
        <f t="shared" si="872"/>
        <v>0</v>
      </c>
      <c r="CT1183" s="8">
        <f t="shared" si="877"/>
        <v>0</v>
      </c>
      <c r="CU1183" s="8">
        <f t="shared" si="878"/>
        <v>0</v>
      </c>
      <c r="CV1183" s="8">
        <f t="shared" si="879"/>
        <v>0</v>
      </c>
    </row>
    <row r="1184" spans="1:100" ht="20.5" thickTop="1" thickBot="1" x14ac:dyDescent="0.5">
      <c r="A1184" s="32"/>
      <c r="B1184" s="10"/>
      <c r="C1184" s="10"/>
      <c r="D1184" s="11"/>
      <c r="E1184" s="10"/>
      <c r="F1184" s="10"/>
      <c r="G1184" s="19"/>
      <c r="H1184" s="19"/>
      <c r="I1184" s="19"/>
      <c r="J1184" s="19"/>
      <c r="K1184" s="10"/>
      <c r="L1184" s="10"/>
      <c r="M1184" s="10"/>
      <c r="N1184" s="10"/>
      <c r="O1184" s="18"/>
      <c r="P1184" s="18"/>
      <c r="Q1184" s="21"/>
      <c r="R1184" s="20"/>
      <c r="S1184" s="16">
        <f t="shared" si="835"/>
        <v>0</v>
      </c>
      <c r="T1184" s="11"/>
      <c r="AS1184" s="31">
        <f t="shared" si="836"/>
        <v>0</v>
      </c>
      <c r="AT1184" s="31">
        <f t="shared" si="837"/>
        <v>0</v>
      </c>
      <c r="AU1184" s="31">
        <f t="shared" si="838"/>
        <v>0</v>
      </c>
      <c r="AV1184" s="31">
        <f t="shared" si="839"/>
        <v>0</v>
      </c>
      <c r="AW1184" s="31">
        <f t="shared" si="840"/>
        <v>0</v>
      </c>
      <c r="AX1184" s="31">
        <f t="shared" si="841"/>
        <v>0</v>
      </c>
      <c r="AY1184" s="31">
        <f t="shared" si="842"/>
        <v>0</v>
      </c>
      <c r="AZ1184" s="31">
        <f t="shared" si="843"/>
        <v>0</v>
      </c>
      <c r="BA1184" s="31">
        <f t="shared" si="844"/>
        <v>0</v>
      </c>
      <c r="BB1184" s="31">
        <f t="shared" si="873"/>
        <v>0</v>
      </c>
      <c r="BM1184" s="8">
        <f t="shared" si="874"/>
        <v>0</v>
      </c>
      <c r="BN1184" s="8">
        <f t="shared" si="845"/>
        <v>0</v>
      </c>
      <c r="BO1184" s="8">
        <f t="shared" si="846"/>
        <v>0</v>
      </c>
      <c r="BQ1184" s="8">
        <f t="shared" si="847"/>
        <v>0</v>
      </c>
      <c r="BR1184" s="63">
        <f t="shared" si="848"/>
        <v>0</v>
      </c>
      <c r="BS1184" s="63">
        <f t="shared" si="875"/>
        <v>0</v>
      </c>
      <c r="BT1184" s="63">
        <f t="shared" si="849"/>
        <v>0</v>
      </c>
      <c r="BU1184" s="63">
        <f t="shared" si="850"/>
        <v>0</v>
      </c>
      <c r="BV1184" s="57">
        <f t="shared" si="851"/>
        <v>0</v>
      </c>
      <c r="BW1184" s="57">
        <f t="shared" si="852"/>
        <v>0</v>
      </c>
      <c r="BX1184" s="57">
        <f t="shared" si="876"/>
        <v>0</v>
      </c>
      <c r="BY1184" s="57">
        <f t="shared" si="880"/>
        <v>0</v>
      </c>
      <c r="BZ1184" s="8">
        <f t="shared" si="853"/>
        <v>0</v>
      </c>
      <c r="CA1184" s="8">
        <f t="shared" si="854"/>
        <v>0</v>
      </c>
      <c r="CB1184" s="8">
        <f t="shared" si="855"/>
        <v>0</v>
      </c>
      <c r="CC1184" s="8">
        <f t="shared" si="856"/>
        <v>0</v>
      </c>
      <c r="CD1184" s="8">
        <f t="shared" si="857"/>
        <v>0</v>
      </c>
      <c r="CE1184" s="8">
        <f t="shared" si="858"/>
        <v>0</v>
      </c>
      <c r="CF1184" s="8">
        <f t="shared" si="859"/>
        <v>0</v>
      </c>
      <c r="CG1184" s="8">
        <f t="shared" si="860"/>
        <v>0</v>
      </c>
      <c r="CH1184" s="8">
        <f t="shared" si="861"/>
        <v>0</v>
      </c>
      <c r="CI1184" s="8">
        <f t="shared" si="862"/>
        <v>0</v>
      </c>
      <c r="CJ1184" s="8">
        <f t="shared" si="863"/>
        <v>0</v>
      </c>
      <c r="CK1184" s="8">
        <f t="shared" si="864"/>
        <v>0</v>
      </c>
      <c r="CL1184" s="8">
        <f t="shared" si="865"/>
        <v>0</v>
      </c>
      <c r="CM1184" s="8">
        <f t="shared" si="866"/>
        <v>0</v>
      </c>
      <c r="CN1184" s="8">
        <f t="shared" si="867"/>
        <v>0</v>
      </c>
      <c r="CO1184" s="8">
        <f t="shared" si="868"/>
        <v>0</v>
      </c>
      <c r="CP1184" s="8">
        <f t="shared" si="869"/>
        <v>0</v>
      </c>
      <c r="CQ1184" s="8">
        <f t="shared" si="870"/>
        <v>0</v>
      </c>
      <c r="CR1184" s="8">
        <f t="shared" si="871"/>
        <v>0</v>
      </c>
      <c r="CS1184" s="8">
        <f t="shared" si="872"/>
        <v>0</v>
      </c>
      <c r="CT1184" s="8">
        <f t="shared" si="877"/>
        <v>0</v>
      </c>
      <c r="CU1184" s="8">
        <f t="shared" si="878"/>
        <v>0</v>
      </c>
      <c r="CV1184" s="8">
        <f t="shared" si="879"/>
        <v>0</v>
      </c>
    </row>
    <row r="1185" spans="1:100" ht="20.5" thickTop="1" thickBot="1" x14ac:dyDescent="0.5">
      <c r="A1185" s="32"/>
      <c r="B1185" s="10"/>
      <c r="C1185" s="10"/>
      <c r="D1185" s="11"/>
      <c r="E1185" s="10"/>
      <c r="F1185" s="10"/>
      <c r="G1185" s="19"/>
      <c r="H1185" s="19"/>
      <c r="I1185" s="19"/>
      <c r="J1185" s="19"/>
      <c r="K1185" s="10"/>
      <c r="L1185" s="10"/>
      <c r="M1185" s="10"/>
      <c r="N1185" s="10"/>
      <c r="O1185" s="18"/>
      <c r="P1185" s="18"/>
      <c r="Q1185" s="21"/>
      <c r="R1185" s="20"/>
      <c r="S1185" s="16">
        <f t="shared" si="835"/>
        <v>0</v>
      </c>
      <c r="T1185" s="11"/>
      <c r="AS1185" s="31">
        <f t="shared" si="836"/>
        <v>0</v>
      </c>
      <c r="AT1185" s="31">
        <f t="shared" si="837"/>
        <v>0</v>
      </c>
      <c r="AU1185" s="31">
        <f t="shared" si="838"/>
        <v>0</v>
      </c>
      <c r="AV1185" s="31">
        <f t="shared" si="839"/>
        <v>0</v>
      </c>
      <c r="AW1185" s="31">
        <f t="shared" si="840"/>
        <v>0</v>
      </c>
      <c r="AX1185" s="31">
        <f t="shared" si="841"/>
        <v>0</v>
      </c>
      <c r="AY1185" s="31">
        <f t="shared" si="842"/>
        <v>0</v>
      </c>
      <c r="AZ1185" s="31">
        <f t="shared" si="843"/>
        <v>0</v>
      </c>
      <c r="BA1185" s="31">
        <f t="shared" si="844"/>
        <v>0</v>
      </c>
      <c r="BB1185" s="31">
        <f t="shared" si="873"/>
        <v>0</v>
      </c>
      <c r="BM1185" s="8">
        <f t="shared" si="874"/>
        <v>0</v>
      </c>
      <c r="BN1185" s="8">
        <f t="shared" si="845"/>
        <v>0</v>
      </c>
      <c r="BO1185" s="8">
        <f t="shared" si="846"/>
        <v>0</v>
      </c>
      <c r="BQ1185" s="8">
        <f t="shared" si="847"/>
        <v>0</v>
      </c>
      <c r="BR1185" s="63">
        <f t="shared" si="848"/>
        <v>0</v>
      </c>
      <c r="BS1185" s="63">
        <f t="shared" si="875"/>
        <v>0</v>
      </c>
      <c r="BT1185" s="63">
        <f t="shared" si="849"/>
        <v>0</v>
      </c>
      <c r="BU1185" s="63">
        <f t="shared" si="850"/>
        <v>0</v>
      </c>
      <c r="BV1185" s="57">
        <f t="shared" si="851"/>
        <v>0</v>
      </c>
      <c r="BW1185" s="57">
        <f t="shared" si="852"/>
        <v>0</v>
      </c>
      <c r="BX1185" s="57">
        <f t="shared" si="876"/>
        <v>0</v>
      </c>
      <c r="BY1185" s="57">
        <f t="shared" si="880"/>
        <v>0</v>
      </c>
      <c r="BZ1185" s="8">
        <f t="shared" si="853"/>
        <v>0</v>
      </c>
      <c r="CA1185" s="8">
        <f t="shared" si="854"/>
        <v>0</v>
      </c>
      <c r="CB1185" s="8">
        <f t="shared" si="855"/>
        <v>0</v>
      </c>
      <c r="CC1185" s="8">
        <f t="shared" si="856"/>
        <v>0</v>
      </c>
      <c r="CD1185" s="8">
        <f t="shared" si="857"/>
        <v>0</v>
      </c>
      <c r="CE1185" s="8">
        <f t="shared" si="858"/>
        <v>0</v>
      </c>
      <c r="CF1185" s="8">
        <f t="shared" si="859"/>
        <v>0</v>
      </c>
      <c r="CG1185" s="8">
        <f t="shared" si="860"/>
        <v>0</v>
      </c>
      <c r="CH1185" s="8">
        <f t="shared" si="861"/>
        <v>0</v>
      </c>
      <c r="CI1185" s="8">
        <f t="shared" si="862"/>
        <v>0</v>
      </c>
      <c r="CJ1185" s="8">
        <f t="shared" si="863"/>
        <v>0</v>
      </c>
      <c r="CK1185" s="8">
        <f t="shared" si="864"/>
        <v>0</v>
      </c>
      <c r="CL1185" s="8">
        <f t="shared" si="865"/>
        <v>0</v>
      </c>
      <c r="CM1185" s="8">
        <f t="shared" si="866"/>
        <v>0</v>
      </c>
      <c r="CN1185" s="8">
        <f t="shared" si="867"/>
        <v>0</v>
      </c>
      <c r="CO1185" s="8">
        <f t="shared" si="868"/>
        <v>0</v>
      </c>
      <c r="CP1185" s="8">
        <f t="shared" si="869"/>
        <v>0</v>
      </c>
      <c r="CQ1185" s="8">
        <f t="shared" si="870"/>
        <v>0</v>
      </c>
      <c r="CR1185" s="8">
        <f t="shared" si="871"/>
        <v>0</v>
      </c>
      <c r="CS1185" s="8">
        <f t="shared" si="872"/>
        <v>0</v>
      </c>
      <c r="CT1185" s="8">
        <f t="shared" si="877"/>
        <v>0</v>
      </c>
      <c r="CU1185" s="8">
        <f t="shared" si="878"/>
        <v>0</v>
      </c>
      <c r="CV1185" s="8">
        <f t="shared" si="879"/>
        <v>0</v>
      </c>
    </row>
    <row r="1186" spans="1:100" ht="20.5" thickTop="1" thickBot="1" x14ac:dyDescent="0.5">
      <c r="A1186" s="32"/>
      <c r="B1186" s="10"/>
      <c r="C1186" s="10"/>
      <c r="D1186" s="11"/>
      <c r="E1186" s="10"/>
      <c r="F1186" s="10"/>
      <c r="G1186" s="19"/>
      <c r="H1186" s="19"/>
      <c r="I1186" s="19"/>
      <c r="J1186" s="19"/>
      <c r="K1186" s="10"/>
      <c r="L1186" s="10"/>
      <c r="M1186" s="10"/>
      <c r="N1186" s="10"/>
      <c r="O1186" s="18"/>
      <c r="P1186" s="18"/>
      <c r="Q1186" s="21"/>
      <c r="R1186" s="20"/>
      <c r="S1186" s="16">
        <f t="shared" si="835"/>
        <v>0</v>
      </c>
      <c r="T1186" s="11"/>
      <c r="AS1186" s="31">
        <f t="shared" si="836"/>
        <v>0</v>
      </c>
      <c r="AT1186" s="31">
        <f t="shared" si="837"/>
        <v>0</v>
      </c>
      <c r="AU1186" s="31">
        <f t="shared" si="838"/>
        <v>0</v>
      </c>
      <c r="AV1186" s="31">
        <f t="shared" si="839"/>
        <v>0</v>
      </c>
      <c r="AW1186" s="31">
        <f t="shared" si="840"/>
        <v>0</v>
      </c>
      <c r="AX1186" s="31">
        <f t="shared" si="841"/>
        <v>0</v>
      </c>
      <c r="AY1186" s="31">
        <f t="shared" si="842"/>
        <v>0</v>
      </c>
      <c r="AZ1186" s="31">
        <f t="shared" si="843"/>
        <v>0</v>
      </c>
      <c r="BA1186" s="31">
        <f t="shared" si="844"/>
        <v>0</v>
      </c>
      <c r="BB1186" s="31">
        <f t="shared" si="873"/>
        <v>0</v>
      </c>
      <c r="BM1186" s="8">
        <f t="shared" si="874"/>
        <v>0</v>
      </c>
      <c r="BN1186" s="8">
        <f t="shared" si="845"/>
        <v>0</v>
      </c>
      <c r="BO1186" s="8">
        <f t="shared" si="846"/>
        <v>0</v>
      </c>
      <c r="BQ1186" s="8">
        <f t="shared" si="847"/>
        <v>0</v>
      </c>
      <c r="BR1186" s="63">
        <f t="shared" si="848"/>
        <v>0</v>
      </c>
      <c r="BS1186" s="63">
        <f t="shared" si="875"/>
        <v>0</v>
      </c>
      <c r="BT1186" s="63">
        <f t="shared" si="849"/>
        <v>0</v>
      </c>
      <c r="BU1186" s="63">
        <f t="shared" si="850"/>
        <v>0</v>
      </c>
      <c r="BV1186" s="57">
        <f t="shared" si="851"/>
        <v>0</v>
      </c>
      <c r="BW1186" s="57">
        <f t="shared" si="852"/>
        <v>0</v>
      </c>
      <c r="BX1186" s="57">
        <f t="shared" si="876"/>
        <v>0</v>
      </c>
      <c r="BY1186" s="57">
        <f t="shared" si="880"/>
        <v>0</v>
      </c>
      <c r="BZ1186" s="8">
        <f t="shared" si="853"/>
        <v>0</v>
      </c>
      <c r="CA1186" s="8">
        <f t="shared" si="854"/>
        <v>0</v>
      </c>
      <c r="CB1186" s="8">
        <f t="shared" si="855"/>
        <v>0</v>
      </c>
      <c r="CC1186" s="8">
        <f t="shared" si="856"/>
        <v>0</v>
      </c>
      <c r="CD1186" s="8">
        <f t="shared" si="857"/>
        <v>0</v>
      </c>
      <c r="CE1186" s="8">
        <f t="shared" si="858"/>
        <v>0</v>
      </c>
      <c r="CF1186" s="8">
        <f t="shared" si="859"/>
        <v>0</v>
      </c>
      <c r="CG1186" s="8">
        <f t="shared" si="860"/>
        <v>0</v>
      </c>
      <c r="CH1186" s="8">
        <f t="shared" si="861"/>
        <v>0</v>
      </c>
      <c r="CI1186" s="8">
        <f t="shared" si="862"/>
        <v>0</v>
      </c>
      <c r="CJ1186" s="8">
        <f t="shared" si="863"/>
        <v>0</v>
      </c>
      <c r="CK1186" s="8">
        <f t="shared" si="864"/>
        <v>0</v>
      </c>
      <c r="CL1186" s="8">
        <f t="shared" si="865"/>
        <v>0</v>
      </c>
      <c r="CM1186" s="8">
        <f t="shared" si="866"/>
        <v>0</v>
      </c>
      <c r="CN1186" s="8">
        <f t="shared" si="867"/>
        <v>0</v>
      </c>
      <c r="CO1186" s="8">
        <f t="shared" si="868"/>
        <v>0</v>
      </c>
      <c r="CP1186" s="8">
        <f t="shared" si="869"/>
        <v>0</v>
      </c>
      <c r="CQ1186" s="8">
        <f t="shared" si="870"/>
        <v>0</v>
      </c>
      <c r="CR1186" s="8">
        <f t="shared" si="871"/>
        <v>0</v>
      </c>
      <c r="CS1186" s="8">
        <f t="shared" si="872"/>
        <v>0</v>
      </c>
      <c r="CT1186" s="8">
        <f t="shared" si="877"/>
        <v>0</v>
      </c>
      <c r="CU1186" s="8">
        <f t="shared" si="878"/>
        <v>0</v>
      </c>
      <c r="CV1186" s="8">
        <f t="shared" si="879"/>
        <v>0</v>
      </c>
    </row>
    <row r="1187" spans="1:100" ht="20.5" thickTop="1" thickBot="1" x14ac:dyDescent="0.5">
      <c r="A1187" s="32"/>
      <c r="B1187" s="10"/>
      <c r="C1187" s="10"/>
      <c r="D1187" s="11"/>
      <c r="E1187" s="10"/>
      <c r="F1187" s="10"/>
      <c r="G1187" s="19"/>
      <c r="H1187" s="19"/>
      <c r="I1187" s="19"/>
      <c r="J1187" s="19"/>
      <c r="K1187" s="10"/>
      <c r="L1187" s="10"/>
      <c r="M1187" s="10"/>
      <c r="N1187" s="10"/>
      <c r="O1187" s="18"/>
      <c r="P1187" s="18"/>
      <c r="Q1187" s="21"/>
      <c r="R1187" s="20"/>
      <c r="S1187" s="16">
        <f t="shared" si="835"/>
        <v>0</v>
      </c>
      <c r="T1187" s="11"/>
      <c r="AS1187" s="31">
        <f t="shared" si="836"/>
        <v>0</v>
      </c>
      <c r="AT1187" s="31">
        <f t="shared" si="837"/>
        <v>0</v>
      </c>
      <c r="AU1187" s="31">
        <f t="shared" si="838"/>
        <v>0</v>
      </c>
      <c r="AV1187" s="31">
        <f t="shared" si="839"/>
        <v>0</v>
      </c>
      <c r="AW1187" s="31">
        <f t="shared" si="840"/>
        <v>0</v>
      </c>
      <c r="AX1187" s="31">
        <f t="shared" si="841"/>
        <v>0</v>
      </c>
      <c r="AY1187" s="31">
        <f t="shared" si="842"/>
        <v>0</v>
      </c>
      <c r="AZ1187" s="31">
        <f t="shared" si="843"/>
        <v>0</v>
      </c>
      <c r="BA1187" s="31">
        <f t="shared" si="844"/>
        <v>0</v>
      </c>
      <c r="BB1187" s="31">
        <f t="shared" si="873"/>
        <v>0</v>
      </c>
      <c r="BM1187" s="8">
        <f t="shared" si="874"/>
        <v>0</v>
      </c>
      <c r="BN1187" s="8">
        <f t="shared" si="845"/>
        <v>0</v>
      </c>
      <c r="BO1187" s="8">
        <f t="shared" si="846"/>
        <v>0</v>
      </c>
      <c r="BQ1187" s="8">
        <f t="shared" si="847"/>
        <v>0</v>
      </c>
      <c r="BR1187" s="63">
        <f t="shared" si="848"/>
        <v>0</v>
      </c>
      <c r="BS1187" s="63">
        <f t="shared" si="875"/>
        <v>0</v>
      </c>
      <c r="BT1187" s="63">
        <f t="shared" si="849"/>
        <v>0</v>
      </c>
      <c r="BU1187" s="63">
        <f t="shared" si="850"/>
        <v>0</v>
      </c>
      <c r="BV1187" s="57">
        <f t="shared" si="851"/>
        <v>0</v>
      </c>
      <c r="BW1187" s="57">
        <f t="shared" si="852"/>
        <v>0</v>
      </c>
      <c r="BX1187" s="57">
        <f t="shared" si="876"/>
        <v>0</v>
      </c>
      <c r="BY1187" s="57">
        <f t="shared" si="880"/>
        <v>0</v>
      </c>
      <c r="BZ1187" s="8">
        <f t="shared" si="853"/>
        <v>0</v>
      </c>
      <c r="CA1187" s="8">
        <f t="shared" si="854"/>
        <v>0</v>
      </c>
      <c r="CB1187" s="8">
        <f t="shared" si="855"/>
        <v>0</v>
      </c>
      <c r="CC1187" s="8">
        <f t="shared" si="856"/>
        <v>0</v>
      </c>
      <c r="CD1187" s="8">
        <f t="shared" si="857"/>
        <v>0</v>
      </c>
      <c r="CE1187" s="8">
        <f t="shared" si="858"/>
        <v>0</v>
      </c>
      <c r="CF1187" s="8">
        <f t="shared" si="859"/>
        <v>0</v>
      </c>
      <c r="CG1187" s="8">
        <f t="shared" si="860"/>
        <v>0</v>
      </c>
      <c r="CH1187" s="8">
        <f t="shared" si="861"/>
        <v>0</v>
      </c>
      <c r="CI1187" s="8">
        <f t="shared" si="862"/>
        <v>0</v>
      </c>
      <c r="CJ1187" s="8">
        <f t="shared" si="863"/>
        <v>0</v>
      </c>
      <c r="CK1187" s="8">
        <f t="shared" si="864"/>
        <v>0</v>
      </c>
      <c r="CL1187" s="8">
        <f t="shared" si="865"/>
        <v>0</v>
      </c>
      <c r="CM1187" s="8">
        <f t="shared" si="866"/>
        <v>0</v>
      </c>
      <c r="CN1187" s="8">
        <f t="shared" si="867"/>
        <v>0</v>
      </c>
      <c r="CO1187" s="8">
        <f t="shared" si="868"/>
        <v>0</v>
      </c>
      <c r="CP1187" s="8">
        <f t="shared" si="869"/>
        <v>0</v>
      </c>
      <c r="CQ1187" s="8">
        <f t="shared" si="870"/>
        <v>0</v>
      </c>
      <c r="CR1187" s="8">
        <f t="shared" si="871"/>
        <v>0</v>
      </c>
      <c r="CS1187" s="8">
        <f t="shared" si="872"/>
        <v>0</v>
      </c>
      <c r="CT1187" s="8">
        <f t="shared" si="877"/>
        <v>0</v>
      </c>
      <c r="CU1187" s="8">
        <f t="shared" si="878"/>
        <v>0</v>
      </c>
      <c r="CV1187" s="8">
        <f t="shared" si="879"/>
        <v>0</v>
      </c>
    </row>
    <row r="1188" spans="1:100" ht="20.5" thickTop="1" thickBot="1" x14ac:dyDescent="0.5">
      <c r="A1188" s="32"/>
      <c r="B1188" s="10"/>
      <c r="C1188" s="10"/>
      <c r="D1188" s="11"/>
      <c r="E1188" s="10"/>
      <c r="F1188" s="10"/>
      <c r="G1188" s="19"/>
      <c r="H1188" s="19"/>
      <c r="I1188" s="19"/>
      <c r="J1188" s="19"/>
      <c r="K1188" s="10"/>
      <c r="L1188" s="10"/>
      <c r="M1188" s="10"/>
      <c r="N1188" s="10"/>
      <c r="O1188" s="18"/>
      <c r="P1188" s="18"/>
      <c r="Q1188" s="21"/>
      <c r="R1188" s="20"/>
      <c r="S1188" s="16">
        <f t="shared" si="835"/>
        <v>0</v>
      </c>
      <c r="T1188" s="11"/>
      <c r="AS1188" s="31">
        <f t="shared" si="836"/>
        <v>0</v>
      </c>
      <c r="AT1188" s="31">
        <f t="shared" si="837"/>
        <v>0</v>
      </c>
      <c r="AU1188" s="31">
        <f t="shared" si="838"/>
        <v>0</v>
      </c>
      <c r="AV1188" s="31">
        <f t="shared" si="839"/>
        <v>0</v>
      </c>
      <c r="AW1188" s="31">
        <f t="shared" si="840"/>
        <v>0</v>
      </c>
      <c r="AX1188" s="31">
        <f t="shared" si="841"/>
        <v>0</v>
      </c>
      <c r="AY1188" s="31">
        <f t="shared" si="842"/>
        <v>0</v>
      </c>
      <c r="AZ1188" s="31">
        <f t="shared" si="843"/>
        <v>0</v>
      </c>
      <c r="BA1188" s="31">
        <f t="shared" si="844"/>
        <v>0</v>
      </c>
      <c r="BB1188" s="31">
        <f t="shared" si="873"/>
        <v>0</v>
      </c>
      <c r="BM1188" s="8">
        <f t="shared" si="874"/>
        <v>0</v>
      </c>
      <c r="BN1188" s="8">
        <f t="shared" si="845"/>
        <v>0</v>
      </c>
      <c r="BO1188" s="8">
        <f t="shared" si="846"/>
        <v>0</v>
      </c>
      <c r="BQ1188" s="8">
        <f t="shared" si="847"/>
        <v>0</v>
      </c>
      <c r="BR1188" s="63">
        <f t="shared" si="848"/>
        <v>0</v>
      </c>
      <c r="BS1188" s="63">
        <f t="shared" si="875"/>
        <v>0</v>
      </c>
      <c r="BT1188" s="63">
        <f t="shared" si="849"/>
        <v>0</v>
      </c>
      <c r="BU1188" s="63">
        <f t="shared" si="850"/>
        <v>0</v>
      </c>
      <c r="BV1188" s="57">
        <f t="shared" si="851"/>
        <v>0</v>
      </c>
      <c r="BW1188" s="57">
        <f t="shared" si="852"/>
        <v>0</v>
      </c>
      <c r="BX1188" s="57">
        <f t="shared" si="876"/>
        <v>0</v>
      </c>
      <c r="BY1188" s="57">
        <f t="shared" si="880"/>
        <v>0</v>
      </c>
      <c r="BZ1188" s="8">
        <f t="shared" si="853"/>
        <v>0</v>
      </c>
      <c r="CA1188" s="8">
        <f t="shared" si="854"/>
        <v>0</v>
      </c>
      <c r="CB1188" s="8">
        <f t="shared" si="855"/>
        <v>0</v>
      </c>
      <c r="CC1188" s="8">
        <f t="shared" si="856"/>
        <v>0</v>
      </c>
      <c r="CD1188" s="8">
        <f t="shared" si="857"/>
        <v>0</v>
      </c>
      <c r="CE1188" s="8">
        <f t="shared" si="858"/>
        <v>0</v>
      </c>
      <c r="CF1188" s="8">
        <f t="shared" si="859"/>
        <v>0</v>
      </c>
      <c r="CG1188" s="8">
        <f t="shared" si="860"/>
        <v>0</v>
      </c>
      <c r="CH1188" s="8">
        <f t="shared" si="861"/>
        <v>0</v>
      </c>
      <c r="CI1188" s="8">
        <f t="shared" si="862"/>
        <v>0</v>
      </c>
      <c r="CJ1188" s="8">
        <f t="shared" si="863"/>
        <v>0</v>
      </c>
      <c r="CK1188" s="8">
        <f t="shared" si="864"/>
        <v>0</v>
      </c>
      <c r="CL1188" s="8">
        <f t="shared" si="865"/>
        <v>0</v>
      </c>
      <c r="CM1188" s="8">
        <f t="shared" si="866"/>
        <v>0</v>
      </c>
      <c r="CN1188" s="8">
        <f t="shared" si="867"/>
        <v>0</v>
      </c>
      <c r="CO1188" s="8">
        <f t="shared" si="868"/>
        <v>0</v>
      </c>
      <c r="CP1188" s="8">
        <f t="shared" si="869"/>
        <v>0</v>
      </c>
      <c r="CQ1188" s="8">
        <f t="shared" si="870"/>
        <v>0</v>
      </c>
      <c r="CR1188" s="8">
        <f t="shared" si="871"/>
        <v>0</v>
      </c>
      <c r="CS1188" s="8">
        <f t="shared" si="872"/>
        <v>0</v>
      </c>
      <c r="CT1188" s="8">
        <f t="shared" si="877"/>
        <v>0</v>
      </c>
      <c r="CU1188" s="8">
        <f t="shared" si="878"/>
        <v>0</v>
      </c>
      <c r="CV1188" s="8">
        <f t="shared" si="879"/>
        <v>0</v>
      </c>
    </row>
    <row r="1189" spans="1:100" ht="20.5" thickTop="1" thickBot="1" x14ac:dyDescent="0.5">
      <c r="A1189" s="32"/>
      <c r="B1189" s="10"/>
      <c r="C1189" s="10"/>
      <c r="D1189" s="11"/>
      <c r="E1189" s="10"/>
      <c r="F1189" s="10"/>
      <c r="G1189" s="19"/>
      <c r="H1189" s="19"/>
      <c r="I1189" s="19"/>
      <c r="J1189" s="19"/>
      <c r="K1189" s="10"/>
      <c r="L1189" s="10"/>
      <c r="M1189" s="10"/>
      <c r="N1189" s="10"/>
      <c r="O1189" s="18"/>
      <c r="P1189" s="18"/>
      <c r="Q1189" s="21"/>
      <c r="R1189" s="20"/>
      <c r="S1189" s="16">
        <f t="shared" si="835"/>
        <v>0</v>
      </c>
      <c r="T1189" s="11"/>
      <c r="AS1189" s="31">
        <f t="shared" si="836"/>
        <v>0</v>
      </c>
      <c r="AT1189" s="31">
        <f t="shared" si="837"/>
        <v>0</v>
      </c>
      <c r="AU1189" s="31">
        <f t="shared" si="838"/>
        <v>0</v>
      </c>
      <c r="AV1189" s="31">
        <f t="shared" si="839"/>
        <v>0</v>
      </c>
      <c r="AW1189" s="31">
        <f t="shared" si="840"/>
        <v>0</v>
      </c>
      <c r="AX1189" s="31">
        <f t="shared" si="841"/>
        <v>0</v>
      </c>
      <c r="AY1189" s="31">
        <f t="shared" si="842"/>
        <v>0</v>
      </c>
      <c r="AZ1189" s="31">
        <f t="shared" si="843"/>
        <v>0</v>
      </c>
      <c r="BA1189" s="31">
        <f t="shared" si="844"/>
        <v>0</v>
      </c>
      <c r="BB1189" s="31">
        <f t="shared" si="873"/>
        <v>0</v>
      </c>
      <c r="BM1189" s="8">
        <f t="shared" si="874"/>
        <v>0</v>
      </c>
      <c r="BN1189" s="8">
        <f t="shared" si="845"/>
        <v>0</v>
      </c>
      <c r="BO1189" s="8">
        <f t="shared" si="846"/>
        <v>0</v>
      </c>
      <c r="BQ1189" s="8">
        <f t="shared" si="847"/>
        <v>0</v>
      </c>
      <c r="BR1189" s="63">
        <f t="shared" si="848"/>
        <v>0</v>
      </c>
      <c r="BS1189" s="63">
        <f t="shared" si="875"/>
        <v>0</v>
      </c>
      <c r="BT1189" s="63">
        <f t="shared" si="849"/>
        <v>0</v>
      </c>
      <c r="BU1189" s="63">
        <f t="shared" si="850"/>
        <v>0</v>
      </c>
      <c r="BV1189" s="57">
        <f t="shared" si="851"/>
        <v>0</v>
      </c>
      <c r="BW1189" s="57">
        <f t="shared" si="852"/>
        <v>0</v>
      </c>
      <c r="BX1189" s="57">
        <f t="shared" si="876"/>
        <v>0</v>
      </c>
      <c r="BY1189" s="57">
        <f t="shared" si="880"/>
        <v>0</v>
      </c>
      <c r="BZ1189" s="8">
        <f t="shared" si="853"/>
        <v>0</v>
      </c>
      <c r="CA1189" s="8">
        <f t="shared" si="854"/>
        <v>0</v>
      </c>
      <c r="CB1189" s="8">
        <f t="shared" si="855"/>
        <v>0</v>
      </c>
      <c r="CC1189" s="8">
        <f t="shared" si="856"/>
        <v>0</v>
      </c>
      <c r="CD1189" s="8">
        <f t="shared" si="857"/>
        <v>0</v>
      </c>
      <c r="CE1189" s="8">
        <f t="shared" si="858"/>
        <v>0</v>
      </c>
      <c r="CF1189" s="8">
        <f t="shared" si="859"/>
        <v>0</v>
      </c>
      <c r="CG1189" s="8">
        <f t="shared" si="860"/>
        <v>0</v>
      </c>
      <c r="CH1189" s="8">
        <f t="shared" si="861"/>
        <v>0</v>
      </c>
      <c r="CI1189" s="8">
        <f t="shared" si="862"/>
        <v>0</v>
      </c>
      <c r="CJ1189" s="8">
        <f t="shared" si="863"/>
        <v>0</v>
      </c>
      <c r="CK1189" s="8">
        <f t="shared" si="864"/>
        <v>0</v>
      </c>
      <c r="CL1189" s="8">
        <f t="shared" si="865"/>
        <v>0</v>
      </c>
      <c r="CM1189" s="8">
        <f t="shared" si="866"/>
        <v>0</v>
      </c>
      <c r="CN1189" s="8">
        <f t="shared" si="867"/>
        <v>0</v>
      </c>
      <c r="CO1189" s="8">
        <f t="shared" si="868"/>
        <v>0</v>
      </c>
      <c r="CP1189" s="8">
        <f t="shared" si="869"/>
        <v>0</v>
      </c>
      <c r="CQ1189" s="8">
        <f t="shared" si="870"/>
        <v>0</v>
      </c>
      <c r="CR1189" s="8">
        <f t="shared" si="871"/>
        <v>0</v>
      </c>
      <c r="CS1189" s="8">
        <f t="shared" si="872"/>
        <v>0</v>
      </c>
      <c r="CT1189" s="8">
        <f t="shared" si="877"/>
        <v>0</v>
      </c>
      <c r="CU1189" s="8">
        <f t="shared" si="878"/>
        <v>0</v>
      </c>
      <c r="CV1189" s="8">
        <f t="shared" si="879"/>
        <v>0</v>
      </c>
    </row>
    <row r="1190" spans="1:100" ht="20.5" thickTop="1" thickBot="1" x14ac:dyDescent="0.5">
      <c r="A1190" s="32"/>
      <c r="B1190" s="10"/>
      <c r="C1190" s="10"/>
      <c r="D1190" s="11"/>
      <c r="E1190" s="10"/>
      <c r="F1190" s="10"/>
      <c r="G1190" s="19"/>
      <c r="H1190" s="19"/>
      <c r="I1190" s="19"/>
      <c r="J1190" s="19"/>
      <c r="K1190" s="10"/>
      <c r="L1190" s="10"/>
      <c r="M1190" s="10"/>
      <c r="N1190" s="10"/>
      <c r="O1190" s="18"/>
      <c r="P1190" s="18"/>
      <c r="Q1190" s="21"/>
      <c r="R1190" s="20"/>
      <c r="S1190" s="16">
        <f t="shared" si="835"/>
        <v>0</v>
      </c>
      <c r="T1190" s="11"/>
      <c r="AS1190" s="31">
        <f t="shared" si="836"/>
        <v>0</v>
      </c>
      <c r="AT1190" s="31">
        <f t="shared" si="837"/>
        <v>0</v>
      </c>
      <c r="AU1190" s="31">
        <f t="shared" si="838"/>
        <v>0</v>
      </c>
      <c r="AV1190" s="31">
        <f t="shared" si="839"/>
        <v>0</v>
      </c>
      <c r="AW1190" s="31">
        <f t="shared" si="840"/>
        <v>0</v>
      </c>
      <c r="AX1190" s="31">
        <f t="shared" si="841"/>
        <v>0</v>
      </c>
      <c r="AY1190" s="31">
        <f t="shared" si="842"/>
        <v>0</v>
      </c>
      <c r="AZ1190" s="31">
        <f t="shared" si="843"/>
        <v>0</v>
      </c>
      <c r="BA1190" s="31">
        <f t="shared" si="844"/>
        <v>0</v>
      </c>
      <c r="BB1190" s="31">
        <f t="shared" si="873"/>
        <v>0</v>
      </c>
      <c r="BM1190" s="8">
        <f t="shared" si="874"/>
        <v>0</v>
      </c>
      <c r="BN1190" s="8">
        <f t="shared" si="845"/>
        <v>0</v>
      </c>
      <c r="BO1190" s="8">
        <f t="shared" si="846"/>
        <v>0</v>
      </c>
      <c r="BQ1190" s="8">
        <f t="shared" si="847"/>
        <v>0</v>
      </c>
      <c r="BR1190" s="63">
        <f t="shared" si="848"/>
        <v>0</v>
      </c>
      <c r="BS1190" s="63">
        <f t="shared" si="875"/>
        <v>0</v>
      </c>
      <c r="BT1190" s="63">
        <f t="shared" si="849"/>
        <v>0</v>
      </c>
      <c r="BU1190" s="63">
        <f t="shared" si="850"/>
        <v>0</v>
      </c>
      <c r="BV1190" s="57">
        <f t="shared" si="851"/>
        <v>0</v>
      </c>
      <c r="BW1190" s="57">
        <f t="shared" si="852"/>
        <v>0</v>
      </c>
      <c r="BX1190" s="57">
        <f t="shared" si="876"/>
        <v>0</v>
      </c>
      <c r="BY1190" s="57">
        <f t="shared" si="880"/>
        <v>0</v>
      </c>
      <c r="BZ1190" s="8">
        <f t="shared" si="853"/>
        <v>0</v>
      </c>
      <c r="CA1190" s="8">
        <f t="shared" si="854"/>
        <v>0</v>
      </c>
      <c r="CB1190" s="8">
        <f t="shared" si="855"/>
        <v>0</v>
      </c>
      <c r="CC1190" s="8">
        <f t="shared" si="856"/>
        <v>0</v>
      </c>
      <c r="CD1190" s="8">
        <f t="shared" si="857"/>
        <v>0</v>
      </c>
      <c r="CE1190" s="8">
        <f t="shared" si="858"/>
        <v>0</v>
      </c>
      <c r="CF1190" s="8">
        <f t="shared" si="859"/>
        <v>0</v>
      </c>
      <c r="CG1190" s="8">
        <f t="shared" si="860"/>
        <v>0</v>
      </c>
      <c r="CH1190" s="8">
        <f t="shared" si="861"/>
        <v>0</v>
      </c>
      <c r="CI1190" s="8">
        <f t="shared" si="862"/>
        <v>0</v>
      </c>
      <c r="CJ1190" s="8">
        <f t="shared" si="863"/>
        <v>0</v>
      </c>
      <c r="CK1190" s="8">
        <f t="shared" si="864"/>
        <v>0</v>
      </c>
      <c r="CL1190" s="8">
        <f t="shared" si="865"/>
        <v>0</v>
      </c>
      <c r="CM1190" s="8">
        <f t="shared" si="866"/>
        <v>0</v>
      </c>
      <c r="CN1190" s="8">
        <f t="shared" si="867"/>
        <v>0</v>
      </c>
      <c r="CO1190" s="8">
        <f t="shared" si="868"/>
        <v>0</v>
      </c>
      <c r="CP1190" s="8">
        <f t="shared" si="869"/>
        <v>0</v>
      </c>
      <c r="CQ1190" s="8">
        <f t="shared" si="870"/>
        <v>0</v>
      </c>
      <c r="CR1190" s="8">
        <f t="shared" si="871"/>
        <v>0</v>
      </c>
      <c r="CS1190" s="8">
        <f t="shared" si="872"/>
        <v>0</v>
      </c>
      <c r="CT1190" s="8">
        <f t="shared" si="877"/>
        <v>0</v>
      </c>
      <c r="CU1190" s="8">
        <f t="shared" si="878"/>
        <v>0</v>
      </c>
      <c r="CV1190" s="8">
        <f t="shared" si="879"/>
        <v>0</v>
      </c>
    </row>
    <row r="1191" spans="1:100" ht="20.5" thickTop="1" thickBot="1" x14ac:dyDescent="0.5">
      <c r="A1191" s="32"/>
      <c r="B1191" s="10"/>
      <c r="C1191" s="10"/>
      <c r="D1191" s="11"/>
      <c r="E1191" s="10"/>
      <c r="F1191" s="10"/>
      <c r="G1191" s="19"/>
      <c r="H1191" s="19"/>
      <c r="I1191" s="19"/>
      <c r="J1191" s="19"/>
      <c r="K1191" s="10"/>
      <c r="L1191" s="10"/>
      <c r="M1191" s="10"/>
      <c r="N1191" s="10"/>
      <c r="O1191" s="18"/>
      <c r="P1191" s="18"/>
      <c r="Q1191" s="21"/>
      <c r="R1191" s="20"/>
      <c r="S1191" s="16">
        <f t="shared" si="835"/>
        <v>0</v>
      </c>
      <c r="T1191" s="11"/>
      <c r="AS1191" s="31">
        <f t="shared" si="836"/>
        <v>0</v>
      </c>
      <c r="AT1191" s="31">
        <f t="shared" si="837"/>
        <v>0</v>
      </c>
      <c r="AU1191" s="31">
        <f t="shared" si="838"/>
        <v>0</v>
      </c>
      <c r="AV1191" s="31">
        <f t="shared" si="839"/>
        <v>0</v>
      </c>
      <c r="AW1191" s="31">
        <f t="shared" si="840"/>
        <v>0</v>
      </c>
      <c r="AX1191" s="31">
        <f t="shared" si="841"/>
        <v>0</v>
      </c>
      <c r="AY1191" s="31">
        <f t="shared" si="842"/>
        <v>0</v>
      </c>
      <c r="AZ1191" s="31">
        <f t="shared" si="843"/>
        <v>0</v>
      </c>
      <c r="BA1191" s="31">
        <f t="shared" si="844"/>
        <v>0</v>
      </c>
      <c r="BB1191" s="31">
        <f t="shared" si="873"/>
        <v>0</v>
      </c>
      <c r="BM1191" s="8">
        <f t="shared" si="874"/>
        <v>0</v>
      </c>
      <c r="BN1191" s="8">
        <f t="shared" si="845"/>
        <v>0</v>
      </c>
      <c r="BO1191" s="8">
        <f t="shared" si="846"/>
        <v>0</v>
      </c>
      <c r="BQ1191" s="8">
        <f t="shared" si="847"/>
        <v>0</v>
      </c>
      <c r="BR1191" s="63">
        <f t="shared" si="848"/>
        <v>0</v>
      </c>
      <c r="BS1191" s="63">
        <f t="shared" si="875"/>
        <v>0</v>
      </c>
      <c r="BT1191" s="63">
        <f t="shared" si="849"/>
        <v>0</v>
      </c>
      <c r="BU1191" s="63">
        <f t="shared" si="850"/>
        <v>0</v>
      </c>
      <c r="BV1191" s="57">
        <f t="shared" si="851"/>
        <v>0</v>
      </c>
      <c r="BW1191" s="57">
        <f t="shared" si="852"/>
        <v>0</v>
      </c>
      <c r="BX1191" s="57">
        <f t="shared" si="876"/>
        <v>0</v>
      </c>
      <c r="BY1191" s="57">
        <f t="shared" si="880"/>
        <v>0</v>
      </c>
      <c r="BZ1191" s="8">
        <f t="shared" si="853"/>
        <v>0</v>
      </c>
      <c r="CA1191" s="8">
        <f t="shared" si="854"/>
        <v>0</v>
      </c>
      <c r="CB1191" s="8">
        <f t="shared" si="855"/>
        <v>0</v>
      </c>
      <c r="CC1191" s="8">
        <f t="shared" si="856"/>
        <v>0</v>
      </c>
      <c r="CD1191" s="8">
        <f t="shared" si="857"/>
        <v>0</v>
      </c>
      <c r="CE1191" s="8">
        <f t="shared" si="858"/>
        <v>0</v>
      </c>
      <c r="CF1191" s="8">
        <f t="shared" si="859"/>
        <v>0</v>
      </c>
      <c r="CG1191" s="8">
        <f t="shared" si="860"/>
        <v>0</v>
      </c>
      <c r="CH1191" s="8">
        <f t="shared" si="861"/>
        <v>0</v>
      </c>
      <c r="CI1191" s="8">
        <f t="shared" si="862"/>
        <v>0</v>
      </c>
      <c r="CJ1191" s="8">
        <f t="shared" si="863"/>
        <v>0</v>
      </c>
      <c r="CK1191" s="8">
        <f t="shared" si="864"/>
        <v>0</v>
      </c>
      <c r="CL1191" s="8">
        <f t="shared" si="865"/>
        <v>0</v>
      </c>
      <c r="CM1191" s="8">
        <f t="shared" si="866"/>
        <v>0</v>
      </c>
      <c r="CN1191" s="8">
        <f t="shared" si="867"/>
        <v>0</v>
      </c>
      <c r="CO1191" s="8">
        <f t="shared" si="868"/>
        <v>0</v>
      </c>
      <c r="CP1191" s="8">
        <f t="shared" si="869"/>
        <v>0</v>
      </c>
      <c r="CQ1191" s="8">
        <f t="shared" si="870"/>
        <v>0</v>
      </c>
      <c r="CR1191" s="8">
        <f t="shared" si="871"/>
        <v>0</v>
      </c>
      <c r="CS1191" s="8">
        <f t="shared" si="872"/>
        <v>0</v>
      </c>
      <c r="CT1191" s="8">
        <f t="shared" si="877"/>
        <v>0</v>
      </c>
      <c r="CU1191" s="8">
        <f t="shared" si="878"/>
        <v>0</v>
      </c>
      <c r="CV1191" s="8">
        <f t="shared" si="879"/>
        <v>0</v>
      </c>
    </row>
    <row r="1192" spans="1:100" ht="20.5" thickTop="1" thickBot="1" x14ac:dyDescent="0.5">
      <c r="A1192" s="32"/>
      <c r="B1192" s="10"/>
      <c r="C1192" s="10"/>
      <c r="D1192" s="11"/>
      <c r="E1192" s="10"/>
      <c r="F1192" s="10"/>
      <c r="G1192" s="19"/>
      <c r="H1192" s="19"/>
      <c r="I1192" s="19"/>
      <c r="J1192" s="19"/>
      <c r="K1192" s="10"/>
      <c r="L1192" s="10"/>
      <c r="M1192" s="10"/>
      <c r="N1192" s="10"/>
      <c r="O1192" s="18"/>
      <c r="P1192" s="18"/>
      <c r="Q1192" s="21"/>
      <c r="R1192" s="20"/>
      <c r="S1192" s="16">
        <f t="shared" si="835"/>
        <v>0</v>
      </c>
      <c r="T1192" s="11"/>
      <c r="AS1192" s="31">
        <f t="shared" si="836"/>
        <v>0</v>
      </c>
      <c r="AT1192" s="31">
        <f t="shared" si="837"/>
        <v>0</v>
      </c>
      <c r="AU1192" s="31">
        <f t="shared" si="838"/>
        <v>0</v>
      </c>
      <c r="AV1192" s="31">
        <f t="shared" si="839"/>
        <v>0</v>
      </c>
      <c r="AW1192" s="31">
        <f t="shared" si="840"/>
        <v>0</v>
      </c>
      <c r="AX1192" s="31">
        <f t="shared" si="841"/>
        <v>0</v>
      </c>
      <c r="AY1192" s="31">
        <f t="shared" si="842"/>
        <v>0</v>
      </c>
      <c r="AZ1192" s="31">
        <f t="shared" si="843"/>
        <v>0</v>
      </c>
      <c r="BA1192" s="31">
        <f t="shared" si="844"/>
        <v>0</v>
      </c>
      <c r="BB1192" s="31">
        <f t="shared" si="873"/>
        <v>0</v>
      </c>
      <c r="BM1192" s="8">
        <f t="shared" si="874"/>
        <v>0</v>
      </c>
      <c r="BN1192" s="8">
        <f t="shared" si="845"/>
        <v>0</v>
      </c>
      <c r="BO1192" s="8">
        <f t="shared" si="846"/>
        <v>0</v>
      </c>
      <c r="BQ1192" s="8">
        <f t="shared" si="847"/>
        <v>0</v>
      </c>
      <c r="BR1192" s="63">
        <f t="shared" si="848"/>
        <v>0</v>
      </c>
      <c r="BS1192" s="63">
        <f t="shared" si="875"/>
        <v>0</v>
      </c>
      <c r="BT1192" s="63">
        <f t="shared" si="849"/>
        <v>0</v>
      </c>
      <c r="BU1192" s="63">
        <f t="shared" si="850"/>
        <v>0</v>
      </c>
      <c r="BV1192" s="57">
        <f t="shared" si="851"/>
        <v>0</v>
      </c>
      <c r="BW1192" s="57">
        <f t="shared" si="852"/>
        <v>0</v>
      </c>
      <c r="BX1192" s="57">
        <f t="shared" si="876"/>
        <v>0</v>
      </c>
      <c r="BY1192" s="57">
        <f t="shared" si="880"/>
        <v>0</v>
      </c>
      <c r="BZ1192" s="8">
        <f t="shared" si="853"/>
        <v>0</v>
      </c>
      <c r="CA1192" s="8">
        <f t="shared" si="854"/>
        <v>0</v>
      </c>
      <c r="CB1192" s="8">
        <f t="shared" si="855"/>
        <v>0</v>
      </c>
      <c r="CC1192" s="8">
        <f t="shared" si="856"/>
        <v>0</v>
      </c>
      <c r="CD1192" s="8">
        <f t="shared" si="857"/>
        <v>0</v>
      </c>
      <c r="CE1192" s="8">
        <f t="shared" si="858"/>
        <v>0</v>
      </c>
      <c r="CF1192" s="8">
        <f t="shared" si="859"/>
        <v>0</v>
      </c>
      <c r="CG1192" s="8">
        <f t="shared" si="860"/>
        <v>0</v>
      </c>
      <c r="CH1192" s="8">
        <f t="shared" si="861"/>
        <v>0</v>
      </c>
      <c r="CI1192" s="8">
        <f t="shared" si="862"/>
        <v>0</v>
      </c>
      <c r="CJ1192" s="8">
        <f t="shared" si="863"/>
        <v>0</v>
      </c>
      <c r="CK1192" s="8">
        <f t="shared" si="864"/>
        <v>0</v>
      </c>
      <c r="CL1192" s="8">
        <f t="shared" si="865"/>
        <v>0</v>
      </c>
      <c r="CM1192" s="8">
        <f t="shared" si="866"/>
        <v>0</v>
      </c>
      <c r="CN1192" s="8">
        <f t="shared" si="867"/>
        <v>0</v>
      </c>
      <c r="CO1192" s="8">
        <f t="shared" si="868"/>
        <v>0</v>
      </c>
      <c r="CP1192" s="8">
        <f t="shared" si="869"/>
        <v>0</v>
      </c>
      <c r="CQ1192" s="8">
        <f t="shared" si="870"/>
        <v>0</v>
      </c>
      <c r="CR1192" s="8">
        <f t="shared" si="871"/>
        <v>0</v>
      </c>
      <c r="CS1192" s="8">
        <f t="shared" si="872"/>
        <v>0</v>
      </c>
      <c r="CT1192" s="8">
        <f t="shared" si="877"/>
        <v>0</v>
      </c>
      <c r="CU1192" s="8">
        <f t="shared" si="878"/>
        <v>0</v>
      </c>
      <c r="CV1192" s="8">
        <f t="shared" si="879"/>
        <v>0</v>
      </c>
    </row>
    <row r="1193" spans="1:100" ht="20.5" thickTop="1" thickBot="1" x14ac:dyDescent="0.5">
      <c r="A1193" s="32"/>
      <c r="B1193" s="10"/>
      <c r="C1193" s="10"/>
      <c r="D1193" s="11"/>
      <c r="E1193" s="10"/>
      <c r="F1193" s="10"/>
      <c r="G1193" s="19"/>
      <c r="H1193" s="19"/>
      <c r="I1193" s="19"/>
      <c r="J1193" s="19"/>
      <c r="K1193" s="10"/>
      <c r="L1193" s="10"/>
      <c r="M1193" s="10"/>
      <c r="N1193" s="10"/>
      <c r="O1193" s="18"/>
      <c r="P1193" s="18"/>
      <c r="Q1193" s="21"/>
      <c r="R1193" s="20"/>
      <c r="S1193" s="16">
        <f t="shared" si="835"/>
        <v>0</v>
      </c>
      <c r="T1193" s="11"/>
      <c r="AS1193" s="31">
        <f t="shared" si="836"/>
        <v>0</v>
      </c>
      <c r="AT1193" s="31">
        <f t="shared" si="837"/>
        <v>0</v>
      </c>
      <c r="AU1193" s="31">
        <f t="shared" si="838"/>
        <v>0</v>
      </c>
      <c r="AV1193" s="31">
        <f t="shared" si="839"/>
        <v>0</v>
      </c>
      <c r="AW1193" s="31">
        <f t="shared" si="840"/>
        <v>0</v>
      </c>
      <c r="AX1193" s="31">
        <f t="shared" si="841"/>
        <v>0</v>
      </c>
      <c r="AY1193" s="31">
        <f t="shared" si="842"/>
        <v>0</v>
      </c>
      <c r="AZ1193" s="31">
        <f t="shared" si="843"/>
        <v>0</v>
      </c>
      <c r="BA1193" s="31">
        <f t="shared" si="844"/>
        <v>0</v>
      </c>
      <c r="BB1193" s="31">
        <f t="shared" si="873"/>
        <v>0</v>
      </c>
      <c r="BM1193" s="8">
        <f t="shared" si="874"/>
        <v>0</v>
      </c>
      <c r="BN1193" s="8">
        <f t="shared" si="845"/>
        <v>0</v>
      </c>
      <c r="BO1193" s="8">
        <f t="shared" si="846"/>
        <v>0</v>
      </c>
      <c r="BQ1193" s="8">
        <f t="shared" si="847"/>
        <v>0</v>
      </c>
      <c r="BR1193" s="63">
        <f t="shared" si="848"/>
        <v>0</v>
      </c>
      <c r="BS1193" s="63">
        <f t="shared" si="875"/>
        <v>0</v>
      </c>
      <c r="BT1193" s="63">
        <f t="shared" si="849"/>
        <v>0</v>
      </c>
      <c r="BU1193" s="63">
        <f t="shared" si="850"/>
        <v>0</v>
      </c>
      <c r="BV1193" s="57">
        <f t="shared" si="851"/>
        <v>0</v>
      </c>
      <c r="BW1193" s="57">
        <f t="shared" si="852"/>
        <v>0</v>
      </c>
      <c r="BX1193" s="57">
        <f t="shared" si="876"/>
        <v>0</v>
      </c>
      <c r="BY1193" s="57">
        <f t="shared" si="880"/>
        <v>0</v>
      </c>
      <c r="BZ1193" s="8">
        <f t="shared" si="853"/>
        <v>0</v>
      </c>
      <c r="CA1193" s="8">
        <f t="shared" si="854"/>
        <v>0</v>
      </c>
      <c r="CB1193" s="8">
        <f t="shared" si="855"/>
        <v>0</v>
      </c>
      <c r="CC1193" s="8">
        <f t="shared" si="856"/>
        <v>0</v>
      </c>
      <c r="CD1193" s="8">
        <f t="shared" si="857"/>
        <v>0</v>
      </c>
      <c r="CE1193" s="8">
        <f t="shared" si="858"/>
        <v>0</v>
      </c>
      <c r="CF1193" s="8">
        <f t="shared" si="859"/>
        <v>0</v>
      </c>
      <c r="CG1193" s="8">
        <f t="shared" si="860"/>
        <v>0</v>
      </c>
      <c r="CH1193" s="8">
        <f t="shared" si="861"/>
        <v>0</v>
      </c>
      <c r="CI1193" s="8">
        <f t="shared" si="862"/>
        <v>0</v>
      </c>
      <c r="CJ1193" s="8">
        <f t="shared" si="863"/>
        <v>0</v>
      </c>
      <c r="CK1193" s="8">
        <f t="shared" si="864"/>
        <v>0</v>
      </c>
      <c r="CL1193" s="8">
        <f t="shared" si="865"/>
        <v>0</v>
      </c>
      <c r="CM1193" s="8">
        <f t="shared" si="866"/>
        <v>0</v>
      </c>
      <c r="CN1193" s="8">
        <f t="shared" si="867"/>
        <v>0</v>
      </c>
      <c r="CO1193" s="8">
        <f t="shared" si="868"/>
        <v>0</v>
      </c>
      <c r="CP1193" s="8">
        <f t="shared" si="869"/>
        <v>0</v>
      </c>
      <c r="CQ1193" s="8">
        <f t="shared" si="870"/>
        <v>0</v>
      </c>
      <c r="CR1193" s="8">
        <f t="shared" si="871"/>
        <v>0</v>
      </c>
      <c r="CS1193" s="8">
        <f t="shared" si="872"/>
        <v>0</v>
      </c>
      <c r="CT1193" s="8">
        <f t="shared" si="877"/>
        <v>0</v>
      </c>
      <c r="CU1193" s="8">
        <f t="shared" si="878"/>
        <v>0</v>
      </c>
      <c r="CV1193" s="8">
        <f t="shared" si="879"/>
        <v>0</v>
      </c>
    </row>
    <row r="1194" spans="1:100" ht="20.5" thickTop="1" thickBot="1" x14ac:dyDescent="0.5">
      <c r="A1194" s="32"/>
      <c r="B1194" s="10"/>
      <c r="C1194" s="10"/>
      <c r="D1194" s="11"/>
      <c r="E1194" s="10"/>
      <c r="F1194" s="10"/>
      <c r="G1194" s="19"/>
      <c r="H1194" s="19"/>
      <c r="I1194" s="19"/>
      <c r="J1194" s="19"/>
      <c r="K1194" s="10"/>
      <c r="L1194" s="10"/>
      <c r="M1194" s="10"/>
      <c r="N1194" s="10"/>
      <c r="O1194" s="18"/>
      <c r="P1194" s="18"/>
      <c r="Q1194" s="21"/>
      <c r="R1194" s="20"/>
      <c r="S1194" s="16">
        <f t="shared" si="835"/>
        <v>0</v>
      </c>
      <c r="T1194" s="11"/>
      <c r="AS1194" s="31">
        <f t="shared" si="836"/>
        <v>0</v>
      </c>
      <c r="AT1194" s="31">
        <f t="shared" si="837"/>
        <v>0</v>
      </c>
      <c r="AU1194" s="31">
        <f t="shared" si="838"/>
        <v>0</v>
      </c>
      <c r="AV1194" s="31">
        <f t="shared" si="839"/>
        <v>0</v>
      </c>
      <c r="AW1194" s="31">
        <f t="shared" si="840"/>
        <v>0</v>
      </c>
      <c r="AX1194" s="31">
        <f t="shared" si="841"/>
        <v>0</v>
      </c>
      <c r="AY1194" s="31">
        <f t="shared" si="842"/>
        <v>0</v>
      </c>
      <c r="AZ1194" s="31">
        <f t="shared" si="843"/>
        <v>0</v>
      </c>
      <c r="BA1194" s="31">
        <f t="shared" si="844"/>
        <v>0</v>
      </c>
      <c r="BB1194" s="31">
        <f t="shared" si="873"/>
        <v>0</v>
      </c>
      <c r="BM1194" s="8">
        <f t="shared" si="874"/>
        <v>0</v>
      </c>
      <c r="BN1194" s="8">
        <f t="shared" si="845"/>
        <v>0</v>
      </c>
      <c r="BO1194" s="8">
        <f t="shared" si="846"/>
        <v>0</v>
      </c>
      <c r="BQ1194" s="8">
        <f t="shared" si="847"/>
        <v>0</v>
      </c>
      <c r="BR1194" s="63">
        <f t="shared" si="848"/>
        <v>0</v>
      </c>
      <c r="BS1194" s="63">
        <f t="shared" si="875"/>
        <v>0</v>
      </c>
      <c r="BT1194" s="63">
        <f t="shared" si="849"/>
        <v>0</v>
      </c>
      <c r="BU1194" s="63">
        <f t="shared" si="850"/>
        <v>0</v>
      </c>
      <c r="BV1194" s="57">
        <f t="shared" si="851"/>
        <v>0</v>
      </c>
      <c r="BW1194" s="57">
        <f t="shared" si="852"/>
        <v>0</v>
      </c>
      <c r="BX1194" s="57">
        <f t="shared" si="876"/>
        <v>0</v>
      </c>
      <c r="BY1194" s="57">
        <f t="shared" si="880"/>
        <v>0</v>
      </c>
      <c r="BZ1194" s="8">
        <f t="shared" si="853"/>
        <v>0</v>
      </c>
      <c r="CA1194" s="8">
        <f t="shared" si="854"/>
        <v>0</v>
      </c>
      <c r="CB1194" s="8">
        <f t="shared" si="855"/>
        <v>0</v>
      </c>
      <c r="CC1194" s="8">
        <f t="shared" si="856"/>
        <v>0</v>
      </c>
      <c r="CD1194" s="8">
        <f t="shared" si="857"/>
        <v>0</v>
      </c>
      <c r="CE1194" s="8">
        <f t="shared" si="858"/>
        <v>0</v>
      </c>
      <c r="CF1194" s="8">
        <f t="shared" si="859"/>
        <v>0</v>
      </c>
      <c r="CG1194" s="8">
        <f t="shared" si="860"/>
        <v>0</v>
      </c>
      <c r="CH1194" s="8">
        <f t="shared" si="861"/>
        <v>0</v>
      </c>
      <c r="CI1194" s="8">
        <f t="shared" si="862"/>
        <v>0</v>
      </c>
      <c r="CJ1194" s="8">
        <f t="shared" si="863"/>
        <v>0</v>
      </c>
      <c r="CK1194" s="8">
        <f t="shared" si="864"/>
        <v>0</v>
      </c>
      <c r="CL1194" s="8">
        <f t="shared" si="865"/>
        <v>0</v>
      </c>
      <c r="CM1194" s="8">
        <f t="shared" si="866"/>
        <v>0</v>
      </c>
      <c r="CN1194" s="8">
        <f t="shared" si="867"/>
        <v>0</v>
      </c>
      <c r="CO1194" s="8">
        <f t="shared" si="868"/>
        <v>0</v>
      </c>
      <c r="CP1194" s="8">
        <f t="shared" si="869"/>
        <v>0</v>
      </c>
      <c r="CQ1194" s="8">
        <f t="shared" si="870"/>
        <v>0</v>
      </c>
      <c r="CR1194" s="8">
        <f t="shared" si="871"/>
        <v>0</v>
      </c>
      <c r="CS1194" s="8">
        <f t="shared" si="872"/>
        <v>0</v>
      </c>
      <c r="CT1194" s="8">
        <f t="shared" si="877"/>
        <v>0</v>
      </c>
      <c r="CU1194" s="8">
        <f t="shared" si="878"/>
        <v>0</v>
      </c>
      <c r="CV1194" s="8">
        <f t="shared" si="879"/>
        <v>0</v>
      </c>
    </row>
    <row r="1195" spans="1:100" ht="20.5" thickTop="1" thickBot="1" x14ac:dyDescent="0.5">
      <c r="A1195" s="32"/>
      <c r="B1195" s="10"/>
      <c r="C1195" s="10"/>
      <c r="D1195" s="11"/>
      <c r="E1195" s="10"/>
      <c r="F1195" s="10"/>
      <c r="G1195" s="19"/>
      <c r="H1195" s="19"/>
      <c r="I1195" s="19"/>
      <c r="J1195" s="19"/>
      <c r="K1195" s="10"/>
      <c r="L1195" s="10"/>
      <c r="M1195" s="10"/>
      <c r="N1195" s="10"/>
      <c r="O1195" s="18"/>
      <c r="P1195" s="18"/>
      <c r="Q1195" s="21"/>
      <c r="R1195" s="20"/>
      <c r="S1195" s="16">
        <f t="shared" si="835"/>
        <v>0</v>
      </c>
      <c r="T1195" s="11"/>
      <c r="AS1195" s="31">
        <f t="shared" si="836"/>
        <v>0</v>
      </c>
      <c r="AT1195" s="31">
        <f t="shared" si="837"/>
        <v>0</v>
      </c>
      <c r="AU1195" s="31">
        <f t="shared" si="838"/>
        <v>0</v>
      </c>
      <c r="AV1195" s="31">
        <f t="shared" si="839"/>
        <v>0</v>
      </c>
      <c r="AW1195" s="31">
        <f t="shared" si="840"/>
        <v>0</v>
      </c>
      <c r="AX1195" s="31">
        <f t="shared" si="841"/>
        <v>0</v>
      </c>
      <c r="AY1195" s="31">
        <f t="shared" si="842"/>
        <v>0</v>
      </c>
      <c r="AZ1195" s="31">
        <f t="shared" si="843"/>
        <v>0</v>
      </c>
      <c r="BA1195" s="31">
        <f t="shared" si="844"/>
        <v>0</v>
      </c>
      <c r="BB1195" s="31">
        <f t="shared" si="873"/>
        <v>0</v>
      </c>
      <c r="BM1195" s="8">
        <f t="shared" si="874"/>
        <v>0</v>
      </c>
      <c r="BN1195" s="8">
        <f t="shared" si="845"/>
        <v>0</v>
      </c>
      <c r="BO1195" s="8">
        <f t="shared" si="846"/>
        <v>0</v>
      </c>
      <c r="BQ1195" s="8">
        <f t="shared" si="847"/>
        <v>0</v>
      </c>
      <c r="BR1195" s="63">
        <f t="shared" si="848"/>
        <v>0</v>
      </c>
      <c r="BS1195" s="63">
        <f t="shared" si="875"/>
        <v>0</v>
      </c>
      <c r="BT1195" s="63">
        <f t="shared" si="849"/>
        <v>0</v>
      </c>
      <c r="BU1195" s="63">
        <f t="shared" si="850"/>
        <v>0</v>
      </c>
      <c r="BV1195" s="57">
        <f t="shared" si="851"/>
        <v>0</v>
      </c>
      <c r="BW1195" s="57">
        <f t="shared" si="852"/>
        <v>0</v>
      </c>
      <c r="BX1195" s="57">
        <f t="shared" si="876"/>
        <v>0</v>
      </c>
      <c r="BY1195" s="57">
        <f t="shared" si="880"/>
        <v>0</v>
      </c>
      <c r="BZ1195" s="8">
        <f t="shared" si="853"/>
        <v>0</v>
      </c>
      <c r="CA1195" s="8">
        <f t="shared" si="854"/>
        <v>0</v>
      </c>
      <c r="CB1195" s="8">
        <f t="shared" si="855"/>
        <v>0</v>
      </c>
      <c r="CC1195" s="8">
        <f t="shared" si="856"/>
        <v>0</v>
      </c>
      <c r="CD1195" s="8">
        <f t="shared" si="857"/>
        <v>0</v>
      </c>
      <c r="CE1195" s="8">
        <f t="shared" si="858"/>
        <v>0</v>
      </c>
      <c r="CF1195" s="8">
        <f t="shared" si="859"/>
        <v>0</v>
      </c>
      <c r="CG1195" s="8">
        <f t="shared" si="860"/>
        <v>0</v>
      </c>
      <c r="CH1195" s="8">
        <f t="shared" si="861"/>
        <v>0</v>
      </c>
      <c r="CI1195" s="8">
        <f t="shared" si="862"/>
        <v>0</v>
      </c>
      <c r="CJ1195" s="8">
        <f t="shared" si="863"/>
        <v>0</v>
      </c>
      <c r="CK1195" s="8">
        <f t="shared" si="864"/>
        <v>0</v>
      </c>
      <c r="CL1195" s="8">
        <f t="shared" si="865"/>
        <v>0</v>
      </c>
      <c r="CM1195" s="8">
        <f t="shared" si="866"/>
        <v>0</v>
      </c>
      <c r="CN1195" s="8">
        <f t="shared" si="867"/>
        <v>0</v>
      </c>
      <c r="CO1195" s="8">
        <f t="shared" si="868"/>
        <v>0</v>
      </c>
      <c r="CP1195" s="8">
        <f t="shared" si="869"/>
        <v>0</v>
      </c>
      <c r="CQ1195" s="8">
        <f t="shared" si="870"/>
        <v>0</v>
      </c>
      <c r="CR1195" s="8">
        <f t="shared" si="871"/>
        <v>0</v>
      </c>
      <c r="CS1195" s="8">
        <f t="shared" si="872"/>
        <v>0</v>
      </c>
      <c r="CT1195" s="8">
        <f t="shared" si="877"/>
        <v>0</v>
      </c>
      <c r="CU1195" s="8">
        <f t="shared" si="878"/>
        <v>0</v>
      </c>
      <c r="CV1195" s="8">
        <f t="shared" si="879"/>
        <v>0</v>
      </c>
    </row>
    <row r="1196" spans="1:100" ht="20.5" thickTop="1" thickBot="1" x14ac:dyDescent="0.5">
      <c r="A1196" s="32"/>
      <c r="B1196" s="10"/>
      <c r="C1196" s="10"/>
      <c r="D1196" s="11"/>
      <c r="E1196" s="10"/>
      <c r="F1196" s="10"/>
      <c r="G1196" s="19"/>
      <c r="H1196" s="19"/>
      <c r="I1196" s="19"/>
      <c r="J1196" s="19"/>
      <c r="K1196" s="10"/>
      <c r="L1196" s="10"/>
      <c r="M1196" s="10"/>
      <c r="N1196" s="10"/>
      <c r="O1196" s="18"/>
      <c r="P1196" s="18"/>
      <c r="Q1196" s="21"/>
      <c r="R1196" s="20"/>
      <c r="S1196" s="16">
        <f t="shared" si="835"/>
        <v>0</v>
      </c>
      <c r="T1196" s="11"/>
      <c r="AS1196" s="31">
        <f t="shared" si="836"/>
        <v>0</v>
      </c>
      <c r="AT1196" s="31">
        <f t="shared" si="837"/>
        <v>0</v>
      </c>
      <c r="AU1196" s="31">
        <f t="shared" si="838"/>
        <v>0</v>
      </c>
      <c r="AV1196" s="31">
        <f t="shared" si="839"/>
        <v>0</v>
      </c>
      <c r="AW1196" s="31">
        <f t="shared" si="840"/>
        <v>0</v>
      </c>
      <c r="AX1196" s="31">
        <f t="shared" si="841"/>
        <v>0</v>
      </c>
      <c r="AY1196" s="31">
        <f t="shared" si="842"/>
        <v>0</v>
      </c>
      <c r="AZ1196" s="31">
        <f t="shared" si="843"/>
        <v>0</v>
      </c>
      <c r="BA1196" s="31">
        <f t="shared" si="844"/>
        <v>0</v>
      </c>
      <c r="BB1196" s="31">
        <f t="shared" si="873"/>
        <v>0</v>
      </c>
      <c r="BM1196" s="8">
        <f t="shared" si="874"/>
        <v>0</v>
      </c>
      <c r="BN1196" s="8">
        <f t="shared" si="845"/>
        <v>0</v>
      </c>
      <c r="BO1196" s="8">
        <f t="shared" si="846"/>
        <v>0</v>
      </c>
      <c r="BQ1196" s="8">
        <f t="shared" si="847"/>
        <v>0</v>
      </c>
      <c r="BR1196" s="63">
        <f t="shared" si="848"/>
        <v>0</v>
      </c>
      <c r="BS1196" s="63">
        <f t="shared" si="875"/>
        <v>0</v>
      </c>
      <c r="BT1196" s="63">
        <f t="shared" si="849"/>
        <v>0</v>
      </c>
      <c r="BU1196" s="63">
        <f t="shared" si="850"/>
        <v>0</v>
      </c>
      <c r="BV1196" s="57">
        <f t="shared" si="851"/>
        <v>0</v>
      </c>
      <c r="BW1196" s="57">
        <f t="shared" si="852"/>
        <v>0</v>
      </c>
      <c r="BX1196" s="57">
        <f t="shared" si="876"/>
        <v>0</v>
      </c>
      <c r="BY1196" s="57">
        <f t="shared" si="880"/>
        <v>0</v>
      </c>
      <c r="BZ1196" s="8">
        <f t="shared" si="853"/>
        <v>0</v>
      </c>
      <c r="CA1196" s="8">
        <f t="shared" si="854"/>
        <v>0</v>
      </c>
      <c r="CB1196" s="8">
        <f t="shared" si="855"/>
        <v>0</v>
      </c>
      <c r="CC1196" s="8">
        <f t="shared" si="856"/>
        <v>0</v>
      </c>
      <c r="CD1196" s="8">
        <f t="shared" si="857"/>
        <v>0</v>
      </c>
      <c r="CE1196" s="8">
        <f t="shared" si="858"/>
        <v>0</v>
      </c>
      <c r="CF1196" s="8">
        <f t="shared" si="859"/>
        <v>0</v>
      </c>
      <c r="CG1196" s="8">
        <f t="shared" si="860"/>
        <v>0</v>
      </c>
      <c r="CH1196" s="8">
        <f t="shared" si="861"/>
        <v>0</v>
      </c>
      <c r="CI1196" s="8">
        <f t="shared" si="862"/>
        <v>0</v>
      </c>
      <c r="CJ1196" s="8">
        <f t="shared" si="863"/>
        <v>0</v>
      </c>
      <c r="CK1196" s="8">
        <f t="shared" si="864"/>
        <v>0</v>
      </c>
      <c r="CL1196" s="8">
        <f t="shared" si="865"/>
        <v>0</v>
      </c>
      <c r="CM1196" s="8">
        <f t="shared" si="866"/>
        <v>0</v>
      </c>
      <c r="CN1196" s="8">
        <f t="shared" si="867"/>
        <v>0</v>
      </c>
      <c r="CO1196" s="8">
        <f t="shared" si="868"/>
        <v>0</v>
      </c>
      <c r="CP1196" s="8">
        <f t="shared" si="869"/>
        <v>0</v>
      </c>
      <c r="CQ1196" s="8">
        <f t="shared" si="870"/>
        <v>0</v>
      </c>
      <c r="CR1196" s="8">
        <f t="shared" si="871"/>
        <v>0</v>
      </c>
      <c r="CS1196" s="8">
        <f t="shared" si="872"/>
        <v>0</v>
      </c>
      <c r="CT1196" s="8">
        <f t="shared" si="877"/>
        <v>0</v>
      </c>
      <c r="CU1196" s="8">
        <f t="shared" si="878"/>
        <v>0</v>
      </c>
      <c r="CV1196" s="8">
        <f t="shared" si="879"/>
        <v>0</v>
      </c>
    </row>
    <row r="1197" spans="1:100" ht="20.5" thickTop="1" thickBot="1" x14ac:dyDescent="0.5">
      <c r="A1197" s="32"/>
      <c r="B1197" s="10"/>
      <c r="C1197" s="10"/>
      <c r="D1197" s="11"/>
      <c r="E1197" s="10"/>
      <c r="F1197" s="10"/>
      <c r="G1197" s="19"/>
      <c r="H1197" s="19"/>
      <c r="I1197" s="19"/>
      <c r="J1197" s="19"/>
      <c r="K1197" s="10"/>
      <c r="L1197" s="10"/>
      <c r="M1197" s="10"/>
      <c r="N1197" s="10"/>
      <c r="O1197" s="18"/>
      <c r="P1197" s="18"/>
      <c r="Q1197" s="21"/>
      <c r="R1197" s="20"/>
      <c r="S1197" s="16">
        <f t="shared" si="835"/>
        <v>0</v>
      </c>
      <c r="T1197" s="11"/>
      <c r="AS1197" s="31">
        <f t="shared" si="836"/>
        <v>0</v>
      </c>
      <c r="AT1197" s="31">
        <f t="shared" si="837"/>
        <v>0</v>
      </c>
      <c r="AU1197" s="31">
        <f t="shared" si="838"/>
        <v>0</v>
      </c>
      <c r="AV1197" s="31">
        <f t="shared" si="839"/>
        <v>0</v>
      </c>
      <c r="AW1197" s="31">
        <f t="shared" si="840"/>
        <v>0</v>
      </c>
      <c r="AX1197" s="31">
        <f t="shared" si="841"/>
        <v>0</v>
      </c>
      <c r="AY1197" s="31">
        <f t="shared" si="842"/>
        <v>0</v>
      </c>
      <c r="AZ1197" s="31">
        <f t="shared" si="843"/>
        <v>0</v>
      </c>
      <c r="BA1197" s="31">
        <f t="shared" si="844"/>
        <v>0</v>
      </c>
      <c r="BB1197" s="31">
        <f t="shared" si="873"/>
        <v>0</v>
      </c>
      <c r="BM1197" s="8">
        <f t="shared" si="874"/>
        <v>0</v>
      </c>
      <c r="BN1197" s="8">
        <f t="shared" si="845"/>
        <v>0</v>
      </c>
      <c r="BO1197" s="8">
        <f t="shared" si="846"/>
        <v>0</v>
      </c>
      <c r="BQ1197" s="8">
        <f t="shared" si="847"/>
        <v>0</v>
      </c>
      <c r="BR1197" s="63">
        <f t="shared" si="848"/>
        <v>0</v>
      </c>
      <c r="BS1197" s="63">
        <f t="shared" si="875"/>
        <v>0</v>
      </c>
      <c r="BT1197" s="63">
        <f t="shared" si="849"/>
        <v>0</v>
      </c>
      <c r="BU1197" s="63">
        <f t="shared" si="850"/>
        <v>0</v>
      </c>
      <c r="BV1197" s="57">
        <f t="shared" si="851"/>
        <v>0</v>
      </c>
      <c r="BW1197" s="57">
        <f t="shared" si="852"/>
        <v>0</v>
      </c>
      <c r="BX1197" s="57">
        <f t="shared" si="876"/>
        <v>0</v>
      </c>
      <c r="BY1197" s="57">
        <f t="shared" si="880"/>
        <v>0</v>
      </c>
      <c r="BZ1197" s="8">
        <f t="shared" si="853"/>
        <v>0</v>
      </c>
      <c r="CA1197" s="8">
        <f t="shared" si="854"/>
        <v>0</v>
      </c>
      <c r="CB1197" s="8">
        <f t="shared" si="855"/>
        <v>0</v>
      </c>
      <c r="CC1197" s="8">
        <f t="shared" si="856"/>
        <v>0</v>
      </c>
      <c r="CD1197" s="8">
        <f t="shared" si="857"/>
        <v>0</v>
      </c>
      <c r="CE1197" s="8">
        <f t="shared" si="858"/>
        <v>0</v>
      </c>
      <c r="CF1197" s="8">
        <f t="shared" si="859"/>
        <v>0</v>
      </c>
      <c r="CG1197" s="8">
        <f t="shared" si="860"/>
        <v>0</v>
      </c>
      <c r="CH1197" s="8">
        <f t="shared" si="861"/>
        <v>0</v>
      </c>
      <c r="CI1197" s="8">
        <f t="shared" si="862"/>
        <v>0</v>
      </c>
      <c r="CJ1197" s="8">
        <f t="shared" si="863"/>
        <v>0</v>
      </c>
      <c r="CK1197" s="8">
        <f t="shared" si="864"/>
        <v>0</v>
      </c>
      <c r="CL1197" s="8">
        <f t="shared" si="865"/>
        <v>0</v>
      </c>
      <c r="CM1197" s="8">
        <f t="shared" si="866"/>
        <v>0</v>
      </c>
      <c r="CN1197" s="8">
        <f t="shared" si="867"/>
        <v>0</v>
      </c>
      <c r="CO1197" s="8">
        <f t="shared" si="868"/>
        <v>0</v>
      </c>
      <c r="CP1197" s="8">
        <f t="shared" si="869"/>
        <v>0</v>
      </c>
      <c r="CQ1197" s="8">
        <f t="shared" si="870"/>
        <v>0</v>
      </c>
      <c r="CR1197" s="8">
        <f t="shared" si="871"/>
        <v>0</v>
      </c>
      <c r="CS1197" s="8">
        <f t="shared" si="872"/>
        <v>0</v>
      </c>
      <c r="CT1197" s="8">
        <f t="shared" si="877"/>
        <v>0</v>
      </c>
      <c r="CU1197" s="8">
        <f t="shared" si="878"/>
        <v>0</v>
      </c>
      <c r="CV1197" s="8">
        <f t="shared" si="879"/>
        <v>0</v>
      </c>
    </row>
    <row r="1198" spans="1:100" ht="20.5" thickTop="1" thickBot="1" x14ac:dyDescent="0.5">
      <c r="A1198" s="32"/>
      <c r="B1198" s="10"/>
      <c r="C1198" s="10"/>
      <c r="D1198" s="11"/>
      <c r="E1198" s="10"/>
      <c r="F1198" s="10"/>
      <c r="G1198" s="19"/>
      <c r="H1198" s="19"/>
      <c r="I1198" s="19"/>
      <c r="J1198" s="19"/>
      <c r="K1198" s="10"/>
      <c r="L1198" s="10"/>
      <c r="M1198" s="10"/>
      <c r="N1198" s="10"/>
      <c r="O1198" s="18"/>
      <c r="P1198" s="18"/>
      <c r="Q1198" s="21"/>
      <c r="R1198" s="20"/>
      <c r="S1198" s="16">
        <f t="shared" si="835"/>
        <v>0</v>
      </c>
      <c r="T1198" s="11"/>
      <c r="AS1198" s="31">
        <f t="shared" si="836"/>
        <v>0</v>
      </c>
      <c r="AT1198" s="31">
        <f t="shared" si="837"/>
        <v>0</v>
      </c>
      <c r="AU1198" s="31">
        <f t="shared" si="838"/>
        <v>0</v>
      </c>
      <c r="AV1198" s="31">
        <f t="shared" si="839"/>
        <v>0</v>
      </c>
      <c r="AW1198" s="31">
        <f t="shared" si="840"/>
        <v>0</v>
      </c>
      <c r="AX1198" s="31">
        <f t="shared" si="841"/>
        <v>0</v>
      </c>
      <c r="AY1198" s="31">
        <f t="shared" si="842"/>
        <v>0</v>
      </c>
      <c r="AZ1198" s="31">
        <f t="shared" si="843"/>
        <v>0</v>
      </c>
      <c r="BA1198" s="31">
        <f t="shared" si="844"/>
        <v>0</v>
      </c>
      <c r="BB1198" s="31">
        <f t="shared" si="873"/>
        <v>0</v>
      </c>
      <c r="BM1198" s="8">
        <f t="shared" si="874"/>
        <v>0</v>
      </c>
      <c r="BN1198" s="8">
        <f t="shared" si="845"/>
        <v>0</v>
      </c>
      <c r="BO1198" s="8">
        <f t="shared" si="846"/>
        <v>0</v>
      </c>
      <c r="BQ1198" s="8">
        <f t="shared" si="847"/>
        <v>0</v>
      </c>
      <c r="BR1198" s="63">
        <f t="shared" si="848"/>
        <v>0</v>
      </c>
      <c r="BS1198" s="63">
        <f t="shared" si="875"/>
        <v>0</v>
      </c>
      <c r="BT1198" s="63">
        <f t="shared" si="849"/>
        <v>0</v>
      </c>
      <c r="BU1198" s="63">
        <f t="shared" si="850"/>
        <v>0</v>
      </c>
      <c r="BV1198" s="57">
        <f t="shared" si="851"/>
        <v>0</v>
      </c>
      <c r="BW1198" s="57">
        <f t="shared" si="852"/>
        <v>0</v>
      </c>
      <c r="BX1198" s="57">
        <f t="shared" si="876"/>
        <v>0</v>
      </c>
      <c r="BY1198" s="57">
        <f t="shared" si="880"/>
        <v>0</v>
      </c>
      <c r="BZ1198" s="8">
        <f t="shared" si="853"/>
        <v>0</v>
      </c>
      <c r="CA1198" s="8">
        <f t="shared" si="854"/>
        <v>0</v>
      </c>
      <c r="CB1198" s="8">
        <f t="shared" si="855"/>
        <v>0</v>
      </c>
      <c r="CC1198" s="8">
        <f t="shared" si="856"/>
        <v>0</v>
      </c>
      <c r="CD1198" s="8">
        <f t="shared" si="857"/>
        <v>0</v>
      </c>
      <c r="CE1198" s="8">
        <f t="shared" si="858"/>
        <v>0</v>
      </c>
      <c r="CF1198" s="8">
        <f t="shared" si="859"/>
        <v>0</v>
      </c>
      <c r="CG1198" s="8">
        <f t="shared" si="860"/>
        <v>0</v>
      </c>
      <c r="CH1198" s="8">
        <f t="shared" si="861"/>
        <v>0</v>
      </c>
      <c r="CI1198" s="8">
        <f t="shared" si="862"/>
        <v>0</v>
      </c>
      <c r="CJ1198" s="8">
        <f t="shared" si="863"/>
        <v>0</v>
      </c>
      <c r="CK1198" s="8">
        <f t="shared" si="864"/>
        <v>0</v>
      </c>
      <c r="CL1198" s="8">
        <f t="shared" si="865"/>
        <v>0</v>
      </c>
      <c r="CM1198" s="8">
        <f t="shared" si="866"/>
        <v>0</v>
      </c>
      <c r="CN1198" s="8">
        <f t="shared" si="867"/>
        <v>0</v>
      </c>
      <c r="CO1198" s="8">
        <f t="shared" si="868"/>
        <v>0</v>
      </c>
      <c r="CP1198" s="8">
        <f t="shared" si="869"/>
        <v>0</v>
      </c>
      <c r="CQ1198" s="8">
        <f t="shared" si="870"/>
        <v>0</v>
      </c>
      <c r="CR1198" s="8">
        <f t="shared" si="871"/>
        <v>0</v>
      </c>
      <c r="CS1198" s="8">
        <f t="shared" si="872"/>
        <v>0</v>
      </c>
      <c r="CT1198" s="8">
        <f t="shared" si="877"/>
        <v>0</v>
      </c>
      <c r="CU1198" s="8">
        <f t="shared" si="878"/>
        <v>0</v>
      </c>
      <c r="CV1198" s="8">
        <f t="shared" si="879"/>
        <v>0</v>
      </c>
    </row>
    <row r="1199" spans="1:100" ht="20.5" thickTop="1" thickBot="1" x14ac:dyDescent="0.5">
      <c r="A1199" s="32"/>
      <c r="B1199" s="10"/>
      <c r="C1199" s="10"/>
      <c r="D1199" s="11"/>
      <c r="E1199" s="10"/>
      <c r="F1199" s="10"/>
      <c r="G1199" s="19"/>
      <c r="H1199" s="19"/>
      <c r="I1199" s="19"/>
      <c r="J1199" s="19"/>
      <c r="K1199" s="10"/>
      <c r="L1199" s="10"/>
      <c r="M1199" s="10"/>
      <c r="N1199" s="10"/>
      <c r="O1199" s="18"/>
      <c r="P1199" s="18"/>
      <c r="Q1199" s="21"/>
      <c r="R1199" s="20"/>
      <c r="S1199" s="16">
        <f t="shared" si="835"/>
        <v>0</v>
      </c>
      <c r="T1199" s="11"/>
      <c r="AS1199" s="31">
        <f t="shared" si="836"/>
        <v>0</v>
      </c>
      <c r="AT1199" s="31">
        <f t="shared" si="837"/>
        <v>0</v>
      </c>
      <c r="AU1199" s="31">
        <f t="shared" si="838"/>
        <v>0</v>
      </c>
      <c r="AV1199" s="31">
        <f t="shared" si="839"/>
        <v>0</v>
      </c>
      <c r="AW1199" s="31">
        <f t="shared" si="840"/>
        <v>0</v>
      </c>
      <c r="AX1199" s="31">
        <f t="shared" si="841"/>
        <v>0</v>
      </c>
      <c r="AY1199" s="31">
        <f t="shared" si="842"/>
        <v>0</v>
      </c>
      <c r="AZ1199" s="31">
        <f t="shared" si="843"/>
        <v>0</v>
      </c>
      <c r="BA1199" s="31">
        <f t="shared" si="844"/>
        <v>0</v>
      </c>
      <c r="BB1199" s="31">
        <f t="shared" si="873"/>
        <v>0</v>
      </c>
      <c r="BM1199" s="8">
        <f t="shared" si="874"/>
        <v>0</v>
      </c>
      <c r="BN1199" s="8">
        <f t="shared" si="845"/>
        <v>0</v>
      </c>
      <c r="BO1199" s="8">
        <f t="shared" si="846"/>
        <v>0</v>
      </c>
      <c r="BQ1199" s="8">
        <f t="shared" si="847"/>
        <v>0</v>
      </c>
      <c r="BR1199" s="63">
        <f t="shared" si="848"/>
        <v>0</v>
      </c>
      <c r="BS1199" s="63">
        <f t="shared" si="875"/>
        <v>0</v>
      </c>
      <c r="BT1199" s="63">
        <f t="shared" si="849"/>
        <v>0</v>
      </c>
      <c r="BU1199" s="63">
        <f t="shared" si="850"/>
        <v>0</v>
      </c>
      <c r="BV1199" s="57">
        <f t="shared" si="851"/>
        <v>0</v>
      </c>
      <c r="BW1199" s="57">
        <f t="shared" si="852"/>
        <v>0</v>
      </c>
      <c r="BX1199" s="57">
        <f t="shared" si="876"/>
        <v>0</v>
      </c>
      <c r="BY1199" s="57">
        <f t="shared" si="880"/>
        <v>0</v>
      </c>
      <c r="BZ1199" s="8">
        <f t="shared" si="853"/>
        <v>0</v>
      </c>
      <c r="CA1199" s="8">
        <f t="shared" si="854"/>
        <v>0</v>
      </c>
      <c r="CB1199" s="8">
        <f t="shared" si="855"/>
        <v>0</v>
      </c>
      <c r="CC1199" s="8">
        <f t="shared" si="856"/>
        <v>0</v>
      </c>
      <c r="CD1199" s="8">
        <f t="shared" si="857"/>
        <v>0</v>
      </c>
      <c r="CE1199" s="8">
        <f t="shared" si="858"/>
        <v>0</v>
      </c>
      <c r="CF1199" s="8">
        <f t="shared" si="859"/>
        <v>0</v>
      </c>
      <c r="CG1199" s="8">
        <f t="shared" si="860"/>
        <v>0</v>
      </c>
      <c r="CH1199" s="8">
        <f t="shared" si="861"/>
        <v>0</v>
      </c>
      <c r="CI1199" s="8">
        <f t="shared" si="862"/>
        <v>0</v>
      </c>
      <c r="CJ1199" s="8">
        <f t="shared" si="863"/>
        <v>0</v>
      </c>
      <c r="CK1199" s="8">
        <f t="shared" si="864"/>
        <v>0</v>
      </c>
      <c r="CL1199" s="8">
        <f t="shared" si="865"/>
        <v>0</v>
      </c>
      <c r="CM1199" s="8">
        <f t="shared" si="866"/>
        <v>0</v>
      </c>
      <c r="CN1199" s="8">
        <f t="shared" si="867"/>
        <v>0</v>
      </c>
      <c r="CO1199" s="8">
        <f t="shared" si="868"/>
        <v>0</v>
      </c>
      <c r="CP1199" s="8">
        <f t="shared" si="869"/>
        <v>0</v>
      </c>
      <c r="CQ1199" s="8">
        <f t="shared" si="870"/>
        <v>0</v>
      </c>
      <c r="CR1199" s="8">
        <f t="shared" si="871"/>
        <v>0</v>
      </c>
      <c r="CS1199" s="8">
        <f t="shared" si="872"/>
        <v>0</v>
      </c>
      <c r="CT1199" s="8">
        <f t="shared" si="877"/>
        <v>0</v>
      </c>
      <c r="CU1199" s="8">
        <f t="shared" si="878"/>
        <v>0</v>
      </c>
      <c r="CV1199" s="8">
        <f t="shared" si="879"/>
        <v>0</v>
      </c>
    </row>
    <row r="1200" spans="1:100" ht="20.5" thickTop="1" thickBot="1" x14ac:dyDescent="0.5">
      <c r="A1200" s="32"/>
      <c r="B1200" s="10"/>
      <c r="C1200" s="10"/>
      <c r="D1200" s="11"/>
      <c r="E1200" s="10"/>
      <c r="F1200" s="10"/>
      <c r="G1200" s="19"/>
      <c r="H1200" s="19"/>
      <c r="I1200" s="19"/>
      <c r="J1200" s="19"/>
      <c r="K1200" s="10"/>
      <c r="L1200" s="10"/>
      <c r="M1200" s="10"/>
      <c r="N1200" s="10"/>
      <c r="O1200" s="18"/>
      <c r="P1200" s="18"/>
      <c r="Q1200" s="21"/>
      <c r="R1200" s="20"/>
      <c r="S1200" s="16">
        <f t="shared" si="835"/>
        <v>0</v>
      </c>
      <c r="T1200" s="11"/>
      <c r="AS1200" s="31">
        <f t="shared" si="836"/>
        <v>0</v>
      </c>
      <c r="AT1200" s="31">
        <f t="shared" si="837"/>
        <v>0</v>
      </c>
      <c r="AU1200" s="31">
        <f t="shared" si="838"/>
        <v>0</v>
      </c>
      <c r="AV1200" s="31">
        <f t="shared" si="839"/>
        <v>0</v>
      </c>
      <c r="AW1200" s="31">
        <f t="shared" si="840"/>
        <v>0</v>
      </c>
      <c r="AX1200" s="31">
        <f t="shared" si="841"/>
        <v>0</v>
      </c>
      <c r="AY1200" s="31">
        <f t="shared" si="842"/>
        <v>0</v>
      </c>
      <c r="AZ1200" s="31">
        <f t="shared" si="843"/>
        <v>0</v>
      </c>
      <c r="BA1200" s="31">
        <f t="shared" si="844"/>
        <v>0</v>
      </c>
      <c r="BB1200" s="31">
        <f t="shared" si="873"/>
        <v>0</v>
      </c>
      <c r="BM1200" s="8">
        <f t="shared" si="874"/>
        <v>0</v>
      </c>
      <c r="BN1200" s="8">
        <f t="shared" si="845"/>
        <v>0</v>
      </c>
      <c r="BO1200" s="8">
        <f t="shared" si="846"/>
        <v>0</v>
      </c>
      <c r="BQ1200" s="8">
        <f t="shared" si="847"/>
        <v>0</v>
      </c>
      <c r="BR1200" s="63">
        <f t="shared" si="848"/>
        <v>0</v>
      </c>
      <c r="BS1200" s="63">
        <f t="shared" si="875"/>
        <v>0</v>
      </c>
      <c r="BT1200" s="63">
        <f t="shared" si="849"/>
        <v>0</v>
      </c>
      <c r="BU1200" s="63">
        <f t="shared" si="850"/>
        <v>0</v>
      </c>
      <c r="BV1200" s="57">
        <f t="shared" si="851"/>
        <v>0</v>
      </c>
      <c r="BW1200" s="57">
        <f t="shared" si="852"/>
        <v>0</v>
      </c>
      <c r="BX1200" s="57">
        <f t="shared" si="876"/>
        <v>0</v>
      </c>
      <c r="BY1200" s="57">
        <f t="shared" si="880"/>
        <v>0</v>
      </c>
      <c r="BZ1200" s="8">
        <f t="shared" si="853"/>
        <v>0</v>
      </c>
      <c r="CA1200" s="8">
        <f t="shared" si="854"/>
        <v>0</v>
      </c>
      <c r="CB1200" s="8">
        <f t="shared" si="855"/>
        <v>0</v>
      </c>
      <c r="CC1200" s="8">
        <f t="shared" si="856"/>
        <v>0</v>
      </c>
      <c r="CD1200" s="8">
        <f t="shared" si="857"/>
        <v>0</v>
      </c>
      <c r="CE1200" s="8">
        <f t="shared" si="858"/>
        <v>0</v>
      </c>
      <c r="CF1200" s="8">
        <f t="shared" si="859"/>
        <v>0</v>
      </c>
      <c r="CG1200" s="8">
        <f t="shared" si="860"/>
        <v>0</v>
      </c>
      <c r="CH1200" s="8">
        <f t="shared" si="861"/>
        <v>0</v>
      </c>
      <c r="CI1200" s="8">
        <f t="shared" si="862"/>
        <v>0</v>
      </c>
      <c r="CJ1200" s="8">
        <f t="shared" si="863"/>
        <v>0</v>
      </c>
      <c r="CK1200" s="8">
        <f t="shared" si="864"/>
        <v>0</v>
      </c>
      <c r="CL1200" s="8">
        <f t="shared" si="865"/>
        <v>0</v>
      </c>
      <c r="CM1200" s="8">
        <f t="shared" si="866"/>
        <v>0</v>
      </c>
      <c r="CN1200" s="8">
        <f t="shared" si="867"/>
        <v>0</v>
      </c>
      <c r="CO1200" s="8">
        <f t="shared" si="868"/>
        <v>0</v>
      </c>
      <c r="CP1200" s="8">
        <f t="shared" si="869"/>
        <v>0</v>
      </c>
      <c r="CQ1200" s="8">
        <f t="shared" si="870"/>
        <v>0</v>
      </c>
      <c r="CR1200" s="8">
        <f t="shared" si="871"/>
        <v>0</v>
      </c>
      <c r="CS1200" s="8">
        <f t="shared" si="872"/>
        <v>0</v>
      </c>
      <c r="CT1200" s="8">
        <f t="shared" si="877"/>
        <v>0</v>
      </c>
      <c r="CU1200" s="8">
        <f t="shared" si="878"/>
        <v>0</v>
      </c>
      <c r="CV1200" s="8">
        <f t="shared" si="879"/>
        <v>0</v>
      </c>
    </row>
    <row r="1201" spans="1:100" ht="20.5" thickTop="1" thickBot="1" x14ac:dyDescent="0.5">
      <c r="A1201" s="32"/>
      <c r="B1201" s="10"/>
      <c r="C1201" s="10"/>
      <c r="D1201" s="11"/>
      <c r="E1201" s="10"/>
      <c r="F1201" s="10"/>
      <c r="G1201" s="19"/>
      <c r="H1201" s="19"/>
      <c r="I1201" s="19"/>
      <c r="J1201" s="19"/>
      <c r="K1201" s="10"/>
      <c r="L1201" s="10"/>
      <c r="M1201" s="10"/>
      <c r="N1201" s="10"/>
      <c r="O1201" s="18"/>
      <c r="P1201" s="18"/>
      <c r="Q1201" s="21"/>
      <c r="R1201" s="20"/>
      <c r="S1201" s="16">
        <f t="shared" si="835"/>
        <v>0</v>
      </c>
      <c r="T1201" s="11"/>
      <c r="AS1201" s="31">
        <f t="shared" si="836"/>
        <v>0</v>
      </c>
      <c r="AT1201" s="31">
        <f t="shared" si="837"/>
        <v>0</v>
      </c>
      <c r="AU1201" s="31">
        <f t="shared" si="838"/>
        <v>0</v>
      </c>
      <c r="AV1201" s="31">
        <f t="shared" si="839"/>
        <v>0</v>
      </c>
      <c r="AW1201" s="31">
        <f t="shared" si="840"/>
        <v>0</v>
      </c>
      <c r="AX1201" s="31">
        <f t="shared" si="841"/>
        <v>0</v>
      </c>
      <c r="AY1201" s="31">
        <f t="shared" si="842"/>
        <v>0</v>
      </c>
      <c r="AZ1201" s="31">
        <f t="shared" si="843"/>
        <v>0</v>
      </c>
      <c r="BA1201" s="31">
        <f t="shared" si="844"/>
        <v>0</v>
      </c>
      <c r="BB1201" s="31">
        <f t="shared" si="873"/>
        <v>0</v>
      </c>
      <c r="BM1201" s="8">
        <f t="shared" si="874"/>
        <v>0</v>
      </c>
      <c r="BN1201" s="8">
        <f t="shared" si="845"/>
        <v>0</v>
      </c>
      <c r="BO1201" s="8">
        <f t="shared" si="846"/>
        <v>0</v>
      </c>
      <c r="BQ1201" s="8">
        <f t="shared" si="847"/>
        <v>0</v>
      </c>
      <c r="BR1201" s="63">
        <f t="shared" si="848"/>
        <v>0</v>
      </c>
      <c r="BS1201" s="63">
        <f t="shared" si="875"/>
        <v>0</v>
      </c>
      <c r="BT1201" s="63">
        <f t="shared" si="849"/>
        <v>0</v>
      </c>
      <c r="BU1201" s="63">
        <f t="shared" si="850"/>
        <v>0</v>
      </c>
      <c r="BV1201" s="57">
        <f t="shared" si="851"/>
        <v>0</v>
      </c>
      <c r="BW1201" s="57">
        <f t="shared" si="852"/>
        <v>0</v>
      </c>
      <c r="BX1201" s="57">
        <f t="shared" si="876"/>
        <v>0</v>
      </c>
      <c r="BY1201" s="57">
        <f t="shared" si="880"/>
        <v>0</v>
      </c>
      <c r="BZ1201" s="8">
        <f t="shared" si="853"/>
        <v>0</v>
      </c>
      <c r="CA1201" s="8">
        <f t="shared" si="854"/>
        <v>0</v>
      </c>
      <c r="CB1201" s="8">
        <f t="shared" si="855"/>
        <v>0</v>
      </c>
      <c r="CC1201" s="8">
        <f t="shared" si="856"/>
        <v>0</v>
      </c>
      <c r="CD1201" s="8">
        <f t="shared" si="857"/>
        <v>0</v>
      </c>
      <c r="CE1201" s="8">
        <f t="shared" si="858"/>
        <v>0</v>
      </c>
      <c r="CF1201" s="8">
        <f t="shared" si="859"/>
        <v>0</v>
      </c>
      <c r="CG1201" s="8">
        <f t="shared" si="860"/>
        <v>0</v>
      </c>
      <c r="CH1201" s="8">
        <f t="shared" si="861"/>
        <v>0</v>
      </c>
      <c r="CI1201" s="8">
        <f t="shared" si="862"/>
        <v>0</v>
      </c>
      <c r="CJ1201" s="8">
        <f t="shared" si="863"/>
        <v>0</v>
      </c>
      <c r="CK1201" s="8">
        <f t="shared" si="864"/>
        <v>0</v>
      </c>
      <c r="CL1201" s="8">
        <f t="shared" si="865"/>
        <v>0</v>
      </c>
      <c r="CM1201" s="8">
        <f t="shared" si="866"/>
        <v>0</v>
      </c>
      <c r="CN1201" s="8">
        <f t="shared" si="867"/>
        <v>0</v>
      </c>
      <c r="CO1201" s="8">
        <f t="shared" si="868"/>
        <v>0</v>
      </c>
      <c r="CP1201" s="8">
        <f t="shared" si="869"/>
        <v>0</v>
      </c>
      <c r="CQ1201" s="8">
        <f t="shared" si="870"/>
        <v>0</v>
      </c>
      <c r="CR1201" s="8">
        <f t="shared" si="871"/>
        <v>0</v>
      </c>
      <c r="CS1201" s="8">
        <f t="shared" si="872"/>
        <v>0</v>
      </c>
      <c r="CT1201" s="8">
        <f t="shared" si="877"/>
        <v>0</v>
      </c>
      <c r="CU1201" s="8">
        <f t="shared" si="878"/>
        <v>0</v>
      </c>
      <c r="CV1201" s="8">
        <f t="shared" si="879"/>
        <v>0</v>
      </c>
    </row>
    <row r="1202" spans="1:100" ht="20.5" thickTop="1" thickBot="1" x14ac:dyDescent="0.5">
      <c r="A1202" s="32"/>
      <c r="B1202" s="10"/>
      <c r="C1202" s="10"/>
      <c r="D1202" s="11"/>
      <c r="E1202" s="10"/>
      <c r="F1202" s="10"/>
      <c r="G1202" s="19"/>
      <c r="H1202" s="19"/>
      <c r="I1202" s="19"/>
      <c r="J1202" s="19"/>
      <c r="K1202" s="10"/>
      <c r="L1202" s="10"/>
      <c r="M1202" s="10"/>
      <c r="N1202" s="10"/>
      <c r="O1202" s="18"/>
      <c r="P1202" s="18"/>
      <c r="Q1202" s="21"/>
      <c r="R1202" s="20"/>
      <c r="S1202" s="16">
        <f t="shared" si="835"/>
        <v>0</v>
      </c>
      <c r="T1202" s="11"/>
      <c r="AS1202" s="31">
        <f t="shared" si="836"/>
        <v>0</v>
      </c>
      <c r="AT1202" s="31">
        <f t="shared" si="837"/>
        <v>0</v>
      </c>
      <c r="AU1202" s="31">
        <f t="shared" si="838"/>
        <v>0</v>
      </c>
      <c r="AV1202" s="31">
        <f t="shared" si="839"/>
        <v>0</v>
      </c>
      <c r="AW1202" s="31">
        <f t="shared" si="840"/>
        <v>0</v>
      </c>
      <c r="AX1202" s="31">
        <f t="shared" si="841"/>
        <v>0</v>
      </c>
      <c r="AY1202" s="31">
        <f t="shared" si="842"/>
        <v>0</v>
      </c>
      <c r="AZ1202" s="31">
        <f t="shared" si="843"/>
        <v>0</v>
      </c>
      <c r="BA1202" s="31">
        <f t="shared" si="844"/>
        <v>0</v>
      </c>
      <c r="BB1202" s="31">
        <f t="shared" si="873"/>
        <v>0</v>
      </c>
      <c r="BM1202" s="8">
        <f t="shared" si="874"/>
        <v>0</v>
      </c>
      <c r="BN1202" s="8">
        <f t="shared" si="845"/>
        <v>0</v>
      </c>
      <c r="BO1202" s="8">
        <f t="shared" si="846"/>
        <v>0</v>
      </c>
      <c r="BQ1202" s="8">
        <f t="shared" si="847"/>
        <v>0</v>
      </c>
      <c r="BR1202" s="63">
        <f t="shared" si="848"/>
        <v>0</v>
      </c>
      <c r="BS1202" s="63">
        <f t="shared" si="875"/>
        <v>0</v>
      </c>
      <c r="BT1202" s="63">
        <f t="shared" si="849"/>
        <v>0</v>
      </c>
      <c r="BU1202" s="63">
        <f t="shared" si="850"/>
        <v>0</v>
      </c>
      <c r="BV1202" s="57">
        <f t="shared" si="851"/>
        <v>0</v>
      </c>
      <c r="BW1202" s="57">
        <f t="shared" si="852"/>
        <v>0</v>
      </c>
      <c r="BX1202" s="57">
        <f t="shared" si="876"/>
        <v>0</v>
      </c>
      <c r="BY1202" s="57">
        <f t="shared" si="880"/>
        <v>0</v>
      </c>
      <c r="BZ1202" s="8">
        <f t="shared" si="853"/>
        <v>0</v>
      </c>
      <c r="CA1202" s="8">
        <f t="shared" si="854"/>
        <v>0</v>
      </c>
      <c r="CB1202" s="8">
        <f t="shared" si="855"/>
        <v>0</v>
      </c>
      <c r="CC1202" s="8">
        <f t="shared" si="856"/>
        <v>0</v>
      </c>
      <c r="CD1202" s="8">
        <f t="shared" si="857"/>
        <v>0</v>
      </c>
      <c r="CE1202" s="8">
        <f t="shared" si="858"/>
        <v>0</v>
      </c>
      <c r="CF1202" s="8">
        <f t="shared" si="859"/>
        <v>0</v>
      </c>
      <c r="CG1202" s="8">
        <f t="shared" si="860"/>
        <v>0</v>
      </c>
      <c r="CH1202" s="8">
        <f t="shared" si="861"/>
        <v>0</v>
      </c>
      <c r="CI1202" s="8">
        <f t="shared" si="862"/>
        <v>0</v>
      </c>
      <c r="CJ1202" s="8">
        <f t="shared" si="863"/>
        <v>0</v>
      </c>
      <c r="CK1202" s="8">
        <f t="shared" si="864"/>
        <v>0</v>
      </c>
      <c r="CL1202" s="8">
        <f t="shared" si="865"/>
        <v>0</v>
      </c>
      <c r="CM1202" s="8">
        <f t="shared" si="866"/>
        <v>0</v>
      </c>
      <c r="CN1202" s="8">
        <f t="shared" si="867"/>
        <v>0</v>
      </c>
      <c r="CO1202" s="8">
        <f t="shared" si="868"/>
        <v>0</v>
      </c>
      <c r="CP1202" s="8">
        <f t="shared" si="869"/>
        <v>0</v>
      </c>
      <c r="CQ1202" s="8">
        <f t="shared" si="870"/>
        <v>0</v>
      </c>
      <c r="CR1202" s="8">
        <f t="shared" si="871"/>
        <v>0</v>
      </c>
      <c r="CS1202" s="8">
        <f t="shared" si="872"/>
        <v>0</v>
      </c>
      <c r="CT1202" s="8">
        <f t="shared" si="877"/>
        <v>0</v>
      </c>
      <c r="CU1202" s="8">
        <f t="shared" si="878"/>
        <v>0</v>
      </c>
      <c r="CV1202" s="8">
        <f t="shared" si="879"/>
        <v>0</v>
      </c>
    </row>
    <row r="1203" spans="1:100" ht="20.5" thickTop="1" thickBot="1" x14ac:dyDescent="0.5">
      <c r="A1203" s="32"/>
      <c r="B1203" s="10"/>
      <c r="C1203" s="10"/>
      <c r="D1203" s="11"/>
      <c r="E1203" s="10"/>
      <c r="F1203" s="10"/>
      <c r="G1203" s="19"/>
      <c r="H1203" s="19"/>
      <c r="I1203" s="19"/>
      <c r="J1203" s="19"/>
      <c r="K1203" s="10"/>
      <c r="L1203" s="10"/>
      <c r="M1203" s="10"/>
      <c r="N1203" s="10"/>
      <c r="O1203" s="18"/>
      <c r="P1203" s="18"/>
      <c r="Q1203" s="21"/>
      <c r="R1203" s="20"/>
      <c r="S1203" s="16">
        <f t="shared" si="835"/>
        <v>0</v>
      </c>
      <c r="T1203" s="11"/>
      <c r="AS1203" s="31">
        <f t="shared" si="836"/>
        <v>0</v>
      </c>
      <c r="AT1203" s="31">
        <f t="shared" si="837"/>
        <v>0</v>
      </c>
      <c r="AU1203" s="31">
        <f t="shared" si="838"/>
        <v>0</v>
      </c>
      <c r="AV1203" s="31">
        <f t="shared" si="839"/>
        <v>0</v>
      </c>
      <c r="AW1203" s="31">
        <f t="shared" si="840"/>
        <v>0</v>
      </c>
      <c r="AX1203" s="31">
        <f t="shared" si="841"/>
        <v>0</v>
      </c>
      <c r="AY1203" s="31">
        <f t="shared" si="842"/>
        <v>0</v>
      </c>
      <c r="AZ1203" s="31">
        <f t="shared" si="843"/>
        <v>0</v>
      </c>
      <c r="BA1203" s="31">
        <f t="shared" si="844"/>
        <v>0</v>
      </c>
      <c r="BB1203" s="31">
        <f t="shared" si="873"/>
        <v>0</v>
      </c>
      <c r="BM1203" s="8">
        <f t="shared" si="874"/>
        <v>0</v>
      </c>
      <c r="BN1203" s="8">
        <f t="shared" si="845"/>
        <v>0</v>
      </c>
      <c r="BO1203" s="8">
        <f t="shared" si="846"/>
        <v>0</v>
      </c>
      <c r="BQ1203" s="8">
        <f t="shared" si="847"/>
        <v>0</v>
      </c>
      <c r="BR1203" s="63">
        <f t="shared" si="848"/>
        <v>0</v>
      </c>
      <c r="BS1203" s="63">
        <f t="shared" si="875"/>
        <v>0</v>
      </c>
      <c r="BT1203" s="63">
        <f t="shared" si="849"/>
        <v>0</v>
      </c>
      <c r="BU1203" s="63">
        <f t="shared" si="850"/>
        <v>0</v>
      </c>
      <c r="BV1203" s="57">
        <f t="shared" si="851"/>
        <v>0</v>
      </c>
      <c r="BW1203" s="57">
        <f t="shared" si="852"/>
        <v>0</v>
      </c>
      <c r="BX1203" s="57">
        <f t="shared" si="876"/>
        <v>0</v>
      </c>
      <c r="BY1203" s="57">
        <f t="shared" si="880"/>
        <v>0</v>
      </c>
      <c r="BZ1203" s="8">
        <f t="shared" si="853"/>
        <v>0</v>
      </c>
      <c r="CA1203" s="8">
        <f t="shared" si="854"/>
        <v>0</v>
      </c>
      <c r="CB1203" s="8">
        <f t="shared" si="855"/>
        <v>0</v>
      </c>
      <c r="CC1203" s="8">
        <f t="shared" si="856"/>
        <v>0</v>
      </c>
      <c r="CD1203" s="8">
        <f t="shared" si="857"/>
        <v>0</v>
      </c>
      <c r="CE1203" s="8">
        <f t="shared" si="858"/>
        <v>0</v>
      </c>
      <c r="CF1203" s="8">
        <f t="shared" si="859"/>
        <v>0</v>
      </c>
      <c r="CG1203" s="8">
        <f t="shared" si="860"/>
        <v>0</v>
      </c>
      <c r="CH1203" s="8">
        <f t="shared" si="861"/>
        <v>0</v>
      </c>
      <c r="CI1203" s="8">
        <f t="shared" si="862"/>
        <v>0</v>
      </c>
      <c r="CJ1203" s="8">
        <f t="shared" si="863"/>
        <v>0</v>
      </c>
      <c r="CK1203" s="8">
        <f t="shared" si="864"/>
        <v>0</v>
      </c>
      <c r="CL1203" s="8">
        <f t="shared" si="865"/>
        <v>0</v>
      </c>
      <c r="CM1203" s="8">
        <f t="shared" si="866"/>
        <v>0</v>
      </c>
      <c r="CN1203" s="8">
        <f t="shared" si="867"/>
        <v>0</v>
      </c>
      <c r="CO1203" s="8">
        <f t="shared" si="868"/>
        <v>0</v>
      </c>
      <c r="CP1203" s="8">
        <f t="shared" si="869"/>
        <v>0</v>
      </c>
      <c r="CQ1203" s="8">
        <f t="shared" si="870"/>
        <v>0</v>
      </c>
      <c r="CR1203" s="8">
        <f t="shared" si="871"/>
        <v>0</v>
      </c>
      <c r="CS1203" s="8">
        <f t="shared" si="872"/>
        <v>0</v>
      </c>
      <c r="CT1203" s="8">
        <f t="shared" si="877"/>
        <v>0</v>
      </c>
      <c r="CU1203" s="8">
        <f t="shared" si="878"/>
        <v>0</v>
      </c>
      <c r="CV1203" s="8">
        <f t="shared" si="879"/>
        <v>0</v>
      </c>
    </row>
    <row r="1204" spans="1:100" ht="20.5" thickTop="1" thickBot="1" x14ac:dyDescent="0.5">
      <c r="A1204" s="32"/>
      <c r="B1204" s="10"/>
      <c r="C1204" s="10"/>
      <c r="D1204" s="11"/>
      <c r="E1204" s="10"/>
      <c r="F1204" s="10"/>
      <c r="G1204" s="19"/>
      <c r="H1204" s="19"/>
      <c r="I1204" s="19"/>
      <c r="J1204" s="19"/>
      <c r="K1204" s="10"/>
      <c r="L1204" s="10"/>
      <c r="M1204" s="10"/>
      <c r="N1204" s="10"/>
      <c r="O1204" s="18"/>
      <c r="P1204" s="18"/>
      <c r="Q1204" s="21"/>
      <c r="R1204" s="20"/>
      <c r="S1204" s="16">
        <f t="shared" si="835"/>
        <v>0</v>
      </c>
      <c r="T1204" s="11"/>
      <c r="AS1204" s="31">
        <f t="shared" si="836"/>
        <v>0</v>
      </c>
      <c r="AT1204" s="31">
        <f t="shared" si="837"/>
        <v>0</v>
      </c>
      <c r="AU1204" s="31">
        <f t="shared" si="838"/>
        <v>0</v>
      </c>
      <c r="AV1204" s="31">
        <f t="shared" si="839"/>
        <v>0</v>
      </c>
      <c r="AW1204" s="31">
        <f t="shared" si="840"/>
        <v>0</v>
      </c>
      <c r="AX1204" s="31">
        <f t="shared" si="841"/>
        <v>0</v>
      </c>
      <c r="AY1204" s="31">
        <f t="shared" si="842"/>
        <v>0</v>
      </c>
      <c r="AZ1204" s="31">
        <f t="shared" si="843"/>
        <v>0</v>
      </c>
      <c r="BA1204" s="31">
        <f t="shared" si="844"/>
        <v>0</v>
      </c>
      <c r="BB1204" s="31">
        <f t="shared" si="873"/>
        <v>0</v>
      </c>
      <c r="BM1204" s="8">
        <f t="shared" si="874"/>
        <v>0</v>
      </c>
      <c r="BN1204" s="8">
        <f t="shared" si="845"/>
        <v>0</v>
      </c>
      <c r="BO1204" s="8">
        <f t="shared" si="846"/>
        <v>0</v>
      </c>
      <c r="BQ1204" s="8">
        <f t="shared" si="847"/>
        <v>0</v>
      </c>
      <c r="BR1204" s="63">
        <f t="shared" si="848"/>
        <v>0</v>
      </c>
      <c r="BS1204" s="63">
        <f t="shared" si="875"/>
        <v>0</v>
      </c>
      <c r="BT1204" s="63">
        <f t="shared" si="849"/>
        <v>0</v>
      </c>
      <c r="BU1204" s="63">
        <f t="shared" si="850"/>
        <v>0</v>
      </c>
      <c r="BV1204" s="57">
        <f t="shared" si="851"/>
        <v>0</v>
      </c>
      <c r="BW1204" s="57">
        <f t="shared" si="852"/>
        <v>0</v>
      </c>
      <c r="BX1204" s="57">
        <f t="shared" si="876"/>
        <v>0</v>
      </c>
      <c r="BY1204" s="57">
        <f t="shared" si="880"/>
        <v>0</v>
      </c>
      <c r="BZ1204" s="8">
        <f t="shared" si="853"/>
        <v>0</v>
      </c>
      <c r="CA1204" s="8">
        <f t="shared" si="854"/>
        <v>0</v>
      </c>
      <c r="CB1204" s="8">
        <f t="shared" si="855"/>
        <v>0</v>
      </c>
      <c r="CC1204" s="8">
        <f t="shared" si="856"/>
        <v>0</v>
      </c>
      <c r="CD1204" s="8">
        <f t="shared" si="857"/>
        <v>0</v>
      </c>
      <c r="CE1204" s="8">
        <f t="shared" si="858"/>
        <v>0</v>
      </c>
      <c r="CF1204" s="8">
        <f t="shared" si="859"/>
        <v>0</v>
      </c>
      <c r="CG1204" s="8">
        <f t="shared" si="860"/>
        <v>0</v>
      </c>
      <c r="CH1204" s="8">
        <f t="shared" si="861"/>
        <v>0</v>
      </c>
      <c r="CI1204" s="8">
        <f t="shared" si="862"/>
        <v>0</v>
      </c>
      <c r="CJ1204" s="8">
        <f t="shared" si="863"/>
        <v>0</v>
      </c>
      <c r="CK1204" s="8">
        <f t="shared" si="864"/>
        <v>0</v>
      </c>
      <c r="CL1204" s="8">
        <f t="shared" si="865"/>
        <v>0</v>
      </c>
      <c r="CM1204" s="8">
        <f t="shared" si="866"/>
        <v>0</v>
      </c>
      <c r="CN1204" s="8">
        <f t="shared" si="867"/>
        <v>0</v>
      </c>
      <c r="CO1204" s="8">
        <f t="shared" si="868"/>
        <v>0</v>
      </c>
      <c r="CP1204" s="8">
        <f t="shared" si="869"/>
        <v>0</v>
      </c>
      <c r="CQ1204" s="8">
        <f t="shared" si="870"/>
        <v>0</v>
      </c>
      <c r="CR1204" s="8">
        <f t="shared" si="871"/>
        <v>0</v>
      </c>
      <c r="CS1204" s="8">
        <f t="shared" si="872"/>
        <v>0</v>
      </c>
      <c r="CT1204" s="8">
        <f t="shared" si="877"/>
        <v>0</v>
      </c>
      <c r="CU1204" s="8">
        <f t="shared" si="878"/>
        <v>0</v>
      </c>
      <c r="CV1204" s="8">
        <f t="shared" si="879"/>
        <v>0</v>
      </c>
    </row>
    <row r="1205" spans="1:100" ht="20.5" thickTop="1" thickBot="1" x14ac:dyDescent="0.5">
      <c r="A1205" s="32"/>
      <c r="B1205" s="10"/>
      <c r="C1205" s="10"/>
      <c r="D1205" s="11"/>
      <c r="E1205" s="10"/>
      <c r="F1205" s="10"/>
      <c r="G1205" s="19"/>
      <c r="H1205" s="19"/>
      <c r="I1205" s="19"/>
      <c r="J1205" s="19"/>
      <c r="K1205" s="10"/>
      <c r="L1205" s="10"/>
      <c r="M1205" s="10"/>
      <c r="N1205" s="10"/>
      <c r="O1205" s="18"/>
      <c r="P1205" s="18"/>
      <c r="Q1205" s="21"/>
      <c r="R1205" s="20"/>
      <c r="S1205" s="16">
        <f t="shared" si="835"/>
        <v>0</v>
      </c>
      <c r="T1205" s="11"/>
      <c r="AS1205" s="31">
        <f t="shared" si="836"/>
        <v>0</v>
      </c>
      <c r="AT1205" s="31">
        <f t="shared" si="837"/>
        <v>0</v>
      </c>
      <c r="AU1205" s="31">
        <f t="shared" si="838"/>
        <v>0</v>
      </c>
      <c r="AV1205" s="31">
        <f t="shared" si="839"/>
        <v>0</v>
      </c>
      <c r="AW1205" s="31">
        <f t="shared" si="840"/>
        <v>0</v>
      </c>
      <c r="AX1205" s="31">
        <f t="shared" si="841"/>
        <v>0</v>
      </c>
      <c r="AY1205" s="31">
        <f t="shared" si="842"/>
        <v>0</v>
      </c>
      <c r="AZ1205" s="31">
        <f t="shared" si="843"/>
        <v>0</v>
      </c>
      <c r="BA1205" s="31">
        <f t="shared" si="844"/>
        <v>0</v>
      </c>
      <c r="BB1205" s="31">
        <f t="shared" si="873"/>
        <v>0</v>
      </c>
      <c r="BM1205" s="8">
        <f t="shared" si="874"/>
        <v>0</v>
      </c>
      <c r="BN1205" s="8">
        <f t="shared" si="845"/>
        <v>0</v>
      </c>
      <c r="BO1205" s="8">
        <f t="shared" si="846"/>
        <v>0</v>
      </c>
      <c r="BQ1205" s="8">
        <f t="shared" si="847"/>
        <v>0</v>
      </c>
      <c r="BR1205" s="63">
        <f t="shared" si="848"/>
        <v>0</v>
      </c>
      <c r="BS1205" s="63">
        <f t="shared" si="875"/>
        <v>0</v>
      </c>
      <c r="BT1205" s="63">
        <f t="shared" si="849"/>
        <v>0</v>
      </c>
      <c r="BU1205" s="63">
        <f t="shared" si="850"/>
        <v>0</v>
      </c>
      <c r="BV1205" s="57">
        <f t="shared" si="851"/>
        <v>0</v>
      </c>
      <c r="BW1205" s="57">
        <f t="shared" si="852"/>
        <v>0</v>
      </c>
      <c r="BX1205" s="57">
        <f t="shared" si="876"/>
        <v>0</v>
      </c>
      <c r="BY1205" s="57">
        <f t="shared" si="880"/>
        <v>0</v>
      </c>
      <c r="BZ1205" s="8">
        <f t="shared" si="853"/>
        <v>0</v>
      </c>
      <c r="CA1205" s="8">
        <f t="shared" si="854"/>
        <v>0</v>
      </c>
      <c r="CB1205" s="8">
        <f t="shared" si="855"/>
        <v>0</v>
      </c>
      <c r="CC1205" s="8">
        <f t="shared" si="856"/>
        <v>0</v>
      </c>
      <c r="CD1205" s="8">
        <f t="shared" si="857"/>
        <v>0</v>
      </c>
      <c r="CE1205" s="8">
        <f t="shared" si="858"/>
        <v>0</v>
      </c>
      <c r="CF1205" s="8">
        <f t="shared" si="859"/>
        <v>0</v>
      </c>
      <c r="CG1205" s="8">
        <f t="shared" si="860"/>
        <v>0</v>
      </c>
      <c r="CH1205" s="8">
        <f t="shared" si="861"/>
        <v>0</v>
      </c>
      <c r="CI1205" s="8">
        <f t="shared" si="862"/>
        <v>0</v>
      </c>
      <c r="CJ1205" s="8">
        <f t="shared" si="863"/>
        <v>0</v>
      </c>
      <c r="CK1205" s="8">
        <f t="shared" si="864"/>
        <v>0</v>
      </c>
      <c r="CL1205" s="8">
        <f t="shared" si="865"/>
        <v>0</v>
      </c>
      <c r="CM1205" s="8">
        <f t="shared" si="866"/>
        <v>0</v>
      </c>
      <c r="CN1205" s="8">
        <f t="shared" si="867"/>
        <v>0</v>
      </c>
      <c r="CO1205" s="8">
        <f t="shared" si="868"/>
        <v>0</v>
      </c>
      <c r="CP1205" s="8">
        <f t="shared" si="869"/>
        <v>0</v>
      </c>
      <c r="CQ1205" s="8">
        <f t="shared" si="870"/>
        <v>0</v>
      </c>
      <c r="CR1205" s="8">
        <f t="shared" si="871"/>
        <v>0</v>
      </c>
      <c r="CS1205" s="8">
        <f t="shared" si="872"/>
        <v>0</v>
      </c>
      <c r="CT1205" s="8">
        <f t="shared" si="877"/>
        <v>0</v>
      </c>
      <c r="CU1205" s="8">
        <f t="shared" si="878"/>
        <v>0</v>
      </c>
      <c r="CV1205" s="8">
        <f t="shared" si="879"/>
        <v>0</v>
      </c>
    </row>
    <row r="1206" spans="1:100" ht="20.5" thickTop="1" thickBot="1" x14ac:dyDescent="0.5">
      <c r="A1206" s="32"/>
      <c r="B1206" s="10"/>
      <c r="C1206" s="10"/>
      <c r="D1206" s="11"/>
      <c r="E1206" s="10"/>
      <c r="F1206" s="10"/>
      <c r="G1206" s="19"/>
      <c r="H1206" s="19"/>
      <c r="I1206" s="19"/>
      <c r="J1206" s="19"/>
      <c r="K1206" s="10"/>
      <c r="L1206" s="10"/>
      <c r="M1206" s="10"/>
      <c r="N1206" s="10"/>
      <c r="O1206" s="18"/>
      <c r="P1206" s="18"/>
      <c r="Q1206" s="21"/>
      <c r="R1206" s="20"/>
      <c r="S1206" s="16">
        <f t="shared" si="835"/>
        <v>0</v>
      </c>
      <c r="T1206" s="11"/>
      <c r="AS1206" s="31">
        <f t="shared" si="836"/>
        <v>0</v>
      </c>
      <c r="AT1206" s="31">
        <f t="shared" si="837"/>
        <v>0</v>
      </c>
      <c r="AU1206" s="31">
        <f t="shared" si="838"/>
        <v>0</v>
      </c>
      <c r="AV1206" s="31">
        <f t="shared" si="839"/>
        <v>0</v>
      </c>
      <c r="AW1206" s="31">
        <f t="shared" si="840"/>
        <v>0</v>
      </c>
      <c r="AX1206" s="31">
        <f t="shared" si="841"/>
        <v>0</v>
      </c>
      <c r="AY1206" s="31">
        <f t="shared" si="842"/>
        <v>0</v>
      </c>
      <c r="AZ1206" s="31">
        <f t="shared" si="843"/>
        <v>0</v>
      </c>
      <c r="BA1206" s="31">
        <f t="shared" si="844"/>
        <v>0</v>
      </c>
      <c r="BB1206" s="31">
        <f t="shared" si="873"/>
        <v>0</v>
      </c>
      <c r="BM1206" s="8">
        <f t="shared" si="874"/>
        <v>0</v>
      </c>
      <c r="BN1206" s="8">
        <f t="shared" si="845"/>
        <v>0</v>
      </c>
      <c r="BO1206" s="8">
        <f t="shared" si="846"/>
        <v>0</v>
      </c>
      <c r="BQ1206" s="8">
        <f t="shared" si="847"/>
        <v>0</v>
      </c>
      <c r="BR1206" s="63">
        <f t="shared" si="848"/>
        <v>0</v>
      </c>
      <c r="BS1206" s="63">
        <f t="shared" si="875"/>
        <v>0</v>
      </c>
      <c r="BT1206" s="63">
        <f t="shared" si="849"/>
        <v>0</v>
      </c>
      <c r="BU1206" s="63">
        <f t="shared" si="850"/>
        <v>0</v>
      </c>
      <c r="BV1206" s="57">
        <f t="shared" si="851"/>
        <v>0</v>
      </c>
      <c r="BW1206" s="57">
        <f t="shared" si="852"/>
        <v>0</v>
      </c>
      <c r="BX1206" s="57">
        <f t="shared" si="876"/>
        <v>0</v>
      </c>
      <c r="BY1206" s="57">
        <f t="shared" si="880"/>
        <v>0</v>
      </c>
      <c r="BZ1206" s="8">
        <f t="shared" si="853"/>
        <v>0</v>
      </c>
      <c r="CA1206" s="8">
        <f t="shared" si="854"/>
        <v>0</v>
      </c>
      <c r="CB1206" s="8">
        <f t="shared" si="855"/>
        <v>0</v>
      </c>
      <c r="CC1206" s="8">
        <f t="shared" si="856"/>
        <v>0</v>
      </c>
      <c r="CD1206" s="8">
        <f t="shared" si="857"/>
        <v>0</v>
      </c>
      <c r="CE1206" s="8">
        <f t="shared" si="858"/>
        <v>0</v>
      </c>
      <c r="CF1206" s="8">
        <f t="shared" si="859"/>
        <v>0</v>
      </c>
      <c r="CG1206" s="8">
        <f t="shared" si="860"/>
        <v>0</v>
      </c>
      <c r="CH1206" s="8">
        <f t="shared" si="861"/>
        <v>0</v>
      </c>
      <c r="CI1206" s="8">
        <f t="shared" si="862"/>
        <v>0</v>
      </c>
      <c r="CJ1206" s="8">
        <f t="shared" si="863"/>
        <v>0</v>
      </c>
      <c r="CK1206" s="8">
        <f t="shared" si="864"/>
        <v>0</v>
      </c>
      <c r="CL1206" s="8">
        <f t="shared" si="865"/>
        <v>0</v>
      </c>
      <c r="CM1206" s="8">
        <f t="shared" si="866"/>
        <v>0</v>
      </c>
      <c r="CN1206" s="8">
        <f t="shared" si="867"/>
        <v>0</v>
      </c>
      <c r="CO1206" s="8">
        <f t="shared" si="868"/>
        <v>0</v>
      </c>
      <c r="CP1206" s="8">
        <f t="shared" si="869"/>
        <v>0</v>
      </c>
      <c r="CQ1206" s="8">
        <f t="shared" si="870"/>
        <v>0</v>
      </c>
      <c r="CR1206" s="8">
        <f t="shared" si="871"/>
        <v>0</v>
      </c>
      <c r="CS1206" s="8">
        <f t="shared" si="872"/>
        <v>0</v>
      </c>
      <c r="CT1206" s="8">
        <f t="shared" si="877"/>
        <v>0</v>
      </c>
      <c r="CU1206" s="8">
        <f t="shared" si="878"/>
        <v>0</v>
      </c>
      <c r="CV1206" s="8">
        <f t="shared" si="879"/>
        <v>0</v>
      </c>
    </row>
    <row r="1207" spans="1:100" ht="20.5" thickTop="1" thickBot="1" x14ac:dyDescent="0.5">
      <c r="A1207" s="32"/>
      <c r="B1207" s="10"/>
      <c r="C1207" s="10"/>
      <c r="D1207" s="11"/>
      <c r="E1207" s="10"/>
      <c r="F1207" s="10"/>
      <c r="G1207" s="19"/>
      <c r="H1207" s="19"/>
      <c r="I1207" s="19"/>
      <c r="J1207" s="19"/>
      <c r="K1207" s="10"/>
      <c r="L1207" s="10"/>
      <c r="M1207" s="10"/>
      <c r="N1207" s="10"/>
      <c r="O1207" s="18"/>
      <c r="P1207" s="18"/>
      <c r="Q1207" s="21"/>
      <c r="R1207" s="20"/>
      <c r="S1207" s="16">
        <f t="shared" si="835"/>
        <v>0</v>
      </c>
      <c r="T1207" s="11"/>
      <c r="AS1207" s="31">
        <f t="shared" si="836"/>
        <v>0</v>
      </c>
      <c r="AT1207" s="31">
        <f t="shared" si="837"/>
        <v>0</v>
      </c>
      <c r="AU1207" s="31">
        <f t="shared" si="838"/>
        <v>0</v>
      </c>
      <c r="AV1207" s="31">
        <f t="shared" si="839"/>
        <v>0</v>
      </c>
      <c r="AW1207" s="31">
        <f t="shared" si="840"/>
        <v>0</v>
      </c>
      <c r="AX1207" s="31">
        <f t="shared" si="841"/>
        <v>0</v>
      </c>
      <c r="AY1207" s="31">
        <f t="shared" si="842"/>
        <v>0</v>
      </c>
      <c r="AZ1207" s="31">
        <f t="shared" si="843"/>
        <v>0</v>
      </c>
      <c r="BA1207" s="31">
        <f t="shared" si="844"/>
        <v>0</v>
      </c>
      <c r="BB1207" s="31">
        <f t="shared" si="873"/>
        <v>0</v>
      </c>
      <c r="BM1207" s="8">
        <f t="shared" si="874"/>
        <v>0</v>
      </c>
      <c r="BN1207" s="8">
        <f t="shared" si="845"/>
        <v>0</v>
      </c>
      <c r="BO1207" s="8">
        <f t="shared" si="846"/>
        <v>0</v>
      </c>
      <c r="BQ1207" s="8">
        <f t="shared" si="847"/>
        <v>0</v>
      </c>
      <c r="BR1207" s="63">
        <f t="shared" si="848"/>
        <v>0</v>
      </c>
      <c r="BS1207" s="63">
        <f t="shared" si="875"/>
        <v>0</v>
      </c>
      <c r="BT1207" s="63">
        <f t="shared" si="849"/>
        <v>0</v>
      </c>
      <c r="BU1207" s="63">
        <f t="shared" si="850"/>
        <v>0</v>
      </c>
      <c r="BV1207" s="57">
        <f t="shared" si="851"/>
        <v>0</v>
      </c>
      <c r="BW1207" s="57">
        <f t="shared" si="852"/>
        <v>0</v>
      </c>
      <c r="BX1207" s="57">
        <f t="shared" si="876"/>
        <v>0</v>
      </c>
      <c r="BY1207" s="57">
        <f t="shared" si="880"/>
        <v>0</v>
      </c>
      <c r="BZ1207" s="8">
        <f t="shared" si="853"/>
        <v>0</v>
      </c>
      <c r="CA1207" s="8">
        <f t="shared" si="854"/>
        <v>0</v>
      </c>
      <c r="CB1207" s="8">
        <f t="shared" si="855"/>
        <v>0</v>
      </c>
      <c r="CC1207" s="8">
        <f t="shared" si="856"/>
        <v>0</v>
      </c>
      <c r="CD1207" s="8">
        <f t="shared" si="857"/>
        <v>0</v>
      </c>
      <c r="CE1207" s="8">
        <f t="shared" si="858"/>
        <v>0</v>
      </c>
      <c r="CF1207" s="8">
        <f t="shared" si="859"/>
        <v>0</v>
      </c>
      <c r="CG1207" s="8">
        <f t="shared" si="860"/>
        <v>0</v>
      </c>
      <c r="CH1207" s="8">
        <f t="shared" si="861"/>
        <v>0</v>
      </c>
      <c r="CI1207" s="8">
        <f t="shared" si="862"/>
        <v>0</v>
      </c>
      <c r="CJ1207" s="8">
        <f t="shared" si="863"/>
        <v>0</v>
      </c>
      <c r="CK1207" s="8">
        <f t="shared" si="864"/>
        <v>0</v>
      </c>
      <c r="CL1207" s="8">
        <f t="shared" si="865"/>
        <v>0</v>
      </c>
      <c r="CM1207" s="8">
        <f t="shared" si="866"/>
        <v>0</v>
      </c>
      <c r="CN1207" s="8">
        <f t="shared" si="867"/>
        <v>0</v>
      </c>
      <c r="CO1207" s="8">
        <f t="shared" si="868"/>
        <v>0</v>
      </c>
      <c r="CP1207" s="8">
        <f t="shared" si="869"/>
        <v>0</v>
      </c>
      <c r="CQ1207" s="8">
        <f t="shared" si="870"/>
        <v>0</v>
      </c>
      <c r="CR1207" s="8">
        <f t="shared" si="871"/>
        <v>0</v>
      </c>
      <c r="CS1207" s="8">
        <f t="shared" si="872"/>
        <v>0</v>
      </c>
      <c r="CT1207" s="8">
        <f t="shared" si="877"/>
        <v>0</v>
      </c>
      <c r="CU1207" s="8">
        <f t="shared" si="878"/>
        <v>0</v>
      </c>
      <c r="CV1207" s="8">
        <f t="shared" si="879"/>
        <v>0</v>
      </c>
    </row>
    <row r="1208" spans="1:100" ht="20.5" thickTop="1" thickBot="1" x14ac:dyDescent="0.5">
      <c r="A1208" s="32"/>
      <c r="B1208" s="10"/>
      <c r="C1208" s="10"/>
      <c r="D1208" s="11"/>
      <c r="E1208" s="10"/>
      <c r="F1208" s="10"/>
      <c r="G1208" s="19"/>
      <c r="H1208" s="19"/>
      <c r="I1208" s="19"/>
      <c r="J1208" s="19"/>
      <c r="K1208" s="10"/>
      <c r="L1208" s="10"/>
      <c r="M1208" s="10"/>
      <c r="N1208" s="10"/>
      <c r="O1208" s="18"/>
      <c r="P1208" s="18"/>
      <c r="Q1208" s="21"/>
      <c r="R1208" s="20"/>
      <c r="S1208" s="16">
        <f t="shared" si="835"/>
        <v>0</v>
      </c>
      <c r="T1208" s="11"/>
      <c r="AS1208" s="31">
        <f t="shared" si="836"/>
        <v>0</v>
      </c>
      <c r="AT1208" s="31">
        <f t="shared" si="837"/>
        <v>0</v>
      </c>
      <c r="AU1208" s="31">
        <f t="shared" si="838"/>
        <v>0</v>
      </c>
      <c r="AV1208" s="31">
        <f t="shared" si="839"/>
        <v>0</v>
      </c>
      <c r="AW1208" s="31">
        <f t="shared" si="840"/>
        <v>0</v>
      </c>
      <c r="AX1208" s="31">
        <f t="shared" si="841"/>
        <v>0</v>
      </c>
      <c r="AY1208" s="31">
        <f t="shared" si="842"/>
        <v>0</v>
      </c>
      <c r="AZ1208" s="31">
        <f t="shared" si="843"/>
        <v>0</v>
      </c>
      <c r="BA1208" s="31">
        <f t="shared" si="844"/>
        <v>0</v>
      </c>
      <c r="BB1208" s="31">
        <f t="shared" si="873"/>
        <v>0</v>
      </c>
      <c r="BM1208" s="8">
        <f t="shared" si="874"/>
        <v>0</v>
      </c>
      <c r="BN1208" s="8">
        <f t="shared" si="845"/>
        <v>0</v>
      </c>
      <c r="BO1208" s="8">
        <f t="shared" si="846"/>
        <v>0</v>
      </c>
      <c r="BQ1208" s="8">
        <f t="shared" si="847"/>
        <v>0</v>
      </c>
      <c r="BR1208" s="63">
        <f t="shared" si="848"/>
        <v>0</v>
      </c>
      <c r="BS1208" s="63">
        <f t="shared" si="875"/>
        <v>0</v>
      </c>
      <c r="BT1208" s="63">
        <f t="shared" si="849"/>
        <v>0</v>
      </c>
      <c r="BU1208" s="63">
        <f t="shared" si="850"/>
        <v>0</v>
      </c>
      <c r="BV1208" s="57">
        <f t="shared" si="851"/>
        <v>0</v>
      </c>
      <c r="BW1208" s="57">
        <f t="shared" si="852"/>
        <v>0</v>
      </c>
      <c r="BX1208" s="57">
        <f t="shared" si="876"/>
        <v>0</v>
      </c>
      <c r="BY1208" s="57">
        <f t="shared" si="880"/>
        <v>0</v>
      </c>
      <c r="BZ1208" s="8">
        <f t="shared" si="853"/>
        <v>0</v>
      </c>
      <c r="CA1208" s="8">
        <f t="shared" si="854"/>
        <v>0</v>
      </c>
      <c r="CB1208" s="8">
        <f t="shared" si="855"/>
        <v>0</v>
      </c>
      <c r="CC1208" s="8">
        <f t="shared" si="856"/>
        <v>0</v>
      </c>
      <c r="CD1208" s="8">
        <f t="shared" si="857"/>
        <v>0</v>
      </c>
      <c r="CE1208" s="8">
        <f t="shared" si="858"/>
        <v>0</v>
      </c>
      <c r="CF1208" s="8">
        <f t="shared" si="859"/>
        <v>0</v>
      </c>
      <c r="CG1208" s="8">
        <f t="shared" si="860"/>
        <v>0</v>
      </c>
      <c r="CH1208" s="8">
        <f t="shared" si="861"/>
        <v>0</v>
      </c>
      <c r="CI1208" s="8">
        <f t="shared" si="862"/>
        <v>0</v>
      </c>
      <c r="CJ1208" s="8">
        <f t="shared" si="863"/>
        <v>0</v>
      </c>
      <c r="CK1208" s="8">
        <f t="shared" si="864"/>
        <v>0</v>
      </c>
      <c r="CL1208" s="8">
        <f t="shared" si="865"/>
        <v>0</v>
      </c>
      <c r="CM1208" s="8">
        <f t="shared" si="866"/>
        <v>0</v>
      </c>
      <c r="CN1208" s="8">
        <f t="shared" si="867"/>
        <v>0</v>
      </c>
      <c r="CO1208" s="8">
        <f t="shared" si="868"/>
        <v>0</v>
      </c>
      <c r="CP1208" s="8">
        <f t="shared" si="869"/>
        <v>0</v>
      </c>
      <c r="CQ1208" s="8">
        <f t="shared" si="870"/>
        <v>0</v>
      </c>
      <c r="CR1208" s="8">
        <f t="shared" si="871"/>
        <v>0</v>
      </c>
      <c r="CS1208" s="8">
        <f t="shared" si="872"/>
        <v>0</v>
      </c>
      <c r="CT1208" s="8">
        <f t="shared" si="877"/>
        <v>0</v>
      </c>
      <c r="CU1208" s="8">
        <f t="shared" si="878"/>
        <v>0</v>
      </c>
      <c r="CV1208" s="8">
        <f t="shared" si="879"/>
        <v>0</v>
      </c>
    </row>
    <row r="1209" spans="1:100" ht="20.5" thickTop="1" thickBot="1" x14ac:dyDescent="0.5">
      <c r="A1209" s="32"/>
      <c r="B1209" s="10"/>
      <c r="C1209" s="10"/>
      <c r="D1209" s="11"/>
      <c r="E1209" s="10"/>
      <c r="F1209" s="10"/>
      <c r="G1209" s="19"/>
      <c r="H1209" s="19"/>
      <c r="I1209" s="19"/>
      <c r="J1209" s="19"/>
      <c r="K1209" s="10"/>
      <c r="L1209" s="10"/>
      <c r="M1209" s="10"/>
      <c r="N1209" s="10"/>
      <c r="O1209" s="18"/>
      <c r="P1209" s="18"/>
      <c r="Q1209" s="21"/>
      <c r="R1209" s="20"/>
      <c r="S1209" s="16">
        <f t="shared" si="835"/>
        <v>0</v>
      </c>
      <c r="T1209" s="11"/>
      <c r="AS1209" s="31">
        <f t="shared" si="836"/>
        <v>0</v>
      </c>
      <c r="AT1209" s="31">
        <f t="shared" si="837"/>
        <v>0</v>
      </c>
      <c r="AU1209" s="31">
        <f t="shared" si="838"/>
        <v>0</v>
      </c>
      <c r="AV1209" s="31">
        <f t="shared" si="839"/>
        <v>0</v>
      </c>
      <c r="AW1209" s="31">
        <f t="shared" si="840"/>
        <v>0</v>
      </c>
      <c r="AX1209" s="31">
        <f t="shared" si="841"/>
        <v>0</v>
      </c>
      <c r="AY1209" s="31">
        <f t="shared" si="842"/>
        <v>0</v>
      </c>
      <c r="AZ1209" s="31">
        <f t="shared" si="843"/>
        <v>0</v>
      </c>
      <c r="BA1209" s="31">
        <f t="shared" si="844"/>
        <v>0</v>
      </c>
      <c r="BB1209" s="31">
        <f t="shared" si="873"/>
        <v>0</v>
      </c>
      <c r="BM1209" s="8">
        <f t="shared" si="874"/>
        <v>0</v>
      </c>
      <c r="BN1209" s="8">
        <f t="shared" si="845"/>
        <v>0</v>
      </c>
      <c r="BO1209" s="8">
        <f t="shared" si="846"/>
        <v>0</v>
      </c>
      <c r="BQ1209" s="8">
        <f t="shared" si="847"/>
        <v>0</v>
      </c>
      <c r="BR1209" s="63">
        <f t="shared" si="848"/>
        <v>0</v>
      </c>
      <c r="BS1209" s="63">
        <f t="shared" si="875"/>
        <v>0</v>
      </c>
      <c r="BT1209" s="63">
        <f t="shared" si="849"/>
        <v>0</v>
      </c>
      <c r="BU1209" s="63">
        <f t="shared" si="850"/>
        <v>0</v>
      </c>
      <c r="BV1209" s="57">
        <f t="shared" si="851"/>
        <v>0</v>
      </c>
      <c r="BW1209" s="57">
        <f t="shared" si="852"/>
        <v>0</v>
      </c>
      <c r="BX1209" s="57">
        <f t="shared" si="876"/>
        <v>0</v>
      </c>
      <c r="BY1209" s="57">
        <f t="shared" si="880"/>
        <v>0</v>
      </c>
      <c r="BZ1209" s="8">
        <f t="shared" si="853"/>
        <v>0</v>
      </c>
      <c r="CA1209" s="8">
        <f t="shared" si="854"/>
        <v>0</v>
      </c>
      <c r="CB1209" s="8">
        <f t="shared" si="855"/>
        <v>0</v>
      </c>
      <c r="CC1209" s="8">
        <f t="shared" si="856"/>
        <v>0</v>
      </c>
      <c r="CD1209" s="8">
        <f t="shared" si="857"/>
        <v>0</v>
      </c>
      <c r="CE1209" s="8">
        <f t="shared" si="858"/>
        <v>0</v>
      </c>
      <c r="CF1209" s="8">
        <f t="shared" si="859"/>
        <v>0</v>
      </c>
      <c r="CG1209" s="8">
        <f t="shared" si="860"/>
        <v>0</v>
      </c>
      <c r="CH1209" s="8">
        <f t="shared" si="861"/>
        <v>0</v>
      </c>
      <c r="CI1209" s="8">
        <f t="shared" si="862"/>
        <v>0</v>
      </c>
      <c r="CJ1209" s="8">
        <f t="shared" si="863"/>
        <v>0</v>
      </c>
      <c r="CK1209" s="8">
        <f t="shared" si="864"/>
        <v>0</v>
      </c>
      <c r="CL1209" s="8">
        <f t="shared" si="865"/>
        <v>0</v>
      </c>
      <c r="CM1209" s="8">
        <f t="shared" si="866"/>
        <v>0</v>
      </c>
      <c r="CN1209" s="8">
        <f t="shared" si="867"/>
        <v>0</v>
      </c>
      <c r="CO1209" s="8">
        <f t="shared" si="868"/>
        <v>0</v>
      </c>
      <c r="CP1209" s="8">
        <f t="shared" si="869"/>
        <v>0</v>
      </c>
      <c r="CQ1209" s="8">
        <f t="shared" si="870"/>
        <v>0</v>
      </c>
      <c r="CR1209" s="8">
        <f t="shared" si="871"/>
        <v>0</v>
      </c>
      <c r="CS1209" s="8">
        <f t="shared" si="872"/>
        <v>0</v>
      </c>
      <c r="CT1209" s="8">
        <f t="shared" si="877"/>
        <v>0</v>
      </c>
      <c r="CU1209" s="8">
        <f t="shared" si="878"/>
        <v>0</v>
      </c>
      <c r="CV1209" s="8">
        <f t="shared" si="879"/>
        <v>0</v>
      </c>
    </row>
    <row r="1210" spans="1:100" ht="20.5" thickTop="1" thickBot="1" x14ac:dyDescent="0.5">
      <c r="A1210" s="32"/>
      <c r="B1210" s="10"/>
      <c r="C1210" s="10"/>
      <c r="D1210" s="11"/>
      <c r="E1210" s="10"/>
      <c r="F1210" s="10"/>
      <c r="G1210" s="19"/>
      <c r="H1210" s="19"/>
      <c r="I1210" s="19"/>
      <c r="J1210" s="19"/>
      <c r="K1210" s="10"/>
      <c r="L1210" s="10"/>
      <c r="M1210" s="10"/>
      <c r="N1210" s="10"/>
      <c r="O1210" s="18"/>
      <c r="P1210" s="18"/>
      <c r="Q1210" s="21"/>
      <c r="R1210" s="20"/>
      <c r="S1210" s="16">
        <f t="shared" si="835"/>
        <v>0</v>
      </c>
      <c r="T1210" s="11"/>
      <c r="AS1210" s="31">
        <f t="shared" si="836"/>
        <v>0</v>
      </c>
      <c r="AT1210" s="31">
        <f t="shared" si="837"/>
        <v>0</v>
      </c>
      <c r="AU1210" s="31">
        <f t="shared" si="838"/>
        <v>0</v>
      </c>
      <c r="AV1210" s="31">
        <f t="shared" si="839"/>
        <v>0</v>
      </c>
      <c r="AW1210" s="31">
        <f t="shared" si="840"/>
        <v>0</v>
      </c>
      <c r="AX1210" s="31">
        <f t="shared" si="841"/>
        <v>0</v>
      </c>
      <c r="AY1210" s="31">
        <f t="shared" si="842"/>
        <v>0</v>
      </c>
      <c r="AZ1210" s="31">
        <f t="shared" si="843"/>
        <v>0</v>
      </c>
      <c r="BA1210" s="31">
        <f t="shared" si="844"/>
        <v>0</v>
      </c>
      <c r="BB1210" s="31">
        <f t="shared" si="873"/>
        <v>0</v>
      </c>
      <c r="BM1210" s="8">
        <f t="shared" si="874"/>
        <v>0</v>
      </c>
      <c r="BN1210" s="8">
        <f t="shared" si="845"/>
        <v>0</v>
      </c>
      <c r="BO1210" s="8">
        <f t="shared" si="846"/>
        <v>0</v>
      </c>
      <c r="BQ1210" s="8">
        <f t="shared" si="847"/>
        <v>0</v>
      </c>
      <c r="BR1210" s="63">
        <f t="shared" si="848"/>
        <v>0</v>
      </c>
      <c r="BS1210" s="63">
        <f t="shared" si="875"/>
        <v>0</v>
      </c>
      <c r="BT1210" s="63">
        <f t="shared" si="849"/>
        <v>0</v>
      </c>
      <c r="BU1210" s="63">
        <f t="shared" si="850"/>
        <v>0</v>
      </c>
      <c r="BV1210" s="57">
        <f t="shared" si="851"/>
        <v>0</v>
      </c>
      <c r="BW1210" s="57">
        <f t="shared" si="852"/>
        <v>0</v>
      </c>
      <c r="BX1210" s="57">
        <f t="shared" si="876"/>
        <v>0</v>
      </c>
      <c r="BY1210" s="57">
        <f t="shared" si="880"/>
        <v>0</v>
      </c>
      <c r="BZ1210" s="8">
        <f t="shared" si="853"/>
        <v>0</v>
      </c>
      <c r="CA1210" s="8">
        <f t="shared" si="854"/>
        <v>0</v>
      </c>
      <c r="CB1210" s="8">
        <f t="shared" si="855"/>
        <v>0</v>
      </c>
      <c r="CC1210" s="8">
        <f t="shared" si="856"/>
        <v>0</v>
      </c>
      <c r="CD1210" s="8">
        <f t="shared" si="857"/>
        <v>0</v>
      </c>
      <c r="CE1210" s="8">
        <f t="shared" si="858"/>
        <v>0</v>
      </c>
      <c r="CF1210" s="8">
        <f t="shared" si="859"/>
        <v>0</v>
      </c>
      <c r="CG1210" s="8">
        <f t="shared" si="860"/>
        <v>0</v>
      </c>
      <c r="CH1210" s="8">
        <f t="shared" si="861"/>
        <v>0</v>
      </c>
      <c r="CI1210" s="8">
        <f t="shared" si="862"/>
        <v>0</v>
      </c>
      <c r="CJ1210" s="8">
        <f t="shared" si="863"/>
        <v>0</v>
      </c>
      <c r="CK1210" s="8">
        <f t="shared" si="864"/>
        <v>0</v>
      </c>
      <c r="CL1210" s="8">
        <f t="shared" si="865"/>
        <v>0</v>
      </c>
      <c r="CM1210" s="8">
        <f t="shared" si="866"/>
        <v>0</v>
      </c>
      <c r="CN1210" s="8">
        <f t="shared" si="867"/>
        <v>0</v>
      </c>
      <c r="CO1210" s="8">
        <f t="shared" si="868"/>
        <v>0</v>
      </c>
      <c r="CP1210" s="8">
        <f t="shared" si="869"/>
        <v>0</v>
      </c>
      <c r="CQ1210" s="8">
        <f t="shared" si="870"/>
        <v>0</v>
      </c>
      <c r="CR1210" s="8">
        <f t="shared" si="871"/>
        <v>0</v>
      </c>
      <c r="CS1210" s="8">
        <f t="shared" si="872"/>
        <v>0</v>
      </c>
      <c r="CT1210" s="8">
        <f t="shared" si="877"/>
        <v>0</v>
      </c>
      <c r="CU1210" s="8">
        <f t="shared" si="878"/>
        <v>0</v>
      </c>
      <c r="CV1210" s="8">
        <f t="shared" si="879"/>
        <v>0</v>
      </c>
    </row>
    <row r="1211" spans="1:100" ht="20.5" thickTop="1" thickBot="1" x14ac:dyDescent="0.5">
      <c r="A1211" s="32"/>
      <c r="B1211" s="10"/>
      <c r="C1211" s="10"/>
      <c r="D1211" s="11"/>
      <c r="E1211" s="10"/>
      <c r="F1211" s="10"/>
      <c r="G1211" s="19"/>
      <c r="H1211" s="19"/>
      <c r="I1211" s="19"/>
      <c r="J1211" s="19"/>
      <c r="K1211" s="10"/>
      <c r="L1211" s="10"/>
      <c r="M1211" s="10"/>
      <c r="N1211" s="10"/>
      <c r="O1211" s="18"/>
      <c r="P1211" s="18"/>
      <c r="Q1211" s="21"/>
      <c r="R1211" s="20"/>
      <c r="S1211" s="16">
        <f t="shared" si="835"/>
        <v>0</v>
      </c>
      <c r="T1211" s="11"/>
      <c r="AS1211" s="31">
        <f t="shared" si="836"/>
        <v>0</v>
      </c>
      <c r="AT1211" s="31">
        <f t="shared" si="837"/>
        <v>0</v>
      </c>
      <c r="AU1211" s="31">
        <f t="shared" si="838"/>
        <v>0</v>
      </c>
      <c r="AV1211" s="31">
        <f t="shared" si="839"/>
        <v>0</v>
      </c>
      <c r="AW1211" s="31">
        <f t="shared" si="840"/>
        <v>0</v>
      </c>
      <c r="AX1211" s="31">
        <f t="shared" si="841"/>
        <v>0</v>
      </c>
      <c r="AY1211" s="31">
        <f t="shared" si="842"/>
        <v>0</v>
      </c>
      <c r="AZ1211" s="31">
        <f t="shared" si="843"/>
        <v>0</v>
      </c>
      <c r="BA1211" s="31">
        <f t="shared" si="844"/>
        <v>0</v>
      </c>
      <c r="BB1211" s="31">
        <f t="shared" si="873"/>
        <v>0</v>
      </c>
      <c r="BM1211" s="8">
        <f t="shared" si="874"/>
        <v>0</v>
      </c>
      <c r="BN1211" s="8">
        <f t="shared" si="845"/>
        <v>0</v>
      </c>
      <c r="BO1211" s="8">
        <f t="shared" si="846"/>
        <v>0</v>
      </c>
      <c r="BQ1211" s="8">
        <f t="shared" si="847"/>
        <v>0</v>
      </c>
      <c r="BR1211" s="63">
        <f t="shared" si="848"/>
        <v>0</v>
      </c>
      <c r="BS1211" s="63">
        <f t="shared" si="875"/>
        <v>0</v>
      </c>
      <c r="BT1211" s="63">
        <f t="shared" si="849"/>
        <v>0</v>
      </c>
      <c r="BU1211" s="63">
        <f t="shared" si="850"/>
        <v>0</v>
      </c>
      <c r="BV1211" s="57">
        <f t="shared" si="851"/>
        <v>0</v>
      </c>
      <c r="BW1211" s="57">
        <f t="shared" si="852"/>
        <v>0</v>
      </c>
      <c r="BX1211" s="57">
        <f t="shared" si="876"/>
        <v>0</v>
      </c>
      <c r="BY1211" s="57">
        <f t="shared" si="880"/>
        <v>0</v>
      </c>
      <c r="BZ1211" s="8">
        <f t="shared" si="853"/>
        <v>0</v>
      </c>
      <c r="CA1211" s="8">
        <f t="shared" si="854"/>
        <v>0</v>
      </c>
      <c r="CB1211" s="8">
        <f t="shared" si="855"/>
        <v>0</v>
      </c>
      <c r="CC1211" s="8">
        <f t="shared" si="856"/>
        <v>0</v>
      </c>
      <c r="CD1211" s="8">
        <f t="shared" si="857"/>
        <v>0</v>
      </c>
      <c r="CE1211" s="8">
        <f t="shared" si="858"/>
        <v>0</v>
      </c>
      <c r="CF1211" s="8">
        <f t="shared" si="859"/>
        <v>0</v>
      </c>
      <c r="CG1211" s="8">
        <f t="shared" si="860"/>
        <v>0</v>
      </c>
      <c r="CH1211" s="8">
        <f t="shared" si="861"/>
        <v>0</v>
      </c>
      <c r="CI1211" s="8">
        <f t="shared" si="862"/>
        <v>0</v>
      </c>
      <c r="CJ1211" s="8">
        <f t="shared" si="863"/>
        <v>0</v>
      </c>
      <c r="CK1211" s="8">
        <f t="shared" si="864"/>
        <v>0</v>
      </c>
      <c r="CL1211" s="8">
        <f t="shared" si="865"/>
        <v>0</v>
      </c>
      <c r="CM1211" s="8">
        <f t="shared" si="866"/>
        <v>0</v>
      </c>
      <c r="CN1211" s="8">
        <f t="shared" si="867"/>
        <v>0</v>
      </c>
      <c r="CO1211" s="8">
        <f t="shared" si="868"/>
        <v>0</v>
      </c>
      <c r="CP1211" s="8">
        <f t="shared" si="869"/>
        <v>0</v>
      </c>
      <c r="CQ1211" s="8">
        <f t="shared" si="870"/>
        <v>0</v>
      </c>
      <c r="CR1211" s="8">
        <f t="shared" si="871"/>
        <v>0</v>
      </c>
      <c r="CS1211" s="8">
        <f t="shared" si="872"/>
        <v>0</v>
      </c>
      <c r="CT1211" s="8">
        <f t="shared" si="877"/>
        <v>0</v>
      </c>
      <c r="CU1211" s="8">
        <f t="shared" si="878"/>
        <v>0</v>
      </c>
      <c r="CV1211" s="8">
        <f t="shared" si="879"/>
        <v>0</v>
      </c>
    </row>
    <row r="1212" spans="1:100" ht="20.5" thickTop="1" thickBot="1" x14ac:dyDescent="0.5">
      <c r="A1212" s="32"/>
      <c r="B1212" s="10"/>
      <c r="C1212" s="10"/>
      <c r="D1212" s="11"/>
      <c r="E1212" s="10"/>
      <c r="F1212" s="10"/>
      <c r="G1212" s="19"/>
      <c r="H1212" s="19"/>
      <c r="I1212" s="19"/>
      <c r="J1212" s="19"/>
      <c r="K1212" s="10"/>
      <c r="L1212" s="10"/>
      <c r="M1212" s="10"/>
      <c r="N1212" s="10"/>
      <c r="O1212" s="18"/>
      <c r="P1212" s="18"/>
      <c r="Q1212" s="21"/>
      <c r="R1212" s="20"/>
      <c r="S1212" s="16">
        <f t="shared" si="835"/>
        <v>0</v>
      </c>
      <c r="T1212" s="11"/>
      <c r="AS1212" s="31">
        <f t="shared" si="836"/>
        <v>0</v>
      </c>
      <c r="AT1212" s="31">
        <f t="shared" si="837"/>
        <v>0</v>
      </c>
      <c r="AU1212" s="31">
        <f t="shared" si="838"/>
        <v>0</v>
      </c>
      <c r="AV1212" s="31">
        <f t="shared" si="839"/>
        <v>0</v>
      </c>
      <c r="AW1212" s="31">
        <f t="shared" si="840"/>
        <v>0</v>
      </c>
      <c r="AX1212" s="31">
        <f t="shared" si="841"/>
        <v>0</v>
      </c>
      <c r="AY1212" s="31">
        <f t="shared" si="842"/>
        <v>0</v>
      </c>
      <c r="AZ1212" s="31">
        <f t="shared" si="843"/>
        <v>0</v>
      </c>
      <c r="BA1212" s="31">
        <f t="shared" si="844"/>
        <v>0</v>
      </c>
      <c r="BB1212" s="31">
        <f t="shared" si="873"/>
        <v>0</v>
      </c>
      <c r="BM1212" s="8">
        <f t="shared" si="874"/>
        <v>0</v>
      </c>
      <c r="BN1212" s="8">
        <f t="shared" si="845"/>
        <v>0</v>
      </c>
      <c r="BO1212" s="8">
        <f t="shared" si="846"/>
        <v>0</v>
      </c>
      <c r="BQ1212" s="8">
        <f t="shared" si="847"/>
        <v>0</v>
      </c>
      <c r="BR1212" s="63">
        <f t="shared" si="848"/>
        <v>0</v>
      </c>
      <c r="BS1212" s="63">
        <f t="shared" si="875"/>
        <v>0</v>
      </c>
      <c r="BT1212" s="63">
        <f t="shared" si="849"/>
        <v>0</v>
      </c>
      <c r="BU1212" s="63">
        <f t="shared" si="850"/>
        <v>0</v>
      </c>
      <c r="BV1212" s="57">
        <f t="shared" si="851"/>
        <v>0</v>
      </c>
      <c r="BW1212" s="57">
        <f t="shared" si="852"/>
        <v>0</v>
      </c>
      <c r="BX1212" s="57">
        <f t="shared" si="876"/>
        <v>0</v>
      </c>
      <c r="BY1212" s="57">
        <f t="shared" si="880"/>
        <v>0</v>
      </c>
      <c r="BZ1212" s="8">
        <f t="shared" si="853"/>
        <v>0</v>
      </c>
      <c r="CA1212" s="8">
        <f t="shared" si="854"/>
        <v>0</v>
      </c>
      <c r="CB1212" s="8">
        <f t="shared" si="855"/>
        <v>0</v>
      </c>
      <c r="CC1212" s="8">
        <f t="shared" si="856"/>
        <v>0</v>
      </c>
      <c r="CD1212" s="8">
        <f t="shared" si="857"/>
        <v>0</v>
      </c>
      <c r="CE1212" s="8">
        <f t="shared" si="858"/>
        <v>0</v>
      </c>
      <c r="CF1212" s="8">
        <f t="shared" si="859"/>
        <v>0</v>
      </c>
      <c r="CG1212" s="8">
        <f t="shared" si="860"/>
        <v>0</v>
      </c>
      <c r="CH1212" s="8">
        <f t="shared" si="861"/>
        <v>0</v>
      </c>
      <c r="CI1212" s="8">
        <f t="shared" si="862"/>
        <v>0</v>
      </c>
      <c r="CJ1212" s="8">
        <f t="shared" si="863"/>
        <v>0</v>
      </c>
      <c r="CK1212" s="8">
        <f t="shared" si="864"/>
        <v>0</v>
      </c>
      <c r="CL1212" s="8">
        <f t="shared" si="865"/>
        <v>0</v>
      </c>
      <c r="CM1212" s="8">
        <f t="shared" si="866"/>
        <v>0</v>
      </c>
      <c r="CN1212" s="8">
        <f t="shared" si="867"/>
        <v>0</v>
      </c>
      <c r="CO1212" s="8">
        <f t="shared" si="868"/>
        <v>0</v>
      </c>
      <c r="CP1212" s="8">
        <f t="shared" si="869"/>
        <v>0</v>
      </c>
      <c r="CQ1212" s="8">
        <f t="shared" si="870"/>
        <v>0</v>
      </c>
      <c r="CR1212" s="8">
        <f t="shared" si="871"/>
        <v>0</v>
      </c>
      <c r="CS1212" s="8">
        <f t="shared" si="872"/>
        <v>0</v>
      </c>
      <c r="CT1212" s="8">
        <f t="shared" si="877"/>
        <v>0</v>
      </c>
      <c r="CU1212" s="8">
        <f t="shared" si="878"/>
        <v>0</v>
      </c>
      <c r="CV1212" s="8">
        <f t="shared" si="879"/>
        <v>0</v>
      </c>
    </row>
    <row r="1213" spans="1:100" ht="20.5" thickTop="1" thickBot="1" x14ac:dyDescent="0.5">
      <c r="A1213" s="32"/>
      <c r="B1213" s="10"/>
      <c r="C1213" s="10"/>
      <c r="D1213" s="11"/>
      <c r="E1213" s="10"/>
      <c r="F1213" s="10"/>
      <c r="G1213" s="19"/>
      <c r="H1213" s="19"/>
      <c r="I1213" s="19"/>
      <c r="J1213" s="19"/>
      <c r="K1213" s="10"/>
      <c r="L1213" s="10"/>
      <c r="M1213" s="10"/>
      <c r="N1213" s="10"/>
      <c r="O1213" s="18"/>
      <c r="P1213" s="18"/>
      <c r="Q1213" s="21"/>
      <c r="R1213" s="20"/>
      <c r="S1213" s="16">
        <f t="shared" si="835"/>
        <v>0</v>
      </c>
      <c r="T1213" s="11"/>
      <c r="AS1213" s="31">
        <f t="shared" si="836"/>
        <v>0</v>
      </c>
      <c r="AT1213" s="31">
        <f t="shared" si="837"/>
        <v>0</v>
      </c>
      <c r="AU1213" s="31">
        <f t="shared" si="838"/>
        <v>0</v>
      </c>
      <c r="AV1213" s="31">
        <f t="shared" si="839"/>
        <v>0</v>
      </c>
      <c r="AW1213" s="31">
        <f t="shared" si="840"/>
        <v>0</v>
      </c>
      <c r="AX1213" s="31">
        <f t="shared" si="841"/>
        <v>0</v>
      </c>
      <c r="AY1213" s="31">
        <f t="shared" si="842"/>
        <v>0</v>
      </c>
      <c r="AZ1213" s="31">
        <f t="shared" si="843"/>
        <v>0</v>
      </c>
      <c r="BA1213" s="31">
        <f t="shared" si="844"/>
        <v>0</v>
      </c>
      <c r="BB1213" s="31">
        <f t="shared" si="873"/>
        <v>0</v>
      </c>
      <c r="BM1213" s="8">
        <f t="shared" si="874"/>
        <v>0</v>
      </c>
      <c r="BN1213" s="8">
        <f t="shared" si="845"/>
        <v>0</v>
      </c>
      <c r="BO1213" s="8">
        <f t="shared" si="846"/>
        <v>0</v>
      </c>
      <c r="BQ1213" s="8">
        <f t="shared" si="847"/>
        <v>0</v>
      </c>
      <c r="BR1213" s="63">
        <f t="shared" si="848"/>
        <v>0</v>
      </c>
      <c r="BS1213" s="63">
        <f t="shared" si="875"/>
        <v>0</v>
      </c>
      <c r="BT1213" s="63">
        <f t="shared" si="849"/>
        <v>0</v>
      </c>
      <c r="BU1213" s="63">
        <f t="shared" si="850"/>
        <v>0</v>
      </c>
      <c r="BV1213" s="57">
        <f t="shared" si="851"/>
        <v>0</v>
      </c>
      <c r="BW1213" s="57">
        <f t="shared" si="852"/>
        <v>0</v>
      </c>
      <c r="BX1213" s="57">
        <f t="shared" si="876"/>
        <v>0</v>
      </c>
      <c r="BY1213" s="57">
        <f t="shared" si="880"/>
        <v>0</v>
      </c>
      <c r="BZ1213" s="8">
        <f t="shared" si="853"/>
        <v>0</v>
      </c>
      <c r="CA1213" s="8">
        <f t="shared" si="854"/>
        <v>0</v>
      </c>
      <c r="CB1213" s="8">
        <f t="shared" si="855"/>
        <v>0</v>
      </c>
      <c r="CC1213" s="8">
        <f t="shared" si="856"/>
        <v>0</v>
      </c>
      <c r="CD1213" s="8">
        <f t="shared" si="857"/>
        <v>0</v>
      </c>
      <c r="CE1213" s="8">
        <f t="shared" si="858"/>
        <v>0</v>
      </c>
      <c r="CF1213" s="8">
        <f t="shared" si="859"/>
        <v>0</v>
      </c>
      <c r="CG1213" s="8">
        <f t="shared" si="860"/>
        <v>0</v>
      </c>
      <c r="CH1213" s="8">
        <f t="shared" si="861"/>
        <v>0</v>
      </c>
      <c r="CI1213" s="8">
        <f t="shared" si="862"/>
        <v>0</v>
      </c>
      <c r="CJ1213" s="8">
        <f t="shared" si="863"/>
        <v>0</v>
      </c>
      <c r="CK1213" s="8">
        <f t="shared" si="864"/>
        <v>0</v>
      </c>
      <c r="CL1213" s="8">
        <f t="shared" si="865"/>
        <v>0</v>
      </c>
      <c r="CM1213" s="8">
        <f t="shared" si="866"/>
        <v>0</v>
      </c>
      <c r="CN1213" s="8">
        <f t="shared" si="867"/>
        <v>0</v>
      </c>
      <c r="CO1213" s="8">
        <f t="shared" si="868"/>
        <v>0</v>
      </c>
      <c r="CP1213" s="8">
        <f t="shared" si="869"/>
        <v>0</v>
      </c>
      <c r="CQ1213" s="8">
        <f t="shared" si="870"/>
        <v>0</v>
      </c>
      <c r="CR1213" s="8">
        <f t="shared" si="871"/>
        <v>0</v>
      </c>
      <c r="CS1213" s="8">
        <f t="shared" si="872"/>
        <v>0</v>
      </c>
      <c r="CT1213" s="8">
        <f t="shared" si="877"/>
        <v>0</v>
      </c>
      <c r="CU1213" s="8">
        <f t="shared" si="878"/>
        <v>0</v>
      </c>
      <c r="CV1213" s="8">
        <f t="shared" si="879"/>
        <v>0</v>
      </c>
    </row>
    <row r="1214" spans="1:100" ht="20.5" thickTop="1" thickBot="1" x14ac:dyDescent="0.5">
      <c r="A1214" s="32"/>
      <c r="B1214" s="10"/>
      <c r="C1214" s="10"/>
      <c r="D1214" s="11"/>
      <c r="E1214" s="10"/>
      <c r="F1214" s="10"/>
      <c r="G1214" s="19"/>
      <c r="H1214" s="19"/>
      <c r="I1214" s="19"/>
      <c r="J1214" s="19"/>
      <c r="K1214" s="10"/>
      <c r="L1214" s="10"/>
      <c r="M1214" s="10"/>
      <c r="N1214" s="10"/>
      <c r="O1214" s="18"/>
      <c r="P1214" s="18"/>
      <c r="Q1214" s="21"/>
      <c r="R1214" s="20"/>
      <c r="S1214" s="16">
        <f t="shared" si="835"/>
        <v>0</v>
      </c>
      <c r="T1214" s="11"/>
      <c r="AS1214" s="31">
        <f t="shared" si="836"/>
        <v>0</v>
      </c>
      <c r="AT1214" s="31">
        <f t="shared" si="837"/>
        <v>0</v>
      </c>
      <c r="AU1214" s="31">
        <f t="shared" si="838"/>
        <v>0</v>
      </c>
      <c r="AV1214" s="31">
        <f t="shared" si="839"/>
        <v>0</v>
      </c>
      <c r="AW1214" s="31">
        <f t="shared" si="840"/>
        <v>0</v>
      </c>
      <c r="AX1214" s="31">
        <f t="shared" si="841"/>
        <v>0</v>
      </c>
      <c r="AY1214" s="31">
        <f t="shared" si="842"/>
        <v>0</v>
      </c>
      <c r="AZ1214" s="31">
        <f t="shared" si="843"/>
        <v>0</v>
      </c>
      <c r="BA1214" s="31">
        <f t="shared" si="844"/>
        <v>0</v>
      </c>
      <c r="BB1214" s="31">
        <f t="shared" si="873"/>
        <v>0</v>
      </c>
      <c r="BM1214" s="8">
        <f t="shared" si="874"/>
        <v>0</v>
      </c>
      <c r="BN1214" s="8">
        <f t="shared" si="845"/>
        <v>0</v>
      </c>
      <c r="BO1214" s="8">
        <f t="shared" si="846"/>
        <v>0</v>
      </c>
      <c r="BQ1214" s="8">
        <f t="shared" si="847"/>
        <v>0</v>
      </c>
      <c r="BR1214" s="63">
        <f t="shared" si="848"/>
        <v>0</v>
      </c>
      <c r="BS1214" s="63">
        <f t="shared" si="875"/>
        <v>0</v>
      </c>
      <c r="BT1214" s="63">
        <f t="shared" si="849"/>
        <v>0</v>
      </c>
      <c r="BU1214" s="63">
        <f t="shared" si="850"/>
        <v>0</v>
      </c>
      <c r="BV1214" s="57">
        <f t="shared" si="851"/>
        <v>0</v>
      </c>
      <c r="BW1214" s="57">
        <f t="shared" si="852"/>
        <v>0</v>
      </c>
      <c r="BX1214" s="57">
        <f t="shared" si="876"/>
        <v>0</v>
      </c>
      <c r="BY1214" s="57">
        <f t="shared" si="880"/>
        <v>0</v>
      </c>
      <c r="BZ1214" s="8">
        <f t="shared" si="853"/>
        <v>0</v>
      </c>
      <c r="CA1214" s="8">
        <f t="shared" si="854"/>
        <v>0</v>
      </c>
      <c r="CB1214" s="8">
        <f t="shared" si="855"/>
        <v>0</v>
      </c>
      <c r="CC1214" s="8">
        <f t="shared" si="856"/>
        <v>0</v>
      </c>
      <c r="CD1214" s="8">
        <f t="shared" si="857"/>
        <v>0</v>
      </c>
      <c r="CE1214" s="8">
        <f t="shared" si="858"/>
        <v>0</v>
      </c>
      <c r="CF1214" s="8">
        <f t="shared" si="859"/>
        <v>0</v>
      </c>
      <c r="CG1214" s="8">
        <f t="shared" si="860"/>
        <v>0</v>
      </c>
      <c r="CH1214" s="8">
        <f t="shared" si="861"/>
        <v>0</v>
      </c>
      <c r="CI1214" s="8">
        <f t="shared" si="862"/>
        <v>0</v>
      </c>
      <c r="CJ1214" s="8">
        <f t="shared" si="863"/>
        <v>0</v>
      </c>
      <c r="CK1214" s="8">
        <f t="shared" si="864"/>
        <v>0</v>
      </c>
      <c r="CL1214" s="8">
        <f t="shared" si="865"/>
        <v>0</v>
      </c>
      <c r="CM1214" s="8">
        <f t="shared" si="866"/>
        <v>0</v>
      </c>
      <c r="CN1214" s="8">
        <f t="shared" si="867"/>
        <v>0</v>
      </c>
      <c r="CO1214" s="8">
        <f t="shared" si="868"/>
        <v>0</v>
      </c>
      <c r="CP1214" s="8">
        <f t="shared" si="869"/>
        <v>0</v>
      </c>
      <c r="CQ1214" s="8">
        <f t="shared" si="870"/>
        <v>0</v>
      </c>
      <c r="CR1214" s="8">
        <f t="shared" si="871"/>
        <v>0</v>
      </c>
      <c r="CS1214" s="8">
        <f t="shared" si="872"/>
        <v>0</v>
      </c>
      <c r="CT1214" s="8">
        <f t="shared" si="877"/>
        <v>0</v>
      </c>
      <c r="CU1214" s="8">
        <f t="shared" si="878"/>
        <v>0</v>
      </c>
      <c r="CV1214" s="8">
        <f t="shared" si="879"/>
        <v>0</v>
      </c>
    </row>
    <row r="1215" spans="1:100" ht="20.5" thickTop="1" thickBot="1" x14ac:dyDescent="0.5">
      <c r="A1215" s="32"/>
      <c r="B1215" s="10"/>
      <c r="C1215" s="10"/>
      <c r="D1215" s="11"/>
      <c r="E1215" s="10"/>
      <c r="F1215" s="10"/>
      <c r="G1215" s="19"/>
      <c r="H1215" s="19"/>
      <c r="I1215" s="19"/>
      <c r="J1215" s="19"/>
      <c r="K1215" s="10"/>
      <c r="L1215" s="10"/>
      <c r="M1215" s="10"/>
      <c r="N1215" s="10"/>
      <c r="O1215" s="18"/>
      <c r="P1215" s="18"/>
      <c r="Q1215" s="21"/>
      <c r="R1215" s="20"/>
      <c r="S1215" s="16">
        <f t="shared" si="835"/>
        <v>0</v>
      </c>
      <c r="T1215" s="11"/>
      <c r="AS1215" s="31">
        <f t="shared" si="836"/>
        <v>0</v>
      </c>
      <c r="AT1215" s="31">
        <f t="shared" si="837"/>
        <v>0</v>
      </c>
      <c r="AU1215" s="31">
        <f t="shared" si="838"/>
        <v>0</v>
      </c>
      <c r="AV1215" s="31">
        <f t="shared" si="839"/>
        <v>0</v>
      </c>
      <c r="AW1215" s="31">
        <f t="shared" si="840"/>
        <v>0</v>
      </c>
      <c r="AX1215" s="31">
        <f t="shared" si="841"/>
        <v>0</v>
      </c>
      <c r="AY1215" s="31">
        <f t="shared" si="842"/>
        <v>0</v>
      </c>
      <c r="AZ1215" s="31">
        <f t="shared" si="843"/>
        <v>0</v>
      </c>
      <c r="BA1215" s="31">
        <f t="shared" si="844"/>
        <v>0</v>
      </c>
      <c r="BB1215" s="31">
        <f t="shared" si="873"/>
        <v>0</v>
      </c>
      <c r="BM1215" s="8">
        <f t="shared" si="874"/>
        <v>0</v>
      </c>
      <c r="BN1215" s="8">
        <f t="shared" si="845"/>
        <v>0</v>
      </c>
      <c r="BO1215" s="8">
        <f t="shared" si="846"/>
        <v>0</v>
      </c>
      <c r="BQ1215" s="8">
        <f t="shared" si="847"/>
        <v>0</v>
      </c>
      <c r="BR1215" s="63">
        <f t="shared" si="848"/>
        <v>0</v>
      </c>
      <c r="BS1215" s="63">
        <f t="shared" si="875"/>
        <v>0</v>
      </c>
      <c r="BT1215" s="63">
        <f t="shared" si="849"/>
        <v>0</v>
      </c>
      <c r="BU1215" s="63">
        <f t="shared" si="850"/>
        <v>0</v>
      </c>
      <c r="BV1215" s="57">
        <f t="shared" si="851"/>
        <v>0</v>
      </c>
      <c r="BW1215" s="57">
        <f t="shared" si="852"/>
        <v>0</v>
      </c>
      <c r="BX1215" s="57">
        <f t="shared" si="876"/>
        <v>0</v>
      </c>
      <c r="BY1215" s="57">
        <f t="shared" si="880"/>
        <v>0</v>
      </c>
      <c r="BZ1215" s="8">
        <f t="shared" si="853"/>
        <v>0</v>
      </c>
      <c r="CA1215" s="8">
        <f t="shared" si="854"/>
        <v>0</v>
      </c>
      <c r="CB1215" s="8">
        <f t="shared" si="855"/>
        <v>0</v>
      </c>
      <c r="CC1215" s="8">
        <f t="shared" si="856"/>
        <v>0</v>
      </c>
      <c r="CD1215" s="8">
        <f t="shared" si="857"/>
        <v>0</v>
      </c>
      <c r="CE1215" s="8">
        <f t="shared" si="858"/>
        <v>0</v>
      </c>
      <c r="CF1215" s="8">
        <f t="shared" si="859"/>
        <v>0</v>
      </c>
      <c r="CG1215" s="8">
        <f t="shared" si="860"/>
        <v>0</v>
      </c>
      <c r="CH1215" s="8">
        <f t="shared" si="861"/>
        <v>0</v>
      </c>
      <c r="CI1215" s="8">
        <f t="shared" si="862"/>
        <v>0</v>
      </c>
      <c r="CJ1215" s="8">
        <f t="shared" si="863"/>
        <v>0</v>
      </c>
      <c r="CK1215" s="8">
        <f t="shared" si="864"/>
        <v>0</v>
      </c>
      <c r="CL1215" s="8">
        <f t="shared" si="865"/>
        <v>0</v>
      </c>
      <c r="CM1215" s="8">
        <f t="shared" si="866"/>
        <v>0</v>
      </c>
      <c r="CN1215" s="8">
        <f t="shared" si="867"/>
        <v>0</v>
      </c>
      <c r="CO1215" s="8">
        <f t="shared" si="868"/>
        <v>0</v>
      </c>
      <c r="CP1215" s="8">
        <f t="shared" si="869"/>
        <v>0</v>
      </c>
      <c r="CQ1215" s="8">
        <f t="shared" si="870"/>
        <v>0</v>
      </c>
      <c r="CR1215" s="8">
        <f t="shared" si="871"/>
        <v>0</v>
      </c>
      <c r="CS1215" s="8">
        <f t="shared" si="872"/>
        <v>0</v>
      </c>
      <c r="CT1215" s="8">
        <f t="shared" si="877"/>
        <v>0</v>
      </c>
      <c r="CU1215" s="8">
        <f t="shared" si="878"/>
        <v>0</v>
      </c>
      <c r="CV1215" s="8">
        <f t="shared" si="879"/>
        <v>0</v>
      </c>
    </row>
    <row r="1216" spans="1:100" ht="20.5" thickTop="1" thickBot="1" x14ac:dyDescent="0.5">
      <c r="A1216" s="32"/>
      <c r="B1216" s="10"/>
      <c r="C1216" s="10"/>
      <c r="D1216" s="11"/>
      <c r="E1216" s="10"/>
      <c r="F1216" s="10"/>
      <c r="G1216" s="19"/>
      <c r="H1216" s="19"/>
      <c r="I1216" s="19"/>
      <c r="J1216" s="19"/>
      <c r="K1216" s="10"/>
      <c r="L1216" s="10"/>
      <c r="M1216" s="10"/>
      <c r="N1216" s="10"/>
      <c r="O1216" s="18"/>
      <c r="P1216" s="18"/>
      <c r="Q1216" s="21"/>
      <c r="R1216" s="20"/>
      <c r="S1216" s="16">
        <f t="shared" si="835"/>
        <v>0</v>
      </c>
      <c r="T1216" s="11"/>
      <c r="AS1216" s="31">
        <f t="shared" si="836"/>
        <v>0</v>
      </c>
      <c r="AT1216" s="31">
        <f t="shared" si="837"/>
        <v>0</v>
      </c>
      <c r="AU1216" s="31">
        <f t="shared" si="838"/>
        <v>0</v>
      </c>
      <c r="AV1216" s="31">
        <f t="shared" si="839"/>
        <v>0</v>
      </c>
      <c r="AW1216" s="31">
        <f t="shared" si="840"/>
        <v>0</v>
      </c>
      <c r="AX1216" s="31">
        <f t="shared" si="841"/>
        <v>0</v>
      </c>
      <c r="AY1216" s="31">
        <f t="shared" si="842"/>
        <v>0</v>
      </c>
      <c r="AZ1216" s="31">
        <f t="shared" si="843"/>
        <v>0</v>
      </c>
      <c r="BA1216" s="31">
        <f t="shared" si="844"/>
        <v>0</v>
      </c>
      <c r="BB1216" s="31">
        <f t="shared" si="873"/>
        <v>0</v>
      </c>
      <c r="BM1216" s="8">
        <f t="shared" si="874"/>
        <v>0</v>
      </c>
      <c r="BN1216" s="8">
        <f t="shared" si="845"/>
        <v>0</v>
      </c>
      <c r="BO1216" s="8">
        <f t="shared" si="846"/>
        <v>0</v>
      </c>
      <c r="BQ1216" s="8">
        <f t="shared" si="847"/>
        <v>0</v>
      </c>
      <c r="BR1216" s="63">
        <f t="shared" si="848"/>
        <v>0</v>
      </c>
      <c r="BS1216" s="63">
        <f t="shared" si="875"/>
        <v>0</v>
      </c>
      <c r="BT1216" s="63">
        <f t="shared" si="849"/>
        <v>0</v>
      </c>
      <c r="BU1216" s="63">
        <f t="shared" si="850"/>
        <v>0</v>
      </c>
      <c r="BV1216" s="57">
        <f t="shared" si="851"/>
        <v>0</v>
      </c>
      <c r="BW1216" s="57">
        <f t="shared" si="852"/>
        <v>0</v>
      </c>
      <c r="BX1216" s="57">
        <f t="shared" si="876"/>
        <v>0</v>
      </c>
      <c r="BY1216" s="57">
        <f t="shared" si="880"/>
        <v>0</v>
      </c>
      <c r="BZ1216" s="8">
        <f t="shared" si="853"/>
        <v>0</v>
      </c>
      <c r="CA1216" s="8">
        <f t="shared" si="854"/>
        <v>0</v>
      </c>
      <c r="CB1216" s="8">
        <f t="shared" si="855"/>
        <v>0</v>
      </c>
      <c r="CC1216" s="8">
        <f t="shared" si="856"/>
        <v>0</v>
      </c>
      <c r="CD1216" s="8">
        <f t="shared" si="857"/>
        <v>0</v>
      </c>
      <c r="CE1216" s="8">
        <f t="shared" si="858"/>
        <v>0</v>
      </c>
      <c r="CF1216" s="8">
        <f t="shared" si="859"/>
        <v>0</v>
      </c>
      <c r="CG1216" s="8">
        <f t="shared" si="860"/>
        <v>0</v>
      </c>
      <c r="CH1216" s="8">
        <f t="shared" si="861"/>
        <v>0</v>
      </c>
      <c r="CI1216" s="8">
        <f t="shared" si="862"/>
        <v>0</v>
      </c>
      <c r="CJ1216" s="8">
        <f t="shared" si="863"/>
        <v>0</v>
      </c>
      <c r="CK1216" s="8">
        <f t="shared" si="864"/>
        <v>0</v>
      </c>
      <c r="CL1216" s="8">
        <f t="shared" si="865"/>
        <v>0</v>
      </c>
      <c r="CM1216" s="8">
        <f t="shared" si="866"/>
        <v>0</v>
      </c>
      <c r="CN1216" s="8">
        <f t="shared" si="867"/>
        <v>0</v>
      </c>
      <c r="CO1216" s="8">
        <f t="shared" si="868"/>
        <v>0</v>
      </c>
      <c r="CP1216" s="8">
        <f t="shared" si="869"/>
        <v>0</v>
      </c>
      <c r="CQ1216" s="8">
        <f t="shared" si="870"/>
        <v>0</v>
      </c>
      <c r="CR1216" s="8">
        <f t="shared" si="871"/>
        <v>0</v>
      </c>
      <c r="CS1216" s="8">
        <f t="shared" si="872"/>
        <v>0</v>
      </c>
      <c r="CT1216" s="8">
        <f t="shared" si="877"/>
        <v>0</v>
      </c>
      <c r="CU1216" s="8">
        <f t="shared" si="878"/>
        <v>0</v>
      </c>
      <c r="CV1216" s="8">
        <f t="shared" si="879"/>
        <v>0</v>
      </c>
    </row>
    <row r="1217" spans="1:100" ht="20.5" thickTop="1" thickBot="1" x14ac:dyDescent="0.5">
      <c r="A1217" s="32"/>
      <c r="B1217" s="10"/>
      <c r="C1217" s="10"/>
      <c r="D1217" s="11"/>
      <c r="E1217" s="10"/>
      <c r="F1217" s="10"/>
      <c r="G1217" s="19"/>
      <c r="H1217" s="19"/>
      <c r="I1217" s="19"/>
      <c r="J1217" s="19"/>
      <c r="K1217" s="10"/>
      <c r="L1217" s="10"/>
      <c r="M1217" s="10"/>
      <c r="N1217" s="10"/>
      <c r="O1217" s="18"/>
      <c r="P1217" s="18"/>
      <c r="Q1217" s="21"/>
      <c r="R1217" s="20"/>
      <c r="S1217" s="16">
        <f t="shared" si="835"/>
        <v>0</v>
      </c>
      <c r="T1217" s="11"/>
      <c r="AS1217" s="31">
        <f t="shared" si="836"/>
        <v>0</v>
      </c>
      <c r="AT1217" s="31">
        <f t="shared" si="837"/>
        <v>0</v>
      </c>
      <c r="AU1217" s="31">
        <f t="shared" si="838"/>
        <v>0</v>
      </c>
      <c r="AV1217" s="31">
        <f t="shared" si="839"/>
        <v>0</v>
      </c>
      <c r="AW1217" s="31">
        <f t="shared" si="840"/>
        <v>0</v>
      </c>
      <c r="AX1217" s="31">
        <f t="shared" si="841"/>
        <v>0</v>
      </c>
      <c r="AY1217" s="31">
        <f t="shared" si="842"/>
        <v>0</v>
      </c>
      <c r="AZ1217" s="31">
        <f t="shared" si="843"/>
        <v>0</v>
      </c>
      <c r="BA1217" s="31">
        <f t="shared" si="844"/>
        <v>0</v>
      </c>
      <c r="BB1217" s="31">
        <f t="shared" si="873"/>
        <v>0</v>
      </c>
      <c r="BM1217" s="8">
        <f t="shared" si="874"/>
        <v>0</v>
      </c>
      <c r="BN1217" s="8">
        <f t="shared" si="845"/>
        <v>0</v>
      </c>
      <c r="BO1217" s="8">
        <f t="shared" si="846"/>
        <v>0</v>
      </c>
      <c r="BQ1217" s="8">
        <f t="shared" si="847"/>
        <v>0</v>
      </c>
      <c r="BR1217" s="63">
        <f t="shared" si="848"/>
        <v>0</v>
      </c>
      <c r="BS1217" s="63">
        <f t="shared" si="875"/>
        <v>0</v>
      </c>
      <c r="BT1217" s="63">
        <f t="shared" si="849"/>
        <v>0</v>
      </c>
      <c r="BU1217" s="63">
        <f t="shared" si="850"/>
        <v>0</v>
      </c>
      <c r="BV1217" s="57">
        <f t="shared" si="851"/>
        <v>0</v>
      </c>
      <c r="BW1217" s="57">
        <f t="shared" si="852"/>
        <v>0</v>
      </c>
      <c r="BX1217" s="57">
        <f t="shared" si="876"/>
        <v>0</v>
      </c>
      <c r="BY1217" s="57">
        <f t="shared" si="880"/>
        <v>0</v>
      </c>
      <c r="BZ1217" s="8">
        <f t="shared" si="853"/>
        <v>0</v>
      </c>
      <c r="CA1217" s="8">
        <f t="shared" si="854"/>
        <v>0</v>
      </c>
      <c r="CB1217" s="8">
        <f t="shared" si="855"/>
        <v>0</v>
      </c>
      <c r="CC1217" s="8">
        <f t="shared" si="856"/>
        <v>0</v>
      </c>
      <c r="CD1217" s="8">
        <f t="shared" si="857"/>
        <v>0</v>
      </c>
      <c r="CE1217" s="8">
        <f t="shared" si="858"/>
        <v>0</v>
      </c>
      <c r="CF1217" s="8">
        <f t="shared" si="859"/>
        <v>0</v>
      </c>
      <c r="CG1217" s="8">
        <f t="shared" si="860"/>
        <v>0</v>
      </c>
      <c r="CH1217" s="8">
        <f t="shared" si="861"/>
        <v>0</v>
      </c>
      <c r="CI1217" s="8">
        <f t="shared" si="862"/>
        <v>0</v>
      </c>
      <c r="CJ1217" s="8">
        <f t="shared" si="863"/>
        <v>0</v>
      </c>
      <c r="CK1217" s="8">
        <f t="shared" si="864"/>
        <v>0</v>
      </c>
      <c r="CL1217" s="8">
        <f t="shared" si="865"/>
        <v>0</v>
      </c>
      <c r="CM1217" s="8">
        <f t="shared" si="866"/>
        <v>0</v>
      </c>
      <c r="CN1217" s="8">
        <f t="shared" si="867"/>
        <v>0</v>
      </c>
      <c r="CO1217" s="8">
        <f t="shared" si="868"/>
        <v>0</v>
      </c>
      <c r="CP1217" s="8">
        <f t="shared" si="869"/>
        <v>0</v>
      </c>
      <c r="CQ1217" s="8">
        <f t="shared" si="870"/>
        <v>0</v>
      </c>
      <c r="CR1217" s="8">
        <f t="shared" si="871"/>
        <v>0</v>
      </c>
      <c r="CS1217" s="8">
        <f t="shared" si="872"/>
        <v>0</v>
      </c>
      <c r="CT1217" s="8">
        <f t="shared" si="877"/>
        <v>0</v>
      </c>
      <c r="CU1217" s="8">
        <f t="shared" si="878"/>
        <v>0</v>
      </c>
      <c r="CV1217" s="8">
        <f t="shared" si="879"/>
        <v>0</v>
      </c>
    </row>
    <row r="1218" spans="1:100" ht="20.5" thickTop="1" thickBot="1" x14ac:dyDescent="0.5">
      <c r="A1218" s="32"/>
      <c r="B1218" s="10"/>
      <c r="C1218" s="10"/>
      <c r="D1218" s="11"/>
      <c r="E1218" s="10"/>
      <c r="F1218" s="10"/>
      <c r="G1218" s="19"/>
      <c r="H1218" s="19"/>
      <c r="I1218" s="19"/>
      <c r="J1218" s="19"/>
      <c r="K1218" s="10"/>
      <c r="L1218" s="10"/>
      <c r="M1218" s="10"/>
      <c r="N1218" s="10"/>
      <c r="O1218" s="18"/>
      <c r="P1218" s="18"/>
      <c r="Q1218" s="21"/>
      <c r="R1218" s="20"/>
      <c r="S1218" s="16">
        <f t="shared" si="835"/>
        <v>0</v>
      </c>
      <c r="T1218" s="11"/>
      <c r="AS1218" s="31">
        <f t="shared" si="836"/>
        <v>0</v>
      </c>
      <c r="AT1218" s="31">
        <f t="shared" si="837"/>
        <v>0</v>
      </c>
      <c r="AU1218" s="31">
        <f t="shared" si="838"/>
        <v>0</v>
      </c>
      <c r="AV1218" s="31">
        <f t="shared" si="839"/>
        <v>0</v>
      </c>
      <c r="AW1218" s="31">
        <f t="shared" si="840"/>
        <v>0</v>
      </c>
      <c r="AX1218" s="31">
        <f t="shared" si="841"/>
        <v>0</v>
      </c>
      <c r="AY1218" s="31">
        <f t="shared" si="842"/>
        <v>0</v>
      </c>
      <c r="AZ1218" s="31">
        <f t="shared" si="843"/>
        <v>0</v>
      </c>
      <c r="BA1218" s="31">
        <f t="shared" si="844"/>
        <v>0</v>
      </c>
      <c r="BB1218" s="31">
        <f t="shared" si="873"/>
        <v>0</v>
      </c>
      <c r="BM1218" s="8">
        <f t="shared" si="874"/>
        <v>0</v>
      </c>
      <c r="BN1218" s="8">
        <f t="shared" si="845"/>
        <v>0</v>
      </c>
      <c r="BO1218" s="8">
        <f t="shared" si="846"/>
        <v>0</v>
      </c>
      <c r="BQ1218" s="8">
        <f t="shared" si="847"/>
        <v>0</v>
      </c>
      <c r="BR1218" s="63">
        <f t="shared" si="848"/>
        <v>0</v>
      </c>
      <c r="BS1218" s="63">
        <f t="shared" si="875"/>
        <v>0</v>
      </c>
      <c r="BT1218" s="63">
        <f t="shared" si="849"/>
        <v>0</v>
      </c>
      <c r="BU1218" s="63">
        <f t="shared" si="850"/>
        <v>0</v>
      </c>
      <c r="BV1218" s="57">
        <f t="shared" si="851"/>
        <v>0</v>
      </c>
      <c r="BW1218" s="57">
        <f t="shared" si="852"/>
        <v>0</v>
      </c>
      <c r="BX1218" s="57">
        <f t="shared" si="876"/>
        <v>0</v>
      </c>
      <c r="BY1218" s="57">
        <f t="shared" si="880"/>
        <v>0</v>
      </c>
      <c r="BZ1218" s="8">
        <f t="shared" si="853"/>
        <v>0</v>
      </c>
      <c r="CA1218" s="8">
        <f t="shared" si="854"/>
        <v>0</v>
      </c>
      <c r="CB1218" s="8">
        <f t="shared" si="855"/>
        <v>0</v>
      </c>
      <c r="CC1218" s="8">
        <f t="shared" si="856"/>
        <v>0</v>
      </c>
      <c r="CD1218" s="8">
        <f t="shared" si="857"/>
        <v>0</v>
      </c>
      <c r="CE1218" s="8">
        <f t="shared" si="858"/>
        <v>0</v>
      </c>
      <c r="CF1218" s="8">
        <f t="shared" si="859"/>
        <v>0</v>
      </c>
      <c r="CG1218" s="8">
        <f t="shared" si="860"/>
        <v>0</v>
      </c>
      <c r="CH1218" s="8">
        <f t="shared" si="861"/>
        <v>0</v>
      </c>
      <c r="CI1218" s="8">
        <f t="shared" si="862"/>
        <v>0</v>
      </c>
      <c r="CJ1218" s="8">
        <f t="shared" si="863"/>
        <v>0</v>
      </c>
      <c r="CK1218" s="8">
        <f t="shared" si="864"/>
        <v>0</v>
      </c>
      <c r="CL1218" s="8">
        <f t="shared" si="865"/>
        <v>0</v>
      </c>
      <c r="CM1218" s="8">
        <f t="shared" si="866"/>
        <v>0</v>
      </c>
      <c r="CN1218" s="8">
        <f t="shared" si="867"/>
        <v>0</v>
      </c>
      <c r="CO1218" s="8">
        <f t="shared" si="868"/>
        <v>0</v>
      </c>
      <c r="CP1218" s="8">
        <f t="shared" si="869"/>
        <v>0</v>
      </c>
      <c r="CQ1218" s="8">
        <f t="shared" si="870"/>
        <v>0</v>
      </c>
      <c r="CR1218" s="8">
        <f t="shared" si="871"/>
        <v>0</v>
      </c>
      <c r="CS1218" s="8">
        <f t="shared" si="872"/>
        <v>0</v>
      </c>
      <c r="CT1218" s="8">
        <f t="shared" si="877"/>
        <v>0</v>
      </c>
      <c r="CU1218" s="8">
        <f t="shared" si="878"/>
        <v>0</v>
      </c>
      <c r="CV1218" s="8">
        <f t="shared" si="879"/>
        <v>0</v>
      </c>
    </row>
    <row r="1219" spans="1:100" ht="20.5" thickTop="1" thickBot="1" x14ac:dyDescent="0.5">
      <c r="A1219" s="32"/>
      <c r="B1219" s="10"/>
      <c r="C1219" s="10"/>
      <c r="D1219" s="11"/>
      <c r="E1219" s="10"/>
      <c r="F1219" s="10"/>
      <c r="G1219" s="19"/>
      <c r="H1219" s="19"/>
      <c r="I1219" s="19"/>
      <c r="J1219" s="19"/>
      <c r="K1219" s="10"/>
      <c r="L1219" s="10"/>
      <c r="M1219" s="10"/>
      <c r="N1219" s="10"/>
      <c r="O1219" s="18"/>
      <c r="P1219" s="18"/>
      <c r="Q1219" s="21"/>
      <c r="R1219" s="20"/>
      <c r="S1219" s="16">
        <f t="shared" si="835"/>
        <v>0</v>
      </c>
      <c r="T1219" s="11"/>
      <c r="AS1219" s="31">
        <f t="shared" si="836"/>
        <v>0</v>
      </c>
      <c r="AT1219" s="31">
        <f t="shared" si="837"/>
        <v>0</v>
      </c>
      <c r="AU1219" s="31">
        <f t="shared" si="838"/>
        <v>0</v>
      </c>
      <c r="AV1219" s="31">
        <f t="shared" si="839"/>
        <v>0</v>
      </c>
      <c r="AW1219" s="31">
        <f t="shared" si="840"/>
        <v>0</v>
      </c>
      <c r="AX1219" s="31">
        <f t="shared" si="841"/>
        <v>0</v>
      </c>
      <c r="AY1219" s="31">
        <f t="shared" si="842"/>
        <v>0</v>
      </c>
      <c r="AZ1219" s="31">
        <f t="shared" si="843"/>
        <v>0</v>
      </c>
      <c r="BA1219" s="31">
        <f t="shared" si="844"/>
        <v>0</v>
      </c>
      <c r="BB1219" s="31">
        <f t="shared" si="873"/>
        <v>0</v>
      </c>
      <c r="BM1219" s="8">
        <f t="shared" si="874"/>
        <v>0</v>
      </c>
      <c r="BN1219" s="8">
        <f t="shared" si="845"/>
        <v>0</v>
      </c>
      <c r="BO1219" s="8">
        <f t="shared" si="846"/>
        <v>0</v>
      </c>
      <c r="BQ1219" s="8">
        <f t="shared" si="847"/>
        <v>0</v>
      </c>
      <c r="BR1219" s="63">
        <f t="shared" si="848"/>
        <v>0</v>
      </c>
      <c r="BS1219" s="63">
        <f t="shared" si="875"/>
        <v>0</v>
      </c>
      <c r="BT1219" s="63">
        <f t="shared" si="849"/>
        <v>0</v>
      </c>
      <c r="BU1219" s="63">
        <f t="shared" si="850"/>
        <v>0</v>
      </c>
      <c r="BV1219" s="57">
        <f t="shared" si="851"/>
        <v>0</v>
      </c>
      <c r="BW1219" s="57">
        <f t="shared" si="852"/>
        <v>0</v>
      </c>
      <c r="BX1219" s="57">
        <f t="shared" si="876"/>
        <v>0</v>
      </c>
      <c r="BY1219" s="57">
        <f t="shared" si="880"/>
        <v>0</v>
      </c>
      <c r="BZ1219" s="8">
        <f t="shared" si="853"/>
        <v>0</v>
      </c>
      <c r="CA1219" s="8">
        <f t="shared" si="854"/>
        <v>0</v>
      </c>
      <c r="CB1219" s="8">
        <f t="shared" si="855"/>
        <v>0</v>
      </c>
      <c r="CC1219" s="8">
        <f t="shared" si="856"/>
        <v>0</v>
      </c>
      <c r="CD1219" s="8">
        <f t="shared" si="857"/>
        <v>0</v>
      </c>
      <c r="CE1219" s="8">
        <f t="shared" si="858"/>
        <v>0</v>
      </c>
      <c r="CF1219" s="8">
        <f t="shared" si="859"/>
        <v>0</v>
      </c>
      <c r="CG1219" s="8">
        <f t="shared" si="860"/>
        <v>0</v>
      </c>
      <c r="CH1219" s="8">
        <f t="shared" si="861"/>
        <v>0</v>
      </c>
      <c r="CI1219" s="8">
        <f t="shared" si="862"/>
        <v>0</v>
      </c>
      <c r="CJ1219" s="8">
        <f t="shared" si="863"/>
        <v>0</v>
      </c>
      <c r="CK1219" s="8">
        <f t="shared" si="864"/>
        <v>0</v>
      </c>
      <c r="CL1219" s="8">
        <f t="shared" si="865"/>
        <v>0</v>
      </c>
      <c r="CM1219" s="8">
        <f t="shared" si="866"/>
        <v>0</v>
      </c>
      <c r="CN1219" s="8">
        <f t="shared" si="867"/>
        <v>0</v>
      </c>
      <c r="CO1219" s="8">
        <f t="shared" si="868"/>
        <v>0</v>
      </c>
      <c r="CP1219" s="8">
        <f t="shared" si="869"/>
        <v>0</v>
      </c>
      <c r="CQ1219" s="8">
        <f t="shared" si="870"/>
        <v>0</v>
      </c>
      <c r="CR1219" s="8">
        <f t="shared" si="871"/>
        <v>0</v>
      </c>
      <c r="CS1219" s="8">
        <f t="shared" si="872"/>
        <v>0</v>
      </c>
      <c r="CT1219" s="8">
        <f t="shared" si="877"/>
        <v>0</v>
      </c>
      <c r="CU1219" s="8">
        <f t="shared" si="878"/>
        <v>0</v>
      </c>
      <c r="CV1219" s="8">
        <f t="shared" si="879"/>
        <v>0</v>
      </c>
    </row>
    <row r="1220" spans="1:100" ht="20.5" thickTop="1" thickBot="1" x14ac:dyDescent="0.5">
      <c r="A1220" s="32"/>
      <c r="B1220" s="10"/>
      <c r="C1220" s="10"/>
      <c r="D1220" s="11"/>
      <c r="E1220" s="10"/>
      <c r="F1220" s="10"/>
      <c r="G1220" s="19"/>
      <c r="H1220" s="19"/>
      <c r="I1220" s="19"/>
      <c r="J1220" s="19"/>
      <c r="K1220" s="10"/>
      <c r="L1220" s="10"/>
      <c r="M1220" s="10"/>
      <c r="N1220" s="10"/>
      <c r="O1220" s="18"/>
      <c r="P1220" s="18"/>
      <c r="Q1220" s="21"/>
      <c r="R1220" s="20"/>
      <c r="S1220" s="16">
        <f t="shared" ref="S1220:S1283" si="881">IF(AND(K1220="asphalted",M1220="sub",BV1220&lt;=1,BV1220&gt;0),1+2*0.15,IF(AND(K1220="asphalted",OR(M1220="main",M1220="MOT"),BV1220&lt;=1,BV1220&gt;0),1+2*0.3,IF(AND(K1220="asphalted",M1220="sub",BV1220&gt;1),BV1220+2*0.15,IF(AND(K1220="asphalted",OR(M1220="main",M1220="MOT"),BV1220&gt;1),BV1220+2*0.3,0))))</f>
        <v>0</v>
      </c>
      <c r="T1220" s="11"/>
      <c r="AS1220" s="31">
        <f t="shared" ref="AS1220:AS1283" si="882">IF(F1220=1,0.4,IF(F1220&gt;1,F1220*0.3,0))</f>
        <v>0</v>
      </c>
      <c r="AT1220" s="31">
        <f t="shared" ref="AT1220:AT1283" si="883">IF(AND(G1220&lt;4,G1220&gt;0),0.4,IF(G1220&gt;3,0.4+(G1220-3)*0.1,0))</f>
        <v>0</v>
      </c>
      <c r="AU1220" s="31">
        <f t="shared" ref="AU1220:AU1283" si="884">AT1220-AS1220</f>
        <v>0</v>
      </c>
      <c r="AV1220" s="31">
        <f t="shared" ref="AV1220:AV1283" si="885">IF(AND(OR(OR(E1220="normal",E1220="special"),E1220="special"),F1220=0,G1220&gt;0,G1220&lt;5),"LV"&amp;G1220,IF(AND(OR(OR(E1220="normal",E1220="special"),E1220="special"),F1220=0,G1220&gt;4),"LVCU",IF(AND(OR(OR(E1220="normal",E1220="special"),E1220="special"),F1220&gt;4),"MVCU",IF(AND(OR(OR(E1220="normal",E1220="special"),E1220="special"),F1220&gt;0,F1220&lt;5),"MV"&amp;F1220,IF(AND(E1220="mini-trench",F1220=1),"mini-trench MV",IF(AND(E1220="mini-trench",G1220&lt;3,G1220&lt;&gt;0),"mini-trench LV",0))))))</f>
        <v>0</v>
      </c>
      <c r="AW1220" s="31">
        <f t="shared" ref="AW1220:AW1283" si="886">IF(B1220="joint",F1220,0)+IF(C1220="joint",F1220,0)+IF(OR(B1220="new ss",B1220="ss"),F1220*3)+IF(B1220="pole",F1220*10)+IF(OR(C1220="new ss",C1220="ss"),F1220*3)+IF(C1220="pole",F1220*10)+IF(B1220="grid",F1220*30)+IF(C1220="grid",F1220*30)</f>
        <v>0</v>
      </c>
      <c r="AX1220" s="31">
        <f t="shared" ref="AX1220:AX1283" si="887">IF(J1220&gt;0,IF(OR(B1220="ss",C1220="ss"),J1220*3,0)+IF(OR(B1220="new ss",C1220="new ss"),J1220*3,0)+IF(OR(B1220="DC",C1220="DC"),J1220*1.5,0)+IF(OR(B1220="new DC",C1220="new DC"),J1220*1.5,0)+IF(OR(B1220="MB",C1220="MB"),J1220*2,0)+IF(OR(B1220="pole",C1220="pole"),J1220*10,0),0)</f>
        <v>0</v>
      </c>
      <c r="AY1220" s="31">
        <f t="shared" ref="AY1220:AY1283" si="888">IF(I1220&gt;0,IF(OR(B1220="ss",C1220="ss"),I1220*3,0)+IF(OR(B1220="new ss",C1220="new ss"),I1220*3,0)+IF(OR(B1220="DC",C1220="DC"),I1220*1.5,0)+IF(OR(B1220="new DC",C1220="new DC"),J1220*1.5,0)+IF(OR(B1220="MB",C1220="MB"),I1220*2,0)+IF(OR(B1220="pole",C1220="pole"),I1220*10,0),0)</f>
        <v>0</v>
      </c>
      <c r="AZ1220" s="31">
        <f t="shared" ref="AZ1220:AZ1283" si="889">IF(H1220&gt;0,IF(OR(B1220="ss",C1220="ss"),H1220*3,0)+IF(OR(B1220="new ss",C1220="new ss"),H1220*3,0)+IF(OR(B1220="DC",C1220="DC"),H1220*2,0)+IF(OR(B1220="new DC",C1220="new DC"),H1220*1.5,0)+IF(OR(B1220="MB",C1220="MB"),H1220*2,0)+IF(OR(B1220="pole",C1220="pole"),H1220*10,0)+IF(OR(B1220="pole",C1220="pole"),H1220*10,0),0)</f>
        <v>0</v>
      </c>
      <c r="BA1220" s="31">
        <f t="shared" ref="BA1220:BA1283" si="890">IF(E1220="manual",IF(AU1220&lt;0,D1220*AS1220*0.8,IF(AND(AS1220&gt;0,AU1220&gt;0),D1220*AS1220*0.8+D1220*AU1220*0.65,IF(AND(AS1220=0,AT1220&gt;0),D1220*AT1220*0.65,0))),0)</f>
        <v>0</v>
      </c>
      <c r="BB1220" s="31">
        <f t="shared" si="873"/>
        <v>0</v>
      </c>
      <c r="BM1220" s="8">
        <f t="shared" si="874"/>
        <v>0</v>
      </c>
      <c r="BN1220" s="8">
        <f t="shared" ref="BN1220:BN1283" si="891">IFERROR(IF(AND(K1220="asphalted",E1220="mini-trench",R1220=""),1*D1220,IF(AND(K1220="asphalted",R1220&gt;0,MandRcalc="Complete M&amp;R area"),R1220*D1220,IF(AND(K1220="asphalted",R1220&gt;0,MandRcalc="M&amp;R area - asphalting area"),(R1220-BR1220/D1220)*D1220,0))),0)</f>
        <v>0</v>
      </c>
      <c r="BO1220" s="8">
        <f t="shared" ref="BO1220:BO1283" si="892">IF(BQ1220&lt;MINEXCNA,0,IF(AND(E1220="normal",F1220&lt;5,G1220&lt;12,K1220&lt;&gt;"asphalted",AT1220&gt;AS1220,AS1220&lt;&gt;0),(BQ1220-AT1220)*0.65,IF(AND(E1220="normal",F1220&lt;5,G1220&lt;12,K1220&lt;&gt;"asphalted",AS1220&gt;=AT1220),(BQ1220-AS1220)*0.8,IF(AND(E1220="normal",F1220&lt;5,G1220&lt;12,K1220&lt;&gt;"asphalted",AT1220&gt;0,AS1220=0),(BQ1220-AT1220)*0.65,0)))*D1220)</f>
        <v>0</v>
      </c>
      <c r="BQ1220" s="8">
        <f t="shared" ref="BQ1220:BQ1283" si="893">IF(E1220="special",O1220,IF(AND(OR(E1220="normal",E1220="manual"),O1220="",K1220="asphalted",BV1220&lt;=MINEXC),MINEXC,IF(AND(OR(E1220="normal",E1220="manual"),O1220&lt;&gt;"",K1220="asphalted"),MIN(O1220,BV1220),IF(AND(OR(E1220="normal",E1220="manual"),O1220="",K1220&lt;&gt;"asphalted",BV1220&lt;=MINEXCNA),MINEXCNA,IF(AND(OR(E1220="normal",E1220="manual"),O1220&lt;&gt;"",K1220&lt;&gt;"asphalted"),MIN(O1220,BV1220),BV1220)))))</f>
        <v>0</v>
      </c>
      <c r="BR1220" s="63">
        <f t="shared" ref="BR1220:BR1283" si="894">IFERROR(IF(AND(E1220&lt;&gt;"mini-trecnh",K1220="asphalted",Q1220&lt;&gt;"",S1220=0),D1220*Q1220,IF(AND(E1220&lt;&gt;"mini-trecnh",K1220="asphalted",Q1220&lt;&gt;"",S1220&lt;&gt;0),D1220*MIN(Q1220,S1220),IF(AND(E1220&lt;&gt;"mini-trecnh",K1220="asphalted",Q1220=""),D1220*S1220,0))),0)</f>
        <v>0</v>
      </c>
      <c r="BS1220" s="63">
        <f t="shared" si="875"/>
        <v>0</v>
      </c>
      <c r="BT1220" s="63">
        <f t="shared" ref="BT1220:BT1283" si="895">IF(BQ1220&lt;MINEXC,0,IF(AND(E1220="normal",F1220&lt;5,G1220&lt;12,K1220="asphalted",AT1220&gt;AS1220,AS1220&lt;&gt;0),(BQ1220-AT1220)*0.65,IF(AND(E1220="normal",F1220&lt;5,G1220&lt;12,K1220="asphalted",AS1220&gt;=AT1220),(BQ1220-AS1220)*0.8,IF(AND(E1220="normal",F1220&lt;5,G1220&lt;12,K1220="asphalted",AT1220&gt;0,AS1220=0),(BQ1220-AT1220)*0.65,0)))*D1220)</f>
        <v>0</v>
      </c>
      <c r="BU1220" s="63">
        <f t="shared" ref="BU1220:BU1283" si="896">IF(E1220="",0,IF(OR(BT1220&gt;0,BO1220&gt;0),0,IF(AND(F1220&gt;4,G1220=0),(BQ1220-1.2)*D1220*0.8,IF(AND(G1220&gt;4,F1220=0),(BQ1220-0.4)*D1220*0.65,IF(OR(AND(G1220&gt;4,F1220&gt;0),AND(F1220&gt;4,G1220&gt;0)),(IF(AS1220&gt;1.2,(AS1220-1.2)*D1220*0.8,0)+IF(AT1220&gt;AS1220,(AT1220-AS1220)*D1220*0.65,0)),0)))))</f>
        <v>0</v>
      </c>
      <c r="BV1220" s="57">
        <f t="shared" ref="BV1220:BV1283" si="897">IF(AND(E1220&lt;&gt;"mini-trench",E1220&lt;&gt;"special"),MAX(AS1220:AT1220),0)</f>
        <v>0</v>
      </c>
      <c r="BW1220" s="57">
        <f t="shared" ref="BW1220:BW1283" si="898">IF(AND(E1220&lt;&gt;"mini-trench",E1220&lt;&gt;"special",BV1220&gt;0,BV1220&lt;1,K1220="asphalted"),IF(O1220&lt;&gt;"",MIN(O1220,1),1),IF(AND(E1220&lt;&gt;"mini-trench",E1220&lt;&gt;"special",BV1220&gt;0,BV1220&gt;1,K1220="asphalted"),BV1220,0))</f>
        <v>0</v>
      </c>
      <c r="BX1220" s="57">
        <f t="shared" si="876"/>
        <v>0</v>
      </c>
      <c r="BY1220" s="57">
        <f t="shared" si="880"/>
        <v>0</v>
      </c>
      <c r="BZ1220" s="8">
        <f t="shared" ref="BZ1220:BZ1283" si="899">IF(E1220="special",O1220*P1220*D1220-D1220*IF(AV1220="MV1",0.8*0.4,IF(AV1220="MV2",0.8*0.6,IF(AV1220="MV3",0.8*0.9,IF(OR(AV1220="MV4",AV1220="MVCU"),0.8*1.2,IF(AV1220="LV1-3",0.65*0.4,IF(OR(AV1220="LV4",AV1220="LVCU"),0.65*0.5)))))),0)</f>
        <v>0</v>
      </c>
      <c r="CA1220" s="8">
        <f t="shared" ref="CA1220:CA1283" si="900">IF(AND(E1220&lt;&gt;"special",K1220="Paved interlock"),D1220*BV1220,IF(AND(E1220="special",K1220="Paved interlock"),D1220*O1220,0))</f>
        <v>0</v>
      </c>
      <c r="CB1220" s="8">
        <f t="shared" ref="CB1220:CB1283" si="901">IF(AND(E1220&lt;&gt;"special",K1220="Paved conc.tiles"),D1220*BV1220,IF(AND(E1220="special",K1220="Paved conc.tiles"),D1220*O1220,0))</f>
        <v>0</v>
      </c>
      <c r="CC1220" s="8">
        <f t="shared" ref="CC1220:CC1283" si="902">IF(AND(E1220="special",K1220="asphalted"),D1220*Q1220,0)</f>
        <v>0</v>
      </c>
      <c r="CD1220" s="8">
        <f t="shared" ref="CD1220:CD1283" si="903">IF(OR(K1220="Paved interlock",K1220="Paved conc.tiles"),1,0)</f>
        <v>0</v>
      </c>
      <c r="CE1220" s="8">
        <f t="shared" ref="CE1220:CE1283" si="904">IFERROR(BR1220/D1220,0)</f>
        <v>0</v>
      </c>
      <c r="CF1220" s="8">
        <f t="shared" ref="CF1220:CF1283" si="905">IF(AND(F1220&gt;0,B1220="j transition"),F1220,0)+IF(AND(F1220&gt;0,C1220="j transition"),F1220,0)</f>
        <v>0</v>
      </c>
      <c r="CG1220" s="8">
        <f t="shared" ref="CG1220:CG1283" si="906">IF(AND(F1220&gt;0,OR(B1220="grid",B1220="ss",B1220="pole",B1220="new ss")),F1220,0)+IF(AND(F1220&gt;0,OR(C1220="grid",C1220="ss",C1220="pole",C1220="new ss")),F1220,0)</f>
        <v>0</v>
      </c>
      <c r="CH1220" s="8">
        <f t="shared" ref="CH1220:CH1283" si="907">IF(AND(F1220&gt;0,B1220="joint"),F1220,0)+IF(AND(F1220&gt;0,C1220="joint"),F1220,0)+IF(AND(F1220&gt;0,B1220="j transition"),F1220,0)+IF(AND(F1220&gt;0,C1220="j transition"),F1220,0)</f>
        <v>0</v>
      </c>
      <c r="CI1220" s="8">
        <f t="shared" ref="CI1220:CI1283" si="908">IF(AND(H1220&gt;0,B1220="joint"),H1220,0)+IF(AND(H1220&gt;0,C1220="joint"),H1220,0)</f>
        <v>0</v>
      </c>
      <c r="CJ1220" s="8">
        <f t="shared" ref="CJ1220:CJ1283" si="909">IF(AND(I1220&gt;0,B1220="joint"),I1220,0)+IF(AND(I1220&gt;0,C1220="joint"),I1220,0)</f>
        <v>0</v>
      </c>
      <c r="CK1220" s="8">
        <f t="shared" ref="CK1220:CK1283" si="910">IF(AND(J1220&gt;0,B1220="joint"),J1220,0)+IF(AND(J1220&gt;0,C1220="joint"),J1220,0)</f>
        <v>0</v>
      </c>
      <c r="CL1220" s="8">
        <f t="shared" ref="CL1220:CL1283" si="911">IF(AND(H1220&gt;0,OR(B1220="ss",B1220="new ss",B1220="DC",B1220="new DC")),H1220,0)+IF(AND(H1220&gt;0,OR(C1220="new ss",C1220="ss",C1220="DC",C1220="new DC")),H1220,0)</f>
        <v>0</v>
      </c>
      <c r="CM1220" s="8">
        <f t="shared" ref="CM1220:CM1283" si="912">CO1220+CP1220</f>
        <v>0</v>
      </c>
      <c r="CN1220" s="8">
        <f t="shared" ref="CN1220:CN1283" si="913">IF(OR(B1220="new DC",C1220="new DC"),H1220,0)</f>
        <v>0</v>
      </c>
      <c r="CO1220" s="8">
        <f t="shared" ref="CO1220:CO1283" si="914">IF(AND(J1220&gt;0,OR(B1220="ss",B1220="new ss",B1220="DC",B1220="new DC")),J1220,0)+IF(AND(J1220&gt;0,OR(C1220="new ss",C1220="ss",C1220="DC",C1220="new DC")),J1220,0)</f>
        <v>0</v>
      </c>
      <c r="CP1220" s="8">
        <f t="shared" ref="CP1220:CP1283" si="915">IF(AND(I1220&gt;0,OR(B1220="ss",B1220="new ss",B1220="DC",B1220="new DC")),I1220,0)+IF(AND(I1220&gt;0,OR(C1220="new ss",C1220="ss",C1220="DC",C1220="new DC")),I1220,0)</f>
        <v>0</v>
      </c>
      <c r="CQ1220" s="8">
        <f t="shared" ref="CQ1220:CQ1283" si="916">IF(AND(F1220&gt;0,OR(B1220="ss",B1220="new ss")),F1220,0)+IF(AND(F1220&gt;0,OR(C1220="ss",C1220="new ss")),F1220,0)</f>
        <v>0</v>
      </c>
      <c r="CR1220" s="8">
        <f t="shared" ref="CR1220:CR1283" si="917">IF(AND(F1220&gt;0,OR(B1220="grid")),F1220,0)+IF(AND(F1220&gt;0,OR(C1220="grid")),F1220,0)</f>
        <v>0</v>
      </c>
      <c r="CS1220" s="8">
        <f t="shared" ref="CS1220:CS1283" si="918">IF(AND(F1220&gt;0,OR(B1220="pole")),F1220,0)+IF(AND(F1220&gt;0,OR(C1220="pole")),F1220,0)</f>
        <v>0</v>
      </c>
      <c r="CT1220" s="8">
        <f t="shared" si="877"/>
        <v>0</v>
      </c>
      <c r="CU1220" s="8">
        <f t="shared" si="878"/>
        <v>0</v>
      </c>
      <c r="CV1220" s="8">
        <f t="shared" si="879"/>
        <v>0</v>
      </c>
    </row>
    <row r="1221" spans="1:100" ht="20.5" thickTop="1" thickBot="1" x14ac:dyDescent="0.5">
      <c r="A1221" s="32"/>
      <c r="B1221" s="10"/>
      <c r="C1221" s="10"/>
      <c r="D1221" s="11"/>
      <c r="E1221" s="10"/>
      <c r="F1221" s="10"/>
      <c r="G1221" s="19"/>
      <c r="H1221" s="19"/>
      <c r="I1221" s="19"/>
      <c r="J1221" s="19"/>
      <c r="K1221" s="10"/>
      <c r="L1221" s="10"/>
      <c r="M1221" s="10"/>
      <c r="N1221" s="10"/>
      <c r="O1221" s="18"/>
      <c r="P1221" s="18"/>
      <c r="Q1221" s="21"/>
      <c r="R1221" s="20"/>
      <c r="S1221" s="16">
        <f t="shared" si="881"/>
        <v>0</v>
      </c>
      <c r="T1221" s="11"/>
      <c r="AS1221" s="31">
        <f t="shared" si="882"/>
        <v>0</v>
      </c>
      <c r="AT1221" s="31">
        <f t="shared" si="883"/>
        <v>0</v>
      </c>
      <c r="AU1221" s="31">
        <f t="shared" si="884"/>
        <v>0</v>
      </c>
      <c r="AV1221" s="31">
        <f t="shared" si="885"/>
        <v>0</v>
      </c>
      <c r="AW1221" s="31">
        <f t="shared" si="886"/>
        <v>0</v>
      </c>
      <c r="AX1221" s="31">
        <f t="shared" si="887"/>
        <v>0</v>
      </c>
      <c r="AY1221" s="31">
        <f t="shared" si="888"/>
        <v>0</v>
      </c>
      <c r="AZ1221" s="31">
        <f t="shared" si="889"/>
        <v>0</v>
      </c>
      <c r="BA1221" s="31">
        <f t="shared" si="890"/>
        <v>0</v>
      </c>
      <c r="BB1221" s="31">
        <f t="shared" ref="BB1221:BB1284" si="919">IFERROR(IF(BN1221&gt;0,0,IF(AND(E1221="normal",(BR1221/D1221)&gt;1),BR1221,0)),0)</f>
        <v>0</v>
      </c>
      <c r="BM1221" s="8">
        <f t="shared" ref="BM1221:BM1284" si="920">IF(AND(E1221&lt;&gt;"special",K1221="Concrete"),D1221*BV1221,IF(AND(E1221="special",K1221="Concrete"),D1221*O1221,0))</f>
        <v>0</v>
      </c>
      <c r="BN1221" s="8">
        <f t="shared" si="891"/>
        <v>0</v>
      </c>
      <c r="BO1221" s="8">
        <f t="shared" si="892"/>
        <v>0</v>
      </c>
      <c r="BQ1221" s="8">
        <f t="shared" si="893"/>
        <v>0</v>
      </c>
      <c r="BR1221" s="63">
        <f t="shared" si="894"/>
        <v>0</v>
      </c>
      <c r="BS1221" s="63">
        <f t="shared" ref="BS1221:BS1284" si="921">BN1221 + IF(BN1221&gt;0,IF(R1220=0, R1221, 0) + IF(R1222=0, R1221, 0),0)</f>
        <v>0</v>
      </c>
      <c r="BT1221" s="63">
        <f t="shared" si="895"/>
        <v>0</v>
      </c>
      <c r="BU1221" s="63">
        <f t="shared" si="896"/>
        <v>0</v>
      </c>
      <c r="BV1221" s="57">
        <f t="shared" si="897"/>
        <v>0</v>
      </c>
      <c r="BW1221" s="57">
        <f t="shared" si="898"/>
        <v>0</v>
      </c>
      <c r="BX1221" s="57">
        <f t="shared" ref="BX1221:BX1284" si="922">IF(AND(R1221&gt;0,MandRcalc="Asphalting then M&amp;R"),R1221*D1221,IF(AND(R1221&gt;0,MandRcalc="Milling then Repaving"),(R1221-BR1221)*D1221,0))</f>
        <v>0</v>
      </c>
      <c r="BY1221" s="57">
        <f t="shared" si="880"/>
        <v>0</v>
      </c>
      <c r="BZ1221" s="8">
        <f t="shared" si="899"/>
        <v>0</v>
      </c>
      <c r="CA1221" s="8">
        <f t="shared" si="900"/>
        <v>0</v>
      </c>
      <c r="CB1221" s="8">
        <f t="shared" si="901"/>
        <v>0</v>
      </c>
      <c r="CC1221" s="8">
        <f t="shared" si="902"/>
        <v>0</v>
      </c>
      <c r="CD1221" s="8">
        <f t="shared" si="903"/>
        <v>0</v>
      </c>
      <c r="CE1221" s="8">
        <f t="shared" si="904"/>
        <v>0</v>
      </c>
      <c r="CF1221" s="8">
        <f t="shared" si="905"/>
        <v>0</v>
      </c>
      <c r="CG1221" s="8">
        <f t="shared" si="906"/>
        <v>0</v>
      </c>
      <c r="CH1221" s="8">
        <f t="shared" si="907"/>
        <v>0</v>
      </c>
      <c r="CI1221" s="8">
        <f t="shared" si="908"/>
        <v>0</v>
      </c>
      <c r="CJ1221" s="8">
        <f t="shared" si="909"/>
        <v>0</v>
      </c>
      <c r="CK1221" s="8">
        <f t="shared" si="910"/>
        <v>0</v>
      </c>
      <c r="CL1221" s="8">
        <f t="shared" si="911"/>
        <v>0</v>
      </c>
      <c r="CM1221" s="8">
        <f t="shared" si="912"/>
        <v>0</v>
      </c>
      <c r="CN1221" s="8">
        <f t="shared" si="913"/>
        <v>0</v>
      </c>
      <c r="CO1221" s="8">
        <f t="shared" si="914"/>
        <v>0</v>
      </c>
      <c r="CP1221" s="8">
        <f t="shared" si="915"/>
        <v>0</v>
      </c>
      <c r="CQ1221" s="8">
        <f t="shared" si="916"/>
        <v>0</v>
      </c>
      <c r="CR1221" s="8">
        <f t="shared" si="917"/>
        <v>0</v>
      </c>
      <c r="CS1221" s="8">
        <f t="shared" si="918"/>
        <v>0</v>
      </c>
      <c r="CT1221" s="8">
        <f t="shared" si="877"/>
        <v>0</v>
      </c>
      <c r="CU1221" s="8">
        <f t="shared" si="878"/>
        <v>0</v>
      </c>
      <c r="CV1221" s="8">
        <f t="shared" si="879"/>
        <v>0</v>
      </c>
    </row>
    <row r="1222" spans="1:100" ht="20.5" thickTop="1" thickBot="1" x14ac:dyDescent="0.5">
      <c r="A1222" s="32"/>
      <c r="B1222" s="10"/>
      <c r="C1222" s="10"/>
      <c r="D1222" s="11"/>
      <c r="E1222" s="10"/>
      <c r="F1222" s="10"/>
      <c r="G1222" s="19"/>
      <c r="H1222" s="19"/>
      <c r="I1222" s="19"/>
      <c r="J1222" s="19"/>
      <c r="K1222" s="10"/>
      <c r="L1222" s="10"/>
      <c r="M1222" s="10"/>
      <c r="N1222" s="10"/>
      <c r="O1222" s="18"/>
      <c r="P1222" s="18"/>
      <c r="Q1222" s="21"/>
      <c r="R1222" s="20"/>
      <c r="S1222" s="16">
        <f t="shared" si="881"/>
        <v>0</v>
      </c>
      <c r="T1222" s="11"/>
      <c r="AS1222" s="31">
        <f t="shared" si="882"/>
        <v>0</v>
      </c>
      <c r="AT1222" s="31">
        <f t="shared" si="883"/>
        <v>0</v>
      </c>
      <c r="AU1222" s="31">
        <f t="shared" si="884"/>
        <v>0</v>
      </c>
      <c r="AV1222" s="31">
        <f t="shared" si="885"/>
        <v>0</v>
      </c>
      <c r="AW1222" s="31">
        <f t="shared" si="886"/>
        <v>0</v>
      </c>
      <c r="AX1222" s="31">
        <f t="shared" si="887"/>
        <v>0</v>
      </c>
      <c r="AY1222" s="31">
        <f t="shared" si="888"/>
        <v>0</v>
      </c>
      <c r="AZ1222" s="31">
        <f t="shared" si="889"/>
        <v>0</v>
      </c>
      <c r="BA1222" s="31">
        <f t="shared" si="890"/>
        <v>0</v>
      </c>
      <c r="BB1222" s="31">
        <f t="shared" si="919"/>
        <v>0</v>
      </c>
      <c r="BM1222" s="8">
        <f t="shared" si="920"/>
        <v>0</v>
      </c>
      <c r="BN1222" s="8">
        <f t="shared" si="891"/>
        <v>0</v>
      </c>
      <c r="BO1222" s="8">
        <f t="shared" si="892"/>
        <v>0</v>
      </c>
      <c r="BQ1222" s="8">
        <f t="shared" si="893"/>
        <v>0</v>
      </c>
      <c r="BR1222" s="63">
        <f t="shared" si="894"/>
        <v>0</v>
      </c>
      <c r="BS1222" s="63">
        <f t="shared" si="921"/>
        <v>0</v>
      </c>
      <c r="BT1222" s="63">
        <f t="shared" si="895"/>
        <v>0</v>
      </c>
      <c r="BU1222" s="63">
        <f t="shared" si="896"/>
        <v>0</v>
      </c>
      <c r="BV1222" s="57">
        <f t="shared" si="897"/>
        <v>0</v>
      </c>
      <c r="BW1222" s="57">
        <f t="shared" si="898"/>
        <v>0</v>
      </c>
      <c r="BX1222" s="57">
        <f t="shared" si="922"/>
        <v>0</v>
      </c>
      <c r="BY1222" s="57">
        <f t="shared" si="880"/>
        <v>0</v>
      </c>
      <c r="BZ1222" s="8">
        <f t="shared" si="899"/>
        <v>0</v>
      </c>
      <c r="CA1222" s="8">
        <f t="shared" si="900"/>
        <v>0</v>
      </c>
      <c r="CB1222" s="8">
        <f t="shared" si="901"/>
        <v>0</v>
      </c>
      <c r="CC1222" s="8">
        <f t="shared" si="902"/>
        <v>0</v>
      </c>
      <c r="CD1222" s="8">
        <f t="shared" si="903"/>
        <v>0</v>
      </c>
      <c r="CE1222" s="8">
        <f t="shared" si="904"/>
        <v>0</v>
      </c>
      <c r="CF1222" s="8">
        <f t="shared" si="905"/>
        <v>0</v>
      </c>
      <c r="CG1222" s="8">
        <f t="shared" si="906"/>
        <v>0</v>
      </c>
      <c r="CH1222" s="8">
        <f t="shared" si="907"/>
        <v>0</v>
      </c>
      <c r="CI1222" s="8">
        <f t="shared" si="908"/>
        <v>0</v>
      </c>
      <c r="CJ1222" s="8">
        <f t="shared" si="909"/>
        <v>0</v>
      </c>
      <c r="CK1222" s="8">
        <f t="shared" si="910"/>
        <v>0</v>
      </c>
      <c r="CL1222" s="8">
        <f t="shared" si="911"/>
        <v>0</v>
      </c>
      <c r="CM1222" s="8">
        <f t="shared" si="912"/>
        <v>0</v>
      </c>
      <c r="CN1222" s="8">
        <f t="shared" si="913"/>
        <v>0</v>
      </c>
      <c r="CO1222" s="8">
        <f t="shared" si="914"/>
        <v>0</v>
      </c>
      <c r="CP1222" s="8">
        <f t="shared" si="915"/>
        <v>0</v>
      </c>
      <c r="CQ1222" s="8">
        <f t="shared" si="916"/>
        <v>0</v>
      </c>
      <c r="CR1222" s="8">
        <f t="shared" si="917"/>
        <v>0</v>
      </c>
      <c r="CS1222" s="8">
        <f t="shared" si="918"/>
        <v>0</v>
      </c>
      <c r="CT1222" s="8">
        <f t="shared" si="877"/>
        <v>0</v>
      </c>
      <c r="CU1222" s="8">
        <f t="shared" si="878"/>
        <v>0</v>
      </c>
      <c r="CV1222" s="8">
        <f t="shared" si="879"/>
        <v>0</v>
      </c>
    </row>
    <row r="1223" spans="1:100" ht="20.5" thickTop="1" thickBot="1" x14ac:dyDescent="0.5">
      <c r="A1223" s="32"/>
      <c r="B1223" s="10"/>
      <c r="C1223" s="10"/>
      <c r="D1223" s="11"/>
      <c r="E1223" s="10"/>
      <c r="F1223" s="10"/>
      <c r="G1223" s="19"/>
      <c r="H1223" s="19"/>
      <c r="I1223" s="19"/>
      <c r="J1223" s="19"/>
      <c r="K1223" s="10"/>
      <c r="L1223" s="10"/>
      <c r="M1223" s="10"/>
      <c r="N1223" s="10"/>
      <c r="O1223" s="18"/>
      <c r="P1223" s="18"/>
      <c r="Q1223" s="21"/>
      <c r="R1223" s="20"/>
      <c r="S1223" s="16">
        <f t="shared" si="881"/>
        <v>0</v>
      </c>
      <c r="T1223" s="11"/>
      <c r="AS1223" s="31">
        <f t="shared" si="882"/>
        <v>0</v>
      </c>
      <c r="AT1223" s="31">
        <f t="shared" si="883"/>
        <v>0</v>
      </c>
      <c r="AU1223" s="31">
        <f t="shared" si="884"/>
        <v>0</v>
      </c>
      <c r="AV1223" s="31">
        <f t="shared" si="885"/>
        <v>0</v>
      </c>
      <c r="AW1223" s="31">
        <f t="shared" si="886"/>
        <v>0</v>
      </c>
      <c r="AX1223" s="31">
        <f t="shared" si="887"/>
        <v>0</v>
      </c>
      <c r="AY1223" s="31">
        <f t="shared" si="888"/>
        <v>0</v>
      </c>
      <c r="AZ1223" s="31">
        <f t="shared" si="889"/>
        <v>0</v>
      </c>
      <c r="BA1223" s="31">
        <f t="shared" si="890"/>
        <v>0</v>
      </c>
      <c r="BB1223" s="31">
        <f t="shared" si="919"/>
        <v>0</v>
      </c>
      <c r="BM1223" s="8">
        <f t="shared" si="920"/>
        <v>0</v>
      </c>
      <c r="BN1223" s="8">
        <f t="shared" si="891"/>
        <v>0</v>
      </c>
      <c r="BO1223" s="8">
        <f t="shared" si="892"/>
        <v>0</v>
      </c>
      <c r="BQ1223" s="8">
        <f t="shared" si="893"/>
        <v>0</v>
      </c>
      <c r="BR1223" s="63">
        <f t="shared" si="894"/>
        <v>0</v>
      </c>
      <c r="BS1223" s="63">
        <f t="shared" si="921"/>
        <v>0</v>
      </c>
      <c r="BT1223" s="63">
        <f t="shared" si="895"/>
        <v>0</v>
      </c>
      <c r="BU1223" s="63">
        <f t="shared" si="896"/>
        <v>0</v>
      </c>
      <c r="BV1223" s="57">
        <f t="shared" si="897"/>
        <v>0</v>
      </c>
      <c r="BW1223" s="57">
        <f t="shared" si="898"/>
        <v>0</v>
      </c>
      <c r="BX1223" s="57">
        <f t="shared" si="922"/>
        <v>0</v>
      </c>
      <c r="BY1223" s="57">
        <f t="shared" si="880"/>
        <v>0</v>
      </c>
      <c r="BZ1223" s="8">
        <f t="shared" si="899"/>
        <v>0</v>
      </c>
      <c r="CA1223" s="8">
        <f t="shared" si="900"/>
        <v>0</v>
      </c>
      <c r="CB1223" s="8">
        <f t="shared" si="901"/>
        <v>0</v>
      </c>
      <c r="CC1223" s="8">
        <f t="shared" si="902"/>
        <v>0</v>
      </c>
      <c r="CD1223" s="8">
        <f t="shared" si="903"/>
        <v>0</v>
      </c>
      <c r="CE1223" s="8">
        <f t="shared" si="904"/>
        <v>0</v>
      </c>
      <c r="CF1223" s="8">
        <f t="shared" si="905"/>
        <v>0</v>
      </c>
      <c r="CG1223" s="8">
        <f t="shared" si="906"/>
        <v>0</v>
      </c>
      <c r="CH1223" s="8">
        <f t="shared" si="907"/>
        <v>0</v>
      </c>
      <c r="CI1223" s="8">
        <f t="shared" si="908"/>
        <v>0</v>
      </c>
      <c r="CJ1223" s="8">
        <f t="shared" si="909"/>
        <v>0</v>
      </c>
      <c r="CK1223" s="8">
        <f t="shared" si="910"/>
        <v>0</v>
      </c>
      <c r="CL1223" s="8">
        <f t="shared" si="911"/>
        <v>0</v>
      </c>
      <c r="CM1223" s="8">
        <f t="shared" si="912"/>
        <v>0</v>
      </c>
      <c r="CN1223" s="8">
        <f t="shared" si="913"/>
        <v>0</v>
      </c>
      <c r="CO1223" s="8">
        <f t="shared" si="914"/>
        <v>0</v>
      </c>
      <c r="CP1223" s="8">
        <f t="shared" si="915"/>
        <v>0</v>
      </c>
      <c r="CQ1223" s="8">
        <f t="shared" si="916"/>
        <v>0</v>
      </c>
      <c r="CR1223" s="8">
        <f t="shared" si="917"/>
        <v>0</v>
      </c>
      <c r="CS1223" s="8">
        <f t="shared" si="918"/>
        <v>0</v>
      </c>
      <c r="CT1223" s="8">
        <f t="shared" si="877"/>
        <v>0</v>
      </c>
      <c r="CU1223" s="8">
        <f t="shared" si="878"/>
        <v>0</v>
      </c>
      <c r="CV1223" s="8">
        <f t="shared" si="879"/>
        <v>0</v>
      </c>
    </row>
    <row r="1224" spans="1:100" ht="20.5" thickTop="1" thickBot="1" x14ac:dyDescent="0.5">
      <c r="A1224" s="32"/>
      <c r="B1224" s="10"/>
      <c r="C1224" s="10"/>
      <c r="D1224" s="11"/>
      <c r="E1224" s="10"/>
      <c r="F1224" s="10"/>
      <c r="G1224" s="19"/>
      <c r="H1224" s="19"/>
      <c r="I1224" s="19"/>
      <c r="J1224" s="19"/>
      <c r="K1224" s="10"/>
      <c r="L1224" s="10"/>
      <c r="M1224" s="10"/>
      <c r="N1224" s="10"/>
      <c r="O1224" s="18"/>
      <c r="P1224" s="18"/>
      <c r="Q1224" s="21"/>
      <c r="R1224" s="20"/>
      <c r="S1224" s="16">
        <f t="shared" si="881"/>
        <v>0</v>
      </c>
      <c r="T1224" s="11"/>
      <c r="AS1224" s="31">
        <f t="shared" si="882"/>
        <v>0</v>
      </c>
      <c r="AT1224" s="31">
        <f t="shared" si="883"/>
        <v>0</v>
      </c>
      <c r="AU1224" s="31">
        <f t="shared" si="884"/>
        <v>0</v>
      </c>
      <c r="AV1224" s="31">
        <f t="shared" si="885"/>
        <v>0</v>
      </c>
      <c r="AW1224" s="31">
        <f t="shared" si="886"/>
        <v>0</v>
      </c>
      <c r="AX1224" s="31">
        <f t="shared" si="887"/>
        <v>0</v>
      </c>
      <c r="AY1224" s="31">
        <f t="shared" si="888"/>
        <v>0</v>
      </c>
      <c r="AZ1224" s="31">
        <f t="shared" si="889"/>
        <v>0</v>
      </c>
      <c r="BA1224" s="31">
        <f t="shared" si="890"/>
        <v>0</v>
      </c>
      <c r="BB1224" s="31">
        <f t="shared" si="919"/>
        <v>0</v>
      </c>
      <c r="BM1224" s="8">
        <f t="shared" si="920"/>
        <v>0</v>
      </c>
      <c r="BN1224" s="8">
        <f t="shared" si="891"/>
        <v>0</v>
      </c>
      <c r="BO1224" s="8">
        <f t="shared" si="892"/>
        <v>0</v>
      </c>
      <c r="BQ1224" s="8">
        <f t="shared" si="893"/>
        <v>0</v>
      </c>
      <c r="BR1224" s="63">
        <f t="shared" si="894"/>
        <v>0</v>
      </c>
      <c r="BS1224" s="63">
        <f t="shared" si="921"/>
        <v>0</v>
      </c>
      <c r="BT1224" s="63">
        <f t="shared" si="895"/>
        <v>0</v>
      </c>
      <c r="BU1224" s="63">
        <f t="shared" si="896"/>
        <v>0</v>
      </c>
      <c r="BV1224" s="57">
        <f t="shared" si="897"/>
        <v>0</v>
      </c>
      <c r="BW1224" s="57">
        <f t="shared" si="898"/>
        <v>0</v>
      </c>
      <c r="BX1224" s="57">
        <f t="shared" si="922"/>
        <v>0</v>
      </c>
      <c r="BY1224" s="57">
        <f t="shared" si="880"/>
        <v>0</v>
      </c>
      <c r="BZ1224" s="8">
        <f t="shared" si="899"/>
        <v>0</v>
      </c>
      <c r="CA1224" s="8">
        <f t="shared" si="900"/>
        <v>0</v>
      </c>
      <c r="CB1224" s="8">
        <f t="shared" si="901"/>
        <v>0</v>
      </c>
      <c r="CC1224" s="8">
        <f t="shared" si="902"/>
        <v>0</v>
      </c>
      <c r="CD1224" s="8">
        <f t="shared" si="903"/>
        <v>0</v>
      </c>
      <c r="CE1224" s="8">
        <f t="shared" si="904"/>
        <v>0</v>
      </c>
      <c r="CF1224" s="8">
        <f t="shared" si="905"/>
        <v>0</v>
      </c>
      <c r="CG1224" s="8">
        <f t="shared" si="906"/>
        <v>0</v>
      </c>
      <c r="CH1224" s="8">
        <f t="shared" si="907"/>
        <v>0</v>
      </c>
      <c r="CI1224" s="8">
        <f t="shared" si="908"/>
        <v>0</v>
      </c>
      <c r="CJ1224" s="8">
        <f t="shared" si="909"/>
        <v>0</v>
      </c>
      <c r="CK1224" s="8">
        <f t="shared" si="910"/>
        <v>0</v>
      </c>
      <c r="CL1224" s="8">
        <f t="shared" si="911"/>
        <v>0</v>
      </c>
      <c r="CM1224" s="8">
        <f t="shared" si="912"/>
        <v>0</v>
      </c>
      <c r="CN1224" s="8">
        <f t="shared" si="913"/>
        <v>0</v>
      </c>
      <c r="CO1224" s="8">
        <f t="shared" si="914"/>
        <v>0</v>
      </c>
      <c r="CP1224" s="8">
        <f t="shared" si="915"/>
        <v>0</v>
      </c>
      <c r="CQ1224" s="8">
        <f t="shared" si="916"/>
        <v>0</v>
      </c>
      <c r="CR1224" s="8">
        <f t="shared" si="917"/>
        <v>0</v>
      </c>
      <c r="CS1224" s="8">
        <f t="shared" si="918"/>
        <v>0</v>
      </c>
      <c r="CT1224" s="8">
        <f t="shared" si="877"/>
        <v>0</v>
      </c>
      <c r="CU1224" s="8">
        <f t="shared" si="878"/>
        <v>0</v>
      </c>
      <c r="CV1224" s="8">
        <f t="shared" si="879"/>
        <v>0</v>
      </c>
    </row>
    <row r="1225" spans="1:100" ht="20.5" thickTop="1" thickBot="1" x14ac:dyDescent="0.5">
      <c r="A1225" s="32"/>
      <c r="B1225" s="10"/>
      <c r="C1225" s="10"/>
      <c r="D1225" s="11"/>
      <c r="E1225" s="10"/>
      <c r="F1225" s="10"/>
      <c r="G1225" s="19"/>
      <c r="H1225" s="19"/>
      <c r="I1225" s="19"/>
      <c r="J1225" s="19"/>
      <c r="K1225" s="10"/>
      <c r="L1225" s="10"/>
      <c r="M1225" s="10"/>
      <c r="N1225" s="10"/>
      <c r="O1225" s="18"/>
      <c r="P1225" s="18"/>
      <c r="Q1225" s="21"/>
      <c r="R1225" s="20"/>
      <c r="S1225" s="16">
        <f t="shared" si="881"/>
        <v>0</v>
      </c>
      <c r="T1225" s="11"/>
      <c r="AS1225" s="31">
        <f t="shared" si="882"/>
        <v>0</v>
      </c>
      <c r="AT1225" s="31">
        <f t="shared" si="883"/>
        <v>0</v>
      </c>
      <c r="AU1225" s="31">
        <f t="shared" si="884"/>
        <v>0</v>
      </c>
      <c r="AV1225" s="31">
        <f t="shared" si="885"/>
        <v>0</v>
      </c>
      <c r="AW1225" s="31">
        <f t="shared" si="886"/>
        <v>0</v>
      </c>
      <c r="AX1225" s="31">
        <f t="shared" si="887"/>
        <v>0</v>
      </c>
      <c r="AY1225" s="31">
        <f t="shared" si="888"/>
        <v>0</v>
      </c>
      <c r="AZ1225" s="31">
        <f t="shared" si="889"/>
        <v>0</v>
      </c>
      <c r="BA1225" s="31">
        <f t="shared" si="890"/>
        <v>0</v>
      </c>
      <c r="BB1225" s="31">
        <f t="shared" si="919"/>
        <v>0</v>
      </c>
      <c r="BM1225" s="8">
        <f t="shared" si="920"/>
        <v>0</v>
      </c>
      <c r="BN1225" s="8">
        <f t="shared" si="891"/>
        <v>0</v>
      </c>
      <c r="BO1225" s="8">
        <f t="shared" si="892"/>
        <v>0</v>
      </c>
      <c r="BQ1225" s="8">
        <f t="shared" si="893"/>
        <v>0</v>
      </c>
      <c r="BR1225" s="63">
        <f t="shared" si="894"/>
        <v>0</v>
      </c>
      <c r="BS1225" s="63">
        <f t="shared" si="921"/>
        <v>0</v>
      </c>
      <c r="BT1225" s="63">
        <f t="shared" si="895"/>
        <v>0</v>
      </c>
      <c r="BU1225" s="63">
        <f t="shared" si="896"/>
        <v>0</v>
      </c>
      <c r="BV1225" s="57">
        <f t="shared" si="897"/>
        <v>0</v>
      </c>
      <c r="BW1225" s="57">
        <f t="shared" si="898"/>
        <v>0</v>
      </c>
      <c r="BX1225" s="57">
        <f t="shared" si="922"/>
        <v>0</v>
      </c>
      <c r="BY1225" s="57">
        <f t="shared" si="880"/>
        <v>0</v>
      </c>
      <c r="BZ1225" s="8">
        <f t="shared" si="899"/>
        <v>0</v>
      </c>
      <c r="CA1225" s="8">
        <f t="shared" si="900"/>
        <v>0</v>
      </c>
      <c r="CB1225" s="8">
        <f t="shared" si="901"/>
        <v>0</v>
      </c>
      <c r="CC1225" s="8">
        <f t="shared" si="902"/>
        <v>0</v>
      </c>
      <c r="CD1225" s="8">
        <f t="shared" si="903"/>
        <v>0</v>
      </c>
      <c r="CE1225" s="8">
        <f t="shared" si="904"/>
        <v>0</v>
      </c>
      <c r="CF1225" s="8">
        <f t="shared" si="905"/>
        <v>0</v>
      </c>
      <c r="CG1225" s="8">
        <f t="shared" si="906"/>
        <v>0</v>
      </c>
      <c r="CH1225" s="8">
        <f t="shared" si="907"/>
        <v>0</v>
      </c>
      <c r="CI1225" s="8">
        <f t="shared" si="908"/>
        <v>0</v>
      </c>
      <c r="CJ1225" s="8">
        <f t="shared" si="909"/>
        <v>0</v>
      </c>
      <c r="CK1225" s="8">
        <f t="shared" si="910"/>
        <v>0</v>
      </c>
      <c r="CL1225" s="8">
        <f t="shared" si="911"/>
        <v>0</v>
      </c>
      <c r="CM1225" s="8">
        <f t="shared" si="912"/>
        <v>0</v>
      </c>
      <c r="CN1225" s="8">
        <f t="shared" si="913"/>
        <v>0</v>
      </c>
      <c r="CO1225" s="8">
        <f t="shared" si="914"/>
        <v>0</v>
      </c>
      <c r="CP1225" s="8">
        <f t="shared" si="915"/>
        <v>0</v>
      </c>
      <c r="CQ1225" s="8">
        <f t="shared" si="916"/>
        <v>0</v>
      </c>
      <c r="CR1225" s="8">
        <f t="shared" si="917"/>
        <v>0</v>
      </c>
      <c r="CS1225" s="8">
        <f t="shared" si="918"/>
        <v>0</v>
      </c>
      <c r="CT1225" s="8">
        <f t="shared" si="877"/>
        <v>0</v>
      </c>
      <c r="CU1225" s="8">
        <f t="shared" si="878"/>
        <v>0</v>
      </c>
      <c r="CV1225" s="8">
        <f t="shared" si="879"/>
        <v>0</v>
      </c>
    </row>
    <row r="1226" spans="1:100" ht="20.5" thickTop="1" thickBot="1" x14ac:dyDescent="0.5">
      <c r="A1226" s="32"/>
      <c r="B1226" s="10"/>
      <c r="C1226" s="10"/>
      <c r="D1226" s="11"/>
      <c r="E1226" s="10"/>
      <c r="F1226" s="10"/>
      <c r="G1226" s="19"/>
      <c r="H1226" s="19"/>
      <c r="I1226" s="19"/>
      <c r="J1226" s="19"/>
      <c r="K1226" s="10"/>
      <c r="L1226" s="10"/>
      <c r="M1226" s="10"/>
      <c r="N1226" s="10"/>
      <c r="O1226" s="18"/>
      <c r="P1226" s="18"/>
      <c r="Q1226" s="21"/>
      <c r="R1226" s="20"/>
      <c r="S1226" s="16">
        <f t="shared" si="881"/>
        <v>0</v>
      </c>
      <c r="T1226" s="11"/>
      <c r="AS1226" s="31">
        <f t="shared" si="882"/>
        <v>0</v>
      </c>
      <c r="AT1226" s="31">
        <f t="shared" si="883"/>
        <v>0</v>
      </c>
      <c r="AU1226" s="31">
        <f t="shared" si="884"/>
        <v>0</v>
      </c>
      <c r="AV1226" s="31">
        <f t="shared" si="885"/>
        <v>0</v>
      </c>
      <c r="AW1226" s="31">
        <f t="shared" si="886"/>
        <v>0</v>
      </c>
      <c r="AX1226" s="31">
        <f t="shared" si="887"/>
        <v>0</v>
      </c>
      <c r="AY1226" s="31">
        <f t="shared" si="888"/>
        <v>0</v>
      </c>
      <c r="AZ1226" s="31">
        <f t="shared" si="889"/>
        <v>0</v>
      </c>
      <c r="BA1226" s="31">
        <f t="shared" si="890"/>
        <v>0</v>
      </c>
      <c r="BB1226" s="31">
        <f t="shared" si="919"/>
        <v>0</v>
      </c>
      <c r="BM1226" s="8">
        <f t="shared" si="920"/>
        <v>0</v>
      </c>
      <c r="BN1226" s="8">
        <f t="shared" si="891"/>
        <v>0</v>
      </c>
      <c r="BO1226" s="8">
        <f t="shared" si="892"/>
        <v>0</v>
      </c>
      <c r="BQ1226" s="8">
        <f t="shared" si="893"/>
        <v>0</v>
      </c>
      <c r="BR1226" s="63">
        <f t="shared" si="894"/>
        <v>0</v>
      </c>
      <c r="BS1226" s="63">
        <f t="shared" si="921"/>
        <v>0</v>
      </c>
      <c r="BT1226" s="63">
        <f t="shared" si="895"/>
        <v>0</v>
      </c>
      <c r="BU1226" s="63">
        <f t="shared" si="896"/>
        <v>0</v>
      </c>
      <c r="BV1226" s="57">
        <f t="shared" si="897"/>
        <v>0</v>
      </c>
      <c r="BW1226" s="57">
        <f t="shared" si="898"/>
        <v>0</v>
      </c>
      <c r="BX1226" s="57">
        <f t="shared" si="922"/>
        <v>0</v>
      </c>
      <c r="BY1226" s="57">
        <f t="shared" si="880"/>
        <v>0</v>
      </c>
      <c r="BZ1226" s="8">
        <f t="shared" si="899"/>
        <v>0</v>
      </c>
      <c r="CA1226" s="8">
        <f t="shared" si="900"/>
        <v>0</v>
      </c>
      <c r="CB1226" s="8">
        <f t="shared" si="901"/>
        <v>0</v>
      </c>
      <c r="CC1226" s="8">
        <f t="shared" si="902"/>
        <v>0</v>
      </c>
      <c r="CD1226" s="8">
        <f t="shared" si="903"/>
        <v>0</v>
      </c>
      <c r="CE1226" s="8">
        <f t="shared" si="904"/>
        <v>0</v>
      </c>
      <c r="CF1226" s="8">
        <f t="shared" si="905"/>
        <v>0</v>
      </c>
      <c r="CG1226" s="8">
        <f t="shared" si="906"/>
        <v>0</v>
      </c>
      <c r="CH1226" s="8">
        <f t="shared" si="907"/>
        <v>0</v>
      </c>
      <c r="CI1226" s="8">
        <f t="shared" si="908"/>
        <v>0</v>
      </c>
      <c r="CJ1226" s="8">
        <f t="shared" si="909"/>
        <v>0</v>
      </c>
      <c r="CK1226" s="8">
        <f t="shared" si="910"/>
        <v>0</v>
      </c>
      <c r="CL1226" s="8">
        <f t="shared" si="911"/>
        <v>0</v>
      </c>
      <c r="CM1226" s="8">
        <f t="shared" si="912"/>
        <v>0</v>
      </c>
      <c r="CN1226" s="8">
        <f t="shared" si="913"/>
        <v>0</v>
      </c>
      <c r="CO1226" s="8">
        <f t="shared" si="914"/>
        <v>0</v>
      </c>
      <c r="CP1226" s="8">
        <f t="shared" si="915"/>
        <v>0</v>
      </c>
      <c r="CQ1226" s="8">
        <f t="shared" si="916"/>
        <v>0</v>
      </c>
      <c r="CR1226" s="8">
        <f t="shared" si="917"/>
        <v>0</v>
      </c>
      <c r="CS1226" s="8">
        <f t="shared" si="918"/>
        <v>0</v>
      </c>
      <c r="CT1226" s="8">
        <f t="shared" si="877"/>
        <v>0</v>
      </c>
      <c r="CU1226" s="8">
        <f t="shared" si="878"/>
        <v>0</v>
      </c>
      <c r="CV1226" s="8">
        <f t="shared" si="879"/>
        <v>0</v>
      </c>
    </row>
    <row r="1227" spans="1:100" ht="20.5" thickTop="1" thickBot="1" x14ac:dyDescent="0.5">
      <c r="A1227" s="32"/>
      <c r="B1227" s="10"/>
      <c r="C1227" s="10"/>
      <c r="D1227" s="11"/>
      <c r="E1227" s="10"/>
      <c r="F1227" s="10"/>
      <c r="G1227" s="19"/>
      <c r="H1227" s="19"/>
      <c r="I1227" s="19"/>
      <c r="J1227" s="19"/>
      <c r="K1227" s="10"/>
      <c r="L1227" s="10"/>
      <c r="M1227" s="10"/>
      <c r="N1227" s="10"/>
      <c r="O1227" s="18"/>
      <c r="P1227" s="18"/>
      <c r="Q1227" s="21"/>
      <c r="R1227" s="20"/>
      <c r="S1227" s="16">
        <f t="shared" si="881"/>
        <v>0</v>
      </c>
      <c r="T1227" s="11"/>
      <c r="AS1227" s="31">
        <f t="shared" si="882"/>
        <v>0</v>
      </c>
      <c r="AT1227" s="31">
        <f t="shared" si="883"/>
        <v>0</v>
      </c>
      <c r="AU1227" s="31">
        <f t="shared" si="884"/>
        <v>0</v>
      </c>
      <c r="AV1227" s="31">
        <f t="shared" si="885"/>
        <v>0</v>
      </c>
      <c r="AW1227" s="31">
        <f t="shared" si="886"/>
        <v>0</v>
      </c>
      <c r="AX1227" s="31">
        <f t="shared" si="887"/>
        <v>0</v>
      </c>
      <c r="AY1227" s="31">
        <f t="shared" si="888"/>
        <v>0</v>
      </c>
      <c r="AZ1227" s="31">
        <f t="shared" si="889"/>
        <v>0</v>
      </c>
      <c r="BA1227" s="31">
        <f t="shared" si="890"/>
        <v>0</v>
      </c>
      <c r="BB1227" s="31">
        <f t="shared" si="919"/>
        <v>0</v>
      </c>
      <c r="BM1227" s="8">
        <f t="shared" si="920"/>
        <v>0</v>
      </c>
      <c r="BN1227" s="8">
        <f t="shared" si="891"/>
        <v>0</v>
      </c>
      <c r="BO1227" s="8">
        <f t="shared" si="892"/>
        <v>0</v>
      </c>
      <c r="BQ1227" s="8">
        <f t="shared" si="893"/>
        <v>0</v>
      </c>
      <c r="BR1227" s="63">
        <f t="shared" si="894"/>
        <v>0</v>
      </c>
      <c r="BS1227" s="63">
        <f t="shared" si="921"/>
        <v>0</v>
      </c>
      <c r="BT1227" s="63">
        <f t="shared" si="895"/>
        <v>0</v>
      </c>
      <c r="BU1227" s="63">
        <f t="shared" si="896"/>
        <v>0</v>
      </c>
      <c r="BV1227" s="57">
        <f t="shared" si="897"/>
        <v>0</v>
      </c>
      <c r="BW1227" s="57">
        <f t="shared" si="898"/>
        <v>0</v>
      </c>
      <c r="BX1227" s="57">
        <f t="shared" si="922"/>
        <v>0</v>
      </c>
      <c r="BY1227" s="57">
        <f t="shared" si="880"/>
        <v>0</v>
      </c>
      <c r="BZ1227" s="8">
        <f t="shared" si="899"/>
        <v>0</v>
      </c>
      <c r="CA1227" s="8">
        <f t="shared" si="900"/>
        <v>0</v>
      </c>
      <c r="CB1227" s="8">
        <f t="shared" si="901"/>
        <v>0</v>
      </c>
      <c r="CC1227" s="8">
        <f t="shared" si="902"/>
        <v>0</v>
      </c>
      <c r="CD1227" s="8">
        <f t="shared" si="903"/>
        <v>0</v>
      </c>
      <c r="CE1227" s="8">
        <f t="shared" si="904"/>
        <v>0</v>
      </c>
      <c r="CF1227" s="8">
        <f t="shared" si="905"/>
        <v>0</v>
      </c>
      <c r="CG1227" s="8">
        <f t="shared" si="906"/>
        <v>0</v>
      </c>
      <c r="CH1227" s="8">
        <f t="shared" si="907"/>
        <v>0</v>
      </c>
      <c r="CI1227" s="8">
        <f t="shared" si="908"/>
        <v>0</v>
      </c>
      <c r="CJ1227" s="8">
        <f t="shared" si="909"/>
        <v>0</v>
      </c>
      <c r="CK1227" s="8">
        <f t="shared" si="910"/>
        <v>0</v>
      </c>
      <c r="CL1227" s="8">
        <f t="shared" si="911"/>
        <v>0</v>
      </c>
      <c r="CM1227" s="8">
        <f t="shared" si="912"/>
        <v>0</v>
      </c>
      <c r="CN1227" s="8">
        <f t="shared" si="913"/>
        <v>0</v>
      </c>
      <c r="CO1227" s="8">
        <f t="shared" si="914"/>
        <v>0</v>
      </c>
      <c r="CP1227" s="8">
        <f t="shared" si="915"/>
        <v>0</v>
      </c>
      <c r="CQ1227" s="8">
        <f t="shared" si="916"/>
        <v>0</v>
      </c>
      <c r="CR1227" s="8">
        <f t="shared" si="917"/>
        <v>0</v>
      </c>
      <c r="CS1227" s="8">
        <f t="shared" si="918"/>
        <v>0</v>
      </c>
      <c r="CT1227" s="8">
        <f t="shared" si="877"/>
        <v>0</v>
      </c>
      <c r="CU1227" s="8">
        <f t="shared" si="878"/>
        <v>0</v>
      </c>
      <c r="CV1227" s="8">
        <f t="shared" si="879"/>
        <v>0</v>
      </c>
    </row>
    <row r="1228" spans="1:100" ht="20.5" thickTop="1" thickBot="1" x14ac:dyDescent="0.5">
      <c r="A1228" s="32"/>
      <c r="B1228" s="10"/>
      <c r="C1228" s="10"/>
      <c r="D1228" s="11"/>
      <c r="E1228" s="10"/>
      <c r="F1228" s="10"/>
      <c r="G1228" s="19"/>
      <c r="H1228" s="19"/>
      <c r="I1228" s="19"/>
      <c r="J1228" s="19"/>
      <c r="K1228" s="10"/>
      <c r="L1228" s="10"/>
      <c r="M1228" s="10"/>
      <c r="N1228" s="10"/>
      <c r="O1228" s="18"/>
      <c r="P1228" s="18"/>
      <c r="Q1228" s="21"/>
      <c r="R1228" s="20"/>
      <c r="S1228" s="16">
        <f t="shared" si="881"/>
        <v>0</v>
      </c>
      <c r="T1228" s="11"/>
      <c r="AS1228" s="31">
        <f t="shared" si="882"/>
        <v>0</v>
      </c>
      <c r="AT1228" s="31">
        <f t="shared" si="883"/>
        <v>0</v>
      </c>
      <c r="AU1228" s="31">
        <f t="shared" si="884"/>
        <v>0</v>
      </c>
      <c r="AV1228" s="31">
        <f t="shared" si="885"/>
        <v>0</v>
      </c>
      <c r="AW1228" s="31">
        <f t="shared" si="886"/>
        <v>0</v>
      </c>
      <c r="AX1228" s="31">
        <f t="shared" si="887"/>
        <v>0</v>
      </c>
      <c r="AY1228" s="31">
        <f t="shared" si="888"/>
        <v>0</v>
      </c>
      <c r="AZ1228" s="31">
        <f t="shared" si="889"/>
        <v>0</v>
      </c>
      <c r="BA1228" s="31">
        <f t="shared" si="890"/>
        <v>0</v>
      </c>
      <c r="BB1228" s="31">
        <f t="shared" si="919"/>
        <v>0</v>
      </c>
      <c r="BM1228" s="8">
        <f t="shared" si="920"/>
        <v>0</v>
      </c>
      <c r="BN1228" s="8">
        <f t="shared" si="891"/>
        <v>0</v>
      </c>
      <c r="BO1228" s="8">
        <f t="shared" si="892"/>
        <v>0</v>
      </c>
      <c r="BQ1228" s="8">
        <f t="shared" si="893"/>
        <v>0</v>
      </c>
      <c r="BR1228" s="63">
        <f t="shared" si="894"/>
        <v>0</v>
      </c>
      <c r="BS1228" s="63">
        <f t="shared" si="921"/>
        <v>0</v>
      </c>
      <c r="BT1228" s="63">
        <f t="shared" si="895"/>
        <v>0</v>
      </c>
      <c r="BU1228" s="63">
        <f t="shared" si="896"/>
        <v>0</v>
      </c>
      <c r="BV1228" s="57">
        <f t="shared" si="897"/>
        <v>0</v>
      </c>
      <c r="BW1228" s="57">
        <f t="shared" si="898"/>
        <v>0</v>
      </c>
      <c r="BX1228" s="57">
        <f t="shared" si="922"/>
        <v>0</v>
      </c>
      <c r="BY1228" s="57">
        <f t="shared" si="880"/>
        <v>0</v>
      </c>
      <c r="BZ1228" s="8">
        <f t="shared" si="899"/>
        <v>0</v>
      </c>
      <c r="CA1228" s="8">
        <f t="shared" si="900"/>
        <v>0</v>
      </c>
      <c r="CB1228" s="8">
        <f t="shared" si="901"/>
        <v>0</v>
      </c>
      <c r="CC1228" s="8">
        <f t="shared" si="902"/>
        <v>0</v>
      </c>
      <c r="CD1228" s="8">
        <f t="shared" si="903"/>
        <v>0</v>
      </c>
      <c r="CE1228" s="8">
        <f t="shared" si="904"/>
        <v>0</v>
      </c>
      <c r="CF1228" s="8">
        <f t="shared" si="905"/>
        <v>0</v>
      </c>
      <c r="CG1228" s="8">
        <f t="shared" si="906"/>
        <v>0</v>
      </c>
      <c r="CH1228" s="8">
        <f t="shared" si="907"/>
        <v>0</v>
      </c>
      <c r="CI1228" s="8">
        <f t="shared" si="908"/>
        <v>0</v>
      </c>
      <c r="CJ1228" s="8">
        <f t="shared" si="909"/>
        <v>0</v>
      </c>
      <c r="CK1228" s="8">
        <f t="shared" si="910"/>
        <v>0</v>
      </c>
      <c r="CL1228" s="8">
        <f t="shared" si="911"/>
        <v>0</v>
      </c>
      <c r="CM1228" s="8">
        <f t="shared" si="912"/>
        <v>0</v>
      </c>
      <c r="CN1228" s="8">
        <f t="shared" si="913"/>
        <v>0</v>
      </c>
      <c r="CO1228" s="8">
        <f t="shared" si="914"/>
        <v>0</v>
      </c>
      <c r="CP1228" s="8">
        <f t="shared" si="915"/>
        <v>0</v>
      </c>
      <c r="CQ1228" s="8">
        <f t="shared" si="916"/>
        <v>0</v>
      </c>
      <c r="CR1228" s="8">
        <f t="shared" si="917"/>
        <v>0</v>
      </c>
      <c r="CS1228" s="8">
        <f t="shared" si="918"/>
        <v>0</v>
      </c>
      <c r="CT1228" s="8">
        <f t="shared" si="877"/>
        <v>0</v>
      </c>
      <c r="CU1228" s="8">
        <f t="shared" si="878"/>
        <v>0</v>
      </c>
      <c r="CV1228" s="8">
        <f t="shared" si="879"/>
        <v>0</v>
      </c>
    </row>
    <row r="1229" spans="1:100" ht="20.5" thickTop="1" thickBot="1" x14ac:dyDescent="0.5">
      <c r="A1229" s="32"/>
      <c r="B1229" s="10"/>
      <c r="C1229" s="10"/>
      <c r="D1229" s="11"/>
      <c r="E1229" s="10"/>
      <c r="F1229" s="10"/>
      <c r="G1229" s="19"/>
      <c r="H1229" s="19"/>
      <c r="I1229" s="19"/>
      <c r="J1229" s="19"/>
      <c r="K1229" s="10"/>
      <c r="L1229" s="10"/>
      <c r="M1229" s="10"/>
      <c r="N1229" s="10"/>
      <c r="O1229" s="18"/>
      <c r="P1229" s="18"/>
      <c r="Q1229" s="21"/>
      <c r="R1229" s="20"/>
      <c r="S1229" s="16">
        <f t="shared" si="881"/>
        <v>0</v>
      </c>
      <c r="T1229" s="11"/>
      <c r="AS1229" s="31">
        <f t="shared" si="882"/>
        <v>0</v>
      </c>
      <c r="AT1229" s="31">
        <f t="shared" si="883"/>
        <v>0</v>
      </c>
      <c r="AU1229" s="31">
        <f t="shared" si="884"/>
        <v>0</v>
      </c>
      <c r="AV1229" s="31">
        <f t="shared" si="885"/>
        <v>0</v>
      </c>
      <c r="AW1229" s="31">
        <f t="shared" si="886"/>
        <v>0</v>
      </c>
      <c r="AX1229" s="31">
        <f t="shared" si="887"/>
        <v>0</v>
      </c>
      <c r="AY1229" s="31">
        <f t="shared" si="888"/>
        <v>0</v>
      </c>
      <c r="AZ1229" s="31">
        <f t="shared" si="889"/>
        <v>0</v>
      </c>
      <c r="BA1229" s="31">
        <f t="shared" si="890"/>
        <v>0</v>
      </c>
      <c r="BB1229" s="31">
        <f t="shared" si="919"/>
        <v>0</v>
      </c>
      <c r="BM1229" s="8">
        <f t="shared" si="920"/>
        <v>0</v>
      </c>
      <c r="BN1229" s="8">
        <f t="shared" si="891"/>
        <v>0</v>
      </c>
      <c r="BO1229" s="8">
        <f t="shared" si="892"/>
        <v>0</v>
      </c>
      <c r="BQ1229" s="8">
        <f t="shared" si="893"/>
        <v>0</v>
      </c>
      <c r="BR1229" s="63">
        <f t="shared" si="894"/>
        <v>0</v>
      </c>
      <c r="BS1229" s="63">
        <f t="shared" si="921"/>
        <v>0</v>
      </c>
      <c r="BT1229" s="63">
        <f t="shared" si="895"/>
        <v>0</v>
      </c>
      <c r="BU1229" s="63">
        <f t="shared" si="896"/>
        <v>0</v>
      </c>
      <c r="BV1229" s="57">
        <f t="shared" si="897"/>
        <v>0</v>
      </c>
      <c r="BW1229" s="57">
        <f t="shared" si="898"/>
        <v>0</v>
      </c>
      <c r="BX1229" s="57">
        <f t="shared" si="922"/>
        <v>0</v>
      </c>
      <c r="BY1229" s="57">
        <f t="shared" si="880"/>
        <v>0</v>
      </c>
      <c r="BZ1229" s="8">
        <f t="shared" si="899"/>
        <v>0</v>
      </c>
      <c r="CA1229" s="8">
        <f t="shared" si="900"/>
        <v>0</v>
      </c>
      <c r="CB1229" s="8">
        <f t="shared" si="901"/>
        <v>0</v>
      </c>
      <c r="CC1229" s="8">
        <f t="shared" si="902"/>
        <v>0</v>
      </c>
      <c r="CD1229" s="8">
        <f t="shared" si="903"/>
        <v>0</v>
      </c>
      <c r="CE1229" s="8">
        <f t="shared" si="904"/>
        <v>0</v>
      </c>
      <c r="CF1229" s="8">
        <f t="shared" si="905"/>
        <v>0</v>
      </c>
      <c r="CG1229" s="8">
        <f t="shared" si="906"/>
        <v>0</v>
      </c>
      <c r="CH1229" s="8">
        <f t="shared" si="907"/>
        <v>0</v>
      </c>
      <c r="CI1229" s="8">
        <f t="shared" si="908"/>
        <v>0</v>
      </c>
      <c r="CJ1229" s="8">
        <f t="shared" si="909"/>
        <v>0</v>
      </c>
      <c r="CK1229" s="8">
        <f t="shared" si="910"/>
        <v>0</v>
      </c>
      <c r="CL1229" s="8">
        <f t="shared" si="911"/>
        <v>0</v>
      </c>
      <c r="CM1229" s="8">
        <f t="shared" si="912"/>
        <v>0</v>
      </c>
      <c r="CN1229" s="8">
        <f t="shared" si="913"/>
        <v>0</v>
      </c>
      <c r="CO1229" s="8">
        <f t="shared" si="914"/>
        <v>0</v>
      </c>
      <c r="CP1229" s="8">
        <f t="shared" si="915"/>
        <v>0</v>
      </c>
      <c r="CQ1229" s="8">
        <f t="shared" si="916"/>
        <v>0</v>
      </c>
      <c r="CR1229" s="8">
        <f t="shared" si="917"/>
        <v>0</v>
      </c>
      <c r="CS1229" s="8">
        <f t="shared" si="918"/>
        <v>0</v>
      </c>
      <c r="CT1229" s="8">
        <f t="shared" ref="CT1229:CT1292" si="923">IF(AND(J1229&gt;0,OR(B1229="MB",B1229="new MB")),J1229,0)*4+IF(AND(J1229&gt;0,OR(C1229="MB",C1229="new MB")),J1229,0)*4</f>
        <v>0</v>
      </c>
      <c r="CU1229" s="8">
        <f t="shared" ref="CU1229:CU1292" si="924">IF(AND(I1229&gt;0,OR(B1229="MB",B1229="new MB")),I1229,0)*4+IF(AND(I1229&gt;0,OR(C1229="MB",C1229="new MB")),I1229,0)*4</f>
        <v>0</v>
      </c>
      <c r="CV1229" s="8">
        <f t="shared" ref="CV1229:CV1292" si="925">IF(AND(H1229&gt;0,OR(B1229="MB",B1229="new MB")),H1229,0)*4+IF(AND(H1229&gt;0,OR(C1229="MB",C1229="new MB")),H1229,0)*4</f>
        <v>0</v>
      </c>
    </row>
    <row r="1230" spans="1:100" ht="20.5" thickTop="1" thickBot="1" x14ac:dyDescent="0.5">
      <c r="A1230" s="32"/>
      <c r="B1230" s="10"/>
      <c r="C1230" s="10"/>
      <c r="D1230" s="11"/>
      <c r="E1230" s="10"/>
      <c r="F1230" s="10"/>
      <c r="G1230" s="19"/>
      <c r="H1230" s="19"/>
      <c r="I1230" s="19"/>
      <c r="J1230" s="19"/>
      <c r="K1230" s="10"/>
      <c r="L1230" s="10"/>
      <c r="M1230" s="10"/>
      <c r="N1230" s="10"/>
      <c r="O1230" s="18"/>
      <c r="P1230" s="18"/>
      <c r="Q1230" s="21"/>
      <c r="R1230" s="20"/>
      <c r="S1230" s="16">
        <f t="shared" si="881"/>
        <v>0</v>
      </c>
      <c r="T1230" s="11"/>
      <c r="AS1230" s="31">
        <f t="shared" si="882"/>
        <v>0</v>
      </c>
      <c r="AT1230" s="31">
        <f t="shared" si="883"/>
        <v>0</v>
      </c>
      <c r="AU1230" s="31">
        <f t="shared" si="884"/>
        <v>0</v>
      </c>
      <c r="AV1230" s="31">
        <f t="shared" si="885"/>
        <v>0</v>
      </c>
      <c r="AW1230" s="31">
        <f t="shared" si="886"/>
        <v>0</v>
      </c>
      <c r="AX1230" s="31">
        <f t="shared" si="887"/>
        <v>0</v>
      </c>
      <c r="AY1230" s="31">
        <f t="shared" si="888"/>
        <v>0</v>
      </c>
      <c r="AZ1230" s="31">
        <f t="shared" si="889"/>
        <v>0</v>
      </c>
      <c r="BA1230" s="31">
        <f t="shared" si="890"/>
        <v>0</v>
      </c>
      <c r="BB1230" s="31">
        <f t="shared" si="919"/>
        <v>0</v>
      </c>
      <c r="BM1230" s="8">
        <f t="shared" si="920"/>
        <v>0</v>
      </c>
      <c r="BN1230" s="8">
        <f t="shared" si="891"/>
        <v>0</v>
      </c>
      <c r="BO1230" s="8">
        <f t="shared" si="892"/>
        <v>0</v>
      </c>
      <c r="BQ1230" s="8">
        <f t="shared" si="893"/>
        <v>0</v>
      </c>
      <c r="BR1230" s="63">
        <f t="shared" si="894"/>
        <v>0</v>
      </c>
      <c r="BS1230" s="63">
        <f t="shared" si="921"/>
        <v>0</v>
      </c>
      <c r="BT1230" s="63">
        <f t="shared" si="895"/>
        <v>0</v>
      </c>
      <c r="BU1230" s="63">
        <f t="shared" si="896"/>
        <v>0</v>
      </c>
      <c r="BV1230" s="57">
        <f t="shared" si="897"/>
        <v>0</v>
      </c>
      <c r="BW1230" s="57">
        <f t="shared" si="898"/>
        <v>0</v>
      </c>
      <c r="BX1230" s="57">
        <f t="shared" si="922"/>
        <v>0</v>
      </c>
      <c r="BY1230" s="57">
        <f t="shared" si="880"/>
        <v>0</v>
      </c>
      <c r="BZ1230" s="8">
        <f t="shared" si="899"/>
        <v>0</v>
      </c>
      <c r="CA1230" s="8">
        <f t="shared" si="900"/>
        <v>0</v>
      </c>
      <c r="CB1230" s="8">
        <f t="shared" si="901"/>
        <v>0</v>
      </c>
      <c r="CC1230" s="8">
        <f t="shared" si="902"/>
        <v>0</v>
      </c>
      <c r="CD1230" s="8">
        <f t="shared" si="903"/>
        <v>0</v>
      </c>
      <c r="CE1230" s="8">
        <f t="shared" si="904"/>
        <v>0</v>
      </c>
      <c r="CF1230" s="8">
        <f t="shared" si="905"/>
        <v>0</v>
      </c>
      <c r="CG1230" s="8">
        <f t="shared" si="906"/>
        <v>0</v>
      </c>
      <c r="CH1230" s="8">
        <f t="shared" si="907"/>
        <v>0</v>
      </c>
      <c r="CI1230" s="8">
        <f t="shared" si="908"/>
        <v>0</v>
      </c>
      <c r="CJ1230" s="8">
        <f t="shared" si="909"/>
        <v>0</v>
      </c>
      <c r="CK1230" s="8">
        <f t="shared" si="910"/>
        <v>0</v>
      </c>
      <c r="CL1230" s="8">
        <f t="shared" si="911"/>
        <v>0</v>
      </c>
      <c r="CM1230" s="8">
        <f t="shared" si="912"/>
        <v>0</v>
      </c>
      <c r="CN1230" s="8">
        <f t="shared" si="913"/>
        <v>0</v>
      </c>
      <c r="CO1230" s="8">
        <f t="shared" si="914"/>
        <v>0</v>
      </c>
      <c r="CP1230" s="8">
        <f t="shared" si="915"/>
        <v>0</v>
      </c>
      <c r="CQ1230" s="8">
        <f t="shared" si="916"/>
        <v>0</v>
      </c>
      <c r="CR1230" s="8">
        <f t="shared" si="917"/>
        <v>0</v>
      </c>
      <c r="CS1230" s="8">
        <f t="shared" si="918"/>
        <v>0</v>
      </c>
      <c r="CT1230" s="8">
        <f t="shared" si="923"/>
        <v>0</v>
      </c>
      <c r="CU1230" s="8">
        <f t="shared" si="924"/>
        <v>0</v>
      </c>
      <c r="CV1230" s="8">
        <f t="shared" si="925"/>
        <v>0</v>
      </c>
    </row>
    <row r="1231" spans="1:100" ht="20.5" thickTop="1" thickBot="1" x14ac:dyDescent="0.5">
      <c r="A1231" s="32"/>
      <c r="B1231" s="10"/>
      <c r="C1231" s="10"/>
      <c r="D1231" s="11"/>
      <c r="E1231" s="10"/>
      <c r="F1231" s="10"/>
      <c r="G1231" s="19"/>
      <c r="H1231" s="19"/>
      <c r="I1231" s="19"/>
      <c r="J1231" s="19"/>
      <c r="K1231" s="10"/>
      <c r="L1231" s="10"/>
      <c r="M1231" s="10"/>
      <c r="N1231" s="10"/>
      <c r="O1231" s="18"/>
      <c r="P1231" s="18"/>
      <c r="Q1231" s="21"/>
      <c r="R1231" s="20"/>
      <c r="S1231" s="16">
        <f t="shared" si="881"/>
        <v>0</v>
      </c>
      <c r="T1231" s="11"/>
      <c r="AS1231" s="31">
        <f t="shared" si="882"/>
        <v>0</v>
      </c>
      <c r="AT1231" s="31">
        <f t="shared" si="883"/>
        <v>0</v>
      </c>
      <c r="AU1231" s="31">
        <f t="shared" si="884"/>
        <v>0</v>
      </c>
      <c r="AV1231" s="31">
        <f t="shared" si="885"/>
        <v>0</v>
      </c>
      <c r="AW1231" s="31">
        <f t="shared" si="886"/>
        <v>0</v>
      </c>
      <c r="AX1231" s="31">
        <f t="shared" si="887"/>
        <v>0</v>
      </c>
      <c r="AY1231" s="31">
        <f t="shared" si="888"/>
        <v>0</v>
      </c>
      <c r="AZ1231" s="31">
        <f t="shared" si="889"/>
        <v>0</v>
      </c>
      <c r="BA1231" s="31">
        <f t="shared" si="890"/>
        <v>0</v>
      </c>
      <c r="BB1231" s="31">
        <f t="shared" si="919"/>
        <v>0</v>
      </c>
      <c r="BM1231" s="8">
        <f t="shared" si="920"/>
        <v>0</v>
      </c>
      <c r="BN1231" s="8">
        <f t="shared" si="891"/>
        <v>0</v>
      </c>
      <c r="BO1231" s="8">
        <f t="shared" si="892"/>
        <v>0</v>
      </c>
      <c r="BQ1231" s="8">
        <f t="shared" si="893"/>
        <v>0</v>
      </c>
      <c r="BR1231" s="63">
        <f t="shared" si="894"/>
        <v>0</v>
      </c>
      <c r="BS1231" s="63">
        <f t="shared" si="921"/>
        <v>0</v>
      </c>
      <c r="BT1231" s="63">
        <f t="shared" si="895"/>
        <v>0</v>
      </c>
      <c r="BU1231" s="63">
        <f t="shared" si="896"/>
        <v>0</v>
      </c>
      <c r="BV1231" s="57">
        <f t="shared" si="897"/>
        <v>0</v>
      </c>
      <c r="BW1231" s="57">
        <f t="shared" si="898"/>
        <v>0</v>
      </c>
      <c r="BX1231" s="57">
        <f t="shared" si="922"/>
        <v>0</v>
      </c>
      <c r="BY1231" s="57">
        <f t="shared" si="880"/>
        <v>0</v>
      </c>
      <c r="BZ1231" s="8">
        <f t="shared" si="899"/>
        <v>0</v>
      </c>
      <c r="CA1231" s="8">
        <f t="shared" si="900"/>
        <v>0</v>
      </c>
      <c r="CB1231" s="8">
        <f t="shared" si="901"/>
        <v>0</v>
      </c>
      <c r="CC1231" s="8">
        <f t="shared" si="902"/>
        <v>0</v>
      </c>
      <c r="CD1231" s="8">
        <f t="shared" si="903"/>
        <v>0</v>
      </c>
      <c r="CE1231" s="8">
        <f t="shared" si="904"/>
        <v>0</v>
      </c>
      <c r="CF1231" s="8">
        <f t="shared" si="905"/>
        <v>0</v>
      </c>
      <c r="CG1231" s="8">
        <f t="shared" si="906"/>
        <v>0</v>
      </c>
      <c r="CH1231" s="8">
        <f t="shared" si="907"/>
        <v>0</v>
      </c>
      <c r="CI1231" s="8">
        <f t="shared" si="908"/>
        <v>0</v>
      </c>
      <c r="CJ1231" s="8">
        <f t="shared" si="909"/>
        <v>0</v>
      </c>
      <c r="CK1231" s="8">
        <f t="shared" si="910"/>
        <v>0</v>
      </c>
      <c r="CL1231" s="8">
        <f t="shared" si="911"/>
        <v>0</v>
      </c>
      <c r="CM1231" s="8">
        <f t="shared" si="912"/>
        <v>0</v>
      </c>
      <c r="CN1231" s="8">
        <f t="shared" si="913"/>
        <v>0</v>
      </c>
      <c r="CO1231" s="8">
        <f t="shared" si="914"/>
        <v>0</v>
      </c>
      <c r="CP1231" s="8">
        <f t="shared" si="915"/>
        <v>0</v>
      </c>
      <c r="CQ1231" s="8">
        <f t="shared" si="916"/>
        <v>0</v>
      </c>
      <c r="CR1231" s="8">
        <f t="shared" si="917"/>
        <v>0</v>
      </c>
      <c r="CS1231" s="8">
        <f t="shared" si="918"/>
        <v>0</v>
      </c>
      <c r="CT1231" s="8">
        <f t="shared" si="923"/>
        <v>0</v>
      </c>
      <c r="CU1231" s="8">
        <f t="shared" si="924"/>
        <v>0</v>
      </c>
      <c r="CV1231" s="8">
        <f t="shared" si="925"/>
        <v>0</v>
      </c>
    </row>
    <row r="1232" spans="1:100" ht="20.5" thickTop="1" thickBot="1" x14ac:dyDescent="0.5">
      <c r="A1232" s="32"/>
      <c r="B1232" s="10"/>
      <c r="C1232" s="10"/>
      <c r="D1232" s="11"/>
      <c r="E1232" s="10"/>
      <c r="F1232" s="10"/>
      <c r="G1232" s="19"/>
      <c r="H1232" s="19"/>
      <c r="I1232" s="19"/>
      <c r="J1232" s="19"/>
      <c r="K1232" s="10"/>
      <c r="L1232" s="10"/>
      <c r="M1232" s="10"/>
      <c r="N1232" s="10"/>
      <c r="O1232" s="18"/>
      <c r="P1232" s="18"/>
      <c r="Q1232" s="21"/>
      <c r="R1232" s="20"/>
      <c r="S1232" s="16">
        <f t="shared" si="881"/>
        <v>0</v>
      </c>
      <c r="T1232" s="11"/>
      <c r="AS1232" s="31">
        <f t="shared" si="882"/>
        <v>0</v>
      </c>
      <c r="AT1232" s="31">
        <f t="shared" si="883"/>
        <v>0</v>
      </c>
      <c r="AU1232" s="31">
        <f t="shared" si="884"/>
        <v>0</v>
      </c>
      <c r="AV1232" s="31">
        <f t="shared" si="885"/>
        <v>0</v>
      </c>
      <c r="AW1232" s="31">
        <f t="shared" si="886"/>
        <v>0</v>
      </c>
      <c r="AX1232" s="31">
        <f t="shared" si="887"/>
        <v>0</v>
      </c>
      <c r="AY1232" s="31">
        <f t="shared" si="888"/>
        <v>0</v>
      </c>
      <c r="AZ1232" s="31">
        <f t="shared" si="889"/>
        <v>0</v>
      </c>
      <c r="BA1232" s="31">
        <f t="shared" si="890"/>
        <v>0</v>
      </c>
      <c r="BB1232" s="31">
        <f t="shared" si="919"/>
        <v>0</v>
      </c>
      <c r="BM1232" s="8">
        <f t="shared" si="920"/>
        <v>0</v>
      </c>
      <c r="BN1232" s="8">
        <f t="shared" si="891"/>
        <v>0</v>
      </c>
      <c r="BO1232" s="8">
        <f t="shared" si="892"/>
        <v>0</v>
      </c>
      <c r="BQ1232" s="8">
        <f t="shared" si="893"/>
        <v>0</v>
      </c>
      <c r="BR1232" s="63">
        <f t="shared" si="894"/>
        <v>0</v>
      </c>
      <c r="BS1232" s="63">
        <f t="shared" si="921"/>
        <v>0</v>
      </c>
      <c r="BT1232" s="63">
        <f t="shared" si="895"/>
        <v>0</v>
      </c>
      <c r="BU1232" s="63">
        <f t="shared" si="896"/>
        <v>0</v>
      </c>
      <c r="BV1232" s="57">
        <f t="shared" si="897"/>
        <v>0</v>
      </c>
      <c r="BW1232" s="57">
        <f t="shared" si="898"/>
        <v>0</v>
      </c>
      <c r="BX1232" s="57">
        <f t="shared" si="922"/>
        <v>0</v>
      </c>
      <c r="BY1232" s="57">
        <f t="shared" si="880"/>
        <v>0</v>
      </c>
      <c r="BZ1232" s="8">
        <f t="shared" si="899"/>
        <v>0</v>
      </c>
      <c r="CA1232" s="8">
        <f t="shared" si="900"/>
        <v>0</v>
      </c>
      <c r="CB1232" s="8">
        <f t="shared" si="901"/>
        <v>0</v>
      </c>
      <c r="CC1232" s="8">
        <f t="shared" si="902"/>
        <v>0</v>
      </c>
      <c r="CD1232" s="8">
        <f t="shared" si="903"/>
        <v>0</v>
      </c>
      <c r="CE1232" s="8">
        <f t="shared" si="904"/>
        <v>0</v>
      </c>
      <c r="CF1232" s="8">
        <f t="shared" si="905"/>
        <v>0</v>
      </c>
      <c r="CG1232" s="8">
        <f t="shared" si="906"/>
        <v>0</v>
      </c>
      <c r="CH1232" s="8">
        <f t="shared" si="907"/>
        <v>0</v>
      </c>
      <c r="CI1232" s="8">
        <f t="shared" si="908"/>
        <v>0</v>
      </c>
      <c r="CJ1232" s="8">
        <f t="shared" si="909"/>
        <v>0</v>
      </c>
      <c r="CK1232" s="8">
        <f t="shared" si="910"/>
        <v>0</v>
      </c>
      <c r="CL1232" s="8">
        <f t="shared" si="911"/>
        <v>0</v>
      </c>
      <c r="CM1232" s="8">
        <f t="shared" si="912"/>
        <v>0</v>
      </c>
      <c r="CN1232" s="8">
        <f t="shared" si="913"/>
        <v>0</v>
      </c>
      <c r="CO1232" s="8">
        <f t="shared" si="914"/>
        <v>0</v>
      </c>
      <c r="CP1232" s="8">
        <f t="shared" si="915"/>
        <v>0</v>
      </c>
      <c r="CQ1232" s="8">
        <f t="shared" si="916"/>
        <v>0</v>
      </c>
      <c r="CR1232" s="8">
        <f t="shared" si="917"/>
        <v>0</v>
      </c>
      <c r="CS1232" s="8">
        <f t="shared" si="918"/>
        <v>0</v>
      </c>
      <c r="CT1232" s="8">
        <f t="shared" si="923"/>
        <v>0</v>
      </c>
      <c r="CU1232" s="8">
        <f t="shared" si="924"/>
        <v>0</v>
      </c>
      <c r="CV1232" s="8">
        <f t="shared" si="925"/>
        <v>0</v>
      </c>
    </row>
    <row r="1233" spans="1:100" ht="20.5" thickTop="1" thickBot="1" x14ac:dyDescent="0.5">
      <c r="A1233" s="32"/>
      <c r="B1233" s="10"/>
      <c r="C1233" s="10"/>
      <c r="D1233" s="11"/>
      <c r="E1233" s="10"/>
      <c r="F1233" s="10"/>
      <c r="G1233" s="19"/>
      <c r="H1233" s="19"/>
      <c r="I1233" s="19"/>
      <c r="J1233" s="19"/>
      <c r="K1233" s="10"/>
      <c r="L1233" s="10"/>
      <c r="M1233" s="10"/>
      <c r="N1233" s="10"/>
      <c r="O1233" s="18"/>
      <c r="P1233" s="18"/>
      <c r="Q1233" s="21"/>
      <c r="R1233" s="20"/>
      <c r="S1233" s="16">
        <f t="shared" si="881"/>
        <v>0</v>
      </c>
      <c r="T1233" s="11"/>
      <c r="AS1233" s="31">
        <f t="shared" si="882"/>
        <v>0</v>
      </c>
      <c r="AT1233" s="31">
        <f t="shared" si="883"/>
        <v>0</v>
      </c>
      <c r="AU1233" s="31">
        <f t="shared" si="884"/>
        <v>0</v>
      </c>
      <c r="AV1233" s="31">
        <f t="shared" si="885"/>
        <v>0</v>
      </c>
      <c r="AW1233" s="31">
        <f t="shared" si="886"/>
        <v>0</v>
      </c>
      <c r="AX1233" s="31">
        <f t="shared" si="887"/>
        <v>0</v>
      </c>
      <c r="AY1233" s="31">
        <f t="shared" si="888"/>
        <v>0</v>
      </c>
      <c r="AZ1233" s="31">
        <f t="shared" si="889"/>
        <v>0</v>
      </c>
      <c r="BA1233" s="31">
        <f t="shared" si="890"/>
        <v>0</v>
      </c>
      <c r="BB1233" s="31">
        <f t="shared" si="919"/>
        <v>0</v>
      </c>
      <c r="BM1233" s="8">
        <f t="shared" si="920"/>
        <v>0</v>
      </c>
      <c r="BN1233" s="8">
        <f t="shared" si="891"/>
        <v>0</v>
      </c>
      <c r="BO1233" s="8">
        <f t="shared" si="892"/>
        <v>0</v>
      </c>
      <c r="BQ1233" s="8">
        <f t="shared" si="893"/>
        <v>0</v>
      </c>
      <c r="BR1233" s="63">
        <f t="shared" si="894"/>
        <v>0</v>
      </c>
      <c r="BS1233" s="63">
        <f t="shared" si="921"/>
        <v>0</v>
      </c>
      <c r="BT1233" s="63">
        <f t="shared" si="895"/>
        <v>0</v>
      </c>
      <c r="BU1233" s="63">
        <f t="shared" si="896"/>
        <v>0</v>
      </c>
      <c r="BV1233" s="57">
        <f t="shared" si="897"/>
        <v>0</v>
      </c>
      <c r="BW1233" s="57">
        <f t="shared" si="898"/>
        <v>0</v>
      </c>
      <c r="BX1233" s="57">
        <f t="shared" si="922"/>
        <v>0</v>
      </c>
      <c r="BY1233" s="57">
        <f t="shared" si="880"/>
        <v>0</v>
      </c>
      <c r="BZ1233" s="8">
        <f t="shared" si="899"/>
        <v>0</v>
      </c>
      <c r="CA1233" s="8">
        <f t="shared" si="900"/>
        <v>0</v>
      </c>
      <c r="CB1233" s="8">
        <f t="shared" si="901"/>
        <v>0</v>
      </c>
      <c r="CC1233" s="8">
        <f t="shared" si="902"/>
        <v>0</v>
      </c>
      <c r="CD1233" s="8">
        <f t="shared" si="903"/>
        <v>0</v>
      </c>
      <c r="CE1233" s="8">
        <f t="shared" si="904"/>
        <v>0</v>
      </c>
      <c r="CF1233" s="8">
        <f t="shared" si="905"/>
        <v>0</v>
      </c>
      <c r="CG1233" s="8">
        <f t="shared" si="906"/>
        <v>0</v>
      </c>
      <c r="CH1233" s="8">
        <f t="shared" si="907"/>
        <v>0</v>
      </c>
      <c r="CI1233" s="8">
        <f t="shared" si="908"/>
        <v>0</v>
      </c>
      <c r="CJ1233" s="8">
        <f t="shared" si="909"/>
        <v>0</v>
      </c>
      <c r="CK1233" s="8">
        <f t="shared" si="910"/>
        <v>0</v>
      </c>
      <c r="CL1233" s="8">
        <f t="shared" si="911"/>
        <v>0</v>
      </c>
      <c r="CM1233" s="8">
        <f t="shared" si="912"/>
        <v>0</v>
      </c>
      <c r="CN1233" s="8">
        <f t="shared" si="913"/>
        <v>0</v>
      </c>
      <c r="CO1233" s="8">
        <f t="shared" si="914"/>
        <v>0</v>
      </c>
      <c r="CP1233" s="8">
        <f t="shared" si="915"/>
        <v>0</v>
      </c>
      <c r="CQ1233" s="8">
        <f t="shared" si="916"/>
        <v>0</v>
      </c>
      <c r="CR1233" s="8">
        <f t="shared" si="917"/>
        <v>0</v>
      </c>
      <c r="CS1233" s="8">
        <f t="shared" si="918"/>
        <v>0</v>
      </c>
      <c r="CT1233" s="8">
        <f t="shared" si="923"/>
        <v>0</v>
      </c>
      <c r="CU1233" s="8">
        <f t="shared" si="924"/>
        <v>0</v>
      </c>
      <c r="CV1233" s="8">
        <f t="shared" si="925"/>
        <v>0</v>
      </c>
    </row>
    <row r="1234" spans="1:100" ht="20.5" thickTop="1" thickBot="1" x14ac:dyDescent="0.5">
      <c r="A1234" s="32"/>
      <c r="B1234" s="10"/>
      <c r="C1234" s="10"/>
      <c r="D1234" s="11"/>
      <c r="E1234" s="10"/>
      <c r="F1234" s="10"/>
      <c r="G1234" s="19"/>
      <c r="H1234" s="19"/>
      <c r="I1234" s="19"/>
      <c r="J1234" s="19"/>
      <c r="K1234" s="10"/>
      <c r="L1234" s="10"/>
      <c r="M1234" s="10"/>
      <c r="N1234" s="10"/>
      <c r="O1234" s="18"/>
      <c r="P1234" s="18"/>
      <c r="Q1234" s="21"/>
      <c r="R1234" s="20"/>
      <c r="S1234" s="16">
        <f t="shared" si="881"/>
        <v>0</v>
      </c>
      <c r="T1234" s="11"/>
      <c r="AS1234" s="31">
        <f t="shared" si="882"/>
        <v>0</v>
      </c>
      <c r="AT1234" s="31">
        <f t="shared" si="883"/>
        <v>0</v>
      </c>
      <c r="AU1234" s="31">
        <f t="shared" si="884"/>
        <v>0</v>
      </c>
      <c r="AV1234" s="31">
        <f t="shared" si="885"/>
        <v>0</v>
      </c>
      <c r="AW1234" s="31">
        <f t="shared" si="886"/>
        <v>0</v>
      </c>
      <c r="AX1234" s="31">
        <f t="shared" si="887"/>
        <v>0</v>
      </c>
      <c r="AY1234" s="31">
        <f t="shared" si="888"/>
        <v>0</v>
      </c>
      <c r="AZ1234" s="31">
        <f t="shared" si="889"/>
        <v>0</v>
      </c>
      <c r="BA1234" s="31">
        <f t="shared" si="890"/>
        <v>0</v>
      </c>
      <c r="BB1234" s="31">
        <f t="shared" si="919"/>
        <v>0</v>
      </c>
      <c r="BM1234" s="8">
        <f t="shared" si="920"/>
        <v>0</v>
      </c>
      <c r="BN1234" s="8">
        <f t="shared" si="891"/>
        <v>0</v>
      </c>
      <c r="BO1234" s="8">
        <f t="shared" si="892"/>
        <v>0</v>
      </c>
      <c r="BQ1234" s="8">
        <f t="shared" si="893"/>
        <v>0</v>
      </c>
      <c r="BR1234" s="63">
        <f t="shared" si="894"/>
        <v>0</v>
      </c>
      <c r="BS1234" s="63">
        <f t="shared" si="921"/>
        <v>0</v>
      </c>
      <c r="BT1234" s="63">
        <f t="shared" si="895"/>
        <v>0</v>
      </c>
      <c r="BU1234" s="63">
        <f t="shared" si="896"/>
        <v>0</v>
      </c>
      <c r="BV1234" s="57">
        <f t="shared" si="897"/>
        <v>0</v>
      </c>
      <c r="BW1234" s="57">
        <f t="shared" si="898"/>
        <v>0</v>
      </c>
      <c r="BX1234" s="57">
        <f t="shared" si="922"/>
        <v>0</v>
      </c>
      <c r="BY1234" s="57">
        <f t="shared" si="880"/>
        <v>0</v>
      </c>
      <c r="BZ1234" s="8">
        <f t="shared" si="899"/>
        <v>0</v>
      </c>
      <c r="CA1234" s="8">
        <f t="shared" si="900"/>
        <v>0</v>
      </c>
      <c r="CB1234" s="8">
        <f t="shared" si="901"/>
        <v>0</v>
      </c>
      <c r="CC1234" s="8">
        <f t="shared" si="902"/>
        <v>0</v>
      </c>
      <c r="CD1234" s="8">
        <f t="shared" si="903"/>
        <v>0</v>
      </c>
      <c r="CE1234" s="8">
        <f t="shared" si="904"/>
        <v>0</v>
      </c>
      <c r="CF1234" s="8">
        <f t="shared" si="905"/>
        <v>0</v>
      </c>
      <c r="CG1234" s="8">
        <f t="shared" si="906"/>
        <v>0</v>
      </c>
      <c r="CH1234" s="8">
        <f t="shared" si="907"/>
        <v>0</v>
      </c>
      <c r="CI1234" s="8">
        <f t="shared" si="908"/>
        <v>0</v>
      </c>
      <c r="CJ1234" s="8">
        <f t="shared" si="909"/>
        <v>0</v>
      </c>
      <c r="CK1234" s="8">
        <f t="shared" si="910"/>
        <v>0</v>
      </c>
      <c r="CL1234" s="8">
        <f t="shared" si="911"/>
        <v>0</v>
      </c>
      <c r="CM1234" s="8">
        <f t="shared" si="912"/>
        <v>0</v>
      </c>
      <c r="CN1234" s="8">
        <f t="shared" si="913"/>
        <v>0</v>
      </c>
      <c r="CO1234" s="8">
        <f t="shared" si="914"/>
        <v>0</v>
      </c>
      <c r="CP1234" s="8">
        <f t="shared" si="915"/>
        <v>0</v>
      </c>
      <c r="CQ1234" s="8">
        <f t="shared" si="916"/>
        <v>0</v>
      </c>
      <c r="CR1234" s="8">
        <f t="shared" si="917"/>
        <v>0</v>
      </c>
      <c r="CS1234" s="8">
        <f t="shared" si="918"/>
        <v>0</v>
      </c>
      <c r="CT1234" s="8">
        <f t="shared" si="923"/>
        <v>0</v>
      </c>
      <c r="CU1234" s="8">
        <f t="shared" si="924"/>
        <v>0</v>
      </c>
      <c r="CV1234" s="8">
        <f t="shared" si="925"/>
        <v>0</v>
      </c>
    </row>
    <row r="1235" spans="1:100" ht="20.5" thickTop="1" thickBot="1" x14ac:dyDescent="0.5">
      <c r="A1235" s="32"/>
      <c r="B1235" s="10"/>
      <c r="C1235" s="10"/>
      <c r="D1235" s="11"/>
      <c r="E1235" s="10"/>
      <c r="F1235" s="10"/>
      <c r="G1235" s="19"/>
      <c r="H1235" s="19"/>
      <c r="I1235" s="19"/>
      <c r="J1235" s="19"/>
      <c r="K1235" s="10"/>
      <c r="L1235" s="10"/>
      <c r="M1235" s="10"/>
      <c r="N1235" s="10"/>
      <c r="O1235" s="18"/>
      <c r="P1235" s="18"/>
      <c r="Q1235" s="21"/>
      <c r="R1235" s="20"/>
      <c r="S1235" s="16">
        <f t="shared" si="881"/>
        <v>0</v>
      </c>
      <c r="T1235" s="11"/>
      <c r="AS1235" s="31">
        <f t="shared" si="882"/>
        <v>0</v>
      </c>
      <c r="AT1235" s="31">
        <f t="shared" si="883"/>
        <v>0</v>
      </c>
      <c r="AU1235" s="31">
        <f t="shared" si="884"/>
        <v>0</v>
      </c>
      <c r="AV1235" s="31">
        <f t="shared" si="885"/>
        <v>0</v>
      </c>
      <c r="AW1235" s="31">
        <f t="shared" si="886"/>
        <v>0</v>
      </c>
      <c r="AX1235" s="31">
        <f t="shared" si="887"/>
        <v>0</v>
      </c>
      <c r="AY1235" s="31">
        <f t="shared" si="888"/>
        <v>0</v>
      </c>
      <c r="AZ1235" s="31">
        <f t="shared" si="889"/>
        <v>0</v>
      </c>
      <c r="BA1235" s="31">
        <f t="shared" si="890"/>
        <v>0</v>
      </c>
      <c r="BB1235" s="31">
        <f t="shared" si="919"/>
        <v>0</v>
      </c>
      <c r="BM1235" s="8">
        <f t="shared" si="920"/>
        <v>0</v>
      </c>
      <c r="BN1235" s="8">
        <f t="shared" si="891"/>
        <v>0</v>
      </c>
      <c r="BO1235" s="8">
        <f t="shared" si="892"/>
        <v>0</v>
      </c>
      <c r="BQ1235" s="8">
        <f t="shared" si="893"/>
        <v>0</v>
      </c>
      <c r="BR1235" s="63">
        <f t="shared" si="894"/>
        <v>0</v>
      </c>
      <c r="BS1235" s="63">
        <f t="shared" si="921"/>
        <v>0</v>
      </c>
      <c r="BT1235" s="63">
        <f t="shared" si="895"/>
        <v>0</v>
      </c>
      <c r="BU1235" s="63">
        <f t="shared" si="896"/>
        <v>0</v>
      </c>
      <c r="BV1235" s="57">
        <f t="shared" si="897"/>
        <v>0</v>
      </c>
      <c r="BW1235" s="57">
        <f t="shared" si="898"/>
        <v>0</v>
      </c>
      <c r="BX1235" s="57">
        <f t="shared" si="922"/>
        <v>0</v>
      </c>
      <c r="BY1235" s="57">
        <f t="shared" si="880"/>
        <v>0</v>
      </c>
      <c r="BZ1235" s="8">
        <f t="shared" si="899"/>
        <v>0</v>
      </c>
      <c r="CA1235" s="8">
        <f t="shared" si="900"/>
        <v>0</v>
      </c>
      <c r="CB1235" s="8">
        <f t="shared" si="901"/>
        <v>0</v>
      </c>
      <c r="CC1235" s="8">
        <f t="shared" si="902"/>
        <v>0</v>
      </c>
      <c r="CD1235" s="8">
        <f t="shared" si="903"/>
        <v>0</v>
      </c>
      <c r="CE1235" s="8">
        <f t="shared" si="904"/>
        <v>0</v>
      </c>
      <c r="CF1235" s="8">
        <f t="shared" si="905"/>
        <v>0</v>
      </c>
      <c r="CG1235" s="8">
        <f t="shared" si="906"/>
        <v>0</v>
      </c>
      <c r="CH1235" s="8">
        <f t="shared" si="907"/>
        <v>0</v>
      </c>
      <c r="CI1235" s="8">
        <f t="shared" si="908"/>
        <v>0</v>
      </c>
      <c r="CJ1235" s="8">
        <f t="shared" si="909"/>
        <v>0</v>
      </c>
      <c r="CK1235" s="8">
        <f t="shared" si="910"/>
        <v>0</v>
      </c>
      <c r="CL1235" s="8">
        <f t="shared" si="911"/>
        <v>0</v>
      </c>
      <c r="CM1235" s="8">
        <f t="shared" si="912"/>
        <v>0</v>
      </c>
      <c r="CN1235" s="8">
        <f t="shared" si="913"/>
        <v>0</v>
      </c>
      <c r="CO1235" s="8">
        <f t="shared" si="914"/>
        <v>0</v>
      </c>
      <c r="CP1235" s="8">
        <f t="shared" si="915"/>
        <v>0</v>
      </c>
      <c r="CQ1235" s="8">
        <f t="shared" si="916"/>
        <v>0</v>
      </c>
      <c r="CR1235" s="8">
        <f t="shared" si="917"/>
        <v>0</v>
      </c>
      <c r="CS1235" s="8">
        <f t="shared" si="918"/>
        <v>0</v>
      </c>
      <c r="CT1235" s="8">
        <f t="shared" si="923"/>
        <v>0</v>
      </c>
      <c r="CU1235" s="8">
        <f t="shared" si="924"/>
        <v>0</v>
      </c>
      <c r="CV1235" s="8">
        <f t="shared" si="925"/>
        <v>0</v>
      </c>
    </row>
    <row r="1236" spans="1:100" ht="20.5" thickTop="1" thickBot="1" x14ac:dyDescent="0.5">
      <c r="A1236" s="32"/>
      <c r="B1236" s="10"/>
      <c r="C1236" s="10"/>
      <c r="D1236" s="11"/>
      <c r="E1236" s="10"/>
      <c r="F1236" s="10"/>
      <c r="G1236" s="19"/>
      <c r="H1236" s="19"/>
      <c r="I1236" s="19"/>
      <c r="J1236" s="19"/>
      <c r="K1236" s="10"/>
      <c r="L1236" s="10"/>
      <c r="M1236" s="10"/>
      <c r="N1236" s="10"/>
      <c r="O1236" s="18"/>
      <c r="P1236" s="18"/>
      <c r="Q1236" s="21"/>
      <c r="R1236" s="20"/>
      <c r="S1236" s="16">
        <f t="shared" si="881"/>
        <v>0</v>
      </c>
      <c r="T1236" s="11"/>
      <c r="AS1236" s="31">
        <f t="shared" si="882"/>
        <v>0</v>
      </c>
      <c r="AT1236" s="31">
        <f t="shared" si="883"/>
        <v>0</v>
      </c>
      <c r="AU1236" s="31">
        <f t="shared" si="884"/>
        <v>0</v>
      </c>
      <c r="AV1236" s="31">
        <f t="shared" si="885"/>
        <v>0</v>
      </c>
      <c r="AW1236" s="31">
        <f t="shared" si="886"/>
        <v>0</v>
      </c>
      <c r="AX1236" s="31">
        <f t="shared" si="887"/>
        <v>0</v>
      </c>
      <c r="AY1236" s="31">
        <f t="shared" si="888"/>
        <v>0</v>
      </c>
      <c r="AZ1236" s="31">
        <f t="shared" si="889"/>
        <v>0</v>
      </c>
      <c r="BA1236" s="31">
        <f t="shared" si="890"/>
        <v>0</v>
      </c>
      <c r="BB1236" s="31">
        <f t="shared" si="919"/>
        <v>0</v>
      </c>
      <c r="BM1236" s="8">
        <f t="shared" si="920"/>
        <v>0</v>
      </c>
      <c r="BN1236" s="8">
        <f t="shared" si="891"/>
        <v>0</v>
      </c>
      <c r="BO1236" s="8">
        <f t="shared" si="892"/>
        <v>0</v>
      </c>
      <c r="BQ1236" s="8">
        <f t="shared" si="893"/>
        <v>0</v>
      </c>
      <c r="BR1236" s="63">
        <f t="shared" si="894"/>
        <v>0</v>
      </c>
      <c r="BS1236" s="63">
        <f t="shared" si="921"/>
        <v>0</v>
      </c>
      <c r="BT1236" s="63">
        <f t="shared" si="895"/>
        <v>0</v>
      </c>
      <c r="BU1236" s="63">
        <f t="shared" si="896"/>
        <v>0</v>
      </c>
      <c r="BV1236" s="57">
        <f t="shared" si="897"/>
        <v>0</v>
      </c>
      <c r="BW1236" s="57">
        <f t="shared" si="898"/>
        <v>0</v>
      </c>
      <c r="BX1236" s="57">
        <f t="shared" si="922"/>
        <v>0</v>
      </c>
      <c r="BY1236" s="57">
        <f t="shared" si="880"/>
        <v>0</v>
      </c>
      <c r="BZ1236" s="8">
        <f t="shared" si="899"/>
        <v>0</v>
      </c>
      <c r="CA1236" s="8">
        <f t="shared" si="900"/>
        <v>0</v>
      </c>
      <c r="CB1236" s="8">
        <f t="shared" si="901"/>
        <v>0</v>
      </c>
      <c r="CC1236" s="8">
        <f t="shared" si="902"/>
        <v>0</v>
      </c>
      <c r="CD1236" s="8">
        <f t="shared" si="903"/>
        <v>0</v>
      </c>
      <c r="CE1236" s="8">
        <f t="shared" si="904"/>
        <v>0</v>
      </c>
      <c r="CF1236" s="8">
        <f t="shared" si="905"/>
        <v>0</v>
      </c>
      <c r="CG1236" s="8">
        <f t="shared" si="906"/>
        <v>0</v>
      </c>
      <c r="CH1236" s="8">
        <f t="shared" si="907"/>
        <v>0</v>
      </c>
      <c r="CI1236" s="8">
        <f t="shared" si="908"/>
        <v>0</v>
      </c>
      <c r="CJ1236" s="8">
        <f t="shared" si="909"/>
        <v>0</v>
      </c>
      <c r="CK1236" s="8">
        <f t="shared" si="910"/>
        <v>0</v>
      </c>
      <c r="CL1236" s="8">
        <f t="shared" si="911"/>
        <v>0</v>
      </c>
      <c r="CM1236" s="8">
        <f t="shared" si="912"/>
        <v>0</v>
      </c>
      <c r="CN1236" s="8">
        <f t="shared" si="913"/>
        <v>0</v>
      </c>
      <c r="CO1236" s="8">
        <f t="shared" si="914"/>
        <v>0</v>
      </c>
      <c r="CP1236" s="8">
        <f t="shared" si="915"/>
        <v>0</v>
      </c>
      <c r="CQ1236" s="8">
        <f t="shared" si="916"/>
        <v>0</v>
      </c>
      <c r="CR1236" s="8">
        <f t="shared" si="917"/>
        <v>0</v>
      </c>
      <c r="CS1236" s="8">
        <f t="shared" si="918"/>
        <v>0</v>
      </c>
      <c r="CT1236" s="8">
        <f t="shared" si="923"/>
        <v>0</v>
      </c>
      <c r="CU1236" s="8">
        <f t="shared" si="924"/>
        <v>0</v>
      </c>
      <c r="CV1236" s="8">
        <f t="shared" si="925"/>
        <v>0</v>
      </c>
    </row>
    <row r="1237" spans="1:100" ht="20.5" thickTop="1" thickBot="1" x14ac:dyDescent="0.5">
      <c r="A1237" s="32"/>
      <c r="B1237" s="10"/>
      <c r="C1237" s="10"/>
      <c r="D1237" s="11"/>
      <c r="E1237" s="10"/>
      <c r="F1237" s="10"/>
      <c r="G1237" s="19"/>
      <c r="H1237" s="19"/>
      <c r="I1237" s="19"/>
      <c r="J1237" s="19"/>
      <c r="K1237" s="10"/>
      <c r="L1237" s="10"/>
      <c r="M1237" s="10"/>
      <c r="N1237" s="10"/>
      <c r="O1237" s="18"/>
      <c r="P1237" s="18"/>
      <c r="Q1237" s="21"/>
      <c r="R1237" s="20"/>
      <c r="S1237" s="16">
        <f t="shared" si="881"/>
        <v>0</v>
      </c>
      <c r="T1237" s="11"/>
      <c r="AS1237" s="31">
        <f t="shared" si="882"/>
        <v>0</v>
      </c>
      <c r="AT1237" s="31">
        <f t="shared" si="883"/>
        <v>0</v>
      </c>
      <c r="AU1237" s="31">
        <f t="shared" si="884"/>
        <v>0</v>
      </c>
      <c r="AV1237" s="31">
        <f t="shared" si="885"/>
        <v>0</v>
      </c>
      <c r="AW1237" s="31">
        <f t="shared" si="886"/>
        <v>0</v>
      </c>
      <c r="AX1237" s="31">
        <f t="shared" si="887"/>
        <v>0</v>
      </c>
      <c r="AY1237" s="31">
        <f t="shared" si="888"/>
        <v>0</v>
      </c>
      <c r="AZ1237" s="31">
        <f t="shared" si="889"/>
        <v>0</v>
      </c>
      <c r="BA1237" s="31">
        <f t="shared" si="890"/>
        <v>0</v>
      </c>
      <c r="BB1237" s="31">
        <f t="shared" si="919"/>
        <v>0</v>
      </c>
      <c r="BM1237" s="8">
        <f t="shared" si="920"/>
        <v>0</v>
      </c>
      <c r="BN1237" s="8">
        <f t="shared" si="891"/>
        <v>0</v>
      </c>
      <c r="BO1237" s="8">
        <f t="shared" si="892"/>
        <v>0</v>
      </c>
      <c r="BQ1237" s="8">
        <f t="shared" si="893"/>
        <v>0</v>
      </c>
      <c r="BR1237" s="63">
        <f t="shared" si="894"/>
        <v>0</v>
      </c>
      <c r="BS1237" s="63">
        <f t="shared" si="921"/>
        <v>0</v>
      </c>
      <c r="BT1237" s="63">
        <f t="shared" si="895"/>
        <v>0</v>
      </c>
      <c r="BU1237" s="63">
        <f t="shared" si="896"/>
        <v>0</v>
      </c>
      <c r="BV1237" s="57">
        <f t="shared" si="897"/>
        <v>0</v>
      </c>
      <c r="BW1237" s="57">
        <f t="shared" si="898"/>
        <v>0</v>
      </c>
      <c r="BX1237" s="57">
        <f t="shared" si="922"/>
        <v>0</v>
      </c>
      <c r="BY1237" s="57">
        <f t="shared" si="880"/>
        <v>0</v>
      </c>
      <c r="BZ1237" s="8">
        <f t="shared" si="899"/>
        <v>0</v>
      </c>
      <c r="CA1237" s="8">
        <f t="shared" si="900"/>
        <v>0</v>
      </c>
      <c r="CB1237" s="8">
        <f t="shared" si="901"/>
        <v>0</v>
      </c>
      <c r="CC1237" s="8">
        <f t="shared" si="902"/>
        <v>0</v>
      </c>
      <c r="CD1237" s="8">
        <f t="shared" si="903"/>
        <v>0</v>
      </c>
      <c r="CE1237" s="8">
        <f t="shared" si="904"/>
        <v>0</v>
      </c>
      <c r="CF1237" s="8">
        <f t="shared" si="905"/>
        <v>0</v>
      </c>
      <c r="CG1237" s="8">
        <f t="shared" si="906"/>
        <v>0</v>
      </c>
      <c r="CH1237" s="8">
        <f t="shared" si="907"/>
        <v>0</v>
      </c>
      <c r="CI1237" s="8">
        <f t="shared" si="908"/>
        <v>0</v>
      </c>
      <c r="CJ1237" s="8">
        <f t="shared" si="909"/>
        <v>0</v>
      </c>
      <c r="CK1237" s="8">
        <f t="shared" si="910"/>
        <v>0</v>
      </c>
      <c r="CL1237" s="8">
        <f t="shared" si="911"/>
        <v>0</v>
      </c>
      <c r="CM1237" s="8">
        <f t="shared" si="912"/>
        <v>0</v>
      </c>
      <c r="CN1237" s="8">
        <f t="shared" si="913"/>
        <v>0</v>
      </c>
      <c r="CO1237" s="8">
        <f t="shared" si="914"/>
        <v>0</v>
      </c>
      <c r="CP1237" s="8">
        <f t="shared" si="915"/>
        <v>0</v>
      </c>
      <c r="CQ1237" s="8">
        <f t="shared" si="916"/>
        <v>0</v>
      </c>
      <c r="CR1237" s="8">
        <f t="shared" si="917"/>
        <v>0</v>
      </c>
      <c r="CS1237" s="8">
        <f t="shared" si="918"/>
        <v>0</v>
      </c>
      <c r="CT1237" s="8">
        <f t="shared" si="923"/>
        <v>0</v>
      </c>
      <c r="CU1237" s="8">
        <f t="shared" si="924"/>
        <v>0</v>
      </c>
      <c r="CV1237" s="8">
        <f t="shared" si="925"/>
        <v>0</v>
      </c>
    </row>
    <row r="1238" spans="1:100" ht="20.5" thickTop="1" thickBot="1" x14ac:dyDescent="0.5">
      <c r="A1238" s="32"/>
      <c r="B1238" s="10"/>
      <c r="C1238" s="10"/>
      <c r="D1238" s="11"/>
      <c r="E1238" s="10"/>
      <c r="F1238" s="10"/>
      <c r="G1238" s="19"/>
      <c r="H1238" s="19"/>
      <c r="I1238" s="19"/>
      <c r="J1238" s="19"/>
      <c r="K1238" s="10"/>
      <c r="L1238" s="10"/>
      <c r="M1238" s="10"/>
      <c r="N1238" s="10"/>
      <c r="O1238" s="18"/>
      <c r="P1238" s="18"/>
      <c r="Q1238" s="21"/>
      <c r="R1238" s="20"/>
      <c r="S1238" s="16">
        <f t="shared" si="881"/>
        <v>0</v>
      </c>
      <c r="T1238" s="11"/>
      <c r="AS1238" s="31">
        <f t="shared" si="882"/>
        <v>0</v>
      </c>
      <c r="AT1238" s="31">
        <f t="shared" si="883"/>
        <v>0</v>
      </c>
      <c r="AU1238" s="31">
        <f t="shared" si="884"/>
        <v>0</v>
      </c>
      <c r="AV1238" s="31">
        <f t="shared" si="885"/>
        <v>0</v>
      </c>
      <c r="AW1238" s="31">
        <f t="shared" si="886"/>
        <v>0</v>
      </c>
      <c r="AX1238" s="31">
        <f t="shared" si="887"/>
        <v>0</v>
      </c>
      <c r="AY1238" s="31">
        <f t="shared" si="888"/>
        <v>0</v>
      </c>
      <c r="AZ1238" s="31">
        <f t="shared" si="889"/>
        <v>0</v>
      </c>
      <c r="BA1238" s="31">
        <f t="shared" si="890"/>
        <v>0</v>
      </c>
      <c r="BB1238" s="31">
        <f t="shared" si="919"/>
        <v>0</v>
      </c>
      <c r="BM1238" s="8">
        <f t="shared" si="920"/>
        <v>0</v>
      </c>
      <c r="BN1238" s="8">
        <f t="shared" si="891"/>
        <v>0</v>
      </c>
      <c r="BO1238" s="8">
        <f t="shared" si="892"/>
        <v>0</v>
      </c>
      <c r="BQ1238" s="8">
        <f t="shared" si="893"/>
        <v>0</v>
      </c>
      <c r="BR1238" s="63">
        <f t="shared" si="894"/>
        <v>0</v>
      </c>
      <c r="BS1238" s="63">
        <f t="shared" si="921"/>
        <v>0</v>
      </c>
      <c r="BT1238" s="63">
        <f t="shared" si="895"/>
        <v>0</v>
      </c>
      <c r="BU1238" s="63">
        <f t="shared" si="896"/>
        <v>0</v>
      </c>
      <c r="BV1238" s="57">
        <f t="shared" si="897"/>
        <v>0</v>
      </c>
      <c r="BW1238" s="57">
        <f t="shared" si="898"/>
        <v>0</v>
      </c>
      <c r="BX1238" s="57">
        <f t="shared" si="922"/>
        <v>0</v>
      </c>
      <c r="BY1238" s="57">
        <f t="shared" si="880"/>
        <v>0</v>
      </c>
      <c r="BZ1238" s="8">
        <f t="shared" si="899"/>
        <v>0</v>
      </c>
      <c r="CA1238" s="8">
        <f t="shared" si="900"/>
        <v>0</v>
      </c>
      <c r="CB1238" s="8">
        <f t="shared" si="901"/>
        <v>0</v>
      </c>
      <c r="CC1238" s="8">
        <f t="shared" si="902"/>
        <v>0</v>
      </c>
      <c r="CD1238" s="8">
        <f t="shared" si="903"/>
        <v>0</v>
      </c>
      <c r="CE1238" s="8">
        <f t="shared" si="904"/>
        <v>0</v>
      </c>
      <c r="CF1238" s="8">
        <f t="shared" si="905"/>
        <v>0</v>
      </c>
      <c r="CG1238" s="8">
        <f t="shared" si="906"/>
        <v>0</v>
      </c>
      <c r="CH1238" s="8">
        <f t="shared" si="907"/>
        <v>0</v>
      </c>
      <c r="CI1238" s="8">
        <f t="shared" si="908"/>
        <v>0</v>
      </c>
      <c r="CJ1238" s="8">
        <f t="shared" si="909"/>
        <v>0</v>
      </c>
      <c r="CK1238" s="8">
        <f t="shared" si="910"/>
        <v>0</v>
      </c>
      <c r="CL1238" s="8">
        <f t="shared" si="911"/>
        <v>0</v>
      </c>
      <c r="CM1238" s="8">
        <f t="shared" si="912"/>
        <v>0</v>
      </c>
      <c r="CN1238" s="8">
        <f t="shared" si="913"/>
        <v>0</v>
      </c>
      <c r="CO1238" s="8">
        <f t="shared" si="914"/>
        <v>0</v>
      </c>
      <c r="CP1238" s="8">
        <f t="shared" si="915"/>
        <v>0</v>
      </c>
      <c r="CQ1238" s="8">
        <f t="shared" si="916"/>
        <v>0</v>
      </c>
      <c r="CR1238" s="8">
        <f t="shared" si="917"/>
        <v>0</v>
      </c>
      <c r="CS1238" s="8">
        <f t="shared" si="918"/>
        <v>0</v>
      </c>
      <c r="CT1238" s="8">
        <f t="shared" si="923"/>
        <v>0</v>
      </c>
      <c r="CU1238" s="8">
        <f t="shared" si="924"/>
        <v>0</v>
      </c>
      <c r="CV1238" s="8">
        <f t="shared" si="925"/>
        <v>0</v>
      </c>
    </row>
    <row r="1239" spans="1:100" ht="20.5" thickTop="1" thickBot="1" x14ac:dyDescent="0.5">
      <c r="A1239" s="32"/>
      <c r="B1239" s="10"/>
      <c r="C1239" s="10"/>
      <c r="D1239" s="11"/>
      <c r="E1239" s="10"/>
      <c r="F1239" s="10"/>
      <c r="G1239" s="19"/>
      <c r="H1239" s="19"/>
      <c r="I1239" s="19"/>
      <c r="J1239" s="19"/>
      <c r="K1239" s="10"/>
      <c r="L1239" s="10"/>
      <c r="M1239" s="10"/>
      <c r="N1239" s="10"/>
      <c r="O1239" s="18"/>
      <c r="P1239" s="18"/>
      <c r="Q1239" s="21"/>
      <c r="R1239" s="20"/>
      <c r="S1239" s="16">
        <f t="shared" si="881"/>
        <v>0</v>
      </c>
      <c r="T1239" s="11"/>
      <c r="AS1239" s="31">
        <f t="shared" si="882"/>
        <v>0</v>
      </c>
      <c r="AT1239" s="31">
        <f t="shared" si="883"/>
        <v>0</v>
      </c>
      <c r="AU1239" s="31">
        <f t="shared" si="884"/>
        <v>0</v>
      </c>
      <c r="AV1239" s="31">
        <f t="shared" si="885"/>
        <v>0</v>
      </c>
      <c r="AW1239" s="31">
        <f t="shared" si="886"/>
        <v>0</v>
      </c>
      <c r="AX1239" s="31">
        <f t="shared" si="887"/>
        <v>0</v>
      </c>
      <c r="AY1239" s="31">
        <f t="shared" si="888"/>
        <v>0</v>
      </c>
      <c r="AZ1239" s="31">
        <f t="shared" si="889"/>
        <v>0</v>
      </c>
      <c r="BA1239" s="31">
        <f t="shared" si="890"/>
        <v>0</v>
      </c>
      <c r="BB1239" s="31">
        <f t="shared" si="919"/>
        <v>0</v>
      </c>
      <c r="BM1239" s="8">
        <f t="shared" si="920"/>
        <v>0</v>
      </c>
      <c r="BN1239" s="8">
        <f t="shared" si="891"/>
        <v>0</v>
      </c>
      <c r="BO1239" s="8">
        <f t="shared" si="892"/>
        <v>0</v>
      </c>
      <c r="BQ1239" s="8">
        <f t="shared" si="893"/>
        <v>0</v>
      </c>
      <c r="BR1239" s="63">
        <f t="shared" si="894"/>
        <v>0</v>
      </c>
      <c r="BS1239" s="63">
        <f t="shared" si="921"/>
        <v>0</v>
      </c>
      <c r="BT1239" s="63">
        <f t="shared" si="895"/>
        <v>0</v>
      </c>
      <c r="BU1239" s="63">
        <f t="shared" si="896"/>
        <v>0</v>
      </c>
      <c r="BV1239" s="57">
        <f t="shared" si="897"/>
        <v>0</v>
      </c>
      <c r="BW1239" s="57">
        <f t="shared" si="898"/>
        <v>0</v>
      </c>
      <c r="BX1239" s="57">
        <f t="shared" si="922"/>
        <v>0</v>
      </c>
      <c r="BY1239" s="57">
        <f t="shared" si="880"/>
        <v>0</v>
      </c>
      <c r="BZ1239" s="8">
        <f t="shared" si="899"/>
        <v>0</v>
      </c>
      <c r="CA1239" s="8">
        <f t="shared" si="900"/>
        <v>0</v>
      </c>
      <c r="CB1239" s="8">
        <f t="shared" si="901"/>
        <v>0</v>
      </c>
      <c r="CC1239" s="8">
        <f t="shared" si="902"/>
        <v>0</v>
      </c>
      <c r="CD1239" s="8">
        <f t="shared" si="903"/>
        <v>0</v>
      </c>
      <c r="CE1239" s="8">
        <f t="shared" si="904"/>
        <v>0</v>
      </c>
      <c r="CF1239" s="8">
        <f t="shared" si="905"/>
        <v>0</v>
      </c>
      <c r="CG1239" s="8">
        <f t="shared" si="906"/>
        <v>0</v>
      </c>
      <c r="CH1239" s="8">
        <f t="shared" si="907"/>
        <v>0</v>
      </c>
      <c r="CI1239" s="8">
        <f t="shared" si="908"/>
        <v>0</v>
      </c>
      <c r="CJ1239" s="8">
        <f t="shared" si="909"/>
        <v>0</v>
      </c>
      <c r="CK1239" s="8">
        <f t="shared" si="910"/>
        <v>0</v>
      </c>
      <c r="CL1239" s="8">
        <f t="shared" si="911"/>
        <v>0</v>
      </c>
      <c r="CM1239" s="8">
        <f t="shared" si="912"/>
        <v>0</v>
      </c>
      <c r="CN1239" s="8">
        <f t="shared" si="913"/>
        <v>0</v>
      </c>
      <c r="CO1239" s="8">
        <f t="shared" si="914"/>
        <v>0</v>
      </c>
      <c r="CP1239" s="8">
        <f t="shared" si="915"/>
        <v>0</v>
      </c>
      <c r="CQ1239" s="8">
        <f t="shared" si="916"/>
        <v>0</v>
      </c>
      <c r="CR1239" s="8">
        <f t="shared" si="917"/>
        <v>0</v>
      </c>
      <c r="CS1239" s="8">
        <f t="shared" si="918"/>
        <v>0</v>
      </c>
      <c r="CT1239" s="8">
        <f t="shared" si="923"/>
        <v>0</v>
      </c>
      <c r="CU1239" s="8">
        <f t="shared" si="924"/>
        <v>0</v>
      </c>
      <c r="CV1239" s="8">
        <f t="shared" si="925"/>
        <v>0</v>
      </c>
    </row>
    <row r="1240" spans="1:100" ht="20.5" thickTop="1" thickBot="1" x14ac:dyDescent="0.5">
      <c r="A1240" s="32"/>
      <c r="B1240" s="10"/>
      <c r="C1240" s="10"/>
      <c r="D1240" s="11"/>
      <c r="E1240" s="10"/>
      <c r="F1240" s="10"/>
      <c r="G1240" s="19"/>
      <c r="H1240" s="19"/>
      <c r="I1240" s="19"/>
      <c r="J1240" s="19"/>
      <c r="K1240" s="10"/>
      <c r="L1240" s="10"/>
      <c r="M1240" s="10"/>
      <c r="N1240" s="10"/>
      <c r="O1240" s="18"/>
      <c r="P1240" s="18"/>
      <c r="Q1240" s="21"/>
      <c r="R1240" s="20"/>
      <c r="S1240" s="16">
        <f t="shared" si="881"/>
        <v>0</v>
      </c>
      <c r="T1240" s="11"/>
      <c r="AS1240" s="31">
        <f t="shared" si="882"/>
        <v>0</v>
      </c>
      <c r="AT1240" s="31">
        <f t="shared" si="883"/>
        <v>0</v>
      </c>
      <c r="AU1240" s="31">
        <f t="shared" si="884"/>
        <v>0</v>
      </c>
      <c r="AV1240" s="31">
        <f t="shared" si="885"/>
        <v>0</v>
      </c>
      <c r="AW1240" s="31">
        <f t="shared" si="886"/>
        <v>0</v>
      </c>
      <c r="AX1240" s="31">
        <f t="shared" si="887"/>
        <v>0</v>
      </c>
      <c r="AY1240" s="31">
        <f t="shared" si="888"/>
        <v>0</v>
      </c>
      <c r="AZ1240" s="31">
        <f t="shared" si="889"/>
        <v>0</v>
      </c>
      <c r="BA1240" s="31">
        <f t="shared" si="890"/>
        <v>0</v>
      </c>
      <c r="BB1240" s="31">
        <f t="shared" si="919"/>
        <v>0</v>
      </c>
      <c r="BM1240" s="8">
        <f t="shared" si="920"/>
        <v>0</v>
      </c>
      <c r="BN1240" s="8">
        <f t="shared" si="891"/>
        <v>0</v>
      </c>
      <c r="BO1240" s="8">
        <f t="shared" si="892"/>
        <v>0</v>
      </c>
      <c r="BQ1240" s="8">
        <f t="shared" si="893"/>
        <v>0</v>
      </c>
      <c r="BR1240" s="63">
        <f t="shared" si="894"/>
        <v>0</v>
      </c>
      <c r="BS1240" s="63">
        <f t="shared" si="921"/>
        <v>0</v>
      </c>
      <c r="BT1240" s="63">
        <f t="shared" si="895"/>
        <v>0</v>
      </c>
      <c r="BU1240" s="63">
        <f t="shared" si="896"/>
        <v>0</v>
      </c>
      <c r="BV1240" s="57">
        <f t="shared" si="897"/>
        <v>0</v>
      </c>
      <c r="BW1240" s="57">
        <f t="shared" si="898"/>
        <v>0</v>
      </c>
      <c r="BX1240" s="57">
        <f t="shared" si="922"/>
        <v>0</v>
      </c>
      <c r="BY1240" s="57">
        <f t="shared" si="880"/>
        <v>0</v>
      </c>
      <c r="BZ1240" s="8">
        <f t="shared" si="899"/>
        <v>0</v>
      </c>
      <c r="CA1240" s="8">
        <f t="shared" si="900"/>
        <v>0</v>
      </c>
      <c r="CB1240" s="8">
        <f t="shared" si="901"/>
        <v>0</v>
      </c>
      <c r="CC1240" s="8">
        <f t="shared" si="902"/>
        <v>0</v>
      </c>
      <c r="CD1240" s="8">
        <f t="shared" si="903"/>
        <v>0</v>
      </c>
      <c r="CE1240" s="8">
        <f t="shared" si="904"/>
        <v>0</v>
      </c>
      <c r="CF1240" s="8">
        <f t="shared" si="905"/>
        <v>0</v>
      </c>
      <c r="CG1240" s="8">
        <f t="shared" si="906"/>
        <v>0</v>
      </c>
      <c r="CH1240" s="8">
        <f t="shared" si="907"/>
        <v>0</v>
      </c>
      <c r="CI1240" s="8">
        <f t="shared" si="908"/>
        <v>0</v>
      </c>
      <c r="CJ1240" s="8">
        <f t="shared" si="909"/>
        <v>0</v>
      </c>
      <c r="CK1240" s="8">
        <f t="shared" si="910"/>
        <v>0</v>
      </c>
      <c r="CL1240" s="8">
        <f t="shared" si="911"/>
        <v>0</v>
      </c>
      <c r="CM1240" s="8">
        <f t="shared" si="912"/>
        <v>0</v>
      </c>
      <c r="CN1240" s="8">
        <f t="shared" si="913"/>
        <v>0</v>
      </c>
      <c r="CO1240" s="8">
        <f t="shared" si="914"/>
        <v>0</v>
      </c>
      <c r="CP1240" s="8">
        <f t="shared" si="915"/>
        <v>0</v>
      </c>
      <c r="CQ1240" s="8">
        <f t="shared" si="916"/>
        <v>0</v>
      </c>
      <c r="CR1240" s="8">
        <f t="shared" si="917"/>
        <v>0</v>
      </c>
      <c r="CS1240" s="8">
        <f t="shared" si="918"/>
        <v>0</v>
      </c>
      <c r="CT1240" s="8">
        <f t="shared" si="923"/>
        <v>0</v>
      </c>
      <c r="CU1240" s="8">
        <f t="shared" si="924"/>
        <v>0</v>
      </c>
      <c r="CV1240" s="8">
        <f t="shared" si="925"/>
        <v>0</v>
      </c>
    </row>
    <row r="1241" spans="1:100" ht="20.5" thickTop="1" thickBot="1" x14ac:dyDescent="0.5">
      <c r="A1241" s="32"/>
      <c r="B1241" s="10"/>
      <c r="C1241" s="10"/>
      <c r="D1241" s="11"/>
      <c r="E1241" s="10"/>
      <c r="F1241" s="10"/>
      <c r="G1241" s="19"/>
      <c r="H1241" s="19"/>
      <c r="I1241" s="19"/>
      <c r="J1241" s="19"/>
      <c r="K1241" s="10"/>
      <c r="L1241" s="10"/>
      <c r="M1241" s="10"/>
      <c r="N1241" s="10"/>
      <c r="O1241" s="18"/>
      <c r="P1241" s="18"/>
      <c r="Q1241" s="21"/>
      <c r="R1241" s="20"/>
      <c r="S1241" s="16">
        <f t="shared" si="881"/>
        <v>0</v>
      </c>
      <c r="T1241" s="11"/>
      <c r="AS1241" s="31">
        <f t="shared" si="882"/>
        <v>0</v>
      </c>
      <c r="AT1241" s="31">
        <f t="shared" si="883"/>
        <v>0</v>
      </c>
      <c r="AU1241" s="31">
        <f t="shared" si="884"/>
        <v>0</v>
      </c>
      <c r="AV1241" s="31">
        <f t="shared" si="885"/>
        <v>0</v>
      </c>
      <c r="AW1241" s="31">
        <f t="shared" si="886"/>
        <v>0</v>
      </c>
      <c r="AX1241" s="31">
        <f t="shared" si="887"/>
        <v>0</v>
      </c>
      <c r="AY1241" s="31">
        <f t="shared" si="888"/>
        <v>0</v>
      </c>
      <c r="AZ1241" s="31">
        <f t="shared" si="889"/>
        <v>0</v>
      </c>
      <c r="BA1241" s="31">
        <f t="shared" si="890"/>
        <v>0</v>
      </c>
      <c r="BB1241" s="31">
        <f t="shared" si="919"/>
        <v>0</v>
      </c>
      <c r="BM1241" s="8">
        <f t="shared" si="920"/>
        <v>0</v>
      </c>
      <c r="BN1241" s="8">
        <f t="shared" si="891"/>
        <v>0</v>
      </c>
      <c r="BO1241" s="8">
        <f t="shared" si="892"/>
        <v>0</v>
      </c>
      <c r="BQ1241" s="8">
        <f t="shared" si="893"/>
        <v>0</v>
      </c>
      <c r="BR1241" s="63">
        <f t="shared" si="894"/>
        <v>0</v>
      </c>
      <c r="BS1241" s="63">
        <f t="shared" si="921"/>
        <v>0</v>
      </c>
      <c r="BT1241" s="63">
        <f t="shared" si="895"/>
        <v>0</v>
      </c>
      <c r="BU1241" s="63">
        <f t="shared" si="896"/>
        <v>0</v>
      </c>
      <c r="BV1241" s="57">
        <f t="shared" si="897"/>
        <v>0</v>
      </c>
      <c r="BW1241" s="57">
        <f t="shared" si="898"/>
        <v>0</v>
      </c>
      <c r="BX1241" s="57">
        <f t="shared" si="922"/>
        <v>0</v>
      </c>
      <c r="BY1241" s="57">
        <f t="shared" si="880"/>
        <v>0</v>
      </c>
      <c r="BZ1241" s="8">
        <f t="shared" si="899"/>
        <v>0</v>
      </c>
      <c r="CA1241" s="8">
        <f t="shared" si="900"/>
        <v>0</v>
      </c>
      <c r="CB1241" s="8">
        <f t="shared" si="901"/>
        <v>0</v>
      </c>
      <c r="CC1241" s="8">
        <f t="shared" si="902"/>
        <v>0</v>
      </c>
      <c r="CD1241" s="8">
        <f t="shared" si="903"/>
        <v>0</v>
      </c>
      <c r="CE1241" s="8">
        <f t="shared" si="904"/>
        <v>0</v>
      </c>
      <c r="CF1241" s="8">
        <f t="shared" si="905"/>
        <v>0</v>
      </c>
      <c r="CG1241" s="8">
        <f t="shared" si="906"/>
        <v>0</v>
      </c>
      <c r="CH1241" s="8">
        <f t="shared" si="907"/>
        <v>0</v>
      </c>
      <c r="CI1241" s="8">
        <f t="shared" si="908"/>
        <v>0</v>
      </c>
      <c r="CJ1241" s="8">
        <f t="shared" si="909"/>
        <v>0</v>
      </c>
      <c r="CK1241" s="8">
        <f t="shared" si="910"/>
        <v>0</v>
      </c>
      <c r="CL1241" s="8">
        <f t="shared" si="911"/>
        <v>0</v>
      </c>
      <c r="CM1241" s="8">
        <f t="shared" si="912"/>
        <v>0</v>
      </c>
      <c r="CN1241" s="8">
        <f t="shared" si="913"/>
        <v>0</v>
      </c>
      <c r="CO1241" s="8">
        <f t="shared" si="914"/>
        <v>0</v>
      </c>
      <c r="CP1241" s="8">
        <f t="shared" si="915"/>
        <v>0</v>
      </c>
      <c r="CQ1241" s="8">
        <f t="shared" si="916"/>
        <v>0</v>
      </c>
      <c r="CR1241" s="8">
        <f t="shared" si="917"/>
        <v>0</v>
      </c>
      <c r="CS1241" s="8">
        <f t="shared" si="918"/>
        <v>0</v>
      </c>
      <c r="CT1241" s="8">
        <f t="shared" si="923"/>
        <v>0</v>
      </c>
      <c r="CU1241" s="8">
        <f t="shared" si="924"/>
        <v>0</v>
      </c>
      <c r="CV1241" s="8">
        <f t="shared" si="925"/>
        <v>0</v>
      </c>
    </row>
    <row r="1242" spans="1:100" ht="20.5" thickTop="1" thickBot="1" x14ac:dyDescent="0.5">
      <c r="A1242" s="32"/>
      <c r="B1242" s="10"/>
      <c r="C1242" s="10"/>
      <c r="D1242" s="11"/>
      <c r="E1242" s="10"/>
      <c r="F1242" s="10"/>
      <c r="G1242" s="19"/>
      <c r="H1242" s="19"/>
      <c r="I1242" s="19"/>
      <c r="J1242" s="19"/>
      <c r="K1242" s="10"/>
      <c r="L1242" s="10"/>
      <c r="M1242" s="10"/>
      <c r="N1242" s="10"/>
      <c r="O1242" s="18"/>
      <c r="P1242" s="18"/>
      <c r="Q1242" s="21"/>
      <c r="R1242" s="20"/>
      <c r="S1242" s="16">
        <f t="shared" si="881"/>
        <v>0</v>
      </c>
      <c r="T1242" s="11"/>
      <c r="AS1242" s="31">
        <f t="shared" si="882"/>
        <v>0</v>
      </c>
      <c r="AT1242" s="31">
        <f t="shared" si="883"/>
        <v>0</v>
      </c>
      <c r="AU1242" s="31">
        <f t="shared" si="884"/>
        <v>0</v>
      </c>
      <c r="AV1242" s="31">
        <f t="shared" si="885"/>
        <v>0</v>
      </c>
      <c r="AW1242" s="31">
        <f t="shared" si="886"/>
        <v>0</v>
      </c>
      <c r="AX1242" s="31">
        <f t="shared" si="887"/>
        <v>0</v>
      </c>
      <c r="AY1242" s="31">
        <f t="shared" si="888"/>
        <v>0</v>
      </c>
      <c r="AZ1242" s="31">
        <f t="shared" si="889"/>
        <v>0</v>
      </c>
      <c r="BA1242" s="31">
        <f t="shared" si="890"/>
        <v>0</v>
      </c>
      <c r="BB1242" s="31">
        <f t="shared" si="919"/>
        <v>0</v>
      </c>
      <c r="BM1242" s="8">
        <f t="shared" si="920"/>
        <v>0</v>
      </c>
      <c r="BN1242" s="8">
        <f t="shared" si="891"/>
        <v>0</v>
      </c>
      <c r="BO1242" s="8">
        <f t="shared" si="892"/>
        <v>0</v>
      </c>
      <c r="BQ1242" s="8">
        <f t="shared" si="893"/>
        <v>0</v>
      </c>
      <c r="BR1242" s="63">
        <f t="shared" si="894"/>
        <v>0</v>
      </c>
      <c r="BS1242" s="63">
        <f t="shared" si="921"/>
        <v>0</v>
      </c>
      <c r="BT1242" s="63">
        <f t="shared" si="895"/>
        <v>0</v>
      </c>
      <c r="BU1242" s="63">
        <f t="shared" si="896"/>
        <v>0</v>
      </c>
      <c r="BV1242" s="57">
        <f t="shared" si="897"/>
        <v>0</v>
      </c>
      <c r="BW1242" s="57">
        <f t="shared" si="898"/>
        <v>0</v>
      </c>
      <c r="BX1242" s="57">
        <f t="shared" si="922"/>
        <v>0</v>
      </c>
      <c r="BY1242" s="57">
        <f t="shared" si="880"/>
        <v>0</v>
      </c>
      <c r="BZ1242" s="8">
        <f t="shared" si="899"/>
        <v>0</v>
      </c>
      <c r="CA1242" s="8">
        <f t="shared" si="900"/>
        <v>0</v>
      </c>
      <c r="CB1242" s="8">
        <f t="shared" si="901"/>
        <v>0</v>
      </c>
      <c r="CC1242" s="8">
        <f t="shared" si="902"/>
        <v>0</v>
      </c>
      <c r="CD1242" s="8">
        <f t="shared" si="903"/>
        <v>0</v>
      </c>
      <c r="CE1242" s="8">
        <f t="shared" si="904"/>
        <v>0</v>
      </c>
      <c r="CF1242" s="8">
        <f t="shared" si="905"/>
        <v>0</v>
      </c>
      <c r="CG1242" s="8">
        <f t="shared" si="906"/>
        <v>0</v>
      </c>
      <c r="CH1242" s="8">
        <f t="shared" si="907"/>
        <v>0</v>
      </c>
      <c r="CI1242" s="8">
        <f t="shared" si="908"/>
        <v>0</v>
      </c>
      <c r="CJ1242" s="8">
        <f t="shared" si="909"/>
        <v>0</v>
      </c>
      <c r="CK1242" s="8">
        <f t="shared" si="910"/>
        <v>0</v>
      </c>
      <c r="CL1242" s="8">
        <f t="shared" si="911"/>
        <v>0</v>
      </c>
      <c r="CM1242" s="8">
        <f t="shared" si="912"/>
        <v>0</v>
      </c>
      <c r="CN1242" s="8">
        <f t="shared" si="913"/>
        <v>0</v>
      </c>
      <c r="CO1242" s="8">
        <f t="shared" si="914"/>
        <v>0</v>
      </c>
      <c r="CP1242" s="8">
        <f t="shared" si="915"/>
        <v>0</v>
      </c>
      <c r="CQ1242" s="8">
        <f t="shared" si="916"/>
        <v>0</v>
      </c>
      <c r="CR1242" s="8">
        <f t="shared" si="917"/>
        <v>0</v>
      </c>
      <c r="CS1242" s="8">
        <f t="shared" si="918"/>
        <v>0</v>
      </c>
      <c r="CT1242" s="8">
        <f t="shared" si="923"/>
        <v>0</v>
      </c>
      <c r="CU1242" s="8">
        <f t="shared" si="924"/>
        <v>0</v>
      </c>
      <c r="CV1242" s="8">
        <f t="shared" si="925"/>
        <v>0</v>
      </c>
    </row>
    <row r="1243" spans="1:100" ht="20.5" thickTop="1" thickBot="1" x14ac:dyDescent="0.5">
      <c r="A1243" s="32"/>
      <c r="B1243" s="10"/>
      <c r="C1243" s="10"/>
      <c r="D1243" s="11"/>
      <c r="E1243" s="10"/>
      <c r="F1243" s="10"/>
      <c r="G1243" s="19"/>
      <c r="H1243" s="19"/>
      <c r="I1243" s="19"/>
      <c r="J1243" s="19"/>
      <c r="K1243" s="10"/>
      <c r="L1243" s="10"/>
      <c r="M1243" s="10"/>
      <c r="N1243" s="10"/>
      <c r="O1243" s="18"/>
      <c r="P1243" s="18"/>
      <c r="Q1243" s="21"/>
      <c r="R1243" s="20"/>
      <c r="S1243" s="16">
        <f t="shared" si="881"/>
        <v>0</v>
      </c>
      <c r="T1243" s="11"/>
      <c r="AS1243" s="31">
        <f t="shared" si="882"/>
        <v>0</v>
      </c>
      <c r="AT1243" s="31">
        <f t="shared" si="883"/>
        <v>0</v>
      </c>
      <c r="AU1243" s="31">
        <f t="shared" si="884"/>
        <v>0</v>
      </c>
      <c r="AV1243" s="31">
        <f t="shared" si="885"/>
        <v>0</v>
      </c>
      <c r="AW1243" s="31">
        <f t="shared" si="886"/>
        <v>0</v>
      </c>
      <c r="AX1243" s="31">
        <f t="shared" si="887"/>
        <v>0</v>
      </c>
      <c r="AY1243" s="31">
        <f t="shared" si="888"/>
        <v>0</v>
      </c>
      <c r="AZ1243" s="31">
        <f t="shared" si="889"/>
        <v>0</v>
      </c>
      <c r="BA1243" s="31">
        <f t="shared" si="890"/>
        <v>0</v>
      </c>
      <c r="BB1243" s="31">
        <f t="shared" si="919"/>
        <v>0</v>
      </c>
      <c r="BM1243" s="8">
        <f t="shared" si="920"/>
        <v>0</v>
      </c>
      <c r="BN1243" s="8">
        <f t="shared" si="891"/>
        <v>0</v>
      </c>
      <c r="BO1243" s="8">
        <f t="shared" si="892"/>
        <v>0</v>
      </c>
      <c r="BQ1243" s="8">
        <f t="shared" si="893"/>
        <v>0</v>
      </c>
      <c r="BR1243" s="63">
        <f t="shared" si="894"/>
        <v>0</v>
      </c>
      <c r="BS1243" s="63">
        <f t="shared" si="921"/>
        <v>0</v>
      </c>
      <c r="BT1243" s="63">
        <f t="shared" si="895"/>
        <v>0</v>
      </c>
      <c r="BU1243" s="63">
        <f t="shared" si="896"/>
        <v>0</v>
      </c>
      <c r="BV1243" s="57">
        <f t="shared" si="897"/>
        <v>0</v>
      </c>
      <c r="BW1243" s="57">
        <f t="shared" si="898"/>
        <v>0</v>
      </c>
      <c r="BX1243" s="57">
        <f t="shared" si="922"/>
        <v>0</v>
      </c>
      <c r="BY1243" s="57">
        <f t="shared" si="880"/>
        <v>0</v>
      </c>
      <c r="BZ1243" s="8">
        <f t="shared" si="899"/>
        <v>0</v>
      </c>
      <c r="CA1243" s="8">
        <f t="shared" si="900"/>
        <v>0</v>
      </c>
      <c r="CB1243" s="8">
        <f t="shared" si="901"/>
        <v>0</v>
      </c>
      <c r="CC1243" s="8">
        <f t="shared" si="902"/>
        <v>0</v>
      </c>
      <c r="CD1243" s="8">
        <f t="shared" si="903"/>
        <v>0</v>
      </c>
      <c r="CE1243" s="8">
        <f t="shared" si="904"/>
        <v>0</v>
      </c>
      <c r="CF1243" s="8">
        <f t="shared" si="905"/>
        <v>0</v>
      </c>
      <c r="CG1243" s="8">
        <f t="shared" si="906"/>
        <v>0</v>
      </c>
      <c r="CH1243" s="8">
        <f t="shared" si="907"/>
        <v>0</v>
      </c>
      <c r="CI1243" s="8">
        <f t="shared" si="908"/>
        <v>0</v>
      </c>
      <c r="CJ1243" s="8">
        <f t="shared" si="909"/>
        <v>0</v>
      </c>
      <c r="CK1243" s="8">
        <f t="shared" si="910"/>
        <v>0</v>
      </c>
      <c r="CL1243" s="8">
        <f t="shared" si="911"/>
        <v>0</v>
      </c>
      <c r="CM1243" s="8">
        <f t="shared" si="912"/>
        <v>0</v>
      </c>
      <c r="CN1243" s="8">
        <f t="shared" si="913"/>
        <v>0</v>
      </c>
      <c r="CO1243" s="8">
        <f t="shared" si="914"/>
        <v>0</v>
      </c>
      <c r="CP1243" s="8">
        <f t="shared" si="915"/>
        <v>0</v>
      </c>
      <c r="CQ1243" s="8">
        <f t="shared" si="916"/>
        <v>0</v>
      </c>
      <c r="CR1243" s="8">
        <f t="shared" si="917"/>
        <v>0</v>
      </c>
      <c r="CS1243" s="8">
        <f t="shared" si="918"/>
        <v>0</v>
      </c>
      <c r="CT1243" s="8">
        <f t="shared" si="923"/>
        <v>0</v>
      </c>
      <c r="CU1243" s="8">
        <f t="shared" si="924"/>
        <v>0</v>
      </c>
      <c r="CV1243" s="8">
        <f t="shared" si="925"/>
        <v>0</v>
      </c>
    </row>
    <row r="1244" spans="1:100" ht="20.5" thickTop="1" thickBot="1" x14ac:dyDescent="0.5">
      <c r="A1244" s="32"/>
      <c r="B1244" s="10"/>
      <c r="C1244" s="10"/>
      <c r="D1244" s="11"/>
      <c r="E1244" s="10"/>
      <c r="F1244" s="10"/>
      <c r="G1244" s="19"/>
      <c r="H1244" s="19"/>
      <c r="I1244" s="19"/>
      <c r="J1244" s="19"/>
      <c r="K1244" s="10"/>
      <c r="L1244" s="10"/>
      <c r="M1244" s="10"/>
      <c r="N1244" s="10"/>
      <c r="O1244" s="18"/>
      <c r="P1244" s="18"/>
      <c r="Q1244" s="21"/>
      <c r="R1244" s="20"/>
      <c r="S1244" s="16">
        <f t="shared" si="881"/>
        <v>0</v>
      </c>
      <c r="T1244" s="11"/>
      <c r="AS1244" s="31">
        <f t="shared" si="882"/>
        <v>0</v>
      </c>
      <c r="AT1244" s="31">
        <f t="shared" si="883"/>
        <v>0</v>
      </c>
      <c r="AU1244" s="31">
        <f t="shared" si="884"/>
        <v>0</v>
      </c>
      <c r="AV1244" s="31">
        <f t="shared" si="885"/>
        <v>0</v>
      </c>
      <c r="AW1244" s="31">
        <f t="shared" si="886"/>
        <v>0</v>
      </c>
      <c r="AX1244" s="31">
        <f t="shared" si="887"/>
        <v>0</v>
      </c>
      <c r="AY1244" s="31">
        <f t="shared" si="888"/>
        <v>0</v>
      </c>
      <c r="AZ1244" s="31">
        <f t="shared" si="889"/>
        <v>0</v>
      </c>
      <c r="BA1244" s="31">
        <f t="shared" si="890"/>
        <v>0</v>
      </c>
      <c r="BB1244" s="31">
        <f t="shared" si="919"/>
        <v>0</v>
      </c>
      <c r="BM1244" s="8">
        <f t="shared" si="920"/>
        <v>0</v>
      </c>
      <c r="BN1244" s="8">
        <f t="shared" si="891"/>
        <v>0</v>
      </c>
      <c r="BO1244" s="8">
        <f t="shared" si="892"/>
        <v>0</v>
      </c>
      <c r="BQ1244" s="8">
        <f t="shared" si="893"/>
        <v>0</v>
      </c>
      <c r="BR1244" s="63">
        <f t="shared" si="894"/>
        <v>0</v>
      </c>
      <c r="BS1244" s="63">
        <f t="shared" si="921"/>
        <v>0</v>
      </c>
      <c r="BT1244" s="63">
        <f t="shared" si="895"/>
        <v>0</v>
      </c>
      <c r="BU1244" s="63">
        <f t="shared" si="896"/>
        <v>0</v>
      </c>
      <c r="BV1244" s="57">
        <f t="shared" si="897"/>
        <v>0</v>
      </c>
      <c r="BW1244" s="57">
        <f t="shared" si="898"/>
        <v>0</v>
      </c>
      <c r="BX1244" s="57">
        <f t="shared" si="922"/>
        <v>0</v>
      </c>
      <c r="BY1244" s="57">
        <f t="shared" si="880"/>
        <v>0</v>
      </c>
      <c r="BZ1244" s="8">
        <f t="shared" si="899"/>
        <v>0</v>
      </c>
      <c r="CA1244" s="8">
        <f t="shared" si="900"/>
        <v>0</v>
      </c>
      <c r="CB1244" s="8">
        <f t="shared" si="901"/>
        <v>0</v>
      </c>
      <c r="CC1244" s="8">
        <f t="shared" si="902"/>
        <v>0</v>
      </c>
      <c r="CD1244" s="8">
        <f t="shared" si="903"/>
        <v>0</v>
      </c>
      <c r="CE1244" s="8">
        <f t="shared" si="904"/>
        <v>0</v>
      </c>
      <c r="CF1244" s="8">
        <f t="shared" si="905"/>
        <v>0</v>
      </c>
      <c r="CG1244" s="8">
        <f t="shared" si="906"/>
        <v>0</v>
      </c>
      <c r="CH1244" s="8">
        <f t="shared" si="907"/>
        <v>0</v>
      </c>
      <c r="CI1244" s="8">
        <f t="shared" si="908"/>
        <v>0</v>
      </c>
      <c r="CJ1244" s="8">
        <f t="shared" si="909"/>
        <v>0</v>
      </c>
      <c r="CK1244" s="8">
        <f t="shared" si="910"/>
        <v>0</v>
      </c>
      <c r="CL1244" s="8">
        <f t="shared" si="911"/>
        <v>0</v>
      </c>
      <c r="CM1244" s="8">
        <f t="shared" si="912"/>
        <v>0</v>
      </c>
      <c r="CN1244" s="8">
        <f t="shared" si="913"/>
        <v>0</v>
      </c>
      <c r="CO1244" s="8">
        <f t="shared" si="914"/>
        <v>0</v>
      </c>
      <c r="CP1244" s="8">
        <f t="shared" si="915"/>
        <v>0</v>
      </c>
      <c r="CQ1244" s="8">
        <f t="shared" si="916"/>
        <v>0</v>
      </c>
      <c r="CR1244" s="8">
        <f t="shared" si="917"/>
        <v>0</v>
      </c>
      <c r="CS1244" s="8">
        <f t="shared" si="918"/>
        <v>0</v>
      </c>
      <c r="CT1244" s="8">
        <f t="shared" si="923"/>
        <v>0</v>
      </c>
      <c r="CU1244" s="8">
        <f t="shared" si="924"/>
        <v>0</v>
      </c>
      <c r="CV1244" s="8">
        <f t="shared" si="925"/>
        <v>0</v>
      </c>
    </row>
    <row r="1245" spans="1:100" ht="20.5" thickTop="1" thickBot="1" x14ac:dyDescent="0.5">
      <c r="A1245" s="32"/>
      <c r="B1245" s="10"/>
      <c r="C1245" s="10"/>
      <c r="D1245" s="11"/>
      <c r="E1245" s="10"/>
      <c r="F1245" s="10"/>
      <c r="G1245" s="19"/>
      <c r="H1245" s="19"/>
      <c r="I1245" s="19"/>
      <c r="J1245" s="19"/>
      <c r="K1245" s="10"/>
      <c r="L1245" s="10"/>
      <c r="M1245" s="10"/>
      <c r="N1245" s="10"/>
      <c r="O1245" s="18"/>
      <c r="P1245" s="18"/>
      <c r="Q1245" s="21"/>
      <c r="R1245" s="20"/>
      <c r="S1245" s="16">
        <f t="shared" si="881"/>
        <v>0</v>
      </c>
      <c r="T1245" s="11"/>
      <c r="AS1245" s="31">
        <f t="shared" si="882"/>
        <v>0</v>
      </c>
      <c r="AT1245" s="31">
        <f t="shared" si="883"/>
        <v>0</v>
      </c>
      <c r="AU1245" s="31">
        <f t="shared" si="884"/>
        <v>0</v>
      </c>
      <c r="AV1245" s="31">
        <f t="shared" si="885"/>
        <v>0</v>
      </c>
      <c r="AW1245" s="31">
        <f t="shared" si="886"/>
        <v>0</v>
      </c>
      <c r="AX1245" s="31">
        <f t="shared" si="887"/>
        <v>0</v>
      </c>
      <c r="AY1245" s="31">
        <f t="shared" si="888"/>
        <v>0</v>
      </c>
      <c r="AZ1245" s="31">
        <f t="shared" si="889"/>
        <v>0</v>
      </c>
      <c r="BA1245" s="31">
        <f t="shared" si="890"/>
        <v>0</v>
      </c>
      <c r="BB1245" s="31">
        <f t="shared" si="919"/>
        <v>0</v>
      </c>
      <c r="BM1245" s="8">
        <f t="shared" si="920"/>
        <v>0</v>
      </c>
      <c r="BN1245" s="8">
        <f t="shared" si="891"/>
        <v>0</v>
      </c>
      <c r="BO1245" s="8">
        <f t="shared" si="892"/>
        <v>0</v>
      </c>
      <c r="BQ1245" s="8">
        <f t="shared" si="893"/>
        <v>0</v>
      </c>
      <c r="BR1245" s="63">
        <f t="shared" si="894"/>
        <v>0</v>
      </c>
      <c r="BS1245" s="63">
        <f t="shared" si="921"/>
        <v>0</v>
      </c>
      <c r="BT1245" s="63">
        <f t="shared" si="895"/>
        <v>0</v>
      </c>
      <c r="BU1245" s="63">
        <f t="shared" si="896"/>
        <v>0</v>
      </c>
      <c r="BV1245" s="57">
        <f t="shared" si="897"/>
        <v>0</v>
      </c>
      <c r="BW1245" s="57">
        <f t="shared" si="898"/>
        <v>0</v>
      </c>
      <c r="BX1245" s="57">
        <f t="shared" si="922"/>
        <v>0</v>
      </c>
      <c r="BY1245" s="57">
        <f t="shared" ref="BY1245:BY1308" si="926">IF(AND(OR(N1245="YES",N1245="HDD",N1245="EX PIPES"),K1245=""),D1245*(F1245+G1245),0)</f>
        <v>0</v>
      </c>
      <c r="BZ1245" s="8">
        <f t="shared" si="899"/>
        <v>0</v>
      </c>
      <c r="CA1245" s="8">
        <f t="shared" si="900"/>
        <v>0</v>
      </c>
      <c r="CB1245" s="8">
        <f t="shared" si="901"/>
        <v>0</v>
      </c>
      <c r="CC1245" s="8">
        <f t="shared" si="902"/>
        <v>0</v>
      </c>
      <c r="CD1245" s="8">
        <f t="shared" si="903"/>
        <v>0</v>
      </c>
      <c r="CE1245" s="8">
        <f t="shared" si="904"/>
        <v>0</v>
      </c>
      <c r="CF1245" s="8">
        <f t="shared" si="905"/>
        <v>0</v>
      </c>
      <c r="CG1245" s="8">
        <f t="shared" si="906"/>
        <v>0</v>
      </c>
      <c r="CH1245" s="8">
        <f t="shared" si="907"/>
        <v>0</v>
      </c>
      <c r="CI1245" s="8">
        <f t="shared" si="908"/>
        <v>0</v>
      </c>
      <c r="CJ1245" s="8">
        <f t="shared" si="909"/>
        <v>0</v>
      </c>
      <c r="CK1245" s="8">
        <f t="shared" si="910"/>
        <v>0</v>
      </c>
      <c r="CL1245" s="8">
        <f t="shared" si="911"/>
        <v>0</v>
      </c>
      <c r="CM1245" s="8">
        <f t="shared" si="912"/>
        <v>0</v>
      </c>
      <c r="CN1245" s="8">
        <f t="shared" si="913"/>
        <v>0</v>
      </c>
      <c r="CO1245" s="8">
        <f t="shared" si="914"/>
        <v>0</v>
      </c>
      <c r="CP1245" s="8">
        <f t="shared" si="915"/>
        <v>0</v>
      </c>
      <c r="CQ1245" s="8">
        <f t="shared" si="916"/>
        <v>0</v>
      </c>
      <c r="CR1245" s="8">
        <f t="shared" si="917"/>
        <v>0</v>
      </c>
      <c r="CS1245" s="8">
        <f t="shared" si="918"/>
        <v>0</v>
      </c>
      <c r="CT1245" s="8">
        <f t="shared" si="923"/>
        <v>0</v>
      </c>
      <c r="CU1245" s="8">
        <f t="shared" si="924"/>
        <v>0</v>
      </c>
      <c r="CV1245" s="8">
        <f t="shared" si="925"/>
        <v>0</v>
      </c>
    </row>
    <row r="1246" spans="1:100" ht="20.5" thickTop="1" thickBot="1" x14ac:dyDescent="0.5">
      <c r="A1246" s="32"/>
      <c r="B1246" s="10"/>
      <c r="C1246" s="10"/>
      <c r="D1246" s="11"/>
      <c r="E1246" s="10"/>
      <c r="F1246" s="10"/>
      <c r="G1246" s="19"/>
      <c r="H1246" s="19"/>
      <c r="I1246" s="19"/>
      <c r="J1246" s="19"/>
      <c r="K1246" s="10"/>
      <c r="L1246" s="10"/>
      <c r="M1246" s="10"/>
      <c r="N1246" s="10"/>
      <c r="O1246" s="18"/>
      <c r="P1246" s="18"/>
      <c r="Q1246" s="21"/>
      <c r="R1246" s="20"/>
      <c r="S1246" s="16">
        <f t="shared" si="881"/>
        <v>0</v>
      </c>
      <c r="T1246" s="11"/>
      <c r="AS1246" s="31">
        <f t="shared" si="882"/>
        <v>0</v>
      </c>
      <c r="AT1246" s="31">
        <f t="shared" si="883"/>
        <v>0</v>
      </c>
      <c r="AU1246" s="31">
        <f t="shared" si="884"/>
        <v>0</v>
      </c>
      <c r="AV1246" s="31">
        <f t="shared" si="885"/>
        <v>0</v>
      </c>
      <c r="AW1246" s="31">
        <f t="shared" si="886"/>
        <v>0</v>
      </c>
      <c r="AX1246" s="31">
        <f t="shared" si="887"/>
        <v>0</v>
      </c>
      <c r="AY1246" s="31">
        <f t="shared" si="888"/>
        <v>0</v>
      </c>
      <c r="AZ1246" s="31">
        <f t="shared" si="889"/>
        <v>0</v>
      </c>
      <c r="BA1246" s="31">
        <f t="shared" si="890"/>
        <v>0</v>
      </c>
      <c r="BB1246" s="31">
        <f t="shared" si="919"/>
        <v>0</v>
      </c>
      <c r="BM1246" s="8">
        <f t="shared" si="920"/>
        <v>0</v>
      </c>
      <c r="BN1246" s="8">
        <f t="shared" si="891"/>
        <v>0</v>
      </c>
      <c r="BO1246" s="8">
        <f t="shared" si="892"/>
        <v>0</v>
      </c>
      <c r="BQ1246" s="8">
        <f t="shared" si="893"/>
        <v>0</v>
      </c>
      <c r="BR1246" s="63">
        <f t="shared" si="894"/>
        <v>0</v>
      </c>
      <c r="BS1246" s="63">
        <f t="shared" si="921"/>
        <v>0</v>
      </c>
      <c r="BT1246" s="63">
        <f t="shared" si="895"/>
        <v>0</v>
      </c>
      <c r="BU1246" s="63">
        <f t="shared" si="896"/>
        <v>0</v>
      </c>
      <c r="BV1246" s="57">
        <f t="shared" si="897"/>
        <v>0</v>
      </c>
      <c r="BW1246" s="57">
        <f t="shared" si="898"/>
        <v>0</v>
      </c>
      <c r="BX1246" s="57">
        <f t="shared" si="922"/>
        <v>0</v>
      </c>
      <c r="BY1246" s="57">
        <f t="shared" si="926"/>
        <v>0</v>
      </c>
      <c r="BZ1246" s="8">
        <f t="shared" si="899"/>
        <v>0</v>
      </c>
      <c r="CA1246" s="8">
        <f t="shared" si="900"/>
        <v>0</v>
      </c>
      <c r="CB1246" s="8">
        <f t="shared" si="901"/>
        <v>0</v>
      </c>
      <c r="CC1246" s="8">
        <f t="shared" si="902"/>
        <v>0</v>
      </c>
      <c r="CD1246" s="8">
        <f t="shared" si="903"/>
        <v>0</v>
      </c>
      <c r="CE1246" s="8">
        <f t="shared" si="904"/>
        <v>0</v>
      </c>
      <c r="CF1246" s="8">
        <f t="shared" si="905"/>
        <v>0</v>
      </c>
      <c r="CG1246" s="8">
        <f t="shared" si="906"/>
        <v>0</v>
      </c>
      <c r="CH1246" s="8">
        <f t="shared" si="907"/>
        <v>0</v>
      </c>
      <c r="CI1246" s="8">
        <f t="shared" si="908"/>
        <v>0</v>
      </c>
      <c r="CJ1246" s="8">
        <f t="shared" si="909"/>
        <v>0</v>
      </c>
      <c r="CK1246" s="8">
        <f t="shared" si="910"/>
        <v>0</v>
      </c>
      <c r="CL1246" s="8">
        <f t="shared" si="911"/>
        <v>0</v>
      </c>
      <c r="CM1246" s="8">
        <f t="shared" si="912"/>
        <v>0</v>
      </c>
      <c r="CN1246" s="8">
        <f t="shared" si="913"/>
        <v>0</v>
      </c>
      <c r="CO1246" s="8">
        <f t="shared" si="914"/>
        <v>0</v>
      </c>
      <c r="CP1246" s="8">
        <f t="shared" si="915"/>
        <v>0</v>
      </c>
      <c r="CQ1246" s="8">
        <f t="shared" si="916"/>
        <v>0</v>
      </c>
      <c r="CR1246" s="8">
        <f t="shared" si="917"/>
        <v>0</v>
      </c>
      <c r="CS1246" s="8">
        <f t="shared" si="918"/>
        <v>0</v>
      </c>
      <c r="CT1246" s="8">
        <f t="shared" si="923"/>
        <v>0</v>
      </c>
      <c r="CU1246" s="8">
        <f t="shared" si="924"/>
        <v>0</v>
      </c>
      <c r="CV1246" s="8">
        <f t="shared" si="925"/>
        <v>0</v>
      </c>
    </row>
    <row r="1247" spans="1:100" ht="20.5" thickTop="1" thickBot="1" x14ac:dyDescent="0.5">
      <c r="A1247" s="32"/>
      <c r="B1247" s="10"/>
      <c r="C1247" s="10"/>
      <c r="D1247" s="11"/>
      <c r="E1247" s="10"/>
      <c r="F1247" s="10"/>
      <c r="G1247" s="19"/>
      <c r="H1247" s="19"/>
      <c r="I1247" s="19"/>
      <c r="J1247" s="19"/>
      <c r="K1247" s="10"/>
      <c r="L1247" s="10"/>
      <c r="M1247" s="10"/>
      <c r="N1247" s="10"/>
      <c r="O1247" s="18"/>
      <c r="P1247" s="18"/>
      <c r="Q1247" s="21"/>
      <c r="R1247" s="20"/>
      <c r="S1247" s="16">
        <f t="shared" si="881"/>
        <v>0</v>
      </c>
      <c r="T1247" s="11"/>
      <c r="AS1247" s="31">
        <f t="shared" si="882"/>
        <v>0</v>
      </c>
      <c r="AT1247" s="31">
        <f t="shared" si="883"/>
        <v>0</v>
      </c>
      <c r="AU1247" s="31">
        <f t="shared" si="884"/>
        <v>0</v>
      </c>
      <c r="AV1247" s="31">
        <f t="shared" si="885"/>
        <v>0</v>
      </c>
      <c r="AW1247" s="31">
        <f t="shared" si="886"/>
        <v>0</v>
      </c>
      <c r="AX1247" s="31">
        <f t="shared" si="887"/>
        <v>0</v>
      </c>
      <c r="AY1247" s="31">
        <f t="shared" si="888"/>
        <v>0</v>
      </c>
      <c r="AZ1247" s="31">
        <f t="shared" si="889"/>
        <v>0</v>
      </c>
      <c r="BA1247" s="31">
        <f t="shared" si="890"/>
        <v>0</v>
      </c>
      <c r="BB1247" s="31">
        <f t="shared" si="919"/>
        <v>0</v>
      </c>
      <c r="BM1247" s="8">
        <f t="shared" si="920"/>
        <v>0</v>
      </c>
      <c r="BN1247" s="8">
        <f t="shared" si="891"/>
        <v>0</v>
      </c>
      <c r="BO1247" s="8">
        <f t="shared" si="892"/>
        <v>0</v>
      </c>
      <c r="BQ1247" s="8">
        <f t="shared" si="893"/>
        <v>0</v>
      </c>
      <c r="BR1247" s="63">
        <f t="shared" si="894"/>
        <v>0</v>
      </c>
      <c r="BS1247" s="63">
        <f t="shared" si="921"/>
        <v>0</v>
      </c>
      <c r="BT1247" s="63">
        <f t="shared" si="895"/>
        <v>0</v>
      </c>
      <c r="BU1247" s="63">
        <f t="shared" si="896"/>
        <v>0</v>
      </c>
      <c r="BV1247" s="57">
        <f t="shared" si="897"/>
        <v>0</v>
      </c>
      <c r="BW1247" s="57">
        <f t="shared" si="898"/>
        <v>0</v>
      </c>
      <c r="BX1247" s="57">
        <f t="shared" si="922"/>
        <v>0</v>
      </c>
      <c r="BY1247" s="57">
        <f t="shared" si="926"/>
        <v>0</v>
      </c>
      <c r="BZ1247" s="8">
        <f t="shared" si="899"/>
        <v>0</v>
      </c>
      <c r="CA1247" s="8">
        <f t="shared" si="900"/>
        <v>0</v>
      </c>
      <c r="CB1247" s="8">
        <f t="shared" si="901"/>
        <v>0</v>
      </c>
      <c r="CC1247" s="8">
        <f t="shared" si="902"/>
        <v>0</v>
      </c>
      <c r="CD1247" s="8">
        <f t="shared" si="903"/>
        <v>0</v>
      </c>
      <c r="CE1247" s="8">
        <f t="shared" si="904"/>
        <v>0</v>
      </c>
      <c r="CF1247" s="8">
        <f t="shared" si="905"/>
        <v>0</v>
      </c>
      <c r="CG1247" s="8">
        <f t="shared" si="906"/>
        <v>0</v>
      </c>
      <c r="CH1247" s="8">
        <f t="shared" si="907"/>
        <v>0</v>
      </c>
      <c r="CI1247" s="8">
        <f t="shared" si="908"/>
        <v>0</v>
      </c>
      <c r="CJ1247" s="8">
        <f t="shared" si="909"/>
        <v>0</v>
      </c>
      <c r="CK1247" s="8">
        <f t="shared" si="910"/>
        <v>0</v>
      </c>
      <c r="CL1247" s="8">
        <f t="shared" si="911"/>
        <v>0</v>
      </c>
      <c r="CM1247" s="8">
        <f t="shared" si="912"/>
        <v>0</v>
      </c>
      <c r="CN1247" s="8">
        <f t="shared" si="913"/>
        <v>0</v>
      </c>
      <c r="CO1247" s="8">
        <f t="shared" si="914"/>
        <v>0</v>
      </c>
      <c r="CP1247" s="8">
        <f t="shared" si="915"/>
        <v>0</v>
      </c>
      <c r="CQ1247" s="8">
        <f t="shared" si="916"/>
        <v>0</v>
      </c>
      <c r="CR1247" s="8">
        <f t="shared" si="917"/>
        <v>0</v>
      </c>
      <c r="CS1247" s="8">
        <f t="shared" si="918"/>
        <v>0</v>
      </c>
      <c r="CT1247" s="8">
        <f t="shared" si="923"/>
        <v>0</v>
      </c>
      <c r="CU1247" s="8">
        <f t="shared" si="924"/>
        <v>0</v>
      </c>
      <c r="CV1247" s="8">
        <f t="shared" si="925"/>
        <v>0</v>
      </c>
    </row>
    <row r="1248" spans="1:100" ht="20.5" thickTop="1" thickBot="1" x14ac:dyDescent="0.5">
      <c r="A1248" s="32"/>
      <c r="B1248" s="10"/>
      <c r="C1248" s="10"/>
      <c r="D1248" s="11"/>
      <c r="E1248" s="10"/>
      <c r="F1248" s="10"/>
      <c r="G1248" s="19"/>
      <c r="H1248" s="19"/>
      <c r="I1248" s="19"/>
      <c r="J1248" s="19"/>
      <c r="K1248" s="10"/>
      <c r="L1248" s="10"/>
      <c r="M1248" s="10"/>
      <c r="N1248" s="10"/>
      <c r="O1248" s="18"/>
      <c r="P1248" s="18"/>
      <c r="Q1248" s="21"/>
      <c r="R1248" s="20"/>
      <c r="S1248" s="16">
        <f t="shared" si="881"/>
        <v>0</v>
      </c>
      <c r="T1248" s="11"/>
      <c r="AS1248" s="31">
        <f t="shared" si="882"/>
        <v>0</v>
      </c>
      <c r="AT1248" s="31">
        <f t="shared" si="883"/>
        <v>0</v>
      </c>
      <c r="AU1248" s="31">
        <f t="shared" si="884"/>
        <v>0</v>
      </c>
      <c r="AV1248" s="31">
        <f t="shared" si="885"/>
        <v>0</v>
      </c>
      <c r="AW1248" s="31">
        <f t="shared" si="886"/>
        <v>0</v>
      </c>
      <c r="AX1248" s="31">
        <f t="shared" si="887"/>
        <v>0</v>
      </c>
      <c r="AY1248" s="31">
        <f t="shared" si="888"/>
        <v>0</v>
      </c>
      <c r="AZ1248" s="31">
        <f t="shared" si="889"/>
        <v>0</v>
      </c>
      <c r="BA1248" s="31">
        <f t="shared" si="890"/>
        <v>0</v>
      </c>
      <c r="BB1248" s="31">
        <f t="shared" si="919"/>
        <v>0</v>
      </c>
      <c r="BM1248" s="8">
        <f t="shared" si="920"/>
        <v>0</v>
      </c>
      <c r="BN1248" s="8">
        <f t="shared" si="891"/>
        <v>0</v>
      </c>
      <c r="BO1248" s="8">
        <f t="shared" si="892"/>
        <v>0</v>
      </c>
      <c r="BQ1248" s="8">
        <f t="shared" si="893"/>
        <v>0</v>
      </c>
      <c r="BR1248" s="63">
        <f t="shared" si="894"/>
        <v>0</v>
      </c>
      <c r="BS1248" s="63">
        <f t="shared" si="921"/>
        <v>0</v>
      </c>
      <c r="BT1248" s="63">
        <f t="shared" si="895"/>
        <v>0</v>
      </c>
      <c r="BU1248" s="63">
        <f t="shared" si="896"/>
        <v>0</v>
      </c>
      <c r="BV1248" s="57">
        <f t="shared" si="897"/>
        <v>0</v>
      </c>
      <c r="BW1248" s="57">
        <f t="shared" si="898"/>
        <v>0</v>
      </c>
      <c r="BX1248" s="57">
        <f t="shared" si="922"/>
        <v>0</v>
      </c>
      <c r="BY1248" s="57">
        <f t="shared" si="926"/>
        <v>0</v>
      </c>
      <c r="BZ1248" s="8">
        <f t="shared" si="899"/>
        <v>0</v>
      </c>
      <c r="CA1248" s="8">
        <f t="shared" si="900"/>
        <v>0</v>
      </c>
      <c r="CB1248" s="8">
        <f t="shared" si="901"/>
        <v>0</v>
      </c>
      <c r="CC1248" s="8">
        <f t="shared" si="902"/>
        <v>0</v>
      </c>
      <c r="CD1248" s="8">
        <f t="shared" si="903"/>
        <v>0</v>
      </c>
      <c r="CE1248" s="8">
        <f t="shared" si="904"/>
        <v>0</v>
      </c>
      <c r="CF1248" s="8">
        <f t="shared" si="905"/>
        <v>0</v>
      </c>
      <c r="CG1248" s="8">
        <f t="shared" si="906"/>
        <v>0</v>
      </c>
      <c r="CH1248" s="8">
        <f t="shared" si="907"/>
        <v>0</v>
      </c>
      <c r="CI1248" s="8">
        <f t="shared" si="908"/>
        <v>0</v>
      </c>
      <c r="CJ1248" s="8">
        <f t="shared" si="909"/>
        <v>0</v>
      </c>
      <c r="CK1248" s="8">
        <f t="shared" si="910"/>
        <v>0</v>
      </c>
      <c r="CL1248" s="8">
        <f t="shared" si="911"/>
        <v>0</v>
      </c>
      <c r="CM1248" s="8">
        <f t="shared" si="912"/>
        <v>0</v>
      </c>
      <c r="CN1248" s="8">
        <f t="shared" si="913"/>
        <v>0</v>
      </c>
      <c r="CO1248" s="8">
        <f t="shared" si="914"/>
        <v>0</v>
      </c>
      <c r="CP1248" s="8">
        <f t="shared" si="915"/>
        <v>0</v>
      </c>
      <c r="CQ1248" s="8">
        <f t="shared" si="916"/>
        <v>0</v>
      </c>
      <c r="CR1248" s="8">
        <f t="shared" si="917"/>
        <v>0</v>
      </c>
      <c r="CS1248" s="8">
        <f t="shared" si="918"/>
        <v>0</v>
      </c>
      <c r="CT1248" s="8">
        <f t="shared" si="923"/>
        <v>0</v>
      </c>
      <c r="CU1248" s="8">
        <f t="shared" si="924"/>
        <v>0</v>
      </c>
      <c r="CV1248" s="8">
        <f t="shared" si="925"/>
        <v>0</v>
      </c>
    </row>
    <row r="1249" spans="1:100" ht="20.5" thickTop="1" thickBot="1" x14ac:dyDescent="0.5">
      <c r="A1249" s="32"/>
      <c r="B1249" s="10"/>
      <c r="C1249" s="10"/>
      <c r="D1249" s="11"/>
      <c r="E1249" s="10"/>
      <c r="F1249" s="10"/>
      <c r="G1249" s="19"/>
      <c r="H1249" s="19"/>
      <c r="I1249" s="19"/>
      <c r="J1249" s="19"/>
      <c r="K1249" s="10"/>
      <c r="L1249" s="10"/>
      <c r="M1249" s="10"/>
      <c r="N1249" s="10"/>
      <c r="O1249" s="18"/>
      <c r="P1249" s="18"/>
      <c r="Q1249" s="21"/>
      <c r="R1249" s="20"/>
      <c r="S1249" s="16">
        <f t="shared" si="881"/>
        <v>0</v>
      </c>
      <c r="T1249" s="11"/>
      <c r="AS1249" s="31">
        <f t="shared" si="882"/>
        <v>0</v>
      </c>
      <c r="AT1249" s="31">
        <f t="shared" si="883"/>
        <v>0</v>
      </c>
      <c r="AU1249" s="31">
        <f t="shared" si="884"/>
        <v>0</v>
      </c>
      <c r="AV1249" s="31">
        <f t="shared" si="885"/>
        <v>0</v>
      </c>
      <c r="AW1249" s="31">
        <f t="shared" si="886"/>
        <v>0</v>
      </c>
      <c r="AX1249" s="31">
        <f t="shared" si="887"/>
        <v>0</v>
      </c>
      <c r="AY1249" s="31">
        <f t="shared" si="888"/>
        <v>0</v>
      </c>
      <c r="AZ1249" s="31">
        <f t="shared" si="889"/>
        <v>0</v>
      </c>
      <c r="BA1249" s="31">
        <f t="shared" si="890"/>
        <v>0</v>
      </c>
      <c r="BB1249" s="31">
        <f t="shared" si="919"/>
        <v>0</v>
      </c>
      <c r="BM1249" s="8">
        <f t="shared" si="920"/>
        <v>0</v>
      </c>
      <c r="BN1249" s="8">
        <f t="shared" si="891"/>
        <v>0</v>
      </c>
      <c r="BO1249" s="8">
        <f t="shared" si="892"/>
        <v>0</v>
      </c>
      <c r="BQ1249" s="8">
        <f t="shared" si="893"/>
        <v>0</v>
      </c>
      <c r="BR1249" s="63">
        <f t="shared" si="894"/>
        <v>0</v>
      </c>
      <c r="BS1249" s="63">
        <f t="shared" si="921"/>
        <v>0</v>
      </c>
      <c r="BT1249" s="63">
        <f t="shared" si="895"/>
        <v>0</v>
      </c>
      <c r="BU1249" s="63">
        <f t="shared" si="896"/>
        <v>0</v>
      </c>
      <c r="BV1249" s="57">
        <f t="shared" si="897"/>
        <v>0</v>
      </c>
      <c r="BW1249" s="57">
        <f t="shared" si="898"/>
        <v>0</v>
      </c>
      <c r="BX1249" s="57">
        <f t="shared" si="922"/>
        <v>0</v>
      </c>
      <c r="BY1249" s="57">
        <f t="shared" si="926"/>
        <v>0</v>
      </c>
      <c r="BZ1249" s="8">
        <f t="shared" si="899"/>
        <v>0</v>
      </c>
      <c r="CA1249" s="8">
        <f t="shared" si="900"/>
        <v>0</v>
      </c>
      <c r="CB1249" s="8">
        <f t="shared" si="901"/>
        <v>0</v>
      </c>
      <c r="CC1249" s="8">
        <f t="shared" si="902"/>
        <v>0</v>
      </c>
      <c r="CD1249" s="8">
        <f t="shared" si="903"/>
        <v>0</v>
      </c>
      <c r="CE1249" s="8">
        <f t="shared" si="904"/>
        <v>0</v>
      </c>
      <c r="CF1249" s="8">
        <f t="shared" si="905"/>
        <v>0</v>
      </c>
      <c r="CG1249" s="8">
        <f t="shared" si="906"/>
        <v>0</v>
      </c>
      <c r="CH1249" s="8">
        <f t="shared" si="907"/>
        <v>0</v>
      </c>
      <c r="CI1249" s="8">
        <f t="shared" si="908"/>
        <v>0</v>
      </c>
      <c r="CJ1249" s="8">
        <f t="shared" si="909"/>
        <v>0</v>
      </c>
      <c r="CK1249" s="8">
        <f t="shared" si="910"/>
        <v>0</v>
      </c>
      <c r="CL1249" s="8">
        <f t="shared" si="911"/>
        <v>0</v>
      </c>
      <c r="CM1249" s="8">
        <f t="shared" si="912"/>
        <v>0</v>
      </c>
      <c r="CN1249" s="8">
        <f t="shared" si="913"/>
        <v>0</v>
      </c>
      <c r="CO1249" s="8">
        <f t="shared" si="914"/>
        <v>0</v>
      </c>
      <c r="CP1249" s="8">
        <f t="shared" si="915"/>
        <v>0</v>
      </c>
      <c r="CQ1249" s="8">
        <f t="shared" si="916"/>
        <v>0</v>
      </c>
      <c r="CR1249" s="8">
        <f t="shared" si="917"/>
        <v>0</v>
      </c>
      <c r="CS1249" s="8">
        <f t="shared" si="918"/>
        <v>0</v>
      </c>
      <c r="CT1249" s="8">
        <f t="shared" si="923"/>
        <v>0</v>
      </c>
      <c r="CU1249" s="8">
        <f t="shared" si="924"/>
        <v>0</v>
      </c>
      <c r="CV1249" s="8">
        <f t="shared" si="925"/>
        <v>0</v>
      </c>
    </row>
    <row r="1250" spans="1:100" ht="20.5" thickTop="1" thickBot="1" x14ac:dyDescent="0.5">
      <c r="A1250" s="32"/>
      <c r="B1250" s="10"/>
      <c r="C1250" s="10"/>
      <c r="D1250" s="11"/>
      <c r="E1250" s="10"/>
      <c r="F1250" s="10"/>
      <c r="G1250" s="19"/>
      <c r="H1250" s="19"/>
      <c r="I1250" s="19"/>
      <c r="J1250" s="19"/>
      <c r="K1250" s="10"/>
      <c r="L1250" s="10"/>
      <c r="M1250" s="10"/>
      <c r="N1250" s="10"/>
      <c r="O1250" s="18"/>
      <c r="P1250" s="18"/>
      <c r="Q1250" s="21"/>
      <c r="R1250" s="20"/>
      <c r="S1250" s="16">
        <f t="shared" si="881"/>
        <v>0</v>
      </c>
      <c r="T1250" s="11"/>
      <c r="AS1250" s="31">
        <f t="shared" si="882"/>
        <v>0</v>
      </c>
      <c r="AT1250" s="31">
        <f t="shared" si="883"/>
        <v>0</v>
      </c>
      <c r="AU1250" s="31">
        <f t="shared" si="884"/>
        <v>0</v>
      </c>
      <c r="AV1250" s="31">
        <f t="shared" si="885"/>
        <v>0</v>
      </c>
      <c r="AW1250" s="31">
        <f t="shared" si="886"/>
        <v>0</v>
      </c>
      <c r="AX1250" s="31">
        <f t="shared" si="887"/>
        <v>0</v>
      </c>
      <c r="AY1250" s="31">
        <f t="shared" si="888"/>
        <v>0</v>
      </c>
      <c r="AZ1250" s="31">
        <f t="shared" si="889"/>
        <v>0</v>
      </c>
      <c r="BA1250" s="31">
        <f t="shared" si="890"/>
        <v>0</v>
      </c>
      <c r="BB1250" s="31">
        <f t="shared" si="919"/>
        <v>0</v>
      </c>
      <c r="BM1250" s="8">
        <f t="shared" si="920"/>
        <v>0</v>
      </c>
      <c r="BN1250" s="8">
        <f t="shared" si="891"/>
        <v>0</v>
      </c>
      <c r="BO1250" s="8">
        <f t="shared" si="892"/>
        <v>0</v>
      </c>
      <c r="BQ1250" s="8">
        <f t="shared" si="893"/>
        <v>0</v>
      </c>
      <c r="BR1250" s="63">
        <f t="shared" si="894"/>
        <v>0</v>
      </c>
      <c r="BS1250" s="63">
        <f t="shared" si="921"/>
        <v>0</v>
      </c>
      <c r="BT1250" s="63">
        <f t="shared" si="895"/>
        <v>0</v>
      </c>
      <c r="BU1250" s="63">
        <f t="shared" si="896"/>
        <v>0</v>
      </c>
      <c r="BV1250" s="57">
        <f t="shared" si="897"/>
        <v>0</v>
      </c>
      <c r="BW1250" s="57">
        <f t="shared" si="898"/>
        <v>0</v>
      </c>
      <c r="BX1250" s="57">
        <f t="shared" si="922"/>
        <v>0</v>
      </c>
      <c r="BY1250" s="57">
        <f t="shared" si="926"/>
        <v>0</v>
      </c>
      <c r="BZ1250" s="8">
        <f t="shared" si="899"/>
        <v>0</v>
      </c>
      <c r="CA1250" s="8">
        <f t="shared" si="900"/>
        <v>0</v>
      </c>
      <c r="CB1250" s="8">
        <f t="shared" si="901"/>
        <v>0</v>
      </c>
      <c r="CC1250" s="8">
        <f t="shared" si="902"/>
        <v>0</v>
      </c>
      <c r="CD1250" s="8">
        <f t="shared" si="903"/>
        <v>0</v>
      </c>
      <c r="CE1250" s="8">
        <f t="shared" si="904"/>
        <v>0</v>
      </c>
      <c r="CF1250" s="8">
        <f t="shared" si="905"/>
        <v>0</v>
      </c>
      <c r="CG1250" s="8">
        <f t="shared" si="906"/>
        <v>0</v>
      </c>
      <c r="CH1250" s="8">
        <f t="shared" si="907"/>
        <v>0</v>
      </c>
      <c r="CI1250" s="8">
        <f t="shared" si="908"/>
        <v>0</v>
      </c>
      <c r="CJ1250" s="8">
        <f t="shared" si="909"/>
        <v>0</v>
      </c>
      <c r="CK1250" s="8">
        <f t="shared" si="910"/>
        <v>0</v>
      </c>
      <c r="CL1250" s="8">
        <f t="shared" si="911"/>
        <v>0</v>
      </c>
      <c r="CM1250" s="8">
        <f t="shared" si="912"/>
        <v>0</v>
      </c>
      <c r="CN1250" s="8">
        <f t="shared" si="913"/>
        <v>0</v>
      </c>
      <c r="CO1250" s="8">
        <f t="shared" si="914"/>
        <v>0</v>
      </c>
      <c r="CP1250" s="8">
        <f t="shared" si="915"/>
        <v>0</v>
      </c>
      <c r="CQ1250" s="8">
        <f t="shared" si="916"/>
        <v>0</v>
      </c>
      <c r="CR1250" s="8">
        <f t="shared" si="917"/>
        <v>0</v>
      </c>
      <c r="CS1250" s="8">
        <f t="shared" si="918"/>
        <v>0</v>
      </c>
      <c r="CT1250" s="8">
        <f t="shared" si="923"/>
        <v>0</v>
      </c>
      <c r="CU1250" s="8">
        <f t="shared" si="924"/>
        <v>0</v>
      </c>
      <c r="CV1250" s="8">
        <f t="shared" si="925"/>
        <v>0</v>
      </c>
    </row>
    <row r="1251" spans="1:100" ht="20.5" thickTop="1" thickBot="1" x14ac:dyDescent="0.5">
      <c r="A1251" s="32"/>
      <c r="B1251" s="10"/>
      <c r="C1251" s="10"/>
      <c r="D1251" s="11"/>
      <c r="E1251" s="10"/>
      <c r="F1251" s="10"/>
      <c r="G1251" s="19"/>
      <c r="H1251" s="19"/>
      <c r="I1251" s="19"/>
      <c r="J1251" s="19"/>
      <c r="K1251" s="10"/>
      <c r="L1251" s="10"/>
      <c r="M1251" s="10"/>
      <c r="N1251" s="10"/>
      <c r="O1251" s="18"/>
      <c r="P1251" s="18"/>
      <c r="Q1251" s="21"/>
      <c r="R1251" s="20"/>
      <c r="S1251" s="16">
        <f t="shared" si="881"/>
        <v>0</v>
      </c>
      <c r="T1251" s="11"/>
      <c r="AS1251" s="31">
        <f t="shared" si="882"/>
        <v>0</v>
      </c>
      <c r="AT1251" s="31">
        <f t="shared" si="883"/>
        <v>0</v>
      </c>
      <c r="AU1251" s="31">
        <f t="shared" si="884"/>
        <v>0</v>
      </c>
      <c r="AV1251" s="31">
        <f t="shared" si="885"/>
        <v>0</v>
      </c>
      <c r="AW1251" s="31">
        <f t="shared" si="886"/>
        <v>0</v>
      </c>
      <c r="AX1251" s="31">
        <f t="shared" si="887"/>
        <v>0</v>
      </c>
      <c r="AY1251" s="31">
        <f t="shared" si="888"/>
        <v>0</v>
      </c>
      <c r="AZ1251" s="31">
        <f t="shared" si="889"/>
        <v>0</v>
      </c>
      <c r="BA1251" s="31">
        <f t="shared" si="890"/>
        <v>0</v>
      </c>
      <c r="BB1251" s="31">
        <f t="shared" si="919"/>
        <v>0</v>
      </c>
      <c r="BM1251" s="8">
        <f t="shared" si="920"/>
        <v>0</v>
      </c>
      <c r="BN1251" s="8">
        <f t="shared" si="891"/>
        <v>0</v>
      </c>
      <c r="BO1251" s="8">
        <f t="shared" si="892"/>
        <v>0</v>
      </c>
      <c r="BQ1251" s="8">
        <f t="shared" si="893"/>
        <v>0</v>
      </c>
      <c r="BR1251" s="63">
        <f t="shared" si="894"/>
        <v>0</v>
      </c>
      <c r="BS1251" s="63">
        <f t="shared" si="921"/>
        <v>0</v>
      </c>
      <c r="BT1251" s="63">
        <f t="shared" si="895"/>
        <v>0</v>
      </c>
      <c r="BU1251" s="63">
        <f t="shared" si="896"/>
        <v>0</v>
      </c>
      <c r="BV1251" s="57">
        <f t="shared" si="897"/>
        <v>0</v>
      </c>
      <c r="BW1251" s="57">
        <f t="shared" si="898"/>
        <v>0</v>
      </c>
      <c r="BX1251" s="57">
        <f t="shared" si="922"/>
        <v>0</v>
      </c>
      <c r="BY1251" s="57">
        <f t="shared" si="926"/>
        <v>0</v>
      </c>
      <c r="BZ1251" s="8">
        <f t="shared" si="899"/>
        <v>0</v>
      </c>
      <c r="CA1251" s="8">
        <f t="shared" si="900"/>
        <v>0</v>
      </c>
      <c r="CB1251" s="8">
        <f t="shared" si="901"/>
        <v>0</v>
      </c>
      <c r="CC1251" s="8">
        <f t="shared" si="902"/>
        <v>0</v>
      </c>
      <c r="CD1251" s="8">
        <f t="shared" si="903"/>
        <v>0</v>
      </c>
      <c r="CE1251" s="8">
        <f t="shared" si="904"/>
        <v>0</v>
      </c>
      <c r="CF1251" s="8">
        <f t="shared" si="905"/>
        <v>0</v>
      </c>
      <c r="CG1251" s="8">
        <f t="shared" si="906"/>
        <v>0</v>
      </c>
      <c r="CH1251" s="8">
        <f t="shared" si="907"/>
        <v>0</v>
      </c>
      <c r="CI1251" s="8">
        <f t="shared" si="908"/>
        <v>0</v>
      </c>
      <c r="CJ1251" s="8">
        <f t="shared" si="909"/>
        <v>0</v>
      </c>
      <c r="CK1251" s="8">
        <f t="shared" si="910"/>
        <v>0</v>
      </c>
      <c r="CL1251" s="8">
        <f t="shared" si="911"/>
        <v>0</v>
      </c>
      <c r="CM1251" s="8">
        <f t="shared" si="912"/>
        <v>0</v>
      </c>
      <c r="CN1251" s="8">
        <f t="shared" si="913"/>
        <v>0</v>
      </c>
      <c r="CO1251" s="8">
        <f t="shared" si="914"/>
        <v>0</v>
      </c>
      <c r="CP1251" s="8">
        <f t="shared" si="915"/>
        <v>0</v>
      </c>
      <c r="CQ1251" s="8">
        <f t="shared" si="916"/>
        <v>0</v>
      </c>
      <c r="CR1251" s="8">
        <f t="shared" si="917"/>
        <v>0</v>
      </c>
      <c r="CS1251" s="8">
        <f t="shared" si="918"/>
        <v>0</v>
      </c>
      <c r="CT1251" s="8">
        <f t="shared" si="923"/>
        <v>0</v>
      </c>
      <c r="CU1251" s="8">
        <f t="shared" si="924"/>
        <v>0</v>
      </c>
      <c r="CV1251" s="8">
        <f t="shared" si="925"/>
        <v>0</v>
      </c>
    </row>
    <row r="1252" spans="1:100" ht="20.5" thickTop="1" thickBot="1" x14ac:dyDescent="0.5">
      <c r="A1252" s="32"/>
      <c r="B1252" s="10"/>
      <c r="C1252" s="10"/>
      <c r="D1252" s="11"/>
      <c r="E1252" s="10"/>
      <c r="F1252" s="10"/>
      <c r="G1252" s="19"/>
      <c r="H1252" s="19"/>
      <c r="I1252" s="19"/>
      <c r="J1252" s="19"/>
      <c r="K1252" s="10"/>
      <c r="L1252" s="10"/>
      <c r="M1252" s="10"/>
      <c r="N1252" s="10"/>
      <c r="O1252" s="18"/>
      <c r="P1252" s="18"/>
      <c r="Q1252" s="21"/>
      <c r="R1252" s="20"/>
      <c r="S1252" s="16">
        <f t="shared" si="881"/>
        <v>0</v>
      </c>
      <c r="T1252" s="11"/>
      <c r="AS1252" s="31">
        <f t="shared" si="882"/>
        <v>0</v>
      </c>
      <c r="AT1252" s="31">
        <f t="shared" si="883"/>
        <v>0</v>
      </c>
      <c r="AU1252" s="31">
        <f t="shared" si="884"/>
        <v>0</v>
      </c>
      <c r="AV1252" s="31">
        <f t="shared" si="885"/>
        <v>0</v>
      </c>
      <c r="AW1252" s="31">
        <f t="shared" si="886"/>
        <v>0</v>
      </c>
      <c r="AX1252" s="31">
        <f t="shared" si="887"/>
        <v>0</v>
      </c>
      <c r="AY1252" s="31">
        <f t="shared" si="888"/>
        <v>0</v>
      </c>
      <c r="AZ1252" s="31">
        <f t="shared" si="889"/>
        <v>0</v>
      </c>
      <c r="BA1252" s="31">
        <f t="shared" si="890"/>
        <v>0</v>
      </c>
      <c r="BB1252" s="31">
        <f t="shared" si="919"/>
        <v>0</v>
      </c>
      <c r="BM1252" s="8">
        <f t="shared" si="920"/>
        <v>0</v>
      </c>
      <c r="BN1252" s="8">
        <f t="shared" si="891"/>
        <v>0</v>
      </c>
      <c r="BO1252" s="8">
        <f t="shared" si="892"/>
        <v>0</v>
      </c>
      <c r="BQ1252" s="8">
        <f t="shared" si="893"/>
        <v>0</v>
      </c>
      <c r="BR1252" s="63">
        <f t="shared" si="894"/>
        <v>0</v>
      </c>
      <c r="BS1252" s="63">
        <f t="shared" si="921"/>
        <v>0</v>
      </c>
      <c r="BT1252" s="63">
        <f t="shared" si="895"/>
        <v>0</v>
      </c>
      <c r="BU1252" s="63">
        <f t="shared" si="896"/>
        <v>0</v>
      </c>
      <c r="BV1252" s="57">
        <f t="shared" si="897"/>
        <v>0</v>
      </c>
      <c r="BW1252" s="57">
        <f t="shared" si="898"/>
        <v>0</v>
      </c>
      <c r="BX1252" s="57">
        <f t="shared" si="922"/>
        <v>0</v>
      </c>
      <c r="BY1252" s="57">
        <f t="shared" si="926"/>
        <v>0</v>
      </c>
      <c r="BZ1252" s="8">
        <f t="shared" si="899"/>
        <v>0</v>
      </c>
      <c r="CA1252" s="8">
        <f t="shared" si="900"/>
        <v>0</v>
      </c>
      <c r="CB1252" s="8">
        <f t="shared" si="901"/>
        <v>0</v>
      </c>
      <c r="CC1252" s="8">
        <f t="shared" si="902"/>
        <v>0</v>
      </c>
      <c r="CD1252" s="8">
        <f t="shared" si="903"/>
        <v>0</v>
      </c>
      <c r="CE1252" s="8">
        <f t="shared" si="904"/>
        <v>0</v>
      </c>
      <c r="CF1252" s="8">
        <f t="shared" si="905"/>
        <v>0</v>
      </c>
      <c r="CG1252" s="8">
        <f t="shared" si="906"/>
        <v>0</v>
      </c>
      <c r="CH1252" s="8">
        <f t="shared" si="907"/>
        <v>0</v>
      </c>
      <c r="CI1252" s="8">
        <f t="shared" si="908"/>
        <v>0</v>
      </c>
      <c r="CJ1252" s="8">
        <f t="shared" si="909"/>
        <v>0</v>
      </c>
      <c r="CK1252" s="8">
        <f t="shared" si="910"/>
        <v>0</v>
      </c>
      <c r="CL1252" s="8">
        <f t="shared" si="911"/>
        <v>0</v>
      </c>
      <c r="CM1252" s="8">
        <f t="shared" si="912"/>
        <v>0</v>
      </c>
      <c r="CN1252" s="8">
        <f t="shared" si="913"/>
        <v>0</v>
      </c>
      <c r="CO1252" s="8">
        <f t="shared" si="914"/>
        <v>0</v>
      </c>
      <c r="CP1252" s="8">
        <f t="shared" si="915"/>
        <v>0</v>
      </c>
      <c r="CQ1252" s="8">
        <f t="shared" si="916"/>
        <v>0</v>
      </c>
      <c r="CR1252" s="8">
        <f t="shared" si="917"/>
        <v>0</v>
      </c>
      <c r="CS1252" s="8">
        <f t="shared" si="918"/>
        <v>0</v>
      </c>
      <c r="CT1252" s="8">
        <f t="shared" si="923"/>
        <v>0</v>
      </c>
      <c r="CU1252" s="8">
        <f t="shared" si="924"/>
        <v>0</v>
      </c>
      <c r="CV1252" s="8">
        <f t="shared" si="925"/>
        <v>0</v>
      </c>
    </row>
    <row r="1253" spans="1:100" ht="20.5" thickTop="1" thickBot="1" x14ac:dyDescent="0.5">
      <c r="A1253" s="32"/>
      <c r="B1253" s="10"/>
      <c r="C1253" s="10"/>
      <c r="D1253" s="11"/>
      <c r="E1253" s="10"/>
      <c r="F1253" s="10"/>
      <c r="G1253" s="19"/>
      <c r="H1253" s="19"/>
      <c r="I1253" s="19"/>
      <c r="J1253" s="19"/>
      <c r="K1253" s="10"/>
      <c r="L1253" s="10"/>
      <c r="M1253" s="10"/>
      <c r="N1253" s="10"/>
      <c r="O1253" s="18"/>
      <c r="P1253" s="18"/>
      <c r="Q1253" s="21"/>
      <c r="R1253" s="20"/>
      <c r="S1253" s="16">
        <f t="shared" si="881"/>
        <v>0</v>
      </c>
      <c r="T1253" s="11"/>
      <c r="AS1253" s="31">
        <f t="shared" si="882"/>
        <v>0</v>
      </c>
      <c r="AT1253" s="31">
        <f t="shared" si="883"/>
        <v>0</v>
      </c>
      <c r="AU1253" s="31">
        <f t="shared" si="884"/>
        <v>0</v>
      </c>
      <c r="AV1253" s="31">
        <f t="shared" si="885"/>
        <v>0</v>
      </c>
      <c r="AW1253" s="31">
        <f t="shared" si="886"/>
        <v>0</v>
      </c>
      <c r="AX1253" s="31">
        <f t="shared" si="887"/>
        <v>0</v>
      </c>
      <c r="AY1253" s="31">
        <f t="shared" si="888"/>
        <v>0</v>
      </c>
      <c r="AZ1253" s="31">
        <f t="shared" si="889"/>
        <v>0</v>
      </c>
      <c r="BA1253" s="31">
        <f t="shared" si="890"/>
        <v>0</v>
      </c>
      <c r="BB1253" s="31">
        <f t="shared" si="919"/>
        <v>0</v>
      </c>
      <c r="BM1253" s="8">
        <f t="shared" si="920"/>
        <v>0</v>
      </c>
      <c r="BN1253" s="8">
        <f t="shared" si="891"/>
        <v>0</v>
      </c>
      <c r="BO1253" s="8">
        <f t="shared" si="892"/>
        <v>0</v>
      </c>
      <c r="BQ1253" s="8">
        <f t="shared" si="893"/>
        <v>0</v>
      </c>
      <c r="BR1253" s="63">
        <f t="shared" si="894"/>
        <v>0</v>
      </c>
      <c r="BS1253" s="63">
        <f t="shared" si="921"/>
        <v>0</v>
      </c>
      <c r="BT1253" s="63">
        <f t="shared" si="895"/>
        <v>0</v>
      </c>
      <c r="BU1253" s="63">
        <f t="shared" si="896"/>
        <v>0</v>
      </c>
      <c r="BV1253" s="57">
        <f t="shared" si="897"/>
        <v>0</v>
      </c>
      <c r="BW1253" s="57">
        <f t="shared" si="898"/>
        <v>0</v>
      </c>
      <c r="BX1253" s="57">
        <f t="shared" si="922"/>
        <v>0</v>
      </c>
      <c r="BY1253" s="57">
        <f t="shared" si="926"/>
        <v>0</v>
      </c>
      <c r="BZ1253" s="8">
        <f t="shared" si="899"/>
        <v>0</v>
      </c>
      <c r="CA1253" s="8">
        <f t="shared" si="900"/>
        <v>0</v>
      </c>
      <c r="CB1253" s="8">
        <f t="shared" si="901"/>
        <v>0</v>
      </c>
      <c r="CC1253" s="8">
        <f t="shared" si="902"/>
        <v>0</v>
      </c>
      <c r="CD1253" s="8">
        <f t="shared" si="903"/>
        <v>0</v>
      </c>
      <c r="CE1253" s="8">
        <f t="shared" si="904"/>
        <v>0</v>
      </c>
      <c r="CF1253" s="8">
        <f t="shared" si="905"/>
        <v>0</v>
      </c>
      <c r="CG1253" s="8">
        <f t="shared" si="906"/>
        <v>0</v>
      </c>
      <c r="CH1253" s="8">
        <f t="shared" si="907"/>
        <v>0</v>
      </c>
      <c r="CI1253" s="8">
        <f t="shared" si="908"/>
        <v>0</v>
      </c>
      <c r="CJ1253" s="8">
        <f t="shared" si="909"/>
        <v>0</v>
      </c>
      <c r="CK1253" s="8">
        <f t="shared" si="910"/>
        <v>0</v>
      </c>
      <c r="CL1253" s="8">
        <f t="shared" si="911"/>
        <v>0</v>
      </c>
      <c r="CM1253" s="8">
        <f t="shared" si="912"/>
        <v>0</v>
      </c>
      <c r="CN1253" s="8">
        <f t="shared" si="913"/>
        <v>0</v>
      </c>
      <c r="CO1253" s="8">
        <f t="shared" si="914"/>
        <v>0</v>
      </c>
      <c r="CP1253" s="8">
        <f t="shared" si="915"/>
        <v>0</v>
      </c>
      <c r="CQ1253" s="8">
        <f t="shared" si="916"/>
        <v>0</v>
      </c>
      <c r="CR1253" s="8">
        <f t="shared" si="917"/>
        <v>0</v>
      </c>
      <c r="CS1253" s="8">
        <f t="shared" si="918"/>
        <v>0</v>
      </c>
      <c r="CT1253" s="8">
        <f t="shared" si="923"/>
        <v>0</v>
      </c>
      <c r="CU1253" s="8">
        <f t="shared" si="924"/>
        <v>0</v>
      </c>
      <c r="CV1253" s="8">
        <f t="shared" si="925"/>
        <v>0</v>
      </c>
    </row>
    <row r="1254" spans="1:100" ht="20.5" thickTop="1" thickBot="1" x14ac:dyDescent="0.5">
      <c r="A1254" s="32"/>
      <c r="B1254" s="10"/>
      <c r="C1254" s="10"/>
      <c r="D1254" s="11"/>
      <c r="E1254" s="10"/>
      <c r="F1254" s="10"/>
      <c r="G1254" s="19"/>
      <c r="H1254" s="19"/>
      <c r="I1254" s="19"/>
      <c r="J1254" s="19"/>
      <c r="K1254" s="10"/>
      <c r="L1254" s="10"/>
      <c r="M1254" s="10"/>
      <c r="N1254" s="10"/>
      <c r="O1254" s="18"/>
      <c r="P1254" s="18"/>
      <c r="Q1254" s="21"/>
      <c r="R1254" s="20"/>
      <c r="S1254" s="16">
        <f t="shared" si="881"/>
        <v>0</v>
      </c>
      <c r="T1254" s="11"/>
      <c r="AS1254" s="31">
        <f t="shared" si="882"/>
        <v>0</v>
      </c>
      <c r="AT1254" s="31">
        <f t="shared" si="883"/>
        <v>0</v>
      </c>
      <c r="AU1254" s="31">
        <f t="shared" si="884"/>
        <v>0</v>
      </c>
      <c r="AV1254" s="31">
        <f t="shared" si="885"/>
        <v>0</v>
      </c>
      <c r="AW1254" s="31">
        <f t="shared" si="886"/>
        <v>0</v>
      </c>
      <c r="AX1254" s="31">
        <f t="shared" si="887"/>
        <v>0</v>
      </c>
      <c r="AY1254" s="31">
        <f t="shared" si="888"/>
        <v>0</v>
      </c>
      <c r="AZ1254" s="31">
        <f t="shared" si="889"/>
        <v>0</v>
      </c>
      <c r="BA1254" s="31">
        <f t="shared" si="890"/>
        <v>0</v>
      </c>
      <c r="BB1254" s="31">
        <f t="shared" si="919"/>
        <v>0</v>
      </c>
      <c r="BM1254" s="8">
        <f t="shared" si="920"/>
        <v>0</v>
      </c>
      <c r="BN1254" s="8">
        <f t="shared" si="891"/>
        <v>0</v>
      </c>
      <c r="BO1254" s="8">
        <f t="shared" si="892"/>
        <v>0</v>
      </c>
      <c r="BQ1254" s="8">
        <f t="shared" si="893"/>
        <v>0</v>
      </c>
      <c r="BR1254" s="63">
        <f t="shared" si="894"/>
        <v>0</v>
      </c>
      <c r="BS1254" s="63">
        <f t="shared" si="921"/>
        <v>0</v>
      </c>
      <c r="BT1254" s="63">
        <f t="shared" si="895"/>
        <v>0</v>
      </c>
      <c r="BU1254" s="63">
        <f t="shared" si="896"/>
        <v>0</v>
      </c>
      <c r="BV1254" s="57">
        <f t="shared" si="897"/>
        <v>0</v>
      </c>
      <c r="BW1254" s="57">
        <f t="shared" si="898"/>
        <v>0</v>
      </c>
      <c r="BX1254" s="57">
        <f t="shared" si="922"/>
        <v>0</v>
      </c>
      <c r="BY1254" s="57">
        <f t="shared" si="926"/>
        <v>0</v>
      </c>
      <c r="BZ1254" s="8">
        <f t="shared" si="899"/>
        <v>0</v>
      </c>
      <c r="CA1254" s="8">
        <f t="shared" si="900"/>
        <v>0</v>
      </c>
      <c r="CB1254" s="8">
        <f t="shared" si="901"/>
        <v>0</v>
      </c>
      <c r="CC1254" s="8">
        <f t="shared" si="902"/>
        <v>0</v>
      </c>
      <c r="CD1254" s="8">
        <f t="shared" si="903"/>
        <v>0</v>
      </c>
      <c r="CE1254" s="8">
        <f t="shared" si="904"/>
        <v>0</v>
      </c>
      <c r="CF1254" s="8">
        <f t="shared" si="905"/>
        <v>0</v>
      </c>
      <c r="CG1254" s="8">
        <f t="shared" si="906"/>
        <v>0</v>
      </c>
      <c r="CH1254" s="8">
        <f t="shared" si="907"/>
        <v>0</v>
      </c>
      <c r="CI1254" s="8">
        <f t="shared" si="908"/>
        <v>0</v>
      </c>
      <c r="CJ1254" s="8">
        <f t="shared" si="909"/>
        <v>0</v>
      </c>
      <c r="CK1254" s="8">
        <f t="shared" si="910"/>
        <v>0</v>
      </c>
      <c r="CL1254" s="8">
        <f t="shared" si="911"/>
        <v>0</v>
      </c>
      <c r="CM1254" s="8">
        <f t="shared" si="912"/>
        <v>0</v>
      </c>
      <c r="CN1254" s="8">
        <f t="shared" si="913"/>
        <v>0</v>
      </c>
      <c r="CO1254" s="8">
        <f t="shared" si="914"/>
        <v>0</v>
      </c>
      <c r="CP1254" s="8">
        <f t="shared" si="915"/>
        <v>0</v>
      </c>
      <c r="CQ1254" s="8">
        <f t="shared" si="916"/>
        <v>0</v>
      </c>
      <c r="CR1254" s="8">
        <f t="shared" si="917"/>
        <v>0</v>
      </c>
      <c r="CS1254" s="8">
        <f t="shared" si="918"/>
        <v>0</v>
      </c>
      <c r="CT1254" s="8">
        <f t="shared" si="923"/>
        <v>0</v>
      </c>
      <c r="CU1254" s="8">
        <f t="shared" si="924"/>
        <v>0</v>
      </c>
      <c r="CV1254" s="8">
        <f t="shared" si="925"/>
        <v>0</v>
      </c>
    </row>
    <row r="1255" spans="1:100" ht="20.5" thickTop="1" thickBot="1" x14ac:dyDescent="0.5">
      <c r="A1255" s="32"/>
      <c r="B1255" s="10"/>
      <c r="C1255" s="10"/>
      <c r="D1255" s="11"/>
      <c r="E1255" s="10"/>
      <c r="F1255" s="10"/>
      <c r="G1255" s="19"/>
      <c r="H1255" s="19"/>
      <c r="I1255" s="19"/>
      <c r="J1255" s="19"/>
      <c r="K1255" s="10"/>
      <c r="L1255" s="10"/>
      <c r="M1255" s="10"/>
      <c r="N1255" s="10"/>
      <c r="O1255" s="18"/>
      <c r="P1255" s="18"/>
      <c r="Q1255" s="21"/>
      <c r="R1255" s="20"/>
      <c r="S1255" s="16">
        <f t="shared" si="881"/>
        <v>0</v>
      </c>
      <c r="T1255" s="11"/>
      <c r="AS1255" s="31">
        <f t="shared" si="882"/>
        <v>0</v>
      </c>
      <c r="AT1255" s="31">
        <f t="shared" si="883"/>
        <v>0</v>
      </c>
      <c r="AU1255" s="31">
        <f t="shared" si="884"/>
        <v>0</v>
      </c>
      <c r="AV1255" s="31">
        <f t="shared" si="885"/>
        <v>0</v>
      </c>
      <c r="AW1255" s="31">
        <f t="shared" si="886"/>
        <v>0</v>
      </c>
      <c r="AX1255" s="31">
        <f t="shared" si="887"/>
        <v>0</v>
      </c>
      <c r="AY1255" s="31">
        <f t="shared" si="888"/>
        <v>0</v>
      </c>
      <c r="AZ1255" s="31">
        <f t="shared" si="889"/>
        <v>0</v>
      </c>
      <c r="BA1255" s="31">
        <f t="shared" si="890"/>
        <v>0</v>
      </c>
      <c r="BB1255" s="31">
        <f t="shared" si="919"/>
        <v>0</v>
      </c>
      <c r="BM1255" s="8">
        <f t="shared" si="920"/>
        <v>0</v>
      </c>
      <c r="BN1255" s="8">
        <f t="shared" si="891"/>
        <v>0</v>
      </c>
      <c r="BO1255" s="8">
        <f t="shared" si="892"/>
        <v>0</v>
      </c>
      <c r="BQ1255" s="8">
        <f t="shared" si="893"/>
        <v>0</v>
      </c>
      <c r="BR1255" s="63">
        <f t="shared" si="894"/>
        <v>0</v>
      </c>
      <c r="BS1255" s="63">
        <f t="shared" si="921"/>
        <v>0</v>
      </c>
      <c r="BT1255" s="63">
        <f t="shared" si="895"/>
        <v>0</v>
      </c>
      <c r="BU1255" s="63">
        <f t="shared" si="896"/>
        <v>0</v>
      </c>
      <c r="BV1255" s="57">
        <f t="shared" si="897"/>
        <v>0</v>
      </c>
      <c r="BW1255" s="57">
        <f t="shared" si="898"/>
        <v>0</v>
      </c>
      <c r="BX1255" s="57">
        <f t="shared" si="922"/>
        <v>0</v>
      </c>
      <c r="BY1255" s="57">
        <f t="shared" si="926"/>
        <v>0</v>
      </c>
      <c r="BZ1255" s="8">
        <f t="shared" si="899"/>
        <v>0</v>
      </c>
      <c r="CA1255" s="8">
        <f t="shared" si="900"/>
        <v>0</v>
      </c>
      <c r="CB1255" s="8">
        <f t="shared" si="901"/>
        <v>0</v>
      </c>
      <c r="CC1255" s="8">
        <f t="shared" si="902"/>
        <v>0</v>
      </c>
      <c r="CD1255" s="8">
        <f t="shared" si="903"/>
        <v>0</v>
      </c>
      <c r="CE1255" s="8">
        <f t="shared" si="904"/>
        <v>0</v>
      </c>
      <c r="CF1255" s="8">
        <f t="shared" si="905"/>
        <v>0</v>
      </c>
      <c r="CG1255" s="8">
        <f t="shared" si="906"/>
        <v>0</v>
      </c>
      <c r="CH1255" s="8">
        <f t="shared" si="907"/>
        <v>0</v>
      </c>
      <c r="CI1255" s="8">
        <f t="shared" si="908"/>
        <v>0</v>
      </c>
      <c r="CJ1255" s="8">
        <f t="shared" si="909"/>
        <v>0</v>
      </c>
      <c r="CK1255" s="8">
        <f t="shared" si="910"/>
        <v>0</v>
      </c>
      <c r="CL1255" s="8">
        <f t="shared" si="911"/>
        <v>0</v>
      </c>
      <c r="CM1255" s="8">
        <f t="shared" si="912"/>
        <v>0</v>
      </c>
      <c r="CN1255" s="8">
        <f t="shared" si="913"/>
        <v>0</v>
      </c>
      <c r="CO1255" s="8">
        <f t="shared" si="914"/>
        <v>0</v>
      </c>
      <c r="CP1255" s="8">
        <f t="shared" si="915"/>
        <v>0</v>
      </c>
      <c r="CQ1255" s="8">
        <f t="shared" si="916"/>
        <v>0</v>
      </c>
      <c r="CR1255" s="8">
        <f t="shared" si="917"/>
        <v>0</v>
      </c>
      <c r="CS1255" s="8">
        <f t="shared" si="918"/>
        <v>0</v>
      </c>
      <c r="CT1255" s="8">
        <f t="shared" si="923"/>
        <v>0</v>
      </c>
      <c r="CU1255" s="8">
        <f t="shared" si="924"/>
        <v>0</v>
      </c>
      <c r="CV1255" s="8">
        <f t="shared" si="925"/>
        <v>0</v>
      </c>
    </row>
    <row r="1256" spans="1:100" ht="20.5" thickTop="1" thickBot="1" x14ac:dyDescent="0.5">
      <c r="A1256" s="32"/>
      <c r="B1256" s="10"/>
      <c r="C1256" s="10"/>
      <c r="D1256" s="11"/>
      <c r="E1256" s="10"/>
      <c r="F1256" s="10"/>
      <c r="G1256" s="19"/>
      <c r="H1256" s="19"/>
      <c r="I1256" s="19"/>
      <c r="J1256" s="19"/>
      <c r="K1256" s="10"/>
      <c r="L1256" s="10"/>
      <c r="M1256" s="10"/>
      <c r="N1256" s="10"/>
      <c r="O1256" s="18"/>
      <c r="P1256" s="18"/>
      <c r="Q1256" s="21"/>
      <c r="R1256" s="20"/>
      <c r="S1256" s="16">
        <f t="shared" si="881"/>
        <v>0</v>
      </c>
      <c r="T1256" s="11"/>
      <c r="AS1256" s="31">
        <f t="shared" si="882"/>
        <v>0</v>
      </c>
      <c r="AT1256" s="31">
        <f t="shared" si="883"/>
        <v>0</v>
      </c>
      <c r="AU1256" s="31">
        <f t="shared" si="884"/>
        <v>0</v>
      </c>
      <c r="AV1256" s="31">
        <f t="shared" si="885"/>
        <v>0</v>
      </c>
      <c r="AW1256" s="31">
        <f t="shared" si="886"/>
        <v>0</v>
      </c>
      <c r="AX1256" s="31">
        <f t="shared" si="887"/>
        <v>0</v>
      </c>
      <c r="AY1256" s="31">
        <f t="shared" si="888"/>
        <v>0</v>
      </c>
      <c r="AZ1256" s="31">
        <f t="shared" si="889"/>
        <v>0</v>
      </c>
      <c r="BA1256" s="31">
        <f t="shared" si="890"/>
        <v>0</v>
      </c>
      <c r="BB1256" s="31">
        <f t="shared" si="919"/>
        <v>0</v>
      </c>
      <c r="BM1256" s="8">
        <f t="shared" si="920"/>
        <v>0</v>
      </c>
      <c r="BN1256" s="8">
        <f t="shared" si="891"/>
        <v>0</v>
      </c>
      <c r="BO1256" s="8">
        <f t="shared" si="892"/>
        <v>0</v>
      </c>
      <c r="BQ1256" s="8">
        <f t="shared" si="893"/>
        <v>0</v>
      </c>
      <c r="BR1256" s="63">
        <f t="shared" si="894"/>
        <v>0</v>
      </c>
      <c r="BS1256" s="63">
        <f t="shared" si="921"/>
        <v>0</v>
      </c>
      <c r="BT1256" s="63">
        <f t="shared" si="895"/>
        <v>0</v>
      </c>
      <c r="BU1256" s="63">
        <f t="shared" si="896"/>
        <v>0</v>
      </c>
      <c r="BV1256" s="57">
        <f t="shared" si="897"/>
        <v>0</v>
      </c>
      <c r="BW1256" s="57">
        <f t="shared" si="898"/>
        <v>0</v>
      </c>
      <c r="BX1256" s="57">
        <f t="shared" si="922"/>
        <v>0</v>
      </c>
      <c r="BY1256" s="57">
        <f t="shared" si="926"/>
        <v>0</v>
      </c>
      <c r="BZ1256" s="8">
        <f t="shared" si="899"/>
        <v>0</v>
      </c>
      <c r="CA1256" s="8">
        <f t="shared" si="900"/>
        <v>0</v>
      </c>
      <c r="CB1256" s="8">
        <f t="shared" si="901"/>
        <v>0</v>
      </c>
      <c r="CC1256" s="8">
        <f t="shared" si="902"/>
        <v>0</v>
      </c>
      <c r="CD1256" s="8">
        <f t="shared" si="903"/>
        <v>0</v>
      </c>
      <c r="CE1256" s="8">
        <f t="shared" si="904"/>
        <v>0</v>
      </c>
      <c r="CF1256" s="8">
        <f t="shared" si="905"/>
        <v>0</v>
      </c>
      <c r="CG1256" s="8">
        <f t="shared" si="906"/>
        <v>0</v>
      </c>
      <c r="CH1256" s="8">
        <f t="shared" si="907"/>
        <v>0</v>
      </c>
      <c r="CI1256" s="8">
        <f t="shared" si="908"/>
        <v>0</v>
      </c>
      <c r="CJ1256" s="8">
        <f t="shared" si="909"/>
        <v>0</v>
      </c>
      <c r="CK1256" s="8">
        <f t="shared" si="910"/>
        <v>0</v>
      </c>
      <c r="CL1256" s="8">
        <f t="shared" si="911"/>
        <v>0</v>
      </c>
      <c r="CM1256" s="8">
        <f t="shared" si="912"/>
        <v>0</v>
      </c>
      <c r="CN1256" s="8">
        <f t="shared" si="913"/>
        <v>0</v>
      </c>
      <c r="CO1256" s="8">
        <f t="shared" si="914"/>
        <v>0</v>
      </c>
      <c r="CP1256" s="8">
        <f t="shared" si="915"/>
        <v>0</v>
      </c>
      <c r="CQ1256" s="8">
        <f t="shared" si="916"/>
        <v>0</v>
      </c>
      <c r="CR1256" s="8">
        <f t="shared" si="917"/>
        <v>0</v>
      </c>
      <c r="CS1256" s="8">
        <f t="shared" si="918"/>
        <v>0</v>
      </c>
      <c r="CT1256" s="8">
        <f t="shared" si="923"/>
        <v>0</v>
      </c>
      <c r="CU1256" s="8">
        <f t="shared" si="924"/>
        <v>0</v>
      </c>
      <c r="CV1256" s="8">
        <f t="shared" si="925"/>
        <v>0</v>
      </c>
    </row>
    <row r="1257" spans="1:100" ht="20.5" thickTop="1" thickBot="1" x14ac:dyDescent="0.5">
      <c r="A1257" s="32"/>
      <c r="B1257" s="10"/>
      <c r="C1257" s="10"/>
      <c r="D1257" s="11"/>
      <c r="E1257" s="10"/>
      <c r="F1257" s="10"/>
      <c r="G1257" s="19"/>
      <c r="H1257" s="19"/>
      <c r="I1257" s="19"/>
      <c r="J1257" s="19"/>
      <c r="K1257" s="10"/>
      <c r="L1257" s="10"/>
      <c r="M1257" s="10"/>
      <c r="N1257" s="10"/>
      <c r="O1257" s="18"/>
      <c r="P1257" s="18"/>
      <c r="Q1257" s="21"/>
      <c r="R1257" s="20"/>
      <c r="S1257" s="16">
        <f t="shared" si="881"/>
        <v>0</v>
      </c>
      <c r="T1257" s="11"/>
      <c r="AS1257" s="31">
        <f t="shared" si="882"/>
        <v>0</v>
      </c>
      <c r="AT1257" s="31">
        <f t="shared" si="883"/>
        <v>0</v>
      </c>
      <c r="AU1257" s="31">
        <f t="shared" si="884"/>
        <v>0</v>
      </c>
      <c r="AV1257" s="31">
        <f t="shared" si="885"/>
        <v>0</v>
      </c>
      <c r="AW1257" s="31">
        <f t="shared" si="886"/>
        <v>0</v>
      </c>
      <c r="AX1257" s="31">
        <f t="shared" si="887"/>
        <v>0</v>
      </c>
      <c r="AY1257" s="31">
        <f t="shared" si="888"/>
        <v>0</v>
      </c>
      <c r="AZ1257" s="31">
        <f t="shared" si="889"/>
        <v>0</v>
      </c>
      <c r="BA1257" s="31">
        <f t="shared" si="890"/>
        <v>0</v>
      </c>
      <c r="BB1257" s="31">
        <f t="shared" si="919"/>
        <v>0</v>
      </c>
      <c r="BM1257" s="8">
        <f t="shared" si="920"/>
        <v>0</v>
      </c>
      <c r="BN1257" s="8">
        <f t="shared" si="891"/>
        <v>0</v>
      </c>
      <c r="BO1257" s="8">
        <f t="shared" si="892"/>
        <v>0</v>
      </c>
      <c r="BQ1257" s="8">
        <f t="shared" si="893"/>
        <v>0</v>
      </c>
      <c r="BR1257" s="63">
        <f t="shared" si="894"/>
        <v>0</v>
      </c>
      <c r="BS1257" s="63">
        <f t="shared" si="921"/>
        <v>0</v>
      </c>
      <c r="BT1257" s="63">
        <f t="shared" si="895"/>
        <v>0</v>
      </c>
      <c r="BU1257" s="63">
        <f t="shared" si="896"/>
        <v>0</v>
      </c>
      <c r="BV1257" s="57">
        <f t="shared" si="897"/>
        <v>0</v>
      </c>
      <c r="BW1257" s="57">
        <f t="shared" si="898"/>
        <v>0</v>
      </c>
      <c r="BX1257" s="57">
        <f t="shared" si="922"/>
        <v>0</v>
      </c>
      <c r="BY1257" s="57">
        <f t="shared" si="926"/>
        <v>0</v>
      </c>
      <c r="BZ1257" s="8">
        <f t="shared" si="899"/>
        <v>0</v>
      </c>
      <c r="CA1257" s="8">
        <f t="shared" si="900"/>
        <v>0</v>
      </c>
      <c r="CB1257" s="8">
        <f t="shared" si="901"/>
        <v>0</v>
      </c>
      <c r="CC1257" s="8">
        <f t="shared" si="902"/>
        <v>0</v>
      </c>
      <c r="CD1257" s="8">
        <f t="shared" si="903"/>
        <v>0</v>
      </c>
      <c r="CE1257" s="8">
        <f t="shared" si="904"/>
        <v>0</v>
      </c>
      <c r="CF1257" s="8">
        <f t="shared" si="905"/>
        <v>0</v>
      </c>
      <c r="CG1257" s="8">
        <f t="shared" si="906"/>
        <v>0</v>
      </c>
      <c r="CH1257" s="8">
        <f t="shared" si="907"/>
        <v>0</v>
      </c>
      <c r="CI1257" s="8">
        <f t="shared" si="908"/>
        <v>0</v>
      </c>
      <c r="CJ1257" s="8">
        <f t="shared" si="909"/>
        <v>0</v>
      </c>
      <c r="CK1257" s="8">
        <f t="shared" si="910"/>
        <v>0</v>
      </c>
      <c r="CL1257" s="8">
        <f t="shared" si="911"/>
        <v>0</v>
      </c>
      <c r="CM1257" s="8">
        <f t="shared" si="912"/>
        <v>0</v>
      </c>
      <c r="CN1257" s="8">
        <f t="shared" si="913"/>
        <v>0</v>
      </c>
      <c r="CO1257" s="8">
        <f t="shared" si="914"/>
        <v>0</v>
      </c>
      <c r="CP1257" s="8">
        <f t="shared" si="915"/>
        <v>0</v>
      </c>
      <c r="CQ1257" s="8">
        <f t="shared" si="916"/>
        <v>0</v>
      </c>
      <c r="CR1257" s="8">
        <f t="shared" si="917"/>
        <v>0</v>
      </c>
      <c r="CS1257" s="8">
        <f t="shared" si="918"/>
        <v>0</v>
      </c>
      <c r="CT1257" s="8">
        <f t="shared" si="923"/>
        <v>0</v>
      </c>
      <c r="CU1257" s="8">
        <f t="shared" si="924"/>
        <v>0</v>
      </c>
      <c r="CV1257" s="8">
        <f t="shared" si="925"/>
        <v>0</v>
      </c>
    </row>
    <row r="1258" spans="1:100" ht="20.5" thickTop="1" thickBot="1" x14ac:dyDescent="0.5">
      <c r="A1258" s="32"/>
      <c r="B1258" s="10"/>
      <c r="C1258" s="10"/>
      <c r="D1258" s="11"/>
      <c r="E1258" s="10"/>
      <c r="F1258" s="10"/>
      <c r="G1258" s="19"/>
      <c r="H1258" s="19"/>
      <c r="I1258" s="19"/>
      <c r="J1258" s="19"/>
      <c r="K1258" s="10"/>
      <c r="L1258" s="10"/>
      <c r="M1258" s="10"/>
      <c r="N1258" s="10"/>
      <c r="O1258" s="18"/>
      <c r="P1258" s="18"/>
      <c r="Q1258" s="21"/>
      <c r="R1258" s="20"/>
      <c r="S1258" s="16">
        <f t="shared" si="881"/>
        <v>0</v>
      </c>
      <c r="T1258" s="11"/>
      <c r="AS1258" s="31">
        <f t="shared" si="882"/>
        <v>0</v>
      </c>
      <c r="AT1258" s="31">
        <f t="shared" si="883"/>
        <v>0</v>
      </c>
      <c r="AU1258" s="31">
        <f t="shared" si="884"/>
        <v>0</v>
      </c>
      <c r="AV1258" s="31">
        <f t="shared" si="885"/>
        <v>0</v>
      </c>
      <c r="AW1258" s="31">
        <f t="shared" si="886"/>
        <v>0</v>
      </c>
      <c r="AX1258" s="31">
        <f t="shared" si="887"/>
        <v>0</v>
      </c>
      <c r="AY1258" s="31">
        <f t="shared" si="888"/>
        <v>0</v>
      </c>
      <c r="AZ1258" s="31">
        <f t="shared" si="889"/>
        <v>0</v>
      </c>
      <c r="BA1258" s="31">
        <f t="shared" si="890"/>
        <v>0</v>
      </c>
      <c r="BB1258" s="31">
        <f t="shared" si="919"/>
        <v>0</v>
      </c>
      <c r="BM1258" s="8">
        <f t="shared" si="920"/>
        <v>0</v>
      </c>
      <c r="BN1258" s="8">
        <f t="shared" si="891"/>
        <v>0</v>
      </c>
      <c r="BO1258" s="8">
        <f t="shared" si="892"/>
        <v>0</v>
      </c>
      <c r="BQ1258" s="8">
        <f t="shared" si="893"/>
        <v>0</v>
      </c>
      <c r="BR1258" s="63">
        <f t="shared" si="894"/>
        <v>0</v>
      </c>
      <c r="BS1258" s="63">
        <f t="shared" si="921"/>
        <v>0</v>
      </c>
      <c r="BT1258" s="63">
        <f t="shared" si="895"/>
        <v>0</v>
      </c>
      <c r="BU1258" s="63">
        <f t="shared" si="896"/>
        <v>0</v>
      </c>
      <c r="BV1258" s="57">
        <f t="shared" si="897"/>
        <v>0</v>
      </c>
      <c r="BW1258" s="57">
        <f t="shared" si="898"/>
        <v>0</v>
      </c>
      <c r="BX1258" s="57">
        <f t="shared" si="922"/>
        <v>0</v>
      </c>
      <c r="BY1258" s="57">
        <f t="shared" si="926"/>
        <v>0</v>
      </c>
      <c r="BZ1258" s="8">
        <f t="shared" si="899"/>
        <v>0</v>
      </c>
      <c r="CA1258" s="8">
        <f t="shared" si="900"/>
        <v>0</v>
      </c>
      <c r="CB1258" s="8">
        <f t="shared" si="901"/>
        <v>0</v>
      </c>
      <c r="CC1258" s="8">
        <f t="shared" si="902"/>
        <v>0</v>
      </c>
      <c r="CD1258" s="8">
        <f t="shared" si="903"/>
        <v>0</v>
      </c>
      <c r="CE1258" s="8">
        <f t="shared" si="904"/>
        <v>0</v>
      </c>
      <c r="CF1258" s="8">
        <f t="shared" si="905"/>
        <v>0</v>
      </c>
      <c r="CG1258" s="8">
        <f t="shared" si="906"/>
        <v>0</v>
      </c>
      <c r="CH1258" s="8">
        <f t="shared" si="907"/>
        <v>0</v>
      </c>
      <c r="CI1258" s="8">
        <f t="shared" si="908"/>
        <v>0</v>
      </c>
      <c r="CJ1258" s="8">
        <f t="shared" si="909"/>
        <v>0</v>
      </c>
      <c r="CK1258" s="8">
        <f t="shared" si="910"/>
        <v>0</v>
      </c>
      <c r="CL1258" s="8">
        <f t="shared" si="911"/>
        <v>0</v>
      </c>
      <c r="CM1258" s="8">
        <f t="shared" si="912"/>
        <v>0</v>
      </c>
      <c r="CN1258" s="8">
        <f t="shared" si="913"/>
        <v>0</v>
      </c>
      <c r="CO1258" s="8">
        <f t="shared" si="914"/>
        <v>0</v>
      </c>
      <c r="CP1258" s="8">
        <f t="shared" si="915"/>
        <v>0</v>
      </c>
      <c r="CQ1258" s="8">
        <f t="shared" si="916"/>
        <v>0</v>
      </c>
      <c r="CR1258" s="8">
        <f t="shared" si="917"/>
        <v>0</v>
      </c>
      <c r="CS1258" s="8">
        <f t="shared" si="918"/>
        <v>0</v>
      </c>
      <c r="CT1258" s="8">
        <f t="shared" si="923"/>
        <v>0</v>
      </c>
      <c r="CU1258" s="8">
        <f t="shared" si="924"/>
        <v>0</v>
      </c>
      <c r="CV1258" s="8">
        <f t="shared" si="925"/>
        <v>0</v>
      </c>
    </row>
    <row r="1259" spans="1:100" ht="20.5" thickTop="1" thickBot="1" x14ac:dyDescent="0.5">
      <c r="A1259" s="32"/>
      <c r="B1259" s="10"/>
      <c r="C1259" s="10"/>
      <c r="D1259" s="11"/>
      <c r="E1259" s="10"/>
      <c r="F1259" s="10"/>
      <c r="G1259" s="19"/>
      <c r="H1259" s="19"/>
      <c r="I1259" s="19"/>
      <c r="J1259" s="19"/>
      <c r="K1259" s="10"/>
      <c r="L1259" s="10"/>
      <c r="M1259" s="10"/>
      <c r="N1259" s="10"/>
      <c r="O1259" s="18"/>
      <c r="P1259" s="18"/>
      <c r="Q1259" s="21"/>
      <c r="R1259" s="20"/>
      <c r="S1259" s="16">
        <f t="shared" si="881"/>
        <v>0</v>
      </c>
      <c r="T1259" s="11"/>
      <c r="AS1259" s="31">
        <f t="shared" si="882"/>
        <v>0</v>
      </c>
      <c r="AT1259" s="31">
        <f t="shared" si="883"/>
        <v>0</v>
      </c>
      <c r="AU1259" s="31">
        <f t="shared" si="884"/>
        <v>0</v>
      </c>
      <c r="AV1259" s="31">
        <f t="shared" si="885"/>
        <v>0</v>
      </c>
      <c r="AW1259" s="31">
        <f t="shared" si="886"/>
        <v>0</v>
      </c>
      <c r="AX1259" s="31">
        <f t="shared" si="887"/>
        <v>0</v>
      </c>
      <c r="AY1259" s="31">
        <f t="shared" si="888"/>
        <v>0</v>
      </c>
      <c r="AZ1259" s="31">
        <f t="shared" si="889"/>
        <v>0</v>
      </c>
      <c r="BA1259" s="31">
        <f t="shared" si="890"/>
        <v>0</v>
      </c>
      <c r="BB1259" s="31">
        <f t="shared" si="919"/>
        <v>0</v>
      </c>
      <c r="BM1259" s="8">
        <f t="shared" si="920"/>
        <v>0</v>
      </c>
      <c r="BN1259" s="8">
        <f t="shared" si="891"/>
        <v>0</v>
      </c>
      <c r="BO1259" s="8">
        <f t="shared" si="892"/>
        <v>0</v>
      </c>
      <c r="BQ1259" s="8">
        <f t="shared" si="893"/>
        <v>0</v>
      </c>
      <c r="BR1259" s="63">
        <f t="shared" si="894"/>
        <v>0</v>
      </c>
      <c r="BS1259" s="63">
        <f t="shared" si="921"/>
        <v>0</v>
      </c>
      <c r="BT1259" s="63">
        <f t="shared" si="895"/>
        <v>0</v>
      </c>
      <c r="BU1259" s="63">
        <f t="shared" si="896"/>
        <v>0</v>
      </c>
      <c r="BV1259" s="57">
        <f t="shared" si="897"/>
        <v>0</v>
      </c>
      <c r="BW1259" s="57">
        <f t="shared" si="898"/>
        <v>0</v>
      </c>
      <c r="BX1259" s="57">
        <f t="shared" si="922"/>
        <v>0</v>
      </c>
      <c r="BY1259" s="57">
        <f t="shared" si="926"/>
        <v>0</v>
      </c>
      <c r="BZ1259" s="8">
        <f t="shared" si="899"/>
        <v>0</v>
      </c>
      <c r="CA1259" s="8">
        <f t="shared" si="900"/>
        <v>0</v>
      </c>
      <c r="CB1259" s="8">
        <f t="shared" si="901"/>
        <v>0</v>
      </c>
      <c r="CC1259" s="8">
        <f t="shared" si="902"/>
        <v>0</v>
      </c>
      <c r="CD1259" s="8">
        <f t="shared" si="903"/>
        <v>0</v>
      </c>
      <c r="CE1259" s="8">
        <f t="shared" si="904"/>
        <v>0</v>
      </c>
      <c r="CF1259" s="8">
        <f t="shared" si="905"/>
        <v>0</v>
      </c>
      <c r="CG1259" s="8">
        <f t="shared" si="906"/>
        <v>0</v>
      </c>
      <c r="CH1259" s="8">
        <f t="shared" si="907"/>
        <v>0</v>
      </c>
      <c r="CI1259" s="8">
        <f t="shared" si="908"/>
        <v>0</v>
      </c>
      <c r="CJ1259" s="8">
        <f t="shared" si="909"/>
        <v>0</v>
      </c>
      <c r="CK1259" s="8">
        <f t="shared" si="910"/>
        <v>0</v>
      </c>
      <c r="CL1259" s="8">
        <f t="shared" si="911"/>
        <v>0</v>
      </c>
      <c r="CM1259" s="8">
        <f t="shared" si="912"/>
        <v>0</v>
      </c>
      <c r="CN1259" s="8">
        <f t="shared" si="913"/>
        <v>0</v>
      </c>
      <c r="CO1259" s="8">
        <f t="shared" si="914"/>
        <v>0</v>
      </c>
      <c r="CP1259" s="8">
        <f t="shared" si="915"/>
        <v>0</v>
      </c>
      <c r="CQ1259" s="8">
        <f t="shared" si="916"/>
        <v>0</v>
      </c>
      <c r="CR1259" s="8">
        <f t="shared" si="917"/>
        <v>0</v>
      </c>
      <c r="CS1259" s="8">
        <f t="shared" si="918"/>
        <v>0</v>
      </c>
      <c r="CT1259" s="8">
        <f t="shared" si="923"/>
        <v>0</v>
      </c>
      <c r="CU1259" s="8">
        <f t="shared" si="924"/>
        <v>0</v>
      </c>
      <c r="CV1259" s="8">
        <f t="shared" si="925"/>
        <v>0</v>
      </c>
    </row>
    <row r="1260" spans="1:100" ht="20.5" thickTop="1" thickBot="1" x14ac:dyDescent="0.5">
      <c r="A1260" s="32"/>
      <c r="B1260" s="10"/>
      <c r="C1260" s="10"/>
      <c r="D1260" s="11"/>
      <c r="E1260" s="10"/>
      <c r="F1260" s="10"/>
      <c r="G1260" s="19"/>
      <c r="H1260" s="19"/>
      <c r="I1260" s="19"/>
      <c r="J1260" s="19"/>
      <c r="K1260" s="10"/>
      <c r="L1260" s="10"/>
      <c r="M1260" s="10"/>
      <c r="N1260" s="10"/>
      <c r="O1260" s="18"/>
      <c r="P1260" s="18"/>
      <c r="Q1260" s="21"/>
      <c r="R1260" s="20"/>
      <c r="S1260" s="16">
        <f t="shared" si="881"/>
        <v>0</v>
      </c>
      <c r="T1260" s="11"/>
      <c r="AS1260" s="31">
        <f t="shared" si="882"/>
        <v>0</v>
      </c>
      <c r="AT1260" s="31">
        <f t="shared" si="883"/>
        <v>0</v>
      </c>
      <c r="AU1260" s="31">
        <f t="shared" si="884"/>
        <v>0</v>
      </c>
      <c r="AV1260" s="31">
        <f t="shared" si="885"/>
        <v>0</v>
      </c>
      <c r="AW1260" s="31">
        <f t="shared" si="886"/>
        <v>0</v>
      </c>
      <c r="AX1260" s="31">
        <f t="shared" si="887"/>
        <v>0</v>
      </c>
      <c r="AY1260" s="31">
        <f t="shared" si="888"/>
        <v>0</v>
      </c>
      <c r="AZ1260" s="31">
        <f t="shared" si="889"/>
        <v>0</v>
      </c>
      <c r="BA1260" s="31">
        <f t="shared" si="890"/>
        <v>0</v>
      </c>
      <c r="BB1260" s="31">
        <f t="shared" si="919"/>
        <v>0</v>
      </c>
      <c r="BM1260" s="8">
        <f t="shared" si="920"/>
        <v>0</v>
      </c>
      <c r="BN1260" s="8">
        <f t="shared" si="891"/>
        <v>0</v>
      </c>
      <c r="BO1260" s="8">
        <f t="shared" si="892"/>
        <v>0</v>
      </c>
      <c r="BQ1260" s="8">
        <f t="shared" si="893"/>
        <v>0</v>
      </c>
      <c r="BR1260" s="63">
        <f t="shared" si="894"/>
        <v>0</v>
      </c>
      <c r="BS1260" s="63">
        <f t="shared" si="921"/>
        <v>0</v>
      </c>
      <c r="BT1260" s="63">
        <f t="shared" si="895"/>
        <v>0</v>
      </c>
      <c r="BU1260" s="63">
        <f t="shared" si="896"/>
        <v>0</v>
      </c>
      <c r="BV1260" s="57">
        <f t="shared" si="897"/>
        <v>0</v>
      </c>
      <c r="BW1260" s="57">
        <f t="shared" si="898"/>
        <v>0</v>
      </c>
      <c r="BX1260" s="57">
        <f t="shared" si="922"/>
        <v>0</v>
      </c>
      <c r="BY1260" s="57">
        <f t="shared" si="926"/>
        <v>0</v>
      </c>
      <c r="BZ1260" s="8">
        <f t="shared" si="899"/>
        <v>0</v>
      </c>
      <c r="CA1260" s="8">
        <f t="shared" si="900"/>
        <v>0</v>
      </c>
      <c r="CB1260" s="8">
        <f t="shared" si="901"/>
        <v>0</v>
      </c>
      <c r="CC1260" s="8">
        <f t="shared" si="902"/>
        <v>0</v>
      </c>
      <c r="CD1260" s="8">
        <f t="shared" si="903"/>
        <v>0</v>
      </c>
      <c r="CE1260" s="8">
        <f t="shared" si="904"/>
        <v>0</v>
      </c>
      <c r="CF1260" s="8">
        <f t="shared" si="905"/>
        <v>0</v>
      </c>
      <c r="CG1260" s="8">
        <f t="shared" si="906"/>
        <v>0</v>
      </c>
      <c r="CH1260" s="8">
        <f t="shared" si="907"/>
        <v>0</v>
      </c>
      <c r="CI1260" s="8">
        <f t="shared" si="908"/>
        <v>0</v>
      </c>
      <c r="CJ1260" s="8">
        <f t="shared" si="909"/>
        <v>0</v>
      </c>
      <c r="CK1260" s="8">
        <f t="shared" si="910"/>
        <v>0</v>
      </c>
      <c r="CL1260" s="8">
        <f t="shared" si="911"/>
        <v>0</v>
      </c>
      <c r="CM1260" s="8">
        <f t="shared" si="912"/>
        <v>0</v>
      </c>
      <c r="CN1260" s="8">
        <f t="shared" si="913"/>
        <v>0</v>
      </c>
      <c r="CO1260" s="8">
        <f t="shared" si="914"/>
        <v>0</v>
      </c>
      <c r="CP1260" s="8">
        <f t="shared" si="915"/>
        <v>0</v>
      </c>
      <c r="CQ1260" s="8">
        <f t="shared" si="916"/>
        <v>0</v>
      </c>
      <c r="CR1260" s="8">
        <f t="shared" si="917"/>
        <v>0</v>
      </c>
      <c r="CS1260" s="8">
        <f t="shared" si="918"/>
        <v>0</v>
      </c>
      <c r="CT1260" s="8">
        <f t="shared" si="923"/>
        <v>0</v>
      </c>
      <c r="CU1260" s="8">
        <f t="shared" si="924"/>
        <v>0</v>
      </c>
      <c r="CV1260" s="8">
        <f t="shared" si="925"/>
        <v>0</v>
      </c>
    </row>
    <row r="1261" spans="1:100" ht="20.5" thickTop="1" thickBot="1" x14ac:dyDescent="0.5">
      <c r="A1261" s="32"/>
      <c r="B1261" s="10"/>
      <c r="C1261" s="10"/>
      <c r="D1261" s="11"/>
      <c r="E1261" s="10"/>
      <c r="F1261" s="10"/>
      <c r="G1261" s="19"/>
      <c r="H1261" s="19"/>
      <c r="I1261" s="19"/>
      <c r="J1261" s="19"/>
      <c r="K1261" s="10"/>
      <c r="L1261" s="10"/>
      <c r="M1261" s="10"/>
      <c r="N1261" s="10"/>
      <c r="O1261" s="18"/>
      <c r="P1261" s="18"/>
      <c r="Q1261" s="21"/>
      <c r="R1261" s="20"/>
      <c r="S1261" s="16">
        <f t="shared" si="881"/>
        <v>0</v>
      </c>
      <c r="T1261" s="11"/>
      <c r="AS1261" s="31">
        <f t="shared" si="882"/>
        <v>0</v>
      </c>
      <c r="AT1261" s="31">
        <f t="shared" si="883"/>
        <v>0</v>
      </c>
      <c r="AU1261" s="31">
        <f t="shared" si="884"/>
        <v>0</v>
      </c>
      <c r="AV1261" s="31">
        <f t="shared" si="885"/>
        <v>0</v>
      </c>
      <c r="AW1261" s="31">
        <f t="shared" si="886"/>
        <v>0</v>
      </c>
      <c r="AX1261" s="31">
        <f t="shared" si="887"/>
        <v>0</v>
      </c>
      <c r="AY1261" s="31">
        <f t="shared" si="888"/>
        <v>0</v>
      </c>
      <c r="AZ1261" s="31">
        <f t="shared" si="889"/>
        <v>0</v>
      </c>
      <c r="BA1261" s="31">
        <f t="shared" si="890"/>
        <v>0</v>
      </c>
      <c r="BB1261" s="31">
        <f t="shared" si="919"/>
        <v>0</v>
      </c>
      <c r="BM1261" s="8">
        <f t="shared" si="920"/>
        <v>0</v>
      </c>
      <c r="BN1261" s="8">
        <f t="shared" si="891"/>
        <v>0</v>
      </c>
      <c r="BO1261" s="8">
        <f t="shared" si="892"/>
        <v>0</v>
      </c>
      <c r="BQ1261" s="8">
        <f t="shared" si="893"/>
        <v>0</v>
      </c>
      <c r="BR1261" s="63">
        <f t="shared" si="894"/>
        <v>0</v>
      </c>
      <c r="BS1261" s="63">
        <f t="shared" si="921"/>
        <v>0</v>
      </c>
      <c r="BT1261" s="63">
        <f t="shared" si="895"/>
        <v>0</v>
      </c>
      <c r="BU1261" s="63">
        <f t="shared" si="896"/>
        <v>0</v>
      </c>
      <c r="BV1261" s="57">
        <f t="shared" si="897"/>
        <v>0</v>
      </c>
      <c r="BW1261" s="57">
        <f t="shared" si="898"/>
        <v>0</v>
      </c>
      <c r="BX1261" s="57">
        <f t="shared" si="922"/>
        <v>0</v>
      </c>
      <c r="BY1261" s="57">
        <f t="shared" si="926"/>
        <v>0</v>
      </c>
      <c r="BZ1261" s="8">
        <f t="shared" si="899"/>
        <v>0</v>
      </c>
      <c r="CA1261" s="8">
        <f t="shared" si="900"/>
        <v>0</v>
      </c>
      <c r="CB1261" s="8">
        <f t="shared" si="901"/>
        <v>0</v>
      </c>
      <c r="CC1261" s="8">
        <f t="shared" si="902"/>
        <v>0</v>
      </c>
      <c r="CD1261" s="8">
        <f t="shared" si="903"/>
        <v>0</v>
      </c>
      <c r="CE1261" s="8">
        <f t="shared" si="904"/>
        <v>0</v>
      </c>
      <c r="CF1261" s="8">
        <f t="shared" si="905"/>
        <v>0</v>
      </c>
      <c r="CG1261" s="8">
        <f t="shared" si="906"/>
        <v>0</v>
      </c>
      <c r="CH1261" s="8">
        <f t="shared" si="907"/>
        <v>0</v>
      </c>
      <c r="CI1261" s="8">
        <f t="shared" si="908"/>
        <v>0</v>
      </c>
      <c r="CJ1261" s="8">
        <f t="shared" si="909"/>
        <v>0</v>
      </c>
      <c r="CK1261" s="8">
        <f t="shared" si="910"/>
        <v>0</v>
      </c>
      <c r="CL1261" s="8">
        <f t="shared" si="911"/>
        <v>0</v>
      </c>
      <c r="CM1261" s="8">
        <f t="shared" si="912"/>
        <v>0</v>
      </c>
      <c r="CN1261" s="8">
        <f t="shared" si="913"/>
        <v>0</v>
      </c>
      <c r="CO1261" s="8">
        <f t="shared" si="914"/>
        <v>0</v>
      </c>
      <c r="CP1261" s="8">
        <f t="shared" si="915"/>
        <v>0</v>
      </c>
      <c r="CQ1261" s="8">
        <f t="shared" si="916"/>
        <v>0</v>
      </c>
      <c r="CR1261" s="8">
        <f t="shared" si="917"/>
        <v>0</v>
      </c>
      <c r="CS1261" s="8">
        <f t="shared" si="918"/>
        <v>0</v>
      </c>
      <c r="CT1261" s="8">
        <f t="shared" si="923"/>
        <v>0</v>
      </c>
      <c r="CU1261" s="8">
        <f t="shared" si="924"/>
        <v>0</v>
      </c>
      <c r="CV1261" s="8">
        <f t="shared" si="925"/>
        <v>0</v>
      </c>
    </row>
    <row r="1262" spans="1:100" ht="20.5" thickTop="1" thickBot="1" x14ac:dyDescent="0.5">
      <c r="A1262" s="32"/>
      <c r="B1262" s="10"/>
      <c r="C1262" s="10"/>
      <c r="D1262" s="11"/>
      <c r="E1262" s="10"/>
      <c r="F1262" s="10"/>
      <c r="G1262" s="19"/>
      <c r="H1262" s="19"/>
      <c r="I1262" s="19"/>
      <c r="J1262" s="19"/>
      <c r="K1262" s="10"/>
      <c r="L1262" s="10"/>
      <c r="M1262" s="10"/>
      <c r="N1262" s="10"/>
      <c r="O1262" s="18"/>
      <c r="P1262" s="18"/>
      <c r="Q1262" s="21"/>
      <c r="R1262" s="20"/>
      <c r="S1262" s="16">
        <f t="shared" si="881"/>
        <v>0</v>
      </c>
      <c r="T1262" s="11"/>
      <c r="AS1262" s="31">
        <f t="shared" si="882"/>
        <v>0</v>
      </c>
      <c r="AT1262" s="31">
        <f t="shared" si="883"/>
        <v>0</v>
      </c>
      <c r="AU1262" s="31">
        <f t="shared" si="884"/>
        <v>0</v>
      </c>
      <c r="AV1262" s="31">
        <f t="shared" si="885"/>
        <v>0</v>
      </c>
      <c r="AW1262" s="31">
        <f t="shared" si="886"/>
        <v>0</v>
      </c>
      <c r="AX1262" s="31">
        <f t="shared" si="887"/>
        <v>0</v>
      </c>
      <c r="AY1262" s="31">
        <f t="shared" si="888"/>
        <v>0</v>
      </c>
      <c r="AZ1262" s="31">
        <f t="shared" si="889"/>
        <v>0</v>
      </c>
      <c r="BA1262" s="31">
        <f t="shared" si="890"/>
        <v>0</v>
      </c>
      <c r="BB1262" s="31">
        <f t="shared" si="919"/>
        <v>0</v>
      </c>
      <c r="BM1262" s="8">
        <f t="shared" si="920"/>
        <v>0</v>
      </c>
      <c r="BN1262" s="8">
        <f t="shared" si="891"/>
        <v>0</v>
      </c>
      <c r="BO1262" s="8">
        <f t="shared" si="892"/>
        <v>0</v>
      </c>
      <c r="BQ1262" s="8">
        <f t="shared" si="893"/>
        <v>0</v>
      </c>
      <c r="BR1262" s="63">
        <f t="shared" si="894"/>
        <v>0</v>
      </c>
      <c r="BS1262" s="63">
        <f t="shared" si="921"/>
        <v>0</v>
      </c>
      <c r="BT1262" s="63">
        <f t="shared" si="895"/>
        <v>0</v>
      </c>
      <c r="BU1262" s="63">
        <f t="shared" si="896"/>
        <v>0</v>
      </c>
      <c r="BV1262" s="57">
        <f t="shared" si="897"/>
        <v>0</v>
      </c>
      <c r="BW1262" s="57">
        <f t="shared" si="898"/>
        <v>0</v>
      </c>
      <c r="BX1262" s="57">
        <f t="shared" si="922"/>
        <v>0</v>
      </c>
      <c r="BY1262" s="57">
        <f t="shared" si="926"/>
        <v>0</v>
      </c>
      <c r="BZ1262" s="8">
        <f t="shared" si="899"/>
        <v>0</v>
      </c>
      <c r="CA1262" s="8">
        <f t="shared" si="900"/>
        <v>0</v>
      </c>
      <c r="CB1262" s="8">
        <f t="shared" si="901"/>
        <v>0</v>
      </c>
      <c r="CC1262" s="8">
        <f t="shared" si="902"/>
        <v>0</v>
      </c>
      <c r="CD1262" s="8">
        <f t="shared" si="903"/>
        <v>0</v>
      </c>
      <c r="CE1262" s="8">
        <f t="shared" si="904"/>
        <v>0</v>
      </c>
      <c r="CF1262" s="8">
        <f t="shared" si="905"/>
        <v>0</v>
      </c>
      <c r="CG1262" s="8">
        <f t="shared" si="906"/>
        <v>0</v>
      </c>
      <c r="CH1262" s="8">
        <f t="shared" si="907"/>
        <v>0</v>
      </c>
      <c r="CI1262" s="8">
        <f t="shared" si="908"/>
        <v>0</v>
      </c>
      <c r="CJ1262" s="8">
        <f t="shared" si="909"/>
        <v>0</v>
      </c>
      <c r="CK1262" s="8">
        <f t="shared" si="910"/>
        <v>0</v>
      </c>
      <c r="CL1262" s="8">
        <f t="shared" si="911"/>
        <v>0</v>
      </c>
      <c r="CM1262" s="8">
        <f t="shared" si="912"/>
        <v>0</v>
      </c>
      <c r="CN1262" s="8">
        <f t="shared" si="913"/>
        <v>0</v>
      </c>
      <c r="CO1262" s="8">
        <f t="shared" si="914"/>
        <v>0</v>
      </c>
      <c r="CP1262" s="8">
        <f t="shared" si="915"/>
        <v>0</v>
      </c>
      <c r="CQ1262" s="8">
        <f t="shared" si="916"/>
        <v>0</v>
      </c>
      <c r="CR1262" s="8">
        <f t="shared" si="917"/>
        <v>0</v>
      </c>
      <c r="CS1262" s="8">
        <f t="shared" si="918"/>
        <v>0</v>
      </c>
      <c r="CT1262" s="8">
        <f t="shared" si="923"/>
        <v>0</v>
      </c>
      <c r="CU1262" s="8">
        <f t="shared" si="924"/>
        <v>0</v>
      </c>
      <c r="CV1262" s="8">
        <f t="shared" si="925"/>
        <v>0</v>
      </c>
    </row>
    <row r="1263" spans="1:100" ht="20.5" thickTop="1" thickBot="1" x14ac:dyDescent="0.5">
      <c r="A1263" s="32"/>
      <c r="B1263" s="10"/>
      <c r="C1263" s="10"/>
      <c r="D1263" s="11"/>
      <c r="E1263" s="10"/>
      <c r="F1263" s="10"/>
      <c r="G1263" s="19"/>
      <c r="H1263" s="19"/>
      <c r="I1263" s="19"/>
      <c r="J1263" s="19"/>
      <c r="K1263" s="10"/>
      <c r="L1263" s="10"/>
      <c r="M1263" s="10"/>
      <c r="N1263" s="10"/>
      <c r="O1263" s="18"/>
      <c r="P1263" s="18"/>
      <c r="Q1263" s="21"/>
      <c r="R1263" s="20"/>
      <c r="S1263" s="16">
        <f t="shared" si="881"/>
        <v>0</v>
      </c>
      <c r="T1263" s="11"/>
      <c r="AS1263" s="31">
        <f t="shared" si="882"/>
        <v>0</v>
      </c>
      <c r="AT1263" s="31">
        <f t="shared" si="883"/>
        <v>0</v>
      </c>
      <c r="AU1263" s="31">
        <f t="shared" si="884"/>
        <v>0</v>
      </c>
      <c r="AV1263" s="31">
        <f t="shared" si="885"/>
        <v>0</v>
      </c>
      <c r="AW1263" s="31">
        <f t="shared" si="886"/>
        <v>0</v>
      </c>
      <c r="AX1263" s="31">
        <f t="shared" si="887"/>
        <v>0</v>
      </c>
      <c r="AY1263" s="31">
        <f t="shared" si="888"/>
        <v>0</v>
      </c>
      <c r="AZ1263" s="31">
        <f t="shared" si="889"/>
        <v>0</v>
      </c>
      <c r="BA1263" s="31">
        <f t="shared" si="890"/>
        <v>0</v>
      </c>
      <c r="BB1263" s="31">
        <f t="shared" si="919"/>
        <v>0</v>
      </c>
      <c r="BM1263" s="8">
        <f t="shared" si="920"/>
        <v>0</v>
      </c>
      <c r="BN1263" s="8">
        <f t="shared" si="891"/>
        <v>0</v>
      </c>
      <c r="BO1263" s="8">
        <f t="shared" si="892"/>
        <v>0</v>
      </c>
      <c r="BQ1263" s="8">
        <f t="shared" si="893"/>
        <v>0</v>
      </c>
      <c r="BR1263" s="63">
        <f t="shared" si="894"/>
        <v>0</v>
      </c>
      <c r="BS1263" s="63">
        <f t="shared" si="921"/>
        <v>0</v>
      </c>
      <c r="BT1263" s="63">
        <f t="shared" si="895"/>
        <v>0</v>
      </c>
      <c r="BU1263" s="63">
        <f t="shared" si="896"/>
        <v>0</v>
      </c>
      <c r="BV1263" s="57">
        <f t="shared" si="897"/>
        <v>0</v>
      </c>
      <c r="BW1263" s="57">
        <f t="shared" si="898"/>
        <v>0</v>
      </c>
      <c r="BX1263" s="57">
        <f t="shared" si="922"/>
        <v>0</v>
      </c>
      <c r="BY1263" s="57">
        <f t="shared" si="926"/>
        <v>0</v>
      </c>
      <c r="BZ1263" s="8">
        <f t="shared" si="899"/>
        <v>0</v>
      </c>
      <c r="CA1263" s="8">
        <f t="shared" si="900"/>
        <v>0</v>
      </c>
      <c r="CB1263" s="8">
        <f t="shared" si="901"/>
        <v>0</v>
      </c>
      <c r="CC1263" s="8">
        <f t="shared" si="902"/>
        <v>0</v>
      </c>
      <c r="CD1263" s="8">
        <f t="shared" si="903"/>
        <v>0</v>
      </c>
      <c r="CE1263" s="8">
        <f t="shared" si="904"/>
        <v>0</v>
      </c>
      <c r="CF1263" s="8">
        <f t="shared" si="905"/>
        <v>0</v>
      </c>
      <c r="CG1263" s="8">
        <f t="shared" si="906"/>
        <v>0</v>
      </c>
      <c r="CH1263" s="8">
        <f t="shared" si="907"/>
        <v>0</v>
      </c>
      <c r="CI1263" s="8">
        <f t="shared" si="908"/>
        <v>0</v>
      </c>
      <c r="CJ1263" s="8">
        <f t="shared" si="909"/>
        <v>0</v>
      </c>
      <c r="CK1263" s="8">
        <f t="shared" si="910"/>
        <v>0</v>
      </c>
      <c r="CL1263" s="8">
        <f t="shared" si="911"/>
        <v>0</v>
      </c>
      <c r="CM1263" s="8">
        <f t="shared" si="912"/>
        <v>0</v>
      </c>
      <c r="CN1263" s="8">
        <f t="shared" si="913"/>
        <v>0</v>
      </c>
      <c r="CO1263" s="8">
        <f t="shared" si="914"/>
        <v>0</v>
      </c>
      <c r="CP1263" s="8">
        <f t="shared" si="915"/>
        <v>0</v>
      </c>
      <c r="CQ1263" s="8">
        <f t="shared" si="916"/>
        <v>0</v>
      </c>
      <c r="CR1263" s="8">
        <f t="shared" si="917"/>
        <v>0</v>
      </c>
      <c r="CS1263" s="8">
        <f t="shared" si="918"/>
        <v>0</v>
      </c>
      <c r="CT1263" s="8">
        <f t="shared" si="923"/>
        <v>0</v>
      </c>
      <c r="CU1263" s="8">
        <f t="shared" si="924"/>
        <v>0</v>
      </c>
      <c r="CV1263" s="8">
        <f t="shared" si="925"/>
        <v>0</v>
      </c>
    </row>
    <row r="1264" spans="1:100" ht="20.5" thickTop="1" thickBot="1" x14ac:dyDescent="0.5">
      <c r="A1264" s="32"/>
      <c r="B1264" s="10"/>
      <c r="C1264" s="10"/>
      <c r="D1264" s="11"/>
      <c r="E1264" s="10"/>
      <c r="F1264" s="10"/>
      <c r="G1264" s="19"/>
      <c r="H1264" s="19"/>
      <c r="I1264" s="19"/>
      <c r="J1264" s="19"/>
      <c r="K1264" s="10"/>
      <c r="L1264" s="10"/>
      <c r="M1264" s="10"/>
      <c r="N1264" s="10"/>
      <c r="O1264" s="18"/>
      <c r="P1264" s="18"/>
      <c r="Q1264" s="21"/>
      <c r="R1264" s="20"/>
      <c r="S1264" s="16">
        <f t="shared" si="881"/>
        <v>0</v>
      </c>
      <c r="T1264" s="11"/>
      <c r="AS1264" s="31">
        <f t="shared" si="882"/>
        <v>0</v>
      </c>
      <c r="AT1264" s="31">
        <f t="shared" si="883"/>
        <v>0</v>
      </c>
      <c r="AU1264" s="31">
        <f t="shared" si="884"/>
        <v>0</v>
      </c>
      <c r="AV1264" s="31">
        <f t="shared" si="885"/>
        <v>0</v>
      </c>
      <c r="AW1264" s="31">
        <f t="shared" si="886"/>
        <v>0</v>
      </c>
      <c r="AX1264" s="31">
        <f t="shared" si="887"/>
        <v>0</v>
      </c>
      <c r="AY1264" s="31">
        <f t="shared" si="888"/>
        <v>0</v>
      </c>
      <c r="AZ1264" s="31">
        <f t="shared" si="889"/>
        <v>0</v>
      </c>
      <c r="BA1264" s="31">
        <f t="shared" si="890"/>
        <v>0</v>
      </c>
      <c r="BB1264" s="31">
        <f t="shared" si="919"/>
        <v>0</v>
      </c>
      <c r="BM1264" s="8">
        <f t="shared" si="920"/>
        <v>0</v>
      </c>
      <c r="BN1264" s="8">
        <f t="shared" si="891"/>
        <v>0</v>
      </c>
      <c r="BO1264" s="8">
        <f t="shared" si="892"/>
        <v>0</v>
      </c>
      <c r="BQ1264" s="8">
        <f t="shared" si="893"/>
        <v>0</v>
      </c>
      <c r="BR1264" s="63">
        <f t="shared" si="894"/>
        <v>0</v>
      </c>
      <c r="BS1264" s="63">
        <f t="shared" si="921"/>
        <v>0</v>
      </c>
      <c r="BT1264" s="63">
        <f t="shared" si="895"/>
        <v>0</v>
      </c>
      <c r="BU1264" s="63">
        <f t="shared" si="896"/>
        <v>0</v>
      </c>
      <c r="BV1264" s="57">
        <f t="shared" si="897"/>
        <v>0</v>
      </c>
      <c r="BW1264" s="57">
        <f t="shared" si="898"/>
        <v>0</v>
      </c>
      <c r="BX1264" s="57">
        <f t="shared" si="922"/>
        <v>0</v>
      </c>
      <c r="BY1264" s="57">
        <f t="shared" si="926"/>
        <v>0</v>
      </c>
      <c r="BZ1264" s="8">
        <f t="shared" si="899"/>
        <v>0</v>
      </c>
      <c r="CA1264" s="8">
        <f t="shared" si="900"/>
        <v>0</v>
      </c>
      <c r="CB1264" s="8">
        <f t="shared" si="901"/>
        <v>0</v>
      </c>
      <c r="CC1264" s="8">
        <f t="shared" si="902"/>
        <v>0</v>
      </c>
      <c r="CD1264" s="8">
        <f t="shared" si="903"/>
        <v>0</v>
      </c>
      <c r="CE1264" s="8">
        <f t="shared" si="904"/>
        <v>0</v>
      </c>
      <c r="CF1264" s="8">
        <f t="shared" si="905"/>
        <v>0</v>
      </c>
      <c r="CG1264" s="8">
        <f t="shared" si="906"/>
        <v>0</v>
      </c>
      <c r="CH1264" s="8">
        <f t="shared" si="907"/>
        <v>0</v>
      </c>
      <c r="CI1264" s="8">
        <f t="shared" si="908"/>
        <v>0</v>
      </c>
      <c r="CJ1264" s="8">
        <f t="shared" si="909"/>
        <v>0</v>
      </c>
      <c r="CK1264" s="8">
        <f t="shared" si="910"/>
        <v>0</v>
      </c>
      <c r="CL1264" s="8">
        <f t="shared" si="911"/>
        <v>0</v>
      </c>
      <c r="CM1264" s="8">
        <f t="shared" si="912"/>
        <v>0</v>
      </c>
      <c r="CN1264" s="8">
        <f t="shared" si="913"/>
        <v>0</v>
      </c>
      <c r="CO1264" s="8">
        <f t="shared" si="914"/>
        <v>0</v>
      </c>
      <c r="CP1264" s="8">
        <f t="shared" si="915"/>
        <v>0</v>
      </c>
      <c r="CQ1264" s="8">
        <f t="shared" si="916"/>
        <v>0</v>
      </c>
      <c r="CR1264" s="8">
        <f t="shared" si="917"/>
        <v>0</v>
      </c>
      <c r="CS1264" s="8">
        <f t="shared" si="918"/>
        <v>0</v>
      </c>
      <c r="CT1264" s="8">
        <f t="shared" si="923"/>
        <v>0</v>
      </c>
      <c r="CU1264" s="8">
        <f t="shared" si="924"/>
        <v>0</v>
      </c>
      <c r="CV1264" s="8">
        <f t="shared" si="925"/>
        <v>0</v>
      </c>
    </row>
    <row r="1265" spans="1:100" ht="20.5" thickTop="1" thickBot="1" x14ac:dyDescent="0.5">
      <c r="A1265" s="32"/>
      <c r="B1265" s="10"/>
      <c r="C1265" s="10"/>
      <c r="D1265" s="11"/>
      <c r="E1265" s="10"/>
      <c r="F1265" s="10"/>
      <c r="G1265" s="19"/>
      <c r="H1265" s="19"/>
      <c r="I1265" s="19"/>
      <c r="J1265" s="19"/>
      <c r="K1265" s="10"/>
      <c r="L1265" s="10"/>
      <c r="M1265" s="10"/>
      <c r="N1265" s="10"/>
      <c r="O1265" s="18"/>
      <c r="P1265" s="18"/>
      <c r="Q1265" s="21"/>
      <c r="R1265" s="20"/>
      <c r="S1265" s="16">
        <f t="shared" si="881"/>
        <v>0</v>
      </c>
      <c r="T1265" s="11"/>
      <c r="AS1265" s="31">
        <f t="shared" si="882"/>
        <v>0</v>
      </c>
      <c r="AT1265" s="31">
        <f t="shared" si="883"/>
        <v>0</v>
      </c>
      <c r="AU1265" s="31">
        <f t="shared" si="884"/>
        <v>0</v>
      </c>
      <c r="AV1265" s="31">
        <f t="shared" si="885"/>
        <v>0</v>
      </c>
      <c r="AW1265" s="31">
        <f t="shared" si="886"/>
        <v>0</v>
      </c>
      <c r="AX1265" s="31">
        <f t="shared" si="887"/>
        <v>0</v>
      </c>
      <c r="AY1265" s="31">
        <f t="shared" si="888"/>
        <v>0</v>
      </c>
      <c r="AZ1265" s="31">
        <f t="shared" si="889"/>
        <v>0</v>
      </c>
      <c r="BA1265" s="31">
        <f t="shared" si="890"/>
        <v>0</v>
      </c>
      <c r="BB1265" s="31">
        <f t="shared" si="919"/>
        <v>0</v>
      </c>
      <c r="BM1265" s="8">
        <f t="shared" si="920"/>
        <v>0</v>
      </c>
      <c r="BN1265" s="8">
        <f t="shared" si="891"/>
        <v>0</v>
      </c>
      <c r="BO1265" s="8">
        <f t="shared" si="892"/>
        <v>0</v>
      </c>
      <c r="BQ1265" s="8">
        <f t="shared" si="893"/>
        <v>0</v>
      </c>
      <c r="BR1265" s="63">
        <f t="shared" si="894"/>
        <v>0</v>
      </c>
      <c r="BS1265" s="63">
        <f t="shared" si="921"/>
        <v>0</v>
      </c>
      <c r="BT1265" s="63">
        <f t="shared" si="895"/>
        <v>0</v>
      </c>
      <c r="BU1265" s="63">
        <f t="shared" si="896"/>
        <v>0</v>
      </c>
      <c r="BV1265" s="57">
        <f t="shared" si="897"/>
        <v>0</v>
      </c>
      <c r="BW1265" s="57">
        <f t="shared" si="898"/>
        <v>0</v>
      </c>
      <c r="BX1265" s="57">
        <f t="shared" si="922"/>
        <v>0</v>
      </c>
      <c r="BY1265" s="57">
        <f t="shared" si="926"/>
        <v>0</v>
      </c>
      <c r="BZ1265" s="8">
        <f t="shared" si="899"/>
        <v>0</v>
      </c>
      <c r="CA1265" s="8">
        <f t="shared" si="900"/>
        <v>0</v>
      </c>
      <c r="CB1265" s="8">
        <f t="shared" si="901"/>
        <v>0</v>
      </c>
      <c r="CC1265" s="8">
        <f t="shared" si="902"/>
        <v>0</v>
      </c>
      <c r="CD1265" s="8">
        <f t="shared" si="903"/>
        <v>0</v>
      </c>
      <c r="CE1265" s="8">
        <f t="shared" si="904"/>
        <v>0</v>
      </c>
      <c r="CF1265" s="8">
        <f t="shared" si="905"/>
        <v>0</v>
      </c>
      <c r="CG1265" s="8">
        <f t="shared" si="906"/>
        <v>0</v>
      </c>
      <c r="CH1265" s="8">
        <f t="shared" si="907"/>
        <v>0</v>
      </c>
      <c r="CI1265" s="8">
        <f t="shared" si="908"/>
        <v>0</v>
      </c>
      <c r="CJ1265" s="8">
        <f t="shared" si="909"/>
        <v>0</v>
      </c>
      <c r="CK1265" s="8">
        <f t="shared" si="910"/>
        <v>0</v>
      </c>
      <c r="CL1265" s="8">
        <f t="shared" si="911"/>
        <v>0</v>
      </c>
      <c r="CM1265" s="8">
        <f t="shared" si="912"/>
        <v>0</v>
      </c>
      <c r="CN1265" s="8">
        <f t="shared" si="913"/>
        <v>0</v>
      </c>
      <c r="CO1265" s="8">
        <f t="shared" si="914"/>
        <v>0</v>
      </c>
      <c r="CP1265" s="8">
        <f t="shared" si="915"/>
        <v>0</v>
      </c>
      <c r="CQ1265" s="8">
        <f t="shared" si="916"/>
        <v>0</v>
      </c>
      <c r="CR1265" s="8">
        <f t="shared" si="917"/>
        <v>0</v>
      </c>
      <c r="CS1265" s="8">
        <f t="shared" si="918"/>
        <v>0</v>
      </c>
      <c r="CT1265" s="8">
        <f t="shared" si="923"/>
        <v>0</v>
      </c>
      <c r="CU1265" s="8">
        <f t="shared" si="924"/>
        <v>0</v>
      </c>
      <c r="CV1265" s="8">
        <f t="shared" si="925"/>
        <v>0</v>
      </c>
    </row>
    <row r="1266" spans="1:100" ht="20.5" thickTop="1" thickBot="1" x14ac:dyDescent="0.5">
      <c r="A1266" s="32"/>
      <c r="B1266" s="10"/>
      <c r="C1266" s="10"/>
      <c r="D1266" s="11"/>
      <c r="E1266" s="10"/>
      <c r="F1266" s="10"/>
      <c r="G1266" s="19"/>
      <c r="H1266" s="19"/>
      <c r="I1266" s="19"/>
      <c r="J1266" s="19"/>
      <c r="K1266" s="10"/>
      <c r="L1266" s="10"/>
      <c r="M1266" s="10"/>
      <c r="N1266" s="10"/>
      <c r="O1266" s="18"/>
      <c r="P1266" s="18"/>
      <c r="Q1266" s="21"/>
      <c r="R1266" s="20"/>
      <c r="S1266" s="16">
        <f t="shared" si="881"/>
        <v>0</v>
      </c>
      <c r="T1266" s="11"/>
      <c r="AS1266" s="31">
        <f t="shared" si="882"/>
        <v>0</v>
      </c>
      <c r="AT1266" s="31">
        <f t="shared" si="883"/>
        <v>0</v>
      </c>
      <c r="AU1266" s="31">
        <f t="shared" si="884"/>
        <v>0</v>
      </c>
      <c r="AV1266" s="31">
        <f t="shared" si="885"/>
        <v>0</v>
      </c>
      <c r="AW1266" s="31">
        <f t="shared" si="886"/>
        <v>0</v>
      </c>
      <c r="AX1266" s="31">
        <f t="shared" si="887"/>
        <v>0</v>
      </c>
      <c r="AY1266" s="31">
        <f t="shared" si="888"/>
        <v>0</v>
      </c>
      <c r="AZ1266" s="31">
        <f t="shared" si="889"/>
        <v>0</v>
      </c>
      <c r="BA1266" s="31">
        <f t="shared" si="890"/>
        <v>0</v>
      </c>
      <c r="BB1266" s="31">
        <f t="shared" si="919"/>
        <v>0</v>
      </c>
      <c r="BM1266" s="8">
        <f t="shared" si="920"/>
        <v>0</v>
      </c>
      <c r="BN1266" s="8">
        <f t="shared" si="891"/>
        <v>0</v>
      </c>
      <c r="BO1266" s="8">
        <f t="shared" si="892"/>
        <v>0</v>
      </c>
      <c r="BQ1266" s="8">
        <f t="shared" si="893"/>
        <v>0</v>
      </c>
      <c r="BR1266" s="63">
        <f t="shared" si="894"/>
        <v>0</v>
      </c>
      <c r="BS1266" s="63">
        <f t="shared" si="921"/>
        <v>0</v>
      </c>
      <c r="BT1266" s="63">
        <f t="shared" si="895"/>
        <v>0</v>
      </c>
      <c r="BU1266" s="63">
        <f t="shared" si="896"/>
        <v>0</v>
      </c>
      <c r="BV1266" s="57">
        <f t="shared" si="897"/>
        <v>0</v>
      </c>
      <c r="BW1266" s="57">
        <f t="shared" si="898"/>
        <v>0</v>
      </c>
      <c r="BX1266" s="57">
        <f t="shared" si="922"/>
        <v>0</v>
      </c>
      <c r="BY1266" s="57">
        <f t="shared" si="926"/>
        <v>0</v>
      </c>
      <c r="BZ1266" s="8">
        <f t="shared" si="899"/>
        <v>0</v>
      </c>
      <c r="CA1266" s="8">
        <f t="shared" si="900"/>
        <v>0</v>
      </c>
      <c r="CB1266" s="8">
        <f t="shared" si="901"/>
        <v>0</v>
      </c>
      <c r="CC1266" s="8">
        <f t="shared" si="902"/>
        <v>0</v>
      </c>
      <c r="CD1266" s="8">
        <f t="shared" si="903"/>
        <v>0</v>
      </c>
      <c r="CE1266" s="8">
        <f t="shared" si="904"/>
        <v>0</v>
      </c>
      <c r="CF1266" s="8">
        <f t="shared" si="905"/>
        <v>0</v>
      </c>
      <c r="CG1266" s="8">
        <f t="shared" si="906"/>
        <v>0</v>
      </c>
      <c r="CH1266" s="8">
        <f t="shared" si="907"/>
        <v>0</v>
      </c>
      <c r="CI1266" s="8">
        <f t="shared" si="908"/>
        <v>0</v>
      </c>
      <c r="CJ1266" s="8">
        <f t="shared" si="909"/>
        <v>0</v>
      </c>
      <c r="CK1266" s="8">
        <f t="shared" si="910"/>
        <v>0</v>
      </c>
      <c r="CL1266" s="8">
        <f t="shared" si="911"/>
        <v>0</v>
      </c>
      <c r="CM1266" s="8">
        <f t="shared" si="912"/>
        <v>0</v>
      </c>
      <c r="CN1266" s="8">
        <f t="shared" si="913"/>
        <v>0</v>
      </c>
      <c r="CO1266" s="8">
        <f t="shared" si="914"/>
        <v>0</v>
      </c>
      <c r="CP1266" s="8">
        <f t="shared" si="915"/>
        <v>0</v>
      </c>
      <c r="CQ1266" s="8">
        <f t="shared" si="916"/>
        <v>0</v>
      </c>
      <c r="CR1266" s="8">
        <f t="shared" si="917"/>
        <v>0</v>
      </c>
      <c r="CS1266" s="8">
        <f t="shared" si="918"/>
        <v>0</v>
      </c>
      <c r="CT1266" s="8">
        <f t="shared" si="923"/>
        <v>0</v>
      </c>
      <c r="CU1266" s="8">
        <f t="shared" si="924"/>
        <v>0</v>
      </c>
      <c r="CV1266" s="8">
        <f t="shared" si="925"/>
        <v>0</v>
      </c>
    </row>
    <row r="1267" spans="1:100" ht="20.5" thickTop="1" thickBot="1" x14ac:dyDescent="0.5">
      <c r="A1267" s="32"/>
      <c r="B1267" s="10"/>
      <c r="C1267" s="10"/>
      <c r="D1267" s="11"/>
      <c r="E1267" s="10"/>
      <c r="F1267" s="10"/>
      <c r="G1267" s="19"/>
      <c r="H1267" s="19"/>
      <c r="I1267" s="19"/>
      <c r="J1267" s="19"/>
      <c r="K1267" s="10"/>
      <c r="L1267" s="10"/>
      <c r="M1267" s="10"/>
      <c r="N1267" s="10"/>
      <c r="O1267" s="18"/>
      <c r="P1267" s="18"/>
      <c r="Q1267" s="21"/>
      <c r="R1267" s="20"/>
      <c r="S1267" s="16">
        <f t="shared" si="881"/>
        <v>0</v>
      </c>
      <c r="T1267" s="11"/>
      <c r="AS1267" s="31">
        <f t="shared" si="882"/>
        <v>0</v>
      </c>
      <c r="AT1267" s="31">
        <f t="shared" si="883"/>
        <v>0</v>
      </c>
      <c r="AU1267" s="31">
        <f t="shared" si="884"/>
        <v>0</v>
      </c>
      <c r="AV1267" s="31">
        <f t="shared" si="885"/>
        <v>0</v>
      </c>
      <c r="AW1267" s="31">
        <f t="shared" si="886"/>
        <v>0</v>
      </c>
      <c r="AX1267" s="31">
        <f t="shared" si="887"/>
        <v>0</v>
      </c>
      <c r="AY1267" s="31">
        <f t="shared" si="888"/>
        <v>0</v>
      </c>
      <c r="AZ1267" s="31">
        <f t="shared" si="889"/>
        <v>0</v>
      </c>
      <c r="BA1267" s="31">
        <f t="shared" si="890"/>
        <v>0</v>
      </c>
      <c r="BB1267" s="31">
        <f t="shared" si="919"/>
        <v>0</v>
      </c>
      <c r="BM1267" s="8">
        <f t="shared" si="920"/>
        <v>0</v>
      </c>
      <c r="BN1267" s="8">
        <f t="shared" si="891"/>
        <v>0</v>
      </c>
      <c r="BO1267" s="8">
        <f t="shared" si="892"/>
        <v>0</v>
      </c>
      <c r="BQ1267" s="8">
        <f t="shared" si="893"/>
        <v>0</v>
      </c>
      <c r="BR1267" s="63">
        <f t="shared" si="894"/>
        <v>0</v>
      </c>
      <c r="BS1267" s="63">
        <f t="shared" si="921"/>
        <v>0</v>
      </c>
      <c r="BT1267" s="63">
        <f t="shared" si="895"/>
        <v>0</v>
      </c>
      <c r="BU1267" s="63">
        <f t="shared" si="896"/>
        <v>0</v>
      </c>
      <c r="BV1267" s="57">
        <f t="shared" si="897"/>
        <v>0</v>
      </c>
      <c r="BW1267" s="57">
        <f t="shared" si="898"/>
        <v>0</v>
      </c>
      <c r="BX1267" s="57">
        <f t="shared" si="922"/>
        <v>0</v>
      </c>
      <c r="BY1267" s="57">
        <f t="shared" si="926"/>
        <v>0</v>
      </c>
      <c r="BZ1267" s="8">
        <f t="shared" si="899"/>
        <v>0</v>
      </c>
      <c r="CA1267" s="8">
        <f t="shared" si="900"/>
        <v>0</v>
      </c>
      <c r="CB1267" s="8">
        <f t="shared" si="901"/>
        <v>0</v>
      </c>
      <c r="CC1267" s="8">
        <f t="shared" si="902"/>
        <v>0</v>
      </c>
      <c r="CD1267" s="8">
        <f t="shared" si="903"/>
        <v>0</v>
      </c>
      <c r="CE1267" s="8">
        <f t="shared" si="904"/>
        <v>0</v>
      </c>
      <c r="CF1267" s="8">
        <f t="shared" si="905"/>
        <v>0</v>
      </c>
      <c r="CG1267" s="8">
        <f t="shared" si="906"/>
        <v>0</v>
      </c>
      <c r="CH1267" s="8">
        <f t="shared" si="907"/>
        <v>0</v>
      </c>
      <c r="CI1267" s="8">
        <f t="shared" si="908"/>
        <v>0</v>
      </c>
      <c r="CJ1267" s="8">
        <f t="shared" si="909"/>
        <v>0</v>
      </c>
      <c r="CK1267" s="8">
        <f t="shared" si="910"/>
        <v>0</v>
      </c>
      <c r="CL1267" s="8">
        <f t="shared" si="911"/>
        <v>0</v>
      </c>
      <c r="CM1267" s="8">
        <f t="shared" si="912"/>
        <v>0</v>
      </c>
      <c r="CN1267" s="8">
        <f t="shared" si="913"/>
        <v>0</v>
      </c>
      <c r="CO1267" s="8">
        <f t="shared" si="914"/>
        <v>0</v>
      </c>
      <c r="CP1267" s="8">
        <f t="shared" si="915"/>
        <v>0</v>
      </c>
      <c r="CQ1267" s="8">
        <f t="shared" si="916"/>
        <v>0</v>
      </c>
      <c r="CR1267" s="8">
        <f t="shared" si="917"/>
        <v>0</v>
      </c>
      <c r="CS1267" s="8">
        <f t="shared" si="918"/>
        <v>0</v>
      </c>
      <c r="CT1267" s="8">
        <f t="shared" si="923"/>
        <v>0</v>
      </c>
      <c r="CU1267" s="8">
        <f t="shared" si="924"/>
        <v>0</v>
      </c>
      <c r="CV1267" s="8">
        <f t="shared" si="925"/>
        <v>0</v>
      </c>
    </row>
    <row r="1268" spans="1:100" ht="20.5" thickTop="1" thickBot="1" x14ac:dyDescent="0.5">
      <c r="A1268" s="32"/>
      <c r="B1268" s="10"/>
      <c r="C1268" s="10"/>
      <c r="D1268" s="11"/>
      <c r="E1268" s="10"/>
      <c r="F1268" s="10"/>
      <c r="G1268" s="19"/>
      <c r="H1268" s="19"/>
      <c r="I1268" s="19"/>
      <c r="J1268" s="19"/>
      <c r="K1268" s="10"/>
      <c r="L1268" s="10"/>
      <c r="M1268" s="10"/>
      <c r="N1268" s="10"/>
      <c r="O1268" s="18"/>
      <c r="P1268" s="18"/>
      <c r="Q1268" s="21"/>
      <c r="R1268" s="20"/>
      <c r="S1268" s="16">
        <f t="shared" si="881"/>
        <v>0</v>
      </c>
      <c r="T1268" s="11"/>
      <c r="AS1268" s="31">
        <f t="shared" si="882"/>
        <v>0</v>
      </c>
      <c r="AT1268" s="31">
        <f t="shared" si="883"/>
        <v>0</v>
      </c>
      <c r="AU1268" s="31">
        <f t="shared" si="884"/>
        <v>0</v>
      </c>
      <c r="AV1268" s="31">
        <f t="shared" si="885"/>
        <v>0</v>
      </c>
      <c r="AW1268" s="31">
        <f t="shared" si="886"/>
        <v>0</v>
      </c>
      <c r="AX1268" s="31">
        <f t="shared" si="887"/>
        <v>0</v>
      </c>
      <c r="AY1268" s="31">
        <f t="shared" si="888"/>
        <v>0</v>
      </c>
      <c r="AZ1268" s="31">
        <f t="shared" si="889"/>
        <v>0</v>
      </c>
      <c r="BA1268" s="31">
        <f t="shared" si="890"/>
        <v>0</v>
      </c>
      <c r="BB1268" s="31">
        <f t="shared" si="919"/>
        <v>0</v>
      </c>
      <c r="BM1268" s="8">
        <f t="shared" si="920"/>
        <v>0</v>
      </c>
      <c r="BN1268" s="8">
        <f t="shared" si="891"/>
        <v>0</v>
      </c>
      <c r="BO1268" s="8">
        <f t="shared" si="892"/>
        <v>0</v>
      </c>
      <c r="BQ1268" s="8">
        <f t="shared" si="893"/>
        <v>0</v>
      </c>
      <c r="BR1268" s="63">
        <f t="shared" si="894"/>
        <v>0</v>
      </c>
      <c r="BS1268" s="63">
        <f t="shared" si="921"/>
        <v>0</v>
      </c>
      <c r="BT1268" s="63">
        <f t="shared" si="895"/>
        <v>0</v>
      </c>
      <c r="BU1268" s="63">
        <f t="shared" si="896"/>
        <v>0</v>
      </c>
      <c r="BV1268" s="57">
        <f t="shared" si="897"/>
        <v>0</v>
      </c>
      <c r="BW1268" s="57">
        <f t="shared" si="898"/>
        <v>0</v>
      </c>
      <c r="BX1268" s="57">
        <f t="shared" si="922"/>
        <v>0</v>
      </c>
      <c r="BY1268" s="57">
        <f t="shared" si="926"/>
        <v>0</v>
      </c>
      <c r="BZ1268" s="8">
        <f t="shared" si="899"/>
        <v>0</v>
      </c>
      <c r="CA1268" s="8">
        <f t="shared" si="900"/>
        <v>0</v>
      </c>
      <c r="CB1268" s="8">
        <f t="shared" si="901"/>
        <v>0</v>
      </c>
      <c r="CC1268" s="8">
        <f t="shared" si="902"/>
        <v>0</v>
      </c>
      <c r="CD1268" s="8">
        <f t="shared" si="903"/>
        <v>0</v>
      </c>
      <c r="CE1268" s="8">
        <f t="shared" si="904"/>
        <v>0</v>
      </c>
      <c r="CF1268" s="8">
        <f t="shared" si="905"/>
        <v>0</v>
      </c>
      <c r="CG1268" s="8">
        <f t="shared" si="906"/>
        <v>0</v>
      </c>
      <c r="CH1268" s="8">
        <f t="shared" si="907"/>
        <v>0</v>
      </c>
      <c r="CI1268" s="8">
        <f t="shared" si="908"/>
        <v>0</v>
      </c>
      <c r="CJ1268" s="8">
        <f t="shared" si="909"/>
        <v>0</v>
      </c>
      <c r="CK1268" s="8">
        <f t="shared" si="910"/>
        <v>0</v>
      </c>
      <c r="CL1268" s="8">
        <f t="shared" si="911"/>
        <v>0</v>
      </c>
      <c r="CM1268" s="8">
        <f t="shared" si="912"/>
        <v>0</v>
      </c>
      <c r="CN1268" s="8">
        <f t="shared" si="913"/>
        <v>0</v>
      </c>
      <c r="CO1268" s="8">
        <f t="shared" si="914"/>
        <v>0</v>
      </c>
      <c r="CP1268" s="8">
        <f t="shared" si="915"/>
        <v>0</v>
      </c>
      <c r="CQ1268" s="8">
        <f t="shared" si="916"/>
        <v>0</v>
      </c>
      <c r="CR1268" s="8">
        <f t="shared" si="917"/>
        <v>0</v>
      </c>
      <c r="CS1268" s="8">
        <f t="shared" si="918"/>
        <v>0</v>
      </c>
      <c r="CT1268" s="8">
        <f t="shared" si="923"/>
        <v>0</v>
      </c>
      <c r="CU1268" s="8">
        <f t="shared" si="924"/>
        <v>0</v>
      </c>
      <c r="CV1268" s="8">
        <f t="shared" si="925"/>
        <v>0</v>
      </c>
    </row>
    <row r="1269" spans="1:100" ht="20.5" thickTop="1" thickBot="1" x14ac:dyDescent="0.5">
      <c r="A1269" s="32"/>
      <c r="B1269" s="10"/>
      <c r="C1269" s="10"/>
      <c r="D1269" s="11"/>
      <c r="E1269" s="10"/>
      <c r="F1269" s="10"/>
      <c r="G1269" s="19"/>
      <c r="H1269" s="19"/>
      <c r="I1269" s="19"/>
      <c r="J1269" s="19"/>
      <c r="K1269" s="10"/>
      <c r="L1269" s="10"/>
      <c r="M1269" s="10"/>
      <c r="N1269" s="10"/>
      <c r="O1269" s="18"/>
      <c r="P1269" s="18"/>
      <c r="Q1269" s="21"/>
      <c r="R1269" s="20"/>
      <c r="S1269" s="16">
        <f t="shared" si="881"/>
        <v>0</v>
      </c>
      <c r="T1269" s="11"/>
      <c r="AS1269" s="31">
        <f t="shared" si="882"/>
        <v>0</v>
      </c>
      <c r="AT1269" s="31">
        <f t="shared" si="883"/>
        <v>0</v>
      </c>
      <c r="AU1269" s="31">
        <f t="shared" si="884"/>
        <v>0</v>
      </c>
      <c r="AV1269" s="31">
        <f t="shared" si="885"/>
        <v>0</v>
      </c>
      <c r="AW1269" s="31">
        <f t="shared" si="886"/>
        <v>0</v>
      </c>
      <c r="AX1269" s="31">
        <f t="shared" si="887"/>
        <v>0</v>
      </c>
      <c r="AY1269" s="31">
        <f t="shared" si="888"/>
        <v>0</v>
      </c>
      <c r="AZ1269" s="31">
        <f t="shared" si="889"/>
        <v>0</v>
      </c>
      <c r="BA1269" s="31">
        <f t="shared" si="890"/>
        <v>0</v>
      </c>
      <c r="BB1269" s="31">
        <f t="shared" si="919"/>
        <v>0</v>
      </c>
      <c r="BM1269" s="8">
        <f t="shared" si="920"/>
        <v>0</v>
      </c>
      <c r="BN1269" s="8">
        <f t="shared" si="891"/>
        <v>0</v>
      </c>
      <c r="BO1269" s="8">
        <f t="shared" si="892"/>
        <v>0</v>
      </c>
      <c r="BQ1269" s="8">
        <f t="shared" si="893"/>
        <v>0</v>
      </c>
      <c r="BR1269" s="63">
        <f t="shared" si="894"/>
        <v>0</v>
      </c>
      <c r="BS1269" s="63">
        <f t="shared" si="921"/>
        <v>0</v>
      </c>
      <c r="BT1269" s="63">
        <f t="shared" si="895"/>
        <v>0</v>
      </c>
      <c r="BU1269" s="63">
        <f t="shared" si="896"/>
        <v>0</v>
      </c>
      <c r="BV1269" s="57">
        <f t="shared" si="897"/>
        <v>0</v>
      </c>
      <c r="BW1269" s="57">
        <f t="shared" si="898"/>
        <v>0</v>
      </c>
      <c r="BX1269" s="57">
        <f t="shared" si="922"/>
        <v>0</v>
      </c>
      <c r="BY1269" s="57">
        <f t="shared" si="926"/>
        <v>0</v>
      </c>
      <c r="BZ1269" s="8">
        <f t="shared" si="899"/>
        <v>0</v>
      </c>
      <c r="CA1269" s="8">
        <f t="shared" si="900"/>
        <v>0</v>
      </c>
      <c r="CB1269" s="8">
        <f t="shared" si="901"/>
        <v>0</v>
      </c>
      <c r="CC1269" s="8">
        <f t="shared" si="902"/>
        <v>0</v>
      </c>
      <c r="CD1269" s="8">
        <f t="shared" si="903"/>
        <v>0</v>
      </c>
      <c r="CE1269" s="8">
        <f t="shared" si="904"/>
        <v>0</v>
      </c>
      <c r="CF1269" s="8">
        <f t="shared" si="905"/>
        <v>0</v>
      </c>
      <c r="CG1269" s="8">
        <f t="shared" si="906"/>
        <v>0</v>
      </c>
      <c r="CH1269" s="8">
        <f t="shared" si="907"/>
        <v>0</v>
      </c>
      <c r="CI1269" s="8">
        <f t="shared" si="908"/>
        <v>0</v>
      </c>
      <c r="CJ1269" s="8">
        <f t="shared" si="909"/>
        <v>0</v>
      </c>
      <c r="CK1269" s="8">
        <f t="shared" si="910"/>
        <v>0</v>
      </c>
      <c r="CL1269" s="8">
        <f t="shared" si="911"/>
        <v>0</v>
      </c>
      <c r="CM1269" s="8">
        <f t="shared" si="912"/>
        <v>0</v>
      </c>
      <c r="CN1269" s="8">
        <f t="shared" si="913"/>
        <v>0</v>
      </c>
      <c r="CO1269" s="8">
        <f t="shared" si="914"/>
        <v>0</v>
      </c>
      <c r="CP1269" s="8">
        <f t="shared" si="915"/>
        <v>0</v>
      </c>
      <c r="CQ1269" s="8">
        <f t="shared" si="916"/>
        <v>0</v>
      </c>
      <c r="CR1269" s="8">
        <f t="shared" si="917"/>
        <v>0</v>
      </c>
      <c r="CS1269" s="8">
        <f t="shared" si="918"/>
        <v>0</v>
      </c>
      <c r="CT1269" s="8">
        <f t="shared" si="923"/>
        <v>0</v>
      </c>
      <c r="CU1269" s="8">
        <f t="shared" si="924"/>
        <v>0</v>
      </c>
      <c r="CV1269" s="8">
        <f t="shared" si="925"/>
        <v>0</v>
      </c>
    </row>
    <row r="1270" spans="1:100" ht="20.5" thickTop="1" thickBot="1" x14ac:dyDescent="0.5">
      <c r="A1270" s="32"/>
      <c r="B1270" s="10"/>
      <c r="C1270" s="10"/>
      <c r="D1270" s="11"/>
      <c r="E1270" s="10"/>
      <c r="F1270" s="10"/>
      <c r="G1270" s="19"/>
      <c r="H1270" s="19"/>
      <c r="I1270" s="19"/>
      <c r="J1270" s="19"/>
      <c r="K1270" s="10"/>
      <c r="L1270" s="10"/>
      <c r="M1270" s="10"/>
      <c r="N1270" s="10"/>
      <c r="O1270" s="18"/>
      <c r="P1270" s="18"/>
      <c r="Q1270" s="21"/>
      <c r="R1270" s="20"/>
      <c r="S1270" s="16">
        <f t="shared" si="881"/>
        <v>0</v>
      </c>
      <c r="T1270" s="11"/>
      <c r="AS1270" s="31">
        <f t="shared" si="882"/>
        <v>0</v>
      </c>
      <c r="AT1270" s="31">
        <f t="shared" si="883"/>
        <v>0</v>
      </c>
      <c r="AU1270" s="31">
        <f t="shared" si="884"/>
        <v>0</v>
      </c>
      <c r="AV1270" s="31">
        <f t="shared" si="885"/>
        <v>0</v>
      </c>
      <c r="AW1270" s="31">
        <f t="shared" si="886"/>
        <v>0</v>
      </c>
      <c r="AX1270" s="31">
        <f t="shared" si="887"/>
        <v>0</v>
      </c>
      <c r="AY1270" s="31">
        <f t="shared" si="888"/>
        <v>0</v>
      </c>
      <c r="AZ1270" s="31">
        <f t="shared" si="889"/>
        <v>0</v>
      </c>
      <c r="BA1270" s="31">
        <f t="shared" si="890"/>
        <v>0</v>
      </c>
      <c r="BB1270" s="31">
        <f t="shared" si="919"/>
        <v>0</v>
      </c>
      <c r="BM1270" s="8">
        <f t="shared" si="920"/>
        <v>0</v>
      </c>
      <c r="BN1270" s="8">
        <f t="shared" si="891"/>
        <v>0</v>
      </c>
      <c r="BO1270" s="8">
        <f t="shared" si="892"/>
        <v>0</v>
      </c>
      <c r="BQ1270" s="8">
        <f t="shared" si="893"/>
        <v>0</v>
      </c>
      <c r="BR1270" s="63">
        <f t="shared" si="894"/>
        <v>0</v>
      </c>
      <c r="BS1270" s="63">
        <f t="shared" si="921"/>
        <v>0</v>
      </c>
      <c r="BT1270" s="63">
        <f t="shared" si="895"/>
        <v>0</v>
      </c>
      <c r="BU1270" s="63">
        <f t="shared" si="896"/>
        <v>0</v>
      </c>
      <c r="BV1270" s="57">
        <f t="shared" si="897"/>
        <v>0</v>
      </c>
      <c r="BW1270" s="57">
        <f t="shared" si="898"/>
        <v>0</v>
      </c>
      <c r="BX1270" s="57">
        <f t="shared" si="922"/>
        <v>0</v>
      </c>
      <c r="BY1270" s="57">
        <f t="shared" si="926"/>
        <v>0</v>
      </c>
      <c r="BZ1270" s="8">
        <f t="shared" si="899"/>
        <v>0</v>
      </c>
      <c r="CA1270" s="8">
        <f t="shared" si="900"/>
        <v>0</v>
      </c>
      <c r="CB1270" s="8">
        <f t="shared" si="901"/>
        <v>0</v>
      </c>
      <c r="CC1270" s="8">
        <f t="shared" si="902"/>
        <v>0</v>
      </c>
      <c r="CD1270" s="8">
        <f t="shared" si="903"/>
        <v>0</v>
      </c>
      <c r="CE1270" s="8">
        <f t="shared" si="904"/>
        <v>0</v>
      </c>
      <c r="CF1270" s="8">
        <f t="shared" si="905"/>
        <v>0</v>
      </c>
      <c r="CG1270" s="8">
        <f t="shared" si="906"/>
        <v>0</v>
      </c>
      <c r="CH1270" s="8">
        <f t="shared" si="907"/>
        <v>0</v>
      </c>
      <c r="CI1270" s="8">
        <f t="shared" si="908"/>
        <v>0</v>
      </c>
      <c r="CJ1270" s="8">
        <f t="shared" si="909"/>
        <v>0</v>
      </c>
      <c r="CK1270" s="8">
        <f t="shared" si="910"/>
        <v>0</v>
      </c>
      <c r="CL1270" s="8">
        <f t="shared" si="911"/>
        <v>0</v>
      </c>
      <c r="CM1270" s="8">
        <f t="shared" si="912"/>
        <v>0</v>
      </c>
      <c r="CN1270" s="8">
        <f t="shared" si="913"/>
        <v>0</v>
      </c>
      <c r="CO1270" s="8">
        <f t="shared" si="914"/>
        <v>0</v>
      </c>
      <c r="CP1270" s="8">
        <f t="shared" si="915"/>
        <v>0</v>
      </c>
      <c r="CQ1270" s="8">
        <f t="shared" si="916"/>
        <v>0</v>
      </c>
      <c r="CR1270" s="8">
        <f t="shared" si="917"/>
        <v>0</v>
      </c>
      <c r="CS1270" s="8">
        <f t="shared" si="918"/>
        <v>0</v>
      </c>
      <c r="CT1270" s="8">
        <f t="shared" si="923"/>
        <v>0</v>
      </c>
      <c r="CU1270" s="8">
        <f t="shared" si="924"/>
        <v>0</v>
      </c>
      <c r="CV1270" s="8">
        <f t="shared" si="925"/>
        <v>0</v>
      </c>
    </row>
    <row r="1271" spans="1:100" ht="20.5" thickTop="1" thickBot="1" x14ac:dyDescent="0.5">
      <c r="A1271" s="32"/>
      <c r="B1271" s="10"/>
      <c r="C1271" s="10"/>
      <c r="D1271" s="11"/>
      <c r="E1271" s="10"/>
      <c r="F1271" s="10"/>
      <c r="G1271" s="19"/>
      <c r="H1271" s="19"/>
      <c r="I1271" s="19"/>
      <c r="J1271" s="19"/>
      <c r="K1271" s="10"/>
      <c r="L1271" s="10"/>
      <c r="M1271" s="10"/>
      <c r="N1271" s="10"/>
      <c r="O1271" s="18"/>
      <c r="P1271" s="18"/>
      <c r="Q1271" s="21"/>
      <c r="R1271" s="20"/>
      <c r="S1271" s="16">
        <f t="shared" si="881"/>
        <v>0</v>
      </c>
      <c r="T1271" s="11"/>
      <c r="AS1271" s="31">
        <f t="shared" si="882"/>
        <v>0</v>
      </c>
      <c r="AT1271" s="31">
        <f t="shared" si="883"/>
        <v>0</v>
      </c>
      <c r="AU1271" s="31">
        <f t="shared" si="884"/>
        <v>0</v>
      </c>
      <c r="AV1271" s="31">
        <f t="shared" si="885"/>
        <v>0</v>
      </c>
      <c r="AW1271" s="31">
        <f t="shared" si="886"/>
        <v>0</v>
      </c>
      <c r="AX1271" s="31">
        <f t="shared" si="887"/>
        <v>0</v>
      </c>
      <c r="AY1271" s="31">
        <f t="shared" si="888"/>
        <v>0</v>
      </c>
      <c r="AZ1271" s="31">
        <f t="shared" si="889"/>
        <v>0</v>
      </c>
      <c r="BA1271" s="31">
        <f t="shared" si="890"/>
        <v>0</v>
      </c>
      <c r="BB1271" s="31">
        <f t="shared" si="919"/>
        <v>0</v>
      </c>
      <c r="BM1271" s="8">
        <f t="shared" si="920"/>
        <v>0</v>
      </c>
      <c r="BN1271" s="8">
        <f t="shared" si="891"/>
        <v>0</v>
      </c>
      <c r="BO1271" s="8">
        <f t="shared" si="892"/>
        <v>0</v>
      </c>
      <c r="BQ1271" s="8">
        <f t="shared" si="893"/>
        <v>0</v>
      </c>
      <c r="BR1271" s="63">
        <f t="shared" si="894"/>
        <v>0</v>
      </c>
      <c r="BS1271" s="63">
        <f t="shared" si="921"/>
        <v>0</v>
      </c>
      <c r="BT1271" s="63">
        <f t="shared" si="895"/>
        <v>0</v>
      </c>
      <c r="BU1271" s="63">
        <f t="shared" si="896"/>
        <v>0</v>
      </c>
      <c r="BV1271" s="57">
        <f t="shared" si="897"/>
        <v>0</v>
      </c>
      <c r="BW1271" s="57">
        <f t="shared" si="898"/>
        <v>0</v>
      </c>
      <c r="BX1271" s="57">
        <f t="shared" si="922"/>
        <v>0</v>
      </c>
      <c r="BY1271" s="57">
        <f t="shared" si="926"/>
        <v>0</v>
      </c>
      <c r="BZ1271" s="8">
        <f t="shared" si="899"/>
        <v>0</v>
      </c>
      <c r="CA1271" s="8">
        <f t="shared" si="900"/>
        <v>0</v>
      </c>
      <c r="CB1271" s="8">
        <f t="shared" si="901"/>
        <v>0</v>
      </c>
      <c r="CC1271" s="8">
        <f t="shared" si="902"/>
        <v>0</v>
      </c>
      <c r="CD1271" s="8">
        <f t="shared" si="903"/>
        <v>0</v>
      </c>
      <c r="CE1271" s="8">
        <f t="shared" si="904"/>
        <v>0</v>
      </c>
      <c r="CF1271" s="8">
        <f t="shared" si="905"/>
        <v>0</v>
      </c>
      <c r="CG1271" s="8">
        <f t="shared" si="906"/>
        <v>0</v>
      </c>
      <c r="CH1271" s="8">
        <f t="shared" si="907"/>
        <v>0</v>
      </c>
      <c r="CI1271" s="8">
        <f t="shared" si="908"/>
        <v>0</v>
      </c>
      <c r="CJ1271" s="8">
        <f t="shared" si="909"/>
        <v>0</v>
      </c>
      <c r="CK1271" s="8">
        <f t="shared" si="910"/>
        <v>0</v>
      </c>
      <c r="CL1271" s="8">
        <f t="shared" si="911"/>
        <v>0</v>
      </c>
      <c r="CM1271" s="8">
        <f t="shared" si="912"/>
        <v>0</v>
      </c>
      <c r="CN1271" s="8">
        <f t="shared" si="913"/>
        <v>0</v>
      </c>
      <c r="CO1271" s="8">
        <f t="shared" si="914"/>
        <v>0</v>
      </c>
      <c r="CP1271" s="8">
        <f t="shared" si="915"/>
        <v>0</v>
      </c>
      <c r="CQ1271" s="8">
        <f t="shared" si="916"/>
        <v>0</v>
      </c>
      <c r="CR1271" s="8">
        <f t="shared" si="917"/>
        <v>0</v>
      </c>
      <c r="CS1271" s="8">
        <f t="shared" si="918"/>
        <v>0</v>
      </c>
      <c r="CT1271" s="8">
        <f t="shared" si="923"/>
        <v>0</v>
      </c>
      <c r="CU1271" s="8">
        <f t="shared" si="924"/>
        <v>0</v>
      </c>
      <c r="CV1271" s="8">
        <f t="shared" si="925"/>
        <v>0</v>
      </c>
    </row>
    <row r="1272" spans="1:100" ht="20.5" thickTop="1" thickBot="1" x14ac:dyDescent="0.5">
      <c r="A1272" s="32"/>
      <c r="B1272" s="10"/>
      <c r="C1272" s="10"/>
      <c r="D1272" s="11"/>
      <c r="E1272" s="10"/>
      <c r="F1272" s="10"/>
      <c r="G1272" s="19"/>
      <c r="H1272" s="19"/>
      <c r="I1272" s="19"/>
      <c r="J1272" s="19"/>
      <c r="K1272" s="10"/>
      <c r="L1272" s="10"/>
      <c r="M1272" s="10"/>
      <c r="N1272" s="10"/>
      <c r="O1272" s="18"/>
      <c r="P1272" s="18"/>
      <c r="Q1272" s="21"/>
      <c r="R1272" s="20"/>
      <c r="S1272" s="16">
        <f t="shared" si="881"/>
        <v>0</v>
      </c>
      <c r="T1272" s="11"/>
      <c r="AS1272" s="31">
        <f t="shared" si="882"/>
        <v>0</v>
      </c>
      <c r="AT1272" s="31">
        <f t="shared" si="883"/>
        <v>0</v>
      </c>
      <c r="AU1272" s="31">
        <f t="shared" si="884"/>
        <v>0</v>
      </c>
      <c r="AV1272" s="31">
        <f t="shared" si="885"/>
        <v>0</v>
      </c>
      <c r="AW1272" s="31">
        <f t="shared" si="886"/>
        <v>0</v>
      </c>
      <c r="AX1272" s="31">
        <f t="shared" si="887"/>
        <v>0</v>
      </c>
      <c r="AY1272" s="31">
        <f t="shared" si="888"/>
        <v>0</v>
      </c>
      <c r="AZ1272" s="31">
        <f t="shared" si="889"/>
        <v>0</v>
      </c>
      <c r="BA1272" s="31">
        <f t="shared" si="890"/>
        <v>0</v>
      </c>
      <c r="BB1272" s="31">
        <f t="shared" si="919"/>
        <v>0</v>
      </c>
      <c r="BM1272" s="8">
        <f t="shared" si="920"/>
        <v>0</v>
      </c>
      <c r="BN1272" s="8">
        <f t="shared" si="891"/>
        <v>0</v>
      </c>
      <c r="BO1272" s="8">
        <f t="shared" si="892"/>
        <v>0</v>
      </c>
      <c r="BQ1272" s="8">
        <f t="shared" si="893"/>
        <v>0</v>
      </c>
      <c r="BR1272" s="63">
        <f t="shared" si="894"/>
        <v>0</v>
      </c>
      <c r="BS1272" s="63">
        <f t="shared" si="921"/>
        <v>0</v>
      </c>
      <c r="BT1272" s="63">
        <f t="shared" si="895"/>
        <v>0</v>
      </c>
      <c r="BU1272" s="63">
        <f t="shared" si="896"/>
        <v>0</v>
      </c>
      <c r="BV1272" s="57">
        <f t="shared" si="897"/>
        <v>0</v>
      </c>
      <c r="BW1272" s="57">
        <f t="shared" si="898"/>
        <v>0</v>
      </c>
      <c r="BX1272" s="57">
        <f t="shared" si="922"/>
        <v>0</v>
      </c>
      <c r="BY1272" s="57">
        <f t="shared" si="926"/>
        <v>0</v>
      </c>
      <c r="BZ1272" s="8">
        <f t="shared" si="899"/>
        <v>0</v>
      </c>
      <c r="CA1272" s="8">
        <f t="shared" si="900"/>
        <v>0</v>
      </c>
      <c r="CB1272" s="8">
        <f t="shared" si="901"/>
        <v>0</v>
      </c>
      <c r="CC1272" s="8">
        <f t="shared" si="902"/>
        <v>0</v>
      </c>
      <c r="CD1272" s="8">
        <f t="shared" si="903"/>
        <v>0</v>
      </c>
      <c r="CE1272" s="8">
        <f t="shared" si="904"/>
        <v>0</v>
      </c>
      <c r="CF1272" s="8">
        <f t="shared" si="905"/>
        <v>0</v>
      </c>
      <c r="CG1272" s="8">
        <f t="shared" si="906"/>
        <v>0</v>
      </c>
      <c r="CH1272" s="8">
        <f t="shared" si="907"/>
        <v>0</v>
      </c>
      <c r="CI1272" s="8">
        <f t="shared" si="908"/>
        <v>0</v>
      </c>
      <c r="CJ1272" s="8">
        <f t="shared" si="909"/>
        <v>0</v>
      </c>
      <c r="CK1272" s="8">
        <f t="shared" si="910"/>
        <v>0</v>
      </c>
      <c r="CL1272" s="8">
        <f t="shared" si="911"/>
        <v>0</v>
      </c>
      <c r="CM1272" s="8">
        <f t="shared" si="912"/>
        <v>0</v>
      </c>
      <c r="CN1272" s="8">
        <f t="shared" si="913"/>
        <v>0</v>
      </c>
      <c r="CO1272" s="8">
        <f t="shared" si="914"/>
        <v>0</v>
      </c>
      <c r="CP1272" s="8">
        <f t="shared" si="915"/>
        <v>0</v>
      </c>
      <c r="CQ1272" s="8">
        <f t="shared" si="916"/>
        <v>0</v>
      </c>
      <c r="CR1272" s="8">
        <f t="shared" si="917"/>
        <v>0</v>
      </c>
      <c r="CS1272" s="8">
        <f t="shared" si="918"/>
        <v>0</v>
      </c>
      <c r="CT1272" s="8">
        <f t="shared" si="923"/>
        <v>0</v>
      </c>
      <c r="CU1272" s="8">
        <f t="shared" si="924"/>
        <v>0</v>
      </c>
      <c r="CV1272" s="8">
        <f t="shared" si="925"/>
        <v>0</v>
      </c>
    </row>
    <row r="1273" spans="1:100" ht="20.5" thickTop="1" thickBot="1" x14ac:dyDescent="0.5">
      <c r="A1273" s="32"/>
      <c r="B1273" s="10"/>
      <c r="C1273" s="10"/>
      <c r="D1273" s="11"/>
      <c r="E1273" s="10"/>
      <c r="F1273" s="10"/>
      <c r="G1273" s="19"/>
      <c r="H1273" s="19"/>
      <c r="I1273" s="19"/>
      <c r="J1273" s="19"/>
      <c r="K1273" s="10"/>
      <c r="L1273" s="10"/>
      <c r="M1273" s="10"/>
      <c r="N1273" s="10"/>
      <c r="O1273" s="18"/>
      <c r="P1273" s="18"/>
      <c r="Q1273" s="21"/>
      <c r="R1273" s="20"/>
      <c r="S1273" s="16">
        <f t="shared" si="881"/>
        <v>0</v>
      </c>
      <c r="T1273" s="11"/>
      <c r="AS1273" s="31">
        <f t="shared" si="882"/>
        <v>0</v>
      </c>
      <c r="AT1273" s="31">
        <f t="shared" si="883"/>
        <v>0</v>
      </c>
      <c r="AU1273" s="31">
        <f t="shared" si="884"/>
        <v>0</v>
      </c>
      <c r="AV1273" s="31">
        <f t="shared" si="885"/>
        <v>0</v>
      </c>
      <c r="AW1273" s="31">
        <f t="shared" si="886"/>
        <v>0</v>
      </c>
      <c r="AX1273" s="31">
        <f t="shared" si="887"/>
        <v>0</v>
      </c>
      <c r="AY1273" s="31">
        <f t="shared" si="888"/>
        <v>0</v>
      </c>
      <c r="AZ1273" s="31">
        <f t="shared" si="889"/>
        <v>0</v>
      </c>
      <c r="BA1273" s="31">
        <f t="shared" si="890"/>
        <v>0</v>
      </c>
      <c r="BB1273" s="31">
        <f t="shared" si="919"/>
        <v>0</v>
      </c>
      <c r="BM1273" s="8">
        <f t="shared" si="920"/>
        <v>0</v>
      </c>
      <c r="BN1273" s="8">
        <f t="shared" si="891"/>
        <v>0</v>
      </c>
      <c r="BO1273" s="8">
        <f t="shared" si="892"/>
        <v>0</v>
      </c>
      <c r="BQ1273" s="8">
        <f t="shared" si="893"/>
        <v>0</v>
      </c>
      <c r="BR1273" s="63">
        <f t="shared" si="894"/>
        <v>0</v>
      </c>
      <c r="BS1273" s="63">
        <f t="shared" si="921"/>
        <v>0</v>
      </c>
      <c r="BT1273" s="63">
        <f t="shared" si="895"/>
        <v>0</v>
      </c>
      <c r="BU1273" s="63">
        <f t="shared" si="896"/>
        <v>0</v>
      </c>
      <c r="BV1273" s="57">
        <f t="shared" si="897"/>
        <v>0</v>
      </c>
      <c r="BW1273" s="57">
        <f t="shared" si="898"/>
        <v>0</v>
      </c>
      <c r="BX1273" s="57">
        <f t="shared" si="922"/>
        <v>0</v>
      </c>
      <c r="BY1273" s="57">
        <f t="shared" si="926"/>
        <v>0</v>
      </c>
      <c r="BZ1273" s="8">
        <f t="shared" si="899"/>
        <v>0</v>
      </c>
      <c r="CA1273" s="8">
        <f t="shared" si="900"/>
        <v>0</v>
      </c>
      <c r="CB1273" s="8">
        <f t="shared" si="901"/>
        <v>0</v>
      </c>
      <c r="CC1273" s="8">
        <f t="shared" si="902"/>
        <v>0</v>
      </c>
      <c r="CD1273" s="8">
        <f t="shared" si="903"/>
        <v>0</v>
      </c>
      <c r="CE1273" s="8">
        <f t="shared" si="904"/>
        <v>0</v>
      </c>
      <c r="CF1273" s="8">
        <f t="shared" si="905"/>
        <v>0</v>
      </c>
      <c r="CG1273" s="8">
        <f t="shared" si="906"/>
        <v>0</v>
      </c>
      <c r="CH1273" s="8">
        <f t="shared" si="907"/>
        <v>0</v>
      </c>
      <c r="CI1273" s="8">
        <f t="shared" si="908"/>
        <v>0</v>
      </c>
      <c r="CJ1273" s="8">
        <f t="shared" si="909"/>
        <v>0</v>
      </c>
      <c r="CK1273" s="8">
        <f t="shared" si="910"/>
        <v>0</v>
      </c>
      <c r="CL1273" s="8">
        <f t="shared" si="911"/>
        <v>0</v>
      </c>
      <c r="CM1273" s="8">
        <f t="shared" si="912"/>
        <v>0</v>
      </c>
      <c r="CN1273" s="8">
        <f t="shared" si="913"/>
        <v>0</v>
      </c>
      <c r="CO1273" s="8">
        <f t="shared" si="914"/>
        <v>0</v>
      </c>
      <c r="CP1273" s="8">
        <f t="shared" si="915"/>
        <v>0</v>
      </c>
      <c r="CQ1273" s="8">
        <f t="shared" si="916"/>
        <v>0</v>
      </c>
      <c r="CR1273" s="8">
        <f t="shared" si="917"/>
        <v>0</v>
      </c>
      <c r="CS1273" s="8">
        <f t="shared" si="918"/>
        <v>0</v>
      </c>
      <c r="CT1273" s="8">
        <f t="shared" si="923"/>
        <v>0</v>
      </c>
      <c r="CU1273" s="8">
        <f t="shared" si="924"/>
        <v>0</v>
      </c>
      <c r="CV1273" s="8">
        <f t="shared" si="925"/>
        <v>0</v>
      </c>
    </row>
    <row r="1274" spans="1:100" ht="20.5" thickTop="1" thickBot="1" x14ac:dyDescent="0.5">
      <c r="A1274" s="32"/>
      <c r="B1274" s="10"/>
      <c r="C1274" s="10"/>
      <c r="D1274" s="11"/>
      <c r="E1274" s="10"/>
      <c r="F1274" s="10"/>
      <c r="G1274" s="19"/>
      <c r="H1274" s="19"/>
      <c r="I1274" s="19"/>
      <c r="J1274" s="19"/>
      <c r="K1274" s="10"/>
      <c r="L1274" s="10"/>
      <c r="M1274" s="10"/>
      <c r="N1274" s="10"/>
      <c r="O1274" s="18"/>
      <c r="P1274" s="18"/>
      <c r="Q1274" s="21"/>
      <c r="R1274" s="20"/>
      <c r="S1274" s="16">
        <f t="shared" si="881"/>
        <v>0</v>
      </c>
      <c r="T1274" s="11"/>
      <c r="AS1274" s="31">
        <f t="shared" si="882"/>
        <v>0</v>
      </c>
      <c r="AT1274" s="31">
        <f t="shared" si="883"/>
        <v>0</v>
      </c>
      <c r="AU1274" s="31">
        <f t="shared" si="884"/>
        <v>0</v>
      </c>
      <c r="AV1274" s="31">
        <f t="shared" si="885"/>
        <v>0</v>
      </c>
      <c r="AW1274" s="31">
        <f t="shared" si="886"/>
        <v>0</v>
      </c>
      <c r="AX1274" s="31">
        <f t="shared" si="887"/>
        <v>0</v>
      </c>
      <c r="AY1274" s="31">
        <f t="shared" si="888"/>
        <v>0</v>
      </c>
      <c r="AZ1274" s="31">
        <f t="shared" si="889"/>
        <v>0</v>
      </c>
      <c r="BA1274" s="31">
        <f t="shared" si="890"/>
        <v>0</v>
      </c>
      <c r="BB1274" s="31">
        <f t="shared" si="919"/>
        <v>0</v>
      </c>
      <c r="BM1274" s="8">
        <f t="shared" si="920"/>
        <v>0</v>
      </c>
      <c r="BN1274" s="8">
        <f t="shared" si="891"/>
        <v>0</v>
      </c>
      <c r="BO1274" s="8">
        <f t="shared" si="892"/>
        <v>0</v>
      </c>
      <c r="BQ1274" s="8">
        <f t="shared" si="893"/>
        <v>0</v>
      </c>
      <c r="BR1274" s="63">
        <f t="shared" si="894"/>
        <v>0</v>
      </c>
      <c r="BS1274" s="63">
        <f t="shared" si="921"/>
        <v>0</v>
      </c>
      <c r="BT1274" s="63">
        <f t="shared" si="895"/>
        <v>0</v>
      </c>
      <c r="BU1274" s="63">
        <f t="shared" si="896"/>
        <v>0</v>
      </c>
      <c r="BV1274" s="57">
        <f t="shared" si="897"/>
        <v>0</v>
      </c>
      <c r="BW1274" s="57">
        <f t="shared" si="898"/>
        <v>0</v>
      </c>
      <c r="BX1274" s="57">
        <f t="shared" si="922"/>
        <v>0</v>
      </c>
      <c r="BY1274" s="57">
        <f t="shared" si="926"/>
        <v>0</v>
      </c>
      <c r="BZ1274" s="8">
        <f t="shared" si="899"/>
        <v>0</v>
      </c>
      <c r="CA1274" s="8">
        <f t="shared" si="900"/>
        <v>0</v>
      </c>
      <c r="CB1274" s="8">
        <f t="shared" si="901"/>
        <v>0</v>
      </c>
      <c r="CC1274" s="8">
        <f t="shared" si="902"/>
        <v>0</v>
      </c>
      <c r="CD1274" s="8">
        <f t="shared" si="903"/>
        <v>0</v>
      </c>
      <c r="CE1274" s="8">
        <f t="shared" si="904"/>
        <v>0</v>
      </c>
      <c r="CF1274" s="8">
        <f t="shared" si="905"/>
        <v>0</v>
      </c>
      <c r="CG1274" s="8">
        <f t="shared" si="906"/>
        <v>0</v>
      </c>
      <c r="CH1274" s="8">
        <f t="shared" si="907"/>
        <v>0</v>
      </c>
      <c r="CI1274" s="8">
        <f t="shared" si="908"/>
        <v>0</v>
      </c>
      <c r="CJ1274" s="8">
        <f t="shared" si="909"/>
        <v>0</v>
      </c>
      <c r="CK1274" s="8">
        <f t="shared" si="910"/>
        <v>0</v>
      </c>
      <c r="CL1274" s="8">
        <f t="shared" si="911"/>
        <v>0</v>
      </c>
      <c r="CM1274" s="8">
        <f t="shared" si="912"/>
        <v>0</v>
      </c>
      <c r="CN1274" s="8">
        <f t="shared" si="913"/>
        <v>0</v>
      </c>
      <c r="CO1274" s="8">
        <f t="shared" si="914"/>
        <v>0</v>
      </c>
      <c r="CP1274" s="8">
        <f t="shared" si="915"/>
        <v>0</v>
      </c>
      <c r="CQ1274" s="8">
        <f t="shared" si="916"/>
        <v>0</v>
      </c>
      <c r="CR1274" s="8">
        <f t="shared" si="917"/>
        <v>0</v>
      </c>
      <c r="CS1274" s="8">
        <f t="shared" si="918"/>
        <v>0</v>
      </c>
      <c r="CT1274" s="8">
        <f t="shared" si="923"/>
        <v>0</v>
      </c>
      <c r="CU1274" s="8">
        <f t="shared" si="924"/>
        <v>0</v>
      </c>
      <c r="CV1274" s="8">
        <f t="shared" si="925"/>
        <v>0</v>
      </c>
    </row>
    <row r="1275" spans="1:100" ht="20.5" thickTop="1" thickBot="1" x14ac:dyDescent="0.5">
      <c r="A1275" s="32"/>
      <c r="B1275" s="10"/>
      <c r="C1275" s="10"/>
      <c r="D1275" s="11"/>
      <c r="E1275" s="10"/>
      <c r="F1275" s="10"/>
      <c r="G1275" s="19"/>
      <c r="H1275" s="19"/>
      <c r="I1275" s="19"/>
      <c r="J1275" s="19"/>
      <c r="K1275" s="10"/>
      <c r="L1275" s="10"/>
      <c r="M1275" s="10"/>
      <c r="N1275" s="10"/>
      <c r="O1275" s="18"/>
      <c r="P1275" s="18"/>
      <c r="Q1275" s="21"/>
      <c r="R1275" s="20"/>
      <c r="S1275" s="16">
        <f t="shared" si="881"/>
        <v>0</v>
      </c>
      <c r="T1275" s="11"/>
      <c r="AS1275" s="31">
        <f t="shared" si="882"/>
        <v>0</v>
      </c>
      <c r="AT1275" s="31">
        <f t="shared" si="883"/>
        <v>0</v>
      </c>
      <c r="AU1275" s="31">
        <f t="shared" si="884"/>
        <v>0</v>
      </c>
      <c r="AV1275" s="31">
        <f t="shared" si="885"/>
        <v>0</v>
      </c>
      <c r="AW1275" s="31">
        <f t="shared" si="886"/>
        <v>0</v>
      </c>
      <c r="AX1275" s="31">
        <f t="shared" si="887"/>
        <v>0</v>
      </c>
      <c r="AY1275" s="31">
        <f t="shared" si="888"/>
        <v>0</v>
      </c>
      <c r="AZ1275" s="31">
        <f t="shared" si="889"/>
        <v>0</v>
      </c>
      <c r="BA1275" s="31">
        <f t="shared" si="890"/>
        <v>0</v>
      </c>
      <c r="BB1275" s="31">
        <f t="shared" si="919"/>
        <v>0</v>
      </c>
      <c r="BM1275" s="8">
        <f t="shared" si="920"/>
        <v>0</v>
      </c>
      <c r="BN1275" s="8">
        <f t="shared" si="891"/>
        <v>0</v>
      </c>
      <c r="BO1275" s="8">
        <f t="shared" si="892"/>
        <v>0</v>
      </c>
      <c r="BQ1275" s="8">
        <f t="shared" si="893"/>
        <v>0</v>
      </c>
      <c r="BR1275" s="63">
        <f t="shared" si="894"/>
        <v>0</v>
      </c>
      <c r="BS1275" s="63">
        <f t="shared" si="921"/>
        <v>0</v>
      </c>
      <c r="BT1275" s="63">
        <f t="shared" si="895"/>
        <v>0</v>
      </c>
      <c r="BU1275" s="63">
        <f t="shared" si="896"/>
        <v>0</v>
      </c>
      <c r="BV1275" s="57">
        <f t="shared" si="897"/>
        <v>0</v>
      </c>
      <c r="BW1275" s="57">
        <f t="shared" si="898"/>
        <v>0</v>
      </c>
      <c r="BX1275" s="57">
        <f t="shared" si="922"/>
        <v>0</v>
      </c>
      <c r="BY1275" s="57">
        <f t="shared" si="926"/>
        <v>0</v>
      </c>
      <c r="BZ1275" s="8">
        <f t="shared" si="899"/>
        <v>0</v>
      </c>
      <c r="CA1275" s="8">
        <f t="shared" si="900"/>
        <v>0</v>
      </c>
      <c r="CB1275" s="8">
        <f t="shared" si="901"/>
        <v>0</v>
      </c>
      <c r="CC1275" s="8">
        <f t="shared" si="902"/>
        <v>0</v>
      </c>
      <c r="CD1275" s="8">
        <f t="shared" si="903"/>
        <v>0</v>
      </c>
      <c r="CE1275" s="8">
        <f t="shared" si="904"/>
        <v>0</v>
      </c>
      <c r="CF1275" s="8">
        <f t="shared" si="905"/>
        <v>0</v>
      </c>
      <c r="CG1275" s="8">
        <f t="shared" si="906"/>
        <v>0</v>
      </c>
      <c r="CH1275" s="8">
        <f t="shared" si="907"/>
        <v>0</v>
      </c>
      <c r="CI1275" s="8">
        <f t="shared" si="908"/>
        <v>0</v>
      </c>
      <c r="CJ1275" s="8">
        <f t="shared" si="909"/>
        <v>0</v>
      </c>
      <c r="CK1275" s="8">
        <f t="shared" si="910"/>
        <v>0</v>
      </c>
      <c r="CL1275" s="8">
        <f t="shared" si="911"/>
        <v>0</v>
      </c>
      <c r="CM1275" s="8">
        <f t="shared" si="912"/>
        <v>0</v>
      </c>
      <c r="CN1275" s="8">
        <f t="shared" si="913"/>
        <v>0</v>
      </c>
      <c r="CO1275" s="8">
        <f t="shared" si="914"/>
        <v>0</v>
      </c>
      <c r="CP1275" s="8">
        <f t="shared" si="915"/>
        <v>0</v>
      </c>
      <c r="CQ1275" s="8">
        <f t="shared" si="916"/>
        <v>0</v>
      </c>
      <c r="CR1275" s="8">
        <f t="shared" si="917"/>
        <v>0</v>
      </c>
      <c r="CS1275" s="8">
        <f t="shared" si="918"/>
        <v>0</v>
      </c>
      <c r="CT1275" s="8">
        <f t="shared" si="923"/>
        <v>0</v>
      </c>
      <c r="CU1275" s="8">
        <f t="shared" si="924"/>
        <v>0</v>
      </c>
      <c r="CV1275" s="8">
        <f t="shared" si="925"/>
        <v>0</v>
      </c>
    </row>
    <row r="1276" spans="1:100" ht="20.5" thickTop="1" thickBot="1" x14ac:dyDescent="0.5">
      <c r="A1276" s="32"/>
      <c r="B1276" s="10"/>
      <c r="C1276" s="10"/>
      <c r="D1276" s="11"/>
      <c r="E1276" s="10"/>
      <c r="F1276" s="10"/>
      <c r="G1276" s="19"/>
      <c r="H1276" s="19"/>
      <c r="I1276" s="19"/>
      <c r="J1276" s="19"/>
      <c r="K1276" s="10"/>
      <c r="L1276" s="10"/>
      <c r="M1276" s="10"/>
      <c r="N1276" s="10"/>
      <c r="O1276" s="18"/>
      <c r="P1276" s="18"/>
      <c r="Q1276" s="21"/>
      <c r="R1276" s="20"/>
      <c r="S1276" s="16">
        <f t="shared" si="881"/>
        <v>0</v>
      </c>
      <c r="T1276" s="11"/>
      <c r="AS1276" s="31">
        <f t="shared" si="882"/>
        <v>0</v>
      </c>
      <c r="AT1276" s="31">
        <f t="shared" si="883"/>
        <v>0</v>
      </c>
      <c r="AU1276" s="31">
        <f t="shared" si="884"/>
        <v>0</v>
      </c>
      <c r="AV1276" s="31">
        <f t="shared" si="885"/>
        <v>0</v>
      </c>
      <c r="AW1276" s="31">
        <f t="shared" si="886"/>
        <v>0</v>
      </c>
      <c r="AX1276" s="31">
        <f t="shared" si="887"/>
        <v>0</v>
      </c>
      <c r="AY1276" s="31">
        <f t="shared" si="888"/>
        <v>0</v>
      </c>
      <c r="AZ1276" s="31">
        <f t="shared" si="889"/>
        <v>0</v>
      </c>
      <c r="BA1276" s="31">
        <f t="shared" si="890"/>
        <v>0</v>
      </c>
      <c r="BB1276" s="31">
        <f t="shared" si="919"/>
        <v>0</v>
      </c>
      <c r="BM1276" s="8">
        <f t="shared" si="920"/>
        <v>0</v>
      </c>
      <c r="BN1276" s="8">
        <f t="shared" si="891"/>
        <v>0</v>
      </c>
      <c r="BO1276" s="8">
        <f t="shared" si="892"/>
        <v>0</v>
      </c>
      <c r="BQ1276" s="8">
        <f t="shared" si="893"/>
        <v>0</v>
      </c>
      <c r="BR1276" s="63">
        <f t="shared" si="894"/>
        <v>0</v>
      </c>
      <c r="BS1276" s="63">
        <f t="shared" si="921"/>
        <v>0</v>
      </c>
      <c r="BT1276" s="63">
        <f t="shared" si="895"/>
        <v>0</v>
      </c>
      <c r="BU1276" s="63">
        <f t="shared" si="896"/>
        <v>0</v>
      </c>
      <c r="BV1276" s="57">
        <f t="shared" si="897"/>
        <v>0</v>
      </c>
      <c r="BW1276" s="57">
        <f t="shared" si="898"/>
        <v>0</v>
      </c>
      <c r="BX1276" s="57">
        <f t="shared" si="922"/>
        <v>0</v>
      </c>
      <c r="BY1276" s="57">
        <f t="shared" si="926"/>
        <v>0</v>
      </c>
      <c r="BZ1276" s="8">
        <f t="shared" si="899"/>
        <v>0</v>
      </c>
      <c r="CA1276" s="8">
        <f t="shared" si="900"/>
        <v>0</v>
      </c>
      <c r="CB1276" s="8">
        <f t="shared" si="901"/>
        <v>0</v>
      </c>
      <c r="CC1276" s="8">
        <f t="shared" si="902"/>
        <v>0</v>
      </c>
      <c r="CD1276" s="8">
        <f t="shared" si="903"/>
        <v>0</v>
      </c>
      <c r="CE1276" s="8">
        <f t="shared" si="904"/>
        <v>0</v>
      </c>
      <c r="CF1276" s="8">
        <f t="shared" si="905"/>
        <v>0</v>
      </c>
      <c r="CG1276" s="8">
        <f t="shared" si="906"/>
        <v>0</v>
      </c>
      <c r="CH1276" s="8">
        <f t="shared" si="907"/>
        <v>0</v>
      </c>
      <c r="CI1276" s="8">
        <f t="shared" si="908"/>
        <v>0</v>
      </c>
      <c r="CJ1276" s="8">
        <f t="shared" si="909"/>
        <v>0</v>
      </c>
      <c r="CK1276" s="8">
        <f t="shared" si="910"/>
        <v>0</v>
      </c>
      <c r="CL1276" s="8">
        <f t="shared" si="911"/>
        <v>0</v>
      </c>
      <c r="CM1276" s="8">
        <f t="shared" si="912"/>
        <v>0</v>
      </c>
      <c r="CN1276" s="8">
        <f t="shared" si="913"/>
        <v>0</v>
      </c>
      <c r="CO1276" s="8">
        <f t="shared" si="914"/>
        <v>0</v>
      </c>
      <c r="CP1276" s="8">
        <f t="shared" si="915"/>
        <v>0</v>
      </c>
      <c r="CQ1276" s="8">
        <f t="shared" si="916"/>
        <v>0</v>
      </c>
      <c r="CR1276" s="8">
        <f t="shared" si="917"/>
        <v>0</v>
      </c>
      <c r="CS1276" s="8">
        <f t="shared" si="918"/>
        <v>0</v>
      </c>
      <c r="CT1276" s="8">
        <f t="shared" si="923"/>
        <v>0</v>
      </c>
      <c r="CU1276" s="8">
        <f t="shared" si="924"/>
        <v>0</v>
      </c>
      <c r="CV1276" s="8">
        <f t="shared" si="925"/>
        <v>0</v>
      </c>
    </row>
    <row r="1277" spans="1:100" ht="20.5" thickTop="1" thickBot="1" x14ac:dyDescent="0.5">
      <c r="A1277" s="32"/>
      <c r="B1277" s="10"/>
      <c r="C1277" s="10"/>
      <c r="D1277" s="11"/>
      <c r="E1277" s="10"/>
      <c r="F1277" s="10"/>
      <c r="G1277" s="19"/>
      <c r="H1277" s="19"/>
      <c r="I1277" s="19"/>
      <c r="J1277" s="19"/>
      <c r="K1277" s="10"/>
      <c r="L1277" s="10"/>
      <c r="M1277" s="10"/>
      <c r="N1277" s="10"/>
      <c r="O1277" s="18"/>
      <c r="P1277" s="18"/>
      <c r="Q1277" s="21"/>
      <c r="R1277" s="20"/>
      <c r="S1277" s="16">
        <f t="shared" si="881"/>
        <v>0</v>
      </c>
      <c r="T1277" s="11"/>
      <c r="AS1277" s="31">
        <f t="shared" si="882"/>
        <v>0</v>
      </c>
      <c r="AT1277" s="31">
        <f t="shared" si="883"/>
        <v>0</v>
      </c>
      <c r="AU1277" s="31">
        <f t="shared" si="884"/>
        <v>0</v>
      </c>
      <c r="AV1277" s="31">
        <f t="shared" si="885"/>
        <v>0</v>
      </c>
      <c r="AW1277" s="31">
        <f t="shared" si="886"/>
        <v>0</v>
      </c>
      <c r="AX1277" s="31">
        <f t="shared" si="887"/>
        <v>0</v>
      </c>
      <c r="AY1277" s="31">
        <f t="shared" si="888"/>
        <v>0</v>
      </c>
      <c r="AZ1277" s="31">
        <f t="shared" si="889"/>
        <v>0</v>
      </c>
      <c r="BA1277" s="31">
        <f t="shared" si="890"/>
        <v>0</v>
      </c>
      <c r="BB1277" s="31">
        <f t="shared" si="919"/>
        <v>0</v>
      </c>
      <c r="BM1277" s="8">
        <f t="shared" si="920"/>
        <v>0</v>
      </c>
      <c r="BN1277" s="8">
        <f t="shared" si="891"/>
        <v>0</v>
      </c>
      <c r="BO1277" s="8">
        <f t="shared" si="892"/>
        <v>0</v>
      </c>
      <c r="BQ1277" s="8">
        <f t="shared" si="893"/>
        <v>0</v>
      </c>
      <c r="BR1277" s="63">
        <f t="shared" si="894"/>
        <v>0</v>
      </c>
      <c r="BS1277" s="63">
        <f t="shared" si="921"/>
        <v>0</v>
      </c>
      <c r="BT1277" s="63">
        <f t="shared" si="895"/>
        <v>0</v>
      </c>
      <c r="BU1277" s="63">
        <f t="shared" si="896"/>
        <v>0</v>
      </c>
      <c r="BV1277" s="57">
        <f t="shared" si="897"/>
        <v>0</v>
      </c>
      <c r="BW1277" s="57">
        <f t="shared" si="898"/>
        <v>0</v>
      </c>
      <c r="BX1277" s="57">
        <f t="shared" si="922"/>
        <v>0</v>
      </c>
      <c r="BY1277" s="57">
        <f t="shared" si="926"/>
        <v>0</v>
      </c>
      <c r="BZ1277" s="8">
        <f t="shared" si="899"/>
        <v>0</v>
      </c>
      <c r="CA1277" s="8">
        <f t="shared" si="900"/>
        <v>0</v>
      </c>
      <c r="CB1277" s="8">
        <f t="shared" si="901"/>
        <v>0</v>
      </c>
      <c r="CC1277" s="8">
        <f t="shared" si="902"/>
        <v>0</v>
      </c>
      <c r="CD1277" s="8">
        <f t="shared" si="903"/>
        <v>0</v>
      </c>
      <c r="CE1277" s="8">
        <f t="shared" si="904"/>
        <v>0</v>
      </c>
      <c r="CF1277" s="8">
        <f t="shared" si="905"/>
        <v>0</v>
      </c>
      <c r="CG1277" s="8">
        <f t="shared" si="906"/>
        <v>0</v>
      </c>
      <c r="CH1277" s="8">
        <f t="shared" si="907"/>
        <v>0</v>
      </c>
      <c r="CI1277" s="8">
        <f t="shared" si="908"/>
        <v>0</v>
      </c>
      <c r="CJ1277" s="8">
        <f t="shared" si="909"/>
        <v>0</v>
      </c>
      <c r="CK1277" s="8">
        <f t="shared" si="910"/>
        <v>0</v>
      </c>
      <c r="CL1277" s="8">
        <f t="shared" si="911"/>
        <v>0</v>
      </c>
      <c r="CM1277" s="8">
        <f t="shared" si="912"/>
        <v>0</v>
      </c>
      <c r="CN1277" s="8">
        <f t="shared" si="913"/>
        <v>0</v>
      </c>
      <c r="CO1277" s="8">
        <f t="shared" si="914"/>
        <v>0</v>
      </c>
      <c r="CP1277" s="8">
        <f t="shared" si="915"/>
        <v>0</v>
      </c>
      <c r="CQ1277" s="8">
        <f t="shared" si="916"/>
        <v>0</v>
      </c>
      <c r="CR1277" s="8">
        <f t="shared" si="917"/>
        <v>0</v>
      </c>
      <c r="CS1277" s="8">
        <f t="shared" si="918"/>
        <v>0</v>
      </c>
      <c r="CT1277" s="8">
        <f t="shared" si="923"/>
        <v>0</v>
      </c>
      <c r="CU1277" s="8">
        <f t="shared" si="924"/>
        <v>0</v>
      </c>
      <c r="CV1277" s="8">
        <f t="shared" si="925"/>
        <v>0</v>
      </c>
    </row>
    <row r="1278" spans="1:100" ht="20.5" thickTop="1" thickBot="1" x14ac:dyDescent="0.5">
      <c r="A1278" s="32"/>
      <c r="B1278" s="10"/>
      <c r="C1278" s="10"/>
      <c r="D1278" s="11"/>
      <c r="E1278" s="10"/>
      <c r="F1278" s="10"/>
      <c r="G1278" s="19"/>
      <c r="H1278" s="19"/>
      <c r="I1278" s="19"/>
      <c r="J1278" s="19"/>
      <c r="K1278" s="10"/>
      <c r="L1278" s="10"/>
      <c r="M1278" s="10"/>
      <c r="N1278" s="10"/>
      <c r="O1278" s="18"/>
      <c r="P1278" s="18"/>
      <c r="Q1278" s="21"/>
      <c r="R1278" s="20"/>
      <c r="S1278" s="16">
        <f t="shared" si="881"/>
        <v>0</v>
      </c>
      <c r="T1278" s="11"/>
      <c r="AS1278" s="31">
        <f t="shared" si="882"/>
        <v>0</v>
      </c>
      <c r="AT1278" s="31">
        <f t="shared" si="883"/>
        <v>0</v>
      </c>
      <c r="AU1278" s="31">
        <f t="shared" si="884"/>
        <v>0</v>
      </c>
      <c r="AV1278" s="31">
        <f t="shared" si="885"/>
        <v>0</v>
      </c>
      <c r="AW1278" s="31">
        <f t="shared" si="886"/>
        <v>0</v>
      </c>
      <c r="AX1278" s="31">
        <f t="shared" si="887"/>
        <v>0</v>
      </c>
      <c r="AY1278" s="31">
        <f t="shared" si="888"/>
        <v>0</v>
      </c>
      <c r="AZ1278" s="31">
        <f t="shared" si="889"/>
        <v>0</v>
      </c>
      <c r="BA1278" s="31">
        <f t="shared" si="890"/>
        <v>0</v>
      </c>
      <c r="BB1278" s="31">
        <f t="shared" si="919"/>
        <v>0</v>
      </c>
      <c r="BM1278" s="8">
        <f t="shared" si="920"/>
        <v>0</v>
      </c>
      <c r="BN1278" s="8">
        <f t="shared" si="891"/>
        <v>0</v>
      </c>
      <c r="BO1278" s="8">
        <f t="shared" si="892"/>
        <v>0</v>
      </c>
      <c r="BQ1278" s="8">
        <f t="shared" si="893"/>
        <v>0</v>
      </c>
      <c r="BR1278" s="63">
        <f t="shared" si="894"/>
        <v>0</v>
      </c>
      <c r="BS1278" s="63">
        <f t="shared" si="921"/>
        <v>0</v>
      </c>
      <c r="BT1278" s="63">
        <f t="shared" si="895"/>
        <v>0</v>
      </c>
      <c r="BU1278" s="63">
        <f t="shared" si="896"/>
        <v>0</v>
      </c>
      <c r="BV1278" s="57">
        <f t="shared" si="897"/>
        <v>0</v>
      </c>
      <c r="BW1278" s="57">
        <f t="shared" si="898"/>
        <v>0</v>
      </c>
      <c r="BX1278" s="57">
        <f t="shared" si="922"/>
        <v>0</v>
      </c>
      <c r="BY1278" s="57">
        <f t="shared" si="926"/>
        <v>0</v>
      </c>
      <c r="BZ1278" s="8">
        <f t="shared" si="899"/>
        <v>0</v>
      </c>
      <c r="CA1278" s="8">
        <f t="shared" si="900"/>
        <v>0</v>
      </c>
      <c r="CB1278" s="8">
        <f t="shared" si="901"/>
        <v>0</v>
      </c>
      <c r="CC1278" s="8">
        <f t="shared" si="902"/>
        <v>0</v>
      </c>
      <c r="CD1278" s="8">
        <f t="shared" si="903"/>
        <v>0</v>
      </c>
      <c r="CE1278" s="8">
        <f t="shared" si="904"/>
        <v>0</v>
      </c>
      <c r="CF1278" s="8">
        <f t="shared" si="905"/>
        <v>0</v>
      </c>
      <c r="CG1278" s="8">
        <f t="shared" si="906"/>
        <v>0</v>
      </c>
      <c r="CH1278" s="8">
        <f t="shared" si="907"/>
        <v>0</v>
      </c>
      <c r="CI1278" s="8">
        <f t="shared" si="908"/>
        <v>0</v>
      </c>
      <c r="CJ1278" s="8">
        <f t="shared" si="909"/>
        <v>0</v>
      </c>
      <c r="CK1278" s="8">
        <f t="shared" si="910"/>
        <v>0</v>
      </c>
      <c r="CL1278" s="8">
        <f t="shared" si="911"/>
        <v>0</v>
      </c>
      <c r="CM1278" s="8">
        <f t="shared" si="912"/>
        <v>0</v>
      </c>
      <c r="CN1278" s="8">
        <f t="shared" si="913"/>
        <v>0</v>
      </c>
      <c r="CO1278" s="8">
        <f t="shared" si="914"/>
        <v>0</v>
      </c>
      <c r="CP1278" s="8">
        <f t="shared" si="915"/>
        <v>0</v>
      </c>
      <c r="CQ1278" s="8">
        <f t="shared" si="916"/>
        <v>0</v>
      </c>
      <c r="CR1278" s="8">
        <f t="shared" si="917"/>
        <v>0</v>
      </c>
      <c r="CS1278" s="8">
        <f t="shared" si="918"/>
        <v>0</v>
      </c>
      <c r="CT1278" s="8">
        <f t="shared" si="923"/>
        <v>0</v>
      </c>
      <c r="CU1278" s="8">
        <f t="shared" si="924"/>
        <v>0</v>
      </c>
      <c r="CV1278" s="8">
        <f t="shared" si="925"/>
        <v>0</v>
      </c>
    </row>
    <row r="1279" spans="1:100" ht="20.5" thickTop="1" thickBot="1" x14ac:dyDescent="0.5">
      <c r="A1279" s="32"/>
      <c r="B1279" s="10"/>
      <c r="C1279" s="10"/>
      <c r="D1279" s="11"/>
      <c r="E1279" s="10"/>
      <c r="F1279" s="10"/>
      <c r="G1279" s="19"/>
      <c r="H1279" s="19"/>
      <c r="I1279" s="19"/>
      <c r="J1279" s="19"/>
      <c r="K1279" s="10"/>
      <c r="L1279" s="10"/>
      <c r="M1279" s="10"/>
      <c r="N1279" s="10"/>
      <c r="O1279" s="18"/>
      <c r="P1279" s="18"/>
      <c r="Q1279" s="21"/>
      <c r="R1279" s="20"/>
      <c r="S1279" s="16">
        <f t="shared" si="881"/>
        <v>0</v>
      </c>
      <c r="T1279" s="11"/>
      <c r="AS1279" s="31">
        <f t="shared" si="882"/>
        <v>0</v>
      </c>
      <c r="AT1279" s="31">
        <f t="shared" si="883"/>
        <v>0</v>
      </c>
      <c r="AU1279" s="31">
        <f t="shared" si="884"/>
        <v>0</v>
      </c>
      <c r="AV1279" s="31">
        <f t="shared" si="885"/>
        <v>0</v>
      </c>
      <c r="AW1279" s="31">
        <f t="shared" si="886"/>
        <v>0</v>
      </c>
      <c r="AX1279" s="31">
        <f t="shared" si="887"/>
        <v>0</v>
      </c>
      <c r="AY1279" s="31">
        <f t="shared" si="888"/>
        <v>0</v>
      </c>
      <c r="AZ1279" s="31">
        <f t="shared" si="889"/>
        <v>0</v>
      </c>
      <c r="BA1279" s="31">
        <f t="shared" si="890"/>
        <v>0</v>
      </c>
      <c r="BB1279" s="31">
        <f t="shared" si="919"/>
        <v>0</v>
      </c>
      <c r="BM1279" s="8">
        <f t="shared" si="920"/>
        <v>0</v>
      </c>
      <c r="BN1279" s="8">
        <f t="shared" si="891"/>
        <v>0</v>
      </c>
      <c r="BO1279" s="8">
        <f t="shared" si="892"/>
        <v>0</v>
      </c>
      <c r="BQ1279" s="8">
        <f t="shared" si="893"/>
        <v>0</v>
      </c>
      <c r="BR1279" s="63">
        <f t="shared" si="894"/>
        <v>0</v>
      </c>
      <c r="BS1279" s="63">
        <f t="shared" si="921"/>
        <v>0</v>
      </c>
      <c r="BT1279" s="63">
        <f t="shared" si="895"/>
        <v>0</v>
      </c>
      <c r="BU1279" s="63">
        <f t="shared" si="896"/>
        <v>0</v>
      </c>
      <c r="BV1279" s="57">
        <f t="shared" si="897"/>
        <v>0</v>
      </c>
      <c r="BW1279" s="57">
        <f t="shared" si="898"/>
        <v>0</v>
      </c>
      <c r="BX1279" s="57">
        <f t="shared" si="922"/>
        <v>0</v>
      </c>
      <c r="BY1279" s="57">
        <f t="shared" si="926"/>
        <v>0</v>
      </c>
      <c r="BZ1279" s="8">
        <f t="shared" si="899"/>
        <v>0</v>
      </c>
      <c r="CA1279" s="8">
        <f t="shared" si="900"/>
        <v>0</v>
      </c>
      <c r="CB1279" s="8">
        <f t="shared" si="901"/>
        <v>0</v>
      </c>
      <c r="CC1279" s="8">
        <f t="shared" si="902"/>
        <v>0</v>
      </c>
      <c r="CD1279" s="8">
        <f t="shared" si="903"/>
        <v>0</v>
      </c>
      <c r="CE1279" s="8">
        <f t="shared" si="904"/>
        <v>0</v>
      </c>
      <c r="CF1279" s="8">
        <f t="shared" si="905"/>
        <v>0</v>
      </c>
      <c r="CG1279" s="8">
        <f t="shared" si="906"/>
        <v>0</v>
      </c>
      <c r="CH1279" s="8">
        <f t="shared" si="907"/>
        <v>0</v>
      </c>
      <c r="CI1279" s="8">
        <f t="shared" si="908"/>
        <v>0</v>
      </c>
      <c r="CJ1279" s="8">
        <f t="shared" si="909"/>
        <v>0</v>
      </c>
      <c r="CK1279" s="8">
        <f t="shared" si="910"/>
        <v>0</v>
      </c>
      <c r="CL1279" s="8">
        <f t="shared" si="911"/>
        <v>0</v>
      </c>
      <c r="CM1279" s="8">
        <f t="shared" si="912"/>
        <v>0</v>
      </c>
      <c r="CN1279" s="8">
        <f t="shared" si="913"/>
        <v>0</v>
      </c>
      <c r="CO1279" s="8">
        <f t="shared" si="914"/>
        <v>0</v>
      </c>
      <c r="CP1279" s="8">
        <f t="shared" si="915"/>
        <v>0</v>
      </c>
      <c r="CQ1279" s="8">
        <f t="shared" si="916"/>
        <v>0</v>
      </c>
      <c r="CR1279" s="8">
        <f t="shared" si="917"/>
        <v>0</v>
      </c>
      <c r="CS1279" s="8">
        <f t="shared" si="918"/>
        <v>0</v>
      </c>
      <c r="CT1279" s="8">
        <f t="shared" si="923"/>
        <v>0</v>
      </c>
      <c r="CU1279" s="8">
        <f t="shared" si="924"/>
        <v>0</v>
      </c>
      <c r="CV1279" s="8">
        <f t="shared" si="925"/>
        <v>0</v>
      </c>
    </row>
    <row r="1280" spans="1:100" ht="20.5" thickTop="1" thickBot="1" x14ac:dyDescent="0.5">
      <c r="A1280" s="32"/>
      <c r="B1280" s="10"/>
      <c r="C1280" s="10"/>
      <c r="D1280" s="11"/>
      <c r="E1280" s="10"/>
      <c r="F1280" s="10"/>
      <c r="G1280" s="19"/>
      <c r="H1280" s="19"/>
      <c r="I1280" s="19"/>
      <c r="J1280" s="19"/>
      <c r="K1280" s="10"/>
      <c r="L1280" s="10"/>
      <c r="M1280" s="10"/>
      <c r="N1280" s="10"/>
      <c r="O1280" s="18"/>
      <c r="P1280" s="18"/>
      <c r="Q1280" s="21"/>
      <c r="R1280" s="20"/>
      <c r="S1280" s="16">
        <f t="shared" si="881"/>
        <v>0</v>
      </c>
      <c r="T1280" s="11"/>
      <c r="AS1280" s="31">
        <f t="shared" si="882"/>
        <v>0</v>
      </c>
      <c r="AT1280" s="31">
        <f t="shared" si="883"/>
        <v>0</v>
      </c>
      <c r="AU1280" s="31">
        <f t="shared" si="884"/>
        <v>0</v>
      </c>
      <c r="AV1280" s="31">
        <f t="shared" si="885"/>
        <v>0</v>
      </c>
      <c r="AW1280" s="31">
        <f t="shared" si="886"/>
        <v>0</v>
      </c>
      <c r="AX1280" s="31">
        <f t="shared" si="887"/>
        <v>0</v>
      </c>
      <c r="AY1280" s="31">
        <f t="shared" si="888"/>
        <v>0</v>
      </c>
      <c r="AZ1280" s="31">
        <f t="shared" si="889"/>
        <v>0</v>
      </c>
      <c r="BA1280" s="31">
        <f t="shared" si="890"/>
        <v>0</v>
      </c>
      <c r="BB1280" s="31">
        <f t="shared" si="919"/>
        <v>0</v>
      </c>
      <c r="BM1280" s="8">
        <f t="shared" si="920"/>
        <v>0</v>
      </c>
      <c r="BN1280" s="8">
        <f t="shared" si="891"/>
        <v>0</v>
      </c>
      <c r="BO1280" s="8">
        <f t="shared" si="892"/>
        <v>0</v>
      </c>
      <c r="BQ1280" s="8">
        <f t="shared" si="893"/>
        <v>0</v>
      </c>
      <c r="BR1280" s="63">
        <f t="shared" si="894"/>
        <v>0</v>
      </c>
      <c r="BS1280" s="63">
        <f t="shared" si="921"/>
        <v>0</v>
      </c>
      <c r="BT1280" s="63">
        <f t="shared" si="895"/>
        <v>0</v>
      </c>
      <c r="BU1280" s="63">
        <f t="shared" si="896"/>
        <v>0</v>
      </c>
      <c r="BV1280" s="57">
        <f t="shared" si="897"/>
        <v>0</v>
      </c>
      <c r="BW1280" s="57">
        <f t="shared" si="898"/>
        <v>0</v>
      </c>
      <c r="BX1280" s="57">
        <f t="shared" si="922"/>
        <v>0</v>
      </c>
      <c r="BY1280" s="57">
        <f t="shared" si="926"/>
        <v>0</v>
      </c>
      <c r="BZ1280" s="8">
        <f t="shared" si="899"/>
        <v>0</v>
      </c>
      <c r="CA1280" s="8">
        <f t="shared" si="900"/>
        <v>0</v>
      </c>
      <c r="CB1280" s="8">
        <f t="shared" si="901"/>
        <v>0</v>
      </c>
      <c r="CC1280" s="8">
        <f t="shared" si="902"/>
        <v>0</v>
      </c>
      <c r="CD1280" s="8">
        <f t="shared" si="903"/>
        <v>0</v>
      </c>
      <c r="CE1280" s="8">
        <f t="shared" si="904"/>
        <v>0</v>
      </c>
      <c r="CF1280" s="8">
        <f t="shared" si="905"/>
        <v>0</v>
      </c>
      <c r="CG1280" s="8">
        <f t="shared" si="906"/>
        <v>0</v>
      </c>
      <c r="CH1280" s="8">
        <f t="shared" si="907"/>
        <v>0</v>
      </c>
      <c r="CI1280" s="8">
        <f t="shared" si="908"/>
        <v>0</v>
      </c>
      <c r="CJ1280" s="8">
        <f t="shared" si="909"/>
        <v>0</v>
      </c>
      <c r="CK1280" s="8">
        <f t="shared" si="910"/>
        <v>0</v>
      </c>
      <c r="CL1280" s="8">
        <f t="shared" si="911"/>
        <v>0</v>
      </c>
      <c r="CM1280" s="8">
        <f t="shared" si="912"/>
        <v>0</v>
      </c>
      <c r="CN1280" s="8">
        <f t="shared" si="913"/>
        <v>0</v>
      </c>
      <c r="CO1280" s="8">
        <f t="shared" si="914"/>
        <v>0</v>
      </c>
      <c r="CP1280" s="8">
        <f t="shared" si="915"/>
        <v>0</v>
      </c>
      <c r="CQ1280" s="8">
        <f t="shared" si="916"/>
        <v>0</v>
      </c>
      <c r="CR1280" s="8">
        <f t="shared" si="917"/>
        <v>0</v>
      </c>
      <c r="CS1280" s="8">
        <f t="shared" si="918"/>
        <v>0</v>
      </c>
      <c r="CT1280" s="8">
        <f t="shared" si="923"/>
        <v>0</v>
      </c>
      <c r="CU1280" s="8">
        <f t="shared" si="924"/>
        <v>0</v>
      </c>
      <c r="CV1280" s="8">
        <f t="shared" si="925"/>
        <v>0</v>
      </c>
    </row>
    <row r="1281" spans="1:100" ht="20.5" thickTop="1" thickBot="1" x14ac:dyDescent="0.5">
      <c r="A1281" s="32"/>
      <c r="B1281" s="10"/>
      <c r="C1281" s="10"/>
      <c r="D1281" s="11"/>
      <c r="E1281" s="10"/>
      <c r="F1281" s="10"/>
      <c r="G1281" s="19"/>
      <c r="H1281" s="19"/>
      <c r="I1281" s="19"/>
      <c r="J1281" s="19"/>
      <c r="K1281" s="10"/>
      <c r="L1281" s="10"/>
      <c r="M1281" s="10"/>
      <c r="N1281" s="10"/>
      <c r="O1281" s="18"/>
      <c r="P1281" s="18"/>
      <c r="Q1281" s="21"/>
      <c r="R1281" s="20"/>
      <c r="S1281" s="16">
        <f t="shared" si="881"/>
        <v>0</v>
      </c>
      <c r="T1281" s="11"/>
      <c r="AS1281" s="31">
        <f t="shared" si="882"/>
        <v>0</v>
      </c>
      <c r="AT1281" s="31">
        <f t="shared" si="883"/>
        <v>0</v>
      </c>
      <c r="AU1281" s="31">
        <f t="shared" si="884"/>
        <v>0</v>
      </c>
      <c r="AV1281" s="31">
        <f t="shared" si="885"/>
        <v>0</v>
      </c>
      <c r="AW1281" s="31">
        <f t="shared" si="886"/>
        <v>0</v>
      </c>
      <c r="AX1281" s="31">
        <f t="shared" si="887"/>
        <v>0</v>
      </c>
      <c r="AY1281" s="31">
        <f t="shared" si="888"/>
        <v>0</v>
      </c>
      <c r="AZ1281" s="31">
        <f t="shared" si="889"/>
        <v>0</v>
      </c>
      <c r="BA1281" s="31">
        <f t="shared" si="890"/>
        <v>0</v>
      </c>
      <c r="BB1281" s="31">
        <f t="shared" si="919"/>
        <v>0</v>
      </c>
      <c r="BM1281" s="8">
        <f t="shared" si="920"/>
        <v>0</v>
      </c>
      <c r="BN1281" s="8">
        <f t="shared" si="891"/>
        <v>0</v>
      </c>
      <c r="BO1281" s="8">
        <f t="shared" si="892"/>
        <v>0</v>
      </c>
      <c r="BQ1281" s="8">
        <f t="shared" si="893"/>
        <v>0</v>
      </c>
      <c r="BR1281" s="63">
        <f t="shared" si="894"/>
        <v>0</v>
      </c>
      <c r="BS1281" s="63">
        <f t="shared" si="921"/>
        <v>0</v>
      </c>
      <c r="BT1281" s="63">
        <f t="shared" si="895"/>
        <v>0</v>
      </c>
      <c r="BU1281" s="63">
        <f t="shared" si="896"/>
        <v>0</v>
      </c>
      <c r="BV1281" s="57">
        <f t="shared" si="897"/>
        <v>0</v>
      </c>
      <c r="BW1281" s="57">
        <f t="shared" si="898"/>
        <v>0</v>
      </c>
      <c r="BX1281" s="57">
        <f t="shared" si="922"/>
        <v>0</v>
      </c>
      <c r="BY1281" s="57">
        <f t="shared" si="926"/>
        <v>0</v>
      </c>
      <c r="BZ1281" s="8">
        <f t="shared" si="899"/>
        <v>0</v>
      </c>
      <c r="CA1281" s="8">
        <f t="shared" si="900"/>
        <v>0</v>
      </c>
      <c r="CB1281" s="8">
        <f t="shared" si="901"/>
        <v>0</v>
      </c>
      <c r="CC1281" s="8">
        <f t="shared" si="902"/>
        <v>0</v>
      </c>
      <c r="CD1281" s="8">
        <f t="shared" si="903"/>
        <v>0</v>
      </c>
      <c r="CE1281" s="8">
        <f t="shared" si="904"/>
        <v>0</v>
      </c>
      <c r="CF1281" s="8">
        <f t="shared" si="905"/>
        <v>0</v>
      </c>
      <c r="CG1281" s="8">
        <f t="shared" si="906"/>
        <v>0</v>
      </c>
      <c r="CH1281" s="8">
        <f t="shared" si="907"/>
        <v>0</v>
      </c>
      <c r="CI1281" s="8">
        <f t="shared" si="908"/>
        <v>0</v>
      </c>
      <c r="CJ1281" s="8">
        <f t="shared" si="909"/>
        <v>0</v>
      </c>
      <c r="CK1281" s="8">
        <f t="shared" si="910"/>
        <v>0</v>
      </c>
      <c r="CL1281" s="8">
        <f t="shared" si="911"/>
        <v>0</v>
      </c>
      <c r="CM1281" s="8">
        <f t="shared" si="912"/>
        <v>0</v>
      </c>
      <c r="CN1281" s="8">
        <f t="shared" si="913"/>
        <v>0</v>
      </c>
      <c r="CO1281" s="8">
        <f t="shared" si="914"/>
        <v>0</v>
      </c>
      <c r="CP1281" s="8">
        <f t="shared" si="915"/>
        <v>0</v>
      </c>
      <c r="CQ1281" s="8">
        <f t="shared" si="916"/>
        <v>0</v>
      </c>
      <c r="CR1281" s="8">
        <f t="shared" si="917"/>
        <v>0</v>
      </c>
      <c r="CS1281" s="8">
        <f t="shared" si="918"/>
        <v>0</v>
      </c>
      <c r="CT1281" s="8">
        <f t="shared" si="923"/>
        <v>0</v>
      </c>
      <c r="CU1281" s="8">
        <f t="shared" si="924"/>
        <v>0</v>
      </c>
      <c r="CV1281" s="8">
        <f t="shared" si="925"/>
        <v>0</v>
      </c>
    </row>
    <row r="1282" spans="1:100" ht="20.5" thickTop="1" thickBot="1" x14ac:dyDescent="0.5">
      <c r="A1282" s="32"/>
      <c r="B1282" s="10"/>
      <c r="C1282" s="10"/>
      <c r="D1282" s="11"/>
      <c r="E1282" s="10"/>
      <c r="F1282" s="10"/>
      <c r="G1282" s="19"/>
      <c r="H1282" s="19"/>
      <c r="I1282" s="19"/>
      <c r="J1282" s="19"/>
      <c r="K1282" s="10"/>
      <c r="L1282" s="10"/>
      <c r="M1282" s="10"/>
      <c r="N1282" s="10"/>
      <c r="O1282" s="18"/>
      <c r="P1282" s="18"/>
      <c r="Q1282" s="21"/>
      <c r="R1282" s="20"/>
      <c r="S1282" s="16">
        <f t="shared" si="881"/>
        <v>0</v>
      </c>
      <c r="T1282" s="11"/>
      <c r="AS1282" s="31">
        <f t="shared" si="882"/>
        <v>0</v>
      </c>
      <c r="AT1282" s="31">
        <f t="shared" si="883"/>
        <v>0</v>
      </c>
      <c r="AU1282" s="31">
        <f t="shared" si="884"/>
        <v>0</v>
      </c>
      <c r="AV1282" s="31">
        <f t="shared" si="885"/>
        <v>0</v>
      </c>
      <c r="AW1282" s="31">
        <f t="shared" si="886"/>
        <v>0</v>
      </c>
      <c r="AX1282" s="31">
        <f t="shared" si="887"/>
        <v>0</v>
      </c>
      <c r="AY1282" s="31">
        <f t="shared" si="888"/>
        <v>0</v>
      </c>
      <c r="AZ1282" s="31">
        <f t="shared" si="889"/>
        <v>0</v>
      </c>
      <c r="BA1282" s="31">
        <f t="shared" si="890"/>
        <v>0</v>
      </c>
      <c r="BB1282" s="31">
        <f t="shared" si="919"/>
        <v>0</v>
      </c>
      <c r="BM1282" s="8">
        <f t="shared" si="920"/>
        <v>0</v>
      </c>
      <c r="BN1282" s="8">
        <f t="shared" si="891"/>
        <v>0</v>
      </c>
      <c r="BO1282" s="8">
        <f t="shared" si="892"/>
        <v>0</v>
      </c>
      <c r="BQ1282" s="8">
        <f t="shared" si="893"/>
        <v>0</v>
      </c>
      <c r="BR1282" s="63">
        <f t="shared" si="894"/>
        <v>0</v>
      </c>
      <c r="BS1282" s="63">
        <f t="shared" si="921"/>
        <v>0</v>
      </c>
      <c r="BT1282" s="63">
        <f t="shared" si="895"/>
        <v>0</v>
      </c>
      <c r="BU1282" s="63">
        <f t="shared" si="896"/>
        <v>0</v>
      </c>
      <c r="BV1282" s="57">
        <f t="shared" si="897"/>
        <v>0</v>
      </c>
      <c r="BW1282" s="57">
        <f t="shared" si="898"/>
        <v>0</v>
      </c>
      <c r="BX1282" s="57">
        <f t="shared" si="922"/>
        <v>0</v>
      </c>
      <c r="BY1282" s="57">
        <f t="shared" si="926"/>
        <v>0</v>
      </c>
      <c r="BZ1282" s="8">
        <f t="shared" si="899"/>
        <v>0</v>
      </c>
      <c r="CA1282" s="8">
        <f t="shared" si="900"/>
        <v>0</v>
      </c>
      <c r="CB1282" s="8">
        <f t="shared" si="901"/>
        <v>0</v>
      </c>
      <c r="CC1282" s="8">
        <f t="shared" si="902"/>
        <v>0</v>
      </c>
      <c r="CD1282" s="8">
        <f t="shared" si="903"/>
        <v>0</v>
      </c>
      <c r="CE1282" s="8">
        <f t="shared" si="904"/>
        <v>0</v>
      </c>
      <c r="CF1282" s="8">
        <f t="shared" si="905"/>
        <v>0</v>
      </c>
      <c r="CG1282" s="8">
        <f t="shared" si="906"/>
        <v>0</v>
      </c>
      <c r="CH1282" s="8">
        <f t="shared" si="907"/>
        <v>0</v>
      </c>
      <c r="CI1282" s="8">
        <f t="shared" si="908"/>
        <v>0</v>
      </c>
      <c r="CJ1282" s="8">
        <f t="shared" si="909"/>
        <v>0</v>
      </c>
      <c r="CK1282" s="8">
        <f t="shared" si="910"/>
        <v>0</v>
      </c>
      <c r="CL1282" s="8">
        <f t="shared" si="911"/>
        <v>0</v>
      </c>
      <c r="CM1282" s="8">
        <f t="shared" si="912"/>
        <v>0</v>
      </c>
      <c r="CN1282" s="8">
        <f t="shared" si="913"/>
        <v>0</v>
      </c>
      <c r="CO1282" s="8">
        <f t="shared" si="914"/>
        <v>0</v>
      </c>
      <c r="CP1282" s="8">
        <f t="shared" si="915"/>
        <v>0</v>
      </c>
      <c r="CQ1282" s="8">
        <f t="shared" si="916"/>
        <v>0</v>
      </c>
      <c r="CR1282" s="8">
        <f t="shared" si="917"/>
        <v>0</v>
      </c>
      <c r="CS1282" s="8">
        <f t="shared" si="918"/>
        <v>0</v>
      </c>
      <c r="CT1282" s="8">
        <f t="shared" si="923"/>
        <v>0</v>
      </c>
      <c r="CU1282" s="8">
        <f t="shared" si="924"/>
        <v>0</v>
      </c>
      <c r="CV1282" s="8">
        <f t="shared" si="925"/>
        <v>0</v>
      </c>
    </row>
    <row r="1283" spans="1:100" ht="20.5" thickTop="1" thickBot="1" x14ac:dyDescent="0.5">
      <c r="A1283" s="32"/>
      <c r="B1283" s="10"/>
      <c r="C1283" s="10"/>
      <c r="D1283" s="11"/>
      <c r="E1283" s="10"/>
      <c r="F1283" s="10"/>
      <c r="G1283" s="19"/>
      <c r="H1283" s="19"/>
      <c r="I1283" s="19"/>
      <c r="J1283" s="19"/>
      <c r="K1283" s="10"/>
      <c r="L1283" s="10"/>
      <c r="M1283" s="10"/>
      <c r="N1283" s="10"/>
      <c r="O1283" s="18"/>
      <c r="P1283" s="18"/>
      <c r="Q1283" s="21"/>
      <c r="R1283" s="20"/>
      <c r="S1283" s="16">
        <f t="shared" si="881"/>
        <v>0</v>
      </c>
      <c r="T1283" s="11"/>
      <c r="AS1283" s="31">
        <f t="shared" si="882"/>
        <v>0</v>
      </c>
      <c r="AT1283" s="31">
        <f t="shared" si="883"/>
        <v>0</v>
      </c>
      <c r="AU1283" s="31">
        <f t="shared" si="884"/>
        <v>0</v>
      </c>
      <c r="AV1283" s="31">
        <f t="shared" si="885"/>
        <v>0</v>
      </c>
      <c r="AW1283" s="31">
        <f t="shared" si="886"/>
        <v>0</v>
      </c>
      <c r="AX1283" s="31">
        <f t="shared" si="887"/>
        <v>0</v>
      </c>
      <c r="AY1283" s="31">
        <f t="shared" si="888"/>
        <v>0</v>
      </c>
      <c r="AZ1283" s="31">
        <f t="shared" si="889"/>
        <v>0</v>
      </c>
      <c r="BA1283" s="31">
        <f t="shared" si="890"/>
        <v>0</v>
      </c>
      <c r="BB1283" s="31">
        <f t="shared" si="919"/>
        <v>0</v>
      </c>
      <c r="BM1283" s="8">
        <f t="shared" si="920"/>
        <v>0</v>
      </c>
      <c r="BN1283" s="8">
        <f t="shared" si="891"/>
        <v>0</v>
      </c>
      <c r="BO1283" s="8">
        <f t="shared" si="892"/>
        <v>0</v>
      </c>
      <c r="BQ1283" s="8">
        <f t="shared" si="893"/>
        <v>0</v>
      </c>
      <c r="BR1283" s="63">
        <f t="shared" si="894"/>
        <v>0</v>
      </c>
      <c r="BS1283" s="63">
        <f t="shared" si="921"/>
        <v>0</v>
      </c>
      <c r="BT1283" s="63">
        <f t="shared" si="895"/>
        <v>0</v>
      </c>
      <c r="BU1283" s="63">
        <f t="shared" si="896"/>
        <v>0</v>
      </c>
      <c r="BV1283" s="57">
        <f t="shared" si="897"/>
        <v>0</v>
      </c>
      <c r="BW1283" s="57">
        <f t="shared" si="898"/>
        <v>0</v>
      </c>
      <c r="BX1283" s="57">
        <f t="shared" si="922"/>
        <v>0</v>
      </c>
      <c r="BY1283" s="57">
        <f t="shared" si="926"/>
        <v>0</v>
      </c>
      <c r="BZ1283" s="8">
        <f t="shared" si="899"/>
        <v>0</v>
      </c>
      <c r="CA1283" s="8">
        <f t="shared" si="900"/>
        <v>0</v>
      </c>
      <c r="CB1283" s="8">
        <f t="shared" si="901"/>
        <v>0</v>
      </c>
      <c r="CC1283" s="8">
        <f t="shared" si="902"/>
        <v>0</v>
      </c>
      <c r="CD1283" s="8">
        <f t="shared" si="903"/>
        <v>0</v>
      </c>
      <c r="CE1283" s="8">
        <f t="shared" si="904"/>
        <v>0</v>
      </c>
      <c r="CF1283" s="8">
        <f t="shared" si="905"/>
        <v>0</v>
      </c>
      <c r="CG1283" s="8">
        <f t="shared" si="906"/>
        <v>0</v>
      </c>
      <c r="CH1283" s="8">
        <f t="shared" si="907"/>
        <v>0</v>
      </c>
      <c r="CI1283" s="8">
        <f t="shared" si="908"/>
        <v>0</v>
      </c>
      <c r="CJ1283" s="8">
        <f t="shared" si="909"/>
        <v>0</v>
      </c>
      <c r="CK1283" s="8">
        <f t="shared" si="910"/>
        <v>0</v>
      </c>
      <c r="CL1283" s="8">
        <f t="shared" si="911"/>
        <v>0</v>
      </c>
      <c r="CM1283" s="8">
        <f t="shared" si="912"/>
        <v>0</v>
      </c>
      <c r="CN1283" s="8">
        <f t="shared" si="913"/>
        <v>0</v>
      </c>
      <c r="CO1283" s="8">
        <f t="shared" si="914"/>
        <v>0</v>
      </c>
      <c r="CP1283" s="8">
        <f t="shared" si="915"/>
        <v>0</v>
      </c>
      <c r="CQ1283" s="8">
        <f t="shared" si="916"/>
        <v>0</v>
      </c>
      <c r="CR1283" s="8">
        <f t="shared" si="917"/>
        <v>0</v>
      </c>
      <c r="CS1283" s="8">
        <f t="shared" si="918"/>
        <v>0</v>
      </c>
      <c r="CT1283" s="8">
        <f t="shared" si="923"/>
        <v>0</v>
      </c>
      <c r="CU1283" s="8">
        <f t="shared" si="924"/>
        <v>0</v>
      </c>
      <c r="CV1283" s="8">
        <f t="shared" si="925"/>
        <v>0</v>
      </c>
    </row>
    <row r="1284" spans="1:100" ht="20.5" thickTop="1" thickBot="1" x14ac:dyDescent="0.5">
      <c r="A1284" s="32"/>
      <c r="B1284" s="10"/>
      <c r="C1284" s="10"/>
      <c r="D1284" s="11"/>
      <c r="E1284" s="10"/>
      <c r="F1284" s="10"/>
      <c r="G1284" s="19"/>
      <c r="H1284" s="19"/>
      <c r="I1284" s="19"/>
      <c r="J1284" s="19"/>
      <c r="K1284" s="10"/>
      <c r="L1284" s="10"/>
      <c r="M1284" s="10"/>
      <c r="N1284" s="10"/>
      <c r="O1284" s="18"/>
      <c r="P1284" s="18"/>
      <c r="Q1284" s="21"/>
      <c r="R1284" s="20"/>
      <c r="S1284" s="16">
        <f t="shared" ref="S1284:S1347" si="927">IF(AND(K1284="asphalted",M1284="sub",BV1284&lt;=1,BV1284&gt;0),1+2*0.15,IF(AND(K1284="asphalted",OR(M1284="main",M1284="MOT"),BV1284&lt;=1,BV1284&gt;0),1+2*0.3,IF(AND(K1284="asphalted",M1284="sub",BV1284&gt;1),BV1284+2*0.15,IF(AND(K1284="asphalted",OR(M1284="main",M1284="MOT"),BV1284&gt;1),BV1284+2*0.3,0))))</f>
        <v>0</v>
      </c>
      <c r="T1284" s="11"/>
      <c r="AS1284" s="31">
        <f t="shared" ref="AS1284:AS1347" si="928">IF(F1284=1,0.4,IF(F1284&gt;1,F1284*0.3,0))</f>
        <v>0</v>
      </c>
      <c r="AT1284" s="31">
        <f t="shared" ref="AT1284:AT1347" si="929">IF(AND(G1284&lt;4,G1284&gt;0),0.4,IF(G1284&gt;3,0.4+(G1284-3)*0.1,0))</f>
        <v>0</v>
      </c>
      <c r="AU1284" s="31">
        <f t="shared" ref="AU1284:AU1347" si="930">AT1284-AS1284</f>
        <v>0</v>
      </c>
      <c r="AV1284" s="31">
        <f t="shared" ref="AV1284:AV1347" si="931">IF(AND(OR(OR(E1284="normal",E1284="special"),E1284="special"),F1284=0,G1284&gt;0,G1284&lt;5),"LV"&amp;G1284,IF(AND(OR(OR(E1284="normal",E1284="special"),E1284="special"),F1284=0,G1284&gt;4),"LVCU",IF(AND(OR(OR(E1284="normal",E1284="special"),E1284="special"),F1284&gt;4),"MVCU",IF(AND(OR(OR(E1284="normal",E1284="special"),E1284="special"),F1284&gt;0,F1284&lt;5),"MV"&amp;F1284,IF(AND(E1284="mini-trench",F1284=1),"mini-trench MV",IF(AND(E1284="mini-trench",G1284&lt;3,G1284&lt;&gt;0),"mini-trench LV",0))))))</f>
        <v>0</v>
      </c>
      <c r="AW1284" s="31">
        <f t="shared" ref="AW1284:AW1347" si="932">IF(B1284="joint",F1284,0)+IF(C1284="joint",F1284,0)+IF(OR(B1284="new ss",B1284="ss"),F1284*3)+IF(B1284="pole",F1284*10)+IF(OR(C1284="new ss",C1284="ss"),F1284*3)+IF(C1284="pole",F1284*10)+IF(B1284="grid",F1284*30)+IF(C1284="grid",F1284*30)</f>
        <v>0</v>
      </c>
      <c r="AX1284" s="31">
        <f t="shared" ref="AX1284:AX1347" si="933">IF(J1284&gt;0,IF(OR(B1284="ss",C1284="ss"),J1284*3,0)+IF(OR(B1284="new ss",C1284="new ss"),J1284*3,0)+IF(OR(B1284="DC",C1284="DC"),J1284*1.5,0)+IF(OR(B1284="new DC",C1284="new DC"),J1284*1.5,0)+IF(OR(B1284="MB",C1284="MB"),J1284*2,0)+IF(OR(B1284="pole",C1284="pole"),J1284*10,0),0)</f>
        <v>0</v>
      </c>
      <c r="AY1284" s="31">
        <f t="shared" ref="AY1284:AY1347" si="934">IF(I1284&gt;0,IF(OR(B1284="ss",C1284="ss"),I1284*3,0)+IF(OR(B1284="new ss",C1284="new ss"),I1284*3,0)+IF(OR(B1284="DC",C1284="DC"),I1284*1.5,0)+IF(OR(B1284="new DC",C1284="new DC"),J1284*1.5,0)+IF(OR(B1284="MB",C1284="MB"),I1284*2,0)+IF(OR(B1284="pole",C1284="pole"),I1284*10,0),0)</f>
        <v>0</v>
      </c>
      <c r="AZ1284" s="31">
        <f t="shared" ref="AZ1284:AZ1347" si="935">IF(H1284&gt;0,IF(OR(B1284="ss",C1284="ss"),H1284*3,0)+IF(OR(B1284="new ss",C1284="new ss"),H1284*3,0)+IF(OR(B1284="DC",C1284="DC"),H1284*2,0)+IF(OR(B1284="new DC",C1284="new DC"),H1284*1.5,0)+IF(OR(B1284="MB",C1284="MB"),H1284*2,0)+IF(OR(B1284="pole",C1284="pole"),H1284*10,0)+IF(OR(B1284="pole",C1284="pole"),H1284*10,0),0)</f>
        <v>0</v>
      </c>
      <c r="BA1284" s="31">
        <f t="shared" ref="BA1284:BA1347" si="936">IF(E1284="manual",IF(AU1284&lt;0,D1284*AS1284*0.8,IF(AND(AS1284&gt;0,AU1284&gt;0),D1284*AS1284*0.8+D1284*AU1284*0.65,IF(AND(AS1284=0,AT1284&gt;0),D1284*AT1284*0.65,0))),0)</f>
        <v>0</v>
      </c>
      <c r="BB1284" s="31">
        <f t="shared" si="919"/>
        <v>0</v>
      </c>
      <c r="BM1284" s="8">
        <f t="shared" si="920"/>
        <v>0</v>
      </c>
      <c r="BN1284" s="8">
        <f t="shared" ref="BN1284:BN1347" si="937">IFERROR(IF(AND(K1284="asphalted",E1284="mini-trench",R1284=""),1*D1284,IF(AND(K1284="asphalted",R1284&gt;0,MandRcalc="Complete M&amp;R area"),R1284*D1284,IF(AND(K1284="asphalted",R1284&gt;0,MandRcalc="M&amp;R area - asphalting area"),(R1284-BR1284/D1284)*D1284,0))),0)</f>
        <v>0</v>
      </c>
      <c r="BO1284" s="8">
        <f t="shared" ref="BO1284:BO1347" si="938">IF(BQ1284&lt;MINEXCNA,0,IF(AND(E1284="normal",F1284&lt;5,G1284&lt;12,K1284&lt;&gt;"asphalted",AT1284&gt;AS1284,AS1284&lt;&gt;0),(BQ1284-AT1284)*0.65,IF(AND(E1284="normal",F1284&lt;5,G1284&lt;12,K1284&lt;&gt;"asphalted",AS1284&gt;=AT1284),(BQ1284-AS1284)*0.8,IF(AND(E1284="normal",F1284&lt;5,G1284&lt;12,K1284&lt;&gt;"asphalted",AT1284&gt;0,AS1284=0),(BQ1284-AT1284)*0.65,0)))*D1284)</f>
        <v>0</v>
      </c>
      <c r="BQ1284" s="8">
        <f t="shared" ref="BQ1284:BQ1347" si="939">IF(E1284="special",O1284,IF(AND(OR(E1284="normal",E1284="manual"),O1284="",K1284="asphalted",BV1284&lt;=MINEXC),MINEXC,IF(AND(OR(E1284="normal",E1284="manual"),O1284&lt;&gt;"",K1284="asphalted"),MIN(O1284,BV1284),IF(AND(OR(E1284="normal",E1284="manual"),O1284="",K1284&lt;&gt;"asphalted",BV1284&lt;=MINEXCNA),MINEXCNA,IF(AND(OR(E1284="normal",E1284="manual"),O1284&lt;&gt;"",K1284&lt;&gt;"asphalted"),MIN(O1284,BV1284),BV1284)))))</f>
        <v>0</v>
      </c>
      <c r="BR1284" s="63">
        <f t="shared" ref="BR1284:BR1347" si="940">IFERROR(IF(AND(E1284&lt;&gt;"mini-trecnh",K1284="asphalted",Q1284&lt;&gt;"",S1284=0),D1284*Q1284,IF(AND(E1284&lt;&gt;"mini-trecnh",K1284="asphalted",Q1284&lt;&gt;"",S1284&lt;&gt;0),D1284*MIN(Q1284,S1284),IF(AND(E1284&lt;&gt;"mini-trecnh",K1284="asphalted",Q1284=""),D1284*S1284,0))),0)</f>
        <v>0</v>
      </c>
      <c r="BS1284" s="63">
        <f t="shared" si="921"/>
        <v>0</v>
      </c>
      <c r="BT1284" s="63">
        <f t="shared" ref="BT1284:BT1347" si="941">IF(BQ1284&lt;MINEXC,0,IF(AND(E1284="normal",F1284&lt;5,G1284&lt;12,K1284="asphalted",AT1284&gt;AS1284,AS1284&lt;&gt;0),(BQ1284-AT1284)*0.65,IF(AND(E1284="normal",F1284&lt;5,G1284&lt;12,K1284="asphalted",AS1284&gt;=AT1284),(BQ1284-AS1284)*0.8,IF(AND(E1284="normal",F1284&lt;5,G1284&lt;12,K1284="asphalted",AT1284&gt;0,AS1284=0),(BQ1284-AT1284)*0.65,0)))*D1284)</f>
        <v>0</v>
      </c>
      <c r="BU1284" s="63">
        <f t="shared" ref="BU1284:BU1347" si="942">IF(E1284="",0,IF(OR(BT1284&gt;0,BO1284&gt;0),0,IF(AND(F1284&gt;4,G1284=0),(BQ1284-1.2)*D1284*0.8,IF(AND(G1284&gt;4,F1284=0),(BQ1284-0.4)*D1284*0.65,IF(OR(AND(G1284&gt;4,F1284&gt;0),AND(F1284&gt;4,G1284&gt;0)),(IF(AS1284&gt;1.2,(AS1284-1.2)*D1284*0.8,0)+IF(AT1284&gt;AS1284,(AT1284-AS1284)*D1284*0.65,0)),0)))))</f>
        <v>0</v>
      </c>
      <c r="BV1284" s="57">
        <f t="shared" ref="BV1284:BV1347" si="943">IF(AND(E1284&lt;&gt;"mini-trench",E1284&lt;&gt;"special"),MAX(AS1284:AT1284),0)</f>
        <v>0</v>
      </c>
      <c r="BW1284" s="57">
        <f t="shared" ref="BW1284:BW1347" si="944">IF(AND(E1284&lt;&gt;"mini-trench",E1284&lt;&gt;"special",BV1284&gt;0,BV1284&lt;1,K1284="asphalted"),IF(O1284&lt;&gt;"",MIN(O1284,1),1),IF(AND(E1284&lt;&gt;"mini-trench",E1284&lt;&gt;"special",BV1284&gt;0,BV1284&gt;1,K1284="asphalted"),BV1284,0))</f>
        <v>0</v>
      </c>
      <c r="BX1284" s="57">
        <f t="shared" si="922"/>
        <v>0</v>
      </c>
      <c r="BY1284" s="57">
        <f t="shared" si="926"/>
        <v>0</v>
      </c>
      <c r="BZ1284" s="8">
        <f t="shared" ref="BZ1284:BZ1347" si="945">IF(E1284="special",O1284*P1284*D1284-D1284*IF(AV1284="MV1",0.8*0.4,IF(AV1284="MV2",0.8*0.6,IF(AV1284="MV3",0.8*0.9,IF(OR(AV1284="MV4",AV1284="MVCU"),0.8*1.2,IF(AV1284="LV1-3",0.65*0.4,IF(OR(AV1284="LV4",AV1284="LVCU"),0.65*0.5)))))),0)</f>
        <v>0</v>
      </c>
      <c r="CA1284" s="8">
        <f t="shared" ref="CA1284:CA1347" si="946">IF(AND(E1284&lt;&gt;"special",K1284="Paved interlock"),D1284*BV1284,IF(AND(E1284="special",K1284="Paved interlock"),D1284*O1284,0))</f>
        <v>0</v>
      </c>
      <c r="CB1284" s="8">
        <f t="shared" ref="CB1284:CB1347" si="947">IF(AND(E1284&lt;&gt;"special",K1284="Paved conc.tiles"),D1284*BV1284,IF(AND(E1284="special",K1284="Paved conc.tiles"),D1284*O1284,0))</f>
        <v>0</v>
      </c>
      <c r="CC1284" s="8">
        <f t="shared" ref="CC1284:CC1347" si="948">IF(AND(E1284="special",K1284="asphalted"),D1284*Q1284,0)</f>
        <v>0</v>
      </c>
      <c r="CD1284" s="8">
        <f t="shared" ref="CD1284:CD1347" si="949">IF(OR(K1284="Paved interlock",K1284="Paved conc.tiles"),1,0)</f>
        <v>0</v>
      </c>
      <c r="CE1284" s="8">
        <f t="shared" ref="CE1284:CE1347" si="950">IFERROR(BR1284/D1284,0)</f>
        <v>0</v>
      </c>
      <c r="CF1284" s="8">
        <f t="shared" ref="CF1284:CF1347" si="951">IF(AND(F1284&gt;0,B1284="j transition"),F1284,0)+IF(AND(F1284&gt;0,C1284="j transition"),F1284,0)</f>
        <v>0</v>
      </c>
      <c r="CG1284" s="8">
        <f t="shared" ref="CG1284:CG1347" si="952">IF(AND(F1284&gt;0,OR(B1284="grid",B1284="ss",B1284="pole",B1284="new ss")),F1284,0)+IF(AND(F1284&gt;0,OR(C1284="grid",C1284="ss",C1284="pole",C1284="new ss")),F1284,0)</f>
        <v>0</v>
      </c>
      <c r="CH1284" s="8">
        <f t="shared" ref="CH1284:CH1347" si="953">IF(AND(F1284&gt;0,B1284="joint"),F1284,0)+IF(AND(F1284&gt;0,C1284="joint"),F1284,0)+IF(AND(F1284&gt;0,B1284="j transition"),F1284,0)+IF(AND(F1284&gt;0,C1284="j transition"),F1284,0)</f>
        <v>0</v>
      </c>
      <c r="CI1284" s="8">
        <f t="shared" ref="CI1284:CI1347" si="954">IF(AND(H1284&gt;0,B1284="joint"),H1284,0)+IF(AND(H1284&gt;0,C1284="joint"),H1284,0)</f>
        <v>0</v>
      </c>
      <c r="CJ1284" s="8">
        <f t="shared" ref="CJ1284:CJ1347" si="955">IF(AND(I1284&gt;0,B1284="joint"),I1284,0)+IF(AND(I1284&gt;0,C1284="joint"),I1284,0)</f>
        <v>0</v>
      </c>
      <c r="CK1284" s="8">
        <f t="shared" ref="CK1284:CK1347" si="956">IF(AND(J1284&gt;0,B1284="joint"),J1284,0)+IF(AND(J1284&gt;0,C1284="joint"),J1284,0)</f>
        <v>0</v>
      </c>
      <c r="CL1284" s="8">
        <f t="shared" ref="CL1284:CL1347" si="957">IF(AND(H1284&gt;0,OR(B1284="ss",B1284="new ss",B1284="DC",B1284="new DC")),H1284,0)+IF(AND(H1284&gt;0,OR(C1284="new ss",C1284="ss",C1284="DC",C1284="new DC")),H1284,0)</f>
        <v>0</v>
      </c>
      <c r="CM1284" s="8">
        <f t="shared" ref="CM1284:CM1347" si="958">CO1284+CP1284</f>
        <v>0</v>
      </c>
      <c r="CN1284" s="8">
        <f t="shared" ref="CN1284:CN1347" si="959">IF(OR(B1284="new DC",C1284="new DC"),H1284,0)</f>
        <v>0</v>
      </c>
      <c r="CO1284" s="8">
        <f t="shared" ref="CO1284:CO1347" si="960">IF(AND(J1284&gt;0,OR(B1284="ss",B1284="new ss",B1284="DC",B1284="new DC")),J1284,0)+IF(AND(J1284&gt;0,OR(C1284="new ss",C1284="ss",C1284="DC",C1284="new DC")),J1284,0)</f>
        <v>0</v>
      </c>
      <c r="CP1284" s="8">
        <f t="shared" ref="CP1284:CP1347" si="961">IF(AND(I1284&gt;0,OR(B1284="ss",B1284="new ss",B1284="DC",B1284="new DC")),I1284,0)+IF(AND(I1284&gt;0,OR(C1284="new ss",C1284="ss",C1284="DC",C1284="new DC")),I1284,0)</f>
        <v>0</v>
      </c>
      <c r="CQ1284" s="8">
        <f t="shared" ref="CQ1284:CQ1347" si="962">IF(AND(F1284&gt;0,OR(B1284="ss",B1284="new ss")),F1284,0)+IF(AND(F1284&gt;0,OR(C1284="ss",C1284="new ss")),F1284,0)</f>
        <v>0</v>
      </c>
      <c r="CR1284" s="8">
        <f t="shared" ref="CR1284:CR1347" si="963">IF(AND(F1284&gt;0,OR(B1284="grid")),F1284,0)+IF(AND(F1284&gt;0,OR(C1284="grid")),F1284,0)</f>
        <v>0</v>
      </c>
      <c r="CS1284" s="8">
        <f t="shared" ref="CS1284:CS1347" si="964">IF(AND(F1284&gt;0,OR(B1284="pole")),F1284,0)+IF(AND(F1284&gt;0,OR(C1284="pole")),F1284,0)</f>
        <v>0</v>
      </c>
      <c r="CT1284" s="8">
        <f t="shared" si="923"/>
        <v>0</v>
      </c>
      <c r="CU1284" s="8">
        <f t="shared" si="924"/>
        <v>0</v>
      </c>
      <c r="CV1284" s="8">
        <f t="shared" si="925"/>
        <v>0</v>
      </c>
    </row>
    <row r="1285" spans="1:100" ht="20.5" thickTop="1" thickBot="1" x14ac:dyDescent="0.5">
      <c r="A1285" s="32"/>
      <c r="B1285" s="10"/>
      <c r="C1285" s="10"/>
      <c r="D1285" s="11"/>
      <c r="E1285" s="10"/>
      <c r="F1285" s="10"/>
      <c r="G1285" s="19"/>
      <c r="H1285" s="19"/>
      <c r="I1285" s="19"/>
      <c r="J1285" s="19"/>
      <c r="K1285" s="10"/>
      <c r="L1285" s="10"/>
      <c r="M1285" s="10"/>
      <c r="N1285" s="10"/>
      <c r="O1285" s="18"/>
      <c r="P1285" s="18"/>
      <c r="Q1285" s="21"/>
      <c r="R1285" s="20"/>
      <c r="S1285" s="16">
        <f t="shared" si="927"/>
        <v>0</v>
      </c>
      <c r="T1285" s="11"/>
      <c r="AS1285" s="31">
        <f t="shared" si="928"/>
        <v>0</v>
      </c>
      <c r="AT1285" s="31">
        <f t="shared" si="929"/>
        <v>0</v>
      </c>
      <c r="AU1285" s="31">
        <f t="shared" si="930"/>
        <v>0</v>
      </c>
      <c r="AV1285" s="31">
        <f t="shared" si="931"/>
        <v>0</v>
      </c>
      <c r="AW1285" s="31">
        <f t="shared" si="932"/>
        <v>0</v>
      </c>
      <c r="AX1285" s="31">
        <f t="shared" si="933"/>
        <v>0</v>
      </c>
      <c r="AY1285" s="31">
        <f t="shared" si="934"/>
        <v>0</v>
      </c>
      <c r="AZ1285" s="31">
        <f t="shared" si="935"/>
        <v>0</v>
      </c>
      <c r="BA1285" s="31">
        <f t="shared" si="936"/>
        <v>0</v>
      </c>
      <c r="BB1285" s="31">
        <f t="shared" ref="BB1285:BB1348" si="965">IFERROR(IF(BN1285&gt;0,0,IF(AND(E1285="normal",(BR1285/D1285)&gt;1),BR1285,0)),0)</f>
        <v>0</v>
      </c>
      <c r="BM1285" s="8">
        <f t="shared" ref="BM1285:BM1348" si="966">IF(AND(E1285&lt;&gt;"special",K1285="Concrete"),D1285*BV1285,IF(AND(E1285="special",K1285="Concrete"),D1285*O1285,0))</f>
        <v>0</v>
      </c>
      <c r="BN1285" s="8">
        <f t="shared" si="937"/>
        <v>0</v>
      </c>
      <c r="BO1285" s="8">
        <f t="shared" si="938"/>
        <v>0</v>
      </c>
      <c r="BQ1285" s="8">
        <f t="shared" si="939"/>
        <v>0</v>
      </c>
      <c r="BR1285" s="63">
        <f t="shared" si="940"/>
        <v>0</v>
      </c>
      <c r="BS1285" s="63">
        <f t="shared" ref="BS1285:BS1348" si="967">BN1285 + IF(BN1285&gt;0,IF(R1284=0, R1285, 0) + IF(R1286=0, R1285, 0),0)</f>
        <v>0</v>
      </c>
      <c r="BT1285" s="63">
        <f t="shared" si="941"/>
        <v>0</v>
      </c>
      <c r="BU1285" s="63">
        <f t="shared" si="942"/>
        <v>0</v>
      </c>
      <c r="BV1285" s="57">
        <f t="shared" si="943"/>
        <v>0</v>
      </c>
      <c r="BW1285" s="57">
        <f t="shared" si="944"/>
        <v>0</v>
      </c>
      <c r="BX1285" s="57">
        <f t="shared" ref="BX1285:BX1348" si="968">IF(AND(R1285&gt;0,MandRcalc="Asphalting then M&amp;R"),R1285*D1285,IF(AND(R1285&gt;0,MandRcalc="Milling then Repaving"),(R1285-BR1285)*D1285,0))</f>
        <v>0</v>
      </c>
      <c r="BY1285" s="57">
        <f t="shared" si="926"/>
        <v>0</v>
      </c>
      <c r="BZ1285" s="8">
        <f t="shared" si="945"/>
        <v>0</v>
      </c>
      <c r="CA1285" s="8">
        <f t="shared" si="946"/>
        <v>0</v>
      </c>
      <c r="CB1285" s="8">
        <f t="shared" si="947"/>
        <v>0</v>
      </c>
      <c r="CC1285" s="8">
        <f t="shared" si="948"/>
        <v>0</v>
      </c>
      <c r="CD1285" s="8">
        <f t="shared" si="949"/>
        <v>0</v>
      </c>
      <c r="CE1285" s="8">
        <f t="shared" si="950"/>
        <v>0</v>
      </c>
      <c r="CF1285" s="8">
        <f t="shared" si="951"/>
        <v>0</v>
      </c>
      <c r="CG1285" s="8">
        <f t="shared" si="952"/>
        <v>0</v>
      </c>
      <c r="CH1285" s="8">
        <f t="shared" si="953"/>
        <v>0</v>
      </c>
      <c r="CI1285" s="8">
        <f t="shared" si="954"/>
        <v>0</v>
      </c>
      <c r="CJ1285" s="8">
        <f t="shared" si="955"/>
        <v>0</v>
      </c>
      <c r="CK1285" s="8">
        <f t="shared" si="956"/>
        <v>0</v>
      </c>
      <c r="CL1285" s="8">
        <f t="shared" si="957"/>
        <v>0</v>
      </c>
      <c r="CM1285" s="8">
        <f t="shared" si="958"/>
        <v>0</v>
      </c>
      <c r="CN1285" s="8">
        <f t="shared" si="959"/>
        <v>0</v>
      </c>
      <c r="CO1285" s="8">
        <f t="shared" si="960"/>
        <v>0</v>
      </c>
      <c r="CP1285" s="8">
        <f t="shared" si="961"/>
        <v>0</v>
      </c>
      <c r="CQ1285" s="8">
        <f t="shared" si="962"/>
        <v>0</v>
      </c>
      <c r="CR1285" s="8">
        <f t="shared" si="963"/>
        <v>0</v>
      </c>
      <c r="CS1285" s="8">
        <f t="shared" si="964"/>
        <v>0</v>
      </c>
      <c r="CT1285" s="8">
        <f t="shared" si="923"/>
        <v>0</v>
      </c>
      <c r="CU1285" s="8">
        <f t="shared" si="924"/>
        <v>0</v>
      </c>
      <c r="CV1285" s="8">
        <f t="shared" si="925"/>
        <v>0</v>
      </c>
    </row>
    <row r="1286" spans="1:100" ht="20.5" thickTop="1" thickBot="1" x14ac:dyDescent="0.5">
      <c r="A1286" s="32"/>
      <c r="B1286" s="10"/>
      <c r="C1286" s="10"/>
      <c r="D1286" s="11"/>
      <c r="E1286" s="10"/>
      <c r="F1286" s="10"/>
      <c r="G1286" s="19"/>
      <c r="H1286" s="19"/>
      <c r="I1286" s="19"/>
      <c r="J1286" s="19"/>
      <c r="K1286" s="10"/>
      <c r="L1286" s="10"/>
      <c r="M1286" s="10"/>
      <c r="N1286" s="10"/>
      <c r="O1286" s="18"/>
      <c r="P1286" s="18"/>
      <c r="Q1286" s="21"/>
      <c r="R1286" s="20"/>
      <c r="S1286" s="16">
        <f t="shared" si="927"/>
        <v>0</v>
      </c>
      <c r="T1286" s="11"/>
      <c r="AS1286" s="31">
        <f t="shared" si="928"/>
        <v>0</v>
      </c>
      <c r="AT1286" s="31">
        <f t="shared" si="929"/>
        <v>0</v>
      </c>
      <c r="AU1286" s="31">
        <f t="shared" si="930"/>
        <v>0</v>
      </c>
      <c r="AV1286" s="31">
        <f t="shared" si="931"/>
        <v>0</v>
      </c>
      <c r="AW1286" s="31">
        <f t="shared" si="932"/>
        <v>0</v>
      </c>
      <c r="AX1286" s="31">
        <f t="shared" si="933"/>
        <v>0</v>
      </c>
      <c r="AY1286" s="31">
        <f t="shared" si="934"/>
        <v>0</v>
      </c>
      <c r="AZ1286" s="31">
        <f t="shared" si="935"/>
        <v>0</v>
      </c>
      <c r="BA1286" s="31">
        <f t="shared" si="936"/>
        <v>0</v>
      </c>
      <c r="BB1286" s="31">
        <f t="shared" si="965"/>
        <v>0</v>
      </c>
      <c r="BM1286" s="8">
        <f t="shared" si="966"/>
        <v>0</v>
      </c>
      <c r="BN1286" s="8">
        <f t="shared" si="937"/>
        <v>0</v>
      </c>
      <c r="BO1286" s="8">
        <f t="shared" si="938"/>
        <v>0</v>
      </c>
      <c r="BQ1286" s="8">
        <f t="shared" si="939"/>
        <v>0</v>
      </c>
      <c r="BR1286" s="63">
        <f t="shared" si="940"/>
        <v>0</v>
      </c>
      <c r="BS1286" s="63">
        <f t="shared" si="967"/>
        <v>0</v>
      </c>
      <c r="BT1286" s="63">
        <f t="shared" si="941"/>
        <v>0</v>
      </c>
      <c r="BU1286" s="63">
        <f t="shared" si="942"/>
        <v>0</v>
      </c>
      <c r="BV1286" s="57">
        <f t="shared" si="943"/>
        <v>0</v>
      </c>
      <c r="BW1286" s="57">
        <f t="shared" si="944"/>
        <v>0</v>
      </c>
      <c r="BX1286" s="57">
        <f t="shared" si="968"/>
        <v>0</v>
      </c>
      <c r="BY1286" s="57">
        <f t="shared" si="926"/>
        <v>0</v>
      </c>
      <c r="BZ1286" s="8">
        <f t="shared" si="945"/>
        <v>0</v>
      </c>
      <c r="CA1286" s="8">
        <f t="shared" si="946"/>
        <v>0</v>
      </c>
      <c r="CB1286" s="8">
        <f t="shared" si="947"/>
        <v>0</v>
      </c>
      <c r="CC1286" s="8">
        <f t="shared" si="948"/>
        <v>0</v>
      </c>
      <c r="CD1286" s="8">
        <f t="shared" si="949"/>
        <v>0</v>
      </c>
      <c r="CE1286" s="8">
        <f t="shared" si="950"/>
        <v>0</v>
      </c>
      <c r="CF1286" s="8">
        <f t="shared" si="951"/>
        <v>0</v>
      </c>
      <c r="CG1286" s="8">
        <f t="shared" si="952"/>
        <v>0</v>
      </c>
      <c r="CH1286" s="8">
        <f t="shared" si="953"/>
        <v>0</v>
      </c>
      <c r="CI1286" s="8">
        <f t="shared" si="954"/>
        <v>0</v>
      </c>
      <c r="CJ1286" s="8">
        <f t="shared" si="955"/>
        <v>0</v>
      </c>
      <c r="CK1286" s="8">
        <f t="shared" si="956"/>
        <v>0</v>
      </c>
      <c r="CL1286" s="8">
        <f t="shared" si="957"/>
        <v>0</v>
      </c>
      <c r="CM1286" s="8">
        <f t="shared" si="958"/>
        <v>0</v>
      </c>
      <c r="CN1286" s="8">
        <f t="shared" si="959"/>
        <v>0</v>
      </c>
      <c r="CO1286" s="8">
        <f t="shared" si="960"/>
        <v>0</v>
      </c>
      <c r="CP1286" s="8">
        <f t="shared" si="961"/>
        <v>0</v>
      </c>
      <c r="CQ1286" s="8">
        <f t="shared" si="962"/>
        <v>0</v>
      </c>
      <c r="CR1286" s="8">
        <f t="shared" si="963"/>
        <v>0</v>
      </c>
      <c r="CS1286" s="8">
        <f t="shared" si="964"/>
        <v>0</v>
      </c>
      <c r="CT1286" s="8">
        <f t="shared" si="923"/>
        <v>0</v>
      </c>
      <c r="CU1286" s="8">
        <f t="shared" si="924"/>
        <v>0</v>
      </c>
      <c r="CV1286" s="8">
        <f t="shared" si="925"/>
        <v>0</v>
      </c>
    </row>
    <row r="1287" spans="1:100" ht="20.5" thickTop="1" thickBot="1" x14ac:dyDescent="0.5">
      <c r="A1287" s="32"/>
      <c r="B1287" s="10"/>
      <c r="C1287" s="10"/>
      <c r="D1287" s="11"/>
      <c r="E1287" s="10"/>
      <c r="F1287" s="10"/>
      <c r="G1287" s="19"/>
      <c r="H1287" s="19"/>
      <c r="I1287" s="19"/>
      <c r="J1287" s="19"/>
      <c r="K1287" s="10"/>
      <c r="L1287" s="10"/>
      <c r="M1287" s="10"/>
      <c r="N1287" s="10"/>
      <c r="O1287" s="18"/>
      <c r="P1287" s="18"/>
      <c r="Q1287" s="21"/>
      <c r="R1287" s="20"/>
      <c r="S1287" s="16">
        <f t="shared" si="927"/>
        <v>0</v>
      </c>
      <c r="T1287" s="11"/>
      <c r="AS1287" s="31">
        <f t="shared" si="928"/>
        <v>0</v>
      </c>
      <c r="AT1287" s="31">
        <f t="shared" si="929"/>
        <v>0</v>
      </c>
      <c r="AU1287" s="31">
        <f t="shared" si="930"/>
        <v>0</v>
      </c>
      <c r="AV1287" s="31">
        <f t="shared" si="931"/>
        <v>0</v>
      </c>
      <c r="AW1287" s="31">
        <f t="shared" si="932"/>
        <v>0</v>
      </c>
      <c r="AX1287" s="31">
        <f t="shared" si="933"/>
        <v>0</v>
      </c>
      <c r="AY1287" s="31">
        <f t="shared" si="934"/>
        <v>0</v>
      </c>
      <c r="AZ1287" s="31">
        <f t="shared" si="935"/>
        <v>0</v>
      </c>
      <c r="BA1287" s="31">
        <f t="shared" si="936"/>
        <v>0</v>
      </c>
      <c r="BB1287" s="31">
        <f t="shared" si="965"/>
        <v>0</v>
      </c>
      <c r="BM1287" s="8">
        <f t="shared" si="966"/>
        <v>0</v>
      </c>
      <c r="BN1287" s="8">
        <f t="shared" si="937"/>
        <v>0</v>
      </c>
      <c r="BO1287" s="8">
        <f t="shared" si="938"/>
        <v>0</v>
      </c>
      <c r="BQ1287" s="8">
        <f t="shared" si="939"/>
        <v>0</v>
      </c>
      <c r="BR1287" s="63">
        <f t="shared" si="940"/>
        <v>0</v>
      </c>
      <c r="BS1287" s="63">
        <f t="shared" si="967"/>
        <v>0</v>
      </c>
      <c r="BT1287" s="63">
        <f t="shared" si="941"/>
        <v>0</v>
      </c>
      <c r="BU1287" s="63">
        <f t="shared" si="942"/>
        <v>0</v>
      </c>
      <c r="BV1287" s="57">
        <f t="shared" si="943"/>
        <v>0</v>
      </c>
      <c r="BW1287" s="57">
        <f t="shared" si="944"/>
        <v>0</v>
      </c>
      <c r="BX1287" s="57">
        <f t="shared" si="968"/>
        <v>0</v>
      </c>
      <c r="BY1287" s="57">
        <f t="shared" si="926"/>
        <v>0</v>
      </c>
      <c r="BZ1287" s="8">
        <f t="shared" si="945"/>
        <v>0</v>
      </c>
      <c r="CA1287" s="8">
        <f t="shared" si="946"/>
        <v>0</v>
      </c>
      <c r="CB1287" s="8">
        <f t="shared" si="947"/>
        <v>0</v>
      </c>
      <c r="CC1287" s="8">
        <f t="shared" si="948"/>
        <v>0</v>
      </c>
      <c r="CD1287" s="8">
        <f t="shared" si="949"/>
        <v>0</v>
      </c>
      <c r="CE1287" s="8">
        <f t="shared" si="950"/>
        <v>0</v>
      </c>
      <c r="CF1287" s="8">
        <f t="shared" si="951"/>
        <v>0</v>
      </c>
      <c r="CG1287" s="8">
        <f t="shared" si="952"/>
        <v>0</v>
      </c>
      <c r="CH1287" s="8">
        <f t="shared" si="953"/>
        <v>0</v>
      </c>
      <c r="CI1287" s="8">
        <f t="shared" si="954"/>
        <v>0</v>
      </c>
      <c r="CJ1287" s="8">
        <f t="shared" si="955"/>
        <v>0</v>
      </c>
      <c r="CK1287" s="8">
        <f t="shared" si="956"/>
        <v>0</v>
      </c>
      <c r="CL1287" s="8">
        <f t="shared" si="957"/>
        <v>0</v>
      </c>
      <c r="CM1287" s="8">
        <f t="shared" si="958"/>
        <v>0</v>
      </c>
      <c r="CN1287" s="8">
        <f t="shared" si="959"/>
        <v>0</v>
      </c>
      <c r="CO1287" s="8">
        <f t="shared" si="960"/>
        <v>0</v>
      </c>
      <c r="CP1287" s="8">
        <f t="shared" si="961"/>
        <v>0</v>
      </c>
      <c r="CQ1287" s="8">
        <f t="shared" si="962"/>
        <v>0</v>
      </c>
      <c r="CR1287" s="8">
        <f t="shared" si="963"/>
        <v>0</v>
      </c>
      <c r="CS1287" s="8">
        <f t="shared" si="964"/>
        <v>0</v>
      </c>
      <c r="CT1287" s="8">
        <f t="shared" si="923"/>
        <v>0</v>
      </c>
      <c r="CU1287" s="8">
        <f t="shared" si="924"/>
        <v>0</v>
      </c>
      <c r="CV1287" s="8">
        <f t="shared" si="925"/>
        <v>0</v>
      </c>
    </row>
    <row r="1288" spans="1:100" ht="20.5" thickTop="1" thickBot="1" x14ac:dyDescent="0.5">
      <c r="A1288" s="32"/>
      <c r="B1288" s="10"/>
      <c r="C1288" s="10"/>
      <c r="D1288" s="11"/>
      <c r="E1288" s="10"/>
      <c r="F1288" s="10"/>
      <c r="G1288" s="19"/>
      <c r="H1288" s="19"/>
      <c r="I1288" s="19"/>
      <c r="J1288" s="19"/>
      <c r="K1288" s="10"/>
      <c r="L1288" s="10"/>
      <c r="M1288" s="10"/>
      <c r="N1288" s="10"/>
      <c r="O1288" s="18"/>
      <c r="P1288" s="18"/>
      <c r="Q1288" s="21"/>
      <c r="R1288" s="20"/>
      <c r="S1288" s="16">
        <f t="shared" si="927"/>
        <v>0</v>
      </c>
      <c r="T1288" s="11"/>
      <c r="AS1288" s="31">
        <f t="shared" si="928"/>
        <v>0</v>
      </c>
      <c r="AT1288" s="31">
        <f t="shared" si="929"/>
        <v>0</v>
      </c>
      <c r="AU1288" s="31">
        <f t="shared" si="930"/>
        <v>0</v>
      </c>
      <c r="AV1288" s="31">
        <f t="shared" si="931"/>
        <v>0</v>
      </c>
      <c r="AW1288" s="31">
        <f t="shared" si="932"/>
        <v>0</v>
      </c>
      <c r="AX1288" s="31">
        <f t="shared" si="933"/>
        <v>0</v>
      </c>
      <c r="AY1288" s="31">
        <f t="shared" si="934"/>
        <v>0</v>
      </c>
      <c r="AZ1288" s="31">
        <f t="shared" si="935"/>
        <v>0</v>
      </c>
      <c r="BA1288" s="31">
        <f t="shared" si="936"/>
        <v>0</v>
      </c>
      <c r="BB1288" s="31">
        <f t="shared" si="965"/>
        <v>0</v>
      </c>
      <c r="BM1288" s="8">
        <f t="shared" si="966"/>
        <v>0</v>
      </c>
      <c r="BN1288" s="8">
        <f t="shared" si="937"/>
        <v>0</v>
      </c>
      <c r="BO1288" s="8">
        <f t="shared" si="938"/>
        <v>0</v>
      </c>
      <c r="BQ1288" s="8">
        <f t="shared" si="939"/>
        <v>0</v>
      </c>
      <c r="BR1288" s="63">
        <f t="shared" si="940"/>
        <v>0</v>
      </c>
      <c r="BS1288" s="63">
        <f t="shared" si="967"/>
        <v>0</v>
      </c>
      <c r="BT1288" s="63">
        <f t="shared" si="941"/>
        <v>0</v>
      </c>
      <c r="BU1288" s="63">
        <f t="shared" si="942"/>
        <v>0</v>
      </c>
      <c r="BV1288" s="57">
        <f t="shared" si="943"/>
        <v>0</v>
      </c>
      <c r="BW1288" s="57">
        <f t="shared" si="944"/>
        <v>0</v>
      </c>
      <c r="BX1288" s="57">
        <f t="shared" si="968"/>
        <v>0</v>
      </c>
      <c r="BY1288" s="57">
        <f t="shared" si="926"/>
        <v>0</v>
      </c>
      <c r="BZ1288" s="8">
        <f t="shared" si="945"/>
        <v>0</v>
      </c>
      <c r="CA1288" s="8">
        <f t="shared" si="946"/>
        <v>0</v>
      </c>
      <c r="CB1288" s="8">
        <f t="shared" si="947"/>
        <v>0</v>
      </c>
      <c r="CC1288" s="8">
        <f t="shared" si="948"/>
        <v>0</v>
      </c>
      <c r="CD1288" s="8">
        <f t="shared" si="949"/>
        <v>0</v>
      </c>
      <c r="CE1288" s="8">
        <f t="shared" si="950"/>
        <v>0</v>
      </c>
      <c r="CF1288" s="8">
        <f t="shared" si="951"/>
        <v>0</v>
      </c>
      <c r="CG1288" s="8">
        <f t="shared" si="952"/>
        <v>0</v>
      </c>
      <c r="CH1288" s="8">
        <f t="shared" si="953"/>
        <v>0</v>
      </c>
      <c r="CI1288" s="8">
        <f t="shared" si="954"/>
        <v>0</v>
      </c>
      <c r="CJ1288" s="8">
        <f t="shared" si="955"/>
        <v>0</v>
      </c>
      <c r="CK1288" s="8">
        <f t="shared" si="956"/>
        <v>0</v>
      </c>
      <c r="CL1288" s="8">
        <f t="shared" si="957"/>
        <v>0</v>
      </c>
      <c r="CM1288" s="8">
        <f t="shared" si="958"/>
        <v>0</v>
      </c>
      <c r="CN1288" s="8">
        <f t="shared" si="959"/>
        <v>0</v>
      </c>
      <c r="CO1288" s="8">
        <f t="shared" si="960"/>
        <v>0</v>
      </c>
      <c r="CP1288" s="8">
        <f t="shared" si="961"/>
        <v>0</v>
      </c>
      <c r="CQ1288" s="8">
        <f t="shared" si="962"/>
        <v>0</v>
      </c>
      <c r="CR1288" s="8">
        <f t="shared" si="963"/>
        <v>0</v>
      </c>
      <c r="CS1288" s="8">
        <f t="shared" si="964"/>
        <v>0</v>
      </c>
      <c r="CT1288" s="8">
        <f t="shared" si="923"/>
        <v>0</v>
      </c>
      <c r="CU1288" s="8">
        <f t="shared" si="924"/>
        <v>0</v>
      </c>
      <c r="CV1288" s="8">
        <f t="shared" si="925"/>
        <v>0</v>
      </c>
    </row>
    <row r="1289" spans="1:100" ht="20.5" thickTop="1" thickBot="1" x14ac:dyDescent="0.5">
      <c r="A1289" s="32"/>
      <c r="B1289" s="10"/>
      <c r="C1289" s="10"/>
      <c r="D1289" s="11"/>
      <c r="E1289" s="10"/>
      <c r="F1289" s="10"/>
      <c r="G1289" s="19"/>
      <c r="H1289" s="19"/>
      <c r="I1289" s="19"/>
      <c r="J1289" s="19"/>
      <c r="K1289" s="10"/>
      <c r="L1289" s="10"/>
      <c r="M1289" s="10"/>
      <c r="N1289" s="10"/>
      <c r="O1289" s="18"/>
      <c r="P1289" s="18"/>
      <c r="Q1289" s="21"/>
      <c r="R1289" s="20"/>
      <c r="S1289" s="16">
        <f t="shared" si="927"/>
        <v>0</v>
      </c>
      <c r="T1289" s="11"/>
      <c r="AS1289" s="31">
        <f t="shared" si="928"/>
        <v>0</v>
      </c>
      <c r="AT1289" s="31">
        <f t="shared" si="929"/>
        <v>0</v>
      </c>
      <c r="AU1289" s="31">
        <f t="shared" si="930"/>
        <v>0</v>
      </c>
      <c r="AV1289" s="31">
        <f t="shared" si="931"/>
        <v>0</v>
      </c>
      <c r="AW1289" s="31">
        <f t="shared" si="932"/>
        <v>0</v>
      </c>
      <c r="AX1289" s="31">
        <f t="shared" si="933"/>
        <v>0</v>
      </c>
      <c r="AY1289" s="31">
        <f t="shared" si="934"/>
        <v>0</v>
      </c>
      <c r="AZ1289" s="31">
        <f t="shared" si="935"/>
        <v>0</v>
      </c>
      <c r="BA1289" s="31">
        <f t="shared" si="936"/>
        <v>0</v>
      </c>
      <c r="BB1289" s="31">
        <f t="shared" si="965"/>
        <v>0</v>
      </c>
      <c r="BM1289" s="8">
        <f t="shared" si="966"/>
        <v>0</v>
      </c>
      <c r="BN1289" s="8">
        <f t="shared" si="937"/>
        <v>0</v>
      </c>
      <c r="BO1289" s="8">
        <f t="shared" si="938"/>
        <v>0</v>
      </c>
      <c r="BQ1289" s="8">
        <f t="shared" si="939"/>
        <v>0</v>
      </c>
      <c r="BR1289" s="63">
        <f t="shared" si="940"/>
        <v>0</v>
      </c>
      <c r="BS1289" s="63">
        <f t="shared" si="967"/>
        <v>0</v>
      </c>
      <c r="BT1289" s="63">
        <f t="shared" si="941"/>
        <v>0</v>
      </c>
      <c r="BU1289" s="63">
        <f t="shared" si="942"/>
        <v>0</v>
      </c>
      <c r="BV1289" s="57">
        <f t="shared" si="943"/>
        <v>0</v>
      </c>
      <c r="BW1289" s="57">
        <f t="shared" si="944"/>
        <v>0</v>
      </c>
      <c r="BX1289" s="57">
        <f t="shared" si="968"/>
        <v>0</v>
      </c>
      <c r="BY1289" s="57">
        <f t="shared" si="926"/>
        <v>0</v>
      </c>
      <c r="BZ1289" s="8">
        <f t="shared" si="945"/>
        <v>0</v>
      </c>
      <c r="CA1289" s="8">
        <f t="shared" si="946"/>
        <v>0</v>
      </c>
      <c r="CB1289" s="8">
        <f t="shared" si="947"/>
        <v>0</v>
      </c>
      <c r="CC1289" s="8">
        <f t="shared" si="948"/>
        <v>0</v>
      </c>
      <c r="CD1289" s="8">
        <f t="shared" si="949"/>
        <v>0</v>
      </c>
      <c r="CE1289" s="8">
        <f t="shared" si="950"/>
        <v>0</v>
      </c>
      <c r="CF1289" s="8">
        <f t="shared" si="951"/>
        <v>0</v>
      </c>
      <c r="CG1289" s="8">
        <f t="shared" si="952"/>
        <v>0</v>
      </c>
      <c r="CH1289" s="8">
        <f t="shared" si="953"/>
        <v>0</v>
      </c>
      <c r="CI1289" s="8">
        <f t="shared" si="954"/>
        <v>0</v>
      </c>
      <c r="CJ1289" s="8">
        <f t="shared" si="955"/>
        <v>0</v>
      </c>
      <c r="CK1289" s="8">
        <f t="shared" si="956"/>
        <v>0</v>
      </c>
      <c r="CL1289" s="8">
        <f t="shared" si="957"/>
        <v>0</v>
      </c>
      <c r="CM1289" s="8">
        <f t="shared" si="958"/>
        <v>0</v>
      </c>
      <c r="CN1289" s="8">
        <f t="shared" si="959"/>
        <v>0</v>
      </c>
      <c r="CO1289" s="8">
        <f t="shared" si="960"/>
        <v>0</v>
      </c>
      <c r="CP1289" s="8">
        <f t="shared" si="961"/>
        <v>0</v>
      </c>
      <c r="CQ1289" s="8">
        <f t="shared" si="962"/>
        <v>0</v>
      </c>
      <c r="CR1289" s="8">
        <f t="shared" si="963"/>
        <v>0</v>
      </c>
      <c r="CS1289" s="8">
        <f t="shared" si="964"/>
        <v>0</v>
      </c>
      <c r="CT1289" s="8">
        <f t="shared" si="923"/>
        <v>0</v>
      </c>
      <c r="CU1289" s="8">
        <f t="shared" si="924"/>
        <v>0</v>
      </c>
      <c r="CV1289" s="8">
        <f t="shared" si="925"/>
        <v>0</v>
      </c>
    </row>
    <row r="1290" spans="1:100" ht="20.5" thickTop="1" thickBot="1" x14ac:dyDescent="0.5">
      <c r="A1290" s="32"/>
      <c r="B1290" s="10"/>
      <c r="C1290" s="10"/>
      <c r="D1290" s="11"/>
      <c r="E1290" s="10"/>
      <c r="F1290" s="10"/>
      <c r="G1290" s="19"/>
      <c r="H1290" s="19"/>
      <c r="I1290" s="19"/>
      <c r="J1290" s="19"/>
      <c r="K1290" s="10"/>
      <c r="L1290" s="10"/>
      <c r="M1290" s="10"/>
      <c r="N1290" s="10"/>
      <c r="O1290" s="18"/>
      <c r="P1290" s="18"/>
      <c r="Q1290" s="21"/>
      <c r="R1290" s="20"/>
      <c r="S1290" s="16">
        <f t="shared" si="927"/>
        <v>0</v>
      </c>
      <c r="T1290" s="11"/>
      <c r="AS1290" s="31">
        <f t="shared" si="928"/>
        <v>0</v>
      </c>
      <c r="AT1290" s="31">
        <f t="shared" si="929"/>
        <v>0</v>
      </c>
      <c r="AU1290" s="31">
        <f t="shared" si="930"/>
        <v>0</v>
      </c>
      <c r="AV1290" s="31">
        <f t="shared" si="931"/>
        <v>0</v>
      </c>
      <c r="AW1290" s="31">
        <f t="shared" si="932"/>
        <v>0</v>
      </c>
      <c r="AX1290" s="31">
        <f t="shared" si="933"/>
        <v>0</v>
      </c>
      <c r="AY1290" s="31">
        <f t="shared" si="934"/>
        <v>0</v>
      </c>
      <c r="AZ1290" s="31">
        <f t="shared" si="935"/>
        <v>0</v>
      </c>
      <c r="BA1290" s="31">
        <f t="shared" si="936"/>
        <v>0</v>
      </c>
      <c r="BB1290" s="31">
        <f t="shared" si="965"/>
        <v>0</v>
      </c>
      <c r="BM1290" s="8">
        <f t="shared" si="966"/>
        <v>0</v>
      </c>
      <c r="BN1290" s="8">
        <f t="shared" si="937"/>
        <v>0</v>
      </c>
      <c r="BO1290" s="8">
        <f t="shared" si="938"/>
        <v>0</v>
      </c>
      <c r="BQ1290" s="8">
        <f t="shared" si="939"/>
        <v>0</v>
      </c>
      <c r="BR1290" s="63">
        <f t="shared" si="940"/>
        <v>0</v>
      </c>
      <c r="BS1290" s="63">
        <f t="shared" si="967"/>
        <v>0</v>
      </c>
      <c r="BT1290" s="63">
        <f t="shared" si="941"/>
        <v>0</v>
      </c>
      <c r="BU1290" s="63">
        <f t="shared" si="942"/>
        <v>0</v>
      </c>
      <c r="BV1290" s="57">
        <f t="shared" si="943"/>
        <v>0</v>
      </c>
      <c r="BW1290" s="57">
        <f t="shared" si="944"/>
        <v>0</v>
      </c>
      <c r="BX1290" s="57">
        <f t="shared" si="968"/>
        <v>0</v>
      </c>
      <c r="BY1290" s="57">
        <f t="shared" si="926"/>
        <v>0</v>
      </c>
      <c r="BZ1290" s="8">
        <f t="shared" si="945"/>
        <v>0</v>
      </c>
      <c r="CA1290" s="8">
        <f t="shared" si="946"/>
        <v>0</v>
      </c>
      <c r="CB1290" s="8">
        <f t="shared" si="947"/>
        <v>0</v>
      </c>
      <c r="CC1290" s="8">
        <f t="shared" si="948"/>
        <v>0</v>
      </c>
      <c r="CD1290" s="8">
        <f t="shared" si="949"/>
        <v>0</v>
      </c>
      <c r="CE1290" s="8">
        <f t="shared" si="950"/>
        <v>0</v>
      </c>
      <c r="CF1290" s="8">
        <f t="shared" si="951"/>
        <v>0</v>
      </c>
      <c r="CG1290" s="8">
        <f t="shared" si="952"/>
        <v>0</v>
      </c>
      <c r="CH1290" s="8">
        <f t="shared" si="953"/>
        <v>0</v>
      </c>
      <c r="CI1290" s="8">
        <f t="shared" si="954"/>
        <v>0</v>
      </c>
      <c r="CJ1290" s="8">
        <f t="shared" si="955"/>
        <v>0</v>
      </c>
      <c r="CK1290" s="8">
        <f t="shared" si="956"/>
        <v>0</v>
      </c>
      <c r="CL1290" s="8">
        <f t="shared" si="957"/>
        <v>0</v>
      </c>
      <c r="CM1290" s="8">
        <f t="shared" si="958"/>
        <v>0</v>
      </c>
      <c r="CN1290" s="8">
        <f t="shared" si="959"/>
        <v>0</v>
      </c>
      <c r="CO1290" s="8">
        <f t="shared" si="960"/>
        <v>0</v>
      </c>
      <c r="CP1290" s="8">
        <f t="shared" si="961"/>
        <v>0</v>
      </c>
      <c r="CQ1290" s="8">
        <f t="shared" si="962"/>
        <v>0</v>
      </c>
      <c r="CR1290" s="8">
        <f t="shared" si="963"/>
        <v>0</v>
      </c>
      <c r="CS1290" s="8">
        <f t="shared" si="964"/>
        <v>0</v>
      </c>
      <c r="CT1290" s="8">
        <f t="shared" si="923"/>
        <v>0</v>
      </c>
      <c r="CU1290" s="8">
        <f t="shared" si="924"/>
        <v>0</v>
      </c>
      <c r="CV1290" s="8">
        <f t="shared" si="925"/>
        <v>0</v>
      </c>
    </row>
    <row r="1291" spans="1:100" ht="20.5" thickTop="1" thickBot="1" x14ac:dyDescent="0.5">
      <c r="A1291" s="32"/>
      <c r="B1291" s="10"/>
      <c r="C1291" s="10"/>
      <c r="D1291" s="11"/>
      <c r="E1291" s="10"/>
      <c r="F1291" s="10"/>
      <c r="G1291" s="19"/>
      <c r="H1291" s="19"/>
      <c r="I1291" s="19"/>
      <c r="J1291" s="19"/>
      <c r="K1291" s="10"/>
      <c r="L1291" s="10"/>
      <c r="M1291" s="10"/>
      <c r="N1291" s="10"/>
      <c r="O1291" s="18"/>
      <c r="P1291" s="18"/>
      <c r="Q1291" s="21"/>
      <c r="R1291" s="20"/>
      <c r="S1291" s="16">
        <f t="shared" si="927"/>
        <v>0</v>
      </c>
      <c r="T1291" s="11"/>
      <c r="AS1291" s="31">
        <f t="shared" si="928"/>
        <v>0</v>
      </c>
      <c r="AT1291" s="31">
        <f t="shared" si="929"/>
        <v>0</v>
      </c>
      <c r="AU1291" s="31">
        <f t="shared" si="930"/>
        <v>0</v>
      </c>
      <c r="AV1291" s="31">
        <f t="shared" si="931"/>
        <v>0</v>
      </c>
      <c r="AW1291" s="31">
        <f t="shared" si="932"/>
        <v>0</v>
      </c>
      <c r="AX1291" s="31">
        <f t="shared" si="933"/>
        <v>0</v>
      </c>
      <c r="AY1291" s="31">
        <f t="shared" si="934"/>
        <v>0</v>
      </c>
      <c r="AZ1291" s="31">
        <f t="shared" si="935"/>
        <v>0</v>
      </c>
      <c r="BA1291" s="31">
        <f t="shared" si="936"/>
        <v>0</v>
      </c>
      <c r="BB1291" s="31">
        <f t="shared" si="965"/>
        <v>0</v>
      </c>
      <c r="BM1291" s="8">
        <f t="shared" si="966"/>
        <v>0</v>
      </c>
      <c r="BN1291" s="8">
        <f t="shared" si="937"/>
        <v>0</v>
      </c>
      <c r="BO1291" s="8">
        <f t="shared" si="938"/>
        <v>0</v>
      </c>
      <c r="BQ1291" s="8">
        <f t="shared" si="939"/>
        <v>0</v>
      </c>
      <c r="BR1291" s="63">
        <f t="shared" si="940"/>
        <v>0</v>
      </c>
      <c r="BS1291" s="63">
        <f t="shared" si="967"/>
        <v>0</v>
      </c>
      <c r="BT1291" s="63">
        <f t="shared" si="941"/>
        <v>0</v>
      </c>
      <c r="BU1291" s="63">
        <f t="shared" si="942"/>
        <v>0</v>
      </c>
      <c r="BV1291" s="57">
        <f t="shared" si="943"/>
        <v>0</v>
      </c>
      <c r="BW1291" s="57">
        <f t="shared" si="944"/>
        <v>0</v>
      </c>
      <c r="BX1291" s="57">
        <f t="shared" si="968"/>
        <v>0</v>
      </c>
      <c r="BY1291" s="57">
        <f t="shared" si="926"/>
        <v>0</v>
      </c>
      <c r="BZ1291" s="8">
        <f t="shared" si="945"/>
        <v>0</v>
      </c>
      <c r="CA1291" s="8">
        <f t="shared" si="946"/>
        <v>0</v>
      </c>
      <c r="CB1291" s="8">
        <f t="shared" si="947"/>
        <v>0</v>
      </c>
      <c r="CC1291" s="8">
        <f t="shared" si="948"/>
        <v>0</v>
      </c>
      <c r="CD1291" s="8">
        <f t="shared" si="949"/>
        <v>0</v>
      </c>
      <c r="CE1291" s="8">
        <f t="shared" si="950"/>
        <v>0</v>
      </c>
      <c r="CF1291" s="8">
        <f t="shared" si="951"/>
        <v>0</v>
      </c>
      <c r="CG1291" s="8">
        <f t="shared" si="952"/>
        <v>0</v>
      </c>
      <c r="CH1291" s="8">
        <f t="shared" si="953"/>
        <v>0</v>
      </c>
      <c r="CI1291" s="8">
        <f t="shared" si="954"/>
        <v>0</v>
      </c>
      <c r="CJ1291" s="8">
        <f t="shared" si="955"/>
        <v>0</v>
      </c>
      <c r="CK1291" s="8">
        <f t="shared" si="956"/>
        <v>0</v>
      </c>
      <c r="CL1291" s="8">
        <f t="shared" si="957"/>
        <v>0</v>
      </c>
      <c r="CM1291" s="8">
        <f t="shared" si="958"/>
        <v>0</v>
      </c>
      <c r="CN1291" s="8">
        <f t="shared" si="959"/>
        <v>0</v>
      </c>
      <c r="CO1291" s="8">
        <f t="shared" si="960"/>
        <v>0</v>
      </c>
      <c r="CP1291" s="8">
        <f t="shared" si="961"/>
        <v>0</v>
      </c>
      <c r="CQ1291" s="8">
        <f t="shared" si="962"/>
        <v>0</v>
      </c>
      <c r="CR1291" s="8">
        <f t="shared" si="963"/>
        <v>0</v>
      </c>
      <c r="CS1291" s="8">
        <f t="shared" si="964"/>
        <v>0</v>
      </c>
      <c r="CT1291" s="8">
        <f t="shared" si="923"/>
        <v>0</v>
      </c>
      <c r="CU1291" s="8">
        <f t="shared" si="924"/>
        <v>0</v>
      </c>
      <c r="CV1291" s="8">
        <f t="shared" si="925"/>
        <v>0</v>
      </c>
    </row>
    <row r="1292" spans="1:100" ht="20.5" thickTop="1" thickBot="1" x14ac:dyDescent="0.5">
      <c r="A1292" s="32"/>
      <c r="B1292" s="10"/>
      <c r="C1292" s="10"/>
      <c r="D1292" s="11"/>
      <c r="E1292" s="10"/>
      <c r="F1292" s="10"/>
      <c r="G1292" s="19"/>
      <c r="H1292" s="19"/>
      <c r="I1292" s="19"/>
      <c r="J1292" s="19"/>
      <c r="K1292" s="10"/>
      <c r="L1292" s="10"/>
      <c r="M1292" s="10"/>
      <c r="N1292" s="10"/>
      <c r="O1292" s="18"/>
      <c r="P1292" s="18"/>
      <c r="Q1292" s="21"/>
      <c r="R1292" s="20"/>
      <c r="S1292" s="16">
        <f t="shared" si="927"/>
        <v>0</v>
      </c>
      <c r="T1292" s="11"/>
      <c r="AS1292" s="31">
        <f t="shared" si="928"/>
        <v>0</v>
      </c>
      <c r="AT1292" s="31">
        <f t="shared" si="929"/>
        <v>0</v>
      </c>
      <c r="AU1292" s="31">
        <f t="shared" si="930"/>
        <v>0</v>
      </c>
      <c r="AV1292" s="31">
        <f t="shared" si="931"/>
        <v>0</v>
      </c>
      <c r="AW1292" s="31">
        <f t="shared" si="932"/>
        <v>0</v>
      </c>
      <c r="AX1292" s="31">
        <f t="shared" si="933"/>
        <v>0</v>
      </c>
      <c r="AY1292" s="31">
        <f t="shared" si="934"/>
        <v>0</v>
      </c>
      <c r="AZ1292" s="31">
        <f t="shared" si="935"/>
        <v>0</v>
      </c>
      <c r="BA1292" s="31">
        <f t="shared" si="936"/>
        <v>0</v>
      </c>
      <c r="BB1292" s="31">
        <f t="shared" si="965"/>
        <v>0</v>
      </c>
      <c r="BM1292" s="8">
        <f t="shared" si="966"/>
        <v>0</v>
      </c>
      <c r="BN1292" s="8">
        <f t="shared" si="937"/>
        <v>0</v>
      </c>
      <c r="BO1292" s="8">
        <f t="shared" si="938"/>
        <v>0</v>
      </c>
      <c r="BQ1292" s="8">
        <f t="shared" si="939"/>
        <v>0</v>
      </c>
      <c r="BR1292" s="63">
        <f t="shared" si="940"/>
        <v>0</v>
      </c>
      <c r="BS1292" s="63">
        <f t="shared" si="967"/>
        <v>0</v>
      </c>
      <c r="BT1292" s="63">
        <f t="shared" si="941"/>
        <v>0</v>
      </c>
      <c r="BU1292" s="63">
        <f t="shared" si="942"/>
        <v>0</v>
      </c>
      <c r="BV1292" s="57">
        <f t="shared" si="943"/>
        <v>0</v>
      </c>
      <c r="BW1292" s="57">
        <f t="shared" si="944"/>
        <v>0</v>
      </c>
      <c r="BX1292" s="57">
        <f t="shared" si="968"/>
        <v>0</v>
      </c>
      <c r="BY1292" s="57">
        <f t="shared" si="926"/>
        <v>0</v>
      </c>
      <c r="BZ1292" s="8">
        <f t="shared" si="945"/>
        <v>0</v>
      </c>
      <c r="CA1292" s="8">
        <f t="shared" si="946"/>
        <v>0</v>
      </c>
      <c r="CB1292" s="8">
        <f t="shared" si="947"/>
        <v>0</v>
      </c>
      <c r="CC1292" s="8">
        <f t="shared" si="948"/>
        <v>0</v>
      </c>
      <c r="CD1292" s="8">
        <f t="shared" si="949"/>
        <v>0</v>
      </c>
      <c r="CE1292" s="8">
        <f t="shared" si="950"/>
        <v>0</v>
      </c>
      <c r="CF1292" s="8">
        <f t="shared" si="951"/>
        <v>0</v>
      </c>
      <c r="CG1292" s="8">
        <f t="shared" si="952"/>
        <v>0</v>
      </c>
      <c r="CH1292" s="8">
        <f t="shared" si="953"/>
        <v>0</v>
      </c>
      <c r="CI1292" s="8">
        <f t="shared" si="954"/>
        <v>0</v>
      </c>
      <c r="CJ1292" s="8">
        <f t="shared" si="955"/>
        <v>0</v>
      </c>
      <c r="CK1292" s="8">
        <f t="shared" si="956"/>
        <v>0</v>
      </c>
      <c r="CL1292" s="8">
        <f t="shared" si="957"/>
        <v>0</v>
      </c>
      <c r="CM1292" s="8">
        <f t="shared" si="958"/>
        <v>0</v>
      </c>
      <c r="CN1292" s="8">
        <f t="shared" si="959"/>
        <v>0</v>
      </c>
      <c r="CO1292" s="8">
        <f t="shared" si="960"/>
        <v>0</v>
      </c>
      <c r="CP1292" s="8">
        <f t="shared" si="961"/>
        <v>0</v>
      </c>
      <c r="CQ1292" s="8">
        <f t="shared" si="962"/>
        <v>0</v>
      </c>
      <c r="CR1292" s="8">
        <f t="shared" si="963"/>
        <v>0</v>
      </c>
      <c r="CS1292" s="8">
        <f t="shared" si="964"/>
        <v>0</v>
      </c>
      <c r="CT1292" s="8">
        <f t="shared" si="923"/>
        <v>0</v>
      </c>
      <c r="CU1292" s="8">
        <f t="shared" si="924"/>
        <v>0</v>
      </c>
      <c r="CV1292" s="8">
        <f t="shared" si="925"/>
        <v>0</v>
      </c>
    </row>
    <row r="1293" spans="1:100" ht="20.5" thickTop="1" thickBot="1" x14ac:dyDescent="0.5">
      <c r="A1293" s="32"/>
      <c r="B1293" s="10"/>
      <c r="C1293" s="10"/>
      <c r="D1293" s="11"/>
      <c r="E1293" s="10"/>
      <c r="F1293" s="10"/>
      <c r="G1293" s="19"/>
      <c r="H1293" s="19"/>
      <c r="I1293" s="19"/>
      <c r="J1293" s="19"/>
      <c r="K1293" s="10"/>
      <c r="L1293" s="10"/>
      <c r="M1293" s="10"/>
      <c r="N1293" s="10"/>
      <c r="O1293" s="18"/>
      <c r="P1293" s="18"/>
      <c r="Q1293" s="21"/>
      <c r="R1293" s="20"/>
      <c r="S1293" s="16">
        <f t="shared" si="927"/>
        <v>0</v>
      </c>
      <c r="T1293" s="11"/>
      <c r="AS1293" s="31">
        <f t="shared" si="928"/>
        <v>0</v>
      </c>
      <c r="AT1293" s="31">
        <f t="shared" si="929"/>
        <v>0</v>
      </c>
      <c r="AU1293" s="31">
        <f t="shared" si="930"/>
        <v>0</v>
      </c>
      <c r="AV1293" s="31">
        <f t="shared" si="931"/>
        <v>0</v>
      </c>
      <c r="AW1293" s="31">
        <f t="shared" si="932"/>
        <v>0</v>
      </c>
      <c r="AX1293" s="31">
        <f t="shared" si="933"/>
        <v>0</v>
      </c>
      <c r="AY1293" s="31">
        <f t="shared" si="934"/>
        <v>0</v>
      </c>
      <c r="AZ1293" s="31">
        <f t="shared" si="935"/>
        <v>0</v>
      </c>
      <c r="BA1293" s="31">
        <f t="shared" si="936"/>
        <v>0</v>
      </c>
      <c r="BB1293" s="31">
        <f t="shared" si="965"/>
        <v>0</v>
      </c>
      <c r="BM1293" s="8">
        <f t="shared" si="966"/>
        <v>0</v>
      </c>
      <c r="BN1293" s="8">
        <f t="shared" si="937"/>
        <v>0</v>
      </c>
      <c r="BO1293" s="8">
        <f t="shared" si="938"/>
        <v>0</v>
      </c>
      <c r="BQ1293" s="8">
        <f t="shared" si="939"/>
        <v>0</v>
      </c>
      <c r="BR1293" s="63">
        <f t="shared" si="940"/>
        <v>0</v>
      </c>
      <c r="BS1293" s="63">
        <f t="shared" si="967"/>
        <v>0</v>
      </c>
      <c r="BT1293" s="63">
        <f t="shared" si="941"/>
        <v>0</v>
      </c>
      <c r="BU1293" s="63">
        <f t="shared" si="942"/>
        <v>0</v>
      </c>
      <c r="BV1293" s="57">
        <f t="shared" si="943"/>
        <v>0</v>
      </c>
      <c r="BW1293" s="57">
        <f t="shared" si="944"/>
        <v>0</v>
      </c>
      <c r="BX1293" s="57">
        <f t="shared" si="968"/>
        <v>0</v>
      </c>
      <c r="BY1293" s="57">
        <f t="shared" si="926"/>
        <v>0</v>
      </c>
      <c r="BZ1293" s="8">
        <f t="shared" si="945"/>
        <v>0</v>
      </c>
      <c r="CA1293" s="8">
        <f t="shared" si="946"/>
        <v>0</v>
      </c>
      <c r="CB1293" s="8">
        <f t="shared" si="947"/>
        <v>0</v>
      </c>
      <c r="CC1293" s="8">
        <f t="shared" si="948"/>
        <v>0</v>
      </c>
      <c r="CD1293" s="8">
        <f t="shared" si="949"/>
        <v>0</v>
      </c>
      <c r="CE1293" s="8">
        <f t="shared" si="950"/>
        <v>0</v>
      </c>
      <c r="CF1293" s="8">
        <f t="shared" si="951"/>
        <v>0</v>
      </c>
      <c r="CG1293" s="8">
        <f t="shared" si="952"/>
        <v>0</v>
      </c>
      <c r="CH1293" s="8">
        <f t="shared" si="953"/>
        <v>0</v>
      </c>
      <c r="CI1293" s="8">
        <f t="shared" si="954"/>
        <v>0</v>
      </c>
      <c r="CJ1293" s="8">
        <f t="shared" si="955"/>
        <v>0</v>
      </c>
      <c r="CK1293" s="8">
        <f t="shared" si="956"/>
        <v>0</v>
      </c>
      <c r="CL1293" s="8">
        <f t="shared" si="957"/>
        <v>0</v>
      </c>
      <c r="CM1293" s="8">
        <f t="shared" si="958"/>
        <v>0</v>
      </c>
      <c r="CN1293" s="8">
        <f t="shared" si="959"/>
        <v>0</v>
      </c>
      <c r="CO1293" s="8">
        <f t="shared" si="960"/>
        <v>0</v>
      </c>
      <c r="CP1293" s="8">
        <f t="shared" si="961"/>
        <v>0</v>
      </c>
      <c r="CQ1293" s="8">
        <f t="shared" si="962"/>
        <v>0</v>
      </c>
      <c r="CR1293" s="8">
        <f t="shared" si="963"/>
        <v>0</v>
      </c>
      <c r="CS1293" s="8">
        <f t="shared" si="964"/>
        <v>0</v>
      </c>
      <c r="CT1293" s="8">
        <f t="shared" ref="CT1293:CT1356" si="969">IF(AND(J1293&gt;0,OR(B1293="MB",B1293="new MB")),J1293,0)*4+IF(AND(J1293&gt;0,OR(C1293="MB",C1293="new MB")),J1293,0)*4</f>
        <v>0</v>
      </c>
      <c r="CU1293" s="8">
        <f t="shared" ref="CU1293:CU1356" si="970">IF(AND(I1293&gt;0,OR(B1293="MB",B1293="new MB")),I1293,0)*4+IF(AND(I1293&gt;0,OR(C1293="MB",C1293="new MB")),I1293,0)*4</f>
        <v>0</v>
      </c>
      <c r="CV1293" s="8">
        <f t="shared" ref="CV1293:CV1356" si="971">IF(AND(H1293&gt;0,OR(B1293="MB",B1293="new MB")),H1293,0)*4+IF(AND(H1293&gt;0,OR(C1293="MB",C1293="new MB")),H1293,0)*4</f>
        <v>0</v>
      </c>
    </row>
    <row r="1294" spans="1:100" ht="20.5" thickTop="1" thickBot="1" x14ac:dyDescent="0.5">
      <c r="A1294" s="32"/>
      <c r="B1294" s="10"/>
      <c r="C1294" s="10"/>
      <c r="D1294" s="11"/>
      <c r="E1294" s="10"/>
      <c r="F1294" s="10"/>
      <c r="G1294" s="19"/>
      <c r="H1294" s="19"/>
      <c r="I1294" s="19"/>
      <c r="J1294" s="19"/>
      <c r="K1294" s="10"/>
      <c r="L1294" s="10"/>
      <c r="M1294" s="10"/>
      <c r="N1294" s="10"/>
      <c r="O1294" s="18"/>
      <c r="P1294" s="18"/>
      <c r="Q1294" s="21"/>
      <c r="R1294" s="20"/>
      <c r="S1294" s="16">
        <f t="shared" si="927"/>
        <v>0</v>
      </c>
      <c r="T1294" s="11"/>
      <c r="AS1294" s="31">
        <f t="shared" si="928"/>
        <v>0</v>
      </c>
      <c r="AT1294" s="31">
        <f t="shared" si="929"/>
        <v>0</v>
      </c>
      <c r="AU1294" s="31">
        <f t="shared" si="930"/>
        <v>0</v>
      </c>
      <c r="AV1294" s="31">
        <f t="shared" si="931"/>
        <v>0</v>
      </c>
      <c r="AW1294" s="31">
        <f t="shared" si="932"/>
        <v>0</v>
      </c>
      <c r="AX1294" s="31">
        <f t="shared" si="933"/>
        <v>0</v>
      </c>
      <c r="AY1294" s="31">
        <f t="shared" si="934"/>
        <v>0</v>
      </c>
      <c r="AZ1294" s="31">
        <f t="shared" si="935"/>
        <v>0</v>
      </c>
      <c r="BA1294" s="31">
        <f t="shared" si="936"/>
        <v>0</v>
      </c>
      <c r="BB1294" s="31">
        <f t="shared" si="965"/>
        <v>0</v>
      </c>
      <c r="BM1294" s="8">
        <f t="shared" si="966"/>
        <v>0</v>
      </c>
      <c r="BN1294" s="8">
        <f t="shared" si="937"/>
        <v>0</v>
      </c>
      <c r="BO1294" s="8">
        <f t="shared" si="938"/>
        <v>0</v>
      </c>
      <c r="BQ1294" s="8">
        <f t="shared" si="939"/>
        <v>0</v>
      </c>
      <c r="BR1294" s="63">
        <f t="shared" si="940"/>
        <v>0</v>
      </c>
      <c r="BS1294" s="63">
        <f t="shared" si="967"/>
        <v>0</v>
      </c>
      <c r="BT1294" s="63">
        <f t="shared" si="941"/>
        <v>0</v>
      </c>
      <c r="BU1294" s="63">
        <f t="shared" si="942"/>
        <v>0</v>
      </c>
      <c r="BV1294" s="57">
        <f t="shared" si="943"/>
        <v>0</v>
      </c>
      <c r="BW1294" s="57">
        <f t="shared" si="944"/>
        <v>0</v>
      </c>
      <c r="BX1294" s="57">
        <f t="shared" si="968"/>
        <v>0</v>
      </c>
      <c r="BY1294" s="57">
        <f t="shared" si="926"/>
        <v>0</v>
      </c>
      <c r="BZ1294" s="8">
        <f t="shared" si="945"/>
        <v>0</v>
      </c>
      <c r="CA1294" s="8">
        <f t="shared" si="946"/>
        <v>0</v>
      </c>
      <c r="CB1294" s="8">
        <f t="shared" si="947"/>
        <v>0</v>
      </c>
      <c r="CC1294" s="8">
        <f t="shared" si="948"/>
        <v>0</v>
      </c>
      <c r="CD1294" s="8">
        <f t="shared" si="949"/>
        <v>0</v>
      </c>
      <c r="CE1294" s="8">
        <f t="shared" si="950"/>
        <v>0</v>
      </c>
      <c r="CF1294" s="8">
        <f t="shared" si="951"/>
        <v>0</v>
      </c>
      <c r="CG1294" s="8">
        <f t="shared" si="952"/>
        <v>0</v>
      </c>
      <c r="CH1294" s="8">
        <f t="shared" si="953"/>
        <v>0</v>
      </c>
      <c r="CI1294" s="8">
        <f t="shared" si="954"/>
        <v>0</v>
      </c>
      <c r="CJ1294" s="8">
        <f t="shared" si="955"/>
        <v>0</v>
      </c>
      <c r="CK1294" s="8">
        <f t="shared" si="956"/>
        <v>0</v>
      </c>
      <c r="CL1294" s="8">
        <f t="shared" si="957"/>
        <v>0</v>
      </c>
      <c r="CM1294" s="8">
        <f t="shared" si="958"/>
        <v>0</v>
      </c>
      <c r="CN1294" s="8">
        <f t="shared" si="959"/>
        <v>0</v>
      </c>
      <c r="CO1294" s="8">
        <f t="shared" si="960"/>
        <v>0</v>
      </c>
      <c r="CP1294" s="8">
        <f t="shared" si="961"/>
        <v>0</v>
      </c>
      <c r="CQ1294" s="8">
        <f t="shared" si="962"/>
        <v>0</v>
      </c>
      <c r="CR1294" s="8">
        <f t="shared" si="963"/>
        <v>0</v>
      </c>
      <c r="CS1294" s="8">
        <f t="shared" si="964"/>
        <v>0</v>
      </c>
      <c r="CT1294" s="8">
        <f t="shared" si="969"/>
        <v>0</v>
      </c>
      <c r="CU1294" s="8">
        <f t="shared" si="970"/>
        <v>0</v>
      </c>
      <c r="CV1294" s="8">
        <f t="shared" si="971"/>
        <v>0</v>
      </c>
    </row>
    <row r="1295" spans="1:100" ht="20.5" thickTop="1" thickBot="1" x14ac:dyDescent="0.5">
      <c r="A1295" s="32"/>
      <c r="B1295" s="10"/>
      <c r="C1295" s="10"/>
      <c r="D1295" s="11"/>
      <c r="E1295" s="10"/>
      <c r="F1295" s="10"/>
      <c r="G1295" s="19"/>
      <c r="H1295" s="19"/>
      <c r="I1295" s="19"/>
      <c r="J1295" s="19"/>
      <c r="K1295" s="10"/>
      <c r="L1295" s="10"/>
      <c r="M1295" s="10"/>
      <c r="N1295" s="10"/>
      <c r="O1295" s="18"/>
      <c r="P1295" s="18"/>
      <c r="Q1295" s="21"/>
      <c r="R1295" s="20"/>
      <c r="S1295" s="16">
        <f t="shared" si="927"/>
        <v>0</v>
      </c>
      <c r="T1295" s="11"/>
      <c r="AS1295" s="31">
        <f t="shared" si="928"/>
        <v>0</v>
      </c>
      <c r="AT1295" s="31">
        <f t="shared" si="929"/>
        <v>0</v>
      </c>
      <c r="AU1295" s="31">
        <f t="shared" si="930"/>
        <v>0</v>
      </c>
      <c r="AV1295" s="31">
        <f t="shared" si="931"/>
        <v>0</v>
      </c>
      <c r="AW1295" s="31">
        <f t="shared" si="932"/>
        <v>0</v>
      </c>
      <c r="AX1295" s="31">
        <f t="shared" si="933"/>
        <v>0</v>
      </c>
      <c r="AY1295" s="31">
        <f t="shared" si="934"/>
        <v>0</v>
      </c>
      <c r="AZ1295" s="31">
        <f t="shared" si="935"/>
        <v>0</v>
      </c>
      <c r="BA1295" s="31">
        <f t="shared" si="936"/>
        <v>0</v>
      </c>
      <c r="BB1295" s="31">
        <f t="shared" si="965"/>
        <v>0</v>
      </c>
      <c r="BM1295" s="8">
        <f t="shared" si="966"/>
        <v>0</v>
      </c>
      <c r="BN1295" s="8">
        <f t="shared" si="937"/>
        <v>0</v>
      </c>
      <c r="BO1295" s="8">
        <f t="shared" si="938"/>
        <v>0</v>
      </c>
      <c r="BQ1295" s="8">
        <f t="shared" si="939"/>
        <v>0</v>
      </c>
      <c r="BR1295" s="63">
        <f t="shared" si="940"/>
        <v>0</v>
      </c>
      <c r="BS1295" s="63">
        <f t="shared" si="967"/>
        <v>0</v>
      </c>
      <c r="BT1295" s="63">
        <f t="shared" si="941"/>
        <v>0</v>
      </c>
      <c r="BU1295" s="63">
        <f t="shared" si="942"/>
        <v>0</v>
      </c>
      <c r="BV1295" s="57">
        <f t="shared" si="943"/>
        <v>0</v>
      </c>
      <c r="BW1295" s="57">
        <f t="shared" si="944"/>
        <v>0</v>
      </c>
      <c r="BX1295" s="57">
        <f t="shared" si="968"/>
        <v>0</v>
      </c>
      <c r="BY1295" s="57">
        <f t="shared" si="926"/>
        <v>0</v>
      </c>
      <c r="BZ1295" s="8">
        <f t="shared" si="945"/>
        <v>0</v>
      </c>
      <c r="CA1295" s="8">
        <f t="shared" si="946"/>
        <v>0</v>
      </c>
      <c r="CB1295" s="8">
        <f t="shared" si="947"/>
        <v>0</v>
      </c>
      <c r="CC1295" s="8">
        <f t="shared" si="948"/>
        <v>0</v>
      </c>
      <c r="CD1295" s="8">
        <f t="shared" si="949"/>
        <v>0</v>
      </c>
      <c r="CE1295" s="8">
        <f t="shared" si="950"/>
        <v>0</v>
      </c>
      <c r="CF1295" s="8">
        <f t="shared" si="951"/>
        <v>0</v>
      </c>
      <c r="CG1295" s="8">
        <f t="shared" si="952"/>
        <v>0</v>
      </c>
      <c r="CH1295" s="8">
        <f t="shared" si="953"/>
        <v>0</v>
      </c>
      <c r="CI1295" s="8">
        <f t="shared" si="954"/>
        <v>0</v>
      </c>
      <c r="CJ1295" s="8">
        <f t="shared" si="955"/>
        <v>0</v>
      </c>
      <c r="CK1295" s="8">
        <f t="shared" si="956"/>
        <v>0</v>
      </c>
      <c r="CL1295" s="8">
        <f t="shared" si="957"/>
        <v>0</v>
      </c>
      <c r="CM1295" s="8">
        <f t="shared" si="958"/>
        <v>0</v>
      </c>
      <c r="CN1295" s="8">
        <f t="shared" si="959"/>
        <v>0</v>
      </c>
      <c r="CO1295" s="8">
        <f t="shared" si="960"/>
        <v>0</v>
      </c>
      <c r="CP1295" s="8">
        <f t="shared" si="961"/>
        <v>0</v>
      </c>
      <c r="CQ1295" s="8">
        <f t="shared" si="962"/>
        <v>0</v>
      </c>
      <c r="CR1295" s="8">
        <f t="shared" si="963"/>
        <v>0</v>
      </c>
      <c r="CS1295" s="8">
        <f t="shared" si="964"/>
        <v>0</v>
      </c>
      <c r="CT1295" s="8">
        <f t="shared" si="969"/>
        <v>0</v>
      </c>
      <c r="CU1295" s="8">
        <f t="shared" si="970"/>
        <v>0</v>
      </c>
      <c r="CV1295" s="8">
        <f t="shared" si="971"/>
        <v>0</v>
      </c>
    </row>
    <row r="1296" spans="1:100" ht="20.5" thickTop="1" thickBot="1" x14ac:dyDescent="0.5">
      <c r="A1296" s="32"/>
      <c r="B1296" s="10"/>
      <c r="C1296" s="10"/>
      <c r="D1296" s="11"/>
      <c r="E1296" s="10"/>
      <c r="F1296" s="10"/>
      <c r="G1296" s="19"/>
      <c r="H1296" s="19"/>
      <c r="I1296" s="19"/>
      <c r="J1296" s="19"/>
      <c r="K1296" s="10"/>
      <c r="L1296" s="10"/>
      <c r="M1296" s="10"/>
      <c r="N1296" s="10"/>
      <c r="O1296" s="18"/>
      <c r="P1296" s="18"/>
      <c r="Q1296" s="21"/>
      <c r="R1296" s="20"/>
      <c r="S1296" s="16">
        <f t="shared" si="927"/>
        <v>0</v>
      </c>
      <c r="T1296" s="11"/>
      <c r="AS1296" s="31">
        <f t="shared" si="928"/>
        <v>0</v>
      </c>
      <c r="AT1296" s="31">
        <f t="shared" si="929"/>
        <v>0</v>
      </c>
      <c r="AU1296" s="31">
        <f t="shared" si="930"/>
        <v>0</v>
      </c>
      <c r="AV1296" s="31">
        <f t="shared" si="931"/>
        <v>0</v>
      </c>
      <c r="AW1296" s="31">
        <f t="shared" si="932"/>
        <v>0</v>
      </c>
      <c r="AX1296" s="31">
        <f t="shared" si="933"/>
        <v>0</v>
      </c>
      <c r="AY1296" s="31">
        <f t="shared" si="934"/>
        <v>0</v>
      </c>
      <c r="AZ1296" s="31">
        <f t="shared" si="935"/>
        <v>0</v>
      </c>
      <c r="BA1296" s="31">
        <f t="shared" si="936"/>
        <v>0</v>
      </c>
      <c r="BB1296" s="31">
        <f t="shared" si="965"/>
        <v>0</v>
      </c>
      <c r="BM1296" s="8">
        <f t="shared" si="966"/>
        <v>0</v>
      </c>
      <c r="BN1296" s="8">
        <f t="shared" si="937"/>
        <v>0</v>
      </c>
      <c r="BO1296" s="8">
        <f t="shared" si="938"/>
        <v>0</v>
      </c>
      <c r="BQ1296" s="8">
        <f t="shared" si="939"/>
        <v>0</v>
      </c>
      <c r="BR1296" s="63">
        <f t="shared" si="940"/>
        <v>0</v>
      </c>
      <c r="BS1296" s="63">
        <f t="shared" si="967"/>
        <v>0</v>
      </c>
      <c r="BT1296" s="63">
        <f t="shared" si="941"/>
        <v>0</v>
      </c>
      <c r="BU1296" s="63">
        <f t="shared" si="942"/>
        <v>0</v>
      </c>
      <c r="BV1296" s="57">
        <f t="shared" si="943"/>
        <v>0</v>
      </c>
      <c r="BW1296" s="57">
        <f t="shared" si="944"/>
        <v>0</v>
      </c>
      <c r="BX1296" s="57">
        <f t="shared" si="968"/>
        <v>0</v>
      </c>
      <c r="BY1296" s="57">
        <f t="shared" si="926"/>
        <v>0</v>
      </c>
      <c r="BZ1296" s="8">
        <f t="shared" si="945"/>
        <v>0</v>
      </c>
      <c r="CA1296" s="8">
        <f t="shared" si="946"/>
        <v>0</v>
      </c>
      <c r="CB1296" s="8">
        <f t="shared" si="947"/>
        <v>0</v>
      </c>
      <c r="CC1296" s="8">
        <f t="shared" si="948"/>
        <v>0</v>
      </c>
      <c r="CD1296" s="8">
        <f t="shared" si="949"/>
        <v>0</v>
      </c>
      <c r="CE1296" s="8">
        <f t="shared" si="950"/>
        <v>0</v>
      </c>
      <c r="CF1296" s="8">
        <f t="shared" si="951"/>
        <v>0</v>
      </c>
      <c r="CG1296" s="8">
        <f t="shared" si="952"/>
        <v>0</v>
      </c>
      <c r="CH1296" s="8">
        <f t="shared" si="953"/>
        <v>0</v>
      </c>
      <c r="CI1296" s="8">
        <f t="shared" si="954"/>
        <v>0</v>
      </c>
      <c r="CJ1296" s="8">
        <f t="shared" si="955"/>
        <v>0</v>
      </c>
      <c r="CK1296" s="8">
        <f t="shared" si="956"/>
        <v>0</v>
      </c>
      <c r="CL1296" s="8">
        <f t="shared" si="957"/>
        <v>0</v>
      </c>
      <c r="CM1296" s="8">
        <f t="shared" si="958"/>
        <v>0</v>
      </c>
      <c r="CN1296" s="8">
        <f t="shared" si="959"/>
        <v>0</v>
      </c>
      <c r="CO1296" s="8">
        <f t="shared" si="960"/>
        <v>0</v>
      </c>
      <c r="CP1296" s="8">
        <f t="shared" si="961"/>
        <v>0</v>
      </c>
      <c r="CQ1296" s="8">
        <f t="shared" si="962"/>
        <v>0</v>
      </c>
      <c r="CR1296" s="8">
        <f t="shared" si="963"/>
        <v>0</v>
      </c>
      <c r="CS1296" s="8">
        <f t="shared" si="964"/>
        <v>0</v>
      </c>
      <c r="CT1296" s="8">
        <f t="shared" si="969"/>
        <v>0</v>
      </c>
      <c r="CU1296" s="8">
        <f t="shared" si="970"/>
        <v>0</v>
      </c>
      <c r="CV1296" s="8">
        <f t="shared" si="971"/>
        <v>0</v>
      </c>
    </row>
    <row r="1297" spans="1:100" ht="20.5" thickTop="1" thickBot="1" x14ac:dyDescent="0.5">
      <c r="A1297" s="32"/>
      <c r="B1297" s="10"/>
      <c r="C1297" s="10"/>
      <c r="D1297" s="11"/>
      <c r="E1297" s="10"/>
      <c r="F1297" s="10"/>
      <c r="G1297" s="19"/>
      <c r="H1297" s="19"/>
      <c r="I1297" s="19"/>
      <c r="J1297" s="19"/>
      <c r="K1297" s="10"/>
      <c r="L1297" s="10"/>
      <c r="M1297" s="10"/>
      <c r="N1297" s="10"/>
      <c r="O1297" s="18"/>
      <c r="P1297" s="18"/>
      <c r="Q1297" s="21"/>
      <c r="R1297" s="20"/>
      <c r="S1297" s="16">
        <f t="shared" si="927"/>
        <v>0</v>
      </c>
      <c r="T1297" s="11"/>
      <c r="AS1297" s="31">
        <f t="shared" si="928"/>
        <v>0</v>
      </c>
      <c r="AT1297" s="31">
        <f t="shared" si="929"/>
        <v>0</v>
      </c>
      <c r="AU1297" s="31">
        <f t="shared" si="930"/>
        <v>0</v>
      </c>
      <c r="AV1297" s="31">
        <f t="shared" si="931"/>
        <v>0</v>
      </c>
      <c r="AW1297" s="31">
        <f t="shared" si="932"/>
        <v>0</v>
      </c>
      <c r="AX1297" s="31">
        <f t="shared" si="933"/>
        <v>0</v>
      </c>
      <c r="AY1297" s="31">
        <f t="shared" si="934"/>
        <v>0</v>
      </c>
      <c r="AZ1297" s="31">
        <f t="shared" si="935"/>
        <v>0</v>
      </c>
      <c r="BA1297" s="31">
        <f t="shared" si="936"/>
        <v>0</v>
      </c>
      <c r="BB1297" s="31">
        <f t="shared" si="965"/>
        <v>0</v>
      </c>
      <c r="BM1297" s="8">
        <f t="shared" si="966"/>
        <v>0</v>
      </c>
      <c r="BN1297" s="8">
        <f t="shared" si="937"/>
        <v>0</v>
      </c>
      <c r="BO1297" s="8">
        <f t="shared" si="938"/>
        <v>0</v>
      </c>
      <c r="BQ1297" s="8">
        <f t="shared" si="939"/>
        <v>0</v>
      </c>
      <c r="BR1297" s="63">
        <f t="shared" si="940"/>
        <v>0</v>
      </c>
      <c r="BS1297" s="63">
        <f t="shared" si="967"/>
        <v>0</v>
      </c>
      <c r="BT1297" s="63">
        <f t="shared" si="941"/>
        <v>0</v>
      </c>
      <c r="BU1297" s="63">
        <f t="shared" si="942"/>
        <v>0</v>
      </c>
      <c r="BV1297" s="57">
        <f t="shared" si="943"/>
        <v>0</v>
      </c>
      <c r="BW1297" s="57">
        <f t="shared" si="944"/>
        <v>0</v>
      </c>
      <c r="BX1297" s="57">
        <f t="shared" si="968"/>
        <v>0</v>
      </c>
      <c r="BY1297" s="57">
        <f t="shared" si="926"/>
        <v>0</v>
      </c>
      <c r="BZ1297" s="8">
        <f t="shared" si="945"/>
        <v>0</v>
      </c>
      <c r="CA1297" s="8">
        <f t="shared" si="946"/>
        <v>0</v>
      </c>
      <c r="CB1297" s="8">
        <f t="shared" si="947"/>
        <v>0</v>
      </c>
      <c r="CC1297" s="8">
        <f t="shared" si="948"/>
        <v>0</v>
      </c>
      <c r="CD1297" s="8">
        <f t="shared" si="949"/>
        <v>0</v>
      </c>
      <c r="CE1297" s="8">
        <f t="shared" si="950"/>
        <v>0</v>
      </c>
      <c r="CF1297" s="8">
        <f t="shared" si="951"/>
        <v>0</v>
      </c>
      <c r="CG1297" s="8">
        <f t="shared" si="952"/>
        <v>0</v>
      </c>
      <c r="CH1297" s="8">
        <f t="shared" si="953"/>
        <v>0</v>
      </c>
      <c r="CI1297" s="8">
        <f t="shared" si="954"/>
        <v>0</v>
      </c>
      <c r="CJ1297" s="8">
        <f t="shared" si="955"/>
        <v>0</v>
      </c>
      <c r="CK1297" s="8">
        <f t="shared" si="956"/>
        <v>0</v>
      </c>
      <c r="CL1297" s="8">
        <f t="shared" si="957"/>
        <v>0</v>
      </c>
      <c r="CM1297" s="8">
        <f t="shared" si="958"/>
        <v>0</v>
      </c>
      <c r="CN1297" s="8">
        <f t="shared" si="959"/>
        <v>0</v>
      </c>
      <c r="CO1297" s="8">
        <f t="shared" si="960"/>
        <v>0</v>
      </c>
      <c r="CP1297" s="8">
        <f t="shared" si="961"/>
        <v>0</v>
      </c>
      <c r="CQ1297" s="8">
        <f t="shared" si="962"/>
        <v>0</v>
      </c>
      <c r="CR1297" s="8">
        <f t="shared" si="963"/>
        <v>0</v>
      </c>
      <c r="CS1297" s="8">
        <f t="shared" si="964"/>
        <v>0</v>
      </c>
      <c r="CT1297" s="8">
        <f t="shared" si="969"/>
        <v>0</v>
      </c>
      <c r="CU1297" s="8">
        <f t="shared" si="970"/>
        <v>0</v>
      </c>
      <c r="CV1297" s="8">
        <f t="shared" si="971"/>
        <v>0</v>
      </c>
    </row>
    <row r="1298" spans="1:100" ht="20.5" thickTop="1" thickBot="1" x14ac:dyDescent="0.5">
      <c r="A1298" s="32"/>
      <c r="B1298" s="10"/>
      <c r="C1298" s="10"/>
      <c r="D1298" s="11"/>
      <c r="E1298" s="10"/>
      <c r="F1298" s="10"/>
      <c r="G1298" s="19"/>
      <c r="H1298" s="19"/>
      <c r="I1298" s="19"/>
      <c r="J1298" s="19"/>
      <c r="K1298" s="10"/>
      <c r="L1298" s="10"/>
      <c r="M1298" s="10"/>
      <c r="N1298" s="10"/>
      <c r="O1298" s="18"/>
      <c r="P1298" s="18"/>
      <c r="Q1298" s="21"/>
      <c r="R1298" s="20"/>
      <c r="S1298" s="16">
        <f t="shared" si="927"/>
        <v>0</v>
      </c>
      <c r="T1298" s="11"/>
      <c r="AS1298" s="31">
        <f t="shared" si="928"/>
        <v>0</v>
      </c>
      <c r="AT1298" s="31">
        <f t="shared" si="929"/>
        <v>0</v>
      </c>
      <c r="AU1298" s="31">
        <f t="shared" si="930"/>
        <v>0</v>
      </c>
      <c r="AV1298" s="31">
        <f t="shared" si="931"/>
        <v>0</v>
      </c>
      <c r="AW1298" s="31">
        <f t="shared" si="932"/>
        <v>0</v>
      </c>
      <c r="AX1298" s="31">
        <f t="shared" si="933"/>
        <v>0</v>
      </c>
      <c r="AY1298" s="31">
        <f t="shared" si="934"/>
        <v>0</v>
      </c>
      <c r="AZ1298" s="31">
        <f t="shared" si="935"/>
        <v>0</v>
      </c>
      <c r="BA1298" s="31">
        <f t="shared" si="936"/>
        <v>0</v>
      </c>
      <c r="BB1298" s="31">
        <f t="shared" si="965"/>
        <v>0</v>
      </c>
      <c r="BM1298" s="8">
        <f t="shared" si="966"/>
        <v>0</v>
      </c>
      <c r="BN1298" s="8">
        <f t="shared" si="937"/>
        <v>0</v>
      </c>
      <c r="BO1298" s="8">
        <f t="shared" si="938"/>
        <v>0</v>
      </c>
      <c r="BQ1298" s="8">
        <f t="shared" si="939"/>
        <v>0</v>
      </c>
      <c r="BR1298" s="63">
        <f t="shared" si="940"/>
        <v>0</v>
      </c>
      <c r="BS1298" s="63">
        <f t="shared" si="967"/>
        <v>0</v>
      </c>
      <c r="BT1298" s="63">
        <f t="shared" si="941"/>
        <v>0</v>
      </c>
      <c r="BU1298" s="63">
        <f t="shared" si="942"/>
        <v>0</v>
      </c>
      <c r="BV1298" s="57">
        <f t="shared" si="943"/>
        <v>0</v>
      </c>
      <c r="BW1298" s="57">
        <f t="shared" si="944"/>
        <v>0</v>
      </c>
      <c r="BX1298" s="57">
        <f t="shared" si="968"/>
        <v>0</v>
      </c>
      <c r="BY1298" s="57">
        <f t="shared" si="926"/>
        <v>0</v>
      </c>
      <c r="BZ1298" s="8">
        <f t="shared" si="945"/>
        <v>0</v>
      </c>
      <c r="CA1298" s="8">
        <f t="shared" si="946"/>
        <v>0</v>
      </c>
      <c r="CB1298" s="8">
        <f t="shared" si="947"/>
        <v>0</v>
      </c>
      <c r="CC1298" s="8">
        <f t="shared" si="948"/>
        <v>0</v>
      </c>
      <c r="CD1298" s="8">
        <f t="shared" si="949"/>
        <v>0</v>
      </c>
      <c r="CE1298" s="8">
        <f t="shared" si="950"/>
        <v>0</v>
      </c>
      <c r="CF1298" s="8">
        <f t="shared" si="951"/>
        <v>0</v>
      </c>
      <c r="CG1298" s="8">
        <f t="shared" si="952"/>
        <v>0</v>
      </c>
      <c r="CH1298" s="8">
        <f t="shared" si="953"/>
        <v>0</v>
      </c>
      <c r="CI1298" s="8">
        <f t="shared" si="954"/>
        <v>0</v>
      </c>
      <c r="CJ1298" s="8">
        <f t="shared" si="955"/>
        <v>0</v>
      </c>
      <c r="CK1298" s="8">
        <f t="shared" si="956"/>
        <v>0</v>
      </c>
      <c r="CL1298" s="8">
        <f t="shared" si="957"/>
        <v>0</v>
      </c>
      <c r="CM1298" s="8">
        <f t="shared" si="958"/>
        <v>0</v>
      </c>
      <c r="CN1298" s="8">
        <f t="shared" si="959"/>
        <v>0</v>
      </c>
      <c r="CO1298" s="8">
        <f t="shared" si="960"/>
        <v>0</v>
      </c>
      <c r="CP1298" s="8">
        <f t="shared" si="961"/>
        <v>0</v>
      </c>
      <c r="CQ1298" s="8">
        <f t="shared" si="962"/>
        <v>0</v>
      </c>
      <c r="CR1298" s="8">
        <f t="shared" si="963"/>
        <v>0</v>
      </c>
      <c r="CS1298" s="8">
        <f t="shared" si="964"/>
        <v>0</v>
      </c>
      <c r="CT1298" s="8">
        <f t="shared" si="969"/>
        <v>0</v>
      </c>
      <c r="CU1298" s="8">
        <f t="shared" si="970"/>
        <v>0</v>
      </c>
      <c r="CV1298" s="8">
        <f t="shared" si="971"/>
        <v>0</v>
      </c>
    </row>
    <row r="1299" spans="1:100" ht="20.5" thickTop="1" thickBot="1" x14ac:dyDescent="0.5">
      <c r="A1299" s="32"/>
      <c r="B1299" s="10"/>
      <c r="C1299" s="10"/>
      <c r="D1299" s="11"/>
      <c r="E1299" s="10"/>
      <c r="F1299" s="10"/>
      <c r="G1299" s="19"/>
      <c r="H1299" s="19"/>
      <c r="I1299" s="19"/>
      <c r="J1299" s="19"/>
      <c r="K1299" s="10"/>
      <c r="L1299" s="10"/>
      <c r="M1299" s="10"/>
      <c r="N1299" s="10"/>
      <c r="O1299" s="18"/>
      <c r="P1299" s="18"/>
      <c r="Q1299" s="21"/>
      <c r="R1299" s="20"/>
      <c r="S1299" s="16">
        <f t="shared" si="927"/>
        <v>0</v>
      </c>
      <c r="T1299" s="11"/>
      <c r="AS1299" s="31">
        <f t="shared" si="928"/>
        <v>0</v>
      </c>
      <c r="AT1299" s="31">
        <f t="shared" si="929"/>
        <v>0</v>
      </c>
      <c r="AU1299" s="31">
        <f t="shared" si="930"/>
        <v>0</v>
      </c>
      <c r="AV1299" s="31">
        <f t="shared" si="931"/>
        <v>0</v>
      </c>
      <c r="AW1299" s="31">
        <f t="shared" si="932"/>
        <v>0</v>
      </c>
      <c r="AX1299" s="31">
        <f t="shared" si="933"/>
        <v>0</v>
      </c>
      <c r="AY1299" s="31">
        <f t="shared" si="934"/>
        <v>0</v>
      </c>
      <c r="AZ1299" s="31">
        <f t="shared" si="935"/>
        <v>0</v>
      </c>
      <c r="BA1299" s="31">
        <f t="shared" si="936"/>
        <v>0</v>
      </c>
      <c r="BB1299" s="31">
        <f t="shared" si="965"/>
        <v>0</v>
      </c>
      <c r="BM1299" s="8">
        <f t="shared" si="966"/>
        <v>0</v>
      </c>
      <c r="BN1299" s="8">
        <f t="shared" si="937"/>
        <v>0</v>
      </c>
      <c r="BO1299" s="8">
        <f t="shared" si="938"/>
        <v>0</v>
      </c>
      <c r="BQ1299" s="8">
        <f t="shared" si="939"/>
        <v>0</v>
      </c>
      <c r="BR1299" s="63">
        <f t="shared" si="940"/>
        <v>0</v>
      </c>
      <c r="BS1299" s="63">
        <f t="shared" si="967"/>
        <v>0</v>
      </c>
      <c r="BT1299" s="63">
        <f t="shared" si="941"/>
        <v>0</v>
      </c>
      <c r="BU1299" s="63">
        <f t="shared" si="942"/>
        <v>0</v>
      </c>
      <c r="BV1299" s="57">
        <f t="shared" si="943"/>
        <v>0</v>
      </c>
      <c r="BW1299" s="57">
        <f t="shared" si="944"/>
        <v>0</v>
      </c>
      <c r="BX1299" s="57">
        <f t="shared" si="968"/>
        <v>0</v>
      </c>
      <c r="BY1299" s="57">
        <f t="shared" si="926"/>
        <v>0</v>
      </c>
      <c r="BZ1299" s="8">
        <f t="shared" si="945"/>
        <v>0</v>
      </c>
      <c r="CA1299" s="8">
        <f t="shared" si="946"/>
        <v>0</v>
      </c>
      <c r="CB1299" s="8">
        <f t="shared" si="947"/>
        <v>0</v>
      </c>
      <c r="CC1299" s="8">
        <f t="shared" si="948"/>
        <v>0</v>
      </c>
      <c r="CD1299" s="8">
        <f t="shared" si="949"/>
        <v>0</v>
      </c>
      <c r="CE1299" s="8">
        <f t="shared" si="950"/>
        <v>0</v>
      </c>
      <c r="CF1299" s="8">
        <f t="shared" si="951"/>
        <v>0</v>
      </c>
      <c r="CG1299" s="8">
        <f t="shared" si="952"/>
        <v>0</v>
      </c>
      <c r="CH1299" s="8">
        <f t="shared" si="953"/>
        <v>0</v>
      </c>
      <c r="CI1299" s="8">
        <f t="shared" si="954"/>
        <v>0</v>
      </c>
      <c r="CJ1299" s="8">
        <f t="shared" si="955"/>
        <v>0</v>
      </c>
      <c r="CK1299" s="8">
        <f t="shared" si="956"/>
        <v>0</v>
      </c>
      <c r="CL1299" s="8">
        <f t="shared" si="957"/>
        <v>0</v>
      </c>
      <c r="CM1299" s="8">
        <f t="shared" si="958"/>
        <v>0</v>
      </c>
      <c r="CN1299" s="8">
        <f t="shared" si="959"/>
        <v>0</v>
      </c>
      <c r="CO1299" s="8">
        <f t="shared" si="960"/>
        <v>0</v>
      </c>
      <c r="CP1299" s="8">
        <f t="shared" si="961"/>
        <v>0</v>
      </c>
      <c r="CQ1299" s="8">
        <f t="shared" si="962"/>
        <v>0</v>
      </c>
      <c r="CR1299" s="8">
        <f t="shared" si="963"/>
        <v>0</v>
      </c>
      <c r="CS1299" s="8">
        <f t="shared" si="964"/>
        <v>0</v>
      </c>
      <c r="CT1299" s="8">
        <f t="shared" si="969"/>
        <v>0</v>
      </c>
      <c r="CU1299" s="8">
        <f t="shared" si="970"/>
        <v>0</v>
      </c>
      <c r="CV1299" s="8">
        <f t="shared" si="971"/>
        <v>0</v>
      </c>
    </row>
    <row r="1300" spans="1:100" ht="20.5" thickTop="1" thickBot="1" x14ac:dyDescent="0.5">
      <c r="A1300" s="32"/>
      <c r="B1300" s="10"/>
      <c r="C1300" s="10"/>
      <c r="D1300" s="11"/>
      <c r="E1300" s="10"/>
      <c r="F1300" s="10"/>
      <c r="G1300" s="19"/>
      <c r="H1300" s="19"/>
      <c r="I1300" s="19"/>
      <c r="J1300" s="19"/>
      <c r="K1300" s="10"/>
      <c r="L1300" s="10"/>
      <c r="M1300" s="10"/>
      <c r="N1300" s="10"/>
      <c r="O1300" s="18"/>
      <c r="P1300" s="18"/>
      <c r="Q1300" s="21"/>
      <c r="R1300" s="20"/>
      <c r="S1300" s="16">
        <f t="shared" si="927"/>
        <v>0</v>
      </c>
      <c r="T1300" s="11"/>
      <c r="AS1300" s="31">
        <f t="shared" si="928"/>
        <v>0</v>
      </c>
      <c r="AT1300" s="31">
        <f t="shared" si="929"/>
        <v>0</v>
      </c>
      <c r="AU1300" s="31">
        <f t="shared" si="930"/>
        <v>0</v>
      </c>
      <c r="AV1300" s="31">
        <f t="shared" si="931"/>
        <v>0</v>
      </c>
      <c r="AW1300" s="31">
        <f t="shared" si="932"/>
        <v>0</v>
      </c>
      <c r="AX1300" s="31">
        <f t="shared" si="933"/>
        <v>0</v>
      </c>
      <c r="AY1300" s="31">
        <f t="shared" si="934"/>
        <v>0</v>
      </c>
      <c r="AZ1300" s="31">
        <f t="shared" si="935"/>
        <v>0</v>
      </c>
      <c r="BA1300" s="31">
        <f t="shared" si="936"/>
        <v>0</v>
      </c>
      <c r="BB1300" s="31">
        <f t="shared" si="965"/>
        <v>0</v>
      </c>
      <c r="BM1300" s="8">
        <f t="shared" si="966"/>
        <v>0</v>
      </c>
      <c r="BN1300" s="8">
        <f t="shared" si="937"/>
        <v>0</v>
      </c>
      <c r="BO1300" s="8">
        <f t="shared" si="938"/>
        <v>0</v>
      </c>
      <c r="BQ1300" s="8">
        <f t="shared" si="939"/>
        <v>0</v>
      </c>
      <c r="BR1300" s="63">
        <f t="shared" si="940"/>
        <v>0</v>
      </c>
      <c r="BS1300" s="63">
        <f t="shared" si="967"/>
        <v>0</v>
      </c>
      <c r="BT1300" s="63">
        <f t="shared" si="941"/>
        <v>0</v>
      </c>
      <c r="BU1300" s="63">
        <f t="shared" si="942"/>
        <v>0</v>
      </c>
      <c r="BV1300" s="57">
        <f t="shared" si="943"/>
        <v>0</v>
      </c>
      <c r="BW1300" s="57">
        <f t="shared" si="944"/>
        <v>0</v>
      </c>
      <c r="BX1300" s="57">
        <f t="shared" si="968"/>
        <v>0</v>
      </c>
      <c r="BY1300" s="57">
        <f t="shared" si="926"/>
        <v>0</v>
      </c>
      <c r="BZ1300" s="8">
        <f t="shared" si="945"/>
        <v>0</v>
      </c>
      <c r="CA1300" s="8">
        <f t="shared" si="946"/>
        <v>0</v>
      </c>
      <c r="CB1300" s="8">
        <f t="shared" si="947"/>
        <v>0</v>
      </c>
      <c r="CC1300" s="8">
        <f t="shared" si="948"/>
        <v>0</v>
      </c>
      <c r="CD1300" s="8">
        <f t="shared" si="949"/>
        <v>0</v>
      </c>
      <c r="CE1300" s="8">
        <f t="shared" si="950"/>
        <v>0</v>
      </c>
      <c r="CF1300" s="8">
        <f t="shared" si="951"/>
        <v>0</v>
      </c>
      <c r="CG1300" s="8">
        <f t="shared" si="952"/>
        <v>0</v>
      </c>
      <c r="CH1300" s="8">
        <f t="shared" si="953"/>
        <v>0</v>
      </c>
      <c r="CI1300" s="8">
        <f t="shared" si="954"/>
        <v>0</v>
      </c>
      <c r="CJ1300" s="8">
        <f t="shared" si="955"/>
        <v>0</v>
      </c>
      <c r="CK1300" s="8">
        <f t="shared" si="956"/>
        <v>0</v>
      </c>
      <c r="CL1300" s="8">
        <f t="shared" si="957"/>
        <v>0</v>
      </c>
      <c r="CM1300" s="8">
        <f t="shared" si="958"/>
        <v>0</v>
      </c>
      <c r="CN1300" s="8">
        <f t="shared" si="959"/>
        <v>0</v>
      </c>
      <c r="CO1300" s="8">
        <f t="shared" si="960"/>
        <v>0</v>
      </c>
      <c r="CP1300" s="8">
        <f t="shared" si="961"/>
        <v>0</v>
      </c>
      <c r="CQ1300" s="8">
        <f t="shared" si="962"/>
        <v>0</v>
      </c>
      <c r="CR1300" s="8">
        <f t="shared" si="963"/>
        <v>0</v>
      </c>
      <c r="CS1300" s="8">
        <f t="shared" si="964"/>
        <v>0</v>
      </c>
      <c r="CT1300" s="8">
        <f t="shared" si="969"/>
        <v>0</v>
      </c>
      <c r="CU1300" s="8">
        <f t="shared" si="970"/>
        <v>0</v>
      </c>
      <c r="CV1300" s="8">
        <f t="shared" si="971"/>
        <v>0</v>
      </c>
    </row>
    <row r="1301" spans="1:100" ht="20.5" thickTop="1" thickBot="1" x14ac:dyDescent="0.5">
      <c r="A1301" s="32"/>
      <c r="B1301" s="10"/>
      <c r="C1301" s="10"/>
      <c r="D1301" s="11"/>
      <c r="E1301" s="10"/>
      <c r="F1301" s="10"/>
      <c r="G1301" s="19"/>
      <c r="H1301" s="19"/>
      <c r="I1301" s="19"/>
      <c r="J1301" s="19"/>
      <c r="K1301" s="10"/>
      <c r="L1301" s="10"/>
      <c r="M1301" s="10"/>
      <c r="N1301" s="10"/>
      <c r="O1301" s="18"/>
      <c r="P1301" s="18"/>
      <c r="Q1301" s="21"/>
      <c r="R1301" s="20"/>
      <c r="S1301" s="16">
        <f t="shared" si="927"/>
        <v>0</v>
      </c>
      <c r="T1301" s="11"/>
      <c r="AS1301" s="31">
        <f t="shared" si="928"/>
        <v>0</v>
      </c>
      <c r="AT1301" s="31">
        <f t="shared" si="929"/>
        <v>0</v>
      </c>
      <c r="AU1301" s="31">
        <f t="shared" si="930"/>
        <v>0</v>
      </c>
      <c r="AV1301" s="31">
        <f t="shared" si="931"/>
        <v>0</v>
      </c>
      <c r="AW1301" s="31">
        <f t="shared" si="932"/>
        <v>0</v>
      </c>
      <c r="AX1301" s="31">
        <f t="shared" si="933"/>
        <v>0</v>
      </c>
      <c r="AY1301" s="31">
        <f t="shared" si="934"/>
        <v>0</v>
      </c>
      <c r="AZ1301" s="31">
        <f t="shared" si="935"/>
        <v>0</v>
      </c>
      <c r="BA1301" s="31">
        <f t="shared" si="936"/>
        <v>0</v>
      </c>
      <c r="BB1301" s="31">
        <f t="shared" si="965"/>
        <v>0</v>
      </c>
      <c r="BM1301" s="8">
        <f t="shared" si="966"/>
        <v>0</v>
      </c>
      <c r="BN1301" s="8">
        <f t="shared" si="937"/>
        <v>0</v>
      </c>
      <c r="BO1301" s="8">
        <f t="shared" si="938"/>
        <v>0</v>
      </c>
      <c r="BQ1301" s="8">
        <f t="shared" si="939"/>
        <v>0</v>
      </c>
      <c r="BR1301" s="63">
        <f t="shared" si="940"/>
        <v>0</v>
      </c>
      <c r="BS1301" s="63">
        <f t="shared" si="967"/>
        <v>0</v>
      </c>
      <c r="BT1301" s="63">
        <f t="shared" si="941"/>
        <v>0</v>
      </c>
      <c r="BU1301" s="63">
        <f t="shared" si="942"/>
        <v>0</v>
      </c>
      <c r="BV1301" s="57">
        <f t="shared" si="943"/>
        <v>0</v>
      </c>
      <c r="BW1301" s="57">
        <f t="shared" si="944"/>
        <v>0</v>
      </c>
      <c r="BX1301" s="57">
        <f t="shared" si="968"/>
        <v>0</v>
      </c>
      <c r="BY1301" s="57">
        <f t="shared" si="926"/>
        <v>0</v>
      </c>
      <c r="BZ1301" s="8">
        <f t="shared" si="945"/>
        <v>0</v>
      </c>
      <c r="CA1301" s="8">
        <f t="shared" si="946"/>
        <v>0</v>
      </c>
      <c r="CB1301" s="8">
        <f t="shared" si="947"/>
        <v>0</v>
      </c>
      <c r="CC1301" s="8">
        <f t="shared" si="948"/>
        <v>0</v>
      </c>
      <c r="CD1301" s="8">
        <f t="shared" si="949"/>
        <v>0</v>
      </c>
      <c r="CE1301" s="8">
        <f t="shared" si="950"/>
        <v>0</v>
      </c>
      <c r="CF1301" s="8">
        <f t="shared" si="951"/>
        <v>0</v>
      </c>
      <c r="CG1301" s="8">
        <f t="shared" si="952"/>
        <v>0</v>
      </c>
      <c r="CH1301" s="8">
        <f t="shared" si="953"/>
        <v>0</v>
      </c>
      <c r="CI1301" s="8">
        <f t="shared" si="954"/>
        <v>0</v>
      </c>
      <c r="CJ1301" s="8">
        <f t="shared" si="955"/>
        <v>0</v>
      </c>
      <c r="CK1301" s="8">
        <f t="shared" si="956"/>
        <v>0</v>
      </c>
      <c r="CL1301" s="8">
        <f t="shared" si="957"/>
        <v>0</v>
      </c>
      <c r="CM1301" s="8">
        <f t="shared" si="958"/>
        <v>0</v>
      </c>
      <c r="CN1301" s="8">
        <f t="shared" si="959"/>
        <v>0</v>
      </c>
      <c r="CO1301" s="8">
        <f t="shared" si="960"/>
        <v>0</v>
      </c>
      <c r="CP1301" s="8">
        <f t="shared" si="961"/>
        <v>0</v>
      </c>
      <c r="CQ1301" s="8">
        <f t="shared" si="962"/>
        <v>0</v>
      </c>
      <c r="CR1301" s="8">
        <f t="shared" si="963"/>
        <v>0</v>
      </c>
      <c r="CS1301" s="8">
        <f t="shared" si="964"/>
        <v>0</v>
      </c>
      <c r="CT1301" s="8">
        <f t="shared" si="969"/>
        <v>0</v>
      </c>
      <c r="CU1301" s="8">
        <f t="shared" si="970"/>
        <v>0</v>
      </c>
      <c r="CV1301" s="8">
        <f t="shared" si="971"/>
        <v>0</v>
      </c>
    </row>
    <row r="1302" spans="1:100" ht="20.5" thickTop="1" thickBot="1" x14ac:dyDescent="0.5">
      <c r="A1302" s="32"/>
      <c r="B1302" s="10"/>
      <c r="C1302" s="10"/>
      <c r="D1302" s="11"/>
      <c r="E1302" s="10"/>
      <c r="F1302" s="10"/>
      <c r="G1302" s="19"/>
      <c r="H1302" s="19"/>
      <c r="I1302" s="19"/>
      <c r="J1302" s="19"/>
      <c r="K1302" s="10"/>
      <c r="L1302" s="10"/>
      <c r="M1302" s="10"/>
      <c r="N1302" s="10"/>
      <c r="O1302" s="18"/>
      <c r="P1302" s="18"/>
      <c r="Q1302" s="21"/>
      <c r="R1302" s="20"/>
      <c r="S1302" s="16">
        <f t="shared" si="927"/>
        <v>0</v>
      </c>
      <c r="T1302" s="11"/>
      <c r="AS1302" s="31">
        <f t="shared" si="928"/>
        <v>0</v>
      </c>
      <c r="AT1302" s="31">
        <f t="shared" si="929"/>
        <v>0</v>
      </c>
      <c r="AU1302" s="31">
        <f t="shared" si="930"/>
        <v>0</v>
      </c>
      <c r="AV1302" s="31">
        <f t="shared" si="931"/>
        <v>0</v>
      </c>
      <c r="AW1302" s="31">
        <f t="shared" si="932"/>
        <v>0</v>
      </c>
      <c r="AX1302" s="31">
        <f t="shared" si="933"/>
        <v>0</v>
      </c>
      <c r="AY1302" s="31">
        <f t="shared" si="934"/>
        <v>0</v>
      </c>
      <c r="AZ1302" s="31">
        <f t="shared" si="935"/>
        <v>0</v>
      </c>
      <c r="BA1302" s="31">
        <f t="shared" si="936"/>
        <v>0</v>
      </c>
      <c r="BB1302" s="31">
        <f t="shared" si="965"/>
        <v>0</v>
      </c>
      <c r="BM1302" s="8">
        <f t="shared" si="966"/>
        <v>0</v>
      </c>
      <c r="BN1302" s="8">
        <f t="shared" si="937"/>
        <v>0</v>
      </c>
      <c r="BO1302" s="8">
        <f t="shared" si="938"/>
        <v>0</v>
      </c>
      <c r="BQ1302" s="8">
        <f t="shared" si="939"/>
        <v>0</v>
      </c>
      <c r="BR1302" s="63">
        <f t="shared" si="940"/>
        <v>0</v>
      </c>
      <c r="BS1302" s="63">
        <f t="shared" si="967"/>
        <v>0</v>
      </c>
      <c r="BT1302" s="63">
        <f t="shared" si="941"/>
        <v>0</v>
      </c>
      <c r="BU1302" s="63">
        <f t="shared" si="942"/>
        <v>0</v>
      </c>
      <c r="BV1302" s="57">
        <f t="shared" si="943"/>
        <v>0</v>
      </c>
      <c r="BW1302" s="57">
        <f t="shared" si="944"/>
        <v>0</v>
      </c>
      <c r="BX1302" s="57">
        <f t="shared" si="968"/>
        <v>0</v>
      </c>
      <c r="BY1302" s="57">
        <f t="shared" si="926"/>
        <v>0</v>
      </c>
      <c r="BZ1302" s="8">
        <f t="shared" si="945"/>
        <v>0</v>
      </c>
      <c r="CA1302" s="8">
        <f t="shared" si="946"/>
        <v>0</v>
      </c>
      <c r="CB1302" s="8">
        <f t="shared" si="947"/>
        <v>0</v>
      </c>
      <c r="CC1302" s="8">
        <f t="shared" si="948"/>
        <v>0</v>
      </c>
      <c r="CD1302" s="8">
        <f t="shared" si="949"/>
        <v>0</v>
      </c>
      <c r="CE1302" s="8">
        <f t="shared" si="950"/>
        <v>0</v>
      </c>
      <c r="CF1302" s="8">
        <f t="shared" si="951"/>
        <v>0</v>
      </c>
      <c r="CG1302" s="8">
        <f t="shared" si="952"/>
        <v>0</v>
      </c>
      <c r="CH1302" s="8">
        <f t="shared" si="953"/>
        <v>0</v>
      </c>
      <c r="CI1302" s="8">
        <f t="shared" si="954"/>
        <v>0</v>
      </c>
      <c r="CJ1302" s="8">
        <f t="shared" si="955"/>
        <v>0</v>
      </c>
      <c r="CK1302" s="8">
        <f t="shared" si="956"/>
        <v>0</v>
      </c>
      <c r="CL1302" s="8">
        <f t="shared" si="957"/>
        <v>0</v>
      </c>
      <c r="CM1302" s="8">
        <f t="shared" si="958"/>
        <v>0</v>
      </c>
      <c r="CN1302" s="8">
        <f t="shared" si="959"/>
        <v>0</v>
      </c>
      <c r="CO1302" s="8">
        <f t="shared" si="960"/>
        <v>0</v>
      </c>
      <c r="CP1302" s="8">
        <f t="shared" si="961"/>
        <v>0</v>
      </c>
      <c r="CQ1302" s="8">
        <f t="shared" si="962"/>
        <v>0</v>
      </c>
      <c r="CR1302" s="8">
        <f t="shared" si="963"/>
        <v>0</v>
      </c>
      <c r="CS1302" s="8">
        <f t="shared" si="964"/>
        <v>0</v>
      </c>
      <c r="CT1302" s="8">
        <f t="shared" si="969"/>
        <v>0</v>
      </c>
      <c r="CU1302" s="8">
        <f t="shared" si="970"/>
        <v>0</v>
      </c>
      <c r="CV1302" s="8">
        <f t="shared" si="971"/>
        <v>0</v>
      </c>
    </row>
    <row r="1303" spans="1:100" ht="20.5" thickTop="1" thickBot="1" x14ac:dyDescent="0.5">
      <c r="A1303" s="32"/>
      <c r="B1303" s="10"/>
      <c r="C1303" s="10"/>
      <c r="D1303" s="11"/>
      <c r="E1303" s="10"/>
      <c r="F1303" s="10"/>
      <c r="G1303" s="19"/>
      <c r="H1303" s="19"/>
      <c r="I1303" s="19"/>
      <c r="J1303" s="19"/>
      <c r="K1303" s="10"/>
      <c r="L1303" s="10"/>
      <c r="M1303" s="10"/>
      <c r="N1303" s="10"/>
      <c r="O1303" s="18"/>
      <c r="P1303" s="18"/>
      <c r="Q1303" s="21"/>
      <c r="R1303" s="20"/>
      <c r="S1303" s="16">
        <f t="shared" si="927"/>
        <v>0</v>
      </c>
      <c r="T1303" s="11"/>
      <c r="AS1303" s="31">
        <f t="shared" si="928"/>
        <v>0</v>
      </c>
      <c r="AT1303" s="31">
        <f t="shared" si="929"/>
        <v>0</v>
      </c>
      <c r="AU1303" s="31">
        <f t="shared" si="930"/>
        <v>0</v>
      </c>
      <c r="AV1303" s="31">
        <f t="shared" si="931"/>
        <v>0</v>
      </c>
      <c r="AW1303" s="31">
        <f t="shared" si="932"/>
        <v>0</v>
      </c>
      <c r="AX1303" s="31">
        <f t="shared" si="933"/>
        <v>0</v>
      </c>
      <c r="AY1303" s="31">
        <f t="shared" si="934"/>
        <v>0</v>
      </c>
      <c r="AZ1303" s="31">
        <f t="shared" si="935"/>
        <v>0</v>
      </c>
      <c r="BA1303" s="31">
        <f t="shared" si="936"/>
        <v>0</v>
      </c>
      <c r="BB1303" s="31">
        <f t="shared" si="965"/>
        <v>0</v>
      </c>
      <c r="BM1303" s="8">
        <f t="shared" si="966"/>
        <v>0</v>
      </c>
      <c r="BN1303" s="8">
        <f t="shared" si="937"/>
        <v>0</v>
      </c>
      <c r="BO1303" s="8">
        <f t="shared" si="938"/>
        <v>0</v>
      </c>
      <c r="BQ1303" s="8">
        <f t="shared" si="939"/>
        <v>0</v>
      </c>
      <c r="BR1303" s="63">
        <f t="shared" si="940"/>
        <v>0</v>
      </c>
      <c r="BS1303" s="63">
        <f t="shared" si="967"/>
        <v>0</v>
      </c>
      <c r="BT1303" s="63">
        <f t="shared" si="941"/>
        <v>0</v>
      </c>
      <c r="BU1303" s="63">
        <f t="shared" si="942"/>
        <v>0</v>
      </c>
      <c r="BV1303" s="57">
        <f t="shared" si="943"/>
        <v>0</v>
      </c>
      <c r="BW1303" s="57">
        <f t="shared" si="944"/>
        <v>0</v>
      </c>
      <c r="BX1303" s="57">
        <f t="shared" si="968"/>
        <v>0</v>
      </c>
      <c r="BY1303" s="57">
        <f t="shared" si="926"/>
        <v>0</v>
      </c>
      <c r="BZ1303" s="8">
        <f t="shared" si="945"/>
        <v>0</v>
      </c>
      <c r="CA1303" s="8">
        <f t="shared" si="946"/>
        <v>0</v>
      </c>
      <c r="CB1303" s="8">
        <f t="shared" si="947"/>
        <v>0</v>
      </c>
      <c r="CC1303" s="8">
        <f t="shared" si="948"/>
        <v>0</v>
      </c>
      <c r="CD1303" s="8">
        <f t="shared" si="949"/>
        <v>0</v>
      </c>
      <c r="CE1303" s="8">
        <f t="shared" si="950"/>
        <v>0</v>
      </c>
      <c r="CF1303" s="8">
        <f t="shared" si="951"/>
        <v>0</v>
      </c>
      <c r="CG1303" s="8">
        <f t="shared" si="952"/>
        <v>0</v>
      </c>
      <c r="CH1303" s="8">
        <f t="shared" si="953"/>
        <v>0</v>
      </c>
      <c r="CI1303" s="8">
        <f t="shared" si="954"/>
        <v>0</v>
      </c>
      <c r="CJ1303" s="8">
        <f t="shared" si="955"/>
        <v>0</v>
      </c>
      <c r="CK1303" s="8">
        <f t="shared" si="956"/>
        <v>0</v>
      </c>
      <c r="CL1303" s="8">
        <f t="shared" si="957"/>
        <v>0</v>
      </c>
      <c r="CM1303" s="8">
        <f t="shared" si="958"/>
        <v>0</v>
      </c>
      <c r="CN1303" s="8">
        <f t="shared" si="959"/>
        <v>0</v>
      </c>
      <c r="CO1303" s="8">
        <f t="shared" si="960"/>
        <v>0</v>
      </c>
      <c r="CP1303" s="8">
        <f t="shared" si="961"/>
        <v>0</v>
      </c>
      <c r="CQ1303" s="8">
        <f t="shared" si="962"/>
        <v>0</v>
      </c>
      <c r="CR1303" s="8">
        <f t="shared" si="963"/>
        <v>0</v>
      </c>
      <c r="CS1303" s="8">
        <f t="shared" si="964"/>
        <v>0</v>
      </c>
      <c r="CT1303" s="8">
        <f t="shared" si="969"/>
        <v>0</v>
      </c>
      <c r="CU1303" s="8">
        <f t="shared" si="970"/>
        <v>0</v>
      </c>
      <c r="CV1303" s="8">
        <f t="shared" si="971"/>
        <v>0</v>
      </c>
    </row>
    <row r="1304" spans="1:100" ht="20.5" thickTop="1" thickBot="1" x14ac:dyDescent="0.5">
      <c r="A1304" s="32"/>
      <c r="B1304" s="10"/>
      <c r="C1304" s="10"/>
      <c r="D1304" s="11"/>
      <c r="E1304" s="10"/>
      <c r="F1304" s="10"/>
      <c r="G1304" s="19"/>
      <c r="H1304" s="19"/>
      <c r="I1304" s="19"/>
      <c r="J1304" s="19"/>
      <c r="K1304" s="10"/>
      <c r="L1304" s="10"/>
      <c r="M1304" s="10"/>
      <c r="N1304" s="10"/>
      <c r="O1304" s="18"/>
      <c r="P1304" s="18"/>
      <c r="Q1304" s="21"/>
      <c r="R1304" s="20"/>
      <c r="S1304" s="16">
        <f t="shared" si="927"/>
        <v>0</v>
      </c>
      <c r="T1304" s="11"/>
      <c r="AS1304" s="31">
        <f t="shared" si="928"/>
        <v>0</v>
      </c>
      <c r="AT1304" s="31">
        <f t="shared" si="929"/>
        <v>0</v>
      </c>
      <c r="AU1304" s="31">
        <f t="shared" si="930"/>
        <v>0</v>
      </c>
      <c r="AV1304" s="31">
        <f t="shared" si="931"/>
        <v>0</v>
      </c>
      <c r="AW1304" s="31">
        <f t="shared" si="932"/>
        <v>0</v>
      </c>
      <c r="AX1304" s="31">
        <f t="shared" si="933"/>
        <v>0</v>
      </c>
      <c r="AY1304" s="31">
        <f t="shared" si="934"/>
        <v>0</v>
      </c>
      <c r="AZ1304" s="31">
        <f t="shared" si="935"/>
        <v>0</v>
      </c>
      <c r="BA1304" s="31">
        <f t="shared" si="936"/>
        <v>0</v>
      </c>
      <c r="BB1304" s="31">
        <f t="shared" si="965"/>
        <v>0</v>
      </c>
      <c r="BM1304" s="8">
        <f t="shared" si="966"/>
        <v>0</v>
      </c>
      <c r="BN1304" s="8">
        <f t="shared" si="937"/>
        <v>0</v>
      </c>
      <c r="BO1304" s="8">
        <f t="shared" si="938"/>
        <v>0</v>
      </c>
      <c r="BQ1304" s="8">
        <f t="shared" si="939"/>
        <v>0</v>
      </c>
      <c r="BR1304" s="63">
        <f t="shared" si="940"/>
        <v>0</v>
      </c>
      <c r="BS1304" s="63">
        <f t="shared" si="967"/>
        <v>0</v>
      </c>
      <c r="BT1304" s="63">
        <f t="shared" si="941"/>
        <v>0</v>
      </c>
      <c r="BU1304" s="63">
        <f t="shared" si="942"/>
        <v>0</v>
      </c>
      <c r="BV1304" s="57">
        <f t="shared" si="943"/>
        <v>0</v>
      </c>
      <c r="BW1304" s="57">
        <f t="shared" si="944"/>
        <v>0</v>
      </c>
      <c r="BX1304" s="57">
        <f t="shared" si="968"/>
        <v>0</v>
      </c>
      <c r="BY1304" s="57">
        <f t="shared" si="926"/>
        <v>0</v>
      </c>
      <c r="BZ1304" s="8">
        <f t="shared" si="945"/>
        <v>0</v>
      </c>
      <c r="CA1304" s="8">
        <f t="shared" si="946"/>
        <v>0</v>
      </c>
      <c r="CB1304" s="8">
        <f t="shared" si="947"/>
        <v>0</v>
      </c>
      <c r="CC1304" s="8">
        <f t="shared" si="948"/>
        <v>0</v>
      </c>
      <c r="CD1304" s="8">
        <f t="shared" si="949"/>
        <v>0</v>
      </c>
      <c r="CE1304" s="8">
        <f t="shared" si="950"/>
        <v>0</v>
      </c>
      <c r="CF1304" s="8">
        <f t="shared" si="951"/>
        <v>0</v>
      </c>
      <c r="CG1304" s="8">
        <f t="shared" si="952"/>
        <v>0</v>
      </c>
      <c r="CH1304" s="8">
        <f t="shared" si="953"/>
        <v>0</v>
      </c>
      <c r="CI1304" s="8">
        <f t="shared" si="954"/>
        <v>0</v>
      </c>
      <c r="CJ1304" s="8">
        <f t="shared" si="955"/>
        <v>0</v>
      </c>
      <c r="CK1304" s="8">
        <f t="shared" si="956"/>
        <v>0</v>
      </c>
      <c r="CL1304" s="8">
        <f t="shared" si="957"/>
        <v>0</v>
      </c>
      <c r="CM1304" s="8">
        <f t="shared" si="958"/>
        <v>0</v>
      </c>
      <c r="CN1304" s="8">
        <f t="shared" si="959"/>
        <v>0</v>
      </c>
      <c r="CO1304" s="8">
        <f t="shared" si="960"/>
        <v>0</v>
      </c>
      <c r="CP1304" s="8">
        <f t="shared" si="961"/>
        <v>0</v>
      </c>
      <c r="CQ1304" s="8">
        <f t="shared" si="962"/>
        <v>0</v>
      </c>
      <c r="CR1304" s="8">
        <f t="shared" si="963"/>
        <v>0</v>
      </c>
      <c r="CS1304" s="8">
        <f t="shared" si="964"/>
        <v>0</v>
      </c>
      <c r="CT1304" s="8">
        <f t="shared" si="969"/>
        <v>0</v>
      </c>
      <c r="CU1304" s="8">
        <f t="shared" si="970"/>
        <v>0</v>
      </c>
      <c r="CV1304" s="8">
        <f t="shared" si="971"/>
        <v>0</v>
      </c>
    </row>
    <row r="1305" spans="1:100" ht="20.5" thickTop="1" thickBot="1" x14ac:dyDescent="0.5">
      <c r="A1305" s="32"/>
      <c r="B1305" s="10"/>
      <c r="C1305" s="10"/>
      <c r="D1305" s="11"/>
      <c r="E1305" s="10"/>
      <c r="F1305" s="10"/>
      <c r="G1305" s="19"/>
      <c r="H1305" s="19"/>
      <c r="I1305" s="19"/>
      <c r="J1305" s="19"/>
      <c r="K1305" s="10"/>
      <c r="L1305" s="10"/>
      <c r="M1305" s="10"/>
      <c r="N1305" s="10"/>
      <c r="O1305" s="18"/>
      <c r="P1305" s="18"/>
      <c r="Q1305" s="21"/>
      <c r="R1305" s="20"/>
      <c r="S1305" s="16">
        <f t="shared" si="927"/>
        <v>0</v>
      </c>
      <c r="T1305" s="11"/>
      <c r="AS1305" s="31">
        <f t="shared" si="928"/>
        <v>0</v>
      </c>
      <c r="AT1305" s="31">
        <f t="shared" si="929"/>
        <v>0</v>
      </c>
      <c r="AU1305" s="31">
        <f t="shared" si="930"/>
        <v>0</v>
      </c>
      <c r="AV1305" s="31">
        <f t="shared" si="931"/>
        <v>0</v>
      </c>
      <c r="AW1305" s="31">
        <f t="shared" si="932"/>
        <v>0</v>
      </c>
      <c r="AX1305" s="31">
        <f t="shared" si="933"/>
        <v>0</v>
      </c>
      <c r="AY1305" s="31">
        <f t="shared" si="934"/>
        <v>0</v>
      </c>
      <c r="AZ1305" s="31">
        <f t="shared" si="935"/>
        <v>0</v>
      </c>
      <c r="BA1305" s="31">
        <f t="shared" si="936"/>
        <v>0</v>
      </c>
      <c r="BB1305" s="31">
        <f t="shared" si="965"/>
        <v>0</v>
      </c>
      <c r="BM1305" s="8">
        <f t="shared" si="966"/>
        <v>0</v>
      </c>
      <c r="BN1305" s="8">
        <f t="shared" si="937"/>
        <v>0</v>
      </c>
      <c r="BO1305" s="8">
        <f t="shared" si="938"/>
        <v>0</v>
      </c>
      <c r="BQ1305" s="8">
        <f t="shared" si="939"/>
        <v>0</v>
      </c>
      <c r="BR1305" s="63">
        <f t="shared" si="940"/>
        <v>0</v>
      </c>
      <c r="BS1305" s="63">
        <f t="shared" si="967"/>
        <v>0</v>
      </c>
      <c r="BT1305" s="63">
        <f t="shared" si="941"/>
        <v>0</v>
      </c>
      <c r="BU1305" s="63">
        <f t="shared" si="942"/>
        <v>0</v>
      </c>
      <c r="BV1305" s="57">
        <f t="shared" si="943"/>
        <v>0</v>
      </c>
      <c r="BW1305" s="57">
        <f t="shared" si="944"/>
        <v>0</v>
      </c>
      <c r="BX1305" s="57">
        <f t="shared" si="968"/>
        <v>0</v>
      </c>
      <c r="BY1305" s="57">
        <f t="shared" si="926"/>
        <v>0</v>
      </c>
      <c r="BZ1305" s="8">
        <f t="shared" si="945"/>
        <v>0</v>
      </c>
      <c r="CA1305" s="8">
        <f t="shared" si="946"/>
        <v>0</v>
      </c>
      <c r="CB1305" s="8">
        <f t="shared" si="947"/>
        <v>0</v>
      </c>
      <c r="CC1305" s="8">
        <f t="shared" si="948"/>
        <v>0</v>
      </c>
      <c r="CD1305" s="8">
        <f t="shared" si="949"/>
        <v>0</v>
      </c>
      <c r="CE1305" s="8">
        <f t="shared" si="950"/>
        <v>0</v>
      </c>
      <c r="CF1305" s="8">
        <f t="shared" si="951"/>
        <v>0</v>
      </c>
      <c r="CG1305" s="8">
        <f t="shared" si="952"/>
        <v>0</v>
      </c>
      <c r="CH1305" s="8">
        <f t="shared" si="953"/>
        <v>0</v>
      </c>
      <c r="CI1305" s="8">
        <f t="shared" si="954"/>
        <v>0</v>
      </c>
      <c r="CJ1305" s="8">
        <f t="shared" si="955"/>
        <v>0</v>
      </c>
      <c r="CK1305" s="8">
        <f t="shared" si="956"/>
        <v>0</v>
      </c>
      <c r="CL1305" s="8">
        <f t="shared" si="957"/>
        <v>0</v>
      </c>
      <c r="CM1305" s="8">
        <f t="shared" si="958"/>
        <v>0</v>
      </c>
      <c r="CN1305" s="8">
        <f t="shared" si="959"/>
        <v>0</v>
      </c>
      <c r="CO1305" s="8">
        <f t="shared" si="960"/>
        <v>0</v>
      </c>
      <c r="CP1305" s="8">
        <f t="shared" si="961"/>
        <v>0</v>
      </c>
      <c r="CQ1305" s="8">
        <f t="shared" si="962"/>
        <v>0</v>
      </c>
      <c r="CR1305" s="8">
        <f t="shared" si="963"/>
        <v>0</v>
      </c>
      <c r="CS1305" s="8">
        <f t="shared" si="964"/>
        <v>0</v>
      </c>
      <c r="CT1305" s="8">
        <f t="shared" si="969"/>
        <v>0</v>
      </c>
      <c r="CU1305" s="8">
        <f t="shared" si="970"/>
        <v>0</v>
      </c>
      <c r="CV1305" s="8">
        <f t="shared" si="971"/>
        <v>0</v>
      </c>
    </row>
    <row r="1306" spans="1:100" ht="20.5" thickTop="1" thickBot="1" x14ac:dyDescent="0.5">
      <c r="A1306" s="32"/>
      <c r="B1306" s="10"/>
      <c r="C1306" s="10"/>
      <c r="D1306" s="11"/>
      <c r="E1306" s="10"/>
      <c r="F1306" s="10"/>
      <c r="G1306" s="19"/>
      <c r="H1306" s="19"/>
      <c r="I1306" s="19"/>
      <c r="J1306" s="19"/>
      <c r="K1306" s="10"/>
      <c r="L1306" s="10"/>
      <c r="M1306" s="10"/>
      <c r="N1306" s="10"/>
      <c r="O1306" s="18"/>
      <c r="P1306" s="18"/>
      <c r="Q1306" s="21"/>
      <c r="R1306" s="20"/>
      <c r="S1306" s="16">
        <f t="shared" si="927"/>
        <v>0</v>
      </c>
      <c r="T1306" s="11"/>
      <c r="AS1306" s="31">
        <f t="shared" si="928"/>
        <v>0</v>
      </c>
      <c r="AT1306" s="31">
        <f t="shared" si="929"/>
        <v>0</v>
      </c>
      <c r="AU1306" s="31">
        <f t="shared" si="930"/>
        <v>0</v>
      </c>
      <c r="AV1306" s="31">
        <f t="shared" si="931"/>
        <v>0</v>
      </c>
      <c r="AW1306" s="31">
        <f t="shared" si="932"/>
        <v>0</v>
      </c>
      <c r="AX1306" s="31">
        <f t="shared" si="933"/>
        <v>0</v>
      </c>
      <c r="AY1306" s="31">
        <f t="shared" si="934"/>
        <v>0</v>
      </c>
      <c r="AZ1306" s="31">
        <f t="shared" si="935"/>
        <v>0</v>
      </c>
      <c r="BA1306" s="31">
        <f t="shared" si="936"/>
        <v>0</v>
      </c>
      <c r="BB1306" s="31">
        <f t="shared" si="965"/>
        <v>0</v>
      </c>
      <c r="BM1306" s="8">
        <f t="shared" si="966"/>
        <v>0</v>
      </c>
      <c r="BN1306" s="8">
        <f t="shared" si="937"/>
        <v>0</v>
      </c>
      <c r="BO1306" s="8">
        <f t="shared" si="938"/>
        <v>0</v>
      </c>
      <c r="BQ1306" s="8">
        <f t="shared" si="939"/>
        <v>0</v>
      </c>
      <c r="BR1306" s="63">
        <f t="shared" si="940"/>
        <v>0</v>
      </c>
      <c r="BS1306" s="63">
        <f t="shared" si="967"/>
        <v>0</v>
      </c>
      <c r="BT1306" s="63">
        <f t="shared" si="941"/>
        <v>0</v>
      </c>
      <c r="BU1306" s="63">
        <f t="shared" si="942"/>
        <v>0</v>
      </c>
      <c r="BV1306" s="57">
        <f t="shared" si="943"/>
        <v>0</v>
      </c>
      <c r="BW1306" s="57">
        <f t="shared" si="944"/>
        <v>0</v>
      </c>
      <c r="BX1306" s="57">
        <f t="shared" si="968"/>
        <v>0</v>
      </c>
      <c r="BY1306" s="57">
        <f t="shared" si="926"/>
        <v>0</v>
      </c>
      <c r="BZ1306" s="8">
        <f t="shared" si="945"/>
        <v>0</v>
      </c>
      <c r="CA1306" s="8">
        <f t="shared" si="946"/>
        <v>0</v>
      </c>
      <c r="CB1306" s="8">
        <f t="shared" si="947"/>
        <v>0</v>
      </c>
      <c r="CC1306" s="8">
        <f t="shared" si="948"/>
        <v>0</v>
      </c>
      <c r="CD1306" s="8">
        <f t="shared" si="949"/>
        <v>0</v>
      </c>
      <c r="CE1306" s="8">
        <f t="shared" si="950"/>
        <v>0</v>
      </c>
      <c r="CF1306" s="8">
        <f t="shared" si="951"/>
        <v>0</v>
      </c>
      <c r="CG1306" s="8">
        <f t="shared" si="952"/>
        <v>0</v>
      </c>
      <c r="CH1306" s="8">
        <f t="shared" si="953"/>
        <v>0</v>
      </c>
      <c r="CI1306" s="8">
        <f t="shared" si="954"/>
        <v>0</v>
      </c>
      <c r="CJ1306" s="8">
        <f t="shared" si="955"/>
        <v>0</v>
      </c>
      <c r="CK1306" s="8">
        <f t="shared" si="956"/>
        <v>0</v>
      </c>
      <c r="CL1306" s="8">
        <f t="shared" si="957"/>
        <v>0</v>
      </c>
      <c r="CM1306" s="8">
        <f t="shared" si="958"/>
        <v>0</v>
      </c>
      <c r="CN1306" s="8">
        <f t="shared" si="959"/>
        <v>0</v>
      </c>
      <c r="CO1306" s="8">
        <f t="shared" si="960"/>
        <v>0</v>
      </c>
      <c r="CP1306" s="8">
        <f t="shared" si="961"/>
        <v>0</v>
      </c>
      <c r="CQ1306" s="8">
        <f t="shared" si="962"/>
        <v>0</v>
      </c>
      <c r="CR1306" s="8">
        <f t="shared" si="963"/>
        <v>0</v>
      </c>
      <c r="CS1306" s="8">
        <f t="shared" si="964"/>
        <v>0</v>
      </c>
      <c r="CT1306" s="8">
        <f t="shared" si="969"/>
        <v>0</v>
      </c>
      <c r="CU1306" s="8">
        <f t="shared" si="970"/>
        <v>0</v>
      </c>
      <c r="CV1306" s="8">
        <f t="shared" si="971"/>
        <v>0</v>
      </c>
    </row>
    <row r="1307" spans="1:100" ht="20.5" thickTop="1" thickBot="1" x14ac:dyDescent="0.5">
      <c r="A1307" s="32"/>
      <c r="B1307" s="10"/>
      <c r="C1307" s="10"/>
      <c r="D1307" s="11"/>
      <c r="E1307" s="10"/>
      <c r="F1307" s="10"/>
      <c r="G1307" s="19"/>
      <c r="H1307" s="19"/>
      <c r="I1307" s="19"/>
      <c r="J1307" s="19"/>
      <c r="K1307" s="10"/>
      <c r="L1307" s="10"/>
      <c r="M1307" s="10"/>
      <c r="N1307" s="10"/>
      <c r="O1307" s="18"/>
      <c r="P1307" s="18"/>
      <c r="Q1307" s="21"/>
      <c r="R1307" s="20"/>
      <c r="S1307" s="16">
        <f t="shared" si="927"/>
        <v>0</v>
      </c>
      <c r="T1307" s="11"/>
      <c r="AS1307" s="31">
        <f t="shared" si="928"/>
        <v>0</v>
      </c>
      <c r="AT1307" s="31">
        <f t="shared" si="929"/>
        <v>0</v>
      </c>
      <c r="AU1307" s="31">
        <f t="shared" si="930"/>
        <v>0</v>
      </c>
      <c r="AV1307" s="31">
        <f t="shared" si="931"/>
        <v>0</v>
      </c>
      <c r="AW1307" s="31">
        <f t="shared" si="932"/>
        <v>0</v>
      </c>
      <c r="AX1307" s="31">
        <f t="shared" si="933"/>
        <v>0</v>
      </c>
      <c r="AY1307" s="31">
        <f t="shared" si="934"/>
        <v>0</v>
      </c>
      <c r="AZ1307" s="31">
        <f t="shared" si="935"/>
        <v>0</v>
      </c>
      <c r="BA1307" s="31">
        <f t="shared" si="936"/>
        <v>0</v>
      </c>
      <c r="BB1307" s="31">
        <f t="shared" si="965"/>
        <v>0</v>
      </c>
      <c r="BM1307" s="8">
        <f t="shared" si="966"/>
        <v>0</v>
      </c>
      <c r="BN1307" s="8">
        <f t="shared" si="937"/>
        <v>0</v>
      </c>
      <c r="BO1307" s="8">
        <f t="shared" si="938"/>
        <v>0</v>
      </c>
      <c r="BQ1307" s="8">
        <f t="shared" si="939"/>
        <v>0</v>
      </c>
      <c r="BR1307" s="63">
        <f t="shared" si="940"/>
        <v>0</v>
      </c>
      <c r="BS1307" s="63">
        <f t="shared" si="967"/>
        <v>0</v>
      </c>
      <c r="BT1307" s="63">
        <f t="shared" si="941"/>
        <v>0</v>
      </c>
      <c r="BU1307" s="63">
        <f t="shared" si="942"/>
        <v>0</v>
      </c>
      <c r="BV1307" s="57">
        <f t="shared" si="943"/>
        <v>0</v>
      </c>
      <c r="BW1307" s="57">
        <f t="shared" si="944"/>
        <v>0</v>
      </c>
      <c r="BX1307" s="57">
        <f t="shared" si="968"/>
        <v>0</v>
      </c>
      <c r="BY1307" s="57">
        <f t="shared" si="926"/>
        <v>0</v>
      </c>
      <c r="BZ1307" s="8">
        <f t="shared" si="945"/>
        <v>0</v>
      </c>
      <c r="CA1307" s="8">
        <f t="shared" si="946"/>
        <v>0</v>
      </c>
      <c r="CB1307" s="8">
        <f t="shared" si="947"/>
        <v>0</v>
      </c>
      <c r="CC1307" s="8">
        <f t="shared" si="948"/>
        <v>0</v>
      </c>
      <c r="CD1307" s="8">
        <f t="shared" si="949"/>
        <v>0</v>
      </c>
      <c r="CE1307" s="8">
        <f t="shared" si="950"/>
        <v>0</v>
      </c>
      <c r="CF1307" s="8">
        <f t="shared" si="951"/>
        <v>0</v>
      </c>
      <c r="CG1307" s="8">
        <f t="shared" si="952"/>
        <v>0</v>
      </c>
      <c r="CH1307" s="8">
        <f t="shared" si="953"/>
        <v>0</v>
      </c>
      <c r="CI1307" s="8">
        <f t="shared" si="954"/>
        <v>0</v>
      </c>
      <c r="CJ1307" s="8">
        <f t="shared" si="955"/>
        <v>0</v>
      </c>
      <c r="CK1307" s="8">
        <f t="shared" si="956"/>
        <v>0</v>
      </c>
      <c r="CL1307" s="8">
        <f t="shared" si="957"/>
        <v>0</v>
      </c>
      <c r="CM1307" s="8">
        <f t="shared" si="958"/>
        <v>0</v>
      </c>
      <c r="CN1307" s="8">
        <f t="shared" si="959"/>
        <v>0</v>
      </c>
      <c r="CO1307" s="8">
        <f t="shared" si="960"/>
        <v>0</v>
      </c>
      <c r="CP1307" s="8">
        <f t="shared" si="961"/>
        <v>0</v>
      </c>
      <c r="CQ1307" s="8">
        <f t="shared" si="962"/>
        <v>0</v>
      </c>
      <c r="CR1307" s="8">
        <f t="shared" si="963"/>
        <v>0</v>
      </c>
      <c r="CS1307" s="8">
        <f t="shared" si="964"/>
        <v>0</v>
      </c>
      <c r="CT1307" s="8">
        <f t="shared" si="969"/>
        <v>0</v>
      </c>
      <c r="CU1307" s="8">
        <f t="shared" si="970"/>
        <v>0</v>
      </c>
      <c r="CV1307" s="8">
        <f t="shared" si="971"/>
        <v>0</v>
      </c>
    </row>
    <row r="1308" spans="1:100" ht="20.5" thickTop="1" thickBot="1" x14ac:dyDescent="0.5">
      <c r="A1308" s="32"/>
      <c r="B1308" s="10"/>
      <c r="C1308" s="10"/>
      <c r="D1308" s="11"/>
      <c r="E1308" s="10"/>
      <c r="F1308" s="10"/>
      <c r="G1308" s="19"/>
      <c r="H1308" s="19"/>
      <c r="I1308" s="19"/>
      <c r="J1308" s="19"/>
      <c r="K1308" s="10"/>
      <c r="L1308" s="10"/>
      <c r="M1308" s="10"/>
      <c r="N1308" s="10"/>
      <c r="O1308" s="18"/>
      <c r="P1308" s="18"/>
      <c r="Q1308" s="21"/>
      <c r="R1308" s="20"/>
      <c r="S1308" s="16">
        <f t="shared" si="927"/>
        <v>0</v>
      </c>
      <c r="T1308" s="11"/>
      <c r="AS1308" s="31">
        <f t="shared" si="928"/>
        <v>0</v>
      </c>
      <c r="AT1308" s="31">
        <f t="shared" si="929"/>
        <v>0</v>
      </c>
      <c r="AU1308" s="31">
        <f t="shared" si="930"/>
        <v>0</v>
      </c>
      <c r="AV1308" s="31">
        <f t="shared" si="931"/>
        <v>0</v>
      </c>
      <c r="AW1308" s="31">
        <f t="shared" si="932"/>
        <v>0</v>
      </c>
      <c r="AX1308" s="31">
        <f t="shared" si="933"/>
        <v>0</v>
      </c>
      <c r="AY1308" s="31">
        <f t="shared" si="934"/>
        <v>0</v>
      </c>
      <c r="AZ1308" s="31">
        <f t="shared" si="935"/>
        <v>0</v>
      </c>
      <c r="BA1308" s="31">
        <f t="shared" si="936"/>
        <v>0</v>
      </c>
      <c r="BB1308" s="31">
        <f t="shared" si="965"/>
        <v>0</v>
      </c>
      <c r="BM1308" s="8">
        <f t="shared" si="966"/>
        <v>0</v>
      </c>
      <c r="BN1308" s="8">
        <f t="shared" si="937"/>
        <v>0</v>
      </c>
      <c r="BO1308" s="8">
        <f t="shared" si="938"/>
        <v>0</v>
      </c>
      <c r="BQ1308" s="8">
        <f t="shared" si="939"/>
        <v>0</v>
      </c>
      <c r="BR1308" s="63">
        <f t="shared" si="940"/>
        <v>0</v>
      </c>
      <c r="BS1308" s="63">
        <f t="shared" si="967"/>
        <v>0</v>
      </c>
      <c r="BT1308" s="63">
        <f t="shared" si="941"/>
        <v>0</v>
      </c>
      <c r="BU1308" s="63">
        <f t="shared" si="942"/>
        <v>0</v>
      </c>
      <c r="BV1308" s="57">
        <f t="shared" si="943"/>
        <v>0</v>
      </c>
      <c r="BW1308" s="57">
        <f t="shared" si="944"/>
        <v>0</v>
      </c>
      <c r="BX1308" s="57">
        <f t="shared" si="968"/>
        <v>0</v>
      </c>
      <c r="BY1308" s="57">
        <f t="shared" si="926"/>
        <v>0</v>
      </c>
      <c r="BZ1308" s="8">
        <f t="shared" si="945"/>
        <v>0</v>
      </c>
      <c r="CA1308" s="8">
        <f t="shared" si="946"/>
        <v>0</v>
      </c>
      <c r="CB1308" s="8">
        <f t="shared" si="947"/>
        <v>0</v>
      </c>
      <c r="CC1308" s="8">
        <f t="shared" si="948"/>
        <v>0</v>
      </c>
      <c r="CD1308" s="8">
        <f t="shared" si="949"/>
        <v>0</v>
      </c>
      <c r="CE1308" s="8">
        <f t="shared" si="950"/>
        <v>0</v>
      </c>
      <c r="CF1308" s="8">
        <f t="shared" si="951"/>
        <v>0</v>
      </c>
      <c r="CG1308" s="8">
        <f t="shared" si="952"/>
        <v>0</v>
      </c>
      <c r="CH1308" s="8">
        <f t="shared" si="953"/>
        <v>0</v>
      </c>
      <c r="CI1308" s="8">
        <f t="shared" si="954"/>
        <v>0</v>
      </c>
      <c r="CJ1308" s="8">
        <f t="shared" si="955"/>
        <v>0</v>
      </c>
      <c r="CK1308" s="8">
        <f t="shared" si="956"/>
        <v>0</v>
      </c>
      <c r="CL1308" s="8">
        <f t="shared" si="957"/>
        <v>0</v>
      </c>
      <c r="CM1308" s="8">
        <f t="shared" si="958"/>
        <v>0</v>
      </c>
      <c r="CN1308" s="8">
        <f t="shared" si="959"/>
        <v>0</v>
      </c>
      <c r="CO1308" s="8">
        <f t="shared" si="960"/>
        <v>0</v>
      </c>
      <c r="CP1308" s="8">
        <f t="shared" si="961"/>
        <v>0</v>
      </c>
      <c r="CQ1308" s="8">
        <f t="shared" si="962"/>
        <v>0</v>
      </c>
      <c r="CR1308" s="8">
        <f t="shared" si="963"/>
        <v>0</v>
      </c>
      <c r="CS1308" s="8">
        <f t="shared" si="964"/>
        <v>0</v>
      </c>
      <c r="CT1308" s="8">
        <f t="shared" si="969"/>
        <v>0</v>
      </c>
      <c r="CU1308" s="8">
        <f t="shared" si="970"/>
        <v>0</v>
      </c>
      <c r="CV1308" s="8">
        <f t="shared" si="971"/>
        <v>0</v>
      </c>
    </row>
    <row r="1309" spans="1:100" ht="20.5" thickTop="1" thickBot="1" x14ac:dyDescent="0.5">
      <c r="A1309" s="32"/>
      <c r="B1309" s="10"/>
      <c r="C1309" s="10"/>
      <c r="D1309" s="11"/>
      <c r="E1309" s="10"/>
      <c r="F1309" s="10"/>
      <c r="G1309" s="19"/>
      <c r="H1309" s="19"/>
      <c r="I1309" s="19"/>
      <c r="J1309" s="19"/>
      <c r="K1309" s="10"/>
      <c r="L1309" s="10"/>
      <c r="M1309" s="10"/>
      <c r="N1309" s="10"/>
      <c r="O1309" s="18"/>
      <c r="P1309" s="18"/>
      <c r="Q1309" s="21"/>
      <c r="R1309" s="20"/>
      <c r="S1309" s="16">
        <f t="shared" si="927"/>
        <v>0</v>
      </c>
      <c r="T1309" s="11"/>
      <c r="AS1309" s="31">
        <f t="shared" si="928"/>
        <v>0</v>
      </c>
      <c r="AT1309" s="31">
        <f t="shared" si="929"/>
        <v>0</v>
      </c>
      <c r="AU1309" s="31">
        <f t="shared" si="930"/>
        <v>0</v>
      </c>
      <c r="AV1309" s="31">
        <f t="shared" si="931"/>
        <v>0</v>
      </c>
      <c r="AW1309" s="31">
        <f t="shared" si="932"/>
        <v>0</v>
      </c>
      <c r="AX1309" s="31">
        <f t="shared" si="933"/>
        <v>0</v>
      </c>
      <c r="AY1309" s="31">
        <f t="shared" si="934"/>
        <v>0</v>
      </c>
      <c r="AZ1309" s="31">
        <f t="shared" si="935"/>
        <v>0</v>
      </c>
      <c r="BA1309" s="31">
        <f t="shared" si="936"/>
        <v>0</v>
      </c>
      <c r="BB1309" s="31">
        <f t="shared" si="965"/>
        <v>0</v>
      </c>
      <c r="BM1309" s="8">
        <f t="shared" si="966"/>
        <v>0</v>
      </c>
      <c r="BN1309" s="8">
        <f t="shared" si="937"/>
        <v>0</v>
      </c>
      <c r="BO1309" s="8">
        <f t="shared" si="938"/>
        <v>0</v>
      </c>
      <c r="BQ1309" s="8">
        <f t="shared" si="939"/>
        <v>0</v>
      </c>
      <c r="BR1309" s="63">
        <f t="shared" si="940"/>
        <v>0</v>
      </c>
      <c r="BS1309" s="63">
        <f t="shared" si="967"/>
        <v>0</v>
      </c>
      <c r="BT1309" s="63">
        <f t="shared" si="941"/>
        <v>0</v>
      </c>
      <c r="BU1309" s="63">
        <f t="shared" si="942"/>
        <v>0</v>
      </c>
      <c r="BV1309" s="57">
        <f t="shared" si="943"/>
        <v>0</v>
      </c>
      <c r="BW1309" s="57">
        <f t="shared" si="944"/>
        <v>0</v>
      </c>
      <c r="BX1309" s="57">
        <f t="shared" si="968"/>
        <v>0</v>
      </c>
      <c r="BY1309" s="57">
        <f t="shared" ref="BY1309:BY1372" si="972">IF(AND(OR(N1309="YES",N1309="HDD",N1309="EX PIPES"),K1309=""),D1309*(F1309+G1309),0)</f>
        <v>0</v>
      </c>
      <c r="BZ1309" s="8">
        <f t="shared" si="945"/>
        <v>0</v>
      </c>
      <c r="CA1309" s="8">
        <f t="shared" si="946"/>
        <v>0</v>
      </c>
      <c r="CB1309" s="8">
        <f t="shared" si="947"/>
        <v>0</v>
      </c>
      <c r="CC1309" s="8">
        <f t="shared" si="948"/>
        <v>0</v>
      </c>
      <c r="CD1309" s="8">
        <f t="shared" si="949"/>
        <v>0</v>
      </c>
      <c r="CE1309" s="8">
        <f t="shared" si="950"/>
        <v>0</v>
      </c>
      <c r="CF1309" s="8">
        <f t="shared" si="951"/>
        <v>0</v>
      </c>
      <c r="CG1309" s="8">
        <f t="shared" si="952"/>
        <v>0</v>
      </c>
      <c r="CH1309" s="8">
        <f t="shared" si="953"/>
        <v>0</v>
      </c>
      <c r="CI1309" s="8">
        <f t="shared" si="954"/>
        <v>0</v>
      </c>
      <c r="CJ1309" s="8">
        <f t="shared" si="955"/>
        <v>0</v>
      </c>
      <c r="CK1309" s="8">
        <f t="shared" si="956"/>
        <v>0</v>
      </c>
      <c r="CL1309" s="8">
        <f t="shared" si="957"/>
        <v>0</v>
      </c>
      <c r="CM1309" s="8">
        <f t="shared" si="958"/>
        <v>0</v>
      </c>
      <c r="CN1309" s="8">
        <f t="shared" si="959"/>
        <v>0</v>
      </c>
      <c r="CO1309" s="8">
        <f t="shared" si="960"/>
        <v>0</v>
      </c>
      <c r="CP1309" s="8">
        <f t="shared" si="961"/>
        <v>0</v>
      </c>
      <c r="CQ1309" s="8">
        <f t="shared" si="962"/>
        <v>0</v>
      </c>
      <c r="CR1309" s="8">
        <f t="shared" si="963"/>
        <v>0</v>
      </c>
      <c r="CS1309" s="8">
        <f t="shared" si="964"/>
        <v>0</v>
      </c>
      <c r="CT1309" s="8">
        <f t="shared" si="969"/>
        <v>0</v>
      </c>
      <c r="CU1309" s="8">
        <f t="shared" si="970"/>
        <v>0</v>
      </c>
      <c r="CV1309" s="8">
        <f t="shared" si="971"/>
        <v>0</v>
      </c>
    </row>
    <row r="1310" spans="1:100" ht="20.5" thickTop="1" thickBot="1" x14ac:dyDescent="0.5">
      <c r="A1310" s="32"/>
      <c r="B1310" s="10"/>
      <c r="C1310" s="10"/>
      <c r="D1310" s="11"/>
      <c r="E1310" s="10"/>
      <c r="F1310" s="10"/>
      <c r="G1310" s="19"/>
      <c r="H1310" s="19"/>
      <c r="I1310" s="19"/>
      <c r="J1310" s="19"/>
      <c r="K1310" s="10"/>
      <c r="L1310" s="10"/>
      <c r="M1310" s="10"/>
      <c r="N1310" s="10"/>
      <c r="O1310" s="18"/>
      <c r="P1310" s="18"/>
      <c r="Q1310" s="21"/>
      <c r="R1310" s="20"/>
      <c r="S1310" s="16">
        <f t="shared" si="927"/>
        <v>0</v>
      </c>
      <c r="T1310" s="11"/>
      <c r="AS1310" s="31">
        <f t="shared" si="928"/>
        <v>0</v>
      </c>
      <c r="AT1310" s="31">
        <f t="shared" si="929"/>
        <v>0</v>
      </c>
      <c r="AU1310" s="31">
        <f t="shared" si="930"/>
        <v>0</v>
      </c>
      <c r="AV1310" s="31">
        <f t="shared" si="931"/>
        <v>0</v>
      </c>
      <c r="AW1310" s="31">
        <f t="shared" si="932"/>
        <v>0</v>
      </c>
      <c r="AX1310" s="31">
        <f t="shared" si="933"/>
        <v>0</v>
      </c>
      <c r="AY1310" s="31">
        <f t="shared" si="934"/>
        <v>0</v>
      </c>
      <c r="AZ1310" s="31">
        <f t="shared" si="935"/>
        <v>0</v>
      </c>
      <c r="BA1310" s="31">
        <f t="shared" si="936"/>
        <v>0</v>
      </c>
      <c r="BB1310" s="31">
        <f t="shared" si="965"/>
        <v>0</v>
      </c>
      <c r="BM1310" s="8">
        <f t="shared" si="966"/>
        <v>0</v>
      </c>
      <c r="BN1310" s="8">
        <f t="shared" si="937"/>
        <v>0</v>
      </c>
      <c r="BO1310" s="8">
        <f t="shared" si="938"/>
        <v>0</v>
      </c>
      <c r="BQ1310" s="8">
        <f t="shared" si="939"/>
        <v>0</v>
      </c>
      <c r="BR1310" s="63">
        <f t="shared" si="940"/>
        <v>0</v>
      </c>
      <c r="BS1310" s="63">
        <f t="shared" si="967"/>
        <v>0</v>
      </c>
      <c r="BT1310" s="63">
        <f t="shared" si="941"/>
        <v>0</v>
      </c>
      <c r="BU1310" s="63">
        <f t="shared" si="942"/>
        <v>0</v>
      </c>
      <c r="BV1310" s="57">
        <f t="shared" si="943"/>
        <v>0</v>
      </c>
      <c r="BW1310" s="57">
        <f t="shared" si="944"/>
        <v>0</v>
      </c>
      <c r="BX1310" s="57">
        <f t="shared" si="968"/>
        <v>0</v>
      </c>
      <c r="BY1310" s="57">
        <f t="shared" si="972"/>
        <v>0</v>
      </c>
      <c r="BZ1310" s="8">
        <f t="shared" si="945"/>
        <v>0</v>
      </c>
      <c r="CA1310" s="8">
        <f t="shared" si="946"/>
        <v>0</v>
      </c>
      <c r="CB1310" s="8">
        <f t="shared" si="947"/>
        <v>0</v>
      </c>
      <c r="CC1310" s="8">
        <f t="shared" si="948"/>
        <v>0</v>
      </c>
      <c r="CD1310" s="8">
        <f t="shared" si="949"/>
        <v>0</v>
      </c>
      <c r="CE1310" s="8">
        <f t="shared" si="950"/>
        <v>0</v>
      </c>
      <c r="CF1310" s="8">
        <f t="shared" si="951"/>
        <v>0</v>
      </c>
      <c r="CG1310" s="8">
        <f t="shared" si="952"/>
        <v>0</v>
      </c>
      <c r="CH1310" s="8">
        <f t="shared" si="953"/>
        <v>0</v>
      </c>
      <c r="CI1310" s="8">
        <f t="shared" si="954"/>
        <v>0</v>
      </c>
      <c r="CJ1310" s="8">
        <f t="shared" si="955"/>
        <v>0</v>
      </c>
      <c r="CK1310" s="8">
        <f t="shared" si="956"/>
        <v>0</v>
      </c>
      <c r="CL1310" s="8">
        <f t="shared" si="957"/>
        <v>0</v>
      </c>
      <c r="CM1310" s="8">
        <f t="shared" si="958"/>
        <v>0</v>
      </c>
      <c r="CN1310" s="8">
        <f t="shared" si="959"/>
        <v>0</v>
      </c>
      <c r="CO1310" s="8">
        <f t="shared" si="960"/>
        <v>0</v>
      </c>
      <c r="CP1310" s="8">
        <f t="shared" si="961"/>
        <v>0</v>
      </c>
      <c r="CQ1310" s="8">
        <f t="shared" si="962"/>
        <v>0</v>
      </c>
      <c r="CR1310" s="8">
        <f t="shared" si="963"/>
        <v>0</v>
      </c>
      <c r="CS1310" s="8">
        <f t="shared" si="964"/>
        <v>0</v>
      </c>
      <c r="CT1310" s="8">
        <f t="shared" si="969"/>
        <v>0</v>
      </c>
      <c r="CU1310" s="8">
        <f t="shared" si="970"/>
        <v>0</v>
      </c>
      <c r="CV1310" s="8">
        <f t="shared" si="971"/>
        <v>0</v>
      </c>
    </row>
    <row r="1311" spans="1:100" ht="20.5" thickTop="1" thickBot="1" x14ac:dyDescent="0.5">
      <c r="A1311" s="32"/>
      <c r="B1311" s="10"/>
      <c r="C1311" s="10"/>
      <c r="D1311" s="11"/>
      <c r="E1311" s="10"/>
      <c r="F1311" s="10"/>
      <c r="G1311" s="19"/>
      <c r="H1311" s="19"/>
      <c r="I1311" s="19"/>
      <c r="J1311" s="19"/>
      <c r="K1311" s="10"/>
      <c r="L1311" s="10"/>
      <c r="M1311" s="10"/>
      <c r="N1311" s="10"/>
      <c r="O1311" s="18"/>
      <c r="P1311" s="18"/>
      <c r="Q1311" s="21"/>
      <c r="R1311" s="20"/>
      <c r="S1311" s="16">
        <f t="shared" si="927"/>
        <v>0</v>
      </c>
      <c r="T1311" s="11"/>
      <c r="AS1311" s="31">
        <f t="shared" si="928"/>
        <v>0</v>
      </c>
      <c r="AT1311" s="31">
        <f t="shared" si="929"/>
        <v>0</v>
      </c>
      <c r="AU1311" s="31">
        <f t="shared" si="930"/>
        <v>0</v>
      </c>
      <c r="AV1311" s="31">
        <f t="shared" si="931"/>
        <v>0</v>
      </c>
      <c r="AW1311" s="31">
        <f t="shared" si="932"/>
        <v>0</v>
      </c>
      <c r="AX1311" s="31">
        <f t="shared" si="933"/>
        <v>0</v>
      </c>
      <c r="AY1311" s="31">
        <f t="shared" si="934"/>
        <v>0</v>
      </c>
      <c r="AZ1311" s="31">
        <f t="shared" si="935"/>
        <v>0</v>
      </c>
      <c r="BA1311" s="31">
        <f t="shared" si="936"/>
        <v>0</v>
      </c>
      <c r="BB1311" s="31">
        <f t="shared" si="965"/>
        <v>0</v>
      </c>
      <c r="BM1311" s="8">
        <f t="shared" si="966"/>
        <v>0</v>
      </c>
      <c r="BN1311" s="8">
        <f t="shared" si="937"/>
        <v>0</v>
      </c>
      <c r="BO1311" s="8">
        <f t="shared" si="938"/>
        <v>0</v>
      </c>
      <c r="BQ1311" s="8">
        <f t="shared" si="939"/>
        <v>0</v>
      </c>
      <c r="BR1311" s="63">
        <f t="shared" si="940"/>
        <v>0</v>
      </c>
      <c r="BS1311" s="63">
        <f t="shared" si="967"/>
        <v>0</v>
      </c>
      <c r="BT1311" s="63">
        <f t="shared" si="941"/>
        <v>0</v>
      </c>
      <c r="BU1311" s="63">
        <f t="shared" si="942"/>
        <v>0</v>
      </c>
      <c r="BV1311" s="57">
        <f t="shared" si="943"/>
        <v>0</v>
      </c>
      <c r="BW1311" s="57">
        <f t="shared" si="944"/>
        <v>0</v>
      </c>
      <c r="BX1311" s="57">
        <f t="shared" si="968"/>
        <v>0</v>
      </c>
      <c r="BY1311" s="57">
        <f t="shared" si="972"/>
        <v>0</v>
      </c>
      <c r="BZ1311" s="8">
        <f t="shared" si="945"/>
        <v>0</v>
      </c>
      <c r="CA1311" s="8">
        <f t="shared" si="946"/>
        <v>0</v>
      </c>
      <c r="CB1311" s="8">
        <f t="shared" si="947"/>
        <v>0</v>
      </c>
      <c r="CC1311" s="8">
        <f t="shared" si="948"/>
        <v>0</v>
      </c>
      <c r="CD1311" s="8">
        <f t="shared" si="949"/>
        <v>0</v>
      </c>
      <c r="CE1311" s="8">
        <f t="shared" si="950"/>
        <v>0</v>
      </c>
      <c r="CF1311" s="8">
        <f t="shared" si="951"/>
        <v>0</v>
      </c>
      <c r="CG1311" s="8">
        <f t="shared" si="952"/>
        <v>0</v>
      </c>
      <c r="CH1311" s="8">
        <f t="shared" si="953"/>
        <v>0</v>
      </c>
      <c r="CI1311" s="8">
        <f t="shared" si="954"/>
        <v>0</v>
      </c>
      <c r="CJ1311" s="8">
        <f t="shared" si="955"/>
        <v>0</v>
      </c>
      <c r="CK1311" s="8">
        <f t="shared" si="956"/>
        <v>0</v>
      </c>
      <c r="CL1311" s="8">
        <f t="shared" si="957"/>
        <v>0</v>
      </c>
      <c r="CM1311" s="8">
        <f t="shared" si="958"/>
        <v>0</v>
      </c>
      <c r="CN1311" s="8">
        <f t="shared" si="959"/>
        <v>0</v>
      </c>
      <c r="CO1311" s="8">
        <f t="shared" si="960"/>
        <v>0</v>
      </c>
      <c r="CP1311" s="8">
        <f t="shared" si="961"/>
        <v>0</v>
      </c>
      <c r="CQ1311" s="8">
        <f t="shared" si="962"/>
        <v>0</v>
      </c>
      <c r="CR1311" s="8">
        <f t="shared" si="963"/>
        <v>0</v>
      </c>
      <c r="CS1311" s="8">
        <f t="shared" si="964"/>
        <v>0</v>
      </c>
      <c r="CT1311" s="8">
        <f t="shared" si="969"/>
        <v>0</v>
      </c>
      <c r="CU1311" s="8">
        <f t="shared" si="970"/>
        <v>0</v>
      </c>
      <c r="CV1311" s="8">
        <f t="shared" si="971"/>
        <v>0</v>
      </c>
    </row>
    <row r="1312" spans="1:100" ht="20.5" thickTop="1" thickBot="1" x14ac:dyDescent="0.5">
      <c r="A1312" s="32"/>
      <c r="B1312" s="10"/>
      <c r="C1312" s="10"/>
      <c r="D1312" s="11"/>
      <c r="E1312" s="10"/>
      <c r="F1312" s="10"/>
      <c r="G1312" s="19"/>
      <c r="H1312" s="19"/>
      <c r="I1312" s="19"/>
      <c r="J1312" s="19"/>
      <c r="K1312" s="10"/>
      <c r="L1312" s="10"/>
      <c r="M1312" s="10"/>
      <c r="N1312" s="10"/>
      <c r="O1312" s="18"/>
      <c r="P1312" s="18"/>
      <c r="Q1312" s="21"/>
      <c r="R1312" s="20"/>
      <c r="S1312" s="16">
        <f t="shared" si="927"/>
        <v>0</v>
      </c>
      <c r="T1312" s="11"/>
      <c r="AS1312" s="31">
        <f t="shared" si="928"/>
        <v>0</v>
      </c>
      <c r="AT1312" s="31">
        <f t="shared" si="929"/>
        <v>0</v>
      </c>
      <c r="AU1312" s="31">
        <f t="shared" si="930"/>
        <v>0</v>
      </c>
      <c r="AV1312" s="31">
        <f t="shared" si="931"/>
        <v>0</v>
      </c>
      <c r="AW1312" s="31">
        <f t="shared" si="932"/>
        <v>0</v>
      </c>
      <c r="AX1312" s="31">
        <f t="shared" si="933"/>
        <v>0</v>
      </c>
      <c r="AY1312" s="31">
        <f t="shared" si="934"/>
        <v>0</v>
      </c>
      <c r="AZ1312" s="31">
        <f t="shared" si="935"/>
        <v>0</v>
      </c>
      <c r="BA1312" s="31">
        <f t="shared" si="936"/>
        <v>0</v>
      </c>
      <c r="BB1312" s="31">
        <f t="shared" si="965"/>
        <v>0</v>
      </c>
      <c r="BM1312" s="8">
        <f t="shared" si="966"/>
        <v>0</v>
      </c>
      <c r="BN1312" s="8">
        <f t="shared" si="937"/>
        <v>0</v>
      </c>
      <c r="BO1312" s="8">
        <f t="shared" si="938"/>
        <v>0</v>
      </c>
      <c r="BQ1312" s="8">
        <f t="shared" si="939"/>
        <v>0</v>
      </c>
      <c r="BR1312" s="63">
        <f t="shared" si="940"/>
        <v>0</v>
      </c>
      <c r="BS1312" s="63">
        <f t="shared" si="967"/>
        <v>0</v>
      </c>
      <c r="BT1312" s="63">
        <f t="shared" si="941"/>
        <v>0</v>
      </c>
      <c r="BU1312" s="63">
        <f t="shared" si="942"/>
        <v>0</v>
      </c>
      <c r="BV1312" s="57">
        <f t="shared" si="943"/>
        <v>0</v>
      </c>
      <c r="BW1312" s="57">
        <f t="shared" si="944"/>
        <v>0</v>
      </c>
      <c r="BX1312" s="57">
        <f t="shared" si="968"/>
        <v>0</v>
      </c>
      <c r="BY1312" s="57">
        <f t="shared" si="972"/>
        <v>0</v>
      </c>
      <c r="BZ1312" s="8">
        <f t="shared" si="945"/>
        <v>0</v>
      </c>
      <c r="CA1312" s="8">
        <f t="shared" si="946"/>
        <v>0</v>
      </c>
      <c r="CB1312" s="8">
        <f t="shared" si="947"/>
        <v>0</v>
      </c>
      <c r="CC1312" s="8">
        <f t="shared" si="948"/>
        <v>0</v>
      </c>
      <c r="CD1312" s="8">
        <f t="shared" si="949"/>
        <v>0</v>
      </c>
      <c r="CE1312" s="8">
        <f t="shared" si="950"/>
        <v>0</v>
      </c>
      <c r="CF1312" s="8">
        <f t="shared" si="951"/>
        <v>0</v>
      </c>
      <c r="CG1312" s="8">
        <f t="shared" si="952"/>
        <v>0</v>
      </c>
      <c r="CH1312" s="8">
        <f t="shared" si="953"/>
        <v>0</v>
      </c>
      <c r="CI1312" s="8">
        <f t="shared" si="954"/>
        <v>0</v>
      </c>
      <c r="CJ1312" s="8">
        <f t="shared" si="955"/>
        <v>0</v>
      </c>
      <c r="CK1312" s="8">
        <f t="shared" si="956"/>
        <v>0</v>
      </c>
      <c r="CL1312" s="8">
        <f t="shared" si="957"/>
        <v>0</v>
      </c>
      <c r="CM1312" s="8">
        <f t="shared" si="958"/>
        <v>0</v>
      </c>
      <c r="CN1312" s="8">
        <f t="shared" si="959"/>
        <v>0</v>
      </c>
      <c r="CO1312" s="8">
        <f t="shared" si="960"/>
        <v>0</v>
      </c>
      <c r="CP1312" s="8">
        <f t="shared" si="961"/>
        <v>0</v>
      </c>
      <c r="CQ1312" s="8">
        <f t="shared" si="962"/>
        <v>0</v>
      </c>
      <c r="CR1312" s="8">
        <f t="shared" si="963"/>
        <v>0</v>
      </c>
      <c r="CS1312" s="8">
        <f t="shared" si="964"/>
        <v>0</v>
      </c>
      <c r="CT1312" s="8">
        <f t="shared" si="969"/>
        <v>0</v>
      </c>
      <c r="CU1312" s="8">
        <f t="shared" si="970"/>
        <v>0</v>
      </c>
      <c r="CV1312" s="8">
        <f t="shared" si="971"/>
        <v>0</v>
      </c>
    </row>
    <row r="1313" spans="1:100" ht="20.5" thickTop="1" thickBot="1" x14ac:dyDescent="0.5">
      <c r="A1313" s="32"/>
      <c r="B1313" s="10"/>
      <c r="C1313" s="10"/>
      <c r="D1313" s="11"/>
      <c r="E1313" s="10"/>
      <c r="F1313" s="10"/>
      <c r="G1313" s="19"/>
      <c r="H1313" s="19"/>
      <c r="I1313" s="19"/>
      <c r="J1313" s="19"/>
      <c r="K1313" s="10"/>
      <c r="L1313" s="10"/>
      <c r="M1313" s="10"/>
      <c r="N1313" s="10"/>
      <c r="O1313" s="18"/>
      <c r="P1313" s="18"/>
      <c r="Q1313" s="21"/>
      <c r="R1313" s="20"/>
      <c r="S1313" s="16">
        <f t="shared" si="927"/>
        <v>0</v>
      </c>
      <c r="T1313" s="11"/>
      <c r="AS1313" s="31">
        <f t="shared" si="928"/>
        <v>0</v>
      </c>
      <c r="AT1313" s="31">
        <f t="shared" si="929"/>
        <v>0</v>
      </c>
      <c r="AU1313" s="31">
        <f t="shared" si="930"/>
        <v>0</v>
      </c>
      <c r="AV1313" s="31">
        <f t="shared" si="931"/>
        <v>0</v>
      </c>
      <c r="AW1313" s="31">
        <f t="shared" si="932"/>
        <v>0</v>
      </c>
      <c r="AX1313" s="31">
        <f t="shared" si="933"/>
        <v>0</v>
      </c>
      <c r="AY1313" s="31">
        <f t="shared" si="934"/>
        <v>0</v>
      </c>
      <c r="AZ1313" s="31">
        <f t="shared" si="935"/>
        <v>0</v>
      </c>
      <c r="BA1313" s="31">
        <f t="shared" si="936"/>
        <v>0</v>
      </c>
      <c r="BB1313" s="31">
        <f t="shared" si="965"/>
        <v>0</v>
      </c>
      <c r="BM1313" s="8">
        <f t="shared" si="966"/>
        <v>0</v>
      </c>
      <c r="BN1313" s="8">
        <f t="shared" si="937"/>
        <v>0</v>
      </c>
      <c r="BO1313" s="8">
        <f t="shared" si="938"/>
        <v>0</v>
      </c>
      <c r="BQ1313" s="8">
        <f t="shared" si="939"/>
        <v>0</v>
      </c>
      <c r="BR1313" s="63">
        <f t="shared" si="940"/>
        <v>0</v>
      </c>
      <c r="BS1313" s="63">
        <f t="shared" si="967"/>
        <v>0</v>
      </c>
      <c r="BT1313" s="63">
        <f t="shared" si="941"/>
        <v>0</v>
      </c>
      <c r="BU1313" s="63">
        <f t="shared" si="942"/>
        <v>0</v>
      </c>
      <c r="BV1313" s="57">
        <f t="shared" si="943"/>
        <v>0</v>
      </c>
      <c r="BW1313" s="57">
        <f t="shared" si="944"/>
        <v>0</v>
      </c>
      <c r="BX1313" s="57">
        <f t="shared" si="968"/>
        <v>0</v>
      </c>
      <c r="BY1313" s="57">
        <f t="shared" si="972"/>
        <v>0</v>
      </c>
      <c r="BZ1313" s="8">
        <f t="shared" si="945"/>
        <v>0</v>
      </c>
      <c r="CA1313" s="8">
        <f t="shared" si="946"/>
        <v>0</v>
      </c>
      <c r="CB1313" s="8">
        <f t="shared" si="947"/>
        <v>0</v>
      </c>
      <c r="CC1313" s="8">
        <f t="shared" si="948"/>
        <v>0</v>
      </c>
      <c r="CD1313" s="8">
        <f t="shared" si="949"/>
        <v>0</v>
      </c>
      <c r="CE1313" s="8">
        <f t="shared" si="950"/>
        <v>0</v>
      </c>
      <c r="CF1313" s="8">
        <f t="shared" si="951"/>
        <v>0</v>
      </c>
      <c r="CG1313" s="8">
        <f t="shared" si="952"/>
        <v>0</v>
      </c>
      <c r="CH1313" s="8">
        <f t="shared" si="953"/>
        <v>0</v>
      </c>
      <c r="CI1313" s="8">
        <f t="shared" si="954"/>
        <v>0</v>
      </c>
      <c r="CJ1313" s="8">
        <f t="shared" si="955"/>
        <v>0</v>
      </c>
      <c r="CK1313" s="8">
        <f t="shared" si="956"/>
        <v>0</v>
      </c>
      <c r="CL1313" s="8">
        <f t="shared" si="957"/>
        <v>0</v>
      </c>
      <c r="CM1313" s="8">
        <f t="shared" si="958"/>
        <v>0</v>
      </c>
      <c r="CN1313" s="8">
        <f t="shared" si="959"/>
        <v>0</v>
      </c>
      <c r="CO1313" s="8">
        <f t="shared" si="960"/>
        <v>0</v>
      </c>
      <c r="CP1313" s="8">
        <f t="shared" si="961"/>
        <v>0</v>
      </c>
      <c r="CQ1313" s="8">
        <f t="shared" si="962"/>
        <v>0</v>
      </c>
      <c r="CR1313" s="8">
        <f t="shared" si="963"/>
        <v>0</v>
      </c>
      <c r="CS1313" s="8">
        <f t="shared" si="964"/>
        <v>0</v>
      </c>
      <c r="CT1313" s="8">
        <f t="shared" si="969"/>
        <v>0</v>
      </c>
      <c r="CU1313" s="8">
        <f t="shared" si="970"/>
        <v>0</v>
      </c>
      <c r="CV1313" s="8">
        <f t="shared" si="971"/>
        <v>0</v>
      </c>
    </row>
    <row r="1314" spans="1:100" ht="20.5" thickTop="1" thickBot="1" x14ac:dyDescent="0.5">
      <c r="A1314" s="32"/>
      <c r="B1314" s="10"/>
      <c r="C1314" s="10"/>
      <c r="D1314" s="11"/>
      <c r="E1314" s="10"/>
      <c r="F1314" s="10"/>
      <c r="G1314" s="19"/>
      <c r="H1314" s="19"/>
      <c r="I1314" s="19"/>
      <c r="J1314" s="19"/>
      <c r="K1314" s="10"/>
      <c r="L1314" s="10"/>
      <c r="M1314" s="10"/>
      <c r="N1314" s="10"/>
      <c r="O1314" s="18"/>
      <c r="P1314" s="18"/>
      <c r="Q1314" s="21"/>
      <c r="R1314" s="20"/>
      <c r="S1314" s="16">
        <f t="shared" si="927"/>
        <v>0</v>
      </c>
      <c r="T1314" s="11"/>
      <c r="AS1314" s="31">
        <f t="shared" si="928"/>
        <v>0</v>
      </c>
      <c r="AT1314" s="31">
        <f t="shared" si="929"/>
        <v>0</v>
      </c>
      <c r="AU1314" s="31">
        <f t="shared" si="930"/>
        <v>0</v>
      </c>
      <c r="AV1314" s="31">
        <f t="shared" si="931"/>
        <v>0</v>
      </c>
      <c r="AW1314" s="31">
        <f t="shared" si="932"/>
        <v>0</v>
      </c>
      <c r="AX1314" s="31">
        <f t="shared" si="933"/>
        <v>0</v>
      </c>
      <c r="AY1314" s="31">
        <f t="shared" si="934"/>
        <v>0</v>
      </c>
      <c r="AZ1314" s="31">
        <f t="shared" si="935"/>
        <v>0</v>
      </c>
      <c r="BA1314" s="31">
        <f t="shared" si="936"/>
        <v>0</v>
      </c>
      <c r="BB1314" s="31">
        <f t="shared" si="965"/>
        <v>0</v>
      </c>
      <c r="BM1314" s="8">
        <f t="shared" si="966"/>
        <v>0</v>
      </c>
      <c r="BN1314" s="8">
        <f t="shared" si="937"/>
        <v>0</v>
      </c>
      <c r="BO1314" s="8">
        <f t="shared" si="938"/>
        <v>0</v>
      </c>
      <c r="BQ1314" s="8">
        <f t="shared" si="939"/>
        <v>0</v>
      </c>
      <c r="BR1314" s="63">
        <f t="shared" si="940"/>
        <v>0</v>
      </c>
      <c r="BS1314" s="63">
        <f t="shared" si="967"/>
        <v>0</v>
      </c>
      <c r="BT1314" s="63">
        <f t="shared" si="941"/>
        <v>0</v>
      </c>
      <c r="BU1314" s="63">
        <f t="shared" si="942"/>
        <v>0</v>
      </c>
      <c r="BV1314" s="57">
        <f t="shared" si="943"/>
        <v>0</v>
      </c>
      <c r="BW1314" s="57">
        <f t="shared" si="944"/>
        <v>0</v>
      </c>
      <c r="BX1314" s="57">
        <f t="shared" si="968"/>
        <v>0</v>
      </c>
      <c r="BY1314" s="57">
        <f t="shared" si="972"/>
        <v>0</v>
      </c>
      <c r="BZ1314" s="8">
        <f t="shared" si="945"/>
        <v>0</v>
      </c>
      <c r="CA1314" s="8">
        <f t="shared" si="946"/>
        <v>0</v>
      </c>
      <c r="CB1314" s="8">
        <f t="shared" si="947"/>
        <v>0</v>
      </c>
      <c r="CC1314" s="8">
        <f t="shared" si="948"/>
        <v>0</v>
      </c>
      <c r="CD1314" s="8">
        <f t="shared" si="949"/>
        <v>0</v>
      </c>
      <c r="CE1314" s="8">
        <f t="shared" si="950"/>
        <v>0</v>
      </c>
      <c r="CF1314" s="8">
        <f t="shared" si="951"/>
        <v>0</v>
      </c>
      <c r="CG1314" s="8">
        <f t="shared" si="952"/>
        <v>0</v>
      </c>
      <c r="CH1314" s="8">
        <f t="shared" si="953"/>
        <v>0</v>
      </c>
      <c r="CI1314" s="8">
        <f t="shared" si="954"/>
        <v>0</v>
      </c>
      <c r="CJ1314" s="8">
        <f t="shared" si="955"/>
        <v>0</v>
      </c>
      <c r="CK1314" s="8">
        <f t="shared" si="956"/>
        <v>0</v>
      </c>
      <c r="CL1314" s="8">
        <f t="shared" si="957"/>
        <v>0</v>
      </c>
      <c r="CM1314" s="8">
        <f t="shared" si="958"/>
        <v>0</v>
      </c>
      <c r="CN1314" s="8">
        <f t="shared" si="959"/>
        <v>0</v>
      </c>
      <c r="CO1314" s="8">
        <f t="shared" si="960"/>
        <v>0</v>
      </c>
      <c r="CP1314" s="8">
        <f t="shared" si="961"/>
        <v>0</v>
      </c>
      <c r="CQ1314" s="8">
        <f t="shared" si="962"/>
        <v>0</v>
      </c>
      <c r="CR1314" s="8">
        <f t="shared" si="963"/>
        <v>0</v>
      </c>
      <c r="CS1314" s="8">
        <f t="shared" si="964"/>
        <v>0</v>
      </c>
      <c r="CT1314" s="8">
        <f t="shared" si="969"/>
        <v>0</v>
      </c>
      <c r="CU1314" s="8">
        <f t="shared" si="970"/>
        <v>0</v>
      </c>
      <c r="CV1314" s="8">
        <f t="shared" si="971"/>
        <v>0</v>
      </c>
    </row>
    <row r="1315" spans="1:100" ht="20.5" thickTop="1" thickBot="1" x14ac:dyDescent="0.5">
      <c r="A1315" s="32"/>
      <c r="B1315" s="10"/>
      <c r="C1315" s="10"/>
      <c r="D1315" s="11"/>
      <c r="E1315" s="10"/>
      <c r="F1315" s="10"/>
      <c r="G1315" s="19"/>
      <c r="H1315" s="19"/>
      <c r="I1315" s="19"/>
      <c r="J1315" s="19"/>
      <c r="K1315" s="10"/>
      <c r="L1315" s="10"/>
      <c r="M1315" s="10"/>
      <c r="N1315" s="10"/>
      <c r="O1315" s="18"/>
      <c r="P1315" s="18"/>
      <c r="Q1315" s="21"/>
      <c r="R1315" s="20"/>
      <c r="S1315" s="16">
        <f t="shared" si="927"/>
        <v>0</v>
      </c>
      <c r="T1315" s="11"/>
      <c r="AS1315" s="31">
        <f t="shared" si="928"/>
        <v>0</v>
      </c>
      <c r="AT1315" s="31">
        <f t="shared" si="929"/>
        <v>0</v>
      </c>
      <c r="AU1315" s="31">
        <f t="shared" si="930"/>
        <v>0</v>
      </c>
      <c r="AV1315" s="31">
        <f t="shared" si="931"/>
        <v>0</v>
      </c>
      <c r="AW1315" s="31">
        <f t="shared" si="932"/>
        <v>0</v>
      </c>
      <c r="AX1315" s="31">
        <f t="shared" si="933"/>
        <v>0</v>
      </c>
      <c r="AY1315" s="31">
        <f t="shared" si="934"/>
        <v>0</v>
      </c>
      <c r="AZ1315" s="31">
        <f t="shared" si="935"/>
        <v>0</v>
      </c>
      <c r="BA1315" s="31">
        <f t="shared" si="936"/>
        <v>0</v>
      </c>
      <c r="BB1315" s="31">
        <f t="shared" si="965"/>
        <v>0</v>
      </c>
      <c r="BM1315" s="8">
        <f t="shared" si="966"/>
        <v>0</v>
      </c>
      <c r="BN1315" s="8">
        <f t="shared" si="937"/>
        <v>0</v>
      </c>
      <c r="BO1315" s="8">
        <f t="shared" si="938"/>
        <v>0</v>
      </c>
      <c r="BQ1315" s="8">
        <f t="shared" si="939"/>
        <v>0</v>
      </c>
      <c r="BR1315" s="63">
        <f t="shared" si="940"/>
        <v>0</v>
      </c>
      <c r="BS1315" s="63">
        <f t="shared" si="967"/>
        <v>0</v>
      </c>
      <c r="BT1315" s="63">
        <f t="shared" si="941"/>
        <v>0</v>
      </c>
      <c r="BU1315" s="63">
        <f t="shared" si="942"/>
        <v>0</v>
      </c>
      <c r="BV1315" s="57">
        <f t="shared" si="943"/>
        <v>0</v>
      </c>
      <c r="BW1315" s="57">
        <f t="shared" si="944"/>
        <v>0</v>
      </c>
      <c r="BX1315" s="57">
        <f t="shared" si="968"/>
        <v>0</v>
      </c>
      <c r="BY1315" s="57">
        <f t="shared" si="972"/>
        <v>0</v>
      </c>
      <c r="BZ1315" s="8">
        <f t="shared" si="945"/>
        <v>0</v>
      </c>
      <c r="CA1315" s="8">
        <f t="shared" si="946"/>
        <v>0</v>
      </c>
      <c r="CB1315" s="8">
        <f t="shared" si="947"/>
        <v>0</v>
      </c>
      <c r="CC1315" s="8">
        <f t="shared" si="948"/>
        <v>0</v>
      </c>
      <c r="CD1315" s="8">
        <f t="shared" si="949"/>
        <v>0</v>
      </c>
      <c r="CE1315" s="8">
        <f t="shared" si="950"/>
        <v>0</v>
      </c>
      <c r="CF1315" s="8">
        <f t="shared" si="951"/>
        <v>0</v>
      </c>
      <c r="CG1315" s="8">
        <f t="shared" si="952"/>
        <v>0</v>
      </c>
      <c r="CH1315" s="8">
        <f t="shared" si="953"/>
        <v>0</v>
      </c>
      <c r="CI1315" s="8">
        <f t="shared" si="954"/>
        <v>0</v>
      </c>
      <c r="CJ1315" s="8">
        <f t="shared" si="955"/>
        <v>0</v>
      </c>
      <c r="CK1315" s="8">
        <f t="shared" si="956"/>
        <v>0</v>
      </c>
      <c r="CL1315" s="8">
        <f t="shared" si="957"/>
        <v>0</v>
      </c>
      <c r="CM1315" s="8">
        <f t="shared" si="958"/>
        <v>0</v>
      </c>
      <c r="CN1315" s="8">
        <f t="shared" si="959"/>
        <v>0</v>
      </c>
      <c r="CO1315" s="8">
        <f t="shared" si="960"/>
        <v>0</v>
      </c>
      <c r="CP1315" s="8">
        <f t="shared" si="961"/>
        <v>0</v>
      </c>
      <c r="CQ1315" s="8">
        <f t="shared" si="962"/>
        <v>0</v>
      </c>
      <c r="CR1315" s="8">
        <f t="shared" si="963"/>
        <v>0</v>
      </c>
      <c r="CS1315" s="8">
        <f t="shared" si="964"/>
        <v>0</v>
      </c>
      <c r="CT1315" s="8">
        <f t="shared" si="969"/>
        <v>0</v>
      </c>
      <c r="CU1315" s="8">
        <f t="shared" si="970"/>
        <v>0</v>
      </c>
      <c r="CV1315" s="8">
        <f t="shared" si="971"/>
        <v>0</v>
      </c>
    </row>
    <row r="1316" spans="1:100" ht="20.5" thickTop="1" thickBot="1" x14ac:dyDescent="0.5">
      <c r="A1316" s="32"/>
      <c r="B1316" s="10"/>
      <c r="C1316" s="10"/>
      <c r="D1316" s="11"/>
      <c r="E1316" s="10"/>
      <c r="F1316" s="10"/>
      <c r="G1316" s="19"/>
      <c r="H1316" s="19"/>
      <c r="I1316" s="19"/>
      <c r="J1316" s="19"/>
      <c r="K1316" s="10"/>
      <c r="L1316" s="10"/>
      <c r="M1316" s="10"/>
      <c r="N1316" s="10"/>
      <c r="O1316" s="18"/>
      <c r="P1316" s="18"/>
      <c r="Q1316" s="21"/>
      <c r="R1316" s="20"/>
      <c r="S1316" s="16">
        <f t="shared" si="927"/>
        <v>0</v>
      </c>
      <c r="T1316" s="11"/>
      <c r="AS1316" s="31">
        <f t="shared" si="928"/>
        <v>0</v>
      </c>
      <c r="AT1316" s="31">
        <f t="shared" si="929"/>
        <v>0</v>
      </c>
      <c r="AU1316" s="31">
        <f t="shared" si="930"/>
        <v>0</v>
      </c>
      <c r="AV1316" s="31">
        <f t="shared" si="931"/>
        <v>0</v>
      </c>
      <c r="AW1316" s="31">
        <f t="shared" si="932"/>
        <v>0</v>
      </c>
      <c r="AX1316" s="31">
        <f t="shared" si="933"/>
        <v>0</v>
      </c>
      <c r="AY1316" s="31">
        <f t="shared" si="934"/>
        <v>0</v>
      </c>
      <c r="AZ1316" s="31">
        <f t="shared" si="935"/>
        <v>0</v>
      </c>
      <c r="BA1316" s="31">
        <f t="shared" si="936"/>
        <v>0</v>
      </c>
      <c r="BB1316" s="31">
        <f t="shared" si="965"/>
        <v>0</v>
      </c>
      <c r="BM1316" s="8">
        <f t="shared" si="966"/>
        <v>0</v>
      </c>
      <c r="BN1316" s="8">
        <f t="shared" si="937"/>
        <v>0</v>
      </c>
      <c r="BO1316" s="8">
        <f t="shared" si="938"/>
        <v>0</v>
      </c>
      <c r="BQ1316" s="8">
        <f t="shared" si="939"/>
        <v>0</v>
      </c>
      <c r="BR1316" s="63">
        <f t="shared" si="940"/>
        <v>0</v>
      </c>
      <c r="BS1316" s="63">
        <f t="shared" si="967"/>
        <v>0</v>
      </c>
      <c r="BT1316" s="63">
        <f t="shared" si="941"/>
        <v>0</v>
      </c>
      <c r="BU1316" s="63">
        <f t="shared" si="942"/>
        <v>0</v>
      </c>
      <c r="BV1316" s="57">
        <f t="shared" si="943"/>
        <v>0</v>
      </c>
      <c r="BW1316" s="57">
        <f t="shared" si="944"/>
        <v>0</v>
      </c>
      <c r="BX1316" s="57">
        <f t="shared" si="968"/>
        <v>0</v>
      </c>
      <c r="BY1316" s="57">
        <f t="shared" si="972"/>
        <v>0</v>
      </c>
      <c r="BZ1316" s="8">
        <f t="shared" si="945"/>
        <v>0</v>
      </c>
      <c r="CA1316" s="8">
        <f t="shared" si="946"/>
        <v>0</v>
      </c>
      <c r="CB1316" s="8">
        <f t="shared" si="947"/>
        <v>0</v>
      </c>
      <c r="CC1316" s="8">
        <f t="shared" si="948"/>
        <v>0</v>
      </c>
      <c r="CD1316" s="8">
        <f t="shared" si="949"/>
        <v>0</v>
      </c>
      <c r="CE1316" s="8">
        <f t="shared" si="950"/>
        <v>0</v>
      </c>
      <c r="CF1316" s="8">
        <f t="shared" si="951"/>
        <v>0</v>
      </c>
      <c r="CG1316" s="8">
        <f t="shared" si="952"/>
        <v>0</v>
      </c>
      <c r="CH1316" s="8">
        <f t="shared" si="953"/>
        <v>0</v>
      </c>
      <c r="CI1316" s="8">
        <f t="shared" si="954"/>
        <v>0</v>
      </c>
      <c r="CJ1316" s="8">
        <f t="shared" si="955"/>
        <v>0</v>
      </c>
      <c r="CK1316" s="8">
        <f t="shared" si="956"/>
        <v>0</v>
      </c>
      <c r="CL1316" s="8">
        <f t="shared" si="957"/>
        <v>0</v>
      </c>
      <c r="CM1316" s="8">
        <f t="shared" si="958"/>
        <v>0</v>
      </c>
      <c r="CN1316" s="8">
        <f t="shared" si="959"/>
        <v>0</v>
      </c>
      <c r="CO1316" s="8">
        <f t="shared" si="960"/>
        <v>0</v>
      </c>
      <c r="CP1316" s="8">
        <f t="shared" si="961"/>
        <v>0</v>
      </c>
      <c r="CQ1316" s="8">
        <f t="shared" si="962"/>
        <v>0</v>
      </c>
      <c r="CR1316" s="8">
        <f t="shared" si="963"/>
        <v>0</v>
      </c>
      <c r="CS1316" s="8">
        <f t="shared" si="964"/>
        <v>0</v>
      </c>
      <c r="CT1316" s="8">
        <f t="shared" si="969"/>
        <v>0</v>
      </c>
      <c r="CU1316" s="8">
        <f t="shared" si="970"/>
        <v>0</v>
      </c>
      <c r="CV1316" s="8">
        <f t="shared" si="971"/>
        <v>0</v>
      </c>
    </row>
    <row r="1317" spans="1:100" ht="20.5" thickTop="1" thickBot="1" x14ac:dyDescent="0.5">
      <c r="A1317" s="32"/>
      <c r="B1317" s="10"/>
      <c r="C1317" s="10"/>
      <c r="D1317" s="11"/>
      <c r="E1317" s="10"/>
      <c r="F1317" s="10"/>
      <c r="G1317" s="19"/>
      <c r="H1317" s="19"/>
      <c r="I1317" s="19"/>
      <c r="J1317" s="19"/>
      <c r="K1317" s="10"/>
      <c r="L1317" s="10"/>
      <c r="M1317" s="10"/>
      <c r="N1317" s="10"/>
      <c r="O1317" s="18"/>
      <c r="P1317" s="18"/>
      <c r="Q1317" s="21"/>
      <c r="R1317" s="20"/>
      <c r="S1317" s="16">
        <f t="shared" si="927"/>
        <v>0</v>
      </c>
      <c r="T1317" s="11"/>
      <c r="AS1317" s="31">
        <f t="shared" si="928"/>
        <v>0</v>
      </c>
      <c r="AT1317" s="31">
        <f t="shared" si="929"/>
        <v>0</v>
      </c>
      <c r="AU1317" s="31">
        <f t="shared" si="930"/>
        <v>0</v>
      </c>
      <c r="AV1317" s="31">
        <f t="shared" si="931"/>
        <v>0</v>
      </c>
      <c r="AW1317" s="31">
        <f t="shared" si="932"/>
        <v>0</v>
      </c>
      <c r="AX1317" s="31">
        <f t="shared" si="933"/>
        <v>0</v>
      </c>
      <c r="AY1317" s="31">
        <f t="shared" si="934"/>
        <v>0</v>
      </c>
      <c r="AZ1317" s="31">
        <f t="shared" si="935"/>
        <v>0</v>
      </c>
      <c r="BA1317" s="31">
        <f t="shared" si="936"/>
        <v>0</v>
      </c>
      <c r="BB1317" s="31">
        <f t="shared" si="965"/>
        <v>0</v>
      </c>
      <c r="BM1317" s="8">
        <f t="shared" si="966"/>
        <v>0</v>
      </c>
      <c r="BN1317" s="8">
        <f t="shared" si="937"/>
        <v>0</v>
      </c>
      <c r="BO1317" s="8">
        <f t="shared" si="938"/>
        <v>0</v>
      </c>
      <c r="BQ1317" s="8">
        <f t="shared" si="939"/>
        <v>0</v>
      </c>
      <c r="BR1317" s="63">
        <f t="shared" si="940"/>
        <v>0</v>
      </c>
      <c r="BS1317" s="63">
        <f t="shared" si="967"/>
        <v>0</v>
      </c>
      <c r="BT1317" s="63">
        <f t="shared" si="941"/>
        <v>0</v>
      </c>
      <c r="BU1317" s="63">
        <f t="shared" si="942"/>
        <v>0</v>
      </c>
      <c r="BV1317" s="57">
        <f t="shared" si="943"/>
        <v>0</v>
      </c>
      <c r="BW1317" s="57">
        <f t="shared" si="944"/>
        <v>0</v>
      </c>
      <c r="BX1317" s="57">
        <f t="shared" si="968"/>
        <v>0</v>
      </c>
      <c r="BY1317" s="57">
        <f t="shared" si="972"/>
        <v>0</v>
      </c>
      <c r="BZ1317" s="8">
        <f t="shared" si="945"/>
        <v>0</v>
      </c>
      <c r="CA1317" s="8">
        <f t="shared" si="946"/>
        <v>0</v>
      </c>
      <c r="CB1317" s="8">
        <f t="shared" si="947"/>
        <v>0</v>
      </c>
      <c r="CC1317" s="8">
        <f t="shared" si="948"/>
        <v>0</v>
      </c>
      <c r="CD1317" s="8">
        <f t="shared" si="949"/>
        <v>0</v>
      </c>
      <c r="CE1317" s="8">
        <f t="shared" si="950"/>
        <v>0</v>
      </c>
      <c r="CF1317" s="8">
        <f t="shared" si="951"/>
        <v>0</v>
      </c>
      <c r="CG1317" s="8">
        <f t="shared" si="952"/>
        <v>0</v>
      </c>
      <c r="CH1317" s="8">
        <f t="shared" si="953"/>
        <v>0</v>
      </c>
      <c r="CI1317" s="8">
        <f t="shared" si="954"/>
        <v>0</v>
      </c>
      <c r="CJ1317" s="8">
        <f t="shared" si="955"/>
        <v>0</v>
      </c>
      <c r="CK1317" s="8">
        <f t="shared" si="956"/>
        <v>0</v>
      </c>
      <c r="CL1317" s="8">
        <f t="shared" si="957"/>
        <v>0</v>
      </c>
      <c r="CM1317" s="8">
        <f t="shared" si="958"/>
        <v>0</v>
      </c>
      <c r="CN1317" s="8">
        <f t="shared" si="959"/>
        <v>0</v>
      </c>
      <c r="CO1317" s="8">
        <f t="shared" si="960"/>
        <v>0</v>
      </c>
      <c r="CP1317" s="8">
        <f t="shared" si="961"/>
        <v>0</v>
      </c>
      <c r="CQ1317" s="8">
        <f t="shared" si="962"/>
        <v>0</v>
      </c>
      <c r="CR1317" s="8">
        <f t="shared" si="963"/>
        <v>0</v>
      </c>
      <c r="CS1317" s="8">
        <f t="shared" si="964"/>
        <v>0</v>
      </c>
      <c r="CT1317" s="8">
        <f t="shared" si="969"/>
        <v>0</v>
      </c>
      <c r="CU1317" s="8">
        <f t="shared" si="970"/>
        <v>0</v>
      </c>
      <c r="CV1317" s="8">
        <f t="shared" si="971"/>
        <v>0</v>
      </c>
    </row>
    <row r="1318" spans="1:100" ht="20.5" thickTop="1" thickBot="1" x14ac:dyDescent="0.5">
      <c r="A1318" s="32"/>
      <c r="B1318" s="10"/>
      <c r="C1318" s="10"/>
      <c r="D1318" s="11"/>
      <c r="E1318" s="10"/>
      <c r="F1318" s="10"/>
      <c r="G1318" s="19"/>
      <c r="H1318" s="19"/>
      <c r="I1318" s="19"/>
      <c r="J1318" s="19"/>
      <c r="K1318" s="10"/>
      <c r="L1318" s="10"/>
      <c r="M1318" s="10"/>
      <c r="N1318" s="10"/>
      <c r="O1318" s="18"/>
      <c r="P1318" s="18"/>
      <c r="Q1318" s="21"/>
      <c r="R1318" s="20"/>
      <c r="S1318" s="16">
        <f t="shared" si="927"/>
        <v>0</v>
      </c>
      <c r="T1318" s="11"/>
      <c r="AS1318" s="31">
        <f t="shared" si="928"/>
        <v>0</v>
      </c>
      <c r="AT1318" s="31">
        <f t="shared" si="929"/>
        <v>0</v>
      </c>
      <c r="AU1318" s="31">
        <f t="shared" si="930"/>
        <v>0</v>
      </c>
      <c r="AV1318" s="31">
        <f t="shared" si="931"/>
        <v>0</v>
      </c>
      <c r="AW1318" s="31">
        <f t="shared" si="932"/>
        <v>0</v>
      </c>
      <c r="AX1318" s="31">
        <f t="shared" si="933"/>
        <v>0</v>
      </c>
      <c r="AY1318" s="31">
        <f t="shared" si="934"/>
        <v>0</v>
      </c>
      <c r="AZ1318" s="31">
        <f t="shared" si="935"/>
        <v>0</v>
      </c>
      <c r="BA1318" s="31">
        <f t="shared" si="936"/>
        <v>0</v>
      </c>
      <c r="BB1318" s="31">
        <f t="shared" si="965"/>
        <v>0</v>
      </c>
      <c r="BM1318" s="8">
        <f t="shared" si="966"/>
        <v>0</v>
      </c>
      <c r="BN1318" s="8">
        <f t="shared" si="937"/>
        <v>0</v>
      </c>
      <c r="BO1318" s="8">
        <f t="shared" si="938"/>
        <v>0</v>
      </c>
      <c r="BQ1318" s="8">
        <f t="shared" si="939"/>
        <v>0</v>
      </c>
      <c r="BR1318" s="63">
        <f t="shared" si="940"/>
        <v>0</v>
      </c>
      <c r="BS1318" s="63">
        <f t="shared" si="967"/>
        <v>0</v>
      </c>
      <c r="BT1318" s="63">
        <f t="shared" si="941"/>
        <v>0</v>
      </c>
      <c r="BU1318" s="63">
        <f t="shared" si="942"/>
        <v>0</v>
      </c>
      <c r="BV1318" s="57">
        <f t="shared" si="943"/>
        <v>0</v>
      </c>
      <c r="BW1318" s="57">
        <f t="shared" si="944"/>
        <v>0</v>
      </c>
      <c r="BX1318" s="57">
        <f t="shared" si="968"/>
        <v>0</v>
      </c>
      <c r="BY1318" s="57">
        <f t="shared" si="972"/>
        <v>0</v>
      </c>
      <c r="BZ1318" s="8">
        <f t="shared" si="945"/>
        <v>0</v>
      </c>
      <c r="CA1318" s="8">
        <f t="shared" si="946"/>
        <v>0</v>
      </c>
      <c r="CB1318" s="8">
        <f t="shared" si="947"/>
        <v>0</v>
      </c>
      <c r="CC1318" s="8">
        <f t="shared" si="948"/>
        <v>0</v>
      </c>
      <c r="CD1318" s="8">
        <f t="shared" si="949"/>
        <v>0</v>
      </c>
      <c r="CE1318" s="8">
        <f t="shared" si="950"/>
        <v>0</v>
      </c>
      <c r="CF1318" s="8">
        <f t="shared" si="951"/>
        <v>0</v>
      </c>
      <c r="CG1318" s="8">
        <f t="shared" si="952"/>
        <v>0</v>
      </c>
      <c r="CH1318" s="8">
        <f t="shared" si="953"/>
        <v>0</v>
      </c>
      <c r="CI1318" s="8">
        <f t="shared" si="954"/>
        <v>0</v>
      </c>
      <c r="CJ1318" s="8">
        <f t="shared" si="955"/>
        <v>0</v>
      </c>
      <c r="CK1318" s="8">
        <f t="shared" si="956"/>
        <v>0</v>
      </c>
      <c r="CL1318" s="8">
        <f t="shared" si="957"/>
        <v>0</v>
      </c>
      <c r="CM1318" s="8">
        <f t="shared" si="958"/>
        <v>0</v>
      </c>
      <c r="CN1318" s="8">
        <f t="shared" si="959"/>
        <v>0</v>
      </c>
      <c r="CO1318" s="8">
        <f t="shared" si="960"/>
        <v>0</v>
      </c>
      <c r="CP1318" s="8">
        <f t="shared" si="961"/>
        <v>0</v>
      </c>
      <c r="CQ1318" s="8">
        <f t="shared" si="962"/>
        <v>0</v>
      </c>
      <c r="CR1318" s="8">
        <f t="shared" si="963"/>
        <v>0</v>
      </c>
      <c r="CS1318" s="8">
        <f t="shared" si="964"/>
        <v>0</v>
      </c>
      <c r="CT1318" s="8">
        <f t="shared" si="969"/>
        <v>0</v>
      </c>
      <c r="CU1318" s="8">
        <f t="shared" si="970"/>
        <v>0</v>
      </c>
      <c r="CV1318" s="8">
        <f t="shared" si="971"/>
        <v>0</v>
      </c>
    </row>
    <row r="1319" spans="1:100" ht="20.5" thickTop="1" thickBot="1" x14ac:dyDescent="0.5">
      <c r="A1319" s="32"/>
      <c r="B1319" s="10"/>
      <c r="C1319" s="10"/>
      <c r="D1319" s="11"/>
      <c r="E1319" s="10"/>
      <c r="F1319" s="10"/>
      <c r="G1319" s="19"/>
      <c r="H1319" s="19"/>
      <c r="I1319" s="19"/>
      <c r="J1319" s="19"/>
      <c r="K1319" s="10"/>
      <c r="L1319" s="10"/>
      <c r="M1319" s="10"/>
      <c r="N1319" s="10"/>
      <c r="O1319" s="18"/>
      <c r="P1319" s="18"/>
      <c r="Q1319" s="21"/>
      <c r="R1319" s="20"/>
      <c r="S1319" s="16">
        <f t="shared" si="927"/>
        <v>0</v>
      </c>
      <c r="T1319" s="11"/>
      <c r="AS1319" s="31">
        <f t="shared" si="928"/>
        <v>0</v>
      </c>
      <c r="AT1319" s="31">
        <f t="shared" si="929"/>
        <v>0</v>
      </c>
      <c r="AU1319" s="31">
        <f t="shared" si="930"/>
        <v>0</v>
      </c>
      <c r="AV1319" s="31">
        <f t="shared" si="931"/>
        <v>0</v>
      </c>
      <c r="AW1319" s="31">
        <f t="shared" si="932"/>
        <v>0</v>
      </c>
      <c r="AX1319" s="31">
        <f t="shared" si="933"/>
        <v>0</v>
      </c>
      <c r="AY1319" s="31">
        <f t="shared" si="934"/>
        <v>0</v>
      </c>
      <c r="AZ1319" s="31">
        <f t="shared" si="935"/>
        <v>0</v>
      </c>
      <c r="BA1319" s="31">
        <f t="shared" si="936"/>
        <v>0</v>
      </c>
      <c r="BB1319" s="31">
        <f t="shared" si="965"/>
        <v>0</v>
      </c>
      <c r="BM1319" s="8">
        <f t="shared" si="966"/>
        <v>0</v>
      </c>
      <c r="BN1319" s="8">
        <f t="shared" si="937"/>
        <v>0</v>
      </c>
      <c r="BO1319" s="8">
        <f t="shared" si="938"/>
        <v>0</v>
      </c>
      <c r="BQ1319" s="8">
        <f t="shared" si="939"/>
        <v>0</v>
      </c>
      <c r="BR1319" s="63">
        <f t="shared" si="940"/>
        <v>0</v>
      </c>
      <c r="BS1319" s="63">
        <f t="shared" si="967"/>
        <v>0</v>
      </c>
      <c r="BT1319" s="63">
        <f t="shared" si="941"/>
        <v>0</v>
      </c>
      <c r="BU1319" s="63">
        <f t="shared" si="942"/>
        <v>0</v>
      </c>
      <c r="BV1319" s="57">
        <f t="shared" si="943"/>
        <v>0</v>
      </c>
      <c r="BW1319" s="57">
        <f t="shared" si="944"/>
        <v>0</v>
      </c>
      <c r="BX1319" s="57">
        <f t="shared" si="968"/>
        <v>0</v>
      </c>
      <c r="BY1319" s="57">
        <f t="shared" si="972"/>
        <v>0</v>
      </c>
      <c r="BZ1319" s="8">
        <f t="shared" si="945"/>
        <v>0</v>
      </c>
      <c r="CA1319" s="8">
        <f t="shared" si="946"/>
        <v>0</v>
      </c>
      <c r="CB1319" s="8">
        <f t="shared" si="947"/>
        <v>0</v>
      </c>
      <c r="CC1319" s="8">
        <f t="shared" si="948"/>
        <v>0</v>
      </c>
      <c r="CD1319" s="8">
        <f t="shared" si="949"/>
        <v>0</v>
      </c>
      <c r="CE1319" s="8">
        <f t="shared" si="950"/>
        <v>0</v>
      </c>
      <c r="CF1319" s="8">
        <f t="shared" si="951"/>
        <v>0</v>
      </c>
      <c r="CG1319" s="8">
        <f t="shared" si="952"/>
        <v>0</v>
      </c>
      <c r="CH1319" s="8">
        <f t="shared" si="953"/>
        <v>0</v>
      </c>
      <c r="CI1319" s="8">
        <f t="shared" si="954"/>
        <v>0</v>
      </c>
      <c r="CJ1319" s="8">
        <f t="shared" si="955"/>
        <v>0</v>
      </c>
      <c r="CK1319" s="8">
        <f t="shared" si="956"/>
        <v>0</v>
      </c>
      <c r="CL1319" s="8">
        <f t="shared" si="957"/>
        <v>0</v>
      </c>
      <c r="CM1319" s="8">
        <f t="shared" si="958"/>
        <v>0</v>
      </c>
      <c r="CN1319" s="8">
        <f t="shared" si="959"/>
        <v>0</v>
      </c>
      <c r="CO1319" s="8">
        <f t="shared" si="960"/>
        <v>0</v>
      </c>
      <c r="CP1319" s="8">
        <f t="shared" si="961"/>
        <v>0</v>
      </c>
      <c r="CQ1319" s="8">
        <f t="shared" si="962"/>
        <v>0</v>
      </c>
      <c r="CR1319" s="8">
        <f t="shared" si="963"/>
        <v>0</v>
      </c>
      <c r="CS1319" s="8">
        <f t="shared" si="964"/>
        <v>0</v>
      </c>
      <c r="CT1319" s="8">
        <f t="shared" si="969"/>
        <v>0</v>
      </c>
      <c r="CU1319" s="8">
        <f t="shared" si="970"/>
        <v>0</v>
      </c>
      <c r="CV1319" s="8">
        <f t="shared" si="971"/>
        <v>0</v>
      </c>
    </row>
    <row r="1320" spans="1:100" ht="20.5" thickTop="1" thickBot="1" x14ac:dyDescent="0.5">
      <c r="A1320" s="32"/>
      <c r="B1320" s="10"/>
      <c r="C1320" s="10"/>
      <c r="D1320" s="11"/>
      <c r="E1320" s="10"/>
      <c r="F1320" s="10"/>
      <c r="G1320" s="19"/>
      <c r="H1320" s="19"/>
      <c r="I1320" s="19"/>
      <c r="J1320" s="19"/>
      <c r="K1320" s="10"/>
      <c r="L1320" s="10"/>
      <c r="M1320" s="10"/>
      <c r="N1320" s="10"/>
      <c r="O1320" s="18"/>
      <c r="P1320" s="18"/>
      <c r="Q1320" s="21"/>
      <c r="R1320" s="20"/>
      <c r="S1320" s="16">
        <f t="shared" si="927"/>
        <v>0</v>
      </c>
      <c r="T1320" s="11"/>
      <c r="AS1320" s="31">
        <f t="shared" si="928"/>
        <v>0</v>
      </c>
      <c r="AT1320" s="31">
        <f t="shared" si="929"/>
        <v>0</v>
      </c>
      <c r="AU1320" s="31">
        <f t="shared" si="930"/>
        <v>0</v>
      </c>
      <c r="AV1320" s="31">
        <f t="shared" si="931"/>
        <v>0</v>
      </c>
      <c r="AW1320" s="31">
        <f t="shared" si="932"/>
        <v>0</v>
      </c>
      <c r="AX1320" s="31">
        <f t="shared" si="933"/>
        <v>0</v>
      </c>
      <c r="AY1320" s="31">
        <f t="shared" si="934"/>
        <v>0</v>
      </c>
      <c r="AZ1320" s="31">
        <f t="shared" si="935"/>
        <v>0</v>
      </c>
      <c r="BA1320" s="31">
        <f t="shared" si="936"/>
        <v>0</v>
      </c>
      <c r="BB1320" s="31">
        <f t="shared" si="965"/>
        <v>0</v>
      </c>
      <c r="BM1320" s="8">
        <f t="shared" si="966"/>
        <v>0</v>
      </c>
      <c r="BN1320" s="8">
        <f t="shared" si="937"/>
        <v>0</v>
      </c>
      <c r="BO1320" s="8">
        <f t="shared" si="938"/>
        <v>0</v>
      </c>
      <c r="BQ1320" s="8">
        <f t="shared" si="939"/>
        <v>0</v>
      </c>
      <c r="BR1320" s="63">
        <f t="shared" si="940"/>
        <v>0</v>
      </c>
      <c r="BS1320" s="63">
        <f t="shared" si="967"/>
        <v>0</v>
      </c>
      <c r="BT1320" s="63">
        <f t="shared" si="941"/>
        <v>0</v>
      </c>
      <c r="BU1320" s="63">
        <f t="shared" si="942"/>
        <v>0</v>
      </c>
      <c r="BV1320" s="57">
        <f t="shared" si="943"/>
        <v>0</v>
      </c>
      <c r="BW1320" s="57">
        <f t="shared" si="944"/>
        <v>0</v>
      </c>
      <c r="BX1320" s="57">
        <f t="shared" si="968"/>
        <v>0</v>
      </c>
      <c r="BY1320" s="57">
        <f t="shared" si="972"/>
        <v>0</v>
      </c>
      <c r="BZ1320" s="8">
        <f t="shared" si="945"/>
        <v>0</v>
      </c>
      <c r="CA1320" s="8">
        <f t="shared" si="946"/>
        <v>0</v>
      </c>
      <c r="CB1320" s="8">
        <f t="shared" si="947"/>
        <v>0</v>
      </c>
      <c r="CC1320" s="8">
        <f t="shared" si="948"/>
        <v>0</v>
      </c>
      <c r="CD1320" s="8">
        <f t="shared" si="949"/>
        <v>0</v>
      </c>
      <c r="CE1320" s="8">
        <f t="shared" si="950"/>
        <v>0</v>
      </c>
      <c r="CF1320" s="8">
        <f t="shared" si="951"/>
        <v>0</v>
      </c>
      <c r="CG1320" s="8">
        <f t="shared" si="952"/>
        <v>0</v>
      </c>
      <c r="CH1320" s="8">
        <f t="shared" si="953"/>
        <v>0</v>
      </c>
      <c r="CI1320" s="8">
        <f t="shared" si="954"/>
        <v>0</v>
      </c>
      <c r="CJ1320" s="8">
        <f t="shared" si="955"/>
        <v>0</v>
      </c>
      <c r="CK1320" s="8">
        <f t="shared" si="956"/>
        <v>0</v>
      </c>
      <c r="CL1320" s="8">
        <f t="shared" si="957"/>
        <v>0</v>
      </c>
      <c r="CM1320" s="8">
        <f t="shared" si="958"/>
        <v>0</v>
      </c>
      <c r="CN1320" s="8">
        <f t="shared" si="959"/>
        <v>0</v>
      </c>
      <c r="CO1320" s="8">
        <f t="shared" si="960"/>
        <v>0</v>
      </c>
      <c r="CP1320" s="8">
        <f t="shared" si="961"/>
        <v>0</v>
      </c>
      <c r="CQ1320" s="8">
        <f t="shared" si="962"/>
        <v>0</v>
      </c>
      <c r="CR1320" s="8">
        <f t="shared" si="963"/>
        <v>0</v>
      </c>
      <c r="CS1320" s="8">
        <f t="shared" si="964"/>
        <v>0</v>
      </c>
      <c r="CT1320" s="8">
        <f t="shared" si="969"/>
        <v>0</v>
      </c>
      <c r="CU1320" s="8">
        <f t="shared" si="970"/>
        <v>0</v>
      </c>
      <c r="CV1320" s="8">
        <f t="shared" si="971"/>
        <v>0</v>
      </c>
    </row>
    <row r="1321" spans="1:100" ht="20.5" thickTop="1" thickBot="1" x14ac:dyDescent="0.5">
      <c r="A1321" s="32"/>
      <c r="B1321" s="10"/>
      <c r="C1321" s="10"/>
      <c r="D1321" s="11"/>
      <c r="E1321" s="10"/>
      <c r="F1321" s="10"/>
      <c r="G1321" s="19"/>
      <c r="H1321" s="19"/>
      <c r="I1321" s="19"/>
      <c r="J1321" s="19"/>
      <c r="K1321" s="10"/>
      <c r="L1321" s="10"/>
      <c r="M1321" s="10"/>
      <c r="N1321" s="10"/>
      <c r="O1321" s="18"/>
      <c r="P1321" s="18"/>
      <c r="Q1321" s="21"/>
      <c r="R1321" s="20"/>
      <c r="S1321" s="16">
        <f t="shared" si="927"/>
        <v>0</v>
      </c>
      <c r="T1321" s="11"/>
      <c r="AS1321" s="31">
        <f t="shared" si="928"/>
        <v>0</v>
      </c>
      <c r="AT1321" s="31">
        <f t="shared" si="929"/>
        <v>0</v>
      </c>
      <c r="AU1321" s="31">
        <f t="shared" si="930"/>
        <v>0</v>
      </c>
      <c r="AV1321" s="31">
        <f t="shared" si="931"/>
        <v>0</v>
      </c>
      <c r="AW1321" s="31">
        <f t="shared" si="932"/>
        <v>0</v>
      </c>
      <c r="AX1321" s="31">
        <f t="shared" si="933"/>
        <v>0</v>
      </c>
      <c r="AY1321" s="31">
        <f t="shared" si="934"/>
        <v>0</v>
      </c>
      <c r="AZ1321" s="31">
        <f t="shared" si="935"/>
        <v>0</v>
      </c>
      <c r="BA1321" s="31">
        <f t="shared" si="936"/>
        <v>0</v>
      </c>
      <c r="BB1321" s="31">
        <f t="shared" si="965"/>
        <v>0</v>
      </c>
      <c r="BM1321" s="8">
        <f t="shared" si="966"/>
        <v>0</v>
      </c>
      <c r="BN1321" s="8">
        <f t="shared" si="937"/>
        <v>0</v>
      </c>
      <c r="BO1321" s="8">
        <f t="shared" si="938"/>
        <v>0</v>
      </c>
      <c r="BQ1321" s="8">
        <f t="shared" si="939"/>
        <v>0</v>
      </c>
      <c r="BR1321" s="63">
        <f t="shared" si="940"/>
        <v>0</v>
      </c>
      <c r="BS1321" s="63">
        <f t="shared" si="967"/>
        <v>0</v>
      </c>
      <c r="BT1321" s="63">
        <f t="shared" si="941"/>
        <v>0</v>
      </c>
      <c r="BU1321" s="63">
        <f t="shared" si="942"/>
        <v>0</v>
      </c>
      <c r="BV1321" s="57">
        <f t="shared" si="943"/>
        <v>0</v>
      </c>
      <c r="BW1321" s="57">
        <f t="shared" si="944"/>
        <v>0</v>
      </c>
      <c r="BX1321" s="57">
        <f t="shared" si="968"/>
        <v>0</v>
      </c>
      <c r="BY1321" s="57">
        <f t="shared" si="972"/>
        <v>0</v>
      </c>
      <c r="BZ1321" s="8">
        <f t="shared" si="945"/>
        <v>0</v>
      </c>
      <c r="CA1321" s="8">
        <f t="shared" si="946"/>
        <v>0</v>
      </c>
      <c r="CB1321" s="8">
        <f t="shared" si="947"/>
        <v>0</v>
      </c>
      <c r="CC1321" s="8">
        <f t="shared" si="948"/>
        <v>0</v>
      </c>
      <c r="CD1321" s="8">
        <f t="shared" si="949"/>
        <v>0</v>
      </c>
      <c r="CE1321" s="8">
        <f t="shared" si="950"/>
        <v>0</v>
      </c>
      <c r="CF1321" s="8">
        <f t="shared" si="951"/>
        <v>0</v>
      </c>
      <c r="CG1321" s="8">
        <f t="shared" si="952"/>
        <v>0</v>
      </c>
      <c r="CH1321" s="8">
        <f t="shared" si="953"/>
        <v>0</v>
      </c>
      <c r="CI1321" s="8">
        <f t="shared" si="954"/>
        <v>0</v>
      </c>
      <c r="CJ1321" s="8">
        <f t="shared" si="955"/>
        <v>0</v>
      </c>
      <c r="CK1321" s="8">
        <f t="shared" si="956"/>
        <v>0</v>
      </c>
      <c r="CL1321" s="8">
        <f t="shared" si="957"/>
        <v>0</v>
      </c>
      <c r="CM1321" s="8">
        <f t="shared" si="958"/>
        <v>0</v>
      </c>
      <c r="CN1321" s="8">
        <f t="shared" si="959"/>
        <v>0</v>
      </c>
      <c r="CO1321" s="8">
        <f t="shared" si="960"/>
        <v>0</v>
      </c>
      <c r="CP1321" s="8">
        <f t="shared" si="961"/>
        <v>0</v>
      </c>
      <c r="CQ1321" s="8">
        <f t="shared" si="962"/>
        <v>0</v>
      </c>
      <c r="CR1321" s="8">
        <f t="shared" si="963"/>
        <v>0</v>
      </c>
      <c r="CS1321" s="8">
        <f t="shared" si="964"/>
        <v>0</v>
      </c>
      <c r="CT1321" s="8">
        <f t="shared" si="969"/>
        <v>0</v>
      </c>
      <c r="CU1321" s="8">
        <f t="shared" si="970"/>
        <v>0</v>
      </c>
      <c r="CV1321" s="8">
        <f t="shared" si="971"/>
        <v>0</v>
      </c>
    </row>
    <row r="1322" spans="1:100" ht="20.5" thickTop="1" thickBot="1" x14ac:dyDescent="0.5">
      <c r="A1322" s="32"/>
      <c r="B1322" s="10"/>
      <c r="C1322" s="10"/>
      <c r="D1322" s="11"/>
      <c r="E1322" s="10"/>
      <c r="F1322" s="10"/>
      <c r="G1322" s="19"/>
      <c r="H1322" s="19"/>
      <c r="I1322" s="19"/>
      <c r="J1322" s="19"/>
      <c r="K1322" s="10"/>
      <c r="L1322" s="10"/>
      <c r="M1322" s="10"/>
      <c r="N1322" s="10"/>
      <c r="O1322" s="18"/>
      <c r="P1322" s="18"/>
      <c r="Q1322" s="21"/>
      <c r="R1322" s="20"/>
      <c r="S1322" s="16">
        <f t="shared" si="927"/>
        <v>0</v>
      </c>
      <c r="T1322" s="11"/>
      <c r="AS1322" s="31">
        <f t="shared" si="928"/>
        <v>0</v>
      </c>
      <c r="AT1322" s="31">
        <f t="shared" si="929"/>
        <v>0</v>
      </c>
      <c r="AU1322" s="31">
        <f t="shared" si="930"/>
        <v>0</v>
      </c>
      <c r="AV1322" s="31">
        <f t="shared" si="931"/>
        <v>0</v>
      </c>
      <c r="AW1322" s="31">
        <f t="shared" si="932"/>
        <v>0</v>
      </c>
      <c r="AX1322" s="31">
        <f t="shared" si="933"/>
        <v>0</v>
      </c>
      <c r="AY1322" s="31">
        <f t="shared" si="934"/>
        <v>0</v>
      </c>
      <c r="AZ1322" s="31">
        <f t="shared" si="935"/>
        <v>0</v>
      </c>
      <c r="BA1322" s="31">
        <f t="shared" si="936"/>
        <v>0</v>
      </c>
      <c r="BB1322" s="31">
        <f t="shared" si="965"/>
        <v>0</v>
      </c>
      <c r="BM1322" s="8">
        <f t="shared" si="966"/>
        <v>0</v>
      </c>
      <c r="BN1322" s="8">
        <f t="shared" si="937"/>
        <v>0</v>
      </c>
      <c r="BO1322" s="8">
        <f t="shared" si="938"/>
        <v>0</v>
      </c>
      <c r="BQ1322" s="8">
        <f t="shared" si="939"/>
        <v>0</v>
      </c>
      <c r="BR1322" s="63">
        <f t="shared" si="940"/>
        <v>0</v>
      </c>
      <c r="BS1322" s="63">
        <f t="shared" si="967"/>
        <v>0</v>
      </c>
      <c r="BT1322" s="63">
        <f t="shared" si="941"/>
        <v>0</v>
      </c>
      <c r="BU1322" s="63">
        <f t="shared" si="942"/>
        <v>0</v>
      </c>
      <c r="BV1322" s="57">
        <f t="shared" si="943"/>
        <v>0</v>
      </c>
      <c r="BW1322" s="57">
        <f t="shared" si="944"/>
        <v>0</v>
      </c>
      <c r="BX1322" s="57">
        <f t="shared" si="968"/>
        <v>0</v>
      </c>
      <c r="BY1322" s="57">
        <f t="shared" si="972"/>
        <v>0</v>
      </c>
      <c r="BZ1322" s="8">
        <f t="shared" si="945"/>
        <v>0</v>
      </c>
      <c r="CA1322" s="8">
        <f t="shared" si="946"/>
        <v>0</v>
      </c>
      <c r="CB1322" s="8">
        <f t="shared" si="947"/>
        <v>0</v>
      </c>
      <c r="CC1322" s="8">
        <f t="shared" si="948"/>
        <v>0</v>
      </c>
      <c r="CD1322" s="8">
        <f t="shared" si="949"/>
        <v>0</v>
      </c>
      <c r="CE1322" s="8">
        <f t="shared" si="950"/>
        <v>0</v>
      </c>
      <c r="CF1322" s="8">
        <f t="shared" si="951"/>
        <v>0</v>
      </c>
      <c r="CG1322" s="8">
        <f t="shared" si="952"/>
        <v>0</v>
      </c>
      <c r="CH1322" s="8">
        <f t="shared" si="953"/>
        <v>0</v>
      </c>
      <c r="CI1322" s="8">
        <f t="shared" si="954"/>
        <v>0</v>
      </c>
      <c r="CJ1322" s="8">
        <f t="shared" si="955"/>
        <v>0</v>
      </c>
      <c r="CK1322" s="8">
        <f t="shared" si="956"/>
        <v>0</v>
      </c>
      <c r="CL1322" s="8">
        <f t="shared" si="957"/>
        <v>0</v>
      </c>
      <c r="CM1322" s="8">
        <f t="shared" si="958"/>
        <v>0</v>
      </c>
      <c r="CN1322" s="8">
        <f t="shared" si="959"/>
        <v>0</v>
      </c>
      <c r="CO1322" s="8">
        <f t="shared" si="960"/>
        <v>0</v>
      </c>
      <c r="CP1322" s="8">
        <f t="shared" si="961"/>
        <v>0</v>
      </c>
      <c r="CQ1322" s="8">
        <f t="shared" si="962"/>
        <v>0</v>
      </c>
      <c r="CR1322" s="8">
        <f t="shared" si="963"/>
        <v>0</v>
      </c>
      <c r="CS1322" s="8">
        <f t="shared" si="964"/>
        <v>0</v>
      </c>
      <c r="CT1322" s="8">
        <f t="shared" si="969"/>
        <v>0</v>
      </c>
      <c r="CU1322" s="8">
        <f t="shared" si="970"/>
        <v>0</v>
      </c>
      <c r="CV1322" s="8">
        <f t="shared" si="971"/>
        <v>0</v>
      </c>
    </row>
    <row r="1323" spans="1:100" ht="20.5" thickTop="1" thickBot="1" x14ac:dyDescent="0.5">
      <c r="A1323" s="32"/>
      <c r="B1323" s="10"/>
      <c r="C1323" s="10"/>
      <c r="D1323" s="11"/>
      <c r="E1323" s="10"/>
      <c r="F1323" s="10"/>
      <c r="G1323" s="19"/>
      <c r="H1323" s="19"/>
      <c r="I1323" s="19"/>
      <c r="J1323" s="19"/>
      <c r="K1323" s="10"/>
      <c r="L1323" s="10"/>
      <c r="M1323" s="10"/>
      <c r="N1323" s="10"/>
      <c r="O1323" s="18"/>
      <c r="P1323" s="18"/>
      <c r="Q1323" s="21"/>
      <c r="R1323" s="20"/>
      <c r="S1323" s="16">
        <f t="shared" si="927"/>
        <v>0</v>
      </c>
      <c r="T1323" s="11"/>
      <c r="AS1323" s="31">
        <f t="shared" si="928"/>
        <v>0</v>
      </c>
      <c r="AT1323" s="31">
        <f t="shared" si="929"/>
        <v>0</v>
      </c>
      <c r="AU1323" s="31">
        <f t="shared" si="930"/>
        <v>0</v>
      </c>
      <c r="AV1323" s="31">
        <f t="shared" si="931"/>
        <v>0</v>
      </c>
      <c r="AW1323" s="31">
        <f t="shared" si="932"/>
        <v>0</v>
      </c>
      <c r="AX1323" s="31">
        <f t="shared" si="933"/>
        <v>0</v>
      </c>
      <c r="AY1323" s="31">
        <f t="shared" si="934"/>
        <v>0</v>
      </c>
      <c r="AZ1323" s="31">
        <f t="shared" si="935"/>
        <v>0</v>
      </c>
      <c r="BA1323" s="31">
        <f t="shared" si="936"/>
        <v>0</v>
      </c>
      <c r="BB1323" s="31">
        <f t="shared" si="965"/>
        <v>0</v>
      </c>
      <c r="BM1323" s="8">
        <f t="shared" si="966"/>
        <v>0</v>
      </c>
      <c r="BN1323" s="8">
        <f t="shared" si="937"/>
        <v>0</v>
      </c>
      <c r="BO1323" s="8">
        <f t="shared" si="938"/>
        <v>0</v>
      </c>
      <c r="BQ1323" s="8">
        <f t="shared" si="939"/>
        <v>0</v>
      </c>
      <c r="BR1323" s="63">
        <f t="shared" si="940"/>
        <v>0</v>
      </c>
      <c r="BS1323" s="63">
        <f t="shared" si="967"/>
        <v>0</v>
      </c>
      <c r="BT1323" s="63">
        <f t="shared" si="941"/>
        <v>0</v>
      </c>
      <c r="BU1323" s="63">
        <f t="shared" si="942"/>
        <v>0</v>
      </c>
      <c r="BV1323" s="57">
        <f t="shared" si="943"/>
        <v>0</v>
      </c>
      <c r="BW1323" s="57">
        <f t="shared" si="944"/>
        <v>0</v>
      </c>
      <c r="BX1323" s="57">
        <f t="shared" si="968"/>
        <v>0</v>
      </c>
      <c r="BY1323" s="57">
        <f t="shared" si="972"/>
        <v>0</v>
      </c>
      <c r="BZ1323" s="8">
        <f t="shared" si="945"/>
        <v>0</v>
      </c>
      <c r="CA1323" s="8">
        <f t="shared" si="946"/>
        <v>0</v>
      </c>
      <c r="CB1323" s="8">
        <f t="shared" si="947"/>
        <v>0</v>
      </c>
      <c r="CC1323" s="8">
        <f t="shared" si="948"/>
        <v>0</v>
      </c>
      <c r="CD1323" s="8">
        <f t="shared" si="949"/>
        <v>0</v>
      </c>
      <c r="CE1323" s="8">
        <f t="shared" si="950"/>
        <v>0</v>
      </c>
      <c r="CF1323" s="8">
        <f t="shared" si="951"/>
        <v>0</v>
      </c>
      <c r="CG1323" s="8">
        <f t="shared" si="952"/>
        <v>0</v>
      </c>
      <c r="CH1323" s="8">
        <f t="shared" si="953"/>
        <v>0</v>
      </c>
      <c r="CI1323" s="8">
        <f t="shared" si="954"/>
        <v>0</v>
      </c>
      <c r="CJ1323" s="8">
        <f t="shared" si="955"/>
        <v>0</v>
      </c>
      <c r="CK1323" s="8">
        <f t="shared" si="956"/>
        <v>0</v>
      </c>
      <c r="CL1323" s="8">
        <f t="shared" si="957"/>
        <v>0</v>
      </c>
      <c r="CM1323" s="8">
        <f t="shared" si="958"/>
        <v>0</v>
      </c>
      <c r="CN1323" s="8">
        <f t="shared" si="959"/>
        <v>0</v>
      </c>
      <c r="CO1323" s="8">
        <f t="shared" si="960"/>
        <v>0</v>
      </c>
      <c r="CP1323" s="8">
        <f t="shared" si="961"/>
        <v>0</v>
      </c>
      <c r="CQ1323" s="8">
        <f t="shared" si="962"/>
        <v>0</v>
      </c>
      <c r="CR1323" s="8">
        <f t="shared" si="963"/>
        <v>0</v>
      </c>
      <c r="CS1323" s="8">
        <f t="shared" si="964"/>
        <v>0</v>
      </c>
      <c r="CT1323" s="8">
        <f t="shared" si="969"/>
        <v>0</v>
      </c>
      <c r="CU1323" s="8">
        <f t="shared" si="970"/>
        <v>0</v>
      </c>
      <c r="CV1323" s="8">
        <f t="shared" si="971"/>
        <v>0</v>
      </c>
    </row>
    <row r="1324" spans="1:100" ht="20.5" thickTop="1" thickBot="1" x14ac:dyDescent="0.5">
      <c r="A1324" s="32"/>
      <c r="B1324" s="10"/>
      <c r="C1324" s="10"/>
      <c r="D1324" s="11"/>
      <c r="E1324" s="10"/>
      <c r="F1324" s="10"/>
      <c r="G1324" s="19"/>
      <c r="H1324" s="19"/>
      <c r="I1324" s="19"/>
      <c r="J1324" s="19"/>
      <c r="K1324" s="10"/>
      <c r="L1324" s="10"/>
      <c r="M1324" s="10"/>
      <c r="N1324" s="10"/>
      <c r="O1324" s="18"/>
      <c r="P1324" s="18"/>
      <c r="Q1324" s="21"/>
      <c r="R1324" s="20"/>
      <c r="S1324" s="16">
        <f t="shared" si="927"/>
        <v>0</v>
      </c>
      <c r="T1324" s="11"/>
      <c r="AS1324" s="31">
        <f t="shared" si="928"/>
        <v>0</v>
      </c>
      <c r="AT1324" s="31">
        <f t="shared" si="929"/>
        <v>0</v>
      </c>
      <c r="AU1324" s="31">
        <f t="shared" si="930"/>
        <v>0</v>
      </c>
      <c r="AV1324" s="31">
        <f t="shared" si="931"/>
        <v>0</v>
      </c>
      <c r="AW1324" s="31">
        <f t="shared" si="932"/>
        <v>0</v>
      </c>
      <c r="AX1324" s="31">
        <f t="shared" si="933"/>
        <v>0</v>
      </c>
      <c r="AY1324" s="31">
        <f t="shared" si="934"/>
        <v>0</v>
      </c>
      <c r="AZ1324" s="31">
        <f t="shared" si="935"/>
        <v>0</v>
      </c>
      <c r="BA1324" s="31">
        <f t="shared" si="936"/>
        <v>0</v>
      </c>
      <c r="BB1324" s="31">
        <f t="shared" si="965"/>
        <v>0</v>
      </c>
      <c r="BM1324" s="8">
        <f t="shared" si="966"/>
        <v>0</v>
      </c>
      <c r="BN1324" s="8">
        <f t="shared" si="937"/>
        <v>0</v>
      </c>
      <c r="BO1324" s="8">
        <f t="shared" si="938"/>
        <v>0</v>
      </c>
      <c r="BQ1324" s="8">
        <f t="shared" si="939"/>
        <v>0</v>
      </c>
      <c r="BR1324" s="63">
        <f t="shared" si="940"/>
        <v>0</v>
      </c>
      <c r="BS1324" s="63">
        <f t="shared" si="967"/>
        <v>0</v>
      </c>
      <c r="BT1324" s="63">
        <f t="shared" si="941"/>
        <v>0</v>
      </c>
      <c r="BU1324" s="63">
        <f t="shared" si="942"/>
        <v>0</v>
      </c>
      <c r="BV1324" s="57">
        <f t="shared" si="943"/>
        <v>0</v>
      </c>
      <c r="BW1324" s="57">
        <f t="shared" si="944"/>
        <v>0</v>
      </c>
      <c r="BX1324" s="57">
        <f t="shared" si="968"/>
        <v>0</v>
      </c>
      <c r="BY1324" s="57">
        <f t="shared" si="972"/>
        <v>0</v>
      </c>
      <c r="BZ1324" s="8">
        <f t="shared" si="945"/>
        <v>0</v>
      </c>
      <c r="CA1324" s="8">
        <f t="shared" si="946"/>
        <v>0</v>
      </c>
      <c r="CB1324" s="8">
        <f t="shared" si="947"/>
        <v>0</v>
      </c>
      <c r="CC1324" s="8">
        <f t="shared" si="948"/>
        <v>0</v>
      </c>
      <c r="CD1324" s="8">
        <f t="shared" si="949"/>
        <v>0</v>
      </c>
      <c r="CE1324" s="8">
        <f t="shared" si="950"/>
        <v>0</v>
      </c>
      <c r="CF1324" s="8">
        <f t="shared" si="951"/>
        <v>0</v>
      </c>
      <c r="CG1324" s="8">
        <f t="shared" si="952"/>
        <v>0</v>
      </c>
      <c r="CH1324" s="8">
        <f t="shared" si="953"/>
        <v>0</v>
      </c>
      <c r="CI1324" s="8">
        <f t="shared" si="954"/>
        <v>0</v>
      </c>
      <c r="CJ1324" s="8">
        <f t="shared" si="955"/>
        <v>0</v>
      </c>
      <c r="CK1324" s="8">
        <f t="shared" si="956"/>
        <v>0</v>
      </c>
      <c r="CL1324" s="8">
        <f t="shared" si="957"/>
        <v>0</v>
      </c>
      <c r="CM1324" s="8">
        <f t="shared" si="958"/>
        <v>0</v>
      </c>
      <c r="CN1324" s="8">
        <f t="shared" si="959"/>
        <v>0</v>
      </c>
      <c r="CO1324" s="8">
        <f t="shared" si="960"/>
        <v>0</v>
      </c>
      <c r="CP1324" s="8">
        <f t="shared" si="961"/>
        <v>0</v>
      </c>
      <c r="CQ1324" s="8">
        <f t="shared" si="962"/>
        <v>0</v>
      </c>
      <c r="CR1324" s="8">
        <f t="shared" si="963"/>
        <v>0</v>
      </c>
      <c r="CS1324" s="8">
        <f t="shared" si="964"/>
        <v>0</v>
      </c>
      <c r="CT1324" s="8">
        <f t="shared" si="969"/>
        <v>0</v>
      </c>
      <c r="CU1324" s="8">
        <f t="shared" si="970"/>
        <v>0</v>
      </c>
      <c r="CV1324" s="8">
        <f t="shared" si="971"/>
        <v>0</v>
      </c>
    </row>
    <row r="1325" spans="1:100" ht="20.5" thickTop="1" thickBot="1" x14ac:dyDescent="0.5">
      <c r="A1325" s="32"/>
      <c r="B1325" s="10"/>
      <c r="C1325" s="10"/>
      <c r="D1325" s="11"/>
      <c r="E1325" s="10"/>
      <c r="F1325" s="10"/>
      <c r="G1325" s="19"/>
      <c r="H1325" s="19"/>
      <c r="I1325" s="19"/>
      <c r="J1325" s="19"/>
      <c r="K1325" s="10"/>
      <c r="L1325" s="10"/>
      <c r="M1325" s="10"/>
      <c r="N1325" s="10"/>
      <c r="O1325" s="18"/>
      <c r="P1325" s="18"/>
      <c r="Q1325" s="21"/>
      <c r="R1325" s="20"/>
      <c r="S1325" s="16">
        <f t="shared" si="927"/>
        <v>0</v>
      </c>
      <c r="T1325" s="11"/>
      <c r="AS1325" s="31">
        <f t="shared" si="928"/>
        <v>0</v>
      </c>
      <c r="AT1325" s="31">
        <f t="shared" si="929"/>
        <v>0</v>
      </c>
      <c r="AU1325" s="31">
        <f t="shared" si="930"/>
        <v>0</v>
      </c>
      <c r="AV1325" s="31">
        <f t="shared" si="931"/>
        <v>0</v>
      </c>
      <c r="AW1325" s="31">
        <f t="shared" si="932"/>
        <v>0</v>
      </c>
      <c r="AX1325" s="31">
        <f t="shared" si="933"/>
        <v>0</v>
      </c>
      <c r="AY1325" s="31">
        <f t="shared" si="934"/>
        <v>0</v>
      </c>
      <c r="AZ1325" s="31">
        <f t="shared" si="935"/>
        <v>0</v>
      </c>
      <c r="BA1325" s="31">
        <f t="shared" si="936"/>
        <v>0</v>
      </c>
      <c r="BB1325" s="31">
        <f t="shared" si="965"/>
        <v>0</v>
      </c>
      <c r="BM1325" s="8">
        <f t="shared" si="966"/>
        <v>0</v>
      </c>
      <c r="BN1325" s="8">
        <f t="shared" si="937"/>
        <v>0</v>
      </c>
      <c r="BO1325" s="8">
        <f t="shared" si="938"/>
        <v>0</v>
      </c>
      <c r="BQ1325" s="8">
        <f t="shared" si="939"/>
        <v>0</v>
      </c>
      <c r="BR1325" s="63">
        <f t="shared" si="940"/>
        <v>0</v>
      </c>
      <c r="BS1325" s="63">
        <f t="shared" si="967"/>
        <v>0</v>
      </c>
      <c r="BT1325" s="63">
        <f t="shared" si="941"/>
        <v>0</v>
      </c>
      <c r="BU1325" s="63">
        <f t="shared" si="942"/>
        <v>0</v>
      </c>
      <c r="BV1325" s="57">
        <f t="shared" si="943"/>
        <v>0</v>
      </c>
      <c r="BW1325" s="57">
        <f t="shared" si="944"/>
        <v>0</v>
      </c>
      <c r="BX1325" s="57">
        <f t="shared" si="968"/>
        <v>0</v>
      </c>
      <c r="BY1325" s="57">
        <f t="shared" si="972"/>
        <v>0</v>
      </c>
      <c r="BZ1325" s="8">
        <f t="shared" si="945"/>
        <v>0</v>
      </c>
      <c r="CA1325" s="8">
        <f t="shared" si="946"/>
        <v>0</v>
      </c>
      <c r="CB1325" s="8">
        <f t="shared" si="947"/>
        <v>0</v>
      </c>
      <c r="CC1325" s="8">
        <f t="shared" si="948"/>
        <v>0</v>
      </c>
      <c r="CD1325" s="8">
        <f t="shared" si="949"/>
        <v>0</v>
      </c>
      <c r="CE1325" s="8">
        <f t="shared" si="950"/>
        <v>0</v>
      </c>
      <c r="CF1325" s="8">
        <f t="shared" si="951"/>
        <v>0</v>
      </c>
      <c r="CG1325" s="8">
        <f t="shared" si="952"/>
        <v>0</v>
      </c>
      <c r="CH1325" s="8">
        <f t="shared" si="953"/>
        <v>0</v>
      </c>
      <c r="CI1325" s="8">
        <f t="shared" si="954"/>
        <v>0</v>
      </c>
      <c r="CJ1325" s="8">
        <f t="shared" si="955"/>
        <v>0</v>
      </c>
      <c r="CK1325" s="8">
        <f t="shared" si="956"/>
        <v>0</v>
      </c>
      <c r="CL1325" s="8">
        <f t="shared" si="957"/>
        <v>0</v>
      </c>
      <c r="CM1325" s="8">
        <f t="shared" si="958"/>
        <v>0</v>
      </c>
      <c r="CN1325" s="8">
        <f t="shared" si="959"/>
        <v>0</v>
      </c>
      <c r="CO1325" s="8">
        <f t="shared" si="960"/>
        <v>0</v>
      </c>
      <c r="CP1325" s="8">
        <f t="shared" si="961"/>
        <v>0</v>
      </c>
      <c r="CQ1325" s="8">
        <f t="shared" si="962"/>
        <v>0</v>
      </c>
      <c r="CR1325" s="8">
        <f t="shared" si="963"/>
        <v>0</v>
      </c>
      <c r="CS1325" s="8">
        <f t="shared" si="964"/>
        <v>0</v>
      </c>
      <c r="CT1325" s="8">
        <f t="shared" si="969"/>
        <v>0</v>
      </c>
      <c r="CU1325" s="8">
        <f t="shared" si="970"/>
        <v>0</v>
      </c>
      <c r="CV1325" s="8">
        <f t="shared" si="971"/>
        <v>0</v>
      </c>
    </row>
    <row r="1326" spans="1:100" ht="20.5" thickTop="1" thickBot="1" x14ac:dyDescent="0.5">
      <c r="A1326" s="32"/>
      <c r="B1326" s="10"/>
      <c r="C1326" s="10"/>
      <c r="D1326" s="11"/>
      <c r="E1326" s="10"/>
      <c r="F1326" s="10"/>
      <c r="G1326" s="19"/>
      <c r="H1326" s="19"/>
      <c r="I1326" s="19"/>
      <c r="J1326" s="19"/>
      <c r="K1326" s="10"/>
      <c r="L1326" s="10"/>
      <c r="M1326" s="10"/>
      <c r="N1326" s="10"/>
      <c r="O1326" s="18"/>
      <c r="P1326" s="18"/>
      <c r="Q1326" s="21"/>
      <c r="R1326" s="20"/>
      <c r="S1326" s="16">
        <f t="shared" si="927"/>
        <v>0</v>
      </c>
      <c r="T1326" s="11"/>
      <c r="AS1326" s="31">
        <f t="shared" si="928"/>
        <v>0</v>
      </c>
      <c r="AT1326" s="31">
        <f t="shared" si="929"/>
        <v>0</v>
      </c>
      <c r="AU1326" s="31">
        <f t="shared" si="930"/>
        <v>0</v>
      </c>
      <c r="AV1326" s="31">
        <f t="shared" si="931"/>
        <v>0</v>
      </c>
      <c r="AW1326" s="31">
        <f t="shared" si="932"/>
        <v>0</v>
      </c>
      <c r="AX1326" s="31">
        <f t="shared" si="933"/>
        <v>0</v>
      </c>
      <c r="AY1326" s="31">
        <f t="shared" si="934"/>
        <v>0</v>
      </c>
      <c r="AZ1326" s="31">
        <f t="shared" si="935"/>
        <v>0</v>
      </c>
      <c r="BA1326" s="31">
        <f t="shared" si="936"/>
        <v>0</v>
      </c>
      <c r="BB1326" s="31">
        <f t="shared" si="965"/>
        <v>0</v>
      </c>
      <c r="BM1326" s="8">
        <f t="shared" si="966"/>
        <v>0</v>
      </c>
      <c r="BN1326" s="8">
        <f t="shared" si="937"/>
        <v>0</v>
      </c>
      <c r="BO1326" s="8">
        <f t="shared" si="938"/>
        <v>0</v>
      </c>
      <c r="BQ1326" s="8">
        <f t="shared" si="939"/>
        <v>0</v>
      </c>
      <c r="BR1326" s="63">
        <f t="shared" si="940"/>
        <v>0</v>
      </c>
      <c r="BS1326" s="63">
        <f t="shared" si="967"/>
        <v>0</v>
      </c>
      <c r="BT1326" s="63">
        <f t="shared" si="941"/>
        <v>0</v>
      </c>
      <c r="BU1326" s="63">
        <f t="shared" si="942"/>
        <v>0</v>
      </c>
      <c r="BV1326" s="57">
        <f t="shared" si="943"/>
        <v>0</v>
      </c>
      <c r="BW1326" s="57">
        <f t="shared" si="944"/>
        <v>0</v>
      </c>
      <c r="BX1326" s="57">
        <f t="shared" si="968"/>
        <v>0</v>
      </c>
      <c r="BY1326" s="57">
        <f t="shared" si="972"/>
        <v>0</v>
      </c>
      <c r="BZ1326" s="8">
        <f t="shared" si="945"/>
        <v>0</v>
      </c>
      <c r="CA1326" s="8">
        <f t="shared" si="946"/>
        <v>0</v>
      </c>
      <c r="CB1326" s="8">
        <f t="shared" si="947"/>
        <v>0</v>
      </c>
      <c r="CC1326" s="8">
        <f t="shared" si="948"/>
        <v>0</v>
      </c>
      <c r="CD1326" s="8">
        <f t="shared" si="949"/>
        <v>0</v>
      </c>
      <c r="CE1326" s="8">
        <f t="shared" si="950"/>
        <v>0</v>
      </c>
      <c r="CF1326" s="8">
        <f t="shared" si="951"/>
        <v>0</v>
      </c>
      <c r="CG1326" s="8">
        <f t="shared" si="952"/>
        <v>0</v>
      </c>
      <c r="CH1326" s="8">
        <f t="shared" si="953"/>
        <v>0</v>
      </c>
      <c r="CI1326" s="8">
        <f t="shared" si="954"/>
        <v>0</v>
      </c>
      <c r="CJ1326" s="8">
        <f t="shared" si="955"/>
        <v>0</v>
      </c>
      <c r="CK1326" s="8">
        <f t="shared" si="956"/>
        <v>0</v>
      </c>
      <c r="CL1326" s="8">
        <f t="shared" si="957"/>
        <v>0</v>
      </c>
      <c r="CM1326" s="8">
        <f t="shared" si="958"/>
        <v>0</v>
      </c>
      <c r="CN1326" s="8">
        <f t="shared" si="959"/>
        <v>0</v>
      </c>
      <c r="CO1326" s="8">
        <f t="shared" si="960"/>
        <v>0</v>
      </c>
      <c r="CP1326" s="8">
        <f t="shared" si="961"/>
        <v>0</v>
      </c>
      <c r="CQ1326" s="8">
        <f t="shared" si="962"/>
        <v>0</v>
      </c>
      <c r="CR1326" s="8">
        <f t="shared" si="963"/>
        <v>0</v>
      </c>
      <c r="CS1326" s="8">
        <f t="shared" si="964"/>
        <v>0</v>
      </c>
      <c r="CT1326" s="8">
        <f t="shared" si="969"/>
        <v>0</v>
      </c>
      <c r="CU1326" s="8">
        <f t="shared" si="970"/>
        <v>0</v>
      </c>
      <c r="CV1326" s="8">
        <f t="shared" si="971"/>
        <v>0</v>
      </c>
    </row>
    <row r="1327" spans="1:100" ht="20.5" thickTop="1" thickBot="1" x14ac:dyDescent="0.5">
      <c r="A1327" s="32"/>
      <c r="B1327" s="10"/>
      <c r="C1327" s="10"/>
      <c r="D1327" s="11"/>
      <c r="E1327" s="10"/>
      <c r="F1327" s="10"/>
      <c r="G1327" s="19"/>
      <c r="H1327" s="19"/>
      <c r="I1327" s="19"/>
      <c r="J1327" s="19"/>
      <c r="K1327" s="10"/>
      <c r="L1327" s="10"/>
      <c r="M1327" s="10"/>
      <c r="N1327" s="10"/>
      <c r="O1327" s="18"/>
      <c r="P1327" s="18"/>
      <c r="Q1327" s="21"/>
      <c r="R1327" s="20"/>
      <c r="S1327" s="16">
        <f t="shared" si="927"/>
        <v>0</v>
      </c>
      <c r="T1327" s="11"/>
      <c r="AS1327" s="31">
        <f t="shared" si="928"/>
        <v>0</v>
      </c>
      <c r="AT1327" s="31">
        <f t="shared" si="929"/>
        <v>0</v>
      </c>
      <c r="AU1327" s="31">
        <f t="shared" si="930"/>
        <v>0</v>
      </c>
      <c r="AV1327" s="31">
        <f t="shared" si="931"/>
        <v>0</v>
      </c>
      <c r="AW1327" s="31">
        <f t="shared" si="932"/>
        <v>0</v>
      </c>
      <c r="AX1327" s="31">
        <f t="shared" si="933"/>
        <v>0</v>
      </c>
      <c r="AY1327" s="31">
        <f t="shared" si="934"/>
        <v>0</v>
      </c>
      <c r="AZ1327" s="31">
        <f t="shared" si="935"/>
        <v>0</v>
      </c>
      <c r="BA1327" s="31">
        <f t="shared" si="936"/>
        <v>0</v>
      </c>
      <c r="BB1327" s="31">
        <f t="shared" si="965"/>
        <v>0</v>
      </c>
      <c r="BM1327" s="8">
        <f t="shared" si="966"/>
        <v>0</v>
      </c>
      <c r="BN1327" s="8">
        <f t="shared" si="937"/>
        <v>0</v>
      </c>
      <c r="BO1327" s="8">
        <f t="shared" si="938"/>
        <v>0</v>
      </c>
      <c r="BQ1327" s="8">
        <f t="shared" si="939"/>
        <v>0</v>
      </c>
      <c r="BR1327" s="63">
        <f t="shared" si="940"/>
        <v>0</v>
      </c>
      <c r="BS1327" s="63">
        <f t="shared" si="967"/>
        <v>0</v>
      </c>
      <c r="BT1327" s="63">
        <f t="shared" si="941"/>
        <v>0</v>
      </c>
      <c r="BU1327" s="63">
        <f t="shared" si="942"/>
        <v>0</v>
      </c>
      <c r="BV1327" s="57">
        <f t="shared" si="943"/>
        <v>0</v>
      </c>
      <c r="BW1327" s="57">
        <f t="shared" si="944"/>
        <v>0</v>
      </c>
      <c r="BX1327" s="57">
        <f t="shared" si="968"/>
        <v>0</v>
      </c>
      <c r="BY1327" s="57">
        <f t="shared" si="972"/>
        <v>0</v>
      </c>
      <c r="BZ1327" s="8">
        <f t="shared" si="945"/>
        <v>0</v>
      </c>
      <c r="CA1327" s="8">
        <f t="shared" si="946"/>
        <v>0</v>
      </c>
      <c r="CB1327" s="8">
        <f t="shared" si="947"/>
        <v>0</v>
      </c>
      <c r="CC1327" s="8">
        <f t="shared" si="948"/>
        <v>0</v>
      </c>
      <c r="CD1327" s="8">
        <f t="shared" si="949"/>
        <v>0</v>
      </c>
      <c r="CE1327" s="8">
        <f t="shared" si="950"/>
        <v>0</v>
      </c>
      <c r="CF1327" s="8">
        <f t="shared" si="951"/>
        <v>0</v>
      </c>
      <c r="CG1327" s="8">
        <f t="shared" si="952"/>
        <v>0</v>
      </c>
      <c r="CH1327" s="8">
        <f t="shared" si="953"/>
        <v>0</v>
      </c>
      <c r="CI1327" s="8">
        <f t="shared" si="954"/>
        <v>0</v>
      </c>
      <c r="CJ1327" s="8">
        <f t="shared" si="955"/>
        <v>0</v>
      </c>
      <c r="CK1327" s="8">
        <f t="shared" si="956"/>
        <v>0</v>
      </c>
      <c r="CL1327" s="8">
        <f t="shared" si="957"/>
        <v>0</v>
      </c>
      <c r="CM1327" s="8">
        <f t="shared" si="958"/>
        <v>0</v>
      </c>
      <c r="CN1327" s="8">
        <f t="shared" si="959"/>
        <v>0</v>
      </c>
      <c r="CO1327" s="8">
        <f t="shared" si="960"/>
        <v>0</v>
      </c>
      <c r="CP1327" s="8">
        <f t="shared" si="961"/>
        <v>0</v>
      </c>
      <c r="CQ1327" s="8">
        <f t="shared" si="962"/>
        <v>0</v>
      </c>
      <c r="CR1327" s="8">
        <f t="shared" si="963"/>
        <v>0</v>
      </c>
      <c r="CS1327" s="8">
        <f t="shared" si="964"/>
        <v>0</v>
      </c>
      <c r="CT1327" s="8">
        <f t="shared" si="969"/>
        <v>0</v>
      </c>
      <c r="CU1327" s="8">
        <f t="shared" si="970"/>
        <v>0</v>
      </c>
      <c r="CV1327" s="8">
        <f t="shared" si="971"/>
        <v>0</v>
      </c>
    </row>
    <row r="1328" spans="1:100" ht="20.5" thickTop="1" thickBot="1" x14ac:dyDescent="0.5">
      <c r="A1328" s="32"/>
      <c r="B1328" s="10"/>
      <c r="C1328" s="10"/>
      <c r="D1328" s="11"/>
      <c r="E1328" s="10"/>
      <c r="F1328" s="10"/>
      <c r="G1328" s="19"/>
      <c r="H1328" s="19"/>
      <c r="I1328" s="19"/>
      <c r="J1328" s="19"/>
      <c r="K1328" s="10"/>
      <c r="L1328" s="10"/>
      <c r="M1328" s="10"/>
      <c r="N1328" s="10"/>
      <c r="O1328" s="18"/>
      <c r="P1328" s="18"/>
      <c r="Q1328" s="21"/>
      <c r="R1328" s="20"/>
      <c r="S1328" s="16">
        <f t="shared" si="927"/>
        <v>0</v>
      </c>
      <c r="T1328" s="11"/>
      <c r="AS1328" s="31">
        <f t="shared" si="928"/>
        <v>0</v>
      </c>
      <c r="AT1328" s="31">
        <f t="shared" si="929"/>
        <v>0</v>
      </c>
      <c r="AU1328" s="31">
        <f t="shared" si="930"/>
        <v>0</v>
      </c>
      <c r="AV1328" s="31">
        <f t="shared" si="931"/>
        <v>0</v>
      </c>
      <c r="AW1328" s="31">
        <f t="shared" si="932"/>
        <v>0</v>
      </c>
      <c r="AX1328" s="31">
        <f t="shared" si="933"/>
        <v>0</v>
      </c>
      <c r="AY1328" s="31">
        <f t="shared" si="934"/>
        <v>0</v>
      </c>
      <c r="AZ1328" s="31">
        <f t="shared" si="935"/>
        <v>0</v>
      </c>
      <c r="BA1328" s="31">
        <f t="shared" si="936"/>
        <v>0</v>
      </c>
      <c r="BB1328" s="31">
        <f t="shared" si="965"/>
        <v>0</v>
      </c>
      <c r="BM1328" s="8">
        <f t="shared" si="966"/>
        <v>0</v>
      </c>
      <c r="BN1328" s="8">
        <f t="shared" si="937"/>
        <v>0</v>
      </c>
      <c r="BO1328" s="8">
        <f t="shared" si="938"/>
        <v>0</v>
      </c>
      <c r="BQ1328" s="8">
        <f t="shared" si="939"/>
        <v>0</v>
      </c>
      <c r="BR1328" s="63">
        <f t="shared" si="940"/>
        <v>0</v>
      </c>
      <c r="BS1328" s="63">
        <f t="shared" si="967"/>
        <v>0</v>
      </c>
      <c r="BT1328" s="63">
        <f t="shared" si="941"/>
        <v>0</v>
      </c>
      <c r="BU1328" s="63">
        <f t="shared" si="942"/>
        <v>0</v>
      </c>
      <c r="BV1328" s="57">
        <f t="shared" si="943"/>
        <v>0</v>
      </c>
      <c r="BW1328" s="57">
        <f t="shared" si="944"/>
        <v>0</v>
      </c>
      <c r="BX1328" s="57">
        <f t="shared" si="968"/>
        <v>0</v>
      </c>
      <c r="BY1328" s="57">
        <f t="shared" si="972"/>
        <v>0</v>
      </c>
      <c r="BZ1328" s="8">
        <f t="shared" si="945"/>
        <v>0</v>
      </c>
      <c r="CA1328" s="8">
        <f t="shared" si="946"/>
        <v>0</v>
      </c>
      <c r="CB1328" s="8">
        <f t="shared" si="947"/>
        <v>0</v>
      </c>
      <c r="CC1328" s="8">
        <f t="shared" si="948"/>
        <v>0</v>
      </c>
      <c r="CD1328" s="8">
        <f t="shared" si="949"/>
        <v>0</v>
      </c>
      <c r="CE1328" s="8">
        <f t="shared" si="950"/>
        <v>0</v>
      </c>
      <c r="CF1328" s="8">
        <f t="shared" si="951"/>
        <v>0</v>
      </c>
      <c r="CG1328" s="8">
        <f t="shared" si="952"/>
        <v>0</v>
      </c>
      <c r="CH1328" s="8">
        <f t="shared" si="953"/>
        <v>0</v>
      </c>
      <c r="CI1328" s="8">
        <f t="shared" si="954"/>
        <v>0</v>
      </c>
      <c r="CJ1328" s="8">
        <f t="shared" si="955"/>
        <v>0</v>
      </c>
      <c r="CK1328" s="8">
        <f t="shared" si="956"/>
        <v>0</v>
      </c>
      <c r="CL1328" s="8">
        <f t="shared" si="957"/>
        <v>0</v>
      </c>
      <c r="CM1328" s="8">
        <f t="shared" si="958"/>
        <v>0</v>
      </c>
      <c r="CN1328" s="8">
        <f t="shared" si="959"/>
        <v>0</v>
      </c>
      <c r="CO1328" s="8">
        <f t="shared" si="960"/>
        <v>0</v>
      </c>
      <c r="CP1328" s="8">
        <f t="shared" si="961"/>
        <v>0</v>
      </c>
      <c r="CQ1328" s="8">
        <f t="shared" si="962"/>
        <v>0</v>
      </c>
      <c r="CR1328" s="8">
        <f t="shared" si="963"/>
        <v>0</v>
      </c>
      <c r="CS1328" s="8">
        <f t="shared" si="964"/>
        <v>0</v>
      </c>
      <c r="CT1328" s="8">
        <f t="shared" si="969"/>
        <v>0</v>
      </c>
      <c r="CU1328" s="8">
        <f t="shared" si="970"/>
        <v>0</v>
      </c>
      <c r="CV1328" s="8">
        <f t="shared" si="971"/>
        <v>0</v>
      </c>
    </row>
    <row r="1329" spans="1:100" ht="20.5" thickTop="1" thickBot="1" x14ac:dyDescent="0.5">
      <c r="A1329" s="32"/>
      <c r="B1329" s="10"/>
      <c r="C1329" s="10"/>
      <c r="D1329" s="11"/>
      <c r="E1329" s="10"/>
      <c r="F1329" s="10"/>
      <c r="G1329" s="19"/>
      <c r="H1329" s="19"/>
      <c r="I1329" s="19"/>
      <c r="J1329" s="19"/>
      <c r="K1329" s="10"/>
      <c r="L1329" s="10"/>
      <c r="M1329" s="10"/>
      <c r="N1329" s="10"/>
      <c r="O1329" s="18"/>
      <c r="P1329" s="18"/>
      <c r="Q1329" s="21"/>
      <c r="R1329" s="20"/>
      <c r="S1329" s="16">
        <f t="shared" si="927"/>
        <v>0</v>
      </c>
      <c r="T1329" s="11"/>
      <c r="AS1329" s="31">
        <f t="shared" si="928"/>
        <v>0</v>
      </c>
      <c r="AT1329" s="31">
        <f t="shared" si="929"/>
        <v>0</v>
      </c>
      <c r="AU1329" s="31">
        <f t="shared" si="930"/>
        <v>0</v>
      </c>
      <c r="AV1329" s="31">
        <f t="shared" si="931"/>
        <v>0</v>
      </c>
      <c r="AW1329" s="31">
        <f t="shared" si="932"/>
        <v>0</v>
      </c>
      <c r="AX1329" s="31">
        <f t="shared" si="933"/>
        <v>0</v>
      </c>
      <c r="AY1329" s="31">
        <f t="shared" si="934"/>
        <v>0</v>
      </c>
      <c r="AZ1329" s="31">
        <f t="shared" si="935"/>
        <v>0</v>
      </c>
      <c r="BA1329" s="31">
        <f t="shared" si="936"/>
        <v>0</v>
      </c>
      <c r="BB1329" s="31">
        <f t="shared" si="965"/>
        <v>0</v>
      </c>
      <c r="BM1329" s="8">
        <f t="shared" si="966"/>
        <v>0</v>
      </c>
      <c r="BN1329" s="8">
        <f t="shared" si="937"/>
        <v>0</v>
      </c>
      <c r="BO1329" s="8">
        <f t="shared" si="938"/>
        <v>0</v>
      </c>
      <c r="BQ1329" s="8">
        <f t="shared" si="939"/>
        <v>0</v>
      </c>
      <c r="BR1329" s="63">
        <f t="shared" si="940"/>
        <v>0</v>
      </c>
      <c r="BS1329" s="63">
        <f t="shared" si="967"/>
        <v>0</v>
      </c>
      <c r="BT1329" s="63">
        <f t="shared" si="941"/>
        <v>0</v>
      </c>
      <c r="BU1329" s="63">
        <f t="shared" si="942"/>
        <v>0</v>
      </c>
      <c r="BV1329" s="57">
        <f t="shared" si="943"/>
        <v>0</v>
      </c>
      <c r="BW1329" s="57">
        <f t="shared" si="944"/>
        <v>0</v>
      </c>
      <c r="BX1329" s="57">
        <f t="shared" si="968"/>
        <v>0</v>
      </c>
      <c r="BY1329" s="57">
        <f t="shared" si="972"/>
        <v>0</v>
      </c>
      <c r="BZ1329" s="8">
        <f t="shared" si="945"/>
        <v>0</v>
      </c>
      <c r="CA1329" s="8">
        <f t="shared" si="946"/>
        <v>0</v>
      </c>
      <c r="CB1329" s="8">
        <f t="shared" si="947"/>
        <v>0</v>
      </c>
      <c r="CC1329" s="8">
        <f t="shared" si="948"/>
        <v>0</v>
      </c>
      <c r="CD1329" s="8">
        <f t="shared" si="949"/>
        <v>0</v>
      </c>
      <c r="CE1329" s="8">
        <f t="shared" si="950"/>
        <v>0</v>
      </c>
      <c r="CF1329" s="8">
        <f t="shared" si="951"/>
        <v>0</v>
      </c>
      <c r="CG1329" s="8">
        <f t="shared" si="952"/>
        <v>0</v>
      </c>
      <c r="CH1329" s="8">
        <f t="shared" si="953"/>
        <v>0</v>
      </c>
      <c r="CI1329" s="8">
        <f t="shared" si="954"/>
        <v>0</v>
      </c>
      <c r="CJ1329" s="8">
        <f t="shared" si="955"/>
        <v>0</v>
      </c>
      <c r="CK1329" s="8">
        <f t="shared" si="956"/>
        <v>0</v>
      </c>
      <c r="CL1329" s="8">
        <f t="shared" si="957"/>
        <v>0</v>
      </c>
      <c r="CM1329" s="8">
        <f t="shared" si="958"/>
        <v>0</v>
      </c>
      <c r="CN1329" s="8">
        <f t="shared" si="959"/>
        <v>0</v>
      </c>
      <c r="CO1329" s="8">
        <f t="shared" si="960"/>
        <v>0</v>
      </c>
      <c r="CP1329" s="8">
        <f t="shared" si="961"/>
        <v>0</v>
      </c>
      <c r="CQ1329" s="8">
        <f t="shared" si="962"/>
        <v>0</v>
      </c>
      <c r="CR1329" s="8">
        <f t="shared" si="963"/>
        <v>0</v>
      </c>
      <c r="CS1329" s="8">
        <f t="shared" si="964"/>
        <v>0</v>
      </c>
      <c r="CT1329" s="8">
        <f t="shared" si="969"/>
        <v>0</v>
      </c>
      <c r="CU1329" s="8">
        <f t="shared" si="970"/>
        <v>0</v>
      </c>
      <c r="CV1329" s="8">
        <f t="shared" si="971"/>
        <v>0</v>
      </c>
    </row>
    <row r="1330" spans="1:100" ht="20.5" thickTop="1" thickBot="1" x14ac:dyDescent="0.5">
      <c r="A1330" s="32"/>
      <c r="B1330" s="10"/>
      <c r="C1330" s="10"/>
      <c r="D1330" s="11"/>
      <c r="E1330" s="10"/>
      <c r="F1330" s="10"/>
      <c r="G1330" s="19"/>
      <c r="H1330" s="19"/>
      <c r="I1330" s="19"/>
      <c r="J1330" s="19"/>
      <c r="K1330" s="10"/>
      <c r="L1330" s="10"/>
      <c r="M1330" s="10"/>
      <c r="N1330" s="10"/>
      <c r="O1330" s="18"/>
      <c r="P1330" s="18"/>
      <c r="Q1330" s="21"/>
      <c r="R1330" s="20"/>
      <c r="S1330" s="16">
        <f t="shared" si="927"/>
        <v>0</v>
      </c>
      <c r="T1330" s="11"/>
      <c r="AS1330" s="31">
        <f t="shared" si="928"/>
        <v>0</v>
      </c>
      <c r="AT1330" s="31">
        <f t="shared" si="929"/>
        <v>0</v>
      </c>
      <c r="AU1330" s="31">
        <f t="shared" si="930"/>
        <v>0</v>
      </c>
      <c r="AV1330" s="31">
        <f t="shared" si="931"/>
        <v>0</v>
      </c>
      <c r="AW1330" s="31">
        <f t="shared" si="932"/>
        <v>0</v>
      </c>
      <c r="AX1330" s="31">
        <f t="shared" si="933"/>
        <v>0</v>
      </c>
      <c r="AY1330" s="31">
        <f t="shared" si="934"/>
        <v>0</v>
      </c>
      <c r="AZ1330" s="31">
        <f t="shared" si="935"/>
        <v>0</v>
      </c>
      <c r="BA1330" s="31">
        <f t="shared" si="936"/>
        <v>0</v>
      </c>
      <c r="BB1330" s="31">
        <f t="shared" si="965"/>
        <v>0</v>
      </c>
      <c r="BM1330" s="8">
        <f t="shared" si="966"/>
        <v>0</v>
      </c>
      <c r="BN1330" s="8">
        <f t="shared" si="937"/>
        <v>0</v>
      </c>
      <c r="BO1330" s="8">
        <f t="shared" si="938"/>
        <v>0</v>
      </c>
      <c r="BQ1330" s="8">
        <f t="shared" si="939"/>
        <v>0</v>
      </c>
      <c r="BR1330" s="63">
        <f t="shared" si="940"/>
        <v>0</v>
      </c>
      <c r="BS1330" s="63">
        <f t="shared" si="967"/>
        <v>0</v>
      </c>
      <c r="BT1330" s="63">
        <f t="shared" si="941"/>
        <v>0</v>
      </c>
      <c r="BU1330" s="63">
        <f t="shared" si="942"/>
        <v>0</v>
      </c>
      <c r="BV1330" s="57">
        <f t="shared" si="943"/>
        <v>0</v>
      </c>
      <c r="BW1330" s="57">
        <f t="shared" si="944"/>
        <v>0</v>
      </c>
      <c r="BX1330" s="57">
        <f t="shared" si="968"/>
        <v>0</v>
      </c>
      <c r="BY1330" s="57">
        <f t="shared" si="972"/>
        <v>0</v>
      </c>
      <c r="BZ1330" s="8">
        <f t="shared" si="945"/>
        <v>0</v>
      </c>
      <c r="CA1330" s="8">
        <f t="shared" si="946"/>
        <v>0</v>
      </c>
      <c r="CB1330" s="8">
        <f t="shared" si="947"/>
        <v>0</v>
      </c>
      <c r="CC1330" s="8">
        <f t="shared" si="948"/>
        <v>0</v>
      </c>
      <c r="CD1330" s="8">
        <f t="shared" si="949"/>
        <v>0</v>
      </c>
      <c r="CE1330" s="8">
        <f t="shared" si="950"/>
        <v>0</v>
      </c>
      <c r="CF1330" s="8">
        <f t="shared" si="951"/>
        <v>0</v>
      </c>
      <c r="CG1330" s="8">
        <f t="shared" si="952"/>
        <v>0</v>
      </c>
      <c r="CH1330" s="8">
        <f t="shared" si="953"/>
        <v>0</v>
      </c>
      <c r="CI1330" s="8">
        <f t="shared" si="954"/>
        <v>0</v>
      </c>
      <c r="CJ1330" s="8">
        <f t="shared" si="955"/>
        <v>0</v>
      </c>
      <c r="CK1330" s="8">
        <f t="shared" si="956"/>
        <v>0</v>
      </c>
      <c r="CL1330" s="8">
        <f t="shared" si="957"/>
        <v>0</v>
      </c>
      <c r="CM1330" s="8">
        <f t="shared" si="958"/>
        <v>0</v>
      </c>
      <c r="CN1330" s="8">
        <f t="shared" si="959"/>
        <v>0</v>
      </c>
      <c r="CO1330" s="8">
        <f t="shared" si="960"/>
        <v>0</v>
      </c>
      <c r="CP1330" s="8">
        <f t="shared" si="961"/>
        <v>0</v>
      </c>
      <c r="CQ1330" s="8">
        <f t="shared" si="962"/>
        <v>0</v>
      </c>
      <c r="CR1330" s="8">
        <f t="shared" si="963"/>
        <v>0</v>
      </c>
      <c r="CS1330" s="8">
        <f t="shared" si="964"/>
        <v>0</v>
      </c>
      <c r="CT1330" s="8">
        <f t="shared" si="969"/>
        <v>0</v>
      </c>
      <c r="CU1330" s="8">
        <f t="shared" si="970"/>
        <v>0</v>
      </c>
      <c r="CV1330" s="8">
        <f t="shared" si="971"/>
        <v>0</v>
      </c>
    </row>
    <row r="1331" spans="1:100" ht="20.5" thickTop="1" thickBot="1" x14ac:dyDescent="0.5">
      <c r="A1331" s="32"/>
      <c r="B1331" s="10"/>
      <c r="C1331" s="10"/>
      <c r="D1331" s="11"/>
      <c r="E1331" s="10"/>
      <c r="F1331" s="10"/>
      <c r="G1331" s="19"/>
      <c r="H1331" s="19"/>
      <c r="I1331" s="19"/>
      <c r="J1331" s="19"/>
      <c r="K1331" s="10"/>
      <c r="L1331" s="10"/>
      <c r="M1331" s="10"/>
      <c r="N1331" s="10"/>
      <c r="O1331" s="18"/>
      <c r="P1331" s="18"/>
      <c r="Q1331" s="21"/>
      <c r="R1331" s="20"/>
      <c r="S1331" s="16">
        <f t="shared" si="927"/>
        <v>0</v>
      </c>
      <c r="T1331" s="11"/>
      <c r="AS1331" s="31">
        <f t="shared" si="928"/>
        <v>0</v>
      </c>
      <c r="AT1331" s="31">
        <f t="shared" si="929"/>
        <v>0</v>
      </c>
      <c r="AU1331" s="31">
        <f t="shared" si="930"/>
        <v>0</v>
      </c>
      <c r="AV1331" s="31">
        <f t="shared" si="931"/>
        <v>0</v>
      </c>
      <c r="AW1331" s="31">
        <f t="shared" si="932"/>
        <v>0</v>
      </c>
      <c r="AX1331" s="31">
        <f t="shared" si="933"/>
        <v>0</v>
      </c>
      <c r="AY1331" s="31">
        <f t="shared" si="934"/>
        <v>0</v>
      </c>
      <c r="AZ1331" s="31">
        <f t="shared" si="935"/>
        <v>0</v>
      </c>
      <c r="BA1331" s="31">
        <f t="shared" si="936"/>
        <v>0</v>
      </c>
      <c r="BB1331" s="31">
        <f t="shared" si="965"/>
        <v>0</v>
      </c>
      <c r="BM1331" s="8">
        <f t="shared" si="966"/>
        <v>0</v>
      </c>
      <c r="BN1331" s="8">
        <f t="shared" si="937"/>
        <v>0</v>
      </c>
      <c r="BO1331" s="8">
        <f t="shared" si="938"/>
        <v>0</v>
      </c>
      <c r="BQ1331" s="8">
        <f t="shared" si="939"/>
        <v>0</v>
      </c>
      <c r="BR1331" s="63">
        <f t="shared" si="940"/>
        <v>0</v>
      </c>
      <c r="BS1331" s="63">
        <f t="shared" si="967"/>
        <v>0</v>
      </c>
      <c r="BT1331" s="63">
        <f t="shared" si="941"/>
        <v>0</v>
      </c>
      <c r="BU1331" s="63">
        <f t="shared" si="942"/>
        <v>0</v>
      </c>
      <c r="BV1331" s="57">
        <f t="shared" si="943"/>
        <v>0</v>
      </c>
      <c r="BW1331" s="57">
        <f t="shared" si="944"/>
        <v>0</v>
      </c>
      <c r="BX1331" s="57">
        <f t="shared" si="968"/>
        <v>0</v>
      </c>
      <c r="BY1331" s="57">
        <f t="shared" si="972"/>
        <v>0</v>
      </c>
      <c r="BZ1331" s="8">
        <f t="shared" si="945"/>
        <v>0</v>
      </c>
      <c r="CA1331" s="8">
        <f t="shared" si="946"/>
        <v>0</v>
      </c>
      <c r="CB1331" s="8">
        <f t="shared" si="947"/>
        <v>0</v>
      </c>
      <c r="CC1331" s="8">
        <f t="shared" si="948"/>
        <v>0</v>
      </c>
      <c r="CD1331" s="8">
        <f t="shared" si="949"/>
        <v>0</v>
      </c>
      <c r="CE1331" s="8">
        <f t="shared" si="950"/>
        <v>0</v>
      </c>
      <c r="CF1331" s="8">
        <f t="shared" si="951"/>
        <v>0</v>
      </c>
      <c r="CG1331" s="8">
        <f t="shared" si="952"/>
        <v>0</v>
      </c>
      <c r="CH1331" s="8">
        <f t="shared" si="953"/>
        <v>0</v>
      </c>
      <c r="CI1331" s="8">
        <f t="shared" si="954"/>
        <v>0</v>
      </c>
      <c r="CJ1331" s="8">
        <f t="shared" si="955"/>
        <v>0</v>
      </c>
      <c r="CK1331" s="8">
        <f t="shared" si="956"/>
        <v>0</v>
      </c>
      <c r="CL1331" s="8">
        <f t="shared" si="957"/>
        <v>0</v>
      </c>
      <c r="CM1331" s="8">
        <f t="shared" si="958"/>
        <v>0</v>
      </c>
      <c r="CN1331" s="8">
        <f t="shared" si="959"/>
        <v>0</v>
      </c>
      <c r="CO1331" s="8">
        <f t="shared" si="960"/>
        <v>0</v>
      </c>
      <c r="CP1331" s="8">
        <f t="shared" si="961"/>
        <v>0</v>
      </c>
      <c r="CQ1331" s="8">
        <f t="shared" si="962"/>
        <v>0</v>
      </c>
      <c r="CR1331" s="8">
        <f t="shared" si="963"/>
        <v>0</v>
      </c>
      <c r="CS1331" s="8">
        <f t="shared" si="964"/>
        <v>0</v>
      </c>
      <c r="CT1331" s="8">
        <f t="shared" si="969"/>
        <v>0</v>
      </c>
      <c r="CU1331" s="8">
        <f t="shared" si="970"/>
        <v>0</v>
      </c>
      <c r="CV1331" s="8">
        <f t="shared" si="971"/>
        <v>0</v>
      </c>
    </row>
    <row r="1332" spans="1:100" ht="20.5" thickTop="1" thickBot="1" x14ac:dyDescent="0.5">
      <c r="A1332" s="32"/>
      <c r="B1332" s="10"/>
      <c r="C1332" s="10"/>
      <c r="D1332" s="11"/>
      <c r="E1332" s="10"/>
      <c r="F1332" s="10"/>
      <c r="G1332" s="19"/>
      <c r="H1332" s="19"/>
      <c r="I1332" s="19"/>
      <c r="J1332" s="19"/>
      <c r="K1332" s="10"/>
      <c r="L1332" s="10"/>
      <c r="M1332" s="10"/>
      <c r="N1332" s="10"/>
      <c r="O1332" s="18"/>
      <c r="P1332" s="18"/>
      <c r="Q1332" s="21"/>
      <c r="R1332" s="20"/>
      <c r="S1332" s="16">
        <f t="shared" si="927"/>
        <v>0</v>
      </c>
      <c r="T1332" s="11"/>
      <c r="AS1332" s="31">
        <f t="shared" si="928"/>
        <v>0</v>
      </c>
      <c r="AT1332" s="31">
        <f t="shared" si="929"/>
        <v>0</v>
      </c>
      <c r="AU1332" s="31">
        <f t="shared" si="930"/>
        <v>0</v>
      </c>
      <c r="AV1332" s="31">
        <f t="shared" si="931"/>
        <v>0</v>
      </c>
      <c r="AW1332" s="31">
        <f t="shared" si="932"/>
        <v>0</v>
      </c>
      <c r="AX1332" s="31">
        <f t="shared" si="933"/>
        <v>0</v>
      </c>
      <c r="AY1332" s="31">
        <f t="shared" si="934"/>
        <v>0</v>
      </c>
      <c r="AZ1332" s="31">
        <f t="shared" si="935"/>
        <v>0</v>
      </c>
      <c r="BA1332" s="31">
        <f t="shared" si="936"/>
        <v>0</v>
      </c>
      <c r="BB1332" s="31">
        <f t="shared" si="965"/>
        <v>0</v>
      </c>
      <c r="BM1332" s="8">
        <f t="shared" si="966"/>
        <v>0</v>
      </c>
      <c r="BN1332" s="8">
        <f t="shared" si="937"/>
        <v>0</v>
      </c>
      <c r="BO1332" s="8">
        <f t="shared" si="938"/>
        <v>0</v>
      </c>
      <c r="BQ1332" s="8">
        <f t="shared" si="939"/>
        <v>0</v>
      </c>
      <c r="BR1332" s="63">
        <f t="shared" si="940"/>
        <v>0</v>
      </c>
      <c r="BS1332" s="63">
        <f t="shared" si="967"/>
        <v>0</v>
      </c>
      <c r="BT1332" s="63">
        <f t="shared" si="941"/>
        <v>0</v>
      </c>
      <c r="BU1332" s="63">
        <f t="shared" si="942"/>
        <v>0</v>
      </c>
      <c r="BV1332" s="57">
        <f t="shared" si="943"/>
        <v>0</v>
      </c>
      <c r="BW1332" s="57">
        <f t="shared" si="944"/>
        <v>0</v>
      </c>
      <c r="BX1332" s="57">
        <f t="shared" si="968"/>
        <v>0</v>
      </c>
      <c r="BY1332" s="57">
        <f t="shared" si="972"/>
        <v>0</v>
      </c>
      <c r="BZ1332" s="8">
        <f t="shared" si="945"/>
        <v>0</v>
      </c>
      <c r="CA1332" s="8">
        <f t="shared" si="946"/>
        <v>0</v>
      </c>
      <c r="CB1332" s="8">
        <f t="shared" si="947"/>
        <v>0</v>
      </c>
      <c r="CC1332" s="8">
        <f t="shared" si="948"/>
        <v>0</v>
      </c>
      <c r="CD1332" s="8">
        <f t="shared" si="949"/>
        <v>0</v>
      </c>
      <c r="CE1332" s="8">
        <f t="shared" si="950"/>
        <v>0</v>
      </c>
      <c r="CF1332" s="8">
        <f t="shared" si="951"/>
        <v>0</v>
      </c>
      <c r="CG1332" s="8">
        <f t="shared" si="952"/>
        <v>0</v>
      </c>
      <c r="CH1332" s="8">
        <f t="shared" si="953"/>
        <v>0</v>
      </c>
      <c r="CI1332" s="8">
        <f t="shared" si="954"/>
        <v>0</v>
      </c>
      <c r="CJ1332" s="8">
        <f t="shared" si="955"/>
        <v>0</v>
      </c>
      <c r="CK1332" s="8">
        <f t="shared" si="956"/>
        <v>0</v>
      </c>
      <c r="CL1332" s="8">
        <f t="shared" si="957"/>
        <v>0</v>
      </c>
      <c r="CM1332" s="8">
        <f t="shared" si="958"/>
        <v>0</v>
      </c>
      <c r="CN1332" s="8">
        <f t="shared" si="959"/>
        <v>0</v>
      </c>
      <c r="CO1332" s="8">
        <f t="shared" si="960"/>
        <v>0</v>
      </c>
      <c r="CP1332" s="8">
        <f t="shared" si="961"/>
        <v>0</v>
      </c>
      <c r="CQ1332" s="8">
        <f t="shared" si="962"/>
        <v>0</v>
      </c>
      <c r="CR1332" s="8">
        <f t="shared" si="963"/>
        <v>0</v>
      </c>
      <c r="CS1332" s="8">
        <f t="shared" si="964"/>
        <v>0</v>
      </c>
      <c r="CT1332" s="8">
        <f t="shared" si="969"/>
        <v>0</v>
      </c>
      <c r="CU1332" s="8">
        <f t="shared" si="970"/>
        <v>0</v>
      </c>
      <c r="CV1332" s="8">
        <f t="shared" si="971"/>
        <v>0</v>
      </c>
    </row>
    <row r="1333" spans="1:100" ht="20.5" thickTop="1" thickBot="1" x14ac:dyDescent="0.5">
      <c r="A1333" s="32"/>
      <c r="B1333" s="10"/>
      <c r="C1333" s="10"/>
      <c r="D1333" s="11"/>
      <c r="E1333" s="10"/>
      <c r="F1333" s="10"/>
      <c r="G1333" s="19"/>
      <c r="H1333" s="19"/>
      <c r="I1333" s="19"/>
      <c r="J1333" s="19"/>
      <c r="K1333" s="10"/>
      <c r="L1333" s="10"/>
      <c r="M1333" s="10"/>
      <c r="N1333" s="10"/>
      <c r="O1333" s="18"/>
      <c r="P1333" s="18"/>
      <c r="Q1333" s="21"/>
      <c r="R1333" s="20"/>
      <c r="S1333" s="16">
        <f t="shared" si="927"/>
        <v>0</v>
      </c>
      <c r="T1333" s="11"/>
      <c r="AS1333" s="31">
        <f t="shared" si="928"/>
        <v>0</v>
      </c>
      <c r="AT1333" s="31">
        <f t="shared" si="929"/>
        <v>0</v>
      </c>
      <c r="AU1333" s="31">
        <f t="shared" si="930"/>
        <v>0</v>
      </c>
      <c r="AV1333" s="31">
        <f t="shared" si="931"/>
        <v>0</v>
      </c>
      <c r="AW1333" s="31">
        <f t="shared" si="932"/>
        <v>0</v>
      </c>
      <c r="AX1333" s="31">
        <f t="shared" si="933"/>
        <v>0</v>
      </c>
      <c r="AY1333" s="31">
        <f t="shared" si="934"/>
        <v>0</v>
      </c>
      <c r="AZ1333" s="31">
        <f t="shared" si="935"/>
        <v>0</v>
      </c>
      <c r="BA1333" s="31">
        <f t="shared" si="936"/>
        <v>0</v>
      </c>
      <c r="BB1333" s="31">
        <f t="shared" si="965"/>
        <v>0</v>
      </c>
      <c r="BM1333" s="8">
        <f t="shared" si="966"/>
        <v>0</v>
      </c>
      <c r="BN1333" s="8">
        <f t="shared" si="937"/>
        <v>0</v>
      </c>
      <c r="BO1333" s="8">
        <f t="shared" si="938"/>
        <v>0</v>
      </c>
      <c r="BQ1333" s="8">
        <f t="shared" si="939"/>
        <v>0</v>
      </c>
      <c r="BR1333" s="63">
        <f t="shared" si="940"/>
        <v>0</v>
      </c>
      <c r="BS1333" s="63">
        <f t="shared" si="967"/>
        <v>0</v>
      </c>
      <c r="BT1333" s="63">
        <f t="shared" si="941"/>
        <v>0</v>
      </c>
      <c r="BU1333" s="63">
        <f t="shared" si="942"/>
        <v>0</v>
      </c>
      <c r="BV1333" s="57">
        <f t="shared" si="943"/>
        <v>0</v>
      </c>
      <c r="BW1333" s="57">
        <f t="shared" si="944"/>
        <v>0</v>
      </c>
      <c r="BX1333" s="57">
        <f t="shared" si="968"/>
        <v>0</v>
      </c>
      <c r="BY1333" s="57">
        <f t="shared" si="972"/>
        <v>0</v>
      </c>
      <c r="BZ1333" s="8">
        <f t="shared" si="945"/>
        <v>0</v>
      </c>
      <c r="CA1333" s="8">
        <f t="shared" si="946"/>
        <v>0</v>
      </c>
      <c r="CB1333" s="8">
        <f t="shared" si="947"/>
        <v>0</v>
      </c>
      <c r="CC1333" s="8">
        <f t="shared" si="948"/>
        <v>0</v>
      </c>
      <c r="CD1333" s="8">
        <f t="shared" si="949"/>
        <v>0</v>
      </c>
      <c r="CE1333" s="8">
        <f t="shared" si="950"/>
        <v>0</v>
      </c>
      <c r="CF1333" s="8">
        <f t="shared" si="951"/>
        <v>0</v>
      </c>
      <c r="CG1333" s="8">
        <f t="shared" si="952"/>
        <v>0</v>
      </c>
      <c r="CH1333" s="8">
        <f t="shared" si="953"/>
        <v>0</v>
      </c>
      <c r="CI1333" s="8">
        <f t="shared" si="954"/>
        <v>0</v>
      </c>
      <c r="CJ1333" s="8">
        <f t="shared" si="955"/>
        <v>0</v>
      </c>
      <c r="CK1333" s="8">
        <f t="shared" si="956"/>
        <v>0</v>
      </c>
      <c r="CL1333" s="8">
        <f t="shared" si="957"/>
        <v>0</v>
      </c>
      <c r="CM1333" s="8">
        <f t="shared" si="958"/>
        <v>0</v>
      </c>
      <c r="CN1333" s="8">
        <f t="shared" si="959"/>
        <v>0</v>
      </c>
      <c r="CO1333" s="8">
        <f t="shared" si="960"/>
        <v>0</v>
      </c>
      <c r="CP1333" s="8">
        <f t="shared" si="961"/>
        <v>0</v>
      </c>
      <c r="CQ1333" s="8">
        <f t="shared" si="962"/>
        <v>0</v>
      </c>
      <c r="CR1333" s="8">
        <f t="shared" si="963"/>
        <v>0</v>
      </c>
      <c r="CS1333" s="8">
        <f t="shared" si="964"/>
        <v>0</v>
      </c>
      <c r="CT1333" s="8">
        <f t="shared" si="969"/>
        <v>0</v>
      </c>
      <c r="CU1333" s="8">
        <f t="shared" si="970"/>
        <v>0</v>
      </c>
      <c r="CV1333" s="8">
        <f t="shared" si="971"/>
        <v>0</v>
      </c>
    </row>
    <row r="1334" spans="1:100" ht="20.5" thickTop="1" thickBot="1" x14ac:dyDescent="0.5">
      <c r="A1334" s="32"/>
      <c r="B1334" s="10"/>
      <c r="C1334" s="10"/>
      <c r="D1334" s="11"/>
      <c r="E1334" s="10"/>
      <c r="F1334" s="10"/>
      <c r="G1334" s="19"/>
      <c r="H1334" s="19"/>
      <c r="I1334" s="19"/>
      <c r="J1334" s="19"/>
      <c r="K1334" s="10"/>
      <c r="L1334" s="10"/>
      <c r="M1334" s="10"/>
      <c r="N1334" s="10"/>
      <c r="O1334" s="18"/>
      <c r="P1334" s="18"/>
      <c r="Q1334" s="21"/>
      <c r="R1334" s="20"/>
      <c r="S1334" s="16">
        <f t="shared" si="927"/>
        <v>0</v>
      </c>
      <c r="T1334" s="11"/>
      <c r="AS1334" s="31">
        <f t="shared" si="928"/>
        <v>0</v>
      </c>
      <c r="AT1334" s="31">
        <f t="shared" si="929"/>
        <v>0</v>
      </c>
      <c r="AU1334" s="31">
        <f t="shared" si="930"/>
        <v>0</v>
      </c>
      <c r="AV1334" s="31">
        <f t="shared" si="931"/>
        <v>0</v>
      </c>
      <c r="AW1334" s="31">
        <f t="shared" si="932"/>
        <v>0</v>
      </c>
      <c r="AX1334" s="31">
        <f t="shared" si="933"/>
        <v>0</v>
      </c>
      <c r="AY1334" s="31">
        <f t="shared" si="934"/>
        <v>0</v>
      </c>
      <c r="AZ1334" s="31">
        <f t="shared" si="935"/>
        <v>0</v>
      </c>
      <c r="BA1334" s="31">
        <f t="shared" si="936"/>
        <v>0</v>
      </c>
      <c r="BB1334" s="31">
        <f t="shared" si="965"/>
        <v>0</v>
      </c>
      <c r="BM1334" s="8">
        <f t="shared" si="966"/>
        <v>0</v>
      </c>
      <c r="BN1334" s="8">
        <f t="shared" si="937"/>
        <v>0</v>
      </c>
      <c r="BO1334" s="8">
        <f t="shared" si="938"/>
        <v>0</v>
      </c>
      <c r="BQ1334" s="8">
        <f t="shared" si="939"/>
        <v>0</v>
      </c>
      <c r="BR1334" s="63">
        <f t="shared" si="940"/>
        <v>0</v>
      </c>
      <c r="BS1334" s="63">
        <f t="shared" si="967"/>
        <v>0</v>
      </c>
      <c r="BT1334" s="63">
        <f t="shared" si="941"/>
        <v>0</v>
      </c>
      <c r="BU1334" s="63">
        <f t="shared" si="942"/>
        <v>0</v>
      </c>
      <c r="BV1334" s="57">
        <f t="shared" si="943"/>
        <v>0</v>
      </c>
      <c r="BW1334" s="57">
        <f t="shared" si="944"/>
        <v>0</v>
      </c>
      <c r="BX1334" s="57">
        <f t="shared" si="968"/>
        <v>0</v>
      </c>
      <c r="BY1334" s="57">
        <f t="shared" si="972"/>
        <v>0</v>
      </c>
      <c r="BZ1334" s="8">
        <f t="shared" si="945"/>
        <v>0</v>
      </c>
      <c r="CA1334" s="8">
        <f t="shared" si="946"/>
        <v>0</v>
      </c>
      <c r="CB1334" s="8">
        <f t="shared" si="947"/>
        <v>0</v>
      </c>
      <c r="CC1334" s="8">
        <f t="shared" si="948"/>
        <v>0</v>
      </c>
      <c r="CD1334" s="8">
        <f t="shared" si="949"/>
        <v>0</v>
      </c>
      <c r="CE1334" s="8">
        <f t="shared" si="950"/>
        <v>0</v>
      </c>
      <c r="CF1334" s="8">
        <f t="shared" si="951"/>
        <v>0</v>
      </c>
      <c r="CG1334" s="8">
        <f t="shared" si="952"/>
        <v>0</v>
      </c>
      <c r="CH1334" s="8">
        <f t="shared" si="953"/>
        <v>0</v>
      </c>
      <c r="CI1334" s="8">
        <f t="shared" si="954"/>
        <v>0</v>
      </c>
      <c r="CJ1334" s="8">
        <f t="shared" si="955"/>
        <v>0</v>
      </c>
      <c r="CK1334" s="8">
        <f t="shared" si="956"/>
        <v>0</v>
      </c>
      <c r="CL1334" s="8">
        <f t="shared" si="957"/>
        <v>0</v>
      </c>
      <c r="CM1334" s="8">
        <f t="shared" si="958"/>
        <v>0</v>
      </c>
      <c r="CN1334" s="8">
        <f t="shared" si="959"/>
        <v>0</v>
      </c>
      <c r="CO1334" s="8">
        <f t="shared" si="960"/>
        <v>0</v>
      </c>
      <c r="CP1334" s="8">
        <f t="shared" si="961"/>
        <v>0</v>
      </c>
      <c r="CQ1334" s="8">
        <f t="shared" si="962"/>
        <v>0</v>
      </c>
      <c r="CR1334" s="8">
        <f t="shared" si="963"/>
        <v>0</v>
      </c>
      <c r="CS1334" s="8">
        <f t="shared" si="964"/>
        <v>0</v>
      </c>
      <c r="CT1334" s="8">
        <f t="shared" si="969"/>
        <v>0</v>
      </c>
      <c r="CU1334" s="8">
        <f t="shared" si="970"/>
        <v>0</v>
      </c>
      <c r="CV1334" s="8">
        <f t="shared" si="971"/>
        <v>0</v>
      </c>
    </row>
    <row r="1335" spans="1:100" ht="20.5" thickTop="1" thickBot="1" x14ac:dyDescent="0.5">
      <c r="A1335" s="32"/>
      <c r="B1335" s="10"/>
      <c r="C1335" s="10"/>
      <c r="D1335" s="11"/>
      <c r="E1335" s="10"/>
      <c r="F1335" s="10"/>
      <c r="G1335" s="19"/>
      <c r="H1335" s="19"/>
      <c r="I1335" s="19"/>
      <c r="J1335" s="19"/>
      <c r="K1335" s="10"/>
      <c r="L1335" s="10"/>
      <c r="M1335" s="10"/>
      <c r="N1335" s="10"/>
      <c r="O1335" s="18"/>
      <c r="P1335" s="18"/>
      <c r="Q1335" s="21"/>
      <c r="R1335" s="20"/>
      <c r="S1335" s="16">
        <f t="shared" si="927"/>
        <v>0</v>
      </c>
      <c r="T1335" s="11"/>
      <c r="AS1335" s="31">
        <f t="shared" si="928"/>
        <v>0</v>
      </c>
      <c r="AT1335" s="31">
        <f t="shared" si="929"/>
        <v>0</v>
      </c>
      <c r="AU1335" s="31">
        <f t="shared" si="930"/>
        <v>0</v>
      </c>
      <c r="AV1335" s="31">
        <f t="shared" si="931"/>
        <v>0</v>
      </c>
      <c r="AW1335" s="31">
        <f t="shared" si="932"/>
        <v>0</v>
      </c>
      <c r="AX1335" s="31">
        <f t="shared" si="933"/>
        <v>0</v>
      </c>
      <c r="AY1335" s="31">
        <f t="shared" si="934"/>
        <v>0</v>
      </c>
      <c r="AZ1335" s="31">
        <f t="shared" si="935"/>
        <v>0</v>
      </c>
      <c r="BA1335" s="31">
        <f t="shared" si="936"/>
        <v>0</v>
      </c>
      <c r="BB1335" s="31">
        <f t="shared" si="965"/>
        <v>0</v>
      </c>
      <c r="BM1335" s="8">
        <f t="shared" si="966"/>
        <v>0</v>
      </c>
      <c r="BN1335" s="8">
        <f t="shared" si="937"/>
        <v>0</v>
      </c>
      <c r="BO1335" s="8">
        <f t="shared" si="938"/>
        <v>0</v>
      </c>
      <c r="BQ1335" s="8">
        <f t="shared" si="939"/>
        <v>0</v>
      </c>
      <c r="BR1335" s="63">
        <f t="shared" si="940"/>
        <v>0</v>
      </c>
      <c r="BS1335" s="63">
        <f t="shared" si="967"/>
        <v>0</v>
      </c>
      <c r="BT1335" s="63">
        <f t="shared" si="941"/>
        <v>0</v>
      </c>
      <c r="BU1335" s="63">
        <f t="shared" si="942"/>
        <v>0</v>
      </c>
      <c r="BV1335" s="57">
        <f t="shared" si="943"/>
        <v>0</v>
      </c>
      <c r="BW1335" s="57">
        <f t="shared" si="944"/>
        <v>0</v>
      </c>
      <c r="BX1335" s="57">
        <f t="shared" si="968"/>
        <v>0</v>
      </c>
      <c r="BY1335" s="57">
        <f t="shared" si="972"/>
        <v>0</v>
      </c>
      <c r="BZ1335" s="8">
        <f t="shared" si="945"/>
        <v>0</v>
      </c>
      <c r="CA1335" s="8">
        <f t="shared" si="946"/>
        <v>0</v>
      </c>
      <c r="CB1335" s="8">
        <f t="shared" si="947"/>
        <v>0</v>
      </c>
      <c r="CC1335" s="8">
        <f t="shared" si="948"/>
        <v>0</v>
      </c>
      <c r="CD1335" s="8">
        <f t="shared" si="949"/>
        <v>0</v>
      </c>
      <c r="CE1335" s="8">
        <f t="shared" si="950"/>
        <v>0</v>
      </c>
      <c r="CF1335" s="8">
        <f t="shared" si="951"/>
        <v>0</v>
      </c>
      <c r="CG1335" s="8">
        <f t="shared" si="952"/>
        <v>0</v>
      </c>
      <c r="CH1335" s="8">
        <f t="shared" si="953"/>
        <v>0</v>
      </c>
      <c r="CI1335" s="8">
        <f t="shared" si="954"/>
        <v>0</v>
      </c>
      <c r="CJ1335" s="8">
        <f t="shared" si="955"/>
        <v>0</v>
      </c>
      <c r="CK1335" s="8">
        <f t="shared" si="956"/>
        <v>0</v>
      </c>
      <c r="CL1335" s="8">
        <f t="shared" si="957"/>
        <v>0</v>
      </c>
      <c r="CM1335" s="8">
        <f t="shared" si="958"/>
        <v>0</v>
      </c>
      <c r="CN1335" s="8">
        <f t="shared" si="959"/>
        <v>0</v>
      </c>
      <c r="CO1335" s="8">
        <f t="shared" si="960"/>
        <v>0</v>
      </c>
      <c r="CP1335" s="8">
        <f t="shared" si="961"/>
        <v>0</v>
      </c>
      <c r="CQ1335" s="8">
        <f t="shared" si="962"/>
        <v>0</v>
      </c>
      <c r="CR1335" s="8">
        <f t="shared" si="963"/>
        <v>0</v>
      </c>
      <c r="CS1335" s="8">
        <f t="shared" si="964"/>
        <v>0</v>
      </c>
      <c r="CT1335" s="8">
        <f t="shared" si="969"/>
        <v>0</v>
      </c>
      <c r="CU1335" s="8">
        <f t="shared" si="970"/>
        <v>0</v>
      </c>
      <c r="CV1335" s="8">
        <f t="shared" si="971"/>
        <v>0</v>
      </c>
    </row>
    <row r="1336" spans="1:100" ht="20.5" thickTop="1" thickBot="1" x14ac:dyDescent="0.5">
      <c r="A1336" s="32"/>
      <c r="B1336" s="10"/>
      <c r="C1336" s="10"/>
      <c r="D1336" s="11"/>
      <c r="E1336" s="10"/>
      <c r="F1336" s="10"/>
      <c r="G1336" s="19"/>
      <c r="H1336" s="19"/>
      <c r="I1336" s="19"/>
      <c r="J1336" s="19"/>
      <c r="K1336" s="10"/>
      <c r="L1336" s="10"/>
      <c r="M1336" s="10"/>
      <c r="N1336" s="10"/>
      <c r="O1336" s="18"/>
      <c r="P1336" s="18"/>
      <c r="Q1336" s="21"/>
      <c r="R1336" s="20"/>
      <c r="S1336" s="16">
        <f t="shared" si="927"/>
        <v>0</v>
      </c>
      <c r="T1336" s="11"/>
      <c r="AS1336" s="31">
        <f t="shared" si="928"/>
        <v>0</v>
      </c>
      <c r="AT1336" s="31">
        <f t="shared" si="929"/>
        <v>0</v>
      </c>
      <c r="AU1336" s="31">
        <f t="shared" si="930"/>
        <v>0</v>
      </c>
      <c r="AV1336" s="31">
        <f t="shared" si="931"/>
        <v>0</v>
      </c>
      <c r="AW1336" s="31">
        <f t="shared" si="932"/>
        <v>0</v>
      </c>
      <c r="AX1336" s="31">
        <f t="shared" si="933"/>
        <v>0</v>
      </c>
      <c r="AY1336" s="31">
        <f t="shared" si="934"/>
        <v>0</v>
      </c>
      <c r="AZ1336" s="31">
        <f t="shared" si="935"/>
        <v>0</v>
      </c>
      <c r="BA1336" s="31">
        <f t="shared" si="936"/>
        <v>0</v>
      </c>
      <c r="BB1336" s="31">
        <f t="shared" si="965"/>
        <v>0</v>
      </c>
      <c r="BM1336" s="8">
        <f t="shared" si="966"/>
        <v>0</v>
      </c>
      <c r="BN1336" s="8">
        <f t="shared" si="937"/>
        <v>0</v>
      </c>
      <c r="BO1336" s="8">
        <f t="shared" si="938"/>
        <v>0</v>
      </c>
      <c r="BQ1336" s="8">
        <f t="shared" si="939"/>
        <v>0</v>
      </c>
      <c r="BR1336" s="63">
        <f t="shared" si="940"/>
        <v>0</v>
      </c>
      <c r="BS1336" s="63">
        <f t="shared" si="967"/>
        <v>0</v>
      </c>
      <c r="BT1336" s="63">
        <f t="shared" si="941"/>
        <v>0</v>
      </c>
      <c r="BU1336" s="63">
        <f t="shared" si="942"/>
        <v>0</v>
      </c>
      <c r="BV1336" s="57">
        <f t="shared" si="943"/>
        <v>0</v>
      </c>
      <c r="BW1336" s="57">
        <f t="shared" si="944"/>
        <v>0</v>
      </c>
      <c r="BX1336" s="57">
        <f t="shared" si="968"/>
        <v>0</v>
      </c>
      <c r="BY1336" s="57">
        <f t="shared" si="972"/>
        <v>0</v>
      </c>
      <c r="BZ1336" s="8">
        <f t="shared" si="945"/>
        <v>0</v>
      </c>
      <c r="CA1336" s="8">
        <f t="shared" si="946"/>
        <v>0</v>
      </c>
      <c r="CB1336" s="8">
        <f t="shared" si="947"/>
        <v>0</v>
      </c>
      <c r="CC1336" s="8">
        <f t="shared" si="948"/>
        <v>0</v>
      </c>
      <c r="CD1336" s="8">
        <f t="shared" si="949"/>
        <v>0</v>
      </c>
      <c r="CE1336" s="8">
        <f t="shared" si="950"/>
        <v>0</v>
      </c>
      <c r="CF1336" s="8">
        <f t="shared" si="951"/>
        <v>0</v>
      </c>
      <c r="CG1336" s="8">
        <f t="shared" si="952"/>
        <v>0</v>
      </c>
      <c r="CH1336" s="8">
        <f t="shared" si="953"/>
        <v>0</v>
      </c>
      <c r="CI1336" s="8">
        <f t="shared" si="954"/>
        <v>0</v>
      </c>
      <c r="CJ1336" s="8">
        <f t="shared" si="955"/>
        <v>0</v>
      </c>
      <c r="CK1336" s="8">
        <f t="shared" si="956"/>
        <v>0</v>
      </c>
      <c r="CL1336" s="8">
        <f t="shared" si="957"/>
        <v>0</v>
      </c>
      <c r="CM1336" s="8">
        <f t="shared" si="958"/>
        <v>0</v>
      </c>
      <c r="CN1336" s="8">
        <f t="shared" si="959"/>
        <v>0</v>
      </c>
      <c r="CO1336" s="8">
        <f t="shared" si="960"/>
        <v>0</v>
      </c>
      <c r="CP1336" s="8">
        <f t="shared" si="961"/>
        <v>0</v>
      </c>
      <c r="CQ1336" s="8">
        <f t="shared" si="962"/>
        <v>0</v>
      </c>
      <c r="CR1336" s="8">
        <f t="shared" si="963"/>
        <v>0</v>
      </c>
      <c r="CS1336" s="8">
        <f t="shared" si="964"/>
        <v>0</v>
      </c>
      <c r="CT1336" s="8">
        <f t="shared" si="969"/>
        <v>0</v>
      </c>
      <c r="CU1336" s="8">
        <f t="shared" si="970"/>
        <v>0</v>
      </c>
      <c r="CV1336" s="8">
        <f t="shared" si="971"/>
        <v>0</v>
      </c>
    </row>
    <row r="1337" spans="1:100" ht="20.5" thickTop="1" thickBot="1" x14ac:dyDescent="0.5">
      <c r="A1337" s="32"/>
      <c r="B1337" s="10"/>
      <c r="C1337" s="10"/>
      <c r="D1337" s="11"/>
      <c r="E1337" s="10"/>
      <c r="F1337" s="10"/>
      <c r="G1337" s="19"/>
      <c r="H1337" s="19"/>
      <c r="I1337" s="19"/>
      <c r="J1337" s="19"/>
      <c r="K1337" s="10"/>
      <c r="L1337" s="10"/>
      <c r="M1337" s="10"/>
      <c r="N1337" s="10"/>
      <c r="O1337" s="18"/>
      <c r="P1337" s="18"/>
      <c r="Q1337" s="21"/>
      <c r="R1337" s="20"/>
      <c r="S1337" s="16">
        <f t="shared" si="927"/>
        <v>0</v>
      </c>
      <c r="T1337" s="11"/>
      <c r="AS1337" s="31">
        <f t="shared" si="928"/>
        <v>0</v>
      </c>
      <c r="AT1337" s="31">
        <f t="shared" si="929"/>
        <v>0</v>
      </c>
      <c r="AU1337" s="31">
        <f t="shared" si="930"/>
        <v>0</v>
      </c>
      <c r="AV1337" s="31">
        <f t="shared" si="931"/>
        <v>0</v>
      </c>
      <c r="AW1337" s="31">
        <f t="shared" si="932"/>
        <v>0</v>
      </c>
      <c r="AX1337" s="31">
        <f t="shared" si="933"/>
        <v>0</v>
      </c>
      <c r="AY1337" s="31">
        <f t="shared" si="934"/>
        <v>0</v>
      </c>
      <c r="AZ1337" s="31">
        <f t="shared" si="935"/>
        <v>0</v>
      </c>
      <c r="BA1337" s="31">
        <f t="shared" si="936"/>
        <v>0</v>
      </c>
      <c r="BB1337" s="31">
        <f t="shared" si="965"/>
        <v>0</v>
      </c>
      <c r="BM1337" s="8">
        <f t="shared" si="966"/>
        <v>0</v>
      </c>
      <c r="BN1337" s="8">
        <f t="shared" si="937"/>
        <v>0</v>
      </c>
      <c r="BO1337" s="8">
        <f t="shared" si="938"/>
        <v>0</v>
      </c>
      <c r="BQ1337" s="8">
        <f t="shared" si="939"/>
        <v>0</v>
      </c>
      <c r="BR1337" s="63">
        <f t="shared" si="940"/>
        <v>0</v>
      </c>
      <c r="BS1337" s="63">
        <f t="shared" si="967"/>
        <v>0</v>
      </c>
      <c r="BT1337" s="63">
        <f t="shared" si="941"/>
        <v>0</v>
      </c>
      <c r="BU1337" s="63">
        <f t="shared" si="942"/>
        <v>0</v>
      </c>
      <c r="BV1337" s="57">
        <f t="shared" si="943"/>
        <v>0</v>
      </c>
      <c r="BW1337" s="57">
        <f t="shared" si="944"/>
        <v>0</v>
      </c>
      <c r="BX1337" s="57">
        <f t="shared" si="968"/>
        <v>0</v>
      </c>
      <c r="BY1337" s="57">
        <f t="shared" si="972"/>
        <v>0</v>
      </c>
      <c r="BZ1337" s="8">
        <f t="shared" si="945"/>
        <v>0</v>
      </c>
      <c r="CA1337" s="8">
        <f t="shared" si="946"/>
        <v>0</v>
      </c>
      <c r="CB1337" s="8">
        <f t="shared" si="947"/>
        <v>0</v>
      </c>
      <c r="CC1337" s="8">
        <f t="shared" si="948"/>
        <v>0</v>
      </c>
      <c r="CD1337" s="8">
        <f t="shared" si="949"/>
        <v>0</v>
      </c>
      <c r="CE1337" s="8">
        <f t="shared" si="950"/>
        <v>0</v>
      </c>
      <c r="CF1337" s="8">
        <f t="shared" si="951"/>
        <v>0</v>
      </c>
      <c r="CG1337" s="8">
        <f t="shared" si="952"/>
        <v>0</v>
      </c>
      <c r="CH1337" s="8">
        <f t="shared" si="953"/>
        <v>0</v>
      </c>
      <c r="CI1337" s="8">
        <f t="shared" si="954"/>
        <v>0</v>
      </c>
      <c r="CJ1337" s="8">
        <f t="shared" si="955"/>
        <v>0</v>
      </c>
      <c r="CK1337" s="8">
        <f t="shared" si="956"/>
        <v>0</v>
      </c>
      <c r="CL1337" s="8">
        <f t="shared" si="957"/>
        <v>0</v>
      </c>
      <c r="CM1337" s="8">
        <f t="shared" si="958"/>
        <v>0</v>
      </c>
      <c r="CN1337" s="8">
        <f t="shared" si="959"/>
        <v>0</v>
      </c>
      <c r="CO1337" s="8">
        <f t="shared" si="960"/>
        <v>0</v>
      </c>
      <c r="CP1337" s="8">
        <f t="shared" si="961"/>
        <v>0</v>
      </c>
      <c r="CQ1337" s="8">
        <f t="shared" si="962"/>
        <v>0</v>
      </c>
      <c r="CR1337" s="8">
        <f t="shared" si="963"/>
        <v>0</v>
      </c>
      <c r="CS1337" s="8">
        <f t="shared" si="964"/>
        <v>0</v>
      </c>
      <c r="CT1337" s="8">
        <f t="shared" si="969"/>
        <v>0</v>
      </c>
      <c r="CU1337" s="8">
        <f t="shared" si="970"/>
        <v>0</v>
      </c>
      <c r="CV1337" s="8">
        <f t="shared" si="971"/>
        <v>0</v>
      </c>
    </row>
    <row r="1338" spans="1:100" ht="20.5" thickTop="1" thickBot="1" x14ac:dyDescent="0.5">
      <c r="A1338" s="32"/>
      <c r="B1338" s="10"/>
      <c r="C1338" s="10"/>
      <c r="D1338" s="11"/>
      <c r="E1338" s="10"/>
      <c r="F1338" s="10"/>
      <c r="G1338" s="19"/>
      <c r="H1338" s="19"/>
      <c r="I1338" s="19"/>
      <c r="J1338" s="19"/>
      <c r="K1338" s="10"/>
      <c r="L1338" s="10"/>
      <c r="M1338" s="10"/>
      <c r="N1338" s="10"/>
      <c r="O1338" s="18"/>
      <c r="P1338" s="18"/>
      <c r="Q1338" s="21"/>
      <c r="R1338" s="20"/>
      <c r="S1338" s="16">
        <f t="shared" si="927"/>
        <v>0</v>
      </c>
      <c r="T1338" s="11"/>
      <c r="AS1338" s="31">
        <f t="shared" si="928"/>
        <v>0</v>
      </c>
      <c r="AT1338" s="31">
        <f t="shared" si="929"/>
        <v>0</v>
      </c>
      <c r="AU1338" s="31">
        <f t="shared" si="930"/>
        <v>0</v>
      </c>
      <c r="AV1338" s="31">
        <f t="shared" si="931"/>
        <v>0</v>
      </c>
      <c r="AW1338" s="31">
        <f t="shared" si="932"/>
        <v>0</v>
      </c>
      <c r="AX1338" s="31">
        <f t="shared" si="933"/>
        <v>0</v>
      </c>
      <c r="AY1338" s="31">
        <f t="shared" si="934"/>
        <v>0</v>
      </c>
      <c r="AZ1338" s="31">
        <f t="shared" si="935"/>
        <v>0</v>
      </c>
      <c r="BA1338" s="31">
        <f t="shared" si="936"/>
        <v>0</v>
      </c>
      <c r="BB1338" s="31">
        <f t="shared" si="965"/>
        <v>0</v>
      </c>
      <c r="BM1338" s="8">
        <f t="shared" si="966"/>
        <v>0</v>
      </c>
      <c r="BN1338" s="8">
        <f t="shared" si="937"/>
        <v>0</v>
      </c>
      <c r="BO1338" s="8">
        <f t="shared" si="938"/>
        <v>0</v>
      </c>
      <c r="BQ1338" s="8">
        <f t="shared" si="939"/>
        <v>0</v>
      </c>
      <c r="BR1338" s="63">
        <f t="shared" si="940"/>
        <v>0</v>
      </c>
      <c r="BS1338" s="63">
        <f t="shared" si="967"/>
        <v>0</v>
      </c>
      <c r="BT1338" s="63">
        <f t="shared" si="941"/>
        <v>0</v>
      </c>
      <c r="BU1338" s="63">
        <f t="shared" si="942"/>
        <v>0</v>
      </c>
      <c r="BV1338" s="57">
        <f t="shared" si="943"/>
        <v>0</v>
      </c>
      <c r="BW1338" s="57">
        <f t="shared" si="944"/>
        <v>0</v>
      </c>
      <c r="BX1338" s="57">
        <f t="shared" si="968"/>
        <v>0</v>
      </c>
      <c r="BY1338" s="57">
        <f t="shared" si="972"/>
        <v>0</v>
      </c>
      <c r="BZ1338" s="8">
        <f t="shared" si="945"/>
        <v>0</v>
      </c>
      <c r="CA1338" s="8">
        <f t="shared" si="946"/>
        <v>0</v>
      </c>
      <c r="CB1338" s="8">
        <f t="shared" si="947"/>
        <v>0</v>
      </c>
      <c r="CC1338" s="8">
        <f t="shared" si="948"/>
        <v>0</v>
      </c>
      <c r="CD1338" s="8">
        <f t="shared" si="949"/>
        <v>0</v>
      </c>
      <c r="CE1338" s="8">
        <f t="shared" si="950"/>
        <v>0</v>
      </c>
      <c r="CF1338" s="8">
        <f t="shared" si="951"/>
        <v>0</v>
      </c>
      <c r="CG1338" s="8">
        <f t="shared" si="952"/>
        <v>0</v>
      </c>
      <c r="CH1338" s="8">
        <f t="shared" si="953"/>
        <v>0</v>
      </c>
      <c r="CI1338" s="8">
        <f t="shared" si="954"/>
        <v>0</v>
      </c>
      <c r="CJ1338" s="8">
        <f t="shared" si="955"/>
        <v>0</v>
      </c>
      <c r="CK1338" s="8">
        <f t="shared" si="956"/>
        <v>0</v>
      </c>
      <c r="CL1338" s="8">
        <f t="shared" si="957"/>
        <v>0</v>
      </c>
      <c r="CM1338" s="8">
        <f t="shared" si="958"/>
        <v>0</v>
      </c>
      <c r="CN1338" s="8">
        <f t="shared" si="959"/>
        <v>0</v>
      </c>
      <c r="CO1338" s="8">
        <f t="shared" si="960"/>
        <v>0</v>
      </c>
      <c r="CP1338" s="8">
        <f t="shared" si="961"/>
        <v>0</v>
      </c>
      <c r="CQ1338" s="8">
        <f t="shared" si="962"/>
        <v>0</v>
      </c>
      <c r="CR1338" s="8">
        <f t="shared" si="963"/>
        <v>0</v>
      </c>
      <c r="CS1338" s="8">
        <f t="shared" si="964"/>
        <v>0</v>
      </c>
      <c r="CT1338" s="8">
        <f t="shared" si="969"/>
        <v>0</v>
      </c>
      <c r="CU1338" s="8">
        <f t="shared" si="970"/>
        <v>0</v>
      </c>
      <c r="CV1338" s="8">
        <f t="shared" si="971"/>
        <v>0</v>
      </c>
    </row>
    <row r="1339" spans="1:100" ht="20.5" thickTop="1" thickBot="1" x14ac:dyDescent="0.5">
      <c r="A1339" s="32"/>
      <c r="B1339" s="10"/>
      <c r="C1339" s="10"/>
      <c r="D1339" s="11"/>
      <c r="E1339" s="10"/>
      <c r="F1339" s="10"/>
      <c r="G1339" s="19"/>
      <c r="H1339" s="19"/>
      <c r="I1339" s="19"/>
      <c r="J1339" s="19"/>
      <c r="K1339" s="10"/>
      <c r="L1339" s="10"/>
      <c r="M1339" s="10"/>
      <c r="N1339" s="10"/>
      <c r="O1339" s="18"/>
      <c r="P1339" s="18"/>
      <c r="Q1339" s="21"/>
      <c r="R1339" s="20"/>
      <c r="S1339" s="16">
        <f t="shared" si="927"/>
        <v>0</v>
      </c>
      <c r="T1339" s="11"/>
      <c r="AS1339" s="31">
        <f t="shared" si="928"/>
        <v>0</v>
      </c>
      <c r="AT1339" s="31">
        <f t="shared" si="929"/>
        <v>0</v>
      </c>
      <c r="AU1339" s="31">
        <f t="shared" si="930"/>
        <v>0</v>
      </c>
      <c r="AV1339" s="31">
        <f t="shared" si="931"/>
        <v>0</v>
      </c>
      <c r="AW1339" s="31">
        <f t="shared" si="932"/>
        <v>0</v>
      </c>
      <c r="AX1339" s="31">
        <f t="shared" si="933"/>
        <v>0</v>
      </c>
      <c r="AY1339" s="31">
        <f t="shared" si="934"/>
        <v>0</v>
      </c>
      <c r="AZ1339" s="31">
        <f t="shared" si="935"/>
        <v>0</v>
      </c>
      <c r="BA1339" s="31">
        <f t="shared" si="936"/>
        <v>0</v>
      </c>
      <c r="BB1339" s="31">
        <f t="shared" si="965"/>
        <v>0</v>
      </c>
      <c r="BM1339" s="8">
        <f t="shared" si="966"/>
        <v>0</v>
      </c>
      <c r="BN1339" s="8">
        <f t="shared" si="937"/>
        <v>0</v>
      </c>
      <c r="BO1339" s="8">
        <f t="shared" si="938"/>
        <v>0</v>
      </c>
      <c r="BQ1339" s="8">
        <f t="shared" si="939"/>
        <v>0</v>
      </c>
      <c r="BR1339" s="63">
        <f t="shared" si="940"/>
        <v>0</v>
      </c>
      <c r="BS1339" s="63">
        <f t="shared" si="967"/>
        <v>0</v>
      </c>
      <c r="BT1339" s="63">
        <f t="shared" si="941"/>
        <v>0</v>
      </c>
      <c r="BU1339" s="63">
        <f t="shared" si="942"/>
        <v>0</v>
      </c>
      <c r="BV1339" s="57">
        <f t="shared" si="943"/>
        <v>0</v>
      </c>
      <c r="BW1339" s="57">
        <f t="shared" si="944"/>
        <v>0</v>
      </c>
      <c r="BX1339" s="57">
        <f t="shared" si="968"/>
        <v>0</v>
      </c>
      <c r="BY1339" s="57">
        <f t="shared" si="972"/>
        <v>0</v>
      </c>
      <c r="BZ1339" s="8">
        <f t="shared" si="945"/>
        <v>0</v>
      </c>
      <c r="CA1339" s="8">
        <f t="shared" si="946"/>
        <v>0</v>
      </c>
      <c r="CB1339" s="8">
        <f t="shared" si="947"/>
        <v>0</v>
      </c>
      <c r="CC1339" s="8">
        <f t="shared" si="948"/>
        <v>0</v>
      </c>
      <c r="CD1339" s="8">
        <f t="shared" si="949"/>
        <v>0</v>
      </c>
      <c r="CE1339" s="8">
        <f t="shared" si="950"/>
        <v>0</v>
      </c>
      <c r="CF1339" s="8">
        <f t="shared" si="951"/>
        <v>0</v>
      </c>
      <c r="CG1339" s="8">
        <f t="shared" si="952"/>
        <v>0</v>
      </c>
      <c r="CH1339" s="8">
        <f t="shared" si="953"/>
        <v>0</v>
      </c>
      <c r="CI1339" s="8">
        <f t="shared" si="954"/>
        <v>0</v>
      </c>
      <c r="CJ1339" s="8">
        <f t="shared" si="955"/>
        <v>0</v>
      </c>
      <c r="CK1339" s="8">
        <f t="shared" si="956"/>
        <v>0</v>
      </c>
      <c r="CL1339" s="8">
        <f t="shared" si="957"/>
        <v>0</v>
      </c>
      <c r="CM1339" s="8">
        <f t="shared" si="958"/>
        <v>0</v>
      </c>
      <c r="CN1339" s="8">
        <f t="shared" si="959"/>
        <v>0</v>
      </c>
      <c r="CO1339" s="8">
        <f t="shared" si="960"/>
        <v>0</v>
      </c>
      <c r="CP1339" s="8">
        <f t="shared" si="961"/>
        <v>0</v>
      </c>
      <c r="CQ1339" s="8">
        <f t="shared" si="962"/>
        <v>0</v>
      </c>
      <c r="CR1339" s="8">
        <f t="shared" si="963"/>
        <v>0</v>
      </c>
      <c r="CS1339" s="8">
        <f t="shared" si="964"/>
        <v>0</v>
      </c>
      <c r="CT1339" s="8">
        <f t="shared" si="969"/>
        <v>0</v>
      </c>
      <c r="CU1339" s="8">
        <f t="shared" si="970"/>
        <v>0</v>
      </c>
      <c r="CV1339" s="8">
        <f t="shared" si="971"/>
        <v>0</v>
      </c>
    </row>
    <row r="1340" spans="1:100" ht="20.5" thickTop="1" thickBot="1" x14ac:dyDescent="0.5">
      <c r="A1340" s="32"/>
      <c r="B1340" s="10"/>
      <c r="C1340" s="10"/>
      <c r="D1340" s="11"/>
      <c r="E1340" s="10"/>
      <c r="F1340" s="10"/>
      <c r="G1340" s="19"/>
      <c r="H1340" s="19"/>
      <c r="I1340" s="19"/>
      <c r="J1340" s="19"/>
      <c r="K1340" s="10"/>
      <c r="L1340" s="10"/>
      <c r="M1340" s="10"/>
      <c r="N1340" s="10"/>
      <c r="O1340" s="18"/>
      <c r="P1340" s="18"/>
      <c r="Q1340" s="21"/>
      <c r="R1340" s="20"/>
      <c r="S1340" s="16">
        <f t="shared" si="927"/>
        <v>0</v>
      </c>
      <c r="T1340" s="11"/>
      <c r="AS1340" s="31">
        <f t="shared" si="928"/>
        <v>0</v>
      </c>
      <c r="AT1340" s="31">
        <f t="shared" si="929"/>
        <v>0</v>
      </c>
      <c r="AU1340" s="31">
        <f t="shared" si="930"/>
        <v>0</v>
      </c>
      <c r="AV1340" s="31">
        <f t="shared" si="931"/>
        <v>0</v>
      </c>
      <c r="AW1340" s="31">
        <f t="shared" si="932"/>
        <v>0</v>
      </c>
      <c r="AX1340" s="31">
        <f t="shared" si="933"/>
        <v>0</v>
      </c>
      <c r="AY1340" s="31">
        <f t="shared" si="934"/>
        <v>0</v>
      </c>
      <c r="AZ1340" s="31">
        <f t="shared" si="935"/>
        <v>0</v>
      </c>
      <c r="BA1340" s="31">
        <f t="shared" si="936"/>
        <v>0</v>
      </c>
      <c r="BB1340" s="31">
        <f t="shared" si="965"/>
        <v>0</v>
      </c>
      <c r="BM1340" s="8">
        <f t="shared" si="966"/>
        <v>0</v>
      </c>
      <c r="BN1340" s="8">
        <f t="shared" si="937"/>
        <v>0</v>
      </c>
      <c r="BO1340" s="8">
        <f t="shared" si="938"/>
        <v>0</v>
      </c>
      <c r="BQ1340" s="8">
        <f t="shared" si="939"/>
        <v>0</v>
      </c>
      <c r="BR1340" s="63">
        <f t="shared" si="940"/>
        <v>0</v>
      </c>
      <c r="BS1340" s="63">
        <f t="shared" si="967"/>
        <v>0</v>
      </c>
      <c r="BT1340" s="63">
        <f t="shared" si="941"/>
        <v>0</v>
      </c>
      <c r="BU1340" s="63">
        <f t="shared" si="942"/>
        <v>0</v>
      </c>
      <c r="BV1340" s="57">
        <f t="shared" si="943"/>
        <v>0</v>
      </c>
      <c r="BW1340" s="57">
        <f t="shared" si="944"/>
        <v>0</v>
      </c>
      <c r="BX1340" s="57">
        <f t="shared" si="968"/>
        <v>0</v>
      </c>
      <c r="BY1340" s="57">
        <f t="shared" si="972"/>
        <v>0</v>
      </c>
      <c r="BZ1340" s="8">
        <f t="shared" si="945"/>
        <v>0</v>
      </c>
      <c r="CA1340" s="8">
        <f t="shared" si="946"/>
        <v>0</v>
      </c>
      <c r="CB1340" s="8">
        <f t="shared" si="947"/>
        <v>0</v>
      </c>
      <c r="CC1340" s="8">
        <f t="shared" si="948"/>
        <v>0</v>
      </c>
      <c r="CD1340" s="8">
        <f t="shared" si="949"/>
        <v>0</v>
      </c>
      <c r="CE1340" s="8">
        <f t="shared" si="950"/>
        <v>0</v>
      </c>
      <c r="CF1340" s="8">
        <f t="shared" si="951"/>
        <v>0</v>
      </c>
      <c r="CG1340" s="8">
        <f t="shared" si="952"/>
        <v>0</v>
      </c>
      <c r="CH1340" s="8">
        <f t="shared" si="953"/>
        <v>0</v>
      </c>
      <c r="CI1340" s="8">
        <f t="shared" si="954"/>
        <v>0</v>
      </c>
      <c r="CJ1340" s="8">
        <f t="shared" si="955"/>
        <v>0</v>
      </c>
      <c r="CK1340" s="8">
        <f t="shared" si="956"/>
        <v>0</v>
      </c>
      <c r="CL1340" s="8">
        <f t="shared" si="957"/>
        <v>0</v>
      </c>
      <c r="CM1340" s="8">
        <f t="shared" si="958"/>
        <v>0</v>
      </c>
      <c r="CN1340" s="8">
        <f t="shared" si="959"/>
        <v>0</v>
      </c>
      <c r="CO1340" s="8">
        <f t="shared" si="960"/>
        <v>0</v>
      </c>
      <c r="CP1340" s="8">
        <f t="shared" si="961"/>
        <v>0</v>
      </c>
      <c r="CQ1340" s="8">
        <f t="shared" si="962"/>
        <v>0</v>
      </c>
      <c r="CR1340" s="8">
        <f t="shared" si="963"/>
        <v>0</v>
      </c>
      <c r="CS1340" s="8">
        <f t="shared" si="964"/>
        <v>0</v>
      </c>
      <c r="CT1340" s="8">
        <f t="shared" si="969"/>
        <v>0</v>
      </c>
      <c r="CU1340" s="8">
        <f t="shared" si="970"/>
        <v>0</v>
      </c>
      <c r="CV1340" s="8">
        <f t="shared" si="971"/>
        <v>0</v>
      </c>
    </row>
    <row r="1341" spans="1:100" ht="20.5" thickTop="1" thickBot="1" x14ac:dyDescent="0.5">
      <c r="A1341" s="32"/>
      <c r="B1341" s="10"/>
      <c r="C1341" s="10"/>
      <c r="D1341" s="11"/>
      <c r="E1341" s="10"/>
      <c r="F1341" s="10"/>
      <c r="G1341" s="19"/>
      <c r="H1341" s="19"/>
      <c r="I1341" s="19"/>
      <c r="J1341" s="19"/>
      <c r="K1341" s="10"/>
      <c r="L1341" s="10"/>
      <c r="M1341" s="10"/>
      <c r="N1341" s="10"/>
      <c r="O1341" s="18"/>
      <c r="P1341" s="18"/>
      <c r="Q1341" s="21"/>
      <c r="R1341" s="20"/>
      <c r="S1341" s="16">
        <f t="shared" si="927"/>
        <v>0</v>
      </c>
      <c r="T1341" s="11"/>
      <c r="AS1341" s="31">
        <f t="shared" si="928"/>
        <v>0</v>
      </c>
      <c r="AT1341" s="31">
        <f t="shared" si="929"/>
        <v>0</v>
      </c>
      <c r="AU1341" s="31">
        <f t="shared" si="930"/>
        <v>0</v>
      </c>
      <c r="AV1341" s="31">
        <f t="shared" si="931"/>
        <v>0</v>
      </c>
      <c r="AW1341" s="31">
        <f t="shared" si="932"/>
        <v>0</v>
      </c>
      <c r="AX1341" s="31">
        <f t="shared" si="933"/>
        <v>0</v>
      </c>
      <c r="AY1341" s="31">
        <f t="shared" si="934"/>
        <v>0</v>
      </c>
      <c r="AZ1341" s="31">
        <f t="shared" si="935"/>
        <v>0</v>
      </c>
      <c r="BA1341" s="31">
        <f t="shared" si="936"/>
        <v>0</v>
      </c>
      <c r="BB1341" s="31">
        <f t="shared" si="965"/>
        <v>0</v>
      </c>
      <c r="BM1341" s="8">
        <f t="shared" si="966"/>
        <v>0</v>
      </c>
      <c r="BN1341" s="8">
        <f t="shared" si="937"/>
        <v>0</v>
      </c>
      <c r="BO1341" s="8">
        <f t="shared" si="938"/>
        <v>0</v>
      </c>
      <c r="BQ1341" s="8">
        <f t="shared" si="939"/>
        <v>0</v>
      </c>
      <c r="BR1341" s="63">
        <f t="shared" si="940"/>
        <v>0</v>
      </c>
      <c r="BS1341" s="63">
        <f t="shared" si="967"/>
        <v>0</v>
      </c>
      <c r="BT1341" s="63">
        <f t="shared" si="941"/>
        <v>0</v>
      </c>
      <c r="BU1341" s="63">
        <f t="shared" si="942"/>
        <v>0</v>
      </c>
      <c r="BV1341" s="57">
        <f t="shared" si="943"/>
        <v>0</v>
      </c>
      <c r="BW1341" s="57">
        <f t="shared" si="944"/>
        <v>0</v>
      </c>
      <c r="BX1341" s="57">
        <f t="shared" si="968"/>
        <v>0</v>
      </c>
      <c r="BY1341" s="57">
        <f t="shared" si="972"/>
        <v>0</v>
      </c>
      <c r="BZ1341" s="8">
        <f t="shared" si="945"/>
        <v>0</v>
      </c>
      <c r="CA1341" s="8">
        <f t="shared" si="946"/>
        <v>0</v>
      </c>
      <c r="CB1341" s="8">
        <f t="shared" si="947"/>
        <v>0</v>
      </c>
      <c r="CC1341" s="8">
        <f t="shared" si="948"/>
        <v>0</v>
      </c>
      <c r="CD1341" s="8">
        <f t="shared" si="949"/>
        <v>0</v>
      </c>
      <c r="CE1341" s="8">
        <f t="shared" si="950"/>
        <v>0</v>
      </c>
      <c r="CF1341" s="8">
        <f t="shared" si="951"/>
        <v>0</v>
      </c>
      <c r="CG1341" s="8">
        <f t="shared" si="952"/>
        <v>0</v>
      </c>
      <c r="CH1341" s="8">
        <f t="shared" si="953"/>
        <v>0</v>
      </c>
      <c r="CI1341" s="8">
        <f t="shared" si="954"/>
        <v>0</v>
      </c>
      <c r="CJ1341" s="8">
        <f t="shared" si="955"/>
        <v>0</v>
      </c>
      <c r="CK1341" s="8">
        <f t="shared" si="956"/>
        <v>0</v>
      </c>
      <c r="CL1341" s="8">
        <f t="shared" si="957"/>
        <v>0</v>
      </c>
      <c r="CM1341" s="8">
        <f t="shared" si="958"/>
        <v>0</v>
      </c>
      <c r="CN1341" s="8">
        <f t="shared" si="959"/>
        <v>0</v>
      </c>
      <c r="CO1341" s="8">
        <f t="shared" si="960"/>
        <v>0</v>
      </c>
      <c r="CP1341" s="8">
        <f t="shared" si="961"/>
        <v>0</v>
      </c>
      <c r="CQ1341" s="8">
        <f t="shared" si="962"/>
        <v>0</v>
      </c>
      <c r="CR1341" s="8">
        <f t="shared" si="963"/>
        <v>0</v>
      </c>
      <c r="CS1341" s="8">
        <f t="shared" si="964"/>
        <v>0</v>
      </c>
      <c r="CT1341" s="8">
        <f t="shared" si="969"/>
        <v>0</v>
      </c>
      <c r="CU1341" s="8">
        <f t="shared" si="970"/>
        <v>0</v>
      </c>
      <c r="CV1341" s="8">
        <f t="shared" si="971"/>
        <v>0</v>
      </c>
    </row>
    <row r="1342" spans="1:100" ht="20.5" thickTop="1" thickBot="1" x14ac:dyDescent="0.5">
      <c r="A1342" s="32"/>
      <c r="B1342" s="10"/>
      <c r="C1342" s="10"/>
      <c r="D1342" s="11"/>
      <c r="E1342" s="10"/>
      <c r="F1342" s="10"/>
      <c r="G1342" s="19"/>
      <c r="H1342" s="19"/>
      <c r="I1342" s="19"/>
      <c r="J1342" s="19"/>
      <c r="K1342" s="10"/>
      <c r="L1342" s="10"/>
      <c r="M1342" s="10"/>
      <c r="N1342" s="10"/>
      <c r="O1342" s="18"/>
      <c r="P1342" s="18"/>
      <c r="Q1342" s="21"/>
      <c r="R1342" s="20"/>
      <c r="S1342" s="16">
        <f t="shared" si="927"/>
        <v>0</v>
      </c>
      <c r="T1342" s="11"/>
      <c r="AS1342" s="31">
        <f t="shared" si="928"/>
        <v>0</v>
      </c>
      <c r="AT1342" s="31">
        <f t="shared" si="929"/>
        <v>0</v>
      </c>
      <c r="AU1342" s="31">
        <f t="shared" si="930"/>
        <v>0</v>
      </c>
      <c r="AV1342" s="31">
        <f t="shared" si="931"/>
        <v>0</v>
      </c>
      <c r="AW1342" s="31">
        <f t="shared" si="932"/>
        <v>0</v>
      </c>
      <c r="AX1342" s="31">
        <f t="shared" si="933"/>
        <v>0</v>
      </c>
      <c r="AY1342" s="31">
        <f t="shared" si="934"/>
        <v>0</v>
      </c>
      <c r="AZ1342" s="31">
        <f t="shared" si="935"/>
        <v>0</v>
      </c>
      <c r="BA1342" s="31">
        <f t="shared" si="936"/>
        <v>0</v>
      </c>
      <c r="BB1342" s="31">
        <f t="shared" si="965"/>
        <v>0</v>
      </c>
      <c r="BM1342" s="8">
        <f t="shared" si="966"/>
        <v>0</v>
      </c>
      <c r="BN1342" s="8">
        <f t="shared" si="937"/>
        <v>0</v>
      </c>
      <c r="BO1342" s="8">
        <f t="shared" si="938"/>
        <v>0</v>
      </c>
      <c r="BQ1342" s="8">
        <f t="shared" si="939"/>
        <v>0</v>
      </c>
      <c r="BR1342" s="63">
        <f t="shared" si="940"/>
        <v>0</v>
      </c>
      <c r="BS1342" s="63">
        <f t="shared" si="967"/>
        <v>0</v>
      </c>
      <c r="BT1342" s="63">
        <f t="shared" si="941"/>
        <v>0</v>
      </c>
      <c r="BU1342" s="63">
        <f t="shared" si="942"/>
        <v>0</v>
      </c>
      <c r="BV1342" s="57">
        <f t="shared" si="943"/>
        <v>0</v>
      </c>
      <c r="BW1342" s="57">
        <f t="shared" si="944"/>
        <v>0</v>
      </c>
      <c r="BX1342" s="57">
        <f t="shared" si="968"/>
        <v>0</v>
      </c>
      <c r="BY1342" s="57">
        <f t="shared" si="972"/>
        <v>0</v>
      </c>
      <c r="BZ1342" s="8">
        <f t="shared" si="945"/>
        <v>0</v>
      </c>
      <c r="CA1342" s="8">
        <f t="shared" si="946"/>
        <v>0</v>
      </c>
      <c r="CB1342" s="8">
        <f t="shared" si="947"/>
        <v>0</v>
      </c>
      <c r="CC1342" s="8">
        <f t="shared" si="948"/>
        <v>0</v>
      </c>
      <c r="CD1342" s="8">
        <f t="shared" si="949"/>
        <v>0</v>
      </c>
      <c r="CE1342" s="8">
        <f t="shared" si="950"/>
        <v>0</v>
      </c>
      <c r="CF1342" s="8">
        <f t="shared" si="951"/>
        <v>0</v>
      </c>
      <c r="CG1342" s="8">
        <f t="shared" si="952"/>
        <v>0</v>
      </c>
      <c r="CH1342" s="8">
        <f t="shared" si="953"/>
        <v>0</v>
      </c>
      <c r="CI1342" s="8">
        <f t="shared" si="954"/>
        <v>0</v>
      </c>
      <c r="CJ1342" s="8">
        <f t="shared" si="955"/>
        <v>0</v>
      </c>
      <c r="CK1342" s="8">
        <f t="shared" si="956"/>
        <v>0</v>
      </c>
      <c r="CL1342" s="8">
        <f t="shared" si="957"/>
        <v>0</v>
      </c>
      <c r="CM1342" s="8">
        <f t="shared" si="958"/>
        <v>0</v>
      </c>
      <c r="CN1342" s="8">
        <f t="shared" si="959"/>
        <v>0</v>
      </c>
      <c r="CO1342" s="8">
        <f t="shared" si="960"/>
        <v>0</v>
      </c>
      <c r="CP1342" s="8">
        <f t="shared" si="961"/>
        <v>0</v>
      </c>
      <c r="CQ1342" s="8">
        <f t="shared" si="962"/>
        <v>0</v>
      </c>
      <c r="CR1342" s="8">
        <f t="shared" si="963"/>
        <v>0</v>
      </c>
      <c r="CS1342" s="8">
        <f t="shared" si="964"/>
        <v>0</v>
      </c>
      <c r="CT1342" s="8">
        <f t="shared" si="969"/>
        <v>0</v>
      </c>
      <c r="CU1342" s="8">
        <f t="shared" si="970"/>
        <v>0</v>
      </c>
      <c r="CV1342" s="8">
        <f t="shared" si="971"/>
        <v>0</v>
      </c>
    </row>
    <row r="1343" spans="1:100" ht="20.5" thickTop="1" thickBot="1" x14ac:dyDescent="0.5">
      <c r="A1343" s="32"/>
      <c r="B1343" s="10"/>
      <c r="C1343" s="10"/>
      <c r="D1343" s="11"/>
      <c r="E1343" s="10"/>
      <c r="F1343" s="10"/>
      <c r="G1343" s="19"/>
      <c r="H1343" s="19"/>
      <c r="I1343" s="19"/>
      <c r="J1343" s="19"/>
      <c r="K1343" s="10"/>
      <c r="L1343" s="10"/>
      <c r="M1343" s="10"/>
      <c r="N1343" s="10"/>
      <c r="O1343" s="18"/>
      <c r="P1343" s="18"/>
      <c r="Q1343" s="21"/>
      <c r="R1343" s="20"/>
      <c r="S1343" s="16">
        <f t="shared" si="927"/>
        <v>0</v>
      </c>
      <c r="T1343" s="11"/>
      <c r="AS1343" s="31">
        <f t="shared" si="928"/>
        <v>0</v>
      </c>
      <c r="AT1343" s="31">
        <f t="shared" si="929"/>
        <v>0</v>
      </c>
      <c r="AU1343" s="31">
        <f t="shared" si="930"/>
        <v>0</v>
      </c>
      <c r="AV1343" s="31">
        <f t="shared" si="931"/>
        <v>0</v>
      </c>
      <c r="AW1343" s="31">
        <f t="shared" si="932"/>
        <v>0</v>
      </c>
      <c r="AX1343" s="31">
        <f t="shared" si="933"/>
        <v>0</v>
      </c>
      <c r="AY1343" s="31">
        <f t="shared" si="934"/>
        <v>0</v>
      </c>
      <c r="AZ1343" s="31">
        <f t="shared" si="935"/>
        <v>0</v>
      </c>
      <c r="BA1343" s="31">
        <f t="shared" si="936"/>
        <v>0</v>
      </c>
      <c r="BB1343" s="31">
        <f t="shared" si="965"/>
        <v>0</v>
      </c>
      <c r="BM1343" s="8">
        <f t="shared" si="966"/>
        <v>0</v>
      </c>
      <c r="BN1343" s="8">
        <f t="shared" si="937"/>
        <v>0</v>
      </c>
      <c r="BO1343" s="8">
        <f t="shared" si="938"/>
        <v>0</v>
      </c>
      <c r="BQ1343" s="8">
        <f t="shared" si="939"/>
        <v>0</v>
      </c>
      <c r="BR1343" s="63">
        <f t="shared" si="940"/>
        <v>0</v>
      </c>
      <c r="BS1343" s="63">
        <f t="shared" si="967"/>
        <v>0</v>
      </c>
      <c r="BT1343" s="63">
        <f t="shared" si="941"/>
        <v>0</v>
      </c>
      <c r="BU1343" s="63">
        <f t="shared" si="942"/>
        <v>0</v>
      </c>
      <c r="BV1343" s="57">
        <f t="shared" si="943"/>
        <v>0</v>
      </c>
      <c r="BW1343" s="57">
        <f t="shared" si="944"/>
        <v>0</v>
      </c>
      <c r="BX1343" s="57">
        <f t="shared" si="968"/>
        <v>0</v>
      </c>
      <c r="BY1343" s="57">
        <f t="shared" si="972"/>
        <v>0</v>
      </c>
      <c r="BZ1343" s="8">
        <f t="shared" si="945"/>
        <v>0</v>
      </c>
      <c r="CA1343" s="8">
        <f t="shared" si="946"/>
        <v>0</v>
      </c>
      <c r="CB1343" s="8">
        <f t="shared" si="947"/>
        <v>0</v>
      </c>
      <c r="CC1343" s="8">
        <f t="shared" si="948"/>
        <v>0</v>
      </c>
      <c r="CD1343" s="8">
        <f t="shared" si="949"/>
        <v>0</v>
      </c>
      <c r="CE1343" s="8">
        <f t="shared" si="950"/>
        <v>0</v>
      </c>
      <c r="CF1343" s="8">
        <f t="shared" si="951"/>
        <v>0</v>
      </c>
      <c r="CG1343" s="8">
        <f t="shared" si="952"/>
        <v>0</v>
      </c>
      <c r="CH1343" s="8">
        <f t="shared" si="953"/>
        <v>0</v>
      </c>
      <c r="CI1343" s="8">
        <f t="shared" si="954"/>
        <v>0</v>
      </c>
      <c r="CJ1343" s="8">
        <f t="shared" si="955"/>
        <v>0</v>
      </c>
      <c r="CK1343" s="8">
        <f t="shared" si="956"/>
        <v>0</v>
      </c>
      <c r="CL1343" s="8">
        <f t="shared" si="957"/>
        <v>0</v>
      </c>
      <c r="CM1343" s="8">
        <f t="shared" si="958"/>
        <v>0</v>
      </c>
      <c r="CN1343" s="8">
        <f t="shared" si="959"/>
        <v>0</v>
      </c>
      <c r="CO1343" s="8">
        <f t="shared" si="960"/>
        <v>0</v>
      </c>
      <c r="CP1343" s="8">
        <f t="shared" si="961"/>
        <v>0</v>
      </c>
      <c r="CQ1343" s="8">
        <f t="shared" si="962"/>
        <v>0</v>
      </c>
      <c r="CR1343" s="8">
        <f t="shared" si="963"/>
        <v>0</v>
      </c>
      <c r="CS1343" s="8">
        <f t="shared" si="964"/>
        <v>0</v>
      </c>
      <c r="CT1343" s="8">
        <f t="shared" si="969"/>
        <v>0</v>
      </c>
      <c r="CU1343" s="8">
        <f t="shared" si="970"/>
        <v>0</v>
      </c>
      <c r="CV1343" s="8">
        <f t="shared" si="971"/>
        <v>0</v>
      </c>
    </row>
    <row r="1344" spans="1:100" ht="20.5" thickTop="1" thickBot="1" x14ac:dyDescent="0.5">
      <c r="A1344" s="32"/>
      <c r="B1344" s="10"/>
      <c r="C1344" s="10"/>
      <c r="D1344" s="11"/>
      <c r="E1344" s="10"/>
      <c r="F1344" s="10"/>
      <c r="G1344" s="19"/>
      <c r="H1344" s="19"/>
      <c r="I1344" s="19"/>
      <c r="J1344" s="19"/>
      <c r="K1344" s="10"/>
      <c r="L1344" s="10"/>
      <c r="M1344" s="10"/>
      <c r="N1344" s="10"/>
      <c r="O1344" s="18"/>
      <c r="P1344" s="18"/>
      <c r="Q1344" s="21"/>
      <c r="R1344" s="20"/>
      <c r="S1344" s="16">
        <f t="shared" si="927"/>
        <v>0</v>
      </c>
      <c r="T1344" s="11"/>
      <c r="AS1344" s="31">
        <f t="shared" si="928"/>
        <v>0</v>
      </c>
      <c r="AT1344" s="31">
        <f t="shared" si="929"/>
        <v>0</v>
      </c>
      <c r="AU1344" s="31">
        <f t="shared" si="930"/>
        <v>0</v>
      </c>
      <c r="AV1344" s="31">
        <f t="shared" si="931"/>
        <v>0</v>
      </c>
      <c r="AW1344" s="31">
        <f t="shared" si="932"/>
        <v>0</v>
      </c>
      <c r="AX1344" s="31">
        <f t="shared" si="933"/>
        <v>0</v>
      </c>
      <c r="AY1344" s="31">
        <f t="shared" si="934"/>
        <v>0</v>
      </c>
      <c r="AZ1344" s="31">
        <f t="shared" si="935"/>
        <v>0</v>
      </c>
      <c r="BA1344" s="31">
        <f t="shared" si="936"/>
        <v>0</v>
      </c>
      <c r="BB1344" s="31">
        <f t="shared" si="965"/>
        <v>0</v>
      </c>
      <c r="BM1344" s="8">
        <f t="shared" si="966"/>
        <v>0</v>
      </c>
      <c r="BN1344" s="8">
        <f t="shared" si="937"/>
        <v>0</v>
      </c>
      <c r="BO1344" s="8">
        <f t="shared" si="938"/>
        <v>0</v>
      </c>
      <c r="BQ1344" s="8">
        <f t="shared" si="939"/>
        <v>0</v>
      </c>
      <c r="BR1344" s="63">
        <f t="shared" si="940"/>
        <v>0</v>
      </c>
      <c r="BS1344" s="63">
        <f t="shared" si="967"/>
        <v>0</v>
      </c>
      <c r="BT1344" s="63">
        <f t="shared" si="941"/>
        <v>0</v>
      </c>
      <c r="BU1344" s="63">
        <f t="shared" si="942"/>
        <v>0</v>
      </c>
      <c r="BV1344" s="57">
        <f t="shared" si="943"/>
        <v>0</v>
      </c>
      <c r="BW1344" s="57">
        <f t="shared" si="944"/>
        <v>0</v>
      </c>
      <c r="BX1344" s="57">
        <f t="shared" si="968"/>
        <v>0</v>
      </c>
      <c r="BY1344" s="57">
        <f t="shared" si="972"/>
        <v>0</v>
      </c>
      <c r="BZ1344" s="8">
        <f t="shared" si="945"/>
        <v>0</v>
      </c>
      <c r="CA1344" s="8">
        <f t="shared" si="946"/>
        <v>0</v>
      </c>
      <c r="CB1344" s="8">
        <f t="shared" si="947"/>
        <v>0</v>
      </c>
      <c r="CC1344" s="8">
        <f t="shared" si="948"/>
        <v>0</v>
      </c>
      <c r="CD1344" s="8">
        <f t="shared" si="949"/>
        <v>0</v>
      </c>
      <c r="CE1344" s="8">
        <f t="shared" si="950"/>
        <v>0</v>
      </c>
      <c r="CF1344" s="8">
        <f t="shared" si="951"/>
        <v>0</v>
      </c>
      <c r="CG1344" s="8">
        <f t="shared" si="952"/>
        <v>0</v>
      </c>
      <c r="CH1344" s="8">
        <f t="shared" si="953"/>
        <v>0</v>
      </c>
      <c r="CI1344" s="8">
        <f t="shared" si="954"/>
        <v>0</v>
      </c>
      <c r="CJ1344" s="8">
        <f t="shared" si="955"/>
        <v>0</v>
      </c>
      <c r="CK1344" s="8">
        <f t="shared" si="956"/>
        <v>0</v>
      </c>
      <c r="CL1344" s="8">
        <f t="shared" si="957"/>
        <v>0</v>
      </c>
      <c r="CM1344" s="8">
        <f t="shared" si="958"/>
        <v>0</v>
      </c>
      <c r="CN1344" s="8">
        <f t="shared" si="959"/>
        <v>0</v>
      </c>
      <c r="CO1344" s="8">
        <f t="shared" si="960"/>
        <v>0</v>
      </c>
      <c r="CP1344" s="8">
        <f t="shared" si="961"/>
        <v>0</v>
      </c>
      <c r="CQ1344" s="8">
        <f t="shared" si="962"/>
        <v>0</v>
      </c>
      <c r="CR1344" s="8">
        <f t="shared" si="963"/>
        <v>0</v>
      </c>
      <c r="CS1344" s="8">
        <f t="shared" si="964"/>
        <v>0</v>
      </c>
      <c r="CT1344" s="8">
        <f t="shared" si="969"/>
        <v>0</v>
      </c>
      <c r="CU1344" s="8">
        <f t="shared" si="970"/>
        <v>0</v>
      </c>
      <c r="CV1344" s="8">
        <f t="shared" si="971"/>
        <v>0</v>
      </c>
    </row>
    <row r="1345" spans="1:100" ht="20.5" thickTop="1" thickBot="1" x14ac:dyDescent="0.5">
      <c r="A1345" s="32"/>
      <c r="B1345" s="10"/>
      <c r="C1345" s="10"/>
      <c r="D1345" s="11"/>
      <c r="E1345" s="10"/>
      <c r="F1345" s="10"/>
      <c r="G1345" s="19"/>
      <c r="H1345" s="19"/>
      <c r="I1345" s="19"/>
      <c r="J1345" s="19"/>
      <c r="K1345" s="10"/>
      <c r="L1345" s="10"/>
      <c r="M1345" s="10"/>
      <c r="N1345" s="10"/>
      <c r="O1345" s="18"/>
      <c r="P1345" s="18"/>
      <c r="Q1345" s="21"/>
      <c r="R1345" s="20"/>
      <c r="S1345" s="16">
        <f t="shared" si="927"/>
        <v>0</v>
      </c>
      <c r="T1345" s="11"/>
      <c r="AS1345" s="31">
        <f t="shared" si="928"/>
        <v>0</v>
      </c>
      <c r="AT1345" s="31">
        <f t="shared" si="929"/>
        <v>0</v>
      </c>
      <c r="AU1345" s="31">
        <f t="shared" si="930"/>
        <v>0</v>
      </c>
      <c r="AV1345" s="31">
        <f t="shared" si="931"/>
        <v>0</v>
      </c>
      <c r="AW1345" s="31">
        <f t="shared" si="932"/>
        <v>0</v>
      </c>
      <c r="AX1345" s="31">
        <f t="shared" si="933"/>
        <v>0</v>
      </c>
      <c r="AY1345" s="31">
        <f t="shared" si="934"/>
        <v>0</v>
      </c>
      <c r="AZ1345" s="31">
        <f t="shared" si="935"/>
        <v>0</v>
      </c>
      <c r="BA1345" s="31">
        <f t="shared" si="936"/>
        <v>0</v>
      </c>
      <c r="BB1345" s="31">
        <f t="shared" si="965"/>
        <v>0</v>
      </c>
      <c r="BM1345" s="8">
        <f t="shared" si="966"/>
        <v>0</v>
      </c>
      <c r="BN1345" s="8">
        <f t="shared" si="937"/>
        <v>0</v>
      </c>
      <c r="BO1345" s="8">
        <f t="shared" si="938"/>
        <v>0</v>
      </c>
      <c r="BQ1345" s="8">
        <f t="shared" si="939"/>
        <v>0</v>
      </c>
      <c r="BR1345" s="63">
        <f t="shared" si="940"/>
        <v>0</v>
      </c>
      <c r="BS1345" s="63">
        <f t="shared" si="967"/>
        <v>0</v>
      </c>
      <c r="BT1345" s="63">
        <f t="shared" si="941"/>
        <v>0</v>
      </c>
      <c r="BU1345" s="63">
        <f t="shared" si="942"/>
        <v>0</v>
      </c>
      <c r="BV1345" s="57">
        <f t="shared" si="943"/>
        <v>0</v>
      </c>
      <c r="BW1345" s="57">
        <f t="shared" si="944"/>
        <v>0</v>
      </c>
      <c r="BX1345" s="57">
        <f t="shared" si="968"/>
        <v>0</v>
      </c>
      <c r="BY1345" s="57">
        <f t="shared" si="972"/>
        <v>0</v>
      </c>
      <c r="BZ1345" s="8">
        <f t="shared" si="945"/>
        <v>0</v>
      </c>
      <c r="CA1345" s="8">
        <f t="shared" si="946"/>
        <v>0</v>
      </c>
      <c r="CB1345" s="8">
        <f t="shared" si="947"/>
        <v>0</v>
      </c>
      <c r="CC1345" s="8">
        <f t="shared" si="948"/>
        <v>0</v>
      </c>
      <c r="CD1345" s="8">
        <f t="shared" si="949"/>
        <v>0</v>
      </c>
      <c r="CE1345" s="8">
        <f t="shared" si="950"/>
        <v>0</v>
      </c>
      <c r="CF1345" s="8">
        <f t="shared" si="951"/>
        <v>0</v>
      </c>
      <c r="CG1345" s="8">
        <f t="shared" si="952"/>
        <v>0</v>
      </c>
      <c r="CH1345" s="8">
        <f t="shared" si="953"/>
        <v>0</v>
      </c>
      <c r="CI1345" s="8">
        <f t="shared" si="954"/>
        <v>0</v>
      </c>
      <c r="CJ1345" s="8">
        <f t="shared" si="955"/>
        <v>0</v>
      </c>
      <c r="CK1345" s="8">
        <f t="shared" si="956"/>
        <v>0</v>
      </c>
      <c r="CL1345" s="8">
        <f t="shared" si="957"/>
        <v>0</v>
      </c>
      <c r="CM1345" s="8">
        <f t="shared" si="958"/>
        <v>0</v>
      </c>
      <c r="CN1345" s="8">
        <f t="shared" si="959"/>
        <v>0</v>
      </c>
      <c r="CO1345" s="8">
        <f t="shared" si="960"/>
        <v>0</v>
      </c>
      <c r="CP1345" s="8">
        <f t="shared" si="961"/>
        <v>0</v>
      </c>
      <c r="CQ1345" s="8">
        <f t="shared" si="962"/>
        <v>0</v>
      </c>
      <c r="CR1345" s="8">
        <f t="shared" si="963"/>
        <v>0</v>
      </c>
      <c r="CS1345" s="8">
        <f t="shared" si="964"/>
        <v>0</v>
      </c>
      <c r="CT1345" s="8">
        <f t="shared" si="969"/>
        <v>0</v>
      </c>
      <c r="CU1345" s="8">
        <f t="shared" si="970"/>
        <v>0</v>
      </c>
      <c r="CV1345" s="8">
        <f t="shared" si="971"/>
        <v>0</v>
      </c>
    </row>
    <row r="1346" spans="1:100" ht="20.5" thickTop="1" thickBot="1" x14ac:dyDescent="0.5">
      <c r="A1346" s="32"/>
      <c r="B1346" s="10"/>
      <c r="C1346" s="10"/>
      <c r="D1346" s="11"/>
      <c r="E1346" s="10"/>
      <c r="F1346" s="10"/>
      <c r="G1346" s="19"/>
      <c r="H1346" s="19"/>
      <c r="I1346" s="19"/>
      <c r="J1346" s="19"/>
      <c r="K1346" s="10"/>
      <c r="L1346" s="10"/>
      <c r="M1346" s="10"/>
      <c r="N1346" s="10"/>
      <c r="O1346" s="18"/>
      <c r="P1346" s="18"/>
      <c r="Q1346" s="21"/>
      <c r="R1346" s="20"/>
      <c r="S1346" s="16">
        <f t="shared" si="927"/>
        <v>0</v>
      </c>
      <c r="T1346" s="11"/>
      <c r="AS1346" s="31">
        <f t="shared" si="928"/>
        <v>0</v>
      </c>
      <c r="AT1346" s="31">
        <f t="shared" si="929"/>
        <v>0</v>
      </c>
      <c r="AU1346" s="31">
        <f t="shared" si="930"/>
        <v>0</v>
      </c>
      <c r="AV1346" s="31">
        <f t="shared" si="931"/>
        <v>0</v>
      </c>
      <c r="AW1346" s="31">
        <f t="shared" si="932"/>
        <v>0</v>
      </c>
      <c r="AX1346" s="31">
        <f t="shared" si="933"/>
        <v>0</v>
      </c>
      <c r="AY1346" s="31">
        <f t="shared" si="934"/>
        <v>0</v>
      </c>
      <c r="AZ1346" s="31">
        <f t="shared" si="935"/>
        <v>0</v>
      </c>
      <c r="BA1346" s="31">
        <f t="shared" si="936"/>
        <v>0</v>
      </c>
      <c r="BB1346" s="31">
        <f t="shared" si="965"/>
        <v>0</v>
      </c>
      <c r="BM1346" s="8">
        <f t="shared" si="966"/>
        <v>0</v>
      </c>
      <c r="BN1346" s="8">
        <f t="shared" si="937"/>
        <v>0</v>
      </c>
      <c r="BO1346" s="8">
        <f t="shared" si="938"/>
        <v>0</v>
      </c>
      <c r="BQ1346" s="8">
        <f t="shared" si="939"/>
        <v>0</v>
      </c>
      <c r="BR1346" s="63">
        <f t="shared" si="940"/>
        <v>0</v>
      </c>
      <c r="BS1346" s="63">
        <f t="shared" si="967"/>
        <v>0</v>
      </c>
      <c r="BT1346" s="63">
        <f t="shared" si="941"/>
        <v>0</v>
      </c>
      <c r="BU1346" s="63">
        <f t="shared" si="942"/>
        <v>0</v>
      </c>
      <c r="BV1346" s="57">
        <f t="shared" si="943"/>
        <v>0</v>
      </c>
      <c r="BW1346" s="57">
        <f t="shared" si="944"/>
        <v>0</v>
      </c>
      <c r="BX1346" s="57">
        <f t="shared" si="968"/>
        <v>0</v>
      </c>
      <c r="BY1346" s="57">
        <f t="shared" si="972"/>
        <v>0</v>
      </c>
      <c r="BZ1346" s="8">
        <f t="shared" si="945"/>
        <v>0</v>
      </c>
      <c r="CA1346" s="8">
        <f t="shared" si="946"/>
        <v>0</v>
      </c>
      <c r="CB1346" s="8">
        <f t="shared" si="947"/>
        <v>0</v>
      </c>
      <c r="CC1346" s="8">
        <f t="shared" si="948"/>
        <v>0</v>
      </c>
      <c r="CD1346" s="8">
        <f t="shared" si="949"/>
        <v>0</v>
      </c>
      <c r="CE1346" s="8">
        <f t="shared" si="950"/>
        <v>0</v>
      </c>
      <c r="CF1346" s="8">
        <f t="shared" si="951"/>
        <v>0</v>
      </c>
      <c r="CG1346" s="8">
        <f t="shared" si="952"/>
        <v>0</v>
      </c>
      <c r="CH1346" s="8">
        <f t="shared" si="953"/>
        <v>0</v>
      </c>
      <c r="CI1346" s="8">
        <f t="shared" si="954"/>
        <v>0</v>
      </c>
      <c r="CJ1346" s="8">
        <f t="shared" si="955"/>
        <v>0</v>
      </c>
      <c r="CK1346" s="8">
        <f t="shared" si="956"/>
        <v>0</v>
      </c>
      <c r="CL1346" s="8">
        <f t="shared" si="957"/>
        <v>0</v>
      </c>
      <c r="CM1346" s="8">
        <f t="shared" si="958"/>
        <v>0</v>
      </c>
      <c r="CN1346" s="8">
        <f t="shared" si="959"/>
        <v>0</v>
      </c>
      <c r="CO1346" s="8">
        <f t="shared" si="960"/>
        <v>0</v>
      </c>
      <c r="CP1346" s="8">
        <f t="shared" si="961"/>
        <v>0</v>
      </c>
      <c r="CQ1346" s="8">
        <f t="shared" si="962"/>
        <v>0</v>
      </c>
      <c r="CR1346" s="8">
        <f t="shared" si="963"/>
        <v>0</v>
      </c>
      <c r="CS1346" s="8">
        <f t="shared" si="964"/>
        <v>0</v>
      </c>
      <c r="CT1346" s="8">
        <f t="shared" si="969"/>
        <v>0</v>
      </c>
      <c r="CU1346" s="8">
        <f t="shared" si="970"/>
        <v>0</v>
      </c>
      <c r="CV1346" s="8">
        <f t="shared" si="971"/>
        <v>0</v>
      </c>
    </row>
    <row r="1347" spans="1:100" ht="20.5" thickTop="1" thickBot="1" x14ac:dyDescent="0.5">
      <c r="A1347" s="32"/>
      <c r="B1347" s="10"/>
      <c r="C1347" s="10"/>
      <c r="D1347" s="11"/>
      <c r="E1347" s="10"/>
      <c r="F1347" s="10"/>
      <c r="G1347" s="19"/>
      <c r="H1347" s="19"/>
      <c r="I1347" s="19"/>
      <c r="J1347" s="19"/>
      <c r="K1347" s="10"/>
      <c r="L1347" s="10"/>
      <c r="M1347" s="10"/>
      <c r="N1347" s="10"/>
      <c r="O1347" s="18"/>
      <c r="P1347" s="18"/>
      <c r="Q1347" s="21"/>
      <c r="R1347" s="20"/>
      <c r="S1347" s="16">
        <f t="shared" si="927"/>
        <v>0</v>
      </c>
      <c r="T1347" s="11"/>
      <c r="AS1347" s="31">
        <f t="shared" si="928"/>
        <v>0</v>
      </c>
      <c r="AT1347" s="31">
        <f t="shared" si="929"/>
        <v>0</v>
      </c>
      <c r="AU1347" s="31">
        <f t="shared" si="930"/>
        <v>0</v>
      </c>
      <c r="AV1347" s="31">
        <f t="shared" si="931"/>
        <v>0</v>
      </c>
      <c r="AW1347" s="31">
        <f t="shared" si="932"/>
        <v>0</v>
      </c>
      <c r="AX1347" s="31">
        <f t="shared" si="933"/>
        <v>0</v>
      </c>
      <c r="AY1347" s="31">
        <f t="shared" si="934"/>
        <v>0</v>
      </c>
      <c r="AZ1347" s="31">
        <f t="shared" si="935"/>
        <v>0</v>
      </c>
      <c r="BA1347" s="31">
        <f t="shared" si="936"/>
        <v>0</v>
      </c>
      <c r="BB1347" s="31">
        <f t="shared" si="965"/>
        <v>0</v>
      </c>
      <c r="BM1347" s="8">
        <f t="shared" si="966"/>
        <v>0</v>
      </c>
      <c r="BN1347" s="8">
        <f t="shared" si="937"/>
        <v>0</v>
      </c>
      <c r="BO1347" s="8">
        <f t="shared" si="938"/>
        <v>0</v>
      </c>
      <c r="BQ1347" s="8">
        <f t="shared" si="939"/>
        <v>0</v>
      </c>
      <c r="BR1347" s="63">
        <f t="shared" si="940"/>
        <v>0</v>
      </c>
      <c r="BS1347" s="63">
        <f t="shared" si="967"/>
        <v>0</v>
      </c>
      <c r="BT1347" s="63">
        <f t="shared" si="941"/>
        <v>0</v>
      </c>
      <c r="BU1347" s="63">
        <f t="shared" si="942"/>
        <v>0</v>
      </c>
      <c r="BV1347" s="57">
        <f t="shared" si="943"/>
        <v>0</v>
      </c>
      <c r="BW1347" s="57">
        <f t="shared" si="944"/>
        <v>0</v>
      </c>
      <c r="BX1347" s="57">
        <f t="shared" si="968"/>
        <v>0</v>
      </c>
      <c r="BY1347" s="57">
        <f t="shared" si="972"/>
        <v>0</v>
      </c>
      <c r="BZ1347" s="8">
        <f t="shared" si="945"/>
        <v>0</v>
      </c>
      <c r="CA1347" s="8">
        <f t="shared" si="946"/>
        <v>0</v>
      </c>
      <c r="CB1347" s="8">
        <f t="shared" si="947"/>
        <v>0</v>
      </c>
      <c r="CC1347" s="8">
        <f t="shared" si="948"/>
        <v>0</v>
      </c>
      <c r="CD1347" s="8">
        <f t="shared" si="949"/>
        <v>0</v>
      </c>
      <c r="CE1347" s="8">
        <f t="shared" si="950"/>
        <v>0</v>
      </c>
      <c r="CF1347" s="8">
        <f t="shared" si="951"/>
        <v>0</v>
      </c>
      <c r="CG1347" s="8">
        <f t="shared" si="952"/>
        <v>0</v>
      </c>
      <c r="CH1347" s="8">
        <f t="shared" si="953"/>
        <v>0</v>
      </c>
      <c r="CI1347" s="8">
        <f t="shared" si="954"/>
        <v>0</v>
      </c>
      <c r="CJ1347" s="8">
        <f t="shared" si="955"/>
        <v>0</v>
      </c>
      <c r="CK1347" s="8">
        <f t="shared" si="956"/>
        <v>0</v>
      </c>
      <c r="CL1347" s="8">
        <f t="shared" si="957"/>
        <v>0</v>
      </c>
      <c r="CM1347" s="8">
        <f t="shared" si="958"/>
        <v>0</v>
      </c>
      <c r="CN1347" s="8">
        <f t="shared" si="959"/>
        <v>0</v>
      </c>
      <c r="CO1347" s="8">
        <f t="shared" si="960"/>
        <v>0</v>
      </c>
      <c r="CP1347" s="8">
        <f t="shared" si="961"/>
        <v>0</v>
      </c>
      <c r="CQ1347" s="8">
        <f t="shared" si="962"/>
        <v>0</v>
      </c>
      <c r="CR1347" s="8">
        <f t="shared" si="963"/>
        <v>0</v>
      </c>
      <c r="CS1347" s="8">
        <f t="shared" si="964"/>
        <v>0</v>
      </c>
      <c r="CT1347" s="8">
        <f t="shared" si="969"/>
        <v>0</v>
      </c>
      <c r="CU1347" s="8">
        <f t="shared" si="970"/>
        <v>0</v>
      </c>
      <c r="CV1347" s="8">
        <f t="shared" si="971"/>
        <v>0</v>
      </c>
    </row>
    <row r="1348" spans="1:100" ht="20.5" thickTop="1" thickBot="1" x14ac:dyDescent="0.5">
      <c r="A1348" s="32"/>
      <c r="B1348" s="10"/>
      <c r="C1348" s="10"/>
      <c r="D1348" s="11"/>
      <c r="E1348" s="10"/>
      <c r="F1348" s="10"/>
      <c r="G1348" s="19"/>
      <c r="H1348" s="19"/>
      <c r="I1348" s="19"/>
      <c r="J1348" s="19"/>
      <c r="K1348" s="10"/>
      <c r="L1348" s="10"/>
      <c r="M1348" s="10"/>
      <c r="N1348" s="10"/>
      <c r="O1348" s="18"/>
      <c r="P1348" s="18"/>
      <c r="Q1348" s="21"/>
      <c r="R1348" s="20"/>
      <c r="S1348" s="16">
        <f t="shared" ref="S1348:S1411" si="973">IF(AND(K1348="asphalted",M1348="sub",BV1348&lt;=1,BV1348&gt;0),1+2*0.15,IF(AND(K1348="asphalted",OR(M1348="main",M1348="MOT"),BV1348&lt;=1,BV1348&gt;0),1+2*0.3,IF(AND(K1348="asphalted",M1348="sub",BV1348&gt;1),BV1348+2*0.15,IF(AND(K1348="asphalted",OR(M1348="main",M1348="MOT"),BV1348&gt;1),BV1348+2*0.3,0))))</f>
        <v>0</v>
      </c>
      <c r="T1348" s="11"/>
      <c r="AS1348" s="31">
        <f t="shared" ref="AS1348:AS1411" si="974">IF(F1348=1,0.4,IF(F1348&gt;1,F1348*0.3,0))</f>
        <v>0</v>
      </c>
      <c r="AT1348" s="31">
        <f t="shared" ref="AT1348:AT1411" si="975">IF(AND(G1348&lt;4,G1348&gt;0),0.4,IF(G1348&gt;3,0.4+(G1348-3)*0.1,0))</f>
        <v>0</v>
      </c>
      <c r="AU1348" s="31">
        <f t="shared" ref="AU1348:AU1411" si="976">AT1348-AS1348</f>
        <v>0</v>
      </c>
      <c r="AV1348" s="31">
        <f t="shared" ref="AV1348:AV1411" si="977">IF(AND(OR(OR(E1348="normal",E1348="special"),E1348="special"),F1348=0,G1348&gt;0,G1348&lt;5),"LV"&amp;G1348,IF(AND(OR(OR(E1348="normal",E1348="special"),E1348="special"),F1348=0,G1348&gt;4),"LVCU",IF(AND(OR(OR(E1348="normal",E1348="special"),E1348="special"),F1348&gt;4),"MVCU",IF(AND(OR(OR(E1348="normal",E1348="special"),E1348="special"),F1348&gt;0,F1348&lt;5),"MV"&amp;F1348,IF(AND(E1348="mini-trench",F1348=1),"mini-trench MV",IF(AND(E1348="mini-trench",G1348&lt;3,G1348&lt;&gt;0),"mini-trench LV",0))))))</f>
        <v>0</v>
      </c>
      <c r="AW1348" s="31">
        <f t="shared" ref="AW1348:AW1411" si="978">IF(B1348="joint",F1348,0)+IF(C1348="joint",F1348,0)+IF(OR(B1348="new ss",B1348="ss"),F1348*3)+IF(B1348="pole",F1348*10)+IF(OR(C1348="new ss",C1348="ss"),F1348*3)+IF(C1348="pole",F1348*10)+IF(B1348="grid",F1348*30)+IF(C1348="grid",F1348*30)</f>
        <v>0</v>
      </c>
      <c r="AX1348" s="31">
        <f t="shared" ref="AX1348:AX1411" si="979">IF(J1348&gt;0,IF(OR(B1348="ss",C1348="ss"),J1348*3,0)+IF(OR(B1348="new ss",C1348="new ss"),J1348*3,0)+IF(OR(B1348="DC",C1348="DC"),J1348*1.5,0)+IF(OR(B1348="new DC",C1348="new DC"),J1348*1.5,0)+IF(OR(B1348="MB",C1348="MB"),J1348*2,0)+IF(OR(B1348="pole",C1348="pole"),J1348*10,0),0)</f>
        <v>0</v>
      </c>
      <c r="AY1348" s="31">
        <f t="shared" ref="AY1348:AY1411" si="980">IF(I1348&gt;0,IF(OR(B1348="ss",C1348="ss"),I1348*3,0)+IF(OR(B1348="new ss",C1348="new ss"),I1348*3,0)+IF(OR(B1348="DC",C1348="DC"),I1348*1.5,0)+IF(OR(B1348="new DC",C1348="new DC"),J1348*1.5,0)+IF(OR(B1348="MB",C1348="MB"),I1348*2,0)+IF(OR(B1348="pole",C1348="pole"),I1348*10,0),0)</f>
        <v>0</v>
      </c>
      <c r="AZ1348" s="31">
        <f t="shared" ref="AZ1348:AZ1411" si="981">IF(H1348&gt;0,IF(OR(B1348="ss",C1348="ss"),H1348*3,0)+IF(OR(B1348="new ss",C1348="new ss"),H1348*3,0)+IF(OR(B1348="DC",C1348="DC"),H1348*2,0)+IF(OR(B1348="new DC",C1348="new DC"),H1348*1.5,0)+IF(OR(B1348="MB",C1348="MB"),H1348*2,0)+IF(OR(B1348="pole",C1348="pole"),H1348*10,0)+IF(OR(B1348="pole",C1348="pole"),H1348*10,0),0)</f>
        <v>0</v>
      </c>
      <c r="BA1348" s="31">
        <f t="shared" ref="BA1348:BA1411" si="982">IF(E1348="manual",IF(AU1348&lt;0,D1348*AS1348*0.8,IF(AND(AS1348&gt;0,AU1348&gt;0),D1348*AS1348*0.8+D1348*AU1348*0.65,IF(AND(AS1348=0,AT1348&gt;0),D1348*AT1348*0.65,0))),0)</f>
        <v>0</v>
      </c>
      <c r="BB1348" s="31">
        <f t="shared" si="965"/>
        <v>0</v>
      </c>
      <c r="BM1348" s="8">
        <f t="shared" si="966"/>
        <v>0</v>
      </c>
      <c r="BN1348" s="8">
        <f t="shared" ref="BN1348:BN1411" si="983">IFERROR(IF(AND(K1348="asphalted",E1348="mini-trench",R1348=""),1*D1348,IF(AND(K1348="asphalted",R1348&gt;0,MandRcalc="Complete M&amp;R area"),R1348*D1348,IF(AND(K1348="asphalted",R1348&gt;0,MandRcalc="M&amp;R area - asphalting area"),(R1348-BR1348/D1348)*D1348,0))),0)</f>
        <v>0</v>
      </c>
      <c r="BO1348" s="8">
        <f t="shared" ref="BO1348:BO1411" si="984">IF(BQ1348&lt;MINEXCNA,0,IF(AND(E1348="normal",F1348&lt;5,G1348&lt;12,K1348&lt;&gt;"asphalted",AT1348&gt;AS1348,AS1348&lt;&gt;0),(BQ1348-AT1348)*0.65,IF(AND(E1348="normal",F1348&lt;5,G1348&lt;12,K1348&lt;&gt;"asphalted",AS1348&gt;=AT1348),(BQ1348-AS1348)*0.8,IF(AND(E1348="normal",F1348&lt;5,G1348&lt;12,K1348&lt;&gt;"asphalted",AT1348&gt;0,AS1348=0),(BQ1348-AT1348)*0.65,0)))*D1348)</f>
        <v>0</v>
      </c>
      <c r="BQ1348" s="8">
        <f t="shared" ref="BQ1348:BQ1411" si="985">IF(E1348="special",O1348,IF(AND(OR(E1348="normal",E1348="manual"),O1348="",K1348="asphalted",BV1348&lt;=MINEXC),MINEXC,IF(AND(OR(E1348="normal",E1348="manual"),O1348&lt;&gt;"",K1348="asphalted"),MIN(O1348,BV1348),IF(AND(OR(E1348="normal",E1348="manual"),O1348="",K1348&lt;&gt;"asphalted",BV1348&lt;=MINEXCNA),MINEXCNA,IF(AND(OR(E1348="normal",E1348="manual"),O1348&lt;&gt;"",K1348&lt;&gt;"asphalted"),MIN(O1348,BV1348),BV1348)))))</f>
        <v>0</v>
      </c>
      <c r="BR1348" s="63">
        <f t="shared" ref="BR1348:BR1411" si="986">IFERROR(IF(AND(E1348&lt;&gt;"mini-trecnh",K1348="asphalted",Q1348&lt;&gt;"",S1348=0),D1348*Q1348,IF(AND(E1348&lt;&gt;"mini-trecnh",K1348="asphalted",Q1348&lt;&gt;"",S1348&lt;&gt;0),D1348*MIN(Q1348,S1348),IF(AND(E1348&lt;&gt;"mini-trecnh",K1348="asphalted",Q1348=""),D1348*S1348,0))),0)</f>
        <v>0</v>
      </c>
      <c r="BS1348" s="63">
        <f t="shared" si="967"/>
        <v>0</v>
      </c>
      <c r="BT1348" s="63">
        <f t="shared" ref="BT1348:BT1411" si="987">IF(BQ1348&lt;MINEXC,0,IF(AND(E1348="normal",F1348&lt;5,G1348&lt;12,K1348="asphalted",AT1348&gt;AS1348,AS1348&lt;&gt;0),(BQ1348-AT1348)*0.65,IF(AND(E1348="normal",F1348&lt;5,G1348&lt;12,K1348="asphalted",AS1348&gt;=AT1348),(BQ1348-AS1348)*0.8,IF(AND(E1348="normal",F1348&lt;5,G1348&lt;12,K1348="asphalted",AT1348&gt;0,AS1348=0),(BQ1348-AT1348)*0.65,0)))*D1348)</f>
        <v>0</v>
      </c>
      <c r="BU1348" s="63">
        <f t="shared" ref="BU1348:BU1411" si="988">IF(E1348="",0,IF(OR(BT1348&gt;0,BO1348&gt;0),0,IF(AND(F1348&gt;4,G1348=0),(BQ1348-1.2)*D1348*0.8,IF(AND(G1348&gt;4,F1348=0),(BQ1348-0.4)*D1348*0.65,IF(OR(AND(G1348&gt;4,F1348&gt;0),AND(F1348&gt;4,G1348&gt;0)),(IF(AS1348&gt;1.2,(AS1348-1.2)*D1348*0.8,0)+IF(AT1348&gt;AS1348,(AT1348-AS1348)*D1348*0.65,0)),0)))))</f>
        <v>0</v>
      </c>
      <c r="BV1348" s="57">
        <f t="shared" ref="BV1348:BV1411" si="989">IF(AND(E1348&lt;&gt;"mini-trench",E1348&lt;&gt;"special"),MAX(AS1348:AT1348),0)</f>
        <v>0</v>
      </c>
      <c r="BW1348" s="57">
        <f t="shared" ref="BW1348:BW1411" si="990">IF(AND(E1348&lt;&gt;"mini-trench",E1348&lt;&gt;"special",BV1348&gt;0,BV1348&lt;1,K1348="asphalted"),IF(O1348&lt;&gt;"",MIN(O1348,1),1),IF(AND(E1348&lt;&gt;"mini-trench",E1348&lt;&gt;"special",BV1348&gt;0,BV1348&gt;1,K1348="asphalted"),BV1348,0))</f>
        <v>0</v>
      </c>
      <c r="BX1348" s="57">
        <f t="shared" si="968"/>
        <v>0</v>
      </c>
      <c r="BY1348" s="57">
        <f t="shared" si="972"/>
        <v>0</v>
      </c>
      <c r="BZ1348" s="8">
        <f t="shared" ref="BZ1348:BZ1411" si="991">IF(E1348="special",O1348*P1348*D1348-D1348*IF(AV1348="MV1",0.8*0.4,IF(AV1348="MV2",0.8*0.6,IF(AV1348="MV3",0.8*0.9,IF(OR(AV1348="MV4",AV1348="MVCU"),0.8*1.2,IF(AV1348="LV1-3",0.65*0.4,IF(OR(AV1348="LV4",AV1348="LVCU"),0.65*0.5)))))),0)</f>
        <v>0</v>
      </c>
      <c r="CA1348" s="8">
        <f t="shared" ref="CA1348:CA1411" si="992">IF(AND(E1348&lt;&gt;"special",K1348="Paved interlock"),D1348*BV1348,IF(AND(E1348="special",K1348="Paved interlock"),D1348*O1348,0))</f>
        <v>0</v>
      </c>
      <c r="CB1348" s="8">
        <f t="shared" ref="CB1348:CB1411" si="993">IF(AND(E1348&lt;&gt;"special",K1348="Paved conc.tiles"),D1348*BV1348,IF(AND(E1348="special",K1348="Paved conc.tiles"),D1348*O1348,0))</f>
        <v>0</v>
      </c>
      <c r="CC1348" s="8">
        <f t="shared" ref="CC1348:CC1411" si="994">IF(AND(E1348="special",K1348="asphalted"),D1348*Q1348,0)</f>
        <v>0</v>
      </c>
      <c r="CD1348" s="8">
        <f t="shared" ref="CD1348:CD1411" si="995">IF(OR(K1348="Paved interlock",K1348="Paved conc.tiles"),1,0)</f>
        <v>0</v>
      </c>
      <c r="CE1348" s="8">
        <f t="shared" ref="CE1348:CE1411" si="996">IFERROR(BR1348/D1348,0)</f>
        <v>0</v>
      </c>
      <c r="CF1348" s="8">
        <f t="shared" ref="CF1348:CF1411" si="997">IF(AND(F1348&gt;0,B1348="j transition"),F1348,0)+IF(AND(F1348&gt;0,C1348="j transition"),F1348,0)</f>
        <v>0</v>
      </c>
      <c r="CG1348" s="8">
        <f t="shared" ref="CG1348:CG1411" si="998">IF(AND(F1348&gt;0,OR(B1348="grid",B1348="ss",B1348="pole",B1348="new ss")),F1348,0)+IF(AND(F1348&gt;0,OR(C1348="grid",C1348="ss",C1348="pole",C1348="new ss")),F1348,0)</f>
        <v>0</v>
      </c>
      <c r="CH1348" s="8">
        <f t="shared" ref="CH1348:CH1411" si="999">IF(AND(F1348&gt;0,B1348="joint"),F1348,0)+IF(AND(F1348&gt;0,C1348="joint"),F1348,0)+IF(AND(F1348&gt;0,B1348="j transition"),F1348,0)+IF(AND(F1348&gt;0,C1348="j transition"),F1348,0)</f>
        <v>0</v>
      </c>
      <c r="CI1348" s="8">
        <f t="shared" ref="CI1348:CI1411" si="1000">IF(AND(H1348&gt;0,B1348="joint"),H1348,0)+IF(AND(H1348&gt;0,C1348="joint"),H1348,0)</f>
        <v>0</v>
      </c>
      <c r="CJ1348" s="8">
        <f t="shared" ref="CJ1348:CJ1411" si="1001">IF(AND(I1348&gt;0,B1348="joint"),I1348,0)+IF(AND(I1348&gt;0,C1348="joint"),I1348,0)</f>
        <v>0</v>
      </c>
      <c r="CK1348" s="8">
        <f t="shared" ref="CK1348:CK1411" si="1002">IF(AND(J1348&gt;0,B1348="joint"),J1348,0)+IF(AND(J1348&gt;0,C1348="joint"),J1348,0)</f>
        <v>0</v>
      </c>
      <c r="CL1348" s="8">
        <f t="shared" ref="CL1348:CL1411" si="1003">IF(AND(H1348&gt;0,OR(B1348="ss",B1348="new ss",B1348="DC",B1348="new DC")),H1348,0)+IF(AND(H1348&gt;0,OR(C1348="new ss",C1348="ss",C1348="DC",C1348="new DC")),H1348,0)</f>
        <v>0</v>
      </c>
      <c r="CM1348" s="8">
        <f t="shared" ref="CM1348:CM1411" si="1004">CO1348+CP1348</f>
        <v>0</v>
      </c>
      <c r="CN1348" s="8">
        <f t="shared" ref="CN1348:CN1411" si="1005">IF(OR(B1348="new DC",C1348="new DC"),H1348,0)</f>
        <v>0</v>
      </c>
      <c r="CO1348" s="8">
        <f t="shared" ref="CO1348:CO1411" si="1006">IF(AND(J1348&gt;0,OR(B1348="ss",B1348="new ss",B1348="DC",B1348="new DC")),J1348,0)+IF(AND(J1348&gt;0,OR(C1348="new ss",C1348="ss",C1348="DC",C1348="new DC")),J1348,0)</f>
        <v>0</v>
      </c>
      <c r="CP1348" s="8">
        <f t="shared" ref="CP1348:CP1411" si="1007">IF(AND(I1348&gt;0,OR(B1348="ss",B1348="new ss",B1348="DC",B1348="new DC")),I1348,0)+IF(AND(I1348&gt;0,OR(C1348="new ss",C1348="ss",C1348="DC",C1348="new DC")),I1348,0)</f>
        <v>0</v>
      </c>
      <c r="CQ1348" s="8">
        <f t="shared" ref="CQ1348:CQ1411" si="1008">IF(AND(F1348&gt;0,OR(B1348="ss",B1348="new ss")),F1348,0)+IF(AND(F1348&gt;0,OR(C1348="ss",C1348="new ss")),F1348,0)</f>
        <v>0</v>
      </c>
      <c r="CR1348" s="8">
        <f t="shared" ref="CR1348:CR1411" si="1009">IF(AND(F1348&gt;0,OR(B1348="grid")),F1348,0)+IF(AND(F1348&gt;0,OR(C1348="grid")),F1348,0)</f>
        <v>0</v>
      </c>
      <c r="CS1348" s="8">
        <f t="shared" ref="CS1348:CS1411" si="1010">IF(AND(F1348&gt;0,OR(B1348="pole")),F1348,0)+IF(AND(F1348&gt;0,OR(C1348="pole")),F1348,0)</f>
        <v>0</v>
      </c>
      <c r="CT1348" s="8">
        <f t="shared" si="969"/>
        <v>0</v>
      </c>
      <c r="CU1348" s="8">
        <f t="shared" si="970"/>
        <v>0</v>
      </c>
      <c r="CV1348" s="8">
        <f t="shared" si="971"/>
        <v>0</v>
      </c>
    </row>
    <row r="1349" spans="1:100" ht="20.5" thickTop="1" thickBot="1" x14ac:dyDescent="0.5">
      <c r="A1349" s="32"/>
      <c r="B1349" s="10"/>
      <c r="C1349" s="10"/>
      <c r="D1349" s="11"/>
      <c r="E1349" s="10"/>
      <c r="F1349" s="10"/>
      <c r="G1349" s="19"/>
      <c r="H1349" s="19"/>
      <c r="I1349" s="19"/>
      <c r="J1349" s="19"/>
      <c r="K1349" s="10"/>
      <c r="L1349" s="10"/>
      <c r="M1349" s="10"/>
      <c r="N1349" s="10"/>
      <c r="O1349" s="18"/>
      <c r="P1349" s="18"/>
      <c r="Q1349" s="21"/>
      <c r="R1349" s="20"/>
      <c r="S1349" s="16">
        <f t="shared" si="973"/>
        <v>0</v>
      </c>
      <c r="T1349" s="11"/>
      <c r="AS1349" s="31">
        <f t="shared" si="974"/>
        <v>0</v>
      </c>
      <c r="AT1349" s="31">
        <f t="shared" si="975"/>
        <v>0</v>
      </c>
      <c r="AU1349" s="31">
        <f t="shared" si="976"/>
        <v>0</v>
      </c>
      <c r="AV1349" s="31">
        <f t="shared" si="977"/>
        <v>0</v>
      </c>
      <c r="AW1349" s="31">
        <f t="shared" si="978"/>
        <v>0</v>
      </c>
      <c r="AX1349" s="31">
        <f t="shared" si="979"/>
        <v>0</v>
      </c>
      <c r="AY1349" s="31">
        <f t="shared" si="980"/>
        <v>0</v>
      </c>
      <c r="AZ1349" s="31">
        <f t="shared" si="981"/>
        <v>0</v>
      </c>
      <c r="BA1349" s="31">
        <f t="shared" si="982"/>
        <v>0</v>
      </c>
      <c r="BB1349" s="31">
        <f t="shared" ref="BB1349:BB1412" si="1011">IFERROR(IF(BN1349&gt;0,0,IF(AND(E1349="normal",(BR1349/D1349)&gt;1),BR1349,0)),0)</f>
        <v>0</v>
      </c>
      <c r="BM1349" s="8">
        <f t="shared" ref="BM1349:BM1412" si="1012">IF(AND(E1349&lt;&gt;"special",K1349="Concrete"),D1349*BV1349,IF(AND(E1349="special",K1349="Concrete"),D1349*O1349,0))</f>
        <v>0</v>
      </c>
      <c r="BN1349" s="8">
        <f t="shared" si="983"/>
        <v>0</v>
      </c>
      <c r="BO1349" s="8">
        <f t="shared" si="984"/>
        <v>0</v>
      </c>
      <c r="BQ1349" s="8">
        <f t="shared" si="985"/>
        <v>0</v>
      </c>
      <c r="BR1349" s="63">
        <f t="shared" si="986"/>
        <v>0</v>
      </c>
      <c r="BS1349" s="63">
        <f t="shared" ref="BS1349:BS1412" si="1013">BN1349 + IF(BN1349&gt;0,IF(R1348=0, R1349, 0) + IF(R1350=0, R1349, 0),0)</f>
        <v>0</v>
      </c>
      <c r="BT1349" s="63">
        <f t="shared" si="987"/>
        <v>0</v>
      </c>
      <c r="BU1349" s="63">
        <f t="shared" si="988"/>
        <v>0</v>
      </c>
      <c r="BV1349" s="57">
        <f t="shared" si="989"/>
        <v>0</v>
      </c>
      <c r="BW1349" s="57">
        <f t="shared" si="990"/>
        <v>0</v>
      </c>
      <c r="BX1349" s="57">
        <f t="shared" ref="BX1349:BX1412" si="1014">IF(AND(R1349&gt;0,MandRcalc="Asphalting then M&amp;R"),R1349*D1349,IF(AND(R1349&gt;0,MandRcalc="Milling then Repaving"),(R1349-BR1349)*D1349,0))</f>
        <v>0</v>
      </c>
      <c r="BY1349" s="57">
        <f t="shared" si="972"/>
        <v>0</v>
      </c>
      <c r="BZ1349" s="8">
        <f t="shared" si="991"/>
        <v>0</v>
      </c>
      <c r="CA1349" s="8">
        <f t="shared" si="992"/>
        <v>0</v>
      </c>
      <c r="CB1349" s="8">
        <f t="shared" si="993"/>
        <v>0</v>
      </c>
      <c r="CC1349" s="8">
        <f t="shared" si="994"/>
        <v>0</v>
      </c>
      <c r="CD1349" s="8">
        <f t="shared" si="995"/>
        <v>0</v>
      </c>
      <c r="CE1349" s="8">
        <f t="shared" si="996"/>
        <v>0</v>
      </c>
      <c r="CF1349" s="8">
        <f t="shared" si="997"/>
        <v>0</v>
      </c>
      <c r="CG1349" s="8">
        <f t="shared" si="998"/>
        <v>0</v>
      </c>
      <c r="CH1349" s="8">
        <f t="shared" si="999"/>
        <v>0</v>
      </c>
      <c r="CI1349" s="8">
        <f t="shared" si="1000"/>
        <v>0</v>
      </c>
      <c r="CJ1349" s="8">
        <f t="shared" si="1001"/>
        <v>0</v>
      </c>
      <c r="CK1349" s="8">
        <f t="shared" si="1002"/>
        <v>0</v>
      </c>
      <c r="CL1349" s="8">
        <f t="shared" si="1003"/>
        <v>0</v>
      </c>
      <c r="CM1349" s="8">
        <f t="shared" si="1004"/>
        <v>0</v>
      </c>
      <c r="CN1349" s="8">
        <f t="shared" si="1005"/>
        <v>0</v>
      </c>
      <c r="CO1349" s="8">
        <f t="shared" si="1006"/>
        <v>0</v>
      </c>
      <c r="CP1349" s="8">
        <f t="shared" si="1007"/>
        <v>0</v>
      </c>
      <c r="CQ1349" s="8">
        <f t="shared" si="1008"/>
        <v>0</v>
      </c>
      <c r="CR1349" s="8">
        <f t="shared" si="1009"/>
        <v>0</v>
      </c>
      <c r="CS1349" s="8">
        <f t="shared" si="1010"/>
        <v>0</v>
      </c>
      <c r="CT1349" s="8">
        <f t="shared" si="969"/>
        <v>0</v>
      </c>
      <c r="CU1349" s="8">
        <f t="shared" si="970"/>
        <v>0</v>
      </c>
      <c r="CV1349" s="8">
        <f t="shared" si="971"/>
        <v>0</v>
      </c>
    </row>
    <row r="1350" spans="1:100" ht="20.5" thickTop="1" thickBot="1" x14ac:dyDescent="0.5">
      <c r="A1350" s="32"/>
      <c r="B1350" s="10"/>
      <c r="C1350" s="10"/>
      <c r="D1350" s="11"/>
      <c r="E1350" s="10"/>
      <c r="F1350" s="10"/>
      <c r="G1350" s="19"/>
      <c r="H1350" s="19"/>
      <c r="I1350" s="19"/>
      <c r="J1350" s="19"/>
      <c r="K1350" s="10"/>
      <c r="L1350" s="10"/>
      <c r="M1350" s="10"/>
      <c r="N1350" s="10"/>
      <c r="O1350" s="18"/>
      <c r="P1350" s="18"/>
      <c r="Q1350" s="21"/>
      <c r="R1350" s="20"/>
      <c r="S1350" s="16">
        <f t="shared" si="973"/>
        <v>0</v>
      </c>
      <c r="T1350" s="11"/>
      <c r="AS1350" s="31">
        <f t="shared" si="974"/>
        <v>0</v>
      </c>
      <c r="AT1350" s="31">
        <f t="shared" si="975"/>
        <v>0</v>
      </c>
      <c r="AU1350" s="31">
        <f t="shared" si="976"/>
        <v>0</v>
      </c>
      <c r="AV1350" s="31">
        <f t="shared" si="977"/>
        <v>0</v>
      </c>
      <c r="AW1350" s="31">
        <f t="shared" si="978"/>
        <v>0</v>
      </c>
      <c r="AX1350" s="31">
        <f t="shared" si="979"/>
        <v>0</v>
      </c>
      <c r="AY1350" s="31">
        <f t="shared" si="980"/>
        <v>0</v>
      </c>
      <c r="AZ1350" s="31">
        <f t="shared" si="981"/>
        <v>0</v>
      </c>
      <c r="BA1350" s="31">
        <f t="shared" si="982"/>
        <v>0</v>
      </c>
      <c r="BB1350" s="31">
        <f t="shared" si="1011"/>
        <v>0</v>
      </c>
      <c r="BM1350" s="8">
        <f t="shared" si="1012"/>
        <v>0</v>
      </c>
      <c r="BN1350" s="8">
        <f t="shared" si="983"/>
        <v>0</v>
      </c>
      <c r="BO1350" s="8">
        <f t="shared" si="984"/>
        <v>0</v>
      </c>
      <c r="BQ1350" s="8">
        <f t="shared" si="985"/>
        <v>0</v>
      </c>
      <c r="BR1350" s="63">
        <f t="shared" si="986"/>
        <v>0</v>
      </c>
      <c r="BS1350" s="63">
        <f t="shared" si="1013"/>
        <v>0</v>
      </c>
      <c r="BT1350" s="63">
        <f t="shared" si="987"/>
        <v>0</v>
      </c>
      <c r="BU1350" s="63">
        <f t="shared" si="988"/>
        <v>0</v>
      </c>
      <c r="BV1350" s="57">
        <f t="shared" si="989"/>
        <v>0</v>
      </c>
      <c r="BW1350" s="57">
        <f t="shared" si="990"/>
        <v>0</v>
      </c>
      <c r="BX1350" s="57">
        <f t="shared" si="1014"/>
        <v>0</v>
      </c>
      <c r="BY1350" s="57">
        <f t="shared" si="972"/>
        <v>0</v>
      </c>
      <c r="BZ1350" s="8">
        <f t="shared" si="991"/>
        <v>0</v>
      </c>
      <c r="CA1350" s="8">
        <f t="shared" si="992"/>
        <v>0</v>
      </c>
      <c r="CB1350" s="8">
        <f t="shared" si="993"/>
        <v>0</v>
      </c>
      <c r="CC1350" s="8">
        <f t="shared" si="994"/>
        <v>0</v>
      </c>
      <c r="CD1350" s="8">
        <f t="shared" si="995"/>
        <v>0</v>
      </c>
      <c r="CE1350" s="8">
        <f t="shared" si="996"/>
        <v>0</v>
      </c>
      <c r="CF1350" s="8">
        <f t="shared" si="997"/>
        <v>0</v>
      </c>
      <c r="CG1350" s="8">
        <f t="shared" si="998"/>
        <v>0</v>
      </c>
      <c r="CH1350" s="8">
        <f t="shared" si="999"/>
        <v>0</v>
      </c>
      <c r="CI1350" s="8">
        <f t="shared" si="1000"/>
        <v>0</v>
      </c>
      <c r="CJ1350" s="8">
        <f t="shared" si="1001"/>
        <v>0</v>
      </c>
      <c r="CK1350" s="8">
        <f t="shared" si="1002"/>
        <v>0</v>
      </c>
      <c r="CL1350" s="8">
        <f t="shared" si="1003"/>
        <v>0</v>
      </c>
      <c r="CM1350" s="8">
        <f t="shared" si="1004"/>
        <v>0</v>
      </c>
      <c r="CN1350" s="8">
        <f t="shared" si="1005"/>
        <v>0</v>
      </c>
      <c r="CO1350" s="8">
        <f t="shared" si="1006"/>
        <v>0</v>
      </c>
      <c r="CP1350" s="8">
        <f t="shared" si="1007"/>
        <v>0</v>
      </c>
      <c r="CQ1350" s="8">
        <f t="shared" si="1008"/>
        <v>0</v>
      </c>
      <c r="CR1350" s="8">
        <f t="shared" si="1009"/>
        <v>0</v>
      </c>
      <c r="CS1350" s="8">
        <f t="shared" si="1010"/>
        <v>0</v>
      </c>
      <c r="CT1350" s="8">
        <f t="shared" si="969"/>
        <v>0</v>
      </c>
      <c r="CU1350" s="8">
        <f t="shared" si="970"/>
        <v>0</v>
      </c>
      <c r="CV1350" s="8">
        <f t="shared" si="971"/>
        <v>0</v>
      </c>
    </row>
    <row r="1351" spans="1:100" ht="20.5" thickTop="1" thickBot="1" x14ac:dyDescent="0.5">
      <c r="A1351" s="32"/>
      <c r="B1351" s="10"/>
      <c r="C1351" s="10"/>
      <c r="D1351" s="11"/>
      <c r="E1351" s="10"/>
      <c r="F1351" s="10"/>
      <c r="G1351" s="19"/>
      <c r="H1351" s="19"/>
      <c r="I1351" s="19"/>
      <c r="J1351" s="19"/>
      <c r="K1351" s="10"/>
      <c r="L1351" s="10"/>
      <c r="M1351" s="10"/>
      <c r="N1351" s="10"/>
      <c r="O1351" s="18"/>
      <c r="P1351" s="18"/>
      <c r="Q1351" s="21"/>
      <c r="R1351" s="20"/>
      <c r="S1351" s="16">
        <f t="shared" si="973"/>
        <v>0</v>
      </c>
      <c r="T1351" s="11"/>
      <c r="AS1351" s="31">
        <f t="shared" si="974"/>
        <v>0</v>
      </c>
      <c r="AT1351" s="31">
        <f t="shared" si="975"/>
        <v>0</v>
      </c>
      <c r="AU1351" s="31">
        <f t="shared" si="976"/>
        <v>0</v>
      </c>
      <c r="AV1351" s="31">
        <f t="shared" si="977"/>
        <v>0</v>
      </c>
      <c r="AW1351" s="31">
        <f t="shared" si="978"/>
        <v>0</v>
      </c>
      <c r="AX1351" s="31">
        <f t="shared" si="979"/>
        <v>0</v>
      </c>
      <c r="AY1351" s="31">
        <f t="shared" si="980"/>
        <v>0</v>
      </c>
      <c r="AZ1351" s="31">
        <f t="shared" si="981"/>
        <v>0</v>
      </c>
      <c r="BA1351" s="31">
        <f t="shared" si="982"/>
        <v>0</v>
      </c>
      <c r="BB1351" s="31">
        <f t="shared" si="1011"/>
        <v>0</v>
      </c>
      <c r="BM1351" s="8">
        <f t="shared" si="1012"/>
        <v>0</v>
      </c>
      <c r="BN1351" s="8">
        <f t="shared" si="983"/>
        <v>0</v>
      </c>
      <c r="BO1351" s="8">
        <f t="shared" si="984"/>
        <v>0</v>
      </c>
      <c r="BQ1351" s="8">
        <f t="shared" si="985"/>
        <v>0</v>
      </c>
      <c r="BR1351" s="63">
        <f t="shared" si="986"/>
        <v>0</v>
      </c>
      <c r="BS1351" s="63">
        <f t="shared" si="1013"/>
        <v>0</v>
      </c>
      <c r="BT1351" s="63">
        <f t="shared" si="987"/>
        <v>0</v>
      </c>
      <c r="BU1351" s="63">
        <f t="shared" si="988"/>
        <v>0</v>
      </c>
      <c r="BV1351" s="57">
        <f t="shared" si="989"/>
        <v>0</v>
      </c>
      <c r="BW1351" s="57">
        <f t="shared" si="990"/>
        <v>0</v>
      </c>
      <c r="BX1351" s="57">
        <f t="shared" si="1014"/>
        <v>0</v>
      </c>
      <c r="BY1351" s="57">
        <f t="shared" si="972"/>
        <v>0</v>
      </c>
      <c r="BZ1351" s="8">
        <f t="shared" si="991"/>
        <v>0</v>
      </c>
      <c r="CA1351" s="8">
        <f t="shared" si="992"/>
        <v>0</v>
      </c>
      <c r="CB1351" s="8">
        <f t="shared" si="993"/>
        <v>0</v>
      </c>
      <c r="CC1351" s="8">
        <f t="shared" si="994"/>
        <v>0</v>
      </c>
      <c r="CD1351" s="8">
        <f t="shared" si="995"/>
        <v>0</v>
      </c>
      <c r="CE1351" s="8">
        <f t="shared" si="996"/>
        <v>0</v>
      </c>
      <c r="CF1351" s="8">
        <f t="shared" si="997"/>
        <v>0</v>
      </c>
      <c r="CG1351" s="8">
        <f t="shared" si="998"/>
        <v>0</v>
      </c>
      <c r="CH1351" s="8">
        <f t="shared" si="999"/>
        <v>0</v>
      </c>
      <c r="CI1351" s="8">
        <f t="shared" si="1000"/>
        <v>0</v>
      </c>
      <c r="CJ1351" s="8">
        <f t="shared" si="1001"/>
        <v>0</v>
      </c>
      <c r="CK1351" s="8">
        <f t="shared" si="1002"/>
        <v>0</v>
      </c>
      <c r="CL1351" s="8">
        <f t="shared" si="1003"/>
        <v>0</v>
      </c>
      <c r="CM1351" s="8">
        <f t="shared" si="1004"/>
        <v>0</v>
      </c>
      <c r="CN1351" s="8">
        <f t="shared" si="1005"/>
        <v>0</v>
      </c>
      <c r="CO1351" s="8">
        <f t="shared" si="1006"/>
        <v>0</v>
      </c>
      <c r="CP1351" s="8">
        <f t="shared" si="1007"/>
        <v>0</v>
      </c>
      <c r="CQ1351" s="8">
        <f t="shared" si="1008"/>
        <v>0</v>
      </c>
      <c r="CR1351" s="8">
        <f t="shared" si="1009"/>
        <v>0</v>
      </c>
      <c r="CS1351" s="8">
        <f t="shared" si="1010"/>
        <v>0</v>
      </c>
      <c r="CT1351" s="8">
        <f t="shared" si="969"/>
        <v>0</v>
      </c>
      <c r="CU1351" s="8">
        <f t="shared" si="970"/>
        <v>0</v>
      </c>
      <c r="CV1351" s="8">
        <f t="shared" si="971"/>
        <v>0</v>
      </c>
    </row>
    <row r="1352" spans="1:100" ht="20.5" thickTop="1" thickBot="1" x14ac:dyDescent="0.5">
      <c r="A1352" s="32"/>
      <c r="B1352" s="10"/>
      <c r="C1352" s="10"/>
      <c r="D1352" s="11"/>
      <c r="E1352" s="10"/>
      <c r="F1352" s="10"/>
      <c r="G1352" s="19"/>
      <c r="H1352" s="19"/>
      <c r="I1352" s="19"/>
      <c r="J1352" s="19"/>
      <c r="K1352" s="10"/>
      <c r="L1352" s="10"/>
      <c r="M1352" s="10"/>
      <c r="N1352" s="10"/>
      <c r="O1352" s="18"/>
      <c r="P1352" s="18"/>
      <c r="Q1352" s="21"/>
      <c r="R1352" s="20"/>
      <c r="S1352" s="16">
        <f t="shared" si="973"/>
        <v>0</v>
      </c>
      <c r="T1352" s="11"/>
      <c r="AS1352" s="31">
        <f t="shared" si="974"/>
        <v>0</v>
      </c>
      <c r="AT1352" s="31">
        <f t="shared" si="975"/>
        <v>0</v>
      </c>
      <c r="AU1352" s="31">
        <f t="shared" si="976"/>
        <v>0</v>
      </c>
      <c r="AV1352" s="31">
        <f t="shared" si="977"/>
        <v>0</v>
      </c>
      <c r="AW1352" s="31">
        <f t="shared" si="978"/>
        <v>0</v>
      </c>
      <c r="AX1352" s="31">
        <f t="shared" si="979"/>
        <v>0</v>
      </c>
      <c r="AY1352" s="31">
        <f t="shared" si="980"/>
        <v>0</v>
      </c>
      <c r="AZ1352" s="31">
        <f t="shared" si="981"/>
        <v>0</v>
      </c>
      <c r="BA1352" s="31">
        <f t="shared" si="982"/>
        <v>0</v>
      </c>
      <c r="BB1352" s="31">
        <f t="shared" si="1011"/>
        <v>0</v>
      </c>
      <c r="BM1352" s="8">
        <f t="shared" si="1012"/>
        <v>0</v>
      </c>
      <c r="BN1352" s="8">
        <f t="shared" si="983"/>
        <v>0</v>
      </c>
      <c r="BO1352" s="8">
        <f t="shared" si="984"/>
        <v>0</v>
      </c>
      <c r="BQ1352" s="8">
        <f t="shared" si="985"/>
        <v>0</v>
      </c>
      <c r="BR1352" s="63">
        <f t="shared" si="986"/>
        <v>0</v>
      </c>
      <c r="BS1352" s="63">
        <f t="shared" si="1013"/>
        <v>0</v>
      </c>
      <c r="BT1352" s="63">
        <f t="shared" si="987"/>
        <v>0</v>
      </c>
      <c r="BU1352" s="63">
        <f t="shared" si="988"/>
        <v>0</v>
      </c>
      <c r="BV1352" s="57">
        <f t="shared" si="989"/>
        <v>0</v>
      </c>
      <c r="BW1352" s="57">
        <f t="shared" si="990"/>
        <v>0</v>
      </c>
      <c r="BX1352" s="57">
        <f t="shared" si="1014"/>
        <v>0</v>
      </c>
      <c r="BY1352" s="57">
        <f t="shared" si="972"/>
        <v>0</v>
      </c>
      <c r="BZ1352" s="8">
        <f t="shared" si="991"/>
        <v>0</v>
      </c>
      <c r="CA1352" s="8">
        <f t="shared" si="992"/>
        <v>0</v>
      </c>
      <c r="CB1352" s="8">
        <f t="shared" si="993"/>
        <v>0</v>
      </c>
      <c r="CC1352" s="8">
        <f t="shared" si="994"/>
        <v>0</v>
      </c>
      <c r="CD1352" s="8">
        <f t="shared" si="995"/>
        <v>0</v>
      </c>
      <c r="CE1352" s="8">
        <f t="shared" si="996"/>
        <v>0</v>
      </c>
      <c r="CF1352" s="8">
        <f t="shared" si="997"/>
        <v>0</v>
      </c>
      <c r="CG1352" s="8">
        <f t="shared" si="998"/>
        <v>0</v>
      </c>
      <c r="CH1352" s="8">
        <f t="shared" si="999"/>
        <v>0</v>
      </c>
      <c r="CI1352" s="8">
        <f t="shared" si="1000"/>
        <v>0</v>
      </c>
      <c r="CJ1352" s="8">
        <f t="shared" si="1001"/>
        <v>0</v>
      </c>
      <c r="CK1352" s="8">
        <f t="shared" si="1002"/>
        <v>0</v>
      </c>
      <c r="CL1352" s="8">
        <f t="shared" si="1003"/>
        <v>0</v>
      </c>
      <c r="CM1352" s="8">
        <f t="shared" si="1004"/>
        <v>0</v>
      </c>
      <c r="CN1352" s="8">
        <f t="shared" si="1005"/>
        <v>0</v>
      </c>
      <c r="CO1352" s="8">
        <f t="shared" si="1006"/>
        <v>0</v>
      </c>
      <c r="CP1352" s="8">
        <f t="shared" si="1007"/>
        <v>0</v>
      </c>
      <c r="CQ1352" s="8">
        <f t="shared" si="1008"/>
        <v>0</v>
      </c>
      <c r="CR1352" s="8">
        <f t="shared" si="1009"/>
        <v>0</v>
      </c>
      <c r="CS1352" s="8">
        <f t="shared" si="1010"/>
        <v>0</v>
      </c>
      <c r="CT1352" s="8">
        <f t="shared" si="969"/>
        <v>0</v>
      </c>
      <c r="CU1352" s="8">
        <f t="shared" si="970"/>
        <v>0</v>
      </c>
      <c r="CV1352" s="8">
        <f t="shared" si="971"/>
        <v>0</v>
      </c>
    </row>
    <row r="1353" spans="1:100" ht="20.5" thickTop="1" thickBot="1" x14ac:dyDescent="0.5">
      <c r="A1353" s="32"/>
      <c r="B1353" s="10"/>
      <c r="C1353" s="10"/>
      <c r="D1353" s="11"/>
      <c r="E1353" s="10"/>
      <c r="F1353" s="10"/>
      <c r="G1353" s="19"/>
      <c r="H1353" s="19"/>
      <c r="I1353" s="19"/>
      <c r="J1353" s="19"/>
      <c r="K1353" s="10"/>
      <c r="L1353" s="10"/>
      <c r="M1353" s="10"/>
      <c r="N1353" s="10"/>
      <c r="O1353" s="18"/>
      <c r="P1353" s="18"/>
      <c r="Q1353" s="21"/>
      <c r="R1353" s="20"/>
      <c r="S1353" s="16">
        <f t="shared" si="973"/>
        <v>0</v>
      </c>
      <c r="T1353" s="11"/>
      <c r="AS1353" s="31">
        <f t="shared" si="974"/>
        <v>0</v>
      </c>
      <c r="AT1353" s="31">
        <f t="shared" si="975"/>
        <v>0</v>
      </c>
      <c r="AU1353" s="31">
        <f t="shared" si="976"/>
        <v>0</v>
      </c>
      <c r="AV1353" s="31">
        <f t="shared" si="977"/>
        <v>0</v>
      </c>
      <c r="AW1353" s="31">
        <f t="shared" si="978"/>
        <v>0</v>
      </c>
      <c r="AX1353" s="31">
        <f t="shared" si="979"/>
        <v>0</v>
      </c>
      <c r="AY1353" s="31">
        <f t="shared" si="980"/>
        <v>0</v>
      </c>
      <c r="AZ1353" s="31">
        <f t="shared" si="981"/>
        <v>0</v>
      </c>
      <c r="BA1353" s="31">
        <f t="shared" si="982"/>
        <v>0</v>
      </c>
      <c r="BB1353" s="31">
        <f t="shared" si="1011"/>
        <v>0</v>
      </c>
      <c r="BM1353" s="8">
        <f t="shared" si="1012"/>
        <v>0</v>
      </c>
      <c r="BN1353" s="8">
        <f t="shared" si="983"/>
        <v>0</v>
      </c>
      <c r="BO1353" s="8">
        <f t="shared" si="984"/>
        <v>0</v>
      </c>
      <c r="BQ1353" s="8">
        <f t="shared" si="985"/>
        <v>0</v>
      </c>
      <c r="BR1353" s="63">
        <f t="shared" si="986"/>
        <v>0</v>
      </c>
      <c r="BS1353" s="63">
        <f t="shared" si="1013"/>
        <v>0</v>
      </c>
      <c r="BT1353" s="63">
        <f t="shared" si="987"/>
        <v>0</v>
      </c>
      <c r="BU1353" s="63">
        <f t="shared" si="988"/>
        <v>0</v>
      </c>
      <c r="BV1353" s="57">
        <f t="shared" si="989"/>
        <v>0</v>
      </c>
      <c r="BW1353" s="57">
        <f t="shared" si="990"/>
        <v>0</v>
      </c>
      <c r="BX1353" s="57">
        <f t="shared" si="1014"/>
        <v>0</v>
      </c>
      <c r="BY1353" s="57">
        <f t="shared" si="972"/>
        <v>0</v>
      </c>
      <c r="BZ1353" s="8">
        <f t="shared" si="991"/>
        <v>0</v>
      </c>
      <c r="CA1353" s="8">
        <f t="shared" si="992"/>
        <v>0</v>
      </c>
      <c r="CB1353" s="8">
        <f t="shared" si="993"/>
        <v>0</v>
      </c>
      <c r="CC1353" s="8">
        <f t="shared" si="994"/>
        <v>0</v>
      </c>
      <c r="CD1353" s="8">
        <f t="shared" si="995"/>
        <v>0</v>
      </c>
      <c r="CE1353" s="8">
        <f t="shared" si="996"/>
        <v>0</v>
      </c>
      <c r="CF1353" s="8">
        <f t="shared" si="997"/>
        <v>0</v>
      </c>
      <c r="CG1353" s="8">
        <f t="shared" si="998"/>
        <v>0</v>
      </c>
      <c r="CH1353" s="8">
        <f t="shared" si="999"/>
        <v>0</v>
      </c>
      <c r="CI1353" s="8">
        <f t="shared" si="1000"/>
        <v>0</v>
      </c>
      <c r="CJ1353" s="8">
        <f t="shared" si="1001"/>
        <v>0</v>
      </c>
      <c r="CK1353" s="8">
        <f t="shared" si="1002"/>
        <v>0</v>
      </c>
      <c r="CL1353" s="8">
        <f t="shared" si="1003"/>
        <v>0</v>
      </c>
      <c r="CM1353" s="8">
        <f t="shared" si="1004"/>
        <v>0</v>
      </c>
      <c r="CN1353" s="8">
        <f t="shared" si="1005"/>
        <v>0</v>
      </c>
      <c r="CO1353" s="8">
        <f t="shared" si="1006"/>
        <v>0</v>
      </c>
      <c r="CP1353" s="8">
        <f t="shared" si="1007"/>
        <v>0</v>
      </c>
      <c r="CQ1353" s="8">
        <f t="shared" si="1008"/>
        <v>0</v>
      </c>
      <c r="CR1353" s="8">
        <f t="shared" si="1009"/>
        <v>0</v>
      </c>
      <c r="CS1353" s="8">
        <f t="shared" si="1010"/>
        <v>0</v>
      </c>
      <c r="CT1353" s="8">
        <f t="shared" si="969"/>
        <v>0</v>
      </c>
      <c r="CU1353" s="8">
        <f t="shared" si="970"/>
        <v>0</v>
      </c>
      <c r="CV1353" s="8">
        <f t="shared" si="971"/>
        <v>0</v>
      </c>
    </row>
    <row r="1354" spans="1:100" ht="20.5" thickTop="1" thickBot="1" x14ac:dyDescent="0.5">
      <c r="A1354" s="32"/>
      <c r="B1354" s="10"/>
      <c r="C1354" s="10"/>
      <c r="D1354" s="11"/>
      <c r="E1354" s="10"/>
      <c r="F1354" s="10"/>
      <c r="G1354" s="19"/>
      <c r="H1354" s="19"/>
      <c r="I1354" s="19"/>
      <c r="J1354" s="19"/>
      <c r="K1354" s="10"/>
      <c r="L1354" s="10"/>
      <c r="M1354" s="10"/>
      <c r="N1354" s="10"/>
      <c r="O1354" s="18"/>
      <c r="P1354" s="18"/>
      <c r="Q1354" s="21"/>
      <c r="R1354" s="20"/>
      <c r="S1354" s="16">
        <f t="shared" si="973"/>
        <v>0</v>
      </c>
      <c r="T1354" s="11"/>
      <c r="AS1354" s="31">
        <f t="shared" si="974"/>
        <v>0</v>
      </c>
      <c r="AT1354" s="31">
        <f t="shared" si="975"/>
        <v>0</v>
      </c>
      <c r="AU1354" s="31">
        <f t="shared" si="976"/>
        <v>0</v>
      </c>
      <c r="AV1354" s="31">
        <f t="shared" si="977"/>
        <v>0</v>
      </c>
      <c r="AW1354" s="31">
        <f t="shared" si="978"/>
        <v>0</v>
      </c>
      <c r="AX1354" s="31">
        <f t="shared" si="979"/>
        <v>0</v>
      </c>
      <c r="AY1354" s="31">
        <f t="shared" si="980"/>
        <v>0</v>
      </c>
      <c r="AZ1354" s="31">
        <f t="shared" si="981"/>
        <v>0</v>
      </c>
      <c r="BA1354" s="31">
        <f t="shared" si="982"/>
        <v>0</v>
      </c>
      <c r="BB1354" s="31">
        <f t="shared" si="1011"/>
        <v>0</v>
      </c>
      <c r="BM1354" s="8">
        <f t="shared" si="1012"/>
        <v>0</v>
      </c>
      <c r="BN1354" s="8">
        <f t="shared" si="983"/>
        <v>0</v>
      </c>
      <c r="BO1354" s="8">
        <f t="shared" si="984"/>
        <v>0</v>
      </c>
      <c r="BQ1354" s="8">
        <f t="shared" si="985"/>
        <v>0</v>
      </c>
      <c r="BR1354" s="63">
        <f t="shared" si="986"/>
        <v>0</v>
      </c>
      <c r="BS1354" s="63">
        <f t="shared" si="1013"/>
        <v>0</v>
      </c>
      <c r="BT1354" s="63">
        <f t="shared" si="987"/>
        <v>0</v>
      </c>
      <c r="BU1354" s="63">
        <f t="shared" si="988"/>
        <v>0</v>
      </c>
      <c r="BV1354" s="57">
        <f t="shared" si="989"/>
        <v>0</v>
      </c>
      <c r="BW1354" s="57">
        <f t="shared" si="990"/>
        <v>0</v>
      </c>
      <c r="BX1354" s="57">
        <f t="shared" si="1014"/>
        <v>0</v>
      </c>
      <c r="BY1354" s="57">
        <f t="shared" si="972"/>
        <v>0</v>
      </c>
      <c r="BZ1354" s="8">
        <f t="shared" si="991"/>
        <v>0</v>
      </c>
      <c r="CA1354" s="8">
        <f t="shared" si="992"/>
        <v>0</v>
      </c>
      <c r="CB1354" s="8">
        <f t="shared" si="993"/>
        <v>0</v>
      </c>
      <c r="CC1354" s="8">
        <f t="shared" si="994"/>
        <v>0</v>
      </c>
      <c r="CD1354" s="8">
        <f t="shared" si="995"/>
        <v>0</v>
      </c>
      <c r="CE1354" s="8">
        <f t="shared" si="996"/>
        <v>0</v>
      </c>
      <c r="CF1354" s="8">
        <f t="shared" si="997"/>
        <v>0</v>
      </c>
      <c r="CG1354" s="8">
        <f t="shared" si="998"/>
        <v>0</v>
      </c>
      <c r="CH1354" s="8">
        <f t="shared" si="999"/>
        <v>0</v>
      </c>
      <c r="CI1354" s="8">
        <f t="shared" si="1000"/>
        <v>0</v>
      </c>
      <c r="CJ1354" s="8">
        <f t="shared" si="1001"/>
        <v>0</v>
      </c>
      <c r="CK1354" s="8">
        <f t="shared" si="1002"/>
        <v>0</v>
      </c>
      <c r="CL1354" s="8">
        <f t="shared" si="1003"/>
        <v>0</v>
      </c>
      <c r="CM1354" s="8">
        <f t="shared" si="1004"/>
        <v>0</v>
      </c>
      <c r="CN1354" s="8">
        <f t="shared" si="1005"/>
        <v>0</v>
      </c>
      <c r="CO1354" s="8">
        <f t="shared" si="1006"/>
        <v>0</v>
      </c>
      <c r="CP1354" s="8">
        <f t="shared" si="1007"/>
        <v>0</v>
      </c>
      <c r="CQ1354" s="8">
        <f t="shared" si="1008"/>
        <v>0</v>
      </c>
      <c r="CR1354" s="8">
        <f t="shared" si="1009"/>
        <v>0</v>
      </c>
      <c r="CS1354" s="8">
        <f t="shared" si="1010"/>
        <v>0</v>
      </c>
      <c r="CT1354" s="8">
        <f t="shared" si="969"/>
        <v>0</v>
      </c>
      <c r="CU1354" s="8">
        <f t="shared" si="970"/>
        <v>0</v>
      </c>
      <c r="CV1354" s="8">
        <f t="shared" si="971"/>
        <v>0</v>
      </c>
    </row>
    <row r="1355" spans="1:100" ht="20.5" thickTop="1" thickBot="1" x14ac:dyDescent="0.5">
      <c r="A1355" s="32"/>
      <c r="B1355" s="10"/>
      <c r="C1355" s="10"/>
      <c r="D1355" s="11"/>
      <c r="E1355" s="10"/>
      <c r="F1355" s="10"/>
      <c r="G1355" s="19"/>
      <c r="H1355" s="19"/>
      <c r="I1355" s="19"/>
      <c r="J1355" s="19"/>
      <c r="K1355" s="10"/>
      <c r="L1355" s="10"/>
      <c r="M1355" s="10"/>
      <c r="N1355" s="10"/>
      <c r="O1355" s="18"/>
      <c r="P1355" s="18"/>
      <c r="Q1355" s="21"/>
      <c r="R1355" s="20"/>
      <c r="S1355" s="16">
        <f t="shared" si="973"/>
        <v>0</v>
      </c>
      <c r="T1355" s="11"/>
      <c r="AS1355" s="31">
        <f t="shared" si="974"/>
        <v>0</v>
      </c>
      <c r="AT1355" s="31">
        <f t="shared" si="975"/>
        <v>0</v>
      </c>
      <c r="AU1355" s="31">
        <f t="shared" si="976"/>
        <v>0</v>
      </c>
      <c r="AV1355" s="31">
        <f t="shared" si="977"/>
        <v>0</v>
      </c>
      <c r="AW1355" s="31">
        <f t="shared" si="978"/>
        <v>0</v>
      </c>
      <c r="AX1355" s="31">
        <f t="shared" si="979"/>
        <v>0</v>
      </c>
      <c r="AY1355" s="31">
        <f t="shared" si="980"/>
        <v>0</v>
      </c>
      <c r="AZ1355" s="31">
        <f t="shared" si="981"/>
        <v>0</v>
      </c>
      <c r="BA1355" s="31">
        <f t="shared" si="982"/>
        <v>0</v>
      </c>
      <c r="BB1355" s="31">
        <f t="shared" si="1011"/>
        <v>0</v>
      </c>
      <c r="BM1355" s="8">
        <f t="shared" si="1012"/>
        <v>0</v>
      </c>
      <c r="BN1355" s="8">
        <f t="shared" si="983"/>
        <v>0</v>
      </c>
      <c r="BO1355" s="8">
        <f t="shared" si="984"/>
        <v>0</v>
      </c>
      <c r="BQ1355" s="8">
        <f t="shared" si="985"/>
        <v>0</v>
      </c>
      <c r="BR1355" s="63">
        <f t="shared" si="986"/>
        <v>0</v>
      </c>
      <c r="BS1355" s="63">
        <f t="shared" si="1013"/>
        <v>0</v>
      </c>
      <c r="BT1355" s="63">
        <f t="shared" si="987"/>
        <v>0</v>
      </c>
      <c r="BU1355" s="63">
        <f t="shared" si="988"/>
        <v>0</v>
      </c>
      <c r="BV1355" s="57">
        <f t="shared" si="989"/>
        <v>0</v>
      </c>
      <c r="BW1355" s="57">
        <f t="shared" si="990"/>
        <v>0</v>
      </c>
      <c r="BX1355" s="57">
        <f t="shared" si="1014"/>
        <v>0</v>
      </c>
      <c r="BY1355" s="57">
        <f t="shared" si="972"/>
        <v>0</v>
      </c>
      <c r="BZ1355" s="8">
        <f t="shared" si="991"/>
        <v>0</v>
      </c>
      <c r="CA1355" s="8">
        <f t="shared" si="992"/>
        <v>0</v>
      </c>
      <c r="CB1355" s="8">
        <f t="shared" si="993"/>
        <v>0</v>
      </c>
      <c r="CC1355" s="8">
        <f t="shared" si="994"/>
        <v>0</v>
      </c>
      <c r="CD1355" s="8">
        <f t="shared" si="995"/>
        <v>0</v>
      </c>
      <c r="CE1355" s="8">
        <f t="shared" si="996"/>
        <v>0</v>
      </c>
      <c r="CF1355" s="8">
        <f t="shared" si="997"/>
        <v>0</v>
      </c>
      <c r="CG1355" s="8">
        <f t="shared" si="998"/>
        <v>0</v>
      </c>
      <c r="CH1355" s="8">
        <f t="shared" si="999"/>
        <v>0</v>
      </c>
      <c r="CI1355" s="8">
        <f t="shared" si="1000"/>
        <v>0</v>
      </c>
      <c r="CJ1355" s="8">
        <f t="shared" si="1001"/>
        <v>0</v>
      </c>
      <c r="CK1355" s="8">
        <f t="shared" si="1002"/>
        <v>0</v>
      </c>
      <c r="CL1355" s="8">
        <f t="shared" si="1003"/>
        <v>0</v>
      </c>
      <c r="CM1355" s="8">
        <f t="shared" si="1004"/>
        <v>0</v>
      </c>
      <c r="CN1355" s="8">
        <f t="shared" si="1005"/>
        <v>0</v>
      </c>
      <c r="CO1355" s="8">
        <f t="shared" si="1006"/>
        <v>0</v>
      </c>
      <c r="CP1355" s="8">
        <f t="shared" si="1007"/>
        <v>0</v>
      </c>
      <c r="CQ1355" s="8">
        <f t="shared" si="1008"/>
        <v>0</v>
      </c>
      <c r="CR1355" s="8">
        <f t="shared" si="1009"/>
        <v>0</v>
      </c>
      <c r="CS1355" s="8">
        <f t="shared" si="1010"/>
        <v>0</v>
      </c>
      <c r="CT1355" s="8">
        <f t="shared" si="969"/>
        <v>0</v>
      </c>
      <c r="CU1355" s="8">
        <f t="shared" si="970"/>
        <v>0</v>
      </c>
      <c r="CV1355" s="8">
        <f t="shared" si="971"/>
        <v>0</v>
      </c>
    </row>
    <row r="1356" spans="1:100" ht="20.5" thickTop="1" thickBot="1" x14ac:dyDescent="0.5">
      <c r="A1356" s="32"/>
      <c r="B1356" s="10"/>
      <c r="C1356" s="10"/>
      <c r="D1356" s="11"/>
      <c r="E1356" s="10"/>
      <c r="F1356" s="10"/>
      <c r="G1356" s="19"/>
      <c r="H1356" s="19"/>
      <c r="I1356" s="19"/>
      <c r="J1356" s="19"/>
      <c r="K1356" s="10"/>
      <c r="L1356" s="10"/>
      <c r="M1356" s="10"/>
      <c r="N1356" s="10"/>
      <c r="O1356" s="18"/>
      <c r="P1356" s="18"/>
      <c r="Q1356" s="21"/>
      <c r="R1356" s="20"/>
      <c r="S1356" s="16">
        <f t="shared" si="973"/>
        <v>0</v>
      </c>
      <c r="T1356" s="11"/>
      <c r="AS1356" s="31">
        <f t="shared" si="974"/>
        <v>0</v>
      </c>
      <c r="AT1356" s="31">
        <f t="shared" si="975"/>
        <v>0</v>
      </c>
      <c r="AU1356" s="31">
        <f t="shared" si="976"/>
        <v>0</v>
      </c>
      <c r="AV1356" s="31">
        <f t="shared" si="977"/>
        <v>0</v>
      </c>
      <c r="AW1356" s="31">
        <f t="shared" si="978"/>
        <v>0</v>
      </c>
      <c r="AX1356" s="31">
        <f t="shared" si="979"/>
        <v>0</v>
      </c>
      <c r="AY1356" s="31">
        <f t="shared" si="980"/>
        <v>0</v>
      </c>
      <c r="AZ1356" s="31">
        <f t="shared" si="981"/>
        <v>0</v>
      </c>
      <c r="BA1356" s="31">
        <f t="shared" si="982"/>
        <v>0</v>
      </c>
      <c r="BB1356" s="31">
        <f t="shared" si="1011"/>
        <v>0</v>
      </c>
      <c r="BM1356" s="8">
        <f t="shared" si="1012"/>
        <v>0</v>
      </c>
      <c r="BN1356" s="8">
        <f t="shared" si="983"/>
        <v>0</v>
      </c>
      <c r="BO1356" s="8">
        <f t="shared" si="984"/>
        <v>0</v>
      </c>
      <c r="BQ1356" s="8">
        <f t="shared" si="985"/>
        <v>0</v>
      </c>
      <c r="BR1356" s="63">
        <f t="shared" si="986"/>
        <v>0</v>
      </c>
      <c r="BS1356" s="63">
        <f t="shared" si="1013"/>
        <v>0</v>
      </c>
      <c r="BT1356" s="63">
        <f t="shared" si="987"/>
        <v>0</v>
      </c>
      <c r="BU1356" s="63">
        <f t="shared" si="988"/>
        <v>0</v>
      </c>
      <c r="BV1356" s="57">
        <f t="shared" si="989"/>
        <v>0</v>
      </c>
      <c r="BW1356" s="57">
        <f t="shared" si="990"/>
        <v>0</v>
      </c>
      <c r="BX1356" s="57">
        <f t="shared" si="1014"/>
        <v>0</v>
      </c>
      <c r="BY1356" s="57">
        <f t="shared" si="972"/>
        <v>0</v>
      </c>
      <c r="BZ1356" s="8">
        <f t="shared" si="991"/>
        <v>0</v>
      </c>
      <c r="CA1356" s="8">
        <f t="shared" si="992"/>
        <v>0</v>
      </c>
      <c r="CB1356" s="8">
        <f t="shared" si="993"/>
        <v>0</v>
      </c>
      <c r="CC1356" s="8">
        <f t="shared" si="994"/>
        <v>0</v>
      </c>
      <c r="CD1356" s="8">
        <f t="shared" si="995"/>
        <v>0</v>
      </c>
      <c r="CE1356" s="8">
        <f t="shared" si="996"/>
        <v>0</v>
      </c>
      <c r="CF1356" s="8">
        <f t="shared" si="997"/>
        <v>0</v>
      </c>
      <c r="CG1356" s="8">
        <f t="shared" si="998"/>
        <v>0</v>
      </c>
      <c r="CH1356" s="8">
        <f t="shared" si="999"/>
        <v>0</v>
      </c>
      <c r="CI1356" s="8">
        <f t="shared" si="1000"/>
        <v>0</v>
      </c>
      <c r="CJ1356" s="8">
        <f t="shared" si="1001"/>
        <v>0</v>
      </c>
      <c r="CK1356" s="8">
        <f t="shared" si="1002"/>
        <v>0</v>
      </c>
      <c r="CL1356" s="8">
        <f t="shared" si="1003"/>
        <v>0</v>
      </c>
      <c r="CM1356" s="8">
        <f t="shared" si="1004"/>
        <v>0</v>
      </c>
      <c r="CN1356" s="8">
        <f t="shared" si="1005"/>
        <v>0</v>
      </c>
      <c r="CO1356" s="8">
        <f t="shared" si="1006"/>
        <v>0</v>
      </c>
      <c r="CP1356" s="8">
        <f t="shared" si="1007"/>
        <v>0</v>
      </c>
      <c r="CQ1356" s="8">
        <f t="shared" si="1008"/>
        <v>0</v>
      </c>
      <c r="CR1356" s="8">
        <f t="shared" si="1009"/>
        <v>0</v>
      </c>
      <c r="CS1356" s="8">
        <f t="shared" si="1010"/>
        <v>0</v>
      </c>
      <c r="CT1356" s="8">
        <f t="shared" si="969"/>
        <v>0</v>
      </c>
      <c r="CU1356" s="8">
        <f t="shared" si="970"/>
        <v>0</v>
      </c>
      <c r="CV1356" s="8">
        <f t="shared" si="971"/>
        <v>0</v>
      </c>
    </row>
    <row r="1357" spans="1:100" ht="20.5" thickTop="1" thickBot="1" x14ac:dyDescent="0.5">
      <c r="A1357" s="32"/>
      <c r="B1357" s="10"/>
      <c r="C1357" s="10"/>
      <c r="D1357" s="11"/>
      <c r="E1357" s="10"/>
      <c r="F1357" s="10"/>
      <c r="G1357" s="19"/>
      <c r="H1357" s="19"/>
      <c r="I1357" s="19"/>
      <c r="J1357" s="19"/>
      <c r="K1357" s="10"/>
      <c r="L1357" s="10"/>
      <c r="M1357" s="10"/>
      <c r="N1357" s="10"/>
      <c r="O1357" s="18"/>
      <c r="P1357" s="18"/>
      <c r="Q1357" s="21"/>
      <c r="R1357" s="20"/>
      <c r="S1357" s="16">
        <f t="shared" si="973"/>
        <v>0</v>
      </c>
      <c r="T1357" s="11"/>
      <c r="AS1357" s="31">
        <f t="shared" si="974"/>
        <v>0</v>
      </c>
      <c r="AT1357" s="31">
        <f t="shared" si="975"/>
        <v>0</v>
      </c>
      <c r="AU1357" s="31">
        <f t="shared" si="976"/>
        <v>0</v>
      </c>
      <c r="AV1357" s="31">
        <f t="shared" si="977"/>
        <v>0</v>
      </c>
      <c r="AW1357" s="31">
        <f t="shared" si="978"/>
        <v>0</v>
      </c>
      <c r="AX1357" s="31">
        <f t="shared" si="979"/>
        <v>0</v>
      </c>
      <c r="AY1357" s="31">
        <f t="shared" si="980"/>
        <v>0</v>
      </c>
      <c r="AZ1357" s="31">
        <f t="shared" si="981"/>
        <v>0</v>
      </c>
      <c r="BA1357" s="31">
        <f t="shared" si="982"/>
        <v>0</v>
      </c>
      <c r="BB1357" s="31">
        <f t="shared" si="1011"/>
        <v>0</v>
      </c>
      <c r="BM1357" s="8">
        <f t="shared" si="1012"/>
        <v>0</v>
      </c>
      <c r="BN1357" s="8">
        <f t="shared" si="983"/>
        <v>0</v>
      </c>
      <c r="BO1357" s="8">
        <f t="shared" si="984"/>
        <v>0</v>
      </c>
      <c r="BQ1357" s="8">
        <f t="shared" si="985"/>
        <v>0</v>
      </c>
      <c r="BR1357" s="63">
        <f t="shared" si="986"/>
        <v>0</v>
      </c>
      <c r="BS1357" s="63">
        <f t="shared" si="1013"/>
        <v>0</v>
      </c>
      <c r="BT1357" s="63">
        <f t="shared" si="987"/>
        <v>0</v>
      </c>
      <c r="BU1357" s="63">
        <f t="shared" si="988"/>
        <v>0</v>
      </c>
      <c r="BV1357" s="57">
        <f t="shared" si="989"/>
        <v>0</v>
      </c>
      <c r="BW1357" s="57">
        <f t="shared" si="990"/>
        <v>0</v>
      </c>
      <c r="BX1357" s="57">
        <f t="shared" si="1014"/>
        <v>0</v>
      </c>
      <c r="BY1357" s="57">
        <f t="shared" si="972"/>
        <v>0</v>
      </c>
      <c r="BZ1357" s="8">
        <f t="shared" si="991"/>
        <v>0</v>
      </c>
      <c r="CA1357" s="8">
        <f t="shared" si="992"/>
        <v>0</v>
      </c>
      <c r="CB1357" s="8">
        <f t="shared" si="993"/>
        <v>0</v>
      </c>
      <c r="CC1357" s="8">
        <f t="shared" si="994"/>
        <v>0</v>
      </c>
      <c r="CD1357" s="8">
        <f t="shared" si="995"/>
        <v>0</v>
      </c>
      <c r="CE1357" s="8">
        <f t="shared" si="996"/>
        <v>0</v>
      </c>
      <c r="CF1357" s="8">
        <f t="shared" si="997"/>
        <v>0</v>
      </c>
      <c r="CG1357" s="8">
        <f t="shared" si="998"/>
        <v>0</v>
      </c>
      <c r="CH1357" s="8">
        <f t="shared" si="999"/>
        <v>0</v>
      </c>
      <c r="CI1357" s="8">
        <f t="shared" si="1000"/>
        <v>0</v>
      </c>
      <c r="CJ1357" s="8">
        <f t="shared" si="1001"/>
        <v>0</v>
      </c>
      <c r="CK1357" s="8">
        <f t="shared" si="1002"/>
        <v>0</v>
      </c>
      <c r="CL1357" s="8">
        <f t="shared" si="1003"/>
        <v>0</v>
      </c>
      <c r="CM1357" s="8">
        <f t="shared" si="1004"/>
        <v>0</v>
      </c>
      <c r="CN1357" s="8">
        <f t="shared" si="1005"/>
        <v>0</v>
      </c>
      <c r="CO1357" s="8">
        <f t="shared" si="1006"/>
        <v>0</v>
      </c>
      <c r="CP1357" s="8">
        <f t="shared" si="1007"/>
        <v>0</v>
      </c>
      <c r="CQ1357" s="8">
        <f t="shared" si="1008"/>
        <v>0</v>
      </c>
      <c r="CR1357" s="8">
        <f t="shared" si="1009"/>
        <v>0</v>
      </c>
      <c r="CS1357" s="8">
        <f t="shared" si="1010"/>
        <v>0</v>
      </c>
      <c r="CT1357" s="8">
        <f t="shared" ref="CT1357:CT1420" si="1015">IF(AND(J1357&gt;0,OR(B1357="MB",B1357="new MB")),J1357,0)*4+IF(AND(J1357&gt;0,OR(C1357="MB",C1357="new MB")),J1357,0)*4</f>
        <v>0</v>
      </c>
      <c r="CU1357" s="8">
        <f t="shared" ref="CU1357:CU1420" si="1016">IF(AND(I1357&gt;0,OR(B1357="MB",B1357="new MB")),I1357,0)*4+IF(AND(I1357&gt;0,OR(C1357="MB",C1357="new MB")),I1357,0)*4</f>
        <v>0</v>
      </c>
      <c r="CV1357" s="8">
        <f t="shared" ref="CV1357:CV1420" si="1017">IF(AND(H1357&gt;0,OR(B1357="MB",B1357="new MB")),H1357,0)*4+IF(AND(H1357&gt;0,OR(C1357="MB",C1357="new MB")),H1357,0)*4</f>
        <v>0</v>
      </c>
    </row>
    <row r="1358" spans="1:100" ht="20.5" thickTop="1" thickBot="1" x14ac:dyDescent="0.5">
      <c r="A1358" s="32"/>
      <c r="B1358" s="10"/>
      <c r="C1358" s="10"/>
      <c r="D1358" s="11"/>
      <c r="E1358" s="10"/>
      <c r="F1358" s="10"/>
      <c r="G1358" s="19"/>
      <c r="H1358" s="19"/>
      <c r="I1358" s="19"/>
      <c r="J1358" s="19"/>
      <c r="K1358" s="10"/>
      <c r="L1358" s="10"/>
      <c r="M1358" s="10"/>
      <c r="N1358" s="10"/>
      <c r="O1358" s="18"/>
      <c r="P1358" s="18"/>
      <c r="Q1358" s="21"/>
      <c r="R1358" s="20"/>
      <c r="S1358" s="16">
        <f t="shared" si="973"/>
        <v>0</v>
      </c>
      <c r="T1358" s="11"/>
      <c r="AS1358" s="31">
        <f t="shared" si="974"/>
        <v>0</v>
      </c>
      <c r="AT1358" s="31">
        <f t="shared" si="975"/>
        <v>0</v>
      </c>
      <c r="AU1358" s="31">
        <f t="shared" si="976"/>
        <v>0</v>
      </c>
      <c r="AV1358" s="31">
        <f t="shared" si="977"/>
        <v>0</v>
      </c>
      <c r="AW1358" s="31">
        <f t="shared" si="978"/>
        <v>0</v>
      </c>
      <c r="AX1358" s="31">
        <f t="shared" si="979"/>
        <v>0</v>
      </c>
      <c r="AY1358" s="31">
        <f t="shared" si="980"/>
        <v>0</v>
      </c>
      <c r="AZ1358" s="31">
        <f t="shared" si="981"/>
        <v>0</v>
      </c>
      <c r="BA1358" s="31">
        <f t="shared" si="982"/>
        <v>0</v>
      </c>
      <c r="BB1358" s="31">
        <f t="shared" si="1011"/>
        <v>0</v>
      </c>
      <c r="BM1358" s="8">
        <f t="shared" si="1012"/>
        <v>0</v>
      </c>
      <c r="BN1358" s="8">
        <f t="shared" si="983"/>
        <v>0</v>
      </c>
      <c r="BO1358" s="8">
        <f t="shared" si="984"/>
        <v>0</v>
      </c>
      <c r="BQ1358" s="8">
        <f t="shared" si="985"/>
        <v>0</v>
      </c>
      <c r="BR1358" s="63">
        <f t="shared" si="986"/>
        <v>0</v>
      </c>
      <c r="BS1358" s="63">
        <f t="shared" si="1013"/>
        <v>0</v>
      </c>
      <c r="BT1358" s="63">
        <f t="shared" si="987"/>
        <v>0</v>
      </c>
      <c r="BU1358" s="63">
        <f t="shared" si="988"/>
        <v>0</v>
      </c>
      <c r="BV1358" s="57">
        <f t="shared" si="989"/>
        <v>0</v>
      </c>
      <c r="BW1358" s="57">
        <f t="shared" si="990"/>
        <v>0</v>
      </c>
      <c r="BX1358" s="57">
        <f t="shared" si="1014"/>
        <v>0</v>
      </c>
      <c r="BY1358" s="57">
        <f t="shared" si="972"/>
        <v>0</v>
      </c>
      <c r="BZ1358" s="8">
        <f t="shared" si="991"/>
        <v>0</v>
      </c>
      <c r="CA1358" s="8">
        <f t="shared" si="992"/>
        <v>0</v>
      </c>
      <c r="CB1358" s="8">
        <f t="shared" si="993"/>
        <v>0</v>
      </c>
      <c r="CC1358" s="8">
        <f t="shared" si="994"/>
        <v>0</v>
      </c>
      <c r="CD1358" s="8">
        <f t="shared" si="995"/>
        <v>0</v>
      </c>
      <c r="CE1358" s="8">
        <f t="shared" si="996"/>
        <v>0</v>
      </c>
      <c r="CF1358" s="8">
        <f t="shared" si="997"/>
        <v>0</v>
      </c>
      <c r="CG1358" s="8">
        <f t="shared" si="998"/>
        <v>0</v>
      </c>
      <c r="CH1358" s="8">
        <f t="shared" si="999"/>
        <v>0</v>
      </c>
      <c r="CI1358" s="8">
        <f t="shared" si="1000"/>
        <v>0</v>
      </c>
      <c r="CJ1358" s="8">
        <f t="shared" si="1001"/>
        <v>0</v>
      </c>
      <c r="CK1358" s="8">
        <f t="shared" si="1002"/>
        <v>0</v>
      </c>
      <c r="CL1358" s="8">
        <f t="shared" si="1003"/>
        <v>0</v>
      </c>
      <c r="CM1358" s="8">
        <f t="shared" si="1004"/>
        <v>0</v>
      </c>
      <c r="CN1358" s="8">
        <f t="shared" si="1005"/>
        <v>0</v>
      </c>
      <c r="CO1358" s="8">
        <f t="shared" si="1006"/>
        <v>0</v>
      </c>
      <c r="CP1358" s="8">
        <f t="shared" si="1007"/>
        <v>0</v>
      </c>
      <c r="CQ1358" s="8">
        <f t="shared" si="1008"/>
        <v>0</v>
      </c>
      <c r="CR1358" s="8">
        <f t="shared" si="1009"/>
        <v>0</v>
      </c>
      <c r="CS1358" s="8">
        <f t="shared" si="1010"/>
        <v>0</v>
      </c>
      <c r="CT1358" s="8">
        <f t="shared" si="1015"/>
        <v>0</v>
      </c>
      <c r="CU1358" s="8">
        <f t="shared" si="1016"/>
        <v>0</v>
      </c>
      <c r="CV1358" s="8">
        <f t="shared" si="1017"/>
        <v>0</v>
      </c>
    </row>
    <row r="1359" spans="1:100" ht="20.5" thickTop="1" thickBot="1" x14ac:dyDescent="0.5">
      <c r="A1359" s="32"/>
      <c r="B1359" s="10"/>
      <c r="C1359" s="10"/>
      <c r="D1359" s="11"/>
      <c r="E1359" s="10"/>
      <c r="F1359" s="10"/>
      <c r="G1359" s="19"/>
      <c r="H1359" s="19"/>
      <c r="I1359" s="19"/>
      <c r="J1359" s="19"/>
      <c r="K1359" s="10"/>
      <c r="L1359" s="10"/>
      <c r="M1359" s="10"/>
      <c r="N1359" s="10"/>
      <c r="O1359" s="18"/>
      <c r="P1359" s="18"/>
      <c r="Q1359" s="21"/>
      <c r="R1359" s="20"/>
      <c r="S1359" s="16">
        <f t="shared" si="973"/>
        <v>0</v>
      </c>
      <c r="T1359" s="11"/>
      <c r="AS1359" s="31">
        <f t="shared" si="974"/>
        <v>0</v>
      </c>
      <c r="AT1359" s="31">
        <f t="shared" si="975"/>
        <v>0</v>
      </c>
      <c r="AU1359" s="31">
        <f t="shared" si="976"/>
        <v>0</v>
      </c>
      <c r="AV1359" s="31">
        <f t="shared" si="977"/>
        <v>0</v>
      </c>
      <c r="AW1359" s="31">
        <f t="shared" si="978"/>
        <v>0</v>
      </c>
      <c r="AX1359" s="31">
        <f t="shared" si="979"/>
        <v>0</v>
      </c>
      <c r="AY1359" s="31">
        <f t="shared" si="980"/>
        <v>0</v>
      </c>
      <c r="AZ1359" s="31">
        <f t="shared" si="981"/>
        <v>0</v>
      </c>
      <c r="BA1359" s="31">
        <f t="shared" si="982"/>
        <v>0</v>
      </c>
      <c r="BB1359" s="31">
        <f t="shared" si="1011"/>
        <v>0</v>
      </c>
      <c r="BM1359" s="8">
        <f t="shared" si="1012"/>
        <v>0</v>
      </c>
      <c r="BN1359" s="8">
        <f t="shared" si="983"/>
        <v>0</v>
      </c>
      <c r="BO1359" s="8">
        <f t="shared" si="984"/>
        <v>0</v>
      </c>
      <c r="BQ1359" s="8">
        <f t="shared" si="985"/>
        <v>0</v>
      </c>
      <c r="BR1359" s="63">
        <f t="shared" si="986"/>
        <v>0</v>
      </c>
      <c r="BS1359" s="63">
        <f t="shared" si="1013"/>
        <v>0</v>
      </c>
      <c r="BT1359" s="63">
        <f t="shared" si="987"/>
        <v>0</v>
      </c>
      <c r="BU1359" s="63">
        <f t="shared" si="988"/>
        <v>0</v>
      </c>
      <c r="BV1359" s="57">
        <f t="shared" si="989"/>
        <v>0</v>
      </c>
      <c r="BW1359" s="57">
        <f t="shared" si="990"/>
        <v>0</v>
      </c>
      <c r="BX1359" s="57">
        <f t="shared" si="1014"/>
        <v>0</v>
      </c>
      <c r="BY1359" s="57">
        <f t="shared" si="972"/>
        <v>0</v>
      </c>
      <c r="BZ1359" s="8">
        <f t="shared" si="991"/>
        <v>0</v>
      </c>
      <c r="CA1359" s="8">
        <f t="shared" si="992"/>
        <v>0</v>
      </c>
      <c r="CB1359" s="8">
        <f t="shared" si="993"/>
        <v>0</v>
      </c>
      <c r="CC1359" s="8">
        <f t="shared" si="994"/>
        <v>0</v>
      </c>
      <c r="CD1359" s="8">
        <f t="shared" si="995"/>
        <v>0</v>
      </c>
      <c r="CE1359" s="8">
        <f t="shared" si="996"/>
        <v>0</v>
      </c>
      <c r="CF1359" s="8">
        <f t="shared" si="997"/>
        <v>0</v>
      </c>
      <c r="CG1359" s="8">
        <f t="shared" si="998"/>
        <v>0</v>
      </c>
      <c r="CH1359" s="8">
        <f t="shared" si="999"/>
        <v>0</v>
      </c>
      <c r="CI1359" s="8">
        <f t="shared" si="1000"/>
        <v>0</v>
      </c>
      <c r="CJ1359" s="8">
        <f t="shared" si="1001"/>
        <v>0</v>
      </c>
      <c r="CK1359" s="8">
        <f t="shared" si="1002"/>
        <v>0</v>
      </c>
      <c r="CL1359" s="8">
        <f t="shared" si="1003"/>
        <v>0</v>
      </c>
      <c r="CM1359" s="8">
        <f t="shared" si="1004"/>
        <v>0</v>
      </c>
      <c r="CN1359" s="8">
        <f t="shared" si="1005"/>
        <v>0</v>
      </c>
      <c r="CO1359" s="8">
        <f t="shared" si="1006"/>
        <v>0</v>
      </c>
      <c r="CP1359" s="8">
        <f t="shared" si="1007"/>
        <v>0</v>
      </c>
      <c r="CQ1359" s="8">
        <f t="shared" si="1008"/>
        <v>0</v>
      </c>
      <c r="CR1359" s="8">
        <f t="shared" si="1009"/>
        <v>0</v>
      </c>
      <c r="CS1359" s="8">
        <f t="shared" si="1010"/>
        <v>0</v>
      </c>
      <c r="CT1359" s="8">
        <f t="shared" si="1015"/>
        <v>0</v>
      </c>
      <c r="CU1359" s="8">
        <f t="shared" si="1016"/>
        <v>0</v>
      </c>
      <c r="CV1359" s="8">
        <f t="shared" si="1017"/>
        <v>0</v>
      </c>
    </row>
    <row r="1360" spans="1:100" ht="20.5" thickTop="1" thickBot="1" x14ac:dyDescent="0.5">
      <c r="A1360" s="32"/>
      <c r="B1360" s="10"/>
      <c r="C1360" s="10"/>
      <c r="D1360" s="11"/>
      <c r="E1360" s="10"/>
      <c r="F1360" s="10"/>
      <c r="G1360" s="19"/>
      <c r="H1360" s="19"/>
      <c r="I1360" s="19"/>
      <c r="J1360" s="19"/>
      <c r="K1360" s="10"/>
      <c r="L1360" s="10"/>
      <c r="M1360" s="10"/>
      <c r="N1360" s="10"/>
      <c r="O1360" s="18"/>
      <c r="P1360" s="18"/>
      <c r="Q1360" s="21"/>
      <c r="R1360" s="20"/>
      <c r="S1360" s="16">
        <f t="shared" si="973"/>
        <v>0</v>
      </c>
      <c r="T1360" s="11"/>
      <c r="AS1360" s="31">
        <f t="shared" si="974"/>
        <v>0</v>
      </c>
      <c r="AT1360" s="31">
        <f t="shared" si="975"/>
        <v>0</v>
      </c>
      <c r="AU1360" s="31">
        <f t="shared" si="976"/>
        <v>0</v>
      </c>
      <c r="AV1360" s="31">
        <f t="shared" si="977"/>
        <v>0</v>
      </c>
      <c r="AW1360" s="31">
        <f t="shared" si="978"/>
        <v>0</v>
      </c>
      <c r="AX1360" s="31">
        <f t="shared" si="979"/>
        <v>0</v>
      </c>
      <c r="AY1360" s="31">
        <f t="shared" si="980"/>
        <v>0</v>
      </c>
      <c r="AZ1360" s="31">
        <f t="shared" si="981"/>
        <v>0</v>
      </c>
      <c r="BA1360" s="31">
        <f t="shared" si="982"/>
        <v>0</v>
      </c>
      <c r="BB1360" s="31">
        <f t="shared" si="1011"/>
        <v>0</v>
      </c>
      <c r="BM1360" s="8">
        <f t="shared" si="1012"/>
        <v>0</v>
      </c>
      <c r="BN1360" s="8">
        <f t="shared" si="983"/>
        <v>0</v>
      </c>
      <c r="BO1360" s="8">
        <f t="shared" si="984"/>
        <v>0</v>
      </c>
      <c r="BQ1360" s="8">
        <f t="shared" si="985"/>
        <v>0</v>
      </c>
      <c r="BR1360" s="63">
        <f t="shared" si="986"/>
        <v>0</v>
      </c>
      <c r="BS1360" s="63">
        <f t="shared" si="1013"/>
        <v>0</v>
      </c>
      <c r="BT1360" s="63">
        <f t="shared" si="987"/>
        <v>0</v>
      </c>
      <c r="BU1360" s="63">
        <f t="shared" si="988"/>
        <v>0</v>
      </c>
      <c r="BV1360" s="57">
        <f t="shared" si="989"/>
        <v>0</v>
      </c>
      <c r="BW1360" s="57">
        <f t="shared" si="990"/>
        <v>0</v>
      </c>
      <c r="BX1360" s="57">
        <f t="shared" si="1014"/>
        <v>0</v>
      </c>
      <c r="BY1360" s="57">
        <f t="shared" si="972"/>
        <v>0</v>
      </c>
      <c r="BZ1360" s="8">
        <f t="shared" si="991"/>
        <v>0</v>
      </c>
      <c r="CA1360" s="8">
        <f t="shared" si="992"/>
        <v>0</v>
      </c>
      <c r="CB1360" s="8">
        <f t="shared" si="993"/>
        <v>0</v>
      </c>
      <c r="CC1360" s="8">
        <f t="shared" si="994"/>
        <v>0</v>
      </c>
      <c r="CD1360" s="8">
        <f t="shared" si="995"/>
        <v>0</v>
      </c>
      <c r="CE1360" s="8">
        <f t="shared" si="996"/>
        <v>0</v>
      </c>
      <c r="CF1360" s="8">
        <f t="shared" si="997"/>
        <v>0</v>
      </c>
      <c r="CG1360" s="8">
        <f t="shared" si="998"/>
        <v>0</v>
      </c>
      <c r="CH1360" s="8">
        <f t="shared" si="999"/>
        <v>0</v>
      </c>
      <c r="CI1360" s="8">
        <f t="shared" si="1000"/>
        <v>0</v>
      </c>
      <c r="CJ1360" s="8">
        <f t="shared" si="1001"/>
        <v>0</v>
      </c>
      <c r="CK1360" s="8">
        <f t="shared" si="1002"/>
        <v>0</v>
      </c>
      <c r="CL1360" s="8">
        <f t="shared" si="1003"/>
        <v>0</v>
      </c>
      <c r="CM1360" s="8">
        <f t="shared" si="1004"/>
        <v>0</v>
      </c>
      <c r="CN1360" s="8">
        <f t="shared" si="1005"/>
        <v>0</v>
      </c>
      <c r="CO1360" s="8">
        <f t="shared" si="1006"/>
        <v>0</v>
      </c>
      <c r="CP1360" s="8">
        <f t="shared" si="1007"/>
        <v>0</v>
      </c>
      <c r="CQ1360" s="8">
        <f t="shared" si="1008"/>
        <v>0</v>
      </c>
      <c r="CR1360" s="8">
        <f t="shared" si="1009"/>
        <v>0</v>
      </c>
      <c r="CS1360" s="8">
        <f t="shared" si="1010"/>
        <v>0</v>
      </c>
      <c r="CT1360" s="8">
        <f t="shared" si="1015"/>
        <v>0</v>
      </c>
      <c r="CU1360" s="8">
        <f t="shared" si="1016"/>
        <v>0</v>
      </c>
      <c r="CV1360" s="8">
        <f t="shared" si="1017"/>
        <v>0</v>
      </c>
    </row>
    <row r="1361" spans="1:100" ht="20.5" thickTop="1" thickBot="1" x14ac:dyDescent="0.5">
      <c r="A1361" s="32"/>
      <c r="B1361" s="10"/>
      <c r="C1361" s="10"/>
      <c r="D1361" s="11"/>
      <c r="E1361" s="10"/>
      <c r="F1361" s="10"/>
      <c r="G1361" s="19"/>
      <c r="H1361" s="19"/>
      <c r="I1361" s="19"/>
      <c r="J1361" s="19"/>
      <c r="K1361" s="10"/>
      <c r="L1361" s="10"/>
      <c r="M1361" s="10"/>
      <c r="N1361" s="10"/>
      <c r="O1361" s="18"/>
      <c r="P1361" s="18"/>
      <c r="Q1361" s="21"/>
      <c r="R1361" s="20"/>
      <c r="S1361" s="16">
        <f t="shared" si="973"/>
        <v>0</v>
      </c>
      <c r="T1361" s="11"/>
      <c r="AS1361" s="31">
        <f t="shared" si="974"/>
        <v>0</v>
      </c>
      <c r="AT1361" s="31">
        <f t="shared" si="975"/>
        <v>0</v>
      </c>
      <c r="AU1361" s="31">
        <f t="shared" si="976"/>
        <v>0</v>
      </c>
      <c r="AV1361" s="31">
        <f t="shared" si="977"/>
        <v>0</v>
      </c>
      <c r="AW1361" s="31">
        <f t="shared" si="978"/>
        <v>0</v>
      </c>
      <c r="AX1361" s="31">
        <f t="shared" si="979"/>
        <v>0</v>
      </c>
      <c r="AY1361" s="31">
        <f t="shared" si="980"/>
        <v>0</v>
      </c>
      <c r="AZ1361" s="31">
        <f t="shared" si="981"/>
        <v>0</v>
      </c>
      <c r="BA1361" s="31">
        <f t="shared" si="982"/>
        <v>0</v>
      </c>
      <c r="BB1361" s="31">
        <f t="shared" si="1011"/>
        <v>0</v>
      </c>
      <c r="BM1361" s="8">
        <f t="shared" si="1012"/>
        <v>0</v>
      </c>
      <c r="BN1361" s="8">
        <f t="shared" si="983"/>
        <v>0</v>
      </c>
      <c r="BO1361" s="8">
        <f t="shared" si="984"/>
        <v>0</v>
      </c>
      <c r="BQ1361" s="8">
        <f t="shared" si="985"/>
        <v>0</v>
      </c>
      <c r="BR1361" s="63">
        <f t="shared" si="986"/>
        <v>0</v>
      </c>
      <c r="BS1361" s="63">
        <f t="shared" si="1013"/>
        <v>0</v>
      </c>
      <c r="BT1361" s="63">
        <f t="shared" si="987"/>
        <v>0</v>
      </c>
      <c r="BU1361" s="63">
        <f t="shared" si="988"/>
        <v>0</v>
      </c>
      <c r="BV1361" s="57">
        <f t="shared" si="989"/>
        <v>0</v>
      </c>
      <c r="BW1361" s="57">
        <f t="shared" si="990"/>
        <v>0</v>
      </c>
      <c r="BX1361" s="57">
        <f t="shared" si="1014"/>
        <v>0</v>
      </c>
      <c r="BY1361" s="57">
        <f t="shared" si="972"/>
        <v>0</v>
      </c>
      <c r="BZ1361" s="8">
        <f t="shared" si="991"/>
        <v>0</v>
      </c>
      <c r="CA1361" s="8">
        <f t="shared" si="992"/>
        <v>0</v>
      </c>
      <c r="CB1361" s="8">
        <f t="shared" si="993"/>
        <v>0</v>
      </c>
      <c r="CC1361" s="8">
        <f t="shared" si="994"/>
        <v>0</v>
      </c>
      <c r="CD1361" s="8">
        <f t="shared" si="995"/>
        <v>0</v>
      </c>
      <c r="CE1361" s="8">
        <f t="shared" si="996"/>
        <v>0</v>
      </c>
      <c r="CF1361" s="8">
        <f t="shared" si="997"/>
        <v>0</v>
      </c>
      <c r="CG1361" s="8">
        <f t="shared" si="998"/>
        <v>0</v>
      </c>
      <c r="CH1361" s="8">
        <f t="shared" si="999"/>
        <v>0</v>
      </c>
      <c r="CI1361" s="8">
        <f t="shared" si="1000"/>
        <v>0</v>
      </c>
      <c r="CJ1361" s="8">
        <f t="shared" si="1001"/>
        <v>0</v>
      </c>
      <c r="CK1361" s="8">
        <f t="shared" si="1002"/>
        <v>0</v>
      </c>
      <c r="CL1361" s="8">
        <f t="shared" si="1003"/>
        <v>0</v>
      </c>
      <c r="CM1361" s="8">
        <f t="shared" si="1004"/>
        <v>0</v>
      </c>
      <c r="CN1361" s="8">
        <f t="shared" si="1005"/>
        <v>0</v>
      </c>
      <c r="CO1361" s="8">
        <f t="shared" si="1006"/>
        <v>0</v>
      </c>
      <c r="CP1361" s="8">
        <f t="shared" si="1007"/>
        <v>0</v>
      </c>
      <c r="CQ1361" s="8">
        <f t="shared" si="1008"/>
        <v>0</v>
      </c>
      <c r="CR1361" s="8">
        <f t="shared" si="1009"/>
        <v>0</v>
      </c>
      <c r="CS1361" s="8">
        <f t="shared" si="1010"/>
        <v>0</v>
      </c>
      <c r="CT1361" s="8">
        <f t="shared" si="1015"/>
        <v>0</v>
      </c>
      <c r="CU1361" s="8">
        <f t="shared" si="1016"/>
        <v>0</v>
      </c>
      <c r="CV1361" s="8">
        <f t="shared" si="1017"/>
        <v>0</v>
      </c>
    </row>
    <row r="1362" spans="1:100" ht="20.5" thickTop="1" thickBot="1" x14ac:dyDescent="0.5">
      <c r="A1362" s="32"/>
      <c r="B1362" s="10"/>
      <c r="C1362" s="10"/>
      <c r="D1362" s="11"/>
      <c r="E1362" s="10"/>
      <c r="F1362" s="10"/>
      <c r="G1362" s="19"/>
      <c r="H1362" s="19"/>
      <c r="I1362" s="19"/>
      <c r="J1362" s="19"/>
      <c r="K1362" s="10"/>
      <c r="L1362" s="10"/>
      <c r="M1362" s="10"/>
      <c r="N1362" s="10"/>
      <c r="O1362" s="18"/>
      <c r="P1362" s="18"/>
      <c r="Q1362" s="21"/>
      <c r="R1362" s="20"/>
      <c r="S1362" s="16">
        <f t="shared" si="973"/>
        <v>0</v>
      </c>
      <c r="T1362" s="11"/>
      <c r="AS1362" s="31">
        <f t="shared" si="974"/>
        <v>0</v>
      </c>
      <c r="AT1362" s="31">
        <f t="shared" si="975"/>
        <v>0</v>
      </c>
      <c r="AU1362" s="31">
        <f t="shared" si="976"/>
        <v>0</v>
      </c>
      <c r="AV1362" s="31">
        <f t="shared" si="977"/>
        <v>0</v>
      </c>
      <c r="AW1362" s="31">
        <f t="shared" si="978"/>
        <v>0</v>
      </c>
      <c r="AX1362" s="31">
        <f t="shared" si="979"/>
        <v>0</v>
      </c>
      <c r="AY1362" s="31">
        <f t="shared" si="980"/>
        <v>0</v>
      </c>
      <c r="AZ1362" s="31">
        <f t="shared" si="981"/>
        <v>0</v>
      </c>
      <c r="BA1362" s="31">
        <f t="shared" si="982"/>
        <v>0</v>
      </c>
      <c r="BB1362" s="31">
        <f t="shared" si="1011"/>
        <v>0</v>
      </c>
      <c r="BM1362" s="8">
        <f t="shared" si="1012"/>
        <v>0</v>
      </c>
      <c r="BN1362" s="8">
        <f t="shared" si="983"/>
        <v>0</v>
      </c>
      <c r="BO1362" s="8">
        <f t="shared" si="984"/>
        <v>0</v>
      </c>
      <c r="BQ1362" s="8">
        <f t="shared" si="985"/>
        <v>0</v>
      </c>
      <c r="BR1362" s="63">
        <f t="shared" si="986"/>
        <v>0</v>
      </c>
      <c r="BS1362" s="63">
        <f t="shared" si="1013"/>
        <v>0</v>
      </c>
      <c r="BT1362" s="63">
        <f t="shared" si="987"/>
        <v>0</v>
      </c>
      <c r="BU1362" s="63">
        <f t="shared" si="988"/>
        <v>0</v>
      </c>
      <c r="BV1362" s="57">
        <f t="shared" si="989"/>
        <v>0</v>
      </c>
      <c r="BW1362" s="57">
        <f t="shared" si="990"/>
        <v>0</v>
      </c>
      <c r="BX1362" s="57">
        <f t="shared" si="1014"/>
        <v>0</v>
      </c>
      <c r="BY1362" s="57">
        <f t="shared" si="972"/>
        <v>0</v>
      </c>
      <c r="BZ1362" s="8">
        <f t="shared" si="991"/>
        <v>0</v>
      </c>
      <c r="CA1362" s="8">
        <f t="shared" si="992"/>
        <v>0</v>
      </c>
      <c r="CB1362" s="8">
        <f t="shared" si="993"/>
        <v>0</v>
      </c>
      <c r="CC1362" s="8">
        <f t="shared" si="994"/>
        <v>0</v>
      </c>
      <c r="CD1362" s="8">
        <f t="shared" si="995"/>
        <v>0</v>
      </c>
      <c r="CE1362" s="8">
        <f t="shared" si="996"/>
        <v>0</v>
      </c>
      <c r="CF1362" s="8">
        <f t="shared" si="997"/>
        <v>0</v>
      </c>
      <c r="CG1362" s="8">
        <f t="shared" si="998"/>
        <v>0</v>
      </c>
      <c r="CH1362" s="8">
        <f t="shared" si="999"/>
        <v>0</v>
      </c>
      <c r="CI1362" s="8">
        <f t="shared" si="1000"/>
        <v>0</v>
      </c>
      <c r="CJ1362" s="8">
        <f t="shared" si="1001"/>
        <v>0</v>
      </c>
      <c r="CK1362" s="8">
        <f t="shared" si="1002"/>
        <v>0</v>
      </c>
      <c r="CL1362" s="8">
        <f t="shared" si="1003"/>
        <v>0</v>
      </c>
      <c r="CM1362" s="8">
        <f t="shared" si="1004"/>
        <v>0</v>
      </c>
      <c r="CN1362" s="8">
        <f t="shared" si="1005"/>
        <v>0</v>
      </c>
      <c r="CO1362" s="8">
        <f t="shared" si="1006"/>
        <v>0</v>
      </c>
      <c r="CP1362" s="8">
        <f t="shared" si="1007"/>
        <v>0</v>
      </c>
      <c r="CQ1362" s="8">
        <f t="shared" si="1008"/>
        <v>0</v>
      </c>
      <c r="CR1362" s="8">
        <f t="shared" si="1009"/>
        <v>0</v>
      </c>
      <c r="CS1362" s="8">
        <f t="shared" si="1010"/>
        <v>0</v>
      </c>
      <c r="CT1362" s="8">
        <f t="shared" si="1015"/>
        <v>0</v>
      </c>
      <c r="CU1362" s="8">
        <f t="shared" si="1016"/>
        <v>0</v>
      </c>
      <c r="CV1362" s="8">
        <f t="shared" si="1017"/>
        <v>0</v>
      </c>
    </row>
    <row r="1363" spans="1:100" ht="20.5" thickTop="1" thickBot="1" x14ac:dyDescent="0.5">
      <c r="A1363" s="32"/>
      <c r="B1363" s="10"/>
      <c r="C1363" s="10"/>
      <c r="D1363" s="11"/>
      <c r="E1363" s="10"/>
      <c r="F1363" s="10"/>
      <c r="G1363" s="19"/>
      <c r="H1363" s="19"/>
      <c r="I1363" s="19"/>
      <c r="J1363" s="19"/>
      <c r="K1363" s="10"/>
      <c r="L1363" s="10"/>
      <c r="M1363" s="10"/>
      <c r="N1363" s="10"/>
      <c r="O1363" s="18"/>
      <c r="P1363" s="18"/>
      <c r="Q1363" s="21"/>
      <c r="R1363" s="20"/>
      <c r="S1363" s="16">
        <f t="shared" si="973"/>
        <v>0</v>
      </c>
      <c r="T1363" s="11"/>
      <c r="AS1363" s="31">
        <f t="shared" si="974"/>
        <v>0</v>
      </c>
      <c r="AT1363" s="31">
        <f t="shared" si="975"/>
        <v>0</v>
      </c>
      <c r="AU1363" s="31">
        <f t="shared" si="976"/>
        <v>0</v>
      </c>
      <c r="AV1363" s="31">
        <f t="shared" si="977"/>
        <v>0</v>
      </c>
      <c r="AW1363" s="31">
        <f t="shared" si="978"/>
        <v>0</v>
      </c>
      <c r="AX1363" s="31">
        <f t="shared" si="979"/>
        <v>0</v>
      </c>
      <c r="AY1363" s="31">
        <f t="shared" si="980"/>
        <v>0</v>
      </c>
      <c r="AZ1363" s="31">
        <f t="shared" si="981"/>
        <v>0</v>
      </c>
      <c r="BA1363" s="31">
        <f t="shared" si="982"/>
        <v>0</v>
      </c>
      <c r="BB1363" s="31">
        <f t="shared" si="1011"/>
        <v>0</v>
      </c>
      <c r="BM1363" s="8">
        <f t="shared" si="1012"/>
        <v>0</v>
      </c>
      <c r="BN1363" s="8">
        <f t="shared" si="983"/>
        <v>0</v>
      </c>
      <c r="BO1363" s="8">
        <f t="shared" si="984"/>
        <v>0</v>
      </c>
      <c r="BQ1363" s="8">
        <f t="shared" si="985"/>
        <v>0</v>
      </c>
      <c r="BR1363" s="63">
        <f t="shared" si="986"/>
        <v>0</v>
      </c>
      <c r="BS1363" s="63">
        <f t="shared" si="1013"/>
        <v>0</v>
      </c>
      <c r="BT1363" s="63">
        <f t="shared" si="987"/>
        <v>0</v>
      </c>
      <c r="BU1363" s="63">
        <f t="shared" si="988"/>
        <v>0</v>
      </c>
      <c r="BV1363" s="57">
        <f t="shared" si="989"/>
        <v>0</v>
      </c>
      <c r="BW1363" s="57">
        <f t="shared" si="990"/>
        <v>0</v>
      </c>
      <c r="BX1363" s="57">
        <f t="shared" si="1014"/>
        <v>0</v>
      </c>
      <c r="BY1363" s="57">
        <f t="shared" si="972"/>
        <v>0</v>
      </c>
      <c r="BZ1363" s="8">
        <f t="shared" si="991"/>
        <v>0</v>
      </c>
      <c r="CA1363" s="8">
        <f t="shared" si="992"/>
        <v>0</v>
      </c>
      <c r="CB1363" s="8">
        <f t="shared" si="993"/>
        <v>0</v>
      </c>
      <c r="CC1363" s="8">
        <f t="shared" si="994"/>
        <v>0</v>
      </c>
      <c r="CD1363" s="8">
        <f t="shared" si="995"/>
        <v>0</v>
      </c>
      <c r="CE1363" s="8">
        <f t="shared" si="996"/>
        <v>0</v>
      </c>
      <c r="CF1363" s="8">
        <f t="shared" si="997"/>
        <v>0</v>
      </c>
      <c r="CG1363" s="8">
        <f t="shared" si="998"/>
        <v>0</v>
      </c>
      <c r="CH1363" s="8">
        <f t="shared" si="999"/>
        <v>0</v>
      </c>
      <c r="CI1363" s="8">
        <f t="shared" si="1000"/>
        <v>0</v>
      </c>
      <c r="CJ1363" s="8">
        <f t="shared" si="1001"/>
        <v>0</v>
      </c>
      <c r="CK1363" s="8">
        <f t="shared" si="1002"/>
        <v>0</v>
      </c>
      <c r="CL1363" s="8">
        <f t="shared" si="1003"/>
        <v>0</v>
      </c>
      <c r="CM1363" s="8">
        <f t="shared" si="1004"/>
        <v>0</v>
      </c>
      <c r="CN1363" s="8">
        <f t="shared" si="1005"/>
        <v>0</v>
      </c>
      <c r="CO1363" s="8">
        <f t="shared" si="1006"/>
        <v>0</v>
      </c>
      <c r="CP1363" s="8">
        <f t="shared" si="1007"/>
        <v>0</v>
      </c>
      <c r="CQ1363" s="8">
        <f t="shared" si="1008"/>
        <v>0</v>
      </c>
      <c r="CR1363" s="8">
        <f t="shared" si="1009"/>
        <v>0</v>
      </c>
      <c r="CS1363" s="8">
        <f t="shared" si="1010"/>
        <v>0</v>
      </c>
      <c r="CT1363" s="8">
        <f t="shared" si="1015"/>
        <v>0</v>
      </c>
      <c r="CU1363" s="8">
        <f t="shared" si="1016"/>
        <v>0</v>
      </c>
      <c r="CV1363" s="8">
        <f t="shared" si="1017"/>
        <v>0</v>
      </c>
    </row>
    <row r="1364" spans="1:100" ht="20.5" thickTop="1" thickBot="1" x14ac:dyDescent="0.5">
      <c r="A1364" s="32"/>
      <c r="B1364" s="10"/>
      <c r="C1364" s="10"/>
      <c r="D1364" s="11"/>
      <c r="E1364" s="10"/>
      <c r="F1364" s="10"/>
      <c r="G1364" s="19"/>
      <c r="H1364" s="19"/>
      <c r="I1364" s="19"/>
      <c r="J1364" s="19"/>
      <c r="K1364" s="10"/>
      <c r="L1364" s="10"/>
      <c r="M1364" s="10"/>
      <c r="N1364" s="10"/>
      <c r="O1364" s="18"/>
      <c r="P1364" s="18"/>
      <c r="Q1364" s="21"/>
      <c r="R1364" s="20"/>
      <c r="S1364" s="16">
        <f t="shared" si="973"/>
        <v>0</v>
      </c>
      <c r="T1364" s="11"/>
      <c r="AS1364" s="31">
        <f t="shared" si="974"/>
        <v>0</v>
      </c>
      <c r="AT1364" s="31">
        <f t="shared" si="975"/>
        <v>0</v>
      </c>
      <c r="AU1364" s="31">
        <f t="shared" si="976"/>
        <v>0</v>
      </c>
      <c r="AV1364" s="31">
        <f t="shared" si="977"/>
        <v>0</v>
      </c>
      <c r="AW1364" s="31">
        <f t="shared" si="978"/>
        <v>0</v>
      </c>
      <c r="AX1364" s="31">
        <f t="shared" si="979"/>
        <v>0</v>
      </c>
      <c r="AY1364" s="31">
        <f t="shared" si="980"/>
        <v>0</v>
      </c>
      <c r="AZ1364" s="31">
        <f t="shared" si="981"/>
        <v>0</v>
      </c>
      <c r="BA1364" s="31">
        <f t="shared" si="982"/>
        <v>0</v>
      </c>
      <c r="BB1364" s="31">
        <f t="shared" si="1011"/>
        <v>0</v>
      </c>
      <c r="BM1364" s="8">
        <f t="shared" si="1012"/>
        <v>0</v>
      </c>
      <c r="BN1364" s="8">
        <f t="shared" si="983"/>
        <v>0</v>
      </c>
      <c r="BO1364" s="8">
        <f t="shared" si="984"/>
        <v>0</v>
      </c>
      <c r="BQ1364" s="8">
        <f t="shared" si="985"/>
        <v>0</v>
      </c>
      <c r="BR1364" s="63">
        <f t="shared" si="986"/>
        <v>0</v>
      </c>
      <c r="BS1364" s="63">
        <f t="shared" si="1013"/>
        <v>0</v>
      </c>
      <c r="BT1364" s="63">
        <f t="shared" si="987"/>
        <v>0</v>
      </c>
      <c r="BU1364" s="63">
        <f t="shared" si="988"/>
        <v>0</v>
      </c>
      <c r="BV1364" s="57">
        <f t="shared" si="989"/>
        <v>0</v>
      </c>
      <c r="BW1364" s="57">
        <f t="shared" si="990"/>
        <v>0</v>
      </c>
      <c r="BX1364" s="57">
        <f t="shared" si="1014"/>
        <v>0</v>
      </c>
      <c r="BY1364" s="57">
        <f t="shared" si="972"/>
        <v>0</v>
      </c>
      <c r="BZ1364" s="8">
        <f t="shared" si="991"/>
        <v>0</v>
      </c>
      <c r="CA1364" s="8">
        <f t="shared" si="992"/>
        <v>0</v>
      </c>
      <c r="CB1364" s="8">
        <f t="shared" si="993"/>
        <v>0</v>
      </c>
      <c r="CC1364" s="8">
        <f t="shared" si="994"/>
        <v>0</v>
      </c>
      <c r="CD1364" s="8">
        <f t="shared" si="995"/>
        <v>0</v>
      </c>
      <c r="CE1364" s="8">
        <f t="shared" si="996"/>
        <v>0</v>
      </c>
      <c r="CF1364" s="8">
        <f t="shared" si="997"/>
        <v>0</v>
      </c>
      <c r="CG1364" s="8">
        <f t="shared" si="998"/>
        <v>0</v>
      </c>
      <c r="CH1364" s="8">
        <f t="shared" si="999"/>
        <v>0</v>
      </c>
      <c r="CI1364" s="8">
        <f t="shared" si="1000"/>
        <v>0</v>
      </c>
      <c r="CJ1364" s="8">
        <f t="shared" si="1001"/>
        <v>0</v>
      </c>
      <c r="CK1364" s="8">
        <f t="shared" si="1002"/>
        <v>0</v>
      </c>
      <c r="CL1364" s="8">
        <f t="shared" si="1003"/>
        <v>0</v>
      </c>
      <c r="CM1364" s="8">
        <f t="shared" si="1004"/>
        <v>0</v>
      </c>
      <c r="CN1364" s="8">
        <f t="shared" si="1005"/>
        <v>0</v>
      </c>
      <c r="CO1364" s="8">
        <f t="shared" si="1006"/>
        <v>0</v>
      </c>
      <c r="CP1364" s="8">
        <f t="shared" si="1007"/>
        <v>0</v>
      </c>
      <c r="CQ1364" s="8">
        <f t="shared" si="1008"/>
        <v>0</v>
      </c>
      <c r="CR1364" s="8">
        <f t="shared" si="1009"/>
        <v>0</v>
      </c>
      <c r="CS1364" s="8">
        <f t="shared" si="1010"/>
        <v>0</v>
      </c>
      <c r="CT1364" s="8">
        <f t="shared" si="1015"/>
        <v>0</v>
      </c>
      <c r="CU1364" s="8">
        <f t="shared" si="1016"/>
        <v>0</v>
      </c>
      <c r="CV1364" s="8">
        <f t="shared" si="1017"/>
        <v>0</v>
      </c>
    </row>
    <row r="1365" spans="1:100" ht="20.5" thickTop="1" thickBot="1" x14ac:dyDescent="0.5">
      <c r="A1365" s="32"/>
      <c r="B1365" s="10"/>
      <c r="C1365" s="10"/>
      <c r="D1365" s="11"/>
      <c r="E1365" s="10"/>
      <c r="F1365" s="10"/>
      <c r="G1365" s="19"/>
      <c r="H1365" s="19"/>
      <c r="I1365" s="19"/>
      <c r="J1365" s="19"/>
      <c r="K1365" s="10"/>
      <c r="L1365" s="10"/>
      <c r="M1365" s="10"/>
      <c r="N1365" s="10"/>
      <c r="O1365" s="18"/>
      <c r="P1365" s="18"/>
      <c r="Q1365" s="21"/>
      <c r="R1365" s="20"/>
      <c r="S1365" s="16">
        <f t="shared" si="973"/>
        <v>0</v>
      </c>
      <c r="T1365" s="11"/>
      <c r="AS1365" s="31">
        <f t="shared" si="974"/>
        <v>0</v>
      </c>
      <c r="AT1365" s="31">
        <f t="shared" si="975"/>
        <v>0</v>
      </c>
      <c r="AU1365" s="31">
        <f t="shared" si="976"/>
        <v>0</v>
      </c>
      <c r="AV1365" s="31">
        <f t="shared" si="977"/>
        <v>0</v>
      </c>
      <c r="AW1365" s="31">
        <f t="shared" si="978"/>
        <v>0</v>
      </c>
      <c r="AX1365" s="31">
        <f t="shared" si="979"/>
        <v>0</v>
      </c>
      <c r="AY1365" s="31">
        <f t="shared" si="980"/>
        <v>0</v>
      </c>
      <c r="AZ1365" s="31">
        <f t="shared" si="981"/>
        <v>0</v>
      </c>
      <c r="BA1365" s="31">
        <f t="shared" si="982"/>
        <v>0</v>
      </c>
      <c r="BB1365" s="31">
        <f t="shared" si="1011"/>
        <v>0</v>
      </c>
      <c r="BM1365" s="8">
        <f t="shared" si="1012"/>
        <v>0</v>
      </c>
      <c r="BN1365" s="8">
        <f t="shared" si="983"/>
        <v>0</v>
      </c>
      <c r="BO1365" s="8">
        <f t="shared" si="984"/>
        <v>0</v>
      </c>
      <c r="BQ1365" s="8">
        <f t="shared" si="985"/>
        <v>0</v>
      </c>
      <c r="BR1365" s="63">
        <f t="shared" si="986"/>
        <v>0</v>
      </c>
      <c r="BS1365" s="63">
        <f t="shared" si="1013"/>
        <v>0</v>
      </c>
      <c r="BT1365" s="63">
        <f t="shared" si="987"/>
        <v>0</v>
      </c>
      <c r="BU1365" s="63">
        <f t="shared" si="988"/>
        <v>0</v>
      </c>
      <c r="BV1365" s="57">
        <f t="shared" si="989"/>
        <v>0</v>
      </c>
      <c r="BW1365" s="57">
        <f t="shared" si="990"/>
        <v>0</v>
      </c>
      <c r="BX1365" s="57">
        <f t="shared" si="1014"/>
        <v>0</v>
      </c>
      <c r="BY1365" s="57">
        <f t="shared" si="972"/>
        <v>0</v>
      </c>
      <c r="BZ1365" s="8">
        <f t="shared" si="991"/>
        <v>0</v>
      </c>
      <c r="CA1365" s="8">
        <f t="shared" si="992"/>
        <v>0</v>
      </c>
      <c r="CB1365" s="8">
        <f t="shared" si="993"/>
        <v>0</v>
      </c>
      <c r="CC1365" s="8">
        <f t="shared" si="994"/>
        <v>0</v>
      </c>
      <c r="CD1365" s="8">
        <f t="shared" si="995"/>
        <v>0</v>
      </c>
      <c r="CE1365" s="8">
        <f t="shared" si="996"/>
        <v>0</v>
      </c>
      <c r="CF1365" s="8">
        <f t="shared" si="997"/>
        <v>0</v>
      </c>
      <c r="CG1365" s="8">
        <f t="shared" si="998"/>
        <v>0</v>
      </c>
      <c r="CH1365" s="8">
        <f t="shared" si="999"/>
        <v>0</v>
      </c>
      <c r="CI1365" s="8">
        <f t="shared" si="1000"/>
        <v>0</v>
      </c>
      <c r="CJ1365" s="8">
        <f t="shared" si="1001"/>
        <v>0</v>
      </c>
      <c r="CK1365" s="8">
        <f t="shared" si="1002"/>
        <v>0</v>
      </c>
      <c r="CL1365" s="8">
        <f t="shared" si="1003"/>
        <v>0</v>
      </c>
      <c r="CM1365" s="8">
        <f t="shared" si="1004"/>
        <v>0</v>
      </c>
      <c r="CN1365" s="8">
        <f t="shared" si="1005"/>
        <v>0</v>
      </c>
      <c r="CO1365" s="8">
        <f t="shared" si="1006"/>
        <v>0</v>
      </c>
      <c r="CP1365" s="8">
        <f t="shared" si="1007"/>
        <v>0</v>
      </c>
      <c r="CQ1365" s="8">
        <f t="shared" si="1008"/>
        <v>0</v>
      </c>
      <c r="CR1365" s="8">
        <f t="shared" si="1009"/>
        <v>0</v>
      </c>
      <c r="CS1365" s="8">
        <f t="shared" si="1010"/>
        <v>0</v>
      </c>
      <c r="CT1365" s="8">
        <f t="shared" si="1015"/>
        <v>0</v>
      </c>
      <c r="CU1365" s="8">
        <f t="shared" si="1016"/>
        <v>0</v>
      </c>
      <c r="CV1365" s="8">
        <f t="shared" si="1017"/>
        <v>0</v>
      </c>
    </row>
    <row r="1366" spans="1:100" ht="20.5" thickTop="1" thickBot="1" x14ac:dyDescent="0.5">
      <c r="A1366" s="32"/>
      <c r="B1366" s="10"/>
      <c r="C1366" s="10"/>
      <c r="D1366" s="11"/>
      <c r="E1366" s="10"/>
      <c r="F1366" s="10"/>
      <c r="G1366" s="19"/>
      <c r="H1366" s="19"/>
      <c r="I1366" s="19"/>
      <c r="J1366" s="19"/>
      <c r="K1366" s="10"/>
      <c r="L1366" s="10"/>
      <c r="M1366" s="10"/>
      <c r="N1366" s="10"/>
      <c r="O1366" s="18"/>
      <c r="P1366" s="18"/>
      <c r="Q1366" s="21"/>
      <c r="R1366" s="20"/>
      <c r="S1366" s="16">
        <f t="shared" si="973"/>
        <v>0</v>
      </c>
      <c r="T1366" s="11"/>
      <c r="AS1366" s="31">
        <f t="shared" si="974"/>
        <v>0</v>
      </c>
      <c r="AT1366" s="31">
        <f t="shared" si="975"/>
        <v>0</v>
      </c>
      <c r="AU1366" s="31">
        <f t="shared" si="976"/>
        <v>0</v>
      </c>
      <c r="AV1366" s="31">
        <f t="shared" si="977"/>
        <v>0</v>
      </c>
      <c r="AW1366" s="31">
        <f t="shared" si="978"/>
        <v>0</v>
      </c>
      <c r="AX1366" s="31">
        <f t="shared" si="979"/>
        <v>0</v>
      </c>
      <c r="AY1366" s="31">
        <f t="shared" si="980"/>
        <v>0</v>
      </c>
      <c r="AZ1366" s="31">
        <f t="shared" si="981"/>
        <v>0</v>
      </c>
      <c r="BA1366" s="31">
        <f t="shared" si="982"/>
        <v>0</v>
      </c>
      <c r="BB1366" s="31">
        <f t="shared" si="1011"/>
        <v>0</v>
      </c>
      <c r="BM1366" s="8">
        <f t="shared" si="1012"/>
        <v>0</v>
      </c>
      <c r="BN1366" s="8">
        <f t="shared" si="983"/>
        <v>0</v>
      </c>
      <c r="BO1366" s="8">
        <f t="shared" si="984"/>
        <v>0</v>
      </c>
      <c r="BQ1366" s="8">
        <f t="shared" si="985"/>
        <v>0</v>
      </c>
      <c r="BR1366" s="63">
        <f t="shared" si="986"/>
        <v>0</v>
      </c>
      <c r="BS1366" s="63">
        <f t="shared" si="1013"/>
        <v>0</v>
      </c>
      <c r="BT1366" s="63">
        <f t="shared" si="987"/>
        <v>0</v>
      </c>
      <c r="BU1366" s="63">
        <f t="shared" si="988"/>
        <v>0</v>
      </c>
      <c r="BV1366" s="57">
        <f t="shared" si="989"/>
        <v>0</v>
      </c>
      <c r="BW1366" s="57">
        <f t="shared" si="990"/>
        <v>0</v>
      </c>
      <c r="BX1366" s="57">
        <f t="shared" si="1014"/>
        <v>0</v>
      </c>
      <c r="BY1366" s="57">
        <f t="shared" si="972"/>
        <v>0</v>
      </c>
      <c r="BZ1366" s="8">
        <f t="shared" si="991"/>
        <v>0</v>
      </c>
      <c r="CA1366" s="8">
        <f t="shared" si="992"/>
        <v>0</v>
      </c>
      <c r="CB1366" s="8">
        <f t="shared" si="993"/>
        <v>0</v>
      </c>
      <c r="CC1366" s="8">
        <f t="shared" si="994"/>
        <v>0</v>
      </c>
      <c r="CD1366" s="8">
        <f t="shared" si="995"/>
        <v>0</v>
      </c>
      <c r="CE1366" s="8">
        <f t="shared" si="996"/>
        <v>0</v>
      </c>
      <c r="CF1366" s="8">
        <f t="shared" si="997"/>
        <v>0</v>
      </c>
      <c r="CG1366" s="8">
        <f t="shared" si="998"/>
        <v>0</v>
      </c>
      <c r="CH1366" s="8">
        <f t="shared" si="999"/>
        <v>0</v>
      </c>
      <c r="CI1366" s="8">
        <f t="shared" si="1000"/>
        <v>0</v>
      </c>
      <c r="CJ1366" s="8">
        <f t="shared" si="1001"/>
        <v>0</v>
      </c>
      <c r="CK1366" s="8">
        <f t="shared" si="1002"/>
        <v>0</v>
      </c>
      <c r="CL1366" s="8">
        <f t="shared" si="1003"/>
        <v>0</v>
      </c>
      <c r="CM1366" s="8">
        <f t="shared" si="1004"/>
        <v>0</v>
      </c>
      <c r="CN1366" s="8">
        <f t="shared" si="1005"/>
        <v>0</v>
      </c>
      <c r="CO1366" s="8">
        <f t="shared" si="1006"/>
        <v>0</v>
      </c>
      <c r="CP1366" s="8">
        <f t="shared" si="1007"/>
        <v>0</v>
      </c>
      <c r="CQ1366" s="8">
        <f t="shared" si="1008"/>
        <v>0</v>
      </c>
      <c r="CR1366" s="8">
        <f t="shared" si="1009"/>
        <v>0</v>
      </c>
      <c r="CS1366" s="8">
        <f t="shared" si="1010"/>
        <v>0</v>
      </c>
      <c r="CT1366" s="8">
        <f t="shared" si="1015"/>
        <v>0</v>
      </c>
      <c r="CU1366" s="8">
        <f t="shared" si="1016"/>
        <v>0</v>
      </c>
      <c r="CV1366" s="8">
        <f t="shared" si="1017"/>
        <v>0</v>
      </c>
    </row>
    <row r="1367" spans="1:100" ht="20.5" thickTop="1" thickBot="1" x14ac:dyDescent="0.5">
      <c r="A1367" s="32"/>
      <c r="B1367" s="10"/>
      <c r="C1367" s="10"/>
      <c r="D1367" s="11"/>
      <c r="E1367" s="10"/>
      <c r="F1367" s="10"/>
      <c r="G1367" s="19"/>
      <c r="H1367" s="19"/>
      <c r="I1367" s="19"/>
      <c r="J1367" s="19"/>
      <c r="K1367" s="10"/>
      <c r="L1367" s="10"/>
      <c r="M1367" s="10"/>
      <c r="N1367" s="10"/>
      <c r="O1367" s="18"/>
      <c r="P1367" s="18"/>
      <c r="Q1367" s="21"/>
      <c r="R1367" s="20"/>
      <c r="S1367" s="16">
        <f t="shared" si="973"/>
        <v>0</v>
      </c>
      <c r="T1367" s="11"/>
      <c r="AS1367" s="31">
        <f t="shared" si="974"/>
        <v>0</v>
      </c>
      <c r="AT1367" s="31">
        <f t="shared" si="975"/>
        <v>0</v>
      </c>
      <c r="AU1367" s="31">
        <f t="shared" si="976"/>
        <v>0</v>
      </c>
      <c r="AV1367" s="31">
        <f t="shared" si="977"/>
        <v>0</v>
      </c>
      <c r="AW1367" s="31">
        <f t="shared" si="978"/>
        <v>0</v>
      </c>
      <c r="AX1367" s="31">
        <f t="shared" si="979"/>
        <v>0</v>
      </c>
      <c r="AY1367" s="31">
        <f t="shared" si="980"/>
        <v>0</v>
      </c>
      <c r="AZ1367" s="31">
        <f t="shared" si="981"/>
        <v>0</v>
      </c>
      <c r="BA1367" s="31">
        <f t="shared" si="982"/>
        <v>0</v>
      </c>
      <c r="BB1367" s="31">
        <f t="shared" si="1011"/>
        <v>0</v>
      </c>
      <c r="BM1367" s="8">
        <f t="shared" si="1012"/>
        <v>0</v>
      </c>
      <c r="BN1367" s="8">
        <f t="shared" si="983"/>
        <v>0</v>
      </c>
      <c r="BO1367" s="8">
        <f t="shared" si="984"/>
        <v>0</v>
      </c>
      <c r="BQ1367" s="8">
        <f t="shared" si="985"/>
        <v>0</v>
      </c>
      <c r="BR1367" s="63">
        <f t="shared" si="986"/>
        <v>0</v>
      </c>
      <c r="BS1367" s="63">
        <f t="shared" si="1013"/>
        <v>0</v>
      </c>
      <c r="BT1367" s="63">
        <f t="shared" si="987"/>
        <v>0</v>
      </c>
      <c r="BU1367" s="63">
        <f t="shared" si="988"/>
        <v>0</v>
      </c>
      <c r="BV1367" s="57">
        <f t="shared" si="989"/>
        <v>0</v>
      </c>
      <c r="BW1367" s="57">
        <f t="shared" si="990"/>
        <v>0</v>
      </c>
      <c r="BX1367" s="57">
        <f t="shared" si="1014"/>
        <v>0</v>
      </c>
      <c r="BY1367" s="57">
        <f t="shared" si="972"/>
        <v>0</v>
      </c>
      <c r="BZ1367" s="8">
        <f t="shared" si="991"/>
        <v>0</v>
      </c>
      <c r="CA1367" s="8">
        <f t="shared" si="992"/>
        <v>0</v>
      </c>
      <c r="CB1367" s="8">
        <f t="shared" si="993"/>
        <v>0</v>
      </c>
      <c r="CC1367" s="8">
        <f t="shared" si="994"/>
        <v>0</v>
      </c>
      <c r="CD1367" s="8">
        <f t="shared" si="995"/>
        <v>0</v>
      </c>
      <c r="CE1367" s="8">
        <f t="shared" si="996"/>
        <v>0</v>
      </c>
      <c r="CF1367" s="8">
        <f t="shared" si="997"/>
        <v>0</v>
      </c>
      <c r="CG1367" s="8">
        <f t="shared" si="998"/>
        <v>0</v>
      </c>
      <c r="CH1367" s="8">
        <f t="shared" si="999"/>
        <v>0</v>
      </c>
      <c r="CI1367" s="8">
        <f t="shared" si="1000"/>
        <v>0</v>
      </c>
      <c r="CJ1367" s="8">
        <f t="shared" si="1001"/>
        <v>0</v>
      </c>
      <c r="CK1367" s="8">
        <f t="shared" si="1002"/>
        <v>0</v>
      </c>
      <c r="CL1367" s="8">
        <f t="shared" si="1003"/>
        <v>0</v>
      </c>
      <c r="CM1367" s="8">
        <f t="shared" si="1004"/>
        <v>0</v>
      </c>
      <c r="CN1367" s="8">
        <f t="shared" si="1005"/>
        <v>0</v>
      </c>
      <c r="CO1367" s="8">
        <f t="shared" si="1006"/>
        <v>0</v>
      </c>
      <c r="CP1367" s="8">
        <f t="shared" si="1007"/>
        <v>0</v>
      </c>
      <c r="CQ1367" s="8">
        <f t="shared" si="1008"/>
        <v>0</v>
      </c>
      <c r="CR1367" s="8">
        <f t="shared" si="1009"/>
        <v>0</v>
      </c>
      <c r="CS1367" s="8">
        <f t="shared" si="1010"/>
        <v>0</v>
      </c>
      <c r="CT1367" s="8">
        <f t="shared" si="1015"/>
        <v>0</v>
      </c>
      <c r="CU1367" s="8">
        <f t="shared" si="1016"/>
        <v>0</v>
      </c>
      <c r="CV1367" s="8">
        <f t="shared" si="1017"/>
        <v>0</v>
      </c>
    </row>
    <row r="1368" spans="1:100" ht="20.5" thickTop="1" thickBot="1" x14ac:dyDescent="0.5">
      <c r="A1368" s="32"/>
      <c r="B1368" s="10"/>
      <c r="C1368" s="10"/>
      <c r="D1368" s="11"/>
      <c r="E1368" s="10"/>
      <c r="F1368" s="10"/>
      <c r="G1368" s="19"/>
      <c r="H1368" s="19"/>
      <c r="I1368" s="19"/>
      <c r="J1368" s="19"/>
      <c r="K1368" s="10"/>
      <c r="L1368" s="10"/>
      <c r="M1368" s="10"/>
      <c r="N1368" s="10"/>
      <c r="O1368" s="18"/>
      <c r="P1368" s="18"/>
      <c r="Q1368" s="21"/>
      <c r="R1368" s="20"/>
      <c r="S1368" s="16">
        <f t="shared" si="973"/>
        <v>0</v>
      </c>
      <c r="T1368" s="11"/>
      <c r="AS1368" s="31">
        <f t="shared" si="974"/>
        <v>0</v>
      </c>
      <c r="AT1368" s="31">
        <f t="shared" si="975"/>
        <v>0</v>
      </c>
      <c r="AU1368" s="31">
        <f t="shared" si="976"/>
        <v>0</v>
      </c>
      <c r="AV1368" s="31">
        <f t="shared" si="977"/>
        <v>0</v>
      </c>
      <c r="AW1368" s="31">
        <f t="shared" si="978"/>
        <v>0</v>
      </c>
      <c r="AX1368" s="31">
        <f t="shared" si="979"/>
        <v>0</v>
      </c>
      <c r="AY1368" s="31">
        <f t="shared" si="980"/>
        <v>0</v>
      </c>
      <c r="AZ1368" s="31">
        <f t="shared" si="981"/>
        <v>0</v>
      </c>
      <c r="BA1368" s="31">
        <f t="shared" si="982"/>
        <v>0</v>
      </c>
      <c r="BB1368" s="31">
        <f t="shared" si="1011"/>
        <v>0</v>
      </c>
      <c r="BM1368" s="8">
        <f t="shared" si="1012"/>
        <v>0</v>
      </c>
      <c r="BN1368" s="8">
        <f t="shared" si="983"/>
        <v>0</v>
      </c>
      <c r="BO1368" s="8">
        <f t="shared" si="984"/>
        <v>0</v>
      </c>
      <c r="BQ1368" s="8">
        <f t="shared" si="985"/>
        <v>0</v>
      </c>
      <c r="BR1368" s="63">
        <f t="shared" si="986"/>
        <v>0</v>
      </c>
      <c r="BS1368" s="63">
        <f t="shared" si="1013"/>
        <v>0</v>
      </c>
      <c r="BT1368" s="63">
        <f t="shared" si="987"/>
        <v>0</v>
      </c>
      <c r="BU1368" s="63">
        <f t="shared" si="988"/>
        <v>0</v>
      </c>
      <c r="BV1368" s="57">
        <f t="shared" si="989"/>
        <v>0</v>
      </c>
      <c r="BW1368" s="57">
        <f t="shared" si="990"/>
        <v>0</v>
      </c>
      <c r="BX1368" s="57">
        <f t="shared" si="1014"/>
        <v>0</v>
      </c>
      <c r="BY1368" s="57">
        <f t="shared" si="972"/>
        <v>0</v>
      </c>
      <c r="BZ1368" s="8">
        <f t="shared" si="991"/>
        <v>0</v>
      </c>
      <c r="CA1368" s="8">
        <f t="shared" si="992"/>
        <v>0</v>
      </c>
      <c r="CB1368" s="8">
        <f t="shared" si="993"/>
        <v>0</v>
      </c>
      <c r="CC1368" s="8">
        <f t="shared" si="994"/>
        <v>0</v>
      </c>
      <c r="CD1368" s="8">
        <f t="shared" si="995"/>
        <v>0</v>
      </c>
      <c r="CE1368" s="8">
        <f t="shared" si="996"/>
        <v>0</v>
      </c>
      <c r="CF1368" s="8">
        <f t="shared" si="997"/>
        <v>0</v>
      </c>
      <c r="CG1368" s="8">
        <f t="shared" si="998"/>
        <v>0</v>
      </c>
      <c r="CH1368" s="8">
        <f t="shared" si="999"/>
        <v>0</v>
      </c>
      <c r="CI1368" s="8">
        <f t="shared" si="1000"/>
        <v>0</v>
      </c>
      <c r="CJ1368" s="8">
        <f t="shared" si="1001"/>
        <v>0</v>
      </c>
      <c r="CK1368" s="8">
        <f t="shared" si="1002"/>
        <v>0</v>
      </c>
      <c r="CL1368" s="8">
        <f t="shared" si="1003"/>
        <v>0</v>
      </c>
      <c r="CM1368" s="8">
        <f t="shared" si="1004"/>
        <v>0</v>
      </c>
      <c r="CN1368" s="8">
        <f t="shared" si="1005"/>
        <v>0</v>
      </c>
      <c r="CO1368" s="8">
        <f t="shared" si="1006"/>
        <v>0</v>
      </c>
      <c r="CP1368" s="8">
        <f t="shared" si="1007"/>
        <v>0</v>
      </c>
      <c r="CQ1368" s="8">
        <f t="shared" si="1008"/>
        <v>0</v>
      </c>
      <c r="CR1368" s="8">
        <f t="shared" si="1009"/>
        <v>0</v>
      </c>
      <c r="CS1368" s="8">
        <f t="shared" si="1010"/>
        <v>0</v>
      </c>
      <c r="CT1368" s="8">
        <f t="shared" si="1015"/>
        <v>0</v>
      </c>
      <c r="CU1368" s="8">
        <f t="shared" si="1016"/>
        <v>0</v>
      </c>
      <c r="CV1368" s="8">
        <f t="shared" si="1017"/>
        <v>0</v>
      </c>
    </row>
    <row r="1369" spans="1:100" ht="20.5" thickTop="1" thickBot="1" x14ac:dyDescent="0.5">
      <c r="A1369" s="32"/>
      <c r="B1369" s="10"/>
      <c r="C1369" s="10"/>
      <c r="D1369" s="11"/>
      <c r="E1369" s="10"/>
      <c r="F1369" s="10"/>
      <c r="G1369" s="19"/>
      <c r="H1369" s="19"/>
      <c r="I1369" s="19"/>
      <c r="J1369" s="19"/>
      <c r="K1369" s="10"/>
      <c r="L1369" s="10"/>
      <c r="M1369" s="10"/>
      <c r="N1369" s="10"/>
      <c r="O1369" s="18"/>
      <c r="P1369" s="18"/>
      <c r="Q1369" s="21"/>
      <c r="R1369" s="20"/>
      <c r="S1369" s="16">
        <f t="shared" si="973"/>
        <v>0</v>
      </c>
      <c r="T1369" s="11"/>
      <c r="AS1369" s="31">
        <f t="shared" si="974"/>
        <v>0</v>
      </c>
      <c r="AT1369" s="31">
        <f t="shared" si="975"/>
        <v>0</v>
      </c>
      <c r="AU1369" s="31">
        <f t="shared" si="976"/>
        <v>0</v>
      </c>
      <c r="AV1369" s="31">
        <f t="shared" si="977"/>
        <v>0</v>
      </c>
      <c r="AW1369" s="31">
        <f t="shared" si="978"/>
        <v>0</v>
      </c>
      <c r="AX1369" s="31">
        <f t="shared" si="979"/>
        <v>0</v>
      </c>
      <c r="AY1369" s="31">
        <f t="shared" si="980"/>
        <v>0</v>
      </c>
      <c r="AZ1369" s="31">
        <f t="shared" si="981"/>
        <v>0</v>
      </c>
      <c r="BA1369" s="31">
        <f t="shared" si="982"/>
        <v>0</v>
      </c>
      <c r="BB1369" s="31">
        <f t="shared" si="1011"/>
        <v>0</v>
      </c>
      <c r="BM1369" s="8">
        <f t="shared" si="1012"/>
        <v>0</v>
      </c>
      <c r="BN1369" s="8">
        <f t="shared" si="983"/>
        <v>0</v>
      </c>
      <c r="BO1369" s="8">
        <f t="shared" si="984"/>
        <v>0</v>
      </c>
      <c r="BQ1369" s="8">
        <f t="shared" si="985"/>
        <v>0</v>
      </c>
      <c r="BR1369" s="63">
        <f t="shared" si="986"/>
        <v>0</v>
      </c>
      <c r="BS1369" s="63">
        <f t="shared" si="1013"/>
        <v>0</v>
      </c>
      <c r="BT1369" s="63">
        <f t="shared" si="987"/>
        <v>0</v>
      </c>
      <c r="BU1369" s="63">
        <f t="shared" si="988"/>
        <v>0</v>
      </c>
      <c r="BV1369" s="57">
        <f t="shared" si="989"/>
        <v>0</v>
      </c>
      <c r="BW1369" s="57">
        <f t="shared" si="990"/>
        <v>0</v>
      </c>
      <c r="BX1369" s="57">
        <f t="shared" si="1014"/>
        <v>0</v>
      </c>
      <c r="BY1369" s="57">
        <f t="shared" si="972"/>
        <v>0</v>
      </c>
      <c r="BZ1369" s="8">
        <f t="shared" si="991"/>
        <v>0</v>
      </c>
      <c r="CA1369" s="8">
        <f t="shared" si="992"/>
        <v>0</v>
      </c>
      <c r="CB1369" s="8">
        <f t="shared" si="993"/>
        <v>0</v>
      </c>
      <c r="CC1369" s="8">
        <f t="shared" si="994"/>
        <v>0</v>
      </c>
      <c r="CD1369" s="8">
        <f t="shared" si="995"/>
        <v>0</v>
      </c>
      <c r="CE1369" s="8">
        <f t="shared" si="996"/>
        <v>0</v>
      </c>
      <c r="CF1369" s="8">
        <f t="shared" si="997"/>
        <v>0</v>
      </c>
      <c r="CG1369" s="8">
        <f t="shared" si="998"/>
        <v>0</v>
      </c>
      <c r="CH1369" s="8">
        <f t="shared" si="999"/>
        <v>0</v>
      </c>
      <c r="CI1369" s="8">
        <f t="shared" si="1000"/>
        <v>0</v>
      </c>
      <c r="CJ1369" s="8">
        <f t="shared" si="1001"/>
        <v>0</v>
      </c>
      <c r="CK1369" s="8">
        <f t="shared" si="1002"/>
        <v>0</v>
      </c>
      <c r="CL1369" s="8">
        <f t="shared" si="1003"/>
        <v>0</v>
      </c>
      <c r="CM1369" s="8">
        <f t="shared" si="1004"/>
        <v>0</v>
      </c>
      <c r="CN1369" s="8">
        <f t="shared" si="1005"/>
        <v>0</v>
      </c>
      <c r="CO1369" s="8">
        <f t="shared" si="1006"/>
        <v>0</v>
      </c>
      <c r="CP1369" s="8">
        <f t="shared" si="1007"/>
        <v>0</v>
      </c>
      <c r="CQ1369" s="8">
        <f t="shared" si="1008"/>
        <v>0</v>
      </c>
      <c r="CR1369" s="8">
        <f t="shared" si="1009"/>
        <v>0</v>
      </c>
      <c r="CS1369" s="8">
        <f t="shared" si="1010"/>
        <v>0</v>
      </c>
      <c r="CT1369" s="8">
        <f t="shared" si="1015"/>
        <v>0</v>
      </c>
      <c r="CU1369" s="8">
        <f t="shared" si="1016"/>
        <v>0</v>
      </c>
      <c r="CV1369" s="8">
        <f t="shared" si="1017"/>
        <v>0</v>
      </c>
    </row>
    <row r="1370" spans="1:100" ht="20.5" thickTop="1" thickBot="1" x14ac:dyDescent="0.5">
      <c r="A1370" s="32"/>
      <c r="B1370" s="10"/>
      <c r="C1370" s="10"/>
      <c r="D1370" s="11"/>
      <c r="E1370" s="10"/>
      <c r="F1370" s="10"/>
      <c r="G1370" s="19"/>
      <c r="H1370" s="19"/>
      <c r="I1370" s="19"/>
      <c r="J1370" s="19"/>
      <c r="K1370" s="10"/>
      <c r="L1370" s="10"/>
      <c r="M1370" s="10"/>
      <c r="N1370" s="10"/>
      <c r="O1370" s="18"/>
      <c r="P1370" s="18"/>
      <c r="Q1370" s="21"/>
      <c r="R1370" s="20"/>
      <c r="S1370" s="16">
        <f t="shared" si="973"/>
        <v>0</v>
      </c>
      <c r="T1370" s="11"/>
      <c r="AS1370" s="31">
        <f t="shared" si="974"/>
        <v>0</v>
      </c>
      <c r="AT1370" s="31">
        <f t="shared" si="975"/>
        <v>0</v>
      </c>
      <c r="AU1370" s="31">
        <f t="shared" si="976"/>
        <v>0</v>
      </c>
      <c r="AV1370" s="31">
        <f t="shared" si="977"/>
        <v>0</v>
      </c>
      <c r="AW1370" s="31">
        <f t="shared" si="978"/>
        <v>0</v>
      </c>
      <c r="AX1370" s="31">
        <f t="shared" si="979"/>
        <v>0</v>
      </c>
      <c r="AY1370" s="31">
        <f t="shared" si="980"/>
        <v>0</v>
      </c>
      <c r="AZ1370" s="31">
        <f t="shared" si="981"/>
        <v>0</v>
      </c>
      <c r="BA1370" s="31">
        <f t="shared" si="982"/>
        <v>0</v>
      </c>
      <c r="BB1370" s="31">
        <f t="shared" si="1011"/>
        <v>0</v>
      </c>
      <c r="BM1370" s="8">
        <f t="shared" si="1012"/>
        <v>0</v>
      </c>
      <c r="BN1370" s="8">
        <f t="shared" si="983"/>
        <v>0</v>
      </c>
      <c r="BO1370" s="8">
        <f t="shared" si="984"/>
        <v>0</v>
      </c>
      <c r="BQ1370" s="8">
        <f t="shared" si="985"/>
        <v>0</v>
      </c>
      <c r="BR1370" s="63">
        <f t="shared" si="986"/>
        <v>0</v>
      </c>
      <c r="BS1370" s="63">
        <f t="shared" si="1013"/>
        <v>0</v>
      </c>
      <c r="BT1370" s="63">
        <f t="shared" si="987"/>
        <v>0</v>
      </c>
      <c r="BU1370" s="63">
        <f t="shared" si="988"/>
        <v>0</v>
      </c>
      <c r="BV1370" s="57">
        <f t="shared" si="989"/>
        <v>0</v>
      </c>
      <c r="BW1370" s="57">
        <f t="shared" si="990"/>
        <v>0</v>
      </c>
      <c r="BX1370" s="57">
        <f t="shared" si="1014"/>
        <v>0</v>
      </c>
      <c r="BY1370" s="57">
        <f t="shared" si="972"/>
        <v>0</v>
      </c>
      <c r="BZ1370" s="8">
        <f t="shared" si="991"/>
        <v>0</v>
      </c>
      <c r="CA1370" s="8">
        <f t="shared" si="992"/>
        <v>0</v>
      </c>
      <c r="CB1370" s="8">
        <f t="shared" si="993"/>
        <v>0</v>
      </c>
      <c r="CC1370" s="8">
        <f t="shared" si="994"/>
        <v>0</v>
      </c>
      <c r="CD1370" s="8">
        <f t="shared" si="995"/>
        <v>0</v>
      </c>
      <c r="CE1370" s="8">
        <f t="shared" si="996"/>
        <v>0</v>
      </c>
      <c r="CF1370" s="8">
        <f t="shared" si="997"/>
        <v>0</v>
      </c>
      <c r="CG1370" s="8">
        <f t="shared" si="998"/>
        <v>0</v>
      </c>
      <c r="CH1370" s="8">
        <f t="shared" si="999"/>
        <v>0</v>
      </c>
      <c r="CI1370" s="8">
        <f t="shared" si="1000"/>
        <v>0</v>
      </c>
      <c r="CJ1370" s="8">
        <f t="shared" si="1001"/>
        <v>0</v>
      </c>
      <c r="CK1370" s="8">
        <f t="shared" si="1002"/>
        <v>0</v>
      </c>
      <c r="CL1370" s="8">
        <f t="shared" si="1003"/>
        <v>0</v>
      </c>
      <c r="CM1370" s="8">
        <f t="shared" si="1004"/>
        <v>0</v>
      </c>
      <c r="CN1370" s="8">
        <f t="shared" si="1005"/>
        <v>0</v>
      </c>
      <c r="CO1370" s="8">
        <f t="shared" si="1006"/>
        <v>0</v>
      </c>
      <c r="CP1370" s="8">
        <f t="shared" si="1007"/>
        <v>0</v>
      </c>
      <c r="CQ1370" s="8">
        <f t="shared" si="1008"/>
        <v>0</v>
      </c>
      <c r="CR1370" s="8">
        <f t="shared" si="1009"/>
        <v>0</v>
      </c>
      <c r="CS1370" s="8">
        <f t="shared" si="1010"/>
        <v>0</v>
      </c>
      <c r="CT1370" s="8">
        <f t="shared" si="1015"/>
        <v>0</v>
      </c>
      <c r="CU1370" s="8">
        <f t="shared" si="1016"/>
        <v>0</v>
      </c>
      <c r="CV1370" s="8">
        <f t="shared" si="1017"/>
        <v>0</v>
      </c>
    </row>
    <row r="1371" spans="1:100" ht="20.5" thickTop="1" thickBot="1" x14ac:dyDescent="0.5">
      <c r="A1371" s="32"/>
      <c r="B1371" s="10"/>
      <c r="C1371" s="10"/>
      <c r="D1371" s="11"/>
      <c r="E1371" s="10"/>
      <c r="F1371" s="10"/>
      <c r="G1371" s="19"/>
      <c r="H1371" s="19"/>
      <c r="I1371" s="19"/>
      <c r="J1371" s="19"/>
      <c r="K1371" s="10"/>
      <c r="L1371" s="10"/>
      <c r="M1371" s="10"/>
      <c r="N1371" s="10"/>
      <c r="O1371" s="18"/>
      <c r="P1371" s="18"/>
      <c r="Q1371" s="21"/>
      <c r="R1371" s="20"/>
      <c r="S1371" s="16">
        <f t="shared" si="973"/>
        <v>0</v>
      </c>
      <c r="T1371" s="11"/>
      <c r="AS1371" s="31">
        <f t="shared" si="974"/>
        <v>0</v>
      </c>
      <c r="AT1371" s="31">
        <f t="shared" si="975"/>
        <v>0</v>
      </c>
      <c r="AU1371" s="31">
        <f t="shared" si="976"/>
        <v>0</v>
      </c>
      <c r="AV1371" s="31">
        <f t="shared" si="977"/>
        <v>0</v>
      </c>
      <c r="AW1371" s="31">
        <f t="shared" si="978"/>
        <v>0</v>
      </c>
      <c r="AX1371" s="31">
        <f t="shared" si="979"/>
        <v>0</v>
      </c>
      <c r="AY1371" s="31">
        <f t="shared" si="980"/>
        <v>0</v>
      </c>
      <c r="AZ1371" s="31">
        <f t="shared" si="981"/>
        <v>0</v>
      </c>
      <c r="BA1371" s="31">
        <f t="shared" si="982"/>
        <v>0</v>
      </c>
      <c r="BB1371" s="31">
        <f t="shared" si="1011"/>
        <v>0</v>
      </c>
      <c r="BM1371" s="8">
        <f t="shared" si="1012"/>
        <v>0</v>
      </c>
      <c r="BN1371" s="8">
        <f t="shared" si="983"/>
        <v>0</v>
      </c>
      <c r="BO1371" s="8">
        <f t="shared" si="984"/>
        <v>0</v>
      </c>
      <c r="BQ1371" s="8">
        <f t="shared" si="985"/>
        <v>0</v>
      </c>
      <c r="BR1371" s="63">
        <f t="shared" si="986"/>
        <v>0</v>
      </c>
      <c r="BS1371" s="63">
        <f t="shared" si="1013"/>
        <v>0</v>
      </c>
      <c r="BT1371" s="63">
        <f t="shared" si="987"/>
        <v>0</v>
      </c>
      <c r="BU1371" s="63">
        <f t="shared" si="988"/>
        <v>0</v>
      </c>
      <c r="BV1371" s="57">
        <f t="shared" si="989"/>
        <v>0</v>
      </c>
      <c r="BW1371" s="57">
        <f t="shared" si="990"/>
        <v>0</v>
      </c>
      <c r="BX1371" s="57">
        <f t="shared" si="1014"/>
        <v>0</v>
      </c>
      <c r="BY1371" s="57">
        <f t="shared" si="972"/>
        <v>0</v>
      </c>
      <c r="BZ1371" s="8">
        <f t="shared" si="991"/>
        <v>0</v>
      </c>
      <c r="CA1371" s="8">
        <f t="shared" si="992"/>
        <v>0</v>
      </c>
      <c r="CB1371" s="8">
        <f t="shared" si="993"/>
        <v>0</v>
      </c>
      <c r="CC1371" s="8">
        <f t="shared" si="994"/>
        <v>0</v>
      </c>
      <c r="CD1371" s="8">
        <f t="shared" si="995"/>
        <v>0</v>
      </c>
      <c r="CE1371" s="8">
        <f t="shared" si="996"/>
        <v>0</v>
      </c>
      <c r="CF1371" s="8">
        <f t="shared" si="997"/>
        <v>0</v>
      </c>
      <c r="CG1371" s="8">
        <f t="shared" si="998"/>
        <v>0</v>
      </c>
      <c r="CH1371" s="8">
        <f t="shared" si="999"/>
        <v>0</v>
      </c>
      <c r="CI1371" s="8">
        <f t="shared" si="1000"/>
        <v>0</v>
      </c>
      <c r="CJ1371" s="8">
        <f t="shared" si="1001"/>
        <v>0</v>
      </c>
      <c r="CK1371" s="8">
        <f t="shared" si="1002"/>
        <v>0</v>
      </c>
      <c r="CL1371" s="8">
        <f t="shared" si="1003"/>
        <v>0</v>
      </c>
      <c r="CM1371" s="8">
        <f t="shared" si="1004"/>
        <v>0</v>
      </c>
      <c r="CN1371" s="8">
        <f t="shared" si="1005"/>
        <v>0</v>
      </c>
      <c r="CO1371" s="8">
        <f t="shared" si="1006"/>
        <v>0</v>
      </c>
      <c r="CP1371" s="8">
        <f t="shared" si="1007"/>
        <v>0</v>
      </c>
      <c r="CQ1371" s="8">
        <f t="shared" si="1008"/>
        <v>0</v>
      </c>
      <c r="CR1371" s="8">
        <f t="shared" si="1009"/>
        <v>0</v>
      </c>
      <c r="CS1371" s="8">
        <f t="shared" si="1010"/>
        <v>0</v>
      </c>
      <c r="CT1371" s="8">
        <f t="shared" si="1015"/>
        <v>0</v>
      </c>
      <c r="CU1371" s="8">
        <f t="shared" si="1016"/>
        <v>0</v>
      </c>
      <c r="CV1371" s="8">
        <f t="shared" si="1017"/>
        <v>0</v>
      </c>
    </row>
    <row r="1372" spans="1:100" ht="20.5" thickTop="1" thickBot="1" x14ac:dyDescent="0.5">
      <c r="A1372" s="32"/>
      <c r="B1372" s="10"/>
      <c r="C1372" s="10"/>
      <c r="D1372" s="11"/>
      <c r="E1372" s="10"/>
      <c r="F1372" s="10"/>
      <c r="G1372" s="19"/>
      <c r="H1372" s="19"/>
      <c r="I1372" s="19"/>
      <c r="J1372" s="19"/>
      <c r="K1372" s="10"/>
      <c r="L1372" s="10"/>
      <c r="M1372" s="10"/>
      <c r="N1372" s="10"/>
      <c r="O1372" s="18"/>
      <c r="P1372" s="18"/>
      <c r="Q1372" s="21"/>
      <c r="R1372" s="20"/>
      <c r="S1372" s="16">
        <f t="shared" si="973"/>
        <v>0</v>
      </c>
      <c r="T1372" s="11"/>
      <c r="AS1372" s="31">
        <f t="shared" si="974"/>
        <v>0</v>
      </c>
      <c r="AT1372" s="31">
        <f t="shared" si="975"/>
        <v>0</v>
      </c>
      <c r="AU1372" s="31">
        <f t="shared" si="976"/>
        <v>0</v>
      </c>
      <c r="AV1372" s="31">
        <f t="shared" si="977"/>
        <v>0</v>
      </c>
      <c r="AW1372" s="31">
        <f t="shared" si="978"/>
        <v>0</v>
      </c>
      <c r="AX1372" s="31">
        <f t="shared" si="979"/>
        <v>0</v>
      </c>
      <c r="AY1372" s="31">
        <f t="shared" si="980"/>
        <v>0</v>
      </c>
      <c r="AZ1372" s="31">
        <f t="shared" si="981"/>
        <v>0</v>
      </c>
      <c r="BA1372" s="31">
        <f t="shared" si="982"/>
        <v>0</v>
      </c>
      <c r="BB1372" s="31">
        <f t="shared" si="1011"/>
        <v>0</v>
      </c>
      <c r="BM1372" s="8">
        <f t="shared" si="1012"/>
        <v>0</v>
      </c>
      <c r="BN1372" s="8">
        <f t="shared" si="983"/>
        <v>0</v>
      </c>
      <c r="BO1372" s="8">
        <f t="shared" si="984"/>
        <v>0</v>
      </c>
      <c r="BQ1372" s="8">
        <f t="shared" si="985"/>
        <v>0</v>
      </c>
      <c r="BR1372" s="63">
        <f t="shared" si="986"/>
        <v>0</v>
      </c>
      <c r="BS1372" s="63">
        <f t="shared" si="1013"/>
        <v>0</v>
      </c>
      <c r="BT1372" s="63">
        <f t="shared" si="987"/>
        <v>0</v>
      </c>
      <c r="BU1372" s="63">
        <f t="shared" si="988"/>
        <v>0</v>
      </c>
      <c r="BV1372" s="57">
        <f t="shared" si="989"/>
        <v>0</v>
      </c>
      <c r="BW1372" s="57">
        <f t="shared" si="990"/>
        <v>0</v>
      </c>
      <c r="BX1372" s="57">
        <f t="shared" si="1014"/>
        <v>0</v>
      </c>
      <c r="BY1372" s="57">
        <f t="shared" si="972"/>
        <v>0</v>
      </c>
      <c r="BZ1372" s="8">
        <f t="shared" si="991"/>
        <v>0</v>
      </c>
      <c r="CA1372" s="8">
        <f t="shared" si="992"/>
        <v>0</v>
      </c>
      <c r="CB1372" s="8">
        <f t="shared" si="993"/>
        <v>0</v>
      </c>
      <c r="CC1372" s="8">
        <f t="shared" si="994"/>
        <v>0</v>
      </c>
      <c r="CD1372" s="8">
        <f t="shared" si="995"/>
        <v>0</v>
      </c>
      <c r="CE1372" s="8">
        <f t="shared" si="996"/>
        <v>0</v>
      </c>
      <c r="CF1372" s="8">
        <f t="shared" si="997"/>
        <v>0</v>
      </c>
      <c r="CG1372" s="8">
        <f t="shared" si="998"/>
        <v>0</v>
      </c>
      <c r="CH1372" s="8">
        <f t="shared" si="999"/>
        <v>0</v>
      </c>
      <c r="CI1372" s="8">
        <f t="shared" si="1000"/>
        <v>0</v>
      </c>
      <c r="CJ1372" s="8">
        <f t="shared" si="1001"/>
        <v>0</v>
      </c>
      <c r="CK1372" s="8">
        <f t="shared" si="1002"/>
        <v>0</v>
      </c>
      <c r="CL1372" s="8">
        <f t="shared" si="1003"/>
        <v>0</v>
      </c>
      <c r="CM1372" s="8">
        <f t="shared" si="1004"/>
        <v>0</v>
      </c>
      <c r="CN1372" s="8">
        <f t="shared" si="1005"/>
        <v>0</v>
      </c>
      <c r="CO1372" s="8">
        <f t="shared" si="1006"/>
        <v>0</v>
      </c>
      <c r="CP1372" s="8">
        <f t="shared" si="1007"/>
        <v>0</v>
      </c>
      <c r="CQ1372" s="8">
        <f t="shared" si="1008"/>
        <v>0</v>
      </c>
      <c r="CR1372" s="8">
        <f t="shared" si="1009"/>
        <v>0</v>
      </c>
      <c r="CS1372" s="8">
        <f t="shared" si="1010"/>
        <v>0</v>
      </c>
      <c r="CT1372" s="8">
        <f t="shared" si="1015"/>
        <v>0</v>
      </c>
      <c r="CU1372" s="8">
        <f t="shared" si="1016"/>
        <v>0</v>
      </c>
      <c r="CV1372" s="8">
        <f t="shared" si="1017"/>
        <v>0</v>
      </c>
    </row>
    <row r="1373" spans="1:100" ht="20.5" thickTop="1" thickBot="1" x14ac:dyDescent="0.5">
      <c r="A1373" s="32"/>
      <c r="B1373" s="10"/>
      <c r="C1373" s="10"/>
      <c r="D1373" s="11"/>
      <c r="E1373" s="10"/>
      <c r="F1373" s="10"/>
      <c r="G1373" s="19"/>
      <c r="H1373" s="19"/>
      <c r="I1373" s="19"/>
      <c r="J1373" s="19"/>
      <c r="K1373" s="10"/>
      <c r="L1373" s="10"/>
      <c r="M1373" s="10"/>
      <c r="N1373" s="10"/>
      <c r="O1373" s="18"/>
      <c r="P1373" s="18"/>
      <c r="Q1373" s="21"/>
      <c r="R1373" s="20"/>
      <c r="S1373" s="16">
        <f t="shared" si="973"/>
        <v>0</v>
      </c>
      <c r="T1373" s="11"/>
      <c r="AS1373" s="31">
        <f t="shared" si="974"/>
        <v>0</v>
      </c>
      <c r="AT1373" s="31">
        <f t="shared" si="975"/>
        <v>0</v>
      </c>
      <c r="AU1373" s="31">
        <f t="shared" si="976"/>
        <v>0</v>
      </c>
      <c r="AV1373" s="31">
        <f t="shared" si="977"/>
        <v>0</v>
      </c>
      <c r="AW1373" s="31">
        <f t="shared" si="978"/>
        <v>0</v>
      </c>
      <c r="AX1373" s="31">
        <f t="shared" si="979"/>
        <v>0</v>
      </c>
      <c r="AY1373" s="31">
        <f t="shared" si="980"/>
        <v>0</v>
      </c>
      <c r="AZ1373" s="31">
        <f t="shared" si="981"/>
        <v>0</v>
      </c>
      <c r="BA1373" s="31">
        <f t="shared" si="982"/>
        <v>0</v>
      </c>
      <c r="BB1373" s="31">
        <f t="shared" si="1011"/>
        <v>0</v>
      </c>
      <c r="BM1373" s="8">
        <f t="shared" si="1012"/>
        <v>0</v>
      </c>
      <c r="BN1373" s="8">
        <f t="shared" si="983"/>
        <v>0</v>
      </c>
      <c r="BO1373" s="8">
        <f t="shared" si="984"/>
        <v>0</v>
      </c>
      <c r="BQ1373" s="8">
        <f t="shared" si="985"/>
        <v>0</v>
      </c>
      <c r="BR1373" s="63">
        <f t="shared" si="986"/>
        <v>0</v>
      </c>
      <c r="BS1373" s="63">
        <f t="shared" si="1013"/>
        <v>0</v>
      </c>
      <c r="BT1373" s="63">
        <f t="shared" si="987"/>
        <v>0</v>
      </c>
      <c r="BU1373" s="63">
        <f t="shared" si="988"/>
        <v>0</v>
      </c>
      <c r="BV1373" s="57">
        <f t="shared" si="989"/>
        <v>0</v>
      </c>
      <c r="BW1373" s="57">
        <f t="shared" si="990"/>
        <v>0</v>
      </c>
      <c r="BX1373" s="57">
        <f t="shared" si="1014"/>
        <v>0</v>
      </c>
      <c r="BY1373" s="57">
        <f t="shared" ref="BY1373:BY1436" si="1018">IF(AND(OR(N1373="YES",N1373="HDD",N1373="EX PIPES"),K1373=""),D1373*(F1373+G1373),0)</f>
        <v>0</v>
      </c>
      <c r="BZ1373" s="8">
        <f t="shared" si="991"/>
        <v>0</v>
      </c>
      <c r="CA1373" s="8">
        <f t="shared" si="992"/>
        <v>0</v>
      </c>
      <c r="CB1373" s="8">
        <f t="shared" si="993"/>
        <v>0</v>
      </c>
      <c r="CC1373" s="8">
        <f t="shared" si="994"/>
        <v>0</v>
      </c>
      <c r="CD1373" s="8">
        <f t="shared" si="995"/>
        <v>0</v>
      </c>
      <c r="CE1373" s="8">
        <f t="shared" si="996"/>
        <v>0</v>
      </c>
      <c r="CF1373" s="8">
        <f t="shared" si="997"/>
        <v>0</v>
      </c>
      <c r="CG1373" s="8">
        <f t="shared" si="998"/>
        <v>0</v>
      </c>
      <c r="CH1373" s="8">
        <f t="shared" si="999"/>
        <v>0</v>
      </c>
      <c r="CI1373" s="8">
        <f t="shared" si="1000"/>
        <v>0</v>
      </c>
      <c r="CJ1373" s="8">
        <f t="shared" si="1001"/>
        <v>0</v>
      </c>
      <c r="CK1373" s="8">
        <f t="shared" si="1002"/>
        <v>0</v>
      </c>
      <c r="CL1373" s="8">
        <f t="shared" si="1003"/>
        <v>0</v>
      </c>
      <c r="CM1373" s="8">
        <f t="shared" si="1004"/>
        <v>0</v>
      </c>
      <c r="CN1373" s="8">
        <f t="shared" si="1005"/>
        <v>0</v>
      </c>
      <c r="CO1373" s="8">
        <f t="shared" si="1006"/>
        <v>0</v>
      </c>
      <c r="CP1373" s="8">
        <f t="shared" si="1007"/>
        <v>0</v>
      </c>
      <c r="CQ1373" s="8">
        <f t="shared" si="1008"/>
        <v>0</v>
      </c>
      <c r="CR1373" s="8">
        <f t="shared" si="1009"/>
        <v>0</v>
      </c>
      <c r="CS1373" s="8">
        <f t="shared" si="1010"/>
        <v>0</v>
      </c>
      <c r="CT1373" s="8">
        <f t="shared" si="1015"/>
        <v>0</v>
      </c>
      <c r="CU1373" s="8">
        <f t="shared" si="1016"/>
        <v>0</v>
      </c>
      <c r="CV1373" s="8">
        <f t="shared" si="1017"/>
        <v>0</v>
      </c>
    </row>
    <row r="1374" spans="1:100" ht="20.5" thickTop="1" thickBot="1" x14ac:dyDescent="0.5">
      <c r="A1374" s="32"/>
      <c r="B1374" s="10"/>
      <c r="C1374" s="10"/>
      <c r="D1374" s="11"/>
      <c r="E1374" s="10"/>
      <c r="F1374" s="10"/>
      <c r="G1374" s="19"/>
      <c r="H1374" s="19"/>
      <c r="I1374" s="19"/>
      <c r="J1374" s="19"/>
      <c r="K1374" s="10"/>
      <c r="L1374" s="10"/>
      <c r="M1374" s="10"/>
      <c r="N1374" s="10"/>
      <c r="O1374" s="18"/>
      <c r="P1374" s="18"/>
      <c r="Q1374" s="21"/>
      <c r="R1374" s="20"/>
      <c r="S1374" s="16">
        <f t="shared" si="973"/>
        <v>0</v>
      </c>
      <c r="T1374" s="11"/>
      <c r="AS1374" s="31">
        <f t="shared" si="974"/>
        <v>0</v>
      </c>
      <c r="AT1374" s="31">
        <f t="shared" si="975"/>
        <v>0</v>
      </c>
      <c r="AU1374" s="31">
        <f t="shared" si="976"/>
        <v>0</v>
      </c>
      <c r="AV1374" s="31">
        <f t="shared" si="977"/>
        <v>0</v>
      </c>
      <c r="AW1374" s="31">
        <f t="shared" si="978"/>
        <v>0</v>
      </c>
      <c r="AX1374" s="31">
        <f t="shared" si="979"/>
        <v>0</v>
      </c>
      <c r="AY1374" s="31">
        <f t="shared" si="980"/>
        <v>0</v>
      </c>
      <c r="AZ1374" s="31">
        <f t="shared" si="981"/>
        <v>0</v>
      </c>
      <c r="BA1374" s="31">
        <f t="shared" si="982"/>
        <v>0</v>
      </c>
      <c r="BB1374" s="31">
        <f t="shared" si="1011"/>
        <v>0</v>
      </c>
      <c r="BM1374" s="8">
        <f t="shared" si="1012"/>
        <v>0</v>
      </c>
      <c r="BN1374" s="8">
        <f t="shared" si="983"/>
        <v>0</v>
      </c>
      <c r="BO1374" s="8">
        <f t="shared" si="984"/>
        <v>0</v>
      </c>
      <c r="BQ1374" s="8">
        <f t="shared" si="985"/>
        <v>0</v>
      </c>
      <c r="BR1374" s="63">
        <f t="shared" si="986"/>
        <v>0</v>
      </c>
      <c r="BS1374" s="63">
        <f t="shared" si="1013"/>
        <v>0</v>
      </c>
      <c r="BT1374" s="63">
        <f t="shared" si="987"/>
        <v>0</v>
      </c>
      <c r="BU1374" s="63">
        <f t="shared" si="988"/>
        <v>0</v>
      </c>
      <c r="BV1374" s="57">
        <f t="shared" si="989"/>
        <v>0</v>
      </c>
      <c r="BW1374" s="57">
        <f t="shared" si="990"/>
        <v>0</v>
      </c>
      <c r="BX1374" s="57">
        <f t="shared" si="1014"/>
        <v>0</v>
      </c>
      <c r="BY1374" s="57">
        <f t="shared" si="1018"/>
        <v>0</v>
      </c>
      <c r="BZ1374" s="8">
        <f t="shared" si="991"/>
        <v>0</v>
      </c>
      <c r="CA1374" s="8">
        <f t="shared" si="992"/>
        <v>0</v>
      </c>
      <c r="CB1374" s="8">
        <f t="shared" si="993"/>
        <v>0</v>
      </c>
      <c r="CC1374" s="8">
        <f t="shared" si="994"/>
        <v>0</v>
      </c>
      <c r="CD1374" s="8">
        <f t="shared" si="995"/>
        <v>0</v>
      </c>
      <c r="CE1374" s="8">
        <f t="shared" si="996"/>
        <v>0</v>
      </c>
      <c r="CF1374" s="8">
        <f t="shared" si="997"/>
        <v>0</v>
      </c>
      <c r="CG1374" s="8">
        <f t="shared" si="998"/>
        <v>0</v>
      </c>
      <c r="CH1374" s="8">
        <f t="shared" si="999"/>
        <v>0</v>
      </c>
      <c r="CI1374" s="8">
        <f t="shared" si="1000"/>
        <v>0</v>
      </c>
      <c r="CJ1374" s="8">
        <f t="shared" si="1001"/>
        <v>0</v>
      </c>
      <c r="CK1374" s="8">
        <f t="shared" si="1002"/>
        <v>0</v>
      </c>
      <c r="CL1374" s="8">
        <f t="shared" si="1003"/>
        <v>0</v>
      </c>
      <c r="CM1374" s="8">
        <f t="shared" si="1004"/>
        <v>0</v>
      </c>
      <c r="CN1374" s="8">
        <f t="shared" si="1005"/>
        <v>0</v>
      </c>
      <c r="CO1374" s="8">
        <f t="shared" si="1006"/>
        <v>0</v>
      </c>
      <c r="CP1374" s="8">
        <f t="shared" si="1007"/>
        <v>0</v>
      </c>
      <c r="CQ1374" s="8">
        <f t="shared" si="1008"/>
        <v>0</v>
      </c>
      <c r="CR1374" s="8">
        <f t="shared" si="1009"/>
        <v>0</v>
      </c>
      <c r="CS1374" s="8">
        <f t="shared" si="1010"/>
        <v>0</v>
      </c>
      <c r="CT1374" s="8">
        <f t="shared" si="1015"/>
        <v>0</v>
      </c>
      <c r="CU1374" s="8">
        <f t="shared" si="1016"/>
        <v>0</v>
      </c>
      <c r="CV1374" s="8">
        <f t="shared" si="1017"/>
        <v>0</v>
      </c>
    </row>
    <row r="1375" spans="1:100" ht="20.5" thickTop="1" thickBot="1" x14ac:dyDescent="0.5">
      <c r="A1375" s="32"/>
      <c r="B1375" s="10"/>
      <c r="C1375" s="10"/>
      <c r="D1375" s="11"/>
      <c r="E1375" s="10"/>
      <c r="F1375" s="10"/>
      <c r="G1375" s="19"/>
      <c r="H1375" s="19"/>
      <c r="I1375" s="19"/>
      <c r="J1375" s="19"/>
      <c r="K1375" s="10"/>
      <c r="L1375" s="10"/>
      <c r="M1375" s="10"/>
      <c r="N1375" s="10"/>
      <c r="O1375" s="18"/>
      <c r="P1375" s="18"/>
      <c r="Q1375" s="21"/>
      <c r="R1375" s="20"/>
      <c r="S1375" s="16">
        <f t="shared" si="973"/>
        <v>0</v>
      </c>
      <c r="T1375" s="11"/>
      <c r="AS1375" s="31">
        <f t="shared" si="974"/>
        <v>0</v>
      </c>
      <c r="AT1375" s="31">
        <f t="shared" si="975"/>
        <v>0</v>
      </c>
      <c r="AU1375" s="31">
        <f t="shared" si="976"/>
        <v>0</v>
      </c>
      <c r="AV1375" s="31">
        <f t="shared" si="977"/>
        <v>0</v>
      </c>
      <c r="AW1375" s="31">
        <f t="shared" si="978"/>
        <v>0</v>
      </c>
      <c r="AX1375" s="31">
        <f t="shared" si="979"/>
        <v>0</v>
      </c>
      <c r="AY1375" s="31">
        <f t="shared" si="980"/>
        <v>0</v>
      </c>
      <c r="AZ1375" s="31">
        <f t="shared" si="981"/>
        <v>0</v>
      </c>
      <c r="BA1375" s="31">
        <f t="shared" si="982"/>
        <v>0</v>
      </c>
      <c r="BB1375" s="31">
        <f t="shared" si="1011"/>
        <v>0</v>
      </c>
      <c r="BM1375" s="8">
        <f t="shared" si="1012"/>
        <v>0</v>
      </c>
      <c r="BN1375" s="8">
        <f t="shared" si="983"/>
        <v>0</v>
      </c>
      <c r="BO1375" s="8">
        <f t="shared" si="984"/>
        <v>0</v>
      </c>
      <c r="BQ1375" s="8">
        <f t="shared" si="985"/>
        <v>0</v>
      </c>
      <c r="BR1375" s="63">
        <f t="shared" si="986"/>
        <v>0</v>
      </c>
      <c r="BS1375" s="63">
        <f t="shared" si="1013"/>
        <v>0</v>
      </c>
      <c r="BT1375" s="63">
        <f t="shared" si="987"/>
        <v>0</v>
      </c>
      <c r="BU1375" s="63">
        <f t="shared" si="988"/>
        <v>0</v>
      </c>
      <c r="BV1375" s="57">
        <f t="shared" si="989"/>
        <v>0</v>
      </c>
      <c r="BW1375" s="57">
        <f t="shared" si="990"/>
        <v>0</v>
      </c>
      <c r="BX1375" s="57">
        <f t="shared" si="1014"/>
        <v>0</v>
      </c>
      <c r="BY1375" s="57">
        <f t="shared" si="1018"/>
        <v>0</v>
      </c>
      <c r="BZ1375" s="8">
        <f t="shared" si="991"/>
        <v>0</v>
      </c>
      <c r="CA1375" s="8">
        <f t="shared" si="992"/>
        <v>0</v>
      </c>
      <c r="CB1375" s="8">
        <f t="shared" si="993"/>
        <v>0</v>
      </c>
      <c r="CC1375" s="8">
        <f t="shared" si="994"/>
        <v>0</v>
      </c>
      <c r="CD1375" s="8">
        <f t="shared" si="995"/>
        <v>0</v>
      </c>
      <c r="CE1375" s="8">
        <f t="shared" si="996"/>
        <v>0</v>
      </c>
      <c r="CF1375" s="8">
        <f t="shared" si="997"/>
        <v>0</v>
      </c>
      <c r="CG1375" s="8">
        <f t="shared" si="998"/>
        <v>0</v>
      </c>
      <c r="CH1375" s="8">
        <f t="shared" si="999"/>
        <v>0</v>
      </c>
      <c r="CI1375" s="8">
        <f t="shared" si="1000"/>
        <v>0</v>
      </c>
      <c r="CJ1375" s="8">
        <f t="shared" si="1001"/>
        <v>0</v>
      </c>
      <c r="CK1375" s="8">
        <f t="shared" si="1002"/>
        <v>0</v>
      </c>
      <c r="CL1375" s="8">
        <f t="shared" si="1003"/>
        <v>0</v>
      </c>
      <c r="CM1375" s="8">
        <f t="shared" si="1004"/>
        <v>0</v>
      </c>
      <c r="CN1375" s="8">
        <f t="shared" si="1005"/>
        <v>0</v>
      </c>
      <c r="CO1375" s="8">
        <f t="shared" si="1006"/>
        <v>0</v>
      </c>
      <c r="CP1375" s="8">
        <f t="shared" si="1007"/>
        <v>0</v>
      </c>
      <c r="CQ1375" s="8">
        <f t="shared" si="1008"/>
        <v>0</v>
      </c>
      <c r="CR1375" s="8">
        <f t="shared" si="1009"/>
        <v>0</v>
      </c>
      <c r="CS1375" s="8">
        <f t="shared" si="1010"/>
        <v>0</v>
      </c>
      <c r="CT1375" s="8">
        <f t="shared" si="1015"/>
        <v>0</v>
      </c>
      <c r="CU1375" s="8">
        <f t="shared" si="1016"/>
        <v>0</v>
      </c>
      <c r="CV1375" s="8">
        <f t="shared" si="1017"/>
        <v>0</v>
      </c>
    </row>
    <row r="1376" spans="1:100" ht="20.5" thickTop="1" thickBot="1" x14ac:dyDescent="0.5">
      <c r="A1376" s="32"/>
      <c r="B1376" s="10"/>
      <c r="C1376" s="10"/>
      <c r="D1376" s="11"/>
      <c r="E1376" s="10"/>
      <c r="F1376" s="10"/>
      <c r="G1376" s="19"/>
      <c r="H1376" s="19"/>
      <c r="I1376" s="19"/>
      <c r="J1376" s="19"/>
      <c r="K1376" s="10"/>
      <c r="L1376" s="10"/>
      <c r="M1376" s="10"/>
      <c r="N1376" s="10"/>
      <c r="O1376" s="18"/>
      <c r="P1376" s="18"/>
      <c r="Q1376" s="21"/>
      <c r="R1376" s="20"/>
      <c r="S1376" s="16">
        <f t="shared" si="973"/>
        <v>0</v>
      </c>
      <c r="T1376" s="11"/>
      <c r="AS1376" s="31">
        <f t="shared" si="974"/>
        <v>0</v>
      </c>
      <c r="AT1376" s="31">
        <f t="shared" si="975"/>
        <v>0</v>
      </c>
      <c r="AU1376" s="31">
        <f t="shared" si="976"/>
        <v>0</v>
      </c>
      <c r="AV1376" s="31">
        <f t="shared" si="977"/>
        <v>0</v>
      </c>
      <c r="AW1376" s="31">
        <f t="shared" si="978"/>
        <v>0</v>
      </c>
      <c r="AX1376" s="31">
        <f t="shared" si="979"/>
        <v>0</v>
      </c>
      <c r="AY1376" s="31">
        <f t="shared" si="980"/>
        <v>0</v>
      </c>
      <c r="AZ1376" s="31">
        <f t="shared" si="981"/>
        <v>0</v>
      </c>
      <c r="BA1376" s="31">
        <f t="shared" si="982"/>
        <v>0</v>
      </c>
      <c r="BB1376" s="31">
        <f t="shared" si="1011"/>
        <v>0</v>
      </c>
      <c r="BM1376" s="8">
        <f t="shared" si="1012"/>
        <v>0</v>
      </c>
      <c r="BN1376" s="8">
        <f t="shared" si="983"/>
        <v>0</v>
      </c>
      <c r="BO1376" s="8">
        <f t="shared" si="984"/>
        <v>0</v>
      </c>
      <c r="BQ1376" s="8">
        <f t="shared" si="985"/>
        <v>0</v>
      </c>
      <c r="BR1376" s="63">
        <f t="shared" si="986"/>
        <v>0</v>
      </c>
      <c r="BS1376" s="63">
        <f t="shared" si="1013"/>
        <v>0</v>
      </c>
      <c r="BT1376" s="63">
        <f t="shared" si="987"/>
        <v>0</v>
      </c>
      <c r="BU1376" s="63">
        <f t="shared" si="988"/>
        <v>0</v>
      </c>
      <c r="BV1376" s="57">
        <f t="shared" si="989"/>
        <v>0</v>
      </c>
      <c r="BW1376" s="57">
        <f t="shared" si="990"/>
        <v>0</v>
      </c>
      <c r="BX1376" s="57">
        <f t="shared" si="1014"/>
        <v>0</v>
      </c>
      <c r="BY1376" s="57">
        <f t="shared" si="1018"/>
        <v>0</v>
      </c>
      <c r="BZ1376" s="8">
        <f t="shared" si="991"/>
        <v>0</v>
      </c>
      <c r="CA1376" s="8">
        <f t="shared" si="992"/>
        <v>0</v>
      </c>
      <c r="CB1376" s="8">
        <f t="shared" si="993"/>
        <v>0</v>
      </c>
      <c r="CC1376" s="8">
        <f t="shared" si="994"/>
        <v>0</v>
      </c>
      <c r="CD1376" s="8">
        <f t="shared" si="995"/>
        <v>0</v>
      </c>
      <c r="CE1376" s="8">
        <f t="shared" si="996"/>
        <v>0</v>
      </c>
      <c r="CF1376" s="8">
        <f t="shared" si="997"/>
        <v>0</v>
      </c>
      <c r="CG1376" s="8">
        <f t="shared" si="998"/>
        <v>0</v>
      </c>
      <c r="CH1376" s="8">
        <f t="shared" si="999"/>
        <v>0</v>
      </c>
      <c r="CI1376" s="8">
        <f t="shared" si="1000"/>
        <v>0</v>
      </c>
      <c r="CJ1376" s="8">
        <f t="shared" si="1001"/>
        <v>0</v>
      </c>
      <c r="CK1376" s="8">
        <f t="shared" si="1002"/>
        <v>0</v>
      </c>
      <c r="CL1376" s="8">
        <f t="shared" si="1003"/>
        <v>0</v>
      </c>
      <c r="CM1376" s="8">
        <f t="shared" si="1004"/>
        <v>0</v>
      </c>
      <c r="CN1376" s="8">
        <f t="shared" si="1005"/>
        <v>0</v>
      </c>
      <c r="CO1376" s="8">
        <f t="shared" si="1006"/>
        <v>0</v>
      </c>
      <c r="CP1376" s="8">
        <f t="shared" si="1007"/>
        <v>0</v>
      </c>
      <c r="CQ1376" s="8">
        <f t="shared" si="1008"/>
        <v>0</v>
      </c>
      <c r="CR1376" s="8">
        <f t="shared" si="1009"/>
        <v>0</v>
      </c>
      <c r="CS1376" s="8">
        <f t="shared" si="1010"/>
        <v>0</v>
      </c>
      <c r="CT1376" s="8">
        <f t="shared" si="1015"/>
        <v>0</v>
      </c>
      <c r="CU1376" s="8">
        <f t="shared" si="1016"/>
        <v>0</v>
      </c>
      <c r="CV1376" s="8">
        <f t="shared" si="1017"/>
        <v>0</v>
      </c>
    </row>
    <row r="1377" spans="1:100" ht="20.5" thickTop="1" thickBot="1" x14ac:dyDescent="0.5">
      <c r="A1377" s="32"/>
      <c r="B1377" s="10"/>
      <c r="C1377" s="10"/>
      <c r="D1377" s="11"/>
      <c r="E1377" s="10"/>
      <c r="F1377" s="10"/>
      <c r="G1377" s="19"/>
      <c r="H1377" s="19"/>
      <c r="I1377" s="19"/>
      <c r="J1377" s="19"/>
      <c r="K1377" s="10"/>
      <c r="L1377" s="10"/>
      <c r="M1377" s="10"/>
      <c r="N1377" s="10"/>
      <c r="O1377" s="18"/>
      <c r="P1377" s="18"/>
      <c r="Q1377" s="21"/>
      <c r="R1377" s="20"/>
      <c r="S1377" s="16">
        <f t="shared" si="973"/>
        <v>0</v>
      </c>
      <c r="T1377" s="11"/>
      <c r="AS1377" s="31">
        <f t="shared" si="974"/>
        <v>0</v>
      </c>
      <c r="AT1377" s="31">
        <f t="shared" si="975"/>
        <v>0</v>
      </c>
      <c r="AU1377" s="31">
        <f t="shared" si="976"/>
        <v>0</v>
      </c>
      <c r="AV1377" s="31">
        <f t="shared" si="977"/>
        <v>0</v>
      </c>
      <c r="AW1377" s="31">
        <f t="shared" si="978"/>
        <v>0</v>
      </c>
      <c r="AX1377" s="31">
        <f t="shared" si="979"/>
        <v>0</v>
      </c>
      <c r="AY1377" s="31">
        <f t="shared" si="980"/>
        <v>0</v>
      </c>
      <c r="AZ1377" s="31">
        <f t="shared" si="981"/>
        <v>0</v>
      </c>
      <c r="BA1377" s="31">
        <f t="shared" si="982"/>
        <v>0</v>
      </c>
      <c r="BB1377" s="31">
        <f t="shared" si="1011"/>
        <v>0</v>
      </c>
      <c r="BM1377" s="8">
        <f t="shared" si="1012"/>
        <v>0</v>
      </c>
      <c r="BN1377" s="8">
        <f t="shared" si="983"/>
        <v>0</v>
      </c>
      <c r="BO1377" s="8">
        <f t="shared" si="984"/>
        <v>0</v>
      </c>
      <c r="BQ1377" s="8">
        <f t="shared" si="985"/>
        <v>0</v>
      </c>
      <c r="BR1377" s="63">
        <f t="shared" si="986"/>
        <v>0</v>
      </c>
      <c r="BS1377" s="63">
        <f t="shared" si="1013"/>
        <v>0</v>
      </c>
      <c r="BT1377" s="63">
        <f t="shared" si="987"/>
        <v>0</v>
      </c>
      <c r="BU1377" s="63">
        <f t="shared" si="988"/>
        <v>0</v>
      </c>
      <c r="BV1377" s="57">
        <f t="shared" si="989"/>
        <v>0</v>
      </c>
      <c r="BW1377" s="57">
        <f t="shared" si="990"/>
        <v>0</v>
      </c>
      <c r="BX1377" s="57">
        <f t="shared" si="1014"/>
        <v>0</v>
      </c>
      <c r="BY1377" s="57">
        <f t="shared" si="1018"/>
        <v>0</v>
      </c>
      <c r="BZ1377" s="8">
        <f t="shared" si="991"/>
        <v>0</v>
      </c>
      <c r="CA1377" s="8">
        <f t="shared" si="992"/>
        <v>0</v>
      </c>
      <c r="CB1377" s="8">
        <f t="shared" si="993"/>
        <v>0</v>
      </c>
      <c r="CC1377" s="8">
        <f t="shared" si="994"/>
        <v>0</v>
      </c>
      <c r="CD1377" s="8">
        <f t="shared" si="995"/>
        <v>0</v>
      </c>
      <c r="CE1377" s="8">
        <f t="shared" si="996"/>
        <v>0</v>
      </c>
      <c r="CF1377" s="8">
        <f t="shared" si="997"/>
        <v>0</v>
      </c>
      <c r="CG1377" s="8">
        <f t="shared" si="998"/>
        <v>0</v>
      </c>
      <c r="CH1377" s="8">
        <f t="shared" si="999"/>
        <v>0</v>
      </c>
      <c r="CI1377" s="8">
        <f t="shared" si="1000"/>
        <v>0</v>
      </c>
      <c r="CJ1377" s="8">
        <f t="shared" si="1001"/>
        <v>0</v>
      </c>
      <c r="CK1377" s="8">
        <f t="shared" si="1002"/>
        <v>0</v>
      </c>
      <c r="CL1377" s="8">
        <f t="shared" si="1003"/>
        <v>0</v>
      </c>
      <c r="CM1377" s="8">
        <f t="shared" si="1004"/>
        <v>0</v>
      </c>
      <c r="CN1377" s="8">
        <f t="shared" si="1005"/>
        <v>0</v>
      </c>
      <c r="CO1377" s="8">
        <f t="shared" si="1006"/>
        <v>0</v>
      </c>
      <c r="CP1377" s="8">
        <f t="shared" si="1007"/>
        <v>0</v>
      </c>
      <c r="CQ1377" s="8">
        <f t="shared" si="1008"/>
        <v>0</v>
      </c>
      <c r="CR1377" s="8">
        <f t="shared" si="1009"/>
        <v>0</v>
      </c>
      <c r="CS1377" s="8">
        <f t="shared" si="1010"/>
        <v>0</v>
      </c>
      <c r="CT1377" s="8">
        <f t="shared" si="1015"/>
        <v>0</v>
      </c>
      <c r="CU1377" s="8">
        <f t="shared" si="1016"/>
        <v>0</v>
      </c>
      <c r="CV1377" s="8">
        <f t="shared" si="1017"/>
        <v>0</v>
      </c>
    </row>
    <row r="1378" spans="1:100" ht="20.5" thickTop="1" thickBot="1" x14ac:dyDescent="0.5">
      <c r="A1378" s="32"/>
      <c r="B1378" s="10"/>
      <c r="C1378" s="10"/>
      <c r="D1378" s="11"/>
      <c r="E1378" s="10"/>
      <c r="F1378" s="10"/>
      <c r="G1378" s="19"/>
      <c r="H1378" s="19"/>
      <c r="I1378" s="19"/>
      <c r="J1378" s="19"/>
      <c r="K1378" s="10"/>
      <c r="L1378" s="10"/>
      <c r="M1378" s="10"/>
      <c r="N1378" s="10"/>
      <c r="O1378" s="18"/>
      <c r="P1378" s="18"/>
      <c r="Q1378" s="21"/>
      <c r="R1378" s="20"/>
      <c r="S1378" s="16">
        <f t="shared" si="973"/>
        <v>0</v>
      </c>
      <c r="T1378" s="11"/>
      <c r="AS1378" s="31">
        <f t="shared" si="974"/>
        <v>0</v>
      </c>
      <c r="AT1378" s="31">
        <f t="shared" si="975"/>
        <v>0</v>
      </c>
      <c r="AU1378" s="31">
        <f t="shared" si="976"/>
        <v>0</v>
      </c>
      <c r="AV1378" s="31">
        <f t="shared" si="977"/>
        <v>0</v>
      </c>
      <c r="AW1378" s="31">
        <f t="shared" si="978"/>
        <v>0</v>
      </c>
      <c r="AX1378" s="31">
        <f t="shared" si="979"/>
        <v>0</v>
      </c>
      <c r="AY1378" s="31">
        <f t="shared" si="980"/>
        <v>0</v>
      </c>
      <c r="AZ1378" s="31">
        <f t="shared" si="981"/>
        <v>0</v>
      </c>
      <c r="BA1378" s="31">
        <f t="shared" si="982"/>
        <v>0</v>
      </c>
      <c r="BB1378" s="31">
        <f t="shared" si="1011"/>
        <v>0</v>
      </c>
      <c r="BM1378" s="8">
        <f t="shared" si="1012"/>
        <v>0</v>
      </c>
      <c r="BN1378" s="8">
        <f t="shared" si="983"/>
        <v>0</v>
      </c>
      <c r="BO1378" s="8">
        <f t="shared" si="984"/>
        <v>0</v>
      </c>
      <c r="BQ1378" s="8">
        <f t="shared" si="985"/>
        <v>0</v>
      </c>
      <c r="BR1378" s="63">
        <f t="shared" si="986"/>
        <v>0</v>
      </c>
      <c r="BS1378" s="63">
        <f t="shared" si="1013"/>
        <v>0</v>
      </c>
      <c r="BT1378" s="63">
        <f t="shared" si="987"/>
        <v>0</v>
      </c>
      <c r="BU1378" s="63">
        <f t="shared" si="988"/>
        <v>0</v>
      </c>
      <c r="BV1378" s="57">
        <f t="shared" si="989"/>
        <v>0</v>
      </c>
      <c r="BW1378" s="57">
        <f t="shared" si="990"/>
        <v>0</v>
      </c>
      <c r="BX1378" s="57">
        <f t="shared" si="1014"/>
        <v>0</v>
      </c>
      <c r="BY1378" s="57">
        <f t="shared" si="1018"/>
        <v>0</v>
      </c>
      <c r="BZ1378" s="8">
        <f t="shared" si="991"/>
        <v>0</v>
      </c>
      <c r="CA1378" s="8">
        <f t="shared" si="992"/>
        <v>0</v>
      </c>
      <c r="CB1378" s="8">
        <f t="shared" si="993"/>
        <v>0</v>
      </c>
      <c r="CC1378" s="8">
        <f t="shared" si="994"/>
        <v>0</v>
      </c>
      <c r="CD1378" s="8">
        <f t="shared" si="995"/>
        <v>0</v>
      </c>
      <c r="CE1378" s="8">
        <f t="shared" si="996"/>
        <v>0</v>
      </c>
      <c r="CF1378" s="8">
        <f t="shared" si="997"/>
        <v>0</v>
      </c>
      <c r="CG1378" s="8">
        <f t="shared" si="998"/>
        <v>0</v>
      </c>
      <c r="CH1378" s="8">
        <f t="shared" si="999"/>
        <v>0</v>
      </c>
      <c r="CI1378" s="8">
        <f t="shared" si="1000"/>
        <v>0</v>
      </c>
      <c r="CJ1378" s="8">
        <f t="shared" si="1001"/>
        <v>0</v>
      </c>
      <c r="CK1378" s="8">
        <f t="shared" si="1002"/>
        <v>0</v>
      </c>
      <c r="CL1378" s="8">
        <f t="shared" si="1003"/>
        <v>0</v>
      </c>
      <c r="CM1378" s="8">
        <f t="shared" si="1004"/>
        <v>0</v>
      </c>
      <c r="CN1378" s="8">
        <f t="shared" si="1005"/>
        <v>0</v>
      </c>
      <c r="CO1378" s="8">
        <f t="shared" si="1006"/>
        <v>0</v>
      </c>
      <c r="CP1378" s="8">
        <f t="shared" si="1007"/>
        <v>0</v>
      </c>
      <c r="CQ1378" s="8">
        <f t="shared" si="1008"/>
        <v>0</v>
      </c>
      <c r="CR1378" s="8">
        <f t="shared" si="1009"/>
        <v>0</v>
      </c>
      <c r="CS1378" s="8">
        <f t="shared" si="1010"/>
        <v>0</v>
      </c>
      <c r="CT1378" s="8">
        <f t="shared" si="1015"/>
        <v>0</v>
      </c>
      <c r="CU1378" s="8">
        <f t="shared" si="1016"/>
        <v>0</v>
      </c>
      <c r="CV1378" s="8">
        <f t="shared" si="1017"/>
        <v>0</v>
      </c>
    </row>
    <row r="1379" spans="1:100" ht="20.5" thickTop="1" thickBot="1" x14ac:dyDescent="0.5">
      <c r="A1379" s="32"/>
      <c r="B1379" s="10"/>
      <c r="C1379" s="10"/>
      <c r="D1379" s="11"/>
      <c r="E1379" s="10"/>
      <c r="F1379" s="10"/>
      <c r="G1379" s="19"/>
      <c r="H1379" s="19"/>
      <c r="I1379" s="19"/>
      <c r="J1379" s="19"/>
      <c r="K1379" s="10"/>
      <c r="L1379" s="10"/>
      <c r="M1379" s="10"/>
      <c r="N1379" s="10"/>
      <c r="O1379" s="18"/>
      <c r="P1379" s="18"/>
      <c r="Q1379" s="21"/>
      <c r="R1379" s="20"/>
      <c r="S1379" s="16">
        <f t="shared" si="973"/>
        <v>0</v>
      </c>
      <c r="T1379" s="11"/>
      <c r="AS1379" s="31">
        <f t="shared" si="974"/>
        <v>0</v>
      </c>
      <c r="AT1379" s="31">
        <f t="shared" si="975"/>
        <v>0</v>
      </c>
      <c r="AU1379" s="31">
        <f t="shared" si="976"/>
        <v>0</v>
      </c>
      <c r="AV1379" s="31">
        <f t="shared" si="977"/>
        <v>0</v>
      </c>
      <c r="AW1379" s="31">
        <f t="shared" si="978"/>
        <v>0</v>
      </c>
      <c r="AX1379" s="31">
        <f t="shared" si="979"/>
        <v>0</v>
      </c>
      <c r="AY1379" s="31">
        <f t="shared" si="980"/>
        <v>0</v>
      </c>
      <c r="AZ1379" s="31">
        <f t="shared" si="981"/>
        <v>0</v>
      </c>
      <c r="BA1379" s="31">
        <f t="shared" si="982"/>
        <v>0</v>
      </c>
      <c r="BB1379" s="31">
        <f t="shared" si="1011"/>
        <v>0</v>
      </c>
      <c r="BM1379" s="8">
        <f t="shared" si="1012"/>
        <v>0</v>
      </c>
      <c r="BN1379" s="8">
        <f t="shared" si="983"/>
        <v>0</v>
      </c>
      <c r="BO1379" s="8">
        <f t="shared" si="984"/>
        <v>0</v>
      </c>
      <c r="BQ1379" s="8">
        <f t="shared" si="985"/>
        <v>0</v>
      </c>
      <c r="BR1379" s="63">
        <f t="shared" si="986"/>
        <v>0</v>
      </c>
      <c r="BS1379" s="63">
        <f t="shared" si="1013"/>
        <v>0</v>
      </c>
      <c r="BT1379" s="63">
        <f t="shared" si="987"/>
        <v>0</v>
      </c>
      <c r="BU1379" s="63">
        <f t="shared" si="988"/>
        <v>0</v>
      </c>
      <c r="BV1379" s="57">
        <f t="shared" si="989"/>
        <v>0</v>
      </c>
      <c r="BW1379" s="57">
        <f t="shared" si="990"/>
        <v>0</v>
      </c>
      <c r="BX1379" s="57">
        <f t="shared" si="1014"/>
        <v>0</v>
      </c>
      <c r="BY1379" s="57">
        <f t="shared" si="1018"/>
        <v>0</v>
      </c>
      <c r="BZ1379" s="8">
        <f t="shared" si="991"/>
        <v>0</v>
      </c>
      <c r="CA1379" s="8">
        <f t="shared" si="992"/>
        <v>0</v>
      </c>
      <c r="CB1379" s="8">
        <f t="shared" si="993"/>
        <v>0</v>
      </c>
      <c r="CC1379" s="8">
        <f t="shared" si="994"/>
        <v>0</v>
      </c>
      <c r="CD1379" s="8">
        <f t="shared" si="995"/>
        <v>0</v>
      </c>
      <c r="CE1379" s="8">
        <f t="shared" si="996"/>
        <v>0</v>
      </c>
      <c r="CF1379" s="8">
        <f t="shared" si="997"/>
        <v>0</v>
      </c>
      <c r="CG1379" s="8">
        <f t="shared" si="998"/>
        <v>0</v>
      </c>
      <c r="CH1379" s="8">
        <f t="shared" si="999"/>
        <v>0</v>
      </c>
      <c r="CI1379" s="8">
        <f t="shared" si="1000"/>
        <v>0</v>
      </c>
      <c r="CJ1379" s="8">
        <f t="shared" si="1001"/>
        <v>0</v>
      </c>
      <c r="CK1379" s="8">
        <f t="shared" si="1002"/>
        <v>0</v>
      </c>
      <c r="CL1379" s="8">
        <f t="shared" si="1003"/>
        <v>0</v>
      </c>
      <c r="CM1379" s="8">
        <f t="shared" si="1004"/>
        <v>0</v>
      </c>
      <c r="CN1379" s="8">
        <f t="shared" si="1005"/>
        <v>0</v>
      </c>
      <c r="CO1379" s="8">
        <f t="shared" si="1006"/>
        <v>0</v>
      </c>
      <c r="CP1379" s="8">
        <f t="shared" si="1007"/>
        <v>0</v>
      </c>
      <c r="CQ1379" s="8">
        <f t="shared" si="1008"/>
        <v>0</v>
      </c>
      <c r="CR1379" s="8">
        <f t="shared" si="1009"/>
        <v>0</v>
      </c>
      <c r="CS1379" s="8">
        <f t="shared" si="1010"/>
        <v>0</v>
      </c>
      <c r="CT1379" s="8">
        <f t="shared" si="1015"/>
        <v>0</v>
      </c>
      <c r="CU1379" s="8">
        <f t="shared" si="1016"/>
        <v>0</v>
      </c>
      <c r="CV1379" s="8">
        <f t="shared" si="1017"/>
        <v>0</v>
      </c>
    </row>
    <row r="1380" spans="1:100" ht="20.5" thickTop="1" thickBot="1" x14ac:dyDescent="0.5">
      <c r="A1380" s="32"/>
      <c r="B1380" s="10"/>
      <c r="C1380" s="10"/>
      <c r="D1380" s="11"/>
      <c r="E1380" s="10"/>
      <c r="F1380" s="10"/>
      <c r="G1380" s="19"/>
      <c r="H1380" s="19"/>
      <c r="I1380" s="19"/>
      <c r="J1380" s="19"/>
      <c r="K1380" s="10"/>
      <c r="L1380" s="10"/>
      <c r="M1380" s="10"/>
      <c r="N1380" s="10"/>
      <c r="O1380" s="18"/>
      <c r="P1380" s="18"/>
      <c r="Q1380" s="21"/>
      <c r="R1380" s="20"/>
      <c r="S1380" s="16">
        <f t="shared" si="973"/>
        <v>0</v>
      </c>
      <c r="T1380" s="11"/>
      <c r="AS1380" s="31">
        <f t="shared" si="974"/>
        <v>0</v>
      </c>
      <c r="AT1380" s="31">
        <f t="shared" si="975"/>
        <v>0</v>
      </c>
      <c r="AU1380" s="31">
        <f t="shared" si="976"/>
        <v>0</v>
      </c>
      <c r="AV1380" s="31">
        <f t="shared" si="977"/>
        <v>0</v>
      </c>
      <c r="AW1380" s="31">
        <f t="shared" si="978"/>
        <v>0</v>
      </c>
      <c r="AX1380" s="31">
        <f t="shared" si="979"/>
        <v>0</v>
      </c>
      <c r="AY1380" s="31">
        <f t="shared" si="980"/>
        <v>0</v>
      </c>
      <c r="AZ1380" s="31">
        <f t="shared" si="981"/>
        <v>0</v>
      </c>
      <c r="BA1380" s="31">
        <f t="shared" si="982"/>
        <v>0</v>
      </c>
      <c r="BB1380" s="31">
        <f t="shared" si="1011"/>
        <v>0</v>
      </c>
      <c r="BM1380" s="8">
        <f t="shared" si="1012"/>
        <v>0</v>
      </c>
      <c r="BN1380" s="8">
        <f t="shared" si="983"/>
        <v>0</v>
      </c>
      <c r="BO1380" s="8">
        <f t="shared" si="984"/>
        <v>0</v>
      </c>
      <c r="BQ1380" s="8">
        <f t="shared" si="985"/>
        <v>0</v>
      </c>
      <c r="BR1380" s="63">
        <f t="shared" si="986"/>
        <v>0</v>
      </c>
      <c r="BS1380" s="63">
        <f t="shared" si="1013"/>
        <v>0</v>
      </c>
      <c r="BT1380" s="63">
        <f t="shared" si="987"/>
        <v>0</v>
      </c>
      <c r="BU1380" s="63">
        <f t="shared" si="988"/>
        <v>0</v>
      </c>
      <c r="BV1380" s="57">
        <f t="shared" si="989"/>
        <v>0</v>
      </c>
      <c r="BW1380" s="57">
        <f t="shared" si="990"/>
        <v>0</v>
      </c>
      <c r="BX1380" s="57">
        <f t="shared" si="1014"/>
        <v>0</v>
      </c>
      <c r="BY1380" s="57">
        <f t="shared" si="1018"/>
        <v>0</v>
      </c>
      <c r="BZ1380" s="8">
        <f t="shared" si="991"/>
        <v>0</v>
      </c>
      <c r="CA1380" s="8">
        <f t="shared" si="992"/>
        <v>0</v>
      </c>
      <c r="CB1380" s="8">
        <f t="shared" si="993"/>
        <v>0</v>
      </c>
      <c r="CC1380" s="8">
        <f t="shared" si="994"/>
        <v>0</v>
      </c>
      <c r="CD1380" s="8">
        <f t="shared" si="995"/>
        <v>0</v>
      </c>
      <c r="CE1380" s="8">
        <f t="shared" si="996"/>
        <v>0</v>
      </c>
      <c r="CF1380" s="8">
        <f t="shared" si="997"/>
        <v>0</v>
      </c>
      <c r="CG1380" s="8">
        <f t="shared" si="998"/>
        <v>0</v>
      </c>
      <c r="CH1380" s="8">
        <f t="shared" si="999"/>
        <v>0</v>
      </c>
      <c r="CI1380" s="8">
        <f t="shared" si="1000"/>
        <v>0</v>
      </c>
      <c r="CJ1380" s="8">
        <f t="shared" si="1001"/>
        <v>0</v>
      </c>
      <c r="CK1380" s="8">
        <f t="shared" si="1002"/>
        <v>0</v>
      </c>
      <c r="CL1380" s="8">
        <f t="shared" si="1003"/>
        <v>0</v>
      </c>
      <c r="CM1380" s="8">
        <f t="shared" si="1004"/>
        <v>0</v>
      </c>
      <c r="CN1380" s="8">
        <f t="shared" si="1005"/>
        <v>0</v>
      </c>
      <c r="CO1380" s="8">
        <f t="shared" si="1006"/>
        <v>0</v>
      </c>
      <c r="CP1380" s="8">
        <f t="shared" si="1007"/>
        <v>0</v>
      </c>
      <c r="CQ1380" s="8">
        <f t="shared" si="1008"/>
        <v>0</v>
      </c>
      <c r="CR1380" s="8">
        <f t="shared" si="1009"/>
        <v>0</v>
      </c>
      <c r="CS1380" s="8">
        <f t="shared" si="1010"/>
        <v>0</v>
      </c>
      <c r="CT1380" s="8">
        <f t="shared" si="1015"/>
        <v>0</v>
      </c>
      <c r="CU1380" s="8">
        <f t="shared" si="1016"/>
        <v>0</v>
      </c>
      <c r="CV1380" s="8">
        <f t="shared" si="1017"/>
        <v>0</v>
      </c>
    </row>
    <row r="1381" spans="1:100" ht="20.5" thickTop="1" thickBot="1" x14ac:dyDescent="0.5">
      <c r="A1381" s="32"/>
      <c r="B1381" s="10"/>
      <c r="C1381" s="10"/>
      <c r="D1381" s="11"/>
      <c r="E1381" s="10"/>
      <c r="F1381" s="10"/>
      <c r="G1381" s="19"/>
      <c r="H1381" s="19"/>
      <c r="I1381" s="19"/>
      <c r="J1381" s="19"/>
      <c r="K1381" s="10"/>
      <c r="L1381" s="10"/>
      <c r="M1381" s="10"/>
      <c r="N1381" s="10"/>
      <c r="O1381" s="18"/>
      <c r="P1381" s="18"/>
      <c r="Q1381" s="21"/>
      <c r="R1381" s="20"/>
      <c r="S1381" s="16">
        <f t="shared" si="973"/>
        <v>0</v>
      </c>
      <c r="T1381" s="11"/>
      <c r="AS1381" s="31">
        <f t="shared" si="974"/>
        <v>0</v>
      </c>
      <c r="AT1381" s="31">
        <f t="shared" si="975"/>
        <v>0</v>
      </c>
      <c r="AU1381" s="31">
        <f t="shared" si="976"/>
        <v>0</v>
      </c>
      <c r="AV1381" s="31">
        <f t="shared" si="977"/>
        <v>0</v>
      </c>
      <c r="AW1381" s="31">
        <f t="shared" si="978"/>
        <v>0</v>
      </c>
      <c r="AX1381" s="31">
        <f t="shared" si="979"/>
        <v>0</v>
      </c>
      <c r="AY1381" s="31">
        <f t="shared" si="980"/>
        <v>0</v>
      </c>
      <c r="AZ1381" s="31">
        <f t="shared" si="981"/>
        <v>0</v>
      </c>
      <c r="BA1381" s="31">
        <f t="shared" si="982"/>
        <v>0</v>
      </c>
      <c r="BB1381" s="31">
        <f t="shared" si="1011"/>
        <v>0</v>
      </c>
      <c r="BM1381" s="8">
        <f t="shared" si="1012"/>
        <v>0</v>
      </c>
      <c r="BN1381" s="8">
        <f t="shared" si="983"/>
        <v>0</v>
      </c>
      <c r="BO1381" s="8">
        <f t="shared" si="984"/>
        <v>0</v>
      </c>
      <c r="BQ1381" s="8">
        <f t="shared" si="985"/>
        <v>0</v>
      </c>
      <c r="BR1381" s="63">
        <f t="shared" si="986"/>
        <v>0</v>
      </c>
      <c r="BS1381" s="63">
        <f t="shared" si="1013"/>
        <v>0</v>
      </c>
      <c r="BT1381" s="63">
        <f t="shared" si="987"/>
        <v>0</v>
      </c>
      <c r="BU1381" s="63">
        <f t="shared" si="988"/>
        <v>0</v>
      </c>
      <c r="BV1381" s="57">
        <f t="shared" si="989"/>
        <v>0</v>
      </c>
      <c r="BW1381" s="57">
        <f t="shared" si="990"/>
        <v>0</v>
      </c>
      <c r="BX1381" s="57">
        <f t="shared" si="1014"/>
        <v>0</v>
      </c>
      <c r="BY1381" s="57">
        <f t="shared" si="1018"/>
        <v>0</v>
      </c>
      <c r="BZ1381" s="8">
        <f t="shared" si="991"/>
        <v>0</v>
      </c>
      <c r="CA1381" s="8">
        <f t="shared" si="992"/>
        <v>0</v>
      </c>
      <c r="CB1381" s="8">
        <f t="shared" si="993"/>
        <v>0</v>
      </c>
      <c r="CC1381" s="8">
        <f t="shared" si="994"/>
        <v>0</v>
      </c>
      <c r="CD1381" s="8">
        <f t="shared" si="995"/>
        <v>0</v>
      </c>
      <c r="CE1381" s="8">
        <f t="shared" si="996"/>
        <v>0</v>
      </c>
      <c r="CF1381" s="8">
        <f t="shared" si="997"/>
        <v>0</v>
      </c>
      <c r="CG1381" s="8">
        <f t="shared" si="998"/>
        <v>0</v>
      </c>
      <c r="CH1381" s="8">
        <f t="shared" si="999"/>
        <v>0</v>
      </c>
      <c r="CI1381" s="8">
        <f t="shared" si="1000"/>
        <v>0</v>
      </c>
      <c r="CJ1381" s="8">
        <f t="shared" si="1001"/>
        <v>0</v>
      </c>
      <c r="CK1381" s="8">
        <f t="shared" si="1002"/>
        <v>0</v>
      </c>
      <c r="CL1381" s="8">
        <f t="shared" si="1003"/>
        <v>0</v>
      </c>
      <c r="CM1381" s="8">
        <f t="shared" si="1004"/>
        <v>0</v>
      </c>
      <c r="CN1381" s="8">
        <f t="shared" si="1005"/>
        <v>0</v>
      </c>
      <c r="CO1381" s="8">
        <f t="shared" si="1006"/>
        <v>0</v>
      </c>
      <c r="CP1381" s="8">
        <f t="shared" si="1007"/>
        <v>0</v>
      </c>
      <c r="CQ1381" s="8">
        <f t="shared" si="1008"/>
        <v>0</v>
      </c>
      <c r="CR1381" s="8">
        <f t="shared" si="1009"/>
        <v>0</v>
      </c>
      <c r="CS1381" s="8">
        <f t="shared" si="1010"/>
        <v>0</v>
      </c>
      <c r="CT1381" s="8">
        <f t="shared" si="1015"/>
        <v>0</v>
      </c>
      <c r="CU1381" s="8">
        <f t="shared" si="1016"/>
        <v>0</v>
      </c>
      <c r="CV1381" s="8">
        <f t="shared" si="1017"/>
        <v>0</v>
      </c>
    </row>
    <row r="1382" spans="1:100" ht="20.5" thickTop="1" thickBot="1" x14ac:dyDescent="0.5">
      <c r="A1382" s="32"/>
      <c r="B1382" s="10"/>
      <c r="C1382" s="10"/>
      <c r="D1382" s="11"/>
      <c r="E1382" s="10"/>
      <c r="F1382" s="10"/>
      <c r="G1382" s="19"/>
      <c r="H1382" s="19"/>
      <c r="I1382" s="19"/>
      <c r="J1382" s="19"/>
      <c r="K1382" s="10"/>
      <c r="L1382" s="10"/>
      <c r="M1382" s="10"/>
      <c r="N1382" s="10"/>
      <c r="O1382" s="18"/>
      <c r="P1382" s="18"/>
      <c r="Q1382" s="21"/>
      <c r="R1382" s="20"/>
      <c r="S1382" s="16">
        <f t="shared" si="973"/>
        <v>0</v>
      </c>
      <c r="T1382" s="11"/>
      <c r="AS1382" s="31">
        <f t="shared" si="974"/>
        <v>0</v>
      </c>
      <c r="AT1382" s="31">
        <f t="shared" si="975"/>
        <v>0</v>
      </c>
      <c r="AU1382" s="31">
        <f t="shared" si="976"/>
        <v>0</v>
      </c>
      <c r="AV1382" s="31">
        <f t="shared" si="977"/>
        <v>0</v>
      </c>
      <c r="AW1382" s="31">
        <f t="shared" si="978"/>
        <v>0</v>
      </c>
      <c r="AX1382" s="31">
        <f t="shared" si="979"/>
        <v>0</v>
      </c>
      <c r="AY1382" s="31">
        <f t="shared" si="980"/>
        <v>0</v>
      </c>
      <c r="AZ1382" s="31">
        <f t="shared" si="981"/>
        <v>0</v>
      </c>
      <c r="BA1382" s="31">
        <f t="shared" si="982"/>
        <v>0</v>
      </c>
      <c r="BB1382" s="31">
        <f t="shared" si="1011"/>
        <v>0</v>
      </c>
      <c r="BM1382" s="8">
        <f t="shared" si="1012"/>
        <v>0</v>
      </c>
      <c r="BN1382" s="8">
        <f t="shared" si="983"/>
        <v>0</v>
      </c>
      <c r="BO1382" s="8">
        <f t="shared" si="984"/>
        <v>0</v>
      </c>
      <c r="BQ1382" s="8">
        <f t="shared" si="985"/>
        <v>0</v>
      </c>
      <c r="BR1382" s="63">
        <f t="shared" si="986"/>
        <v>0</v>
      </c>
      <c r="BS1382" s="63">
        <f t="shared" si="1013"/>
        <v>0</v>
      </c>
      <c r="BT1382" s="63">
        <f t="shared" si="987"/>
        <v>0</v>
      </c>
      <c r="BU1382" s="63">
        <f t="shared" si="988"/>
        <v>0</v>
      </c>
      <c r="BV1382" s="57">
        <f t="shared" si="989"/>
        <v>0</v>
      </c>
      <c r="BW1382" s="57">
        <f t="shared" si="990"/>
        <v>0</v>
      </c>
      <c r="BX1382" s="57">
        <f t="shared" si="1014"/>
        <v>0</v>
      </c>
      <c r="BY1382" s="57">
        <f t="shared" si="1018"/>
        <v>0</v>
      </c>
      <c r="BZ1382" s="8">
        <f t="shared" si="991"/>
        <v>0</v>
      </c>
      <c r="CA1382" s="8">
        <f t="shared" si="992"/>
        <v>0</v>
      </c>
      <c r="CB1382" s="8">
        <f t="shared" si="993"/>
        <v>0</v>
      </c>
      <c r="CC1382" s="8">
        <f t="shared" si="994"/>
        <v>0</v>
      </c>
      <c r="CD1382" s="8">
        <f t="shared" si="995"/>
        <v>0</v>
      </c>
      <c r="CE1382" s="8">
        <f t="shared" si="996"/>
        <v>0</v>
      </c>
      <c r="CF1382" s="8">
        <f t="shared" si="997"/>
        <v>0</v>
      </c>
      <c r="CG1382" s="8">
        <f t="shared" si="998"/>
        <v>0</v>
      </c>
      <c r="CH1382" s="8">
        <f t="shared" si="999"/>
        <v>0</v>
      </c>
      <c r="CI1382" s="8">
        <f t="shared" si="1000"/>
        <v>0</v>
      </c>
      <c r="CJ1382" s="8">
        <f t="shared" si="1001"/>
        <v>0</v>
      </c>
      <c r="CK1382" s="8">
        <f t="shared" si="1002"/>
        <v>0</v>
      </c>
      <c r="CL1382" s="8">
        <f t="shared" si="1003"/>
        <v>0</v>
      </c>
      <c r="CM1382" s="8">
        <f t="shared" si="1004"/>
        <v>0</v>
      </c>
      <c r="CN1382" s="8">
        <f t="shared" si="1005"/>
        <v>0</v>
      </c>
      <c r="CO1382" s="8">
        <f t="shared" si="1006"/>
        <v>0</v>
      </c>
      <c r="CP1382" s="8">
        <f t="shared" si="1007"/>
        <v>0</v>
      </c>
      <c r="CQ1382" s="8">
        <f t="shared" si="1008"/>
        <v>0</v>
      </c>
      <c r="CR1382" s="8">
        <f t="shared" si="1009"/>
        <v>0</v>
      </c>
      <c r="CS1382" s="8">
        <f t="shared" si="1010"/>
        <v>0</v>
      </c>
      <c r="CT1382" s="8">
        <f t="shared" si="1015"/>
        <v>0</v>
      </c>
      <c r="CU1382" s="8">
        <f t="shared" si="1016"/>
        <v>0</v>
      </c>
      <c r="CV1382" s="8">
        <f t="shared" si="1017"/>
        <v>0</v>
      </c>
    </row>
    <row r="1383" spans="1:100" ht="20.5" thickTop="1" thickBot="1" x14ac:dyDescent="0.5">
      <c r="A1383" s="32"/>
      <c r="B1383" s="10"/>
      <c r="C1383" s="10"/>
      <c r="D1383" s="11"/>
      <c r="E1383" s="10"/>
      <c r="F1383" s="10"/>
      <c r="G1383" s="19"/>
      <c r="H1383" s="19"/>
      <c r="I1383" s="19"/>
      <c r="J1383" s="19"/>
      <c r="K1383" s="10"/>
      <c r="L1383" s="10"/>
      <c r="M1383" s="10"/>
      <c r="N1383" s="10"/>
      <c r="O1383" s="18"/>
      <c r="P1383" s="18"/>
      <c r="Q1383" s="21"/>
      <c r="R1383" s="20"/>
      <c r="S1383" s="16">
        <f t="shared" si="973"/>
        <v>0</v>
      </c>
      <c r="T1383" s="11"/>
      <c r="AS1383" s="31">
        <f t="shared" si="974"/>
        <v>0</v>
      </c>
      <c r="AT1383" s="31">
        <f t="shared" si="975"/>
        <v>0</v>
      </c>
      <c r="AU1383" s="31">
        <f t="shared" si="976"/>
        <v>0</v>
      </c>
      <c r="AV1383" s="31">
        <f t="shared" si="977"/>
        <v>0</v>
      </c>
      <c r="AW1383" s="31">
        <f t="shared" si="978"/>
        <v>0</v>
      </c>
      <c r="AX1383" s="31">
        <f t="shared" si="979"/>
        <v>0</v>
      </c>
      <c r="AY1383" s="31">
        <f t="shared" si="980"/>
        <v>0</v>
      </c>
      <c r="AZ1383" s="31">
        <f t="shared" si="981"/>
        <v>0</v>
      </c>
      <c r="BA1383" s="31">
        <f t="shared" si="982"/>
        <v>0</v>
      </c>
      <c r="BB1383" s="31">
        <f t="shared" si="1011"/>
        <v>0</v>
      </c>
      <c r="BM1383" s="8">
        <f t="shared" si="1012"/>
        <v>0</v>
      </c>
      <c r="BN1383" s="8">
        <f t="shared" si="983"/>
        <v>0</v>
      </c>
      <c r="BO1383" s="8">
        <f t="shared" si="984"/>
        <v>0</v>
      </c>
      <c r="BQ1383" s="8">
        <f t="shared" si="985"/>
        <v>0</v>
      </c>
      <c r="BR1383" s="63">
        <f t="shared" si="986"/>
        <v>0</v>
      </c>
      <c r="BS1383" s="63">
        <f t="shared" si="1013"/>
        <v>0</v>
      </c>
      <c r="BT1383" s="63">
        <f t="shared" si="987"/>
        <v>0</v>
      </c>
      <c r="BU1383" s="63">
        <f t="shared" si="988"/>
        <v>0</v>
      </c>
      <c r="BV1383" s="57">
        <f t="shared" si="989"/>
        <v>0</v>
      </c>
      <c r="BW1383" s="57">
        <f t="shared" si="990"/>
        <v>0</v>
      </c>
      <c r="BX1383" s="57">
        <f t="shared" si="1014"/>
        <v>0</v>
      </c>
      <c r="BY1383" s="57">
        <f t="shared" si="1018"/>
        <v>0</v>
      </c>
      <c r="BZ1383" s="8">
        <f t="shared" si="991"/>
        <v>0</v>
      </c>
      <c r="CA1383" s="8">
        <f t="shared" si="992"/>
        <v>0</v>
      </c>
      <c r="CB1383" s="8">
        <f t="shared" si="993"/>
        <v>0</v>
      </c>
      <c r="CC1383" s="8">
        <f t="shared" si="994"/>
        <v>0</v>
      </c>
      <c r="CD1383" s="8">
        <f t="shared" si="995"/>
        <v>0</v>
      </c>
      <c r="CE1383" s="8">
        <f t="shared" si="996"/>
        <v>0</v>
      </c>
      <c r="CF1383" s="8">
        <f t="shared" si="997"/>
        <v>0</v>
      </c>
      <c r="CG1383" s="8">
        <f t="shared" si="998"/>
        <v>0</v>
      </c>
      <c r="CH1383" s="8">
        <f t="shared" si="999"/>
        <v>0</v>
      </c>
      <c r="CI1383" s="8">
        <f t="shared" si="1000"/>
        <v>0</v>
      </c>
      <c r="CJ1383" s="8">
        <f t="shared" si="1001"/>
        <v>0</v>
      </c>
      <c r="CK1383" s="8">
        <f t="shared" si="1002"/>
        <v>0</v>
      </c>
      <c r="CL1383" s="8">
        <f t="shared" si="1003"/>
        <v>0</v>
      </c>
      <c r="CM1383" s="8">
        <f t="shared" si="1004"/>
        <v>0</v>
      </c>
      <c r="CN1383" s="8">
        <f t="shared" si="1005"/>
        <v>0</v>
      </c>
      <c r="CO1383" s="8">
        <f t="shared" si="1006"/>
        <v>0</v>
      </c>
      <c r="CP1383" s="8">
        <f t="shared" si="1007"/>
        <v>0</v>
      </c>
      <c r="CQ1383" s="8">
        <f t="shared" si="1008"/>
        <v>0</v>
      </c>
      <c r="CR1383" s="8">
        <f t="shared" si="1009"/>
        <v>0</v>
      </c>
      <c r="CS1383" s="8">
        <f t="shared" si="1010"/>
        <v>0</v>
      </c>
      <c r="CT1383" s="8">
        <f t="shared" si="1015"/>
        <v>0</v>
      </c>
      <c r="CU1383" s="8">
        <f t="shared" si="1016"/>
        <v>0</v>
      </c>
      <c r="CV1383" s="8">
        <f t="shared" si="1017"/>
        <v>0</v>
      </c>
    </row>
    <row r="1384" spans="1:100" ht="20.5" thickTop="1" thickBot="1" x14ac:dyDescent="0.5">
      <c r="A1384" s="32"/>
      <c r="B1384" s="10"/>
      <c r="C1384" s="10"/>
      <c r="D1384" s="11"/>
      <c r="E1384" s="10"/>
      <c r="F1384" s="10"/>
      <c r="G1384" s="19"/>
      <c r="H1384" s="19"/>
      <c r="I1384" s="19"/>
      <c r="J1384" s="19"/>
      <c r="K1384" s="10"/>
      <c r="L1384" s="10"/>
      <c r="M1384" s="10"/>
      <c r="N1384" s="10"/>
      <c r="O1384" s="18"/>
      <c r="P1384" s="18"/>
      <c r="Q1384" s="21"/>
      <c r="R1384" s="20"/>
      <c r="S1384" s="16">
        <f t="shared" si="973"/>
        <v>0</v>
      </c>
      <c r="T1384" s="11"/>
      <c r="AS1384" s="31">
        <f t="shared" si="974"/>
        <v>0</v>
      </c>
      <c r="AT1384" s="31">
        <f t="shared" si="975"/>
        <v>0</v>
      </c>
      <c r="AU1384" s="31">
        <f t="shared" si="976"/>
        <v>0</v>
      </c>
      <c r="AV1384" s="31">
        <f t="shared" si="977"/>
        <v>0</v>
      </c>
      <c r="AW1384" s="31">
        <f t="shared" si="978"/>
        <v>0</v>
      </c>
      <c r="AX1384" s="31">
        <f t="shared" si="979"/>
        <v>0</v>
      </c>
      <c r="AY1384" s="31">
        <f t="shared" si="980"/>
        <v>0</v>
      </c>
      <c r="AZ1384" s="31">
        <f t="shared" si="981"/>
        <v>0</v>
      </c>
      <c r="BA1384" s="31">
        <f t="shared" si="982"/>
        <v>0</v>
      </c>
      <c r="BB1384" s="31">
        <f t="shared" si="1011"/>
        <v>0</v>
      </c>
      <c r="BM1384" s="8">
        <f t="shared" si="1012"/>
        <v>0</v>
      </c>
      <c r="BN1384" s="8">
        <f t="shared" si="983"/>
        <v>0</v>
      </c>
      <c r="BO1384" s="8">
        <f t="shared" si="984"/>
        <v>0</v>
      </c>
      <c r="BQ1384" s="8">
        <f t="shared" si="985"/>
        <v>0</v>
      </c>
      <c r="BR1384" s="63">
        <f t="shared" si="986"/>
        <v>0</v>
      </c>
      <c r="BS1384" s="63">
        <f t="shared" si="1013"/>
        <v>0</v>
      </c>
      <c r="BT1384" s="63">
        <f t="shared" si="987"/>
        <v>0</v>
      </c>
      <c r="BU1384" s="63">
        <f t="shared" si="988"/>
        <v>0</v>
      </c>
      <c r="BV1384" s="57">
        <f t="shared" si="989"/>
        <v>0</v>
      </c>
      <c r="BW1384" s="57">
        <f t="shared" si="990"/>
        <v>0</v>
      </c>
      <c r="BX1384" s="57">
        <f t="shared" si="1014"/>
        <v>0</v>
      </c>
      <c r="BY1384" s="57">
        <f t="shared" si="1018"/>
        <v>0</v>
      </c>
      <c r="BZ1384" s="8">
        <f t="shared" si="991"/>
        <v>0</v>
      </c>
      <c r="CA1384" s="8">
        <f t="shared" si="992"/>
        <v>0</v>
      </c>
      <c r="CB1384" s="8">
        <f t="shared" si="993"/>
        <v>0</v>
      </c>
      <c r="CC1384" s="8">
        <f t="shared" si="994"/>
        <v>0</v>
      </c>
      <c r="CD1384" s="8">
        <f t="shared" si="995"/>
        <v>0</v>
      </c>
      <c r="CE1384" s="8">
        <f t="shared" si="996"/>
        <v>0</v>
      </c>
      <c r="CF1384" s="8">
        <f t="shared" si="997"/>
        <v>0</v>
      </c>
      <c r="CG1384" s="8">
        <f t="shared" si="998"/>
        <v>0</v>
      </c>
      <c r="CH1384" s="8">
        <f t="shared" si="999"/>
        <v>0</v>
      </c>
      <c r="CI1384" s="8">
        <f t="shared" si="1000"/>
        <v>0</v>
      </c>
      <c r="CJ1384" s="8">
        <f t="shared" si="1001"/>
        <v>0</v>
      </c>
      <c r="CK1384" s="8">
        <f t="shared" si="1002"/>
        <v>0</v>
      </c>
      <c r="CL1384" s="8">
        <f t="shared" si="1003"/>
        <v>0</v>
      </c>
      <c r="CM1384" s="8">
        <f t="shared" si="1004"/>
        <v>0</v>
      </c>
      <c r="CN1384" s="8">
        <f t="shared" si="1005"/>
        <v>0</v>
      </c>
      <c r="CO1384" s="8">
        <f t="shared" si="1006"/>
        <v>0</v>
      </c>
      <c r="CP1384" s="8">
        <f t="shared" si="1007"/>
        <v>0</v>
      </c>
      <c r="CQ1384" s="8">
        <f t="shared" si="1008"/>
        <v>0</v>
      </c>
      <c r="CR1384" s="8">
        <f t="shared" si="1009"/>
        <v>0</v>
      </c>
      <c r="CS1384" s="8">
        <f t="shared" si="1010"/>
        <v>0</v>
      </c>
      <c r="CT1384" s="8">
        <f t="shared" si="1015"/>
        <v>0</v>
      </c>
      <c r="CU1384" s="8">
        <f t="shared" si="1016"/>
        <v>0</v>
      </c>
      <c r="CV1384" s="8">
        <f t="shared" si="1017"/>
        <v>0</v>
      </c>
    </row>
    <row r="1385" spans="1:100" ht="20.5" thickTop="1" thickBot="1" x14ac:dyDescent="0.5">
      <c r="A1385" s="32"/>
      <c r="B1385" s="10"/>
      <c r="C1385" s="10"/>
      <c r="D1385" s="11"/>
      <c r="E1385" s="10"/>
      <c r="F1385" s="10"/>
      <c r="G1385" s="19"/>
      <c r="H1385" s="19"/>
      <c r="I1385" s="19"/>
      <c r="J1385" s="19"/>
      <c r="K1385" s="10"/>
      <c r="L1385" s="10"/>
      <c r="M1385" s="10"/>
      <c r="N1385" s="10"/>
      <c r="O1385" s="18"/>
      <c r="P1385" s="18"/>
      <c r="Q1385" s="21"/>
      <c r="R1385" s="20"/>
      <c r="S1385" s="16">
        <f t="shared" si="973"/>
        <v>0</v>
      </c>
      <c r="T1385" s="11"/>
      <c r="AS1385" s="31">
        <f t="shared" si="974"/>
        <v>0</v>
      </c>
      <c r="AT1385" s="31">
        <f t="shared" si="975"/>
        <v>0</v>
      </c>
      <c r="AU1385" s="31">
        <f t="shared" si="976"/>
        <v>0</v>
      </c>
      <c r="AV1385" s="31">
        <f t="shared" si="977"/>
        <v>0</v>
      </c>
      <c r="AW1385" s="31">
        <f t="shared" si="978"/>
        <v>0</v>
      </c>
      <c r="AX1385" s="31">
        <f t="shared" si="979"/>
        <v>0</v>
      </c>
      <c r="AY1385" s="31">
        <f t="shared" si="980"/>
        <v>0</v>
      </c>
      <c r="AZ1385" s="31">
        <f t="shared" si="981"/>
        <v>0</v>
      </c>
      <c r="BA1385" s="31">
        <f t="shared" si="982"/>
        <v>0</v>
      </c>
      <c r="BB1385" s="31">
        <f t="shared" si="1011"/>
        <v>0</v>
      </c>
      <c r="BM1385" s="8">
        <f t="shared" si="1012"/>
        <v>0</v>
      </c>
      <c r="BN1385" s="8">
        <f t="shared" si="983"/>
        <v>0</v>
      </c>
      <c r="BO1385" s="8">
        <f t="shared" si="984"/>
        <v>0</v>
      </c>
      <c r="BQ1385" s="8">
        <f t="shared" si="985"/>
        <v>0</v>
      </c>
      <c r="BR1385" s="63">
        <f t="shared" si="986"/>
        <v>0</v>
      </c>
      <c r="BS1385" s="63">
        <f t="shared" si="1013"/>
        <v>0</v>
      </c>
      <c r="BT1385" s="63">
        <f t="shared" si="987"/>
        <v>0</v>
      </c>
      <c r="BU1385" s="63">
        <f t="shared" si="988"/>
        <v>0</v>
      </c>
      <c r="BV1385" s="57">
        <f t="shared" si="989"/>
        <v>0</v>
      </c>
      <c r="BW1385" s="57">
        <f t="shared" si="990"/>
        <v>0</v>
      </c>
      <c r="BX1385" s="57">
        <f t="shared" si="1014"/>
        <v>0</v>
      </c>
      <c r="BY1385" s="57">
        <f t="shared" si="1018"/>
        <v>0</v>
      </c>
      <c r="BZ1385" s="8">
        <f t="shared" si="991"/>
        <v>0</v>
      </c>
      <c r="CA1385" s="8">
        <f t="shared" si="992"/>
        <v>0</v>
      </c>
      <c r="CB1385" s="8">
        <f t="shared" si="993"/>
        <v>0</v>
      </c>
      <c r="CC1385" s="8">
        <f t="shared" si="994"/>
        <v>0</v>
      </c>
      <c r="CD1385" s="8">
        <f t="shared" si="995"/>
        <v>0</v>
      </c>
      <c r="CE1385" s="8">
        <f t="shared" si="996"/>
        <v>0</v>
      </c>
      <c r="CF1385" s="8">
        <f t="shared" si="997"/>
        <v>0</v>
      </c>
      <c r="CG1385" s="8">
        <f t="shared" si="998"/>
        <v>0</v>
      </c>
      <c r="CH1385" s="8">
        <f t="shared" si="999"/>
        <v>0</v>
      </c>
      <c r="CI1385" s="8">
        <f t="shared" si="1000"/>
        <v>0</v>
      </c>
      <c r="CJ1385" s="8">
        <f t="shared" si="1001"/>
        <v>0</v>
      </c>
      <c r="CK1385" s="8">
        <f t="shared" si="1002"/>
        <v>0</v>
      </c>
      <c r="CL1385" s="8">
        <f t="shared" si="1003"/>
        <v>0</v>
      </c>
      <c r="CM1385" s="8">
        <f t="shared" si="1004"/>
        <v>0</v>
      </c>
      <c r="CN1385" s="8">
        <f t="shared" si="1005"/>
        <v>0</v>
      </c>
      <c r="CO1385" s="8">
        <f t="shared" si="1006"/>
        <v>0</v>
      </c>
      <c r="CP1385" s="8">
        <f t="shared" si="1007"/>
        <v>0</v>
      </c>
      <c r="CQ1385" s="8">
        <f t="shared" si="1008"/>
        <v>0</v>
      </c>
      <c r="CR1385" s="8">
        <f t="shared" si="1009"/>
        <v>0</v>
      </c>
      <c r="CS1385" s="8">
        <f t="shared" si="1010"/>
        <v>0</v>
      </c>
      <c r="CT1385" s="8">
        <f t="shared" si="1015"/>
        <v>0</v>
      </c>
      <c r="CU1385" s="8">
        <f t="shared" si="1016"/>
        <v>0</v>
      </c>
      <c r="CV1385" s="8">
        <f t="shared" si="1017"/>
        <v>0</v>
      </c>
    </row>
    <row r="1386" spans="1:100" ht="20.5" thickTop="1" thickBot="1" x14ac:dyDescent="0.5">
      <c r="A1386" s="32"/>
      <c r="B1386" s="10"/>
      <c r="C1386" s="10"/>
      <c r="D1386" s="11"/>
      <c r="E1386" s="10"/>
      <c r="F1386" s="10"/>
      <c r="G1386" s="19"/>
      <c r="H1386" s="19"/>
      <c r="I1386" s="19"/>
      <c r="J1386" s="19"/>
      <c r="K1386" s="10"/>
      <c r="L1386" s="10"/>
      <c r="M1386" s="10"/>
      <c r="N1386" s="10"/>
      <c r="O1386" s="18"/>
      <c r="P1386" s="18"/>
      <c r="Q1386" s="21"/>
      <c r="R1386" s="20"/>
      <c r="S1386" s="16">
        <f t="shared" si="973"/>
        <v>0</v>
      </c>
      <c r="T1386" s="11"/>
      <c r="AS1386" s="31">
        <f t="shared" si="974"/>
        <v>0</v>
      </c>
      <c r="AT1386" s="31">
        <f t="shared" si="975"/>
        <v>0</v>
      </c>
      <c r="AU1386" s="31">
        <f t="shared" si="976"/>
        <v>0</v>
      </c>
      <c r="AV1386" s="31">
        <f t="shared" si="977"/>
        <v>0</v>
      </c>
      <c r="AW1386" s="31">
        <f t="shared" si="978"/>
        <v>0</v>
      </c>
      <c r="AX1386" s="31">
        <f t="shared" si="979"/>
        <v>0</v>
      </c>
      <c r="AY1386" s="31">
        <f t="shared" si="980"/>
        <v>0</v>
      </c>
      <c r="AZ1386" s="31">
        <f t="shared" si="981"/>
        <v>0</v>
      </c>
      <c r="BA1386" s="31">
        <f t="shared" si="982"/>
        <v>0</v>
      </c>
      <c r="BB1386" s="31">
        <f t="shared" si="1011"/>
        <v>0</v>
      </c>
      <c r="BM1386" s="8">
        <f t="shared" si="1012"/>
        <v>0</v>
      </c>
      <c r="BN1386" s="8">
        <f t="shared" si="983"/>
        <v>0</v>
      </c>
      <c r="BO1386" s="8">
        <f t="shared" si="984"/>
        <v>0</v>
      </c>
      <c r="BQ1386" s="8">
        <f t="shared" si="985"/>
        <v>0</v>
      </c>
      <c r="BR1386" s="63">
        <f t="shared" si="986"/>
        <v>0</v>
      </c>
      <c r="BS1386" s="63">
        <f t="shared" si="1013"/>
        <v>0</v>
      </c>
      <c r="BT1386" s="63">
        <f t="shared" si="987"/>
        <v>0</v>
      </c>
      <c r="BU1386" s="63">
        <f t="shared" si="988"/>
        <v>0</v>
      </c>
      <c r="BV1386" s="57">
        <f t="shared" si="989"/>
        <v>0</v>
      </c>
      <c r="BW1386" s="57">
        <f t="shared" si="990"/>
        <v>0</v>
      </c>
      <c r="BX1386" s="57">
        <f t="shared" si="1014"/>
        <v>0</v>
      </c>
      <c r="BY1386" s="57">
        <f t="shared" si="1018"/>
        <v>0</v>
      </c>
      <c r="BZ1386" s="8">
        <f t="shared" si="991"/>
        <v>0</v>
      </c>
      <c r="CA1386" s="8">
        <f t="shared" si="992"/>
        <v>0</v>
      </c>
      <c r="CB1386" s="8">
        <f t="shared" si="993"/>
        <v>0</v>
      </c>
      <c r="CC1386" s="8">
        <f t="shared" si="994"/>
        <v>0</v>
      </c>
      <c r="CD1386" s="8">
        <f t="shared" si="995"/>
        <v>0</v>
      </c>
      <c r="CE1386" s="8">
        <f t="shared" si="996"/>
        <v>0</v>
      </c>
      <c r="CF1386" s="8">
        <f t="shared" si="997"/>
        <v>0</v>
      </c>
      <c r="CG1386" s="8">
        <f t="shared" si="998"/>
        <v>0</v>
      </c>
      <c r="CH1386" s="8">
        <f t="shared" si="999"/>
        <v>0</v>
      </c>
      <c r="CI1386" s="8">
        <f t="shared" si="1000"/>
        <v>0</v>
      </c>
      <c r="CJ1386" s="8">
        <f t="shared" si="1001"/>
        <v>0</v>
      </c>
      <c r="CK1386" s="8">
        <f t="shared" si="1002"/>
        <v>0</v>
      </c>
      <c r="CL1386" s="8">
        <f t="shared" si="1003"/>
        <v>0</v>
      </c>
      <c r="CM1386" s="8">
        <f t="shared" si="1004"/>
        <v>0</v>
      </c>
      <c r="CN1386" s="8">
        <f t="shared" si="1005"/>
        <v>0</v>
      </c>
      <c r="CO1386" s="8">
        <f t="shared" si="1006"/>
        <v>0</v>
      </c>
      <c r="CP1386" s="8">
        <f t="shared" si="1007"/>
        <v>0</v>
      </c>
      <c r="CQ1386" s="8">
        <f t="shared" si="1008"/>
        <v>0</v>
      </c>
      <c r="CR1386" s="8">
        <f t="shared" si="1009"/>
        <v>0</v>
      </c>
      <c r="CS1386" s="8">
        <f t="shared" si="1010"/>
        <v>0</v>
      </c>
      <c r="CT1386" s="8">
        <f t="shared" si="1015"/>
        <v>0</v>
      </c>
      <c r="CU1386" s="8">
        <f t="shared" si="1016"/>
        <v>0</v>
      </c>
      <c r="CV1386" s="8">
        <f t="shared" si="1017"/>
        <v>0</v>
      </c>
    </row>
    <row r="1387" spans="1:100" ht="20.5" thickTop="1" thickBot="1" x14ac:dyDescent="0.5">
      <c r="A1387" s="32"/>
      <c r="B1387" s="10"/>
      <c r="C1387" s="10"/>
      <c r="D1387" s="11"/>
      <c r="E1387" s="10"/>
      <c r="F1387" s="10"/>
      <c r="G1387" s="19"/>
      <c r="H1387" s="19"/>
      <c r="I1387" s="19"/>
      <c r="J1387" s="19"/>
      <c r="K1387" s="10"/>
      <c r="L1387" s="10"/>
      <c r="M1387" s="10"/>
      <c r="N1387" s="10"/>
      <c r="O1387" s="18"/>
      <c r="P1387" s="18"/>
      <c r="Q1387" s="21"/>
      <c r="R1387" s="20"/>
      <c r="S1387" s="16">
        <f t="shared" si="973"/>
        <v>0</v>
      </c>
      <c r="T1387" s="11"/>
      <c r="AS1387" s="31">
        <f t="shared" si="974"/>
        <v>0</v>
      </c>
      <c r="AT1387" s="31">
        <f t="shared" si="975"/>
        <v>0</v>
      </c>
      <c r="AU1387" s="31">
        <f t="shared" si="976"/>
        <v>0</v>
      </c>
      <c r="AV1387" s="31">
        <f t="shared" si="977"/>
        <v>0</v>
      </c>
      <c r="AW1387" s="31">
        <f t="shared" si="978"/>
        <v>0</v>
      </c>
      <c r="AX1387" s="31">
        <f t="shared" si="979"/>
        <v>0</v>
      </c>
      <c r="AY1387" s="31">
        <f t="shared" si="980"/>
        <v>0</v>
      </c>
      <c r="AZ1387" s="31">
        <f t="shared" si="981"/>
        <v>0</v>
      </c>
      <c r="BA1387" s="31">
        <f t="shared" si="982"/>
        <v>0</v>
      </c>
      <c r="BB1387" s="31">
        <f t="shared" si="1011"/>
        <v>0</v>
      </c>
      <c r="BM1387" s="8">
        <f t="shared" si="1012"/>
        <v>0</v>
      </c>
      <c r="BN1387" s="8">
        <f t="shared" si="983"/>
        <v>0</v>
      </c>
      <c r="BO1387" s="8">
        <f t="shared" si="984"/>
        <v>0</v>
      </c>
      <c r="BQ1387" s="8">
        <f t="shared" si="985"/>
        <v>0</v>
      </c>
      <c r="BR1387" s="63">
        <f t="shared" si="986"/>
        <v>0</v>
      </c>
      <c r="BS1387" s="63">
        <f t="shared" si="1013"/>
        <v>0</v>
      </c>
      <c r="BT1387" s="63">
        <f t="shared" si="987"/>
        <v>0</v>
      </c>
      <c r="BU1387" s="63">
        <f t="shared" si="988"/>
        <v>0</v>
      </c>
      <c r="BV1387" s="57">
        <f t="shared" si="989"/>
        <v>0</v>
      </c>
      <c r="BW1387" s="57">
        <f t="shared" si="990"/>
        <v>0</v>
      </c>
      <c r="BX1387" s="57">
        <f t="shared" si="1014"/>
        <v>0</v>
      </c>
      <c r="BY1387" s="57">
        <f t="shared" si="1018"/>
        <v>0</v>
      </c>
      <c r="BZ1387" s="8">
        <f t="shared" si="991"/>
        <v>0</v>
      </c>
      <c r="CA1387" s="8">
        <f t="shared" si="992"/>
        <v>0</v>
      </c>
      <c r="CB1387" s="8">
        <f t="shared" si="993"/>
        <v>0</v>
      </c>
      <c r="CC1387" s="8">
        <f t="shared" si="994"/>
        <v>0</v>
      </c>
      <c r="CD1387" s="8">
        <f t="shared" si="995"/>
        <v>0</v>
      </c>
      <c r="CE1387" s="8">
        <f t="shared" si="996"/>
        <v>0</v>
      </c>
      <c r="CF1387" s="8">
        <f t="shared" si="997"/>
        <v>0</v>
      </c>
      <c r="CG1387" s="8">
        <f t="shared" si="998"/>
        <v>0</v>
      </c>
      <c r="CH1387" s="8">
        <f t="shared" si="999"/>
        <v>0</v>
      </c>
      <c r="CI1387" s="8">
        <f t="shared" si="1000"/>
        <v>0</v>
      </c>
      <c r="CJ1387" s="8">
        <f t="shared" si="1001"/>
        <v>0</v>
      </c>
      <c r="CK1387" s="8">
        <f t="shared" si="1002"/>
        <v>0</v>
      </c>
      <c r="CL1387" s="8">
        <f t="shared" si="1003"/>
        <v>0</v>
      </c>
      <c r="CM1387" s="8">
        <f t="shared" si="1004"/>
        <v>0</v>
      </c>
      <c r="CN1387" s="8">
        <f t="shared" si="1005"/>
        <v>0</v>
      </c>
      <c r="CO1387" s="8">
        <f t="shared" si="1006"/>
        <v>0</v>
      </c>
      <c r="CP1387" s="8">
        <f t="shared" si="1007"/>
        <v>0</v>
      </c>
      <c r="CQ1387" s="8">
        <f t="shared" si="1008"/>
        <v>0</v>
      </c>
      <c r="CR1387" s="8">
        <f t="shared" si="1009"/>
        <v>0</v>
      </c>
      <c r="CS1387" s="8">
        <f t="shared" si="1010"/>
        <v>0</v>
      </c>
      <c r="CT1387" s="8">
        <f t="shared" si="1015"/>
        <v>0</v>
      </c>
      <c r="CU1387" s="8">
        <f t="shared" si="1016"/>
        <v>0</v>
      </c>
      <c r="CV1387" s="8">
        <f t="shared" si="1017"/>
        <v>0</v>
      </c>
    </row>
    <row r="1388" spans="1:100" ht="20.5" thickTop="1" thickBot="1" x14ac:dyDescent="0.5">
      <c r="A1388" s="32"/>
      <c r="B1388" s="10"/>
      <c r="C1388" s="10"/>
      <c r="D1388" s="11"/>
      <c r="E1388" s="10"/>
      <c r="F1388" s="10"/>
      <c r="G1388" s="19"/>
      <c r="H1388" s="19"/>
      <c r="I1388" s="19"/>
      <c r="J1388" s="19"/>
      <c r="K1388" s="10"/>
      <c r="L1388" s="10"/>
      <c r="M1388" s="10"/>
      <c r="N1388" s="10"/>
      <c r="O1388" s="18"/>
      <c r="P1388" s="18"/>
      <c r="Q1388" s="21"/>
      <c r="R1388" s="20"/>
      <c r="S1388" s="16">
        <f t="shared" si="973"/>
        <v>0</v>
      </c>
      <c r="T1388" s="11"/>
      <c r="AS1388" s="31">
        <f t="shared" si="974"/>
        <v>0</v>
      </c>
      <c r="AT1388" s="31">
        <f t="shared" si="975"/>
        <v>0</v>
      </c>
      <c r="AU1388" s="31">
        <f t="shared" si="976"/>
        <v>0</v>
      </c>
      <c r="AV1388" s="31">
        <f t="shared" si="977"/>
        <v>0</v>
      </c>
      <c r="AW1388" s="31">
        <f t="shared" si="978"/>
        <v>0</v>
      </c>
      <c r="AX1388" s="31">
        <f t="shared" si="979"/>
        <v>0</v>
      </c>
      <c r="AY1388" s="31">
        <f t="shared" si="980"/>
        <v>0</v>
      </c>
      <c r="AZ1388" s="31">
        <f t="shared" si="981"/>
        <v>0</v>
      </c>
      <c r="BA1388" s="31">
        <f t="shared" si="982"/>
        <v>0</v>
      </c>
      <c r="BB1388" s="31">
        <f t="shared" si="1011"/>
        <v>0</v>
      </c>
      <c r="BM1388" s="8">
        <f t="shared" si="1012"/>
        <v>0</v>
      </c>
      <c r="BN1388" s="8">
        <f t="shared" si="983"/>
        <v>0</v>
      </c>
      <c r="BO1388" s="8">
        <f t="shared" si="984"/>
        <v>0</v>
      </c>
      <c r="BQ1388" s="8">
        <f t="shared" si="985"/>
        <v>0</v>
      </c>
      <c r="BR1388" s="63">
        <f t="shared" si="986"/>
        <v>0</v>
      </c>
      <c r="BS1388" s="63">
        <f t="shared" si="1013"/>
        <v>0</v>
      </c>
      <c r="BT1388" s="63">
        <f t="shared" si="987"/>
        <v>0</v>
      </c>
      <c r="BU1388" s="63">
        <f t="shared" si="988"/>
        <v>0</v>
      </c>
      <c r="BV1388" s="57">
        <f t="shared" si="989"/>
        <v>0</v>
      </c>
      <c r="BW1388" s="57">
        <f t="shared" si="990"/>
        <v>0</v>
      </c>
      <c r="BX1388" s="57">
        <f t="shared" si="1014"/>
        <v>0</v>
      </c>
      <c r="BY1388" s="57">
        <f t="shared" si="1018"/>
        <v>0</v>
      </c>
      <c r="BZ1388" s="8">
        <f t="shared" si="991"/>
        <v>0</v>
      </c>
      <c r="CA1388" s="8">
        <f t="shared" si="992"/>
        <v>0</v>
      </c>
      <c r="CB1388" s="8">
        <f t="shared" si="993"/>
        <v>0</v>
      </c>
      <c r="CC1388" s="8">
        <f t="shared" si="994"/>
        <v>0</v>
      </c>
      <c r="CD1388" s="8">
        <f t="shared" si="995"/>
        <v>0</v>
      </c>
      <c r="CE1388" s="8">
        <f t="shared" si="996"/>
        <v>0</v>
      </c>
      <c r="CF1388" s="8">
        <f t="shared" si="997"/>
        <v>0</v>
      </c>
      <c r="CG1388" s="8">
        <f t="shared" si="998"/>
        <v>0</v>
      </c>
      <c r="CH1388" s="8">
        <f t="shared" si="999"/>
        <v>0</v>
      </c>
      <c r="CI1388" s="8">
        <f t="shared" si="1000"/>
        <v>0</v>
      </c>
      <c r="CJ1388" s="8">
        <f t="shared" si="1001"/>
        <v>0</v>
      </c>
      <c r="CK1388" s="8">
        <f t="shared" si="1002"/>
        <v>0</v>
      </c>
      <c r="CL1388" s="8">
        <f t="shared" si="1003"/>
        <v>0</v>
      </c>
      <c r="CM1388" s="8">
        <f t="shared" si="1004"/>
        <v>0</v>
      </c>
      <c r="CN1388" s="8">
        <f t="shared" si="1005"/>
        <v>0</v>
      </c>
      <c r="CO1388" s="8">
        <f t="shared" si="1006"/>
        <v>0</v>
      </c>
      <c r="CP1388" s="8">
        <f t="shared" si="1007"/>
        <v>0</v>
      </c>
      <c r="CQ1388" s="8">
        <f t="shared" si="1008"/>
        <v>0</v>
      </c>
      <c r="CR1388" s="8">
        <f t="shared" si="1009"/>
        <v>0</v>
      </c>
      <c r="CS1388" s="8">
        <f t="shared" si="1010"/>
        <v>0</v>
      </c>
      <c r="CT1388" s="8">
        <f t="shared" si="1015"/>
        <v>0</v>
      </c>
      <c r="CU1388" s="8">
        <f t="shared" si="1016"/>
        <v>0</v>
      </c>
      <c r="CV1388" s="8">
        <f t="shared" si="1017"/>
        <v>0</v>
      </c>
    </row>
    <row r="1389" spans="1:100" ht="20.5" thickTop="1" thickBot="1" x14ac:dyDescent="0.5">
      <c r="A1389" s="32"/>
      <c r="B1389" s="10"/>
      <c r="C1389" s="10"/>
      <c r="D1389" s="11"/>
      <c r="E1389" s="10"/>
      <c r="F1389" s="10"/>
      <c r="G1389" s="19"/>
      <c r="H1389" s="19"/>
      <c r="I1389" s="19"/>
      <c r="J1389" s="19"/>
      <c r="K1389" s="10"/>
      <c r="L1389" s="10"/>
      <c r="M1389" s="10"/>
      <c r="N1389" s="10"/>
      <c r="O1389" s="18"/>
      <c r="P1389" s="18"/>
      <c r="Q1389" s="21"/>
      <c r="R1389" s="20"/>
      <c r="S1389" s="16">
        <f t="shared" si="973"/>
        <v>0</v>
      </c>
      <c r="T1389" s="11"/>
      <c r="AS1389" s="31">
        <f t="shared" si="974"/>
        <v>0</v>
      </c>
      <c r="AT1389" s="31">
        <f t="shared" si="975"/>
        <v>0</v>
      </c>
      <c r="AU1389" s="31">
        <f t="shared" si="976"/>
        <v>0</v>
      </c>
      <c r="AV1389" s="31">
        <f t="shared" si="977"/>
        <v>0</v>
      </c>
      <c r="AW1389" s="31">
        <f t="shared" si="978"/>
        <v>0</v>
      </c>
      <c r="AX1389" s="31">
        <f t="shared" si="979"/>
        <v>0</v>
      </c>
      <c r="AY1389" s="31">
        <f t="shared" si="980"/>
        <v>0</v>
      </c>
      <c r="AZ1389" s="31">
        <f t="shared" si="981"/>
        <v>0</v>
      </c>
      <c r="BA1389" s="31">
        <f t="shared" si="982"/>
        <v>0</v>
      </c>
      <c r="BB1389" s="31">
        <f t="shared" si="1011"/>
        <v>0</v>
      </c>
      <c r="BM1389" s="8">
        <f t="shared" si="1012"/>
        <v>0</v>
      </c>
      <c r="BN1389" s="8">
        <f t="shared" si="983"/>
        <v>0</v>
      </c>
      <c r="BO1389" s="8">
        <f t="shared" si="984"/>
        <v>0</v>
      </c>
      <c r="BQ1389" s="8">
        <f t="shared" si="985"/>
        <v>0</v>
      </c>
      <c r="BR1389" s="63">
        <f t="shared" si="986"/>
        <v>0</v>
      </c>
      <c r="BS1389" s="63">
        <f t="shared" si="1013"/>
        <v>0</v>
      </c>
      <c r="BT1389" s="63">
        <f t="shared" si="987"/>
        <v>0</v>
      </c>
      <c r="BU1389" s="63">
        <f t="shared" si="988"/>
        <v>0</v>
      </c>
      <c r="BV1389" s="57">
        <f t="shared" si="989"/>
        <v>0</v>
      </c>
      <c r="BW1389" s="57">
        <f t="shared" si="990"/>
        <v>0</v>
      </c>
      <c r="BX1389" s="57">
        <f t="shared" si="1014"/>
        <v>0</v>
      </c>
      <c r="BY1389" s="57">
        <f t="shared" si="1018"/>
        <v>0</v>
      </c>
      <c r="BZ1389" s="8">
        <f t="shared" si="991"/>
        <v>0</v>
      </c>
      <c r="CA1389" s="8">
        <f t="shared" si="992"/>
        <v>0</v>
      </c>
      <c r="CB1389" s="8">
        <f t="shared" si="993"/>
        <v>0</v>
      </c>
      <c r="CC1389" s="8">
        <f t="shared" si="994"/>
        <v>0</v>
      </c>
      <c r="CD1389" s="8">
        <f t="shared" si="995"/>
        <v>0</v>
      </c>
      <c r="CE1389" s="8">
        <f t="shared" si="996"/>
        <v>0</v>
      </c>
      <c r="CF1389" s="8">
        <f t="shared" si="997"/>
        <v>0</v>
      </c>
      <c r="CG1389" s="8">
        <f t="shared" si="998"/>
        <v>0</v>
      </c>
      <c r="CH1389" s="8">
        <f t="shared" si="999"/>
        <v>0</v>
      </c>
      <c r="CI1389" s="8">
        <f t="shared" si="1000"/>
        <v>0</v>
      </c>
      <c r="CJ1389" s="8">
        <f t="shared" si="1001"/>
        <v>0</v>
      </c>
      <c r="CK1389" s="8">
        <f t="shared" si="1002"/>
        <v>0</v>
      </c>
      <c r="CL1389" s="8">
        <f t="shared" si="1003"/>
        <v>0</v>
      </c>
      <c r="CM1389" s="8">
        <f t="shared" si="1004"/>
        <v>0</v>
      </c>
      <c r="CN1389" s="8">
        <f t="shared" si="1005"/>
        <v>0</v>
      </c>
      <c r="CO1389" s="8">
        <f t="shared" si="1006"/>
        <v>0</v>
      </c>
      <c r="CP1389" s="8">
        <f t="shared" si="1007"/>
        <v>0</v>
      </c>
      <c r="CQ1389" s="8">
        <f t="shared" si="1008"/>
        <v>0</v>
      </c>
      <c r="CR1389" s="8">
        <f t="shared" si="1009"/>
        <v>0</v>
      </c>
      <c r="CS1389" s="8">
        <f t="shared" si="1010"/>
        <v>0</v>
      </c>
      <c r="CT1389" s="8">
        <f t="shared" si="1015"/>
        <v>0</v>
      </c>
      <c r="CU1389" s="8">
        <f t="shared" si="1016"/>
        <v>0</v>
      </c>
      <c r="CV1389" s="8">
        <f t="shared" si="1017"/>
        <v>0</v>
      </c>
    </row>
    <row r="1390" spans="1:100" ht="20.5" thickTop="1" thickBot="1" x14ac:dyDescent="0.5">
      <c r="A1390" s="32"/>
      <c r="B1390" s="10"/>
      <c r="C1390" s="10"/>
      <c r="D1390" s="11"/>
      <c r="E1390" s="10"/>
      <c r="F1390" s="10"/>
      <c r="G1390" s="19"/>
      <c r="H1390" s="19"/>
      <c r="I1390" s="19"/>
      <c r="J1390" s="19"/>
      <c r="K1390" s="10"/>
      <c r="L1390" s="10"/>
      <c r="M1390" s="10"/>
      <c r="N1390" s="10"/>
      <c r="O1390" s="18"/>
      <c r="P1390" s="18"/>
      <c r="Q1390" s="21"/>
      <c r="R1390" s="20"/>
      <c r="S1390" s="16">
        <f t="shared" si="973"/>
        <v>0</v>
      </c>
      <c r="T1390" s="11"/>
      <c r="AS1390" s="31">
        <f t="shared" si="974"/>
        <v>0</v>
      </c>
      <c r="AT1390" s="31">
        <f t="shared" si="975"/>
        <v>0</v>
      </c>
      <c r="AU1390" s="31">
        <f t="shared" si="976"/>
        <v>0</v>
      </c>
      <c r="AV1390" s="31">
        <f t="shared" si="977"/>
        <v>0</v>
      </c>
      <c r="AW1390" s="31">
        <f t="shared" si="978"/>
        <v>0</v>
      </c>
      <c r="AX1390" s="31">
        <f t="shared" si="979"/>
        <v>0</v>
      </c>
      <c r="AY1390" s="31">
        <f t="shared" si="980"/>
        <v>0</v>
      </c>
      <c r="AZ1390" s="31">
        <f t="shared" si="981"/>
        <v>0</v>
      </c>
      <c r="BA1390" s="31">
        <f t="shared" si="982"/>
        <v>0</v>
      </c>
      <c r="BB1390" s="31">
        <f t="shared" si="1011"/>
        <v>0</v>
      </c>
      <c r="BM1390" s="8">
        <f t="shared" si="1012"/>
        <v>0</v>
      </c>
      <c r="BN1390" s="8">
        <f t="shared" si="983"/>
        <v>0</v>
      </c>
      <c r="BO1390" s="8">
        <f t="shared" si="984"/>
        <v>0</v>
      </c>
      <c r="BQ1390" s="8">
        <f t="shared" si="985"/>
        <v>0</v>
      </c>
      <c r="BR1390" s="63">
        <f t="shared" si="986"/>
        <v>0</v>
      </c>
      <c r="BS1390" s="63">
        <f t="shared" si="1013"/>
        <v>0</v>
      </c>
      <c r="BT1390" s="63">
        <f t="shared" si="987"/>
        <v>0</v>
      </c>
      <c r="BU1390" s="63">
        <f t="shared" si="988"/>
        <v>0</v>
      </c>
      <c r="BV1390" s="57">
        <f t="shared" si="989"/>
        <v>0</v>
      </c>
      <c r="BW1390" s="57">
        <f t="shared" si="990"/>
        <v>0</v>
      </c>
      <c r="BX1390" s="57">
        <f t="shared" si="1014"/>
        <v>0</v>
      </c>
      <c r="BY1390" s="57">
        <f t="shared" si="1018"/>
        <v>0</v>
      </c>
      <c r="BZ1390" s="8">
        <f t="shared" si="991"/>
        <v>0</v>
      </c>
      <c r="CA1390" s="8">
        <f t="shared" si="992"/>
        <v>0</v>
      </c>
      <c r="CB1390" s="8">
        <f t="shared" si="993"/>
        <v>0</v>
      </c>
      <c r="CC1390" s="8">
        <f t="shared" si="994"/>
        <v>0</v>
      </c>
      <c r="CD1390" s="8">
        <f t="shared" si="995"/>
        <v>0</v>
      </c>
      <c r="CE1390" s="8">
        <f t="shared" si="996"/>
        <v>0</v>
      </c>
      <c r="CF1390" s="8">
        <f t="shared" si="997"/>
        <v>0</v>
      </c>
      <c r="CG1390" s="8">
        <f t="shared" si="998"/>
        <v>0</v>
      </c>
      <c r="CH1390" s="8">
        <f t="shared" si="999"/>
        <v>0</v>
      </c>
      <c r="CI1390" s="8">
        <f t="shared" si="1000"/>
        <v>0</v>
      </c>
      <c r="CJ1390" s="8">
        <f t="shared" si="1001"/>
        <v>0</v>
      </c>
      <c r="CK1390" s="8">
        <f t="shared" si="1002"/>
        <v>0</v>
      </c>
      <c r="CL1390" s="8">
        <f t="shared" si="1003"/>
        <v>0</v>
      </c>
      <c r="CM1390" s="8">
        <f t="shared" si="1004"/>
        <v>0</v>
      </c>
      <c r="CN1390" s="8">
        <f t="shared" si="1005"/>
        <v>0</v>
      </c>
      <c r="CO1390" s="8">
        <f t="shared" si="1006"/>
        <v>0</v>
      </c>
      <c r="CP1390" s="8">
        <f t="shared" si="1007"/>
        <v>0</v>
      </c>
      <c r="CQ1390" s="8">
        <f t="shared" si="1008"/>
        <v>0</v>
      </c>
      <c r="CR1390" s="8">
        <f t="shared" si="1009"/>
        <v>0</v>
      </c>
      <c r="CS1390" s="8">
        <f t="shared" si="1010"/>
        <v>0</v>
      </c>
      <c r="CT1390" s="8">
        <f t="shared" si="1015"/>
        <v>0</v>
      </c>
      <c r="CU1390" s="8">
        <f t="shared" si="1016"/>
        <v>0</v>
      </c>
      <c r="CV1390" s="8">
        <f t="shared" si="1017"/>
        <v>0</v>
      </c>
    </row>
    <row r="1391" spans="1:100" ht="20.5" thickTop="1" thickBot="1" x14ac:dyDescent="0.5">
      <c r="A1391" s="32"/>
      <c r="B1391" s="10"/>
      <c r="C1391" s="10"/>
      <c r="D1391" s="11"/>
      <c r="E1391" s="10"/>
      <c r="F1391" s="10"/>
      <c r="G1391" s="19"/>
      <c r="H1391" s="19"/>
      <c r="I1391" s="19"/>
      <c r="J1391" s="19"/>
      <c r="K1391" s="10"/>
      <c r="L1391" s="10"/>
      <c r="M1391" s="10"/>
      <c r="N1391" s="10"/>
      <c r="O1391" s="18"/>
      <c r="P1391" s="18"/>
      <c r="Q1391" s="21"/>
      <c r="R1391" s="20"/>
      <c r="S1391" s="16">
        <f t="shared" si="973"/>
        <v>0</v>
      </c>
      <c r="T1391" s="11"/>
      <c r="AS1391" s="31">
        <f t="shared" si="974"/>
        <v>0</v>
      </c>
      <c r="AT1391" s="31">
        <f t="shared" si="975"/>
        <v>0</v>
      </c>
      <c r="AU1391" s="31">
        <f t="shared" si="976"/>
        <v>0</v>
      </c>
      <c r="AV1391" s="31">
        <f t="shared" si="977"/>
        <v>0</v>
      </c>
      <c r="AW1391" s="31">
        <f t="shared" si="978"/>
        <v>0</v>
      </c>
      <c r="AX1391" s="31">
        <f t="shared" si="979"/>
        <v>0</v>
      </c>
      <c r="AY1391" s="31">
        <f t="shared" si="980"/>
        <v>0</v>
      </c>
      <c r="AZ1391" s="31">
        <f t="shared" si="981"/>
        <v>0</v>
      </c>
      <c r="BA1391" s="31">
        <f t="shared" si="982"/>
        <v>0</v>
      </c>
      <c r="BB1391" s="31">
        <f t="shared" si="1011"/>
        <v>0</v>
      </c>
      <c r="BM1391" s="8">
        <f t="shared" si="1012"/>
        <v>0</v>
      </c>
      <c r="BN1391" s="8">
        <f t="shared" si="983"/>
        <v>0</v>
      </c>
      <c r="BO1391" s="8">
        <f t="shared" si="984"/>
        <v>0</v>
      </c>
      <c r="BQ1391" s="8">
        <f t="shared" si="985"/>
        <v>0</v>
      </c>
      <c r="BR1391" s="63">
        <f t="shared" si="986"/>
        <v>0</v>
      </c>
      <c r="BS1391" s="63">
        <f t="shared" si="1013"/>
        <v>0</v>
      </c>
      <c r="BT1391" s="63">
        <f t="shared" si="987"/>
        <v>0</v>
      </c>
      <c r="BU1391" s="63">
        <f t="shared" si="988"/>
        <v>0</v>
      </c>
      <c r="BV1391" s="57">
        <f t="shared" si="989"/>
        <v>0</v>
      </c>
      <c r="BW1391" s="57">
        <f t="shared" si="990"/>
        <v>0</v>
      </c>
      <c r="BX1391" s="57">
        <f t="shared" si="1014"/>
        <v>0</v>
      </c>
      <c r="BY1391" s="57">
        <f t="shared" si="1018"/>
        <v>0</v>
      </c>
      <c r="BZ1391" s="8">
        <f t="shared" si="991"/>
        <v>0</v>
      </c>
      <c r="CA1391" s="8">
        <f t="shared" si="992"/>
        <v>0</v>
      </c>
      <c r="CB1391" s="8">
        <f t="shared" si="993"/>
        <v>0</v>
      </c>
      <c r="CC1391" s="8">
        <f t="shared" si="994"/>
        <v>0</v>
      </c>
      <c r="CD1391" s="8">
        <f t="shared" si="995"/>
        <v>0</v>
      </c>
      <c r="CE1391" s="8">
        <f t="shared" si="996"/>
        <v>0</v>
      </c>
      <c r="CF1391" s="8">
        <f t="shared" si="997"/>
        <v>0</v>
      </c>
      <c r="CG1391" s="8">
        <f t="shared" si="998"/>
        <v>0</v>
      </c>
      <c r="CH1391" s="8">
        <f t="shared" si="999"/>
        <v>0</v>
      </c>
      <c r="CI1391" s="8">
        <f t="shared" si="1000"/>
        <v>0</v>
      </c>
      <c r="CJ1391" s="8">
        <f t="shared" si="1001"/>
        <v>0</v>
      </c>
      <c r="CK1391" s="8">
        <f t="shared" si="1002"/>
        <v>0</v>
      </c>
      <c r="CL1391" s="8">
        <f t="shared" si="1003"/>
        <v>0</v>
      </c>
      <c r="CM1391" s="8">
        <f t="shared" si="1004"/>
        <v>0</v>
      </c>
      <c r="CN1391" s="8">
        <f t="shared" si="1005"/>
        <v>0</v>
      </c>
      <c r="CO1391" s="8">
        <f t="shared" si="1006"/>
        <v>0</v>
      </c>
      <c r="CP1391" s="8">
        <f t="shared" si="1007"/>
        <v>0</v>
      </c>
      <c r="CQ1391" s="8">
        <f t="shared" si="1008"/>
        <v>0</v>
      </c>
      <c r="CR1391" s="8">
        <f t="shared" si="1009"/>
        <v>0</v>
      </c>
      <c r="CS1391" s="8">
        <f t="shared" si="1010"/>
        <v>0</v>
      </c>
      <c r="CT1391" s="8">
        <f t="shared" si="1015"/>
        <v>0</v>
      </c>
      <c r="CU1391" s="8">
        <f t="shared" si="1016"/>
        <v>0</v>
      </c>
      <c r="CV1391" s="8">
        <f t="shared" si="1017"/>
        <v>0</v>
      </c>
    </row>
    <row r="1392" spans="1:100" ht="20.5" thickTop="1" thickBot="1" x14ac:dyDescent="0.5">
      <c r="A1392" s="32"/>
      <c r="B1392" s="10"/>
      <c r="C1392" s="10"/>
      <c r="D1392" s="11"/>
      <c r="E1392" s="10"/>
      <c r="F1392" s="10"/>
      <c r="G1392" s="19"/>
      <c r="H1392" s="19"/>
      <c r="I1392" s="19"/>
      <c r="J1392" s="19"/>
      <c r="K1392" s="10"/>
      <c r="L1392" s="10"/>
      <c r="M1392" s="10"/>
      <c r="N1392" s="10"/>
      <c r="O1392" s="18"/>
      <c r="P1392" s="18"/>
      <c r="Q1392" s="21"/>
      <c r="R1392" s="20"/>
      <c r="S1392" s="16">
        <f t="shared" si="973"/>
        <v>0</v>
      </c>
      <c r="T1392" s="11"/>
      <c r="AS1392" s="31">
        <f t="shared" si="974"/>
        <v>0</v>
      </c>
      <c r="AT1392" s="31">
        <f t="shared" si="975"/>
        <v>0</v>
      </c>
      <c r="AU1392" s="31">
        <f t="shared" si="976"/>
        <v>0</v>
      </c>
      <c r="AV1392" s="31">
        <f t="shared" si="977"/>
        <v>0</v>
      </c>
      <c r="AW1392" s="31">
        <f t="shared" si="978"/>
        <v>0</v>
      </c>
      <c r="AX1392" s="31">
        <f t="shared" si="979"/>
        <v>0</v>
      </c>
      <c r="AY1392" s="31">
        <f t="shared" si="980"/>
        <v>0</v>
      </c>
      <c r="AZ1392" s="31">
        <f t="shared" si="981"/>
        <v>0</v>
      </c>
      <c r="BA1392" s="31">
        <f t="shared" si="982"/>
        <v>0</v>
      </c>
      <c r="BB1392" s="31">
        <f t="shared" si="1011"/>
        <v>0</v>
      </c>
      <c r="BM1392" s="8">
        <f t="shared" si="1012"/>
        <v>0</v>
      </c>
      <c r="BN1392" s="8">
        <f t="shared" si="983"/>
        <v>0</v>
      </c>
      <c r="BO1392" s="8">
        <f t="shared" si="984"/>
        <v>0</v>
      </c>
      <c r="BQ1392" s="8">
        <f t="shared" si="985"/>
        <v>0</v>
      </c>
      <c r="BR1392" s="63">
        <f t="shared" si="986"/>
        <v>0</v>
      </c>
      <c r="BS1392" s="63">
        <f t="shared" si="1013"/>
        <v>0</v>
      </c>
      <c r="BT1392" s="63">
        <f t="shared" si="987"/>
        <v>0</v>
      </c>
      <c r="BU1392" s="63">
        <f t="shared" si="988"/>
        <v>0</v>
      </c>
      <c r="BV1392" s="57">
        <f t="shared" si="989"/>
        <v>0</v>
      </c>
      <c r="BW1392" s="57">
        <f t="shared" si="990"/>
        <v>0</v>
      </c>
      <c r="BX1392" s="57">
        <f t="shared" si="1014"/>
        <v>0</v>
      </c>
      <c r="BY1392" s="57">
        <f t="shared" si="1018"/>
        <v>0</v>
      </c>
      <c r="BZ1392" s="8">
        <f t="shared" si="991"/>
        <v>0</v>
      </c>
      <c r="CA1392" s="8">
        <f t="shared" si="992"/>
        <v>0</v>
      </c>
      <c r="CB1392" s="8">
        <f t="shared" si="993"/>
        <v>0</v>
      </c>
      <c r="CC1392" s="8">
        <f t="shared" si="994"/>
        <v>0</v>
      </c>
      <c r="CD1392" s="8">
        <f t="shared" si="995"/>
        <v>0</v>
      </c>
      <c r="CE1392" s="8">
        <f t="shared" si="996"/>
        <v>0</v>
      </c>
      <c r="CF1392" s="8">
        <f t="shared" si="997"/>
        <v>0</v>
      </c>
      <c r="CG1392" s="8">
        <f t="shared" si="998"/>
        <v>0</v>
      </c>
      <c r="CH1392" s="8">
        <f t="shared" si="999"/>
        <v>0</v>
      </c>
      <c r="CI1392" s="8">
        <f t="shared" si="1000"/>
        <v>0</v>
      </c>
      <c r="CJ1392" s="8">
        <f t="shared" si="1001"/>
        <v>0</v>
      </c>
      <c r="CK1392" s="8">
        <f t="shared" si="1002"/>
        <v>0</v>
      </c>
      <c r="CL1392" s="8">
        <f t="shared" si="1003"/>
        <v>0</v>
      </c>
      <c r="CM1392" s="8">
        <f t="shared" si="1004"/>
        <v>0</v>
      </c>
      <c r="CN1392" s="8">
        <f t="shared" si="1005"/>
        <v>0</v>
      </c>
      <c r="CO1392" s="8">
        <f t="shared" si="1006"/>
        <v>0</v>
      </c>
      <c r="CP1392" s="8">
        <f t="shared" si="1007"/>
        <v>0</v>
      </c>
      <c r="CQ1392" s="8">
        <f t="shared" si="1008"/>
        <v>0</v>
      </c>
      <c r="CR1392" s="8">
        <f t="shared" si="1009"/>
        <v>0</v>
      </c>
      <c r="CS1392" s="8">
        <f t="shared" si="1010"/>
        <v>0</v>
      </c>
      <c r="CT1392" s="8">
        <f t="shared" si="1015"/>
        <v>0</v>
      </c>
      <c r="CU1392" s="8">
        <f t="shared" si="1016"/>
        <v>0</v>
      </c>
      <c r="CV1392" s="8">
        <f t="shared" si="1017"/>
        <v>0</v>
      </c>
    </row>
    <row r="1393" spans="1:100" ht="20.5" thickTop="1" thickBot="1" x14ac:dyDescent="0.5">
      <c r="A1393" s="32"/>
      <c r="B1393" s="10"/>
      <c r="C1393" s="10"/>
      <c r="D1393" s="11"/>
      <c r="E1393" s="10"/>
      <c r="F1393" s="10"/>
      <c r="G1393" s="19"/>
      <c r="H1393" s="19"/>
      <c r="I1393" s="19"/>
      <c r="J1393" s="19"/>
      <c r="K1393" s="10"/>
      <c r="L1393" s="10"/>
      <c r="M1393" s="10"/>
      <c r="N1393" s="10"/>
      <c r="O1393" s="18"/>
      <c r="P1393" s="18"/>
      <c r="Q1393" s="21"/>
      <c r="R1393" s="20"/>
      <c r="S1393" s="16">
        <f t="shared" si="973"/>
        <v>0</v>
      </c>
      <c r="T1393" s="11"/>
      <c r="AS1393" s="31">
        <f t="shared" si="974"/>
        <v>0</v>
      </c>
      <c r="AT1393" s="31">
        <f t="shared" si="975"/>
        <v>0</v>
      </c>
      <c r="AU1393" s="31">
        <f t="shared" si="976"/>
        <v>0</v>
      </c>
      <c r="AV1393" s="31">
        <f t="shared" si="977"/>
        <v>0</v>
      </c>
      <c r="AW1393" s="31">
        <f t="shared" si="978"/>
        <v>0</v>
      </c>
      <c r="AX1393" s="31">
        <f t="shared" si="979"/>
        <v>0</v>
      </c>
      <c r="AY1393" s="31">
        <f t="shared" si="980"/>
        <v>0</v>
      </c>
      <c r="AZ1393" s="31">
        <f t="shared" si="981"/>
        <v>0</v>
      </c>
      <c r="BA1393" s="31">
        <f t="shared" si="982"/>
        <v>0</v>
      </c>
      <c r="BB1393" s="31">
        <f t="shared" si="1011"/>
        <v>0</v>
      </c>
      <c r="BM1393" s="8">
        <f t="shared" si="1012"/>
        <v>0</v>
      </c>
      <c r="BN1393" s="8">
        <f t="shared" si="983"/>
        <v>0</v>
      </c>
      <c r="BO1393" s="8">
        <f t="shared" si="984"/>
        <v>0</v>
      </c>
      <c r="BQ1393" s="8">
        <f t="shared" si="985"/>
        <v>0</v>
      </c>
      <c r="BR1393" s="63">
        <f t="shared" si="986"/>
        <v>0</v>
      </c>
      <c r="BS1393" s="63">
        <f t="shared" si="1013"/>
        <v>0</v>
      </c>
      <c r="BT1393" s="63">
        <f t="shared" si="987"/>
        <v>0</v>
      </c>
      <c r="BU1393" s="63">
        <f t="shared" si="988"/>
        <v>0</v>
      </c>
      <c r="BV1393" s="57">
        <f t="shared" si="989"/>
        <v>0</v>
      </c>
      <c r="BW1393" s="57">
        <f t="shared" si="990"/>
        <v>0</v>
      </c>
      <c r="BX1393" s="57">
        <f t="shared" si="1014"/>
        <v>0</v>
      </c>
      <c r="BY1393" s="57">
        <f t="shared" si="1018"/>
        <v>0</v>
      </c>
      <c r="BZ1393" s="8">
        <f t="shared" si="991"/>
        <v>0</v>
      </c>
      <c r="CA1393" s="8">
        <f t="shared" si="992"/>
        <v>0</v>
      </c>
      <c r="CB1393" s="8">
        <f t="shared" si="993"/>
        <v>0</v>
      </c>
      <c r="CC1393" s="8">
        <f t="shared" si="994"/>
        <v>0</v>
      </c>
      <c r="CD1393" s="8">
        <f t="shared" si="995"/>
        <v>0</v>
      </c>
      <c r="CE1393" s="8">
        <f t="shared" si="996"/>
        <v>0</v>
      </c>
      <c r="CF1393" s="8">
        <f t="shared" si="997"/>
        <v>0</v>
      </c>
      <c r="CG1393" s="8">
        <f t="shared" si="998"/>
        <v>0</v>
      </c>
      <c r="CH1393" s="8">
        <f t="shared" si="999"/>
        <v>0</v>
      </c>
      <c r="CI1393" s="8">
        <f t="shared" si="1000"/>
        <v>0</v>
      </c>
      <c r="CJ1393" s="8">
        <f t="shared" si="1001"/>
        <v>0</v>
      </c>
      <c r="CK1393" s="8">
        <f t="shared" si="1002"/>
        <v>0</v>
      </c>
      <c r="CL1393" s="8">
        <f t="shared" si="1003"/>
        <v>0</v>
      </c>
      <c r="CM1393" s="8">
        <f t="shared" si="1004"/>
        <v>0</v>
      </c>
      <c r="CN1393" s="8">
        <f t="shared" si="1005"/>
        <v>0</v>
      </c>
      <c r="CO1393" s="8">
        <f t="shared" si="1006"/>
        <v>0</v>
      </c>
      <c r="CP1393" s="8">
        <f t="shared" si="1007"/>
        <v>0</v>
      </c>
      <c r="CQ1393" s="8">
        <f t="shared" si="1008"/>
        <v>0</v>
      </c>
      <c r="CR1393" s="8">
        <f t="shared" si="1009"/>
        <v>0</v>
      </c>
      <c r="CS1393" s="8">
        <f t="shared" si="1010"/>
        <v>0</v>
      </c>
      <c r="CT1393" s="8">
        <f t="shared" si="1015"/>
        <v>0</v>
      </c>
      <c r="CU1393" s="8">
        <f t="shared" si="1016"/>
        <v>0</v>
      </c>
      <c r="CV1393" s="8">
        <f t="shared" si="1017"/>
        <v>0</v>
      </c>
    </row>
    <row r="1394" spans="1:100" ht="20.5" thickTop="1" thickBot="1" x14ac:dyDescent="0.5">
      <c r="A1394" s="32"/>
      <c r="B1394" s="10"/>
      <c r="C1394" s="10"/>
      <c r="D1394" s="11"/>
      <c r="E1394" s="10"/>
      <c r="F1394" s="10"/>
      <c r="G1394" s="19"/>
      <c r="H1394" s="19"/>
      <c r="I1394" s="19"/>
      <c r="J1394" s="19"/>
      <c r="K1394" s="10"/>
      <c r="L1394" s="10"/>
      <c r="M1394" s="10"/>
      <c r="N1394" s="10"/>
      <c r="O1394" s="18"/>
      <c r="P1394" s="18"/>
      <c r="Q1394" s="21"/>
      <c r="R1394" s="20"/>
      <c r="S1394" s="16">
        <f t="shared" si="973"/>
        <v>0</v>
      </c>
      <c r="T1394" s="11"/>
      <c r="AS1394" s="31">
        <f t="shared" si="974"/>
        <v>0</v>
      </c>
      <c r="AT1394" s="31">
        <f t="shared" si="975"/>
        <v>0</v>
      </c>
      <c r="AU1394" s="31">
        <f t="shared" si="976"/>
        <v>0</v>
      </c>
      <c r="AV1394" s="31">
        <f t="shared" si="977"/>
        <v>0</v>
      </c>
      <c r="AW1394" s="31">
        <f t="shared" si="978"/>
        <v>0</v>
      </c>
      <c r="AX1394" s="31">
        <f t="shared" si="979"/>
        <v>0</v>
      </c>
      <c r="AY1394" s="31">
        <f t="shared" si="980"/>
        <v>0</v>
      </c>
      <c r="AZ1394" s="31">
        <f t="shared" si="981"/>
        <v>0</v>
      </c>
      <c r="BA1394" s="31">
        <f t="shared" si="982"/>
        <v>0</v>
      </c>
      <c r="BB1394" s="31">
        <f t="shared" si="1011"/>
        <v>0</v>
      </c>
      <c r="BM1394" s="8">
        <f t="shared" si="1012"/>
        <v>0</v>
      </c>
      <c r="BN1394" s="8">
        <f t="shared" si="983"/>
        <v>0</v>
      </c>
      <c r="BO1394" s="8">
        <f t="shared" si="984"/>
        <v>0</v>
      </c>
      <c r="BQ1394" s="8">
        <f t="shared" si="985"/>
        <v>0</v>
      </c>
      <c r="BR1394" s="63">
        <f t="shared" si="986"/>
        <v>0</v>
      </c>
      <c r="BS1394" s="63">
        <f t="shared" si="1013"/>
        <v>0</v>
      </c>
      <c r="BT1394" s="63">
        <f t="shared" si="987"/>
        <v>0</v>
      </c>
      <c r="BU1394" s="63">
        <f t="shared" si="988"/>
        <v>0</v>
      </c>
      <c r="BV1394" s="57">
        <f t="shared" si="989"/>
        <v>0</v>
      </c>
      <c r="BW1394" s="57">
        <f t="shared" si="990"/>
        <v>0</v>
      </c>
      <c r="BX1394" s="57">
        <f t="shared" si="1014"/>
        <v>0</v>
      </c>
      <c r="BY1394" s="57">
        <f t="shared" si="1018"/>
        <v>0</v>
      </c>
      <c r="BZ1394" s="8">
        <f t="shared" si="991"/>
        <v>0</v>
      </c>
      <c r="CA1394" s="8">
        <f t="shared" si="992"/>
        <v>0</v>
      </c>
      <c r="CB1394" s="8">
        <f t="shared" si="993"/>
        <v>0</v>
      </c>
      <c r="CC1394" s="8">
        <f t="shared" si="994"/>
        <v>0</v>
      </c>
      <c r="CD1394" s="8">
        <f t="shared" si="995"/>
        <v>0</v>
      </c>
      <c r="CE1394" s="8">
        <f t="shared" si="996"/>
        <v>0</v>
      </c>
      <c r="CF1394" s="8">
        <f t="shared" si="997"/>
        <v>0</v>
      </c>
      <c r="CG1394" s="8">
        <f t="shared" si="998"/>
        <v>0</v>
      </c>
      <c r="CH1394" s="8">
        <f t="shared" si="999"/>
        <v>0</v>
      </c>
      <c r="CI1394" s="8">
        <f t="shared" si="1000"/>
        <v>0</v>
      </c>
      <c r="CJ1394" s="8">
        <f t="shared" si="1001"/>
        <v>0</v>
      </c>
      <c r="CK1394" s="8">
        <f t="shared" si="1002"/>
        <v>0</v>
      </c>
      <c r="CL1394" s="8">
        <f t="shared" si="1003"/>
        <v>0</v>
      </c>
      <c r="CM1394" s="8">
        <f t="shared" si="1004"/>
        <v>0</v>
      </c>
      <c r="CN1394" s="8">
        <f t="shared" si="1005"/>
        <v>0</v>
      </c>
      <c r="CO1394" s="8">
        <f t="shared" si="1006"/>
        <v>0</v>
      </c>
      <c r="CP1394" s="8">
        <f t="shared" si="1007"/>
        <v>0</v>
      </c>
      <c r="CQ1394" s="8">
        <f t="shared" si="1008"/>
        <v>0</v>
      </c>
      <c r="CR1394" s="8">
        <f t="shared" si="1009"/>
        <v>0</v>
      </c>
      <c r="CS1394" s="8">
        <f t="shared" si="1010"/>
        <v>0</v>
      </c>
      <c r="CT1394" s="8">
        <f t="shared" si="1015"/>
        <v>0</v>
      </c>
      <c r="CU1394" s="8">
        <f t="shared" si="1016"/>
        <v>0</v>
      </c>
      <c r="CV1394" s="8">
        <f t="shared" si="1017"/>
        <v>0</v>
      </c>
    </row>
    <row r="1395" spans="1:100" ht="20.5" thickTop="1" thickBot="1" x14ac:dyDescent="0.5">
      <c r="A1395" s="32"/>
      <c r="B1395" s="10"/>
      <c r="C1395" s="10"/>
      <c r="D1395" s="11"/>
      <c r="E1395" s="10"/>
      <c r="F1395" s="10"/>
      <c r="G1395" s="19"/>
      <c r="H1395" s="19"/>
      <c r="I1395" s="19"/>
      <c r="J1395" s="19"/>
      <c r="K1395" s="10"/>
      <c r="L1395" s="10"/>
      <c r="M1395" s="10"/>
      <c r="N1395" s="10"/>
      <c r="O1395" s="18"/>
      <c r="P1395" s="18"/>
      <c r="Q1395" s="21"/>
      <c r="R1395" s="20"/>
      <c r="S1395" s="16">
        <f t="shared" si="973"/>
        <v>0</v>
      </c>
      <c r="T1395" s="11"/>
      <c r="AS1395" s="31">
        <f t="shared" si="974"/>
        <v>0</v>
      </c>
      <c r="AT1395" s="31">
        <f t="shared" si="975"/>
        <v>0</v>
      </c>
      <c r="AU1395" s="31">
        <f t="shared" si="976"/>
        <v>0</v>
      </c>
      <c r="AV1395" s="31">
        <f t="shared" si="977"/>
        <v>0</v>
      </c>
      <c r="AW1395" s="31">
        <f t="shared" si="978"/>
        <v>0</v>
      </c>
      <c r="AX1395" s="31">
        <f t="shared" si="979"/>
        <v>0</v>
      </c>
      <c r="AY1395" s="31">
        <f t="shared" si="980"/>
        <v>0</v>
      </c>
      <c r="AZ1395" s="31">
        <f t="shared" si="981"/>
        <v>0</v>
      </c>
      <c r="BA1395" s="31">
        <f t="shared" si="982"/>
        <v>0</v>
      </c>
      <c r="BB1395" s="31">
        <f t="shared" si="1011"/>
        <v>0</v>
      </c>
      <c r="BM1395" s="8">
        <f t="shared" si="1012"/>
        <v>0</v>
      </c>
      <c r="BN1395" s="8">
        <f t="shared" si="983"/>
        <v>0</v>
      </c>
      <c r="BO1395" s="8">
        <f t="shared" si="984"/>
        <v>0</v>
      </c>
      <c r="BQ1395" s="8">
        <f t="shared" si="985"/>
        <v>0</v>
      </c>
      <c r="BR1395" s="63">
        <f t="shared" si="986"/>
        <v>0</v>
      </c>
      <c r="BS1395" s="63">
        <f t="shared" si="1013"/>
        <v>0</v>
      </c>
      <c r="BT1395" s="63">
        <f t="shared" si="987"/>
        <v>0</v>
      </c>
      <c r="BU1395" s="63">
        <f t="shared" si="988"/>
        <v>0</v>
      </c>
      <c r="BV1395" s="57">
        <f t="shared" si="989"/>
        <v>0</v>
      </c>
      <c r="BW1395" s="57">
        <f t="shared" si="990"/>
        <v>0</v>
      </c>
      <c r="BX1395" s="57">
        <f t="shared" si="1014"/>
        <v>0</v>
      </c>
      <c r="BY1395" s="57">
        <f t="shared" si="1018"/>
        <v>0</v>
      </c>
      <c r="BZ1395" s="8">
        <f t="shared" si="991"/>
        <v>0</v>
      </c>
      <c r="CA1395" s="8">
        <f t="shared" si="992"/>
        <v>0</v>
      </c>
      <c r="CB1395" s="8">
        <f t="shared" si="993"/>
        <v>0</v>
      </c>
      <c r="CC1395" s="8">
        <f t="shared" si="994"/>
        <v>0</v>
      </c>
      <c r="CD1395" s="8">
        <f t="shared" si="995"/>
        <v>0</v>
      </c>
      <c r="CE1395" s="8">
        <f t="shared" si="996"/>
        <v>0</v>
      </c>
      <c r="CF1395" s="8">
        <f t="shared" si="997"/>
        <v>0</v>
      </c>
      <c r="CG1395" s="8">
        <f t="shared" si="998"/>
        <v>0</v>
      </c>
      <c r="CH1395" s="8">
        <f t="shared" si="999"/>
        <v>0</v>
      </c>
      <c r="CI1395" s="8">
        <f t="shared" si="1000"/>
        <v>0</v>
      </c>
      <c r="CJ1395" s="8">
        <f t="shared" si="1001"/>
        <v>0</v>
      </c>
      <c r="CK1395" s="8">
        <f t="shared" si="1002"/>
        <v>0</v>
      </c>
      <c r="CL1395" s="8">
        <f t="shared" si="1003"/>
        <v>0</v>
      </c>
      <c r="CM1395" s="8">
        <f t="shared" si="1004"/>
        <v>0</v>
      </c>
      <c r="CN1395" s="8">
        <f t="shared" si="1005"/>
        <v>0</v>
      </c>
      <c r="CO1395" s="8">
        <f t="shared" si="1006"/>
        <v>0</v>
      </c>
      <c r="CP1395" s="8">
        <f t="shared" si="1007"/>
        <v>0</v>
      </c>
      <c r="CQ1395" s="8">
        <f t="shared" si="1008"/>
        <v>0</v>
      </c>
      <c r="CR1395" s="8">
        <f t="shared" si="1009"/>
        <v>0</v>
      </c>
      <c r="CS1395" s="8">
        <f t="shared" si="1010"/>
        <v>0</v>
      </c>
      <c r="CT1395" s="8">
        <f t="shared" si="1015"/>
        <v>0</v>
      </c>
      <c r="CU1395" s="8">
        <f t="shared" si="1016"/>
        <v>0</v>
      </c>
      <c r="CV1395" s="8">
        <f t="shared" si="1017"/>
        <v>0</v>
      </c>
    </row>
    <row r="1396" spans="1:100" ht="20.5" thickTop="1" thickBot="1" x14ac:dyDescent="0.5">
      <c r="A1396" s="32"/>
      <c r="B1396" s="10"/>
      <c r="C1396" s="10"/>
      <c r="D1396" s="11"/>
      <c r="E1396" s="10"/>
      <c r="F1396" s="10"/>
      <c r="G1396" s="19"/>
      <c r="H1396" s="19"/>
      <c r="I1396" s="19"/>
      <c r="J1396" s="19"/>
      <c r="K1396" s="10"/>
      <c r="L1396" s="10"/>
      <c r="M1396" s="10"/>
      <c r="N1396" s="10"/>
      <c r="O1396" s="18"/>
      <c r="P1396" s="18"/>
      <c r="Q1396" s="21"/>
      <c r="R1396" s="20"/>
      <c r="S1396" s="16">
        <f t="shared" si="973"/>
        <v>0</v>
      </c>
      <c r="T1396" s="11"/>
      <c r="AS1396" s="31">
        <f t="shared" si="974"/>
        <v>0</v>
      </c>
      <c r="AT1396" s="31">
        <f t="shared" si="975"/>
        <v>0</v>
      </c>
      <c r="AU1396" s="31">
        <f t="shared" si="976"/>
        <v>0</v>
      </c>
      <c r="AV1396" s="31">
        <f t="shared" si="977"/>
        <v>0</v>
      </c>
      <c r="AW1396" s="31">
        <f t="shared" si="978"/>
        <v>0</v>
      </c>
      <c r="AX1396" s="31">
        <f t="shared" si="979"/>
        <v>0</v>
      </c>
      <c r="AY1396" s="31">
        <f t="shared" si="980"/>
        <v>0</v>
      </c>
      <c r="AZ1396" s="31">
        <f t="shared" si="981"/>
        <v>0</v>
      </c>
      <c r="BA1396" s="31">
        <f t="shared" si="982"/>
        <v>0</v>
      </c>
      <c r="BB1396" s="31">
        <f t="shared" si="1011"/>
        <v>0</v>
      </c>
      <c r="BM1396" s="8">
        <f t="shared" si="1012"/>
        <v>0</v>
      </c>
      <c r="BN1396" s="8">
        <f t="shared" si="983"/>
        <v>0</v>
      </c>
      <c r="BO1396" s="8">
        <f t="shared" si="984"/>
        <v>0</v>
      </c>
      <c r="BQ1396" s="8">
        <f t="shared" si="985"/>
        <v>0</v>
      </c>
      <c r="BR1396" s="63">
        <f t="shared" si="986"/>
        <v>0</v>
      </c>
      <c r="BS1396" s="63">
        <f t="shared" si="1013"/>
        <v>0</v>
      </c>
      <c r="BT1396" s="63">
        <f t="shared" si="987"/>
        <v>0</v>
      </c>
      <c r="BU1396" s="63">
        <f t="shared" si="988"/>
        <v>0</v>
      </c>
      <c r="BV1396" s="57">
        <f t="shared" si="989"/>
        <v>0</v>
      </c>
      <c r="BW1396" s="57">
        <f t="shared" si="990"/>
        <v>0</v>
      </c>
      <c r="BX1396" s="57">
        <f t="shared" si="1014"/>
        <v>0</v>
      </c>
      <c r="BY1396" s="57">
        <f t="shared" si="1018"/>
        <v>0</v>
      </c>
      <c r="BZ1396" s="8">
        <f t="shared" si="991"/>
        <v>0</v>
      </c>
      <c r="CA1396" s="8">
        <f t="shared" si="992"/>
        <v>0</v>
      </c>
      <c r="CB1396" s="8">
        <f t="shared" si="993"/>
        <v>0</v>
      </c>
      <c r="CC1396" s="8">
        <f t="shared" si="994"/>
        <v>0</v>
      </c>
      <c r="CD1396" s="8">
        <f t="shared" si="995"/>
        <v>0</v>
      </c>
      <c r="CE1396" s="8">
        <f t="shared" si="996"/>
        <v>0</v>
      </c>
      <c r="CF1396" s="8">
        <f t="shared" si="997"/>
        <v>0</v>
      </c>
      <c r="CG1396" s="8">
        <f t="shared" si="998"/>
        <v>0</v>
      </c>
      <c r="CH1396" s="8">
        <f t="shared" si="999"/>
        <v>0</v>
      </c>
      <c r="CI1396" s="8">
        <f t="shared" si="1000"/>
        <v>0</v>
      </c>
      <c r="CJ1396" s="8">
        <f t="shared" si="1001"/>
        <v>0</v>
      </c>
      <c r="CK1396" s="8">
        <f t="shared" si="1002"/>
        <v>0</v>
      </c>
      <c r="CL1396" s="8">
        <f t="shared" si="1003"/>
        <v>0</v>
      </c>
      <c r="CM1396" s="8">
        <f t="shared" si="1004"/>
        <v>0</v>
      </c>
      <c r="CN1396" s="8">
        <f t="shared" si="1005"/>
        <v>0</v>
      </c>
      <c r="CO1396" s="8">
        <f t="shared" si="1006"/>
        <v>0</v>
      </c>
      <c r="CP1396" s="8">
        <f t="shared" si="1007"/>
        <v>0</v>
      </c>
      <c r="CQ1396" s="8">
        <f t="shared" si="1008"/>
        <v>0</v>
      </c>
      <c r="CR1396" s="8">
        <f t="shared" si="1009"/>
        <v>0</v>
      </c>
      <c r="CS1396" s="8">
        <f t="shared" si="1010"/>
        <v>0</v>
      </c>
      <c r="CT1396" s="8">
        <f t="shared" si="1015"/>
        <v>0</v>
      </c>
      <c r="CU1396" s="8">
        <f t="shared" si="1016"/>
        <v>0</v>
      </c>
      <c r="CV1396" s="8">
        <f t="shared" si="1017"/>
        <v>0</v>
      </c>
    </row>
    <row r="1397" spans="1:100" ht="20.5" thickTop="1" thickBot="1" x14ac:dyDescent="0.5">
      <c r="A1397" s="32"/>
      <c r="B1397" s="10"/>
      <c r="C1397" s="10"/>
      <c r="D1397" s="11"/>
      <c r="E1397" s="10"/>
      <c r="F1397" s="10"/>
      <c r="G1397" s="19"/>
      <c r="H1397" s="19"/>
      <c r="I1397" s="19"/>
      <c r="J1397" s="19"/>
      <c r="K1397" s="10"/>
      <c r="L1397" s="10"/>
      <c r="M1397" s="10"/>
      <c r="N1397" s="10"/>
      <c r="O1397" s="18"/>
      <c r="P1397" s="18"/>
      <c r="Q1397" s="21"/>
      <c r="R1397" s="20"/>
      <c r="S1397" s="16">
        <f t="shared" si="973"/>
        <v>0</v>
      </c>
      <c r="T1397" s="11"/>
      <c r="AS1397" s="31">
        <f t="shared" si="974"/>
        <v>0</v>
      </c>
      <c r="AT1397" s="31">
        <f t="shared" si="975"/>
        <v>0</v>
      </c>
      <c r="AU1397" s="31">
        <f t="shared" si="976"/>
        <v>0</v>
      </c>
      <c r="AV1397" s="31">
        <f t="shared" si="977"/>
        <v>0</v>
      </c>
      <c r="AW1397" s="31">
        <f t="shared" si="978"/>
        <v>0</v>
      </c>
      <c r="AX1397" s="31">
        <f t="shared" si="979"/>
        <v>0</v>
      </c>
      <c r="AY1397" s="31">
        <f t="shared" si="980"/>
        <v>0</v>
      </c>
      <c r="AZ1397" s="31">
        <f t="shared" si="981"/>
        <v>0</v>
      </c>
      <c r="BA1397" s="31">
        <f t="shared" si="982"/>
        <v>0</v>
      </c>
      <c r="BB1397" s="31">
        <f t="shared" si="1011"/>
        <v>0</v>
      </c>
      <c r="BM1397" s="8">
        <f t="shared" si="1012"/>
        <v>0</v>
      </c>
      <c r="BN1397" s="8">
        <f t="shared" si="983"/>
        <v>0</v>
      </c>
      <c r="BO1397" s="8">
        <f t="shared" si="984"/>
        <v>0</v>
      </c>
      <c r="BQ1397" s="8">
        <f t="shared" si="985"/>
        <v>0</v>
      </c>
      <c r="BR1397" s="63">
        <f t="shared" si="986"/>
        <v>0</v>
      </c>
      <c r="BS1397" s="63">
        <f t="shared" si="1013"/>
        <v>0</v>
      </c>
      <c r="BT1397" s="63">
        <f t="shared" si="987"/>
        <v>0</v>
      </c>
      <c r="BU1397" s="63">
        <f t="shared" si="988"/>
        <v>0</v>
      </c>
      <c r="BV1397" s="57">
        <f t="shared" si="989"/>
        <v>0</v>
      </c>
      <c r="BW1397" s="57">
        <f t="shared" si="990"/>
        <v>0</v>
      </c>
      <c r="BX1397" s="57">
        <f t="shared" si="1014"/>
        <v>0</v>
      </c>
      <c r="BY1397" s="57">
        <f t="shared" si="1018"/>
        <v>0</v>
      </c>
      <c r="BZ1397" s="8">
        <f t="shared" si="991"/>
        <v>0</v>
      </c>
      <c r="CA1397" s="8">
        <f t="shared" si="992"/>
        <v>0</v>
      </c>
      <c r="CB1397" s="8">
        <f t="shared" si="993"/>
        <v>0</v>
      </c>
      <c r="CC1397" s="8">
        <f t="shared" si="994"/>
        <v>0</v>
      </c>
      <c r="CD1397" s="8">
        <f t="shared" si="995"/>
        <v>0</v>
      </c>
      <c r="CE1397" s="8">
        <f t="shared" si="996"/>
        <v>0</v>
      </c>
      <c r="CF1397" s="8">
        <f t="shared" si="997"/>
        <v>0</v>
      </c>
      <c r="CG1397" s="8">
        <f t="shared" si="998"/>
        <v>0</v>
      </c>
      <c r="CH1397" s="8">
        <f t="shared" si="999"/>
        <v>0</v>
      </c>
      <c r="CI1397" s="8">
        <f t="shared" si="1000"/>
        <v>0</v>
      </c>
      <c r="CJ1397" s="8">
        <f t="shared" si="1001"/>
        <v>0</v>
      </c>
      <c r="CK1397" s="8">
        <f t="shared" si="1002"/>
        <v>0</v>
      </c>
      <c r="CL1397" s="8">
        <f t="shared" si="1003"/>
        <v>0</v>
      </c>
      <c r="CM1397" s="8">
        <f t="shared" si="1004"/>
        <v>0</v>
      </c>
      <c r="CN1397" s="8">
        <f t="shared" si="1005"/>
        <v>0</v>
      </c>
      <c r="CO1397" s="8">
        <f t="shared" si="1006"/>
        <v>0</v>
      </c>
      <c r="CP1397" s="8">
        <f t="shared" si="1007"/>
        <v>0</v>
      </c>
      <c r="CQ1397" s="8">
        <f t="shared" si="1008"/>
        <v>0</v>
      </c>
      <c r="CR1397" s="8">
        <f t="shared" si="1009"/>
        <v>0</v>
      </c>
      <c r="CS1397" s="8">
        <f t="shared" si="1010"/>
        <v>0</v>
      </c>
      <c r="CT1397" s="8">
        <f t="shared" si="1015"/>
        <v>0</v>
      </c>
      <c r="CU1397" s="8">
        <f t="shared" si="1016"/>
        <v>0</v>
      </c>
      <c r="CV1397" s="8">
        <f t="shared" si="1017"/>
        <v>0</v>
      </c>
    </row>
    <row r="1398" spans="1:100" ht="20.5" thickTop="1" thickBot="1" x14ac:dyDescent="0.5">
      <c r="A1398" s="32"/>
      <c r="B1398" s="10"/>
      <c r="C1398" s="10"/>
      <c r="D1398" s="11"/>
      <c r="E1398" s="10"/>
      <c r="F1398" s="10"/>
      <c r="G1398" s="19"/>
      <c r="H1398" s="19"/>
      <c r="I1398" s="19"/>
      <c r="J1398" s="19"/>
      <c r="K1398" s="10"/>
      <c r="L1398" s="10"/>
      <c r="M1398" s="10"/>
      <c r="N1398" s="10"/>
      <c r="O1398" s="18"/>
      <c r="P1398" s="18"/>
      <c r="Q1398" s="21"/>
      <c r="R1398" s="20"/>
      <c r="S1398" s="16">
        <f t="shared" si="973"/>
        <v>0</v>
      </c>
      <c r="T1398" s="11"/>
      <c r="AS1398" s="31">
        <f t="shared" si="974"/>
        <v>0</v>
      </c>
      <c r="AT1398" s="31">
        <f t="shared" si="975"/>
        <v>0</v>
      </c>
      <c r="AU1398" s="31">
        <f t="shared" si="976"/>
        <v>0</v>
      </c>
      <c r="AV1398" s="31">
        <f t="shared" si="977"/>
        <v>0</v>
      </c>
      <c r="AW1398" s="31">
        <f t="shared" si="978"/>
        <v>0</v>
      </c>
      <c r="AX1398" s="31">
        <f t="shared" si="979"/>
        <v>0</v>
      </c>
      <c r="AY1398" s="31">
        <f t="shared" si="980"/>
        <v>0</v>
      </c>
      <c r="AZ1398" s="31">
        <f t="shared" si="981"/>
        <v>0</v>
      </c>
      <c r="BA1398" s="31">
        <f t="shared" si="982"/>
        <v>0</v>
      </c>
      <c r="BB1398" s="31">
        <f t="shared" si="1011"/>
        <v>0</v>
      </c>
      <c r="BM1398" s="8">
        <f t="shared" si="1012"/>
        <v>0</v>
      </c>
      <c r="BN1398" s="8">
        <f t="shared" si="983"/>
        <v>0</v>
      </c>
      <c r="BO1398" s="8">
        <f t="shared" si="984"/>
        <v>0</v>
      </c>
      <c r="BQ1398" s="8">
        <f t="shared" si="985"/>
        <v>0</v>
      </c>
      <c r="BR1398" s="63">
        <f t="shared" si="986"/>
        <v>0</v>
      </c>
      <c r="BS1398" s="63">
        <f t="shared" si="1013"/>
        <v>0</v>
      </c>
      <c r="BT1398" s="63">
        <f t="shared" si="987"/>
        <v>0</v>
      </c>
      <c r="BU1398" s="63">
        <f t="shared" si="988"/>
        <v>0</v>
      </c>
      <c r="BV1398" s="57">
        <f t="shared" si="989"/>
        <v>0</v>
      </c>
      <c r="BW1398" s="57">
        <f t="shared" si="990"/>
        <v>0</v>
      </c>
      <c r="BX1398" s="57">
        <f t="shared" si="1014"/>
        <v>0</v>
      </c>
      <c r="BY1398" s="57">
        <f t="shared" si="1018"/>
        <v>0</v>
      </c>
      <c r="BZ1398" s="8">
        <f t="shared" si="991"/>
        <v>0</v>
      </c>
      <c r="CA1398" s="8">
        <f t="shared" si="992"/>
        <v>0</v>
      </c>
      <c r="CB1398" s="8">
        <f t="shared" si="993"/>
        <v>0</v>
      </c>
      <c r="CC1398" s="8">
        <f t="shared" si="994"/>
        <v>0</v>
      </c>
      <c r="CD1398" s="8">
        <f t="shared" si="995"/>
        <v>0</v>
      </c>
      <c r="CE1398" s="8">
        <f t="shared" si="996"/>
        <v>0</v>
      </c>
      <c r="CF1398" s="8">
        <f t="shared" si="997"/>
        <v>0</v>
      </c>
      <c r="CG1398" s="8">
        <f t="shared" si="998"/>
        <v>0</v>
      </c>
      <c r="CH1398" s="8">
        <f t="shared" si="999"/>
        <v>0</v>
      </c>
      <c r="CI1398" s="8">
        <f t="shared" si="1000"/>
        <v>0</v>
      </c>
      <c r="CJ1398" s="8">
        <f t="shared" si="1001"/>
        <v>0</v>
      </c>
      <c r="CK1398" s="8">
        <f t="shared" si="1002"/>
        <v>0</v>
      </c>
      <c r="CL1398" s="8">
        <f t="shared" si="1003"/>
        <v>0</v>
      </c>
      <c r="CM1398" s="8">
        <f t="shared" si="1004"/>
        <v>0</v>
      </c>
      <c r="CN1398" s="8">
        <f t="shared" si="1005"/>
        <v>0</v>
      </c>
      <c r="CO1398" s="8">
        <f t="shared" si="1006"/>
        <v>0</v>
      </c>
      <c r="CP1398" s="8">
        <f t="shared" si="1007"/>
        <v>0</v>
      </c>
      <c r="CQ1398" s="8">
        <f t="shared" si="1008"/>
        <v>0</v>
      </c>
      <c r="CR1398" s="8">
        <f t="shared" si="1009"/>
        <v>0</v>
      </c>
      <c r="CS1398" s="8">
        <f t="shared" si="1010"/>
        <v>0</v>
      </c>
      <c r="CT1398" s="8">
        <f t="shared" si="1015"/>
        <v>0</v>
      </c>
      <c r="CU1398" s="8">
        <f t="shared" si="1016"/>
        <v>0</v>
      </c>
      <c r="CV1398" s="8">
        <f t="shared" si="1017"/>
        <v>0</v>
      </c>
    </row>
    <row r="1399" spans="1:100" ht="20.5" thickTop="1" thickBot="1" x14ac:dyDescent="0.5">
      <c r="A1399" s="32"/>
      <c r="B1399" s="10"/>
      <c r="C1399" s="10"/>
      <c r="D1399" s="11"/>
      <c r="E1399" s="10"/>
      <c r="F1399" s="10"/>
      <c r="G1399" s="19"/>
      <c r="H1399" s="19"/>
      <c r="I1399" s="19"/>
      <c r="J1399" s="19"/>
      <c r="K1399" s="10"/>
      <c r="L1399" s="10"/>
      <c r="M1399" s="10"/>
      <c r="N1399" s="10"/>
      <c r="O1399" s="18"/>
      <c r="P1399" s="18"/>
      <c r="Q1399" s="21"/>
      <c r="R1399" s="20"/>
      <c r="S1399" s="16">
        <f t="shared" si="973"/>
        <v>0</v>
      </c>
      <c r="T1399" s="11"/>
      <c r="AS1399" s="31">
        <f t="shared" si="974"/>
        <v>0</v>
      </c>
      <c r="AT1399" s="31">
        <f t="shared" si="975"/>
        <v>0</v>
      </c>
      <c r="AU1399" s="31">
        <f t="shared" si="976"/>
        <v>0</v>
      </c>
      <c r="AV1399" s="31">
        <f t="shared" si="977"/>
        <v>0</v>
      </c>
      <c r="AW1399" s="31">
        <f t="shared" si="978"/>
        <v>0</v>
      </c>
      <c r="AX1399" s="31">
        <f t="shared" si="979"/>
        <v>0</v>
      </c>
      <c r="AY1399" s="31">
        <f t="shared" si="980"/>
        <v>0</v>
      </c>
      <c r="AZ1399" s="31">
        <f t="shared" si="981"/>
        <v>0</v>
      </c>
      <c r="BA1399" s="31">
        <f t="shared" si="982"/>
        <v>0</v>
      </c>
      <c r="BB1399" s="31">
        <f t="shared" si="1011"/>
        <v>0</v>
      </c>
      <c r="BM1399" s="8">
        <f t="shared" si="1012"/>
        <v>0</v>
      </c>
      <c r="BN1399" s="8">
        <f t="shared" si="983"/>
        <v>0</v>
      </c>
      <c r="BO1399" s="8">
        <f t="shared" si="984"/>
        <v>0</v>
      </c>
      <c r="BQ1399" s="8">
        <f t="shared" si="985"/>
        <v>0</v>
      </c>
      <c r="BR1399" s="63">
        <f t="shared" si="986"/>
        <v>0</v>
      </c>
      <c r="BS1399" s="63">
        <f t="shared" si="1013"/>
        <v>0</v>
      </c>
      <c r="BT1399" s="63">
        <f t="shared" si="987"/>
        <v>0</v>
      </c>
      <c r="BU1399" s="63">
        <f t="shared" si="988"/>
        <v>0</v>
      </c>
      <c r="BV1399" s="57">
        <f t="shared" si="989"/>
        <v>0</v>
      </c>
      <c r="BW1399" s="57">
        <f t="shared" si="990"/>
        <v>0</v>
      </c>
      <c r="BX1399" s="57">
        <f t="shared" si="1014"/>
        <v>0</v>
      </c>
      <c r="BY1399" s="57">
        <f t="shared" si="1018"/>
        <v>0</v>
      </c>
      <c r="BZ1399" s="8">
        <f t="shared" si="991"/>
        <v>0</v>
      </c>
      <c r="CA1399" s="8">
        <f t="shared" si="992"/>
        <v>0</v>
      </c>
      <c r="CB1399" s="8">
        <f t="shared" si="993"/>
        <v>0</v>
      </c>
      <c r="CC1399" s="8">
        <f t="shared" si="994"/>
        <v>0</v>
      </c>
      <c r="CD1399" s="8">
        <f t="shared" si="995"/>
        <v>0</v>
      </c>
      <c r="CE1399" s="8">
        <f t="shared" si="996"/>
        <v>0</v>
      </c>
      <c r="CF1399" s="8">
        <f t="shared" si="997"/>
        <v>0</v>
      </c>
      <c r="CG1399" s="8">
        <f t="shared" si="998"/>
        <v>0</v>
      </c>
      <c r="CH1399" s="8">
        <f t="shared" si="999"/>
        <v>0</v>
      </c>
      <c r="CI1399" s="8">
        <f t="shared" si="1000"/>
        <v>0</v>
      </c>
      <c r="CJ1399" s="8">
        <f t="shared" si="1001"/>
        <v>0</v>
      </c>
      <c r="CK1399" s="8">
        <f t="shared" si="1002"/>
        <v>0</v>
      </c>
      <c r="CL1399" s="8">
        <f t="shared" si="1003"/>
        <v>0</v>
      </c>
      <c r="CM1399" s="8">
        <f t="shared" si="1004"/>
        <v>0</v>
      </c>
      <c r="CN1399" s="8">
        <f t="shared" si="1005"/>
        <v>0</v>
      </c>
      <c r="CO1399" s="8">
        <f t="shared" si="1006"/>
        <v>0</v>
      </c>
      <c r="CP1399" s="8">
        <f t="shared" si="1007"/>
        <v>0</v>
      </c>
      <c r="CQ1399" s="8">
        <f t="shared" si="1008"/>
        <v>0</v>
      </c>
      <c r="CR1399" s="8">
        <f t="shared" si="1009"/>
        <v>0</v>
      </c>
      <c r="CS1399" s="8">
        <f t="shared" si="1010"/>
        <v>0</v>
      </c>
      <c r="CT1399" s="8">
        <f t="shared" si="1015"/>
        <v>0</v>
      </c>
      <c r="CU1399" s="8">
        <f t="shared" si="1016"/>
        <v>0</v>
      </c>
      <c r="CV1399" s="8">
        <f t="shared" si="1017"/>
        <v>0</v>
      </c>
    </row>
    <row r="1400" spans="1:100" ht="20.5" thickTop="1" thickBot="1" x14ac:dyDescent="0.5">
      <c r="A1400" s="32"/>
      <c r="B1400" s="10"/>
      <c r="C1400" s="10"/>
      <c r="D1400" s="11"/>
      <c r="E1400" s="10"/>
      <c r="F1400" s="10"/>
      <c r="G1400" s="19"/>
      <c r="H1400" s="19"/>
      <c r="I1400" s="19"/>
      <c r="J1400" s="19"/>
      <c r="K1400" s="10"/>
      <c r="L1400" s="10"/>
      <c r="M1400" s="10"/>
      <c r="N1400" s="10"/>
      <c r="O1400" s="18"/>
      <c r="P1400" s="18"/>
      <c r="Q1400" s="21"/>
      <c r="R1400" s="20"/>
      <c r="S1400" s="16">
        <f t="shared" si="973"/>
        <v>0</v>
      </c>
      <c r="T1400" s="11"/>
      <c r="AS1400" s="31">
        <f t="shared" si="974"/>
        <v>0</v>
      </c>
      <c r="AT1400" s="31">
        <f t="shared" si="975"/>
        <v>0</v>
      </c>
      <c r="AU1400" s="31">
        <f t="shared" si="976"/>
        <v>0</v>
      </c>
      <c r="AV1400" s="31">
        <f t="shared" si="977"/>
        <v>0</v>
      </c>
      <c r="AW1400" s="31">
        <f t="shared" si="978"/>
        <v>0</v>
      </c>
      <c r="AX1400" s="31">
        <f t="shared" si="979"/>
        <v>0</v>
      </c>
      <c r="AY1400" s="31">
        <f t="shared" si="980"/>
        <v>0</v>
      </c>
      <c r="AZ1400" s="31">
        <f t="shared" si="981"/>
        <v>0</v>
      </c>
      <c r="BA1400" s="31">
        <f t="shared" si="982"/>
        <v>0</v>
      </c>
      <c r="BB1400" s="31">
        <f t="shared" si="1011"/>
        <v>0</v>
      </c>
      <c r="BM1400" s="8">
        <f t="shared" si="1012"/>
        <v>0</v>
      </c>
      <c r="BN1400" s="8">
        <f t="shared" si="983"/>
        <v>0</v>
      </c>
      <c r="BO1400" s="8">
        <f t="shared" si="984"/>
        <v>0</v>
      </c>
      <c r="BQ1400" s="8">
        <f t="shared" si="985"/>
        <v>0</v>
      </c>
      <c r="BR1400" s="63">
        <f t="shared" si="986"/>
        <v>0</v>
      </c>
      <c r="BS1400" s="63">
        <f t="shared" si="1013"/>
        <v>0</v>
      </c>
      <c r="BT1400" s="63">
        <f t="shared" si="987"/>
        <v>0</v>
      </c>
      <c r="BU1400" s="63">
        <f t="shared" si="988"/>
        <v>0</v>
      </c>
      <c r="BV1400" s="57">
        <f t="shared" si="989"/>
        <v>0</v>
      </c>
      <c r="BW1400" s="57">
        <f t="shared" si="990"/>
        <v>0</v>
      </c>
      <c r="BX1400" s="57">
        <f t="shared" si="1014"/>
        <v>0</v>
      </c>
      <c r="BY1400" s="57">
        <f t="shared" si="1018"/>
        <v>0</v>
      </c>
      <c r="BZ1400" s="8">
        <f t="shared" si="991"/>
        <v>0</v>
      </c>
      <c r="CA1400" s="8">
        <f t="shared" si="992"/>
        <v>0</v>
      </c>
      <c r="CB1400" s="8">
        <f t="shared" si="993"/>
        <v>0</v>
      </c>
      <c r="CC1400" s="8">
        <f t="shared" si="994"/>
        <v>0</v>
      </c>
      <c r="CD1400" s="8">
        <f t="shared" si="995"/>
        <v>0</v>
      </c>
      <c r="CE1400" s="8">
        <f t="shared" si="996"/>
        <v>0</v>
      </c>
      <c r="CF1400" s="8">
        <f t="shared" si="997"/>
        <v>0</v>
      </c>
      <c r="CG1400" s="8">
        <f t="shared" si="998"/>
        <v>0</v>
      </c>
      <c r="CH1400" s="8">
        <f t="shared" si="999"/>
        <v>0</v>
      </c>
      <c r="CI1400" s="8">
        <f t="shared" si="1000"/>
        <v>0</v>
      </c>
      <c r="CJ1400" s="8">
        <f t="shared" si="1001"/>
        <v>0</v>
      </c>
      <c r="CK1400" s="8">
        <f t="shared" si="1002"/>
        <v>0</v>
      </c>
      <c r="CL1400" s="8">
        <f t="shared" si="1003"/>
        <v>0</v>
      </c>
      <c r="CM1400" s="8">
        <f t="shared" si="1004"/>
        <v>0</v>
      </c>
      <c r="CN1400" s="8">
        <f t="shared" si="1005"/>
        <v>0</v>
      </c>
      <c r="CO1400" s="8">
        <f t="shared" si="1006"/>
        <v>0</v>
      </c>
      <c r="CP1400" s="8">
        <f t="shared" si="1007"/>
        <v>0</v>
      </c>
      <c r="CQ1400" s="8">
        <f t="shared" si="1008"/>
        <v>0</v>
      </c>
      <c r="CR1400" s="8">
        <f t="shared" si="1009"/>
        <v>0</v>
      </c>
      <c r="CS1400" s="8">
        <f t="shared" si="1010"/>
        <v>0</v>
      </c>
      <c r="CT1400" s="8">
        <f t="shared" si="1015"/>
        <v>0</v>
      </c>
      <c r="CU1400" s="8">
        <f t="shared" si="1016"/>
        <v>0</v>
      </c>
      <c r="CV1400" s="8">
        <f t="shared" si="1017"/>
        <v>0</v>
      </c>
    </row>
    <row r="1401" spans="1:100" ht="20.5" thickTop="1" thickBot="1" x14ac:dyDescent="0.5">
      <c r="A1401" s="32"/>
      <c r="B1401" s="10"/>
      <c r="C1401" s="10"/>
      <c r="D1401" s="11"/>
      <c r="E1401" s="10"/>
      <c r="F1401" s="10"/>
      <c r="G1401" s="19"/>
      <c r="H1401" s="19"/>
      <c r="I1401" s="19"/>
      <c r="J1401" s="19"/>
      <c r="K1401" s="10"/>
      <c r="L1401" s="10"/>
      <c r="M1401" s="10"/>
      <c r="N1401" s="10"/>
      <c r="O1401" s="18"/>
      <c r="P1401" s="18"/>
      <c r="Q1401" s="21"/>
      <c r="R1401" s="20"/>
      <c r="S1401" s="16">
        <f t="shared" si="973"/>
        <v>0</v>
      </c>
      <c r="T1401" s="11"/>
      <c r="AS1401" s="31">
        <f t="shared" si="974"/>
        <v>0</v>
      </c>
      <c r="AT1401" s="31">
        <f t="shared" si="975"/>
        <v>0</v>
      </c>
      <c r="AU1401" s="31">
        <f t="shared" si="976"/>
        <v>0</v>
      </c>
      <c r="AV1401" s="31">
        <f t="shared" si="977"/>
        <v>0</v>
      </c>
      <c r="AW1401" s="31">
        <f t="shared" si="978"/>
        <v>0</v>
      </c>
      <c r="AX1401" s="31">
        <f t="shared" si="979"/>
        <v>0</v>
      </c>
      <c r="AY1401" s="31">
        <f t="shared" si="980"/>
        <v>0</v>
      </c>
      <c r="AZ1401" s="31">
        <f t="shared" si="981"/>
        <v>0</v>
      </c>
      <c r="BA1401" s="31">
        <f t="shared" si="982"/>
        <v>0</v>
      </c>
      <c r="BB1401" s="31">
        <f t="shared" si="1011"/>
        <v>0</v>
      </c>
      <c r="BM1401" s="8">
        <f t="shared" si="1012"/>
        <v>0</v>
      </c>
      <c r="BN1401" s="8">
        <f t="shared" si="983"/>
        <v>0</v>
      </c>
      <c r="BO1401" s="8">
        <f t="shared" si="984"/>
        <v>0</v>
      </c>
      <c r="BQ1401" s="8">
        <f t="shared" si="985"/>
        <v>0</v>
      </c>
      <c r="BR1401" s="63">
        <f t="shared" si="986"/>
        <v>0</v>
      </c>
      <c r="BS1401" s="63">
        <f t="shared" si="1013"/>
        <v>0</v>
      </c>
      <c r="BT1401" s="63">
        <f t="shared" si="987"/>
        <v>0</v>
      </c>
      <c r="BU1401" s="63">
        <f t="shared" si="988"/>
        <v>0</v>
      </c>
      <c r="BV1401" s="57">
        <f t="shared" si="989"/>
        <v>0</v>
      </c>
      <c r="BW1401" s="57">
        <f t="shared" si="990"/>
        <v>0</v>
      </c>
      <c r="BX1401" s="57">
        <f t="shared" si="1014"/>
        <v>0</v>
      </c>
      <c r="BY1401" s="57">
        <f t="shared" si="1018"/>
        <v>0</v>
      </c>
      <c r="BZ1401" s="8">
        <f t="shared" si="991"/>
        <v>0</v>
      </c>
      <c r="CA1401" s="8">
        <f t="shared" si="992"/>
        <v>0</v>
      </c>
      <c r="CB1401" s="8">
        <f t="shared" si="993"/>
        <v>0</v>
      </c>
      <c r="CC1401" s="8">
        <f t="shared" si="994"/>
        <v>0</v>
      </c>
      <c r="CD1401" s="8">
        <f t="shared" si="995"/>
        <v>0</v>
      </c>
      <c r="CE1401" s="8">
        <f t="shared" si="996"/>
        <v>0</v>
      </c>
      <c r="CF1401" s="8">
        <f t="shared" si="997"/>
        <v>0</v>
      </c>
      <c r="CG1401" s="8">
        <f t="shared" si="998"/>
        <v>0</v>
      </c>
      <c r="CH1401" s="8">
        <f t="shared" si="999"/>
        <v>0</v>
      </c>
      <c r="CI1401" s="8">
        <f t="shared" si="1000"/>
        <v>0</v>
      </c>
      <c r="CJ1401" s="8">
        <f t="shared" si="1001"/>
        <v>0</v>
      </c>
      <c r="CK1401" s="8">
        <f t="shared" si="1002"/>
        <v>0</v>
      </c>
      <c r="CL1401" s="8">
        <f t="shared" si="1003"/>
        <v>0</v>
      </c>
      <c r="CM1401" s="8">
        <f t="shared" si="1004"/>
        <v>0</v>
      </c>
      <c r="CN1401" s="8">
        <f t="shared" si="1005"/>
        <v>0</v>
      </c>
      <c r="CO1401" s="8">
        <f t="shared" si="1006"/>
        <v>0</v>
      </c>
      <c r="CP1401" s="8">
        <f t="shared" si="1007"/>
        <v>0</v>
      </c>
      <c r="CQ1401" s="8">
        <f t="shared" si="1008"/>
        <v>0</v>
      </c>
      <c r="CR1401" s="8">
        <f t="shared" si="1009"/>
        <v>0</v>
      </c>
      <c r="CS1401" s="8">
        <f t="shared" si="1010"/>
        <v>0</v>
      </c>
      <c r="CT1401" s="8">
        <f t="shared" si="1015"/>
        <v>0</v>
      </c>
      <c r="CU1401" s="8">
        <f t="shared" si="1016"/>
        <v>0</v>
      </c>
      <c r="CV1401" s="8">
        <f t="shared" si="1017"/>
        <v>0</v>
      </c>
    </row>
    <row r="1402" spans="1:100" ht="20.5" thickTop="1" thickBot="1" x14ac:dyDescent="0.5">
      <c r="A1402" s="32"/>
      <c r="B1402" s="10"/>
      <c r="C1402" s="10"/>
      <c r="D1402" s="11"/>
      <c r="E1402" s="10"/>
      <c r="F1402" s="10"/>
      <c r="G1402" s="19"/>
      <c r="H1402" s="19"/>
      <c r="I1402" s="19"/>
      <c r="J1402" s="19"/>
      <c r="K1402" s="10"/>
      <c r="L1402" s="10"/>
      <c r="M1402" s="10"/>
      <c r="N1402" s="10"/>
      <c r="O1402" s="18"/>
      <c r="P1402" s="18"/>
      <c r="Q1402" s="21"/>
      <c r="R1402" s="20"/>
      <c r="S1402" s="16">
        <f t="shared" si="973"/>
        <v>0</v>
      </c>
      <c r="T1402" s="11"/>
      <c r="AS1402" s="31">
        <f t="shared" si="974"/>
        <v>0</v>
      </c>
      <c r="AT1402" s="31">
        <f t="shared" si="975"/>
        <v>0</v>
      </c>
      <c r="AU1402" s="31">
        <f t="shared" si="976"/>
        <v>0</v>
      </c>
      <c r="AV1402" s="31">
        <f t="shared" si="977"/>
        <v>0</v>
      </c>
      <c r="AW1402" s="31">
        <f t="shared" si="978"/>
        <v>0</v>
      </c>
      <c r="AX1402" s="31">
        <f t="shared" si="979"/>
        <v>0</v>
      </c>
      <c r="AY1402" s="31">
        <f t="shared" si="980"/>
        <v>0</v>
      </c>
      <c r="AZ1402" s="31">
        <f t="shared" si="981"/>
        <v>0</v>
      </c>
      <c r="BA1402" s="31">
        <f t="shared" si="982"/>
        <v>0</v>
      </c>
      <c r="BB1402" s="31">
        <f t="shared" si="1011"/>
        <v>0</v>
      </c>
      <c r="BM1402" s="8">
        <f t="shared" si="1012"/>
        <v>0</v>
      </c>
      <c r="BN1402" s="8">
        <f t="shared" si="983"/>
        <v>0</v>
      </c>
      <c r="BO1402" s="8">
        <f t="shared" si="984"/>
        <v>0</v>
      </c>
      <c r="BQ1402" s="8">
        <f t="shared" si="985"/>
        <v>0</v>
      </c>
      <c r="BR1402" s="63">
        <f t="shared" si="986"/>
        <v>0</v>
      </c>
      <c r="BS1402" s="63">
        <f t="shared" si="1013"/>
        <v>0</v>
      </c>
      <c r="BT1402" s="63">
        <f t="shared" si="987"/>
        <v>0</v>
      </c>
      <c r="BU1402" s="63">
        <f t="shared" si="988"/>
        <v>0</v>
      </c>
      <c r="BV1402" s="57">
        <f t="shared" si="989"/>
        <v>0</v>
      </c>
      <c r="BW1402" s="57">
        <f t="shared" si="990"/>
        <v>0</v>
      </c>
      <c r="BX1402" s="57">
        <f t="shared" si="1014"/>
        <v>0</v>
      </c>
      <c r="BY1402" s="57">
        <f t="shared" si="1018"/>
        <v>0</v>
      </c>
      <c r="BZ1402" s="8">
        <f t="shared" si="991"/>
        <v>0</v>
      </c>
      <c r="CA1402" s="8">
        <f t="shared" si="992"/>
        <v>0</v>
      </c>
      <c r="CB1402" s="8">
        <f t="shared" si="993"/>
        <v>0</v>
      </c>
      <c r="CC1402" s="8">
        <f t="shared" si="994"/>
        <v>0</v>
      </c>
      <c r="CD1402" s="8">
        <f t="shared" si="995"/>
        <v>0</v>
      </c>
      <c r="CE1402" s="8">
        <f t="shared" si="996"/>
        <v>0</v>
      </c>
      <c r="CF1402" s="8">
        <f t="shared" si="997"/>
        <v>0</v>
      </c>
      <c r="CG1402" s="8">
        <f t="shared" si="998"/>
        <v>0</v>
      </c>
      <c r="CH1402" s="8">
        <f t="shared" si="999"/>
        <v>0</v>
      </c>
      <c r="CI1402" s="8">
        <f t="shared" si="1000"/>
        <v>0</v>
      </c>
      <c r="CJ1402" s="8">
        <f t="shared" si="1001"/>
        <v>0</v>
      </c>
      <c r="CK1402" s="8">
        <f t="shared" si="1002"/>
        <v>0</v>
      </c>
      <c r="CL1402" s="8">
        <f t="shared" si="1003"/>
        <v>0</v>
      </c>
      <c r="CM1402" s="8">
        <f t="shared" si="1004"/>
        <v>0</v>
      </c>
      <c r="CN1402" s="8">
        <f t="shared" si="1005"/>
        <v>0</v>
      </c>
      <c r="CO1402" s="8">
        <f t="shared" si="1006"/>
        <v>0</v>
      </c>
      <c r="CP1402" s="8">
        <f t="shared" si="1007"/>
        <v>0</v>
      </c>
      <c r="CQ1402" s="8">
        <f t="shared" si="1008"/>
        <v>0</v>
      </c>
      <c r="CR1402" s="8">
        <f t="shared" si="1009"/>
        <v>0</v>
      </c>
      <c r="CS1402" s="8">
        <f t="shared" si="1010"/>
        <v>0</v>
      </c>
      <c r="CT1402" s="8">
        <f t="shared" si="1015"/>
        <v>0</v>
      </c>
      <c r="CU1402" s="8">
        <f t="shared" si="1016"/>
        <v>0</v>
      </c>
      <c r="CV1402" s="8">
        <f t="shared" si="1017"/>
        <v>0</v>
      </c>
    </row>
    <row r="1403" spans="1:100" ht="20.5" thickTop="1" thickBot="1" x14ac:dyDescent="0.5">
      <c r="A1403" s="32"/>
      <c r="B1403" s="10"/>
      <c r="C1403" s="10"/>
      <c r="D1403" s="11"/>
      <c r="E1403" s="10"/>
      <c r="F1403" s="10"/>
      <c r="G1403" s="19"/>
      <c r="H1403" s="19"/>
      <c r="I1403" s="19"/>
      <c r="J1403" s="19"/>
      <c r="K1403" s="10"/>
      <c r="L1403" s="10"/>
      <c r="M1403" s="10"/>
      <c r="N1403" s="10"/>
      <c r="O1403" s="18"/>
      <c r="P1403" s="18"/>
      <c r="Q1403" s="21"/>
      <c r="R1403" s="20"/>
      <c r="S1403" s="16">
        <f t="shared" si="973"/>
        <v>0</v>
      </c>
      <c r="T1403" s="11"/>
      <c r="AS1403" s="31">
        <f t="shared" si="974"/>
        <v>0</v>
      </c>
      <c r="AT1403" s="31">
        <f t="shared" si="975"/>
        <v>0</v>
      </c>
      <c r="AU1403" s="31">
        <f t="shared" si="976"/>
        <v>0</v>
      </c>
      <c r="AV1403" s="31">
        <f t="shared" si="977"/>
        <v>0</v>
      </c>
      <c r="AW1403" s="31">
        <f t="shared" si="978"/>
        <v>0</v>
      </c>
      <c r="AX1403" s="31">
        <f t="shared" si="979"/>
        <v>0</v>
      </c>
      <c r="AY1403" s="31">
        <f t="shared" si="980"/>
        <v>0</v>
      </c>
      <c r="AZ1403" s="31">
        <f t="shared" si="981"/>
        <v>0</v>
      </c>
      <c r="BA1403" s="31">
        <f t="shared" si="982"/>
        <v>0</v>
      </c>
      <c r="BB1403" s="31">
        <f t="shared" si="1011"/>
        <v>0</v>
      </c>
      <c r="BM1403" s="8">
        <f t="shared" si="1012"/>
        <v>0</v>
      </c>
      <c r="BN1403" s="8">
        <f t="shared" si="983"/>
        <v>0</v>
      </c>
      <c r="BO1403" s="8">
        <f t="shared" si="984"/>
        <v>0</v>
      </c>
      <c r="BQ1403" s="8">
        <f t="shared" si="985"/>
        <v>0</v>
      </c>
      <c r="BR1403" s="63">
        <f t="shared" si="986"/>
        <v>0</v>
      </c>
      <c r="BS1403" s="63">
        <f t="shared" si="1013"/>
        <v>0</v>
      </c>
      <c r="BT1403" s="63">
        <f t="shared" si="987"/>
        <v>0</v>
      </c>
      <c r="BU1403" s="63">
        <f t="shared" si="988"/>
        <v>0</v>
      </c>
      <c r="BV1403" s="57">
        <f t="shared" si="989"/>
        <v>0</v>
      </c>
      <c r="BW1403" s="57">
        <f t="shared" si="990"/>
        <v>0</v>
      </c>
      <c r="BX1403" s="57">
        <f t="shared" si="1014"/>
        <v>0</v>
      </c>
      <c r="BY1403" s="57">
        <f t="shared" si="1018"/>
        <v>0</v>
      </c>
      <c r="BZ1403" s="8">
        <f t="shared" si="991"/>
        <v>0</v>
      </c>
      <c r="CA1403" s="8">
        <f t="shared" si="992"/>
        <v>0</v>
      </c>
      <c r="CB1403" s="8">
        <f t="shared" si="993"/>
        <v>0</v>
      </c>
      <c r="CC1403" s="8">
        <f t="shared" si="994"/>
        <v>0</v>
      </c>
      <c r="CD1403" s="8">
        <f t="shared" si="995"/>
        <v>0</v>
      </c>
      <c r="CE1403" s="8">
        <f t="shared" si="996"/>
        <v>0</v>
      </c>
      <c r="CF1403" s="8">
        <f t="shared" si="997"/>
        <v>0</v>
      </c>
      <c r="CG1403" s="8">
        <f t="shared" si="998"/>
        <v>0</v>
      </c>
      <c r="CH1403" s="8">
        <f t="shared" si="999"/>
        <v>0</v>
      </c>
      <c r="CI1403" s="8">
        <f t="shared" si="1000"/>
        <v>0</v>
      </c>
      <c r="CJ1403" s="8">
        <f t="shared" si="1001"/>
        <v>0</v>
      </c>
      <c r="CK1403" s="8">
        <f t="shared" si="1002"/>
        <v>0</v>
      </c>
      <c r="CL1403" s="8">
        <f t="shared" si="1003"/>
        <v>0</v>
      </c>
      <c r="CM1403" s="8">
        <f t="shared" si="1004"/>
        <v>0</v>
      </c>
      <c r="CN1403" s="8">
        <f t="shared" si="1005"/>
        <v>0</v>
      </c>
      <c r="CO1403" s="8">
        <f t="shared" si="1006"/>
        <v>0</v>
      </c>
      <c r="CP1403" s="8">
        <f t="shared" si="1007"/>
        <v>0</v>
      </c>
      <c r="CQ1403" s="8">
        <f t="shared" si="1008"/>
        <v>0</v>
      </c>
      <c r="CR1403" s="8">
        <f t="shared" si="1009"/>
        <v>0</v>
      </c>
      <c r="CS1403" s="8">
        <f t="shared" si="1010"/>
        <v>0</v>
      </c>
      <c r="CT1403" s="8">
        <f t="shared" si="1015"/>
        <v>0</v>
      </c>
      <c r="CU1403" s="8">
        <f t="shared" si="1016"/>
        <v>0</v>
      </c>
      <c r="CV1403" s="8">
        <f t="shared" si="1017"/>
        <v>0</v>
      </c>
    </row>
    <row r="1404" spans="1:100" ht="20.5" thickTop="1" thickBot="1" x14ac:dyDescent="0.5">
      <c r="A1404" s="32"/>
      <c r="B1404" s="10"/>
      <c r="C1404" s="10"/>
      <c r="D1404" s="11"/>
      <c r="E1404" s="10"/>
      <c r="F1404" s="10"/>
      <c r="G1404" s="19"/>
      <c r="H1404" s="19"/>
      <c r="I1404" s="19"/>
      <c r="J1404" s="19"/>
      <c r="K1404" s="10"/>
      <c r="L1404" s="10"/>
      <c r="M1404" s="10"/>
      <c r="N1404" s="10"/>
      <c r="O1404" s="18"/>
      <c r="P1404" s="18"/>
      <c r="Q1404" s="21"/>
      <c r="R1404" s="20"/>
      <c r="S1404" s="16">
        <f t="shared" si="973"/>
        <v>0</v>
      </c>
      <c r="T1404" s="11"/>
      <c r="AS1404" s="31">
        <f t="shared" si="974"/>
        <v>0</v>
      </c>
      <c r="AT1404" s="31">
        <f t="shared" si="975"/>
        <v>0</v>
      </c>
      <c r="AU1404" s="31">
        <f t="shared" si="976"/>
        <v>0</v>
      </c>
      <c r="AV1404" s="31">
        <f t="shared" si="977"/>
        <v>0</v>
      </c>
      <c r="AW1404" s="31">
        <f t="shared" si="978"/>
        <v>0</v>
      </c>
      <c r="AX1404" s="31">
        <f t="shared" si="979"/>
        <v>0</v>
      </c>
      <c r="AY1404" s="31">
        <f t="shared" si="980"/>
        <v>0</v>
      </c>
      <c r="AZ1404" s="31">
        <f t="shared" si="981"/>
        <v>0</v>
      </c>
      <c r="BA1404" s="31">
        <f t="shared" si="982"/>
        <v>0</v>
      </c>
      <c r="BB1404" s="31">
        <f t="shared" si="1011"/>
        <v>0</v>
      </c>
      <c r="BM1404" s="8">
        <f t="shared" si="1012"/>
        <v>0</v>
      </c>
      <c r="BN1404" s="8">
        <f t="shared" si="983"/>
        <v>0</v>
      </c>
      <c r="BO1404" s="8">
        <f t="shared" si="984"/>
        <v>0</v>
      </c>
      <c r="BQ1404" s="8">
        <f t="shared" si="985"/>
        <v>0</v>
      </c>
      <c r="BR1404" s="63">
        <f t="shared" si="986"/>
        <v>0</v>
      </c>
      <c r="BS1404" s="63">
        <f t="shared" si="1013"/>
        <v>0</v>
      </c>
      <c r="BT1404" s="63">
        <f t="shared" si="987"/>
        <v>0</v>
      </c>
      <c r="BU1404" s="63">
        <f t="shared" si="988"/>
        <v>0</v>
      </c>
      <c r="BV1404" s="57">
        <f t="shared" si="989"/>
        <v>0</v>
      </c>
      <c r="BW1404" s="57">
        <f t="shared" si="990"/>
        <v>0</v>
      </c>
      <c r="BX1404" s="57">
        <f t="shared" si="1014"/>
        <v>0</v>
      </c>
      <c r="BY1404" s="57">
        <f t="shared" si="1018"/>
        <v>0</v>
      </c>
      <c r="BZ1404" s="8">
        <f t="shared" si="991"/>
        <v>0</v>
      </c>
      <c r="CA1404" s="8">
        <f t="shared" si="992"/>
        <v>0</v>
      </c>
      <c r="CB1404" s="8">
        <f t="shared" si="993"/>
        <v>0</v>
      </c>
      <c r="CC1404" s="8">
        <f t="shared" si="994"/>
        <v>0</v>
      </c>
      <c r="CD1404" s="8">
        <f t="shared" si="995"/>
        <v>0</v>
      </c>
      <c r="CE1404" s="8">
        <f t="shared" si="996"/>
        <v>0</v>
      </c>
      <c r="CF1404" s="8">
        <f t="shared" si="997"/>
        <v>0</v>
      </c>
      <c r="CG1404" s="8">
        <f t="shared" si="998"/>
        <v>0</v>
      </c>
      <c r="CH1404" s="8">
        <f t="shared" si="999"/>
        <v>0</v>
      </c>
      <c r="CI1404" s="8">
        <f t="shared" si="1000"/>
        <v>0</v>
      </c>
      <c r="CJ1404" s="8">
        <f t="shared" si="1001"/>
        <v>0</v>
      </c>
      <c r="CK1404" s="8">
        <f t="shared" si="1002"/>
        <v>0</v>
      </c>
      <c r="CL1404" s="8">
        <f t="shared" si="1003"/>
        <v>0</v>
      </c>
      <c r="CM1404" s="8">
        <f t="shared" si="1004"/>
        <v>0</v>
      </c>
      <c r="CN1404" s="8">
        <f t="shared" si="1005"/>
        <v>0</v>
      </c>
      <c r="CO1404" s="8">
        <f t="shared" si="1006"/>
        <v>0</v>
      </c>
      <c r="CP1404" s="8">
        <f t="shared" si="1007"/>
        <v>0</v>
      </c>
      <c r="CQ1404" s="8">
        <f t="shared" si="1008"/>
        <v>0</v>
      </c>
      <c r="CR1404" s="8">
        <f t="shared" si="1009"/>
        <v>0</v>
      </c>
      <c r="CS1404" s="8">
        <f t="shared" si="1010"/>
        <v>0</v>
      </c>
      <c r="CT1404" s="8">
        <f t="shared" si="1015"/>
        <v>0</v>
      </c>
      <c r="CU1404" s="8">
        <f t="shared" si="1016"/>
        <v>0</v>
      </c>
      <c r="CV1404" s="8">
        <f t="shared" si="1017"/>
        <v>0</v>
      </c>
    </row>
    <row r="1405" spans="1:100" ht="20.5" thickTop="1" thickBot="1" x14ac:dyDescent="0.5">
      <c r="A1405" s="32"/>
      <c r="B1405" s="10"/>
      <c r="C1405" s="10"/>
      <c r="D1405" s="11"/>
      <c r="E1405" s="10"/>
      <c r="F1405" s="10"/>
      <c r="G1405" s="19"/>
      <c r="H1405" s="19"/>
      <c r="I1405" s="19"/>
      <c r="J1405" s="19"/>
      <c r="K1405" s="10"/>
      <c r="L1405" s="10"/>
      <c r="M1405" s="10"/>
      <c r="N1405" s="10"/>
      <c r="O1405" s="18"/>
      <c r="P1405" s="18"/>
      <c r="Q1405" s="21"/>
      <c r="R1405" s="20"/>
      <c r="S1405" s="16">
        <f t="shared" si="973"/>
        <v>0</v>
      </c>
      <c r="T1405" s="11"/>
      <c r="AS1405" s="31">
        <f t="shared" si="974"/>
        <v>0</v>
      </c>
      <c r="AT1405" s="31">
        <f t="shared" si="975"/>
        <v>0</v>
      </c>
      <c r="AU1405" s="31">
        <f t="shared" si="976"/>
        <v>0</v>
      </c>
      <c r="AV1405" s="31">
        <f t="shared" si="977"/>
        <v>0</v>
      </c>
      <c r="AW1405" s="31">
        <f t="shared" si="978"/>
        <v>0</v>
      </c>
      <c r="AX1405" s="31">
        <f t="shared" si="979"/>
        <v>0</v>
      </c>
      <c r="AY1405" s="31">
        <f t="shared" si="980"/>
        <v>0</v>
      </c>
      <c r="AZ1405" s="31">
        <f t="shared" si="981"/>
        <v>0</v>
      </c>
      <c r="BA1405" s="31">
        <f t="shared" si="982"/>
        <v>0</v>
      </c>
      <c r="BB1405" s="31">
        <f t="shared" si="1011"/>
        <v>0</v>
      </c>
      <c r="BM1405" s="8">
        <f t="shared" si="1012"/>
        <v>0</v>
      </c>
      <c r="BN1405" s="8">
        <f t="shared" si="983"/>
        <v>0</v>
      </c>
      <c r="BO1405" s="8">
        <f t="shared" si="984"/>
        <v>0</v>
      </c>
      <c r="BQ1405" s="8">
        <f t="shared" si="985"/>
        <v>0</v>
      </c>
      <c r="BR1405" s="63">
        <f t="shared" si="986"/>
        <v>0</v>
      </c>
      <c r="BS1405" s="63">
        <f t="shared" si="1013"/>
        <v>0</v>
      </c>
      <c r="BT1405" s="63">
        <f t="shared" si="987"/>
        <v>0</v>
      </c>
      <c r="BU1405" s="63">
        <f t="shared" si="988"/>
        <v>0</v>
      </c>
      <c r="BV1405" s="57">
        <f t="shared" si="989"/>
        <v>0</v>
      </c>
      <c r="BW1405" s="57">
        <f t="shared" si="990"/>
        <v>0</v>
      </c>
      <c r="BX1405" s="57">
        <f t="shared" si="1014"/>
        <v>0</v>
      </c>
      <c r="BY1405" s="57">
        <f t="shared" si="1018"/>
        <v>0</v>
      </c>
      <c r="BZ1405" s="8">
        <f t="shared" si="991"/>
        <v>0</v>
      </c>
      <c r="CA1405" s="8">
        <f t="shared" si="992"/>
        <v>0</v>
      </c>
      <c r="CB1405" s="8">
        <f t="shared" si="993"/>
        <v>0</v>
      </c>
      <c r="CC1405" s="8">
        <f t="shared" si="994"/>
        <v>0</v>
      </c>
      <c r="CD1405" s="8">
        <f t="shared" si="995"/>
        <v>0</v>
      </c>
      <c r="CE1405" s="8">
        <f t="shared" si="996"/>
        <v>0</v>
      </c>
      <c r="CF1405" s="8">
        <f t="shared" si="997"/>
        <v>0</v>
      </c>
      <c r="CG1405" s="8">
        <f t="shared" si="998"/>
        <v>0</v>
      </c>
      <c r="CH1405" s="8">
        <f t="shared" si="999"/>
        <v>0</v>
      </c>
      <c r="CI1405" s="8">
        <f t="shared" si="1000"/>
        <v>0</v>
      </c>
      <c r="CJ1405" s="8">
        <f t="shared" si="1001"/>
        <v>0</v>
      </c>
      <c r="CK1405" s="8">
        <f t="shared" si="1002"/>
        <v>0</v>
      </c>
      <c r="CL1405" s="8">
        <f t="shared" si="1003"/>
        <v>0</v>
      </c>
      <c r="CM1405" s="8">
        <f t="shared" si="1004"/>
        <v>0</v>
      </c>
      <c r="CN1405" s="8">
        <f t="shared" si="1005"/>
        <v>0</v>
      </c>
      <c r="CO1405" s="8">
        <f t="shared" si="1006"/>
        <v>0</v>
      </c>
      <c r="CP1405" s="8">
        <f t="shared" si="1007"/>
        <v>0</v>
      </c>
      <c r="CQ1405" s="8">
        <f t="shared" si="1008"/>
        <v>0</v>
      </c>
      <c r="CR1405" s="8">
        <f t="shared" si="1009"/>
        <v>0</v>
      </c>
      <c r="CS1405" s="8">
        <f t="shared" si="1010"/>
        <v>0</v>
      </c>
      <c r="CT1405" s="8">
        <f t="shared" si="1015"/>
        <v>0</v>
      </c>
      <c r="CU1405" s="8">
        <f t="shared" si="1016"/>
        <v>0</v>
      </c>
      <c r="CV1405" s="8">
        <f t="shared" si="1017"/>
        <v>0</v>
      </c>
    </row>
    <row r="1406" spans="1:100" ht="20.5" thickTop="1" thickBot="1" x14ac:dyDescent="0.5">
      <c r="A1406" s="32"/>
      <c r="B1406" s="10"/>
      <c r="C1406" s="10"/>
      <c r="D1406" s="11"/>
      <c r="E1406" s="10"/>
      <c r="F1406" s="10"/>
      <c r="G1406" s="19"/>
      <c r="H1406" s="19"/>
      <c r="I1406" s="19"/>
      <c r="J1406" s="19"/>
      <c r="K1406" s="10"/>
      <c r="L1406" s="10"/>
      <c r="M1406" s="10"/>
      <c r="N1406" s="10"/>
      <c r="O1406" s="18"/>
      <c r="P1406" s="18"/>
      <c r="Q1406" s="21"/>
      <c r="R1406" s="20"/>
      <c r="S1406" s="16">
        <f t="shared" si="973"/>
        <v>0</v>
      </c>
      <c r="T1406" s="11"/>
      <c r="AS1406" s="31">
        <f t="shared" si="974"/>
        <v>0</v>
      </c>
      <c r="AT1406" s="31">
        <f t="shared" si="975"/>
        <v>0</v>
      </c>
      <c r="AU1406" s="31">
        <f t="shared" si="976"/>
        <v>0</v>
      </c>
      <c r="AV1406" s="31">
        <f t="shared" si="977"/>
        <v>0</v>
      </c>
      <c r="AW1406" s="31">
        <f t="shared" si="978"/>
        <v>0</v>
      </c>
      <c r="AX1406" s="31">
        <f t="shared" si="979"/>
        <v>0</v>
      </c>
      <c r="AY1406" s="31">
        <f t="shared" si="980"/>
        <v>0</v>
      </c>
      <c r="AZ1406" s="31">
        <f t="shared" si="981"/>
        <v>0</v>
      </c>
      <c r="BA1406" s="31">
        <f t="shared" si="982"/>
        <v>0</v>
      </c>
      <c r="BB1406" s="31">
        <f t="shared" si="1011"/>
        <v>0</v>
      </c>
      <c r="BM1406" s="8">
        <f t="shared" si="1012"/>
        <v>0</v>
      </c>
      <c r="BN1406" s="8">
        <f t="shared" si="983"/>
        <v>0</v>
      </c>
      <c r="BO1406" s="8">
        <f t="shared" si="984"/>
        <v>0</v>
      </c>
      <c r="BQ1406" s="8">
        <f t="shared" si="985"/>
        <v>0</v>
      </c>
      <c r="BR1406" s="63">
        <f t="shared" si="986"/>
        <v>0</v>
      </c>
      <c r="BS1406" s="63">
        <f t="shared" si="1013"/>
        <v>0</v>
      </c>
      <c r="BT1406" s="63">
        <f t="shared" si="987"/>
        <v>0</v>
      </c>
      <c r="BU1406" s="63">
        <f t="shared" si="988"/>
        <v>0</v>
      </c>
      <c r="BV1406" s="57">
        <f t="shared" si="989"/>
        <v>0</v>
      </c>
      <c r="BW1406" s="57">
        <f t="shared" si="990"/>
        <v>0</v>
      </c>
      <c r="BX1406" s="57">
        <f t="shared" si="1014"/>
        <v>0</v>
      </c>
      <c r="BY1406" s="57">
        <f t="shared" si="1018"/>
        <v>0</v>
      </c>
      <c r="BZ1406" s="8">
        <f t="shared" si="991"/>
        <v>0</v>
      </c>
      <c r="CA1406" s="8">
        <f t="shared" si="992"/>
        <v>0</v>
      </c>
      <c r="CB1406" s="8">
        <f t="shared" si="993"/>
        <v>0</v>
      </c>
      <c r="CC1406" s="8">
        <f t="shared" si="994"/>
        <v>0</v>
      </c>
      <c r="CD1406" s="8">
        <f t="shared" si="995"/>
        <v>0</v>
      </c>
      <c r="CE1406" s="8">
        <f t="shared" si="996"/>
        <v>0</v>
      </c>
      <c r="CF1406" s="8">
        <f t="shared" si="997"/>
        <v>0</v>
      </c>
      <c r="CG1406" s="8">
        <f t="shared" si="998"/>
        <v>0</v>
      </c>
      <c r="CH1406" s="8">
        <f t="shared" si="999"/>
        <v>0</v>
      </c>
      <c r="CI1406" s="8">
        <f t="shared" si="1000"/>
        <v>0</v>
      </c>
      <c r="CJ1406" s="8">
        <f t="shared" si="1001"/>
        <v>0</v>
      </c>
      <c r="CK1406" s="8">
        <f t="shared" si="1002"/>
        <v>0</v>
      </c>
      <c r="CL1406" s="8">
        <f t="shared" si="1003"/>
        <v>0</v>
      </c>
      <c r="CM1406" s="8">
        <f t="shared" si="1004"/>
        <v>0</v>
      </c>
      <c r="CN1406" s="8">
        <f t="shared" si="1005"/>
        <v>0</v>
      </c>
      <c r="CO1406" s="8">
        <f t="shared" si="1006"/>
        <v>0</v>
      </c>
      <c r="CP1406" s="8">
        <f t="shared" si="1007"/>
        <v>0</v>
      </c>
      <c r="CQ1406" s="8">
        <f t="shared" si="1008"/>
        <v>0</v>
      </c>
      <c r="CR1406" s="8">
        <f t="shared" si="1009"/>
        <v>0</v>
      </c>
      <c r="CS1406" s="8">
        <f t="shared" si="1010"/>
        <v>0</v>
      </c>
      <c r="CT1406" s="8">
        <f t="shared" si="1015"/>
        <v>0</v>
      </c>
      <c r="CU1406" s="8">
        <f t="shared" si="1016"/>
        <v>0</v>
      </c>
      <c r="CV1406" s="8">
        <f t="shared" si="1017"/>
        <v>0</v>
      </c>
    </row>
    <row r="1407" spans="1:100" ht="20.5" thickTop="1" thickBot="1" x14ac:dyDescent="0.5">
      <c r="A1407" s="32"/>
      <c r="B1407" s="10"/>
      <c r="C1407" s="10"/>
      <c r="D1407" s="11"/>
      <c r="E1407" s="10"/>
      <c r="F1407" s="10"/>
      <c r="G1407" s="19"/>
      <c r="H1407" s="19"/>
      <c r="I1407" s="19"/>
      <c r="J1407" s="19"/>
      <c r="K1407" s="10"/>
      <c r="L1407" s="10"/>
      <c r="M1407" s="10"/>
      <c r="N1407" s="10"/>
      <c r="O1407" s="18"/>
      <c r="P1407" s="18"/>
      <c r="Q1407" s="21"/>
      <c r="R1407" s="20"/>
      <c r="S1407" s="16">
        <f t="shared" si="973"/>
        <v>0</v>
      </c>
      <c r="T1407" s="11"/>
      <c r="AS1407" s="31">
        <f t="shared" si="974"/>
        <v>0</v>
      </c>
      <c r="AT1407" s="31">
        <f t="shared" si="975"/>
        <v>0</v>
      </c>
      <c r="AU1407" s="31">
        <f t="shared" si="976"/>
        <v>0</v>
      </c>
      <c r="AV1407" s="31">
        <f t="shared" si="977"/>
        <v>0</v>
      </c>
      <c r="AW1407" s="31">
        <f t="shared" si="978"/>
        <v>0</v>
      </c>
      <c r="AX1407" s="31">
        <f t="shared" si="979"/>
        <v>0</v>
      </c>
      <c r="AY1407" s="31">
        <f t="shared" si="980"/>
        <v>0</v>
      </c>
      <c r="AZ1407" s="31">
        <f t="shared" si="981"/>
        <v>0</v>
      </c>
      <c r="BA1407" s="31">
        <f t="shared" si="982"/>
        <v>0</v>
      </c>
      <c r="BB1407" s="31">
        <f t="shared" si="1011"/>
        <v>0</v>
      </c>
      <c r="BM1407" s="8">
        <f t="shared" si="1012"/>
        <v>0</v>
      </c>
      <c r="BN1407" s="8">
        <f t="shared" si="983"/>
        <v>0</v>
      </c>
      <c r="BO1407" s="8">
        <f t="shared" si="984"/>
        <v>0</v>
      </c>
      <c r="BQ1407" s="8">
        <f t="shared" si="985"/>
        <v>0</v>
      </c>
      <c r="BR1407" s="63">
        <f t="shared" si="986"/>
        <v>0</v>
      </c>
      <c r="BS1407" s="63">
        <f t="shared" si="1013"/>
        <v>0</v>
      </c>
      <c r="BT1407" s="63">
        <f t="shared" si="987"/>
        <v>0</v>
      </c>
      <c r="BU1407" s="63">
        <f t="shared" si="988"/>
        <v>0</v>
      </c>
      <c r="BV1407" s="57">
        <f t="shared" si="989"/>
        <v>0</v>
      </c>
      <c r="BW1407" s="57">
        <f t="shared" si="990"/>
        <v>0</v>
      </c>
      <c r="BX1407" s="57">
        <f t="shared" si="1014"/>
        <v>0</v>
      </c>
      <c r="BY1407" s="57">
        <f t="shared" si="1018"/>
        <v>0</v>
      </c>
      <c r="BZ1407" s="8">
        <f t="shared" si="991"/>
        <v>0</v>
      </c>
      <c r="CA1407" s="8">
        <f t="shared" si="992"/>
        <v>0</v>
      </c>
      <c r="CB1407" s="8">
        <f t="shared" si="993"/>
        <v>0</v>
      </c>
      <c r="CC1407" s="8">
        <f t="shared" si="994"/>
        <v>0</v>
      </c>
      <c r="CD1407" s="8">
        <f t="shared" si="995"/>
        <v>0</v>
      </c>
      <c r="CE1407" s="8">
        <f t="shared" si="996"/>
        <v>0</v>
      </c>
      <c r="CF1407" s="8">
        <f t="shared" si="997"/>
        <v>0</v>
      </c>
      <c r="CG1407" s="8">
        <f t="shared" si="998"/>
        <v>0</v>
      </c>
      <c r="CH1407" s="8">
        <f t="shared" si="999"/>
        <v>0</v>
      </c>
      <c r="CI1407" s="8">
        <f t="shared" si="1000"/>
        <v>0</v>
      </c>
      <c r="CJ1407" s="8">
        <f t="shared" si="1001"/>
        <v>0</v>
      </c>
      <c r="CK1407" s="8">
        <f t="shared" si="1002"/>
        <v>0</v>
      </c>
      <c r="CL1407" s="8">
        <f t="shared" si="1003"/>
        <v>0</v>
      </c>
      <c r="CM1407" s="8">
        <f t="shared" si="1004"/>
        <v>0</v>
      </c>
      <c r="CN1407" s="8">
        <f t="shared" si="1005"/>
        <v>0</v>
      </c>
      <c r="CO1407" s="8">
        <f t="shared" si="1006"/>
        <v>0</v>
      </c>
      <c r="CP1407" s="8">
        <f t="shared" si="1007"/>
        <v>0</v>
      </c>
      <c r="CQ1407" s="8">
        <f t="shared" si="1008"/>
        <v>0</v>
      </c>
      <c r="CR1407" s="8">
        <f t="shared" si="1009"/>
        <v>0</v>
      </c>
      <c r="CS1407" s="8">
        <f t="shared" si="1010"/>
        <v>0</v>
      </c>
      <c r="CT1407" s="8">
        <f t="shared" si="1015"/>
        <v>0</v>
      </c>
      <c r="CU1407" s="8">
        <f t="shared" si="1016"/>
        <v>0</v>
      </c>
      <c r="CV1407" s="8">
        <f t="shared" si="1017"/>
        <v>0</v>
      </c>
    </row>
    <row r="1408" spans="1:100" ht="20.5" thickTop="1" thickBot="1" x14ac:dyDescent="0.5">
      <c r="A1408" s="32"/>
      <c r="B1408" s="10"/>
      <c r="C1408" s="10"/>
      <c r="D1408" s="11"/>
      <c r="E1408" s="10"/>
      <c r="F1408" s="10"/>
      <c r="G1408" s="19"/>
      <c r="H1408" s="19"/>
      <c r="I1408" s="19"/>
      <c r="J1408" s="19"/>
      <c r="K1408" s="10"/>
      <c r="L1408" s="10"/>
      <c r="M1408" s="10"/>
      <c r="N1408" s="10"/>
      <c r="O1408" s="18"/>
      <c r="P1408" s="18"/>
      <c r="Q1408" s="21"/>
      <c r="R1408" s="20"/>
      <c r="S1408" s="16">
        <f t="shared" si="973"/>
        <v>0</v>
      </c>
      <c r="T1408" s="11"/>
      <c r="AS1408" s="31">
        <f t="shared" si="974"/>
        <v>0</v>
      </c>
      <c r="AT1408" s="31">
        <f t="shared" si="975"/>
        <v>0</v>
      </c>
      <c r="AU1408" s="31">
        <f t="shared" si="976"/>
        <v>0</v>
      </c>
      <c r="AV1408" s="31">
        <f t="shared" si="977"/>
        <v>0</v>
      </c>
      <c r="AW1408" s="31">
        <f t="shared" si="978"/>
        <v>0</v>
      </c>
      <c r="AX1408" s="31">
        <f t="shared" si="979"/>
        <v>0</v>
      </c>
      <c r="AY1408" s="31">
        <f t="shared" si="980"/>
        <v>0</v>
      </c>
      <c r="AZ1408" s="31">
        <f t="shared" si="981"/>
        <v>0</v>
      </c>
      <c r="BA1408" s="31">
        <f t="shared" si="982"/>
        <v>0</v>
      </c>
      <c r="BB1408" s="31">
        <f t="shared" si="1011"/>
        <v>0</v>
      </c>
      <c r="BM1408" s="8">
        <f t="shared" si="1012"/>
        <v>0</v>
      </c>
      <c r="BN1408" s="8">
        <f t="shared" si="983"/>
        <v>0</v>
      </c>
      <c r="BO1408" s="8">
        <f t="shared" si="984"/>
        <v>0</v>
      </c>
      <c r="BQ1408" s="8">
        <f t="shared" si="985"/>
        <v>0</v>
      </c>
      <c r="BR1408" s="63">
        <f t="shared" si="986"/>
        <v>0</v>
      </c>
      <c r="BS1408" s="63">
        <f t="shared" si="1013"/>
        <v>0</v>
      </c>
      <c r="BT1408" s="63">
        <f t="shared" si="987"/>
        <v>0</v>
      </c>
      <c r="BU1408" s="63">
        <f t="shared" si="988"/>
        <v>0</v>
      </c>
      <c r="BV1408" s="57">
        <f t="shared" si="989"/>
        <v>0</v>
      </c>
      <c r="BW1408" s="57">
        <f t="shared" si="990"/>
        <v>0</v>
      </c>
      <c r="BX1408" s="57">
        <f t="shared" si="1014"/>
        <v>0</v>
      </c>
      <c r="BY1408" s="57">
        <f t="shared" si="1018"/>
        <v>0</v>
      </c>
      <c r="BZ1408" s="8">
        <f t="shared" si="991"/>
        <v>0</v>
      </c>
      <c r="CA1408" s="8">
        <f t="shared" si="992"/>
        <v>0</v>
      </c>
      <c r="CB1408" s="8">
        <f t="shared" si="993"/>
        <v>0</v>
      </c>
      <c r="CC1408" s="8">
        <f t="shared" si="994"/>
        <v>0</v>
      </c>
      <c r="CD1408" s="8">
        <f t="shared" si="995"/>
        <v>0</v>
      </c>
      <c r="CE1408" s="8">
        <f t="shared" si="996"/>
        <v>0</v>
      </c>
      <c r="CF1408" s="8">
        <f t="shared" si="997"/>
        <v>0</v>
      </c>
      <c r="CG1408" s="8">
        <f t="shared" si="998"/>
        <v>0</v>
      </c>
      <c r="CH1408" s="8">
        <f t="shared" si="999"/>
        <v>0</v>
      </c>
      <c r="CI1408" s="8">
        <f t="shared" si="1000"/>
        <v>0</v>
      </c>
      <c r="CJ1408" s="8">
        <f t="shared" si="1001"/>
        <v>0</v>
      </c>
      <c r="CK1408" s="8">
        <f t="shared" si="1002"/>
        <v>0</v>
      </c>
      <c r="CL1408" s="8">
        <f t="shared" si="1003"/>
        <v>0</v>
      </c>
      <c r="CM1408" s="8">
        <f t="shared" si="1004"/>
        <v>0</v>
      </c>
      <c r="CN1408" s="8">
        <f t="shared" si="1005"/>
        <v>0</v>
      </c>
      <c r="CO1408" s="8">
        <f t="shared" si="1006"/>
        <v>0</v>
      </c>
      <c r="CP1408" s="8">
        <f t="shared" si="1007"/>
        <v>0</v>
      </c>
      <c r="CQ1408" s="8">
        <f t="shared" si="1008"/>
        <v>0</v>
      </c>
      <c r="CR1408" s="8">
        <f t="shared" si="1009"/>
        <v>0</v>
      </c>
      <c r="CS1408" s="8">
        <f t="shared" si="1010"/>
        <v>0</v>
      </c>
      <c r="CT1408" s="8">
        <f t="shared" si="1015"/>
        <v>0</v>
      </c>
      <c r="CU1408" s="8">
        <f t="shared" si="1016"/>
        <v>0</v>
      </c>
      <c r="CV1408" s="8">
        <f t="shared" si="1017"/>
        <v>0</v>
      </c>
    </row>
    <row r="1409" spans="1:100" ht="20.5" thickTop="1" thickBot="1" x14ac:dyDescent="0.5">
      <c r="A1409" s="32"/>
      <c r="B1409" s="10"/>
      <c r="C1409" s="10"/>
      <c r="D1409" s="11"/>
      <c r="E1409" s="10"/>
      <c r="F1409" s="10"/>
      <c r="G1409" s="19"/>
      <c r="H1409" s="19"/>
      <c r="I1409" s="19"/>
      <c r="J1409" s="19"/>
      <c r="K1409" s="10"/>
      <c r="L1409" s="10"/>
      <c r="M1409" s="10"/>
      <c r="N1409" s="10"/>
      <c r="O1409" s="18"/>
      <c r="P1409" s="18"/>
      <c r="Q1409" s="21"/>
      <c r="R1409" s="20"/>
      <c r="S1409" s="16">
        <f t="shared" si="973"/>
        <v>0</v>
      </c>
      <c r="T1409" s="11"/>
      <c r="AS1409" s="31">
        <f t="shared" si="974"/>
        <v>0</v>
      </c>
      <c r="AT1409" s="31">
        <f t="shared" si="975"/>
        <v>0</v>
      </c>
      <c r="AU1409" s="31">
        <f t="shared" si="976"/>
        <v>0</v>
      </c>
      <c r="AV1409" s="31">
        <f t="shared" si="977"/>
        <v>0</v>
      </c>
      <c r="AW1409" s="31">
        <f t="shared" si="978"/>
        <v>0</v>
      </c>
      <c r="AX1409" s="31">
        <f t="shared" si="979"/>
        <v>0</v>
      </c>
      <c r="AY1409" s="31">
        <f t="shared" si="980"/>
        <v>0</v>
      </c>
      <c r="AZ1409" s="31">
        <f t="shared" si="981"/>
        <v>0</v>
      </c>
      <c r="BA1409" s="31">
        <f t="shared" si="982"/>
        <v>0</v>
      </c>
      <c r="BB1409" s="31">
        <f t="shared" si="1011"/>
        <v>0</v>
      </c>
      <c r="BM1409" s="8">
        <f t="shared" si="1012"/>
        <v>0</v>
      </c>
      <c r="BN1409" s="8">
        <f t="shared" si="983"/>
        <v>0</v>
      </c>
      <c r="BO1409" s="8">
        <f t="shared" si="984"/>
        <v>0</v>
      </c>
      <c r="BQ1409" s="8">
        <f t="shared" si="985"/>
        <v>0</v>
      </c>
      <c r="BR1409" s="63">
        <f t="shared" si="986"/>
        <v>0</v>
      </c>
      <c r="BS1409" s="63">
        <f t="shared" si="1013"/>
        <v>0</v>
      </c>
      <c r="BT1409" s="63">
        <f t="shared" si="987"/>
        <v>0</v>
      </c>
      <c r="BU1409" s="63">
        <f t="shared" si="988"/>
        <v>0</v>
      </c>
      <c r="BV1409" s="57">
        <f t="shared" si="989"/>
        <v>0</v>
      </c>
      <c r="BW1409" s="57">
        <f t="shared" si="990"/>
        <v>0</v>
      </c>
      <c r="BX1409" s="57">
        <f t="shared" si="1014"/>
        <v>0</v>
      </c>
      <c r="BY1409" s="57">
        <f t="shared" si="1018"/>
        <v>0</v>
      </c>
      <c r="BZ1409" s="8">
        <f t="shared" si="991"/>
        <v>0</v>
      </c>
      <c r="CA1409" s="8">
        <f t="shared" si="992"/>
        <v>0</v>
      </c>
      <c r="CB1409" s="8">
        <f t="shared" si="993"/>
        <v>0</v>
      </c>
      <c r="CC1409" s="8">
        <f t="shared" si="994"/>
        <v>0</v>
      </c>
      <c r="CD1409" s="8">
        <f t="shared" si="995"/>
        <v>0</v>
      </c>
      <c r="CE1409" s="8">
        <f t="shared" si="996"/>
        <v>0</v>
      </c>
      <c r="CF1409" s="8">
        <f t="shared" si="997"/>
        <v>0</v>
      </c>
      <c r="CG1409" s="8">
        <f t="shared" si="998"/>
        <v>0</v>
      </c>
      <c r="CH1409" s="8">
        <f t="shared" si="999"/>
        <v>0</v>
      </c>
      <c r="CI1409" s="8">
        <f t="shared" si="1000"/>
        <v>0</v>
      </c>
      <c r="CJ1409" s="8">
        <f t="shared" si="1001"/>
        <v>0</v>
      </c>
      <c r="CK1409" s="8">
        <f t="shared" si="1002"/>
        <v>0</v>
      </c>
      <c r="CL1409" s="8">
        <f t="shared" si="1003"/>
        <v>0</v>
      </c>
      <c r="CM1409" s="8">
        <f t="shared" si="1004"/>
        <v>0</v>
      </c>
      <c r="CN1409" s="8">
        <f t="shared" si="1005"/>
        <v>0</v>
      </c>
      <c r="CO1409" s="8">
        <f t="shared" si="1006"/>
        <v>0</v>
      </c>
      <c r="CP1409" s="8">
        <f t="shared" si="1007"/>
        <v>0</v>
      </c>
      <c r="CQ1409" s="8">
        <f t="shared" si="1008"/>
        <v>0</v>
      </c>
      <c r="CR1409" s="8">
        <f t="shared" si="1009"/>
        <v>0</v>
      </c>
      <c r="CS1409" s="8">
        <f t="shared" si="1010"/>
        <v>0</v>
      </c>
      <c r="CT1409" s="8">
        <f t="shared" si="1015"/>
        <v>0</v>
      </c>
      <c r="CU1409" s="8">
        <f t="shared" si="1016"/>
        <v>0</v>
      </c>
      <c r="CV1409" s="8">
        <f t="shared" si="1017"/>
        <v>0</v>
      </c>
    </row>
    <row r="1410" spans="1:100" ht="20.5" thickTop="1" thickBot="1" x14ac:dyDescent="0.5">
      <c r="A1410" s="32"/>
      <c r="B1410" s="10"/>
      <c r="C1410" s="10"/>
      <c r="D1410" s="11"/>
      <c r="E1410" s="10"/>
      <c r="F1410" s="10"/>
      <c r="G1410" s="19"/>
      <c r="H1410" s="19"/>
      <c r="I1410" s="19"/>
      <c r="J1410" s="19"/>
      <c r="K1410" s="10"/>
      <c r="L1410" s="10"/>
      <c r="M1410" s="10"/>
      <c r="N1410" s="10"/>
      <c r="O1410" s="18"/>
      <c r="P1410" s="18"/>
      <c r="Q1410" s="21"/>
      <c r="R1410" s="20"/>
      <c r="S1410" s="16">
        <f t="shared" si="973"/>
        <v>0</v>
      </c>
      <c r="T1410" s="11"/>
      <c r="AS1410" s="31">
        <f t="shared" si="974"/>
        <v>0</v>
      </c>
      <c r="AT1410" s="31">
        <f t="shared" si="975"/>
        <v>0</v>
      </c>
      <c r="AU1410" s="31">
        <f t="shared" si="976"/>
        <v>0</v>
      </c>
      <c r="AV1410" s="31">
        <f t="shared" si="977"/>
        <v>0</v>
      </c>
      <c r="AW1410" s="31">
        <f t="shared" si="978"/>
        <v>0</v>
      </c>
      <c r="AX1410" s="31">
        <f t="shared" si="979"/>
        <v>0</v>
      </c>
      <c r="AY1410" s="31">
        <f t="shared" si="980"/>
        <v>0</v>
      </c>
      <c r="AZ1410" s="31">
        <f t="shared" si="981"/>
        <v>0</v>
      </c>
      <c r="BA1410" s="31">
        <f t="shared" si="982"/>
        <v>0</v>
      </c>
      <c r="BB1410" s="31">
        <f t="shared" si="1011"/>
        <v>0</v>
      </c>
      <c r="BM1410" s="8">
        <f t="shared" si="1012"/>
        <v>0</v>
      </c>
      <c r="BN1410" s="8">
        <f t="shared" si="983"/>
        <v>0</v>
      </c>
      <c r="BO1410" s="8">
        <f t="shared" si="984"/>
        <v>0</v>
      </c>
      <c r="BQ1410" s="8">
        <f t="shared" si="985"/>
        <v>0</v>
      </c>
      <c r="BR1410" s="63">
        <f t="shared" si="986"/>
        <v>0</v>
      </c>
      <c r="BS1410" s="63">
        <f t="shared" si="1013"/>
        <v>0</v>
      </c>
      <c r="BT1410" s="63">
        <f t="shared" si="987"/>
        <v>0</v>
      </c>
      <c r="BU1410" s="63">
        <f t="shared" si="988"/>
        <v>0</v>
      </c>
      <c r="BV1410" s="57">
        <f t="shared" si="989"/>
        <v>0</v>
      </c>
      <c r="BW1410" s="57">
        <f t="shared" si="990"/>
        <v>0</v>
      </c>
      <c r="BX1410" s="57">
        <f t="shared" si="1014"/>
        <v>0</v>
      </c>
      <c r="BY1410" s="57">
        <f t="shared" si="1018"/>
        <v>0</v>
      </c>
      <c r="BZ1410" s="8">
        <f t="shared" si="991"/>
        <v>0</v>
      </c>
      <c r="CA1410" s="8">
        <f t="shared" si="992"/>
        <v>0</v>
      </c>
      <c r="CB1410" s="8">
        <f t="shared" si="993"/>
        <v>0</v>
      </c>
      <c r="CC1410" s="8">
        <f t="shared" si="994"/>
        <v>0</v>
      </c>
      <c r="CD1410" s="8">
        <f t="shared" si="995"/>
        <v>0</v>
      </c>
      <c r="CE1410" s="8">
        <f t="shared" si="996"/>
        <v>0</v>
      </c>
      <c r="CF1410" s="8">
        <f t="shared" si="997"/>
        <v>0</v>
      </c>
      <c r="CG1410" s="8">
        <f t="shared" si="998"/>
        <v>0</v>
      </c>
      <c r="CH1410" s="8">
        <f t="shared" si="999"/>
        <v>0</v>
      </c>
      <c r="CI1410" s="8">
        <f t="shared" si="1000"/>
        <v>0</v>
      </c>
      <c r="CJ1410" s="8">
        <f t="shared" si="1001"/>
        <v>0</v>
      </c>
      <c r="CK1410" s="8">
        <f t="shared" si="1002"/>
        <v>0</v>
      </c>
      <c r="CL1410" s="8">
        <f t="shared" si="1003"/>
        <v>0</v>
      </c>
      <c r="CM1410" s="8">
        <f t="shared" si="1004"/>
        <v>0</v>
      </c>
      <c r="CN1410" s="8">
        <f t="shared" si="1005"/>
        <v>0</v>
      </c>
      <c r="CO1410" s="8">
        <f t="shared" si="1006"/>
        <v>0</v>
      </c>
      <c r="CP1410" s="8">
        <f t="shared" si="1007"/>
        <v>0</v>
      </c>
      <c r="CQ1410" s="8">
        <f t="shared" si="1008"/>
        <v>0</v>
      </c>
      <c r="CR1410" s="8">
        <f t="shared" si="1009"/>
        <v>0</v>
      </c>
      <c r="CS1410" s="8">
        <f t="shared" si="1010"/>
        <v>0</v>
      </c>
      <c r="CT1410" s="8">
        <f t="shared" si="1015"/>
        <v>0</v>
      </c>
      <c r="CU1410" s="8">
        <f t="shared" si="1016"/>
        <v>0</v>
      </c>
      <c r="CV1410" s="8">
        <f t="shared" si="1017"/>
        <v>0</v>
      </c>
    </row>
    <row r="1411" spans="1:100" ht="20.5" thickTop="1" thickBot="1" x14ac:dyDescent="0.5">
      <c r="A1411" s="32"/>
      <c r="B1411" s="10"/>
      <c r="C1411" s="10"/>
      <c r="D1411" s="11"/>
      <c r="E1411" s="10"/>
      <c r="F1411" s="10"/>
      <c r="G1411" s="19"/>
      <c r="H1411" s="19"/>
      <c r="I1411" s="19"/>
      <c r="J1411" s="19"/>
      <c r="K1411" s="10"/>
      <c r="L1411" s="10"/>
      <c r="M1411" s="10"/>
      <c r="N1411" s="10"/>
      <c r="O1411" s="18"/>
      <c r="P1411" s="18"/>
      <c r="Q1411" s="21"/>
      <c r="R1411" s="20"/>
      <c r="S1411" s="16">
        <f t="shared" si="973"/>
        <v>0</v>
      </c>
      <c r="T1411" s="11"/>
      <c r="AS1411" s="31">
        <f t="shared" si="974"/>
        <v>0</v>
      </c>
      <c r="AT1411" s="31">
        <f t="shared" si="975"/>
        <v>0</v>
      </c>
      <c r="AU1411" s="31">
        <f t="shared" si="976"/>
        <v>0</v>
      </c>
      <c r="AV1411" s="31">
        <f t="shared" si="977"/>
        <v>0</v>
      </c>
      <c r="AW1411" s="31">
        <f t="shared" si="978"/>
        <v>0</v>
      </c>
      <c r="AX1411" s="31">
        <f t="shared" si="979"/>
        <v>0</v>
      </c>
      <c r="AY1411" s="31">
        <f t="shared" si="980"/>
        <v>0</v>
      </c>
      <c r="AZ1411" s="31">
        <f t="shared" si="981"/>
        <v>0</v>
      </c>
      <c r="BA1411" s="31">
        <f t="shared" si="982"/>
        <v>0</v>
      </c>
      <c r="BB1411" s="31">
        <f t="shared" si="1011"/>
        <v>0</v>
      </c>
      <c r="BM1411" s="8">
        <f t="shared" si="1012"/>
        <v>0</v>
      </c>
      <c r="BN1411" s="8">
        <f t="shared" si="983"/>
        <v>0</v>
      </c>
      <c r="BO1411" s="8">
        <f t="shared" si="984"/>
        <v>0</v>
      </c>
      <c r="BQ1411" s="8">
        <f t="shared" si="985"/>
        <v>0</v>
      </c>
      <c r="BR1411" s="63">
        <f t="shared" si="986"/>
        <v>0</v>
      </c>
      <c r="BS1411" s="63">
        <f t="shared" si="1013"/>
        <v>0</v>
      </c>
      <c r="BT1411" s="63">
        <f t="shared" si="987"/>
        <v>0</v>
      </c>
      <c r="BU1411" s="63">
        <f t="shared" si="988"/>
        <v>0</v>
      </c>
      <c r="BV1411" s="57">
        <f t="shared" si="989"/>
        <v>0</v>
      </c>
      <c r="BW1411" s="57">
        <f t="shared" si="990"/>
        <v>0</v>
      </c>
      <c r="BX1411" s="57">
        <f t="shared" si="1014"/>
        <v>0</v>
      </c>
      <c r="BY1411" s="57">
        <f t="shared" si="1018"/>
        <v>0</v>
      </c>
      <c r="BZ1411" s="8">
        <f t="shared" si="991"/>
        <v>0</v>
      </c>
      <c r="CA1411" s="8">
        <f t="shared" si="992"/>
        <v>0</v>
      </c>
      <c r="CB1411" s="8">
        <f t="shared" si="993"/>
        <v>0</v>
      </c>
      <c r="CC1411" s="8">
        <f t="shared" si="994"/>
        <v>0</v>
      </c>
      <c r="CD1411" s="8">
        <f t="shared" si="995"/>
        <v>0</v>
      </c>
      <c r="CE1411" s="8">
        <f t="shared" si="996"/>
        <v>0</v>
      </c>
      <c r="CF1411" s="8">
        <f t="shared" si="997"/>
        <v>0</v>
      </c>
      <c r="CG1411" s="8">
        <f t="shared" si="998"/>
        <v>0</v>
      </c>
      <c r="CH1411" s="8">
        <f t="shared" si="999"/>
        <v>0</v>
      </c>
      <c r="CI1411" s="8">
        <f t="shared" si="1000"/>
        <v>0</v>
      </c>
      <c r="CJ1411" s="8">
        <f t="shared" si="1001"/>
        <v>0</v>
      </c>
      <c r="CK1411" s="8">
        <f t="shared" si="1002"/>
        <v>0</v>
      </c>
      <c r="CL1411" s="8">
        <f t="shared" si="1003"/>
        <v>0</v>
      </c>
      <c r="CM1411" s="8">
        <f t="shared" si="1004"/>
        <v>0</v>
      </c>
      <c r="CN1411" s="8">
        <f t="shared" si="1005"/>
        <v>0</v>
      </c>
      <c r="CO1411" s="8">
        <f t="shared" si="1006"/>
        <v>0</v>
      </c>
      <c r="CP1411" s="8">
        <f t="shared" si="1007"/>
        <v>0</v>
      </c>
      <c r="CQ1411" s="8">
        <f t="shared" si="1008"/>
        <v>0</v>
      </c>
      <c r="CR1411" s="8">
        <f t="shared" si="1009"/>
        <v>0</v>
      </c>
      <c r="CS1411" s="8">
        <f t="shared" si="1010"/>
        <v>0</v>
      </c>
      <c r="CT1411" s="8">
        <f t="shared" si="1015"/>
        <v>0</v>
      </c>
      <c r="CU1411" s="8">
        <f t="shared" si="1016"/>
        <v>0</v>
      </c>
      <c r="CV1411" s="8">
        <f t="shared" si="1017"/>
        <v>0</v>
      </c>
    </row>
    <row r="1412" spans="1:100" ht="20.5" thickTop="1" thickBot="1" x14ac:dyDescent="0.5">
      <c r="A1412" s="32"/>
      <c r="B1412" s="10"/>
      <c r="C1412" s="10"/>
      <c r="D1412" s="11"/>
      <c r="E1412" s="10"/>
      <c r="F1412" s="10"/>
      <c r="G1412" s="19"/>
      <c r="H1412" s="19"/>
      <c r="I1412" s="19"/>
      <c r="J1412" s="19"/>
      <c r="K1412" s="10"/>
      <c r="L1412" s="10"/>
      <c r="M1412" s="10"/>
      <c r="N1412" s="10"/>
      <c r="O1412" s="18"/>
      <c r="P1412" s="18"/>
      <c r="Q1412" s="21"/>
      <c r="R1412" s="20"/>
      <c r="S1412" s="16">
        <f t="shared" ref="S1412:S1475" si="1019">IF(AND(K1412="asphalted",M1412="sub",BV1412&lt;=1,BV1412&gt;0),1+2*0.15,IF(AND(K1412="asphalted",OR(M1412="main",M1412="MOT"),BV1412&lt;=1,BV1412&gt;0),1+2*0.3,IF(AND(K1412="asphalted",M1412="sub",BV1412&gt;1),BV1412+2*0.15,IF(AND(K1412="asphalted",OR(M1412="main",M1412="MOT"),BV1412&gt;1),BV1412+2*0.3,0))))</f>
        <v>0</v>
      </c>
      <c r="T1412" s="11"/>
      <c r="AS1412" s="31">
        <f t="shared" ref="AS1412:AS1475" si="1020">IF(F1412=1,0.4,IF(F1412&gt;1,F1412*0.3,0))</f>
        <v>0</v>
      </c>
      <c r="AT1412" s="31">
        <f t="shared" ref="AT1412:AT1475" si="1021">IF(AND(G1412&lt;4,G1412&gt;0),0.4,IF(G1412&gt;3,0.4+(G1412-3)*0.1,0))</f>
        <v>0</v>
      </c>
      <c r="AU1412" s="31">
        <f t="shared" ref="AU1412:AU1475" si="1022">AT1412-AS1412</f>
        <v>0</v>
      </c>
      <c r="AV1412" s="31">
        <f t="shared" ref="AV1412:AV1475" si="1023">IF(AND(OR(OR(E1412="normal",E1412="special"),E1412="special"),F1412=0,G1412&gt;0,G1412&lt;5),"LV"&amp;G1412,IF(AND(OR(OR(E1412="normal",E1412="special"),E1412="special"),F1412=0,G1412&gt;4),"LVCU",IF(AND(OR(OR(E1412="normal",E1412="special"),E1412="special"),F1412&gt;4),"MVCU",IF(AND(OR(OR(E1412="normal",E1412="special"),E1412="special"),F1412&gt;0,F1412&lt;5),"MV"&amp;F1412,IF(AND(E1412="mini-trench",F1412=1),"mini-trench MV",IF(AND(E1412="mini-trench",G1412&lt;3,G1412&lt;&gt;0),"mini-trench LV",0))))))</f>
        <v>0</v>
      </c>
      <c r="AW1412" s="31">
        <f t="shared" ref="AW1412:AW1475" si="1024">IF(B1412="joint",F1412,0)+IF(C1412="joint",F1412,0)+IF(OR(B1412="new ss",B1412="ss"),F1412*3)+IF(B1412="pole",F1412*10)+IF(OR(C1412="new ss",C1412="ss"),F1412*3)+IF(C1412="pole",F1412*10)+IF(B1412="grid",F1412*30)+IF(C1412="grid",F1412*30)</f>
        <v>0</v>
      </c>
      <c r="AX1412" s="31">
        <f t="shared" ref="AX1412:AX1475" si="1025">IF(J1412&gt;0,IF(OR(B1412="ss",C1412="ss"),J1412*3,0)+IF(OR(B1412="new ss",C1412="new ss"),J1412*3,0)+IF(OR(B1412="DC",C1412="DC"),J1412*1.5,0)+IF(OR(B1412="new DC",C1412="new DC"),J1412*1.5,0)+IF(OR(B1412="MB",C1412="MB"),J1412*2,0)+IF(OR(B1412="pole",C1412="pole"),J1412*10,0),0)</f>
        <v>0</v>
      </c>
      <c r="AY1412" s="31">
        <f t="shared" ref="AY1412:AY1475" si="1026">IF(I1412&gt;0,IF(OR(B1412="ss",C1412="ss"),I1412*3,0)+IF(OR(B1412="new ss",C1412="new ss"),I1412*3,0)+IF(OR(B1412="DC",C1412="DC"),I1412*1.5,0)+IF(OR(B1412="new DC",C1412="new DC"),J1412*1.5,0)+IF(OR(B1412="MB",C1412="MB"),I1412*2,0)+IF(OR(B1412="pole",C1412="pole"),I1412*10,0),0)</f>
        <v>0</v>
      </c>
      <c r="AZ1412" s="31">
        <f t="shared" ref="AZ1412:AZ1475" si="1027">IF(H1412&gt;0,IF(OR(B1412="ss",C1412="ss"),H1412*3,0)+IF(OR(B1412="new ss",C1412="new ss"),H1412*3,0)+IF(OR(B1412="DC",C1412="DC"),H1412*2,0)+IF(OR(B1412="new DC",C1412="new DC"),H1412*1.5,0)+IF(OR(B1412="MB",C1412="MB"),H1412*2,0)+IF(OR(B1412="pole",C1412="pole"),H1412*10,0)+IF(OR(B1412="pole",C1412="pole"),H1412*10,0),0)</f>
        <v>0</v>
      </c>
      <c r="BA1412" s="31">
        <f t="shared" ref="BA1412:BA1475" si="1028">IF(E1412="manual",IF(AU1412&lt;0,D1412*AS1412*0.8,IF(AND(AS1412&gt;0,AU1412&gt;0),D1412*AS1412*0.8+D1412*AU1412*0.65,IF(AND(AS1412=0,AT1412&gt;0),D1412*AT1412*0.65,0))),0)</f>
        <v>0</v>
      </c>
      <c r="BB1412" s="31">
        <f t="shared" si="1011"/>
        <v>0</v>
      </c>
      <c r="BM1412" s="8">
        <f t="shared" si="1012"/>
        <v>0</v>
      </c>
      <c r="BN1412" s="8">
        <f t="shared" ref="BN1412:BN1475" si="1029">IFERROR(IF(AND(K1412="asphalted",E1412="mini-trench",R1412=""),1*D1412,IF(AND(K1412="asphalted",R1412&gt;0,MandRcalc="Complete M&amp;R area"),R1412*D1412,IF(AND(K1412="asphalted",R1412&gt;0,MandRcalc="M&amp;R area - asphalting area"),(R1412-BR1412/D1412)*D1412,0))),0)</f>
        <v>0</v>
      </c>
      <c r="BO1412" s="8">
        <f t="shared" ref="BO1412:BO1475" si="1030">IF(BQ1412&lt;MINEXCNA,0,IF(AND(E1412="normal",F1412&lt;5,G1412&lt;12,K1412&lt;&gt;"asphalted",AT1412&gt;AS1412,AS1412&lt;&gt;0),(BQ1412-AT1412)*0.65,IF(AND(E1412="normal",F1412&lt;5,G1412&lt;12,K1412&lt;&gt;"asphalted",AS1412&gt;=AT1412),(BQ1412-AS1412)*0.8,IF(AND(E1412="normal",F1412&lt;5,G1412&lt;12,K1412&lt;&gt;"asphalted",AT1412&gt;0,AS1412=0),(BQ1412-AT1412)*0.65,0)))*D1412)</f>
        <v>0</v>
      </c>
      <c r="BQ1412" s="8">
        <f t="shared" ref="BQ1412:BQ1475" si="1031">IF(E1412="special",O1412,IF(AND(OR(E1412="normal",E1412="manual"),O1412="",K1412="asphalted",BV1412&lt;=MINEXC),MINEXC,IF(AND(OR(E1412="normal",E1412="manual"),O1412&lt;&gt;"",K1412="asphalted"),MIN(O1412,BV1412),IF(AND(OR(E1412="normal",E1412="manual"),O1412="",K1412&lt;&gt;"asphalted",BV1412&lt;=MINEXCNA),MINEXCNA,IF(AND(OR(E1412="normal",E1412="manual"),O1412&lt;&gt;"",K1412&lt;&gt;"asphalted"),MIN(O1412,BV1412),BV1412)))))</f>
        <v>0</v>
      </c>
      <c r="BR1412" s="63">
        <f t="shared" ref="BR1412:BR1475" si="1032">IFERROR(IF(AND(E1412&lt;&gt;"mini-trecnh",K1412="asphalted",Q1412&lt;&gt;"",S1412=0),D1412*Q1412,IF(AND(E1412&lt;&gt;"mini-trecnh",K1412="asphalted",Q1412&lt;&gt;"",S1412&lt;&gt;0),D1412*MIN(Q1412,S1412),IF(AND(E1412&lt;&gt;"mini-trecnh",K1412="asphalted",Q1412=""),D1412*S1412,0))),0)</f>
        <v>0</v>
      </c>
      <c r="BS1412" s="63">
        <f t="shared" si="1013"/>
        <v>0</v>
      </c>
      <c r="BT1412" s="63">
        <f t="shared" ref="BT1412:BT1475" si="1033">IF(BQ1412&lt;MINEXC,0,IF(AND(E1412="normal",F1412&lt;5,G1412&lt;12,K1412="asphalted",AT1412&gt;AS1412,AS1412&lt;&gt;0),(BQ1412-AT1412)*0.65,IF(AND(E1412="normal",F1412&lt;5,G1412&lt;12,K1412="asphalted",AS1412&gt;=AT1412),(BQ1412-AS1412)*0.8,IF(AND(E1412="normal",F1412&lt;5,G1412&lt;12,K1412="asphalted",AT1412&gt;0,AS1412=0),(BQ1412-AT1412)*0.65,0)))*D1412)</f>
        <v>0</v>
      </c>
      <c r="BU1412" s="63">
        <f t="shared" ref="BU1412:BU1475" si="1034">IF(E1412="",0,IF(OR(BT1412&gt;0,BO1412&gt;0),0,IF(AND(F1412&gt;4,G1412=0),(BQ1412-1.2)*D1412*0.8,IF(AND(G1412&gt;4,F1412=0),(BQ1412-0.4)*D1412*0.65,IF(OR(AND(G1412&gt;4,F1412&gt;0),AND(F1412&gt;4,G1412&gt;0)),(IF(AS1412&gt;1.2,(AS1412-1.2)*D1412*0.8,0)+IF(AT1412&gt;AS1412,(AT1412-AS1412)*D1412*0.65,0)),0)))))</f>
        <v>0</v>
      </c>
      <c r="BV1412" s="57">
        <f t="shared" ref="BV1412:BV1475" si="1035">IF(AND(E1412&lt;&gt;"mini-trench",E1412&lt;&gt;"special"),MAX(AS1412:AT1412),0)</f>
        <v>0</v>
      </c>
      <c r="BW1412" s="57">
        <f t="shared" ref="BW1412:BW1475" si="1036">IF(AND(E1412&lt;&gt;"mini-trench",E1412&lt;&gt;"special",BV1412&gt;0,BV1412&lt;1,K1412="asphalted"),IF(O1412&lt;&gt;"",MIN(O1412,1),1),IF(AND(E1412&lt;&gt;"mini-trench",E1412&lt;&gt;"special",BV1412&gt;0,BV1412&gt;1,K1412="asphalted"),BV1412,0))</f>
        <v>0</v>
      </c>
      <c r="BX1412" s="57">
        <f t="shared" si="1014"/>
        <v>0</v>
      </c>
      <c r="BY1412" s="57">
        <f t="shared" si="1018"/>
        <v>0</v>
      </c>
      <c r="BZ1412" s="8">
        <f t="shared" ref="BZ1412:BZ1475" si="1037">IF(E1412="special",O1412*P1412*D1412-D1412*IF(AV1412="MV1",0.8*0.4,IF(AV1412="MV2",0.8*0.6,IF(AV1412="MV3",0.8*0.9,IF(OR(AV1412="MV4",AV1412="MVCU"),0.8*1.2,IF(AV1412="LV1-3",0.65*0.4,IF(OR(AV1412="LV4",AV1412="LVCU"),0.65*0.5)))))),0)</f>
        <v>0</v>
      </c>
      <c r="CA1412" s="8">
        <f t="shared" ref="CA1412:CA1475" si="1038">IF(AND(E1412&lt;&gt;"special",K1412="Paved interlock"),D1412*BV1412,IF(AND(E1412="special",K1412="Paved interlock"),D1412*O1412,0))</f>
        <v>0</v>
      </c>
      <c r="CB1412" s="8">
        <f t="shared" ref="CB1412:CB1475" si="1039">IF(AND(E1412&lt;&gt;"special",K1412="Paved conc.tiles"),D1412*BV1412,IF(AND(E1412="special",K1412="Paved conc.tiles"),D1412*O1412,0))</f>
        <v>0</v>
      </c>
      <c r="CC1412" s="8">
        <f t="shared" ref="CC1412:CC1475" si="1040">IF(AND(E1412="special",K1412="asphalted"),D1412*Q1412,0)</f>
        <v>0</v>
      </c>
      <c r="CD1412" s="8">
        <f t="shared" ref="CD1412:CD1475" si="1041">IF(OR(K1412="Paved interlock",K1412="Paved conc.tiles"),1,0)</f>
        <v>0</v>
      </c>
      <c r="CE1412" s="8">
        <f t="shared" ref="CE1412:CE1475" si="1042">IFERROR(BR1412/D1412,0)</f>
        <v>0</v>
      </c>
      <c r="CF1412" s="8">
        <f t="shared" ref="CF1412:CF1475" si="1043">IF(AND(F1412&gt;0,B1412="j transition"),F1412,0)+IF(AND(F1412&gt;0,C1412="j transition"),F1412,0)</f>
        <v>0</v>
      </c>
      <c r="CG1412" s="8">
        <f t="shared" ref="CG1412:CG1475" si="1044">IF(AND(F1412&gt;0,OR(B1412="grid",B1412="ss",B1412="pole",B1412="new ss")),F1412,0)+IF(AND(F1412&gt;0,OR(C1412="grid",C1412="ss",C1412="pole",C1412="new ss")),F1412,0)</f>
        <v>0</v>
      </c>
      <c r="CH1412" s="8">
        <f t="shared" ref="CH1412:CH1475" si="1045">IF(AND(F1412&gt;0,B1412="joint"),F1412,0)+IF(AND(F1412&gt;0,C1412="joint"),F1412,0)+IF(AND(F1412&gt;0,B1412="j transition"),F1412,0)+IF(AND(F1412&gt;0,C1412="j transition"),F1412,0)</f>
        <v>0</v>
      </c>
      <c r="CI1412" s="8">
        <f t="shared" ref="CI1412:CI1475" si="1046">IF(AND(H1412&gt;0,B1412="joint"),H1412,0)+IF(AND(H1412&gt;0,C1412="joint"),H1412,0)</f>
        <v>0</v>
      </c>
      <c r="CJ1412" s="8">
        <f t="shared" ref="CJ1412:CJ1475" si="1047">IF(AND(I1412&gt;0,B1412="joint"),I1412,0)+IF(AND(I1412&gt;0,C1412="joint"),I1412,0)</f>
        <v>0</v>
      </c>
      <c r="CK1412" s="8">
        <f t="shared" ref="CK1412:CK1475" si="1048">IF(AND(J1412&gt;0,B1412="joint"),J1412,0)+IF(AND(J1412&gt;0,C1412="joint"),J1412,0)</f>
        <v>0</v>
      </c>
      <c r="CL1412" s="8">
        <f t="shared" ref="CL1412:CL1475" si="1049">IF(AND(H1412&gt;0,OR(B1412="ss",B1412="new ss",B1412="DC",B1412="new DC")),H1412,0)+IF(AND(H1412&gt;0,OR(C1412="new ss",C1412="ss",C1412="DC",C1412="new DC")),H1412,0)</f>
        <v>0</v>
      </c>
      <c r="CM1412" s="8">
        <f t="shared" ref="CM1412:CM1475" si="1050">CO1412+CP1412</f>
        <v>0</v>
      </c>
      <c r="CN1412" s="8">
        <f t="shared" ref="CN1412:CN1475" si="1051">IF(OR(B1412="new DC",C1412="new DC"),H1412,0)</f>
        <v>0</v>
      </c>
      <c r="CO1412" s="8">
        <f t="shared" ref="CO1412:CO1475" si="1052">IF(AND(J1412&gt;0,OR(B1412="ss",B1412="new ss",B1412="DC",B1412="new DC")),J1412,0)+IF(AND(J1412&gt;0,OR(C1412="new ss",C1412="ss",C1412="DC",C1412="new DC")),J1412,0)</f>
        <v>0</v>
      </c>
      <c r="CP1412" s="8">
        <f t="shared" ref="CP1412:CP1475" si="1053">IF(AND(I1412&gt;0,OR(B1412="ss",B1412="new ss",B1412="DC",B1412="new DC")),I1412,0)+IF(AND(I1412&gt;0,OR(C1412="new ss",C1412="ss",C1412="DC",C1412="new DC")),I1412,0)</f>
        <v>0</v>
      </c>
      <c r="CQ1412" s="8">
        <f t="shared" ref="CQ1412:CQ1475" si="1054">IF(AND(F1412&gt;0,OR(B1412="ss",B1412="new ss")),F1412,0)+IF(AND(F1412&gt;0,OR(C1412="ss",C1412="new ss")),F1412,0)</f>
        <v>0</v>
      </c>
      <c r="CR1412" s="8">
        <f t="shared" ref="CR1412:CR1475" si="1055">IF(AND(F1412&gt;0,OR(B1412="grid")),F1412,0)+IF(AND(F1412&gt;0,OR(C1412="grid")),F1412,0)</f>
        <v>0</v>
      </c>
      <c r="CS1412" s="8">
        <f t="shared" ref="CS1412:CS1475" si="1056">IF(AND(F1412&gt;0,OR(B1412="pole")),F1412,0)+IF(AND(F1412&gt;0,OR(C1412="pole")),F1412,0)</f>
        <v>0</v>
      </c>
      <c r="CT1412" s="8">
        <f t="shared" si="1015"/>
        <v>0</v>
      </c>
      <c r="CU1412" s="8">
        <f t="shared" si="1016"/>
        <v>0</v>
      </c>
      <c r="CV1412" s="8">
        <f t="shared" si="1017"/>
        <v>0</v>
      </c>
    </row>
    <row r="1413" spans="1:100" ht="20.5" thickTop="1" thickBot="1" x14ac:dyDescent="0.5">
      <c r="A1413" s="32"/>
      <c r="B1413" s="10"/>
      <c r="C1413" s="10"/>
      <c r="D1413" s="11"/>
      <c r="E1413" s="10"/>
      <c r="F1413" s="10"/>
      <c r="G1413" s="19"/>
      <c r="H1413" s="19"/>
      <c r="I1413" s="19"/>
      <c r="J1413" s="19"/>
      <c r="K1413" s="10"/>
      <c r="L1413" s="10"/>
      <c r="M1413" s="10"/>
      <c r="N1413" s="10"/>
      <c r="O1413" s="18"/>
      <c r="P1413" s="18"/>
      <c r="Q1413" s="21"/>
      <c r="R1413" s="20"/>
      <c r="S1413" s="16">
        <f t="shared" si="1019"/>
        <v>0</v>
      </c>
      <c r="T1413" s="11"/>
      <c r="AS1413" s="31">
        <f t="shared" si="1020"/>
        <v>0</v>
      </c>
      <c r="AT1413" s="31">
        <f t="shared" si="1021"/>
        <v>0</v>
      </c>
      <c r="AU1413" s="31">
        <f t="shared" si="1022"/>
        <v>0</v>
      </c>
      <c r="AV1413" s="31">
        <f t="shared" si="1023"/>
        <v>0</v>
      </c>
      <c r="AW1413" s="31">
        <f t="shared" si="1024"/>
        <v>0</v>
      </c>
      <c r="AX1413" s="31">
        <f t="shared" si="1025"/>
        <v>0</v>
      </c>
      <c r="AY1413" s="31">
        <f t="shared" si="1026"/>
        <v>0</v>
      </c>
      <c r="AZ1413" s="31">
        <f t="shared" si="1027"/>
        <v>0</v>
      </c>
      <c r="BA1413" s="31">
        <f t="shared" si="1028"/>
        <v>0</v>
      </c>
      <c r="BB1413" s="31">
        <f t="shared" ref="BB1413:BB1476" si="1057">IFERROR(IF(BN1413&gt;0,0,IF(AND(E1413="normal",(BR1413/D1413)&gt;1),BR1413,0)),0)</f>
        <v>0</v>
      </c>
      <c r="BM1413" s="8">
        <f t="shared" ref="BM1413:BM1476" si="1058">IF(AND(E1413&lt;&gt;"special",K1413="Concrete"),D1413*BV1413,IF(AND(E1413="special",K1413="Concrete"),D1413*O1413,0))</f>
        <v>0</v>
      </c>
      <c r="BN1413" s="8">
        <f t="shared" si="1029"/>
        <v>0</v>
      </c>
      <c r="BO1413" s="8">
        <f t="shared" si="1030"/>
        <v>0</v>
      </c>
      <c r="BQ1413" s="8">
        <f t="shared" si="1031"/>
        <v>0</v>
      </c>
      <c r="BR1413" s="63">
        <f t="shared" si="1032"/>
        <v>0</v>
      </c>
      <c r="BS1413" s="63">
        <f t="shared" ref="BS1413:BS1476" si="1059">BN1413 + IF(BN1413&gt;0,IF(R1412=0, R1413, 0) + IF(R1414=0, R1413, 0),0)</f>
        <v>0</v>
      </c>
      <c r="BT1413" s="63">
        <f t="shared" si="1033"/>
        <v>0</v>
      </c>
      <c r="BU1413" s="63">
        <f t="shared" si="1034"/>
        <v>0</v>
      </c>
      <c r="BV1413" s="57">
        <f t="shared" si="1035"/>
        <v>0</v>
      </c>
      <c r="BW1413" s="57">
        <f t="shared" si="1036"/>
        <v>0</v>
      </c>
      <c r="BX1413" s="57">
        <f t="shared" ref="BX1413:BX1476" si="1060">IF(AND(R1413&gt;0,MandRcalc="Asphalting then M&amp;R"),R1413*D1413,IF(AND(R1413&gt;0,MandRcalc="Milling then Repaving"),(R1413-BR1413)*D1413,0))</f>
        <v>0</v>
      </c>
      <c r="BY1413" s="57">
        <f t="shared" si="1018"/>
        <v>0</v>
      </c>
      <c r="BZ1413" s="8">
        <f t="shared" si="1037"/>
        <v>0</v>
      </c>
      <c r="CA1413" s="8">
        <f t="shared" si="1038"/>
        <v>0</v>
      </c>
      <c r="CB1413" s="8">
        <f t="shared" si="1039"/>
        <v>0</v>
      </c>
      <c r="CC1413" s="8">
        <f t="shared" si="1040"/>
        <v>0</v>
      </c>
      <c r="CD1413" s="8">
        <f t="shared" si="1041"/>
        <v>0</v>
      </c>
      <c r="CE1413" s="8">
        <f t="shared" si="1042"/>
        <v>0</v>
      </c>
      <c r="CF1413" s="8">
        <f t="shared" si="1043"/>
        <v>0</v>
      </c>
      <c r="CG1413" s="8">
        <f t="shared" si="1044"/>
        <v>0</v>
      </c>
      <c r="CH1413" s="8">
        <f t="shared" si="1045"/>
        <v>0</v>
      </c>
      <c r="CI1413" s="8">
        <f t="shared" si="1046"/>
        <v>0</v>
      </c>
      <c r="CJ1413" s="8">
        <f t="shared" si="1047"/>
        <v>0</v>
      </c>
      <c r="CK1413" s="8">
        <f t="shared" si="1048"/>
        <v>0</v>
      </c>
      <c r="CL1413" s="8">
        <f t="shared" si="1049"/>
        <v>0</v>
      </c>
      <c r="CM1413" s="8">
        <f t="shared" si="1050"/>
        <v>0</v>
      </c>
      <c r="CN1413" s="8">
        <f t="shared" si="1051"/>
        <v>0</v>
      </c>
      <c r="CO1413" s="8">
        <f t="shared" si="1052"/>
        <v>0</v>
      </c>
      <c r="CP1413" s="8">
        <f t="shared" si="1053"/>
        <v>0</v>
      </c>
      <c r="CQ1413" s="8">
        <f t="shared" si="1054"/>
        <v>0</v>
      </c>
      <c r="CR1413" s="8">
        <f t="shared" si="1055"/>
        <v>0</v>
      </c>
      <c r="CS1413" s="8">
        <f t="shared" si="1056"/>
        <v>0</v>
      </c>
      <c r="CT1413" s="8">
        <f t="shared" si="1015"/>
        <v>0</v>
      </c>
      <c r="CU1413" s="8">
        <f t="shared" si="1016"/>
        <v>0</v>
      </c>
      <c r="CV1413" s="8">
        <f t="shared" si="1017"/>
        <v>0</v>
      </c>
    </row>
    <row r="1414" spans="1:100" ht="20.5" thickTop="1" thickBot="1" x14ac:dyDescent="0.5">
      <c r="A1414" s="32"/>
      <c r="B1414" s="10"/>
      <c r="C1414" s="10"/>
      <c r="D1414" s="11"/>
      <c r="E1414" s="10"/>
      <c r="F1414" s="10"/>
      <c r="G1414" s="19"/>
      <c r="H1414" s="19"/>
      <c r="I1414" s="19"/>
      <c r="J1414" s="19"/>
      <c r="K1414" s="10"/>
      <c r="L1414" s="10"/>
      <c r="M1414" s="10"/>
      <c r="N1414" s="10"/>
      <c r="O1414" s="18"/>
      <c r="P1414" s="18"/>
      <c r="Q1414" s="21"/>
      <c r="R1414" s="20"/>
      <c r="S1414" s="16">
        <f t="shared" si="1019"/>
        <v>0</v>
      </c>
      <c r="T1414" s="11"/>
      <c r="AS1414" s="31">
        <f t="shared" si="1020"/>
        <v>0</v>
      </c>
      <c r="AT1414" s="31">
        <f t="shared" si="1021"/>
        <v>0</v>
      </c>
      <c r="AU1414" s="31">
        <f t="shared" si="1022"/>
        <v>0</v>
      </c>
      <c r="AV1414" s="31">
        <f t="shared" si="1023"/>
        <v>0</v>
      </c>
      <c r="AW1414" s="31">
        <f t="shared" si="1024"/>
        <v>0</v>
      </c>
      <c r="AX1414" s="31">
        <f t="shared" si="1025"/>
        <v>0</v>
      </c>
      <c r="AY1414" s="31">
        <f t="shared" si="1026"/>
        <v>0</v>
      </c>
      <c r="AZ1414" s="31">
        <f t="shared" si="1027"/>
        <v>0</v>
      </c>
      <c r="BA1414" s="31">
        <f t="shared" si="1028"/>
        <v>0</v>
      </c>
      <c r="BB1414" s="31">
        <f t="shared" si="1057"/>
        <v>0</v>
      </c>
      <c r="BM1414" s="8">
        <f t="shared" si="1058"/>
        <v>0</v>
      </c>
      <c r="BN1414" s="8">
        <f t="shared" si="1029"/>
        <v>0</v>
      </c>
      <c r="BO1414" s="8">
        <f t="shared" si="1030"/>
        <v>0</v>
      </c>
      <c r="BQ1414" s="8">
        <f t="shared" si="1031"/>
        <v>0</v>
      </c>
      <c r="BR1414" s="63">
        <f t="shared" si="1032"/>
        <v>0</v>
      </c>
      <c r="BS1414" s="63">
        <f t="shared" si="1059"/>
        <v>0</v>
      </c>
      <c r="BT1414" s="63">
        <f t="shared" si="1033"/>
        <v>0</v>
      </c>
      <c r="BU1414" s="63">
        <f t="shared" si="1034"/>
        <v>0</v>
      </c>
      <c r="BV1414" s="57">
        <f t="shared" si="1035"/>
        <v>0</v>
      </c>
      <c r="BW1414" s="57">
        <f t="shared" si="1036"/>
        <v>0</v>
      </c>
      <c r="BX1414" s="57">
        <f t="shared" si="1060"/>
        <v>0</v>
      </c>
      <c r="BY1414" s="57">
        <f t="shared" si="1018"/>
        <v>0</v>
      </c>
      <c r="BZ1414" s="8">
        <f t="shared" si="1037"/>
        <v>0</v>
      </c>
      <c r="CA1414" s="8">
        <f t="shared" si="1038"/>
        <v>0</v>
      </c>
      <c r="CB1414" s="8">
        <f t="shared" si="1039"/>
        <v>0</v>
      </c>
      <c r="CC1414" s="8">
        <f t="shared" si="1040"/>
        <v>0</v>
      </c>
      <c r="CD1414" s="8">
        <f t="shared" si="1041"/>
        <v>0</v>
      </c>
      <c r="CE1414" s="8">
        <f t="shared" si="1042"/>
        <v>0</v>
      </c>
      <c r="CF1414" s="8">
        <f t="shared" si="1043"/>
        <v>0</v>
      </c>
      <c r="CG1414" s="8">
        <f t="shared" si="1044"/>
        <v>0</v>
      </c>
      <c r="CH1414" s="8">
        <f t="shared" si="1045"/>
        <v>0</v>
      </c>
      <c r="CI1414" s="8">
        <f t="shared" si="1046"/>
        <v>0</v>
      </c>
      <c r="CJ1414" s="8">
        <f t="shared" si="1047"/>
        <v>0</v>
      </c>
      <c r="CK1414" s="8">
        <f t="shared" si="1048"/>
        <v>0</v>
      </c>
      <c r="CL1414" s="8">
        <f t="shared" si="1049"/>
        <v>0</v>
      </c>
      <c r="CM1414" s="8">
        <f t="shared" si="1050"/>
        <v>0</v>
      </c>
      <c r="CN1414" s="8">
        <f t="shared" si="1051"/>
        <v>0</v>
      </c>
      <c r="CO1414" s="8">
        <f t="shared" si="1052"/>
        <v>0</v>
      </c>
      <c r="CP1414" s="8">
        <f t="shared" si="1053"/>
        <v>0</v>
      </c>
      <c r="CQ1414" s="8">
        <f t="shared" si="1054"/>
        <v>0</v>
      </c>
      <c r="CR1414" s="8">
        <f t="shared" si="1055"/>
        <v>0</v>
      </c>
      <c r="CS1414" s="8">
        <f t="shared" si="1056"/>
        <v>0</v>
      </c>
      <c r="CT1414" s="8">
        <f t="shared" si="1015"/>
        <v>0</v>
      </c>
      <c r="CU1414" s="8">
        <f t="shared" si="1016"/>
        <v>0</v>
      </c>
      <c r="CV1414" s="8">
        <f t="shared" si="1017"/>
        <v>0</v>
      </c>
    </row>
    <row r="1415" spans="1:100" ht="20.5" thickTop="1" thickBot="1" x14ac:dyDescent="0.5">
      <c r="A1415" s="32"/>
      <c r="B1415" s="10"/>
      <c r="C1415" s="10"/>
      <c r="D1415" s="11"/>
      <c r="E1415" s="10"/>
      <c r="F1415" s="10"/>
      <c r="G1415" s="19"/>
      <c r="H1415" s="19"/>
      <c r="I1415" s="19"/>
      <c r="J1415" s="19"/>
      <c r="K1415" s="10"/>
      <c r="L1415" s="10"/>
      <c r="M1415" s="10"/>
      <c r="N1415" s="10"/>
      <c r="O1415" s="18"/>
      <c r="P1415" s="18"/>
      <c r="Q1415" s="21"/>
      <c r="R1415" s="20"/>
      <c r="S1415" s="16">
        <f t="shared" si="1019"/>
        <v>0</v>
      </c>
      <c r="T1415" s="11"/>
      <c r="AS1415" s="31">
        <f t="shared" si="1020"/>
        <v>0</v>
      </c>
      <c r="AT1415" s="31">
        <f t="shared" si="1021"/>
        <v>0</v>
      </c>
      <c r="AU1415" s="31">
        <f t="shared" si="1022"/>
        <v>0</v>
      </c>
      <c r="AV1415" s="31">
        <f t="shared" si="1023"/>
        <v>0</v>
      </c>
      <c r="AW1415" s="31">
        <f t="shared" si="1024"/>
        <v>0</v>
      </c>
      <c r="AX1415" s="31">
        <f t="shared" si="1025"/>
        <v>0</v>
      </c>
      <c r="AY1415" s="31">
        <f t="shared" si="1026"/>
        <v>0</v>
      </c>
      <c r="AZ1415" s="31">
        <f t="shared" si="1027"/>
        <v>0</v>
      </c>
      <c r="BA1415" s="31">
        <f t="shared" si="1028"/>
        <v>0</v>
      </c>
      <c r="BB1415" s="31">
        <f t="shared" si="1057"/>
        <v>0</v>
      </c>
      <c r="BM1415" s="8">
        <f t="shared" si="1058"/>
        <v>0</v>
      </c>
      <c r="BN1415" s="8">
        <f t="shared" si="1029"/>
        <v>0</v>
      </c>
      <c r="BO1415" s="8">
        <f t="shared" si="1030"/>
        <v>0</v>
      </c>
      <c r="BQ1415" s="8">
        <f t="shared" si="1031"/>
        <v>0</v>
      </c>
      <c r="BR1415" s="63">
        <f t="shared" si="1032"/>
        <v>0</v>
      </c>
      <c r="BS1415" s="63">
        <f t="shared" si="1059"/>
        <v>0</v>
      </c>
      <c r="BT1415" s="63">
        <f t="shared" si="1033"/>
        <v>0</v>
      </c>
      <c r="BU1415" s="63">
        <f t="shared" si="1034"/>
        <v>0</v>
      </c>
      <c r="BV1415" s="57">
        <f t="shared" si="1035"/>
        <v>0</v>
      </c>
      <c r="BW1415" s="57">
        <f t="shared" si="1036"/>
        <v>0</v>
      </c>
      <c r="BX1415" s="57">
        <f t="shared" si="1060"/>
        <v>0</v>
      </c>
      <c r="BY1415" s="57">
        <f t="shared" si="1018"/>
        <v>0</v>
      </c>
      <c r="BZ1415" s="8">
        <f t="shared" si="1037"/>
        <v>0</v>
      </c>
      <c r="CA1415" s="8">
        <f t="shared" si="1038"/>
        <v>0</v>
      </c>
      <c r="CB1415" s="8">
        <f t="shared" si="1039"/>
        <v>0</v>
      </c>
      <c r="CC1415" s="8">
        <f t="shared" si="1040"/>
        <v>0</v>
      </c>
      <c r="CD1415" s="8">
        <f t="shared" si="1041"/>
        <v>0</v>
      </c>
      <c r="CE1415" s="8">
        <f t="shared" si="1042"/>
        <v>0</v>
      </c>
      <c r="CF1415" s="8">
        <f t="shared" si="1043"/>
        <v>0</v>
      </c>
      <c r="CG1415" s="8">
        <f t="shared" si="1044"/>
        <v>0</v>
      </c>
      <c r="CH1415" s="8">
        <f t="shared" si="1045"/>
        <v>0</v>
      </c>
      <c r="CI1415" s="8">
        <f t="shared" si="1046"/>
        <v>0</v>
      </c>
      <c r="CJ1415" s="8">
        <f t="shared" si="1047"/>
        <v>0</v>
      </c>
      <c r="CK1415" s="8">
        <f t="shared" si="1048"/>
        <v>0</v>
      </c>
      <c r="CL1415" s="8">
        <f t="shared" si="1049"/>
        <v>0</v>
      </c>
      <c r="CM1415" s="8">
        <f t="shared" si="1050"/>
        <v>0</v>
      </c>
      <c r="CN1415" s="8">
        <f t="shared" si="1051"/>
        <v>0</v>
      </c>
      <c r="CO1415" s="8">
        <f t="shared" si="1052"/>
        <v>0</v>
      </c>
      <c r="CP1415" s="8">
        <f t="shared" si="1053"/>
        <v>0</v>
      </c>
      <c r="CQ1415" s="8">
        <f t="shared" si="1054"/>
        <v>0</v>
      </c>
      <c r="CR1415" s="8">
        <f t="shared" si="1055"/>
        <v>0</v>
      </c>
      <c r="CS1415" s="8">
        <f t="shared" si="1056"/>
        <v>0</v>
      </c>
      <c r="CT1415" s="8">
        <f t="shared" si="1015"/>
        <v>0</v>
      </c>
      <c r="CU1415" s="8">
        <f t="shared" si="1016"/>
        <v>0</v>
      </c>
      <c r="CV1415" s="8">
        <f t="shared" si="1017"/>
        <v>0</v>
      </c>
    </row>
    <row r="1416" spans="1:100" ht="20.5" thickTop="1" thickBot="1" x14ac:dyDescent="0.5">
      <c r="A1416" s="32"/>
      <c r="B1416" s="10"/>
      <c r="C1416" s="10"/>
      <c r="D1416" s="11"/>
      <c r="E1416" s="10"/>
      <c r="F1416" s="10"/>
      <c r="G1416" s="19"/>
      <c r="H1416" s="19"/>
      <c r="I1416" s="19"/>
      <c r="J1416" s="19"/>
      <c r="K1416" s="10"/>
      <c r="L1416" s="10"/>
      <c r="M1416" s="10"/>
      <c r="N1416" s="10"/>
      <c r="O1416" s="18"/>
      <c r="P1416" s="18"/>
      <c r="Q1416" s="21"/>
      <c r="R1416" s="20"/>
      <c r="S1416" s="16">
        <f t="shared" si="1019"/>
        <v>0</v>
      </c>
      <c r="T1416" s="11"/>
      <c r="AS1416" s="31">
        <f t="shared" si="1020"/>
        <v>0</v>
      </c>
      <c r="AT1416" s="31">
        <f t="shared" si="1021"/>
        <v>0</v>
      </c>
      <c r="AU1416" s="31">
        <f t="shared" si="1022"/>
        <v>0</v>
      </c>
      <c r="AV1416" s="31">
        <f t="shared" si="1023"/>
        <v>0</v>
      </c>
      <c r="AW1416" s="31">
        <f t="shared" si="1024"/>
        <v>0</v>
      </c>
      <c r="AX1416" s="31">
        <f t="shared" si="1025"/>
        <v>0</v>
      </c>
      <c r="AY1416" s="31">
        <f t="shared" si="1026"/>
        <v>0</v>
      </c>
      <c r="AZ1416" s="31">
        <f t="shared" si="1027"/>
        <v>0</v>
      </c>
      <c r="BA1416" s="31">
        <f t="shared" si="1028"/>
        <v>0</v>
      </c>
      <c r="BB1416" s="31">
        <f t="shared" si="1057"/>
        <v>0</v>
      </c>
      <c r="BM1416" s="8">
        <f t="shared" si="1058"/>
        <v>0</v>
      </c>
      <c r="BN1416" s="8">
        <f t="shared" si="1029"/>
        <v>0</v>
      </c>
      <c r="BO1416" s="8">
        <f t="shared" si="1030"/>
        <v>0</v>
      </c>
      <c r="BQ1416" s="8">
        <f t="shared" si="1031"/>
        <v>0</v>
      </c>
      <c r="BR1416" s="63">
        <f t="shared" si="1032"/>
        <v>0</v>
      </c>
      <c r="BS1416" s="63">
        <f t="shared" si="1059"/>
        <v>0</v>
      </c>
      <c r="BT1416" s="63">
        <f t="shared" si="1033"/>
        <v>0</v>
      </c>
      <c r="BU1416" s="63">
        <f t="shared" si="1034"/>
        <v>0</v>
      </c>
      <c r="BV1416" s="57">
        <f t="shared" si="1035"/>
        <v>0</v>
      </c>
      <c r="BW1416" s="57">
        <f t="shared" si="1036"/>
        <v>0</v>
      </c>
      <c r="BX1416" s="57">
        <f t="shared" si="1060"/>
        <v>0</v>
      </c>
      <c r="BY1416" s="57">
        <f t="shared" si="1018"/>
        <v>0</v>
      </c>
      <c r="BZ1416" s="8">
        <f t="shared" si="1037"/>
        <v>0</v>
      </c>
      <c r="CA1416" s="8">
        <f t="shared" si="1038"/>
        <v>0</v>
      </c>
      <c r="CB1416" s="8">
        <f t="shared" si="1039"/>
        <v>0</v>
      </c>
      <c r="CC1416" s="8">
        <f t="shared" si="1040"/>
        <v>0</v>
      </c>
      <c r="CD1416" s="8">
        <f t="shared" si="1041"/>
        <v>0</v>
      </c>
      <c r="CE1416" s="8">
        <f t="shared" si="1042"/>
        <v>0</v>
      </c>
      <c r="CF1416" s="8">
        <f t="shared" si="1043"/>
        <v>0</v>
      </c>
      <c r="CG1416" s="8">
        <f t="shared" si="1044"/>
        <v>0</v>
      </c>
      <c r="CH1416" s="8">
        <f t="shared" si="1045"/>
        <v>0</v>
      </c>
      <c r="CI1416" s="8">
        <f t="shared" si="1046"/>
        <v>0</v>
      </c>
      <c r="CJ1416" s="8">
        <f t="shared" si="1047"/>
        <v>0</v>
      </c>
      <c r="CK1416" s="8">
        <f t="shared" si="1048"/>
        <v>0</v>
      </c>
      <c r="CL1416" s="8">
        <f t="shared" si="1049"/>
        <v>0</v>
      </c>
      <c r="CM1416" s="8">
        <f t="shared" si="1050"/>
        <v>0</v>
      </c>
      <c r="CN1416" s="8">
        <f t="shared" si="1051"/>
        <v>0</v>
      </c>
      <c r="CO1416" s="8">
        <f t="shared" si="1052"/>
        <v>0</v>
      </c>
      <c r="CP1416" s="8">
        <f t="shared" si="1053"/>
        <v>0</v>
      </c>
      <c r="CQ1416" s="8">
        <f t="shared" si="1054"/>
        <v>0</v>
      </c>
      <c r="CR1416" s="8">
        <f t="shared" si="1055"/>
        <v>0</v>
      </c>
      <c r="CS1416" s="8">
        <f t="shared" si="1056"/>
        <v>0</v>
      </c>
      <c r="CT1416" s="8">
        <f t="shared" si="1015"/>
        <v>0</v>
      </c>
      <c r="CU1416" s="8">
        <f t="shared" si="1016"/>
        <v>0</v>
      </c>
      <c r="CV1416" s="8">
        <f t="shared" si="1017"/>
        <v>0</v>
      </c>
    </row>
    <row r="1417" spans="1:100" ht="20.5" thickTop="1" thickBot="1" x14ac:dyDescent="0.5">
      <c r="A1417" s="32"/>
      <c r="B1417" s="10"/>
      <c r="C1417" s="10"/>
      <c r="D1417" s="11"/>
      <c r="E1417" s="10"/>
      <c r="F1417" s="10"/>
      <c r="G1417" s="19"/>
      <c r="H1417" s="19"/>
      <c r="I1417" s="19"/>
      <c r="J1417" s="19"/>
      <c r="K1417" s="10"/>
      <c r="L1417" s="10"/>
      <c r="M1417" s="10"/>
      <c r="N1417" s="10"/>
      <c r="O1417" s="18"/>
      <c r="P1417" s="18"/>
      <c r="Q1417" s="21"/>
      <c r="R1417" s="20"/>
      <c r="S1417" s="16">
        <f t="shared" si="1019"/>
        <v>0</v>
      </c>
      <c r="T1417" s="11"/>
      <c r="AS1417" s="31">
        <f t="shared" si="1020"/>
        <v>0</v>
      </c>
      <c r="AT1417" s="31">
        <f t="shared" si="1021"/>
        <v>0</v>
      </c>
      <c r="AU1417" s="31">
        <f t="shared" si="1022"/>
        <v>0</v>
      </c>
      <c r="AV1417" s="31">
        <f t="shared" si="1023"/>
        <v>0</v>
      </c>
      <c r="AW1417" s="31">
        <f t="shared" si="1024"/>
        <v>0</v>
      </c>
      <c r="AX1417" s="31">
        <f t="shared" si="1025"/>
        <v>0</v>
      </c>
      <c r="AY1417" s="31">
        <f t="shared" si="1026"/>
        <v>0</v>
      </c>
      <c r="AZ1417" s="31">
        <f t="shared" si="1027"/>
        <v>0</v>
      </c>
      <c r="BA1417" s="31">
        <f t="shared" si="1028"/>
        <v>0</v>
      </c>
      <c r="BB1417" s="31">
        <f t="shared" si="1057"/>
        <v>0</v>
      </c>
      <c r="BM1417" s="8">
        <f t="shared" si="1058"/>
        <v>0</v>
      </c>
      <c r="BN1417" s="8">
        <f t="shared" si="1029"/>
        <v>0</v>
      </c>
      <c r="BO1417" s="8">
        <f t="shared" si="1030"/>
        <v>0</v>
      </c>
      <c r="BQ1417" s="8">
        <f t="shared" si="1031"/>
        <v>0</v>
      </c>
      <c r="BR1417" s="63">
        <f t="shared" si="1032"/>
        <v>0</v>
      </c>
      <c r="BS1417" s="63">
        <f t="shared" si="1059"/>
        <v>0</v>
      </c>
      <c r="BT1417" s="63">
        <f t="shared" si="1033"/>
        <v>0</v>
      </c>
      <c r="BU1417" s="63">
        <f t="shared" si="1034"/>
        <v>0</v>
      </c>
      <c r="BV1417" s="57">
        <f t="shared" si="1035"/>
        <v>0</v>
      </c>
      <c r="BW1417" s="57">
        <f t="shared" si="1036"/>
        <v>0</v>
      </c>
      <c r="BX1417" s="57">
        <f t="shared" si="1060"/>
        <v>0</v>
      </c>
      <c r="BY1417" s="57">
        <f t="shared" si="1018"/>
        <v>0</v>
      </c>
      <c r="BZ1417" s="8">
        <f t="shared" si="1037"/>
        <v>0</v>
      </c>
      <c r="CA1417" s="8">
        <f t="shared" si="1038"/>
        <v>0</v>
      </c>
      <c r="CB1417" s="8">
        <f t="shared" si="1039"/>
        <v>0</v>
      </c>
      <c r="CC1417" s="8">
        <f t="shared" si="1040"/>
        <v>0</v>
      </c>
      <c r="CD1417" s="8">
        <f t="shared" si="1041"/>
        <v>0</v>
      </c>
      <c r="CE1417" s="8">
        <f t="shared" si="1042"/>
        <v>0</v>
      </c>
      <c r="CF1417" s="8">
        <f t="shared" si="1043"/>
        <v>0</v>
      </c>
      <c r="CG1417" s="8">
        <f t="shared" si="1044"/>
        <v>0</v>
      </c>
      <c r="CH1417" s="8">
        <f t="shared" si="1045"/>
        <v>0</v>
      </c>
      <c r="CI1417" s="8">
        <f t="shared" si="1046"/>
        <v>0</v>
      </c>
      <c r="CJ1417" s="8">
        <f t="shared" si="1047"/>
        <v>0</v>
      </c>
      <c r="CK1417" s="8">
        <f t="shared" si="1048"/>
        <v>0</v>
      </c>
      <c r="CL1417" s="8">
        <f t="shared" si="1049"/>
        <v>0</v>
      </c>
      <c r="CM1417" s="8">
        <f t="shared" si="1050"/>
        <v>0</v>
      </c>
      <c r="CN1417" s="8">
        <f t="shared" si="1051"/>
        <v>0</v>
      </c>
      <c r="CO1417" s="8">
        <f t="shared" si="1052"/>
        <v>0</v>
      </c>
      <c r="CP1417" s="8">
        <f t="shared" si="1053"/>
        <v>0</v>
      </c>
      <c r="CQ1417" s="8">
        <f t="shared" si="1054"/>
        <v>0</v>
      </c>
      <c r="CR1417" s="8">
        <f t="shared" si="1055"/>
        <v>0</v>
      </c>
      <c r="CS1417" s="8">
        <f t="shared" si="1056"/>
        <v>0</v>
      </c>
      <c r="CT1417" s="8">
        <f t="shared" si="1015"/>
        <v>0</v>
      </c>
      <c r="CU1417" s="8">
        <f t="shared" si="1016"/>
        <v>0</v>
      </c>
      <c r="CV1417" s="8">
        <f t="shared" si="1017"/>
        <v>0</v>
      </c>
    </row>
    <row r="1418" spans="1:100" ht="20.5" thickTop="1" thickBot="1" x14ac:dyDescent="0.5">
      <c r="A1418" s="32"/>
      <c r="B1418" s="10"/>
      <c r="C1418" s="10"/>
      <c r="D1418" s="11"/>
      <c r="E1418" s="10"/>
      <c r="F1418" s="10"/>
      <c r="G1418" s="19"/>
      <c r="H1418" s="19"/>
      <c r="I1418" s="19"/>
      <c r="J1418" s="19"/>
      <c r="K1418" s="10"/>
      <c r="L1418" s="10"/>
      <c r="M1418" s="10"/>
      <c r="N1418" s="10"/>
      <c r="O1418" s="18"/>
      <c r="P1418" s="18"/>
      <c r="Q1418" s="21"/>
      <c r="R1418" s="20"/>
      <c r="S1418" s="16">
        <f t="shared" si="1019"/>
        <v>0</v>
      </c>
      <c r="T1418" s="11"/>
      <c r="AS1418" s="31">
        <f t="shared" si="1020"/>
        <v>0</v>
      </c>
      <c r="AT1418" s="31">
        <f t="shared" si="1021"/>
        <v>0</v>
      </c>
      <c r="AU1418" s="31">
        <f t="shared" si="1022"/>
        <v>0</v>
      </c>
      <c r="AV1418" s="31">
        <f t="shared" si="1023"/>
        <v>0</v>
      </c>
      <c r="AW1418" s="31">
        <f t="shared" si="1024"/>
        <v>0</v>
      </c>
      <c r="AX1418" s="31">
        <f t="shared" si="1025"/>
        <v>0</v>
      </c>
      <c r="AY1418" s="31">
        <f t="shared" si="1026"/>
        <v>0</v>
      </c>
      <c r="AZ1418" s="31">
        <f t="shared" si="1027"/>
        <v>0</v>
      </c>
      <c r="BA1418" s="31">
        <f t="shared" si="1028"/>
        <v>0</v>
      </c>
      <c r="BB1418" s="31">
        <f t="shared" si="1057"/>
        <v>0</v>
      </c>
      <c r="BM1418" s="8">
        <f t="shared" si="1058"/>
        <v>0</v>
      </c>
      <c r="BN1418" s="8">
        <f t="shared" si="1029"/>
        <v>0</v>
      </c>
      <c r="BO1418" s="8">
        <f t="shared" si="1030"/>
        <v>0</v>
      </c>
      <c r="BQ1418" s="8">
        <f t="shared" si="1031"/>
        <v>0</v>
      </c>
      <c r="BR1418" s="63">
        <f t="shared" si="1032"/>
        <v>0</v>
      </c>
      <c r="BS1418" s="63">
        <f t="shared" si="1059"/>
        <v>0</v>
      </c>
      <c r="BT1418" s="63">
        <f t="shared" si="1033"/>
        <v>0</v>
      </c>
      <c r="BU1418" s="63">
        <f t="shared" si="1034"/>
        <v>0</v>
      </c>
      <c r="BV1418" s="57">
        <f t="shared" si="1035"/>
        <v>0</v>
      </c>
      <c r="BW1418" s="57">
        <f t="shared" si="1036"/>
        <v>0</v>
      </c>
      <c r="BX1418" s="57">
        <f t="shared" si="1060"/>
        <v>0</v>
      </c>
      <c r="BY1418" s="57">
        <f t="shared" si="1018"/>
        <v>0</v>
      </c>
      <c r="BZ1418" s="8">
        <f t="shared" si="1037"/>
        <v>0</v>
      </c>
      <c r="CA1418" s="8">
        <f t="shared" si="1038"/>
        <v>0</v>
      </c>
      <c r="CB1418" s="8">
        <f t="shared" si="1039"/>
        <v>0</v>
      </c>
      <c r="CC1418" s="8">
        <f t="shared" si="1040"/>
        <v>0</v>
      </c>
      <c r="CD1418" s="8">
        <f t="shared" si="1041"/>
        <v>0</v>
      </c>
      <c r="CE1418" s="8">
        <f t="shared" si="1042"/>
        <v>0</v>
      </c>
      <c r="CF1418" s="8">
        <f t="shared" si="1043"/>
        <v>0</v>
      </c>
      <c r="CG1418" s="8">
        <f t="shared" si="1044"/>
        <v>0</v>
      </c>
      <c r="CH1418" s="8">
        <f t="shared" si="1045"/>
        <v>0</v>
      </c>
      <c r="CI1418" s="8">
        <f t="shared" si="1046"/>
        <v>0</v>
      </c>
      <c r="CJ1418" s="8">
        <f t="shared" si="1047"/>
        <v>0</v>
      </c>
      <c r="CK1418" s="8">
        <f t="shared" si="1048"/>
        <v>0</v>
      </c>
      <c r="CL1418" s="8">
        <f t="shared" si="1049"/>
        <v>0</v>
      </c>
      <c r="CM1418" s="8">
        <f t="shared" si="1050"/>
        <v>0</v>
      </c>
      <c r="CN1418" s="8">
        <f t="shared" si="1051"/>
        <v>0</v>
      </c>
      <c r="CO1418" s="8">
        <f t="shared" si="1052"/>
        <v>0</v>
      </c>
      <c r="CP1418" s="8">
        <f t="shared" si="1053"/>
        <v>0</v>
      </c>
      <c r="CQ1418" s="8">
        <f t="shared" si="1054"/>
        <v>0</v>
      </c>
      <c r="CR1418" s="8">
        <f t="shared" si="1055"/>
        <v>0</v>
      </c>
      <c r="CS1418" s="8">
        <f t="shared" si="1056"/>
        <v>0</v>
      </c>
      <c r="CT1418" s="8">
        <f t="shared" si="1015"/>
        <v>0</v>
      </c>
      <c r="CU1418" s="8">
        <f t="shared" si="1016"/>
        <v>0</v>
      </c>
      <c r="CV1418" s="8">
        <f t="shared" si="1017"/>
        <v>0</v>
      </c>
    </row>
    <row r="1419" spans="1:100" ht="20.5" thickTop="1" thickBot="1" x14ac:dyDescent="0.5">
      <c r="A1419" s="32"/>
      <c r="B1419" s="10"/>
      <c r="C1419" s="10"/>
      <c r="D1419" s="11"/>
      <c r="E1419" s="10"/>
      <c r="F1419" s="10"/>
      <c r="G1419" s="19"/>
      <c r="H1419" s="19"/>
      <c r="I1419" s="19"/>
      <c r="J1419" s="19"/>
      <c r="K1419" s="10"/>
      <c r="L1419" s="10"/>
      <c r="M1419" s="10"/>
      <c r="N1419" s="10"/>
      <c r="O1419" s="18"/>
      <c r="P1419" s="18"/>
      <c r="Q1419" s="21"/>
      <c r="R1419" s="20"/>
      <c r="S1419" s="16">
        <f t="shared" si="1019"/>
        <v>0</v>
      </c>
      <c r="T1419" s="11"/>
      <c r="AS1419" s="31">
        <f t="shared" si="1020"/>
        <v>0</v>
      </c>
      <c r="AT1419" s="31">
        <f t="shared" si="1021"/>
        <v>0</v>
      </c>
      <c r="AU1419" s="31">
        <f t="shared" si="1022"/>
        <v>0</v>
      </c>
      <c r="AV1419" s="31">
        <f t="shared" si="1023"/>
        <v>0</v>
      </c>
      <c r="AW1419" s="31">
        <f t="shared" si="1024"/>
        <v>0</v>
      </c>
      <c r="AX1419" s="31">
        <f t="shared" si="1025"/>
        <v>0</v>
      </c>
      <c r="AY1419" s="31">
        <f t="shared" si="1026"/>
        <v>0</v>
      </c>
      <c r="AZ1419" s="31">
        <f t="shared" si="1027"/>
        <v>0</v>
      </c>
      <c r="BA1419" s="31">
        <f t="shared" si="1028"/>
        <v>0</v>
      </c>
      <c r="BB1419" s="31">
        <f t="shared" si="1057"/>
        <v>0</v>
      </c>
      <c r="BM1419" s="8">
        <f t="shared" si="1058"/>
        <v>0</v>
      </c>
      <c r="BN1419" s="8">
        <f t="shared" si="1029"/>
        <v>0</v>
      </c>
      <c r="BO1419" s="8">
        <f t="shared" si="1030"/>
        <v>0</v>
      </c>
      <c r="BQ1419" s="8">
        <f t="shared" si="1031"/>
        <v>0</v>
      </c>
      <c r="BR1419" s="63">
        <f t="shared" si="1032"/>
        <v>0</v>
      </c>
      <c r="BS1419" s="63">
        <f t="shared" si="1059"/>
        <v>0</v>
      </c>
      <c r="BT1419" s="63">
        <f t="shared" si="1033"/>
        <v>0</v>
      </c>
      <c r="BU1419" s="63">
        <f t="shared" si="1034"/>
        <v>0</v>
      </c>
      <c r="BV1419" s="57">
        <f t="shared" si="1035"/>
        <v>0</v>
      </c>
      <c r="BW1419" s="57">
        <f t="shared" si="1036"/>
        <v>0</v>
      </c>
      <c r="BX1419" s="57">
        <f t="shared" si="1060"/>
        <v>0</v>
      </c>
      <c r="BY1419" s="57">
        <f t="shared" si="1018"/>
        <v>0</v>
      </c>
      <c r="BZ1419" s="8">
        <f t="shared" si="1037"/>
        <v>0</v>
      </c>
      <c r="CA1419" s="8">
        <f t="shared" si="1038"/>
        <v>0</v>
      </c>
      <c r="CB1419" s="8">
        <f t="shared" si="1039"/>
        <v>0</v>
      </c>
      <c r="CC1419" s="8">
        <f t="shared" si="1040"/>
        <v>0</v>
      </c>
      <c r="CD1419" s="8">
        <f t="shared" si="1041"/>
        <v>0</v>
      </c>
      <c r="CE1419" s="8">
        <f t="shared" si="1042"/>
        <v>0</v>
      </c>
      <c r="CF1419" s="8">
        <f t="shared" si="1043"/>
        <v>0</v>
      </c>
      <c r="CG1419" s="8">
        <f t="shared" si="1044"/>
        <v>0</v>
      </c>
      <c r="CH1419" s="8">
        <f t="shared" si="1045"/>
        <v>0</v>
      </c>
      <c r="CI1419" s="8">
        <f t="shared" si="1046"/>
        <v>0</v>
      </c>
      <c r="CJ1419" s="8">
        <f t="shared" si="1047"/>
        <v>0</v>
      </c>
      <c r="CK1419" s="8">
        <f t="shared" si="1048"/>
        <v>0</v>
      </c>
      <c r="CL1419" s="8">
        <f t="shared" si="1049"/>
        <v>0</v>
      </c>
      <c r="CM1419" s="8">
        <f t="shared" si="1050"/>
        <v>0</v>
      </c>
      <c r="CN1419" s="8">
        <f t="shared" si="1051"/>
        <v>0</v>
      </c>
      <c r="CO1419" s="8">
        <f t="shared" si="1052"/>
        <v>0</v>
      </c>
      <c r="CP1419" s="8">
        <f t="shared" si="1053"/>
        <v>0</v>
      </c>
      <c r="CQ1419" s="8">
        <f t="shared" si="1054"/>
        <v>0</v>
      </c>
      <c r="CR1419" s="8">
        <f t="shared" si="1055"/>
        <v>0</v>
      </c>
      <c r="CS1419" s="8">
        <f t="shared" si="1056"/>
        <v>0</v>
      </c>
      <c r="CT1419" s="8">
        <f t="shared" si="1015"/>
        <v>0</v>
      </c>
      <c r="CU1419" s="8">
        <f t="shared" si="1016"/>
        <v>0</v>
      </c>
      <c r="CV1419" s="8">
        <f t="shared" si="1017"/>
        <v>0</v>
      </c>
    </row>
    <row r="1420" spans="1:100" ht="20.5" thickTop="1" thickBot="1" x14ac:dyDescent="0.5">
      <c r="A1420" s="32"/>
      <c r="B1420" s="10"/>
      <c r="C1420" s="10"/>
      <c r="D1420" s="11"/>
      <c r="E1420" s="10"/>
      <c r="F1420" s="10"/>
      <c r="G1420" s="19"/>
      <c r="H1420" s="19"/>
      <c r="I1420" s="19"/>
      <c r="J1420" s="19"/>
      <c r="K1420" s="10"/>
      <c r="L1420" s="10"/>
      <c r="M1420" s="10"/>
      <c r="N1420" s="10"/>
      <c r="O1420" s="18"/>
      <c r="P1420" s="18"/>
      <c r="Q1420" s="21"/>
      <c r="R1420" s="20"/>
      <c r="S1420" s="16">
        <f t="shared" si="1019"/>
        <v>0</v>
      </c>
      <c r="T1420" s="11"/>
      <c r="AS1420" s="31">
        <f t="shared" si="1020"/>
        <v>0</v>
      </c>
      <c r="AT1420" s="31">
        <f t="shared" si="1021"/>
        <v>0</v>
      </c>
      <c r="AU1420" s="31">
        <f t="shared" si="1022"/>
        <v>0</v>
      </c>
      <c r="AV1420" s="31">
        <f t="shared" si="1023"/>
        <v>0</v>
      </c>
      <c r="AW1420" s="31">
        <f t="shared" si="1024"/>
        <v>0</v>
      </c>
      <c r="AX1420" s="31">
        <f t="shared" si="1025"/>
        <v>0</v>
      </c>
      <c r="AY1420" s="31">
        <f t="shared" si="1026"/>
        <v>0</v>
      </c>
      <c r="AZ1420" s="31">
        <f t="shared" si="1027"/>
        <v>0</v>
      </c>
      <c r="BA1420" s="31">
        <f t="shared" si="1028"/>
        <v>0</v>
      </c>
      <c r="BB1420" s="31">
        <f t="shared" si="1057"/>
        <v>0</v>
      </c>
      <c r="BM1420" s="8">
        <f t="shared" si="1058"/>
        <v>0</v>
      </c>
      <c r="BN1420" s="8">
        <f t="shared" si="1029"/>
        <v>0</v>
      </c>
      <c r="BO1420" s="8">
        <f t="shared" si="1030"/>
        <v>0</v>
      </c>
      <c r="BQ1420" s="8">
        <f t="shared" si="1031"/>
        <v>0</v>
      </c>
      <c r="BR1420" s="63">
        <f t="shared" si="1032"/>
        <v>0</v>
      </c>
      <c r="BS1420" s="63">
        <f t="shared" si="1059"/>
        <v>0</v>
      </c>
      <c r="BT1420" s="63">
        <f t="shared" si="1033"/>
        <v>0</v>
      </c>
      <c r="BU1420" s="63">
        <f t="shared" si="1034"/>
        <v>0</v>
      </c>
      <c r="BV1420" s="57">
        <f t="shared" si="1035"/>
        <v>0</v>
      </c>
      <c r="BW1420" s="57">
        <f t="shared" si="1036"/>
        <v>0</v>
      </c>
      <c r="BX1420" s="57">
        <f t="shared" si="1060"/>
        <v>0</v>
      </c>
      <c r="BY1420" s="57">
        <f t="shared" si="1018"/>
        <v>0</v>
      </c>
      <c r="BZ1420" s="8">
        <f t="shared" si="1037"/>
        <v>0</v>
      </c>
      <c r="CA1420" s="8">
        <f t="shared" si="1038"/>
        <v>0</v>
      </c>
      <c r="CB1420" s="8">
        <f t="shared" si="1039"/>
        <v>0</v>
      </c>
      <c r="CC1420" s="8">
        <f t="shared" si="1040"/>
        <v>0</v>
      </c>
      <c r="CD1420" s="8">
        <f t="shared" si="1041"/>
        <v>0</v>
      </c>
      <c r="CE1420" s="8">
        <f t="shared" si="1042"/>
        <v>0</v>
      </c>
      <c r="CF1420" s="8">
        <f t="shared" si="1043"/>
        <v>0</v>
      </c>
      <c r="CG1420" s="8">
        <f t="shared" si="1044"/>
        <v>0</v>
      </c>
      <c r="CH1420" s="8">
        <f t="shared" si="1045"/>
        <v>0</v>
      </c>
      <c r="CI1420" s="8">
        <f t="shared" si="1046"/>
        <v>0</v>
      </c>
      <c r="CJ1420" s="8">
        <f t="shared" si="1047"/>
        <v>0</v>
      </c>
      <c r="CK1420" s="8">
        <f t="shared" si="1048"/>
        <v>0</v>
      </c>
      <c r="CL1420" s="8">
        <f t="shared" si="1049"/>
        <v>0</v>
      </c>
      <c r="CM1420" s="8">
        <f t="shared" si="1050"/>
        <v>0</v>
      </c>
      <c r="CN1420" s="8">
        <f t="shared" si="1051"/>
        <v>0</v>
      </c>
      <c r="CO1420" s="8">
        <f t="shared" si="1052"/>
        <v>0</v>
      </c>
      <c r="CP1420" s="8">
        <f t="shared" si="1053"/>
        <v>0</v>
      </c>
      <c r="CQ1420" s="8">
        <f t="shared" si="1054"/>
        <v>0</v>
      </c>
      <c r="CR1420" s="8">
        <f t="shared" si="1055"/>
        <v>0</v>
      </c>
      <c r="CS1420" s="8">
        <f t="shared" si="1056"/>
        <v>0</v>
      </c>
      <c r="CT1420" s="8">
        <f t="shared" si="1015"/>
        <v>0</v>
      </c>
      <c r="CU1420" s="8">
        <f t="shared" si="1016"/>
        <v>0</v>
      </c>
      <c r="CV1420" s="8">
        <f t="shared" si="1017"/>
        <v>0</v>
      </c>
    </row>
    <row r="1421" spans="1:100" ht="20.5" thickTop="1" thickBot="1" x14ac:dyDescent="0.5">
      <c r="A1421" s="32"/>
      <c r="B1421" s="10"/>
      <c r="C1421" s="10"/>
      <c r="D1421" s="11"/>
      <c r="E1421" s="10"/>
      <c r="F1421" s="10"/>
      <c r="G1421" s="19"/>
      <c r="H1421" s="19"/>
      <c r="I1421" s="19"/>
      <c r="J1421" s="19"/>
      <c r="K1421" s="10"/>
      <c r="L1421" s="10"/>
      <c r="M1421" s="10"/>
      <c r="N1421" s="10"/>
      <c r="O1421" s="18"/>
      <c r="P1421" s="18"/>
      <c r="Q1421" s="21"/>
      <c r="R1421" s="20"/>
      <c r="S1421" s="16">
        <f t="shared" si="1019"/>
        <v>0</v>
      </c>
      <c r="T1421" s="11"/>
      <c r="AS1421" s="31">
        <f t="shared" si="1020"/>
        <v>0</v>
      </c>
      <c r="AT1421" s="31">
        <f t="shared" si="1021"/>
        <v>0</v>
      </c>
      <c r="AU1421" s="31">
        <f t="shared" si="1022"/>
        <v>0</v>
      </c>
      <c r="AV1421" s="31">
        <f t="shared" si="1023"/>
        <v>0</v>
      </c>
      <c r="AW1421" s="31">
        <f t="shared" si="1024"/>
        <v>0</v>
      </c>
      <c r="AX1421" s="31">
        <f t="shared" si="1025"/>
        <v>0</v>
      </c>
      <c r="AY1421" s="31">
        <f t="shared" si="1026"/>
        <v>0</v>
      </c>
      <c r="AZ1421" s="31">
        <f t="shared" si="1027"/>
        <v>0</v>
      </c>
      <c r="BA1421" s="31">
        <f t="shared" si="1028"/>
        <v>0</v>
      </c>
      <c r="BB1421" s="31">
        <f t="shared" si="1057"/>
        <v>0</v>
      </c>
      <c r="BM1421" s="8">
        <f t="shared" si="1058"/>
        <v>0</v>
      </c>
      <c r="BN1421" s="8">
        <f t="shared" si="1029"/>
        <v>0</v>
      </c>
      <c r="BO1421" s="8">
        <f t="shared" si="1030"/>
        <v>0</v>
      </c>
      <c r="BQ1421" s="8">
        <f t="shared" si="1031"/>
        <v>0</v>
      </c>
      <c r="BR1421" s="63">
        <f t="shared" si="1032"/>
        <v>0</v>
      </c>
      <c r="BS1421" s="63">
        <f t="shared" si="1059"/>
        <v>0</v>
      </c>
      <c r="BT1421" s="63">
        <f t="shared" si="1033"/>
        <v>0</v>
      </c>
      <c r="BU1421" s="63">
        <f t="shared" si="1034"/>
        <v>0</v>
      </c>
      <c r="BV1421" s="57">
        <f t="shared" si="1035"/>
        <v>0</v>
      </c>
      <c r="BW1421" s="57">
        <f t="shared" si="1036"/>
        <v>0</v>
      </c>
      <c r="BX1421" s="57">
        <f t="shared" si="1060"/>
        <v>0</v>
      </c>
      <c r="BY1421" s="57">
        <f t="shared" si="1018"/>
        <v>0</v>
      </c>
      <c r="BZ1421" s="8">
        <f t="shared" si="1037"/>
        <v>0</v>
      </c>
      <c r="CA1421" s="8">
        <f t="shared" si="1038"/>
        <v>0</v>
      </c>
      <c r="CB1421" s="8">
        <f t="shared" si="1039"/>
        <v>0</v>
      </c>
      <c r="CC1421" s="8">
        <f t="shared" si="1040"/>
        <v>0</v>
      </c>
      <c r="CD1421" s="8">
        <f t="shared" si="1041"/>
        <v>0</v>
      </c>
      <c r="CE1421" s="8">
        <f t="shared" si="1042"/>
        <v>0</v>
      </c>
      <c r="CF1421" s="8">
        <f t="shared" si="1043"/>
        <v>0</v>
      </c>
      <c r="CG1421" s="8">
        <f t="shared" si="1044"/>
        <v>0</v>
      </c>
      <c r="CH1421" s="8">
        <f t="shared" si="1045"/>
        <v>0</v>
      </c>
      <c r="CI1421" s="8">
        <f t="shared" si="1046"/>
        <v>0</v>
      </c>
      <c r="CJ1421" s="8">
        <f t="shared" si="1047"/>
        <v>0</v>
      </c>
      <c r="CK1421" s="8">
        <f t="shared" si="1048"/>
        <v>0</v>
      </c>
      <c r="CL1421" s="8">
        <f t="shared" si="1049"/>
        <v>0</v>
      </c>
      <c r="CM1421" s="8">
        <f t="shared" si="1050"/>
        <v>0</v>
      </c>
      <c r="CN1421" s="8">
        <f t="shared" si="1051"/>
        <v>0</v>
      </c>
      <c r="CO1421" s="8">
        <f t="shared" si="1052"/>
        <v>0</v>
      </c>
      <c r="CP1421" s="8">
        <f t="shared" si="1053"/>
        <v>0</v>
      </c>
      <c r="CQ1421" s="8">
        <f t="shared" si="1054"/>
        <v>0</v>
      </c>
      <c r="CR1421" s="8">
        <f t="shared" si="1055"/>
        <v>0</v>
      </c>
      <c r="CS1421" s="8">
        <f t="shared" si="1056"/>
        <v>0</v>
      </c>
      <c r="CT1421" s="8">
        <f t="shared" ref="CT1421:CT1484" si="1061">IF(AND(J1421&gt;0,OR(B1421="MB",B1421="new MB")),J1421,0)*4+IF(AND(J1421&gt;0,OR(C1421="MB",C1421="new MB")),J1421,0)*4</f>
        <v>0</v>
      </c>
      <c r="CU1421" s="8">
        <f t="shared" ref="CU1421:CU1484" si="1062">IF(AND(I1421&gt;0,OR(B1421="MB",B1421="new MB")),I1421,0)*4+IF(AND(I1421&gt;0,OR(C1421="MB",C1421="new MB")),I1421,0)*4</f>
        <v>0</v>
      </c>
      <c r="CV1421" s="8">
        <f t="shared" ref="CV1421:CV1484" si="1063">IF(AND(H1421&gt;0,OR(B1421="MB",B1421="new MB")),H1421,0)*4+IF(AND(H1421&gt;0,OR(C1421="MB",C1421="new MB")),H1421,0)*4</f>
        <v>0</v>
      </c>
    </row>
    <row r="1422" spans="1:100" ht="20.5" thickTop="1" thickBot="1" x14ac:dyDescent="0.5">
      <c r="A1422" s="32"/>
      <c r="B1422" s="10"/>
      <c r="C1422" s="10"/>
      <c r="D1422" s="11"/>
      <c r="E1422" s="10"/>
      <c r="F1422" s="10"/>
      <c r="G1422" s="19"/>
      <c r="H1422" s="19"/>
      <c r="I1422" s="19"/>
      <c r="J1422" s="19"/>
      <c r="K1422" s="10"/>
      <c r="L1422" s="10"/>
      <c r="M1422" s="10"/>
      <c r="N1422" s="10"/>
      <c r="O1422" s="18"/>
      <c r="P1422" s="18"/>
      <c r="Q1422" s="21"/>
      <c r="R1422" s="20"/>
      <c r="S1422" s="16">
        <f t="shared" si="1019"/>
        <v>0</v>
      </c>
      <c r="T1422" s="11"/>
      <c r="AS1422" s="31">
        <f t="shared" si="1020"/>
        <v>0</v>
      </c>
      <c r="AT1422" s="31">
        <f t="shared" si="1021"/>
        <v>0</v>
      </c>
      <c r="AU1422" s="31">
        <f t="shared" si="1022"/>
        <v>0</v>
      </c>
      <c r="AV1422" s="31">
        <f t="shared" si="1023"/>
        <v>0</v>
      </c>
      <c r="AW1422" s="31">
        <f t="shared" si="1024"/>
        <v>0</v>
      </c>
      <c r="AX1422" s="31">
        <f t="shared" si="1025"/>
        <v>0</v>
      </c>
      <c r="AY1422" s="31">
        <f t="shared" si="1026"/>
        <v>0</v>
      </c>
      <c r="AZ1422" s="31">
        <f t="shared" si="1027"/>
        <v>0</v>
      </c>
      <c r="BA1422" s="31">
        <f t="shared" si="1028"/>
        <v>0</v>
      </c>
      <c r="BB1422" s="31">
        <f t="shared" si="1057"/>
        <v>0</v>
      </c>
      <c r="BM1422" s="8">
        <f t="shared" si="1058"/>
        <v>0</v>
      </c>
      <c r="BN1422" s="8">
        <f t="shared" si="1029"/>
        <v>0</v>
      </c>
      <c r="BO1422" s="8">
        <f t="shared" si="1030"/>
        <v>0</v>
      </c>
      <c r="BQ1422" s="8">
        <f t="shared" si="1031"/>
        <v>0</v>
      </c>
      <c r="BR1422" s="63">
        <f t="shared" si="1032"/>
        <v>0</v>
      </c>
      <c r="BS1422" s="63">
        <f t="shared" si="1059"/>
        <v>0</v>
      </c>
      <c r="BT1422" s="63">
        <f t="shared" si="1033"/>
        <v>0</v>
      </c>
      <c r="BU1422" s="63">
        <f t="shared" si="1034"/>
        <v>0</v>
      </c>
      <c r="BV1422" s="57">
        <f t="shared" si="1035"/>
        <v>0</v>
      </c>
      <c r="BW1422" s="57">
        <f t="shared" si="1036"/>
        <v>0</v>
      </c>
      <c r="BX1422" s="57">
        <f t="shared" si="1060"/>
        <v>0</v>
      </c>
      <c r="BY1422" s="57">
        <f t="shared" si="1018"/>
        <v>0</v>
      </c>
      <c r="BZ1422" s="8">
        <f t="shared" si="1037"/>
        <v>0</v>
      </c>
      <c r="CA1422" s="8">
        <f t="shared" si="1038"/>
        <v>0</v>
      </c>
      <c r="CB1422" s="8">
        <f t="shared" si="1039"/>
        <v>0</v>
      </c>
      <c r="CC1422" s="8">
        <f t="shared" si="1040"/>
        <v>0</v>
      </c>
      <c r="CD1422" s="8">
        <f t="shared" si="1041"/>
        <v>0</v>
      </c>
      <c r="CE1422" s="8">
        <f t="shared" si="1042"/>
        <v>0</v>
      </c>
      <c r="CF1422" s="8">
        <f t="shared" si="1043"/>
        <v>0</v>
      </c>
      <c r="CG1422" s="8">
        <f t="shared" si="1044"/>
        <v>0</v>
      </c>
      <c r="CH1422" s="8">
        <f t="shared" si="1045"/>
        <v>0</v>
      </c>
      <c r="CI1422" s="8">
        <f t="shared" si="1046"/>
        <v>0</v>
      </c>
      <c r="CJ1422" s="8">
        <f t="shared" si="1047"/>
        <v>0</v>
      </c>
      <c r="CK1422" s="8">
        <f t="shared" si="1048"/>
        <v>0</v>
      </c>
      <c r="CL1422" s="8">
        <f t="shared" si="1049"/>
        <v>0</v>
      </c>
      <c r="CM1422" s="8">
        <f t="shared" si="1050"/>
        <v>0</v>
      </c>
      <c r="CN1422" s="8">
        <f t="shared" si="1051"/>
        <v>0</v>
      </c>
      <c r="CO1422" s="8">
        <f t="shared" si="1052"/>
        <v>0</v>
      </c>
      <c r="CP1422" s="8">
        <f t="shared" si="1053"/>
        <v>0</v>
      </c>
      <c r="CQ1422" s="8">
        <f t="shared" si="1054"/>
        <v>0</v>
      </c>
      <c r="CR1422" s="8">
        <f t="shared" si="1055"/>
        <v>0</v>
      </c>
      <c r="CS1422" s="8">
        <f t="shared" si="1056"/>
        <v>0</v>
      </c>
      <c r="CT1422" s="8">
        <f t="shared" si="1061"/>
        <v>0</v>
      </c>
      <c r="CU1422" s="8">
        <f t="shared" si="1062"/>
        <v>0</v>
      </c>
      <c r="CV1422" s="8">
        <f t="shared" si="1063"/>
        <v>0</v>
      </c>
    </row>
    <row r="1423" spans="1:100" ht="20.5" thickTop="1" thickBot="1" x14ac:dyDescent="0.5">
      <c r="A1423" s="32"/>
      <c r="B1423" s="10"/>
      <c r="C1423" s="10"/>
      <c r="D1423" s="11"/>
      <c r="E1423" s="10"/>
      <c r="F1423" s="10"/>
      <c r="G1423" s="19"/>
      <c r="H1423" s="19"/>
      <c r="I1423" s="19"/>
      <c r="J1423" s="19"/>
      <c r="K1423" s="10"/>
      <c r="L1423" s="10"/>
      <c r="M1423" s="10"/>
      <c r="N1423" s="10"/>
      <c r="O1423" s="18"/>
      <c r="P1423" s="18"/>
      <c r="Q1423" s="21"/>
      <c r="R1423" s="20"/>
      <c r="S1423" s="16">
        <f t="shared" si="1019"/>
        <v>0</v>
      </c>
      <c r="T1423" s="11"/>
      <c r="AS1423" s="31">
        <f t="shared" si="1020"/>
        <v>0</v>
      </c>
      <c r="AT1423" s="31">
        <f t="shared" si="1021"/>
        <v>0</v>
      </c>
      <c r="AU1423" s="31">
        <f t="shared" si="1022"/>
        <v>0</v>
      </c>
      <c r="AV1423" s="31">
        <f t="shared" si="1023"/>
        <v>0</v>
      </c>
      <c r="AW1423" s="31">
        <f t="shared" si="1024"/>
        <v>0</v>
      </c>
      <c r="AX1423" s="31">
        <f t="shared" si="1025"/>
        <v>0</v>
      </c>
      <c r="AY1423" s="31">
        <f t="shared" si="1026"/>
        <v>0</v>
      </c>
      <c r="AZ1423" s="31">
        <f t="shared" si="1027"/>
        <v>0</v>
      </c>
      <c r="BA1423" s="31">
        <f t="shared" si="1028"/>
        <v>0</v>
      </c>
      <c r="BB1423" s="31">
        <f t="shared" si="1057"/>
        <v>0</v>
      </c>
      <c r="BM1423" s="8">
        <f t="shared" si="1058"/>
        <v>0</v>
      </c>
      <c r="BN1423" s="8">
        <f t="shared" si="1029"/>
        <v>0</v>
      </c>
      <c r="BO1423" s="8">
        <f t="shared" si="1030"/>
        <v>0</v>
      </c>
      <c r="BQ1423" s="8">
        <f t="shared" si="1031"/>
        <v>0</v>
      </c>
      <c r="BR1423" s="63">
        <f t="shared" si="1032"/>
        <v>0</v>
      </c>
      <c r="BS1423" s="63">
        <f t="shared" si="1059"/>
        <v>0</v>
      </c>
      <c r="BT1423" s="63">
        <f t="shared" si="1033"/>
        <v>0</v>
      </c>
      <c r="BU1423" s="63">
        <f t="shared" si="1034"/>
        <v>0</v>
      </c>
      <c r="BV1423" s="57">
        <f t="shared" si="1035"/>
        <v>0</v>
      </c>
      <c r="BW1423" s="57">
        <f t="shared" si="1036"/>
        <v>0</v>
      </c>
      <c r="BX1423" s="57">
        <f t="shared" si="1060"/>
        <v>0</v>
      </c>
      <c r="BY1423" s="57">
        <f t="shared" si="1018"/>
        <v>0</v>
      </c>
      <c r="BZ1423" s="8">
        <f t="shared" si="1037"/>
        <v>0</v>
      </c>
      <c r="CA1423" s="8">
        <f t="shared" si="1038"/>
        <v>0</v>
      </c>
      <c r="CB1423" s="8">
        <f t="shared" si="1039"/>
        <v>0</v>
      </c>
      <c r="CC1423" s="8">
        <f t="shared" si="1040"/>
        <v>0</v>
      </c>
      <c r="CD1423" s="8">
        <f t="shared" si="1041"/>
        <v>0</v>
      </c>
      <c r="CE1423" s="8">
        <f t="shared" si="1042"/>
        <v>0</v>
      </c>
      <c r="CF1423" s="8">
        <f t="shared" si="1043"/>
        <v>0</v>
      </c>
      <c r="CG1423" s="8">
        <f t="shared" si="1044"/>
        <v>0</v>
      </c>
      <c r="CH1423" s="8">
        <f t="shared" si="1045"/>
        <v>0</v>
      </c>
      <c r="CI1423" s="8">
        <f t="shared" si="1046"/>
        <v>0</v>
      </c>
      <c r="CJ1423" s="8">
        <f t="shared" si="1047"/>
        <v>0</v>
      </c>
      <c r="CK1423" s="8">
        <f t="shared" si="1048"/>
        <v>0</v>
      </c>
      <c r="CL1423" s="8">
        <f t="shared" si="1049"/>
        <v>0</v>
      </c>
      <c r="CM1423" s="8">
        <f t="shared" si="1050"/>
        <v>0</v>
      </c>
      <c r="CN1423" s="8">
        <f t="shared" si="1051"/>
        <v>0</v>
      </c>
      <c r="CO1423" s="8">
        <f t="shared" si="1052"/>
        <v>0</v>
      </c>
      <c r="CP1423" s="8">
        <f t="shared" si="1053"/>
        <v>0</v>
      </c>
      <c r="CQ1423" s="8">
        <f t="shared" si="1054"/>
        <v>0</v>
      </c>
      <c r="CR1423" s="8">
        <f t="shared" si="1055"/>
        <v>0</v>
      </c>
      <c r="CS1423" s="8">
        <f t="shared" si="1056"/>
        <v>0</v>
      </c>
      <c r="CT1423" s="8">
        <f t="shared" si="1061"/>
        <v>0</v>
      </c>
      <c r="CU1423" s="8">
        <f t="shared" si="1062"/>
        <v>0</v>
      </c>
      <c r="CV1423" s="8">
        <f t="shared" si="1063"/>
        <v>0</v>
      </c>
    </row>
    <row r="1424" spans="1:100" ht="20.5" thickTop="1" thickBot="1" x14ac:dyDescent="0.5">
      <c r="A1424" s="32"/>
      <c r="B1424" s="10"/>
      <c r="C1424" s="10"/>
      <c r="D1424" s="11"/>
      <c r="E1424" s="10"/>
      <c r="F1424" s="10"/>
      <c r="G1424" s="19"/>
      <c r="H1424" s="19"/>
      <c r="I1424" s="19"/>
      <c r="J1424" s="19"/>
      <c r="K1424" s="10"/>
      <c r="L1424" s="10"/>
      <c r="M1424" s="10"/>
      <c r="N1424" s="10"/>
      <c r="O1424" s="18"/>
      <c r="P1424" s="18"/>
      <c r="Q1424" s="21"/>
      <c r="R1424" s="20"/>
      <c r="S1424" s="16">
        <f t="shared" si="1019"/>
        <v>0</v>
      </c>
      <c r="T1424" s="11"/>
      <c r="AS1424" s="31">
        <f t="shared" si="1020"/>
        <v>0</v>
      </c>
      <c r="AT1424" s="31">
        <f t="shared" si="1021"/>
        <v>0</v>
      </c>
      <c r="AU1424" s="31">
        <f t="shared" si="1022"/>
        <v>0</v>
      </c>
      <c r="AV1424" s="31">
        <f t="shared" si="1023"/>
        <v>0</v>
      </c>
      <c r="AW1424" s="31">
        <f t="shared" si="1024"/>
        <v>0</v>
      </c>
      <c r="AX1424" s="31">
        <f t="shared" si="1025"/>
        <v>0</v>
      </c>
      <c r="AY1424" s="31">
        <f t="shared" si="1026"/>
        <v>0</v>
      </c>
      <c r="AZ1424" s="31">
        <f t="shared" si="1027"/>
        <v>0</v>
      </c>
      <c r="BA1424" s="31">
        <f t="shared" si="1028"/>
        <v>0</v>
      </c>
      <c r="BB1424" s="31">
        <f t="shared" si="1057"/>
        <v>0</v>
      </c>
      <c r="BM1424" s="8">
        <f t="shared" si="1058"/>
        <v>0</v>
      </c>
      <c r="BN1424" s="8">
        <f t="shared" si="1029"/>
        <v>0</v>
      </c>
      <c r="BO1424" s="8">
        <f t="shared" si="1030"/>
        <v>0</v>
      </c>
      <c r="BQ1424" s="8">
        <f t="shared" si="1031"/>
        <v>0</v>
      </c>
      <c r="BR1424" s="63">
        <f t="shared" si="1032"/>
        <v>0</v>
      </c>
      <c r="BS1424" s="63">
        <f t="shared" si="1059"/>
        <v>0</v>
      </c>
      <c r="BT1424" s="63">
        <f t="shared" si="1033"/>
        <v>0</v>
      </c>
      <c r="BU1424" s="63">
        <f t="shared" si="1034"/>
        <v>0</v>
      </c>
      <c r="BV1424" s="57">
        <f t="shared" si="1035"/>
        <v>0</v>
      </c>
      <c r="BW1424" s="57">
        <f t="shared" si="1036"/>
        <v>0</v>
      </c>
      <c r="BX1424" s="57">
        <f t="shared" si="1060"/>
        <v>0</v>
      </c>
      <c r="BY1424" s="57">
        <f t="shared" si="1018"/>
        <v>0</v>
      </c>
      <c r="BZ1424" s="8">
        <f t="shared" si="1037"/>
        <v>0</v>
      </c>
      <c r="CA1424" s="8">
        <f t="shared" si="1038"/>
        <v>0</v>
      </c>
      <c r="CB1424" s="8">
        <f t="shared" si="1039"/>
        <v>0</v>
      </c>
      <c r="CC1424" s="8">
        <f t="shared" si="1040"/>
        <v>0</v>
      </c>
      <c r="CD1424" s="8">
        <f t="shared" si="1041"/>
        <v>0</v>
      </c>
      <c r="CE1424" s="8">
        <f t="shared" si="1042"/>
        <v>0</v>
      </c>
      <c r="CF1424" s="8">
        <f t="shared" si="1043"/>
        <v>0</v>
      </c>
      <c r="CG1424" s="8">
        <f t="shared" si="1044"/>
        <v>0</v>
      </c>
      <c r="CH1424" s="8">
        <f t="shared" si="1045"/>
        <v>0</v>
      </c>
      <c r="CI1424" s="8">
        <f t="shared" si="1046"/>
        <v>0</v>
      </c>
      <c r="CJ1424" s="8">
        <f t="shared" si="1047"/>
        <v>0</v>
      </c>
      <c r="CK1424" s="8">
        <f t="shared" si="1048"/>
        <v>0</v>
      </c>
      <c r="CL1424" s="8">
        <f t="shared" si="1049"/>
        <v>0</v>
      </c>
      <c r="CM1424" s="8">
        <f t="shared" si="1050"/>
        <v>0</v>
      </c>
      <c r="CN1424" s="8">
        <f t="shared" si="1051"/>
        <v>0</v>
      </c>
      <c r="CO1424" s="8">
        <f t="shared" si="1052"/>
        <v>0</v>
      </c>
      <c r="CP1424" s="8">
        <f t="shared" si="1053"/>
        <v>0</v>
      </c>
      <c r="CQ1424" s="8">
        <f t="shared" si="1054"/>
        <v>0</v>
      </c>
      <c r="CR1424" s="8">
        <f t="shared" si="1055"/>
        <v>0</v>
      </c>
      <c r="CS1424" s="8">
        <f t="shared" si="1056"/>
        <v>0</v>
      </c>
      <c r="CT1424" s="8">
        <f t="shared" si="1061"/>
        <v>0</v>
      </c>
      <c r="CU1424" s="8">
        <f t="shared" si="1062"/>
        <v>0</v>
      </c>
      <c r="CV1424" s="8">
        <f t="shared" si="1063"/>
        <v>0</v>
      </c>
    </row>
    <row r="1425" spans="1:100" ht="20.5" thickTop="1" thickBot="1" x14ac:dyDescent="0.5">
      <c r="A1425" s="32"/>
      <c r="B1425" s="10"/>
      <c r="C1425" s="10"/>
      <c r="D1425" s="11"/>
      <c r="E1425" s="10"/>
      <c r="F1425" s="10"/>
      <c r="G1425" s="19"/>
      <c r="H1425" s="19"/>
      <c r="I1425" s="19"/>
      <c r="J1425" s="19"/>
      <c r="K1425" s="10"/>
      <c r="L1425" s="10"/>
      <c r="M1425" s="10"/>
      <c r="N1425" s="10"/>
      <c r="O1425" s="18"/>
      <c r="P1425" s="18"/>
      <c r="Q1425" s="21"/>
      <c r="R1425" s="20"/>
      <c r="S1425" s="16">
        <f t="shared" si="1019"/>
        <v>0</v>
      </c>
      <c r="T1425" s="11"/>
      <c r="AS1425" s="31">
        <f t="shared" si="1020"/>
        <v>0</v>
      </c>
      <c r="AT1425" s="31">
        <f t="shared" si="1021"/>
        <v>0</v>
      </c>
      <c r="AU1425" s="31">
        <f t="shared" si="1022"/>
        <v>0</v>
      </c>
      <c r="AV1425" s="31">
        <f t="shared" si="1023"/>
        <v>0</v>
      </c>
      <c r="AW1425" s="31">
        <f t="shared" si="1024"/>
        <v>0</v>
      </c>
      <c r="AX1425" s="31">
        <f t="shared" si="1025"/>
        <v>0</v>
      </c>
      <c r="AY1425" s="31">
        <f t="shared" si="1026"/>
        <v>0</v>
      </c>
      <c r="AZ1425" s="31">
        <f t="shared" si="1027"/>
        <v>0</v>
      </c>
      <c r="BA1425" s="31">
        <f t="shared" si="1028"/>
        <v>0</v>
      </c>
      <c r="BB1425" s="31">
        <f t="shared" si="1057"/>
        <v>0</v>
      </c>
      <c r="BM1425" s="8">
        <f t="shared" si="1058"/>
        <v>0</v>
      </c>
      <c r="BN1425" s="8">
        <f t="shared" si="1029"/>
        <v>0</v>
      </c>
      <c r="BO1425" s="8">
        <f t="shared" si="1030"/>
        <v>0</v>
      </c>
      <c r="BQ1425" s="8">
        <f t="shared" si="1031"/>
        <v>0</v>
      </c>
      <c r="BR1425" s="63">
        <f t="shared" si="1032"/>
        <v>0</v>
      </c>
      <c r="BS1425" s="63">
        <f t="shared" si="1059"/>
        <v>0</v>
      </c>
      <c r="BT1425" s="63">
        <f t="shared" si="1033"/>
        <v>0</v>
      </c>
      <c r="BU1425" s="63">
        <f t="shared" si="1034"/>
        <v>0</v>
      </c>
      <c r="BV1425" s="57">
        <f t="shared" si="1035"/>
        <v>0</v>
      </c>
      <c r="BW1425" s="57">
        <f t="shared" si="1036"/>
        <v>0</v>
      </c>
      <c r="BX1425" s="57">
        <f t="shared" si="1060"/>
        <v>0</v>
      </c>
      <c r="BY1425" s="57">
        <f t="shared" si="1018"/>
        <v>0</v>
      </c>
      <c r="BZ1425" s="8">
        <f t="shared" si="1037"/>
        <v>0</v>
      </c>
      <c r="CA1425" s="8">
        <f t="shared" si="1038"/>
        <v>0</v>
      </c>
      <c r="CB1425" s="8">
        <f t="shared" si="1039"/>
        <v>0</v>
      </c>
      <c r="CC1425" s="8">
        <f t="shared" si="1040"/>
        <v>0</v>
      </c>
      <c r="CD1425" s="8">
        <f t="shared" si="1041"/>
        <v>0</v>
      </c>
      <c r="CE1425" s="8">
        <f t="shared" si="1042"/>
        <v>0</v>
      </c>
      <c r="CF1425" s="8">
        <f t="shared" si="1043"/>
        <v>0</v>
      </c>
      <c r="CG1425" s="8">
        <f t="shared" si="1044"/>
        <v>0</v>
      </c>
      <c r="CH1425" s="8">
        <f t="shared" si="1045"/>
        <v>0</v>
      </c>
      <c r="CI1425" s="8">
        <f t="shared" si="1046"/>
        <v>0</v>
      </c>
      <c r="CJ1425" s="8">
        <f t="shared" si="1047"/>
        <v>0</v>
      </c>
      <c r="CK1425" s="8">
        <f t="shared" si="1048"/>
        <v>0</v>
      </c>
      <c r="CL1425" s="8">
        <f t="shared" si="1049"/>
        <v>0</v>
      </c>
      <c r="CM1425" s="8">
        <f t="shared" si="1050"/>
        <v>0</v>
      </c>
      <c r="CN1425" s="8">
        <f t="shared" si="1051"/>
        <v>0</v>
      </c>
      <c r="CO1425" s="8">
        <f t="shared" si="1052"/>
        <v>0</v>
      </c>
      <c r="CP1425" s="8">
        <f t="shared" si="1053"/>
        <v>0</v>
      </c>
      <c r="CQ1425" s="8">
        <f t="shared" si="1054"/>
        <v>0</v>
      </c>
      <c r="CR1425" s="8">
        <f t="shared" si="1055"/>
        <v>0</v>
      </c>
      <c r="CS1425" s="8">
        <f t="shared" si="1056"/>
        <v>0</v>
      </c>
      <c r="CT1425" s="8">
        <f t="shared" si="1061"/>
        <v>0</v>
      </c>
      <c r="CU1425" s="8">
        <f t="shared" si="1062"/>
        <v>0</v>
      </c>
      <c r="CV1425" s="8">
        <f t="shared" si="1063"/>
        <v>0</v>
      </c>
    </row>
    <row r="1426" spans="1:100" ht="20.5" thickTop="1" thickBot="1" x14ac:dyDescent="0.5">
      <c r="A1426" s="32"/>
      <c r="B1426" s="10"/>
      <c r="C1426" s="10"/>
      <c r="D1426" s="11"/>
      <c r="E1426" s="10"/>
      <c r="F1426" s="10"/>
      <c r="G1426" s="19"/>
      <c r="H1426" s="19"/>
      <c r="I1426" s="19"/>
      <c r="J1426" s="19"/>
      <c r="K1426" s="10"/>
      <c r="L1426" s="10"/>
      <c r="M1426" s="10"/>
      <c r="N1426" s="10"/>
      <c r="O1426" s="18"/>
      <c r="P1426" s="18"/>
      <c r="Q1426" s="21"/>
      <c r="R1426" s="20"/>
      <c r="S1426" s="16">
        <f t="shared" si="1019"/>
        <v>0</v>
      </c>
      <c r="T1426" s="11"/>
      <c r="AS1426" s="31">
        <f t="shared" si="1020"/>
        <v>0</v>
      </c>
      <c r="AT1426" s="31">
        <f t="shared" si="1021"/>
        <v>0</v>
      </c>
      <c r="AU1426" s="31">
        <f t="shared" si="1022"/>
        <v>0</v>
      </c>
      <c r="AV1426" s="31">
        <f t="shared" si="1023"/>
        <v>0</v>
      </c>
      <c r="AW1426" s="31">
        <f t="shared" si="1024"/>
        <v>0</v>
      </c>
      <c r="AX1426" s="31">
        <f t="shared" si="1025"/>
        <v>0</v>
      </c>
      <c r="AY1426" s="31">
        <f t="shared" si="1026"/>
        <v>0</v>
      </c>
      <c r="AZ1426" s="31">
        <f t="shared" si="1027"/>
        <v>0</v>
      </c>
      <c r="BA1426" s="31">
        <f t="shared" si="1028"/>
        <v>0</v>
      </c>
      <c r="BB1426" s="31">
        <f t="shared" si="1057"/>
        <v>0</v>
      </c>
      <c r="BM1426" s="8">
        <f t="shared" si="1058"/>
        <v>0</v>
      </c>
      <c r="BN1426" s="8">
        <f t="shared" si="1029"/>
        <v>0</v>
      </c>
      <c r="BO1426" s="8">
        <f t="shared" si="1030"/>
        <v>0</v>
      </c>
      <c r="BQ1426" s="8">
        <f t="shared" si="1031"/>
        <v>0</v>
      </c>
      <c r="BR1426" s="63">
        <f t="shared" si="1032"/>
        <v>0</v>
      </c>
      <c r="BS1426" s="63">
        <f t="shared" si="1059"/>
        <v>0</v>
      </c>
      <c r="BT1426" s="63">
        <f t="shared" si="1033"/>
        <v>0</v>
      </c>
      <c r="BU1426" s="63">
        <f t="shared" si="1034"/>
        <v>0</v>
      </c>
      <c r="BV1426" s="57">
        <f t="shared" si="1035"/>
        <v>0</v>
      </c>
      <c r="BW1426" s="57">
        <f t="shared" si="1036"/>
        <v>0</v>
      </c>
      <c r="BX1426" s="57">
        <f t="shared" si="1060"/>
        <v>0</v>
      </c>
      <c r="BY1426" s="57">
        <f t="shared" si="1018"/>
        <v>0</v>
      </c>
      <c r="BZ1426" s="8">
        <f t="shared" si="1037"/>
        <v>0</v>
      </c>
      <c r="CA1426" s="8">
        <f t="shared" si="1038"/>
        <v>0</v>
      </c>
      <c r="CB1426" s="8">
        <f t="shared" si="1039"/>
        <v>0</v>
      </c>
      <c r="CC1426" s="8">
        <f t="shared" si="1040"/>
        <v>0</v>
      </c>
      <c r="CD1426" s="8">
        <f t="shared" si="1041"/>
        <v>0</v>
      </c>
      <c r="CE1426" s="8">
        <f t="shared" si="1042"/>
        <v>0</v>
      </c>
      <c r="CF1426" s="8">
        <f t="shared" si="1043"/>
        <v>0</v>
      </c>
      <c r="CG1426" s="8">
        <f t="shared" si="1044"/>
        <v>0</v>
      </c>
      <c r="CH1426" s="8">
        <f t="shared" si="1045"/>
        <v>0</v>
      </c>
      <c r="CI1426" s="8">
        <f t="shared" si="1046"/>
        <v>0</v>
      </c>
      <c r="CJ1426" s="8">
        <f t="shared" si="1047"/>
        <v>0</v>
      </c>
      <c r="CK1426" s="8">
        <f t="shared" si="1048"/>
        <v>0</v>
      </c>
      <c r="CL1426" s="8">
        <f t="shared" si="1049"/>
        <v>0</v>
      </c>
      <c r="CM1426" s="8">
        <f t="shared" si="1050"/>
        <v>0</v>
      </c>
      <c r="CN1426" s="8">
        <f t="shared" si="1051"/>
        <v>0</v>
      </c>
      <c r="CO1426" s="8">
        <f t="shared" si="1052"/>
        <v>0</v>
      </c>
      <c r="CP1426" s="8">
        <f t="shared" si="1053"/>
        <v>0</v>
      </c>
      <c r="CQ1426" s="8">
        <f t="shared" si="1054"/>
        <v>0</v>
      </c>
      <c r="CR1426" s="8">
        <f t="shared" si="1055"/>
        <v>0</v>
      </c>
      <c r="CS1426" s="8">
        <f t="shared" si="1056"/>
        <v>0</v>
      </c>
      <c r="CT1426" s="8">
        <f t="shared" si="1061"/>
        <v>0</v>
      </c>
      <c r="CU1426" s="8">
        <f t="shared" si="1062"/>
        <v>0</v>
      </c>
      <c r="CV1426" s="8">
        <f t="shared" si="1063"/>
        <v>0</v>
      </c>
    </row>
    <row r="1427" spans="1:100" ht="20.5" thickTop="1" thickBot="1" x14ac:dyDescent="0.5">
      <c r="A1427" s="32"/>
      <c r="B1427" s="10"/>
      <c r="C1427" s="10"/>
      <c r="D1427" s="11"/>
      <c r="E1427" s="10"/>
      <c r="F1427" s="10"/>
      <c r="G1427" s="19"/>
      <c r="H1427" s="19"/>
      <c r="I1427" s="19"/>
      <c r="J1427" s="19"/>
      <c r="K1427" s="10"/>
      <c r="L1427" s="10"/>
      <c r="M1427" s="10"/>
      <c r="N1427" s="10"/>
      <c r="O1427" s="18"/>
      <c r="P1427" s="18"/>
      <c r="Q1427" s="21"/>
      <c r="R1427" s="20"/>
      <c r="S1427" s="16">
        <f t="shared" si="1019"/>
        <v>0</v>
      </c>
      <c r="T1427" s="11"/>
      <c r="AS1427" s="31">
        <f t="shared" si="1020"/>
        <v>0</v>
      </c>
      <c r="AT1427" s="31">
        <f t="shared" si="1021"/>
        <v>0</v>
      </c>
      <c r="AU1427" s="31">
        <f t="shared" si="1022"/>
        <v>0</v>
      </c>
      <c r="AV1427" s="31">
        <f t="shared" si="1023"/>
        <v>0</v>
      </c>
      <c r="AW1427" s="31">
        <f t="shared" si="1024"/>
        <v>0</v>
      </c>
      <c r="AX1427" s="31">
        <f t="shared" si="1025"/>
        <v>0</v>
      </c>
      <c r="AY1427" s="31">
        <f t="shared" si="1026"/>
        <v>0</v>
      </c>
      <c r="AZ1427" s="31">
        <f t="shared" si="1027"/>
        <v>0</v>
      </c>
      <c r="BA1427" s="31">
        <f t="shared" si="1028"/>
        <v>0</v>
      </c>
      <c r="BB1427" s="31">
        <f t="shared" si="1057"/>
        <v>0</v>
      </c>
      <c r="BM1427" s="8">
        <f t="shared" si="1058"/>
        <v>0</v>
      </c>
      <c r="BN1427" s="8">
        <f t="shared" si="1029"/>
        <v>0</v>
      </c>
      <c r="BO1427" s="8">
        <f t="shared" si="1030"/>
        <v>0</v>
      </c>
      <c r="BQ1427" s="8">
        <f t="shared" si="1031"/>
        <v>0</v>
      </c>
      <c r="BR1427" s="63">
        <f t="shared" si="1032"/>
        <v>0</v>
      </c>
      <c r="BS1427" s="63">
        <f t="shared" si="1059"/>
        <v>0</v>
      </c>
      <c r="BT1427" s="63">
        <f t="shared" si="1033"/>
        <v>0</v>
      </c>
      <c r="BU1427" s="63">
        <f t="shared" si="1034"/>
        <v>0</v>
      </c>
      <c r="BV1427" s="57">
        <f t="shared" si="1035"/>
        <v>0</v>
      </c>
      <c r="BW1427" s="57">
        <f t="shared" si="1036"/>
        <v>0</v>
      </c>
      <c r="BX1427" s="57">
        <f t="shared" si="1060"/>
        <v>0</v>
      </c>
      <c r="BY1427" s="57">
        <f t="shared" si="1018"/>
        <v>0</v>
      </c>
      <c r="BZ1427" s="8">
        <f t="shared" si="1037"/>
        <v>0</v>
      </c>
      <c r="CA1427" s="8">
        <f t="shared" si="1038"/>
        <v>0</v>
      </c>
      <c r="CB1427" s="8">
        <f t="shared" si="1039"/>
        <v>0</v>
      </c>
      <c r="CC1427" s="8">
        <f t="shared" si="1040"/>
        <v>0</v>
      </c>
      <c r="CD1427" s="8">
        <f t="shared" si="1041"/>
        <v>0</v>
      </c>
      <c r="CE1427" s="8">
        <f t="shared" si="1042"/>
        <v>0</v>
      </c>
      <c r="CF1427" s="8">
        <f t="shared" si="1043"/>
        <v>0</v>
      </c>
      <c r="CG1427" s="8">
        <f t="shared" si="1044"/>
        <v>0</v>
      </c>
      <c r="CH1427" s="8">
        <f t="shared" si="1045"/>
        <v>0</v>
      </c>
      <c r="CI1427" s="8">
        <f t="shared" si="1046"/>
        <v>0</v>
      </c>
      <c r="CJ1427" s="8">
        <f t="shared" si="1047"/>
        <v>0</v>
      </c>
      <c r="CK1427" s="8">
        <f t="shared" si="1048"/>
        <v>0</v>
      </c>
      <c r="CL1427" s="8">
        <f t="shared" si="1049"/>
        <v>0</v>
      </c>
      <c r="CM1427" s="8">
        <f t="shared" si="1050"/>
        <v>0</v>
      </c>
      <c r="CN1427" s="8">
        <f t="shared" si="1051"/>
        <v>0</v>
      </c>
      <c r="CO1427" s="8">
        <f t="shared" si="1052"/>
        <v>0</v>
      </c>
      <c r="CP1427" s="8">
        <f t="shared" si="1053"/>
        <v>0</v>
      </c>
      <c r="CQ1427" s="8">
        <f t="shared" si="1054"/>
        <v>0</v>
      </c>
      <c r="CR1427" s="8">
        <f t="shared" si="1055"/>
        <v>0</v>
      </c>
      <c r="CS1427" s="8">
        <f t="shared" si="1056"/>
        <v>0</v>
      </c>
      <c r="CT1427" s="8">
        <f t="shared" si="1061"/>
        <v>0</v>
      </c>
      <c r="CU1427" s="8">
        <f t="shared" si="1062"/>
        <v>0</v>
      </c>
      <c r="CV1427" s="8">
        <f t="shared" si="1063"/>
        <v>0</v>
      </c>
    </row>
    <row r="1428" spans="1:100" ht="20.5" thickTop="1" thickBot="1" x14ac:dyDescent="0.5">
      <c r="A1428" s="32"/>
      <c r="B1428" s="10"/>
      <c r="C1428" s="10"/>
      <c r="D1428" s="11"/>
      <c r="E1428" s="10"/>
      <c r="F1428" s="10"/>
      <c r="G1428" s="19"/>
      <c r="H1428" s="19"/>
      <c r="I1428" s="19"/>
      <c r="J1428" s="19"/>
      <c r="K1428" s="10"/>
      <c r="L1428" s="10"/>
      <c r="M1428" s="10"/>
      <c r="N1428" s="10"/>
      <c r="O1428" s="18"/>
      <c r="P1428" s="18"/>
      <c r="Q1428" s="21"/>
      <c r="R1428" s="20"/>
      <c r="S1428" s="16">
        <f t="shared" si="1019"/>
        <v>0</v>
      </c>
      <c r="T1428" s="11"/>
      <c r="AS1428" s="31">
        <f t="shared" si="1020"/>
        <v>0</v>
      </c>
      <c r="AT1428" s="31">
        <f t="shared" si="1021"/>
        <v>0</v>
      </c>
      <c r="AU1428" s="31">
        <f t="shared" si="1022"/>
        <v>0</v>
      </c>
      <c r="AV1428" s="31">
        <f t="shared" si="1023"/>
        <v>0</v>
      </c>
      <c r="AW1428" s="31">
        <f t="shared" si="1024"/>
        <v>0</v>
      </c>
      <c r="AX1428" s="31">
        <f t="shared" si="1025"/>
        <v>0</v>
      </c>
      <c r="AY1428" s="31">
        <f t="shared" si="1026"/>
        <v>0</v>
      </c>
      <c r="AZ1428" s="31">
        <f t="shared" si="1027"/>
        <v>0</v>
      </c>
      <c r="BA1428" s="31">
        <f t="shared" si="1028"/>
        <v>0</v>
      </c>
      <c r="BB1428" s="31">
        <f t="shared" si="1057"/>
        <v>0</v>
      </c>
      <c r="BM1428" s="8">
        <f t="shared" si="1058"/>
        <v>0</v>
      </c>
      <c r="BN1428" s="8">
        <f t="shared" si="1029"/>
        <v>0</v>
      </c>
      <c r="BO1428" s="8">
        <f t="shared" si="1030"/>
        <v>0</v>
      </c>
      <c r="BQ1428" s="8">
        <f t="shared" si="1031"/>
        <v>0</v>
      </c>
      <c r="BR1428" s="63">
        <f t="shared" si="1032"/>
        <v>0</v>
      </c>
      <c r="BS1428" s="63">
        <f t="shared" si="1059"/>
        <v>0</v>
      </c>
      <c r="BT1428" s="63">
        <f t="shared" si="1033"/>
        <v>0</v>
      </c>
      <c r="BU1428" s="63">
        <f t="shared" si="1034"/>
        <v>0</v>
      </c>
      <c r="BV1428" s="57">
        <f t="shared" si="1035"/>
        <v>0</v>
      </c>
      <c r="BW1428" s="57">
        <f t="shared" si="1036"/>
        <v>0</v>
      </c>
      <c r="BX1428" s="57">
        <f t="shared" si="1060"/>
        <v>0</v>
      </c>
      <c r="BY1428" s="57">
        <f t="shared" si="1018"/>
        <v>0</v>
      </c>
      <c r="BZ1428" s="8">
        <f t="shared" si="1037"/>
        <v>0</v>
      </c>
      <c r="CA1428" s="8">
        <f t="shared" si="1038"/>
        <v>0</v>
      </c>
      <c r="CB1428" s="8">
        <f t="shared" si="1039"/>
        <v>0</v>
      </c>
      <c r="CC1428" s="8">
        <f t="shared" si="1040"/>
        <v>0</v>
      </c>
      <c r="CD1428" s="8">
        <f t="shared" si="1041"/>
        <v>0</v>
      </c>
      <c r="CE1428" s="8">
        <f t="shared" si="1042"/>
        <v>0</v>
      </c>
      <c r="CF1428" s="8">
        <f t="shared" si="1043"/>
        <v>0</v>
      </c>
      <c r="CG1428" s="8">
        <f t="shared" si="1044"/>
        <v>0</v>
      </c>
      <c r="CH1428" s="8">
        <f t="shared" si="1045"/>
        <v>0</v>
      </c>
      <c r="CI1428" s="8">
        <f t="shared" si="1046"/>
        <v>0</v>
      </c>
      <c r="CJ1428" s="8">
        <f t="shared" si="1047"/>
        <v>0</v>
      </c>
      <c r="CK1428" s="8">
        <f t="shared" si="1048"/>
        <v>0</v>
      </c>
      <c r="CL1428" s="8">
        <f t="shared" si="1049"/>
        <v>0</v>
      </c>
      <c r="CM1428" s="8">
        <f t="shared" si="1050"/>
        <v>0</v>
      </c>
      <c r="CN1428" s="8">
        <f t="shared" si="1051"/>
        <v>0</v>
      </c>
      <c r="CO1428" s="8">
        <f t="shared" si="1052"/>
        <v>0</v>
      </c>
      <c r="CP1428" s="8">
        <f t="shared" si="1053"/>
        <v>0</v>
      </c>
      <c r="CQ1428" s="8">
        <f t="shared" si="1054"/>
        <v>0</v>
      </c>
      <c r="CR1428" s="8">
        <f t="shared" si="1055"/>
        <v>0</v>
      </c>
      <c r="CS1428" s="8">
        <f t="shared" si="1056"/>
        <v>0</v>
      </c>
      <c r="CT1428" s="8">
        <f t="shared" si="1061"/>
        <v>0</v>
      </c>
      <c r="CU1428" s="8">
        <f t="shared" si="1062"/>
        <v>0</v>
      </c>
      <c r="CV1428" s="8">
        <f t="shared" si="1063"/>
        <v>0</v>
      </c>
    </row>
    <row r="1429" spans="1:100" ht="20.5" thickTop="1" thickBot="1" x14ac:dyDescent="0.5">
      <c r="A1429" s="32"/>
      <c r="B1429" s="10"/>
      <c r="C1429" s="10"/>
      <c r="D1429" s="11"/>
      <c r="E1429" s="10"/>
      <c r="F1429" s="10"/>
      <c r="G1429" s="19"/>
      <c r="H1429" s="19"/>
      <c r="I1429" s="19"/>
      <c r="J1429" s="19"/>
      <c r="K1429" s="10"/>
      <c r="L1429" s="10"/>
      <c r="M1429" s="10"/>
      <c r="N1429" s="10"/>
      <c r="O1429" s="18"/>
      <c r="P1429" s="18"/>
      <c r="Q1429" s="21"/>
      <c r="R1429" s="20"/>
      <c r="S1429" s="16">
        <f t="shared" si="1019"/>
        <v>0</v>
      </c>
      <c r="T1429" s="11"/>
      <c r="AS1429" s="31">
        <f t="shared" si="1020"/>
        <v>0</v>
      </c>
      <c r="AT1429" s="31">
        <f t="shared" si="1021"/>
        <v>0</v>
      </c>
      <c r="AU1429" s="31">
        <f t="shared" si="1022"/>
        <v>0</v>
      </c>
      <c r="AV1429" s="31">
        <f t="shared" si="1023"/>
        <v>0</v>
      </c>
      <c r="AW1429" s="31">
        <f t="shared" si="1024"/>
        <v>0</v>
      </c>
      <c r="AX1429" s="31">
        <f t="shared" si="1025"/>
        <v>0</v>
      </c>
      <c r="AY1429" s="31">
        <f t="shared" si="1026"/>
        <v>0</v>
      </c>
      <c r="AZ1429" s="31">
        <f t="shared" si="1027"/>
        <v>0</v>
      </c>
      <c r="BA1429" s="31">
        <f t="shared" si="1028"/>
        <v>0</v>
      </c>
      <c r="BB1429" s="31">
        <f t="shared" si="1057"/>
        <v>0</v>
      </c>
      <c r="BM1429" s="8">
        <f t="shared" si="1058"/>
        <v>0</v>
      </c>
      <c r="BN1429" s="8">
        <f t="shared" si="1029"/>
        <v>0</v>
      </c>
      <c r="BO1429" s="8">
        <f t="shared" si="1030"/>
        <v>0</v>
      </c>
      <c r="BQ1429" s="8">
        <f t="shared" si="1031"/>
        <v>0</v>
      </c>
      <c r="BR1429" s="63">
        <f t="shared" si="1032"/>
        <v>0</v>
      </c>
      <c r="BS1429" s="63">
        <f t="shared" si="1059"/>
        <v>0</v>
      </c>
      <c r="BT1429" s="63">
        <f t="shared" si="1033"/>
        <v>0</v>
      </c>
      <c r="BU1429" s="63">
        <f t="shared" si="1034"/>
        <v>0</v>
      </c>
      <c r="BV1429" s="57">
        <f t="shared" si="1035"/>
        <v>0</v>
      </c>
      <c r="BW1429" s="57">
        <f t="shared" si="1036"/>
        <v>0</v>
      </c>
      <c r="BX1429" s="57">
        <f t="shared" si="1060"/>
        <v>0</v>
      </c>
      <c r="BY1429" s="57">
        <f t="shared" si="1018"/>
        <v>0</v>
      </c>
      <c r="BZ1429" s="8">
        <f t="shared" si="1037"/>
        <v>0</v>
      </c>
      <c r="CA1429" s="8">
        <f t="shared" si="1038"/>
        <v>0</v>
      </c>
      <c r="CB1429" s="8">
        <f t="shared" si="1039"/>
        <v>0</v>
      </c>
      <c r="CC1429" s="8">
        <f t="shared" si="1040"/>
        <v>0</v>
      </c>
      <c r="CD1429" s="8">
        <f t="shared" si="1041"/>
        <v>0</v>
      </c>
      <c r="CE1429" s="8">
        <f t="shared" si="1042"/>
        <v>0</v>
      </c>
      <c r="CF1429" s="8">
        <f t="shared" si="1043"/>
        <v>0</v>
      </c>
      <c r="CG1429" s="8">
        <f t="shared" si="1044"/>
        <v>0</v>
      </c>
      <c r="CH1429" s="8">
        <f t="shared" si="1045"/>
        <v>0</v>
      </c>
      <c r="CI1429" s="8">
        <f t="shared" si="1046"/>
        <v>0</v>
      </c>
      <c r="CJ1429" s="8">
        <f t="shared" si="1047"/>
        <v>0</v>
      </c>
      <c r="CK1429" s="8">
        <f t="shared" si="1048"/>
        <v>0</v>
      </c>
      <c r="CL1429" s="8">
        <f t="shared" si="1049"/>
        <v>0</v>
      </c>
      <c r="CM1429" s="8">
        <f t="shared" si="1050"/>
        <v>0</v>
      </c>
      <c r="CN1429" s="8">
        <f t="shared" si="1051"/>
        <v>0</v>
      </c>
      <c r="CO1429" s="8">
        <f t="shared" si="1052"/>
        <v>0</v>
      </c>
      <c r="CP1429" s="8">
        <f t="shared" si="1053"/>
        <v>0</v>
      </c>
      <c r="CQ1429" s="8">
        <f t="shared" si="1054"/>
        <v>0</v>
      </c>
      <c r="CR1429" s="8">
        <f t="shared" si="1055"/>
        <v>0</v>
      </c>
      <c r="CS1429" s="8">
        <f t="shared" si="1056"/>
        <v>0</v>
      </c>
      <c r="CT1429" s="8">
        <f t="shared" si="1061"/>
        <v>0</v>
      </c>
      <c r="CU1429" s="8">
        <f t="shared" si="1062"/>
        <v>0</v>
      </c>
      <c r="CV1429" s="8">
        <f t="shared" si="1063"/>
        <v>0</v>
      </c>
    </row>
    <row r="1430" spans="1:100" ht="20.5" thickTop="1" thickBot="1" x14ac:dyDescent="0.5">
      <c r="A1430" s="32"/>
      <c r="B1430" s="10"/>
      <c r="C1430" s="10"/>
      <c r="D1430" s="11"/>
      <c r="E1430" s="10"/>
      <c r="F1430" s="10"/>
      <c r="G1430" s="19"/>
      <c r="H1430" s="19"/>
      <c r="I1430" s="19"/>
      <c r="J1430" s="19"/>
      <c r="K1430" s="10"/>
      <c r="L1430" s="10"/>
      <c r="M1430" s="10"/>
      <c r="N1430" s="10"/>
      <c r="O1430" s="18"/>
      <c r="P1430" s="18"/>
      <c r="Q1430" s="21"/>
      <c r="R1430" s="20"/>
      <c r="S1430" s="16">
        <f t="shared" si="1019"/>
        <v>0</v>
      </c>
      <c r="T1430" s="11"/>
      <c r="AS1430" s="31">
        <f t="shared" si="1020"/>
        <v>0</v>
      </c>
      <c r="AT1430" s="31">
        <f t="shared" si="1021"/>
        <v>0</v>
      </c>
      <c r="AU1430" s="31">
        <f t="shared" si="1022"/>
        <v>0</v>
      </c>
      <c r="AV1430" s="31">
        <f t="shared" si="1023"/>
        <v>0</v>
      </c>
      <c r="AW1430" s="31">
        <f t="shared" si="1024"/>
        <v>0</v>
      </c>
      <c r="AX1430" s="31">
        <f t="shared" si="1025"/>
        <v>0</v>
      </c>
      <c r="AY1430" s="31">
        <f t="shared" si="1026"/>
        <v>0</v>
      </c>
      <c r="AZ1430" s="31">
        <f t="shared" si="1027"/>
        <v>0</v>
      </c>
      <c r="BA1430" s="31">
        <f t="shared" si="1028"/>
        <v>0</v>
      </c>
      <c r="BB1430" s="31">
        <f t="shared" si="1057"/>
        <v>0</v>
      </c>
      <c r="BM1430" s="8">
        <f t="shared" si="1058"/>
        <v>0</v>
      </c>
      <c r="BN1430" s="8">
        <f t="shared" si="1029"/>
        <v>0</v>
      </c>
      <c r="BO1430" s="8">
        <f t="shared" si="1030"/>
        <v>0</v>
      </c>
      <c r="BQ1430" s="8">
        <f t="shared" si="1031"/>
        <v>0</v>
      </c>
      <c r="BR1430" s="63">
        <f t="shared" si="1032"/>
        <v>0</v>
      </c>
      <c r="BS1430" s="63">
        <f t="shared" si="1059"/>
        <v>0</v>
      </c>
      <c r="BT1430" s="63">
        <f t="shared" si="1033"/>
        <v>0</v>
      </c>
      <c r="BU1430" s="63">
        <f t="shared" si="1034"/>
        <v>0</v>
      </c>
      <c r="BV1430" s="57">
        <f t="shared" si="1035"/>
        <v>0</v>
      </c>
      <c r="BW1430" s="57">
        <f t="shared" si="1036"/>
        <v>0</v>
      </c>
      <c r="BX1430" s="57">
        <f t="shared" si="1060"/>
        <v>0</v>
      </c>
      <c r="BY1430" s="57">
        <f t="shared" si="1018"/>
        <v>0</v>
      </c>
      <c r="BZ1430" s="8">
        <f t="shared" si="1037"/>
        <v>0</v>
      </c>
      <c r="CA1430" s="8">
        <f t="shared" si="1038"/>
        <v>0</v>
      </c>
      <c r="CB1430" s="8">
        <f t="shared" si="1039"/>
        <v>0</v>
      </c>
      <c r="CC1430" s="8">
        <f t="shared" si="1040"/>
        <v>0</v>
      </c>
      <c r="CD1430" s="8">
        <f t="shared" si="1041"/>
        <v>0</v>
      </c>
      <c r="CE1430" s="8">
        <f t="shared" si="1042"/>
        <v>0</v>
      </c>
      <c r="CF1430" s="8">
        <f t="shared" si="1043"/>
        <v>0</v>
      </c>
      <c r="CG1430" s="8">
        <f t="shared" si="1044"/>
        <v>0</v>
      </c>
      <c r="CH1430" s="8">
        <f t="shared" si="1045"/>
        <v>0</v>
      </c>
      <c r="CI1430" s="8">
        <f t="shared" si="1046"/>
        <v>0</v>
      </c>
      <c r="CJ1430" s="8">
        <f t="shared" si="1047"/>
        <v>0</v>
      </c>
      <c r="CK1430" s="8">
        <f t="shared" si="1048"/>
        <v>0</v>
      </c>
      <c r="CL1430" s="8">
        <f t="shared" si="1049"/>
        <v>0</v>
      </c>
      <c r="CM1430" s="8">
        <f t="shared" si="1050"/>
        <v>0</v>
      </c>
      <c r="CN1430" s="8">
        <f t="shared" si="1051"/>
        <v>0</v>
      </c>
      <c r="CO1430" s="8">
        <f t="shared" si="1052"/>
        <v>0</v>
      </c>
      <c r="CP1430" s="8">
        <f t="shared" si="1053"/>
        <v>0</v>
      </c>
      <c r="CQ1430" s="8">
        <f t="shared" si="1054"/>
        <v>0</v>
      </c>
      <c r="CR1430" s="8">
        <f t="shared" si="1055"/>
        <v>0</v>
      </c>
      <c r="CS1430" s="8">
        <f t="shared" si="1056"/>
        <v>0</v>
      </c>
      <c r="CT1430" s="8">
        <f t="shared" si="1061"/>
        <v>0</v>
      </c>
      <c r="CU1430" s="8">
        <f t="shared" si="1062"/>
        <v>0</v>
      </c>
      <c r="CV1430" s="8">
        <f t="shared" si="1063"/>
        <v>0</v>
      </c>
    </row>
    <row r="1431" spans="1:100" ht="20.5" thickTop="1" thickBot="1" x14ac:dyDescent="0.5">
      <c r="A1431" s="32"/>
      <c r="B1431" s="10"/>
      <c r="C1431" s="10"/>
      <c r="D1431" s="11"/>
      <c r="E1431" s="10"/>
      <c r="F1431" s="10"/>
      <c r="G1431" s="19"/>
      <c r="H1431" s="19"/>
      <c r="I1431" s="19"/>
      <c r="J1431" s="19"/>
      <c r="K1431" s="10"/>
      <c r="L1431" s="10"/>
      <c r="M1431" s="10"/>
      <c r="N1431" s="10"/>
      <c r="O1431" s="18"/>
      <c r="P1431" s="18"/>
      <c r="Q1431" s="21"/>
      <c r="R1431" s="20"/>
      <c r="S1431" s="16">
        <f t="shared" si="1019"/>
        <v>0</v>
      </c>
      <c r="T1431" s="11"/>
      <c r="AS1431" s="31">
        <f t="shared" si="1020"/>
        <v>0</v>
      </c>
      <c r="AT1431" s="31">
        <f t="shared" si="1021"/>
        <v>0</v>
      </c>
      <c r="AU1431" s="31">
        <f t="shared" si="1022"/>
        <v>0</v>
      </c>
      <c r="AV1431" s="31">
        <f t="shared" si="1023"/>
        <v>0</v>
      </c>
      <c r="AW1431" s="31">
        <f t="shared" si="1024"/>
        <v>0</v>
      </c>
      <c r="AX1431" s="31">
        <f t="shared" si="1025"/>
        <v>0</v>
      </c>
      <c r="AY1431" s="31">
        <f t="shared" si="1026"/>
        <v>0</v>
      </c>
      <c r="AZ1431" s="31">
        <f t="shared" si="1027"/>
        <v>0</v>
      </c>
      <c r="BA1431" s="31">
        <f t="shared" si="1028"/>
        <v>0</v>
      </c>
      <c r="BB1431" s="31">
        <f t="shared" si="1057"/>
        <v>0</v>
      </c>
      <c r="BM1431" s="8">
        <f t="shared" si="1058"/>
        <v>0</v>
      </c>
      <c r="BN1431" s="8">
        <f t="shared" si="1029"/>
        <v>0</v>
      </c>
      <c r="BO1431" s="8">
        <f t="shared" si="1030"/>
        <v>0</v>
      </c>
      <c r="BQ1431" s="8">
        <f t="shared" si="1031"/>
        <v>0</v>
      </c>
      <c r="BR1431" s="63">
        <f t="shared" si="1032"/>
        <v>0</v>
      </c>
      <c r="BS1431" s="63">
        <f t="shared" si="1059"/>
        <v>0</v>
      </c>
      <c r="BT1431" s="63">
        <f t="shared" si="1033"/>
        <v>0</v>
      </c>
      <c r="BU1431" s="63">
        <f t="shared" si="1034"/>
        <v>0</v>
      </c>
      <c r="BV1431" s="57">
        <f t="shared" si="1035"/>
        <v>0</v>
      </c>
      <c r="BW1431" s="57">
        <f t="shared" si="1036"/>
        <v>0</v>
      </c>
      <c r="BX1431" s="57">
        <f t="shared" si="1060"/>
        <v>0</v>
      </c>
      <c r="BY1431" s="57">
        <f t="shared" si="1018"/>
        <v>0</v>
      </c>
      <c r="BZ1431" s="8">
        <f t="shared" si="1037"/>
        <v>0</v>
      </c>
      <c r="CA1431" s="8">
        <f t="shared" si="1038"/>
        <v>0</v>
      </c>
      <c r="CB1431" s="8">
        <f t="shared" si="1039"/>
        <v>0</v>
      </c>
      <c r="CC1431" s="8">
        <f t="shared" si="1040"/>
        <v>0</v>
      </c>
      <c r="CD1431" s="8">
        <f t="shared" si="1041"/>
        <v>0</v>
      </c>
      <c r="CE1431" s="8">
        <f t="shared" si="1042"/>
        <v>0</v>
      </c>
      <c r="CF1431" s="8">
        <f t="shared" si="1043"/>
        <v>0</v>
      </c>
      <c r="CG1431" s="8">
        <f t="shared" si="1044"/>
        <v>0</v>
      </c>
      <c r="CH1431" s="8">
        <f t="shared" si="1045"/>
        <v>0</v>
      </c>
      <c r="CI1431" s="8">
        <f t="shared" si="1046"/>
        <v>0</v>
      </c>
      <c r="CJ1431" s="8">
        <f t="shared" si="1047"/>
        <v>0</v>
      </c>
      <c r="CK1431" s="8">
        <f t="shared" si="1048"/>
        <v>0</v>
      </c>
      <c r="CL1431" s="8">
        <f t="shared" si="1049"/>
        <v>0</v>
      </c>
      <c r="CM1431" s="8">
        <f t="shared" si="1050"/>
        <v>0</v>
      </c>
      <c r="CN1431" s="8">
        <f t="shared" si="1051"/>
        <v>0</v>
      </c>
      <c r="CO1431" s="8">
        <f t="shared" si="1052"/>
        <v>0</v>
      </c>
      <c r="CP1431" s="8">
        <f t="shared" si="1053"/>
        <v>0</v>
      </c>
      <c r="CQ1431" s="8">
        <f t="shared" si="1054"/>
        <v>0</v>
      </c>
      <c r="CR1431" s="8">
        <f t="shared" si="1055"/>
        <v>0</v>
      </c>
      <c r="CS1431" s="8">
        <f t="shared" si="1056"/>
        <v>0</v>
      </c>
      <c r="CT1431" s="8">
        <f t="shared" si="1061"/>
        <v>0</v>
      </c>
      <c r="CU1431" s="8">
        <f t="shared" si="1062"/>
        <v>0</v>
      </c>
      <c r="CV1431" s="8">
        <f t="shared" si="1063"/>
        <v>0</v>
      </c>
    </row>
    <row r="1432" spans="1:100" ht="20.5" thickTop="1" thickBot="1" x14ac:dyDescent="0.5">
      <c r="A1432" s="32"/>
      <c r="B1432" s="10"/>
      <c r="C1432" s="10"/>
      <c r="D1432" s="11"/>
      <c r="E1432" s="10"/>
      <c r="F1432" s="10"/>
      <c r="G1432" s="19"/>
      <c r="H1432" s="19"/>
      <c r="I1432" s="19"/>
      <c r="J1432" s="19"/>
      <c r="K1432" s="10"/>
      <c r="L1432" s="10"/>
      <c r="M1432" s="10"/>
      <c r="N1432" s="10"/>
      <c r="O1432" s="18"/>
      <c r="P1432" s="18"/>
      <c r="Q1432" s="21"/>
      <c r="R1432" s="20"/>
      <c r="S1432" s="16">
        <f t="shared" si="1019"/>
        <v>0</v>
      </c>
      <c r="T1432" s="11"/>
      <c r="AS1432" s="31">
        <f t="shared" si="1020"/>
        <v>0</v>
      </c>
      <c r="AT1432" s="31">
        <f t="shared" si="1021"/>
        <v>0</v>
      </c>
      <c r="AU1432" s="31">
        <f t="shared" si="1022"/>
        <v>0</v>
      </c>
      <c r="AV1432" s="31">
        <f t="shared" si="1023"/>
        <v>0</v>
      </c>
      <c r="AW1432" s="31">
        <f t="shared" si="1024"/>
        <v>0</v>
      </c>
      <c r="AX1432" s="31">
        <f t="shared" si="1025"/>
        <v>0</v>
      </c>
      <c r="AY1432" s="31">
        <f t="shared" si="1026"/>
        <v>0</v>
      </c>
      <c r="AZ1432" s="31">
        <f t="shared" si="1027"/>
        <v>0</v>
      </c>
      <c r="BA1432" s="31">
        <f t="shared" si="1028"/>
        <v>0</v>
      </c>
      <c r="BB1432" s="31">
        <f t="shared" si="1057"/>
        <v>0</v>
      </c>
      <c r="BM1432" s="8">
        <f t="shared" si="1058"/>
        <v>0</v>
      </c>
      <c r="BN1432" s="8">
        <f t="shared" si="1029"/>
        <v>0</v>
      </c>
      <c r="BO1432" s="8">
        <f t="shared" si="1030"/>
        <v>0</v>
      </c>
      <c r="BQ1432" s="8">
        <f t="shared" si="1031"/>
        <v>0</v>
      </c>
      <c r="BR1432" s="63">
        <f t="shared" si="1032"/>
        <v>0</v>
      </c>
      <c r="BS1432" s="63">
        <f t="shared" si="1059"/>
        <v>0</v>
      </c>
      <c r="BT1432" s="63">
        <f t="shared" si="1033"/>
        <v>0</v>
      </c>
      <c r="BU1432" s="63">
        <f t="shared" si="1034"/>
        <v>0</v>
      </c>
      <c r="BV1432" s="57">
        <f t="shared" si="1035"/>
        <v>0</v>
      </c>
      <c r="BW1432" s="57">
        <f t="shared" si="1036"/>
        <v>0</v>
      </c>
      <c r="BX1432" s="57">
        <f t="shared" si="1060"/>
        <v>0</v>
      </c>
      <c r="BY1432" s="57">
        <f t="shared" si="1018"/>
        <v>0</v>
      </c>
      <c r="BZ1432" s="8">
        <f t="shared" si="1037"/>
        <v>0</v>
      </c>
      <c r="CA1432" s="8">
        <f t="shared" si="1038"/>
        <v>0</v>
      </c>
      <c r="CB1432" s="8">
        <f t="shared" si="1039"/>
        <v>0</v>
      </c>
      <c r="CC1432" s="8">
        <f t="shared" si="1040"/>
        <v>0</v>
      </c>
      <c r="CD1432" s="8">
        <f t="shared" si="1041"/>
        <v>0</v>
      </c>
      <c r="CE1432" s="8">
        <f t="shared" si="1042"/>
        <v>0</v>
      </c>
      <c r="CF1432" s="8">
        <f t="shared" si="1043"/>
        <v>0</v>
      </c>
      <c r="CG1432" s="8">
        <f t="shared" si="1044"/>
        <v>0</v>
      </c>
      <c r="CH1432" s="8">
        <f t="shared" si="1045"/>
        <v>0</v>
      </c>
      <c r="CI1432" s="8">
        <f t="shared" si="1046"/>
        <v>0</v>
      </c>
      <c r="CJ1432" s="8">
        <f t="shared" si="1047"/>
        <v>0</v>
      </c>
      <c r="CK1432" s="8">
        <f t="shared" si="1048"/>
        <v>0</v>
      </c>
      <c r="CL1432" s="8">
        <f t="shared" si="1049"/>
        <v>0</v>
      </c>
      <c r="CM1432" s="8">
        <f t="shared" si="1050"/>
        <v>0</v>
      </c>
      <c r="CN1432" s="8">
        <f t="shared" si="1051"/>
        <v>0</v>
      </c>
      <c r="CO1432" s="8">
        <f t="shared" si="1052"/>
        <v>0</v>
      </c>
      <c r="CP1432" s="8">
        <f t="shared" si="1053"/>
        <v>0</v>
      </c>
      <c r="CQ1432" s="8">
        <f t="shared" si="1054"/>
        <v>0</v>
      </c>
      <c r="CR1432" s="8">
        <f t="shared" si="1055"/>
        <v>0</v>
      </c>
      <c r="CS1432" s="8">
        <f t="shared" si="1056"/>
        <v>0</v>
      </c>
      <c r="CT1432" s="8">
        <f t="shared" si="1061"/>
        <v>0</v>
      </c>
      <c r="CU1432" s="8">
        <f t="shared" si="1062"/>
        <v>0</v>
      </c>
      <c r="CV1432" s="8">
        <f t="shared" si="1063"/>
        <v>0</v>
      </c>
    </row>
    <row r="1433" spans="1:100" ht="20.5" thickTop="1" thickBot="1" x14ac:dyDescent="0.5">
      <c r="A1433" s="32"/>
      <c r="B1433" s="10"/>
      <c r="C1433" s="10"/>
      <c r="D1433" s="11"/>
      <c r="E1433" s="10"/>
      <c r="F1433" s="10"/>
      <c r="G1433" s="19"/>
      <c r="H1433" s="19"/>
      <c r="I1433" s="19"/>
      <c r="J1433" s="19"/>
      <c r="K1433" s="10"/>
      <c r="L1433" s="10"/>
      <c r="M1433" s="10"/>
      <c r="N1433" s="10"/>
      <c r="O1433" s="18"/>
      <c r="P1433" s="18"/>
      <c r="Q1433" s="21"/>
      <c r="R1433" s="20"/>
      <c r="S1433" s="16">
        <f t="shared" si="1019"/>
        <v>0</v>
      </c>
      <c r="T1433" s="11"/>
      <c r="AS1433" s="31">
        <f t="shared" si="1020"/>
        <v>0</v>
      </c>
      <c r="AT1433" s="31">
        <f t="shared" si="1021"/>
        <v>0</v>
      </c>
      <c r="AU1433" s="31">
        <f t="shared" si="1022"/>
        <v>0</v>
      </c>
      <c r="AV1433" s="31">
        <f t="shared" si="1023"/>
        <v>0</v>
      </c>
      <c r="AW1433" s="31">
        <f t="shared" si="1024"/>
        <v>0</v>
      </c>
      <c r="AX1433" s="31">
        <f t="shared" si="1025"/>
        <v>0</v>
      </c>
      <c r="AY1433" s="31">
        <f t="shared" si="1026"/>
        <v>0</v>
      </c>
      <c r="AZ1433" s="31">
        <f t="shared" si="1027"/>
        <v>0</v>
      </c>
      <c r="BA1433" s="31">
        <f t="shared" si="1028"/>
        <v>0</v>
      </c>
      <c r="BB1433" s="31">
        <f t="shared" si="1057"/>
        <v>0</v>
      </c>
      <c r="BM1433" s="8">
        <f t="shared" si="1058"/>
        <v>0</v>
      </c>
      <c r="BN1433" s="8">
        <f t="shared" si="1029"/>
        <v>0</v>
      </c>
      <c r="BO1433" s="8">
        <f t="shared" si="1030"/>
        <v>0</v>
      </c>
      <c r="BQ1433" s="8">
        <f t="shared" si="1031"/>
        <v>0</v>
      </c>
      <c r="BR1433" s="63">
        <f t="shared" si="1032"/>
        <v>0</v>
      </c>
      <c r="BS1433" s="63">
        <f t="shared" si="1059"/>
        <v>0</v>
      </c>
      <c r="BT1433" s="63">
        <f t="shared" si="1033"/>
        <v>0</v>
      </c>
      <c r="BU1433" s="63">
        <f t="shared" si="1034"/>
        <v>0</v>
      </c>
      <c r="BV1433" s="57">
        <f t="shared" si="1035"/>
        <v>0</v>
      </c>
      <c r="BW1433" s="57">
        <f t="shared" si="1036"/>
        <v>0</v>
      </c>
      <c r="BX1433" s="57">
        <f t="shared" si="1060"/>
        <v>0</v>
      </c>
      <c r="BY1433" s="57">
        <f t="shared" si="1018"/>
        <v>0</v>
      </c>
      <c r="BZ1433" s="8">
        <f t="shared" si="1037"/>
        <v>0</v>
      </c>
      <c r="CA1433" s="8">
        <f t="shared" si="1038"/>
        <v>0</v>
      </c>
      <c r="CB1433" s="8">
        <f t="shared" si="1039"/>
        <v>0</v>
      </c>
      <c r="CC1433" s="8">
        <f t="shared" si="1040"/>
        <v>0</v>
      </c>
      <c r="CD1433" s="8">
        <f t="shared" si="1041"/>
        <v>0</v>
      </c>
      <c r="CE1433" s="8">
        <f t="shared" si="1042"/>
        <v>0</v>
      </c>
      <c r="CF1433" s="8">
        <f t="shared" si="1043"/>
        <v>0</v>
      </c>
      <c r="CG1433" s="8">
        <f t="shared" si="1044"/>
        <v>0</v>
      </c>
      <c r="CH1433" s="8">
        <f t="shared" si="1045"/>
        <v>0</v>
      </c>
      <c r="CI1433" s="8">
        <f t="shared" si="1046"/>
        <v>0</v>
      </c>
      <c r="CJ1433" s="8">
        <f t="shared" si="1047"/>
        <v>0</v>
      </c>
      <c r="CK1433" s="8">
        <f t="shared" si="1048"/>
        <v>0</v>
      </c>
      <c r="CL1433" s="8">
        <f t="shared" si="1049"/>
        <v>0</v>
      </c>
      <c r="CM1433" s="8">
        <f t="shared" si="1050"/>
        <v>0</v>
      </c>
      <c r="CN1433" s="8">
        <f t="shared" si="1051"/>
        <v>0</v>
      </c>
      <c r="CO1433" s="8">
        <f t="shared" si="1052"/>
        <v>0</v>
      </c>
      <c r="CP1433" s="8">
        <f t="shared" si="1053"/>
        <v>0</v>
      </c>
      <c r="CQ1433" s="8">
        <f t="shared" si="1054"/>
        <v>0</v>
      </c>
      <c r="CR1433" s="8">
        <f t="shared" si="1055"/>
        <v>0</v>
      </c>
      <c r="CS1433" s="8">
        <f t="shared" si="1056"/>
        <v>0</v>
      </c>
      <c r="CT1433" s="8">
        <f t="shared" si="1061"/>
        <v>0</v>
      </c>
      <c r="CU1433" s="8">
        <f t="shared" si="1062"/>
        <v>0</v>
      </c>
      <c r="CV1433" s="8">
        <f t="shared" si="1063"/>
        <v>0</v>
      </c>
    </row>
    <row r="1434" spans="1:100" ht="20.5" thickTop="1" thickBot="1" x14ac:dyDescent="0.5">
      <c r="A1434" s="32"/>
      <c r="B1434" s="10"/>
      <c r="C1434" s="10"/>
      <c r="D1434" s="11"/>
      <c r="E1434" s="10"/>
      <c r="F1434" s="10"/>
      <c r="G1434" s="19"/>
      <c r="H1434" s="19"/>
      <c r="I1434" s="19"/>
      <c r="J1434" s="19"/>
      <c r="K1434" s="10"/>
      <c r="L1434" s="10"/>
      <c r="M1434" s="10"/>
      <c r="N1434" s="10"/>
      <c r="O1434" s="18"/>
      <c r="P1434" s="18"/>
      <c r="Q1434" s="21"/>
      <c r="R1434" s="20"/>
      <c r="S1434" s="16">
        <f t="shared" si="1019"/>
        <v>0</v>
      </c>
      <c r="T1434" s="11"/>
      <c r="AS1434" s="31">
        <f t="shared" si="1020"/>
        <v>0</v>
      </c>
      <c r="AT1434" s="31">
        <f t="shared" si="1021"/>
        <v>0</v>
      </c>
      <c r="AU1434" s="31">
        <f t="shared" si="1022"/>
        <v>0</v>
      </c>
      <c r="AV1434" s="31">
        <f t="shared" si="1023"/>
        <v>0</v>
      </c>
      <c r="AW1434" s="31">
        <f t="shared" si="1024"/>
        <v>0</v>
      </c>
      <c r="AX1434" s="31">
        <f t="shared" si="1025"/>
        <v>0</v>
      </c>
      <c r="AY1434" s="31">
        <f t="shared" si="1026"/>
        <v>0</v>
      </c>
      <c r="AZ1434" s="31">
        <f t="shared" si="1027"/>
        <v>0</v>
      </c>
      <c r="BA1434" s="31">
        <f t="shared" si="1028"/>
        <v>0</v>
      </c>
      <c r="BB1434" s="31">
        <f t="shared" si="1057"/>
        <v>0</v>
      </c>
      <c r="BM1434" s="8">
        <f t="shared" si="1058"/>
        <v>0</v>
      </c>
      <c r="BN1434" s="8">
        <f t="shared" si="1029"/>
        <v>0</v>
      </c>
      <c r="BO1434" s="8">
        <f t="shared" si="1030"/>
        <v>0</v>
      </c>
      <c r="BQ1434" s="8">
        <f t="shared" si="1031"/>
        <v>0</v>
      </c>
      <c r="BR1434" s="63">
        <f t="shared" si="1032"/>
        <v>0</v>
      </c>
      <c r="BS1434" s="63">
        <f t="shared" si="1059"/>
        <v>0</v>
      </c>
      <c r="BT1434" s="63">
        <f t="shared" si="1033"/>
        <v>0</v>
      </c>
      <c r="BU1434" s="63">
        <f t="shared" si="1034"/>
        <v>0</v>
      </c>
      <c r="BV1434" s="57">
        <f t="shared" si="1035"/>
        <v>0</v>
      </c>
      <c r="BW1434" s="57">
        <f t="shared" si="1036"/>
        <v>0</v>
      </c>
      <c r="BX1434" s="57">
        <f t="shared" si="1060"/>
        <v>0</v>
      </c>
      <c r="BY1434" s="57">
        <f t="shared" si="1018"/>
        <v>0</v>
      </c>
      <c r="BZ1434" s="8">
        <f t="shared" si="1037"/>
        <v>0</v>
      </c>
      <c r="CA1434" s="8">
        <f t="shared" si="1038"/>
        <v>0</v>
      </c>
      <c r="CB1434" s="8">
        <f t="shared" si="1039"/>
        <v>0</v>
      </c>
      <c r="CC1434" s="8">
        <f t="shared" si="1040"/>
        <v>0</v>
      </c>
      <c r="CD1434" s="8">
        <f t="shared" si="1041"/>
        <v>0</v>
      </c>
      <c r="CE1434" s="8">
        <f t="shared" si="1042"/>
        <v>0</v>
      </c>
      <c r="CF1434" s="8">
        <f t="shared" si="1043"/>
        <v>0</v>
      </c>
      <c r="CG1434" s="8">
        <f t="shared" si="1044"/>
        <v>0</v>
      </c>
      <c r="CH1434" s="8">
        <f t="shared" si="1045"/>
        <v>0</v>
      </c>
      <c r="CI1434" s="8">
        <f t="shared" si="1046"/>
        <v>0</v>
      </c>
      <c r="CJ1434" s="8">
        <f t="shared" si="1047"/>
        <v>0</v>
      </c>
      <c r="CK1434" s="8">
        <f t="shared" si="1048"/>
        <v>0</v>
      </c>
      <c r="CL1434" s="8">
        <f t="shared" si="1049"/>
        <v>0</v>
      </c>
      <c r="CM1434" s="8">
        <f t="shared" si="1050"/>
        <v>0</v>
      </c>
      <c r="CN1434" s="8">
        <f t="shared" si="1051"/>
        <v>0</v>
      </c>
      <c r="CO1434" s="8">
        <f t="shared" si="1052"/>
        <v>0</v>
      </c>
      <c r="CP1434" s="8">
        <f t="shared" si="1053"/>
        <v>0</v>
      </c>
      <c r="CQ1434" s="8">
        <f t="shared" si="1054"/>
        <v>0</v>
      </c>
      <c r="CR1434" s="8">
        <f t="shared" si="1055"/>
        <v>0</v>
      </c>
      <c r="CS1434" s="8">
        <f t="shared" si="1056"/>
        <v>0</v>
      </c>
      <c r="CT1434" s="8">
        <f t="shared" si="1061"/>
        <v>0</v>
      </c>
      <c r="CU1434" s="8">
        <f t="shared" si="1062"/>
        <v>0</v>
      </c>
      <c r="CV1434" s="8">
        <f t="shared" si="1063"/>
        <v>0</v>
      </c>
    </row>
    <row r="1435" spans="1:100" ht="20.5" thickTop="1" thickBot="1" x14ac:dyDescent="0.5">
      <c r="A1435" s="32"/>
      <c r="B1435" s="10"/>
      <c r="C1435" s="10"/>
      <c r="D1435" s="11"/>
      <c r="E1435" s="10"/>
      <c r="F1435" s="10"/>
      <c r="G1435" s="19"/>
      <c r="H1435" s="19"/>
      <c r="I1435" s="19"/>
      <c r="J1435" s="19"/>
      <c r="K1435" s="10"/>
      <c r="L1435" s="10"/>
      <c r="M1435" s="10"/>
      <c r="N1435" s="10"/>
      <c r="O1435" s="18"/>
      <c r="P1435" s="18"/>
      <c r="Q1435" s="21"/>
      <c r="R1435" s="20"/>
      <c r="S1435" s="16">
        <f t="shared" si="1019"/>
        <v>0</v>
      </c>
      <c r="T1435" s="11"/>
      <c r="AS1435" s="31">
        <f t="shared" si="1020"/>
        <v>0</v>
      </c>
      <c r="AT1435" s="31">
        <f t="shared" si="1021"/>
        <v>0</v>
      </c>
      <c r="AU1435" s="31">
        <f t="shared" si="1022"/>
        <v>0</v>
      </c>
      <c r="AV1435" s="31">
        <f t="shared" si="1023"/>
        <v>0</v>
      </c>
      <c r="AW1435" s="31">
        <f t="shared" si="1024"/>
        <v>0</v>
      </c>
      <c r="AX1435" s="31">
        <f t="shared" si="1025"/>
        <v>0</v>
      </c>
      <c r="AY1435" s="31">
        <f t="shared" si="1026"/>
        <v>0</v>
      </c>
      <c r="AZ1435" s="31">
        <f t="shared" si="1027"/>
        <v>0</v>
      </c>
      <c r="BA1435" s="31">
        <f t="shared" si="1028"/>
        <v>0</v>
      </c>
      <c r="BB1435" s="31">
        <f t="shared" si="1057"/>
        <v>0</v>
      </c>
      <c r="BM1435" s="8">
        <f t="shared" si="1058"/>
        <v>0</v>
      </c>
      <c r="BN1435" s="8">
        <f t="shared" si="1029"/>
        <v>0</v>
      </c>
      <c r="BO1435" s="8">
        <f t="shared" si="1030"/>
        <v>0</v>
      </c>
      <c r="BQ1435" s="8">
        <f t="shared" si="1031"/>
        <v>0</v>
      </c>
      <c r="BR1435" s="63">
        <f t="shared" si="1032"/>
        <v>0</v>
      </c>
      <c r="BS1435" s="63">
        <f t="shared" si="1059"/>
        <v>0</v>
      </c>
      <c r="BT1435" s="63">
        <f t="shared" si="1033"/>
        <v>0</v>
      </c>
      <c r="BU1435" s="63">
        <f t="shared" si="1034"/>
        <v>0</v>
      </c>
      <c r="BV1435" s="57">
        <f t="shared" si="1035"/>
        <v>0</v>
      </c>
      <c r="BW1435" s="57">
        <f t="shared" si="1036"/>
        <v>0</v>
      </c>
      <c r="BX1435" s="57">
        <f t="shared" si="1060"/>
        <v>0</v>
      </c>
      <c r="BY1435" s="57">
        <f t="shared" si="1018"/>
        <v>0</v>
      </c>
      <c r="BZ1435" s="8">
        <f t="shared" si="1037"/>
        <v>0</v>
      </c>
      <c r="CA1435" s="8">
        <f t="shared" si="1038"/>
        <v>0</v>
      </c>
      <c r="CB1435" s="8">
        <f t="shared" si="1039"/>
        <v>0</v>
      </c>
      <c r="CC1435" s="8">
        <f t="shared" si="1040"/>
        <v>0</v>
      </c>
      <c r="CD1435" s="8">
        <f t="shared" si="1041"/>
        <v>0</v>
      </c>
      <c r="CE1435" s="8">
        <f t="shared" si="1042"/>
        <v>0</v>
      </c>
      <c r="CF1435" s="8">
        <f t="shared" si="1043"/>
        <v>0</v>
      </c>
      <c r="CG1435" s="8">
        <f t="shared" si="1044"/>
        <v>0</v>
      </c>
      <c r="CH1435" s="8">
        <f t="shared" si="1045"/>
        <v>0</v>
      </c>
      <c r="CI1435" s="8">
        <f t="shared" si="1046"/>
        <v>0</v>
      </c>
      <c r="CJ1435" s="8">
        <f t="shared" si="1047"/>
        <v>0</v>
      </c>
      <c r="CK1435" s="8">
        <f t="shared" si="1048"/>
        <v>0</v>
      </c>
      <c r="CL1435" s="8">
        <f t="shared" si="1049"/>
        <v>0</v>
      </c>
      <c r="CM1435" s="8">
        <f t="shared" si="1050"/>
        <v>0</v>
      </c>
      <c r="CN1435" s="8">
        <f t="shared" si="1051"/>
        <v>0</v>
      </c>
      <c r="CO1435" s="8">
        <f t="shared" si="1052"/>
        <v>0</v>
      </c>
      <c r="CP1435" s="8">
        <f t="shared" si="1053"/>
        <v>0</v>
      </c>
      <c r="CQ1435" s="8">
        <f t="shared" si="1054"/>
        <v>0</v>
      </c>
      <c r="CR1435" s="8">
        <f t="shared" si="1055"/>
        <v>0</v>
      </c>
      <c r="CS1435" s="8">
        <f t="shared" si="1056"/>
        <v>0</v>
      </c>
      <c r="CT1435" s="8">
        <f t="shared" si="1061"/>
        <v>0</v>
      </c>
      <c r="CU1435" s="8">
        <f t="shared" si="1062"/>
        <v>0</v>
      </c>
      <c r="CV1435" s="8">
        <f t="shared" si="1063"/>
        <v>0</v>
      </c>
    </row>
    <row r="1436" spans="1:100" ht="20.5" thickTop="1" thickBot="1" x14ac:dyDescent="0.5">
      <c r="A1436" s="32"/>
      <c r="B1436" s="10"/>
      <c r="C1436" s="10"/>
      <c r="D1436" s="11"/>
      <c r="E1436" s="10"/>
      <c r="F1436" s="10"/>
      <c r="G1436" s="19"/>
      <c r="H1436" s="19"/>
      <c r="I1436" s="19"/>
      <c r="J1436" s="19"/>
      <c r="K1436" s="10"/>
      <c r="L1436" s="10"/>
      <c r="M1436" s="10"/>
      <c r="N1436" s="10"/>
      <c r="O1436" s="18"/>
      <c r="P1436" s="18"/>
      <c r="Q1436" s="21"/>
      <c r="R1436" s="20"/>
      <c r="S1436" s="16">
        <f t="shared" si="1019"/>
        <v>0</v>
      </c>
      <c r="T1436" s="11"/>
      <c r="AS1436" s="31">
        <f t="shared" si="1020"/>
        <v>0</v>
      </c>
      <c r="AT1436" s="31">
        <f t="shared" si="1021"/>
        <v>0</v>
      </c>
      <c r="AU1436" s="31">
        <f t="shared" si="1022"/>
        <v>0</v>
      </c>
      <c r="AV1436" s="31">
        <f t="shared" si="1023"/>
        <v>0</v>
      </c>
      <c r="AW1436" s="31">
        <f t="shared" si="1024"/>
        <v>0</v>
      </c>
      <c r="AX1436" s="31">
        <f t="shared" si="1025"/>
        <v>0</v>
      </c>
      <c r="AY1436" s="31">
        <f t="shared" si="1026"/>
        <v>0</v>
      </c>
      <c r="AZ1436" s="31">
        <f t="shared" si="1027"/>
        <v>0</v>
      </c>
      <c r="BA1436" s="31">
        <f t="shared" si="1028"/>
        <v>0</v>
      </c>
      <c r="BB1436" s="31">
        <f t="shared" si="1057"/>
        <v>0</v>
      </c>
      <c r="BM1436" s="8">
        <f t="shared" si="1058"/>
        <v>0</v>
      </c>
      <c r="BN1436" s="8">
        <f t="shared" si="1029"/>
        <v>0</v>
      </c>
      <c r="BO1436" s="8">
        <f t="shared" si="1030"/>
        <v>0</v>
      </c>
      <c r="BQ1436" s="8">
        <f t="shared" si="1031"/>
        <v>0</v>
      </c>
      <c r="BR1436" s="63">
        <f t="shared" si="1032"/>
        <v>0</v>
      </c>
      <c r="BS1436" s="63">
        <f t="shared" si="1059"/>
        <v>0</v>
      </c>
      <c r="BT1436" s="63">
        <f t="shared" si="1033"/>
        <v>0</v>
      </c>
      <c r="BU1436" s="63">
        <f t="shared" si="1034"/>
        <v>0</v>
      </c>
      <c r="BV1436" s="57">
        <f t="shared" si="1035"/>
        <v>0</v>
      </c>
      <c r="BW1436" s="57">
        <f t="shared" si="1036"/>
        <v>0</v>
      </c>
      <c r="BX1436" s="57">
        <f t="shared" si="1060"/>
        <v>0</v>
      </c>
      <c r="BY1436" s="57">
        <f t="shared" si="1018"/>
        <v>0</v>
      </c>
      <c r="BZ1436" s="8">
        <f t="shared" si="1037"/>
        <v>0</v>
      </c>
      <c r="CA1436" s="8">
        <f t="shared" si="1038"/>
        <v>0</v>
      </c>
      <c r="CB1436" s="8">
        <f t="shared" si="1039"/>
        <v>0</v>
      </c>
      <c r="CC1436" s="8">
        <f t="shared" si="1040"/>
        <v>0</v>
      </c>
      <c r="CD1436" s="8">
        <f t="shared" si="1041"/>
        <v>0</v>
      </c>
      <c r="CE1436" s="8">
        <f t="shared" si="1042"/>
        <v>0</v>
      </c>
      <c r="CF1436" s="8">
        <f t="shared" si="1043"/>
        <v>0</v>
      </c>
      <c r="CG1436" s="8">
        <f t="shared" si="1044"/>
        <v>0</v>
      </c>
      <c r="CH1436" s="8">
        <f t="shared" si="1045"/>
        <v>0</v>
      </c>
      <c r="CI1436" s="8">
        <f t="shared" si="1046"/>
        <v>0</v>
      </c>
      <c r="CJ1436" s="8">
        <f t="shared" si="1047"/>
        <v>0</v>
      </c>
      <c r="CK1436" s="8">
        <f t="shared" si="1048"/>
        <v>0</v>
      </c>
      <c r="CL1436" s="8">
        <f t="shared" si="1049"/>
        <v>0</v>
      </c>
      <c r="CM1436" s="8">
        <f t="shared" si="1050"/>
        <v>0</v>
      </c>
      <c r="CN1436" s="8">
        <f t="shared" si="1051"/>
        <v>0</v>
      </c>
      <c r="CO1436" s="8">
        <f t="shared" si="1052"/>
        <v>0</v>
      </c>
      <c r="CP1436" s="8">
        <f t="shared" si="1053"/>
        <v>0</v>
      </c>
      <c r="CQ1436" s="8">
        <f t="shared" si="1054"/>
        <v>0</v>
      </c>
      <c r="CR1436" s="8">
        <f t="shared" si="1055"/>
        <v>0</v>
      </c>
      <c r="CS1436" s="8">
        <f t="shared" si="1056"/>
        <v>0</v>
      </c>
      <c r="CT1436" s="8">
        <f t="shared" si="1061"/>
        <v>0</v>
      </c>
      <c r="CU1436" s="8">
        <f t="shared" si="1062"/>
        <v>0</v>
      </c>
      <c r="CV1436" s="8">
        <f t="shared" si="1063"/>
        <v>0</v>
      </c>
    </row>
    <row r="1437" spans="1:100" ht="20.5" thickTop="1" thickBot="1" x14ac:dyDescent="0.5">
      <c r="A1437" s="32"/>
      <c r="B1437" s="10"/>
      <c r="C1437" s="10"/>
      <c r="D1437" s="11"/>
      <c r="E1437" s="10"/>
      <c r="F1437" s="10"/>
      <c r="G1437" s="19"/>
      <c r="H1437" s="19"/>
      <c r="I1437" s="19"/>
      <c r="J1437" s="19"/>
      <c r="K1437" s="10"/>
      <c r="L1437" s="10"/>
      <c r="M1437" s="10"/>
      <c r="N1437" s="10"/>
      <c r="O1437" s="18"/>
      <c r="P1437" s="18"/>
      <c r="Q1437" s="21"/>
      <c r="R1437" s="20"/>
      <c r="S1437" s="16">
        <f t="shared" si="1019"/>
        <v>0</v>
      </c>
      <c r="T1437" s="11"/>
      <c r="AS1437" s="31">
        <f t="shared" si="1020"/>
        <v>0</v>
      </c>
      <c r="AT1437" s="31">
        <f t="shared" si="1021"/>
        <v>0</v>
      </c>
      <c r="AU1437" s="31">
        <f t="shared" si="1022"/>
        <v>0</v>
      </c>
      <c r="AV1437" s="31">
        <f t="shared" si="1023"/>
        <v>0</v>
      </c>
      <c r="AW1437" s="31">
        <f t="shared" si="1024"/>
        <v>0</v>
      </c>
      <c r="AX1437" s="31">
        <f t="shared" si="1025"/>
        <v>0</v>
      </c>
      <c r="AY1437" s="31">
        <f t="shared" si="1026"/>
        <v>0</v>
      </c>
      <c r="AZ1437" s="31">
        <f t="shared" si="1027"/>
        <v>0</v>
      </c>
      <c r="BA1437" s="31">
        <f t="shared" si="1028"/>
        <v>0</v>
      </c>
      <c r="BB1437" s="31">
        <f t="shared" si="1057"/>
        <v>0</v>
      </c>
      <c r="BM1437" s="8">
        <f t="shared" si="1058"/>
        <v>0</v>
      </c>
      <c r="BN1437" s="8">
        <f t="shared" si="1029"/>
        <v>0</v>
      </c>
      <c r="BO1437" s="8">
        <f t="shared" si="1030"/>
        <v>0</v>
      </c>
      <c r="BQ1437" s="8">
        <f t="shared" si="1031"/>
        <v>0</v>
      </c>
      <c r="BR1437" s="63">
        <f t="shared" si="1032"/>
        <v>0</v>
      </c>
      <c r="BS1437" s="63">
        <f t="shared" si="1059"/>
        <v>0</v>
      </c>
      <c r="BT1437" s="63">
        <f t="shared" si="1033"/>
        <v>0</v>
      </c>
      <c r="BU1437" s="63">
        <f t="shared" si="1034"/>
        <v>0</v>
      </c>
      <c r="BV1437" s="57">
        <f t="shared" si="1035"/>
        <v>0</v>
      </c>
      <c r="BW1437" s="57">
        <f t="shared" si="1036"/>
        <v>0</v>
      </c>
      <c r="BX1437" s="57">
        <f t="shared" si="1060"/>
        <v>0</v>
      </c>
      <c r="BY1437" s="57">
        <f t="shared" ref="BY1437:BY1500" si="1064">IF(AND(OR(N1437="YES",N1437="HDD",N1437="EX PIPES"),K1437=""),D1437*(F1437+G1437),0)</f>
        <v>0</v>
      </c>
      <c r="BZ1437" s="8">
        <f t="shared" si="1037"/>
        <v>0</v>
      </c>
      <c r="CA1437" s="8">
        <f t="shared" si="1038"/>
        <v>0</v>
      </c>
      <c r="CB1437" s="8">
        <f t="shared" si="1039"/>
        <v>0</v>
      </c>
      <c r="CC1437" s="8">
        <f t="shared" si="1040"/>
        <v>0</v>
      </c>
      <c r="CD1437" s="8">
        <f t="shared" si="1041"/>
        <v>0</v>
      </c>
      <c r="CE1437" s="8">
        <f t="shared" si="1042"/>
        <v>0</v>
      </c>
      <c r="CF1437" s="8">
        <f t="shared" si="1043"/>
        <v>0</v>
      </c>
      <c r="CG1437" s="8">
        <f t="shared" si="1044"/>
        <v>0</v>
      </c>
      <c r="CH1437" s="8">
        <f t="shared" si="1045"/>
        <v>0</v>
      </c>
      <c r="CI1437" s="8">
        <f t="shared" si="1046"/>
        <v>0</v>
      </c>
      <c r="CJ1437" s="8">
        <f t="shared" si="1047"/>
        <v>0</v>
      </c>
      <c r="CK1437" s="8">
        <f t="shared" si="1048"/>
        <v>0</v>
      </c>
      <c r="CL1437" s="8">
        <f t="shared" si="1049"/>
        <v>0</v>
      </c>
      <c r="CM1437" s="8">
        <f t="shared" si="1050"/>
        <v>0</v>
      </c>
      <c r="CN1437" s="8">
        <f t="shared" si="1051"/>
        <v>0</v>
      </c>
      <c r="CO1437" s="8">
        <f t="shared" si="1052"/>
        <v>0</v>
      </c>
      <c r="CP1437" s="8">
        <f t="shared" si="1053"/>
        <v>0</v>
      </c>
      <c r="CQ1437" s="8">
        <f t="shared" si="1054"/>
        <v>0</v>
      </c>
      <c r="CR1437" s="8">
        <f t="shared" si="1055"/>
        <v>0</v>
      </c>
      <c r="CS1437" s="8">
        <f t="shared" si="1056"/>
        <v>0</v>
      </c>
      <c r="CT1437" s="8">
        <f t="shared" si="1061"/>
        <v>0</v>
      </c>
      <c r="CU1437" s="8">
        <f t="shared" si="1062"/>
        <v>0</v>
      </c>
      <c r="CV1437" s="8">
        <f t="shared" si="1063"/>
        <v>0</v>
      </c>
    </row>
    <row r="1438" spans="1:100" ht="20.5" thickTop="1" thickBot="1" x14ac:dyDescent="0.5">
      <c r="A1438" s="32"/>
      <c r="B1438" s="10"/>
      <c r="C1438" s="10"/>
      <c r="D1438" s="11"/>
      <c r="E1438" s="10"/>
      <c r="F1438" s="10"/>
      <c r="G1438" s="19"/>
      <c r="H1438" s="19"/>
      <c r="I1438" s="19"/>
      <c r="J1438" s="19"/>
      <c r="K1438" s="10"/>
      <c r="L1438" s="10"/>
      <c r="M1438" s="10"/>
      <c r="N1438" s="10"/>
      <c r="O1438" s="18"/>
      <c r="P1438" s="18"/>
      <c r="Q1438" s="21"/>
      <c r="R1438" s="20"/>
      <c r="S1438" s="16">
        <f t="shared" si="1019"/>
        <v>0</v>
      </c>
      <c r="T1438" s="11"/>
      <c r="AS1438" s="31">
        <f t="shared" si="1020"/>
        <v>0</v>
      </c>
      <c r="AT1438" s="31">
        <f t="shared" si="1021"/>
        <v>0</v>
      </c>
      <c r="AU1438" s="31">
        <f t="shared" si="1022"/>
        <v>0</v>
      </c>
      <c r="AV1438" s="31">
        <f t="shared" si="1023"/>
        <v>0</v>
      </c>
      <c r="AW1438" s="31">
        <f t="shared" si="1024"/>
        <v>0</v>
      </c>
      <c r="AX1438" s="31">
        <f t="shared" si="1025"/>
        <v>0</v>
      </c>
      <c r="AY1438" s="31">
        <f t="shared" si="1026"/>
        <v>0</v>
      </c>
      <c r="AZ1438" s="31">
        <f t="shared" si="1027"/>
        <v>0</v>
      </c>
      <c r="BA1438" s="31">
        <f t="shared" si="1028"/>
        <v>0</v>
      </c>
      <c r="BB1438" s="31">
        <f t="shared" si="1057"/>
        <v>0</v>
      </c>
      <c r="BM1438" s="8">
        <f t="shared" si="1058"/>
        <v>0</v>
      </c>
      <c r="BN1438" s="8">
        <f t="shared" si="1029"/>
        <v>0</v>
      </c>
      <c r="BO1438" s="8">
        <f t="shared" si="1030"/>
        <v>0</v>
      </c>
      <c r="BQ1438" s="8">
        <f t="shared" si="1031"/>
        <v>0</v>
      </c>
      <c r="BR1438" s="63">
        <f t="shared" si="1032"/>
        <v>0</v>
      </c>
      <c r="BS1438" s="63">
        <f t="shared" si="1059"/>
        <v>0</v>
      </c>
      <c r="BT1438" s="63">
        <f t="shared" si="1033"/>
        <v>0</v>
      </c>
      <c r="BU1438" s="63">
        <f t="shared" si="1034"/>
        <v>0</v>
      </c>
      <c r="BV1438" s="57">
        <f t="shared" si="1035"/>
        <v>0</v>
      </c>
      <c r="BW1438" s="57">
        <f t="shared" si="1036"/>
        <v>0</v>
      </c>
      <c r="BX1438" s="57">
        <f t="shared" si="1060"/>
        <v>0</v>
      </c>
      <c r="BY1438" s="57">
        <f t="shared" si="1064"/>
        <v>0</v>
      </c>
      <c r="BZ1438" s="8">
        <f t="shared" si="1037"/>
        <v>0</v>
      </c>
      <c r="CA1438" s="8">
        <f t="shared" si="1038"/>
        <v>0</v>
      </c>
      <c r="CB1438" s="8">
        <f t="shared" si="1039"/>
        <v>0</v>
      </c>
      <c r="CC1438" s="8">
        <f t="shared" si="1040"/>
        <v>0</v>
      </c>
      <c r="CD1438" s="8">
        <f t="shared" si="1041"/>
        <v>0</v>
      </c>
      <c r="CE1438" s="8">
        <f t="shared" si="1042"/>
        <v>0</v>
      </c>
      <c r="CF1438" s="8">
        <f t="shared" si="1043"/>
        <v>0</v>
      </c>
      <c r="CG1438" s="8">
        <f t="shared" si="1044"/>
        <v>0</v>
      </c>
      <c r="CH1438" s="8">
        <f t="shared" si="1045"/>
        <v>0</v>
      </c>
      <c r="CI1438" s="8">
        <f t="shared" si="1046"/>
        <v>0</v>
      </c>
      <c r="CJ1438" s="8">
        <f t="shared" si="1047"/>
        <v>0</v>
      </c>
      <c r="CK1438" s="8">
        <f t="shared" si="1048"/>
        <v>0</v>
      </c>
      <c r="CL1438" s="8">
        <f t="shared" si="1049"/>
        <v>0</v>
      </c>
      <c r="CM1438" s="8">
        <f t="shared" si="1050"/>
        <v>0</v>
      </c>
      <c r="CN1438" s="8">
        <f t="shared" si="1051"/>
        <v>0</v>
      </c>
      <c r="CO1438" s="8">
        <f t="shared" si="1052"/>
        <v>0</v>
      </c>
      <c r="CP1438" s="8">
        <f t="shared" si="1053"/>
        <v>0</v>
      </c>
      <c r="CQ1438" s="8">
        <f t="shared" si="1054"/>
        <v>0</v>
      </c>
      <c r="CR1438" s="8">
        <f t="shared" si="1055"/>
        <v>0</v>
      </c>
      <c r="CS1438" s="8">
        <f t="shared" si="1056"/>
        <v>0</v>
      </c>
      <c r="CT1438" s="8">
        <f t="shared" si="1061"/>
        <v>0</v>
      </c>
      <c r="CU1438" s="8">
        <f t="shared" si="1062"/>
        <v>0</v>
      </c>
      <c r="CV1438" s="8">
        <f t="shared" si="1063"/>
        <v>0</v>
      </c>
    </row>
    <row r="1439" spans="1:100" ht="20.5" thickTop="1" thickBot="1" x14ac:dyDescent="0.5">
      <c r="A1439" s="32"/>
      <c r="B1439" s="10"/>
      <c r="C1439" s="10"/>
      <c r="D1439" s="11"/>
      <c r="E1439" s="10"/>
      <c r="F1439" s="10"/>
      <c r="G1439" s="19"/>
      <c r="H1439" s="19"/>
      <c r="I1439" s="19"/>
      <c r="J1439" s="19"/>
      <c r="K1439" s="10"/>
      <c r="L1439" s="10"/>
      <c r="M1439" s="10"/>
      <c r="N1439" s="10"/>
      <c r="O1439" s="18"/>
      <c r="P1439" s="18"/>
      <c r="Q1439" s="21"/>
      <c r="R1439" s="20"/>
      <c r="S1439" s="16">
        <f t="shared" si="1019"/>
        <v>0</v>
      </c>
      <c r="T1439" s="11"/>
      <c r="AS1439" s="31">
        <f t="shared" si="1020"/>
        <v>0</v>
      </c>
      <c r="AT1439" s="31">
        <f t="shared" si="1021"/>
        <v>0</v>
      </c>
      <c r="AU1439" s="31">
        <f t="shared" si="1022"/>
        <v>0</v>
      </c>
      <c r="AV1439" s="31">
        <f t="shared" si="1023"/>
        <v>0</v>
      </c>
      <c r="AW1439" s="31">
        <f t="shared" si="1024"/>
        <v>0</v>
      </c>
      <c r="AX1439" s="31">
        <f t="shared" si="1025"/>
        <v>0</v>
      </c>
      <c r="AY1439" s="31">
        <f t="shared" si="1026"/>
        <v>0</v>
      </c>
      <c r="AZ1439" s="31">
        <f t="shared" si="1027"/>
        <v>0</v>
      </c>
      <c r="BA1439" s="31">
        <f t="shared" si="1028"/>
        <v>0</v>
      </c>
      <c r="BB1439" s="31">
        <f t="shared" si="1057"/>
        <v>0</v>
      </c>
      <c r="BM1439" s="8">
        <f t="shared" si="1058"/>
        <v>0</v>
      </c>
      <c r="BN1439" s="8">
        <f t="shared" si="1029"/>
        <v>0</v>
      </c>
      <c r="BO1439" s="8">
        <f t="shared" si="1030"/>
        <v>0</v>
      </c>
      <c r="BQ1439" s="8">
        <f t="shared" si="1031"/>
        <v>0</v>
      </c>
      <c r="BR1439" s="63">
        <f t="shared" si="1032"/>
        <v>0</v>
      </c>
      <c r="BS1439" s="63">
        <f t="shared" si="1059"/>
        <v>0</v>
      </c>
      <c r="BT1439" s="63">
        <f t="shared" si="1033"/>
        <v>0</v>
      </c>
      <c r="BU1439" s="63">
        <f t="shared" si="1034"/>
        <v>0</v>
      </c>
      <c r="BV1439" s="57">
        <f t="shared" si="1035"/>
        <v>0</v>
      </c>
      <c r="BW1439" s="57">
        <f t="shared" si="1036"/>
        <v>0</v>
      </c>
      <c r="BX1439" s="57">
        <f t="shared" si="1060"/>
        <v>0</v>
      </c>
      <c r="BY1439" s="57">
        <f t="shared" si="1064"/>
        <v>0</v>
      </c>
      <c r="BZ1439" s="8">
        <f t="shared" si="1037"/>
        <v>0</v>
      </c>
      <c r="CA1439" s="8">
        <f t="shared" si="1038"/>
        <v>0</v>
      </c>
      <c r="CB1439" s="8">
        <f t="shared" si="1039"/>
        <v>0</v>
      </c>
      <c r="CC1439" s="8">
        <f t="shared" si="1040"/>
        <v>0</v>
      </c>
      <c r="CD1439" s="8">
        <f t="shared" si="1041"/>
        <v>0</v>
      </c>
      <c r="CE1439" s="8">
        <f t="shared" si="1042"/>
        <v>0</v>
      </c>
      <c r="CF1439" s="8">
        <f t="shared" si="1043"/>
        <v>0</v>
      </c>
      <c r="CG1439" s="8">
        <f t="shared" si="1044"/>
        <v>0</v>
      </c>
      <c r="CH1439" s="8">
        <f t="shared" si="1045"/>
        <v>0</v>
      </c>
      <c r="CI1439" s="8">
        <f t="shared" si="1046"/>
        <v>0</v>
      </c>
      <c r="CJ1439" s="8">
        <f t="shared" si="1047"/>
        <v>0</v>
      </c>
      <c r="CK1439" s="8">
        <f t="shared" si="1048"/>
        <v>0</v>
      </c>
      <c r="CL1439" s="8">
        <f t="shared" si="1049"/>
        <v>0</v>
      </c>
      <c r="CM1439" s="8">
        <f t="shared" si="1050"/>
        <v>0</v>
      </c>
      <c r="CN1439" s="8">
        <f t="shared" si="1051"/>
        <v>0</v>
      </c>
      <c r="CO1439" s="8">
        <f t="shared" si="1052"/>
        <v>0</v>
      </c>
      <c r="CP1439" s="8">
        <f t="shared" si="1053"/>
        <v>0</v>
      </c>
      <c r="CQ1439" s="8">
        <f t="shared" si="1054"/>
        <v>0</v>
      </c>
      <c r="CR1439" s="8">
        <f t="shared" si="1055"/>
        <v>0</v>
      </c>
      <c r="CS1439" s="8">
        <f t="shared" si="1056"/>
        <v>0</v>
      </c>
      <c r="CT1439" s="8">
        <f t="shared" si="1061"/>
        <v>0</v>
      </c>
      <c r="CU1439" s="8">
        <f t="shared" si="1062"/>
        <v>0</v>
      </c>
      <c r="CV1439" s="8">
        <f t="shared" si="1063"/>
        <v>0</v>
      </c>
    </row>
    <row r="1440" spans="1:100" ht="20.5" thickTop="1" thickBot="1" x14ac:dyDescent="0.5">
      <c r="A1440" s="32"/>
      <c r="B1440" s="10"/>
      <c r="C1440" s="10"/>
      <c r="D1440" s="11"/>
      <c r="E1440" s="10"/>
      <c r="F1440" s="10"/>
      <c r="G1440" s="19"/>
      <c r="H1440" s="19"/>
      <c r="I1440" s="19"/>
      <c r="J1440" s="19"/>
      <c r="K1440" s="10"/>
      <c r="L1440" s="10"/>
      <c r="M1440" s="10"/>
      <c r="N1440" s="10"/>
      <c r="O1440" s="18"/>
      <c r="P1440" s="18"/>
      <c r="Q1440" s="21"/>
      <c r="R1440" s="20"/>
      <c r="S1440" s="16">
        <f t="shared" si="1019"/>
        <v>0</v>
      </c>
      <c r="T1440" s="11"/>
      <c r="AS1440" s="31">
        <f t="shared" si="1020"/>
        <v>0</v>
      </c>
      <c r="AT1440" s="31">
        <f t="shared" si="1021"/>
        <v>0</v>
      </c>
      <c r="AU1440" s="31">
        <f t="shared" si="1022"/>
        <v>0</v>
      </c>
      <c r="AV1440" s="31">
        <f t="shared" si="1023"/>
        <v>0</v>
      </c>
      <c r="AW1440" s="31">
        <f t="shared" si="1024"/>
        <v>0</v>
      </c>
      <c r="AX1440" s="31">
        <f t="shared" si="1025"/>
        <v>0</v>
      </c>
      <c r="AY1440" s="31">
        <f t="shared" si="1026"/>
        <v>0</v>
      </c>
      <c r="AZ1440" s="31">
        <f t="shared" si="1027"/>
        <v>0</v>
      </c>
      <c r="BA1440" s="31">
        <f t="shared" si="1028"/>
        <v>0</v>
      </c>
      <c r="BB1440" s="31">
        <f t="shared" si="1057"/>
        <v>0</v>
      </c>
      <c r="BM1440" s="8">
        <f t="shared" si="1058"/>
        <v>0</v>
      </c>
      <c r="BN1440" s="8">
        <f t="shared" si="1029"/>
        <v>0</v>
      </c>
      <c r="BO1440" s="8">
        <f t="shared" si="1030"/>
        <v>0</v>
      </c>
      <c r="BQ1440" s="8">
        <f t="shared" si="1031"/>
        <v>0</v>
      </c>
      <c r="BR1440" s="63">
        <f t="shared" si="1032"/>
        <v>0</v>
      </c>
      <c r="BS1440" s="63">
        <f t="shared" si="1059"/>
        <v>0</v>
      </c>
      <c r="BT1440" s="63">
        <f t="shared" si="1033"/>
        <v>0</v>
      </c>
      <c r="BU1440" s="63">
        <f t="shared" si="1034"/>
        <v>0</v>
      </c>
      <c r="BV1440" s="57">
        <f t="shared" si="1035"/>
        <v>0</v>
      </c>
      <c r="BW1440" s="57">
        <f t="shared" si="1036"/>
        <v>0</v>
      </c>
      <c r="BX1440" s="57">
        <f t="shared" si="1060"/>
        <v>0</v>
      </c>
      <c r="BY1440" s="57">
        <f t="shared" si="1064"/>
        <v>0</v>
      </c>
      <c r="BZ1440" s="8">
        <f t="shared" si="1037"/>
        <v>0</v>
      </c>
      <c r="CA1440" s="8">
        <f t="shared" si="1038"/>
        <v>0</v>
      </c>
      <c r="CB1440" s="8">
        <f t="shared" si="1039"/>
        <v>0</v>
      </c>
      <c r="CC1440" s="8">
        <f t="shared" si="1040"/>
        <v>0</v>
      </c>
      <c r="CD1440" s="8">
        <f t="shared" si="1041"/>
        <v>0</v>
      </c>
      <c r="CE1440" s="8">
        <f t="shared" si="1042"/>
        <v>0</v>
      </c>
      <c r="CF1440" s="8">
        <f t="shared" si="1043"/>
        <v>0</v>
      </c>
      <c r="CG1440" s="8">
        <f t="shared" si="1044"/>
        <v>0</v>
      </c>
      <c r="CH1440" s="8">
        <f t="shared" si="1045"/>
        <v>0</v>
      </c>
      <c r="CI1440" s="8">
        <f t="shared" si="1046"/>
        <v>0</v>
      </c>
      <c r="CJ1440" s="8">
        <f t="shared" si="1047"/>
        <v>0</v>
      </c>
      <c r="CK1440" s="8">
        <f t="shared" si="1048"/>
        <v>0</v>
      </c>
      <c r="CL1440" s="8">
        <f t="shared" si="1049"/>
        <v>0</v>
      </c>
      <c r="CM1440" s="8">
        <f t="shared" si="1050"/>
        <v>0</v>
      </c>
      <c r="CN1440" s="8">
        <f t="shared" si="1051"/>
        <v>0</v>
      </c>
      <c r="CO1440" s="8">
        <f t="shared" si="1052"/>
        <v>0</v>
      </c>
      <c r="CP1440" s="8">
        <f t="shared" si="1053"/>
        <v>0</v>
      </c>
      <c r="CQ1440" s="8">
        <f t="shared" si="1054"/>
        <v>0</v>
      </c>
      <c r="CR1440" s="8">
        <f t="shared" si="1055"/>
        <v>0</v>
      </c>
      <c r="CS1440" s="8">
        <f t="shared" si="1056"/>
        <v>0</v>
      </c>
      <c r="CT1440" s="8">
        <f t="shared" si="1061"/>
        <v>0</v>
      </c>
      <c r="CU1440" s="8">
        <f t="shared" si="1062"/>
        <v>0</v>
      </c>
      <c r="CV1440" s="8">
        <f t="shared" si="1063"/>
        <v>0</v>
      </c>
    </row>
    <row r="1441" spans="1:100" ht="20.5" thickTop="1" thickBot="1" x14ac:dyDescent="0.5">
      <c r="A1441" s="32"/>
      <c r="B1441" s="10"/>
      <c r="C1441" s="10"/>
      <c r="D1441" s="11"/>
      <c r="E1441" s="10"/>
      <c r="F1441" s="10"/>
      <c r="G1441" s="19"/>
      <c r="H1441" s="19"/>
      <c r="I1441" s="19"/>
      <c r="J1441" s="19"/>
      <c r="K1441" s="10"/>
      <c r="L1441" s="10"/>
      <c r="M1441" s="10"/>
      <c r="N1441" s="10"/>
      <c r="O1441" s="18"/>
      <c r="P1441" s="18"/>
      <c r="Q1441" s="21"/>
      <c r="R1441" s="20"/>
      <c r="S1441" s="16">
        <f t="shared" si="1019"/>
        <v>0</v>
      </c>
      <c r="T1441" s="11"/>
      <c r="AS1441" s="31">
        <f t="shared" si="1020"/>
        <v>0</v>
      </c>
      <c r="AT1441" s="31">
        <f t="shared" si="1021"/>
        <v>0</v>
      </c>
      <c r="AU1441" s="31">
        <f t="shared" si="1022"/>
        <v>0</v>
      </c>
      <c r="AV1441" s="31">
        <f t="shared" si="1023"/>
        <v>0</v>
      </c>
      <c r="AW1441" s="31">
        <f t="shared" si="1024"/>
        <v>0</v>
      </c>
      <c r="AX1441" s="31">
        <f t="shared" si="1025"/>
        <v>0</v>
      </c>
      <c r="AY1441" s="31">
        <f t="shared" si="1026"/>
        <v>0</v>
      </c>
      <c r="AZ1441" s="31">
        <f t="shared" si="1027"/>
        <v>0</v>
      </c>
      <c r="BA1441" s="31">
        <f t="shared" si="1028"/>
        <v>0</v>
      </c>
      <c r="BB1441" s="31">
        <f t="shared" si="1057"/>
        <v>0</v>
      </c>
      <c r="BM1441" s="8">
        <f t="shared" si="1058"/>
        <v>0</v>
      </c>
      <c r="BN1441" s="8">
        <f t="shared" si="1029"/>
        <v>0</v>
      </c>
      <c r="BO1441" s="8">
        <f t="shared" si="1030"/>
        <v>0</v>
      </c>
      <c r="BQ1441" s="8">
        <f t="shared" si="1031"/>
        <v>0</v>
      </c>
      <c r="BR1441" s="63">
        <f t="shared" si="1032"/>
        <v>0</v>
      </c>
      <c r="BS1441" s="63">
        <f t="shared" si="1059"/>
        <v>0</v>
      </c>
      <c r="BT1441" s="63">
        <f t="shared" si="1033"/>
        <v>0</v>
      </c>
      <c r="BU1441" s="63">
        <f t="shared" si="1034"/>
        <v>0</v>
      </c>
      <c r="BV1441" s="57">
        <f t="shared" si="1035"/>
        <v>0</v>
      </c>
      <c r="BW1441" s="57">
        <f t="shared" si="1036"/>
        <v>0</v>
      </c>
      <c r="BX1441" s="57">
        <f t="shared" si="1060"/>
        <v>0</v>
      </c>
      <c r="BY1441" s="57">
        <f t="shared" si="1064"/>
        <v>0</v>
      </c>
      <c r="BZ1441" s="8">
        <f t="shared" si="1037"/>
        <v>0</v>
      </c>
      <c r="CA1441" s="8">
        <f t="shared" si="1038"/>
        <v>0</v>
      </c>
      <c r="CB1441" s="8">
        <f t="shared" si="1039"/>
        <v>0</v>
      </c>
      <c r="CC1441" s="8">
        <f t="shared" si="1040"/>
        <v>0</v>
      </c>
      <c r="CD1441" s="8">
        <f t="shared" si="1041"/>
        <v>0</v>
      </c>
      <c r="CE1441" s="8">
        <f t="shared" si="1042"/>
        <v>0</v>
      </c>
      <c r="CF1441" s="8">
        <f t="shared" si="1043"/>
        <v>0</v>
      </c>
      <c r="CG1441" s="8">
        <f t="shared" si="1044"/>
        <v>0</v>
      </c>
      <c r="CH1441" s="8">
        <f t="shared" si="1045"/>
        <v>0</v>
      </c>
      <c r="CI1441" s="8">
        <f t="shared" si="1046"/>
        <v>0</v>
      </c>
      <c r="CJ1441" s="8">
        <f t="shared" si="1047"/>
        <v>0</v>
      </c>
      <c r="CK1441" s="8">
        <f t="shared" si="1048"/>
        <v>0</v>
      </c>
      <c r="CL1441" s="8">
        <f t="shared" si="1049"/>
        <v>0</v>
      </c>
      <c r="CM1441" s="8">
        <f t="shared" si="1050"/>
        <v>0</v>
      </c>
      <c r="CN1441" s="8">
        <f t="shared" si="1051"/>
        <v>0</v>
      </c>
      <c r="CO1441" s="8">
        <f t="shared" si="1052"/>
        <v>0</v>
      </c>
      <c r="CP1441" s="8">
        <f t="shared" si="1053"/>
        <v>0</v>
      </c>
      <c r="CQ1441" s="8">
        <f t="shared" si="1054"/>
        <v>0</v>
      </c>
      <c r="CR1441" s="8">
        <f t="shared" si="1055"/>
        <v>0</v>
      </c>
      <c r="CS1441" s="8">
        <f t="shared" si="1056"/>
        <v>0</v>
      </c>
      <c r="CT1441" s="8">
        <f t="shared" si="1061"/>
        <v>0</v>
      </c>
      <c r="CU1441" s="8">
        <f t="shared" si="1062"/>
        <v>0</v>
      </c>
      <c r="CV1441" s="8">
        <f t="shared" si="1063"/>
        <v>0</v>
      </c>
    </row>
    <row r="1442" spans="1:100" ht="20.5" thickTop="1" thickBot="1" x14ac:dyDescent="0.5">
      <c r="A1442" s="32"/>
      <c r="B1442" s="10"/>
      <c r="C1442" s="10"/>
      <c r="D1442" s="11"/>
      <c r="E1442" s="10"/>
      <c r="F1442" s="10"/>
      <c r="G1442" s="19"/>
      <c r="H1442" s="19"/>
      <c r="I1442" s="19"/>
      <c r="J1442" s="19"/>
      <c r="K1442" s="10"/>
      <c r="L1442" s="10"/>
      <c r="M1442" s="10"/>
      <c r="N1442" s="10"/>
      <c r="O1442" s="18"/>
      <c r="P1442" s="18"/>
      <c r="Q1442" s="21"/>
      <c r="R1442" s="20"/>
      <c r="S1442" s="16">
        <f t="shared" si="1019"/>
        <v>0</v>
      </c>
      <c r="T1442" s="11"/>
      <c r="AS1442" s="31">
        <f t="shared" si="1020"/>
        <v>0</v>
      </c>
      <c r="AT1442" s="31">
        <f t="shared" si="1021"/>
        <v>0</v>
      </c>
      <c r="AU1442" s="31">
        <f t="shared" si="1022"/>
        <v>0</v>
      </c>
      <c r="AV1442" s="31">
        <f t="shared" si="1023"/>
        <v>0</v>
      </c>
      <c r="AW1442" s="31">
        <f t="shared" si="1024"/>
        <v>0</v>
      </c>
      <c r="AX1442" s="31">
        <f t="shared" si="1025"/>
        <v>0</v>
      </c>
      <c r="AY1442" s="31">
        <f t="shared" si="1026"/>
        <v>0</v>
      </c>
      <c r="AZ1442" s="31">
        <f t="shared" si="1027"/>
        <v>0</v>
      </c>
      <c r="BA1442" s="31">
        <f t="shared" si="1028"/>
        <v>0</v>
      </c>
      <c r="BB1442" s="31">
        <f t="shared" si="1057"/>
        <v>0</v>
      </c>
      <c r="BM1442" s="8">
        <f t="shared" si="1058"/>
        <v>0</v>
      </c>
      <c r="BN1442" s="8">
        <f t="shared" si="1029"/>
        <v>0</v>
      </c>
      <c r="BO1442" s="8">
        <f t="shared" si="1030"/>
        <v>0</v>
      </c>
      <c r="BQ1442" s="8">
        <f t="shared" si="1031"/>
        <v>0</v>
      </c>
      <c r="BR1442" s="63">
        <f t="shared" si="1032"/>
        <v>0</v>
      </c>
      <c r="BS1442" s="63">
        <f t="shared" si="1059"/>
        <v>0</v>
      </c>
      <c r="BT1442" s="63">
        <f t="shared" si="1033"/>
        <v>0</v>
      </c>
      <c r="BU1442" s="63">
        <f t="shared" si="1034"/>
        <v>0</v>
      </c>
      <c r="BV1442" s="57">
        <f t="shared" si="1035"/>
        <v>0</v>
      </c>
      <c r="BW1442" s="57">
        <f t="shared" si="1036"/>
        <v>0</v>
      </c>
      <c r="BX1442" s="57">
        <f t="shared" si="1060"/>
        <v>0</v>
      </c>
      <c r="BY1442" s="57">
        <f t="shared" si="1064"/>
        <v>0</v>
      </c>
      <c r="BZ1442" s="8">
        <f t="shared" si="1037"/>
        <v>0</v>
      </c>
      <c r="CA1442" s="8">
        <f t="shared" si="1038"/>
        <v>0</v>
      </c>
      <c r="CB1442" s="8">
        <f t="shared" si="1039"/>
        <v>0</v>
      </c>
      <c r="CC1442" s="8">
        <f t="shared" si="1040"/>
        <v>0</v>
      </c>
      <c r="CD1442" s="8">
        <f t="shared" si="1041"/>
        <v>0</v>
      </c>
      <c r="CE1442" s="8">
        <f t="shared" si="1042"/>
        <v>0</v>
      </c>
      <c r="CF1442" s="8">
        <f t="shared" si="1043"/>
        <v>0</v>
      </c>
      <c r="CG1442" s="8">
        <f t="shared" si="1044"/>
        <v>0</v>
      </c>
      <c r="CH1442" s="8">
        <f t="shared" si="1045"/>
        <v>0</v>
      </c>
      <c r="CI1442" s="8">
        <f t="shared" si="1046"/>
        <v>0</v>
      </c>
      <c r="CJ1442" s="8">
        <f t="shared" si="1047"/>
        <v>0</v>
      </c>
      <c r="CK1442" s="8">
        <f t="shared" si="1048"/>
        <v>0</v>
      </c>
      <c r="CL1442" s="8">
        <f t="shared" si="1049"/>
        <v>0</v>
      </c>
      <c r="CM1442" s="8">
        <f t="shared" si="1050"/>
        <v>0</v>
      </c>
      <c r="CN1442" s="8">
        <f t="shared" si="1051"/>
        <v>0</v>
      </c>
      <c r="CO1442" s="8">
        <f t="shared" si="1052"/>
        <v>0</v>
      </c>
      <c r="CP1442" s="8">
        <f t="shared" si="1053"/>
        <v>0</v>
      </c>
      <c r="CQ1442" s="8">
        <f t="shared" si="1054"/>
        <v>0</v>
      </c>
      <c r="CR1442" s="8">
        <f t="shared" si="1055"/>
        <v>0</v>
      </c>
      <c r="CS1442" s="8">
        <f t="shared" si="1056"/>
        <v>0</v>
      </c>
      <c r="CT1442" s="8">
        <f t="shared" si="1061"/>
        <v>0</v>
      </c>
      <c r="CU1442" s="8">
        <f t="shared" si="1062"/>
        <v>0</v>
      </c>
      <c r="CV1442" s="8">
        <f t="shared" si="1063"/>
        <v>0</v>
      </c>
    </row>
    <row r="1443" spans="1:100" ht="20.5" thickTop="1" thickBot="1" x14ac:dyDescent="0.5">
      <c r="A1443" s="32"/>
      <c r="B1443" s="10"/>
      <c r="C1443" s="10"/>
      <c r="D1443" s="11"/>
      <c r="E1443" s="10"/>
      <c r="F1443" s="10"/>
      <c r="G1443" s="19"/>
      <c r="H1443" s="19"/>
      <c r="I1443" s="19"/>
      <c r="J1443" s="19"/>
      <c r="K1443" s="10"/>
      <c r="L1443" s="10"/>
      <c r="M1443" s="10"/>
      <c r="N1443" s="10"/>
      <c r="O1443" s="18"/>
      <c r="P1443" s="18"/>
      <c r="Q1443" s="21"/>
      <c r="R1443" s="20"/>
      <c r="S1443" s="16">
        <f t="shared" si="1019"/>
        <v>0</v>
      </c>
      <c r="T1443" s="11"/>
      <c r="AS1443" s="31">
        <f t="shared" si="1020"/>
        <v>0</v>
      </c>
      <c r="AT1443" s="31">
        <f t="shared" si="1021"/>
        <v>0</v>
      </c>
      <c r="AU1443" s="31">
        <f t="shared" si="1022"/>
        <v>0</v>
      </c>
      <c r="AV1443" s="31">
        <f t="shared" si="1023"/>
        <v>0</v>
      </c>
      <c r="AW1443" s="31">
        <f t="shared" si="1024"/>
        <v>0</v>
      </c>
      <c r="AX1443" s="31">
        <f t="shared" si="1025"/>
        <v>0</v>
      </c>
      <c r="AY1443" s="31">
        <f t="shared" si="1026"/>
        <v>0</v>
      </c>
      <c r="AZ1443" s="31">
        <f t="shared" si="1027"/>
        <v>0</v>
      </c>
      <c r="BA1443" s="31">
        <f t="shared" si="1028"/>
        <v>0</v>
      </c>
      <c r="BB1443" s="31">
        <f t="shared" si="1057"/>
        <v>0</v>
      </c>
      <c r="BM1443" s="8">
        <f t="shared" si="1058"/>
        <v>0</v>
      </c>
      <c r="BN1443" s="8">
        <f t="shared" si="1029"/>
        <v>0</v>
      </c>
      <c r="BO1443" s="8">
        <f t="shared" si="1030"/>
        <v>0</v>
      </c>
      <c r="BQ1443" s="8">
        <f t="shared" si="1031"/>
        <v>0</v>
      </c>
      <c r="BR1443" s="63">
        <f t="shared" si="1032"/>
        <v>0</v>
      </c>
      <c r="BS1443" s="63">
        <f t="shared" si="1059"/>
        <v>0</v>
      </c>
      <c r="BT1443" s="63">
        <f t="shared" si="1033"/>
        <v>0</v>
      </c>
      <c r="BU1443" s="63">
        <f t="shared" si="1034"/>
        <v>0</v>
      </c>
      <c r="BV1443" s="57">
        <f t="shared" si="1035"/>
        <v>0</v>
      </c>
      <c r="BW1443" s="57">
        <f t="shared" si="1036"/>
        <v>0</v>
      </c>
      <c r="BX1443" s="57">
        <f t="shared" si="1060"/>
        <v>0</v>
      </c>
      <c r="BY1443" s="57">
        <f t="shared" si="1064"/>
        <v>0</v>
      </c>
      <c r="BZ1443" s="8">
        <f t="shared" si="1037"/>
        <v>0</v>
      </c>
      <c r="CA1443" s="8">
        <f t="shared" si="1038"/>
        <v>0</v>
      </c>
      <c r="CB1443" s="8">
        <f t="shared" si="1039"/>
        <v>0</v>
      </c>
      <c r="CC1443" s="8">
        <f t="shared" si="1040"/>
        <v>0</v>
      </c>
      <c r="CD1443" s="8">
        <f t="shared" si="1041"/>
        <v>0</v>
      </c>
      <c r="CE1443" s="8">
        <f t="shared" si="1042"/>
        <v>0</v>
      </c>
      <c r="CF1443" s="8">
        <f t="shared" si="1043"/>
        <v>0</v>
      </c>
      <c r="CG1443" s="8">
        <f t="shared" si="1044"/>
        <v>0</v>
      </c>
      <c r="CH1443" s="8">
        <f t="shared" si="1045"/>
        <v>0</v>
      </c>
      <c r="CI1443" s="8">
        <f t="shared" si="1046"/>
        <v>0</v>
      </c>
      <c r="CJ1443" s="8">
        <f t="shared" si="1047"/>
        <v>0</v>
      </c>
      <c r="CK1443" s="8">
        <f t="shared" si="1048"/>
        <v>0</v>
      </c>
      <c r="CL1443" s="8">
        <f t="shared" si="1049"/>
        <v>0</v>
      </c>
      <c r="CM1443" s="8">
        <f t="shared" si="1050"/>
        <v>0</v>
      </c>
      <c r="CN1443" s="8">
        <f t="shared" si="1051"/>
        <v>0</v>
      </c>
      <c r="CO1443" s="8">
        <f t="shared" si="1052"/>
        <v>0</v>
      </c>
      <c r="CP1443" s="8">
        <f t="shared" si="1053"/>
        <v>0</v>
      </c>
      <c r="CQ1443" s="8">
        <f t="shared" si="1054"/>
        <v>0</v>
      </c>
      <c r="CR1443" s="8">
        <f t="shared" si="1055"/>
        <v>0</v>
      </c>
      <c r="CS1443" s="8">
        <f t="shared" si="1056"/>
        <v>0</v>
      </c>
      <c r="CT1443" s="8">
        <f t="shared" si="1061"/>
        <v>0</v>
      </c>
      <c r="CU1443" s="8">
        <f t="shared" si="1062"/>
        <v>0</v>
      </c>
      <c r="CV1443" s="8">
        <f t="shared" si="1063"/>
        <v>0</v>
      </c>
    </row>
    <row r="1444" spans="1:100" ht="20.5" thickTop="1" thickBot="1" x14ac:dyDescent="0.5">
      <c r="A1444" s="32"/>
      <c r="B1444" s="10"/>
      <c r="C1444" s="10"/>
      <c r="D1444" s="11"/>
      <c r="E1444" s="10"/>
      <c r="F1444" s="10"/>
      <c r="G1444" s="19"/>
      <c r="H1444" s="19"/>
      <c r="I1444" s="19"/>
      <c r="J1444" s="19"/>
      <c r="K1444" s="10"/>
      <c r="L1444" s="10"/>
      <c r="M1444" s="10"/>
      <c r="N1444" s="10"/>
      <c r="O1444" s="18"/>
      <c r="P1444" s="18"/>
      <c r="Q1444" s="21"/>
      <c r="R1444" s="20"/>
      <c r="S1444" s="16">
        <f t="shared" si="1019"/>
        <v>0</v>
      </c>
      <c r="T1444" s="11"/>
      <c r="AS1444" s="31">
        <f t="shared" si="1020"/>
        <v>0</v>
      </c>
      <c r="AT1444" s="31">
        <f t="shared" si="1021"/>
        <v>0</v>
      </c>
      <c r="AU1444" s="31">
        <f t="shared" si="1022"/>
        <v>0</v>
      </c>
      <c r="AV1444" s="31">
        <f t="shared" si="1023"/>
        <v>0</v>
      </c>
      <c r="AW1444" s="31">
        <f t="shared" si="1024"/>
        <v>0</v>
      </c>
      <c r="AX1444" s="31">
        <f t="shared" si="1025"/>
        <v>0</v>
      </c>
      <c r="AY1444" s="31">
        <f t="shared" si="1026"/>
        <v>0</v>
      </c>
      <c r="AZ1444" s="31">
        <f t="shared" si="1027"/>
        <v>0</v>
      </c>
      <c r="BA1444" s="31">
        <f t="shared" si="1028"/>
        <v>0</v>
      </c>
      <c r="BB1444" s="31">
        <f t="shared" si="1057"/>
        <v>0</v>
      </c>
      <c r="BM1444" s="8">
        <f t="shared" si="1058"/>
        <v>0</v>
      </c>
      <c r="BN1444" s="8">
        <f t="shared" si="1029"/>
        <v>0</v>
      </c>
      <c r="BO1444" s="8">
        <f t="shared" si="1030"/>
        <v>0</v>
      </c>
      <c r="BQ1444" s="8">
        <f t="shared" si="1031"/>
        <v>0</v>
      </c>
      <c r="BR1444" s="63">
        <f t="shared" si="1032"/>
        <v>0</v>
      </c>
      <c r="BS1444" s="63">
        <f t="shared" si="1059"/>
        <v>0</v>
      </c>
      <c r="BT1444" s="63">
        <f t="shared" si="1033"/>
        <v>0</v>
      </c>
      <c r="BU1444" s="63">
        <f t="shared" si="1034"/>
        <v>0</v>
      </c>
      <c r="BV1444" s="57">
        <f t="shared" si="1035"/>
        <v>0</v>
      </c>
      <c r="BW1444" s="57">
        <f t="shared" si="1036"/>
        <v>0</v>
      </c>
      <c r="BX1444" s="57">
        <f t="shared" si="1060"/>
        <v>0</v>
      </c>
      <c r="BY1444" s="57">
        <f t="shared" si="1064"/>
        <v>0</v>
      </c>
      <c r="BZ1444" s="8">
        <f t="shared" si="1037"/>
        <v>0</v>
      </c>
      <c r="CA1444" s="8">
        <f t="shared" si="1038"/>
        <v>0</v>
      </c>
      <c r="CB1444" s="8">
        <f t="shared" si="1039"/>
        <v>0</v>
      </c>
      <c r="CC1444" s="8">
        <f t="shared" si="1040"/>
        <v>0</v>
      </c>
      <c r="CD1444" s="8">
        <f t="shared" si="1041"/>
        <v>0</v>
      </c>
      <c r="CE1444" s="8">
        <f t="shared" si="1042"/>
        <v>0</v>
      </c>
      <c r="CF1444" s="8">
        <f t="shared" si="1043"/>
        <v>0</v>
      </c>
      <c r="CG1444" s="8">
        <f t="shared" si="1044"/>
        <v>0</v>
      </c>
      <c r="CH1444" s="8">
        <f t="shared" si="1045"/>
        <v>0</v>
      </c>
      <c r="CI1444" s="8">
        <f t="shared" si="1046"/>
        <v>0</v>
      </c>
      <c r="CJ1444" s="8">
        <f t="shared" si="1047"/>
        <v>0</v>
      </c>
      <c r="CK1444" s="8">
        <f t="shared" si="1048"/>
        <v>0</v>
      </c>
      <c r="CL1444" s="8">
        <f t="shared" si="1049"/>
        <v>0</v>
      </c>
      <c r="CM1444" s="8">
        <f t="shared" si="1050"/>
        <v>0</v>
      </c>
      <c r="CN1444" s="8">
        <f t="shared" si="1051"/>
        <v>0</v>
      </c>
      <c r="CO1444" s="8">
        <f t="shared" si="1052"/>
        <v>0</v>
      </c>
      <c r="CP1444" s="8">
        <f t="shared" si="1053"/>
        <v>0</v>
      </c>
      <c r="CQ1444" s="8">
        <f t="shared" si="1054"/>
        <v>0</v>
      </c>
      <c r="CR1444" s="8">
        <f t="shared" si="1055"/>
        <v>0</v>
      </c>
      <c r="CS1444" s="8">
        <f t="shared" si="1056"/>
        <v>0</v>
      </c>
      <c r="CT1444" s="8">
        <f t="shared" si="1061"/>
        <v>0</v>
      </c>
      <c r="CU1444" s="8">
        <f t="shared" si="1062"/>
        <v>0</v>
      </c>
      <c r="CV1444" s="8">
        <f t="shared" si="1063"/>
        <v>0</v>
      </c>
    </row>
    <row r="1445" spans="1:100" ht="20.5" thickTop="1" thickBot="1" x14ac:dyDescent="0.5">
      <c r="A1445" s="32"/>
      <c r="B1445" s="10"/>
      <c r="C1445" s="10"/>
      <c r="D1445" s="11"/>
      <c r="E1445" s="10"/>
      <c r="F1445" s="10"/>
      <c r="G1445" s="19"/>
      <c r="H1445" s="19"/>
      <c r="I1445" s="19"/>
      <c r="J1445" s="19"/>
      <c r="K1445" s="10"/>
      <c r="L1445" s="10"/>
      <c r="M1445" s="10"/>
      <c r="N1445" s="10"/>
      <c r="O1445" s="18"/>
      <c r="P1445" s="18"/>
      <c r="Q1445" s="21"/>
      <c r="R1445" s="20"/>
      <c r="S1445" s="16">
        <f t="shared" si="1019"/>
        <v>0</v>
      </c>
      <c r="T1445" s="11"/>
      <c r="AS1445" s="31">
        <f t="shared" si="1020"/>
        <v>0</v>
      </c>
      <c r="AT1445" s="31">
        <f t="shared" si="1021"/>
        <v>0</v>
      </c>
      <c r="AU1445" s="31">
        <f t="shared" si="1022"/>
        <v>0</v>
      </c>
      <c r="AV1445" s="31">
        <f t="shared" si="1023"/>
        <v>0</v>
      </c>
      <c r="AW1445" s="31">
        <f t="shared" si="1024"/>
        <v>0</v>
      </c>
      <c r="AX1445" s="31">
        <f t="shared" si="1025"/>
        <v>0</v>
      </c>
      <c r="AY1445" s="31">
        <f t="shared" si="1026"/>
        <v>0</v>
      </c>
      <c r="AZ1445" s="31">
        <f t="shared" si="1027"/>
        <v>0</v>
      </c>
      <c r="BA1445" s="31">
        <f t="shared" si="1028"/>
        <v>0</v>
      </c>
      <c r="BB1445" s="31">
        <f t="shared" si="1057"/>
        <v>0</v>
      </c>
      <c r="BM1445" s="8">
        <f t="shared" si="1058"/>
        <v>0</v>
      </c>
      <c r="BN1445" s="8">
        <f t="shared" si="1029"/>
        <v>0</v>
      </c>
      <c r="BO1445" s="8">
        <f t="shared" si="1030"/>
        <v>0</v>
      </c>
      <c r="BQ1445" s="8">
        <f t="shared" si="1031"/>
        <v>0</v>
      </c>
      <c r="BR1445" s="63">
        <f t="shared" si="1032"/>
        <v>0</v>
      </c>
      <c r="BS1445" s="63">
        <f t="shared" si="1059"/>
        <v>0</v>
      </c>
      <c r="BT1445" s="63">
        <f t="shared" si="1033"/>
        <v>0</v>
      </c>
      <c r="BU1445" s="63">
        <f t="shared" si="1034"/>
        <v>0</v>
      </c>
      <c r="BV1445" s="57">
        <f t="shared" si="1035"/>
        <v>0</v>
      </c>
      <c r="BW1445" s="57">
        <f t="shared" si="1036"/>
        <v>0</v>
      </c>
      <c r="BX1445" s="57">
        <f t="shared" si="1060"/>
        <v>0</v>
      </c>
      <c r="BY1445" s="57">
        <f t="shared" si="1064"/>
        <v>0</v>
      </c>
      <c r="BZ1445" s="8">
        <f t="shared" si="1037"/>
        <v>0</v>
      </c>
      <c r="CA1445" s="8">
        <f t="shared" si="1038"/>
        <v>0</v>
      </c>
      <c r="CB1445" s="8">
        <f t="shared" si="1039"/>
        <v>0</v>
      </c>
      <c r="CC1445" s="8">
        <f t="shared" si="1040"/>
        <v>0</v>
      </c>
      <c r="CD1445" s="8">
        <f t="shared" si="1041"/>
        <v>0</v>
      </c>
      <c r="CE1445" s="8">
        <f t="shared" si="1042"/>
        <v>0</v>
      </c>
      <c r="CF1445" s="8">
        <f t="shared" si="1043"/>
        <v>0</v>
      </c>
      <c r="CG1445" s="8">
        <f t="shared" si="1044"/>
        <v>0</v>
      </c>
      <c r="CH1445" s="8">
        <f t="shared" si="1045"/>
        <v>0</v>
      </c>
      <c r="CI1445" s="8">
        <f t="shared" si="1046"/>
        <v>0</v>
      </c>
      <c r="CJ1445" s="8">
        <f t="shared" si="1047"/>
        <v>0</v>
      </c>
      <c r="CK1445" s="8">
        <f t="shared" si="1048"/>
        <v>0</v>
      </c>
      <c r="CL1445" s="8">
        <f t="shared" si="1049"/>
        <v>0</v>
      </c>
      <c r="CM1445" s="8">
        <f t="shared" si="1050"/>
        <v>0</v>
      </c>
      <c r="CN1445" s="8">
        <f t="shared" si="1051"/>
        <v>0</v>
      </c>
      <c r="CO1445" s="8">
        <f t="shared" si="1052"/>
        <v>0</v>
      </c>
      <c r="CP1445" s="8">
        <f t="shared" si="1053"/>
        <v>0</v>
      </c>
      <c r="CQ1445" s="8">
        <f t="shared" si="1054"/>
        <v>0</v>
      </c>
      <c r="CR1445" s="8">
        <f t="shared" si="1055"/>
        <v>0</v>
      </c>
      <c r="CS1445" s="8">
        <f t="shared" si="1056"/>
        <v>0</v>
      </c>
      <c r="CT1445" s="8">
        <f t="shared" si="1061"/>
        <v>0</v>
      </c>
      <c r="CU1445" s="8">
        <f t="shared" si="1062"/>
        <v>0</v>
      </c>
      <c r="CV1445" s="8">
        <f t="shared" si="1063"/>
        <v>0</v>
      </c>
    </row>
    <row r="1446" spans="1:100" ht="20.5" thickTop="1" thickBot="1" x14ac:dyDescent="0.5">
      <c r="A1446" s="32"/>
      <c r="B1446" s="10"/>
      <c r="C1446" s="10"/>
      <c r="D1446" s="11"/>
      <c r="E1446" s="10"/>
      <c r="F1446" s="10"/>
      <c r="G1446" s="19"/>
      <c r="H1446" s="19"/>
      <c r="I1446" s="19"/>
      <c r="J1446" s="19"/>
      <c r="K1446" s="10"/>
      <c r="L1446" s="10"/>
      <c r="M1446" s="10"/>
      <c r="N1446" s="10"/>
      <c r="O1446" s="18"/>
      <c r="P1446" s="18"/>
      <c r="Q1446" s="21"/>
      <c r="R1446" s="20"/>
      <c r="S1446" s="16">
        <f t="shared" si="1019"/>
        <v>0</v>
      </c>
      <c r="T1446" s="11"/>
      <c r="AS1446" s="31">
        <f t="shared" si="1020"/>
        <v>0</v>
      </c>
      <c r="AT1446" s="31">
        <f t="shared" si="1021"/>
        <v>0</v>
      </c>
      <c r="AU1446" s="31">
        <f t="shared" si="1022"/>
        <v>0</v>
      </c>
      <c r="AV1446" s="31">
        <f t="shared" si="1023"/>
        <v>0</v>
      </c>
      <c r="AW1446" s="31">
        <f t="shared" si="1024"/>
        <v>0</v>
      </c>
      <c r="AX1446" s="31">
        <f t="shared" si="1025"/>
        <v>0</v>
      </c>
      <c r="AY1446" s="31">
        <f t="shared" si="1026"/>
        <v>0</v>
      </c>
      <c r="AZ1446" s="31">
        <f t="shared" si="1027"/>
        <v>0</v>
      </c>
      <c r="BA1446" s="31">
        <f t="shared" si="1028"/>
        <v>0</v>
      </c>
      <c r="BB1446" s="31">
        <f t="shared" si="1057"/>
        <v>0</v>
      </c>
      <c r="BM1446" s="8">
        <f t="shared" si="1058"/>
        <v>0</v>
      </c>
      <c r="BN1446" s="8">
        <f t="shared" si="1029"/>
        <v>0</v>
      </c>
      <c r="BO1446" s="8">
        <f t="shared" si="1030"/>
        <v>0</v>
      </c>
      <c r="BQ1446" s="8">
        <f t="shared" si="1031"/>
        <v>0</v>
      </c>
      <c r="BR1446" s="63">
        <f t="shared" si="1032"/>
        <v>0</v>
      </c>
      <c r="BS1446" s="63">
        <f t="shared" si="1059"/>
        <v>0</v>
      </c>
      <c r="BT1446" s="63">
        <f t="shared" si="1033"/>
        <v>0</v>
      </c>
      <c r="BU1446" s="63">
        <f t="shared" si="1034"/>
        <v>0</v>
      </c>
      <c r="BV1446" s="57">
        <f t="shared" si="1035"/>
        <v>0</v>
      </c>
      <c r="BW1446" s="57">
        <f t="shared" si="1036"/>
        <v>0</v>
      </c>
      <c r="BX1446" s="57">
        <f t="shared" si="1060"/>
        <v>0</v>
      </c>
      <c r="BY1446" s="57">
        <f t="shared" si="1064"/>
        <v>0</v>
      </c>
      <c r="BZ1446" s="8">
        <f t="shared" si="1037"/>
        <v>0</v>
      </c>
      <c r="CA1446" s="8">
        <f t="shared" si="1038"/>
        <v>0</v>
      </c>
      <c r="CB1446" s="8">
        <f t="shared" si="1039"/>
        <v>0</v>
      </c>
      <c r="CC1446" s="8">
        <f t="shared" si="1040"/>
        <v>0</v>
      </c>
      <c r="CD1446" s="8">
        <f t="shared" si="1041"/>
        <v>0</v>
      </c>
      <c r="CE1446" s="8">
        <f t="shared" si="1042"/>
        <v>0</v>
      </c>
      <c r="CF1446" s="8">
        <f t="shared" si="1043"/>
        <v>0</v>
      </c>
      <c r="CG1446" s="8">
        <f t="shared" si="1044"/>
        <v>0</v>
      </c>
      <c r="CH1446" s="8">
        <f t="shared" si="1045"/>
        <v>0</v>
      </c>
      <c r="CI1446" s="8">
        <f t="shared" si="1046"/>
        <v>0</v>
      </c>
      <c r="CJ1446" s="8">
        <f t="shared" si="1047"/>
        <v>0</v>
      </c>
      <c r="CK1446" s="8">
        <f t="shared" si="1048"/>
        <v>0</v>
      </c>
      <c r="CL1446" s="8">
        <f t="shared" si="1049"/>
        <v>0</v>
      </c>
      <c r="CM1446" s="8">
        <f t="shared" si="1050"/>
        <v>0</v>
      </c>
      <c r="CN1446" s="8">
        <f t="shared" si="1051"/>
        <v>0</v>
      </c>
      <c r="CO1446" s="8">
        <f t="shared" si="1052"/>
        <v>0</v>
      </c>
      <c r="CP1446" s="8">
        <f t="shared" si="1053"/>
        <v>0</v>
      </c>
      <c r="CQ1446" s="8">
        <f t="shared" si="1054"/>
        <v>0</v>
      </c>
      <c r="CR1446" s="8">
        <f t="shared" si="1055"/>
        <v>0</v>
      </c>
      <c r="CS1446" s="8">
        <f t="shared" si="1056"/>
        <v>0</v>
      </c>
      <c r="CT1446" s="8">
        <f t="shared" si="1061"/>
        <v>0</v>
      </c>
      <c r="CU1446" s="8">
        <f t="shared" si="1062"/>
        <v>0</v>
      </c>
      <c r="CV1446" s="8">
        <f t="shared" si="1063"/>
        <v>0</v>
      </c>
    </row>
    <row r="1447" spans="1:100" ht="20.5" thickTop="1" thickBot="1" x14ac:dyDescent="0.5">
      <c r="A1447" s="32"/>
      <c r="B1447" s="10"/>
      <c r="C1447" s="10"/>
      <c r="D1447" s="11"/>
      <c r="E1447" s="10"/>
      <c r="F1447" s="10"/>
      <c r="G1447" s="19"/>
      <c r="H1447" s="19"/>
      <c r="I1447" s="19"/>
      <c r="J1447" s="19"/>
      <c r="K1447" s="10"/>
      <c r="L1447" s="10"/>
      <c r="M1447" s="10"/>
      <c r="N1447" s="10"/>
      <c r="O1447" s="18"/>
      <c r="P1447" s="18"/>
      <c r="Q1447" s="21"/>
      <c r="R1447" s="20"/>
      <c r="S1447" s="16">
        <f t="shared" si="1019"/>
        <v>0</v>
      </c>
      <c r="T1447" s="11"/>
      <c r="AS1447" s="31">
        <f t="shared" si="1020"/>
        <v>0</v>
      </c>
      <c r="AT1447" s="31">
        <f t="shared" si="1021"/>
        <v>0</v>
      </c>
      <c r="AU1447" s="31">
        <f t="shared" si="1022"/>
        <v>0</v>
      </c>
      <c r="AV1447" s="31">
        <f t="shared" si="1023"/>
        <v>0</v>
      </c>
      <c r="AW1447" s="31">
        <f t="shared" si="1024"/>
        <v>0</v>
      </c>
      <c r="AX1447" s="31">
        <f t="shared" si="1025"/>
        <v>0</v>
      </c>
      <c r="AY1447" s="31">
        <f t="shared" si="1026"/>
        <v>0</v>
      </c>
      <c r="AZ1447" s="31">
        <f t="shared" si="1027"/>
        <v>0</v>
      </c>
      <c r="BA1447" s="31">
        <f t="shared" si="1028"/>
        <v>0</v>
      </c>
      <c r="BB1447" s="31">
        <f t="shared" si="1057"/>
        <v>0</v>
      </c>
      <c r="BM1447" s="8">
        <f t="shared" si="1058"/>
        <v>0</v>
      </c>
      <c r="BN1447" s="8">
        <f t="shared" si="1029"/>
        <v>0</v>
      </c>
      <c r="BO1447" s="8">
        <f t="shared" si="1030"/>
        <v>0</v>
      </c>
      <c r="BQ1447" s="8">
        <f t="shared" si="1031"/>
        <v>0</v>
      </c>
      <c r="BR1447" s="63">
        <f t="shared" si="1032"/>
        <v>0</v>
      </c>
      <c r="BS1447" s="63">
        <f t="shared" si="1059"/>
        <v>0</v>
      </c>
      <c r="BT1447" s="63">
        <f t="shared" si="1033"/>
        <v>0</v>
      </c>
      <c r="BU1447" s="63">
        <f t="shared" si="1034"/>
        <v>0</v>
      </c>
      <c r="BV1447" s="57">
        <f t="shared" si="1035"/>
        <v>0</v>
      </c>
      <c r="BW1447" s="57">
        <f t="shared" si="1036"/>
        <v>0</v>
      </c>
      <c r="BX1447" s="57">
        <f t="shared" si="1060"/>
        <v>0</v>
      </c>
      <c r="BY1447" s="57">
        <f t="shared" si="1064"/>
        <v>0</v>
      </c>
      <c r="BZ1447" s="8">
        <f t="shared" si="1037"/>
        <v>0</v>
      </c>
      <c r="CA1447" s="8">
        <f t="shared" si="1038"/>
        <v>0</v>
      </c>
      <c r="CB1447" s="8">
        <f t="shared" si="1039"/>
        <v>0</v>
      </c>
      <c r="CC1447" s="8">
        <f t="shared" si="1040"/>
        <v>0</v>
      </c>
      <c r="CD1447" s="8">
        <f t="shared" si="1041"/>
        <v>0</v>
      </c>
      <c r="CE1447" s="8">
        <f t="shared" si="1042"/>
        <v>0</v>
      </c>
      <c r="CF1447" s="8">
        <f t="shared" si="1043"/>
        <v>0</v>
      </c>
      <c r="CG1447" s="8">
        <f t="shared" si="1044"/>
        <v>0</v>
      </c>
      <c r="CH1447" s="8">
        <f t="shared" si="1045"/>
        <v>0</v>
      </c>
      <c r="CI1447" s="8">
        <f t="shared" si="1046"/>
        <v>0</v>
      </c>
      <c r="CJ1447" s="8">
        <f t="shared" si="1047"/>
        <v>0</v>
      </c>
      <c r="CK1447" s="8">
        <f t="shared" si="1048"/>
        <v>0</v>
      </c>
      <c r="CL1447" s="8">
        <f t="shared" si="1049"/>
        <v>0</v>
      </c>
      <c r="CM1447" s="8">
        <f t="shared" si="1050"/>
        <v>0</v>
      </c>
      <c r="CN1447" s="8">
        <f t="shared" si="1051"/>
        <v>0</v>
      </c>
      <c r="CO1447" s="8">
        <f t="shared" si="1052"/>
        <v>0</v>
      </c>
      <c r="CP1447" s="8">
        <f t="shared" si="1053"/>
        <v>0</v>
      </c>
      <c r="CQ1447" s="8">
        <f t="shared" si="1054"/>
        <v>0</v>
      </c>
      <c r="CR1447" s="8">
        <f t="shared" si="1055"/>
        <v>0</v>
      </c>
      <c r="CS1447" s="8">
        <f t="shared" si="1056"/>
        <v>0</v>
      </c>
      <c r="CT1447" s="8">
        <f t="shared" si="1061"/>
        <v>0</v>
      </c>
      <c r="CU1447" s="8">
        <f t="shared" si="1062"/>
        <v>0</v>
      </c>
      <c r="CV1447" s="8">
        <f t="shared" si="1063"/>
        <v>0</v>
      </c>
    </row>
    <row r="1448" spans="1:100" ht="20.5" thickTop="1" thickBot="1" x14ac:dyDescent="0.5">
      <c r="A1448" s="32"/>
      <c r="B1448" s="10"/>
      <c r="C1448" s="10"/>
      <c r="D1448" s="11"/>
      <c r="E1448" s="10"/>
      <c r="F1448" s="10"/>
      <c r="G1448" s="19"/>
      <c r="H1448" s="19"/>
      <c r="I1448" s="19"/>
      <c r="J1448" s="19"/>
      <c r="K1448" s="10"/>
      <c r="L1448" s="10"/>
      <c r="M1448" s="10"/>
      <c r="N1448" s="10"/>
      <c r="O1448" s="18"/>
      <c r="P1448" s="18"/>
      <c r="Q1448" s="21"/>
      <c r="R1448" s="20"/>
      <c r="S1448" s="16">
        <f t="shared" si="1019"/>
        <v>0</v>
      </c>
      <c r="T1448" s="11"/>
      <c r="AS1448" s="31">
        <f t="shared" si="1020"/>
        <v>0</v>
      </c>
      <c r="AT1448" s="31">
        <f t="shared" si="1021"/>
        <v>0</v>
      </c>
      <c r="AU1448" s="31">
        <f t="shared" si="1022"/>
        <v>0</v>
      </c>
      <c r="AV1448" s="31">
        <f t="shared" si="1023"/>
        <v>0</v>
      </c>
      <c r="AW1448" s="31">
        <f t="shared" si="1024"/>
        <v>0</v>
      </c>
      <c r="AX1448" s="31">
        <f t="shared" si="1025"/>
        <v>0</v>
      </c>
      <c r="AY1448" s="31">
        <f t="shared" si="1026"/>
        <v>0</v>
      </c>
      <c r="AZ1448" s="31">
        <f t="shared" si="1027"/>
        <v>0</v>
      </c>
      <c r="BA1448" s="31">
        <f t="shared" si="1028"/>
        <v>0</v>
      </c>
      <c r="BB1448" s="31">
        <f t="shared" si="1057"/>
        <v>0</v>
      </c>
      <c r="BM1448" s="8">
        <f t="shared" si="1058"/>
        <v>0</v>
      </c>
      <c r="BN1448" s="8">
        <f t="shared" si="1029"/>
        <v>0</v>
      </c>
      <c r="BO1448" s="8">
        <f t="shared" si="1030"/>
        <v>0</v>
      </c>
      <c r="BQ1448" s="8">
        <f t="shared" si="1031"/>
        <v>0</v>
      </c>
      <c r="BR1448" s="63">
        <f t="shared" si="1032"/>
        <v>0</v>
      </c>
      <c r="BS1448" s="63">
        <f t="shared" si="1059"/>
        <v>0</v>
      </c>
      <c r="BT1448" s="63">
        <f t="shared" si="1033"/>
        <v>0</v>
      </c>
      <c r="BU1448" s="63">
        <f t="shared" si="1034"/>
        <v>0</v>
      </c>
      <c r="BV1448" s="57">
        <f t="shared" si="1035"/>
        <v>0</v>
      </c>
      <c r="BW1448" s="57">
        <f t="shared" si="1036"/>
        <v>0</v>
      </c>
      <c r="BX1448" s="57">
        <f t="shared" si="1060"/>
        <v>0</v>
      </c>
      <c r="BY1448" s="57">
        <f t="shared" si="1064"/>
        <v>0</v>
      </c>
      <c r="BZ1448" s="8">
        <f t="shared" si="1037"/>
        <v>0</v>
      </c>
      <c r="CA1448" s="8">
        <f t="shared" si="1038"/>
        <v>0</v>
      </c>
      <c r="CB1448" s="8">
        <f t="shared" si="1039"/>
        <v>0</v>
      </c>
      <c r="CC1448" s="8">
        <f t="shared" si="1040"/>
        <v>0</v>
      </c>
      <c r="CD1448" s="8">
        <f t="shared" si="1041"/>
        <v>0</v>
      </c>
      <c r="CE1448" s="8">
        <f t="shared" si="1042"/>
        <v>0</v>
      </c>
      <c r="CF1448" s="8">
        <f t="shared" si="1043"/>
        <v>0</v>
      </c>
      <c r="CG1448" s="8">
        <f t="shared" si="1044"/>
        <v>0</v>
      </c>
      <c r="CH1448" s="8">
        <f t="shared" si="1045"/>
        <v>0</v>
      </c>
      <c r="CI1448" s="8">
        <f t="shared" si="1046"/>
        <v>0</v>
      </c>
      <c r="CJ1448" s="8">
        <f t="shared" si="1047"/>
        <v>0</v>
      </c>
      <c r="CK1448" s="8">
        <f t="shared" si="1048"/>
        <v>0</v>
      </c>
      <c r="CL1448" s="8">
        <f t="shared" si="1049"/>
        <v>0</v>
      </c>
      <c r="CM1448" s="8">
        <f t="shared" si="1050"/>
        <v>0</v>
      </c>
      <c r="CN1448" s="8">
        <f t="shared" si="1051"/>
        <v>0</v>
      </c>
      <c r="CO1448" s="8">
        <f t="shared" si="1052"/>
        <v>0</v>
      </c>
      <c r="CP1448" s="8">
        <f t="shared" si="1053"/>
        <v>0</v>
      </c>
      <c r="CQ1448" s="8">
        <f t="shared" si="1054"/>
        <v>0</v>
      </c>
      <c r="CR1448" s="8">
        <f t="shared" si="1055"/>
        <v>0</v>
      </c>
      <c r="CS1448" s="8">
        <f t="shared" si="1056"/>
        <v>0</v>
      </c>
      <c r="CT1448" s="8">
        <f t="shared" si="1061"/>
        <v>0</v>
      </c>
      <c r="CU1448" s="8">
        <f t="shared" si="1062"/>
        <v>0</v>
      </c>
      <c r="CV1448" s="8">
        <f t="shared" si="1063"/>
        <v>0</v>
      </c>
    </row>
    <row r="1449" spans="1:100" ht="20.5" thickTop="1" thickBot="1" x14ac:dyDescent="0.5">
      <c r="A1449" s="32"/>
      <c r="B1449" s="10"/>
      <c r="C1449" s="10"/>
      <c r="D1449" s="11"/>
      <c r="E1449" s="10"/>
      <c r="F1449" s="10"/>
      <c r="G1449" s="19"/>
      <c r="H1449" s="19"/>
      <c r="I1449" s="19"/>
      <c r="J1449" s="19"/>
      <c r="K1449" s="10"/>
      <c r="L1449" s="10"/>
      <c r="M1449" s="10"/>
      <c r="N1449" s="10"/>
      <c r="O1449" s="18"/>
      <c r="P1449" s="18"/>
      <c r="Q1449" s="21"/>
      <c r="R1449" s="20"/>
      <c r="S1449" s="16">
        <f t="shared" si="1019"/>
        <v>0</v>
      </c>
      <c r="T1449" s="11"/>
      <c r="AS1449" s="31">
        <f t="shared" si="1020"/>
        <v>0</v>
      </c>
      <c r="AT1449" s="31">
        <f t="shared" si="1021"/>
        <v>0</v>
      </c>
      <c r="AU1449" s="31">
        <f t="shared" si="1022"/>
        <v>0</v>
      </c>
      <c r="AV1449" s="31">
        <f t="shared" si="1023"/>
        <v>0</v>
      </c>
      <c r="AW1449" s="31">
        <f t="shared" si="1024"/>
        <v>0</v>
      </c>
      <c r="AX1449" s="31">
        <f t="shared" si="1025"/>
        <v>0</v>
      </c>
      <c r="AY1449" s="31">
        <f t="shared" si="1026"/>
        <v>0</v>
      </c>
      <c r="AZ1449" s="31">
        <f t="shared" si="1027"/>
        <v>0</v>
      </c>
      <c r="BA1449" s="31">
        <f t="shared" si="1028"/>
        <v>0</v>
      </c>
      <c r="BB1449" s="31">
        <f t="shared" si="1057"/>
        <v>0</v>
      </c>
      <c r="BM1449" s="8">
        <f t="shared" si="1058"/>
        <v>0</v>
      </c>
      <c r="BN1449" s="8">
        <f t="shared" si="1029"/>
        <v>0</v>
      </c>
      <c r="BO1449" s="8">
        <f t="shared" si="1030"/>
        <v>0</v>
      </c>
      <c r="BQ1449" s="8">
        <f t="shared" si="1031"/>
        <v>0</v>
      </c>
      <c r="BR1449" s="63">
        <f t="shared" si="1032"/>
        <v>0</v>
      </c>
      <c r="BS1449" s="63">
        <f t="shared" si="1059"/>
        <v>0</v>
      </c>
      <c r="BT1449" s="63">
        <f t="shared" si="1033"/>
        <v>0</v>
      </c>
      <c r="BU1449" s="63">
        <f t="shared" si="1034"/>
        <v>0</v>
      </c>
      <c r="BV1449" s="57">
        <f t="shared" si="1035"/>
        <v>0</v>
      </c>
      <c r="BW1449" s="57">
        <f t="shared" si="1036"/>
        <v>0</v>
      </c>
      <c r="BX1449" s="57">
        <f t="shared" si="1060"/>
        <v>0</v>
      </c>
      <c r="BY1449" s="57">
        <f t="shared" si="1064"/>
        <v>0</v>
      </c>
      <c r="BZ1449" s="8">
        <f t="shared" si="1037"/>
        <v>0</v>
      </c>
      <c r="CA1449" s="8">
        <f t="shared" si="1038"/>
        <v>0</v>
      </c>
      <c r="CB1449" s="8">
        <f t="shared" si="1039"/>
        <v>0</v>
      </c>
      <c r="CC1449" s="8">
        <f t="shared" si="1040"/>
        <v>0</v>
      </c>
      <c r="CD1449" s="8">
        <f t="shared" si="1041"/>
        <v>0</v>
      </c>
      <c r="CE1449" s="8">
        <f t="shared" si="1042"/>
        <v>0</v>
      </c>
      <c r="CF1449" s="8">
        <f t="shared" si="1043"/>
        <v>0</v>
      </c>
      <c r="CG1449" s="8">
        <f t="shared" si="1044"/>
        <v>0</v>
      </c>
      <c r="CH1449" s="8">
        <f t="shared" si="1045"/>
        <v>0</v>
      </c>
      <c r="CI1449" s="8">
        <f t="shared" si="1046"/>
        <v>0</v>
      </c>
      <c r="CJ1449" s="8">
        <f t="shared" si="1047"/>
        <v>0</v>
      </c>
      <c r="CK1449" s="8">
        <f t="shared" si="1048"/>
        <v>0</v>
      </c>
      <c r="CL1449" s="8">
        <f t="shared" si="1049"/>
        <v>0</v>
      </c>
      <c r="CM1449" s="8">
        <f t="shared" si="1050"/>
        <v>0</v>
      </c>
      <c r="CN1449" s="8">
        <f t="shared" si="1051"/>
        <v>0</v>
      </c>
      <c r="CO1449" s="8">
        <f t="shared" si="1052"/>
        <v>0</v>
      </c>
      <c r="CP1449" s="8">
        <f t="shared" si="1053"/>
        <v>0</v>
      </c>
      <c r="CQ1449" s="8">
        <f t="shared" si="1054"/>
        <v>0</v>
      </c>
      <c r="CR1449" s="8">
        <f t="shared" si="1055"/>
        <v>0</v>
      </c>
      <c r="CS1449" s="8">
        <f t="shared" si="1056"/>
        <v>0</v>
      </c>
      <c r="CT1449" s="8">
        <f t="shared" si="1061"/>
        <v>0</v>
      </c>
      <c r="CU1449" s="8">
        <f t="shared" si="1062"/>
        <v>0</v>
      </c>
      <c r="CV1449" s="8">
        <f t="shared" si="1063"/>
        <v>0</v>
      </c>
    </row>
    <row r="1450" spans="1:100" ht="20.5" thickTop="1" thickBot="1" x14ac:dyDescent="0.5">
      <c r="A1450" s="32"/>
      <c r="B1450" s="10"/>
      <c r="C1450" s="10"/>
      <c r="D1450" s="11"/>
      <c r="E1450" s="10"/>
      <c r="F1450" s="10"/>
      <c r="G1450" s="19"/>
      <c r="H1450" s="19"/>
      <c r="I1450" s="19"/>
      <c r="J1450" s="19"/>
      <c r="K1450" s="10"/>
      <c r="L1450" s="10"/>
      <c r="M1450" s="10"/>
      <c r="N1450" s="10"/>
      <c r="O1450" s="18"/>
      <c r="P1450" s="18"/>
      <c r="Q1450" s="21"/>
      <c r="R1450" s="20"/>
      <c r="S1450" s="16">
        <f t="shared" si="1019"/>
        <v>0</v>
      </c>
      <c r="T1450" s="11"/>
      <c r="AS1450" s="31">
        <f t="shared" si="1020"/>
        <v>0</v>
      </c>
      <c r="AT1450" s="31">
        <f t="shared" si="1021"/>
        <v>0</v>
      </c>
      <c r="AU1450" s="31">
        <f t="shared" si="1022"/>
        <v>0</v>
      </c>
      <c r="AV1450" s="31">
        <f t="shared" si="1023"/>
        <v>0</v>
      </c>
      <c r="AW1450" s="31">
        <f t="shared" si="1024"/>
        <v>0</v>
      </c>
      <c r="AX1450" s="31">
        <f t="shared" si="1025"/>
        <v>0</v>
      </c>
      <c r="AY1450" s="31">
        <f t="shared" si="1026"/>
        <v>0</v>
      </c>
      <c r="AZ1450" s="31">
        <f t="shared" si="1027"/>
        <v>0</v>
      </c>
      <c r="BA1450" s="31">
        <f t="shared" si="1028"/>
        <v>0</v>
      </c>
      <c r="BB1450" s="31">
        <f t="shared" si="1057"/>
        <v>0</v>
      </c>
      <c r="BM1450" s="8">
        <f t="shared" si="1058"/>
        <v>0</v>
      </c>
      <c r="BN1450" s="8">
        <f t="shared" si="1029"/>
        <v>0</v>
      </c>
      <c r="BO1450" s="8">
        <f t="shared" si="1030"/>
        <v>0</v>
      </c>
      <c r="BQ1450" s="8">
        <f t="shared" si="1031"/>
        <v>0</v>
      </c>
      <c r="BR1450" s="63">
        <f t="shared" si="1032"/>
        <v>0</v>
      </c>
      <c r="BS1450" s="63">
        <f t="shared" si="1059"/>
        <v>0</v>
      </c>
      <c r="BT1450" s="63">
        <f t="shared" si="1033"/>
        <v>0</v>
      </c>
      <c r="BU1450" s="63">
        <f t="shared" si="1034"/>
        <v>0</v>
      </c>
      <c r="BV1450" s="57">
        <f t="shared" si="1035"/>
        <v>0</v>
      </c>
      <c r="BW1450" s="57">
        <f t="shared" si="1036"/>
        <v>0</v>
      </c>
      <c r="BX1450" s="57">
        <f t="shared" si="1060"/>
        <v>0</v>
      </c>
      <c r="BY1450" s="57">
        <f t="shared" si="1064"/>
        <v>0</v>
      </c>
      <c r="BZ1450" s="8">
        <f t="shared" si="1037"/>
        <v>0</v>
      </c>
      <c r="CA1450" s="8">
        <f t="shared" si="1038"/>
        <v>0</v>
      </c>
      <c r="CB1450" s="8">
        <f t="shared" si="1039"/>
        <v>0</v>
      </c>
      <c r="CC1450" s="8">
        <f t="shared" si="1040"/>
        <v>0</v>
      </c>
      <c r="CD1450" s="8">
        <f t="shared" si="1041"/>
        <v>0</v>
      </c>
      <c r="CE1450" s="8">
        <f t="shared" si="1042"/>
        <v>0</v>
      </c>
      <c r="CF1450" s="8">
        <f t="shared" si="1043"/>
        <v>0</v>
      </c>
      <c r="CG1450" s="8">
        <f t="shared" si="1044"/>
        <v>0</v>
      </c>
      <c r="CH1450" s="8">
        <f t="shared" si="1045"/>
        <v>0</v>
      </c>
      <c r="CI1450" s="8">
        <f t="shared" si="1046"/>
        <v>0</v>
      </c>
      <c r="CJ1450" s="8">
        <f t="shared" si="1047"/>
        <v>0</v>
      </c>
      <c r="CK1450" s="8">
        <f t="shared" si="1048"/>
        <v>0</v>
      </c>
      <c r="CL1450" s="8">
        <f t="shared" si="1049"/>
        <v>0</v>
      </c>
      <c r="CM1450" s="8">
        <f t="shared" si="1050"/>
        <v>0</v>
      </c>
      <c r="CN1450" s="8">
        <f t="shared" si="1051"/>
        <v>0</v>
      </c>
      <c r="CO1450" s="8">
        <f t="shared" si="1052"/>
        <v>0</v>
      </c>
      <c r="CP1450" s="8">
        <f t="shared" si="1053"/>
        <v>0</v>
      </c>
      <c r="CQ1450" s="8">
        <f t="shared" si="1054"/>
        <v>0</v>
      </c>
      <c r="CR1450" s="8">
        <f t="shared" si="1055"/>
        <v>0</v>
      </c>
      <c r="CS1450" s="8">
        <f t="shared" si="1056"/>
        <v>0</v>
      </c>
      <c r="CT1450" s="8">
        <f t="shared" si="1061"/>
        <v>0</v>
      </c>
      <c r="CU1450" s="8">
        <f t="shared" si="1062"/>
        <v>0</v>
      </c>
      <c r="CV1450" s="8">
        <f t="shared" si="1063"/>
        <v>0</v>
      </c>
    </row>
    <row r="1451" spans="1:100" ht="20.5" thickTop="1" thickBot="1" x14ac:dyDescent="0.5">
      <c r="A1451" s="32"/>
      <c r="B1451" s="10"/>
      <c r="C1451" s="10"/>
      <c r="D1451" s="11"/>
      <c r="E1451" s="10"/>
      <c r="F1451" s="10"/>
      <c r="G1451" s="19"/>
      <c r="H1451" s="19"/>
      <c r="I1451" s="19"/>
      <c r="J1451" s="19"/>
      <c r="K1451" s="10"/>
      <c r="L1451" s="10"/>
      <c r="M1451" s="10"/>
      <c r="N1451" s="10"/>
      <c r="O1451" s="18"/>
      <c r="P1451" s="18"/>
      <c r="Q1451" s="21"/>
      <c r="R1451" s="20"/>
      <c r="S1451" s="16">
        <f t="shared" si="1019"/>
        <v>0</v>
      </c>
      <c r="T1451" s="11"/>
      <c r="AS1451" s="31">
        <f t="shared" si="1020"/>
        <v>0</v>
      </c>
      <c r="AT1451" s="31">
        <f t="shared" si="1021"/>
        <v>0</v>
      </c>
      <c r="AU1451" s="31">
        <f t="shared" si="1022"/>
        <v>0</v>
      </c>
      <c r="AV1451" s="31">
        <f t="shared" si="1023"/>
        <v>0</v>
      </c>
      <c r="AW1451" s="31">
        <f t="shared" si="1024"/>
        <v>0</v>
      </c>
      <c r="AX1451" s="31">
        <f t="shared" si="1025"/>
        <v>0</v>
      </c>
      <c r="AY1451" s="31">
        <f t="shared" si="1026"/>
        <v>0</v>
      </c>
      <c r="AZ1451" s="31">
        <f t="shared" si="1027"/>
        <v>0</v>
      </c>
      <c r="BA1451" s="31">
        <f t="shared" si="1028"/>
        <v>0</v>
      </c>
      <c r="BB1451" s="31">
        <f t="shared" si="1057"/>
        <v>0</v>
      </c>
      <c r="BM1451" s="8">
        <f t="shared" si="1058"/>
        <v>0</v>
      </c>
      <c r="BN1451" s="8">
        <f t="shared" si="1029"/>
        <v>0</v>
      </c>
      <c r="BO1451" s="8">
        <f t="shared" si="1030"/>
        <v>0</v>
      </c>
      <c r="BQ1451" s="8">
        <f t="shared" si="1031"/>
        <v>0</v>
      </c>
      <c r="BR1451" s="63">
        <f t="shared" si="1032"/>
        <v>0</v>
      </c>
      <c r="BS1451" s="63">
        <f t="shared" si="1059"/>
        <v>0</v>
      </c>
      <c r="BT1451" s="63">
        <f t="shared" si="1033"/>
        <v>0</v>
      </c>
      <c r="BU1451" s="63">
        <f t="shared" si="1034"/>
        <v>0</v>
      </c>
      <c r="BV1451" s="57">
        <f t="shared" si="1035"/>
        <v>0</v>
      </c>
      <c r="BW1451" s="57">
        <f t="shared" si="1036"/>
        <v>0</v>
      </c>
      <c r="BX1451" s="57">
        <f t="shared" si="1060"/>
        <v>0</v>
      </c>
      <c r="BY1451" s="57">
        <f t="shared" si="1064"/>
        <v>0</v>
      </c>
      <c r="BZ1451" s="8">
        <f t="shared" si="1037"/>
        <v>0</v>
      </c>
      <c r="CA1451" s="8">
        <f t="shared" si="1038"/>
        <v>0</v>
      </c>
      <c r="CB1451" s="8">
        <f t="shared" si="1039"/>
        <v>0</v>
      </c>
      <c r="CC1451" s="8">
        <f t="shared" si="1040"/>
        <v>0</v>
      </c>
      <c r="CD1451" s="8">
        <f t="shared" si="1041"/>
        <v>0</v>
      </c>
      <c r="CE1451" s="8">
        <f t="shared" si="1042"/>
        <v>0</v>
      </c>
      <c r="CF1451" s="8">
        <f t="shared" si="1043"/>
        <v>0</v>
      </c>
      <c r="CG1451" s="8">
        <f t="shared" si="1044"/>
        <v>0</v>
      </c>
      <c r="CH1451" s="8">
        <f t="shared" si="1045"/>
        <v>0</v>
      </c>
      <c r="CI1451" s="8">
        <f t="shared" si="1046"/>
        <v>0</v>
      </c>
      <c r="CJ1451" s="8">
        <f t="shared" si="1047"/>
        <v>0</v>
      </c>
      <c r="CK1451" s="8">
        <f t="shared" si="1048"/>
        <v>0</v>
      </c>
      <c r="CL1451" s="8">
        <f t="shared" si="1049"/>
        <v>0</v>
      </c>
      <c r="CM1451" s="8">
        <f t="shared" si="1050"/>
        <v>0</v>
      </c>
      <c r="CN1451" s="8">
        <f t="shared" si="1051"/>
        <v>0</v>
      </c>
      <c r="CO1451" s="8">
        <f t="shared" si="1052"/>
        <v>0</v>
      </c>
      <c r="CP1451" s="8">
        <f t="shared" si="1053"/>
        <v>0</v>
      </c>
      <c r="CQ1451" s="8">
        <f t="shared" si="1054"/>
        <v>0</v>
      </c>
      <c r="CR1451" s="8">
        <f t="shared" si="1055"/>
        <v>0</v>
      </c>
      <c r="CS1451" s="8">
        <f t="shared" si="1056"/>
        <v>0</v>
      </c>
      <c r="CT1451" s="8">
        <f t="shared" si="1061"/>
        <v>0</v>
      </c>
      <c r="CU1451" s="8">
        <f t="shared" si="1062"/>
        <v>0</v>
      </c>
      <c r="CV1451" s="8">
        <f t="shared" si="1063"/>
        <v>0</v>
      </c>
    </row>
    <row r="1452" spans="1:100" ht="20.5" thickTop="1" thickBot="1" x14ac:dyDescent="0.5">
      <c r="A1452" s="32"/>
      <c r="B1452" s="10"/>
      <c r="C1452" s="10"/>
      <c r="D1452" s="11"/>
      <c r="E1452" s="10"/>
      <c r="F1452" s="10"/>
      <c r="G1452" s="19"/>
      <c r="H1452" s="19"/>
      <c r="I1452" s="19"/>
      <c r="J1452" s="19"/>
      <c r="K1452" s="10"/>
      <c r="L1452" s="10"/>
      <c r="M1452" s="10"/>
      <c r="N1452" s="10"/>
      <c r="O1452" s="18"/>
      <c r="P1452" s="18"/>
      <c r="Q1452" s="21"/>
      <c r="R1452" s="20"/>
      <c r="S1452" s="16">
        <f t="shared" si="1019"/>
        <v>0</v>
      </c>
      <c r="T1452" s="11"/>
      <c r="AS1452" s="31">
        <f t="shared" si="1020"/>
        <v>0</v>
      </c>
      <c r="AT1452" s="31">
        <f t="shared" si="1021"/>
        <v>0</v>
      </c>
      <c r="AU1452" s="31">
        <f t="shared" si="1022"/>
        <v>0</v>
      </c>
      <c r="AV1452" s="31">
        <f t="shared" si="1023"/>
        <v>0</v>
      </c>
      <c r="AW1452" s="31">
        <f t="shared" si="1024"/>
        <v>0</v>
      </c>
      <c r="AX1452" s="31">
        <f t="shared" si="1025"/>
        <v>0</v>
      </c>
      <c r="AY1452" s="31">
        <f t="shared" si="1026"/>
        <v>0</v>
      </c>
      <c r="AZ1452" s="31">
        <f t="shared" si="1027"/>
        <v>0</v>
      </c>
      <c r="BA1452" s="31">
        <f t="shared" si="1028"/>
        <v>0</v>
      </c>
      <c r="BB1452" s="31">
        <f t="shared" si="1057"/>
        <v>0</v>
      </c>
      <c r="BM1452" s="8">
        <f t="shared" si="1058"/>
        <v>0</v>
      </c>
      <c r="BN1452" s="8">
        <f t="shared" si="1029"/>
        <v>0</v>
      </c>
      <c r="BO1452" s="8">
        <f t="shared" si="1030"/>
        <v>0</v>
      </c>
      <c r="BQ1452" s="8">
        <f t="shared" si="1031"/>
        <v>0</v>
      </c>
      <c r="BR1452" s="63">
        <f t="shared" si="1032"/>
        <v>0</v>
      </c>
      <c r="BS1452" s="63">
        <f t="shared" si="1059"/>
        <v>0</v>
      </c>
      <c r="BT1452" s="63">
        <f t="shared" si="1033"/>
        <v>0</v>
      </c>
      <c r="BU1452" s="63">
        <f t="shared" si="1034"/>
        <v>0</v>
      </c>
      <c r="BV1452" s="57">
        <f t="shared" si="1035"/>
        <v>0</v>
      </c>
      <c r="BW1452" s="57">
        <f t="shared" si="1036"/>
        <v>0</v>
      </c>
      <c r="BX1452" s="57">
        <f t="shared" si="1060"/>
        <v>0</v>
      </c>
      <c r="BY1452" s="57">
        <f t="shared" si="1064"/>
        <v>0</v>
      </c>
      <c r="BZ1452" s="8">
        <f t="shared" si="1037"/>
        <v>0</v>
      </c>
      <c r="CA1452" s="8">
        <f t="shared" si="1038"/>
        <v>0</v>
      </c>
      <c r="CB1452" s="8">
        <f t="shared" si="1039"/>
        <v>0</v>
      </c>
      <c r="CC1452" s="8">
        <f t="shared" si="1040"/>
        <v>0</v>
      </c>
      <c r="CD1452" s="8">
        <f t="shared" si="1041"/>
        <v>0</v>
      </c>
      <c r="CE1452" s="8">
        <f t="shared" si="1042"/>
        <v>0</v>
      </c>
      <c r="CF1452" s="8">
        <f t="shared" si="1043"/>
        <v>0</v>
      </c>
      <c r="CG1452" s="8">
        <f t="shared" si="1044"/>
        <v>0</v>
      </c>
      <c r="CH1452" s="8">
        <f t="shared" si="1045"/>
        <v>0</v>
      </c>
      <c r="CI1452" s="8">
        <f t="shared" si="1046"/>
        <v>0</v>
      </c>
      <c r="CJ1452" s="8">
        <f t="shared" si="1047"/>
        <v>0</v>
      </c>
      <c r="CK1452" s="8">
        <f t="shared" si="1048"/>
        <v>0</v>
      </c>
      <c r="CL1452" s="8">
        <f t="shared" si="1049"/>
        <v>0</v>
      </c>
      <c r="CM1452" s="8">
        <f t="shared" si="1050"/>
        <v>0</v>
      </c>
      <c r="CN1452" s="8">
        <f t="shared" si="1051"/>
        <v>0</v>
      </c>
      <c r="CO1452" s="8">
        <f t="shared" si="1052"/>
        <v>0</v>
      </c>
      <c r="CP1452" s="8">
        <f t="shared" si="1053"/>
        <v>0</v>
      </c>
      <c r="CQ1452" s="8">
        <f t="shared" si="1054"/>
        <v>0</v>
      </c>
      <c r="CR1452" s="8">
        <f t="shared" si="1055"/>
        <v>0</v>
      </c>
      <c r="CS1452" s="8">
        <f t="shared" si="1056"/>
        <v>0</v>
      </c>
      <c r="CT1452" s="8">
        <f t="shared" si="1061"/>
        <v>0</v>
      </c>
      <c r="CU1452" s="8">
        <f t="shared" si="1062"/>
        <v>0</v>
      </c>
      <c r="CV1452" s="8">
        <f t="shared" si="1063"/>
        <v>0</v>
      </c>
    </row>
    <row r="1453" spans="1:100" ht="20.5" thickTop="1" thickBot="1" x14ac:dyDescent="0.5">
      <c r="A1453" s="32"/>
      <c r="B1453" s="10"/>
      <c r="C1453" s="10"/>
      <c r="D1453" s="11"/>
      <c r="E1453" s="10"/>
      <c r="F1453" s="10"/>
      <c r="G1453" s="19"/>
      <c r="H1453" s="19"/>
      <c r="I1453" s="19"/>
      <c r="J1453" s="19"/>
      <c r="K1453" s="10"/>
      <c r="L1453" s="10"/>
      <c r="M1453" s="10"/>
      <c r="N1453" s="10"/>
      <c r="O1453" s="18"/>
      <c r="P1453" s="18"/>
      <c r="Q1453" s="21"/>
      <c r="R1453" s="20"/>
      <c r="S1453" s="16">
        <f t="shared" si="1019"/>
        <v>0</v>
      </c>
      <c r="T1453" s="11"/>
      <c r="AS1453" s="31">
        <f t="shared" si="1020"/>
        <v>0</v>
      </c>
      <c r="AT1453" s="31">
        <f t="shared" si="1021"/>
        <v>0</v>
      </c>
      <c r="AU1453" s="31">
        <f t="shared" si="1022"/>
        <v>0</v>
      </c>
      <c r="AV1453" s="31">
        <f t="shared" si="1023"/>
        <v>0</v>
      </c>
      <c r="AW1453" s="31">
        <f t="shared" si="1024"/>
        <v>0</v>
      </c>
      <c r="AX1453" s="31">
        <f t="shared" si="1025"/>
        <v>0</v>
      </c>
      <c r="AY1453" s="31">
        <f t="shared" si="1026"/>
        <v>0</v>
      </c>
      <c r="AZ1453" s="31">
        <f t="shared" si="1027"/>
        <v>0</v>
      </c>
      <c r="BA1453" s="31">
        <f t="shared" si="1028"/>
        <v>0</v>
      </c>
      <c r="BB1453" s="31">
        <f t="shared" si="1057"/>
        <v>0</v>
      </c>
      <c r="BM1453" s="8">
        <f t="shared" si="1058"/>
        <v>0</v>
      </c>
      <c r="BN1453" s="8">
        <f t="shared" si="1029"/>
        <v>0</v>
      </c>
      <c r="BO1453" s="8">
        <f t="shared" si="1030"/>
        <v>0</v>
      </c>
      <c r="BQ1453" s="8">
        <f t="shared" si="1031"/>
        <v>0</v>
      </c>
      <c r="BR1453" s="63">
        <f t="shared" si="1032"/>
        <v>0</v>
      </c>
      <c r="BS1453" s="63">
        <f t="shared" si="1059"/>
        <v>0</v>
      </c>
      <c r="BT1453" s="63">
        <f t="shared" si="1033"/>
        <v>0</v>
      </c>
      <c r="BU1453" s="63">
        <f t="shared" si="1034"/>
        <v>0</v>
      </c>
      <c r="BV1453" s="57">
        <f t="shared" si="1035"/>
        <v>0</v>
      </c>
      <c r="BW1453" s="57">
        <f t="shared" si="1036"/>
        <v>0</v>
      </c>
      <c r="BX1453" s="57">
        <f t="shared" si="1060"/>
        <v>0</v>
      </c>
      <c r="BY1453" s="57">
        <f t="shared" si="1064"/>
        <v>0</v>
      </c>
      <c r="BZ1453" s="8">
        <f t="shared" si="1037"/>
        <v>0</v>
      </c>
      <c r="CA1453" s="8">
        <f t="shared" si="1038"/>
        <v>0</v>
      </c>
      <c r="CB1453" s="8">
        <f t="shared" si="1039"/>
        <v>0</v>
      </c>
      <c r="CC1453" s="8">
        <f t="shared" si="1040"/>
        <v>0</v>
      </c>
      <c r="CD1453" s="8">
        <f t="shared" si="1041"/>
        <v>0</v>
      </c>
      <c r="CE1453" s="8">
        <f t="shared" si="1042"/>
        <v>0</v>
      </c>
      <c r="CF1453" s="8">
        <f t="shared" si="1043"/>
        <v>0</v>
      </c>
      <c r="CG1453" s="8">
        <f t="shared" si="1044"/>
        <v>0</v>
      </c>
      <c r="CH1453" s="8">
        <f t="shared" si="1045"/>
        <v>0</v>
      </c>
      <c r="CI1453" s="8">
        <f t="shared" si="1046"/>
        <v>0</v>
      </c>
      <c r="CJ1453" s="8">
        <f t="shared" si="1047"/>
        <v>0</v>
      </c>
      <c r="CK1453" s="8">
        <f t="shared" si="1048"/>
        <v>0</v>
      </c>
      <c r="CL1453" s="8">
        <f t="shared" si="1049"/>
        <v>0</v>
      </c>
      <c r="CM1453" s="8">
        <f t="shared" si="1050"/>
        <v>0</v>
      </c>
      <c r="CN1453" s="8">
        <f t="shared" si="1051"/>
        <v>0</v>
      </c>
      <c r="CO1453" s="8">
        <f t="shared" si="1052"/>
        <v>0</v>
      </c>
      <c r="CP1453" s="8">
        <f t="shared" si="1053"/>
        <v>0</v>
      </c>
      <c r="CQ1453" s="8">
        <f t="shared" si="1054"/>
        <v>0</v>
      </c>
      <c r="CR1453" s="8">
        <f t="shared" si="1055"/>
        <v>0</v>
      </c>
      <c r="CS1453" s="8">
        <f t="shared" si="1056"/>
        <v>0</v>
      </c>
      <c r="CT1453" s="8">
        <f t="shared" si="1061"/>
        <v>0</v>
      </c>
      <c r="CU1453" s="8">
        <f t="shared" si="1062"/>
        <v>0</v>
      </c>
      <c r="CV1453" s="8">
        <f t="shared" si="1063"/>
        <v>0</v>
      </c>
    </row>
    <row r="1454" spans="1:100" ht="20.5" thickTop="1" thickBot="1" x14ac:dyDescent="0.5">
      <c r="A1454" s="32"/>
      <c r="B1454" s="10"/>
      <c r="C1454" s="10"/>
      <c r="D1454" s="11"/>
      <c r="E1454" s="10"/>
      <c r="F1454" s="10"/>
      <c r="G1454" s="19"/>
      <c r="H1454" s="19"/>
      <c r="I1454" s="19"/>
      <c r="J1454" s="19"/>
      <c r="K1454" s="10"/>
      <c r="L1454" s="10"/>
      <c r="M1454" s="10"/>
      <c r="N1454" s="10"/>
      <c r="O1454" s="18"/>
      <c r="P1454" s="18"/>
      <c r="Q1454" s="21"/>
      <c r="R1454" s="20"/>
      <c r="S1454" s="16">
        <f t="shared" si="1019"/>
        <v>0</v>
      </c>
      <c r="T1454" s="11"/>
      <c r="AS1454" s="31">
        <f t="shared" si="1020"/>
        <v>0</v>
      </c>
      <c r="AT1454" s="31">
        <f t="shared" si="1021"/>
        <v>0</v>
      </c>
      <c r="AU1454" s="31">
        <f t="shared" si="1022"/>
        <v>0</v>
      </c>
      <c r="AV1454" s="31">
        <f t="shared" si="1023"/>
        <v>0</v>
      </c>
      <c r="AW1454" s="31">
        <f t="shared" si="1024"/>
        <v>0</v>
      </c>
      <c r="AX1454" s="31">
        <f t="shared" si="1025"/>
        <v>0</v>
      </c>
      <c r="AY1454" s="31">
        <f t="shared" si="1026"/>
        <v>0</v>
      </c>
      <c r="AZ1454" s="31">
        <f t="shared" si="1027"/>
        <v>0</v>
      </c>
      <c r="BA1454" s="31">
        <f t="shared" si="1028"/>
        <v>0</v>
      </c>
      <c r="BB1454" s="31">
        <f t="shared" si="1057"/>
        <v>0</v>
      </c>
      <c r="BM1454" s="8">
        <f t="shared" si="1058"/>
        <v>0</v>
      </c>
      <c r="BN1454" s="8">
        <f t="shared" si="1029"/>
        <v>0</v>
      </c>
      <c r="BO1454" s="8">
        <f t="shared" si="1030"/>
        <v>0</v>
      </c>
      <c r="BQ1454" s="8">
        <f t="shared" si="1031"/>
        <v>0</v>
      </c>
      <c r="BR1454" s="63">
        <f t="shared" si="1032"/>
        <v>0</v>
      </c>
      <c r="BS1454" s="63">
        <f t="shared" si="1059"/>
        <v>0</v>
      </c>
      <c r="BT1454" s="63">
        <f t="shared" si="1033"/>
        <v>0</v>
      </c>
      <c r="BU1454" s="63">
        <f t="shared" si="1034"/>
        <v>0</v>
      </c>
      <c r="BV1454" s="57">
        <f t="shared" si="1035"/>
        <v>0</v>
      </c>
      <c r="BW1454" s="57">
        <f t="shared" si="1036"/>
        <v>0</v>
      </c>
      <c r="BX1454" s="57">
        <f t="shared" si="1060"/>
        <v>0</v>
      </c>
      <c r="BY1454" s="57">
        <f t="shared" si="1064"/>
        <v>0</v>
      </c>
      <c r="BZ1454" s="8">
        <f t="shared" si="1037"/>
        <v>0</v>
      </c>
      <c r="CA1454" s="8">
        <f t="shared" si="1038"/>
        <v>0</v>
      </c>
      <c r="CB1454" s="8">
        <f t="shared" si="1039"/>
        <v>0</v>
      </c>
      <c r="CC1454" s="8">
        <f t="shared" si="1040"/>
        <v>0</v>
      </c>
      <c r="CD1454" s="8">
        <f t="shared" si="1041"/>
        <v>0</v>
      </c>
      <c r="CE1454" s="8">
        <f t="shared" si="1042"/>
        <v>0</v>
      </c>
      <c r="CF1454" s="8">
        <f t="shared" si="1043"/>
        <v>0</v>
      </c>
      <c r="CG1454" s="8">
        <f t="shared" si="1044"/>
        <v>0</v>
      </c>
      <c r="CH1454" s="8">
        <f t="shared" si="1045"/>
        <v>0</v>
      </c>
      <c r="CI1454" s="8">
        <f t="shared" si="1046"/>
        <v>0</v>
      </c>
      <c r="CJ1454" s="8">
        <f t="shared" si="1047"/>
        <v>0</v>
      </c>
      <c r="CK1454" s="8">
        <f t="shared" si="1048"/>
        <v>0</v>
      </c>
      <c r="CL1454" s="8">
        <f t="shared" si="1049"/>
        <v>0</v>
      </c>
      <c r="CM1454" s="8">
        <f t="shared" si="1050"/>
        <v>0</v>
      </c>
      <c r="CN1454" s="8">
        <f t="shared" si="1051"/>
        <v>0</v>
      </c>
      <c r="CO1454" s="8">
        <f t="shared" si="1052"/>
        <v>0</v>
      </c>
      <c r="CP1454" s="8">
        <f t="shared" si="1053"/>
        <v>0</v>
      </c>
      <c r="CQ1454" s="8">
        <f t="shared" si="1054"/>
        <v>0</v>
      </c>
      <c r="CR1454" s="8">
        <f t="shared" si="1055"/>
        <v>0</v>
      </c>
      <c r="CS1454" s="8">
        <f t="shared" si="1056"/>
        <v>0</v>
      </c>
      <c r="CT1454" s="8">
        <f t="shared" si="1061"/>
        <v>0</v>
      </c>
      <c r="CU1454" s="8">
        <f t="shared" si="1062"/>
        <v>0</v>
      </c>
      <c r="CV1454" s="8">
        <f t="shared" si="1063"/>
        <v>0</v>
      </c>
    </row>
    <row r="1455" spans="1:100" ht="20.5" thickTop="1" thickBot="1" x14ac:dyDescent="0.5">
      <c r="A1455" s="32"/>
      <c r="B1455" s="10"/>
      <c r="C1455" s="10"/>
      <c r="D1455" s="11"/>
      <c r="E1455" s="10"/>
      <c r="F1455" s="10"/>
      <c r="G1455" s="19"/>
      <c r="H1455" s="19"/>
      <c r="I1455" s="19"/>
      <c r="J1455" s="19"/>
      <c r="K1455" s="10"/>
      <c r="L1455" s="10"/>
      <c r="M1455" s="10"/>
      <c r="N1455" s="10"/>
      <c r="O1455" s="18"/>
      <c r="P1455" s="18"/>
      <c r="Q1455" s="21"/>
      <c r="R1455" s="20"/>
      <c r="S1455" s="16">
        <f t="shared" si="1019"/>
        <v>0</v>
      </c>
      <c r="T1455" s="11"/>
      <c r="AS1455" s="31">
        <f t="shared" si="1020"/>
        <v>0</v>
      </c>
      <c r="AT1455" s="31">
        <f t="shared" si="1021"/>
        <v>0</v>
      </c>
      <c r="AU1455" s="31">
        <f t="shared" si="1022"/>
        <v>0</v>
      </c>
      <c r="AV1455" s="31">
        <f t="shared" si="1023"/>
        <v>0</v>
      </c>
      <c r="AW1455" s="31">
        <f t="shared" si="1024"/>
        <v>0</v>
      </c>
      <c r="AX1455" s="31">
        <f t="shared" si="1025"/>
        <v>0</v>
      </c>
      <c r="AY1455" s="31">
        <f t="shared" si="1026"/>
        <v>0</v>
      </c>
      <c r="AZ1455" s="31">
        <f t="shared" si="1027"/>
        <v>0</v>
      </c>
      <c r="BA1455" s="31">
        <f t="shared" si="1028"/>
        <v>0</v>
      </c>
      <c r="BB1455" s="31">
        <f t="shared" si="1057"/>
        <v>0</v>
      </c>
      <c r="BM1455" s="8">
        <f t="shared" si="1058"/>
        <v>0</v>
      </c>
      <c r="BN1455" s="8">
        <f t="shared" si="1029"/>
        <v>0</v>
      </c>
      <c r="BO1455" s="8">
        <f t="shared" si="1030"/>
        <v>0</v>
      </c>
      <c r="BQ1455" s="8">
        <f t="shared" si="1031"/>
        <v>0</v>
      </c>
      <c r="BR1455" s="63">
        <f t="shared" si="1032"/>
        <v>0</v>
      </c>
      <c r="BS1455" s="63">
        <f t="shared" si="1059"/>
        <v>0</v>
      </c>
      <c r="BT1455" s="63">
        <f t="shared" si="1033"/>
        <v>0</v>
      </c>
      <c r="BU1455" s="63">
        <f t="shared" si="1034"/>
        <v>0</v>
      </c>
      <c r="BV1455" s="57">
        <f t="shared" si="1035"/>
        <v>0</v>
      </c>
      <c r="BW1455" s="57">
        <f t="shared" si="1036"/>
        <v>0</v>
      </c>
      <c r="BX1455" s="57">
        <f t="shared" si="1060"/>
        <v>0</v>
      </c>
      <c r="BY1455" s="57">
        <f t="shared" si="1064"/>
        <v>0</v>
      </c>
      <c r="BZ1455" s="8">
        <f t="shared" si="1037"/>
        <v>0</v>
      </c>
      <c r="CA1455" s="8">
        <f t="shared" si="1038"/>
        <v>0</v>
      </c>
      <c r="CB1455" s="8">
        <f t="shared" si="1039"/>
        <v>0</v>
      </c>
      <c r="CC1455" s="8">
        <f t="shared" si="1040"/>
        <v>0</v>
      </c>
      <c r="CD1455" s="8">
        <f t="shared" si="1041"/>
        <v>0</v>
      </c>
      <c r="CE1455" s="8">
        <f t="shared" si="1042"/>
        <v>0</v>
      </c>
      <c r="CF1455" s="8">
        <f t="shared" si="1043"/>
        <v>0</v>
      </c>
      <c r="CG1455" s="8">
        <f t="shared" si="1044"/>
        <v>0</v>
      </c>
      <c r="CH1455" s="8">
        <f t="shared" si="1045"/>
        <v>0</v>
      </c>
      <c r="CI1455" s="8">
        <f t="shared" si="1046"/>
        <v>0</v>
      </c>
      <c r="CJ1455" s="8">
        <f t="shared" si="1047"/>
        <v>0</v>
      </c>
      <c r="CK1455" s="8">
        <f t="shared" si="1048"/>
        <v>0</v>
      </c>
      <c r="CL1455" s="8">
        <f t="shared" si="1049"/>
        <v>0</v>
      </c>
      <c r="CM1455" s="8">
        <f t="shared" si="1050"/>
        <v>0</v>
      </c>
      <c r="CN1455" s="8">
        <f t="shared" si="1051"/>
        <v>0</v>
      </c>
      <c r="CO1455" s="8">
        <f t="shared" si="1052"/>
        <v>0</v>
      </c>
      <c r="CP1455" s="8">
        <f t="shared" si="1053"/>
        <v>0</v>
      </c>
      <c r="CQ1455" s="8">
        <f t="shared" si="1054"/>
        <v>0</v>
      </c>
      <c r="CR1455" s="8">
        <f t="shared" si="1055"/>
        <v>0</v>
      </c>
      <c r="CS1455" s="8">
        <f t="shared" si="1056"/>
        <v>0</v>
      </c>
      <c r="CT1455" s="8">
        <f t="shared" si="1061"/>
        <v>0</v>
      </c>
      <c r="CU1455" s="8">
        <f t="shared" si="1062"/>
        <v>0</v>
      </c>
      <c r="CV1455" s="8">
        <f t="shared" si="1063"/>
        <v>0</v>
      </c>
    </row>
    <row r="1456" spans="1:100" ht="20.5" thickTop="1" thickBot="1" x14ac:dyDescent="0.5">
      <c r="A1456" s="32"/>
      <c r="B1456" s="10"/>
      <c r="C1456" s="10"/>
      <c r="D1456" s="11"/>
      <c r="E1456" s="10"/>
      <c r="F1456" s="10"/>
      <c r="G1456" s="19"/>
      <c r="H1456" s="19"/>
      <c r="I1456" s="19"/>
      <c r="J1456" s="19"/>
      <c r="K1456" s="10"/>
      <c r="L1456" s="10"/>
      <c r="M1456" s="10"/>
      <c r="N1456" s="10"/>
      <c r="O1456" s="18"/>
      <c r="P1456" s="18"/>
      <c r="Q1456" s="21"/>
      <c r="R1456" s="20"/>
      <c r="S1456" s="16">
        <f t="shared" si="1019"/>
        <v>0</v>
      </c>
      <c r="T1456" s="11"/>
      <c r="AS1456" s="31">
        <f t="shared" si="1020"/>
        <v>0</v>
      </c>
      <c r="AT1456" s="31">
        <f t="shared" si="1021"/>
        <v>0</v>
      </c>
      <c r="AU1456" s="31">
        <f t="shared" si="1022"/>
        <v>0</v>
      </c>
      <c r="AV1456" s="31">
        <f t="shared" si="1023"/>
        <v>0</v>
      </c>
      <c r="AW1456" s="31">
        <f t="shared" si="1024"/>
        <v>0</v>
      </c>
      <c r="AX1456" s="31">
        <f t="shared" si="1025"/>
        <v>0</v>
      </c>
      <c r="AY1456" s="31">
        <f t="shared" si="1026"/>
        <v>0</v>
      </c>
      <c r="AZ1456" s="31">
        <f t="shared" si="1027"/>
        <v>0</v>
      </c>
      <c r="BA1456" s="31">
        <f t="shared" si="1028"/>
        <v>0</v>
      </c>
      <c r="BB1456" s="31">
        <f t="shared" si="1057"/>
        <v>0</v>
      </c>
      <c r="BM1456" s="8">
        <f t="shared" si="1058"/>
        <v>0</v>
      </c>
      <c r="BN1456" s="8">
        <f t="shared" si="1029"/>
        <v>0</v>
      </c>
      <c r="BO1456" s="8">
        <f t="shared" si="1030"/>
        <v>0</v>
      </c>
      <c r="BQ1456" s="8">
        <f t="shared" si="1031"/>
        <v>0</v>
      </c>
      <c r="BR1456" s="63">
        <f t="shared" si="1032"/>
        <v>0</v>
      </c>
      <c r="BS1456" s="63">
        <f t="shared" si="1059"/>
        <v>0</v>
      </c>
      <c r="BT1456" s="63">
        <f t="shared" si="1033"/>
        <v>0</v>
      </c>
      <c r="BU1456" s="63">
        <f t="shared" si="1034"/>
        <v>0</v>
      </c>
      <c r="BV1456" s="57">
        <f t="shared" si="1035"/>
        <v>0</v>
      </c>
      <c r="BW1456" s="57">
        <f t="shared" si="1036"/>
        <v>0</v>
      </c>
      <c r="BX1456" s="57">
        <f t="shared" si="1060"/>
        <v>0</v>
      </c>
      <c r="BY1456" s="57">
        <f t="shared" si="1064"/>
        <v>0</v>
      </c>
      <c r="BZ1456" s="8">
        <f t="shared" si="1037"/>
        <v>0</v>
      </c>
      <c r="CA1456" s="8">
        <f t="shared" si="1038"/>
        <v>0</v>
      </c>
      <c r="CB1456" s="8">
        <f t="shared" si="1039"/>
        <v>0</v>
      </c>
      <c r="CC1456" s="8">
        <f t="shared" si="1040"/>
        <v>0</v>
      </c>
      <c r="CD1456" s="8">
        <f t="shared" si="1041"/>
        <v>0</v>
      </c>
      <c r="CE1456" s="8">
        <f t="shared" si="1042"/>
        <v>0</v>
      </c>
      <c r="CF1456" s="8">
        <f t="shared" si="1043"/>
        <v>0</v>
      </c>
      <c r="CG1456" s="8">
        <f t="shared" si="1044"/>
        <v>0</v>
      </c>
      <c r="CH1456" s="8">
        <f t="shared" si="1045"/>
        <v>0</v>
      </c>
      <c r="CI1456" s="8">
        <f t="shared" si="1046"/>
        <v>0</v>
      </c>
      <c r="CJ1456" s="8">
        <f t="shared" si="1047"/>
        <v>0</v>
      </c>
      <c r="CK1456" s="8">
        <f t="shared" si="1048"/>
        <v>0</v>
      </c>
      <c r="CL1456" s="8">
        <f t="shared" si="1049"/>
        <v>0</v>
      </c>
      <c r="CM1456" s="8">
        <f t="shared" si="1050"/>
        <v>0</v>
      </c>
      <c r="CN1456" s="8">
        <f t="shared" si="1051"/>
        <v>0</v>
      </c>
      <c r="CO1456" s="8">
        <f t="shared" si="1052"/>
        <v>0</v>
      </c>
      <c r="CP1456" s="8">
        <f t="shared" si="1053"/>
        <v>0</v>
      </c>
      <c r="CQ1456" s="8">
        <f t="shared" si="1054"/>
        <v>0</v>
      </c>
      <c r="CR1456" s="8">
        <f t="shared" si="1055"/>
        <v>0</v>
      </c>
      <c r="CS1456" s="8">
        <f t="shared" si="1056"/>
        <v>0</v>
      </c>
      <c r="CT1456" s="8">
        <f t="shared" si="1061"/>
        <v>0</v>
      </c>
      <c r="CU1456" s="8">
        <f t="shared" si="1062"/>
        <v>0</v>
      </c>
      <c r="CV1456" s="8">
        <f t="shared" si="1063"/>
        <v>0</v>
      </c>
    </row>
    <row r="1457" spans="1:100" ht="20.5" thickTop="1" thickBot="1" x14ac:dyDescent="0.5">
      <c r="A1457" s="32"/>
      <c r="B1457" s="10"/>
      <c r="C1457" s="10"/>
      <c r="D1457" s="11"/>
      <c r="E1457" s="10"/>
      <c r="F1457" s="10"/>
      <c r="G1457" s="19"/>
      <c r="H1457" s="19"/>
      <c r="I1457" s="19"/>
      <c r="J1457" s="19"/>
      <c r="K1457" s="10"/>
      <c r="L1457" s="10"/>
      <c r="M1457" s="10"/>
      <c r="N1457" s="10"/>
      <c r="O1457" s="18"/>
      <c r="P1457" s="18"/>
      <c r="Q1457" s="21"/>
      <c r="R1457" s="20"/>
      <c r="S1457" s="16">
        <f t="shared" si="1019"/>
        <v>0</v>
      </c>
      <c r="T1457" s="11"/>
      <c r="AS1457" s="31">
        <f t="shared" si="1020"/>
        <v>0</v>
      </c>
      <c r="AT1457" s="31">
        <f t="shared" si="1021"/>
        <v>0</v>
      </c>
      <c r="AU1457" s="31">
        <f t="shared" si="1022"/>
        <v>0</v>
      </c>
      <c r="AV1457" s="31">
        <f t="shared" si="1023"/>
        <v>0</v>
      </c>
      <c r="AW1457" s="31">
        <f t="shared" si="1024"/>
        <v>0</v>
      </c>
      <c r="AX1457" s="31">
        <f t="shared" si="1025"/>
        <v>0</v>
      </c>
      <c r="AY1457" s="31">
        <f t="shared" si="1026"/>
        <v>0</v>
      </c>
      <c r="AZ1457" s="31">
        <f t="shared" si="1027"/>
        <v>0</v>
      </c>
      <c r="BA1457" s="31">
        <f t="shared" si="1028"/>
        <v>0</v>
      </c>
      <c r="BB1457" s="31">
        <f t="shared" si="1057"/>
        <v>0</v>
      </c>
      <c r="BM1457" s="8">
        <f t="shared" si="1058"/>
        <v>0</v>
      </c>
      <c r="BN1457" s="8">
        <f t="shared" si="1029"/>
        <v>0</v>
      </c>
      <c r="BO1457" s="8">
        <f t="shared" si="1030"/>
        <v>0</v>
      </c>
      <c r="BQ1457" s="8">
        <f t="shared" si="1031"/>
        <v>0</v>
      </c>
      <c r="BR1457" s="63">
        <f t="shared" si="1032"/>
        <v>0</v>
      </c>
      <c r="BS1457" s="63">
        <f t="shared" si="1059"/>
        <v>0</v>
      </c>
      <c r="BT1457" s="63">
        <f t="shared" si="1033"/>
        <v>0</v>
      </c>
      <c r="BU1457" s="63">
        <f t="shared" si="1034"/>
        <v>0</v>
      </c>
      <c r="BV1457" s="57">
        <f t="shared" si="1035"/>
        <v>0</v>
      </c>
      <c r="BW1457" s="57">
        <f t="shared" si="1036"/>
        <v>0</v>
      </c>
      <c r="BX1457" s="57">
        <f t="shared" si="1060"/>
        <v>0</v>
      </c>
      <c r="BY1457" s="57">
        <f t="shared" si="1064"/>
        <v>0</v>
      </c>
      <c r="BZ1457" s="8">
        <f t="shared" si="1037"/>
        <v>0</v>
      </c>
      <c r="CA1457" s="8">
        <f t="shared" si="1038"/>
        <v>0</v>
      </c>
      <c r="CB1457" s="8">
        <f t="shared" si="1039"/>
        <v>0</v>
      </c>
      <c r="CC1457" s="8">
        <f t="shared" si="1040"/>
        <v>0</v>
      </c>
      <c r="CD1457" s="8">
        <f t="shared" si="1041"/>
        <v>0</v>
      </c>
      <c r="CE1457" s="8">
        <f t="shared" si="1042"/>
        <v>0</v>
      </c>
      <c r="CF1457" s="8">
        <f t="shared" si="1043"/>
        <v>0</v>
      </c>
      <c r="CG1457" s="8">
        <f t="shared" si="1044"/>
        <v>0</v>
      </c>
      <c r="CH1457" s="8">
        <f t="shared" si="1045"/>
        <v>0</v>
      </c>
      <c r="CI1457" s="8">
        <f t="shared" si="1046"/>
        <v>0</v>
      </c>
      <c r="CJ1457" s="8">
        <f t="shared" si="1047"/>
        <v>0</v>
      </c>
      <c r="CK1457" s="8">
        <f t="shared" si="1048"/>
        <v>0</v>
      </c>
      <c r="CL1457" s="8">
        <f t="shared" si="1049"/>
        <v>0</v>
      </c>
      <c r="CM1457" s="8">
        <f t="shared" si="1050"/>
        <v>0</v>
      </c>
      <c r="CN1457" s="8">
        <f t="shared" si="1051"/>
        <v>0</v>
      </c>
      <c r="CO1457" s="8">
        <f t="shared" si="1052"/>
        <v>0</v>
      </c>
      <c r="CP1457" s="8">
        <f t="shared" si="1053"/>
        <v>0</v>
      </c>
      <c r="CQ1457" s="8">
        <f t="shared" si="1054"/>
        <v>0</v>
      </c>
      <c r="CR1457" s="8">
        <f t="shared" si="1055"/>
        <v>0</v>
      </c>
      <c r="CS1457" s="8">
        <f t="shared" si="1056"/>
        <v>0</v>
      </c>
      <c r="CT1457" s="8">
        <f t="shared" si="1061"/>
        <v>0</v>
      </c>
      <c r="CU1457" s="8">
        <f t="shared" si="1062"/>
        <v>0</v>
      </c>
      <c r="CV1457" s="8">
        <f t="shared" si="1063"/>
        <v>0</v>
      </c>
    </row>
    <row r="1458" spans="1:100" ht="20.5" thickTop="1" thickBot="1" x14ac:dyDescent="0.5">
      <c r="A1458" s="32"/>
      <c r="B1458" s="10"/>
      <c r="C1458" s="10"/>
      <c r="D1458" s="11"/>
      <c r="E1458" s="10"/>
      <c r="F1458" s="10"/>
      <c r="G1458" s="19"/>
      <c r="H1458" s="19"/>
      <c r="I1458" s="19"/>
      <c r="J1458" s="19"/>
      <c r="K1458" s="10"/>
      <c r="L1458" s="10"/>
      <c r="M1458" s="10"/>
      <c r="N1458" s="10"/>
      <c r="O1458" s="18"/>
      <c r="P1458" s="18"/>
      <c r="Q1458" s="21"/>
      <c r="R1458" s="20"/>
      <c r="S1458" s="16">
        <f t="shared" si="1019"/>
        <v>0</v>
      </c>
      <c r="T1458" s="11"/>
      <c r="AS1458" s="31">
        <f t="shared" si="1020"/>
        <v>0</v>
      </c>
      <c r="AT1458" s="31">
        <f t="shared" si="1021"/>
        <v>0</v>
      </c>
      <c r="AU1458" s="31">
        <f t="shared" si="1022"/>
        <v>0</v>
      </c>
      <c r="AV1458" s="31">
        <f t="shared" si="1023"/>
        <v>0</v>
      </c>
      <c r="AW1458" s="31">
        <f t="shared" si="1024"/>
        <v>0</v>
      </c>
      <c r="AX1458" s="31">
        <f t="shared" si="1025"/>
        <v>0</v>
      </c>
      <c r="AY1458" s="31">
        <f t="shared" si="1026"/>
        <v>0</v>
      </c>
      <c r="AZ1458" s="31">
        <f t="shared" si="1027"/>
        <v>0</v>
      </c>
      <c r="BA1458" s="31">
        <f t="shared" si="1028"/>
        <v>0</v>
      </c>
      <c r="BB1458" s="31">
        <f t="shared" si="1057"/>
        <v>0</v>
      </c>
      <c r="BM1458" s="8">
        <f t="shared" si="1058"/>
        <v>0</v>
      </c>
      <c r="BN1458" s="8">
        <f t="shared" si="1029"/>
        <v>0</v>
      </c>
      <c r="BO1458" s="8">
        <f t="shared" si="1030"/>
        <v>0</v>
      </c>
      <c r="BQ1458" s="8">
        <f t="shared" si="1031"/>
        <v>0</v>
      </c>
      <c r="BR1458" s="63">
        <f t="shared" si="1032"/>
        <v>0</v>
      </c>
      <c r="BS1458" s="63">
        <f t="shared" si="1059"/>
        <v>0</v>
      </c>
      <c r="BT1458" s="63">
        <f t="shared" si="1033"/>
        <v>0</v>
      </c>
      <c r="BU1458" s="63">
        <f t="shared" si="1034"/>
        <v>0</v>
      </c>
      <c r="BV1458" s="57">
        <f t="shared" si="1035"/>
        <v>0</v>
      </c>
      <c r="BW1458" s="57">
        <f t="shared" si="1036"/>
        <v>0</v>
      </c>
      <c r="BX1458" s="57">
        <f t="shared" si="1060"/>
        <v>0</v>
      </c>
      <c r="BY1458" s="57">
        <f t="shared" si="1064"/>
        <v>0</v>
      </c>
      <c r="BZ1458" s="8">
        <f t="shared" si="1037"/>
        <v>0</v>
      </c>
      <c r="CA1458" s="8">
        <f t="shared" si="1038"/>
        <v>0</v>
      </c>
      <c r="CB1458" s="8">
        <f t="shared" si="1039"/>
        <v>0</v>
      </c>
      <c r="CC1458" s="8">
        <f t="shared" si="1040"/>
        <v>0</v>
      </c>
      <c r="CD1458" s="8">
        <f t="shared" si="1041"/>
        <v>0</v>
      </c>
      <c r="CE1458" s="8">
        <f t="shared" si="1042"/>
        <v>0</v>
      </c>
      <c r="CF1458" s="8">
        <f t="shared" si="1043"/>
        <v>0</v>
      </c>
      <c r="CG1458" s="8">
        <f t="shared" si="1044"/>
        <v>0</v>
      </c>
      <c r="CH1458" s="8">
        <f t="shared" si="1045"/>
        <v>0</v>
      </c>
      <c r="CI1458" s="8">
        <f t="shared" si="1046"/>
        <v>0</v>
      </c>
      <c r="CJ1458" s="8">
        <f t="shared" si="1047"/>
        <v>0</v>
      </c>
      <c r="CK1458" s="8">
        <f t="shared" si="1048"/>
        <v>0</v>
      </c>
      <c r="CL1458" s="8">
        <f t="shared" si="1049"/>
        <v>0</v>
      </c>
      <c r="CM1458" s="8">
        <f t="shared" si="1050"/>
        <v>0</v>
      </c>
      <c r="CN1458" s="8">
        <f t="shared" si="1051"/>
        <v>0</v>
      </c>
      <c r="CO1458" s="8">
        <f t="shared" si="1052"/>
        <v>0</v>
      </c>
      <c r="CP1458" s="8">
        <f t="shared" si="1053"/>
        <v>0</v>
      </c>
      <c r="CQ1458" s="8">
        <f t="shared" si="1054"/>
        <v>0</v>
      </c>
      <c r="CR1458" s="8">
        <f t="shared" si="1055"/>
        <v>0</v>
      </c>
      <c r="CS1458" s="8">
        <f t="shared" si="1056"/>
        <v>0</v>
      </c>
      <c r="CT1458" s="8">
        <f t="shared" si="1061"/>
        <v>0</v>
      </c>
      <c r="CU1458" s="8">
        <f t="shared" si="1062"/>
        <v>0</v>
      </c>
      <c r="CV1458" s="8">
        <f t="shared" si="1063"/>
        <v>0</v>
      </c>
    </row>
    <row r="1459" spans="1:100" ht="20.5" thickTop="1" thickBot="1" x14ac:dyDescent="0.5">
      <c r="A1459" s="32"/>
      <c r="B1459" s="10"/>
      <c r="C1459" s="10"/>
      <c r="D1459" s="11"/>
      <c r="E1459" s="10"/>
      <c r="F1459" s="10"/>
      <c r="G1459" s="19"/>
      <c r="H1459" s="19"/>
      <c r="I1459" s="19"/>
      <c r="J1459" s="19"/>
      <c r="K1459" s="10"/>
      <c r="L1459" s="10"/>
      <c r="M1459" s="10"/>
      <c r="N1459" s="10"/>
      <c r="O1459" s="18"/>
      <c r="P1459" s="18"/>
      <c r="Q1459" s="21"/>
      <c r="R1459" s="20"/>
      <c r="S1459" s="16">
        <f t="shared" si="1019"/>
        <v>0</v>
      </c>
      <c r="T1459" s="11"/>
      <c r="AS1459" s="31">
        <f t="shared" si="1020"/>
        <v>0</v>
      </c>
      <c r="AT1459" s="31">
        <f t="shared" si="1021"/>
        <v>0</v>
      </c>
      <c r="AU1459" s="31">
        <f t="shared" si="1022"/>
        <v>0</v>
      </c>
      <c r="AV1459" s="31">
        <f t="shared" si="1023"/>
        <v>0</v>
      </c>
      <c r="AW1459" s="31">
        <f t="shared" si="1024"/>
        <v>0</v>
      </c>
      <c r="AX1459" s="31">
        <f t="shared" si="1025"/>
        <v>0</v>
      </c>
      <c r="AY1459" s="31">
        <f t="shared" si="1026"/>
        <v>0</v>
      </c>
      <c r="AZ1459" s="31">
        <f t="shared" si="1027"/>
        <v>0</v>
      </c>
      <c r="BA1459" s="31">
        <f t="shared" si="1028"/>
        <v>0</v>
      </c>
      <c r="BB1459" s="31">
        <f t="shared" si="1057"/>
        <v>0</v>
      </c>
      <c r="BM1459" s="8">
        <f t="shared" si="1058"/>
        <v>0</v>
      </c>
      <c r="BN1459" s="8">
        <f t="shared" si="1029"/>
        <v>0</v>
      </c>
      <c r="BO1459" s="8">
        <f t="shared" si="1030"/>
        <v>0</v>
      </c>
      <c r="BQ1459" s="8">
        <f t="shared" si="1031"/>
        <v>0</v>
      </c>
      <c r="BR1459" s="63">
        <f t="shared" si="1032"/>
        <v>0</v>
      </c>
      <c r="BS1459" s="63">
        <f t="shared" si="1059"/>
        <v>0</v>
      </c>
      <c r="BT1459" s="63">
        <f t="shared" si="1033"/>
        <v>0</v>
      </c>
      <c r="BU1459" s="63">
        <f t="shared" si="1034"/>
        <v>0</v>
      </c>
      <c r="BV1459" s="57">
        <f t="shared" si="1035"/>
        <v>0</v>
      </c>
      <c r="BW1459" s="57">
        <f t="shared" si="1036"/>
        <v>0</v>
      </c>
      <c r="BX1459" s="57">
        <f t="shared" si="1060"/>
        <v>0</v>
      </c>
      <c r="BY1459" s="57">
        <f t="shared" si="1064"/>
        <v>0</v>
      </c>
      <c r="BZ1459" s="8">
        <f t="shared" si="1037"/>
        <v>0</v>
      </c>
      <c r="CA1459" s="8">
        <f t="shared" si="1038"/>
        <v>0</v>
      </c>
      <c r="CB1459" s="8">
        <f t="shared" si="1039"/>
        <v>0</v>
      </c>
      <c r="CC1459" s="8">
        <f t="shared" si="1040"/>
        <v>0</v>
      </c>
      <c r="CD1459" s="8">
        <f t="shared" si="1041"/>
        <v>0</v>
      </c>
      <c r="CE1459" s="8">
        <f t="shared" si="1042"/>
        <v>0</v>
      </c>
      <c r="CF1459" s="8">
        <f t="shared" si="1043"/>
        <v>0</v>
      </c>
      <c r="CG1459" s="8">
        <f t="shared" si="1044"/>
        <v>0</v>
      </c>
      <c r="CH1459" s="8">
        <f t="shared" si="1045"/>
        <v>0</v>
      </c>
      <c r="CI1459" s="8">
        <f t="shared" si="1046"/>
        <v>0</v>
      </c>
      <c r="CJ1459" s="8">
        <f t="shared" si="1047"/>
        <v>0</v>
      </c>
      <c r="CK1459" s="8">
        <f t="shared" si="1048"/>
        <v>0</v>
      </c>
      <c r="CL1459" s="8">
        <f t="shared" si="1049"/>
        <v>0</v>
      </c>
      <c r="CM1459" s="8">
        <f t="shared" si="1050"/>
        <v>0</v>
      </c>
      <c r="CN1459" s="8">
        <f t="shared" si="1051"/>
        <v>0</v>
      </c>
      <c r="CO1459" s="8">
        <f t="shared" si="1052"/>
        <v>0</v>
      </c>
      <c r="CP1459" s="8">
        <f t="shared" si="1053"/>
        <v>0</v>
      </c>
      <c r="CQ1459" s="8">
        <f t="shared" si="1054"/>
        <v>0</v>
      </c>
      <c r="CR1459" s="8">
        <f t="shared" si="1055"/>
        <v>0</v>
      </c>
      <c r="CS1459" s="8">
        <f t="shared" si="1056"/>
        <v>0</v>
      </c>
      <c r="CT1459" s="8">
        <f t="shared" si="1061"/>
        <v>0</v>
      </c>
      <c r="CU1459" s="8">
        <f t="shared" si="1062"/>
        <v>0</v>
      </c>
      <c r="CV1459" s="8">
        <f t="shared" si="1063"/>
        <v>0</v>
      </c>
    </row>
    <row r="1460" spans="1:100" ht="20.5" thickTop="1" thickBot="1" x14ac:dyDescent="0.5">
      <c r="A1460" s="32"/>
      <c r="B1460" s="10"/>
      <c r="C1460" s="10"/>
      <c r="D1460" s="11"/>
      <c r="E1460" s="10"/>
      <c r="F1460" s="10"/>
      <c r="G1460" s="19"/>
      <c r="H1460" s="19"/>
      <c r="I1460" s="19"/>
      <c r="J1460" s="19"/>
      <c r="K1460" s="10"/>
      <c r="L1460" s="10"/>
      <c r="M1460" s="10"/>
      <c r="N1460" s="10"/>
      <c r="O1460" s="18"/>
      <c r="P1460" s="18"/>
      <c r="Q1460" s="21"/>
      <c r="R1460" s="20"/>
      <c r="S1460" s="16">
        <f t="shared" si="1019"/>
        <v>0</v>
      </c>
      <c r="T1460" s="11"/>
      <c r="AS1460" s="31">
        <f t="shared" si="1020"/>
        <v>0</v>
      </c>
      <c r="AT1460" s="31">
        <f t="shared" si="1021"/>
        <v>0</v>
      </c>
      <c r="AU1460" s="31">
        <f t="shared" si="1022"/>
        <v>0</v>
      </c>
      <c r="AV1460" s="31">
        <f t="shared" si="1023"/>
        <v>0</v>
      </c>
      <c r="AW1460" s="31">
        <f t="shared" si="1024"/>
        <v>0</v>
      </c>
      <c r="AX1460" s="31">
        <f t="shared" si="1025"/>
        <v>0</v>
      </c>
      <c r="AY1460" s="31">
        <f t="shared" si="1026"/>
        <v>0</v>
      </c>
      <c r="AZ1460" s="31">
        <f t="shared" si="1027"/>
        <v>0</v>
      </c>
      <c r="BA1460" s="31">
        <f t="shared" si="1028"/>
        <v>0</v>
      </c>
      <c r="BB1460" s="31">
        <f t="shared" si="1057"/>
        <v>0</v>
      </c>
      <c r="BM1460" s="8">
        <f t="shared" si="1058"/>
        <v>0</v>
      </c>
      <c r="BN1460" s="8">
        <f t="shared" si="1029"/>
        <v>0</v>
      </c>
      <c r="BO1460" s="8">
        <f t="shared" si="1030"/>
        <v>0</v>
      </c>
      <c r="BQ1460" s="8">
        <f t="shared" si="1031"/>
        <v>0</v>
      </c>
      <c r="BR1460" s="63">
        <f t="shared" si="1032"/>
        <v>0</v>
      </c>
      <c r="BS1460" s="63">
        <f t="shared" si="1059"/>
        <v>0</v>
      </c>
      <c r="BT1460" s="63">
        <f t="shared" si="1033"/>
        <v>0</v>
      </c>
      <c r="BU1460" s="63">
        <f t="shared" si="1034"/>
        <v>0</v>
      </c>
      <c r="BV1460" s="57">
        <f t="shared" si="1035"/>
        <v>0</v>
      </c>
      <c r="BW1460" s="57">
        <f t="shared" si="1036"/>
        <v>0</v>
      </c>
      <c r="BX1460" s="57">
        <f t="shared" si="1060"/>
        <v>0</v>
      </c>
      <c r="BY1460" s="57">
        <f t="shared" si="1064"/>
        <v>0</v>
      </c>
      <c r="BZ1460" s="8">
        <f t="shared" si="1037"/>
        <v>0</v>
      </c>
      <c r="CA1460" s="8">
        <f t="shared" si="1038"/>
        <v>0</v>
      </c>
      <c r="CB1460" s="8">
        <f t="shared" si="1039"/>
        <v>0</v>
      </c>
      <c r="CC1460" s="8">
        <f t="shared" si="1040"/>
        <v>0</v>
      </c>
      <c r="CD1460" s="8">
        <f t="shared" si="1041"/>
        <v>0</v>
      </c>
      <c r="CE1460" s="8">
        <f t="shared" si="1042"/>
        <v>0</v>
      </c>
      <c r="CF1460" s="8">
        <f t="shared" si="1043"/>
        <v>0</v>
      </c>
      <c r="CG1460" s="8">
        <f t="shared" si="1044"/>
        <v>0</v>
      </c>
      <c r="CH1460" s="8">
        <f t="shared" si="1045"/>
        <v>0</v>
      </c>
      <c r="CI1460" s="8">
        <f t="shared" si="1046"/>
        <v>0</v>
      </c>
      <c r="CJ1460" s="8">
        <f t="shared" si="1047"/>
        <v>0</v>
      </c>
      <c r="CK1460" s="8">
        <f t="shared" si="1048"/>
        <v>0</v>
      </c>
      <c r="CL1460" s="8">
        <f t="shared" si="1049"/>
        <v>0</v>
      </c>
      <c r="CM1460" s="8">
        <f t="shared" si="1050"/>
        <v>0</v>
      </c>
      <c r="CN1460" s="8">
        <f t="shared" si="1051"/>
        <v>0</v>
      </c>
      <c r="CO1460" s="8">
        <f t="shared" si="1052"/>
        <v>0</v>
      </c>
      <c r="CP1460" s="8">
        <f t="shared" si="1053"/>
        <v>0</v>
      </c>
      <c r="CQ1460" s="8">
        <f t="shared" si="1054"/>
        <v>0</v>
      </c>
      <c r="CR1460" s="8">
        <f t="shared" si="1055"/>
        <v>0</v>
      </c>
      <c r="CS1460" s="8">
        <f t="shared" si="1056"/>
        <v>0</v>
      </c>
      <c r="CT1460" s="8">
        <f t="shared" si="1061"/>
        <v>0</v>
      </c>
      <c r="CU1460" s="8">
        <f t="shared" si="1062"/>
        <v>0</v>
      </c>
      <c r="CV1460" s="8">
        <f t="shared" si="1063"/>
        <v>0</v>
      </c>
    </row>
    <row r="1461" spans="1:100" ht="20.5" thickTop="1" thickBot="1" x14ac:dyDescent="0.5">
      <c r="A1461" s="32"/>
      <c r="B1461" s="10"/>
      <c r="C1461" s="10"/>
      <c r="D1461" s="11"/>
      <c r="E1461" s="10"/>
      <c r="F1461" s="10"/>
      <c r="G1461" s="19"/>
      <c r="H1461" s="19"/>
      <c r="I1461" s="19"/>
      <c r="J1461" s="19"/>
      <c r="K1461" s="10"/>
      <c r="L1461" s="10"/>
      <c r="M1461" s="10"/>
      <c r="N1461" s="10"/>
      <c r="O1461" s="18"/>
      <c r="P1461" s="18"/>
      <c r="Q1461" s="21"/>
      <c r="R1461" s="20"/>
      <c r="S1461" s="16">
        <f t="shared" si="1019"/>
        <v>0</v>
      </c>
      <c r="T1461" s="11"/>
      <c r="AS1461" s="31">
        <f t="shared" si="1020"/>
        <v>0</v>
      </c>
      <c r="AT1461" s="31">
        <f t="shared" si="1021"/>
        <v>0</v>
      </c>
      <c r="AU1461" s="31">
        <f t="shared" si="1022"/>
        <v>0</v>
      </c>
      <c r="AV1461" s="31">
        <f t="shared" si="1023"/>
        <v>0</v>
      </c>
      <c r="AW1461" s="31">
        <f t="shared" si="1024"/>
        <v>0</v>
      </c>
      <c r="AX1461" s="31">
        <f t="shared" si="1025"/>
        <v>0</v>
      </c>
      <c r="AY1461" s="31">
        <f t="shared" si="1026"/>
        <v>0</v>
      </c>
      <c r="AZ1461" s="31">
        <f t="shared" si="1027"/>
        <v>0</v>
      </c>
      <c r="BA1461" s="31">
        <f t="shared" si="1028"/>
        <v>0</v>
      </c>
      <c r="BB1461" s="31">
        <f t="shared" si="1057"/>
        <v>0</v>
      </c>
      <c r="BM1461" s="8">
        <f t="shared" si="1058"/>
        <v>0</v>
      </c>
      <c r="BN1461" s="8">
        <f t="shared" si="1029"/>
        <v>0</v>
      </c>
      <c r="BO1461" s="8">
        <f t="shared" si="1030"/>
        <v>0</v>
      </c>
      <c r="BQ1461" s="8">
        <f t="shared" si="1031"/>
        <v>0</v>
      </c>
      <c r="BR1461" s="63">
        <f t="shared" si="1032"/>
        <v>0</v>
      </c>
      <c r="BS1461" s="63">
        <f t="shared" si="1059"/>
        <v>0</v>
      </c>
      <c r="BT1461" s="63">
        <f t="shared" si="1033"/>
        <v>0</v>
      </c>
      <c r="BU1461" s="63">
        <f t="shared" si="1034"/>
        <v>0</v>
      </c>
      <c r="BV1461" s="57">
        <f t="shared" si="1035"/>
        <v>0</v>
      </c>
      <c r="BW1461" s="57">
        <f t="shared" si="1036"/>
        <v>0</v>
      </c>
      <c r="BX1461" s="57">
        <f t="shared" si="1060"/>
        <v>0</v>
      </c>
      <c r="BY1461" s="57">
        <f t="shared" si="1064"/>
        <v>0</v>
      </c>
      <c r="BZ1461" s="8">
        <f t="shared" si="1037"/>
        <v>0</v>
      </c>
      <c r="CA1461" s="8">
        <f t="shared" si="1038"/>
        <v>0</v>
      </c>
      <c r="CB1461" s="8">
        <f t="shared" si="1039"/>
        <v>0</v>
      </c>
      <c r="CC1461" s="8">
        <f t="shared" si="1040"/>
        <v>0</v>
      </c>
      <c r="CD1461" s="8">
        <f t="shared" si="1041"/>
        <v>0</v>
      </c>
      <c r="CE1461" s="8">
        <f t="shared" si="1042"/>
        <v>0</v>
      </c>
      <c r="CF1461" s="8">
        <f t="shared" si="1043"/>
        <v>0</v>
      </c>
      <c r="CG1461" s="8">
        <f t="shared" si="1044"/>
        <v>0</v>
      </c>
      <c r="CH1461" s="8">
        <f t="shared" si="1045"/>
        <v>0</v>
      </c>
      <c r="CI1461" s="8">
        <f t="shared" si="1046"/>
        <v>0</v>
      </c>
      <c r="CJ1461" s="8">
        <f t="shared" si="1047"/>
        <v>0</v>
      </c>
      <c r="CK1461" s="8">
        <f t="shared" si="1048"/>
        <v>0</v>
      </c>
      <c r="CL1461" s="8">
        <f t="shared" si="1049"/>
        <v>0</v>
      </c>
      <c r="CM1461" s="8">
        <f t="shared" si="1050"/>
        <v>0</v>
      </c>
      <c r="CN1461" s="8">
        <f t="shared" si="1051"/>
        <v>0</v>
      </c>
      <c r="CO1461" s="8">
        <f t="shared" si="1052"/>
        <v>0</v>
      </c>
      <c r="CP1461" s="8">
        <f t="shared" si="1053"/>
        <v>0</v>
      </c>
      <c r="CQ1461" s="8">
        <f t="shared" si="1054"/>
        <v>0</v>
      </c>
      <c r="CR1461" s="8">
        <f t="shared" si="1055"/>
        <v>0</v>
      </c>
      <c r="CS1461" s="8">
        <f t="shared" si="1056"/>
        <v>0</v>
      </c>
      <c r="CT1461" s="8">
        <f t="shared" si="1061"/>
        <v>0</v>
      </c>
      <c r="CU1461" s="8">
        <f t="shared" si="1062"/>
        <v>0</v>
      </c>
      <c r="CV1461" s="8">
        <f t="shared" si="1063"/>
        <v>0</v>
      </c>
    </row>
    <row r="1462" spans="1:100" ht="20.5" thickTop="1" thickBot="1" x14ac:dyDescent="0.5">
      <c r="A1462" s="32"/>
      <c r="B1462" s="10"/>
      <c r="C1462" s="10"/>
      <c r="D1462" s="11"/>
      <c r="E1462" s="10"/>
      <c r="F1462" s="10"/>
      <c r="G1462" s="19"/>
      <c r="H1462" s="19"/>
      <c r="I1462" s="19"/>
      <c r="J1462" s="19"/>
      <c r="K1462" s="10"/>
      <c r="L1462" s="10"/>
      <c r="M1462" s="10"/>
      <c r="N1462" s="10"/>
      <c r="O1462" s="18"/>
      <c r="P1462" s="18"/>
      <c r="Q1462" s="21"/>
      <c r="R1462" s="20"/>
      <c r="S1462" s="16">
        <f t="shared" si="1019"/>
        <v>0</v>
      </c>
      <c r="T1462" s="11"/>
      <c r="AS1462" s="31">
        <f t="shared" si="1020"/>
        <v>0</v>
      </c>
      <c r="AT1462" s="31">
        <f t="shared" si="1021"/>
        <v>0</v>
      </c>
      <c r="AU1462" s="31">
        <f t="shared" si="1022"/>
        <v>0</v>
      </c>
      <c r="AV1462" s="31">
        <f t="shared" si="1023"/>
        <v>0</v>
      </c>
      <c r="AW1462" s="31">
        <f t="shared" si="1024"/>
        <v>0</v>
      </c>
      <c r="AX1462" s="31">
        <f t="shared" si="1025"/>
        <v>0</v>
      </c>
      <c r="AY1462" s="31">
        <f t="shared" si="1026"/>
        <v>0</v>
      </c>
      <c r="AZ1462" s="31">
        <f t="shared" si="1027"/>
        <v>0</v>
      </c>
      <c r="BA1462" s="31">
        <f t="shared" si="1028"/>
        <v>0</v>
      </c>
      <c r="BB1462" s="31">
        <f t="shared" si="1057"/>
        <v>0</v>
      </c>
      <c r="BM1462" s="8">
        <f t="shared" si="1058"/>
        <v>0</v>
      </c>
      <c r="BN1462" s="8">
        <f t="shared" si="1029"/>
        <v>0</v>
      </c>
      <c r="BO1462" s="8">
        <f t="shared" si="1030"/>
        <v>0</v>
      </c>
      <c r="BQ1462" s="8">
        <f t="shared" si="1031"/>
        <v>0</v>
      </c>
      <c r="BR1462" s="63">
        <f t="shared" si="1032"/>
        <v>0</v>
      </c>
      <c r="BS1462" s="63">
        <f t="shared" si="1059"/>
        <v>0</v>
      </c>
      <c r="BT1462" s="63">
        <f t="shared" si="1033"/>
        <v>0</v>
      </c>
      <c r="BU1462" s="63">
        <f t="shared" si="1034"/>
        <v>0</v>
      </c>
      <c r="BV1462" s="57">
        <f t="shared" si="1035"/>
        <v>0</v>
      </c>
      <c r="BW1462" s="57">
        <f t="shared" si="1036"/>
        <v>0</v>
      </c>
      <c r="BX1462" s="57">
        <f t="shared" si="1060"/>
        <v>0</v>
      </c>
      <c r="BY1462" s="57">
        <f t="shared" si="1064"/>
        <v>0</v>
      </c>
      <c r="BZ1462" s="8">
        <f t="shared" si="1037"/>
        <v>0</v>
      </c>
      <c r="CA1462" s="8">
        <f t="shared" si="1038"/>
        <v>0</v>
      </c>
      <c r="CB1462" s="8">
        <f t="shared" si="1039"/>
        <v>0</v>
      </c>
      <c r="CC1462" s="8">
        <f t="shared" si="1040"/>
        <v>0</v>
      </c>
      <c r="CD1462" s="8">
        <f t="shared" si="1041"/>
        <v>0</v>
      </c>
      <c r="CE1462" s="8">
        <f t="shared" si="1042"/>
        <v>0</v>
      </c>
      <c r="CF1462" s="8">
        <f t="shared" si="1043"/>
        <v>0</v>
      </c>
      <c r="CG1462" s="8">
        <f t="shared" si="1044"/>
        <v>0</v>
      </c>
      <c r="CH1462" s="8">
        <f t="shared" si="1045"/>
        <v>0</v>
      </c>
      <c r="CI1462" s="8">
        <f t="shared" si="1046"/>
        <v>0</v>
      </c>
      <c r="CJ1462" s="8">
        <f t="shared" si="1047"/>
        <v>0</v>
      </c>
      <c r="CK1462" s="8">
        <f t="shared" si="1048"/>
        <v>0</v>
      </c>
      <c r="CL1462" s="8">
        <f t="shared" si="1049"/>
        <v>0</v>
      </c>
      <c r="CM1462" s="8">
        <f t="shared" si="1050"/>
        <v>0</v>
      </c>
      <c r="CN1462" s="8">
        <f t="shared" si="1051"/>
        <v>0</v>
      </c>
      <c r="CO1462" s="8">
        <f t="shared" si="1052"/>
        <v>0</v>
      </c>
      <c r="CP1462" s="8">
        <f t="shared" si="1053"/>
        <v>0</v>
      </c>
      <c r="CQ1462" s="8">
        <f t="shared" si="1054"/>
        <v>0</v>
      </c>
      <c r="CR1462" s="8">
        <f t="shared" si="1055"/>
        <v>0</v>
      </c>
      <c r="CS1462" s="8">
        <f t="shared" si="1056"/>
        <v>0</v>
      </c>
      <c r="CT1462" s="8">
        <f t="shared" si="1061"/>
        <v>0</v>
      </c>
      <c r="CU1462" s="8">
        <f t="shared" si="1062"/>
        <v>0</v>
      </c>
      <c r="CV1462" s="8">
        <f t="shared" si="1063"/>
        <v>0</v>
      </c>
    </row>
    <row r="1463" spans="1:100" ht="20.5" thickTop="1" thickBot="1" x14ac:dyDescent="0.5">
      <c r="A1463" s="32"/>
      <c r="B1463" s="10"/>
      <c r="C1463" s="10"/>
      <c r="D1463" s="11"/>
      <c r="E1463" s="10"/>
      <c r="F1463" s="10"/>
      <c r="G1463" s="19"/>
      <c r="H1463" s="19"/>
      <c r="I1463" s="19"/>
      <c r="J1463" s="19"/>
      <c r="K1463" s="10"/>
      <c r="L1463" s="10"/>
      <c r="M1463" s="10"/>
      <c r="N1463" s="10"/>
      <c r="O1463" s="18"/>
      <c r="P1463" s="18"/>
      <c r="Q1463" s="21"/>
      <c r="R1463" s="20"/>
      <c r="S1463" s="16">
        <f t="shared" si="1019"/>
        <v>0</v>
      </c>
      <c r="T1463" s="11"/>
      <c r="AS1463" s="31">
        <f t="shared" si="1020"/>
        <v>0</v>
      </c>
      <c r="AT1463" s="31">
        <f t="shared" si="1021"/>
        <v>0</v>
      </c>
      <c r="AU1463" s="31">
        <f t="shared" si="1022"/>
        <v>0</v>
      </c>
      <c r="AV1463" s="31">
        <f t="shared" si="1023"/>
        <v>0</v>
      </c>
      <c r="AW1463" s="31">
        <f t="shared" si="1024"/>
        <v>0</v>
      </c>
      <c r="AX1463" s="31">
        <f t="shared" si="1025"/>
        <v>0</v>
      </c>
      <c r="AY1463" s="31">
        <f t="shared" si="1026"/>
        <v>0</v>
      </c>
      <c r="AZ1463" s="31">
        <f t="shared" si="1027"/>
        <v>0</v>
      </c>
      <c r="BA1463" s="31">
        <f t="shared" si="1028"/>
        <v>0</v>
      </c>
      <c r="BB1463" s="31">
        <f t="shared" si="1057"/>
        <v>0</v>
      </c>
      <c r="BM1463" s="8">
        <f t="shared" si="1058"/>
        <v>0</v>
      </c>
      <c r="BN1463" s="8">
        <f t="shared" si="1029"/>
        <v>0</v>
      </c>
      <c r="BO1463" s="8">
        <f t="shared" si="1030"/>
        <v>0</v>
      </c>
      <c r="BQ1463" s="8">
        <f t="shared" si="1031"/>
        <v>0</v>
      </c>
      <c r="BR1463" s="63">
        <f t="shared" si="1032"/>
        <v>0</v>
      </c>
      <c r="BS1463" s="63">
        <f t="shared" si="1059"/>
        <v>0</v>
      </c>
      <c r="BT1463" s="63">
        <f t="shared" si="1033"/>
        <v>0</v>
      </c>
      <c r="BU1463" s="63">
        <f t="shared" si="1034"/>
        <v>0</v>
      </c>
      <c r="BV1463" s="57">
        <f t="shared" si="1035"/>
        <v>0</v>
      </c>
      <c r="BW1463" s="57">
        <f t="shared" si="1036"/>
        <v>0</v>
      </c>
      <c r="BX1463" s="57">
        <f t="shared" si="1060"/>
        <v>0</v>
      </c>
      <c r="BY1463" s="57">
        <f t="shared" si="1064"/>
        <v>0</v>
      </c>
      <c r="BZ1463" s="8">
        <f t="shared" si="1037"/>
        <v>0</v>
      </c>
      <c r="CA1463" s="8">
        <f t="shared" si="1038"/>
        <v>0</v>
      </c>
      <c r="CB1463" s="8">
        <f t="shared" si="1039"/>
        <v>0</v>
      </c>
      <c r="CC1463" s="8">
        <f t="shared" si="1040"/>
        <v>0</v>
      </c>
      <c r="CD1463" s="8">
        <f t="shared" si="1041"/>
        <v>0</v>
      </c>
      <c r="CE1463" s="8">
        <f t="shared" si="1042"/>
        <v>0</v>
      </c>
      <c r="CF1463" s="8">
        <f t="shared" si="1043"/>
        <v>0</v>
      </c>
      <c r="CG1463" s="8">
        <f t="shared" si="1044"/>
        <v>0</v>
      </c>
      <c r="CH1463" s="8">
        <f t="shared" si="1045"/>
        <v>0</v>
      </c>
      <c r="CI1463" s="8">
        <f t="shared" si="1046"/>
        <v>0</v>
      </c>
      <c r="CJ1463" s="8">
        <f t="shared" si="1047"/>
        <v>0</v>
      </c>
      <c r="CK1463" s="8">
        <f t="shared" si="1048"/>
        <v>0</v>
      </c>
      <c r="CL1463" s="8">
        <f t="shared" si="1049"/>
        <v>0</v>
      </c>
      <c r="CM1463" s="8">
        <f t="shared" si="1050"/>
        <v>0</v>
      </c>
      <c r="CN1463" s="8">
        <f t="shared" si="1051"/>
        <v>0</v>
      </c>
      <c r="CO1463" s="8">
        <f t="shared" si="1052"/>
        <v>0</v>
      </c>
      <c r="CP1463" s="8">
        <f t="shared" si="1053"/>
        <v>0</v>
      </c>
      <c r="CQ1463" s="8">
        <f t="shared" si="1054"/>
        <v>0</v>
      </c>
      <c r="CR1463" s="8">
        <f t="shared" si="1055"/>
        <v>0</v>
      </c>
      <c r="CS1463" s="8">
        <f t="shared" si="1056"/>
        <v>0</v>
      </c>
      <c r="CT1463" s="8">
        <f t="shared" si="1061"/>
        <v>0</v>
      </c>
      <c r="CU1463" s="8">
        <f t="shared" si="1062"/>
        <v>0</v>
      </c>
      <c r="CV1463" s="8">
        <f t="shared" si="1063"/>
        <v>0</v>
      </c>
    </row>
    <row r="1464" spans="1:100" ht="20.5" thickTop="1" thickBot="1" x14ac:dyDescent="0.5">
      <c r="A1464" s="32"/>
      <c r="B1464" s="10"/>
      <c r="C1464" s="10"/>
      <c r="D1464" s="11"/>
      <c r="E1464" s="10"/>
      <c r="F1464" s="10"/>
      <c r="G1464" s="19"/>
      <c r="H1464" s="19"/>
      <c r="I1464" s="19"/>
      <c r="J1464" s="19"/>
      <c r="K1464" s="10"/>
      <c r="L1464" s="10"/>
      <c r="M1464" s="10"/>
      <c r="N1464" s="10"/>
      <c r="O1464" s="18"/>
      <c r="P1464" s="18"/>
      <c r="Q1464" s="21"/>
      <c r="R1464" s="20"/>
      <c r="S1464" s="16">
        <f t="shared" si="1019"/>
        <v>0</v>
      </c>
      <c r="T1464" s="11"/>
      <c r="AS1464" s="31">
        <f t="shared" si="1020"/>
        <v>0</v>
      </c>
      <c r="AT1464" s="31">
        <f t="shared" si="1021"/>
        <v>0</v>
      </c>
      <c r="AU1464" s="31">
        <f t="shared" si="1022"/>
        <v>0</v>
      </c>
      <c r="AV1464" s="31">
        <f t="shared" si="1023"/>
        <v>0</v>
      </c>
      <c r="AW1464" s="31">
        <f t="shared" si="1024"/>
        <v>0</v>
      </c>
      <c r="AX1464" s="31">
        <f t="shared" si="1025"/>
        <v>0</v>
      </c>
      <c r="AY1464" s="31">
        <f t="shared" si="1026"/>
        <v>0</v>
      </c>
      <c r="AZ1464" s="31">
        <f t="shared" si="1027"/>
        <v>0</v>
      </c>
      <c r="BA1464" s="31">
        <f t="shared" si="1028"/>
        <v>0</v>
      </c>
      <c r="BB1464" s="31">
        <f t="shared" si="1057"/>
        <v>0</v>
      </c>
      <c r="BM1464" s="8">
        <f t="shared" si="1058"/>
        <v>0</v>
      </c>
      <c r="BN1464" s="8">
        <f t="shared" si="1029"/>
        <v>0</v>
      </c>
      <c r="BO1464" s="8">
        <f t="shared" si="1030"/>
        <v>0</v>
      </c>
      <c r="BQ1464" s="8">
        <f t="shared" si="1031"/>
        <v>0</v>
      </c>
      <c r="BR1464" s="63">
        <f t="shared" si="1032"/>
        <v>0</v>
      </c>
      <c r="BS1464" s="63">
        <f t="shared" si="1059"/>
        <v>0</v>
      </c>
      <c r="BT1464" s="63">
        <f t="shared" si="1033"/>
        <v>0</v>
      </c>
      <c r="BU1464" s="63">
        <f t="shared" si="1034"/>
        <v>0</v>
      </c>
      <c r="BV1464" s="57">
        <f t="shared" si="1035"/>
        <v>0</v>
      </c>
      <c r="BW1464" s="57">
        <f t="shared" si="1036"/>
        <v>0</v>
      </c>
      <c r="BX1464" s="57">
        <f t="shared" si="1060"/>
        <v>0</v>
      </c>
      <c r="BY1464" s="57">
        <f t="shared" si="1064"/>
        <v>0</v>
      </c>
      <c r="BZ1464" s="8">
        <f t="shared" si="1037"/>
        <v>0</v>
      </c>
      <c r="CA1464" s="8">
        <f t="shared" si="1038"/>
        <v>0</v>
      </c>
      <c r="CB1464" s="8">
        <f t="shared" si="1039"/>
        <v>0</v>
      </c>
      <c r="CC1464" s="8">
        <f t="shared" si="1040"/>
        <v>0</v>
      </c>
      <c r="CD1464" s="8">
        <f t="shared" si="1041"/>
        <v>0</v>
      </c>
      <c r="CE1464" s="8">
        <f t="shared" si="1042"/>
        <v>0</v>
      </c>
      <c r="CF1464" s="8">
        <f t="shared" si="1043"/>
        <v>0</v>
      </c>
      <c r="CG1464" s="8">
        <f t="shared" si="1044"/>
        <v>0</v>
      </c>
      <c r="CH1464" s="8">
        <f t="shared" si="1045"/>
        <v>0</v>
      </c>
      <c r="CI1464" s="8">
        <f t="shared" si="1046"/>
        <v>0</v>
      </c>
      <c r="CJ1464" s="8">
        <f t="shared" si="1047"/>
        <v>0</v>
      </c>
      <c r="CK1464" s="8">
        <f t="shared" si="1048"/>
        <v>0</v>
      </c>
      <c r="CL1464" s="8">
        <f t="shared" si="1049"/>
        <v>0</v>
      </c>
      <c r="CM1464" s="8">
        <f t="shared" si="1050"/>
        <v>0</v>
      </c>
      <c r="CN1464" s="8">
        <f t="shared" si="1051"/>
        <v>0</v>
      </c>
      <c r="CO1464" s="8">
        <f t="shared" si="1052"/>
        <v>0</v>
      </c>
      <c r="CP1464" s="8">
        <f t="shared" si="1053"/>
        <v>0</v>
      </c>
      <c r="CQ1464" s="8">
        <f t="shared" si="1054"/>
        <v>0</v>
      </c>
      <c r="CR1464" s="8">
        <f t="shared" si="1055"/>
        <v>0</v>
      </c>
      <c r="CS1464" s="8">
        <f t="shared" si="1056"/>
        <v>0</v>
      </c>
      <c r="CT1464" s="8">
        <f t="shared" si="1061"/>
        <v>0</v>
      </c>
      <c r="CU1464" s="8">
        <f t="shared" si="1062"/>
        <v>0</v>
      </c>
      <c r="CV1464" s="8">
        <f t="shared" si="1063"/>
        <v>0</v>
      </c>
    </row>
    <row r="1465" spans="1:100" ht="20.5" thickTop="1" thickBot="1" x14ac:dyDescent="0.5">
      <c r="A1465" s="32"/>
      <c r="B1465" s="10"/>
      <c r="C1465" s="10"/>
      <c r="D1465" s="11"/>
      <c r="E1465" s="10"/>
      <c r="F1465" s="10"/>
      <c r="G1465" s="19"/>
      <c r="H1465" s="19"/>
      <c r="I1465" s="19"/>
      <c r="J1465" s="19"/>
      <c r="K1465" s="10"/>
      <c r="L1465" s="10"/>
      <c r="M1465" s="10"/>
      <c r="N1465" s="10"/>
      <c r="O1465" s="18"/>
      <c r="P1465" s="18"/>
      <c r="Q1465" s="21"/>
      <c r="R1465" s="20"/>
      <c r="S1465" s="16">
        <f t="shared" si="1019"/>
        <v>0</v>
      </c>
      <c r="T1465" s="11"/>
      <c r="AS1465" s="31">
        <f t="shared" si="1020"/>
        <v>0</v>
      </c>
      <c r="AT1465" s="31">
        <f t="shared" si="1021"/>
        <v>0</v>
      </c>
      <c r="AU1465" s="31">
        <f t="shared" si="1022"/>
        <v>0</v>
      </c>
      <c r="AV1465" s="31">
        <f t="shared" si="1023"/>
        <v>0</v>
      </c>
      <c r="AW1465" s="31">
        <f t="shared" si="1024"/>
        <v>0</v>
      </c>
      <c r="AX1465" s="31">
        <f t="shared" si="1025"/>
        <v>0</v>
      </c>
      <c r="AY1465" s="31">
        <f t="shared" si="1026"/>
        <v>0</v>
      </c>
      <c r="AZ1465" s="31">
        <f t="shared" si="1027"/>
        <v>0</v>
      </c>
      <c r="BA1465" s="31">
        <f t="shared" si="1028"/>
        <v>0</v>
      </c>
      <c r="BB1465" s="31">
        <f t="shared" si="1057"/>
        <v>0</v>
      </c>
      <c r="BM1465" s="8">
        <f t="shared" si="1058"/>
        <v>0</v>
      </c>
      <c r="BN1465" s="8">
        <f t="shared" si="1029"/>
        <v>0</v>
      </c>
      <c r="BO1465" s="8">
        <f t="shared" si="1030"/>
        <v>0</v>
      </c>
      <c r="BQ1465" s="8">
        <f t="shared" si="1031"/>
        <v>0</v>
      </c>
      <c r="BR1465" s="63">
        <f t="shared" si="1032"/>
        <v>0</v>
      </c>
      <c r="BS1465" s="63">
        <f t="shared" si="1059"/>
        <v>0</v>
      </c>
      <c r="BT1465" s="63">
        <f t="shared" si="1033"/>
        <v>0</v>
      </c>
      <c r="BU1465" s="63">
        <f t="shared" si="1034"/>
        <v>0</v>
      </c>
      <c r="BV1465" s="57">
        <f t="shared" si="1035"/>
        <v>0</v>
      </c>
      <c r="BW1465" s="57">
        <f t="shared" si="1036"/>
        <v>0</v>
      </c>
      <c r="BX1465" s="57">
        <f t="shared" si="1060"/>
        <v>0</v>
      </c>
      <c r="BY1465" s="57">
        <f t="shared" si="1064"/>
        <v>0</v>
      </c>
      <c r="BZ1465" s="8">
        <f t="shared" si="1037"/>
        <v>0</v>
      </c>
      <c r="CA1465" s="8">
        <f t="shared" si="1038"/>
        <v>0</v>
      </c>
      <c r="CB1465" s="8">
        <f t="shared" si="1039"/>
        <v>0</v>
      </c>
      <c r="CC1465" s="8">
        <f t="shared" si="1040"/>
        <v>0</v>
      </c>
      <c r="CD1465" s="8">
        <f t="shared" si="1041"/>
        <v>0</v>
      </c>
      <c r="CE1465" s="8">
        <f t="shared" si="1042"/>
        <v>0</v>
      </c>
      <c r="CF1465" s="8">
        <f t="shared" si="1043"/>
        <v>0</v>
      </c>
      <c r="CG1465" s="8">
        <f t="shared" si="1044"/>
        <v>0</v>
      </c>
      <c r="CH1465" s="8">
        <f t="shared" si="1045"/>
        <v>0</v>
      </c>
      <c r="CI1465" s="8">
        <f t="shared" si="1046"/>
        <v>0</v>
      </c>
      <c r="CJ1465" s="8">
        <f t="shared" si="1047"/>
        <v>0</v>
      </c>
      <c r="CK1465" s="8">
        <f t="shared" si="1048"/>
        <v>0</v>
      </c>
      <c r="CL1465" s="8">
        <f t="shared" si="1049"/>
        <v>0</v>
      </c>
      <c r="CM1465" s="8">
        <f t="shared" si="1050"/>
        <v>0</v>
      </c>
      <c r="CN1465" s="8">
        <f t="shared" si="1051"/>
        <v>0</v>
      </c>
      <c r="CO1465" s="8">
        <f t="shared" si="1052"/>
        <v>0</v>
      </c>
      <c r="CP1465" s="8">
        <f t="shared" si="1053"/>
        <v>0</v>
      </c>
      <c r="CQ1465" s="8">
        <f t="shared" si="1054"/>
        <v>0</v>
      </c>
      <c r="CR1465" s="8">
        <f t="shared" si="1055"/>
        <v>0</v>
      </c>
      <c r="CS1465" s="8">
        <f t="shared" si="1056"/>
        <v>0</v>
      </c>
      <c r="CT1465" s="8">
        <f t="shared" si="1061"/>
        <v>0</v>
      </c>
      <c r="CU1465" s="8">
        <f t="shared" si="1062"/>
        <v>0</v>
      </c>
      <c r="CV1465" s="8">
        <f t="shared" si="1063"/>
        <v>0</v>
      </c>
    </row>
    <row r="1466" spans="1:100" ht="20.5" thickTop="1" thickBot="1" x14ac:dyDescent="0.5">
      <c r="A1466" s="32"/>
      <c r="B1466" s="10"/>
      <c r="C1466" s="10"/>
      <c r="D1466" s="11"/>
      <c r="E1466" s="10"/>
      <c r="F1466" s="10"/>
      <c r="G1466" s="19"/>
      <c r="H1466" s="19"/>
      <c r="I1466" s="19"/>
      <c r="J1466" s="19"/>
      <c r="K1466" s="10"/>
      <c r="L1466" s="10"/>
      <c r="M1466" s="10"/>
      <c r="N1466" s="10"/>
      <c r="O1466" s="18"/>
      <c r="P1466" s="18"/>
      <c r="Q1466" s="21"/>
      <c r="R1466" s="20"/>
      <c r="S1466" s="16">
        <f t="shared" si="1019"/>
        <v>0</v>
      </c>
      <c r="T1466" s="11"/>
      <c r="AS1466" s="31">
        <f t="shared" si="1020"/>
        <v>0</v>
      </c>
      <c r="AT1466" s="31">
        <f t="shared" si="1021"/>
        <v>0</v>
      </c>
      <c r="AU1466" s="31">
        <f t="shared" si="1022"/>
        <v>0</v>
      </c>
      <c r="AV1466" s="31">
        <f t="shared" si="1023"/>
        <v>0</v>
      </c>
      <c r="AW1466" s="31">
        <f t="shared" si="1024"/>
        <v>0</v>
      </c>
      <c r="AX1466" s="31">
        <f t="shared" si="1025"/>
        <v>0</v>
      </c>
      <c r="AY1466" s="31">
        <f t="shared" si="1026"/>
        <v>0</v>
      </c>
      <c r="AZ1466" s="31">
        <f t="shared" si="1027"/>
        <v>0</v>
      </c>
      <c r="BA1466" s="31">
        <f t="shared" si="1028"/>
        <v>0</v>
      </c>
      <c r="BB1466" s="31">
        <f t="shared" si="1057"/>
        <v>0</v>
      </c>
      <c r="BM1466" s="8">
        <f t="shared" si="1058"/>
        <v>0</v>
      </c>
      <c r="BN1466" s="8">
        <f t="shared" si="1029"/>
        <v>0</v>
      </c>
      <c r="BO1466" s="8">
        <f t="shared" si="1030"/>
        <v>0</v>
      </c>
      <c r="BQ1466" s="8">
        <f t="shared" si="1031"/>
        <v>0</v>
      </c>
      <c r="BR1466" s="63">
        <f t="shared" si="1032"/>
        <v>0</v>
      </c>
      <c r="BS1466" s="63">
        <f t="shared" si="1059"/>
        <v>0</v>
      </c>
      <c r="BT1466" s="63">
        <f t="shared" si="1033"/>
        <v>0</v>
      </c>
      <c r="BU1466" s="63">
        <f t="shared" si="1034"/>
        <v>0</v>
      </c>
      <c r="BV1466" s="57">
        <f t="shared" si="1035"/>
        <v>0</v>
      </c>
      <c r="BW1466" s="57">
        <f t="shared" si="1036"/>
        <v>0</v>
      </c>
      <c r="BX1466" s="57">
        <f t="shared" si="1060"/>
        <v>0</v>
      </c>
      <c r="BY1466" s="57">
        <f t="shared" si="1064"/>
        <v>0</v>
      </c>
      <c r="BZ1466" s="8">
        <f t="shared" si="1037"/>
        <v>0</v>
      </c>
      <c r="CA1466" s="8">
        <f t="shared" si="1038"/>
        <v>0</v>
      </c>
      <c r="CB1466" s="8">
        <f t="shared" si="1039"/>
        <v>0</v>
      </c>
      <c r="CC1466" s="8">
        <f t="shared" si="1040"/>
        <v>0</v>
      </c>
      <c r="CD1466" s="8">
        <f t="shared" si="1041"/>
        <v>0</v>
      </c>
      <c r="CE1466" s="8">
        <f t="shared" si="1042"/>
        <v>0</v>
      </c>
      <c r="CF1466" s="8">
        <f t="shared" si="1043"/>
        <v>0</v>
      </c>
      <c r="CG1466" s="8">
        <f t="shared" si="1044"/>
        <v>0</v>
      </c>
      <c r="CH1466" s="8">
        <f t="shared" si="1045"/>
        <v>0</v>
      </c>
      <c r="CI1466" s="8">
        <f t="shared" si="1046"/>
        <v>0</v>
      </c>
      <c r="CJ1466" s="8">
        <f t="shared" si="1047"/>
        <v>0</v>
      </c>
      <c r="CK1466" s="8">
        <f t="shared" si="1048"/>
        <v>0</v>
      </c>
      <c r="CL1466" s="8">
        <f t="shared" si="1049"/>
        <v>0</v>
      </c>
      <c r="CM1466" s="8">
        <f t="shared" si="1050"/>
        <v>0</v>
      </c>
      <c r="CN1466" s="8">
        <f t="shared" si="1051"/>
        <v>0</v>
      </c>
      <c r="CO1466" s="8">
        <f t="shared" si="1052"/>
        <v>0</v>
      </c>
      <c r="CP1466" s="8">
        <f t="shared" si="1053"/>
        <v>0</v>
      </c>
      <c r="CQ1466" s="8">
        <f t="shared" si="1054"/>
        <v>0</v>
      </c>
      <c r="CR1466" s="8">
        <f t="shared" si="1055"/>
        <v>0</v>
      </c>
      <c r="CS1466" s="8">
        <f t="shared" si="1056"/>
        <v>0</v>
      </c>
      <c r="CT1466" s="8">
        <f t="shared" si="1061"/>
        <v>0</v>
      </c>
      <c r="CU1466" s="8">
        <f t="shared" si="1062"/>
        <v>0</v>
      </c>
      <c r="CV1466" s="8">
        <f t="shared" si="1063"/>
        <v>0</v>
      </c>
    </row>
    <row r="1467" spans="1:100" ht="20.5" thickTop="1" thickBot="1" x14ac:dyDescent="0.5">
      <c r="A1467" s="32"/>
      <c r="B1467" s="10"/>
      <c r="C1467" s="10"/>
      <c r="D1467" s="11"/>
      <c r="E1467" s="10"/>
      <c r="F1467" s="10"/>
      <c r="G1467" s="19"/>
      <c r="H1467" s="19"/>
      <c r="I1467" s="19"/>
      <c r="J1467" s="19"/>
      <c r="K1467" s="10"/>
      <c r="L1467" s="10"/>
      <c r="M1467" s="10"/>
      <c r="N1467" s="10"/>
      <c r="O1467" s="18"/>
      <c r="P1467" s="18"/>
      <c r="Q1467" s="21"/>
      <c r="R1467" s="20"/>
      <c r="S1467" s="16">
        <f t="shared" si="1019"/>
        <v>0</v>
      </c>
      <c r="T1467" s="11"/>
      <c r="AS1467" s="31">
        <f t="shared" si="1020"/>
        <v>0</v>
      </c>
      <c r="AT1467" s="31">
        <f t="shared" si="1021"/>
        <v>0</v>
      </c>
      <c r="AU1467" s="31">
        <f t="shared" si="1022"/>
        <v>0</v>
      </c>
      <c r="AV1467" s="31">
        <f t="shared" si="1023"/>
        <v>0</v>
      </c>
      <c r="AW1467" s="31">
        <f t="shared" si="1024"/>
        <v>0</v>
      </c>
      <c r="AX1467" s="31">
        <f t="shared" si="1025"/>
        <v>0</v>
      </c>
      <c r="AY1467" s="31">
        <f t="shared" si="1026"/>
        <v>0</v>
      </c>
      <c r="AZ1467" s="31">
        <f t="shared" si="1027"/>
        <v>0</v>
      </c>
      <c r="BA1467" s="31">
        <f t="shared" si="1028"/>
        <v>0</v>
      </c>
      <c r="BB1467" s="31">
        <f t="shared" si="1057"/>
        <v>0</v>
      </c>
      <c r="BM1467" s="8">
        <f t="shared" si="1058"/>
        <v>0</v>
      </c>
      <c r="BN1467" s="8">
        <f t="shared" si="1029"/>
        <v>0</v>
      </c>
      <c r="BO1467" s="8">
        <f t="shared" si="1030"/>
        <v>0</v>
      </c>
      <c r="BQ1467" s="8">
        <f t="shared" si="1031"/>
        <v>0</v>
      </c>
      <c r="BR1467" s="63">
        <f t="shared" si="1032"/>
        <v>0</v>
      </c>
      <c r="BS1467" s="63">
        <f t="shared" si="1059"/>
        <v>0</v>
      </c>
      <c r="BT1467" s="63">
        <f t="shared" si="1033"/>
        <v>0</v>
      </c>
      <c r="BU1467" s="63">
        <f t="shared" si="1034"/>
        <v>0</v>
      </c>
      <c r="BV1467" s="57">
        <f t="shared" si="1035"/>
        <v>0</v>
      </c>
      <c r="BW1467" s="57">
        <f t="shared" si="1036"/>
        <v>0</v>
      </c>
      <c r="BX1467" s="57">
        <f t="shared" si="1060"/>
        <v>0</v>
      </c>
      <c r="BY1467" s="57">
        <f t="shared" si="1064"/>
        <v>0</v>
      </c>
      <c r="BZ1467" s="8">
        <f t="shared" si="1037"/>
        <v>0</v>
      </c>
      <c r="CA1467" s="8">
        <f t="shared" si="1038"/>
        <v>0</v>
      </c>
      <c r="CB1467" s="8">
        <f t="shared" si="1039"/>
        <v>0</v>
      </c>
      <c r="CC1467" s="8">
        <f t="shared" si="1040"/>
        <v>0</v>
      </c>
      <c r="CD1467" s="8">
        <f t="shared" si="1041"/>
        <v>0</v>
      </c>
      <c r="CE1467" s="8">
        <f t="shared" si="1042"/>
        <v>0</v>
      </c>
      <c r="CF1467" s="8">
        <f t="shared" si="1043"/>
        <v>0</v>
      </c>
      <c r="CG1467" s="8">
        <f t="shared" si="1044"/>
        <v>0</v>
      </c>
      <c r="CH1467" s="8">
        <f t="shared" si="1045"/>
        <v>0</v>
      </c>
      <c r="CI1467" s="8">
        <f t="shared" si="1046"/>
        <v>0</v>
      </c>
      <c r="CJ1467" s="8">
        <f t="shared" si="1047"/>
        <v>0</v>
      </c>
      <c r="CK1467" s="8">
        <f t="shared" si="1048"/>
        <v>0</v>
      </c>
      <c r="CL1467" s="8">
        <f t="shared" si="1049"/>
        <v>0</v>
      </c>
      <c r="CM1467" s="8">
        <f t="shared" si="1050"/>
        <v>0</v>
      </c>
      <c r="CN1467" s="8">
        <f t="shared" si="1051"/>
        <v>0</v>
      </c>
      <c r="CO1467" s="8">
        <f t="shared" si="1052"/>
        <v>0</v>
      </c>
      <c r="CP1467" s="8">
        <f t="shared" si="1053"/>
        <v>0</v>
      </c>
      <c r="CQ1467" s="8">
        <f t="shared" si="1054"/>
        <v>0</v>
      </c>
      <c r="CR1467" s="8">
        <f t="shared" si="1055"/>
        <v>0</v>
      </c>
      <c r="CS1467" s="8">
        <f t="shared" si="1056"/>
        <v>0</v>
      </c>
      <c r="CT1467" s="8">
        <f t="shared" si="1061"/>
        <v>0</v>
      </c>
      <c r="CU1467" s="8">
        <f t="shared" si="1062"/>
        <v>0</v>
      </c>
      <c r="CV1467" s="8">
        <f t="shared" si="1063"/>
        <v>0</v>
      </c>
    </row>
    <row r="1468" spans="1:100" ht="20.5" thickTop="1" thickBot="1" x14ac:dyDescent="0.5">
      <c r="A1468" s="32"/>
      <c r="B1468" s="10"/>
      <c r="C1468" s="10"/>
      <c r="D1468" s="11"/>
      <c r="E1468" s="10"/>
      <c r="F1468" s="10"/>
      <c r="G1468" s="19"/>
      <c r="H1468" s="19"/>
      <c r="I1468" s="19"/>
      <c r="J1468" s="19"/>
      <c r="K1468" s="10"/>
      <c r="L1468" s="10"/>
      <c r="M1468" s="10"/>
      <c r="N1468" s="10"/>
      <c r="O1468" s="18"/>
      <c r="P1468" s="18"/>
      <c r="Q1468" s="21"/>
      <c r="R1468" s="20"/>
      <c r="S1468" s="16">
        <f t="shared" si="1019"/>
        <v>0</v>
      </c>
      <c r="T1468" s="11"/>
      <c r="AS1468" s="31">
        <f t="shared" si="1020"/>
        <v>0</v>
      </c>
      <c r="AT1468" s="31">
        <f t="shared" si="1021"/>
        <v>0</v>
      </c>
      <c r="AU1468" s="31">
        <f t="shared" si="1022"/>
        <v>0</v>
      </c>
      <c r="AV1468" s="31">
        <f t="shared" si="1023"/>
        <v>0</v>
      </c>
      <c r="AW1468" s="31">
        <f t="shared" si="1024"/>
        <v>0</v>
      </c>
      <c r="AX1468" s="31">
        <f t="shared" si="1025"/>
        <v>0</v>
      </c>
      <c r="AY1468" s="31">
        <f t="shared" si="1026"/>
        <v>0</v>
      </c>
      <c r="AZ1468" s="31">
        <f t="shared" si="1027"/>
        <v>0</v>
      </c>
      <c r="BA1468" s="31">
        <f t="shared" si="1028"/>
        <v>0</v>
      </c>
      <c r="BB1468" s="31">
        <f t="shared" si="1057"/>
        <v>0</v>
      </c>
      <c r="BM1468" s="8">
        <f t="shared" si="1058"/>
        <v>0</v>
      </c>
      <c r="BN1468" s="8">
        <f t="shared" si="1029"/>
        <v>0</v>
      </c>
      <c r="BO1468" s="8">
        <f t="shared" si="1030"/>
        <v>0</v>
      </c>
      <c r="BQ1468" s="8">
        <f t="shared" si="1031"/>
        <v>0</v>
      </c>
      <c r="BR1468" s="63">
        <f t="shared" si="1032"/>
        <v>0</v>
      </c>
      <c r="BS1468" s="63">
        <f t="shared" si="1059"/>
        <v>0</v>
      </c>
      <c r="BT1468" s="63">
        <f t="shared" si="1033"/>
        <v>0</v>
      </c>
      <c r="BU1468" s="63">
        <f t="shared" si="1034"/>
        <v>0</v>
      </c>
      <c r="BV1468" s="57">
        <f t="shared" si="1035"/>
        <v>0</v>
      </c>
      <c r="BW1468" s="57">
        <f t="shared" si="1036"/>
        <v>0</v>
      </c>
      <c r="BX1468" s="57">
        <f t="shared" si="1060"/>
        <v>0</v>
      </c>
      <c r="BY1468" s="57">
        <f t="shared" si="1064"/>
        <v>0</v>
      </c>
      <c r="BZ1468" s="8">
        <f t="shared" si="1037"/>
        <v>0</v>
      </c>
      <c r="CA1468" s="8">
        <f t="shared" si="1038"/>
        <v>0</v>
      </c>
      <c r="CB1468" s="8">
        <f t="shared" si="1039"/>
        <v>0</v>
      </c>
      <c r="CC1468" s="8">
        <f t="shared" si="1040"/>
        <v>0</v>
      </c>
      <c r="CD1468" s="8">
        <f t="shared" si="1041"/>
        <v>0</v>
      </c>
      <c r="CE1468" s="8">
        <f t="shared" si="1042"/>
        <v>0</v>
      </c>
      <c r="CF1468" s="8">
        <f t="shared" si="1043"/>
        <v>0</v>
      </c>
      <c r="CG1468" s="8">
        <f t="shared" si="1044"/>
        <v>0</v>
      </c>
      <c r="CH1468" s="8">
        <f t="shared" si="1045"/>
        <v>0</v>
      </c>
      <c r="CI1468" s="8">
        <f t="shared" si="1046"/>
        <v>0</v>
      </c>
      <c r="CJ1468" s="8">
        <f t="shared" si="1047"/>
        <v>0</v>
      </c>
      <c r="CK1468" s="8">
        <f t="shared" si="1048"/>
        <v>0</v>
      </c>
      <c r="CL1468" s="8">
        <f t="shared" si="1049"/>
        <v>0</v>
      </c>
      <c r="CM1468" s="8">
        <f t="shared" si="1050"/>
        <v>0</v>
      </c>
      <c r="CN1468" s="8">
        <f t="shared" si="1051"/>
        <v>0</v>
      </c>
      <c r="CO1468" s="8">
        <f t="shared" si="1052"/>
        <v>0</v>
      </c>
      <c r="CP1468" s="8">
        <f t="shared" si="1053"/>
        <v>0</v>
      </c>
      <c r="CQ1468" s="8">
        <f t="shared" si="1054"/>
        <v>0</v>
      </c>
      <c r="CR1468" s="8">
        <f t="shared" si="1055"/>
        <v>0</v>
      </c>
      <c r="CS1468" s="8">
        <f t="shared" si="1056"/>
        <v>0</v>
      </c>
      <c r="CT1468" s="8">
        <f t="shared" si="1061"/>
        <v>0</v>
      </c>
      <c r="CU1468" s="8">
        <f t="shared" si="1062"/>
        <v>0</v>
      </c>
      <c r="CV1468" s="8">
        <f t="shared" si="1063"/>
        <v>0</v>
      </c>
    </row>
    <row r="1469" spans="1:100" ht="20.5" thickTop="1" thickBot="1" x14ac:dyDescent="0.5">
      <c r="A1469" s="32"/>
      <c r="B1469" s="10"/>
      <c r="C1469" s="10"/>
      <c r="D1469" s="11"/>
      <c r="E1469" s="10"/>
      <c r="F1469" s="10"/>
      <c r="G1469" s="19"/>
      <c r="H1469" s="19"/>
      <c r="I1469" s="19"/>
      <c r="J1469" s="19"/>
      <c r="K1469" s="10"/>
      <c r="L1469" s="10"/>
      <c r="M1469" s="10"/>
      <c r="N1469" s="10"/>
      <c r="O1469" s="18"/>
      <c r="P1469" s="18"/>
      <c r="Q1469" s="21"/>
      <c r="R1469" s="20"/>
      <c r="S1469" s="16">
        <f t="shared" si="1019"/>
        <v>0</v>
      </c>
      <c r="T1469" s="11"/>
      <c r="AS1469" s="31">
        <f t="shared" si="1020"/>
        <v>0</v>
      </c>
      <c r="AT1469" s="31">
        <f t="shared" si="1021"/>
        <v>0</v>
      </c>
      <c r="AU1469" s="31">
        <f t="shared" si="1022"/>
        <v>0</v>
      </c>
      <c r="AV1469" s="31">
        <f t="shared" si="1023"/>
        <v>0</v>
      </c>
      <c r="AW1469" s="31">
        <f t="shared" si="1024"/>
        <v>0</v>
      </c>
      <c r="AX1469" s="31">
        <f t="shared" si="1025"/>
        <v>0</v>
      </c>
      <c r="AY1469" s="31">
        <f t="shared" si="1026"/>
        <v>0</v>
      </c>
      <c r="AZ1469" s="31">
        <f t="shared" si="1027"/>
        <v>0</v>
      </c>
      <c r="BA1469" s="31">
        <f t="shared" si="1028"/>
        <v>0</v>
      </c>
      <c r="BB1469" s="31">
        <f t="shared" si="1057"/>
        <v>0</v>
      </c>
      <c r="BM1469" s="8">
        <f t="shared" si="1058"/>
        <v>0</v>
      </c>
      <c r="BN1469" s="8">
        <f t="shared" si="1029"/>
        <v>0</v>
      </c>
      <c r="BO1469" s="8">
        <f t="shared" si="1030"/>
        <v>0</v>
      </c>
      <c r="BQ1469" s="8">
        <f t="shared" si="1031"/>
        <v>0</v>
      </c>
      <c r="BR1469" s="63">
        <f t="shared" si="1032"/>
        <v>0</v>
      </c>
      <c r="BS1469" s="63">
        <f t="shared" si="1059"/>
        <v>0</v>
      </c>
      <c r="BT1469" s="63">
        <f t="shared" si="1033"/>
        <v>0</v>
      </c>
      <c r="BU1469" s="63">
        <f t="shared" si="1034"/>
        <v>0</v>
      </c>
      <c r="BV1469" s="57">
        <f t="shared" si="1035"/>
        <v>0</v>
      </c>
      <c r="BW1469" s="57">
        <f t="shared" si="1036"/>
        <v>0</v>
      </c>
      <c r="BX1469" s="57">
        <f t="shared" si="1060"/>
        <v>0</v>
      </c>
      <c r="BY1469" s="57">
        <f t="shared" si="1064"/>
        <v>0</v>
      </c>
      <c r="BZ1469" s="8">
        <f t="shared" si="1037"/>
        <v>0</v>
      </c>
      <c r="CA1469" s="8">
        <f t="shared" si="1038"/>
        <v>0</v>
      </c>
      <c r="CB1469" s="8">
        <f t="shared" si="1039"/>
        <v>0</v>
      </c>
      <c r="CC1469" s="8">
        <f t="shared" si="1040"/>
        <v>0</v>
      </c>
      <c r="CD1469" s="8">
        <f t="shared" si="1041"/>
        <v>0</v>
      </c>
      <c r="CE1469" s="8">
        <f t="shared" si="1042"/>
        <v>0</v>
      </c>
      <c r="CF1469" s="8">
        <f t="shared" si="1043"/>
        <v>0</v>
      </c>
      <c r="CG1469" s="8">
        <f t="shared" si="1044"/>
        <v>0</v>
      </c>
      <c r="CH1469" s="8">
        <f t="shared" si="1045"/>
        <v>0</v>
      </c>
      <c r="CI1469" s="8">
        <f t="shared" si="1046"/>
        <v>0</v>
      </c>
      <c r="CJ1469" s="8">
        <f t="shared" si="1047"/>
        <v>0</v>
      </c>
      <c r="CK1469" s="8">
        <f t="shared" si="1048"/>
        <v>0</v>
      </c>
      <c r="CL1469" s="8">
        <f t="shared" si="1049"/>
        <v>0</v>
      </c>
      <c r="CM1469" s="8">
        <f t="shared" si="1050"/>
        <v>0</v>
      </c>
      <c r="CN1469" s="8">
        <f t="shared" si="1051"/>
        <v>0</v>
      </c>
      <c r="CO1469" s="8">
        <f t="shared" si="1052"/>
        <v>0</v>
      </c>
      <c r="CP1469" s="8">
        <f t="shared" si="1053"/>
        <v>0</v>
      </c>
      <c r="CQ1469" s="8">
        <f t="shared" si="1054"/>
        <v>0</v>
      </c>
      <c r="CR1469" s="8">
        <f t="shared" si="1055"/>
        <v>0</v>
      </c>
      <c r="CS1469" s="8">
        <f t="shared" si="1056"/>
        <v>0</v>
      </c>
      <c r="CT1469" s="8">
        <f t="shared" si="1061"/>
        <v>0</v>
      </c>
      <c r="CU1469" s="8">
        <f t="shared" si="1062"/>
        <v>0</v>
      </c>
      <c r="CV1469" s="8">
        <f t="shared" si="1063"/>
        <v>0</v>
      </c>
    </row>
    <row r="1470" spans="1:100" ht="20.5" thickTop="1" thickBot="1" x14ac:dyDescent="0.5">
      <c r="A1470" s="32"/>
      <c r="B1470" s="10"/>
      <c r="C1470" s="10"/>
      <c r="D1470" s="11"/>
      <c r="E1470" s="10"/>
      <c r="F1470" s="10"/>
      <c r="G1470" s="19"/>
      <c r="H1470" s="19"/>
      <c r="I1470" s="19"/>
      <c r="J1470" s="19"/>
      <c r="K1470" s="10"/>
      <c r="L1470" s="10"/>
      <c r="M1470" s="10"/>
      <c r="N1470" s="10"/>
      <c r="O1470" s="18"/>
      <c r="P1470" s="18"/>
      <c r="Q1470" s="21"/>
      <c r="R1470" s="20"/>
      <c r="S1470" s="16">
        <f t="shared" si="1019"/>
        <v>0</v>
      </c>
      <c r="T1470" s="11"/>
      <c r="AS1470" s="31">
        <f t="shared" si="1020"/>
        <v>0</v>
      </c>
      <c r="AT1470" s="31">
        <f t="shared" si="1021"/>
        <v>0</v>
      </c>
      <c r="AU1470" s="31">
        <f t="shared" si="1022"/>
        <v>0</v>
      </c>
      <c r="AV1470" s="31">
        <f t="shared" si="1023"/>
        <v>0</v>
      </c>
      <c r="AW1470" s="31">
        <f t="shared" si="1024"/>
        <v>0</v>
      </c>
      <c r="AX1470" s="31">
        <f t="shared" si="1025"/>
        <v>0</v>
      </c>
      <c r="AY1470" s="31">
        <f t="shared" si="1026"/>
        <v>0</v>
      </c>
      <c r="AZ1470" s="31">
        <f t="shared" si="1027"/>
        <v>0</v>
      </c>
      <c r="BA1470" s="31">
        <f t="shared" si="1028"/>
        <v>0</v>
      </c>
      <c r="BB1470" s="31">
        <f t="shared" si="1057"/>
        <v>0</v>
      </c>
      <c r="BM1470" s="8">
        <f t="shared" si="1058"/>
        <v>0</v>
      </c>
      <c r="BN1470" s="8">
        <f t="shared" si="1029"/>
        <v>0</v>
      </c>
      <c r="BO1470" s="8">
        <f t="shared" si="1030"/>
        <v>0</v>
      </c>
      <c r="BQ1470" s="8">
        <f t="shared" si="1031"/>
        <v>0</v>
      </c>
      <c r="BR1470" s="63">
        <f t="shared" si="1032"/>
        <v>0</v>
      </c>
      <c r="BS1470" s="63">
        <f t="shared" si="1059"/>
        <v>0</v>
      </c>
      <c r="BT1470" s="63">
        <f t="shared" si="1033"/>
        <v>0</v>
      </c>
      <c r="BU1470" s="63">
        <f t="shared" si="1034"/>
        <v>0</v>
      </c>
      <c r="BV1470" s="57">
        <f t="shared" si="1035"/>
        <v>0</v>
      </c>
      <c r="BW1470" s="57">
        <f t="shared" si="1036"/>
        <v>0</v>
      </c>
      <c r="BX1470" s="57">
        <f t="shared" si="1060"/>
        <v>0</v>
      </c>
      <c r="BY1470" s="57">
        <f t="shared" si="1064"/>
        <v>0</v>
      </c>
      <c r="BZ1470" s="8">
        <f t="shared" si="1037"/>
        <v>0</v>
      </c>
      <c r="CA1470" s="8">
        <f t="shared" si="1038"/>
        <v>0</v>
      </c>
      <c r="CB1470" s="8">
        <f t="shared" si="1039"/>
        <v>0</v>
      </c>
      <c r="CC1470" s="8">
        <f t="shared" si="1040"/>
        <v>0</v>
      </c>
      <c r="CD1470" s="8">
        <f t="shared" si="1041"/>
        <v>0</v>
      </c>
      <c r="CE1470" s="8">
        <f t="shared" si="1042"/>
        <v>0</v>
      </c>
      <c r="CF1470" s="8">
        <f t="shared" si="1043"/>
        <v>0</v>
      </c>
      <c r="CG1470" s="8">
        <f t="shared" si="1044"/>
        <v>0</v>
      </c>
      <c r="CH1470" s="8">
        <f t="shared" si="1045"/>
        <v>0</v>
      </c>
      <c r="CI1470" s="8">
        <f t="shared" si="1046"/>
        <v>0</v>
      </c>
      <c r="CJ1470" s="8">
        <f t="shared" si="1047"/>
        <v>0</v>
      </c>
      <c r="CK1470" s="8">
        <f t="shared" si="1048"/>
        <v>0</v>
      </c>
      <c r="CL1470" s="8">
        <f t="shared" si="1049"/>
        <v>0</v>
      </c>
      <c r="CM1470" s="8">
        <f t="shared" si="1050"/>
        <v>0</v>
      </c>
      <c r="CN1470" s="8">
        <f t="shared" si="1051"/>
        <v>0</v>
      </c>
      <c r="CO1470" s="8">
        <f t="shared" si="1052"/>
        <v>0</v>
      </c>
      <c r="CP1470" s="8">
        <f t="shared" si="1053"/>
        <v>0</v>
      </c>
      <c r="CQ1470" s="8">
        <f t="shared" si="1054"/>
        <v>0</v>
      </c>
      <c r="CR1470" s="8">
        <f t="shared" si="1055"/>
        <v>0</v>
      </c>
      <c r="CS1470" s="8">
        <f t="shared" si="1056"/>
        <v>0</v>
      </c>
      <c r="CT1470" s="8">
        <f t="shared" si="1061"/>
        <v>0</v>
      </c>
      <c r="CU1470" s="8">
        <f t="shared" si="1062"/>
        <v>0</v>
      </c>
      <c r="CV1470" s="8">
        <f t="shared" si="1063"/>
        <v>0</v>
      </c>
    </row>
    <row r="1471" spans="1:100" ht="20.5" thickTop="1" thickBot="1" x14ac:dyDescent="0.5">
      <c r="A1471" s="32"/>
      <c r="B1471" s="10"/>
      <c r="C1471" s="10"/>
      <c r="D1471" s="11"/>
      <c r="E1471" s="10"/>
      <c r="F1471" s="10"/>
      <c r="G1471" s="19"/>
      <c r="H1471" s="19"/>
      <c r="I1471" s="19"/>
      <c r="J1471" s="19"/>
      <c r="K1471" s="10"/>
      <c r="L1471" s="10"/>
      <c r="M1471" s="10"/>
      <c r="N1471" s="10"/>
      <c r="O1471" s="18"/>
      <c r="P1471" s="18"/>
      <c r="Q1471" s="21"/>
      <c r="R1471" s="20"/>
      <c r="S1471" s="16">
        <f t="shared" si="1019"/>
        <v>0</v>
      </c>
      <c r="T1471" s="11"/>
      <c r="AS1471" s="31">
        <f t="shared" si="1020"/>
        <v>0</v>
      </c>
      <c r="AT1471" s="31">
        <f t="shared" si="1021"/>
        <v>0</v>
      </c>
      <c r="AU1471" s="31">
        <f t="shared" si="1022"/>
        <v>0</v>
      </c>
      <c r="AV1471" s="31">
        <f t="shared" si="1023"/>
        <v>0</v>
      </c>
      <c r="AW1471" s="31">
        <f t="shared" si="1024"/>
        <v>0</v>
      </c>
      <c r="AX1471" s="31">
        <f t="shared" si="1025"/>
        <v>0</v>
      </c>
      <c r="AY1471" s="31">
        <f t="shared" si="1026"/>
        <v>0</v>
      </c>
      <c r="AZ1471" s="31">
        <f t="shared" si="1027"/>
        <v>0</v>
      </c>
      <c r="BA1471" s="31">
        <f t="shared" si="1028"/>
        <v>0</v>
      </c>
      <c r="BB1471" s="31">
        <f t="shared" si="1057"/>
        <v>0</v>
      </c>
      <c r="BM1471" s="8">
        <f t="shared" si="1058"/>
        <v>0</v>
      </c>
      <c r="BN1471" s="8">
        <f t="shared" si="1029"/>
        <v>0</v>
      </c>
      <c r="BO1471" s="8">
        <f t="shared" si="1030"/>
        <v>0</v>
      </c>
      <c r="BQ1471" s="8">
        <f t="shared" si="1031"/>
        <v>0</v>
      </c>
      <c r="BR1471" s="63">
        <f t="shared" si="1032"/>
        <v>0</v>
      </c>
      <c r="BS1471" s="63">
        <f t="shared" si="1059"/>
        <v>0</v>
      </c>
      <c r="BT1471" s="63">
        <f t="shared" si="1033"/>
        <v>0</v>
      </c>
      <c r="BU1471" s="63">
        <f t="shared" si="1034"/>
        <v>0</v>
      </c>
      <c r="BV1471" s="57">
        <f t="shared" si="1035"/>
        <v>0</v>
      </c>
      <c r="BW1471" s="57">
        <f t="shared" si="1036"/>
        <v>0</v>
      </c>
      <c r="BX1471" s="57">
        <f t="shared" si="1060"/>
        <v>0</v>
      </c>
      <c r="BY1471" s="57">
        <f t="shared" si="1064"/>
        <v>0</v>
      </c>
      <c r="BZ1471" s="8">
        <f t="shared" si="1037"/>
        <v>0</v>
      </c>
      <c r="CA1471" s="8">
        <f t="shared" si="1038"/>
        <v>0</v>
      </c>
      <c r="CB1471" s="8">
        <f t="shared" si="1039"/>
        <v>0</v>
      </c>
      <c r="CC1471" s="8">
        <f t="shared" si="1040"/>
        <v>0</v>
      </c>
      <c r="CD1471" s="8">
        <f t="shared" si="1041"/>
        <v>0</v>
      </c>
      <c r="CE1471" s="8">
        <f t="shared" si="1042"/>
        <v>0</v>
      </c>
      <c r="CF1471" s="8">
        <f t="shared" si="1043"/>
        <v>0</v>
      </c>
      <c r="CG1471" s="8">
        <f t="shared" si="1044"/>
        <v>0</v>
      </c>
      <c r="CH1471" s="8">
        <f t="shared" si="1045"/>
        <v>0</v>
      </c>
      <c r="CI1471" s="8">
        <f t="shared" si="1046"/>
        <v>0</v>
      </c>
      <c r="CJ1471" s="8">
        <f t="shared" si="1047"/>
        <v>0</v>
      </c>
      <c r="CK1471" s="8">
        <f t="shared" si="1048"/>
        <v>0</v>
      </c>
      <c r="CL1471" s="8">
        <f t="shared" si="1049"/>
        <v>0</v>
      </c>
      <c r="CM1471" s="8">
        <f t="shared" si="1050"/>
        <v>0</v>
      </c>
      <c r="CN1471" s="8">
        <f t="shared" si="1051"/>
        <v>0</v>
      </c>
      <c r="CO1471" s="8">
        <f t="shared" si="1052"/>
        <v>0</v>
      </c>
      <c r="CP1471" s="8">
        <f t="shared" si="1053"/>
        <v>0</v>
      </c>
      <c r="CQ1471" s="8">
        <f t="shared" si="1054"/>
        <v>0</v>
      </c>
      <c r="CR1471" s="8">
        <f t="shared" si="1055"/>
        <v>0</v>
      </c>
      <c r="CS1471" s="8">
        <f t="shared" si="1056"/>
        <v>0</v>
      </c>
      <c r="CT1471" s="8">
        <f t="shared" si="1061"/>
        <v>0</v>
      </c>
      <c r="CU1471" s="8">
        <f t="shared" si="1062"/>
        <v>0</v>
      </c>
      <c r="CV1471" s="8">
        <f t="shared" si="1063"/>
        <v>0</v>
      </c>
    </row>
    <row r="1472" spans="1:100" ht="20.5" thickTop="1" thickBot="1" x14ac:dyDescent="0.5">
      <c r="A1472" s="32"/>
      <c r="B1472" s="10"/>
      <c r="C1472" s="10"/>
      <c r="D1472" s="11"/>
      <c r="E1472" s="10"/>
      <c r="F1472" s="10"/>
      <c r="G1472" s="19"/>
      <c r="H1472" s="19"/>
      <c r="I1472" s="19"/>
      <c r="J1472" s="19"/>
      <c r="K1472" s="10"/>
      <c r="L1472" s="10"/>
      <c r="M1472" s="10"/>
      <c r="N1472" s="10"/>
      <c r="O1472" s="18"/>
      <c r="P1472" s="18"/>
      <c r="Q1472" s="21"/>
      <c r="R1472" s="20"/>
      <c r="S1472" s="16">
        <f t="shared" si="1019"/>
        <v>0</v>
      </c>
      <c r="T1472" s="11"/>
      <c r="AS1472" s="31">
        <f t="shared" si="1020"/>
        <v>0</v>
      </c>
      <c r="AT1472" s="31">
        <f t="shared" si="1021"/>
        <v>0</v>
      </c>
      <c r="AU1472" s="31">
        <f t="shared" si="1022"/>
        <v>0</v>
      </c>
      <c r="AV1472" s="31">
        <f t="shared" si="1023"/>
        <v>0</v>
      </c>
      <c r="AW1472" s="31">
        <f t="shared" si="1024"/>
        <v>0</v>
      </c>
      <c r="AX1472" s="31">
        <f t="shared" si="1025"/>
        <v>0</v>
      </c>
      <c r="AY1472" s="31">
        <f t="shared" si="1026"/>
        <v>0</v>
      </c>
      <c r="AZ1472" s="31">
        <f t="shared" si="1027"/>
        <v>0</v>
      </c>
      <c r="BA1472" s="31">
        <f t="shared" si="1028"/>
        <v>0</v>
      </c>
      <c r="BB1472" s="31">
        <f t="shared" si="1057"/>
        <v>0</v>
      </c>
      <c r="BM1472" s="8">
        <f t="shared" si="1058"/>
        <v>0</v>
      </c>
      <c r="BN1472" s="8">
        <f t="shared" si="1029"/>
        <v>0</v>
      </c>
      <c r="BO1472" s="8">
        <f t="shared" si="1030"/>
        <v>0</v>
      </c>
      <c r="BQ1472" s="8">
        <f t="shared" si="1031"/>
        <v>0</v>
      </c>
      <c r="BR1472" s="63">
        <f t="shared" si="1032"/>
        <v>0</v>
      </c>
      <c r="BS1472" s="63">
        <f t="shared" si="1059"/>
        <v>0</v>
      </c>
      <c r="BT1472" s="63">
        <f t="shared" si="1033"/>
        <v>0</v>
      </c>
      <c r="BU1472" s="63">
        <f t="shared" si="1034"/>
        <v>0</v>
      </c>
      <c r="BV1472" s="57">
        <f t="shared" si="1035"/>
        <v>0</v>
      </c>
      <c r="BW1472" s="57">
        <f t="shared" si="1036"/>
        <v>0</v>
      </c>
      <c r="BX1472" s="57">
        <f t="shared" si="1060"/>
        <v>0</v>
      </c>
      <c r="BY1472" s="57">
        <f t="shared" si="1064"/>
        <v>0</v>
      </c>
      <c r="BZ1472" s="8">
        <f t="shared" si="1037"/>
        <v>0</v>
      </c>
      <c r="CA1472" s="8">
        <f t="shared" si="1038"/>
        <v>0</v>
      </c>
      <c r="CB1472" s="8">
        <f t="shared" si="1039"/>
        <v>0</v>
      </c>
      <c r="CC1472" s="8">
        <f t="shared" si="1040"/>
        <v>0</v>
      </c>
      <c r="CD1472" s="8">
        <f t="shared" si="1041"/>
        <v>0</v>
      </c>
      <c r="CE1472" s="8">
        <f t="shared" si="1042"/>
        <v>0</v>
      </c>
      <c r="CF1472" s="8">
        <f t="shared" si="1043"/>
        <v>0</v>
      </c>
      <c r="CG1472" s="8">
        <f t="shared" si="1044"/>
        <v>0</v>
      </c>
      <c r="CH1472" s="8">
        <f t="shared" si="1045"/>
        <v>0</v>
      </c>
      <c r="CI1472" s="8">
        <f t="shared" si="1046"/>
        <v>0</v>
      </c>
      <c r="CJ1472" s="8">
        <f t="shared" si="1047"/>
        <v>0</v>
      </c>
      <c r="CK1472" s="8">
        <f t="shared" si="1048"/>
        <v>0</v>
      </c>
      <c r="CL1472" s="8">
        <f t="shared" si="1049"/>
        <v>0</v>
      </c>
      <c r="CM1472" s="8">
        <f t="shared" si="1050"/>
        <v>0</v>
      </c>
      <c r="CN1472" s="8">
        <f t="shared" si="1051"/>
        <v>0</v>
      </c>
      <c r="CO1472" s="8">
        <f t="shared" si="1052"/>
        <v>0</v>
      </c>
      <c r="CP1472" s="8">
        <f t="shared" si="1053"/>
        <v>0</v>
      </c>
      <c r="CQ1472" s="8">
        <f t="shared" si="1054"/>
        <v>0</v>
      </c>
      <c r="CR1472" s="8">
        <f t="shared" si="1055"/>
        <v>0</v>
      </c>
      <c r="CS1472" s="8">
        <f t="shared" si="1056"/>
        <v>0</v>
      </c>
      <c r="CT1472" s="8">
        <f t="shared" si="1061"/>
        <v>0</v>
      </c>
      <c r="CU1472" s="8">
        <f t="shared" si="1062"/>
        <v>0</v>
      </c>
      <c r="CV1472" s="8">
        <f t="shared" si="1063"/>
        <v>0</v>
      </c>
    </row>
    <row r="1473" spans="1:100" ht="20.5" thickTop="1" thickBot="1" x14ac:dyDescent="0.5">
      <c r="A1473" s="32"/>
      <c r="B1473" s="10"/>
      <c r="C1473" s="10"/>
      <c r="D1473" s="11"/>
      <c r="E1473" s="10"/>
      <c r="F1473" s="10"/>
      <c r="G1473" s="19"/>
      <c r="H1473" s="19"/>
      <c r="I1473" s="19"/>
      <c r="J1473" s="19"/>
      <c r="K1473" s="10"/>
      <c r="L1473" s="10"/>
      <c r="M1473" s="10"/>
      <c r="N1473" s="10"/>
      <c r="O1473" s="18"/>
      <c r="P1473" s="18"/>
      <c r="Q1473" s="21"/>
      <c r="R1473" s="20"/>
      <c r="S1473" s="16">
        <f t="shared" si="1019"/>
        <v>0</v>
      </c>
      <c r="T1473" s="11"/>
      <c r="AS1473" s="31">
        <f t="shared" si="1020"/>
        <v>0</v>
      </c>
      <c r="AT1473" s="31">
        <f t="shared" si="1021"/>
        <v>0</v>
      </c>
      <c r="AU1473" s="31">
        <f t="shared" si="1022"/>
        <v>0</v>
      </c>
      <c r="AV1473" s="31">
        <f t="shared" si="1023"/>
        <v>0</v>
      </c>
      <c r="AW1473" s="31">
        <f t="shared" si="1024"/>
        <v>0</v>
      </c>
      <c r="AX1473" s="31">
        <f t="shared" si="1025"/>
        <v>0</v>
      </c>
      <c r="AY1473" s="31">
        <f t="shared" si="1026"/>
        <v>0</v>
      </c>
      <c r="AZ1473" s="31">
        <f t="shared" si="1027"/>
        <v>0</v>
      </c>
      <c r="BA1473" s="31">
        <f t="shared" si="1028"/>
        <v>0</v>
      </c>
      <c r="BB1473" s="31">
        <f t="shared" si="1057"/>
        <v>0</v>
      </c>
      <c r="BM1473" s="8">
        <f t="shared" si="1058"/>
        <v>0</v>
      </c>
      <c r="BN1473" s="8">
        <f t="shared" si="1029"/>
        <v>0</v>
      </c>
      <c r="BO1473" s="8">
        <f t="shared" si="1030"/>
        <v>0</v>
      </c>
      <c r="BQ1473" s="8">
        <f t="shared" si="1031"/>
        <v>0</v>
      </c>
      <c r="BR1473" s="63">
        <f t="shared" si="1032"/>
        <v>0</v>
      </c>
      <c r="BS1473" s="63">
        <f t="shared" si="1059"/>
        <v>0</v>
      </c>
      <c r="BT1473" s="63">
        <f t="shared" si="1033"/>
        <v>0</v>
      </c>
      <c r="BU1473" s="63">
        <f t="shared" si="1034"/>
        <v>0</v>
      </c>
      <c r="BV1473" s="57">
        <f t="shared" si="1035"/>
        <v>0</v>
      </c>
      <c r="BW1473" s="57">
        <f t="shared" si="1036"/>
        <v>0</v>
      </c>
      <c r="BX1473" s="57">
        <f t="shared" si="1060"/>
        <v>0</v>
      </c>
      <c r="BY1473" s="57">
        <f t="shared" si="1064"/>
        <v>0</v>
      </c>
      <c r="BZ1473" s="8">
        <f t="shared" si="1037"/>
        <v>0</v>
      </c>
      <c r="CA1473" s="8">
        <f t="shared" si="1038"/>
        <v>0</v>
      </c>
      <c r="CB1473" s="8">
        <f t="shared" si="1039"/>
        <v>0</v>
      </c>
      <c r="CC1473" s="8">
        <f t="shared" si="1040"/>
        <v>0</v>
      </c>
      <c r="CD1473" s="8">
        <f t="shared" si="1041"/>
        <v>0</v>
      </c>
      <c r="CE1473" s="8">
        <f t="shared" si="1042"/>
        <v>0</v>
      </c>
      <c r="CF1473" s="8">
        <f t="shared" si="1043"/>
        <v>0</v>
      </c>
      <c r="CG1473" s="8">
        <f t="shared" si="1044"/>
        <v>0</v>
      </c>
      <c r="CH1473" s="8">
        <f t="shared" si="1045"/>
        <v>0</v>
      </c>
      <c r="CI1473" s="8">
        <f t="shared" si="1046"/>
        <v>0</v>
      </c>
      <c r="CJ1473" s="8">
        <f t="shared" si="1047"/>
        <v>0</v>
      </c>
      <c r="CK1473" s="8">
        <f t="shared" si="1048"/>
        <v>0</v>
      </c>
      <c r="CL1473" s="8">
        <f t="shared" si="1049"/>
        <v>0</v>
      </c>
      <c r="CM1473" s="8">
        <f t="shared" si="1050"/>
        <v>0</v>
      </c>
      <c r="CN1473" s="8">
        <f t="shared" si="1051"/>
        <v>0</v>
      </c>
      <c r="CO1473" s="8">
        <f t="shared" si="1052"/>
        <v>0</v>
      </c>
      <c r="CP1473" s="8">
        <f t="shared" si="1053"/>
        <v>0</v>
      </c>
      <c r="CQ1473" s="8">
        <f t="shared" si="1054"/>
        <v>0</v>
      </c>
      <c r="CR1473" s="8">
        <f t="shared" si="1055"/>
        <v>0</v>
      </c>
      <c r="CS1473" s="8">
        <f t="shared" si="1056"/>
        <v>0</v>
      </c>
      <c r="CT1473" s="8">
        <f t="shared" si="1061"/>
        <v>0</v>
      </c>
      <c r="CU1473" s="8">
        <f t="shared" si="1062"/>
        <v>0</v>
      </c>
      <c r="CV1473" s="8">
        <f t="shared" si="1063"/>
        <v>0</v>
      </c>
    </row>
    <row r="1474" spans="1:100" ht="20.5" thickTop="1" thickBot="1" x14ac:dyDescent="0.5">
      <c r="A1474" s="32"/>
      <c r="B1474" s="10"/>
      <c r="C1474" s="10"/>
      <c r="D1474" s="11"/>
      <c r="E1474" s="10"/>
      <c r="F1474" s="10"/>
      <c r="G1474" s="19"/>
      <c r="H1474" s="19"/>
      <c r="I1474" s="19"/>
      <c r="J1474" s="19"/>
      <c r="K1474" s="10"/>
      <c r="L1474" s="10"/>
      <c r="M1474" s="10"/>
      <c r="N1474" s="10"/>
      <c r="O1474" s="18"/>
      <c r="P1474" s="18"/>
      <c r="Q1474" s="21"/>
      <c r="R1474" s="20"/>
      <c r="S1474" s="16">
        <f t="shared" si="1019"/>
        <v>0</v>
      </c>
      <c r="T1474" s="11"/>
      <c r="AS1474" s="31">
        <f t="shared" si="1020"/>
        <v>0</v>
      </c>
      <c r="AT1474" s="31">
        <f t="shared" si="1021"/>
        <v>0</v>
      </c>
      <c r="AU1474" s="31">
        <f t="shared" si="1022"/>
        <v>0</v>
      </c>
      <c r="AV1474" s="31">
        <f t="shared" si="1023"/>
        <v>0</v>
      </c>
      <c r="AW1474" s="31">
        <f t="shared" si="1024"/>
        <v>0</v>
      </c>
      <c r="AX1474" s="31">
        <f t="shared" si="1025"/>
        <v>0</v>
      </c>
      <c r="AY1474" s="31">
        <f t="shared" si="1026"/>
        <v>0</v>
      </c>
      <c r="AZ1474" s="31">
        <f t="shared" si="1027"/>
        <v>0</v>
      </c>
      <c r="BA1474" s="31">
        <f t="shared" si="1028"/>
        <v>0</v>
      </c>
      <c r="BB1474" s="31">
        <f t="shared" si="1057"/>
        <v>0</v>
      </c>
      <c r="BM1474" s="8">
        <f t="shared" si="1058"/>
        <v>0</v>
      </c>
      <c r="BN1474" s="8">
        <f t="shared" si="1029"/>
        <v>0</v>
      </c>
      <c r="BO1474" s="8">
        <f t="shared" si="1030"/>
        <v>0</v>
      </c>
      <c r="BQ1474" s="8">
        <f t="shared" si="1031"/>
        <v>0</v>
      </c>
      <c r="BR1474" s="63">
        <f t="shared" si="1032"/>
        <v>0</v>
      </c>
      <c r="BS1474" s="63">
        <f t="shared" si="1059"/>
        <v>0</v>
      </c>
      <c r="BT1474" s="63">
        <f t="shared" si="1033"/>
        <v>0</v>
      </c>
      <c r="BU1474" s="63">
        <f t="shared" si="1034"/>
        <v>0</v>
      </c>
      <c r="BV1474" s="57">
        <f t="shared" si="1035"/>
        <v>0</v>
      </c>
      <c r="BW1474" s="57">
        <f t="shared" si="1036"/>
        <v>0</v>
      </c>
      <c r="BX1474" s="57">
        <f t="shared" si="1060"/>
        <v>0</v>
      </c>
      <c r="BY1474" s="57">
        <f t="shared" si="1064"/>
        <v>0</v>
      </c>
      <c r="BZ1474" s="8">
        <f t="shared" si="1037"/>
        <v>0</v>
      </c>
      <c r="CA1474" s="8">
        <f t="shared" si="1038"/>
        <v>0</v>
      </c>
      <c r="CB1474" s="8">
        <f t="shared" si="1039"/>
        <v>0</v>
      </c>
      <c r="CC1474" s="8">
        <f t="shared" si="1040"/>
        <v>0</v>
      </c>
      <c r="CD1474" s="8">
        <f t="shared" si="1041"/>
        <v>0</v>
      </c>
      <c r="CE1474" s="8">
        <f t="shared" si="1042"/>
        <v>0</v>
      </c>
      <c r="CF1474" s="8">
        <f t="shared" si="1043"/>
        <v>0</v>
      </c>
      <c r="CG1474" s="8">
        <f t="shared" si="1044"/>
        <v>0</v>
      </c>
      <c r="CH1474" s="8">
        <f t="shared" si="1045"/>
        <v>0</v>
      </c>
      <c r="CI1474" s="8">
        <f t="shared" si="1046"/>
        <v>0</v>
      </c>
      <c r="CJ1474" s="8">
        <f t="shared" si="1047"/>
        <v>0</v>
      </c>
      <c r="CK1474" s="8">
        <f t="shared" si="1048"/>
        <v>0</v>
      </c>
      <c r="CL1474" s="8">
        <f t="shared" si="1049"/>
        <v>0</v>
      </c>
      <c r="CM1474" s="8">
        <f t="shared" si="1050"/>
        <v>0</v>
      </c>
      <c r="CN1474" s="8">
        <f t="shared" si="1051"/>
        <v>0</v>
      </c>
      <c r="CO1474" s="8">
        <f t="shared" si="1052"/>
        <v>0</v>
      </c>
      <c r="CP1474" s="8">
        <f t="shared" si="1053"/>
        <v>0</v>
      </c>
      <c r="CQ1474" s="8">
        <f t="shared" si="1054"/>
        <v>0</v>
      </c>
      <c r="CR1474" s="8">
        <f t="shared" si="1055"/>
        <v>0</v>
      </c>
      <c r="CS1474" s="8">
        <f t="shared" si="1056"/>
        <v>0</v>
      </c>
      <c r="CT1474" s="8">
        <f t="shared" si="1061"/>
        <v>0</v>
      </c>
      <c r="CU1474" s="8">
        <f t="shared" si="1062"/>
        <v>0</v>
      </c>
      <c r="CV1474" s="8">
        <f t="shared" si="1063"/>
        <v>0</v>
      </c>
    </row>
    <row r="1475" spans="1:100" ht="20.5" thickTop="1" thickBot="1" x14ac:dyDescent="0.5">
      <c r="A1475" s="32"/>
      <c r="B1475" s="10"/>
      <c r="C1475" s="10"/>
      <c r="D1475" s="11"/>
      <c r="E1475" s="10"/>
      <c r="F1475" s="10"/>
      <c r="G1475" s="19"/>
      <c r="H1475" s="19"/>
      <c r="I1475" s="19"/>
      <c r="J1475" s="19"/>
      <c r="K1475" s="10"/>
      <c r="L1475" s="10"/>
      <c r="M1475" s="10"/>
      <c r="N1475" s="10"/>
      <c r="O1475" s="18"/>
      <c r="P1475" s="18"/>
      <c r="Q1475" s="21"/>
      <c r="R1475" s="20"/>
      <c r="S1475" s="16">
        <f t="shared" si="1019"/>
        <v>0</v>
      </c>
      <c r="T1475" s="11"/>
      <c r="AS1475" s="31">
        <f t="shared" si="1020"/>
        <v>0</v>
      </c>
      <c r="AT1475" s="31">
        <f t="shared" si="1021"/>
        <v>0</v>
      </c>
      <c r="AU1475" s="31">
        <f t="shared" si="1022"/>
        <v>0</v>
      </c>
      <c r="AV1475" s="31">
        <f t="shared" si="1023"/>
        <v>0</v>
      </c>
      <c r="AW1475" s="31">
        <f t="shared" si="1024"/>
        <v>0</v>
      </c>
      <c r="AX1475" s="31">
        <f t="shared" si="1025"/>
        <v>0</v>
      </c>
      <c r="AY1475" s="31">
        <f t="shared" si="1026"/>
        <v>0</v>
      </c>
      <c r="AZ1475" s="31">
        <f t="shared" si="1027"/>
        <v>0</v>
      </c>
      <c r="BA1475" s="31">
        <f t="shared" si="1028"/>
        <v>0</v>
      </c>
      <c r="BB1475" s="31">
        <f t="shared" si="1057"/>
        <v>0</v>
      </c>
      <c r="BM1475" s="8">
        <f t="shared" si="1058"/>
        <v>0</v>
      </c>
      <c r="BN1475" s="8">
        <f t="shared" si="1029"/>
        <v>0</v>
      </c>
      <c r="BO1475" s="8">
        <f t="shared" si="1030"/>
        <v>0</v>
      </c>
      <c r="BQ1475" s="8">
        <f t="shared" si="1031"/>
        <v>0</v>
      </c>
      <c r="BR1475" s="63">
        <f t="shared" si="1032"/>
        <v>0</v>
      </c>
      <c r="BS1475" s="63">
        <f t="shared" si="1059"/>
        <v>0</v>
      </c>
      <c r="BT1475" s="63">
        <f t="shared" si="1033"/>
        <v>0</v>
      </c>
      <c r="BU1475" s="63">
        <f t="shared" si="1034"/>
        <v>0</v>
      </c>
      <c r="BV1475" s="57">
        <f t="shared" si="1035"/>
        <v>0</v>
      </c>
      <c r="BW1475" s="57">
        <f t="shared" si="1036"/>
        <v>0</v>
      </c>
      <c r="BX1475" s="57">
        <f t="shared" si="1060"/>
        <v>0</v>
      </c>
      <c r="BY1475" s="57">
        <f t="shared" si="1064"/>
        <v>0</v>
      </c>
      <c r="BZ1475" s="8">
        <f t="shared" si="1037"/>
        <v>0</v>
      </c>
      <c r="CA1475" s="8">
        <f t="shared" si="1038"/>
        <v>0</v>
      </c>
      <c r="CB1475" s="8">
        <f t="shared" si="1039"/>
        <v>0</v>
      </c>
      <c r="CC1475" s="8">
        <f t="shared" si="1040"/>
        <v>0</v>
      </c>
      <c r="CD1475" s="8">
        <f t="shared" si="1041"/>
        <v>0</v>
      </c>
      <c r="CE1475" s="8">
        <f t="shared" si="1042"/>
        <v>0</v>
      </c>
      <c r="CF1475" s="8">
        <f t="shared" si="1043"/>
        <v>0</v>
      </c>
      <c r="CG1475" s="8">
        <f t="shared" si="1044"/>
        <v>0</v>
      </c>
      <c r="CH1475" s="8">
        <f t="shared" si="1045"/>
        <v>0</v>
      </c>
      <c r="CI1475" s="8">
        <f t="shared" si="1046"/>
        <v>0</v>
      </c>
      <c r="CJ1475" s="8">
        <f t="shared" si="1047"/>
        <v>0</v>
      </c>
      <c r="CK1475" s="8">
        <f t="shared" si="1048"/>
        <v>0</v>
      </c>
      <c r="CL1475" s="8">
        <f t="shared" si="1049"/>
        <v>0</v>
      </c>
      <c r="CM1475" s="8">
        <f t="shared" si="1050"/>
        <v>0</v>
      </c>
      <c r="CN1475" s="8">
        <f t="shared" si="1051"/>
        <v>0</v>
      </c>
      <c r="CO1475" s="8">
        <f t="shared" si="1052"/>
        <v>0</v>
      </c>
      <c r="CP1475" s="8">
        <f t="shared" si="1053"/>
        <v>0</v>
      </c>
      <c r="CQ1475" s="8">
        <f t="shared" si="1054"/>
        <v>0</v>
      </c>
      <c r="CR1475" s="8">
        <f t="shared" si="1055"/>
        <v>0</v>
      </c>
      <c r="CS1475" s="8">
        <f t="shared" si="1056"/>
        <v>0</v>
      </c>
      <c r="CT1475" s="8">
        <f t="shared" si="1061"/>
        <v>0</v>
      </c>
      <c r="CU1475" s="8">
        <f t="shared" si="1062"/>
        <v>0</v>
      </c>
      <c r="CV1475" s="8">
        <f t="shared" si="1063"/>
        <v>0</v>
      </c>
    </row>
    <row r="1476" spans="1:100" ht="20.5" thickTop="1" thickBot="1" x14ac:dyDescent="0.5">
      <c r="A1476" s="32"/>
      <c r="B1476" s="10"/>
      <c r="C1476" s="10"/>
      <c r="D1476" s="11"/>
      <c r="E1476" s="10"/>
      <c r="F1476" s="10"/>
      <c r="G1476" s="19"/>
      <c r="H1476" s="19"/>
      <c r="I1476" s="19"/>
      <c r="J1476" s="19"/>
      <c r="K1476" s="10"/>
      <c r="L1476" s="10"/>
      <c r="M1476" s="10"/>
      <c r="N1476" s="10"/>
      <c r="O1476" s="18"/>
      <c r="P1476" s="18"/>
      <c r="Q1476" s="21"/>
      <c r="R1476" s="20"/>
      <c r="S1476" s="16">
        <f t="shared" ref="S1476:S1500" si="1065">IF(AND(K1476="asphalted",M1476="sub",BV1476&lt;=1,BV1476&gt;0),1+2*0.15,IF(AND(K1476="asphalted",OR(M1476="main",M1476="MOT"),BV1476&lt;=1,BV1476&gt;0),1+2*0.3,IF(AND(K1476="asphalted",M1476="sub",BV1476&gt;1),BV1476+2*0.15,IF(AND(K1476="asphalted",OR(M1476="main",M1476="MOT"),BV1476&gt;1),BV1476+2*0.3,0))))</f>
        <v>0</v>
      </c>
      <c r="T1476" s="11"/>
      <c r="AS1476" s="31">
        <f t="shared" ref="AS1476:AS1500" si="1066">IF(F1476=1,0.4,IF(F1476&gt;1,F1476*0.3,0))</f>
        <v>0</v>
      </c>
      <c r="AT1476" s="31">
        <f t="shared" ref="AT1476:AT1500" si="1067">IF(AND(G1476&lt;4,G1476&gt;0),0.4,IF(G1476&gt;3,0.4+(G1476-3)*0.1,0))</f>
        <v>0</v>
      </c>
      <c r="AU1476" s="31">
        <f t="shared" ref="AU1476:AU1500" si="1068">AT1476-AS1476</f>
        <v>0</v>
      </c>
      <c r="AV1476" s="31">
        <f t="shared" ref="AV1476:AV1500" si="1069">IF(AND(OR(OR(E1476="normal",E1476="special"),E1476="special"),F1476=0,G1476&gt;0,G1476&lt;5),"LV"&amp;G1476,IF(AND(OR(OR(E1476="normal",E1476="special"),E1476="special"),F1476=0,G1476&gt;4),"LVCU",IF(AND(OR(OR(E1476="normal",E1476="special"),E1476="special"),F1476&gt;4),"MVCU",IF(AND(OR(OR(E1476="normal",E1476="special"),E1476="special"),F1476&gt;0,F1476&lt;5),"MV"&amp;F1476,IF(AND(E1476="mini-trench",F1476=1),"mini-trench MV",IF(AND(E1476="mini-trench",G1476&lt;3,G1476&lt;&gt;0),"mini-trench LV",0))))))</f>
        <v>0</v>
      </c>
      <c r="AW1476" s="31">
        <f t="shared" ref="AW1476:AW1500" si="1070">IF(B1476="joint",F1476,0)+IF(C1476="joint",F1476,0)+IF(OR(B1476="new ss",B1476="ss"),F1476*3)+IF(B1476="pole",F1476*10)+IF(OR(C1476="new ss",C1476="ss"),F1476*3)+IF(C1476="pole",F1476*10)+IF(B1476="grid",F1476*30)+IF(C1476="grid",F1476*30)</f>
        <v>0</v>
      </c>
      <c r="AX1476" s="31">
        <f t="shared" ref="AX1476:AX1500" si="1071">IF(J1476&gt;0,IF(OR(B1476="ss",C1476="ss"),J1476*3,0)+IF(OR(B1476="new ss",C1476="new ss"),J1476*3,0)+IF(OR(B1476="DC",C1476="DC"),J1476*1.5,0)+IF(OR(B1476="new DC",C1476="new DC"),J1476*1.5,0)+IF(OR(B1476="MB",C1476="MB"),J1476*2,0)+IF(OR(B1476="pole",C1476="pole"),J1476*10,0),0)</f>
        <v>0</v>
      </c>
      <c r="AY1476" s="31">
        <f t="shared" ref="AY1476:AY1500" si="1072">IF(I1476&gt;0,IF(OR(B1476="ss",C1476="ss"),I1476*3,0)+IF(OR(B1476="new ss",C1476="new ss"),I1476*3,0)+IF(OR(B1476="DC",C1476="DC"),I1476*1.5,0)+IF(OR(B1476="new DC",C1476="new DC"),J1476*1.5,0)+IF(OR(B1476="MB",C1476="MB"),I1476*2,0)+IF(OR(B1476="pole",C1476="pole"),I1476*10,0),0)</f>
        <v>0</v>
      </c>
      <c r="AZ1476" s="31">
        <f t="shared" ref="AZ1476:AZ1500" si="1073">IF(H1476&gt;0,IF(OR(B1476="ss",C1476="ss"),H1476*3,0)+IF(OR(B1476="new ss",C1476="new ss"),H1476*3,0)+IF(OR(B1476="DC",C1476="DC"),H1476*2,0)+IF(OR(B1476="new DC",C1476="new DC"),H1476*1.5,0)+IF(OR(B1476="MB",C1476="MB"),H1476*2,0)+IF(OR(B1476="pole",C1476="pole"),H1476*10,0)+IF(OR(B1476="pole",C1476="pole"),H1476*10,0),0)</f>
        <v>0</v>
      </c>
      <c r="BA1476" s="31">
        <f t="shared" ref="BA1476:BA1500" si="1074">IF(E1476="manual",IF(AU1476&lt;0,D1476*AS1476*0.8,IF(AND(AS1476&gt;0,AU1476&gt;0),D1476*AS1476*0.8+D1476*AU1476*0.65,IF(AND(AS1476=0,AT1476&gt;0),D1476*AT1476*0.65,0))),0)</f>
        <v>0</v>
      </c>
      <c r="BB1476" s="31">
        <f t="shared" si="1057"/>
        <v>0</v>
      </c>
      <c r="BM1476" s="8">
        <f t="shared" si="1058"/>
        <v>0</v>
      </c>
      <c r="BN1476" s="8">
        <f t="shared" ref="BN1476:BN1500" si="1075">IFERROR(IF(AND(K1476="asphalted",E1476="mini-trench",R1476=""),1*D1476,IF(AND(K1476="asphalted",R1476&gt;0,MandRcalc="Complete M&amp;R area"),R1476*D1476,IF(AND(K1476="asphalted",R1476&gt;0,MandRcalc="M&amp;R area - asphalting area"),(R1476-BR1476/D1476)*D1476,0))),0)</f>
        <v>0</v>
      </c>
      <c r="BO1476" s="8">
        <f t="shared" ref="BO1476:BO1500" si="1076">IF(BQ1476&lt;MINEXCNA,0,IF(AND(E1476="normal",F1476&lt;5,G1476&lt;12,K1476&lt;&gt;"asphalted",AT1476&gt;AS1476,AS1476&lt;&gt;0),(BQ1476-AT1476)*0.65,IF(AND(E1476="normal",F1476&lt;5,G1476&lt;12,K1476&lt;&gt;"asphalted",AS1476&gt;=AT1476),(BQ1476-AS1476)*0.8,IF(AND(E1476="normal",F1476&lt;5,G1476&lt;12,K1476&lt;&gt;"asphalted",AT1476&gt;0,AS1476=0),(BQ1476-AT1476)*0.65,0)))*D1476)</f>
        <v>0</v>
      </c>
      <c r="BQ1476" s="8">
        <f t="shared" ref="BQ1476:BQ1500" si="1077">IF(E1476="special",O1476,IF(AND(OR(E1476="normal",E1476="manual"),O1476="",K1476="asphalted",BV1476&lt;=MINEXC),MINEXC,IF(AND(OR(E1476="normal",E1476="manual"),O1476&lt;&gt;"",K1476="asphalted"),MIN(O1476,BV1476),IF(AND(OR(E1476="normal",E1476="manual"),O1476="",K1476&lt;&gt;"asphalted",BV1476&lt;=MINEXCNA),MINEXCNA,IF(AND(OR(E1476="normal",E1476="manual"),O1476&lt;&gt;"",K1476&lt;&gt;"asphalted"),MIN(O1476,BV1476),BV1476)))))</f>
        <v>0</v>
      </c>
      <c r="BR1476" s="63">
        <f t="shared" ref="BR1476:BR1500" si="1078">IFERROR(IF(AND(E1476&lt;&gt;"mini-trecnh",K1476="asphalted",Q1476&lt;&gt;"",S1476=0),D1476*Q1476,IF(AND(E1476&lt;&gt;"mini-trecnh",K1476="asphalted",Q1476&lt;&gt;"",S1476&lt;&gt;0),D1476*MIN(Q1476,S1476),IF(AND(E1476&lt;&gt;"mini-trecnh",K1476="asphalted",Q1476=""),D1476*S1476,0))),0)</f>
        <v>0</v>
      </c>
      <c r="BS1476" s="63">
        <f t="shared" si="1059"/>
        <v>0</v>
      </c>
      <c r="BT1476" s="63">
        <f t="shared" ref="BT1476:BT1500" si="1079">IF(BQ1476&lt;MINEXC,0,IF(AND(E1476="normal",F1476&lt;5,G1476&lt;12,K1476="asphalted",AT1476&gt;AS1476,AS1476&lt;&gt;0),(BQ1476-AT1476)*0.65,IF(AND(E1476="normal",F1476&lt;5,G1476&lt;12,K1476="asphalted",AS1476&gt;=AT1476),(BQ1476-AS1476)*0.8,IF(AND(E1476="normal",F1476&lt;5,G1476&lt;12,K1476="asphalted",AT1476&gt;0,AS1476=0),(BQ1476-AT1476)*0.65,0)))*D1476)</f>
        <v>0</v>
      </c>
      <c r="BU1476" s="63">
        <f t="shared" ref="BU1476:BU1500" si="1080">IF(E1476="",0,IF(OR(BT1476&gt;0,BO1476&gt;0),0,IF(AND(F1476&gt;4,G1476=0),(BQ1476-1.2)*D1476*0.8,IF(AND(G1476&gt;4,F1476=0),(BQ1476-0.4)*D1476*0.65,IF(OR(AND(G1476&gt;4,F1476&gt;0),AND(F1476&gt;4,G1476&gt;0)),(IF(AS1476&gt;1.2,(AS1476-1.2)*D1476*0.8,0)+IF(AT1476&gt;AS1476,(AT1476-AS1476)*D1476*0.65,0)),0)))))</f>
        <v>0</v>
      </c>
      <c r="BV1476" s="57">
        <f t="shared" ref="BV1476:BV1500" si="1081">IF(AND(E1476&lt;&gt;"mini-trench",E1476&lt;&gt;"special"),MAX(AS1476:AT1476),0)</f>
        <v>0</v>
      </c>
      <c r="BW1476" s="57">
        <f t="shared" ref="BW1476:BW1500" si="1082">IF(AND(E1476&lt;&gt;"mini-trench",E1476&lt;&gt;"special",BV1476&gt;0,BV1476&lt;1,K1476="asphalted"),IF(O1476&lt;&gt;"",MIN(O1476,1),1),IF(AND(E1476&lt;&gt;"mini-trench",E1476&lt;&gt;"special",BV1476&gt;0,BV1476&gt;1,K1476="asphalted"),BV1476,0))</f>
        <v>0</v>
      </c>
      <c r="BX1476" s="57">
        <f t="shared" si="1060"/>
        <v>0</v>
      </c>
      <c r="BY1476" s="57">
        <f t="shared" si="1064"/>
        <v>0</v>
      </c>
      <c r="BZ1476" s="8">
        <f t="shared" ref="BZ1476:BZ1500" si="1083">IF(E1476="special",O1476*P1476*D1476-D1476*IF(AV1476="MV1",0.8*0.4,IF(AV1476="MV2",0.8*0.6,IF(AV1476="MV3",0.8*0.9,IF(OR(AV1476="MV4",AV1476="MVCU"),0.8*1.2,IF(AV1476="LV1-3",0.65*0.4,IF(OR(AV1476="LV4",AV1476="LVCU"),0.65*0.5)))))),0)</f>
        <v>0</v>
      </c>
      <c r="CA1476" s="8">
        <f t="shared" ref="CA1476:CA1500" si="1084">IF(AND(E1476&lt;&gt;"special",K1476="Paved interlock"),D1476*BV1476,IF(AND(E1476="special",K1476="Paved interlock"),D1476*O1476,0))</f>
        <v>0</v>
      </c>
      <c r="CB1476" s="8">
        <f t="shared" ref="CB1476:CB1500" si="1085">IF(AND(E1476&lt;&gt;"special",K1476="Paved conc.tiles"),D1476*BV1476,IF(AND(E1476="special",K1476="Paved conc.tiles"),D1476*O1476,0))</f>
        <v>0</v>
      </c>
      <c r="CC1476" s="8">
        <f t="shared" ref="CC1476:CC1500" si="1086">IF(AND(E1476="special",K1476="asphalted"),D1476*Q1476,0)</f>
        <v>0</v>
      </c>
      <c r="CD1476" s="8">
        <f t="shared" ref="CD1476:CD1500" si="1087">IF(OR(K1476="Paved interlock",K1476="Paved conc.tiles"),1,0)</f>
        <v>0</v>
      </c>
      <c r="CE1476" s="8">
        <f t="shared" ref="CE1476:CE1500" si="1088">IFERROR(BR1476/D1476,0)</f>
        <v>0</v>
      </c>
      <c r="CF1476" s="8">
        <f t="shared" ref="CF1476:CF1500" si="1089">IF(AND(F1476&gt;0,B1476="j transition"),F1476,0)+IF(AND(F1476&gt;0,C1476="j transition"),F1476,0)</f>
        <v>0</v>
      </c>
      <c r="CG1476" s="8">
        <f t="shared" ref="CG1476:CG1500" si="1090">IF(AND(F1476&gt;0,OR(B1476="grid",B1476="ss",B1476="pole",B1476="new ss")),F1476,0)+IF(AND(F1476&gt;0,OR(C1476="grid",C1476="ss",C1476="pole",C1476="new ss")),F1476,0)</f>
        <v>0</v>
      </c>
      <c r="CH1476" s="8">
        <f t="shared" ref="CH1476:CH1500" si="1091">IF(AND(F1476&gt;0,B1476="joint"),F1476,0)+IF(AND(F1476&gt;0,C1476="joint"),F1476,0)+IF(AND(F1476&gt;0,B1476="j transition"),F1476,0)+IF(AND(F1476&gt;0,C1476="j transition"),F1476,0)</f>
        <v>0</v>
      </c>
      <c r="CI1476" s="8">
        <f t="shared" ref="CI1476:CI1500" si="1092">IF(AND(H1476&gt;0,B1476="joint"),H1476,0)+IF(AND(H1476&gt;0,C1476="joint"),H1476,0)</f>
        <v>0</v>
      </c>
      <c r="CJ1476" s="8">
        <f t="shared" ref="CJ1476:CJ1500" si="1093">IF(AND(I1476&gt;0,B1476="joint"),I1476,0)+IF(AND(I1476&gt;0,C1476="joint"),I1476,0)</f>
        <v>0</v>
      </c>
      <c r="CK1476" s="8">
        <f t="shared" ref="CK1476:CK1500" si="1094">IF(AND(J1476&gt;0,B1476="joint"),J1476,0)+IF(AND(J1476&gt;0,C1476="joint"),J1476,0)</f>
        <v>0</v>
      </c>
      <c r="CL1476" s="8">
        <f t="shared" ref="CL1476:CL1500" si="1095">IF(AND(H1476&gt;0,OR(B1476="ss",B1476="new ss",B1476="DC",B1476="new DC")),H1476,0)+IF(AND(H1476&gt;0,OR(C1476="new ss",C1476="ss",C1476="DC",C1476="new DC")),H1476,0)</f>
        <v>0</v>
      </c>
      <c r="CM1476" s="8">
        <f t="shared" ref="CM1476:CM1500" si="1096">CO1476+CP1476</f>
        <v>0</v>
      </c>
      <c r="CN1476" s="8">
        <f t="shared" ref="CN1476:CN1500" si="1097">IF(OR(B1476="new DC",C1476="new DC"),H1476,0)</f>
        <v>0</v>
      </c>
      <c r="CO1476" s="8">
        <f t="shared" ref="CO1476:CO1500" si="1098">IF(AND(J1476&gt;0,OR(B1476="ss",B1476="new ss",B1476="DC",B1476="new DC")),J1476,0)+IF(AND(J1476&gt;0,OR(C1476="new ss",C1476="ss",C1476="DC",C1476="new DC")),J1476,0)</f>
        <v>0</v>
      </c>
      <c r="CP1476" s="8">
        <f t="shared" ref="CP1476:CP1500" si="1099">IF(AND(I1476&gt;0,OR(B1476="ss",B1476="new ss",B1476="DC",B1476="new DC")),I1476,0)+IF(AND(I1476&gt;0,OR(C1476="new ss",C1476="ss",C1476="DC",C1476="new DC")),I1476,0)</f>
        <v>0</v>
      </c>
      <c r="CQ1476" s="8">
        <f t="shared" ref="CQ1476:CQ1500" si="1100">IF(AND(F1476&gt;0,OR(B1476="ss",B1476="new ss")),F1476,0)+IF(AND(F1476&gt;0,OR(C1476="ss",C1476="new ss")),F1476,0)</f>
        <v>0</v>
      </c>
      <c r="CR1476" s="8">
        <f t="shared" ref="CR1476:CR1500" si="1101">IF(AND(F1476&gt;0,OR(B1476="grid")),F1476,0)+IF(AND(F1476&gt;0,OR(C1476="grid")),F1476,0)</f>
        <v>0</v>
      </c>
      <c r="CS1476" s="8">
        <f t="shared" ref="CS1476:CS1500" si="1102">IF(AND(F1476&gt;0,OR(B1476="pole")),F1476,0)+IF(AND(F1476&gt;0,OR(C1476="pole")),F1476,0)</f>
        <v>0</v>
      </c>
      <c r="CT1476" s="8">
        <f t="shared" si="1061"/>
        <v>0</v>
      </c>
      <c r="CU1476" s="8">
        <f t="shared" si="1062"/>
        <v>0</v>
      </c>
      <c r="CV1476" s="8">
        <f t="shared" si="1063"/>
        <v>0</v>
      </c>
    </row>
    <row r="1477" spans="1:100" ht="20.5" thickTop="1" thickBot="1" x14ac:dyDescent="0.5">
      <c r="A1477" s="32"/>
      <c r="B1477" s="10"/>
      <c r="C1477" s="10"/>
      <c r="D1477" s="11"/>
      <c r="E1477" s="10"/>
      <c r="F1477" s="10"/>
      <c r="G1477" s="19"/>
      <c r="H1477" s="19"/>
      <c r="I1477" s="19"/>
      <c r="J1477" s="19"/>
      <c r="K1477" s="10"/>
      <c r="L1477" s="10"/>
      <c r="M1477" s="10"/>
      <c r="N1477" s="10"/>
      <c r="O1477" s="18"/>
      <c r="P1477" s="18"/>
      <c r="Q1477" s="21"/>
      <c r="R1477" s="20"/>
      <c r="S1477" s="16">
        <f t="shared" si="1065"/>
        <v>0</v>
      </c>
      <c r="T1477" s="11"/>
      <c r="AS1477" s="31">
        <f t="shared" si="1066"/>
        <v>0</v>
      </c>
      <c r="AT1477" s="31">
        <f t="shared" si="1067"/>
        <v>0</v>
      </c>
      <c r="AU1477" s="31">
        <f t="shared" si="1068"/>
        <v>0</v>
      </c>
      <c r="AV1477" s="31">
        <f t="shared" si="1069"/>
        <v>0</v>
      </c>
      <c r="AW1477" s="31">
        <f t="shared" si="1070"/>
        <v>0</v>
      </c>
      <c r="AX1477" s="31">
        <f t="shared" si="1071"/>
        <v>0</v>
      </c>
      <c r="AY1477" s="31">
        <f t="shared" si="1072"/>
        <v>0</v>
      </c>
      <c r="AZ1477" s="31">
        <f t="shared" si="1073"/>
        <v>0</v>
      </c>
      <c r="BA1477" s="31">
        <f t="shared" si="1074"/>
        <v>0</v>
      </c>
      <c r="BB1477" s="31">
        <f t="shared" ref="BB1477:BB1500" si="1103">IFERROR(IF(BN1477&gt;0,0,IF(AND(E1477="normal",(BR1477/D1477)&gt;1),BR1477,0)),0)</f>
        <v>0</v>
      </c>
      <c r="BM1477" s="8">
        <f t="shared" ref="BM1477:BM1500" si="1104">IF(AND(E1477&lt;&gt;"special",K1477="Concrete"),D1477*BV1477,IF(AND(E1477="special",K1477="Concrete"),D1477*O1477,0))</f>
        <v>0</v>
      </c>
      <c r="BN1477" s="8">
        <f t="shared" si="1075"/>
        <v>0</v>
      </c>
      <c r="BO1477" s="8">
        <f t="shared" si="1076"/>
        <v>0</v>
      </c>
      <c r="BQ1477" s="8">
        <f t="shared" si="1077"/>
        <v>0</v>
      </c>
      <c r="BR1477" s="63">
        <f t="shared" si="1078"/>
        <v>0</v>
      </c>
      <c r="BS1477" s="63">
        <f t="shared" ref="BS1477:BS1500" si="1105">BN1477 + IF(BN1477&gt;0,IF(R1476=0, R1477, 0) + IF(R1478=0, R1477, 0),0)</f>
        <v>0</v>
      </c>
      <c r="BT1477" s="63">
        <f t="shared" si="1079"/>
        <v>0</v>
      </c>
      <c r="BU1477" s="63">
        <f t="shared" si="1080"/>
        <v>0</v>
      </c>
      <c r="BV1477" s="57">
        <f t="shared" si="1081"/>
        <v>0</v>
      </c>
      <c r="BW1477" s="57">
        <f t="shared" si="1082"/>
        <v>0</v>
      </c>
      <c r="BX1477" s="57">
        <f t="shared" ref="BX1477:BX1500" si="1106">IF(AND(R1477&gt;0,MandRcalc="Asphalting then M&amp;R"),R1477*D1477,IF(AND(R1477&gt;0,MandRcalc="Milling then Repaving"),(R1477-BR1477)*D1477,0))</f>
        <v>0</v>
      </c>
      <c r="BY1477" s="57">
        <f t="shared" si="1064"/>
        <v>0</v>
      </c>
      <c r="BZ1477" s="8">
        <f t="shared" si="1083"/>
        <v>0</v>
      </c>
      <c r="CA1477" s="8">
        <f t="shared" si="1084"/>
        <v>0</v>
      </c>
      <c r="CB1477" s="8">
        <f t="shared" si="1085"/>
        <v>0</v>
      </c>
      <c r="CC1477" s="8">
        <f t="shared" si="1086"/>
        <v>0</v>
      </c>
      <c r="CD1477" s="8">
        <f t="shared" si="1087"/>
        <v>0</v>
      </c>
      <c r="CE1477" s="8">
        <f t="shared" si="1088"/>
        <v>0</v>
      </c>
      <c r="CF1477" s="8">
        <f t="shared" si="1089"/>
        <v>0</v>
      </c>
      <c r="CG1477" s="8">
        <f t="shared" si="1090"/>
        <v>0</v>
      </c>
      <c r="CH1477" s="8">
        <f t="shared" si="1091"/>
        <v>0</v>
      </c>
      <c r="CI1477" s="8">
        <f t="shared" si="1092"/>
        <v>0</v>
      </c>
      <c r="CJ1477" s="8">
        <f t="shared" si="1093"/>
        <v>0</v>
      </c>
      <c r="CK1477" s="8">
        <f t="shared" si="1094"/>
        <v>0</v>
      </c>
      <c r="CL1477" s="8">
        <f t="shared" si="1095"/>
        <v>0</v>
      </c>
      <c r="CM1477" s="8">
        <f t="shared" si="1096"/>
        <v>0</v>
      </c>
      <c r="CN1477" s="8">
        <f t="shared" si="1097"/>
        <v>0</v>
      </c>
      <c r="CO1477" s="8">
        <f t="shared" si="1098"/>
        <v>0</v>
      </c>
      <c r="CP1477" s="8">
        <f t="shared" si="1099"/>
        <v>0</v>
      </c>
      <c r="CQ1477" s="8">
        <f t="shared" si="1100"/>
        <v>0</v>
      </c>
      <c r="CR1477" s="8">
        <f t="shared" si="1101"/>
        <v>0</v>
      </c>
      <c r="CS1477" s="8">
        <f t="shared" si="1102"/>
        <v>0</v>
      </c>
      <c r="CT1477" s="8">
        <f t="shared" si="1061"/>
        <v>0</v>
      </c>
      <c r="CU1477" s="8">
        <f t="shared" si="1062"/>
        <v>0</v>
      </c>
      <c r="CV1477" s="8">
        <f t="shared" si="1063"/>
        <v>0</v>
      </c>
    </row>
    <row r="1478" spans="1:100" ht="20.5" thickTop="1" thickBot="1" x14ac:dyDescent="0.5">
      <c r="A1478" s="32"/>
      <c r="B1478" s="10"/>
      <c r="C1478" s="10"/>
      <c r="D1478" s="11"/>
      <c r="E1478" s="10"/>
      <c r="F1478" s="10"/>
      <c r="G1478" s="19"/>
      <c r="H1478" s="19"/>
      <c r="I1478" s="19"/>
      <c r="J1478" s="19"/>
      <c r="K1478" s="10"/>
      <c r="L1478" s="10"/>
      <c r="M1478" s="10"/>
      <c r="N1478" s="10"/>
      <c r="O1478" s="18"/>
      <c r="P1478" s="18"/>
      <c r="Q1478" s="21"/>
      <c r="R1478" s="20"/>
      <c r="S1478" s="16">
        <f t="shared" si="1065"/>
        <v>0</v>
      </c>
      <c r="T1478" s="11"/>
      <c r="AS1478" s="31">
        <f t="shared" si="1066"/>
        <v>0</v>
      </c>
      <c r="AT1478" s="31">
        <f t="shared" si="1067"/>
        <v>0</v>
      </c>
      <c r="AU1478" s="31">
        <f t="shared" si="1068"/>
        <v>0</v>
      </c>
      <c r="AV1478" s="31">
        <f t="shared" si="1069"/>
        <v>0</v>
      </c>
      <c r="AW1478" s="31">
        <f t="shared" si="1070"/>
        <v>0</v>
      </c>
      <c r="AX1478" s="31">
        <f t="shared" si="1071"/>
        <v>0</v>
      </c>
      <c r="AY1478" s="31">
        <f t="shared" si="1072"/>
        <v>0</v>
      </c>
      <c r="AZ1478" s="31">
        <f t="shared" si="1073"/>
        <v>0</v>
      </c>
      <c r="BA1478" s="31">
        <f t="shared" si="1074"/>
        <v>0</v>
      </c>
      <c r="BB1478" s="31">
        <f t="shared" si="1103"/>
        <v>0</v>
      </c>
      <c r="BM1478" s="8">
        <f t="shared" si="1104"/>
        <v>0</v>
      </c>
      <c r="BN1478" s="8">
        <f t="shared" si="1075"/>
        <v>0</v>
      </c>
      <c r="BO1478" s="8">
        <f t="shared" si="1076"/>
        <v>0</v>
      </c>
      <c r="BQ1478" s="8">
        <f t="shared" si="1077"/>
        <v>0</v>
      </c>
      <c r="BR1478" s="63">
        <f t="shared" si="1078"/>
        <v>0</v>
      </c>
      <c r="BS1478" s="63">
        <f t="shared" si="1105"/>
        <v>0</v>
      </c>
      <c r="BT1478" s="63">
        <f t="shared" si="1079"/>
        <v>0</v>
      </c>
      <c r="BU1478" s="63">
        <f t="shared" si="1080"/>
        <v>0</v>
      </c>
      <c r="BV1478" s="57">
        <f t="shared" si="1081"/>
        <v>0</v>
      </c>
      <c r="BW1478" s="57">
        <f t="shared" si="1082"/>
        <v>0</v>
      </c>
      <c r="BX1478" s="57">
        <f t="shared" si="1106"/>
        <v>0</v>
      </c>
      <c r="BY1478" s="57">
        <f t="shared" si="1064"/>
        <v>0</v>
      </c>
      <c r="BZ1478" s="8">
        <f t="shared" si="1083"/>
        <v>0</v>
      </c>
      <c r="CA1478" s="8">
        <f t="shared" si="1084"/>
        <v>0</v>
      </c>
      <c r="CB1478" s="8">
        <f t="shared" si="1085"/>
        <v>0</v>
      </c>
      <c r="CC1478" s="8">
        <f t="shared" si="1086"/>
        <v>0</v>
      </c>
      <c r="CD1478" s="8">
        <f t="shared" si="1087"/>
        <v>0</v>
      </c>
      <c r="CE1478" s="8">
        <f t="shared" si="1088"/>
        <v>0</v>
      </c>
      <c r="CF1478" s="8">
        <f t="shared" si="1089"/>
        <v>0</v>
      </c>
      <c r="CG1478" s="8">
        <f t="shared" si="1090"/>
        <v>0</v>
      </c>
      <c r="CH1478" s="8">
        <f t="shared" si="1091"/>
        <v>0</v>
      </c>
      <c r="CI1478" s="8">
        <f t="shared" si="1092"/>
        <v>0</v>
      </c>
      <c r="CJ1478" s="8">
        <f t="shared" si="1093"/>
        <v>0</v>
      </c>
      <c r="CK1478" s="8">
        <f t="shared" si="1094"/>
        <v>0</v>
      </c>
      <c r="CL1478" s="8">
        <f t="shared" si="1095"/>
        <v>0</v>
      </c>
      <c r="CM1478" s="8">
        <f t="shared" si="1096"/>
        <v>0</v>
      </c>
      <c r="CN1478" s="8">
        <f t="shared" si="1097"/>
        <v>0</v>
      </c>
      <c r="CO1478" s="8">
        <f t="shared" si="1098"/>
        <v>0</v>
      </c>
      <c r="CP1478" s="8">
        <f t="shared" si="1099"/>
        <v>0</v>
      </c>
      <c r="CQ1478" s="8">
        <f t="shared" si="1100"/>
        <v>0</v>
      </c>
      <c r="CR1478" s="8">
        <f t="shared" si="1101"/>
        <v>0</v>
      </c>
      <c r="CS1478" s="8">
        <f t="shared" si="1102"/>
        <v>0</v>
      </c>
      <c r="CT1478" s="8">
        <f t="shared" si="1061"/>
        <v>0</v>
      </c>
      <c r="CU1478" s="8">
        <f t="shared" si="1062"/>
        <v>0</v>
      </c>
      <c r="CV1478" s="8">
        <f t="shared" si="1063"/>
        <v>0</v>
      </c>
    </row>
    <row r="1479" spans="1:100" ht="20.5" thickTop="1" thickBot="1" x14ac:dyDescent="0.5">
      <c r="A1479" s="32"/>
      <c r="B1479" s="10"/>
      <c r="C1479" s="10"/>
      <c r="D1479" s="11"/>
      <c r="E1479" s="10"/>
      <c r="F1479" s="10"/>
      <c r="G1479" s="19"/>
      <c r="H1479" s="19"/>
      <c r="I1479" s="19"/>
      <c r="J1479" s="19"/>
      <c r="K1479" s="10"/>
      <c r="L1479" s="10"/>
      <c r="M1479" s="10"/>
      <c r="N1479" s="10"/>
      <c r="O1479" s="18"/>
      <c r="P1479" s="18"/>
      <c r="Q1479" s="21"/>
      <c r="R1479" s="20"/>
      <c r="S1479" s="16">
        <f t="shared" si="1065"/>
        <v>0</v>
      </c>
      <c r="T1479" s="11"/>
      <c r="AS1479" s="31">
        <f t="shared" si="1066"/>
        <v>0</v>
      </c>
      <c r="AT1479" s="31">
        <f t="shared" si="1067"/>
        <v>0</v>
      </c>
      <c r="AU1479" s="31">
        <f t="shared" si="1068"/>
        <v>0</v>
      </c>
      <c r="AV1479" s="31">
        <f t="shared" si="1069"/>
        <v>0</v>
      </c>
      <c r="AW1479" s="31">
        <f t="shared" si="1070"/>
        <v>0</v>
      </c>
      <c r="AX1479" s="31">
        <f t="shared" si="1071"/>
        <v>0</v>
      </c>
      <c r="AY1479" s="31">
        <f t="shared" si="1072"/>
        <v>0</v>
      </c>
      <c r="AZ1479" s="31">
        <f t="shared" si="1073"/>
        <v>0</v>
      </c>
      <c r="BA1479" s="31">
        <f t="shared" si="1074"/>
        <v>0</v>
      </c>
      <c r="BB1479" s="31">
        <f t="shared" si="1103"/>
        <v>0</v>
      </c>
      <c r="BM1479" s="8">
        <f t="shared" si="1104"/>
        <v>0</v>
      </c>
      <c r="BN1479" s="8">
        <f t="shared" si="1075"/>
        <v>0</v>
      </c>
      <c r="BO1479" s="8">
        <f t="shared" si="1076"/>
        <v>0</v>
      </c>
      <c r="BQ1479" s="8">
        <f t="shared" si="1077"/>
        <v>0</v>
      </c>
      <c r="BR1479" s="63">
        <f t="shared" si="1078"/>
        <v>0</v>
      </c>
      <c r="BS1479" s="63">
        <f t="shared" si="1105"/>
        <v>0</v>
      </c>
      <c r="BT1479" s="63">
        <f t="shared" si="1079"/>
        <v>0</v>
      </c>
      <c r="BU1479" s="63">
        <f t="shared" si="1080"/>
        <v>0</v>
      </c>
      <c r="BV1479" s="57">
        <f t="shared" si="1081"/>
        <v>0</v>
      </c>
      <c r="BW1479" s="57">
        <f t="shared" si="1082"/>
        <v>0</v>
      </c>
      <c r="BX1479" s="57">
        <f t="shared" si="1106"/>
        <v>0</v>
      </c>
      <c r="BY1479" s="57">
        <f t="shared" si="1064"/>
        <v>0</v>
      </c>
      <c r="BZ1479" s="8">
        <f t="shared" si="1083"/>
        <v>0</v>
      </c>
      <c r="CA1479" s="8">
        <f t="shared" si="1084"/>
        <v>0</v>
      </c>
      <c r="CB1479" s="8">
        <f t="shared" si="1085"/>
        <v>0</v>
      </c>
      <c r="CC1479" s="8">
        <f t="shared" si="1086"/>
        <v>0</v>
      </c>
      <c r="CD1479" s="8">
        <f t="shared" si="1087"/>
        <v>0</v>
      </c>
      <c r="CE1479" s="8">
        <f t="shared" si="1088"/>
        <v>0</v>
      </c>
      <c r="CF1479" s="8">
        <f t="shared" si="1089"/>
        <v>0</v>
      </c>
      <c r="CG1479" s="8">
        <f t="shared" si="1090"/>
        <v>0</v>
      </c>
      <c r="CH1479" s="8">
        <f t="shared" si="1091"/>
        <v>0</v>
      </c>
      <c r="CI1479" s="8">
        <f t="shared" si="1092"/>
        <v>0</v>
      </c>
      <c r="CJ1479" s="8">
        <f t="shared" si="1093"/>
        <v>0</v>
      </c>
      <c r="CK1479" s="8">
        <f t="shared" si="1094"/>
        <v>0</v>
      </c>
      <c r="CL1479" s="8">
        <f t="shared" si="1095"/>
        <v>0</v>
      </c>
      <c r="CM1479" s="8">
        <f t="shared" si="1096"/>
        <v>0</v>
      </c>
      <c r="CN1479" s="8">
        <f t="shared" si="1097"/>
        <v>0</v>
      </c>
      <c r="CO1479" s="8">
        <f t="shared" si="1098"/>
        <v>0</v>
      </c>
      <c r="CP1479" s="8">
        <f t="shared" si="1099"/>
        <v>0</v>
      </c>
      <c r="CQ1479" s="8">
        <f t="shared" si="1100"/>
        <v>0</v>
      </c>
      <c r="CR1479" s="8">
        <f t="shared" si="1101"/>
        <v>0</v>
      </c>
      <c r="CS1479" s="8">
        <f t="shared" si="1102"/>
        <v>0</v>
      </c>
      <c r="CT1479" s="8">
        <f t="shared" si="1061"/>
        <v>0</v>
      </c>
      <c r="CU1479" s="8">
        <f t="shared" si="1062"/>
        <v>0</v>
      </c>
      <c r="CV1479" s="8">
        <f t="shared" si="1063"/>
        <v>0</v>
      </c>
    </row>
    <row r="1480" spans="1:100" ht="20.5" thickTop="1" thickBot="1" x14ac:dyDescent="0.5">
      <c r="A1480" s="32"/>
      <c r="B1480" s="10"/>
      <c r="C1480" s="10"/>
      <c r="D1480" s="11"/>
      <c r="E1480" s="10"/>
      <c r="F1480" s="10"/>
      <c r="G1480" s="19"/>
      <c r="H1480" s="19"/>
      <c r="I1480" s="19"/>
      <c r="J1480" s="19"/>
      <c r="K1480" s="10"/>
      <c r="L1480" s="10"/>
      <c r="M1480" s="10"/>
      <c r="N1480" s="10"/>
      <c r="O1480" s="18"/>
      <c r="P1480" s="18"/>
      <c r="Q1480" s="21"/>
      <c r="R1480" s="20"/>
      <c r="S1480" s="16">
        <f t="shared" si="1065"/>
        <v>0</v>
      </c>
      <c r="T1480" s="11"/>
      <c r="AS1480" s="31">
        <f t="shared" si="1066"/>
        <v>0</v>
      </c>
      <c r="AT1480" s="31">
        <f t="shared" si="1067"/>
        <v>0</v>
      </c>
      <c r="AU1480" s="31">
        <f t="shared" si="1068"/>
        <v>0</v>
      </c>
      <c r="AV1480" s="31">
        <f t="shared" si="1069"/>
        <v>0</v>
      </c>
      <c r="AW1480" s="31">
        <f t="shared" si="1070"/>
        <v>0</v>
      </c>
      <c r="AX1480" s="31">
        <f t="shared" si="1071"/>
        <v>0</v>
      </c>
      <c r="AY1480" s="31">
        <f t="shared" si="1072"/>
        <v>0</v>
      </c>
      <c r="AZ1480" s="31">
        <f t="shared" si="1073"/>
        <v>0</v>
      </c>
      <c r="BA1480" s="31">
        <f t="shared" si="1074"/>
        <v>0</v>
      </c>
      <c r="BB1480" s="31">
        <f t="shared" si="1103"/>
        <v>0</v>
      </c>
      <c r="BM1480" s="8">
        <f t="shared" si="1104"/>
        <v>0</v>
      </c>
      <c r="BN1480" s="8">
        <f t="shared" si="1075"/>
        <v>0</v>
      </c>
      <c r="BO1480" s="8">
        <f t="shared" si="1076"/>
        <v>0</v>
      </c>
      <c r="BQ1480" s="8">
        <f t="shared" si="1077"/>
        <v>0</v>
      </c>
      <c r="BR1480" s="63">
        <f t="shared" si="1078"/>
        <v>0</v>
      </c>
      <c r="BS1480" s="63">
        <f t="shared" si="1105"/>
        <v>0</v>
      </c>
      <c r="BT1480" s="63">
        <f t="shared" si="1079"/>
        <v>0</v>
      </c>
      <c r="BU1480" s="63">
        <f t="shared" si="1080"/>
        <v>0</v>
      </c>
      <c r="BV1480" s="57">
        <f t="shared" si="1081"/>
        <v>0</v>
      </c>
      <c r="BW1480" s="57">
        <f t="shared" si="1082"/>
        <v>0</v>
      </c>
      <c r="BX1480" s="57">
        <f t="shared" si="1106"/>
        <v>0</v>
      </c>
      <c r="BY1480" s="57">
        <f t="shared" si="1064"/>
        <v>0</v>
      </c>
      <c r="BZ1480" s="8">
        <f t="shared" si="1083"/>
        <v>0</v>
      </c>
      <c r="CA1480" s="8">
        <f t="shared" si="1084"/>
        <v>0</v>
      </c>
      <c r="CB1480" s="8">
        <f t="shared" si="1085"/>
        <v>0</v>
      </c>
      <c r="CC1480" s="8">
        <f t="shared" si="1086"/>
        <v>0</v>
      </c>
      <c r="CD1480" s="8">
        <f t="shared" si="1087"/>
        <v>0</v>
      </c>
      <c r="CE1480" s="8">
        <f t="shared" si="1088"/>
        <v>0</v>
      </c>
      <c r="CF1480" s="8">
        <f t="shared" si="1089"/>
        <v>0</v>
      </c>
      <c r="CG1480" s="8">
        <f t="shared" si="1090"/>
        <v>0</v>
      </c>
      <c r="CH1480" s="8">
        <f t="shared" si="1091"/>
        <v>0</v>
      </c>
      <c r="CI1480" s="8">
        <f t="shared" si="1092"/>
        <v>0</v>
      </c>
      <c r="CJ1480" s="8">
        <f t="shared" si="1093"/>
        <v>0</v>
      </c>
      <c r="CK1480" s="8">
        <f t="shared" si="1094"/>
        <v>0</v>
      </c>
      <c r="CL1480" s="8">
        <f t="shared" si="1095"/>
        <v>0</v>
      </c>
      <c r="CM1480" s="8">
        <f t="shared" si="1096"/>
        <v>0</v>
      </c>
      <c r="CN1480" s="8">
        <f t="shared" si="1097"/>
        <v>0</v>
      </c>
      <c r="CO1480" s="8">
        <f t="shared" si="1098"/>
        <v>0</v>
      </c>
      <c r="CP1480" s="8">
        <f t="shared" si="1099"/>
        <v>0</v>
      </c>
      <c r="CQ1480" s="8">
        <f t="shared" si="1100"/>
        <v>0</v>
      </c>
      <c r="CR1480" s="8">
        <f t="shared" si="1101"/>
        <v>0</v>
      </c>
      <c r="CS1480" s="8">
        <f t="shared" si="1102"/>
        <v>0</v>
      </c>
      <c r="CT1480" s="8">
        <f t="shared" si="1061"/>
        <v>0</v>
      </c>
      <c r="CU1480" s="8">
        <f t="shared" si="1062"/>
        <v>0</v>
      </c>
      <c r="CV1480" s="8">
        <f t="shared" si="1063"/>
        <v>0</v>
      </c>
    </row>
    <row r="1481" spans="1:100" ht="20.5" thickTop="1" thickBot="1" x14ac:dyDescent="0.5">
      <c r="A1481" s="32"/>
      <c r="B1481" s="10"/>
      <c r="C1481" s="10"/>
      <c r="D1481" s="11"/>
      <c r="E1481" s="10"/>
      <c r="F1481" s="10"/>
      <c r="G1481" s="19"/>
      <c r="H1481" s="19"/>
      <c r="I1481" s="19"/>
      <c r="J1481" s="19"/>
      <c r="K1481" s="10"/>
      <c r="L1481" s="10"/>
      <c r="M1481" s="10"/>
      <c r="N1481" s="10"/>
      <c r="O1481" s="18"/>
      <c r="P1481" s="18"/>
      <c r="Q1481" s="21"/>
      <c r="R1481" s="20"/>
      <c r="S1481" s="16">
        <f t="shared" si="1065"/>
        <v>0</v>
      </c>
      <c r="T1481" s="11"/>
      <c r="AS1481" s="31">
        <f t="shared" si="1066"/>
        <v>0</v>
      </c>
      <c r="AT1481" s="31">
        <f t="shared" si="1067"/>
        <v>0</v>
      </c>
      <c r="AU1481" s="31">
        <f t="shared" si="1068"/>
        <v>0</v>
      </c>
      <c r="AV1481" s="31">
        <f t="shared" si="1069"/>
        <v>0</v>
      </c>
      <c r="AW1481" s="31">
        <f t="shared" si="1070"/>
        <v>0</v>
      </c>
      <c r="AX1481" s="31">
        <f t="shared" si="1071"/>
        <v>0</v>
      </c>
      <c r="AY1481" s="31">
        <f t="shared" si="1072"/>
        <v>0</v>
      </c>
      <c r="AZ1481" s="31">
        <f t="shared" si="1073"/>
        <v>0</v>
      </c>
      <c r="BA1481" s="31">
        <f t="shared" si="1074"/>
        <v>0</v>
      </c>
      <c r="BB1481" s="31">
        <f t="shared" si="1103"/>
        <v>0</v>
      </c>
      <c r="BM1481" s="8">
        <f t="shared" si="1104"/>
        <v>0</v>
      </c>
      <c r="BN1481" s="8">
        <f t="shared" si="1075"/>
        <v>0</v>
      </c>
      <c r="BO1481" s="8">
        <f t="shared" si="1076"/>
        <v>0</v>
      </c>
      <c r="BQ1481" s="8">
        <f t="shared" si="1077"/>
        <v>0</v>
      </c>
      <c r="BR1481" s="63">
        <f t="shared" si="1078"/>
        <v>0</v>
      </c>
      <c r="BS1481" s="63">
        <f t="shared" si="1105"/>
        <v>0</v>
      </c>
      <c r="BT1481" s="63">
        <f t="shared" si="1079"/>
        <v>0</v>
      </c>
      <c r="BU1481" s="63">
        <f t="shared" si="1080"/>
        <v>0</v>
      </c>
      <c r="BV1481" s="57">
        <f t="shared" si="1081"/>
        <v>0</v>
      </c>
      <c r="BW1481" s="57">
        <f t="shared" si="1082"/>
        <v>0</v>
      </c>
      <c r="BX1481" s="57">
        <f t="shared" si="1106"/>
        <v>0</v>
      </c>
      <c r="BY1481" s="57">
        <f t="shared" si="1064"/>
        <v>0</v>
      </c>
      <c r="BZ1481" s="8">
        <f t="shared" si="1083"/>
        <v>0</v>
      </c>
      <c r="CA1481" s="8">
        <f t="shared" si="1084"/>
        <v>0</v>
      </c>
      <c r="CB1481" s="8">
        <f t="shared" si="1085"/>
        <v>0</v>
      </c>
      <c r="CC1481" s="8">
        <f t="shared" si="1086"/>
        <v>0</v>
      </c>
      <c r="CD1481" s="8">
        <f t="shared" si="1087"/>
        <v>0</v>
      </c>
      <c r="CE1481" s="8">
        <f t="shared" si="1088"/>
        <v>0</v>
      </c>
      <c r="CF1481" s="8">
        <f t="shared" si="1089"/>
        <v>0</v>
      </c>
      <c r="CG1481" s="8">
        <f t="shared" si="1090"/>
        <v>0</v>
      </c>
      <c r="CH1481" s="8">
        <f t="shared" si="1091"/>
        <v>0</v>
      </c>
      <c r="CI1481" s="8">
        <f t="shared" si="1092"/>
        <v>0</v>
      </c>
      <c r="CJ1481" s="8">
        <f t="shared" si="1093"/>
        <v>0</v>
      </c>
      <c r="CK1481" s="8">
        <f t="shared" si="1094"/>
        <v>0</v>
      </c>
      <c r="CL1481" s="8">
        <f t="shared" si="1095"/>
        <v>0</v>
      </c>
      <c r="CM1481" s="8">
        <f t="shared" si="1096"/>
        <v>0</v>
      </c>
      <c r="CN1481" s="8">
        <f t="shared" si="1097"/>
        <v>0</v>
      </c>
      <c r="CO1481" s="8">
        <f t="shared" si="1098"/>
        <v>0</v>
      </c>
      <c r="CP1481" s="8">
        <f t="shared" si="1099"/>
        <v>0</v>
      </c>
      <c r="CQ1481" s="8">
        <f t="shared" si="1100"/>
        <v>0</v>
      </c>
      <c r="CR1481" s="8">
        <f t="shared" si="1101"/>
        <v>0</v>
      </c>
      <c r="CS1481" s="8">
        <f t="shared" si="1102"/>
        <v>0</v>
      </c>
      <c r="CT1481" s="8">
        <f t="shared" si="1061"/>
        <v>0</v>
      </c>
      <c r="CU1481" s="8">
        <f t="shared" si="1062"/>
        <v>0</v>
      </c>
      <c r="CV1481" s="8">
        <f t="shared" si="1063"/>
        <v>0</v>
      </c>
    </row>
    <row r="1482" spans="1:100" ht="20.5" thickTop="1" thickBot="1" x14ac:dyDescent="0.5">
      <c r="A1482" s="32"/>
      <c r="B1482" s="10"/>
      <c r="C1482" s="10"/>
      <c r="D1482" s="11"/>
      <c r="E1482" s="10"/>
      <c r="F1482" s="10"/>
      <c r="G1482" s="19"/>
      <c r="H1482" s="19"/>
      <c r="I1482" s="19"/>
      <c r="J1482" s="19"/>
      <c r="K1482" s="10"/>
      <c r="L1482" s="10"/>
      <c r="M1482" s="10"/>
      <c r="N1482" s="10"/>
      <c r="O1482" s="18"/>
      <c r="P1482" s="18"/>
      <c r="Q1482" s="21"/>
      <c r="R1482" s="20"/>
      <c r="S1482" s="16">
        <f t="shared" si="1065"/>
        <v>0</v>
      </c>
      <c r="T1482" s="11"/>
      <c r="AS1482" s="31">
        <f t="shared" si="1066"/>
        <v>0</v>
      </c>
      <c r="AT1482" s="31">
        <f t="shared" si="1067"/>
        <v>0</v>
      </c>
      <c r="AU1482" s="31">
        <f t="shared" si="1068"/>
        <v>0</v>
      </c>
      <c r="AV1482" s="31">
        <f t="shared" si="1069"/>
        <v>0</v>
      </c>
      <c r="AW1482" s="31">
        <f t="shared" si="1070"/>
        <v>0</v>
      </c>
      <c r="AX1482" s="31">
        <f t="shared" si="1071"/>
        <v>0</v>
      </c>
      <c r="AY1482" s="31">
        <f t="shared" si="1072"/>
        <v>0</v>
      </c>
      <c r="AZ1482" s="31">
        <f t="shared" si="1073"/>
        <v>0</v>
      </c>
      <c r="BA1482" s="31">
        <f t="shared" si="1074"/>
        <v>0</v>
      </c>
      <c r="BB1482" s="31">
        <f t="shared" si="1103"/>
        <v>0</v>
      </c>
      <c r="BM1482" s="8">
        <f t="shared" si="1104"/>
        <v>0</v>
      </c>
      <c r="BN1482" s="8">
        <f t="shared" si="1075"/>
        <v>0</v>
      </c>
      <c r="BO1482" s="8">
        <f t="shared" si="1076"/>
        <v>0</v>
      </c>
      <c r="BQ1482" s="8">
        <f t="shared" si="1077"/>
        <v>0</v>
      </c>
      <c r="BR1482" s="63">
        <f t="shared" si="1078"/>
        <v>0</v>
      </c>
      <c r="BS1482" s="63">
        <f t="shared" si="1105"/>
        <v>0</v>
      </c>
      <c r="BT1482" s="63">
        <f t="shared" si="1079"/>
        <v>0</v>
      </c>
      <c r="BU1482" s="63">
        <f t="shared" si="1080"/>
        <v>0</v>
      </c>
      <c r="BV1482" s="57">
        <f t="shared" si="1081"/>
        <v>0</v>
      </c>
      <c r="BW1482" s="57">
        <f t="shared" si="1082"/>
        <v>0</v>
      </c>
      <c r="BX1482" s="57">
        <f t="shared" si="1106"/>
        <v>0</v>
      </c>
      <c r="BY1482" s="57">
        <f t="shared" si="1064"/>
        <v>0</v>
      </c>
      <c r="BZ1482" s="8">
        <f t="shared" si="1083"/>
        <v>0</v>
      </c>
      <c r="CA1482" s="8">
        <f t="shared" si="1084"/>
        <v>0</v>
      </c>
      <c r="CB1482" s="8">
        <f t="shared" si="1085"/>
        <v>0</v>
      </c>
      <c r="CC1482" s="8">
        <f t="shared" si="1086"/>
        <v>0</v>
      </c>
      <c r="CD1482" s="8">
        <f t="shared" si="1087"/>
        <v>0</v>
      </c>
      <c r="CE1482" s="8">
        <f t="shared" si="1088"/>
        <v>0</v>
      </c>
      <c r="CF1482" s="8">
        <f t="shared" si="1089"/>
        <v>0</v>
      </c>
      <c r="CG1482" s="8">
        <f t="shared" si="1090"/>
        <v>0</v>
      </c>
      <c r="CH1482" s="8">
        <f t="shared" si="1091"/>
        <v>0</v>
      </c>
      <c r="CI1482" s="8">
        <f t="shared" si="1092"/>
        <v>0</v>
      </c>
      <c r="CJ1482" s="8">
        <f t="shared" si="1093"/>
        <v>0</v>
      </c>
      <c r="CK1482" s="8">
        <f t="shared" si="1094"/>
        <v>0</v>
      </c>
      <c r="CL1482" s="8">
        <f t="shared" si="1095"/>
        <v>0</v>
      </c>
      <c r="CM1482" s="8">
        <f t="shared" si="1096"/>
        <v>0</v>
      </c>
      <c r="CN1482" s="8">
        <f t="shared" si="1097"/>
        <v>0</v>
      </c>
      <c r="CO1482" s="8">
        <f t="shared" si="1098"/>
        <v>0</v>
      </c>
      <c r="CP1482" s="8">
        <f t="shared" si="1099"/>
        <v>0</v>
      </c>
      <c r="CQ1482" s="8">
        <f t="shared" si="1100"/>
        <v>0</v>
      </c>
      <c r="CR1482" s="8">
        <f t="shared" si="1101"/>
        <v>0</v>
      </c>
      <c r="CS1482" s="8">
        <f t="shared" si="1102"/>
        <v>0</v>
      </c>
      <c r="CT1482" s="8">
        <f t="shared" si="1061"/>
        <v>0</v>
      </c>
      <c r="CU1482" s="8">
        <f t="shared" si="1062"/>
        <v>0</v>
      </c>
      <c r="CV1482" s="8">
        <f t="shared" si="1063"/>
        <v>0</v>
      </c>
    </row>
    <row r="1483" spans="1:100" ht="20.5" thickTop="1" thickBot="1" x14ac:dyDescent="0.5">
      <c r="A1483" s="32"/>
      <c r="B1483" s="10"/>
      <c r="C1483" s="10"/>
      <c r="D1483" s="11"/>
      <c r="E1483" s="10"/>
      <c r="F1483" s="10"/>
      <c r="G1483" s="19"/>
      <c r="H1483" s="19"/>
      <c r="I1483" s="19"/>
      <c r="J1483" s="19"/>
      <c r="K1483" s="10"/>
      <c r="L1483" s="10"/>
      <c r="M1483" s="10"/>
      <c r="N1483" s="10"/>
      <c r="O1483" s="18"/>
      <c r="P1483" s="18"/>
      <c r="Q1483" s="21"/>
      <c r="R1483" s="20"/>
      <c r="S1483" s="16">
        <f t="shared" si="1065"/>
        <v>0</v>
      </c>
      <c r="T1483" s="11"/>
      <c r="AS1483" s="31">
        <f t="shared" si="1066"/>
        <v>0</v>
      </c>
      <c r="AT1483" s="31">
        <f t="shared" si="1067"/>
        <v>0</v>
      </c>
      <c r="AU1483" s="31">
        <f t="shared" si="1068"/>
        <v>0</v>
      </c>
      <c r="AV1483" s="31">
        <f t="shared" si="1069"/>
        <v>0</v>
      </c>
      <c r="AW1483" s="31">
        <f t="shared" si="1070"/>
        <v>0</v>
      </c>
      <c r="AX1483" s="31">
        <f t="shared" si="1071"/>
        <v>0</v>
      </c>
      <c r="AY1483" s="31">
        <f t="shared" si="1072"/>
        <v>0</v>
      </c>
      <c r="AZ1483" s="31">
        <f t="shared" si="1073"/>
        <v>0</v>
      </c>
      <c r="BA1483" s="31">
        <f t="shared" si="1074"/>
        <v>0</v>
      </c>
      <c r="BB1483" s="31">
        <f t="shared" si="1103"/>
        <v>0</v>
      </c>
      <c r="BM1483" s="8">
        <f t="shared" si="1104"/>
        <v>0</v>
      </c>
      <c r="BN1483" s="8">
        <f t="shared" si="1075"/>
        <v>0</v>
      </c>
      <c r="BO1483" s="8">
        <f t="shared" si="1076"/>
        <v>0</v>
      </c>
      <c r="BQ1483" s="8">
        <f t="shared" si="1077"/>
        <v>0</v>
      </c>
      <c r="BR1483" s="63">
        <f t="shared" si="1078"/>
        <v>0</v>
      </c>
      <c r="BS1483" s="63">
        <f t="shared" si="1105"/>
        <v>0</v>
      </c>
      <c r="BT1483" s="63">
        <f t="shared" si="1079"/>
        <v>0</v>
      </c>
      <c r="BU1483" s="63">
        <f t="shared" si="1080"/>
        <v>0</v>
      </c>
      <c r="BV1483" s="57">
        <f t="shared" si="1081"/>
        <v>0</v>
      </c>
      <c r="BW1483" s="57">
        <f t="shared" si="1082"/>
        <v>0</v>
      </c>
      <c r="BX1483" s="57">
        <f t="shared" si="1106"/>
        <v>0</v>
      </c>
      <c r="BY1483" s="57">
        <f t="shared" si="1064"/>
        <v>0</v>
      </c>
      <c r="BZ1483" s="8">
        <f t="shared" si="1083"/>
        <v>0</v>
      </c>
      <c r="CA1483" s="8">
        <f t="shared" si="1084"/>
        <v>0</v>
      </c>
      <c r="CB1483" s="8">
        <f t="shared" si="1085"/>
        <v>0</v>
      </c>
      <c r="CC1483" s="8">
        <f t="shared" si="1086"/>
        <v>0</v>
      </c>
      <c r="CD1483" s="8">
        <f t="shared" si="1087"/>
        <v>0</v>
      </c>
      <c r="CE1483" s="8">
        <f t="shared" si="1088"/>
        <v>0</v>
      </c>
      <c r="CF1483" s="8">
        <f t="shared" si="1089"/>
        <v>0</v>
      </c>
      <c r="CG1483" s="8">
        <f t="shared" si="1090"/>
        <v>0</v>
      </c>
      <c r="CH1483" s="8">
        <f t="shared" si="1091"/>
        <v>0</v>
      </c>
      <c r="CI1483" s="8">
        <f t="shared" si="1092"/>
        <v>0</v>
      </c>
      <c r="CJ1483" s="8">
        <f t="shared" si="1093"/>
        <v>0</v>
      </c>
      <c r="CK1483" s="8">
        <f t="shared" si="1094"/>
        <v>0</v>
      </c>
      <c r="CL1483" s="8">
        <f t="shared" si="1095"/>
        <v>0</v>
      </c>
      <c r="CM1483" s="8">
        <f t="shared" si="1096"/>
        <v>0</v>
      </c>
      <c r="CN1483" s="8">
        <f t="shared" si="1097"/>
        <v>0</v>
      </c>
      <c r="CO1483" s="8">
        <f t="shared" si="1098"/>
        <v>0</v>
      </c>
      <c r="CP1483" s="8">
        <f t="shared" si="1099"/>
        <v>0</v>
      </c>
      <c r="CQ1483" s="8">
        <f t="shared" si="1100"/>
        <v>0</v>
      </c>
      <c r="CR1483" s="8">
        <f t="shared" si="1101"/>
        <v>0</v>
      </c>
      <c r="CS1483" s="8">
        <f t="shared" si="1102"/>
        <v>0</v>
      </c>
      <c r="CT1483" s="8">
        <f t="shared" si="1061"/>
        <v>0</v>
      </c>
      <c r="CU1483" s="8">
        <f t="shared" si="1062"/>
        <v>0</v>
      </c>
      <c r="CV1483" s="8">
        <f t="shared" si="1063"/>
        <v>0</v>
      </c>
    </row>
    <row r="1484" spans="1:100" ht="20.5" thickTop="1" thickBot="1" x14ac:dyDescent="0.5">
      <c r="A1484" s="32"/>
      <c r="B1484" s="10"/>
      <c r="C1484" s="10"/>
      <c r="D1484" s="11"/>
      <c r="E1484" s="10"/>
      <c r="F1484" s="10"/>
      <c r="G1484" s="19"/>
      <c r="H1484" s="19"/>
      <c r="I1484" s="19"/>
      <c r="J1484" s="19"/>
      <c r="K1484" s="10"/>
      <c r="L1484" s="10"/>
      <c r="M1484" s="10"/>
      <c r="N1484" s="10"/>
      <c r="O1484" s="18"/>
      <c r="P1484" s="18"/>
      <c r="Q1484" s="21"/>
      <c r="R1484" s="20"/>
      <c r="S1484" s="16">
        <f t="shared" si="1065"/>
        <v>0</v>
      </c>
      <c r="T1484" s="11"/>
      <c r="AS1484" s="31">
        <f t="shared" si="1066"/>
        <v>0</v>
      </c>
      <c r="AT1484" s="31">
        <f t="shared" si="1067"/>
        <v>0</v>
      </c>
      <c r="AU1484" s="31">
        <f t="shared" si="1068"/>
        <v>0</v>
      </c>
      <c r="AV1484" s="31">
        <f t="shared" si="1069"/>
        <v>0</v>
      </c>
      <c r="AW1484" s="31">
        <f t="shared" si="1070"/>
        <v>0</v>
      </c>
      <c r="AX1484" s="31">
        <f t="shared" si="1071"/>
        <v>0</v>
      </c>
      <c r="AY1484" s="31">
        <f t="shared" si="1072"/>
        <v>0</v>
      </c>
      <c r="AZ1484" s="31">
        <f t="shared" si="1073"/>
        <v>0</v>
      </c>
      <c r="BA1484" s="31">
        <f t="shared" si="1074"/>
        <v>0</v>
      </c>
      <c r="BB1484" s="31">
        <f t="shared" si="1103"/>
        <v>0</v>
      </c>
      <c r="BM1484" s="8">
        <f t="shared" si="1104"/>
        <v>0</v>
      </c>
      <c r="BN1484" s="8">
        <f t="shared" si="1075"/>
        <v>0</v>
      </c>
      <c r="BO1484" s="8">
        <f t="shared" si="1076"/>
        <v>0</v>
      </c>
      <c r="BQ1484" s="8">
        <f t="shared" si="1077"/>
        <v>0</v>
      </c>
      <c r="BR1484" s="63">
        <f t="shared" si="1078"/>
        <v>0</v>
      </c>
      <c r="BS1484" s="63">
        <f t="shared" si="1105"/>
        <v>0</v>
      </c>
      <c r="BT1484" s="63">
        <f t="shared" si="1079"/>
        <v>0</v>
      </c>
      <c r="BU1484" s="63">
        <f t="shared" si="1080"/>
        <v>0</v>
      </c>
      <c r="BV1484" s="57">
        <f t="shared" si="1081"/>
        <v>0</v>
      </c>
      <c r="BW1484" s="57">
        <f t="shared" si="1082"/>
        <v>0</v>
      </c>
      <c r="BX1484" s="57">
        <f t="shared" si="1106"/>
        <v>0</v>
      </c>
      <c r="BY1484" s="57">
        <f t="shared" si="1064"/>
        <v>0</v>
      </c>
      <c r="BZ1484" s="8">
        <f t="shared" si="1083"/>
        <v>0</v>
      </c>
      <c r="CA1484" s="8">
        <f t="shared" si="1084"/>
        <v>0</v>
      </c>
      <c r="CB1484" s="8">
        <f t="shared" si="1085"/>
        <v>0</v>
      </c>
      <c r="CC1484" s="8">
        <f t="shared" si="1086"/>
        <v>0</v>
      </c>
      <c r="CD1484" s="8">
        <f t="shared" si="1087"/>
        <v>0</v>
      </c>
      <c r="CE1484" s="8">
        <f t="shared" si="1088"/>
        <v>0</v>
      </c>
      <c r="CF1484" s="8">
        <f t="shared" si="1089"/>
        <v>0</v>
      </c>
      <c r="CG1484" s="8">
        <f t="shared" si="1090"/>
        <v>0</v>
      </c>
      <c r="CH1484" s="8">
        <f t="shared" si="1091"/>
        <v>0</v>
      </c>
      <c r="CI1484" s="8">
        <f t="shared" si="1092"/>
        <v>0</v>
      </c>
      <c r="CJ1484" s="8">
        <f t="shared" si="1093"/>
        <v>0</v>
      </c>
      <c r="CK1484" s="8">
        <f t="shared" si="1094"/>
        <v>0</v>
      </c>
      <c r="CL1484" s="8">
        <f t="shared" si="1095"/>
        <v>0</v>
      </c>
      <c r="CM1484" s="8">
        <f t="shared" si="1096"/>
        <v>0</v>
      </c>
      <c r="CN1484" s="8">
        <f t="shared" si="1097"/>
        <v>0</v>
      </c>
      <c r="CO1484" s="8">
        <f t="shared" si="1098"/>
        <v>0</v>
      </c>
      <c r="CP1484" s="8">
        <f t="shared" si="1099"/>
        <v>0</v>
      </c>
      <c r="CQ1484" s="8">
        <f t="shared" si="1100"/>
        <v>0</v>
      </c>
      <c r="CR1484" s="8">
        <f t="shared" si="1101"/>
        <v>0</v>
      </c>
      <c r="CS1484" s="8">
        <f t="shared" si="1102"/>
        <v>0</v>
      </c>
      <c r="CT1484" s="8">
        <f t="shared" si="1061"/>
        <v>0</v>
      </c>
      <c r="CU1484" s="8">
        <f t="shared" si="1062"/>
        <v>0</v>
      </c>
      <c r="CV1484" s="8">
        <f t="shared" si="1063"/>
        <v>0</v>
      </c>
    </row>
    <row r="1485" spans="1:100" ht="20.5" thickTop="1" thickBot="1" x14ac:dyDescent="0.5">
      <c r="A1485" s="32"/>
      <c r="B1485" s="10"/>
      <c r="C1485" s="10"/>
      <c r="D1485" s="11"/>
      <c r="E1485" s="10"/>
      <c r="F1485" s="10"/>
      <c r="G1485" s="19"/>
      <c r="H1485" s="19"/>
      <c r="I1485" s="19"/>
      <c r="J1485" s="19"/>
      <c r="K1485" s="10"/>
      <c r="L1485" s="10"/>
      <c r="M1485" s="10"/>
      <c r="N1485" s="10"/>
      <c r="O1485" s="18"/>
      <c r="P1485" s="18"/>
      <c r="Q1485" s="21"/>
      <c r="R1485" s="20"/>
      <c r="S1485" s="16">
        <f t="shared" si="1065"/>
        <v>0</v>
      </c>
      <c r="T1485" s="11"/>
      <c r="AS1485" s="31">
        <f t="shared" si="1066"/>
        <v>0</v>
      </c>
      <c r="AT1485" s="31">
        <f t="shared" si="1067"/>
        <v>0</v>
      </c>
      <c r="AU1485" s="31">
        <f t="shared" si="1068"/>
        <v>0</v>
      </c>
      <c r="AV1485" s="31">
        <f t="shared" si="1069"/>
        <v>0</v>
      </c>
      <c r="AW1485" s="31">
        <f t="shared" si="1070"/>
        <v>0</v>
      </c>
      <c r="AX1485" s="31">
        <f t="shared" si="1071"/>
        <v>0</v>
      </c>
      <c r="AY1485" s="31">
        <f t="shared" si="1072"/>
        <v>0</v>
      </c>
      <c r="AZ1485" s="31">
        <f t="shared" si="1073"/>
        <v>0</v>
      </c>
      <c r="BA1485" s="31">
        <f t="shared" si="1074"/>
        <v>0</v>
      </c>
      <c r="BB1485" s="31">
        <f t="shared" si="1103"/>
        <v>0</v>
      </c>
      <c r="BM1485" s="8">
        <f t="shared" si="1104"/>
        <v>0</v>
      </c>
      <c r="BN1485" s="8">
        <f t="shared" si="1075"/>
        <v>0</v>
      </c>
      <c r="BO1485" s="8">
        <f t="shared" si="1076"/>
        <v>0</v>
      </c>
      <c r="BQ1485" s="8">
        <f t="shared" si="1077"/>
        <v>0</v>
      </c>
      <c r="BR1485" s="63">
        <f t="shared" si="1078"/>
        <v>0</v>
      </c>
      <c r="BS1485" s="63">
        <f t="shared" si="1105"/>
        <v>0</v>
      </c>
      <c r="BT1485" s="63">
        <f t="shared" si="1079"/>
        <v>0</v>
      </c>
      <c r="BU1485" s="63">
        <f t="shared" si="1080"/>
        <v>0</v>
      </c>
      <c r="BV1485" s="57">
        <f t="shared" si="1081"/>
        <v>0</v>
      </c>
      <c r="BW1485" s="57">
        <f t="shared" si="1082"/>
        <v>0</v>
      </c>
      <c r="BX1485" s="57">
        <f t="shared" si="1106"/>
        <v>0</v>
      </c>
      <c r="BY1485" s="57">
        <f t="shared" si="1064"/>
        <v>0</v>
      </c>
      <c r="BZ1485" s="8">
        <f t="shared" si="1083"/>
        <v>0</v>
      </c>
      <c r="CA1485" s="8">
        <f t="shared" si="1084"/>
        <v>0</v>
      </c>
      <c r="CB1485" s="8">
        <f t="shared" si="1085"/>
        <v>0</v>
      </c>
      <c r="CC1485" s="8">
        <f t="shared" si="1086"/>
        <v>0</v>
      </c>
      <c r="CD1485" s="8">
        <f t="shared" si="1087"/>
        <v>0</v>
      </c>
      <c r="CE1485" s="8">
        <f t="shared" si="1088"/>
        <v>0</v>
      </c>
      <c r="CF1485" s="8">
        <f t="shared" si="1089"/>
        <v>0</v>
      </c>
      <c r="CG1485" s="8">
        <f t="shared" si="1090"/>
        <v>0</v>
      </c>
      <c r="CH1485" s="8">
        <f t="shared" si="1091"/>
        <v>0</v>
      </c>
      <c r="CI1485" s="8">
        <f t="shared" si="1092"/>
        <v>0</v>
      </c>
      <c r="CJ1485" s="8">
        <f t="shared" si="1093"/>
        <v>0</v>
      </c>
      <c r="CK1485" s="8">
        <f t="shared" si="1094"/>
        <v>0</v>
      </c>
      <c r="CL1485" s="8">
        <f t="shared" si="1095"/>
        <v>0</v>
      </c>
      <c r="CM1485" s="8">
        <f t="shared" si="1096"/>
        <v>0</v>
      </c>
      <c r="CN1485" s="8">
        <f t="shared" si="1097"/>
        <v>0</v>
      </c>
      <c r="CO1485" s="8">
        <f t="shared" si="1098"/>
        <v>0</v>
      </c>
      <c r="CP1485" s="8">
        <f t="shared" si="1099"/>
        <v>0</v>
      </c>
      <c r="CQ1485" s="8">
        <f t="shared" si="1100"/>
        <v>0</v>
      </c>
      <c r="CR1485" s="8">
        <f t="shared" si="1101"/>
        <v>0</v>
      </c>
      <c r="CS1485" s="8">
        <f t="shared" si="1102"/>
        <v>0</v>
      </c>
      <c r="CT1485" s="8">
        <f t="shared" ref="CT1485:CT1500" si="1107">IF(AND(J1485&gt;0,OR(B1485="MB",B1485="new MB")),J1485,0)*4+IF(AND(J1485&gt;0,OR(C1485="MB",C1485="new MB")),J1485,0)*4</f>
        <v>0</v>
      </c>
      <c r="CU1485" s="8">
        <f t="shared" ref="CU1485:CU1500" si="1108">IF(AND(I1485&gt;0,OR(B1485="MB",B1485="new MB")),I1485,0)*4+IF(AND(I1485&gt;0,OR(C1485="MB",C1485="new MB")),I1485,0)*4</f>
        <v>0</v>
      </c>
      <c r="CV1485" s="8">
        <f t="shared" ref="CV1485:CV1500" si="1109">IF(AND(H1485&gt;0,OR(B1485="MB",B1485="new MB")),H1485,0)*4+IF(AND(H1485&gt;0,OR(C1485="MB",C1485="new MB")),H1485,0)*4</f>
        <v>0</v>
      </c>
    </row>
    <row r="1486" spans="1:100" ht="20.5" thickTop="1" thickBot="1" x14ac:dyDescent="0.5">
      <c r="A1486" s="32"/>
      <c r="B1486" s="10"/>
      <c r="C1486" s="10"/>
      <c r="D1486" s="11"/>
      <c r="E1486" s="10"/>
      <c r="F1486" s="10"/>
      <c r="G1486" s="19"/>
      <c r="H1486" s="19"/>
      <c r="I1486" s="19"/>
      <c r="J1486" s="19"/>
      <c r="K1486" s="10"/>
      <c r="L1486" s="10"/>
      <c r="M1486" s="10"/>
      <c r="N1486" s="10"/>
      <c r="O1486" s="18"/>
      <c r="P1486" s="18"/>
      <c r="Q1486" s="21"/>
      <c r="R1486" s="20"/>
      <c r="S1486" s="16">
        <f t="shared" si="1065"/>
        <v>0</v>
      </c>
      <c r="T1486" s="11"/>
      <c r="AS1486" s="31">
        <f t="shared" si="1066"/>
        <v>0</v>
      </c>
      <c r="AT1486" s="31">
        <f t="shared" si="1067"/>
        <v>0</v>
      </c>
      <c r="AU1486" s="31">
        <f t="shared" si="1068"/>
        <v>0</v>
      </c>
      <c r="AV1486" s="31">
        <f t="shared" si="1069"/>
        <v>0</v>
      </c>
      <c r="AW1486" s="31">
        <f t="shared" si="1070"/>
        <v>0</v>
      </c>
      <c r="AX1486" s="31">
        <f t="shared" si="1071"/>
        <v>0</v>
      </c>
      <c r="AY1486" s="31">
        <f t="shared" si="1072"/>
        <v>0</v>
      </c>
      <c r="AZ1486" s="31">
        <f t="shared" si="1073"/>
        <v>0</v>
      </c>
      <c r="BA1486" s="31">
        <f t="shared" si="1074"/>
        <v>0</v>
      </c>
      <c r="BB1486" s="31">
        <f t="shared" si="1103"/>
        <v>0</v>
      </c>
      <c r="BM1486" s="8">
        <f t="shared" si="1104"/>
        <v>0</v>
      </c>
      <c r="BN1486" s="8">
        <f t="shared" si="1075"/>
        <v>0</v>
      </c>
      <c r="BO1486" s="8">
        <f t="shared" si="1076"/>
        <v>0</v>
      </c>
      <c r="BQ1486" s="8">
        <f t="shared" si="1077"/>
        <v>0</v>
      </c>
      <c r="BR1486" s="63">
        <f t="shared" si="1078"/>
        <v>0</v>
      </c>
      <c r="BS1486" s="63">
        <f t="shared" si="1105"/>
        <v>0</v>
      </c>
      <c r="BT1486" s="63">
        <f t="shared" si="1079"/>
        <v>0</v>
      </c>
      <c r="BU1486" s="63">
        <f t="shared" si="1080"/>
        <v>0</v>
      </c>
      <c r="BV1486" s="57">
        <f t="shared" si="1081"/>
        <v>0</v>
      </c>
      <c r="BW1486" s="57">
        <f t="shared" si="1082"/>
        <v>0</v>
      </c>
      <c r="BX1486" s="57">
        <f t="shared" si="1106"/>
        <v>0</v>
      </c>
      <c r="BY1486" s="57">
        <f t="shared" si="1064"/>
        <v>0</v>
      </c>
      <c r="BZ1486" s="8">
        <f t="shared" si="1083"/>
        <v>0</v>
      </c>
      <c r="CA1486" s="8">
        <f t="shared" si="1084"/>
        <v>0</v>
      </c>
      <c r="CB1486" s="8">
        <f t="shared" si="1085"/>
        <v>0</v>
      </c>
      <c r="CC1486" s="8">
        <f t="shared" si="1086"/>
        <v>0</v>
      </c>
      <c r="CD1486" s="8">
        <f t="shared" si="1087"/>
        <v>0</v>
      </c>
      <c r="CE1486" s="8">
        <f t="shared" si="1088"/>
        <v>0</v>
      </c>
      <c r="CF1486" s="8">
        <f t="shared" si="1089"/>
        <v>0</v>
      </c>
      <c r="CG1486" s="8">
        <f t="shared" si="1090"/>
        <v>0</v>
      </c>
      <c r="CH1486" s="8">
        <f t="shared" si="1091"/>
        <v>0</v>
      </c>
      <c r="CI1486" s="8">
        <f t="shared" si="1092"/>
        <v>0</v>
      </c>
      <c r="CJ1486" s="8">
        <f t="shared" si="1093"/>
        <v>0</v>
      </c>
      <c r="CK1486" s="8">
        <f t="shared" si="1094"/>
        <v>0</v>
      </c>
      <c r="CL1486" s="8">
        <f t="shared" si="1095"/>
        <v>0</v>
      </c>
      <c r="CM1486" s="8">
        <f t="shared" si="1096"/>
        <v>0</v>
      </c>
      <c r="CN1486" s="8">
        <f t="shared" si="1097"/>
        <v>0</v>
      </c>
      <c r="CO1486" s="8">
        <f t="shared" si="1098"/>
        <v>0</v>
      </c>
      <c r="CP1486" s="8">
        <f t="shared" si="1099"/>
        <v>0</v>
      </c>
      <c r="CQ1486" s="8">
        <f t="shared" si="1100"/>
        <v>0</v>
      </c>
      <c r="CR1486" s="8">
        <f t="shared" si="1101"/>
        <v>0</v>
      </c>
      <c r="CS1486" s="8">
        <f t="shared" si="1102"/>
        <v>0</v>
      </c>
      <c r="CT1486" s="8">
        <f t="shared" si="1107"/>
        <v>0</v>
      </c>
      <c r="CU1486" s="8">
        <f t="shared" si="1108"/>
        <v>0</v>
      </c>
      <c r="CV1486" s="8">
        <f t="shared" si="1109"/>
        <v>0</v>
      </c>
    </row>
    <row r="1487" spans="1:100" ht="20.5" thickTop="1" thickBot="1" x14ac:dyDescent="0.5">
      <c r="A1487" s="32"/>
      <c r="B1487" s="10"/>
      <c r="C1487" s="10"/>
      <c r="D1487" s="11"/>
      <c r="E1487" s="10"/>
      <c r="F1487" s="10"/>
      <c r="G1487" s="19"/>
      <c r="H1487" s="19"/>
      <c r="I1487" s="19"/>
      <c r="J1487" s="19"/>
      <c r="K1487" s="10"/>
      <c r="L1487" s="10"/>
      <c r="M1487" s="10"/>
      <c r="N1487" s="10"/>
      <c r="O1487" s="18"/>
      <c r="P1487" s="18"/>
      <c r="Q1487" s="21"/>
      <c r="R1487" s="20"/>
      <c r="S1487" s="16">
        <f t="shared" si="1065"/>
        <v>0</v>
      </c>
      <c r="T1487" s="11"/>
      <c r="AS1487" s="31">
        <f t="shared" si="1066"/>
        <v>0</v>
      </c>
      <c r="AT1487" s="31">
        <f t="shared" si="1067"/>
        <v>0</v>
      </c>
      <c r="AU1487" s="31">
        <f t="shared" si="1068"/>
        <v>0</v>
      </c>
      <c r="AV1487" s="31">
        <f t="shared" si="1069"/>
        <v>0</v>
      </c>
      <c r="AW1487" s="31">
        <f t="shared" si="1070"/>
        <v>0</v>
      </c>
      <c r="AX1487" s="31">
        <f t="shared" si="1071"/>
        <v>0</v>
      </c>
      <c r="AY1487" s="31">
        <f t="shared" si="1072"/>
        <v>0</v>
      </c>
      <c r="AZ1487" s="31">
        <f t="shared" si="1073"/>
        <v>0</v>
      </c>
      <c r="BA1487" s="31">
        <f t="shared" si="1074"/>
        <v>0</v>
      </c>
      <c r="BB1487" s="31">
        <f t="shared" si="1103"/>
        <v>0</v>
      </c>
      <c r="BM1487" s="8">
        <f t="shared" si="1104"/>
        <v>0</v>
      </c>
      <c r="BN1487" s="8">
        <f t="shared" si="1075"/>
        <v>0</v>
      </c>
      <c r="BO1487" s="8">
        <f t="shared" si="1076"/>
        <v>0</v>
      </c>
      <c r="BQ1487" s="8">
        <f t="shared" si="1077"/>
        <v>0</v>
      </c>
      <c r="BR1487" s="63">
        <f t="shared" si="1078"/>
        <v>0</v>
      </c>
      <c r="BS1487" s="63">
        <f t="shared" si="1105"/>
        <v>0</v>
      </c>
      <c r="BT1487" s="63">
        <f t="shared" si="1079"/>
        <v>0</v>
      </c>
      <c r="BU1487" s="63">
        <f t="shared" si="1080"/>
        <v>0</v>
      </c>
      <c r="BV1487" s="57">
        <f t="shared" si="1081"/>
        <v>0</v>
      </c>
      <c r="BW1487" s="57">
        <f t="shared" si="1082"/>
        <v>0</v>
      </c>
      <c r="BX1487" s="57">
        <f t="shared" si="1106"/>
        <v>0</v>
      </c>
      <c r="BY1487" s="57">
        <f t="shared" si="1064"/>
        <v>0</v>
      </c>
      <c r="BZ1487" s="8">
        <f t="shared" si="1083"/>
        <v>0</v>
      </c>
      <c r="CA1487" s="8">
        <f t="shared" si="1084"/>
        <v>0</v>
      </c>
      <c r="CB1487" s="8">
        <f t="shared" si="1085"/>
        <v>0</v>
      </c>
      <c r="CC1487" s="8">
        <f t="shared" si="1086"/>
        <v>0</v>
      </c>
      <c r="CD1487" s="8">
        <f t="shared" si="1087"/>
        <v>0</v>
      </c>
      <c r="CE1487" s="8">
        <f t="shared" si="1088"/>
        <v>0</v>
      </c>
      <c r="CF1487" s="8">
        <f t="shared" si="1089"/>
        <v>0</v>
      </c>
      <c r="CG1487" s="8">
        <f t="shared" si="1090"/>
        <v>0</v>
      </c>
      <c r="CH1487" s="8">
        <f t="shared" si="1091"/>
        <v>0</v>
      </c>
      <c r="CI1487" s="8">
        <f t="shared" si="1092"/>
        <v>0</v>
      </c>
      <c r="CJ1487" s="8">
        <f t="shared" si="1093"/>
        <v>0</v>
      </c>
      <c r="CK1487" s="8">
        <f t="shared" si="1094"/>
        <v>0</v>
      </c>
      <c r="CL1487" s="8">
        <f t="shared" si="1095"/>
        <v>0</v>
      </c>
      <c r="CM1487" s="8">
        <f t="shared" si="1096"/>
        <v>0</v>
      </c>
      <c r="CN1487" s="8">
        <f t="shared" si="1097"/>
        <v>0</v>
      </c>
      <c r="CO1487" s="8">
        <f t="shared" si="1098"/>
        <v>0</v>
      </c>
      <c r="CP1487" s="8">
        <f t="shared" si="1099"/>
        <v>0</v>
      </c>
      <c r="CQ1487" s="8">
        <f t="shared" si="1100"/>
        <v>0</v>
      </c>
      <c r="CR1487" s="8">
        <f t="shared" si="1101"/>
        <v>0</v>
      </c>
      <c r="CS1487" s="8">
        <f t="shared" si="1102"/>
        <v>0</v>
      </c>
      <c r="CT1487" s="8">
        <f t="shared" si="1107"/>
        <v>0</v>
      </c>
      <c r="CU1487" s="8">
        <f t="shared" si="1108"/>
        <v>0</v>
      </c>
      <c r="CV1487" s="8">
        <f t="shared" si="1109"/>
        <v>0</v>
      </c>
    </row>
    <row r="1488" spans="1:100" ht="20.5" thickTop="1" thickBot="1" x14ac:dyDescent="0.5">
      <c r="A1488" s="32"/>
      <c r="B1488" s="10"/>
      <c r="C1488" s="10"/>
      <c r="D1488" s="11"/>
      <c r="E1488" s="10"/>
      <c r="F1488" s="10"/>
      <c r="G1488" s="19"/>
      <c r="H1488" s="19"/>
      <c r="I1488" s="19"/>
      <c r="J1488" s="19"/>
      <c r="K1488" s="10"/>
      <c r="L1488" s="10"/>
      <c r="M1488" s="10"/>
      <c r="N1488" s="10"/>
      <c r="O1488" s="18"/>
      <c r="P1488" s="18"/>
      <c r="Q1488" s="21"/>
      <c r="R1488" s="20"/>
      <c r="S1488" s="16">
        <f t="shared" si="1065"/>
        <v>0</v>
      </c>
      <c r="T1488" s="11"/>
      <c r="AS1488" s="31">
        <f t="shared" si="1066"/>
        <v>0</v>
      </c>
      <c r="AT1488" s="31">
        <f t="shared" si="1067"/>
        <v>0</v>
      </c>
      <c r="AU1488" s="31">
        <f t="shared" si="1068"/>
        <v>0</v>
      </c>
      <c r="AV1488" s="31">
        <f t="shared" si="1069"/>
        <v>0</v>
      </c>
      <c r="AW1488" s="31">
        <f t="shared" si="1070"/>
        <v>0</v>
      </c>
      <c r="AX1488" s="31">
        <f t="shared" si="1071"/>
        <v>0</v>
      </c>
      <c r="AY1488" s="31">
        <f t="shared" si="1072"/>
        <v>0</v>
      </c>
      <c r="AZ1488" s="31">
        <f t="shared" si="1073"/>
        <v>0</v>
      </c>
      <c r="BA1488" s="31">
        <f t="shared" si="1074"/>
        <v>0</v>
      </c>
      <c r="BB1488" s="31">
        <f t="shared" si="1103"/>
        <v>0</v>
      </c>
      <c r="BM1488" s="8">
        <f t="shared" si="1104"/>
        <v>0</v>
      </c>
      <c r="BN1488" s="8">
        <f t="shared" si="1075"/>
        <v>0</v>
      </c>
      <c r="BO1488" s="8">
        <f t="shared" si="1076"/>
        <v>0</v>
      </c>
      <c r="BQ1488" s="8">
        <f t="shared" si="1077"/>
        <v>0</v>
      </c>
      <c r="BR1488" s="63">
        <f t="shared" si="1078"/>
        <v>0</v>
      </c>
      <c r="BS1488" s="63">
        <f t="shared" si="1105"/>
        <v>0</v>
      </c>
      <c r="BT1488" s="63">
        <f t="shared" si="1079"/>
        <v>0</v>
      </c>
      <c r="BU1488" s="63">
        <f t="shared" si="1080"/>
        <v>0</v>
      </c>
      <c r="BV1488" s="57">
        <f t="shared" si="1081"/>
        <v>0</v>
      </c>
      <c r="BW1488" s="57">
        <f t="shared" si="1082"/>
        <v>0</v>
      </c>
      <c r="BX1488" s="57">
        <f t="shared" si="1106"/>
        <v>0</v>
      </c>
      <c r="BY1488" s="57">
        <f t="shared" si="1064"/>
        <v>0</v>
      </c>
      <c r="BZ1488" s="8">
        <f t="shared" si="1083"/>
        <v>0</v>
      </c>
      <c r="CA1488" s="8">
        <f t="shared" si="1084"/>
        <v>0</v>
      </c>
      <c r="CB1488" s="8">
        <f t="shared" si="1085"/>
        <v>0</v>
      </c>
      <c r="CC1488" s="8">
        <f t="shared" si="1086"/>
        <v>0</v>
      </c>
      <c r="CD1488" s="8">
        <f t="shared" si="1087"/>
        <v>0</v>
      </c>
      <c r="CE1488" s="8">
        <f t="shared" si="1088"/>
        <v>0</v>
      </c>
      <c r="CF1488" s="8">
        <f t="shared" si="1089"/>
        <v>0</v>
      </c>
      <c r="CG1488" s="8">
        <f t="shared" si="1090"/>
        <v>0</v>
      </c>
      <c r="CH1488" s="8">
        <f t="shared" si="1091"/>
        <v>0</v>
      </c>
      <c r="CI1488" s="8">
        <f t="shared" si="1092"/>
        <v>0</v>
      </c>
      <c r="CJ1488" s="8">
        <f t="shared" si="1093"/>
        <v>0</v>
      </c>
      <c r="CK1488" s="8">
        <f t="shared" si="1094"/>
        <v>0</v>
      </c>
      <c r="CL1488" s="8">
        <f t="shared" si="1095"/>
        <v>0</v>
      </c>
      <c r="CM1488" s="8">
        <f t="shared" si="1096"/>
        <v>0</v>
      </c>
      <c r="CN1488" s="8">
        <f t="shared" si="1097"/>
        <v>0</v>
      </c>
      <c r="CO1488" s="8">
        <f t="shared" si="1098"/>
        <v>0</v>
      </c>
      <c r="CP1488" s="8">
        <f t="shared" si="1099"/>
        <v>0</v>
      </c>
      <c r="CQ1488" s="8">
        <f t="shared" si="1100"/>
        <v>0</v>
      </c>
      <c r="CR1488" s="8">
        <f t="shared" si="1101"/>
        <v>0</v>
      </c>
      <c r="CS1488" s="8">
        <f t="shared" si="1102"/>
        <v>0</v>
      </c>
      <c r="CT1488" s="8">
        <f t="shared" si="1107"/>
        <v>0</v>
      </c>
      <c r="CU1488" s="8">
        <f t="shared" si="1108"/>
        <v>0</v>
      </c>
      <c r="CV1488" s="8">
        <f t="shared" si="1109"/>
        <v>0</v>
      </c>
    </row>
    <row r="1489" spans="1:100" ht="20.5" thickTop="1" thickBot="1" x14ac:dyDescent="0.5">
      <c r="A1489" s="32"/>
      <c r="B1489" s="10"/>
      <c r="C1489" s="10"/>
      <c r="D1489" s="11"/>
      <c r="E1489" s="10"/>
      <c r="F1489" s="10"/>
      <c r="G1489" s="19"/>
      <c r="H1489" s="19"/>
      <c r="I1489" s="19"/>
      <c r="J1489" s="19"/>
      <c r="K1489" s="10"/>
      <c r="L1489" s="10"/>
      <c r="M1489" s="10"/>
      <c r="N1489" s="10"/>
      <c r="O1489" s="18"/>
      <c r="P1489" s="18"/>
      <c r="Q1489" s="21"/>
      <c r="R1489" s="20"/>
      <c r="S1489" s="16">
        <f t="shared" si="1065"/>
        <v>0</v>
      </c>
      <c r="T1489" s="11"/>
      <c r="AS1489" s="31">
        <f t="shared" si="1066"/>
        <v>0</v>
      </c>
      <c r="AT1489" s="31">
        <f t="shared" si="1067"/>
        <v>0</v>
      </c>
      <c r="AU1489" s="31">
        <f t="shared" si="1068"/>
        <v>0</v>
      </c>
      <c r="AV1489" s="31">
        <f t="shared" si="1069"/>
        <v>0</v>
      </c>
      <c r="AW1489" s="31">
        <f t="shared" si="1070"/>
        <v>0</v>
      </c>
      <c r="AX1489" s="31">
        <f t="shared" si="1071"/>
        <v>0</v>
      </c>
      <c r="AY1489" s="31">
        <f t="shared" si="1072"/>
        <v>0</v>
      </c>
      <c r="AZ1489" s="31">
        <f t="shared" si="1073"/>
        <v>0</v>
      </c>
      <c r="BA1489" s="31">
        <f t="shared" si="1074"/>
        <v>0</v>
      </c>
      <c r="BB1489" s="31">
        <f t="shared" si="1103"/>
        <v>0</v>
      </c>
      <c r="BM1489" s="8">
        <f t="shared" si="1104"/>
        <v>0</v>
      </c>
      <c r="BN1489" s="8">
        <f t="shared" si="1075"/>
        <v>0</v>
      </c>
      <c r="BO1489" s="8">
        <f t="shared" si="1076"/>
        <v>0</v>
      </c>
      <c r="BQ1489" s="8">
        <f t="shared" si="1077"/>
        <v>0</v>
      </c>
      <c r="BR1489" s="63">
        <f t="shared" si="1078"/>
        <v>0</v>
      </c>
      <c r="BS1489" s="63">
        <f t="shared" si="1105"/>
        <v>0</v>
      </c>
      <c r="BT1489" s="63">
        <f t="shared" si="1079"/>
        <v>0</v>
      </c>
      <c r="BU1489" s="63">
        <f t="shared" si="1080"/>
        <v>0</v>
      </c>
      <c r="BV1489" s="57">
        <f t="shared" si="1081"/>
        <v>0</v>
      </c>
      <c r="BW1489" s="57">
        <f t="shared" si="1082"/>
        <v>0</v>
      </c>
      <c r="BX1489" s="57">
        <f t="shared" si="1106"/>
        <v>0</v>
      </c>
      <c r="BY1489" s="57">
        <f t="shared" si="1064"/>
        <v>0</v>
      </c>
      <c r="BZ1489" s="8">
        <f t="shared" si="1083"/>
        <v>0</v>
      </c>
      <c r="CA1489" s="8">
        <f t="shared" si="1084"/>
        <v>0</v>
      </c>
      <c r="CB1489" s="8">
        <f t="shared" si="1085"/>
        <v>0</v>
      </c>
      <c r="CC1489" s="8">
        <f t="shared" si="1086"/>
        <v>0</v>
      </c>
      <c r="CD1489" s="8">
        <f t="shared" si="1087"/>
        <v>0</v>
      </c>
      <c r="CE1489" s="8">
        <f t="shared" si="1088"/>
        <v>0</v>
      </c>
      <c r="CF1489" s="8">
        <f t="shared" si="1089"/>
        <v>0</v>
      </c>
      <c r="CG1489" s="8">
        <f t="shared" si="1090"/>
        <v>0</v>
      </c>
      <c r="CH1489" s="8">
        <f t="shared" si="1091"/>
        <v>0</v>
      </c>
      <c r="CI1489" s="8">
        <f t="shared" si="1092"/>
        <v>0</v>
      </c>
      <c r="CJ1489" s="8">
        <f t="shared" si="1093"/>
        <v>0</v>
      </c>
      <c r="CK1489" s="8">
        <f t="shared" si="1094"/>
        <v>0</v>
      </c>
      <c r="CL1489" s="8">
        <f t="shared" si="1095"/>
        <v>0</v>
      </c>
      <c r="CM1489" s="8">
        <f t="shared" si="1096"/>
        <v>0</v>
      </c>
      <c r="CN1489" s="8">
        <f t="shared" si="1097"/>
        <v>0</v>
      </c>
      <c r="CO1489" s="8">
        <f t="shared" si="1098"/>
        <v>0</v>
      </c>
      <c r="CP1489" s="8">
        <f t="shared" si="1099"/>
        <v>0</v>
      </c>
      <c r="CQ1489" s="8">
        <f t="shared" si="1100"/>
        <v>0</v>
      </c>
      <c r="CR1489" s="8">
        <f t="shared" si="1101"/>
        <v>0</v>
      </c>
      <c r="CS1489" s="8">
        <f t="shared" si="1102"/>
        <v>0</v>
      </c>
      <c r="CT1489" s="8">
        <f t="shared" si="1107"/>
        <v>0</v>
      </c>
      <c r="CU1489" s="8">
        <f t="shared" si="1108"/>
        <v>0</v>
      </c>
      <c r="CV1489" s="8">
        <f t="shared" si="1109"/>
        <v>0</v>
      </c>
    </row>
    <row r="1490" spans="1:100" ht="20.5" thickTop="1" thickBot="1" x14ac:dyDescent="0.5">
      <c r="A1490" s="32"/>
      <c r="B1490" s="10"/>
      <c r="C1490" s="10"/>
      <c r="D1490" s="11"/>
      <c r="E1490" s="10"/>
      <c r="F1490" s="10"/>
      <c r="G1490" s="19"/>
      <c r="H1490" s="19"/>
      <c r="I1490" s="19"/>
      <c r="J1490" s="19"/>
      <c r="K1490" s="10"/>
      <c r="L1490" s="10"/>
      <c r="M1490" s="10"/>
      <c r="N1490" s="10"/>
      <c r="O1490" s="18"/>
      <c r="P1490" s="18"/>
      <c r="Q1490" s="21"/>
      <c r="R1490" s="20"/>
      <c r="S1490" s="16">
        <f t="shared" si="1065"/>
        <v>0</v>
      </c>
      <c r="T1490" s="11"/>
      <c r="AS1490" s="31">
        <f t="shared" si="1066"/>
        <v>0</v>
      </c>
      <c r="AT1490" s="31">
        <f t="shared" si="1067"/>
        <v>0</v>
      </c>
      <c r="AU1490" s="31">
        <f t="shared" si="1068"/>
        <v>0</v>
      </c>
      <c r="AV1490" s="31">
        <f t="shared" si="1069"/>
        <v>0</v>
      </c>
      <c r="AW1490" s="31">
        <f t="shared" si="1070"/>
        <v>0</v>
      </c>
      <c r="AX1490" s="31">
        <f t="shared" si="1071"/>
        <v>0</v>
      </c>
      <c r="AY1490" s="31">
        <f t="shared" si="1072"/>
        <v>0</v>
      </c>
      <c r="AZ1490" s="31">
        <f t="shared" si="1073"/>
        <v>0</v>
      </c>
      <c r="BA1490" s="31">
        <f t="shared" si="1074"/>
        <v>0</v>
      </c>
      <c r="BB1490" s="31">
        <f t="shared" si="1103"/>
        <v>0</v>
      </c>
      <c r="BM1490" s="8">
        <f t="shared" si="1104"/>
        <v>0</v>
      </c>
      <c r="BN1490" s="8">
        <f t="shared" si="1075"/>
        <v>0</v>
      </c>
      <c r="BO1490" s="8">
        <f t="shared" si="1076"/>
        <v>0</v>
      </c>
      <c r="BQ1490" s="8">
        <f t="shared" si="1077"/>
        <v>0</v>
      </c>
      <c r="BR1490" s="63">
        <f t="shared" si="1078"/>
        <v>0</v>
      </c>
      <c r="BS1490" s="63">
        <f t="shared" si="1105"/>
        <v>0</v>
      </c>
      <c r="BT1490" s="63">
        <f t="shared" si="1079"/>
        <v>0</v>
      </c>
      <c r="BU1490" s="63">
        <f t="shared" si="1080"/>
        <v>0</v>
      </c>
      <c r="BV1490" s="57">
        <f t="shared" si="1081"/>
        <v>0</v>
      </c>
      <c r="BW1490" s="57">
        <f t="shared" si="1082"/>
        <v>0</v>
      </c>
      <c r="BX1490" s="57">
        <f t="shared" si="1106"/>
        <v>0</v>
      </c>
      <c r="BY1490" s="57">
        <f t="shared" si="1064"/>
        <v>0</v>
      </c>
      <c r="BZ1490" s="8">
        <f t="shared" si="1083"/>
        <v>0</v>
      </c>
      <c r="CA1490" s="8">
        <f t="shared" si="1084"/>
        <v>0</v>
      </c>
      <c r="CB1490" s="8">
        <f t="shared" si="1085"/>
        <v>0</v>
      </c>
      <c r="CC1490" s="8">
        <f t="shared" si="1086"/>
        <v>0</v>
      </c>
      <c r="CD1490" s="8">
        <f t="shared" si="1087"/>
        <v>0</v>
      </c>
      <c r="CE1490" s="8">
        <f t="shared" si="1088"/>
        <v>0</v>
      </c>
      <c r="CF1490" s="8">
        <f t="shared" si="1089"/>
        <v>0</v>
      </c>
      <c r="CG1490" s="8">
        <f t="shared" si="1090"/>
        <v>0</v>
      </c>
      <c r="CH1490" s="8">
        <f t="shared" si="1091"/>
        <v>0</v>
      </c>
      <c r="CI1490" s="8">
        <f t="shared" si="1092"/>
        <v>0</v>
      </c>
      <c r="CJ1490" s="8">
        <f t="shared" si="1093"/>
        <v>0</v>
      </c>
      <c r="CK1490" s="8">
        <f t="shared" si="1094"/>
        <v>0</v>
      </c>
      <c r="CL1490" s="8">
        <f t="shared" si="1095"/>
        <v>0</v>
      </c>
      <c r="CM1490" s="8">
        <f t="shared" si="1096"/>
        <v>0</v>
      </c>
      <c r="CN1490" s="8">
        <f t="shared" si="1097"/>
        <v>0</v>
      </c>
      <c r="CO1490" s="8">
        <f t="shared" si="1098"/>
        <v>0</v>
      </c>
      <c r="CP1490" s="8">
        <f t="shared" si="1099"/>
        <v>0</v>
      </c>
      <c r="CQ1490" s="8">
        <f t="shared" si="1100"/>
        <v>0</v>
      </c>
      <c r="CR1490" s="8">
        <f t="shared" si="1101"/>
        <v>0</v>
      </c>
      <c r="CS1490" s="8">
        <f t="shared" si="1102"/>
        <v>0</v>
      </c>
      <c r="CT1490" s="8">
        <f t="shared" si="1107"/>
        <v>0</v>
      </c>
      <c r="CU1490" s="8">
        <f t="shared" si="1108"/>
        <v>0</v>
      </c>
      <c r="CV1490" s="8">
        <f t="shared" si="1109"/>
        <v>0</v>
      </c>
    </row>
    <row r="1491" spans="1:100" ht="20.5" thickTop="1" thickBot="1" x14ac:dyDescent="0.5">
      <c r="A1491" s="32"/>
      <c r="B1491" s="10"/>
      <c r="C1491" s="10"/>
      <c r="D1491" s="11"/>
      <c r="E1491" s="10"/>
      <c r="F1491" s="10"/>
      <c r="G1491" s="19"/>
      <c r="H1491" s="19"/>
      <c r="I1491" s="19"/>
      <c r="J1491" s="19"/>
      <c r="K1491" s="10"/>
      <c r="L1491" s="10"/>
      <c r="M1491" s="10"/>
      <c r="N1491" s="10"/>
      <c r="O1491" s="18"/>
      <c r="P1491" s="18"/>
      <c r="Q1491" s="21"/>
      <c r="R1491" s="20"/>
      <c r="S1491" s="16">
        <f t="shared" si="1065"/>
        <v>0</v>
      </c>
      <c r="T1491" s="11"/>
      <c r="AS1491" s="31">
        <f t="shared" si="1066"/>
        <v>0</v>
      </c>
      <c r="AT1491" s="31">
        <f t="shared" si="1067"/>
        <v>0</v>
      </c>
      <c r="AU1491" s="31">
        <f t="shared" si="1068"/>
        <v>0</v>
      </c>
      <c r="AV1491" s="31">
        <f t="shared" si="1069"/>
        <v>0</v>
      </c>
      <c r="AW1491" s="31">
        <f t="shared" si="1070"/>
        <v>0</v>
      </c>
      <c r="AX1491" s="31">
        <f t="shared" si="1071"/>
        <v>0</v>
      </c>
      <c r="AY1491" s="31">
        <f t="shared" si="1072"/>
        <v>0</v>
      </c>
      <c r="AZ1491" s="31">
        <f t="shared" si="1073"/>
        <v>0</v>
      </c>
      <c r="BA1491" s="31">
        <f t="shared" si="1074"/>
        <v>0</v>
      </c>
      <c r="BB1491" s="31">
        <f t="shared" si="1103"/>
        <v>0</v>
      </c>
      <c r="BM1491" s="8">
        <f t="shared" si="1104"/>
        <v>0</v>
      </c>
      <c r="BN1491" s="8">
        <f t="shared" si="1075"/>
        <v>0</v>
      </c>
      <c r="BO1491" s="8">
        <f t="shared" si="1076"/>
        <v>0</v>
      </c>
      <c r="BQ1491" s="8">
        <f t="shared" si="1077"/>
        <v>0</v>
      </c>
      <c r="BR1491" s="63">
        <f t="shared" si="1078"/>
        <v>0</v>
      </c>
      <c r="BS1491" s="63">
        <f t="shared" si="1105"/>
        <v>0</v>
      </c>
      <c r="BT1491" s="63">
        <f t="shared" si="1079"/>
        <v>0</v>
      </c>
      <c r="BU1491" s="63">
        <f t="shared" si="1080"/>
        <v>0</v>
      </c>
      <c r="BV1491" s="57">
        <f t="shared" si="1081"/>
        <v>0</v>
      </c>
      <c r="BW1491" s="57">
        <f t="shared" si="1082"/>
        <v>0</v>
      </c>
      <c r="BX1491" s="57">
        <f t="shared" si="1106"/>
        <v>0</v>
      </c>
      <c r="BY1491" s="57">
        <f t="shared" si="1064"/>
        <v>0</v>
      </c>
      <c r="BZ1491" s="8">
        <f t="shared" si="1083"/>
        <v>0</v>
      </c>
      <c r="CA1491" s="8">
        <f t="shared" si="1084"/>
        <v>0</v>
      </c>
      <c r="CB1491" s="8">
        <f t="shared" si="1085"/>
        <v>0</v>
      </c>
      <c r="CC1491" s="8">
        <f t="shared" si="1086"/>
        <v>0</v>
      </c>
      <c r="CD1491" s="8">
        <f t="shared" si="1087"/>
        <v>0</v>
      </c>
      <c r="CE1491" s="8">
        <f t="shared" si="1088"/>
        <v>0</v>
      </c>
      <c r="CF1491" s="8">
        <f t="shared" si="1089"/>
        <v>0</v>
      </c>
      <c r="CG1491" s="8">
        <f t="shared" si="1090"/>
        <v>0</v>
      </c>
      <c r="CH1491" s="8">
        <f t="shared" si="1091"/>
        <v>0</v>
      </c>
      <c r="CI1491" s="8">
        <f t="shared" si="1092"/>
        <v>0</v>
      </c>
      <c r="CJ1491" s="8">
        <f t="shared" si="1093"/>
        <v>0</v>
      </c>
      <c r="CK1491" s="8">
        <f t="shared" si="1094"/>
        <v>0</v>
      </c>
      <c r="CL1491" s="8">
        <f t="shared" si="1095"/>
        <v>0</v>
      </c>
      <c r="CM1491" s="8">
        <f t="shared" si="1096"/>
        <v>0</v>
      </c>
      <c r="CN1491" s="8">
        <f t="shared" si="1097"/>
        <v>0</v>
      </c>
      <c r="CO1491" s="8">
        <f t="shared" si="1098"/>
        <v>0</v>
      </c>
      <c r="CP1491" s="8">
        <f t="shared" si="1099"/>
        <v>0</v>
      </c>
      <c r="CQ1491" s="8">
        <f t="shared" si="1100"/>
        <v>0</v>
      </c>
      <c r="CR1491" s="8">
        <f t="shared" si="1101"/>
        <v>0</v>
      </c>
      <c r="CS1491" s="8">
        <f t="shared" si="1102"/>
        <v>0</v>
      </c>
      <c r="CT1491" s="8">
        <f t="shared" si="1107"/>
        <v>0</v>
      </c>
      <c r="CU1491" s="8">
        <f t="shared" si="1108"/>
        <v>0</v>
      </c>
      <c r="CV1491" s="8">
        <f t="shared" si="1109"/>
        <v>0</v>
      </c>
    </row>
    <row r="1492" spans="1:100" ht="20.5" thickTop="1" thickBot="1" x14ac:dyDescent="0.5">
      <c r="A1492" s="32"/>
      <c r="B1492" s="10"/>
      <c r="C1492" s="10"/>
      <c r="D1492" s="11"/>
      <c r="E1492" s="10"/>
      <c r="F1492" s="10"/>
      <c r="G1492" s="19"/>
      <c r="H1492" s="19"/>
      <c r="I1492" s="19"/>
      <c r="J1492" s="19"/>
      <c r="K1492" s="10"/>
      <c r="L1492" s="10"/>
      <c r="M1492" s="10"/>
      <c r="N1492" s="10"/>
      <c r="O1492" s="18"/>
      <c r="P1492" s="18"/>
      <c r="Q1492" s="21"/>
      <c r="R1492" s="20"/>
      <c r="S1492" s="16">
        <f t="shared" si="1065"/>
        <v>0</v>
      </c>
      <c r="T1492" s="11"/>
      <c r="AS1492" s="31">
        <f t="shared" si="1066"/>
        <v>0</v>
      </c>
      <c r="AT1492" s="31">
        <f t="shared" si="1067"/>
        <v>0</v>
      </c>
      <c r="AU1492" s="31">
        <f t="shared" si="1068"/>
        <v>0</v>
      </c>
      <c r="AV1492" s="31">
        <f t="shared" si="1069"/>
        <v>0</v>
      </c>
      <c r="AW1492" s="31">
        <f t="shared" si="1070"/>
        <v>0</v>
      </c>
      <c r="AX1492" s="31">
        <f t="shared" si="1071"/>
        <v>0</v>
      </c>
      <c r="AY1492" s="31">
        <f t="shared" si="1072"/>
        <v>0</v>
      </c>
      <c r="AZ1492" s="31">
        <f t="shared" si="1073"/>
        <v>0</v>
      </c>
      <c r="BA1492" s="31">
        <f t="shared" si="1074"/>
        <v>0</v>
      </c>
      <c r="BB1492" s="31">
        <f t="shared" si="1103"/>
        <v>0</v>
      </c>
      <c r="BM1492" s="8">
        <f t="shared" si="1104"/>
        <v>0</v>
      </c>
      <c r="BN1492" s="8">
        <f t="shared" si="1075"/>
        <v>0</v>
      </c>
      <c r="BO1492" s="8">
        <f t="shared" si="1076"/>
        <v>0</v>
      </c>
      <c r="BQ1492" s="8">
        <f t="shared" si="1077"/>
        <v>0</v>
      </c>
      <c r="BR1492" s="63">
        <f t="shared" si="1078"/>
        <v>0</v>
      </c>
      <c r="BS1492" s="63">
        <f t="shared" si="1105"/>
        <v>0</v>
      </c>
      <c r="BT1492" s="63">
        <f t="shared" si="1079"/>
        <v>0</v>
      </c>
      <c r="BU1492" s="63">
        <f t="shared" si="1080"/>
        <v>0</v>
      </c>
      <c r="BV1492" s="57">
        <f t="shared" si="1081"/>
        <v>0</v>
      </c>
      <c r="BW1492" s="57">
        <f t="shared" si="1082"/>
        <v>0</v>
      </c>
      <c r="BX1492" s="57">
        <f t="shared" si="1106"/>
        <v>0</v>
      </c>
      <c r="BY1492" s="57">
        <f t="shared" si="1064"/>
        <v>0</v>
      </c>
      <c r="BZ1492" s="8">
        <f t="shared" si="1083"/>
        <v>0</v>
      </c>
      <c r="CA1492" s="8">
        <f t="shared" si="1084"/>
        <v>0</v>
      </c>
      <c r="CB1492" s="8">
        <f t="shared" si="1085"/>
        <v>0</v>
      </c>
      <c r="CC1492" s="8">
        <f t="shared" si="1086"/>
        <v>0</v>
      </c>
      <c r="CD1492" s="8">
        <f t="shared" si="1087"/>
        <v>0</v>
      </c>
      <c r="CE1492" s="8">
        <f t="shared" si="1088"/>
        <v>0</v>
      </c>
      <c r="CF1492" s="8">
        <f t="shared" si="1089"/>
        <v>0</v>
      </c>
      <c r="CG1492" s="8">
        <f t="shared" si="1090"/>
        <v>0</v>
      </c>
      <c r="CH1492" s="8">
        <f t="shared" si="1091"/>
        <v>0</v>
      </c>
      <c r="CI1492" s="8">
        <f t="shared" si="1092"/>
        <v>0</v>
      </c>
      <c r="CJ1492" s="8">
        <f t="shared" si="1093"/>
        <v>0</v>
      </c>
      <c r="CK1492" s="8">
        <f t="shared" si="1094"/>
        <v>0</v>
      </c>
      <c r="CL1492" s="8">
        <f t="shared" si="1095"/>
        <v>0</v>
      </c>
      <c r="CM1492" s="8">
        <f t="shared" si="1096"/>
        <v>0</v>
      </c>
      <c r="CN1492" s="8">
        <f t="shared" si="1097"/>
        <v>0</v>
      </c>
      <c r="CO1492" s="8">
        <f t="shared" si="1098"/>
        <v>0</v>
      </c>
      <c r="CP1492" s="8">
        <f t="shared" si="1099"/>
        <v>0</v>
      </c>
      <c r="CQ1492" s="8">
        <f t="shared" si="1100"/>
        <v>0</v>
      </c>
      <c r="CR1492" s="8">
        <f t="shared" si="1101"/>
        <v>0</v>
      </c>
      <c r="CS1492" s="8">
        <f t="shared" si="1102"/>
        <v>0</v>
      </c>
      <c r="CT1492" s="8">
        <f t="shared" si="1107"/>
        <v>0</v>
      </c>
      <c r="CU1492" s="8">
        <f t="shared" si="1108"/>
        <v>0</v>
      </c>
      <c r="CV1492" s="8">
        <f t="shared" si="1109"/>
        <v>0</v>
      </c>
    </row>
    <row r="1493" spans="1:100" ht="20.5" thickTop="1" thickBot="1" x14ac:dyDescent="0.5">
      <c r="A1493" s="32"/>
      <c r="B1493" s="10"/>
      <c r="C1493" s="10"/>
      <c r="D1493" s="11"/>
      <c r="E1493" s="10"/>
      <c r="F1493" s="10"/>
      <c r="G1493" s="19"/>
      <c r="H1493" s="19"/>
      <c r="I1493" s="19"/>
      <c r="J1493" s="19"/>
      <c r="K1493" s="10"/>
      <c r="L1493" s="10"/>
      <c r="M1493" s="10"/>
      <c r="N1493" s="10"/>
      <c r="O1493" s="18"/>
      <c r="P1493" s="18"/>
      <c r="Q1493" s="21"/>
      <c r="R1493" s="20"/>
      <c r="S1493" s="16">
        <f t="shared" si="1065"/>
        <v>0</v>
      </c>
      <c r="T1493" s="11"/>
      <c r="AS1493" s="31">
        <f t="shared" si="1066"/>
        <v>0</v>
      </c>
      <c r="AT1493" s="31">
        <f t="shared" si="1067"/>
        <v>0</v>
      </c>
      <c r="AU1493" s="31">
        <f t="shared" si="1068"/>
        <v>0</v>
      </c>
      <c r="AV1493" s="31">
        <f t="shared" si="1069"/>
        <v>0</v>
      </c>
      <c r="AW1493" s="31">
        <f t="shared" si="1070"/>
        <v>0</v>
      </c>
      <c r="AX1493" s="31">
        <f t="shared" si="1071"/>
        <v>0</v>
      </c>
      <c r="AY1493" s="31">
        <f t="shared" si="1072"/>
        <v>0</v>
      </c>
      <c r="AZ1493" s="31">
        <f t="shared" si="1073"/>
        <v>0</v>
      </c>
      <c r="BA1493" s="31">
        <f t="shared" si="1074"/>
        <v>0</v>
      </c>
      <c r="BB1493" s="31">
        <f t="shared" si="1103"/>
        <v>0</v>
      </c>
      <c r="BM1493" s="8">
        <f t="shared" si="1104"/>
        <v>0</v>
      </c>
      <c r="BN1493" s="8">
        <f t="shared" si="1075"/>
        <v>0</v>
      </c>
      <c r="BO1493" s="8">
        <f t="shared" si="1076"/>
        <v>0</v>
      </c>
      <c r="BQ1493" s="8">
        <f t="shared" si="1077"/>
        <v>0</v>
      </c>
      <c r="BR1493" s="63">
        <f t="shared" si="1078"/>
        <v>0</v>
      </c>
      <c r="BS1493" s="63">
        <f t="shared" si="1105"/>
        <v>0</v>
      </c>
      <c r="BT1493" s="63">
        <f t="shared" si="1079"/>
        <v>0</v>
      </c>
      <c r="BU1493" s="63">
        <f t="shared" si="1080"/>
        <v>0</v>
      </c>
      <c r="BV1493" s="57">
        <f t="shared" si="1081"/>
        <v>0</v>
      </c>
      <c r="BW1493" s="57">
        <f t="shared" si="1082"/>
        <v>0</v>
      </c>
      <c r="BX1493" s="57">
        <f t="shared" si="1106"/>
        <v>0</v>
      </c>
      <c r="BY1493" s="57">
        <f t="shared" si="1064"/>
        <v>0</v>
      </c>
      <c r="BZ1493" s="8">
        <f t="shared" si="1083"/>
        <v>0</v>
      </c>
      <c r="CA1493" s="8">
        <f t="shared" si="1084"/>
        <v>0</v>
      </c>
      <c r="CB1493" s="8">
        <f t="shared" si="1085"/>
        <v>0</v>
      </c>
      <c r="CC1493" s="8">
        <f t="shared" si="1086"/>
        <v>0</v>
      </c>
      <c r="CD1493" s="8">
        <f t="shared" si="1087"/>
        <v>0</v>
      </c>
      <c r="CE1493" s="8">
        <f t="shared" si="1088"/>
        <v>0</v>
      </c>
      <c r="CF1493" s="8">
        <f t="shared" si="1089"/>
        <v>0</v>
      </c>
      <c r="CG1493" s="8">
        <f t="shared" si="1090"/>
        <v>0</v>
      </c>
      <c r="CH1493" s="8">
        <f t="shared" si="1091"/>
        <v>0</v>
      </c>
      <c r="CI1493" s="8">
        <f t="shared" si="1092"/>
        <v>0</v>
      </c>
      <c r="CJ1493" s="8">
        <f t="shared" si="1093"/>
        <v>0</v>
      </c>
      <c r="CK1493" s="8">
        <f t="shared" si="1094"/>
        <v>0</v>
      </c>
      <c r="CL1493" s="8">
        <f t="shared" si="1095"/>
        <v>0</v>
      </c>
      <c r="CM1493" s="8">
        <f t="shared" si="1096"/>
        <v>0</v>
      </c>
      <c r="CN1493" s="8">
        <f t="shared" si="1097"/>
        <v>0</v>
      </c>
      <c r="CO1493" s="8">
        <f t="shared" si="1098"/>
        <v>0</v>
      </c>
      <c r="CP1493" s="8">
        <f t="shared" si="1099"/>
        <v>0</v>
      </c>
      <c r="CQ1493" s="8">
        <f t="shared" si="1100"/>
        <v>0</v>
      </c>
      <c r="CR1493" s="8">
        <f t="shared" si="1101"/>
        <v>0</v>
      </c>
      <c r="CS1493" s="8">
        <f t="shared" si="1102"/>
        <v>0</v>
      </c>
      <c r="CT1493" s="8">
        <f t="shared" si="1107"/>
        <v>0</v>
      </c>
      <c r="CU1493" s="8">
        <f t="shared" si="1108"/>
        <v>0</v>
      </c>
      <c r="CV1493" s="8">
        <f t="shared" si="1109"/>
        <v>0</v>
      </c>
    </row>
    <row r="1494" spans="1:100" ht="20.5" thickTop="1" thickBot="1" x14ac:dyDescent="0.5">
      <c r="A1494" s="32"/>
      <c r="B1494" s="10"/>
      <c r="C1494" s="10"/>
      <c r="D1494" s="11"/>
      <c r="E1494" s="10"/>
      <c r="F1494" s="10"/>
      <c r="G1494" s="19"/>
      <c r="H1494" s="19"/>
      <c r="I1494" s="19"/>
      <c r="J1494" s="19"/>
      <c r="K1494" s="10"/>
      <c r="L1494" s="10"/>
      <c r="M1494" s="10"/>
      <c r="N1494" s="10"/>
      <c r="O1494" s="18"/>
      <c r="P1494" s="18"/>
      <c r="Q1494" s="21"/>
      <c r="R1494" s="20"/>
      <c r="S1494" s="16">
        <f t="shared" si="1065"/>
        <v>0</v>
      </c>
      <c r="T1494" s="11"/>
      <c r="AS1494" s="31">
        <f t="shared" si="1066"/>
        <v>0</v>
      </c>
      <c r="AT1494" s="31">
        <f t="shared" si="1067"/>
        <v>0</v>
      </c>
      <c r="AU1494" s="31">
        <f t="shared" si="1068"/>
        <v>0</v>
      </c>
      <c r="AV1494" s="31">
        <f t="shared" si="1069"/>
        <v>0</v>
      </c>
      <c r="AW1494" s="31">
        <f t="shared" si="1070"/>
        <v>0</v>
      </c>
      <c r="AX1494" s="31">
        <f t="shared" si="1071"/>
        <v>0</v>
      </c>
      <c r="AY1494" s="31">
        <f t="shared" si="1072"/>
        <v>0</v>
      </c>
      <c r="AZ1494" s="31">
        <f t="shared" si="1073"/>
        <v>0</v>
      </c>
      <c r="BA1494" s="31">
        <f t="shared" si="1074"/>
        <v>0</v>
      </c>
      <c r="BB1494" s="31">
        <f t="shared" si="1103"/>
        <v>0</v>
      </c>
      <c r="BM1494" s="8">
        <f t="shared" si="1104"/>
        <v>0</v>
      </c>
      <c r="BN1494" s="8">
        <f t="shared" si="1075"/>
        <v>0</v>
      </c>
      <c r="BO1494" s="8">
        <f t="shared" si="1076"/>
        <v>0</v>
      </c>
      <c r="BQ1494" s="8">
        <f t="shared" si="1077"/>
        <v>0</v>
      </c>
      <c r="BR1494" s="63">
        <f t="shared" si="1078"/>
        <v>0</v>
      </c>
      <c r="BS1494" s="63">
        <f t="shared" si="1105"/>
        <v>0</v>
      </c>
      <c r="BT1494" s="63">
        <f t="shared" si="1079"/>
        <v>0</v>
      </c>
      <c r="BU1494" s="63">
        <f t="shared" si="1080"/>
        <v>0</v>
      </c>
      <c r="BV1494" s="57">
        <f t="shared" si="1081"/>
        <v>0</v>
      </c>
      <c r="BW1494" s="57">
        <f t="shared" si="1082"/>
        <v>0</v>
      </c>
      <c r="BX1494" s="57">
        <f t="shared" si="1106"/>
        <v>0</v>
      </c>
      <c r="BY1494" s="57">
        <f t="shared" si="1064"/>
        <v>0</v>
      </c>
      <c r="BZ1494" s="8">
        <f t="shared" si="1083"/>
        <v>0</v>
      </c>
      <c r="CA1494" s="8">
        <f t="shared" si="1084"/>
        <v>0</v>
      </c>
      <c r="CB1494" s="8">
        <f t="shared" si="1085"/>
        <v>0</v>
      </c>
      <c r="CC1494" s="8">
        <f t="shared" si="1086"/>
        <v>0</v>
      </c>
      <c r="CD1494" s="8">
        <f t="shared" si="1087"/>
        <v>0</v>
      </c>
      <c r="CE1494" s="8">
        <f t="shared" si="1088"/>
        <v>0</v>
      </c>
      <c r="CF1494" s="8">
        <f t="shared" si="1089"/>
        <v>0</v>
      </c>
      <c r="CG1494" s="8">
        <f t="shared" si="1090"/>
        <v>0</v>
      </c>
      <c r="CH1494" s="8">
        <f t="shared" si="1091"/>
        <v>0</v>
      </c>
      <c r="CI1494" s="8">
        <f t="shared" si="1092"/>
        <v>0</v>
      </c>
      <c r="CJ1494" s="8">
        <f t="shared" si="1093"/>
        <v>0</v>
      </c>
      <c r="CK1494" s="8">
        <f t="shared" si="1094"/>
        <v>0</v>
      </c>
      <c r="CL1494" s="8">
        <f t="shared" si="1095"/>
        <v>0</v>
      </c>
      <c r="CM1494" s="8">
        <f t="shared" si="1096"/>
        <v>0</v>
      </c>
      <c r="CN1494" s="8">
        <f t="shared" si="1097"/>
        <v>0</v>
      </c>
      <c r="CO1494" s="8">
        <f t="shared" si="1098"/>
        <v>0</v>
      </c>
      <c r="CP1494" s="8">
        <f t="shared" si="1099"/>
        <v>0</v>
      </c>
      <c r="CQ1494" s="8">
        <f t="shared" si="1100"/>
        <v>0</v>
      </c>
      <c r="CR1494" s="8">
        <f t="shared" si="1101"/>
        <v>0</v>
      </c>
      <c r="CS1494" s="8">
        <f t="shared" si="1102"/>
        <v>0</v>
      </c>
      <c r="CT1494" s="8">
        <f t="shared" si="1107"/>
        <v>0</v>
      </c>
      <c r="CU1494" s="8">
        <f t="shared" si="1108"/>
        <v>0</v>
      </c>
      <c r="CV1494" s="8">
        <f t="shared" si="1109"/>
        <v>0</v>
      </c>
    </row>
    <row r="1495" spans="1:100" ht="20.5" thickTop="1" thickBot="1" x14ac:dyDescent="0.5">
      <c r="A1495" s="32"/>
      <c r="B1495" s="10"/>
      <c r="C1495" s="10"/>
      <c r="D1495" s="11"/>
      <c r="E1495" s="10"/>
      <c r="F1495" s="10"/>
      <c r="G1495" s="19"/>
      <c r="H1495" s="19"/>
      <c r="I1495" s="19"/>
      <c r="J1495" s="19"/>
      <c r="K1495" s="10"/>
      <c r="L1495" s="10"/>
      <c r="M1495" s="10"/>
      <c r="N1495" s="10"/>
      <c r="O1495" s="18"/>
      <c r="P1495" s="18"/>
      <c r="Q1495" s="21"/>
      <c r="R1495" s="20"/>
      <c r="S1495" s="16">
        <f t="shared" si="1065"/>
        <v>0</v>
      </c>
      <c r="T1495" s="11"/>
      <c r="AS1495" s="31">
        <f t="shared" si="1066"/>
        <v>0</v>
      </c>
      <c r="AT1495" s="31">
        <f t="shared" si="1067"/>
        <v>0</v>
      </c>
      <c r="AU1495" s="31">
        <f t="shared" si="1068"/>
        <v>0</v>
      </c>
      <c r="AV1495" s="31">
        <f t="shared" si="1069"/>
        <v>0</v>
      </c>
      <c r="AW1495" s="31">
        <f t="shared" si="1070"/>
        <v>0</v>
      </c>
      <c r="AX1495" s="31">
        <f t="shared" si="1071"/>
        <v>0</v>
      </c>
      <c r="AY1495" s="31">
        <f t="shared" si="1072"/>
        <v>0</v>
      </c>
      <c r="AZ1495" s="31">
        <f t="shared" si="1073"/>
        <v>0</v>
      </c>
      <c r="BA1495" s="31">
        <f t="shared" si="1074"/>
        <v>0</v>
      </c>
      <c r="BB1495" s="31">
        <f t="shared" si="1103"/>
        <v>0</v>
      </c>
      <c r="BM1495" s="8">
        <f t="shared" si="1104"/>
        <v>0</v>
      </c>
      <c r="BN1495" s="8">
        <f t="shared" si="1075"/>
        <v>0</v>
      </c>
      <c r="BO1495" s="8">
        <f t="shared" si="1076"/>
        <v>0</v>
      </c>
      <c r="BQ1495" s="8">
        <f t="shared" si="1077"/>
        <v>0</v>
      </c>
      <c r="BR1495" s="63">
        <f t="shared" si="1078"/>
        <v>0</v>
      </c>
      <c r="BS1495" s="63">
        <f t="shared" si="1105"/>
        <v>0</v>
      </c>
      <c r="BT1495" s="63">
        <f t="shared" si="1079"/>
        <v>0</v>
      </c>
      <c r="BU1495" s="63">
        <f t="shared" si="1080"/>
        <v>0</v>
      </c>
      <c r="BV1495" s="57">
        <f t="shared" si="1081"/>
        <v>0</v>
      </c>
      <c r="BW1495" s="57">
        <f t="shared" si="1082"/>
        <v>0</v>
      </c>
      <c r="BX1495" s="57">
        <f t="shared" si="1106"/>
        <v>0</v>
      </c>
      <c r="BY1495" s="57">
        <f t="shared" si="1064"/>
        <v>0</v>
      </c>
      <c r="BZ1495" s="8">
        <f t="shared" si="1083"/>
        <v>0</v>
      </c>
      <c r="CA1495" s="8">
        <f t="shared" si="1084"/>
        <v>0</v>
      </c>
      <c r="CB1495" s="8">
        <f t="shared" si="1085"/>
        <v>0</v>
      </c>
      <c r="CC1495" s="8">
        <f t="shared" si="1086"/>
        <v>0</v>
      </c>
      <c r="CD1495" s="8">
        <f t="shared" si="1087"/>
        <v>0</v>
      </c>
      <c r="CE1495" s="8">
        <f t="shared" si="1088"/>
        <v>0</v>
      </c>
      <c r="CF1495" s="8">
        <f t="shared" si="1089"/>
        <v>0</v>
      </c>
      <c r="CG1495" s="8">
        <f t="shared" si="1090"/>
        <v>0</v>
      </c>
      <c r="CH1495" s="8">
        <f t="shared" si="1091"/>
        <v>0</v>
      </c>
      <c r="CI1495" s="8">
        <f t="shared" si="1092"/>
        <v>0</v>
      </c>
      <c r="CJ1495" s="8">
        <f t="shared" si="1093"/>
        <v>0</v>
      </c>
      <c r="CK1495" s="8">
        <f t="shared" si="1094"/>
        <v>0</v>
      </c>
      <c r="CL1495" s="8">
        <f t="shared" si="1095"/>
        <v>0</v>
      </c>
      <c r="CM1495" s="8">
        <f t="shared" si="1096"/>
        <v>0</v>
      </c>
      <c r="CN1495" s="8">
        <f t="shared" si="1097"/>
        <v>0</v>
      </c>
      <c r="CO1495" s="8">
        <f t="shared" si="1098"/>
        <v>0</v>
      </c>
      <c r="CP1495" s="8">
        <f t="shared" si="1099"/>
        <v>0</v>
      </c>
      <c r="CQ1495" s="8">
        <f t="shared" si="1100"/>
        <v>0</v>
      </c>
      <c r="CR1495" s="8">
        <f t="shared" si="1101"/>
        <v>0</v>
      </c>
      <c r="CS1495" s="8">
        <f t="shared" si="1102"/>
        <v>0</v>
      </c>
      <c r="CT1495" s="8">
        <f t="shared" si="1107"/>
        <v>0</v>
      </c>
      <c r="CU1495" s="8">
        <f t="shared" si="1108"/>
        <v>0</v>
      </c>
      <c r="CV1495" s="8">
        <f t="shared" si="1109"/>
        <v>0</v>
      </c>
    </row>
    <row r="1496" spans="1:100" ht="20.5" thickTop="1" thickBot="1" x14ac:dyDescent="0.5">
      <c r="A1496" s="32"/>
      <c r="B1496" s="10"/>
      <c r="C1496" s="10"/>
      <c r="D1496" s="11"/>
      <c r="E1496" s="10"/>
      <c r="F1496" s="10"/>
      <c r="G1496" s="19"/>
      <c r="H1496" s="19"/>
      <c r="I1496" s="19"/>
      <c r="J1496" s="19"/>
      <c r="K1496" s="10"/>
      <c r="L1496" s="10"/>
      <c r="M1496" s="10"/>
      <c r="N1496" s="10"/>
      <c r="O1496" s="18"/>
      <c r="P1496" s="18"/>
      <c r="Q1496" s="21"/>
      <c r="R1496" s="20"/>
      <c r="S1496" s="16">
        <f t="shared" si="1065"/>
        <v>0</v>
      </c>
      <c r="T1496" s="11"/>
      <c r="AS1496" s="31">
        <f t="shared" si="1066"/>
        <v>0</v>
      </c>
      <c r="AT1496" s="31">
        <f t="shared" si="1067"/>
        <v>0</v>
      </c>
      <c r="AU1496" s="31">
        <f t="shared" si="1068"/>
        <v>0</v>
      </c>
      <c r="AV1496" s="31">
        <f t="shared" si="1069"/>
        <v>0</v>
      </c>
      <c r="AW1496" s="31">
        <f t="shared" si="1070"/>
        <v>0</v>
      </c>
      <c r="AX1496" s="31">
        <f t="shared" si="1071"/>
        <v>0</v>
      </c>
      <c r="AY1496" s="31">
        <f t="shared" si="1072"/>
        <v>0</v>
      </c>
      <c r="AZ1496" s="31">
        <f t="shared" si="1073"/>
        <v>0</v>
      </c>
      <c r="BA1496" s="31">
        <f t="shared" si="1074"/>
        <v>0</v>
      </c>
      <c r="BB1496" s="31">
        <f t="shared" si="1103"/>
        <v>0</v>
      </c>
      <c r="BM1496" s="8">
        <f t="shared" si="1104"/>
        <v>0</v>
      </c>
      <c r="BN1496" s="8">
        <f t="shared" si="1075"/>
        <v>0</v>
      </c>
      <c r="BO1496" s="8">
        <f t="shared" si="1076"/>
        <v>0</v>
      </c>
      <c r="BQ1496" s="8">
        <f t="shared" si="1077"/>
        <v>0</v>
      </c>
      <c r="BR1496" s="63">
        <f t="shared" si="1078"/>
        <v>0</v>
      </c>
      <c r="BS1496" s="63">
        <f t="shared" si="1105"/>
        <v>0</v>
      </c>
      <c r="BT1496" s="63">
        <f t="shared" si="1079"/>
        <v>0</v>
      </c>
      <c r="BU1496" s="63">
        <f t="shared" si="1080"/>
        <v>0</v>
      </c>
      <c r="BV1496" s="57">
        <f t="shared" si="1081"/>
        <v>0</v>
      </c>
      <c r="BW1496" s="57">
        <f t="shared" si="1082"/>
        <v>0</v>
      </c>
      <c r="BX1496" s="57">
        <f t="shared" si="1106"/>
        <v>0</v>
      </c>
      <c r="BY1496" s="57">
        <f t="shared" si="1064"/>
        <v>0</v>
      </c>
      <c r="BZ1496" s="8">
        <f t="shared" si="1083"/>
        <v>0</v>
      </c>
      <c r="CA1496" s="8">
        <f t="shared" si="1084"/>
        <v>0</v>
      </c>
      <c r="CB1496" s="8">
        <f t="shared" si="1085"/>
        <v>0</v>
      </c>
      <c r="CC1496" s="8">
        <f t="shared" si="1086"/>
        <v>0</v>
      </c>
      <c r="CD1496" s="8">
        <f t="shared" si="1087"/>
        <v>0</v>
      </c>
      <c r="CE1496" s="8">
        <f t="shared" si="1088"/>
        <v>0</v>
      </c>
      <c r="CF1496" s="8">
        <f t="shared" si="1089"/>
        <v>0</v>
      </c>
      <c r="CG1496" s="8">
        <f t="shared" si="1090"/>
        <v>0</v>
      </c>
      <c r="CH1496" s="8">
        <f t="shared" si="1091"/>
        <v>0</v>
      </c>
      <c r="CI1496" s="8">
        <f t="shared" si="1092"/>
        <v>0</v>
      </c>
      <c r="CJ1496" s="8">
        <f t="shared" si="1093"/>
        <v>0</v>
      </c>
      <c r="CK1496" s="8">
        <f t="shared" si="1094"/>
        <v>0</v>
      </c>
      <c r="CL1496" s="8">
        <f t="shared" si="1095"/>
        <v>0</v>
      </c>
      <c r="CM1496" s="8">
        <f t="shared" si="1096"/>
        <v>0</v>
      </c>
      <c r="CN1496" s="8">
        <f t="shared" si="1097"/>
        <v>0</v>
      </c>
      <c r="CO1496" s="8">
        <f t="shared" si="1098"/>
        <v>0</v>
      </c>
      <c r="CP1496" s="8">
        <f t="shared" si="1099"/>
        <v>0</v>
      </c>
      <c r="CQ1496" s="8">
        <f t="shared" si="1100"/>
        <v>0</v>
      </c>
      <c r="CR1496" s="8">
        <f t="shared" si="1101"/>
        <v>0</v>
      </c>
      <c r="CS1496" s="8">
        <f t="shared" si="1102"/>
        <v>0</v>
      </c>
      <c r="CT1496" s="8">
        <f t="shared" si="1107"/>
        <v>0</v>
      </c>
      <c r="CU1496" s="8">
        <f t="shared" si="1108"/>
        <v>0</v>
      </c>
      <c r="CV1496" s="8">
        <f t="shared" si="1109"/>
        <v>0</v>
      </c>
    </row>
    <row r="1497" spans="1:100" ht="20.5" thickTop="1" thickBot="1" x14ac:dyDescent="0.5">
      <c r="A1497" s="32"/>
      <c r="B1497" s="10"/>
      <c r="C1497" s="10"/>
      <c r="D1497" s="11"/>
      <c r="E1497" s="10"/>
      <c r="F1497" s="10"/>
      <c r="G1497" s="19"/>
      <c r="H1497" s="19"/>
      <c r="I1497" s="19"/>
      <c r="J1497" s="19"/>
      <c r="K1497" s="10"/>
      <c r="L1497" s="10"/>
      <c r="M1497" s="10"/>
      <c r="N1497" s="10"/>
      <c r="O1497" s="18"/>
      <c r="P1497" s="18"/>
      <c r="Q1497" s="21"/>
      <c r="R1497" s="20"/>
      <c r="S1497" s="16">
        <f t="shared" si="1065"/>
        <v>0</v>
      </c>
      <c r="T1497" s="11"/>
      <c r="AS1497" s="31">
        <f t="shared" si="1066"/>
        <v>0</v>
      </c>
      <c r="AT1497" s="31">
        <f t="shared" si="1067"/>
        <v>0</v>
      </c>
      <c r="AU1497" s="31">
        <f t="shared" si="1068"/>
        <v>0</v>
      </c>
      <c r="AV1497" s="31">
        <f t="shared" si="1069"/>
        <v>0</v>
      </c>
      <c r="AW1497" s="31">
        <f t="shared" si="1070"/>
        <v>0</v>
      </c>
      <c r="AX1497" s="31">
        <f t="shared" si="1071"/>
        <v>0</v>
      </c>
      <c r="AY1497" s="31">
        <f t="shared" si="1072"/>
        <v>0</v>
      </c>
      <c r="AZ1497" s="31">
        <f t="shared" si="1073"/>
        <v>0</v>
      </c>
      <c r="BA1497" s="31">
        <f t="shared" si="1074"/>
        <v>0</v>
      </c>
      <c r="BB1497" s="31">
        <f t="shared" si="1103"/>
        <v>0</v>
      </c>
      <c r="BM1497" s="8">
        <f t="shared" si="1104"/>
        <v>0</v>
      </c>
      <c r="BN1497" s="8">
        <f t="shared" si="1075"/>
        <v>0</v>
      </c>
      <c r="BO1497" s="8">
        <f t="shared" si="1076"/>
        <v>0</v>
      </c>
      <c r="BQ1497" s="8">
        <f t="shared" si="1077"/>
        <v>0</v>
      </c>
      <c r="BR1497" s="63">
        <f t="shared" si="1078"/>
        <v>0</v>
      </c>
      <c r="BS1497" s="63">
        <f t="shared" si="1105"/>
        <v>0</v>
      </c>
      <c r="BT1497" s="63">
        <f t="shared" si="1079"/>
        <v>0</v>
      </c>
      <c r="BU1497" s="63">
        <f t="shared" si="1080"/>
        <v>0</v>
      </c>
      <c r="BV1497" s="57">
        <f t="shared" si="1081"/>
        <v>0</v>
      </c>
      <c r="BW1497" s="57">
        <f t="shared" si="1082"/>
        <v>0</v>
      </c>
      <c r="BX1497" s="57">
        <f t="shared" si="1106"/>
        <v>0</v>
      </c>
      <c r="BY1497" s="57">
        <f t="shared" si="1064"/>
        <v>0</v>
      </c>
      <c r="BZ1497" s="8">
        <f t="shared" si="1083"/>
        <v>0</v>
      </c>
      <c r="CA1497" s="8">
        <f t="shared" si="1084"/>
        <v>0</v>
      </c>
      <c r="CB1497" s="8">
        <f t="shared" si="1085"/>
        <v>0</v>
      </c>
      <c r="CC1497" s="8">
        <f t="shared" si="1086"/>
        <v>0</v>
      </c>
      <c r="CD1497" s="8">
        <f t="shared" si="1087"/>
        <v>0</v>
      </c>
      <c r="CE1497" s="8">
        <f t="shared" si="1088"/>
        <v>0</v>
      </c>
      <c r="CF1497" s="8">
        <f t="shared" si="1089"/>
        <v>0</v>
      </c>
      <c r="CG1497" s="8">
        <f t="shared" si="1090"/>
        <v>0</v>
      </c>
      <c r="CH1497" s="8">
        <f t="shared" si="1091"/>
        <v>0</v>
      </c>
      <c r="CI1497" s="8">
        <f t="shared" si="1092"/>
        <v>0</v>
      </c>
      <c r="CJ1497" s="8">
        <f t="shared" si="1093"/>
        <v>0</v>
      </c>
      <c r="CK1497" s="8">
        <f t="shared" si="1094"/>
        <v>0</v>
      </c>
      <c r="CL1497" s="8">
        <f t="shared" si="1095"/>
        <v>0</v>
      </c>
      <c r="CM1497" s="8">
        <f t="shared" si="1096"/>
        <v>0</v>
      </c>
      <c r="CN1497" s="8">
        <f t="shared" si="1097"/>
        <v>0</v>
      </c>
      <c r="CO1497" s="8">
        <f t="shared" si="1098"/>
        <v>0</v>
      </c>
      <c r="CP1497" s="8">
        <f t="shared" si="1099"/>
        <v>0</v>
      </c>
      <c r="CQ1497" s="8">
        <f t="shared" si="1100"/>
        <v>0</v>
      </c>
      <c r="CR1497" s="8">
        <f t="shared" si="1101"/>
        <v>0</v>
      </c>
      <c r="CS1497" s="8">
        <f t="shared" si="1102"/>
        <v>0</v>
      </c>
      <c r="CT1497" s="8">
        <f t="shared" si="1107"/>
        <v>0</v>
      </c>
      <c r="CU1497" s="8">
        <f t="shared" si="1108"/>
        <v>0</v>
      </c>
      <c r="CV1497" s="8">
        <f t="shared" si="1109"/>
        <v>0</v>
      </c>
    </row>
    <row r="1498" spans="1:100" ht="20.5" thickTop="1" thickBot="1" x14ac:dyDescent="0.5">
      <c r="A1498" s="32"/>
      <c r="B1498" s="10"/>
      <c r="C1498" s="10"/>
      <c r="D1498" s="11"/>
      <c r="E1498" s="10"/>
      <c r="F1498" s="10"/>
      <c r="G1498" s="19"/>
      <c r="H1498" s="19"/>
      <c r="I1498" s="19"/>
      <c r="J1498" s="19"/>
      <c r="K1498" s="10"/>
      <c r="L1498" s="10"/>
      <c r="M1498" s="10"/>
      <c r="N1498" s="10"/>
      <c r="O1498" s="18"/>
      <c r="P1498" s="18"/>
      <c r="Q1498" s="21"/>
      <c r="R1498" s="20"/>
      <c r="S1498" s="16">
        <f t="shared" si="1065"/>
        <v>0</v>
      </c>
      <c r="T1498" s="11"/>
      <c r="AS1498" s="31">
        <f t="shared" si="1066"/>
        <v>0</v>
      </c>
      <c r="AT1498" s="31">
        <f t="shared" si="1067"/>
        <v>0</v>
      </c>
      <c r="AU1498" s="31">
        <f t="shared" si="1068"/>
        <v>0</v>
      </c>
      <c r="AV1498" s="31">
        <f t="shared" si="1069"/>
        <v>0</v>
      </c>
      <c r="AW1498" s="31">
        <f t="shared" si="1070"/>
        <v>0</v>
      </c>
      <c r="AX1498" s="31">
        <f t="shared" si="1071"/>
        <v>0</v>
      </c>
      <c r="AY1498" s="31">
        <f t="shared" si="1072"/>
        <v>0</v>
      </c>
      <c r="AZ1498" s="31">
        <f t="shared" si="1073"/>
        <v>0</v>
      </c>
      <c r="BA1498" s="31">
        <f t="shared" si="1074"/>
        <v>0</v>
      </c>
      <c r="BB1498" s="31">
        <f t="shared" si="1103"/>
        <v>0</v>
      </c>
      <c r="BM1498" s="8">
        <f t="shared" si="1104"/>
        <v>0</v>
      </c>
      <c r="BN1498" s="8">
        <f t="shared" si="1075"/>
        <v>0</v>
      </c>
      <c r="BO1498" s="8">
        <f t="shared" si="1076"/>
        <v>0</v>
      </c>
      <c r="BQ1498" s="8">
        <f t="shared" si="1077"/>
        <v>0</v>
      </c>
      <c r="BR1498" s="63">
        <f t="shared" si="1078"/>
        <v>0</v>
      </c>
      <c r="BS1498" s="63">
        <f t="shared" si="1105"/>
        <v>0</v>
      </c>
      <c r="BT1498" s="63">
        <f t="shared" si="1079"/>
        <v>0</v>
      </c>
      <c r="BU1498" s="63">
        <f t="shared" si="1080"/>
        <v>0</v>
      </c>
      <c r="BV1498" s="57">
        <f t="shared" si="1081"/>
        <v>0</v>
      </c>
      <c r="BW1498" s="57">
        <f t="shared" si="1082"/>
        <v>0</v>
      </c>
      <c r="BX1498" s="57">
        <f t="shared" si="1106"/>
        <v>0</v>
      </c>
      <c r="BY1498" s="57">
        <f t="shared" si="1064"/>
        <v>0</v>
      </c>
      <c r="BZ1498" s="8">
        <f t="shared" si="1083"/>
        <v>0</v>
      </c>
      <c r="CA1498" s="8">
        <f t="shared" si="1084"/>
        <v>0</v>
      </c>
      <c r="CB1498" s="8">
        <f t="shared" si="1085"/>
        <v>0</v>
      </c>
      <c r="CC1498" s="8">
        <f t="shared" si="1086"/>
        <v>0</v>
      </c>
      <c r="CD1498" s="8">
        <f t="shared" si="1087"/>
        <v>0</v>
      </c>
      <c r="CE1498" s="8">
        <f t="shared" si="1088"/>
        <v>0</v>
      </c>
      <c r="CF1498" s="8">
        <f t="shared" si="1089"/>
        <v>0</v>
      </c>
      <c r="CG1498" s="8">
        <f t="shared" si="1090"/>
        <v>0</v>
      </c>
      <c r="CH1498" s="8">
        <f t="shared" si="1091"/>
        <v>0</v>
      </c>
      <c r="CI1498" s="8">
        <f t="shared" si="1092"/>
        <v>0</v>
      </c>
      <c r="CJ1498" s="8">
        <f t="shared" si="1093"/>
        <v>0</v>
      </c>
      <c r="CK1498" s="8">
        <f t="shared" si="1094"/>
        <v>0</v>
      </c>
      <c r="CL1498" s="8">
        <f t="shared" si="1095"/>
        <v>0</v>
      </c>
      <c r="CM1498" s="8">
        <f t="shared" si="1096"/>
        <v>0</v>
      </c>
      <c r="CN1498" s="8">
        <f t="shared" si="1097"/>
        <v>0</v>
      </c>
      <c r="CO1498" s="8">
        <f t="shared" si="1098"/>
        <v>0</v>
      </c>
      <c r="CP1498" s="8">
        <f t="shared" si="1099"/>
        <v>0</v>
      </c>
      <c r="CQ1498" s="8">
        <f t="shared" si="1100"/>
        <v>0</v>
      </c>
      <c r="CR1498" s="8">
        <f t="shared" si="1101"/>
        <v>0</v>
      </c>
      <c r="CS1498" s="8">
        <f t="shared" si="1102"/>
        <v>0</v>
      </c>
      <c r="CT1498" s="8">
        <f t="shared" si="1107"/>
        <v>0</v>
      </c>
      <c r="CU1498" s="8">
        <f t="shared" si="1108"/>
        <v>0</v>
      </c>
      <c r="CV1498" s="8">
        <f t="shared" si="1109"/>
        <v>0</v>
      </c>
    </row>
    <row r="1499" spans="1:100" ht="20.5" thickTop="1" thickBot="1" x14ac:dyDescent="0.5">
      <c r="A1499" s="32"/>
      <c r="B1499" s="10"/>
      <c r="C1499" s="10"/>
      <c r="D1499" s="11"/>
      <c r="E1499" s="10"/>
      <c r="F1499" s="10"/>
      <c r="G1499" s="19"/>
      <c r="H1499" s="19"/>
      <c r="I1499" s="19"/>
      <c r="J1499" s="19"/>
      <c r="K1499" s="10"/>
      <c r="L1499" s="10"/>
      <c r="M1499" s="10"/>
      <c r="N1499" s="10"/>
      <c r="O1499" s="18"/>
      <c r="P1499" s="18"/>
      <c r="Q1499" s="21"/>
      <c r="R1499" s="20"/>
      <c r="S1499" s="16">
        <f t="shared" si="1065"/>
        <v>0</v>
      </c>
      <c r="T1499" s="11"/>
      <c r="AS1499" s="31">
        <f t="shared" si="1066"/>
        <v>0</v>
      </c>
      <c r="AT1499" s="31">
        <f t="shared" si="1067"/>
        <v>0</v>
      </c>
      <c r="AU1499" s="31">
        <f t="shared" si="1068"/>
        <v>0</v>
      </c>
      <c r="AV1499" s="31">
        <f t="shared" si="1069"/>
        <v>0</v>
      </c>
      <c r="AW1499" s="31">
        <f t="shared" si="1070"/>
        <v>0</v>
      </c>
      <c r="AX1499" s="31">
        <f t="shared" si="1071"/>
        <v>0</v>
      </c>
      <c r="AY1499" s="31">
        <f t="shared" si="1072"/>
        <v>0</v>
      </c>
      <c r="AZ1499" s="31">
        <f t="shared" si="1073"/>
        <v>0</v>
      </c>
      <c r="BA1499" s="31">
        <f t="shared" si="1074"/>
        <v>0</v>
      </c>
      <c r="BB1499" s="31">
        <f t="shared" si="1103"/>
        <v>0</v>
      </c>
      <c r="BM1499" s="8">
        <f t="shared" si="1104"/>
        <v>0</v>
      </c>
      <c r="BN1499" s="8">
        <f t="shared" si="1075"/>
        <v>0</v>
      </c>
      <c r="BO1499" s="8">
        <f t="shared" si="1076"/>
        <v>0</v>
      </c>
      <c r="BQ1499" s="8">
        <f t="shared" si="1077"/>
        <v>0</v>
      </c>
      <c r="BR1499" s="63">
        <f t="shared" si="1078"/>
        <v>0</v>
      </c>
      <c r="BS1499" s="63">
        <f t="shared" si="1105"/>
        <v>0</v>
      </c>
      <c r="BT1499" s="63">
        <f t="shared" si="1079"/>
        <v>0</v>
      </c>
      <c r="BU1499" s="63">
        <f t="shared" si="1080"/>
        <v>0</v>
      </c>
      <c r="BV1499" s="57">
        <f t="shared" si="1081"/>
        <v>0</v>
      </c>
      <c r="BW1499" s="57">
        <f t="shared" si="1082"/>
        <v>0</v>
      </c>
      <c r="BX1499" s="57">
        <f t="shared" si="1106"/>
        <v>0</v>
      </c>
      <c r="BY1499" s="57">
        <f t="shared" si="1064"/>
        <v>0</v>
      </c>
      <c r="BZ1499" s="8">
        <f t="shared" si="1083"/>
        <v>0</v>
      </c>
      <c r="CA1499" s="8">
        <f t="shared" si="1084"/>
        <v>0</v>
      </c>
      <c r="CB1499" s="8">
        <f t="shared" si="1085"/>
        <v>0</v>
      </c>
      <c r="CC1499" s="8">
        <f t="shared" si="1086"/>
        <v>0</v>
      </c>
      <c r="CD1499" s="8">
        <f t="shared" si="1087"/>
        <v>0</v>
      </c>
      <c r="CE1499" s="8">
        <f t="shared" si="1088"/>
        <v>0</v>
      </c>
      <c r="CF1499" s="8">
        <f t="shared" si="1089"/>
        <v>0</v>
      </c>
      <c r="CG1499" s="8">
        <f t="shared" si="1090"/>
        <v>0</v>
      </c>
      <c r="CH1499" s="8">
        <f t="shared" si="1091"/>
        <v>0</v>
      </c>
      <c r="CI1499" s="8">
        <f t="shared" si="1092"/>
        <v>0</v>
      </c>
      <c r="CJ1499" s="8">
        <f t="shared" si="1093"/>
        <v>0</v>
      </c>
      <c r="CK1499" s="8">
        <f t="shared" si="1094"/>
        <v>0</v>
      </c>
      <c r="CL1499" s="8">
        <f t="shared" si="1095"/>
        <v>0</v>
      </c>
      <c r="CM1499" s="8">
        <f t="shared" si="1096"/>
        <v>0</v>
      </c>
      <c r="CN1499" s="8">
        <f t="shared" si="1097"/>
        <v>0</v>
      </c>
      <c r="CO1499" s="8">
        <f t="shared" si="1098"/>
        <v>0</v>
      </c>
      <c r="CP1499" s="8">
        <f t="shared" si="1099"/>
        <v>0</v>
      </c>
      <c r="CQ1499" s="8">
        <f t="shared" si="1100"/>
        <v>0</v>
      </c>
      <c r="CR1499" s="8">
        <f t="shared" si="1101"/>
        <v>0</v>
      </c>
      <c r="CS1499" s="8">
        <f t="shared" si="1102"/>
        <v>0</v>
      </c>
      <c r="CT1499" s="8">
        <f t="shared" si="1107"/>
        <v>0</v>
      </c>
      <c r="CU1499" s="8">
        <f t="shared" si="1108"/>
        <v>0</v>
      </c>
      <c r="CV1499" s="8">
        <f t="shared" si="1109"/>
        <v>0</v>
      </c>
    </row>
    <row r="1500" spans="1:100" ht="20.5" thickTop="1" thickBot="1" x14ac:dyDescent="0.5">
      <c r="A1500" s="32"/>
      <c r="B1500" s="10"/>
      <c r="C1500" s="10"/>
      <c r="D1500" s="11"/>
      <c r="E1500" s="10"/>
      <c r="F1500" s="10"/>
      <c r="G1500" s="19"/>
      <c r="H1500" s="19"/>
      <c r="I1500" s="19"/>
      <c r="J1500" s="19"/>
      <c r="K1500" s="10"/>
      <c r="L1500" s="10"/>
      <c r="M1500" s="10"/>
      <c r="N1500" s="10"/>
      <c r="O1500" s="18"/>
      <c r="P1500" s="18"/>
      <c r="Q1500" s="21"/>
      <c r="R1500" s="20"/>
      <c r="S1500" s="16">
        <f t="shared" si="1065"/>
        <v>0</v>
      </c>
      <c r="T1500" s="11"/>
      <c r="AS1500" s="31">
        <f t="shared" si="1066"/>
        <v>0</v>
      </c>
      <c r="AT1500" s="31">
        <f t="shared" si="1067"/>
        <v>0</v>
      </c>
      <c r="AU1500" s="31">
        <f t="shared" si="1068"/>
        <v>0</v>
      </c>
      <c r="AV1500" s="31">
        <f t="shared" si="1069"/>
        <v>0</v>
      </c>
      <c r="AW1500" s="31">
        <f t="shared" si="1070"/>
        <v>0</v>
      </c>
      <c r="AX1500" s="31">
        <f t="shared" si="1071"/>
        <v>0</v>
      </c>
      <c r="AY1500" s="31">
        <f t="shared" si="1072"/>
        <v>0</v>
      </c>
      <c r="AZ1500" s="31">
        <f t="shared" si="1073"/>
        <v>0</v>
      </c>
      <c r="BA1500" s="31">
        <f t="shared" si="1074"/>
        <v>0</v>
      </c>
      <c r="BB1500" s="31">
        <f t="shared" si="1103"/>
        <v>0</v>
      </c>
      <c r="BM1500" s="8">
        <f t="shared" si="1104"/>
        <v>0</v>
      </c>
      <c r="BN1500" s="8">
        <f t="shared" si="1075"/>
        <v>0</v>
      </c>
      <c r="BO1500" s="8">
        <f t="shared" si="1076"/>
        <v>0</v>
      </c>
      <c r="BQ1500" s="8">
        <f t="shared" si="1077"/>
        <v>0</v>
      </c>
      <c r="BR1500" s="63">
        <f t="shared" si="1078"/>
        <v>0</v>
      </c>
      <c r="BS1500" s="63">
        <f t="shared" si="1105"/>
        <v>0</v>
      </c>
      <c r="BT1500" s="63">
        <f t="shared" si="1079"/>
        <v>0</v>
      </c>
      <c r="BU1500" s="63">
        <f t="shared" si="1080"/>
        <v>0</v>
      </c>
      <c r="BV1500" s="57">
        <f t="shared" si="1081"/>
        <v>0</v>
      </c>
      <c r="BW1500" s="57">
        <f t="shared" si="1082"/>
        <v>0</v>
      </c>
      <c r="BX1500" s="57">
        <f t="shared" si="1106"/>
        <v>0</v>
      </c>
      <c r="BY1500" s="57">
        <f t="shared" si="1064"/>
        <v>0</v>
      </c>
      <c r="BZ1500" s="8">
        <f t="shared" si="1083"/>
        <v>0</v>
      </c>
      <c r="CA1500" s="8">
        <f t="shared" si="1084"/>
        <v>0</v>
      </c>
      <c r="CB1500" s="8">
        <f t="shared" si="1085"/>
        <v>0</v>
      </c>
      <c r="CC1500" s="8">
        <f t="shared" si="1086"/>
        <v>0</v>
      </c>
      <c r="CD1500" s="8">
        <f t="shared" si="1087"/>
        <v>0</v>
      </c>
      <c r="CE1500" s="8">
        <f t="shared" si="1088"/>
        <v>0</v>
      </c>
      <c r="CF1500" s="8">
        <f t="shared" si="1089"/>
        <v>0</v>
      </c>
      <c r="CG1500" s="8">
        <f t="shared" si="1090"/>
        <v>0</v>
      </c>
      <c r="CH1500" s="8">
        <f t="shared" si="1091"/>
        <v>0</v>
      </c>
      <c r="CI1500" s="8">
        <f t="shared" si="1092"/>
        <v>0</v>
      </c>
      <c r="CJ1500" s="8">
        <f t="shared" si="1093"/>
        <v>0</v>
      </c>
      <c r="CK1500" s="8">
        <f t="shared" si="1094"/>
        <v>0</v>
      </c>
      <c r="CL1500" s="8">
        <f t="shared" si="1095"/>
        <v>0</v>
      </c>
      <c r="CM1500" s="8">
        <f t="shared" si="1096"/>
        <v>0</v>
      </c>
      <c r="CN1500" s="8">
        <f t="shared" si="1097"/>
        <v>0</v>
      </c>
      <c r="CO1500" s="8">
        <f t="shared" si="1098"/>
        <v>0</v>
      </c>
      <c r="CP1500" s="8">
        <f t="shared" si="1099"/>
        <v>0</v>
      </c>
      <c r="CQ1500" s="8">
        <f t="shared" si="1100"/>
        <v>0</v>
      </c>
      <c r="CR1500" s="8">
        <f t="shared" si="1101"/>
        <v>0</v>
      </c>
      <c r="CS1500" s="8">
        <f t="shared" si="1102"/>
        <v>0</v>
      </c>
      <c r="CT1500" s="8">
        <f t="shared" si="1107"/>
        <v>0</v>
      </c>
      <c r="CU1500" s="8">
        <f t="shared" si="1108"/>
        <v>0</v>
      </c>
      <c r="CV1500" s="8">
        <f t="shared" si="1109"/>
        <v>0</v>
      </c>
    </row>
    <row r="1501" spans="1:100" ht="19" thickTop="1" x14ac:dyDescent="0.35">
      <c r="AS1501" s="31"/>
      <c r="AT1501" s="31"/>
      <c r="AU1501" s="31"/>
      <c r="AV1501" s="31"/>
      <c r="AW1501" s="31"/>
      <c r="AX1501" s="31"/>
      <c r="AY1501" s="31"/>
      <c r="AZ1501" s="31"/>
      <c r="BA1501" s="31"/>
      <c r="BB1501" s="31"/>
      <c r="BR1501" s="63"/>
      <c r="BS1501" s="63"/>
      <c r="BT1501" s="63"/>
      <c r="BU1501" s="63"/>
      <c r="BV1501" s="57"/>
      <c r="BW1501" s="57"/>
      <c r="BX1501" s="57"/>
      <c r="BY1501" s="57"/>
    </row>
    <row r="1502" spans="1:100" ht="18.5" x14ac:dyDescent="0.35">
      <c r="AS1502" s="31"/>
      <c r="AT1502" s="31"/>
      <c r="AU1502" s="31"/>
      <c r="AV1502" s="31"/>
      <c r="AW1502" s="31"/>
      <c r="AX1502" s="31"/>
      <c r="AY1502" s="31"/>
      <c r="AZ1502" s="31"/>
      <c r="BA1502" s="31"/>
      <c r="BB1502" s="31"/>
      <c r="BR1502" s="63"/>
      <c r="BS1502" s="63"/>
      <c r="BT1502" s="63"/>
      <c r="BU1502" s="63"/>
      <c r="BV1502" s="57"/>
      <c r="BW1502" s="57"/>
      <c r="BX1502" s="57"/>
      <c r="BY1502" s="57"/>
    </row>
    <row r="1503" spans="1:100" ht="18.5" x14ac:dyDescent="0.35">
      <c r="AS1503" s="31"/>
      <c r="AT1503" s="31"/>
      <c r="AU1503" s="31"/>
      <c r="AV1503" s="31"/>
      <c r="AW1503" s="31"/>
      <c r="AX1503" s="31"/>
      <c r="AY1503" s="31"/>
      <c r="AZ1503" s="31"/>
      <c r="BA1503" s="31"/>
      <c r="BB1503" s="31"/>
      <c r="BR1503" s="63"/>
      <c r="BS1503" s="63"/>
      <c r="BT1503" s="63"/>
      <c r="BU1503" s="63"/>
      <c r="BV1503" s="57"/>
      <c r="BW1503" s="57"/>
      <c r="BX1503" s="57"/>
      <c r="BY1503" s="57"/>
    </row>
    <row r="1504" spans="1:100" ht="18.5" x14ac:dyDescent="0.35">
      <c r="AS1504" s="31"/>
      <c r="AT1504" s="31"/>
      <c r="AU1504" s="31"/>
      <c r="AV1504" s="31"/>
      <c r="AW1504" s="31"/>
      <c r="AX1504" s="31"/>
      <c r="AY1504" s="31"/>
      <c r="AZ1504" s="31"/>
      <c r="BA1504" s="31"/>
      <c r="BB1504" s="31"/>
      <c r="BR1504" s="63"/>
      <c r="BS1504" s="63"/>
      <c r="BT1504" s="63"/>
      <c r="BU1504" s="63"/>
      <c r="BV1504" s="57"/>
      <c r="BW1504" s="57"/>
      <c r="BX1504" s="57"/>
      <c r="BY1504" s="57"/>
    </row>
    <row r="1505" spans="45:77" ht="18.5" x14ac:dyDescent="0.35">
      <c r="AS1505" s="31"/>
      <c r="AT1505" s="31"/>
      <c r="AU1505" s="31"/>
      <c r="AV1505" s="31"/>
      <c r="AW1505" s="31"/>
      <c r="AX1505" s="31"/>
      <c r="AY1505" s="31"/>
      <c r="AZ1505" s="31"/>
      <c r="BA1505" s="31"/>
      <c r="BB1505" s="31"/>
      <c r="BR1505" s="63"/>
      <c r="BS1505" s="63"/>
      <c r="BT1505" s="63"/>
      <c r="BU1505" s="63"/>
      <c r="BV1505" s="57"/>
      <c r="BW1505" s="57"/>
      <c r="BX1505" s="57"/>
      <c r="BY1505" s="57"/>
    </row>
    <row r="1506" spans="45:77" ht="18.5" x14ac:dyDescent="0.35">
      <c r="BR1506" s="63"/>
      <c r="BS1506" s="63"/>
      <c r="BT1506" s="63"/>
      <c r="BU1506" s="63"/>
      <c r="BV1506" s="57"/>
      <c r="BW1506" s="57"/>
      <c r="BX1506" s="57"/>
      <c r="BY1506" s="57"/>
    </row>
    <row r="1507" spans="45:77" ht="18.5" x14ac:dyDescent="0.35">
      <c r="BR1507" s="63"/>
      <c r="BS1507" s="63"/>
      <c r="BT1507" s="63"/>
      <c r="BU1507" s="63"/>
      <c r="BV1507" s="57"/>
      <c r="BW1507" s="57"/>
      <c r="BX1507" s="57"/>
      <c r="BY1507" s="57"/>
    </row>
    <row r="1508" spans="45:77" ht="18.5" x14ac:dyDescent="0.35">
      <c r="BR1508" s="63"/>
      <c r="BS1508" s="63"/>
      <c r="BT1508" s="63"/>
      <c r="BU1508" s="63"/>
      <c r="BV1508" s="57"/>
      <c r="BW1508" s="57"/>
      <c r="BX1508" s="57"/>
      <c r="BY1508" s="57"/>
    </row>
    <row r="1509" spans="45:77" ht="18.5" x14ac:dyDescent="0.35">
      <c r="BR1509" s="63"/>
      <c r="BS1509" s="63"/>
      <c r="BT1509" s="63"/>
      <c r="BU1509" s="63"/>
      <c r="BV1509" s="57"/>
      <c r="BW1509" s="57"/>
      <c r="BX1509" s="57"/>
      <c r="BY1509" s="57"/>
    </row>
    <row r="1510" spans="45:77" ht="18.5" x14ac:dyDescent="0.35">
      <c r="BR1510" s="63"/>
      <c r="BS1510" s="63"/>
      <c r="BT1510" s="63"/>
      <c r="BU1510" s="63"/>
      <c r="BV1510" s="57"/>
      <c r="BW1510" s="57"/>
      <c r="BX1510" s="57"/>
      <c r="BY1510" s="57"/>
    </row>
    <row r="1511" spans="45:77" ht="18.5" x14ac:dyDescent="0.35">
      <c r="BR1511" s="63"/>
      <c r="BS1511" s="63"/>
      <c r="BT1511" s="63"/>
      <c r="BU1511" s="63"/>
      <c r="BV1511" s="57"/>
      <c r="BW1511" s="57"/>
      <c r="BX1511" s="57"/>
      <c r="BY1511" s="57"/>
    </row>
    <row r="1512" spans="45:77" ht="18.5" x14ac:dyDescent="0.35">
      <c r="BR1512" s="63"/>
      <c r="BS1512" s="63"/>
      <c r="BT1512" s="63"/>
      <c r="BU1512" s="63"/>
      <c r="BV1512" s="57"/>
      <c r="BW1512" s="57"/>
      <c r="BX1512" s="57"/>
      <c r="BY1512" s="57"/>
    </row>
    <row r="1513" spans="45:77" ht="18.5" x14ac:dyDescent="0.35">
      <c r="BR1513" s="63"/>
      <c r="BS1513" s="63"/>
      <c r="BT1513" s="63"/>
      <c r="BU1513" s="63"/>
      <c r="BV1513" s="57"/>
      <c r="BW1513" s="57"/>
      <c r="BX1513" s="57"/>
      <c r="BY1513" s="57"/>
    </row>
    <row r="1514" spans="45:77" ht="18.5" x14ac:dyDescent="0.35">
      <c r="BR1514" s="63"/>
      <c r="BS1514" s="63"/>
      <c r="BT1514" s="63"/>
      <c r="BU1514" s="63"/>
      <c r="BV1514" s="57"/>
      <c r="BW1514" s="57"/>
      <c r="BX1514" s="57"/>
      <c r="BY1514" s="57"/>
    </row>
    <row r="1515" spans="45:77" ht="18.5" x14ac:dyDescent="0.35">
      <c r="BR1515" s="63"/>
      <c r="BS1515" s="63"/>
      <c r="BT1515" s="63"/>
      <c r="BU1515" s="63"/>
      <c r="BV1515" s="57"/>
      <c r="BW1515" s="57"/>
      <c r="BX1515" s="57"/>
      <c r="BY1515" s="57"/>
    </row>
    <row r="1516" spans="45:77" ht="18.5" x14ac:dyDescent="0.35">
      <c r="BR1516" s="63"/>
      <c r="BS1516" s="63"/>
      <c r="BT1516" s="63"/>
      <c r="BU1516" s="63"/>
      <c r="BV1516" s="57"/>
      <c r="BW1516" s="57"/>
      <c r="BX1516" s="57"/>
      <c r="BY1516" s="57"/>
    </row>
    <row r="1517" spans="45:77" ht="18.5" x14ac:dyDescent="0.35">
      <c r="BR1517" s="63"/>
      <c r="BS1517" s="63"/>
      <c r="BT1517" s="63"/>
      <c r="BU1517" s="63"/>
      <c r="BV1517" s="57"/>
      <c r="BW1517" s="57"/>
      <c r="BX1517" s="57"/>
      <c r="BY1517" s="57"/>
    </row>
    <row r="1518" spans="45:77" ht="18.5" x14ac:dyDescent="0.35">
      <c r="BR1518" s="63"/>
      <c r="BS1518" s="63"/>
      <c r="BT1518" s="63"/>
      <c r="BU1518" s="63"/>
      <c r="BV1518" s="57"/>
      <c r="BW1518" s="57"/>
      <c r="BX1518" s="57"/>
      <c r="BY1518" s="57"/>
    </row>
    <row r="1519" spans="45:77" ht="18.5" x14ac:dyDescent="0.35">
      <c r="BR1519" s="63"/>
      <c r="BS1519" s="63"/>
      <c r="BT1519" s="63"/>
      <c r="BU1519" s="63"/>
      <c r="BV1519" s="57"/>
      <c r="BW1519" s="57"/>
      <c r="BX1519" s="57"/>
      <c r="BY1519" s="57"/>
    </row>
    <row r="1520" spans="45:77" ht="18.5" x14ac:dyDescent="0.35">
      <c r="BR1520" s="63"/>
      <c r="BS1520" s="63"/>
      <c r="BT1520" s="63"/>
      <c r="BU1520" s="63"/>
      <c r="BV1520" s="57"/>
      <c r="BW1520" s="57"/>
      <c r="BX1520" s="57"/>
      <c r="BY1520" s="57"/>
    </row>
    <row r="1521" spans="70:77" ht="18.5" x14ac:dyDescent="0.35">
      <c r="BR1521" s="63"/>
      <c r="BS1521" s="63"/>
      <c r="BT1521" s="63"/>
      <c r="BU1521" s="63"/>
      <c r="BV1521" s="57"/>
      <c r="BW1521" s="57"/>
      <c r="BX1521" s="57"/>
      <c r="BY1521" s="57"/>
    </row>
    <row r="1522" spans="70:77" ht="18.5" x14ac:dyDescent="0.35">
      <c r="BR1522" s="63"/>
      <c r="BS1522" s="63"/>
      <c r="BT1522" s="63"/>
      <c r="BU1522" s="63"/>
      <c r="BV1522" s="57"/>
      <c r="BW1522" s="57"/>
      <c r="BX1522" s="57"/>
      <c r="BY1522" s="57"/>
    </row>
    <row r="1523" spans="70:77" ht="18.5" x14ac:dyDescent="0.35">
      <c r="BR1523" s="63"/>
      <c r="BS1523" s="63"/>
      <c r="BT1523" s="63"/>
      <c r="BU1523" s="63"/>
      <c r="BV1523" s="57"/>
      <c r="BW1523" s="57"/>
      <c r="BX1523" s="57"/>
      <c r="BY1523" s="57"/>
    </row>
    <row r="1524" spans="70:77" ht="18.5" x14ac:dyDescent="0.35">
      <c r="BR1524" s="63"/>
      <c r="BS1524" s="63"/>
      <c r="BT1524" s="63"/>
      <c r="BU1524" s="63"/>
      <c r="BV1524" s="57"/>
      <c r="BW1524" s="57"/>
      <c r="BX1524" s="57"/>
      <c r="BY1524" s="57"/>
    </row>
    <row r="1525" spans="70:77" ht="18.5" x14ac:dyDescent="0.35">
      <c r="BR1525" s="63"/>
      <c r="BS1525" s="63"/>
      <c r="BT1525" s="63"/>
      <c r="BU1525" s="63"/>
      <c r="BV1525" s="57"/>
      <c r="BW1525" s="57"/>
      <c r="BX1525" s="57"/>
      <c r="BY1525" s="57"/>
    </row>
    <row r="1526" spans="70:77" ht="18.5" x14ac:dyDescent="0.35">
      <c r="BR1526" s="63"/>
      <c r="BS1526" s="63"/>
      <c r="BT1526" s="63"/>
      <c r="BU1526" s="63"/>
      <c r="BV1526" s="57"/>
      <c r="BW1526" s="57"/>
      <c r="BX1526" s="57"/>
      <c r="BY1526" s="57"/>
    </row>
    <row r="1527" spans="70:77" ht="18.5" x14ac:dyDescent="0.35">
      <c r="BR1527" s="63"/>
      <c r="BS1527" s="63"/>
      <c r="BT1527" s="63"/>
      <c r="BU1527" s="63"/>
      <c r="BV1527" s="57"/>
      <c r="BW1527" s="57"/>
      <c r="BX1527" s="57"/>
      <c r="BY1527" s="57"/>
    </row>
    <row r="1528" spans="70:77" ht="18.5" x14ac:dyDescent="0.35">
      <c r="BR1528" s="63"/>
      <c r="BS1528" s="63"/>
      <c r="BT1528" s="63"/>
      <c r="BU1528" s="63"/>
      <c r="BV1528" s="57"/>
      <c r="BW1528" s="57"/>
      <c r="BX1528" s="57"/>
      <c r="BY1528" s="57"/>
    </row>
    <row r="1529" spans="70:77" ht="18.5" x14ac:dyDescent="0.35">
      <c r="BR1529" s="63"/>
      <c r="BS1529" s="63"/>
      <c r="BT1529" s="63"/>
      <c r="BU1529" s="63"/>
      <c r="BV1529" s="57"/>
      <c r="BW1529" s="57"/>
      <c r="BX1529" s="57"/>
      <c r="BY1529" s="57"/>
    </row>
    <row r="1530" spans="70:77" ht="18.5" x14ac:dyDescent="0.35">
      <c r="BR1530" s="63"/>
      <c r="BS1530" s="63"/>
      <c r="BT1530" s="63"/>
      <c r="BU1530" s="63"/>
      <c r="BV1530" s="57"/>
      <c r="BW1530" s="57"/>
      <c r="BX1530" s="57"/>
      <c r="BY1530" s="57"/>
    </row>
    <row r="1531" spans="70:77" ht="18.5" x14ac:dyDescent="0.35">
      <c r="BR1531" s="63"/>
      <c r="BS1531" s="63"/>
      <c r="BT1531" s="63"/>
      <c r="BU1531" s="63"/>
      <c r="BV1531" s="57"/>
      <c r="BW1531" s="57"/>
      <c r="BX1531" s="57"/>
      <c r="BY1531" s="57"/>
    </row>
    <row r="1532" spans="70:77" ht="18.5" x14ac:dyDescent="0.35">
      <c r="BR1532" s="63"/>
      <c r="BS1532" s="63"/>
      <c r="BT1532" s="63"/>
      <c r="BU1532" s="63"/>
      <c r="BV1532" s="57"/>
      <c r="BW1532" s="57"/>
      <c r="BX1532" s="57"/>
      <c r="BY1532" s="57"/>
    </row>
    <row r="1533" spans="70:77" ht="18.5" x14ac:dyDescent="0.35">
      <c r="BR1533" s="63"/>
      <c r="BS1533" s="63"/>
      <c r="BT1533" s="63"/>
      <c r="BU1533" s="63"/>
      <c r="BV1533" s="57"/>
      <c r="BW1533" s="57"/>
      <c r="BX1533" s="57"/>
      <c r="BY1533" s="57"/>
    </row>
    <row r="1534" spans="70:77" ht="18.5" x14ac:dyDescent="0.35">
      <c r="BR1534" s="63"/>
      <c r="BS1534" s="63"/>
      <c r="BT1534" s="63"/>
      <c r="BU1534" s="63"/>
      <c r="BV1534" s="57"/>
      <c r="BW1534" s="57"/>
      <c r="BX1534" s="57"/>
      <c r="BY1534" s="57"/>
    </row>
    <row r="1535" spans="70:77" ht="18.5" x14ac:dyDescent="0.35">
      <c r="BR1535" s="63"/>
      <c r="BS1535" s="63"/>
      <c r="BT1535" s="63"/>
      <c r="BU1535" s="63"/>
      <c r="BV1535" s="57"/>
      <c r="BW1535" s="57"/>
      <c r="BX1535" s="57"/>
      <c r="BY1535" s="57"/>
    </row>
    <row r="1536" spans="70:77" ht="18.5" x14ac:dyDescent="0.35">
      <c r="BR1536" s="63"/>
      <c r="BS1536" s="63"/>
      <c r="BT1536" s="63"/>
      <c r="BU1536" s="63"/>
      <c r="BV1536" s="57"/>
      <c r="BW1536" s="57"/>
      <c r="BX1536" s="57"/>
      <c r="BY1536" s="57"/>
    </row>
    <row r="1537" spans="70:77" ht="18.5" x14ac:dyDescent="0.35">
      <c r="BR1537" s="63"/>
      <c r="BS1537" s="63"/>
      <c r="BT1537" s="63"/>
      <c r="BU1537" s="63"/>
      <c r="BV1537" s="57"/>
      <c r="BW1537" s="57"/>
      <c r="BX1537" s="57"/>
      <c r="BY1537" s="57"/>
    </row>
    <row r="1538" spans="70:77" ht="18.5" x14ac:dyDescent="0.35">
      <c r="BR1538" s="63"/>
      <c r="BS1538" s="63"/>
      <c r="BT1538" s="63"/>
      <c r="BU1538" s="63"/>
      <c r="BV1538" s="57"/>
      <c r="BW1538" s="57"/>
      <c r="BX1538" s="57"/>
      <c r="BY1538" s="57"/>
    </row>
    <row r="1539" spans="70:77" ht="18.5" x14ac:dyDescent="0.35">
      <c r="BR1539" s="63"/>
      <c r="BS1539" s="63"/>
      <c r="BT1539" s="63"/>
      <c r="BU1539" s="63"/>
      <c r="BV1539" s="57"/>
      <c r="BW1539" s="57"/>
      <c r="BX1539" s="57"/>
      <c r="BY1539" s="57"/>
    </row>
    <row r="1540" spans="70:77" ht="18.5" x14ac:dyDescent="0.35">
      <c r="BR1540" s="63"/>
      <c r="BS1540" s="63"/>
      <c r="BT1540" s="63"/>
      <c r="BU1540" s="63"/>
      <c r="BV1540" s="57"/>
      <c r="BW1540" s="57"/>
      <c r="BX1540" s="57"/>
      <c r="BY1540" s="57"/>
    </row>
    <row r="1541" spans="70:77" ht="18.5" x14ac:dyDescent="0.35">
      <c r="BR1541" s="63"/>
      <c r="BS1541" s="63"/>
      <c r="BT1541" s="63"/>
      <c r="BU1541" s="63"/>
      <c r="BV1541" s="57"/>
      <c r="BW1541" s="57"/>
      <c r="BX1541" s="57"/>
      <c r="BY1541" s="57"/>
    </row>
    <row r="1542" spans="70:77" ht="18.5" x14ac:dyDescent="0.35">
      <c r="BR1542" s="63"/>
      <c r="BS1542" s="63"/>
      <c r="BT1542" s="63"/>
      <c r="BU1542" s="63"/>
      <c r="BV1542" s="57"/>
      <c r="BW1542" s="57"/>
      <c r="BX1542" s="57"/>
      <c r="BY1542" s="57"/>
    </row>
    <row r="1543" spans="70:77" ht="18.5" x14ac:dyDescent="0.35">
      <c r="BR1543" s="63"/>
      <c r="BS1543" s="63"/>
      <c r="BT1543" s="63"/>
      <c r="BU1543" s="63"/>
      <c r="BV1543" s="57"/>
      <c r="BW1543" s="57"/>
      <c r="BX1543" s="57"/>
      <c r="BY1543" s="57"/>
    </row>
    <row r="1544" spans="70:77" ht="18.5" x14ac:dyDescent="0.35">
      <c r="BR1544" s="63"/>
      <c r="BS1544" s="63"/>
      <c r="BT1544" s="63"/>
      <c r="BU1544" s="63"/>
      <c r="BV1544" s="57"/>
      <c r="BW1544" s="57"/>
      <c r="BX1544" s="57"/>
      <c r="BY1544" s="57"/>
    </row>
    <row r="1545" spans="70:77" ht="18.5" x14ac:dyDescent="0.35">
      <c r="BR1545" s="63"/>
      <c r="BS1545" s="63"/>
      <c r="BT1545" s="63"/>
      <c r="BU1545" s="63"/>
      <c r="BV1545" s="57"/>
      <c r="BW1545" s="57"/>
      <c r="BX1545" s="57"/>
      <c r="BY1545" s="57"/>
    </row>
    <row r="1546" spans="70:77" ht="18.5" x14ac:dyDescent="0.35">
      <c r="BR1546" s="63"/>
      <c r="BS1546" s="63"/>
      <c r="BT1546" s="63"/>
      <c r="BU1546" s="63"/>
      <c r="BV1546" s="57"/>
      <c r="BW1546" s="57"/>
      <c r="BX1546" s="57"/>
      <c r="BY1546" s="57"/>
    </row>
    <row r="1547" spans="70:77" ht="18.5" x14ac:dyDescent="0.35">
      <c r="BR1547" s="63"/>
      <c r="BS1547" s="63"/>
      <c r="BT1547" s="63"/>
      <c r="BU1547" s="63"/>
      <c r="BV1547" s="57"/>
      <c r="BW1547" s="57"/>
      <c r="BX1547" s="57"/>
      <c r="BY1547" s="57"/>
    </row>
    <row r="1548" spans="70:77" ht="18.5" x14ac:dyDescent="0.35">
      <c r="BR1548" s="63"/>
      <c r="BS1548" s="63"/>
      <c r="BT1548" s="63"/>
      <c r="BU1548" s="63"/>
      <c r="BV1548" s="57"/>
      <c r="BW1548" s="57"/>
      <c r="BX1548" s="57"/>
      <c r="BY1548" s="57"/>
    </row>
    <row r="1549" spans="70:77" ht="18.5" x14ac:dyDescent="0.35">
      <c r="BR1549" s="63"/>
      <c r="BS1549" s="63"/>
      <c r="BT1549" s="63"/>
      <c r="BU1549" s="63"/>
      <c r="BV1549" s="57"/>
      <c r="BW1549" s="57"/>
      <c r="BX1549" s="57"/>
      <c r="BY1549" s="57"/>
    </row>
    <row r="1550" spans="70:77" ht="18.5" x14ac:dyDescent="0.35">
      <c r="BR1550" s="63"/>
      <c r="BS1550" s="63"/>
      <c r="BT1550" s="63"/>
      <c r="BU1550" s="63"/>
      <c r="BV1550" s="57"/>
      <c r="BW1550" s="57"/>
      <c r="BX1550" s="57"/>
      <c r="BY1550" s="57"/>
    </row>
    <row r="1551" spans="70:77" ht="18.5" x14ac:dyDescent="0.35">
      <c r="BR1551" s="63"/>
      <c r="BS1551" s="63"/>
      <c r="BT1551" s="63"/>
      <c r="BU1551" s="63"/>
      <c r="BV1551" s="57"/>
      <c r="BW1551" s="57"/>
      <c r="BX1551" s="57"/>
      <c r="BY1551" s="57"/>
    </row>
    <row r="1552" spans="70:77" ht="18.5" x14ac:dyDescent="0.35">
      <c r="BR1552" s="63"/>
      <c r="BS1552" s="63"/>
      <c r="BT1552" s="63"/>
      <c r="BU1552" s="63"/>
      <c r="BV1552" s="57"/>
      <c r="BW1552" s="57"/>
      <c r="BX1552" s="57"/>
      <c r="BY1552" s="57"/>
    </row>
    <row r="1553" spans="70:77" ht="18.5" x14ac:dyDescent="0.35">
      <c r="BR1553" s="63"/>
      <c r="BS1553" s="63"/>
      <c r="BT1553" s="63"/>
      <c r="BU1553" s="63"/>
      <c r="BV1553" s="57"/>
      <c r="BW1553" s="57"/>
      <c r="BX1553" s="57"/>
      <c r="BY1553" s="57"/>
    </row>
    <row r="1554" spans="70:77" ht="18.5" x14ac:dyDescent="0.35">
      <c r="BR1554" s="63"/>
      <c r="BS1554" s="63"/>
      <c r="BT1554" s="63"/>
      <c r="BU1554" s="63"/>
      <c r="BV1554" s="57"/>
      <c r="BW1554" s="57"/>
      <c r="BX1554" s="57"/>
      <c r="BY1554" s="57"/>
    </row>
    <row r="1555" spans="70:77" ht="18.5" x14ac:dyDescent="0.35">
      <c r="BR1555" s="63"/>
      <c r="BS1555" s="63"/>
      <c r="BT1555" s="63"/>
      <c r="BU1555" s="63"/>
      <c r="BV1555" s="57"/>
      <c r="BW1555" s="57"/>
      <c r="BX1555" s="57"/>
      <c r="BY1555" s="57"/>
    </row>
    <row r="1556" spans="70:77" ht="18.5" x14ac:dyDescent="0.35">
      <c r="BR1556" s="63"/>
      <c r="BS1556" s="63"/>
      <c r="BT1556" s="63"/>
      <c r="BU1556" s="63"/>
      <c r="BV1556" s="57"/>
      <c r="BW1556" s="57"/>
      <c r="BX1556" s="57"/>
      <c r="BY1556" s="57"/>
    </row>
    <row r="1557" spans="70:77" ht="18.5" x14ac:dyDescent="0.35">
      <c r="BR1557" s="63"/>
      <c r="BS1557" s="63"/>
      <c r="BT1557" s="63"/>
      <c r="BU1557" s="63"/>
      <c r="BV1557" s="57"/>
      <c r="BW1557" s="57"/>
      <c r="BX1557" s="57"/>
      <c r="BY1557" s="57"/>
    </row>
    <row r="1558" spans="70:77" ht="18.5" x14ac:dyDescent="0.35">
      <c r="BR1558" s="63"/>
      <c r="BS1558" s="63"/>
      <c r="BT1558" s="63"/>
      <c r="BU1558" s="63"/>
      <c r="BV1558" s="57"/>
      <c r="BW1558" s="57"/>
      <c r="BX1558" s="57"/>
      <c r="BY1558" s="57"/>
    </row>
    <row r="1559" spans="70:77" ht="18.5" x14ac:dyDescent="0.35">
      <c r="BR1559" s="63"/>
      <c r="BS1559" s="63"/>
      <c r="BT1559" s="63"/>
      <c r="BU1559" s="63"/>
      <c r="BV1559" s="57"/>
      <c r="BW1559" s="57"/>
      <c r="BX1559" s="57"/>
      <c r="BY1559" s="57"/>
    </row>
    <row r="1560" spans="70:77" ht="18.5" x14ac:dyDescent="0.35">
      <c r="BR1560" s="63"/>
      <c r="BS1560" s="63"/>
      <c r="BT1560" s="63"/>
      <c r="BU1560" s="63"/>
      <c r="BV1560" s="57"/>
      <c r="BW1560" s="57"/>
      <c r="BX1560" s="57"/>
      <c r="BY1560" s="57"/>
    </row>
    <row r="1561" spans="70:77" ht="18.5" x14ac:dyDescent="0.35">
      <c r="BR1561" s="63"/>
      <c r="BS1561" s="63"/>
      <c r="BT1561" s="63"/>
      <c r="BU1561" s="63"/>
      <c r="BV1561" s="57"/>
      <c r="BW1561" s="57"/>
      <c r="BX1561" s="57"/>
      <c r="BY1561" s="57"/>
    </row>
    <row r="1562" spans="70:77" ht="18.5" x14ac:dyDescent="0.35">
      <c r="BR1562" s="63"/>
      <c r="BS1562" s="63"/>
      <c r="BT1562" s="63"/>
      <c r="BU1562" s="63"/>
      <c r="BV1562" s="57"/>
      <c r="BW1562" s="57"/>
      <c r="BX1562" s="57"/>
      <c r="BY1562" s="57"/>
    </row>
    <row r="1563" spans="70:77" ht="18.5" x14ac:dyDescent="0.35">
      <c r="BR1563" s="63"/>
      <c r="BS1563" s="63"/>
      <c r="BT1563" s="63"/>
      <c r="BU1563" s="63"/>
      <c r="BV1563" s="57"/>
      <c r="BW1563" s="57"/>
      <c r="BX1563" s="57"/>
      <c r="BY1563" s="57"/>
    </row>
    <row r="1564" spans="70:77" ht="18.5" x14ac:dyDescent="0.35">
      <c r="BR1564" s="63"/>
      <c r="BS1564" s="63"/>
      <c r="BT1564" s="63"/>
      <c r="BU1564" s="63"/>
      <c r="BV1564" s="57"/>
      <c r="BW1564" s="57"/>
      <c r="BX1564" s="57"/>
      <c r="BY1564" s="57"/>
    </row>
    <row r="1565" spans="70:77" ht="18.5" x14ac:dyDescent="0.35">
      <c r="BR1565" s="63"/>
      <c r="BS1565" s="63"/>
      <c r="BT1565" s="63"/>
      <c r="BU1565" s="63"/>
      <c r="BV1565" s="57"/>
      <c r="BW1565" s="57"/>
      <c r="BX1565" s="57"/>
      <c r="BY1565" s="57"/>
    </row>
    <row r="1566" spans="70:77" ht="18.5" x14ac:dyDescent="0.35">
      <c r="BR1566" s="63"/>
      <c r="BS1566" s="63"/>
      <c r="BT1566" s="63"/>
      <c r="BU1566" s="63"/>
      <c r="BV1566" s="57"/>
      <c r="BW1566" s="57"/>
      <c r="BX1566" s="57"/>
      <c r="BY1566" s="57"/>
    </row>
    <row r="1567" spans="70:77" ht="18.5" x14ac:dyDescent="0.35">
      <c r="BR1567" s="63"/>
      <c r="BS1567" s="63"/>
      <c r="BT1567" s="63"/>
      <c r="BU1567" s="63"/>
      <c r="BV1567" s="57"/>
      <c r="BW1567" s="57"/>
      <c r="BX1567" s="57"/>
      <c r="BY1567" s="57"/>
    </row>
    <row r="1568" spans="70:77" ht="18.5" x14ac:dyDescent="0.35">
      <c r="BR1568" s="63"/>
      <c r="BS1568" s="63"/>
      <c r="BT1568" s="63"/>
      <c r="BU1568" s="63"/>
      <c r="BV1568" s="57"/>
      <c r="BW1568" s="57"/>
      <c r="BX1568" s="57"/>
      <c r="BY1568" s="57"/>
    </row>
    <row r="1569" spans="70:77" ht="18.5" x14ac:dyDescent="0.35">
      <c r="BR1569" s="63"/>
      <c r="BS1569" s="63"/>
      <c r="BT1569" s="63"/>
      <c r="BU1569" s="63"/>
      <c r="BV1569" s="57"/>
      <c r="BW1569" s="57"/>
      <c r="BX1569" s="57"/>
      <c r="BY1569" s="57"/>
    </row>
    <row r="1570" spans="70:77" ht="18.5" x14ac:dyDescent="0.35">
      <c r="BR1570" s="63"/>
      <c r="BS1570" s="63"/>
      <c r="BT1570" s="63"/>
      <c r="BU1570" s="63"/>
      <c r="BV1570" s="57"/>
      <c r="BW1570" s="57"/>
      <c r="BX1570" s="57"/>
      <c r="BY1570" s="57"/>
    </row>
    <row r="1571" spans="70:77" ht="18.5" x14ac:dyDescent="0.35">
      <c r="BR1571" s="63"/>
      <c r="BS1571" s="63"/>
      <c r="BT1571" s="63"/>
      <c r="BU1571" s="63"/>
      <c r="BV1571" s="57"/>
      <c r="BW1571" s="57"/>
      <c r="BX1571" s="57"/>
      <c r="BY1571" s="57"/>
    </row>
    <row r="1572" spans="70:77" ht="18.5" x14ac:dyDescent="0.35">
      <c r="BR1572" s="63"/>
      <c r="BS1572" s="63"/>
      <c r="BT1572" s="63"/>
      <c r="BU1572" s="63"/>
      <c r="BV1572" s="57"/>
      <c r="BW1572" s="57"/>
      <c r="BX1572" s="57"/>
      <c r="BY1572" s="57"/>
    </row>
    <row r="1573" spans="70:77" ht="18.5" x14ac:dyDescent="0.35">
      <c r="BR1573" s="63"/>
      <c r="BS1573" s="63"/>
      <c r="BT1573" s="63"/>
      <c r="BU1573" s="63"/>
      <c r="BV1573" s="57"/>
      <c r="BW1573" s="57"/>
      <c r="BX1573" s="57"/>
      <c r="BY1573" s="57"/>
    </row>
    <row r="1574" spans="70:77" ht="18.5" x14ac:dyDescent="0.35">
      <c r="BR1574" s="63"/>
      <c r="BS1574" s="63"/>
      <c r="BT1574" s="63"/>
      <c r="BU1574" s="63"/>
      <c r="BV1574" s="57"/>
      <c r="BW1574" s="57"/>
      <c r="BX1574" s="57"/>
      <c r="BY1574" s="57"/>
    </row>
    <row r="1575" spans="70:77" ht="18.5" x14ac:dyDescent="0.35">
      <c r="BR1575" s="63"/>
      <c r="BS1575" s="63"/>
      <c r="BT1575" s="63"/>
      <c r="BU1575" s="63"/>
      <c r="BV1575" s="57"/>
      <c r="BW1575" s="57"/>
      <c r="BX1575" s="57"/>
      <c r="BY1575" s="57"/>
    </row>
    <row r="1576" spans="70:77" ht="18.5" x14ac:dyDescent="0.35">
      <c r="BR1576" s="63"/>
      <c r="BS1576" s="63"/>
      <c r="BT1576" s="63"/>
      <c r="BU1576" s="63"/>
      <c r="BV1576" s="57"/>
      <c r="BW1576" s="57"/>
      <c r="BX1576" s="57"/>
      <c r="BY1576" s="57"/>
    </row>
    <row r="1577" spans="70:77" ht="18.5" x14ac:dyDescent="0.35">
      <c r="BR1577" s="63"/>
      <c r="BS1577" s="63"/>
      <c r="BT1577" s="63"/>
      <c r="BU1577" s="63"/>
      <c r="BV1577" s="57"/>
      <c r="BW1577" s="57"/>
      <c r="BX1577" s="57"/>
      <c r="BY1577" s="57"/>
    </row>
    <row r="1578" spans="70:77" ht="18.5" x14ac:dyDescent="0.35">
      <c r="BR1578" s="63"/>
      <c r="BS1578" s="63"/>
      <c r="BT1578" s="63"/>
      <c r="BU1578" s="63"/>
      <c r="BV1578" s="57"/>
      <c r="BW1578" s="57"/>
      <c r="BX1578" s="57"/>
      <c r="BY1578" s="57"/>
    </row>
    <row r="1579" spans="70:77" ht="18.5" x14ac:dyDescent="0.35">
      <c r="BR1579" s="63"/>
      <c r="BS1579" s="63"/>
      <c r="BT1579" s="63"/>
      <c r="BU1579" s="63"/>
      <c r="BV1579" s="57"/>
      <c r="BW1579" s="57"/>
      <c r="BX1579" s="57"/>
      <c r="BY1579" s="57"/>
    </row>
    <row r="1580" spans="70:77" ht="18.5" x14ac:dyDescent="0.35">
      <c r="BR1580" s="63"/>
      <c r="BS1580" s="63"/>
      <c r="BT1580" s="63"/>
      <c r="BU1580" s="63"/>
      <c r="BV1580" s="57"/>
      <c r="BW1580" s="57"/>
      <c r="BX1580" s="57"/>
      <c r="BY1580" s="57"/>
    </row>
    <row r="1581" spans="70:77" ht="18.5" x14ac:dyDescent="0.35">
      <c r="BR1581" s="63"/>
      <c r="BS1581" s="63"/>
      <c r="BT1581" s="63"/>
      <c r="BU1581" s="63"/>
      <c r="BV1581" s="57"/>
      <c r="BW1581" s="57"/>
      <c r="BX1581" s="57"/>
      <c r="BY1581" s="57"/>
    </row>
    <row r="1582" spans="70:77" ht="18.5" x14ac:dyDescent="0.35">
      <c r="BR1582" s="63"/>
      <c r="BS1582" s="63"/>
      <c r="BT1582" s="63"/>
      <c r="BU1582" s="63"/>
      <c r="BV1582" s="57"/>
      <c r="BW1582" s="57"/>
      <c r="BX1582" s="57"/>
      <c r="BY1582" s="57"/>
    </row>
    <row r="1583" spans="70:77" ht="18.5" x14ac:dyDescent="0.35">
      <c r="BR1583" s="63"/>
      <c r="BS1583" s="63"/>
      <c r="BT1583" s="63"/>
      <c r="BU1583" s="63"/>
      <c r="BV1583" s="57"/>
      <c r="BW1583" s="57"/>
      <c r="BX1583" s="57"/>
      <c r="BY1583" s="57"/>
    </row>
    <row r="1584" spans="70:77" ht="18.5" x14ac:dyDescent="0.35">
      <c r="BR1584" s="63"/>
      <c r="BS1584" s="63"/>
      <c r="BT1584" s="63"/>
      <c r="BU1584" s="63"/>
      <c r="BV1584" s="57"/>
      <c r="BW1584" s="57"/>
      <c r="BX1584" s="57"/>
      <c r="BY1584" s="57"/>
    </row>
    <row r="1585" spans="70:77" ht="18.5" x14ac:dyDescent="0.35">
      <c r="BR1585" s="63"/>
      <c r="BS1585" s="63"/>
      <c r="BT1585" s="63"/>
      <c r="BU1585" s="63"/>
      <c r="BV1585" s="57"/>
      <c r="BW1585" s="57"/>
      <c r="BX1585" s="57"/>
      <c r="BY1585" s="57"/>
    </row>
    <row r="1586" spans="70:77" ht="18.5" x14ac:dyDescent="0.35">
      <c r="BR1586" s="63"/>
      <c r="BS1586" s="63"/>
      <c r="BT1586" s="63"/>
      <c r="BU1586" s="63"/>
      <c r="BV1586" s="57"/>
      <c r="BW1586" s="57"/>
      <c r="BX1586" s="57"/>
      <c r="BY1586" s="57"/>
    </row>
    <row r="1587" spans="70:77" ht="18.5" x14ac:dyDescent="0.35">
      <c r="BR1587" s="63"/>
      <c r="BS1587" s="63"/>
      <c r="BT1587" s="63"/>
      <c r="BU1587" s="63"/>
      <c r="BV1587" s="57"/>
      <c r="BW1587" s="57"/>
      <c r="BX1587" s="57"/>
      <c r="BY1587" s="57"/>
    </row>
    <row r="1588" spans="70:77" ht="18.5" x14ac:dyDescent="0.35">
      <c r="BR1588" s="63"/>
      <c r="BS1588" s="63"/>
      <c r="BT1588" s="63"/>
      <c r="BU1588" s="63"/>
      <c r="BV1588" s="57"/>
      <c r="BW1588" s="57"/>
      <c r="BX1588" s="57"/>
      <c r="BY1588" s="57"/>
    </row>
    <row r="1589" spans="70:77" ht="18.5" x14ac:dyDescent="0.35">
      <c r="BR1589" s="63"/>
      <c r="BS1589" s="63"/>
      <c r="BT1589" s="63"/>
      <c r="BU1589" s="63"/>
      <c r="BV1589" s="57"/>
      <c r="BW1589" s="57"/>
      <c r="BX1589" s="57"/>
      <c r="BY1589" s="57"/>
    </row>
    <row r="1590" spans="70:77" ht="18.5" x14ac:dyDescent="0.35">
      <c r="BR1590" s="63"/>
      <c r="BS1590" s="63"/>
      <c r="BT1590" s="63"/>
      <c r="BU1590" s="63"/>
      <c r="BV1590" s="57"/>
      <c r="BW1590" s="57"/>
      <c r="BX1590" s="57"/>
      <c r="BY1590" s="57"/>
    </row>
    <row r="1591" spans="70:77" ht="18.5" x14ac:dyDescent="0.35">
      <c r="BR1591" s="63"/>
      <c r="BS1591" s="63"/>
      <c r="BT1591" s="63"/>
      <c r="BU1591" s="63"/>
      <c r="BV1591" s="57"/>
      <c r="BW1591" s="57"/>
      <c r="BX1591" s="57"/>
      <c r="BY1591" s="57"/>
    </row>
    <row r="1592" spans="70:77" ht="18.5" x14ac:dyDescent="0.35">
      <c r="BR1592" s="63"/>
      <c r="BS1592" s="63"/>
      <c r="BT1592" s="63"/>
      <c r="BU1592" s="63"/>
      <c r="BV1592" s="57"/>
      <c r="BW1592" s="57"/>
      <c r="BX1592" s="57"/>
      <c r="BY1592" s="57"/>
    </row>
    <row r="1593" spans="70:77" ht="18.5" x14ac:dyDescent="0.35">
      <c r="BR1593" s="63"/>
      <c r="BS1593" s="63"/>
      <c r="BT1593" s="63"/>
      <c r="BU1593" s="63"/>
      <c r="BV1593" s="57"/>
      <c r="BW1593" s="57"/>
      <c r="BX1593" s="57"/>
      <c r="BY1593" s="57"/>
    </row>
    <row r="1594" spans="70:77" ht="18.5" x14ac:dyDescent="0.35">
      <c r="BR1594" s="63"/>
      <c r="BS1594" s="63"/>
      <c r="BT1594" s="63"/>
      <c r="BU1594" s="63"/>
      <c r="BV1594" s="57"/>
      <c r="BW1594" s="57"/>
      <c r="BX1594" s="57"/>
      <c r="BY1594" s="57"/>
    </row>
    <row r="1595" spans="70:77" ht="18.5" x14ac:dyDescent="0.35">
      <c r="BR1595" s="63"/>
      <c r="BS1595" s="63"/>
      <c r="BT1595" s="63"/>
      <c r="BU1595" s="63"/>
      <c r="BV1595" s="57"/>
      <c r="BW1595" s="57"/>
      <c r="BX1595" s="57"/>
      <c r="BY1595" s="57"/>
    </row>
    <row r="1596" spans="70:77" ht="18.5" x14ac:dyDescent="0.35">
      <c r="BR1596" s="63"/>
      <c r="BS1596" s="63"/>
      <c r="BT1596" s="63"/>
      <c r="BU1596" s="63"/>
      <c r="BV1596" s="57"/>
      <c r="BW1596" s="57"/>
      <c r="BX1596" s="57"/>
      <c r="BY1596" s="57"/>
    </row>
    <row r="1597" spans="70:77" ht="18.5" x14ac:dyDescent="0.35">
      <c r="BR1597" s="63"/>
      <c r="BS1597" s="63"/>
      <c r="BT1597" s="63"/>
      <c r="BU1597" s="63"/>
      <c r="BV1597" s="57"/>
      <c r="BW1597" s="57"/>
      <c r="BX1597" s="57"/>
      <c r="BY1597" s="57"/>
    </row>
    <row r="1598" spans="70:77" ht="18.5" x14ac:dyDescent="0.35">
      <c r="BR1598" s="63"/>
      <c r="BS1598" s="63"/>
      <c r="BT1598" s="63"/>
      <c r="BU1598" s="63"/>
      <c r="BV1598" s="57"/>
      <c r="BW1598" s="57"/>
      <c r="BX1598" s="57"/>
      <c r="BY1598" s="57"/>
    </row>
    <row r="1599" spans="70:77" ht="18.5" x14ac:dyDescent="0.35">
      <c r="BR1599" s="63"/>
      <c r="BS1599" s="63"/>
      <c r="BT1599" s="63"/>
      <c r="BU1599" s="63"/>
      <c r="BV1599" s="57"/>
      <c r="BW1599" s="57"/>
      <c r="BX1599" s="57"/>
      <c r="BY1599" s="57"/>
    </row>
    <row r="1600" spans="70:77" ht="18.5" x14ac:dyDescent="0.35">
      <c r="BR1600" s="63"/>
      <c r="BS1600" s="63"/>
      <c r="BT1600" s="63"/>
      <c r="BU1600" s="63"/>
      <c r="BV1600" s="57"/>
      <c r="BW1600" s="57"/>
      <c r="BX1600" s="57"/>
      <c r="BY1600" s="57"/>
    </row>
    <row r="1601" spans="70:77" ht="18.5" x14ac:dyDescent="0.35">
      <c r="BR1601" s="63"/>
      <c r="BS1601" s="63"/>
      <c r="BT1601" s="63"/>
      <c r="BU1601" s="63"/>
      <c r="BV1601" s="57"/>
      <c r="BW1601" s="57"/>
      <c r="BX1601" s="57"/>
      <c r="BY1601" s="57"/>
    </row>
    <row r="1602" spans="70:77" ht="18.5" x14ac:dyDescent="0.35">
      <c r="BR1602" s="63"/>
      <c r="BS1602" s="63"/>
      <c r="BT1602" s="63"/>
      <c r="BU1602" s="63"/>
      <c r="BV1602" s="57"/>
      <c r="BW1602" s="57"/>
      <c r="BX1602" s="57"/>
      <c r="BY1602" s="57"/>
    </row>
    <row r="1603" spans="70:77" ht="18.5" x14ac:dyDescent="0.35">
      <c r="BR1603" s="63"/>
      <c r="BS1603" s="63"/>
      <c r="BT1603" s="63"/>
      <c r="BU1603" s="63"/>
      <c r="BV1603" s="57"/>
      <c r="BW1603" s="57"/>
      <c r="BX1603" s="57"/>
      <c r="BY1603" s="57"/>
    </row>
    <row r="1604" spans="70:77" ht="18.5" x14ac:dyDescent="0.35">
      <c r="BR1604" s="63"/>
      <c r="BS1604" s="63"/>
      <c r="BT1604" s="63"/>
      <c r="BU1604" s="63"/>
      <c r="BV1604" s="57"/>
      <c r="BW1604" s="57"/>
      <c r="BX1604" s="57"/>
      <c r="BY1604" s="57"/>
    </row>
    <row r="1605" spans="70:77" ht="18.5" x14ac:dyDescent="0.35">
      <c r="BR1605" s="63"/>
      <c r="BS1605" s="63"/>
      <c r="BT1605" s="63"/>
      <c r="BU1605" s="63"/>
      <c r="BV1605" s="57"/>
      <c r="BW1605" s="57"/>
      <c r="BX1605" s="57"/>
      <c r="BY1605" s="57"/>
    </row>
    <row r="1606" spans="70:77" ht="18.5" x14ac:dyDescent="0.35">
      <c r="BR1606" s="63"/>
      <c r="BS1606" s="63"/>
      <c r="BT1606" s="63"/>
      <c r="BU1606" s="63"/>
      <c r="BV1606" s="57"/>
      <c r="BW1606" s="57"/>
      <c r="BX1606" s="57"/>
      <c r="BY1606" s="57"/>
    </row>
    <row r="1607" spans="70:77" ht="18.5" x14ac:dyDescent="0.35">
      <c r="BR1607" s="63"/>
      <c r="BS1607" s="63"/>
      <c r="BT1607" s="63"/>
      <c r="BU1607" s="63"/>
      <c r="BV1607" s="57"/>
      <c r="BW1607" s="57"/>
      <c r="BX1607" s="57"/>
      <c r="BY1607" s="57"/>
    </row>
    <row r="1608" spans="70:77" ht="18.5" x14ac:dyDescent="0.35">
      <c r="BR1608" s="63"/>
      <c r="BS1608" s="63"/>
      <c r="BT1608" s="63"/>
      <c r="BU1608" s="63"/>
      <c r="BV1608" s="57"/>
      <c r="BW1608" s="57"/>
      <c r="BX1608" s="57"/>
      <c r="BY1608" s="57"/>
    </row>
    <row r="1609" spans="70:77" ht="18.5" x14ac:dyDescent="0.35">
      <c r="BR1609" s="63"/>
      <c r="BS1609" s="63"/>
      <c r="BT1609" s="63"/>
      <c r="BU1609" s="63"/>
      <c r="BV1609" s="57"/>
      <c r="BW1609" s="57"/>
      <c r="BX1609" s="57"/>
      <c r="BY1609" s="57"/>
    </row>
    <row r="1610" spans="70:77" ht="18.5" x14ac:dyDescent="0.35">
      <c r="BR1610" s="63"/>
      <c r="BS1610" s="63"/>
      <c r="BT1610" s="63"/>
      <c r="BU1610" s="63"/>
      <c r="BV1610" s="57"/>
      <c r="BW1610" s="57"/>
      <c r="BX1610" s="57"/>
      <c r="BY1610" s="57"/>
    </row>
    <row r="1611" spans="70:77" ht="18.5" x14ac:dyDescent="0.35">
      <c r="BR1611" s="63"/>
      <c r="BS1611" s="63"/>
      <c r="BT1611" s="63"/>
      <c r="BU1611" s="63"/>
      <c r="BV1611" s="57"/>
      <c r="BW1611" s="57"/>
      <c r="BX1611" s="57"/>
      <c r="BY1611" s="57"/>
    </row>
    <row r="1612" spans="70:77" ht="18.5" x14ac:dyDescent="0.35">
      <c r="BR1612" s="63"/>
      <c r="BS1612" s="63"/>
      <c r="BT1612" s="63"/>
      <c r="BU1612" s="63"/>
      <c r="BV1612" s="57"/>
      <c r="BW1612" s="57"/>
      <c r="BX1612" s="57"/>
      <c r="BY1612" s="57"/>
    </row>
    <row r="1613" spans="70:77" ht="18.5" x14ac:dyDescent="0.35">
      <c r="BR1613" s="63"/>
      <c r="BS1613" s="63"/>
      <c r="BT1613" s="63"/>
      <c r="BU1613" s="63"/>
      <c r="BV1613" s="57"/>
      <c r="BW1613" s="57"/>
      <c r="BX1613" s="57"/>
      <c r="BY1613" s="57"/>
    </row>
    <row r="1614" spans="70:77" ht="18.5" x14ac:dyDescent="0.35">
      <c r="BR1614" s="63"/>
      <c r="BS1614" s="63"/>
      <c r="BT1614" s="63"/>
      <c r="BU1614" s="63"/>
      <c r="BV1614" s="57"/>
      <c r="BW1614" s="57"/>
      <c r="BX1614" s="57"/>
      <c r="BY1614" s="57"/>
    </row>
    <row r="1615" spans="70:77" ht="18.5" x14ac:dyDescent="0.35">
      <c r="BR1615" s="63"/>
      <c r="BS1615" s="63"/>
      <c r="BT1615" s="63"/>
      <c r="BU1615" s="63"/>
      <c r="BV1615" s="57"/>
      <c r="BW1615" s="57"/>
      <c r="BX1615" s="57"/>
      <c r="BY1615" s="57"/>
    </row>
    <row r="1616" spans="70:77" ht="18.5" x14ac:dyDescent="0.35">
      <c r="BR1616" s="63"/>
      <c r="BS1616" s="63"/>
      <c r="BT1616" s="63"/>
      <c r="BU1616" s="63"/>
      <c r="BV1616" s="57"/>
      <c r="BW1616" s="57"/>
      <c r="BX1616" s="57"/>
      <c r="BY1616" s="57"/>
    </row>
    <row r="1617" spans="70:77" ht="18.5" x14ac:dyDescent="0.35">
      <c r="BR1617" s="63"/>
      <c r="BS1617" s="63"/>
      <c r="BT1617" s="63"/>
      <c r="BU1617" s="63"/>
      <c r="BV1617" s="57"/>
      <c r="BW1617" s="57"/>
      <c r="BX1617" s="57"/>
      <c r="BY1617" s="57"/>
    </row>
    <row r="1618" spans="70:77" ht="18.5" x14ac:dyDescent="0.35">
      <c r="BR1618" s="63"/>
      <c r="BS1618" s="63"/>
      <c r="BT1618" s="63"/>
      <c r="BU1618" s="63"/>
      <c r="BV1618" s="57"/>
      <c r="BW1618" s="57"/>
      <c r="BX1618" s="57"/>
      <c r="BY1618" s="57"/>
    </row>
    <row r="1619" spans="70:77" ht="18.5" x14ac:dyDescent="0.35">
      <c r="BR1619" s="63"/>
      <c r="BS1619" s="63"/>
      <c r="BT1619" s="63"/>
      <c r="BU1619" s="63"/>
      <c r="BV1619" s="57"/>
      <c r="BW1619" s="57"/>
      <c r="BX1619" s="57"/>
      <c r="BY1619" s="57"/>
    </row>
    <row r="1620" spans="70:77" ht="18.5" x14ac:dyDescent="0.35">
      <c r="BR1620" s="63"/>
      <c r="BS1620" s="63"/>
      <c r="BT1620" s="63"/>
      <c r="BU1620" s="63"/>
      <c r="BV1620" s="57"/>
      <c r="BW1620" s="57"/>
      <c r="BX1620" s="57"/>
      <c r="BY1620" s="57"/>
    </row>
    <row r="1621" spans="70:77" ht="18.5" x14ac:dyDescent="0.35">
      <c r="BR1621" s="63"/>
      <c r="BS1621" s="63"/>
      <c r="BT1621" s="63"/>
      <c r="BU1621" s="63"/>
      <c r="BV1621" s="57"/>
      <c r="BW1621" s="57"/>
      <c r="BX1621" s="57"/>
      <c r="BY1621" s="57"/>
    </row>
    <row r="1622" spans="70:77" ht="18.5" x14ac:dyDescent="0.35">
      <c r="BR1622" s="63"/>
      <c r="BS1622" s="63"/>
      <c r="BT1622" s="63"/>
      <c r="BU1622" s="63"/>
      <c r="BV1622" s="57"/>
      <c r="BW1622" s="57"/>
      <c r="BX1622" s="57"/>
      <c r="BY1622" s="57"/>
    </row>
    <row r="1623" spans="70:77" ht="18.5" x14ac:dyDescent="0.35">
      <c r="BR1623" s="63"/>
      <c r="BS1623" s="63"/>
      <c r="BT1623" s="63"/>
      <c r="BU1623" s="63"/>
      <c r="BV1623" s="57"/>
      <c r="BW1623" s="57"/>
      <c r="BX1623" s="57"/>
      <c r="BY1623" s="57"/>
    </row>
    <row r="1624" spans="70:77" ht="18.5" x14ac:dyDescent="0.35">
      <c r="BR1624" s="63"/>
      <c r="BS1624" s="63"/>
      <c r="BT1624" s="63"/>
      <c r="BU1624" s="63"/>
      <c r="BV1624" s="57"/>
      <c r="BW1624" s="57"/>
      <c r="BX1624" s="57"/>
      <c r="BY1624" s="57"/>
    </row>
    <row r="1625" spans="70:77" ht="18.5" x14ac:dyDescent="0.35">
      <c r="BR1625" s="63"/>
      <c r="BS1625" s="63"/>
      <c r="BT1625" s="63"/>
      <c r="BU1625" s="63"/>
      <c r="BV1625" s="57"/>
      <c r="BW1625" s="57"/>
      <c r="BX1625" s="57"/>
      <c r="BY1625" s="57"/>
    </row>
    <row r="1626" spans="70:77" ht="18.5" x14ac:dyDescent="0.35">
      <c r="BR1626" s="63"/>
      <c r="BS1626" s="63"/>
      <c r="BT1626" s="63"/>
      <c r="BU1626" s="63"/>
      <c r="BV1626" s="57"/>
      <c r="BW1626" s="57"/>
      <c r="BX1626" s="57"/>
      <c r="BY1626" s="57"/>
    </row>
    <row r="1627" spans="70:77" ht="18.5" x14ac:dyDescent="0.35">
      <c r="BR1627" s="63"/>
      <c r="BS1627" s="63"/>
      <c r="BT1627" s="63"/>
      <c r="BU1627" s="63"/>
      <c r="BV1627" s="57"/>
      <c r="BW1627" s="57"/>
      <c r="BX1627" s="57"/>
      <c r="BY1627" s="57"/>
    </row>
    <row r="1628" spans="70:77" ht="18.5" x14ac:dyDescent="0.35">
      <c r="BR1628" s="63"/>
      <c r="BS1628" s="63"/>
      <c r="BT1628" s="63"/>
      <c r="BU1628" s="63"/>
      <c r="BV1628" s="57"/>
      <c r="BW1628" s="57"/>
      <c r="BX1628" s="57"/>
      <c r="BY1628" s="57"/>
    </row>
    <row r="1629" spans="70:77" ht="18.5" x14ac:dyDescent="0.35">
      <c r="BR1629" s="63"/>
      <c r="BS1629" s="63"/>
      <c r="BT1629" s="63"/>
      <c r="BU1629" s="63"/>
      <c r="BV1629" s="57"/>
      <c r="BW1629" s="57"/>
      <c r="BX1629" s="57"/>
      <c r="BY1629" s="57"/>
    </row>
    <row r="1630" spans="70:77" ht="18.5" x14ac:dyDescent="0.35">
      <c r="BR1630" s="63"/>
      <c r="BS1630" s="63"/>
      <c r="BT1630" s="63"/>
      <c r="BU1630" s="63"/>
      <c r="BV1630" s="57"/>
      <c r="BW1630" s="57"/>
      <c r="BX1630" s="57"/>
      <c r="BY1630" s="57"/>
    </row>
    <row r="1631" spans="70:77" ht="18.5" x14ac:dyDescent="0.35">
      <c r="BR1631" s="63"/>
      <c r="BS1631" s="63"/>
      <c r="BT1631" s="63"/>
      <c r="BU1631" s="63"/>
      <c r="BV1631" s="57"/>
      <c r="BW1631" s="57"/>
      <c r="BX1631" s="57"/>
      <c r="BY1631" s="57"/>
    </row>
    <row r="1632" spans="70:77" ht="18.5" x14ac:dyDescent="0.35">
      <c r="BR1632" s="63"/>
      <c r="BS1632" s="63"/>
      <c r="BT1632" s="63"/>
      <c r="BU1632" s="63"/>
      <c r="BV1632" s="57"/>
      <c r="BW1632" s="57"/>
      <c r="BX1632" s="57"/>
      <c r="BY1632" s="57"/>
    </row>
    <row r="1633" spans="70:77" ht="18.5" x14ac:dyDescent="0.35">
      <c r="BR1633" s="63"/>
      <c r="BS1633" s="63"/>
      <c r="BT1633" s="63"/>
      <c r="BU1633" s="63"/>
      <c r="BV1633" s="57"/>
      <c r="BW1633" s="57"/>
      <c r="BX1633" s="57"/>
      <c r="BY1633" s="57"/>
    </row>
    <row r="1634" spans="70:77" ht="18.5" x14ac:dyDescent="0.35">
      <c r="BR1634" s="63"/>
      <c r="BS1634" s="63"/>
      <c r="BT1634" s="63"/>
      <c r="BU1634" s="63"/>
      <c r="BV1634" s="57"/>
      <c r="BW1634" s="57"/>
      <c r="BX1634" s="57"/>
      <c r="BY1634" s="57"/>
    </row>
    <row r="1635" spans="70:77" ht="18.5" x14ac:dyDescent="0.35">
      <c r="BR1635" s="63"/>
      <c r="BS1635" s="63"/>
      <c r="BT1635" s="63"/>
      <c r="BU1635" s="63"/>
      <c r="BV1635" s="57"/>
      <c r="BW1635" s="57"/>
      <c r="BX1635" s="57"/>
      <c r="BY1635" s="57"/>
    </row>
    <row r="1636" spans="70:77" ht="18.5" x14ac:dyDescent="0.35">
      <c r="BR1636" s="63"/>
      <c r="BS1636" s="63"/>
      <c r="BT1636" s="63"/>
      <c r="BU1636" s="63"/>
      <c r="BV1636" s="57"/>
      <c r="BW1636" s="57"/>
      <c r="BX1636" s="57"/>
      <c r="BY1636" s="57"/>
    </row>
    <row r="1637" spans="70:77" ht="18.5" x14ac:dyDescent="0.35">
      <c r="BR1637" s="63"/>
      <c r="BS1637" s="63"/>
      <c r="BT1637" s="63"/>
      <c r="BU1637" s="63"/>
      <c r="BV1637" s="57"/>
      <c r="BW1637" s="57"/>
      <c r="BX1637" s="57"/>
      <c r="BY1637" s="57"/>
    </row>
    <row r="1638" spans="70:77" ht="18.5" x14ac:dyDescent="0.35">
      <c r="BR1638" s="63"/>
      <c r="BS1638" s="63"/>
      <c r="BT1638" s="63"/>
      <c r="BU1638" s="63"/>
      <c r="BV1638" s="57"/>
      <c r="BW1638" s="57"/>
      <c r="BX1638" s="57"/>
      <c r="BY1638" s="57"/>
    </row>
    <row r="1639" spans="70:77" ht="18.5" x14ac:dyDescent="0.35">
      <c r="BR1639" s="63"/>
      <c r="BS1639" s="63"/>
      <c r="BT1639" s="63"/>
      <c r="BU1639" s="63"/>
      <c r="BV1639" s="57"/>
      <c r="BW1639" s="57"/>
      <c r="BX1639" s="57"/>
      <c r="BY1639" s="57"/>
    </row>
    <row r="1640" spans="70:77" ht="18.5" x14ac:dyDescent="0.35">
      <c r="BR1640" s="63"/>
      <c r="BS1640" s="63"/>
      <c r="BT1640" s="63"/>
      <c r="BU1640" s="63"/>
      <c r="BV1640" s="57"/>
      <c r="BW1640" s="57"/>
      <c r="BX1640" s="57"/>
      <c r="BY1640" s="57"/>
    </row>
    <row r="1641" spans="70:77" ht="18.5" x14ac:dyDescent="0.35">
      <c r="BR1641" s="63"/>
      <c r="BS1641" s="63"/>
      <c r="BT1641" s="63"/>
      <c r="BU1641" s="63"/>
      <c r="BV1641" s="57"/>
      <c r="BW1641" s="57"/>
      <c r="BX1641" s="57"/>
      <c r="BY1641" s="57"/>
    </row>
    <row r="1642" spans="70:77" ht="18.5" x14ac:dyDescent="0.35">
      <c r="BR1642" s="63"/>
      <c r="BS1642" s="63"/>
      <c r="BT1642" s="63"/>
      <c r="BU1642" s="63"/>
      <c r="BV1642" s="57"/>
      <c r="BW1642" s="57"/>
      <c r="BX1642" s="57"/>
      <c r="BY1642" s="57"/>
    </row>
    <row r="1643" spans="70:77" ht="18.5" x14ac:dyDescent="0.35">
      <c r="BR1643" s="63"/>
      <c r="BS1643" s="63"/>
      <c r="BT1643" s="63"/>
      <c r="BU1643" s="63"/>
      <c r="BV1643" s="57"/>
      <c r="BW1643" s="57"/>
      <c r="BX1643" s="57"/>
      <c r="BY1643" s="57"/>
    </row>
    <row r="1644" spans="70:77" ht="18.5" x14ac:dyDescent="0.35">
      <c r="BR1644" s="63"/>
      <c r="BS1644" s="63"/>
      <c r="BT1644" s="63"/>
      <c r="BU1644" s="63"/>
      <c r="BV1644" s="57"/>
      <c r="BW1644" s="57"/>
      <c r="BX1644" s="57"/>
      <c r="BY1644" s="57"/>
    </row>
    <row r="1645" spans="70:77" ht="18.5" x14ac:dyDescent="0.35">
      <c r="BR1645" s="63"/>
      <c r="BS1645" s="63"/>
      <c r="BT1645" s="63"/>
      <c r="BU1645" s="63"/>
      <c r="BV1645" s="57"/>
      <c r="BW1645" s="57"/>
      <c r="BX1645" s="57"/>
      <c r="BY1645" s="57"/>
    </row>
    <row r="1646" spans="70:77" ht="18.5" x14ac:dyDescent="0.35">
      <c r="BR1646" s="63"/>
      <c r="BS1646" s="63"/>
      <c r="BT1646" s="63"/>
      <c r="BU1646" s="63"/>
      <c r="BV1646" s="57"/>
      <c r="BW1646" s="57"/>
      <c r="BX1646" s="57"/>
      <c r="BY1646" s="57"/>
    </row>
    <row r="1647" spans="70:77" ht="18.5" x14ac:dyDescent="0.35">
      <c r="BR1647" s="63"/>
      <c r="BS1647" s="63"/>
      <c r="BT1647" s="63"/>
      <c r="BU1647" s="63"/>
      <c r="BV1647" s="57"/>
      <c r="BW1647" s="57"/>
      <c r="BX1647" s="57"/>
      <c r="BY1647" s="57"/>
    </row>
    <row r="1648" spans="70:77" ht="18.5" x14ac:dyDescent="0.35">
      <c r="BR1648" s="63"/>
      <c r="BS1648" s="63"/>
      <c r="BT1648" s="63"/>
      <c r="BU1648" s="63"/>
      <c r="BV1648" s="57"/>
      <c r="BW1648" s="57"/>
      <c r="BX1648" s="57"/>
      <c r="BY1648" s="57"/>
    </row>
    <row r="1649" spans="70:77" ht="18.5" x14ac:dyDescent="0.35">
      <c r="BR1649" s="63"/>
      <c r="BS1649" s="63"/>
      <c r="BT1649" s="63"/>
      <c r="BU1649" s="63"/>
      <c r="BV1649" s="57"/>
      <c r="BW1649" s="57"/>
      <c r="BX1649" s="57"/>
      <c r="BY1649" s="57"/>
    </row>
    <row r="1650" spans="70:77" ht="18.5" x14ac:dyDescent="0.35">
      <c r="BR1650" s="63"/>
      <c r="BS1650" s="63"/>
      <c r="BT1650" s="63"/>
      <c r="BU1650" s="63"/>
      <c r="BV1650" s="57"/>
      <c r="BW1650" s="57"/>
      <c r="BX1650" s="57"/>
      <c r="BY1650" s="57"/>
    </row>
    <row r="1651" spans="70:77" ht="18.5" x14ac:dyDescent="0.35">
      <c r="BR1651" s="63"/>
      <c r="BS1651" s="63"/>
      <c r="BT1651" s="63"/>
      <c r="BU1651" s="63"/>
      <c r="BV1651" s="57"/>
      <c r="BW1651" s="57"/>
      <c r="BX1651" s="57"/>
      <c r="BY1651" s="57"/>
    </row>
    <row r="1652" spans="70:77" ht="18.5" x14ac:dyDescent="0.35">
      <c r="BR1652" s="63"/>
      <c r="BS1652" s="63"/>
      <c r="BT1652" s="63"/>
      <c r="BU1652" s="63"/>
      <c r="BV1652" s="57"/>
      <c r="BW1652" s="57"/>
      <c r="BX1652" s="57"/>
      <c r="BY1652" s="57"/>
    </row>
    <row r="1653" spans="70:77" ht="18.5" x14ac:dyDescent="0.35">
      <c r="BR1653" s="63"/>
      <c r="BS1653" s="63"/>
      <c r="BT1653" s="63"/>
      <c r="BU1653" s="63"/>
      <c r="BV1653" s="57"/>
      <c r="BW1653" s="57"/>
      <c r="BX1653" s="57"/>
      <c r="BY1653" s="57"/>
    </row>
    <row r="1654" spans="70:77" ht="18.5" x14ac:dyDescent="0.35">
      <c r="BR1654" s="63"/>
      <c r="BS1654" s="63"/>
      <c r="BT1654" s="63"/>
      <c r="BU1654" s="63"/>
      <c r="BV1654" s="57"/>
      <c r="BW1654" s="57"/>
      <c r="BX1654" s="57"/>
      <c r="BY1654" s="57"/>
    </row>
    <row r="1655" spans="70:77" ht="18.5" x14ac:dyDescent="0.35">
      <c r="BR1655" s="63"/>
      <c r="BS1655" s="63"/>
      <c r="BT1655" s="63"/>
      <c r="BU1655" s="63"/>
      <c r="BV1655" s="57"/>
      <c r="BW1655" s="57"/>
      <c r="BX1655" s="57"/>
      <c r="BY1655" s="57"/>
    </row>
    <row r="1656" spans="70:77" ht="18.5" x14ac:dyDescent="0.35">
      <c r="BR1656" s="63"/>
      <c r="BS1656" s="63"/>
      <c r="BT1656" s="63"/>
      <c r="BU1656" s="63"/>
      <c r="BV1656" s="57"/>
      <c r="BW1656" s="57"/>
      <c r="BX1656" s="57"/>
      <c r="BY1656" s="57"/>
    </row>
    <row r="1657" spans="70:77" ht="18.5" x14ac:dyDescent="0.35">
      <c r="BR1657" s="63"/>
      <c r="BS1657" s="63"/>
      <c r="BT1657" s="63"/>
      <c r="BU1657" s="63"/>
      <c r="BV1657" s="57"/>
      <c r="BW1657" s="57"/>
      <c r="BX1657" s="57"/>
      <c r="BY1657" s="57"/>
    </row>
    <row r="1658" spans="70:77" ht="18.5" x14ac:dyDescent="0.35">
      <c r="BR1658" s="63"/>
      <c r="BS1658" s="63"/>
      <c r="BT1658" s="63"/>
      <c r="BU1658" s="63"/>
      <c r="BV1658" s="57"/>
      <c r="BW1658" s="57"/>
      <c r="BX1658" s="57"/>
      <c r="BY1658" s="57"/>
    </row>
    <row r="1659" spans="70:77" ht="18.5" x14ac:dyDescent="0.35">
      <c r="BR1659" s="63"/>
      <c r="BS1659" s="63"/>
      <c r="BT1659" s="63"/>
      <c r="BU1659" s="63"/>
      <c r="BV1659" s="57"/>
      <c r="BW1659" s="57"/>
      <c r="BX1659" s="57"/>
      <c r="BY1659" s="57"/>
    </row>
    <row r="1660" spans="70:77" ht="18.5" x14ac:dyDescent="0.35">
      <c r="BR1660" s="63"/>
      <c r="BS1660" s="63"/>
      <c r="BT1660" s="63"/>
      <c r="BU1660" s="63"/>
      <c r="BV1660" s="57"/>
      <c r="BW1660" s="57"/>
      <c r="BX1660" s="57"/>
      <c r="BY1660" s="57"/>
    </row>
    <row r="1661" spans="70:77" ht="18.5" x14ac:dyDescent="0.35">
      <c r="BR1661" s="63"/>
      <c r="BS1661" s="63"/>
      <c r="BT1661" s="63"/>
      <c r="BU1661" s="63"/>
      <c r="BV1661" s="57"/>
      <c r="BW1661" s="57"/>
      <c r="BX1661" s="57"/>
      <c r="BY1661" s="57"/>
    </row>
    <row r="1662" spans="70:77" ht="18.5" x14ac:dyDescent="0.35">
      <c r="BR1662" s="63"/>
      <c r="BS1662" s="63"/>
      <c r="BT1662" s="63"/>
      <c r="BU1662" s="63"/>
      <c r="BV1662" s="57"/>
      <c r="BW1662" s="57"/>
      <c r="BX1662" s="57"/>
      <c r="BY1662" s="57"/>
    </row>
    <row r="1663" spans="70:77" ht="18.5" x14ac:dyDescent="0.35">
      <c r="BR1663" s="63"/>
      <c r="BS1663" s="63"/>
      <c r="BT1663" s="63"/>
      <c r="BU1663" s="63"/>
      <c r="BV1663" s="57"/>
      <c r="BW1663" s="57"/>
      <c r="BX1663" s="57"/>
      <c r="BY1663" s="57"/>
    </row>
    <row r="1664" spans="70:77" ht="18.5" x14ac:dyDescent="0.35">
      <c r="BR1664" s="63"/>
      <c r="BS1664" s="63"/>
      <c r="BT1664" s="63"/>
      <c r="BU1664" s="63"/>
      <c r="BV1664" s="57"/>
      <c r="BW1664" s="57"/>
      <c r="BX1664" s="57"/>
      <c r="BY1664" s="57"/>
    </row>
    <row r="1665" spans="70:77" ht="18.5" x14ac:dyDescent="0.35">
      <c r="BR1665" s="63"/>
      <c r="BS1665" s="63"/>
      <c r="BT1665" s="63"/>
      <c r="BU1665" s="63"/>
      <c r="BV1665" s="57"/>
      <c r="BW1665" s="57"/>
      <c r="BX1665" s="57"/>
      <c r="BY1665" s="57"/>
    </row>
    <row r="1666" spans="70:77" ht="18.5" x14ac:dyDescent="0.35">
      <c r="BR1666" s="63"/>
      <c r="BS1666" s="63"/>
      <c r="BT1666" s="63"/>
      <c r="BU1666" s="63"/>
      <c r="BV1666" s="57"/>
      <c r="BW1666" s="57"/>
      <c r="BX1666" s="57"/>
      <c r="BY1666" s="57"/>
    </row>
    <row r="1667" spans="70:77" ht="18.5" x14ac:dyDescent="0.35">
      <c r="BR1667" s="63"/>
      <c r="BS1667" s="63"/>
      <c r="BT1667" s="63"/>
      <c r="BU1667" s="63"/>
      <c r="BV1667" s="57"/>
      <c r="BW1667" s="57"/>
      <c r="BX1667" s="57"/>
      <c r="BY1667" s="57"/>
    </row>
    <row r="1668" spans="70:77" ht="18.5" x14ac:dyDescent="0.35">
      <c r="BR1668" s="63"/>
      <c r="BS1668" s="63"/>
      <c r="BT1668" s="63"/>
      <c r="BU1668" s="63"/>
      <c r="BV1668" s="57"/>
      <c r="BW1668" s="57"/>
      <c r="BX1668" s="57"/>
      <c r="BY1668" s="57"/>
    </row>
    <row r="1669" spans="70:77" ht="18.5" x14ac:dyDescent="0.35">
      <c r="BR1669" s="63"/>
      <c r="BS1669" s="63"/>
      <c r="BT1669" s="63"/>
      <c r="BU1669" s="63"/>
      <c r="BV1669" s="57"/>
      <c r="BW1669" s="57"/>
      <c r="BX1669" s="57"/>
      <c r="BY1669" s="57"/>
    </row>
    <row r="1670" spans="70:77" ht="18.5" x14ac:dyDescent="0.35">
      <c r="BR1670" s="63"/>
      <c r="BS1670" s="63"/>
      <c r="BT1670" s="63"/>
      <c r="BU1670" s="63"/>
      <c r="BV1670" s="57"/>
      <c r="BW1670" s="57"/>
      <c r="BX1670" s="57"/>
      <c r="BY1670" s="57"/>
    </row>
    <row r="1671" spans="70:77" ht="18.5" x14ac:dyDescent="0.35">
      <c r="BR1671" s="63"/>
      <c r="BS1671" s="63"/>
      <c r="BT1671" s="63"/>
      <c r="BU1671" s="63"/>
      <c r="BV1671" s="57"/>
      <c r="BW1671" s="57"/>
      <c r="BX1671" s="57"/>
      <c r="BY1671" s="57"/>
    </row>
    <row r="1672" spans="70:77" ht="18.5" x14ac:dyDescent="0.35">
      <c r="BR1672" s="63"/>
      <c r="BS1672" s="63"/>
      <c r="BT1672" s="63"/>
      <c r="BU1672" s="63"/>
      <c r="BV1672" s="57"/>
      <c r="BW1672" s="57"/>
      <c r="BX1672" s="57"/>
      <c r="BY1672" s="57"/>
    </row>
    <row r="1673" spans="70:77" ht="18.5" x14ac:dyDescent="0.35">
      <c r="BR1673" s="63"/>
      <c r="BS1673" s="63"/>
      <c r="BT1673" s="63"/>
      <c r="BU1673" s="63"/>
      <c r="BV1673" s="57"/>
      <c r="BW1673" s="57"/>
      <c r="BX1673" s="57"/>
      <c r="BY1673" s="57"/>
    </row>
    <row r="1674" spans="70:77" ht="18.5" x14ac:dyDescent="0.35">
      <c r="BR1674" s="63"/>
      <c r="BS1674" s="63"/>
      <c r="BT1674" s="63"/>
      <c r="BU1674" s="63"/>
      <c r="BV1674" s="57"/>
      <c r="BW1674" s="57"/>
      <c r="BX1674" s="57"/>
      <c r="BY1674" s="57"/>
    </row>
    <row r="1675" spans="70:77" ht="18.5" x14ac:dyDescent="0.35">
      <c r="BR1675" s="63"/>
      <c r="BS1675" s="63"/>
      <c r="BT1675" s="63"/>
      <c r="BU1675" s="63"/>
      <c r="BV1675" s="57"/>
      <c r="BW1675" s="57"/>
      <c r="BX1675" s="57"/>
      <c r="BY1675" s="57"/>
    </row>
    <row r="1676" spans="70:77" ht="18.5" x14ac:dyDescent="0.35">
      <c r="BR1676" s="63"/>
      <c r="BS1676" s="63"/>
      <c r="BT1676" s="63"/>
      <c r="BU1676" s="63"/>
      <c r="BV1676" s="57"/>
      <c r="BW1676" s="57"/>
      <c r="BX1676" s="57"/>
      <c r="BY1676" s="57"/>
    </row>
    <row r="1677" spans="70:77" ht="18.5" x14ac:dyDescent="0.35">
      <c r="BR1677" s="63"/>
      <c r="BS1677" s="63"/>
      <c r="BT1677" s="63"/>
      <c r="BU1677" s="63"/>
      <c r="BV1677" s="57"/>
      <c r="BW1677" s="57"/>
      <c r="BX1677" s="57"/>
      <c r="BY1677" s="57"/>
    </row>
    <row r="1678" spans="70:77" ht="18.5" x14ac:dyDescent="0.35">
      <c r="BR1678" s="63"/>
      <c r="BS1678" s="63"/>
      <c r="BT1678" s="63"/>
      <c r="BU1678" s="63"/>
      <c r="BV1678" s="57"/>
      <c r="BW1678" s="57"/>
      <c r="BX1678" s="57"/>
      <c r="BY1678" s="57"/>
    </row>
    <row r="1679" spans="70:77" ht="18.5" x14ac:dyDescent="0.35">
      <c r="BR1679" s="63"/>
      <c r="BS1679" s="63"/>
      <c r="BT1679" s="63"/>
      <c r="BU1679" s="63"/>
      <c r="BV1679" s="57"/>
      <c r="BW1679" s="57"/>
      <c r="BX1679" s="57"/>
      <c r="BY1679" s="57"/>
    </row>
    <row r="1680" spans="70:77" ht="18.5" x14ac:dyDescent="0.35">
      <c r="BR1680" s="63"/>
      <c r="BS1680" s="63"/>
      <c r="BT1680" s="63"/>
      <c r="BU1680" s="63"/>
      <c r="BV1680" s="57"/>
      <c r="BW1680" s="57"/>
      <c r="BX1680" s="57"/>
      <c r="BY1680" s="57"/>
    </row>
    <row r="1681" spans="70:77" ht="18.5" x14ac:dyDescent="0.35">
      <c r="BR1681" s="63"/>
      <c r="BS1681" s="63"/>
      <c r="BT1681" s="63"/>
      <c r="BU1681" s="63"/>
      <c r="BV1681" s="57"/>
      <c r="BW1681" s="57"/>
      <c r="BX1681" s="57"/>
      <c r="BY1681" s="57"/>
    </row>
    <row r="1682" spans="70:77" ht="18.5" x14ac:dyDescent="0.35">
      <c r="BR1682" s="63"/>
      <c r="BS1682" s="63"/>
      <c r="BT1682" s="63"/>
      <c r="BU1682" s="63"/>
      <c r="BV1682" s="57"/>
      <c r="BW1682" s="57"/>
      <c r="BX1682" s="57"/>
      <c r="BY1682" s="57"/>
    </row>
    <row r="1683" spans="70:77" ht="18.5" x14ac:dyDescent="0.35">
      <c r="BR1683" s="63"/>
      <c r="BS1683" s="63"/>
      <c r="BT1683" s="63"/>
      <c r="BU1683" s="63"/>
      <c r="BV1683" s="57"/>
      <c r="BW1683" s="57"/>
      <c r="BX1683" s="57"/>
      <c r="BY1683" s="57"/>
    </row>
    <row r="1684" spans="70:77" ht="18.5" x14ac:dyDescent="0.35">
      <c r="BR1684" s="63"/>
      <c r="BS1684" s="63"/>
      <c r="BT1684" s="63"/>
      <c r="BU1684" s="63"/>
      <c r="BV1684" s="57"/>
      <c r="BW1684" s="57"/>
      <c r="BX1684" s="57"/>
      <c r="BY1684" s="57"/>
    </row>
    <row r="1685" spans="70:77" ht="18.5" x14ac:dyDescent="0.35">
      <c r="BR1685" s="63"/>
      <c r="BS1685" s="63"/>
      <c r="BT1685" s="63"/>
      <c r="BU1685" s="63"/>
      <c r="BV1685" s="57"/>
      <c r="BW1685" s="57"/>
      <c r="BX1685" s="57"/>
      <c r="BY1685" s="57"/>
    </row>
    <row r="1686" spans="70:77" ht="18.5" x14ac:dyDescent="0.35">
      <c r="BR1686" s="63"/>
      <c r="BS1686" s="63"/>
      <c r="BT1686" s="63"/>
      <c r="BU1686" s="63"/>
      <c r="BV1686" s="57"/>
      <c r="BW1686" s="57"/>
      <c r="BX1686" s="57"/>
      <c r="BY1686" s="57"/>
    </row>
    <row r="1687" spans="70:77" ht="18.5" x14ac:dyDescent="0.35">
      <c r="BR1687" s="63"/>
      <c r="BS1687" s="63"/>
      <c r="BT1687" s="63"/>
      <c r="BU1687" s="63"/>
      <c r="BV1687" s="57"/>
      <c r="BW1687" s="57"/>
      <c r="BX1687" s="57"/>
      <c r="BY1687" s="57"/>
    </row>
    <row r="1688" spans="70:77" ht="18.5" x14ac:dyDescent="0.35">
      <c r="BR1688" s="63"/>
      <c r="BS1688" s="63"/>
      <c r="BT1688" s="63"/>
      <c r="BU1688" s="63"/>
      <c r="BV1688" s="57"/>
      <c r="BW1688" s="57"/>
      <c r="BX1688" s="57"/>
      <c r="BY1688" s="57"/>
    </row>
    <row r="1689" spans="70:77" ht="18.5" x14ac:dyDescent="0.35">
      <c r="BR1689" s="63"/>
      <c r="BS1689" s="63"/>
      <c r="BT1689" s="63"/>
      <c r="BU1689" s="63"/>
      <c r="BV1689" s="57"/>
      <c r="BW1689" s="57"/>
      <c r="BX1689" s="57"/>
      <c r="BY1689" s="57"/>
    </row>
    <row r="1690" spans="70:77" ht="18.5" x14ac:dyDescent="0.35">
      <c r="BR1690" s="63"/>
      <c r="BS1690" s="63"/>
      <c r="BT1690" s="63"/>
      <c r="BU1690" s="63"/>
      <c r="BV1690" s="57"/>
      <c r="BW1690" s="57"/>
      <c r="BX1690" s="57"/>
      <c r="BY1690" s="57"/>
    </row>
    <row r="1691" spans="70:77" ht="18.5" x14ac:dyDescent="0.35">
      <c r="BR1691" s="63"/>
      <c r="BS1691" s="63"/>
      <c r="BT1691" s="63"/>
      <c r="BU1691" s="63"/>
      <c r="BV1691" s="57"/>
      <c r="BW1691" s="57"/>
      <c r="BX1691" s="57"/>
      <c r="BY1691" s="57"/>
    </row>
    <row r="1692" spans="70:77" ht="18.5" x14ac:dyDescent="0.35">
      <c r="BR1692" s="63"/>
      <c r="BS1692" s="63"/>
      <c r="BT1692" s="63"/>
      <c r="BU1692" s="63"/>
      <c r="BV1692" s="57"/>
      <c r="BW1692" s="57"/>
      <c r="BX1692" s="57"/>
      <c r="BY1692" s="57"/>
    </row>
    <row r="1693" spans="70:77" ht="18.5" x14ac:dyDescent="0.35">
      <c r="BR1693" s="63"/>
      <c r="BS1693" s="63"/>
      <c r="BT1693" s="63"/>
      <c r="BU1693" s="63"/>
      <c r="BV1693" s="57"/>
      <c r="BW1693" s="57"/>
      <c r="BX1693" s="57"/>
      <c r="BY1693" s="57"/>
    </row>
    <row r="1694" spans="70:77" ht="18.5" x14ac:dyDescent="0.35">
      <c r="BR1694" s="63"/>
      <c r="BS1694" s="63"/>
      <c r="BT1694" s="63"/>
      <c r="BU1694" s="63"/>
      <c r="BV1694" s="57"/>
      <c r="BW1694" s="57"/>
      <c r="BX1694" s="57"/>
      <c r="BY1694" s="57"/>
    </row>
    <row r="1695" spans="70:77" ht="18.5" x14ac:dyDescent="0.35">
      <c r="BR1695" s="63"/>
      <c r="BS1695" s="63"/>
      <c r="BT1695" s="63"/>
      <c r="BU1695" s="63"/>
      <c r="BV1695" s="57"/>
      <c r="BW1695" s="57"/>
      <c r="BX1695" s="57"/>
      <c r="BY1695" s="57"/>
    </row>
    <row r="1696" spans="70:77" ht="18.5" x14ac:dyDescent="0.35">
      <c r="BR1696" s="63"/>
      <c r="BS1696" s="63"/>
      <c r="BT1696" s="63"/>
      <c r="BU1696" s="63"/>
      <c r="BV1696" s="57"/>
      <c r="BW1696" s="57"/>
      <c r="BX1696" s="57"/>
      <c r="BY1696" s="57"/>
    </row>
    <row r="1697" spans="70:77" ht="18.5" x14ac:dyDescent="0.35">
      <c r="BR1697" s="63"/>
      <c r="BS1697" s="63"/>
      <c r="BT1697" s="63"/>
      <c r="BU1697" s="63"/>
      <c r="BV1697" s="57"/>
      <c r="BW1697" s="57"/>
      <c r="BX1697" s="57"/>
      <c r="BY1697" s="57"/>
    </row>
    <row r="1698" spans="70:77" ht="18.5" x14ac:dyDescent="0.35">
      <c r="BR1698" s="63"/>
      <c r="BS1698" s="63"/>
      <c r="BT1698" s="63"/>
      <c r="BU1698" s="63"/>
      <c r="BV1698" s="57"/>
      <c r="BW1698" s="57"/>
      <c r="BX1698" s="57"/>
      <c r="BY1698" s="57"/>
    </row>
    <row r="1699" spans="70:77" ht="18.5" x14ac:dyDescent="0.35">
      <c r="BR1699" s="63"/>
      <c r="BS1699" s="63"/>
      <c r="BT1699" s="63"/>
      <c r="BU1699" s="63"/>
      <c r="BV1699" s="57"/>
      <c r="BW1699" s="57"/>
      <c r="BX1699" s="57"/>
      <c r="BY1699" s="57"/>
    </row>
    <row r="1700" spans="70:77" ht="18.5" x14ac:dyDescent="0.35">
      <c r="BR1700" s="63"/>
      <c r="BS1700" s="63"/>
      <c r="BT1700" s="63"/>
      <c r="BU1700" s="63"/>
      <c r="BV1700" s="57"/>
      <c r="BW1700" s="57"/>
      <c r="BX1700" s="57"/>
      <c r="BY1700" s="57"/>
    </row>
    <row r="1701" spans="70:77" ht="18.5" x14ac:dyDescent="0.35">
      <c r="BR1701" s="63"/>
      <c r="BS1701" s="63"/>
      <c r="BT1701" s="63"/>
      <c r="BU1701" s="63"/>
      <c r="BV1701" s="57"/>
      <c r="BW1701" s="57"/>
      <c r="BX1701" s="57"/>
      <c r="BY1701" s="57"/>
    </row>
    <row r="1702" spans="70:77" ht="18.5" x14ac:dyDescent="0.35">
      <c r="BR1702" s="63"/>
      <c r="BS1702" s="63"/>
      <c r="BT1702" s="63"/>
      <c r="BU1702" s="63"/>
      <c r="BV1702" s="57"/>
      <c r="BW1702" s="57"/>
      <c r="BX1702" s="57"/>
      <c r="BY1702" s="57"/>
    </row>
    <row r="1703" spans="70:77" ht="18.5" x14ac:dyDescent="0.35">
      <c r="BR1703" s="63"/>
      <c r="BS1703" s="63"/>
      <c r="BT1703" s="63"/>
      <c r="BU1703" s="63"/>
      <c r="BV1703" s="57"/>
      <c r="BW1703" s="57"/>
      <c r="BX1703" s="57"/>
      <c r="BY1703" s="57"/>
    </row>
    <row r="1704" spans="70:77" ht="18.5" x14ac:dyDescent="0.35">
      <c r="BR1704" s="63"/>
      <c r="BS1704" s="63"/>
      <c r="BT1704" s="63"/>
      <c r="BU1704" s="63"/>
      <c r="BV1704" s="57"/>
      <c r="BW1704" s="57"/>
      <c r="BX1704" s="57"/>
      <c r="BY1704" s="57"/>
    </row>
    <row r="1705" spans="70:77" ht="18.5" x14ac:dyDescent="0.35">
      <c r="BR1705" s="63"/>
      <c r="BS1705" s="63"/>
      <c r="BT1705" s="63"/>
      <c r="BU1705" s="63"/>
      <c r="BV1705" s="57"/>
      <c r="BW1705" s="57"/>
      <c r="BX1705" s="57"/>
      <c r="BY1705" s="57"/>
    </row>
    <row r="1706" spans="70:77" ht="18.5" x14ac:dyDescent="0.35">
      <c r="BR1706" s="63"/>
      <c r="BS1706" s="63"/>
      <c r="BT1706" s="63"/>
      <c r="BU1706" s="63"/>
      <c r="BV1706" s="57"/>
      <c r="BW1706" s="57"/>
      <c r="BX1706" s="57"/>
      <c r="BY1706" s="57"/>
    </row>
    <row r="1707" spans="70:77" ht="18.5" x14ac:dyDescent="0.35">
      <c r="BR1707" s="63"/>
      <c r="BS1707" s="63"/>
      <c r="BT1707" s="63"/>
      <c r="BU1707" s="63"/>
      <c r="BV1707" s="57"/>
      <c r="BW1707" s="57"/>
      <c r="BX1707" s="57"/>
      <c r="BY1707" s="57"/>
    </row>
    <row r="1708" spans="70:77" ht="18.5" x14ac:dyDescent="0.35">
      <c r="BR1708" s="63"/>
      <c r="BS1708" s="63"/>
      <c r="BT1708" s="63"/>
      <c r="BU1708" s="63"/>
      <c r="BV1708" s="57"/>
      <c r="BW1708" s="57"/>
      <c r="BX1708" s="57"/>
      <c r="BY1708" s="57"/>
    </row>
    <row r="1709" spans="70:77" ht="18.5" x14ac:dyDescent="0.35">
      <c r="BR1709" s="63"/>
      <c r="BS1709" s="63"/>
      <c r="BT1709" s="63"/>
      <c r="BU1709" s="63"/>
      <c r="BV1709" s="57"/>
      <c r="BW1709" s="57"/>
      <c r="BX1709" s="57"/>
      <c r="BY1709" s="57"/>
    </row>
    <row r="1710" spans="70:77" ht="18.5" x14ac:dyDescent="0.35">
      <c r="BR1710" s="63"/>
      <c r="BS1710" s="63"/>
      <c r="BT1710" s="63"/>
      <c r="BU1710" s="63"/>
      <c r="BV1710" s="57"/>
      <c r="BW1710" s="57"/>
      <c r="BX1710" s="57"/>
      <c r="BY1710" s="57"/>
    </row>
    <row r="1711" spans="70:77" ht="18.5" x14ac:dyDescent="0.35">
      <c r="BR1711" s="63"/>
      <c r="BS1711" s="63"/>
      <c r="BT1711" s="63"/>
      <c r="BU1711" s="63"/>
      <c r="BV1711" s="57"/>
      <c r="BW1711" s="57"/>
      <c r="BX1711" s="57"/>
      <c r="BY1711" s="57"/>
    </row>
    <row r="1712" spans="70:77" ht="18.5" x14ac:dyDescent="0.35">
      <c r="BR1712" s="63"/>
      <c r="BS1712" s="63"/>
      <c r="BT1712" s="63"/>
      <c r="BU1712" s="63"/>
      <c r="BV1712" s="57"/>
      <c r="BW1712" s="57"/>
      <c r="BX1712" s="57"/>
      <c r="BY1712" s="57"/>
    </row>
    <row r="1713" spans="70:77" ht="18.5" x14ac:dyDescent="0.35">
      <c r="BR1713" s="63"/>
      <c r="BS1713" s="63"/>
      <c r="BT1713" s="63"/>
      <c r="BU1713" s="63"/>
      <c r="BV1713" s="57"/>
      <c r="BW1713" s="57"/>
      <c r="BX1713" s="57"/>
      <c r="BY1713" s="57"/>
    </row>
    <row r="1714" spans="70:77" ht="18.5" x14ac:dyDescent="0.35">
      <c r="BR1714" s="63"/>
      <c r="BS1714" s="63"/>
      <c r="BT1714" s="63"/>
      <c r="BU1714" s="63"/>
      <c r="BV1714" s="57"/>
      <c r="BW1714" s="57"/>
      <c r="BX1714" s="57"/>
      <c r="BY1714" s="57"/>
    </row>
    <row r="1715" spans="70:77" ht="18.5" x14ac:dyDescent="0.35">
      <c r="BR1715" s="63"/>
      <c r="BS1715" s="63"/>
      <c r="BT1715" s="63"/>
      <c r="BU1715" s="63"/>
      <c r="BV1715" s="57"/>
      <c r="BW1715" s="57"/>
      <c r="BX1715" s="57"/>
      <c r="BY1715" s="57"/>
    </row>
    <row r="1716" spans="70:77" ht="18.5" x14ac:dyDescent="0.35">
      <c r="BR1716" s="63"/>
      <c r="BS1716" s="63"/>
      <c r="BT1716" s="63"/>
      <c r="BU1716" s="63"/>
      <c r="BV1716" s="57"/>
      <c r="BW1716" s="57"/>
      <c r="BX1716" s="57"/>
      <c r="BY1716" s="57"/>
    </row>
    <row r="1717" spans="70:77" ht="18.5" x14ac:dyDescent="0.35">
      <c r="BR1717" s="63"/>
      <c r="BS1717" s="63"/>
      <c r="BT1717" s="63"/>
      <c r="BU1717" s="63"/>
      <c r="BV1717" s="57"/>
      <c r="BW1717" s="57"/>
      <c r="BX1717" s="57"/>
      <c r="BY1717" s="57"/>
    </row>
    <row r="1718" spans="70:77" ht="18.5" x14ac:dyDescent="0.35">
      <c r="BR1718" s="63"/>
      <c r="BS1718" s="63"/>
      <c r="BT1718" s="63"/>
      <c r="BU1718" s="63"/>
      <c r="BV1718" s="57"/>
      <c r="BW1718" s="57"/>
      <c r="BX1718" s="57"/>
      <c r="BY1718" s="57"/>
    </row>
    <row r="1719" spans="70:77" ht="18.5" x14ac:dyDescent="0.35">
      <c r="BR1719" s="63"/>
      <c r="BS1719" s="63"/>
      <c r="BT1719" s="63"/>
      <c r="BU1719" s="63"/>
      <c r="BV1719" s="57"/>
      <c r="BW1719" s="57"/>
      <c r="BX1719" s="57"/>
      <c r="BY1719" s="57"/>
    </row>
    <row r="1720" spans="70:77" ht="18.5" x14ac:dyDescent="0.35">
      <c r="BR1720" s="63"/>
      <c r="BS1720" s="63"/>
      <c r="BT1720" s="63"/>
      <c r="BU1720" s="63"/>
      <c r="BV1720" s="57"/>
      <c r="BW1720" s="57"/>
      <c r="BX1720" s="57"/>
      <c r="BY1720" s="57"/>
    </row>
    <row r="1721" spans="70:77" ht="18.5" x14ac:dyDescent="0.35">
      <c r="BR1721" s="63"/>
      <c r="BS1721" s="63"/>
      <c r="BT1721" s="63"/>
      <c r="BU1721" s="63"/>
      <c r="BV1721" s="57"/>
      <c r="BW1721" s="57"/>
      <c r="BX1721" s="57"/>
      <c r="BY1721" s="57"/>
    </row>
    <row r="1722" spans="70:77" ht="18.5" x14ac:dyDescent="0.35">
      <c r="BR1722" s="63"/>
      <c r="BS1722" s="63"/>
      <c r="BT1722" s="63"/>
      <c r="BU1722" s="63"/>
      <c r="BV1722" s="57"/>
      <c r="BW1722" s="57"/>
      <c r="BX1722" s="57"/>
      <c r="BY1722" s="57"/>
    </row>
    <row r="1723" spans="70:77" ht="18.5" x14ac:dyDescent="0.35">
      <c r="BR1723" s="63"/>
      <c r="BS1723" s="63"/>
      <c r="BT1723" s="63"/>
      <c r="BU1723" s="63"/>
      <c r="BV1723" s="57"/>
      <c r="BW1723" s="57"/>
      <c r="BX1723" s="57"/>
      <c r="BY1723" s="57"/>
    </row>
    <row r="1724" spans="70:77" ht="18.5" x14ac:dyDescent="0.35">
      <c r="BR1724" s="63"/>
      <c r="BS1724" s="63"/>
      <c r="BT1724" s="63"/>
      <c r="BU1724" s="63"/>
      <c r="BV1724" s="57"/>
      <c r="BW1724" s="57"/>
      <c r="BX1724" s="57"/>
      <c r="BY1724" s="57"/>
    </row>
    <row r="1725" spans="70:77" ht="18.5" x14ac:dyDescent="0.35">
      <c r="BR1725" s="63"/>
      <c r="BS1725" s="63"/>
      <c r="BT1725" s="63"/>
      <c r="BU1725" s="63"/>
      <c r="BV1725" s="57"/>
      <c r="BW1725" s="57"/>
      <c r="BX1725" s="57"/>
      <c r="BY1725" s="57"/>
    </row>
    <row r="1726" spans="70:77" ht="18.5" x14ac:dyDescent="0.35">
      <c r="BR1726" s="63"/>
      <c r="BS1726" s="63"/>
      <c r="BT1726" s="63"/>
      <c r="BU1726" s="63"/>
      <c r="BV1726" s="57"/>
      <c r="BW1726" s="57"/>
      <c r="BX1726" s="57"/>
      <c r="BY1726" s="57"/>
    </row>
    <row r="1727" spans="70:77" ht="18.5" x14ac:dyDescent="0.35">
      <c r="BR1727" s="63"/>
      <c r="BS1727" s="63"/>
      <c r="BT1727" s="63"/>
      <c r="BU1727" s="63"/>
      <c r="BV1727" s="57"/>
      <c r="BW1727" s="57"/>
      <c r="BX1727" s="57"/>
      <c r="BY1727" s="57"/>
    </row>
    <row r="1728" spans="70:77" ht="18.5" x14ac:dyDescent="0.35">
      <c r="BR1728" s="63"/>
      <c r="BS1728" s="63"/>
      <c r="BT1728" s="63"/>
      <c r="BU1728" s="63"/>
      <c r="BV1728" s="57"/>
      <c r="BW1728" s="57"/>
      <c r="BX1728" s="57"/>
      <c r="BY1728" s="57"/>
    </row>
    <row r="1729" spans="70:77" ht="18.5" x14ac:dyDescent="0.35">
      <c r="BR1729" s="63"/>
      <c r="BS1729" s="63"/>
      <c r="BT1729" s="63"/>
      <c r="BU1729" s="63"/>
      <c r="BV1729" s="57"/>
      <c r="BW1729" s="57"/>
      <c r="BX1729" s="57"/>
      <c r="BY1729" s="57"/>
    </row>
    <row r="1730" spans="70:77" ht="18.5" x14ac:dyDescent="0.35">
      <c r="BR1730" s="63"/>
      <c r="BS1730" s="63"/>
      <c r="BT1730" s="63"/>
      <c r="BU1730" s="63"/>
      <c r="BV1730" s="57"/>
      <c r="BW1730" s="57"/>
      <c r="BX1730" s="57"/>
      <c r="BY1730" s="57"/>
    </row>
    <row r="1731" spans="70:77" ht="18.5" x14ac:dyDescent="0.35">
      <c r="BR1731" s="63"/>
      <c r="BS1731" s="63"/>
      <c r="BT1731" s="63"/>
      <c r="BU1731" s="63"/>
      <c r="BV1731" s="57"/>
      <c r="BW1731" s="57"/>
      <c r="BX1731" s="57"/>
      <c r="BY1731" s="57"/>
    </row>
    <row r="1732" spans="70:77" ht="18.5" x14ac:dyDescent="0.35">
      <c r="BR1732" s="63"/>
      <c r="BS1732" s="63"/>
      <c r="BT1732" s="63"/>
      <c r="BU1732" s="63"/>
      <c r="BV1732" s="57"/>
      <c r="BW1732" s="57"/>
      <c r="BX1732" s="57"/>
      <c r="BY1732" s="57"/>
    </row>
    <row r="1733" spans="70:77" ht="18.5" x14ac:dyDescent="0.35">
      <c r="BR1733" s="63"/>
      <c r="BS1733" s="63"/>
      <c r="BT1733" s="63"/>
      <c r="BU1733" s="63"/>
      <c r="BV1733" s="57"/>
      <c r="BW1733" s="57"/>
      <c r="BX1733" s="57"/>
      <c r="BY1733" s="57"/>
    </row>
    <row r="1734" spans="70:77" ht="18.5" x14ac:dyDescent="0.35">
      <c r="BR1734" s="63"/>
      <c r="BS1734" s="63"/>
      <c r="BT1734" s="63"/>
      <c r="BU1734" s="63"/>
      <c r="BV1734" s="57"/>
      <c r="BW1734" s="57"/>
      <c r="BX1734" s="57"/>
      <c r="BY1734" s="57"/>
    </row>
    <row r="1735" spans="70:77" ht="18.5" x14ac:dyDescent="0.35">
      <c r="BR1735" s="63"/>
      <c r="BS1735" s="63"/>
      <c r="BT1735" s="63"/>
      <c r="BU1735" s="63"/>
      <c r="BV1735" s="57"/>
      <c r="BW1735" s="57"/>
      <c r="BX1735" s="57"/>
      <c r="BY1735" s="57"/>
    </row>
    <row r="1736" spans="70:77" ht="18.5" x14ac:dyDescent="0.35">
      <c r="BR1736" s="63"/>
      <c r="BS1736" s="63"/>
      <c r="BT1736" s="63"/>
      <c r="BU1736" s="63"/>
      <c r="BV1736" s="57"/>
      <c r="BW1736" s="57"/>
      <c r="BX1736" s="57"/>
      <c r="BY1736" s="57"/>
    </row>
    <row r="1737" spans="70:77" ht="18.5" x14ac:dyDescent="0.35">
      <c r="BR1737" s="63"/>
      <c r="BS1737" s="63"/>
      <c r="BT1737" s="63"/>
      <c r="BU1737" s="63"/>
      <c r="BV1737" s="57"/>
      <c r="BW1737" s="57"/>
      <c r="BX1737" s="57"/>
      <c r="BY1737" s="57"/>
    </row>
    <row r="1738" spans="70:77" ht="18.5" x14ac:dyDescent="0.35">
      <c r="BR1738" s="63"/>
      <c r="BS1738" s="63"/>
      <c r="BT1738" s="63"/>
      <c r="BU1738" s="63"/>
      <c r="BV1738" s="57"/>
      <c r="BW1738" s="57"/>
      <c r="BX1738" s="57"/>
      <c r="BY1738" s="57"/>
    </row>
    <row r="1739" spans="70:77" ht="18.5" x14ac:dyDescent="0.35">
      <c r="BR1739" s="63"/>
      <c r="BS1739" s="63"/>
      <c r="BT1739" s="63"/>
      <c r="BU1739" s="63"/>
      <c r="BV1739" s="57"/>
      <c r="BW1739" s="57"/>
      <c r="BX1739" s="57"/>
      <c r="BY1739" s="57"/>
    </row>
    <row r="1740" spans="70:77" ht="18.5" x14ac:dyDescent="0.35">
      <c r="BR1740" s="63"/>
      <c r="BS1740" s="63"/>
      <c r="BT1740" s="63"/>
      <c r="BU1740" s="63"/>
      <c r="BV1740" s="57"/>
      <c r="BW1740" s="57"/>
      <c r="BX1740" s="57"/>
      <c r="BY1740" s="57"/>
    </row>
    <row r="1741" spans="70:77" ht="18.5" x14ac:dyDescent="0.35">
      <c r="BR1741" s="63"/>
      <c r="BS1741" s="63"/>
      <c r="BT1741" s="63"/>
      <c r="BU1741" s="63"/>
      <c r="BV1741" s="57"/>
      <c r="BW1741" s="57"/>
      <c r="BX1741" s="57"/>
      <c r="BY1741" s="57"/>
    </row>
    <row r="1742" spans="70:77" ht="18.5" x14ac:dyDescent="0.35">
      <c r="BR1742" s="63"/>
      <c r="BS1742" s="63"/>
      <c r="BT1742" s="63"/>
      <c r="BU1742" s="63"/>
      <c r="BV1742" s="57"/>
      <c r="BW1742" s="57"/>
      <c r="BX1742" s="57"/>
      <c r="BY1742" s="57"/>
    </row>
    <row r="1743" spans="70:77" ht="18.5" x14ac:dyDescent="0.35">
      <c r="BR1743" s="63"/>
      <c r="BS1743" s="63"/>
      <c r="BT1743" s="63"/>
      <c r="BU1743" s="63"/>
      <c r="BV1743" s="57"/>
      <c r="BW1743" s="57"/>
      <c r="BX1743" s="57"/>
      <c r="BY1743" s="57"/>
    </row>
    <row r="1744" spans="70:77" ht="18.5" x14ac:dyDescent="0.35">
      <c r="BR1744" s="63"/>
      <c r="BS1744" s="63"/>
      <c r="BT1744" s="63"/>
      <c r="BU1744" s="63"/>
      <c r="BV1744" s="57"/>
      <c r="BW1744" s="57"/>
      <c r="BX1744" s="57"/>
      <c r="BY1744" s="57"/>
    </row>
    <row r="1745" spans="70:77" ht="18.5" x14ac:dyDescent="0.35">
      <c r="BR1745" s="63"/>
      <c r="BS1745" s="63"/>
      <c r="BT1745" s="63"/>
      <c r="BU1745" s="63"/>
      <c r="BV1745" s="57"/>
      <c r="BW1745" s="57"/>
      <c r="BX1745" s="57"/>
      <c r="BY1745" s="57"/>
    </row>
    <row r="1746" spans="70:77" ht="18.5" x14ac:dyDescent="0.35">
      <c r="BR1746" s="63"/>
      <c r="BS1746" s="63"/>
      <c r="BT1746" s="63"/>
      <c r="BU1746" s="63"/>
      <c r="BV1746" s="57"/>
      <c r="BW1746" s="57"/>
      <c r="BX1746" s="57"/>
      <c r="BY1746" s="57"/>
    </row>
    <row r="1747" spans="70:77" ht="18.5" x14ac:dyDescent="0.35">
      <c r="BR1747" s="63"/>
      <c r="BS1747" s="63"/>
      <c r="BT1747" s="63"/>
      <c r="BU1747" s="63"/>
      <c r="BV1747" s="57"/>
      <c r="BW1747" s="57"/>
      <c r="BX1747" s="57"/>
      <c r="BY1747" s="57"/>
    </row>
    <row r="1748" spans="70:77" ht="18.5" x14ac:dyDescent="0.35">
      <c r="BR1748" s="63"/>
      <c r="BS1748" s="63"/>
      <c r="BT1748" s="63"/>
      <c r="BU1748" s="63"/>
      <c r="BV1748" s="57"/>
      <c r="BW1748" s="57"/>
      <c r="BX1748" s="57"/>
      <c r="BY1748" s="57"/>
    </row>
    <row r="1749" spans="70:77" ht="18.5" x14ac:dyDescent="0.35">
      <c r="BR1749" s="63"/>
      <c r="BS1749" s="63"/>
      <c r="BT1749" s="63"/>
      <c r="BU1749" s="63"/>
      <c r="BV1749" s="57"/>
      <c r="BW1749" s="57"/>
      <c r="BX1749" s="57"/>
      <c r="BY1749" s="57"/>
    </row>
    <row r="1750" spans="70:77" ht="18.5" x14ac:dyDescent="0.35">
      <c r="BR1750" s="63"/>
      <c r="BS1750" s="63"/>
      <c r="BT1750" s="63"/>
      <c r="BU1750" s="63"/>
      <c r="BV1750" s="57"/>
      <c r="BW1750" s="57"/>
      <c r="BX1750" s="57"/>
      <c r="BY1750" s="57"/>
    </row>
    <row r="1751" spans="70:77" ht="18.5" x14ac:dyDescent="0.35">
      <c r="BR1751" s="63"/>
      <c r="BS1751" s="63"/>
      <c r="BT1751" s="63"/>
      <c r="BU1751" s="63"/>
      <c r="BV1751" s="57"/>
      <c r="BW1751" s="57"/>
      <c r="BX1751" s="57"/>
      <c r="BY1751" s="57"/>
    </row>
    <row r="1752" spans="70:77" ht="18.5" x14ac:dyDescent="0.35">
      <c r="BR1752" s="63"/>
      <c r="BS1752" s="63"/>
      <c r="BT1752" s="63"/>
      <c r="BU1752" s="63"/>
      <c r="BV1752" s="57"/>
      <c r="BW1752" s="57"/>
      <c r="BX1752" s="57"/>
      <c r="BY1752" s="57"/>
    </row>
    <row r="1753" spans="70:77" ht="18.5" x14ac:dyDescent="0.35">
      <c r="BR1753" s="63"/>
      <c r="BS1753" s="63"/>
      <c r="BT1753" s="63"/>
      <c r="BU1753" s="63"/>
      <c r="BV1753" s="57"/>
      <c r="BW1753" s="57"/>
      <c r="BX1753" s="57"/>
      <c r="BY1753" s="57"/>
    </row>
    <row r="1754" spans="70:77" ht="18.5" x14ac:dyDescent="0.35">
      <c r="BR1754" s="63"/>
      <c r="BS1754" s="63"/>
      <c r="BT1754" s="63"/>
      <c r="BU1754" s="63"/>
      <c r="BV1754" s="57"/>
      <c r="BW1754" s="57"/>
      <c r="BX1754" s="57"/>
      <c r="BY1754" s="57"/>
    </row>
    <row r="1755" spans="70:77" ht="18.5" x14ac:dyDescent="0.35">
      <c r="BR1755" s="63"/>
      <c r="BS1755" s="63"/>
      <c r="BT1755" s="63"/>
      <c r="BU1755" s="63"/>
      <c r="BV1755" s="57"/>
      <c r="BW1755" s="57"/>
      <c r="BX1755" s="57"/>
      <c r="BY1755" s="57"/>
    </row>
    <row r="1756" spans="70:77" ht="18.5" x14ac:dyDescent="0.35">
      <c r="BR1756" s="63"/>
      <c r="BS1756" s="63"/>
      <c r="BT1756" s="63"/>
      <c r="BU1756" s="63"/>
      <c r="BV1756" s="57"/>
      <c r="BW1756" s="57"/>
      <c r="BX1756" s="57"/>
      <c r="BY1756" s="57"/>
    </row>
    <row r="1757" spans="70:77" ht="18.5" x14ac:dyDescent="0.35">
      <c r="BR1757" s="63"/>
      <c r="BS1757" s="63"/>
      <c r="BT1757" s="63"/>
      <c r="BU1757" s="63"/>
      <c r="BV1757" s="57"/>
      <c r="BW1757" s="57"/>
      <c r="BX1757" s="57"/>
      <c r="BY1757" s="57"/>
    </row>
    <row r="1758" spans="70:77" ht="18.5" x14ac:dyDescent="0.35">
      <c r="BR1758" s="63"/>
      <c r="BS1758" s="63"/>
      <c r="BT1758" s="63"/>
      <c r="BU1758" s="63"/>
      <c r="BV1758" s="57"/>
      <c r="BW1758" s="57"/>
      <c r="BX1758" s="57"/>
      <c r="BY1758" s="57"/>
    </row>
    <row r="1759" spans="70:77" ht="18.5" x14ac:dyDescent="0.35">
      <c r="BR1759" s="63"/>
      <c r="BS1759" s="63"/>
      <c r="BT1759" s="63"/>
      <c r="BU1759" s="63"/>
      <c r="BV1759" s="57"/>
      <c r="BW1759" s="57"/>
      <c r="BX1759" s="57"/>
      <c r="BY1759" s="57"/>
    </row>
    <row r="1760" spans="70:77" ht="18.5" x14ac:dyDescent="0.35">
      <c r="BR1760" s="63"/>
      <c r="BS1760" s="63"/>
      <c r="BT1760" s="63"/>
      <c r="BU1760" s="63"/>
      <c r="BV1760" s="57"/>
      <c r="BW1760" s="57"/>
      <c r="BX1760" s="57"/>
      <c r="BY1760" s="57"/>
    </row>
    <row r="1761" spans="70:77" ht="18.5" x14ac:dyDescent="0.35">
      <c r="BR1761" s="63"/>
      <c r="BS1761" s="63"/>
      <c r="BT1761" s="63"/>
      <c r="BU1761" s="63"/>
      <c r="BV1761" s="57"/>
      <c r="BW1761" s="57"/>
      <c r="BX1761" s="57"/>
      <c r="BY1761" s="57"/>
    </row>
    <row r="1762" spans="70:77" ht="18.5" x14ac:dyDescent="0.35">
      <c r="BR1762" s="63"/>
      <c r="BS1762" s="63"/>
      <c r="BT1762" s="63"/>
      <c r="BU1762" s="63"/>
      <c r="BV1762" s="57"/>
      <c r="BW1762" s="57"/>
      <c r="BX1762" s="57"/>
      <c r="BY1762" s="57"/>
    </row>
    <row r="1763" spans="70:77" ht="18.5" x14ac:dyDescent="0.35">
      <c r="BR1763" s="63"/>
      <c r="BS1763" s="63"/>
      <c r="BT1763" s="63"/>
      <c r="BU1763" s="63"/>
      <c r="BV1763" s="57"/>
      <c r="BW1763" s="57"/>
      <c r="BX1763" s="57"/>
      <c r="BY1763" s="57"/>
    </row>
    <row r="1764" spans="70:77" ht="18.5" x14ac:dyDescent="0.35">
      <c r="BR1764" s="63"/>
      <c r="BS1764" s="63"/>
      <c r="BT1764" s="63"/>
      <c r="BU1764" s="63"/>
      <c r="BV1764" s="57"/>
      <c r="BW1764" s="57"/>
      <c r="BX1764" s="57"/>
      <c r="BY1764" s="57"/>
    </row>
    <row r="1765" spans="70:77" ht="18.5" x14ac:dyDescent="0.35">
      <c r="BR1765" s="63"/>
      <c r="BS1765" s="63"/>
      <c r="BT1765" s="63"/>
      <c r="BU1765" s="63"/>
      <c r="BV1765" s="57"/>
      <c r="BW1765" s="57"/>
      <c r="BX1765" s="57"/>
      <c r="BY1765" s="57"/>
    </row>
    <row r="1766" spans="70:77" ht="18.5" x14ac:dyDescent="0.35">
      <c r="BR1766" s="63"/>
      <c r="BS1766" s="63"/>
      <c r="BT1766" s="63"/>
      <c r="BU1766" s="63"/>
      <c r="BV1766" s="57"/>
      <c r="BW1766" s="57"/>
      <c r="BX1766" s="57"/>
      <c r="BY1766" s="57"/>
    </row>
    <row r="1767" spans="70:77" ht="18.5" x14ac:dyDescent="0.35">
      <c r="BR1767" s="63"/>
      <c r="BS1767" s="63"/>
      <c r="BT1767" s="63"/>
      <c r="BU1767" s="63"/>
      <c r="BV1767" s="57"/>
      <c r="BW1767" s="57"/>
      <c r="BX1767" s="57"/>
      <c r="BY1767" s="57"/>
    </row>
    <row r="1768" spans="70:77" ht="18.5" x14ac:dyDescent="0.35">
      <c r="BR1768" s="63"/>
      <c r="BS1768" s="63"/>
      <c r="BT1768" s="63"/>
      <c r="BU1768" s="63"/>
      <c r="BV1768" s="57"/>
      <c r="BW1768" s="57"/>
      <c r="BX1768" s="57"/>
      <c r="BY1768" s="57"/>
    </row>
    <row r="1769" spans="70:77" ht="18.5" x14ac:dyDescent="0.35">
      <c r="BR1769" s="63"/>
      <c r="BS1769" s="63"/>
      <c r="BT1769" s="63"/>
      <c r="BU1769" s="63"/>
      <c r="BV1769" s="57"/>
      <c r="BW1769" s="57"/>
      <c r="BX1769" s="57"/>
      <c r="BY1769" s="57"/>
    </row>
    <row r="1770" spans="70:77" ht="18.5" x14ac:dyDescent="0.35">
      <c r="BR1770" s="63"/>
      <c r="BS1770" s="63"/>
      <c r="BT1770" s="63"/>
      <c r="BU1770" s="63"/>
      <c r="BV1770" s="57"/>
      <c r="BW1770" s="57"/>
      <c r="BX1770" s="57"/>
      <c r="BY1770" s="57"/>
    </row>
    <row r="1771" spans="70:77" ht="18.5" x14ac:dyDescent="0.35">
      <c r="BR1771" s="63"/>
      <c r="BS1771" s="63"/>
      <c r="BT1771" s="63"/>
      <c r="BU1771" s="63"/>
      <c r="BV1771" s="57"/>
      <c r="BW1771" s="57"/>
      <c r="BX1771" s="57"/>
      <c r="BY1771" s="57"/>
    </row>
    <row r="1772" spans="70:77" ht="18.5" x14ac:dyDescent="0.35">
      <c r="BR1772" s="63"/>
      <c r="BS1772" s="63"/>
      <c r="BT1772" s="63"/>
      <c r="BU1772" s="63"/>
      <c r="BV1772" s="57"/>
      <c r="BW1772" s="57"/>
      <c r="BX1772" s="57"/>
      <c r="BY1772" s="57"/>
    </row>
    <row r="1773" spans="70:77" ht="18.5" x14ac:dyDescent="0.35">
      <c r="BR1773" s="63"/>
      <c r="BS1773" s="63"/>
      <c r="BT1773" s="63"/>
      <c r="BU1773" s="63"/>
      <c r="BV1773" s="57"/>
      <c r="BW1773" s="57"/>
      <c r="BX1773" s="57"/>
      <c r="BY1773" s="57"/>
    </row>
    <row r="1774" spans="70:77" ht="18.5" x14ac:dyDescent="0.35">
      <c r="BR1774" s="63"/>
      <c r="BS1774" s="63"/>
      <c r="BT1774" s="63"/>
      <c r="BU1774" s="63"/>
      <c r="BV1774" s="57"/>
      <c r="BW1774" s="57"/>
      <c r="BX1774" s="57"/>
      <c r="BY1774" s="57"/>
    </row>
    <row r="1775" spans="70:77" ht="18.5" x14ac:dyDescent="0.35">
      <c r="BR1775" s="63"/>
      <c r="BS1775" s="63"/>
      <c r="BT1775" s="63"/>
      <c r="BU1775" s="63"/>
      <c r="BV1775" s="57"/>
      <c r="BW1775" s="57"/>
      <c r="BX1775" s="57"/>
      <c r="BY1775" s="57"/>
    </row>
    <row r="1776" spans="70:77" ht="18.5" x14ac:dyDescent="0.35">
      <c r="BR1776" s="63"/>
      <c r="BS1776" s="63"/>
      <c r="BT1776" s="63"/>
      <c r="BU1776" s="63"/>
      <c r="BV1776" s="57"/>
      <c r="BW1776" s="57"/>
      <c r="BX1776" s="57"/>
      <c r="BY1776" s="57"/>
    </row>
    <row r="1777" spans="70:77" ht="18.5" x14ac:dyDescent="0.35">
      <c r="BR1777" s="63"/>
      <c r="BS1777" s="63"/>
      <c r="BT1777" s="63"/>
      <c r="BU1777" s="63"/>
      <c r="BV1777" s="57"/>
      <c r="BW1777" s="57"/>
      <c r="BX1777" s="57"/>
      <c r="BY1777" s="57"/>
    </row>
    <row r="1778" spans="70:77" ht="18.5" x14ac:dyDescent="0.35">
      <c r="BR1778" s="63"/>
      <c r="BS1778" s="63"/>
      <c r="BT1778" s="63"/>
      <c r="BU1778" s="63"/>
      <c r="BV1778" s="57"/>
      <c r="BW1778" s="57"/>
      <c r="BX1778" s="57"/>
      <c r="BY1778" s="57"/>
    </row>
    <row r="1779" spans="70:77" ht="18.5" x14ac:dyDescent="0.35">
      <c r="BR1779" s="63"/>
      <c r="BS1779" s="63"/>
      <c r="BT1779" s="63"/>
      <c r="BU1779" s="63"/>
      <c r="BV1779" s="57"/>
      <c r="BW1779" s="57"/>
      <c r="BX1779" s="57"/>
      <c r="BY1779" s="57"/>
    </row>
    <row r="1780" spans="70:77" ht="18.5" x14ac:dyDescent="0.35">
      <c r="BR1780" s="63"/>
      <c r="BS1780" s="63"/>
      <c r="BT1780" s="63"/>
      <c r="BU1780" s="63"/>
      <c r="BV1780" s="57"/>
      <c r="BW1780" s="57"/>
      <c r="BX1780" s="57"/>
      <c r="BY1780" s="57"/>
    </row>
    <row r="1781" spans="70:77" ht="18.5" x14ac:dyDescent="0.35">
      <c r="BR1781" s="63"/>
      <c r="BS1781" s="63"/>
      <c r="BT1781" s="63"/>
      <c r="BU1781" s="63"/>
      <c r="BV1781" s="57"/>
      <c r="BW1781" s="57"/>
      <c r="BX1781" s="57"/>
      <c r="BY1781" s="57"/>
    </row>
    <row r="1782" spans="70:77" ht="18.5" x14ac:dyDescent="0.35">
      <c r="BR1782" s="63"/>
      <c r="BS1782" s="63"/>
      <c r="BT1782" s="63"/>
      <c r="BU1782" s="63"/>
      <c r="BV1782" s="57"/>
      <c r="BW1782" s="57"/>
      <c r="BX1782" s="57"/>
      <c r="BY1782" s="57"/>
    </row>
    <row r="1783" spans="70:77" ht="18.5" x14ac:dyDescent="0.35">
      <c r="BR1783" s="63"/>
      <c r="BS1783" s="63"/>
      <c r="BT1783" s="63"/>
      <c r="BU1783" s="63"/>
      <c r="BV1783" s="57"/>
      <c r="BW1783" s="57"/>
      <c r="BX1783" s="57"/>
      <c r="BY1783" s="57"/>
    </row>
    <row r="1784" spans="70:77" ht="18.5" x14ac:dyDescent="0.35">
      <c r="BR1784" s="63"/>
      <c r="BS1784" s="63"/>
      <c r="BT1784" s="63"/>
      <c r="BU1784" s="63"/>
      <c r="BV1784" s="57"/>
      <c r="BW1784" s="57"/>
      <c r="BX1784" s="57"/>
      <c r="BY1784" s="57"/>
    </row>
    <row r="1785" spans="70:77" ht="18.5" x14ac:dyDescent="0.35">
      <c r="BR1785" s="63"/>
      <c r="BS1785" s="63"/>
      <c r="BT1785" s="63"/>
      <c r="BU1785" s="63"/>
      <c r="BV1785" s="57"/>
      <c r="BW1785" s="57"/>
      <c r="BX1785" s="57"/>
      <c r="BY1785" s="57"/>
    </row>
    <row r="1786" spans="70:77" ht="18.5" x14ac:dyDescent="0.35">
      <c r="BR1786" s="63"/>
      <c r="BS1786" s="63"/>
      <c r="BT1786" s="63"/>
      <c r="BU1786" s="63"/>
      <c r="BV1786" s="57"/>
      <c r="BW1786" s="57"/>
      <c r="BX1786" s="57"/>
      <c r="BY1786" s="57"/>
    </row>
    <row r="1787" spans="70:77" ht="18.5" x14ac:dyDescent="0.35">
      <c r="BR1787" s="63"/>
      <c r="BS1787" s="63"/>
      <c r="BT1787" s="63"/>
      <c r="BU1787" s="63"/>
      <c r="BV1787" s="57"/>
      <c r="BW1787" s="57"/>
      <c r="BX1787" s="57"/>
      <c r="BY1787" s="57"/>
    </row>
    <row r="1788" spans="70:77" ht="18.5" x14ac:dyDescent="0.35">
      <c r="BR1788" s="63"/>
      <c r="BS1788" s="63"/>
      <c r="BT1788" s="63"/>
      <c r="BU1788" s="63"/>
      <c r="BV1788" s="57"/>
      <c r="BW1788" s="57"/>
      <c r="BX1788" s="57"/>
      <c r="BY1788" s="57"/>
    </row>
    <row r="1789" spans="70:77" ht="18.5" x14ac:dyDescent="0.35">
      <c r="BR1789" s="63"/>
      <c r="BS1789" s="63"/>
      <c r="BT1789" s="63"/>
      <c r="BU1789" s="63"/>
      <c r="BV1789" s="57"/>
      <c r="BW1789" s="57"/>
      <c r="BX1789" s="57"/>
      <c r="BY1789" s="57"/>
    </row>
    <row r="1790" spans="70:77" ht="18.5" x14ac:dyDescent="0.35">
      <c r="BR1790" s="63"/>
      <c r="BS1790" s="63"/>
      <c r="BT1790" s="63"/>
      <c r="BU1790" s="63"/>
      <c r="BV1790" s="57"/>
      <c r="BW1790" s="57"/>
      <c r="BX1790" s="57"/>
      <c r="BY1790" s="57"/>
    </row>
    <row r="1791" spans="70:77" ht="18.5" x14ac:dyDescent="0.35">
      <c r="BR1791" s="63"/>
      <c r="BS1791" s="63"/>
      <c r="BT1791" s="63"/>
      <c r="BU1791" s="63"/>
      <c r="BV1791" s="57"/>
      <c r="BW1791" s="57"/>
      <c r="BX1791" s="57"/>
      <c r="BY1791" s="57"/>
    </row>
    <row r="1792" spans="70:77" ht="18.5" x14ac:dyDescent="0.35">
      <c r="BR1792" s="63"/>
      <c r="BS1792" s="63"/>
      <c r="BT1792" s="63"/>
      <c r="BU1792" s="63"/>
      <c r="BV1792" s="57"/>
      <c r="BW1792" s="57"/>
      <c r="BX1792" s="57"/>
      <c r="BY1792" s="57"/>
    </row>
    <row r="1793" spans="70:77" ht="18.5" x14ac:dyDescent="0.35">
      <c r="BR1793" s="63"/>
      <c r="BS1793" s="63"/>
      <c r="BT1793" s="63"/>
      <c r="BU1793" s="63"/>
      <c r="BV1793" s="57"/>
      <c r="BW1793" s="57"/>
      <c r="BX1793" s="57"/>
      <c r="BY1793" s="57"/>
    </row>
    <row r="1794" spans="70:77" ht="18.5" x14ac:dyDescent="0.35">
      <c r="BR1794" s="63"/>
      <c r="BS1794" s="63"/>
      <c r="BT1794" s="63"/>
      <c r="BU1794" s="63"/>
      <c r="BV1794" s="57"/>
      <c r="BW1794" s="57"/>
      <c r="BX1794" s="57"/>
      <c r="BY1794" s="57"/>
    </row>
    <row r="1795" spans="70:77" ht="18.5" x14ac:dyDescent="0.35">
      <c r="BR1795" s="63"/>
      <c r="BS1795" s="63"/>
      <c r="BT1795" s="63"/>
      <c r="BU1795" s="63"/>
      <c r="BV1795" s="57"/>
      <c r="BW1795" s="57"/>
      <c r="BX1795" s="57"/>
      <c r="BY1795" s="57"/>
    </row>
    <row r="1796" spans="70:77" ht="18.5" x14ac:dyDescent="0.35">
      <c r="BR1796" s="63"/>
      <c r="BS1796" s="63"/>
      <c r="BT1796" s="63"/>
      <c r="BU1796" s="63"/>
      <c r="BV1796" s="57"/>
      <c r="BW1796" s="57"/>
      <c r="BX1796" s="57"/>
      <c r="BY1796" s="57"/>
    </row>
    <row r="1797" spans="70:77" ht="18.5" x14ac:dyDescent="0.35">
      <c r="BR1797" s="63"/>
      <c r="BS1797" s="63"/>
      <c r="BT1797" s="63"/>
      <c r="BU1797" s="63"/>
      <c r="BV1797" s="57"/>
      <c r="BW1797" s="57"/>
      <c r="BX1797" s="57"/>
      <c r="BY1797" s="57"/>
    </row>
    <row r="1798" spans="70:77" ht="18.5" x14ac:dyDescent="0.35">
      <c r="BR1798" s="63"/>
      <c r="BS1798" s="63"/>
      <c r="BT1798" s="63"/>
      <c r="BU1798" s="63"/>
      <c r="BV1798" s="57"/>
      <c r="BW1798" s="57"/>
      <c r="BX1798" s="57"/>
      <c r="BY1798" s="57"/>
    </row>
    <row r="1799" spans="70:77" ht="18.5" x14ac:dyDescent="0.35">
      <c r="BR1799" s="63"/>
      <c r="BS1799" s="63"/>
      <c r="BT1799" s="63"/>
      <c r="BU1799" s="63"/>
      <c r="BV1799" s="57"/>
      <c r="BW1799" s="57"/>
      <c r="BX1799" s="57"/>
      <c r="BY1799" s="57"/>
    </row>
    <row r="1800" spans="70:77" ht="18.5" x14ac:dyDescent="0.35">
      <c r="BR1800" s="63"/>
      <c r="BS1800" s="63"/>
      <c r="BT1800" s="63"/>
      <c r="BU1800" s="63"/>
      <c r="BV1800" s="57"/>
      <c r="BW1800" s="57"/>
      <c r="BX1800" s="57"/>
      <c r="BY1800" s="57"/>
    </row>
    <row r="1801" spans="70:77" ht="18.5" x14ac:dyDescent="0.35">
      <c r="BR1801" s="63"/>
      <c r="BS1801" s="63"/>
      <c r="BT1801" s="63"/>
      <c r="BU1801" s="63"/>
      <c r="BV1801" s="57"/>
      <c r="BW1801" s="57"/>
      <c r="BX1801" s="57"/>
      <c r="BY1801" s="57"/>
    </row>
    <row r="1802" spans="70:77" ht="18.5" x14ac:dyDescent="0.35">
      <c r="BR1802" s="63"/>
      <c r="BS1802" s="63"/>
      <c r="BT1802" s="63"/>
      <c r="BU1802" s="63"/>
      <c r="BV1802" s="57"/>
      <c r="BW1802" s="57"/>
      <c r="BX1802" s="57"/>
      <c r="BY1802" s="57"/>
    </row>
    <row r="1803" spans="70:77" ht="18.5" x14ac:dyDescent="0.35">
      <c r="BR1803" s="63"/>
      <c r="BS1803" s="63"/>
      <c r="BT1803" s="63"/>
      <c r="BU1803" s="63"/>
      <c r="BV1803" s="57"/>
      <c r="BW1803" s="57"/>
      <c r="BX1803" s="57"/>
      <c r="BY1803" s="57"/>
    </row>
    <row r="1804" spans="70:77" ht="18.5" x14ac:dyDescent="0.35">
      <c r="BR1804" s="63"/>
      <c r="BS1804" s="63"/>
      <c r="BT1804" s="63"/>
      <c r="BU1804" s="63"/>
      <c r="BV1804" s="57"/>
      <c r="BW1804" s="57"/>
      <c r="BX1804" s="57"/>
      <c r="BY1804" s="57"/>
    </row>
    <row r="1805" spans="70:77" ht="18.5" x14ac:dyDescent="0.35">
      <c r="BR1805" s="63"/>
      <c r="BS1805" s="63"/>
      <c r="BT1805" s="63"/>
      <c r="BU1805" s="63"/>
      <c r="BV1805" s="57"/>
      <c r="BW1805" s="57"/>
      <c r="BX1805" s="57"/>
      <c r="BY1805" s="57"/>
    </row>
    <row r="1806" spans="70:77" ht="18.5" x14ac:dyDescent="0.35">
      <c r="BR1806" s="63"/>
      <c r="BS1806" s="63"/>
      <c r="BT1806" s="63"/>
      <c r="BU1806" s="63"/>
      <c r="BV1806" s="57"/>
      <c r="BW1806" s="57"/>
      <c r="BX1806" s="57"/>
      <c r="BY1806" s="57"/>
    </row>
    <row r="1807" spans="70:77" ht="18.5" x14ac:dyDescent="0.35">
      <c r="BR1807" s="63"/>
      <c r="BS1807" s="63"/>
      <c r="BT1807" s="63"/>
      <c r="BU1807" s="63"/>
      <c r="BV1807" s="57"/>
      <c r="BW1807" s="57"/>
      <c r="BX1807" s="57"/>
      <c r="BY1807" s="57"/>
    </row>
    <row r="1808" spans="70:77" ht="18.5" x14ac:dyDescent="0.35">
      <c r="BR1808" s="63"/>
      <c r="BS1808" s="63"/>
      <c r="BT1808" s="63"/>
      <c r="BU1808" s="63"/>
      <c r="BV1808" s="57"/>
      <c r="BW1808" s="57"/>
      <c r="BX1808" s="57"/>
      <c r="BY1808" s="57"/>
    </row>
    <row r="1809" spans="70:77" ht="18.5" x14ac:dyDescent="0.35">
      <c r="BR1809" s="63"/>
      <c r="BS1809" s="63"/>
      <c r="BT1809" s="63"/>
      <c r="BU1809" s="63"/>
      <c r="BV1809" s="57"/>
      <c r="BW1809" s="57"/>
      <c r="BX1809" s="57"/>
      <c r="BY1809" s="57"/>
    </row>
    <row r="1810" spans="70:77" ht="18.5" x14ac:dyDescent="0.35">
      <c r="BR1810" s="63"/>
      <c r="BS1810" s="63"/>
      <c r="BT1810" s="63"/>
      <c r="BU1810" s="63"/>
      <c r="BV1810" s="57"/>
      <c r="BW1810" s="57"/>
      <c r="BX1810" s="57"/>
      <c r="BY1810" s="57"/>
    </row>
    <row r="1811" spans="70:77" ht="18.5" x14ac:dyDescent="0.35">
      <c r="BR1811" s="63"/>
      <c r="BS1811" s="63"/>
      <c r="BT1811" s="63"/>
      <c r="BU1811" s="63"/>
      <c r="BV1811" s="57"/>
      <c r="BW1811" s="57"/>
      <c r="BX1811" s="57"/>
      <c r="BY1811" s="57"/>
    </row>
    <row r="1812" spans="70:77" ht="18.5" x14ac:dyDescent="0.35">
      <c r="BR1812" s="63"/>
      <c r="BS1812" s="63"/>
      <c r="BT1812" s="63"/>
      <c r="BU1812" s="63"/>
      <c r="BV1812" s="57"/>
      <c r="BW1812" s="57"/>
      <c r="BX1812" s="57"/>
      <c r="BY1812" s="57"/>
    </row>
    <row r="1813" spans="70:77" ht="18.5" x14ac:dyDescent="0.35">
      <c r="BR1813" s="63"/>
      <c r="BS1813" s="63"/>
      <c r="BT1813" s="63"/>
      <c r="BU1813" s="63"/>
      <c r="BV1813" s="57"/>
      <c r="BW1813" s="57"/>
      <c r="BX1813" s="57"/>
      <c r="BY1813" s="57"/>
    </row>
    <row r="1814" spans="70:77" ht="18.5" x14ac:dyDescent="0.35">
      <c r="BR1814" s="63"/>
      <c r="BS1814" s="63"/>
      <c r="BT1814" s="63"/>
      <c r="BU1814" s="63"/>
      <c r="BV1814" s="57"/>
      <c r="BW1814" s="57"/>
      <c r="BX1814" s="57"/>
      <c r="BY1814" s="57"/>
    </row>
    <row r="1815" spans="70:77" ht="18.5" x14ac:dyDescent="0.35">
      <c r="BR1815" s="63"/>
      <c r="BS1815" s="63"/>
      <c r="BT1815" s="63"/>
      <c r="BU1815" s="63"/>
      <c r="BV1815" s="57"/>
      <c r="BW1815" s="57"/>
      <c r="BX1815" s="57"/>
      <c r="BY1815" s="57"/>
    </row>
    <row r="1816" spans="70:77" ht="18.5" x14ac:dyDescent="0.35">
      <c r="BR1816" s="63"/>
      <c r="BS1816" s="63"/>
      <c r="BT1816" s="63"/>
      <c r="BU1816" s="63"/>
      <c r="BV1816" s="57"/>
      <c r="BW1816" s="57"/>
      <c r="BX1816" s="57"/>
      <c r="BY1816" s="57"/>
    </row>
    <row r="1817" spans="70:77" ht="18.5" x14ac:dyDescent="0.35">
      <c r="BR1817" s="63"/>
      <c r="BS1817" s="63"/>
      <c r="BT1817" s="63"/>
      <c r="BU1817" s="63"/>
      <c r="BV1817" s="57"/>
      <c r="BW1817" s="57"/>
      <c r="BX1817" s="57"/>
      <c r="BY1817" s="57"/>
    </row>
    <row r="1818" spans="70:77" ht="18.5" x14ac:dyDescent="0.35">
      <c r="BR1818" s="63"/>
      <c r="BS1818" s="63"/>
      <c r="BT1818" s="63"/>
      <c r="BU1818" s="63"/>
      <c r="BV1818" s="57"/>
      <c r="BW1818" s="57"/>
      <c r="BX1818" s="57"/>
      <c r="BY1818" s="57"/>
    </row>
    <row r="1819" spans="70:77" ht="18.5" x14ac:dyDescent="0.35">
      <c r="BR1819" s="63"/>
      <c r="BS1819" s="63"/>
      <c r="BT1819" s="63"/>
      <c r="BU1819" s="63"/>
      <c r="BV1819" s="57"/>
      <c r="BW1819" s="57"/>
      <c r="BX1819" s="57"/>
      <c r="BY1819" s="57"/>
    </row>
    <row r="1820" spans="70:77" ht="18.5" x14ac:dyDescent="0.35">
      <c r="BR1820" s="63"/>
      <c r="BS1820" s="63"/>
      <c r="BT1820" s="63"/>
      <c r="BU1820" s="63"/>
      <c r="BV1820" s="57"/>
      <c r="BW1820" s="57"/>
      <c r="BX1820" s="57"/>
      <c r="BY1820" s="57"/>
    </row>
    <row r="1821" spans="70:77" ht="18.5" x14ac:dyDescent="0.35">
      <c r="BR1821" s="63"/>
      <c r="BS1821" s="63"/>
      <c r="BT1821" s="63"/>
      <c r="BU1821" s="63"/>
      <c r="BV1821" s="57"/>
      <c r="BW1821" s="57"/>
      <c r="BX1821" s="57"/>
      <c r="BY1821" s="57"/>
    </row>
    <row r="1822" spans="70:77" ht="18.5" x14ac:dyDescent="0.35">
      <c r="BR1822" s="63"/>
      <c r="BS1822" s="63"/>
      <c r="BT1822" s="63"/>
      <c r="BU1822" s="63"/>
      <c r="BV1822" s="57"/>
      <c r="BW1822" s="57"/>
      <c r="BX1822" s="57"/>
      <c r="BY1822" s="57"/>
    </row>
    <row r="1823" spans="70:77" ht="18.5" x14ac:dyDescent="0.35">
      <c r="BR1823" s="63"/>
      <c r="BS1823" s="63"/>
      <c r="BT1823" s="63"/>
      <c r="BU1823" s="63"/>
      <c r="BV1823" s="57"/>
      <c r="BW1823" s="57"/>
      <c r="BX1823" s="57"/>
      <c r="BY1823" s="57"/>
    </row>
    <row r="1824" spans="70:77" ht="18.5" x14ac:dyDescent="0.35">
      <c r="BR1824" s="63"/>
      <c r="BS1824" s="63"/>
      <c r="BT1824" s="63"/>
      <c r="BU1824" s="63"/>
      <c r="BV1824" s="57"/>
      <c r="BW1824" s="57"/>
      <c r="BX1824" s="57"/>
      <c r="BY1824" s="57"/>
    </row>
    <row r="1825" spans="70:77" ht="18.5" x14ac:dyDescent="0.35">
      <c r="BR1825" s="63"/>
      <c r="BS1825" s="63"/>
      <c r="BT1825" s="63"/>
      <c r="BU1825" s="63"/>
      <c r="BV1825" s="57"/>
      <c r="BW1825" s="57"/>
      <c r="BX1825" s="57"/>
      <c r="BY1825" s="57"/>
    </row>
    <row r="1826" spans="70:77" ht="18.5" x14ac:dyDescent="0.35">
      <c r="BR1826" s="63"/>
      <c r="BS1826" s="63"/>
      <c r="BT1826" s="63"/>
      <c r="BU1826" s="63"/>
      <c r="BV1826" s="57"/>
      <c r="BW1826" s="57"/>
      <c r="BX1826" s="57"/>
      <c r="BY1826" s="57"/>
    </row>
    <row r="1827" spans="70:77" ht="18.5" x14ac:dyDescent="0.35">
      <c r="BR1827" s="63"/>
      <c r="BS1827" s="63"/>
      <c r="BT1827" s="63"/>
      <c r="BU1827" s="63"/>
      <c r="BV1827" s="57"/>
      <c r="BW1827" s="57"/>
      <c r="BX1827" s="57"/>
      <c r="BY1827" s="57"/>
    </row>
    <row r="1828" spans="70:77" ht="18.5" x14ac:dyDescent="0.35">
      <c r="BR1828" s="63"/>
      <c r="BS1828" s="63"/>
      <c r="BT1828" s="63"/>
      <c r="BU1828" s="63"/>
      <c r="BV1828" s="57"/>
      <c r="BW1828" s="57"/>
      <c r="BX1828" s="57"/>
      <c r="BY1828" s="57"/>
    </row>
    <row r="1829" spans="70:77" ht="18.5" x14ac:dyDescent="0.35">
      <c r="BR1829" s="63"/>
      <c r="BS1829" s="63"/>
      <c r="BT1829" s="63"/>
      <c r="BU1829" s="63"/>
      <c r="BV1829" s="57"/>
      <c r="BW1829" s="57"/>
      <c r="BX1829" s="57"/>
      <c r="BY1829" s="57"/>
    </row>
    <row r="1830" spans="70:77" ht="18.5" x14ac:dyDescent="0.35">
      <c r="BR1830" s="63"/>
      <c r="BS1830" s="63"/>
      <c r="BT1830" s="63"/>
      <c r="BU1830" s="63"/>
      <c r="BV1830" s="57"/>
      <c r="BW1830" s="57"/>
      <c r="BX1830" s="57"/>
      <c r="BY1830" s="57"/>
    </row>
    <row r="1831" spans="70:77" ht="18.5" x14ac:dyDescent="0.35">
      <c r="BR1831" s="63"/>
      <c r="BS1831" s="63"/>
      <c r="BT1831" s="63"/>
      <c r="BU1831" s="63"/>
      <c r="BV1831" s="57"/>
      <c r="BW1831" s="57"/>
      <c r="BX1831" s="57"/>
      <c r="BY1831" s="57"/>
    </row>
    <row r="1832" spans="70:77" ht="18.5" x14ac:dyDescent="0.35">
      <c r="BR1832" s="63"/>
      <c r="BS1832" s="63"/>
      <c r="BT1832" s="63"/>
      <c r="BU1832" s="63"/>
      <c r="BV1832" s="57"/>
      <c r="BW1832" s="57"/>
      <c r="BX1832" s="57"/>
      <c r="BY1832" s="57"/>
    </row>
    <row r="1833" spans="70:77" ht="18.5" x14ac:dyDescent="0.35">
      <c r="BR1833" s="63"/>
      <c r="BS1833" s="63"/>
      <c r="BT1833" s="63"/>
      <c r="BU1833" s="63"/>
      <c r="BV1833" s="57"/>
      <c r="BW1833" s="57"/>
      <c r="BX1833" s="57"/>
      <c r="BY1833" s="57"/>
    </row>
    <row r="1834" spans="70:77" ht="18.5" x14ac:dyDescent="0.35">
      <c r="BR1834" s="63"/>
      <c r="BS1834" s="63"/>
      <c r="BT1834" s="63"/>
      <c r="BU1834" s="63"/>
      <c r="BV1834" s="57"/>
      <c r="BW1834" s="57"/>
      <c r="BX1834" s="57"/>
      <c r="BY1834" s="57"/>
    </row>
    <row r="1835" spans="70:77" ht="18.5" x14ac:dyDescent="0.35">
      <c r="BR1835" s="63"/>
      <c r="BS1835" s="63"/>
      <c r="BT1835" s="63"/>
      <c r="BU1835" s="63"/>
      <c r="BV1835" s="57"/>
      <c r="BW1835" s="57"/>
      <c r="BX1835" s="57"/>
      <c r="BY1835" s="57"/>
    </row>
    <row r="1836" spans="70:77" ht="18.5" x14ac:dyDescent="0.35">
      <c r="BR1836" s="63"/>
      <c r="BS1836" s="63"/>
      <c r="BT1836" s="63"/>
      <c r="BU1836" s="63"/>
      <c r="BV1836" s="57"/>
      <c r="BW1836" s="57"/>
      <c r="BX1836" s="57"/>
      <c r="BY1836" s="57"/>
    </row>
    <row r="1837" spans="70:77" ht="18.5" x14ac:dyDescent="0.35">
      <c r="BR1837" s="63"/>
      <c r="BS1837" s="63"/>
      <c r="BT1837" s="63"/>
      <c r="BU1837" s="63"/>
      <c r="BV1837" s="57"/>
      <c r="BW1837" s="57"/>
      <c r="BX1837" s="57"/>
      <c r="BY1837" s="57"/>
    </row>
    <row r="1838" spans="70:77" ht="18.5" x14ac:dyDescent="0.35">
      <c r="BR1838" s="63"/>
      <c r="BS1838" s="63"/>
      <c r="BT1838" s="63"/>
      <c r="BU1838" s="63"/>
      <c r="BV1838" s="57"/>
      <c r="BW1838" s="57"/>
      <c r="BX1838" s="57"/>
      <c r="BY1838" s="57"/>
    </row>
    <row r="1839" spans="70:77" ht="18.5" x14ac:dyDescent="0.35">
      <c r="BR1839" s="63"/>
      <c r="BS1839" s="63"/>
      <c r="BT1839" s="63"/>
      <c r="BU1839" s="63"/>
      <c r="BV1839" s="57"/>
      <c r="BW1839" s="57"/>
      <c r="BX1839" s="57"/>
      <c r="BY1839" s="57"/>
    </row>
    <row r="1840" spans="70:77" ht="18.5" x14ac:dyDescent="0.35">
      <c r="BR1840" s="63"/>
      <c r="BS1840" s="63"/>
      <c r="BT1840" s="63"/>
      <c r="BU1840" s="63"/>
      <c r="BV1840" s="57"/>
      <c r="BW1840" s="57"/>
      <c r="BX1840" s="57"/>
      <c r="BY1840" s="57"/>
    </row>
    <row r="1841" spans="70:77" ht="18.5" x14ac:dyDescent="0.35">
      <c r="BR1841" s="63"/>
      <c r="BS1841" s="63"/>
      <c r="BT1841" s="63"/>
      <c r="BU1841" s="63"/>
      <c r="BV1841" s="57"/>
      <c r="BW1841" s="57"/>
      <c r="BX1841" s="57"/>
      <c r="BY1841" s="57"/>
    </row>
    <row r="1842" spans="70:77" ht="18.5" x14ac:dyDescent="0.35">
      <c r="BR1842" s="63"/>
      <c r="BS1842" s="63"/>
      <c r="BT1842" s="63"/>
      <c r="BU1842" s="63"/>
      <c r="BV1842" s="57"/>
      <c r="BW1842" s="57"/>
      <c r="BX1842" s="57"/>
      <c r="BY1842" s="57"/>
    </row>
    <row r="1843" spans="70:77" ht="18.5" x14ac:dyDescent="0.35">
      <c r="BR1843" s="63"/>
      <c r="BS1843" s="63"/>
      <c r="BT1843" s="63"/>
      <c r="BU1843" s="63"/>
      <c r="BV1843" s="57"/>
      <c r="BW1843" s="57"/>
      <c r="BX1843" s="57"/>
      <c r="BY1843" s="57"/>
    </row>
    <row r="1844" spans="70:77" ht="18.5" x14ac:dyDescent="0.35">
      <c r="BR1844" s="63"/>
      <c r="BS1844" s="63"/>
      <c r="BT1844" s="63"/>
      <c r="BU1844" s="63"/>
      <c r="BV1844" s="57"/>
      <c r="BW1844" s="57"/>
      <c r="BX1844" s="57"/>
      <c r="BY1844" s="57"/>
    </row>
    <row r="1845" spans="70:77" ht="18.5" x14ac:dyDescent="0.35">
      <c r="BR1845" s="63"/>
      <c r="BS1845" s="63"/>
      <c r="BT1845" s="63"/>
      <c r="BU1845" s="63"/>
      <c r="BV1845" s="57"/>
      <c r="BW1845" s="57"/>
      <c r="BX1845" s="57"/>
      <c r="BY1845" s="57"/>
    </row>
    <row r="1846" spans="70:77" ht="18.5" x14ac:dyDescent="0.35">
      <c r="BR1846" s="63"/>
      <c r="BS1846" s="63"/>
      <c r="BT1846" s="63"/>
      <c r="BU1846" s="63"/>
      <c r="BV1846" s="57"/>
      <c r="BW1846" s="57"/>
      <c r="BX1846" s="57"/>
      <c r="BY1846" s="57"/>
    </row>
    <row r="1847" spans="70:77" ht="18.5" x14ac:dyDescent="0.35">
      <c r="BR1847" s="63"/>
      <c r="BS1847" s="63"/>
      <c r="BT1847" s="63"/>
      <c r="BU1847" s="63"/>
      <c r="BV1847" s="57"/>
      <c r="BW1847" s="57"/>
      <c r="BX1847" s="57"/>
      <c r="BY1847" s="57"/>
    </row>
    <row r="1848" spans="70:77" ht="18.5" x14ac:dyDescent="0.35">
      <c r="BR1848" s="63"/>
      <c r="BS1848" s="63"/>
      <c r="BT1848" s="63"/>
      <c r="BU1848" s="63"/>
      <c r="BV1848" s="57"/>
      <c r="BW1848" s="57"/>
      <c r="BX1848" s="57"/>
      <c r="BY1848" s="57"/>
    </row>
    <row r="1849" spans="70:77" ht="18.5" x14ac:dyDescent="0.35">
      <c r="BR1849" s="63"/>
      <c r="BS1849" s="63"/>
      <c r="BT1849" s="63"/>
      <c r="BU1849" s="63"/>
      <c r="BV1849" s="57"/>
      <c r="BW1849" s="57"/>
      <c r="BX1849" s="57"/>
      <c r="BY1849" s="57"/>
    </row>
    <row r="1850" spans="70:77" ht="18.5" x14ac:dyDescent="0.35">
      <c r="BR1850" s="63"/>
      <c r="BS1850" s="63"/>
      <c r="BT1850" s="63"/>
      <c r="BU1850" s="63"/>
      <c r="BV1850" s="57"/>
      <c r="BW1850" s="57"/>
      <c r="BX1850" s="57"/>
      <c r="BY1850" s="57"/>
    </row>
    <row r="1851" spans="70:77" ht="18.5" x14ac:dyDescent="0.35">
      <c r="BR1851" s="63"/>
      <c r="BS1851" s="63"/>
      <c r="BT1851" s="63"/>
      <c r="BU1851" s="63"/>
      <c r="BV1851" s="57"/>
      <c r="BW1851" s="57"/>
      <c r="BX1851" s="57"/>
      <c r="BY1851" s="57"/>
    </row>
    <row r="1852" spans="70:77" ht="18.5" x14ac:dyDescent="0.35">
      <c r="BR1852" s="63"/>
      <c r="BS1852" s="63"/>
      <c r="BT1852" s="63"/>
      <c r="BU1852" s="63"/>
      <c r="BV1852" s="57"/>
      <c r="BW1852" s="57"/>
      <c r="BX1852" s="57"/>
      <c r="BY1852" s="57"/>
    </row>
    <row r="1853" spans="70:77" ht="18.5" x14ac:dyDescent="0.35">
      <c r="BR1853" s="63"/>
      <c r="BS1853" s="63"/>
      <c r="BT1853" s="63"/>
      <c r="BU1853" s="63"/>
      <c r="BV1853" s="57"/>
      <c r="BW1853" s="57"/>
      <c r="BX1853" s="57"/>
      <c r="BY1853" s="57"/>
    </row>
    <row r="1854" spans="70:77" ht="18.5" x14ac:dyDescent="0.35">
      <c r="BR1854" s="63"/>
      <c r="BS1854" s="63"/>
      <c r="BT1854" s="63"/>
      <c r="BU1854" s="63"/>
      <c r="BV1854" s="57"/>
      <c r="BW1854" s="57"/>
      <c r="BX1854" s="57"/>
      <c r="BY1854" s="57"/>
    </row>
    <row r="1855" spans="70:77" ht="18.5" x14ac:dyDescent="0.35">
      <c r="BR1855" s="63"/>
      <c r="BS1855" s="63"/>
      <c r="BT1855" s="63"/>
      <c r="BU1855" s="63"/>
      <c r="BV1855" s="57"/>
      <c r="BW1855" s="57"/>
      <c r="BX1855" s="57"/>
      <c r="BY1855" s="57"/>
    </row>
    <row r="1856" spans="70:77" ht="18.5" x14ac:dyDescent="0.35">
      <c r="BR1856" s="63"/>
      <c r="BS1856" s="63"/>
      <c r="BT1856" s="63"/>
      <c r="BU1856" s="63"/>
      <c r="BV1856" s="57"/>
      <c r="BW1856" s="57"/>
      <c r="BX1856" s="57"/>
      <c r="BY1856" s="57"/>
    </row>
    <row r="1857" spans="70:77" ht="18.5" x14ac:dyDescent="0.35">
      <c r="BR1857" s="63"/>
      <c r="BS1857" s="63"/>
      <c r="BT1857" s="63"/>
      <c r="BU1857" s="63"/>
      <c r="BV1857" s="57"/>
      <c r="BW1857" s="57"/>
      <c r="BX1857" s="57"/>
      <c r="BY1857" s="57"/>
    </row>
    <row r="1858" spans="70:77" ht="18.5" x14ac:dyDescent="0.35">
      <c r="BR1858" s="63"/>
      <c r="BS1858" s="63"/>
      <c r="BT1858" s="63"/>
      <c r="BU1858" s="63"/>
      <c r="BV1858" s="57"/>
      <c r="BW1858" s="57"/>
      <c r="BX1858" s="57"/>
      <c r="BY1858" s="57"/>
    </row>
    <row r="1859" spans="70:77" ht="18.5" x14ac:dyDescent="0.35">
      <c r="BR1859" s="63"/>
      <c r="BS1859" s="63"/>
      <c r="BT1859" s="63"/>
      <c r="BU1859" s="63"/>
      <c r="BV1859" s="57"/>
      <c r="BW1859" s="57"/>
      <c r="BX1859" s="57"/>
      <c r="BY1859" s="57"/>
    </row>
    <row r="1860" spans="70:77" ht="18.5" x14ac:dyDescent="0.35">
      <c r="BR1860" s="63"/>
      <c r="BS1860" s="63"/>
      <c r="BT1860" s="63"/>
      <c r="BU1860" s="63"/>
      <c r="BV1860" s="57"/>
      <c r="BW1860" s="57"/>
      <c r="BX1860" s="57"/>
      <c r="BY1860" s="57"/>
    </row>
    <row r="1861" spans="70:77" ht="18.5" x14ac:dyDescent="0.35">
      <c r="BR1861" s="63"/>
      <c r="BS1861" s="63"/>
      <c r="BT1861" s="63"/>
      <c r="BU1861" s="63"/>
      <c r="BV1861" s="57"/>
      <c r="BW1861" s="57"/>
      <c r="BX1861" s="57"/>
      <c r="BY1861" s="57"/>
    </row>
    <row r="1862" spans="70:77" ht="18.5" x14ac:dyDescent="0.35">
      <c r="BR1862" s="63"/>
      <c r="BS1862" s="63"/>
      <c r="BT1862" s="63"/>
      <c r="BU1862" s="63"/>
      <c r="BV1862" s="57"/>
      <c r="BW1862" s="57"/>
      <c r="BX1862" s="57"/>
      <c r="BY1862" s="57"/>
    </row>
    <row r="1863" spans="70:77" ht="18.5" x14ac:dyDescent="0.35">
      <c r="BR1863" s="63"/>
      <c r="BS1863" s="63"/>
      <c r="BT1863" s="63"/>
      <c r="BU1863" s="63"/>
      <c r="BV1863" s="57"/>
      <c r="BW1863" s="57"/>
      <c r="BX1863" s="57"/>
      <c r="BY1863" s="57"/>
    </row>
    <row r="1864" spans="70:77" ht="18.5" x14ac:dyDescent="0.35">
      <c r="BR1864" s="63"/>
      <c r="BS1864" s="63"/>
      <c r="BT1864" s="63"/>
      <c r="BU1864" s="63"/>
      <c r="BV1864" s="57"/>
      <c r="BW1864" s="57"/>
      <c r="BX1864" s="57"/>
      <c r="BY1864" s="57"/>
    </row>
    <row r="1865" spans="70:77" ht="18.5" x14ac:dyDescent="0.35">
      <c r="BR1865" s="63"/>
      <c r="BS1865" s="63"/>
      <c r="BT1865" s="63"/>
      <c r="BU1865" s="63"/>
      <c r="BV1865" s="57"/>
      <c r="BW1865" s="57"/>
      <c r="BX1865" s="57"/>
      <c r="BY1865" s="57"/>
    </row>
    <row r="1866" spans="70:77" ht="18.5" x14ac:dyDescent="0.35">
      <c r="BR1866" s="63"/>
      <c r="BS1866" s="63"/>
      <c r="BT1866" s="63"/>
      <c r="BU1866" s="63"/>
      <c r="BV1866" s="57"/>
      <c r="BW1866" s="57"/>
      <c r="BX1866" s="57"/>
      <c r="BY1866" s="57"/>
    </row>
    <row r="1867" spans="70:77" ht="18.5" x14ac:dyDescent="0.35">
      <c r="BR1867" s="63"/>
      <c r="BS1867" s="63"/>
      <c r="BT1867" s="63"/>
      <c r="BU1867" s="63"/>
      <c r="BV1867" s="57"/>
      <c r="BW1867" s="57"/>
      <c r="BX1867" s="57"/>
      <c r="BY1867" s="57"/>
    </row>
    <row r="1868" spans="70:77" ht="18.5" x14ac:dyDescent="0.35">
      <c r="BR1868" s="63"/>
      <c r="BS1868" s="63"/>
      <c r="BT1868" s="63"/>
      <c r="BU1868" s="63"/>
      <c r="BV1868" s="57"/>
      <c r="BW1868" s="57"/>
      <c r="BX1868" s="57"/>
      <c r="BY1868" s="57"/>
    </row>
    <row r="1869" spans="70:77" ht="18.5" x14ac:dyDescent="0.35">
      <c r="BR1869" s="63"/>
      <c r="BS1869" s="63"/>
      <c r="BT1869" s="63"/>
      <c r="BU1869" s="63"/>
      <c r="BV1869" s="57"/>
      <c r="BW1869" s="57"/>
      <c r="BX1869" s="57"/>
      <c r="BY1869" s="57"/>
    </row>
    <row r="1870" spans="70:77" ht="18.5" x14ac:dyDescent="0.35">
      <c r="BR1870" s="63"/>
      <c r="BS1870" s="63"/>
      <c r="BT1870" s="63"/>
      <c r="BU1870" s="63"/>
      <c r="BV1870" s="57"/>
      <c r="BW1870" s="57"/>
      <c r="BX1870" s="57"/>
      <c r="BY1870" s="57"/>
    </row>
    <row r="1871" spans="70:77" ht="18.5" x14ac:dyDescent="0.35">
      <c r="BR1871" s="63"/>
      <c r="BS1871" s="63"/>
      <c r="BT1871" s="63"/>
      <c r="BU1871" s="63"/>
      <c r="BV1871" s="57"/>
      <c r="BW1871" s="57"/>
      <c r="BX1871" s="57"/>
      <c r="BY1871" s="57"/>
    </row>
    <row r="1872" spans="70:77" ht="18.5" x14ac:dyDescent="0.35">
      <c r="BR1872" s="63"/>
      <c r="BS1872" s="63"/>
      <c r="BT1872" s="63"/>
      <c r="BU1872" s="63"/>
      <c r="BV1872" s="57"/>
      <c r="BW1872" s="57"/>
      <c r="BX1872" s="57"/>
      <c r="BY1872" s="57"/>
    </row>
    <row r="1873" spans="70:77" ht="18.5" x14ac:dyDescent="0.35">
      <c r="BR1873" s="63"/>
      <c r="BS1873" s="63"/>
      <c r="BT1873" s="63"/>
      <c r="BU1873" s="63"/>
      <c r="BV1873" s="57"/>
      <c r="BW1873" s="57"/>
      <c r="BX1873" s="57"/>
      <c r="BY1873" s="57"/>
    </row>
    <row r="1874" spans="70:77" ht="18.5" x14ac:dyDescent="0.35">
      <c r="BR1874" s="63"/>
      <c r="BS1874" s="63"/>
      <c r="BT1874" s="63"/>
      <c r="BU1874" s="63"/>
      <c r="BV1874" s="57"/>
      <c r="BW1874" s="57"/>
      <c r="BX1874" s="57"/>
      <c r="BY1874" s="57"/>
    </row>
    <row r="1875" spans="70:77" ht="18.5" x14ac:dyDescent="0.35">
      <c r="BR1875" s="63"/>
      <c r="BS1875" s="63"/>
      <c r="BT1875" s="63"/>
      <c r="BU1875" s="63"/>
      <c r="BV1875" s="57"/>
      <c r="BW1875" s="57"/>
      <c r="BX1875" s="57"/>
      <c r="BY1875" s="57"/>
    </row>
    <row r="1876" spans="70:77" ht="18.5" x14ac:dyDescent="0.35">
      <c r="BR1876" s="63"/>
      <c r="BS1876" s="63"/>
      <c r="BT1876" s="63"/>
      <c r="BU1876" s="63"/>
      <c r="BV1876" s="57"/>
      <c r="BW1876" s="57"/>
      <c r="BX1876" s="57"/>
      <c r="BY1876" s="57"/>
    </row>
    <row r="1877" spans="70:77" ht="18.5" x14ac:dyDescent="0.35">
      <c r="BR1877" s="63"/>
      <c r="BS1877" s="63"/>
      <c r="BT1877" s="63"/>
      <c r="BU1877" s="63"/>
      <c r="BV1877" s="57"/>
      <c r="BW1877" s="57"/>
      <c r="BX1877" s="57"/>
      <c r="BY1877" s="57"/>
    </row>
    <row r="1878" spans="70:77" ht="18.5" x14ac:dyDescent="0.35">
      <c r="BR1878" s="63"/>
      <c r="BS1878" s="63"/>
      <c r="BT1878" s="63"/>
      <c r="BU1878" s="63"/>
      <c r="BV1878" s="57"/>
      <c r="BW1878" s="57"/>
      <c r="BX1878" s="57"/>
      <c r="BY1878" s="57"/>
    </row>
    <row r="1879" spans="70:77" ht="18.5" x14ac:dyDescent="0.35">
      <c r="BR1879" s="63"/>
      <c r="BS1879" s="63"/>
      <c r="BT1879" s="63"/>
      <c r="BU1879" s="63"/>
      <c r="BV1879" s="57"/>
      <c r="BW1879" s="57"/>
      <c r="BX1879" s="57"/>
      <c r="BY1879" s="57"/>
    </row>
    <row r="1880" spans="70:77" ht="18.5" x14ac:dyDescent="0.35">
      <c r="BR1880" s="63"/>
      <c r="BS1880" s="63"/>
      <c r="BT1880" s="63"/>
      <c r="BU1880" s="63"/>
      <c r="BV1880" s="57"/>
      <c r="BW1880" s="57"/>
      <c r="BX1880" s="57"/>
      <c r="BY1880" s="57"/>
    </row>
    <row r="1881" spans="70:77" ht="18.5" x14ac:dyDescent="0.35">
      <c r="BR1881" s="63"/>
      <c r="BS1881" s="63"/>
      <c r="BT1881" s="63"/>
      <c r="BU1881" s="63"/>
      <c r="BV1881" s="57"/>
      <c r="BW1881" s="57"/>
      <c r="BX1881" s="57"/>
      <c r="BY1881" s="57"/>
    </row>
    <row r="1882" spans="70:77" ht="18.5" x14ac:dyDescent="0.35">
      <c r="BR1882" s="63"/>
      <c r="BS1882" s="63"/>
      <c r="BT1882" s="63"/>
      <c r="BU1882" s="63"/>
      <c r="BV1882" s="57"/>
      <c r="BW1882" s="57"/>
      <c r="BX1882" s="57"/>
      <c r="BY1882" s="57"/>
    </row>
    <row r="1883" spans="70:77" ht="18.5" x14ac:dyDescent="0.35">
      <c r="BR1883" s="63"/>
      <c r="BS1883" s="63"/>
      <c r="BT1883" s="63"/>
      <c r="BU1883" s="63"/>
      <c r="BV1883" s="57"/>
      <c r="BW1883" s="57"/>
      <c r="BX1883" s="57"/>
      <c r="BY1883" s="57"/>
    </row>
    <row r="1884" spans="70:77" ht="18.5" x14ac:dyDescent="0.35">
      <c r="BR1884" s="63"/>
      <c r="BS1884" s="63"/>
      <c r="BT1884" s="63"/>
      <c r="BU1884" s="63"/>
      <c r="BV1884" s="57"/>
      <c r="BW1884" s="57"/>
      <c r="BX1884" s="57"/>
      <c r="BY1884" s="57"/>
    </row>
    <row r="1885" spans="70:77" ht="18.5" x14ac:dyDescent="0.35">
      <c r="BR1885" s="63"/>
      <c r="BS1885" s="63"/>
      <c r="BT1885" s="63"/>
      <c r="BU1885" s="63"/>
      <c r="BV1885" s="57"/>
      <c r="BW1885" s="57"/>
      <c r="BX1885" s="57"/>
      <c r="BY1885" s="57"/>
    </row>
    <row r="1886" spans="70:77" ht="18.5" x14ac:dyDescent="0.35">
      <c r="BR1886" s="63"/>
      <c r="BS1886" s="63"/>
      <c r="BT1886" s="63"/>
      <c r="BU1886" s="63"/>
      <c r="BV1886" s="57"/>
      <c r="BW1886" s="57"/>
      <c r="BX1886" s="57"/>
      <c r="BY1886" s="57"/>
    </row>
    <row r="1887" spans="70:77" ht="18.5" x14ac:dyDescent="0.35">
      <c r="BR1887" s="63"/>
      <c r="BS1887" s="63"/>
      <c r="BT1887" s="63"/>
      <c r="BU1887" s="63"/>
      <c r="BV1887" s="57"/>
      <c r="BW1887" s="57"/>
      <c r="BX1887" s="57"/>
      <c r="BY1887" s="57"/>
    </row>
    <row r="1888" spans="70:77" ht="18.5" x14ac:dyDescent="0.35">
      <c r="BR1888" s="63"/>
      <c r="BS1888" s="63"/>
      <c r="BT1888" s="63"/>
      <c r="BU1888" s="63"/>
      <c r="BV1888" s="57"/>
      <c r="BW1888" s="57"/>
      <c r="BX1888" s="57"/>
      <c r="BY1888" s="57"/>
    </row>
    <row r="1889" spans="70:77" ht="18.5" x14ac:dyDescent="0.35">
      <c r="BR1889" s="63"/>
      <c r="BS1889" s="63"/>
      <c r="BT1889" s="63"/>
      <c r="BU1889" s="63"/>
      <c r="BV1889" s="57"/>
      <c r="BW1889" s="57"/>
      <c r="BX1889" s="57"/>
      <c r="BY1889" s="57"/>
    </row>
    <row r="1890" spans="70:77" ht="18.5" x14ac:dyDescent="0.35">
      <c r="BR1890" s="63"/>
      <c r="BS1890" s="63"/>
      <c r="BT1890" s="63"/>
      <c r="BU1890" s="63"/>
      <c r="BV1890" s="57"/>
      <c r="BW1890" s="57"/>
      <c r="BX1890" s="57"/>
      <c r="BY1890" s="57"/>
    </row>
    <row r="1891" spans="70:77" ht="18.5" x14ac:dyDescent="0.35">
      <c r="BR1891" s="63"/>
      <c r="BS1891" s="63"/>
      <c r="BT1891" s="63"/>
      <c r="BU1891" s="63"/>
      <c r="BV1891" s="57"/>
      <c r="BW1891" s="57"/>
      <c r="BX1891" s="57"/>
      <c r="BY1891" s="57"/>
    </row>
    <row r="1892" spans="70:77" ht="18.5" x14ac:dyDescent="0.35">
      <c r="BR1892" s="63"/>
      <c r="BS1892" s="63"/>
      <c r="BT1892" s="63"/>
      <c r="BU1892" s="63"/>
      <c r="BV1892" s="57"/>
      <c r="BW1892" s="57"/>
      <c r="BX1892" s="57"/>
      <c r="BY1892" s="57"/>
    </row>
    <row r="1893" spans="70:77" ht="18.5" x14ac:dyDescent="0.35">
      <c r="BR1893" s="63"/>
      <c r="BS1893" s="63"/>
      <c r="BT1893" s="63"/>
      <c r="BU1893" s="63"/>
      <c r="BV1893" s="57"/>
      <c r="BW1893" s="57"/>
      <c r="BX1893" s="57"/>
      <c r="BY1893" s="57"/>
    </row>
    <row r="1894" spans="70:77" ht="18.5" x14ac:dyDescent="0.35">
      <c r="BR1894" s="63"/>
      <c r="BS1894" s="63"/>
      <c r="BT1894" s="63"/>
      <c r="BU1894" s="63"/>
      <c r="BV1894" s="57"/>
      <c r="BW1894" s="57"/>
      <c r="BX1894" s="57"/>
      <c r="BY1894" s="57"/>
    </row>
    <row r="1895" spans="70:77" ht="18.5" x14ac:dyDescent="0.35">
      <c r="BR1895" s="63"/>
      <c r="BS1895" s="63"/>
      <c r="BT1895" s="63"/>
      <c r="BU1895" s="63"/>
      <c r="BV1895" s="57"/>
      <c r="BW1895" s="57"/>
      <c r="BX1895" s="57"/>
      <c r="BY1895" s="57"/>
    </row>
    <row r="1896" spans="70:77" ht="18.5" x14ac:dyDescent="0.35">
      <c r="BR1896" s="63"/>
      <c r="BS1896" s="63"/>
      <c r="BT1896" s="63"/>
      <c r="BU1896" s="63"/>
      <c r="BV1896" s="57"/>
      <c r="BW1896" s="57"/>
      <c r="BX1896" s="57"/>
      <c r="BY1896" s="57"/>
    </row>
    <row r="1897" spans="70:77" ht="18.5" x14ac:dyDescent="0.35">
      <c r="BR1897" s="63"/>
      <c r="BS1897" s="63"/>
      <c r="BT1897" s="63"/>
      <c r="BU1897" s="63"/>
      <c r="BV1897" s="57"/>
      <c r="BW1897" s="57"/>
      <c r="BX1897" s="57"/>
      <c r="BY1897" s="57"/>
    </row>
    <row r="1898" spans="70:77" ht="18.5" x14ac:dyDescent="0.35">
      <c r="BR1898" s="63"/>
      <c r="BS1898" s="63"/>
      <c r="BT1898" s="63"/>
      <c r="BU1898" s="63"/>
      <c r="BV1898" s="57"/>
      <c r="BW1898" s="57"/>
      <c r="BX1898" s="57"/>
      <c r="BY1898" s="57"/>
    </row>
    <row r="1899" spans="70:77" ht="18.5" x14ac:dyDescent="0.35">
      <c r="BR1899" s="63"/>
      <c r="BS1899" s="63"/>
      <c r="BT1899" s="63"/>
      <c r="BU1899" s="63"/>
      <c r="BV1899" s="57"/>
      <c r="BW1899" s="57"/>
      <c r="BX1899" s="57"/>
      <c r="BY1899" s="57"/>
    </row>
    <row r="1900" spans="70:77" ht="18.5" x14ac:dyDescent="0.35">
      <c r="BR1900" s="63"/>
      <c r="BS1900" s="63"/>
      <c r="BT1900" s="63"/>
      <c r="BU1900" s="63"/>
      <c r="BV1900" s="57"/>
      <c r="BW1900" s="57"/>
      <c r="BX1900" s="57"/>
      <c r="BY1900" s="57"/>
    </row>
    <row r="1901" spans="70:77" ht="18.5" x14ac:dyDescent="0.35">
      <c r="BR1901" s="63"/>
      <c r="BS1901" s="63"/>
      <c r="BT1901" s="63"/>
      <c r="BU1901" s="63"/>
      <c r="BV1901" s="57"/>
      <c r="BW1901" s="57"/>
      <c r="BX1901" s="57"/>
      <c r="BY1901" s="57"/>
    </row>
    <row r="1902" spans="70:77" ht="18.5" x14ac:dyDescent="0.35">
      <c r="BR1902" s="63"/>
      <c r="BS1902" s="63"/>
      <c r="BT1902" s="63"/>
      <c r="BU1902" s="63"/>
      <c r="BV1902" s="57"/>
      <c r="BW1902" s="57"/>
      <c r="BX1902" s="57"/>
      <c r="BY1902" s="57"/>
    </row>
    <row r="1903" spans="70:77" ht="18.5" x14ac:dyDescent="0.35">
      <c r="BR1903" s="63"/>
      <c r="BS1903" s="63"/>
      <c r="BT1903" s="63"/>
      <c r="BU1903" s="63"/>
      <c r="BV1903" s="57"/>
      <c r="BW1903" s="57"/>
      <c r="BX1903" s="57"/>
      <c r="BY1903" s="57"/>
    </row>
    <row r="1904" spans="70:77" ht="18.5" x14ac:dyDescent="0.35">
      <c r="BR1904" s="63"/>
      <c r="BS1904" s="63"/>
      <c r="BT1904" s="63"/>
      <c r="BU1904" s="63"/>
      <c r="BV1904" s="57"/>
      <c r="BW1904" s="57"/>
      <c r="BX1904" s="57"/>
      <c r="BY1904" s="57"/>
    </row>
    <row r="1905" spans="70:77" ht="18.5" x14ac:dyDescent="0.35">
      <c r="BR1905" s="63"/>
      <c r="BS1905" s="63"/>
      <c r="BT1905" s="63"/>
      <c r="BU1905" s="63"/>
      <c r="BV1905" s="57"/>
      <c r="BW1905" s="57"/>
      <c r="BX1905" s="57"/>
      <c r="BY1905" s="57"/>
    </row>
    <row r="1906" spans="70:77" ht="18.5" x14ac:dyDescent="0.35">
      <c r="BR1906" s="63"/>
      <c r="BS1906" s="63"/>
      <c r="BT1906" s="63"/>
      <c r="BU1906" s="63"/>
      <c r="BV1906" s="57"/>
      <c r="BW1906" s="57"/>
      <c r="BX1906" s="57"/>
      <c r="BY1906" s="57"/>
    </row>
    <row r="1907" spans="70:77" ht="18.5" x14ac:dyDescent="0.35">
      <c r="BR1907" s="63"/>
      <c r="BS1907" s="63"/>
      <c r="BT1907" s="63"/>
      <c r="BU1907" s="63"/>
      <c r="BV1907" s="57"/>
      <c r="BW1907" s="57"/>
      <c r="BX1907" s="57"/>
      <c r="BY1907" s="57"/>
    </row>
    <row r="1908" spans="70:77" ht="18.5" x14ac:dyDescent="0.35">
      <c r="BR1908" s="63"/>
      <c r="BS1908" s="63"/>
      <c r="BT1908" s="63"/>
      <c r="BU1908" s="63"/>
      <c r="BV1908" s="57"/>
      <c r="BW1908" s="57"/>
      <c r="BX1908" s="57"/>
      <c r="BY1908" s="57"/>
    </row>
    <row r="1909" spans="70:77" ht="18.5" x14ac:dyDescent="0.35">
      <c r="BR1909" s="63"/>
      <c r="BS1909" s="63"/>
      <c r="BT1909" s="63"/>
      <c r="BU1909" s="63"/>
      <c r="BV1909" s="57"/>
      <c r="BW1909" s="57"/>
      <c r="BX1909" s="57"/>
      <c r="BY1909" s="57"/>
    </row>
    <row r="1910" spans="70:77" ht="18.5" x14ac:dyDescent="0.35">
      <c r="BR1910" s="63"/>
      <c r="BS1910" s="63"/>
      <c r="BT1910" s="63"/>
      <c r="BU1910" s="63"/>
      <c r="BV1910" s="57"/>
      <c r="BW1910" s="57"/>
      <c r="BX1910" s="57"/>
      <c r="BY1910" s="57"/>
    </row>
    <row r="1911" spans="70:77" ht="18.5" x14ac:dyDescent="0.35">
      <c r="BR1911" s="63"/>
      <c r="BS1911" s="63"/>
      <c r="BT1911" s="63"/>
      <c r="BU1911" s="63"/>
      <c r="BV1911" s="57"/>
      <c r="BW1911" s="57"/>
      <c r="BX1911" s="57"/>
      <c r="BY1911" s="57"/>
    </row>
    <row r="1912" spans="70:77" ht="18.5" x14ac:dyDescent="0.35">
      <c r="BR1912" s="63"/>
      <c r="BS1912" s="63"/>
      <c r="BT1912" s="63"/>
      <c r="BU1912" s="63"/>
      <c r="BV1912" s="57"/>
      <c r="BW1912" s="57"/>
      <c r="BX1912" s="57"/>
      <c r="BY1912" s="57"/>
    </row>
    <row r="1913" spans="70:77" ht="18.5" x14ac:dyDescent="0.35">
      <c r="BR1913" s="63"/>
      <c r="BS1913" s="63"/>
      <c r="BT1913" s="63"/>
      <c r="BU1913" s="63"/>
      <c r="BV1913" s="57"/>
      <c r="BW1913" s="57"/>
      <c r="BX1913" s="57"/>
      <c r="BY1913" s="57"/>
    </row>
    <row r="1914" spans="70:77" ht="18.5" x14ac:dyDescent="0.35">
      <c r="BR1914" s="63"/>
      <c r="BS1914" s="63"/>
      <c r="BT1914" s="63"/>
      <c r="BU1914" s="63"/>
      <c r="BV1914" s="57"/>
      <c r="BW1914" s="57"/>
      <c r="BX1914" s="57"/>
      <c r="BY1914" s="57"/>
    </row>
    <row r="1915" spans="70:77" ht="18.5" x14ac:dyDescent="0.35">
      <c r="BR1915" s="63"/>
      <c r="BS1915" s="63"/>
      <c r="BT1915" s="63"/>
      <c r="BU1915" s="63"/>
      <c r="BV1915" s="57"/>
      <c r="BW1915" s="57"/>
      <c r="BX1915" s="57"/>
      <c r="BY1915" s="57"/>
    </row>
    <row r="1916" spans="70:77" ht="18.5" x14ac:dyDescent="0.35">
      <c r="BR1916" s="63"/>
      <c r="BS1916" s="63"/>
      <c r="BT1916" s="63"/>
      <c r="BU1916" s="63"/>
      <c r="BV1916" s="57"/>
      <c r="BW1916" s="57"/>
      <c r="BX1916" s="57"/>
      <c r="BY1916" s="57"/>
    </row>
    <row r="1917" spans="70:77" ht="18.5" x14ac:dyDescent="0.35">
      <c r="BR1917" s="63"/>
      <c r="BS1917" s="63"/>
      <c r="BT1917" s="63"/>
      <c r="BU1917" s="63"/>
      <c r="BV1917" s="57"/>
      <c r="BW1917" s="57"/>
      <c r="BX1917" s="57"/>
      <c r="BY1917" s="57"/>
    </row>
    <row r="1918" spans="70:77" ht="18.5" x14ac:dyDescent="0.35">
      <c r="BR1918" s="63"/>
      <c r="BS1918" s="63"/>
      <c r="BT1918" s="63"/>
      <c r="BU1918" s="63"/>
      <c r="BV1918" s="57"/>
      <c r="BW1918" s="57"/>
      <c r="BX1918" s="57"/>
      <c r="BY1918" s="57"/>
    </row>
    <row r="1919" spans="70:77" ht="18.5" x14ac:dyDescent="0.35">
      <c r="BR1919" s="63"/>
      <c r="BS1919" s="63"/>
      <c r="BT1919" s="63"/>
      <c r="BU1919" s="63"/>
      <c r="BV1919" s="57"/>
      <c r="BW1919" s="57"/>
      <c r="BX1919" s="57"/>
      <c r="BY1919" s="57"/>
    </row>
    <row r="1920" spans="70:77" ht="18.5" x14ac:dyDescent="0.35">
      <c r="BR1920" s="63"/>
      <c r="BS1920" s="63"/>
      <c r="BT1920" s="63"/>
      <c r="BU1920" s="63"/>
      <c r="BV1920" s="57"/>
      <c r="BW1920" s="57"/>
      <c r="BX1920" s="57"/>
      <c r="BY1920" s="57"/>
    </row>
    <row r="1921" spans="70:77" ht="18.5" x14ac:dyDescent="0.35">
      <c r="BR1921" s="63"/>
      <c r="BS1921" s="63"/>
      <c r="BT1921" s="63"/>
      <c r="BU1921" s="63"/>
      <c r="BV1921" s="57"/>
      <c r="BW1921" s="57"/>
      <c r="BX1921" s="57"/>
      <c r="BY1921" s="57"/>
    </row>
    <row r="1922" spans="70:77" ht="18.5" x14ac:dyDescent="0.35">
      <c r="BR1922" s="63"/>
      <c r="BS1922" s="63"/>
      <c r="BT1922" s="63"/>
      <c r="BU1922" s="63"/>
      <c r="BV1922" s="57"/>
      <c r="BW1922" s="57"/>
      <c r="BX1922" s="57"/>
      <c r="BY1922" s="57"/>
    </row>
    <row r="1923" spans="70:77" ht="18.5" x14ac:dyDescent="0.35">
      <c r="BR1923" s="63"/>
      <c r="BS1923" s="63"/>
      <c r="BT1923" s="63"/>
      <c r="BU1923" s="63"/>
      <c r="BV1923" s="57"/>
      <c r="BW1923" s="57"/>
      <c r="BX1923" s="57"/>
      <c r="BY1923" s="57"/>
    </row>
    <row r="1924" spans="70:77" ht="18.5" x14ac:dyDescent="0.35">
      <c r="BR1924" s="63"/>
      <c r="BS1924" s="63"/>
      <c r="BT1924" s="63"/>
      <c r="BU1924" s="63"/>
      <c r="BV1924" s="57"/>
      <c r="BW1924" s="57"/>
      <c r="BX1924" s="57"/>
      <c r="BY1924" s="57"/>
    </row>
    <row r="1925" spans="70:77" ht="18.5" x14ac:dyDescent="0.35">
      <c r="BR1925" s="63"/>
      <c r="BS1925" s="63"/>
      <c r="BT1925" s="63"/>
      <c r="BU1925" s="63"/>
      <c r="BV1925" s="57"/>
      <c r="BW1925" s="57"/>
      <c r="BX1925" s="57"/>
      <c r="BY1925" s="57"/>
    </row>
    <row r="1926" spans="70:77" ht="18.5" x14ac:dyDescent="0.35">
      <c r="BR1926" s="63"/>
      <c r="BS1926" s="63"/>
      <c r="BT1926" s="63"/>
      <c r="BU1926" s="63"/>
      <c r="BV1926" s="57"/>
      <c r="BW1926" s="57"/>
      <c r="BX1926" s="57"/>
      <c r="BY1926" s="57"/>
    </row>
    <row r="1927" spans="70:77" ht="18.5" x14ac:dyDescent="0.35">
      <c r="BR1927" s="63"/>
      <c r="BS1927" s="63"/>
      <c r="BT1927" s="63"/>
      <c r="BU1927" s="63"/>
      <c r="BV1927" s="57"/>
      <c r="BW1927" s="57"/>
      <c r="BX1927" s="57"/>
      <c r="BY1927" s="57"/>
    </row>
    <row r="1928" spans="70:77" ht="18.5" x14ac:dyDescent="0.35">
      <c r="BR1928" s="63"/>
      <c r="BS1928" s="63"/>
      <c r="BT1928" s="63"/>
      <c r="BU1928" s="63"/>
      <c r="BV1928" s="57"/>
      <c r="BW1928" s="57"/>
      <c r="BX1928" s="57"/>
      <c r="BY1928" s="57"/>
    </row>
    <row r="1929" spans="70:77" ht="18.5" x14ac:dyDescent="0.35">
      <c r="BR1929" s="63"/>
      <c r="BS1929" s="63"/>
      <c r="BT1929" s="63"/>
      <c r="BU1929" s="63"/>
      <c r="BV1929" s="57"/>
      <c r="BW1929" s="57"/>
      <c r="BX1929" s="57"/>
      <c r="BY1929" s="57"/>
    </row>
    <row r="1930" spans="70:77" ht="18.5" x14ac:dyDescent="0.35">
      <c r="BR1930" s="63"/>
      <c r="BS1930" s="63"/>
      <c r="BT1930" s="63"/>
      <c r="BU1930" s="63"/>
      <c r="BV1930" s="57"/>
      <c r="BW1930" s="57"/>
      <c r="BX1930" s="57"/>
      <c r="BY1930" s="57"/>
    </row>
    <row r="1931" spans="70:77" ht="18.5" x14ac:dyDescent="0.35">
      <c r="BR1931" s="63"/>
      <c r="BS1931" s="63"/>
      <c r="BT1931" s="63"/>
      <c r="BU1931" s="63"/>
      <c r="BV1931" s="57"/>
      <c r="BW1931" s="57"/>
      <c r="BX1931" s="57"/>
      <c r="BY1931" s="57"/>
    </row>
    <row r="1932" spans="70:77" ht="18.5" x14ac:dyDescent="0.35">
      <c r="BR1932" s="63"/>
      <c r="BS1932" s="63"/>
      <c r="BT1932" s="63"/>
      <c r="BU1932" s="63"/>
      <c r="BV1932" s="57"/>
      <c r="BW1932" s="57"/>
      <c r="BX1932" s="57"/>
      <c r="BY1932" s="57"/>
    </row>
    <row r="1933" spans="70:77" ht="18.5" x14ac:dyDescent="0.35">
      <c r="BR1933" s="63"/>
      <c r="BS1933" s="63"/>
      <c r="BT1933" s="63"/>
      <c r="BU1933" s="63"/>
      <c r="BV1933" s="57"/>
      <c r="BW1933" s="57"/>
      <c r="BX1933" s="57"/>
      <c r="BY1933" s="57"/>
    </row>
    <row r="1934" spans="70:77" ht="18.5" x14ac:dyDescent="0.35">
      <c r="BR1934" s="63"/>
      <c r="BS1934" s="63"/>
      <c r="BT1934" s="63"/>
      <c r="BU1934" s="63"/>
      <c r="BV1934" s="57"/>
      <c r="BW1934" s="57"/>
      <c r="BX1934" s="57"/>
      <c r="BY1934" s="57"/>
    </row>
    <row r="1935" spans="70:77" ht="18.5" x14ac:dyDescent="0.35">
      <c r="BR1935" s="63"/>
      <c r="BS1935" s="63"/>
      <c r="BT1935" s="63"/>
      <c r="BU1935" s="63"/>
      <c r="BV1935" s="57"/>
      <c r="BW1935" s="57"/>
      <c r="BX1935" s="57"/>
      <c r="BY1935" s="57"/>
    </row>
    <row r="1936" spans="70:77" ht="18.5" x14ac:dyDescent="0.35">
      <c r="BR1936" s="63"/>
      <c r="BS1936" s="63"/>
      <c r="BT1936" s="63"/>
      <c r="BU1936" s="63"/>
      <c r="BV1936" s="57"/>
      <c r="BW1936" s="57"/>
      <c r="BX1936" s="57"/>
      <c r="BY1936" s="57"/>
    </row>
    <row r="1937" spans="70:77" ht="18.5" x14ac:dyDescent="0.35">
      <c r="BR1937" s="63"/>
      <c r="BS1937" s="63"/>
      <c r="BT1937" s="63"/>
      <c r="BU1937" s="63"/>
      <c r="BV1937" s="57"/>
      <c r="BW1937" s="57"/>
      <c r="BX1937" s="57"/>
      <c r="BY1937" s="57"/>
    </row>
    <row r="1938" spans="70:77" ht="18.5" x14ac:dyDescent="0.35">
      <c r="BR1938" s="63"/>
      <c r="BS1938" s="63"/>
      <c r="BT1938" s="63"/>
      <c r="BU1938" s="63"/>
      <c r="BV1938" s="57"/>
      <c r="BW1938" s="57"/>
      <c r="BX1938" s="57"/>
      <c r="BY1938" s="57"/>
    </row>
    <row r="1939" spans="70:77" ht="18.5" x14ac:dyDescent="0.35">
      <c r="BR1939" s="63"/>
      <c r="BS1939" s="63"/>
      <c r="BT1939" s="63"/>
      <c r="BU1939" s="63"/>
      <c r="BV1939" s="57"/>
      <c r="BW1939" s="57"/>
      <c r="BX1939" s="57"/>
      <c r="BY1939" s="57"/>
    </row>
    <row r="1940" spans="70:77" ht="18.5" x14ac:dyDescent="0.35">
      <c r="BR1940" s="63"/>
      <c r="BS1940" s="63"/>
      <c r="BT1940" s="63"/>
      <c r="BU1940" s="63"/>
      <c r="BV1940" s="57"/>
      <c r="BW1940" s="57"/>
      <c r="BX1940" s="57"/>
      <c r="BY1940" s="57"/>
    </row>
    <row r="1941" spans="70:77" ht="18.5" x14ac:dyDescent="0.35">
      <c r="BR1941" s="63"/>
      <c r="BS1941" s="63"/>
      <c r="BT1941" s="63"/>
      <c r="BU1941" s="63"/>
      <c r="BV1941" s="57"/>
      <c r="BW1941" s="57"/>
      <c r="BX1941" s="57"/>
      <c r="BY1941" s="57"/>
    </row>
    <row r="1942" spans="70:77" ht="18.5" x14ac:dyDescent="0.35">
      <c r="BR1942" s="63"/>
      <c r="BS1942" s="63"/>
      <c r="BT1942" s="63"/>
      <c r="BU1942" s="63"/>
      <c r="BV1942" s="57"/>
      <c r="BW1942" s="57"/>
      <c r="BX1942" s="57"/>
      <c r="BY1942" s="57"/>
    </row>
    <row r="1943" spans="70:77" ht="18.5" x14ac:dyDescent="0.35">
      <c r="BR1943" s="63"/>
      <c r="BS1943" s="63"/>
      <c r="BT1943" s="63"/>
      <c r="BU1943" s="63"/>
      <c r="BV1943" s="57"/>
      <c r="BW1943" s="57"/>
      <c r="BX1943" s="57"/>
      <c r="BY1943" s="57"/>
    </row>
    <row r="1944" spans="70:77" ht="18.5" x14ac:dyDescent="0.35">
      <c r="BR1944" s="63"/>
      <c r="BS1944" s="63"/>
      <c r="BT1944" s="63"/>
      <c r="BU1944" s="63"/>
      <c r="BV1944" s="57"/>
      <c r="BW1944" s="57"/>
      <c r="BX1944" s="57"/>
      <c r="BY1944" s="57"/>
    </row>
    <row r="1945" spans="70:77" ht="18.5" x14ac:dyDescent="0.35">
      <c r="BR1945" s="63"/>
      <c r="BS1945" s="63"/>
      <c r="BT1945" s="63"/>
      <c r="BU1945" s="63"/>
      <c r="BV1945" s="57"/>
      <c r="BW1945" s="57"/>
      <c r="BX1945" s="57"/>
      <c r="BY1945" s="57"/>
    </row>
    <row r="1946" spans="70:77" ht="18.5" x14ac:dyDescent="0.35">
      <c r="BR1946" s="63"/>
      <c r="BS1946" s="63"/>
      <c r="BT1946" s="63"/>
      <c r="BU1946" s="63"/>
      <c r="BV1946" s="57"/>
      <c r="BW1946" s="57"/>
      <c r="BX1946" s="57"/>
      <c r="BY1946" s="57"/>
    </row>
    <row r="1947" spans="70:77" ht="18.5" x14ac:dyDescent="0.35">
      <c r="BR1947" s="63"/>
      <c r="BS1947" s="63"/>
      <c r="BT1947" s="63"/>
      <c r="BU1947" s="63"/>
      <c r="BV1947" s="57"/>
      <c r="BW1947" s="57"/>
      <c r="BX1947" s="57"/>
      <c r="BY1947" s="57"/>
    </row>
    <row r="1948" spans="70:77" ht="18.5" x14ac:dyDescent="0.35">
      <c r="BR1948" s="63"/>
      <c r="BS1948" s="63"/>
      <c r="BT1948" s="63"/>
      <c r="BU1948" s="63"/>
      <c r="BV1948" s="57"/>
      <c r="BW1948" s="57"/>
      <c r="BX1948" s="57"/>
      <c r="BY1948" s="57"/>
    </row>
    <row r="1949" spans="70:77" ht="18.5" x14ac:dyDescent="0.35">
      <c r="BR1949" s="63"/>
      <c r="BS1949" s="63"/>
      <c r="BT1949" s="63"/>
      <c r="BU1949" s="63"/>
      <c r="BV1949" s="57"/>
      <c r="BW1949" s="57"/>
      <c r="BX1949" s="57"/>
      <c r="BY1949" s="57"/>
    </row>
    <row r="1950" spans="70:77" ht="18.5" x14ac:dyDescent="0.35">
      <c r="BR1950" s="63"/>
      <c r="BS1950" s="63"/>
      <c r="BT1950" s="63"/>
      <c r="BU1950" s="63"/>
      <c r="BV1950" s="57"/>
      <c r="BW1950" s="57"/>
      <c r="BX1950" s="57"/>
      <c r="BY1950" s="57"/>
    </row>
    <row r="1951" spans="70:77" ht="18.5" x14ac:dyDescent="0.35">
      <c r="BR1951" s="63"/>
      <c r="BS1951" s="63"/>
      <c r="BT1951" s="63"/>
      <c r="BU1951" s="63"/>
      <c r="BV1951" s="57"/>
      <c r="BW1951" s="57"/>
      <c r="BX1951" s="57"/>
      <c r="BY1951" s="57"/>
    </row>
    <row r="1952" spans="70:77" ht="18.5" x14ac:dyDescent="0.35">
      <c r="BR1952" s="63"/>
      <c r="BS1952" s="63"/>
      <c r="BT1952" s="63"/>
      <c r="BU1952" s="63"/>
      <c r="BV1952" s="57"/>
      <c r="BW1952" s="57"/>
      <c r="BX1952" s="57"/>
      <c r="BY1952" s="57"/>
    </row>
    <row r="1953" spans="70:77" ht="18.5" x14ac:dyDescent="0.35">
      <c r="BR1953" s="63"/>
      <c r="BS1953" s="63"/>
      <c r="BT1953" s="63"/>
      <c r="BU1953" s="63"/>
      <c r="BV1953" s="57"/>
      <c r="BW1953" s="57"/>
      <c r="BX1953" s="57"/>
      <c r="BY1953" s="57"/>
    </row>
    <row r="1954" spans="70:77" ht="18.5" x14ac:dyDescent="0.35">
      <c r="BR1954" s="63"/>
      <c r="BS1954" s="63"/>
      <c r="BT1954" s="63"/>
      <c r="BU1954" s="63"/>
      <c r="BV1954" s="57"/>
      <c r="BW1954" s="57"/>
      <c r="BX1954" s="57"/>
      <c r="BY1954" s="57"/>
    </row>
    <row r="1955" spans="70:77" ht="18.5" x14ac:dyDescent="0.35">
      <c r="BR1955" s="63"/>
      <c r="BS1955" s="63"/>
      <c r="BT1955" s="63"/>
      <c r="BU1955" s="63"/>
      <c r="BV1955" s="57"/>
      <c r="BW1955" s="57"/>
      <c r="BX1955" s="57"/>
      <c r="BY1955" s="57"/>
    </row>
    <row r="1956" spans="70:77" ht="18.5" x14ac:dyDescent="0.35">
      <c r="BR1956" s="63"/>
      <c r="BS1956" s="63"/>
      <c r="BT1956" s="63"/>
      <c r="BU1956" s="63"/>
      <c r="BV1956" s="57"/>
      <c r="BW1956" s="57"/>
      <c r="BX1956" s="57"/>
      <c r="BY1956" s="57"/>
    </row>
    <row r="1957" spans="70:77" ht="18.5" x14ac:dyDescent="0.35">
      <c r="BR1957" s="63"/>
      <c r="BS1957" s="63"/>
      <c r="BT1957" s="63"/>
      <c r="BU1957" s="63"/>
      <c r="BV1957" s="57"/>
      <c r="BW1957" s="57"/>
      <c r="BX1957" s="57"/>
      <c r="BY1957" s="57"/>
    </row>
    <row r="1958" spans="70:77" ht="18.5" x14ac:dyDescent="0.35">
      <c r="BR1958" s="63"/>
      <c r="BS1958" s="63"/>
      <c r="BT1958" s="63"/>
      <c r="BU1958" s="63"/>
      <c r="BV1958" s="57"/>
      <c r="BW1958" s="57"/>
      <c r="BX1958" s="57"/>
      <c r="BY1958" s="57"/>
    </row>
    <row r="1959" spans="70:77" ht="18.5" x14ac:dyDescent="0.35">
      <c r="BR1959" s="63"/>
      <c r="BS1959" s="63"/>
      <c r="BT1959" s="63"/>
      <c r="BU1959" s="63"/>
      <c r="BV1959" s="57"/>
      <c r="BW1959" s="57"/>
      <c r="BX1959" s="57"/>
      <c r="BY1959" s="57"/>
    </row>
    <row r="1960" spans="70:77" ht="18.5" x14ac:dyDescent="0.35">
      <c r="BR1960" s="63"/>
      <c r="BS1960" s="63"/>
      <c r="BT1960" s="63"/>
      <c r="BU1960" s="63"/>
      <c r="BV1960" s="57"/>
      <c r="BW1960" s="57"/>
      <c r="BX1960" s="57"/>
      <c r="BY1960" s="57"/>
    </row>
    <row r="1961" spans="70:77" ht="18.5" x14ac:dyDescent="0.35">
      <c r="BR1961" s="63"/>
      <c r="BS1961" s="63"/>
      <c r="BT1961" s="63"/>
      <c r="BU1961" s="63"/>
      <c r="BV1961" s="57"/>
      <c r="BW1961" s="57"/>
      <c r="BX1961" s="57"/>
      <c r="BY1961" s="57"/>
    </row>
    <row r="1962" spans="70:77" ht="18.5" x14ac:dyDescent="0.35">
      <c r="BR1962" s="63"/>
      <c r="BS1962" s="63"/>
      <c r="BT1962" s="63"/>
      <c r="BU1962" s="63"/>
      <c r="BV1962" s="57"/>
      <c r="BW1962" s="57"/>
      <c r="BX1962" s="57"/>
      <c r="BY1962" s="57"/>
    </row>
    <row r="1963" spans="70:77" ht="18.5" x14ac:dyDescent="0.35">
      <c r="BR1963" s="63"/>
      <c r="BS1963" s="63"/>
      <c r="BT1963" s="63"/>
      <c r="BU1963" s="63"/>
      <c r="BV1963" s="57"/>
      <c r="BW1963" s="57"/>
      <c r="BX1963" s="57"/>
      <c r="BY1963" s="57"/>
    </row>
    <row r="1964" spans="70:77" ht="18.5" x14ac:dyDescent="0.35">
      <c r="BR1964" s="63"/>
      <c r="BS1964" s="63"/>
      <c r="BT1964" s="63"/>
      <c r="BU1964" s="63"/>
      <c r="BV1964" s="57"/>
      <c r="BW1964" s="57"/>
      <c r="BX1964" s="57"/>
      <c r="BY1964" s="57"/>
    </row>
    <row r="1965" spans="70:77" ht="18.5" x14ac:dyDescent="0.35">
      <c r="BR1965" s="63"/>
      <c r="BS1965" s="63"/>
      <c r="BT1965" s="63"/>
      <c r="BU1965" s="63"/>
      <c r="BV1965" s="57"/>
      <c r="BW1965" s="57"/>
      <c r="BX1965" s="57"/>
      <c r="BY1965" s="57"/>
    </row>
    <row r="1966" spans="70:77" ht="18.5" x14ac:dyDescent="0.35">
      <c r="BR1966" s="63"/>
      <c r="BS1966" s="63"/>
      <c r="BT1966" s="63"/>
      <c r="BU1966" s="63"/>
      <c r="BV1966" s="57"/>
      <c r="BW1966" s="57"/>
      <c r="BX1966" s="57"/>
      <c r="BY1966" s="57"/>
    </row>
    <row r="1967" spans="70:77" ht="18.5" x14ac:dyDescent="0.35">
      <c r="BR1967" s="63"/>
      <c r="BS1967" s="63"/>
      <c r="BT1967" s="63"/>
      <c r="BU1967" s="63"/>
      <c r="BV1967" s="57"/>
      <c r="BW1967" s="57"/>
      <c r="BX1967" s="57"/>
      <c r="BY1967" s="57"/>
    </row>
    <row r="1968" spans="70:77" ht="18.5" x14ac:dyDescent="0.35">
      <c r="BR1968" s="63"/>
      <c r="BS1968" s="63"/>
      <c r="BT1968" s="63"/>
      <c r="BU1968" s="63"/>
      <c r="BV1968" s="57"/>
      <c r="BW1968" s="57"/>
      <c r="BX1968" s="57"/>
      <c r="BY1968" s="57"/>
    </row>
    <row r="1969" spans="70:77" ht="18.5" x14ac:dyDescent="0.35">
      <c r="BR1969" s="63"/>
      <c r="BS1969" s="63"/>
      <c r="BT1969" s="63"/>
      <c r="BU1969" s="63"/>
      <c r="BV1969" s="57"/>
      <c r="BW1969" s="57"/>
      <c r="BX1969" s="57"/>
      <c r="BY1969" s="57"/>
    </row>
    <row r="1970" spans="70:77" ht="18.5" x14ac:dyDescent="0.35">
      <c r="BR1970" s="63"/>
      <c r="BS1970" s="63"/>
      <c r="BT1970" s="63"/>
      <c r="BU1970" s="63"/>
      <c r="BV1970" s="57"/>
      <c r="BW1970" s="57"/>
      <c r="BX1970" s="57"/>
      <c r="BY1970" s="57"/>
    </row>
    <row r="1971" spans="70:77" ht="18.5" x14ac:dyDescent="0.35">
      <c r="BR1971" s="63"/>
      <c r="BS1971" s="63"/>
      <c r="BT1971" s="63"/>
      <c r="BU1971" s="63"/>
      <c r="BV1971" s="57"/>
      <c r="BW1971" s="57"/>
      <c r="BX1971" s="57"/>
      <c r="BY1971" s="57"/>
    </row>
    <row r="1972" spans="70:77" ht="18.5" x14ac:dyDescent="0.35">
      <c r="BR1972" s="63"/>
      <c r="BS1972" s="63"/>
      <c r="BT1972" s="63"/>
      <c r="BU1972" s="63"/>
      <c r="BV1972" s="57"/>
      <c r="BW1972" s="57"/>
      <c r="BX1972" s="57"/>
      <c r="BY1972" s="57"/>
    </row>
    <row r="1973" spans="70:77" ht="18.5" x14ac:dyDescent="0.35">
      <c r="BR1973" s="63"/>
      <c r="BS1973" s="63"/>
      <c r="BT1973" s="63"/>
      <c r="BU1973" s="63"/>
      <c r="BV1973" s="57"/>
      <c r="BW1973" s="57"/>
      <c r="BX1973" s="57"/>
      <c r="BY1973" s="57"/>
    </row>
    <row r="1974" spans="70:77" ht="18.5" x14ac:dyDescent="0.35">
      <c r="BR1974" s="63"/>
      <c r="BS1974" s="63"/>
      <c r="BT1974" s="63"/>
      <c r="BU1974" s="63"/>
      <c r="BV1974" s="57"/>
      <c r="BW1974" s="57"/>
      <c r="BX1974" s="57"/>
      <c r="BY1974" s="57"/>
    </row>
    <row r="1975" spans="70:77" ht="18.5" x14ac:dyDescent="0.35">
      <c r="BR1975" s="63"/>
      <c r="BS1975" s="63"/>
      <c r="BT1975" s="63"/>
      <c r="BU1975" s="63"/>
      <c r="BV1975" s="57"/>
      <c r="BW1975" s="57"/>
      <c r="BX1975" s="57"/>
      <c r="BY1975" s="57"/>
    </row>
    <row r="1976" spans="70:77" ht="18.5" x14ac:dyDescent="0.35">
      <c r="BR1976" s="63"/>
      <c r="BS1976" s="63"/>
      <c r="BT1976" s="63"/>
      <c r="BU1976" s="63"/>
      <c r="BV1976" s="57"/>
      <c r="BW1976" s="57"/>
      <c r="BX1976" s="57"/>
      <c r="BY1976" s="57"/>
    </row>
    <row r="1977" spans="70:77" ht="18.5" x14ac:dyDescent="0.35">
      <c r="BR1977" s="63"/>
      <c r="BS1977" s="63"/>
      <c r="BT1977" s="63"/>
      <c r="BU1977" s="63"/>
      <c r="BV1977" s="57"/>
      <c r="BW1977" s="57"/>
      <c r="BX1977" s="57"/>
      <c r="BY1977" s="57"/>
    </row>
    <row r="1978" spans="70:77" ht="18.5" x14ac:dyDescent="0.35">
      <c r="BR1978" s="63"/>
      <c r="BS1978" s="63"/>
      <c r="BT1978" s="63"/>
      <c r="BU1978" s="63"/>
      <c r="BV1978" s="57"/>
      <c r="BW1978" s="57"/>
      <c r="BX1978" s="57"/>
      <c r="BY1978" s="57"/>
    </row>
    <row r="1979" spans="70:77" ht="18.5" x14ac:dyDescent="0.35">
      <c r="BR1979" s="63"/>
      <c r="BS1979" s="63"/>
      <c r="BT1979" s="63"/>
      <c r="BU1979" s="63"/>
      <c r="BV1979" s="57"/>
      <c r="BW1979" s="57"/>
      <c r="BX1979" s="57"/>
      <c r="BY1979" s="57"/>
    </row>
    <row r="1980" spans="70:77" ht="18.5" x14ac:dyDescent="0.35">
      <c r="BR1980" s="63"/>
      <c r="BS1980" s="63"/>
      <c r="BT1980" s="63"/>
      <c r="BU1980" s="63"/>
      <c r="BV1980" s="57"/>
      <c r="BW1980" s="57"/>
      <c r="BX1980" s="57"/>
      <c r="BY1980" s="57"/>
    </row>
    <row r="1981" spans="70:77" ht="18.5" x14ac:dyDescent="0.35">
      <c r="BR1981" s="63"/>
      <c r="BS1981" s="63"/>
      <c r="BT1981" s="63"/>
      <c r="BU1981" s="63"/>
      <c r="BV1981" s="57"/>
      <c r="BW1981" s="57"/>
      <c r="BX1981" s="57"/>
      <c r="BY1981" s="57"/>
    </row>
    <row r="1982" spans="70:77" ht="18.5" x14ac:dyDescent="0.35">
      <c r="BR1982" s="63"/>
      <c r="BS1982" s="63"/>
      <c r="BT1982" s="63"/>
      <c r="BU1982" s="63"/>
      <c r="BV1982" s="57"/>
      <c r="BW1982" s="57"/>
      <c r="BX1982" s="57"/>
      <c r="BY1982" s="57"/>
    </row>
    <row r="1983" spans="70:77" ht="18.5" x14ac:dyDescent="0.35">
      <c r="BR1983" s="63"/>
      <c r="BS1983" s="63"/>
      <c r="BT1983" s="63"/>
      <c r="BU1983" s="63"/>
      <c r="BV1983" s="57"/>
      <c r="BW1983" s="57"/>
      <c r="BX1983" s="57"/>
      <c r="BY1983" s="57"/>
    </row>
    <row r="1984" spans="70:77" ht="18.5" x14ac:dyDescent="0.35">
      <c r="BR1984" s="63"/>
      <c r="BS1984" s="63"/>
      <c r="BT1984" s="63"/>
      <c r="BU1984" s="63"/>
      <c r="BV1984" s="57"/>
      <c r="BW1984" s="57"/>
      <c r="BX1984" s="57"/>
      <c r="BY1984" s="57"/>
    </row>
    <row r="1985" spans="70:77" ht="18.5" x14ac:dyDescent="0.35">
      <c r="BR1985" s="63"/>
      <c r="BS1985" s="63"/>
      <c r="BT1985" s="63"/>
      <c r="BU1985" s="63"/>
      <c r="BV1985" s="57"/>
      <c r="BW1985" s="57"/>
      <c r="BX1985" s="57"/>
      <c r="BY1985" s="57"/>
    </row>
    <row r="1986" spans="70:77" ht="18.5" x14ac:dyDescent="0.35">
      <c r="BR1986" s="63"/>
      <c r="BS1986" s="63"/>
      <c r="BT1986" s="63"/>
      <c r="BU1986" s="63"/>
      <c r="BV1986" s="57"/>
      <c r="BW1986" s="57"/>
      <c r="BX1986" s="57"/>
      <c r="BY1986" s="57"/>
    </row>
    <row r="1987" spans="70:77" ht="18.5" x14ac:dyDescent="0.35">
      <c r="BR1987" s="63"/>
      <c r="BS1987" s="63"/>
      <c r="BT1987" s="63"/>
      <c r="BU1987" s="63"/>
      <c r="BV1987" s="57"/>
      <c r="BW1987" s="57"/>
      <c r="BX1987" s="57"/>
      <c r="BY1987" s="57"/>
    </row>
    <row r="1988" spans="70:77" ht="18.5" x14ac:dyDescent="0.35">
      <c r="BR1988" s="63"/>
      <c r="BS1988" s="63"/>
      <c r="BT1988" s="63"/>
      <c r="BU1988" s="63"/>
      <c r="BV1988" s="57"/>
      <c r="BW1988" s="57"/>
      <c r="BX1988" s="57"/>
      <c r="BY1988" s="57"/>
    </row>
    <row r="1989" spans="70:77" ht="18.5" x14ac:dyDescent="0.35">
      <c r="BR1989" s="63"/>
      <c r="BS1989" s="63"/>
      <c r="BT1989" s="63"/>
      <c r="BU1989" s="63"/>
      <c r="BV1989" s="57"/>
      <c r="BW1989" s="57"/>
      <c r="BX1989" s="57"/>
      <c r="BY1989" s="57"/>
    </row>
    <row r="1990" spans="70:77" ht="18.5" x14ac:dyDescent="0.35">
      <c r="BR1990" s="63"/>
      <c r="BS1990" s="63"/>
      <c r="BT1990" s="63"/>
      <c r="BU1990" s="63"/>
      <c r="BV1990" s="57"/>
      <c r="BW1990" s="57"/>
      <c r="BX1990" s="57"/>
      <c r="BY1990" s="57"/>
    </row>
    <row r="1991" spans="70:77" ht="18.5" x14ac:dyDescent="0.35">
      <c r="BR1991" s="63"/>
      <c r="BS1991" s="63"/>
      <c r="BT1991" s="63"/>
      <c r="BU1991" s="63"/>
      <c r="BV1991" s="57"/>
      <c r="BW1991" s="57"/>
      <c r="BX1991" s="57"/>
      <c r="BY1991" s="57"/>
    </row>
    <row r="1992" spans="70:77" ht="18.5" x14ac:dyDescent="0.35">
      <c r="BR1992" s="63"/>
      <c r="BS1992" s="63"/>
      <c r="BT1992" s="63"/>
      <c r="BU1992" s="63"/>
      <c r="BV1992" s="57"/>
      <c r="BW1992" s="57"/>
      <c r="BX1992" s="57"/>
      <c r="BY1992" s="57"/>
    </row>
    <row r="1993" spans="70:77" ht="18.5" x14ac:dyDescent="0.35">
      <c r="BR1993" s="63"/>
      <c r="BS1993" s="63"/>
      <c r="BT1993" s="63"/>
      <c r="BU1993" s="63"/>
      <c r="BV1993" s="57"/>
      <c r="BW1993" s="57"/>
      <c r="BX1993" s="57"/>
      <c r="BY1993" s="57"/>
    </row>
    <row r="1994" spans="70:77" ht="18.5" x14ac:dyDescent="0.35">
      <c r="BR1994" s="63"/>
      <c r="BS1994" s="63"/>
      <c r="BT1994" s="63"/>
      <c r="BU1994" s="63"/>
      <c r="BV1994" s="57"/>
      <c r="BW1994" s="57"/>
      <c r="BX1994" s="57"/>
      <c r="BY1994" s="57"/>
    </row>
    <row r="1995" spans="70:77" ht="18.5" x14ac:dyDescent="0.35">
      <c r="BR1995" s="63"/>
      <c r="BS1995" s="63"/>
      <c r="BT1995" s="63"/>
      <c r="BU1995" s="63"/>
      <c r="BV1995" s="57"/>
      <c r="BW1995" s="57"/>
      <c r="BX1995" s="57"/>
      <c r="BY1995" s="57"/>
    </row>
    <row r="1996" spans="70:77" ht="18.5" x14ac:dyDescent="0.35">
      <c r="BR1996" s="63"/>
      <c r="BS1996" s="63"/>
      <c r="BT1996" s="63"/>
      <c r="BU1996" s="63"/>
      <c r="BV1996" s="57"/>
      <c r="BW1996" s="57"/>
      <c r="BX1996" s="57"/>
      <c r="BY1996" s="57"/>
    </row>
    <row r="1997" spans="70:77" ht="18.5" x14ac:dyDescent="0.35">
      <c r="BR1997" s="63"/>
      <c r="BS1997" s="63"/>
      <c r="BT1997" s="63"/>
      <c r="BU1997" s="63"/>
      <c r="BV1997" s="57"/>
      <c r="BW1997" s="57"/>
      <c r="BX1997" s="57"/>
      <c r="BY1997" s="57"/>
    </row>
    <row r="1998" spans="70:77" ht="18.5" x14ac:dyDescent="0.35">
      <c r="BR1998" s="63"/>
      <c r="BS1998" s="63"/>
      <c r="BT1998" s="63"/>
      <c r="BU1998" s="63"/>
      <c r="BV1998" s="57"/>
      <c r="BW1998" s="57"/>
      <c r="BX1998" s="57"/>
      <c r="BY1998" s="57"/>
    </row>
    <row r="1999" spans="70:77" ht="18.5" x14ac:dyDescent="0.35">
      <c r="BR1999" s="63"/>
      <c r="BS1999" s="63"/>
      <c r="BT1999" s="63"/>
      <c r="BU1999" s="63"/>
      <c r="BV1999" s="57"/>
      <c r="BW1999" s="57"/>
      <c r="BX1999" s="57"/>
      <c r="BY1999" s="57"/>
    </row>
    <row r="2000" spans="70:77" ht="18.5" x14ac:dyDescent="0.35">
      <c r="BR2000" s="63"/>
      <c r="BS2000" s="63"/>
      <c r="BT2000" s="63"/>
      <c r="BU2000" s="63"/>
      <c r="BV2000" s="57"/>
      <c r="BW2000" s="57"/>
      <c r="BX2000" s="57"/>
      <c r="BY2000" s="57"/>
    </row>
    <row r="2001" spans="70:77" ht="18.5" x14ac:dyDescent="0.35">
      <c r="BR2001" s="63"/>
      <c r="BS2001" s="63"/>
      <c r="BT2001" s="63"/>
      <c r="BU2001" s="63"/>
      <c r="BV2001" s="57"/>
      <c r="BW2001" s="57"/>
      <c r="BX2001" s="57"/>
      <c r="BY2001" s="57"/>
    </row>
    <row r="2002" spans="70:77" ht="18.5" x14ac:dyDescent="0.35">
      <c r="BR2002" s="63"/>
      <c r="BS2002" s="63"/>
      <c r="BT2002" s="63"/>
      <c r="BU2002" s="63"/>
      <c r="BV2002" s="57"/>
      <c r="BW2002" s="57"/>
      <c r="BX2002" s="57"/>
      <c r="BY2002" s="57"/>
    </row>
    <row r="2003" spans="70:77" ht="18.5" x14ac:dyDescent="0.35">
      <c r="BR2003" s="63"/>
      <c r="BS2003" s="63"/>
      <c r="BT2003" s="63"/>
      <c r="BU2003" s="63"/>
      <c r="BV2003" s="57"/>
      <c r="BW2003" s="57"/>
      <c r="BX2003" s="57"/>
      <c r="BY2003" s="57"/>
    </row>
    <row r="2004" spans="70:77" ht="18.5" x14ac:dyDescent="0.35">
      <c r="BR2004" s="63"/>
      <c r="BS2004" s="63"/>
      <c r="BT2004" s="63"/>
      <c r="BU2004" s="63"/>
      <c r="BV2004" s="57"/>
      <c r="BW2004" s="57"/>
      <c r="BX2004" s="57"/>
      <c r="BY2004" s="57"/>
    </row>
    <row r="2005" spans="70:77" ht="18.5" x14ac:dyDescent="0.35">
      <c r="BR2005" s="63"/>
      <c r="BS2005" s="63"/>
      <c r="BT2005" s="63"/>
      <c r="BU2005" s="63"/>
      <c r="BV2005" s="57"/>
      <c r="BW2005" s="57"/>
      <c r="BX2005" s="57"/>
      <c r="BY2005" s="57"/>
    </row>
    <row r="2006" spans="70:77" ht="18.5" x14ac:dyDescent="0.35">
      <c r="BR2006" s="63"/>
      <c r="BS2006" s="63"/>
      <c r="BT2006" s="63"/>
      <c r="BU2006" s="63"/>
      <c r="BV2006" s="57"/>
      <c r="BW2006" s="57"/>
      <c r="BX2006" s="57"/>
      <c r="BY2006" s="57"/>
    </row>
    <row r="2007" spans="70:77" ht="18.5" x14ac:dyDescent="0.35">
      <c r="BR2007" s="63"/>
      <c r="BS2007" s="63"/>
      <c r="BT2007" s="63"/>
      <c r="BU2007" s="63"/>
      <c r="BV2007" s="57"/>
      <c r="BW2007" s="57"/>
      <c r="BX2007" s="57"/>
      <c r="BY2007" s="57"/>
    </row>
    <row r="2008" spans="70:77" ht="18.5" x14ac:dyDescent="0.35">
      <c r="BR2008" s="63"/>
      <c r="BS2008" s="63"/>
      <c r="BT2008" s="63"/>
      <c r="BU2008" s="63"/>
      <c r="BV2008" s="57"/>
      <c r="BW2008" s="57"/>
      <c r="BX2008" s="57"/>
      <c r="BY2008" s="57"/>
    </row>
    <row r="2009" spans="70:77" ht="18.5" x14ac:dyDescent="0.35">
      <c r="BR2009" s="63"/>
      <c r="BS2009" s="63"/>
      <c r="BT2009" s="63"/>
      <c r="BU2009" s="63"/>
      <c r="BV2009" s="57"/>
      <c r="BW2009" s="57"/>
      <c r="BX2009" s="57"/>
      <c r="BY2009" s="57"/>
    </row>
    <row r="2010" spans="70:77" ht="18.5" x14ac:dyDescent="0.35">
      <c r="BR2010" s="63"/>
      <c r="BS2010" s="63"/>
      <c r="BT2010" s="63"/>
      <c r="BU2010" s="63"/>
      <c r="BV2010" s="57"/>
      <c r="BW2010" s="57"/>
      <c r="BX2010" s="57"/>
      <c r="BY2010" s="57"/>
    </row>
    <row r="2011" spans="70:77" ht="18.5" x14ac:dyDescent="0.35">
      <c r="BR2011" s="63"/>
      <c r="BS2011" s="63"/>
      <c r="BT2011" s="63"/>
      <c r="BU2011" s="63"/>
      <c r="BV2011" s="57"/>
      <c r="BW2011" s="57"/>
      <c r="BX2011" s="57"/>
      <c r="BY2011" s="57"/>
    </row>
    <row r="2012" spans="70:77" ht="18.5" x14ac:dyDescent="0.35">
      <c r="BR2012" s="63"/>
      <c r="BS2012" s="63"/>
      <c r="BT2012" s="63"/>
      <c r="BU2012" s="63"/>
      <c r="BV2012" s="57"/>
      <c r="BW2012" s="57"/>
      <c r="BX2012" s="57"/>
      <c r="BY2012" s="57"/>
    </row>
    <row r="2013" spans="70:77" ht="18.5" x14ac:dyDescent="0.35">
      <c r="BR2013" s="63"/>
      <c r="BS2013" s="63"/>
      <c r="BT2013" s="63"/>
      <c r="BU2013" s="63"/>
      <c r="BV2013" s="57"/>
      <c r="BW2013" s="57"/>
      <c r="BX2013" s="57"/>
      <c r="BY2013" s="57"/>
    </row>
    <row r="2014" spans="70:77" ht="18.5" x14ac:dyDescent="0.35">
      <c r="BR2014" s="63"/>
      <c r="BS2014" s="63"/>
      <c r="BT2014" s="63"/>
      <c r="BU2014" s="63"/>
      <c r="BV2014" s="57"/>
      <c r="BW2014" s="57"/>
      <c r="BX2014" s="57"/>
      <c r="BY2014" s="57"/>
    </row>
    <row r="2015" spans="70:77" ht="18.5" x14ac:dyDescent="0.35">
      <c r="BR2015" s="63"/>
      <c r="BS2015" s="63"/>
      <c r="BT2015" s="63"/>
      <c r="BU2015" s="63"/>
      <c r="BV2015" s="57"/>
      <c r="BW2015" s="57"/>
      <c r="BX2015" s="57"/>
      <c r="BY2015" s="57"/>
    </row>
    <row r="2016" spans="70:77" ht="18.5" x14ac:dyDescent="0.35">
      <c r="BR2016" s="63"/>
      <c r="BS2016" s="63"/>
      <c r="BT2016" s="63"/>
      <c r="BU2016" s="63"/>
      <c r="BV2016" s="57"/>
      <c r="BW2016" s="57"/>
      <c r="BX2016" s="57"/>
      <c r="BY2016" s="57"/>
    </row>
    <row r="2017" spans="70:77" ht="18.5" x14ac:dyDescent="0.35">
      <c r="BR2017" s="63"/>
      <c r="BS2017" s="63"/>
      <c r="BT2017" s="63"/>
      <c r="BU2017" s="63"/>
      <c r="BV2017" s="57"/>
      <c r="BW2017" s="57"/>
      <c r="BX2017" s="57"/>
      <c r="BY2017" s="57"/>
    </row>
    <row r="2018" spans="70:77" ht="18.5" x14ac:dyDescent="0.35">
      <c r="BR2018" s="63"/>
      <c r="BS2018" s="63"/>
      <c r="BT2018" s="63"/>
      <c r="BU2018" s="63"/>
      <c r="BV2018" s="57"/>
      <c r="BW2018" s="57"/>
      <c r="BX2018" s="57"/>
      <c r="BY2018" s="57"/>
    </row>
    <row r="2019" spans="70:77" ht="18.5" x14ac:dyDescent="0.35">
      <c r="BR2019" s="63"/>
      <c r="BS2019" s="63"/>
      <c r="BT2019" s="63"/>
      <c r="BU2019" s="63"/>
      <c r="BV2019" s="57"/>
      <c r="BW2019" s="57"/>
      <c r="BX2019" s="57"/>
      <c r="BY2019" s="57"/>
    </row>
    <row r="2020" spans="70:77" ht="18.5" x14ac:dyDescent="0.35">
      <c r="BR2020" s="63"/>
      <c r="BS2020" s="63"/>
      <c r="BT2020" s="63"/>
      <c r="BU2020" s="63"/>
      <c r="BV2020" s="57"/>
      <c r="BW2020" s="57"/>
      <c r="BX2020" s="57"/>
      <c r="BY2020" s="57"/>
    </row>
    <row r="2021" spans="70:77" ht="18.5" x14ac:dyDescent="0.35">
      <c r="BR2021" s="63"/>
      <c r="BS2021" s="63"/>
      <c r="BT2021" s="63"/>
      <c r="BU2021" s="63"/>
      <c r="BV2021" s="57"/>
      <c r="BW2021" s="57"/>
      <c r="BX2021" s="57"/>
      <c r="BY2021" s="57"/>
    </row>
    <row r="2022" spans="70:77" ht="18.5" x14ac:dyDescent="0.35">
      <c r="BR2022" s="63"/>
      <c r="BS2022" s="63"/>
      <c r="BT2022" s="63"/>
      <c r="BU2022" s="63"/>
      <c r="BV2022" s="57"/>
      <c r="BW2022" s="57"/>
      <c r="BX2022" s="57"/>
      <c r="BY2022" s="57"/>
    </row>
    <row r="2023" spans="70:77" ht="18.5" x14ac:dyDescent="0.35">
      <c r="BR2023" s="63"/>
      <c r="BS2023" s="63"/>
      <c r="BT2023" s="63"/>
      <c r="BU2023" s="63"/>
      <c r="BV2023" s="57"/>
      <c r="BW2023" s="57"/>
      <c r="BX2023" s="57"/>
      <c r="BY2023" s="57"/>
    </row>
    <row r="2024" spans="70:77" ht="18.5" x14ac:dyDescent="0.35">
      <c r="BR2024" s="63"/>
      <c r="BS2024" s="63"/>
      <c r="BT2024" s="63"/>
      <c r="BU2024" s="63"/>
      <c r="BV2024" s="57"/>
      <c r="BW2024" s="57"/>
      <c r="BX2024" s="57"/>
      <c r="BY2024" s="57"/>
    </row>
    <row r="2025" spans="70:77" ht="18.5" x14ac:dyDescent="0.35">
      <c r="BR2025" s="63"/>
      <c r="BS2025" s="63"/>
      <c r="BT2025" s="63"/>
      <c r="BU2025" s="63"/>
      <c r="BV2025" s="57"/>
      <c r="BW2025" s="57"/>
      <c r="BX2025" s="57"/>
      <c r="BY2025" s="57"/>
    </row>
    <row r="2026" spans="70:77" ht="18.5" x14ac:dyDescent="0.35">
      <c r="BR2026" s="63"/>
      <c r="BS2026" s="63"/>
      <c r="BT2026" s="63"/>
      <c r="BU2026" s="63"/>
      <c r="BV2026" s="57"/>
      <c r="BW2026" s="57"/>
      <c r="BX2026" s="57"/>
      <c r="BY2026" s="57"/>
    </row>
    <row r="2027" spans="70:77" ht="18.5" x14ac:dyDescent="0.35">
      <c r="BR2027" s="63"/>
      <c r="BS2027" s="63"/>
      <c r="BT2027" s="63"/>
      <c r="BU2027" s="63"/>
      <c r="BV2027" s="57"/>
      <c r="BW2027" s="57"/>
      <c r="BX2027" s="57"/>
      <c r="BY2027" s="57"/>
    </row>
    <row r="2028" spans="70:77" ht="18.5" x14ac:dyDescent="0.35">
      <c r="BR2028" s="63"/>
      <c r="BS2028" s="63"/>
      <c r="BT2028" s="63"/>
      <c r="BU2028" s="63"/>
      <c r="BV2028" s="57"/>
      <c r="BW2028" s="57"/>
      <c r="BX2028" s="57"/>
      <c r="BY2028" s="57"/>
    </row>
    <row r="2029" spans="70:77" ht="18.5" x14ac:dyDescent="0.35">
      <c r="BR2029" s="63"/>
      <c r="BS2029" s="63"/>
      <c r="BT2029" s="63"/>
      <c r="BU2029" s="63"/>
      <c r="BV2029" s="57"/>
      <c r="BW2029" s="57"/>
      <c r="BX2029" s="57"/>
      <c r="BY2029" s="57"/>
    </row>
    <row r="2030" spans="70:77" ht="18.5" x14ac:dyDescent="0.35">
      <c r="BR2030" s="63"/>
      <c r="BS2030" s="63"/>
      <c r="BT2030" s="63"/>
      <c r="BU2030" s="63"/>
      <c r="BV2030" s="57"/>
      <c r="BW2030" s="57"/>
      <c r="BX2030" s="57"/>
      <c r="BY2030" s="57"/>
    </row>
    <row r="2031" spans="70:77" ht="18.5" x14ac:dyDescent="0.35">
      <c r="BR2031" s="63"/>
      <c r="BS2031" s="63"/>
      <c r="BT2031" s="63"/>
      <c r="BU2031" s="63"/>
      <c r="BV2031" s="57"/>
      <c r="BW2031" s="57"/>
      <c r="BX2031" s="57"/>
      <c r="BY2031" s="57"/>
    </row>
    <row r="2032" spans="70:77" ht="18.5" x14ac:dyDescent="0.35">
      <c r="BR2032" s="63"/>
      <c r="BS2032" s="63"/>
      <c r="BT2032" s="63"/>
      <c r="BU2032" s="63"/>
      <c r="BV2032" s="57"/>
      <c r="BW2032" s="57"/>
      <c r="BX2032" s="57"/>
      <c r="BY2032" s="57"/>
    </row>
    <row r="2033" spans="70:77" ht="18.5" x14ac:dyDescent="0.35">
      <c r="BR2033" s="63"/>
      <c r="BS2033" s="63"/>
      <c r="BT2033" s="63"/>
      <c r="BU2033" s="63"/>
      <c r="BV2033" s="57"/>
      <c r="BW2033" s="57"/>
      <c r="BX2033" s="57"/>
      <c r="BY2033" s="57"/>
    </row>
    <row r="2034" spans="70:77" ht="18.5" x14ac:dyDescent="0.35">
      <c r="BR2034" s="63"/>
      <c r="BS2034" s="63"/>
      <c r="BT2034" s="63"/>
      <c r="BU2034" s="63"/>
      <c r="BV2034" s="57"/>
      <c r="BW2034" s="57"/>
      <c r="BX2034" s="57"/>
      <c r="BY2034" s="57"/>
    </row>
    <row r="2035" spans="70:77" ht="18.5" x14ac:dyDescent="0.35">
      <c r="BR2035" s="63"/>
      <c r="BS2035" s="63"/>
      <c r="BT2035" s="63"/>
      <c r="BU2035" s="63"/>
      <c r="BV2035" s="57"/>
      <c r="BW2035" s="57"/>
      <c r="BX2035" s="57"/>
      <c r="BY2035" s="57"/>
    </row>
    <row r="2036" spans="70:77" ht="18.5" x14ac:dyDescent="0.35">
      <c r="BR2036" s="63"/>
      <c r="BS2036" s="63"/>
      <c r="BT2036" s="63"/>
      <c r="BU2036" s="63"/>
      <c r="BV2036" s="57"/>
      <c r="BW2036" s="57"/>
      <c r="BX2036" s="57"/>
      <c r="BY2036" s="57"/>
    </row>
    <row r="2037" spans="70:77" ht="18.5" x14ac:dyDescent="0.35">
      <c r="BR2037" s="63"/>
      <c r="BS2037" s="63"/>
      <c r="BT2037" s="63"/>
      <c r="BU2037" s="63"/>
      <c r="BV2037" s="57"/>
      <c r="BW2037" s="57"/>
      <c r="BX2037" s="57"/>
      <c r="BY2037" s="57"/>
    </row>
    <row r="2038" spans="70:77" ht="18.5" x14ac:dyDescent="0.35">
      <c r="BR2038" s="63"/>
      <c r="BS2038" s="63"/>
      <c r="BT2038" s="63"/>
      <c r="BU2038" s="63"/>
      <c r="BV2038" s="57"/>
      <c r="BW2038" s="57"/>
      <c r="BX2038" s="57"/>
      <c r="BY2038" s="57"/>
    </row>
    <row r="2039" spans="70:77" ht="18.5" x14ac:dyDescent="0.35">
      <c r="BR2039" s="63"/>
      <c r="BS2039" s="63"/>
      <c r="BT2039" s="63"/>
      <c r="BU2039" s="63"/>
      <c r="BV2039" s="57"/>
      <c r="BW2039" s="57"/>
      <c r="BX2039" s="57"/>
      <c r="BY2039" s="57"/>
    </row>
    <row r="2040" spans="70:77" ht="18.5" x14ac:dyDescent="0.35">
      <c r="BR2040" s="63"/>
      <c r="BS2040" s="63"/>
      <c r="BT2040" s="63"/>
      <c r="BU2040" s="63"/>
      <c r="BV2040" s="57"/>
      <c r="BW2040" s="57"/>
      <c r="BX2040" s="57"/>
      <c r="BY2040" s="57"/>
    </row>
    <row r="2041" spans="70:77" ht="18.5" x14ac:dyDescent="0.35">
      <c r="BR2041" s="63"/>
      <c r="BS2041" s="63"/>
      <c r="BT2041" s="63"/>
      <c r="BU2041" s="63"/>
      <c r="BV2041" s="57"/>
      <c r="BW2041" s="57"/>
      <c r="BX2041" s="57"/>
      <c r="BY2041" s="57"/>
    </row>
    <row r="2042" spans="70:77" ht="18.5" x14ac:dyDescent="0.35">
      <c r="BR2042" s="63"/>
      <c r="BS2042" s="63"/>
      <c r="BT2042" s="63"/>
      <c r="BU2042" s="63"/>
      <c r="BV2042" s="57"/>
      <c r="BW2042" s="57"/>
      <c r="BX2042" s="57"/>
      <c r="BY2042" s="57"/>
    </row>
    <row r="2043" spans="70:77" ht="18.5" x14ac:dyDescent="0.35">
      <c r="BR2043" s="63"/>
      <c r="BS2043" s="63"/>
      <c r="BT2043" s="63"/>
      <c r="BU2043" s="63"/>
      <c r="BV2043" s="57"/>
      <c r="BW2043" s="57"/>
      <c r="BX2043" s="57"/>
      <c r="BY2043" s="57"/>
    </row>
    <row r="2044" spans="70:77" ht="18.5" x14ac:dyDescent="0.35">
      <c r="BR2044" s="63"/>
      <c r="BS2044" s="63"/>
      <c r="BT2044" s="63"/>
      <c r="BU2044" s="63"/>
      <c r="BV2044" s="57"/>
      <c r="BW2044" s="57"/>
      <c r="BX2044" s="57"/>
      <c r="BY2044" s="57"/>
    </row>
    <row r="2045" spans="70:77" ht="18.5" x14ac:dyDescent="0.35">
      <c r="BR2045" s="63"/>
      <c r="BS2045" s="63"/>
      <c r="BT2045" s="63"/>
      <c r="BU2045" s="63"/>
      <c r="BV2045" s="57"/>
      <c r="BW2045" s="57"/>
      <c r="BX2045" s="57"/>
      <c r="BY2045" s="57"/>
    </row>
    <row r="2046" spans="70:77" ht="18.5" x14ac:dyDescent="0.35">
      <c r="BR2046" s="63"/>
      <c r="BS2046" s="63"/>
      <c r="BT2046" s="63"/>
      <c r="BU2046" s="63"/>
      <c r="BV2046" s="57"/>
      <c r="BW2046" s="57"/>
      <c r="BX2046" s="57"/>
      <c r="BY2046" s="57"/>
    </row>
    <row r="2047" spans="70:77" ht="18.5" x14ac:dyDescent="0.35">
      <c r="BR2047" s="63"/>
      <c r="BS2047" s="63"/>
      <c r="BT2047" s="63"/>
      <c r="BU2047" s="63"/>
      <c r="BV2047" s="57"/>
      <c r="BW2047" s="57"/>
      <c r="BX2047" s="57"/>
      <c r="BY2047" s="57"/>
    </row>
    <row r="2048" spans="70:77" ht="18.5" x14ac:dyDescent="0.35">
      <c r="BR2048" s="63"/>
      <c r="BS2048" s="63"/>
      <c r="BT2048" s="63"/>
      <c r="BU2048" s="63"/>
      <c r="BV2048" s="57"/>
      <c r="BW2048" s="57"/>
      <c r="BX2048" s="57"/>
      <c r="BY2048" s="57"/>
    </row>
    <row r="2049" spans="70:77" ht="18.5" x14ac:dyDescent="0.35">
      <c r="BR2049" s="63"/>
      <c r="BS2049" s="63"/>
      <c r="BT2049" s="63"/>
      <c r="BU2049" s="63"/>
      <c r="BV2049" s="57"/>
      <c r="BW2049" s="57"/>
      <c r="BX2049" s="57"/>
      <c r="BY2049" s="57"/>
    </row>
    <row r="2050" spans="70:77" ht="18.5" x14ac:dyDescent="0.35">
      <c r="BR2050" s="63"/>
      <c r="BS2050" s="63"/>
      <c r="BT2050" s="63"/>
      <c r="BU2050" s="63"/>
      <c r="BV2050" s="57"/>
      <c r="BW2050" s="57"/>
      <c r="BX2050" s="57"/>
      <c r="BY2050" s="57"/>
    </row>
    <row r="2051" spans="70:77" ht="18.5" x14ac:dyDescent="0.35">
      <c r="BR2051" s="63"/>
      <c r="BS2051" s="63"/>
      <c r="BT2051" s="63"/>
      <c r="BU2051" s="63"/>
      <c r="BV2051" s="57"/>
      <c r="BW2051" s="57"/>
      <c r="BX2051" s="57"/>
      <c r="BY2051" s="57"/>
    </row>
    <row r="2052" spans="70:77" ht="18.5" x14ac:dyDescent="0.35">
      <c r="BR2052" s="63"/>
      <c r="BS2052" s="63"/>
      <c r="BT2052" s="63"/>
      <c r="BU2052" s="63"/>
      <c r="BV2052" s="57"/>
      <c r="BW2052" s="57"/>
      <c r="BX2052" s="57"/>
      <c r="BY2052" s="57"/>
    </row>
    <row r="2053" spans="70:77" ht="18.5" x14ac:dyDescent="0.35">
      <c r="BR2053" s="63"/>
      <c r="BS2053" s="63"/>
      <c r="BT2053" s="63"/>
      <c r="BU2053" s="63"/>
      <c r="BV2053" s="57"/>
      <c r="BW2053" s="57"/>
      <c r="BX2053" s="57"/>
      <c r="BY2053" s="57"/>
    </row>
    <row r="2054" spans="70:77" ht="18.5" x14ac:dyDescent="0.35">
      <c r="BR2054" s="63"/>
      <c r="BS2054" s="63"/>
      <c r="BT2054" s="63"/>
      <c r="BU2054" s="63"/>
      <c r="BV2054" s="57"/>
      <c r="BW2054" s="57"/>
      <c r="BX2054" s="57"/>
      <c r="BY2054" s="57"/>
    </row>
    <row r="2055" spans="70:77" ht="18.5" x14ac:dyDescent="0.35">
      <c r="BR2055" s="63"/>
      <c r="BS2055" s="63"/>
      <c r="BT2055" s="63"/>
      <c r="BU2055" s="63"/>
      <c r="BV2055" s="57"/>
      <c r="BW2055" s="57"/>
      <c r="BX2055" s="57"/>
      <c r="BY2055" s="57"/>
    </row>
    <row r="2056" spans="70:77" ht="18.5" x14ac:dyDescent="0.35">
      <c r="BR2056" s="63"/>
      <c r="BS2056" s="63"/>
      <c r="BT2056" s="63"/>
      <c r="BU2056" s="63"/>
      <c r="BV2056" s="57"/>
      <c r="BW2056" s="57"/>
      <c r="BX2056" s="57"/>
      <c r="BY2056" s="57"/>
    </row>
    <row r="2057" spans="70:77" ht="18.5" x14ac:dyDescent="0.35">
      <c r="BR2057" s="63"/>
      <c r="BS2057" s="63"/>
      <c r="BT2057" s="63"/>
      <c r="BU2057" s="63"/>
      <c r="BV2057" s="57"/>
      <c r="BW2057" s="57"/>
      <c r="BX2057" s="57"/>
      <c r="BY2057" s="57"/>
    </row>
    <row r="2058" spans="70:77" ht="18.5" x14ac:dyDescent="0.35">
      <c r="BR2058" s="63"/>
      <c r="BS2058" s="63"/>
      <c r="BT2058" s="63"/>
      <c r="BU2058" s="63"/>
      <c r="BV2058" s="57"/>
      <c r="BW2058" s="57"/>
      <c r="BX2058" s="57"/>
      <c r="BY2058" s="57"/>
    </row>
    <row r="2059" spans="70:77" ht="18.5" x14ac:dyDescent="0.35">
      <c r="BR2059" s="63"/>
      <c r="BS2059" s="63"/>
      <c r="BT2059" s="63"/>
      <c r="BU2059" s="63"/>
      <c r="BV2059" s="57"/>
      <c r="BW2059" s="57"/>
      <c r="BX2059" s="57"/>
      <c r="BY2059" s="57"/>
    </row>
    <row r="2060" spans="70:77" ht="18.5" x14ac:dyDescent="0.35">
      <c r="BR2060" s="63"/>
      <c r="BS2060" s="63"/>
      <c r="BT2060" s="63"/>
      <c r="BU2060" s="63"/>
      <c r="BV2060" s="57"/>
      <c r="BW2060" s="57"/>
      <c r="BX2060" s="57"/>
      <c r="BY2060" s="57"/>
    </row>
    <row r="2061" spans="70:77" ht="18.5" x14ac:dyDescent="0.35">
      <c r="BR2061" s="63"/>
      <c r="BS2061" s="63"/>
      <c r="BT2061" s="63"/>
      <c r="BU2061" s="63"/>
      <c r="BV2061" s="57"/>
      <c r="BW2061" s="57"/>
      <c r="BX2061" s="57"/>
      <c r="BY2061" s="57"/>
    </row>
    <row r="2062" spans="70:77" ht="18.5" x14ac:dyDescent="0.35">
      <c r="BR2062" s="63"/>
      <c r="BS2062" s="63"/>
      <c r="BT2062" s="63"/>
      <c r="BU2062" s="63"/>
      <c r="BV2062" s="57"/>
      <c r="BW2062" s="57"/>
      <c r="BX2062" s="57"/>
      <c r="BY2062" s="57"/>
    </row>
    <row r="2063" spans="70:77" ht="18.5" x14ac:dyDescent="0.35">
      <c r="BR2063" s="63"/>
      <c r="BS2063" s="63"/>
      <c r="BT2063" s="63"/>
      <c r="BU2063" s="63"/>
      <c r="BV2063" s="57"/>
      <c r="BW2063" s="57"/>
      <c r="BX2063" s="57"/>
      <c r="BY2063" s="57"/>
    </row>
    <row r="2064" spans="70:77" ht="18.5" x14ac:dyDescent="0.35">
      <c r="BR2064" s="63"/>
      <c r="BS2064" s="63"/>
      <c r="BT2064" s="63"/>
      <c r="BU2064" s="63"/>
      <c r="BV2064" s="57"/>
      <c r="BW2064" s="57"/>
      <c r="BX2064" s="57"/>
      <c r="BY2064" s="57"/>
    </row>
    <row r="2065" spans="70:77" ht="18.5" x14ac:dyDescent="0.35">
      <c r="BR2065" s="63"/>
      <c r="BS2065" s="63"/>
      <c r="BT2065" s="63"/>
      <c r="BU2065" s="63"/>
      <c r="BV2065" s="57"/>
      <c r="BW2065" s="57"/>
      <c r="BX2065" s="57"/>
      <c r="BY2065" s="57"/>
    </row>
    <row r="2066" spans="70:77" ht="18.5" x14ac:dyDescent="0.35">
      <c r="BR2066" s="63"/>
      <c r="BS2066" s="63"/>
      <c r="BT2066" s="63"/>
      <c r="BU2066" s="63"/>
      <c r="BV2066" s="57"/>
      <c r="BW2066" s="57"/>
      <c r="BX2066" s="57"/>
      <c r="BY2066" s="57"/>
    </row>
    <row r="2067" spans="70:77" ht="18.5" x14ac:dyDescent="0.35">
      <c r="BR2067" s="63"/>
      <c r="BS2067" s="63"/>
      <c r="BT2067" s="63"/>
      <c r="BU2067" s="63"/>
      <c r="BV2067" s="57"/>
      <c r="BW2067" s="57"/>
      <c r="BX2067" s="57"/>
      <c r="BY2067" s="57"/>
    </row>
    <row r="2068" spans="70:77" ht="18.5" x14ac:dyDescent="0.35">
      <c r="BR2068" s="63"/>
      <c r="BS2068" s="63"/>
      <c r="BT2068" s="63"/>
      <c r="BU2068" s="63"/>
      <c r="BV2068" s="57"/>
      <c r="BW2068" s="57"/>
      <c r="BX2068" s="57"/>
      <c r="BY2068" s="57"/>
    </row>
    <row r="2069" spans="70:77" ht="18.5" x14ac:dyDescent="0.35">
      <c r="BR2069" s="63"/>
      <c r="BS2069" s="63"/>
      <c r="BT2069" s="63"/>
      <c r="BU2069" s="63"/>
      <c r="BV2069" s="57"/>
      <c r="BW2069" s="57"/>
      <c r="BX2069" s="57"/>
      <c r="BY2069" s="57"/>
    </row>
    <row r="2070" spans="70:77" ht="18.5" x14ac:dyDescent="0.35">
      <c r="BR2070" s="63"/>
      <c r="BS2070" s="63"/>
      <c r="BT2070" s="63"/>
      <c r="BU2070" s="63"/>
      <c r="BV2070" s="57"/>
      <c r="BW2070" s="57"/>
      <c r="BX2070" s="57"/>
      <c r="BY2070" s="57"/>
    </row>
    <row r="2071" spans="70:77" ht="18.5" x14ac:dyDescent="0.35">
      <c r="BR2071" s="63"/>
      <c r="BS2071" s="63"/>
      <c r="BT2071" s="63"/>
      <c r="BU2071" s="63"/>
      <c r="BV2071" s="57"/>
      <c r="BW2071" s="57"/>
      <c r="BX2071" s="57"/>
      <c r="BY2071" s="57"/>
    </row>
    <row r="2072" spans="70:77" ht="18.5" x14ac:dyDescent="0.35">
      <c r="BR2072" s="63"/>
      <c r="BS2072" s="63"/>
      <c r="BT2072" s="63"/>
      <c r="BU2072" s="63"/>
      <c r="BV2072" s="57"/>
      <c r="BW2072" s="57"/>
      <c r="BX2072" s="57"/>
      <c r="BY2072" s="57"/>
    </row>
    <row r="2073" spans="70:77" ht="18.5" x14ac:dyDescent="0.35">
      <c r="BR2073" s="63"/>
      <c r="BS2073" s="63"/>
      <c r="BT2073" s="63"/>
      <c r="BU2073" s="63"/>
      <c r="BV2073" s="57"/>
      <c r="BW2073" s="57"/>
      <c r="BX2073" s="57"/>
      <c r="BY2073" s="57"/>
    </row>
    <row r="2074" spans="70:77" ht="18.5" x14ac:dyDescent="0.35">
      <c r="BR2074" s="63"/>
      <c r="BS2074" s="63"/>
      <c r="BT2074" s="63"/>
      <c r="BU2074" s="63"/>
      <c r="BV2074" s="57"/>
      <c r="BW2074" s="57"/>
      <c r="BX2074" s="57"/>
      <c r="BY2074" s="57"/>
    </row>
    <row r="2075" spans="70:77" ht="18.5" x14ac:dyDescent="0.35">
      <c r="BR2075" s="63"/>
      <c r="BS2075" s="63"/>
      <c r="BT2075" s="63"/>
      <c r="BU2075" s="63"/>
      <c r="BV2075" s="57"/>
      <c r="BW2075" s="57"/>
      <c r="BX2075" s="57"/>
      <c r="BY2075" s="57"/>
    </row>
    <row r="2076" spans="70:77" ht="18.5" x14ac:dyDescent="0.35">
      <c r="BR2076" s="63"/>
      <c r="BS2076" s="63"/>
      <c r="BT2076" s="63"/>
      <c r="BU2076" s="63"/>
      <c r="BV2076" s="57"/>
      <c r="BW2076" s="57"/>
      <c r="BX2076" s="57"/>
      <c r="BY2076" s="57"/>
    </row>
    <row r="2077" spans="70:77" ht="18.5" x14ac:dyDescent="0.35">
      <c r="BR2077" s="63"/>
      <c r="BS2077" s="63"/>
      <c r="BT2077" s="63"/>
      <c r="BU2077" s="63"/>
      <c r="BV2077" s="57"/>
      <c r="BW2077" s="57"/>
      <c r="BX2077" s="57"/>
      <c r="BY2077" s="57"/>
    </row>
    <row r="2078" spans="70:77" ht="18.5" x14ac:dyDescent="0.35">
      <c r="BR2078" s="63"/>
      <c r="BS2078" s="63"/>
      <c r="BT2078" s="63"/>
      <c r="BU2078" s="63"/>
      <c r="BV2078" s="57"/>
      <c r="BW2078" s="57"/>
      <c r="BX2078" s="57"/>
      <c r="BY2078" s="57"/>
    </row>
    <row r="2079" spans="70:77" ht="18.5" x14ac:dyDescent="0.35">
      <c r="BR2079" s="63"/>
      <c r="BS2079" s="63"/>
      <c r="BT2079" s="63"/>
      <c r="BU2079" s="63"/>
      <c r="BV2079" s="57"/>
      <c r="BW2079" s="57"/>
      <c r="BX2079" s="57"/>
      <c r="BY2079" s="57"/>
    </row>
    <row r="2080" spans="70:77" ht="18.5" x14ac:dyDescent="0.35">
      <c r="BR2080" s="63"/>
      <c r="BS2080" s="63"/>
      <c r="BT2080" s="63"/>
      <c r="BU2080" s="63"/>
      <c r="BV2080" s="57"/>
      <c r="BW2080" s="57"/>
      <c r="BX2080" s="57"/>
      <c r="BY2080" s="57"/>
    </row>
    <row r="2081" spans="70:77" ht="18.5" x14ac:dyDescent="0.35">
      <c r="BR2081" s="63"/>
      <c r="BS2081" s="63"/>
      <c r="BT2081" s="63"/>
      <c r="BU2081" s="63"/>
      <c r="BV2081" s="57"/>
      <c r="BW2081" s="57"/>
      <c r="BX2081" s="57"/>
      <c r="BY2081" s="57"/>
    </row>
    <row r="2082" spans="70:77" ht="18.5" x14ac:dyDescent="0.35">
      <c r="BR2082" s="63"/>
      <c r="BS2082" s="63"/>
      <c r="BT2082" s="63"/>
      <c r="BU2082" s="63"/>
      <c r="BV2082" s="57"/>
      <c r="BW2082" s="57"/>
      <c r="BX2082" s="57"/>
      <c r="BY2082" s="57"/>
    </row>
    <row r="2083" spans="70:77" ht="18.5" x14ac:dyDescent="0.35">
      <c r="BR2083" s="63"/>
      <c r="BS2083" s="63"/>
      <c r="BT2083" s="63"/>
      <c r="BU2083" s="63"/>
      <c r="BV2083" s="57"/>
      <c r="BW2083" s="57"/>
      <c r="BX2083" s="57"/>
      <c r="BY2083" s="57"/>
    </row>
    <row r="2084" spans="70:77" ht="18.5" x14ac:dyDescent="0.35">
      <c r="BR2084" s="63"/>
      <c r="BS2084" s="63"/>
      <c r="BT2084" s="63"/>
      <c r="BU2084" s="63"/>
      <c r="BV2084" s="57"/>
      <c r="BW2084" s="57"/>
      <c r="BX2084" s="57"/>
      <c r="BY2084" s="57"/>
    </row>
    <row r="2085" spans="70:77" ht="18.5" x14ac:dyDescent="0.35">
      <c r="BR2085" s="63"/>
      <c r="BS2085" s="63"/>
      <c r="BT2085" s="63"/>
      <c r="BU2085" s="63"/>
      <c r="BV2085" s="57"/>
      <c r="BW2085" s="57"/>
      <c r="BX2085" s="57"/>
      <c r="BY2085" s="57"/>
    </row>
    <row r="2086" spans="70:77" ht="18.5" x14ac:dyDescent="0.35">
      <c r="BR2086" s="63"/>
      <c r="BS2086" s="63"/>
      <c r="BT2086" s="63"/>
      <c r="BU2086" s="63"/>
      <c r="BV2086" s="57"/>
      <c r="BW2086" s="57"/>
      <c r="BX2086" s="57"/>
      <c r="BY2086" s="57"/>
    </row>
    <row r="2087" spans="70:77" ht="18.5" x14ac:dyDescent="0.35">
      <c r="BR2087" s="63"/>
      <c r="BS2087" s="63"/>
      <c r="BT2087" s="63"/>
      <c r="BU2087" s="63"/>
      <c r="BV2087" s="57"/>
      <c r="BW2087" s="57"/>
      <c r="BX2087" s="57"/>
      <c r="BY2087" s="57"/>
    </row>
    <row r="2088" spans="70:77" ht="18.5" x14ac:dyDescent="0.35">
      <c r="BR2088" s="63"/>
      <c r="BS2088" s="63"/>
      <c r="BT2088" s="63"/>
      <c r="BU2088" s="63"/>
      <c r="BV2088" s="57"/>
      <c r="BW2088" s="57"/>
      <c r="BX2088" s="57"/>
      <c r="BY2088" s="57"/>
    </row>
    <row r="2089" spans="70:77" ht="18.5" x14ac:dyDescent="0.35">
      <c r="BR2089" s="63"/>
      <c r="BS2089" s="63"/>
      <c r="BT2089" s="63"/>
      <c r="BU2089" s="63"/>
      <c r="BV2089" s="57"/>
      <c r="BW2089" s="57"/>
      <c r="BX2089" s="57"/>
      <c r="BY2089" s="57"/>
    </row>
    <row r="2090" spans="70:77" ht="18.5" x14ac:dyDescent="0.35">
      <c r="BR2090" s="63"/>
      <c r="BS2090" s="63"/>
      <c r="BT2090" s="63"/>
      <c r="BU2090" s="63"/>
      <c r="BV2090" s="57"/>
      <c r="BW2090" s="57"/>
      <c r="BX2090" s="57"/>
      <c r="BY2090" s="57"/>
    </row>
    <row r="2091" spans="70:77" ht="18.5" x14ac:dyDescent="0.35">
      <c r="BR2091" s="63"/>
      <c r="BS2091" s="63"/>
      <c r="BT2091" s="63"/>
      <c r="BU2091" s="63"/>
      <c r="BV2091" s="57"/>
      <c r="BW2091" s="57"/>
      <c r="BX2091" s="57"/>
      <c r="BY2091" s="57"/>
    </row>
    <row r="2092" spans="70:77" ht="18.5" x14ac:dyDescent="0.35">
      <c r="BR2092" s="63"/>
      <c r="BS2092" s="63"/>
      <c r="BT2092" s="63"/>
      <c r="BU2092" s="63"/>
      <c r="BV2092" s="57"/>
      <c r="BW2092" s="57"/>
      <c r="BX2092" s="57"/>
      <c r="BY2092" s="57"/>
    </row>
    <row r="2093" spans="70:77" ht="18.5" x14ac:dyDescent="0.35">
      <c r="BR2093" s="63"/>
      <c r="BS2093" s="63"/>
      <c r="BT2093" s="63"/>
      <c r="BU2093" s="63"/>
      <c r="BV2093" s="57"/>
      <c r="BW2093" s="57"/>
      <c r="BX2093" s="57"/>
      <c r="BY2093" s="57"/>
    </row>
    <row r="2094" spans="70:77" ht="18.5" x14ac:dyDescent="0.35">
      <c r="BR2094" s="63"/>
      <c r="BS2094" s="63"/>
      <c r="BT2094" s="63"/>
      <c r="BU2094" s="63"/>
      <c r="BV2094" s="57"/>
      <c r="BW2094" s="57"/>
      <c r="BX2094" s="57"/>
      <c r="BY2094" s="57"/>
    </row>
    <row r="2095" spans="70:77" ht="18.5" x14ac:dyDescent="0.35">
      <c r="BR2095" s="63"/>
      <c r="BS2095" s="63"/>
      <c r="BT2095" s="63"/>
      <c r="BU2095" s="63"/>
      <c r="BV2095" s="57"/>
      <c r="BW2095" s="57"/>
      <c r="BX2095" s="57"/>
      <c r="BY2095" s="57"/>
    </row>
    <row r="2096" spans="70:77" ht="18.5" x14ac:dyDescent="0.35">
      <c r="BR2096" s="63"/>
      <c r="BS2096" s="63"/>
      <c r="BT2096" s="63"/>
      <c r="BU2096" s="63"/>
      <c r="BV2096" s="57"/>
      <c r="BW2096" s="57"/>
      <c r="BX2096" s="57"/>
      <c r="BY2096" s="57"/>
    </row>
    <row r="2097" spans="70:77" ht="18.5" x14ac:dyDescent="0.35">
      <c r="BR2097" s="63"/>
      <c r="BS2097" s="63"/>
      <c r="BT2097" s="63"/>
      <c r="BU2097" s="63"/>
      <c r="BV2097" s="57"/>
      <c r="BW2097" s="57"/>
      <c r="BX2097" s="57"/>
      <c r="BY2097" s="57"/>
    </row>
    <row r="2098" spans="70:77" ht="18.5" x14ac:dyDescent="0.35">
      <c r="BR2098" s="63"/>
      <c r="BS2098" s="63"/>
      <c r="BT2098" s="63"/>
      <c r="BU2098" s="63"/>
      <c r="BV2098" s="57"/>
      <c r="BW2098" s="57"/>
      <c r="BX2098" s="57"/>
      <c r="BY2098" s="57"/>
    </row>
    <row r="2099" spans="70:77" ht="18.5" x14ac:dyDescent="0.35">
      <c r="BR2099" s="63"/>
      <c r="BS2099" s="63"/>
      <c r="BT2099" s="63"/>
      <c r="BU2099" s="63"/>
      <c r="BV2099" s="57"/>
      <c r="BW2099" s="57"/>
      <c r="BX2099" s="57"/>
      <c r="BY2099" s="57"/>
    </row>
    <row r="2100" spans="70:77" ht="18.5" x14ac:dyDescent="0.35">
      <c r="BR2100" s="63"/>
      <c r="BS2100" s="63"/>
      <c r="BT2100" s="63"/>
      <c r="BU2100" s="63"/>
      <c r="BV2100" s="57"/>
      <c r="BW2100" s="57"/>
      <c r="BX2100" s="57"/>
      <c r="BY2100" s="57"/>
    </row>
    <row r="2101" spans="70:77" ht="18.5" x14ac:dyDescent="0.35">
      <c r="BR2101" s="63"/>
      <c r="BS2101" s="63"/>
      <c r="BT2101" s="63"/>
      <c r="BU2101" s="63"/>
      <c r="BV2101" s="57"/>
      <c r="BW2101" s="57"/>
      <c r="BX2101" s="57"/>
      <c r="BY2101" s="57"/>
    </row>
    <row r="2102" spans="70:77" ht="18.5" x14ac:dyDescent="0.35">
      <c r="BR2102" s="63"/>
      <c r="BS2102" s="63"/>
      <c r="BT2102" s="63"/>
      <c r="BU2102" s="63"/>
      <c r="BV2102" s="57"/>
      <c r="BW2102" s="57"/>
      <c r="BX2102" s="57"/>
      <c r="BY2102" s="57"/>
    </row>
    <row r="2103" spans="70:77" ht="18.5" x14ac:dyDescent="0.35">
      <c r="BR2103" s="63"/>
      <c r="BS2103" s="63"/>
      <c r="BT2103" s="63"/>
      <c r="BU2103" s="63"/>
      <c r="BV2103" s="57"/>
      <c r="BW2103" s="57"/>
      <c r="BX2103" s="57"/>
      <c r="BY2103" s="57"/>
    </row>
    <row r="2104" spans="70:77" ht="18.5" x14ac:dyDescent="0.35">
      <c r="BR2104" s="63"/>
      <c r="BS2104" s="63"/>
      <c r="BT2104" s="63"/>
      <c r="BU2104" s="63"/>
      <c r="BV2104" s="57"/>
      <c r="BW2104" s="57"/>
      <c r="BX2104" s="57"/>
      <c r="BY2104" s="57"/>
    </row>
    <row r="2105" spans="70:77" ht="18.5" x14ac:dyDescent="0.35">
      <c r="BR2105" s="63"/>
      <c r="BS2105" s="63"/>
      <c r="BT2105" s="63"/>
      <c r="BU2105" s="63"/>
      <c r="BV2105" s="57"/>
      <c r="BW2105" s="57"/>
      <c r="BX2105" s="57"/>
      <c r="BY2105" s="57"/>
    </row>
    <row r="2106" spans="70:77" ht="18.5" x14ac:dyDescent="0.35">
      <c r="BR2106" s="63"/>
      <c r="BS2106" s="63"/>
      <c r="BT2106" s="63"/>
      <c r="BU2106" s="63"/>
      <c r="BV2106" s="57"/>
      <c r="BW2106" s="57"/>
      <c r="BX2106" s="57"/>
      <c r="BY2106" s="57"/>
    </row>
    <row r="2107" spans="70:77" ht="18.5" x14ac:dyDescent="0.35">
      <c r="BR2107" s="63"/>
      <c r="BS2107" s="63"/>
      <c r="BT2107" s="63"/>
      <c r="BU2107" s="63"/>
      <c r="BV2107" s="57"/>
      <c r="BW2107" s="57"/>
      <c r="BX2107" s="57"/>
      <c r="BY2107" s="57"/>
    </row>
    <row r="2108" spans="70:77" ht="18.5" x14ac:dyDescent="0.35">
      <c r="BR2108" s="63"/>
      <c r="BS2108" s="63"/>
      <c r="BT2108" s="63"/>
      <c r="BU2108" s="63"/>
      <c r="BV2108" s="57"/>
      <c r="BW2108" s="57"/>
      <c r="BX2108" s="57"/>
      <c r="BY2108" s="57"/>
    </row>
    <row r="2109" spans="70:77" ht="18.5" x14ac:dyDescent="0.35">
      <c r="BR2109" s="63"/>
      <c r="BS2109" s="63"/>
      <c r="BT2109" s="63"/>
      <c r="BU2109" s="63"/>
      <c r="BV2109" s="57"/>
      <c r="BW2109" s="57"/>
      <c r="BX2109" s="57"/>
      <c r="BY2109" s="57"/>
    </row>
    <row r="2110" spans="70:77" ht="18.5" x14ac:dyDescent="0.35">
      <c r="BR2110" s="63"/>
      <c r="BS2110" s="63"/>
      <c r="BT2110" s="63"/>
      <c r="BU2110" s="63"/>
      <c r="BV2110" s="57"/>
      <c r="BW2110" s="57"/>
      <c r="BX2110" s="57"/>
      <c r="BY2110" s="57"/>
    </row>
    <row r="2111" spans="70:77" ht="18.5" x14ac:dyDescent="0.35">
      <c r="BR2111" s="63"/>
      <c r="BS2111" s="63"/>
      <c r="BT2111" s="63"/>
      <c r="BU2111" s="63"/>
      <c r="BV2111" s="57"/>
      <c r="BW2111" s="57"/>
      <c r="BX2111" s="57"/>
      <c r="BY2111" s="57"/>
    </row>
    <row r="2112" spans="70:77" ht="18.5" x14ac:dyDescent="0.35">
      <c r="BR2112" s="63"/>
      <c r="BS2112" s="63"/>
      <c r="BT2112" s="63"/>
      <c r="BU2112" s="63"/>
      <c r="BV2112" s="57"/>
      <c r="BW2112" s="57"/>
      <c r="BX2112" s="57"/>
      <c r="BY2112" s="57"/>
    </row>
    <row r="2113" spans="70:77" ht="18.5" x14ac:dyDescent="0.35">
      <c r="BR2113" s="63"/>
      <c r="BS2113" s="63"/>
      <c r="BT2113" s="63"/>
      <c r="BU2113" s="63"/>
      <c r="BV2113" s="57"/>
      <c r="BW2113" s="57"/>
      <c r="BX2113" s="57"/>
      <c r="BY2113" s="57"/>
    </row>
    <row r="2114" spans="70:77" ht="18.5" x14ac:dyDescent="0.35">
      <c r="BR2114" s="63"/>
      <c r="BS2114" s="63"/>
      <c r="BT2114" s="63"/>
      <c r="BU2114" s="63"/>
      <c r="BV2114" s="57"/>
      <c r="BW2114" s="57"/>
      <c r="BX2114" s="57"/>
      <c r="BY2114" s="57"/>
    </row>
    <row r="2115" spans="70:77" ht="18.5" x14ac:dyDescent="0.35">
      <c r="BR2115" s="63"/>
      <c r="BS2115" s="63"/>
      <c r="BT2115" s="63"/>
      <c r="BU2115" s="63"/>
      <c r="BV2115" s="57"/>
      <c r="BW2115" s="57"/>
      <c r="BX2115" s="57"/>
      <c r="BY2115" s="57"/>
    </row>
    <row r="2116" spans="70:77" ht="18.5" x14ac:dyDescent="0.35">
      <c r="BR2116" s="63"/>
      <c r="BS2116" s="63"/>
      <c r="BT2116" s="63"/>
      <c r="BU2116" s="63"/>
      <c r="BV2116" s="57"/>
      <c r="BW2116" s="57"/>
      <c r="BX2116" s="57"/>
      <c r="BY2116" s="57"/>
    </row>
    <row r="2117" spans="70:77" ht="18.5" x14ac:dyDescent="0.35">
      <c r="BR2117" s="63"/>
      <c r="BS2117" s="63"/>
      <c r="BT2117" s="63"/>
      <c r="BU2117" s="63"/>
      <c r="BV2117" s="57"/>
      <c r="BW2117" s="57"/>
      <c r="BX2117" s="57"/>
      <c r="BY2117" s="57"/>
    </row>
    <row r="2118" spans="70:77" ht="18.5" x14ac:dyDescent="0.35">
      <c r="BR2118" s="63"/>
      <c r="BS2118" s="63"/>
      <c r="BT2118" s="63"/>
      <c r="BU2118" s="63"/>
      <c r="BV2118" s="57"/>
      <c r="BW2118" s="57"/>
      <c r="BX2118" s="57"/>
      <c r="BY2118" s="57"/>
    </row>
    <row r="2119" spans="70:77" ht="18.5" x14ac:dyDescent="0.35">
      <c r="BR2119" s="63"/>
      <c r="BS2119" s="63"/>
      <c r="BT2119" s="63"/>
      <c r="BU2119" s="63"/>
      <c r="BV2119" s="57"/>
      <c r="BW2119" s="57"/>
      <c r="BX2119" s="57"/>
      <c r="BY2119" s="57"/>
    </row>
    <row r="2120" spans="70:77" ht="18.5" x14ac:dyDescent="0.35">
      <c r="BR2120" s="63"/>
      <c r="BS2120" s="63"/>
      <c r="BT2120" s="63"/>
      <c r="BU2120" s="63"/>
      <c r="BV2120" s="57"/>
      <c r="BW2120" s="57"/>
      <c r="BX2120" s="57"/>
      <c r="BY2120" s="57"/>
    </row>
    <row r="2121" spans="70:77" ht="18.5" x14ac:dyDescent="0.35">
      <c r="BR2121" s="63"/>
      <c r="BS2121" s="63"/>
      <c r="BT2121" s="63"/>
      <c r="BU2121" s="63"/>
      <c r="BV2121" s="57"/>
      <c r="BW2121" s="57"/>
      <c r="BX2121" s="57"/>
      <c r="BY2121" s="57"/>
    </row>
  </sheetData>
  <sheetProtection algorithmName="SHA-512" hashValue="bo3cpNlAQ0JffC6IOTUCsRYxYFLhgcPlUbpgXIiLx/QbY3vj+PzAB1YBcIlOpR9pJ3mrMOn/J/3GFhfdu4icUQ==" saltValue="Z3aLqglmR+yyPp2fcnWmgg==" spinCount="100000" sheet="1" objects="1" scenarios="1"/>
  <autoFilter ref="A2:T1500" xr:uid="{00000000-0001-0000-0000-000000000000}"/>
  <mergeCells count="38">
    <mergeCell ref="BX2:BX3"/>
    <mergeCell ref="I2:I3"/>
    <mergeCell ref="J2:J3"/>
    <mergeCell ref="BT1:BT3"/>
    <mergeCell ref="BU1:BU3"/>
    <mergeCell ref="L2:L3"/>
    <mergeCell ref="M2:M3"/>
    <mergeCell ref="O1:T1"/>
    <mergeCell ref="BR2:BR3"/>
    <mergeCell ref="BS2:BS3"/>
    <mergeCell ref="BO1:BO3"/>
    <mergeCell ref="BP1:BP3"/>
    <mergeCell ref="BW1:BW3"/>
    <mergeCell ref="BV1:BV3"/>
    <mergeCell ref="A1:F1"/>
    <mergeCell ref="G1:K1"/>
    <mergeCell ref="A2:A3"/>
    <mergeCell ref="B2:B3"/>
    <mergeCell ref="C2:C3"/>
    <mergeCell ref="D2:D3"/>
    <mergeCell ref="F2:F3"/>
    <mergeCell ref="G2:G3"/>
    <mergeCell ref="K2:K3"/>
    <mergeCell ref="E2:E3"/>
    <mergeCell ref="H2:H3"/>
    <mergeCell ref="BE19:BF19"/>
    <mergeCell ref="N2:N3"/>
    <mergeCell ref="S2:S3"/>
    <mergeCell ref="O2:O3"/>
    <mergeCell ref="Q2:Q3"/>
    <mergeCell ref="R2:R3"/>
    <mergeCell ref="T2:T3"/>
    <mergeCell ref="P2:P3"/>
    <mergeCell ref="CE2:CE3"/>
    <mergeCell ref="BZ2:BZ3"/>
    <mergeCell ref="CA2:CA3"/>
    <mergeCell ref="CC2:CC3"/>
    <mergeCell ref="CD2:CD3"/>
  </mergeCells>
  <phoneticPr fontId="21" type="noConversion"/>
  <conditionalFormatting sqref="E46:G1500">
    <cfRule type="expression" dxfId="45" priority="130">
      <formula>AND($E46="mini-trench",OR($F46&gt;1,$G46&gt;2,AND($F46=1,$G46=2)))</formula>
    </cfRule>
  </conditionalFormatting>
  <conditionalFormatting sqref="Q4:Q1500">
    <cfRule type="expression" dxfId="44" priority="24">
      <formula>IF(AND($E4="special",$K4="asphalted",$Q4=""),TRUE,FALSE)</formula>
    </cfRule>
    <cfRule type="expression" dxfId="43" priority="131">
      <formula>$Q4&gt;$S4</formula>
    </cfRule>
  </conditionalFormatting>
  <conditionalFormatting sqref="O4:P1500">
    <cfRule type="expression" dxfId="42" priority="25">
      <formula>IF(AND($E4="special",OR($O4="",$P4="")),TRUE,FALSE)</formula>
    </cfRule>
  </conditionalFormatting>
  <conditionalFormatting sqref="A46:K56 A315:T1500 N4:CH4 DB82:DB84 DA121:DB122 CW126:CZ352 CZ15:DB17 CW9:CY17 CZ85:DB85 CZ55:DB81 CZ82:CZ84 CW55:CY85 CW86:DB101 DB102:DB120 CW18:DB54 DA126:DB350 BP5:BP314 DB123:DB125 CY125 N51:AD56 A57:AD314 AL51:AR314 N5:AR50 DC58:DC314 CL4:ZD4 DC15:ZD57 CW5:ZD8 CZ9:ZD14 DO87:ZD314 DK87:DN307 DO76:YT76 DO58:YY75 DO77:YY85 DD58:DJ306 DO86:YU86 DK58:DL86 BJ37:BL37 BM5:BO1500 AE51:AK317 CL5:CV1500 BC37:BH37 BC38:BL314 BC5:BL36 AS5:BB1505 BQ5:CH2121">
    <cfRule type="expression" dxfId="41" priority="23">
      <formula>ROW()=CELL("row")</formula>
    </cfRule>
  </conditionalFormatting>
  <conditionalFormatting sqref="G46:J304">
    <cfRule type="expression" dxfId="40" priority="21">
      <formula>$G46&lt;&gt;($H46+$I46+$J46)</formula>
    </cfRule>
  </conditionalFormatting>
  <conditionalFormatting sqref="A4:M45 L46:M56 G4:J1500">
    <cfRule type="expression" dxfId="39" priority="19">
      <formula>ROW()=CELL("row")</formula>
    </cfRule>
  </conditionalFormatting>
  <conditionalFormatting sqref="E4:G45 G4:J1500">
    <cfRule type="expression" dxfId="38" priority="20">
      <formula>AND($E4="mini-trench",OR($F4&gt;1,$G4&gt;2,AND($F4=1,$G4=2)))</formula>
    </cfRule>
  </conditionalFormatting>
  <conditionalFormatting sqref="G4:J1500">
    <cfRule type="expression" dxfId="37" priority="18">
      <formula>$G4&lt;&gt;($H4+$I4+$J4)</formula>
    </cfRule>
  </conditionalFormatting>
  <conditionalFormatting sqref="CW102:CZ119 CW120 CY120:CY122">
    <cfRule type="expression" dxfId="36" priority="16">
      <formula>ROW()=CELL("row")</formula>
    </cfRule>
  </conditionalFormatting>
  <conditionalFormatting sqref="DA102:DA122">
    <cfRule type="expression" dxfId="35" priority="15">
      <formula>ROW()=CELL("row")</formula>
    </cfRule>
  </conditionalFormatting>
  <conditionalFormatting sqref="CZ120">
    <cfRule type="expression" dxfId="34" priority="14">
      <formula>ROW()=CELL("row")</formula>
    </cfRule>
  </conditionalFormatting>
  <conditionalFormatting sqref="CW121">
    <cfRule type="expression" dxfId="33" priority="13">
      <formula>ROW()=CELL("row")</formula>
    </cfRule>
  </conditionalFormatting>
  <conditionalFormatting sqref="CZ121">
    <cfRule type="expression" dxfId="32" priority="12">
      <formula>ROW()=CELL("row")</formula>
    </cfRule>
  </conditionalFormatting>
  <conditionalFormatting sqref="CZ122">
    <cfRule type="expression" dxfId="31" priority="11">
      <formula>ROW()=CELL("row")</formula>
    </cfRule>
  </conditionalFormatting>
  <conditionalFormatting sqref="CW122">
    <cfRule type="expression" dxfId="30" priority="10">
      <formula>ROW()=CELL("row")</formula>
    </cfRule>
  </conditionalFormatting>
  <conditionalFormatting sqref="CW123">
    <cfRule type="expression" dxfId="29" priority="9">
      <formula>ROW()=CELL("row")</formula>
    </cfRule>
  </conditionalFormatting>
  <conditionalFormatting sqref="CX120:CX122">
    <cfRule type="expression" dxfId="28" priority="7">
      <formula>ROW()=CELL("row")</formula>
    </cfRule>
  </conditionalFormatting>
  <conditionalFormatting sqref="CZ125">
    <cfRule type="expression" dxfId="27" priority="6">
      <formula>ROW()=CELL("row")</formula>
    </cfRule>
  </conditionalFormatting>
  <conditionalFormatting sqref="CW124">
    <cfRule type="expression" dxfId="26" priority="5">
      <formula>ROW()=CELL("row")</formula>
    </cfRule>
  </conditionalFormatting>
  <conditionalFormatting sqref="CX123:DA124 CY123:CY125">
    <cfRule type="expression" dxfId="25" priority="4">
      <formula>ROW()=CELL("row")</formula>
    </cfRule>
  </conditionalFormatting>
  <conditionalFormatting sqref="DA125">
    <cfRule type="expression" dxfId="24" priority="3">
      <formula>ROW()=CELL("row")</formula>
    </cfRule>
  </conditionalFormatting>
  <conditionalFormatting sqref="CX125">
    <cfRule type="expression" dxfId="23" priority="2">
      <formula>ROW()=CELL("row")</formula>
    </cfRule>
  </conditionalFormatting>
  <conditionalFormatting sqref="CW125">
    <cfRule type="expression" dxfId="22" priority="1">
      <formula>ROW()=CELL("row")</formula>
    </cfRule>
  </conditionalFormatting>
  <dataValidations count="13">
    <dataValidation type="custom" allowBlank="1" showInputMessage="1" showErrorMessage="1" errorTitle="CALBLES AMOUNT" error="1 MV or 2 LV CABLES IN MINI-TRENCH" sqref="F73 F83:F1500" xr:uid="{00000000-0002-0000-0000-000006000000}">
      <formula1>NOT(AND($E73="mini-trench",$F73&gt;0,$G73&gt;0))</formula1>
    </dataValidation>
    <dataValidation type="decimal" operator="greaterThanOrEqual" allowBlank="1" showInputMessage="1" showErrorMessage="1" sqref="D4:D1500" xr:uid="{00000000-0002-0000-0000-000000000000}">
      <formula1>0</formula1>
    </dataValidation>
    <dataValidation type="list" allowBlank="1" showInputMessage="1" showErrorMessage="1" sqref="M4:M1500" xr:uid="{00000000-0002-0000-0000-000001000000}">
      <formula1>$AM$2:$AM$4</formula1>
    </dataValidation>
    <dataValidation type="list" allowBlank="1" showInputMessage="1" showErrorMessage="1" sqref="L4:L1500" xr:uid="{00000000-0002-0000-0000-000002000000}">
      <formula1>$AH$2:$AH$3</formula1>
    </dataValidation>
    <dataValidation type="list" allowBlank="1" showInputMessage="1" showErrorMessage="1" sqref="K4:K1500" xr:uid="{00000000-0002-0000-0000-000003000000}">
      <formula1>$AG$2:$AG$6</formula1>
    </dataValidation>
    <dataValidation type="list" allowBlank="1" showInputMessage="1" showErrorMessage="1" sqref="B4:B1500" xr:uid="{00000000-0002-0000-0000-000004000000}">
      <formula1>from</formula1>
    </dataValidation>
    <dataValidation type="list" allowBlank="1" showInputMessage="1" showErrorMessage="1" sqref="C315:C1500" xr:uid="{00000000-0002-0000-0000-000005000000}">
      <formula1>$AQ$2:$AQ$9</formula1>
    </dataValidation>
    <dataValidation type="custom" allowBlank="1" showInputMessage="1" showErrorMessage="1" errorTitle="CALBLES AMOUNT" error="1 MV or 2 LV CABLES IN MINI-TRENCH" sqref="F74:F82 F4:F72" xr:uid="{00000000-0002-0000-0000-000008000000}">
      <formula1>NOT(AND($G4="mini-trench",$H4&gt;0,$K4&gt;0))</formula1>
    </dataValidation>
    <dataValidation type="list" allowBlank="1" showInputMessage="1" showErrorMessage="1" errorTitle="only select type" error="only select type" sqref="E4:E1500" xr:uid="{00000000-0002-0000-0000-00000E000000}">
      <formula1>$AR$2:$AR$5</formula1>
    </dataValidation>
    <dataValidation type="list" allowBlank="1" showInputMessage="1" showErrorMessage="1" sqref="N4" xr:uid="{5179DBB5-B370-4A5F-9730-4C16F128F601}">
      <formula1>$BC$1:$BC$3</formula1>
    </dataValidation>
    <dataValidation type="whole" operator="greaterThanOrEqual" allowBlank="1" showInputMessage="1" showErrorMessage="1" sqref="G4:J1500" xr:uid="{11BA3EB9-3D76-4B6D-A374-4A6757A37BC2}">
      <formula1>0</formula1>
    </dataValidation>
    <dataValidation type="list" allowBlank="1" showInputMessage="1" showErrorMessage="1" sqref="N5:N1500" xr:uid="{20617C8F-F0A1-46C9-9B00-C814BF4EA01B}">
      <formula1>$AF$2:$AF$3</formula1>
    </dataValidation>
    <dataValidation type="list" allowBlank="1" showInputMessage="1" showErrorMessage="1" sqref="C4:C314" xr:uid="{7C5974FD-B077-4270-AFBA-5E8A8AC8770E}">
      <formula1>to</formula1>
    </dataValidation>
  </dataValidations>
  <printOptions horizontalCentered="1" verticalCentered="1"/>
  <pageMargins left="0.19685039370078741" right="0.19685039370078741" top="0.39370078740157483" bottom="0.39370078740157483" header="0.31496062992125984" footer="0.31496062992125984"/>
  <pageSetup paperSize="8" scale="34" fitToHeight="0" orientation="landscape" r:id="rId1"/>
  <headerFooter>
    <oddHeader xml:space="preserve">&amp;C&amp;K008004&amp;10&amp;"Calibri"Public Internal - عام (داخلي)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0" r:id="rId4" name="Button 28">
              <controlPr defaultSize="0" print="0" autoFill="0" autoPict="0" macro="[0]!_xludf.clear">
                <anchor moveWithCells="1" sizeWithCells="1">
                  <from>
                    <xdr:col>0</xdr:col>
                    <xdr:colOff>120650</xdr:colOff>
                    <xdr:row>0</xdr:row>
                    <xdr:rowOff>184150</xdr:rowOff>
                  </from>
                  <to>
                    <xdr:col>1</xdr:col>
                    <xdr:colOff>723900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5" name="Button 143">
              <controlPr defaultSize="0" print="0" autoFill="0" autoPict="0" macro="[0]!cwc">
                <anchor moveWithCells="1" sizeWithCells="1">
                  <from>
                    <xdr:col>11</xdr:col>
                    <xdr:colOff>38100</xdr:colOff>
                    <xdr:row>0</xdr:row>
                    <xdr:rowOff>184150</xdr:rowOff>
                  </from>
                  <to>
                    <xdr:col>13</xdr:col>
                    <xdr:colOff>635000</xdr:colOff>
                    <xdr:row>0</xdr:row>
                    <xdr:rowOff>501650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255C7-B70B-4089-87EA-B121B25CCF48}">
  <sheetPr codeName="Sheet9"/>
  <dimension ref="A1:B89"/>
  <sheetViews>
    <sheetView topLeftCell="A24" workbookViewId="0">
      <selection activeCell="A54" sqref="A54"/>
    </sheetView>
  </sheetViews>
  <sheetFormatPr defaultRowHeight="14.5" x14ac:dyDescent="0.35"/>
  <cols>
    <col min="1" max="1" width="41.36328125" bestFit="1" customWidth="1"/>
    <col min="2" max="2" width="21.453125" bestFit="1" customWidth="1"/>
  </cols>
  <sheetData>
    <row r="1" spans="1:2" ht="15.5" thickTop="1" thickBot="1" x14ac:dyDescent="0.4">
      <c r="A1" s="147" t="s">
        <v>565</v>
      </c>
      <c r="B1" s="147" t="s">
        <v>566</v>
      </c>
    </row>
    <row r="2" spans="1:2" ht="19.5" thickTop="1" thickBot="1" x14ac:dyDescent="0.4">
      <c r="A2" s="148" t="s">
        <v>242</v>
      </c>
      <c r="B2" s="147" t="s">
        <v>567</v>
      </c>
    </row>
    <row r="3" spans="1:2" ht="19.5" thickTop="1" thickBot="1" x14ac:dyDescent="0.4">
      <c r="A3" s="148" t="s">
        <v>243</v>
      </c>
      <c r="B3" s="147" t="s">
        <v>568</v>
      </c>
    </row>
    <row r="4" spans="1:2" ht="19.5" thickTop="1" thickBot="1" x14ac:dyDescent="0.4">
      <c r="A4" s="148" t="s">
        <v>4</v>
      </c>
      <c r="B4" s="147" t="s">
        <v>569</v>
      </c>
    </row>
    <row r="5" spans="1:2" ht="19.5" thickTop="1" thickBot="1" x14ac:dyDescent="0.4">
      <c r="A5" s="148" t="s">
        <v>18</v>
      </c>
      <c r="B5" s="147" t="s">
        <v>570</v>
      </c>
    </row>
    <row r="6" spans="1:2" ht="19.5" thickTop="1" thickBot="1" x14ac:dyDescent="0.4">
      <c r="A6" s="148" t="s">
        <v>232</v>
      </c>
      <c r="B6" s="147" t="s">
        <v>571</v>
      </c>
    </row>
    <row r="7" spans="1:2" ht="19.5" thickTop="1" thickBot="1" x14ac:dyDescent="0.4">
      <c r="A7" s="148" t="s">
        <v>233</v>
      </c>
      <c r="B7" s="147" t="s">
        <v>572</v>
      </c>
    </row>
    <row r="8" spans="1:2" ht="19.5" thickTop="1" thickBot="1" x14ac:dyDescent="0.4">
      <c r="A8" s="148" t="s">
        <v>5</v>
      </c>
      <c r="B8" s="147" t="s">
        <v>573</v>
      </c>
    </row>
    <row r="9" spans="1:2" ht="19.5" thickTop="1" thickBot="1" x14ac:dyDescent="0.4">
      <c r="A9" s="148" t="s">
        <v>6</v>
      </c>
      <c r="B9" s="147" t="s">
        <v>574</v>
      </c>
    </row>
    <row r="10" spans="1:2" ht="19.5" thickTop="1" thickBot="1" x14ac:dyDescent="0.4">
      <c r="A10" s="148" t="s">
        <v>8</v>
      </c>
      <c r="B10" s="147" t="s">
        <v>575</v>
      </c>
    </row>
    <row r="11" spans="1:2" ht="19.5" thickTop="1" thickBot="1" x14ac:dyDescent="0.4">
      <c r="A11" s="148" t="s">
        <v>14</v>
      </c>
      <c r="B11" s="147" t="s">
        <v>576</v>
      </c>
    </row>
    <row r="12" spans="1:2" ht="19.5" thickTop="1" thickBot="1" x14ac:dyDescent="0.4">
      <c r="A12" s="148" t="s">
        <v>155</v>
      </c>
      <c r="B12" s="147" t="s">
        <v>577</v>
      </c>
    </row>
    <row r="13" spans="1:2" ht="19.5" thickTop="1" thickBot="1" x14ac:dyDescent="0.4">
      <c r="A13" s="148" t="s">
        <v>6</v>
      </c>
      <c r="B13" s="147" t="s">
        <v>578</v>
      </c>
    </row>
    <row r="14" spans="1:2" ht="19.5" thickTop="1" thickBot="1" x14ac:dyDescent="0.4">
      <c r="A14" s="148" t="s">
        <v>17</v>
      </c>
      <c r="B14" s="147" t="s">
        <v>579</v>
      </c>
    </row>
    <row r="15" spans="1:2" ht="19.5" thickTop="1" thickBot="1" x14ac:dyDescent="0.4">
      <c r="A15" s="148" t="s">
        <v>149</v>
      </c>
      <c r="B15" s="147" t="s">
        <v>580</v>
      </c>
    </row>
    <row r="16" spans="1:2" ht="15.5" thickTop="1" thickBot="1" x14ac:dyDescent="0.4">
      <c r="A16" s="149" t="s">
        <v>227</v>
      </c>
      <c r="B16" s="147" t="s">
        <v>581</v>
      </c>
    </row>
    <row r="17" spans="1:2" ht="15.5" thickTop="1" thickBot="1" x14ac:dyDescent="0.4">
      <c r="A17" s="150" t="s">
        <v>9</v>
      </c>
      <c r="B17" s="147" t="s">
        <v>582</v>
      </c>
    </row>
    <row r="18" spans="1:2" ht="15.5" thickTop="1" thickBot="1" x14ac:dyDescent="0.4">
      <c r="A18" s="149" t="s">
        <v>10</v>
      </c>
      <c r="B18" s="147" t="s">
        <v>583</v>
      </c>
    </row>
    <row r="19" spans="1:2" ht="15.5" thickTop="1" thickBot="1" x14ac:dyDescent="0.4">
      <c r="A19" s="149" t="s">
        <v>283</v>
      </c>
      <c r="B19" s="147" t="s">
        <v>584</v>
      </c>
    </row>
    <row r="20" spans="1:2" ht="15.5" thickTop="1" thickBot="1" x14ac:dyDescent="0.4">
      <c r="A20" s="149" t="s">
        <v>13</v>
      </c>
      <c r="B20" s="147" t="s">
        <v>585</v>
      </c>
    </row>
    <row r="21" spans="1:2" ht="15.5" thickTop="1" thickBot="1" x14ac:dyDescent="0.4">
      <c r="A21" s="149" t="s">
        <v>11</v>
      </c>
      <c r="B21" s="147" t="s">
        <v>586</v>
      </c>
    </row>
    <row r="22" spans="1:2" ht="15.5" thickTop="1" thickBot="1" x14ac:dyDescent="0.4">
      <c r="A22" s="149" t="s">
        <v>12</v>
      </c>
      <c r="B22" s="147" t="s">
        <v>587</v>
      </c>
    </row>
    <row r="23" spans="1:2" ht="15.5" thickTop="1" thickBot="1" x14ac:dyDescent="0.4">
      <c r="A23" s="149" t="s">
        <v>50</v>
      </c>
      <c r="B23" s="147" t="s">
        <v>588</v>
      </c>
    </row>
    <row r="24" spans="1:2" ht="15.5" thickTop="1" thickBot="1" x14ac:dyDescent="0.4">
      <c r="A24" s="149" t="s">
        <v>284</v>
      </c>
      <c r="B24" s="147" t="s">
        <v>589</v>
      </c>
    </row>
    <row r="25" spans="1:2" ht="15.5" thickTop="1" thickBot="1" x14ac:dyDescent="0.4">
      <c r="A25" s="149" t="s">
        <v>51</v>
      </c>
      <c r="B25" s="147" t="s">
        <v>590</v>
      </c>
    </row>
    <row r="26" spans="1:2" ht="15.5" thickTop="1" thickBot="1" x14ac:dyDescent="0.4">
      <c r="A26" s="147" t="s">
        <v>490</v>
      </c>
      <c r="B26" s="147" t="s">
        <v>591</v>
      </c>
    </row>
    <row r="27" spans="1:2" ht="15.5" thickTop="1" thickBot="1" x14ac:dyDescent="0.4">
      <c r="A27" s="147" t="s">
        <v>491</v>
      </c>
      <c r="B27" s="147" t="s">
        <v>592</v>
      </c>
    </row>
    <row r="28" spans="1:2" ht="15.5" thickTop="1" thickBot="1" x14ac:dyDescent="0.4">
      <c r="A28" s="147" t="s">
        <v>492</v>
      </c>
      <c r="B28" s="147" t="s">
        <v>593</v>
      </c>
    </row>
    <row r="29" spans="1:2" ht="15.5" thickTop="1" thickBot="1" x14ac:dyDescent="0.4">
      <c r="A29" s="147" t="s">
        <v>493</v>
      </c>
      <c r="B29" s="147" t="s">
        <v>594</v>
      </c>
    </row>
    <row r="30" spans="1:2" ht="15.5" thickTop="1" thickBot="1" x14ac:dyDescent="0.4">
      <c r="A30" s="147" t="s">
        <v>63</v>
      </c>
      <c r="B30" s="147" t="s">
        <v>595</v>
      </c>
    </row>
    <row r="31" spans="1:2" ht="15.5" thickTop="1" thickBot="1" x14ac:dyDescent="0.4">
      <c r="A31" s="147" t="s">
        <v>498</v>
      </c>
      <c r="B31" s="147" t="s">
        <v>596</v>
      </c>
    </row>
    <row r="32" spans="1:2" ht="15.5" thickTop="1" thickBot="1" x14ac:dyDescent="0.4">
      <c r="A32" s="147" t="s">
        <v>497</v>
      </c>
      <c r="B32" s="147" t="s">
        <v>597</v>
      </c>
    </row>
    <row r="33" spans="1:2" ht="15.5" thickTop="1" thickBot="1" x14ac:dyDescent="0.4">
      <c r="A33" s="147" t="s">
        <v>494</v>
      </c>
      <c r="B33" s="147" t="s">
        <v>598</v>
      </c>
    </row>
    <row r="34" spans="1:2" ht="15.5" thickTop="1" thickBot="1" x14ac:dyDescent="0.4">
      <c r="A34" s="147" t="s">
        <v>495</v>
      </c>
      <c r="B34" s="147" t="s">
        <v>599</v>
      </c>
    </row>
    <row r="35" spans="1:2" ht="15.5" thickTop="1" thickBot="1" x14ac:dyDescent="0.4">
      <c r="A35" s="147" t="s">
        <v>496</v>
      </c>
      <c r="B35" s="147" t="s">
        <v>600</v>
      </c>
    </row>
    <row r="36" spans="1:2" ht="15.5" thickTop="1" thickBot="1" x14ac:dyDescent="0.4">
      <c r="A36" s="147" t="s">
        <v>54</v>
      </c>
      <c r="B36" s="147" t="s">
        <v>601</v>
      </c>
    </row>
    <row r="37" spans="1:2" ht="15.5" thickTop="1" thickBot="1" x14ac:dyDescent="0.4">
      <c r="A37" s="147" t="s">
        <v>214</v>
      </c>
      <c r="B37" s="147" t="s">
        <v>602</v>
      </c>
    </row>
    <row r="38" spans="1:2" ht="15.5" thickTop="1" thickBot="1" x14ac:dyDescent="0.4">
      <c r="A38" s="147" t="s">
        <v>257</v>
      </c>
      <c r="B38" s="147" t="s">
        <v>603</v>
      </c>
    </row>
    <row r="39" spans="1:2" ht="15.5" thickTop="1" thickBot="1" x14ac:dyDescent="0.4">
      <c r="A39" s="147" t="s">
        <v>604</v>
      </c>
      <c r="B39" s="147" t="s">
        <v>605</v>
      </c>
    </row>
    <row r="40" spans="1:2" ht="15.5" thickTop="1" thickBot="1" x14ac:dyDescent="0.4">
      <c r="A40" s="147" t="s">
        <v>215</v>
      </c>
      <c r="B40" s="147" t="s">
        <v>651</v>
      </c>
    </row>
    <row r="41" spans="1:2" ht="15.5" thickTop="1" thickBot="1" x14ac:dyDescent="0.4">
      <c r="A41" s="147" t="s">
        <v>216</v>
      </c>
      <c r="B41" s="147" t="s">
        <v>606</v>
      </c>
    </row>
    <row r="42" spans="1:2" ht="15.5" thickTop="1" thickBot="1" x14ac:dyDescent="0.4">
      <c r="A42" s="147" t="s">
        <v>535</v>
      </c>
      <c r="B42" s="147" t="s">
        <v>607</v>
      </c>
    </row>
    <row r="43" spans="1:2" ht="15.5" thickTop="1" thickBot="1" x14ac:dyDescent="0.4">
      <c r="A43" s="147" t="s">
        <v>552</v>
      </c>
      <c r="B43" s="147" t="s">
        <v>608</v>
      </c>
    </row>
    <row r="44" spans="1:2" ht="15.5" thickTop="1" thickBot="1" x14ac:dyDescent="0.4">
      <c r="A44" s="147" t="s">
        <v>526</v>
      </c>
      <c r="B44" s="147" t="s">
        <v>609</v>
      </c>
    </row>
    <row r="45" spans="1:2" ht="15.5" thickTop="1" thickBot="1" x14ac:dyDescent="0.4">
      <c r="A45" s="147" t="s">
        <v>108</v>
      </c>
      <c r="B45" s="147" t="s">
        <v>610</v>
      </c>
    </row>
    <row r="46" spans="1:2" ht="15.5" thickTop="1" thickBot="1" x14ac:dyDescent="0.4">
      <c r="A46" s="147" t="s">
        <v>82</v>
      </c>
      <c r="B46" s="147" t="s">
        <v>611</v>
      </c>
    </row>
    <row r="47" spans="1:2" ht="15.5" thickTop="1" thickBot="1" x14ac:dyDescent="0.4">
      <c r="A47" s="147" t="s">
        <v>518</v>
      </c>
      <c r="B47" s="147" t="s">
        <v>612</v>
      </c>
    </row>
    <row r="48" spans="1:2" ht="15.5" thickTop="1" thickBot="1" x14ac:dyDescent="0.4">
      <c r="A48" s="147" t="s">
        <v>517</v>
      </c>
      <c r="B48" s="147" t="s">
        <v>613</v>
      </c>
    </row>
    <row r="49" spans="1:2" ht="15.5" thickTop="1" thickBot="1" x14ac:dyDescent="0.4">
      <c r="A49" s="147" t="s">
        <v>271</v>
      </c>
      <c r="B49" s="147" t="s">
        <v>614</v>
      </c>
    </row>
    <row r="50" spans="1:2" ht="15.5" thickTop="1" thickBot="1" x14ac:dyDescent="0.4">
      <c r="A50" s="147" t="s">
        <v>501</v>
      </c>
      <c r="B50" s="147" t="s">
        <v>615</v>
      </c>
    </row>
    <row r="51" spans="1:2" ht="15.5" thickTop="1" thickBot="1" x14ac:dyDescent="0.4">
      <c r="A51" s="147" t="s">
        <v>291</v>
      </c>
      <c r="B51" s="147" t="s">
        <v>616</v>
      </c>
    </row>
    <row r="52" spans="1:2" ht="15.5" thickTop="1" thickBot="1" x14ac:dyDescent="0.4">
      <c r="A52" s="147" t="s">
        <v>98</v>
      </c>
      <c r="B52" s="147" t="s">
        <v>617</v>
      </c>
    </row>
    <row r="53" spans="1:2" ht="15.5" thickTop="1" thickBot="1" x14ac:dyDescent="0.4">
      <c r="A53" s="147" t="s">
        <v>99</v>
      </c>
      <c r="B53" s="147" t="s">
        <v>618</v>
      </c>
    </row>
    <row r="54" spans="1:2" ht="15.5" thickTop="1" thickBot="1" x14ac:dyDescent="0.4">
      <c r="A54" s="147" t="s">
        <v>527</v>
      </c>
      <c r="B54" s="147" t="s">
        <v>652</v>
      </c>
    </row>
    <row r="55" spans="1:2" ht="15.5" thickTop="1" thickBot="1" x14ac:dyDescent="0.4">
      <c r="A55" s="147" t="s">
        <v>528</v>
      </c>
      <c r="B55" s="147" t="s">
        <v>619</v>
      </c>
    </row>
    <row r="56" spans="1:2" ht="15.5" thickTop="1" thickBot="1" x14ac:dyDescent="0.4">
      <c r="A56" s="147" t="s">
        <v>335</v>
      </c>
      <c r="B56" s="147" t="s">
        <v>620</v>
      </c>
    </row>
    <row r="57" spans="1:2" ht="15.5" thickTop="1" thickBot="1" x14ac:dyDescent="0.4">
      <c r="A57" s="147" t="s">
        <v>298</v>
      </c>
      <c r="B57" s="147" t="s">
        <v>621</v>
      </c>
    </row>
    <row r="58" spans="1:2" ht="15.5" thickTop="1" thickBot="1" x14ac:dyDescent="0.4">
      <c r="A58" s="147" t="s">
        <v>336</v>
      </c>
      <c r="B58" s="147" t="s">
        <v>622</v>
      </c>
    </row>
    <row r="59" spans="1:2" ht="15.5" thickTop="1" thickBot="1" x14ac:dyDescent="0.4">
      <c r="A59" s="147" t="s">
        <v>287</v>
      </c>
      <c r="B59" s="147" t="s">
        <v>623</v>
      </c>
    </row>
    <row r="60" spans="1:2" ht="15.5" thickTop="1" thickBot="1" x14ac:dyDescent="0.4">
      <c r="A60" s="147" t="s">
        <v>506</v>
      </c>
      <c r="B60" s="147" t="s">
        <v>624</v>
      </c>
    </row>
    <row r="61" spans="1:2" ht="15.5" thickTop="1" thickBot="1" x14ac:dyDescent="0.4">
      <c r="A61" s="147" t="s">
        <v>507</v>
      </c>
      <c r="B61" s="147" t="s">
        <v>625</v>
      </c>
    </row>
    <row r="62" spans="1:2" ht="15.5" thickTop="1" thickBot="1" x14ac:dyDescent="0.4">
      <c r="A62" s="147" t="s">
        <v>337</v>
      </c>
      <c r="B62" s="147" t="s">
        <v>626</v>
      </c>
    </row>
    <row r="63" spans="1:2" ht="15.5" thickTop="1" thickBot="1" x14ac:dyDescent="0.4">
      <c r="A63" s="147" t="s">
        <v>338</v>
      </c>
      <c r="B63" s="147" t="s">
        <v>627</v>
      </c>
    </row>
    <row r="64" spans="1:2" ht="15.5" thickTop="1" thickBot="1" x14ac:dyDescent="0.4">
      <c r="A64" s="147" t="s">
        <v>339</v>
      </c>
      <c r="B64" s="147" t="s">
        <v>628</v>
      </c>
    </row>
    <row r="65" spans="1:2" ht="15.5" thickTop="1" thickBot="1" x14ac:dyDescent="0.4">
      <c r="A65" t="s">
        <v>548</v>
      </c>
      <c r="B65" s="147" t="s">
        <v>629</v>
      </c>
    </row>
    <row r="66" spans="1:2" ht="15.5" thickTop="1" thickBot="1" x14ac:dyDescent="0.4">
      <c r="A66" t="s">
        <v>546</v>
      </c>
      <c r="B66" s="147" t="s">
        <v>630</v>
      </c>
    </row>
    <row r="67" spans="1:2" ht="15.5" thickTop="1" thickBot="1" x14ac:dyDescent="0.4">
      <c r="A67" t="s">
        <v>547</v>
      </c>
      <c r="B67" s="147" t="s">
        <v>631</v>
      </c>
    </row>
    <row r="68" spans="1:2" ht="15.5" thickTop="1" thickBot="1" x14ac:dyDescent="0.4">
      <c r="A68" t="s">
        <v>556</v>
      </c>
      <c r="B68" s="147" t="s">
        <v>632</v>
      </c>
    </row>
    <row r="69" spans="1:2" ht="15.5" thickTop="1" thickBot="1" x14ac:dyDescent="0.4">
      <c r="A69" s="147" t="s">
        <v>440</v>
      </c>
      <c r="B69" s="147" t="s">
        <v>633</v>
      </c>
    </row>
    <row r="70" spans="1:2" ht="15.5" thickTop="1" thickBot="1" x14ac:dyDescent="0.4">
      <c r="A70" s="147" t="s">
        <v>95</v>
      </c>
      <c r="B70" s="147" t="s">
        <v>634</v>
      </c>
    </row>
    <row r="71" spans="1:2" ht="15.5" thickTop="1" thickBot="1" x14ac:dyDescent="0.4">
      <c r="A71" s="147" t="s">
        <v>441</v>
      </c>
      <c r="B71" s="147" t="s">
        <v>635</v>
      </c>
    </row>
    <row r="72" spans="1:2" ht="15.5" thickTop="1" thickBot="1" x14ac:dyDescent="0.4">
      <c r="A72" s="147" t="s">
        <v>434</v>
      </c>
      <c r="B72" s="147" t="s">
        <v>636</v>
      </c>
    </row>
    <row r="73" spans="1:2" ht="15.5" thickTop="1" thickBot="1" x14ac:dyDescent="0.4">
      <c r="A73" s="147" t="s">
        <v>96</v>
      </c>
      <c r="B73" s="147" t="s">
        <v>637</v>
      </c>
    </row>
    <row r="74" spans="1:2" ht="15.5" thickTop="1" thickBot="1" x14ac:dyDescent="0.4">
      <c r="A74" s="147" t="s">
        <v>435</v>
      </c>
      <c r="B74" s="147" t="s">
        <v>638</v>
      </c>
    </row>
    <row r="75" spans="1:2" ht="15.5" thickTop="1" thickBot="1" x14ac:dyDescent="0.4">
      <c r="A75" s="147" t="s">
        <v>97</v>
      </c>
      <c r="B75" s="147" t="s">
        <v>639</v>
      </c>
    </row>
    <row r="76" spans="1:2" ht="15.5" thickTop="1" thickBot="1" x14ac:dyDescent="0.4">
      <c r="A76" s="147" t="s">
        <v>80</v>
      </c>
      <c r="B76" s="147" t="s">
        <v>640</v>
      </c>
    </row>
    <row r="77" spans="1:2" ht="15.5" thickTop="1" thickBot="1" x14ac:dyDescent="0.4">
      <c r="A77" s="147" t="s">
        <v>436</v>
      </c>
      <c r="B77" s="147" t="s">
        <v>641</v>
      </c>
    </row>
    <row r="78" spans="1:2" ht="15.5" thickTop="1" thickBot="1" x14ac:dyDescent="0.4">
      <c r="A78" s="147" t="s">
        <v>437</v>
      </c>
      <c r="B78" s="147" t="s">
        <v>642</v>
      </c>
    </row>
    <row r="79" spans="1:2" ht="15.5" thickTop="1" thickBot="1" x14ac:dyDescent="0.4">
      <c r="A79" t="s">
        <v>545</v>
      </c>
      <c r="B79" s="147" t="s">
        <v>643</v>
      </c>
    </row>
    <row r="80" spans="1:2" ht="15.5" thickTop="1" thickBot="1" x14ac:dyDescent="0.4">
      <c r="A80" t="s">
        <v>552</v>
      </c>
      <c r="B80" s="147" t="s">
        <v>608</v>
      </c>
    </row>
    <row r="81" spans="1:2" ht="15.5" thickTop="1" thickBot="1" x14ac:dyDescent="0.4">
      <c r="A81" t="s">
        <v>553</v>
      </c>
      <c r="B81" s="147" t="s">
        <v>644</v>
      </c>
    </row>
    <row r="82" spans="1:2" ht="15" thickTop="1" x14ac:dyDescent="0.35">
      <c r="A82" t="s">
        <v>562</v>
      </c>
      <c r="B82" s="151" t="s">
        <v>645</v>
      </c>
    </row>
    <row r="83" spans="1:2" x14ac:dyDescent="0.35">
      <c r="A83" t="s">
        <v>563</v>
      </c>
      <c r="B83" s="151" t="s">
        <v>646</v>
      </c>
    </row>
    <row r="84" spans="1:2" x14ac:dyDescent="0.35">
      <c r="A84" t="s">
        <v>564</v>
      </c>
      <c r="B84" s="151" t="s">
        <v>647</v>
      </c>
    </row>
    <row r="85" spans="1:2" ht="15" thickBot="1" x14ac:dyDescent="0.4">
      <c r="A85" t="s">
        <v>648</v>
      </c>
      <c r="B85" s="151" t="s">
        <v>649</v>
      </c>
    </row>
    <row r="86" spans="1:2" ht="15.5" thickTop="1" thickBot="1" x14ac:dyDescent="0.4">
      <c r="A86" s="147" t="s">
        <v>439</v>
      </c>
      <c r="B86" s="147" t="s">
        <v>621</v>
      </c>
    </row>
    <row r="87" spans="1:2" ht="21.5" thickTop="1" x14ac:dyDescent="0.5">
      <c r="A87" s="142"/>
      <c r="B87" s="153"/>
    </row>
    <row r="88" spans="1:2" ht="21" x14ac:dyDescent="0.5">
      <c r="A88" s="142"/>
      <c r="B88" s="153"/>
    </row>
    <row r="89" spans="1:2" ht="21" x14ac:dyDescent="0.5">
      <c r="A89" s="142"/>
      <c r="B89" s="153"/>
    </row>
  </sheetData>
  <sheetProtection algorithmName="SHA-512" hashValue="qHPhUgict+vopMXmCgQgqYzcIdxnWpuzzm0Y6ngT9gcxN6XV/gfZvnPlql/XuxQRtHRwuc2BagPo5QF+qUyqAQ==" saltValue="reCDPWdV5mQqPJ7kLYZ58A==" spinCount="100000" sheet="1" objects="1" scenarios="1"/>
  <conditionalFormatting sqref="A6:A7">
    <cfRule type="expression" dxfId="21" priority="4">
      <formula>ROW()=CELL("row")</formula>
    </cfRule>
  </conditionalFormatting>
  <conditionalFormatting sqref="A12">
    <cfRule type="expression" dxfId="20" priority="3">
      <formula>ROW()=CELL("row")</formula>
    </cfRule>
  </conditionalFormatting>
  <conditionalFormatting sqref="A15:A16">
    <cfRule type="expression" dxfId="19" priority="2">
      <formula>ROW()=CELL("row")</formula>
    </cfRule>
  </conditionalFormatting>
  <conditionalFormatting sqref="A19:A25">
    <cfRule type="expression" dxfId="18" priority="1">
      <formula>ROW()=CELL("row")</formula>
    </cfRule>
  </conditionalFormatting>
  <pageMargins left="0.7" right="0.7" top="0.75" bottom="0.75" header="0.3" footer="0.3"/>
  <pageSetup orientation="portrait" r:id="rId1"/>
  <headerFooter>
    <oddHeader xml:space="preserve">&amp;C&amp;K008004&amp;10&amp;"Calibri"Public Internal - عام (داخلي) 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L102"/>
  <sheetViews>
    <sheetView zoomScale="78" zoomScaleNormal="78" workbookViewId="0">
      <selection activeCell="D5" sqref="D5"/>
    </sheetView>
  </sheetViews>
  <sheetFormatPr defaultRowHeight="14.5" x14ac:dyDescent="0.35"/>
  <cols>
    <col min="1" max="1" width="25.90625" style="98" customWidth="1"/>
    <col min="2" max="2" width="18.81640625" style="98" bestFit="1" customWidth="1"/>
    <col min="3" max="3" width="8.81640625" style="98"/>
    <col min="4" max="4" width="108.90625" style="99" customWidth="1"/>
    <col min="5" max="5" width="16.81640625" style="98" customWidth="1"/>
    <col min="6" max="6" width="21.36328125" style="98" customWidth="1"/>
    <col min="7" max="7" width="3.81640625" customWidth="1"/>
    <col min="8" max="8" width="2.7265625" customWidth="1"/>
    <col min="9" max="9" width="25.90625" style="110" customWidth="1"/>
    <col min="10" max="10" width="19.36328125" customWidth="1"/>
    <col min="12" max="12" width="92.08984375" customWidth="1"/>
  </cols>
  <sheetData>
    <row r="1" spans="1:12" ht="24" customHeight="1" thickTop="1" thickBot="1" x14ac:dyDescent="0.4">
      <c r="A1" s="233" t="s">
        <v>434</v>
      </c>
      <c r="B1" s="233" t="s">
        <v>95</v>
      </c>
      <c r="C1" s="233" t="s">
        <v>96</v>
      </c>
      <c r="D1" s="236" t="s">
        <v>435</v>
      </c>
      <c r="E1" s="236" t="s">
        <v>97</v>
      </c>
      <c r="F1" s="103" t="s">
        <v>80</v>
      </c>
      <c r="G1" s="102"/>
      <c r="H1" s="102"/>
      <c r="I1" s="234" t="s">
        <v>436</v>
      </c>
      <c r="J1" s="235" t="s">
        <v>95</v>
      </c>
      <c r="K1" s="235" t="s">
        <v>96</v>
      </c>
      <c r="L1" s="235" t="s">
        <v>437</v>
      </c>
    </row>
    <row r="2" spans="1:12" ht="27" thickTop="1" thickBot="1" x14ac:dyDescent="0.4">
      <c r="A2" s="233"/>
      <c r="B2" s="233"/>
      <c r="C2" s="233"/>
      <c r="D2" s="236"/>
      <c r="E2" s="236"/>
      <c r="F2" s="103">
        <f>SUM(F3:F100)</f>
        <v>0</v>
      </c>
      <c r="G2" s="102"/>
      <c r="H2" s="102"/>
      <c r="I2" s="234"/>
      <c r="J2" s="235"/>
      <c r="K2" s="235"/>
      <c r="L2" s="235"/>
    </row>
    <row r="3" spans="1:12" ht="29.5" thickTop="1" thickBot="1" x14ac:dyDescent="0.4">
      <c r="A3" s="122"/>
      <c r="B3" s="123"/>
      <c r="C3" s="124"/>
      <c r="D3" s="125"/>
      <c r="E3" s="123"/>
      <c r="F3" s="105" t="str">
        <f t="shared" ref="F3:F34" si="0">IF(B3&gt;0,B3*E3,"")</f>
        <v/>
      </c>
      <c r="G3" s="107"/>
      <c r="H3" s="107"/>
      <c r="I3" s="132"/>
      <c r="J3" s="123"/>
      <c r="K3" s="124"/>
      <c r="L3" s="124"/>
    </row>
    <row r="4" spans="1:12" ht="29.5" thickTop="1" thickBot="1" x14ac:dyDescent="0.4">
      <c r="A4" s="126"/>
      <c r="B4" s="127"/>
      <c r="C4" s="128"/>
      <c r="D4" s="129"/>
      <c r="E4" s="127"/>
      <c r="F4" s="106" t="str">
        <f t="shared" si="0"/>
        <v/>
      </c>
      <c r="G4" s="107"/>
      <c r="H4" s="107"/>
      <c r="I4" s="133"/>
      <c r="J4" s="134"/>
      <c r="K4" s="135"/>
      <c r="L4" s="135"/>
    </row>
    <row r="5" spans="1:12" ht="29.5" thickTop="1" thickBot="1" x14ac:dyDescent="0.4">
      <c r="A5" s="122"/>
      <c r="B5" s="123"/>
      <c r="C5" s="124"/>
      <c r="D5" s="125"/>
      <c r="E5" s="123"/>
      <c r="F5" s="105" t="str">
        <f t="shared" si="0"/>
        <v/>
      </c>
      <c r="G5" s="107"/>
      <c r="H5" s="107"/>
      <c r="I5" s="132"/>
      <c r="J5" s="123"/>
      <c r="K5" s="124"/>
      <c r="L5" s="124"/>
    </row>
    <row r="6" spans="1:12" ht="29.5" thickTop="1" thickBot="1" x14ac:dyDescent="0.4">
      <c r="A6" s="126"/>
      <c r="B6" s="127"/>
      <c r="C6" s="128"/>
      <c r="D6" s="129"/>
      <c r="E6" s="127"/>
      <c r="F6" s="106" t="str">
        <f t="shared" si="0"/>
        <v/>
      </c>
      <c r="G6" s="107"/>
      <c r="H6" s="107"/>
      <c r="I6" s="133"/>
      <c r="J6" s="134"/>
      <c r="K6" s="135"/>
      <c r="L6" s="135"/>
    </row>
    <row r="7" spans="1:12" ht="29.5" thickTop="1" thickBot="1" x14ac:dyDescent="0.4">
      <c r="A7" s="122"/>
      <c r="B7" s="123"/>
      <c r="C7" s="124"/>
      <c r="D7" s="125"/>
      <c r="E7" s="123"/>
      <c r="F7" s="105" t="str">
        <f t="shared" si="0"/>
        <v/>
      </c>
      <c r="G7" s="107"/>
      <c r="H7" s="107"/>
      <c r="I7" s="132"/>
      <c r="J7" s="123"/>
      <c r="K7" s="124"/>
      <c r="L7" s="124"/>
    </row>
    <row r="8" spans="1:12" ht="29.5" thickTop="1" thickBot="1" x14ac:dyDescent="0.4">
      <c r="A8" s="126"/>
      <c r="B8" s="127"/>
      <c r="C8" s="128"/>
      <c r="D8" s="129"/>
      <c r="E8" s="127"/>
      <c r="F8" s="106" t="str">
        <f t="shared" si="0"/>
        <v/>
      </c>
      <c r="G8" s="107"/>
      <c r="H8" s="107"/>
      <c r="I8" s="133"/>
      <c r="J8" s="134"/>
      <c r="K8" s="135"/>
      <c r="L8" s="135"/>
    </row>
    <row r="9" spans="1:12" ht="29.5" thickTop="1" thickBot="1" x14ac:dyDescent="0.4">
      <c r="A9" s="122"/>
      <c r="B9" s="123"/>
      <c r="C9" s="124"/>
      <c r="D9" s="125"/>
      <c r="E9" s="123"/>
      <c r="F9" s="105" t="str">
        <f t="shared" si="0"/>
        <v/>
      </c>
      <c r="G9" s="107"/>
      <c r="H9" s="107"/>
      <c r="I9" s="132"/>
      <c r="J9" s="123"/>
      <c r="K9" s="124"/>
      <c r="L9" s="124"/>
    </row>
    <row r="10" spans="1:12" ht="29.5" thickTop="1" thickBot="1" x14ac:dyDescent="0.4">
      <c r="A10" s="126"/>
      <c r="B10" s="127"/>
      <c r="C10" s="128"/>
      <c r="D10" s="129"/>
      <c r="E10" s="127"/>
      <c r="F10" s="106" t="str">
        <f t="shared" si="0"/>
        <v/>
      </c>
      <c r="G10" s="107"/>
      <c r="H10" s="107"/>
      <c r="I10" s="133"/>
      <c r="J10" s="134"/>
      <c r="K10" s="135"/>
      <c r="L10" s="135"/>
    </row>
    <row r="11" spans="1:12" ht="29.5" thickTop="1" thickBot="1" x14ac:dyDescent="0.4">
      <c r="A11" s="122"/>
      <c r="B11" s="123"/>
      <c r="C11" s="124"/>
      <c r="D11" s="125"/>
      <c r="E11" s="123"/>
      <c r="F11" s="105" t="str">
        <f t="shared" si="0"/>
        <v/>
      </c>
      <c r="G11" s="107"/>
      <c r="H11" s="107"/>
      <c r="I11" s="132"/>
      <c r="J11" s="123"/>
      <c r="K11" s="124"/>
      <c r="L11" s="124"/>
    </row>
    <row r="12" spans="1:12" ht="29.5" thickTop="1" thickBot="1" x14ac:dyDescent="0.4">
      <c r="A12" s="126"/>
      <c r="B12" s="127"/>
      <c r="C12" s="128"/>
      <c r="D12" s="129"/>
      <c r="E12" s="127"/>
      <c r="F12" s="106" t="str">
        <f t="shared" si="0"/>
        <v/>
      </c>
      <c r="G12" s="107"/>
      <c r="H12" s="107"/>
      <c r="I12" s="133"/>
      <c r="J12" s="134"/>
      <c r="K12" s="135"/>
      <c r="L12" s="135"/>
    </row>
    <row r="13" spans="1:12" ht="29.5" thickTop="1" thickBot="1" x14ac:dyDescent="0.4">
      <c r="A13" s="122"/>
      <c r="B13" s="123"/>
      <c r="C13" s="124"/>
      <c r="D13" s="125"/>
      <c r="E13" s="123"/>
      <c r="F13" s="105" t="str">
        <f t="shared" si="0"/>
        <v/>
      </c>
      <c r="G13" s="107"/>
      <c r="H13" s="107"/>
      <c r="I13" s="132"/>
      <c r="J13" s="123"/>
      <c r="K13" s="124"/>
      <c r="L13" s="124"/>
    </row>
    <row r="14" spans="1:12" ht="29.5" thickTop="1" thickBot="1" x14ac:dyDescent="0.4">
      <c r="A14" s="126"/>
      <c r="B14" s="127"/>
      <c r="C14" s="128"/>
      <c r="D14" s="129"/>
      <c r="E14" s="127"/>
      <c r="F14" s="106" t="str">
        <f t="shared" si="0"/>
        <v/>
      </c>
      <c r="G14" s="107"/>
      <c r="H14" s="107"/>
      <c r="I14" s="133"/>
      <c r="J14" s="134"/>
      <c r="K14" s="135"/>
      <c r="L14" s="135"/>
    </row>
    <row r="15" spans="1:12" ht="29.5" thickTop="1" thickBot="1" x14ac:dyDescent="0.4">
      <c r="A15" s="122"/>
      <c r="B15" s="123"/>
      <c r="C15" s="124"/>
      <c r="D15" s="125"/>
      <c r="E15" s="123"/>
      <c r="F15" s="105" t="str">
        <f t="shared" si="0"/>
        <v/>
      </c>
      <c r="G15" s="107"/>
      <c r="H15" s="107"/>
      <c r="I15" s="132"/>
      <c r="J15" s="123"/>
      <c r="K15" s="124"/>
      <c r="L15" s="124"/>
    </row>
    <row r="16" spans="1:12" ht="29.5" thickTop="1" thickBot="1" x14ac:dyDescent="0.4">
      <c r="A16" s="126"/>
      <c r="B16" s="127"/>
      <c r="C16" s="128"/>
      <c r="D16" s="129"/>
      <c r="E16" s="127"/>
      <c r="F16" s="106" t="str">
        <f t="shared" si="0"/>
        <v/>
      </c>
      <c r="G16" s="107"/>
      <c r="H16" s="107"/>
      <c r="I16" s="133"/>
      <c r="J16" s="134"/>
      <c r="K16" s="135"/>
      <c r="L16" s="135"/>
    </row>
    <row r="17" spans="1:12" ht="29.5" thickTop="1" thickBot="1" x14ac:dyDescent="0.4">
      <c r="A17" s="122"/>
      <c r="B17" s="123"/>
      <c r="C17" s="124"/>
      <c r="D17" s="125"/>
      <c r="E17" s="123"/>
      <c r="F17" s="105" t="str">
        <f t="shared" si="0"/>
        <v/>
      </c>
      <c r="G17" s="107"/>
      <c r="H17" s="107"/>
      <c r="I17" s="132"/>
      <c r="J17" s="123"/>
      <c r="K17" s="124"/>
      <c r="L17" s="124"/>
    </row>
    <row r="18" spans="1:12" ht="29.5" thickTop="1" thickBot="1" x14ac:dyDescent="0.4">
      <c r="A18" s="126"/>
      <c r="B18" s="127"/>
      <c r="C18" s="128"/>
      <c r="D18" s="129"/>
      <c r="E18" s="127"/>
      <c r="F18" s="106" t="str">
        <f t="shared" si="0"/>
        <v/>
      </c>
      <c r="G18" s="107"/>
      <c r="H18" s="107"/>
      <c r="I18" s="133"/>
      <c r="J18" s="134"/>
      <c r="K18" s="135"/>
      <c r="L18" s="135"/>
    </row>
    <row r="19" spans="1:12" ht="29.5" thickTop="1" thickBot="1" x14ac:dyDescent="0.4">
      <c r="A19" s="122"/>
      <c r="B19" s="123"/>
      <c r="C19" s="124"/>
      <c r="D19" s="125"/>
      <c r="E19" s="123"/>
      <c r="F19" s="105" t="str">
        <f t="shared" si="0"/>
        <v/>
      </c>
      <c r="G19" s="107"/>
      <c r="H19" s="107"/>
      <c r="I19" s="132"/>
      <c r="J19" s="123"/>
      <c r="K19" s="124"/>
      <c r="L19" s="124"/>
    </row>
    <row r="20" spans="1:12" ht="29.5" thickTop="1" thickBot="1" x14ac:dyDescent="0.4">
      <c r="A20" s="127"/>
      <c r="B20" s="127"/>
      <c r="C20" s="130"/>
      <c r="D20" s="129"/>
      <c r="E20" s="127"/>
      <c r="F20" s="106" t="str">
        <f t="shared" si="0"/>
        <v/>
      </c>
      <c r="G20" s="107"/>
      <c r="H20" s="107"/>
      <c r="I20" s="133"/>
      <c r="J20" s="134"/>
      <c r="K20" s="136"/>
      <c r="L20" s="136"/>
    </row>
    <row r="21" spans="1:12" ht="29.5" thickTop="1" thickBot="1" x14ac:dyDescent="0.4">
      <c r="A21" s="123"/>
      <c r="B21" s="123"/>
      <c r="C21" s="131"/>
      <c r="D21" s="125"/>
      <c r="E21" s="123"/>
      <c r="F21" s="105" t="str">
        <f t="shared" si="0"/>
        <v/>
      </c>
      <c r="G21" s="107"/>
      <c r="H21" s="107"/>
      <c r="I21" s="132"/>
      <c r="J21" s="123"/>
      <c r="K21" s="131"/>
      <c r="L21" s="131"/>
    </row>
    <row r="22" spans="1:12" ht="29.5" thickTop="1" thickBot="1" x14ac:dyDescent="0.4">
      <c r="A22" s="127"/>
      <c r="B22" s="127"/>
      <c r="C22" s="130"/>
      <c r="D22" s="129"/>
      <c r="E22" s="127"/>
      <c r="F22" s="106" t="str">
        <f t="shared" si="0"/>
        <v/>
      </c>
      <c r="G22" s="107"/>
      <c r="H22" s="107"/>
      <c r="I22" s="133"/>
      <c r="J22" s="134"/>
      <c r="K22" s="136"/>
      <c r="L22" s="136"/>
    </row>
    <row r="23" spans="1:12" ht="29.5" thickTop="1" thickBot="1" x14ac:dyDescent="0.4">
      <c r="A23" s="123"/>
      <c r="B23" s="123"/>
      <c r="C23" s="131"/>
      <c r="D23" s="125"/>
      <c r="E23" s="123"/>
      <c r="F23" s="105" t="str">
        <f t="shared" si="0"/>
        <v/>
      </c>
      <c r="G23" s="107"/>
      <c r="H23" s="107"/>
      <c r="I23" s="132"/>
      <c r="J23" s="123"/>
      <c r="K23" s="131"/>
      <c r="L23" s="131"/>
    </row>
    <row r="24" spans="1:12" ht="29.5" thickTop="1" thickBot="1" x14ac:dyDescent="0.4">
      <c r="A24" s="127"/>
      <c r="B24" s="127"/>
      <c r="C24" s="130"/>
      <c r="D24" s="129"/>
      <c r="E24" s="127"/>
      <c r="F24" s="106" t="str">
        <f t="shared" si="0"/>
        <v/>
      </c>
      <c r="G24" s="107"/>
      <c r="H24" s="107"/>
      <c r="I24" s="133"/>
      <c r="J24" s="134"/>
      <c r="K24" s="136"/>
      <c r="L24" s="136"/>
    </row>
    <row r="25" spans="1:12" ht="29.5" thickTop="1" thickBot="1" x14ac:dyDescent="0.4">
      <c r="A25" s="123"/>
      <c r="B25" s="123"/>
      <c r="C25" s="131"/>
      <c r="D25" s="125"/>
      <c r="E25" s="123"/>
      <c r="F25" s="105" t="str">
        <f t="shared" si="0"/>
        <v/>
      </c>
      <c r="G25" s="107"/>
      <c r="H25" s="107"/>
      <c r="I25" s="132"/>
      <c r="J25" s="123"/>
      <c r="K25" s="131"/>
      <c r="L25" s="131"/>
    </row>
    <row r="26" spans="1:12" ht="29.5" thickTop="1" thickBot="1" x14ac:dyDescent="0.4">
      <c r="A26" s="127"/>
      <c r="B26" s="127"/>
      <c r="C26" s="130"/>
      <c r="D26" s="129"/>
      <c r="E26" s="127"/>
      <c r="F26" s="106" t="str">
        <f t="shared" si="0"/>
        <v/>
      </c>
      <c r="G26" s="107"/>
      <c r="H26" s="107"/>
      <c r="I26" s="133"/>
      <c r="J26" s="134"/>
      <c r="K26" s="136"/>
      <c r="L26" s="136"/>
    </row>
    <row r="27" spans="1:12" ht="29.5" thickTop="1" thickBot="1" x14ac:dyDescent="0.4">
      <c r="A27" s="123"/>
      <c r="B27" s="123"/>
      <c r="C27" s="131"/>
      <c r="D27" s="125"/>
      <c r="E27" s="123"/>
      <c r="F27" s="105" t="str">
        <f t="shared" si="0"/>
        <v/>
      </c>
      <c r="G27" s="107"/>
      <c r="H27" s="107"/>
      <c r="I27" s="132"/>
      <c r="J27" s="123"/>
      <c r="K27" s="131"/>
      <c r="L27" s="131"/>
    </row>
    <row r="28" spans="1:12" ht="29.5" thickTop="1" thickBot="1" x14ac:dyDescent="0.4">
      <c r="A28" s="127"/>
      <c r="B28" s="127"/>
      <c r="C28" s="130"/>
      <c r="D28" s="129"/>
      <c r="E28" s="127"/>
      <c r="F28" s="106" t="str">
        <f t="shared" si="0"/>
        <v/>
      </c>
      <c r="G28" s="107"/>
      <c r="H28" s="107"/>
      <c r="I28" s="133"/>
      <c r="J28" s="134"/>
      <c r="K28" s="136"/>
      <c r="L28" s="136"/>
    </row>
    <row r="29" spans="1:12" ht="29.5" thickTop="1" thickBot="1" x14ac:dyDescent="0.4">
      <c r="A29" s="123"/>
      <c r="B29" s="123"/>
      <c r="C29" s="131"/>
      <c r="D29" s="125"/>
      <c r="E29" s="123"/>
      <c r="F29" s="105" t="str">
        <f t="shared" si="0"/>
        <v/>
      </c>
      <c r="G29" s="107"/>
      <c r="H29" s="107"/>
      <c r="I29" s="132"/>
      <c r="J29" s="123"/>
      <c r="K29" s="131"/>
      <c r="L29" s="131"/>
    </row>
    <row r="30" spans="1:12" ht="29.5" thickTop="1" thickBot="1" x14ac:dyDescent="0.4">
      <c r="A30" s="127"/>
      <c r="B30" s="127"/>
      <c r="C30" s="130"/>
      <c r="D30" s="129"/>
      <c r="E30" s="127"/>
      <c r="F30" s="106" t="str">
        <f t="shared" si="0"/>
        <v/>
      </c>
      <c r="G30" s="107"/>
      <c r="H30" s="107"/>
      <c r="I30" s="133"/>
      <c r="J30" s="134"/>
      <c r="K30" s="136"/>
      <c r="L30" s="136"/>
    </row>
    <row r="31" spans="1:12" ht="29.5" thickTop="1" thickBot="1" x14ac:dyDescent="0.4">
      <c r="A31" s="123"/>
      <c r="B31" s="123"/>
      <c r="C31" s="131"/>
      <c r="D31" s="125"/>
      <c r="E31" s="123"/>
      <c r="F31" s="105" t="str">
        <f t="shared" si="0"/>
        <v/>
      </c>
      <c r="G31" s="107"/>
      <c r="H31" s="107"/>
      <c r="I31" s="132"/>
      <c r="J31" s="123"/>
      <c r="K31" s="131"/>
      <c r="L31" s="131"/>
    </row>
    <row r="32" spans="1:12" ht="29.5" thickTop="1" thickBot="1" x14ac:dyDescent="0.4">
      <c r="A32" s="127"/>
      <c r="B32" s="127"/>
      <c r="C32" s="130"/>
      <c r="D32" s="129"/>
      <c r="E32" s="127"/>
      <c r="F32" s="106" t="str">
        <f t="shared" si="0"/>
        <v/>
      </c>
      <c r="G32" s="107"/>
      <c r="H32" s="107"/>
      <c r="I32" s="133"/>
      <c r="J32" s="134"/>
      <c r="K32" s="136"/>
      <c r="L32" s="136"/>
    </row>
    <row r="33" spans="1:12" ht="29.5" thickTop="1" thickBot="1" x14ac:dyDescent="0.4">
      <c r="A33" s="123"/>
      <c r="B33" s="123"/>
      <c r="C33" s="131"/>
      <c r="D33" s="125"/>
      <c r="E33" s="123"/>
      <c r="F33" s="105" t="str">
        <f t="shared" si="0"/>
        <v/>
      </c>
      <c r="G33" s="107"/>
      <c r="H33" s="107"/>
      <c r="I33" s="132"/>
      <c r="J33" s="123"/>
      <c r="K33" s="131"/>
      <c r="L33" s="131"/>
    </row>
    <row r="34" spans="1:12" ht="29.5" thickTop="1" thickBot="1" x14ac:dyDescent="0.4">
      <c r="A34" s="127"/>
      <c r="B34" s="127"/>
      <c r="C34" s="130"/>
      <c r="D34" s="129"/>
      <c r="E34" s="127"/>
      <c r="F34" s="106" t="str">
        <f t="shared" si="0"/>
        <v/>
      </c>
      <c r="G34" s="107"/>
      <c r="H34" s="107"/>
      <c r="I34" s="133"/>
      <c r="J34" s="134"/>
      <c r="K34" s="136"/>
      <c r="L34" s="136"/>
    </row>
    <row r="35" spans="1:12" ht="29.5" thickTop="1" thickBot="1" x14ac:dyDescent="0.4">
      <c r="A35" s="123"/>
      <c r="B35" s="123"/>
      <c r="C35" s="131"/>
      <c r="D35" s="125"/>
      <c r="E35" s="123"/>
      <c r="F35" s="105" t="str">
        <f t="shared" ref="F35:F66" si="1">IF(B35&gt;0,B35*E35,"")</f>
        <v/>
      </c>
      <c r="G35" s="107"/>
      <c r="H35" s="107"/>
      <c r="I35" s="132"/>
      <c r="J35" s="123"/>
      <c r="K35" s="131"/>
      <c r="L35" s="131"/>
    </row>
    <row r="36" spans="1:12" ht="29.5" thickTop="1" thickBot="1" x14ac:dyDescent="0.4">
      <c r="A36" s="127"/>
      <c r="B36" s="127"/>
      <c r="C36" s="130"/>
      <c r="D36" s="129"/>
      <c r="E36" s="127"/>
      <c r="F36" s="106" t="str">
        <f t="shared" si="1"/>
        <v/>
      </c>
      <c r="G36" s="107"/>
      <c r="H36" s="107"/>
      <c r="I36" s="133"/>
      <c r="J36" s="134"/>
      <c r="K36" s="136"/>
      <c r="L36" s="136"/>
    </row>
    <row r="37" spans="1:12" ht="29.5" thickTop="1" thickBot="1" x14ac:dyDescent="0.4">
      <c r="A37" s="123"/>
      <c r="B37" s="123"/>
      <c r="C37" s="131"/>
      <c r="D37" s="125"/>
      <c r="E37" s="123"/>
      <c r="F37" s="105" t="str">
        <f t="shared" si="1"/>
        <v/>
      </c>
      <c r="G37" s="107"/>
      <c r="H37" s="107"/>
      <c r="I37" s="132"/>
      <c r="J37" s="123"/>
      <c r="K37" s="131"/>
      <c r="L37" s="131"/>
    </row>
    <row r="38" spans="1:12" ht="29.5" thickTop="1" thickBot="1" x14ac:dyDescent="0.4">
      <c r="A38" s="127"/>
      <c r="B38" s="127"/>
      <c r="C38" s="130"/>
      <c r="D38" s="129"/>
      <c r="E38" s="127"/>
      <c r="F38" s="106" t="str">
        <f t="shared" si="1"/>
        <v/>
      </c>
      <c r="G38" s="107"/>
      <c r="H38" s="107"/>
      <c r="I38" s="133"/>
      <c r="J38" s="134"/>
      <c r="K38" s="136"/>
      <c r="L38" s="136"/>
    </row>
    <row r="39" spans="1:12" ht="29.5" thickTop="1" thickBot="1" x14ac:dyDescent="0.4">
      <c r="A39" s="123"/>
      <c r="B39" s="123"/>
      <c r="C39" s="131"/>
      <c r="D39" s="125"/>
      <c r="E39" s="123"/>
      <c r="F39" s="105" t="str">
        <f t="shared" si="1"/>
        <v/>
      </c>
      <c r="G39" s="107"/>
      <c r="H39" s="107"/>
      <c r="I39" s="132"/>
      <c r="J39" s="123"/>
      <c r="K39" s="131"/>
      <c r="L39" s="131"/>
    </row>
    <row r="40" spans="1:12" ht="29.5" thickTop="1" thickBot="1" x14ac:dyDescent="0.4">
      <c r="A40" s="127"/>
      <c r="B40" s="127"/>
      <c r="C40" s="130"/>
      <c r="D40" s="129"/>
      <c r="E40" s="127"/>
      <c r="F40" s="106" t="str">
        <f t="shared" si="1"/>
        <v/>
      </c>
      <c r="G40" s="107"/>
      <c r="H40" s="107"/>
      <c r="I40" s="133"/>
      <c r="J40" s="134"/>
      <c r="K40" s="136"/>
      <c r="L40" s="136"/>
    </row>
    <row r="41" spans="1:12" ht="29.5" thickTop="1" thickBot="1" x14ac:dyDescent="0.4">
      <c r="A41" s="123"/>
      <c r="B41" s="123"/>
      <c r="C41" s="131"/>
      <c r="D41" s="125"/>
      <c r="E41" s="123"/>
      <c r="F41" s="105" t="str">
        <f t="shared" si="1"/>
        <v/>
      </c>
      <c r="G41" s="107"/>
      <c r="H41" s="107"/>
      <c r="I41" s="132"/>
      <c r="J41" s="123"/>
      <c r="K41" s="131"/>
      <c r="L41" s="131"/>
    </row>
    <row r="42" spans="1:12" ht="29.5" thickTop="1" thickBot="1" x14ac:dyDescent="0.4">
      <c r="A42" s="127"/>
      <c r="B42" s="127"/>
      <c r="C42" s="130"/>
      <c r="D42" s="129"/>
      <c r="E42" s="127"/>
      <c r="F42" s="106" t="str">
        <f t="shared" si="1"/>
        <v/>
      </c>
      <c r="G42" s="107"/>
      <c r="H42" s="107"/>
      <c r="I42" s="133"/>
      <c r="J42" s="134"/>
      <c r="K42" s="136"/>
      <c r="L42" s="136"/>
    </row>
    <row r="43" spans="1:12" ht="29.5" thickTop="1" thickBot="1" x14ac:dyDescent="0.4">
      <c r="A43" s="123"/>
      <c r="B43" s="123"/>
      <c r="C43" s="131"/>
      <c r="D43" s="125"/>
      <c r="E43" s="123"/>
      <c r="F43" s="105" t="str">
        <f t="shared" si="1"/>
        <v/>
      </c>
      <c r="G43" s="107"/>
      <c r="H43" s="107"/>
      <c r="I43" s="132"/>
      <c r="J43" s="123"/>
      <c r="K43" s="131"/>
      <c r="L43" s="131"/>
    </row>
    <row r="44" spans="1:12" ht="29.5" thickTop="1" thickBot="1" x14ac:dyDescent="0.4">
      <c r="A44" s="127"/>
      <c r="B44" s="127"/>
      <c r="C44" s="130"/>
      <c r="D44" s="129"/>
      <c r="E44" s="127"/>
      <c r="F44" s="106" t="str">
        <f t="shared" si="1"/>
        <v/>
      </c>
      <c r="G44" s="107"/>
      <c r="H44" s="107"/>
      <c r="I44" s="133"/>
      <c r="J44" s="134"/>
      <c r="K44" s="136"/>
      <c r="L44" s="136"/>
    </row>
    <row r="45" spans="1:12" ht="29.5" thickTop="1" thickBot="1" x14ac:dyDescent="0.4">
      <c r="A45" s="123"/>
      <c r="B45" s="123"/>
      <c r="C45" s="131"/>
      <c r="D45" s="125"/>
      <c r="E45" s="123"/>
      <c r="F45" s="105" t="str">
        <f t="shared" si="1"/>
        <v/>
      </c>
      <c r="G45" s="107"/>
      <c r="H45" s="107"/>
      <c r="I45" s="132"/>
      <c r="J45" s="123"/>
      <c r="K45" s="131"/>
      <c r="L45" s="131"/>
    </row>
    <row r="46" spans="1:12" ht="29.5" thickTop="1" thickBot="1" x14ac:dyDescent="0.4">
      <c r="A46" s="127"/>
      <c r="B46" s="127"/>
      <c r="C46" s="130"/>
      <c r="D46" s="129"/>
      <c r="E46" s="127"/>
      <c r="F46" s="106" t="str">
        <f t="shared" si="1"/>
        <v/>
      </c>
      <c r="G46" s="107"/>
      <c r="H46" s="107"/>
      <c r="I46" s="133"/>
      <c r="J46" s="134"/>
      <c r="K46" s="136"/>
      <c r="L46" s="136"/>
    </row>
    <row r="47" spans="1:12" ht="29.5" thickTop="1" thickBot="1" x14ac:dyDescent="0.4">
      <c r="A47" s="123"/>
      <c r="B47" s="123"/>
      <c r="C47" s="131"/>
      <c r="D47" s="125"/>
      <c r="E47" s="123"/>
      <c r="F47" s="105" t="str">
        <f t="shared" si="1"/>
        <v/>
      </c>
      <c r="G47" s="107"/>
      <c r="H47" s="107"/>
      <c r="I47" s="132"/>
      <c r="J47" s="123"/>
      <c r="K47" s="131"/>
      <c r="L47" s="131"/>
    </row>
    <row r="48" spans="1:12" ht="29.5" thickTop="1" thickBot="1" x14ac:dyDescent="0.4">
      <c r="A48" s="127"/>
      <c r="B48" s="127"/>
      <c r="C48" s="130"/>
      <c r="D48" s="129"/>
      <c r="E48" s="127"/>
      <c r="F48" s="106" t="str">
        <f t="shared" si="1"/>
        <v/>
      </c>
      <c r="G48" s="107"/>
      <c r="H48" s="107"/>
      <c r="I48" s="133"/>
      <c r="J48" s="134"/>
      <c r="K48" s="136"/>
      <c r="L48" s="136"/>
    </row>
    <row r="49" spans="1:12" ht="29.5" thickTop="1" thickBot="1" x14ac:dyDescent="0.4">
      <c r="A49" s="123"/>
      <c r="B49" s="123"/>
      <c r="C49" s="131"/>
      <c r="D49" s="125"/>
      <c r="E49" s="123"/>
      <c r="F49" s="105" t="str">
        <f t="shared" si="1"/>
        <v/>
      </c>
      <c r="G49" s="107"/>
      <c r="H49" s="107"/>
      <c r="I49" s="132"/>
      <c r="J49" s="123"/>
      <c r="K49" s="131"/>
      <c r="L49" s="131"/>
    </row>
    <row r="50" spans="1:12" ht="29.5" thickTop="1" thickBot="1" x14ac:dyDescent="0.4">
      <c r="A50" s="127"/>
      <c r="B50" s="127"/>
      <c r="C50" s="130"/>
      <c r="D50" s="129"/>
      <c r="E50" s="127"/>
      <c r="F50" s="106" t="str">
        <f t="shared" si="1"/>
        <v/>
      </c>
      <c r="G50" s="107"/>
      <c r="H50" s="107"/>
      <c r="I50" s="133"/>
      <c r="J50" s="134"/>
      <c r="K50" s="136"/>
      <c r="L50" s="136"/>
    </row>
    <row r="51" spans="1:12" ht="29.5" thickTop="1" thickBot="1" x14ac:dyDescent="0.4">
      <c r="A51" s="123"/>
      <c r="B51" s="123"/>
      <c r="C51" s="131"/>
      <c r="D51" s="125"/>
      <c r="E51" s="123"/>
      <c r="F51" s="105" t="str">
        <f t="shared" si="1"/>
        <v/>
      </c>
      <c r="G51" s="107"/>
      <c r="H51" s="107"/>
      <c r="I51" s="132"/>
      <c r="J51" s="123"/>
      <c r="K51" s="131"/>
      <c r="L51" s="131"/>
    </row>
    <row r="52" spans="1:12" ht="29.5" thickTop="1" thickBot="1" x14ac:dyDescent="0.4">
      <c r="A52" s="127"/>
      <c r="B52" s="127"/>
      <c r="C52" s="130"/>
      <c r="D52" s="129"/>
      <c r="E52" s="127"/>
      <c r="F52" s="106" t="str">
        <f t="shared" si="1"/>
        <v/>
      </c>
      <c r="G52" s="107"/>
      <c r="H52" s="107"/>
      <c r="I52" s="133"/>
      <c r="J52" s="134"/>
      <c r="K52" s="136"/>
      <c r="L52" s="136"/>
    </row>
    <row r="53" spans="1:12" ht="29.5" thickTop="1" thickBot="1" x14ac:dyDescent="0.4">
      <c r="A53" s="123"/>
      <c r="B53" s="123"/>
      <c r="C53" s="131"/>
      <c r="D53" s="125"/>
      <c r="E53" s="123"/>
      <c r="F53" s="105" t="str">
        <f t="shared" si="1"/>
        <v/>
      </c>
      <c r="G53" s="107"/>
      <c r="H53" s="107"/>
      <c r="I53" s="132"/>
      <c r="J53" s="123"/>
      <c r="K53" s="131"/>
      <c r="L53" s="131"/>
    </row>
    <row r="54" spans="1:12" ht="29.5" thickTop="1" thickBot="1" x14ac:dyDescent="0.4">
      <c r="A54" s="127"/>
      <c r="B54" s="127"/>
      <c r="C54" s="130"/>
      <c r="D54" s="129"/>
      <c r="E54" s="127"/>
      <c r="F54" s="106" t="str">
        <f t="shared" si="1"/>
        <v/>
      </c>
      <c r="G54" s="107"/>
      <c r="H54" s="107"/>
      <c r="I54" s="133"/>
      <c r="J54" s="134"/>
      <c r="K54" s="136"/>
      <c r="L54" s="136"/>
    </row>
    <row r="55" spans="1:12" ht="29.5" thickTop="1" thickBot="1" x14ac:dyDescent="0.4">
      <c r="A55" s="123"/>
      <c r="B55" s="123"/>
      <c r="C55" s="131"/>
      <c r="D55" s="125"/>
      <c r="E55" s="123"/>
      <c r="F55" s="105" t="str">
        <f t="shared" si="1"/>
        <v/>
      </c>
      <c r="G55" s="107"/>
      <c r="H55" s="107"/>
      <c r="I55" s="132"/>
      <c r="J55" s="123"/>
      <c r="K55" s="131"/>
      <c r="L55" s="131"/>
    </row>
    <row r="56" spans="1:12" ht="29.5" thickTop="1" thickBot="1" x14ac:dyDescent="0.4">
      <c r="A56" s="127"/>
      <c r="B56" s="127"/>
      <c r="C56" s="130"/>
      <c r="D56" s="129"/>
      <c r="E56" s="127"/>
      <c r="F56" s="106" t="str">
        <f t="shared" si="1"/>
        <v/>
      </c>
      <c r="G56" s="107"/>
      <c r="H56" s="107"/>
      <c r="I56" s="133"/>
      <c r="J56" s="134"/>
      <c r="K56" s="136"/>
      <c r="L56" s="136"/>
    </row>
    <row r="57" spans="1:12" ht="29.5" thickTop="1" thickBot="1" x14ac:dyDescent="0.4">
      <c r="A57" s="123"/>
      <c r="B57" s="123"/>
      <c r="C57" s="131"/>
      <c r="D57" s="125"/>
      <c r="E57" s="123"/>
      <c r="F57" s="105" t="str">
        <f t="shared" si="1"/>
        <v/>
      </c>
      <c r="G57" s="107"/>
      <c r="H57" s="107"/>
      <c r="I57" s="132"/>
      <c r="J57" s="123"/>
      <c r="K57" s="131"/>
      <c r="L57" s="131"/>
    </row>
    <row r="58" spans="1:12" ht="29.5" thickTop="1" thickBot="1" x14ac:dyDescent="0.4">
      <c r="A58" s="127"/>
      <c r="B58" s="127"/>
      <c r="C58" s="130"/>
      <c r="D58" s="129"/>
      <c r="E58" s="127"/>
      <c r="F58" s="106" t="str">
        <f t="shared" si="1"/>
        <v/>
      </c>
      <c r="G58" s="107"/>
      <c r="H58" s="107"/>
      <c r="I58" s="133"/>
      <c r="J58" s="134"/>
      <c r="K58" s="136"/>
      <c r="L58" s="136"/>
    </row>
    <row r="59" spans="1:12" ht="29.5" thickTop="1" thickBot="1" x14ac:dyDescent="0.4">
      <c r="A59" s="123"/>
      <c r="B59" s="123"/>
      <c r="C59" s="131"/>
      <c r="D59" s="125"/>
      <c r="E59" s="123"/>
      <c r="F59" s="105" t="str">
        <f t="shared" si="1"/>
        <v/>
      </c>
      <c r="G59" s="107"/>
      <c r="H59" s="107"/>
      <c r="I59" s="132"/>
      <c r="J59" s="123"/>
      <c r="K59" s="131"/>
      <c r="L59" s="131"/>
    </row>
    <row r="60" spans="1:12" ht="29.5" thickTop="1" thickBot="1" x14ac:dyDescent="0.4">
      <c r="A60" s="127"/>
      <c r="B60" s="127"/>
      <c r="C60" s="130"/>
      <c r="D60" s="129"/>
      <c r="E60" s="127"/>
      <c r="F60" s="106" t="str">
        <f t="shared" si="1"/>
        <v/>
      </c>
      <c r="G60" s="107"/>
      <c r="H60" s="107"/>
      <c r="I60" s="133"/>
      <c r="J60" s="134"/>
      <c r="K60" s="136"/>
      <c r="L60" s="136"/>
    </row>
    <row r="61" spans="1:12" ht="29.5" thickTop="1" thickBot="1" x14ac:dyDescent="0.4">
      <c r="A61" s="123"/>
      <c r="B61" s="123"/>
      <c r="C61" s="131"/>
      <c r="D61" s="125"/>
      <c r="E61" s="123"/>
      <c r="F61" s="105" t="str">
        <f t="shared" si="1"/>
        <v/>
      </c>
      <c r="G61" s="107"/>
      <c r="H61" s="107"/>
      <c r="I61" s="132"/>
      <c r="J61" s="123"/>
      <c r="K61" s="131"/>
      <c r="L61" s="131"/>
    </row>
    <row r="62" spans="1:12" ht="29.5" thickTop="1" thickBot="1" x14ac:dyDescent="0.4">
      <c r="A62" s="127"/>
      <c r="B62" s="127"/>
      <c r="C62" s="130"/>
      <c r="D62" s="129"/>
      <c r="E62" s="127"/>
      <c r="F62" s="106" t="str">
        <f t="shared" si="1"/>
        <v/>
      </c>
      <c r="G62" s="107"/>
      <c r="H62" s="107"/>
      <c r="I62" s="133"/>
      <c r="J62" s="134"/>
      <c r="K62" s="136"/>
      <c r="L62" s="136"/>
    </row>
    <row r="63" spans="1:12" ht="29.5" thickTop="1" thickBot="1" x14ac:dyDescent="0.4">
      <c r="A63" s="123"/>
      <c r="B63" s="123"/>
      <c r="C63" s="131"/>
      <c r="D63" s="125"/>
      <c r="E63" s="123"/>
      <c r="F63" s="105" t="str">
        <f t="shared" si="1"/>
        <v/>
      </c>
      <c r="G63" s="107"/>
      <c r="H63" s="107"/>
      <c r="I63" s="132"/>
      <c r="J63" s="123"/>
      <c r="K63" s="131"/>
      <c r="L63" s="131"/>
    </row>
    <row r="64" spans="1:12" ht="29.5" thickTop="1" thickBot="1" x14ac:dyDescent="0.4">
      <c r="A64" s="127"/>
      <c r="B64" s="127"/>
      <c r="C64" s="130"/>
      <c r="D64" s="129"/>
      <c r="E64" s="127"/>
      <c r="F64" s="106" t="str">
        <f t="shared" si="1"/>
        <v/>
      </c>
      <c r="G64" s="107"/>
      <c r="H64" s="107"/>
      <c r="I64" s="133"/>
      <c r="J64" s="134"/>
      <c r="K64" s="136"/>
      <c r="L64" s="136"/>
    </row>
    <row r="65" spans="1:12" ht="29.5" thickTop="1" thickBot="1" x14ac:dyDescent="0.4">
      <c r="A65" s="123"/>
      <c r="B65" s="123"/>
      <c r="C65" s="131"/>
      <c r="D65" s="125"/>
      <c r="E65" s="123"/>
      <c r="F65" s="105" t="str">
        <f t="shared" si="1"/>
        <v/>
      </c>
      <c r="G65" s="107"/>
      <c r="H65" s="107"/>
      <c r="I65" s="132"/>
      <c r="J65" s="123"/>
      <c r="K65" s="131"/>
      <c r="L65" s="131"/>
    </row>
    <row r="66" spans="1:12" ht="29.5" thickTop="1" thickBot="1" x14ac:dyDescent="0.4">
      <c r="A66" s="127"/>
      <c r="B66" s="127"/>
      <c r="C66" s="130"/>
      <c r="D66" s="129"/>
      <c r="E66" s="127"/>
      <c r="F66" s="106" t="str">
        <f t="shared" si="1"/>
        <v/>
      </c>
      <c r="G66" s="107"/>
      <c r="H66" s="107"/>
      <c r="I66" s="133"/>
      <c r="J66" s="134"/>
      <c r="K66" s="136"/>
      <c r="L66" s="136"/>
    </row>
    <row r="67" spans="1:12" ht="29.5" thickTop="1" thickBot="1" x14ac:dyDescent="0.4">
      <c r="A67" s="123"/>
      <c r="B67" s="123"/>
      <c r="C67" s="131"/>
      <c r="D67" s="125"/>
      <c r="E67" s="123"/>
      <c r="F67" s="105" t="str">
        <f t="shared" ref="F67:F98" si="2">IF(B67&gt;0,B67*E67,"")</f>
        <v/>
      </c>
      <c r="G67" s="107"/>
      <c r="H67" s="107"/>
      <c r="I67" s="132"/>
      <c r="J67" s="123"/>
      <c r="K67" s="131"/>
      <c r="L67" s="131"/>
    </row>
    <row r="68" spans="1:12" ht="29.5" thickTop="1" thickBot="1" x14ac:dyDescent="0.4">
      <c r="A68" s="127"/>
      <c r="B68" s="127"/>
      <c r="C68" s="130"/>
      <c r="D68" s="129"/>
      <c r="E68" s="127"/>
      <c r="F68" s="106" t="str">
        <f t="shared" si="2"/>
        <v/>
      </c>
      <c r="G68" s="107"/>
      <c r="H68" s="107"/>
      <c r="I68" s="133"/>
      <c r="J68" s="134"/>
      <c r="K68" s="136"/>
      <c r="L68" s="136"/>
    </row>
    <row r="69" spans="1:12" ht="29.5" thickTop="1" thickBot="1" x14ac:dyDescent="0.4">
      <c r="A69" s="123"/>
      <c r="B69" s="123"/>
      <c r="C69" s="131"/>
      <c r="D69" s="125"/>
      <c r="E69" s="123"/>
      <c r="F69" s="105" t="str">
        <f t="shared" si="2"/>
        <v/>
      </c>
      <c r="G69" s="107"/>
      <c r="H69" s="107"/>
      <c r="I69" s="132"/>
      <c r="J69" s="123"/>
      <c r="K69" s="131"/>
      <c r="L69" s="131"/>
    </row>
    <row r="70" spans="1:12" ht="29.5" thickTop="1" thickBot="1" x14ac:dyDescent="0.4">
      <c r="A70" s="127"/>
      <c r="B70" s="127"/>
      <c r="C70" s="130"/>
      <c r="D70" s="129"/>
      <c r="E70" s="127"/>
      <c r="F70" s="106" t="str">
        <f t="shared" si="2"/>
        <v/>
      </c>
      <c r="G70" s="107"/>
      <c r="H70" s="107"/>
      <c r="I70" s="133"/>
      <c r="J70" s="134"/>
      <c r="K70" s="136"/>
      <c r="L70" s="136"/>
    </row>
    <row r="71" spans="1:12" ht="29.5" thickTop="1" thickBot="1" x14ac:dyDescent="0.4">
      <c r="A71" s="123"/>
      <c r="B71" s="123"/>
      <c r="C71" s="131"/>
      <c r="D71" s="125"/>
      <c r="E71" s="123"/>
      <c r="F71" s="105" t="str">
        <f t="shared" si="2"/>
        <v/>
      </c>
      <c r="G71" s="107"/>
      <c r="H71" s="107"/>
      <c r="I71" s="132"/>
      <c r="J71" s="123"/>
      <c r="K71" s="131"/>
      <c r="L71" s="131"/>
    </row>
    <row r="72" spans="1:12" ht="29.5" thickTop="1" thickBot="1" x14ac:dyDescent="0.4">
      <c r="A72" s="127"/>
      <c r="B72" s="127"/>
      <c r="C72" s="130"/>
      <c r="D72" s="129"/>
      <c r="E72" s="127"/>
      <c r="F72" s="106" t="str">
        <f t="shared" si="2"/>
        <v/>
      </c>
      <c r="G72" s="107"/>
      <c r="H72" s="107"/>
      <c r="I72" s="133"/>
      <c r="J72" s="134"/>
      <c r="K72" s="136"/>
      <c r="L72" s="136"/>
    </row>
    <row r="73" spans="1:12" ht="29.5" thickTop="1" thickBot="1" x14ac:dyDescent="0.4">
      <c r="A73" s="123"/>
      <c r="B73" s="123"/>
      <c r="C73" s="131"/>
      <c r="D73" s="125"/>
      <c r="E73" s="123"/>
      <c r="F73" s="105" t="str">
        <f t="shared" si="2"/>
        <v/>
      </c>
      <c r="G73" s="107"/>
      <c r="H73" s="107"/>
      <c r="I73" s="132"/>
      <c r="J73" s="123"/>
      <c r="K73" s="131"/>
      <c r="L73" s="131"/>
    </row>
    <row r="74" spans="1:12" ht="29.5" thickTop="1" thickBot="1" x14ac:dyDescent="0.4">
      <c r="A74" s="127"/>
      <c r="B74" s="127"/>
      <c r="C74" s="130"/>
      <c r="D74" s="129"/>
      <c r="E74" s="127"/>
      <c r="F74" s="106" t="str">
        <f t="shared" si="2"/>
        <v/>
      </c>
      <c r="G74" s="107"/>
      <c r="H74" s="107"/>
      <c r="I74" s="133"/>
      <c r="J74" s="134"/>
      <c r="K74" s="136"/>
      <c r="L74" s="136"/>
    </row>
    <row r="75" spans="1:12" ht="29.5" thickTop="1" thickBot="1" x14ac:dyDescent="0.4">
      <c r="A75" s="123"/>
      <c r="B75" s="123"/>
      <c r="C75" s="131"/>
      <c r="D75" s="125"/>
      <c r="E75" s="123"/>
      <c r="F75" s="105" t="str">
        <f t="shared" si="2"/>
        <v/>
      </c>
      <c r="G75" s="107"/>
      <c r="H75" s="107"/>
      <c r="I75" s="132"/>
      <c r="J75" s="123"/>
      <c r="K75" s="131"/>
      <c r="L75" s="131"/>
    </row>
    <row r="76" spans="1:12" ht="29.5" thickTop="1" thickBot="1" x14ac:dyDescent="0.4">
      <c r="A76" s="127"/>
      <c r="B76" s="127"/>
      <c r="C76" s="130"/>
      <c r="D76" s="129"/>
      <c r="E76" s="127"/>
      <c r="F76" s="106" t="str">
        <f t="shared" si="2"/>
        <v/>
      </c>
      <c r="G76" s="107"/>
      <c r="H76" s="107"/>
      <c r="I76" s="133"/>
      <c r="J76" s="134"/>
      <c r="K76" s="136"/>
      <c r="L76" s="136"/>
    </row>
    <row r="77" spans="1:12" ht="29.5" thickTop="1" thickBot="1" x14ac:dyDescent="0.4">
      <c r="A77" s="123"/>
      <c r="B77" s="123"/>
      <c r="C77" s="131"/>
      <c r="D77" s="125"/>
      <c r="E77" s="123"/>
      <c r="F77" s="105" t="str">
        <f t="shared" si="2"/>
        <v/>
      </c>
      <c r="G77" s="107"/>
      <c r="H77" s="107"/>
      <c r="I77" s="132"/>
      <c r="J77" s="123"/>
      <c r="K77" s="131"/>
      <c r="L77" s="131"/>
    </row>
    <row r="78" spans="1:12" ht="29.5" thickTop="1" thickBot="1" x14ac:dyDescent="0.4">
      <c r="A78" s="127"/>
      <c r="B78" s="127"/>
      <c r="C78" s="130"/>
      <c r="D78" s="129"/>
      <c r="E78" s="127"/>
      <c r="F78" s="106" t="str">
        <f t="shared" si="2"/>
        <v/>
      </c>
      <c r="G78" s="107"/>
      <c r="H78" s="107"/>
      <c r="I78" s="133"/>
      <c r="J78" s="134"/>
      <c r="K78" s="136"/>
      <c r="L78" s="136"/>
    </row>
    <row r="79" spans="1:12" ht="29.5" thickTop="1" thickBot="1" x14ac:dyDescent="0.4">
      <c r="A79" s="123"/>
      <c r="B79" s="123"/>
      <c r="C79" s="131"/>
      <c r="D79" s="125"/>
      <c r="E79" s="123"/>
      <c r="F79" s="105" t="str">
        <f t="shared" si="2"/>
        <v/>
      </c>
      <c r="G79" s="107"/>
      <c r="H79" s="107"/>
      <c r="I79" s="132"/>
      <c r="J79" s="123"/>
      <c r="K79" s="131"/>
      <c r="L79" s="131"/>
    </row>
    <row r="80" spans="1:12" ht="29.5" thickTop="1" thickBot="1" x14ac:dyDescent="0.4">
      <c r="A80" s="127"/>
      <c r="B80" s="127"/>
      <c r="C80" s="130"/>
      <c r="D80" s="129"/>
      <c r="E80" s="127"/>
      <c r="F80" s="106" t="str">
        <f t="shared" si="2"/>
        <v/>
      </c>
      <c r="G80" s="107"/>
      <c r="H80" s="107"/>
      <c r="I80" s="133"/>
      <c r="J80" s="134"/>
      <c r="K80" s="136"/>
      <c r="L80" s="136"/>
    </row>
    <row r="81" spans="1:12" ht="29.5" thickTop="1" thickBot="1" x14ac:dyDescent="0.4">
      <c r="A81" s="123"/>
      <c r="B81" s="123"/>
      <c r="C81" s="131"/>
      <c r="D81" s="125"/>
      <c r="E81" s="123"/>
      <c r="F81" s="105" t="str">
        <f t="shared" si="2"/>
        <v/>
      </c>
      <c r="G81" s="107"/>
      <c r="H81" s="107"/>
      <c r="I81" s="132"/>
      <c r="J81" s="123"/>
      <c r="K81" s="131"/>
      <c r="L81" s="131"/>
    </row>
    <row r="82" spans="1:12" ht="29.5" thickTop="1" thickBot="1" x14ac:dyDescent="0.4">
      <c r="A82" s="127"/>
      <c r="B82" s="127"/>
      <c r="C82" s="130"/>
      <c r="D82" s="129"/>
      <c r="E82" s="127"/>
      <c r="F82" s="106" t="str">
        <f t="shared" si="2"/>
        <v/>
      </c>
      <c r="G82" s="107"/>
      <c r="H82" s="107"/>
      <c r="I82" s="133"/>
      <c r="J82" s="134"/>
      <c r="K82" s="136"/>
      <c r="L82" s="136"/>
    </row>
    <row r="83" spans="1:12" ht="29.5" thickTop="1" thickBot="1" x14ac:dyDescent="0.4">
      <c r="A83" s="123"/>
      <c r="B83" s="123"/>
      <c r="C83" s="131"/>
      <c r="D83" s="125"/>
      <c r="E83" s="123"/>
      <c r="F83" s="105" t="str">
        <f t="shared" si="2"/>
        <v/>
      </c>
      <c r="G83" s="107"/>
      <c r="H83" s="107"/>
      <c r="I83" s="132"/>
      <c r="J83" s="123"/>
      <c r="K83" s="131"/>
      <c r="L83" s="131"/>
    </row>
    <row r="84" spans="1:12" ht="29.5" thickTop="1" thickBot="1" x14ac:dyDescent="0.4">
      <c r="A84" s="127"/>
      <c r="B84" s="127"/>
      <c r="C84" s="130"/>
      <c r="D84" s="129"/>
      <c r="E84" s="127"/>
      <c r="F84" s="106" t="str">
        <f t="shared" si="2"/>
        <v/>
      </c>
      <c r="G84" s="107"/>
      <c r="H84" s="107"/>
      <c r="I84" s="133"/>
      <c r="J84" s="134"/>
      <c r="K84" s="136"/>
      <c r="L84" s="136"/>
    </row>
    <row r="85" spans="1:12" ht="29.5" thickTop="1" thickBot="1" x14ac:dyDescent="0.4">
      <c r="A85" s="123"/>
      <c r="B85" s="123"/>
      <c r="C85" s="131"/>
      <c r="D85" s="125"/>
      <c r="E85" s="123"/>
      <c r="F85" s="105" t="str">
        <f t="shared" si="2"/>
        <v/>
      </c>
      <c r="G85" s="107"/>
      <c r="H85" s="107"/>
      <c r="I85" s="132"/>
      <c r="J85" s="123"/>
      <c r="K85" s="131"/>
      <c r="L85" s="131"/>
    </row>
    <row r="86" spans="1:12" ht="29.5" thickTop="1" thickBot="1" x14ac:dyDescent="0.4">
      <c r="A86" s="127"/>
      <c r="B86" s="127"/>
      <c r="C86" s="130"/>
      <c r="D86" s="129"/>
      <c r="E86" s="127"/>
      <c r="F86" s="106" t="str">
        <f t="shared" si="2"/>
        <v/>
      </c>
      <c r="G86" s="107"/>
      <c r="H86" s="107"/>
      <c r="I86" s="133"/>
      <c r="J86" s="134"/>
      <c r="K86" s="136"/>
      <c r="L86" s="136"/>
    </row>
    <row r="87" spans="1:12" ht="29.5" thickTop="1" thickBot="1" x14ac:dyDescent="0.4">
      <c r="A87" s="123"/>
      <c r="B87" s="123"/>
      <c r="C87" s="131"/>
      <c r="D87" s="125"/>
      <c r="E87" s="123"/>
      <c r="F87" s="105" t="str">
        <f t="shared" si="2"/>
        <v/>
      </c>
      <c r="G87" s="107"/>
      <c r="H87" s="107"/>
      <c r="I87" s="132"/>
      <c r="J87" s="123"/>
      <c r="K87" s="131"/>
      <c r="L87" s="131"/>
    </row>
    <row r="88" spans="1:12" ht="29.5" thickTop="1" thickBot="1" x14ac:dyDescent="0.4">
      <c r="A88" s="127"/>
      <c r="B88" s="127"/>
      <c r="C88" s="130"/>
      <c r="D88" s="129"/>
      <c r="E88" s="127"/>
      <c r="F88" s="106" t="str">
        <f t="shared" si="2"/>
        <v/>
      </c>
      <c r="G88" s="107"/>
      <c r="H88" s="107"/>
      <c r="I88" s="133"/>
      <c r="J88" s="134"/>
      <c r="K88" s="136"/>
      <c r="L88" s="136"/>
    </row>
    <row r="89" spans="1:12" ht="29.5" thickTop="1" thickBot="1" x14ac:dyDescent="0.4">
      <c r="A89" s="123"/>
      <c r="B89" s="123"/>
      <c r="C89" s="131"/>
      <c r="D89" s="125"/>
      <c r="E89" s="123"/>
      <c r="F89" s="105" t="str">
        <f t="shared" si="2"/>
        <v/>
      </c>
      <c r="G89" s="107"/>
      <c r="H89" s="107"/>
      <c r="I89" s="132"/>
      <c r="J89" s="123"/>
      <c r="K89" s="131"/>
      <c r="L89" s="131"/>
    </row>
    <row r="90" spans="1:12" ht="29.5" thickTop="1" thickBot="1" x14ac:dyDescent="0.4">
      <c r="A90" s="127"/>
      <c r="B90" s="127"/>
      <c r="C90" s="130"/>
      <c r="D90" s="129"/>
      <c r="E90" s="127"/>
      <c r="F90" s="106" t="str">
        <f t="shared" si="2"/>
        <v/>
      </c>
      <c r="G90" s="107"/>
      <c r="H90" s="107"/>
      <c r="I90" s="133"/>
      <c r="J90" s="134"/>
      <c r="K90" s="136"/>
      <c r="L90" s="136"/>
    </row>
    <row r="91" spans="1:12" ht="29.5" thickTop="1" thickBot="1" x14ac:dyDescent="0.4">
      <c r="A91" s="123"/>
      <c r="B91" s="123"/>
      <c r="C91" s="131"/>
      <c r="D91" s="125"/>
      <c r="E91" s="123"/>
      <c r="F91" s="105" t="str">
        <f t="shared" si="2"/>
        <v/>
      </c>
      <c r="G91" s="107"/>
      <c r="H91" s="107"/>
      <c r="I91" s="132"/>
      <c r="J91" s="123"/>
      <c r="K91" s="131"/>
      <c r="L91" s="131"/>
    </row>
    <row r="92" spans="1:12" ht="29.5" thickTop="1" thickBot="1" x14ac:dyDescent="0.4">
      <c r="A92" s="127"/>
      <c r="B92" s="127"/>
      <c r="C92" s="130"/>
      <c r="D92" s="129"/>
      <c r="E92" s="127"/>
      <c r="F92" s="106" t="str">
        <f t="shared" si="2"/>
        <v/>
      </c>
      <c r="G92" s="107"/>
      <c r="H92" s="107"/>
      <c r="I92" s="133"/>
      <c r="J92" s="134"/>
      <c r="K92" s="136"/>
      <c r="L92" s="136"/>
    </row>
    <row r="93" spans="1:12" ht="29.5" thickTop="1" thickBot="1" x14ac:dyDescent="0.4">
      <c r="A93" s="123"/>
      <c r="B93" s="123"/>
      <c r="C93" s="131"/>
      <c r="D93" s="125"/>
      <c r="E93" s="123"/>
      <c r="F93" s="105" t="str">
        <f t="shared" si="2"/>
        <v/>
      </c>
      <c r="G93" s="107"/>
      <c r="H93" s="107"/>
      <c r="I93" s="132"/>
      <c r="J93" s="123"/>
      <c r="K93" s="131"/>
      <c r="L93" s="131"/>
    </row>
    <row r="94" spans="1:12" ht="29.5" thickTop="1" thickBot="1" x14ac:dyDescent="0.4">
      <c r="A94" s="127"/>
      <c r="B94" s="127"/>
      <c r="C94" s="130"/>
      <c r="D94" s="129"/>
      <c r="E94" s="127"/>
      <c r="F94" s="106" t="str">
        <f t="shared" si="2"/>
        <v/>
      </c>
      <c r="G94" s="107"/>
      <c r="H94" s="107"/>
      <c r="I94" s="133"/>
      <c r="J94" s="134"/>
      <c r="K94" s="136"/>
      <c r="L94" s="136"/>
    </row>
    <row r="95" spans="1:12" ht="29.5" thickTop="1" thickBot="1" x14ac:dyDescent="0.4">
      <c r="A95" s="123"/>
      <c r="B95" s="123"/>
      <c r="C95" s="131"/>
      <c r="D95" s="125"/>
      <c r="E95" s="123"/>
      <c r="F95" s="105" t="str">
        <f t="shared" si="2"/>
        <v/>
      </c>
      <c r="G95" s="107"/>
      <c r="H95" s="107"/>
      <c r="I95" s="132"/>
      <c r="J95" s="123"/>
      <c r="K95" s="131"/>
      <c r="L95" s="131"/>
    </row>
    <row r="96" spans="1:12" ht="29.5" thickTop="1" thickBot="1" x14ac:dyDescent="0.4">
      <c r="A96" s="127"/>
      <c r="B96" s="127"/>
      <c r="C96" s="130"/>
      <c r="D96" s="129"/>
      <c r="E96" s="127"/>
      <c r="F96" s="106" t="str">
        <f t="shared" si="2"/>
        <v/>
      </c>
      <c r="G96" s="107"/>
      <c r="H96" s="107"/>
      <c r="I96" s="133"/>
      <c r="J96" s="134"/>
      <c r="K96" s="136"/>
      <c r="L96" s="136"/>
    </row>
    <row r="97" spans="1:12" ht="29.5" thickTop="1" thickBot="1" x14ac:dyDescent="0.4">
      <c r="A97" s="123"/>
      <c r="B97" s="123"/>
      <c r="C97" s="131"/>
      <c r="D97" s="125"/>
      <c r="E97" s="123"/>
      <c r="F97" s="105" t="str">
        <f t="shared" si="2"/>
        <v/>
      </c>
      <c r="G97" s="107"/>
      <c r="H97" s="107"/>
      <c r="I97" s="132"/>
      <c r="J97" s="123"/>
      <c r="K97" s="131"/>
      <c r="L97" s="131"/>
    </row>
    <row r="98" spans="1:12" ht="29.5" thickTop="1" thickBot="1" x14ac:dyDescent="0.4">
      <c r="A98" s="127"/>
      <c r="B98" s="127"/>
      <c r="C98" s="130"/>
      <c r="D98" s="129"/>
      <c r="E98" s="127"/>
      <c r="F98" s="106" t="str">
        <f t="shared" si="2"/>
        <v/>
      </c>
      <c r="G98" s="107"/>
      <c r="H98" s="107"/>
      <c r="I98" s="133"/>
      <c r="J98" s="134"/>
      <c r="K98" s="136"/>
      <c r="L98" s="136"/>
    </row>
    <row r="99" spans="1:12" ht="29.5" thickTop="1" thickBot="1" x14ac:dyDescent="0.4">
      <c r="A99" s="123"/>
      <c r="B99" s="123"/>
      <c r="C99" s="131"/>
      <c r="D99" s="125"/>
      <c r="E99" s="123"/>
      <c r="F99" s="105" t="str">
        <f>IF(B99&gt;0,B99*E99,"")</f>
        <v/>
      </c>
      <c r="G99" s="107"/>
      <c r="H99" s="107"/>
      <c r="I99" s="132"/>
      <c r="J99" s="123"/>
      <c r="K99" s="131"/>
      <c r="L99" s="131"/>
    </row>
    <row r="100" spans="1:12" ht="29.5" thickTop="1" thickBot="1" x14ac:dyDescent="0.4">
      <c r="A100" s="127"/>
      <c r="B100" s="127"/>
      <c r="C100" s="130"/>
      <c r="D100" s="129"/>
      <c r="E100" s="127"/>
      <c r="F100" s="106" t="str">
        <f>IF(B100&gt;0,B100*E100,"")</f>
        <v/>
      </c>
      <c r="G100" s="107"/>
      <c r="H100" s="107"/>
      <c r="I100" s="133"/>
      <c r="J100" s="134"/>
      <c r="K100" s="136"/>
      <c r="L100" s="136"/>
    </row>
    <row r="101" spans="1:12" ht="24.5" thickTop="1" thickBot="1" x14ac:dyDescent="0.4">
      <c r="F101" s="104"/>
      <c r="G101" s="102"/>
      <c r="H101" s="102"/>
    </row>
    <row r="102" spans="1:12" ht="15" thickTop="1" x14ac:dyDescent="0.35"/>
  </sheetData>
  <sheetProtection algorithmName="SHA-512" hashValue="1j58woT7SE6sNlxqbTg6d686/wfPdhr9QetT/gobciPrIQUeAiMEEYZGqBlqrVk2RqcEtSn6Yaj+N42pe9Iblg==" saltValue="nXB0nY7TOhv7j7jq7GB1Vg==" spinCount="100000" sheet="1" objects="1" scenarios="1"/>
  <mergeCells count="9">
    <mergeCell ref="A1:A2"/>
    <mergeCell ref="I1:I2"/>
    <mergeCell ref="J1:J2"/>
    <mergeCell ref="K1:K2"/>
    <mergeCell ref="L1:L2"/>
    <mergeCell ref="E1:E2"/>
    <mergeCell ref="D1:D2"/>
    <mergeCell ref="C1:C2"/>
    <mergeCell ref="B1:B2"/>
  </mergeCells>
  <pageMargins left="0.7" right="0.7" top="0.75" bottom="0.75" header="0.3" footer="0.3"/>
  <pageSetup paperSize="9" scale="24" orientation="portrait" r:id="rId1"/>
  <headerFooter>
    <oddHeader xml:space="preserve">&amp;C&amp;K008004&amp;10&amp;"Calibri"Public Internal - عام (داخلي) 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EF908-B5C6-43F0-87F1-54A94C7C0E5D}">
  <sheetPr codeName="Sheet5"/>
  <dimension ref="A1:AW1512"/>
  <sheetViews>
    <sheetView tabSelected="1" zoomScale="83" zoomScaleNormal="83" workbookViewId="0">
      <pane ySplit="3" topLeftCell="A4" activePane="bottomLeft" state="frozen"/>
      <selection pane="bottomLeft" activeCell="F12" sqref="F12"/>
    </sheetView>
  </sheetViews>
  <sheetFormatPr defaultColWidth="9" defaultRowHeight="14.5" x14ac:dyDescent="0.35"/>
  <cols>
    <col min="1" max="1" width="18.36328125" style="8" customWidth="1"/>
    <col min="2" max="2" width="18.6328125" style="8" bestFit="1" customWidth="1"/>
    <col min="3" max="3" width="14" style="8" customWidth="1"/>
    <col min="4" max="4" width="15.54296875" style="8" customWidth="1"/>
    <col min="5" max="5" width="14.36328125" style="8" customWidth="1"/>
    <col min="6" max="6" width="14.54296875" style="8" customWidth="1"/>
    <col min="7" max="7" width="14.08984375" style="8" customWidth="1"/>
    <col min="8" max="8" width="6.90625" style="8" customWidth="1"/>
    <col min="9" max="9" width="8.1796875" style="8" customWidth="1"/>
    <col min="10" max="10" width="6.90625" style="8" customWidth="1"/>
    <col min="11" max="11" width="18.81640625" style="8" customWidth="1"/>
    <col min="12" max="12" width="10.7265625" style="8" customWidth="1"/>
    <col min="13" max="14" width="13.453125" style="8" customWidth="1"/>
    <col min="15" max="15" width="13.26953125" style="8" customWidth="1"/>
    <col min="16" max="16" width="13.54296875" style="8" customWidth="1"/>
    <col min="17" max="17" width="17.54296875" style="8" customWidth="1"/>
    <col min="18" max="18" width="14.36328125" style="8" customWidth="1"/>
    <col min="19" max="19" width="72.08984375" style="8" customWidth="1"/>
    <col min="20" max="20" width="9" style="8" hidden="1" customWidth="1"/>
    <col min="21" max="21" width="13.1796875" style="8" hidden="1" customWidth="1"/>
    <col min="22" max="22" width="12.1796875" style="8" hidden="1" customWidth="1"/>
    <col min="23" max="23" width="16.81640625" style="8" hidden="1" customWidth="1"/>
    <col min="24" max="24" width="18.453125" style="8" hidden="1" customWidth="1"/>
    <col min="25" max="25" width="19.1796875" style="8" hidden="1" customWidth="1"/>
    <col min="26" max="29" width="9" style="8" hidden="1" customWidth="1"/>
    <col min="30" max="30" width="12.36328125" style="31" hidden="1" customWidth="1"/>
    <col min="31" max="31" width="10.453125" style="31" hidden="1" customWidth="1"/>
    <col min="32" max="32" width="10.08984375" style="31" hidden="1" customWidth="1"/>
    <col min="33" max="33" width="7.81640625" style="31" hidden="1" customWidth="1"/>
    <col min="34" max="35" width="11.90625" style="31" hidden="1" customWidth="1"/>
    <col min="36" max="36" width="10.08984375" style="31" hidden="1" customWidth="1"/>
    <col min="37" max="37" width="20.08984375" style="31" hidden="1" customWidth="1"/>
    <col min="38" max="38" width="13" style="31" hidden="1" customWidth="1"/>
    <col min="39" max="39" width="18" style="31" hidden="1" customWidth="1"/>
    <col min="40" max="40" width="7.1796875" style="31" hidden="1" customWidth="1"/>
    <col min="41" max="41" width="15.6328125" style="31" hidden="1" customWidth="1"/>
    <col min="42" max="42" width="8.36328125" style="31" hidden="1" customWidth="1"/>
    <col min="43" max="43" width="19.36328125" style="8" hidden="1" customWidth="1"/>
    <col min="44" max="44" width="14.08984375" style="8" hidden="1" customWidth="1"/>
    <col min="45" max="45" width="9.81640625" style="8" hidden="1" customWidth="1"/>
    <col min="46" max="46" width="7.90625" style="8" hidden="1" customWidth="1"/>
    <col min="47" max="49" width="9" style="8" hidden="1" customWidth="1"/>
    <col min="50" max="51" width="9" style="8" customWidth="1"/>
    <col min="52" max="16384" width="9" style="8"/>
  </cols>
  <sheetData>
    <row r="1" spans="1:48" ht="65.400000000000006" customHeight="1" thickTop="1" thickBot="1" x14ac:dyDescent="0.4">
      <c r="A1" s="139"/>
      <c r="B1" s="139"/>
      <c r="C1" s="177" t="s">
        <v>535</v>
      </c>
      <c r="D1" s="178"/>
      <c r="E1" s="178"/>
      <c r="F1" s="143"/>
      <c r="G1" s="143"/>
      <c r="H1" s="143"/>
      <c r="I1" s="237" t="s">
        <v>526</v>
      </c>
      <c r="J1" s="238"/>
      <c r="K1" s="250">
        <f>SECTIONS!W4</f>
        <v>0</v>
      </c>
      <c r="L1" s="251"/>
      <c r="M1" s="251"/>
      <c r="N1" s="173" t="s">
        <v>552</v>
      </c>
      <c r="O1" s="180">
        <f>SECTIONS!W3-SECTIONS!W2</f>
        <v>0</v>
      </c>
      <c r="P1" s="181"/>
      <c r="Q1" s="141"/>
      <c r="R1" s="207" t="s">
        <v>725</v>
      </c>
      <c r="S1" s="298">
        <v>2</v>
      </c>
      <c r="U1" s="31"/>
      <c r="V1" s="30" t="s">
        <v>242</v>
      </c>
      <c r="W1" s="30" t="s">
        <v>243</v>
      </c>
      <c r="X1" s="30"/>
      <c r="Y1" s="30"/>
      <c r="Z1" s="30"/>
      <c r="AA1" s="30"/>
      <c r="AB1" s="30"/>
      <c r="AC1" s="30"/>
      <c r="AD1" s="30" t="s">
        <v>8</v>
      </c>
      <c r="AE1" s="30" t="s">
        <v>14</v>
      </c>
      <c r="AF1" s="30" t="s">
        <v>155</v>
      </c>
      <c r="AG1" s="30"/>
      <c r="AH1" s="30"/>
      <c r="AI1" s="30"/>
      <c r="AJ1" s="30"/>
      <c r="AK1" s="30"/>
      <c r="AL1" s="30"/>
      <c r="AM1" s="30"/>
      <c r="AN1" s="30" t="s">
        <v>242</v>
      </c>
      <c r="AO1" s="30" t="s">
        <v>243</v>
      </c>
      <c r="AP1" s="30"/>
      <c r="AQ1" s="30" t="s">
        <v>6</v>
      </c>
      <c r="AR1" s="30" t="s">
        <v>17</v>
      </c>
      <c r="AS1" s="30" t="s">
        <v>149</v>
      </c>
      <c r="AT1" s="31" t="s">
        <v>227</v>
      </c>
      <c r="AU1" s="30"/>
      <c r="AV1" s="30"/>
    </row>
    <row r="2" spans="1:48" ht="34.5" customHeight="1" thickTop="1" thickBot="1" x14ac:dyDescent="0.4">
      <c r="A2" s="257" t="s">
        <v>490</v>
      </c>
      <c r="B2" s="259" t="s">
        <v>491</v>
      </c>
      <c r="C2" s="259" t="s">
        <v>492</v>
      </c>
      <c r="D2" s="239" t="s">
        <v>493</v>
      </c>
      <c r="E2" s="261" t="s">
        <v>63</v>
      </c>
      <c r="F2" s="239" t="s">
        <v>498</v>
      </c>
      <c r="G2" s="239" t="s">
        <v>497</v>
      </c>
      <c r="H2" s="253" t="s">
        <v>109</v>
      </c>
      <c r="I2" s="253" t="s">
        <v>110</v>
      </c>
      <c r="J2" s="253" t="s">
        <v>111</v>
      </c>
      <c r="K2" s="239" t="s">
        <v>671</v>
      </c>
      <c r="L2" s="243" t="s">
        <v>495</v>
      </c>
      <c r="M2" s="243" t="s">
        <v>496</v>
      </c>
      <c r="N2" s="246" t="s">
        <v>54</v>
      </c>
      <c r="O2" s="255" t="s">
        <v>695</v>
      </c>
      <c r="P2" s="255"/>
      <c r="Q2" s="248" t="s">
        <v>718</v>
      </c>
      <c r="R2" s="239" t="s">
        <v>719</v>
      </c>
      <c r="S2" s="241" t="s">
        <v>216</v>
      </c>
      <c r="U2" s="31"/>
      <c r="V2" s="30" t="s">
        <v>4</v>
      </c>
      <c r="W2" s="30" t="s">
        <v>18</v>
      </c>
      <c r="X2" s="30" t="s">
        <v>232</v>
      </c>
      <c r="Y2" s="30" t="s">
        <v>233</v>
      </c>
      <c r="Z2" s="30" t="s">
        <v>698</v>
      </c>
      <c r="AA2" s="30"/>
      <c r="AB2" s="30"/>
      <c r="AC2" s="61" t="s">
        <v>9</v>
      </c>
      <c r="AD2" s="61" t="s">
        <v>708</v>
      </c>
      <c r="AE2" s="31" t="s">
        <v>10</v>
      </c>
      <c r="AF2" s="31" t="s">
        <v>283</v>
      </c>
      <c r="AG2" s="31" t="s">
        <v>13</v>
      </c>
      <c r="AH2" s="31" t="s">
        <v>11</v>
      </c>
      <c r="AI2" s="31" t="s">
        <v>12</v>
      </c>
      <c r="AJ2" s="31" t="s">
        <v>50</v>
      </c>
      <c r="AK2" s="8" t="s">
        <v>284</v>
      </c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</row>
    <row r="3" spans="1:48" ht="41.5" customHeight="1" thickTop="1" thickBot="1" x14ac:dyDescent="0.4">
      <c r="A3" s="258"/>
      <c r="B3" s="260"/>
      <c r="C3" s="260"/>
      <c r="D3" s="252"/>
      <c r="E3" s="262"/>
      <c r="F3" s="240"/>
      <c r="G3" s="240"/>
      <c r="H3" s="256"/>
      <c r="I3" s="254"/>
      <c r="J3" s="254"/>
      <c r="K3" s="252"/>
      <c r="L3" s="244"/>
      <c r="M3" s="245"/>
      <c r="N3" s="247"/>
      <c r="O3" s="182" t="s">
        <v>214</v>
      </c>
      <c r="P3" s="182" t="s">
        <v>257</v>
      </c>
      <c r="Q3" s="249"/>
      <c r="R3" s="240"/>
      <c r="S3" s="242"/>
      <c r="U3" s="31"/>
      <c r="V3" s="30" t="s">
        <v>5</v>
      </c>
      <c r="W3" s="30" t="s">
        <v>6</v>
      </c>
      <c r="X3" s="30"/>
      <c r="Y3" s="30"/>
      <c r="Z3" s="30"/>
      <c r="AA3" s="30"/>
      <c r="AB3" s="30"/>
      <c r="AC3" s="61"/>
      <c r="AD3" s="61" t="s">
        <v>9</v>
      </c>
      <c r="AE3" s="31" t="s">
        <v>10</v>
      </c>
      <c r="AF3" s="31" t="s">
        <v>283</v>
      </c>
      <c r="AG3" s="31" t="s">
        <v>13</v>
      </c>
      <c r="AH3" s="31" t="s">
        <v>11</v>
      </c>
      <c r="AI3" s="31" t="s">
        <v>12</v>
      </c>
      <c r="AJ3" s="31" t="s">
        <v>50</v>
      </c>
      <c r="AK3" s="8" t="s">
        <v>284</v>
      </c>
      <c r="AL3" s="31" t="s">
        <v>51</v>
      </c>
      <c r="AP3" s="30"/>
      <c r="AQ3" s="30"/>
      <c r="AR3" s="30" t="s">
        <v>292</v>
      </c>
      <c r="AS3" s="30" t="s">
        <v>293</v>
      </c>
      <c r="AT3" s="30"/>
      <c r="AU3" s="30"/>
      <c r="AV3" s="30"/>
    </row>
    <row r="4" spans="1:48" ht="27.5" customHeight="1" thickTop="1" thickBot="1" x14ac:dyDescent="0.4">
      <c r="A4" s="184" t="s">
        <v>499</v>
      </c>
      <c r="B4" s="185" t="s">
        <v>499</v>
      </c>
      <c r="C4" s="185" t="s">
        <v>499</v>
      </c>
      <c r="D4" s="186" t="s">
        <v>499</v>
      </c>
      <c r="E4" s="185" t="s">
        <v>499</v>
      </c>
      <c r="F4" s="185" t="s">
        <v>499</v>
      </c>
      <c r="G4" s="187">
        <f>SUM(H4:J4)</f>
        <v>0</v>
      </c>
      <c r="H4" s="188"/>
      <c r="I4" s="188"/>
      <c r="J4" s="188"/>
      <c r="K4" s="189"/>
      <c r="L4" s="189"/>
      <c r="M4" s="189"/>
      <c r="N4" s="189"/>
      <c r="O4" s="190"/>
      <c r="P4" s="190"/>
      <c r="Q4" s="191"/>
      <c r="R4" s="191"/>
      <c r="S4" s="192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</row>
    <row r="5" spans="1:48" ht="25.25" customHeight="1" thickTop="1" thickBot="1" x14ac:dyDescent="0.4">
      <c r="A5" s="184" t="s">
        <v>499</v>
      </c>
      <c r="B5" s="185" t="s">
        <v>499</v>
      </c>
      <c r="C5" s="185" t="s">
        <v>499</v>
      </c>
      <c r="D5" s="186" t="s">
        <v>499</v>
      </c>
      <c r="E5" s="185" t="s">
        <v>499</v>
      </c>
      <c r="F5" s="185" t="s">
        <v>499</v>
      </c>
      <c r="G5" s="187">
        <f t="shared" ref="G5:G68" si="0">SUM(H5:J5)</f>
        <v>0</v>
      </c>
      <c r="H5" s="188"/>
      <c r="I5" s="188"/>
      <c r="J5" s="188"/>
      <c r="K5" s="189"/>
      <c r="L5" s="189"/>
      <c r="M5" s="189"/>
      <c r="N5" s="189"/>
      <c r="O5" s="193"/>
      <c r="P5" s="193"/>
      <c r="Q5" s="191"/>
      <c r="R5" s="191"/>
      <c r="S5" s="192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</row>
    <row r="6" spans="1:48" ht="25.25" customHeight="1" thickTop="1" thickBot="1" x14ac:dyDescent="0.4">
      <c r="A6" s="184" t="s">
        <v>499</v>
      </c>
      <c r="B6" s="185" t="s">
        <v>499</v>
      </c>
      <c r="C6" s="185" t="s">
        <v>499</v>
      </c>
      <c r="D6" s="186" t="s">
        <v>499</v>
      </c>
      <c r="E6" s="185" t="s">
        <v>499</v>
      </c>
      <c r="F6" s="185" t="s">
        <v>499</v>
      </c>
      <c r="G6" s="187">
        <f t="shared" si="0"/>
        <v>0</v>
      </c>
      <c r="H6" s="188"/>
      <c r="I6" s="188"/>
      <c r="J6" s="188"/>
      <c r="K6" s="189"/>
      <c r="L6" s="189"/>
      <c r="M6" s="189"/>
      <c r="N6" s="189"/>
      <c r="O6" s="193"/>
      <c r="P6" s="193"/>
      <c r="Q6" s="191"/>
      <c r="R6" s="191"/>
      <c r="S6" s="192"/>
      <c r="AQ6" s="31"/>
    </row>
    <row r="7" spans="1:48" ht="25.25" customHeight="1" thickTop="1" thickBot="1" x14ac:dyDescent="0.4">
      <c r="A7" s="184" t="s">
        <v>499</v>
      </c>
      <c r="B7" s="185" t="s">
        <v>499</v>
      </c>
      <c r="C7" s="185" t="s">
        <v>499</v>
      </c>
      <c r="D7" s="186" t="s">
        <v>499</v>
      </c>
      <c r="E7" s="185" t="s">
        <v>499</v>
      </c>
      <c r="F7" s="185" t="s">
        <v>499</v>
      </c>
      <c r="G7" s="187">
        <f t="shared" si="0"/>
        <v>0</v>
      </c>
      <c r="H7" s="188"/>
      <c r="I7" s="188"/>
      <c r="J7" s="188"/>
      <c r="K7" s="189"/>
      <c r="L7" s="189"/>
      <c r="M7" s="189"/>
      <c r="N7" s="189"/>
      <c r="O7" s="193"/>
      <c r="P7" s="193"/>
      <c r="Q7" s="191"/>
      <c r="R7" s="191"/>
      <c r="S7" s="192"/>
      <c r="AQ7" s="31"/>
    </row>
    <row r="8" spans="1:48" ht="25.25" customHeight="1" thickTop="1" thickBot="1" x14ac:dyDescent="0.4">
      <c r="A8" s="184" t="s">
        <v>499</v>
      </c>
      <c r="B8" s="185" t="s">
        <v>499</v>
      </c>
      <c r="C8" s="185" t="s">
        <v>499</v>
      </c>
      <c r="D8" s="186" t="s">
        <v>499</v>
      </c>
      <c r="E8" s="185" t="s">
        <v>499</v>
      </c>
      <c r="F8" s="185" t="s">
        <v>499</v>
      </c>
      <c r="G8" s="187">
        <f t="shared" si="0"/>
        <v>0</v>
      </c>
      <c r="H8" s="188"/>
      <c r="I8" s="188"/>
      <c r="J8" s="188"/>
      <c r="K8" s="189"/>
      <c r="L8" s="189"/>
      <c r="M8" s="189"/>
      <c r="N8" s="189"/>
      <c r="O8" s="193"/>
      <c r="P8" s="193"/>
      <c r="Q8" s="191"/>
      <c r="R8" s="191"/>
      <c r="S8" s="192"/>
      <c r="AQ8" s="31"/>
    </row>
    <row r="9" spans="1:48" ht="25.25" customHeight="1" thickTop="1" thickBot="1" x14ac:dyDescent="0.4">
      <c r="A9" s="184" t="s">
        <v>499</v>
      </c>
      <c r="B9" s="185" t="s">
        <v>499</v>
      </c>
      <c r="C9" s="185" t="s">
        <v>499</v>
      </c>
      <c r="D9" s="186" t="s">
        <v>499</v>
      </c>
      <c r="E9" s="185" t="s">
        <v>499</v>
      </c>
      <c r="F9" s="185" t="s">
        <v>499</v>
      </c>
      <c r="G9" s="187">
        <f t="shared" si="0"/>
        <v>0</v>
      </c>
      <c r="H9" s="188"/>
      <c r="I9" s="188"/>
      <c r="J9" s="188"/>
      <c r="K9" s="189"/>
      <c r="L9" s="189"/>
      <c r="M9" s="189"/>
      <c r="N9" s="189"/>
      <c r="O9" s="193"/>
      <c r="P9" s="193"/>
      <c r="Q9" s="191"/>
      <c r="R9" s="191"/>
      <c r="S9" s="192"/>
      <c r="AQ9" s="31"/>
      <c r="AR9" s="31"/>
    </row>
    <row r="10" spans="1:48" ht="25.25" customHeight="1" thickTop="1" thickBot="1" x14ac:dyDescent="0.4">
      <c r="A10" s="184" t="s">
        <v>499</v>
      </c>
      <c r="B10" s="185" t="s">
        <v>499</v>
      </c>
      <c r="C10" s="185" t="s">
        <v>499</v>
      </c>
      <c r="D10" s="186" t="s">
        <v>499</v>
      </c>
      <c r="E10" s="185" t="s">
        <v>499</v>
      </c>
      <c r="F10" s="185" t="s">
        <v>499</v>
      </c>
      <c r="G10" s="187">
        <f t="shared" si="0"/>
        <v>0</v>
      </c>
      <c r="H10" s="188"/>
      <c r="I10" s="188"/>
      <c r="J10" s="188"/>
      <c r="K10" s="189"/>
      <c r="L10" s="189"/>
      <c r="M10" s="189"/>
      <c r="N10" s="189"/>
      <c r="O10" s="193"/>
      <c r="P10" s="193"/>
      <c r="Q10" s="191"/>
      <c r="R10" s="191"/>
      <c r="S10" s="192"/>
      <c r="AQ10" s="31"/>
      <c r="AR10" s="31"/>
    </row>
    <row r="11" spans="1:48" ht="25.25" customHeight="1" thickTop="1" thickBot="1" x14ac:dyDescent="0.4">
      <c r="A11" s="184" t="s">
        <v>499</v>
      </c>
      <c r="B11" s="185" t="s">
        <v>499</v>
      </c>
      <c r="C11" s="185" t="s">
        <v>499</v>
      </c>
      <c r="D11" s="186" t="s">
        <v>499</v>
      </c>
      <c r="E11" s="185" t="s">
        <v>499</v>
      </c>
      <c r="F11" s="185" t="s">
        <v>499</v>
      </c>
      <c r="G11" s="187">
        <f t="shared" si="0"/>
        <v>0</v>
      </c>
      <c r="H11" s="188"/>
      <c r="I11" s="188"/>
      <c r="J11" s="188"/>
      <c r="K11" s="189"/>
      <c r="L11" s="189"/>
      <c r="M11" s="189"/>
      <c r="N11" s="189"/>
      <c r="O11" s="193"/>
      <c r="P11" s="193"/>
      <c r="Q11" s="191"/>
      <c r="R11" s="191"/>
      <c r="S11" s="192"/>
      <c r="AR11" s="31"/>
    </row>
    <row r="12" spans="1:48" ht="25.25" customHeight="1" thickTop="1" thickBot="1" x14ac:dyDescent="0.4">
      <c r="A12" s="184" t="s">
        <v>499</v>
      </c>
      <c r="B12" s="185" t="s">
        <v>499</v>
      </c>
      <c r="C12" s="185" t="s">
        <v>499</v>
      </c>
      <c r="D12" s="186" t="s">
        <v>499</v>
      </c>
      <c r="E12" s="185" t="s">
        <v>499</v>
      </c>
      <c r="F12" s="185" t="s">
        <v>499</v>
      </c>
      <c r="G12" s="187">
        <f t="shared" si="0"/>
        <v>0</v>
      </c>
      <c r="H12" s="188"/>
      <c r="I12" s="188"/>
      <c r="J12" s="188"/>
      <c r="K12" s="189"/>
      <c r="L12" s="189"/>
      <c r="M12" s="189"/>
      <c r="N12" s="189"/>
      <c r="O12" s="193"/>
      <c r="P12" s="193"/>
      <c r="Q12" s="191"/>
      <c r="R12" s="191"/>
      <c r="S12" s="192"/>
      <c r="AR12" s="31"/>
    </row>
    <row r="13" spans="1:48" ht="25.25" customHeight="1" thickTop="1" thickBot="1" x14ac:dyDescent="0.4">
      <c r="A13" s="184" t="s">
        <v>499</v>
      </c>
      <c r="B13" s="185" t="s">
        <v>499</v>
      </c>
      <c r="C13" s="185" t="s">
        <v>499</v>
      </c>
      <c r="D13" s="186" t="s">
        <v>499</v>
      </c>
      <c r="E13" s="185" t="s">
        <v>499</v>
      </c>
      <c r="F13" s="185" t="s">
        <v>499</v>
      </c>
      <c r="G13" s="187">
        <f t="shared" si="0"/>
        <v>0</v>
      </c>
      <c r="H13" s="188"/>
      <c r="I13" s="188"/>
      <c r="J13" s="188"/>
      <c r="K13" s="189"/>
      <c r="L13" s="189"/>
      <c r="M13" s="189"/>
      <c r="N13" s="189"/>
      <c r="O13" s="193"/>
      <c r="P13" s="193"/>
      <c r="Q13" s="191"/>
      <c r="R13" s="191"/>
      <c r="S13" s="192"/>
      <c r="AO13" s="208"/>
      <c r="AP13" s="208"/>
      <c r="AQ13" s="208"/>
      <c r="AR13" s="31"/>
    </row>
    <row r="14" spans="1:48" ht="25.25" customHeight="1" thickTop="1" thickBot="1" x14ac:dyDescent="0.5">
      <c r="A14" s="184" t="s">
        <v>499</v>
      </c>
      <c r="B14" s="185" t="s">
        <v>499</v>
      </c>
      <c r="C14" s="185" t="s">
        <v>499</v>
      </c>
      <c r="D14" s="186" t="s">
        <v>499</v>
      </c>
      <c r="E14" s="185" t="s">
        <v>499</v>
      </c>
      <c r="F14" s="185" t="s">
        <v>499</v>
      </c>
      <c r="G14" s="187">
        <f t="shared" si="0"/>
        <v>0</v>
      </c>
      <c r="H14" s="188"/>
      <c r="I14" s="188"/>
      <c r="J14" s="188"/>
      <c r="K14" s="189"/>
      <c r="L14" s="189"/>
      <c r="M14" s="189"/>
      <c r="N14" s="189"/>
      <c r="O14" s="193"/>
      <c r="P14" s="193"/>
      <c r="Q14" s="191"/>
      <c r="R14" s="191"/>
      <c r="S14" s="192"/>
      <c r="AP14" s="33"/>
      <c r="AQ14" s="31"/>
      <c r="AR14" s="31"/>
    </row>
    <row r="15" spans="1:48" ht="25.25" customHeight="1" thickTop="1" thickBot="1" x14ac:dyDescent="0.5">
      <c r="A15" s="184" t="s">
        <v>499</v>
      </c>
      <c r="B15" s="185" t="s">
        <v>499</v>
      </c>
      <c r="C15" s="185" t="s">
        <v>499</v>
      </c>
      <c r="D15" s="186" t="s">
        <v>499</v>
      </c>
      <c r="E15" s="185" t="s">
        <v>499</v>
      </c>
      <c r="F15" s="185" t="s">
        <v>499</v>
      </c>
      <c r="G15" s="187">
        <f t="shared" si="0"/>
        <v>0</v>
      </c>
      <c r="H15" s="188"/>
      <c r="I15" s="188"/>
      <c r="J15" s="188"/>
      <c r="K15" s="189"/>
      <c r="L15" s="189"/>
      <c r="M15" s="189"/>
      <c r="N15" s="194"/>
      <c r="O15" s="193"/>
      <c r="P15" s="193"/>
      <c r="Q15" s="191"/>
      <c r="R15" s="191"/>
      <c r="S15" s="192"/>
      <c r="AP15" s="108"/>
      <c r="AQ15" s="31"/>
      <c r="AR15" s="31"/>
    </row>
    <row r="16" spans="1:48" ht="25.25" customHeight="1" thickTop="1" thickBot="1" x14ac:dyDescent="0.5">
      <c r="A16" s="184" t="s">
        <v>499</v>
      </c>
      <c r="B16" s="185" t="s">
        <v>499</v>
      </c>
      <c r="C16" s="185" t="s">
        <v>499</v>
      </c>
      <c r="D16" s="186" t="s">
        <v>499</v>
      </c>
      <c r="E16" s="185" t="s">
        <v>499</v>
      </c>
      <c r="F16" s="185" t="s">
        <v>499</v>
      </c>
      <c r="G16" s="187">
        <f t="shared" si="0"/>
        <v>0</v>
      </c>
      <c r="H16" s="188"/>
      <c r="I16" s="188"/>
      <c r="J16" s="188"/>
      <c r="K16" s="189"/>
      <c r="L16" s="189"/>
      <c r="M16" s="189"/>
      <c r="N16" s="194"/>
      <c r="O16" s="193"/>
      <c r="P16" s="193"/>
      <c r="Q16" s="191"/>
      <c r="R16" s="191"/>
      <c r="S16" s="192"/>
      <c r="AP16" s="108"/>
      <c r="AQ16" s="31"/>
      <c r="AR16" s="31"/>
    </row>
    <row r="17" spans="1:44" ht="25.25" customHeight="1" thickTop="1" thickBot="1" x14ac:dyDescent="0.5">
      <c r="A17" s="184" t="s">
        <v>499</v>
      </c>
      <c r="B17" s="185" t="s">
        <v>499</v>
      </c>
      <c r="C17" s="185" t="s">
        <v>499</v>
      </c>
      <c r="D17" s="186" t="s">
        <v>499</v>
      </c>
      <c r="E17" s="185" t="s">
        <v>499</v>
      </c>
      <c r="F17" s="185" t="s">
        <v>499</v>
      </c>
      <c r="G17" s="187">
        <f t="shared" si="0"/>
        <v>0</v>
      </c>
      <c r="H17" s="188"/>
      <c r="I17" s="188"/>
      <c r="J17" s="188"/>
      <c r="K17" s="189"/>
      <c r="L17" s="189"/>
      <c r="M17" s="189"/>
      <c r="N17" s="194"/>
      <c r="O17" s="193"/>
      <c r="P17" s="193"/>
      <c r="Q17" s="191"/>
      <c r="R17" s="191"/>
      <c r="S17" s="192"/>
      <c r="AP17" s="108"/>
      <c r="AQ17" s="31"/>
      <c r="AR17" s="31"/>
    </row>
    <row r="18" spans="1:44" ht="25.25" customHeight="1" thickTop="1" thickBot="1" x14ac:dyDescent="0.5">
      <c r="A18" s="184" t="s">
        <v>499</v>
      </c>
      <c r="B18" s="185" t="s">
        <v>499</v>
      </c>
      <c r="C18" s="185" t="s">
        <v>499</v>
      </c>
      <c r="D18" s="186" t="s">
        <v>499</v>
      </c>
      <c r="E18" s="185" t="s">
        <v>499</v>
      </c>
      <c r="F18" s="185" t="s">
        <v>499</v>
      </c>
      <c r="G18" s="187">
        <f t="shared" si="0"/>
        <v>0</v>
      </c>
      <c r="H18" s="188"/>
      <c r="I18" s="188"/>
      <c r="J18" s="188"/>
      <c r="K18" s="189"/>
      <c r="L18" s="189"/>
      <c r="M18" s="189"/>
      <c r="N18" s="194"/>
      <c r="O18" s="193"/>
      <c r="P18" s="193"/>
      <c r="Q18" s="191"/>
      <c r="R18" s="191"/>
      <c r="S18" s="192"/>
      <c r="AP18" s="108"/>
      <c r="AQ18" s="31"/>
      <c r="AR18" s="31"/>
    </row>
    <row r="19" spans="1:44" ht="25.25" customHeight="1" thickTop="1" thickBot="1" x14ac:dyDescent="0.5">
      <c r="A19" s="184" t="s">
        <v>499</v>
      </c>
      <c r="B19" s="185" t="s">
        <v>499</v>
      </c>
      <c r="C19" s="185" t="s">
        <v>499</v>
      </c>
      <c r="D19" s="186" t="s">
        <v>499</v>
      </c>
      <c r="E19" s="185" t="s">
        <v>499</v>
      </c>
      <c r="F19" s="185" t="s">
        <v>499</v>
      </c>
      <c r="G19" s="187">
        <f t="shared" si="0"/>
        <v>0</v>
      </c>
      <c r="H19" s="188"/>
      <c r="I19" s="188"/>
      <c r="J19" s="188"/>
      <c r="K19" s="189"/>
      <c r="L19" s="189"/>
      <c r="M19" s="189"/>
      <c r="N19" s="189"/>
      <c r="O19" s="193"/>
      <c r="P19" s="193"/>
      <c r="Q19" s="191"/>
      <c r="R19" s="191"/>
      <c r="S19" s="192"/>
      <c r="AP19" s="108"/>
      <c r="AQ19" s="31"/>
      <c r="AR19" s="31"/>
    </row>
    <row r="20" spans="1:44" ht="25.25" customHeight="1" thickTop="1" thickBot="1" x14ac:dyDescent="0.5">
      <c r="A20" s="184" t="s">
        <v>499</v>
      </c>
      <c r="B20" s="185" t="s">
        <v>499</v>
      </c>
      <c r="C20" s="185" t="s">
        <v>499</v>
      </c>
      <c r="D20" s="186" t="s">
        <v>499</v>
      </c>
      <c r="E20" s="185" t="s">
        <v>499</v>
      </c>
      <c r="F20" s="185" t="s">
        <v>499</v>
      </c>
      <c r="G20" s="187">
        <f t="shared" si="0"/>
        <v>0</v>
      </c>
      <c r="H20" s="188"/>
      <c r="I20" s="188"/>
      <c r="J20" s="188"/>
      <c r="K20" s="189"/>
      <c r="L20" s="189"/>
      <c r="M20" s="189"/>
      <c r="N20" s="189"/>
      <c r="O20" s="193"/>
      <c r="P20" s="193"/>
      <c r="Q20" s="191"/>
      <c r="R20" s="191"/>
      <c r="S20" s="192"/>
      <c r="AP20" s="108"/>
      <c r="AQ20" s="31"/>
      <c r="AR20" s="31"/>
    </row>
    <row r="21" spans="1:44" ht="25.25" customHeight="1" thickTop="1" thickBot="1" x14ac:dyDescent="0.5">
      <c r="A21" s="184" t="s">
        <v>499</v>
      </c>
      <c r="B21" s="185" t="s">
        <v>499</v>
      </c>
      <c r="C21" s="185" t="s">
        <v>499</v>
      </c>
      <c r="D21" s="186" t="s">
        <v>499</v>
      </c>
      <c r="E21" s="185" t="s">
        <v>499</v>
      </c>
      <c r="F21" s="185" t="s">
        <v>499</v>
      </c>
      <c r="G21" s="187">
        <f t="shared" si="0"/>
        <v>0</v>
      </c>
      <c r="H21" s="188"/>
      <c r="I21" s="188"/>
      <c r="J21" s="188"/>
      <c r="K21" s="189"/>
      <c r="L21" s="189"/>
      <c r="M21" s="189"/>
      <c r="N21" s="189"/>
      <c r="O21" s="193"/>
      <c r="P21" s="193"/>
      <c r="Q21" s="191"/>
      <c r="R21" s="191"/>
      <c r="S21" s="192"/>
      <c r="AP21" s="108"/>
      <c r="AQ21" s="31"/>
      <c r="AR21" s="31"/>
    </row>
    <row r="22" spans="1:44" ht="25.25" customHeight="1" thickTop="1" thickBot="1" x14ac:dyDescent="0.5">
      <c r="A22" s="184" t="s">
        <v>499</v>
      </c>
      <c r="B22" s="185" t="s">
        <v>499</v>
      </c>
      <c r="C22" s="185" t="s">
        <v>499</v>
      </c>
      <c r="D22" s="186" t="s">
        <v>499</v>
      </c>
      <c r="E22" s="185" t="s">
        <v>499</v>
      </c>
      <c r="F22" s="185" t="s">
        <v>499</v>
      </c>
      <c r="G22" s="187">
        <f t="shared" si="0"/>
        <v>0</v>
      </c>
      <c r="H22" s="188"/>
      <c r="I22" s="188"/>
      <c r="J22" s="188"/>
      <c r="K22" s="189"/>
      <c r="L22" s="189"/>
      <c r="M22" s="189"/>
      <c r="N22" s="189"/>
      <c r="O22" s="193"/>
      <c r="P22" s="193"/>
      <c r="Q22" s="191"/>
      <c r="R22" s="191"/>
      <c r="S22" s="192"/>
      <c r="AP22" s="108"/>
      <c r="AQ22" s="31"/>
      <c r="AR22" s="31"/>
    </row>
    <row r="23" spans="1:44" ht="25.25" customHeight="1" thickTop="1" thickBot="1" x14ac:dyDescent="0.5">
      <c r="A23" s="184" t="s">
        <v>499</v>
      </c>
      <c r="B23" s="185" t="s">
        <v>499</v>
      </c>
      <c r="C23" s="185" t="s">
        <v>499</v>
      </c>
      <c r="D23" s="186" t="s">
        <v>499</v>
      </c>
      <c r="E23" s="185" t="s">
        <v>499</v>
      </c>
      <c r="F23" s="185" t="s">
        <v>499</v>
      </c>
      <c r="G23" s="187">
        <f t="shared" si="0"/>
        <v>0</v>
      </c>
      <c r="H23" s="188"/>
      <c r="I23" s="188"/>
      <c r="J23" s="188"/>
      <c r="K23" s="189"/>
      <c r="L23" s="189"/>
      <c r="M23" s="189"/>
      <c r="N23" s="189"/>
      <c r="O23" s="193"/>
      <c r="P23" s="193"/>
      <c r="Q23" s="191"/>
      <c r="R23" s="191"/>
      <c r="S23" s="192"/>
      <c r="AP23" s="108"/>
      <c r="AQ23" s="31"/>
      <c r="AR23" s="31"/>
    </row>
    <row r="24" spans="1:44" ht="25.25" customHeight="1" thickTop="1" thickBot="1" x14ac:dyDescent="0.5">
      <c r="A24" s="184" t="s">
        <v>499</v>
      </c>
      <c r="B24" s="185" t="s">
        <v>499</v>
      </c>
      <c r="C24" s="185" t="s">
        <v>499</v>
      </c>
      <c r="D24" s="186" t="s">
        <v>499</v>
      </c>
      <c r="E24" s="185" t="s">
        <v>499</v>
      </c>
      <c r="F24" s="185" t="s">
        <v>499</v>
      </c>
      <c r="G24" s="187">
        <f t="shared" si="0"/>
        <v>0</v>
      </c>
      <c r="H24" s="188"/>
      <c r="I24" s="188"/>
      <c r="J24" s="188"/>
      <c r="K24" s="189"/>
      <c r="L24" s="189"/>
      <c r="M24" s="189"/>
      <c r="N24" s="189"/>
      <c r="O24" s="193"/>
      <c r="P24" s="193"/>
      <c r="Q24" s="191"/>
      <c r="R24" s="191"/>
      <c r="S24" s="192"/>
      <c r="AF24" s="34"/>
      <c r="AG24" s="35"/>
      <c r="AH24" s="35"/>
      <c r="AI24" s="35"/>
      <c r="AJ24" s="36"/>
      <c r="AK24" s="33"/>
      <c r="AL24" s="33"/>
      <c r="AM24" s="37"/>
      <c r="AQ24" s="31"/>
      <c r="AR24" s="31"/>
    </row>
    <row r="25" spans="1:44" ht="25.25" customHeight="1" thickTop="1" thickBot="1" x14ac:dyDescent="0.55000000000000004">
      <c r="A25" s="184" t="s">
        <v>499</v>
      </c>
      <c r="B25" s="185" t="s">
        <v>499</v>
      </c>
      <c r="C25" s="185" t="s">
        <v>499</v>
      </c>
      <c r="D25" s="186" t="s">
        <v>499</v>
      </c>
      <c r="E25" s="185" t="s">
        <v>499</v>
      </c>
      <c r="F25" s="185" t="s">
        <v>499</v>
      </c>
      <c r="G25" s="187">
        <f t="shared" si="0"/>
        <v>0</v>
      </c>
      <c r="H25" s="188"/>
      <c r="I25" s="188"/>
      <c r="J25" s="188"/>
      <c r="K25" s="189"/>
      <c r="L25" s="189"/>
      <c r="M25" s="189"/>
      <c r="N25" s="189"/>
      <c r="O25" s="193"/>
      <c r="P25" s="193"/>
      <c r="Q25" s="191"/>
      <c r="R25" s="191"/>
      <c r="S25" s="192"/>
      <c r="AD25" s="38"/>
      <c r="AF25" s="35"/>
      <c r="AG25" s="39"/>
      <c r="AH25" s="39"/>
      <c r="AI25" s="39"/>
      <c r="AJ25" s="36"/>
      <c r="AK25" s="40"/>
      <c r="AL25" s="40"/>
      <c r="AM25" s="41"/>
      <c r="AQ25" s="31"/>
      <c r="AR25" s="31"/>
    </row>
    <row r="26" spans="1:44" ht="25.25" customHeight="1" thickTop="1" thickBot="1" x14ac:dyDescent="0.55000000000000004">
      <c r="A26" s="184" t="s">
        <v>499</v>
      </c>
      <c r="B26" s="185" t="s">
        <v>499</v>
      </c>
      <c r="C26" s="185" t="s">
        <v>499</v>
      </c>
      <c r="D26" s="186" t="s">
        <v>499</v>
      </c>
      <c r="E26" s="185" t="s">
        <v>499</v>
      </c>
      <c r="F26" s="185" t="s">
        <v>499</v>
      </c>
      <c r="G26" s="187">
        <f t="shared" si="0"/>
        <v>0</v>
      </c>
      <c r="H26" s="188"/>
      <c r="I26" s="188"/>
      <c r="J26" s="188"/>
      <c r="K26" s="189"/>
      <c r="L26" s="189"/>
      <c r="M26" s="189"/>
      <c r="N26" s="189"/>
      <c r="O26" s="193"/>
      <c r="P26" s="193"/>
      <c r="Q26" s="191"/>
      <c r="R26" s="191"/>
      <c r="S26" s="192"/>
      <c r="AD26" s="38"/>
      <c r="AF26" s="35"/>
      <c r="AG26" s="39"/>
      <c r="AH26" s="39"/>
      <c r="AI26" s="39"/>
      <c r="AJ26" s="36"/>
      <c r="AK26" s="40"/>
      <c r="AL26" s="40"/>
      <c r="AM26" s="41"/>
      <c r="AQ26" s="31"/>
      <c r="AR26" s="31"/>
    </row>
    <row r="27" spans="1:44" ht="25.25" customHeight="1" thickTop="1" thickBot="1" x14ac:dyDescent="0.55000000000000004">
      <c r="A27" s="184" t="s">
        <v>499</v>
      </c>
      <c r="B27" s="185" t="s">
        <v>499</v>
      </c>
      <c r="C27" s="185" t="s">
        <v>499</v>
      </c>
      <c r="D27" s="186" t="s">
        <v>499</v>
      </c>
      <c r="E27" s="185" t="s">
        <v>499</v>
      </c>
      <c r="F27" s="185" t="s">
        <v>499</v>
      </c>
      <c r="G27" s="187">
        <f t="shared" si="0"/>
        <v>0</v>
      </c>
      <c r="H27" s="188"/>
      <c r="I27" s="188"/>
      <c r="J27" s="188"/>
      <c r="K27" s="189"/>
      <c r="L27" s="189"/>
      <c r="M27" s="189"/>
      <c r="N27" s="189"/>
      <c r="O27" s="193"/>
      <c r="P27" s="193"/>
      <c r="Q27" s="191"/>
      <c r="R27" s="191"/>
      <c r="S27" s="192"/>
      <c r="AD27" s="38"/>
      <c r="AF27" s="35"/>
      <c r="AG27" s="39"/>
      <c r="AH27" s="39"/>
      <c r="AI27" s="39"/>
      <c r="AJ27" s="36"/>
      <c r="AK27" s="40"/>
      <c r="AL27" s="40"/>
      <c r="AM27" s="41"/>
      <c r="AQ27" s="31"/>
      <c r="AR27" s="31"/>
    </row>
    <row r="28" spans="1:44" ht="25.25" customHeight="1" thickTop="1" thickBot="1" x14ac:dyDescent="0.55000000000000004">
      <c r="A28" s="184" t="s">
        <v>499</v>
      </c>
      <c r="B28" s="185" t="s">
        <v>499</v>
      </c>
      <c r="C28" s="185" t="s">
        <v>499</v>
      </c>
      <c r="D28" s="186" t="s">
        <v>499</v>
      </c>
      <c r="E28" s="185" t="s">
        <v>499</v>
      </c>
      <c r="F28" s="185" t="s">
        <v>499</v>
      </c>
      <c r="G28" s="187">
        <f t="shared" si="0"/>
        <v>0</v>
      </c>
      <c r="H28" s="188"/>
      <c r="I28" s="188"/>
      <c r="J28" s="188"/>
      <c r="K28" s="189"/>
      <c r="L28" s="189"/>
      <c r="M28" s="189"/>
      <c r="N28" s="189"/>
      <c r="O28" s="193"/>
      <c r="P28" s="193"/>
      <c r="Q28" s="191"/>
      <c r="R28" s="191"/>
      <c r="S28" s="192"/>
      <c r="AD28" s="38"/>
      <c r="AF28" s="35"/>
      <c r="AG28" s="42"/>
      <c r="AH28" s="39"/>
      <c r="AI28" s="39"/>
      <c r="AJ28" s="36"/>
      <c r="AK28" s="43"/>
      <c r="AL28" s="40"/>
      <c r="AM28" s="41"/>
      <c r="AQ28" s="31"/>
      <c r="AR28" s="31"/>
    </row>
    <row r="29" spans="1:44" ht="25.25" customHeight="1" thickTop="1" thickBot="1" x14ac:dyDescent="0.55000000000000004">
      <c r="A29" s="184" t="s">
        <v>499</v>
      </c>
      <c r="B29" s="185" t="s">
        <v>499</v>
      </c>
      <c r="C29" s="185" t="s">
        <v>499</v>
      </c>
      <c r="D29" s="186" t="s">
        <v>499</v>
      </c>
      <c r="E29" s="185" t="s">
        <v>499</v>
      </c>
      <c r="F29" s="185" t="s">
        <v>499</v>
      </c>
      <c r="G29" s="187">
        <f t="shared" si="0"/>
        <v>0</v>
      </c>
      <c r="H29" s="188"/>
      <c r="I29" s="188"/>
      <c r="J29" s="188"/>
      <c r="K29" s="189"/>
      <c r="L29" s="189"/>
      <c r="M29" s="189"/>
      <c r="N29" s="189"/>
      <c r="O29" s="193"/>
      <c r="P29" s="193"/>
      <c r="Q29" s="191"/>
      <c r="R29" s="191"/>
      <c r="S29" s="192"/>
      <c r="AD29" s="44"/>
      <c r="AF29" s="35"/>
      <c r="AG29" s="42"/>
      <c r="AH29" s="39"/>
      <c r="AI29" s="39"/>
      <c r="AJ29" s="36"/>
      <c r="AK29" s="43"/>
      <c r="AL29" s="40"/>
      <c r="AM29" s="45"/>
      <c r="AQ29" s="31"/>
      <c r="AR29" s="31"/>
    </row>
    <row r="30" spans="1:44" ht="25.25" customHeight="1" thickTop="1" thickBot="1" x14ac:dyDescent="0.55000000000000004">
      <c r="A30" s="184" t="s">
        <v>499</v>
      </c>
      <c r="B30" s="185" t="s">
        <v>499</v>
      </c>
      <c r="C30" s="185" t="s">
        <v>499</v>
      </c>
      <c r="D30" s="186" t="s">
        <v>499</v>
      </c>
      <c r="E30" s="185" t="s">
        <v>499</v>
      </c>
      <c r="F30" s="185" t="s">
        <v>499</v>
      </c>
      <c r="G30" s="187">
        <f t="shared" si="0"/>
        <v>0</v>
      </c>
      <c r="H30" s="188"/>
      <c r="I30" s="188"/>
      <c r="J30" s="188"/>
      <c r="K30" s="189"/>
      <c r="L30" s="189"/>
      <c r="M30" s="189"/>
      <c r="N30" s="189"/>
      <c r="O30" s="193"/>
      <c r="P30" s="193"/>
      <c r="Q30" s="191"/>
      <c r="R30" s="191"/>
      <c r="S30" s="192"/>
      <c r="AD30" s="44"/>
      <c r="AF30" s="35"/>
      <c r="AG30" s="42"/>
      <c r="AH30" s="39"/>
      <c r="AI30" s="39"/>
      <c r="AJ30" s="36"/>
      <c r="AK30" s="43"/>
      <c r="AL30" s="40"/>
      <c r="AM30" s="45"/>
      <c r="AQ30" s="31"/>
      <c r="AR30" s="31"/>
    </row>
    <row r="31" spans="1:44" ht="25.25" customHeight="1" thickTop="1" thickBot="1" x14ac:dyDescent="0.55000000000000004">
      <c r="A31" s="184" t="s">
        <v>499</v>
      </c>
      <c r="B31" s="185" t="s">
        <v>499</v>
      </c>
      <c r="C31" s="185" t="s">
        <v>499</v>
      </c>
      <c r="D31" s="186" t="s">
        <v>499</v>
      </c>
      <c r="E31" s="185" t="s">
        <v>499</v>
      </c>
      <c r="F31" s="185" t="s">
        <v>499</v>
      </c>
      <c r="G31" s="187">
        <f t="shared" si="0"/>
        <v>0</v>
      </c>
      <c r="H31" s="188"/>
      <c r="I31" s="188"/>
      <c r="J31" s="188"/>
      <c r="K31" s="189"/>
      <c r="L31" s="189"/>
      <c r="M31" s="189"/>
      <c r="N31" s="189"/>
      <c r="O31" s="193"/>
      <c r="P31" s="193"/>
      <c r="Q31" s="191"/>
      <c r="R31" s="191"/>
      <c r="S31" s="192"/>
      <c r="AD31" s="38"/>
      <c r="AF31" s="46"/>
      <c r="AG31" s="47"/>
      <c r="AH31" s="39"/>
      <c r="AI31" s="39"/>
      <c r="AJ31" s="36"/>
      <c r="AK31" s="40"/>
      <c r="AL31" s="40"/>
      <c r="AM31" s="41"/>
      <c r="AQ31" s="31"/>
      <c r="AR31" s="31"/>
    </row>
    <row r="32" spans="1:44" ht="25.25" customHeight="1" thickTop="1" thickBot="1" x14ac:dyDescent="0.55000000000000004">
      <c r="A32" s="184" t="s">
        <v>499</v>
      </c>
      <c r="B32" s="185" t="s">
        <v>499</v>
      </c>
      <c r="C32" s="185" t="s">
        <v>499</v>
      </c>
      <c r="D32" s="186" t="s">
        <v>499</v>
      </c>
      <c r="E32" s="185" t="s">
        <v>499</v>
      </c>
      <c r="F32" s="185" t="s">
        <v>499</v>
      </c>
      <c r="G32" s="187">
        <f t="shared" si="0"/>
        <v>0</v>
      </c>
      <c r="H32" s="188"/>
      <c r="I32" s="188"/>
      <c r="J32" s="188"/>
      <c r="K32" s="189"/>
      <c r="L32" s="189"/>
      <c r="M32" s="189"/>
      <c r="N32" s="189"/>
      <c r="O32" s="193"/>
      <c r="P32" s="193"/>
      <c r="Q32" s="191"/>
      <c r="R32" s="191"/>
      <c r="S32" s="192"/>
      <c r="AD32" s="38"/>
      <c r="AF32" s="35"/>
      <c r="AG32" s="39"/>
      <c r="AH32" s="39"/>
      <c r="AI32" s="39"/>
      <c r="AJ32" s="36"/>
      <c r="AK32" s="40"/>
      <c r="AL32" s="40"/>
      <c r="AM32" s="41"/>
      <c r="AQ32" s="31"/>
      <c r="AR32" s="31"/>
    </row>
    <row r="33" spans="1:44" ht="25.25" customHeight="1" thickTop="1" thickBot="1" x14ac:dyDescent="0.55000000000000004">
      <c r="A33" s="184" t="s">
        <v>499</v>
      </c>
      <c r="B33" s="185" t="s">
        <v>499</v>
      </c>
      <c r="C33" s="185" t="s">
        <v>499</v>
      </c>
      <c r="D33" s="186" t="s">
        <v>499</v>
      </c>
      <c r="E33" s="185" t="s">
        <v>499</v>
      </c>
      <c r="F33" s="185" t="s">
        <v>499</v>
      </c>
      <c r="G33" s="187">
        <f t="shared" si="0"/>
        <v>0</v>
      </c>
      <c r="H33" s="188"/>
      <c r="I33" s="188"/>
      <c r="J33" s="188"/>
      <c r="K33" s="189"/>
      <c r="L33" s="189"/>
      <c r="M33" s="189"/>
      <c r="N33" s="189"/>
      <c r="O33" s="193"/>
      <c r="P33" s="193"/>
      <c r="Q33" s="191"/>
      <c r="R33" s="191"/>
      <c r="S33" s="192"/>
      <c r="AD33" s="38"/>
      <c r="AF33" s="35"/>
      <c r="AG33" s="39"/>
      <c r="AH33" s="39"/>
      <c r="AI33" s="39"/>
      <c r="AJ33" s="36"/>
      <c r="AK33" s="40"/>
      <c r="AL33" s="40"/>
      <c r="AM33" s="41"/>
      <c r="AQ33" s="31"/>
      <c r="AR33" s="31"/>
    </row>
    <row r="34" spans="1:44" ht="25.25" customHeight="1" thickTop="1" thickBot="1" x14ac:dyDescent="0.55000000000000004">
      <c r="A34" s="184" t="s">
        <v>499</v>
      </c>
      <c r="B34" s="185" t="s">
        <v>499</v>
      </c>
      <c r="C34" s="185" t="s">
        <v>499</v>
      </c>
      <c r="D34" s="186" t="s">
        <v>499</v>
      </c>
      <c r="E34" s="185" t="s">
        <v>499</v>
      </c>
      <c r="F34" s="185" t="s">
        <v>499</v>
      </c>
      <c r="G34" s="187">
        <f t="shared" si="0"/>
        <v>0</v>
      </c>
      <c r="H34" s="188"/>
      <c r="I34" s="188"/>
      <c r="J34" s="188"/>
      <c r="K34" s="189"/>
      <c r="L34" s="189"/>
      <c r="M34" s="189"/>
      <c r="N34" s="189"/>
      <c r="O34" s="193"/>
      <c r="P34" s="193"/>
      <c r="Q34" s="191"/>
      <c r="R34" s="191"/>
      <c r="S34" s="192"/>
      <c r="AD34" s="38"/>
      <c r="AF34" s="35"/>
      <c r="AG34" s="39"/>
      <c r="AH34" s="39"/>
      <c r="AI34" s="39"/>
      <c r="AJ34" s="36"/>
      <c r="AK34" s="40"/>
      <c r="AL34" s="40"/>
      <c r="AM34" s="41"/>
      <c r="AQ34" s="31"/>
      <c r="AR34" s="31"/>
    </row>
    <row r="35" spans="1:44" ht="25.25" customHeight="1" thickTop="1" thickBot="1" x14ac:dyDescent="0.55000000000000004">
      <c r="A35" s="184" t="s">
        <v>499</v>
      </c>
      <c r="B35" s="185" t="s">
        <v>499</v>
      </c>
      <c r="C35" s="185" t="s">
        <v>499</v>
      </c>
      <c r="D35" s="186" t="s">
        <v>499</v>
      </c>
      <c r="E35" s="185" t="s">
        <v>499</v>
      </c>
      <c r="F35" s="185" t="s">
        <v>499</v>
      </c>
      <c r="G35" s="187">
        <f t="shared" si="0"/>
        <v>0</v>
      </c>
      <c r="H35" s="188"/>
      <c r="I35" s="188"/>
      <c r="J35" s="188"/>
      <c r="K35" s="189"/>
      <c r="L35" s="189"/>
      <c r="M35" s="189"/>
      <c r="N35" s="189"/>
      <c r="O35" s="193"/>
      <c r="P35" s="193"/>
      <c r="Q35" s="191"/>
      <c r="R35" s="191"/>
      <c r="S35" s="192"/>
      <c r="AD35" s="38"/>
      <c r="AF35" s="35"/>
      <c r="AG35" s="39"/>
      <c r="AH35" s="39"/>
      <c r="AI35" s="39"/>
      <c r="AJ35" s="36"/>
      <c r="AK35" s="40"/>
      <c r="AL35" s="40"/>
      <c r="AM35" s="41"/>
      <c r="AQ35" s="31"/>
      <c r="AR35" s="31"/>
    </row>
    <row r="36" spans="1:44" ht="25.25" customHeight="1" thickTop="1" thickBot="1" x14ac:dyDescent="0.55000000000000004">
      <c r="A36" s="184" t="s">
        <v>499</v>
      </c>
      <c r="B36" s="185" t="s">
        <v>499</v>
      </c>
      <c r="C36" s="185" t="s">
        <v>499</v>
      </c>
      <c r="D36" s="186" t="s">
        <v>499</v>
      </c>
      <c r="E36" s="185" t="s">
        <v>499</v>
      </c>
      <c r="F36" s="185" t="s">
        <v>499</v>
      </c>
      <c r="G36" s="187">
        <f t="shared" si="0"/>
        <v>0</v>
      </c>
      <c r="H36" s="188"/>
      <c r="I36" s="188"/>
      <c r="J36" s="188"/>
      <c r="K36" s="189"/>
      <c r="L36" s="189"/>
      <c r="M36" s="189"/>
      <c r="N36" s="189"/>
      <c r="O36" s="193"/>
      <c r="P36" s="193"/>
      <c r="Q36" s="191"/>
      <c r="R36" s="191"/>
      <c r="S36" s="192"/>
      <c r="AD36" s="38"/>
      <c r="AF36" s="35"/>
      <c r="AG36" s="42"/>
      <c r="AH36" s="39"/>
      <c r="AI36" s="39"/>
      <c r="AJ36" s="36"/>
      <c r="AK36" s="43"/>
      <c r="AL36" s="40"/>
      <c r="AM36" s="41"/>
      <c r="AQ36" s="31"/>
      <c r="AR36" s="31"/>
    </row>
    <row r="37" spans="1:44" ht="25.25" customHeight="1" thickTop="1" thickBot="1" x14ac:dyDescent="0.55000000000000004">
      <c r="A37" s="184" t="s">
        <v>499</v>
      </c>
      <c r="B37" s="185" t="s">
        <v>499</v>
      </c>
      <c r="C37" s="185" t="s">
        <v>499</v>
      </c>
      <c r="D37" s="186" t="s">
        <v>499</v>
      </c>
      <c r="E37" s="185" t="s">
        <v>499</v>
      </c>
      <c r="F37" s="185" t="s">
        <v>499</v>
      </c>
      <c r="G37" s="187">
        <f t="shared" si="0"/>
        <v>0</v>
      </c>
      <c r="H37" s="188"/>
      <c r="I37" s="188"/>
      <c r="J37" s="188"/>
      <c r="K37" s="189"/>
      <c r="L37" s="189"/>
      <c r="M37" s="189"/>
      <c r="N37" s="189"/>
      <c r="O37" s="193"/>
      <c r="P37" s="193"/>
      <c r="Q37" s="191"/>
      <c r="R37" s="191"/>
      <c r="S37" s="192"/>
      <c r="AD37" s="44"/>
      <c r="AF37" s="35"/>
      <c r="AG37" s="42"/>
      <c r="AH37" s="39"/>
      <c r="AI37" s="39"/>
      <c r="AJ37" s="36"/>
      <c r="AK37" s="43"/>
      <c r="AL37" s="40"/>
      <c r="AM37" s="41"/>
      <c r="AQ37" s="31"/>
      <c r="AR37" s="31"/>
    </row>
    <row r="38" spans="1:44" ht="25.25" customHeight="1" thickTop="1" thickBot="1" x14ac:dyDescent="0.55000000000000004">
      <c r="A38" s="184" t="s">
        <v>499</v>
      </c>
      <c r="B38" s="185" t="s">
        <v>499</v>
      </c>
      <c r="C38" s="185" t="s">
        <v>499</v>
      </c>
      <c r="D38" s="186" t="s">
        <v>499</v>
      </c>
      <c r="E38" s="185" t="s">
        <v>499</v>
      </c>
      <c r="F38" s="185" t="s">
        <v>499</v>
      </c>
      <c r="G38" s="187">
        <f t="shared" si="0"/>
        <v>0</v>
      </c>
      <c r="H38" s="188"/>
      <c r="I38" s="188"/>
      <c r="J38" s="188"/>
      <c r="K38" s="189"/>
      <c r="L38" s="189"/>
      <c r="M38" s="189"/>
      <c r="N38" s="189"/>
      <c r="O38" s="193"/>
      <c r="P38" s="193"/>
      <c r="Q38" s="191"/>
      <c r="R38" s="191"/>
      <c r="S38" s="192"/>
      <c r="AD38" s="44"/>
      <c r="AF38" s="35"/>
      <c r="AG38" s="42"/>
      <c r="AH38" s="39"/>
      <c r="AI38" s="39"/>
      <c r="AJ38" s="36"/>
      <c r="AK38" s="43"/>
      <c r="AL38" s="40"/>
      <c r="AM38" s="41"/>
      <c r="AQ38" s="31"/>
      <c r="AR38" s="31"/>
    </row>
    <row r="39" spans="1:44" ht="25.25" customHeight="1" thickTop="1" thickBot="1" x14ac:dyDescent="0.55000000000000004">
      <c r="A39" s="184" t="s">
        <v>499</v>
      </c>
      <c r="B39" s="185" t="s">
        <v>499</v>
      </c>
      <c r="C39" s="185" t="s">
        <v>499</v>
      </c>
      <c r="D39" s="186" t="s">
        <v>499</v>
      </c>
      <c r="E39" s="185" t="s">
        <v>499</v>
      </c>
      <c r="F39" s="185" t="s">
        <v>499</v>
      </c>
      <c r="G39" s="187">
        <f t="shared" si="0"/>
        <v>0</v>
      </c>
      <c r="H39" s="188"/>
      <c r="I39" s="188"/>
      <c r="J39" s="188"/>
      <c r="K39" s="189"/>
      <c r="L39" s="189"/>
      <c r="M39" s="189"/>
      <c r="N39" s="189"/>
      <c r="O39" s="193"/>
      <c r="P39" s="193"/>
      <c r="Q39" s="191"/>
      <c r="R39" s="191"/>
      <c r="S39" s="192"/>
      <c r="AD39" s="38"/>
      <c r="AF39" s="46"/>
      <c r="AG39" s="42"/>
      <c r="AH39" s="39"/>
      <c r="AI39" s="39"/>
      <c r="AJ39" s="36"/>
      <c r="AK39" s="40"/>
      <c r="AL39" s="40"/>
      <c r="AM39" s="41"/>
      <c r="AQ39" s="31"/>
      <c r="AR39" s="31"/>
    </row>
    <row r="40" spans="1:44" ht="25.25" customHeight="1" thickTop="1" thickBot="1" x14ac:dyDescent="0.55000000000000004">
      <c r="A40" s="184" t="s">
        <v>499</v>
      </c>
      <c r="B40" s="185" t="s">
        <v>499</v>
      </c>
      <c r="C40" s="185" t="s">
        <v>499</v>
      </c>
      <c r="D40" s="186" t="s">
        <v>499</v>
      </c>
      <c r="E40" s="185" t="s">
        <v>499</v>
      </c>
      <c r="F40" s="185" t="s">
        <v>499</v>
      </c>
      <c r="G40" s="187">
        <f t="shared" si="0"/>
        <v>0</v>
      </c>
      <c r="H40" s="188"/>
      <c r="I40" s="188"/>
      <c r="J40" s="188"/>
      <c r="K40" s="189"/>
      <c r="L40" s="189"/>
      <c r="M40" s="189"/>
      <c r="N40" s="189"/>
      <c r="O40" s="193"/>
      <c r="P40" s="193"/>
      <c r="Q40" s="191"/>
      <c r="R40" s="191"/>
      <c r="S40" s="192"/>
      <c r="AD40" s="38"/>
      <c r="AF40" s="35"/>
      <c r="AG40" s="39"/>
      <c r="AH40" s="39"/>
      <c r="AI40" s="39"/>
      <c r="AJ40" s="36"/>
      <c r="AK40" s="40"/>
      <c r="AL40" s="40"/>
      <c r="AM40" s="41"/>
      <c r="AQ40" s="31"/>
      <c r="AR40" s="39"/>
    </row>
    <row r="41" spans="1:44" ht="25.25" customHeight="1" thickTop="1" thickBot="1" x14ac:dyDescent="0.55000000000000004">
      <c r="A41" s="184" t="s">
        <v>499</v>
      </c>
      <c r="B41" s="185" t="s">
        <v>499</v>
      </c>
      <c r="C41" s="185" t="s">
        <v>499</v>
      </c>
      <c r="D41" s="186" t="s">
        <v>499</v>
      </c>
      <c r="E41" s="185" t="s">
        <v>499</v>
      </c>
      <c r="F41" s="185" t="s">
        <v>499</v>
      </c>
      <c r="G41" s="187">
        <f t="shared" si="0"/>
        <v>0</v>
      </c>
      <c r="H41" s="188"/>
      <c r="I41" s="188"/>
      <c r="J41" s="188"/>
      <c r="K41" s="189"/>
      <c r="L41" s="189"/>
      <c r="M41" s="189"/>
      <c r="N41" s="189"/>
      <c r="O41" s="193"/>
      <c r="P41" s="193"/>
      <c r="Q41" s="191"/>
      <c r="R41" s="191"/>
      <c r="S41" s="192"/>
      <c r="AD41" s="38"/>
      <c r="AF41" s="35"/>
      <c r="AG41" s="39"/>
      <c r="AH41" s="39"/>
      <c r="AI41" s="39"/>
      <c r="AJ41" s="36"/>
      <c r="AK41" s="40"/>
      <c r="AL41" s="40"/>
      <c r="AM41" s="41"/>
      <c r="AQ41" s="31"/>
      <c r="AR41" s="39"/>
    </row>
    <row r="42" spans="1:44" ht="22" thickTop="1" thickBot="1" x14ac:dyDescent="0.55000000000000004">
      <c r="A42" s="184" t="s">
        <v>499</v>
      </c>
      <c r="B42" s="185" t="s">
        <v>499</v>
      </c>
      <c r="C42" s="185" t="s">
        <v>499</v>
      </c>
      <c r="D42" s="186" t="s">
        <v>499</v>
      </c>
      <c r="E42" s="185" t="s">
        <v>499</v>
      </c>
      <c r="F42" s="185" t="s">
        <v>499</v>
      </c>
      <c r="G42" s="187">
        <f t="shared" si="0"/>
        <v>0</v>
      </c>
      <c r="H42" s="188"/>
      <c r="I42" s="188"/>
      <c r="J42" s="188"/>
      <c r="K42" s="189"/>
      <c r="L42" s="189"/>
      <c r="M42" s="189"/>
      <c r="N42" s="189"/>
      <c r="O42" s="193"/>
      <c r="P42" s="193"/>
      <c r="Q42" s="191"/>
      <c r="R42" s="191"/>
      <c r="S42" s="192"/>
      <c r="AD42" s="38"/>
      <c r="AF42" s="35"/>
      <c r="AG42" s="39"/>
      <c r="AH42" s="39"/>
      <c r="AI42" s="39"/>
      <c r="AJ42" s="36"/>
      <c r="AK42" s="40"/>
      <c r="AL42" s="40"/>
      <c r="AM42" s="41"/>
      <c r="AQ42" s="31"/>
      <c r="AR42" s="39"/>
    </row>
    <row r="43" spans="1:44" ht="25.25" customHeight="1" thickTop="1" thickBot="1" x14ac:dyDescent="0.55000000000000004">
      <c r="A43" s="184" t="s">
        <v>499</v>
      </c>
      <c r="B43" s="185" t="s">
        <v>499</v>
      </c>
      <c r="C43" s="185" t="s">
        <v>499</v>
      </c>
      <c r="D43" s="186" t="s">
        <v>499</v>
      </c>
      <c r="E43" s="185" t="s">
        <v>499</v>
      </c>
      <c r="F43" s="185" t="s">
        <v>499</v>
      </c>
      <c r="G43" s="187">
        <f t="shared" si="0"/>
        <v>0</v>
      </c>
      <c r="H43" s="188"/>
      <c r="I43" s="188"/>
      <c r="J43" s="188"/>
      <c r="K43" s="189"/>
      <c r="L43" s="189"/>
      <c r="M43" s="189"/>
      <c r="N43" s="189"/>
      <c r="O43" s="193"/>
      <c r="P43" s="193"/>
      <c r="Q43" s="191"/>
      <c r="R43" s="191"/>
      <c r="S43" s="192"/>
      <c r="AD43" s="38"/>
      <c r="AF43" s="35"/>
      <c r="AG43" s="42"/>
      <c r="AH43" s="39"/>
      <c r="AI43" s="39"/>
      <c r="AJ43" s="36"/>
      <c r="AK43" s="43"/>
      <c r="AL43" s="40"/>
      <c r="AM43" s="41"/>
      <c r="AQ43" s="31"/>
      <c r="AR43" s="39"/>
    </row>
    <row r="44" spans="1:44" ht="25.25" customHeight="1" thickTop="1" thickBot="1" x14ac:dyDescent="0.55000000000000004">
      <c r="A44" s="184" t="s">
        <v>499</v>
      </c>
      <c r="B44" s="185" t="s">
        <v>499</v>
      </c>
      <c r="C44" s="185" t="s">
        <v>499</v>
      </c>
      <c r="D44" s="186" t="s">
        <v>499</v>
      </c>
      <c r="E44" s="185" t="s">
        <v>499</v>
      </c>
      <c r="F44" s="185" t="s">
        <v>499</v>
      </c>
      <c r="G44" s="187">
        <f t="shared" si="0"/>
        <v>0</v>
      </c>
      <c r="H44" s="188"/>
      <c r="I44" s="188"/>
      <c r="J44" s="188"/>
      <c r="K44" s="189"/>
      <c r="L44" s="189"/>
      <c r="M44" s="189"/>
      <c r="N44" s="189"/>
      <c r="O44" s="193"/>
      <c r="P44" s="193"/>
      <c r="Q44" s="191"/>
      <c r="R44" s="191"/>
      <c r="S44" s="192"/>
      <c r="AD44" s="44"/>
      <c r="AF44" s="35"/>
      <c r="AG44" s="42"/>
      <c r="AH44" s="39"/>
      <c r="AI44" s="39"/>
      <c r="AJ44" s="36"/>
      <c r="AK44" s="43"/>
      <c r="AL44" s="40"/>
      <c r="AM44" s="41"/>
      <c r="AQ44" s="31"/>
      <c r="AR44" s="39"/>
    </row>
    <row r="45" spans="1:44" ht="25.25" customHeight="1" thickTop="1" thickBot="1" x14ac:dyDescent="0.55000000000000004">
      <c r="A45" s="184" t="s">
        <v>499</v>
      </c>
      <c r="B45" s="185" t="s">
        <v>499</v>
      </c>
      <c r="C45" s="185" t="s">
        <v>499</v>
      </c>
      <c r="D45" s="186" t="s">
        <v>499</v>
      </c>
      <c r="E45" s="185" t="s">
        <v>499</v>
      </c>
      <c r="F45" s="185" t="s">
        <v>499</v>
      </c>
      <c r="G45" s="187">
        <f t="shared" si="0"/>
        <v>0</v>
      </c>
      <c r="H45" s="188"/>
      <c r="I45" s="188"/>
      <c r="J45" s="188"/>
      <c r="K45" s="189"/>
      <c r="L45" s="189"/>
      <c r="M45" s="189"/>
      <c r="N45" s="189"/>
      <c r="O45" s="193"/>
      <c r="P45" s="193"/>
      <c r="Q45" s="191"/>
      <c r="R45" s="191"/>
      <c r="S45" s="192"/>
      <c r="AD45" s="44"/>
      <c r="AF45" s="35"/>
      <c r="AG45" s="42"/>
      <c r="AH45" s="39"/>
      <c r="AI45" s="39"/>
      <c r="AJ45" s="36"/>
      <c r="AK45" s="40"/>
      <c r="AL45" s="40"/>
      <c r="AM45" s="41"/>
      <c r="AQ45" s="31"/>
      <c r="AR45" s="39"/>
    </row>
    <row r="46" spans="1:44" ht="25.25" customHeight="1" thickTop="1" thickBot="1" x14ac:dyDescent="0.55000000000000004">
      <c r="A46" s="184" t="s">
        <v>499</v>
      </c>
      <c r="B46" s="185" t="s">
        <v>499</v>
      </c>
      <c r="C46" s="185" t="s">
        <v>499</v>
      </c>
      <c r="D46" s="186" t="s">
        <v>499</v>
      </c>
      <c r="E46" s="185" t="s">
        <v>499</v>
      </c>
      <c r="F46" s="185" t="s">
        <v>499</v>
      </c>
      <c r="G46" s="187">
        <f t="shared" si="0"/>
        <v>0</v>
      </c>
      <c r="H46" s="188"/>
      <c r="I46" s="188"/>
      <c r="J46" s="188"/>
      <c r="K46" s="189"/>
      <c r="L46" s="189"/>
      <c r="M46" s="189"/>
      <c r="N46" s="189"/>
      <c r="O46" s="193"/>
      <c r="P46" s="193"/>
      <c r="Q46" s="191"/>
      <c r="R46" s="191"/>
      <c r="S46" s="192"/>
      <c r="AD46" s="38"/>
      <c r="AF46" s="35"/>
      <c r="AG46" s="42"/>
      <c r="AH46" s="39"/>
      <c r="AI46" s="39"/>
      <c r="AJ46" s="36"/>
      <c r="AK46" s="48"/>
      <c r="AL46" s="40"/>
      <c r="AM46" s="45"/>
      <c r="AQ46" s="31"/>
      <c r="AR46" s="39"/>
    </row>
    <row r="47" spans="1:44" ht="25.25" customHeight="1" thickTop="1" thickBot="1" x14ac:dyDescent="0.55000000000000004">
      <c r="A47" s="184" t="s">
        <v>499</v>
      </c>
      <c r="B47" s="185" t="s">
        <v>499</v>
      </c>
      <c r="C47" s="185" t="s">
        <v>499</v>
      </c>
      <c r="D47" s="186" t="s">
        <v>499</v>
      </c>
      <c r="E47" s="185" t="s">
        <v>499</v>
      </c>
      <c r="F47" s="185" t="s">
        <v>499</v>
      </c>
      <c r="G47" s="187">
        <f t="shared" si="0"/>
        <v>0</v>
      </c>
      <c r="H47" s="188"/>
      <c r="I47" s="188"/>
      <c r="J47" s="188"/>
      <c r="K47" s="189"/>
      <c r="L47" s="189"/>
      <c r="M47" s="189"/>
      <c r="N47" s="189"/>
      <c r="O47" s="193"/>
      <c r="P47" s="193"/>
      <c r="Q47" s="191"/>
      <c r="R47" s="191"/>
      <c r="S47" s="192"/>
      <c r="AD47" s="38"/>
      <c r="AF47" s="35"/>
      <c r="AG47" s="39"/>
      <c r="AH47" s="39"/>
      <c r="AI47" s="39"/>
      <c r="AJ47" s="36"/>
      <c r="AK47" s="48"/>
      <c r="AL47" s="40"/>
      <c r="AM47" s="41"/>
      <c r="AQ47" s="31"/>
      <c r="AR47" s="49"/>
    </row>
    <row r="48" spans="1:44" ht="25.25" customHeight="1" thickTop="1" thickBot="1" x14ac:dyDescent="0.5">
      <c r="A48" s="184" t="s">
        <v>499</v>
      </c>
      <c r="B48" s="185" t="s">
        <v>499</v>
      </c>
      <c r="C48" s="185" t="s">
        <v>499</v>
      </c>
      <c r="D48" s="186" t="s">
        <v>499</v>
      </c>
      <c r="E48" s="185" t="s">
        <v>499</v>
      </c>
      <c r="F48" s="185" t="s">
        <v>499</v>
      </c>
      <c r="G48" s="187">
        <f t="shared" si="0"/>
        <v>0</v>
      </c>
      <c r="H48" s="188"/>
      <c r="I48" s="188"/>
      <c r="J48" s="188"/>
      <c r="K48" s="189"/>
      <c r="L48" s="189"/>
      <c r="M48" s="189"/>
      <c r="N48" s="189"/>
      <c r="O48" s="193"/>
      <c r="P48" s="193"/>
      <c r="Q48" s="191"/>
      <c r="R48" s="191"/>
      <c r="S48" s="192"/>
      <c r="AD48" s="38"/>
      <c r="AF48" s="50"/>
      <c r="AG48" s="50"/>
      <c r="AH48" s="51"/>
      <c r="AI48" s="51"/>
      <c r="AJ48" s="50"/>
      <c r="AK48" s="50"/>
      <c r="AL48" s="50"/>
      <c r="AQ48" s="31"/>
      <c r="AR48" s="31"/>
    </row>
    <row r="49" spans="1:44" ht="25.25" customHeight="1" thickTop="1" thickBot="1" x14ac:dyDescent="0.55000000000000004">
      <c r="A49" s="184" t="s">
        <v>499</v>
      </c>
      <c r="B49" s="185" t="s">
        <v>499</v>
      </c>
      <c r="C49" s="185" t="s">
        <v>499</v>
      </c>
      <c r="D49" s="186" t="s">
        <v>499</v>
      </c>
      <c r="E49" s="185" t="s">
        <v>499</v>
      </c>
      <c r="F49" s="185" t="s">
        <v>499</v>
      </c>
      <c r="G49" s="187">
        <f t="shared" si="0"/>
        <v>0</v>
      </c>
      <c r="H49" s="188"/>
      <c r="I49" s="188"/>
      <c r="J49" s="188"/>
      <c r="K49" s="189"/>
      <c r="L49" s="189"/>
      <c r="M49" s="189"/>
      <c r="N49" s="189"/>
      <c r="O49" s="193"/>
      <c r="P49" s="193"/>
      <c r="Q49" s="191"/>
      <c r="R49" s="191"/>
      <c r="S49" s="192"/>
      <c r="AD49" s="38"/>
      <c r="AF49" s="35"/>
      <c r="AG49" s="39"/>
      <c r="AH49" s="39"/>
      <c r="AI49" s="39"/>
      <c r="AJ49" s="36"/>
      <c r="AK49" s="40"/>
      <c r="AL49" s="40"/>
      <c r="AO49" s="34"/>
      <c r="AP49" s="34"/>
      <c r="AQ49" s="31"/>
      <c r="AR49" s="31"/>
    </row>
    <row r="50" spans="1:44" ht="25.25" customHeight="1" thickTop="1" thickBot="1" x14ac:dyDescent="0.55000000000000004">
      <c r="A50" s="184" t="s">
        <v>499</v>
      </c>
      <c r="B50" s="185" t="s">
        <v>499</v>
      </c>
      <c r="C50" s="185" t="s">
        <v>499</v>
      </c>
      <c r="D50" s="186" t="s">
        <v>499</v>
      </c>
      <c r="E50" s="185" t="s">
        <v>499</v>
      </c>
      <c r="F50" s="185" t="s">
        <v>499</v>
      </c>
      <c r="G50" s="187">
        <f t="shared" si="0"/>
        <v>0</v>
      </c>
      <c r="H50" s="188"/>
      <c r="I50" s="188"/>
      <c r="J50" s="188"/>
      <c r="K50" s="189"/>
      <c r="L50" s="189"/>
      <c r="M50" s="189"/>
      <c r="N50" s="189"/>
      <c r="O50" s="193"/>
      <c r="P50" s="193"/>
      <c r="Q50" s="191"/>
      <c r="R50" s="191"/>
      <c r="S50" s="192"/>
      <c r="AD50" s="44"/>
      <c r="AF50" s="35"/>
      <c r="AG50" s="39"/>
      <c r="AH50" s="39"/>
      <c r="AI50" s="39"/>
      <c r="AJ50" s="36"/>
      <c r="AK50" s="40"/>
      <c r="AL50" s="40"/>
      <c r="AO50" s="34"/>
      <c r="AP50" s="34"/>
      <c r="AQ50" s="31"/>
      <c r="AR50" s="31"/>
    </row>
    <row r="51" spans="1:44" ht="25.25" customHeight="1" thickTop="1" thickBot="1" x14ac:dyDescent="0.55000000000000004">
      <c r="A51" s="184" t="s">
        <v>499</v>
      </c>
      <c r="B51" s="185" t="s">
        <v>499</v>
      </c>
      <c r="C51" s="185" t="s">
        <v>499</v>
      </c>
      <c r="D51" s="186" t="s">
        <v>499</v>
      </c>
      <c r="E51" s="185" t="s">
        <v>499</v>
      </c>
      <c r="F51" s="185" t="s">
        <v>499</v>
      </c>
      <c r="G51" s="187">
        <f t="shared" si="0"/>
        <v>0</v>
      </c>
      <c r="H51" s="188"/>
      <c r="I51" s="188"/>
      <c r="J51" s="188"/>
      <c r="K51" s="189"/>
      <c r="L51" s="189"/>
      <c r="M51" s="189"/>
      <c r="N51" s="189"/>
      <c r="O51" s="193"/>
      <c r="P51" s="193"/>
      <c r="Q51" s="191"/>
      <c r="R51" s="191"/>
      <c r="S51" s="192"/>
      <c r="AD51" s="38"/>
      <c r="AF51" s="35"/>
      <c r="AG51" s="39"/>
      <c r="AH51" s="39"/>
      <c r="AI51" s="39"/>
      <c r="AJ51" s="36"/>
      <c r="AO51" s="34"/>
      <c r="AP51" s="34"/>
      <c r="AQ51" s="31"/>
      <c r="AR51" s="31"/>
    </row>
    <row r="52" spans="1:44" ht="25.25" customHeight="1" thickTop="1" thickBot="1" x14ac:dyDescent="0.55000000000000004">
      <c r="A52" s="184" t="s">
        <v>499</v>
      </c>
      <c r="B52" s="185" t="s">
        <v>499</v>
      </c>
      <c r="C52" s="185" t="s">
        <v>499</v>
      </c>
      <c r="D52" s="186" t="s">
        <v>499</v>
      </c>
      <c r="E52" s="185" t="s">
        <v>499</v>
      </c>
      <c r="F52" s="185" t="s">
        <v>499</v>
      </c>
      <c r="G52" s="187">
        <f t="shared" si="0"/>
        <v>0</v>
      </c>
      <c r="H52" s="188"/>
      <c r="I52" s="188"/>
      <c r="J52" s="188"/>
      <c r="K52" s="189"/>
      <c r="L52" s="189"/>
      <c r="M52" s="189"/>
      <c r="N52" s="189"/>
      <c r="O52" s="193"/>
      <c r="P52" s="193"/>
      <c r="Q52" s="191"/>
      <c r="R52" s="191"/>
      <c r="S52" s="192"/>
      <c r="AD52" s="38"/>
      <c r="AF52" s="35"/>
      <c r="AG52" s="39"/>
      <c r="AH52" s="39"/>
      <c r="AI52" s="39"/>
      <c r="AJ52" s="36"/>
      <c r="AO52" s="34"/>
      <c r="AP52" s="34"/>
      <c r="AQ52" s="31"/>
      <c r="AR52" s="31"/>
    </row>
    <row r="53" spans="1:44" ht="25.25" customHeight="1" thickTop="1" thickBot="1" x14ac:dyDescent="0.55000000000000004">
      <c r="A53" s="184" t="s">
        <v>499</v>
      </c>
      <c r="B53" s="185" t="s">
        <v>499</v>
      </c>
      <c r="C53" s="185" t="s">
        <v>499</v>
      </c>
      <c r="D53" s="186" t="s">
        <v>499</v>
      </c>
      <c r="E53" s="185" t="s">
        <v>499</v>
      </c>
      <c r="F53" s="185" t="s">
        <v>499</v>
      </c>
      <c r="G53" s="187">
        <f t="shared" si="0"/>
        <v>0</v>
      </c>
      <c r="H53" s="188"/>
      <c r="I53" s="188"/>
      <c r="J53" s="188"/>
      <c r="K53" s="189"/>
      <c r="L53" s="189"/>
      <c r="M53" s="189"/>
      <c r="N53" s="189"/>
      <c r="O53" s="193"/>
      <c r="P53" s="193"/>
      <c r="Q53" s="191"/>
      <c r="R53" s="191"/>
      <c r="S53" s="192"/>
      <c r="AD53" s="38"/>
      <c r="AF53" s="35"/>
      <c r="AG53" s="39"/>
      <c r="AH53" s="39"/>
      <c r="AI53" s="39"/>
      <c r="AJ53" s="36"/>
      <c r="AO53" s="34"/>
      <c r="AP53" s="34"/>
      <c r="AQ53" s="31"/>
      <c r="AR53" s="31"/>
    </row>
    <row r="54" spans="1:44" ht="25.25" customHeight="1" thickTop="1" thickBot="1" x14ac:dyDescent="0.55000000000000004">
      <c r="A54" s="184" t="s">
        <v>499</v>
      </c>
      <c r="B54" s="185" t="s">
        <v>499</v>
      </c>
      <c r="C54" s="185" t="s">
        <v>499</v>
      </c>
      <c r="D54" s="186" t="s">
        <v>499</v>
      </c>
      <c r="E54" s="185" t="s">
        <v>499</v>
      </c>
      <c r="F54" s="185" t="s">
        <v>499</v>
      </c>
      <c r="G54" s="187">
        <f t="shared" si="0"/>
        <v>0</v>
      </c>
      <c r="H54" s="188"/>
      <c r="I54" s="188"/>
      <c r="J54" s="188"/>
      <c r="K54" s="189"/>
      <c r="L54" s="189"/>
      <c r="M54" s="189"/>
      <c r="N54" s="189"/>
      <c r="O54" s="193"/>
      <c r="P54" s="193"/>
      <c r="Q54" s="191"/>
      <c r="R54" s="191"/>
      <c r="S54" s="192"/>
      <c r="AD54" s="38"/>
      <c r="AF54" s="46"/>
      <c r="AG54" s="42"/>
      <c r="AH54" s="39"/>
      <c r="AI54" s="39"/>
      <c r="AJ54" s="36"/>
      <c r="AO54" s="34"/>
      <c r="AP54" s="34"/>
      <c r="AQ54" s="31"/>
      <c r="AR54" s="31"/>
    </row>
    <row r="55" spans="1:44" ht="25.25" customHeight="1" thickTop="1" thickBot="1" x14ac:dyDescent="0.55000000000000004">
      <c r="A55" s="184" t="s">
        <v>499</v>
      </c>
      <c r="B55" s="185" t="s">
        <v>499</v>
      </c>
      <c r="C55" s="185" t="s">
        <v>499</v>
      </c>
      <c r="D55" s="186" t="s">
        <v>499</v>
      </c>
      <c r="E55" s="185" t="s">
        <v>499</v>
      </c>
      <c r="F55" s="185" t="s">
        <v>499</v>
      </c>
      <c r="G55" s="187">
        <f t="shared" si="0"/>
        <v>0</v>
      </c>
      <c r="H55" s="188"/>
      <c r="I55" s="188"/>
      <c r="J55" s="188"/>
      <c r="K55" s="189"/>
      <c r="L55" s="189"/>
      <c r="M55" s="189"/>
      <c r="N55" s="189"/>
      <c r="O55" s="193"/>
      <c r="P55" s="193"/>
      <c r="Q55" s="191"/>
      <c r="R55" s="191"/>
      <c r="S55" s="192"/>
      <c r="AD55" s="38"/>
      <c r="AF55" s="35"/>
      <c r="AG55" s="39"/>
      <c r="AH55" s="39"/>
      <c r="AI55" s="39"/>
      <c r="AJ55" s="36"/>
      <c r="AQ55" s="31"/>
      <c r="AR55" s="31"/>
    </row>
    <row r="56" spans="1:44" ht="22" thickTop="1" thickBot="1" x14ac:dyDescent="0.55000000000000004">
      <c r="A56" s="184" t="s">
        <v>499</v>
      </c>
      <c r="B56" s="185" t="s">
        <v>499</v>
      </c>
      <c r="C56" s="185" t="s">
        <v>499</v>
      </c>
      <c r="D56" s="186" t="s">
        <v>499</v>
      </c>
      <c r="E56" s="185" t="s">
        <v>499</v>
      </c>
      <c r="F56" s="185" t="s">
        <v>499</v>
      </c>
      <c r="G56" s="187">
        <f t="shared" si="0"/>
        <v>0</v>
      </c>
      <c r="H56" s="188"/>
      <c r="I56" s="188"/>
      <c r="J56" s="188"/>
      <c r="K56" s="189"/>
      <c r="L56" s="189"/>
      <c r="M56" s="189"/>
      <c r="N56" s="189"/>
      <c r="O56" s="193"/>
      <c r="P56" s="193"/>
      <c r="Q56" s="191"/>
      <c r="R56" s="191"/>
      <c r="S56" s="192"/>
      <c r="AD56" s="38"/>
      <c r="AF56" s="35"/>
      <c r="AG56" s="39"/>
      <c r="AH56" s="39"/>
      <c r="AI56" s="39"/>
      <c r="AJ56" s="36"/>
      <c r="AQ56" s="31"/>
      <c r="AR56" s="31"/>
    </row>
    <row r="57" spans="1:44" ht="25.25" customHeight="1" thickTop="1" thickBot="1" x14ac:dyDescent="0.55000000000000004">
      <c r="A57" s="184" t="s">
        <v>499</v>
      </c>
      <c r="B57" s="185" t="s">
        <v>499</v>
      </c>
      <c r="C57" s="185" t="s">
        <v>499</v>
      </c>
      <c r="D57" s="186" t="s">
        <v>499</v>
      </c>
      <c r="E57" s="185" t="s">
        <v>499</v>
      </c>
      <c r="F57" s="185" t="s">
        <v>499</v>
      </c>
      <c r="G57" s="187">
        <f t="shared" si="0"/>
        <v>0</v>
      </c>
      <c r="H57" s="188"/>
      <c r="I57" s="188"/>
      <c r="J57" s="188"/>
      <c r="K57" s="189"/>
      <c r="L57" s="189"/>
      <c r="M57" s="189"/>
      <c r="N57" s="189"/>
      <c r="O57" s="193"/>
      <c r="P57" s="193"/>
      <c r="Q57" s="191"/>
      <c r="R57" s="191"/>
      <c r="S57" s="192"/>
      <c r="AD57" s="38"/>
      <c r="AF57" s="35"/>
      <c r="AG57" s="39"/>
      <c r="AH57" s="39"/>
      <c r="AI57" s="39"/>
      <c r="AJ57" s="36"/>
      <c r="AQ57" s="31"/>
      <c r="AR57" s="31"/>
    </row>
    <row r="58" spans="1:44" ht="25.25" customHeight="1" thickTop="1" thickBot="1" x14ac:dyDescent="0.55000000000000004">
      <c r="A58" s="184" t="s">
        <v>499</v>
      </c>
      <c r="B58" s="185" t="s">
        <v>499</v>
      </c>
      <c r="C58" s="185" t="s">
        <v>499</v>
      </c>
      <c r="D58" s="186" t="s">
        <v>499</v>
      </c>
      <c r="E58" s="185" t="s">
        <v>499</v>
      </c>
      <c r="F58" s="185" t="s">
        <v>499</v>
      </c>
      <c r="G58" s="187">
        <f t="shared" si="0"/>
        <v>0</v>
      </c>
      <c r="H58" s="188"/>
      <c r="I58" s="188"/>
      <c r="J58" s="188"/>
      <c r="K58" s="189"/>
      <c r="L58" s="189"/>
      <c r="M58" s="189"/>
      <c r="N58" s="189"/>
      <c r="O58" s="193"/>
      <c r="P58" s="193"/>
      <c r="Q58" s="191"/>
      <c r="R58" s="191"/>
      <c r="S58" s="192"/>
      <c r="AD58" s="38"/>
      <c r="AF58" s="35"/>
      <c r="AG58" s="39"/>
      <c r="AH58" s="39"/>
      <c r="AI58" s="39"/>
      <c r="AJ58" s="36"/>
      <c r="AQ58" s="31"/>
      <c r="AR58" s="31"/>
    </row>
    <row r="59" spans="1:44" ht="25.25" customHeight="1" thickTop="1" thickBot="1" x14ac:dyDescent="0.55000000000000004">
      <c r="A59" s="184" t="s">
        <v>499</v>
      </c>
      <c r="B59" s="185" t="s">
        <v>499</v>
      </c>
      <c r="C59" s="185" t="s">
        <v>499</v>
      </c>
      <c r="D59" s="186" t="s">
        <v>499</v>
      </c>
      <c r="E59" s="185" t="s">
        <v>499</v>
      </c>
      <c r="F59" s="185" t="s">
        <v>499</v>
      </c>
      <c r="G59" s="187">
        <f t="shared" si="0"/>
        <v>0</v>
      </c>
      <c r="H59" s="188"/>
      <c r="I59" s="188"/>
      <c r="J59" s="188"/>
      <c r="K59" s="189"/>
      <c r="L59" s="189"/>
      <c r="M59" s="189"/>
      <c r="N59" s="189"/>
      <c r="O59" s="193"/>
      <c r="P59" s="193"/>
      <c r="Q59" s="191"/>
      <c r="R59" s="191"/>
      <c r="S59" s="192"/>
      <c r="AD59" s="38"/>
      <c r="AF59" s="35"/>
      <c r="AG59" s="39"/>
      <c r="AH59" s="39"/>
      <c r="AI59" s="39"/>
      <c r="AJ59" s="36"/>
      <c r="AQ59" s="31"/>
      <c r="AR59" s="31"/>
    </row>
    <row r="60" spans="1:44" ht="25.25" customHeight="1" thickTop="1" thickBot="1" x14ac:dyDescent="0.55000000000000004">
      <c r="A60" s="184" t="s">
        <v>499</v>
      </c>
      <c r="B60" s="185" t="s">
        <v>499</v>
      </c>
      <c r="C60" s="185" t="s">
        <v>499</v>
      </c>
      <c r="D60" s="186" t="s">
        <v>499</v>
      </c>
      <c r="E60" s="185" t="s">
        <v>499</v>
      </c>
      <c r="F60" s="185" t="s">
        <v>499</v>
      </c>
      <c r="G60" s="187">
        <f t="shared" si="0"/>
        <v>0</v>
      </c>
      <c r="H60" s="188"/>
      <c r="I60" s="188"/>
      <c r="J60" s="188"/>
      <c r="K60" s="189"/>
      <c r="L60" s="189"/>
      <c r="M60" s="189"/>
      <c r="N60" s="189"/>
      <c r="O60" s="193"/>
      <c r="P60" s="193"/>
      <c r="Q60" s="191"/>
      <c r="R60" s="191"/>
      <c r="S60" s="192"/>
      <c r="AD60" s="44"/>
      <c r="AF60" s="35"/>
      <c r="AG60" s="39"/>
      <c r="AH60" s="39"/>
      <c r="AI60" s="39"/>
      <c r="AJ60" s="36"/>
      <c r="AQ60" s="31"/>
      <c r="AR60" s="31"/>
    </row>
    <row r="61" spans="1:44" ht="25.25" customHeight="1" thickTop="1" thickBot="1" x14ac:dyDescent="0.55000000000000004">
      <c r="A61" s="184" t="s">
        <v>499</v>
      </c>
      <c r="B61" s="185" t="s">
        <v>499</v>
      </c>
      <c r="C61" s="185" t="s">
        <v>499</v>
      </c>
      <c r="D61" s="186" t="s">
        <v>499</v>
      </c>
      <c r="E61" s="185" t="s">
        <v>499</v>
      </c>
      <c r="F61" s="185" t="s">
        <v>499</v>
      </c>
      <c r="G61" s="187">
        <f t="shared" si="0"/>
        <v>0</v>
      </c>
      <c r="H61" s="188"/>
      <c r="I61" s="188"/>
      <c r="J61" s="188"/>
      <c r="K61" s="189"/>
      <c r="L61" s="189"/>
      <c r="M61" s="189"/>
      <c r="N61" s="189"/>
      <c r="O61" s="193"/>
      <c r="P61" s="193"/>
      <c r="Q61" s="191"/>
      <c r="R61" s="191"/>
      <c r="S61" s="192"/>
      <c r="AD61" s="44"/>
      <c r="AF61" s="35"/>
      <c r="AG61" s="39"/>
      <c r="AH61" s="39"/>
      <c r="AI61" s="39"/>
      <c r="AJ61" s="36"/>
      <c r="AQ61" s="31"/>
      <c r="AR61" s="31"/>
    </row>
    <row r="62" spans="1:44" ht="25.25" customHeight="1" thickTop="1" thickBot="1" x14ac:dyDescent="0.55000000000000004">
      <c r="A62" s="184" t="s">
        <v>499</v>
      </c>
      <c r="B62" s="185" t="s">
        <v>499</v>
      </c>
      <c r="C62" s="185" t="s">
        <v>499</v>
      </c>
      <c r="D62" s="186" t="s">
        <v>499</v>
      </c>
      <c r="E62" s="185" t="s">
        <v>499</v>
      </c>
      <c r="F62" s="185" t="s">
        <v>499</v>
      </c>
      <c r="G62" s="187">
        <f t="shared" si="0"/>
        <v>0</v>
      </c>
      <c r="H62" s="188"/>
      <c r="I62" s="188"/>
      <c r="J62" s="188"/>
      <c r="K62" s="189"/>
      <c r="L62" s="189"/>
      <c r="M62" s="189"/>
      <c r="N62" s="189"/>
      <c r="O62" s="193"/>
      <c r="P62" s="193"/>
      <c r="Q62" s="191"/>
      <c r="R62" s="191"/>
      <c r="S62" s="192"/>
      <c r="AD62" s="38"/>
      <c r="AF62" s="35"/>
      <c r="AG62" s="39"/>
      <c r="AH62" s="39"/>
      <c r="AI62" s="39"/>
      <c r="AJ62" s="36"/>
      <c r="AQ62" s="31"/>
      <c r="AR62" s="31"/>
    </row>
    <row r="63" spans="1:44" ht="25.25" customHeight="1" thickTop="1" thickBot="1" x14ac:dyDescent="0.55000000000000004">
      <c r="A63" s="184" t="s">
        <v>499</v>
      </c>
      <c r="B63" s="185" t="s">
        <v>499</v>
      </c>
      <c r="C63" s="185" t="s">
        <v>499</v>
      </c>
      <c r="D63" s="186" t="s">
        <v>499</v>
      </c>
      <c r="E63" s="185" t="s">
        <v>499</v>
      </c>
      <c r="F63" s="185" t="s">
        <v>499</v>
      </c>
      <c r="G63" s="187">
        <f t="shared" si="0"/>
        <v>0</v>
      </c>
      <c r="H63" s="188"/>
      <c r="I63" s="188"/>
      <c r="J63" s="188"/>
      <c r="K63" s="194"/>
      <c r="L63" s="189"/>
      <c r="M63" s="189"/>
      <c r="N63" s="189"/>
      <c r="O63" s="193"/>
      <c r="P63" s="193"/>
      <c r="Q63" s="191"/>
      <c r="R63" s="191"/>
      <c r="S63" s="192"/>
      <c r="AD63" s="38"/>
      <c r="AF63" s="35"/>
      <c r="AG63" s="39"/>
      <c r="AH63" s="52"/>
      <c r="AI63" s="39"/>
      <c r="AJ63" s="36"/>
      <c r="AQ63" s="31"/>
      <c r="AR63" s="31"/>
    </row>
    <row r="64" spans="1:44" ht="22" thickTop="1" thickBot="1" x14ac:dyDescent="0.55000000000000004">
      <c r="A64" s="184" t="s">
        <v>499</v>
      </c>
      <c r="B64" s="185" t="s">
        <v>499</v>
      </c>
      <c r="C64" s="185" t="s">
        <v>499</v>
      </c>
      <c r="D64" s="186" t="s">
        <v>499</v>
      </c>
      <c r="E64" s="185" t="s">
        <v>499</v>
      </c>
      <c r="F64" s="185" t="s">
        <v>499</v>
      </c>
      <c r="G64" s="187">
        <f t="shared" si="0"/>
        <v>0</v>
      </c>
      <c r="H64" s="188"/>
      <c r="I64" s="188"/>
      <c r="J64" s="188"/>
      <c r="K64" s="189"/>
      <c r="L64" s="189"/>
      <c r="M64" s="189"/>
      <c r="N64" s="189"/>
      <c r="O64" s="193"/>
      <c r="P64" s="193"/>
      <c r="Q64" s="191"/>
      <c r="R64" s="191"/>
      <c r="S64" s="192"/>
      <c r="AD64" s="38"/>
      <c r="AF64" s="35"/>
      <c r="AG64" s="39"/>
      <c r="AH64" s="52"/>
      <c r="AI64" s="39"/>
      <c r="AJ64" s="36"/>
      <c r="AQ64" s="31"/>
      <c r="AR64" s="31"/>
    </row>
    <row r="65" spans="1:44" ht="22" thickTop="1" thickBot="1" x14ac:dyDescent="0.55000000000000004">
      <c r="A65" s="184" t="s">
        <v>499</v>
      </c>
      <c r="B65" s="185" t="s">
        <v>499</v>
      </c>
      <c r="C65" s="185" t="s">
        <v>499</v>
      </c>
      <c r="D65" s="186" t="s">
        <v>499</v>
      </c>
      <c r="E65" s="185" t="s">
        <v>499</v>
      </c>
      <c r="F65" s="185" t="s">
        <v>499</v>
      </c>
      <c r="G65" s="187">
        <f t="shared" si="0"/>
        <v>0</v>
      </c>
      <c r="H65" s="188"/>
      <c r="I65" s="188"/>
      <c r="J65" s="188"/>
      <c r="K65" s="189"/>
      <c r="L65" s="189"/>
      <c r="M65" s="189"/>
      <c r="N65" s="189"/>
      <c r="O65" s="193"/>
      <c r="P65" s="193"/>
      <c r="Q65" s="191"/>
      <c r="R65" s="191"/>
      <c r="S65" s="192"/>
      <c r="AD65" s="38"/>
      <c r="AF65" s="35"/>
      <c r="AG65" s="39"/>
      <c r="AH65" s="39"/>
      <c r="AI65" s="39"/>
      <c r="AJ65" s="36"/>
      <c r="AQ65" s="31"/>
      <c r="AR65" s="31"/>
    </row>
    <row r="66" spans="1:44" ht="25.25" customHeight="1" thickTop="1" thickBot="1" x14ac:dyDescent="0.55000000000000004">
      <c r="A66" s="184" t="s">
        <v>499</v>
      </c>
      <c r="B66" s="185" t="s">
        <v>499</v>
      </c>
      <c r="C66" s="185" t="s">
        <v>499</v>
      </c>
      <c r="D66" s="186" t="s">
        <v>499</v>
      </c>
      <c r="E66" s="185" t="s">
        <v>499</v>
      </c>
      <c r="F66" s="185" t="s">
        <v>499</v>
      </c>
      <c r="G66" s="187">
        <f t="shared" si="0"/>
        <v>0</v>
      </c>
      <c r="H66" s="188"/>
      <c r="I66" s="188"/>
      <c r="J66" s="188"/>
      <c r="K66" s="189"/>
      <c r="L66" s="189"/>
      <c r="M66" s="189"/>
      <c r="N66" s="189"/>
      <c r="O66" s="193"/>
      <c r="P66" s="193"/>
      <c r="Q66" s="191"/>
      <c r="R66" s="191"/>
      <c r="S66" s="192"/>
      <c r="AD66" s="38"/>
      <c r="AF66" s="35"/>
      <c r="AG66" s="39"/>
      <c r="AH66" s="39"/>
      <c r="AI66" s="39"/>
      <c r="AJ66" s="36"/>
      <c r="AQ66" s="31"/>
      <c r="AR66" s="31"/>
    </row>
    <row r="67" spans="1:44" ht="25.25" customHeight="1" thickTop="1" thickBot="1" x14ac:dyDescent="0.55000000000000004">
      <c r="A67" s="184" t="s">
        <v>499</v>
      </c>
      <c r="B67" s="185" t="s">
        <v>499</v>
      </c>
      <c r="C67" s="185" t="s">
        <v>499</v>
      </c>
      <c r="D67" s="186" t="s">
        <v>499</v>
      </c>
      <c r="E67" s="185" t="s">
        <v>499</v>
      </c>
      <c r="F67" s="185" t="s">
        <v>499</v>
      </c>
      <c r="G67" s="187">
        <f t="shared" si="0"/>
        <v>0</v>
      </c>
      <c r="H67" s="188"/>
      <c r="I67" s="188"/>
      <c r="J67" s="188"/>
      <c r="K67" s="189"/>
      <c r="L67" s="189"/>
      <c r="M67" s="189"/>
      <c r="N67" s="189"/>
      <c r="O67" s="193"/>
      <c r="P67" s="193"/>
      <c r="Q67" s="191"/>
      <c r="R67" s="191"/>
      <c r="S67" s="192"/>
      <c r="AD67" s="38"/>
      <c r="AF67" s="35"/>
      <c r="AG67" s="39"/>
      <c r="AH67" s="39"/>
      <c r="AI67" s="39"/>
      <c r="AJ67" s="36"/>
      <c r="AQ67" s="31"/>
      <c r="AR67" s="31"/>
    </row>
    <row r="68" spans="1:44" ht="25.25" customHeight="1" thickTop="1" thickBot="1" x14ac:dyDescent="0.55000000000000004">
      <c r="A68" s="184" t="s">
        <v>499</v>
      </c>
      <c r="B68" s="185" t="s">
        <v>499</v>
      </c>
      <c r="C68" s="185" t="s">
        <v>499</v>
      </c>
      <c r="D68" s="186" t="s">
        <v>499</v>
      </c>
      <c r="E68" s="185" t="s">
        <v>499</v>
      </c>
      <c r="F68" s="185" t="s">
        <v>499</v>
      </c>
      <c r="G68" s="187">
        <f t="shared" si="0"/>
        <v>0</v>
      </c>
      <c r="H68" s="188"/>
      <c r="I68" s="188"/>
      <c r="J68" s="188"/>
      <c r="K68" s="189"/>
      <c r="L68" s="189"/>
      <c r="M68" s="189"/>
      <c r="N68" s="189"/>
      <c r="O68" s="193"/>
      <c r="P68" s="193"/>
      <c r="Q68" s="191"/>
      <c r="R68" s="191"/>
      <c r="S68" s="192"/>
      <c r="AD68" s="38"/>
      <c r="AE68" s="8"/>
      <c r="AF68" s="35"/>
      <c r="AG68" s="39"/>
      <c r="AH68" s="39"/>
      <c r="AI68" s="39"/>
      <c r="AJ68" s="36"/>
      <c r="AQ68" s="31"/>
      <c r="AR68" s="31"/>
    </row>
    <row r="69" spans="1:44" ht="22" thickTop="1" thickBot="1" x14ac:dyDescent="0.55000000000000004">
      <c r="A69" s="184" t="s">
        <v>499</v>
      </c>
      <c r="B69" s="185" t="s">
        <v>499</v>
      </c>
      <c r="C69" s="185" t="s">
        <v>499</v>
      </c>
      <c r="D69" s="186" t="s">
        <v>499</v>
      </c>
      <c r="E69" s="185" t="s">
        <v>499</v>
      </c>
      <c r="F69" s="185" t="s">
        <v>499</v>
      </c>
      <c r="G69" s="187">
        <f t="shared" ref="G69:G132" si="1">SUM(H69:J69)</f>
        <v>0</v>
      </c>
      <c r="H69" s="188"/>
      <c r="I69" s="188"/>
      <c r="J69" s="188"/>
      <c r="K69" s="189"/>
      <c r="L69" s="189"/>
      <c r="M69" s="189"/>
      <c r="N69" s="189"/>
      <c r="O69" s="193"/>
      <c r="P69" s="193"/>
      <c r="Q69" s="191"/>
      <c r="R69" s="191"/>
      <c r="S69" s="192"/>
      <c r="AF69" s="35"/>
      <c r="AG69" s="39"/>
      <c r="AH69" s="39"/>
      <c r="AI69" s="39"/>
      <c r="AJ69" s="36"/>
      <c r="AQ69" s="31"/>
      <c r="AR69" s="31"/>
    </row>
    <row r="70" spans="1:44" ht="25.25" customHeight="1" thickTop="1" thickBot="1" x14ac:dyDescent="0.55000000000000004">
      <c r="A70" s="184" t="s">
        <v>499</v>
      </c>
      <c r="B70" s="185" t="s">
        <v>499</v>
      </c>
      <c r="C70" s="185" t="s">
        <v>499</v>
      </c>
      <c r="D70" s="186" t="s">
        <v>499</v>
      </c>
      <c r="E70" s="185" t="s">
        <v>499</v>
      </c>
      <c r="F70" s="185" t="s">
        <v>499</v>
      </c>
      <c r="G70" s="187">
        <f t="shared" si="1"/>
        <v>0</v>
      </c>
      <c r="H70" s="188"/>
      <c r="I70" s="188"/>
      <c r="J70" s="188"/>
      <c r="K70" s="189"/>
      <c r="L70" s="189"/>
      <c r="M70" s="189"/>
      <c r="N70" s="189"/>
      <c r="O70" s="193"/>
      <c r="P70" s="193"/>
      <c r="Q70" s="191"/>
      <c r="R70" s="191"/>
      <c r="S70" s="192"/>
      <c r="AD70" s="38"/>
      <c r="AF70" s="35"/>
      <c r="AG70" s="39"/>
      <c r="AH70" s="39"/>
      <c r="AI70" s="39"/>
      <c r="AJ70" s="36"/>
      <c r="AQ70" s="31"/>
      <c r="AR70" s="31"/>
    </row>
    <row r="71" spans="1:44" ht="25.25" customHeight="1" thickTop="1" thickBot="1" x14ac:dyDescent="0.55000000000000004">
      <c r="A71" s="184" t="s">
        <v>499</v>
      </c>
      <c r="B71" s="185" t="s">
        <v>499</v>
      </c>
      <c r="C71" s="185" t="s">
        <v>499</v>
      </c>
      <c r="D71" s="186" t="s">
        <v>499</v>
      </c>
      <c r="E71" s="185" t="s">
        <v>499</v>
      </c>
      <c r="F71" s="185" t="s">
        <v>499</v>
      </c>
      <c r="G71" s="187">
        <f t="shared" si="1"/>
        <v>0</v>
      </c>
      <c r="H71" s="188"/>
      <c r="I71" s="188"/>
      <c r="J71" s="188"/>
      <c r="K71" s="189"/>
      <c r="L71" s="189"/>
      <c r="M71" s="189"/>
      <c r="N71" s="189"/>
      <c r="O71" s="193"/>
      <c r="P71" s="193"/>
      <c r="Q71" s="191"/>
      <c r="R71" s="191"/>
      <c r="S71" s="192"/>
      <c r="AD71" s="38"/>
      <c r="AF71" s="35"/>
      <c r="AG71" s="39"/>
      <c r="AH71" s="39"/>
      <c r="AI71" s="39"/>
      <c r="AJ71" s="36"/>
      <c r="AQ71" s="31"/>
      <c r="AR71" s="31"/>
    </row>
    <row r="72" spans="1:44" ht="25.25" customHeight="1" thickTop="1" thickBot="1" x14ac:dyDescent="0.55000000000000004">
      <c r="A72" s="184" t="s">
        <v>499</v>
      </c>
      <c r="B72" s="185" t="s">
        <v>499</v>
      </c>
      <c r="C72" s="185" t="s">
        <v>499</v>
      </c>
      <c r="D72" s="186" t="s">
        <v>499</v>
      </c>
      <c r="E72" s="185" t="s">
        <v>499</v>
      </c>
      <c r="F72" s="185" t="s">
        <v>499</v>
      </c>
      <c r="G72" s="187">
        <f t="shared" si="1"/>
        <v>0</v>
      </c>
      <c r="H72" s="188"/>
      <c r="I72" s="188"/>
      <c r="J72" s="188"/>
      <c r="K72" s="189"/>
      <c r="L72" s="189"/>
      <c r="M72" s="189"/>
      <c r="N72" s="189"/>
      <c r="O72" s="193"/>
      <c r="P72" s="193"/>
      <c r="Q72" s="191"/>
      <c r="R72" s="191"/>
      <c r="S72" s="192"/>
      <c r="AD72" s="38"/>
      <c r="AF72" s="35"/>
      <c r="AG72" s="39"/>
      <c r="AH72" s="39"/>
      <c r="AI72" s="39"/>
      <c r="AJ72" s="36"/>
      <c r="AQ72" s="31"/>
      <c r="AR72" s="31"/>
    </row>
    <row r="73" spans="1:44" ht="25.25" customHeight="1" thickTop="1" thickBot="1" x14ac:dyDescent="0.55000000000000004">
      <c r="A73" s="184" t="s">
        <v>499</v>
      </c>
      <c r="B73" s="185" t="s">
        <v>499</v>
      </c>
      <c r="C73" s="185" t="s">
        <v>499</v>
      </c>
      <c r="D73" s="186" t="s">
        <v>499</v>
      </c>
      <c r="E73" s="185" t="s">
        <v>499</v>
      </c>
      <c r="F73" s="185" t="s">
        <v>499</v>
      </c>
      <c r="G73" s="187">
        <f t="shared" si="1"/>
        <v>0</v>
      </c>
      <c r="H73" s="188"/>
      <c r="I73" s="188"/>
      <c r="J73" s="188"/>
      <c r="K73" s="189"/>
      <c r="L73" s="189"/>
      <c r="M73" s="189"/>
      <c r="N73" s="189"/>
      <c r="O73" s="193"/>
      <c r="P73" s="193"/>
      <c r="Q73" s="191"/>
      <c r="R73" s="191"/>
      <c r="S73" s="192"/>
      <c r="AD73" s="38"/>
      <c r="AF73" s="35"/>
      <c r="AG73" s="39"/>
      <c r="AH73" s="39"/>
      <c r="AI73" s="39"/>
      <c r="AJ73" s="36"/>
      <c r="AQ73" s="31"/>
      <c r="AR73" s="31"/>
    </row>
    <row r="74" spans="1:44" ht="25.25" customHeight="1" thickTop="1" thickBot="1" x14ac:dyDescent="0.55000000000000004">
      <c r="A74" s="184" t="s">
        <v>499</v>
      </c>
      <c r="B74" s="185" t="s">
        <v>499</v>
      </c>
      <c r="C74" s="185" t="s">
        <v>499</v>
      </c>
      <c r="D74" s="186" t="s">
        <v>499</v>
      </c>
      <c r="E74" s="185" t="s">
        <v>499</v>
      </c>
      <c r="F74" s="185" t="s">
        <v>499</v>
      </c>
      <c r="G74" s="187">
        <f t="shared" si="1"/>
        <v>0</v>
      </c>
      <c r="H74" s="188"/>
      <c r="I74" s="188"/>
      <c r="J74" s="188"/>
      <c r="K74" s="189"/>
      <c r="L74" s="189"/>
      <c r="M74" s="189"/>
      <c r="N74" s="189"/>
      <c r="O74" s="193"/>
      <c r="P74" s="193"/>
      <c r="Q74" s="191"/>
      <c r="R74" s="191"/>
      <c r="S74" s="192"/>
      <c r="AD74" s="38"/>
      <c r="AF74" s="35"/>
      <c r="AG74" s="39"/>
      <c r="AH74" s="39"/>
      <c r="AI74" s="39"/>
      <c r="AJ74" s="36"/>
      <c r="AQ74" s="31"/>
      <c r="AR74" s="31"/>
    </row>
    <row r="75" spans="1:44" ht="25.25" customHeight="1" thickTop="1" thickBot="1" x14ac:dyDescent="0.55000000000000004">
      <c r="A75" s="184" t="s">
        <v>499</v>
      </c>
      <c r="B75" s="185" t="s">
        <v>499</v>
      </c>
      <c r="C75" s="185" t="s">
        <v>499</v>
      </c>
      <c r="D75" s="186" t="s">
        <v>499</v>
      </c>
      <c r="E75" s="185" t="s">
        <v>499</v>
      </c>
      <c r="F75" s="185" t="s">
        <v>499</v>
      </c>
      <c r="G75" s="187">
        <f t="shared" si="1"/>
        <v>0</v>
      </c>
      <c r="H75" s="188"/>
      <c r="I75" s="188"/>
      <c r="J75" s="188"/>
      <c r="K75" s="189"/>
      <c r="L75" s="189"/>
      <c r="M75" s="189"/>
      <c r="N75" s="189"/>
      <c r="O75" s="193"/>
      <c r="P75" s="193"/>
      <c r="Q75" s="191"/>
      <c r="R75" s="191"/>
      <c r="S75" s="192"/>
      <c r="AD75" s="38"/>
      <c r="AF75" s="35"/>
      <c r="AG75" s="39"/>
      <c r="AH75" s="39"/>
      <c r="AI75" s="39"/>
      <c r="AJ75" s="36"/>
      <c r="AQ75" s="31"/>
      <c r="AR75" s="31"/>
    </row>
    <row r="76" spans="1:44" ht="25.25" customHeight="1" thickTop="1" thickBot="1" x14ac:dyDescent="0.55000000000000004">
      <c r="A76" s="184" t="s">
        <v>499</v>
      </c>
      <c r="B76" s="185" t="s">
        <v>499</v>
      </c>
      <c r="C76" s="185" t="s">
        <v>499</v>
      </c>
      <c r="D76" s="186" t="s">
        <v>499</v>
      </c>
      <c r="E76" s="185" t="s">
        <v>499</v>
      </c>
      <c r="F76" s="185" t="s">
        <v>499</v>
      </c>
      <c r="G76" s="187">
        <f t="shared" si="1"/>
        <v>0</v>
      </c>
      <c r="H76" s="188"/>
      <c r="I76" s="188"/>
      <c r="J76" s="188"/>
      <c r="K76" s="189"/>
      <c r="L76" s="189"/>
      <c r="M76" s="189"/>
      <c r="N76" s="189"/>
      <c r="O76" s="193"/>
      <c r="P76" s="193"/>
      <c r="Q76" s="191"/>
      <c r="R76" s="191"/>
      <c r="S76" s="192"/>
      <c r="AD76" s="38"/>
      <c r="AF76" s="35"/>
      <c r="AG76" s="39"/>
      <c r="AH76" s="39"/>
      <c r="AI76" s="39"/>
      <c r="AJ76" s="36"/>
      <c r="AQ76" s="31"/>
      <c r="AR76" s="31"/>
    </row>
    <row r="77" spans="1:44" ht="25.25" customHeight="1" thickTop="1" thickBot="1" x14ac:dyDescent="0.5">
      <c r="A77" s="184" t="s">
        <v>499</v>
      </c>
      <c r="B77" s="185" t="s">
        <v>499</v>
      </c>
      <c r="C77" s="185" t="s">
        <v>499</v>
      </c>
      <c r="D77" s="186" t="s">
        <v>499</v>
      </c>
      <c r="E77" s="185" t="s">
        <v>499</v>
      </c>
      <c r="F77" s="185" t="s">
        <v>499</v>
      </c>
      <c r="G77" s="187">
        <f t="shared" si="1"/>
        <v>0</v>
      </c>
      <c r="H77" s="188"/>
      <c r="I77" s="188"/>
      <c r="J77" s="188"/>
      <c r="K77" s="189"/>
      <c r="L77" s="189"/>
      <c r="M77" s="189"/>
      <c r="N77" s="189"/>
      <c r="O77" s="193"/>
      <c r="P77" s="193"/>
      <c r="Q77" s="191"/>
      <c r="R77" s="191"/>
      <c r="S77" s="192"/>
      <c r="AD77" s="38"/>
      <c r="AQ77" s="31"/>
      <c r="AR77" s="31"/>
    </row>
    <row r="78" spans="1:44" ht="25.25" customHeight="1" thickTop="1" thickBot="1" x14ac:dyDescent="0.4">
      <c r="A78" s="184" t="s">
        <v>499</v>
      </c>
      <c r="B78" s="185" t="s">
        <v>499</v>
      </c>
      <c r="C78" s="185" t="s">
        <v>499</v>
      </c>
      <c r="D78" s="186" t="s">
        <v>499</v>
      </c>
      <c r="E78" s="185" t="s">
        <v>499</v>
      </c>
      <c r="F78" s="185" t="s">
        <v>499</v>
      </c>
      <c r="G78" s="187">
        <f t="shared" si="1"/>
        <v>0</v>
      </c>
      <c r="H78" s="188"/>
      <c r="I78" s="188"/>
      <c r="J78" s="188"/>
      <c r="K78" s="189"/>
      <c r="L78" s="189"/>
      <c r="M78" s="189"/>
      <c r="N78" s="189"/>
      <c r="O78" s="193"/>
      <c r="P78" s="193"/>
      <c r="Q78" s="191"/>
      <c r="R78" s="191"/>
      <c r="S78" s="192"/>
      <c r="AQ78" s="31"/>
      <c r="AR78" s="31"/>
    </row>
    <row r="79" spans="1:44" ht="25.25" customHeight="1" thickTop="1" thickBot="1" x14ac:dyDescent="0.4">
      <c r="A79" s="184" t="s">
        <v>499</v>
      </c>
      <c r="B79" s="185" t="s">
        <v>499</v>
      </c>
      <c r="C79" s="185" t="s">
        <v>499</v>
      </c>
      <c r="D79" s="186" t="s">
        <v>499</v>
      </c>
      <c r="E79" s="185" t="s">
        <v>499</v>
      </c>
      <c r="F79" s="185" t="s">
        <v>499</v>
      </c>
      <c r="G79" s="187">
        <f t="shared" si="1"/>
        <v>0</v>
      </c>
      <c r="H79" s="188"/>
      <c r="I79" s="188"/>
      <c r="J79" s="188"/>
      <c r="K79" s="189"/>
      <c r="L79" s="189"/>
      <c r="M79" s="189"/>
      <c r="N79" s="189"/>
      <c r="O79" s="193"/>
      <c r="P79" s="193"/>
      <c r="Q79" s="191"/>
      <c r="R79" s="191"/>
      <c r="S79" s="192"/>
      <c r="AQ79" s="31"/>
      <c r="AR79" s="31"/>
    </row>
    <row r="80" spans="1:44" ht="25.25" customHeight="1" thickTop="1" thickBot="1" x14ac:dyDescent="0.4">
      <c r="A80" s="184" t="s">
        <v>499</v>
      </c>
      <c r="B80" s="185" t="s">
        <v>499</v>
      </c>
      <c r="C80" s="185" t="s">
        <v>499</v>
      </c>
      <c r="D80" s="186" t="s">
        <v>499</v>
      </c>
      <c r="E80" s="185" t="s">
        <v>499</v>
      </c>
      <c r="F80" s="185" t="s">
        <v>499</v>
      </c>
      <c r="G80" s="187">
        <f t="shared" si="1"/>
        <v>0</v>
      </c>
      <c r="H80" s="188"/>
      <c r="I80" s="188"/>
      <c r="J80" s="188"/>
      <c r="K80" s="189"/>
      <c r="L80" s="189"/>
      <c r="M80" s="189"/>
      <c r="N80" s="189"/>
      <c r="O80" s="193"/>
      <c r="P80" s="193"/>
      <c r="Q80" s="191"/>
      <c r="R80" s="191"/>
      <c r="S80" s="192"/>
      <c r="AQ80" s="31"/>
      <c r="AR80" s="31"/>
    </row>
    <row r="81" spans="1:44" ht="25.25" customHeight="1" thickTop="1" thickBot="1" x14ac:dyDescent="0.4">
      <c r="A81" s="184" t="s">
        <v>499</v>
      </c>
      <c r="B81" s="185" t="s">
        <v>499</v>
      </c>
      <c r="C81" s="185" t="s">
        <v>499</v>
      </c>
      <c r="D81" s="186" t="s">
        <v>499</v>
      </c>
      <c r="E81" s="185" t="s">
        <v>499</v>
      </c>
      <c r="F81" s="185" t="s">
        <v>499</v>
      </c>
      <c r="G81" s="187">
        <f t="shared" si="1"/>
        <v>0</v>
      </c>
      <c r="H81" s="188"/>
      <c r="I81" s="188"/>
      <c r="J81" s="188"/>
      <c r="K81" s="189"/>
      <c r="L81" s="189"/>
      <c r="M81" s="189"/>
      <c r="N81" s="189"/>
      <c r="O81" s="193"/>
      <c r="P81" s="193"/>
      <c r="Q81" s="191"/>
      <c r="R81" s="191"/>
      <c r="S81" s="192"/>
      <c r="AQ81" s="31"/>
      <c r="AR81" s="31"/>
    </row>
    <row r="82" spans="1:44" ht="25.25" customHeight="1" thickTop="1" thickBot="1" x14ac:dyDescent="0.4">
      <c r="A82" s="184" t="s">
        <v>499</v>
      </c>
      <c r="B82" s="185" t="s">
        <v>499</v>
      </c>
      <c r="C82" s="185" t="s">
        <v>499</v>
      </c>
      <c r="D82" s="186" t="s">
        <v>499</v>
      </c>
      <c r="E82" s="185" t="s">
        <v>499</v>
      </c>
      <c r="F82" s="185" t="s">
        <v>499</v>
      </c>
      <c r="G82" s="187">
        <f t="shared" si="1"/>
        <v>0</v>
      </c>
      <c r="H82" s="188"/>
      <c r="I82" s="188"/>
      <c r="J82" s="188"/>
      <c r="K82" s="189"/>
      <c r="L82" s="189"/>
      <c r="M82" s="189"/>
      <c r="N82" s="189"/>
      <c r="O82" s="193"/>
      <c r="P82" s="193"/>
      <c r="Q82" s="191"/>
      <c r="R82" s="191"/>
      <c r="S82" s="192"/>
      <c r="AQ82" s="31"/>
      <c r="AR82" s="31"/>
    </row>
    <row r="83" spans="1:44" ht="25.25" customHeight="1" thickTop="1" thickBot="1" x14ac:dyDescent="0.4">
      <c r="A83" s="184" t="s">
        <v>499</v>
      </c>
      <c r="B83" s="185" t="s">
        <v>499</v>
      </c>
      <c r="C83" s="185" t="s">
        <v>499</v>
      </c>
      <c r="D83" s="186" t="s">
        <v>499</v>
      </c>
      <c r="E83" s="185" t="s">
        <v>499</v>
      </c>
      <c r="F83" s="185" t="s">
        <v>499</v>
      </c>
      <c r="G83" s="187">
        <f t="shared" si="1"/>
        <v>0</v>
      </c>
      <c r="H83" s="188"/>
      <c r="I83" s="188"/>
      <c r="J83" s="188"/>
      <c r="K83" s="189"/>
      <c r="L83" s="189"/>
      <c r="M83" s="189"/>
      <c r="N83" s="189"/>
      <c r="O83" s="193"/>
      <c r="P83" s="193"/>
      <c r="Q83" s="191"/>
      <c r="R83" s="191"/>
      <c r="S83" s="192"/>
      <c r="AQ83" s="31"/>
      <c r="AR83" s="31"/>
    </row>
    <row r="84" spans="1:44" ht="25.25" customHeight="1" thickTop="1" thickBot="1" x14ac:dyDescent="0.4">
      <c r="A84" s="184" t="s">
        <v>499</v>
      </c>
      <c r="B84" s="185" t="s">
        <v>499</v>
      </c>
      <c r="C84" s="185" t="s">
        <v>499</v>
      </c>
      <c r="D84" s="186" t="s">
        <v>499</v>
      </c>
      <c r="E84" s="185" t="s">
        <v>499</v>
      </c>
      <c r="F84" s="185" t="s">
        <v>499</v>
      </c>
      <c r="G84" s="187">
        <f t="shared" si="1"/>
        <v>0</v>
      </c>
      <c r="H84" s="188"/>
      <c r="I84" s="188"/>
      <c r="J84" s="188"/>
      <c r="K84" s="189"/>
      <c r="L84" s="189"/>
      <c r="M84" s="189"/>
      <c r="N84" s="189"/>
      <c r="O84" s="193"/>
      <c r="P84" s="193"/>
      <c r="Q84" s="191"/>
      <c r="R84" s="191"/>
      <c r="S84" s="192"/>
      <c r="AQ84" s="31"/>
      <c r="AR84" s="31"/>
    </row>
    <row r="85" spans="1:44" ht="25.25" customHeight="1" thickTop="1" thickBot="1" x14ac:dyDescent="0.4">
      <c r="A85" s="184" t="s">
        <v>499</v>
      </c>
      <c r="B85" s="185" t="s">
        <v>499</v>
      </c>
      <c r="C85" s="185" t="s">
        <v>499</v>
      </c>
      <c r="D85" s="186" t="s">
        <v>499</v>
      </c>
      <c r="E85" s="185" t="s">
        <v>499</v>
      </c>
      <c r="F85" s="185" t="s">
        <v>499</v>
      </c>
      <c r="G85" s="187">
        <f t="shared" si="1"/>
        <v>0</v>
      </c>
      <c r="H85" s="188"/>
      <c r="I85" s="188"/>
      <c r="J85" s="188"/>
      <c r="K85" s="189"/>
      <c r="L85" s="189"/>
      <c r="M85" s="189"/>
      <c r="N85" s="189"/>
      <c r="O85" s="193"/>
      <c r="P85" s="193"/>
      <c r="Q85" s="191"/>
      <c r="R85" s="191"/>
      <c r="S85" s="192"/>
      <c r="AQ85" s="31"/>
      <c r="AR85" s="31"/>
    </row>
    <row r="86" spans="1:44" ht="25.25" customHeight="1" thickTop="1" thickBot="1" x14ac:dyDescent="0.4">
      <c r="A86" s="184" t="s">
        <v>499</v>
      </c>
      <c r="B86" s="185" t="s">
        <v>499</v>
      </c>
      <c r="C86" s="185" t="s">
        <v>499</v>
      </c>
      <c r="D86" s="186" t="s">
        <v>499</v>
      </c>
      <c r="E86" s="185" t="s">
        <v>499</v>
      </c>
      <c r="F86" s="185" t="s">
        <v>499</v>
      </c>
      <c r="G86" s="187">
        <f t="shared" si="1"/>
        <v>0</v>
      </c>
      <c r="H86" s="188"/>
      <c r="I86" s="188"/>
      <c r="J86" s="188"/>
      <c r="K86" s="189"/>
      <c r="L86" s="189"/>
      <c r="M86" s="189"/>
      <c r="N86" s="189"/>
      <c r="O86" s="193"/>
      <c r="P86" s="193"/>
      <c r="Q86" s="191"/>
      <c r="R86" s="191"/>
      <c r="S86" s="192"/>
      <c r="AQ86" s="31"/>
      <c r="AR86" s="31"/>
    </row>
    <row r="87" spans="1:44" ht="25.25" customHeight="1" thickTop="1" thickBot="1" x14ac:dyDescent="0.4">
      <c r="A87" s="184" t="s">
        <v>499</v>
      </c>
      <c r="B87" s="185" t="s">
        <v>499</v>
      </c>
      <c r="C87" s="185" t="s">
        <v>499</v>
      </c>
      <c r="D87" s="186" t="s">
        <v>499</v>
      </c>
      <c r="E87" s="185" t="s">
        <v>499</v>
      </c>
      <c r="F87" s="185" t="s">
        <v>499</v>
      </c>
      <c r="G87" s="187">
        <f t="shared" si="1"/>
        <v>0</v>
      </c>
      <c r="H87" s="188"/>
      <c r="I87" s="188"/>
      <c r="J87" s="188"/>
      <c r="K87" s="189"/>
      <c r="L87" s="189"/>
      <c r="M87" s="189"/>
      <c r="N87" s="189"/>
      <c r="O87" s="193"/>
      <c r="P87" s="193"/>
      <c r="Q87" s="191"/>
      <c r="R87" s="191"/>
      <c r="S87" s="192"/>
      <c r="AQ87" s="31"/>
      <c r="AR87" s="31"/>
    </row>
    <row r="88" spans="1:44" ht="25.25" customHeight="1" thickTop="1" thickBot="1" x14ac:dyDescent="0.4">
      <c r="A88" s="184" t="s">
        <v>499</v>
      </c>
      <c r="B88" s="185" t="s">
        <v>499</v>
      </c>
      <c r="C88" s="185" t="s">
        <v>499</v>
      </c>
      <c r="D88" s="186" t="s">
        <v>499</v>
      </c>
      <c r="E88" s="185" t="s">
        <v>499</v>
      </c>
      <c r="F88" s="185" t="s">
        <v>499</v>
      </c>
      <c r="G88" s="187">
        <f t="shared" si="1"/>
        <v>0</v>
      </c>
      <c r="H88" s="188"/>
      <c r="I88" s="188"/>
      <c r="J88" s="188"/>
      <c r="K88" s="189"/>
      <c r="L88" s="189"/>
      <c r="M88" s="189"/>
      <c r="N88" s="189"/>
      <c r="O88" s="193"/>
      <c r="P88" s="193"/>
      <c r="Q88" s="191"/>
      <c r="R88" s="191"/>
      <c r="S88" s="192"/>
      <c r="AQ88" s="31"/>
      <c r="AR88" s="31"/>
    </row>
    <row r="89" spans="1:44" ht="25.25" customHeight="1" thickTop="1" thickBot="1" x14ac:dyDescent="0.4">
      <c r="A89" s="184" t="s">
        <v>499</v>
      </c>
      <c r="B89" s="185" t="s">
        <v>499</v>
      </c>
      <c r="C89" s="185" t="s">
        <v>499</v>
      </c>
      <c r="D89" s="186" t="s">
        <v>499</v>
      </c>
      <c r="E89" s="185" t="s">
        <v>499</v>
      </c>
      <c r="F89" s="185" t="s">
        <v>499</v>
      </c>
      <c r="G89" s="187">
        <f t="shared" si="1"/>
        <v>0</v>
      </c>
      <c r="H89" s="188"/>
      <c r="I89" s="188"/>
      <c r="J89" s="188"/>
      <c r="K89" s="189"/>
      <c r="L89" s="189"/>
      <c r="M89" s="189"/>
      <c r="N89" s="189"/>
      <c r="O89" s="193"/>
      <c r="P89" s="193"/>
      <c r="Q89" s="191"/>
      <c r="R89" s="191"/>
      <c r="S89" s="192"/>
      <c r="AQ89" s="31"/>
      <c r="AR89" s="31"/>
    </row>
    <row r="90" spans="1:44" ht="25.25" customHeight="1" thickTop="1" thickBot="1" x14ac:dyDescent="0.4">
      <c r="A90" s="184" t="s">
        <v>499</v>
      </c>
      <c r="B90" s="185" t="s">
        <v>499</v>
      </c>
      <c r="C90" s="185" t="s">
        <v>499</v>
      </c>
      <c r="D90" s="186" t="s">
        <v>499</v>
      </c>
      <c r="E90" s="185" t="s">
        <v>499</v>
      </c>
      <c r="F90" s="185" t="s">
        <v>499</v>
      </c>
      <c r="G90" s="187">
        <f t="shared" si="1"/>
        <v>0</v>
      </c>
      <c r="H90" s="188"/>
      <c r="I90" s="188"/>
      <c r="J90" s="188"/>
      <c r="K90" s="189"/>
      <c r="L90" s="189"/>
      <c r="M90" s="189"/>
      <c r="N90" s="189"/>
      <c r="O90" s="193"/>
      <c r="P90" s="193"/>
      <c r="Q90" s="191"/>
      <c r="R90" s="191"/>
      <c r="S90" s="192"/>
      <c r="AQ90" s="31"/>
      <c r="AR90" s="31"/>
    </row>
    <row r="91" spans="1:44" ht="25.25" customHeight="1" thickTop="1" thickBot="1" x14ac:dyDescent="0.4">
      <c r="A91" s="184" t="s">
        <v>499</v>
      </c>
      <c r="B91" s="185" t="s">
        <v>499</v>
      </c>
      <c r="C91" s="185" t="s">
        <v>499</v>
      </c>
      <c r="D91" s="186" t="s">
        <v>499</v>
      </c>
      <c r="E91" s="185" t="s">
        <v>499</v>
      </c>
      <c r="F91" s="185" t="s">
        <v>499</v>
      </c>
      <c r="G91" s="187">
        <f t="shared" si="1"/>
        <v>0</v>
      </c>
      <c r="H91" s="188"/>
      <c r="I91" s="188"/>
      <c r="J91" s="188"/>
      <c r="K91" s="189"/>
      <c r="L91" s="189"/>
      <c r="M91" s="189"/>
      <c r="N91" s="189"/>
      <c r="O91" s="193"/>
      <c r="P91" s="193"/>
      <c r="Q91" s="191"/>
      <c r="R91" s="191"/>
      <c r="S91" s="192"/>
      <c r="AQ91" s="31"/>
      <c r="AR91" s="31"/>
    </row>
    <row r="92" spans="1:44" ht="25.25" customHeight="1" thickTop="1" thickBot="1" x14ac:dyDescent="0.4">
      <c r="A92" s="184" t="s">
        <v>499</v>
      </c>
      <c r="B92" s="185" t="s">
        <v>499</v>
      </c>
      <c r="C92" s="185" t="s">
        <v>499</v>
      </c>
      <c r="D92" s="186" t="s">
        <v>499</v>
      </c>
      <c r="E92" s="185" t="s">
        <v>499</v>
      </c>
      <c r="F92" s="185" t="s">
        <v>499</v>
      </c>
      <c r="G92" s="187">
        <f t="shared" si="1"/>
        <v>0</v>
      </c>
      <c r="H92" s="188"/>
      <c r="I92" s="188"/>
      <c r="J92" s="188"/>
      <c r="K92" s="189"/>
      <c r="L92" s="189"/>
      <c r="M92" s="189"/>
      <c r="N92" s="189"/>
      <c r="O92" s="193"/>
      <c r="P92" s="193"/>
      <c r="Q92" s="191"/>
      <c r="R92" s="191"/>
      <c r="S92" s="192"/>
      <c r="AQ92" s="31"/>
      <c r="AR92" s="31"/>
    </row>
    <row r="93" spans="1:44" ht="25.25" customHeight="1" thickTop="1" thickBot="1" x14ac:dyDescent="0.4">
      <c r="A93" s="184" t="s">
        <v>499</v>
      </c>
      <c r="B93" s="185" t="s">
        <v>499</v>
      </c>
      <c r="C93" s="185" t="s">
        <v>499</v>
      </c>
      <c r="D93" s="186" t="s">
        <v>499</v>
      </c>
      <c r="E93" s="185" t="s">
        <v>499</v>
      </c>
      <c r="F93" s="185" t="s">
        <v>499</v>
      </c>
      <c r="G93" s="187">
        <f t="shared" si="1"/>
        <v>0</v>
      </c>
      <c r="H93" s="188"/>
      <c r="I93" s="188"/>
      <c r="J93" s="188"/>
      <c r="K93" s="189"/>
      <c r="L93" s="189"/>
      <c r="M93" s="189"/>
      <c r="N93" s="189"/>
      <c r="O93" s="193"/>
      <c r="P93" s="193"/>
      <c r="Q93" s="191"/>
      <c r="R93" s="191"/>
      <c r="S93" s="192"/>
      <c r="AQ93" s="31"/>
      <c r="AR93" s="31"/>
    </row>
    <row r="94" spans="1:44" ht="25.25" customHeight="1" thickTop="1" thickBot="1" x14ac:dyDescent="0.4">
      <c r="A94" s="184" t="s">
        <v>499</v>
      </c>
      <c r="B94" s="185" t="s">
        <v>499</v>
      </c>
      <c r="C94" s="185" t="s">
        <v>499</v>
      </c>
      <c r="D94" s="186" t="s">
        <v>499</v>
      </c>
      <c r="E94" s="185" t="s">
        <v>499</v>
      </c>
      <c r="F94" s="185" t="s">
        <v>499</v>
      </c>
      <c r="G94" s="187">
        <f t="shared" si="1"/>
        <v>0</v>
      </c>
      <c r="H94" s="188"/>
      <c r="I94" s="188"/>
      <c r="J94" s="188"/>
      <c r="K94" s="189"/>
      <c r="L94" s="189"/>
      <c r="M94" s="189"/>
      <c r="N94" s="189"/>
      <c r="O94" s="193"/>
      <c r="P94" s="193"/>
      <c r="Q94" s="191"/>
      <c r="R94" s="191"/>
      <c r="S94" s="192"/>
      <c r="AQ94" s="31"/>
      <c r="AR94" s="31"/>
    </row>
    <row r="95" spans="1:44" ht="25.25" customHeight="1" thickTop="1" thickBot="1" x14ac:dyDescent="0.4">
      <c r="A95" s="184" t="s">
        <v>499</v>
      </c>
      <c r="B95" s="185" t="s">
        <v>499</v>
      </c>
      <c r="C95" s="185" t="s">
        <v>499</v>
      </c>
      <c r="D95" s="186" t="s">
        <v>499</v>
      </c>
      <c r="E95" s="185" t="s">
        <v>499</v>
      </c>
      <c r="F95" s="185" t="s">
        <v>499</v>
      </c>
      <c r="G95" s="187">
        <f t="shared" si="1"/>
        <v>0</v>
      </c>
      <c r="H95" s="188"/>
      <c r="I95" s="188"/>
      <c r="J95" s="188"/>
      <c r="K95" s="189"/>
      <c r="L95" s="189"/>
      <c r="M95" s="189"/>
      <c r="N95" s="189"/>
      <c r="O95" s="193"/>
      <c r="P95" s="193"/>
      <c r="Q95" s="191"/>
      <c r="R95" s="191"/>
      <c r="S95" s="192"/>
      <c r="AQ95" s="31"/>
      <c r="AR95" s="31"/>
    </row>
    <row r="96" spans="1:44" ht="25.25" customHeight="1" thickTop="1" thickBot="1" x14ac:dyDescent="0.4">
      <c r="A96" s="184" t="s">
        <v>499</v>
      </c>
      <c r="B96" s="185" t="s">
        <v>499</v>
      </c>
      <c r="C96" s="185" t="s">
        <v>499</v>
      </c>
      <c r="D96" s="186" t="s">
        <v>499</v>
      </c>
      <c r="E96" s="185" t="s">
        <v>499</v>
      </c>
      <c r="F96" s="185" t="s">
        <v>499</v>
      </c>
      <c r="G96" s="187">
        <f t="shared" si="1"/>
        <v>0</v>
      </c>
      <c r="H96" s="188"/>
      <c r="I96" s="188"/>
      <c r="J96" s="188"/>
      <c r="K96" s="189"/>
      <c r="L96" s="189"/>
      <c r="M96" s="189"/>
      <c r="N96" s="189"/>
      <c r="O96" s="193"/>
      <c r="P96" s="193"/>
      <c r="Q96" s="191"/>
      <c r="R96" s="191"/>
      <c r="S96" s="192"/>
      <c r="AQ96" s="31"/>
      <c r="AR96" s="31"/>
    </row>
    <row r="97" spans="1:44" ht="25.25" customHeight="1" thickTop="1" thickBot="1" x14ac:dyDescent="0.4">
      <c r="A97" s="184" t="s">
        <v>499</v>
      </c>
      <c r="B97" s="185" t="s">
        <v>499</v>
      </c>
      <c r="C97" s="185" t="s">
        <v>499</v>
      </c>
      <c r="D97" s="186" t="s">
        <v>499</v>
      </c>
      <c r="E97" s="185" t="s">
        <v>499</v>
      </c>
      <c r="F97" s="185" t="s">
        <v>499</v>
      </c>
      <c r="G97" s="187">
        <f t="shared" si="1"/>
        <v>0</v>
      </c>
      <c r="H97" s="188"/>
      <c r="I97" s="188"/>
      <c r="J97" s="188"/>
      <c r="K97" s="189"/>
      <c r="L97" s="189"/>
      <c r="M97" s="189"/>
      <c r="N97" s="189"/>
      <c r="O97" s="193"/>
      <c r="P97" s="193"/>
      <c r="Q97" s="191"/>
      <c r="R97" s="191"/>
      <c r="S97" s="192"/>
      <c r="AQ97" s="31"/>
      <c r="AR97" s="31"/>
    </row>
    <row r="98" spans="1:44" ht="25.25" customHeight="1" thickTop="1" thickBot="1" x14ac:dyDescent="0.4">
      <c r="A98" s="184" t="s">
        <v>499</v>
      </c>
      <c r="B98" s="185" t="s">
        <v>499</v>
      </c>
      <c r="C98" s="185" t="s">
        <v>499</v>
      </c>
      <c r="D98" s="186" t="s">
        <v>499</v>
      </c>
      <c r="E98" s="185" t="s">
        <v>499</v>
      </c>
      <c r="F98" s="185" t="s">
        <v>499</v>
      </c>
      <c r="G98" s="187">
        <f t="shared" si="1"/>
        <v>0</v>
      </c>
      <c r="H98" s="188"/>
      <c r="I98" s="188"/>
      <c r="J98" s="188"/>
      <c r="K98" s="189"/>
      <c r="L98" s="189"/>
      <c r="M98" s="189"/>
      <c r="N98" s="189"/>
      <c r="O98" s="193"/>
      <c r="P98" s="193"/>
      <c r="Q98" s="191"/>
      <c r="R98" s="191"/>
      <c r="S98" s="192"/>
      <c r="AQ98" s="31"/>
      <c r="AR98" s="31"/>
    </row>
    <row r="99" spans="1:44" ht="25.25" customHeight="1" thickTop="1" thickBot="1" x14ac:dyDescent="0.4">
      <c r="A99" s="184" t="s">
        <v>499</v>
      </c>
      <c r="B99" s="185" t="s">
        <v>499</v>
      </c>
      <c r="C99" s="185" t="s">
        <v>499</v>
      </c>
      <c r="D99" s="186" t="s">
        <v>499</v>
      </c>
      <c r="E99" s="185" t="s">
        <v>499</v>
      </c>
      <c r="F99" s="185" t="s">
        <v>499</v>
      </c>
      <c r="G99" s="187">
        <f t="shared" si="1"/>
        <v>0</v>
      </c>
      <c r="H99" s="188"/>
      <c r="I99" s="188"/>
      <c r="J99" s="188"/>
      <c r="K99" s="189"/>
      <c r="L99" s="189"/>
      <c r="M99" s="189"/>
      <c r="N99" s="189"/>
      <c r="O99" s="193"/>
      <c r="P99" s="193"/>
      <c r="Q99" s="191"/>
      <c r="R99" s="191"/>
      <c r="S99" s="192"/>
      <c r="AQ99" s="31"/>
      <c r="AR99" s="31"/>
    </row>
    <row r="100" spans="1:44" ht="25.25" customHeight="1" thickTop="1" thickBot="1" x14ac:dyDescent="0.4">
      <c r="A100" s="184" t="s">
        <v>499</v>
      </c>
      <c r="B100" s="185" t="s">
        <v>499</v>
      </c>
      <c r="C100" s="185" t="s">
        <v>499</v>
      </c>
      <c r="D100" s="186" t="s">
        <v>499</v>
      </c>
      <c r="E100" s="185" t="s">
        <v>499</v>
      </c>
      <c r="F100" s="185" t="s">
        <v>499</v>
      </c>
      <c r="G100" s="187">
        <f t="shared" si="1"/>
        <v>0</v>
      </c>
      <c r="H100" s="188"/>
      <c r="I100" s="188"/>
      <c r="J100" s="188"/>
      <c r="K100" s="185"/>
      <c r="L100" s="185"/>
      <c r="M100" s="185"/>
      <c r="N100" s="185"/>
      <c r="O100" s="193"/>
      <c r="P100" s="193"/>
      <c r="Q100" s="191"/>
      <c r="R100" s="191"/>
      <c r="S100" s="192"/>
      <c r="AQ100" s="31"/>
      <c r="AR100" s="31"/>
    </row>
    <row r="101" spans="1:44" ht="25.25" customHeight="1" thickTop="1" thickBot="1" x14ac:dyDescent="0.4">
      <c r="A101" s="184" t="s">
        <v>499</v>
      </c>
      <c r="B101" s="185" t="s">
        <v>499</v>
      </c>
      <c r="C101" s="185" t="s">
        <v>499</v>
      </c>
      <c r="D101" s="186" t="s">
        <v>499</v>
      </c>
      <c r="E101" s="185" t="s">
        <v>499</v>
      </c>
      <c r="F101" s="185" t="s">
        <v>499</v>
      </c>
      <c r="G101" s="187">
        <f t="shared" si="1"/>
        <v>0</v>
      </c>
      <c r="H101" s="188"/>
      <c r="I101" s="188"/>
      <c r="J101" s="188"/>
      <c r="K101" s="185"/>
      <c r="L101" s="185"/>
      <c r="M101" s="185"/>
      <c r="N101" s="185"/>
      <c r="O101" s="193"/>
      <c r="P101" s="193"/>
      <c r="Q101" s="191"/>
      <c r="R101" s="191"/>
      <c r="S101" s="192"/>
      <c r="AQ101" s="31"/>
      <c r="AR101" s="31"/>
    </row>
    <row r="102" spans="1:44" ht="25.25" customHeight="1" thickTop="1" thickBot="1" x14ac:dyDescent="0.4">
      <c r="A102" s="184" t="s">
        <v>499</v>
      </c>
      <c r="B102" s="185" t="s">
        <v>499</v>
      </c>
      <c r="C102" s="185" t="s">
        <v>499</v>
      </c>
      <c r="D102" s="186" t="s">
        <v>499</v>
      </c>
      <c r="E102" s="185" t="s">
        <v>499</v>
      </c>
      <c r="F102" s="185" t="s">
        <v>499</v>
      </c>
      <c r="G102" s="187">
        <f t="shared" si="1"/>
        <v>0</v>
      </c>
      <c r="H102" s="188"/>
      <c r="I102" s="188"/>
      <c r="J102" s="188"/>
      <c r="K102" s="185"/>
      <c r="L102" s="185"/>
      <c r="M102" s="185"/>
      <c r="N102" s="185"/>
      <c r="O102" s="193"/>
      <c r="P102" s="193"/>
      <c r="Q102" s="191"/>
      <c r="R102" s="191"/>
      <c r="S102" s="192"/>
      <c r="AQ102" s="31"/>
      <c r="AR102" s="31"/>
    </row>
    <row r="103" spans="1:44" ht="25.25" customHeight="1" thickTop="1" thickBot="1" x14ac:dyDescent="0.4">
      <c r="A103" s="184" t="s">
        <v>499</v>
      </c>
      <c r="B103" s="185" t="s">
        <v>499</v>
      </c>
      <c r="C103" s="185" t="s">
        <v>499</v>
      </c>
      <c r="D103" s="186" t="s">
        <v>499</v>
      </c>
      <c r="E103" s="185" t="s">
        <v>499</v>
      </c>
      <c r="F103" s="185" t="s">
        <v>499</v>
      </c>
      <c r="G103" s="187">
        <f t="shared" si="1"/>
        <v>0</v>
      </c>
      <c r="H103" s="188"/>
      <c r="I103" s="188"/>
      <c r="J103" s="188"/>
      <c r="K103" s="185"/>
      <c r="L103" s="185"/>
      <c r="M103" s="185"/>
      <c r="N103" s="185"/>
      <c r="O103" s="193"/>
      <c r="P103" s="193"/>
      <c r="Q103" s="191"/>
      <c r="R103" s="191"/>
      <c r="S103" s="192"/>
      <c r="AQ103" s="31"/>
      <c r="AR103" s="31"/>
    </row>
    <row r="104" spans="1:44" ht="25.25" customHeight="1" thickTop="1" thickBot="1" x14ac:dyDescent="0.4">
      <c r="A104" s="184" t="s">
        <v>499</v>
      </c>
      <c r="B104" s="185" t="s">
        <v>499</v>
      </c>
      <c r="C104" s="185" t="s">
        <v>499</v>
      </c>
      <c r="D104" s="186" t="s">
        <v>499</v>
      </c>
      <c r="E104" s="185" t="s">
        <v>499</v>
      </c>
      <c r="F104" s="185" t="s">
        <v>499</v>
      </c>
      <c r="G104" s="187">
        <f t="shared" si="1"/>
        <v>0</v>
      </c>
      <c r="H104" s="188"/>
      <c r="I104" s="188"/>
      <c r="J104" s="188"/>
      <c r="K104" s="185"/>
      <c r="L104" s="185"/>
      <c r="M104" s="185"/>
      <c r="N104" s="185"/>
      <c r="O104" s="193"/>
      <c r="P104" s="193"/>
      <c r="Q104" s="191"/>
      <c r="R104" s="191"/>
      <c r="S104" s="192"/>
      <c r="AQ104" s="31"/>
      <c r="AR104" s="31"/>
    </row>
    <row r="105" spans="1:44" ht="25.25" customHeight="1" thickTop="1" thickBot="1" x14ac:dyDescent="0.4">
      <c r="A105" s="184" t="s">
        <v>499</v>
      </c>
      <c r="B105" s="185" t="s">
        <v>499</v>
      </c>
      <c r="C105" s="185" t="s">
        <v>499</v>
      </c>
      <c r="D105" s="186" t="s">
        <v>499</v>
      </c>
      <c r="E105" s="185" t="s">
        <v>499</v>
      </c>
      <c r="F105" s="185" t="s">
        <v>499</v>
      </c>
      <c r="G105" s="187">
        <f t="shared" si="1"/>
        <v>0</v>
      </c>
      <c r="H105" s="188"/>
      <c r="I105" s="188"/>
      <c r="J105" s="188"/>
      <c r="K105" s="185"/>
      <c r="L105" s="185"/>
      <c r="M105" s="185"/>
      <c r="N105" s="185"/>
      <c r="O105" s="193"/>
      <c r="P105" s="193"/>
      <c r="Q105" s="191"/>
      <c r="R105" s="191"/>
      <c r="S105" s="192"/>
      <c r="AQ105" s="31"/>
      <c r="AR105" s="31"/>
    </row>
    <row r="106" spans="1:44" ht="25.25" customHeight="1" thickTop="1" thickBot="1" x14ac:dyDescent="0.4">
      <c r="A106" s="184" t="s">
        <v>499</v>
      </c>
      <c r="B106" s="185" t="s">
        <v>499</v>
      </c>
      <c r="C106" s="185" t="s">
        <v>499</v>
      </c>
      <c r="D106" s="186" t="s">
        <v>499</v>
      </c>
      <c r="E106" s="185" t="s">
        <v>499</v>
      </c>
      <c r="F106" s="185" t="s">
        <v>499</v>
      </c>
      <c r="G106" s="187">
        <f t="shared" si="1"/>
        <v>0</v>
      </c>
      <c r="H106" s="188"/>
      <c r="I106" s="188"/>
      <c r="J106" s="188"/>
      <c r="K106" s="185"/>
      <c r="L106" s="185"/>
      <c r="M106" s="185"/>
      <c r="N106" s="185"/>
      <c r="O106" s="193"/>
      <c r="P106" s="193"/>
      <c r="Q106" s="191"/>
      <c r="R106" s="191"/>
      <c r="S106" s="192"/>
      <c r="AQ106" s="31"/>
      <c r="AR106" s="31"/>
    </row>
    <row r="107" spans="1:44" ht="25.25" customHeight="1" thickTop="1" thickBot="1" x14ac:dyDescent="0.4">
      <c r="A107" s="184" t="s">
        <v>499</v>
      </c>
      <c r="B107" s="185" t="s">
        <v>499</v>
      </c>
      <c r="C107" s="185" t="s">
        <v>499</v>
      </c>
      <c r="D107" s="186" t="s">
        <v>499</v>
      </c>
      <c r="E107" s="185" t="s">
        <v>499</v>
      </c>
      <c r="F107" s="185" t="s">
        <v>499</v>
      </c>
      <c r="G107" s="187">
        <f t="shared" si="1"/>
        <v>0</v>
      </c>
      <c r="H107" s="188"/>
      <c r="I107" s="188"/>
      <c r="J107" s="188"/>
      <c r="K107" s="185"/>
      <c r="L107" s="185"/>
      <c r="M107" s="185"/>
      <c r="N107" s="185"/>
      <c r="O107" s="193"/>
      <c r="P107" s="193"/>
      <c r="Q107" s="191"/>
      <c r="R107" s="191"/>
      <c r="S107" s="192"/>
      <c r="AQ107" s="31"/>
      <c r="AR107" s="31"/>
    </row>
    <row r="108" spans="1:44" ht="25.25" customHeight="1" thickTop="1" thickBot="1" x14ac:dyDescent="0.4">
      <c r="A108" s="184" t="s">
        <v>499</v>
      </c>
      <c r="B108" s="185" t="s">
        <v>499</v>
      </c>
      <c r="C108" s="185" t="s">
        <v>499</v>
      </c>
      <c r="D108" s="186" t="s">
        <v>499</v>
      </c>
      <c r="E108" s="185" t="s">
        <v>499</v>
      </c>
      <c r="F108" s="185" t="s">
        <v>499</v>
      </c>
      <c r="G108" s="187">
        <f t="shared" si="1"/>
        <v>0</v>
      </c>
      <c r="H108" s="188"/>
      <c r="I108" s="188"/>
      <c r="J108" s="188"/>
      <c r="K108" s="185"/>
      <c r="L108" s="185"/>
      <c r="M108" s="185"/>
      <c r="N108" s="185"/>
      <c r="O108" s="193"/>
      <c r="P108" s="193"/>
      <c r="Q108" s="191"/>
      <c r="R108" s="191"/>
      <c r="S108" s="192"/>
      <c r="AQ108" s="31"/>
      <c r="AR108" s="31"/>
    </row>
    <row r="109" spans="1:44" ht="25.25" customHeight="1" thickTop="1" thickBot="1" x14ac:dyDescent="0.4">
      <c r="A109" s="184" t="s">
        <v>499</v>
      </c>
      <c r="B109" s="185" t="s">
        <v>499</v>
      </c>
      <c r="C109" s="185" t="s">
        <v>499</v>
      </c>
      <c r="D109" s="186" t="s">
        <v>499</v>
      </c>
      <c r="E109" s="185" t="s">
        <v>499</v>
      </c>
      <c r="F109" s="185" t="s">
        <v>499</v>
      </c>
      <c r="G109" s="187">
        <f t="shared" si="1"/>
        <v>0</v>
      </c>
      <c r="H109" s="188"/>
      <c r="I109" s="188"/>
      <c r="J109" s="188"/>
      <c r="K109" s="185"/>
      <c r="L109" s="185"/>
      <c r="M109" s="185"/>
      <c r="N109" s="185"/>
      <c r="O109" s="193"/>
      <c r="P109" s="193"/>
      <c r="Q109" s="191"/>
      <c r="R109" s="191"/>
      <c r="S109" s="192"/>
      <c r="AQ109" s="31"/>
      <c r="AR109" s="31"/>
    </row>
    <row r="110" spans="1:44" ht="25.25" customHeight="1" thickTop="1" thickBot="1" x14ac:dyDescent="0.4">
      <c r="A110" s="184" t="s">
        <v>499</v>
      </c>
      <c r="B110" s="185" t="s">
        <v>499</v>
      </c>
      <c r="C110" s="185" t="s">
        <v>499</v>
      </c>
      <c r="D110" s="186" t="s">
        <v>499</v>
      </c>
      <c r="E110" s="185" t="s">
        <v>499</v>
      </c>
      <c r="F110" s="185" t="s">
        <v>499</v>
      </c>
      <c r="G110" s="187">
        <f t="shared" si="1"/>
        <v>0</v>
      </c>
      <c r="H110" s="188"/>
      <c r="I110" s="188"/>
      <c r="J110" s="188"/>
      <c r="K110" s="185"/>
      <c r="L110" s="185"/>
      <c r="M110" s="185"/>
      <c r="N110" s="185"/>
      <c r="O110" s="193"/>
      <c r="P110" s="193"/>
      <c r="Q110" s="191"/>
      <c r="R110" s="191"/>
      <c r="S110" s="192"/>
      <c r="AQ110" s="31"/>
      <c r="AR110" s="31"/>
    </row>
    <row r="111" spans="1:44" ht="25.25" customHeight="1" thickTop="1" thickBot="1" x14ac:dyDescent="0.4">
      <c r="A111" s="184" t="s">
        <v>499</v>
      </c>
      <c r="B111" s="185" t="s">
        <v>499</v>
      </c>
      <c r="C111" s="185" t="s">
        <v>499</v>
      </c>
      <c r="D111" s="186" t="s">
        <v>499</v>
      </c>
      <c r="E111" s="185" t="s">
        <v>499</v>
      </c>
      <c r="F111" s="185" t="s">
        <v>499</v>
      </c>
      <c r="G111" s="187">
        <f t="shared" si="1"/>
        <v>0</v>
      </c>
      <c r="H111" s="188"/>
      <c r="I111" s="188"/>
      <c r="J111" s="188"/>
      <c r="K111" s="185"/>
      <c r="L111" s="185"/>
      <c r="M111" s="185"/>
      <c r="N111" s="185"/>
      <c r="O111" s="193"/>
      <c r="P111" s="193"/>
      <c r="Q111" s="191"/>
      <c r="R111" s="191"/>
      <c r="S111" s="192"/>
      <c r="AQ111" s="31"/>
      <c r="AR111" s="31"/>
    </row>
    <row r="112" spans="1:44" ht="25.25" customHeight="1" thickTop="1" thickBot="1" x14ac:dyDescent="0.4">
      <c r="A112" s="184" t="s">
        <v>499</v>
      </c>
      <c r="B112" s="185" t="s">
        <v>499</v>
      </c>
      <c r="C112" s="185" t="s">
        <v>499</v>
      </c>
      <c r="D112" s="186" t="s">
        <v>499</v>
      </c>
      <c r="E112" s="185" t="s">
        <v>499</v>
      </c>
      <c r="F112" s="185" t="s">
        <v>499</v>
      </c>
      <c r="G112" s="187">
        <f t="shared" si="1"/>
        <v>0</v>
      </c>
      <c r="H112" s="188"/>
      <c r="I112" s="188"/>
      <c r="J112" s="188"/>
      <c r="K112" s="185"/>
      <c r="L112" s="185"/>
      <c r="M112" s="185"/>
      <c r="N112" s="185"/>
      <c r="O112" s="193"/>
      <c r="P112" s="193"/>
      <c r="Q112" s="191"/>
      <c r="R112" s="191"/>
      <c r="S112" s="192"/>
      <c r="AQ112" s="31"/>
      <c r="AR112" s="31"/>
    </row>
    <row r="113" spans="1:44" ht="25.25" customHeight="1" thickTop="1" thickBot="1" x14ac:dyDescent="0.4">
      <c r="A113" s="184" t="s">
        <v>499</v>
      </c>
      <c r="B113" s="185" t="s">
        <v>499</v>
      </c>
      <c r="C113" s="185" t="s">
        <v>499</v>
      </c>
      <c r="D113" s="186" t="s">
        <v>499</v>
      </c>
      <c r="E113" s="185" t="s">
        <v>499</v>
      </c>
      <c r="F113" s="185" t="s">
        <v>499</v>
      </c>
      <c r="G113" s="187">
        <f t="shared" si="1"/>
        <v>0</v>
      </c>
      <c r="H113" s="188"/>
      <c r="I113" s="188"/>
      <c r="J113" s="188"/>
      <c r="K113" s="185"/>
      <c r="L113" s="185"/>
      <c r="M113" s="185"/>
      <c r="N113" s="185"/>
      <c r="O113" s="193"/>
      <c r="P113" s="193"/>
      <c r="Q113" s="191"/>
      <c r="R113" s="191"/>
      <c r="S113" s="192"/>
      <c r="AQ113" s="31"/>
      <c r="AR113" s="31"/>
    </row>
    <row r="114" spans="1:44" ht="25.25" customHeight="1" thickTop="1" thickBot="1" x14ac:dyDescent="0.4">
      <c r="A114" s="184" t="s">
        <v>499</v>
      </c>
      <c r="B114" s="185" t="s">
        <v>499</v>
      </c>
      <c r="C114" s="185" t="s">
        <v>499</v>
      </c>
      <c r="D114" s="186" t="s">
        <v>499</v>
      </c>
      <c r="E114" s="185" t="s">
        <v>499</v>
      </c>
      <c r="F114" s="185" t="s">
        <v>499</v>
      </c>
      <c r="G114" s="187">
        <f t="shared" si="1"/>
        <v>0</v>
      </c>
      <c r="H114" s="188"/>
      <c r="I114" s="188"/>
      <c r="J114" s="188"/>
      <c r="K114" s="185"/>
      <c r="L114" s="185"/>
      <c r="M114" s="185"/>
      <c r="N114" s="185"/>
      <c r="O114" s="193"/>
      <c r="P114" s="193"/>
      <c r="Q114" s="191"/>
      <c r="R114" s="191"/>
      <c r="S114" s="192"/>
      <c r="AQ114" s="31"/>
      <c r="AR114" s="31"/>
    </row>
    <row r="115" spans="1:44" ht="25.25" customHeight="1" thickTop="1" thickBot="1" x14ac:dyDescent="0.4">
      <c r="A115" s="184" t="s">
        <v>499</v>
      </c>
      <c r="B115" s="185" t="s">
        <v>499</v>
      </c>
      <c r="C115" s="185" t="s">
        <v>499</v>
      </c>
      <c r="D115" s="186" t="s">
        <v>499</v>
      </c>
      <c r="E115" s="185" t="s">
        <v>499</v>
      </c>
      <c r="F115" s="185" t="s">
        <v>499</v>
      </c>
      <c r="G115" s="187">
        <f t="shared" si="1"/>
        <v>0</v>
      </c>
      <c r="H115" s="188"/>
      <c r="I115" s="188"/>
      <c r="J115" s="188"/>
      <c r="K115" s="185"/>
      <c r="L115" s="185"/>
      <c r="M115" s="185"/>
      <c r="N115" s="185"/>
      <c r="O115" s="193"/>
      <c r="P115" s="193"/>
      <c r="Q115" s="191"/>
      <c r="R115" s="191"/>
      <c r="S115" s="192"/>
      <c r="AQ115" s="31"/>
      <c r="AR115" s="31"/>
    </row>
    <row r="116" spans="1:44" ht="25.25" customHeight="1" thickTop="1" thickBot="1" x14ac:dyDescent="0.4">
      <c r="A116" s="184" t="s">
        <v>499</v>
      </c>
      <c r="B116" s="185" t="s">
        <v>499</v>
      </c>
      <c r="C116" s="185" t="s">
        <v>499</v>
      </c>
      <c r="D116" s="186" t="s">
        <v>499</v>
      </c>
      <c r="E116" s="185" t="s">
        <v>499</v>
      </c>
      <c r="F116" s="185" t="s">
        <v>499</v>
      </c>
      <c r="G116" s="187">
        <f t="shared" si="1"/>
        <v>0</v>
      </c>
      <c r="H116" s="188"/>
      <c r="I116" s="188"/>
      <c r="J116" s="188"/>
      <c r="K116" s="185"/>
      <c r="L116" s="185"/>
      <c r="M116" s="185"/>
      <c r="N116" s="185"/>
      <c r="O116" s="193"/>
      <c r="P116" s="193"/>
      <c r="Q116" s="191"/>
      <c r="R116" s="191"/>
      <c r="S116" s="192"/>
      <c r="AQ116" s="31"/>
      <c r="AR116" s="31"/>
    </row>
    <row r="117" spans="1:44" ht="25.25" customHeight="1" thickTop="1" thickBot="1" x14ac:dyDescent="0.4">
      <c r="A117" s="184" t="s">
        <v>499</v>
      </c>
      <c r="B117" s="185" t="s">
        <v>499</v>
      </c>
      <c r="C117" s="185" t="s">
        <v>499</v>
      </c>
      <c r="D117" s="186" t="s">
        <v>499</v>
      </c>
      <c r="E117" s="185" t="s">
        <v>499</v>
      </c>
      <c r="F117" s="185" t="s">
        <v>499</v>
      </c>
      <c r="G117" s="187">
        <f t="shared" si="1"/>
        <v>0</v>
      </c>
      <c r="H117" s="188"/>
      <c r="I117" s="188"/>
      <c r="J117" s="188"/>
      <c r="K117" s="185"/>
      <c r="L117" s="185"/>
      <c r="M117" s="185"/>
      <c r="N117" s="185"/>
      <c r="O117" s="193"/>
      <c r="P117" s="193"/>
      <c r="Q117" s="191"/>
      <c r="R117" s="191"/>
      <c r="S117" s="192"/>
      <c r="AQ117" s="31"/>
      <c r="AR117" s="31"/>
    </row>
    <row r="118" spans="1:44" ht="25.25" customHeight="1" thickTop="1" thickBot="1" x14ac:dyDescent="0.4">
      <c r="A118" s="184" t="s">
        <v>499</v>
      </c>
      <c r="B118" s="185" t="s">
        <v>499</v>
      </c>
      <c r="C118" s="185" t="s">
        <v>499</v>
      </c>
      <c r="D118" s="186" t="s">
        <v>499</v>
      </c>
      <c r="E118" s="185" t="s">
        <v>499</v>
      </c>
      <c r="F118" s="185" t="s">
        <v>499</v>
      </c>
      <c r="G118" s="187">
        <f t="shared" si="1"/>
        <v>0</v>
      </c>
      <c r="H118" s="188"/>
      <c r="I118" s="188"/>
      <c r="J118" s="188"/>
      <c r="K118" s="185"/>
      <c r="L118" s="185"/>
      <c r="M118" s="185"/>
      <c r="N118" s="185"/>
      <c r="O118" s="193"/>
      <c r="P118" s="193"/>
      <c r="Q118" s="191"/>
      <c r="R118" s="191"/>
      <c r="S118" s="192"/>
      <c r="AQ118" s="31"/>
      <c r="AR118" s="31"/>
    </row>
    <row r="119" spans="1:44" ht="25.25" customHeight="1" thickTop="1" thickBot="1" x14ac:dyDescent="0.4">
      <c r="A119" s="184" t="s">
        <v>499</v>
      </c>
      <c r="B119" s="185" t="s">
        <v>499</v>
      </c>
      <c r="C119" s="185" t="s">
        <v>499</v>
      </c>
      <c r="D119" s="186" t="s">
        <v>499</v>
      </c>
      <c r="E119" s="185" t="s">
        <v>499</v>
      </c>
      <c r="F119" s="185" t="s">
        <v>499</v>
      </c>
      <c r="G119" s="187">
        <f t="shared" si="1"/>
        <v>0</v>
      </c>
      <c r="H119" s="188"/>
      <c r="I119" s="188"/>
      <c r="J119" s="188"/>
      <c r="K119" s="185"/>
      <c r="L119" s="185"/>
      <c r="M119" s="185"/>
      <c r="N119" s="185"/>
      <c r="O119" s="193"/>
      <c r="P119" s="193"/>
      <c r="Q119" s="191"/>
      <c r="R119" s="191"/>
      <c r="S119" s="192"/>
      <c r="AQ119" s="31"/>
      <c r="AR119" s="31"/>
    </row>
    <row r="120" spans="1:44" ht="25.25" customHeight="1" thickTop="1" thickBot="1" x14ac:dyDescent="0.4">
      <c r="A120" s="184" t="s">
        <v>499</v>
      </c>
      <c r="B120" s="185" t="s">
        <v>499</v>
      </c>
      <c r="C120" s="185" t="s">
        <v>499</v>
      </c>
      <c r="D120" s="186" t="s">
        <v>499</v>
      </c>
      <c r="E120" s="185" t="s">
        <v>499</v>
      </c>
      <c r="F120" s="185" t="s">
        <v>499</v>
      </c>
      <c r="G120" s="187">
        <f t="shared" si="1"/>
        <v>0</v>
      </c>
      <c r="H120" s="188"/>
      <c r="I120" s="188"/>
      <c r="J120" s="188"/>
      <c r="K120" s="185"/>
      <c r="L120" s="185"/>
      <c r="M120" s="185"/>
      <c r="N120" s="185"/>
      <c r="O120" s="193"/>
      <c r="P120" s="193"/>
      <c r="Q120" s="191"/>
      <c r="R120" s="191"/>
      <c r="S120" s="192"/>
      <c r="AQ120" s="31"/>
      <c r="AR120" s="31"/>
    </row>
    <row r="121" spans="1:44" ht="25.25" customHeight="1" thickTop="1" thickBot="1" x14ac:dyDescent="0.4">
      <c r="A121" s="184" t="s">
        <v>499</v>
      </c>
      <c r="B121" s="185" t="s">
        <v>499</v>
      </c>
      <c r="C121" s="185" t="s">
        <v>499</v>
      </c>
      <c r="D121" s="186" t="s">
        <v>499</v>
      </c>
      <c r="E121" s="185" t="s">
        <v>499</v>
      </c>
      <c r="F121" s="185" t="s">
        <v>499</v>
      </c>
      <c r="G121" s="187">
        <f t="shared" si="1"/>
        <v>0</v>
      </c>
      <c r="H121" s="188"/>
      <c r="I121" s="188"/>
      <c r="J121" s="188"/>
      <c r="K121" s="185"/>
      <c r="L121" s="185"/>
      <c r="M121" s="185"/>
      <c r="N121" s="185"/>
      <c r="O121" s="193"/>
      <c r="P121" s="193"/>
      <c r="Q121" s="191"/>
      <c r="R121" s="191"/>
      <c r="S121" s="192"/>
      <c r="AQ121" s="31"/>
      <c r="AR121" s="31"/>
    </row>
    <row r="122" spans="1:44" ht="25.25" customHeight="1" thickTop="1" thickBot="1" x14ac:dyDescent="0.4">
      <c r="A122" s="184" t="s">
        <v>499</v>
      </c>
      <c r="B122" s="185" t="s">
        <v>499</v>
      </c>
      <c r="C122" s="185" t="s">
        <v>499</v>
      </c>
      <c r="D122" s="186" t="s">
        <v>499</v>
      </c>
      <c r="E122" s="185" t="s">
        <v>499</v>
      </c>
      <c r="F122" s="185" t="s">
        <v>499</v>
      </c>
      <c r="G122" s="187">
        <f t="shared" si="1"/>
        <v>0</v>
      </c>
      <c r="H122" s="188"/>
      <c r="I122" s="188"/>
      <c r="J122" s="188"/>
      <c r="K122" s="185"/>
      <c r="L122" s="185"/>
      <c r="M122" s="185"/>
      <c r="N122" s="185"/>
      <c r="O122" s="193"/>
      <c r="P122" s="193"/>
      <c r="Q122" s="191"/>
      <c r="R122" s="191"/>
      <c r="S122" s="192"/>
      <c r="AQ122" s="31"/>
      <c r="AR122" s="31"/>
    </row>
    <row r="123" spans="1:44" ht="25.25" customHeight="1" thickTop="1" thickBot="1" x14ac:dyDescent="0.4">
      <c r="A123" s="184" t="s">
        <v>499</v>
      </c>
      <c r="B123" s="185" t="s">
        <v>499</v>
      </c>
      <c r="C123" s="185" t="s">
        <v>499</v>
      </c>
      <c r="D123" s="186" t="s">
        <v>499</v>
      </c>
      <c r="E123" s="185" t="s">
        <v>499</v>
      </c>
      <c r="F123" s="185" t="s">
        <v>499</v>
      </c>
      <c r="G123" s="187">
        <f t="shared" si="1"/>
        <v>0</v>
      </c>
      <c r="H123" s="188"/>
      <c r="I123" s="188"/>
      <c r="J123" s="188"/>
      <c r="K123" s="185"/>
      <c r="L123" s="185"/>
      <c r="M123" s="185"/>
      <c r="N123" s="185"/>
      <c r="O123" s="193"/>
      <c r="P123" s="193"/>
      <c r="Q123" s="191"/>
      <c r="R123" s="191"/>
      <c r="S123" s="192"/>
      <c r="AQ123" s="31"/>
      <c r="AR123" s="31"/>
    </row>
    <row r="124" spans="1:44" ht="25.25" customHeight="1" thickTop="1" thickBot="1" x14ac:dyDescent="0.4">
      <c r="A124" s="184" t="s">
        <v>499</v>
      </c>
      <c r="B124" s="185" t="s">
        <v>499</v>
      </c>
      <c r="C124" s="185" t="s">
        <v>499</v>
      </c>
      <c r="D124" s="186" t="s">
        <v>499</v>
      </c>
      <c r="E124" s="185" t="s">
        <v>499</v>
      </c>
      <c r="F124" s="185" t="s">
        <v>499</v>
      </c>
      <c r="G124" s="187">
        <f t="shared" si="1"/>
        <v>0</v>
      </c>
      <c r="H124" s="188"/>
      <c r="I124" s="188"/>
      <c r="J124" s="188"/>
      <c r="K124" s="185"/>
      <c r="L124" s="185"/>
      <c r="M124" s="185"/>
      <c r="N124" s="185"/>
      <c r="O124" s="193"/>
      <c r="P124" s="193"/>
      <c r="Q124" s="191"/>
      <c r="R124" s="191"/>
      <c r="S124" s="192"/>
      <c r="AQ124" s="31"/>
      <c r="AR124" s="31"/>
    </row>
    <row r="125" spans="1:44" ht="25.25" customHeight="1" thickTop="1" thickBot="1" x14ac:dyDescent="0.4">
      <c r="A125" s="184" t="s">
        <v>499</v>
      </c>
      <c r="B125" s="185" t="s">
        <v>499</v>
      </c>
      <c r="C125" s="185" t="s">
        <v>499</v>
      </c>
      <c r="D125" s="186" t="s">
        <v>499</v>
      </c>
      <c r="E125" s="185" t="s">
        <v>499</v>
      </c>
      <c r="F125" s="185" t="s">
        <v>499</v>
      </c>
      <c r="G125" s="187">
        <f t="shared" si="1"/>
        <v>0</v>
      </c>
      <c r="H125" s="188"/>
      <c r="I125" s="188"/>
      <c r="J125" s="188"/>
      <c r="K125" s="185"/>
      <c r="L125" s="185"/>
      <c r="M125" s="185"/>
      <c r="N125" s="185"/>
      <c r="O125" s="193"/>
      <c r="P125" s="193"/>
      <c r="Q125" s="191"/>
      <c r="R125" s="191"/>
      <c r="S125" s="192"/>
      <c r="AQ125" s="31"/>
      <c r="AR125" s="31"/>
    </row>
    <row r="126" spans="1:44" ht="25.25" customHeight="1" thickTop="1" thickBot="1" x14ac:dyDescent="0.4">
      <c r="A126" s="184" t="s">
        <v>499</v>
      </c>
      <c r="B126" s="185" t="s">
        <v>499</v>
      </c>
      <c r="C126" s="185" t="s">
        <v>499</v>
      </c>
      <c r="D126" s="186" t="s">
        <v>499</v>
      </c>
      <c r="E126" s="185" t="s">
        <v>499</v>
      </c>
      <c r="F126" s="185" t="s">
        <v>499</v>
      </c>
      <c r="G126" s="187">
        <f t="shared" si="1"/>
        <v>0</v>
      </c>
      <c r="H126" s="188"/>
      <c r="I126" s="188"/>
      <c r="J126" s="188"/>
      <c r="K126" s="185"/>
      <c r="L126" s="185"/>
      <c r="M126" s="185"/>
      <c r="N126" s="185"/>
      <c r="O126" s="193"/>
      <c r="P126" s="193"/>
      <c r="Q126" s="191"/>
      <c r="R126" s="191"/>
      <c r="S126" s="192"/>
      <c r="AQ126" s="31"/>
      <c r="AR126" s="31"/>
    </row>
    <row r="127" spans="1:44" ht="25.25" customHeight="1" thickTop="1" thickBot="1" x14ac:dyDescent="0.4">
      <c r="A127" s="184" t="s">
        <v>499</v>
      </c>
      <c r="B127" s="185" t="s">
        <v>499</v>
      </c>
      <c r="C127" s="185" t="s">
        <v>499</v>
      </c>
      <c r="D127" s="186" t="s">
        <v>499</v>
      </c>
      <c r="E127" s="185" t="s">
        <v>499</v>
      </c>
      <c r="F127" s="185" t="s">
        <v>499</v>
      </c>
      <c r="G127" s="187">
        <f t="shared" si="1"/>
        <v>0</v>
      </c>
      <c r="H127" s="188"/>
      <c r="I127" s="188"/>
      <c r="J127" s="188"/>
      <c r="K127" s="185"/>
      <c r="L127" s="185"/>
      <c r="M127" s="185"/>
      <c r="N127" s="185"/>
      <c r="O127" s="193"/>
      <c r="P127" s="193"/>
      <c r="Q127" s="191"/>
      <c r="R127" s="191"/>
      <c r="S127" s="192"/>
      <c r="AQ127" s="31"/>
      <c r="AR127" s="31"/>
    </row>
    <row r="128" spans="1:44" ht="25.25" customHeight="1" thickTop="1" thickBot="1" x14ac:dyDescent="0.4">
      <c r="A128" s="184" t="s">
        <v>499</v>
      </c>
      <c r="B128" s="185" t="s">
        <v>499</v>
      </c>
      <c r="C128" s="185" t="s">
        <v>499</v>
      </c>
      <c r="D128" s="186" t="s">
        <v>499</v>
      </c>
      <c r="E128" s="185" t="s">
        <v>499</v>
      </c>
      <c r="F128" s="185" t="s">
        <v>499</v>
      </c>
      <c r="G128" s="187">
        <f t="shared" si="1"/>
        <v>0</v>
      </c>
      <c r="H128" s="188"/>
      <c r="I128" s="188"/>
      <c r="J128" s="188"/>
      <c r="K128" s="185"/>
      <c r="L128" s="185"/>
      <c r="M128" s="185"/>
      <c r="N128" s="185"/>
      <c r="O128" s="193"/>
      <c r="P128" s="193"/>
      <c r="Q128" s="191"/>
      <c r="R128" s="191"/>
      <c r="S128" s="192"/>
      <c r="AQ128" s="31"/>
      <c r="AR128" s="31"/>
    </row>
    <row r="129" spans="1:44" ht="25.25" customHeight="1" thickTop="1" thickBot="1" x14ac:dyDescent="0.4">
      <c r="A129" s="184" t="s">
        <v>499</v>
      </c>
      <c r="B129" s="185" t="s">
        <v>499</v>
      </c>
      <c r="C129" s="185" t="s">
        <v>499</v>
      </c>
      <c r="D129" s="186" t="s">
        <v>499</v>
      </c>
      <c r="E129" s="185" t="s">
        <v>499</v>
      </c>
      <c r="F129" s="185" t="s">
        <v>499</v>
      </c>
      <c r="G129" s="187">
        <f t="shared" si="1"/>
        <v>0</v>
      </c>
      <c r="H129" s="188"/>
      <c r="I129" s="188"/>
      <c r="J129" s="188"/>
      <c r="K129" s="185"/>
      <c r="L129" s="185"/>
      <c r="M129" s="185"/>
      <c r="N129" s="185"/>
      <c r="O129" s="193"/>
      <c r="P129" s="193"/>
      <c r="Q129" s="191"/>
      <c r="R129" s="191"/>
      <c r="S129" s="192"/>
      <c r="AQ129" s="31"/>
      <c r="AR129" s="31"/>
    </row>
    <row r="130" spans="1:44" ht="25.25" customHeight="1" thickTop="1" thickBot="1" x14ac:dyDescent="0.4">
      <c r="A130" s="184" t="s">
        <v>499</v>
      </c>
      <c r="B130" s="185" t="s">
        <v>499</v>
      </c>
      <c r="C130" s="185" t="s">
        <v>499</v>
      </c>
      <c r="D130" s="186" t="s">
        <v>499</v>
      </c>
      <c r="E130" s="185" t="s">
        <v>499</v>
      </c>
      <c r="F130" s="185" t="s">
        <v>499</v>
      </c>
      <c r="G130" s="187">
        <f t="shared" si="1"/>
        <v>0</v>
      </c>
      <c r="H130" s="188"/>
      <c r="I130" s="188"/>
      <c r="J130" s="188"/>
      <c r="K130" s="185"/>
      <c r="L130" s="185"/>
      <c r="M130" s="185"/>
      <c r="N130" s="185"/>
      <c r="O130" s="193"/>
      <c r="P130" s="193"/>
      <c r="Q130" s="191"/>
      <c r="R130" s="191"/>
      <c r="S130" s="192"/>
      <c r="AQ130" s="31"/>
      <c r="AR130" s="31"/>
    </row>
    <row r="131" spans="1:44" ht="25.25" customHeight="1" thickTop="1" thickBot="1" x14ac:dyDescent="0.4">
      <c r="A131" s="184" t="s">
        <v>499</v>
      </c>
      <c r="B131" s="185" t="s">
        <v>499</v>
      </c>
      <c r="C131" s="185" t="s">
        <v>499</v>
      </c>
      <c r="D131" s="186" t="s">
        <v>499</v>
      </c>
      <c r="E131" s="185" t="s">
        <v>499</v>
      </c>
      <c r="F131" s="185" t="s">
        <v>499</v>
      </c>
      <c r="G131" s="187">
        <f t="shared" si="1"/>
        <v>0</v>
      </c>
      <c r="H131" s="188"/>
      <c r="I131" s="188"/>
      <c r="J131" s="188"/>
      <c r="K131" s="185"/>
      <c r="L131" s="185"/>
      <c r="M131" s="185"/>
      <c r="N131" s="185"/>
      <c r="O131" s="193"/>
      <c r="P131" s="193"/>
      <c r="Q131" s="191"/>
      <c r="R131" s="191"/>
      <c r="S131" s="192"/>
      <c r="AQ131" s="31"/>
      <c r="AR131" s="31"/>
    </row>
    <row r="132" spans="1:44" ht="25.25" customHeight="1" thickTop="1" thickBot="1" x14ac:dyDescent="0.4">
      <c r="A132" s="184" t="s">
        <v>499</v>
      </c>
      <c r="B132" s="185" t="s">
        <v>499</v>
      </c>
      <c r="C132" s="185" t="s">
        <v>499</v>
      </c>
      <c r="D132" s="186" t="s">
        <v>499</v>
      </c>
      <c r="E132" s="185" t="s">
        <v>499</v>
      </c>
      <c r="F132" s="185" t="s">
        <v>499</v>
      </c>
      <c r="G132" s="187">
        <f t="shared" si="1"/>
        <v>0</v>
      </c>
      <c r="H132" s="188"/>
      <c r="I132" s="188"/>
      <c r="J132" s="188"/>
      <c r="K132" s="185"/>
      <c r="L132" s="185"/>
      <c r="M132" s="185"/>
      <c r="N132" s="185"/>
      <c r="O132" s="193"/>
      <c r="P132" s="193"/>
      <c r="Q132" s="191"/>
      <c r="R132" s="191"/>
      <c r="S132" s="192"/>
      <c r="AQ132" s="31"/>
      <c r="AR132" s="31"/>
    </row>
    <row r="133" spans="1:44" ht="25.25" customHeight="1" thickTop="1" thickBot="1" x14ac:dyDescent="0.4">
      <c r="A133" s="184" t="s">
        <v>499</v>
      </c>
      <c r="B133" s="185" t="s">
        <v>499</v>
      </c>
      <c r="C133" s="185" t="s">
        <v>499</v>
      </c>
      <c r="D133" s="186" t="s">
        <v>499</v>
      </c>
      <c r="E133" s="185" t="s">
        <v>499</v>
      </c>
      <c r="F133" s="185" t="s">
        <v>499</v>
      </c>
      <c r="G133" s="187">
        <f t="shared" ref="G133:G196" si="2">SUM(H133:J133)</f>
        <v>0</v>
      </c>
      <c r="H133" s="188"/>
      <c r="I133" s="188"/>
      <c r="J133" s="188"/>
      <c r="K133" s="185"/>
      <c r="L133" s="185"/>
      <c r="M133" s="185"/>
      <c r="N133" s="185"/>
      <c r="O133" s="193"/>
      <c r="P133" s="193"/>
      <c r="Q133" s="191"/>
      <c r="R133" s="191"/>
      <c r="S133" s="192"/>
      <c r="AQ133" s="31"/>
      <c r="AR133" s="31"/>
    </row>
    <row r="134" spans="1:44" ht="25.25" customHeight="1" thickTop="1" thickBot="1" x14ac:dyDescent="0.4">
      <c r="A134" s="184" t="s">
        <v>499</v>
      </c>
      <c r="B134" s="185" t="s">
        <v>499</v>
      </c>
      <c r="C134" s="185" t="s">
        <v>499</v>
      </c>
      <c r="D134" s="186" t="s">
        <v>499</v>
      </c>
      <c r="E134" s="185" t="s">
        <v>499</v>
      </c>
      <c r="F134" s="185" t="s">
        <v>499</v>
      </c>
      <c r="G134" s="187">
        <f t="shared" si="2"/>
        <v>0</v>
      </c>
      <c r="H134" s="188"/>
      <c r="I134" s="188"/>
      <c r="J134" s="188"/>
      <c r="K134" s="185"/>
      <c r="L134" s="185"/>
      <c r="M134" s="185"/>
      <c r="N134" s="185"/>
      <c r="O134" s="193"/>
      <c r="P134" s="193"/>
      <c r="Q134" s="191"/>
      <c r="R134" s="191"/>
      <c r="S134" s="192"/>
      <c r="AQ134" s="31"/>
      <c r="AR134" s="31"/>
    </row>
    <row r="135" spans="1:44" ht="25.25" customHeight="1" thickTop="1" thickBot="1" x14ac:dyDescent="0.4">
      <c r="A135" s="184" t="s">
        <v>499</v>
      </c>
      <c r="B135" s="185" t="s">
        <v>499</v>
      </c>
      <c r="C135" s="185" t="s">
        <v>499</v>
      </c>
      <c r="D135" s="186" t="s">
        <v>499</v>
      </c>
      <c r="E135" s="185" t="s">
        <v>499</v>
      </c>
      <c r="F135" s="185" t="s">
        <v>499</v>
      </c>
      <c r="G135" s="187">
        <f t="shared" si="2"/>
        <v>0</v>
      </c>
      <c r="H135" s="188"/>
      <c r="I135" s="188"/>
      <c r="J135" s="188"/>
      <c r="K135" s="185"/>
      <c r="L135" s="185"/>
      <c r="M135" s="185"/>
      <c r="N135" s="185"/>
      <c r="O135" s="193"/>
      <c r="P135" s="193"/>
      <c r="Q135" s="191"/>
      <c r="R135" s="191"/>
      <c r="S135" s="192"/>
      <c r="AQ135" s="31"/>
      <c r="AR135" s="31"/>
    </row>
    <row r="136" spans="1:44" ht="25.25" customHeight="1" thickTop="1" thickBot="1" x14ac:dyDescent="0.4">
      <c r="A136" s="184" t="s">
        <v>499</v>
      </c>
      <c r="B136" s="185" t="s">
        <v>499</v>
      </c>
      <c r="C136" s="185" t="s">
        <v>499</v>
      </c>
      <c r="D136" s="186" t="s">
        <v>499</v>
      </c>
      <c r="E136" s="185" t="s">
        <v>499</v>
      </c>
      <c r="F136" s="185" t="s">
        <v>499</v>
      </c>
      <c r="G136" s="187">
        <f t="shared" si="2"/>
        <v>0</v>
      </c>
      <c r="H136" s="188"/>
      <c r="I136" s="188"/>
      <c r="J136" s="188"/>
      <c r="K136" s="185"/>
      <c r="L136" s="185"/>
      <c r="M136" s="185"/>
      <c r="N136" s="185"/>
      <c r="O136" s="193"/>
      <c r="P136" s="193"/>
      <c r="Q136" s="191"/>
      <c r="R136" s="191"/>
      <c r="S136" s="192"/>
      <c r="AQ136" s="31"/>
      <c r="AR136" s="31"/>
    </row>
    <row r="137" spans="1:44" ht="25.25" customHeight="1" thickTop="1" thickBot="1" x14ac:dyDescent="0.4">
      <c r="A137" s="184" t="s">
        <v>499</v>
      </c>
      <c r="B137" s="185" t="s">
        <v>499</v>
      </c>
      <c r="C137" s="185" t="s">
        <v>499</v>
      </c>
      <c r="D137" s="186" t="s">
        <v>499</v>
      </c>
      <c r="E137" s="185" t="s">
        <v>499</v>
      </c>
      <c r="F137" s="185" t="s">
        <v>499</v>
      </c>
      <c r="G137" s="187">
        <f t="shared" si="2"/>
        <v>0</v>
      </c>
      <c r="H137" s="188"/>
      <c r="I137" s="188"/>
      <c r="J137" s="188"/>
      <c r="K137" s="185"/>
      <c r="L137" s="185"/>
      <c r="M137" s="185"/>
      <c r="N137" s="185"/>
      <c r="O137" s="193"/>
      <c r="P137" s="193"/>
      <c r="Q137" s="191"/>
      <c r="R137" s="191"/>
      <c r="S137" s="192"/>
      <c r="AQ137" s="31"/>
      <c r="AR137" s="31"/>
    </row>
    <row r="138" spans="1:44" ht="25.25" customHeight="1" thickTop="1" thickBot="1" x14ac:dyDescent="0.4">
      <c r="A138" s="184" t="s">
        <v>499</v>
      </c>
      <c r="B138" s="185" t="s">
        <v>499</v>
      </c>
      <c r="C138" s="185" t="s">
        <v>499</v>
      </c>
      <c r="D138" s="186" t="s">
        <v>499</v>
      </c>
      <c r="E138" s="185" t="s">
        <v>499</v>
      </c>
      <c r="F138" s="185" t="s">
        <v>499</v>
      </c>
      <c r="G138" s="187">
        <f t="shared" si="2"/>
        <v>0</v>
      </c>
      <c r="H138" s="188"/>
      <c r="I138" s="188"/>
      <c r="J138" s="188"/>
      <c r="K138" s="185"/>
      <c r="L138" s="185"/>
      <c r="M138" s="185"/>
      <c r="N138" s="185"/>
      <c r="O138" s="193"/>
      <c r="P138" s="193"/>
      <c r="Q138" s="191"/>
      <c r="R138" s="191"/>
      <c r="S138" s="192"/>
      <c r="AQ138" s="31"/>
      <c r="AR138" s="31"/>
    </row>
    <row r="139" spans="1:44" ht="25.25" customHeight="1" thickTop="1" thickBot="1" x14ac:dyDescent="0.4">
      <c r="A139" s="184" t="s">
        <v>499</v>
      </c>
      <c r="B139" s="185" t="s">
        <v>499</v>
      </c>
      <c r="C139" s="185" t="s">
        <v>499</v>
      </c>
      <c r="D139" s="186" t="s">
        <v>499</v>
      </c>
      <c r="E139" s="185" t="s">
        <v>499</v>
      </c>
      <c r="F139" s="185" t="s">
        <v>499</v>
      </c>
      <c r="G139" s="187">
        <f t="shared" si="2"/>
        <v>0</v>
      </c>
      <c r="H139" s="188"/>
      <c r="I139" s="188"/>
      <c r="J139" s="188"/>
      <c r="K139" s="185"/>
      <c r="L139" s="185"/>
      <c r="M139" s="185"/>
      <c r="N139" s="185"/>
      <c r="O139" s="193"/>
      <c r="P139" s="193"/>
      <c r="Q139" s="191"/>
      <c r="R139" s="191"/>
      <c r="S139" s="192"/>
      <c r="AQ139" s="31"/>
      <c r="AR139" s="31"/>
    </row>
    <row r="140" spans="1:44" ht="25.25" customHeight="1" thickTop="1" thickBot="1" x14ac:dyDescent="0.4">
      <c r="A140" s="184" t="s">
        <v>499</v>
      </c>
      <c r="B140" s="185" t="s">
        <v>499</v>
      </c>
      <c r="C140" s="185" t="s">
        <v>499</v>
      </c>
      <c r="D140" s="186" t="s">
        <v>499</v>
      </c>
      <c r="E140" s="185" t="s">
        <v>499</v>
      </c>
      <c r="F140" s="185" t="s">
        <v>499</v>
      </c>
      <c r="G140" s="187">
        <f t="shared" si="2"/>
        <v>0</v>
      </c>
      <c r="H140" s="188"/>
      <c r="I140" s="188"/>
      <c r="J140" s="188"/>
      <c r="K140" s="185"/>
      <c r="L140" s="185"/>
      <c r="M140" s="185"/>
      <c r="N140" s="185"/>
      <c r="O140" s="193"/>
      <c r="P140" s="193"/>
      <c r="Q140" s="191"/>
      <c r="R140" s="191"/>
      <c r="S140" s="192"/>
      <c r="AQ140" s="31"/>
      <c r="AR140" s="31"/>
    </row>
    <row r="141" spans="1:44" ht="25.25" customHeight="1" thickTop="1" thickBot="1" x14ac:dyDescent="0.4">
      <c r="A141" s="184" t="s">
        <v>499</v>
      </c>
      <c r="B141" s="185" t="s">
        <v>499</v>
      </c>
      <c r="C141" s="185" t="s">
        <v>499</v>
      </c>
      <c r="D141" s="186" t="s">
        <v>499</v>
      </c>
      <c r="E141" s="185" t="s">
        <v>499</v>
      </c>
      <c r="F141" s="185" t="s">
        <v>499</v>
      </c>
      <c r="G141" s="187">
        <f t="shared" si="2"/>
        <v>0</v>
      </c>
      <c r="H141" s="188"/>
      <c r="I141" s="188"/>
      <c r="J141" s="188"/>
      <c r="K141" s="185"/>
      <c r="L141" s="185"/>
      <c r="M141" s="185"/>
      <c r="N141" s="185"/>
      <c r="O141" s="193"/>
      <c r="P141" s="193"/>
      <c r="Q141" s="191"/>
      <c r="R141" s="191"/>
      <c r="S141" s="192"/>
      <c r="AQ141" s="31"/>
      <c r="AR141" s="31"/>
    </row>
    <row r="142" spans="1:44" ht="25.25" customHeight="1" thickTop="1" thickBot="1" x14ac:dyDescent="0.4">
      <c r="A142" s="184" t="s">
        <v>499</v>
      </c>
      <c r="B142" s="185" t="s">
        <v>499</v>
      </c>
      <c r="C142" s="185" t="s">
        <v>499</v>
      </c>
      <c r="D142" s="186" t="s">
        <v>499</v>
      </c>
      <c r="E142" s="185" t="s">
        <v>499</v>
      </c>
      <c r="F142" s="185" t="s">
        <v>499</v>
      </c>
      <c r="G142" s="187">
        <f t="shared" si="2"/>
        <v>0</v>
      </c>
      <c r="H142" s="188"/>
      <c r="I142" s="188"/>
      <c r="J142" s="188"/>
      <c r="K142" s="185"/>
      <c r="L142" s="185"/>
      <c r="M142" s="185"/>
      <c r="N142" s="185"/>
      <c r="O142" s="193"/>
      <c r="P142" s="193"/>
      <c r="Q142" s="191"/>
      <c r="R142" s="191"/>
      <c r="S142" s="192"/>
      <c r="AQ142" s="31"/>
      <c r="AR142" s="31"/>
    </row>
    <row r="143" spans="1:44" ht="25.25" customHeight="1" thickTop="1" thickBot="1" x14ac:dyDescent="0.4">
      <c r="A143" s="184" t="s">
        <v>499</v>
      </c>
      <c r="B143" s="185" t="s">
        <v>499</v>
      </c>
      <c r="C143" s="185" t="s">
        <v>499</v>
      </c>
      <c r="D143" s="186" t="s">
        <v>499</v>
      </c>
      <c r="E143" s="185" t="s">
        <v>499</v>
      </c>
      <c r="F143" s="185" t="s">
        <v>499</v>
      </c>
      <c r="G143" s="187">
        <f t="shared" si="2"/>
        <v>0</v>
      </c>
      <c r="H143" s="188"/>
      <c r="I143" s="188"/>
      <c r="J143" s="188"/>
      <c r="K143" s="185"/>
      <c r="L143" s="185"/>
      <c r="M143" s="185"/>
      <c r="N143" s="185"/>
      <c r="O143" s="193"/>
      <c r="P143" s="193"/>
      <c r="Q143" s="191"/>
      <c r="R143" s="191"/>
      <c r="S143" s="192"/>
      <c r="AQ143" s="31"/>
      <c r="AR143" s="31"/>
    </row>
    <row r="144" spans="1:44" ht="25.25" customHeight="1" thickTop="1" thickBot="1" x14ac:dyDescent="0.4">
      <c r="A144" s="184" t="s">
        <v>499</v>
      </c>
      <c r="B144" s="185" t="s">
        <v>499</v>
      </c>
      <c r="C144" s="185" t="s">
        <v>499</v>
      </c>
      <c r="D144" s="186" t="s">
        <v>499</v>
      </c>
      <c r="E144" s="185" t="s">
        <v>499</v>
      </c>
      <c r="F144" s="185" t="s">
        <v>499</v>
      </c>
      <c r="G144" s="187">
        <f t="shared" si="2"/>
        <v>0</v>
      </c>
      <c r="H144" s="188"/>
      <c r="I144" s="188"/>
      <c r="J144" s="188"/>
      <c r="K144" s="185"/>
      <c r="L144" s="185"/>
      <c r="M144" s="185"/>
      <c r="N144" s="185"/>
      <c r="O144" s="193"/>
      <c r="P144" s="193"/>
      <c r="Q144" s="191"/>
      <c r="R144" s="191"/>
      <c r="S144" s="192"/>
      <c r="AQ144" s="31"/>
      <c r="AR144" s="31"/>
    </row>
    <row r="145" spans="1:44" ht="25.25" customHeight="1" thickTop="1" thickBot="1" x14ac:dyDescent="0.4">
      <c r="A145" s="184" t="s">
        <v>499</v>
      </c>
      <c r="B145" s="185" t="s">
        <v>499</v>
      </c>
      <c r="C145" s="185" t="s">
        <v>499</v>
      </c>
      <c r="D145" s="186" t="s">
        <v>499</v>
      </c>
      <c r="E145" s="185" t="s">
        <v>499</v>
      </c>
      <c r="F145" s="185" t="s">
        <v>499</v>
      </c>
      <c r="G145" s="187">
        <f t="shared" si="2"/>
        <v>0</v>
      </c>
      <c r="H145" s="188"/>
      <c r="I145" s="188"/>
      <c r="J145" s="188"/>
      <c r="K145" s="185"/>
      <c r="L145" s="185"/>
      <c r="M145" s="185"/>
      <c r="N145" s="185"/>
      <c r="O145" s="193"/>
      <c r="P145" s="193"/>
      <c r="Q145" s="191"/>
      <c r="R145" s="191"/>
      <c r="S145" s="192"/>
      <c r="AQ145" s="31"/>
      <c r="AR145" s="31"/>
    </row>
    <row r="146" spans="1:44" ht="25.25" customHeight="1" thickTop="1" thickBot="1" x14ac:dyDescent="0.4">
      <c r="A146" s="184" t="s">
        <v>499</v>
      </c>
      <c r="B146" s="185" t="s">
        <v>499</v>
      </c>
      <c r="C146" s="185" t="s">
        <v>499</v>
      </c>
      <c r="D146" s="186" t="s">
        <v>499</v>
      </c>
      <c r="E146" s="185" t="s">
        <v>499</v>
      </c>
      <c r="F146" s="185" t="s">
        <v>499</v>
      </c>
      <c r="G146" s="187">
        <f t="shared" si="2"/>
        <v>0</v>
      </c>
      <c r="H146" s="188"/>
      <c r="I146" s="188"/>
      <c r="J146" s="188"/>
      <c r="K146" s="185"/>
      <c r="L146" s="185"/>
      <c r="M146" s="185"/>
      <c r="N146" s="185"/>
      <c r="O146" s="193"/>
      <c r="P146" s="193"/>
      <c r="Q146" s="191"/>
      <c r="R146" s="191"/>
      <c r="S146" s="192"/>
      <c r="AQ146" s="31"/>
      <c r="AR146" s="31"/>
    </row>
    <row r="147" spans="1:44" ht="25.25" customHeight="1" thickTop="1" thickBot="1" x14ac:dyDescent="0.4">
      <c r="A147" s="184" t="s">
        <v>499</v>
      </c>
      <c r="B147" s="185" t="s">
        <v>499</v>
      </c>
      <c r="C147" s="185" t="s">
        <v>499</v>
      </c>
      <c r="D147" s="186" t="s">
        <v>499</v>
      </c>
      <c r="E147" s="185" t="s">
        <v>499</v>
      </c>
      <c r="F147" s="185" t="s">
        <v>499</v>
      </c>
      <c r="G147" s="187">
        <f t="shared" si="2"/>
        <v>0</v>
      </c>
      <c r="H147" s="188"/>
      <c r="I147" s="188"/>
      <c r="J147" s="188"/>
      <c r="K147" s="185"/>
      <c r="L147" s="185"/>
      <c r="M147" s="185"/>
      <c r="N147" s="185"/>
      <c r="O147" s="193"/>
      <c r="P147" s="193"/>
      <c r="Q147" s="191"/>
      <c r="R147" s="191"/>
      <c r="S147" s="192"/>
      <c r="AQ147" s="31"/>
      <c r="AR147" s="31"/>
    </row>
    <row r="148" spans="1:44" ht="25.25" customHeight="1" thickTop="1" thickBot="1" x14ac:dyDescent="0.4">
      <c r="A148" s="184" t="s">
        <v>499</v>
      </c>
      <c r="B148" s="185" t="s">
        <v>499</v>
      </c>
      <c r="C148" s="185" t="s">
        <v>499</v>
      </c>
      <c r="D148" s="186" t="s">
        <v>499</v>
      </c>
      <c r="E148" s="185" t="s">
        <v>499</v>
      </c>
      <c r="F148" s="185" t="s">
        <v>499</v>
      </c>
      <c r="G148" s="187">
        <f t="shared" si="2"/>
        <v>0</v>
      </c>
      <c r="H148" s="188"/>
      <c r="I148" s="188"/>
      <c r="J148" s="188"/>
      <c r="K148" s="185"/>
      <c r="L148" s="185"/>
      <c r="M148" s="185"/>
      <c r="N148" s="185"/>
      <c r="O148" s="193"/>
      <c r="P148" s="193"/>
      <c r="Q148" s="191"/>
      <c r="R148" s="191"/>
      <c r="S148" s="192"/>
      <c r="AQ148" s="31"/>
      <c r="AR148" s="31"/>
    </row>
    <row r="149" spans="1:44" ht="25.25" customHeight="1" thickTop="1" thickBot="1" x14ac:dyDescent="0.4">
      <c r="A149" s="184" t="s">
        <v>499</v>
      </c>
      <c r="B149" s="185" t="s">
        <v>499</v>
      </c>
      <c r="C149" s="185" t="s">
        <v>499</v>
      </c>
      <c r="D149" s="186" t="s">
        <v>499</v>
      </c>
      <c r="E149" s="185" t="s">
        <v>499</v>
      </c>
      <c r="F149" s="185" t="s">
        <v>499</v>
      </c>
      <c r="G149" s="187">
        <f t="shared" si="2"/>
        <v>0</v>
      </c>
      <c r="H149" s="188"/>
      <c r="I149" s="188"/>
      <c r="J149" s="188"/>
      <c r="K149" s="185"/>
      <c r="L149" s="185"/>
      <c r="M149" s="185"/>
      <c r="N149" s="185"/>
      <c r="O149" s="193"/>
      <c r="P149" s="193"/>
      <c r="Q149" s="191"/>
      <c r="R149" s="191"/>
      <c r="S149" s="192"/>
      <c r="AQ149" s="31"/>
      <c r="AR149" s="31"/>
    </row>
    <row r="150" spans="1:44" ht="25.25" customHeight="1" thickTop="1" thickBot="1" x14ac:dyDescent="0.4">
      <c r="A150" s="184" t="s">
        <v>499</v>
      </c>
      <c r="B150" s="185" t="s">
        <v>499</v>
      </c>
      <c r="C150" s="185" t="s">
        <v>499</v>
      </c>
      <c r="D150" s="186" t="s">
        <v>499</v>
      </c>
      <c r="E150" s="185" t="s">
        <v>499</v>
      </c>
      <c r="F150" s="185" t="s">
        <v>499</v>
      </c>
      <c r="G150" s="187">
        <f t="shared" si="2"/>
        <v>0</v>
      </c>
      <c r="H150" s="188"/>
      <c r="I150" s="188"/>
      <c r="J150" s="188"/>
      <c r="K150" s="185"/>
      <c r="L150" s="185"/>
      <c r="M150" s="185"/>
      <c r="N150" s="185"/>
      <c r="O150" s="193"/>
      <c r="P150" s="193"/>
      <c r="Q150" s="191"/>
      <c r="R150" s="191"/>
      <c r="S150" s="192"/>
      <c r="AQ150" s="31"/>
      <c r="AR150" s="31"/>
    </row>
    <row r="151" spans="1:44" ht="25.25" customHeight="1" thickTop="1" thickBot="1" x14ac:dyDescent="0.4">
      <c r="A151" s="184" t="s">
        <v>499</v>
      </c>
      <c r="B151" s="185" t="s">
        <v>499</v>
      </c>
      <c r="C151" s="185" t="s">
        <v>499</v>
      </c>
      <c r="D151" s="186" t="s">
        <v>499</v>
      </c>
      <c r="E151" s="185" t="s">
        <v>499</v>
      </c>
      <c r="F151" s="185" t="s">
        <v>499</v>
      </c>
      <c r="G151" s="187">
        <f t="shared" si="2"/>
        <v>0</v>
      </c>
      <c r="H151" s="188"/>
      <c r="I151" s="188"/>
      <c r="J151" s="188"/>
      <c r="K151" s="185"/>
      <c r="L151" s="185"/>
      <c r="M151" s="185"/>
      <c r="N151" s="185"/>
      <c r="O151" s="193"/>
      <c r="P151" s="193"/>
      <c r="Q151" s="191"/>
      <c r="R151" s="191"/>
      <c r="S151" s="192"/>
      <c r="AQ151" s="31"/>
      <c r="AR151" s="31"/>
    </row>
    <row r="152" spans="1:44" ht="25.25" customHeight="1" thickTop="1" thickBot="1" x14ac:dyDescent="0.4">
      <c r="A152" s="184" t="s">
        <v>499</v>
      </c>
      <c r="B152" s="185" t="s">
        <v>499</v>
      </c>
      <c r="C152" s="185" t="s">
        <v>499</v>
      </c>
      <c r="D152" s="186" t="s">
        <v>499</v>
      </c>
      <c r="E152" s="185" t="s">
        <v>499</v>
      </c>
      <c r="F152" s="185" t="s">
        <v>499</v>
      </c>
      <c r="G152" s="187">
        <f t="shared" si="2"/>
        <v>0</v>
      </c>
      <c r="H152" s="188"/>
      <c r="I152" s="188"/>
      <c r="J152" s="188"/>
      <c r="K152" s="185"/>
      <c r="L152" s="185"/>
      <c r="M152" s="185"/>
      <c r="N152" s="185"/>
      <c r="O152" s="193"/>
      <c r="P152" s="193"/>
      <c r="Q152" s="191"/>
      <c r="R152" s="191"/>
      <c r="S152" s="192"/>
      <c r="AQ152" s="31"/>
      <c r="AR152" s="31"/>
    </row>
    <row r="153" spans="1:44" ht="25.25" customHeight="1" thickTop="1" thickBot="1" x14ac:dyDescent="0.4">
      <c r="A153" s="184" t="s">
        <v>499</v>
      </c>
      <c r="B153" s="185" t="s">
        <v>499</v>
      </c>
      <c r="C153" s="185" t="s">
        <v>499</v>
      </c>
      <c r="D153" s="186" t="s">
        <v>499</v>
      </c>
      <c r="E153" s="185" t="s">
        <v>499</v>
      </c>
      <c r="F153" s="185" t="s">
        <v>499</v>
      </c>
      <c r="G153" s="187">
        <f t="shared" si="2"/>
        <v>0</v>
      </c>
      <c r="H153" s="188"/>
      <c r="I153" s="188"/>
      <c r="J153" s="188"/>
      <c r="K153" s="185"/>
      <c r="L153" s="185"/>
      <c r="M153" s="185"/>
      <c r="N153" s="185"/>
      <c r="O153" s="193"/>
      <c r="P153" s="193"/>
      <c r="Q153" s="191"/>
      <c r="R153" s="191"/>
      <c r="S153" s="192"/>
      <c r="AQ153" s="31"/>
      <c r="AR153" s="31"/>
    </row>
    <row r="154" spans="1:44" ht="25.25" customHeight="1" thickTop="1" thickBot="1" x14ac:dyDescent="0.4">
      <c r="A154" s="184" t="s">
        <v>499</v>
      </c>
      <c r="B154" s="185" t="s">
        <v>499</v>
      </c>
      <c r="C154" s="185" t="s">
        <v>499</v>
      </c>
      <c r="D154" s="186" t="s">
        <v>499</v>
      </c>
      <c r="E154" s="185" t="s">
        <v>499</v>
      </c>
      <c r="F154" s="185" t="s">
        <v>499</v>
      </c>
      <c r="G154" s="187">
        <f t="shared" si="2"/>
        <v>0</v>
      </c>
      <c r="H154" s="188"/>
      <c r="I154" s="188"/>
      <c r="J154" s="188"/>
      <c r="K154" s="185"/>
      <c r="L154" s="185"/>
      <c r="M154" s="185"/>
      <c r="N154" s="185"/>
      <c r="O154" s="193"/>
      <c r="P154" s="193"/>
      <c r="Q154" s="191"/>
      <c r="R154" s="191"/>
      <c r="S154" s="192"/>
      <c r="AQ154" s="31"/>
      <c r="AR154" s="31"/>
    </row>
    <row r="155" spans="1:44" ht="25.25" customHeight="1" thickTop="1" thickBot="1" x14ac:dyDescent="0.4">
      <c r="A155" s="184" t="s">
        <v>499</v>
      </c>
      <c r="B155" s="185" t="s">
        <v>499</v>
      </c>
      <c r="C155" s="185" t="s">
        <v>499</v>
      </c>
      <c r="D155" s="186" t="s">
        <v>499</v>
      </c>
      <c r="E155" s="185" t="s">
        <v>499</v>
      </c>
      <c r="F155" s="185" t="s">
        <v>499</v>
      </c>
      <c r="G155" s="187">
        <f t="shared" si="2"/>
        <v>0</v>
      </c>
      <c r="H155" s="188"/>
      <c r="I155" s="188"/>
      <c r="J155" s="188"/>
      <c r="K155" s="185"/>
      <c r="L155" s="185"/>
      <c r="M155" s="185"/>
      <c r="N155" s="185"/>
      <c r="O155" s="193"/>
      <c r="P155" s="193"/>
      <c r="Q155" s="191"/>
      <c r="R155" s="191"/>
      <c r="S155" s="192"/>
      <c r="AQ155" s="31"/>
      <c r="AR155" s="31"/>
    </row>
    <row r="156" spans="1:44" ht="25.25" customHeight="1" thickTop="1" thickBot="1" x14ac:dyDescent="0.4">
      <c r="A156" s="184" t="s">
        <v>499</v>
      </c>
      <c r="B156" s="185" t="s">
        <v>499</v>
      </c>
      <c r="C156" s="185" t="s">
        <v>499</v>
      </c>
      <c r="D156" s="186" t="s">
        <v>499</v>
      </c>
      <c r="E156" s="185" t="s">
        <v>499</v>
      </c>
      <c r="F156" s="185" t="s">
        <v>499</v>
      </c>
      <c r="G156" s="187">
        <f t="shared" si="2"/>
        <v>0</v>
      </c>
      <c r="H156" s="188"/>
      <c r="I156" s="188"/>
      <c r="J156" s="188"/>
      <c r="K156" s="185"/>
      <c r="L156" s="185"/>
      <c r="M156" s="185"/>
      <c r="N156" s="185"/>
      <c r="O156" s="193"/>
      <c r="P156" s="193"/>
      <c r="Q156" s="191"/>
      <c r="R156" s="191"/>
      <c r="S156" s="192"/>
      <c r="AQ156" s="31"/>
      <c r="AR156" s="31"/>
    </row>
    <row r="157" spans="1:44" ht="25.25" customHeight="1" thickTop="1" thickBot="1" x14ac:dyDescent="0.4">
      <c r="A157" s="184" t="s">
        <v>499</v>
      </c>
      <c r="B157" s="185" t="s">
        <v>499</v>
      </c>
      <c r="C157" s="185" t="s">
        <v>499</v>
      </c>
      <c r="D157" s="186" t="s">
        <v>499</v>
      </c>
      <c r="E157" s="185" t="s">
        <v>499</v>
      </c>
      <c r="F157" s="185" t="s">
        <v>499</v>
      </c>
      <c r="G157" s="187">
        <f t="shared" si="2"/>
        <v>0</v>
      </c>
      <c r="H157" s="188"/>
      <c r="I157" s="188"/>
      <c r="J157" s="188"/>
      <c r="K157" s="185"/>
      <c r="L157" s="185"/>
      <c r="M157" s="185"/>
      <c r="N157" s="185"/>
      <c r="O157" s="193"/>
      <c r="P157" s="193"/>
      <c r="Q157" s="191"/>
      <c r="R157" s="191"/>
      <c r="S157" s="192"/>
      <c r="AQ157" s="31"/>
      <c r="AR157" s="31"/>
    </row>
    <row r="158" spans="1:44" ht="25.25" customHeight="1" thickTop="1" thickBot="1" x14ac:dyDescent="0.4">
      <c r="A158" s="184" t="s">
        <v>499</v>
      </c>
      <c r="B158" s="185" t="s">
        <v>499</v>
      </c>
      <c r="C158" s="185" t="s">
        <v>499</v>
      </c>
      <c r="D158" s="186" t="s">
        <v>499</v>
      </c>
      <c r="E158" s="185" t="s">
        <v>499</v>
      </c>
      <c r="F158" s="185" t="s">
        <v>499</v>
      </c>
      <c r="G158" s="187">
        <f t="shared" si="2"/>
        <v>0</v>
      </c>
      <c r="H158" s="188"/>
      <c r="I158" s="188"/>
      <c r="J158" s="188"/>
      <c r="K158" s="185"/>
      <c r="L158" s="185"/>
      <c r="M158" s="185"/>
      <c r="N158" s="185"/>
      <c r="O158" s="193"/>
      <c r="P158" s="193"/>
      <c r="Q158" s="191"/>
      <c r="R158" s="191"/>
      <c r="S158" s="192"/>
      <c r="AQ158" s="31"/>
      <c r="AR158" s="31"/>
    </row>
    <row r="159" spans="1:44" ht="25.25" customHeight="1" thickTop="1" thickBot="1" x14ac:dyDescent="0.4">
      <c r="A159" s="184" t="s">
        <v>499</v>
      </c>
      <c r="B159" s="185" t="s">
        <v>499</v>
      </c>
      <c r="C159" s="185" t="s">
        <v>499</v>
      </c>
      <c r="D159" s="186" t="s">
        <v>499</v>
      </c>
      <c r="E159" s="185" t="s">
        <v>499</v>
      </c>
      <c r="F159" s="185" t="s">
        <v>499</v>
      </c>
      <c r="G159" s="187">
        <f t="shared" si="2"/>
        <v>0</v>
      </c>
      <c r="H159" s="188"/>
      <c r="I159" s="188"/>
      <c r="J159" s="188"/>
      <c r="K159" s="185"/>
      <c r="L159" s="185"/>
      <c r="M159" s="185"/>
      <c r="N159" s="185"/>
      <c r="O159" s="193"/>
      <c r="P159" s="193"/>
      <c r="Q159" s="191"/>
      <c r="R159" s="191"/>
      <c r="S159" s="192"/>
      <c r="AQ159" s="31"/>
      <c r="AR159" s="31"/>
    </row>
    <row r="160" spans="1:44" ht="25.25" customHeight="1" thickTop="1" thickBot="1" x14ac:dyDescent="0.4">
      <c r="A160" s="184" t="s">
        <v>499</v>
      </c>
      <c r="B160" s="185" t="s">
        <v>499</v>
      </c>
      <c r="C160" s="185" t="s">
        <v>499</v>
      </c>
      <c r="D160" s="186" t="s">
        <v>499</v>
      </c>
      <c r="E160" s="185" t="s">
        <v>499</v>
      </c>
      <c r="F160" s="185" t="s">
        <v>499</v>
      </c>
      <c r="G160" s="187">
        <f t="shared" si="2"/>
        <v>0</v>
      </c>
      <c r="H160" s="188"/>
      <c r="I160" s="188"/>
      <c r="J160" s="188"/>
      <c r="K160" s="185"/>
      <c r="L160" s="185"/>
      <c r="M160" s="185"/>
      <c r="N160" s="185"/>
      <c r="O160" s="193"/>
      <c r="P160" s="193"/>
      <c r="Q160" s="191"/>
      <c r="R160" s="191"/>
      <c r="S160" s="192"/>
      <c r="AQ160" s="31"/>
      <c r="AR160" s="31"/>
    </row>
    <row r="161" spans="1:44" ht="25.25" customHeight="1" thickTop="1" thickBot="1" x14ac:dyDescent="0.4">
      <c r="A161" s="184" t="s">
        <v>499</v>
      </c>
      <c r="B161" s="185" t="s">
        <v>499</v>
      </c>
      <c r="C161" s="185" t="s">
        <v>499</v>
      </c>
      <c r="D161" s="186" t="s">
        <v>499</v>
      </c>
      <c r="E161" s="185" t="s">
        <v>499</v>
      </c>
      <c r="F161" s="185" t="s">
        <v>499</v>
      </c>
      <c r="G161" s="187">
        <f t="shared" si="2"/>
        <v>0</v>
      </c>
      <c r="H161" s="188"/>
      <c r="I161" s="188"/>
      <c r="J161" s="188"/>
      <c r="K161" s="185"/>
      <c r="L161" s="185"/>
      <c r="M161" s="185"/>
      <c r="N161" s="185"/>
      <c r="O161" s="193"/>
      <c r="P161" s="193"/>
      <c r="Q161" s="191"/>
      <c r="R161" s="191"/>
      <c r="S161" s="192"/>
      <c r="AQ161" s="31"/>
      <c r="AR161" s="31"/>
    </row>
    <row r="162" spans="1:44" ht="25.25" customHeight="1" thickTop="1" thickBot="1" x14ac:dyDescent="0.4">
      <c r="A162" s="184" t="s">
        <v>499</v>
      </c>
      <c r="B162" s="185" t="s">
        <v>499</v>
      </c>
      <c r="C162" s="185" t="s">
        <v>499</v>
      </c>
      <c r="D162" s="186" t="s">
        <v>499</v>
      </c>
      <c r="E162" s="185" t="s">
        <v>499</v>
      </c>
      <c r="F162" s="185" t="s">
        <v>499</v>
      </c>
      <c r="G162" s="187">
        <f t="shared" si="2"/>
        <v>0</v>
      </c>
      <c r="H162" s="188"/>
      <c r="I162" s="188"/>
      <c r="J162" s="188"/>
      <c r="K162" s="185"/>
      <c r="L162" s="185"/>
      <c r="M162" s="185"/>
      <c r="N162" s="185"/>
      <c r="O162" s="193"/>
      <c r="P162" s="193"/>
      <c r="Q162" s="191"/>
      <c r="R162" s="191"/>
      <c r="S162" s="192"/>
      <c r="AQ162" s="31"/>
      <c r="AR162" s="31"/>
    </row>
    <row r="163" spans="1:44" ht="25.25" customHeight="1" thickTop="1" thickBot="1" x14ac:dyDescent="0.4">
      <c r="A163" s="184" t="s">
        <v>499</v>
      </c>
      <c r="B163" s="185" t="s">
        <v>499</v>
      </c>
      <c r="C163" s="185" t="s">
        <v>499</v>
      </c>
      <c r="D163" s="186" t="s">
        <v>499</v>
      </c>
      <c r="E163" s="185" t="s">
        <v>499</v>
      </c>
      <c r="F163" s="185" t="s">
        <v>499</v>
      </c>
      <c r="G163" s="187">
        <f t="shared" si="2"/>
        <v>0</v>
      </c>
      <c r="H163" s="188"/>
      <c r="I163" s="188"/>
      <c r="J163" s="188"/>
      <c r="K163" s="185"/>
      <c r="L163" s="185"/>
      <c r="M163" s="185"/>
      <c r="N163" s="185"/>
      <c r="O163" s="193"/>
      <c r="P163" s="193"/>
      <c r="Q163" s="191"/>
      <c r="R163" s="191"/>
      <c r="S163" s="192"/>
      <c r="AQ163" s="31"/>
      <c r="AR163" s="31"/>
    </row>
    <row r="164" spans="1:44" ht="25.25" customHeight="1" thickTop="1" thickBot="1" x14ac:dyDescent="0.4">
      <c r="A164" s="184" t="s">
        <v>499</v>
      </c>
      <c r="B164" s="185" t="s">
        <v>499</v>
      </c>
      <c r="C164" s="185" t="s">
        <v>499</v>
      </c>
      <c r="D164" s="186" t="s">
        <v>499</v>
      </c>
      <c r="E164" s="185" t="s">
        <v>499</v>
      </c>
      <c r="F164" s="185" t="s">
        <v>499</v>
      </c>
      <c r="G164" s="187">
        <f t="shared" si="2"/>
        <v>0</v>
      </c>
      <c r="H164" s="188"/>
      <c r="I164" s="188"/>
      <c r="J164" s="188"/>
      <c r="K164" s="185"/>
      <c r="L164" s="185"/>
      <c r="M164" s="185"/>
      <c r="N164" s="185"/>
      <c r="O164" s="193"/>
      <c r="P164" s="193"/>
      <c r="Q164" s="191"/>
      <c r="R164" s="191"/>
      <c r="S164" s="192"/>
      <c r="AQ164" s="31"/>
      <c r="AR164" s="31"/>
    </row>
    <row r="165" spans="1:44" ht="25.25" customHeight="1" thickTop="1" thickBot="1" x14ac:dyDescent="0.4">
      <c r="A165" s="184" t="s">
        <v>499</v>
      </c>
      <c r="B165" s="185" t="s">
        <v>499</v>
      </c>
      <c r="C165" s="185" t="s">
        <v>499</v>
      </c>
      <c r="D165" s="186" t="s">
        <v>499</v>
      </c>
      <c r="E165" s="185" t="s">
        <v>499</v>
      </c>
      <c r="F165" s="185" t="s">
        <v>499</v>
      </c>
      <c r="G165" s="187">
        <f t="shared" si="2"/>
        <v>0</v>
      </c>
      <c r="H165" s="188"/>
      <c r="I165" s="188"/>
      <c r="J165" s="188"/>
      <c r="K165" s="185"/>
      <c r="L165" s="185"/>
      <c r="M165" s="185"/>
      <c r="N165" s="185"/>
      <c r="O165" s="193"/>
      <c r="P165" s="193"/>
      <c r="Q165" s="191"/>
      <c r="R165" s="191"/>
      <c r="S165" s="192"/>
      <c r="AQ165" s="31"/>
      <c r="AR165" s="31"/>
    </row>
    <row r="166" spans="1:44" ht="25.25" customHeight="1" thickTop="1" thickBot="1" x14ac:dyDescent="0.4">
      <c r="A166" s="184" t="s">
        <v>499</v>
      </c>
      <c r="B166" s="185" t="s">
        <v>499</v>
      </c>
      <c r="C166" s="185" t="s">
        <v>499</v>
      </c>
      <c r="D166" s="186" t="s">
        <v>499</v>
      </c>
      <c r="E166" s="185" t="s">
        <v>499</v>
      </c>
      <c r="F166" s="185" t="s">
        <v>499</v>
      </c>
      <c r="G166" s="187">
        <f t="shared" si="2"/>
        <v>0</v>
      </c>
      <c r="H166" s="188"/>
      <c r="I166" s="188"/>
      <c r="J166" s="188"/>
      <c r="K166" s="185"/>
      <c r="L166" s="185"/>
      <c r="M166" s="185"/>
      <c r="N166" s="185"/>
      <c r="O166" s="193"/>
      <c r="P166" s="193"/>
      <c r="Q166" s="191"/>
      <c r="R166" s="191"/>
      <c r="S166" s="192"/>
      <c r="AQ166" s="31"/>
      <c r="AR166" s="31"/>
    </row>
    <row r="167" spans="1:44" ht="25.25" customHeight="1" thickTop="1" thickBot="1" x14ac:dyDescent="0.4">
      <c r="A167" s="184" t="s">
        <v>499</v>
      </c>
      <c r="B167" s="185" t="s">
        <v>499</v>
      </c>
      <c r="C167" s="185" t="s">
        <v>499</v>
      </c>
      <c r="D167" s="186" t="s">
        <v>499</v>
      </c>
      <c r="E167" s="185" t="s">
        <v>499</v>
      </c>
      <c r="F167" s="185" t="s">
        <v>499</v>
      </c>
      <c r="G167" s="187">
        <f t="shared" si="2"/>
        <v>0</v>
      </c>
      <c r="H167" s="188"/>
      <c r="I167" s="188"/>
      <c r="J167" s="188"/>
      <c r="K167" s="185"/>
      <c r="L167" s="185"/>
      <c r="M167" s="185"/>
      <c r="N167" s="185"/>
      <c r="O167" s="193"/>
      <c r="P167" s="193"/>
      <c r="Q167" s="191"/>
      <c r="R167" s="191"/>
      <c r="S167" s="192"/>
      <c r="AQ167" s="31"/>
      <c r="AR167" s="31"/>
    </row>
    <row r="168" spans="1:44" ht="25.25" customHeight="1" thickTop="1" thickBot="1" x14ac:dyDescent="0.4">
      <c r="A168" s="184" t="s">
        <v>499</v>
      </c>
      <c r="B168" s="185" t="s">
        <v>499</v>
      </c>
      <c r="C168" s="185" t="s">
        <v>499</v>
      </c>
      <c r="D168" s="186" t="s">
        <v>499</v>
      </c>
      <c r="E168" s="185" t="s">
        <v>499</v>
      </c>
      <c r="F168" s="185" t="s">
        <v>499</v>
      </c>
      <c r="G168" s="187">
        <f t="shared" si="2"/>
        <v>0</v>
      </c>
      <c r="H168" s="188"/>
      <c r="I168" s="188"/>
      <c r="J168" s="188"/>
      <c r="K168" s="185"/>
      <c r="L168" s="185"/>
      <c r="M168" s="185"/>
      <c r="N168" s="185"/>
      <c r="O168" s="193"/>
      <c r="P168" s="193"/>
      <c r="Q168" s="191"/>
      <c r="R168" s="191"/>
      <c r="S168" s="192"/>
      <c r="AQ168" s="31"/>
      <c r="AR168" s="31"/>
    </row>
    <row r="169" spans="1:44" ht="25.25" customHeight="1" thickTop="1" thickBot="1" x14ac:dyDescent="0.4">
      <c r="A169" s="184" t="s">
        <v>499</v>
      </c>
      <c r="B169" s="185" t="s">
        <v>499</v>
      </c>
      <c r="C169" s="185" t="s">
        <v>499</v>
      </c>
      <c r="D169" s="186" t="s">
        <v>499</v>
      </c>
      <c r="E169" s="185" t="s">
        <v>499</v>
      </c>
      <c r="F169" s="185" t="s">
        <v>499</v>
      </c>
      <c r="G169" s="187">
        <f t="shared" si="2"/>
        <v>0</v>
      </c>
      <c r="H169" s="188"/>
      <c r="I169" s="188"/>
      <c r="J169" s="188"/>
      <c r="K169" s="185"/>
      <c r="L169" s="185"/>
      <c r="M169" s="185"/>
      <c r="N169" s="185"/>
      <c r="O169" s="193"/>
      <c r="P169" s="193"/>
      <c r="Q169" s="191"/>
      <c r="R169" s="191"/>
      <c r="S169" s="192"/>
      <c r="AQ169" s="31"/>
      <c r="AR169" s="31"/>
    </row>
    <row r="170" spans="1:44" ht="25.25" customHeight="1" thickTop="1" thickBot="1" x14ac:dyDescent="0.4">
      <c r="A170" s="184" t="s">
        <v>499</v>
      </c>
      <c r="B170" s="185" t="s">
        <v>499</v>
      </c>
      <c r="C170" s="185" t="s">
        <v>499</v>
      </c>
      <c r="D170" s="186" t="s">
        <v>499</v>
      </c>
      <c r="E170" s="185" t="s">
        <v>499</v>
      </c>
      <c r="F170" s="185" t="s">
        <v>499</v>
      </c>
      <c r="G170" s="187">
        <f t="shared" si="2"/>
        <v>0</v>
      </c>
      <c r="H170" s="188"/>
      <c r="I170" s="188"/>
      <c r="J170" s="188"/>
      <c r="K170" s="185"/>
      <c r="L170" s="185"/>
      <c r="M170" s="185"/>
      <c r="N170" s="185"/>
      <c r="O170" s="193"/>
      <c r="P170" s="193"/>
      <c r="Q170" s="191"/>
      <c r="R170" s="191"/>
      <c r="S170" s="192"/>
      <c r="AQ170" s="31"/>
      <c r="AR170" s="31"/>
    </row>
    <row r="171" spans="1:44" ht="25.25" customHeight="1" thickTop="1" thickBot="1" x14ac:dyDescent="0.4">
      <c r="A171" s="184" t="s">
        <v>499</v>
      </c>
      <c r="B171" s="185" t="s">
        <v>499</v>
      </c>
      <c r="C171" s="185" t="s">
        <v>499</v>
      </c>
      <c r="D171" s="186" t="s">
        <v>499</v>
      </c>
      <c r="E171" s="185" t="s">
        <v>499</v>
      </c>
      <c r="F171" s="185" t="s">
        <v>499</v>
      </c>
      <c r="G171" s="187">
        <f t="shared" si="2"/>
        <v>0</v>
      </c>
      <c r="H171" s="188"/>
      <c r="I171" s="188"/>
      <c r="J171" s="188"/>
      <c r="K171" s="185"/>
      <c r="L171" s="185"/>
      <c r="M171" s="185"/>
      <c r="N171" s="185"/>
      <c r="O171" s="193"/>
      <c r="P171" s="193"/>
      <c r="Q171" s="191"/>
      <c r="R171" s="191"/>
      <c r="S171" s="192"/>
      <c r="AQ171" s="31"/>
      <c r="AR171" s="31"/>
    </row>
    <row r="172" spans="1:44" ht="25.25" customHeight="1" thickTop="1" thickBot="1" x14ac:dyDescent="0.4">
      <c r="A172" s="184" t="s">
        <v>499</v>
      </c>
      <c r="B172" s="185" t="s">
        <v>499</v>
      </c>
      <c r="C172" s="185" t="s">
        <v>499</v>
      </c>
      <c r="D172" s="186" t="s">
        <v>499</v>
      </c>
      <c r="E172" s="185" t="s">
        <v>499</v>
      </c>
      <c r="F172" s="185" t="s">
        <v>499</v>
      </c>
      <c r="G172" s="187">
        <f t="shared" si="2"/>
        <v>0</v>
      </c>
      <c r="H172" s="188"/>
      <c r="I172" s="188"/>
      <c r="J172" s="188"/>
      <c r="K172" s="185"/>
      <c r="L172" s="185"/>
      <c r="M172" s="185"/>
      <c r="N172" s="185"/>
      <c r="O172" s="193"/>
      <c r="P172" s="193"/>
      <c r="Q172" s="191"/>
      <c r="R172" s="191"/>
      <c r="S172" s="192"/>
      <c r="AQ172" s="31"/>
      <c r="AR172" s="31"/>
    </row>
    <row r="173" spans="1:44" ht="25.25" customHeight="1" thickTop="1" thickBot="1" x14ac:dyDescent="0.4">
      <c r="A173" s="184" t="s">
        <v>499</v>
      </c>
      <c r="B173" s="185" t="s">
        <v>499</v>
      </c>
      <c r="C173" s="185" t="s">
        <v>499</v>
      </c>
      <c r="D173" s="186" t="s">
        <v>499</v>
      </c>
      <c r="E173" s="185" t="s">
        <v>499</v>
      </c>
      <c r="F173" s="185" t="s">
        <v>499</v>
      </c>
      <c r="G173" s="187">
        <f t="shared" si="2"/>
        <v>0</v>
      </c>
      <c r="H173" s="188"/>
      <c r="I173" s="188"/>
      <c r="J173" s="188"/>
      <c r="K173" s="185"/>
      <c r="L173" s="185"/>
      <c r="M173" s="185"/>
      <c r="N173" s="185"/>
      <c r="O173" s="193"/>
      <c r="P173" s="193"/>
      <c r="Q173" s="191"/>
      <c r="R173" s="191"/>
      <c r="S173" s="192"/>
      <c r="AQ173" s="31"/>
      <c r="AR173" s="31"/>
    </row>
    <row r="174" spans="1:44" ht="25.25" customHeight="1" thickTop="1" thickBot="1" x14ac:dyDescent="0.4">
      <c r="A174" s="184" t="s">
        <v>499</v>
      </c>
      <c r="B174" s="185" t="s">
        <v>499</v>
      </c>
      <c r="C174" s="185" t="s">
        <v>499</v>
      </c>
      <c r="D174" s="186" t="s">
        <v>499</v>
      </c>
      <c r="E174" s="185" t="s">
        <v>499</v>
      </c>
      <c r="F174" s="185" t="s">
        <v>499</v>
      </c>
      <c r="G174" s="187">
        <f t="shared" si="2"/>
        <v>0</v>
      </c>
      <c r="H174" s="188"/>
      <c r="I174" s="188"/>
      <c r="J174" s="188"/>
      <c r="K174" s="185"/>
      <c r="L174" s="185"/>
      <c r="M174" s="185"/>
      <c r="N174" s="185"/>
      <c r="O174" s="193"/>
      <c r="P174" s="193"/>
      <c r="Q174" s="191"/>
      <c r="R174" s="191"/>
      <c r="S174" s="192"/>
      <c r="AQ174" s="31"/>
      <c r="AR174" s="31"/>
    </row>
    <row r="175" spans="1:44" ht="25.25" customHeight="1" thickTop="1" thickBot="1" x14ac:dyDescent="0.4">
      <c r="A175" s="184" t="s">
        <v>499</v>
      </c>
      <c r="B175" s="185" t="s">
        <v>499</v>
      </c>
      <c r="C175" s="185" t="s">
        <v>499</v>
      </c>
      <c r="D175" s="186" t="s">
        <v>499</v>
      </c>
      <c r="E175" s="185" t="s">
        <v>499</v>
      </c>
      <c r="F175" s="185" t="s">
        <v>499</v>
      </c>
      <c r="G175" s="187">
        <f t="shared" si="2"/>
        <v>0</v>
      </c>
      <c r="H175" s="188"/>
      <c r="I175" s="188"/>
      <c r="J175" s="188"/>
      <c r="K175" s="185"/>
      <c r="L175" s="185"/>
      <c r="M175" s="185"/>
      <c r="N175" s="185"/>
      <c r="O175" s="193"/>
      <c r="P175" s="193"/>
      <c r="Q175" s="191"/>
      <c r="R175" s="191"/>
      <c r="S175" s="192"/>
      <c r="AQ175" s="31"/>
      <c r="AR175" s="31"/>
    </row>
    <row r="176" spans="1:44" ht="25.25" customHeight="1" thickTop="1" thickBot="1" x14ac:dyDescent="0.4">
      <c r="A176" s="184" t="s">
        <v>499</v>
      </c>
      <c r="B176" s="185" t="s">
        <v>499</v>
      </c>
      <c r="C176" s="185" t="s">
        <v>499</v>
      </c>
      <c r="D176" s="186" t="s">
        <v>499</v>
      </c>
      <c r="E176" s="185" t="s">
        <v>499</v>
      </c>
      <c r="F176" s="185" t="s">
        <v>499</v>
      </c>
      <c r="G176" s="187">
        <f t="shared" si="2"/>
        <v>0</v>
      </c>
      <c r="H176" s="188"/>
      <c r="I176" s="188"/>
      <c r="J176" s="188"/>
      <c r="K176" s="185"/>
      <c r="L176" s="185"/>
      <c r="M176" s="185"/>
      <c r="N176" s="185"/>
      <c r="O176" s="193"/>
      <c r="P176" s="193"/>
      <c r="Q176" s="191"/>
      <c r="R176" s="191"/>
      <c r="S176" s="192"/>
      <c r="AQ176" s="31"/>
      <c r="AR176" s="31"/>
    </row>
    <row r="177" spans="1:44" ht="25.25" customHeight="1" thickTop="1" thickBot="1" x14ac:dyDescent="0.4">
      <c r="A177" s="184" t="s">
        <v>499</v>
      </c>
      <c r="B177" s="185" t="s">
        <v>499</v>
      </c>
      <c r="C177" s="185" t="s">
        <v>499</v>
      </c>
      <c r="D177" s="186" t="s">
        <v>499</v>
      </c>
      <c r="E177" s="185" t="s">
        <v>499</v>
      </c>
      <c r="F177" s="185" t="s">
        <v>499</v>
      </c>
      <c r="G177" s="187">
        <f t="shared" si="2"/>
        <v>0</v>
      </c>
      <c r="H177" s="188"/>
      <c r="I177" s="188"/>
      <c r="J177" s="188"/>
      <c r="K177" s="185"/>
      <c r="L177" s="185"/>
      <c r="M177" s="185"/>
      <c r="N177" s="185"/>
      <c r="O177" s="193"/>
      <c r="P177" s="193"/>
      <c r="Q177" s="191"/>
      <c r="R177" s="191"/>
      <c r="S177" s="192"/>
      <c r="AQ177" s="31"/>
      <c r="AR177" s="31"/>
    </row>
    <row r="178" spans="1:44" ht="25.25" customHeight="1" thickTop="1" thickBot="1" x14ac:dyDescent="0.4">
      <c r="A178" s="184" t="s">
        <v>499</v>
      </c>
      <c r="B178" s="185" t="s">
        <v>499</v>
      </c>
      <c r="C178" s="185" t="s">
        <v>499</v>
      </c>
      <c r="D178" s="186" t="s">
        <v>499</v>
      </c>
      <c r="E178" s="185" t="s">
        <v>499</v>
      </c>
      <c r="F178" s="185" t="s">
        <v>499</v>
      </c>
      <c r="G178" s="187">
        <f t="shared" si="2"/>
        <v>0</v>
      </c>
      <c r="H178" s="188"/>
      <c r="I178" s="188"/>
      <c r="J178" s="188"/>
      <c r="K178" s="185"/>
      <c r="L178" s="185"/>
      <c r="M178" s="185"/>
      <c r="N178" s="185"/>
      <c r="O178" s="193"/>
      <c r="P178" s="193"/>
      <c r="Q178" s="191"/>
      <c r="R178" s="191"/>
      <c r="S178" s="192"/>
      <c r="AQ178" s="31"/>
      <c r="AR178" s="31"/>
    </row>
    <row r="179" spans="1:44" ht="25.25" customHeight="1" thickTop="1" thickBot="1" x14ac:dyDescent="0.4">
      <c r="A179" s="184" t="s">
        <v>499</v>
      </c>
      <c r="B179" s="185" t="s">
        <v>499</v>
      </c>
      <c r="C179" s="185" t="s">
        <v>499</v>
      </c>
      <c r="D179" s="186" t="s">
        <v>499</v>
      </c>
      <c r="E179" s="185" t="s">
        <v>499</v>
      </c>
      <c r="F179" s="185" t="s">
        <v>499</v>
      </c>
      <c r="G179" s="187">
        <f t="shared" si="2"/>
        <v>0</v>
      </c>
      <c r="H179" s="188"/>
      <c r="I179" s="188"/>
      <c r="J179" s="188"/>
      <c r="K179" s="185"/>
      <c r="L179" s="185"/>
      <c r="M179" s="185"/>
      <c r="N179" s="185"/>
      <c r="O179" s="193"/>
      <c r="P179" s="193"/>
      <c r="Q179" s="191"/>
      <c r="R179" s="191"/>
      <c r="S179" s="192"/>
      <c r="AQ179" s="31"/>
      <c r="AR179" s="31"/>
    </row>
    <row r="180" spans="1:44" ht="25.25" customHeight="1" thickTop="1" thickBot="1" x14ac:dyDescent="0.4">
      <c r="A180" s="184" t="s">
        <v>499</v>
      </c>
      <c r="B180" s="185" t="s">
        <v>499</v>
      </c>
      <c r="C180" s="185" t="s">
        <v>499</v>
      </c>
      <c r="D180" s="186" t="s">
        <v>499</v>
      </c>
      <c r="E180" s="185" t="s">
        <v>499</v>
      </c>
      <c r="F180" s="185" t="s">
        <v>499</v>
      </c>
      <c r="G180" s="187">
        <f t="shared" si="2"/>
        <v>0</v>
      </c>
      <c r="H180" s="188"/>
      <c r="I180" s="188"/>
      <c r="J180" s="188"/>
      <c r="K180" s="185"/>
      <c r="L180" s="185"/>
      <c r="M180" s="185"/>
      <c r="N180" s="185"/>
      <c r="O180" s="193"/>
      <c r="P180" s="193"/>
      <c r="Q180" s="191"/>
      <c r="R180" s="191"/>
      <c r="S180" s="192"/>
      <c r="AQ180" s="31"/>
      <c r="AR180" s="31"/>
    </row>
    <row r="181" spans="1:44" ht="25.25" customHeight="1" thickTop="1" thickBot="1" x14ac:dyDescent="0.4">
      <c r="A181" s="184" t="s">
        <v>499</v>
      </c>
      <c r="B181" s="185" t="s">
        <v>499</v>
      </c>
      <c r="C181" s="185" t="s">
        <v>499</v>
      </c>
      <c r="D181" s="186" t="s">
        <v>499</v>
      </c>
      <c r="E181" s="185" t="s">
        <v>499</v>
      </c>
      <c r="F181" s="185" t="s">
        <v>499</v>
      </c>
      <c r="G181" s="187">
        <f t="shared" si="2"/>
        <v>0</v>
      </c>
      <c r="H181" s="188"/>
      <c r="I181" s="188"/>
      <c r="J181" s="188"/>
      <c r="K181" s="185"/>
      <c r="L181" s="185"/>
      <c r="M181" s="185"/>
      <c r="N181" s="185"/>
      <c r="O181" s="193"/>
      <c r="P181" s="193"/>
      <c r="Q181" s="191"/>
      <c r="R181" s="191"/>
      <c r="S181" s="192"/>
      <c r="AQ181" s="31"/>
      <c r="AR181" s="31"/>
    </row>
    <row r="182" spans="1:44" ht="25.25" customHeight="1" thickTop="1" thickBot="1" x14ac:dyDescent="0.4">
      <c r="A182" s="184" t="s">
        <v>499</v>
      </c>
      <c r="B182" s="185" t="s">
        <v>499</v>
      </c>
      <c r="C182" s="185" t="s">
        <v>499</v>
      </c>
      <c r="D182" s="186" t="s">
        <v>499</v>
      </c>
      <c r="E182" s="185" t="s">
        <v>499</v>
      </c>
      <c r="F182" s="185" t="s">
        <v>499</v>
      </c>
      <c r="G182" s="187">
        <f t="shared" si="2"/>
        <v>0</v>
      </c>
      <c r="H182" s="188"/>
      <c r="I182" s="188"/>
      <c r="J182" s="188"/>
      <c r="K182" s="185"/>
      <c r="L182" s="185"/>
      <c r="M182" s="185"/>
      <c r="N182" s="185"/>
      <c r="O182" s="193"/>
      <c r="P182" s="193"/>
      <c r="Q182" s="191"/>
      <c r="R182" s="191"/>
      <c r="S182" s="192"/>
      <c r="AQ182" s="31"/>
      <c r="AR182" s="31"/>
    </row>
    <row r="183" spans="1:44" ht="25.25" customHeight="1" thickTop="1" thickBot="1" x14ac:dyDescent="0.4">
      <c r="A183" s="184" t="s">
        <v>499</v>
      </c>
      <c r="B183" s="185" t="s">
        <v>499</v>
      </c>
      <c r="C183" s="185" t="s">
        <v>499</v>
      </c>
      <c r="D183" s="186" t="s">
        <v>499</v>
      </c>
      <c r="E183" s="185" t="s">
        <v>499</v>
      </c>
      <c r="F183" s="185" t="s">
        <v>499</v>
      </c>
      <c r="G183" s="187">
        <f t="shared" si="2"/>
        <v>0</v>
      </c>
      <c r="H183" s="188"/>
      <c r="I183" s="188"/>
      <c r="J183" s="188"/>
      <c r="K183" s="185"/>
      <c r="L183" s="185"/>
      <c r="M183" s="185"/>
      <c r="N183" s="185"/>
      <c r="O183" s="193"/>
      <c r="P183" s="193"/>
      <c r="Q183" s="191"/>
      <c r="R183" s="191"/>
      <c r="S183" s="192"/>
      <c r="AQ183" s="31"/>
      <c r="AR183" s="31"/>
    </row>
    <row r="184" spans="1:44" ht="25.25" customHeight="1" thickTop="1" thickBot="1" x14ac:dyDescent="0.4">
      <c r="A184" s="184" t="s">
        <v>499</v>
      </c>
      <c r="B184" s="185" t="s">
        <v>499</v>
      </c>
      <c r="C184" s="185" t="s">
        <v>499</v>
      </c>
      <c r="D184" s="186" t="s">
        <v>499</v>
      </c>
      <c r="E184" s="185" t="s">
        <v>499</v>
      </c>
      <c r="F184" s="185" t="s">
        <v>499</v>
      </c>
      <c r="G184" s="187">
        <f t="shared" si="2"/>
        <v>0</v>
      </c>
      <c r="H184" s="188"/>
      <c r="I184" s="188"/>
      <c r="J184" s="188"/>
      <c r="K184" s="185"/>
      <c r="L184" s="185"/>
      <c r="M184" s="185"/>
      <c r="N184" s="185"/>
      <c r="O184" s="193"/>
      <c r="P184" s="193"/>
      <c r="Q184" s="191"/>
      <c r="R184" s="191"/>
      <c r="S184" s="192"/>
      <c r="AQ184" s="31"/>
      <c r="AR184" s="31"/>
    </row>
    <row r="185" spans="1:44" ht="25.25" customHeight="1" thickTop="1" thickBot="1" x14ac:dyDescent="0.4">
      <c r="A185" s="184" t="s">
        <v>499</v>
      </c>
      <c r="B185" s="185" t="s">
        <v>499</v>
      </c>
      <c r="C185" s="185" t="s">
        <v>499</v>
      </c>
      <c r="D185" s="186" t="s">
        <v>499</v>
      </c>
      <c r="E185" s="185" t="s">
        <v>499</v>
      </c>
      <c r="F185" s="185" t="s">
        <v>499</v>
      </c>
      <c r="G185" s="187">
        <f t="shared" si="2"/>
        <v>0</v>
      </c>
      <c r="H185" s="188"/>
      <c r="I185" s="188"/>
      <c r="J185" s="188"/>
      <c r="K185" s="185"/>
      <c r="L185" s="185"/>
      <c r="M185" s="185"/>
      <c r="N185" s="185"/>
      <c r="O185" s="193"/>
      <c r="P185" s="193"/>
      <c r="Q185" s="191"/>
      <c r="R185" s="191"/>
      <c r="S185" s="192"/>
      <c r="AQ185" s="31"/>
      <c r="AR185" s="31"/>
    </row>
    <row r="186" spans="1:44" ht="25.25" customHeight="1" thickTop="1" thickBot="1" x14ac:dyDescent="0.4">
      <c r="A186" s="184" t="s">
        <v>499</v>
      </c>
      <c r="B186" s="185" t="s">
        <v>499</v>
      </c>
      <c r="C186" s="185" t="s">
        <v>499</v>
      </c>
      <c r="D186" s="186" t="s">
        <v>499</v>
      </c>
      <c r="E186" s="185" t="s">
        <v>499</v>
      </c>
      <c r="F186" s="185" t="s">
        <v>499</v>
      </c>
      <c r="G186" s="187">
        <f t="shared" si="2"/>
        <v>0</v>
      </c>
      <c r="H186" s="188"/>
      <c r="I186" s="188"/>
      <c r="J186" s="188"/>
      <c r="K186" s="185"/>
      <c r="L186" s="185"/>
      <c r="M186" s="185"/>
      <c r="N186" s="185"/>
      <c r="O186" s="193"/>
      <c r="P186" s="193"/>
      <c r="Q186" s="191"/>
      <c r="R186" s="191"/>
      <c r="S186" s="192"/>
      <c r="AQ186" s="31"/>
      <c r="AR186" s="31"/>
    </row>
    <row r="187" spans="1:44" ht="25.25" customHeight="1" thickTop="1" thickBot="1" x14ac:dyDescent="0.4">
      <c r="A187" s="184" t="s">
        <v>499</v>
      </c>
      <c r="B187" s="185" t="s">
        <v>499</v>
      </c>
      <c r="C187" s="185" t="s">
        <v>499</v>
      </c>
      <c r="D187" s="186" t="s">
        <v>499</v>
      </c>
      <c r="E187" s="185" t="s">
        <v>499</v>
      </c>
      <c r="F187" s="185" t="s">
        <v>499</v>
      </c>
      <c r="G187" s="187">
        <f t="shared" si="2"/>
        <v>0</v>
      </c>
      <c r="H187" s="188"/>
      <c r="I187" s="188"/>
      <c r="J187" s="188"/>
      <c r="K187" s="185"/>
      <c r="L187" s="185"/>
      <c r="M187" s="185"/>
      <c r="N187" s="185"/>
      <c r="O187" s="193"/>
      <c r="P187" s="193"/>
      <c r="Q187" s="191"/>
      <c r="R187" s="191"/>
      <c r="S187" s="192"/>
      <c r="AQ187" s="31"/>
      <c r="AR187" s="31"/>
    </row>
    <row r="188" spans="1:44" ht="25.25" customHeight="1" thickTop="1" thickBot="1" x14ac:dyDescent="0.4">
      <c r="A188" s="184" t="s">
        <v>499</v>
      </c>
      <c r="B188" s="185" t="s">
        <v>499</v>
      </c>
      <c r="C188" s="185" t="s">
        <v>499</v>
      </c>
      <c r="D188" s="186" t="s">
        <v>499</v>
      </c>
      <c r="E188" s="185" t="s">
        <v>499</v>
      </c>
      <c r="F188" s="185" t="s">
        <v>499</v>
      </c>
      <c r="G188" s="187">
        <f t="shared" si="2"/>
        <v>0</v>
      </c>
      <c r="H188" s="188"/>
      <c r="I188" s="188"/>
      <c r="J188" s="188"/>
      <c r="K188" s="185"/>
      <c r="L188" s="185"/>
      <c r="M188" s="185"/>
      <c r="N188" s="185"/>
      <c r="O188" s="193"/>
      <c r="P188" s="193"/>
      <c r="Q188" s="191"/>
      <c r="R188" s="191"/>
      <c r="S188" s="192"/>
      <c r="AQ188" s="31"/>
      <c r="AR188" s="31"/>
    </row>
    <row r="189" spans="1:44" ht="25.25" customHeight="1" thickTop="1" thickBot="1" x14ac:dyDescent="0.4">
      <c r="A189" s="184" t="s">
        <v>499</v>
      </c>
      <c r="B189" s="185" t="s">
        <v>499</v>
      </c>
      <c r="C189" s="185" t="s">
        <v>499</v>
      </c>
      <c r="D189" s="186" t="s">
        <v>499</v>
      </c>
      <c r="E189" s="185" t="s">
        <v>499</v>
      </c>
      <c r="F189" s="185" t="s">
        <v>499</v>
      </c>
      <c r="G189" s="187">
        <f t="shared" si="2"/>
        <v>0</v>
      </c>
      <c r="H189" s="188"/>
      <c r="I189" s="188"/>
      <c r="J189" s="188"/>
      <c r="K189" s="185"/>
      <c r="L189" s="185"/>
      <c r="M189" s="185"/>
      <c r="N189" s="185"/>
      <c r="O189" s="193"/>
      <c r="P189" s="193"/>
      <c r="Q189" s="191"/>
      <c r="R189" s="191"/>
      <c r="S189" s="192"/>
      <c r="AQ189" s="31"/>
      <c r="AR189" s="31"/>
    </row>
    <row r="190" spans="1:44" ht="25.25" customHeight="1" thickTop="1" thickBot="1" x14ac:dyDescent="0.4">
      <c r="A190" s="184" t="s">
        <v>499</v>
      </c>
      <c r="B190" s="185" t="s">
        <v>499</v>
      </c>
      <c r="C190" s="185" t="s">
        <v>499</v>
      </c>
      <c r="D190" s="186" t="s">
        <v>499</v>
      </c>
      <c r="E190" s="185" t="s">
        <v>499</v>
      </c>
      <c r="F190" s="185" t="s">
        <v>499</v>
      </c>
      <c r="G190" s="187">
        <f t="shared" si="2"/>
        <v>0</v>
      </c>
      <c r="H190" s="188"/>
      <c r="I190" s="188"/>
      <c r="J190" s="188"/>
      <c r="K190" s="185"/>
      <c r="L190" s="185"/>
      <c r="M190" s="185"/>
      <c r="N190" s="185"/>
      <c r="O190" s="193"/>
      <c r="P190" s="193"/>
      <c r="Q190" s="191"/>
      <c r="R190" s="191"/>
      <c r="S190" s="192"/>
      <c r="AQ190" s="31"/>
      <c r="AR190" s="31"/>
    </row>
    <row r="191" spans="1:44" ht="25.25" customHeight="1" thickTop="1" thickBot="1" x14ac:dyDescent="0.4">
      <c r="A191" s="184" t="s">
        <v>499</v>
      </c>
      <c r="B191" s="185" t="s">
        <v>499</v>
      </c>
      <c r="C191" s="185" t="s">
        <v>499</v>
      </c>
      <c r="D191" s="186" t="s">
        <v>499</v>
      </c>
      <c r="E191" s="185" t="s">
        <v>499</v>
      </c>
      <c r="F191" s="185" t="s">
        <v>499</v>
      </c>
      <c r="G191" s="187">
        <f t="shared" si="2"/>
        <v>0</v>
      </c>
      <c r="H191" s="188"/>
      <c r="I191" s="188"/>
      <c r="J191" s="188"/>
      <c r="K191" s="185"/>
      <c r="L191" s="185"/>
      <c r="M191" s="185"/>
      <c r="N191" s="185"/>
      <c r="O191" s="193"/>
      <c r="P191" s="193"/>
      <c r="Q191" s="191"/>
      <c r="R191" s="191"/>
      <c r="S191" s="192"/>
      <c r="AQ191" s="31"/>
      <c r="AR191" s="31"/>
    </row>
    <row r="192" spans="1:44" ht="25.25" customHeight="1" thickTop="1" thickBot="1" x14ac:dyDescent="0.4">
      <c r="A192" s="184" t="s">
        <v>499</v>
      </c>
      <c r="B192" s="185" t="s">
        <v>499</v>
      </c>
      <c r="C192" s="185" t="s">
        <v>499</v>
      </c>
      <c r="D192" s="186" t="s">
        <v>499</v>
      </c>
      <c r="E192" s="185" t="s">
        <v>499</v>
      </c>
      <c r="F192" s="185" t="s">
        <v>499</v>
      </c>
      <c r="G192" s="187">
        <f t="shared" si="2"/>
        <v>0</v>
      </c>
      <c r="H192" s="188"/>
      <c r="I192" s="188"/>
      <c r="J192" s="188"/>
      <c r="K192" s="185"/>
      <c r="L192" s="185"/>
      <c r="M192" s="185"/>
      <c r="N192" s="185"/>
      <c r="O192" s="193"/>
      <c r="P192" s="193"/>
      <c r="Q192" s="191"/>
      <c r="R192" s="191"/>
      <c r="S192" s="192"/>
      <c r="AQ192" s="31"/>
      <c r="AR192" s="31"/>
    </row>
    <row r="193" spans="1:44" ht="25.25" customHeight="1" thickTop="1" thickBot="1" x14ac:dyDescent="0.4">
      <c r="A193" s="184" t="s">
        <v>499</v>
      </c>
      <c r="B193" s="185" t="s">
        <v>499</v>
      </c>
      <c r="C193" s="185" t="s">
        <v>499</v>
      </c>
      <c r="D193" s="186" t="s">
        <v>499</v>
      </c>
      <c r="E193" s="185" t="s">
        <v>499</v>
      </c>
      <c r="F193" s="185" t="s">
        <v>499</v>
      </c>
      <c r="G193" s="187">
        <f t="shared" si="2"/>
        <v>0</v>
      </c>
      <c r="H193" s="188"/>
      <c r="I193" s="188"/>
      <c r="J193" s="188"/>
      <c r="K193" s="185"/>
      <c r="L193" s="185"/>
      <c r="M193" s="185"/>
      <c r="N193" s="185"/>
      <c r="O193" s="193"/>
      <c r="P193" s="193"/>
      <c r="Q193" s="191"/>
      <c r="R193" s="191"/>
      <c r="S193" s="192"/>
      <c r="AQ193" s="31"/>
      <c r="AR193" s="31"/>
    </row>
    <row r="194" spans="1:44" ht="25.25" customHeight="1" thickTop="1" thickBot="1" x14ac:dyDescent="0.4">
      <c r="A194" s="184" t="s">
        <v>499</v>
      </c>
      <c r="B194" s="185" t="s">
        <v>499</v>
      </c>
      <c r="C194" s="185" t="s">
        <v>499</v>
      </c>
      <c r="D194" s="186" t="s">
        <v>499</v>
      </c>
      <c r="E194" s="185" t="s">
        <v>499</v>
      </c>
      <c r="F194" s="185" t="s">
        <v>499</v>
      </c>
      <c r="G194" s="187">
        <f t="shared" si="2"/>
        <v>0</v>
      </c>
      <c r="H194" s="188"/>
      <c r="I194" s="188"/>
      <c r="J194" s="188"/>
      <c r="K194" s="185"/>
      <c r="L194" s="185"/>
      <c r="M194" s="185"/>
      <c r="N194" s="185"/>
      <c r="O194" s="193"/>
      <c r="P194" s="193"/>
      <c r="Q194" s="191"/>
      <c r="R194" s="191"/>
      <c r="S194" s="192"/>
      <c r="AQ194" s="31"/>
      <c r="AR194" s="31"/>
    </row>
    <row r="195" spans="1:44" ht="25.25" customHeight="1" thickTop="1" thickBot="1" x14ac:dyDescent="0.4">
      <c r="A195" s="184" t="s">
        <v>499</v>
      </c>
      <c r="B195" s="185" t="s">
        <v>499</v>
      </c>
      <c r="C195" s="185" t="s">
        <v>499</v>
      </c>
      <c r="D195" s="186" t="s">
        <v>499</v>
      </c>
      <c r="E195" s="185" t="s">
        <v>499</v>
      </c>
      <c r="F195" s="185" t="s">
        <v>499</v>
      </c>
      <c r="G195" s="187">
        <f t="shared" si="2"/>
        <v>0</v>
      </c>
      <c r="H195" s="188"/>
      <c r="I195" s="188"/>
      <c r="J195" s="188"/>
      <c r="K195" s="185"/>
      <c r="L195" s="185"/>
      <c r="M195" s="185"/>
      <c r="N195" s="185"/>
      <c r="O195" s="193"/>
      <c r="P195" s="193"/>
      <c r="Q195" s="191"/>
      <c r="R195" s="191"/>
      <c r="S195" s="192"/>
      <c r="AQ195" s="31"/>
      <c r="AR195" s="31"/>
    </row>
    <row r="196" spans="1:44" ht="25.25" customHeight="1" thickTop="1" thickBot="1" x14ac:dyDescent="0.4">
      <c r="A196" s="184" t="s">
        <v>499</v>
      </c>
      <c r="B196" s="185" t="s">
        <v>499</v>
      </c>
      <c r="C196" s="185" t="s">
        <v>499</v>
      </c>
      <c r="D196" s="186" t="s">
        <v>499</v>
      </c>
      <c r="E196" s="185" t="s">
        <v>499</v>
      </c>
      <c r="F196" s="185" t="s">
        <v>499</v>
      </c>
      <c r="G196" s="187">
        <f t="shared" si="2"/>
        <v>0</v>
      </c>
      <c r="H196" s="188"/>
      <c r="I196" s="188"/>
      <c r="J196" s="188"/>
      <c r="K196" s="185"/>
      <c r="L196" s="185"/>
      <c r="M196" s="185"/>
      <c r="N196" s="185"/>
      <c r="O196" s="193"/>
      <c r="P196" s="193"/>
      <c r="Q196" s="191"/>
      <c r="R196" s="191"/>
      <c r="S196" s="192"/>
      <c r="AQ196" s="31"/>
      <c r="AR196" s="31"/>
    </row>
    <row r="197" spans="1:44" ht="25.25" customHeight="1" thickTop="1" thickBot="1" x14ac:dyDescent="0.4">
      <c r="A197" s="184" t="s">
        <v>499</v>
      </c>
      <c r="B197" s="185" t="s">
        <v>499</v>
      </c>
      <c r="C197" s="185" t="s">
        <v>499</v>
      </c>
      <c r="D197" s="186" t="s">
        <v>499</v>
      </c>
      <c r="E197" s="185" t="s">
        <v>499</v>
      </c>
      <c r="F197" s="185" t="s">
        <v>499</v>
      </c>
      <c r="G197" s="187">
        <f t="shared" ref="G197:G260" si="3">SUM(H197:J197)</f>
        <v>0</v>
      </c>
      <c r="H197" s="188"/>
      <c r="I197" s="188"/>
      <c r="J197" s="188"/>
      <c r="K197" s="185"/>
      <c r="L197" s="185"/>
      <c r="M197" s="185"/>
      <c r="N197" s="185"/>
      <c r="O197" s="193"/>
      <c r="P197" s="193"/>
      <c r="Q197" s="191"/>
      <c r="R197" s="191"/>
      <c r="S197" s="192"/>
      <c r="AQ197" s="31"/>
      <c r="AR197" s="31"/>
    </row>
    <row r="198" spans="1:44" ht="25.25" customHeight="1" thickTop="1" thickBot="1" x14ac:dyDescent="0.4">
      <c r="A198" s="184" t="s">
        <v>499</v>
      </c>
      <c r="B198" s="185" t="s">
        <v>499</v>
      </c>
      <c r="C198" s="185" t="s">
        <v>499</v>
      </c>
      <c r="D198" s="186" t="s">
        <v>499</v>
      </c>
      <c r="E198" s="185" t="s">
        <v>499</v>
      </c>
      <c r="F198" s="185" t="s">
        <v>499</v>
      </c>
      <c r="G198" s="187">
        <f t="shared" si="3"/>
        <v>0</v>
      </c>
      <c r="H198" s="188"/>
      <c r="I198" s="188"/>
      <c r="J198" s="188"/>
      <c r="K198" s="185"/>
      <c r="L198" s="185"/>
      <c r="M198" s="185"/>
      <c r="N198" s="185"/>
      <c r="O198" s="193"/>
      <c r="P198" s="193"/>
      <c r="Q198" s="191"/>
      <c r="R198" s="191"/>
      <c r="S198" s="192"/>
      <c r="AQ198" s="31"/>
      <c r="AR198" s="31"/>
    </row>
    <row r="199" spans="1:44" ht="25.25" customHeight="1" thickTop="1" thickBot="1" x14ac:dyDescent="0.4">
      <c r="A199" s="184" t="s">
        <v>499</v>
      </c>
      <c r="B199" s="185" t="s">
        <v>499</v>
      </c>
      <c r="C199" s="185" t="s">
        <v>499</v>
      </c>
      <c r="D199" s="186" t="s">
        <v>499</v>
      </c>
      <c r="E199" s="185" t="s">
        <v>499</v>
      </c>
      <c r="F199" s="185" t="s">
        <v>499</v>
      </c>
      <c r="G199" s="187">
        <f t="shared" si="3"/>
        <v>0</v>
      </c>
      <c r="H199" s="188"/>
      <c r="I199" s="188"/>
      <c r="J199" s="188"/>
      <c r="K199" s="185"/>
      <c r="L199" s="185"/>
      <c r="M199" s="185"/>
      <c r="N199" s="185"/>
      <c r="O199" s="193"/>
      <c r="P199" s="193"/>
      <c r="Q199" s="191"/>
      <c r="R199" s="191"/>
      <c r="S199" s="192"/>
      <c r="AQ199" s="31"/>
      <c r="AR199" s="31"/>
    </row>
    <row r="200" spans="1:44" ht="25.25" customHeight="1" thickTop="1" thickBot="1" x14ac:dyDescent="0.4">
      <c r="A200" s="184" t="s">
        <v>499</v>
      </c>
      <c r="B200" s="185" t="s">
        <v>499</v>
      </c>
      <c r="C200" s="185" t="s">
        <v>499</v>
      </c>
      <c r="D200" s="186" t="s">
        <v>499</v>
      </c>
      <c r="E200" s="185" t="s">
        <v>499</v>
      </c>
      <c r="F200" s="185" t="s">
        <v>499</v>
      </c>
      <c r="G200" s="187">
        <f t="shared" si="3"/>
        <v>0</v>
      </c>
      <c r="H200" s="188"/>
      <c r="I200" s="188"/>
      <c r="J200" s="188"/>
      <c r="K200" s="185"/>
      <c r="L200" s="185"/>
      <c r="M200" s="185"/>
      <c r="N200" s="185"/>
      <c r="O200" s="193"/>
      <c r="P200" s="193"/>
      <c r="Q200" s="191"/>
      <c r="R200" s="191"/>
      <c r="S200" s="192"/>
      <c r="AQ200" s="31"/>
      <c r="AR200" s="31"/>
    </row>
    <row r="201" spans="1:44" ht="25.25" customHeight="1" thickTop="1" thickBot="1" x14ac:dyDescent="0.4">
      <c r="A201" s="184" t="s">
        <v>499</v>
      </c>
      <c r="B201" s="185" t="s">
        <v>499</v>
      </c>
      <c r="C201" s="185" t="s">
        <v>499</v>
      </c>
      <c r="D201" s="186" t="s">
        <v>499</v>
      </c>
      <c r="E201" s="185" t="s">
        <v>499</v>
      </c>
      <c r="F201" s="185" t="s">
        <v>499</v>
      </c>
      <c r="G201" s="187">
        <f t="shared" si="3"/>
        <v>0</v>
      </c>
      <c r="H201" s="188"/>
      <c r="I201" s="188"/>
      <c r="J201" s="188"/>
      <c r="K201" s="185"/>
      <c r="L201" s="185"/>
      <c r="M201" s="185"/>
      <c r="N201" s="185"/>
      <c r="O201" s="193"/>
      <c r="P201" s="193"/>
      <c r="Q201" s="191"/>
      <c r="R201" s="191"/>
      <c r="S201" s="192"/>
      <c r="AQ201" s="31"/>
      <c r="AR201" s="31"/>
    </row>
    <row r="202" spans="1:44" ht="25.25" customHeight="1" thickTop="1" thickBot="1" x14ac:dyDescent="0.4">
      <c r="A202" s="184" t="s">
        <v>499</v>
      </c>
      <c r="B202" s="185" t="s">
        <v>499</v>
      </c>
      <c r="C202" s="185" t="s">
        <v>499</v>
      </c>
      <c r="D202" s="186" t="s">
        <v>499</v>
      </c>
      <c r="E202" s="185" t="s">
        <v>499</v>
      </c>
      <c r="F202" s="185" t="s">
        <v>499</v>
      </c>
      <c r="G202" s="187">
        <f t="shared" si="3"/>
        <v>0</v>
      </c>
      <c r="H202" s="188"/>
      <c r="I202" s="188"/>
      <c r="J202" s="188"/>
      <c r="K202" s="185"/>
      <c r="L202" s="185"/>
      <c r="M202" s="185"/>
      <c r="N202" s="185"/>
      <c r="O202" s="193"/>
      <c r="P202" s="193"/>
      <c r="Q202" s="191"/>
      <c r="R202" s="191"/>
      <c r="S202" s="192"/>
      <c r="AQ202" s="31"/>
      <c r="AR202" s="31"/>
    </row>
    <row r="203" spans="1:44" ht="25.25" customHeight="1" thickTop="1" thickBot="1" x14ac:dyDescent="0.4">
      <c r="A203" s="184" t="s">
        <v>499</v>
      </c>
      <c r="B203" s="185" t="s">
        <v>499</v>
      </c>
      <c r="C203" s="185" t="s">
        <v>499</v>
      </c>
      <c r="D203" s="186" t="s">
        <v>499</v>
      </c>
      <c r="E203" s="185" t="s">
        <v>499</v>
      </c>
      <c r="F203" s="185" t="s">
        <v>499</v>
      </c>
      <c r="G203" s="187">
        <f t="shared" si="3"/>
        <v>0</v>
      </c>
      <c r="H203" s="188"/>
      <c r="I203" s="188"/>
      <c r="J203" s="188"/>
      <c r="K203" s="185"/>
      <c r="L203" s="185"/>
      <c r="M203" s="185"/>
      <c r="N203" s="185"/>
      <c r="O203" s="193"/>
      <c r="P203" s="193"/>
      <c r="Q203" s="191"/>
      <c r="R203" s="191"/>
      <c r="S203" s="192"/>
      <c r="AQ203" s="31"/>
      <c r="AR203" s="31"/>
    </row>
    <row r="204" spans="1:44" ht="25.25" customHeight="1" thickTop="1" thickBot="1" x14ac:dyDescent="0.4">
      <c r="A204" s="184" t="s">
        <v>499</v>
      </c>
      <c r="B204" s="185" t="s">
        <v>499</v>
      </c>
      <c r="C204" s="185" t="s">
        <v>499</v>
      </c>
      <c r="D204" s="186" t="s">
        <v>499</v>
      </c>
      <c r="E204" s="185" t="s">
        <v>499</v>
      </c>
      <c r="F204" s="185" t="s">
        <v>499</v>
      </c>
      <c r="G204" s="187">
        <f t="shared" si="3"/>
        <v>0</v>
      </c>
      <c r="H204" s="188"/>
      <c r="I204" s="188"/>
      <c r="J204" s="188"/>
      <c r="K204" s="185"/>
      <c r="L204" s="185"/>
      <c r="M204" s="185"/>
      <c r="N204" s="185"/>
      <c r="O204" s="193"/>
      <c r="P204" s="193"/>
      <c r="Q204" s="191"/>
      <c r="R204" s="191"/>
      <c r="S204" s="192"/>
      <c r="AQ204" s="31"/>
      <c r="AR204" s="31"/>
    </row>
    <row r="205" spans="1:44" ht="25.25" customHeight="1" thickTop="1" thickBot="1" x14ac:dyDescent="0.4">
      <c r="A205" s="184" t="s">
        <v>499</v>
      </c>
      <c r="B205" s="185" t="s">
        <v>499</v>
      </c>
      <c r="C205" s="185" t="s">
        <v>499</v>
      </c>
      <c r="D205" s="186" t="s">
        <v>499</v>
      </c>
      <c r="E205" s="185" t="s">
        <v>499</v>
      </c>
      <c r="F205" s="185" t="s">
        <v>499</v>
      </c>
      <c r="G205" s="187">
        <f t="shared" si="3"/>
        <v>0</v>
      </c>
      <c r="H205" s="188"/>
      <c r="I205" s="188"/>
      <c r="J205" s="188"/>
      <c r="K205" s="185"/>
      <c r="L205" s="185"/>
      <c r="M205" s="185"/>
      <c r="N205" s="185"/>
      <c r="O205" s="193"/>
      <c r="P205" s="193"/>
      <c r="Q205" s="191"/>
      <c r="R205" s="191"/>
      <c r="S205" s="192"/>
      <c r="AQ205" s="31"/>
      <c r="AR205" s="31"/>
    </row>
    <row r="206" spans="1:44" ht="25.25" customHeight="1" thickTop="1" thickBot="1" x14ac:dyDescent="0.4">
      <c r="A206" s="184" t="s">
        <v>499</v>
      </c>
      <c r="B206" s="185" t="s">
        <v>499</v>
      </c>
      <c r="C206" s="185" t="s">
        <v>499</v>
      </c>
      <c r="D206" s="186" t="s">
        <v>499</v>
      </c>
      <c r="E206" s="185" t="s">
        <v>499</v>
      </c>
      <c r="F206" s="185" t="s">
        <v>499</v>
      </c>
      <c r="G206" s="187">
        <f t="shared" si="3"/>
        <v>0</v>
      </c>
      <c r="H206" s="188"/>
      <c r="I206" s="188"/>
      <c r="J206" s="188"/>
      <c r="K206" s="185"/>
      <c r="L206" s="185"/>
      <c r="M206" s="185"/>
      <c r="N206" s="185"/>
      <c r="O206" s="193"/>
      <c r="P206" s="193"/>
      <c r="Q206" s="191"/>
      <c r="R206" s="191"/>
      <c r="S206" s="192"/>
      <c r="AQ206" s="31"/>
      <c r="AR206" s="31"/>
    </row>
    <row r="207" spans="1:44" ht="25.25" customHeight="1" thickTop="1" thickBot="1" x14ac:dyDescent="0.4">
      <c r="A207" s="184" t="s">
        <v>499</v>
      </c>
      <c r="B207" s="185" t="s">
        <v>499</v>
      </c>
      <c r="C207" s="185" t="s">
        <v>499</v>
      </c>
      <c r="D207" s="186" t="s">
        <v>499</v>
      </c>
      <c r="E207" s="185" t="s">
        <v>499</v>
      </c>
      <c r="F207" s="185" t="s">
        <v>499</v>
      </c>
      <c r="G207" s="187">
        <f t="shared" si="3"/>
        <v>0</v>
      </c>
      <c r="H207" s="188"/>
      <c r="I207" s="188"/>
      <c r="J207" s="188"/>
      <c r="K207" s="185"/>
      <c r="L207" s="185"/>
      <c r="M207" s="185"/>
      <c r="N207" s="185"/>
      <c r="O207" s="193"/>
      <c r="P207" s="193"/>
      <c r="Q207" s="191"/>
      <c r="R207" s="191"/>
      <c r="S207" s="192"/>
      <c r="AQ207" s="31"/>
      <c r="AR207" s="31"/>
    </row>
    <row r="208" spans="1:44" ht="25.25" customHeight="1" thickTop="1" thickBot="1" x14ac:dyDescent="0.4">
      <c r="A208" s="184" t="s">
        <v>499</v>
      </c>
      <c r="B208" s="185" t="s">
        <v>499</v>
      </c>
      <c r="C208" s="185" t="s">
        <v>499</v>
      </c>
      <c r="D208" s="186" t="s">
        <v>499</v>
      </c>
      <c r="E208" s="185" t="s">
        <v>499</v>
      </c>
      <c r="F208" s="185" t="s">
        <v>499</v>
      </c>
      <c r="G208" s="187">
        <f t="shared" si="3"/>
        <v>0</v>
      </c>
      <c r="H208" s="188"/>
      <c r="I208" s="188"/>
      <c r="J208" s="188"/>
      <c r="K208" s="185"/>
      <c r="L208" s="185"/>
      <c r="M208" s="185"/>
      <c r="N208" s="185"/>
      <c r="O208" s="193"/>
      <c r="P208" s="193"/>
      <c r="Q208" s="191"/>
      <c r="R208" s="191"/>
      <c r="S208" s="192"/>
      <c r="AQ208" s="31"/>
      <c r="AR208" s="31"/>
    </row>
    <row r="209" spans="1:44" ht="25.25" customHeight="1" thickTop="1" thickBot="1" x14ac:dyDescent="0.4">
      <c r="A209" s="184" t="s">
        <v>499</v>
      </c>
      <c r="B209" s="185" t="s">
        <v>499</v>
      </c>
      <c r="C209" s="185" t="s">
        <v>499</v>
      </c>
      <c r="D209" s="186" t="s">
        <v>499</v>
      </c>
      <c r="E209" s="185" t="s">
        <v>499</v>
      </c>
      <c r="F209" s="185" t="s">
        <v>499</v>
      </c>
      <c r="G209" s="187">
        <f t="shared" si="3"/>
        <v>0</v>
      </c>
      <c r="H209" s="188"/>
      <c r="I209" s="188"/>
      <c r="J209" s="188"/>
      <c r="K209" s="185"/>
      <c r="L209" s="185"/>
      <c r="M209" s="185"/>
      <c r="N209" s="185"/>
      <c r="O209" s="193"/>
      <c r="P209" s="193"/>
      <c r="Q209" s="191"/>
      <c r="R209" s="191"/>
      <c r="S209" s="192"/>
      <c r="AQ209" s="31"/>
      <c r="AR209" s="31"/>
    </row>
    <row r="210" spans="1:44" ht="25.25" customHeight="1" thickTop="1" thickBot="1" x14ac:dyDescent="0.4">
      <c r="A210" s="184" t="s">
        <v>499</v>
      </c>
      <c r="B210" s="185" t="s">
        <v>499</v>
      </c>
      <c r="C210" s="185" t="s">
        <v>499</v>
      </c>
      <c r="D210" s="186" t="s">
        <v>499</v>
      </c>
      <c r="E210" s="185" t="s">
        <v>499</v>
      </c>
      <c r="F210" s="185" t="s">
        <v>499</v>
      </c>
      <c r="G210" s="187">
        <f t="shared" si="3"/>
        <v>0</v>
      </c>
      <c r="H210" s="188"/>
      <c r="I210" s="188"/>
      <c r="J210" s="188"/>
      <c r="K210" s="185"/>
      <c r="L210" s="185"/>
      <c r="M210" s="185"/>
      <c r="N210" s="185"/>
      <c r="O210" s="193"/>
      <c r="P210" s="193"/>
      <c r="Q210" s="191"/>
      <c r="R210" s="191"/>
      <c r="S210" s="192"/>
      <c r="AQ210" s="31"/>
      <c r="AR210" s="31"/>
    </row>
    <row r="211" spans="1:44" ht="25.25" customHeight="1" thickTop="1" thickBot="1" x14ac:dyDescent="0.4">
      <c r="A211" s="184" t="s">
        <v>499</v>
      </c>
      <c r="B211" s="185" t="s">
        <v>499</v>
      </c>
      <c r="C211" s="185" t="s">
        <v>499</v>
      </c>
      <c r="D211" s="186" t="s">
        <v>499</v>
      </c>
      <c r="E211" s="185" t="s">
        <v>499</v>
      </c>
      <c r="F211" s="185" t="s">
        <v>499</v>
      </c>
      <c r="G211" s="187">
        <f t="shared" si="3"/>
        <v>0</v>
      </c>
      <c r="H211" s="188"/>
      <c r="I211" s="188"/>
      <c r="J211" s="188"/>
      <c r="K211" s="185"/>
      <c r="L211" s="185"/>
      <c r="M211" s="185"/>
      <c r="N211" s="185"/>
      <c r="O211" s="193"/>
      <c r="P211" s="193"/>
      <c r="Q211" s="191"/>
      <c r="R211" s="191"/>
      <c r="S211" s="192"/>
      <c r="AQ211" s="31"/>
      <c r="AR211" s="31"/>
    </row>
    <row r="212" spans="1:44" ht="25.25" customHeight="1" thickTop="1" thickBot="1" x14ac:dyDescent="0.4">
      <c r="A212" s="184" t="s">
        <v>499</v>
      </c>
      <c r="B212" s="185" t="s">
        <v>499</v>
      </c>
      <c r="C212" s="185" t="s">
        <v>499</v>
      </c>
      <c r="D212" s="186" t="s">
        <v>499</v>
      </c>
      <c r="E212" s="185" t="s">
        <v>499</v>
      </c>
      <c r="F212" s="185" t="s">
        <v>499</v>
      </c>
      <c r="G212" s="187">
        <f t="shared" si="3"/>
        <v>0</v>
      </c>
      <c r="H212" s="188"/>
      <c r="I212" s="188"/>
      <c r="J212" s="188"/>
      <c r="K212" s="185"/>
      <c r="L212" s="185"/>
      <c r="M212" s="185"/>
      <c r="N212" s="185"/>
      <c r="O212" s="193"/>
      <c r="P212" s="193"/>
      <c r="Q212" s="191"/>
      <c r="R212" s="191"/>
      <c r="S212" s="192"/>
      <c r="AQ212" s="31"/>
      <c r="AR212" s="31"/>
    </row>
    <row r="213" spans="1:44" ht="25.25" customHeight="1" thickTop="1" thickBot="1" x14ac:dyDescent="0.4">
      <c r="A213" s="184" t="s">
        <v>499</v>
      </c>
      <c r="B213" s="185" t="s">
        <v>499</v>
      </c>
      <c r="C213" s="185" t="s">
        <v>499</v>
      </c>
      <c r="D213" s="186" t="s">
        <v>499</v>
      </c>
      <c r="E213" s="185" t="s">
        <v>499</v>
      </c>
      <c r="F213" s="185" t="s">
        <v>499</v>
      </c>
      <c r="G213" s="187">
        <f t="shared" si="3"/>
        <v>0</v>
      </c>
      <c r="H213" s="188"/>
      <c r="I213" s="188"/>
      <c r="J213" s="188"/>
      <c r="K213" s="185"/>
      <c r="L213" s="185"/>
      <c r="M213" s="185"/>
      <c r="N213" s="185"/>
      <c r="O213" s="193"/>
      <c r="P213" s="193"/>
      <c r="Q213" s="191"/>
      <c r="R213" s="191"/>
      <c r="S213" s="192"/>
      <c r="AQ213" s="31"/>
      <c r="AR213" s="31"/>
    </row>
    <row r="214" spans="1:44" ht="25.25" customHeight="1" thickTop="1" thickBot="1" x14ac:dyDescent="0.4">
      <c r="A214" s="184" t="s">
        <v>499</v>
      </c>
      <c r="B214" s="185" t="s">
        <v>499</v>
      </c>
      <c r="C214" s="185" t="s">
        <v>499</v>
      </c>
      <c r="D214" s="186" t="s">
        <v>499</v>
      </c>
      <c r="E214" s="185" t="s">
        <v>499</v>
      </c>
      <c r="F214" s="185" t="s">
        <v>499</v>
      </c>
      <c r="G214" s="187">
        <f t="shared" si="3"/>
        <v>0</v>
      </c>
      <c r="H214" s="188"/>
      <c r="I214" s="188"/>
      <c r="J214" s="188"/>
      <c r="K214" s="185"/>
      <c r="L214" s="185"/>
      <c r="M214" s="185"/>
      <c r="N214" s="185"/>
      <c r="O214" s="193"/>
      <c r="P214" s="193"/>
      <c r="Q214" s="191"/>
      <c r="R214" s="191"/>
      <c r="S214" s="192"/>
      <c r="AQ214" s="31"/>
      <c r="AR214" s="31"/>
    </row>
    <row r="215" spans="1:44" ht="25.25" customHeight="1" thickTop="1" thickBot="1" x14ac:dyDescent="0.4">
      <c r="A215" s="184" t="s">
        <v>499</v>
      </c>
      <c r="B215" s="185" t="s">
        <v>499</v>
      </c>
      <c r="C215" s="185" t="s">
        <v>499</v>
      </c>
      <c r="D215" s="186" t="s">
        <v>499</v>
      </c>
      <c r="E215" s="185" t="s">
        <v>499</v>
      </c>
      <c r="F215" s="185" t="s">
        <v>499</v>
      </c>
      <c r="G215" s="187">
        <f t="shared" si="3"/>
        <v>0</v>
      </c>
      <c r="H215" s="188"/>
      <c r="I215" s="188"/>
      <c r="J215" s="188"/>
      <c r="K215" s="185"/>
      <c r="L215" s="185"/>
      <c r="M215" s="185"/>
      <c r="N215" s="185"/>
      <c r="O215" s="193"/>
      <c r="P215" s="193"/>
      <c r="Q215" s="191"/>
      <c r="R215" s="191"/>
      <c r="S215" s="192"/>
      <c r="AQ215" s="31"/>
      <c r="AR215" s="31"/>
    </row>
    <row r="216" spans="1:44" ht="25.25" customHeight="1" thickTop="1" thickBot="1" x14ac:dyDescent="0.4">
      <c r="A216" s="184" t="s">
        <v>499</v>
      </c>
      <c r="B216" s="185" t="s">
        <v>499</v>
      </c>
      <c r="C216" s="185" t="s">
        <v>499</v>
      </c>
      <c r="D216" s="186" t="s">
        <v>499</v>
      </c>
      <c r="E216" s="185" t="s">
        <v>499</v>
      </c>
      <c r="F216" s="185" t="s">
        <v>499</v>
      </c>
      <c r="G216" s="187">
        <f t="shared" si="3"/>
        <v>0</v>
      </c>
      <c r="H216" s="188"/>
      <c r="I216" s="188"/>
      <c r="J216" s="188"/>
      <c r="K216" s="185"/>
      <c r="L216" s="185"/>
      <c r="M216" s="185"/>
      <c r="N216" s="185"/>
      <c r="O216" s="193"/>
      <c r="P216" s="193"/>
      <c r="Q216" s="191"/>
      <c r="R216" s="191"/>
      <c r="S216" s="192"/>
      <c r="AQ216" s="31"/>
      <c r="AR216" s="31"/>
    </row>
    <row r="217" spans="1:44" ht="25.25" customHeight="1" thickTop="1" thickBot="1" x14ac:dyDescent="0.4">
      <c r="A217" s="184" t="s">
        <v>499</v>
      </c>
      <c r="B217" s="185" t="s">
        <v>499</v>
      </c>
      <c r="C217" s="185" t="s">
        <v>499</v>
      </c>
      <c r="D217" s="186" t="s">
        <v>499</v>
      </c>
      <c r="E217" s="185" t="s">
        <v>499</v>
      </c>
      <c r="F217" s="185" t="s">
        <v>499</v>
      </c>
      <c r="G217" s="187">
        <f t="shared" si="3"/>
        <v>0</v>
      </c>
      <c r="H217" s="188"/>
      <c r="I217" s="188"/>
      <c r="J217" s="188"/>
      <c r="K217" s="185"/>
      <c r="L217" s="185"/>
      <c r="M217" s="185"/>
      <c r="N217" s="185"/>
      <c r="O217" s="193"/>
      <c r="P217" s="193"/>
      <c r="Q217" s="191"/>
      <c r="R217" s="191"/>
      <c r="S217" s="192"/>
      <c r="AQ217" s="31"/>
      <c r="AR217" s="31"/>
    </row>
    <row r="218" spans="1:44" ht="25.25" customHeight="1" thickTop="1" thickBot="1" x14ac:dyDescent="0.4">
      <c r="A218" s="184" t="s">
        <v>499</v>
      </c>
      <c r="B218" s="185" t="s">
        <v>499</v>
      </c>
      <c r="C218" s="185" t="s">
        <v>499</v>
      </c>
      <c r="D218" s="186" t="s">
        <v>499</v>
      </c>
      <c r="E218" s="185" t="s">
        <v>499</v>
      </c>
      <c r="F218" s="185" t="s">
        <v>499</v>
      </c>
      <c r="G218" s="187">
        <f t="shared" si="3"/>
        <v>0</v>
      </c>
      <c r="H218" s="188"/>
      <c r="I218" s="188"/>
      <c r="J218" s="188"/>
      <c r="K218" s="185"/>
      <c r="L218" s="185"/>
      <c r="M218" s="185"/>
      <c r="N218" s="185"/>
      <c r="O218" s="193"/>
      <c r="P218" s="193"/>
      <c r="Q218" s="191"/>
      <c r="R218" s="191"/>
      <c r="S218" s="192"/>
      <c r="AQ218" s="31"/>
      <c r="AR218" s="31"/>
    </row>
    <row r="219" spans="1:44" ht="25.25" customHeight="1" thickTop="1" thickBot="1" x14ac:dyDescent="0.4">
      <c r="A219" s="184" t="s">
        <v>499</v>
      </c>
      <c r="B219" s="185" t="s">
        <v>499</v>
      </c>
      <c r="C219" s="185" t="s">
        <v>499</v>
      </c>
      <c r="D219" s="186" t="s">
        <v>499</v>
      </c>
      <c r="E219" s="185" t="s">
        <v>499</v>
      </c>
      <c r="F219" s="185" t="s">
        <v>499</v>
      </c>
      <c r="G219" s="187">
        <f t="shared" si="3"/>
        <v>0</v>
      </c>
      <c r="H219" s="188"/>
      <c r="I219" s="188"/>
      <c r="J219" s="188"/>
      <c r="K219" s="185"/>
      <c r="L219" s="185"/>
      <c r="M219" s="185"/>
      <c r="N219" s="185"/>
      <c r="O219" s="193"/>
      <c r="P219" s="193"/>
      <c r="Q219" s="191"/>
      <c r="R219" s="191"/>
      <c r="S219" s="192"/>
      <c r="AQ219" s="31"/>
      <c r="AR219" s="31"/>
    </row>
    <row r="220" spans="1:44" ht="25.25" customHeight="1" thickTop="1" thickBot="1" x14ac:dyDescent="0.4">
      <c r="A220" s="184" t="s">
        <v>499</v>
      </c>
      <c r="B220" s="185" t="s">
        <v>499</v>
      </c>
      <c r="C220" s="185" t="s">
        <v>499</v>
      </c>
      <c r="D220" s="186" t="s">
        <v>499</v>
      </c>
      <c r="E220" s="185" t="s">
        <v>499</v>
      </c>
      <c r="F220" s="185" t="s">
        <v>499</v>
      </c>
      <c r="G220" s="187">
        <f t="shared" si="3"/>
        <v>0</v>
      </c>
      <c r="H220" s="188"/>
      <c r="I220" s="188"/>
      <c r="J220" s="188"/>
      <c r="K220" s="185"/>
      <c r="L220" s="185"/>
      <c r="M220" s="185"/>
      <c r="N220" s="185"/>
      <c r="O220" s="193"/>
      <c r="P220" s="193"/>
      <c r="Q220" s="191"/>
      <c r="R220" s="191"/>
      <c r="S220" s="192"/>
      <c r="AQ220" s="31"/>
      <c r="AR220" s="31"/>
    </row>
    <row r="221" spans="1:44" ht="25.25" customHeight="1" thickTop="1" thickBot="1" x14ac:dyDescent="0.4">
      <c r="A221" s="184" t="s">
        <v>499</v>
      </c>
      <c r="B221" s="185" t="s">
        <v>499</v>
      </c>
      <c r="C221" s="185" t="s">
        <v>499</v>
      </c>
      <c r="D221" s="186" t="s">
        <v>499</v>
      </c>
      <c r="E221" s="185" t="s">
        <v>499</v>
      </c>
      <c r="F221" s="185" t="s">
        <v>499</v>
      </c>
      <c r="G221" s="187">
        <f t="shared" si="3"/>
        <v>0</v>
      </c>
      <c r="H221" s="188"/>
      <c r="I221" s="188"/>
      <c r="J221" s="188"/>
      <c r="K221" s="185"/>
      <c r="L221" s="185"/>
      <c r="M221" s="185"/>
      <c r="N221" s="185"/>
      <c r="O221" s="193"/>
      <c r="P221" s="193"/>
      <c r="Q221" s="191"/>
      <c r="R221" s="191"/>
      <c r="S221" s="192"/>
      <c r="AQ221" s="31"/>
      <c r="AR221" s="31"/>
    </row>
    <row r="222" spans="1:44" ht="25.25" customHeight="1" thickTop="1" thickBot="1" x14ac:dyDescent="0.4">
      <c r="A222" s="184" t="s">
        <v>499</v>
      </c>
      <c r="B222" s="185" t="s">
        <v>499</v>
      </c>
      <c r="C222" s="185" t="s">
        <v>499</v>
      </c>
      <c r="D222" s="186" t="s">
        <v>499</v>
      </c>
      <c r="E222" s="185" t="s">
        <v>499</v>
      </c>
      <c r="F222" s="185" t="s">
        <v>499</v>
      </c>
      <c r="G222" s="187">
        <f t="shared" si="3"/>
        <v>0</v>
      </c>
      <c r="H222" s="188"/>
      <c r="I222" s="188"/>
      <c r="J222" s="188"/>
      <c r="K222" s="185"/>
      <c r="L222" s="185"/>
      <c r="M222" s="185"/>
      <c r="N222" s="185"/>
      <c r="O222" s="193"/>
      <c r="P222" s="193"/>
      <c r="Q222" s="191"/>
      <c r="R222" s="191"/>
      <c r="S222" s="192"/>
      <c r="AQ222" s="31"/>
      <c r="AR222" s="31"/>
    </row>
    <row r="223" spans="1:44" ht="25.25" customHeight="1" thickTop="1" thickBot="1" x14ac:dyDescent="0.4">
      <c r="A223" s="184" t="s">
        <v>499</v>
      </c>
      <c r="B223" s="185" t="s">
        <v>499</v>
      </c>
      <c r="C223" s="185" t="s">
        <v>499</v>
      </c>
      <c r="D223" s="186" t="s">
        <v>499</v>
      </c>
      <c r="E223" s="185" t="s">
        <v>499</v>
      </c>
      <c r="F223" s="185" t="s">
        <v>499</v>
      </c>
      <c r="G223" s="187">
        <f t="shared" si="3"/>
        <v>0</v>
      </c>
      <c r="H223" s="188"/>
      <c r="I223" s="188"/>
      <c r="J223" s="188"/>
      <c r="K223" s="185"/>
      <c r="L223" s="185"/>
      <c r="M223" s="185"/>
      <c r="N223" s="185"/>
      <c r="O223" s="193"/>
      <c r="P223" s="193"/>
      <c r="Q223" s="191"/>
      <c r="R223" s="191"/>
      <c r="S223" s="192"/>
      <c r="AQ223" s="31"/>
      <c r="AR223" s="31"/>
    </row>
    <row r="224" spans="1:44" ht="25.25" customHeight="1" thickTop="1" thickBot="1" x14ac:dyDescent="0.4">
      <c r="A224" s="184" t="s">
        <v>499</v>
      </c>
      <c r="B224" s="185" t="s">
        <v>499</v>
      </c>
      <c r="C224" s="185" t="s">
        <v>499</v>
      </c>
      <c r="D224" s="186" t="s">
        <v>499</v>
      </c>
      <c r="E224" s="185" t="s">
        <v>499</v>
      </c>
      <c r="F224" s="185" t="s">
        <v>499</v>
      </c>
      <c r="G224" s="187">
        <f t="shared" si="3"/>
        <v>0</v>
      </c>
      <c r="H224" s="188"/>
      <c r="I224" s="188"/>
      <c r="J224" s="188"/>
      <c r="K224" s="185"/>
      <c r="L224" s="185"/>
      <c r="M224" s="185"/>
      <c r="N224" s="185"/>
      <c r="O224" s="193"/>
      <c r="P224" s="193"/>
      <c r="Q224" s="191"/>
      <c r="R224" s="191"/>
      <c r="S224" s="192"/>
      <c r="AQ224" s="31"/>
      <c r="AR224" s="31"/>
    </row>
    <row r="225" spans="1:44" ht="25.25" customHeight="1" thickTop="1" thickBot="1" x14ac:dyDescent="0.4">
      <c r="A225" s="184" t="s">
        <v>499</v>
      </c>
      <c r="B225" s="185" t="s">
        <v>499</v>
      </c>
      <c r="C225" s="185" t="s">
        <v>499</v>
      </c>
      <c r="D225" s="186" t="s">
        <v>499</v>
      </c>
      <c r="E225" s="185" t="s">
        <v>499</v>
      </c>
      <c r="F225" s="185" t="s">
        <v>499</v>
      </c>
      <c r="G225" s="187">
        <f t="shared" si="3"/>
        <v>0</v>
      </c>
      <c r="H225" s="188"/>
      <c r="I225" s="188"/>
      <c r="J225" s="188"/>
      <c r="K225" s="185"/>
      <c r="L225" s="185"/>
      <c r="M225" s="185"/>
      <c r="N225" s="185"/>
      <c r="O225" s="193"/>
      <c r="P225" s="193"/>
      <c r="Q225" s="191"/>
      <c r="R225" s="191"/>
      <c r="S225" s="192"/>
      <c r="AQ225" s="31"/>
      <c r="AR225" s="31"/>
    </row>
    <row r="226" spans="1:44" ht="25.25" customHeight="1" thickTop="1" thickBot="1" x14ac:dyDescent="0.4">
      <c r="A226" s="184" t="s">
        <v>499</v>
      </c>
      <c r="B226" s="185" t="s">
        <v>499</v>
      </c>
      <c r="C226" s="185" t="s">
        <v>499</v>
      </c>
      <c r="D226" s="186" t="s">
        <v>499</v>
      </c>
      <c r="E226" s="185" t="s">
        <v>499</v>
      </c>
      <c r="F226" s="185" t="s">
        <v>499</v>
      </c>
      <c r="G226" s="187">
        <f t="shared" si="3"/>
        <v>0</v>
      </c>
      <c r="H226" s="188"/>
      <c r="I226" s="188"/>
      <c r="J226" s="188"/>
      <c r="K226" s="185"/>
      <c r="L226" s="185"/>
      <c r="M226" s="185"/>
      <c r="N226" s="185"/>
      <c r="O226" s="193"/>
      <c r="P226" s="193"/>
      <c r="Q226" s="191"/>
      <c r="R226" s="191"/>
      <c r="S226" s="192"/>
      <c r="AQ226" s="31"/>
      <c r="AR226" s="31"/>
    </row>
    <row r="227" spans="1:44" ht="25.25" customHeight="1" thickTop="1" thickBot="1" x14ac:dyDescent="0.4">
      <c r="A227" s="184" t="s">
        <v>499</v>
      </c>
      <c r="B227" s="185" t="s">
        <v>499</v>
      </c>
      <c r="C227" s="185" t="s">
        <v>499</v>
      </c>
      <c r="D227" s="186" t="s">
        <v>499</v>
      </c>
      <c r="E227" s="185" t="s">
        <v>499</v>
      </c>
      <c r="F227" s="185" t="s">
        <v>499</v>
      </c>
      <c r="G227" s="187">
        <f t="shared" si="3"/>
        <v>0</v>
      </c>
      <c r="H227" s="188"/>
      <c r="I227" s="188"/>
      <c r="J227" s="188"/>
      <c r="K227" s="185"/>
      <c r="L227" s="185"/>
      <c r="M227" s="185"/>
      <c r="N227" s="185"/>
      <c r="O227" s="193"/>
      <c r="P227" s="193"/>
      <c r="Q227" s="191"/>
      <c r="R227" s="191"/>
      <c r="S227" s="192"/>
      <c r="AQ227" s="31"/>
      <c r="AR227" s="31"/>
    </row>
    <row r="228" spans="1:44" ht="25.25" customHeight="1" thickTop="1" thickBot="1" x14ac:dyDescent="0.4">
      <c r="A228" s="184" t="s">
        <v>499</v>
      </c>
      <c r="B228" s="185" t="s">
        <v>499</v>
      </c>
      <c r="C228" s="185" t="s">
        <v>499</v>
      </c>
      <c r="D228" s="186" t="s">
        <v>499</v>
      </c>
      <c r="E228" s="185" t="s">
        <v>499</v>
      </c>
      <c r="F228" s="185" t="s">
        <v>499</v>
      </c>
      <c r="G228" s="187">
        <f t="shared" si="3"/>
        <v>0</v>
      </c>
      <c r="H228" s="188"/>
      <c r="I228" s="188"/>
      <c r="J228" s="188"/>
      <c r="K228" s="185"/>
      <c r="L228" s="185"/>
      <c r="M228" s="185"/>
      <c r="N228" s="185"/>
      <c r="O228" s="193"/>
      <c r="P228" s="193"/>
      <c r="Q228" s="191"/>
      <c r="R228" s="191"/>
      <c r="S228" s="192"/>
      <c r="AQ228" s="31"/>
      <c r="AR228" s="31"/>
    </row>
    <row r="229" spans="1:44" ht="25.25" customHeight="1" thickTop="1" thickBot="1" x14ac:dyDescent="0.4">
      <c r="A229" s="184" t="s">
        <v>499</v>
      </c>
      <c r="B229" s="185" t="s">
        <v>499</v>
      </c>
      <c r="C229" s="185" t="s">
        <v>499</v>
      </c>
      <c r="D229" s="186" t="s">
        <v>499</v>
      </c>
      <c r="E229" s="185" t="s">
        <v>499</v>
      </c>
      <c r="F229" s="185" t="s">
        <v>499</v>
      </c>
      <c r="G229" s="187">
        <f t="shared" si="3"/>
        <v>0</v>
      </c>
      <c r="H229" s="188"/>
      <c r="I229" s="188"/>
      <c r="J229" s="188"/>
      <c r="K229" s="185"/>
      <c r="L229" s="185"/>
      <c r="M229" s="185"/>
      <c r="N229" s="185"/>
      <c r="O229" s="193"/>
      <c r="P229" s="193"/>
      <c r="Q229" s="191"/>
      <c r="R229" s="191"/>
      <c r="S229" s="192"/>
      <c r="AQ229" s="31"/>
      <c r="AR229" s="31"/>
    </row>
    <row r="230" spans="1:44" ht="25.25" customHeight="1" thickTop="1" thickBot="1" x14ac:dyDescent="0.4">
      <c r="A230" s="184" t="s">
        <v>499</v>
      </c>
      <c r="B230" s="185" t="s">
        <v>499</v>
      </c>
      <c r="C230" s="185" t="s">
        <v>499</v>
      </c>
      <c r="D230" s="186" t="s">
        <v>499</v>
      </c>
      <c r="E230" s="185" t="s">
        <v>499</v>
      </c>
      <c r="F230" s="185" t="s">
        <v>499</v>
      </c>
      <c r="G230" s="187">
        <f t="shared" si="3"/>
        <v>0</v>
      </c>
      <c r="H230" s="188"/>
      <c r="I230" s="188"/>
      <c r="J230" s="188"/>
      <c r="K230" s="185"/>
      <c r="L230" s="185"/>
      <c r="M230" s="185"/>
      <c r="N230" s="185"/>
      <c r="O230" s="193"/>
      <c r="P230" s="193"/>
      <c r="Q230" s="191"/>
      <c r="R230" s="191"/>
      <c r="S230" s="192"/>
      <c r="AQ230" s="31"/>
      <c r="AR230" s="31"/>
    </row>
    <row r="231" spans="1:44" ht="25.25" customHeight="1" thickTop="1" thickBot="1" x14ac:dyDescent="0.4">
      <c r="A231" s="184" t="s">
        <v>499</v>
      </c>
      <c r="B231" s="185" t="s">
        <v>499</v>
      </c>
      <c r="C231" s="185" t="s">
        <v>499</v>
      </c>
      <c r="D231" s="186" t="s">
        <v>499</v>
      </c>
      <c r="E231" s="185" t="s">
        <v>499</v>
      </c>
      <c r="F231" s="185" t="s">
        <v>499</v>
      </c>
      <c r="G231" s="187">
        <f t="shared" si="3"/>
        <v>0</v>
      </c>
      <c r="H231" s="188"/>
      <c r="I231" s="188"/>
      <c r="J231" s="188"/>
      <c r="K231" s="185"/>
      <c r="L231" s="185"/>
      <c r="M231" s="185"/>
      <c r="N231" s="185"/>
      <c r="O231" s="193"/>
      <c r="P231" s="193"/>
      <c r="Q231" s="191"/>
      <c r="R231" s="191"/>
      <c r="S231" s="192"/>
      <c r="AQ231" s="31"/>
      <c r="AR231" s="31"/>
    </row>
    <row r="232" spans="1:44" ht="25.25" customHeight="1" thickTop="1" thickBot="1" x14ac:dyDescent="0.4">
      <c r="A232" s="184" t="s">
        <v>499</v>
      </c>
      <c r="B232" s="185" t="s">
        <v>499</v>
      </c>
      <c r="C232" s="185" t="s">
        <v>499</v>
      </c>
      <c r="D232" s="186" t="s">
        <v>499</v>
      </c>
      <c r="E232" s="185" t="s">
        <v>499</v>
      </c>
      <c r="F232" s="185" t="s">
        <v>499</v>
      </c>
      <c r="G232" s="187">
        <f t="shared" si="3"/>
        <v>0</v>
      </c>
      <c r="H232" s="188"/>
      <c r="I232" s="188"/>
      <c r="J232" s="188"/>
      <c r="K232" s="185"/>
      <c r="L232" s="185"/>
      <c r="M232" s="185"/>
      <c r="N232" s="185"/>
      <c r="O232" s="193"/>
      <c r="P232" s="193"/>
      <c r="Q232" s="191"/>
      <c r="R232" s="191"/>
      <c r="S232" s="192"/>
      <c r="AQ232" s="31"/>
      <c r="AR232" s="31"/>
    </row>
    <row r="233" spans="1:44" ht="25.25" customHeight="1" thickTop="1" thickBot="1" x14ac:dyDescent="0.4">
      <c r="A233" s="184" t="s">
        <v>499</v>
      </c>
      <c r="B233" s="185" t="s">
        <v>499</v>
      </c>
      <c r="C233" s="185" t="s">
        <v>499</v>
      </c>
      <c r="D233" s="186" t="s">
        <v>499</v>
      </c>
      <c r="E233" s="185" t="s">
        <v>499</v>
      </c>
      <c r="F233" s="185" t="s">
        <v>499</v>
      </c>
      <c r="G233" s="187">
        <f t="shared" si="3"/>
        <v>0</v>
      </c>
      <c r="H233" s="188"/>
      <c r="I233" s="188"/>
      <c r="J233" s="188"/>
      <c r="K233" s="185"/>
      <c r="L233" s="185"/>
      <c r="M233" s="185"/>
      <c r="N233" s="185"/>
      <c r="O233" s="193"/>
      <c r="P233" s="193"/>
      <c r="Q233" s="191"/>
      <c r="R233" s="191"/>
      <c r="S233" s="192"/>
      <c r="AQ233" s="31"/>
      <c r="AR233" s="31"/>
    </row>
    <row r="234" spans="1:44" ht="25.25" customHeight="1" thickTop="1" thickBot="1" x14ac:dyDescent="0.4">
      <c r="A234" s="184" t="s">
        <v>499</v>
      </c>
      <c r="B234" s="185" t="s">
        <v>499</v>
      </c>
      <c r="C234" s="185" t="s">
        <v>499</v>
      </c>
      <c r="D234" s="186" t="s">
        <v>499</v>
      </c>
      <c r="E234" s="185" t="s">
        <v>499</v>
      </c>
      <c r="F234" s="185" t="s">
        <v>499</v>
      </c>
      <c r="G234" s="187">
        <f t="shared" si="3"/>
        <v>0</v>
      </c>
      <c r="H234" s="188"/>
      <c r="I234" s="188"/>
      <c r="J234" s="188"/>
      <c r="K234" s="185"/>
      <c r="L234" s="185"/>
      <c r="M234" s="185"/>
      <c r="N234" s="185"/>
      <c r="O234" s="193"/>
      <c r="P234" s="193"/>
      <c r="Q234" s="191"/>
      <c r="R234" s="191"/>
      <c r="S234" s="192"/>
      <c r="AQ234" s="31"/>
      <c r="AR234" s="31"/>
    </row>
    <row r="235" spans="1:44" ht="25.25" customHeight="1" thickTop="1" thickBot="1" x14ac:dyDescent="0.4">
      <c r="A235" s="184" t="s">
        <v>499</v>
      </c>
      <c r="B235" s="185" t="s">
        <v>499</v>
      </c>
      <c r="C235" s="185" t="s">
        <v>499</v>
      </c>
      <c r="D235" s="186" t="s">
        <v>499</v>
      </c>
      <c r="E235" s="185" t="s">
        <v>499</v>
      </c>
      <c r="F235" s="185" t="s">
        <v>499</v>
      </c>
      <c r="G235" s="187">
        <f t="shared" si="3"/>
        <v>0</v>
      </c>
      <c r="H235" s="188"/>
      <c r="I235" s="188"/>
      <c r="J235" s="188"/>
      <c r="K235" s="185"/>
      <c r="L235" s="185"/>
      <c r="M235" s="185"/>
      <c r="N235" s="185"/>
      <c r="O235" s="193"/>
      <c r="P235" s="193"/>
      <c r="Q235" s="191"/>
      <c r="R235" s="191"/>
      <c r="S235" s="192"/>
      <c r="AQ235" s="31"/>
      <c r="AR235" s="31"/>
    </row>
    <row r="236" spans="1:44" ht="25.25" customHeight="1" thickTop="1" thickBot="1" x14ac:dyDescent="0.4">
      <c r="A236" s="184" t="s">
        <v>499</v>
      </c>
      <c r="B236" s="185" t="s">
        <v>499</v>
      </c>
      <c r="C236" s="185" t="s">
        <v>499</v>
      </c>
      <c r="D236" s="186" t="s">
        <v>499</v>
      </c>
      <c r="E236" s="185" t="s">
        <v>499</v>
      </c>
      <c r="F236" s="185" t="s">
        <v>499</v>
      </c>
      <c r="G236" s="187">
        <f t="shared" si="3"/>
        <v>0</v>
      </c>
      <c r="H236" s="188"/>
      <c r="I236" s="188"/>
      <c r="J236" s="188"/>
      <c r="K236" s="185"/>
      <c r="L236" s="185"/>
      <c r="M236" s="185"/>
      <c r="N236" s="185"/>
      <c r="O236" s="193"/>
      <c r="P236" s="193"/>
      <c r="Q236" s="191"/>
      <c r="R236" s="191"/>
      <c r="S236" s="192"/>
      <c r="AQ236" s="31"/>
      <c r="AR236" s="31"/>
    </row>
    <row r="237" spans="1:44" ht="25.25" customHeight="1" thickTop="1" thickBot="1" x14ac:dyDescent="0.4">
      <c r="A237" s="184" t="s">
        <v>499</v>
      </c>
      <c r="B237" s="185" t="s">
        <v>499</v>
      </c>
      <c r="C237" s="185" t="s">
        <v>499</v>
      </c>
      <c r="D237" s="186" t="s">
        <v>499</v>
      </c>
      <c r="E237" s="185" t="s">
        <v>499</v>
      </c>
      <c r="F237" s="185" t="s">
        <v>499</v>
      </c>
      <c r="G237" s="187">
        <f t="shared" si="3"/>
        <v>0</v>
      </c>
      <c r="H237" s="188"/>
      <c r="I237" s="188"/>
      <c r="J237" s="188"/>
      <c r="K237" s="185"/>
      <c r="L237" s="185"/>
      <c r="M237" s="185"/>
      <c r="N237" s="185"/>
      <c r="O237" s="193"/>
      <c r="P237" s="193"/>
      <c r="Q237" s="191"/>
      <c r="R237" s="191"/>
      <c r="S237" s="192"/>
      <c r="AQ237" s="31"/>
      <c r="AR237" s="31"/>
    </row>
    <row r="238" spans="1:44" ht="25.25" customHeight="1" thickTop="1" thickBot="1" x14ac:dyDescent="0.4">
      <c r="A238" s="184" t="s">
        <v>499</v>
      </c>
      <c r="B238" s="185" t="s">
        <v>499</v>
      </c>
      <c r="C238" s="185" t="s">
        <v>499</v>
      </c>
      <c r="D238" s="186" t="s">
        <v>499</v>
      </c>
      <c r="E238" s="185" t="s">
        <v>499</v>
      </c>
      <c r="F238" s="185" t="s">
        <v>499</v>
      </c>
      <c r="G238" s="187">
        <f t="shared" si="3"/>
        <v>0</v>
      </c>
      <c r="H238" s="188"/>
      <c r="I238" s="188"/>
      <c r="J238" s="188"/>
      <c r="K238" s="185"/>
      <c r="L238" s="185"/>
      <c r="M238" s="185"/>
      <c r="N238" s="185"/>
      <c r="O238" s="193"/>
      <c r="P238" s="193"/>
      <c r="Q238" s="191"/>
      <c r="R238" s="191"/>
      <c r="S238" s="192"/>
      <c r="AQ238" s="31"/>
      <c r="AR238" s="31"/>
    </row>
    <row r="239" spans="1:44" ht="25.25" customHeight="1" thickTop="1" thickBot="1" x14ac:dyDescent="0.4">
      <c r="A239" s="184" t="s">
        <v>499</v>
      </c>
      <c r="B239" s="185" t="s">
        <v>499</v>
      </c>
      <c r="C239" s="185" t="s">
        <v>499</v>
      </c>
      <c r="D239" s="186" t="s">
        <v>499</v>
      </c>
      <c r="E239" s="185" t="s">
        <v>499</v>
      </c>
      <c r="F239" s="185" t="s">
        <v>499</v>
      </c>
      <c r="G239" s="187">
        <f t="shared" si="3"/>
        <v>0</v>
      </c>
      <c r="H239" s="188"/>
      <c r="I239" s="188"/>
      <c r="J239" s="188"/>
      <c r="K239" s="185"/>
      <c r="L239" s="185"/>
      <c r="M239" s="185"/>
      <c r="N239" s="185"/>
      <c r="O239" s="193"/>
      <c r="P239" s="193"/>
      <c r="Q239" s="191"/>
      <c r="R239" s="191"/>
      <c r="S239" s="192"/>
      <c r="AQ239" s="31"/>
      <c r="AR239" s="31"/>
    </row>
    <row r="240" spans="1:44" ht="25.25" customHeight="1" thickTop="1" thickBot="1" x14ac:dyDescent="0.4">
      <c r="A240" s="184" t="s">
        <v>499</v>
      </c>
      <c r="B240" s="185" t="s">
        <v>499</v>
      </c>
      <c r="C240" s="185" t="s">
        <v>499</v>
      </c>
      <c r="D240" s="186" t="s">
        <v>499</v>
      </c>
      <c r="E240" s="185" t="s">
        <v>499</v>
      </c>
      <c r="F240" s="185" t="s">
        <v>499</v>
      </c>
      <c r="G240" s="187">
        <f t="shared" si="3"/>
        <v>0</v>
      </c>
      <c r="H240" s="188"/>
      <c r="I240" s="188"/>
      <c r="J240" s="188"/>
      <c r="K240" s="185"/>
      <c r="L240" s="185"/>
      <c r="M240" s="185"/>
      <c r="N240" s="185"/>
      <c r="O240" s="193"/>
      <c r="P240" s="193"/>
      <c r="Q240" s="191"/>
      <c r="R240" s="191"/>
      <c r="S240" s="192"/>
      <c r="AQ240" s="31"/>
      <c r="AR240" s="31"/>
    </row>
    <row r="241" spans="1:44" ht="25.25" customHeight="1" thickTop="1" thickBot="1" x14ac:dyDescent="0.4">
      <c r="A241" s="184" t="s">
        <v>499</v>
      </c>
      <c r="B241" s="185" t="s">
        <v>499</v>
      </c>
      <c r="C241" s="185" t="s">
        <v>499</v>
      </c>
      <c r="D241" s="186" t="s">
        <v>499</v>
      </c>
      <c r="E241" s="185" t="s">
        <v>499</v>
      </c>
      <c r="F241" s="185" t="s">
        <v>499</v>
      </c>
      <c r="G241" s="187">
        <f t="shared" si="3"/>
        <v>0</v>
      </c>
      <c r="H241" s="188"/>
      <c r="I241" s="188"/>
      <c r="J241" s="188"/>
      <c r="K241" s="185"/>
      <c r="L241" s="185"/>
      <c r="M241" s="185"/>
      <c r="N241" s="185"/>
      <c r="O241" s="193"/>
      <c r="P241" s="193"/>
      <c r="Q241" s="191"/>
      <c r="R241" s="191"/>
      <c r="S241" s="192"/>
      <c r="AQ241" s="31"/>
      <c r="AR241" s="31"/>
    </row>
    <row r="242" spans="1:44" ht="25.25" customHeight="1" thickTop="1" thickBot="1" x14ac:dyDescent="0.4">
      <c r="A242" s="184" t="s">
        <v>499</v>
      </c>
      <c r="B242" s="185" t="s">
        <v>499</v>
      </c>
      <c r="C242" s="185" t="s">
        <v>499</v>
      </c>
      <c r="D242" s="186" t="s">
        <v>499</v>
      </c>
      <c r="E242" s="185" t="s">
        <v>499</v>
      </c>
      <c r="F242" s="185" t="s">
        <v>499</v>
      </c>
      <c r="G242" s="187">
        <f t="shared" si="3"/>
        <v>0</v>
      </c>
      <c r="H242" s="188"/>
      <c r="I242" s="188"/>
      <c r="J242" s="188"/>
      <c r="K242" s="185"/>
      <c r="L242" s="185"/>
      <c r="M242" s="185"/>
      <c r="N242" s="185"/>
      <c r="O242" s="193"/>
      <c r="P242" s="193"/>
      <c r="Q242" s="191"/>
      <c r="R242" s="191"/>
      <c r="S242" s="192"/>
      <c r="AQ242" s="31"/>
      <c r="AR242" s="31"/>
    </row>
    <row r="243" spans="1:44" ht="25.25" customHeight="1" thickTop="1" thickBot="1" x14ac:dyDescent="0.4">
      <c r="A243" s="184" t="s">
        <v>499</v>
      </c>
      <c r="B243" s="185" t="s">
        <v>499</v>
      </c>
      <c r="C243" s="185" t="s">
        <v>499</v>
      </c>
      <c r="D243" s="186" t="s">
        <v>499</v>
      </c>
      <c r="E243" s="185" t="s">
        <v>499</v>
      </c>
      <c r="F243" s="185" t="s">
        <v>499</v>
      </c>
      <c r="G243" s="187">
        <f t="shared" si="3"/>
        <v>0</v>
      </c>
      <c r="H243" s="188"/>
      <c r="I243" s="188"/>
      <c r="J243" s="188"/>
      <c r="K243" s="185"/>
      <c r="L243" s="185"/>
      <c r="M243" s="185"/>
      <c r="N243" s="185"/>
      <c r="O243" s="193"/>
      <c r="P243" s="193"/>
      <c r="Q243" s="191"/>
      <c r="R243" s="191"/>
      <c r="S243" s="192"/>
      <c r="AQ243" s="31"/>
      <c r="AR243" s="31"/>
    </row>
    <row r="244" spans="1:44" ht="25.25" customHeight="1" thickTop="1" thickBot="1" x14ac:dyDescent="0.4">
      <c r="A244" s="184" t="s">
        <v>499</v>
      </c>
      <c r="B244" s="185" t="s">
        <v>499</v>
      </c>
      <c r="C244" s="185" t="s">
        <v>499</v>
      </c>
      <c r="D244" s="186" t="s">
        <v>499</v>
      </c>
      <c r="E244" s="185" t="s">
        <v>499</v>
      </c>
      <c r="F244" s="185" t="s">
        <v>499</v>
      </c>
      <c r="G244" s="187">
        <f t="shared" si="3"/>
        <v>0</v>
      </c>
      <c r="H244" s="188"/>
      <c r="I244" s="188"/>
      <c r="J244" s="188"/>
      <c r="K244" s="185"/>
      <c r="L244" s="185"/>
      <c r="M244" s="185"/>
      <c r="N244" s="185"/>
      <c r="O244" s="193"/>
      <c r="P244" s="193"/>
      <c r="Q244" s="191"/>
      <c r="R244" s="191"/>
      <c r="S244" s="192"/>
      <c r="AQ244" s="31"/>
      <c r="AR244" s="31"/>
    </row>
    <row r="245" spans="1:44" ht="25.25" customHeight="1" thickTop="1" thickBot="1" x14ac:dyDescent="0.4">
      <c r="A245" s="184" t="s">
        <v>499</v>
      </c>
      <c r="B245" s="185" t="s">
        <v>499</v>
      </c>
      <c r="C245" s="185" t="s">
        <v>499</v>
      </c>
      <c r="D245" s="186" t="s">
        <v>499</v>
      </c>
      <c r="E245" s="185" t="s">
        <v>499</v>
      </c>
      <c r="F245" s="185" t="s">
        <v>499</v>
      </c>
      <c r="G245" s="187">
        <f t="shared" si="3"/>
        <v>0</v>
      </c>
      <c r="H245" s="188"/>
      <c r="I245" s="188"/>
      <c r="J245" s="188"/>
      <c r="K245" s="185"/>
      <c r="L245" s="185"/>
      <c r="M245" s="185"/>
      <c r="N245" s="185"/>
      <c r="O245" s="193"/>
      <c r="P245" s="193"/>
      <c r="Q245" s="191"/>
      <c r="R245" s="191"/>
      <c r="S245" s="192"/>
      <c r="AQ245" s="31"/>
      <c r="AR245" s="31"/>
    </row>
    <row r="246" spans="1:44" ht="25.25" customHeight="1" thickTop="1" thickBot="1" x14ac:dyDescent="0.4">
      <c r="A246" s="184" t="s">
        <v>499</v>
      </c>
      <c r="B246" s="185" t="s">
        <v>499</v>
      </c>
      <c r="C246" s="185" t="s">
        <v>499</v>
      </c>
      <c r="D246" s="186" t="s">
        <v>499</v>
      </c>
      <c r="E246" s="185" t="s">
        <v>499</v>
      </c>
      <c r="F246" s="185" t="s">
        <v>499</v>
      </c>
      <c r="G246" s="187">
        <f t="shared" si="3"/>
        <v>0</v>
      </c>
      <c r="H246" s="188"/>
      <c r="I246" s="188"/>
      <c r="J246" s="188"/>
      <c r="K246" s="185"/>
      <c r="L246" s="185"/>
      <c r="M246" s="185"/>
      <c r="N246" s="185"/>
      <c r="O246" s="193"/>
      <c r="P246" s="193"/>
      <c r="Q246" s="191"/>
      <c r="R246" s="191"/>
      <c r="S246" s="192"/>
      <c r="AQ246" s="31"/>
      <c r="AR246" s="31"/>
    </row>
    <row r="247" spans="1:44" ht="25.25" customHeight="1" thickTop="1" thickBot="1" x14ac:dyDescent="0.4">
      <c r="A247" s="184" t="s">
        <v>499</v>
      </c>
      <c r="B247" s="185" t="s">
        <v>499</v>
      </c>
      <c r="C247" s="185" t="s">
        <v>499</v>
      </c>
      <c r="D247" s="186" t="s">
        <v>499</v>
      </c>
      <c r="E247" s="185" t="s">
        <v>499</v>
      </c>
      <c r="F247" s="185" t="s">
        <v>499</v>
      </c>
      <c r="G247" s="187">
        <f t="shared" si="3"/>
        <v>0</v>
      </c>
      <c r="H247" s="188"/>
      <c r="I247" s="188"/>
      <c r="J247" s="188"/>
      <c r="K247" s="185"/>
      <c r="L247" s="185"/>
      <c r="M247" s="185"/>
      <c r="N247" s="185"/>
      <c r="O247" s="193"/>
      <c r="P247" s="193"/>
      <c r="Q247" s="191"/>
      <c r="R247" s="191"/>
      <c r="S247" s="192"/>
      <c r="AQ247" s="31"/>
      <c r="AR247" s="31"/>
    </row>
    <row r="248" spans="1:44" ht="25.25" customHeight="1" thickTop="1" thickBot="1" x14ac:dyDescent="0.4">
      <c r="A248" s="184" t="s">
        <v>499</v>
      </c>
      <c r="B248" s="185" t="s">
        <v>499</v>
      </c>
      <c r="C248" s="185" t="s">
        <v>499</v>
      </c>
      <c r="D248" s="186" t="s">
        <v>499</v>
      </c>
      <c r="E248" s="185" t="s">
        <v>499</v>
      </c>
      <c r="F248" s="185" t="s">
        <v>499</v>
      </c>
      <c r="G248" s="187">
        <f t="shared" si="3"/>
        <v>0</v>
      </c>
      <c r="H248" s="188"/>
      <c r="I248" s="188"/>
      <c r="J248" s="188"/>
      <c r="K248" s="185"/>
      <c r="L248" s="185"/>
      <c r="M248" s="185"/>
      <c r="N248" s="185"/>
      <c r="O248" s="193"/>
      <c r="P248" s="193"/>
      <c r="Q248" s="191"/>
      <c r="R248" s="191"/>
      <c r="S248" s="192"/>
      <c r="AQ248" s="31"/>
      <c r="AR248" s="31"/>
    </row>
    <row r="249" spans="1:44" ht="25.25" customHeight="1" thickTop="1" thickBot="1" x14ac:dyDescent="0.4">
      <c r="A249" s="184" t="s">
        <v>499</v>
      </c>
      <c r="B249" s="185" t="s">
        <v>499</v>
      </c>
      <c r="C249" s="185" t="s">
        <v>499</v>
      </c>
      <c r="D249" s="186" t="s">
        <v>499</v>
      </c>
      <c r="E249" s="185" t="s">
        <v>499</v>
      </c>
      <c r="F249" s="185" t="s">
        <v>499</v>
      </c>
      <c r="G249" s="187">
        <f t="shared" si="3"/>
        <v>0</v>
      </c>
      <c r="H249" s="188"/>
      <c r="I249" s="188"/>
      <c r="J249" s="188"/>
      <c r="K249" s="185"/>
      <c r="L249" s="185"/>
      <c r="M249" s="185"/>
      <c r="N249" s="185"/>
      <c r="O249" s="193"/>
      <c r="P249" s="193"/>
      <c r="Q249" s="191"/>
      <c r="R249" s="191"/>
      <c r="S249" s="192"/>
      <c r="AQ249" s="31"/>
      <c r="AR249" s="31"/>
    </row>
    <row r="250" spans="1:44" ht="25.25" customHeight="1" thickTop="1" thickBot="1" x14ac:dyDescent="0.4">
      <c r="A250" s="184" t="s">
        <v>499</v>
      </c>
      <c r="B250" s="185" t="s">
        <v>499</v>
      </c>
      <c r="C250" s="185" t="s">
        <v>499</v>
      </c>
      <c r="D250" s="186" t="s">
        <v>499</v>
      </c>
      <c r="E250" s="185" t="s">
        <v>499</v>
      </c>
      <c r="F250" s="185" t="s">
        <v>499</v>
      </c>
      <c r="G250" s="187">
        <f t="shared" si="3"/>
        <v>0</v>
      </c>
      <c r="H250" s="188"/>
      <c r="I250" s="188"/>
      <c r="J250" s="188"/>
      <c r="K250" s="185"/>
      <c r="L250" s="185"/>
      <c r="M250" s="185"/>
      <c r="N250" s="185"/>
      <c r="O250" s="193"/>
      <c r="P250" s="193"/>
      <c r="Q250" s="191"/>
      <c r="R250" s="191"/>
      <c r="S250" s="192"/>
      <c r="AQ250" s="31"/>
      <c r="AR250" s="31"/>
    </row>
    <row r="251" spans="1:44" ht="25.25" customHeight="1" thickTop="1" thickBot="1" x14ac:dyDescent="0.4">
      <c r="A251" s="184" t="s">
        <v>499</v>
      </c>
      <c r="B251" s="185" t="s">
        <v>499</v>
      </c>
      <c r="C251" s="185" t="s">
        <v>499</v>
      </c>
      <c r="D251" s="186" t="s">
        <v>499</v>
      </c>
      <c r="E251" s="185" t="s">
        <v>499</v>
      </c>
      <c r="F251" s="185" t="s">
        <v>499</v>
      </c>
      <c r="G251" s="187">
        <f t="shared" si="3"/>
        <v>0</v>
      </c>
      <c r="H251" s="188"/>
      <c r="I251" s="188"/>
      <c r="J251" s="188"/>
      <c r="K251" s="185"/>
      <c r="L251" s="185"/>
      <c r="M251" s="185"/>
      <c r="N251" s="185"/>
      <c r="O251" s="193"/>
      <c r="P251" s="193"/>
      <c r="Q251" s="191"/>
      <c r="R251" s="191"/>
      <c r="S251" s="192"/>
      <c r="AQ251" s="31"/>
      <c r="AR251" s="31"/>
    </row>
    <row r="252" spans="1:44" ht="25.25" customHeight="1" thickTop="1" thickBot="1" x14ac:dyDescent="0.4">
      <c r="A252" s="184" t="s">
        <v>499</v>
      </c>
      <c r="B252" s="185" t="s">
        <v>499</v>
      </c>
      <c r="C252" s="185" t="s">
        <v>499</v>
      </c>
      <c r="D252" s="186" t="s">
        <v>499</v>
      </c>
      <c r="E252" s="185" t="s">
        <v>499</v>
      </c>
      <c r="F252" s="185" t="s">
        <v>499</v>
      </c>
      <c r="G252" s="187">
        <f t="shared" si="3"/>
        <v>0</v>
      </c>
      <c r="H252" s="188"/>
      <c r="I252" s="188"/>
      <c r="J252" s="188"/>
      <c r="K252" s="185"/>
      <c r="L252" s="185"/>
      <c r="M252" s="185"/>
      <c r="N252" s="185"/>
      <c r="O252" s="193"/>
      <c r="P252" s="193"/>
      <c r="Q252" s="191"/>
      <c r="R252" s="191"/>
      <c r="S252" s="192"/>
      <c r="AQ252" s="31"/>
      <c r="AR252" s="31"/>
    </row>
    <row r="253" spans="1:44" ht="25.25" customHeight="1" thickTop="1" thickBot="1" x14ac:dyDescent="0.4">
      <c r="A253" s="184" t="s">
        <v>499</v>
      </c>
      <c r="B253" s="185" t="s">
        <v>499</v>
      </c>
      <c r="C253" s="185" t="s">
        <v>499</v>
      </c>
      <c r="D253" s="186" t="s">
        <v>499</v>
      </c>
      <c r="E253" s="185" t="s">
        <v>499</v>
      </c>
      <c r="F253" s="185" t="s">
        <v>499</v>
      </c>
      <c r="G253" s="187">
        <f t="shared" si="3"/>
        <v>0</v>
      </c>
      <c r="H253" s="188"/>
      <c r="I253" s="188"/>
      <c r="J253" s="188"/>
      <c r="K253" s="185"/>
      <c r="L253" s="185"/>
      <c r="M253" s="185"/>
      <c r="N253" s="185"/>
      <c r="O253" s="193"/>
      <c r="P253" s="193"/>
      <c r="Q253" s="191"/>
      <c r="R253" s="191"/>
      <c r="S253" s="192"/>
      <c r="AQ253" s="31"/>
      <c r="AR253" s="31"/>
    </row>
    <row r="254" spans="1:44" ht="25.25" customHeight="1" thickTop="1" thickBot="1" x14ac:dyDescent="0.4">
      <c r="A254" s="184" t="s">
        <v>499</v>
      </c>
      <c r="B254" s="185" t="s">
        <v>499</v>
      </c>
      <c r="C254" s="185" t="s">
        <v>499</v>
      </c>
      <c r="D254" s="186" t="s">
        <v>499</v>
      </c>
      <c r="E254" s="185" t="s">
        <v>499</v>
      </c>
      <c r="F254" s="185" t="s">
        <v>499</v>
      </c>
      <c r="G254" s="187">
        <f t="shared" si="3"/>
        <v>0</v>
      </c>
      <c r="H254" s="188"/>
      <c r="I254" s="188"/>
      <c r="J254" s="188"/>
      <c r="K254" s="185"/>
      <c r="L254" s="185"/>
      <c r="M254" s="185"/>
      <c r="N254" s="185"/>
      <c r="O254" s="193"/>
      <c r="P254" s="193"/>
      <c r="Q254" s="191"/>
      <c r="R254" s="191"/>
      <c r="S254" s="192"/>
      <c r="AQ254" s="31"/>
      <c r="AR254" s="31"/>
    </row>
    <row r="255" spans="1:44" ht="25.25" customHeight="1" thickTop="1" thickBot="1" x14ac:dyDescent="0.4">
      <c r="A255" s="184" t="s">
        <v>499</v>
      </c>
      <c r="B255" s="185" t="s">
        <v>499</v>
      </c>
      <c r="C255" s="185" t="s">
        <v>499</v>
      </c>
      <c r="D255" s="186" t="s">
        <v>499</v>
      </c>
      <c r="E255" s="185" t="s">
        <v>499</v>
      </c>
      <c r="F255" s="185" t="s">
        <v>499</v>
      </c>
      <c r="G255" s="187">
        <f t="shared" si="3"/>
        <v>0</v>
      </c>
      <c r="H255" s="188"/>
      <c r="I255" s="188"/>
      <c r="J255" s="188"/>
      <c r="K255" s="185"/>
      <c r="L255" s="185"/>
      <c r="M255" s="185"/>
      <c r="N255" s="185"/>
      <c r="O255" s="193"/>
      <c r="P255" s="193"/>
      <c r="Q255" s="191"/>
      <c r="R255" s="191"/>
      <c r="S255" s="192"/>
      <c r="AQ255" s="31"/>
      <c r="AR255" s="31"/>
    </row>
    <row r="256" spans="1:44" ht="25.25" customHeight="1" thickTop="1" thickBot="1" x14ac:dyDescent="0.4">
      <c r="A256" s="184" t="s">
        <v>499</v>
      </c>
      <c r="B256" s="185" t="s">
        <v>499</v>
      </c>
      <c r="C256" s="185" t="s">
        <v>499</v>
      </c>
      <c r="D256" s="186" t="s">
        <v>499</v>
      </c>
      <c r="E256" s="185" t="s">
        <v>499</v>
      </c>
      <c r="F256" s="185" t="s">
        <v>499</v>
      </c>
      <c r="G256" s="187">
        <f t="shared" si="3"/>
        <v>0</v>
      </c>
      <c r="H256" s="188"/>
      <c r="I256" s="188"/>
      <c r="J256" s="188"/>
      <c r="K256" s="185"/>
      <c r="L256" s="185"/>
      <c r="M256" s="185"/>
      <c r="N256" s="185"/>
      <c r="O256" s="193"/>
      <c r="P256" s="193"/>
      <c r="Q256" s="191"/>
      <c r="R256" s="191"/>
      <c r="S256" s="192"/>
      <c r="AQ256" s="31"/>
      <c r="AR256" s="31"/>
    </row>
    <row r="257" spans="1:44" ht="25.25" customHeight="1" thickTop="1" thickBot="1" x14ac:dyDescent="0.4">
      <c r="A257" s="184" t="s">
        <v>499</v>
      </c>
      <c r="B257" s="185" t="s">
        <v>499</v>
      </c>
      <c r="C257" s="185" t="s">
        <v>499</v>
      </c>
      <c r="D257" s="186" t="s">
        <v>499</v>
      </c>
      <c r="E257" s="185" t="s">
        <v>499</v>
      </c>
      <c r="F257" s="185" t="s">
        <v>499</v>
      </c>
      <c r="G257" s="187">
        <f t="shared" si="3"/>
        <v>0</v>
      </c>
      <c r="H257" s="188"/>
      <c r="I257" s="188"/>
      <c r="J257" s="188"/>
      <c r="K257" s="185"/>
      <c r="L257" s="185"/>
      <c r="M257" s="185"/>
      <c r="N257" s="185"/>
      <c r="O257" s="193"/>
      <c r="P257" s="193"/>
      <c r="Q257" s="191"/>
      <c r="R257" s="191"/>
      <c r="S257" s="192"/>
      <c r="AQ257" s="31"/>
      <c r="AR257" s="31"/>
    </row>
    <row r="258" spans="1:44" ht="25.25" customHeight="1" thickTop="1" thickBot="1" x14ac:dyDescent="0.4">
      <c r="A258" s="184" t="s">
        <v>499</v>
      </c>
      <c r="B258" s="185" t="s">
        <v>499</v>
      </c>
      <c r="C258" s="185" t="s">
        <v>499</v>
      </c>
      <c r="D258" s="186" t="s">
        <v>499</v>
      </c>
      <c r="E258" s="185" t="s">
        <v>499</v>
      </c>
      <c r="F258" s="185" t="s">
        <v>499</v>
      </c>
      <c r="G258" s="187">
        <f t="shared" si="3"/>
        <v>0</v>
      </c>
      <c r="H258" s="188"/>
      <c r="I258" s="188"/>
      <c r="J258" s="188"/>
      <c r="K258" s="185"/>
      <c r="L258" s="185"/>
      <c r="M258" s="185"/>
      <c r="N258" s="185"/>
      <c r="O258" s="193"/>
      <c r="P258" s="193"/>
      <c r="Q258" s="191"/>
      <c r="R258" s="191"/>
      <c r="S258" s="192"/>
      <c r="AQ258" s="31"/>
      <c r="AR258" s="31"/>
    </row>
    <row r="259" spans="1:44" ht="25.25" customHeight="1" thickTop="1" thickBot="1" x14ac:dyDescent="0.4">
      <c r="A259" s="184" t="s">
        <v>499</v>
      </c>
      <c r="B259" s="185" t="s">
        <v>499</v>
      </c>
      <c r="C259" s="185" t="s">
        <v>499</v>
      </c>
      <c r="D259" s="186" t="s">
        <v>499</v>
      </c>
      <c r="E259" s="185" t="s">
        <v>499</v>
      </c>
      <c r="F259" s="185" t="s">
        <v>499</v>
      </c>
      <c r="G259" s="187">
        <f t="shared" si="3"/>
        <v>0</v>
      </c>
      <c r="H259" s="188"/>
      <c r="I259" s="188"/>
      <c r="J259" s="188"/>
      <c r="K259" s="185"/>
      <c r="L259" s="185"/>
      <c r="M259" s="185"/>
      <c r="N259" s="185"/>
      <c r="O259" s="193"/>
      <c r="P259" s="193"/>
      <c r="Q259" s="191"/>
      <c r="R259" s="191"/>
      <c r="S259" s="192"/>
      <c r="AQ259" s="31"/>
      <c r="AR259" s="31"/>
    </row>
    <row r="260" spans="1:44" ht="25.25" customHeight="1" thickTop="1" thickBot="1" x14ac:dyDescent="0.4">
      <c r="A260" s="184" t="s">
        <v>499</v>
      </c>
      <c r="B260" s="185" t="s">
        <v>499</v>
      </c>
      <c r="C260" s="185" t="s">
        <v>499</v>
      </c>
      <c r="D260" s="186" t="s">
        <v>499</v>
      </c>
      <c r="E260" s="185" t="s">
        <v>499</v>
      </c>
      <c r="F260" s="185" t="s">
        <v>499</v>
      </c>
      <c r="G260" s="187">
        <f t="shared" si="3"/>
        <v>0</v>
      </c>
      <c r="H260" s="188"/>
      <c r="I260" s="188"/>
      <c r="J260" s="188"/>
      <c r="K260" s="185"/>
      <c r="L260" s="185"/>
      <c r="M260" s="185"/>
      <c r="N260" s="185"/>
      <c r="O260" s="193"/>
      <c r="P260" s="193"/>
      <c r="Q260" s="191"/>
      <c r="R260" s="191"/>
      <c r="S260" s="192"/>
      <c r="AQ260" s="31"/>
      <c r="AR260" s="31"/>
    </row>
    <row r="261" spans="1:44" ht="25.25" customHeight="1" thickTop="1" thickBot="1" x14ac:dyDescent="0.4">
      <c r="A261" s="184" t="s">
        <v>499</v>
      </c>
      <c r="B261" s="185" t="s">
        <v>499</v>
      </c>
      <c r="C261" s="185" t="s">
        <v>499</v>
      </c>
      <c r="D261" s="186" t="s">
        <v>499</v>
      </c>
      <c r="E261" s="185" t="s">
        <v>499</v>
      </c>
      <c r="F261" s="185" t="s">
        <v>499</v>
      </c>
      <c r="G261" s="187">
        <f t="shared" ref="G261:G324" si="4">SUM(H261:J261)</f>
        <v>0</v>
      </c>
      <c r="H261" s="188"/>
      <c r="I261" s="188"/>
      <c r="J261" s="188"/>
      <c r="K261" s="185"/>
      <c r="L261" s="185"/>
      <c r="M261" s="185"/>
      <c r="N261" s="185"/>
      <c r="O261" s="193"/>
      <c r="P261" s="193"/>
      <c r="Q261" s="191"/>
      <c r="R261" s="191"/>
      <c r="S261" s="192"/>
      <c r="AQ261" s="31"/>
      <c r="AR261" s="31"/>
    </row>
    <row r="262" spans="1:44" ht="25.25" customHeight="1" thickTop="1" thickBot="1" x14ac:dyDescent="0.4">
      <c r="A262" s="184" t="s">
        <v>499</v>
      </c>
      <c r="B262" s="185" t="s">
        <v>499</v>
      </c>
      <c r="C262" s="185" t="s">
        <v>499</v>
      </c>
      <c r="D262" s="186" t="s">
        <v>499</v>
      </c>
      <c r="E262" s="185" t="s">
        <v>499</v>
      </c>
      <c r="F262" s="185" t="s">
        <v>499</v>
      </c>
      <c r="G262" s="187">
        <f t="shared" si="4"/>
        <v>0</v>
      </c>
      <c r="H262" s="188"/>
      <c r="I262" s="188"/>
      <c r="J262" s="188"/>
      <c r="K262" s="185"/>
      <c r="L262" s="185"/>
      <c r="M262" s="185"/>
      <c r="N262" s="185"/>
      <c r="O262" s="193"/>
      <c r="P262" s="193"/>
      <c r="Q262" s="191"/>
      <c r="R262" s="191"/>
      <c r="S262" s="192"/>
      <c r="AQ262" s="31"/>
      <c r="AR262" s="31"/>
    </row>
    <row r="263" spans="1:44" ht="25.25" customHeight="1" thickTop="1" thickBot="1" x14ac:dyDescent="0.4">
      <c r="A263" s="184" t="s">
        <v>499</v>
      </c>
      <c r="B263" s="185" t="s">
        <v>499</v>
      </c>
      <c r="C263" s="185" t="s">
        <v>499</v>
      </c>
      <c r="D263" s="186" t="s">
        <v>499</v>
      </c>
      <c r="E263" s="185" t="s">
        <v>499</v>
      </c>
      <c r="F263" s="185" t="s">
        <v>499</v>
      </c>
      <c r="G263" s="187">
        <f t="shared" si="4"/>
        <v>0</v>
      </c>
      <c r="H263" s="188"/>
      <c r="I263" s="188"/>
      <c r="J263" s="188"/>
      <c r="K263" s="185"/>
      <c r="L263" s="185"/>
      <c r="M263" s="185"/>
      <c r="N263" s="185"/>
      <c r="O263" s="193"/>
      <c r="P263" s="193"/>
      <c r="Q263" s="191"/>
      <c r="R263" s="191"/>
      <c r="S263" s="192"/>
      <c r="AQ263" s="31"/>
      <c r="AR263" s="31"/>
    </row>
    <row r="264" spans="1:44" ht="25.25" customHeight="1" thickTop="1" thickBot="1" x14ac:dyDescent="0.4">
      <c r="A264" s="184" t="s">
        <v>499</v>
      </c>
      <c r="B264" s="185" t="s">
        <v>499</v>
      </c>
      <c r="C264" s="185" t="s">
        <v>499</v>
      </c>
      <c r="D264" s="186" t="s">
        <v>499</v>
      </c>
      <c r="E264" s="185" t="s">
        <v>499</v>
      </c>
      <c r="F264" s="185" t="s">
        <v>499</v>
      </c>
      <c r="G264" s="187">
        <f t="shared" si="4"/>
        <v>0</v>
      </c>
      <c r="H264" s="188"/>
      <c r="I264" s="188"/>
      <c r="J264" s="188"/>
      <c r="K264" s="185"/>
      <c r="L264" s="185"/>
      <c r="M264" s="185"/>
      <c r="N264" s="185"/>
      <c r="O264" s="193"/>
      <c r="P264" s="193"/>
      <c r="Q264" s="191"/>
      <c r="R264" s="191"/>
      <c r="S264" s="192"/>
      <c r="AQ264" s="31"/>
      <c r="AR264" s="31"/>
    </row>
    <row r="265" spans="1:44" ht="25.25" customHeight="1" thickTop="1" thickBot="1" x14ac:dyDescent="0.4">
      <c r="A265" s="184" t="s">
        <v>499</v>
      </c>
      <c r="B265" s="185" t="s">
        <v>499</v>
      </c>
      <c r="C265" s="185" t="s">
        <v>499</v>
      </c>
      <c r="D265" s="186" t="s">
        <v>499</v>
      </c>
      <c r="E265" s="185" t="s">
        <v>499</v>
      </c>
      <c r="F265" s="185" t="s">
        <v>499</v>
      </c>
      <c r="G265" s="187">
        <f t="shared" si="4"/>
        <v>0</v>
      </c>
      <c r="H265" s="188"/>
      <c r="I265" s="188"/>
      <c r="J265" s="188"/>
      <c r="K265" s="185"/>
      <c r="L265" s="185"/>
      <c r="M265" s="185"/>
      <c r="N265" s="185"/>
      <c r="O265" s="193"/>
      <c r="P265" s="193"/>
      <c r="Q265" s="191"/>
      <c r="R265" s="191"/>
      <c r="S265" s="192"/>
      <c r="AQ265" s="31"/>
      <c r="AR265" s="31"/>
    </row>
    <row r="266" spans="1:44" ht="25.25" customHeight="1" thickTop="1" thickBot="1" x14ac:dyDescent="0.4">
      <c r="A266" s="184" t="s">
        <v>499</v>
      </c>
      <c r="B266" s="185" t="s">
        <v>499</v>
      </c>
      <c r="C266" s="185" t="s">
        <v>499</v>
      </c>
      <c r="D266" s="186" t="s">
        <v>499</v>
      </c>
      <c r="E266" s="185" t="s">
        <v>499</v>
      </c>
      <c r="F266" s="185" t="s">
        <v>499</v>
      </c>
      <c r="G266" s="187">
        <f t="shared" si="4"/>
        <v>0</v>
      </c>
      <c r="H266" s="188"/>
      <c r="I266" s="188"/>
      <c r="J266" s="188"/>
      <c r="K266" s="185"/>
      <c r="L266" s="185"/>
      <c r="M266" s="185"/>
      <c r="N266" s="185"/>
      <c r="O266" s="193"/>
      <c r="P266" s="193"/>
      <c r="Q266" s="191"/>
      <c r="R266" s="191"/>
      <c r="S266" s="192"/>
      <c r="AQ266" s="31"/>
      <c r="AR266" s="31"/>
    </row>
    <row r="267" spans="1:44" ht="25.25" customHeight="1" thickTop="1" thickBot="1" x14ac:dyDescent="0.4">
      <c r="A267" s="184" t="s">
        <v>499</v>
      </c>
      <c r="B267" s="185" t="s">
        <v>499</v>
      </c>
      <c r="C267" s="185" t="s">
        <v>499</v>
      </c>
      <c r="D267" s="186" t="s">
        <v>499</v>
      </c>
      <c r="E267" s="185" t="s">
        <v>499</v>
      </c>
      <c r="F267" s="185" t="s">
        <v>499</v>
      </c>
      <c r="G267" s="187">
        <f t="shared" si="4"/>
        <v>0</v>
      </c>
      <c r="H267" s="188"/>
      <c r="I267" s="188"/>
      <c r="J267" s="188"/>
      <c r="K267" s="185"/>
      <c r="L267" s="185"/>
      <c r="M267" s="185"/>
      <c r="N267" s="185"/>
      <c r="O267" s="193"/>
      <c r="P267" s="193"/>
      <c r="Q267" s="191"/>
      <c r="R267" s="191"/>
      <c r="S267" s="192"/>
      <c r="AQ267" s="31"/>
      <c r="AR267" s="31"/>
    </row>
    <row r="268" spans="1:44" ht="25.25" customHeight="1" thickTop="1" thickBot="1" x14ac:dyDescent="0.4">
      <c r="A268" s="184" t="s">
        <v>499</v>
      </c>
      <c r="B268" s="185" t="s">
        <v>499</v>
      </c>
      <c r="C268" s="185" t="s">
        <v>499</v>
      </c>
      <c r="D268" s="186" t="s">
        <v>499</v>
      </c>
      <c r="E268" s="185" t="s">
        <v>499</v>
      </c>
      <c r="F268" s="185" t="s">
        <v>499</v>
      </c>
      <c r="G268" s="187">
        <f t="shared" si="4"/>
        <v>0</v>
      </c>
      <c r="H268" s="188"/>
      <c r="I268" s="188"/>
      <c r="J268" s="188"/>
      <c r="K268" s="185"/>
      <c r="L268" s="185"/>
      <c r="M268" s="185"/>
      <c r="N268" s="185"/>
      <c r="O268" s="193"/>
      <c r="P268" s="193"/>
      <c r="Q268" s="191"/>
      <c r="R268" s="191"/>
      <c r="S268" s="192"/>
      <c r="AQ268" s="31"/>
      <c r="AR268" s="31"/>
    </row>
    <row r="269" spans="1:44" ht="25.25" customHeight="1" thickTop="1" thickBot="1" x14ac:dyDescent="0.4">
      <c r="A269" s="184" t="s">
        <v>499</v>
      </c>
      <c r="B269" s="185" t="s">
        <v>499</v>
      </c>
      <c r="C269" s="185" t="s">
        <v>499</v>
      </c>
      <c r="D269" s="186" t="s">
        <v>499</v>
      </c>
      <c r="E269" s="185" t="s">
        <v>499</v>
      </c>
      <c r="F269" s="185" t="s">
        <v>499</v>
      </c>
      <c r="G269" s="187">
        <f t="shared" si="4"/>
        <v>0</v>
      </c>
      <c r="H269" s="188"/>
      <c r="I269" s="188"/>
      <c r="J269" s="188"/>
      <c r="K269" s="185"/>
      <c r="L269" s="185"/>
      <c r="M269" s="185"/>
      <c r="N269" s="185"/>
      <c r="O269" s="193"/>
      <c r="P269" s="193"/>
      <c r="Q269" s="191"/>
      <c r="R269" s="191"/>
      <c r="S269" s="192"/>
      <c r="AQ269" s="31"/>
      <c r="AR269" s="31"/>
    </row>
    <row r="270" spans="1:44" ht="25.25" customHeight="1" thickTop="1" thickBot="1" x14ac:dyDescent="0.4">
      <c r="A270" s="184" t="s">
        <v>499</v>
      </c>
      <c r="B270" s="185" t="s">
        <v>499</v>
      </c>
      <c r="C270" s="185" t="s">
        <v>499</v>
      </c>
      <c r="D270" s="186" t="s">
        <v>499</v>
      </c>
      <c r="E270" s="185" t="s">
        <v>499</v>
      </c>
      <c r="F270" s="185" t="s">
        <v>499</v>
      </c>
      <c r="G270" s="187">
        <f t="shared" si="4"/>
        <v>0</v>
      </c>
      <c r="H270" s="188"/>
      <c r="I270" s="188"/>
      <c r="J270" s="188"/>
      <c r="K270" s="185"/>
      <c r="L270" s="185"/>
      <c r="M270" s="185"/>
      <c r="N270" s="185"/>
      <c r="O270" s="193"/>
      <c r="P270" s="193"/>
      <c r="Q270" s="191"/>
      <c r="R270" s="191"/>
      <c r="S270" s="192"/>
      <c r="AQ270" s="31"/>
      <c r="AR270" s="31"/>
    </row>
    <row r="271" spans="1:44" ht="25.25" customHeight="1" thickTop="1" thickBot="1" x14ac:dyDescent="0.4">
      <c r="A271" s="184" t="s">
        <v>499</v>
      </c>
      <c r="B271" s="185" t="s">
        <v>499</v>
      </c>
      <c r="C271" s="185" t="s">
        <v>499</v>
      </c>
      <c r="D271" s="186" t="s">
        <v>499</v>
      </c>
      <c r="E271" s="185" t="s">
        <v>499</v>
      </c>
      <c r="F271" s="185" t="s">
        <v>499</v>
      </c>
      <c r="G271" s="187">
        <f t="shared" si="4"/>
        <v>0</v>
      </c>
      <c r="H271" s="188"/>
      <c r="I271" s="188"/>
      <c r="J271" s="188"/>
      <c r="K271" s="185"/>
      <c r="L271" s="185"/>
      <c r="M271" s="185"/>
      <c r="N271" s="185"/>
      <c r="O271" s="193"/>
      <c r="P271" s="193"/>
      <c r="Q271" s="191"/>
      <c r="R271" s="191"/>
      <c r="S271" s="192"/>
      <c r="AQ271" s="31"/>
      <c r="AR271" s="31"/>
    </row>
    <row r="272" spans="1:44" ht="25.25" customHeight="1" thickTop="1" thickBot="1" x14ac:dyDescent="0.4">
      <c r="A272" s="184" t="s">
        <v>499</v>
      </c>
      <c r="B272" s="185" t="s">
        <v>499</v>
      </c>
      <c r="C272" s="185" t="s">
        <v>499</v>
      </c>
      <c r="D272" s="186" t="s">
        <v>499</v>
      </c>
      <c r="E272" s="185" t="s">
        <v>499</v>
      </c>
      <c r="F272" s="185" t="s">
        <v>499</v>
      </c>
      <c r="G272" s="187">
        <f t="shared" si="4"/>
        <v>0</v>
      </c>
      <c r="H272" s="188"/>
      <c r="I272" s="188"/>
      <c r="J272" s="188"/>
      <c r="K272" s="185"/>
      <c r="L272" s="185"/>
      <c r="M272" s="185"/>
      <c r="N272" s="185"/>
      <c r="O272" s="193"/>
      <c r="P272" s="193"/>
      <c r="Q272" s="191"/>
      <c r="R272" s="191"/>
      <c r="S272" s="192"/>
      <c r="AQ272" s="31"/>
      <c r="AR272" s="31"/>
    </row>
    <row r="273" spans="1:44" ht="25.25" customHeight="1" thickTop="1" thickBot="1" x14ac:dyDescent="0.4">
      <c r="A273" s="184" t="s">
        <v>499</v>
      </c>
      <c r="B273" s="185" t="s">
        <v>499</v>
      </c>
      <c r="C273" s="185" t="s">
        <v>499</v>
      </c>
      <c r="D273" s="186" t="s">
        <v>499</v>
      </c>
      <c r="E273" s="185" t="s">
        <v>499</v>
      </c>
      <c r="F273" s="185" t="s">
        <v>499</v>
      </c>
      <c r="G273" s="187">
        <f t="shared" si="4"/>
        <v>0</v>
      </c>
      <c r="H273" s="188"/>
      <c r="I273" s="188"/>
      <c r="J273" s="188"/>
      <c r="K273" s="185"/>
      <c r="L273" s="185"/>
      <c r="M273" s="185"/>
      <c r="N273" s="185"/>
      <c r="O273" s="193"/>
      <c r="P273" s="193"/>
      <c r="Q273" s="191"/>
      <c r="R273" s="191"/>
      <c r="S273" s="192"/>
      <c r="AQ273" s="31"/>
      <c r="AR273" s="31"/>
    </row>
    <row r="274" spans="1:44" ht="25.25" customHeight="1" thickTop="1" thickBot="1" x14ac:dyDescent="0.4">
      <c r="A274" s="184" t="s">
        <v>499</v>
      </c>
      <c r="B274" s="185" t="s">
        <v>499</v>
      </c>
      <c r="C274" s="185" t="s">
        <v>499</v>
      </c>
      <c r="D274" s="186" t="s">
        <v>499</v>
      </c>
      <c r="E274" s="185" t="s">
        <v>499</v>
      </c>
      <c r="F274" s="185" t="s">
        <v>499</v>
      </c>
      <c r="G274" s="187">
        <f t="shared" si="4"/>
        <v>0</v>
      </c>
      <c r="H274" s="188"/>
      <c r="I274" s="188"/>
      <c r="J274" s="188"/>
      <c r="K274" s="185"/>
      <c r="L274" s="185"/>
      <c r="M274" s="185"/>
      <c r="N274" s="185"/>
      <c r="O274" s="193"/>
      <c r="P274" s="193"/>
      <c r="Q274" s="191"/>
      <c r="R274" s="191"/>
      <c r="S274" s="192"/>
      <c r="AQ274" s="31"/>
      <c r="AR274" s="31"/>
    </row>
    <row r="275" spans="1:44" ht="25.25" customHeight="1" thickTop="1" thickBot="1" x14ac:dyDescent="0.4">
      <c r="A275" s="184" t="s">
        <v>499</v>
      </c>
      <c r="B275" s="185" t="s">
        <v>499</v>
      </c>
      <c r="C275" s="185" t="s">
        <v>499</v>
      </c>
      <c r="D275" s="186" t="s">
        <v>499</v>
      </c>
      <c r="E275" s="185" t="s">
        <v>499</v>
      </c>
      <c r="F275" s="185" t="s">
        <v>499</v>
      </c>
      <c r="G275" s="187">
        <f t="shared" si="4"/>
        <v>0</v>
      </c>
      <c r="H275" s="188"/>
      <c r="I275" s="188"/>
      <c r="J275" s="188"/>
      <c r="K275" s="185"/>
      <c r="L275" s="185"/>
      <c r="M275" s="185"/>
      <c r="N275" s="185"/>
      <c r="O275" s="193"/>
      <c r="P275" s="193"/>
      <c r="Q275" s="191"/>
      <c r="R275" s="191"/>
      <c r="S275" s="192"/>
      <c r="AQ275" s="31"/>
      <c r="AR275" s="31"/>
    </row>
    <row r="276" spans="1:44" ht="25.25" customHeight="1" thickTop="1" thickBot="1" x14ac:dyDescent="0.4">
      <c r="A276" s="184" t="s">
        <v>499</v>
      </c>
      <c r="B276" s="185" t="s">
        <v>499</v>
      </c>
      <c r="C276" s="185" t="s">
        <v>499</v>
      </c>
      <c r="D276" s="186" t="s">
        <v>499</v>
      </c>
      <c r="E276" s="185" t="s">
        <v>499</v>
      </c>
      <c r="F276" s="185" t="s">
        <v>499</v>
      </c>
      <c r="G276" s="187">
        <f t="shared" si="4"/>
        <v>0</v>
      </c>
      <c r="H276" s="188"/>
      <c r="I276" s="188"/>
      <c r="J276" s="188"/>
      <c r="K276" s="185"/>
      <c r="L276" s="185"/>
      <c r="M276" s="185"/>
      <c r="N276" s="185"/>
      <c r="O276" s="193"/>
      <c r="P276" s="193"/>
      <c r="Q276" s="191"/>
      <c r="R276" s="191"/>
      <c r="S276" s="192"/>
      <c r="AQ276" s="31"/>
      <c r="AR276" s="31"/>
    </row>
    <row r="277" spans="1:44" ht="25.25" customHeight="1" thickTop="1" thickBot="1" x14ac:dyDescent="0.4">
      <c r="A277" s="184" t="s">
        <v>499</v>
      </c>
      <c r="B277" s="185" t="s">
        <v>499</v>
      </c>
      <c r="C277" s="185" t="s">
        <v>499</v>
      </c>
      <c r="D277" s="186" t="s">
        <v>499</v>
      </c>
      <c r="E277" s="185" t="s">
        <v>499</v>
      </c>
      <c r="F277" s="185" t="s">
        <v>499</v>
      </c>
      <c r="G277" s="187">
        <f t="shared" si="4"/>
        <v>0</v>
      </c>
      <c r="H277" s="188"/>
      <c r="I277" s="188"/>
      <c r="J277" s="188"/>
      <c r="K277" s="185"/>
      <c r="L277" s="185"/>
      <c r="M277" s="185"/>
      <c r="N277" s="185"/>
      <c r="O277" s="193"/>
      <c r="P277" s="193"/>
      <c r="Q277" s="191"/>
      <c r="R277" s="191"/>
      <c r="S277" s="192"/>
      <c r="AQ277" s="31"/>
      <c r="AR277" s="31"/>
    </row>
    <row r="278" spans="1:44" ht="25.25" customHeight="1" thickTop="1" thickBot="1" x14ac:dyDescent="0.4">
      <c r="A278" s="184" t="s">
        <v>499</v>
      </c>
      <c r="B278" s="185" t="s">
        <v>499</v>
      </c>
      <c r="C278" s="185" t="s">
        <v>499</v>
      </c>
      <c r="D278" s="186" t="s">
        <v>499</v>
      </c>
      <c r="E278" s="185" t="s">
        <v>499</v>
      </c>
      <c r="F278" s="185" t="s">
        <v>499</v>
      </c>
      <c r="G278" s="187">
        <f t="shared" si="4"/>
        <v>0</v>
      </c>
      <c r="H278" s="188"/>
      <c r="I278" s="188"/>
      <c r="J278" s="188"/>
      <c r="K278" s="185"/>
      <c r="L278" s="185"/>
      <c r="M278" s="185"/>
      <c r="N278" s="185"/>
      <c r="O278" s="193"/>
      <c r="P278" s="193"/>
      <c r="Q278" s="191"/>
      <c r="R278" s="191"/>
      <c r="S278" s="192"/>
      <c r="AQ278" s="31"/>
      <c r="AR278" s="31"/>
    </row>
    <row r="279" spans="1:44" ht="25.25" customHeight="1" thickTop="1" thickBot="1" x14ac:dyDescent="0.4">
      <c r="A279" s="184" t="s">
        <v>499</v>
      </c>
      <c r="B279" s="185" t="s">
        <v>499</v>
      </c>
      <c r="C279" s="185" t="s">
        <v>499</v>
      </c>
      <c r="D279" s="186" t="s">
        <v>499</v>
      </c>
      <c r="E279" s="185" t="s">
        <v>499</v>
      </c>
      <c r="F279" s="185" t="s">
        <v>499</v>
      </c>
      <c r="G279" s="187">
        <f t="shared" si="4"/>
        <v>0</v>
      </c>
      <c r="H279" s="188"/>
      <c r="I279" s="188"/>
      <c r="J279" s="188"/>
      <c r="K279" s="185"/>
      <c r="L279" s="185"/>
      <c r="M279" s="185"/>
      <c r="N279" s="185"/>
      <c r="O279" s="193"/>
      <c r="P279" s="193"/>
      <c r="Q279" s="191"/>
      <c r="R279" s="191"/>
      <c r="S279" s="192"/>
      <c r="AQ279" s="31"/>
      <c r="AR279" s="31"/>
    </row>
    <row r="280" spans="1:44" ht="25.25" customHeight="1" thickTop="1" thickBot="1" x14ac:dyDescent="0.4">
      <c r="A280" s="184" t="s">
        <v>499</v>
      </c>
      <c r="B280" s="185" t="s">
        <v>499</v>
      </c>
      <c r="C280" s="185" t="s">
        <v>499</v>
      </c>
      <c r="D280" s="186" t="s">
        <v>499</v>
      </c>
      <c r="E280" s="185" t="s">
        <v>499</v>
      </c>
      <c r="F280" s="185" t="s">
        <v>499</v>
      </c>
      <c r="G280" s="187">
        <f t="shared" si="4"/>
        <v>0</v>
      </c>
      <c r="H280" s="188"/>
      <c r="I280" s="188"/>
      <c r="J280" s="188"/>
      <c r="K280" s="185"/>
      <c r="L280" s="185"/>
      <c r="M280" s="185"/>
      <c r="N280" s="185"/>
      <c r="O280" s="193"/>
      <c r="P280" s="193"/>
      <c r="Q280" s="191"/>
      <c r="R280" s="191"/>
      <c r="S280" s="192"/>
      <c r="AQ280" s="31"/>
      <c r="AR280" s="31"/>
    </row>
    <row r="281" spans="1:44" ht="25.25" customHeight="1" thickTop="1" thickBot="1" x14ac:dyDescent="0.4">
      <c r="A281" s="184" t="s">
        <v>499</v>
      </c>
      <c r="B281" s="185" t="s">
        <v>499</v>
      </c>
      <c r="C281" s="185" t="s">
        <v>499</v>
      </c>
      <c r="D281" s="186" t="s">
        <v>499</v>
      </c>
      <c r="E281" s="185" t="s">
        <v>499</v>
      </c>
      <c r="F281" s="185" t="s">
        <v>499</v>
      </c>
      <c r="G281" s="187">
        <f t="shared" si="4"/>
        <v>0</v>
      </c>
      <c r="H281" s="188"/>
      <c r="I281" s="188"/>
      <c r="J281" s="188"/>
      <c r="K281" s="185"/>
      <c r="L281" s="185"/>
      <c r="M281" s="185"/>
      <c r="N281" s="185"/>
      <c r="O281" s="193"/>
      <c r="P281" s="193"/>
      <c r="Q281" s="191"/>
      <c r="R281" s="191"/>
      <c r="S281" s="192"/>
      <c r="AQ281" s="31"/>
      <c r="AR281" s="31"/>
    </row>
    <row r="282" spans="1:44" ht="25.25" customHeight="1" thickTop="1" thickBot="1" x14ac:dyDescent="0.4">
      <c r="A282" s="184" t="s">
        <v>499</v>
      </c>
      <c r="B282" s="185" t="s">
        <v>499</v>
      </c>
      <c r="C282" s="185" t="s">
        <v>499</v>
      </c>
      <c r="D282" s="186" t="s">
        <v>499</v>
      </c>
      <c r="E282" s="185" t="s">
        <v>499</v>
      </c>
      <c r="F282" s="185" t="s">
        <v>499</v>
      </c>
      <c r="G282" s="187">
        <f t="shared" si="4"/>
        <v>0</v>
      </c>
      <c r="H282" s="188"/>
      <c r="I282" s="188"/>
      <c r="J282" s="188"/>
      <c r="K282" s="185"/>
      <c r="L282" s="185"/>
      <c r="M282" s="185"/>
      <c r="N282" s="185"/>
      <c r="O282" s="193"/>
      <c r="P282" s="193"/>
      <c r="Q282" s="191"/>
      <c r="R282" s="191"/>
      <c r="S282" s="192"/>
      <c r="AQ282" s="31"/>
      <c r="AR282" s="31"/>
    </row>
    <row r="283" spans="1:44" ht="25.25" customHeight="1" thickTop="1" thickBot="1" x14ac:dyDescent="0.4">
      <c r="A283" s="184" t="s">
        <v>499</v>
      </c>
      <c r="B283" s="185" t="s">
        <v>499</v>
      </c>
      <c r="C283" s="185" t="s">
        <v>499</v>
      </c>
      <c r="D283" s="186" t="s">
        <v>499</v>
      </c>
      <c r="E283" s="185" t="s">
        <v>499</v>
      </c>
      <c r="F283" s="185" t="s">
        <v>499</v>
      </c>
      <c r="G283" s="187">
        <f t="shared" si="4"/>
        <v>0</v>
      </c>
      <c r="H283" s="188"/>
      <c r="I283" s="188"/>
      <c r="J283" s="188"/>
      <c r="K283" s="185"/>
      <c r="L283" s="185"/>
      <c r="M283" s="185"/>
      <c r="N283" s="185"/>
      <c r="O283" s="193"/>
      <c r="P283" s="193"/>
      <c r="Q283" s="191"/>
      <c r="R283" s="191"/>
      <c r="S283" s="192"/>
      <c r="AQ283" s="31"/>
      <c r="AR283" s="31"/>
    </row>
    <row r="284" spans="1:44" ht="25.25" customHeight="1" thickTop="1" thickBot="1" x14ac:dyDescent="0.4">
      <c r="A284" s="184" t="s">
        <v>499</v>
      </c>
      <c r="B284" s="185" t="s">
        <v>499</v>
      </c>
      <c r="C284" s="185" t="s">
        <v>499</v>
      </c>
      <c r="D284" s="186" t="s">
        <v>499</v>
      </c>
      <c r="E284" s="185" t="s">
        <v>499</v>
      </c>
      <c r="F284" s="185" t="s">
        <v>499</v>
      </c>
      <c r="G284" s="187">
        <f t="shared" si="4"/>
        <v>0</v>
      </c>
      <c r="H284" s="188"/>
      <c r="I284" s="188"/>
      <c r="J284" s="188"/>
      <c r="K284" s="185"/>
      <c r="L284" s="185"/>
      <c r="M284" s="185"/>
      <c r="N284" s="185"/>
      <c r="O284" s="193"/>
      <c r="P284" s="193"/>
      <c r="Q284" s="191"/>
      <c r="R284" s="191"/>
      <c r="S284" s="192"/>
      <c r="AQ284" s="31"/>
      <c r="AR284" s="31"/>
    </row>
    <row r="285" spans="1:44" ht="25.25" customHeight="1" thickTop="1" thickBot="1" x14ac:dyDescent="0.4">
      <c r="A285" s="184" t="s">
        <v>499</v>
      </c>
      <c r="B285" s="185" t="s">
        <v>499</v>
      </c>
      <c r="C285" s="185" t="s">
        <v>499</v>
      </c>
      <c r="D285" s="186" t="s">
        <v>499</v>
      </c>
      <c r="E285" s="185" t="s">
        <v>499</v>
      </c>
      <c r="F285" s="185" t="s">
        <v>499</v>
      </c>
      <c r="G285" s="187">
        <f t="shared" si="4"/>
        <v>0</v>
      </c>
      <c r="H285" s="188"/>
      <c r="I285" s="188"/>
      <c r="J285" s="188"/>
      <c r="K285" s="185"/>
      <c r="L285" s="185"/>
      <c r="M285" s="185"/>
      <c r="N285" s="185"/>
      <c r="O285" s="193"/>
      <c r="P285" s="193"/>
      <c r="Q285" s="191"/>
      <c r="R285" s="191"/>
      <c r="S285" s="192"/>
      <c r="AQ285" s="31"/>
      <c r="AR285" s="31"/>
    </row>
    <row r="286" spans="1:44" ht="25.25" customHeight="1" thickTop="1" thickBot="1" x14ac:dyDescent="0.4">
      <c r="A286" s="184" t="s">
        <v>499</v>
      </c>
      <c r="B286" s="185" t="s">
        <v>499</v>
      </c>
      <c r="C286" s="185" t="s">
        <v>499</v>
      </c>
      <c r="D286" s="186" t="s">
        <v>499</v>
      </c>
      <c r="E286" s="185" t="s">
        <v>499</v>
      </c>
      <c r="F286" s="185" t="s">
        <v>499</v>
      </c>
      <c r="G286" s="187">
        <f t="shared" si="4"/>
        <v>0</v>
      </c>
      <c r="H286" s="188"/>
      <c r="I286" s="188"/>
      <c r="J286" s="188"/>
      <c r="K286" s="185"/>
      <c r="L286" s="185"/>
      <c r="M286" s="185"/>
      <c r="N286" s="185"/>
      <c r="O286" s="193"/>
      <c r="P286" s="193"/>
      <c r="Q286" s="191"/>
      <c r="R286" s="191"/>
      <c r="S286" s="192"/>
      <c r="AQ286" s="31"/>
      <c r="AR286" s="31"/>
    </row>
    <row r="287" spans="1:44" ht="25.25" customHeight="1" thickTop="1" thickBot="1" x14ac:dyDescent="0.4">
      <c r="A287" s="184" t="s">
        <v>499</v>
      </c>
      <c r="B287" s="185" t="s">
        <v>499</v>
      </c>
      <c r="C287" s="185" t="s">
        <v>499</v>
      </c>
      <c r="D287" s="186" t="s">
        <v>499</v>
      </c>
      <c r="E287" s="185" t="s">
        <v>499</v>
      </c>
      <c r="F287" s="185" t="s">
        <v>499</v>
      </c>
      <c r="G287" s="187">
        <f t="shared" si="4"/>
        <v>0</v>
      </c>
      <c r="H287" s="188"/>
      <c r="I287" s="188"/>
      <c r="J287" s="188"/>
      <c r="K287" s="185"/>
      <c r="L287" s="185"/>
      <c r="M287" s="185"/>
      <c r="N287" s="185"/>
      <c r="O287" s="193"/>
      <c r="P287" s="193"/>
      <c r="Q287" s="191"/>
      <c r="R287" s="191"/>
      <c r="S287" s="192"/>
      <c r="AR287" s="31"/>
    </row>
    <row r="288" spans="1:44" ht="25.25" customHeight="1" thickTop="1" thickBot="1" x14ac:dyDescent="0.4">
      <c r="A288" s="184" t="s">
        <v>499</v>
      </c>
      <c r="B288" s="185" t="s">
        <v>499</v>
      </c>
      <c r="C288" s="185" t="s">
        <v>499</v>
      </c>
      <c r="D288" s="186" t="s">
        <v>499</v>
      </c>
      <c r="E288" s="185" t="s">
        <v>499</v>
      </c>
      <c r="F288" s="185" t="s">
        <v>499</v>
      </c>
      <c r="G288" s="187">
        <f t="shared" si="4"/>
        <v>0</v>
      </c>
      <c r="H288" s="188"/>
      <c r="I288" s="188"/>
      <c r="J288" s="188"/>
      <c r="K288" s="185"/>
      <c r="L288" s="185"/>
      <c r="M288" s="185"/>
      <c r="N288" s="185"/>
      <c r="O288" s="193"/>
      <c r="P288" s="193"/>
      <c r="Q288" s="191"/>
      <c r="R288" s="191"/>
      <c r="S288" s="192"/>
      <c r="AR288" s="31"/>
    </row>
    <row r="289" spans="1:44" ht="25.25" customHeight="1" thickTop="1" thickBot="1" x14ac:dyDescent="0.4">
      <c r="A289" s="184" t="s">
        <v>499</v>
      </c>
      <c r="B289" s="185" t="s">
        <v>499</v>
      </c>
      <c r="C289" s="185" t="s">
        <v>499</v>
      </c>
      <c r="D289" s="186" t="s">
        <v>499</v>
      </c>
      <c r="E289" s="185" t="s">
        <v>499</v>
      </c>
      <c r="F289" s="185" t="s">
        <v>499</v>
      </c>
      <c r="G289" s="187">
        <f t="shared" si="4"/>
        <v>0</v>
      </c>
      <c r="H289" s="188"/>
      <c r="I289" s="188"/>
      <c r="J289" s="188"/>
      <c r="K289" s="185"/>
      <c r="L289" s="185"/>
      <c r="M289" s="185"/>
      <c r="N289" s="185"/>
      <c r="O289" s="193"/>
      <c r="P289" s="193"/>
      <c r="Q289" s="191"/>
      <c r="R289" s="191"/>
      <c r="S289" s="192"/>
      <c r="AR289" s="31"/>
    </row>
    <row r="290" spans="1:44" ht="25.25" customHeight="1" thickTop="1" thickBot="1" x14ac:dyDescent="0.4">
      <c r="A290" s="184" t="s">
        <v>499</v>
      </c>
      <c r="B290" s="185" t="s">
        <v>499</v>
      </c>
      <c r="C290" s="185" t="s">
        <v>499</v>
      </c>
      <c r="D290" s="186" t="s">
        <v>499</v>
      </c>
      <c r="E290" s="185" t="s">
        <v>499</v>
      </c>
      <c r="F290" s="185" t="s">
        <v>499</v>
      </c>
      <c r="G290" s="187">
        <f t="shared" si="4"/>
        <v>0</v>
      </c>
      <c r="H290" s="188"/>
      <c r="I290" s="188"/>
      <c r="J290" s="188"/>
      <c r="K290" s="185"/>
      <c r="L290" s="185"/>
      <c r="M290" s="185"/>
      <c r="N290" s="185"/>
      <c r="O290" s="193"/>
      <c r="P290" s="193"/>
      <c r="Q290" s="191"/>
      <c r="R290" s="191"/>
      <c r="S290" s="192"/>
      <c r="AR290" s="31"/>
    </row>
    <row r="291" spans="1:44" ht="25.25" customHeight="1" thickTop="1" thickBot="1" x14ac:dyDescent="0.4">
      <c r="A291" s="184" t="s">
        <v>499</v>
      </c>
      <c r="B291" s="185" t="s">
        <v>499</v>
      </c>
      <c r="C291" s="185" t="s">
        <v>499</v>
      </c>
      <c r="D291" s="186" t="s">
        <v>499</v>
      </c>
      <c r="E291" s="185" t="s">
        <v>499</v>
      </c>
      <c r="F291" s="185" t="s">
        <v>499</v>
      </c>
      <c r="G291" s="187">
        <f t="shared" si="4"/>
        <v>0</v>
      </c>
      <c r="H291" s="188"/>
      <c r="I291" s="188"/>
      <c r="J291" s="188"/>
      <c r="K291" s="185"/>
      <c r="L291" s="185"/>
      <c r="M291" s="185"/>
      <c r="N291" s="185"/>
      <c r="O291" s="193"/>
      <c r="P291" s="193"/>
      <c r="Q291" s="191"/>
      <c r="R291" s="191"/>
      <c r="S291" s="192"/>
      <c r="AR291" s="31"/>
    </row>
    <row r="292" spans="1:44" ht="25.25" customHeight="1" thickTop="1" thickBot="1" x14ac:dyDescent="0.4">
      <c r="A292" s="184" t="s">
        <v>499</v>
      </c>
      <c r="B292" s="185" t="s">
        <v>499</v>
      </c>
      <c r="C292" s="185" t="s">
        <v>499</v>
      </c>
      <c r="D292" s="186" t="s">
        <v>499</v>
      </c>
      <c r="E292" s="185" t="s">
        <v>499</v>
      </c>
      <c r="F292" s="185" t="s">
        <v>499</v>
      </c>
      <c r="G292" s="187">
        <f t="shared" si="4"/>
        <v>0</v>
      </c>
      <c r="H292" s="188"/>
      <c r="I292" s="188"/>
      <c r="J292" s="188"/>
      <c r="K292" s="185"/>
      <c r="L292" s="185"/>
      <c r="M292" s="185"/>
      <c r="N292" s="185"/>
      <c r="O292" s="193"/>
      <c r="P292" s="193"/>
      <c r="Q292" s="191"/>
      <c r="R292" s="191"/>
      <c r="S292" s="192"/>
      <c r="AR292" s="31"/>
    </row>
    <row r="293" spans="1:44" ht="25.25" customHeight="1" thickTop="1" thickBot="1" x14ac:dyDescent="0.4">
      <c r="A293" s="184" t="s">
        <v>499</v>
      </c>
      <c r="B293" s="185" t="s">
        <v>499</v>
      </c>
      <c r="C293" s="185" t="s">
        <v>499</v>
      </c>
      <c r="D293" s="186" t="s">
        <v>499</v>
      </c>
      <c r="E293" s="185" t="s">
        <v>499</v>
      </c>
      <c r="F293" s="185" t="s">
        <v>499</v>
      </c>
      <c r="G293" s="187">
        <f t="shared" si="4"/>
        <v>0</v>
      </c>
      <c r="H293" s="188"/>
      <c r="I293" s="188"/>
      <c r="J293" s="188"/>
      <c r="K293" s="185"/>
      <c r="L293" s="185"/>
      <c r="M293" s="185"/>
      <c r="N293" s="185"/>
      <c r="O293" s="193"/>
      <c r="P293" s="193"/>
      <c r="Q293" s="191"/>
      <c r="R293" s="191"/>
      <c r="S293" s="192"/>
      <c r="AR293" s="31"/>
    </row>
    <row r="294" spans="1:44" ht="25.25" customHeight="1" thickTop="1" thickBot="1" x14ac:dyDescent="0.4">
      <c r="A294" s="184" t="s">
        <v>499</v>
      </c>
      <c r="B294" s="185" t="s">
        <v>499</v>
      </c>
      <c r="C294" s="185" t="s">
        <v>499</v>
      </c>
      <c r="D294" s="186" t="s">
        <v>499</v>
      </c>
      <c r="E294" s="185" t="s">
        <v>499</v>
      </c>
      <c r="F294" s="185" t="s">
        <v>499</v>
      </c>
      <c r="G294" s="187">
        <f t="shared" si="4"/>
        <v>0</v>
      </c>
      <c r="H294" s="188"/>
      <c r="I294" s="188"/>
      <c r="J294" s="188"/>
      <c r="K294" s="185"/>
      <c r="L294" s="185"/>
      <c r="M294" s="185"/>
      <c r="N294" s="185"/>
      <c r="O294" s="193"/>
      <c r="P294" s="193"/>
      <c r="Q294" s="191"/>
      <c r="R294" s="191"/>
      <c r="S294" s="192"/>
      <c r="AR294" s="31"/>
    </row>
    <row r="295" spans="1:44" ht="25.25" customHeight="1" thickTop="1" thickBot="1" x14ac:dyDescent="0.4">
      <c r="A295" s="184" t="s">
        <v>499</v>
      </c>
      <c r="B295" s="185" t="s">
        <v>499</v>
      </c>
      <c r="C295" s="185" t="s">
        <v>499</v>
      </c>
      <c r="D295" s="186" t="s">
        <v>499</v>
      </c>
      <c r="E295" s="185" t="s">
        <v>499</v>
      </c>
      <c r="F295" s="185" t="s">
        <v>499</v>
      </c>
      <c r="G295" s="187">
        <f t="shared" si="4"/>
        <v>0</v>
      </c>
      <c r="H295" s="188"/>
      <c r="I295" s="188"/>
      <c r="J295" s="188"/>
      <c r="K295" s="185"/>
      <c r="L295" s="185"/>
      <c r="M295" s="185"/>
      <c r="N295" s="185"/>
      <c r="O295" s="193"/>
      <c r="P295" s="193"/>
      <c r="Q295" s="191"/>
      <c r="R295" s="191"/>
      <c r="S295" s="192"/>
      <c r="AR295" s="31"/>
    </row>
    <row r="296" spans="1:44" ht="25.25" customHeight="1" thickTop="1" thickBot="1" x14ac:dyDescent="0.4">
      <c r="A296" s="184" t="s">
        <v>499</v>
      </c>
      <c r="B296" s="185" t="s">
        <v>499</v>
      </c>
      <c r="C296" s="185" t="s">
        <v>499</v>
      </c>
      <c r="D296" s="186" t="s">
        <v>499</v>
      </c>
      <c r="E296" s="185" t="s">
        <v>499</v>
      </c>
      <c r="F296" s="185" t="s">
        <v>499</v>
      </c>
      <c r="G296" s="187">
        <f t="shared" si="4"/>
        <v>0</v>
      </c>
      <c r="H296" s="188"/>
      <c r="I296" s="188"/>
      <c r="J296" s="188"/>
      <c r="K296" s="185"/>
      <c r="L296" s="185"/>
      <c r="M296" s="185"/>
      <c r="N296" s="185"/>
      <c r="O296" s="193"/>
      <c r="P296" s="193"/>
      <c r="Q296" s="191"/>
      <c r="R296" s="191"/>
      <c r="S296" s="192"/>
      <c r="AR296" s="31"/>
    </row>
    <row r="297" spans="1:44" ht="25.25" customHeight="1" thickTop="1" thickBot="1" x14ac:dyDescent="0.4">
      <c r="A297" s="184" t="s">
        <v>499</v>
      </c>
      <c r="B297" s="185" t="s">
        <v>499</v>
      </c>
      <c r="C297" s="185" t="s">
        <v>499</v>
      </c>
      <c r="D297" s="186" t="s">
        <v>499</v>
      </c>
      <c r="E297" s="185" t="s">
        <v>499</v>
      </c>
      <c r="F297" s="185" t="s">
        <v>499</v>
      </c>
      <c r="G297" s="187">
        <f t="shared" si="4"/>
        <v>0</v>
      </c>
      <c r="H297" s="188"/>
      <c r="I297" s="188"/>
      <c r="J297" s="188"/>
      <c r="K297" s="185"/>
      <c r="L297" s="185"/>
      <c r="M297" s="185"/>
      <c r="N297" s="185"/>
      <c r="O297" s="193"/>
      <c r="P297" s="193"/>
      <c r="Q297" s="191"/>
      <c r="R297" s="191"/>
      <c r="S297" s="192"/>
      <c r="AR297" s="31"/>
    </row>
    <row r="298" spans="1:44" ht="25.25" customHeight="1" thickTop="1" thickBot="1" x14ac:dyDescent="0.4">
      <c r="A298" s="184" t="s">
        <v>499</v>
      </c>
      <c r="B298" s="185" t="s">
        <v>499</v>
      </c>
      <c r="C298" s="185" t="s">
        <v>499</v>
      </c>
      <c r="D298" s="186" t="s">
        <v>499</v>
      </c>
      <c r="E298" s="185" t="s">
        <v>499</v>
      </c>
      <c r="F298" s="185" t="s">
        <v>499</v>
      </c>
      <c r="G298" s="187">
        <f t="shared" si="4"/>
        <v>0</v>
      </c>
      <c r="H298" s="188"/>
      <c r="I298" s="188"/>
      <c r="J298" s="188"/>
      <c r="K298" s="185"/>
      <c r="L298" s="185"/>
      <c r="M298" s="185"/>
      <c r="N298" s="185"/>
      <c r="O298" s="193"/>
      <c r="P298" s="193"/>
      <c r="Q298" s="191"/>
      <c r="R298" s="191"/>
      <c r="S298" s="192"/>
      <c r="AR298" s="31"/>
    </row>
    <row r="299" spans="1:44" ht="25.25" customHeight="1" thickTop="1" thickBot="1" x14ac:dyDescent="0.4">
      <c r="A299" s="184" t="s">
        <v>499</v>
      </c>
      <c r="B299" s="185" t="s">
        <v>499</v>
      </c>
      <c r="C299" s="185" t="s">
        <v>499</v>
      </c>
      <c r="D299" s="186" t="s">
        <v>499</v>
      </c>
      <c r="E299" s="185" t="s">
        <v>499</v>
      </c>
      <c r="F299" s="185" t="s">
        <v>499</v>
      </c>
      <c r="G299" s="187">
        <f t="shared" si="4"/>
        <v>0</v>
      </c>
      <c r="H299" s="188"/>
      <c r="I299" s="188"/>
      <c r="J299" s="188"/>
      <c r="K299" s="185"/>
      <c r="L299" s="185"/>
      <c r="M299" s="185"/>
      <c r="N299" s="185"/>
      <c r="O299" s="193"/>
      <c r="P299" s="193"/>
      <c r="Q299" s="191"/>
      <c r="R299" s="191"/>
      <c r="S299" s="192"/>
      <c r="AR299" s="31"/>
    </row>
    <row r="300" spans="1:44" ht="25.25" customHeight="1" thickTop="1" thickBot="1" x14ac:dyDescent="0.4">
      <c r="A300" s="184" t="s">
        <v>499</v>
      </c>
      <c r="B300" s="185" t="s">
        <v>499</v>
      </c>
      <c r="C300" s="185" t="s">
        <v>499</v>
      </c>
      <c r="D300" s="186" t="s">
        <v>499</v>
      </c>
      <c r="E300" s="185" t="s">
        <v>499</v>
      </c>
      <c r="F300" s="185" t="s">
        <v>499</v>
      </c>
      <c r="G300" s="187">
        <f t="shared" si="4"/>
        <v>0</v>
      </c>
      <c r="H300" s="188"/>
      <c r="I300" s="188"/>
      <c r="J300" s="188"/>
      <c r="K300" s="185"/>
      <c r="L300" s="185"/>
      <c r="M300" s="185"/>
      <c r="N300" s="185"/>
      <c r="O300" s="193"/>
      <c r="P300" s="193"/>
      <c r="Q300" s="191"/>
      <c r="R300" s="191"/>
      <c r="S300" s="192"/>
      <c r="AR300" s="31"/>
    </row>
    <row r="301" spans="1:44" ht="25.25" customHeight="1" thickTop="1" thickBot="1" x14ac:dyDescent="0.4">
      <c r="A301" s="184" t="s">
        <v>499</v>
      </c>
      <c r="B301" s="185" t="s">
        <v>499</v>
      </c>
      <c r="C301" s="185" t="s">
        <v>499</v>
      </c>
      <c r="D301" s="186" t="s">
        <v>499</v>
      </c>
      <c r="E301" s="185" t="s">
        <v>499</v>
      </c>
      <c r="F301" s="185" t="s">
        <v>499</v>
      </c>
      <c r="G301" s="187">
        <f t="shared" si="4"/>
        <v>0</v>
      </c>
      <c r="H301" s="188"/>
      <c r="I301" s="188"/>
      <c r="J301" s="188"/>
      <c r="K301" s="185"/>
      <c r="L301" s="185"/>
      <c r="M301" s="185"/>
      <c r="N301" s="185"/>
      <c r="O301" s="193"/>
      <c r="P301" s="193"/>
      <c r="Q301" s="191"/>
      <c r="R301" s="191"/>
      <c r="S301" s="192"/>
      <c r="AR301" s="31"/>
    </row>
    <row r="302" spans="1:44" ht="25.25" customHeight="1" thickTop="1" thickBot="1" x14ac:dyDescent="0.4">
      <c r="A302" s="184" t="s">
        <v>499</v>
      </c>
      <c r="B302" s="185" t="s">
        <v>499</v>
      </c>
      <c r="C302" s="185" t="s">
        <v>499</v>
      </c>
      <c r="D302" s="186" t="s">
        <v>499</v>
      </c>
      <c r="E302" s="185" t="s">
        <v>499</v>
      </c>
      <c r="F302" s="185" t="s">
        <v>499</v>
      </c>
      <c r="G302" s="187">
        <f t="shared" si="4"/>
        <v>0</v>
      </c>
      <c r="H302" s="188"/>
      <c r="I302" s="188"/>
      <c r="J302" s="188"/>
      <c r="K302" s="185"/>
      <c r="L302" s="185"/>
      <c r="M302" s="185"/>
      <c r="N302" s="185"/>
      <c r="O302" s="193"/>
      <c r="P302" s="193"/>
      <c r="Q302" s="191"/>
      <c r="R302" s="191"/>
      <c r="S302" s="192"/>
      <c r="AR302" s="31"/>
    </row>
    <row r="303" spans="1:44" ht="25.25" customHeight="1" thickTop="1" thickBot="1" x14ac:dyDescent="0.4">
      <c r="A303" s="184" t="s">
        <v>499</v>
      </c>
      <c r="B303" s="185" t="s">
        <v>499</v>
      </c>
      <c r="C303" s="185" t="s">
        <v>499</v>
      </c>
      <c r="D303" s="186" t="s">
        <v>499</v>
      </c>
      <c r="E303" s="185" t="s">
        <v>499</v>
      </c>
      <c r="F303" s="185" t="s">
        <v>499</v>
      </c>
      <c r="G303" s="187">
        <f t="shared" si="4"/>
        <v>0</v>
      </c>
      <c r="H303" s="188"/>
      <c r="I303" s="188"/>
      <c r="J303" s="188"/>
      <c r="K303" s="185"/>
      <c r="L303" s="185"/>
      <c r="M303" s="185"/>
      <c r="N303" s="185"/>
      <c r="O303" s="193"/>
      <c r="P303" s="193"/>
      <c r="Q303" s="191"/>
      <c r="R303" s="191"/>
      <c r="S303" s="192"/>
      <c r="AR303" s="31"/>
    </row>
    <row r="304" spans="1:44" ht="25.25" customHeight="1" thickTop="1" thickBot="1" x14ac:dyDescent="0.4">
      <c r="A304" s="184" t="s">
        <v>499</v>
      </c>
      <c r="B304" s="185" t="s">
        <v>499</v>
      </c>
      <c r="C304" s="185" t="s">
        <v>499</v>
      </c>
      <c r="D304" s="186" t="s">
        <v>499</v>
      </c>
      <c r="E304" s="185" t="s">
        <v>499</v>
      </c>
      <c r="F304" s="185" t="s">
        <v>499</v>
      </c>
      <c r="G304" s="187">
        <f t="shared" si="4"/>
        <v>0</v>
      </c>
      <c r="H304" s="188"/>
      <c r="I304" s="188"/>
      <c r="J304" s="188"/>
      <c r="K304" s="185"/>
      <c r="L304" s="185"/>
      <c r="M304" s="185"/>
      <c r="N304" s="185"/>
      <c r="O304" s="193"/>
      <c r="P304" s="193"/>
      <c r="Q304" s="191"/>
      <c r="R304" s="191"/>
      <c r="S304" s="192"/>
      <c r="AR304" s="31"/>
    </row>
    <row r="305" spans="1:44" ht="25.25" customHeight="1" thickTop="1" thickBot="1" x14ac:dyDescent="0.4">
      <c r="A305" s="184" t="s">
        <v>499</v>
      </c>
      <c r="B305" s="185" t="s">
        <v>499</v>
      </c>
      <c r="C305" s="185" t="s">
        <v>499</v>
      </c>
      <c r="D305" s="186" t="s">
        <v>499</v>
      </c>
      <c r="E305" s="185" t="s">
        <v>499</v>
      </c>
      <c r="F305" s="185" t="s">
        <v>499</v>
      </c>
      <c r="G305" s="187">
        <f t="shared" si="4"/>
        <v>0</v>
      </c>
      <c r="H305" s="188"/>
      <c r="I305" s="188"/>
      <c r="J305" s="188"/>
      <c r="K305" s="185"/>
      <c r="L305" s="185"/>
      <c r="M305" s="185"/>
      <c r="N305" s="185"/>
      <c r="O305" s="193"/>
      <c r="P305" s="193"/>
      <c r="Q305" s="191"/>
      <c r="R305" s="191"/>
      <c r="S305" s="192"/>
      <c r="AR305" s="31"/>
    </row>
    <row r="306" spans="1:44" ht="25.25" customHeight="1" thickTop="1" thickBot="1" x14ac:dyDescent="0.4">
      <c r="A306" s="184" t="s">
        <v>499</v>
      </c>
      <c r="B306" s="185" t="s">
        <v>499</v>
      </c>
      <c r="C306" s="185" t="s">
        <v>499</v>
      </c>
      <c r="D306" s="186" t="s">
        <v>499</v>
      </c>
      <c r="E306" s="185" t="s">
        <v>499</v>
      </c>
      <c r="F306" s="185" t="s">
        <v>499</v>
      </c>
      <c r="G306" s="187">
        <f t="shared" si="4"/>
        <v>0</v>
      </c>
      <c r="H306" s="188"/>
      <c r="I306" s="188"/>
      <c r="J306" s="188"/>
      <c r="K306" s="185"/>
      <c r="L306" s="185"/>
      <c r="M306" s="185"/>
      <c r="N306" s="185"/>
      <c r="O306" s="193"/>
      <c r="P306" s="193"/>
      <c r="Q306" s="191"/>
      <c r="R306" s="191"/>
      <c r="S306" s="192"/>
      <c r="AR306" s="31"/>
    </row>
    <row r="307" spans="1:44" ht="25.25" customHeight="1" thickTop="1" thickBot="1" x14ac:dyDescent="0.4">
      <c r="A307" s="184" t="s">
        <v>499</v>
      </c>
      <c r="B307" s="185" t="s">
        <v>499</v>
      </c>
      <c r="C307" s="185" t="s">
        <v>499</v>
      </c>
      <c r="D307" s="186" t="s">
        <v>499</v>
      </c>
      <c r="E307" s="185" t="s">
        <v>499</v>
      </c>
      <c r="F307" s="185" t="s">
        <v>499</v>
      </c>
      <c r="G307" s="187">
        <f t="shared" si="4"/>
        <v>0</v>
      </c>
      <c r="H307" s="188"/>
      <c r="I307" s="188"/>
      <c r="J307" s="188"/>
      <c r="K307" s="185"/>
      <c r="L307" s="185"/>
      <c r="M307" s="185"/>
      <c r="N307" s="185"/>
      <c r="O307" s="193"/>
      <c r="P307" s="193"/>
      <c r="Q307" s="191"/>
      <c r="R307" s="191"/>
      <c r="S307" s="192"/>
      <c r="AR307" s="31"/>
    </row>
    <row r="308" spans="1:44" ht="20.5" thickTop="1" thickBot="1" x14ac:dyDescent="0.4">
      <c r="A308" s="184" t="s">
        <v>499</v>
      </c>
      <c r="B308" s="185" t="s">
        <v>499</v>
      </c>
      <c r="C308" s="185" t="s">
        <v>499</v>
      </c>
      <c r="D308" s="186" t="s">
        <v>499</v>
      </c>
      <c r="E308" s="185" t="s">
        <v>499</v>
      </c>
      <c r="F308" s="185" t="s">
        <v>499</v>
      </c>
      <c r="G308" s="187">
        <f t="shared" si="4"/>
        <v>0</v>
      </c>
      <c r="H308" s="188"/>
      <c r="I308" s="188"/>
      <c r="J308" s="188"/>
      <c r="K308" s="185"/>
      <c r="L308" s="185"/>
      <c r="M308" s="185"/>
      <c r="N308" s="185"/>
      <c r="O308" s="193"/>
      <c r="P308" s="193"/>
      <c r="Q308" s="191"/>
      <c r="R308" s="191"/>
      <c r="S308" s="192"/>
      <c r="AR308" s="31"/>
    </row>
    <row r="309" spans="1:44" ht="20.5" thickTop="1" thickBot="1" x14ac:dyDescent="0.4">
      <c r="A309" s="184" t="s">
        <v>499</v>
      </c>
      <c r="B309" s="185" t="s">
        <v>499</v>
      </c>
      <c r="C309" s="185" t="s">
        <v>499</v>
      </c>
      <c r="D309" s="186" t="s">
        <v>499</v>
      </c>
      <c r="E309" s="185" t="s">
        <v>499</v>
      </c>
      <c r="F309" s="185" t="s">
        <v>499</v>
      </c>
      <c r="G309" s="187">
        <f t="shared" si="4"/>
        <v>0</v>
      </c>
      <c r="H309" s="188"/>
      <c r="I309" s="188"/>
      <c r="J309" s="188"/>
      <c r="K309" s="185"/>
      <c r="L309" s="185"/>
      <c r="M309" s="185"/>
      <c r="N309" s="185"/>
      <c r="O309" s="193"/>
      <c r="P309" s="193"/>
      <c r="Q309" s="191"/>
      <c r="R309" s="191"/>
      <c r="S309" s="192"/>
      <c r="AR309" s="31"/>
    </row>
    <row r="310" spans="1:44" ht="20.5" thickTop="1" thickBot="1" x14ac:dyDescent="0.4">
      <c r="A310" s="184" t="s">
        <v>499</v>
      </c>
      <c r="B310" s="185" t="s">
        <v>499</v>
      </c>
      <c r="C310" s="185" t="s">
        <v>499</v>
      </c>
      <c r="D310" s="186" t="s">
        <v>499</v>
      </c>
      <c r="E310" s="185" t="s">
        <v>499</v>
      </c>
      <c r="F310" s="185" t="s">
        <v>499</v>
      </c>
      <c r="G310" s="187">
        <f t="shared" si="4"/>
        <v>0</v>
      </c>
      <c r="H310" s="188"/>
      <c r="I310" s="188"/>
      <c r="J310" s="188"/>
      <c r="K310" s="185"/>
      <c r="L310" s="185"/>
      <c r="M310" s="185"/>
      <c r="N310" s="185"/>
      <c r="O310" s="193"/>
      <c r="P310" s="193"/>
      <c r="Q310" s="191"/>
      <c r="R310" s="191"/>
      <c r="S310" s="192"/>
      <c r="AR310" s="31"/>
    </row>
    <row r="311" spans="1:44" ht="20.5" thickTop="1" thickBot="1" x14ac:dyDescent="0.4">
      <c r="A311" s="184" t="s">
        <v>499</v>
      </c>
      <c r="B311" s="185" t="s">
        <v>499</v>
      </c>
      <c r="C311" s="185" t="s">
        <v>499</v>
      </c>
      <c r="D311" s="186" t="s">
        <v>499</v>
      </c>
      <c r="E311" s="185" t="s">
        <v>499</v>
      </c>
      <c r="F311" s="185" t="s">
        <v>499</v>
      </c>
      <c r="G311" s="187">
        <f t="shared" si="4"/>
        <v>0</v>
      </c>
      <c r="H311" s="188"/>
      <c r="I311" s="188"/>
      <c r="J311" s="188"/>
      <c r="K311" s="185"/>
      <c r="L311" s="185"/>
      <c r="M311" s="185"/>
      <c r="N311" s="185"/>
      <c r="O311" s="193"/>
      <c r="P311" s="193"/>
      <c r="Q311" s="191"/>
      <c r="R311" s="191"/>
      <c r="S311" s="192"/>
    </row>
    <row r="312" spans="1:44" ht="20.5" thickTop="1" thickBot="1" x14ac:dyDescent="0.4">
      <c r="A312" s="184" t="s">
        <v>499</v>
      </c>
      <c r="B312" s="185" t="s">
        <v>499</v>
      </c>
      <c r="C312" s="185" t="s">
        <v>499</v>
      </c>
      <c r="D312" s="186" t="s">
        <v>499</v>
      </c>
      <c r="E312" s="185" t="s">
        <v>499</v>
      </c>
      <c r="F312" s="185" t="s">
        <v>499</v>
      </c>
      <c r="G312" s="187">
        <f t="shared" si="4"/>
        <v>0</v>
      </c>
      <c r="H312" s="188"/>
      <c r="I312" s="188"/>
      <c r="J312" s="188"/>
      <c r="K312" s="185"/>
      <c r="L312" s="185"/>
      <c r="M312" s="185"/>
      <c r="N312" s="185"/>
      <c r="O312" s="193"/>
      <c r="P312" s="193"/>
      <c r="Q312" s="191"/>
      <c r="R312" s="191"/>
      <c r="S312" s="192"/>
    </row>
    <row r="313" spans="1:44" ht="20.5" thickTop="1" thickBot="1" x14ac:dyDescent="0.4">
      <c r="A313" s="184" t="s">
        <v>499</v>
      </c>
      <c r="B313" s="185" t="s">
        <v>499</v>
      </c>
      <c r="C313" s="185" t="s">
        <v>499</v>
      </c>
      <c r="D313" s="186" t="s">
        <v>499</v>
      </c>
      <c r="E313" s="185" t="s">
        <v>499</v>
      </c>
      <c r="F313" s="185" t="s">
        <v>499</v>
      </c>
      <c r="G313" s="187">
        <f t="shared" si="4"/>
        <v>0</v>
      </c>
      <c r="H313" s="188"/>
      <c r="I313" s="188"/>
      <c r="J313" s="188"/>
      <c r="K313" s="185"/>
      <c r="L313" s="185"/>
      <c r="M313" s="185"/>
      <c r="N313" s="185"/>
      <c r="O313" s="193"/>
      <c r="P313" s="193"/>
      <c r="Q313" s="191"/>
      <c r="R313" s="191"/>
      <c r="S313" s="192"/>
    </row>
    <row r="314" spans="1:44" ht="20.5" thickTop="1" thickBot="1" x14ac:dyDescent="0.4">
      <c r="A314" s="184" t="s">
        <v>499</v>
      </c>
      <c r="B314" s="185" t="s">
        <v>499</v>
      </c>
      <c r="C314" s="185" t="s">
        <v>499</v>
      </c>
      <c r="D314" s="186" t="s">
        <v>499</v>
      </c>
      <c r="E314" s="185" t="s">
        <v>499</v>
      </c>
      <c r="F314" s="185" t="s">
        <v>499</v>
      </c>
      <c r="G314" s="187">
        <f t="shared" si="4"/>
        <v>0</v>
      </c>
      <c r="H314" s="188"/>
      <c r="I314" s="188"/>
      <c r="J314" s="188"/>
      <c r="K314" s="185"/>
      <c r="L314" s="185"/>
      <c r="M314" s="185"/>
      <c r="N314" s="185"/>
      <c r="O314" s="193"/>
      <c r="P314" s="193"/>
      <c r="Q314" s="191"/>
      <c r="R314" s="191"/>
      <c r="S314" s="192"/>
    </row>
    <row r="315" spans="1:44" ht="20.5" thickTop="1" thickBot="1" x14ac:dyDescent="0.4">
      <c r="A315" s="184" t="s">
        <v>499</v>
      </c>
      <c r="B315" s="185" t="s">
        <v>499</v>
      </c>
      <c r="C315" s="185" t="s">
        <v>499</v>
      </c>
      <c r="D315" s="186" t="s">
        <v>499</v>
      </c>
      <c r="E315" s="185" t="s">
        <v>499</v>
      </c>
      <c r="F315" s="185" t="s">
        <v>499</v>
      </c>
      <c r="G315" s="187">
        <f t="shared" si="4"/>
        <v>0</v>
      </c>
      <c r="H315" s="188"/>
      <c r="I315" s="188"/>
      <c r="J315" s="188"/>
      <c r="K315" s="185"/>
      <c r="L315" s="185"/>
      <c r="M315" s="185"/>
      <c r="N315" s="185"/>
      <c r="O315" s="193"/>
      <c r="P315" s="193"/>
      <c r="Q315" s="191"/>
      <c r="R315" s="191"/>
      <c r="S315" s="192"/>
    </row>
    <row r="316" spans="1:44" ht="20.5" thickTop="1" thickBot="1" x14ac:dyDescent="0.4">
      <c r="A316" s="184" t="s">
        <v>499</v>
      </c>
      <c r="B316" s="185" t="s">
        <v>499</v>
      </c>
      <c r="C316" s="185" t="s">
        <v>499</v>
      </c>
      <c r="D316" s="186" t="s">
        <v>499</v>
      </c>
      <c r="E316" s="185" t="s">
        <v>499</v>
      </c>
      <c r="F316" s="185" t="s">
        <v>499</v>
      </c>
      <c r="G316" s="187">
        <f t="shared" si="4"/>
        <v>0</v>
      </c>
      <c r="H316" s="188"/>
      <c r="I316" s="188"/>
      <c r="J316" s="188"/>
      <c r="K316" s="185"/>
      <c r="L316" s="185"/>
      <c r="M316" s="185"/>
      <c r="N316" s="185"/>
      <c r="O316" s="193"/>
      <c r="P316" s="193"/>
      <c r="Q316" s="191"/>
      <c r="R316" s="191"/>
      <c r="S316" s="192"/>
    </row>
    <row r="317" spans="1:44" ht="20.5" thickTop="1" thickBot="1" x14ac:dyDescent="0.4">
      <c r="A317" s="184" t="s">
        <v>499</v>
      </c>
      <c r="B317" s="185" t="s">
        <v>499</v>
      </c>
      <c r="C317" s="185" t="s">
        <v>499</v>
      </c>
      <c r="D317" s="186" t="s">
        <v>499</v>
      </c>
      <c r="E317" s="185" t="s">
        <v>499</v>
      </c>
      <c r="F317" s="185" t="s">
        <v>499</v>
      </c>
      <c r="G317" s="187">
        <f t="shared" si="4"/>
        <v>0</v>
      </c>
      <c r="H317" s="188"/>
      <c r="I317" s="188"/>
      <c r="J317" s="188"/>
      <c r="K317" s="185"/>
      <c r="L317" s="185"/>
      <c r="M317" s="185"/>
      <c r="N317" s="185"/>
      <c r="O317" s="193"/>
      <c r="P317" s="193"/>
      <c r="Q317" s="191"/>
      <c r="R317" s="191"/>
      <c r="S317" s="192"/>
    </row>
    <row r="318" spans="1:44" ht="20.5" thickTop="1" thickBot="1" x14ac:dyDescent="0.4">
      <c r="A318" s="184" t="s">
        <v>499</v>
      </c>
      <c r="B318" s="185" t="s">
        <v>499</v>
      </c>
      <c r="C318" s="185" t="s">
        <v>499</v>
      </c>
      <c r="D318" s="186" t="s">
        <v>499</v>
      </c>
      <c r="E318" s="185" t="s">
        <v>499</v>
      </c>
      <c r="F318" s="185" t="s">
        <v>499</v>
      </c>
      <c r="G318" s="187">
        <f t="shared" si="4"/>
        <v>0</v>
      </c>
      <c r="H318" s="188"/>
      <c r="I318" s="188"/>
      <c r="J318" s="188"/>
      <c r="K318" s="185"/>
      <c r="L318" s="185"/>
      <c r="M318" s="185"/>
      <c r="N318" s="185"/>
      <c r="O318" s="193"/>
      <c r="P318" s="193"/>
      <c r="Q318" s="191"/>
      <c r="R318" s="191"/>
      <c r="S318" s="192"/>
    </row>
    <row r="319" spans="1:44" ht="20.5" thickTop="1" thickBot="1" x14ac:dyDescent="0.4">
      <c r="A319" s="184" t="s">
        <v>499</v>
      </c>
      <c r="B319" s="185" t="s">
        <v>499</v>
      </c>
      <c r="C319" s="185" t="s">
        <v>499</v>
      </c>
      <c r="D319" s="186" t="s">
        <v>499</v>
      </c>
      <c r="E319" s="185" t="s">
        <v>499</v>
      </c>
      <c r="F319" s="185" t="s">
        <v>499</v>
      </c>
      <c r="G319" s="187">
        <f t="shared" si="4"/>
        <v>0</v>
      </c>
      <c r="H319" s="188"/>
      <c r="I319" s="188"/>
      <c r="J319" s="188"/>
      <c r="K319" s="185"/>
      <c r="L319" s="185"/>
      <c r="M319" s="185"/>
      <c r="N319" s="185"/>
      <c r="O319" s="193"/>
      <c r="P319" s="193"/>
      <c r="Q319" s="191"/>
      <c r="R319" s="191"/>
      <c r="S319" s="192"/>
    </row>
    <row r="320" spans="1:44" ht="20.5" thickTop="1" thickBot="1" x14ac:dyDescent="0.4">
      <c r="A320" s="184" t="s">
        <v>499</v>
      </c>
      <c r="B320" s="185" t="s">
        <v>499</v>
      </c>
      <c r="C320" s="185" t="s">
        <v>499</v>
      </c>
      <c r="D320" s="186" t="s">
        <v>499</v>
      </c>
      <c r="E320" s="185" t="s">
        <v>499</v>
      </c>
      <c r="F320" s="185" t="s">
        <v>499</v>
      </c>
      <c r="G320" s="187">
        <f t="shared" si="4"/>
        <v>0</v>
      </c>
      <c r="H320" s="188"/>
      <c r="I320" s="188"/>
      <c r="J320" s="188"/>
      <c r="K320" s="185"/>
      <c r="L320" s="185"/>
      <c r="M320" s="185"/>
      <c r="N320" s="185"/>
      <c r="O320" s="193"/>
      <c r="P320" s="193"/>
      <c r="Q320" s="191"/>
      <c r="R320" s="191"/>
      <c r="S320" s="192"/>
    </row>
    <row r="321" spans="1:19" ht="20.5" thickTop="1" thickBot="1" x14ac:dyDescent="0.4">
      <c r="A321" s="184" t="s">
        <v>499</v>
      </c>
      <c r="B321" s="185" t="s">
        <v>499</v>
      </c>
      <c r="C321" s="185" t="s">
        <v>499</v>
      </c>
      <c r="D321" s="186" t="s">
        <v>499</v>
      </c>
      <c r="E321" s="185" t="s">
        <v>499</v>
      </c>
      <c r="F321" s="185" t="s">
        <v>499</v>
      </c>
      <c r="G321" s="187">
        <f t="shared" si="4"/>
        <v>0</v>
      </c>
      <c r="H321" s="188"/>
      <c r="I321" s="188"/>
      <c r="J321" s="188"/>
      <c r="K321" s="185"/>
      <c r="L321" s="185"/>
      <c r="M321" s="185"/>
      <c r="N321" s="185"/>
      <c r="O321" s="193"/>
      <c r="P321" s="193"/>
      <c r="Q321" s="191"/>
      <c r="R321" s="191"/>
      <c r="S321" s="192"/>
    </row>
    <row r="322" spans="1:19" ht="20.5" thickTop="1" thickBot="1" x14ac:dyDescent="0.4">
      <c r="A322" s="184" t="s">
        <v>499</v>
      </c>
      <c r="B322" s="185" t="s">
        <v>499</v>
      </c>
      <c r="C322" s="185" t="s">
        <v>499</v>
      </c>
      <c r="D322" s="186" t="s">
        <v>499</v>
      </c>
      <c r="E322" s="185" t="s">
        <v>499</v>
      </c>
      <c r="F322" s="185" t="s">
        <v>499</v>
      </c>
      <c r="G322" s="187">
        <f t="shared" si="4"/>
        <v>0</v>
      </c>
      <c r="H322" s="188"/>
      <c r="I322" s="188"/>
      <c r="J322" s="188"/>
      <c r="K322" s="185"/>
      <c r="L322" s="185"/>
      <c r="M322" s="185"/>
      <c r="N322" s="185"/>
      <c r="O322" s="193"/>
      <c r="P322" s="193"/>
      <c r="Q322" s="191"/>
      <c r="R322" s="191"/>
      <c r="S322" s="192"/>
    </row>
    <row r="323" spans="1:19" ht="20.5" thickTop="1" thickBot="1" x14ac:dyDescent="0.4">
      <c r="A323" s="184" t="s">
        <v>499</v>
      </c>
      <c r="B323" s="185" t="s">
        <v>499</v>
      </c>
      <c r="C323" s="185" t="s">
        <v>499</v>
      </c>
      <c r="D323" s="186" t="s">
        <v>499</v>
      </c>
      <c r="E323" s="185" t="s">
        <v>499</v>
      </c>
      <c r="F323" s="185" t="s">
        <v>499</v>
      </c>
      <c r="G323" s="187">
        <f t="shared" si="4"/>
        <v>0</v>
      </c>
      <c r="H323" s="188"/>
      <c r="I323" s="188"/>
      <c r="J323" s="188"/>
      <c r="K323" s="185"/>
      <c r="L323" s="185"/>
      <c r="M323" s="185"/>
      <c r="N323" s="185"/>
      <c r="O323" s="193"/>
      <c r="P323" s="193"/>
      <c r="Q323" s="191"/>
      <c r="R323" s="191"/>
      <c r="S323" s="192"/>
    </row>
    <row r="324" spans="1:19" ht="20.5" thickTop="1" thickBot="1" x14ac:dyDescent="0.4">
      <c r="A324" s="184" t="s">
        <v>499</v>
      </c>
      <c r="B324" s="185" t="s">
        <v>499</v>
      </c>
      <c r="C324" s="185" t="s">
        <v>499</v>
      </c>
      <c r="D324" s="186" t="s">
        <v>499</v>
      </c>
      <c r="E324" s="185" t="s">
        <v>499</v>
      </c>
      <c r="F324" s="185" t="s">
        <v>499</v>
      </c>
      <c r="G324" s="187">
        <f t="shared" si="4"/>
        <v>0</v>
      </c>
      <c r="H324" s="188"/>
      <c r="I324" s="188"/>
      <c r="J324" s="188"/>
      <c r="K324" s="185"/>
      <c r="L324" s="185"/>
      <c r="M324" s="185"/>
      <c r="N324" s="185"/>
      <c r="O324" s="193"/>
      <c r="P324" s="193"/>
      <c r="Q324" s="191"/>
      <c r="R324" s="191"/>
      <c r="S324" s="192"/>
    </row>
    <row r="325" spans="1:19" ht="20.5" thickTop="1" thickBot="1" x14ac:dyDescent="0.4">
      <c r="A325" s="184" t="s">
        <v>499</v>
      </c>
      <c r="B325" s="185" t="s">
        <v>499</v>
      </c>
      <c r="C325" s="185" t="s">
        <v>499</v>
      </c>
      <c r="D325" s="186" t="s">
        <v>499</v>
      </c>
      <c r="E325" s="185" t="s">
        <v>499</v>
      </c>
      <c r="F325" s="185" t="s">
        <v>499</v>
      </c>
      <c r="G325" s="187">
        <f t="shared" ref="G325:G388" si="5">SUM(H325:J325)</f>
        <v>0</v>
      </c>
      <c r="H325" s="188"/>
      <c r="I325" s="188"/>
      <c r="J325" s="188"/>
      <c r="K325" s="185"/>
      <c r="L325" s="185"/>
      <c r="M325" s="185"/>
      <c r="N325" s="185"/>
      <c r="O325" s="193"/>
      <c r="P325" s="193"/>
      <c r="Q325" s="191"/>
      <c r="R325" s="191"/>
      <c r="S325" s="192"/>
    </row>
    <row r="326" spans="1:19" ht="20.5" thickTop="1" thickBot="1" x14ac:dyDescent="0.4">
      <c r="A326" s="184" t="s">
        <v>499</v>
      </c>
      <c r="B326" s="185" t="s">
        <v>499</v>
      </c>
      <c r="C326" s="185" t="s">
        <v>499</v>
      </c>
      <c r="D326" s="186" t="s">
        <v>499</v>
      </c>
      <c r="E326" s="185" t="s">
        <v>499</v>
      </c>
      <c r="F326" s="185" t="s">
        <v>499</v>
      </c>
      <c r="G326" s="187">
        <f t="shared" si="5"/>
        <v>0</v>
      </c>
      <c r="H326" s="188"/>
      <c r="I326" s="188"/>
      <c r="J326" s="188"/>
      <c r="K326" s="185"/>
      <c r="L326" s="185"/>
      <c r="M326" s="185"/>
      <c r="N326" s="185"/>
      <c r="O326" s="193"/>
      <c r="P326" s="193"/>
      <c r="Q326" s="191"/>
      <c r="R326" s="191"/>
      <c r="S326" s="192"/>
    </row>
    <row r="327" spans="1:19" ht="20.5" thickTop="1" thickBot="1" x14ac:dyDescent="0.4">
      <c r="A327" s="184" t="s">
        <v>499</v>
      </c>
      <c r="B327" s="185" t="s">
        <v>499</v>
      </c>
      <c r="C327" s="185" t="s">
        <v>499</v>
      </c>
      <c r="D327" s="186" t="s">
        <v>499</v>
      </c>
      <c r="E327" s="185" t="s">
        <v>499</v>
      </c>
      <c r="F327" s="185" t="s">
        <v>499</v>
      </c>
      <c r="G327" s="187">
        <f t="shared" si="5"/>
        <v>0</v>
      </c>
      <c r="H327" s="188"/>
      <c r="I327" s="188"/>
      <c r="J327" s="188"/>
      <c r="K327" s="185"/>
      <c r="L327" s="185"/>
      <c r="M327" s="185"/>
      <c r="N327" s="185"/>
      <c r="O327" s="193"/>
      <c r="P327" s="193"/>
      <c r="Q327" s="191"/>
      <c r="R327" s="191"/>
      <c r="S327" s="192"/>
    </row>
    <row r="328" spans="1:19" ht="20.5" thickTop="1" thickBot="1" x14ac:dyDescent="0.4">
      <c r="A328" s="184" t="s">
        <v>499</v>
      </c>
      <c r="B328" s="185" t="s">
        <v>499</v>
      </c>
      <c r="C328" s="185" t="s">
        <v>499</v>
      </c>
      <c r="D328" s="186" t="s">
        <v>499</v>
      </c>
      <c r="E328" s="185" t="s">
        <v>499</v>
      </c>
      <c r="F328" s="185" t="s">
        <v>499</v>
      </c>
      <c r="G328" s="187">
        <f t="shared" si="5"/>
        <v>0</v>
      </c>
      <c r="H328" s="188"/>
      <c r="I328" s="188"/>
      <c r="J328" s="188"/>
      <c r="K328" s="185"/>
      <c r="L328" s="185"/>
      <c r="M328" s="185"/>
      <c r="N328" s="185"/>
      <c r="O328" s="193"/>
      <c r="P328" s="193"/>
      <c r="Q328" s="191"/>
      <c r="R328" s="191"/>
      <c r="S328" s="192"/>
    </row>
    <row r="329" spans="1:19" ht="20.5" thickTop="1" thickBot="1" x14ac:dyDescent="0.4">
      <c r="A329" s="184" t="s">
        <v>499</v>
      </c>
      <c r="B329" s="185" t="s">
        <v>499</v>
      </c>
      <c r="C329" s="185" t="s">
        <v>499</v>
      </c>
      <c r="D329" s="186" t="s">
        <v>499</v>
      </c>
      <c r="E329" s="185" t="s">
        <v>499</v>
      </c>
      <c r="F329" s="185" t="s">
        <v>499</v>
      </c>
      <c r="G329" s="187">
        <f t="shared" si="5"/>
        <v>0</v>
      </c>
      <c r="H329" s="188"/>
      <c r="I329" s="188"/>
      <c r="J329" s="188"/>
      <c r="K329" s="185"/>
      <c r="L329" s="185"/>
      <c r="M329" s="185"/>
      <c r="N329" s="185"/>
      <c r="O329" s="193"/>
      <c r="P329" s="193"/>
      <c r="Q329" s="191"/>
      <c r="R329" s="191"/>
      <c r="S329" s="192"/>
    </row>
    <row r="330" spans="1:19" ht="20.5" thickTop="1" thickBot="1" x14ac:dyDescent="0.4">
      <c r="A330" s="184" t="s">
        <v>499</v>
      </c>
      <c r="B330" s="185" t="s">
        <v>499</v>
      </c>
      <c r="C330" s="185" t="s">
        <v>499</v>
      </c>
      <c r="D330" s="186" t="s">
        <v>499</v>
      </c>
      <c r="E330" s="185" t="s">
        <v>499</v>
      </c>
      <c r="F330" s="185" t="s">
        <v>499</v>
      </c>
      <c r="G330" s="187">
        <f t="shared" si="5"/>
        <v>0</v>
      </c>
      <c r="H330" s="188"/>
      <c r="I330" s="188"/>
      <c r="J330" s="188"/>
      <c r="K330" s="185"/>
      <c r="L330" s="185"/>
      <c r="M330" s="185"/>
      <c r="N330" s="185"/>
      <c r="O330" s="193"/>
      <c r="P330" s="193"/>
      <c r="Q330" s="191"/>
      <c r="R330" s="191"/>
      <c r="S330" s="192"/>
    </row>
    <row r="331" spans="1:19" ht="20.5" thickTop="1" thickBot="1" x14ac:dyDescent="0.4">
      <c r="A331" s="184" t="s">
        <v>499</v>
      </c>
      <c r="B331" s="185" t="s">
        <v>499</v>
      </c>
      <c r="C331" s="185" t="s">
        <v>499</v>
      </c>
      <c r="D331" s="186" t="s">
        <v>499</v>
      </c>
      <c r="E331" s="185" t="s">
        <v>499</v>
      </c>
      <c r="F331" s="185" t="s">
        <v>499</v>
      </c>
      <c r="G331" s="187">
        <f t="shared" si="5"/>
        <v>0</v>
      </c>
      <c r="H331" s="188"/>
      <c r="I331" s="188"/>
      <c r="J331" s="188"/>
      <c r="K331" s="185"/>
      <c r="L331" s="185"/>
      <c r="M331" s="185"/>
      <c r="N331" s="185"/>
      <c r="O331" s="193"/>
      <c r="P331" s="193"/>
      <c r="Q331" s="191"/>
      <c r="R331" s="191"/>
      <c r="S331" s="192"/>
    </row>
    <row r="332" spans="1:19" ht="20.5" thickTop="1" thickBot="1" x14ac:dyDescent="0.4">
      <c r="A332" s="184" t="s">
        <v>499</v>
      </c>
      <c r="B332" s="185" t="s">
        <v>499</v>
      </c>
      <c r="C332" s="185" t="s">
        <v>499</v>
      </c>
      <c r="D332" s="186" t="s">
        <v>499</v>
      </c>
      <c r="E332" s="185" t="s">
        <v>499</v>
      </c>
      <c r="F332" s="185" t="s">
        <v>499</v>
      </c>
      <c r="G332" s="187">
        <f t="shared" si="5"/>
        <v>0</v>
      </c>
      <c r="H332" s="188"/>
      <c r="I332" s="188"/>
      <c r="J332" s="188"/>
      <c r="K332" s="185"/>
      <c r="L332" s="185"/>
      <c r="M332" s="185"/>
      <c r="N332" s="185"/>
      <c r="O332" s="193"/>
      <c r="P332" s="193"/>
      <c r="Q332" s="191"/>
      <c r="R332" s="191"/>
      <c r="S332" s="192"/>
    </row>
    <row r="333" spans="1:19" ht="20.5" thickTop="1" thickBot="1" x14ac:dyDescent="0.4">
      <c r="A333" s="184" t="s">
        <v>499</v>
      </c>
      <c r="B333" s="185" t="s">
        <v>499</v>
      </c>
      <c r="C333" s="185" t="s">
        <v>499</v>
      </c>
      <c r="D333" s="186" t="s">
        <v>499</v>
      </c>
      <c r="E333" s="185" t="s">
        <v>499</v>
      </c>
      <c r="F333" s="185" t="s">
        <v>499</v>
      </c>
      <c r="G333" s="187">
        <f t="shared" si="5"/>
        <v>0</v>
      </c>
      <c r="H333" s="188"/>
      <c r="I333" s="188"/>
      <c r="J333" s="188"/>
      <c r="K333" s="185"/>
      <c r="L333" s="185"/>
      <c r="M333" s="185"/>
      <c r="N333" s="185"/>
      <c r="O333" s="193"/>
      <c r="P333" s="193"/>
      <c r="Q333" s="191"/>
      <c r="R333" s="191"/>
      <c r="S333" s="192"/>
    </row>
    <row r="334" spans="1:19" ht="20.5" thickTop="1" thickBot="1" x14ac:dyDescent="0.4">
      <c r="A334" s="184" t="s">
        <v>499</v>
      </c>
      <c r="B334" s="185" t="s">
        <v>499</v>
      </c>
      <c r="C334" s="185" t="s">
        <v>499</v>
      </c>
      <c r="D334" s="186" t="s">
        <v>499</v>
      </c>
      <c r="E334" s="185" t="s">
        <v>499</v>
      </c>
      <c r="F334" s="185" t="s">
        <v>499</v>
      </c>
      <c r="G334" s="187">
        <f t="shared" si="5"/>
        <v>0</v>
      </c>
      <c r="H334" s="188"/>
      <c r="I334" s="188"/>
      <c r="J334" s="188"/>
      <c r="K334" s="185"/>
      <c r="L334" s="185"/>
      <c r="M334" s="185"/>
      <c r="N334" s="185"/>
      <c r="O334" s="193"/>
      <c r="P334" s="193"/>
      <c r="Q334" s="191"/>
      <c r="R334" s="191"/>
      <c r="S334" s="192"/>
    </row>
    <row r="335" spans="1:19" ht="20.5" thickTop="1" thickBot="1" x14ac:dyDescent="0.4">
      <c r="A335" s="184" t="s">
        <v>499</v>
      </c>
      <c r="B335" s="185" t="s">
        <v>499</v>
      </c>
      <c r="C335" s="185" t="s">
        <v>499</v>
      </c>
      <c r="D335" s="186" t="s">
        <v>499</v>
      </c>
      <c r="E335" s="185" t="s">
        <v>499</v>
      </c>
      <c r="F335" s="185" t="s">
        <v>499</v>
      </c>
      <c r="G335" s="187">
        <f t="shared" si="5"/>
        <v>0</v>
      </c>
      <c r="H335" s="188"/>
      <c r="I335" s="188"/>
      <c r="J335" s="188"/>
      <c r="K335" s="185"/>
      <c r="L335" s="185"/>
      <c r="M335" s="185"/>
      <c r="N335" s="185"/>
      <c r="O335" s="193"/>
      <c r="P335" s="193"/>
      <c r="Q335" s="191"/>
      <c r="R335" s="191"/>
      <c r="S335" s="192"/>
    </row>
    <row r="336" spans="1:19" ht="20.5" thickTop="1" thickBot="1" x14ac:dyDescent="0.4">
      <c r="A336" s="184" t="s">
        <v>499</v>
      </c>
      <c r="B336" s="185" t="s">
        <v>499</v>
      </c>
      <c r="C336" s="185" t="s">
        <v>499</v>
      </c>
      <c r="D336" s="186" t="s">
        <v>499</v>
      </c>
      <c r="E336" s="185" t="s">
        <v>499</v>
      </c>
      <c r="F336" s="185" t="s">
        <v>499</v>
      </c>
      <c r="G336" s="187">
        <f t="shared" si="5"/>
        <v>0</v>
      </c>
      <c r="H336" s="188"/>
      <c r="I336" s="188"/>
      <c r="J336" s="188"/>
      <c r="K336" s="185"/>
      <c r="L336" s="185"/>
      <c r="M336" s="185"/>
      <c r="N336" s="185"/>
      <c r="O336" s="193"/>
      <c r="P336" s="193"/>
      <c r="Q336" s="191"/>
      <c r="R336" s="191"/>
      <c r="S336" s="192"/>
    </row>
    <row r="337" spans="1:19" ht="20.5" thickTop="1" thickBot="1" x14ac:dyDescent="0.4">
      <c r="A337" s="184" t="s">
        <v>499</v>
      </c>
      <c r="B337" s="185" t="s">
        <v>499</v>
      </c>
      <c r="C337" s="185" t="s">
        <v>499</v>
      </c>
      <c r="D337" s="186" t="s">
        <v>499</v>
      </c>
      <c r="E337" s="185" t="s">
        <v>499</v>
      </c>
      <c r="F337" s="185" t="s">
        <v>499</v>
      </c>
      <c r="G337" s="187">
        <f t="shared" si="5"/>
        <v>0</v>
      </c>
      <c r="H337" s="188"/>
      <c r="I337" s="188"/>
      <c r="J337" s="188"/>
      <c r="K337" s="185"/>
      <c r="L337" s="185"/>
      <c r="M337" s="185"/>
      <c r="N337" s="185"/>
      <c r="O337" s="193"/>
      <c r="P337" s="193"/>
      <c r="Q337" s="191"/>
      <c r="R337" s="191"/>
      <c r="S337" s="192"/>
    </row>
    <row r="338" spans="1:19" ht="20.5" thickTop="1" thickBot="1" x14ac:dyDescent="0.4">
      <c r="A338" s="184" t="s">
        <v>499</v>
      </c>
      <c r="B338" s="185" t="s">
        <v>499</v>
      </c>
      <c r="C338" s="185" t="s">
        <v>499</v>
      </c>
      <c r="D338" s="186" t="s">
        <v>499</v>
      </c>
      <c r="E338" s="185" t="s">
        <v>499</v>
      </c>
      <c r="F338" s="185" t="s">
        <v>499</v>
      </c>
      <c r="G338" s="187">
        <f t="shared" si="5"/>
        <v>0</v>
      </c>
      <c r="H338" s="188"/>
      <c r="I338" s="188"/>
      <c r="J338" s="188"/>
      <c r="K338" s="185"/>
      <c r="L338" s="185"/>
      <c r="M338" s="185"/>
      <c r="N338" s="185"/>
      <c r="O338" s="193"/>
      <c r="P338" s="193"/>
      <c r="Q338" s="191"/>
      <c r="R338" s="191"/>
      <c r="S338" s="192"/>
    </row>
    <row r="339" spans="1:19" ht="20.5" thickTop="1" thickBot="1" x14ac:dyDescent="0.4">
      <c r="A339" s="184" t="s">
        <v>499</v>
      </c>
      <c r="B339" s="185" t="s">
        <v>499</v>
      </c>
      <c r="C339" s="185" t="s">
        <v>499</v>
      </c>
      <c r="D339" s="186" t="s">
        <v>499</v>
      </c>
      <c r="E339" s="185" t="s">
        <v>499</v>
      </c>
      <c r="F339" s="185" t="s">
        <v>499</v>
      </c>
      <c r="G339" s="187">
        <f t="shared" si="5"/>
        <v>0</v>
      </c>
      <c r="H339" s="188"/>
      <c r="I339" s="188"/>
      <c r="J339" s="188"/>
      <c r="K339" s="185"/>
      <c r="L339" s="185"/>
      <c r="M339" s="185"/>
      <c r="N339" s="185"/>
      <c r="O339" s="193"/>
      <c r="P339" s="193"/>
      <c r="Q339" s="191"/>
      <c r="R339" s="191"/>
      <c r="S339" s="192"/>
    </row>
    <row r="340" spans="1:19" ht="20.5" thickTop="1" thickBot="1" x14ac:dyDescent="0.4">
      <c r="A340" s="184" t="s">
        <v>499</v>
      </c>
      <c r="B340" s="185" t="s">
        <v>499</v>
      </c>
      <c r="C340" s="185" t="s">
        <v>499</v>
      </c>
      <c r="D340" s="186" t="s">
        <v>499</v>
      </c>
      <c r="E340" s="185" t="s">
        <v>499</v>
      </c>
      <c r="F340" s="185" t="s">
        <v>499</v>
      </c>
      <c r="G340" s="187">
        <f t="shared" si="5"/>
        <v>0</v>
      </c>
      <c r="H340" s="188"/>
      <c r="I340" s="188"/>
      <c r="J340" s="188"/>
      <c r="K340" s="185"/>
      <c r="L340" s="185"/>
      <c r="M340" s="185"/>
      <c r="N340" s="185"/>
      <c r="O340" s="193"/>
      <c r="P340" s="193"/>
      <c r="Q340" s="191"/>
      <c r="R340" s="191"/>
      <c r="S340" s="192"/>
    </row>
    <row r="341" spans="1:19" ht="20.5" thickTop="1" thickBot="1" x14ac:dyDescent="0.4">
      <c r="A341" s="184" t="s">
        <v>499</v>
      </c>
      <c r="B341" s="185" t="s">
        <v>499</v>
      </c>
      <c r="C341" s="185" t="s">
        <v>499</v>
      </c>
      <c r="D341" s="186" t="s">
        <v>499</v>
      </c>
      <c r="E341" s="185" t="s">
        <v>499</v>
      </c>
      <c r="F341" s="185" t="s">
        <v>499</v>
      </c>
      <c r="G341" s="187">
        <f t="shared" si="5"/>
        <v>0</v>
      </c>
      <c r="H341" s="188"/>
      <c r="I341" s="188"/>
      <c r="J341" s="188"/>
      <c r="K341" s="185"/>
      <c r="L341" s="185"/>
      <c r="M341" s="185"/>
      <c r="N341" s="185"/>
      <c r="O341" s="193"/>
      <c r="P341" s="193"/>
      <c r="Q341" s="191"/>
      <c r="R341" s="191"/>
      <c r="S341" s="192"/>
    </row>
    <row r="342" spans="1:19" ht="20.5" thickTop="1" thickBot="1" x14ac:dyDescent="0.4">
      <c r="A342" s="184" t="s">
        <v>499</v>
      </c>
      <c r="B342" s="185" t="s">
        <v>499</v>
      </c>
      <c r="C342" s="185" t="s">
        <v>499</v>
      </c>
      <c r="D342" s="186" t="s">
        <v>499</v>
      </c>
      <c r="E342" s="185" t="s">
        <v>499</v>
      </c>
      <c r="F342" s="185" t="s">
        <v>499</v>
      </c>
      <c r="G342" s="187">
        <f t="shared" si="5"/>
        <v>0</v>
      </c>
      <c r="H342" s="188"/>
      <c r="I342" s="188"/>
      <c r="J342" s="188"/>
      <c r="K342" s="185"/>
      <c r="L342" s="185"/>
      <c r="M342" s="185"/>
      <c r="N342" s="185"/>
      <c r="O342" s="193"/>
      <c r="P342" s="193"/>
      <c r="Q342" s="191"/>
      <c r="R342" s="191"/>
      <c r="S342" s="192"/>
    </row>
    <row r="343" spans="1:19" ht="20.5" thickTop="1" thickBot="1" x14ac:dyDescent="0.4">
      <c r="A343" s="184" t="s">
        <v>499</v>
      </c>
      <c r="B343" s="185" t="s">
        <v>499</v>
      </c>
      <c r="C343" s="185" t="s">
        <v>499</v>
      </c>
      <c r="D343" s="186" t="s">
        <v>499</v>
      </c>
      <c r="E343" s="185" t="s">
        <v>499</v>
      </c>
      <c r="F343" s="185" t="s">
        <v>499</v>
      </c>
      <c r="G343" s="187">
        <f t="shared" si="5"/>
        <v>0</v>
      </c>
      <c r="H343" s="188"/>
      <c r="I343" s="188"/>
      <c r="J343" s="188"/>
      <c r="K343" s="185"/>
      <c r="L343" s="185"/>
      <c r="M343" s="185"/>
      <c r="N343" s="185"/>
      <c r="O343" s="193"/>
      <c r="P343" s="193"/>
      <c r="Q343" s="191"/>
      <c r="R343" s="191"/>
      <c r="S343" s="192"/>
    </row>
    <row r="344" spans="1:19" ht="20.5" thickTop="1" thickBot="1" x14ac:dyDescent="0.4">
      <c r="A344" s="184" t="s">
        <v>499</v>
      </c>
      <c r="B344" s="185" t="s">
        <v>499</v>
      </c>
      <c r="C344" s="185" t="s">
        <v>499</v>
      </c>
      <c r="D344" s="186" t="s">
        <v>499</v>
      </c>
      <c r="E344" s="185" t="s">
        <v>499</v>
      </c>
      <c r="F344" s="185" t="s">
        <v>499</v>
      </c>
      <c r="G344" s="187">
        <f t="shared" si="5"/>
        <v>0</v>
      </c>
      <c r="H344" s="188"/>
      <c r="I344" s="188"/>
      <c r="J344" s="188"/>
      <c r="K344" s="185"/>
      <c r="L344" s="185"/>
      <c r="M344" s="185"/>
      <c r="N344" s="185"/>
      <c r="O344" s="193"/>
      <c r="P344" s="193"/>
      <c r="Q344" s="191"/>
      <c r="R344" s="191"/>
      <c r="S344" s="192"/>
    </row>
    <row r="345" spans="1:19" ht="20.5" thickTop="1" thickBot="1" x14ac:dyDescent="0.4">
      <c r="A345" s="184" t="s">
        <v>499</v>
      </c>
      <c r="B345" s="185" t="s">
        <v>499</v>
      </c>
      <c r="C345" s="185" t="s">
        <v>499</v>
      </c>
      <c r="D345" s="186" t="s">
        <v>499</v>
      </c>
      <c r="E345" s="185" t="s">
        <v>499</v>
      </c>
      <c r="F345" s="185" t="s">
        <v>499</v>
      </c>
      <c r="G345" s="187">
        <f t="shared" si="5"/>
        <v>0</v>
      </c>
      <c r="H345" s="188"/>
      <c r="I345" s="188"/>
      <c r="J345" s="188"/>
      <c r="K345" s="185"/>
      <c r="L345" s="185"/>
      <c r="M345" s="185"/>
      <c r="N345" s="185"/>
      <c r="O345" s="193"/>
      <c r="P345" s="193"/>
      <c r="Q345" s="191"/>
      <c r="R345" s="191"/>
      <c r="S345" s="192"/>
    </row>
    <row r="346" spans="1:19" ht="20.5" thickTop="1" thickBot="1" x14ac:dyDescent="0.4">
      <c r="A346" s="184" t="s">
        <v>499</v>
      </c>
      <c r="B346" s="185" t="s">
        <v>499</v>
      </c>
      <c r="C346" s="185" t="s">
        <v>499</v>
      </c>
      <c r="D346" s="186" t="s">
        <v>499</v>
      </c>
      <c r="E346" s="185" t="s">
        <v>499</v>
      </c>
      <c r="F346" s="185" t="s">
        <v>499</v>
      </c>
      <c r="G346" s="187">
        <f t="shared" si="5"/>
        <v>0</v>
      </c>
      <c r="H346" s="188"/>
      <c r="I346" s="188"/>
      <c r="J346" s="188"/>
      <c r="K346" s="185"/>
      <c r="L346" s="185"/>
      <c r="M346" s="185"/>
      <c r="N346" s="185"/>
      <c r="O346" s="193"/>
      <c r="P346" s="193"/>
      <c r="Q346" s="191"/>
      <c r="R346" s="191"/>
      <c r="S346" s="192"/>
    </row>
    <row r="347" spans="1:19" ht="20.5" thickTop="1" thickBot="1" x14ac:dyDescent="0.4">
      <c r="A347" s="184" t="s">
        <v>499</v>
      </c>
      <c r="B347" s="185" t="s">
        <v>499</v>
      </c>
      <c r="C347" s="185" t="s">
        <v>499</v>
      </c>
      <c r="D347" s="186" t="s">
        <v>499</v>
      </c>
      <c r="E347" s="185" t="s">
        <v>499</v>
      </c>
      <c r="F347" s="185" t="s">
        <v>499</v>
      </c>
      <c r="G347" s="187">
        <f t="shared" si="5"/>
        <v>0</v>
      </c>
      <c r="H347" s="188"/>
      <c r="I347" s="188"/>
      <c r="J347" s="188"/>
      <c r="K347" s="185"/>
      <c r="L347" s="185"/>
      <c r="M347" s="185"/>
      <c r="N347" s="185"/>
      <c r="O347" s="193"/>
      <c r="P347" s="193"/>
      <c r="Q347" s="191"/>
      <c r="R347" s="191"/>
      <c r="S347" s="192"/>
    </row>
    <row r="348" spans="1:19" ht="20.5" thickTop="1" thickBot="1" x14ac:dyDescent="0.4">
      <c r="A348" s="184" t="s">
        <v>499</v>
      </c>
      <c r="B348" s="185" t="s">
        <v>499</v>
      </c>
      <c r="C348" s="185" t="s">
        <v>499</v>
      </c>
      <c r="D348" s="186" t="s">
        <v>499</v>
      </c>
      <c r="E348" s="185" t="s">
        <v>499</v>
      </c>
      <c r="F348" s="185" t="s">
        <v>499</v>
      </c>
      <c r="G348" s="187">
        <f t="shared" si="5"/>
        <v>0</v>
      </c>
      <c r="H348" s="188"/>
      <c r="I348" s="188"/>
      <c r="J348" s="188"/>
      <c r="K348" s="185"/>
      <c r="L348" s="185"/>
      <c r="M348" s="185"/>
      <c r="N348" s="185"/>
      <c r="O348" s="193"/>
      <c r="P348" s="193"/>
      <c r="Q348" s="191"/>
      <c r="R348" s="191"/>
      <c r="S348" s="192"/>
    </row>
    <row r="349" spans="1:19" ht="20.5" thickTop="1" thickBot="1" x14ac:dyDescent="0.4">
      <c r="A349" s="184" t="s">
        <v>499</v>
      </c>
      <c r="B349" s="185" t="s">
        <v>499</v>
      </c>
      <c r="C349" s="185" t="s">
        <v>499</v>
      </c>
      <c r="D349" s="186" t="s">
        <v>499</v>
      </c>
      <c r="E349" s="185" t="s">
        <v>499</v>
      </c>
      <c r="F349" s="185" t="s">
        <v>499</v>
      </c>
      <c r="G349" s="187">
        <f t="shared" si="5"/>
        <v>0</v>
      </c>
      <c r="H349" s="188"/>
      <c r="I349" s="188"/>
      <c r="J349" s="188"/>
      <c r="K349" s="185"/>
      <c r="L349" s="185"/>
      <c r="M349" s="185"/>
      <c r="N349" s="185"/>
      <c r="O349" s="193"/>
      <c r="P349" s="193"/>
      <c r="Q349" s="191"/>
      <c r="R349" s="191"/>
      <c r="S349" s="192"/>
    </row>
    <row r="350" spans="1:19" ht="20.5" thickTop="1" thickBot="1" x14ac:dyDescent="0.4">
      <c r="A350" s="184" t="s">
        <v>499</v>
      </c>
      <c r="B350" s="185" t="s">
        <v>499</v>
      </c>
      <c r="C350" s="185" t="s">
        <v>499</v>
      </c>
      <c r="D350" s="186" t="s">
        <v>499</v>
      </c>
      <c r="E350" s="185" t="s">
        <v>499</v>
      </c>
      <c r="F350" s="185" t="s">
        <v>499</v>
      </c>
      <c r="G350" s="187">
        <f t="shared" si="5"/>
        <v>0</v>
      </c>
      <c r="H350" s="188"/>
      <c r="I350" s="188"/>
      <c r="J350" s="188"/>
      <c r="K350" s="185"/>
      <c r="L350" s="185"/>
      <c r="M350" s="185"/>
      <c r="N350" s="185"/>
      <c r="O350" s="193"/>
      <c r="P350" s="193"/>
      <c r="Q350" s="191"/>
      <c r="R350" s="191"/>
      <c r="S350" s="192"/>
    </row>
    <row r="351" spans="1:19" ht="20.5" thickTop="1" thickBot="1" x14ac:dyDescent="0.4">
      <c r="A351" s="184" t="s">
        <v>499</v>
      </c>
      <c r="B351" s="185" t="s">
        <v>499</v>
      </c>
      <c r="C351" s="185" t="s">
        <v>499</v>
      </c>
      <c r="D351" s="186" t="s">
        <v>499</v>
      </c>
      <c r="E351" s="185" t="s">
        <v>499</v>
      </c>
      <c r="F351" s="185" t="s">
        <v>499</v>
      </c>
      <c r="G351" s="187">
        <f t="shared" si="5"/>
        <v>0</v>
      </c>
      <c r="H351" s="188"/>
      <c r="I351" s="188"/>
      <c r="J351" s="188"/>
      <c r="K351" s="185"/>
      <c r="L351" s="185"/>
      <c r="M351" s="185"/>
      <c r="N351" s="185"/>
      <c r="O351" s="193"/>
      <c r="P351" s="193"/>
      <c r="Q351" s="191"/>
      <c r="R351" s="191"/>
      <c r="S351" s="192"/>
    </row>
    <row r="352" spans="1:19" ht="20.5" thickTop="1" thickBot="1" x14ac:dyDescent="0.4">
      <c r="A352" s="184" t="s">
        <v>499</v>
      </c>
      <c r="B352" s="185" t="s">
        <v>499</v>
      </c>
      <c r="C352" s="185" t="s">
        <v>499</v>
      </c>
      <c r="D352" s="186" t="s">
        <v>499</v>
      </c>
      <c r="E352" s="185" t="s">
        <v>499</v>
      </c>
      <c r="F352" s="185" t="s">
        <v>499</v>
      </c>
      <c r="G352" s="187">
        <f t="shared" si="5"/>
        <v>0</v>
      </c>
      <c r="H352" s="188"/>
      <c r="I352" s="188"/>
      <c r="J352" s="188"/>
      <c r="K352" s="185"/>
      <c r="L352" s="185"/>
      <c r="M352" s="185"/>
      <c r="N352" s="185"/>
      <c r="O352" s="193"/>
      <c r="P352" s="193"/>
      <c r="Q352" s="191"/>
      <c r="R352" s="191"/>
      <c r="S352" s="192"/>
    </row>
    <row r="353" spans="1:19" ht="20.5" thickTop="1" thickBot="1" x14ac:dyDescent="0.4">
      <c r="A353" s="184" t="s">
        <v>499</v>
      </c>
      <c r="B353" s="185" t="s">
        <v>499</v>
      </c>
      <c r="C353" s="185" t="s">
        <v>499</v>
      </c>
      <c r="D353" s="186" t="s">
        <v>499</v>
      </c>
      <c r="E353" s="185" t="s">
        <v>499</v>
      </c>
      <c r="F353" s="185" t="s">
        <v>499</v>
      </c>
      <c r="G353" s="187">
        <f t="shared" si="5"/>
        <v>0</v>
      </c>
      <c r="H353" s="188"/>
      <c r="I353" s="188"/>
      <c r="J353" s="188"/>
      <c r="K353" s="185"/>
      <c r="L353" s="185"/>
      <c r="M353" s="185"/>
      <c r="N353" s="185"/>
      <c r="O353" s="193"/>
      <c r="P353" s="193"/>
      <c r="Q353" s="191"/>
      <c r="R353" s="191"/>
      <c r="S353" s="192"/>
    </row>
    <row r="354" spans="1:19" ht="20.5" thickTop="1" thickBot="1" x14ac:dyDescent="0.4">
      <c r="A354" s="184" t="s">
        <v>499</v>
      </c>
      <c r="B354" s="185" t="s">
        <v>499</v>
      </c>
      <c r="C354" s="185" t="s">
        <v>499</v>
      </c>
      <c r="D354" s="186" t="s">
        <v>499</v>
      </c>
      <c r="E354" s="185" t="s">
        <v>499</v>
      </c>
      <c r="F354" s="185" t="s">
        <v>499</v>
      </c>
      <c r="G354" s="187">
        <f t="shared" si="5"/>
        <v>0</v>
      </c>
      <c r="H354" s="188"/>
      <c r="I354" s="188"/>
      <c r="J354" s="188"/>
      <c r="K354" s="185"/>
      <c r="L354" s="185"/>
      <c r="M354" s="185"/>
      <c r="N354" s="185"/>
      <c r="O354" s="193"/>
      <c r="P354" s="193"/>
      <c r="Q354" s="191"/>
      <c r="R354" s="191"/>
      <c r="S354" s="192"/>
    </row>
    <row r="355" spans="1:19" ht="20.5" thickTop="1" thickBot="1" x14ac:dyDescent="0.4">
      <c r="A355" s="184" t="s">
        <v>499</v>
      </c>
      <c r="B355" s="185" t="s">
        <v>499</v>
      </c>
      <c r="C355" s="185" t="s">
        <v>499</v>
      </c>
      <c r="D355" s="186" t="s">
        <v>499</v>
      </c>
      <c r="E355" s="185" t="s">
        <v>499</v>
      </c>
      <c r="F355" s="185" t="s">
        <v>499</v>
      </c>
      <c r="G355" s="187">
        <f t="shared" si="5"/>
        <v>0</v>
      </c>
      <c r="H355" s="188"/>
      <c r="I355" s="188"/>
      <c r="J355" s="188"/>
      <c r="K355" s="185"/>
      <c r="L355" s="185"/>
      <c r="M355" s="185"/>
      <c r="N355" s="185"/>
      <c r="O355" s="193"/>
      <c r="P355" s="193"/>
      <c r="Q355" s="191"/>
      <c r="R355" s="191"/>
      <c r="S355" s="192"/>
    </row>
    <row r="356" spans="1:19" ht="20.5" thickTop="1" thickBot="1" x14ac:dyDescent="0.4">
      <c r="A356" s="184" t="s">
        <v>499</v>
      </c>
      <c r="B356" s="185" t="s">
        <v>499</v>
      </c>
      <c r="C356" s="185" t="s">
        <v>499</v>
      </c>
      <c r="D356" s="186" t="s">
        <v>499</v>
      </c>
      <c r="E356" s="185" t="s">
        <v>499</v>
      </c>
      <c r="F356" s="185" t="s">
        <v>499</v>
      </c>
      <c r="G356" s="187">
        <f t="shared" si="5"/>
        <v>0</v>
      </c>
      <c r="H356" s="188"/>
      <c r="I356" s="188"/>
      <c r="J356" s="188"/>
      <c r="K356" s="185"/>
      <c r="L356" s="185"/>
      <c r="M356" s="185"/>
      <c r="N356" s="185"/>
      <c r="O356" s="193"/>
      <c r="P356" s="193"/>
      <c r="Q356" s="191"/>
      <c r="R356" s="191"/>
      <c r="S356" s="192"/>
    </row>
    <row r="357" spans="1:19" ht="20.5" thickTop="1" thickBot="1" x14ac:dyDescent="0.4">
      <c r="A357" s="184" t="s">
        <v>499</v>
      </c>
      <c r="B357" s="185" t="s">
        <v>499</v>
      </c>
      <c r="C357" s="185" t="s">
        <v>499</v>
      </c>
      <c r="D357" s="186" t="s">
        <v>499</v>
      </c>
      <c r="E357" s="185" t="s">
        <v>499</v>
      </c>
      <c r="F357" s="185" t="s">
        <v>499</v>
      </c>
      <c r="G357" s="187">
        <f t="shared" si="5"/>
        <v>0</v>
      </c>
      <c r="H357" s="188"/>
      <c r="I357" s="188"/>
      <c r="J357" s="188"/>
      <c r="K357" s="185"/>
      <c r="L357" s="185"/>
      <c r="M357" s="185"/>
      <c r="N357" s="185"/>
      <c r="O357" s="193"/>
      <c r="P357" s="193"/>
      <c r="Q357" s="191"/>
      <c r="R357" s="191"/>
      <c r="S357" s="192"/>
    </row>
    <row r="358" spans="1:19" ht="20.5" thickTop="1" thickBot="1" x14ac:dyDescent="0.4">
      <c r="A358" s="184" t="s">
        <v>499</v>
      </c>
      <c r="B358" s="185" t="s">
        <v>499</v>
      </c>
      <c r="C358" s="185" t="s">
        <v>499</v>
      </c>
      <c r="D358" s="186" t="s">
        <v>499</v>
      </c>
      <c r="E358" s="185" t="s">
        <v>499</v>
      </c>
      <c r="F358" s="185" t="s">
        <v>499</v>
      </c>
      <c r="G358" s="187">
        <f t="shared" si="5"/>
        <v>0</v>
      </c>
      <c r="H358" s="188"/>
      <c r="I358" s="188"/>
      <c r="J358" s="188"/>
      <c r="K358" s="185"/>
      <c r="L358" s="185"/>
      <c r="M358" s="185"/>
      <c r="N358" s="185"/>
      <c r="O358" s="193"/>
      <c r="P358" s="193"/>
      <c r="Q358" s="191"/>
      <c r="R358" s="191"/>
      <c r="S358" s="192"/>
    </row>
    <row r="359" spans="1:19" ht="20.5" thickTop="1" thickBot="1" x14ac:dyDescent="0.4">
      <c r="A359" s="184" t="s">
        <v>499</v>
      </c>
      <c r="B359" s="185" t="s">
        <v>499</v>
      </c>
      <c r="C359" s="185" t="s">
        <v>499</v>
      </c>
      <c r="D359" s="186" t="s">
        <v>499</v>
      </c>
      <c r="E359" s="185" t="s">
        <v>499</v>
      </c>
      <c r="F359" s="185" t="s">
        <v>499</v>
      </c>
      <c r="G359" s="187">
        <f t="shared" si="5"/>
        <v>0</v>
      </c>
      <c r="H359" s="188"/>
      <c r="I359" s="188"/>
      <c r="J359" s="188"/>
      <c r="K359" s="185"/>
      <c r="L359" s="185"/>
      <c r="M359" s="185"/>
      <c r="N359" s="185"/>
      <c r="O359" s="193"/>
      <c r="P359" s="193"/>
      <c r="Q359" s="191"/>
      <c r="R359" s="191"/>
      <c r="S359" s="192"/>
    </row>
    <row r="360" spans="1:19" ht="20.5" thickTop="1" thickBot="1" x14ac:dyDescent="0.4">
      <c r="A360" s="184" t="s">
        <v>499</v>
      </c>
      <c r="B360" s="185" t="s">
        <v>499</v>
      </c>
      <c r="C360" s="185" t="s">
        <v>499</v>
      </c>
      <c r="D360" s="186" t="s">
        <v>499</v>
      </c>
      <c r="E360" s="185" t="s">
        <v>499</v>
      </c>
      <c r="F360" s="185" t="s">
        <v>499</v>
      </c>
      <c r="G360" s="187">
        <f t="shared" si="5"/>
        <v>0</v>
      </c>
      <c r="H360" s="188"/>
      <c r="I360" s="188"/>
      <c r="J360" s="188"/>
      <c r="K360" s="185"/>
      <c r="L360" s="185"/>
      <c r="M360" s="185"/>
      <c r="N360" s="185"/>
      <c r="O360" s="193"/>
      <c r="P360" s="193"/>
      <c r="Q360" s="191"/>
      <c r="R360" s="191"/>
      <c r="S360" s="192"/>
    </row>
    <row r="361" spans="1:19" ht="20.5" thickTop="1" thickBot="1" x14ac:dyDescent="0.4">
      <c r="A361" s="184" t="s">
        <v>499</v>
      </c>
      <c r="B361" s="185" t="s">
        <v>499</v>
      </c>
      <c r="C361" s="185" t="s">
        <v>499</v>
      </c>
      <c r="D361" s="186" t="s">
        <v>499</v>
      </c>
      <c r="E361" s="185" t="s">
        <v>499</v>
      </c>
      <c r="F361" s="185" t="s">
        <v>499</v>
      </c>
      <c r="G361" s="187">
        <f t="shared" si="5"/>
        <v>0</v>
      </c>
      <c r="H361" s="188"/>
      <c r="I361" s="188"/>
      <c r="J361" s="188"/>
      <c r="K361" s="185"/>
      <c r="L361" s="185"/>
      <c r="M361" s="185"/>
      <c r="N361" s="185"/>
      <c r="O361" s="193"/>
      <c r="P361" s="193"/>
      <c r="Q361" s="191"/>
      <c r="R361" s="191"/>
      <c r="S361" s="192"/>
    </row>
    <row r="362" spans="1:19" ht="20.5" thickTop="1" thickBot="1" x14ac:dyDescent="0.4">
      <c r="A362" s="184" t="s">
        <v>499</v>
      </c>
      <c r="B362" s="185" t="s">
        <v>499</v>
      </c>
      <c r="C362" s="185" t="s">
        <v>499</v>
      </c>
      <c r="D362" s="186" t="s">
        <v>499</v>
      </c>
      <c r="E362" s="185" t="s">
        <v>499</v>
      </c>
      <c r="F362" s="185" t="s">
        <v>499</v>
      </c>
      <c r="G362" s="187">
        <f t="shared" si="5"/>
        <v>0</v>
      </c>
      <c r="H362" s="188"/>
      <c r="I362" s="188"/>
      <c r="J362" s="188"/>
      <c r="K362" s="185"/>
      <c r="L362" s="185"/>
      <c r="M362" s="185"/>
      <c r="N362" s="185"/>
      <c r="O362" s="193"/>
      <c r="P362" s="193"/>
      <c r="Q362" s="191"/>
      <c r="R362" s="191"/>
      <c r="S362" s="192"/>
    </row>
    <row r="363" spans="1:19" ht="20.5" thickTop="1" thickBot="1" x14ac:dyDescent="0.4">
      <c r="A363" s="184" t="s">
        <v>499</v>
      </c>
      <c r="B363" s="185" t="s">
        <v>499</v>
      </c>
      <c r="C363" s="185" t="s">
        <v>499</v>
      </c>
      <c r="D363" s="186" t="s">
        <v>499</v>
      </c>
      <c r="E363" s="185" t="s">
        <v>499</v>
      </c>
      <c r="F363" s="185" t="s">
        <v>499</v>
      </c>
      <c r="G363" s="187">
        <f t="shared" si="5"/>
        <v>0</v>
      </c>
      <c r="H363" s="188"/>
      <c r="I363" s="188"/>
      <c r="J363" s="188"/>
      <c r="K363" s="185"/>
      <c r="L363" s="185"/>
      <c r="M363" s="185"/>
      <c r="N363" s="185"/>
      <c r="O363" s="193"/>
      <c r="P363" s="193"/>
      <c r="Q363" s="191"/>
      <c r="R363" s="191"/>
      <c r="S363" s="192"/>
    </row>
    <row r="364" spans="1:19" ht="20.5" thickTop="1" thickBot="1" x14ac:dyDescent="0.4">
      <c r="A364" s="184" t="s">
        <v>499</v>
      </c>
      <c r="B364" s="185" t="s">
        <v>499</v>
      </c>
      <c r="C364" s="185" t="s">
        <v>499</v>
      </c>
      <c r="D364" s="186" t="s">
        <v>499</v>
      </c>
      <c r="E364" s="185" t="s">
        <v>499</v>
      </c>
      <c r="F364" s="185" t="s">
        <v>499</v>
      </c>
      <c r="G364" s="187">
        <f t="shared" si="5"/>
        <v>0</v>
      </c>
      <c r="H364" s="188"/>
      <c r="I364" s="188"/>
      <c r="J364" s="188"/>
      <c r="K364" s="185"/>
      <c r="L364" s="185"/>
      <c r="M364" s="185"/>
      <c r="N364" s="185"/>
      <c r="O364" s="193"/>
      <c r="P364" s="193"/>
      <c r="Q364" s="191"/>
      <c r="R364" s="191"/>
      <c r="S364" s="192"/>
    </row>
    <row r="365" spans="1:19" ht="20.5" thickTop="1" thickBot="1" x14ac:dyDescent="0.4">
      <c r="A365" s="184" t="s">
        <v>499</v>
      </c>
      <c r="B365" s="185" t="s">
        <v>499</v>
      </c>
      <c r="C365" s="185" t="s">
        <v>499</v>
      </c>
      <c r="D365" s="186" t="s">
        <v>499</v>
      </c>
      <c r="E365" s="185" t="s">
        <v>499</v>
      </c>
      <c r="F365" s="185" t="s">
        <v>499</v>
      </c>
      <c r="G365" s="187">
        <f t="shared" si="5"/>
        <v>0</v>
      </c>
      <c r="H365" s="188"/>
      <c r="I365" s="188"/>
      <c r="J365" s="188"/>
      <c r="K365" s="185"/>
      <c r="L365" s="185"/>
      <c r="M365" s="185"/>
      <c r="N365" s="185"/>
      <c r="O365" s="193"/>
      <c r="P365" s="193"/>
      <c r="Q365" s="191"/>
      <c r="R365" s="191"/>
      <c r="S365" s="192"/>
    </row>
    <row r="366" spans="1:19" ht="20.5" thickTop="1" thickBot="1" x14ac:dyDescent="0.4">
      <c r="A366" s="184" t="s">
        <v>499</v>
      </c>
      <c r="B366" s="185" t="s">
        <v>499</v>
      </c>
      <c r="C366" s="185" t="s">
        <v>499</v>
      </c>
      <c r="D366" s="186" t="s">
        <v>499</v>
      </c>
      <c r="E366" s="185" t="s">
        <v>499</v>
      </c>
      <c r="F366" s="185" t="s">
        <v>499</v>
      </c>
      <c r="G366" s="187">
        <f t="shared" si="5"/>
        <v>0</v>
      </c>
      <c r="H366" s="188"/>
      <c r="I366" s="188"/>
      <c r="J366" s="188"/>
      <c r="K366" s="185"/>
      <c r="L366" s="185"/>
      <c r="M366" s="185"/>
      <c r="N366" s="185"/>
      <c r="O366" s="193"/>
      <c r="P366" s="193"/>
      <c r="Q366" s="191"/>
      <c r="R366" s="191"/>
      <c r="S366" s="192"/>
    </row>
    <row r="367" spans="1:19" ht="20.5" thickTop="1" thickBot="1" x14ac:dyDescent="0.4">
      <c r="A367" s="184" t="s">
        <v>499</v>
      </c>
      <c r="B367" s="185" t="s">
        <v>499</v>
      </c>
      <c r="C367" s="185" t="s">
        <v>499</v>
      </c>
      <c r="D367" s="186" t="s">
        <v>499</v>
      </c>
      <c r="E367" s="185" t="s">
        <v>499</v>
      </c>
      <c r="F367" s="185" t="s">
        <v>499</v>
      </c>
      <c r="G367" s="187">
        <f t="shared" si="5"/>
        <v>0</v>
      </c>
      <c r="H367" s="188"/>
      <c r="I367" s="188"/>
      <c r="J367" s="188"/>
      <c r="K367" s="185"/>
      <c r="L367" s="185"/>
      <c r="M367" s="185"/>
      <c r="N367" s="185"/>
      <c r="O367" s="193"/>
      <c r="P367" s="193"/>
      <c r="Q367" s="191"/>
      <c r="R367" s="191"/>
      <c r="S367" s="192"/>
    </row>
    <row r="368" spans="1:19" ht="20.5" thickTop="1" thickBot="1" x14ac:dyDescent="0.4">
      <c r="A368" s="184" t="s">
        <v>499</v>
      </c>
      <c r="B368" s="185" t="s">
        <v>499</v>
      </c>
      <c r="C368" s="185" t="s">
        <v>499</v>
      </c>
      <c r="D368" s="186" t="s">
        <v>499</v>
      </c>
      <c r="E368" s="185" t="s">
        <v>499</v>
      </c>
      <c r="F368" s="185" t="s">
        <v>499</v>
      </c>
      <c r="G368" s="187">
        <f t="shared" si="5"/>
        <v>0</v>
      </c>
      <c r="H368" s="188"/>
      <c r="I368" s="188"/>
      <c r="J368" s="188"/>
      <c r="K368" s="185"/>
      <c r="L368" s="185"/>
      <c r="M368" s="185"/>
      <c r="N368" s="185"/>
      <c r="O368" s="193"/>
      <c r="P368" s="193"/>
      <c r="Q368" s="191"/>
      <c r="R368" s="191"/>
      <c r="S368" s="192"/>
    </row>
    <row r="369" spans="1:19" ht="20.5" thickTop="1" thickBot="1" x14ac:dyDescent="0.4">
      <c r="A369" s="184" t="s">
        <v>499</v>
      </c>
      <c r="B369" s="185" t="s">
        <v>499</v>
      </c>
      <c r="C369" s="185" t="s">
        <v>499</v>
      </c>
      <c r="D369" s="186" t="s">
        <v>499</v>
      </c>
      <c r="E369" s="185" t="s">
        <v>499</v>
      </c>
      <c r="F369" s="185" t="s">
        <v>499</v>
      </c>
      <c r="G369" s="187">
        <f t="shared" si="5"/>
        <v>0</v>
      </c>
      <c r="H369" s="188"/>
      <c r="I369" s="188"/>
      <c r="J369" s="188"/>
      <c r="K369" s="185"/>
      <c r="L369" s="185"/>
      <c r="M369" s="185"/>
      <c r="N369" s="185"/>
      <c r="O369" s="193"/>
      <c r="P369" s="193"/>
      <c r="Q369" s="191"/>
      <c r="R369" s="191"/>
      <c r="S369" s="192"/>
    </row>
    <row r="370" spans="1:19" ht="20.5" thickTop="1" thickBot="1" x14ac:dyDescent="0.4">
      <c r="A370" s="184" t="s">
        <v>499</v>
      </c>
      <c r="B370" s="185" t="s">
        <v>499</v>
      </c>
      <c r="C370" s="185" t="s">
        <v>499</v>
      </c>
      <c r="D370" s="186" t="s">
        <v>499</v>
      </c>
      <c r="E370" s="185" t="s">
        <v>499</v>
      </c>
      <c r="F370" s="185" t="s">
        <v>499</v>
      </c>
      <c r="G370" s="187">
        <f t="shared" si="5"/>
        <v>0</v>
      </c>
      <c r="H370" s="188"/>
      <c r="I370" s="188"/>
      <c r="J370" s="188"/>
      <c r="K370" s="185"/>
      <c r="L370" s="185"/>
      <c r="M370" s="185"/>
      <c r="N370" s="185"/>
      <c r="O370" s="193"/>
      <c r="P370" s="193"/>
      <c r="Q370" s="191"/>
      <c r="R370" s="191"/>
      <c r="S370" s="192"/>
    </row>
    <row r="371" spans="1:19" ht="20.5" thickTop="1" thickBot="1" x14ac:dyDescent="0.4">
      <c r="A371" s="184" t="s">
        <v>499</v>
      </c>
      <c r="B371" s="185" t="s">
        <v>499</v>
      </c>
      <c r="C371" s="185" t="s">
        <v>499</v>
      </c>
      <c r="D371" s="186" t="s">
        <v>499</v>
      </c>
      <c r="E371" s="185" t="s">
        <v>499</v>
      </c>
      <c r="F371" s="185" t="s">
        <v>499</v>
      </c>
      <c r="G371" s="187">
        <f t="shared" si="5"/>
        <v>0</v>
      </c>
      <c r="H371" s="188"/>
      <c r="I371" s="188"/>
      <c r="J371" s="188"/>
      <c r="K371" s="185"/>
      <c r="L371" s="185"/>
      <c r="M371" s="185"/>
      <c r="N371" s="185"/>
      <c r="O371" s="193"/>
      <c r="P371" s="193"/>
      <c r="Q371" s="191"/>
      <c r="R371" s="191"/>
      <c r="S371" s="192"/>
    </row>
    <row r="372" spans="1:19" ht="20.5" thickTop="1" thickBot="1" x14ac:dyDescent="0.4">
      <c r="A372" s="184" t="s">
        <v>499</v>
      </c>
      <c r="B372" s="185" t="s">
        <v>499</v>
      </c>
      <c r="C372" s="185" t="s">
        <v>499</v>
      </c>
      <c r="D372" s="186" t="s">
        <v>499</v>
      </c>
      <c r="E372" s="185" t="s">
        <v>499</v>
      </c>
      <c r="F372" s="185" t="s">
        <v>499</v>
      </c>
      <c r="G372" s="187">
        <f t="shared" si="5"/>
        <v>0</v>
      </c>
      <c r="H372" s="188"/>
      <c r="I372" s="188"/>
      <c r="J372" s="188"/>
      <c r="K372" s="185"/>
      <c r="L372" s="185"/>
      <c r="M372" s="185"/>
      <c r="N372" s="185"/>
      <c r="O372" s="193"/>
      <c r="P372" s="193"/>
      <c r="Q372" s="191"/>
      <c r="R372" s="191"/>
      <c r="S372" s="192"/>
    </row>
    <row r="373" spans="1:19" ht="20.5" thickTop="1" thickBot="1" x14ac:dyDescent="0.4">
      <c r="A373" s="184" t="s">
        <v>499</v>
      </c>
      <c r="B373" s="185" t="s">
        <v>499</v>
      </c>
      <c r="C373" s="185" t="s">
        <v>499</v>
      </c>
      <c r="D373" s="186" t="s">
        <v>499</v>
      </c>
      <c r="E373" s="185" t="s">
        <v>499</v>
      </c>
      <c r="F373" s="185" t="s">
        <v>499</v>
      </c>
      <c r="G373" s="187">
        <f t="shared" si="5"/>
        <v>0</v>
      </c>
      <c r="H373" s="188"/>
      <c r="I373" s="188"/>
      <c r="J373" s="188"/>
      <c r="K373" s="185"/>
      <c r="L373" s="185"/>
      <c r="M373" s="185"/>
      <c r="N373" s="185"/>
      <c r="O373" s="193"/>
      <c r="P373" s="193"/>
      <c r="Q373" s="191"/>
      <c r="R373" s="191"/>
      <c r="S373" s="192"/>
    </row>
    <row r="374" spans="1:19" ht="20.5" thickTop="1" thickBot="1" x14ac:dyDescent="0.4">
      <c r="A374" s="184" t="s">
        <v>499</v>
      </c>
      <c r="B374" s="185" t="s">
        <v>499</v>
      </c>
      <c r="C374" s="185" t="s">
        <v>499</v>
      </c>
      <c r="D374" s="186" t="s">
        <v>499</v>
      </c>
      <c r="E374" s="185" t="s">
        <v>499</v>
      </c>
      <c r="F374" s="185" t="s">
        <v>499</v>
      </c>
      <c r="G374" s="187">
        <f t="shared" si="5"/>
        <v>0</v>
      </c>
      <c r="H374" s="188"/>
      <c r="I374" s="188"/>
      <c r="J374" s="188"/>
      <c r="K374" s="185"/>
      <c r="L374" s="185"/>
      <c r="M374" s="185"/>
      <c r="N374" s="185"/>
      <c r="O374" s="193"/>
      <c r="P374" s="193"/>
      <c r="Q374" s="191"/>
      <c r="R374" s="191"/>
      <c r="S374" s="192"/>
    </row>
    <row r="375" spans="1:19" ht="20.5" thickTop="1" thickBot="1" x14ac:dyDescent="0.4">
      <c r="A375" s="184" t="s">
        <v>499</v>
      </c>
      <c r="B375" s="185" t="s">
        <v>499</v>
      </c>
      <c r="C375" s="185" t="s">
        <v>499</v>
      </c>
      <c r="D375" s="186" t="s">
        <v>499</v>
      </c>
      <c r="E375" s="185" t="s">
        <v>499</v>
      </c>
      <c r="F375" s="185" t="s">
        <v>499</v>
      </c>
      <c r="G375" s="187">
        <f t="shared" si="5"/>
        <v>0</v>
      </c>
      <c r="H375" s="188"/>
      <c r="I375" s="188"/>
      <c r="J375" s="188"/>
      <c r="K375" s="185"/>
      <c r="L375" s="185"/>
      <c r="M375" s="185"/>
      <c r="N375" s="185"/>
      <c r="O375" s="193"/>
      <c r="P375" s="193"/>
      <c r="Q375" s="191"/>
      <c r="R375" s="191"/>
      <c r="S375" s="192"/>
    </row>
    <row r="376" spans="1:19" ht="20.5" thickTop="1" thickBot="1" x14ac:dyDescent="0.4">
      <c r="A376" s="184" t="s">
        <v>499</v>
      </c>
      <c r="B376" s="185" t="s">
        <v>499</v>
      </c>
      <c r="C376" s="185" t="s">
        <v>499</v>
      </c>
      <c r="D376" s="186" t="s">
        <v>499</v>
      </c>
      <c r="E376" s="185" t="s">
        <v>499</v>
      </c>
      <c r="F376" s="185" t="s">
        <v>499</v>
      </c>
      <c r="G376" s="187">
        <f t="shared" si="5"/>
        <v>0</v>
      </c>
      <c r="H376" s="188"/>
      <c r="I376" s="188"/>
      <c r="J376" s="188"/>
      <c r="K376" s="185"/>
      <c r="L376" s="185"/>
      <c r="M376" s="185"/>
      <c r="N376" s="185"/>
      <c r="O376" s="193"/>
      <c r="P376" s="193"/>
      <c r="Q376" s="191"/>
      <c r="R376" s="191"/>
      <c r="S376" s="192"/>
    </row>
    <row r="377" spans="1:19" ht="20.5" thickTop="1" thickBot="1" x14ac:dyDescent="0.4">
      <c r="A377" s="184" t="s">
        <v>499</v>
      </c>
      <c r="B377" s="185" t="s">
        <v>499</v>
      </c>
      <c r="C377" s="185" t="s">
        <v>499</v>
      </c>
      <c r="D377" s="186" t="s">
        <v>499</v>
      </c>
      <c r="E377" s="185" t="s">
        <v>499</v>
      </c>
      <c r="F377" s="185" t="s">
        <v>499</v>
      </c>
      <c r="G377" s="187">
        <f t="shared" si="5"/>
        <v>0</v>
      </c>
      <c r="H377" s="188"/>
      <c r="I377" s="188"/>
      <c r="J377" s="188"/>
      <c r="K377" s="185"/>
      <c r="L377" s="185"/>
      <c r="M377" s="185"/>
      <c r="N377" s="185"/>
      <c r="O377" s="193"/>
      <c r="P377" s="193"/>
      <c r="Q377" s="191"/>
      <c r="R377" s="191"/>
      <c r="S377" s="192"/>
    </row>
    <row r="378" spans="1:19" ht="20.5" thickTop="1" thickBot="1" x14ac:dyDescent="0.4">
      <c r="A378" s="184" t="s">
        <v>499</v>
      </c>
      <c r="B378" s="185" t="s">
        <v>499</v>
      </c>
      <c r="C378" s="185" t="s">
        <v>499</v>
      </c>
      <c r="D378" s="186" t="s">
        <v>499</v>
      </c>
      <c r="E378" s="185" t="s">
        <v>499</v>
      </c>
      <c r="F378" s="185" t="s">
        <v>499</v>
      </c>
      <c r="G378" s="187">
        <f t="shared" si="5"/>
        <v>0</v>
      </c>
      <c r="H378" s="188"/>
      <c r="I378" s="188"/>
      <c r="J378" s="188"/>
      <c r="K378" s="185"/>
      <c r="L378" s="185"/>
      <c r="M378" s="185"/>
      <c r="N378" s="185"/>
      <c r="O378" s="193"/>
      <c r="P378" s="193"/>
      <c r="Q378" s="191"/>
      <c r="R378" s="191"/>
      <c r="S378" s="192"/>
    </row>
    <row r="379" spans="1:19" ht="20.5" thickTop="1" thickBot="1" x14ac:dyDescent="0.4">
      <c r="A379" s="184" t="s">
        <v>499</v>
      </c>
      <c r="B379" s="185" t="s">
        <v>499</v>
      </c>
      <c r="C379" s="185" t="s">
        <v>499</v>
      </c>
      <c r="D379" s="186" t="s">
        <v>499</v>
      </c>
      <c r="E379" s="185" t="s">
        <v>499</v>
      </c>
      <c r="F379" s="185" t="s">
        <v>499</v>
      </c>
      <c r="G379" s="187">
        <f t="shared" si="5"/>
        <v>0</v>
      </c>
      <c r="H379" s="188"/>
      <c r="I379" s="188"/>
      <c r="J379" s="188"/>
      <c r="K379" s="185"/>
      <c r="L379" s="185"/>
      <c r="M379" s="185"/>
      <c r="N379" s="185"/>
      <c r="O379" s="193"/>
      <c r="P379" s="193"/>
      <c r="Q379" s="191"/>
      <c r="R379" s="191"/>
      <c r="S379" s="192"/>
    </row>
    <row r="380" spans="1:19" ht="20.5" thickTop="1" thickBot="1" x14ac:dyDescent="0.4">
      <c r="A380" s="184" t="s">
        <v>499</v>
      </c>
      <c r="B380" s="185" t="s">
        <v>499</v>
      </c>
      <c r="C380" s="185" t="s">
        <v>499</v>
      </c>
      <c r="D380" s="186" t="s">
        <v>499</v>
      </c>
      <c r="E380" s="185" t="s">
        <v>499</v>
      </c>
      <c r="F380" s="185" t="s">
        <v>499</v>
      </c>
      <c r="G380" s="187">
        <f t="shared" si="5"/>
        <v>0</v>
      </c>
      <c r="H380" s="188"/>
      <c r="I380" s="188"/>
      <c r="J380" s="188"/>
      <c r="K380" s="185"/>
      <c r="L380" s="185"/>
      <c r="M380" s="185"/>
      <c r="N380" s="185"/>
      <c r="O380" s="193"/>
      <c r="P380" s="193"/>
      <c r="Q380" s="191"/>
      <c r="R380" s="191"/>
      <c r="S380" s="192"/>
    </row>
    <row r="381" spans="1:19" ht="20.5" thickTop="1" thickBot="1" x14ac:dyDescent="0.4">
      <c r="A381" s="184" t="s">
        <v>499</v>
      </c>
      <c r="B381" s="185" t="s">
        <v>499</v>
      </c>
      <c r="C381" s="185" t="s">
        <v>499</v>
      </c>
      <c r="D381" s="186" t="s">
        <v>499</v>
      </c>
      <c r="E381" s="185" t="s">
        <v>499</v>
      </c>
      <c r="F381" s="185" t="s">
        <v>499</v>
      </c>
      <c r="G381" s="187">
        <f t="shared" si="5"/>
        <v>0</v>
      </c>
      <c r="H381" s="188"/>
      <c r="I381" s="188"/>
      <c r="J381" s="188"/>
      <c r="K381" s="185"/>
      <c r="L381" s="185"/>
      <c r="M381" s="185"/>
      <c r="N381" s="185"/>
      <c r="O381" s="193"/>
      <c r="P381" s="193"/>
      <c r="Q381" s="191"/>
      <c r="R381" s="191"/>
      <c r="S381" s="192"/>
    </row>
    <row r="382" spans="1:19" ht="20.5" thickTop="1" thickBot="1" x14ac:dyDescent="0.4">
      <c r="A382" s="184" t="s">
        <v>499</v>
      </c>
      <c r="B382" s="185" t="s">
        <v>499</v>
      </c>
      <c r="C382" s="185" t="s">
        <v>499</v>
      </c>
      <c r="D382" s="186" t="s">
        <v>499</v>
      </c>
      <c r="E382" s="185" t="s">
        <v>499</v>
      </c>
      <c r="F382" s="185" t="s">
        <v>499</v>
      </c>
      <c r="G382" s="187">
        <f t="shared" si="5"/>
        <v>0</v>
      </c>
      <c r="H382" s="188"/>
      <c r="I382" s="188"/>
      <c r="J382" s="188"/>
      <c r="K382" s="185"/>
      <c r="L382" s="185"/>
      <c r="M382" s="185"/>
      <c r="N382" s="185"/>
      <c r="O382" s="193"/>
      <c r="P382" s="193"/>
      <c r="Q382" s="191"/>
      <c r="R382" s="191"/>
      <c r="S382" s="192"/>
    </row>
    <row r="383" spans="1:19" ht="20.5" thickTop="1" thickBot="1" x14ac:dyDescent="0.4">
      <c r="A383" s="184" t="s">
        <v>499</v>
      </c>
      <c r="B383" s="185" t="s">
        <v>499</v>
      </c>
      <c r="C383" s="185" t="s">
        <v>499</v>
      </c>
      <c r="D383" s="186" t="s">
        <v>499</v>
      </c>
      <c r="E383" s="185" t="s">
        <v>499</v>
      </c>
      <c r="F383" s="185" t="s">
        <v>499</v>
      </c>
      <c r="G383" s="187">
        <f t="shared" si="5"/>
        <v>0</v>
      </c>
      <c r="H383" s="188"/>
      <c r="I383" s="188"/>
      <c r="J383" s="188"/>
      <c r="K383" s="185"/>
      <c r="L383" s="185"/>
      <c r="M383" s="185"/>
      <c r="N383" s="185"/>
      <c r="O383" s="193"/>
      <c r="P383" s="193"/>
      <c r="Q383" s="191"/>
      <c r="R383" s="191"/>
      <c r="S383" s="192"/>
    </row>
    <row r="384" spans="1:19" ht="20.5" thickTop="1" thickBot="1" x14ac:dyDescent="0.4">
      <c r="A384" s="184" t="s">
        <v>499</v>
      </c>
      <c r="B384" s="185" t="s">
        <v>499</v>
      </c>
      <c r="C384" s="185" t="s">
        <v>499</v>
      </c>
      <c r="D384" s="186" t="s">
        <v>499</v>
      </c>
      <c r="E384" s="185" t="s">
        <v>499</v>
      </c>
      <c r="F384" s="185" t="s">
        <v>499</v>
      </c>
      <c r="G384" s="187">
        <f t="shared" si="5"/>
        <v>0</v>
      </c>
      <c r="H384" s="188"/>
      <c r="I384" s="188"/>
      <c r="J384" s="188"/>
      <c r="K384" s="185"/>
      <c r="L384" s="185"/>
      <c r="M384" s="185"/>
      <c r="N384" s="185"/>
      <c r="O384" s="193"/>
      <c r="P384" s="193"/>
      <c r="Q384" s="191"/>
      <c r="R384" s="191"/>
      <c r="S384" s="192"/>
    </row>
    <row r="385" spans="1:19" ht="20.5" thickTop="1" thickBot="1" x14ac:dyDescent="0.4">
      <c r="A385" s="184" t="s">
        <v>499</v>
      </c>
      <c r="B385" s="185" t="s">
        <v>499</v>
      </c>
      <c r="C385" s="185" t="s">
        <v>499</v>
      </c>
      <c r="D385" s="186" t="s">
        <v>499</v>
      </c>
      <c r="E385" s="185" t="s">
        <v>499</v>
      </c>
      <c r="F385" s="185" t="s">
        <v>499</v>
      </c>
      <c r="G385" s="187">
        <f t="shared" si="5"/>
        <v>0</v>
      </c>
      <c r="H385" s="188"/>
      <c r="I385" s="188"/>
      <c r="J385" s="188"/>
      <c r="K385" s="185"/>
      <c r="L385" s="185"/>
      <c r="M385" s="185"/>
      <c r="N385" s="185"/>
      <c r="O385" s="193"/>
      <c r="P385" s="193"/>
      <c r="Q385" s="191"/>
      <c r="R385" s="191"/>
      <c r="S385" s="192"/>
    </row>
    <row r="386" spans="1:19" ht="20.5" thickTop="1" thickBot="1" x14ac:dyDescent="0.4">
      <c r="A386" s="184" t="s">
        <v>499</v>
      </c>
      <c r="B386" s="185" t="s">
        <v>499</v>
      </c>
      <c r="C386" s="185" t="s">
        <v>499</v>
      </c>
      <c r="D386" s="186" t="s">
        <v>499</v>
      </c>
      <c r="E386" s="185" t="s">
        <v>499</v>
      </c>
      <c r="F386" s="185" t="s">
        <v>499</v>
      </c>
      <c r="G386" s="187">
        <f t="shared" si="5"/>
        <v>0</v>
      </c>
      <c r="H386" s="188"/>
      <c r="I386" s="188"/>
      <c r="J386" s="188"/>
      <c r="K386" s="185"/>
      <c r="L386" s="185"/>
      <c r="M386" s="185"/>
      <c r="N386" s="185"/>
      <c r="O386" s="193"/>
      <c r="P386" s="193"/>
      <c r="Q386" s="191"/>
      <c r="R386" s="191"/>
      <c r="S386" s="192"/>
    </row>
    <row r="387" spans="1:19" ht="20.5" thickTop="1" thickBot="1" x14ac:dyDescent="0.4">
      <c r="A387" s="184" t="s">
        <v>499</v>
      </c>
      <c r="B387" s="185" t="s">
        <v>499</v>
      </c>
      <c r="C387" s="185" t="s">
        <v>499</v>
      </c>
      <c r="D387" s="186" t="s">
        <v>499</v>
      </c>
      <c r="E387" s="185" t="s">
        <v>499</v>
      </c>
      <c r="F387" s="185" t="s">
        <v>499</v>
      </c>
      <c r="G387" s="187">
        <f t="shared" si="5"/>
        <v>0</v>
      </c>
      <c r="H387" s="188"/>
      <c r="I387" s="188"/>
      <c r="J387" s="188"/>
      <c r="K387" s="185"/>
      <c r="L387" s="185"/>
      <c r="M387" s="185"/>
      <c r="N387" s="185"/>
      <c r="O387" s="193"/>
      <c r="P387" s="193"/>
      <c r="Q387" s="191"/>
      <c r="R387" s="191"/>
      <c r="S387" s="192"/>
    </row>
    <row r="388" spans="1:19" ht="20.5" thickTop="1" thickBot="1" x14ac:dyDescent="0.4">
      <c r="A388" s="184" t="s">
        <v>499</v>
      </c>
      <c r="B388" s="185" t="s">
        <v>499</v>
      </c>
      <c r="C388" s="185" t="s">
        <v>499</v>
      </c>
      <c r="D388" s="186" t="s">
        <v>499</v>
      </c>
      <c r="E388" s="185" t="s">
        <v>499</v>
      </c>
      <c r="F388" s="185" t="s">
        <v>499</v>
      </c>
      <c r="G388" s="187">
        <f t="shared" si="5"/>
        <v>0</v>
      </c>
      <c r="H388" s="188"/>
      <c r="I388" s="188"/>
      <c r="J388" s="188"/>
      <c r="K388" s="185"/>
      <c r="L388" s="185"/>
      <c r="M388" s="185"/>
      <c r="N388" s="185"/>
      <c r="O388" s="193"/>
      <c r="P388" s="193"/>
      <c r="Q388" s="191"/>
      <c r="R388" s="191"/>
      <c r="S388" s="192"/>
    </row>
    <row r="389" spans="1:19" ht="20.5" thickTop="1" thickBot="1" x14ac:dyDescent="0.4">
      <c r="A389" s="184" t="s">
        <v>499</v>
      </c>
      <c r="B389" s="185" t="s">
        <v>499</v>
      </c>
      <c r="C389" s="185" t="s">
        <v>499</v>
      </c>
      <c r="D389" s="186" t="s">
        <v>499</v>
      </c>
      <c r="E389" s="185" t="s">
        <v>499</v>
      </c>
      <c r="F389" s="185" t="s">
        <v>499</v>
      </c>
      <c r="G389" s="187">
        <f t="shared" ref="G389:G452" si="6">SUM(H389:J389)</f>
        <v>0</v>
      </c>
      <c r="H389" s="188"/>
      <c r="I389" s="188"/>
      <c r="J389" s="188"/>
      <c r="K389" s="185"/>
      <c r="L389" s="185"/>
      <c r="M389" s="185"/>
      <c r="N389" s="185"/>
      <c r="O389" s="193"/>
      <c r="P389" s="193"/>
      <c r="Q389" s="191"/>
      <c r="R389" s="191"/>
      <c r="S389" s="192"/>
    </row>
    <row r="390" spans="1:19" ht="20.5" thickTop="1" thickBot="1" x14ac:dyDescent="0.4">
      <c r="A390" s="184" t="s">
        <v>499</v>
      </c>
      <c r="B390" s="185" t="s">
        <v>499</v>
      </c>
      <c r="C390" s="185" t="s">
        <v>499</v>
      </c>
      <c r="D390" s="186" t="s">
        <v>499</v>
      </c>
      <c r="E390" s="185" t="s">
        <v>499</v>
      </c>
      <c r="F390" s="185" t="s">
        <v>499</v>
      </c>
      <c r="G390" s="187">
        <f t="shared" si="6"/>
        <v>0</v>
      </c>
      <c r="H390" s="188"/>
      <c r="I390" s="188"/>
      <c r="J390" s="188"/>
      <c r="K390" s="185"/>
      <c r="L390" s="185"/>
      <c r="M390" s="185"/>
      <c r="N390" s="185"/>
      <c r="O390" s="193"/>
      <c r="P390" s="193"/>
      <c r="Q390" s="191"/>
      <c r="R390" s="191"/>
      <c r="S390" s="192"/>
    </row>
    <row r="391" spans="1:19" ht="20.5" thickTop="1" thickBot="1" x14ac:dyDescent="0.4">
      <c r="A391" s="184" t="s">
        <v>499</v>
      </c>
      <c r="B391" s="185" t="s">
        <v>499</v>
      </c>
      <c r="C391" s="185" t="s">
        <v>499</v>
      </c>
      <c r="D391" s="186" t="s">
        <v>499</v>
      </c>
      <c r="E391" s="185" t="s">
        <v>499</v>
      </c>
      <c r="F391" s="185" t="s">
        <v>499</v>
      </c>
      <c r="G391" s="187">
        <f t="shared" si="6"/>
        <v>0</v>
      </c>
      <c r="H391" s="188"/>
      <c r="I391" s="188"/>
      <c r="J391" s="188"/>
      <c r="K391" s="185"/>
      <c r="L391" s="185"/>
      <c r="M391" s="185"/>
      <c r="N391" s="185"/>
      <c r="O391" s="193"/>
      <c r="P391" s="193"/>
      <c r="Q391" s="191"/>
      <c r="R391" s="191"/>
      <c r="S391" s="192"/>
    </row>
    <row r="392" spans="1:19" ht="20.5" thickTop="1" thickBot="1" x14ac:dyDescent="0.4">
      <c r="A392" s="184" t="s">
        <v>499</v>
      </c>
      <c r="B392" s="185" t="s">
        <v>499</v>
      </c>
      <c r="C392" s="185" t="s">
        <v>499</v>
      </c>
      <c r="D392" s="186" t="s">
        <v>499</v>
      </c>
      <c r="E392" s="185" t="s">
        <v>499</v>
      </c>
      <c r="F392" s="185" t="s">
        <v>499</v>
      </c>
      <c r="G392" s="187">
        <f t="shared" si="6"/>
        <v>0</v>
      </c>
      <c r="H392" s="188"/>
      <c r="I392" s="188"/>
      <c r="J392" s="188"/>
      <c r="K392" s="185"/>
      <c r="L392" s="185"/>
      <c r="M392" s="185"/>
      <c r="N392" s="185"/>
      <c r="O392" s="193"/>
      <c r="P392" s="193"/>
      <c r="Q392" s="191"/>
      <c r="R392" s="191"/>
      <c r="S392" s="192"/>
    </row>
    <row r="393" spans="1:19" ht="20.5" thickTop="1" thickBot="1" x14ac:dyDescent="0.4">
      <c r="A393" s="184" t="s">
        <v>499</v>
      </c>
      <c r="B393" s="185" t="s">
        <v>499</v>
      </c>
      <c r="C393" s="185" t="s">
        <v>499</v>
      </c>
      <c r="D393" s="186" t="s">
        <v>499</v>
      </c>
      <c r="E393" s="185" t="s">
        <v>499</v>
      </c>
      <c r="F393" s="185" t="s">
        <v>499</v>
      </c>
      <c r="G393" s="187">
        <f t="shared" si="6"/>
        <v>0</v>
      </c>
      <c r="H393" s="188"/>
      <c r="I393" s="188"/>
      <c r="J393" s="188"/>
      <c r="K393" s="185"/>
      <c r="L393" s="185"/>
      <c r="M393" s="185"/>
      <c r="N393" s="185"/>
      <c r="O393" s="193"/>
      <c r="P393" s="193"/>
      <c r="Q393" s="191"/>
      <c r="R393" s="191"/>
      <c r="S393" s="192"/>
    </row>
    <row r="394" spans="1:19" ht="20.5" thickTop="1" thickBot="1" x14ac:dyDescent="0.4">
      <c r="A394" s="184" t="s">
        <v>499</v>
      </c>
      <c r="B394" s="185" t="s">
        <v>499</v>
      </c>
      <c r="C394" s="185" t="s">
        <v>499</v>
      </c>
      <c r="D394" s="186" t="s">
        <v>499</v>
      </c>
      <c r="E394" s="185" t="s">
        <v>499</v>
      </c>
      <c r="F394" s="185" t="s">
        <v>499</v>
      </c>
      <c r="G394" s="187">
        <f t="shared" si="6"/>
        <v>0</v>
      </c>
      <c r="H394" s="188"/>
      <c r="I394" s="188"/>
      <c r="J394" s="188"/>
      <c r="K394" s="185"/>
      <c r="L394" s="185"/>
      <c r="M394" s="185"/>
      <c r="N394" s="185"/>
      <c r="O394" s="193"/>
      <c r="P394" s="193"/>
      <c r="Q394" s="191"/>
      <c r="R394" s="191"/>
      <c r="S394" s="192"/>
    </row>
    <row r="395" spans="1:19" ht="20.5" thickTop="1" thickBot="1" x14ac:dyDescent="0.4">
      <c r="A395" s="184" t="s">
        <v>499</v>
      </c>
      <c r="B395" s="185" t="s">
        <v>499</v>
      </c>
      <c r="C395" s="185" t="s">
        <v>499</v>
      </c>
      <c r="D395" s="186" t="s">
        <v>499</v>
      </c>
      <c r="E395" s="185" t="s">
        <v>499</v>
      </c>
      <c r="F395" s="185" t="s">
        <v>499</v>
      </c>
      <c r="G395" s="187">
        <f t="shared" si="6"/>
        <v>0</v>
      </c>
      <c r="H395" s="188"/>
      <c r="I395" s="188"/>
      <c r="J395" s="188"/>
      <c r="K395" s="185"/>
      <c r="L395" s="185"/>
      <c r="M395" s="185"/>
      <c r="N395" s="185"/>
      <c r="O395" s="193"/>
      <c r="P395" s="193"/>
      <c r="Q395" s="191"/>
      <c r="R395" s="191"/>
      <c r="S395" s="192"/>
    </row>
    <row r="396" spans="1:19" ht="20.5" thickTop="1" thickBot="1" x14ac:dyDescent="0.4">
      <c r="A396" s="184" t="s">
        <v>499</v>
      </c>
      <c r="B396" s="185" t="s">
        <v>499</v>
      </c>
      <c r="C396" s="185" t="s">
        <v>499</v>
      </c>
      <c r="D396" s="186" t="s">
        <v>499</v>
      </c>
      <c r="E396" s="185" t="s">
        <v>499</v>
      </c>
      <c r="F396" s="185" t="s">
        <v>499</v>
      </c>
      <c r="G396" s="187">
        <f t="shared" si="6"/>
        <v>0</v>
      </c>
      <c r="H396" s="188"/>
      <c r="I396" s="188"/>
      <c r="J396" s="188"/>
      <c r="K396" s="185"/>
      <c r="L396" s="185"/>
      <c r="M396" s="185"/>
      <c r="N396" s="185"/>
      <c r="O396" s="193"/>
      <c r="P396" s="193"/>
      <c r="Q396" s="191"/>
      <c r="R396" s="191"/>
      <c r="S396" s="192"/>
    </row>
    <row r="397" spans="1:19" ht="20.5" thickTop="1" thickBot="1" x14ac:dyDescent="0.4">
      <c r="A397" s="184" t="s">
        <v>499</v>
      </c>
      <c r="B397" s="185" t="s">
        <v>499</v>
      </c>
      <c r="C397" s="185" t="s">
        <v>499</v>
      </c>
      <c r="D397" s="186" t="s">
        <v>499</v>
      </c>
      <c r="E397" s="185" t="s">
        <v>499</v>
      </c>
      <c r="F397" s="185" t="s">
        <v>499</v>
      </c>
      <c r="G397" s="187">
        <f t="shared" si="6"/>
        <v>0</v>
      </c>
      <c r="H397" s="188"/>
      <c r="I397" s="188"/>
      <c r="J397" s="188"/>
      <c r="K397" s="185"/>
      <c r="L397" s="185"/>
      <c r="M397" s="185"/>
      <c r="N397" s="185"/>
      <c r="O397" s="193"/>
      <c r="P397" s="193"/>
      <c r="Q397" s="191"/>
      <c r="R397" s="191"/>
      <c r="S397" s="192"/>
    </row>
    <row r="398" spans="1:19" ht="20.5" thickTop="1" thickBot="1" x14ac:dyDescent="0.4">
      <c r="A398" s="184" t="s">
        <v>499</v>
      </c>
      <c r="B398" s="185" t="s">
        <v>499</v>
      </c>
      <c r="C398" s="185" t="s">
        <v>499</v>
      </c>
      <c r="D398" s="186" t="s">
        <v>499</v>
      </c>
      <c r="E398" s="185" t="s">
        <v>499</v>
      </c>
      <c r="F398" s="185" t="s">
        <v>499</v>
      </c>
      <c r="G398" s="187">
        <f t="shared" si="6"/>
        <v>0</v>
      </c>
      <c r="H398" s="188"/>
      <c r="I398" s="188"/>
      <c r="J398" s="188"/>
      <c r="K398" s="185"/>
      <c r="L398" s="185"/>
      <c r="M398" s="185"/>
      <c r="N398" s="185"/>
      <c r="O398" s="193"/>
      <c r="P398" s="193"/>
      <c r="Q398" s="191"/>
      <c r="R398" s="191"/>
      <c r="S398" s="192"/>
    </row>
    <row r="399" spans="1:19" ht="20.5" thickTop="1" thickBot="1" x14ac:dyDescent="0.4">
      <c r="A399" s="184" t="s">
        <v>499</v>
      </c>
      <c r="B399" s="185" t="s">
        <v>499</v>
      </c>
      <c r="C399" s="185" t="s">
        <v>499</v>
      </c>
      <c r="D399" s="186" t="s">
        <v>499</v>
      </c>
      <c r="E399" s="185" t="s">
        <v>499</v>
      </c>
      <c r="F399" s="185" t="s">
        <v>499</v>
      </c>
      <c r="G399" s="187">
        <f t="shared" si="6"/>
        <v>0</v>
      </c>
      <c r="H399" s="188"/>
      <c r="I399" s="188"/>
      <c r="J399" s="188"/>
      <c r="K399" s="185"/>
      <c r="L399" s="185"/>
      <c r="M399" s="185"/>
      <c r="N399" s="185"/>
      <c r="O399" s="193"/>
      <c r="P399" s="193"/>
      <c r="Q399" s="191"/>
      <c r="R399" s="191"/>
      <c r="S399" s="192"/>
    </row>
    <row r="400" spans="1:19" ht="20.5" thickTop="1" thickBot="1" x14ac:dyDescent="0.4">
      <c r="A400" s="184" t="s">
        <v>499</v>
      </c>
      <c r="B400" s="185" t="s">
        <v>499</v>
      </c>
      <c r="C400" s="185" t="s">
        <v>499</v>
      </c>
      <c r="D400" s="186" t="s">
        <v>499</v>
      </c>
      <c r="E400" s="185" t="s">
        <v>499</v>
      </c>
      <c r="F400" s="185" t="s">
        <v>499</v>
      </c>
      <c r="G400" s="187">
        <f t="shared" si="6"/>
        <v>0</v>
      </c>
      <c r="H400" s="188"/>
      <c r="I400" s="188"/>
      <c r="J400" s="188"/>
      <c r="K400" s="185"/>
      <c r="L400" s="185"/>
      <c r="M400" s="185"/>
      <c r="N400" s="185"/>
      <c r="O400" s="193"/>
      <c r="P400" s="193"/>
      <c r="Q400" s="191"/>
      <c r="R400" s="191"/>
      <c r="S400" s="192"/>
    </row>
    <row r="401" spans="1:19" ht="20.5" thickTop="1" thickBot="1" x14ac:dyDescent="0.4">
      <c r="A401" s="184" t="s">
        <v>499</v>
      </c>
      <c r="B401" s="185" t="s">
        <v>499</v>
      </c>
      <c r="C401" s="185" t="s">
        <v>499</v>
      </c>
      <c r="D401" s="186" t="s">
        <v>499</v>
      </c>
      <c r="E401" s="185" t="s">
        <v>499</v>
      </c>
      <c r="F401" s="185" t="s">
        <v>499</v>
      </c>
      <c r="G401" s="187">
        <f t="shared" si="6"/>
        <v>0</v>
      </c>
      <c r="H401" s="188"/>
      <c r="I401" s="188"/>
      <c r="J401" s="188"/>
      <c r="K401" s="185"/>
      <c r="L401" s="185"/>
      <c r="M401" s="185"/>
      <c r="N401" s="185"/>
      <c r="O401" s="193"/>
      <c r="P401" s="193"/>
      <c r="Q401" s="191"/>
      <c r="R401" s="191"/>
      <c r="S401" s="192"/>
    </row>
    <row r="402" spans="1:19" ht="20.5" thickTop="1" thickBot="1" x14ac:dyDescent="0.4">
      <c r="A402" s="184" t="s">
        <v>499</v>
      </c>
      <c r="B402" s="185" t="s">
        <v>499</v>
      </c>
      <c r="C402" s="185" t="s">
        <v>499</v>
      </c>
      <c r="D402" s="186" t="s">
        <v>499</v>
      </c>
      <c r="E402" s="185" t="s">
        <v>499</v>
      </c>
      <c r="F402" s="185" t="s">
        <v>499</v>
      </c>
      <c r="G402" s="187">
        <f t="shared" si="6"/>
        <v>0</v>
      </c>
      <c r="H402" s="188"/>
      <c r="I402" s="188"/>
      <c r="J402" s="188"/>
      <c r="K402" s="185"/>
      <c r="L402" s="185"/>
      <c r="M402" s="185"/>
      <c r="N402" s="185"/>
      <c r="O402" s="193"/>
      <c r="P402" s="193"/>
      <c r="Q402" s="191"/>
      <c r="R402" s="191"/>
      <c r="S402" s="192"/>
    </row>
    <row r="403" spans="1:19" ht="20.5" thickTop="1" thickBot="1" x14ac:dyDescent="0.4">
      <c r="A403" s="184" t="s">
        <v>499</v>
      </c>
      <c r="B403" s="185" t="s">
        <v>499</v>
      </c>
      <c r="C403" s="185" t="s">
        <v>499</v>
      </c>
      <c r="D403" s="186" t="s">
        <v>499</v>
      </c>
      <c r="E403" s="185" t="s">
        <v>499</v>
      </c>
      <c r="F403" s="185" t="s">
        <v>499</v>
      </c>
      <c r="G403" s="187">
        <f t="shared" si="6"/>
        <v>0</v>
      </c>
      <c r="H403" s="188"/>
      <c r="I403" s="188"/>
      <c r="J403" s="188"/>
      <c r="K403" s="185"/>
      <c r="L403" s="185"/>
      <c r="M403" s="185"/>
      <c r="N403" s="185"/>
      <c r="O403" s="193"/>
      <c r="P403" s="193"/>
      <c r="Q403" s="191"/>
      <c r="R403" s="191"/>
      <c r="S403" s="192"/>
    </row>
    <row r="404" spans="1:19" ht="20.5" thickTop="1" thickBot="1" x14ac:dyDescent="0.4">
      <c r="A404" s="184" t="s">
        <v>499</v>
      </c>
      <c r="B404" s="185" t="s">
        <v>499</v>
      </c>
      <c r="C404" s="185" t="s">
        <v>499</v>
      </c>
      <c r="D404" s="186" t="s">
        <v>499</v>
      </c>
      <c r="E404" s="185" t="s">
        <v>499</v>
      </c>
      <c r="F404" s="185" t="s">
        <v>499</v>
      </c>
      <c r="G404" s="187">
        <f t="shared" si="6"/>
        <v>0</v>
      </c>
      <c r="H404" s="188"/>
      <c r="I404" s="188"/>
      <c r="J404" s="188"/>
      <c r="K404" s="185"/>
      <c r="L404" s="185"/>
      <c r="M404" s="185"/>
      <c r="N404" s="185"/>
      <c r="O404" s="193"/>
      <c r="P404" s="193"/>
      <c r="Q404" s="191"/>
      <c r="R404" s="191"/>
      <c r="S404" s="192"/>
    </row>
    <row r="405" spans="1:19" ht="20.5" thickTop="1" thickBot="1" x14ac:dyDescent="0.4">
      <c r="A405" s="184" t="s">
        <v>499</v>
      </c>
      <c r="B405" s="185" t="s">
        <v>499</v>
      </c>
      <c r="C405" s="185" t="s">
        <v>499</v>
      </c>
      <c r="D405" s="186" t="s">
        <v>499</v>
      </c>
      <c r="E405" s="185" t="s">
        <v>499</v>
      </c>
      <c r="F405" s="185" t="s">
        <v>499</v>
      </c>
      <c r="G405" s="187">
        <f t="shared" si="6"/>
        <v>0</v>
      </c>
      <c r="H405" s="188"/>
      <c r="I405" s="188"/>
      <c r="J405" s="188"/>
      <c r="K405" s="185"/>
      <c r="L405" s="185"/>
      <c r="M405" s="185"/>
      <c r="N405" s="185"/>
      <c r="O405" s="193"/>
      <c r="P405" s="193"/>
      <c r="Q405" s="191"/>
      <c r="R405" s="191"/>
      <c r="S405" s="192"/>
    </row>
    <row r="406" spans="1:19" ht="20.5" thickTop="1" thickBot="1" x14ac:dyDescent="0.4">
      <c r="A406" s="184" t="s">
        <v>499</v>
      </c>
      <c r="B406" s="185" t="s">
        <v>499</v>
      </c>
      <c r="C406" s="185" t="s">
        <v>499</v>
      </c>
      <c r="D406" s="186" t="s">
        <v>499</v>
      </c>
      <c r="E406" s="185" t="s">
        <v>499</v>
      </c>
      <c r="F406" s="185" t="s">
        <v>499</v>
      </c>
      <c r="G406" s="187">
        <f t="shared" si="6"/>
        <v>0</v>
      </c>
      <c r="H406" s="188"/>
      <c r="I406" s="188"/>
      <c r="J406" s="188"/>
      <c r="K406" s="185"/>
      <c r="L406" s="185"/>
      <c r="M406" s="185"/>
      <c r="N406" s="185"/>
      <c r="O406" s="193"/>
      <c r="P406" s="193"/>
      <c r="Q406" s="191"/>
      <c r="R406" s="191"/>
      <c r="S406" s="192"/>
    </row>
    <row r="407" spans="1:19" ht="20.5" thickTop="1" thickBot="1" x14ac:dyDescent="0.4">
      <c r="A407" s="184" t="s">
        <v>499</v>
      </c>
      <c r="B407" s="185" t="s">
        <v>499</v>
      </c>
      <c r="C407" s="185" t="s">
        <v>499</v>
      </c>
      <c r="D407" s="186" t="s">
        <v>499</v>
      </c>
      <c r="E407" s="185" t="s">
        <v>499</v>
      </c>
      <c r="F407" s="185" t="s">
        <v>499</v>
      </c>
      <c r="G407" s="187">
        <f t="shared" si="6"/>
        <v>0</v>
      </c>
      <c r="H407" s="188"/>
      <c r="I407" s="188"/>
      <c r="J407" s="188"/>
      <c r="K407" s="185"/>
      <c r="L407" s="185"/>
      <c r="M407" s="185"/>
      <c r="N407" s="185"/>
      <c r="O407" s="193"/>
      <c r="P407" s="193"/>
      <c r="Q407" s="191"/>
      <c r="R407" s="191"/>
      <c r="S407" s="192"/>
    </row>
    <row r="408" spans="1:19" ht="20.5" thickTop="1" thickBot="1" x14ac:dyDescent="0.4">
      <c r="A408" s="184" t="s">
        <v>499</v>
      </c>
      <c r="B408" s="185" t="s">
        <v>499</v>
      </c>
      <c r="C408" s="185" t="s">
        <v>499</v>
      </c>
      <c r="D408" s="186" t="s">
        <v>499</v>
      </c>
      <c r="E408" s="185" t="s">
        <v>499</v>
      </c>
      <c r="F408" s="185" t="s">
        <v>499</v>
      </c>
      <c r="G408" s="187">
        <f t="shared" si="6"/>
        <v>0</v>
      </c>
      <c r="H408" s="188"/>
      <c r="I408" s="188"/>
      <c r="J408" s="188"/>
      <c r="K408" s="185"/>
      <c r="L408" s="185"/>
      <c r="M408" s="185"/>
      <c r="N408" s="185"/>
      <c r="O408" s="193"/>
      <c r="P408" s="193"/>
      <c r="Q408" s="191"/>
      <c r="R408" s="191"/>
      <c r="S408" s="192"/>
    </row>
    <row r="409" spans="1:19" ht="20.5" thickTop="1" thickBot="1" x14ac:dyDescent="0.4">
      <c r="A409" s="184" t="s">
        <v>499</v>
      </c>
      <c r="B409" s="185" t="s">
        <v>499</v>
      </c>
      <c r="C409" s="185" t="s">
        <v>499</v>
      </c>
      <c r="D409" s="186" t="s">
        <v>499</v>
      </c>
      <c r="E409" s="185" t="s">
        <v>499</v>
      </c>
      <c r="F409" s="185" t="s">
        <v>499</v>
      </c>
      <c r="G409" s="187">
        <f t="shared" si="6"/>
        <v>0</v>
      </c>
      <c r="H409" s="188"/>
      <c r="I409" s="188"/>
      <c r="J409" s="188"/>
      <c r="K409" s="185"/>
      <c r="L409" s="185"/>
      <c r="M409" s="185"/>
      <c r="N409" s="185"/>
      <c r="O409" s="193"/>
      <c r="P409" s="193"/>
      <c r="Q409" s="191"/>
      <c r="R409" s="191"/>
      <c r="S409" s="192"/>
    </row>
    <row r="410" spans="1:19" ht="20.5" thickTop="1" thickBot="1" x14ac:dyDescent="0.4">
      <c r="A410" s="184" t="s">
        <v>499</v>
      </c>
      <c r="B410" s="185" t="s">
        <v>499</v>
      </c>
      <c r="C410" s="185" t="s">
        <v>499</v>
      </c>
      <c r="D410" s="186" t="s">
        <v>499</v>
      </c>
      <c r="E410" s="185" t="s">
        <v>499</v>
      </c>
      <c r="F410" s="185" t="s">
        <v>499</v>
      </c>
      <c r="G410" s="187">
        <f t="shared" si="6"/>
        <v>0</v>
      </c>
      <c r="H410" s="188"/>
      <c r="I410" s="188"/>
      <c r="J410" s="188"/>
      <c r="K410" s="185"/>
      <c r="L410" s="185"/>
      <c r="M410" s="185"/>
      <c r="N410" s="185"/>
      <c r="O410" s="193"/>
      <c r="P410" s="193"/>
      <c r="Q410" s="191"/>
      <c r="R410" s="191"/>
      <c r="S410" s="192"/>
    </row>
    <row r="411" spans="1:19" ht="20.5" thickTop="1" thickBot="1" x14ac:dyDescent="0.4">
      <c r="A411" s="184" t="s">
        <v>499</v>
      </c>
      <c r="B411" s="185" t="s">
        <v>499</v>
      </c>
      <c r="C411" s="185" t="s">
        <v>499</v>
      </c>
      <c r="D411" s="186" t="s">
        <v>499</v>
      </c>
      <c r="E411" s="185" t="s">
        <v>499</v>
      </c>
      <c r="F411" s="185" t="s">
        <v>499</v>
      </c>
      <c r="G411" s="187">
        <f t="shared" si="6"/>
        <v>0</v>
      </c>
      <c r="H411" s="188"/>
      <c r="I411" s="188"/>
      <c r="J411" s="188"/>
      <c r="K411" s="185"/>
      <c r="L411" s="185"/>
      <c r="M411" s="185"/>
      <c r="N411" s="185"/>
      <c r="O411" s="193"/>
      <c r="P411" s="193"/>
      <c r="Q411" s="191"/>
      <c r="R411" s="191"/>
      <c r="S411" s="192"/>
    </row>
    <row r="412" spans="1:19" ht="20.5" thickTop="1" thickBot="1" x14ac:dyDescent="0.4">
      <c r="A412" s="184" t="s">
        <v>499</v>
      </c>
      <c r="B412" s="185" t="s">
        <v>499</v>
      </c>
      <c r="C412" s="185" t="s">
        <v>499</v>
      </c>
      <c r="D412" s="186" t="s">
        <v>499</v>
      </c>
      <c r="E412" s="185" t="s">
        <v>499</v>
      </c>
      <c r="F412" s="185" t="s">
        <v>499</v>
      </c>
      <c r="G412" s="187">
        <f t="shared" si="6"/>
        <v>0</v>
      </c>
      <c r="H412" s="188"/>
      <c r="I412" s="188"/>
      <c r="J412" s="188"/>
      <c r="K412" s="185"/>
      <c r="L412" s="185"/>
      <c r="M412" s="185"/>
      <c r="N412" s="185"/>
      <c r="O412" s="193"/>
      <c r="P412" s="193"/>
      <c r="Q412" s="191"/>
      <c r="R412" s="191"/>
      <c r="S412" s="192"/>
    </row>
    <row r="413" spans="1:19" ht="20.5" thickTop="1" thickBot="1" x14ac:dyDescent="0.4">
      <c r="A413" s="184" t="s">
        <v>499</v>
      </c>
      <c r="B413" s="185" t="s">
        <v>499</v>
      </c>
      <c r="C413" s="185" t="s">
        <v>499</v>
      </c>
      <c r="D413" s="186" t="s">
        <v>499</v>
      </c>
      <c r="E413" s="185" t="s">
        <v>499</v>
      </c>
      <c r="F413" s="185" t="s">
        <v>499</v>
      </c>
      <c r="G413" s="187">
        <f t="shared" si="6"/>
        <v>0</v>
      </c>
      <c r="H413" s="188"/>
      <c r="I413" s="188"/>
      <c r="J413" s="188"/>
      <c r="K413" s="185"/>
      <c r="L413" s="185"/>
      <c r="M413" s="185"/>
      <c r="N413" s="185"/>
      <c r="O413" s="193"/>
      <c r="P413" s="193"/>
      <c r="Q413" s="191"/>
      <c r="R413" s="191"/>
      <c r="S413" s="192"/>
    </row>
    <row r="414" spans="1:19" ht="20.5" thickTop="1" thickBot="1" x14ac:dyDescent="0.4">
      <c r="A414" s="184" t="s">
        <v>499</v>
      </c>
      <c r="B414" s="185" t="s">
        <v>499</v>
      </c>
      <c r="C414" s="185" t="s">
        <v>499</v>
      </c>
      <c r="D414" s="186" t="s">
        <v>499</v>
      </c>
      <c r="E414" s="185" t="s">
        <v>499</v>
      </c>
      <c r="F414" s="185" t="s">
        <v>499</v>
      </c>
      <c r="G414" s="187">
        <f t="shared" si="6"/>
        <v>0</v>
      </c>
      <c r="H414" s="188"/>
      <c r="I414" s="188"/>
      <c r="J414" s="188"/>
      <c r="K414" s="185"/>
      <c r="L414" s="185"/>
      <c r="M414" s="185"/>
      <c r="N414" s="185"/>
      <c r="O414" s="193"/>
      <c r="P414" s="193"/>
      <c r="Q414" s="191"/>
      <c r="R414" s="191"/>
      <c r="S414" s="192"/>
    </row>
    <row r="415" spans="1:19" ht="20.5" thickTop="1" thickBot="1" x14ac:dyDescent="0.4">
      <c r="A415" s="184" t="s">
        <v>499</v>
      </c>
      <c r="B415" s="185" t="s">
        <v>499</v>
      </c>
      <c r="C415" s="185" t="s">
        <v>499</v>
      </c>
      <c r="D415" s="186" t="s">
        <v>499</v>
      </c>
      <c r="E415" s="185" t="s">
        <v>499</v>
      </c>
      <c r="F415" s="185" t="s">
        <v>499</v>
      </c>
      <c r="G415" s="187">
        <f t="shared" si="6"/>
        <v>0</v>
      </c>
      <c r="H415" s="188"/>
      <c r="I415" s="188"/>
      <c r="J415" s="188"/>
      <c r="K415" s="185"/>
      <c r="L415" s="185"/>
      <c r="M415" s="185"/>
      <c r="N415" s="185"/>
      <c r="O415" s="193"/>
      <c r="P415" s="193"/>
      <c r="Q415" s="191"/>
      <c r="R415" s="191"/>
      <c r="S415" s="192"/>
    </row>
    <row r="416" spans="1:19" ht="20.5" thickTop="1" thickBot="1" x14ac:dyDescent="0.4">
      <c r="A416" s="184" t="s">
        <v>499</v>
      </c>
      <c r="B416" s="185" t="s">
        <v>499</v>
      </c>
      <c r="C416" s="185" t="s">
        <v>499</v>
      </c>
      <c r="D416" s="186" t="s">
        <v>499</v>
      </c>
      <c r="E416" s="185" t="s">
        <v>499</v>
      </c>
      <c r="F416" s="185" t="s">
        <v>499</v>
      </c>
      <c r="G416" s="187">
        <f t="shared" si="6"/>
        <v>0</v>
      </c>
      <c r="H416" s="188"/>
      <c r="I416" s="188"/>
      <c r="J416" s="188"/>
      <c r="K416" s="185"/>
      <c r="L416" s="185"/>
      <c r="M416" s="185"/>
      <c r="N416" s="185"/>
      <c r="O416" s="193"/>
      <c r="P416" s="193"/>
      <c r="Q416" s="191"/>
      <c r="R416" s="191"/>
      <c r="S416" s="192"/>
    </row>
    <row r="417" spans="1:19" ht="20.5" thickTop="1" thickBot="1" x14ac:dyDescent="0.4">
      <c r="A417" s="184" t="s">
        <v>499</v>
      </c>
      <c r="B417" s="185" t="s">
        <v>499</v>
      </c>
      <c r="C417" s="185" t="s">
        <v>499</v>
      </c>
      <c r="D417" s="186" t="s">
        <v>499</v>
      </c>
      <c r="E417" s="185" t="s">
        <v>499</v>
      </c>
      <c r="F417" s="185" t="s">
        <v>499</v>
      </c>
      <c r="G417" s="187">
        <f t="shared" si="6"/>
        <v>0</v>
      </c>
      <c r="H417" s="188"/>
      <c r="I417" s="188"/>
      <c r="J417" s="188"/>
      <c r="K417" s="185"/>
      <c r="L417" s="185"/>
      <c r="M417" s="185"/>
      <c r="N417" s="185"/>
      <c r="O417" s="193"/>
      <c r="P417" s="193"/>
      <c r="Q417" s="191"/>
      <c r="R417" s="191"/>
      <c r="S417" s="192"/>
    </row>
    <row r="418" spans="1:19" ht="20.5" thickTop="1" thickBot="1" x14ac:dyDescent="0.4">
      <c r="A418" s="184" t="s">
        <v>499</v>
      </c>
      <c r="B418" s="185" t="s">
        <v>499</v>
      </c>
      <c r="C418" s="185" t="s">
        <v>499</v>
      </c>
      <c r="D418" s="186" t="s">
        <v>499</v>
      </c>
      <c r="E418" s="185" t="s">
        <v>499</v>
      </c>
      <c r="F418" s="185" t="s">
        <v>499</v>
      </c>
      <c r="G418" s="187">
        <f t="shared" si="6"/>
        <v>0</v>
      </c>
      <c r="H418" s="188"/>
      <c r="I418" s="188"/>
      <c r="J418" s="188"/>
      <c r="K418" s="185"/>
      <c r="L418" s="185"/>
      <c r="M418" s="185"/>
      <c r="N418" s="185"/>
      <c r="O418" s="193"/>
      <c r="P418" s="193"/>
      <c r="Q418" s="191"/>
      <c r="R418" s="191"/>
      <c r="S418" s="192"/>
    </row>
    <row r="419" spans="1:19" ht="20.5" thickTop="1" thickBot="1" x14ac:dyDescent="0.4">
      <c r="A419" s="184" t="s">
        <v>499</v>
      </c>
      <c r="B419" s="185" t="s">
        <v>499</v>
      </c>
      <c r="C419" s="185" t="s">
        <v>499</v>
      </c>
      <c r="D419" s="186" t="s">
        <v>499</v>
      </c>
      <c r="E419" s="185" t="s">
        <v>499</v>
      </c>
      <c r="F419" s="185" t="s">
        <v>499</v>
      </c>
      <c r="G419" s="187">
        <f t="shared" si="6"/>
        <v>0</v>
      </c>
      <c r="H419" s="188"/>
      <c r="I419" s="188"/>
      <c r="J419" s="188"/>
      <c r="K419" s="185"/>
      <c r="L419" s="185"/>
      <c r="M419" s="185"/>
      <c r="N419" s="185"/>
      <c r="O419" s="193"/>
      <c r="P419" s="193"/>
      <c r="Q419" s="191"/>
      <c r="R419" s="191"/>
      <c r="S419" s="192"/>
    </row>
    <row r="420" spans="1:19" ht="20.5" thickTop="1" thickBot="1" x14ac:dyDescent="0.4">
      <c r="A420" s="184" t="s">
        <v>499</v>
      </c>
      <c r="B420" s="185" t="s">
        <v>499</v>
      </c>
      <c r="C420" s="185" t="s">
        <v>499</v>
      </c>
      <c r="D420" s="186" t="s">
        <v>499</v>
      </c>
      <c r="E420" s="185" t="s">
        <v>499</v>
      </c>
      <c r="F420" s="185" t="s">
        <v>499</v>
      </c>
      <c r="G420" s="187">
        <f t="shared" si="6"/>
        <v>0</v>
      </c>
      <c r="H420" s="188"/>
      <c r="I420" s="188"/>
      <c r="J420" s="188"/>
      <c r="K420" s="185"/>
      <c r="L420" s="185"/>
      <c r="M420" s="185"/>
      <c r="N420" s="185"/>
      <c r="O420" s="193"/>
      <c r="P420" s="193"/>
      <c r="Q420" s="191"/>
      <c r="R420" s="191"/>
      <c r="S420" s="192"/>
    </row>
    <row r="421" spans="1:19" ht="20.5" thickTop="1" thickBot="1" x14ac:dyDescent="0.4">
      <c r="A421" s="184" t="s">
        <v>499</v>
      </c>
      <c r="B421" s="185" t="s">
        <v>499</v>
      </c>
      <c r="C421" s="185" t="s">
        <v>499</v>
      </c>
      <c r="D421" s="186" t="s">
        <v>499</v>
      </c>
      <c r="E421" s="185" t="s">
        <v>499</v>
      </c>
      <c r="F421" s="185" t="s">
        <v>499</v>
      </c>
      <c r="G421" s="187">
        <f t="shared" si="6"/>
        <v>0</v>
      </c>
      <c r="H421" s="188"/>
      <c r="I421" s="188"/>
      <c r="J421" s="188"/>
      <c r="K421" s="185"/>
      <c r="L421" s="185"/>
      <c r="M421" s="185"/>
      <c r="N421" s="185"/>
      <c r="O421" s="193"/>
      <c r="P421" s="193"/>
      <c r="Q421" s="191"/>
      <c r="R421" s="191"/>
      <c r="S421" s="192"/>
    </row>
    <row r="422" spans="1:19" ht="20.5" thickTop="1" thickBot="1" x14ac:dyDescent="0.4">
      <c r="A422" s="184" t="s">
        <v>499</v>
      </c>
      <c r="B422" s="185" t="s">
        <v>499</v>
      </c>
      <c r="C422" s="185" t="s">
        <v>499</v>
      </c>
      <c r="D422" s="186" t="s">
        <v>499</v>
      </c>
      <c r="E422" s="185" t="s">
        <v>499</v>
      </c>
      <c r="F422" s="185" t="s">
        <v>499</v>
      </c>
      <c r="G422" s="187">
        <f t="shared" si="6"/>
        <v>0</v>
      </c>
      <c r="H422" s="188"/>
      <c r="I422" s="188"/>
      <c r="J422" s="188"/>
      <c r="K422" s="185"/>
      <c r="L422" s="185"/>
      <c r="M422" s="185"/>
      <c r="N422" s="185"/>
      <c r="O422" s="193"/>
      <c r="P422" s="193"/>
      <c r="Q422" s="191"/>
      <c r="R422" s="191"/>
      <c r="S422" s="192"/>
    </row>
    <row r="423" spans="1:19" ht="20.5" thickTop="1" thickBot="1" x14ac:dyDescent="0.4">
      <c r="A423" s="184" t="s">
        <v>499</v>
      </c>
      <c r="B423" s="185" t="s">
        <v>499</v>
      </c>
      <c r="C423" s="185" t="s">
        <v>499</v>
      </c>
      <c r="D423" s="186" t="s">
        <v>499</v>
      </c>
      <c r="E423" s="185" t="s">
        <v>499</v>
      </c>
      <c r="F423" s="185" t="s">
        <v>499</v>
      </c>
      <c r="G423" s="187">
        <f t="shared" si="6"/>
        <v>0</v>
      </c>
      <c r="H423" s="188"/>
      <c r="I423" s="188"/>
      <c r="J423" s="188"/>
      <c r="K423" s="185"/>
      <c r="L423" s="185"/>
      <c r="M423" s="185"/>
      <c r="N423" s="185"/>
      <c r="O423" s="193"/>
      <c r="P423" s="193"/>
      <c r="Q423" s="191"/>
      <c r="R423" s="191"/>
      <c r="S423" s="192"/>
    </row>
    <row r="424" spans="1:19" ht="20.5" thickTop="1" thickBot="1" x14ac:dyDescent="0.4">
      <c r="A424" s="184" t="s">
        <v>499</v>
      </c>
      <c r="B424" s="185" t="s">
        <v>499</v>
      </c>
      <c r="C424" s="185" t="s">
        <v>499</v>
      </c>
      <c r="D424" s="186" t="s">
        <v>499</v>
      </c>
      <c r="E424" s="185" t="s">
        <v>499</v>
      </c>
      <c r="F424" s="185" t="s">
        <v>499</v>
      </c>
      <c r="G424" s="187">
        <f t="shared" si="6"/>
        <v>0</v>
      </c>
      <c r="H424" s="188"/>
      <c r="I424" s="188"/>
      <c r="J424" s="188"/>
      <c r="K424" s="185"/>
      <c r="L424" s="185"/>
      <c r="M424" s="185"/>
      <c r="N424" s="185"/>
      <c r="O424" s="193"/>
      <c r="P424" s="193"/>
      <c r="Q424" s="191"/>
      <c r="R424" s="191"/>
      <c r="S424" s="192"/>
    </row>
    <row r="425" spans="1:19" ht="20.5" thickTop="1" thickBot="1" x14ac:dyDescent="0.4">
      <c r="A425" s="184" t="s">
        <v>499</v>
      </c>
      <c r="B425" s="185" t="s">
        <v>499</v>
      </c>
      <c r="C425" s="185" t="s">
        <v>499</v>
      </c>
      <c r="D425" s="186" t="s">
        <v>499</v>
      </c>
      <c r="E425" s="185" t="s">
        <v>499</v>
      </c>
      <c r="F425" s="185" t="s">
        <v>499</v>
      </c>
      <c r="G425" s="187">
        <f t="shared" si="6"/>
        <v>0</v>
      </c>
      <c r="H425" s="188"/>
      <c r="I425" s="188"/>
      <c r="J425" s="188"/>
      <c r="K425" s="185"/>
      <c r="L425" s="185"/>
      <c r="M425" s="185"/>
      <c r="N425" s="185"/>
      <c r="O425" s="193"/>
      <c r="P425" s="193"/>
      <c r="Q425" s="191"/>
      <c r="R425" s="191"/>
      <c r="S425" s="192"/>
    </row>
    <row r="426" spans="1:19" ht="20.5" thickTop="1" thickBot="1" x14ac:dyDescent="0.4">
      <c r="A426" s="184" t="s">
        <v>499</v>
      </c>
      <c r="B426" s="185" t="s">
        <v>499</v>
      </c>
      <c r="C426" s="185" t="s">
        <v>499</v>
      </c>
      <c r="D426" s="186" t="s">
        <v>499</v>
      </c>
      <c r="E426" s="185" t="s">
        <v>499</v>
      </c>
      <c r="F426" s="185" t="s">
        <v>499</v>
      </c>
      <c r="G426" s="187">
        <f t="shared" si="6"/>
        <v>0</v>
      </c>
      <c r="H426" s="188"/>
      <c r="I426" s="188"/>
      <c r="J426" s="188"/>
      <c r="K426" s="185"/>
      <c r="L426" s="185"/>
      <c r="M426" s="185"/>
      <c r="N426" s="185"/>
      <c r="O426" s="193"/>
      <c r="P426" s="193"/>
      <c r="Q426" s="191"/>
      <c r="R426" s="191"/>
      <c r="S426" s="192"/>
    </row>
    <row r="427" spans="1:19" ht="20.5" thickTop="1" thickBot="1" x14ac:dyDescent="0.4">
      <c r="A427" s="184" t="s">
        <v>499</v>
      </c>
      <c r="B427" s="185" t="s">
        <v>499</v>
      </c>
      <c r="C427" s="185" t="s">
        <v>499</v>
      </c>
      <c r="D427" s="186" t="s">
        <v>499</v>
      </c>
      <c r="E427" s="185" t="s">
        <v>499</v>
      </c>
      <c r="F427" s="185" t="s">
        <v>499</v>
      </c>
      <c r="G427" s="187">
        <f t="shared" si="6"/>
        <v>0</v>
      </c>
      <c r="H427" s="188"/>
      <c r="I427" s="188"/>
      <c r="J427" s="188"/>
      <c r="K427" s="185"/>
      <c r="L427" s="185"/>
      <c r="M427" s="185"/>
      <c r="N427" s="185"/>
      <c r="O427" s="193"/>
      <c r="P427" s="193"/>
      <c r="Q427" s="191"/>
      <c r="R427" s="191"/>
      <c r="S427" s="192"/>
    </row>
    <row r="428" spans="1:19" ht="20.5" thickTop="1" thickBot="1" x14ac:dyDescent="0.4">
      <c r="A428" s="184" t="s">
        <v>499</v>
      </c>
      <c r="B428" s="185" t="s">
        <v>499</v>
      </c>
      <c r="C428" s="185" t="s">
        <v>499</v>
      </c>
      <c r="D428" s="186" t="s">
        <v>499</v>
      </c>
      <c r="E428" s="185" t="s">
        <v>499</v>
      </c>
      <c r="F428" s="185" t="s">
        <v>499</v>
      </c>
      <c r="G428" s="187">
        <f t="shared" si="6"/>
        <v>0</v>
      </c>
      <c r="H428" s="188"/>
      <c r="I428" s="188"/>
      <c r="J428" s="188"/>
      <c r="K428" s="185"/>
      <c r="L428" s="185"/>
      <c r="M428" s="185"/>
      <c r="N428" s="185"/>
      <c r="O428" s="193"/>
      <c r="P428" s="193"/>
      <c r="Q428" s="191"/>
      <c r="R428" s="191"/>
      <c r="S428" s="192"/>
    </row>
    <row r="429" spans="1:19" ht="20.5" thickTop="1" thickBot="1" x14ac:dyDescent="0.4">
      <c r="A429" s="184" t="s">
        <v>499</v>
      </c>
      <c r="B429" s="185" t="s">
        <v>499</v>
      </c>
      <c r="C429" s="185" t="s">
        <v>499</v>
      </c>
      <c r="D429" s="186" t="s">
        <v>499</v>
      </c>
      <c r="E429" s="185" t="s">
        <v>499</v>
      </c>
      <c r="F429" s="185" t="s">
        <v>499</v>
      </c>
      <c r="G429" s="187">
        <f t="shared" si="6"/>
        <v>0</v>
      </c>
      <c r="H429" s="188"/>
      <c r="I429" s="188"/>
      <c r="J429" s="188"/>
      <c r="K429" s="185"/>
      <c r="L429" s="185"/>
      <c r="M429" s="185"/>
      <c r="N429" s="185"/>
      <c r="O429" s="193"/>
      <c r="P429" s="193"/>
      <c r="Q429" s="191"/>
      <c r="R429" s="191"/>
      <c r="S429" s="192"/>
    </row>
    <row r="430" spans="1:19" ht="20.5" thickTop="1" thickBot="1" x14ac:dyDescent="0.4">
      <c r="A430" s="184" t="s">
        <v>499</v>
      </c>
      <c r="B430" s="185" t="s">
        <v>499</v>
      </c>
      <c r="C430" s="185" t="s">
        <v>499</v>
      </c>
      <c r="D430" s="186" t="s">
        <v>499</v>
      </c>
      <c r="E430" s="185" t="s">
        <v>499</v>
      </c>
      <c r="F430" s="185" t="s">
        <v>499</v>
      </c>
      <c r="G430" s="187">
        <f t="shared" si="6"/>
        <v>0</v>
      </c>
      <c r="H430" s="188"/>
      <c r="I430" s="188"/>
      <c r="J430" s="188"/>
      <c r="K430" s="185"/>
      <c r="L430" s="185"/>
      <c r="M430" s="185"/>
      <c r="N430" s="185"/>
      <c r="O430" s="193"/>
      <c r="P430" s="193"/>
      <c r="Q430" s="191"/>
      <c r="R430" s="191"/>
      <c r="S430" s="192"/>
    </row>
    <row r="431" spans="1:19" ht="20.5" thickTop="1" thickBot="1" x14ac:dyDescent="0.4">
      <c r="A431" s="184" t="s">
        <v>499</v>
      </c>
      <c r="B431" s="185" t="s">
        <v>499</v>
      </c>
      <c r="C431" s="185" t="s">
        <v>499</v>
      </c>
      <c r="D431" s="186" t="s">
        <v>499</v>
      </c>
      <c r="E431" s="185" t="s">
        <v>499</v>
      </c>
      <c r="F431" s="185" t="s">
        <v>499</v>
      </c>
      <c r="G431" s="187">
        <f t="shared" si="6"/>
        <v>0</v>
      </c>
      <c r="H431" s="188"/>
      <c r="I431" s="188"/>
      <c r="J431" s="188"/>
      <c r="K431" s="185"/>
      <c r="L431" s="185"/>
      <c r="M431" s="185"/>
      <c r="N431" s="185"/>
      <c r="O431" s="193"/>
      <c r="P431" s="193"/>
      <c r="Q431" s="191"/>
      <c r="R431" s="191"/>
      <c r="S431" s="192"/>
    </row>
    <row r="432" spans="1:19" ht="20.5" thickTop="1" thickBot="1" x14ac:dyDescent="0.4">
      <c r="A432" s="184" t="s">
        <v>499</v>
      </c>
      <c r="B432" s="185" t="s">
        <v>499</v>
      </c>
      <c r="C432" s="185" t="s">
        <v>499</v>
      </c>
      <c r="D432" s="186" t="s">
        <v>499</v>
      </c>
      <c r="E432" s="185" t="s">
        <v>499</v>
      </c>
      <c r="F432" s="185" t="s">
        <v>499</v>
      </c>
      <c r="G432" s="187">
        <f t="shared" si="6"/>
        <v>0</v>
      </c>
      <c r="H432" s="188"/>
      <c r="I432" s="188"/>
      <c r="J432" s="188"/>
      <c r="K432" s="185"/>
      <c r="L432" s="185"/>
      <c r="M432" s="185"/>
      <c r="N432" s="185"/>
      <c r="O432" s="193"/>
      <c r="P432" s="193"/>
      <c r="Q432" s="191"/>
      <c r="R432" s="191"/>
      <c r="S432" s="192"/>
    </row>
    <row r="433" spans="1:19" ht="20.5" thickTop="1" thickBot="1" x14ac:dyDescent="0.4">
      <c r="A433" s="184" t="s">
        <v>499</v>
      </c>
      <c r="B433" s="185" t="s">
        <v>499</v>
      </c>
      <c r="C433" s="185" t="s">
        <v>499</v>
      </c>
      <c r="D433" s="186" t="s">
        <v>499</v>
      </c>
      <c r="E433" s="185" t="s">
        <v>499</v>
      </c>
      <c r="F433" s="185" t="s">
        <v>499</v>
      </c>
      <c r="G433" s="187">
        <f t="shared" si="6"/>
        <v>0</v>
      </c>
      <c r="H433" s="188"/>
      <c r="I433" s="188"/>
      <c r="J433" s="188"/>
      <c r="K433" s="185"/>
      <c r="L433" s="185"/>
      <c r="M433" s="185"/>
      <c r="N433" s="185"/>
      <c r="O433" s="193"/>
      <c r="P433" s="193"/>
      <c r="Q433" s="191"/>
      <c r="R433" s="191"/>
      <c r="S433" s="192"/>
    </row>
    <row r="434" spans="1:19" ht="20.5" thickTop="1" thickBot="1" x14ac:dyDescent="0.4">
      <c r="A434" s="184" t="s">
        <v>499</v>
      </c>
      <c r="B434" s="185" t="s">
        <v>499</v>
      </c>
      <c r="C434" s="185" t="s">
        <v>499</v>
      </c>
      <c r="D434" s="186" t="s">
        <v>499</v>
      </c>
      <c r="E434" s="185" t="s">
        <v>499</v>
      </c>
      <c r="F434" s="185" t="s">
        <v>499</v>
      </c>
      <c r="G434" s="187">
        <f t="shared" si="6"/>
        <v>0</v>
      </c>
      <c r="H434" s="188"/>
      <c r="I434" s="188"/>
      <c r="J434" s="188"/>
      <c r="K434" s="185"/>
      <c r="L434" s="185"/>
      <c r="M434" s="185"/>
      <c r="N434" s="185"/>
      <c r="O434" s="193"/>
      <c r="P434" s="193"/>
      <c r="Q434" s="191"/>
      <c r="R434" s="191"/>
      <c r="S434" s="192"/>
    </row>
    <row r="435" spans="1:19" ht="20.5" thickTop="1" thickBot="1" x14ac:dyDescent="0.4">
      <c r="A435" s="184" t="s">
        <v>499</v>
      </c>
      <c r="B435" s="185" t="s">
        <v>499</v>
      </c>
      <c r="C435" s="185" t="s">
        <v>499</v>
      </c>
      <c r="D435" s="186" t="s">
        <v>499</v>
      </c>
      <c r="E435" s="185" t="s">
        <v>499</v>
      </c>
      <c r="F435" s="185" t="s">
        <v>499</v>
      </c>
      <c r="G435" s="187">
        <f t="shared" si="6"/>
        <v>0</v>
      </c>
      <c r="H435" s="188"/>
      <c r="I435" s="188"/>
      <c r="J435" s="188"/>
      <c r="K435" s="185"/>
      <c r="L435" s="185"/>
      <c r="M435" s="185"/>
      <c r="N435" s="185"/>
      <c r="O435" s="193"/>
      <c r="P435" s="193"/>
      <c r="Q435" s="191"/>
      <c r="R435" s="191"/>
      <c r="S435" s="192"/>
    </row>
    <row r="436" spans="1:19" ht="20.5" thickTop="1" thickBot="1" x14ac:dyDescent="0.4">
      <c r="A436" s="184" t="s">
        <v>499</v>
      </c>
      <c r="B436" s="185" t="s">
        <v>499</v>
      </c>
      <c r="C436" s="185" t="s">
        <v>499</v>
      </c>
      <c r="D436" s="186" t="s">
        <v>499</v>
      </c>
      <c r="E436" s="185" t="s">
        <v>499</v>
      </c>
      <c r="F436" s="185" t="s">
        <v>499</v>
      </c>
      <c r="G436" s="187">
        <f t="shared" si="6"/>
        <v>0</v>
      </c>
      <c r="H436" s="188"/>
      <c r="I436" s="188"/>
      <c r="J436" s="188"/>
      <c r="K436" s="185"/>
      <c r="L436" s="185"/>
      <c r="M436" s="185"/>
      <c r="N436" s="185"/>
      <c r="O436" s="193"/>
      <c r="P436" s="193"/>
      <c r="Q436" s="191"/>
      <c r="R436" s="191"/>
      <c r="S436" s="192"/>
    </row>
    <row r="437" spans="1:19" ht="20.5" thickTop="1" thickBot="1" x14ac:dyDescent="0.4">
      <c r="A437" s="184" t="s">
        <v>499</v>
      </c>
      <c r="B437" s="185" t="s">
        <v>499</v>
      </c>
      <c r="C437" s="185" t="s">
        <v>499</v>
      </c>
      <c r="D437" s="186" t="s">
        <v>499</v>
      </c>
      <c r="E437" s="185" t="s">
        <v>499</v>
      </c>
      <c r="F437" s="185" t="s">
        <v>499</v>
      </c>
      <c r="G437" s="187">
        <f t="shared" si="6"/>
        <v>0</v>
      </c>
      <c r="H437" s="188"/>
      <c r="I437" s="188"/>
      <c r="J437" s="188"/>
      <c r="K437" s="185"/>
      <c r="L437" s="185"/>
      <c r="M437" s="185"/>
      <c r="N437" s="185"/>
      <c r="O437" s="193"/>
      <c r="P437" s="193"/>
      <c r="Q437" s="191"/>
      <c r="R437" s="191"/>
      <c r="S437" s="192"/>
    </row>
    <row r="438" spans="1:19" ht="20.5" thickTop="1" thickBot="1" x14ac:dyDescent="0.4">
      <c r="A438" s="184" t="s">
        <v>499</v>
      </c>
      <c r="B438" s="185" t="s">
        <v>499</v>
      </c>
      <c r="C438" s="185" t="s">
        <v>499</v>
      </c>
      <c r="D438" s="186" t="s">
        <v>499</v>
      </c>
      <c r="E438" s="185" t="s">
        <v>499</v>
      </c>
      <c r="F438" s="185" t="s">
        <v>499</v>
      </c>
      <c r="G438" s="187">
        <f t="shared" si="6"/>
        <v>0</v>
      </c>
      <c r="H438" s="188"/>
      <c r="I438" s="188"/>
      <c r="J438" s="188"/>
      <c r="K438" s="185"/>
      <c r="L438" s="185"/>
      <c r="M438" s="185"/>
      <c r="N438" s="185"/>
      <c r="O438" s="193"/>
      <c r="P438" s="193"/>
      <c r="Q438" s="191"/>
      <c r="R438" s="191"/>
      <c r="S438" s="192"/>
    </row>
    <row r="439" spans="1:19" ht="20.5" thickTop="1" thickBot="1" x14ac:dyDescent="0.4">
      <c r="A439" s="184" t="s">
        <v>499</v>
      </c>
      <c r="B439" s="185" t="s">
        <v>499</v>
      </c>
      <c r="C439" s="185" t="s">
        <v>499</v>
      </c>
      <c r="D439" s="186" t="s">
        <v>499</v>
      </c>
      <c r="E439" s="185" t="s">
        <v>499</v>
      </c>
      <c r="F439" s="185" t="s">
        <v>499</v>
      </c>
      <c r="G439" s="187">
        <f t="shared" si="6"/>
        <v>0</v>
      </c>
      <c r="H439" s="188"/>
      <c r="I439" s="188"/>
      <c r="J439" s="188"/>
      <c r="K439" s="185"/>
      <c r="L439" s="185"/>
      <c r="M439" s="185"/>
      <c r="N439" s="185"/>
      <c r="O439" s="193"/>
      <c r="P439" s="193"/>
      <c r="Q439" s="191"/>
      <c r="R439" s="191"/>
      <c r="S439" s="192"/>
    </row>
    <row r="440" spans="1:19" ht="20.5" thickTop="1" thickBot="1" x14ac:dyDescent="0.4">
      <c r="A440" s="184" t="s">
        <v>499</v>
      </c>
      <c r="B440" s="185" t="s">
        <v>499</v>
      </c>
      <c r="C440" s="185" t="s">
        <v>499</v>
      </c>
      <c r="D440" s="186" t="s">
        <v>499</v>
      </c>
      <c r="E440" s="185" t="s">
        <v>499</v>
      </c>
      <c r="F440" s="185" t="s">
        <v>499</v>
      </c>
      <c r="G440" s="187">
        <f t="shared" si="6"/>
        <v>0</v>
      </c>
      <c r="H440" s="188"/>
      <c r="I440" s="188"/>
      <c r="J440" s="188"/>
      <c r="K440" s="185"/>
      <c r="L440" s="185"/>
      <c r="M440" s="185"/>
      <c r="N440" s="185"/>
      <c r="O440" s="193"/>
      <c r="P440" s="193"/>
      <c r="Q440" s="191"/>
      <c r="R440" s="191"/>
      <c r="S440" s="192"/>
    </row>
    <row r="441" spans="1:19" ht="20.5" thickTop="1" thickBot="1" x14ac:dyDescent="0.4">
      <c r="A441" s="184" t="s">
        <v>499</v>
      </c>
      <c r="B441" s="185" t="s">
        <v>499</v>
      </c>
      <c r="C441" s="185" t="s">
        <v>499</v>
      </c>
      <c r="D441" s="186" t="s">
        <v>499</v>
      </c>
      <c r="E441" s="185" t="s">
        <v>499</v>
      </c>
      <c r="F441" s="185" t="s">
        <v>499</v>
      </c>
      <c r="G441" s="187">
        <f t="shared" si="6"/>
        <v>0</v>
      </c>
      <c r="H441" s="188"/>
      <c r="I441" s="188"/>
      <c r="J441" s="188"/>
      <c r="K441" s="185"/>
      <c r="L441" s="185"/>
      <c r="M441" s="185"/>
      <c r="N441" s="185"/>
      <c r="O441" s="193"/>
      <c r="P441" s="193"/>
      <c r="Q441" s="191"/>
      <c r="R441" s="191"/>
      <c r="S441" s="192"/>
    </row>
    <row r="442" spans="1:19" ht="20.5" thickTop="1" thickBot="1" x14ac:dyDescent="0.4">
      <c r="A442" s="184" t="s">
        <v>499</v>
      </c>
      <c r="B442" s="185" t="s">
        <v>499</v>
      </c>
      <c r="C442" s="185" t="s">
        <v>499</v>
      </c>
      <c r="D442" s="186" t="s">
        <v>499</v>
      </c>
      <c r="E442" s="185" t="s">
        <v>499</v>
      </c>
      <c r="F442" s="185" t="s">
        <v>499</v>
      </c>
      <c r="G442" s="187">
        <f t="shared" si="6"/>
        <v>0</v>
      </c>
      <c r="H442" s="188"/>
      <c r="I442" s="188"/>
      <c r="J442" s="188"/>
      <c r="K442" s="185"/>
      <c r="L442" s="185"/>
      <c r="M442" s="185"/>
      <c r="N442" s="185"/>
      <c r="O442" s="193"/>
      <c r="P442" s="193"/>
      <c r="Q442" s="191"/>
      <c r="R442" s="191"/>
      <c r="S442" s="192"/>
    </row>
    <row r="443" spans="1:19" ht="20.5" thickTop="1" thickBot="1" x14ac:dyDescent="0.4">
      <c r="A443" s="184" t="s">
        <v>499</v>
      </c>
      <c r="B443" s="185" t="s">
        <v>499</v>
      </c>
      <c r="C443" s="185" t="s">
        <v>499</v>
      </c>
      <c r="D443" s="186" t="s">
        <v>499</v>
      </c>
      <c r="E443" s="185" t="s">
        <v>499</v>
      </c>
      <c r="F443" s="185" t="s">
        <v>499</v>
      </c>
      <c r="G443" s="187">
        <f t="shared" si="6"/>
        <v>0</v>
      </c>
      <c r="H443" s="188"/>
      <c r="I443" s="188"/>
      <c r="J443" s="188"/>
      <c r="K443" s="185"/>
      <c r="L443" s="185"/>
      <c r="M443" s="185"/>
      <c r="N443" s="185"/>
      <c r="O443" s="193"/>
      <c r="P443" s="193"/>
      <c r="Q443" s="191"/>
      <c r="R443" s="191"/>
      <c r="S443" s="192"/>
    </row>
    <row r="444" spans="1:19" ht="20.5" thickTop="1" thickBot="1" x14ac:dyDescent="0.4">
      <c r="A444" s="184" t="s">
        <v>499</v>
      </c>
      <c r="B444" s="185" t="s">
        <v>499</v>
      </c>
      <c r="C444" s="185" t="s">
        <v>499</v>
      </c>
      <c r="D444" s="186" t="s">
        <v>499</v>
      </c>
      <c r="E444" s="185" t="s">
        <v>499</v>
      </c>
      <c r="F444" s="185" t="s">
        <v>499</v>
      </c>
      <c r="G444" s="187">
        <f t="shared" si="6"/>
        <v>0</v>
      </c>
      <c r="H444" s="188"/>
      <c r="I444" s="188"/>
      <c r="J444" s="188"/>
      <c r="K444" s="185"/>
      <c r="L444" s="185"/>
      <c r="M444" s="185"/>
      <c r="N444" s="185"/>
      <c r="O444" s="193"/>
      <c r="P444" s="193"/>
      <c r="Q444" s="191"/>
      <c r="R444" s="191"/>
      <c r="S444" s="192"/>
    </row>
    <row r="445" spans="1:19" ht="20.5" thickTop="1" thickBot="1" x14ac:dyDescent="0.4">
      <c r="A445" s="184" t="s">
        <v>499</v>
      </c>
      <c r="B445" s="185" t="s">
        <v>499</v>
      </c>
      <c r="C445" s="185" t="s">
        <v>499</v>
      </c>
      <c r="D445" s="186" t="s">
        <v>499</v>
      </c>
      <c r="E445" s="185" t="s">
        <v>499</v>
      </c>
      <c r="F445" s="185" t="s">
        <v>499</v>
      </c>
      <c r="G445" s="187">
        <f t="shared" si="6"/>
        <v>0</v>
      </c>
      <c r="H445" s="188"/>
      <c r="I445" s="188"/>
      <c r="J445" s="188"/>
      <c r="K445" s="185"/>
      <c r="L445" s="185"/>
      <c r="M445" s="185"/>
      <c r="N445" s="185"/>
      <c r="O445" s="193"/>
      <c r="P445" s="193"/>
      <c r="Q445" s="191"/>
      <c r="R445" s="191"/>
      <c r="S445" s="192"/>
    </row>
    <row r="446" spans="1:19" ht="20.5" thickTop="1" thickBot="1" x14ac:dyDescent="0.4">
      <c r="A446" s="184" t="s">
        <v>499</v>
      </c>
      <c r="B446" s="185" t="s">
        <v>499</v>
      </c>
      <c r="C446" s="185" t="s">
        <v>499</v>
      </c>
      <c r="D446" s="186" t="s">
        <v>499</v>
      </c>
      <c r="E446" s="185" t="s">
        <v>499</v>
      </c>
      <c r="F446" s="185" t="s">
        <v>499</v>
      </c>
      <c r="G446" s="187">
        <f t="shared" si="6"/>
        <v>0</v>
      </c>
      <c r="H446" s="188"/>
      <c r="I446" s="188"/>
      <c r="J446" s="188"/>
      <c r="K446" s="185"/>
      <c r="L446" s="185"/>
      <c r="M446" s="185"/>
      <c r="N446" s="185"/>
      <c r="O446" s="193"/>
      <c r="P446" s="193"/>
      <c r="Q446" s="191"/>
      <c r="R446" s="191"/>
      <c r="S446" s="192"/>
    </row>
    <row r="447" spans="1:19" ht="20.5" thickTop="1" thickBot="1" x14ac:dyDescent="0.4">
      <c r="A447" s="184" t="s">
        <v>499</v>
      </c>
      <c r="B447" s="185" t="s">
        <v>499</v>
      </c>
      <c r="C447" s="185" t="s">
        <v>499</v>
      </c>
      <c r="D447" s="186" t="s">
        <v>499</v>
      </c>
      <c r="E447" s="185" t="s">
        <v>499</v>
      </c>
      <c r="F447" s="185" t="s">
        <v>499</v>
      </c>
      <c r="G447" s="187">
        <f t="shared" si="6"/>
        <v>0</v>
      </c>
      <c r="H447" s="188"/>
      <c r="I447" s="188"/>
      <c r="J447" s="188"/>
      <c r="K447" s="185"/>
      <c r="L447" s="185"/>
      <c r="M447" s="185"/>
      <c r="N447" s="185"/>
      <c r="O447" s="193"/>
      <c r="P447" s="193"/>
      <c r="Q447" s="191"/>
      <c r="R447" s="191"/>
      <c r="S447" s="192"/>
    </row>
    <row r="448" spans="1:19" ht="20.5" thickTop="1" thickBot="1" x14ac:dyDescent="0.4">
      <c r="A448" s="184" t="s">
        <v>499</v>
      </c>
      <c r="B448" s="185" t="s">
        <v>499</v>
      </c>
      <c r="C448" s="185" t="s">
        <v>499</v>
      </c>
      <c r="D448" s="186" t="s">
        <v>499</v>
      </c>
      <c r="E448" s="185" t="s">
        <v>499</v>
      </c>
      <c r="F448" s="185" t="s">
        <v>499</v>
      </c>
      <c r="G448" s="187">
        <f t="shared" si="6"/>
        <v>0</v>
      </c>
      <c r="H448" s="188"/>
      <c r="I448" s="188"/>
      <c r="J448" s="188"/>
      <c r="K448" s="185"/>
      <c r="L448" s="185"/>
      <c r="M448" s="185"/>
      <c r="N448" s="185"/>
      <c r="O448" s="193"/>
      <c r="P448" s="193"/>
      <c r="Q448" s="191"/>
      <c r="R448" s="191"/>
      <c r="S448" s="192"/>
    </row>
    <row r="449" spans="1:19" ht="20.5" thickTop="1" thickBot="1" x14ac:dyDescent="0.4">
      <c r="A449" s="184" t="s">
        <v>499</v>
      </c>
      <c r="B449" s="185" t="s">
        <v>499</v>
      </c>
      <c r="C449" s="185" t="s">
        <v>499</v>
      </c>
      <c r="D449" s="186" t="s">
        <v>499</v>
      </c>
      <c r="E449" s="185" t="s">
        <v>499</v>
      </c>
      <c r="F449" s="185" t="s">
        <v>499</v>
      </c>
      <c r="G449" s="187">
        <f t="shared" si="6"/>
        <v>0</v>
      </c>
      <c r="H449" s="188"/>
      <c r="I449" s="188"/>
      <c r="J449" s="188"/>
      <c r="K449" s="185"/>
      <c r="L449" s="185"/>
      <c r="M449" s="185"/>
      <c r="N449" s="185"/>
      <c r="O449" s="193"/>
      <c r="P449" s="193"/>
      <c r="Q449" s="191"/>
      <c r="R449" s="191"/>
      <c r="S449" s="192"/>
    </row>
    <row r="450" spans="1:19" ht="20.5" thickTop="1" thickBot="1" x14ac:dyDescent="0.4">
      <c r="A450" s="184" t="s">
        <v>499</v>
      </c>
      <c r="B450" s="185" t="s">
        <v>499</v>
      </c>
      <c r="C450" s="185" t="s">
        <v>499</v>
      </c>
      <c r="D450" s="186" t="s">
        <v>499</v>
      </c>
      <c r="E450" s="185" t="s">
        <v>499</v>
      </c>
      <c r="F450" s="185" t="s">
        <v>499</v>
      </c>
      <c r="G450" s="187">
        <f t="shared" si="6"/>
        <v>0</v>
      </c>
      <c r="H450" s="188"/>
      <c r="I450" s="188"/>
      <c r="J450" s="188"/>
      <c r="K450" s="185"/>
      <c r="L450" s="185"/>
      <c r="M450" s="185"/>
      <c r="N450" s="185"/>
      <c r="O450" s="193"/>
      <c r="P450" s="193"/>
      <c r="Q450" s="191"/>
      <c r="R450" s="191"/>
      <c r="S450" s="192"/>
    </row>
    <row r="451" spans="1:19" ht="20.5" thickTop="1" thickBot="1" x14ac:dyDescent="0.4">
      <c r="A451" s="184" t="s">
        <v>499</v>
      </c>
      <c r="B451" s="185" t="s">
        <v>499</v>
      </c>
      <c r="C451" s="185" t="s">
        <v>499</v>
      </c>
      <c r="D451" s="186" t="s">
        <v>499</v>
      </c>
      <c r="E451" s="185" t="s">
        <v>499</v>
      </c>
      <c r="F451" s="185" t="s">
        <v>499</v>
      </c>
      <c r="G451" s="187">
        <f t="shared" si="6"/>
        <v>0</v>
      </c>
      <c r="H451" s="188"/>
      <c r="I451" s="188"/>
      <c r="J451" s="188"/>
      <c r="K451" s="185"/>
      <c r="L451" s="185"/>
      <c r="M451" s="185"/>
      <c r="N451" s="185"/>
      <c r="O451" s="193"/>
      <c r="P451" s="193"/>
      <c r="Q451" s="191"/>
      <c r="R451" s="191"/>
      <c r="S451" s="192"/>
    </row>
    <row r="452" spans="1:19" ht="20.5" thickTop="1" thickBot="1" x14ac:dyDescent="0.4">
      <c r="A452" s="184" t="s">
        <v>499</v>
      </c>
      <c r="B452" s="185" t="s">
        <v>499</v>
      </c>
      <c r="C452" s="185" t="s">
        <v>499</v>
      </c>
      <c r="D452" s="186" t="s">
        <v>499</v>
      </c>
      <c r="E452" s="185" t="s">
        <v>499</v>
      </c>
      <c r="F452" s="185" t="s">
        <v>499</v>
      </c>
      <c r="G452" s="187">
        <f t="shared" si="6"/>
        <v>0</v>
      </c>
      <c r="H452" s="188"/>
      <c r="I452" s="188"/>
      <c r="J452" s="188"/>
      <c r="K452" s="185"/>
      <c r="L452" s="185"/>
      <c r="M452" s="185"/>
      <c r="N452" s="185"/>
      <c r="O452" s="193"/>
      <c r="P452" s="193"/>
      <c r="Q452" s="191"/>
      <c r="R452" s="191"/>
      <c r="S452" s="192"/>
    </row>
    <row r="453" spans="1:19" ht="20.5" thickTop="1" thickBot="1" x14ac:dyDescent="0.4">
      <c r="A453" s="184" t="s">
        <v>499</v>
      </c>
      <c r="B453" s="185" t="s">
        <v>499</v>
      </c>
      <c r="C453" s="185" t="s">
        <v>499</v>
      </c>
      <c r="D453" s="186" t="s">
        <v>499</v>
      </c>
      <c r="E453" s="185" t="s">
        <v>499</v>
      </c>
      <c r="F453" s="185" t="s">
        <v>499</v>
      </c>
      <c r="G453" s="187">
        <f t="shared" ref="G453:G516" si="7">SUM(H453:J453)</f>
        <v>0</v>
      </c>
      <c r="H453" s="188"/>
      <c r="I453" s="188"/>
      <c r="J453" s="188"/>
      <c r="K453" s="185"/>
      <c r="L453" s="185"/>
      <c r="M453" s="185"/>
      <c r="N453" s="185"/>
      <c r="O453" s="193"/>
      <c r="P453" s="193"/>
      <c r="Q453" s="191"/>
      <c r="R453" s="191"/>
      <c r="S453" s="192"/>
    </row>
    <row r="454" spans="1:19" ht="20.5" thickTop="1" thickBot="1" x14ac:dyDescent="0.4">
      <c r="A454" s="184" t="s">
        <v>499</v>
      </c>
      <c r="B454" s="185" t="s">
        <v>499</v>
      </c>
      <c r="C454" s="185" t="s">
        <v>499</v>
      </c>
      <c r="D454" s="186" t="s">
        <v>499</v>
      </c>
      <c r="E454" s="185" t="s">
        <v>499</v>
      </c>
      <c r="F454" s="185" t="s">
        <v>499</v>
      </c>
      <c r="G454" s="187">
        <f t="shared" si="7"/>
        <v>0</v>
      </c>
      <c r="H454" s="188"/>
      <c r="I454" s="188"/>
      <c r="J454" s="188"/>
      <c r="K454" s="185"/>
      <c r="L454" s="185"/>
      <c r="M454" s="185"/>
      <c r="N454" s="185"/>
      <c r="O454" s="193"/>
      <c r="P454" s="193"/>
      <c r="Q454" s="191"/>
      <c r="R454" s="191"/>
      <c r="S454" s="192"/>
    </row>
    <row r="455" spans="1:19" ht="20.5" thickTop="1" thickBot="1" x14ac:dyDescent="0.4">
      <c r="A455" s="184" t="s">
        <v>499</v>
      </c>
      <c r="B455" s="185" t="s">
        <v>499</v>
      </c>
      <c r="C455" s="185" t="s">
        <v>499</v>
      </c>
      <c r="D455" s="186" t="s">
        <v>499</v>
      </c>
      <c r="E455" s="185" t="s">
        <v>499</v>
      </c>
      <c r="F455" s="185" t="s">
        <v>499</v>
      </c>
      <c r="G455" s="187">
        <f t="shared" si="7"/>
        <v>0</v>
      </c>
      <c r="H455" s="188"/>
      <c r="I455" s="188"/>
      <c r="J455" s="188"/>
      <c r="K455" s="185"/>
      <c r="L455" s="185"/>
      <c r="M455" s="185"/>
      <c r="N455" s="185"/>
      <c r="O455" s="193"/>
      <c r="P455" s="193"/>
      <c r="Q455" s="191"/>
      <c r="R455" s="191"/>
      <c r="S455" s="192"/>
    </row>
    <row r="456" spans="1:19" ht="20.5" thickTop="1" thickBot="1" x14ac:dyDescent="0.4">
      <c r="A456" s="184" t="s">
        <v>499</v>
      </c>
      <c r="B456" s="185" t="s">
        <v>499</v>
      </c>
      <c r="C456" s="185" t="s">
        <v>499</v>
      </c>
      <c r="D456" s="186" t="s">
        <v>499</v>
      </c>
      <c r="E456" s="185" t="s">
        <v>499</v>
      </c>
      <c r="F456" s="185" t="s">
        <v>499</v>
      </c>
      <c r="G456" s="187">
        <f t="shared" si="7"/>
        <v>0</v>
      </c>
      <c r="H456" s="188"/>
      <c r="I456" s="188"/>
      <c r="J456" s="188"/>
      <c r="K456" s="185"/>
      <c r="L456" s="185"/>
      <c r="M456" s="185"/>
      <c r="N456" s="185"/>
      <c r="O456" s="193"/>
      <c r="P456" s="193"/>
      <c r="Q456" s="191"/>
      <c r="R456" s="191"/>
      <c r="S456" s="192"/>
    </row>
    <row r="457" spans="1:19" ht="20.5" thickTop="1" thickBot="1" x14ac:dyDescent="0.4">
      <c r="A457" s="184" t="s">
        <v>499</v>
      </c>
      <c r="B457" s="185" t="s">
        <v>499</v>
      </c>
      <c r="C457" s="185" t="s">
        <v>499</v>
      </c>
      <c r="D457" s="186" t="s">
        <v>499</v>
      </c>
      <c r="E457" s="185" t="s">
        <v>499</v>
      </c>
      <c r="F457" s="185" t="s">
        <v>499</v>
      </c>
      <c r="G457" s="187">
        <f t="shared" si="7"/>
        <v>0</v>
      </c>
      <c r="H457" s="188"/>
      <c r="I457" s="188"/>
      <c r="J457" s="188"/>
      <c r="K457" s="185"/>
      <c r="L457" s="185"/>
      <c r="M457" s="185"/>
      <c r="N457" s="185"/>
      <c r="O457" s="193"/>
      <c r="P457" s="193"/>
      <c r="Q457" s="191"/>
      <c r="R457" s="191"/>
      <c r="S457" s="192"/>
    </row>
    <row r="458" spans="1:19" ht="20.5" thickTop="1" thickBot="1" x14ac:dyDescent="0.4">
      <c r="A458" s="184" t="s">
        <v>499</v>
      </c>
      <c r="B458" s="185" t="s">
        <v>499</v>
      </c>
      <c r="C458" s="185" t="s">
        <v>499</v>
      </c>
      <c r="D458" s="186" t="s">
        <v>499</v>
      </c>
      <c r="E458" s="185" t="s">
        <v>499</v>
      </c>
      <c r="F458" s="185" t="s">
        <v>499</v>
      </c>
      <c r="G458" s="187">
        <f t="shared" si="7"/>
        <v>0</v>
      </c>
      <c r="H458" s="188"/>
      <c r="I458" s="188"/>
      <c r="J458" s="188"/>
      <c r="K458" s="185"/>
      <c r="L458" s="185"/>
      <c r="M458" s="185"/>
      <c r="N458" s="185"/>
      <c r="O458" s="193"/>
      <c r="P458" s="193"/>
      <c r="Q458" s="191"/>
      <c r="R458" s="191"/>
      <c r="S458" s="192"/>
    </row>
    <row r="459" spans="1:19" ht="20.5" thickTop="1" thickBot="1" x14ac:dyDescent="0.4">
      <c r="A459" s="184" t="s">
        <v>499</v>
      </c>
      <c r="B459" s="185" t="s">
        <v>499</v>
      </c>
      <c r="C459" s="185" t="s">
        <v>499</v>
      </c>
      <c r="D459" s="186" t="s">
        <v>499</v>
      </c>
      <c r="E459" s="185" t="s">
        <v>499</v>
      </c>
      <c r="F459" s="185" t="s">
        <v>499</v>
      </c>
      <c r="G459" s="187">
        <f t="shared" si="7"/>
        <v>0</v>
      </c>
      <c r="H459" s="188"/>
      <c r="I459" s="188"/>
      <c r="J459" s="188"/>
      <c r="K459" s="185"/>
      <c r="L459" s="185"/>
      <c r="M459" s="185"/>
      <c r="N459" s="185"/>
      <c r="O459" s="193"/>
      <c r="P459" s="193"/>
      <c r="Q459" s="191"/>
      <c r="R459" s="191"/>
      <c r="S459" s="192"/>
    </row>
    <row r="460" spans="1:19" ht="20.5" thickTop="1" thickBot="1" x14ac:dyDescent="0.4">
      <c r="A460" s="184" t="s">
        <v>499</v>
      </c>
      <c r="B460" s="185" t="s">
        <v>499</v>
      </c>
      <c r="C460" s="185" t="s">
        <v>499</v>
      </c>
      <c r="D460" s="186" t="s">
        <v>499</v>
      </c>
      <c r="E460" s="185" t="s">
        <v>499</v>
      </c>
      <c r="F460" s="185" t="s">
        <v>499</v>
      </c>
      <c r="G460" s="187">
        <f t="shared" si="7"/>
        <v>0</v>
      </c>
      <c r="H460" s="188"/>
      <c r="I460" s="188"/>
      <c r="J460" s="188"/>
      <c r="K460" s="185"/>
      <c r="L460" s="185"/>
      <c r="M460" s="185"/>
      <c r="N460" s="185"/>
      <c r="O460" s="193"/>
      <c r="P460" s="193"/>
      <c r="Q460" s="191"/>
      <c r="R460" s="191"/>
      <c r="S460" s="192"/>
    </row>
    <row r="461" spans="1:19" ht="20.5" thickTop="1" thickBot="1" x14ac:dyDescent="0.4">
      <c r="A461" s="184" t="s">
        <v>499</v>
      </c>
      <c r="B461" s="185" t="s">
        <v>499</v>
      </c>
      <c r="C461" s="185" t="s">
        <v>499</v>
      </c>
      <c r="D461" s="186" t="s">
        <v>499</v>
      </c>
      <c r="E461" s="185" t="s">
        <v>499</v>
      </c>
      <c r="F461" s="185" t="s">
        <v>499</v>
      </c>
      <c r="G461" s="187">
        <f t="shared" si="7"/>
        <v>0</v>
      </c>
      <c r="H461" s="188"/>
      <c r="I461" s="188"/>
      <c r="J461" s="188"/>
      <c r="K461" s="185"/>
      <c r="L461" s="185"/>
      <c r="M461" s="185"/>
      <c r="N461" s="185"/>
      <c r="O461" s="193"/>
      <c r="P461" s="193"/>
      <c r="Q461" s="191"/>
      <c r="R461" s="191"/>
      <c r="S461" s="192"/>
    </row>
    <row r="462" spans="1:19" ht="20.5" thickTop="1" thickBot="1" x14ac:dyDescent="0.4">
      <c r="A462" s="184" t="s">
        <v>499</v>
      </c>
      <c r="B462" s="185" t="s">
        <v>499</v>
      </c>
      <c r="C462" s="185" t="s">
        <v>499</v>
      </c>
      <c r="D462" s="186" t="s">
        <v>499</v>
      </c>
      <c r="E462" s="185" t="s">
        <v>499</v>
      </c>
      <c r="F462" s="185" t="s">
        <v>499</v>
      </c>
      <c r="G462" s="187">
        <f t="shared" si="7"/>
        <v>0</v>
      </c>
      <c r="H462" s="188"/>
      <c r="I462" s="188"/>
      <c r="J462" s="188"/>
      <c r="K462" s="185"/>
      <c r="L462" s="185"/>
      <c r="M462" s="185"/>
      <c r="N462" s="185"/>
      <c r="O462" s="193"/>
      <c r="P462" s="193"/>
      <c r="Q462" s="191"/>
      <c r="R462" s="191"/>
      <c r="S462" s="192"/>
    </row>
    <row r="463" spans="1:19" ht="20.5" thickTop="1" thickBot="1" x14ac:dyDescent="0.4">
      <c r="A463" s="184" t="s">
        <v>499</v>
      </c>
      <c r="B463" s="185" t="s">
        <v>499</v>
      </c>
      <c r="C463" s="185" t="s">
        <v>499</v>
      </c>
      <c r="D463" s="186" t="s">
        <v>499</v>
      </c>
      <c r="E463" s="185" t="s">
        <v>499</v>
      </c>
      <c r="F463" s="185" t="s">
        <v>499</v>
      </c>
      <c r="G463" s="187">
        <f t="shared" si="7"/>
        <v>0</v>
      </c>
      <c r="H463" s="188"/>
      <c r="I463" s="188"/>
      <c r="J463" s="188"/>
      <c r="K463" s="185"/>
      <c r="L463" s="185"/>
      <c r="M463" s="185"/>
      <c r="N463" s="185"/>
      <c r="O463" s="193"/>
      <c r="P463" s="193"/>
      <c r="Q463" s="191"/>
      <c r="R463" s="191"/>
      <c r="S463" s="192"/>
    </row>
    <row r="464" spans="1:19" ht="20.5" thickTop="1" thickBot="1" x14ac:dyDescent="0.4">
      <c r="A464" s="184" t="s">
        <v>499</v>
      </c>
      <c r="B464" s="185" t="s">
        <v>499</v>
      </c>
      <c r="C464" s="185" t="s">
        <v>499</v>
      </c>
      <c r="D464" s="186" t="s">
        <v>499</v>
      </c>
      <c r="E464" s="185" t="s">
        <v>499</v>
      </c>
      <c r="F464" s="185" t="s">
        <v>499</v>
      </c>
      <c r="G464" s="187">
        <f t="shared" si="7"/>
        <v>0</v>
      </c>
      <c r="H464" s="188"/>
      <c r="I464" s="188"/>
      <c r="J464" s="188"/>
      <c r="K464" s="185"/>
      <c r="L464" s="185"/>
      <c r="M464" s="185"/>
      <c r="N464" s="185"/>
      <c r="O464" s="193"/>
      <c r="P464" s="193"/>
      <c r="Q464" s="191"/>
      <c r="R464" s="191"/>
      <c r="S464" s="192"/>
    </row>
    <row r="465" spans="1:19" ht="20.5" thickTop="1" thickBot="1" x14ac:dyDescent="0.4">
      <c r="A465" s="184" t="s">
        <v>499</v>
      </c>
      <c r="B465" s="185" t="s">
        <v>499</v>
      </c>
      <c r="C465" s="185" t="s">
        <v>499</v>
      </c>
      <c r="D465" s="186" t="s">
        <v>499</v>
      </c>
      <c r="E465" s="185" t="s">
        <v>499</v>
      </c>
      <c r="F465" s="185" t="s">
        <v>499</v>
      </c>
      <c r="G465" s="187">
        <f t="shared" si="7"/>
        <v>0</v>
      </c>
      <c r="H465" s="188"/>
      <c r="I465" s="188"/>
      <c r="J465" s="188"/>
      <c r="K465" s="185"/>
      <c r="L465" s="185"/>
      <c r="M465" s="185"/>
      <c r="N465" s="185"/>
      <c r="O465" s="193"/>
      <c r="P465" s="193"/>
      <c r="Q465" s="191"/>
      <c r="R465" s="191"/>
      <c r="S465" s="192"/>
    </row>
    <row r="466" spans="1:19" ht="20.5" thickTop="1" thickBot="1" x14ac:dyDescent="0.4">
      <c r="A466" s="184" t="s">
        <v>499</v>
      </c>
      <c r="B466" s="185" t="s">
        <v>499</v>
      </c>
      <c r="C466" s="185" t="s">
        <v>499</v>
      </c>
      <c r="D466" s="186" t="s">
        <v>499</v>
      </c>
      <c r="E466" s="185" t="s">
        <v>499</v>
      </c>
      <c r="F466" s="185" t="s">
        <v>499</v>
      </c>
      <c r="G466" s="187">
        <f t="shared" si="7"/>
        <v>0</v>
      </c>
      <c r="H466" s="188"/>
      <c r="I466" s="188"/>
      <c r="J466" s="188"/>
      <c r="K466" s="185"/>
      <c r="L466" s="185"/>
      <c r="M466" s="185"/>
      <c r="N466" s="185"/>
      <c r="O466" s="193"/>
      <c r="P466" s="193"/>
      <c r="Q466" s="191"/>
      <c r="R466" s="191"/>
      <c r="S466" s="192"/>
    </row>
    <row r="467" spans="1:19" ht="20.5" thickTop="1" thickBot="1" x14ac:dyDescent="0.4">
      <c r="A467" s="184" t="s">
        <v>499</v>
      </c>
      <c r="B467" s="185" t="s">
        <v>499</v>
      </c>
      <c r="C467" s="185" t="s">
        <v>499</v>
      </c>
      <c r="D467" s="186" t="s">
        <v>499</v>
      </c>
      <c r="E467" s="185" t="s">
        <v>499</v>
      </c>
      <c r="F467" s="185" t="s">
        <v>499</v>
      </c>
      <c r="G467" s="187">
        <f t="shared" si="7"/>
        <v>0</v>
      </c>
      <c r="H467" s="188"/>
      <c r="I467" s="188"/>
      <c r="J467" s="188"/>
      <c r="K467" s="185"/>
      <c r="L467" s="185"/>
      <c r="M467" s="185"/>
      <c r="N467" s="185"/>
      <c r="O467" s="193"/>
      <c r="P467" s="193"/>
      <c r="Q467" s="191"/>
      <c r="R467" s="191"/>
      <c r="S467" s="192"/>
    </row>
    <row r="468" spans="1:19" ht="20.5" thickTop="1" thickBot="1" x14ac:dyDescent="0.4">
      <c r="A468" s="184" t="s">
        <v>499</v>
      </c>
      <c r="B468" s="185" t="s">
        <v>499</v>
      </c>
      <c r="C468" s="185" t="s">
        <v>499</v>
      </c>
      <c r="D468" s="186" t="s">
        <v>499</v>
      </c>
      <c r="E468" s="185" t="s">
        <v>499</v>
      </c>
      <c r="F468" s="185" t="s">
        <v>499</v>
      </c>
      <c r="G468" s="187">
        <f t="shared" si="7"/>
        <v>0</v>
      </c>
      <c r="H468" s="188"/>
      <c r="I468" s="188"/>
      <c r="J468" s="188"/>
      <c r="K468" s="185"/>
      <c r="L468" s="185"/>
      <c r="M468" s="185"/>
      <c r="N468" s="185"/>
      <c r="O468" s="193"/>
      <c r="P468" s="193"/>
      <c r="Q468" s="191"/>
      <c r="R468" s="191"/>
      <c r="S468" s="192"/>
    </row>
    <row r="469" spans="1:19" ht="20.5" thickTop="1" thickBot="1" x14ac:dyDescent="0.4">
      <c r="A469" s="184" t="s">
        <v>499</v>
      </c>
      <c r="B469" s="185" t="s">
        <v>499</v>
      </c>
      <c r="C469" s="185" t="s">
        <v>499</v>
      </c>
      <c r="D469" s="186" t="s">
        <v>499</v>
      </c>
      <c r="E469" s="185" t="s">
        <v>499</v>
      </c>
      <c r="F469" s="185" t="s">
        <v>499</v>
      </c>
      <c r="G469" s="187">
        <f t="shared" si="7"/>
        <v>0</v>
      </c>
      <c r="H469" s="188"/>
      <c r="I469" s="188"/>
      <c r="J469" s="188"/>
      <c r="K469" s="185"/>
      <c r="L469" s="185"/>
      <c r="M469" s="185"/>
      <c r="N469" s="185"/>
      <c r="O469" s="193"/>
      <c r="P469" s="193"/>
      <c r="Q469" s="191"/>
      <c r="R469" s="191"/>
      <c r="S469" s="192"/>
    </row>
    <row r="470" spans="1:19" ht="20.5" thickTop="1" thickBot="1" x14ac:dyDescent="0.4">
      <c r="A470" s="184" t="s">
        <v>499</v>
      </c>
      <c r="B470" s="185" t="s">
        <v>499</v>
      </c>
      <c r="C470" s="185" t="s">
        <v>499</v>
      </c>
      <c r="D470" s="186" t="s">
        <v>499</v>
      </c>
      <c r="E470" s="185" t="s">
        <v>499</v>
      </c>
      <c r="F470" s="185" t="s">
        <v>499</v>
      </c>
      <c r="G470" s="187">
        <f t="shared" si="7"/>
        <v>0</v>
      </c>
      <c r="H470" s="188"/>
      <c r="I470" s="188"/>
      <c r="J470" s="188"/>
      <c r="K470" s="185"/>
      <c r="L470" s="185"/>
      <c r="M470" s="185"/>
      <c r="N470" s="185"/>
      <c r="O470" s="193"/>
      <c r="P470" s="193"/>
      <c r="Q470" s="191"/>
      <c r="R470" s="191"/>
      <c r="S470" s="192"/>
    </row>
    <row r="471" spans="1:19" ht="20.5" thickTop="1" thickBot="1" x14ac:dyDescent="0.4">
      <c r="A471" s="184" t="s">
        <v>499</v>
      </c>
      <c r="B471" s="185" t="s">
        <v>499</v>
      </c>
      <c r="C471" s="185" t="s">
        <v>499</v>
      </c>
      <c r="D471" s="186" t="s">
        <v>499</v>
      </c>
      <c r="E471" s="185" t="s">
        <v>499</v>
      </c>
      <c r="F471" s="185" t="s">
        <v>499</v>
      </c>
      <c r="G471" s="187">
        <f t="shared" si="7"/>
        <v>0</v>
      </c>
      <c r="H471" s="188"/>
      <c r="I471" s="188"/>
      <c r="J471" s="188"/>
      <c r="K471" s="185"/>
      <c r="L471" s="185"/>
      <c r="M471" s="185"/>
      <c r="N471" s="185"/>
      <c r="O471" s="193"/>
      <c r="P471" s="193"/>
      <c r="Q471" s="191"/>
      <c r="R471" s="191"/>
      <c r="S471" s="192"/>
    </row>
    <row r="472" spans="1:19" ht="20.5" thickTop="1" thickBot="1" x14ac:dyDescent="0.4">
      <c r="A472" s="184" t="s">
        <v>499</v>
      </c>
      <c r="B472" s="185" t="s">
        <v>499</v>
      </c>
      <c r="C472" s="185" t="s">
        <v>499</v>
      </c>
      <c r="D472" s="186" t="s">
        <v>499</v>
      </c>
      <c r="E472" s="185" t="s">
        <v>499</v>
      </c>
      <c r="F472" s="185" t="s">
        <v>499</v>
      </c>
      <c r="G472" s="187">
        <f t="shared" si="7"/>
        <v>0</v>
      </c>
      <c r="H472" s="188"/>
      <c r="I472" s="188"/>
      <c r="J472" s="188"/>
      <c r="K472" s="185"/>
      <c r="L472" s="185"/>
      <c r="M472" s="185"/>
      <c r="N472" s="185"/>
      <c r="O472" s="193"/>
      <c r="P472" s="193"/>
      <c r="Q472" s="191"/>
      <c r="R472" s="191"/>
      <c r="S472" s="192"/>
    </row>
    <row r="473" spans="1:19" ht="20.5" thickTop="1" thickBot="1" x14ac:dyDescent="0.4">
      <c r="A473" s="184" t="s">
        <v>499</v>
      </c>
      <c r="B473" s="185" t="s">
        <v>499</v>
      </c>
      <c r="C473" s="185" t="s">
        <v>499</v>
      </c>
      <c r="D473" s="186" t="s">
        <v>499</v>
      </c>
      <c r="E473" s="185" t="s">
        <v>499</v>
      </c>
      <c r="F473" s="185" t="s">
        <v>499</v>
      </c>
      <c r="G473" s="187">
        <f t="shared" si="7"/>
        <v>0</v>
      </c>
      <c r="H473" s="188"/>
      <c r="I473" s="188"/>
      <c r="J473" s="188"/>
      <c r="K473" s="185"/>
      <c r="L473" s="185"/>
      <c r="M473" s="185"/>
      <c r="N473" s="185"/>
      <c r="O473" s="193"/>
      <c r="P473" s="193"/>
      <c r="Q473" s="191"/>
      <c r="R473" s="191"/>
      <c r="S473" s="192"/>
    </row>
    <row r="474" spans="1:19" ht="20.5" thickTop="1" thickBot="1" x14ac:dyDescent="0.4">
      <c r="A474" s="184" t="s">
        <v>499</v>
      </c>
      <c r="B474" s="185" t="s">
        <v>499</v>
      </c>
      <c r="C474" s="185" t="s">
        <v>499</v>
      </c>
      <c r="D474" s="186" t="s">
        <v>499</v>
      </c>
      <c r="E474" s="185" t="s">
        <v>499</v>
      </c>
      <c r="F474" s="185" t="s">
        <v>499</v>
      </c>
      <c r="G474" s="187">
        <f t="shared" si="7"/>
        <v>0</v>
      </c>
      <c r="H474" s="188"/>
      <c r="I474" s="188"/>
      <c r="J474" s="188"/>
      <c r="K474" s="185"/>
      <c r="L474" s="185"/>
      <c r="M474" s="185"/>
      <c r="N474" s="185"/>
      <c r="O474" s="193"/>
      <c r="P474" s="193"/>
      <c r="Q474" s="191"/>
      <c r="R474" s="191"/>
      <c r="S474" s="192"/>
    </row>
    <row r="475" spans="1:19" ht="20.5" thickTop="1" thickBot="1" x14ac:dyDescent="0.4">
      <c r="A475" s="184" t="s">
        <v>499</v>
      </c>
      <c r="B475" s="185" t="s">
        <v>499</v>
      </c>
      <c r="C475" s="185" t="s">
        <v>499</v>
      </c>
      <c r="D475" s="186" t="s">
        <v>499</v>
      </c>
      <c r="E475" s="185" t="s">
        <v>499</v>
      </c>
      <c r="F475" s="185" t="s">
        <v>499</v>
      </c>
      <c r="G475" s="187">
        <f t="shared" si="7"/>
        <v>0</v>
      </c>
      <c r="H475" s="188"/>
      <c r="I475" s="188"/>
      <c r="J475" s="188"/>
      <c r="K475" s="185"/>
      <c r="L475" s="185"/>
      <c r="M475" s="185"/>
      <c r="N475" s="185"/>
      <c r="O475" s="193"/>
      <c r="P475" s="193"/>
      <c r="Q475" s="191"/>
      <c r="R475" s="191"/>
      <c r="S475" s="192"/>
    </row>
    <row r="476" spans="1:19" ht="20.5" thickTop="1" thickBot="1" x14ac:dyDescent="0.4">
      <c r="A476" s="184" t="s">
        <v>499</v>
      </c>
      <c r="B476" s="185" t="s">
        <v>499</v>
      </c>
      <c r="C476" s="185" t="s">
        <v>499</v>
      </c>
      <c r="D476" s="186" t="s">
        <v>499</v>
      </c>
      <c r="E476" s="185" t="s">
        <v>499</v>
      </c>
      <c r="F476" s="185" t="s">
        <v>499</v>
      </c>
      <c r="G476" s="187">
        <f t="shared" si="7"/>
        <v>0</v>
      </c>
      <c r="H476" s="188"/>
      <c r="I476" s="188"/>
      <c r="J476" s="188"/>
      <c r="K476" s="185"/>
      <c r="L476" s="185"/>
      <c r="M476" s="185"/>
      <c r="N476" s="185"/>
      <c r="O476" s="193"/>
      <c r="P476" s="193"/>
      <c r="Q476" s="191"/>
      <c r="R476" s="191"/>
      <c r="S476" s="192"/>
    </row>
    <row r="477" spans="1:19" ht="20.5" thickTop="1" thickBot="1" x14ac:dyDescent="0.4">
      <c r="A477" s="184" t="s">
        <v>499</v>
      </c>
      <c r="B477" s="185" t="s">
        <v>499</v>
      </c>
      <c r="C477" s="185" t="s">
        <v>499</v>
      </c>
      <c r="D477" s="186" t="s">
        <v>499</v>
      </c>
      <c r="E477" s="185" t="s">
        <v>499</v>
      </c>
      <c r="F477" s="185" t="s">
        <v>499</v>
      </c>
      <c r="G477" s="187">
        <f t="shared" si="7"/>
        <v>0</v>
      </c>
      <c r="H477" s="188"/>
      <c r="I477" s="188"/>
      <c r="J477" s="188"/>
      <c r="K477" s="185"/>
      <c r="L477" s="185"/>
      <c r="M477" s="185"/>
      <c r="N477" s="185"/>
      <c r="O477" s="193"/>
      <c r="P477" s="193"/>
      <c r="Q477" s="191"/>
      <c r="R477" s="191"/>
      <c r="S477" s="192"/>
    </row>
    <row r="478" spans="1:19" ht="20.5" thickTop="1" thickBot="1" x14ac:dyDescent="0.4">
      <c r="A478" s="184" t="s">
        <v>499</v>
      </c>
      <c r="B478" s="185" t="s">
        <v>499</v>
      </c>
      <c r="C478" s="185" t="s">
        <v>499</v>
      </c>
      <c r="D478" s="186" t="s">
        <v>499</v>
      </c>
      <c r="E478" s="185" t="s">
        <v>499</v>
      </c>
      <c r="F478" s="185" t="s">
        <v>499</v>
      </c>
      <c r="G478" s="187">
        <f t="shared" si="7"/>
        <v>0</v>
      </c>
      <c r="H478" s="188"/>
      <c r="I478" s="188"/>
      <c r="J478" s="188"/>
      <c r="K478" s="185"/>
      <c r="L478" s="185"/>
      <c r="M478" s="185"/>
      <c r="N478" s="185"/>
      <c r="O478" s="193"/>
      <c r="P478" s="193"/>
      <c r="Q478" s="191"/>
      <c r="R478" s="191"/>
      <c r="S478" s="192"/>
    </row>
    <row r="479" spans="1:19" ht="20.5" thickTop="1" thickBot="1" x14ac:dyDescent="0.4">
      <c r="A479" s="184" t="s">
        <v>499</v>
      </c>
      <c r="B479" s="185" t="s">
        <v>499</v>
      </c>
      <c r="C479" s="185" t="s">
        <v>499</v>
      </c>
      <c r="D479" s="186" t="s">
        <v>499</v>
      </c>
      <c r="E479" s="185" t="s">
        <v>499</v>
      </c>
      <c r="F479" s="185" t="s">
        <v>499</v>
      </c>
      <c r="G479" s="187">
        <f t="shared" si="7"/>
        <v>0</v>
      </c>
      <c r="H479" s="188"/>
      <c r="I479" s="188"/>
      <c r="J479" s="188"/>
      <c r="K479" s="185"/>
      <c r="L479" s="185"/>
      <c r="M479" s="185"/>
      <c r="N479" s="185"/>
      <c r="O479" s="193"/>
      <c r="P479" s="193"/>
      <c r="Q479" s="191"/>
      <c r="R479" s="191"/>
      <c r="S479" s="192"/>
    </row>
    <row r="480" spans="1:19" ht="20.5" thickTop="1" thickBot="1" x14ac:dyDescent="0.4">
      <c r="A480" s="184" t="s">
        <v>499</v>
      </c>
      <c r="B480" s="185" t="s">
        <v>499</v>
      </c>
      <c r="C480" s="185" t="s">
        <v>499</v>
      </c>
      <c r="D480" s="186" t="s">
        <v>499</v>
      </c>
      <c r="E480" s="185" t="s">
        <v>499</v>
      </c>
      <c r="F480" s="185" t="s">
        <v>499</v>
      </c>
      <c r="G480" s="187">
        <f t="shared" si="7"/>
        <v>0</v>
      </c>
      <c r="H480" s="188"/>
      <c r="I480" s="188"/>
      <c r="J480" s="188"/>
      <c r="K480" s="185"/>
      <c r="L480" s="185"/>
      <c r="M480" s="185"/>
      <c r="N480" s="185"/>
      <c r="O480" s="193"/>
      <c r="P480" s="193"/>
      <c r="Q480" s="191"/>
      <c r="R480" s="191"/>
      <c r="S480" s="192"/>
    </row>
    <row r="481" spans="1:19" ht="20.5" thickTop="1" thickBot="1" x14ac:dyDescent="0.4">
      <c r="A481" s="184" t="s">
        <v>499</v>
      </c>
      <c r="B481" s="185" t="s">
        <v>499</v>
      </c>
      <c r="C481" s="185" t="s">
        <v>499</v>
      </c>
      <c r="D481" s="186" t="s">
        <v>499</v>
      </c>
      <c r="E481" s="185" t="s">
        <v>499</v>
      </c>
      <c r="F481" s="185" t="s">
        <v>499</v>
      </c>
      <c r="G481" s="187">
        <f t="shared" si="7"/>
        <v>0</v>
      </c>
      <c r="H481" s="188"/>
      <c r="I481" s="188"/>
      <c r="J481" s="188"/>
      <c r="K481" s="185"/>
      <c r="L481" s="185"/>
      <c r="M481" s="185"/>
      <c r="N481" s="185"/>
      <c r="O481" s="193"/>
      <c r="P481" s="193"/>
      <c r="Q481" s="191"/>
      <c r="R481" s="191"/>
      <c r="S481" s="192"/>
    </row>
    <row r="482" spans="1:19" ht="20.5" thickTop="1" thickBot="1" x14ac:dyDescent="0.4">
      <c r="A482" s="184" t="s">
        <v>499</v>
      </c>
      <c r="B482" s="185" t="s">
        <v>499</v>
      </c>
      <c r="C482" s="185" t="s">
        <v>499</v>
      </c>
      <c r="D482" s="186" t="s">
        <v>499</v>
      </c>
      <c r="E482" s="185" t="s">
        <v>499</v>
      </c>
      <c r="F482" s="185" t="s">
        <v>499</v>
      </c>
      <c r="G482" s="187">
        <f t="shared" si="7"/>
        <v>0</v>
      </c>
      <c r="H482" s="188"/>
      <c r="I482" s="188"/>
      <c r="J482" s="188"/>
      <c r="K482" s="185"/>
      <c r="L482" s="185"/>
      <c r="M482" s="185"/>
      <c r="N482" s="185"/>
      <c r="O482" s="193"/>
      <c r="P482" s="193"/>
      <c r="Q482" s="191"/>
      <c r="R482" s="191"/>
      <c r="S482" s="192"/>
    </row>
    <row r="483" spans="1:19" ht="20.5" thickTop="1" thickBot="1" x14ac:dyDescent="0.4">
      <c r="A483" s="184" t="s">
        <v>499</v>
      </c>
      <c r="B483" s="185" t="s">
        <v>499</v>
      </c>
      <c r="C483" s="185" t="s">
        <v>499</v>
      </c>
      <c r="D483" s="186" t="s">
        <v>499</v>
      </c>
      <c r="E483" s="185" t="s">
        <v>499</v>
      </c>
      <c r="F483" s="185" t="s">
        <v>499</v>
      </c>
      <c r="G483" s="187">
        <f t="shared" si="7"/>
        <v>0</v>
      </c>
      <c r="H483" s="188"/>
      <c r="I483" s="188"/>
      <c r="J483" s="188"/>
      <c r="K483" s="185"/>
      <c r="L483" s="185"/>
      <c r="M483" s="185"/>
      <c r="N483" s="185"/>
      <c r="O483" s="193"/>
      <c r="P483" s="193"/>
      <c r="Q483" s="191"/>
      <c r="R483" s="191"/>
      <c r="S483" s="192"/>
    </row>
    <row r="484" spans="1:19" ht="20.5" thickTop="1" thickBot="1" x14ac:dyDescent="0.4">
      <c r="A484" s="184" t="s">
        <v>499</v>
      </c>
      <c r="B484" s="185" t="s">
        <v>499</v>
      </c>
      <c r="C484" s="185" t="s">
        <v>499</v>
      </c>
      <c r="D484" s="186" t="s">
        <v>499</v>
      </c>
      <c r="E484" s="185" t="s">
        <v>499</v>
      </c>
      <c r="F484" s="185" t="s">
        <v>499</v>
      </c>
      <c r="G484" s="187">
        <f t="shared" si="7"/>
        <v>0</v>
      </c>
      <c r="H484" s="188"/>
      <c r="I484" s="188"/>
      <c r="J484" s="188"/>
      <c r="K484" s="185"/>
      <c r="L484" s="185"/>
      <c r="M484" s="185"/>
      <c r="N484" s="185"/>
      <c r="O484" s="193"/>
      <c r="P484" s="193"/>
      <c r="Q484" s="191"/>
      <c r="R484" s="191"/>
      <c r="S484" s="192"/>
    </row>
    <row r="485" spans="1:19" ht="20.5" thickTop="1" thickBot="1" x14ac:dyDescent="0.4">
      <c r="A485" s="184" t="s">
        <v>499</v>
      </c>
      <c r="B485" s="185" t="s">
        <v>499</v>
      </c>
      <c r="C485" s="185" t="s">
        <v>499</v>
      </c>
      <c r="D485" s="186" t="s">
        <v>499</v>
      </c>
      <c r="E485" s="185" t="s">
        <v>499</v>
      </c>
      <c r="F485" s="185" t="s">
        <v>499</v>
      </c>
      <c r="G485" s="187">
        <f t="shared" si="7"/>
        <v>0</v>
      </c>
      <c r="H485" s="188"/>
      <c r="I485" s="188"/>
      <c r="J485" s="188"/>
      <c r="K485" s="185"/>
      <c r="L485" s="185"/>
      <c r="M485" s="185"/>
      <c r="N485" s="185"/>
      <c r="O485" s="193"/>
      <c r="P485" s="193"/>
      <c r="Q485" s="191"/>
      <c r="R485" s="191"/>
      <c r="S485" s="192"/>
    </row>
    <row r="486" spans="1:19" ht="20.5" thickTop="1" thickBot="1" x14ac:dyDescent="0.4">
      <c r="A486" s="184" t="s">
        <v>499</v>
      </c>
      <c r="B486" s="185" t="s">
        <v>499</v>
      </c>
      <c r="C486" s="185" t="s">
        <v>499</v>
      </c>
      <c r="D486" s="186" t="s">
        <v>499</v>
      </c>
      <c r="E486" s="185" t="s">
        <v>499</v>
      </c>
      <c r="F486" s="185" t="s">
        <v>499</v>
      </c>
      <c r="G486" s="187">
        <f t="shared" si="7"/>
        <v>0</v>
      </c>
      <c r="H486" s="188"/>
      <c r="I486" s="188"/>
      <c r="J486" s="188"/>
      <c r="K486" s="185"/>
      <c r="L486" s="185"/>
      <c r="M486" s="185"/>
      <c r="N486" s="185"/>
      <c r="O486" s="193"/>
      <c r="P486" s="193"/>
      <c r="Q486" s="191"/>
      <c r="R486" s="191"/>
      <c r="S486" s="192"/>
    </row>
    <row r="487" spans="1:19" ht="20.5" thickTop="1" thickBot="1" x14ac:dyDescent="0.4">
      <c r="A487" s="184" t="s">
        <v>499</v>
      </c>
      <c r="B487" s="185" t="s">
        <v>499</v>
      </c>
      <c r="C487" s="185" t="s">
        <v>499</v>
      </c>
      <c r="D487" s="186" t="s">
        <v>499</v>
      </c>
      <c r="E487" s="185" t="s">
        <v>499</v>
      </c>
      <c r="F487" s="185" t="s">
        <v>499</v>
      </c>
      <c r="G487" s="187">
        <f t="shared" si="7"/>
        <v>0</v>
      </c>
      <c r="H487" s="188"/>
      <c r="I487" s="188"/>
      <c r="J487" s="188"/>
      <c r="K487" s="185"/>
      <c r="L487" s="185"/>
      <c r="M487" s="185"/>
      <c r="N487" s="185"/>
      <c r="O487" s="193"/>
      <c r="P487" s="193"/>
      <c r="Q487" s="191"/>
      <c r="R487" s="191"/>
      <c r="S487" s="192"/>
    </row>
    <row r="488" spans="1:19" ht="20.5" thickTop="1" thickBot="1" x14ac:dyDescent="0.4">
      <c r="A488" s="184" t="s">
        <v>499</v>
      </c>
      <c r="B488" s="185" t="s">
        <v>499</v>
      </c>
      <c r="C488" s="185" t="s">
        <v>499</v>
      </c>
      <c r="D488" s="186" t="s">
        <v>499</v>
      </c>
      <c r="E488" s="185" t="s">
        <v>499</v>
      </c>
      <c r="F488" s="185" t="s">
        <v>499</v>
      </c>
      <c r="G488" s="187">
        <f t="shared" si="7"/>
        <v>0</v>
      </c>
      <c r="H488" s="188"/>
      <c r="I488" s="188"/>
      <c r="J488" s="188"/>
      <c r="K488" s="185"/>
      <c r="L488" s="185"/>
      <c r="M488" s="185"/>
      <c r="N488" s="185"/>
      <c r="O488" s="193"/>
      <c r="P488" s="193"/>
      <c r="Q488" s="191"/>
      <c r="R488" s="191"/>
      <c r="S488" s="192"/>
    </row>
    <row r="489" spans="1:19" ht="20.5" thickTop="1" thickBot="1" x14ac:dyDescent="0.4">
      <c r="A489" s="184" t="s">
        <v>499</v>
      </c>
      <c r="B489" s="185" t="s">
        <v>499</v>
      </c>
      <c r="C489" s="185" t="s">
        <v>499</v>
      </c>
      <c r="D489" s="186" t="s">
        <v>499</v>
      </c>
      <c r="E489" s="185" t="s">
        <v>499</v>
      </c>
      <c r="F489" s="185" t="s">
        <v>499</v>
      </c>
      <c r="G489" s="187">
        <f t="shared" si="7"/>
        <v>0</v>
      </c>
      <c r="H489" s="188"/>
      <c r="I489" s="188"/>
      <c r="J489" s="188"/>
      <c r="K489" s="185"/>
      <c r="L489" s="185"/>
      <c r="M489" s="185"/>
      <c r="N489" s="185"/>
      <c r="O489" s="193"/>
      <c r="P489" s="193"/>
      <c r="Q489" s="191"/>
      <c r="R489" s="191"/>
      <c r="S489" s="192"/>
    </row>
    <row r="490" spans="1:19" ht="20.5" thickTop="1" thickBot="1" x14ac:dyDescent="0.4">
      <c r="A490" s="184" t="s">
        <v>499</v>
      </c>
      <c r="B490" s="185" t="s">
        <v>499</v>
      </c>
      <c r="C490" s="185" t="s">
        <v>499</v>
      </c>
      <c r="D490" s="186" t="s">
        <v>499</v>
      </c>
      <c r="E490" s="185" t="s">
        <v>499</v>
      </c>
      <c r="F490" s="185" t="s">
        <v>499</v>
      </c>
      <c r="G490" s="187">
        <f t="shared" si="7"/>
        <v>0</v>
      </c>
      <c r="H490" s="188"/>
      <c r="I490" s="188"/>
      <c r="J490" s="188"/>
      <c r="K490" s="185"/>
      <c r="L490" s="185"/>
      <c r="M490" s="185"/>
      <c r="N490" s="185"/>
      <c r="O490" s="193"/>
      <c r="P490" s="193"/>
      <c r="Q490" s="191"/>
      <c r="R490" s="191"/>
      <c r="S490" s="192"/>
    </row>
    <row r="491" spans="1:19" ht="20.5" thickTop="1" thickBot="1" x14ac:dyDescent="0.4">
      <c r="A491" s="184" t="s">
        <v>499</v>
      </c>
      <c r="B491" s="185" t="s">
        <v>499</v>
      </c>
      <c r="C491" s="185" t="s">
        <v>499</v>
      </c>
      <c r="D491" s="186" t="s">
        <v>499</v>
      </c>
      <c r="E491" s="185" t="s">
        <v>499</v>
      </c>
      <c r="F491" s="185" t="s">
        <v>499</v>
      </c>
      <c r="G491" s="187">
        <f t="shared" si="7"/>
        <v>0</v>
      </c>
      <c r="H491" s="188"/>
      <c r="I491" s="188"/>
      <c r="J491" s="188"/>
      <c r="K491" s="185"/>
      <c r="L491" s="185"/>
      <c r="M491" s="185"/>
      <c r="N491" s="185"/>
      <c r="O491" s="193"/>
      <c r="P491" s="193"/>
      <c r="Q491" s="191"/>
      <c r="R491" s="191"/>
      <c r="S491" s="192"/>
    </row>
    <row r="492" spans="1:19" ht="20.5" thickTop="1" thickBot="1" x14ac:dyDescent="0.4">
      <c r="A492" s="184" t="s">
        <v>499</v>
      </c>
      <c r="B492" s="185" t="s">
        <v>499</v>
      </c>
      <c r="C492" s="185" t="s">
        <v>499</v>
      </c>
      <c r="D492" s="186" t="s">
        <v>499</v>
      </c>
      <c r="E492" s="185" t="s">
        <v>499</v>
      </c>
      <c r="F492" s="185" t="s">
        <v>499</v>
      </c>
      <c r="G492" s="187">
        <f t="shared" si="7"/>
        <v>0</v>
      </c>
      <c r="H492" s="188"/>
      <c r="I492" s="188"/>
      <c r="J492" s="188"/>
      <c r="K492" s="185"/>
      <c r="L492" s="185"/>
      <c r="M492" s="185"/>
      <c r="N492" s="185"/>
      <c r="O492" s="193"/>
      <c r="P492" s="193"/>
      <c r="Q492" s="191"/>
      <c r="R492" s="191"/>
      <c r="S492" s="192"/>
    </row>
    <row r="493" spans="1:19" ht="20.5" thickTop="1" thickBot="1" x14ac:dyDescent="0.4">
      <c r="A493" s="184" t="s">
        <v>499</v>
      </c>
      <c r="B493" s="185" t="s">
        <v>499</v>
      </c>
      <c r="C493" s="185" t="s">
        <v>499</v>
      </c>
      <c r="D493" s="186" t="s">
        <v>499</v>
      </c>
      <c r="E493" s="185" t="s">
        <v>499</v>
      </c>
      <c r="F493" s="185" t="s">
        <v>499</v>
      </c>
      <c r="G493" s="187">
        <f t="shared" si="7"/>
        <v>0</v>
      </c>
      <c r="H493" s="188"/>
      <c r="I493" s="188"/>
      <c r="J493" s="188"/>
      <c r="K493" s="185"/>
      <c r="L493" s="185"/>
      <c r="M493" s="185"/>
      <c r="N493" s="185"/>
      <c r="O493" s="193"/>
      <c r="P493" s="193"/>
      <c r="Q493" s="191"/>
      <c r="R493" s="191"/>
      <c r="S493" s="192"/>
    </row>
    <row r="494" spans="1:19" ht="20.5" thickTop="1" thickBot="1" x14ac:dyDescent="0.4">
      <c r="A494" s="184" t="s">
        <v>499</v>
      </c>
      <c r="B494" s="185" t="s">
        <v>499</v>
      </c>
      <c r="C494" s="185" t="s">
        <v>499</v>
      </c>
      <c r="D494" s="186" t="s">
        <v>499</v>
      </c>
      <c r="E494" s="185" t="s">
        <v>499</v>
      </c>
      <c r="F494" s="185" t="s">
        <v>499</v>
      </c>
      <c r="G494" s="187">
        <f t="shared" si="7"/>
        <v>0</v>
      </c>
      <c r="H494" s="188"/>
      <c r="I494" s="188"/>
      <c r="J494" s="188"/>
      <c r="K494" s="185"/>
      <c r="L494" s="185"/>
      <c r="M494" s="185"/>
      <c r="N494" s="185"/>
      <c r="O494" s="193"/>
      <c r="P494" s="193"/>
      <c r="Q494" s="191"/>
      <c r="R494" s="191"/>
      <c r="S494" s="192"/>
    </row>
    <row r="495" spans="1:19" ht="20.5" thickTop="1" thickBot="1" x14ac:dyDescent="0.4">
      <c r="A495" s="184" t="s">
        <v>499</v>
      </c>
      <c r="B495" s="185" t="s">
        <v>499</v>
      </c>
      <c r="C495" s="185" t="s">
        <v>499</v>
      </c>
      <c r="D495" s="186" t="s">
        <v>499</v>
      </c>
      <c r="E495" s="185" t="s">
        <v>499</v>
      </c>
      <c r="F495" s="185" t="s">
        <v>499</v>
      </c>
      <c r="G495" s="187">
        <f t="shared" si="7"/>
        <v>0</v>
      </c>
      <c r="H495" s="188"/>
      <c r="I495" s="188"/>
      <c r="J495" s="188"/>
      <c r="K495" s="185"/>
      <c r="L495" s="185"/>
      <c r="M495" s="185"/>
      <c r="N495" s="185"/>
      <c r="O495" s="193"/>
      <c r="P495" s="193"/>
      <c r="Q495" s="191"/>
      <c r="R495" s="191"/>
      <c r="S495" s="192"/>
    </row>
    <row r="496" spans="1:19" ht="20.5" thickTop="1" thickBot="1" x14ac:dyDescent="0.4">
      <c r="A496" s="184" t="s">
        <v>499</v>
      </c>
      <c r="B496" s="185" t="s">
        <v>499</v>
      </c>
      <c r="C496" s="185" t="s">
        <v>499</v>
      </c>
      <c r="D496" s="186" t="s">
        <v>499</v>
      </c>
      <c r="E496" s="185" t="s">
        <v>499</v>
      </c>
      <c r="F496" s="185" t="s">
        <v>499</v>
      </c>
      <c r="G496" s="187">
        <f t="shared" si="7"/>
        <v>0</v>
      </c>
      <c r="H496" s="188"/>
      <c r="I496" s="188"/>
      <c r="J496" s="188"/>
      <c r="K496" s="185"/>
      <c r="L496" s="185"/>
      <c r="M496" s="185"/>
      <c r="N496" s="185"/>
      <c r="O496" s="193"/>
      <c r="P496" s="193"/>
      <c r="Q496" s="191"/>
      <c r="R496" s="191"/>
      <c r="S496" s="192"/>
    </row>
    <row r="497" spans="1:19" ht="20.5" thickTop="1" thickBot="1" x14ac:dyDescent="0.4">
      <c r="A497" s="184" t="s">
        <v>499</v>
      </c>
      <c r="B497" s="185" t="s">
        <v>499</v>
      </c>
      <c r="C497" s="185" t="s">
        <v>499</v>
      </c>
      <c r="D497" s="186" t="s">
        <v>499</v>
      </c>
      <c r="E497" s="185" t="s">
        <v>499</v>
      </c>
      <c r="F497" s="185" t="s">
        <v>499</v>
      </c>
      <c r="G497" s="187">
        <f t="shared" si="7"/>
        <v>0</v>
      </c>
      <c r="H497" s="188"/>
      <c r="I497" s="188"/>
      <c r="J497" s="188"/>
      <c r="K497" s="185"/>
      <c r="L497" s="185"/>
      <c r="M497" s="185"/>
      <c r="N497" s="185"/>
      <c r="O497" s="193"/>
      <c r="P497" s="193"/>
      <c r="Q497" s="191"/>
      <c r="R497" s="191"/>
      <c r="S497" s="192"/>
    </row>
    <row r="498" spans="1:19" ht="20.5" thickTop="1" thickBot="1" x14ac:dyDescent="0.4">
      <c r="A498" s="184" t="s">
        <v>499</v>
      </c>
      <c r="B498" s="185" t="s">
        <v>499</v>
      </c>
      <c r="C498" s="185" t="s">
        <v>499</v>
      </c>
      <c r="D498" s="186" t="s">
        <v>499</v>
      </c>
      <c r="E498" s="185" t="s">
        <v>499</v>
      </c>
      <c r="F498" s="185" t="s">
        <v>499</v>
      </c>
      <c r="G498" s="187">
        <f t="shared" si="7"/>
        <v>0</v>
      </c>
      <c r="H498" s="188"/>
      <c r="I498" s="188"/>
      <c r="J498" s="188"/>
      <c r="K498" s="185"/>
      <c r="L498" s="185"/>
      <c r="M498" s="185"/>
      <c r="N498" s="185"/>
      <c r="O498" s="193"/>
      <c r="P498" s="193"/>
      <c r="Q498" s="191"/>
      <c r="R498" s="191"/>
      <c r="S498" s="192"/>
    </row>
    <row r="499" spans="1:19" ht="20.5" thickTop="1" thickBot="1" x14ac:dyDescent="0.4">
      <c r="A499" s="184" t="s">
        <v>499</v>
      </c>
      <c r="B499" s="185" t="s">
        <v>499</v>
      </c>
      <c r="C499" s="185" t="s">
        <v>499</v>
      </c>
      <c r="D499" s="186" t="s">
        <v>499</v>
      </c>
      <c r="E499" s="185" t="s">
        <v>499</v>
      </c>
      <c r="F499" s="185" t="s">
        <v>499</v>
      </c>
      <c r="G499" s="187">
        <f t="shared" si="7"/>
        <v>0</v>
      </c>
      <c r="H499" s="188"/>
      <c r="I499" s="188"/>
      <c r="J499" s="188"/>
      <c r="K499" s="185"/>
      <c r="L499" s="185"/>
      <c r="M499" s="185"/>
      <c r="N499" s="185"/>
      <c r="O499" s="193"/>
      <c r="P499" s="193"/>
      <c r="Q499" s="191"/>
      <c r="R499" s="191"/>
      <c r="S499" s="192"/>
    </row>
    <row r="500" spans="1:19" ht="20.5" thickTop="1" thickBot="1" x14ac:dyDescent="0.4">
      <c r="A500" s="184" t="s">
        <v>499</v>
      </c>
      <c r="B500" s="185" t="s">
        <v>499</v>
      </c>
      <c r="C500" s="185" t="s">
        <v>499</v>
      </c>
      <c r="D500" s="186" t="s">
        <v>499</v>
      </c>
      <c r="E500" s="185" t="s">
        <v>499</v>
      </c>
      <c r="F500" s="185" t="s">
        <v>499</v>
      </c>
      <c r="G500" s="187">
        <f t="shared" si="7"/>
        <v>0</v>
      </c>
      <c r="H500" s="188"/>
      <c r="I500" s="188"/>
      <c r="J500" s="188"/>
      <c r="K500" s="185"/>
      <c r="L500" s="185"/>
      <c r="M500" s="185"/>
      <c r="N500" s="185"/>
      <c r="O500" s="193"/>
      <c r="P500" s="193"/>
      <c r="Q500" s="191"/>
      <c r="R500" s="191"/>
      <c r="S500" s="192"/>
    </row>
    <row r="501" spans="1:19" ht="20.5" thickTop="1" thickBot="1" x14ac:dyDescent="0.4">
      <c r="A501" s="184" t="s">
        <v>499</v>
      </c>
      <c r="B501" s="185" t="s">
        <v>499</v>
      </c>
      <c r="C501" s="185" t="s">
        <v>499</v>
      </c>
      <c r="D501" s="186" t="s">
        <v>499</v>
      </c>
      <c r="E501" s="185" t="s">
        <v>499</v>
      </c>
      <c r="F501" s="185" t="s">
        <v>499</v>
      </c>
      <c r="G501" s="187">
        <f t="shared" si="7"/>
        <v>0</v>
      </c>
      <c r="H501" s="188"/>
      <c r="I501" s="188"/>
      <c r="J501" s="188"/>
      <c r="K501" s="185"/>
      <c r="L501" s="185"/>
      <c r="M501" s="185"/>
      <c r="N501" s="185"/>
      <c r="O501" s="193"/>
      <c r="P501" s="193"/>
      <c r="Q501" s="191"/>
      <c r="R501" s="191"/>
      <c r="S501" s="192"/>
    </row>
    <row r="502" spans="1:19" ht="20.5" thickTop="1" thickBot="1" x14ac:dyDescent="0.4">
      <c r="A502" s="184" t="s">
        <v>499</v>
      </c>
      <c r="B502" s="185" t="s">
        <v>499</v>
      </c>
      <c r="C502" s="185" t="s">
        <v>499</v>
      </c>
      <c r="D502" s="186" t="s">
        <v>499</v>
      </c>
      <c r="E502" s="185" t="s">
        <v>499</v>
      </c>
      <c r="F502" s="185" t="s">
        <v>499</v>
      </c>
      <c r="G502" s="187">
        <f t="shared" si="7"/>
        <v>0</v>
      </c>
      <c r="H502" s="188"/>
      <c r="I502" s="188"/>
      <c r="J502" s="188"/>
      <c r="K502" s="185"/>
      <c r="L502" s="185"/>
      <c r="M502" s="185"/>
      <c r="N502" s="185"/>
      <c r="O502" s="193"/>
      <c r="P502" s="193"/>
      <c r="Q502" s="191"/>
      <c r="R502" s="191"/>
      <c r="S502" s="192"/>
    </row>
    <row r="503" spans="1:19" ht="20.5" thickTop="1" thickBot="1" x14ac:dyDescent="0.4">
      <c r="A503" s="184" t="s">
        <v>499</v>
      </c>
      <c r="B503" s="185" t="s">
        <v>499</v>
      </c>
      <c r="C503" s="185" t="s">
        <v>499</v>
      </c>
      <c r="D503" s="186" t="s">
        <v>499</v>
      </c>
      <c r="E503" s="185" t="s">
        <v>499</v>
      </c>
      <c r="F503" s="185" t="s">
        <v>499</v>
      </c>
      <c r="G503" s="187">
        <f t="shared" si="7"/>
        <v>0</v>
      </c>
      <c r="H503" s="188"/>
      <c r="I503" s="188"/>
      <c r="J503" s="188"/>
      <c r="K503" s="185"/>
      <c r="L503" s="185"/>
      <c r="M503" s="185"/>
      <c r="N503" s="185"/>
      <c r="O503" s="193"/>
      <c r="P503" s="193"/>
      <c r="Q503" s="191"/>
      <c r="R503" s="191"/>
      <c r="S503" s="192"/>
    </row>
    <row r="504" spans="1:19" ht="20.5" thickTop="1" thickBot="1" x14ac:dyDescent="0.4">
      <c r="A504" s="184" t="s">
        <v>499</v>
      </c>
      <c r="B504" s="185" t="s">
        <v>499</v>
      </c>
      <c r="C504" s="185" t="s">
        <v>499</v>
      </c>
      <c r="D504" s="186" t="s">
        <v>499</v>
      </c>
      <c r="E504" s="185" t="s">
        <v>499</v>
      </c>
      <c r="F504" s="185" t="s">
        <v>499</v>
      </c>
      <c r="G504" s="187">
        <f t="shared" si="7"/>
        <v>0</v>
      </c>
      <c r="H504" s="188"/>
      <c r="I504" s="188"/>
      <c r="J504" s="188"/>
      <c r="K504" s="185"/>
      <c r="L504" s="185"/>
      <c r="M504" s="185"/>
      <c r="N504" s="185"/>
      <c r="O504" s="193"/>
      <c r="P504" s="193"/>
      <c r="Q504" s="191"/>
      <c r="R504" s="191"/>
      <c r="S504" s="192"/>
    </row>
    <row r="505" spans="1:19" ht="20.5" thickTop="1" thickBot="1" x14ac:dyDescent="0.4">
      <c r="A505" s="184" t="s">
        <v>499</v>
      </c>
      <c r="B505" s="185" t="s">
        <v>499</v>
      </c>
      <c r="C505" s="185" t="s">
        <v>499</v>
      </c>
      <c r="D505" s="186" t="s">
        <v>499</v>
      </c>
      <c r="E505" s="185" t="s">
        <v>499</v>
      </c>
      <c r="F505" s="185" t="s">
        <v>499</v>
      </c>
      <c r="G505" s="187">
        <f t="shared" si="7"/>
        <v>0</v>
      </c>
      <c r="H505" s="188"/>
      <c r="I505" s="188"/>
      <c r="J505" s="188"/>
      <c r="K505" s="185"/>
      <c r="L505" s="185"/>
      <c r="M505" s="185"/>
      <c r="N505" s="185"/>
      <c r="O505" s="193"/>
      <c r="P505" s="193"/>
      <c r="Q505" s="191"/>
      <c r="R505" s="191"/>
      <c r="S505" s="192"/>
    </row>
    <row r="506" spans="1:19" ht="20.5" thickTop="1" thickBot="1" x14ac:dyDescent="0.4">
      <c r="A506" s="184" t="s">
        <v>499</v>
      </c>
      <c r="B506" s="185" t="s">
        <v>499</v>
      </c>
      <c r="C506" s="185" t="s">
        <v>499</v>
      </c>
      <c r="D506" s="186" t="s">
        <v>499</v>
      </c>
      <c r="E506" s="185" t="s">
        <v>499</v>
      </c>
      <c r="F506" s="185" t="s">
        <v>499</v>
      </c>
      <c r="G506" s="187">
        <f t="shared" si="7"/>
        <v>0</v>
      </c>
      <c r="H506" s="188"/>
      <c r="I506" s="188"/>
      <c r="J506" s="188"/>
      <c r="K506" s="185"/>
      <c r="L506" s="185"/>
      <c r="M506" s="185"/>
      <c r="N506" s="185"/>
      <c r="O506" s="193"/>
      <c r="P506" s="193"/>
      <c r="Q506" s="191"/>
      <c r="R506" s="191"/>
      <c r="S506" s="192"/>
    </row>
    <row r="507" spans="1:19" ht="20.5" thickTop="1" thickBot="1" x14ac:dyDescent="0.4">
      <c r="A507" s="184" t="s">
        <v>499</v>
      </c>
      <c r="B507" s="185" t="s">
        <v>499</v>
      </c>
      <c r="C507" s="185" t="s">
        <v>499</v>
      </c>
      <c r="D507" s="186" t="s">
        <v>499</v>
      </c>
      <c r="E507" s="185" t="s">
        <v>499</v>
      </c>
      <c r="F507" s="185" t="s">
        <v>499</v>
      </c>
      <c r="G507" s="187">
        <f t="shared" si="7"/>
        <v>0</v>
      </c>
      <c r="H507" s="188"/>
      <c r="I507" s="188"/>
      <c r="J507" s="188"/>
      <c r="K507" s="185"/>
      <c r="L507" s="185"/>
      <c r="M507" s="185"/>
      <c r="N507" s="185"/>
      <c r="O507" s="193"/>
      <c r="P507" s="193"/>
      <c r="Q507" s="191"/>
      <c r="R507" s="191"/>
      <c r="S507" s="192"/>
    </row>
    <row r="508" spans="1:19" ht="20.5" thickTop="1" thickBot="1" x14ac:dyDescent="0.4">
      <c r="A508" s="184" t="s">
        <v>499</v>
      </c>
      <c r="B508" s="185" t="s">
        <v>499</v>
      </c>
      <c r="C508" s="185" t="s">
        <v>499</v>
      </c>
      <c r="D508" s="186" t="s">
        <v>499</v>
      </c>
      <c r="E508" s="185" t="s">
        <v>499</v>
      </c>
      <c r="F508" s="185" t="s">
        <v>499</v>
      </c>
      <c r="G508" s="187">
        <f t="shared" si="7"/>
        <v>0</v>
      </c>
      <c r="H508" s="188"/>
      <c r="I508" s="188"/>
      <c r="J508" s="188"/>
      <c r="K508" s="185"/>
      <c r="L508" s="185"/>
      <c r="M508" s="185"/>
      <c r="N508" s="185"/>
      <c r="O508" s="193"/>
      <c r="P508" s="193"/>
      <c r="Q508" s="191"/>
      <c r="R508" s="191"/>
      <c r="S508" s="192"/>
    </row>
    <row r="509" spans="1:19" ht="20.5" thickTop="1" thickBot="1" x14ac:dyDescent="0.4">
      <c r="A509" s="184" t="s">
        <v>499</v>
      </c>
      <c r="B509" s="185" t="s">
        <v>499</v>
      </c>
      <c r="C509" s="185" t="s">
        <v>499</v>
      </c>
      <c r="D509" s="186" t="s">
        <v>499</v>
      </c>
      <c r="E509" s="185" t="s">
        <v>499</v>
      </c>
      <c r="F509" s="185" t="s">
        <v>499</v>
      </c>
      <c r="G509" s="187">
        <f t="shared" si="7"/>
        <v>0</v>
      </c>
      <c r="H509" s="188"/>
      <c r="I509" s="188"/>
      <c r="J509" s="188"/>
      <c r="K509" s="185"/>
      <c r="L509" s="185"/>
      <c r="M509" s="185"/>
      <c r="N509" s="185"/>
      <c r="O509" s="193"/>
      <c r="P509" s="193"/>
      <c r="Q509" s="191"/>
      <c r="R509" s="191"/>
      <c r="S509" s="192"/>
    </row>
    <row r="510" spans="1:19" ht="20.5" thickTop="1" thickBot="1" x14ac:dyDescent="0.4">
      <c r="A510" s="184" t="s">
        <v>499</v>
      </c>
      <c r="B510" s="185" t="s">
        <v>499</v>
      </c>
      <c r="C510" s="185" t="s">
        <v>499</v>
      </c>
      <c r="D510" s="186" t="s">
        <v>499</v>
      </c>
      <c r="E510" s="185" t="s">
        <v>499</v>
      </c>
      <c r="F510" s="185" t="s">
        <v>499</v>
      </c>
      <c r="G510" s="187">
        <f t="shared" si="7"/>
        <v>0</v>
      </c>
      <c r="H510" s="188"/>
      <c r="I510" s="188"/>
      <c r="J510" s="188"/>
      <c r="K510" s="185"/>
      <c r="L510" s="185"/>
      <c r="M510" s="185"/>
      <c r="N510" s="185"/>
      <c r="O510" s="193"/>
      <c r="P510" s="193"/>
      <c r="Q510" s="191"/>
      <c r="R510" s="191"/>
      <c r="S510" s="192"/>
    </row>
    <row r="511" spans="1:19" ht="20.5" thickTop="1" thickBot="1" x14ac:dyDescent="0.4">
      <c r="A511" s="184" t="s">
        <v>499</v>
      </c>
      <c r="B511" s="185" t="s">
        <v>499</v>
      </c>
      <c r="C511" s="185" t="s">
        <v>499</v>
      </c>
      <c r="D511" s="186" t="s">
        <v>499</v>
      </c>
      <c r="E511" s="185" t="s">
        <v>499</v>
      </c>
      <c r="F511" s="185" t="s">
        <v>499</v>
      </c>
      <c r="G511" s="187">
        <f t="shared" si="7"/>
        <v>0</v>
      </c>
      <c r="H511" s="188"/>
      <c r="I511" s="188"/>
      <c r="J511" s="188"/>
      <c r="K511" s="185"/>
      <c r="L511" s="185"/>
      <c r="M511" s="185"/>
      <c r="N511" s="185"/>
      <c r="O511" s="193"/>
      <c r="P511" s="193"/>
      <c r="Q511" s="191"/>
      <c r="R511" s="191"/>
      <c r="S511" s="192"/>
    </row>
    <row r="512" spans="1:19" ht="20.5" thickTop="1" thickBot="1" x14ac:dyDescent="0.4">
      <c r="A512" s="184" t="s">
        <v>499</v>
      </c>
      <c r="B512" s="185" t="s">
        <v>499</v>
      </c>
      <c r="C512" s="185" t="s">
        <v>499</v>
      </c>
      <c r="D512" s="186" t="s">
        <v>499</v>
      </c>
      <c r="E512" s="185" t="s">
        <v>499</v>
      </c>
      <c r="F512" s="185" t="s">
        <v>499</v>
      </c>
      <c r="G512" s="187">
        <f t="shared" si="7"/>
        <v>0</v>
      </c>
      <c r="H512" s="188"/>
      <c r="I512" s="188"/>
      <c r="J512" s="188"/>
      <c r="K512" s="185"/>
      <c r="L512" s="185"/>
      <c r="M512" s="185"/>
      <c r="N512" s="185"/>
      <c r="O512" s="193"/>
      <c r="P512" s="193"/>
      <c r="Q512" s="191"/>
      <c r="R512" s="191"/>
      <c r="S512" s="192"/>
    </row>
    <row r="513" spans="1:19" ht="20.5" thickTop="1" thickBot="1" x14ac:dyDescent="0.4">
      <c r="A513" s="184" t="s">
        <v>499</v>
      </c>
      <c r="B513" s="185" t="s">
        <v>499</v>
      </c>
      <c r="C513" s="185" t="s">
        <v>499</v>
      </c>
      <c r="D513" s="186" t="s">
        <v>499</v>
      </c>
      <c r="E513" s="185" t="s">
        <v>499</v>
      </c>
      <c r="F513" s="185" t="s">
        <v>499</v>
      </c>
      <c r="G513" s="187">
        <f t="shared" si="7"/>
        <v>0</v>
      </c>
      <c r="H513" s="188"/>
      <c r="I513" s="188"/>
      <c r="J513" s="188"/>
      <c r="K513" s="185"/>
      <c r="L513" s="185"/>
      <c r="M513" s="185"/>
      <c r="N513" s="185"/>
      <c r="O513" s="193"/>
      <c r="P513" s="193"/>
      <c r="Q513" s="191"/>
      <c r="R513" s="191"/>
      <c r="S513" s="192"/>
    </row>
    <row r="514" spans="1:19" ht="20.5" thickTop="1" thickBot="1" x14ac:dyDescent="0.4">
      <c r="A514" s="184" t="s">
        <v>499</v>
      </c>
      <c r="B514" s="185" t="s">
        <v>499</v>
      </c>
      <c r="C514" s="185" t="s">
        <v>499</v>
      </c>
      <c r="D514" s="186" t="s">
        <v>499</v>
      </c>
      <c r="E514" s="185" t="s">
        <v>499</v>
      </c>
      <c r="F514" s="185" t="s">
        <v>499</v>
      </c>
      <c r="G514" s="187">
        <f t="shared" si="7"/>
        <v>0</v>
      </c>
      <c r="H514" s="188"/>
      <c r="I514" s="188"/>
      <c r="J514" s="188"/>
      <c r="K514" s="185"/>
      <c r="L514" s="185"/>
      <c r="M514" s="185"/>
      <c r="N514" s="185"/>
      <c r="O514" s="193"/>
      <c r="P514" s="193"/>
      <c r="Q514" s="191"/>
      <c r="R514" s="191"/>
      <c r="S514" s="192"/>
    </row>
    <row r="515" spans="1:19" ht="20.5" thickTop="1" thickBot="1" x14ac:dyDescent="0.4">
      <c r="A515" s="184" t="s">
        <v>499</v>
      </c>
      <c r="B515" s="185" t="s">
        <v>499</v>
      </c>
      <c r="C515" s="185" t="s">
        <v>499</v>
      </c>
      <c r="D515" s="186" t="s">
        <v>499</v>
      </c>
      <c r="E515" s="185" t="s">
        <v>499</v>
      </c>
      <c r="F515" s="185" t="s">
        <v>499</v>
      </c>
      <c r="G515" s="187">
        <f t="shared" si="7"/>
        <v>0</v>
      </c>
      <c r="H515" s="188"/>
      <c r="I515" s="188"/>
      <c r="J515" s="188"/>
      <c r="K515" s="185"/>
      <c r="L515" s="185"/>
      <c r="M515" s="185"/>
      <c r="N515" s="185"/>
      <c r="O515" s="193"/>
      <c r="P515" s="193"/>
      <c r="Q515" s="191"/>
      <c r="R515" s="191"/>
      <c r="S515" s="192"/>
    </row>
    <row r="516" spans="1:19" ht="20.5" thickTop="1" thickBot="1" x14ac:dyDescent="0.4">
      <c r="A516" s="184" t="s">
        <v>499</v>
      </c>
      <c r="B516" s="185" t="s">
        <v>499</v>
      </c>
      <c r="C516" s="185" t="s">
        <v>499</v>
      </c>
      <c r="D516" s="186" t="s">
        <v>499</v>
      </c>
      <c r="E516" s="185" t="s">
        <v>499</v>
      </c>
      <c r="F516" s="185" t="s">
        <v>499</v>
      </c>
      <c r="G516" s="187">
        <f t="shared" si="7"/>
        <v>0</v>
      </c>
      <c r="H516" s="188"/>
      <c r="I516" s="188"/>
      <c r="J516" s="188"/>
      <c r="K516" s="185"/>
      <c r="L516" s="185"/>
      <c r="M516" s="185"/>
      <c r="N516" s="185"/>
      <c r="O516" s="193"/>
      <c r="P516" s="193"/>
      <c r="Q516" s="191"/>
      <c r="R516" s="191"/>
      <c r="S516" s="192"/>
    </row>
    <row r="517" spans="1:19" ht="20.5" thickTop="1" thickBot="1" x14ac:dyDescent="0.4">
      <c r="A517" s="184" t="s">
        <v>499</v>
      </c>
      <c r="B517" s="185" t="s">
        <v>499</v>
      </c>
      <c r="C517" s="185" t="s">
        <v>499</v>
      </c>
      <c r="D517" s="186" t="s">
        <v>499</v>
      </c>
      <c r="E517" s="185" t="s">
        <v>499</v>
      </c>
      <c r="F517" s="185" t="s">
        <v>499</v>
      </c>
      <c r="G517" s="187">
        <f t="shared" ref="G517:G580" si="8">SUM(H517:J517)</f>
        <v>0</v>
      </c>
      <c r="H517" s="188"/>
      <c r="I517" s="188"/>
      <c r="J517" s="188"/>
      <c r="K517" s="185"/>
      <c r="L517" s="185"/>
      <c r="M517" s="185"/>
      <c r="N517" s="185"/>
      <c r="O517" s="193"/>
      <c r="P517" s="193"/>
      <c r="Q517" s="191"/>
      <c r="R517" s="191"/>
      <c r="S517" s="192"/>
    </row>
    <row r="518" spans="1:19" ht="20.5" thickTop="1" thickBot="1" x14ac:dyDescent="0.4">
      <c r="A518" s="184" t="s">
        <v>499</v>
      </c>
      <c r="B518" s="185" t="s">
        <v>499</v>
      </c>
      <c r="C518" s="185" t="s">
        <v>499</v>
      </c>
      <c r="D518" s="186" t="s">
        <v>499</v>
      </c>
      <c r="E518" s="185" t="s">
        <v>499</v>
      </c>
      <c r="F518" s="185" t="s">
        <v>499</v>
      </c>
      <c r="G518" s="187">
        <f t="shared" si="8"/>
        <v>0</v>
      </c>
      <c r="H518" s="188"/>
      <c r="I518" s="188"/>
      <c r="J518" s="188"/>
      <c r="K518" s="185"/>
      <c r="L518" s="185"/>
      <c r="M518" s="185"/>
      <c r="N518" s="185"/>
      <c r="O518" s="193"/>
      <c r="P518" s="193"/>
      <c r="Q518" s="191"/>
      <c r="R518" s="191"/>
      <c r="S518" s="192"/>
    </row>
    <row r="519" spans="1:19" ht="20.5" thickTop="1" thickBot="1" x14ac:dyDescent="0.4">
      <c r="A519" s="184" t="s">
        <v>499</v>
      </c>
      <c r="B519" s="185" t="s">
        <v>499</v>
      </c>
      <c r="C519" s="185" t="s">
        <v>499</v>
      </c>
      <c r="D519" s="186" t="s">
        <v>499</v>
      </c>
      <c r="E519" s="185" t="s">
        <v>499</v>
      </c>
      <c r="F519" s="185" t="s">
        <v>499</v>
      </c>
      <c r="G519" s="187">
        <f t="shared" si="8"/>
        <v>0</v>
      </c>
      <c r="H519" s="188"/>
      <c r="I519" s="188"/>
      <c r="J519" s="188"/>
      <c r="K519" s="185"/>
      <c r="L519" s="185"/>
      <c r="M519" s="185"/>
      <c r="N519" s="185"/>
      <c r="O519" s="193"/>
      <c r="P519" s="193"/>
      <c r="Q519" s="191"/>
      <c r="R519" s="191"/>
      <c r="S519" s="192"/>
    </row>
    <row r="520" spans="1:19" ht="20.5" thickTop="1" thickBot="1" x14ac:dyDescent="0.4">
      <c r="A520" s="184" t="s">
        <v>499</v>
      </c>
      <c r="B520" s="185" t="s">
        <v>499</v>
      </c>
      <c r="C520" s="185" t="s">
        <v>499</v>
      </c>
      <c r="D520" s="186" t="s">
        <v>499</v>
      </c>
      <c r="E520" s="185" t="s">
        <v>499</v>
      </c>
      <c r="F520" s="185" t="s">
        <v>499</v>
      </c>
      <c r="G520" s="187">
        <f t="shared" si="8"/>
        <v>0</v>
      </c>
      <c r="H520" s="188"/>
      <c r="I520" s="188"/>
      <c r="J520" s="188"/>
      <c r="K520" s="185"/>
      <c r="L520" s="185"/>
      <c r="M520" s="185"/>
      <c r="N520" s="185"/>
      <c r="O520" s="193"/>
      <c r="P520" s="193"/>
      <c r="Q520" s="191"/>
      <c r="R520" s="191"/>
      <c r="S520" s="192"/>
    </row>
    <row r="521" spans="1:19" ht="20.5" thickTop="1" thickBot="1" x14ac:dyDescent="0.4">
      <c r="A521" s="184" t="s">
        <v>499</v>
      </c>
      <c r="B521" s="185" t="s">
        <v>499</v>
      </c>
      <c r="C521" s="185" t="s">
        <v>499</v>
      </c>
      <c r="D521" s="186" t="s">
        <v>499</v>
      </c>
      <c r="E521" s="185" t="s">
        <v>499</v>
      </c>
      <c r="F521" s="185" t="s">
        <v>499</v>
      </c>
      <c r="G521" s="187">
        <f t="shared" si="8"/>
        <v>0</v>
      </c>
      <c r="H521" s="188"/>
      <c r="I521" s="188"/>
      <c r="J521" s="188"/>
      <c r="K521" s="185"/>
      <c r="L521" s="185"/>
      <c r="M521" s="185"/>
      <c r="N521" s="185"/>
      <c r="O521" s="193"/>
      <c r="P521" s="193"/>
      <c r="Q521" s="191"/>
      <c r="R521" s="191"/>
      <c r="S521" s="192"/>
    </row>
    <row r="522" spans="1:19" ht="20.5" thickTop="1" thickBot="1" x14ac:dyDescent="0.4">
      <c r="A522" s="184" t="s">
        <v>499</v>
      </c>
      <c r="B522" s="185" t="s">
        <v>499</v>
      </c>
      <c r="C522" s="185" t="s">
        <v>499</v>
      </c>
      <c r="D522" s="186" t="s">
        <v>499</v>
      </c>
      <c r="E522" s="185" t="s">
        <v>499</v>
      </c>
      <c r="F522" s="185" t="s">
        <v>499</v>
      </c>
      <c r="G522" s="187">
        <f t="shared" si="8"/>
        <v>0</v>
      </c>
      <c r="H522" s="188"/>
      <c r="I522" s="188"/>
      <c r="J522" s="188"/>
      <c r="K522" s="185"/>
      <c r="L522" s="185"/>
      <c r="M522" s="185"/>
      <c r="N522" s="185"/>
      <c r="O522" s="193"/>
      <c r="P522" s="193"/>
      <c r="Q522" s="191"/>
      <c r="R522" s="191"/>
      <c r="S522" s="192"/>
    </row>
    <row r="523" spans="1:19" ht="20.5" thickTop="1" thickBot="1" x14ac:dyDescent="0.4">
      <c r="A523" s="184" t="s">
        <v>499</v>
      </c>
      <c r="B523" s="185" t="s">
        <v>499</v>
      </c>
      <c r="C523" s="185" t="s">
        <v>499</v>
      </c>
      <c r="D523" s="186" t="s">
        <v>499</v>
      </c>
      <c r="E523" s="185" t="s">
        <v>499</v>
      </c>
      <c r="F523" s="185" t="s">
        <v>499</v>
      </c>
      <c r="G523" s="187">
        <f t="shared" si="8"/>
        <v>0</v>
      </c>
      <c r="H523" s="188"/>
      <c r="I523" s="188"/>
      <c r="J523" s="188"/>
      <c r="K523" s="185"/>
      <c r="L523" s="185"/>
      <c r="M523" s="185"/>
      <c r="N523" s="185"/>
      <c r="O523" s="193"/>
      <c r="P523" s="193"/>
      <c r="Q523" s="191"/>
      <c r="R523" s="191"/>
      <c r="S523" s="192"/>
    </row>
    <row r="524" spans="1:19" ht="20.5" thickTop="1" thickBot="1" x14ac:dyDescent="0.4">
      <c r="A524" s="184" t="s">
        <v>499</v>
      </c>
      <c r="B524" s="185" t="s">
        <v>499</v>
      </c>
      <c r="C524" s="185" t="s">
        <v>499</v>
      </c>
      <c r="D524" s="186" t="s">
        <v>499</v>
      </c>
      <c r="E524" s="185" t="s">
        <v>499</v>
      </c>
      <c r="F524" s="185" t="s">
        <v>499</v>
      </c>
      <c r="G524" s="187">
        <f t="shared" si="8"/>
        <v>0</v>
      </c>
      <c r="H524" s="188"/>
      <c r="I524" s="188"/>
      <c r="J524" s="188"/>
      <c r="K524" s="185"/>
      <c r="L524" s="185"/>
      <c r="M524" s="185"/>
      <c r="N524" s="185"/>
      <c r="O524" s="193"/>
      <c r="P524" s="193"/>
      <c r="Q524" s="191"/>
      <c r="R524" s="191"/>
      <c r="S524" s="192"/>
    </row>
    <row r="525" spans="1:19" ht="20.5" thickTop="1" thickBot="1" x14ac:dyDescent="0.4">
      <c r="A525" s="184" t="s">
        <v>499</v>
      </c>
      <c r="B525" s="185" t="s">
        <v>499</v>
      </c>
      <c r="C525" s="185" t="s">
        <v>499</v>
      </c>
      <c r="D525" s="186" t="s">
        <v>499</v>
      </c>
      <c r="E525" s="185" t="s">
        <v>499</v>
      </c>
      <c r="F525" s="185" t="s">
        <v>499</v>
      </c>
      <c r="G525" s="187">
        <f t="shared" si="8"/>
        <v>0</v>
      </c>
      <c r="H525" s="188"/>
      <c r="I525" s="188"/>
      <c r="J525" s="188"/>
      <c r="K525" s="185"/>
      <c r="L525" s="185"/>
      <c r="M525" s="185"/>
      <c r="N525" s="185"/>
      <c r="O525" s="193"/>
      <c r="P525" s="193"/>
      <c r="Q525" s="191"/>
      <c r="R525" s="191"/>
      <c r="S525" s="192"/>
    </row>
    <row r="526" spans="1:19" ht="20.5" thickTop="1" thickBot="1" x14ac:dyDescent="0.4">
      <c r="A526" s="184" t="s">
        <v>499</v>
      </c>
      <c r="B526" s="185" t="s">
        <v>499</v>
      </c>
      <c r="C526" s="185" t="s">
        <v>499</v>
      </c>
      <c r="D526" s="186" t="s">
        <v>499</v>
      </c>
      <c r="E526" s="185" t="s">
        <v>499</v>
      </c>
      <c r="F526" s="185" t="s">
        <v>499</v>
      </c>
      <c r="G526" s="187">
        <f t="shared" si="8"/>
        <v>0</v>
      </c>
      <c r="H526" s="188"/>
      <c r="I526" s="188"/>
      <c r="J526" s="188"/>
      <c r="K526" s="185"/>
      <c r="L526" s="185"/>
      <c r="M526" s="185"/>
      <c r="N526" s="185"/>
      <c r="O526" s="193"/>
      <c r="P526" s="193"/>
      <c r="Q526" s="191"/>
      <c r="R526" s="191"/>
      <c r="S526" s="192"/>
    </row>
    <row r="527" spans="1:19" ht="20.5" thickTop="1" thickBot="1" x14ac:dyDescent="0.4">
      <c r="A527" s="184" t="s">
        <v>499</v>
      </c>
      <c r="B527" s="185" t="s">
        <v>499</v>
      </c>
      <c r="C527" s="185" t="s">
        <v>499</v>
      </c>
      <c r="D527" s="186" t="s">
        <v>499</v>
      </c>
      <c r="E527" s="185" t="s">
        <v>499</v>
      </c>
      <c r="F527" s="185" t="s">
        <v>499</v>
      </c>
      <c r="G527" s="187">
        <f t="shared" si="8"/>
        <v>0</v>
      </c>
      <c r="H527" s="188"/>
      <c r="I527" s="188"/>
      <c r="J527" s="188"/>
      <c r="K527" s="185"/>
      <c r="L527" s="185"/>
      <c r="M527" s="185"/>
      <c r="N527" s="185"/>
      <c r="O527" s="193"/>
      <c r="P527" s="193"/>
      <c r="Q527" s="191"/>
      <c r="R527" s="191"/>
      <c r="S527" s="192"/>
    </row>
    <row r="528" spans="1:19" ht="20.5" thickTop="1" thickBot="1" x14ac:dyDescent="0.4">
      <c r="A528" s="184" t="s">
        <v>499</v>
      </c>
      <c r="B528" s="185" t="s">
        <v>499</v>
      </c>
      <c r="C528" s="185" t="s">
        <v>499</v>
      </c>
      <c r="D528" s="186" t="s">
        <v>499</v>
      </c>
      <c r="E528" s="185" t="s">
        <v>499</v>
      </c>
      <c r="F528" s="185" t="s">
        <v>499</v>
      </c>
      <c r="G528" s="187">
        <f t="shared" si="8"/>
        <v>0</v>
      </c>
      <c r="H528" s="188"/>
      <c r="I528" s="188"/>
      <c r="J528" s="188"/>
      <c r="K528" s="185"/>
      <c r="L528" s="185"/>
      <c r="M528" s="185"/>
      <c r="N528" s="185"/>
      <c r="O528" s="193"/>
      <c r="P528" s="193"/>
      <c r="Q528" s="191"/>
      <c r="R528" s="191"/>
      <c r="S528" s="192"/>
    </row>
    <row r="529" spans="1:19" ht="20.5" thickTop="1" thickBot="1" x14ac:dyDescent="0.4">
      <c r="A529" s="184" t="s">
        <v>499</v>
      </c>
      <c r="B529" s="185" t="s">
        <v>499</v>
      </c>
      <c r="C529" s="185" t="s">
        <v>499</v>
      </c>
      <c r="D529" s="186" t="s">
        <v>499</v>
      </c>
      <c r="E529" s="185" t="s">
        <v>499</v>
      </c>
      <c r="F529" s="185" t="s">
        <v>499</v>
      </c>
      <c r="G529" s="187">
        <f t="shared" si="8"/>
        <v>0</v>
      </c>
      <c r="H529" s="188"/>
      <c r="I529" s="188"/>
      <c r="J529" s="188"/>
      <c r="K529" s="185"/>
      <c r="L529" s="185"/>
      <c r="M529" s="185"/>
      <c r="N529" s="185"/>
      <c r="O529" s="193"/>
      <c r="P529" s="193"/>
      <c r="Q529" s="191"/>
      <c r="R529" s="191"/>
      <c r="S529" s="192"/>
    </row>
    <row r="530" spans="1:19" ht="20.5" thickTop="1" thickBot="1" x14ac:dyDescent="0.4">
      <c r="A530" s="184" t="s">
        <v>499</v>
      </c>
      <c r="B530" s="185" t="s">
        <v>499</v>
      </c>
      <c r="C530" s="185" t="s">
        <v>499</v>
      </c>
      <c r="D530" s="186" t="s">
        <v>499</v>
      </c>
      <c r="E530" s="185" t="s">
        <v>499</v>
      </c>
      <c r="F530" s="185" t="s">
        <v>499</v>
      </c>
      <c r="G530" s="187">
        <f t="shared" si="8"/>
        <v>0</v>
      </c>
      <c r="H530" s="188"/>
      <c r="I530" s="188"/>
      <c r="J530" s="188"/>
      <c r="K530" s="185"/>
      <c r="L530" s="185"/>
      <c r="M530" s="185"/>
      <c r="N530" s="185"/>
      <c r="O530" s="193"/>
      <c r="P530" s="193"/>
      <c r="Q530" s="191"/>
      <c r="R530" s="191"/>
      <c r="S530" s="192"/>
    </row>
    <row r="531" spans="1:19" ht="20.5" thickTop="1" thickBot="1" x14ac:dyDescent="0.4">
      <c r="A531" s="184" t="s">
        <v>499</v>
      </c>
      <c r="B531" s="185" t="s">
        <v>499</v>
      </c>
      <c r="C531" s="185" t="s">
        <v>499</v>
      </c>
      <c r="D531" s="186" t="s">
        <v>499</v>
      </c>
      <c r="E531" s="185" t="s">
        <v>499</v>
      </c>
      <c r="F531" s="185" t="s">
        <v>499</v>
      </c>
      <c r="G531" s="187">
        <f t="shared" si="8"/>
        <v>0</v>
      </c>
      <c r="H531" s="188"/>
      <c r="I531" s="188"/>
      <c r="J531" s="188"/>
      <c r="K531" s="185"/>
      <c r="L531" s="185"/>
      <c r="M531" s="185"/>
      <c r="N531" s="185"/>
      <c r="O531" s="193"/>
      <c r="P531" s="193"/>
      <c r="Q531" s="191"/>
      <c r="R531" s="191"/>
      <c r="S531" s="192"/>
    </row>
    <row r="532" spans="1:19" ht="20.5" thickTop="1" thickBot="1" x14ac:dyDescent="0.4">
      <c r="A532" s="184" t="s">
        <v>499</v>
      </c>
      <c r="B532" s="185" t="s">
        <v>499</v>
      </c>
      <c r="C532" s="185" t="s">
        <v>499</v>
      </c>
      <c r="D532" s="186" t="s">
        <v>499</v>
      </c>
      <c r="E532" s="185" t="s">
        <v>499</v>
      </c>
      <c r="F532" s="185" t="s">
        <v>499</v>
      </c>
      <c r="G532" s="187">
        <f t="shared" si="8"/>
        <v>0</v>
      </c>
      <c r="H532" s="188"/>
      <c r="I532" s="188"/>
      <c r="J532" s="188"/>
      <c r="K532" s="185"/>
      <c r="L532" s="185"/>
      <c r="M532" s="185"/>
      <c r="N532" s="185"/>
      <c r="O532" s="193"/>
      <c r="P532" s="193"/>
      <c r="Q532" s="191"/>
      <c r="R532" s="191"/>
      <c r="S532" s="192"/>
    </row>
    <row r="533" spans="1:19" ht="20.5" thickTop="1" thickBot="1" x14ac:dyDescent="0.4">
      <c r="A533" s="184" t="s">
        <v>499</v>
      </c>
      <c r="B533" s="185" t="s">
        <v>499</v>
      </c>
      <c r="C533" s="185" t="s">
        <v>499</v>
      </c>
      <c r="D533" s="186" t="s">
        <v>499</v>
      </c>
      <c r="E533" s="185" t="s">
        <v>499</v>
      </c>
      <c r="F533" s="185" t="s">
        <v>499</v>
      </c>
      <c r="G533" s="187">
        <f t="shared" si="8"/>
        <v>0</v>
      </c>
      <c r="H533" s="188"/>
      <c r="I533" s="188"/>
      <c r="J533" s="188"/>
      <c r="K533" s="185"/>
      <c r="L533" s="185"/>
      <c r="M533" s="185"/>
      <c r="N533" s="185"/>
      <c r="O533" s="193"/>
      <c r="P533" s="193"/>
      <c r="Q533" s="191"/>
      <c r="R533" s="191"/>
      <c r="S533" s="192"/>
    </row>
    <row r="534" spans="1:19" ht="20.5" thickTop="1" thickBot="1" x14ac:dyDescent="0.4">
      <c r="A534" s="184" t="s">
        <v>499</v>
      </c>
      <c r="B534" s="185" t="s">
        <v>499</v>
      </c>
      <c r="C534" s="185" t="s">
        <v>499</v>
      </c>
      <c r="D534" s="186" t="s">
        <v>499</v>
      </c>
      <c r="E534" s="185" t="s">
        <v>499</v>
      </c>
      <c r="F534" s="185" t="s">
        <v>499</v>
      </c>
      <c r="G534" s="187">
        <f t="shared" si="8"/>
        <v>0</v>
      </c>
      <c r="H534" s="188"/>
      <c r="I534" s="188"/>
      <c r="J534" s="188"/>
      <c r="K534" s="185"/>
      <c r="L534" s="185"/>
      <c r="M534" s="185"/>
      <c r="N534" s="185"/>
      <c r="O534" s="193"/>
      <c r="P534" s="193"/>
      <c r="Q534" s="191"/>
      <c r="R534" s="191"/>
      <c r="S534" s="192"/>
    </row>
    <row r="535" spans="1:19" ht="20.5" thickTop="1" thickBot="1" x14ac:dyDescent="0.4">
      <c r="A535" s="184" t="s">
        <v>499</v>
      </c>
      <c r="B535" s="185" t="s">
        <v>499</v>
      </c>
      <c r="C535" s="185" t="s">
        <v>499</v>
      </c>
      <c r="D535" s="186" t="s">
        <v>499</v>
      </c>
      <c r="E535" s="185" t="s">
        <v>499</v>
      </c>
      <c r="F535" s="185" t="s">
        <v>499</v>
      </c>
      <c r="G535" s="187">
        <f t="shared" si="8"/>
        <v>0</v>
      </c>
      <c r="H535" s="188"/>
      <c r="I535" s="188"/>
      <c r="J535" s="188"/>
      <c r="K535" s="185"/>
      <c r="L535" s="185"/>
      <c r="M535" s="185"/>
      <c r="N535" s="185"/>
      <c r="O535" s="193"/>
      <c r="P535" s="193"/>
      <c r="Q535" s="191"/>
      <c r="R535" s="191"/>
      <c r="S535" s="192"/>
    </row>
    <row r="536" spans="1:19" ht="20.5" thickTop="1" thickBot="1" x14ac:dyDescent="0.4">
      <c r="A536" s="184" t="s">
        <v>499</v>
      </c>
      <c r="B536" s="185" t="s">
        <v>499</v>
      </c>
      <c r="C536" s="185" t="s">
        <v>499</v>
      </c>
      <c r="D536" s="186" t="s">
        <v>499</v>
      </c>
      <c r="E536" s="185" t="s">
        <v>499</v>
      </c>
      <c r="F536" s="185" t="s">
        <v>499</v>
      </c>
      <c r="G536" s="187">
        <f t="shared" si="8"/>
        <v>0</v>
      </c>
      <c r="H536" s="188"/>
      <c r="I536" s="188"/>
      <c r="J536" s="188"/>
      <c r="K536" s="185"/>
      <c r="L536" s="185"/>
      <c r="M536" s="185"/>
      <c r="N536" s="185"/>
      <c r="O536" s="193"/>
      <c r="P536" s="193"/>
      <c r="Q536" s="191"/>
      <c r="R536" s="191"/>
      <c r="S536" s="192"/>
    </row>
    <row r="537" spans="1:19" ht="20.5" thickTop="1" thickBot="1" x14ac:dyDescent="0.4">
      <c r="A537" s="184" t="s">
        <v>499</v>
      </c>
      <c r="B537" s="185" t="s">
        <v>499</v>
      </c>
      <c r="C537" s="185" t="s">
        <v>499</v>
      </c>
      <c r="D537" s="186" t="s">
        <v>499</v>
      </c>
      <c r="E537" s="185" t="s">
        <v>499</v>
      </c>
      <c r="F537" s="185" t="s">
        <v>499</v>
      </c>
      <c r="G537" s="187">
        <f t="shared" si="8"/>
        <v>0</v>
      </c>
      <c r="H537" s="188"/>
      <c r="I537" s="188"/>
      <c r="J537" s="188"/>
      <c r="K537" s="185"/>
      <c r="L537" s="185"/>
      <c r="M537" s="185"/>
      <c r="N537" s="185"/>
      <c r="O537" s="193"/>
      <c r="P537" s="193"/>
      <c r="Q537" s="191"/>
      <c r="R537" s="191"/>
      <c r="S537" s="192"/>
    </row>
    <row r="538" spans="1:19" ht="20.5" thickTop="1" thickBot="1" x14ac:dyDescent="0.4">
      <c r="A538" s="184" t="s">
        <v>499</v>
      </c>
      <c r="B538" s="185" t="s">
        <v>499</v>
      </c>
      <c r="C538" s="185" t="s">
        <v>499</v>
      </c>
      <c r="D538" s="186" t="s">
        <v>499</v>
      </c>
      <c r="E538" s="185" t="s">
        <v>499</v>
      </c>
      <c r="F538" s="185" t="s">
        <v>499</v>
      </c>
      <c r="G538" s="187">
        <f t="shared" si="8"/>
        <v>0</v>
      </c>
      <c r="H538" s="188"/>
      <c r="I538" s="188"/>
      <c r="J538" s="188"/>
      <c r="K538" s="185"/>
      <c r="L538" s="185"/>
      <c r="M538" s="185"/>
      <c r="N538" s="185"/>
      <c r="O538" s="193"/>
      <c r="P538" s="193"/>
      <c r="Q538" s="191"/>
      <c r="R538" s="191"/>
      <c r="S538" s="192"/>
    </row>
    <row r="539" spans="1:19" ht="20.5" thickTop="1" thickBot="1" x14ac:dyDescent="0.4">
      <c r="A539" s="184" t="s">
        <v>499</v>
      </c>
      <c r="B539" s="185" t="s">
        <v>499</v>
      </c>
      <c r="C539" s="185" t="s">
        <v>499</v>
      </c>
      <c r="D539" s="186" t="s">
        <v>499</v>
      </c>
      <c r="E539" s="185" t="s">
        <v>499</v>
      </c>
      <c r="F539" s="185" t="s">
        <v>499</v>
      </c>
      <c r="G539" s="187">
        <f t="shared" si="8"/>
        <v>0</v>
      </c>
      <c r="H539" s="188"/>
      <c r="I539" s="188"/>
      <c r="J539" s="188"/>
      <c r="K539" s="185"/>
      <c r="L539" s="185"/>
      <c r="M539" s="185"/>
      <c r="N539" s="185"/>
      <c r="O539" s="193"/>
      <c r="P539" s="193"/>
      <c r="Q539" s="191"/>
      <c r="R539" s="191"/>
      <c r="S539" s="192"/>
    </row>
    <row r="540" spans="1:19" ht="20.5" thickTop="1" thickBot="1" x14ac:dyDescent="0.4">
      <c r="A540" s="184" t="s">
        <v>499</v>
      </c>
      <c r="B540" s="185" t="s">
        <v>499</v>
      </c>
      <c r="C540" s="185" t="s">
        <v>499</v>
      </c>
      <c r="D540" s="186" t="s">
        <v>499</v>
      </c>
      <c r="E540" s="185" t="s">
        <v>499</v>
      </c>
      <c r="F540" s="185" t="s">
        <v>499</v>
      </c>
      <c r="G540" s="187">
        <f t="shared" si="8"/>
        <v>0</v>
      </c>
      <c r="H540" s="188"/>
      <c r="I540" s="188"/>
      <c r="J540" s="188"/>
      <c r="K540" s="185"/>
      <c r="L540" s="185"/>
      <c r="M540" s="185"/>
      <c r="N540" s="185"/>
      <c r="O540" s="193"/>
      <c r="P540" s="193"/>
      <c r="Q540" s="191"/>
      <c r="R540" s="191"/>
      <c r="S540" s="192"/>
    </row>
    <row r="541" spans="1:19" ht="20.5" thickTop="1" thickBot="1" x14ac:dyDescent="0.4">
      <c r="A541" s="184" t="s">
        <v>499</v>
      </c>
      <c r="B541" s="185" t="s">
        <v>499</v>
      </c>
      <c r="C541" s="185" t="s">
        <v>499</v>
      </c>
      <c r="D541" s="186" t="s">
        <v>499</v>
      </c>
      <c r="E541" s="185" t="s">
        <v>499</v>
      </c>
      <c r="F541" s="185" t="s">
        <v>499</v>
      </c>
      <c r="G541" s="187">
        <f t="shared" si="8"/>
        <v>0</v>
      </c>
      <c r="H541" s="188"/>
      <c r="I541" s="188"/>
      <c r="J541" s="188"/>
      <c r="K541" s="185"/>
      <c r="L541" s="185"/>
      <c r="M541" s="185"/>
      <c r="N541" s="185"/>
      <c r="O541" s="193"/>
      <c r="P541" s="193"/>
      <c r="Q541" s="191"/>
      <c r="R541" s="191"/>
      <c r="S541" s="192"/>
    </row>
    <row r="542" spans="1:19" ht="20.5" thickTop="1" thickBot="1" x14ac:dyDescent="0.4">
      <c r="A542" s="184" t="s">
        <v>499</v>
      </c>
      <c r="B542" s="185" t="s">
        <v>499</v>
      </c>
      <c r="C542" s="185" t="s">
        <v>499</v>
      </c>
      <c r="D542" s="186" t="s">
        <v>499</v>
      </c>
      <c r="E542" s="185" t="s">
        <v>499</v>
      </c>
      <c r="F542" s="185" t="s">
        <v>499</v>
      </c>
      <c r="G542" s="187">
        <f t="shared" si="8"/>
        <v>0</v>
      </c>
      <c r="H542" s="188"/>
      <c r="I542" s="188"/>
      <c r="J542" s="188"/>
      <c r="K542" s="185"/>
      <c r="L542" s="185"/>
      <c r="M542" s="185"/>
      <c r="N542" s="185"/>
      <c r="O542" s="193"/>
      <c r="P542" s="193"/>
      <c r="Q542" s="191"/>
      <c r="R542" s="191"/>
      <c r="S542" s="192"/>
    </row>
    <row r="543" spans="1:19" ht="20.5" thickTop="1" thickBot="1" x14ac:dyDescent="0.4">
      <c r="A543" s="184" t="s">
        <v>499</v>
      </c>
      <c r="B543" s="185" t="s">
        <v>499</v>
      </c>
      <c r="C543" s="185" t="s">
        <v>499</v>
      </c>
      <c r="D543" s="186" t="s">
        <v>499</v>
      </c>
      <c r="E543" s="185" t="s">
        <v>499</v>
      </c>
      <c r="F543" s="185" t="s">
        <v>499</v>
      </c>
      <c r="G543" s="187">
        <f t="shared" si="8"/>
        <v>0</v>
      </c>
      <c r="H543" s="188"/>
      <c r="I543" s="188"/>
      <c r="J543" s="188"/>
      <c r="K543" s="185"/>
      <c r="L543" s="185"/>
      <c r="M543" s="185"/>
      <c r="N543" s="185"/>
      <c r="O543" s="193"/>
      <c r="P543" s="193"/>
      <c r="Q543" s="191"/>
      <c r="R543" s="191"/>
      <c r="S543" s="192"/>
    </row>
    <row r="544" spans="1:19" ht="20.5" thickTop="1" thickBot="1" x14ac:dyDescent="0.4">
      <c r="A544" s="184" t="s">
        <v>499</v>
      </c>
      <c r="B544" s="185" t="s">
        <v>499</v>
      </c>
      <c r="C544" s="185" t="s">
        <v>499</v>
      </c>
      <c r="D544" s="186" t="s">
        <v>499</v>
      </c>
      <c r="E544" s="185" t="s">
        <v>499</v>
      </c>
      <c r="F544" s="185" t="s">
        <v>499</v>
      </c>
      <c r="G544" s="187">
        <f t="shared" si="8"/>
        <v>0</v>
      </c>
      <c r="H544" s="188"/>
      <c r="I544" s="188"/>
      <c r="J544" s="188"/>
      <c r="K544" s="185"/>
      <c r="L544" s="185"/>
      <c r="M544" s="185"/>
      <c r="N544" s="185"/>
      <c r="O544" s="193"/>
      <c r="P544" s="193"/>
      <c r="Q544" s="191"/>
      <c r="R544" s="191"/>
      <c r="S544" s="192"/>
    </row>
    <row r="545" spans="1:19" ht="20.5" thickTop="1" thickBot="1" x14ac:dyDescent="0.4">
      <c r="A545" s="184" t="s">
        <v>499</v>
      </c>
      <c r="B545" s="185" t="s">
        <v>499</v>
      </c>
      <c r="C545" s="185" t="s">
        <v>499</v>
      </c>
      <c r="D545" s="186" t="s">
        <v>499</v>
      </c>
      <c r="E545" s="185" t="s">
        <v>499</v>
      </c>
      <c r="F545" s="185" t="s">
        <v>499</v>
      </c>
      <c r="G545" s="187">
        <f t="shared" si="8"/>
        <v>0</v>
      </c>
      <c r="H545" s="188"/>
      <c r="I545" s="188"/>
      <c r="J545" s="188"/>
      <c r="K545" s="185"/>
      <c r="L545" s="185"/>
      <c r="M545" s="185"/>
      <c r="N545" s="185"/>
      <c r="O545" s="193"/>
      <c r="P545" s="193"/>
      <c r="Q545" s="191"/>
      <c r="R545" s="191"/>
      <c r="S545" s="192"/>
    </row>
    <row r="546" spans="1:19" ht="20.5" thickTop="1" thickBot="1" x14ac:dyDescent="0.4">
      <c r="A546" s="184" t="s">
        <v>499</v>
      </c>
      <c r="B546" s="185" t="s">
        <v>499</v>
      </c>
      <c r="C546" s="185" t="s">
        <v>499</v>
      </c>
      <c r="D546" s="186" t="s">
        <v>499</v>
      </c>
      <c r="E546" s="185" t="s">
        <v>499</v>
      </c>
      <c r="F546" s="185" t="s">
        <v>499</v>
      </c>
      <c r="G546" s="187">
        <f t="shared" si="8"/>
        <v>0</v>
      </c>
      <c r="H546" s="188"/>
      <c r="I546" s="188"/>
      <c r="J546" s="188"/>
      <c r="K546" s="185"/>
      <c r="L546" s="185"/>
      <c r="M546" s="185"/>
      <c r="N546" s="185"/>
      <c r="O546" s="193"/>
      <c r="P546" s="193"/>
      <c r="Q546" s="191"/>
      <c r="R546" s="191"/>
      <c r="S546" s="192"/>
    </row>
    <row r="547" spans="1:19" ht="20.5" thickTop="1" thickBot="1" x14ac:dyDescent="0.4">
      <c r="A547" s="184" t="s">
        <v>499</v>
      </c>
      <c r="B547" s="185" t="s">
        <v>499</v>
      </c>
      <c r="C547" s="185" t="s">
        <v>499</v>
      </c>
      <c r="D547" s="186" t="s">
        <v>499</v>
      </c>
      <c r="E547" s="185" t="s">
        <v>499</v>
      </c>
      <c r="F547" s="185" t="s">
        <v>499</v>
      </c>
      <c r="G547" s="187">
        <f t="shared" si="8"/>
        <v>0</v>
      </c>
      <c r="H547" s="188"/>
      <c r="I547" s="188"/>
      <c r="J547" s="188"/>
      <c r="K547" s="185"/>
      <c r="L547" s="185"/>
      <c r="M547" s="185"/>
      <c r="N547" s="185"/>
      <c r="O547" s="193"/>
      <c r="P547" s="193"/>
      <c r="Q547" s="191"/>
      <c r="R547" s="191"/>
      <c r="S547" s="192"/>
    </row>
    <row r="548" spans="1:19" ht="20.5" thickTop="1" thickBot="1" x14ac:dyDescent="0.4">
      <c r="A548" s="184" t="s">
        <v>499</v>
      </c>
      <c r="B548" s="185" t="s">
        <v>499</v>
      </c>
      <c r="C548" s="185" t="s">
        <v>499</v>
      </c>
      <c r="D548" s="186" t="s">
        <v>499</v>
      </c>
      <c r="E548" s="185" t="s">
        <v>499</v>
      </c>
      <c r="F548" s="185" t="s">
        <v>499</v>
      </c>
      <c r="G548" s="187">
        <f t="shared" si="8"/>
        <v>0</v>
      </c>
      <c r="H548" s="188"/>
      <c r="I548" s="188"/>
      <c r="J548" s="188"/>
      <c r="K548" s="185"/>
      <c r="L548" s="185"/>
      <c r="M548" s="185"/>
      <c r="N548" s="185"/>
      <c r="O548" s="193"/>
      <c r="P548" s="193"/>
      <c r="Q548" s="191"/>
      <c r="R548" s="191"/>
      <c r="S548" s="192"/>
    </row>
    <row r="549" spans="1:19" ht="20.5" thickTop="1" thickBot="1" x14ac:dyDescent="0.4">
      <c r="A549" s="184" t="s">
        <v>499</v>
      </c>
      <c r="B549" s="185" t="s">
        <v>499</v>
      </c>
      <c r="C549" s="185" t="s">
        <v>499</v>
      </c>
      <c r="D549" s="186" t="s">
        <v>499</v>
      </c>
      <c r="E549" s="185" t="s">
        <v>499</v>
      </c>
      <c r="F549" s="185" t="s">
        <v>499</v>
      </c>
      <c r="G549" s="187">
        <f t="shared" si="8"/>
        <v>0</v>
      </c>
      <c r="H549" s="188"/>
      <c r="I549" s="188"/>
      <c r="J549" s="188"/>
      <c r="K549" s="185"/>
      <c r="L549" s="185"/>
      <c r="M549" s="185"/>
      <c r="N549" s="185"/>
      <c r="O549" s="193"/>
      <c r="P549" s="193"/>
      <c r="Q549" s="191"/>
      <c r="R549" s="191"/>
      <c r="S549" s="192"/>
    </row>
    <row r="550" spans="1:19" ht="20.5" thickTop="1" thickBot="1" x14ac:dyDescent="0.4">
      <c r="A550" s="184" t="s">
        <v>499</v>
      </c>
      <c r="B550" s="185" t="s">
        <v>499</v>
      </c>
      <c r="C550" s="185" t="s">
        <v>499</v>
      </c>
      <c r="D550" s="186" t="s">
        <v>499</v>
      </c>
      <c r="E550" s="185" t="s">
        <v>499</v>
      </c>
      <c r="F550" s="185" t="s">
        <v>499</v>
      </c>
      <c r="G550" s="187">
        <f t="shared" si="8"/>
        <v>0</v>
      </c>
      <c r="H550" s="188"/>
      <c r="I550" s="188"/>
      <c r="J550" s="188"/>
      <c r="K550" s="185"/>
      <c r="L550" s="185"/>
      <c r="M550" s="185"/>
      <c r="N550" s="185"/>
      <c r="O550" s="193"/>
      <c r="P550" s="193"/>
      <c r="Q550" s="191"/>
      <c r="R550" s="191"/>
      <c r="S550" s="192"/>
    </row>
    <row r="551" spans="1:19" ht="20.5" thickTop="1" thickBot="1" x14ac:dyDescent="0.4">
      <c r="A551" s="184" t="s">
        <v>499</v>
      </c>
      <c r="B551" s="185" t="s">
        <v>499</v>
      </c>
      <c r="C551" s="185" t="s">
        <v>499</v>
      </c>
      <c r="D551" s="186" t="s">
        <v>499</v>
      </c>
      <c r="E551" s="185" t="s">
        <v>499</v>
      </c>
      <c r="F551" s="185" t="s">
        <v>499</v>
      </c>
      <c r="G551" s="187">
        <f t="shared" si="8"/>
        <v>0</v>
      </c>
      <c r="H551" s="188"/>
      <c r="I551" s="188"/>
      <c r="J551" s="188"/>
      <c r="K551" s="185"/>
      <c r="L551" s="185"/>
      <c r="M551" s="185"/>
      <c r="N551" s="185"/>
      <c r="O551" s="193"/>
      <c r="P551" s="193"/>
      <c r="Q551" s="191"/>
      <c r="R551" s="191"/>
      <c r="S551" s="192"/>
    </row>
    <row r="552" spans="1:19" ht="20.5" thickTop="1" thickBot="1" x14ac:dyDescent="0.4">
      <c r="A552" s="184" t="s">
        <v>499</v>
      </c>
      <c r="B552" s="185" t="s">
        <v>499</v>
      </c>
      <c r="C552" s="185" t="s">
        <v>499</v>
      </c>
      <c r="D552" s="186" t="s">
        <v>499</v>
      </c>
      <c r="E552" s="185" t="s">
        <v>499</v>
      </c>
      <c r="F552" s="185" t="s">
        <v>499</v>
      </c>
      <c r="G552" s="187">
        <f t="shared" si="8"/>
        <v>0</v>
      </c>
      <c r="H552" s="188"/>
      <c r="I552" s="188"/>
      <c r="J552" s="188"/>
      <c r="K552" s="185"/>
      <c r="L552" s="185"/>
      <c r="M552" s="185"/>
      <c r="N552" s="185"/>
      <c r="O552" s="193"/>
      <c r="P552" s="193"/>
      <c r="Q552" s="191"/>
      <c r="R552" s="191"/>
      <c r="S552" s="192"/>
    </row>
    <row r="553" spans="1:19" ht="20.5" thickTop="1" thickBot="1" x14ac:dyDescent="0.4">
      <c r="A553" s="184" t="s">
        <v>499</v>
      </c>
      <c r="B553" s="185" t="s">
        <v>499</v>
      </c>
      <c r="C553" s="185" t="s">
        <v>499</v>
      </c>
      <c r="D553" s="186" t="s">
        <v>499</v>
      </c>
      <c r="E553" s="185" t="s">
        <v>499</v>
      </c>
      <c r="F553" s="185" t="s">
        <v>499</v>
      </c>
      <c r="G553" s="187">
        <f t="shared" si="8"/>
        <v>0</v>
      </c>
      <c r="H553" s="188"/>
      <c r="I553" s="188"/>
      <c r="J553" s="188"/>
      <c r="K553" s="185"/>
      <c r="L553" s="185"/>
      <c r="M553" s="185"/>
      <c r="N553" s="185"/>
      <c r="O553" s="193"/>
      <c r="P553" s="193"/>
      <c r="Q553" s="191"/>
      <c r="R553" s="191"/>
      <c r="S553" s="192"/>
    </row>
    <row r="554" spans="1:19" ht="20.5" thickTop="1" thickBot="1" x14ac:dyDescent="0.4">
      <c r="A554" s="184" t="s">
        <v>499</v>
      </c>
      <c r="B554" s="185" t="s">
        <v>499</v>
      </c>
      <c r="C554" s="185" t="s">
        <v>499</v>
      </c>
      <c r="D554" s="186" t="s">
        <v>499</v>
      </c>
      <c r="E554" s="185" t="s">
        <v>499</v>
      </c>
      <c r="F554" s="185" t="s">
        <v>499</v>
      </c>
      <c r="G554" s="187">
        <f t="shared" si="8"/>
        <v>0</v>
      </c>
      <c r="H554" s="188"/>
      <c r="I554" s="188"/>
      <c r="J554" s="188"/>
      <c r="K554" s="185"/>
      <c r="L554" s="185"/>
      <c r="M554" s="185"/>
      <c r="N554" s="185"/>
      <c r="O554" s="193"/>
      <c r="P554" s="193"/>
      <c r="Q554" s="191"/>
      <c r="R554" s="191"/>
      <c r="S554" s="192"/>
    </row>
    <row r="555" spans="1:19" ht="20.5" thickTop="1" thickBot="1" x14ac:dyDescent="0.4">
      <c r="A555" s="184" t="s">
        <v>499</v>
      </c>
      <c r="B555" s="185" t="s">
        <v>499</v>
      </c>
      <c r="C555" s="185" t="s">
        <v>499</v>
      </c>
      <c r="D555" s="186" t="s">
        <v>499</v>
      </c>
      <c r="E555" s="185" t="s">
        <v>499</v>
      </c>
      <c r="F555" s="185" t="s">
        <v>499</v>
      </c>
      <c r="G555" s="187">
        <f t="shared" si="8"/>
        <v>0</v>
      </c>
      <c r="H555" s="188"/>
      <c r="I555" s="188"/>
      <c r="J555" s="188"/>
      <c r="K555" s="185"/>
      <c r="L555" s="185"/>
      <c r="M555" s="185"/>
      <c r="N555" s="185"/>
      <c r="O555" s="193"/>
      <c r="P555" s="193"/>
      <c r="Q555" s="191"/>
      <c r="R555" s="191"/>
      <c r="S555" s="192"/>
    </row>
    <row r="556" spans="1:19" ht="20.5" thickTop="1" thickBot="1" x14ac:dyDescent="0.4">
      <c r="A556" s="184" t="s">
        <v>499</v>
      </c>
      <c r="B556" s="185" t="s">
        <v>499</v>
      </c>
      <c r="C556" s="185" t="s">
        <v>499</v>
      </c>
      <c r="D556" s="186" t="s">
        <v>499</v>
      </c>
      <c r="E556" s="185" t="s">
        <v>499</v>
      </c>
      <c r="F556" s="185" t="s">
        <v>499</v>
      </c>
      <c r="G556" s="187">
        <f t="shared" si="8"/>
        <v>0</v>
      </c>
      <c r="H556" s="188"/>
      <c r="I556" s="188"/>
      <c r="J556" s="188"/>
      <c r="K556" s="185"/>
      <c r="L556" s="185"/>
      <c r="M556" s="185"/>
      <c r="N556" s="185"/>
      <c r="O556" s="193"/>
      <c r="P556" s="193"/>
      <c r="Q556" s="191"/>
      <c r="R556" s="191"/>
      <c r="S556" s="192"/>
    </row>
    <row r="557" spans="1:19" ht="20.5" thickTop="1" thickBot="1" x14ac:dyDescent="0.4">
      <c r="A557" s="184" t="s">
        <v>499</v>
      </c>
      <c r="B557" s="185" t="s">
        <v>499</v>
      </c>
      <c r="C557" s="185" t="s">
        <v>499</v>
      </c>
      <c r="D557" s="186" t="s">
        <v>499</v>
      </c>
      <c r="E557" s="185" t="s">
        <v>499</v>
      </c>
      <c r="F557" s="185" t="s">
        <v>499</v>
      </c>
      <c r="G557" s="187">
        <f t="shared" si="8"/>
        <v>0</v>
      </c>
      <c r="H557" s="188"/>
      <c r="I557" s="188"/>
      <c r="J557" s="188"/>
      <c r="K557" s="185"/>
      <c r="L557" s="185"/>
      <c r="M557" s="185"/>
      <c r="N557" s="185"/>
      <c r="O557" s="193"/>
      <c r="P557" s="193"/>
      <c r="Q557" s="195"/>
      <c r="R557" s="191"/>
      <c r="S557" s="192"/>
    </row>
    <row r="558" spans="1:19" ht="20.5" thickTop="1" thickBot="1" x14ac:dyDescent="0.4">
      <c r="A558" s="184" t="s">
        <v>499</v>
      </c>
      <c r="B558" s="185" t="s">
        <v>499</v>
      </c>
      <c r="C558" s="185" t="s">
        <v>499</v>
      </c>
      <c r="D558" s="186" t="s">
        <v>499</v>
      </c>
      <c r="E558" s="185" t="s">
        <v>499</v>
      </c>
      <c r="F558" s="185" t="s">
        <v>499</v>
      </c>
      <c r="G558" s="187">
        <f t="shared" si="8"/>
        <v>0</v>
      </c>
      <c r="H558" s="188"/>
      <c r="I558" s="188"/>
      <c r="J558" s="188"/>
      <c r="K558" s="185"/>
      <c r="L558" s="185"/>
      <c r="M558" s="185"/>
      <c r="N558" s="185"/>
      <c r="O558" s="193"/>
      <c r="P558" s="193"/>
      <c r="Q558" s="195"/>
      <c r="R558" s="191"/>
      <c r="S558" s="192"/>
    </row>
    <row r="559" spans="1:19" ht="20.5" thickTop="1" thickBot="1" x14ac:dyDescent="0.4">
      <c r="A559" s="184" t="s">
        <v>499</v>
      </c>
      <c r="B559" s="185" t="s">
        <v>499</v>
      </c>
      <c r="C559" s="185" t="s">
        <v>499</v>
      </c>
      <c r="D559" s="186" t="s">
        <v>499</v>
      </c>
      <c r="E559" s="185" t="s">
        <v>499</v>
      </c>
      <c r="F559" s="185" t="s">
        <v>499</v>
      </c>
      <c r="G559" s="187">
        <f t="shared" si="8"/>
        <v>0</v>
      </c>
      <c r="H559" s="188"/>
      <c r="I559" s="188"/>
      <c r="J559" s="188"/>
      <c r="K559" s="185"/>
      <c r="L559" s="185"/>
      <c r="M559" s="185"/>
      <c r="N559" s="185"/>
      <c r="O559" s="193"/>
      <c r="P559" s="193"/>
      <c r="Q559" s="195"/>
      <c r="R559" s="191"/>
      <c r="S559" s="192"/>
    </row>
    <row r="560" spans="1:19" ht="20.5" thickTop="1" thickBot="1" x14ac:dyDescent="0.4">
      <c r="A560" s="184" t="s">
        <v>499</v>
      </c>
      <c r="B560" s="185" t="s">
        <v>499</v>
      </c>
      <c r="C560" s="185" t="s">
        <v>499</v>
      </c>
      <c r="D560" s="186" t="s">
        <v>499</v>
      </c>
      <c r="E560" s="185" t="s">
        <v>499</v>
      </c>
      <c r="F560" s="185" t="s">
        <v>499</v>
      </c>
      <c r="G560" s="187">
        <f t="shared" si="8"/>
        <v>0</v>
      </c>
      <c r="H560" s="188"/>
      <c r="I560" s="188"/>
      <c r="J560" s="188"/>
      <c r="K560" s="185"/>
      <c r="L560" s="185"/>
      <c r="M560" s="185"/>
      <c r="N560" s="185"/>
      <c r="O560" s="193"/>
      <c r="P560" s="193"/>
      <c r="Q560" s="195"/>
      <c r="R560" s="191"/>
      <c r="S560" s="192"/>
    </row>
    <row r="561" spans="1:19" ht="20.5" thickTop="1" thickBot="1" x14ac:dyDescent="0.4">
      <c r="A561" s="184" t="s">
        <v>499</v>
      </c>
      <c r="B561" s="185" t="s">
        <v>499</v>
      </c>
      <c r="C561" s="185" t="s">
        <v>499</v>
      </c>
      <c r="D561" s="186" t="s">
        <v>499</v>
      </c>
      <c r="E561" s="185" t="s">
        <v>499</v>
      </c>
      <c r="F561" s="185" t="s">
        <v>499</v>
      </c>
      <c r="G561" s="187">
        <f t="shared" si="8"/>
        <v>0</v>
      </c>
      <c r="H561" s="188"/>
      <c r="I561" s="188"/>
      <c r="J561" s="188"/>
      <c r="K561" s="185"/>
      <c r="L561" s="185"/>
      <c r="M561" s="185"/>
      <c r="N561" s="185"/>
      <c r="O561" s="193"/>
      <c r="P561" s="193"/>
      <c r="Q561" s="195"/>
      <c r="R561" s="191"/>
      <c r="S561" s="192"/>
    </row>
    <row r="562" spans="1:19" ht="20.5" thickTop="1" thickBot="1" x14ac:dyDescent="0.4">
      <c r="A562" s="184" t="s">
        <v>499</v>
      </c>
      <c r="B562" s="185" t="s">
        <v>499</v>
      </c>
      <c r="C562" s="185" t="s">
        <v>499</v>
      </c>
      <c r="D562" s="186" t="s">
        <v>499</v>
      </c>
      <c r="E562" s="185" t="s">
        <v>499</v>
      </c>
      <c r="F562" s="185" t="s">
        <v>499</v>
      </c>
      <c r="G562" s="187">
        <f t="shared" si="8"/>
        <v>0</v>
      </c>
      <c r="H562" s="188"/>
      <c r="I562" s="188"/>
      <c r="J562" s="188"/>
      <c r="K562" s="185"/>
      <c r="L562" s="185"/>
      <c r="M562" s="185"/>
      <c r="N562" s="185"/>
      <c r="O562" s="193"/>
      <c r="P562" s="193"/>
      <c r="Q562" s="195"/>
      <c r="R562" s="191"/>
      <c r="S562" s="192"/>
    </row>
    <row r="563" spans="1:19" ht="20.5" thickTop="1" thickBot="1" x14ac:dyDescent="0.4">
      <c r="A563" s="184" t="s">
        <v>499</v>
      </c>
      <c r="B563" s="185" t="s">
        <v>499</v>
      </c>
      <c r="C563" s="185" t="s">
        <v>499</v>
      </c>
      <c r="D563" s="186" t="s">
        <v>499</v>
      </c>
      <c r="E563" s="185" t="s">
        <v>499</v>
      </c>
      <c r="F563" s="185" t="s">
        <v>499</v>
      </c>
      <c r="G563" s="187">
        <f t="shared" si="8"/>
        <v>0</v>
      </c>
      <c r="H563" s="188"/>
      <c r="I563" s="188"/>
      <c r="J563" s="188"/>
      <c r="K563" s="185"/>
      <c r="L563" s="185"/>
      <c r="M563" s="185"/>
      <c r="N563" s="185"/>
      <c r="O563" s="193"/>
      <c r="P563" s="193"/>
      <c r="Q563" s="195"/>
      <c r="R563" s="191"/>
      <c r="S563" s="192"/>
    </row>
    <row r="564" spans="1:19" ht="20.5" thickTop="1" thickBot="1" x14ac:dyDescent="0.4">
      <c r="A564" s="184" t="s">
        <v>499</v>
      </c>
      <c r="B564" s="185" t="s">
        <v>499</v>
      </c>
      <c r="C564" s="185" t="s">
        <v>499</v>
      </c>
      <c r="D564" s="186" t="s">
        <v>499</v>
      </c>
      <c r="E564" s="185" t="s">
        <v>499</v>
      </c>
      <c r="F564" s="185" t="s">
        <v>499</v>
      </c>
      <c r="G564" s="187">
        <f t="shared" si="8"/>
        <v>0</v>
      </c>
      <c r="H564" s="188"/>
      <c r="I564" s="188"/>
      <c r="J564" s="188"/>
      <c r="K564" s="185"/>
      <c r="L564" s="185"/>
      <c r="M564" s="185"/>
      <c r="N564" s="185"/>
      <c r="O564" s="193"/>
      <c r="P564" s="193"/>
      <c r="Q564" s="195"/>
      <c r="R564" s="191"/>
      <c r="S564" s="192"/>
    </row>
    <row r="565" spans="1:19" ht="20.5" thickTop="1" thickBot="1" x14ac:dyDescent="0.4">
      <c r="A565" s="184" t="s">
        <v>499</v>
      </c>
      <c r="B565" s="185" t="s">
        <v>499</v>
      </c>
      <c r="C565" s="185" t="s">
        <v>499</v>
      </c>
      <c r="D565" s="186" t="s">
        <v>499</v>
      </c>
      <c r="E565" s="185" t="s">
        <v>499</v>
      </c>
      <c r="F565" s="185" t="s">
        <v>499</v>
      </c>
      <c r="G565" s="187">
        <f t="shared" si="8"/>
        <v>0</v>
      </c>
      <c r="H565" s="188"/>
      <c r="I565" s="188"/>
      <c r="J565" s="188"/>
      <c r="K565" s="185"/>
      <c r="L565" s="185"/>
      <c r="M565" s="185"/>
      <c r="N565" s="185"/>
      <c r="O565" s="193"/>
      <c r="P565" s="193"/>
      <c r="Q565" s="195"/>
      <c r="R565" s="191"/>
      <c r="S565" s="192"/>
    </row>
    <row r="566" spans="1:19" ht="20.5" thickTop="1" thickBot="1" x14ac:dyDescent="0.4">
      <c r="A566" s="184" t="s">
        <v>499</v>
      </c>
      <c r="B566" s="185" t="s">
        <v>499</v>
      </c>
      <c r="C566" s="185" t="s">
        <v>499</v>
      </c>
      <c r="D566" s="186" t="s">
        <v>499</v>
      </c>
      <c r="E566" s="185" t="s">
        <v>499</v>
      </c>
      <c r="F566" s="185" t="s">
        <v>499</v>
      </c>
      <c r="G566" s="187">
        <f t="shared" si="8"/>
        <v>0</v>
      </c>
      <c r="H566" s="188"/>
      <c r="I566" s="188"/>
      <c r="J566" s="188"/>
      <c r="K566" s="185"/>
      <c r="L566" s="185"/>
      <c r="M566" s="185"/>
      <c r="N566" s="185"/>
      <c r="O566" s="193"/>
      <c r="P566" s="193"/>
      <c r="Q566" s="195"/>
      <c r="R566" s="191"/>
      <c r="S566" s="192"/>
    </row>
    <row r="567" spans="1:19" ht="20.5" thickTop="1" thickBot="1" x14ac:dyDescent="0.4">
      <c r="A567" s="184" t="s">
        <v>499</v>
      </c>
      <c r="B567" s="185" t="s">
        <v>499</v>
      </c>
      <c r="C567" s="185" t="s">
        <v>499</v>
      </c>
      <c r="D567" s="186" t="s">
        <v>499</v>
      </c>
      <c r="E567" s="185" t="s">
        <v>499</v>
      </c>
      <c r="F567" s="185" t="s">
        <v>499</v>
      </c>
      <c r="G567" s="187">
        <f t="shared" si="8"/>
        <v>0</v>
      </c>
      <c r="H567" s="188"/>
      <c r="I567" s="188"/>
      <c r="J567" s="188"/>
      <c r="K567" s="185"/>
      <c r="L567" s="185"/>
      <c r="M567" s="185"/>
      <c r="N567" s="185"/>
      <c r="O567" s="193"/>
      <c r="P567" s="193"/>
      <c r="Q567" s="195"/>
      <c r="R567" s="191"/>
      <c r="S567" s="192"/>
    </row>
    <row r="568" spans="1:19" ht="20.5" thickTop="1" thickBot="1" x14ac:dyDescent="0.4">
      <c r="A568" s="184" t="s">
        <v>499</v>
      </c>
      <c r="B568" s="185" t="s">
        <v>499</v>
      </c>
      <c r="C568" s="185" t="s">
        <v>499</v>
      </c>
      <c r="D568" s="186" t="s">
        <v>499</v>
      </c>
      <c r="E568" s="185" t="s">
        <v>499</v>
      </c>
      <c r="F568" s="185" t="s">
        <v>499</v>
      </c>
      <c r="G568" s="187">
        <f t="shared" si="8"/>
        <v>0</v>
      </c>
      <c r="H568" s="188"/>
      <c r="I568" s="188"/>
      <c r="J568" s="188"/>
      <c r="K568" s="185"/>
      <c r="L568" s="185"/>
      <c r="M568" s="185"/>
      <c r="N568" s="185"/>
      <c r="O568" s="193"/>
      <c r="P568" s="193"/>
      <c r="Q568" s="195"/>
      <c r="R568" s="191"/>
      <c r="S568" s="192"/>
    </row>
    <row r="569" spans="1:19" ht="20.5" thickTop="1" thickBot="1" x14ac:dyDescent="0.4">
      <c r="A569" s="184" t="s">
        <v>499</v>
      </c>
      <c r="B569" s="185" t="s">
        <v>499</v>
      </c>
      <c r="C569" s="185" t="s">
        <v>499</v>
      </c>
      <c r="D569" s="186" t="s">
        <v>499</v>
      </c>
      <c r="E569" s="185" t="s">
        <v>499</v>
      </c>
      <c r="F569" s="185" t="s">
        <v>499</v>
      </c>
      <c r="G569" s="187">
        <f t="shared" si="8"/>
        <v>0</v>
      </c>
      <c r="H569" s="188"/>
      <c r="I569" s="188"/>
      <c r="J569" s="188"/>
      <c r="K569" s="185"/>
      <c r="L569" s="185"/>
      <c r="M569" s="185"/>
      <c r="N569" s="185"/>
      <c r="O569" s="193"/>
      <c r="P569" s="193"/>
      <c r="Q569" s="195"/>
      <c r="R569" s="191"/>
      <c r="S569" s="192"/>
    </row>
    <row r="570" spans="1:19" ht="20.5" thickTop="1" thickBot="1" x14ac:dyDescent="0.4">
      <c r="A570" s="184" t="s">
        <v>499</v>
      </c>
      <c r="B570" s="185" t="s">
        <v>499</v>
      </c>
      <c r="C570" s="185" t="s">
        <v>499</v>
      </c>
      <c r="D570" s="186" t="s">
        <v>499</v>
      </c>
      <c r="E570" s="185" t="s">
        <v>499</v>
      </c>
      <c r="F570" s="185" t="s">
        <v>499</v>
      </c>
      <c r="G570" s="187">
        <f t="shared" si="8"/>
        <v>0</v>
      </c>
      <c r="H570" s="188"/>
      <c r="I570" s="188"/>
      <c r="J570" s="188"/>
      <c r="K570" s="185"/>
      <c r="L570" s="185"/>
      <c r="M570" s="185"/>
      <c r="N570" s="185"/>
      <c r="O570" s="193"/>
      <c r="P570" s="193"/>
      <c r="Q570" s="195"/>
      <c r="R570" s="191"/>
      <c r="S570" s="192"/>
    </row>
    <row r="571" spans="1:19" ht="20.5" thickTop="1" thickBot="1" x14ac:dyDescent="0.4">
      <c r="A571" s="184" t="s">
        <v>499</v>
      </c>
      <c r="B571" s="185" t="s">
        <v>499</v>
      </c>
      <c r="C571" s="185" t="s">
        <v>499</v>
      </c>
      <c r="D571" s="186" t="s">
        <v>499</v>
      </c>
      <c r="E571" s="185" t="s">
        <v>499</v>
      </c>
      <c r="F571" s="185" t="s">
        <v>499</v>
      </c>
      <c r="G571" s="187">
        <f t="shared" si="8"/>
        <v>0</v>
      </c>
      <c r="H571" s="188"/>
      <c r="I571" s="188"/>
      <c r="J571" s="188"/>
      <c r="K571" s="185"/>
      <c r="L571" s="185"/>
      <c r="M571" s="185"/>
      <c r="N571" s="185"/>
      <c r="O571" s="193"/>
      <c r="P571" s="193"/>
      <c r="Q571" s="195"/>
      <c r="R571" s="191"/>
      <c r="S571" s="192"/>
    </row>
    <row r="572" spans="1:19" ht="20.5" thickTop="1" thickBot="1" x14ac:dyDescent="0.4">
      <c r="A572" s="184" t="s">
        <v>499</v>
      </c>
      <c r="B572" s="185" t="s">
        <v>499</v>
      </c>
      <c r="C572" s="185" t="s">
        <v>499</v>
      </c>
      <c r="D572" s="186" t="s">
        <v>499</v>
      </c>
      <c r="E572" s="185" t="s">
        <v>499</v>
      </c>
      <c r="F572" s="185" t="s">
        <v>499</v>
      </c>
      <c r="G572" s="187">
        <f t="shared" si="8"/>
        <v>0</v>
      </c>
      <c r="H572" s="188"/>
      <c r="I572" s="188"/>
      <c r="J572" s="188"/>
      <c r="K572" s="185"/>
      <c r="L572" s="185"/>
      <c r="M572" s="185"/>
      <c r="N572" s="185"/>
      <c r="O572" s="193"/>
      <c r="P572" s="193"/>
      <c r="Q572" s="195"/>
      <c r="R572" s="191"/>
      <c r="S572" s="192"/>
    </row>
    <row r="573" spans="1:19" ht="20.5" thickTop="1" thickBot="1" x14ac:dyDescent="0.4">
      <c r="A573" s="184" t="s">
        <v>499</v>
      </c>
      <c r="B573" s="185" t="s">
        <v>499</v>
      </c>
      <c r="C573" s="185" t="s">
        <v>499</v>
      </c>
      <c r="D573" s="186" t="s">
        <v>499</v>
      </c>
      <c r="E573" s="185" t="s">
        <v>499</v>
      </c>
      <c r="F573" s="185" t="s">
        <v>499</v>
      </c>
      <c r="G573" s="187">
        <f t="shared" si="8"/>
        <v>0</v>
      </c>
      <c r="H573" s="188"/>
      <c r="I573" s="188"/>
      <c r="J573" s="188"/>
      <c r="K573" s="185"/>
      <c r="L573" s="185"/>
      <c r="M573" s="185"/>
      <c r="N573" s="185"/>
      <c r="O573" s="193"/>
      <c r="P573" s="193"/>
      <c r="Q573" s="195"/>
      <c r="R573" s="191"/>
      <c r="S573" s="192"/>
    </row>
    <row r="574" spans="1:19" ht="20.5" thickTop="1" thickBot="1" x14ac:dyDescent="0.4">
      <c r="A574" s="184" t="s">
        <v>499</v>
      </c>
      <c r="B574" s="185" t="s">
        <v>499</v>
      </c>
      <c r="C574" s="185" t="s">
        <v>499</v>
      </c>
      <c r="D574" s="186" t="s">
        <v>499</v>
      </c>
      <c r="E574" s="185" t="s">
        <v>499</v>
      </c>
      <c r="F574" s="185" t="s">
        <v>499</v>
      </c>
      <c r="G574" s="187">
        <f t="shared" si="8"/>
        <v>0</v>
      </c>
      <c r="H574" s="188"/>
      <c r="I574" s="188"/>
      <c r="J574" s="188"/>
      <c r="K574" s="185"/>
      <c r="L574" s="185"/>
      <c r="M574" s="185"/>
      <c r="N574" s="185"/>
      <c r="O574" s="193"/>
      <c r="P574" s="193"/>
      <c r="Q574" s="195"/>
      <c r="R574" s="191"/>
      <c r="S574" s="192"/>
    </row>
    <row r="575" spans="1:19" ht="20.5" thickTop="1" thickBot="1" x14ac:dyDescent="0.4">
      <c r="A575" s="184" t="s">
        <v>499</v>
      </c>
      <c r="B575" s="185" t="s">
        <v>499</v>
      </c>
      <c r="C575" s="185" t="s">
        <v>499</v>
      </c>
      <c r="D575" s="186" t="s">
        <v>499</v>
      </c>
      <c r="E575" s="185" t="s">
        <v>499</v>
      </c>
      <c r="F575" s="185" t="s">
        <v>499</v>
      </c>
      <c r="G575" s="187">
        <f t="shared" si="8"/>
        <v>0</v>
      </c>
      <c r="H575" s="188"/>
      <c r="I575" s="188"/>
      <c r="J575" s="188"/>
      <c r="K575" s="185"/>
      <c r="L575" s="185"/>
      <c r="M575" s="185"/>
      <c r="N575" s="185"/>
      <c r="O575" s="193"/>
      <c r="P575" s="193"/>
      <c r="Q575" s="195"/>
      <c r="R575" s="191"/>
      <c r="S575" s="192"/>
    </row>
    <row r="576" spans="1:19" ht="20.5" thickTop="1" thickBot="1" x14ac:dyDescent="0.4">
      <c r="A576" s="184" t="s">
        <v>499</v>
      </c>
      <c r="B576" s="185" t="s">
        <v>499</v>
      </c>
      <c r="C576" s="185" t="s">
        <v>499</v>
      </c>
      <c r="D576" s="186" t="s">
        <v>499</v>
      </c>
      <c r="E576" s="185" t="s">
        <v>499</v>
      </c>
      <c r="F576" s="185" t="s">
        <v>499</v>
      </c>
      <c r="G576" s="187">
        <f t="shared" si="8"/>
        <v>0</v>
      </c>
      <c r="H576" s="188"/>
      <c r="I576" s="188"/>
      <c r="J576" s="188"/>
      <c r="K576" s="185"/>
      <c r="L576" s="185"/>
      <c r="M576" s="185"/>
      <c r="N576" s="185"/>
      <c r="O576" s="193"/>
      <c r="P576" s="193"/>
      <c r="Q576" s="195"/>
      <c r="R576" s="191"/>
      <c r="S576" s="192"/>
    </row>
    <row r="577" spans="1:19" ht="20.5" thickTop="1" thickBot="1" x14ac:dyDescent="0.4">
      <c r="A577" s="184" t="s">
        <v>499</v>
      </c>
      <c r="B577" s="185" t="s">
        <v>499</v>
      </c>
      <c r="C577" s="185" t="s">
        <v>499</v>
      </c>
      <c r="D577" s="186" t="s">
        <v>499</v>
      </c>
      <c r="E577" s="185" t="s">
        <v>499</v>
      </c>
      <c r="F577" s="185" t="s">
        <v>499</v>
      </c>
      <c r="G577" s="187">
        <f t="shared" si="8"/>
        <v>0</v>
      </c>
      <c r="H577" s="188"/>
      <c r="I577" s="188"/>
      <c r="J577" s="188"/>
      <c r="K577" s="185"/>
      <c r="L577" s="185"/>
      <c r="M577" s="185"/>
      <c r="N577" s="185"/>
      <c r="O577" s="193"/>
      <c r="P577" s="193"/>
      <c r="Q577" s="195"/>
      <c r="R577" s="191"/>
      <c r="S577" s="192"/>
    </row>
    <row r="578" spans="1:19" ht="20.5" thickTop="1" thickBot="1" x14ac:dyDescent="0.4">
      <c r="A578" s="184" t="s">
        <v>499</v>
      </c>
      <c r="B578" s="185" t="s">
        <v>499</v>
      </c>
      <c r="C578" s="185" t="s">
        <v>499</v>
      </c>
      <c r="D578" s="186" t="s">
        <v>499</v>
      </c>
      <c r="E578" s="185" t="s">
        <v>499</v>
      </c>
      <c r="F578" s="185" t="s">
        <v>499</v>
      </c>
      <c r="G578" s="187">
        <f t="shared" si="8"/>
        <v>0</v>
      </c>
      <c r="H578" s="188"/>
      <c r="I578" s="188"/>
      <c r="J578" s="188"/>
      <c r="K578" s="185"/>
      <c r="L578" s="185"/>
      <c r="M578" s="185"/>
      <c r="N578" s="185"/>
      <c r="O578" s="193"/>
      <c r="P578" s="193"/>
      <c r="Q578" s="195"/>
      <c r="R578" s="191"/>
      <c r="S578" s="192"/>
    </row>
    <row r="579" spans="1:19" ht="20.5" thickTop="1" thickBot="1" x14ac:dyDescent="0.4">
      <c r="A579" s="184" t="s">
        <v>499</v>
      </c>
      <c r="B579" s="185" t="s">
        <v>499</v>
      </c>
      <c r="C579" s="185" t="s">
        <v>499</v>
      </c>
      <c r="D579" s="186" t="s">
        <v>499</v>
      </c>
      <c r="E579" s="185" t="s">
        <v>499</v>
      </c>
      <c r="F579" s="185" t="s">
        <v>499</v>
      </c>
      <c r="G579" s="187">
        <f t="shared" si="8"/>
        <v>0</v>
      </c>
      <c r="H579" s="188"/>
      <c r="I579" s="188"/>
      <c r="J579" s="188"/>
      <c r="K579" s="185"/>
      <c r="L579" s="185"/>
      <c r="M579" s="185"/>
      <c r="N579" s="185"/>
      <c r="O579" s="193"/>
      <c r="P579" s="193"/>
      <c r="Q579" s="195"/>
      <c r="R579" s="191"/>
      <c r="S579" s="192"/>
    </row>
    <row r="580" spans="1:19" ht="20.5" thickTop="1" thickBot="1" x14ac:dyDescent="0.4">
      <c r="A580" s="184" t="s">
        <v>499</v>
      </c>
      <c r="B580" s="185" t="s">
        <v>499</v>
      </c>
      <c r="C580" s="185" t="s">
        <v>499</v>
      </c>
      <c r="D580" s="186" t="s">
        <v>499</v>
      </c>
      <c r="E580" s="185" t="s">
        <v>499</v>
      </c>
      <c r="F580" s="185" t="s">
        <v>499</v>
      </c>
      <c r="G580" s="187">
        <f t="shared" si="8"/>
        <v>0</v>
      </c>
      <c r="H580" s="188"/>
      <c r="I580" s="188"/>
      <c r="J580" s="188"/>
      <c r="K580" s="185"/>
      <c r="L580" s="185"/>
      <c r="M580" s="185"/>
      <c r="N580" s="185"/>
      <c r="O580" s="193"/>
      <c r="P580" s="193"/>
      <c r="Q580" s="195"/>
      <c r="R580" s="191"/>
      <c r="S580" s="192"/>
    </row>
    <row r="581" spans="1:19" ht="20.5" thickTop="1" thickBot="1" x14ac:dyDescent="0.4">
      <c r="A581" s="184" t="s">
        <v>499</v>
      </c>
      <c r="B581" s="185" t="s">
        <v>499</v>
      </c>
      <c r="C581" s="185" t="s">
        <v>499</v>
      </c>
      <c r="D581" s="186" t="s">
        <v>499</v>
      </c>
      <c r="E581" s="185" t="s">
        <v>499</v>
      </c>
      <c r="F581" s="185" t="s">
        <v>499</v>
      </c>
      <c r="G581" s="187">
        <f t="shared" ref="G581:G644" si="9">SUM(H581:J581)</f>
        <v>0</v>
      </c>
      <c r="H581" s="188"/>
      <c r="I581" s="188"/>
      <c r="J581" s="188"/>
      <c r="K581" s="185"/>
      <c r="L581" s="185"/>
      <c r="M581" s="185"/>
      <c r="N581" s="185"/>
      <c r="O581" s="193"/>
      <c r="P581" s="193"/>
      <c r="Q581" s="195"/>
      <c r="R581" s="191"/>
      <c r="S581" s="192"/>
    </row>
    <row r="582" spans="1:19" ht="20.5" thickTop="1" thickBot="1" x14ac:dyDescent="0.4">
      <c r="A582" s="184" t="s">
        <v>499</v>
      </c>
      <c r="B582" s="185" t="s">
        <v>499</v>
      </c>
      <c r="C582" s="185" t="s">
        <v>499</v>
      </c>
      <c r="D582" s="186" t="s">
        <v>499</v>
      </c>
      <c r="E582" s="185" t="s">
        <v>499</v>
      </c>
      <c r="F582" s="185" t="s">
        <v>499</v>
      </c>
      <c r="G582" s="187">
        <f t="shared" si="9"/>
        <v>0</v>
      </c>
      <c r="H582" s="188"/>
      <c r="I582" s="188"/>
      <c r="J582" s="188"/>
      <c r="K582" s="185"/>
      <c r="L582" s="185"/>
      <c r="M582" s="185"/>
      <c r="N582" s="185"/>
      <c r="O582" s="193"/>
      <c r="P582" s="193"/>
      <c r="Q582" s="195"/>
      <c r="R582" s="191"/>
      <c r="S582" s="192"/>
    </row>
    <row r="583" spans="1:19" ht="20.5" thickTop="1" thickBot="1" x14ac:dyDescent="0.4">
      <c r="A583" s="184" t="s">
        <v>499</v>
      </c>
      <c r="B583" s="185" t="s">
        <v>499</v>
      </c>
      <c r="C583" s="185" t="s">
        <v>499</v>
      </c>
      <c r="D583" s="186" t="s">
        <v>499</v>
      </c>
      <c r="E583" s="185" t="s">
        <v>499</v>
      </c>
      <c r="F583" s="185" t="s">
        <v>499</v>
      </c>
      <c r="G583" s="187">
        <f t="shared" si="9"/>
        <v>0</v>
      </c>
      <c r="H583" s="188"/>
      <c r="I583" s="188"/>
      <c r="J583" s="188"/>
      <c r="K583" s="185"/>
      <c r="L583" s="185"/>
      <c r="M583" s="185"/>
      <c r="N583" s="185"/>
      <c r="O583" s="193"/>
      <c r="P583" s="193"/>
      <c r="Q583" s="195"/>
      <c r="R583" s="191"/>
      <c r="S583" s="192"/>
    </row>
    <row r="584" spans="1:19" ht="20.5" thickTop="1" thickBot="1" x14ac:dyDescent="0.4">
      <c r="A584" s="184" t="s">
        <v>499</v>
      </c>
      <c r="B584" s="185" t="s">
        <v>499</v>
      </c>
      <c r="C584" s="185" t="s">
        <v>499</v>
      </c>
      <c r="D584" s="186" t="s">
        <v>499</v>
      </c>
      <c r="E584" s="185" t="s">
        <v>499</v>
      </c>
      <c r="F584" s="185" t="s">
        <v>499</v>
      </c>
      <c r="G584" s="187">
        <f t="shared" si="9"/>
        <v>0</v>
      </c>
      <c r="H584" s="188"/>
      <c r="I584" s="188"/>
      <c r="J584" s="188"/>
      <c r="K584" s="185"/>
      <c r="L584" s="185"/>
      <c r="M584" s="185"/>
      <c r="N584" s="185"/>
      <c r="O584" s="193"/>
      <c r="P584" s="193"/>
      <c r="Q584" s="195"/>
      <c r="R584" s="191"/>
      <c r="S584" s="192"/>
    </row>
    <row r="585" spans="1:19" ht="20.5" thickTop="1" thickBot="1" x14ac:dyDescent="0.4">
      <c r="A585" s="184" t="s">
        <v>499</v>
      </c>
      <c r="B585" s="185" t="s">
        <v>499</v>
      </c>
      <c r="C585" s="185" t="s">
        <v>499</v>
      </c>
      <c r="D585" s="186" t="s">
        <v>499</v>
      </c>
      <c r="E585" s="185" t="s">
        <v>499</v>
      </c>
      <c r="F585" s="185" t="s">
        <v>499</v>
      </c>
      <c r="G585" s="187">
        <f t="shared" si="9"/>
        <v>0</v>
      </c>
      <c r="H585" s="188"/>
      <c r="I585" s="188"/>
      <c r="J585" s="188"/>
      <c r="K585" s="185"/>
      <c r="L585" s="185"/>
      <c r="M585" s="185"/>
      <c r="N585" s="185"/>
      <c r="O585" s="193"/>
      <c r="P585" s="193"/>
      <c r="Q585" s="195"/>
      <c r="R585" s="191"/>
      <c r="S585" s="192"/>
    </row>
    <row r="586" spans="1:19" ht="20.5" thickTop="1" thickBot="1" x14ac:dyDescent="0.4">
      <c r="A586" s="184" t="s">
        <v>499</v>
      </c>
      <c r="B586" s="185" t="s">
        <v>499</v>
      </c>
      <c r="C586" s="185" t="s">
        <v>499</v>
      </c>
      <c r="D586" s="186" t="s">
        <v>499</v>
      </c>
      <c r="E586" s="185" t="s">
        <v>499</v>
      </c>
      <c r="F586" s="185" t="s">
        <v>499</v>
      </c>
      <c r="G586" s="187">
        <f t="shared" si="9"/>
        <v>0</v>
      </c>
      <c r="H586" s="188"/>
      <c r="I586" s="188"/>
      <c r="J586" s="188"/>
      <c r="K586" s="185"/>
      <c r="L586" s="185"/>
      <c r="M586" s="185"/>
      <c r="N586" s="185"/>
      <c r="O586" s="193"/>
      <c r="P586" s="193"/>
      <c r="Q586" s="195"/>
      <c r="R586" s="191"/>
      <c r="S586" s="192"/>
    </row>
    <row r="587" spans="1:19" ht="20.5" thickTop="1" thickBot="1" x14ac:dyDescent="0.4">
      <c r="A587" s="184" t="s">
        <v>499</v>
      </c>
      <c r="B587" s="185" t="s">
        <v>499</v>
      </c>
      <c r="C587" s="185" t="s">
        <v>499</v>
      </c>
      <c r="D587" s="186" t="s">
        <v>499</v>
      </c>
      <c r="E587" s="185" t="s">
        <v>499</v>
      </c>
      <c r="F587" s="185" t="s">
        <v>499</v>
      </c>
      <c r="G587" s="187">
        <f t="shared" si="9"/>
        <v>0</v>
      </c>
      <c r="H587" s="188"/>
      <c r="I587" s="188"/>
      <c r="J587" s="188"/>
      <c r="K587" s="185"/>
      <c r="L587" s="185"/>
      <c r="M587" s="185"/>
      <c r="N587" s="185"/>
      <c r="O587" s="193"/>
      <c r="P587" s="193"/>
      <c r="Q587" s="195"/>
      <c r="R587" s="191"/>
      <c r="S587" s="192"/>
    </row>
    <row r="588" spans="1:19" ht="20.5" thickTop="1" thickBot="1" x14ac:dyDescent="0.4">
      <c r="A588" s="184" t="s">
        <v>499</v>
      </c>
      <c r="B588" s="185" t="s">
        <v>499</v>
      </c>
      <c r="C588" s="185" t="s">
        <v>499</v>
      </c>
      <c r="D588" s="186" t="s">
        <v>499</v>
      </c>
      <c r="E588" s="185" t="s">
        <v>499</v>
      </c>
      <c r="F588" s="185" t="s">
        <v>499</v>
      </c>
      <c r="G588" s="187">
        <f t="shared" si="9"/>
        <v>0</v>
      </c>
      <c r="H588" s="188"/>
      <c r="I588" s="188"/>
      <c r="J588" s="188"/>
      <c r="K588" s="185"/>
      <c r="L588" s="185"/>
      <c r="M588" s="185"/>
      <c r="N588" s="185"/>
      <c r="O588" s="193"/>
      <c r="P588" s="193"/>
      <c r="Q588" s="195"/>
      <c r="R588" s="191"/>
      <c r="S588" s="192"/>
    </row>
    <row r="589" spans="1:19" ht="20.5" thickTop="1" thickBot="1" x14ac:dyDescent="0.4">
      <c r="A589" s="184" t="s">
        <v>499</v>
      </c>
      <c r="B589" s="185" t="s">
        <v>499</v>
      </c>
      <c r="C589" s="185" t="s">
        <v>499</v>
      </c>
      <c r="D589" s="186" t="s">
        <v>499</v>
      </c>
      <c r="E589" s="185" t="s">
        <v>499</v>
      </c>
      <c r="F589" s="185" t="s">
        <v>499</v>
      </c>
      <c r="G589" s="187">
        <f t="shared" si="9"/>
        <v>0</v>
      </c>
      <c r="H589" s="188"/>
      <c r="I589" s="188"/>
      <c r="J589" s="188"/>
      <c r="K589" s="185"/>
      <c r="L589" s="185"/>
      <c r="M589" s="185"/>
      <c r="N589" s="185"/>
      <c r="O589" s="193"/>
      <c r="P589" s="193"/>
      <c r="Q589" s="195"/>
      <c r="R589" s="191"/>
      <c r="S589" s="192"/>
    </row>
    <row r="590" spans="1:19" ht="20.5" thickTop="1" thickBot="1" x14ac:dyDescent="0.4">
      <c r="A590" s="184" t="s">
        <v>499</v>
      </c>
      <c r="B590" s="185" t="s">
        <v>499</v>
      </c>
      <c r="C590" s="185" t="s">
        <v>499</v>
      </c>
      <c r="D590" s="186" t="s">
        <v>499</v>
      </c>
      <c r="E590" s="185" t="s">
        <v>499</v>
      </c>
      <c r="F590" s="185" t="s">
        <v>499</v>
      </c>
      <c r="G590" s="187">
        <f t="shared" si="9"/>
        <v>0</v>
      </c>
      <c r="H590" s="188"/>
      <c r="I590" s="188"/>
      <c r="J590" s="188"/>
      <c r="K590" s="185"/>
      <c r="L590" s="185"/>
      <c r="M590" s="185"/>
      <c r="N590" s="185"/>
      <c r="O590" s="193"/>
      <c r="P590" s="193"/>
      <c r="Q590" s="195"/>
      <c r="R590" s="191"/>
      <c r="S590" s="192"/>
    </row>
    <row r="591" spans="1:19" ht="20.5" thickTop="1" thickBot="1" x14ac:dyDescent="0.4">
      <c r="A591" s="184" t="s">
        <v>499</v>
      </c>
      <c r="B591" s="185" t="s">
        <v>499</v>
      </c>
      <c r="C591" s="185" t="s">
        <v>499</v>
      </c>
      <c r="D591" s="186" t="s">
        <v>499</v>
      </c>
      <c r="E591" s="185" t="s">
        <v>499</v>
      </c>
      <c r="F591" s="185" t="s">
        <v>499</v>
      </c>
      <c r="G591" s="187">
        <f t="shared" si="9"/>
        <v>0</v>
      </c>
      <c r="H591" s="188"/>
      <c r="I591" s="188"/>
      <c r="J591" s="188"/>
      <c r="K591" s="185"/>
      <c r="L591" s="185"/>
      <c r="M591" s="185"/>
      <c r="N591" s="185"/>
      <c r="O591" s="193"/>
      <c r="P591" s="193"/>
      <c r="Q591" s="195"/>
      <c r="R591" s="191"/>
      <c r="S591" s="192"/>
    </row>
    <row r="592" spans="1:19" ht="20.5" thickTop="1" thickBot="1" x14ac:dyDescent="0.4">
      <c r="A592" s="184" t="s">
        <v>499</v>
      </c>
      <c r="B592" s="185" t="s">
        <v>499</v>
      </c>
      <c r="C592" s="185" t="s">
        <v>499</v>
      </c>
      <c r="D592" s="186" t="s">
        <v>499</v>
      </c>
      <c r="E592" s="185" t="s">
        <v>499</v>
      </c>
      <c r="F592" s="185" t="s">
        <v>499</v>
      </c>
      <c r="G592" s="187">
        <f t="shared" si="9"/>
        <v>0</v>
      </c>
      <c r="H592" s="188"/>
      <c r="I592" s="188"/>
      <c r="J592" s="188"/>
      <c r="K592" s="185"/>
      <c r="L592" s="185"/>
      <c r="M592" s="185"/>
      <c r="N592" s="185"/>
      <c r="O592" s="193"/>
      <c r="P592" s="193"/>
      <c r="Q592" s="195"/>
      <c r="R592" s="191"/>
      <c r="S592" s="192"/>
    </row>
    <row r="593" spans="1:19" ht="20.5" thickTop="1" thickBot="1" x14ac:dyDescent="0.4">
      <c r="A593" s="184" t="s">
        <v>499</v>
      </c>
      <c r="B593" s="185" t="s">
        <v>499</v>
      </c>
      <c r="C593" s="185" t="s">
        <v>499</v>
      </c>
      <c r="D593" s="186" t="s">
        <v>499</v>
      </c>
      <c r="E593" s="185" t="s">
        <v>499</v>
      </c>
      <c r="F593" s="185" t="s">
        <v>499</v>
      </c>
      <c r="G593" s="187">
        <f t="shared" si="9"/>
        <v>0</v>
      </c>
      <c r="H593" s="188"/>
      <c r="I593" s="188"/>
      <c r="J593" s="188"/>
      <c r="K593" s="185"/>
      <c r="L593" s="185"/>
      <c r="M593" s="185"/>
      <c r="N593" s="185"/>
      <c r="O593" s="193"/>
      <c r="P593" s="193"/>
      <c r="Q593" s="195"/>
      <c r="R593" s="191"/>
      <c r="S593" s="192"/>
    </row>
    <row r="594" spans="1:19" ht="20.5" thickTop="1" thickBot="1" x14ac:dyDescent="0.4">
      <c r="A594" s="184" t="s">
        <v>499</v>
      </c>
      <c r="B594" s="185" t="s">
        <v>499</v>
      </c>
      <c r="C594" s="185" t="s">
        <v>499</v>
      </c>
      <c r="D594" s="186" t="s">
        <v>499</v>
      </c>
      <c r="E594" s="185" t="s">
        <v>499</v>
      </c>
      <c r="F594" s="185" t="s">
        <v>499</v>
      </c>
      <c r="G594" s="187">
        <f t="shared" si="9"/>
        <v>0</v>
      </c>
      <c r="H594" s="188"/>
      <c r="I594" s="188"/>
      <c r="J594" s="188"/>
      <c r="K594" s="185"/>
      <c r="L594" s="185"/>
      <c r="M594" s="185"/>
      <c r="N594" s="185"/>
      <c r="O594" s="193"/>
      <c r="P594" s="193"/>
      <c r="Q594" s="195"/>
      <c r="R594" s="191"/>
      <c r="S594" s="192"/>
    </row>
    <row r="595" spans="1:19" ht="20.5" thickTop="1" thickBot="1" x14ac:dyDescent="0.4">
      <c r="A595" s="184" t="s">
        <v>499</v>
      </c>
      <c r="B595" s="185" t="s">
        <v>499</v>
      </c>
      <c r="C595" s="185" t="s">
        <v>499</v>
      </c>
      <c r="D595" s="186" t="s">
        <v>499</v>
      </c>
      <c r="E595" s="185" t="s">
        <v>499</v>
      </c>
      <c r="F595" s="185" t="s">
        <v>499</v>
      </c>
      <c r="G595" s="187">
        <f t="shared" si="9"/>
        <v>0</v>
      </c>
      <c r="H595" s="188"/>
      <c r="I595" s="188"/>
      <c r="J595" s="188"/>
      <c r="K595" s="185"/>
      <c r="L595" s="185"/>
      <c r="M595" s="185"/>
      <c r="N595" s="185"/>
      <c r="O595" s="193"/>
      <c r="P595" s="193"/>
      <c r="Q595" s="195"/>
      <c r="R595" s="191"/>
      <c r="S595" s="192"/>
    </row>
    <row r="596" spans="1:19" ht="20.5" thickTop="1" thickBot="1" x14ac:dyDescent="0.4">
      <c r="A596" s="184" t="s">
        <v>499</v>
      </c>
      <c r="B596" s="185" t="s">
        <v>499</v>
      </c>
      <c r="C596" s="185" t="s">
        <v>499</v>
      </c>
      <c r="D596" s="186" t="s">
        <v>499</v>
      </c>
      <c r="E596" s="185" t="s">
        <v>499</v>
      </c>
      <c r="F596" s="185" t="s">
        <v>499</v>
      </c>
      <c r="G596" s="187">
        <f t="shared" si="9"/>
        <v>0</v>
      </c>
      <c r="H596" s="188"/>
      <c r="I596" s="188"/>
      <c r="J596" s="188"/>
      <c r="K596" s="185"/>
      <c r="L596" s="185"/>
      <c r="M596" s="185"/>
      <c r="N596" s="185"/>
      <c r="O596" s="193"/>
      <c r="P596" s="193"/>
      <c r="Q596" s="195"/>
      <c r="R596" s="191"/>
      <c r="S596" s="192"/>
    </row>
    <row r="597" spans="1:19" ht="20.5" thickTop="1" thickBot="1" x14ac:dyDescent="0.4">
      <c r="A597" s="184" t="s">
        <v>499</v>
      </c>
      <c r="B597" s="185" t="s">
        <v>499</v>
      </c>
      <c r="C597" s="185" t="s">
        <v>499</v>
      </c>
      <c r="D597" s="186" t="s">
        <v>499</v>
      </c>
      <c r="E597" s="185" t="s">
        <v>499</v>
      </c>
      <c r="F597" s="185" t="s">
        <v>499</v>
      </c>
      <c r="G597" s="187">
        <f t="shared" si="9"/>
        <v>0</v>
      </c>
      <c r="H597" s="188"/>
      <c r="I597" s="188"/>
      <c r="J597" s="188"/>
      <c r="K597" s="185"/>
      <c r="L597" s="185"/>
      <c r="M597" s="185"/>
      <c r="N597" s="185"/>
      <c r="O597" s="193"/>
      <c r="P597" s="193"/>
      <c r="Q597" s="195"/>
      <c r="R597" s="191"/>
      <c r="S597" s="192"/>
    </row>
    <row r="598" spans="1:19" ht="20.5" thickTop="1" thickBot="1" x14ac:dyDescent="0.4">
      <c r="A598" s="184" t="s">
        <v>499</v>
      </c>
      <c r="B598" s="185" t="s">
        <v>499</v>
      </c>
      <c r="C598" s="185" t="s">
        <v>499</v>
      </c>
      <c r="D598" s="186" t="s">
        <v>499</v>
      </c>
      <c r="E598" s="185" t="s">
        <v>499</v>
      </c>
      <c r="F598" s="185" t="s">
        <v>499</v>
      </c>
      <c r="G598" s="187">
        <f t="shared" si="9"/>
        <v>0</v>
      </c>
      <c r="H598" s="188"/>
      <c r="I598" s="188"/>
      <c r="J598" s="188"/>
      <c r="K598" s="185"/>
      <c r="L598" s="185"/>
      <c r="M598" s="185"/>
      <c r="N598" s="185"/>
      <c r="O598" s="193"/>
      <c r="P598" s="193"/>
      <c r="Q598" s="195"/>
      <c r="R598" s="191"/>
      <c r="S598" s="192"/>
    </row>
    <row r="599" spans="1:19" ht="20.5" thickTop="1" thickBot="1" x14ac:dyDescent="0.4">
      <c r="A599" s="184" t="s">
        <v>499</v>
      </c>
      <c r="B599" s="185" t="s">
        <v>499</v>
      </c>
      <c r="C599" s="185" t="s">
        <v>499</v>
      </c>
      <c r="D599" s="186" t="s">
        <v>499</v>
      </c>
      <c r="E599" s="185" t="s">
        <v>499</v>
      </c>
      <c r="F599" s="185" t="s">
        <v>499</v>
      </c>
      <c r="G599" s="187">
        <f t="shared" si="9"/>
        <v>0</v>
      </c>
      <c r="H599" s="188"/>
      <c r="I599" s="188"/>
      <c r="J599" s="188"/>
      <c r="K599" s="185"/>
      <c r="L599" s="185"/>
      <c r="M599" s="185"/>
      <c r="N599" s="185"/>
      <c r="O599" s="193"/>
      <c r="P599" s="193"/>
      <c r="Q599" s="195"/>
      <c r="R599" s="191"/>
      <c r="S599" s="192"/>
    </row>
    <row r="600" spans="1:19" ht="20.5" thickTop="1" thickBot="1" x14ac:dyDescent="0.4">
      <c r="A600" s="184" t="s">
        <v>499</v>
      </c>
      <c r="B600" s="185" t="s">
        <v>499</v>
      </c>
      <c r="C600" s="185" t="s">
        <v>499</v>
      </c>
      <c r="D600" s="186" t="s">
        <v>499</v>
      </c>
      <c r="E600" s="185" t="s">
        <v>499</v>
      </c>
      <c r="F600" s="185" t="s">
        <v>499</v>
      </c>
      <c r="G600" s="187">
        <f t="shared" si="9"/>
        <v>0</v>
      </c>
      <c r="H600" s="188"/>
      <c r="I600" s="188"/>
      <c r="J600" s="188"/>
      <c r="K600" s="185"/>
      <c r="L600" s="185"/>
      <c r="M600" s="185"/>
      <c r="N600" s="185"/>
      <c r="O600" s="193"/>
      <c r="P600" s="193"/>
      <c r="Q600" s="195"/>
      <c r="R600" s="191"/>
      <c r="S600" s="192"/>
    </row>
    <row r="601" spans="1:19" ht="20.5" thickTop="1" thickBot="1" x14ac:dyDescent="0.4">
      <c r="A601" s="184" t="s">
        <v>499</v>
      </c>
      <c r="B601" s="185" t="s">
        <v>499</v>
      </c>
      <c r="C601" s="185" t="s">
        <v>499</v>
      </c>
      <c r="D601" s="186" t="s">
        <v>499</v>
      </c>
      <c r="E601" s="185" t="s">
        <v>499</v>
      </c>
      <c r="F601" s="185" t="s">
        <v>499</v>
      </c>
      <c r="G601" s="187">
        <f t="shared" si="9"/>
        <v>0</v>
      </c>
      <c r="H601" s="188"/>
      <c r="I601" s="188"/>
      <c r="J601" s="188"/>
      <c r="K601" s="185"/>
      <c r="L601" s="185"/>
      <c r="M601" s="185"/>
      <c r="N601" s="185"/>
      <c r="O601" s="193"/>
      <c r="P601" s="193"/>
      <c r="Q601" s="195"/>
      <c r="R601" s="191"/>
      <c r="S601" s="192"/>
    </row>
    <row r="602" spans="1:19" ht="20.5" thickTop="1" thickBot="1" x14ac:dyDescent="0.4">
      <c r="A602" s="184" t="s">
        <v>499</v>
      </c>
      <c r="B602" s="185" t="s">
        <v>499</v>
      </c>
      <c r="C602" s="185" t="s">
        <v>499</v>
      </c>
      <c r="D602" s="186" t="s">
        <v>499</v>
      </c>
      <c r="E602" s="185" t="s">
        <v>499</v>
      </c>
      <c r="F602" s="185" t="s">
        <v>499</v>
      </c>
      <c r="G602" s="187">
        <f t="shared" si="9"/>
        <v>0</v>
      </c>
      <c r="H602" s="188"/>
      <c r="I602" s="188"/>
      <c r="J602" s="188"/>
      <c r="K602" s="185"/>
      <c r="L602" s="185"/>
      <c r="M602" s="185"/>
      <c r="N602" s="185"/>
      <c r="O602" s="193"/>
      <c r="P602" s="193"/>
      <c r="Q602" s="195"/>
      <c r="R602" s="191"/>
      <c r="S602" s="192"/>
    </row>
    <row r="603" spans="1:19" ht="20.5" thickTop="1" thickBot="1" x14ac:dyDescent="0.4">
      <c r="A603" s="184" t="s">
        <v>499</v>
      </c>
      <c r="B603" s="185" t="s">
        <v>499</v>
      </c>
      <c r="C603" s="185" t="s">
        <v>499</v>
      </c>
      <c r="D603" s="186" t="s">
        <v>499</v>
      </c>
      <c r="E603" s="185" t="s">
        <v>499</v>
      </c>
      <c r="F603" s="185" t="s">
        <v>499</v>
      </c>
      <c r="G603" s="187">
        <f t="shared" si="9"/>
        <v>0</v>
      </c>
      <c r="H603" s="188"/>
      <c r="I603" s="188"/>
      <c r="J603" s="188"/>
      <c r="K603" s="185"/>
      <c r="L603" s="185"/>
      <c r="M603" s="185"/>
      <c r="N603" s="185"/>
      <c r="O603" s="193"/>
      <c r="P603" s="193"/>
      <c r="Q603" s="195"/>
      <c r="R603" s="191"/>
      <c r="S603" s="192"/>
    </row>
    <row r="604" spans="1:19" ht="20.5" thickTop="1" thickBot="1" x14ac:dyDescent="0.4">
      <c r="A604" s="184" t="s">
        <v>499</v>
      </c>
      <c r="B604" s="185" t="s">
        <v>499</v>
      </c>
      <c r="C604" s="185" t="s">
        <v>499</v>
      </c>
      <c r="D604" s="186" t="s">
        <v>499</v>
      </c>
      <c r="E604" s="185" t="s">
        <v>499</v>
      </c>
      <c r="F604" s="185" t="s">
        <v>499</v>
      </c>
      <c r="G604" s="187">
        <f t="shared" si="9"/>
        <v>0</v>
      </c>
      <c r="H604" s="188"/>
      <c r="I604" s="188"/>
      <c r="J604" s="188"/>
      <c r="K604" s="185"/>
      <c r="L604" s="185"/>
      <c r="M604" s="185"/>
      <c r="N604" s="185"/>
      <c r="O604" s="193"/>
      <c r="P604" s="193"/>
      <c r="Q604" s="195"/>
      <c r="R604" s="191"/>
      <c r="S604" s="192"/>
    </row>
    <row r="605" spans="1:19" ht="20.5" thickTop="1" thickBot="1" x14ac:dyDescent="0.4">
      <c r="A605" s="184" t="s">
        <v>499</v>
      </c>
      <c r="B605" s="185" t="s">
        <v>499</v>
      </c>
      <c r="C605" s="185" t="s">
        <v>499</v>
      </c>
      <c r="D605" s="186" t="s">
        <v>499</v>
      </c>
      <c r="E605" s="185" t="s">
        <v>499</v>
      </c>
      <c r="F605" s="185" t="s">
        <v>499</v>
      </c>
      <c r="G605" s="187">
        <f t="shared" si="9"/>
        <v>0</v>
      </c>
      <c r="H605" s="188"/>
      <c r="I605" s="188"/>
      <c r="J605" s="188"/>
      <c r="K605" s="185"/>
      <c r="L605" s="185"/>
      <c r="M605" s="185"/>
      <c r="N605" s="185"/>
      <c r="O605" s="193"/>
      <c r="P605" s="193"/>
      <c r="Q605" s="195"/>
      <c r="R605" s="191"/>
      <c r="S605" s="192"/>
    </row>
    <row r="606" spans="1:19" ht="20.5" thickTop="1" thickBot="1" x14ac:dyDescent="0.4">
      <c r="A606" s="184" t="s">
        <v>499</v>
      </c>
      <c r="B606" s="185" t="s">
        <v>499</v>
      </c>
      <c r="C606" s="185" t="s">
        <v>499</v>
      </c>
      <c r="D606" s="186" t="s">
        <v>499</v>
      </c>
      <c r="E606" s="185" t="s">
        <v>499</v>
      </c>
      <c r="F606" s="185" t="s">
        <v>499</v>
      </c>
      <c r="G606" s="187">
        <f t="shared" si="9"/>
        <v>0</v>
      </c>
      <c r="H606" s="188"/>
      <c r="I606" s="188"/>
      <c r="J606" s="188"/>
      <c r="K606" s="185"/>
      <c r="L606" s="185"/>
      <c r="M606" s="185"/>
      <c r="N606" s="185"/>
      <c r="O606" s="193"/>
      <c r="P606" s="193"/>
      <c r="Q606" s="195"/>
      <c r="R606" s="191"/>
      <c r="S606" s="192"/>
    </row>
    <row r="607" spans="1:19" ht="20.5" thickTop="1" thickBot="1" x14ac:dyDescent="0.4">
      <c r="A607" s="184" t="s">
        <v>499</v>
      </c>
      <c r="B607" s="185" t="s">
        <v>499</v>
      </c>
      <c r="C607" s="185" t="s">
        <v>499</v>
      </c>
      <c r="D607" s="186" t="s">
        <v>499</v>
      </c>
      <c r="E607" s="185" t="s">
        <v>499</v>
      </c>
      <c r="F607" s="185" t="s">
        <v>499</v>
      </c>
      <c r="G607" s="187">
        <f t="shared" si="9"/>
        <v>0</v>
      </c>
      <c r="H607" s="188"/>
      <c r="I607" s="188"/>
      <c r="J607" s="188"/>
      <c r="K607" s="185"/>
      <c r="L607" s="185"/>
      <c r="M607" s="185"/>
      <c r="N607" s="185"/>
      <c r="O607" s="193"/>
      <c r="P607" s="193"/>
      <c r="Q607" s="195"/>
      <c r="R607" s="191"/>
      <c r="S607" s="192"/>
    </row>
    <row r="608" spans="1:19" ht="20.5" thickTop="1" thickBot="1" x14ac:dyDescent="0.4">
      <c r="A608" s="184" t="s">
        <v>499</v>
      </c>
      <c r="B608" s="185" t="s">
        <v>499</v>
      </c>
      <c r="C608" s="185" t="s">
        <v>499</v>
      </c>
      <c r="D608" s="186" t="s">
        <v>499</v>
      </c>
      <c r="E608" s="185" t="s">
        <v>499</v>
      </c>
      <c r="F608" s="185" t="s">
        <v>499</v>
      </c>
      <c r="G608" s="187">
        <f t="shared" si="9"/>
        <v>0</v>
      </c>
      <c r="H608" s="188"/>
      <c r="I608" s="188"/>
      <c r="J608" s="188"/>
      <c r="K608" s="185"/>
      <c r="L608" s="185"/>
      <c r="M608" s="185"/>
      <c r="N608" s="185"/>
      <c r="O608" s="193"/>
      <c r="P608" s="193"/>
      <c r="Q608" s="195"/>
      <c r="R608" s="191"/>
      <c r="S608" s="192"/>
    </row>
    <row r="609" spans="1:19" ht="20.5" thickTop="1" thickBot="1" x14ac:dyDescent="0.4">
      <c r="A609" s="184" t="s">
        <v>499</v>
      </c>
      <c r="B609" s="185" t="s">
        <v>499</v>
      </c>
      <c r="C609" s="185" t="s">
        <v>499</v>
      </c>
      <c r="D609" s="186" t="s">
        <v>499</v>
      </c>
      <c r="E609" s="185" t="s">
        <v>499</v>
      </c>
      <c r="F609" s="185" t="s">
        <v>499</v>
      </c>
      <c r="G609" s="187">
        <f t="shared" si="9"/>
        <v>0</v>
      </c>
      <c r="H609" s="188"/>
      <c r="I609" s="188"/>
      <c r="J609" s="188"/>
      <c r="K609" s="185"/>
      <c r="L609" s="185"/>
      <c r="M609" s="185"/>
      <c r="N609" s="185"/>
      <c r="O609" s="193"/>
      <c r="P609" s="193"/>
      <c r="Q609" s="195"/>
      <c r="R609" s="191"/>
      <c r="S609" s="192"/>
    </row>
    <row r="610" spans="1:19" ht="20.5" thickTop="1" thickBot="1" x14ac:dyDescent="0.4">
      <c r="A610" s="184" t="s">
        <v>499</v>
      </c>
      <c r="B610" s="185" t="s">
        <v>499</v>
      </c>
      <c r="C610" s="185" t="s">
        <v>499</v>
      </c>
      <c r="D610" s="186" t="s">
        <v>499</v>
      </c>
      <c r="E610" s="185" t="s">
        <v>499</v>
      </c>
      <c r="F610" s="185" t="s">
        <v>499</v>
      </c>
      <c r="G610" s="187">
        <f t="shared" si="9"/>
        <v>0</v>
      </c>
      <c r="H610" s="188"/>
      <c r="I610" s="188"/>
      <c r="J610" s="188"/>
      <c r="K610" s="185"/>
      <c r="L610" s="185"/>
      <c r="M610" s="185"/>
      <c r="N610" s="185"/>
      <c r="O610" s="193"/>
      <c r="P610" s="193"/>
      <c r="Q610" s="195"/>
      <c r="R610" s="191"/>
      <c r="S610" s="192"/>
    </row>
    <row r="611" spans="1:19" ht="20.5" thickTop="1" thickBot="1" x14ac:dyDescent="0.4">
      <c r="A611" s="184" t="s">
        <v>499</v>
      </c>
      <c r="B611" s="185" t="s">
        <v>499</v>
      </c>
      <c r="C611" s="185" t="s">
        <v>499</v>
      </c>
      <c r="D611" s="186" t="s">
        <v>499</v>
      </c>
      <c r="E611" s="185" t="s">
        <v>499</v>
      </c>
      <c r="F611" s="185" t="s">
        <v>499</v>
      </c>
      <c r="G611" s="187">
        <f t="shared" si="9"/>
        <v>0</v>
      </c>
      <c r="H611" s="188"/>
      <c r="I611" s="188"/>
      <c r="J611" s="188"/>
      <c r="K611" s="185"/>
      <c r="L611" s="185"/>
      <c r="M611" s="185"/>
      <c r="N611" s="185"/>
      <c r="O611" s="193"/>
      <c r="P611" s="193"/>
      <c r="Q611" s="195"/>
      <c r="R611" s="191"/>
      <c r="S611" s="192"/>
    </row>
    <row r="612" spans="1:19" ht="20.5" thickTop="1" thickBot="1" x14ac:dyDescent="0.4">
      <c r="A612" s="184" t="s">
        <v>499</v>
      </c>
      <c r="B612" s="185" t="s">
        <v>499</v>
      </c>
      <c r="C612" s="185" t="s">
        <v>499</v>
      </c>
      <c r="D612" s="186" t="s">
        <v>499</v>
      </c>
      <c r="E612" s="185" t="s">
        <v>499</v>
      </c>
      <c r="F612" s="185" t="s">
        <v>499</v>
      </c>
      <c r="G612" s="187">
        <f t="shared" si="9"/>
        <v>0</v>
      </c>
      <c r="H612" s="188"/>
      <c r="I612" s="188"/>
      <c r="J612" s="188"/>
      <c r="K612" s="185"/>
      <c r="L612" s="185"/>
      <c r="M612" s="185"/>
      <c r="N612" s="185"/>
      <c r="O612" s="193"/>
      <c r="P612" s="193"/>
      <c r="Q612" s="195"/>
      <c r="R612" s="191"/>
      <c r="S612" s="192"/>
    </row>
    <row r="613" spans="1:19" ht="20.5" thickTop="1" thickBot="1" x14ac:dyDescent="0.4">
      <c r="A613" s="184" t="s">
        <v>499</v>
      </c>
      <c r="B613" s="185" t="s">
        <v>499</v>
      </c>
      <c r="C613" s="185" t="s">
        <v>499</v>
      </c>
      <c r="D613" s="186" t="s">
        <v>499</v>
      </c>
      <c r="E613" s="185" t="s">
        <v>499</v>
      </c>
      <c r="F613" s="185" t="s">
        <v>499</v>
      </c>
      <c r="G613" s="187">
        <f t="shared" si="9"/>
        <v>0</v>
      </c>
      <c r="H613" s="188"/>
      <c r="I613" s="188"/>
      <c r="J613" s="188"/>
      <c r="K613" s="185"/>
      <c r="L613" s="185"/>
      <c r="M613" s="185"/>
      <c r="N613" s="185"/>
      <c r="O613" s="193"/>
      <c r="P613" s="193"/>
      <c r="Q613" s="195"/>
      <c r="R613" s="191"/>
      <c r="S613" s="192"/>
    </row>
    <row r="614" spans="1:19" ht="20.5" thickTop="1" thickBot="1" x14ac:dyDescent="0.4">
      <c r="A614" s="184" t="s">
        <v>499</v>
      </c>
      <c r="B614" s="185" t="s">
        <v>499</v>
      </c>
      <c r="C614" s="185" t="s">
        <v>499</v>
      </c>
      <c r="D614" s="186" t="s">
        <v>499</v>
      </c>
      <c r="E614" s="185" t="s">
        <v>499</v>
      </c>
      <c r="F614" s="185" t="s">
        <v>499</v>
      </c>
      <c r="G614" s="187">
        <f t="shared" si="9"/>
        <v>0</v>
      </c>
      <c r="H614" s="188"/>
      <c r="I614" s="188"/>
      <c r="J614" s="188"/>
      <c r="K614" s="185"/>
      <c r="L614" s="185"/>
      <c r="M614" s="185"/>
      <c r="N614" s="185"/>
      <c r="O614" s="193"/>
      <c r="P614" s="193"/>
      <c r="Q614" s="195"/>
      <c r="R614" s="191"/>
      <c r="S614" s="192"/>
    </row>
    <row r="615" spans="1:19" ht="20.5" thickTop="1" thickBot="1" x14ac:dyDescent="0.4">
      <c r="A615" s="184" t="s">
        <v>499</v>
      </c>
      <c r="B615" s="185" t="s">
        <v>499</v>
      </c>
      <c r="C615" s="185" t="s">
        <v>499</v>
      </c>
      <c r="D615" s="186" t="s">
        <v>499</v>
      </c>
      <c r="E615" s="185" t="s">
        <v>499</v>
      </c>
      <c r="F615" s="185" t="s">
        <v>499</v>
      </c>
      <c r="G615" s="187">
        <f t="shared" si="9"/>
        <v>0</v>
      </c>
      <c r="H615" s="188"/>
      <c r="I615" s="188"/>
      <c r="J615" s="188"/>
      <c r="K615" s="185"/>
      <c r="L615" s="185"/>
      <c r="M615" s="185"/>
      <c r="N615" s="185"/>
      <c r="O615" s="193"/>
      <c r="P615" s="193"/>
      <c r="Q615" s="195"/>
      <c r="R615" s="191"/>
      <c r="S615" s="192"/>
    </row>
    <row r="616" spans="1:19" ht="20.5" thickTop="1" thickBot="1" x14ac:dyDescent="0.4">
      <c r="A616" s="184" t="s">
        <v>499</v>
      </c>
      <c r="B616" s="185" t="s">
        <v>499</v>
      </c>
      <c r="C616" s="185" t="s">
        <v>499</v>
      </c>
      <c r="D616" s="186" t="s">
        <v>499</v>
      </c>
      <c r="E616" s="185" t="s">
        <v>499</v>
      </c>
      <c r="F616" s="185" t="s">
        <v>499</v>
      </c>
      <c r="G616" s="187">
        <f t="shared" si="9"/>
        <v>0</v>
      </c>
      <c r="H616" s="188"/>
      <c r="I616" s="188"/>
      <c r="J616" s="188"/>
      <c r="K616" s="185"/>
      <c r="L616" s="185"/>
      <c r="M616" s="185"/>
      <c r="N616" s="185"/>
      <c r="O616" s="193"/>
      <c r="P616" s="193"/>
      <c r="Q616" s="195"/>
      <c r="R616" s="191"/>
      <c r="S616" s="192"/>
    </row>
    <row r="617" spans="1:19" ht="20.5" thickTop="1" thickBot="1" x14ac:dyDescent="0.4">
      <c r="A617" s="184" t="s">
        <v>499</v>
      </c>
      <c r="B617" s="185" t="s">
        <v>499</v>
      </c>
      <c r="C617" s="185" t="s">
        <v>499</v>
      </c>
      <c r="D617" s="186" t="s">
        <v>499</v>
      </c>
      <c r="E617" s="185" t="s">
        <v>499</v>
      </c>
      <c r="F617" s="185" t="s">
        <v>499</v>
      </c>
      <c r="G617" s="187">
        <f t="shared" si="9"/>
        <v>0</v>
      </c>
      <c r="H617" s="188"/>
      <c r="I617" s="188"/>
      <c r="J617" s="188"/>
      <c r="K617" s="185"/>
      <c r="L617" s="185"/>
      <c r="M617" s="185"/>
      <c r="N617" s="185"/>
      <c r="O617" s="193"/>
      <c r="P617" s="193"/>
      <c r="Q617" s="195"/>
      <c r="R617" s="191"/>
      <c r="S617" s="192"/>
    </row>
    <row r="618" spans="1:19" ht="20.5" thickTop="1" thickBot="1" x14ac:dyDescent="0.4">
      <c r="A618" s="184" t="s">
        <v>499</v>
      </c>
      <c r="B618" s="185" t="s">
        <v>499</v>
      </c>
      <c r="C618" s="185" t="s">
        <v>499</v>
      </c>
      <c r="D618" s="186" t="s">
        <v>499</v>
      </c>
      <c r="E618" s="185" t="s">
        <v>499</v>
      </c>
      <c r="F618" s="185" t="s">
        <v>499</v>
      </c>
      <c r="G618" s="187">
        <f t="shared" si="9"/>
        <v>0</v>
      </c>
      <c r="H618" s="188"/>
      <c r="I618" s="188"/>
      <c r="J618" s="188"/>
      <c r="K618" s="185"/>
      <c r="L618" s="185"/>
      <c r="M618" s="185"/>
      <c r="N618" s="185"/>
      <c r="O618" s="193"/>
      <c r="P618" s="193"/>
      <c r="Q618" s="195"/>
      <c r="R618" s="191"/>
      <c r="S618" s="192"/>
    </row>
    <row r="619" spans="1:19" ht="20.5" thickTop="1" thickBot="1" x14ac:dyDescent="0.4">
      <c r="A619" s="184" t="s">
        <v>499</v>
      </c>
      <c r="B619" s="185" t="s">
        <v>499</v>
      </c>
      <c r="C619" s="185" t="s">
        <v>499</v>
      </c>
      <c r="D619" s="186" t="s">
        <v>499</v>
      </c>
      <c r="E619" s="185" t="s">
        <v>499</v>
      </c>
      <c r="F619" s="185" t="s">
        <v>499</v>
      </c>
      <c r="G619" s="187">
        <f t="shared" si="9"/>
        <v>0</v>
      </c>
      <c r="H619" s="188"/>
      <c r="I619" s="188"/>
      <c r="J619" s="188"/>
      <c r="K619" s="185"/>
      <c r="L619" s="185"/>
      <c r="M619" s="185"/>
      <c r="N619" s="185"/>
      <c r="O619" s="193"/>
      <c r="P619" s="193"/>
      <c r="Q619" s="195"/>
      <c r="R619" s="191"/>
      <c r="S619" s="192"/>
    </row>
    <row r="620" spans="1:19" ht="20.5" thickTop="1" thickBot="1" x14ac:dyDescent="0.4">
      <c r="A620" s="184" t="s">
        <v>499</v>
      </c>
      <c r="B620" s="185" t="s">
        <v>499</v>
      </c>
      <c r="C620" s="185" t="s">
        <v>499</v>
      </c>
      <c r="D620" s="186" t="s">
        <v>499</v>
      </c>
      <c r="E620" s="185" t="s">
        <v>499</v>
      </c>
      <c r="F620" s="185" t="s">
        <v>499</v>
      </c>
      <c r="G620" s="187">
        <f t="shared" si="9"/>
        <v>0</v>
      </c>
      <c r="H620" s="188"/>
      <c r="I620" s="188"/>
      <c r="J620" s="188"/>
      <c r="K620" s="185"/>
      <c r="L620" s="185"/>
      <c r="M620" s="185"/>
      <c r="N620" s="185"/>
      <c r="O620" s="193"/>
      <c r="P620" s="193"/>
      <c r="Q620" s="195"/>
      <c r="R620" s="191"/>
      <c r="S620" s="192"/>
    </row>
    <row r="621" spans="1:19" ht="20.5" thickTop="1" thickBot="1" x14ac:dyDescent="0.4">
      <c r="A621" s="184" t="s">
        <v>499</v>
      </c>
      <c r="B621" s="185" t="s">
        <v>499</v>
      </c>
      <c r="C621" s="185" t="s">
        <v>499</v>
      </c>
      <c r="D621" s="186" t="s">
        <v>499</v>
      </c>
      <c r="E621" s="185" t="s">
        <v>499</v>
      </c>
      <c r="F621" s="185" t="s">
        <v>499</v>
      </c>
      <c r="G621" s="187">
        <f t="shared" si="9"/>
        <v>0</v>
      </c>
      <c r="H621" s="188"/>
      <c r="I621" s="188"/>
      <c r="J621" s="188"/>
      <c r="K621" s="185"/>
      <c r="L621" s="185"/>
      <c r="M621" s="185"/>
      <c r="N621" s="185"/>
      <c r="O621" s="193"/>
      <c r="P621" s="193"/>
      <c r="Q621" s="195"/>
      <c r="R621" s="191"/>
      <c r="S621" s="192"/>
    </row>
    <row r="622" spans="1:19" ht="20.5" thickTop="1" thickBot="1" x14ac:dyDescent="0.4">
      <c r="A622" s="184" t="s">
        <v>499</v>
      </c>
      <c r="B622" s="185" t="s">
        <v>499</v>
      </c>
      <c r="C622" s="185" t="s">
        <v>499</v>
      </c>
      <c r="D622" s="186" t="s">
        <v>499</v>
      </c>
      <c r="E622" s="185" t="s">
        <v>499</v>
      </c>
      <c r="F622" s="185" t="s">
        <v>499</v>
      </c>
      <c r="G622" s="187">
        <f t="shared" si="9"/>
        <v>0</v>
      </c>
      <c r="H622" s="188"/>
      <c r="I622" s="188"/>
      <c r="J622" s="188"/>
      <c r="K622" s="185"/>
      <c r="L622" s="185"/>
      <c r="M622" s="185"/>
      <c r="N622" s="185"/>
      <c r="O622" s="193"/>
      <c r="P622" s="193"/>
      <c r="Q622" s="195"/>
      <c r="R622" s="191"/>
      <c r="S622" s="192"/>
    </row>
    <row r="623" spans="1:19" ht="20.5" thickTop="1" thickBot="1" x14ac:dyDescent="0.4">
      <c r="A623" s="184" t="s">
        <v>499</v>
      </c>
      <c r="B623" s="185" t="s">
        <v>499</v>
      </c>
      <c r="C623" s="185" t="s">
        <v>499</v>
      </c>
      <c r="D623" s="186" t="s">
        <v>499</v>
      </c>
      <c r="E623" s="185" t="s">
        <v>499</v>
      </c>
      <c r="F623" s="185" t="s">
        <v>499</v>
      </c>
      <c r="G623" s="187">
        <f t="shared" si="9"/>
        <v>0</v>
      </c>
      <c r="H623" s="188"/>
      <c r="I623" s="188"/>
      <c r="J623" s="188"/>
      <c r="K623" s="185"/>
      <c r="L623" s="185"/>
      <c r="M623" s="185"/>
      <c r="N623" s="185"/>
      <c r="O623" s="193"/>
      <c r="P623" s="193"/>
      <c r="Q623" s="195"/>
      <c r="R623" s="191"/>
      <c r="S623" s="192"/>
    </row>
    <row r="624" spans="1:19" ht="20.5" thickTop="1" thickBot="1" x14ac:dyDescent="0.4">
      <c r="A624" s="184" t="s">
        <v>499</v>
      </c>
      <c r="B624" s="185" t="s">
        <v>499</v>
      </c>
      <c r="C624" s="185" t="s">
        <v>499</v>
      </c>
      <c r="D624" s="186" t="s">
        <v>499</v>
      </c>
      <c r="E624" s="185" t="s">
        <v>499</v>
      </c>
      <c r="F624" s="185" t="s">
        <v>499</v>
      </c>
      <c r="G624" s="187">
        <f t="shared" si="9"/>
        <v>0</v>
      </c>
      <c r="H624" s="188"/>
      <c r="I624" s="188"/>
      <c r="J624" s="188"/>
      <c r="K624" s="185"/>
      <c r="L624" s="185"/>
      <c r="M624" s="185"/>
      <c r="N624" s="185"/>
      <c r="O624" s="193"/>
      <c r="P624" s="193"/>
      <c r="Q624" s="195"/>
      <c r="R624" s="191"/>
      <c r="S624" s="192"/>
    </row>
    <row r="625" spans="1:19" ht="20.5" thickTop="1" thickBot="1" x14ac:dyDescent="0.4">
      <c r="A625" s="184" t="s">
        <v>499</v>
      </c>
      <c r="B625" s="185" t="s">
        <v>499</v>
      </c>
      <c r="C625" s="185" t="s">
        <v>499</v>
      </c>
      <c r="D625" s="186" t="s">
        <v>499</v>
      </c>
      <c r="E625" s="185" t="s">
        <v>499</v>
      </c>
      <c r="F625" s="185" t="s">
        <v>499</v>
      </c>
      <c r="G625" s="187">
        <f t="shared" si="9"/>
        <v>0</v>
      </c>
      <c r="H625" s="188"/>
      <c r="I625" s="188"/>
      <c r="J625" s="188"/>
      <c r="K625" s="185"/>
      <c r="L625" s="185"/>
      <c r="M625" s="185"/>
      <c r="N625" s="185"/>
      <c r="O625" s="193"/>
      <c r="P625" s="193"/>
      <c r="Q625" s="195"/>
      <c r="R625" s="191"/>
      <c r="S625" s="192"/>
    </row>
    <row r="626" spans="1:19" ht="20.5" thickTop="1" thickBot="1" x14ac:dyDescent="0.4">
      <c r="A626" s="184" t="s">
        <v>499</v>
      </c>
      <c r="B626" s="185" t="s">
        <v>499</v>
      </c>
      <c r="C626" s="185" t="s">
        <v>499</v>
      </c>
      <c r="D626" s="186" t="s">
        <v>499</v>
      </c>
      <c r="E626" s="185" t="s">
        <v>499</v>
      </c>
      <c r="F626" s="185" t="s">
        <v>499</v>
      </c>
      <c r="G626" s="187">
        <f t="shared" si="9"/>
        <v>0</v>
      </c>
      <c r="H626" s="188"/>
      <c r="I626" s="188"/>
      <c r="J626" s="188"/>
      <c r="K626" s="185"/>
      <c r="L626" s="185"/>
      <c r="M626" s="185"/>
      <c r="N626" s="185"/>
      <c r="O626" s="193"/>
      <c r="P626" s="193"/>
      <c r="Q626" s="195"/>
      <c r="R626" s="191"/>
      <c r="S626" s="192"/>
    </row>
    <row r="627" spans="1:19" ht="20.5" thickTop="1" thickBot="1" x14ac:dyDescent="0.4">
      <c r="A627" s="184" t="s">
        <v>499</v>
      </c>
      <c r="B627" s="185" t="s">
        <v>499</v>
      </c>
      <c r="C627" s="185" t="s">
        <v>499</v>
      </c>
      <c r="D627" s="186" t="s">
        <v>499</v>
      </c>
      <c r="E627" s="185" t="s">
        <v>499</v>
      </c>
      <c r="F627" s="185" t="s">
        <v>499</v>
      </c>
      <c r="G627" s="187">
        <f t="shared" si="9"/>
        <v>0</v>
      </c>
      <c r="H627" s="188"/>
      <c r="I627" s="188"/>
      <c r="J627" s="188"/>
      <c r="K627" s="185"/>
      <c r="L627" s="185"/>
      <c r="M627" s="185"/>
      <c r="N627" s="185"/>
      <c r="O627" s="193"/>
      <c r="P627" s="193"/>
      <c r="Q627" s="195"/>
      <c r="R627" s="191"/>
      <c r="S627" s="192"/>
    </row>
    <row r="628" spans="1:19" ht="20.5" thickTop="1" thickBot="1" x14ac:dyDescent="0.4">
      <c r="A628" s="184" t="s">
        <v>499</v>
      </c>
      <c r="B628" s="185" t="s">
        <v>499</v>
      </c>
      <c r="C628" s="185" t="s">
        <v>499</v>
      </c>
      <c r="D628" s="186" t="s">
        <v>499</v>
      </c>
      <c r="E628" s="185" t="s">
        <v>499</v>
      </c>
      <c r="F628" s="185" t="s">
        <v>499</v>
      </c>
      <c r="G628" s="187">
        <f t="shared" si="9"/>
        <v>0</v>
      </c>
      <c r="H628" s="188"/>
      <c r="I628" s="188"/>
      <c r="J628" s="188"/>
      <c r="K628" s="185"/>
      <c r="L628" s="185"/>
      <c r="M628" s="185"/>
      <c r="N628" s="185"/>
      <c r="O628" s="193"/>
      <c r="P628" s="193"/>
      <c r="Q628" s="195"/>
      <c r="R628" s="191"/>
      <c r="S628" s="192"/>
    </row>
    <row r="629" spans="1:19" ht="20.5" thickTop="1" thickBot="1" x14ac:dyDescent="0.4">
      <c r="A629" s="184" t="s">
        <v>499</v>
      </c>
      <c r="B629" s="185" t="s">
        <v>499</v>
      </c>
      <c r="C629" s="185" t="s">
        <v>499</v>
      </c>
      <c r="D629" s="186" t="s">
        <v>499</v>
      </c>
      <c r="E629" s="185" t="s">
        <v>499</v>
      </c>
      <c r="F629" s="185" t="s">
        <v>499</v>
      </c>
      <c r="G629" s="187">
        <f t="shared" si="9"/>
        <v>0</v>
      </c>
      <c r="H629" s="188"/>
      <c r="I629" s="188"/>
      <c r="J629" s="188"/>
      <c r="K629" s="185"/>
      <c r="L629" s="185"/>
      <c r="M629" s="185"/>
      <c r="N629" s="185"/>
      <c r="O629" s="193"/>
      <c r="P629" s="193"/>
      <c r="Q629" s="195"/>
      <c r="R629" s="191"/>
      <c r="S629" s="192"/>
    </row>
    <row r="630" spans="1:19" ht="20.5" thickTop="1" thickBot="1" x14ac:dyDescent="0.4">
      <c r="A630" s="184" t="s">
        <v>499</v>
      </c>
      <c r="B630" s="185" t="s">
        <v>499</v>
      </c>
      <c r="C630" s="185" t="s">
        <v>499</v>
      </c>
      <c r="D630" s="186" t="s">
        <v>499</v>
      </c>
      <c r="E630" s="185" t="s">
        <v>499</v>
      </c>
      <c r="F630" s="185" t="s">
        <v>499</v>
      </c>
      <c r="G630" s="187">
        <f t="shared" si="9"/>
        <v>0</v>
      </c>
      <c r="H630" s="188"/>
      <c r="I630" s="188"/>
      <c r="J630" s="188"/>
      <c r="K630" s="185"/>
      <c r="L630" s="185"/>
      <c r="M630" s="185"/>
      <c r="N630" s="185"/>
      <c r="O630" s="193"/>
      <c r="P630" s="193"/>
      <c r="Q630" s="195"/>
      <c r="R630" s="191"/>
      <c r="S630" s="192"/>
    </row>
    <row r="631" spans="1:19" ht="20.5" thickTop="1" thickBot="1" x14ac:dyDescent="0.4">
      <c r="A631" s="184" t="s">
        <v>499</v>
      </c>
      <c r="B631" s="185" t="s">
        <v>499</v>
      </c>
      <c r="C631" s="185" t="s">
        <v>499</v>
      </c>
      <c r="D631" s="186" t="s">
        <v>499</v>
      </c>
      <c r="E631" s="185" t="s">
        <v>499</v>
      </c>
      <c r="F631" s="185" t="s">
        <v>499</v>
      </c>
      <c r="G631" s="187">
        <f t="shared" si="9"/>
        <v>0</v>
      </c>
      <c r="H631" s="188"/>
      <c r="I631" s="188"/>
      <c r="J631" s="188"/>
      <c r="K631" s="185"/>
      <c r="L631" s="185"/>
      <c r="M631" s="185"/>
      <c r="N631" s="185"/>
      <c r="O631" s="193"/>
      <c r="P631" s="193"/>
      <c r="Q631" s="195"/>
      <c r="R631" s="191"/>
      <c r="S631" s="192"/>
    </row>
    <row r="632" spans="1:19" ht="20.5" thickTop="1" thickBot="1" x14ac:dyDescent="0.4">
      <c r="A632" s="184" t="s">
        <v>499</v>
      </c>
      <c r="B632" s="185" t="s">
        <v>499</v>
      </c>
      <c r="C632" s="185" t="s">
        <v>499</v>
      </c>
      <c r="D632" s="186" t="s">
        <v>499</v>
      </c>
      <c r="E632" s="185" t="s">
        <v>499</v>
      </c>
      <c r="F632" s="185" t="s">
        <v>499</v>
      </c>
      <c r="G632" s="187">
        <f t="shared" si="9"/>
        <v>0</v>
      </c>
      <c r="H632" s="188"/>
      <c r="I632" s="188"/>
      <c r="J632" s="188"/>
      <c r="K632" s="185"/>
      <c r="L632" s="185"/>
      <c r="M632" s="185"/>
      <c r="N632" s="185"/>
      <c r="O632" s="193"/>
      <c r="P632" s="193"/>
      <c r="Q632" s="195"/>
      <c r="R632" s="191"/>
      <c r="S632" s="192"/>
    </row>
    <row r="633" spans="1:19" ht="20.5" thickTop="1" thickBot="1" x14ac:dyDescent="0.4">
      <c r="A633" s="184" t="s">
        <v>499</v>
      </c>
      <c r="B633" s="185" t="s">
        <v>499</v>
      </c>
      <c r="C633" s="185" t="s">
        <v>499</v>
      </c>
      <c r="D633" s="186" t="s">
        <v>499</v>
      </c>
      <c r="E633" s="185" t="s">
        <v>499</v>
      </c>
      <c r="F633" s="185" t="s">
        <v>499</v>
      </c>
      <c r="G633" s="187">
        <f t="shared" si="9"/>
        <v>0</v>
      </c>
      <c r="H633" s="188"/>
      <c r="I633" s="188"/>
      <c r="J633" s="188"/>
      <c r="K633" s="185"/>
      <c r="L633" s="185"/>
      <c r="M633" s="185"/>
      <c r="N633" s="185"/>
      <c r="O633" s="193"/>
      <c r="P633" s="193"/>
      <c r="Q633" s="195"/>
      <c r="R633" s="191"/>
      <c r="S633" s="192"/>
    </row>
    <row r="634" spans="1:19" ht="20.5" thickTop="1" thickBot="1" x14ac:dyDescent="0.4">
      <c r="A634" s="184" t="s">
        <v>499</v>
      </c>
      <c r="B634" s="185" t="s">
        <v>499</v>
      </c>
      <c r="C634" s="185" t="s">
        <v>499</v>
      </c>
      <c r="D634" s="186" t="s">
        <v>499</v>
      </c>
      <c r="E634" s="185" t="s">
        <v>499</v>
      </c>
      <c r="F634" s="185" t="s">
        <v>499</v>
      </c>
      <c r="G634" s="187">
        <f t="shared" si="9"/>
        <v>0</v>
      </c>
      <c r="H634" s="188"/>
      <c r="I634" s="188"/>
      <c r="J634" s="188"/>
      <c r="K634" s="185"/>
      <c r="L634" s="185"/>
      <c r="M634" s="185"/>
      <c r="N634" s="185"/>
      <c r="O634" s="193"/>
      <c r="P634" s="193"/>
      <c r="Q634" s="195"/>
      <c r="R634" s="191"/>
      <c r="S634" s="192"/>
    </row>
    <row r="635" spans="1:19" ht="20.5" thickTop="1" thickBot="1" x14ac:dyDescent="0.4">
      <c r="A635" s="184" t="s">
        <v>499</v>
      </c>
      <c r="B635" s="185" t="s">
        <v>499</v>
      </c>
      <c r="C635" s="185" t="s">
        <v>499</v>
      </c>
      <c r="D635" s="186" t="s">
        <v>499</v>
      </c>
      <c r="E635" s="185" t="s">
        <v>499</v>
      </c>
      <c r="F635" s="185" t="s">
        <v>499</v>
      </c>
      <c r="G635" s="187">
        <f t="shared" si="9"/>
        <v>0</v>
      </c>
      <c r="H635" s="188"/>
      <c r="I635" s="188"/>
      <c r="J635" s="188"/>
      <c r="K635" s="185"/>
      <c r="L635" s="185"/>
      <c r="M635" s="185"/>
      <c r="N635" s="185"/>
      <c r="O635" s="193"/>
      <c r="P635" s="193"/>
      <c r="Q635" s="195"/>
      <c r="R635" s="191"/>
      <c r="S635" s="192"/>
    </row>
    <row r="636" spans="1:19" ht="20.5" thickTop="1" thickBot="1" x14ac:dyDescent="0.4">
      <c r="A636" s="184" t="s">
        <v>499</v>
      </c>
      <c r="B636" s="185" t="s">
        <v>499</v>
      </c>
      <c r="C636" s="185" t="s">
        <v>499</v>
      </c>
      <c r="D636" s="186" t="s">
        <v>499</v>
      </c>
      <c r="E636" s="185" t="s">
        <v>499</v>
      </c>
      <c r="F636" s="185" t="s">
        <v>499</v>
      </c>
      <c r="G636" s="187">
        <f t="shared" si="9"/>
        <v>0</v>
      </c>
      <c r="H636" s="188"/>
      <c r="I636" s="188"/>
      <c r="J636" s="188"/>
      <c r="K636" s="185"/>
      <c r="L636" s="185"/>
      <c r="M636" s="185"/>
      <c r="N636" s="185"/>
      <c r="O636" s="193"/>
      <c r="P636" s="193"/>
      <c r="Q636" s="195"/>
      <c r="R636" s="191"/>
      <c r="S636" s="192"/>
    </row>
    <row r="637" spans="1:19" ht="20.5" thickTop="1" thickBot="1" x14ac:dyDescent="0.4">
      <c r="A637" s="184" t="s">
        <v>499</v>
      </c>
      <c r="B637" s="185" t="s">
        <v>499</v>
      </c>
      <c r="C637" s="185" t="s">
        <v>499</v>
      </c>
      <c r="D637" s="186" t="s">
        <v>499</v>
      </c>
      <c r="E637" s="185" t="s">
        <v>499</v>
      </c>
      <c r="F637" s="185" t="s">
        <v>499</v>
      </c>
      <c r="G637" s="187">
        <f t="shared" si="9"/>
        <v>0</v>
      </c>
      <c r="H637" s="188"/>
      <c r="I637" s="188"/>
      <c r="J637" s="188"/>
      <c r="K637" s="185"/>
      <c r="L637" s="185"/>
      <c r="M637" s="185"/>
      <c r="N637" s="185"/>
      <c r="O637" s="193"/>
      <c r="P637" s="193"/>
      <c r="Q637" s="195"/>
      <c r="R637" s="191"/>
      <c r="S637" s="192"/>
    </row>
    <row r="638" spans="1:19" ht="20.5" thickTop="1" thickBot="1" x14ac:dyDescent="0.4">
      <c r="A638" s="184" t="s">
        <v>499</v>
      </c>
      <c r="B638" s="185" t="s">
        <v>499</v>
      </c>
      <c r="C638" s="185" t="s">
        <v>499</v>
      </c>
      <c r="D638" s="186" t="s">
        <v>499</v>
      </c>
      <c r="E638" s="185" t="s">
        <v>499</v>
      </c>
      <c r="F638" s="185" t="s">
        <v>499</v>
      </c>
      <c r="G638" s="187">
        <f t="shared" si="9"/>
        <v>0</v>
      </c>
      <c r="H638" s="188"/>
      <c r="I638" s="188"/>
      <c r="J638" s="188"/>
      <c r="K638" s="185"/>
      <c r="L638" s="185"/>
      <c r="M638" s="185"/>
      <c r="N638" s="185"/>
      <c r="O638" s="193"/>
      <c r="P638" s="193"/>
      <c r="Q638" s="195"/>
      <c r="R638" s="191"/>
      <c r="S638" s="192"/>
    </row>
    <row r="639" spans="1:19" ht="20.5" thickTop="1" thickBot="1" x14ac:dyDescent="0.4">
      <c r="A639" s="184" t="s">
        <v>499</v>
      </c>
      <c r="B639" s="185" t="s">
        <v>499</v>
      </c>
      <c r="C639" s="185" t="s">
        <v>499</v>
      </c>
      <c r="D639" s="186" t="s">
        <v>499</v>
      </c>
      <c r="E639" s="185" t="s">
        <v>499</v>
      </c>
      <c r="F639" s="185" t="s">
        <v>499</v>
      </c>
      <c r="G639" s="187">
        <f t="shared" si="9"/>
        <v>0</v>
      </c>
      <c r="H639" s="188"/>
      <c r="I639" s="188"/>
      <c r="J639" s="188"/>
      <c r="K639" s="185"/>
      <c r="L639" s="185"/>
      <c r="M639" s="185"/>
      <c r="N639" s="185"/>
      <c r="O639" s="193"/>
      <c r="P639" s="193"/>
      <c r="Q639" s="195"/>
      <c r="R639" s="191"/>
      <c r="S639" s="192"/>
    </row>
    <row r="640" spans="1:19" ht="20.5" thickTop="1" thickBot="1" x14ac:dyDescent="0.4">
      <c r="A640" s="184" t="s">
        <v>499</v>
      </c>
      <c r="B640" s="185" t="s">
        <v>499</v>
      </c>
      <c r="C640" s="185" t="s">
        <v>499</v>
      </c>
      <c r="D640" s="186" t="s">
        <v>499</v>
      </c>
      <c r="E640" s="185" t="s">
        <v>499</v>
      </c>
      <c r="F640" s="185" t="s">
        <v>499</v>
      </c>
      <c r="G640" s="187">
        <f t="shared" si="9"/>
        <v>0</v>
      </c>
      <c r="H640" s="188"/>
      <c r="I640" s="188"/>
      <c r="J640" s="188"/>
      <c r="K640" s="185"/>
      <c r="L640" s="185"/>
      <c r="M640" s="185"/>
      <c r="N640" s="185"/>
      <c r="O640" s="193"/>
      <c r="P640" s="193"/>
      <c r="Q640" s="195"/>
      <c r="R640" s="191"/>
      <c r="S640" s="192"/>
    </row>
    <row r="641" spans="1:19" ht="20.5" thickTop="1" thickBot="1" x14ac:dyDescent="0.4">
      <c r="A641" s="184" t="s">
        <v>499</v>
      </c>
      <c r="B641" s="185" t="s">
        <v>499</v>
      </c>
      <c r="C641" s="185" t="s">
        <v>499</v>
      </c>
      <c r="D641" s="186" t="s">
        <v>499</v>
      </c>
      <c r="E641" s="185" t="s">
        <v>499</v>
      </c>
      <c r="F641" s="185" t="s">
        <v>499</v>
      </c>
      <c r="G641" s="187">
        <f t="shared" si="9"/>
        <v>0</v>
      </c>
      <c r="H641" s="188"/>
      <c r="I641" s="188"/>
      <c r="J641" s="188"/>
      <c r="K641" s="185"/>
      <c r="L641" s="185"/>
      <c r="M641" s="185"/>
      <c r="N641" s="185"/>
      <c r="O641" s="193"/>
      <c r="P641" s="193"/>
      <c r="Q641" s="195"/>
      <c r="R641" s="191"/>
      <c r="S641" s="192"/>
    </row>
    <row r="642" spans="1:19" ht="20.5" thickTop="1" thickBot="1" x14ac:dyDescent="0.4">
      <c r="A642" s="184" t="s">
        <v>499</v>
      </c>
      <c r="B642" s="185" t="s">
        <v>499</v>
      </c>
      <c r="C642" s="185" t="s">
        <v>499</v>
      </c>
      <c r="D642" s="186" t="s">
        <v>499</v>
      </c>
      <c r="E642" s="185" t="s">
        <v>499</v>
      </c>
      <c r="F642" s="185" t="s">
        <v>499</v>
      </c>
      <c r="G642" s="187">
        <f t="shared" si="9"/>
        <v>0</v>
      </c>
      <c r="H642" s="188"/>
      <c r="I642" s="188"/>
      <c r="J642" s="188"/>
      <c r="K642" s="185"/>
      <c r="L642" s="185"/>
      <c r="M642" s="185"/>
      <c r="N642" s="185"/>
      <c r="O642" s="193"/>
      <c r="P642" s="193"/>
      <c r="Q642" s="195"/>
      <c r="R642" s="191"/>
      <c r="S642" s="192"/>
    </row>
    <row r="643" spans="1:19" ht="20.5" thickTop="1" thickBot="1" x14ac:dyDescent="0.4">
      <c r="A643" s="184" t="s">
        <v>499</v>
      </c>
      <c r="B643" s="185" t="s">
        <v>499</v>
      </c>
      <c r="C643" s="185" t="s">
        <v>499</v>
      </c>
      <c r="D643" s="186" t="s">
        <v>499</v>
      </c>
      <c r="E643" s="185" t="s">
        <v>499</v>
      </c>
      <c r="F643" s="185" t="s">
        <v>499</v>
      </c>
      <c r="G643" s="187">
        <f t="shared" si="9"/>
        <v>0</v>
      </c>
      <c r="H643" s="188"/>
      <c r="I643" s="188"/>
      <c r="J643" s="188"/>
      <c r="K643" s="185"/>
      <c r="L643" s="185"/>
      <c r="M643" s="185"/>
      <c r="N643" s="185"/>
      <c r="O643" s="193"/>
      <c r="P643" s="193"/>
      <c r="Q643" s="195"/>
      <c r="R643" s="191"/>
      <c r="S643" s="192"/>
    </row>
    <row r="644" spans="1:19" ht="20.5" thickTop="1" thickBot="1" x14ac:dyDescent="0.4">
      <c r="A644" s="184" t="s">
        <v>499</v>
      </c>
      <c r="B644" s="185" t="s">
        <v>499</v>
      </c>
      <c r="C644" s="185" t="s">
        <v>499</v>
      </c>
      <c r="D644" s="186" t="s">
        <v>499</v>
      </c>
      <c r="E644" s="185" t="s">
        <v>499</v>
      </c>
      <c r="F644" s="185" t="s">
        <v>499</v>
      </c>
      <c r="G644" s="187">
        <f t="shared" si="9"/>
        <v>0</v>
      </c>
      <c r="H644" s="188"/>
      <c r="I644" s="188"/>
      <c r="J644" s="188"/>
      <c r="K644" s="185"/>
      <c r="L644" s="185"/>
      <c r="M644" s="185"/>
      <c r="N644" s="185"/>
      <c r="O644" s="193"/>
      <c r="P644" s="193"/>
      <c r="Q644" s="195"/>
      <c r="R644" s="191"/>
      <c r="S644" s="192"/>
    </row>
    <row r="645" spans="1:19" ht="20.5" thickTop="1" thickBot="1" x14ac:dyDescent="0.4">
      <c r="A645" s="184" t="s">
        <v>499</v>
      </c>
      <c r="B645" s="185" t="s">
        <v>499</v>
      </c>
      <c r="C645" s="185" t="s">
        <v>499</v>
      </c>
      <c r="D645" s="186" t="s">
        <v>499</v>
      </c>
      <c r="E645" s="185" t="s">
        <v>499</v>
      </c>
      <c r="F645" s="185" t="s">
        <v>499</v>
      </c>
      <c r="G645" s="187">
        <f t="shared" ref="G645:G708" si="10">SUM(H645:J645)</f>
        <v>0</v>
      </c>
      <c r="H645" s="188"/>
      <c r="I645" s="188"/>
      <c r="J645" s="188"/>
      <c r="K645" s="185"/>
      <c r="L645" s="185"/>
      <c r="M645" s="185"/>
      <c r="N645" s="185"/>
      <c r="O645" s="193"/>
      <c r="P645" s="193"/>
      <c r="Q645" s="195"/>
      <c r="R645" s="191"/>
      <c r="S645" s="192"/>
    </row>
    <row r="646" spans="1:19" ht="20.5" thickTop="1" thickBot="1" x14ac:dyDescent="0.4">
      <c r="A646" s="184" t="s">
        <v>499</v>
      </c>
      <c r="B646" s="185" t="s">
        <v>499</v>
      </c>
      <c r="C646" s="185" t="s">
        <v>499</v>
      </c>
      <c r="D646" s="186" t="s">
        <v>499</v>
      </c>
      <c r="E646" s="185" t="s">
        <v>499</v>
      </c>
      <c r="F646" s="185" t="s">
        <v>499</v>
      </c>
      <c r="G646" s="187">
        <f t="shared" si="10"/>
        <v>0</v>
      </c>
      <c r="H646" s="188"/>
      <c r="I646" s="188"/>
      <c r="J646" s="188"/>
      <c r="K646" s="185"/>
      <c r="L646" s="185"/>
      <c r="M646" s="185"/>
      <c r="N646" s="185"/>
      <c r="O646" s="193"/>
      <c r="P646" s="193"/>
      <c r="Q646" s="195"/>
      <c r="R646" s="191"/>
      <c r="S646" s="192"/>
    </row>
    <row r="647" spans="1:19" ht="20.5" thickTop="1" thickBot="1" x14ac:dyDescent="0.4">
      <c r="A647" s="184" t="s">
        <v>499</v>
      </c>
      <c r="B647" s="185" t="s">
        <v>499</v>
      </c>
      <c r="C647" s="185" t="s">
        <v>499</v>
      </c>
      <c r="D647" s="186" t="s">
        <v>499</v>
      </c>
      <c r="E647" s="185" t="s">
        <v>499</v>
      </c>
      <c r="F647" s="185" t="s">
        <v>499</v>
      </c>
      <c r="G647" s="187">
        <f t="shared" si="10"/>
        <v>0</v>
      </c>
      <c r="H647" s="188"/>
      <c r="I647" s="188"/>
      <c r="J647" s="188"/>
      <c r="K647" s="185"/>
      <c r="L647" s="185"/>
      <c r="M647" s="185"/>
      <c r="N647" s="185"/>
      <c r="O647" s="193"/>
      <c r="P647" s="193"/>
      <c r="Q647" s="195"/>
      <c r="R647" s="191"/>
      <c r="S647" s="192"/>
    </row>
    <row r="648" spans="1:19" ht="20.5" thickTop="1" thickBot="1" x14ac:dyDescent="0.4">
      <c r="A648" s="184" t="s">
        <v>499</v>
      </c>
      <c r="B648" s="185" t="s">
        <v>499</v>
      </c>
      <c r="C648" s="185" t="s">
        <v>499</v>
      </c>
      <c r="D648" s="186" t="s">
        <v>499</v>
      </c>
      <c r="E648" s="185" t="s">
        <v>499</v>
      </c>
      <c r="F648" s="185" t="s">
        <v>499</v>
      </c>
      <c r="G648" s="187">
        <f t="shared" si="10"/>
        <v>0</v>
      </c>
      <c r="H648" s="188"/>
      <c r="I648" s="188"/>
      <c r="J648" s="188"/>
      <c r="K648" s="185"/>
      <c r="L648" s="185"/>
      <c r="M648" s="185"/>
      <c r="N648" s="185"/>
      <c r="O648" s="193"/>
      <c r="P648" s="193"/>
      <c r="Q648" s="195"/>
      <c r="R648" s="191"/>
      <c r="S648" s="192"/>
    </row>
    <row r="649" spans="1:19" ht="20.5" thickTop="1" thickBot="1" x14ac:dyDescent="0.4">
      <c r="A649" s="184" t="s">
        <v>499</v>
      </c>
      <c r="B649" s="185" t="s">
        <v>499</v>
      </c>
      <c r="C649" s="185" t="s">
        <v>499</v>
      </c>
      <c r="D649" s="186" t="s">
        <v>499</v>
      </c>
      <c r="E649" s="185" t="s">
        <v>499</v>
      </c>
      <c r="F649" s="185" t="s">
        <v>499</v>
      </c>
      <c r="G649" s="187">
        <f t="shared" si="10"/>
        <v>0</v>
      </c>
      <c r="H649" s="188"/>
      <c r="I649" s="188"/>
      <c r="J649" s="188"/>
      <c r="K649" s="185"/>
      <c r="L649" s="185"/>
      <c r="M649" s="185"/>
      <c r="N649" s="185"/>
      <c r="O649" s="193"/>
      <c r="P649" s="193"/>
      <c r="Q649" s="195"/>
      <c r="R649" s="191"/>
      <c r="S649" s="192"/>
    </row>
    <row r="650" spans="1:19" ht="20.5" thickTop="1" thickBot="1" x14ac:dyDescent="0.4">
      <c r="A650" s="184" t="s">
        <v>499</v>
      </c>
      <c r="B650" s="185" t="s">
        <v>499</v>
      </c>
      <c r="C650" s="185" t="s">
        <v>499</v>
      </c>
      <c r="D650" s="186" t="s">
        <v>499</v>
      </c>
      <c r="E650" s="185" t="s">
        <v>499</v>
      </c>
      <c r="F650" s="185" t="s">
        <v>499</v>
      </c>
      <c r="G650" s="187">
        <f t="shared" si="10"/>
        <v>0</v>
      </c>
      <c r="H650" s="188"/>
      <c r="I650" s="188"/>
      <c r="J650" s="188"/>
      <c r="K650" s="185"/>
      <c r="L650" s="185"/>
      <c r="M650" s="185"/>
      <c r="N650" s="185"/>
      <c r="O650" s="193"/>
      <c r="P650" s="193"/>
      <c r="Q650" s="195"/>
      <c r="R650" s="191"/>
      <c r="S650" s="192"/>
    </row>
    <row r="651" spans="1:19" ht="20.5" thickTop="1" thickBot="1" x14ac:dyDescent="0.4">
      <c r="A651" s="184" t="s">
        <v>499</v>
      </c>
      <c r="B651" s="185" t="s">
        <v>499</v>
      </c>
      <c r="C651" s="185" t="s">
        <v>499</v>
      </c>
      <c r="D651" s="186" t="s">
        <v>499</v>
      </c>
      <c r="E651" s="185" t="s">
        <v>499</v>
      </c>
      <c r="F651" s="185" t="s">
        <v>499</v>
      </c>
      <c r="G651" s="187">
        <f t="shared" si="10"/>
        <v>0</v>
      </c>
      <c r="H651" s="188"/>
      <c r="I651" s="188"/>
      <c r="J651" s="188"/>
      <c r="K651" s="185"/>
      <c r="L651" s="185"/>
      <c r="M651" s="185"/>
      <c r="N651" s="185"/>
      <c r="O651" s="193"/>
      <c r="P651" s="193"/>
      <c r="Q651" s="195"/>
      <c r="R651" s="191"/>
      <c r="S651" s="192"/>
    </row>
    <row r="652" spans="1:19" ht="20.5" thickTop="1" thickBot="1" x14ac:dyDescent="0.4">
      <c r="A652" s="184" t="s">
        <v>499</v>
      </c>
      <c r="B652" s="185" t="s">
        <v>499</v>
      </c>
      <c r="C652" s="185" t="s">
        <v>499</v>
      </c>
      <c r="D652" s="186" t="s">
        <v>499</v>
      </c>
      <c r="E652" s="185" t="s">
        <v>499</v>
      </c>
      <c r="F652" s="185" t="s">
        <v>499</v>
      </c>
      <c r="G652" s="187">
        <f t="shared" si="10"/>
        <v>0</v>
      </c>
      <c r="H652" s="188"/>
      <c r="I652" s="188"/>
      <c r="J652" s="188"/>
      <c r="K652" s="185"/>
      <c r="L652" s="185"/>
      <c r="M652" s="185"/>
      <c r="N652" s="185"/>
      <c r="O652" s="193"/>
      <c r="P652" s="193"/>
      <c r="Q652" s="195"/>
      <c r="R652" s="191"/>
      <c r="S652" s="192"/>
    </row>
    <row r="653" spans="1:19" ht="20.5" thickTop="1" thickBot="1" x14ac:dyDescent="0.4">
      <c r="A653" s="184" t="s">
        <v>499</v>
      </c>
      <c r="B653" s="185" t="s">
        <v>499</v>
      </c>
      <c r="C653" s="185" t="s">
        <v>499</v>
      </c>
      <c r="D653" s="186" t="s">
        <v>499</v>
      </c>
      <c r="E653" s="185" t="s">
        <v>499</v>
      </c>
      <c r="F653" s="185" t="s">
        <v>499</v>
      </c>
      <c r="G653" s="187">
        <f t="shared" si="10"/>
        <v>0</v>
      </c>
      <c r="H653" s="188"/>
      <c r="I653" s="188"/>
      <c r="J653" s="188"/>
      <c r="K653" s="185"/>
      <c r="L653" s="185"/>
      <c r="M653" s="185"/>
      <c r="N653" s="185"/>
      <c r="O653" s="193"/>
      <c r="P653" s="193"/>
      <c r="Q653" s="195"/>
      <c r="R653" s="191"/>
      <c r="S653" s="192"/>
    </row>
    <row r="654" spans="1:19" ht="20.5" thickTop="1" thickBot="1" x14ac:dyDescent="0.4">
      <c r="A654" s="184" t="s">
        <v>499</v>
      </c>
      <c r="B654" s="185" t="s">
        <v>499</v>
      </c>
      <c r="C654" s="185" t="s">
        <v>499</v>
      </c>
      <c r="D654" s="186" t="s">
        <v>499</v>
      </c>
      <c r="E654" s="185" t="s">
        <v>499</v>
      </c>
      <c r="F654" s="185" t="s">
        <v>499</v>
      </c>
      <c r="G654" s="187">
        <f t="shared" si="10"/>
        <v>0</v>
      </c>
      <c r="H654" s="188"/>
      <c r="I654" s="188"/>
      <c r="J654" s="188"/>
      <c r="K654" s="185"/>
      <c r="L654" s="185"/>
      <c r="M654" s="185"/>
      <c r="N654" s="185"/>
      <c r="O654" s="193"/>
      <c r="P654" s="193"/>
      <c r="Q654" s="195"/>
      <c r="R654" s="191"/>
      <c r="S654" s="192"/>
    </row>
    <row r="655" spans="1:19" ht="20.5" thickTop="1" thickBot="1" x14ac:dyDescent="0.4">
      <c r="A655" s="184" t="s">
        <v>499</v>
      </c>
      <c r="B655" s="185" t="s">
        <v>499</v>
      </c>
      <c r="C655" s="185" t="s">
        <v>499</v>
      </c>
      <c r="D655" s="186" t="s">
        <v>499</v>
      </c>
      <c r="E655" s="185" t="s">
        <v>499</v>
      </c>
      <c r="F655" s="185" t="s">
        <v>499</v>
      </c>
      <c r="G655" s="187">
        <f t="shared" si="10"/>
        <v>0</v>
      </c>
      <c r="H655" s="188"/>
      <c r="I655" s="188"/>
      <c r="J655" s="188"/>
      <c r="K655" s="185"/>
      <c r="L655" s="185"/>
      <c r="M655" s="185"/>
      <c r="N655" s="185"/>
      <c r="O655" s="193"/>
      <c r="P655" s="193"/>
      <c r="Q655" s="195"/>
      <c r="R655" s="191"/>
      <c r="S655" s="192"/>
    </row>
    <row r="656" spans="1:19" ht="20.5" thickTop="1" thickBot="1" x14ac:dyDescent="0.4">
      <c r="A656" s="184" t="s">
        <v>499</v>
      </c>
      <c r="B656" s="185" t="s">
        <v>499</v>
      </c>
      <c r="C656" s="185" t="s">
        <v>499</v>
      </c>
      <c r="D656" s="186" t="s">
        <v>499</v>
      </c>
      <c r="E656" s="185" t="s">
        <v>499</v>
      </c>
      <c r="F656" s="185" t="s">
        <v>499</v>
      </c>
      <c r="G656" s="187">
        <f t="shared" si="10"/>
        <v>0</v>
      </c>
      <c r="H656" s="188"/>
      <c r="I656" s="188"/>
      <c r="J656" s="188"/>
      <c r="K656" s="185"/>
      <c r="L656" s="185"/>
      <c r="M656" s="185"/>
      <c r="N656" s="185"/>
      <c r="O656" s="193"/>
      <c r="P656" s="193"/>
      <c r="Q656" s="195"/>
      <c r="R656" s="191"/>
      <c r="S656" s="192"/>
    </row>
    <row r="657" spans="1:19" ht="20.5" thickTop="1" thickBot="1" x14ac:dyDescent="0.4">
      <c r="A657" s="184" t="s">
        <v>499</v>
      </c>
      <c r="B657" s="185" t="s">
        <v>499</v>
      </c>
      <c r="C657" s="185" t="s">
        <v>499</v>
      </c>
      <c r="D657" s="186" t="s">
        <v>499</v>
      </c>
      <c r="E657" s="185" t="s">
        <v>499</v>
      </c>
      <c r="F657" s="185" t="s">
        <v>499</v>
      </c>
      <c r="G657" s="187">
        <f t="shared" si="10"/>
        <v>0</v>
      </c>
      <c r="H657" s="188"/>
      <c r="I657" s="188"/>
      <c r="J657" s="188"/>
      <c r="K657" s="185"/>
      <c r="L657" s="185"/>
      <c r="M657" s="185"/>
      <c r="N657" s="185"/>
      <c r="O657" s="193"/>
      <c r="P657" s="193"/>
      <c r="Q657" s="195"/>
      <c r="R657" s="191"/>
      <c r="S657" s="192"/>
    </row>
    <row r="658" spans="1:19" ht="20.5" thickTop="1" thickBot="1" x14ac:dyDescent="0.4">
      <c r="A658" s="184" t="s">
        <v>499</v>
      </c>
      <c r="B658" s="185" t="s">
        <v>499</v>
      </c>
      <c r="C658" s="185" t="s">
        <v>499</v>
      </c>
      <c r="D658" s="186" t="s">
        <v>499</v>
      </c>
      <c r="E658" s="185" t="s">
        <v>499</v>
      </c>
      <c r="F658" s="185" t="s">
        <v>499</v>
      </c>
      <c r="G658" s="187">
        <f t="shared" si="10"/>
        <v>0</v>
      </c>
      <c r="H658" s="188"/>
      <c r="I658" s="188"/>
      <c r="J658" s="188"/>
      <c r="K658" s="185"/>
      <c r="L658" s="185"/>
      <c r="M658" s="185"/>
      <c r="N658" s="185"/>
      <c r="O658" s="193"/>
      <c r="P658" s="193"/>
      <c r="Q658" s="195"/>
      <c r="R658" s="191"/>
      <c r="S658" s="192"/>
    </row>
    <row r="659" spans="1:19" ht="20.5" thickTop="1" thickBot="1" x14ac:dyDescent="0.4">
      <c r="A659" s="184" t="s">
        <v>499</v>
      </c>
      <c r="B659" s="185" t="s">
        <v>499</v>
      </c>
      <c r="C659" s="185" t="s">
        <v>499</v>
      </c>
      <c r="D659" s="186" t="s">
        <v>499</v>
      </c>
      <c r="E659" s="185" t="s">
        <v>499</v>
      </c>
      <c r="F659" s="185" t="s">
        <v>499</v>
      </c>
      <c r="G659" s="187">
        <f t="shared" si="10"/>
        <v>0</v>
      </c>
      <c r="H659" s="188"/>
      <c r="I659" s="188"/>
      <c r="J659" s="188"/>
      <c r="K659" s="185"/>
      <c r="L659" s="185"/>
      <c r="M659" s="185"/>
      <c r="N659" s="185"/>
      <c r="O659" s="193"/>
      <c r="P659" s="193"/>
      <c r="Q659" s="195"/>
      <c r="R659" s="191"/>
      <c r="S659" s="192"/>
    </row>
    <row r="660" spans="1:19" ht="20.5" thickTop="1" thickBot="1" x14ac:dyDescent="0.4">
      <c r="A660" s="184" t="s">
        <v>499</v>
      </c>
      <c r="B660" s="185" t="s">
        <v>499</v>
      </c>
      <c r="C660" s="185" t="s">
        <v>499</v>
      </c>
      <c r="D660" s="186" t="s">
        <v>499</v>
      </c>
      <c r="E660" s="185" t="s">
        <v>499</v>
      </c>
      <c r="F660" s="185" t="s">
        <v>499</v>
      </c>
      <c r="G660" s="187">
        <f t="shared" si="10"/>
        <v>0</v>
      </c>
      <c r="H660" s="188"/>
      <c r="I660" s="188"/>
      <c r="J660" s="188"/>
      <c r="K660" s="185"/>
      <c r="L660" s="185"/>
      <c r="M660" s="185"/>
      <c r="N660" s="185"/>
      <c r="O660" s="193"/>
      <c r="P660" s="193"/>
      <c r="Q660" s="195"/>
      <c r="R660" s="191"/>
      <c r="S660" s="192"/>
    </row>
    <row r="661" spans="1:19" ht="20.5" thickTop="1" thickBot="1" x14ac:dyDescent="0.4">
      <c r="A661" s="184" t="s">
        <v>499</v>
      </c>
      <c r="B661" s="185" t="s">
        <v>499</v>
      </c>
      <c r="C661" s="185" t="s">
        <v>499</v>
      </c>
      <c r="D661" s="186" t="s">
        <v>499</v>
      </c>
      <c r="E661" s="185" t="s">
        <v>499</v>
      </c>
      <c r="F661" s="185" t="s">
        <v>499</v>
      </c>
      <c r="G661" s="187">
        <f t="shared" si="10"/>
        <v>0</v>
      </c>
      <c r="H661" s="188"/>
      <c r="I661" s="188"/>
      <c r="J661" s="188"/>
      <c r="K661" s="185"/>
      <c r="L661" s="185"/>
      <c r="M661" s="185"/>
      <c r="N661" s="185"/>
      <c r="O661" s="193"/>
      <c r="P661" s="193"/>
      <c r="Q661" s="195"/>
      <c r="R661" s="191"/>
      <c r="S661" s="192"/>
    </row>
    <row r="662" spans="1:19" ht="20.5" thickTop="1" thickBot="1" x14ac:dyDescent="0.4">
      <c r="A662" s="184" t="s">
        <v>499</v>
      </c>
      <c r="B662" s="185" t="s">
        <v>499</v>
      </c>
      <c r="C662" s="185" t="s">
        <v>499</v>
      </c>
      <c r="D662" s="186" t="s">
        <v>499</v>
      </c>
      <c r="E662" s="185" t="s">
        <v>499</v>
      </c>
      <c r="F662" s="185" t="s">
        <v>499</v>
      </c>
      <c r="G662" s="187">
        <f t="shared" si="10"/>
        <v>0</v>
      </c>
      <c r="H662" s="188"/>
      <c r="I662" s="188"/>
      <c r="J662" s="188"/>
      <c r="K662" s="185"/>
      <c r="L662" s="185"/>
      <c r="M662" s="185"/>
      <c r="N662" s="185"/>
      <c r="O662" s="193"/>
      <c r="P662" s="193"/>
      <c r="Q662" s="195"/>
      <c r="R662" s="191"/>
      <c r="S662" s="192"/>
    </row>
    <row r="663" spans="1:19" ht="20.5" thickTop="1" thickBot="1" x14ac:dyDescent="0.4">
      <c r="A663" s="184" t="s">
        <v>499</v>
      </c>
      <c r="B663" s="185" t="s">
        <v>499</v>
      </c>
      <c r="C663" s="185" t="s">
        <v>499</v>
      </c>
      <c r="D663" s="186" t="s">
        <v>499</v>
      </c>
      <c r="E663" s="185" t="s">
        <v>499</v>
      </c>
      <c r="F663" s="185" t="s">
        <v>499</v>
      </c>
      <c r="G663" s="187">
        <f t="shared" si="10"/>
        <v>0</v>
      </c>
      <c r="H663" s="188"/>
      <c r="I663" s="188"/>
      <c r="J663" s="188"/>
      <c r="K663" s="185"/>
      <c r="L663" s="185"/>
      <c r="M663" s="185"/>
      <c r="N663" s="185"/>
      <c r="O663" s="193"/>
      <c r="P663" s="193"/>
      <c r="Q663" s="195"/>
      <c r="R663" s="191"/>
      <c r="S663" s="192"/>
    </row>
    <row r="664" spans="1:19" ht="20.5" thickTop="1" thickBot="1" x14ac:dyDescent="0.4">
      <c r="A664" s="184" t="s">
        <v>499</v>
      </c>
      <c r="B664" s="185" t="s">
        <v>499</v>
      </c>
      <c r="C664" s="185" t="s">
        <v>499</v>
      </c>
      <c r="D664" s="186" t="s">
        <v>499</v>
      </c>
      <c r="E664" s="185" t="s">
        <v>499</v>
      </c>
      <c r="F664" s="185" t="s">
        <v>499</v>
      </c>
      <c r="G664" s="187">
        <f t="shared" si="10"/>
        <v>0</v>
      </c>
      <c r="H664" s="188"/>
      <c r="I664" s="188"/>
      <c r="J664" s="188"/>
      <c r="K664" s="185"/>
      <c r="L664" s="185"/>
      <c r="M664" s="185"/>
      <c r="N664" s="185"/>
      <c r="O664" s="193"/>
      <c r="P664" s="193"/>
      <c r="Q664" s="195"/>
      <c r="R664" s="191"/>
      <c r="S664" s="192"/>
    </row>
    <row r="665" spans="1:19" ht="20.5" thickTop="1" thickBot="1" x14ac:dyDescent="0.4">
      <c r="A665" s="184" t="s">
        <v>499</v>
      </c>
      <c r="B665" s="185" t="s">
        <v>499</v>
      </c>
      <c r="C665" s="185" t="s">
        <v>499</v>
      </c>
      <c r="D665" s="186" t="s">
        <v>499</v>
      </c>
      <c r="E665" s="185" t="s">
        <v>499</v>
      </c>
      <c r="F665" s="185" t="s">
        <v>499</v>
      </c>
      <c r="G665" s="187">
        <f t="shared" si="10"/>
        <v>0</v>
      </c>
      <c r="H665" s="188"/>
      <c r="I665" s="188"/>
      <c r="J665" s="188"/>
      <c r="K665" s="185"/>
      <c r="L665" s="185"/>
      <c r="M665" s="185"/>
      <c r="N665" s="185"/>
      <c r="O665" s="193"/>
      <c r="P665" s="193"/>
      <c r="Q665" s="195"/>
      <c r="R665" s="191"/>
      <c r="S665" s="192"/>
    </row>
    <row r="666" spans="1:19" ht="20.5" thickTop="1" thickBot="1" x14ac:dyDescent="0.4">
      <c r="A666" s="184" t="s">
        <v>499</v>
      </c>
      <c r="B666" s="185" t="s">
        <v>499</v>
      </c>
      <c r="C666" s="185" t="s">
        <v>499</v>
      </c>
      <c r="D666" s="186" t="s">
        <v>499</v>
      </c>
      <c r="E666" s="185" t="s">
        <v>499</v>
      </c>
      <c r="F666" s="185" t="s">
        <v>499</v>
      </c>
      <c r="G666" s="187">
        <f t="shared" si="10"/>
        <v>0</v>
      </c>
      <c r="H666" s="188"/>
      <c r="I666" s="188"/>
      <c r="J666" s="188"/>
      <c r="K666" s="185"/>
      <c r="L666" s="185"/>
      <c r="M666" s="185"/>
      <c r="N666" s="185"/>
      <c r="O666" s="193"/>
      <c r="P666" s="193"/>
      <c r="Q666" s="195"/>
      <c r="R666" s="191"/>
      <c r="S666" s="192"/>
    </row>
    <row r="667" spans="1:19" ht="20.5" thickTop="1" thickBot="1" x14ac:dyDescent="0.4">
      <c r="A667" s="184" t="s">
        <v>499</v>
      </c>
      <c r="B667" s="185" t="s">
        <v>499</v>
      </c>
      <c r="C667" s="185" t="s">
        <v>499</v>
      </c>
      <c r="D667" s="186" t="s">
        <v>499</v>
      </c>
      <c r="E667" s="185" t="s">
        <v>499</v>
      </c>
      <c r="F667" s="185" t="s">
        <v>499</v>
      </c>
      <c r="G667" s="187">
        <f t="shared" si="10"/>
        <v>0</v>
      </c>
      <c r="H667" s="188"/>
      <c r="I667" s="188"/>
      <c r="J667" s="188"/>
      <c r="K667" s="185"/>
      <c r="L667" s="185"/>
      <c r="M667" s="185"/>
      <c r="N667" s="185"/>
      <c r="O667" s="193"/>
      <c r="P667" s="193"/>
      <c r="Q667" s="195"/>
      <c r="R667" s="191"/>
      <c r="S667" s="192"/>
    </row>
    <row r="668" spans="1:19" ht="20.5" thickTop="1" thickBot="1" x14ac:dyDescent="0.4">
      <c r="A668" s="184" t="s">
        <v>499</v>
      </c>
      <c r="B668" s="185" t="s">
        <v>499</v>
      </c>
      <c r="C668" s="185" t="s">
        <v>499</v>
      </c>
      <c r="D668" s="186" t="s">
        <v>499</v>
      </c>
      <c r="E668" s="185" t="s">
        <v>499</v>
      </c>
      <c r="F668" s="185" t="s">
        <v>499</v>
      </c>
      <c r="G668" s="187">
        <f t="shared" si="10"/>
        <v>0</v>
      </c>
      <c r="H668" s="188"/>
      <c r="I668" s="188"/>
      <c r="J668" s="188"/>
      <c r="K668" s="185"/>
      <c r="L668" s="185"/>
      <c r="M668" s="185"/>
      <c r="N668" s="185"/>
      <c r="O668" s="193"/>
      <c r="P668" s="193"/>
      <c r="Q668" s="195"/>
      <c r="R668" s="191"/>
      <c r="S668" s="192"/>
    </row>
    <row r="669" spans="1:19" ht="20.5" thickTop="1" thickBot="1" x14ac:dyDescent="0.4">
      <c r="A669" s="184" t="s">
        <v>499</v>
      </c>
      <c r="B669" s="185" t="s">
        <v>499</v>
      </c>
      <c r="C669" s="185" t="s">
        <v>499</v>
      </c>
      <c r="D669" s="186" t="s">
        <v>499</v>
      </c>
      <c r="E669" s="185" t="s">
        <v>499</v>
      </c>
      <c r="F669" s="185" t="s">
        <v>499</v>
      </c>
      <c r="G669" s="187">
        <f t="shared" si="10"/>
        <v>0</v>
      </c>
      <c r="H669" s="188"/>
      <c r="I669" s="188"/>
      <c r="J669" s="188"/>
      <c r="K669" s="185"/>
      <c r="L669" s="185"/>
      <c r="M669" s="185"/>
      <c r="N669" s="185"/>
      <c r="O669" s="193"/>
      <c r="P669" s="193"/>
      <c r="Q669" s="195"/>
      <c r="R669" s="191"/>
      <c r="S669" s="192"/>
    </row>
    <row r="670" spans="1:19" ht="20.5" thickTop="1" thickBot="1" x14ac:dyDescent="0.4">
      <c r="A670" s="184" t="s">
        <v>499</v>
      </c>
      <c r="B670" s="185" t="s">
        <v>499</v>
      </c>
      <c r="C670" s="185" t="s">
        <v>499</v>
      </c>
      <c r="D670" s="186" t="s">
        <v>499</v>
      </c>
      <c r="E670" s="185" t="s">
        <v>499</v>
      </c>
      <c r="F670" s="185" t="s">
        <v>499</v>
      </c>
      <c r="G670" s="187">
        <f t="shared" si="10"/>
        <v>0</v>
      </c>
      <c r="H670" s="188"/>
      <c r="I670" s="188"/>
      <c r="J670" s="188"/>
      <c r="K670" s="185"/>
      <c r="L670" s="185"/>
      <c r="M670" s="185"/>
      <c r="N670" s="185"/>
      <c r="O670" s="193"/>
      <c r="P670" s="193"/>
      <c r="Q670" s="195"/>
      <c r="R670" s="191"/>
      <c r="S670" s="192"/>
    </row>
    <row r="671" spans="1:19" ht="20.5" thickTop="1" thickBot="1" x14ac:dyDescent="0.4">
      <c r="A671" s="184" t="s">
        <v>499</v>
      </c>
      <c r="B671" s="185" t="s">
        <v>499</v>
      </c>
      <c r="C671" s="185" t="s">
        <v>499</v>
      </c>
      <c r="D671" s="186" t="s">
        <v>499</v>
      </c>
      <c r="E671" s="185" t="s">
        <v>499</v>
      </c>
      <c r="F671" s="185" t="s">
        <v>499</v>
      </c>
      <c r="G671" s="187">
        <f t="shared" si="10"/>
        <v>0</v>
      </c>
      <c r="H671" s="188"/>
      <c r="I671" s="188"/>
      <c r="J671" s="188"/>
      <c r="K671" s="185"/>
      <c r="L671" s="185"/>
      <c r="M671" s="185"/>
      <c r="N671" s="185"/>
      <c r="O671" s="193"/>
      <c r="P671" s="193"/>
      <c r="Q671" s="195"/>
      <c r="R671" s="191"/>
      <c r="S671" s="192"/>
    </row>
    <row r="672" spans="1:19" ht="20.5" thickTop="1" thickBot="1" x14ac:dyDescent="0.4">
      <c r="A672" s="184" t="s">
        <v>499</v>
      </c>
      <c r="B672" s="185" t="s">
        <v>499</v>
      </c>
      <c r="C672" s="185" t="s">
        <v>499</v>
      </c>
      <c r="D672" s="186" t="s">
        <v>499</v>
      </c>
      <c r="E672" s="185" t="s">
        <v>499</v>
      </c>
      <c r="F672" s="185" t="s">
        <v>499</v>
      </c>
      <c r="G672" s="187">
        <f t="shared" si="10"/>
        <v>0</v>
      </c>
      <c r="H672" s="188"/>
      <c r="I672" s="188"/>
      <c r="J672" s="188"/>
      <c r="K672" s="185"/>
      <c r="L672" s="185"/>
      <c r="M672" s="185"/>
      <c r="N672" s="185"/>
      <c r="O672" s="193"/>
      <c r="P672" s="193"/>
      <c r="Q672" s="195"/>
      <c r="R672" s="191"/>
      <c r="S672" s="192"/>
    </row>
    <row r="673" spans="1:19" ht="20.5" thickTop="1" thickBot="1" x14ac:dyDescent="0.4">
      <c r="A673" s="184" t="s">
        <v>499</v>
      </c>
      <c r="B673" s="185" t="s">
        <v>499</v>
      </c>
      <c r="C673" s="185" t="s">
        <v>499</v>
      </c>
      <c r="D673" s="186" t="s">
        <v>499</v>
      </c>
      <c r="E673" s="185" t="s">
        <v>499</v>
      </c>
      <c r="F673" s="185" t="s">
        <v>499</v>
      </c>
      <c r="G673" s="187">
        <f t="shared" si="10"/>
        <v>0</v>
      </c>
      <c r="H673" s="188"/>
      <c r="I673" s="188"/>
      <c r="J673" s="188"/>
      <c r="K673" s="185"/>
      <c r="L673" s="185"/>
      <c r="M673" s="185"/>
      <c r="N673" s="185"/>
      <c r="O673" s="193"/>
      <c r="P673" s="193"/>
      <c r="Q673" s="195"/>
      <c r="R673" s="191"/>
      <c r="S673" s="192"/>
    </row>
    <row r="674" spans="1:19" ht="20.5" thickTop="1" thickBot="1" x14ac:dyDescent="0.4">
      <c r="A674" s="184" t="s">
        <v>499</v>
      </c>
      <c r="B674" s="185" t="s">
        <v>499</v>
      </c>
      <c r="C674" s="185" t="s">
        <v>499</v>
      </c>
      <c r="D674" s="186" t="s">
        <v>499</v>
      </c>
      <c r="E674" s="185" t="s">
        <v>499</v>
      </c>
      <c r="F674" s="185" t="s">
        <v>499</v>
      </c>
      <c r="G674" s="187">
        <f t="shared" si="10"/>
        <v>0</v>
      </c>
      <c r="H674" s="188"/>
      <c r="I674" s="188"/>
      <c r="J674" s="188"/>
      <c r="K674" s="185"/>
      <c r="L674" s="185"/>
      <c r="M674" s="185"/>
      <c r="N674" s="185"/>
      <c r="O674" s="193"/>
      <c r="P674" s="193"/>
      <c r="Q674" s="195"/>
      <c r="R674" s="191"/>
      <c r="S674" s="192"/>
    </row>
    <row r="675" spans="1:19" ht="20.5" thickTop="1" thickBot="1" x14ac:dyDescent="0.4">
      <c r="A675" s="184" t="s">
        <v>499</v>
      </c>
      <c r="B675" s="185" t="s">
        <v>499</v>
      </c>
      <c r="C675" s="185" t="s">
        <v>499</v>
      </c>
      <c r="D675" s="186" t="s">
        <v>499</v>
      </c>
      <c r="E675" s="185" t="s">
        <v>499</v>
      </c>
      <c r="F675" s="185" t="s">
        <v>499</v>
      </c>
      <c r="G675" s="187">
        <f t="shared" si="10"/>
        <v>0</v>
      </c>
      <c r="H675" s="188"/>
      <c r="I675" s="188"/>
      <c r="J675" s="188"/>
      <c r="K675" s="185"/>
      <c r="L675" s="185"/>
      <c r="M675" s="185"/>
      <c r="N675" s="185"/>
      <c r="O675" s="193"/>
      <c r="P675" s="193"/>
      <c r="Q675" s="195"/>
      <c r="R675" s="191"/>
      <c r="S675" s="192"/>
    </row>
    <row r="676" spans="1:19" ht="20.5" thickTop="1" thickBot="1" x14ac:dyDescent="0.4">
      <c r="A676" s="184" t="s">
        <v>499</v>
      </c>
      <c r="B676" s="185" t="s">
        <v>499</v>
      </c>
      <c r="C676" s="185" t="s">
        <v>499</v>
      </c>
      <c r="D676" s="186" t="s">
        <v>499</v>
      </c>
      <c r="E676" s="185" t="s">
        <v>499</v>
      </c>
      <c r="F676" s="185" t="s">
        <v>499</v>
      </c>
      <c r="G676" s="187">
        <f t="shared" si="10"/>
        <v>0</v>
      </c>
      <c r="H676" s="188"/>
      <c r="I676" s="188"/>
      <c r="J676" s="188"/>
      <c r="K676" s="185"/>
      <c r="L676" s="185"/>
      <c r="M676" s="185"/>
      <c r="N676" s="185"/>
      <c r="O676" s="193"/>
      <c r="P676" s="193"/>
      <c r="Q676" s="195"/>
      <c r="R676" s="191"/>
      <c r="S676" s="192"/>
    </row>
    <row r="677" spans="1:19" ht="20.5" thickTop="1" thickBot="1" x14ac:dyDescent="0.4">
      <c r="A677" s="184" t="s">
        <v>499</v>
      </c>
      <c r="B677" s="185" t="s">
        <v>499</v>
      </c>
      <c r="C677" s="185" t="s">
        <v>499</v>
      </c>
      <c r="D677" s="186" t="s">
        <v>499</v>
      </c>
      <c r="E677" s="185" t="s">
        <v>499</v>
      </c>
      <c r="F677" s="185" t="s">
        <v>499</v>
      </c>
      <c r="G677" s="187">
        <f t="shared" si="10"/>
        <v>0</v>
      </c>
      <c r="H677" s="188"/>
      <c r="I677" s="188"/>
      <c r="J677" s="188"/>
      <c r="K677" s="185"/>
      <c r="L677" s="185"/>
      <c r="M677" s="185"/>
      <c r="N677" s="185"/>
      <c r="O677" s="193"/>
      <c r="P677" s="193"/>
      <c r="Q677" s="195"/>
      <c r="R677" s="191"/>
      <c r="S677" s="192"/>
    </row>
    <row r="678" spans="1:19" ht="20.5" thickTop="1" thickBot="1" x14ac:dyDescent="0.4">
      <c r="A678" s="184" t="s">
        <v>499</v>
      </c>
      <c r="B678" s="185" t="s">
        <v>499</v>
      </c>
      <c r="C678" s="185" t="s">
        <v>499</v>
      </c>
      <c r="D678" s="186" t="s">
        <v>499</v>
      </c>
      <c r="E678" s="185" t="s">
        <v>499</v>
      </c>
      <c r="F678" s="185" t="s">
        <v>499</v>
      </c>
      <c r="G678" s="187">
        <f t="shared" si="10"/>
        <v>0</v>
      </c>
      <c r="H678" s="188"/>
      <c r="I678" s="188"/>
      <c r="J678" s="188"/>
      <c r="K678" s="185"/>
      <c r="L678" s="185"/>
      <c r="M678" s="185"/>
      <c r="N678" s="185"/>
      <c r="O678" s="193"/>
      <c r="P678" s="193"/>
      <c r="Q678" s="195"/>
      <c r="R678" s="191"/>
      <c r="S678" s="192"/>
    </row>
    <row r="679" spans="1:19" ht="20.5" thickTop="1" thickBot="1" x14ac:dyDescent="0.4">
      <c r="A679" s="184" t="s">
        <v>499</v>
      </c>
      <c r="B679" s="185" t="s">
        <v>499</v>
      </c>
      <c r="C679" s="185" t="s">
        <v>499</v>
      </c>
      <c r="D679" s="186" t="s">
        <v>499</v>
      </c>
      <c r="E679" s="185" t="s">
        <v>499</v>
      </c>
      <c r="F679" s="185" t="s">
        <v>499</v>
      </c>
      <c r="G679" s="187">
        <f t="shared" si="10"/>
        <v>0</v>
      </c>
      <c r="H679" s="188"/>
      <c r="I679" s="188"/>
      <c r="J679" s="188"/>
      <c r="K679" s="185"/>
      <c r="L679" s="185"/>
      <c r="M679" s="185"/>
      <c r="N679" s="185"/>
      <c r="O679" s="193"/>
      <c r="P679" s="193"/>
      <c r="Q679" s="195"/>
      <c r="R679" s="191"/>
      <c r="S679" s="192"/>
    </row>
    <row r="680" spans="1:19" ht="20.5" thickTop="1" thickBot="1" x14ac:dyDescent="0.4">
      <c r="A680" s="184" t="s">
        <v>499</v>
      </c>
      <c r="B680" s="185" t="s">
        <v>499</v>
      </c>
      <c r="C680" s="185" t="s">
        <v>499</v>
      </c>
      <c r="D680" s="186" t="s">
        <v>499</v>
      </c>
      <c r="E680" s="185" t="s">
        <v>499</v>
      </c>
      <c r="F680" s="185" t="s">
        <v>499</v>
      </c>
      <c r="G680" s="187">
        <f t="shared" si="10"/>
        <v>0</v>
      </c>
      <c r="H680" s="188"/>
      <c r="I680" s="188"/>
      <c r="J680" s="188"/>
      <c r="K680" s="185"/>
      <c r="L680" s="185"/>
      <c r="M680" s="185"/>
      <c r="N680" s="185"/>
      <c r="O680" s="193"/>
      <c r="P680" s="193"/>
      <c r="Q680" s="195"/>
      <c r="R680" s="191"/>
      <c r="S680" s="192"/>
    </row>
    <row r="681" spans="1:19" ht="20.5" thickTop="1" thickBot="1" x14ac:dyDescent="0.4">
      <c r="A681" s="184" t="s">
        <v>499</v>
      </c>
      <c r="B681" s="185" t="s">
        <v>499</v>
      </c>
      <c r="C681" s="185" t="s">
        <v>499</v>
      </c>
      <c r="D681" s="186" t="s">
        <v>499</v>
      </c>
      <c r="E681" s="185" t="s">
        <v>499</v>
      </c>
      <c r="F681" s="185" t="s">
        <v>499</v>
      </c>
      <c r="G681" s="187">
        <f t="shared" si="10"/>
        <v>0</v>
      </c>
      <c r="H681" s="188"/>
      <c r="I681" s="188"/>
      <c r="J681" s="188"/>
      <c r="K681" s="185"/>
      <c r="L681" s="185"/>
      <c r="M681" s="185"/>
      <c r="N681" s="185"/>
      <c r="O681" s="193"/>
      <c r="P681" s="193"/>
      <c r="Q681" s="195"/>
      <c r="R681" s="191"/>
      <c r="S681" s="192"/>
    </row>
    <row r="682" spans="1:19" ht="20.5" thickTop="1" thickBot="1" x14ac:dyDescent="0.4">
      <c r="A682" s="184" t="s">
        <v>499</v>
      </c>
      <c r="B682" s="185" t="s">
        <v>499</v>
      </c>
      <c r="C682" s="185" t="s">
        <v>499</v>
      </c>
      <c r="D682" s="186" t="s">
        <v>499</v>
      </c>
      <c r="E682" s="185" t="s">
        <v>499</v>
      </c>
      <c r="F682" s="185" t="s">
        <v>499</v>
      </c>
      <c r="G682" s="187">
        <f t="shared" si="10"/>
        <v>0</v>
      </c>
      <c r="H682" s="188"/>
      <c r="I682" s="188"/>
      <c r="J682" s="188"/>
      <c r="K682" s="185"/>
      <c r="L682" s="185"/>
      <c r="M682" s="185"/>
      <c r="N682" s="185"/>
      <c r="O682" s="193"/>
      <c r="P682" s="193"/>
      <c r="Q682" s="195"/>
      <c r="R682" s="191"/>
      <c r="S682" s="192"/>
    </row>
    <row r="683" spans="1:19" ht="20.5" thickTop="1" thickBot="1" x14ac:dyDescent="0.4">
      <c r="A683" s="184" t="s">
        <v>499</v>
      </c>
      <c r="B683" s="185" t="s">
        <v>499</v>
      </c>
      <c r="C683" s="185" t="s">
        <v>499</v>
      </c>
      <c r="D683" s="186" t="s">
        <v>499</v>
      </c>
      <c r="E683" s="185" t="s">
        <v>499</v>
      </c>
      <c r="F683" s="185" t="s">
        <v>499</v>
      </c>
      <c r="G683" s="187">
        <f t="shared" si="10"/>
        <v>0</v>
      </c>
      <c r="H683" s="188"/>
      <c r="I683" s="188"/>
      <c r="J683" s="188"/>
      <c r="K683" s="185"/>
      <c r="L683" s="185"/>
      <c r="M683" s="185"/>
      <c r="N683" s="185"/>
      <c r="O683" s="193"/>
      <c r="P683" s="193"/>
      <c r="Q683" s="195"/>
      <c r="R683" s="191"/>
      <c r="S683" s="192"/>
    </row>
    <row r="684" spans="1:19" ht="20.5" thickTop="1" thickBot="1" x14ac:dyDescent="0.4">
      <c r="A684" s="184" t="s">
        <v>499</v>
      </c>
      <c r="B684" s="185" t="s">
        <v>499</v>
      </c>
      <c r="C684" s="185" t="s">
        <v>499</v>
      </c>
      <c r="D684" s="186" t="s">
        <v>499</v>
      </c>
      <c r="E684" s="185" t="s">
        <v>499</v>
      </c>
      <c r="F684" s="185" t="s">
        <v>499</v>
      </c>
      <c r="G684" s="187">
        <f t="shared" si="10"/>
        <v>0</v>
      </c>
      <c r="H684" s="188"/>
      <c r="I684" s="188"/>
      <c r="J684" s="188"/>
      <c r="K684" s="185"/>
      <c r="L684" s="185"/>
      <c r="M684" s="185"/>
      <c r="N684" s="185"/>
      <c r="O684" s="193"/>
      <c r="P684" s="193"/>
      <c r="Q684" s="195"/>
      <c r="R684" s="191"/>
      <c r="S684" s="192"/>
    </row>
    <row r="685" spans="1:19" ht="20.5" thickTop="1" thickBot="1" x14ac:dyDescent="0.4">
      <c r="A685" s="184" t="s">
        <v>499</v>
      </c>
      <c r="B685" s="185" t="s">
        <v>499</v>
      </c>
      <c r="C685" s="185" t="s">
        <v>499</v>
      </c>
      <c r="D685" s="186" t="s">
        <v>499</v>
      </c>
      <c r="E685" s="185" t="s">
        <v>499</v>
      </c>
      <c r="F685" s="185" t="s">
        <v>499</v>
      </c>
      <c r="G685" s="187">
        <f t="shared" si="10"/>
        <v>0</v>
      </c>
      <c r="H685" s="188"/>
      <c r="I685" s="188"/>
      <c r="J685" s="188"/>
      <c r="K685" s="185"/>
      <c r="L685" s="185"/>
      <c r="M685" s="185"/>
      <c r="N685" s="185"/>
      <c r="O685" s="193"/>
      <c r="P685" s="193"/>
      <c r="Q685" s="195"/>
      <c r="R685" s="191"/>
      <c r="S685" s="192"/>
    </row>
    <row r="686" spans="1:19" ht="20.5" thickTop="1" thickBot="1" x14ac:dyDescent="0.4">
      <c r="A686" s="184" t="s">
        <v>499</v>
      </c>
      <c r="B686" s="185" t="s">
        <v>499</v>
      </c>
      <c r="C686" s="185" t="s">
        <v>499</v>
      </c>
      <c r="D686" s="186" t="s">
        <v>499</v>
      </c>
      <c r="E686" s="185" t="s">
        <v>499</v>
      </c>
      <c r="F686" s="185" t="s">
        <v>499</v>
      </c>
      <c r="G686" s="187">
        <f t="shared" si="10"/>
        <v>0</v>
      </c>
      <c r="H686" s="188"/>
      <c r="I686" s="188"/>
      <c r="J686" s="188"/>
      <c r="K686" s="185"/>
      <c r="L686" s="185"/>
      <c r="M686" s="185"/>
      <c r="N686" s="185"/>
      <c r="O686" s="193"/>
      <c r="P686" s="193"/>
      <c r="Q686" s="195"/>
      <c r="R686" s="191"/>
      <c r="S686" s="192"/>
    </row>
    <row r="687" spans="1:19" ht="20.5" thickTop="1" thickBot="1" x14ac:dyDescent="0.4">
      <c r="A687" s="184" t="s">
        <v>499</v>
      </c>
      <c r="B687" s="185" t="s">
        <v>499</v>
      </c>
      <c r="C687" s="185" t="s">
        <v>499</v>
      </c>
      <c r="D687" s="186" t="s">
        <v>499</v>
      </c>
      <c r="E687" s="185" t="s">
        <v>499</v>
      </c>
      <c r="F687" s="185" t="s">
        <v>499</v>
      </c>
      <c r="G687" s="187">
        <f t="shared" si="10"/>
        <v>0</v>
      </c>
      <c r="H687" s="188"/>
      <c r="I687" s="188"/>
      <c r="J687" s="188"/>
      <c r="K687" s="185"/>
      <c r="L687" s="185"/>
      <c r="M687" s="185"/>
      <c r="N687" s="185"/>
      <c r="O687" s="193"/>
      <c r="P687" s="193"/>
      <c r="Q687" s="195"/>
      <c r="R687" s="191"/>
      <c r="S687" s="192"/>
    </row>
    <row r="688" spans="1:19" ht="20.5" thickTop="1" thickBot="1" x14ac:dyDescent="0.4">
      <c r="A688" s="184" t="s">
        <v>499</v>
      </c>
      <c r="B688" s="185" t="s">
        <v>499</v>
      </c>
      <c r="C688" s="185" t="s">
        <v>499</v>
      </c>
      <c r="D688" s="186" t="s">
        <v>499</v>
      </c>
      <c r="E688" s="185" t="s">
        <v>499</v>
      </c>
      <c r="F688" s="185" t="s">
        <v>499</v>
      </c>
      <c r="G688" s="187">
        <f t="shared" si="10"/>
        <v>0</v>
      </c>
      <c r="H688" s="188"/>
      <c r="I688" s="188"/>
      <c r="J688" s="188"/>
      <c r="K688" s="185"/>
      <c r="L688" s="185"/>
      <c r="M688" s="185"/>
      <c r="N688" s="185"/>
      <c r="O688" s="193"/>
      <c r="P688" s="193"/>
      <c r="Q688" s="195"/>
      <c r="R688" s="191"/>
      <c r="S688" s="192"/>
    </row>
    <row r="689" spans="1:19" ht="20.5" thickTop="1" thickBot="1" x14ac:dyDescent="0.4">
      <c r="A689" s="184" t="s">
        <v>499</v>
      </c>
      <c r="B689" s="185" t="s">
        <v>499</v>
      </c>
      <c r="C689" s="185" t="s">
        <v>499</v>
      </c>
      <c r="D689" s="186" t="s">
        <v>499</v>
      </c>
      <c r="E689" s="185" t="s">
        <v>499</v>
      </c>
      <c r="F689" s="185" t="s">
        <v>499</v>
      </c>
      <c r="G689" s="187">
        <f t="shared" si="10"/>
        <v>0</v>
      </c>
      <c r="H689" s="188"/>
      <c r="I689" s="188"/>
      <c r="J689" s="188"/>
      <c r="K689" s="185"/>
      <c r="L689" s="185"/>
      <c r="M689" s="185"/>
      <c r="N689" s="185"/>
      <c r="O689" s="193"/>
      <c r="P689" s="193"/>
      <c r="Q689" s="195"/>
      <c r="R689" s="191"/>
      <c r="S689" s="192"/>
    </row>
    <row r="690" spans="1:19" ht="20.5" thickTop="1" thickBot="1" x14ac:dyDescent="0.4">
      <c r="A690" s="184" t="s">
        <v>499</v>
      </c>
      <c r="B690" s="185" t="s">
        <v>499</v>
      </c>
      <c r="C690" s="185" t="s">
        <v>499</v>
      </c>
      <c r="D690" s="186" t="s">
        <v>499</v>
      </c>
      <c r="E690" s="185" t="s">
        <v>499</v>
      </c>
      <c r="F690" s="185" t="s">
        <v>499</v>
      </c>
      <c r="G690" s="187">
        <f t="shared" si="10"/>
        <v>0</v>
      </c>
      <c r="H690" s="188"/>
      <c r="I690" s="188"/>
      <c r="J690" s="188"/>
      <c r="K690" s="185"/>
      <c r="L690" s="185"/>
      <c r="M690" s="185"/>
      <c r="N690" s="185"/>
      <c r="O690" s="193"/>
      <c r="P690" s="193"/>
      <c r="Q690" s="195"/>
      <c r="R690" s="191"/>
      <c r="S690" s="192"/>
    </row>
    <row r="691" spans="1:19" ht="20.5" thickTop="1" thickBot="1" x14ac:dyDescent="0.4">
      <c r="A691" s="184" t="s">
        <v>499</v>
      </c>
      <c r="B691" s="185" t="s">
        <v>499</v>
      </c>
      <c r="C691" s="185" t="s">
        <v>499</v>
      </c>
      <c r="D691" s="186" t="s">
        <v>499</v>
      </c>
      <c r="E691" s="185" t="s">
        <v>499</v>
      </c>
      <c r="F691" s="185" t="s">
        <v>499</v>
      </c>
      <c r="G691" s="187">
        <f t="shared" si="10"/>
        <v>0</v>
      </c>
      <c r="H691" s="188"/>
      <c r="I691" s="188"/>
      <c r="J691" s="188"/>
      <c r="K691" s="185"/>
      <c r="L691" s="185"/>
      <c r="M691" s="185"/>
      <c r="N691" s="185"/>
      <c r="O691" s="193"/>
      <c r="P691" s="193"/>
      <c r="Q691" s="195"/>
      <c r="R691" s="191"/>
      <c r="S691" s="192"/>
    </row>
    <row r="692" spans="1:19" ht="20.5" thickTop="1" thickBot="1" x14ac:dyDescent="0.4">
      <c r="A692" s="184" t="s">
        <v>499</v>
      </c>
      <c r="B692" s="185" t="s">
        <v>499</v>
      </c>
      <c r="C692" s="185" t="s">
        <v>499</v>
      </c>
      <c r="D692" s="186" t="s">
        <v>499</v>
      </c>
      <c r="E692" s="185" t="s">
        <v>499</v>
      </c>
      <c r="F692" s="185" t="s">
        <v>499</v>
      </c>
      <c r="G692" s="187">
        <f t="shared" si="10"/>
        <v>0</v>
      </c>
      <c r="H692" s="188"/>
      <c r="I692" s="188"/>
      <c r="J692" s="188"/>
      <c r="K692" s="185"/>
      <c r="L692" s="185"/>
      <c r="M692" s="185"/>
      <c r="N692" s="185"/>
      <c r="O692" s="193"/>
      <c r="P692" s="193"/>
      <c r="Q692" s="195"/>
      <c r="R692" s="191"/>
      <c r="S692" s="192"/>
    </row>
    <row r="693" spans="1:19" ht="20.5" thickTop="1" thickBot="1" x14ac:dyDescent="0.4">
      <c r="A693" s="184" t="s">
        <v>499</v>
      </c>
      <c r="B693" s="185" t="s">
        <v>499</v>
      </c>
      <c r="C693" s="185" t="s">
        <v>499</v>
      </c>
      <c r="D693" s="186" t="s">
        <v>499</v>
      </c>
      <c r="E693" s="185" t="s">
        <v>499</v>
      </c>
      <c r="F693" s="185" t="s">
        <v>499</v>
      </c>
      <c r="G693" s="187">
        <f t="shared" si="10"/>
        <v>0</v>
      </c>
      <c r="H693" s="188"/>
      <c r="I693" s="188"/>
      <c r="J693" s="188"/>
      <c r="K693" s="185"/>
      <c r="L693" s="185"/>
      <c r="M693" s="185"/>
      <c r="N693" s="185"/>
      <c r="O693" s="193"/>
      <c r="P693" s="193"/>
      <c r="Q693" s="195"/>
      <c r="R693" s="191"/>
      <c r="S693" s="192"/>
    </row>
    <row r="694" spans="1:19" ht="20.5" thickTop="1" thickBot="1" x14ac:dyDescent="0.4">
      <c r="A694" s="184" t="s">
        <v>499</v>
      </c>
      <c r="B694" s="185" t="s">
        <v>499</v>
      </c>
      <c r="C694" s="185" t="s">
        <v>499</v>
      </c>
      <c r="D694" s="186" t="s">
        <v>499</v>
      </c>
      <c r="E694" s="185" t="s">
        <v>499</v>
      </c>
      <c r="F694" s="185" t="s">
        <v>499</v>
      </c>
      <c r="G694" s="187">
        <f t="shared" si="10"/>
        <v>0</v>
      </c>
      <c r="H694" s="188"/>
      <c r="I694" s="188"/>
      <c r="J694" s="188"/>
      <c r="K694" s="185"/>
      <c r="L694" s="185"/>
      <c r="M694" s="185"/>
      <c r="N694" s="185"/>
      <c r="O694" s="193"/>
      <c r="P694" s="193"/>
      <c r="Q694" s="195"/>
      <c r="R694" s="191"/>
      <c r="S694" s="192"/>
    </row>
    <row r="695" spans="1:19" ht="20.5" thickTop="1" thickBot="1" x14ac:dyDescent="0.4">
      <c r="A695" s="184" t="s">
        <v>499</v>
      </c>
      <c r="B695" s="185" t="s">
        <v>499</v>
      </c>
      <c r="C695" s="185" t="s">
        <v>499</v>
      </c>
      <c r="D695" s="186" t="s">
        <v>499</v>
      </c>
      <c r="E695" s="185" t="s">
        <v>499</v>
      </c>
      <c r="F695" s="185" t="s">
        <v>499</v>
      </c>
      <c r="G695" s="187">
        <f t="shared" si="10"/>
        <v>0</v>
      </c>
      <c r="H695" s="188"/>
      <c r="I695" s="188"/>
      <c r="J695" s="188"/>
      <c r="K695" s="185"/>
      <c r="L695" s="185"/>
      <c r="M695" s="185"/>
      <c r="N695" s="185"/>
      <c r="O695" s="193"/>
      <c r="P695" s="193"/>
      <c r="Q695" s="195"/>
      <c r="R695" s="191"/>
      <c r="S695" s="192"/>
    </row>
    <row r="696" spans="1:19" ht="20.5" thickTop="1" thickBot="1" x14ac:dyDescent="0.4">
      <c r="A696" s="184" t="s">
        <v>499</v>
      </c>
      <c r="B696" s="185" t="s">
        <v>499</v>
      </c>
      <c r="C696" s="185" t="s">
        <v>499</v>
      </c>
      <c r="D696" s="186" t="s">
        <v>499</v>
      </c>
      <c r="E696" s="185" t="s">
        <v>499</v>
      </c>
      <c r="F696" s="185" t="s">
        <v>499</v>
      </c>
      <c r="G696" s="187">
        <f t="shared" si="10"/>
        <v>0</v>
      </c>
      <c r="H696" s="188"/>
      <c r="I696" s="188"/>
      <c r="J696" s="188"/>
      <c r="K696" s="185"/>
      <c r="L696" s="185"/>
      <c r="M696" s="185"/>
      <c r="N696" s="185"/>
      <c r="O696" s="193"/>
      <c r="P696" s="193"/>
      <c r="Q696" s="195"/>
      <c r="R696" s="191"/>
      <c r="S696" s="192"/>
    </row>
    <row r="697" spans="1:19" ht="20.5" thickTop="1" thickBot="1" x14ac:dyDescent="0.4">
      <c r="A697" s="184" t="s">
        <v>499</v>
      </c>
      <c r="B697" s="185" t="s">
        <v>499</v>
      </c>
      <c r="C697" s="185" t="s">
        <v>499</v>
      </c>
      <c r="D697" s="186" t="s">
        <v>499</v>
      </c>
      <c r="E697" s="185" t="s">
        <v>499</v>
      </c>
      <c r="F697" s="185" t="s">
        <v>499</v>
      </c>
      <c r="G697" s="187">
        <f t="shared" si="10"/>
        <v>0</v>
      </c>
      <c r="H697" s="188"/>
      <c r="I697" s="188"/>
      <c r="J697" s="188"/>
      <c r="K697" s="185"/>
      <c r="L697" s="185"/>
      <c r="M697" s="185"/>
      <c r="N697" s="185"/>
      <c r="O697" s="193"/>
      <c r="P697" s="193"/>
      <c r="Q697" s="195"/>
      <c r="R697" s="191"/>
      <c r="S697" s="192"/>
    </row>
    <row r="698" spans="1:19" ht="20.5" thickTop="1" thickBot="1" x14ac:dyDescent="0.4">
      <c r="A698" s="184" t="s">
        <v>499</v>
      </c>
      <c r="B698" s="185" t="s">
        <v>499</v>
      </c>
      <c r="C698" s="185" t="s">
        <v>499</v>
      </c>
      <c r="D698" s="186" t="s">
        <v>499</v>
      </c>
      <c r="E698" s="185" t="s">
        <v>499</v>
      </c>
      <c r="F698" s="185" t="s">
        <v>499</v>
      </c>
      <c r="G698" s="187">
        <f t="shared" si="10"/>
        <v>0</v>
      </c>
      <c r="H698" s="188"/>
      <c r="I698" s="188"/>
      <c r="J698" s="188"/>
      <c r="K698" s="185"/>
      <c r="L698" s="185"/>
      <c r="M698" s="185"/>
      <c r="N698" s="185"/>
      <c r="O698" s="193"/>
      <c r="P698" s="193"/>
      <c r="Q698" s="195"/>
      <c r="R698" s="191"/>
      <c r="S698" s="192"/>
    </row>
    <row r="699" spans="1:19" ht="20.5" thickTop="1" thickBot="1" x14ac:dyDescent="0.4">
      <c r="A699" s="184" t="s">
        <v>499</v>
      </c>
      <c r="B699" s="185" t="s">
        <v>499</v>
      </c>
      <c r="C699" s="185" t="s">
        <v>499</v>
      </c>
      <c r="D699" s="186" t="s">
        <v>499</v>
      </c>
      <c r="E699" s="185" t="s">
        <v>499</v>
      </c>
      <c r="F699" s="185" t="s">
        <v>499</v>
      </c>
      <c r="G699" s="187">
        <f t="shared" si="10"/>
        <v>0</v>
      </c>
      <c r="H699" s="188"/>
      <c r="I699" s="188"/>
      <c r="J699" s="188"/>
      <c r="K699" s="185"/>
      <c r="L699" s="185"/>
      <c r="M699" s="185"/>
      <c r="N699" s="185"/>
      <c r="O699" s="193"/>
      <c r="P699" s="193"/>
      <c r="Q699" s="195"/>
      <c r="R699" s="191"/>
      <c r="S699" s="192"/>
    </row>
    <row r="700" spans="1:19" ht="20.5" thickTop="1" thickBot="1" x14ac:dyDescent="0.4">
      <c r="A700" s="184" t="s">
        <v>499</v>
      </c>
      <c r="B700" s="185" t="s">
        <v>499</v>
      </c>
      <c r="C700" s="185" t="s">
        <v>499</v>
      </c>
      <c r="D700" s="186" t="s">
        <v>499</v>
      </c>
      <c r="E700" s="185" t="s">
        <v>499</v>
      </c>
      <c r="F700" s="185" t="s">
        <v>499</v>
      </c>
      <c r="G700" s="187">
        <f t="shared" si="10"/>
        <v>0</v>
      </c>
      <c r="H700" s="188"/>
      <c r="I700" s="188"/>
      <c r="J700" s="188"/>
      <c r="K700" s="185"/>
      <c r="L700" s="185"/>
      <c r="M700" s="185"/>
      <c r="N700" s="185"/>
      <c r="O700" s="193"/>
      <c r="P700" s="193"/>
      <c r="Q700" s="195"/>
      <c r="R700" s="191"/>
      <c r="S700" s="192"/>
    </row>
    <row r="701" spans="1:19" ht="20.5" thickTop="1" thickBot="1" x14ac:dyDescent="0.4">
      <c r="A701" s="184" t="s">
        <v>499</v>
      </c>
      <c r="B701" s="185" t="s">
        <v>499</v>
      </c>
      <c r="C701" s="185" t="s">
        <v>499</v>
      </c>
      <c r="D701" s="186" t="s">
        <v>499</v>
      </c>
      <c r="E701" s="185" t="s">
        <v>499</v>
      </c>
      <c r="F701" s="185" t="s">
        <v>499</v>
      </c>
      <c r="G701" s="187">
        <f t="shared" si="10"/>
        <v>0</v>
      </c>
      <c r="H701" s="188"/>
      <c r="I701" s="188"/>
      <c r="J701" s="188"/>
      <c r="K701" s="185"/>
      <c r="L701" s="185"/>
      <c r="M701" s="185"/>
      <c r="N701" s="185"/>
      <c r="O701" s="193"/>
      <c r="P701" s="193"/>
      <c r="Q701" s="195"/>
      <c r="R701" s="191"/>
      <c r="S701" s="192"/>
    </row>
    <row r="702" spans="1:19" ht="20.5" thickTop="1" thickBot="1" x14ac:dyDescent="0.4">
      <c r="A702" s="184" t="s">
        <v>499</v>
      </c>
      <c r="B702" s="185" t="s">
        <v>499</v>
      </c>
      <c r="C702" s="185" t="s">
        <v>499</v>
      </c>
      <c r="D702" s="186" t="s">
        <v>499</v>
      </c>
      <c r="E702" s="185" t="s">
        <v>499</v>
      </c>
      <c r="F702" s="185" t="s">
        <v>499</v>
      </c>
      <c r="G702" s="187">
        <f t="shared" si="10"/>
        <v>0</v>
      </c>
      <c r="H702" s="188"/>
      <c r="I702" s="188"/>
      <c r="J702" s="188"/>
      <c r="K702" s="185"/>
      <c r="L702" s="185"/>
      <c r="M702" s="185"/>
      <c r="N702" s="185"/>
      <c r="O702" s="193"/>
      <c r="P702" s="193"/>
      <c r="Q702" s="195"/>
      <c r="R702" s="191"/>
      <c r="S702" s="192"/>
    </row>
    <row r="703" spans="1:19" ht="20.5" thickTop="1" thickBot="1" x14ac:dyDescent="0.4">
      <c r="A703" s="184" t="s">
        <v>499</v>
      </c>
      <c r="B703" s="185" t="s">
        <v>499</v>
      </c>
      <c r="C703" s="185" t="s">
        <v>499</v>
      </c>
      <c r="D703" s="186" t="s">
        <v>499</v>
      </c>
      <c r="E703" s="185" t="s">
        <v>499</v>
      </c>
      <c r="F703" s="185" t="s">
        <v>499</v>
      </c>
      <c r="G703" s="187">
        <f t="shared" si="10"/>
        <v>0</v>
      </c>
      <c r="H703" s="188"/>
      <c r="I703" s="188"/>
      <c r="J703" s="188"/>
      <c r="K703" s="185"/>
      <c r="L703" s="185"/>
      <c r="M703" s="185"/>
      <c r="N703" s="185"/>
      <c r="O703" s="193"/>
      <c r="P703" s="193"/>
      <c r="Q703" s="195"/>
      <c r="R703" s="191"/>
      <c r="S703" s="192"/>
    </row>
    <row r="704" spans="1:19" ht="20.5" thickTop="1" thickBot="1" x14ac:dyDescent="0.4">
      <c r="A704" s="184" t="s">
        <v>499</v>
      </c>
      <c r="B704" s="185" t="s">
        <v>499</v>
      </c>
      <c r="C704" s="185" t="s">
        <v>499</v>
      </c>
      <c r="D704" s="186" t="s">
        <v>499</v>
      </c>
      <c r="E704" s="185" t="s">
        <v>499</v>
      </c>
      <c r="F704" s="185" t="s">
        <v>499</v>
      </c>
      <c r="G704" s="187">
        <f t="shared" si="10"/>
        <v>0</v>
      </c>
      <c r="H704" s="188"/>
      <c r="I704" s="188"/>
      <c r="J704" s="188"/>
      <c r="K704" s="185"/>
      <c r="L704" s="185"/>
      <c r="M704" s="185"/>
      <c r="N704" s="185"/>
      <c r="O704" s="193"/>
      <c r="P704" s="193"/>
      <c r="Q704" s="195"/>
      <c r="R704" s="191"/>
      <c r="S704" s="192"/>
    </row>
    <row r="705" spans="1:19" ht="20.5" thickTop="1" thickBot="1" x14ac:dyDescent="0.4">
      <c r="A705" s="184" t="s">
        <v>499</v>
      </c>
      <c r="B705" s="185" t="s">
        <v>499</v>
      </c>
      <c r="C705" s="185" t="s">
        <v>499</v>
      </c>
      <c r="D705" s="186" t="s">
        <v>499</v>
      </c>
      <c r="E705" s="185" t="s">
        <v>499</v>
      </c>
      <c r="F705" s="185" t="s">
        <v>499</v>
      </c>
      <c r="G705" s="187">
        <f t="shared" si="10"/>
        <v>0</v>
      </c>
      <c r="H705" s="188"/>
      <c r="I705" s="188"/>
      <c r="J705" s="188"/>
      <c r="K705" s="185"/>
      <c r="L705" s="185"/>
      <c r="M705" s="185"/>
      <c r="N705" s="185"/>
      <c r="O705" s="193"/>
      <c r="P705" s="193"/>
      <c r="Q705" s="195"/>
      <c r="R705" s="191"/>
      <c r="S705" s="192"/>
    </row>
    <row r="706" spans="1:19" ht="20.5" thickTop="1" thickBot="1" x14ac:dyDescent="0.4">
      <c r="A706" s="184" t="s">
        <v>499</v>
      </c>
      <c r="B706" s="185" t="s">
        <v>499</v>
      </c>
      <c r="C706" s="185" t="s">
        <v>499</v>
      </c>
      <c r="D706" s="186" t="s">
        <v>499</v>
      </c>
      <c r="E706" s="185" t="s">
        <v>499</v>
      </c>
      <c r="F706" s="185" t="s">
        <v>499</v>
      </c>
      <c r="G706" s="187">
        <f t="shared" si="10"/>
        <v>0</v>
      </c>
      <c r="H706" s="188"/>
      <c r="I706" s="188"/>
      <c r="J706" s="188"/>
      <c r="K706" s="185"/>
      <c r="L706" s="185"/>
      <c r="M706" s="185"/>
      <c r="N706" s="185"/>
      <c r="O706" s="193"/>
      <c r="P706" s="193"/>
      <c r="Q706" s="195"/>
      <c r="R706" s="191"/>
      <c r="S706" s="192"/>
    </row>
    <row r="707" spans="1:19" ht="20.5" thickTop="1" thickBot="1" x14ac:dyDescent="0.4">
      <c r="A707" s="184" t="s">
        <v>499</v>
      </c>
      <c r="B707" s="185" t="s">
        <v>499</v>
      </c>
      <c r="C707" s="185" t="s">
        <v>499</v>
      </c>
      <c r="D707" s="186" t="s">
        <v>499</v>
      </c>
      <c r="E707" s="185" t="s">
        <v>499</v>
      </c>
      <c r="F707" s="185" t="s">
        <v>499</v>
      </c>
      <c r="G707" s="187">
        <f t="shared" si="10"/>
        <v>0</v>
      </c>
      <c r="H707" s="188"/>
      <c r="I707" s="188"/>
      <c r="J707" s="188"/>
      <c r="K707" s="185"/>
      <c r="L707" s="185"/>
      <c r="M707" s="185"/>
      <c r="N707" s="185"/>
      <c r="O707" s="193"/>
      <c r="P707" s="193"/>
      <c r="Q707" s="195"/>
      <c r="R707" s="191"/>
      <c r="S707" s="192"/>
    </row>
    <row r="708" spans="1:19" ht="20.5" thickTop="1" thickBot="1" x14ac:dyDescent="0.4">
      <c r="A708" s="184" t="s">
        <v>499</v>
      </c>
      <c r="B708" s="185" t="s">
        <v>499</v>
      </c>
      <c r="C708" s="185" t="s">
        <v>499</v>
      </c>
      <c r="D708" s="186" t="s">
        <v>499</v>
      </c>
      <c r="E708" s="185" t="s">
        <v>499</v>
      </c>
      <c r="F708" s="185" t="s">
        <v>499</v>
      </c>
      <c r="G708" s="187">
        <f t="shared" si="10"/>
        <v>0</v>
      </c>
      <c r="H708" s="188"/>
      <c r="I708" s="188"/>
      <c r="J708" s="188"/>
      <c r="K708" s="185"/>
      <c r="L708" s="185"/>
      <c r="M708" s="185"/>
      <c r="N708" s="185"/>
      <c r="O708" s="193"/>
      <c r="P708" s="193"/>
      <c r="Q708" s="195"/>
      <c r="R708" s="191"/>
      <c r="S708" s="192"/>
    </row>
    <row r="709" spans="1:19" ht="20.5" thickTop="1" thickBot="1" x14ac:dyDescent="0.4">
      <c r="A709" s="184" t="s">
        <v>499</v>
      </c>
      <c r="B709" s="185" t="s">
        <v>499</v>
      </c>
      <c r="C709" s="185" t="s">
        <v>499</v>
      </c>
      <c r="D709" s="186" t="s">
        <v>499</v>
      </c>
      <c r="E709" s="185" t="s">
        <v>499</v>
      </c>
      <c r="F709" s="185" t="s">
        <v>499</v>
      </c>
      <c r="G709" s="187">
        <f t="shared" ref="G709:G772" si="11">SUM(H709:J709)</f>
        <v>0</v>
      </c>
      <c r="H709" s="188"/>
      <c r="I709" s="188"/>
      <c r="J709" s="188"/>
      <c r="K709" s="185"/>
      <c r="L709" s="185"/>
      <c r="M709" s="185"/>
      <c r="N709" s="185"/>
      <c r="O709" s="193"/>
      <c r="P709" s="193"/>
      <c r="Q709" s="195"/>
      <c r="R709" s="191"/>
      <c r="S709" s="192"/>
    </row>
    <row r="710" spans="1:19" ht="20.5" thickTop="1" thickBot="1" x14ac:dyDescent="0.4">
      <c r="A710" s="184" t="s">
        <v>499</v>
      </c>
      <c r="B710" s="185" t="s">
        <v>499</v>
      </c>
      <c r="C710" s="185" t="s">
        <v>499</v>
      </c>
      <c r="D710" s="186" t="s">
        <v>499</v>
      </c>
      <c r="E710" s="185" t="s">
        <v>499</v>
      </c>
      <c r="F710" s="185" t="s">
        <v>499</v>
      </c>
      <c r="G710" s="187">
        <f t="shared" si="11"/>
        <v>0</v>
      </c>
      <c r="H710" s="188"/>
      <c r="I710" s="188"/>
      <c r="J710" s="188"/>
      <c r="K710" s="185"/>
      <c r="L710" s="185"/>
      <c r="M710" s="185"/>
      <c r="N710" s="185"/>
      <c r="O710" s="193"/>
      <c r="P710" s="193"/>
      <c r="Q710" s="195"/>
      <c r="R710" s="191"/>
      <c r="S710" s="192"/>
    </row>
    <row r="711" spans="1:19" ht="20.5" thickTop="1" thickBot="1" x14ac:dyDescent="0.4">
      <c r="A711" s="184" t="s">
        <v>499</v>
      </c>
      <c r="B711" s="185" t="s">
        <v>499</v>
      </c>
      <c r="C711" s="185" t="s">
        <v>499</v>
      </c>
      <c r="D711" s="186" t="s">
        <v>499</v>
      </c>
      <c r="E711" s="185" t="s">
        <v>499</v>
      </c>
      <c r="F711" s="185" t="s">
        <v>499</v>
      </c>
      <c r="G711" s="187">
        <f t="shared" si="11"/>
        <v>0</v>
      </c>
      <c r="H711" s="188"/>
      <c r="I711" s="188"/>
      <c r="J711" s="188"/>
      <c r="K711" s="185"/>
      <c r="L711" s="185"/>
      <c r="M711" s="185"/>
      <c r="N711" s="185"/>
      <c r="O711" s="193"/>
      <c r="P711" s="193"/>
      <c r="Q711" s="195"/>
      <c r="R711" s="191"/>
      <c r="S711" s="192"/>
    </row>
    <row r="712" spans="1:19" ht="20.5" thickTop="1" thickBot="1" x14ac:dyDescent="0.4">
      <c r="A712" s="184" t="s">
        <v>499</v>
      </c>
      <c r="B712" s="185" t="s">
        <v>499</v>
      </c>
      <c r="C712" s="185" t="s">
        <v>499</v>
      </c>
      <c r="D712" s="186" t="s">
        <v>499</v>
      </c>
      <c r="E712" s="185" t="s">
        <v>499</v>
      </c>
      <c r="F712" s="185" t="s">
        <v>499</v>
      </c>
      <c r="G712" s="187">
        <f t="shared" si="11"/>
        <v>0</v>
      </c>
      <c r="H712" s="188"/>
      <c r="I712" s="188"/>
      <c r="J712" s="188"/>
      <c r="K712" s="185"/>
      <c r="L712" s="185"/>
      <c r="M712" s="185"/>
      <c r="N712" s="185"/>
      <c r="O712" s="193"/>
      <c r="P712" s="193"/>
      <c r="Q712" s="195"/>
      <c r="R712" s="191"/>
      <c r="S712" s="192"/>
    </row>
    <row r="713" spans="1:19" ht="20.5" thickTop="1" thickBot="1" x14ac:dyDescent="0.4">
      <c r="A713" s="184" t="s">
        <v>499</v>
      </c>
      <c r="B713" s="185" t="s">
        <v>499</v>
      </c>
      <c r="C713" s="185" t="s">
        <v>499</v>
      </c>
      <c r="D713" s="186" t="s">
        <v>499</v>
      </c>
      <c r="E713" s="185" t="s">
        <v>499</v>
      </c>
      <c r="F713" s="185" t="s">
        <v>499</v>
      </c>
      <c r="G713" s="187">
        <f t="shared" si="11"/>
        <v>0</v>
      </c>
      <c r="H713" s="188"/>
      <c r="I713" s="188"/>
      <c r="J713" s="188"/>
      <c r="K713" s="185"/>
      <c r="L713" s="185"/>
      <c r="M713" s="185"/>
      <c r="N713" s="185"/>
      <c r="O713" s="193"/>
      <c r="P713" s="193"/>
      <c r="Q713" s="195"/>
      <c r="R713" s="191"/>
      <c r="S713" s="192"/>
    </row>
    <row r="714" spans="1:19" ht="20.5" thickTop="1" thickBot="1" x14ac:dyDescent="0.4">
      <c r="A714" s="184" t="s">
        <v>499</v>
      </c>
      <c r="B714" s="185" t="s">
        <v>499</v>
      </c>
      <c r="C714" s="185" t="s">
        <v>499</v>
      </c>
      <c r="D714" s="186" t="s">
        <v>499</v>
      </c>
      <c r="E714" s="185" t="s">
        <v>499</v>
      </c>
      <c r="F714" s="185" t="s">
        <v>499</v>
      </c>
      <c r="G714" s="187">
        <f t="shared" si="11"/>
        <v>0</v>
      </c>
      <c r="H714" s="188"/>
      <c r="I714" s="188"/>
      <c r="J714" s="188"/>
      <c r="K714" s="185"/>
      <c r="L714" s="185"/>
      <c r="M714" s="185"/>
      <c r="N714" s="185"/>
      <c r="O714" s="193"/>
      <c r="P714" s="193"/>
      <c r="Q714" s="195"/>
      <c r="R714" s="191"/>
      <c r="S714" s="192"/>
    </row>
    <row r="715" spans="1:19" ht="20.5" thickTop="1" thickBot="1" x14ac:dyDescent="0.4">
      <c r="A715" s="184" t="s">
        <v>499</v>
      </c>
      <c r="B715" s="185" t="s">
        <v>499</v>
      </c>
      <c r="C715" s="185" t="s">
        <v>499</v>
      </c>
      <c r="D715" s="186" t="s">
        <v>499</v>
      </c>
      <c r="E715" s="185" t="s">
        <v>499</v>
      </c>
      <c r="F715" s="185" t="s">
        <v>499</v>
      </c>
      <c r="G715" s="187">
        <f t="shared" si="11"/>
        <v>0</v>
      </c>
      <c r="H715" s="188"/>
      <c r="I715" s="188"/>
      <c r="J715" s="188"/>
      <c r="K715" s="185"/>
      <c r="L715" s="185"/>
      <c r="M715" s="185"/>
      <c r="N715" s="185"/>
      <c r="O715" s="193"/>
      <c r="P715" s="193"/>
      <c r="Q715" s="195"/>
      <c r="R715" s="191"/>
      <c r="S715" s="192"/>
    </row>
    <row r="716" spans="1:19" ht="20.5" thickTop="1" thickBot="1" x14ac:dyDescent="0.4">
      <c r="A716" s="184" t="s">
        <v>499</v>
      </c>
      <c r="B716" s="185" t="s">
        <v>499</v>
      </c>
      <c r="C716" s="185" t="s">
        <v>499</v>
      </c>
      <c r="D716" s="186" t="s">
        <v>499</v>
      </c>
      <c r="E716" s="185" t="s">
        <v>499</v>
      </c>
      <c r="F716" s="185" t="s">
        <v>499</v>
      </c>
      <c r="G716" s="187">
        <f t="shared" si="11"/>
        <v>0</v>
      </c>
      <c r="H716" s="188"/>
      <c r="I716" s="188"/>
      <c r="J716" s="188"/>
      <c r="K716" s="185"/>
      <c r="L716" s="185"/>
      <c r="M716" s="185"/>
      <c r="N716" s="185"/>
      <c r="O716" s="193"/>
      <c r="P716" s="193"/>
      <c r="Q716" s="195"/>
      <c r="R716" s="191"/>
      <c r="S716" s="192"/>
    </row>
    <row r="717" spans="1:19" ht="20.5" thickTop="1" thickBot="1" x14ac:dyDescent="0.4">
      <c r="A717" s="184" t="s">
        <v>499</v>
      </c>
      <c r="B717" s="185" t="s">
        <v>499</v>
      </c>
      <c r="C717" s="185" t="s">
        <v>499</v>
      </c>
      <c r="D717" s="186" t="s">
        <v>499</v>
      </c>
      <c r="E717" s="185" t="s">
        <v>499</v>
      </c>
      <c r="F717" s="185" t="s">
        <v>499</v>
      </c>
      <c r="G717" s="187">
        <f t="shared" si="11"/>
        <v>0</v>
      </c>
      <c r="H717" s="188"/>
      <c r="I717" s="188"/>
      <c r="J717" s="188"/>
      <c r="K717" s="185"/>
      <c r="L717" s="185"/>
      <c r="M717" s="185"/>
      <c r="N717" s="185"/>
      <c r="O717" s="193"/>
      <c r="P717" s="193"/>
      <c r="Q717" s="195"/>
      <c r="R717" s="191"/>
      <c r="S717" s="192"/>
    </row>
    <row r="718" spans="1:19" ht="20.5" thickTop="1" thickBot="1" x14ac:dyDescent="0.4">
      <c r="A718" s="184" t="s">
        <v>499</v>
      </c>
      <c r="B718" s="185" t="s">
        <v>499</v>
      </c>
      <c r="C718" s="185" t="s">
        <v>499</v>
      </c>
      <c r="D718" s="186" t="s">
        <v>499</v>
      </c>
      <c r="E718" s="185" t="s">
        <v>499</v>
      </c>
      <c r="F718" s="185" t="s">
        <v>499</v>
      </c>
      <c r="G718" s="187">
        <f t="shared" si="11"/>
        <v>0</v>
      </c>
      <c r="H718" s="188"/>
      <c r="I718" s="188"/>
      <c r="J718" s="188"/>
      <c r="K718" s="185"/>
      <c r="L718" s="185"/>
      <c r="M718" s="185"/>
      <c r="N718" s="185"/>
      <c r="O718" s="193"/>
      <c r="P718" s="193"/>
      <c r="Q718" s="195"/>
      <c r="R718" s="191"/>
      <c r="S718" s="192"/>
    </row>
    <row r="719" spans="1:19" ht="20.5" thickTop="1" thickBot="1" x14ac:dyDescent="0.4">
      <c r="A719" s="184" t="s">
        <v>499</v>
      </c>
      <c r="B719" s="185" t="s">
        <v>499</v>
      </c>
      <c r="C719" s="185" t="s">
        <v>499</v>
      </c>
      <c r="D719" s="186" t="s">
        <v>499</v>
      </c>
      <c r="E719" s="185" t="s">
        <v>499</v>
      </c>
      <c r="F719" s="185" t="s">
        <v>499</v>
      </c>
      <c r="G719" s="187">
        <f t="shared" si="11"/>
        <v>0</v>
      </c>
      <c r="H719" s="188"/>
      <c r="I719" s="188"/>
      <c r="J719" s="188"/>
      <c r="K719" s="185"/>
      <c r="L719" s="185"/>
      <c r="M719" s="185"/>
      <c r="N719" s="185"/>
      <c r="O719" s="193"/>
      <c r="P719" s="193"/>
      <c r="Q719" s="195"/>
      <c r="R719" s="191"/>
      <c r="S719" s="192"/>
    </row>
    <row r="720" spans="1:19" ht="20.5" thickTop="1" thickBot="1" x14ac:dyDescent="0.4">
      <c r="A720" s="184" t="s">
        <v>499</v>
      </c>
      <c r="B720" s="185" t="s">
        <v>499</v>
      </c>
      <c r="C720" s="185" t="s">
        <v>499</v>
      </c>
      <c r="D720" s="186" t="s">
        <v>499</v>
      </c>
      <c r="E720" s="185" t="s">
        <v>499</v>
      </c>
      <c r="F720" s="185" t="s">
        <v>499</v>
      </c>
      <c r="G720" s="187">
        <f t="shared" si="11"/>
        <v>0</v>
      </c>
      <c r="H720" s="188"/>
      <c r="I720" s="188"/>
      <c r="J720" s="188"/>
      <c r="K720" s="185"/>
      <c r="L720" s="185"/>
      <c r="M720" s="185"/>
      <c r="N720" s="185"/>
      <c r="O720" s="193"/>
      <c r="P720" s="193"/>
      <c r="Q720" s="195"/>
      <c r="R720" s="191"/>
      <c r="S720" s="192"/>
    </row>
    <row r="721" spans="1:19" ht="20.5" thickTop="1" thickBot="1" x14ac:dyDescent="0.4">
      <c r="A721" s="184" t="s">
        <v>499</v>
      </c>
      <c r="B721" s="185" t="s">
        <v>499</v>
      </c>
      <c r="C721" s="185" t="s">
        <v>499</v>
      </c>
      <c r="D721" s="186" t="s">
        <v>499</v>
      </c>
      <c r="E721" s="185" t="s">
        <v>499</v>
      </c>
      <c r="F721" s="185" t="s">
        <v>499</v>
      </c>
      <c r="G721" s="187">
        <f t="shared" si="11"/>
        <v>0</v>
      </c>
      <c r="H721" s="188"/>
      <c r="I721" s="188"/>
      <c r="J721" s="188"/>
      <c r="K721" s="185"/>
      <c r="L721" s="185"/>
      <c r="M721" s="185"/>
      <c r="N721" s="185"/>
      <c r="O721" s="193"/>
      <c r="P721" s="193"/>
      <c r="Q721" s="195"/>
      <c r="R721" s="191"/>
      <c r="S721" s="192"/>
    </row>
    <row r="722" spans="1:19" ht="20.5" thickTop="1" thickBot="1" x14ac:dyDescent="0.4">
      <c r="A722" s="184" t="s">
        <v>499</v>
      </c>
      <c r="B722" s="185" t="s">
        <v>499</v>
      </c>
      <c r="C722" s="185" t="s">
        <v>499</v>
      </c>
      <c r="D722" s="186" t="s">
        <v>499</v>
      </c>
      <c r="E722" s="185" t="s">
        <v>499</v>
      </c>
      <c r="F722" s="185" t="s">
        <v>499</v>
      </c>
      <c r="G722" s="187">
        <f t="shared" si="11"/>
        <v>0</v>
      </c>
      <c r="H722" s="188"/>
      <c r="I722" s="188"/>
      <c r="J722" s="188"/>
      <c r="K722" s="185"/>
      <c r="L722" s="185"/>
      <c r="M722" s="185"/>
      <c r="N722" s="185"/>
      <c r="O722" s="193"/>
      <c r="P722" s="193"/>
      <c r="Q722" s="195"/>
      <c r="R722" s="191"/>
      <c r="S722" s="192"/>
    </row>
    <row r="723" spans="1:19" ht="20.5" thickTop="1" thickBot="1" x14ac:dyDescent="0.4">
      <c r="A723" s="184" t="s">
        <v>499</v>
      </c>
      <c r="B723" s="185" t="s">
        <v>499</v>
      </c>
      <c r="C723" s="185" t="s">
        <v>499</v>
      </c>
      <c r="D723" s="186" t="s">
        <v>499</v>
      </c>
      <c r="E723" s="185" t="s">
        <v>499</v>
      </c>
      <c r="F723" s="185" t="s">
        <v>499</v>
      </c>
      <c r="G723" s="187">
        <f t="shared" si="11"/>
        <v>0</v>
      </c>
      <c r="H723" s="188"/>
      <c r="I723" s="188"/>
      <c r="J723" s="188"/>
      <c r="K723" s="185"/>
      <c r="L723" s="185"/>
      <c r="M723" s="185"/>
      <c r="N723" s="185"/>
      <c r="O723" s="193"/>
      <c r="P723" s="193"/>
      <c r="Q723" s="195"/>
      <c r="R723" s="191"/>
      <c r="S723" s="192"/>
    </row>
    <row r="724" spans="1:19" ht="20.5" thickTop="1" thickBot="1" x14ac:dyDescent="0.4">
      <c r="A724" s="184" t="s">
        <v>499</v>
      </c>
      <c r="B724" s="185" t="s">
        <v>499</v>
      </c>
      <c r="C724" s="185" t="s">
        <v>499</v>
      </c>
      <c r="D724" s="186" t="s">
        <v>499</v>
      </c>
      <c r="E724" s="185" t="s">
        <v>499</v>
      </c>
      <c r="F724" s="185" t="s">
        <v>499</v>
      </c>
      <c r="G724" s="187">
        <f t="shared" si="11"/>
        <v>0</v>
      </c>
      <c r="H724" s="188"/>
      <c r="I724" s="188"/>
      <c r="J724" s="188"/>
      <c r="K724" s="185"/>
      <c r="L724" s="185"/>
      <c r="M724" s="185"/>
      <c r="N724" s="185"/>
      <c r="O724" s="193"/>
      <c r="P724" s="193"/>
      <c r="Q724" s="195"/>
      <c r="R724" s="191"/>
      <c r="S724" s="192"/>
    </row>
    <row r="725" spans="1:19" ht="20.5" thickTop="1" thickBot="1" x14ac:dyDescent="0.4">
      <c r="A725" s="184" t="s">
        <v>499</v>
      </c>
      <c r="B725" s="185" t="s">
        <v>499</v>
      </c>
      <c r="C725" s="185" t="s">
        <v>499</v>
      </c>
      <c r="D725" s="186" t="s">
        <v>499</v>
      </c>
      <c r="E725" s="185" t="s">
        <v>499</v>
      </c>
      <c r="F725" s="185" t="s">
        <v>499</v>
      </c>
      <c r="G725" s="187">
        <f t="shared" si="11"/>
        <v>0</v>
      </c>
      <c r="H725" s="188"/>
      <c r="I725" s="188"/>
      <c r="J725" s="188"/>
      <c r="K725" s="185"/>
      <c r="L725" s="185"/>
      <c r="M725" s="185"/>
      <c r="N725" s="185"/>
      <c r="O725" s="193"/>
      <c r="P725" s="193"/>
      <c r="Q725" s="195"/>
      <c r="R725" s="191"/>
      <c r="S725" s="192"/>
    </row>
    <row r="726" spans="1:19" ht="20.5" thickTop="1" thickBot="1" x14ac:dyDescent="0.4">
      <c r="A726" s="184" t="s">
        <v>499</v>
      </c>
      <c r="B726" s="185" t="s">
        <v>499</v>
      </c>
      <c r="C726" s="185" t="s">
        <v>499</v>
      </c>
      <c r="D726" s="186" t="s">
        <v>499</v>
      </c>
      <c r="E726" s="185" t="s">
        <v>499</v>
      </c>
      <c r="F726" s="185" t="s">
        <v>499</v>
      </c>
      <c r="G726" s="187">
        <f t="shared" si="11"/>
        <v>0</v>
      </c>
      <c r="H726" s="188"/>
      <c r="I726" s="188"/>
      <c r="J726" s="188"/>
      <c r="K726" s="185"/>
      <c r="L726" s="185"/>
      <c r="M726" s="185"/>
      <c r="N726" s="185"/>
      <c r="O726" s="193"/>
      <c r="P726" s="193"/>
      <c r="Q726" s="195"/>
      <c r="R726" s="191"/>
      <c r="S726" s="192"/>
    </row>
    <row r="727" spans="1:19" ht="20.5" thickTop="1" thickBot="1" x14ac:dyDescent="0.4">
      <c r="A727" s="184" t="s">
        <v>499</v>
      </c>
      <c r="B727" s="185" t="s">
        <v>499</v>
      </c>
      <c r="C727" s="185" t="s">
        <v>499</v>
      </c>
      <c r="D727" s="186" t="s">
        <v>499</v>
      </c>
      <c r="E727" s="185" t="s">
        <v>499</v>
      </c>
      <c r="F727" s="185" t="s">
        <v>499</v>
      </c>
      <c r="G727" s="187">
        <f t="shared" si="11"/>
        <v>0</v>
      </c>
      <c r="H727" s="188"/>
      <c r="I727" s="188"/>
      <c r="J727" s="188"/>
      <c r="K727" s="185"/>
      <c r="L727" s="185"/>
      <c r="M727" s="185"/>
      <c r="N727" s="185"/>
      <c r="O727" s="193"/>
      <c r="P727" s="193"/>
      <c r="Q727" s="195"/>
      <c r="R727" s="191"/>
      <c r="S727" s="192"/>
    </row>
    <row r="728" spans="1:19" ht="20.5" thickTop="1" thickBot="1" x14ac:dyDescent="0.4">
      <c r="A728" s="184" t="s">
        <v>499</v>
      </c>
      <c r="B728" s="185" t="s">
        <v>499</v>
      </c>
      <c r="C728" s="185" t="s">
        <v>499</v>
      </c>
      <c r="D728" s="186" t="s">
        <v>499</v>
      </c>
      <c r="E728" s="185" t="s">
        <v>499</v>
      </c>
      <c r="F728" s="185" t="s">
        <v>499</v>
      </c>
      <c r="G728" s="187">
        <f t="shared" si="11"/>
        <v>0</v>
      </c>
      <c r="H728" s="188"/>
      <c r="I728" s="188"/>
      <c r="J728" s="188"/>
      <c r="K728" s="185"/>
      <c r="L728" s="185"/>
      <c r="M728" s="185"/>
      <c r="N728" s="185"/>
      <c r="O728" s="193"/>
      <c r="P728" s="193"/>
      <c r="Q728" s="195"/>
      <c r="R728" s="191"/>
      <c r="S728" s="192"/>
    </row>
    <row r="729" spans="1:19" ht="20.5" thickTop="1" thickBot="1" x14ac:dyDescent="0.4">
      <c r="A729" s="184" t="s">
        <v>499</v>
      </c>
      <c r="B729" s="185" t="s">
        <v>499</v>
      </c>
      <c r="C729" s="185" t="s">
        <v>499</v>
      </c>
      <c r="D729" s="186" t="s">
        <v>499</v>
      </c>
      <c r="E729" s="185" t="s">
        <v>499</v>
      </c>
      <c r="F729" s="185" t="s">
        <v>499</v>
      </c>
      <c r="G729" s="187">
        <f t="shared" si="11"/>
        <v>0</v>
      </c>
      <c r="H729" s="188"/>
      <c r="I729" s="188"/>
      <c r="J729" s="188"/>
      <c r="K729" s="185"/>
      <c r="L729" s="185"/>
      <c r="M729" s="185"/>
      <c r="N729" s="185"/>
      <c r="O729" s="193"/>
      <c r="P729" s="193"/>
      <c r="Q729" s="195"/>
      <c r="R729" s="191"/>
      <c r="S729" s="192"/>
    </row>
    <row r="730" spans="1:19" ht="20.5" thickTop="1" thickBot="1" x14ac:dyDescent="0.4">
      <c r="A730" s="184" t="s">
        <v>499</v>
      </c>
      <c r="B730" s="185" t="s">
        <v>499</v>
      </c>
      <c r="C730" s="185" t="s">
        <v>499</v>
      </c>
      <c r="D730" s="186" t="s">
        <v>499</v>
      </c>
      <c r="E730" s="185" t="s">
        <v>499</v>
      </c>
      <c r="F730" s="185" t="s">
        <v>499</v>
      </c>
      <c r="G730" s="187">
        <f t="shared" si="11"/>
        <v>0</v>
      </c>
      <c r="H730" s="188"/>
      <c r="I730" s="188"/>
      <c r="J730" s="188"/>
      <c r="K730" s="185"/>
      <c r="L730" s="185"/>
      <c r="M730" s="185"/>
      <c r="N730" s="185"/>
      <c r="O730" s="193"/>
      <c r="P730" s="193"/>
      <c r="Q730" s="195"/>
      <c r="R730" s="191"/>
      <c r="S730" s="192"/>
    </row>
    <row r="731" spans="1:19" ht="20.5" thickTop="1" thickBot="1" x14ac:dyDescent="0.4">
      <c r="A731" s="184" t="s">
        <v>499</v>
      </c>
      <c r="B731" s="185" t="s">
        <v>499</v>
      </c>
      <c r="C731" s="185" t="s">
        <v>499</v>
      </c>
      <c r="D731" s="186" t="s">
        <v>499</v>
      </c>
      <c r="E731" s="185" t="s">
        <v>499</v>
      </c>
      <c r="F731" s="185" t="s">
        <v>499</v>
      </c>
      <c r="G731" s="187">
        <f t="shared" si="11"/>
        <v>0</v>
      </c>
      <c r="H731" s="188"/>
      <c r="I731" s="188"/>
      <c r="J731" s="188"/>
      <c r="K731" s="185"/>
      <c r="L731" s="185"/>
      <c r="M731" s="185"/>
      <c r="N731" s="185"/>
      <c r="O731" s="193"/>
      <c r="P731" s="193"/>
      <c r="Q731" s="195"/>
      <c r="R731" s="191"/>
      <c r="S731" s="192"/>
    </row>
    <row r="732" spans="1:19" ht="20.5" thickTop="1" thickBot="1" x14ac:dyDescent="0.4">
      <c r="A732" s="184" t="s">
        <v>499</v>
      </c>
      <c r="B732" s="185" t="s">
        <v>499</v>
      </c>
      <c r="C732" s="185" t="s">
        <v>499</v>
      </c>
      <c r="D732" s="186" t="s">
        <v>499</v>
      </c>
      <c r="E732" s="185" t="s">
        <v>499</v>
      </c>
      <c r="F732" s="185" t="s">
        <v>499</v>
      </c>
      <c r="G732" s="187">
        <f t="shared" si="11"/>
        <v>0</v>
      </c>
      <c r="H732" s="188"/>
      <c r="I732" s="188"/>
      <c r="J732" s="188"/>
      <c r="K732" s="185"/>
      <c r="L732" s="185"/>
      <c r="M732" s="185"/>
      <c r="N732" s="185"/>
      <c r="O732" s="193"/>
      <c r="P732" s="193"/>
      <c r="Q732" s="195"/>
      <c r="R732" s="191"/>
      <c r="S732" s="192"/>
    </row>
    <row r="733" spans="1:19" ht="20.5" thickTop="1" thickBot="1" x14ac:dyDescent="0.4">
      <c r="A733" s="184" t="s">
        <v>499</v>
      </c>
      <c r="B733" s="185" t="s">
        <v>499</v>
      </c>
      <c r="C733" s="185" t="s">
        <v>499</v>
      </c>
      <c r="D733" s="186" t="s">
        <v>499</v>
      </c>
      <c r="E733" s="185" t="s">
        <v>499</v>
      </c>
      <c r="F733" s="185" t="s">
        <v>499</v>
      </c>
      <c r="G733" s="187">
        <f t="shared" si="11"/>
        <v>0</v>
      </c>
      <c r="H733" s="188"/>
      <c r="I733" s="188"/>
      <c r="J733" s="188"/>
      <c r="K733" s="185"/>
      <c r="L733" s="185"/>
      <c r="M733" s="185"/>
      <c r="N733" s="185"/>
      <c r="O733" s="193"/>
      <c r="P733" s="193"/>
      <c r="Q733" s="195"/>
      <c r="R733" s="191"/>
      <c r="S733" s="192"/>
    </row>
    <row r="734" spans="1:19" ht="20.5" thickTop="1" thickBot="1" x14ac:dyDescent="0.4">
      <c r="A734" s="184" t="s">
        <v>499</v>
      </c>
      <c r="B734" s="185" t="s">
        <v>499</v>
      </c>
      <c r="C734" s="185" t="s">
        <v>499</v>
      </c>
      <c r="D734" s="186" t="s">
        <v>499</v>
      </c>
      <c r="E734" s="185" t="s">
        <v>499</v>
      </c>
      <c r="F734" s="185" t="s">
        <v>499</v>
      </c>
      <c r="G734" s="187">
        <f t="shared" si="11"/>
        <v>0</v>
      </c>
      <c r="H734" s="188"/>
      <c r="I734" s="188"/>
      <c r="J734" s="188"/>
      <c r="K734" s="185"/>
      <c r="L734" s="185"/>
      <c r="M734" s="185"/>
      <c r="N734" s="185"/>
      <c r="O734" s="193"/>
      <c r="P734" s="193"/>
      <c r="Q734" s="195"/>
      <c r="R734" s="191"/>
      <c r="S734" s="192"/>
    </row>
    <row r="735" spans="1:19" ht="20.5" thickTop="1" thickBot="1" x14ac:dyDescent="0.4">
      <c r="A735" s="184" t="s">
        <v>499</v>
      </c>
      <c r="B735" s="185" t="s">
        <v>499</v>
      </c>
      <c r="C735" s="185" t="s">
        <v>499</v>
      </c>
      <c r="D735" s="186" t="s">
        <v>499</v>
      </c>
      <c r="E735" s="185" t="s">
        <v>499</v>
      </c>
      <c r="F735" s="185" t="s">
        <v>499</v>
      </c>
      <c r="G735" s="187">
        <f t="shared" si="11"/>
        <v>0</v>
      </c>
      <c r="H735" s="188"/>
      <c r="I735" s="188"/>
      <c r="J735" s="188"/>
      <c r="K735" s="185"/>
      <c r="L735" s="185"/>
      <c r="M735" s="185"/>
      <c r="N735" s="185"/>
      <c r="O735" s="193"/>
      <c r="P735" s="193"/>
      <c r="Q735" s="195"/>
      <c r="R735" s="191"/>
      <c r="S735" s="192"/>
    </row>
    <row r="736" spans="1:19" ht="20.5" thickTop="1" thickBot="1" x14ac:dyDescent="0.4">
      <c r="A736" s="184" t="s">
        <v>499</v>
      </c>
      <c r="B736" s="185" t="s">
        <v>499</v>
      </c>
      <c r="C736" s="185" t="s">
        <v>499</v>
      </c>
      <c r="D736" s="186" t="s">
        <v>499</v>
      </c>
      <c r="E736" s="185" t="s">
        <v>499</v>
      </c>
      <c r="F736" s="185" t="s">
        <v>499</v>
      </c>
      <c r="G736" s="187">
        <f t="shared" si="11"/>
        <v>0</v>
      </c>
      <c r="H736" s="188"/>
      <c r="I736" s="188"/>
      <c r="J736" s="188"/>
      <c r="K736" s="185"/>
      <c r="L736" s="185"/>
      <c r="M736" s="185"/>
      <c r="N736" s="185"/>
      <c r="O736" s="193"/>
      <c r="P736" s="193"/>
      <c r="Q736" s="195"/>
      <c r="R736" s="191"/>
      <c r="S736" s="192"/>
    </row>
    <row r="737" spans="1:19" ht="20.5" thickTop="1" thickBot="1" x14ac:dyDescent="0.4">
      <c r="A737" s="184" t="s">
        <v>499</v>
      </c>
      <c r="B737" s="185" t="s">
        <v>499</v>
      </c>
      <c r="C737" s="185" t="s">
        <v>499</v>
      </c>
      <c r="D737" s="186" t="s">
        <v>499</v>
      </c>
      <c r="E737" s="185" t="s">
        <v>499</v>
      </c>
      <c r="F737" s="185" t="s">
        <v>499</v>
      </c>
      <c r="G737" s="187">
        <f t="shared" si="11"/>
        <v>0</v>
      </c>
      <c r="H737" s="188"/>
      <c r="I737" s="188"/>
      <c r="J737" s="188"/>
      <c r="K737" s="185"/>
      <c r="L737" s="185"/>
      <c r="M737" s="185"/>
      <c r="N737" s="185"/>
      <c r="O737" s="193"/>
      <c r="P737" s="193"/>
      <c r="Q737" s="195"/>
      <c r="R737" s="191"/>
      <c r="S737" s="192"/>
    </row>
    <row r="738" spans="1:19" ht="20.5" thickTop="1" thickBot="1" x14ac:dyDescent="0.4">
      <c r="A738" s="184" t="s">
        <v>499</v>
      </c>
      <c r="B738" s="185" t="s">
        <v>499</v>
      </c>
      <c r="C738" s="185" t="s">
        <v>499</v>
      </c>
      <c r="D738" s="186" t="s">
        <v>499</v>
      </c>
      <c r="E738" s="185" t="s">
        <v>499</v>
      </c>
      <c r="F738" s="185" t="s">
        <v>499</v>
      </c>
      <c r="G738" s="187">
        <f t="shared" si="11"/>
        <v>0</v>
      </c>
      <c r="H738" s="188"/>
      <c r="I738" s="188"/>
      <c r="J738" s="188"/>
      <c r="K738" s="185"/>
      <c r="L738" s="185"/>
      <c r="M738" s="185"/>
      <c r="N738" s="185"/>
      <c r="O738" s="193"/>
      <c r="P738" s="193"/>
      <c r="Q738" s="195"/>
      <c r="R738" s="191"/>
      <c r="S738" s="192"/>
    </row>
    <row r="739" spans="1:19" ht="20.5" thickTop="1" thickBot="1" x14ac:dyDescent="0.4">
      <c r="A739" s="184" t="s">
        <v>499</v>
      </c>
      <c r="B739" s="185" t="s">
        <v>499</v>
      </c>
      <c r="C739" s="185" t="s">
        <v>499</v>
      </c>
      <c r="D739" s="186" t="s">
        <v>499</v>
      </c>
      <c r="E739" s="185" t="s">
        <v>499</v>
      </c>
      <c r="F739" s="185" t="s">
        <v>499</v>
      </c>
      <c r="G739" s="187">
        <f t="shared" si="11"/>
        <v>0</v>
      </c>
      <c r="H739" s="188"/>
      <c r="I739" s="188"/>
      <c r="J739" s="188"/>
      <c r="K739" s="185"/>
      <c r="L739" s="185"/>
      <c r="M739" s="185"/>
      <c r="N739" s="185"/>
      <c r="O739" s="193"/>
      <c r="P739" s="193"/>
      <c r="Q739" s="195"/>
      <c r="R739" s="191"/>
      <c r="S739" s="192"/>
    </row>
    <row r="740" spans="1:19" ht="20.5" thickTop="1" thickBot="1" x14ac:dyDescent="0.4">
      <c r="A740" s="184" t="s">
        <v>499</v>
      </c>
      <c r="B740" s="185" t="s">
        <v>499</v>
      </c>
      <c r="C740" s="185" t="s">
        <v>499</v>
      </c>
      <c r="D740" s="186" t="s">
        <v>499</v>
      </c>
      <c r="E740" s="185" t="s">
        <v>499</v>
      </c>
      <c r="F740" s="185" t="s">
        <v>499</v>
      </c>
      <c r="G740" s="187">
        <f t="shared" si="11"/>
        <v>0</v>
      </c>
      <c r="H740" s="188"/>
      <c r="I740" s="188"/>
      <c r="J740" s="188"/>
      <c r="K740" s="185"/>
      <c r="L740" s="185"/>
      <c r="M740" s="185"/>
      <c r="N740" s="185"/>
      <c r="O740" s="193"/>
      <c r="P740" s="193"/>
      <c r="Q740" s="195"/>
      <c r="R740" s="191"/>
      <c r="S740" s="192"/>
    </row>
    <row r="741" spans="1:19" ht="20.5" thickTop="1" thickBot="1" x14ac:dyDescent="0.4">
      <c r="A741" s="184" t="s">
        <v>499</v>
      </c>
      <c r="B741" s="185" t="s">
        <v>499</v>
      </c>
      <c r="C741" s="185" t="s">
        <v>499</v>
      </c>
      <c r="D741" s="186" t="s">
        <v>499</v>
      </c>
      <c r="E741" s="185" t="s">
        <v>499</v>
      </c>
      <c r="F741" s="185" t="s">
        <v>499</v>
      </c>
      <c r="G741" s="187">
        <f t="shared" si="11"/>
        <v>0</v>
      </c>
      <c r="H741" s="188"/>
      <c r="I741" s="188"/>
      <c r="J741" s="188"/>
      <c r="K741" s="185"/>
      <c r="L741" s="185"/>
      <c r="M741" s="185"/>
      <c r="N741" s="185"/>
      <c r="O741" s="193"/>
      <c r="P741" s="193"/>
      <c r="Q741" s="195"/>
      <c r="R741" s="191"/>
      <c r="S741" s="192"/>
    </row>
    <row r="742" spans="1:19" ht="20.5" thickTop="1" thickBot="1" x14ac:dyDescent="0.4">
      <c r="A742" s="184" t="s">
        <v>499</v>
      </c>
      <c r="B742" s="185" t="s">
        <v>499</v>
      </c>
      <c r="C742" s="185" t="s">
        <v>499</v>
      </c>
      <c r="D742" s="186" t="s">
        <v>499</v>
      </c>
      <c r="E742" s="185" t="s">
        <v>499</v>
      </c>
      <c r="F742" s="185" t="s">
        <v>499</v>
      </c>
      <c r="G742" s="187">
        <f t="shared" si="11"/>
        <v>0</v>
      </c>
      <c r="H742" s="188"/>
      <c r="I742" s="188"/>
      <c r="J742" s="188"/>
      <c r="K742" s="185"/>
      <c r="L742" s="185"/>
      <c r="M742" s="185"/>
      <c r="N742" s="185"/>
      <c r="O742" s="193"/>
      <c r="P742" s="193"/>
      <c r="Q742" s="195"/>
      <c r="R742" s="191"/>
      <c r="S742" s="192"/>
    </row>
    <row r="743" spans="1:19" ht="20.5" thickTop="1" thickBot="1" x14ac:dyDescent="0.4">
      <c r="A743" s="184" t="s">
        <v>499</v>
      </c>
      <c r="B743" s="185" t="s">
        <v>499</v>
      </c>
      <c r="C743" s="185" t="s">
        <v>499</v>
      </c>
      <c r="D743" s="186" t="s">
        <v>499</v>
      </c>
      <c r="E743" s="185" t="s">
        <v>499</v>
      </c>
      <c r="F743" s="185" t="s">
        <v>499</v>
      </c>
      <c r="G743" s="187">
        <f t="shared" si="11"/>
        <v>0</v>
      </c>
      <c r="H743" s="188"/>
      <c r="I743" s="188"/>
      <c r="J743" s="188"/>
      <c r="K743" s="185"/>
      <c r="L743" s="185"/>
      <c r="M743" s="185"/>
      <c r="N743" s="185"/>
      <c r="O743" s="193"/>
      <c r="P743" s="193"/>
      <c r="Q743" s="195"/>
      <c r="R743" s="191"/>
      <c r="S743" s="192"/>
    </row>
    <row r="744" spans="1:19" ht="20.5" thickTop="1" thickBot="1" x14ac:dyDescent="0.4">
      <c r="A744" s="184" t="s">
        <v>499</v>
      </c>
      <c r="B744" s="185" t="s">
        <v>499</v>
      </c>
      <c r="C744" s="185" t="s">
        <v>499</v>
      </c>
      <c r="D744" s="186" t="s">
        <v>499</v>
      </c>
      <c r="E744" s="185" t="s">
        <v>499</v>
      </c>
      <c r="F744" s="185" t="s">
        <v>499</v>
      </c>
      <c r="G744" s="187">
        <f t="shared" si="11"/>
        <v>0</v>
      </c>
      <c r="H744" s="188"/>
      <c r="I744" s="188"/>
      <c r="J744" s="188"/>
      <c r="K744" s="185"/>
      <c r="L744" s="185"/>
      <c r="M744" s="185"/>
      <c r="N744" s="185"/>
      <c r="O744" s="193"/>
      <c r="P744" s="193"/>
      <c r="Q744" s="195"/>
      <c r="R744" s="191"/>
      <c r="S744" s="192"/>
    </row>
    <row r="745" spans="1:19" ht="20.5" thickTop="1" thickBot="1" x14ac:dyDescent="0.4">
      <c r="A745" s="184" t="s">
        <v>499</v>
      </c>
      <c r="B745" s="185" t="s">
        <v>499</v>
      </c>
      <c r="C745" s="185" t="s">
        <v>499</v>
      </c>
      <c r="D745" s="186" t="s">
        <v>499</v>
      </c>
      <c r="E745" s="185" t="s">
        <v>499</v>
      </c>
      <c r="F745" s="185" t="s">
        <v>499</v>
      </c>
      <c r="G745" s="187">
        <f t="shared" si="11"/>
        <v>0</v>
      </c>
      <c r="H745" s="188"/>
      <c r="I745" s="188"/>
      <c r="J745" s="188"/>
      <c r="K745" s="185"/>
      <c r="L745" s="185"/>
      <c r="M745" s="185"/>
      <c r="N745" s="185"/>
      <c r="O745" s="193"/>
      <c r="P745" s="193"/>
      <c r="Q745" s="195"/>
      <c r="R745" s="191"/>
      <c r="S745" s="192"/>
    </row>
    <row r="746" spans="1:19" ht="20.5" thickTop="1" thickBot="1" x14ac:dyDescent="0.4">
      <c r="A746" s="184" t="s">
        <v>499</v>
      </c>
      <c r="B746" s="185" t="s">
        <v>499</v>
      </c>
      <c r="C746" s="185" t="s">
        <v>499</v>
      </c>
      <c r="D746" s="186" t="s">
        <v>499</v>
      </c>
      <c r="E746" s="185" t="s">
        <v>499</v>
      </c>
      <c r="F746" s="185" t="s">
        <v>499</v>
      </c>
      <c r="G746" s="187">
        <f t="shared" si="11"/>
        <v>0</v>
      </c>
      <c r="H746" s="188"/>
      <c r="I746" s="188"/>
      <c r="J746" s="188"/>
      <c r="K746" s="185"/>
      <c r="L746" s="185"/>
      <c r="M746" s="185"/>
      <c r="N746" s="185"/>
      <c r="O746" s="193"/>
      <c r="P746" s="193"/>
      <c r="Q746" s="195"/>
      <c r="R746" s="191"/>
      <c r="S746" s="192"/>
    </row>
    <row r="747" spans="1:19" ht="20.5" thickTop="1" thickBot="1" x14ac:dyDescent="0.4">
      <c r="A747" s="184" t="s">
        <v>499</v>
      </c>
      <c r="B747" s="185" t="s">
        <v>499</v>
      </c>
      <c r="C747" s="185" t="s">
        <v>499</v>
      </c>
      <c r="D747" s="186" t="s">
        <v>499</v>
      </c>
      <c r="E747" s="185" t="s">
        <v>499</v>
      </c>
      <c r="F747" s="185" t="s">
        <v>499</v>
      </c>
      <c r="G747" s="187">
        <f t="shared" si="11"/>
        <v>0</v>
      </c>
      <c r="H747" s="188"/>
      <c r="I747" s="188"/>
      <c r="J747" s="188"/>
      <c r="K747" s="185"/>
      <c r="L747" s="185"/>
      <c r="M747" s="185"/>
      <c r="N747" s="185"/>
      <c r="O747" s="193"/>
      <c r="P747" s="193"/>
      <c r="Q747" s="195"/>
      <c r="R747" s="191"/>
      <c r="S747" s="192"/>
    </row>
    <row r="748" spans="1:19" ht="20.5" thickTop="1" thickBot="1" x14ac:dyDescent="0.4">
      <c r="A748" s="184" t="s">
        <v>499</v>
      </c>
      <c r="B748" s="185" t="s">
        <v>499</v>
      </c>
      <c r="C748" s="185" t="s">
        <v>499</v>
      </c>
      <c r="D748" s="186" t="s">
        <v>499</v>
      </c>
      <c r="E748" s="185" t="s">
        <v>499</v>
      </c>
      <c r="F748" s="185" t="s">
        <v>499</v>
      </c>
      <c r="G748" s="187">
        <f t="shared" si="11"/>
        <v>0</v>
      </c>
      <c r="H748" s="188"/>
      <c r="I748" s="188"/>
      <c r="J748" s="188"/>
      <c r="K748" s="185"/>
      <c r="L748" s="185"/>
      <c r="M748" s="185"/>
      <c r="N748" s="185"/>
      <c r="O748" s="193"/>
      <c r="P748" s="193"/>
      <c r="Q748" s="195"/>
      <c r="R748" s="191"/>
      <c r="S748" s="192"/>
    </row>
    <row r="749" spans="1:19" ht="20.5" thickTop="1" thickBot="1" x14ac:dyDescent="0.4">
      <c r="A749" s="184" t="s">
        <v>499</v>
      </c>
      <c r="B749" s="185" t="s">
        <v>499</v>
      </c>
      <c r="C749" s="185" t="s">
        <v>499</v>
      </c>
      <c r="D749" s="186" t="s">
        <v>499</v>
      </c>
      <c r="E749" s="185" t="s">
        <v>499</v>
      </c>
      <c r="F749" s="185" t="s">
        <v>499</v>
      </c>
      <c r="G749" s="187">
        <f t="shared" si="11"/>
        <v>0</v>
      </c>
      <c r="H749" s="188"/>
      <c r="I749" s="188"/>
      <c r="J749" s="188"/>
      <c r="K749" s="185"/>
      <c r="L749" s="185"/>
      <c r="M749" s="185"/>
      <c r="N749" s="185"/>
      <c r="O749" s="193"/>
      <c r="P749" s="193"/>
      <c r="Q749" s="195"/>
      <c r="R749" s="191"/>
      <c r="S749" s="192"/>
    </row>
    <row r="750" spans="1:19" ht="20.5" thickTop="1" thickBot="1" x14ac:dyDescent="0.4">
      <c r="A750" s="184" t="s">
        <v>499</v>
      </c>
      <c r="B750" s="185" t="s">
        <v>499</v>
      </c>
      <c r="C750" s="185" t="s">
        <v>499</v>
      </c>
      <c r="D750" s="186" t="s">
        <v>499</v>
      </c>
      <c r="E750" s="185" t="s">
        <v>499</v>
      </c>
      <c r="F750" s="185" t="s">
        <v>499</v>
      </c>
      <c r="G750" s="187">
        <f t="shared" si="11"/>
        <v>0</v>
      </c>
      <c r="H750" s="188"/>
      <c r="I750" s="188"/>
      <c r="J750" s="188"/>
      <c r="K750" s="185"/>
      <c r="L750" s="185"/>
      <c r="M750" s="185"/>
      <c r="N750" s="185"/>
      <c r="O750" s="193"/>
      <c r="P750" s="193"/>
      <c r="Q750" s="195"/>
      <c r="R750" s="191"/>
      <c r="S750" s="192"/>
    </row>
    <row r="751" spans="1:19" ht="20.5" thickTop="1" thickBot="1" x14ac:dyDescent="0.4">
      <c r="A751" s="184" t="s">
        <v>499</v>
      </c>
      <c r="B751" s="185" t="s">
        <v>499</v>
      </c>
      <c r="C751" s="185" t="s">
        <v>499</v>
      </c>
      <c r="D751" s="186" t="s">
        <v>499</v>
      </c>
      <c r="E751" s="185" t="s">
        <v>499</v>
      </c>
      <c r="F751" s="185" t="s">
        <v>499</v>
      </c>
      <c r="G751" s="187">
        <f t="shared" si="11"/>
        <v>0</v>
      </c>
      <c r="H751" s="188"/>
      <c r="I751" s="188"/>
      <c r="J751" s="188"/>
      <c r="K751" s="185"/>
      <c r="L751" s="185"/>
      <c r="M751" s="185"/>
      <c r="N751" s="185"/>
      <c r="O751" s="193"/>
      <c r="P751" s="193"/>
      <c r="Q751" s="195"/>
      <c r="R751" s="191"/>
      <c r="S751" s="192"/>
    </row>
    <row r="752" spans="1:19" ht="20.5" thickTop="1" thickBot="1" x14ac:dyDescent="0.4">
      <c r="A752" s="184" t="s">
        <v>499</v>
      </c>
      <c r="B752" s="185" t="s">
        <v>499</v>
      </c>
      <c r="C752" s="185" t="s">
        <v>499</v>
      </c>
      <c r="D752" s="186" t="s">
        <v>499</v>
      </c>
      <c r="E752" s="185" t="s">
        <v>499</v>
      </c>
      <c r="F752" s="185" t="s">
        <v>499</v>
      </c>
      <c r="G752" s="187">
        <f t="shared" si="11"/>
        <v>0</v>
      </c>
      <c r="H752" s="188"/>
      <c r="I752" s="188"/>
      <c r="J752" s="188"/>
      <c r="K752" s="185"/>
      <c r="L752" s="185"/>
      <c r="M752" s="185"/>
      <c r="N752" s="185"/>
      <c r="O752" s="193"/>
      <c r="P752" s="193"/>
      <c r="Q752" s="195"/>
      <c r="R752" s="191"/>
      <c r="S752" s="192"/>
    </row>
    <row r="753" spans="1:19" ht="20.5" thickTop="1" thickBot="1" x14ac:dyDescent="0.4">
      <c r="A753" s="184" t="s">
        <v>499</v>
      </c>
      <c r="B753" s="185" t="s">
        <v>499</v>
      </c>
      <c r="C753" s="185" t="s">
        <v>499</v>
      </c>
      <c r="D753" s="186" t="s">
        <v>499</v>
      </c>
      <c r="E753" s="185" t="s">
        <v>499</v>
      </c>
      <c r="F753" s="185" t="s">
        <v>499</v>
      </c>
      <c r="G753" s="187">
        <f t="shared" si="11"/>
        <v>0</v>
      </c>
      <c r="H753" s="188"/>
      <c r="I753" s="188"/>
      <c r="J753" s="188"/>
      <c r="K753" s="185"/>
      <c r="L753" s="185"/>
      <c r="M753" s="185"/>
      <c r="N753" s="185"/>
      <c r="O753" s="193"/>
      <c r="P753" s="193"/>
      <c r="Q753" s="195"/>
      <c r="R753" s="191"/>
      <c r="S753" s="192"/>
    </row>
    <row r="754" spans="1:19" ht="20.5" thickTop="1" thickBot="1" x14ac:dyDescent="0.4">
      <c r="A754" s="184" t="s">
        <v>499</v>
      </c>
      <c r="B754" s="185" t="s">
        <v>499</v>
      </c>
      <c r="C754" s="185" t="s">
        <v>499</v>
      </c>
      <c r="D754" s="186" t="s">
        <v>499</v>
      </c>
      <c r="E754" s="185" t="s">
        <v>499</v>
      </c>
      <c r="F754" s="185" t="s">
        <v>499</v>
      </c>
      <c r="G754" s="187">
        <f t="shared" si="11"/>
        <v>0</v>
      </c>
      <c r="H754" s="188"/>
      <c r="I754" s="188"/>
      <c r="J754" s="188"/>
      <c r="K754" s="185"/>
      <c r="L754" s="185"/>
      <c r="M754" s="185"/>
      <c r="N754" s="185"/>
      <c r="O754" s="193"/>
      <c r="P754" s="193"/>
      <c r="Q754" s="195"/>
      <c r="R754" s="191"/>
      <c r="S754" s="192"/>
    </row>
    <row r="755" spans="1:19" ht="20.5" thickTop="1" thickBot="1" x14ac:dyDescent="0.4">
      <c r="A755" s="184" t="s">
        <v>499</v>
      </c>
      <c r="B755" s="185" t="s">
        <v>499</v>
      </c>
      <c r="C755" s="185" t="s">
        <v>499</v>
      </c>
      <c r="D755" s="186" t="s">
        <v>499</v>
      </c>
      <c r="E755" s="185" t="s">
        <v>499</v>
      </c>
      <c r="F755" s="185" t="s">
        <v>499</v>
      </c>
      <c r="G755" s="187">
        <f t="shared" si="11"/>
        <v>0</v>
      </c>
      <c r="H755" s="188"/>
      <c r="I755" s="188"/>
      <c r="J755" s="188"/>
      <c r="K755" s="185"/>
      <c r="L755" s="185"/>
      <c r="M755" s="185"/>
      <c r="N755" s="185"/>
      <c r="O755" s="193"/>
      <c r="P755" s="193"/>
      <c r="Q755" s="195"/>
      <c r="R755" s="191"/>
      <c r="S755" s="192"/>
    </row>
    <row r="756" spans="1:19" ht="20.5" thickTop="1" thickBot="1" x14ac:dyDescent="0.4">
      <c r="A756" s="184" t="s">
        <v>499</v>
      </c>
      <c r="B756" s="185" t="s">
        <v>499</v>
      </c>
      <c r="C756" s="185" t="s">
        <v>499</v>
      </c>
      <c r="D756" s="186" t="s">
        <v>499</v>
      </c>
      <c r="E756" s="185" t="s">
        <v>499</v>
      </c>
      <c r="F756" s="185" t="s">
        <v>499</v>
      </c>
      <c r="G756" s="187">
        <f t="shared" si="11"/>
        <v>0</v>
      </c>
      <c r="H756" s="188"/>
      <c r="I756" s="188"/>
      <c r="J756" s="188"/>
      <c r="K756" s="185"/>
      <c r="L756" s="185"/>
      <c r="M756" s="185"/>
      <c r="N756" s="185"/>
      <c r="O756" s="193"/>
      <c r="P756" s="193"/>
      <c r="Q756" s="195"/>
      <c r="R756" s="191"/>
      <c r="S756" s="192"/>
    </row>
    <row r="757" spans="1:19" ht="20.5" thickTop="1" thickBot="1" x14ac:dyDescent="0.4">
      <c r="A757" s="184" t="s">
        <v>499</v>
      </c>
      <c r="B757" s="185" t="s">
        <v>499</v>
      </c>
      <c r="C757" s="185" t="s">
        <v>499</v>
      </c>
      <c r="D757" s="186" t="s">
        <v>499</v>
      </c>
      <c r="E757" s="185" t="s">
        <v>499</v>
      </c>
      <c r="F757" s="185" t="s">
        <v>499</v>
      </c>
      <c r="G757" s="187">
        <f t="shared" si="11"/>
        <v>0</v>
      </c>
      <c r="H757" s="188"/>
      <c r="I757" s="188"/>
      <c r="J757" s="188"/>
      <c r="K757" s="185"/>
      <c r="L757" s="185"/>
      <c r="M757" s="185"/>
      <c r="N757" s="185"/>
      <c r="O757" s="193"/>
      <c r="P757" s="193"/>
      <c r="Q757" s="195"/>
      <c r="R757" s="191"/>
      <c r="S757" s="192"/>
    </row>
    <row r="758" spans="1:19" ht="20.5" thickTop="1" thickBot="1" x14ac:dyDescent="0.4">
      <c r="A758" s="184" t="s">
        <v>499</v>
      </c>
      <c r="B758" s="185" t="s">
        <v>499</v>
      </c>
      <c r="C758" s="185" t="s">
        <v>499</v>
      </c>
      <c r="D758" s="186" t="s">
        <v>499</v>
      </c>
      <c r="E758" s="185" t="s">
        <v>499</v>
      </c>
      <c r="F758" s="185" t="s">
        <v>499</v>
      </c>
      <c r="G758" s="187">
        <f t="shared" si="11"/>
        <v>0</v>
      </c>
      <c r="H758" s="188"/>
      <c r="I758" s="188"/>
      <c r="J758" s="188"/>
      <c r="K758" s="185"/>
      <c r="L758" s="185"/>
      <c r="M758" s="185"/>
      <c r="N758" s="185"/>
      <c r="O758" s="193"/>
      <c r="P758" s="193"/>
      <c r="Q758" s="195"/>
      <c r="R758" s="191"/>
      <c r="S758" s="192"/>
    </row>
    <row r="759" spans="1:19" ht="20.5" thickTop="1" thickBot="1" x14ac:dyDescent="0.4">
      <c r="A759" s="184" t="s">
        <v>499</v>
      </c>
      <c r="B759" s="185" t="s">
        <v>499</v>
      </c>
      <c r="C759" s="185" t="s">
        <v>499</v>
      </c>
      <c r="D759" s="186" t="s">
        <v>499</v>
      </c>
      <c r="E759" s="185" t="s">
        <v>499</v>
      </c>
      <c r="F759" s="185" t="s">
        <v>499</v>
      </c>
      <c r="G759" s="187">
        <f t="shared" si="11"/>
        <v>0</v>
      </c>
      <c r="H759" s="188"/>
      <c r="I759" s="188"/>
      <c r="J759" s="188"/>
      <c r="K759" s="185"/>
      <c r="L759" s="185"/>
      <c r="M759" s="185"/>
      <c r="N759" s="185"/>
      <c r="O759" s="193"/>
      <c r="P759" s="193"/>
      <c r="Q759" s="195"/>
      <c r="R759" s="191"/>
      <c r="S759" s="192"/>
    </row>
    <row r="760" spans="1:19" ht="20.5" thickTop="1" thickBot="1" x14ac:dyDescent="0.4">
      <c r="A760" s="184" t="s">
        <v>499</v>
      </c>
      <c r="B760" s="185" t="s">
        <v>499</v>
      </c>
      <c r="C760" s="185" t="s">
        <v>499</v>
      </c>
      <c r="D760" s="186" t="s">
        <v>499</v>
      </c>
      <c r="E760" s="185" t="s">
        <v>499</v>
      </c>
      <c r="F760" s="185" t="s">
        <v>499</v>
      </c>
      <c r="G760" s="187">
        <f t="shared" si="11"/>
        <v>0</v>
      </c>
      <c r="H760" s="188"/>
      <c r="I760" s="188"/>
      <c r="J760" s="188"/>
      <c r="K760" s="185"/>
      <c r="L760" s="185"/>
      <c r="M760" s="185"/>
      <c r="N760" s="185"/>
      <c r="O760" s="193"/>
      <c r="P760" s="193"/>
      <c r="Q760" s="195"/>
      <c r="R760" s="191"/>
      <c r="S760" s="192"/>
    </row>
    <row r="761" spans="1:19" ht="20.5" thickTop="1" thickBot="1" x14ac:dyDescent="0.4">
      <c r="A761" s="184" t="s">
        <v>499</v>
      </c>
      <c r="B761" s="185" t="s">
        <v>499</v>
      </c>
      <c r="C761" s="185" t="s">
        <v>499</v>
      </c>
      <c r="D761" s="186" t="s">
        <v>499</v>
      </c>
      <c r="E761" s="185" t="s">
        <v>499</v>
      </c>
      <c r="F761" s="185" t="s">
        <v>499</v>
      </c>
      <c r="G761" s="187">
        <f t="shared" si="11"/>
        <v>0</v>
      </c>
      <c r="H761" s="188"/>
      <c r="I761" s="188"/>
      <c r="J761" s="188"/>
      <c r="K761" s="185"/>
      <c r="L761" s="185"/>
      <c r="M761" s="185"/>
      <c r="N761" s="185"/>
      <c r="O761" s="193"/>
      <c r="P761" s="193"/>
      <c r="Q761" s="195"/>
      <c r="R761" s="191"/>
      <c r="S761" s="192"/>
    </row>
    <row r="762" spans="1:19" ht="20.5" thickTop="1" thickBot="1" x14ac:dyDescent="0.4">
      <c r="A762" s="184" t="s">
        <v>499</v>
      </c>
      <c r="B762" s="185" t="s">
        <v>499</v>
      </c>
      <c r="C762" s="185" t="s">
        <v>499</v>
      </c>
      <c r="D762" s="186" t="s">
        <v>499</v>
      </c>
      <c r="E762" s="185" t="s">
        <v>499</v>
      </c>
      <c r="F762" s="185" t="s">
        <v>499</v>
      </c>
      <c r="G762" s="187">
        <f t="shared" si="11"/>
        <v>0</v>
      </c>
      <c r="H762" s="188"/>
      <c r="I762" s="188"/>
      <c r="J762" s="188"/>
      <c r="K762" s="185"/>
      <c r="L762" s="185"/>
      <c r="M762" s="185"/>
      <c r="N762" s="185"/>
      <c r="O762" s="193"/>
      <c r="P762" s="193"/>
      <c r="Q762" s="195"/>
      <c r="R762" s="191"/>
      <c r="S762" s="192"/>
    </row>
    <row r="763" spans="1:19" ht="20.5" thickTop="1" thickBot="1" x14ac:dyDescent="0.4">
      <c r="A763" s="184" t="s">
        <v>499</v>
      </c>
      <c r="B763" s="185" t="s">
        <v>499</v>
      </c>
      <c r="C763" s="185" t="s">
        <v>499</v>
      </c>
      <c r="D763" s="186" t="s">
        <v>499</v>
      </c>
      <c r="E763" s="185" t="s">
        <v>499</v>
      </c>
      <c r="F763" s="185" t="s">
        <v>499</v>
      </c>
      <c r="G763" s="187">
        <f t="shared" si="11"/>
        <v>0</v>
      </c>
      <c r="H763" s="188"/>
      <c r="I763" s="188"/>
      <c r="J763" s="188"/>
      <c r="K763" s="185"/>
      <c r="L763" s="185"/>
      <c r="M763" s="185"/>
      <c r="N763" s="185"/>
      <c r="O763" s="193"/>
      <c r="P763" s="193"/>
      <c r="Q763" s="195"/>
      <c r="R763" s="191"/>
      <c r="S763" s="192"/>
    </row>
    <row r="764" spans="1:19" ht="20.5" thickTop="1" thickBot="1" x14ac:dyDescent="0.4">
      <c r="A764" s="184" t="s">
        <v>499</v>
      </c>
      <c r="B764" s="185" t="s">
        <v>499</v>
      </c>
      <c r="C764" s="185" t="s">
        <v>499</v>
      </c>
      <c r="D764" s="186" t="s">
        <v>499</v>
      </c>
      <c r="E764" s="185" t="s">
        <v>499</v>
      </c>
      <c r="F764" s="185" t="s">
        <v>499</v>
      </c>
      <c r="G764" s="187">
        <f t="shared" si="11"/>
        <v>0</v>
      </c>
      <c r="H764" s="188"/>
      <c r="I764" s="188"/>
      <c r="J764" s="188"/>
      <c r="K764" s="185"/>
      <c r="L764" s="185"/>
      <c r="M764" s="185"/>
      <c r="N764" s="185"/>
      <c r="O764" s="193"/>
      <c r="P764" s="193"/>
      <c r="Q764" s="195"/>
      <c r="R764" s="191"/>
      <c r="S764" s="192"/>
    </row>
    <row r="765" spans="1:19" ht="20.5" thickTop="1" thickBot="1" x14ac:dyDescent="0.4">
      <c r="A765" s="184" t="s">
        <v>499</v>
      </c>
      <c r="B765" s="185" t="s">
        <v>499</v>
      </c>
      <c r="C765" s="185" t="s">
        <v>499</v>
      </c>
      <c r="D765" s="186" t="s">
        <v>499</v>
      </c>
      <c r="E765" s="185" t="s">
        <v>499</v>
      </c>
      <c r="F765" s="185" t="s">
        <v>499</v>
      </c>
      <c r="G765" s="187">
        <f t="shared" si="11"/>
        <v>0</v>
      </c>
      <c r="H765" s="188"/>
      <c r="I765" s="188"/>
      <c r="J765" s="188"/>
      <c r="K765" s="185"/>
      <c r="L765" s="185"/>
      <c r="M765" s="185"/>
      <c r="N765" s="185"/>
      <c r="O765" s="193"/>
      <c r="P765" s="193"/>
      <c r="Q765" s="195"/>
      <c r="R765" s="191"/>
      <c r="S765" s="192"/>
    </row>
    <row r="766" spans="1:19" ht="20.5" thickTop="1" thickBot="1" x14ac:dyDescent="0.4">
      <c r="A766" s="184" t="s">
        <v>499</v>
      </c>
      <c r="B766" s="185" t="s">
        <v>499</v>
      </c>
      <c r="C766" s="185" t="s">
        <v>499</v>
      </c>
      <c r="D766" s="186" t="s">
        <v>499</v>
      </c>
      <c r="E766" s="185" t="s">
        <v>499</v>
      </c>
      <c r="F766" s="185" t="s">
        <v>499</v>
      </c>
      <c r="G766" s="187">
        <f t="shared" si="11"/>
        <v>0</v>
      </c>
      <c r="H766" s="188"/>
      <c r="I766" s="188"/>
      <c r="J766" s="188"/>
      <c r="K766" s="185"/>
      <c r="L766" s="185"/>
      <c r="M766" s="185"/>
      <c r="N766" s="185"/>
      <c r="O766" s="193"/>
      <c r="P766" s="193"/>
      <c r="Q766" s="195"/>
      <c r="R766" s="191"/>
      <c r="S766" s="192"/>
    </row>
    <row r="767" spans="1:19" ht="20.5" thickTop="1" thickBot="1" x14ac:dyDescent="0.4">
      <c r="A767" s="184" t="s">
        <v>499</v>
      </c>
      <c r="B767" s="185" t="s">
        <v>499</v>
      </c>
      <c r="C767" s="185" t="s">
        <v>499</v>
      </c>
      <c r="D767" s="186" t="s">
        <v>499</v>
      </c>
      <c r="E767" s="185" t="s">
        <v>499</v>
      </c>
      <c r="F767" s="185" t="s">
        <v>499</v>
      </c>
      <c r="G767" s="187">
        <f t="shared" si="11"/>
        <v>0</v>
      </c>
      <c r="H767" s="188"/>
      <c r="I767" s="188"/>
      <c r="J767" s="188"/>
      <c r="K767" s="185"/>
      <c r="L767" s="185"/>
      <c r="M767" s="185"/>
      <c r="N767" s="185"/>
      <c r="O767" s="193"/>
      <c r="P767" s="193"/>
      <c r="Q767" s="195"/>
      <c r="R767" s="191"/>
      <c r="S767" s="192"/>
    </row>
    <row r="768" spans="1:19" ht="20.5" thickTop="1" thickBot="1" x14ac:dyDescent="0.4">
      <c r="A768" s="184" t="s">
        <v>499</v>
      </c>
      <c r="B768" s="185" t="s">
        <v>499</v>
      </c>
      <c r="C768" s="185" t="s">
        <v>499</v>
      </c>
      <c r="D768" s="186" t="s">
        <v>499</v>
      </c>
      <c r="E768" s="185" t="s">
        <v>499</v>
      </c>
      <c r="F768" s="185" t="s">
        <v>499</v>
      </c>
      <c r="G768" s="187">
        <f t="shared" si="11"/>
        <v>0</v>
      </c>
      <c r="H768" s="188"/>
      <c r="I768" s="188"/>
      <c r="J768" s="188"/>
      <c r="K768" s="185"/>
      <c r="L768" s="185"/>
      <c r="M768" s="185"/>
      <c r="N768" s="185"/>
      <c r="O768" s="193"/>
      <c r="P768" s="193"/>
      <c r="Q768" s="195"/>
      <c r="R768" s="191"/>
      <c r="S768" s="192"/>
    </row>
    <row r="769" spans="1:19" ht="20.5" thickTop="1" thickBot="1" x14ac:dyDescent="0.4">
      <c r="A769" s="184" t="s">
        <v>499</v>
      </c>
      <c r="B769" s="185" t="s">
        <v>499</v>
      </c>
      <c r="C769" s="185" t="s">
        <v>499</v>
      </c>
      <c r="D769" s="186" t="s">
        <v>499</v>
      </c>
      <c r="E769" s="185" t="s">
        <v>499</v>
      </c>
      <c r="F769" s="185" t="s">
        <v>499</v>
      </c>
      <c r="G769" s="187">
        <f t="shared" si="11"/>
        <v>0</v>
      </c>
      <c r="H769" s="188"/>
      <c r="I769" s="188"/>
      <c r="J769" s="188"/>
      <c r="K769" s="185"/>
      <c r="L769" s="185"/>
      <c r="M769" s="185"/>
      <c r="N769" s="185"/>
      <c r="O769" s="193"/>
      <c r="P769" s="193"/>
      <c r="Q769" s="195"/>
      <c r="R769" s="191"/>
      <c r="S769" s="192"/>
    </row>
    <row r="770" spans="1:19" ht="20.5" thickTop="1" thickBot="1" x14ac:dyDescent="0.4">
      <c r="A770" s="184" t="s">
        <v>499</v>
      </c>
      <c r="B770" s="185" t="s">
        <v>499</v>
      </c>
      <c r="C770" s="185" t="s">
        <v>499</v>
      </c>
      <c r="D770" s="186" t="s">
        <v>499</v>
      </c>
      <c r="E770" s="185" t="s">
        <v>499</v>
      </c>
      <c r="F770" s="185" t="s">
        <v>499</v>
      </c>
      <c r="G770" s="187">
        <f t="shared" si="11"/>
        <v>0</v>
      </c>
      <c r="H770" s="188"/>
      <c r="I770" s="188"/>
      <c r="J770" s="188"/>
      <c r="K770" s="185"/>
      <c r="L770" s="185"/>
      <c r="M770" s="185"/>
      <c r="N770" s="185"/>
      <c r="O770" s="193"/>
      <c r="P770" s="193"/>
      <c r="Q770" s="195"/>
      <c r="R770" s="191"/>
      <c r="S770" s="192"/>
    </row>
    <row r="771" spans="1:19" ht="20.5" thickTop="1" thickBot="1" x14ac:dyDescent="0.4">
      <c r="A771" s="184" t="s">
        <v>499</v>
      </c>
      <c r="B771" s="185" t="s">
        <v>499</v>
      </c>
      <c r="C771" s="185" t="s">
        <v>499</v>
      </c>
      <c r="D771" s="186" t="s">
        <v>499</v>
      </c>
      <c r="E771" s="185" t="s">
        <v>499</v>
      </c>
      <c r="F771" s="185" t="s">
        <v>499</v>
      </c>
      <c r="G771" s="187">
        <f t="shared" si="11"/>
        <v>0</v>
      </c>
      <c r="H771" s="188"/>
      <c r="I771" s="188"/>
      <c r="J771" s="188"/>
      <c r="K771" s="185"/>
      <c r="L771" s="185"/>
      <c r="M771" s="185"/>
      <c r="N771" s="185"/>
      <c r="O771" s="193"/>
      <c r="P771" s="193"/>
      <c r="Q771" s="195"/>
      <c r="R771" s="191"/>
      <c r="S771" s="192"/>
    </row>
    <row r="772" spans="1:19" ht="20.5" thickTop="1" thickBot="1" x14ac:dyDescent="0.4">
      <c r="A772" s="184" t="s">
        <v>499</v>
      </c>
      <c r="B772" s="185" t="s">
        <v>499</v>
      </c>
      <c r="C772" s="185" t="s">
        <v>499</v>
      </c>
      <c r="D772" s="186" t="s">
        <v>499</v>
      </c>
      <c r="E772" s="185" t="s">
        <v>499</v>
      </c>
      <c r="F772" s="185" t="s">
        <v>499</v>
      </c>
      <c r="G772" s="187">
        <f t="shared" si="11"/>
        <v>0</v>
      </c>
      <c r="H772" s="188"/>
      <c r="I772" s="188"/>
      <c r="J772" s="188"/>
      <c r="K772" s="185"/>
      <c r="L772" s="185"/>
      <c r="M772" s="185"/>
      <c r="N772" s="185"/>
      <c r="O772" s="193"/>
      <c r="P772" s="193"/>
      <c r="Q772" s="195"/>
      <c r="R772" s="191"/>
      <c r="S772" s="192"/>
    </row>
    <row r="773" spans="1:19" ht="20.5" thickTop="1" thickBot="1" x14ac:dyDescent="0.4">
      <c r="A773" s="184" t="s">
        <v>499</v>
      </c>
      <c r="B773" s="185" t="s">
        <v>499</v>
      </c>
      <c r="C773" s="185" t="s">
        <v>499</v>
      </c>
      <c r="D773" s="186" t="s">
        <v>499</v>
      </c>
      <c r="E773" s="185" t="s">
        <v>499</v>
      </c>
      <c r="F773" s="185" t="s">
        <v>499</v>
      </c>
      <c r="G773" s="187">
        <f t="shared" ref="G773:G836" si="12">SUM(H773:J773)</f>
        <v>0</v>
      </c>
      <c r="H773" s="188"/>
      <c r="I773" s="188"/>
      <c r="J773" s="188"/>
      <c r="K773" s="185"/>
      <c r="L773" s="185"/>
      <c r="M773" s="185"/>
      <c r="N773" s="185"/>
      <c r="O773" s="193"/>
      <c r="P773" s="193"/>
      <c r="Q773" s="195"/>
      <c r="R773" s="191"/>
      <c r="S773" s="192"/>
    </row>
    <row r="774" spans="1:19" ht="20.5" thickTop="1" thickBot="1" x14ac:dyDescent="0.4">
      <c r="A774" s="184" t="s">
        <v>499</v>
      </c>
      <c r="B774" s="185" t="s">
        <v>499</v>
      </c>
      <c r="C774" s="185" t="s">
        <v>499</v>
      </c>
      <c r="D774" s="186" t="s">
        <v>499</v>
      </c>
      <c r="E774" s="185" t="s">
        <v>499</v>
      </c>
      <c r="F774" s="185" t="s">
        <v>499</v>
      </c>
      <c r="G774" s="187">
        <f t="shared" si="12"/>
        <v>0</v>
      </c>
      <c r="H774" s="188"/>
      <c r="I774" s="188"/>
      <c r="J774" s="188"/>
      <c r="K774" s="185"/>
      <c r="L774" s="185"/>
      <c r="M774" s="185"/>
      <c r="N774" s="185"/>
      <c r="O774" s="193"/>
      <c r="P774" s="193"/>
      <c r="Q774" s="195"/>
      <c r="R774" s="191"/>
      <c r="S774" s="192"/>
    </row>
    <row r="775" spans="1:19" ht="20.5" thickTop="1" thickBot="1" x14ac:dyDescent="0.4">
      <c r="A775" s="184" t="s">
        <v>499</v>
      </c>
      <c r="B775" s="185" t="s">
        <v>499</v>
      </c>
      <c r="C775" s="185" t="s">
        <v>499</v>
      </c>
      <c r="D775" s="186" t="s">
        <v>499</v>
      </c>
      <c r="E775" s="185" t="s">
        <v>499</v>
      </c>
      <c r="F775" s="185" t="s">
        <v>499</v>
      </c>
      <c r="G775" s="187">
        <f t="shared" si="12"/>
        <v>0</v>
      </c>
      <c r="H775" s="188"/>
      <c r="I775" s="188"/>
      <c r="J775" s="188"/>
      <c r="K775" s="185"/>
      <c r="L775" s="185"/>
      <c r="M775" s="185"/>
      <c r="N775" s="185"/>
      <c r="O775" s="193"/>
      <c r="P775" s="193"/>
      <c r="Q775" s="195"/>
      <c r="R775" s="191"/>
      <c r="S775" s="192"/>
    </row>
    <row r="776" spans="1:19" ht="20.5" thickTop="1" thickBot="1" x14ac:dyDescent="0.4">
      <c r="A776" s="184" t="s">
        <v>499</v>
      </c>
      <c r="B776" s="185" t="s">
        <v>499</v>
      </c>
      <c r="C776" s="185" t="s">
        <v>499</v>
      </c>
      <c r="D776" s="186" t="s">
        <v>499</v>
      </c>
      <c r="E776" s="185" t="s">
        <v>499</v>
      </c>
      <c r="F776" s="185" t="s">
        <v>499</v>
      </c>
      <c r="G776" s="187">
        <f t="shared" si="12"/>
        <v>0</v>
      </c>
      <c r="H776" s="188"/>
      <c r="I776" s="188"/>
      <c r="J776" s="188"/>
      <c r="K776" s="185"/>
      <c r="L776" s="185"/>
      <c r="M776" s="185"/>
      <c r="N776" s="185"/>
      <c r="O776" s="193"/>
      <c r="P776" s="193"/>
      <c r="Q776" s="195"/>
      <c r="R776" s="191"/>
      <c r="S776" s="192"/>
    </row>
    <row r="777" spans="1:19" ht="20.5" thickTop="1" thickBot="1" x14ac:dyDescent="0.4">
      <c r="A777" s="184" t="s">
        <v>499</v>
      </c>
      <c r="B777" s="185" t="s">
        <v>499</v>
      </c>
      <c r="C777" s="185" t="s">
        <v>499</v>
      </c>
      <c r="D777" s="186" t="s">
        <v>499</v>
      </c>
      <c r="E777" s="185" t="s">
        <v>499</v>
      </c>
      <c r="F777" s="185" t="s">
        <v>499</v>
      </c>
      <c r="G777" s="187">
        <f t="shared" si="12"/>
        <v>0</v>
      </c>
      <c r="H777" s="188"/>
      <c r="I777" s="188"/>
      <c r="J777" s="188"/>
      <c r="K777" s="185"/>
      <c r="L777" s="185"/>
      <c r="M777" s="185"/>
      <c r="N777" s="185"/>
      <c r="O777" s="193"/>
      <c r="P777" s="193"/>
      <c r="Q777" s="195"/>
      <c r="R777" s="191"/>
      <c r="S777" s="192"/>
    </row>
    <row r="778" spans="1:19" ht="20.5" thickTop="1" thickBot="1" x14ac:dyDescent="0.4">
      <c r="A778" s="184" t="s">
        <v>499</v>
      </c>
      <c r="B778" s="185" t="s">
        <v>499</v>
      </c>
      <c r="C778" s="185" t="s">
        <v>499</v>
      </c>
      <c r="D778" s="186" t="s">
        <v>499</v>
      </c>
      <c r="E778" s="185" t="s">
        <v>499</v>
      </c>
      <c r="F778" s="185" t="s">
        <v>499</v>
      </c>
      <c r="G778" s="187">
        <f t="shared" si="12"/>
        <v>0</v>
      </c>
      <c r="H778" s="188"/>
      <c r="I778" s="188"/>
      <c r="J778" s="188"/>
      <c r="K778" s="185"/>
      <c r="L778" s="185"/>
      <c r="M778" s="185"/>
      <c r="N778" s="185"/>
      <c r="O778" s="193"/>
      <c r="P778" s="193"/>
      <c r="Q778" s="195"/>
      <c r="R778" s="191"/>
      <c r="S778" s="192"/>
    </row>
    <row r="779" spans="1:19" ht="20.5" thickTop="1" thickBot="1" x14ac:dyDescent="0.4">
      <c r="A779" s="184" t="s">
        <v>499</v>
      </c>
      <c r="B779" s="185" t="s">
        <v>499</v>
      </c>
      <c r="C779" s="185" t="s">
        <v>499</v>
      </c>
      <c r="D779" s="186" t="s">
        <v>499</v>
      </c>
      <c r="E779" s="185" t="s">
        <v>499</v>
      </c>
      <c r="F779" s="185" t="s">
        <v>499</v>
      </c>
      <c r="G779" s="187">
        <f t="shared" si="12"/>
        <v>0</v>
      </c>
      <c r="H779" s="188"/>
      <c r="I779" s="188"/>
      <c r="J779" s="188"/>
      <c r="K779" s="185"/>
      <c r="L779" s="185"/>
      <c r="M779" s="185"/>
      <c r="N779" s="185"/>
      <c r="O779" s="193"/>
      <c r="P779" s="193"/>
      <c r="Q779" s="195"/>
      <c r="R779" s="191"/>
      <c r="S779" s="192"/>
    </row>
    <row r="780" spans="1:19" ht="20.5" thickTop="1" thickBot="1" x14ac:dyDescent="0.4">
      <c r="A780" s="184" t="s">
        <v>499</v>
      </c>
      <c r="B780" s="185" t="s">
        <v>499</v>
      </c>
      <c r="C780" s="185" t="s">
        <v>499</v>
      </c>
      <c r="D780" s="186" t="s">
        <v>499</v>
      </c>
      <c r="E780" s="185" t="s">
        <v>499</v>
      </c>
      <c r="F780" s="185" t="s">
        <v>499</v>
      </c>
      <c r="G780" s="187">
        <f t="shared" si="12"/>
        <v>0</v>
      </c>
      <c r="H780" s="188"/>
      <c r="I780" s="188"/>
      <c r="J780" s="188"/>
      <c r="K780" s="185"/>
      <c r="L780" s="185"/>
      <c r="M780" s="185"/>
      <c r="N780" s="185"/>
      <c r="O780" s="193"/>
      <c r="P780" s="193"/>
      <c r="Q780" s="195"/>
      <c r="R780" s="191"/>
      <c r="S780" s="192"/>
    </row>
    <row r="781" spans="1:19" ht="20.5" thickTop="1" thickBot="1" x14ac:dyDescent="0.4">
      <c r="A781" s="184" t="s">
        <v>499</v>
      </c>
      <c r="B781" s="185" t="s">
        <v>499</v>
      </c>
      <c r="C781" s="185" t="s">
        <v>499</v>
      </c>
      <c r="D781" s="186" t="s">
        <v>499</v>
      </c>
      <c r="E781" s="185" t="s">
        <v>499</v>
      </c>
      <c r="F781" s="185" t="s">
        <v>499</v>
      </c>
      <c r="G781" s="187">
        <f t="shared" si="12"/>
        <v>0</v>
      </c>
      <c r="H781" s="188"/>
      <c r="I781" s="188"/>
      <c r="J781" s="188"/>
      <c r="K781" s="185"/>
      <c r="L781" s="185"/>
      <c r="M781" s="185"/>
      <c r="N781" s="185"/>
      <c r="O781" s="193"/>
      <c r="P781" s="193"/>
      <c r="Q781" s="195"/>
      <c r="R781" s="191"/>
      <c r="S781" s="192"/>
    </row>
    <row r="782" spans="1:19" ht="20.5" thickTop="1" thickBot="1" x14ac:dyDescent="0.4">
      <c r="A782" s="184" t="s">
        <v>499</v>
      </c>
      <c r="B782" s="185" t="s">
        <v>499</v>
      </c>
      <c r="C782" s="185" t="s">
        <v>499</v>
      </c>
      <c r="D782" s="186" t="s">
        <v>499</v>
      </c>
      <c r="E782" s="185" t="s">
        <v>499</v>
      </c>
      <c r="F782" s="185" t="s">
        <v>499</v>
      </c>
      <c r="G782" s="187">
        <f t="shared" si="12"/>
        <v>0</v>
      </c>
      <c r="H782" s="188"/>
      <c r="I782" s="188"/>
      <c r="J782" s="188"/>
      <c r="K782" s="185"/>
      <c r="L782" s="185"/>
      <c r="M782" s="185"/>
      <c r="N782" s="185"/>
      <c r="O782" s="193"/>
      <c r="P782" s="193"/>
      <c r="Q782" s="195"/>
      <c r="R782" s="191"/>
      <c r="S782" s="192"/>
    </row>
    <row r="783" spans="1:19" ht="20.5" thickTop="1" thickBot="1" x14ac:dyDescent="0.4">
      <c r="A783" s="184" t="s">
        <v>499</v>
      </c>
      <c r="B783" s="185" t="s">
        <v>499</v>
      </c>
      <c r="C783" s="185" t="s">
        <v>499</v>
      </c>
      <c r="D783" s="186" t="s">
        <v>499</v>
      </c>
      <c r="E783" s="185" t="s">
        <v>499</v>
      </c>
      <c r="F783" s="185" t="s">
        <v>499</v>
      </c>
      <c r="G783" s="187">
        <f t="shared" si="12"/>
        <v>0</v>
      </c>
      <c r="H783" s="188"/>
      <c r="I783" s="188"/>
      <c r="J783" s="188"/>
      <c r="K783" s="185"/>
      <c r="L783" s="185"/>
      <c r="M783" s="185"/>
      <c r="N783" s="185"/>
      <c r="O783" s="193"/>
      <c r="P783" s="193"/>
      <c r="Q783" s="195"/>
      <c r="R783" s="191"/>
      <c r="S783" s="192"/>
    </row>
    <row r="784" spans="1:19" ht="20.5" thickTop="1" thickBot="1" x14ac:dyDescent="0.4">
      <c r="A784" s="184" t="s">
        <v>499</v>
      </c>
      <c r="B784" s="185" t="s">
        <v>499</v>
      </c>
      <c r="C784" s="185" t="s">
        <v>499</v>
      </c>
      <c r="D784" s="186" t="s">
        <v>499</v>
      </c>
      <c r="E784" s="185" t="s">
        <v>499</v>
      </c>
      <c r="F784" s="185" t="s">
        <v>499</v>
      </c>
      <c r="G784" s="187">
        <f t="shared" si="12"/>
        <v>0</v>
      </c>
      <c r="H784" s="188"/>
      <c r="I784" s="188"/>
      <c r="J784" s="188"/>
      <c r="K784" s="185"/>
      <c r="L784" s="185"/>
      <c r="M784" s="185"/>
      <c r="N784" s="185"/>
      <c r="O784" s="193"/>
      <c r="P784" s="193"/>
      <c r="Q784" s="195"/>
      <c r="R784" s="191"/>
      <c r="S784" s="192"/>
    </row>
    <row r="785" spans="1:19" ht="20.5" thickTop="1" thickBot="1" x14ac:dyDescent="0.4">
      <c r="A785" s="184" t="s">
        <v>499</v>
      </c>
      <c r="B785" s="185" t="s">
        <v>499</v>
      </c>
      <c r="C785" s="185" t="s">
        <v>499</v>
      </c>
      <c r="D785" s="186" t="s">
        <v>499</v>
      </c>
      <c r="E785" s="185" t="s">
        <v>499</v>
      </c>
      <c r="F785" s="185" t="s">
        <v>499</v>
      </c>
      <c r="G785" s="187">
        <f t="shared" si="12"/>
        <v>0</v>
      </c>
      <c r="H785" s="188"/>
      <c r="I785" s="188"/>
      <c r="J785" s="188"/>
      <c r="K785" s="185"/>
      <c r="L785" s="185"/>
      <c r="M785" s="185"/>
      <c r="N785" s="185"/>
      <c r="O785" s="193"/>
      <c r="P785" s="193"/>
      <c r="Q785" s="195"/>
      <c r="R785" s="191"/>
      <c r="S785" s="192"/>
    </row>
    <row r="786" spans="1:19" ht="20.5" thickTop="1" thickBot="1" x14ac:dyDescent="0.4">
      <c r="A786" s="184" t="s">
        <v>499</v>
      </c>
      <c r="B786" s="185" t="s">
        <v>499</v>
      </c>
      <c r="C786" s="185" t="s">
        <v>499</v>
      </c>
      <c r="D786" s="186" t="s">
        <v>499</v>
      </c>
      <c r="E786" s="185" t="s">
        <v>499</v>
      </c>
      <c r="F786" s="185" t="s">
        <v>499</v>
      </c>
      <c r="G786" s="187">
        <f t="shared" si="12"/>
        <v>0</v>
      </c>
      <c r="H786" s="188"/>
      <c r="I786" s="188"/>
      <c r="J786" s="188"/>
      <c r="K786" s="185"/>
      <c r="L786" s="185"/>
      <c r="M786" s="185"/>
      <c r="N786" s="185"/>
      <c r="O786" s="193"/>
      <c r="P786" s="193"/>
      <c r="Q786" s="195"/>
      <c r="R786" s="191"/>
      <c r="S786" s="192"/>
    </row>
    <row r="787" spans="1:19" ht="20.5" thickTop="1" thickBot="1" x14ac:dyDescent="0.4">
      <c r="A787" s="184" t="s">
        <v>499</v>
      </c>
      <c r="B787" s="185" t="s">
        <v>499</v>
      </c>
      <c r="C787" s="185" t="s">
        <v>499</v>
      </c>
      <c r="D787" s="186" t="s">
        <v>499</v>
      </c>
      <c r="E787" s="185" t="s">
        <v>499</v>
      </c>
      <c r="F787" s="185" t="s">
        <v>499</v>
      </c>
      <c r="G787" s="187">
        <f t="shared" si="12"/>
        <v>0</v>
      </c>
      <c r="H787" s="188"/>
      <c r="I787" s="188"/>
      <c r="J787" s="188"/>
      <c r="K787" s="185"/>
      <c r="L787" s="185"/>
      <c r="M787" s="185"/>
      <c r="N787" s="185"/>
      <c r="O787" s="193"/>
      <c r="P787" s="193"/>
      <c r="Q787" s="195"/>
      <c r="R787" s="191"/>
      <c r="S787" s="192"/>
    </row>
    <row r="788" spans="1:19" ht="20.5" thickTop="1" thickBot="1" x14ac:dyDescent="0.4">
      <c r="A788" s="184" t="s">
        <v>499</v>
      </c>
      <c r="B788" s="185" t="s">
        <v>499</v>
      </c>
      <c r="C788" s="185" t="s">
        <v>499</v>
      </c>
      <c r="D788" s="186" t="s">
        <v>499</v>
      </c>
      <c r="E788" s="185" t="s">
        <v>499</v>
      </c>
      <c r="F788" s="185" t="s">
        <v>499</v>
      </c>
      <c r="G788" s="187">
        <f t="shared" si="12"/>
        <v>0</v>
      </c>
      <c r="H788" s="188"/>
      <c r="I788" s="188"/>
      <c r="J788" s="188"/>
      <c r="K788" s="185"/>
      <c r="L788" s="185"/>
      <c r="M788" s="185"/>
      <c r="N788" s="185"/>
      <c r="O788" s="193"/>
      <c r="P788" s="193"/>
      <c r="Q788" s="195"/>
      <c r="R788" s="191"/>
      <c r="S788" s="192"/>
    </row>
    <row r="789" spans="1:19" ht="20.5" thickTop="1" thickBot="1" x14ac:dyDescent="0.4">
      <c r="A789" s="184" t="s">
        <v>499</v>
      </c>
      <c r="B789" s="185" t="s">
        <v>499</v>
      </c>
      <c r="C789" s="185" t="s">
        <v>499</v>
      </c>
      <c r="D789" s="186" t="s">
        <v>499</v>
      </c>
      <c r="E789" s="185" t="s">
        <v>499</v>
      </c>
      <c r="F789" s="185" t="s">
        <v>499</v>
      </c>
      <c r="G789" s="187">
        <f t="shared" si="12"/>
        <v>0</v>
      </c>
      <c r="H789" s="188"/>
      <c r="I789" s="188"/>
      <c r="J789" s="188"/>
      <c r="K789" s="185"/>
      <c r="L789" s="185"/>
      <c r="M789" s="185"/>
      <c r="N789" s="185"/>
      <c r="O789" s="193"/>
      <c r="P789" s="193"/>
      <c r="Q789" s="195"/>
      <c r="R789" s="191"/>
      <c r="S789" s="192"/>
    </row>
    <row r="790" spans="1:19" ht="20.5" thickTop="1" thickBot="1" x14ac:dyDescent="0.4">
      <c r="A790" s="184" t="s">
        <v>499</v>
      </c>
      <c r="B790" s="185" t="s">
        <v>499</v>
      </c>
      <c r="C790" s="185" t="s">
        <v>499</v>
      </c>
      <c r="D790" s="186" t="s">
        <v>499</v>
      </c>
      <c r="E790" s="185" t="s">
        <v>499</v>
      </c>
      <c r="F790" s="185" t="s">
        <v>499</v>
      </c>
      <c r="G790" s="187">
        <f t="shared" si="12"/>
        <v>0</v>
      </c>
      <c r="H790" s="188"/>
      <c r="I790" s="188"/>
      <c r="J790" s="188"/>
      <c r="K790" s="185"/>
      <c r="L790" s="185"/>
      <c r="M790" s="185"/>
      <c r="N790" s="185"/>
      <c r="O790" s="193"/>
      <c r="P790" s="193"/>
      <c r="Q790" s="195"/>
      <c r="R790" s="191"/>
      <c r="S790" s="192"/>
    </row>
    <row r="791" spans="1:19" ht="20.5" thickTop="1" thickBot="1" x14ac:dyDescent="0.4">
      <c r="A791" s="184" t="s">
        <v>499</v>
      </c>
      <c r="B791" s="185" t="s">
        <v>499</v>
      </c>
      <c r="C791" s="185" t="s">
        <v>499</v>
      </c>
      <c r="D791" s="186" t="s">
        <v>499</v>
      </c>
      <c r="E791" s="185" t="s">
        <v>499</v>
      </c>
      <c r="F791" s="185" t="s">
        <v>499</v>
      </c>
      <c r="G791" s="187">
        <f t="shared" si="12"/>
        <v>0</v>
      </c>
      <c r="H791" s="188"/>
      <c r="I791" s="188"/>
      <c r="J791" s="188"/>
      <c r="K791" s="185"/>
      <c r="L791" s="185"/>
      <c r="M791" s="185"/>
      <c r="N791" s="185"/>
      <c r="O791" s="193"/>
      <c r="P791" s="193"/>
      <c r="Q791" s="195"/>
      <c r="R791" s="191"/>
      <c r="S791" s="192"/>
    </row>
    <row r="792" spans="1:19" ht="20.5" thickTop="1" thickBot="1" x14ac:dyDescent="0.4">
      <c r="A792" s="184" t="s">
        <v>499</v>
      </c>
      <c r="B792" s="185" t="s">
        <v>499</v>
      </c>
      <c r="C792" s="185" t="s">
        <v>499</v>
      </c>
      <c r="D792" s="186" t="s">
        <v>499</v>
      </c>
      <c r="E792" s="185" t="s">
        <v>499</v>
      </c>
      <c r="F792" s="185" t="s">
        <v>499</v>
      </c>
      <c r="G792" s="187">
        <f t="shared" si="12"/>
        <v>0</v>
      </c>
      <c r="H792" s="188"/>
      <c r="I792" s="188"/>
      <c r="J792" s="188"/>
      <c r="K792" s="185"/>
      <c r="L792" s="185"/>
      <c r="M792" s="185"/>
      <c r="N792" s="185"/>
      <c r="O792" s="193"/>
      <c r="P792" s="193"/>
      <c r="Q792" s="195"/>
      <c r="R792" s="191"/>
      <c r="S792" s="192"/>
    </row>
    <row r="793" spans="1:19" ht="20.5" thickTop="1" thickBot="1" x14ac:dyDescent="0.4">
      <c r="A793" s="184" t="s">
        <v>499</v>
      </c>
      <c r="B793" s="185" t="s">
        <v>499</v>
      </c>
      <c r="C793" s="185" t="s">
        <v>499</v>
      </c>
      <c r="D793" s="186" t="s">
        <v>499</v>
      </c>
      <c r="E793" s="185" t="s">
        <v>499</v>
      </c>
      <c r="F793" s="185" t="s">
        <v>499</v>
      </c>
      <c r="G793" s="187">
        <f t="shared" si="12"/>
        <v>0</v>
      </c>
      <c r="H793" s="188"/>
      <c r="I793" s="188"/>
      <c r="J793" s="188"/>
      <c r="K793" s="185"/>
      <c r="L793" s="185"/>
      <c r="M793" s="185"/>
      <c r="N793" s="185"/>
      <c r="O793" s="193"/>
      <c r="P793" s="193"/>
      <c r="Q793" s="195"/>
      <c r="R793" s="191"/>
      <c r="S793" s="192"/>
    </row>
    <row r="794" spans="1:19" ht="20.5" thickTop="1" thickBot="1" x14ac:dyDescent="0.4">
      <c r="A794" s="184" t="s">
        <v>499</v>
      </c>
      <c r="B794" s="185" t="s">
        <v>499</v>
      </c>
      <c r="C794" s="185" t="s">
        <v>499</v>
      </c>
      <c r="D794" s="186" t="s">
        <v>499</v>
      </c>
      <c r="E794" s="185" t="s">
        <v>499</v>
      </c>
      <c r="F794" s="185" t="s">
        <v>499</v>
      </c>
      <c r="G794" s="187">
        <f t="shared" si="12"/>
        <v>0</v>
      </c>
      <c r="H794" s="188"/>
      <c r="I794" s="188"/>
      <c r="J794" s="188"/>
      <c r="K794" s="185"/>
      <c r="L794" s="185"/>
      <c r="M794" s="185"/>
      <c r="N794" s="185"/>
      <c r="O794" s="193"/>
      <c r="P794" s="193"/>
      <c r="Q794" s="195"/>
      <c r="R794" s="191"/>
      <c r="S794" s="192"/>
    </row>
    <row r="795" spans="1:19" ht="20.5" thickTop="1" thickBot="1" x14ac:dyDescent="0.4">
      <c r="A795" s="184" t="s">
        <v>499</v>
      </c>
      <c r="B795" s="185" t="s">
        <v>499</v>
      </c>
      <c r="C795" s="185" t="s">
        <v>499</v>
      </c>
      <c r="D795" s="186" t="s">
        <v>499</v>
      </c>
      <c r="E795" s="185" t="s">
        <v>499</v>
      </c>
      <c r="F795" s="185" t="s">
        <v>499</v>
      </c>
      <c r="G795" s="187">
        <f t="shared" si="12"/>
        <v>0</v>
      </c>
      <c r="H795" s="188"/>
      <c r="I795" s="188"/>
      <c r="J795" s="188"/>
      <c r="K795" s="185"/>
      <c r="L795" s="185"/>
      <c r="M795" s="185"/>
      <c r="N795" s="185"/>
      <c r="O795" s="193"/>
      <c r="P795" s="193"/>
      <c r="Q795" s="195"/>
      <c r="R795" s="191"/>
      <c r="S795" s="192"/>
    </row>
    <row r="796" spans="1:19" ht="20.5" thickTop="1" thickBot="1" x14ac:dyDescent="0.4">
      <c r="A796" s="184" t="s">
        <v>499</v>
      </c>
      <c r="B796" s="185" t="s">
        <v>499</v>
      </c>
      <c r="C796" s="185" t="s">
        <v>499</v>
      </c>
      <c r="D796" s="186" t="s">
        <v>499</v>
      </c>
      <c r="E796" s="185" t="s">
        <v>499</v>
      </c>
      <c r="F796" s="185" t="s">
        <v>499</v>
      </c>
      <c r="G796" s="187">
        <f t="shared" si="12"/>
        <v>0</v>
      </c>
      <c r="H796" s="188"/>
      <c r="I796" s="188"/>
      <c r="J796" s="188"/>
      <c r="K796" s="185"/>
      <c r="L796" s="185"/>
      <c r="M796" s="185"/>
      <c r="N796" s="185"/>
      <c r="O796" s="193"/>
      <c r="P796" s="193"/>
      <c r="Q796" s="195"/>
      <c r="R796" s="191"/>
      <c r="S796" s="192"/>
    </row>
    <row r="797" spans="1:19" ht="20.5" thickTop="1" thickBot="1" x14ac:dyDescent="0.4">
      <c r="A797" s="184" t="s">
        <v>499</v>
      </c>
      <c r="B797" s="185" t="s">
        <v>499</v>
      </c>
      <c r="C797" s="185" t="s">
        <v>499</v>
      </c>
      <c r="D797" s="186" t="s">
        <v>499</v>
      </c>
      <c r="E797" s="185" t="s">
        <v>499</v>
      </c>
      <c r="F797" s="185" t="s">
        <v>499</v>
      </c>
      <c r="G797" s="187">
        <f t="shared" si="12"/>
        <v>0</v>
      </c>
      <c r="H797" s="188"/>
      <c r="I797" s="188"/>
      <c r="J797" s="188"/>
      <c r="K797" s="185"/>
      <c r="L797" s="185"/>
      <c r="M797" s="185"/>
      <c r="N797" s="185"/>
      <c r="O797" s="193"/>
      <c r="P797" s="193"/>
      <c r="Q797" s="195"/>
      <c r="R797" s="191"/>
      <c r="S797" s="192"/>
    </row>
    <row r="798" spans="1:19" ht="20.5" thickTop="1" thickBot="1" x14ac:dyDescent="0.4">
      <c r="A798" s="184" t="s">
        <v>499</v>
      </c>
      <c r="B798" s="185" t="s">
        <v>499</v>
      </c>
      <c r="C798" s="185" t="s">
        <v>499</v>
      </c>
      <c r="D798" s="186" t="s">
        <v>499</v>
      </c>
      <c r="E798" s="185" t="s">
        <v>499</v>
      </c>
      <c r="F798" s="185" t="s">
        <v>499</v>
      </c>
      <c r="G798" s="187">
        <f t="shared" si="12"/>
        <v>0</v>
      </c>
      <c r="H798" s="188"/>
      <c r="I798" s="188"/>
      <c r="J798" s="188"/>
      <c r="K798" s="185"/>
      <c r="L798" s="185"/>
      <c r="M798" s="185"/>
      <c r="N798" s="185"/>
      <c r="O798" s="193"/>
      <c r="P798" s="193"/>
      <c r="Q798" s="195"/>
      <c r="R798" s="191"/>
      <c r="S798" s="192"/>
    </row>
    <row r="799" spans="1:19" ht="20.5" thickTop="1" thickBot="1" x14ac:dyDescent="0.4">
      <c r="A799" s="184" t="s">
        <v>499</v>
      </c>
      <c r="B799" s="185" t="s">
        <v>499</v>
      </c>
      <c r="C799" s="185" t="s">
        <v>499</v>
      </c>
      <c r="D799" s="186" t="s">
        <v>499</v>
      </c>
      <c r="E799" s="185" t="s">
        <v>499</v>
      </c>
      <c r="F799" s="185" t="s">
        <v>499</v>
      </c>
      <c r="G799" s="187">
        <f t="shared" si="12"/>
        <v>0</v>
      </c>
      <c r="H799" s="188"/>
      <c r="I799" s="188"/>
      <c r="J799" s="188"/>
      <c r="K799" s="185"/>
      <c r="L799" s="185"/>
      <c r="M799" s="185"/>
      <c r="N799" s="185"/>
      <c r="O799" s="193"/>
      <c r="P799" s="193"/>
      <c r="Q799" s="195"/>
      <c r="R799" s="191"/>
      <c r="S799" s="192"/>
    </row>
    <row r="800" spans="1:19" ht="20.5" thickTop="1" thickBot="1" x14ac:dyDescent="0.4">
      <c r="A800" s="184" t="s">
        <v>499</v>
      </c>
      <c r="B800" s="185" t="s">
        <v>499</v>
      </c>
      <c r="C800" s="185" t="s">
        <v>499</v>
      </c>
      <c r="D800" s="186" t="s">
        <v>499</v>
      </c>
      <c r="E800" s="185" t="s">
        <v>499</v>
      </c>
      <c r="F800" s="185" t="s">
        <v>499</v>
      </c>
      <c r="G800" s="187">
        <f t="shared" si="12"/>
        <v>0</v>
      </c>
      <c r="H800" s="188"/>
      <c r="I800" s="188"/>
      <c r="J800" s="188"/>
      <c r="K800" s="185"/>
      <c r="L800" s="185"/>
      <c r="M800" s="185"/>
      <c r="N800" s="185"/>
      <c r="O800" s="193"/>
      <c r="P800" s="193"/>
      <c r="Q800" s="195"/>
      <c r="R800" s="191"/>
      <c r="S800" s="192"/>
    </row>
    <row r="801" spans="1:19" ht="20.5" thickTop="1" thickBot="1" x14ac:dyDescent="0.4">
      <c r="A801" s="184" t="s">
        <v>499</v>
      </c>
      <c r="B801" s="185" t="s">
        <v>499</v>
      </c>
      <c r="C801" s="185" t="s">
        <v>499</v>
      </c>
      <c r="D801" s="186" t="s">
        <v>499</v>
      </c>
      <c r="E801" s="185" t="s">
        <v>499</v>
      </c>
      <c r="F801" s="185" t="s">
        <v>499</v>
      </c>
      <c r="G801" s="187">
        <f t="shared" si="12"/>
        <v>0</v>
      </c>
      <c r="H801" s="188"/>
      <c r="I801" s="188"/>
      <c r="J801" s="188"/>
      <c r="K801" s="185"/>
      <c r="L801" s="185"/>
      <c r="M801" s="185"/>
      <c r="N801" s="185"/>
      <c r="O801" s="193"/>
      <c r="P801" s="193"/>
      <c r="Q801" s="195"/>
      <c r="R801" s="191"/>
      <c r="S801" s="192"/>
    </row>
    <row r="802" spans="1:19" ht="20.5" thickTop="1" thickBot="1" x14ac:dyDescent="0.4">
      <c r="A802" s="184" t="s">
        <v>499</v>
      </c>
      <c r="B802" s="185" t="s">
        <v>499</v>
      </c>
      <c r="C802" s="185" t="s">
        <v>499</v>
      </c>
      <c r="D802" s="186" t="s">
        <v>499</v>
      </c>
      <c r="E802" s="185" t="s">
        <v>499</v>
      </c>
      <c r="F802" s="185" t="s">
        <v>499</v>
      </c>
      <c r="G802" s="187">
        <f t="shared" si="12"/>
        <v>0</v>
      </c>
      <c r="H802" s="188"/>
      <c r="I802" s="188"/>
      <c r="J802" s="188"/>
      <c r="K802" s="185"/>
      <c r="L802" s="185"/>
      <c r="M802" s="185"/>
      <c r="N802" s="185"/>
      <c r="O802" s="193"/>
      <c r="P802" s="193"/>
      <c r="Q802" s="195"/>
      <c r="R802" s="191"/>
      <c r="S802" s="192"/>
    </row>
    <row r="803" spans="1:19" ht="20.5" thickTop="1" thickBot="1" x14ac:dyDescent="0.4">
      <c r="A803" s="184" t="s">
        <v>499</v>
      </c>
      <c r="B803" s="185" t="s">
        <v>499</v>
      </c>
      <c r="C803" s="185" t="s">
        <v>499</v>
      </c>
      <c r="D803" s="186" t="s">
        <v>499</v>
      </c>
      <c r="E803" s="185" t="s">
        <v>499</v>
      </c>
      <c r="F803" s="185" t="s">
        <v>499</v>
      </c>
      <c r="G803" s="187">
        <f t="shared" si="12"/>
        <v>0</v>
      </c>
      <c r="H803" s="188"/>
      <c r="I803" s="188"/>
      <c r="J803" s="188"/>
      <c r="K803" s="185"/>
      <c r="L803" s="185"/>
      <c r="M803" s="185"/>
      <c r="N803" s="185"/>
      <c r="O803" s="193"/>
      <c r="P803" s="193"/>
      <c r="Q803" s="195"/>
      <c r="R803" s="191"/>
      <c r="S803" s="192"/>
    </row>
    <row r="804" spans="1:19" ht="20.5" thickTop="1" thickBot="1" x14ac:dyDescent="0.4">
      <c r="A804" s="184" t="s">
        <v>499</v>
      </c>
      <c r="B804" s="185" t="s">
        <v>499</v>
      </c>
      <c r="C804" s="185" t="s">
        <v>499</v>
      </c>
      <c r="D804" s="186" t="s">
        <v>499</v>
      </c>
      <c r="E804" s="185" t="s">
        <v>499</v>
      </c>
      <c r="F804" s="185" t="s">
        <v>499</v>
      </c>
      <c r="G804" s="187">
        <f t="shared" si="12"/>
        <v>0</v>
      </c>
      <c r="H804" s="188"/>
      <c r="I804" s="188"/>
      <c r="J804" s="188"/>
      <c r="K804" s="185"/>
      <c r="L804" s="185"/>
      <c r="M804" s="185"/>
      <c r="N804" s="185"/>
      <c r="O804" s="193"/>
      <c r="P804" s="193"/>
      <c r="Q804" s="195"/>
      <c r="R804" s="191"/>
      <c r="S804" s="192"/>
    </row>
    <row r="805" spans="1:19" ht="20.5" thickTop="1" thickBot="1" x14ac:dyDescent="0.4">
      <c r="A805" s="184" t="s">
        <v>499</v>
      </c>
      <c r="B805" s="185" t="s">
        <v>499</v>
      </c>
      <c r="C805" s="185" t="s">
        <v>499</v>
      </c>
      <c r="D805" s="186" t="s">
        <v>499</v>
      </c>
      <c r="E805" s="185" t="s">
        <v>499</v>
      </c>
      <c r="F805" s="185" t="s">
        <v>499</v>
      </c>
      <c r="G805" s="187">
        <f t="shared" si="12"/>
        <v>0</v>
      </c>
      <c r="H805" s="188"/>
      <c r="I805" s="188"/>
      <c r="J805" s="188"/>
      <c r="K805" s="185"/>
      <c r="L805" s="185"/>
      <c r="M805" s="185"/>
      <c r="N805" s="185"/>
      <c r="O805" s="193"/>
      <c r="P805" s="193"/>
      <c r="Q805" s="195"/>
      <c r="R805" s="191"/>
      <c r="S805" s="192"/>
    </row>
    <row r="806" spans="1:19" ht="20.5" thickTop="1" thickBot="1" x14ac:dyDescent="0.4">
      <c r="A806" s="184" t="s">
        <v>499</v>
      </c>
      <c r="B806" s="185" t="s">
        <v>499</v>
      </c>
      <c r="C806" s="185" t="s">
        <v>499</v>
      </c>
      <c r="D806" s="186" t="s">
        <v>499</v>
      </c>
      <c r="E806" s="185" t="s">
        <v>499</v>
      </c>
      <c r="F806" s="185" t="s">
        <v>499</v>
      </c>
      <c r="G806" s="187">
        <f t="shared" si="12"/>
        <v>0</v>
      </c>
      <c r="H806" s="188"/>
      <c r="I806" s="188"/>
      <c r="J806" s="188"/>
      <c r="K806" s="185"/>
      <c r="L806" s="185"/>
      <c r="M806" s="185"/>
      <c r="N806" s="185"/>
      <c r="O806" s="193"/>
      <c r="P806" s="193"/>
      <c r="Q806" s="195"/>
      <c r="R806" s="191"/>
      <c r="S806" s="192"/>
    </row>
    <row r="807" spans="1:19" ht="20.5" thickTop="1" thickBot="1" x14ac:dyDescent="0.4">
      <c r="A807" s="184" t="s">
        <v>499</v>
      </c>
      <c r="B807" s="185" t="s">
        <v>499</v>
      </c>
      <c r="C807" s="185" t="s">
        <v>499</v>
      </c>
      <c r="D807" s="186" t="s">
        <v>499</v>
      </c>
      <c r="E807" s="185" t="s">
        <v>499</v>
      </c>
      <c r="F807" s="185" t="s">
        <v>499</v>
      </c>
      <c r="G807" s="187">
        <f t="shared" si="12"/>
        <v>0</v>
      </c>
      <c r="H807" s="188"/>
      <c r="I807" s="188"/>
      <c r="J807" s="188"/>
      <c r="K807" s="185"/>
      <c r="L807" s="185"/>
      <c r="M807" s="185"/>
      <c r="N807" s="185"/>
      <c r="O807" s="193"/>
      <c r="P807" s="193"/>
      <c r="Q807" s="195"/>
      <c r="R807" s="191"/>
      <c r="S807" s="192"/>
    </row>
    <row r="808" spans="1:19" ht="20.5" thickTop="1" thickBot="1" x14ac:dyDescent="0.4">
      <c r="A808" s="184" t="s">
        <v>499</v>
      </c>
      <c r="B808" s="185" t="s">
        <v>499</v>
      </c>
      <c r="C808" s="185" t="s">
        <v>499</v>
      </c>
      <c r="D808" s="186" t="s">
        <v>499</v>
      </c>
      <c r="E808" s="185" t="s">
        <v>499</v>
      </c>
      <c r="F808" s="185" t="s">
        <v>499</v>
      </c>
      <c r="G808" s="187">
        <f t="shared" si="12"/>
        <v>0</v>
      </c>
      <c r="H808" s="188"/>
      <c r="I808" s="188"/>
      <c r="J808" s="188"/>
      <c r="K808" s="185"/>
      <c r="L808" s="185"/>
      <c r="M808" s="185"/>
      <c r="N808" s="185"/>
      <c r="O808" s="193"/>
      <c r="P808" s="193"/>
      <c r="Q808" s="195"/>
      <c r="R808" s="191"/>
      <c r="S808" s="192"/>
    </row>
    <row r="809" spans="1:19" ht="20.5" thickTop="1" thickBot="1" x14ac:dyDescent="0.4">
      <c r="A809" s="184" t="s">
        <v>499</v>
      </c>
      <c r="B809" s="185" t="s">
        <v>499</v>
      </c>
      <c r="C809" s="185" t="s">
        <v>499</v>
      </c>
      <c r="D809" s="186" t="s">
        <v>499</v>
      </c>
      <c r="E809" s="185" t="s">
        <v>499</v>
      </c>
      <c r="F809" s="185" t="s">
        <v>499</v>
      </c>
      <c r="G809" s="187">
        <f t="shared" si="12"/>
        <v>0</v>
      </c>
      <c r="H809" s="188"/>
      <c r="I809" s="188"/>
      <c r="J809" s="188"/>
      <c r="K809" s="185"/>
      <c r="L809" s="185"/>
      <c r="M809" s="185"/>
      <c r="N809" s="185"/>
      <c r="O809" s="193"/>
      <c r="P809" s="193"/>
      <c r="Q809" s="195"/>
      <c r="R809" s="191"/>
      <c r="S809" s="192"/>
    </row>
    <row r="810" spans="1:19" ht="20.5" thickTop="1" thickBot="1" x14ac:dyDescent="0.4">
      <c r="A810" s="184" t="s">
        <v>499</v>
      </c>
      <c r="B810" s="185" t="s">
        <v>499</v>
      </c>
      <c r="C810" s="185" t="s">
        <v>499</v>
      </c>
      <c r="D810" s="186" t="s">
        <v>499</v>
      </c>
      <c r="E810" s="185" t="s">
        <v>499</v>
      </c>
      <c r="F810" s="185" t="s">
        <v>499</v>
      </c>
      <c r="G810" s="187">
        <f t="shared" si="12"/>
        <v>0</v>
      </c>
      <c r="H810" s="188"/>
      <c r="I810" s="188"/>
      <c r="J810" s="188"/>
      <c r="K810" s="185"/>
      <c r="L810" s="185"/>
      <c r="M810" s="185"/>
      <c r="N810" s="185"/>
      <c r="O810" s="193"/>
      <c r="P810" s="193"/>
      <c r="Q810" s="195"/>
      <c r="R810" s="191"/>
      <c r="S810" s="192"/>
    </row>
    <row r="811" spans="1:19" ht="20.5" thickTop="1" thickBot="1" x14ac:dyDescent="0.4">
      <c r="A811" s="184" t="s">
        <v>499</v>
      </c>
      <c r="B811" s="185" t="s">
        <v>499</v>
      </c>
      <c r="C811" s="185" t="s">
        <v>499</v>
      </c>
      <c r="D811" s="186" t="s">
        <v>499</v>
      </c>
      <c r="E811" s="185" t="s">
        <v>499</v>
      </c>
      <c r="F811" s="185" t="s">
        <v>499</v>
      </c>
      <c r="G811" s="187">
        <f t="shared" si="12"/>
        <v>0</v>
      </c>
      <c r="H811" s="188"/>
      <c r="I811" s="188"/>
      <c r="J811" s="188"/>
      <c r="K811" s="185"/>
      <c r="L811" s="185"/>
      <c r="M811" s="185"/>
      <c r="N811" s="185"/>
      <c r="O811" s="193"/>
      <c r="P811" s="193"/>
      <c r="Q811" s="195"/>
      <c r="R811" s="191"/>
      <c r="S811" s="192"/>
    </row>
    <row r="812" spans="1:19" ht="20.5" thickTop="1" thickBot="1" x14ac:dyDescent="0.4">
      <c r="A812" s="184" t="s">
        <v>499</v>
      </c>
      <c r="B812" s="185" t="s">
        <v>499</v>
      </c>
      <c r="C812" s="185" t="s">
        <v>499</v>
      </c>
      <c r="D812" s="186" t="s">
        <v>499</v>
      </c>
      <c r="E812" s="185" t="s">
        <v>499</v>
      </c>
      <c r="F812" s="185" t="s">
        <v>499</v>
      </c>
      <c r="G812" s="187">
        <f t="shared" si="12"/>
        <v>0</v>
      </c>
      <c r="H812" s="188"/>
      <c r="I812" s="188"/>
      <c r="J812" s="188"/>
      <c r="K812" s="185"/>
      <c r="L812" s="185"/>
      <c r="M812" s="185"/>
      <c r="N812" s="185"/>
      <c r="O812" s="193"/>
      <c r="P812" s="193"/>
      <c r="Q812" s="195"/>
      <c r="R812" s="191"/>
      <c r="S812" s="192"/>
    </row>
    <row r="813" spans="1:19" ht="20.5" thickTop="1" thickBot="1" x14ac:dyDescent="0.4">
      <c r="A813" s="184" t="s">
        <v>499</v>
      </c>
      <c r="B813" s="185" t="s">
        <v>499</v>
      </c>
      <c r="C813" s="185" t="s">
        <v>499</v>
      </c>
      <c r="D813" s="186" t="s">
        <v>499</v>
      </c>
      <c r="E813" s="185" t="s">
        <v>499</v>
      </c>
      <c r="F813" s="185" t="s">
        <v>499</v>
      </c>
      <c r="G813" s="187">
        <f t="shared" si="12"/>
        <v>0</v>
      </c>
      <c r="H813" s="188"/>
      <c r="I813" s="188"/>
      <c r="J813" s="188"/>
      <c r="K813" s="185"/>
      <c r="L813" s="185"/>
      <c r="M813" s="185"/>
      <c r="N813" s="185"/>
      <c r="O813" s="193"/>
      <c r="P813" s="193"/>
      <c r="Q813" s="195"/>
      <c r="R813" s="191"/>
      <c r="S813" s="192"/>
    </row>
    <row r="814" spans="1:19" ht="20.5" thickTop="1" thickBot="1" x14ac:dyDescent="0.4">
      <c r="A814" s="184" t="s">
        <v>499</v>
      </c>
      <c r="B814" s="185" t="s">
        <v>499</v>
      </c>
      <c r="C814" s="185" t="s">
        <v>499</v>
      </c>
      <c r="D814" s="186" t="s">
        <v>499</v>
      </c>
      <c r="E814" s="185" t="s">
        <v>499</v>
      </c>
      <c r="F814" s="185" t="s">
        <v>499</v>
      </c>
      <c r="G814" s="187">
        <f t="shared" si="12"/>
        <v>0</v>
      </c>
      <c r="H814" s="188"/>
      <c r="I814" s="188"/>
      <c r="J814" s="188"/>
      <c r="K814" s="185"/>
      <c r="L814" s="185"/>
      <c r="M814" s="185"/>
      <c r="N814" s="185"/>
      <c r="O814" s="193"/>
      <c r="P814" s="193"/>
      <c r="Q814" s="195"/>
      <c r="R814" s="191"/>
      <c r="S814" s="192"/>
    </row>
    <row r="815" spans="1:19" ht="20.5" thickTop="1" thickBot="1" x14ac:dyDescent="0.4">
      <c r="A815" s="184" t="s">
        <v>499</v>
      </c>
      <c r="B815" s="185" t="s">
        <v>499</v>
      </c>
      <c r="C815" s="185" t="s">
        <v>499</v>
      </c>
      <c r="D815" s="186" t="s">
        <v>499</v>
      </c>
      <c r="E815" s="185" t="s">
        <v>499</v>
      </c>
      <c r="F815" s="185" t="s">
        <v>499</v>
      </c>
      <c r="G815" s="187">
        <f t="shared" si="12"/>
        <v>0</v>
      </c>
      <c r="H815" s="188"/>
      <c r="I815" s="188"/>
      <c r="J815" s="188"/>
      <c r="K815" s="185"/>
      <c r="L815" s="185"/>
      <c r="M815" s="185"/>
      <c r="N815" s="185"/>
      <c r="O815" s="193"/>
      <c r="P815" s="193"/>
      <c r="Q815" s="195"/>
      <c r="R815" s="191"/>
      <c r="S815" s="192"/>
    </row>
    <row r="816" spans="1:19" ht="20.5" thickTop="1" thickBot="1" x14ac:dyDescent="0.4">
      <c r="A816" s="184" t="s">
        <v>499</v>
      </c>
      <c r="B816" s="185" t="s">
        <v>499</v>
      </c>
      <c r="C816" s="185" t="s">
        <v>499</v>
      </c>
      <c r="D816" s="186" t="s">
        <v>499</v>
      </c>
      <c r="E816" s="185" t="s">
        <v>499</v>
      </c>
      <c r="F816" s="185" t="s">
        <v>499</v>
      </c>
      <c r="G816" s="187">
        <f t="shared" si="12"/>
        <v>0</v>
      </c>
      <c r="H816" s="188"/>
      <c r="I816" s="188"/>
      <c r="J816" s="188"/>
      <c r="K816" s="185"/>
      <c r="L816" s="185"/>
      <c r="M816" s="185"/>
      <c r="N816" s="185"/>
      <c r="O816" s="193"/>
      <c r="P816" s="193"/>
      <c r="Q816" s="195"/>
      <c r="R816" s="191"/>
      <c r="S816" s="192"/>
    </row>
    <row r="817" spans="1:19" ht="20.5" thickTop="1" thickBot="1" x14ac:dyDescent="0.4">
      <c r="A817" s="184" t="s">
        <v>499</v>
      </c>
      <c r="B817" s="185" t="s">
        <v>499</v>
      </c>
      <c r="C817" s="185" t="s">
        <v>499</v>
      </c>
      <c r="D817" s="186" t="s">
        <v>499</v>
      </c>
      <c r="E817" s="185" t="s">
        <v>499</v>
      </c>
      <c r="F817" s="185" t="s">
        <v>499</v>
      </c>
      <c r="G817" s="187">
        <f t="shared" si="12"/>
        <v>0</v>
      </c>
      <c r="H817" s="188"/>
      <c r="I817" s="188"/>
      <c r="J817" s="188"/>
      <c r="K817" s="185"/>
      <c r="L817" s="185"/>
      <c r="M817" s="185"/>
      <c r="N817" s="185"/>
      <c r="O817" s="193"/>
      <c r="P817" s="193"/>
      <c r="Q817" s="195"/>
      <c r="R817" s="191"/>
      <c r="S817" s="192"/>
    </row>
    <row r="818" spans="1:19" ht="20.5" thickTop="1" thickBot="1" x14ac:dyDescent="0.4">
      <c r="A818" s="184" t="s">
        <v>499</v>
      </c>
      <c r="B818" s="185" t="s">
        <v>499</v>
      </c>
      <c r="C818" s="185" t="s">
        <v>499</v>
      </c>
      <c r="D818" s="186" t="s">
        <v>499</v>
      </c>
      <c r="E818" s="185" t="s">
        <v>499</v>
      </c>
      <c r="F818" s="185" t="s">
        <v>499</v>
      </c>
      <c r="G818" s="187">
        <f t="shared" si="12"/>
        <v>0</v>
      </c>
      <c r="H818" s="188"/>
      <c r="I818" s="188"/>
      <c r="J818" s="188"/>
      <c r="K818" s="185"/>
      <c r="L818" s="185"/>
      <c r="M818" s="185"/>
      <c r="N818" s="185"/>
      <c r="O818" s="193"/>
      <c r="P818" s="193"/>
      <c r="Q818" s="195"/>
      <c r="R818" s="191"/>
      <c r="S818" s="192"/>
    </row>
    <row r="819" spans="1:19" ht="20.5" thickTop="1" thickBot="1" x14ac:dyDescent="0.4">
      <c r="A819" s="184" t="s">
        <v>499</v>
      </c>
      <c r="B819" s="185" t="s">
        <v>499</v>
      </c>
      <c r="C819" s="185" t="s">
        <v>499</v>
      </c>
      <c r="D819" s="186" t="s">
        <v>499</v>
      </c>
      <c r="E819" s="185" t="s">
        <v>499</v>
      </c>
      <c r="F819" s="185" t="s">
        <v>499</v>
      </c>
      <c r="G819" s="187">
        <f t="shared" si="12"/>
        <v>0</v>
      </c>
      <c r="H819" s="188"/>
      <c r="I819" s="188"/>
      <c r="J819" s="188"/>
      <c r="K819" s="185"/>
      <c r="L819" s="185"/>
      <c r="M819" s="185"/>
      <c r="N819" s="185"/>
      <c r="O819" s="193"/>
      <c r="P819" s="193"/>
      <c r="Q819" s="195"/>
      <c r="R819" s="191"/>
      <c r="S819" s="192"/>
    </row>
    <row r="820" spans="1:19" ht="20.5" thickTop="1" thickBot="1" x14ac:dyDescent="0.4">
      <c r="A820" s="184" t="s">
        <v>499</v>
      </c>
      <c r="B820" s="185" t="s">
        <v>499</v>
      </c>
      <c r="C820" s="185" t="s">
        <v>499</v>
      </c>
      <c r="D820" s="186" t="s">
        <v>499</v>
      </c>
      <c r="E820" s="185" t="s">
        <v>499</v>
      </c>
      <c r="F820" s="185" t="s">
        <v>499</v>
      </c>
      <c r="G820" s="187">
        <f t="shared" si="12"/>
        <v>0</v>
      </c>
      <c r="H820" s="188"/>
      <c r="I820" s="188"/>
      <c r="J820" s="188"/>
      <c r="K820" s="185"/>
      <c r="L820" s="185"/>
      <c r="M820" s="185"/>
      <c r="N820" s="185"/>
      <c r="O820" s="193"/>
      <c r="P820" s="193"/>
      <c r="Q820" s="195"/>
      <c r="R820" s="191"/>
      <c r="S820" s="192"/>
    </row>
    <row r="821" spans="1:19" ht="20.5" thickTop="1" thickBot="1" x14ac:dyDescent="0.4">
      <c r="A821" s="184" t="s">
        <v>499</v>
      </c>
      <c r="B821" s="185" t="s">
        <v>499</v>
      </c>
      <c r="C821" s="185" t="s">
        <v>499</v>
      </c>
      <c r="D821" s="186" t="s">
        <v>499</v>
      </c>
      <c r="E821" s="185" t="s">
        <v>499</v>
      </c>
      <c r="F821" s="185" t="s">
        <v>499</v>
      </c>
      <c r="G821" s="187">
        <f t="shared" si="12"/>
        <v>0</v>
      </c>
      <c r="H821" s="188"/>
      <c r="I821" s="188"/>
      <c r="J821" s="188"/>
      <c r="K821" s="185"/>
      <c r="L821" s="185"/>
      <c r="M821" s="185"/>
      <c r="N821" s="185"/>
      <c r="O821" s="193"/>
      <c r="P821" s="193"/>
      <c r="Q821" s="195"/>
      <c r="R821" s="191"/>
      <c r="S821" s="192"/>
    </row>
    <row r="822" spans="1:19" ht="20.5" thickTop="1" thickBot="1" x14ac:dyDescent="0.4">
      <c r="A822" s="184" t="s">
        <v>499</v>
      </c>
      <c r="B822" s="185" t="s">
        <v>499</v>
      </c>
      <c r="C822" s="185" t="s">
        <v>499</v>
      </c>
      <c r="D822" s="186" t="s">
        <v>499</v>
      </c>
      <c r="E822" s="185" t="s">
        <v>499</v>
      </c>
      <c r="F822" s="185" t="s">
        <v>499</v>
      </c>
      <c r="G822" s="187">
        <f t="shared" si="12"/>
        <v>0</v>
      </c>
      <c r="H822" s="188"/>
      <c r="I822" s="188"/>
      <c r="J822" s="188"/>
      <c r="K822" s="185"/>
      <c r="L822" s="185"/>
      <c r="M822" s="185"/>
      <c r="N822" s="185"/>
      <c r="O822" s="193"/>
      <c r="P822" s="193"/>
      <c r="Q822" s="195"/>
      <c r="R822" s="191"/>
      <c r="S822" s="192"/>
    </row>
    <row r="823" spans="1:19" ht="20.5" thickTop="1" thickBot="1" x14ac:dyDescent="0.4">
      <c r="A823" s="184" t="s">
        <v>499</v>
      </c>
      <c r="B823" s="185" t="s">
        <v>499</v>
      </c>
      <c r="C823" s="185" t="s">
        <v>499</v>
      </c>
      <c r="D823" s="186" t="s">
        <v>499</v>
      </c>
      <c r="E823" s="185" t="s">
        <v>499</v>
      </c>
      <c r="F823" s="185" t="s">
        <v>499</v>
      </c>
      <c r="G823" s="187">
        <f t="shared" si="12"/>
        <v>0</v>
      </c>
      <c r="H823" s="188"/>
      <c r="I823" s="188"/>
      <c r="J823" s="188"/>
      <c r="K823" s="185"/>
      <c r="L823" s="185"/>
      <c r="M823" s="185"/>
      <c r="N823" s="185"/>
      <c r="O823" s="193"/>
      <c r="P823" s="193"/>
      <c r="Q823" s="195"/>
      <c r="R823" s="191"/>
      <c r="S823" s="192"/>
    </row>
    <row r="824" spans="1:19" ht="20.5" thickTop="1" thickBot="1" x14ac:dyDescent="0.4">
      <c r="A824" s="184" t="s">
        <v>499</v>
      </c>
      <c r="B824" s="185" t="s">
        <v>499</v>
      </c>
      <c r="C824" s="185" t="s">
        <v>499</v>
      </c>
      <c r="D824" s="186" t="s">
        <v>499</v>
      </c>
      <c r="E824" s="185" t="s">
        <v>499</v>
      </c>
      <c r="F824" s="185" t="s">
        <v>499</v>
      </c>
      <c r="G824" s="187">
        <f t="shared" si="12"/>
        <v>0</v>
      </c>
      <c r="H824" s="188"/>
      <c r="I824" s="188"/>
      <c r="J824" s="188"/>
      <c r="K824" s="185"/>
      <c r="L824" s="185"/>
      <c r="M824" s="185"/>
      <c r="N824" s="185"/>
      <c r="O824" s="193"/>
      <c r="P824" s="193"/>
      <c r="Q824" s="195"/>
      <c r="R824" s="191"/>
      <c r="S824" s="192"/>
    </row>
    <row r="825" spans="1:19" ht="20.5" thickTop="1" thickBot="1" x14ac:dyDescent="0.4">
      <c r="A825" s="184" t="s">
        <v>499</v>
      </c>
      <c r="B825" s="185" t="s">
        <v>499</v>
      </c>
      <c r="C825" s="185" t="s">
        <v>499</v>
      </c>
      <c r="D825" s="186" t="s">
        <v>499</v>
      </c>
      <c r="E825" s="185" t="s">
        <v>499</v>
      </c>
      <c r="F825" s="185" t="s">
        <v>499</v>
      </c>
      <c r="G825" s="187">
        <f t="shared" si="12"/>
        <v>0</v>
      </c>
      <c r="H825" s="188"/>
      <c r="I825" s="188"/>
      <c r="J825" s="188"/>
      <c r="K825" s="185"/>
      <c r="L825" s="185"/>
      <c r="M825" s="185"/>
      <c r="N825" s="185"/>
      <c r="O825" s="193"/>
      <c r="P825" s="193"/>
      <c r="Q825" s="195"/>
      <c r="R825" s="191"/>
      <c r="S825" s="192"/>
    </row>
    <row r="826" spans="1:19" ht="20.5" thickTop="1" thickBot="1" x14ac:dyDescent="0.4">
      <c r="A826" s="184" t="s">
        <v>499</v>
      </c>
      <c r="B826" s="185" t="s">
        <v>499</v>
      </c>
      <c r="C826" s="185" t="s">
        <v>499</v>
      </c>
      <c r="D826" s="186" t="s">
        <v>499</v>
      </c>
      <c r="E826" s="185" t="s">
        <v>499</v>
      </c>
      <c r="F826" s="185" t="s">
        <v>499</v>
      </c>
      <c r="G826" s="187">
        <f t="shared" si="12"/>
        <v>0</v>
      </c>
      <c r="H826" s="188"/>
      <c r="I826" s="188"/>
      <c r="J826" s="188"/>
      <c r="K826" s="185"/>
      <c r="L826" s="185"/>
      <c r="M826" s="185"/>
      <c r="N826" s="185"/>
      <c r="O826" s="193"/>
      <c r="P826" s="193"/>
      <c r="Q826" s="195"/>
      <c r="R826" s="191"/>
      <c r="S826" s="192"/>
    </row>
    <row r="827" spans="1:19" ht="20.5" thickTop="1" thickBot="1" x14ac:dyDescent="0.4">
      <c r="A827" s="184" t="s">
        <v>499</v>
      </c>
      <c r="B827" s="185" t="s">
        <v>499</v>
      </c>
      <c r="C827" s="185" t="s">
        <v>499</v>
      </c>
      <c r="D827" s="186" t="s">
        <v>499</v>
      </c>
      <c r="E827" s="185" t="s">
        <v>499</v>
      </c>
      <c r="F827" s="185" t="s">
        <v>499</v>
      </c>
      <c r="G827" s="187">
        <f t="shared" si="12"/>
        <v>0</v>
      </c>
      <c r="H827" s="188"/>
      <c r="I827" s="188"/>
      <c r="J827" s="188"/>
      <c r="K827" s="185"/>
      <c r="L827" s="185"/>
      <c r="M827" s="185"/>
      <c r="N827" s="185"/>
      <c r="O827" s="193"/>
      <c r="P827" s="193"/>
      <c r="Q827" s="195"/>
      <c r="R827" s="191"/>
      <c r="S827" s="192"/>
    </row>
    <row r="828" spans="1:19" ht="20.5" thickTop="1" thickBot="1" x14ac:dyDescent="0.4">
      <c r="A828" s="184" t="s">
        <v>499</v>
      </c>
      <c r="B828" s="185" t="s">
        <v>499</v>
      </c>
      <c r="C828" s="185" t="s">
        <v>499</v>
      </c>
      <c r="D828" s="186" t="s">
        <v>499</v>
      </c>
      <c r="E828" s="185" t="s">
        <v>499</v>
      </c>
      <c r="F828" s="185" t="s">
        <v>499</v>
      </c>
      <c r="G828" s="187">
        <f t="shared" si="12"/>
        <v>0</v>
      </c>
      <c r="H828" s="188"/>
      <c r="I828" s="188"/>
      <c r="J828" s="188"/>
      <c r="K828" s="185"/>
      <c r="L828" s="185"/>
      <c r="M828" s="185"/>
      <c r="N828" s="185"/>
      <c r="O828" s="193"/>
      <c r="P828" s="193"/>
      <c r="Q828" s="195"/>
      <c r="R828" s="191"/>
      <c r="S828" s="192"/>
    </row>
    <row r="829" spans="1:19" ht="20.5" thickTop="1" thickBot="1" x14ac:dyDescent="0.4">
      <c r="A829" s="184" t="s">
        <v>499</v>
      </c>
      <c r="B829" s="185" t="s">
        <v>499</v>
      </c>
      <c r="C829" s="185" t="s">
        <v>499</v>
      </c>
      <c r="D829" s="186" t="s">
        <v>499</v>
      </c>
      <c r="E829" s="185" t="s">
        <v>499</v>
      </c>
      <c r="F829" s="185" t="s">
        <v>499</v>
      </c>
      <c r="G829" s="187">
        <f t="shared" si="12"/>
        <v>0</v>
      </c>
      <c r="H829" s="188"/>
      <c r="I829" s="188"/>
      <c r="J829" s="188"/>
      <c r="K829" s="185"/>
      <c r="L829" s="185"/>
      <c r="M829" s="185"/>
      <c r="N829" s="185"/>
      <c r="O829" s="193"/>
      <c r="P829" s="193"/>
      <c r="Q829" s="195"/>
      <c r="R829" s="191"/>
      <c r="S829" s="192"/>
    </row>
    <row r="830" spans="1:19" ht="20.5" thickTop="1" thickBot="1" x14ac:dyDescent="0.4">
      <c r="A830" s="184" t="s">
        <v>499</v>
      </c>
      <c r="B830" s="185" t="s">
        <v>499</v>
      </c>
      <c r="C830" s="185" t="s">
        <v>499</v>
      </c>
      <c r="D830" s="186" t="s">
        <v>499</v>
      </c>
      <c r="E830" s="185" t="s">
        <v>499</v>
      </c>
      <c r="F830" s="185" t="s">
        <v>499</v>
      </c>
      <c r="G830" s="187">
        <f t="shared" si="12"/>
        <v>0</v>
      </c>
      <c r="H830" s="188"/>
      <c r="I830" s="188"/>
      <c r="J830" s="188"/>
      <c r="K830" s="185"/>
      <c r="L830" s="185"/>
      <c r="M830" s="185"/>
      <c r="N830" s="185"/>
      <c r="O830" s="193"/>
      <c r="P830" s="193"/>
      <c r="Q830" s="195"/>
      <c r="R830" s="191"/>
      <c r="S830" s="192"/>
    </row>
    <row r="831" spans="1:19" ht="20.5" thickTop="1" thickBot="1" x14ac:dyDescent="0.4">
      <c r="A831" s="184" t="s">
        <v>499</v>
      </c>
      <c r="B831" s="185" t="s">
        <v>499</v>
      </c>
      <c r="C831" s="185" t="s">
        <v>499</v>
      </c>
      <c r="D831" s="186" t="s">
        <v>499</v>
      </c>
      <c r="E831" s="185" t="s">
        <v>499</v>
      </c>
      <c r="F831" s="185" t="s">
        <v>499</v>
      </c>
      <c r="G831" s="187">
        <f t="shared" si="12"/>
        <v>0</v>
      </c>
      <c r="H831" s="188"/>
      <c r="I831" s="188"/>
      <c r="J831" s="188"/>
      <c r="K831" s="185"/>
      <c r="L831" s="185"/>
      <c r="M831" s="185"/>
      <c r="N831" s="185"/>
      <c r="O831" s="193"/>
      <c r="P831" s="193"/>
      <c r="Q831" s="195"/>
      <c r="R831" s="191"/>
      <c r="S831" s="192"/>
    </row>
    <row r="832" spans="1:19" ht="20.5" thickTop="1" thickBot="1" x14ac:dyDescent="0.4">
      <c r="A832" s="184" t="s">
        <v>499</v>
      </c>
      <c r="B832" s="185" t="s">
        <v>499</v>
      </c>
      <c r="C832" s="185" t="s">
        <v>499</v>
      </c>
      <c r="D832" s="186" t="s">
        <v>499</v>
      </c>
      <c r="E832" s="185" t="s">
        <v>499</v>
      </c>
      <c r="F832" s="185" t="s">
        <v>499</v>
      </c>
      <c r="G832" s="187">
        <f t="shared" si="12"/>
        <v>0</v>
      </c>
      <c r="H832" s="188"/>
      <c r="I832" s="188"/>
      <c r="J832" s="188"/>
      <c r="K832" s="185"/>
      <c r="L832" s="185"/>
      <c r="M832" s="185"/>
      <c r="N832" s="185"/>
      <c r="O832" s="193"/>
      <c r="P832" s="193"/>
      <c r="Q832" s="195"/>
      <c r="R832" s="191"/>
      <c r="S832" s="192"/>
    </row>
    <row r="833" spans="1:19" ht="20.5" thickTop="1" thickBot="1" x14ac:dyDescent="0.4">
      <c r="A833" s="184" t="s">
        <v>499</v>
      </c>
      <c r="B833" s="185" t="s">
        <v>499</v>
      </c>
      <c r="C833" s="185" t="s">
        <v>499</v>
      </c>
      <c r="D833" s="186" t="s">
        <v>499</v>
      </c>
      <c r="E833" s="185" t="s">
        <v>499</v>
      </c>
      <c r="F833" s="185" t="s">
        <v>499</v>
      </c>
      <c r="G833" s="187">
        <f t="shared" si="12"/>
        <v>0</v>
      </c>
      <c r="H833" s="188"/>
      <c r="I833" s="188"/>
      <c r="J833" s="188"/>
      <c r="K833" s="185"/>
      <c r="L833" s="185"/>
      <c r="M833" s="185"/>
      <c r="N833" s="185"/>
      <c r="O833" s="193"/>
      <c r="P833" s="193"/>
      <c r="Q833" s="195"/>
      <c r="R833" s="191"/>
      <c r="S833" s="192"/>
    </row>
    <row r="834" spans="1:19" ht="20.5" thickTop="1" thickBot="1" x14ac:dyDescent="0.4">
      <c r="A834" s="184" t="s">
        <v>499</v>
      </c>
      <c r="B834" s="185" t="s">
        <v>499</v>
      </c>
      <c r="C834" s="185" t="s">
        <v>499</v>
      </c>
      <c r="D834" s="186" t="s">
        <v>499</v>
      </c>
      <c r="E834" s="185" t="s">
        <v>499</v>
      </c>
      <c r="F834" s="185" t="s">
        <v>499</v>
      </c>
      <c r="G834" s="187">
        <f t="shared" si="12"/>
        <v>0</v>
      </c>
      <c r="H834" s="188"/>
      <c r="I834" s="188"/>
      <c r="J834" s="188"/>
      <c r="K834" s="185"/>
      <c r="L834" s="185"/>
      <c r="M834" s="185"/>
      <c r="N834" s="185"/>
      <c r="O834" s="193"/>
      <c r="P834" s="193"/>
      <c r="Q834" s="195"/>
      <c r="R834" s="191"/>
      <c r="S834" s="192"/>
    </row>
    <row r="835" spans="1:19" ht="20.5" thickTop="1" thickBot="1" x14ac:dyDescent="0.4">
      <c r="A835" s="184" t="s">
        <v>499</v>
      </c>
      <c r="B835" s="185" t="s">
        <v>499</v>
      </c>
      <c r="C835" s="185" t="s">
        <v>499</v>
      </c>
      <c r="D835" s="186" t="s">
        <v>499</v>
      </c>
      <c r="E835" s="185" t="s">
        <v>499</v>
      </c>
      <c r="F835" s="185" t="s">
        <v>499</v>
      </c>
      <c r="G835" s="187">
        <f t="shared" si="12"/>
        <v>0</v>
      </c>
      <c r="H835" s="188"/>
      <c r="I835" s="188"/>
      <c r="J835" s="188"/>
      <c r="K835" s="185"/>
      <c r="L835" s="185"/>
      <c r="M835" s="185"/>
      <c r="N835" s="185"/>
      <c r="O835" s="193"/>
      <c r="P835" s="193"/>
      <c r="Q835" s="195"/>
      <c r="R835" s="191"/>
      <c r="S835" s="192"/>
    </row>
    <row r="836" spans="1:19" ht="20.5" thickTop="1" thickBot="1" x14ac:dyDescent="0.4">
      <c r="A836" s="184" t="s">
        <v>499</v>
      </c>
      <c r="B836" s="185" t="s">
        <v>499</v>
      </c>
      <c r="C836" s="185" t="s">
        <v>499</v>
      </c>
      <c r="D836" s="186" t="s">
        <v>499</v>
      </c>
      <c r="E836" s="185" t="s">
        <v>499</v>
      </c>
      <c r="F836" s="185" t="s">
        <v>499</v>
      </c>
      <c r="G836" s="187">
        <f t="shared" si="12"/>
        <v>0</v>
      </c>
      <c r="H836" s="188"/>
      <c r="I836" s="188"/>
      <c r="J836" s="188"/>
      <c r="K836" s="185"/>
      <c r="L836" s="185"/>
      <c r="M836" s="185"/>
      <c r="N836" s="185"/>
      <c r="O836" s="193"/>
      <c r="P836" s="193"/>
      <c r="Q836" s="195"/>
      <c r="R836" s="191"/>
      <c r="S836" s="192"/>
    </row>
    <row r="837" spans="1:19" ht="20.5" thickTop="1" thickBot="1" x14ac:dyDescent="0.4">
      <c r="A837" s="184" t="s">
        <v>499</v>
      </c>
      <c r="B837" s="185" t="s">
        <v>499</v>
      </c>
      <c r="C837" s="185" t="s">
        <v>499</v>
      </c>
      <c r="D837" s="186" t="s">
        <v>499</v>
      </c>
      <c r="E837" s="185" t="s">
        <v>499</v>
      </c>
      <c r="F837" s="185" t="s">
        <v>499</v>
      </c>
      <c r="G837" s="187">
        <f t="shared" ref="G837:G900" si="13">SUM(H837:J837)</f>
        <v>0</v>
      </c>
      <c r="H837" s="188"/>
      <c r="I837" s="188"/>
      <c r="J837" s="188"/>
      <c r="K837" s="185"/>
      <c r="L837" s="185"/>
      <c r="M837" s="185"/>
      <c r="N837" s="185"/>
      <c r="O837" s="193"/>
      <c r="P837" s="193"/>
      <c r="Q837" s="195"/>
      <c r="R837" s="191"/>
      <c r="S837" s="192"/>
    </row>
    <row r="838" spans="1:19" ht="20.5" thickTop="1" thickBot="1" x14ac:dyDescent="0.4">
      <c r="A838" s="184" t="s">
        <v>499</v>
      </c>
      <c r="B838" s="185" t="s">
        <v>499</v>
      </c>
      <c r="C838" s="185" t="s">
        <v>499</v>
      </c>
      <c r="D838" s="186" t="s">
        <v>499</v>
      </c>
      <c r="E838" s="185" t="s">
        <v>499</v>
      </c>
      <c r="F838" s="185" t="s">
        <v>499</v>
      </c>
      <c r="G838" s="187">
        <f t="shared" si="13"/>
        <v>0</v>
      </c>
      <c r="H838" s="188"/>
      <c r="I838" s="188"/>
      <c r="J838" s="188"/>
      <c r="K838" s="185"/>
      <c r="L838" s="185"/>
      <c r="M838" s="185"/>
      <c r="N838" s="185"/>
      <c r="O838" s="193"/>
      <c r="P838" s="193"/>
      <c r="Q838" s="195"/>
      <c r="R838" s="191"/>
      <c r="S838" s="192"/>
    </row>
    <row r="839" spans="1:19" ht="20.5" thickTop="1" thickBot="1" x14ac:dyDescent="0.4">
      <c r="A839" s="184" t="s">
        <v>499</v>
      </c>
      <c r="B839" s="185" t="s">
        <v>499</v>
      </c>
      <c r="C839" s="185" t="s">
        <v>499</v>
      </c>
      <c r="D839" s="186" t="s">
        <v>499</v>
      </c>
      <c r="E839" s="185" t="s">
        <v>499</v>
      </c>
      <c r="F839" s="185" t="s">
        <v>499</v>
      </c>
      <c r="G839" s="187">
        <f t="shared" si="13"/>
        <v>0</v>
      </c>
      <c r="H839" s="188"/>
      <c r="I839" s="188"/>
      <c r="J839" s="188"/>
      <c r="K839" s="185"/>
      <c r="L839" s="185"/>
      <c r="M839" s="185"/>
      <c r="N839" s="185"/>
      <c r="O839" s="193"/>
      <c r="P839" s="193"/>
      <c r="Q839" s="195"/>
      <c r="R839" s="191"/>
      <c r="S839" s="192"/>
    </row>
    <row r="840" spans="1:19" ht="20.5" thickTop="1" thickBot="1" x14ac:dyDescent="0.4">
      <c r="A840" s="184" t="s">
        <v>499</v>
      </c>
      <c r="B840" s="185" t="s">
        <v>499</v>
      </c>
      <c r="C840" s="185" t="s">
        <v>499</v>
      </c>
      <c r="D840" s="186" t="s">
        <v>499</v>
      </c>
      <c r="E840" s="185" t="s">
        <v>499</v>
      </c>
      <c r="F840" s="185" t="s">
        <v>499</v>
      </c>
      <c r="G840" s="187">
        <f t="shared" si="13"/>
        <v>0</v>
      </c>
      <c r="H840" s="188"/>
      <c r="I840" s="188"/>
      <c r="J840" s="188"/>
      <c r="K840" s="185"/>
      <c r="L840" s="185"/>
      <c r="M840" s="185"/>
      <c r="N840" s="185"/>
      <c r="O840" s="193"/>
      <c r="P840" s="193"/>
      <c r="Q840" s="195"/>
      <c r="R840" s="191"/>
      <c r="S840" s="192"/>
    </row>
    <row r="841" spans="1:19" ht="20.5" thickTop="1" thickBot="1" x14ac:dyDescent="0.4">
      <c r="A841" s="184" t="s">
        <v>499</v>
      </c>
      <c r="B841" s="185" t="s">
        <v>499</v>
      </c>
      <c r="C841" s="185" t="s">
        <v>499</v>
      </c>
      <c r="D841" s="186" t="s">
        <v>499</v>
      </c>
      <c r="E841" s="185" t="s">
        <v>499</v>
      </c>
      <c r="F841" s="185" t="s">
        <v>499</v>
      </c>
      <c r="G841" s="187">
        <f t="shared" si="13"/>
        <v>0</v>
      </c>
      <c r="H841" s="188"/>
      <c r="I841" s="188"/>
      <c r="J841" s="188"/>
      <c r="K841" s="185"/>
      <c r="L841" s="185"/>
      <c r="M841" s="185"/>
      <c r="N841" s="185"/>
      <c r="O841" s="193"/>
      <c r="P841" s="193"/>
      <c r="Q841" s="195"/>
      <c r="R841" s="191"/>
      <c r="S841" s="192"/>
    </row>
    <row r="842" spans="1:19" ht="20.5" thickTop="1" thickBot="1" x14ac:dyDescent="0.4">
      <c r="A842" s="184" t="s">
        <v>499</v>
      </c>
      <c r="B842" s="185" t="s">
        <v>499</v>
      </c>
      <c r="C842" s="185" t="s">
        <v>499</v>
      </c>
      <c r="D842" s="186" t="s">
        <v>499</v>
      </c>
      <c r="E842" s="185" t="s">
        <v>499</v>
      </c>
      <c r="F842" s="185" t="s">
        <v>499</v>
      </c>
      <c r="G842" s="187">
        <f t="shared" si="13"/>
        <v>0</v>
      </c>
      <c r="H842" s="188"/>
      <c r="I842" s="188"/>
      <c r="J842" s="188"/>
      <c r="K842" s="185"/>
      <c r="L842" s="185"/>
      <c r="M842" s="185"/>
      <c r="N842" s="185"/>
      <c r="O842" s="193"/>
      <c r="P842" s="193"/>
      <c r="Q842" s="195"/>
      <c r="R842" s="191"/>
      <c r="S842" s="192"/>
    </row>
    <row r="843" spans="1:19" ht="20.5" thickTop="1" thickBot="1" x14ac:dyDescent="0.4">
      <c r="A843" s="184" t="s">
        <v>499</v>
      </c>
      <c r="B843" s="185" t="s">
        <v>499</v>
      </c>
      <c r="C843" s="185" t="s">
        <v>499</v>
      </c>
      <c r="D843" s="186" t="s">
        <v>499</v>
      </c>
      <c r="E843" s="185" t="s">
        <v>499</v>
      </c>
      <c r="F843" s="185" t="s">
        <v>499</v>
      </c>
      <c r="G843" s="187">
        <f t="shared" si="13"/>
        <v>0</v>
      </c>
      <c r="H843" s="188"/>
      <c r="I843" s="188"/>
      <c r="J843" s="188"/>
      <c r="K843" s="185"/>
      <c r="L843" s="185"/>
      <c r="M843" s="185"/>
      <c r="N843" s="185"/>
      <c r="O843" s="193"/>
      <c r="P843" s="193"/>
      <c r="Q843" s="195"/>
      <c r="R843" s="191"/>
      <c r="S843" s="192"/>
    </row>
    <row r="844" spans="1:19" ht="20.5" thickTop="1" thickBot="1" x14ac:dyDescent="0.4">
      <c r="A844" s="184" t="s">
        <v>499</v>
      </c>
      <c r="B844" s="185" t="s">
        <v>499</v>
      </c>
      <c r="C844" s="185" t="s">
        <v>499</v>
      </c>
      <c r="D844" s="186" t="s">
        <v>499</v>
      </c>
      <c r="E844" s="185" t="s">
        <v>499</v>
      </c>
      <c r="F844" s="185" t="s">
        <v>499</v>
      </c>
      <c r="G844" s="187">
        <f t="shared" si="13"/>
        <v>0</v>
      </c>
      <c r="H844" s="188"/>
      <c r="I844" s="188"/>
      <c r="J844" s="188"/>
      <c r="K844" s="185"/>
      <c r="L844" s="185"/>
      <c r="M844" s="185"/>
      <c r="N844" s="185"/>
      <c r="O844" s="193"/>
      <c r="P844" s="193"/>
      <c r="Q844" s="195"/>
      <c r="R844" s="191"/>
      <c r="S844" s="192"/>
    </row>
    <row r="845" spans="1:19" ht="20.5" thickTop="1" thickBot="1" x14ac:dyDescent="0.4">
      <c r="A845" s="184" t="s">
        <v>499</v>
      </c>
      <c r="B845" s="185" t="s">
        <v>499</v>
      </c>
      <c r="C845" s="185" t="s">
        <v>499</v>
      </c>
      <c r="D845" s="186" t="s">
        <v>499</v>
      </c>
      <c r="E845" s="185" t="s">
        <v>499</v>
      </c>
      <c r="F845" s="185" t="s">
        <v>499</v>
      </c>
      <c r="G845" s="187">
        <f t="shared" si="13"/>
        <v>0</v>
      </c>
      <c r="H845" s="188"/>
      <c r="I845" s="188"/>
      <c r="J845" s="188"/>
      <c r="K845" s="185"/>
      <c r="L845" s="185"/>
      <c r="M845" s="185"/>
      <c r="N845" s="185"/>
      <c r="O845" s="193"/>
      <c r="P845" s="193"/>
      <c r="Q845" s="195"/>
      <c r="R845" s="191"/>
      <c r="S845" s="192"/>
    </row>
    <row r="846" spans="1:19" ht="20.5" thickTop="1" thickBot="1" x14ac:dyDescent="0.4">
      <c r="A846" s="184" t="s">
        <v>499</v>
      </c>
      <c r="B846" s="185" t="s">
        <v>499</v>
      </c>
      <c r="C846" s="185" t="s">
        <v>499</v>
      </c>
      <c r="D846" s="186" t="s">
        <v>499</v>
      </c>
      <c r="E846" s="185" t="s">
        <v>499</v>
      </c>
      <c r="F846" s="185" t="s">
        <v>499</v>
      </c>
      <c r="G846" s="187">
        <f t="shared" si="13"/>
        <v>0</v>
      </c>
      <c r="H846" s="188"/>
      <c r="I846" s="188"/>
      <c r="J846" s="188"/>
      <c r="K846" s="185"/>
      <c r="L846" s="185"/>
      <c r="M846" s="185"/>
      <c r="N846" s="185"/>
      <c r="O846" s="193"/>
      <c r="P846" s="193"/>
      <c r="Q846" s="195"/>
      <c r="R846" s="191"/>
      <c r="S846" s="192"/>
    </row>
    <row r="847" spans="1:19" ht="20.5" thickTop="1" thickBot="1" x14ac:dyDescent="0.4">
      <c r="A847" s="184" t="s">
        <v>499</v>
      </c>
      <c r="B847" s="185" t="s">
        <v>499</v>
      </c>
      <c r="C847" s="185" t="s">
        <v>499</v>
      </c>
      <c r="D847" s="186" t="s">
        <v>499</v>
      </c>
      <c r="E847" s="185" t="s">
        <v>499</v>
      </c>
      <c r="F847" s="185" t="s">
        <v>499</v>
      </c>
      <c r="G847" s="187">
        <f t="shared" si="13"/>
        <v>0</v>
      </c>
      <c r="H847" s="188"/>
      <c r="I847" s="188"/>
      <c r="J847" s="188"/>
      <c r="K847" s="185"/>
      <c r="L847" s="185"/>
      <c r="M847" s="185"/>
      <c r="N847" s="185"/>
      <c r="O847" s="193"/>
      <c r="P847" s="193"/>
      <c r="Q847" s="195"/>
      <c r="R847" s="191"/>
      <c r="S847" s="192"/>
    </row>
    <row r="848" spans="1:19" ht="20.5" thickTop="1" thickBot="1" x14ac:dyDescent="0.4">
      <c r="A848" s="184" t="s">
        <v>499</v>
      </c>
      <c r="B848" s="185" t="s">
        <v>499</v>
      </c>
      <c r="C848" s="185" t="s">
        <v>499</v>
      </c>
      <c r="D848" s="186" t="s">
        <v>499</v>
      </c>
      <c r="E848" s="185" t="s">
        <v>499</v>
      </c>
      <c r="F848" s="185" t="s">
        <v>499</v>
      </c>
      <c r="G848" s="187">
        <f t="shared" si="13"/>
        <v>0</v>
      </c>
      <c r="H848" s="188"/>
      <c r="I848" s="188"/>
      <c r="J848" s="188"/>
      <c r="K848" s="185"/>
      <c r="L848" s="185"/>
      <c r="M848" s="185"/>
      <c r="N848" s="185"/>
      <c r="O848" s="193"/>
      <c r="P848" s="193"/>
      <c r="Q848" s="195"/>
      <c r="R848" s="191"/>
      <c r="S848" s="192"/>
    </row>
    <row r="849" spans="1:19" ht="20.5" thickTop="1" thickBot="1" x14ac:dyDescent="0.4">
      <c r="A849" s="184" t="s">
        <v>499</v>
      </c>
      <c r="B849" s="185" t="s">
        <v>499</v>
      </c>
      <c r="C849" s="185" t="s">
        <v>499</v>
      </c>
      <c r="D849" s="186" t="s">
        <v>499</v>
      </c>
      <c r="E849" s="185" t="s">
        <v>499</v>
      </c>
      <c r="F849" s="185" t="s">
        <v>499</v>
      </c>
      <c r="G849" s="187">
        <f t="shared" si="13"/>
        <v>0</v>
      </c>
      <c r="H849" s="188"/>
      <c r="I849" s="188"/>
      <c r="J849" s="188"/>
      <c r="K849" s="185"/>
      <c r="L849" s="185"/>
      <c r="M849" s="185"/>
      <c r="N849" s="185"/>
      <c r="O849" s="193"/>
      <c r="P849" s="193"/>
      <c r="Q849" s="195"/>
      <c r="R849" s="191"/>
      <c r="S849" s="192"/>
    </row>
    <row r="850" spans="1:19" ht="20.5" thickTop="1" thickBot="1" x14ac:dyDescent="0.4">
      <c r="A850" s="184" t="s">
        <v>499</v>
      </c>
      <c r="B850" s="185" t="s">
        <v>499</v>
      </c>
      <c r="C850" s="185" t="s">
        <v>499</v>
      </c>
      <c r="D850" s="186" t="s">
        <v>499</v>
      </c>
      <c r="E850" s="185" t="s">
        <v>499</v>
      </c>
      <c r="F850" s="185" t="s">
        <v>499</v>
      </c>
      <c r="G850" s="187">
        <f t="shared" si="13"/>
        <v>0</v>
      </c>
      <c r="H850" s="188"/>
      <c r="I850" s="188"/>
      <c r="J850" s="188"/>
      <c r="K850" s="185"/>
      <c r="L850" s="185"/>
      <c r="M850" s="185"/>
      <c r="N850" s="185"/>
      <c r="O850" s="193"/>
      <c r="P850" s="193"/>
      <c r="Q850" s="195"/>
      <c r="R850" s="191"/>
      <c r="S850" s="192"/>
    </row>
    <row r="851" spans="1:19" ht="20.5" thickTop="1" thickBot="1" x14ac:dyDescent="0.4">
      <c r="A851" s="184" t="s">
        <v>499</v>
      </c>
      <c r="B851" s="185" t="s">
        <v>499</v>
      </c>
      <c r="C851" s="185" t="s">
        <v>499</v>
      </c>
      <c r="D851" s="186" t="s">
        <v>499</v>
      </c>
      <c r="E851" s="185" t="s">
        <v>499</v>
      </c>
      <c r="F851" s="185" t="s">
        <v>499</v>
      </c>
      <c r="G851" s="187">
        <f t="shared" si="13"/>
        <v>0</v>
      </c>
      <c r="H851" s="188"/>
      <c r="I851" s="188"/>
      <c r="J851" s="188"/>
      <c r="K851" s="185"/>
      <c r="L851" s="185"/>
      <c r="M851" s="185"/>
      <c r="N851" s="185"/>
      <c r="O851" s="193"/>
      <c r="P851" s="193"/>
      <c r="Q851" s="195"/>
      <c r="R851" s="191"/>
      <c r="S851" s="192"/>
    </row>
    <row r="852" spans="1:19" ht="20.5" thickTop="1" thickBot="1" x14ac:dyDescent="0.4">
      <c r="A852" s="184" t="s">
        <v>499</v>
      </c>
      <c r="B852" s="185" t="s">
        <v>499</v>
      </c>
      <c r="C852" s="185" t="s">
        <v>499</v>
      </c>
      <c r="D852" s="186" t="s">
        <v>499</v>
      </c>
      <c r="E852" s="185" t="s">
        <v>499</v>
      </c>
      <c r="F852" s="185" t="s">
        <v>499</v>
      </c>
      <c r="G852" s="187">
        <f t="shared" si="13"/>
        <v>0</v>
      </c>
      <c r="H852" s="188"/>
      <c r="I852" s="188"/>
      <c r="J852" s="188"/>
      <c r="K852" s="185"/>
      <c r="L852" s="185"/>
      <c r="M852" s="185"/>
      <c r="N852" s="185"/>
      <c r="O852" s="193"/>
      <c r="P852" s="193"/>
      <c r="Q852" s="195"/>
      <c r="R852" s="191"/>
      <c r="S852" s="192"/>
    </row>
    <row r="853" spans="1:19" ht="20.5" thickTop="1" thickBot="1" x14ac:dyDescent="0.4">
      <c r="A853" s="184" t="s">
        <v>499</v>
      </c>
      <c r="B853" s="185" t="s">
        <v>499</v>
      </c>
      <c r="C853" s="185" t="s">
        <v>499</v>
      </c>
      <c r="D853" s="186" t="s">
        <v>499</v>
      </c>
      <c r="E853" s="185" t="s">
        <v>499</v>
      </c>
      <c r="F853" s="185" t="s">
        <v>499</v>
      </c>
      <c r="G853" s="187">
        <f t="shared" si="13"/>
        <v>0</v>
      </c>
      <c r="H853" s="188"/>
      <c r="I853" s="188"/>
      <c r="J853" s="188"/>
      <c r="K853" s="185"/>
      <c r="L853" s="185"/>
      <c r="M853" s="185"/>
      <c r="N853" s="185"/>
      <c r="O853" s="193"/>
      <c r="P853" s="193"/>
      <c r="Q853" s="195"/>
      <c r="R853" s="191"/>
      <c r="S853" s="192"/>
    </row>
    <row r="854" spans="1:19" ht="20.5" thickTop="1" thickBot="1" x14ac:dyDescent="0.4">
      <c r="A854" s="184" t="s">
        <v>499</v>
      </c>
      <c r="B854" s="185" t="s">
        <v>499</v>
      </c>
      <c r="C854" s="185" t="s">
        <v>499</v>
      </c>
      <c r="D854" s="186" t="s">
        <v>499</v>
      </c>
      <c r="E854" s="185" t="s">
        <v>499</v>
      </c>
      <c r="F854" s="185" t="s">
        <v>499</v>
      </c>
      <c r="G854" s="187">
        <f t="shared" si="13"/>
        <v>0</v>
      </c>
      <c r="H854" s="188"/>
      <c r="I854" s="188"/>
      <c r="J854" s="188"/>
      <c r="K854" s="185"/>
      <c r="L854" s="185"/>
      <c r="M854" s="185"/>
      <c r="N854" s="185"/>
      <c r="O854" s="193"/>
      <c r="P854" s="193"/>
      <c r="Q854" s="195"/>
      <c r="R854" s="191"/>
      <c r="S854" s="192"/>
    </row>
    <row r="855" spans="1:19" ht="20.5" thickTop="1" thickBot="1" x14ac:dyDescent="0.4">
      <c r="A855" s="184" t="s">
        <v>499</v>
      </c>
      <c r="B855" s="185" t="s">
        <v>499</v>
      </c>
      <c r="C855" s="185" t="s">
        <v>499</v>
      </c>
      <c r="D855" s="186" t="s">
        <v>499</v>
      </c>
      <c r="E855" s="185" t="s">
        <v>499</v>
      </c>
      <c r="F855" s="185" t="s">
        <v>499</v>
      </c>
      <c r="G855" s="187">
        <f t="shared" si="13"/>
        <v>0</v>
      </c>
      <c r="H855" s="188"/>
      <c r="I855" s="188"/>
      <c r="J855" s="188"/>
      <c r="K855" s="185"/>
      <c r="L855" s="185"/>
      <c r="M855" s="185"/>
      <c r="N855" s="185"/>
      <c r="O855" s="193"/>
      <c r="P855" s="193"/>
      <c r="Q855" s="195"/>
      <c r="R855" s="191"/>
      <c r="S855" s="192"/>
    </row>
    <row r="856" spans="1:19" ht="20.5" thickTop="1" thickBot="1" x14ac:dyDescent="0.4">
      <c r="A856" s="184" t="s">
        <v>499</v>
      </c>
      <c r="B856" s="185" t="s">
        <v>499</v>
      </c>
      <c r="C856" s="185" t="s">
        <v>499</v>
      </c>
      <c r="D856" s="186" t="s">
        <v>499</v>
      </c>
      <c r="E856" s="185" t="s">
        <v>499</v>
      </c>
      <c r="F856" s="185" t="s">
        <v>499</v>
      </c>
      <c r="G856" s="187">
        <f t="shared" si="13"/>
        <v>0</v>
      </c>
      <c r="H856" s="188"/>
      <c r="I856" s="188"/>
      <c r="J856" s="188"/>
      <c r="K856" s="185"/>
      <c r="L856" s="185"/>
      <c r="M856" s="185"/>
      <c r="N856" s="185"/>
      <c r="O856" s="193"/>
      <c r="P856" s="193"/>
      <c r="Q856" s="195"/>
      <c r="R856" s="191"/>
      <c r="S856" s="192"/>
    </row>
    <row r="857" spans="1:19" ht="20.5" thickTop="1" thickBot="1" x14ac:dyDescent="0.4">
      <c r="A857" s="184" t="s">
        <v>499</v>
      </c>
      <c r="B857" s="185" t="s">
        <v>499</v>
      </c>
      <c r="C857" s="185" t="s">
        <v>499</v>
      </c>
      <c r="D857" s="186" t="s">
        <v>499</v>
      </c>
      <c r="E857" s="185" t="s">
        <v>499</v>
      </c>
      <c r="F857" s="185" t="s">
        <v>499</v>
      </c>
      <c r="G857" s="187">
        <f t="shared" si="13"/>
        <v>0</v>
      </c>
      <c r="H857" s="188"/>
      <c r="I857" s="188"/>
      <c r="J857" s="188"/>
      <c r="K857" s="185"/>
      <c r="L857" s="185"/>
      <c r="M857" s="185"/>
      <c r="N857" s="185"/>
      <c r="O857" s="193"/>
      <c r="P857" s="193"/>
      <c r="Q857" s="195"/>
      <c r="R857" s="191"/>
      <c r="S857" s="192"/>
    </row>
    <row r="858" spans="1:19" ht="20.5" thickTop="1" thickBot="1" x14ac:dyDescent="0.4">
      <c r="A858" s="184" t="s">
        <v>499</v>
      </c>
      <c r="B858" s="185" t="s">
        <v>499</v>
      </c>
      <c r="C858" s="185" t="s">
        <v>499</v>
      </c>
      <c r="D858" s="186" t="s">
        <v>499</v>
      </c>
      <c r="E858" s="185" t="s">
        <v>499</v>
      </c>
      <c r="F858" s="185" t="s">
        <v>499</v>
      </c>
      <c r="G858" s="187">
        <f t="shared" si="13"/>
        <v>0</v>
      </c>
      <c r="H858" s="188"/>
      <c r="I858" s="188"/>
      <c r="J858" s="188"/>
      <c r="K858" s="185"/>
      <c r="L858" s="185"/>
      <c r="M858" s="185"/>
      <c r="N858" s="185"/>
      <c r="O858" s="193"/>
      <c r="P858" s="193"/>
      <c r="Q858" s="195"/>
      <c r="R858" s="191"/>
      <c r="S858" s="192"/>
    </row>
    <row r="859" spans="1:19" ht="20.5" thickTop="1" thickBot="1" x14ac:dyDescent="0.4">
      <c r="A859" s="184" t="s">
        <v>499</v>
      </c>
      <c r="B859" s="185" t="s">
        <v>499</v>
      </c>
      <c r="C859" s="185" t="s">
        <v>499</v>
      </c>
      <c r="D859" s="186" t="s">
        <v>499</v>
      </c>
      <c r="E859" s="185" t="s">
        <v>499</v>
      </c>
      <c r="F859" s="185" t="s">
        <v>499</v>
      </c>
      <c r="G859" s="187">
        <f t="shared" si="13"/>
        <v>0</v>
      </c>
      <c r="H859" s="188"/>
      <c r="I859" s="188"/>
      <c r="J859" s="188"/>
      <c r="K859" s="185"/>
      <c r="L859" s="185"/>
      <c r="M859" s="185"/>
      <c r="N859" s="185"/>
      <c r="O859" s="193"/>
      <c r="P859" s="193"/>
      <c r="Q859" s="195"/>
      <c r="R859" s="191"/>
      <c r="S859" s="192"/>
    </row>
    <row r="860" spans="1:19" ht="20.5" thickTop="1" thickBot="1" x14ac:dyDescent="0.4">
      <c r="A860" s="184" t="s">
        <v>499</v>
      </c>
      <c r="B860" s="185" t="s">
        <v>499</v>
      </c>
      <c r="C860" s="185" t="s">
        <v>499</v>
      </c>
      <c r="D860" s="186" t="s">
        <v>499</v>
      </c>
      <c r="E860" s="185" t="s">
        <v>499</v>
      </c>
      <c r="F860" s="185" t="s">
        <v>499</v>
      </c>
      <c r="G860" s="187">
        <f t="shared" si="13"/>
        <v>0</v>
      </c>
      <c r="H860" s="188"/>
      <c r="I860" s="188"/>
      <c r="J860" s="188"/>
      <c r="K860" s="185"/>
      <c r="L860" s="185"/>
      <c r="M860" s="185"/>
      <c r="N860" s="185"/>
      <c r="O860" s="193"/>
      <c r="P860" s="193"/>
      <c r="Q860" s="195"/>
      <c r="R860" s="191"/>
      <c r="S860" s="192"/>
    </row>
    <row r="861" spans="1:19" ht="20.5" thickTop="1" thickBot="1" x14ac:dyDescent="0.4">
      <c r="A861" s="184" t="s">
        <v>499</v>
      </c>
      <c r="B861" s="185" t="s">
        <v>499</v>
      </c>
      <c r="C861" s="185" t="s">
        <v>499</v>
      </c>
      <c r="D861" s="186" t="s">
        <v>499</v>
      </c>
      <c r="E861" s="185" t="s">
        <v>499</v>
      </c>
      <c r="F861" s="185" t="s">
        <v>499</v>
      </c>
      <c r="G861" s="187">
        <f t="shared" si="13"/>
        <v>0</v>
      </c>
      <c r="H861" s="188"/>
      <c r="I861" s="188"/>
      <c r="J861" s="188"/>
      <c r="K861" s="185"/>
      <c r="L861" s="185"/>
      <c r="M861" s="185"/>
      <c r="N861" s="185"/>
      <c r="O861" s="193"/>
      <c r="P861" s="193"/>
      <c r="Q861" s="195"/>
      <c r="R861" s="191"/>
      <c r="S861" s="192"/>
    </row>
    <row r="862" spans="1:19" ht="20.5" thickTop="1" thickBot="1" x14ac:dyDescent="0.4">
      <c r="A862" s="184" t="s">
        <v>499</v>
      </c>
      <c r="B862" s="185" t="s">
        <v>499</v>
      </c>
      <c r="C862" s="185" t="s">
        <v>499</v>
      </c>
      <c r="D862" s="186" t="s">
        <v>499</v>
      </c>
      <c r="E862" s="185" t="s">
        <v>499</v>
      </c>
      <c r="F862" s="185" t="s">
        <v>499</v>
      </c>
      <c r="G862" s="187">
        <f t="shared" si="13"/>
        <v>0</v>
      </c>
      <c r="H862" s="188"/>
      <c r="I862" s="188"/>
      <c r="J862" s="188"/>
      <c r="K862" s="185"/>
      <c r="L862" s="185"/>
      <c r="M862" s="185"/>
      <c r="N862" s="185"/>
      <c r="O862" s="193"/>
      <c r="P862" s="193"/>
      <c r="Q862" s="195"/>
      <c r="R862" s="191"/>
      <c r="S862" s="192"/>
    </row>
    <row r="863" spans="1:19" ht="20.5" thickTop="1" thickBot="1" x14ac:dyDescent="0.4">
      <c r="A863" s="184" t="s">
        <v>499</v>
      </c>
      <c r="B863" s="185" t="s">
        <v>499</v>
      </c>
      <c r="C863" s="185" t="s">
        <v>499</v>
      </c>
      <c r="D863" s="186" t="s">
        <v>499</v>
      </c>
      <c r="E863" s="185" t="s">
        <v>499</v>
      </c>
      <c r="F863" s="185" t="s">
        <v>499</v>
      </c>
      <c r="G863" s="187">
        <f t="shared" si="13"/>
        <v>0</v>
      </c>
      <c r="H863" s="188"/>
      <c r="I863" s="188"/>
      <c r="J863" s="188"/>
      <c r="K863" s="185"/>
      <c r="L863" s="185"/>
      <c r="M863" s="185"/>
      <c r="N863" s="185"/>
      <c r="O863" s="193"/>
      <c r="P863" s="193"/>
      <c r="Q863" s="195"/>
      <c r="R863" s="191"/>
      <c r="S863" s="192"/>
    </row>
    <row r="864" spans="1:19" ht="20.5" thickTop="1" thickBot="1" x14ac:dyDescent="0.4">
      <c r="A864" s="184" t="s">
        <v>499</v>
      </c>
      <c r="B864" s="185" t="s">
        <v>499</v>
      </c>
      <c r="C864" s="185" t="s">
        <v>499</v>
      </c>
      <c r="D864" s="186" t="s">
        <v>499</v>
      </c>
      <c r="E864" s="185" t="s">
        <v>499</v>
      </c>
      <c r="F864" s="185" t="s">
        <v>499</v>
      </c>
      <c r="G864" s="187">
        <f t="shared" si="13"/>
        <v>0</v>
      </c>
      <c r="H864" s="188"/>
      <c r="I864" s="188"/>
      <c r="J864" s="188"/>
      <c r="K864" s="185"/>
      <c r="L864" s="185"/>
      <c r="M864" s="185"/>
      <c r="N864" s="185"/>
      <c r="O864" s="193"/>
      <c r="P864" s="193"/>
      <c r="Q864" s="195"/>
      <c r="R864" s="191"/>
      <c r="S864" s="192"/>
    </row>
    <row r="865" spans="1:19" ht="20.5" thickTop="1" thickBot="1" x14ac:dyDescent="0.4">
      <c r="A865" s="184" t="s">
        <v>499</v>
      </c>
      <c r="B865" s="185" t="s">
        <v>499</v>
      </c>
      <c r="C865" s="185" t="s">
        <v>499</v>
      </c>
      <c r="D865" s="186" t="s">
        <v>499</v>
      </c>
      <c r="E865" s="185" t="s">
        <v>499</v>
      </c>
      <c r="F865" s="185" t="s">
        <v>499</v>
      </c>
      <c r="G865" s="187">
        <f t="shared" si="13"/>
        <v>0</v>
      </c>
      <c r="H865" s="188"/>
      <c r="I865" s="188"/>
      <c r="J865" s="188"/>
      <c r="K865" s="185"/>
      <c r="L865" s="185"/>
      <c r="M865" s="185"/>
      <c r="N865" s="185"/>
      <c r="O865" s="193"/>
      <c r="P865" s="193"/>
      <c r="Q865" s="195"/>
      <c r="R865" s="191"/>
      <c r="S865" s="192"/>
    </row>
    <row r="866" spans="1:19" ht="20.5" thickTop="1" thickBot="1" x14ac:dyDescent="0.4">
      <c r="A866" s="184" t="s">
        <v>499</v>
      </c>
      <c r="B866" s="185" t="s">
        <v>499</v>
      </c>
      <c r="C866" s="185" t="s">
        <v>499</v>
      </c>
      <c r="D866" s="186" t="s">
        <v>499</v>
      </c>
      <c r="E866" s="185" t="s">
        <v>499</v>
      </c>
      <c r="F866" s="185" t="s">
        <v>499</v>
      </c>
      <c r="G866" s="187">
        <f t="shared" si="13"/>
        <v>0</v>
      </c>
      <c r="H866" s="188"/>
      <c r="I866" s="188"/>
      <c r="J866" s="188"/>
      <c r="K866" s="185"/>
      <c r="L866" s="185"/>
      <c r="M866" s="185"/>
      <c r="N866" s="185"/>
      <c r="O866" s="193"/>
      <c r="P866" s="193"/>
      <c r="Q866" s="195"/>
      <c r="R866" s="191"/>
      <c r="S866" s="192"/>
    </row>
    <row r="867" spans="1:19" ht="20.5" thickTop="1" thickBot="1" x14ac:dyDescent="0.4">
      <c r="A867" s="184" t="s">
        <v>499</v>
      </c>
      <c r="B867" s="185" t="s">
        <v>499</v>
      </c>
      <c r="C867" s="185" t="s">
        <v>499</v>
      </c>
      <c r="D867" s="186" t="s">
        <v>499</v>
      </c>
      <c r="E867" s="185" t="s">
        <v>499</v>
      </c>
      <c r="F867" s="185" t="s">
        <v>499</v>
      </c>
      <c r="G867" s="187">
        <f t="shared" si="13"/>
        <v>0</v>
      </c>
      <c r="H867" s="188"/>
      <c r="I867" s="188"/>
      <c r="J867" s="188"/>
      <c r="K867" s="185"/>
      <c r="L867" s="185"/>
      <c r="M867" s="185"/>
      <c r="N867" s="185"/>
      <c r="O867" s="193"/>
      <c r="P867" s="193"/>
      <c r="Q867" s="195"/>
      <c r="R867" s="191"/>
      <c r="S867" s="192"/>
    </row>
    <row r="868" spans="1:19" ht="20.5" thickTop="1" thickBot="1" x14ac:dyDescent="0.4">
      <c r="A868" s="184" t="s">
        <v>499</v>
      </c>
      <c r="B868" s="185" t="s">
        <v>499</v>
      </c>
      <c r="C868" s="185" t="s">
        <v>499</v>
      </c>
      <c r="D868" s="186" t="s">
        <v>499</v>
      </c>
      <c r="E868" s="185" t="s">
        <v>499</v>
      </c>
      <c r="F868" s="185" t="s">
        <v>499</v>
      </c>
      <c r="G868" s="187">
        <f t="shared" si="13"/>
        <v>0</v>
      </c>
      <c r="H868" s="188"/>
      <c r="I868" s="188"/>
      <c r="J868" s="188"/>
      <c r="K868" s="185"/>
      <c r="L868" s="185"/>
      <c r="M868" s="185"/>
      <c r="N868" s="185"/>
      <c r="O868" s="193"/>
      <c r="P868" s="193"/>
      <c r="Q868" s="195"/>
      <c r="R868" s="191"/>
      <c r="S868" s="192"/>
    </row>
    <row r="869" spans="1:19" ht="20.5" thickTop="1" thickBot="1" x14ac:dyDescent="0.4">
      <c r="A869" s="184" t="s">
        <v>499</v>
      </c>
      <c r="B869" s="185" t="s">
        <v>499</v>
      </c>
      <c r="C869" s="185" t="s">
        <v>499</v>
      </c>
      <c r="D869" s="186" t="s">
        <v>499</v>
      </c>
      <c r="E869" s="185" t="s">
        <v>499</v>
      </c>
      <c r="F869" s="185" t="s">
        <v>499</v>
      </c>
      <c r="G869" s="187">
        <f t="shared" si="13"/>
        <v>0</v>
      </c>
      <c r="H869" s="188"/>
      <c r="I869" s="188"/>
      <c r="J869" s="188"/>
      <c r="K869" s="185"/>
      <c r="L869" s="185"/>
      <c r="M869" s="185"/>
      <c r="N869" s="185"/>
      <c r="O869" s="193"/>
      <c r="P869" s="193"/>
      <c r="Q869" s="195"/>
      <c r="R869" s="191"/>
      <c r="S869" s="192"/>
    </row>
    <row r="870" spans="1:19" ht="20.5" thickTop="1" thickBot="1" x14ac:dyDescent="0.4">
      <c r="A870" s="184" t="s">
        <v>499</v>
      </c>
      <c r="B870" s="185" t="s">
        <v>499</v>
      </c>
      <c r="C870" s="185" t="s">
        <v>499</v>
      </c>
      <c r="D870" s="186" t="s">
        <v>499</v>
      </c>
      <c r="E870" s="185" t="s">
        <v>499</v>
      </c>
      <c r="F870" s="185" t="s">
        <v>499</v>
      </c>
      <c r="G870" s="187">
        <f t="shared" si="13"/>
        <v>0</v>
      </c>
      <c r="H870" s="188"/>
      <c r="I870" s="188"/>
      <c r="J870" s="188"/>
      <c r="K870" s="185"/>
      <c r="L870" s="185"/>
      <c r="M870" s="185"/>
      <c r="N870" s="185"/>
      <c r="O870" s="193"/>
      <c r="P870" s="193"/>
      <c r="Q870" s="195"/>
      <c r="R870" s="191"/>
      <c r="S870" s="192"/>
    </row>
    <row r="871" spans="1:19" ht="20.5" thickTop="1" thickBot="1" x14ac:dyDescent="0.4">
      <c r="A871" s="184" t="s">
        <v>499</v>
      </c>
      <c r="B871" s="185" t="s">
        <v>499</v>
      </c>
      <c r="C871" s="185" t="s">
        <v>499</v>
      </c>
      <c r="D871" s="186" t="s">
        <v>499</v>
      </c>
      <c r="E871" s="185" t="s">
        <v>499</v>
      </c>
      <c r="F871" s="185" t="s">
        <v>499</v>
      </c>
      <c r="G871" s="187">
        <f t="shared" si="13"/>
        <v>0</v>
      </c>
      <c r="H871" s="188"/>
      <c r="I871" s="188"/>
      <c r="J871" s="188"/>
      <c r="K871" s="185"/>
      <c r="L871" s="185"/>
      <c r="M871" s="185"/>
      <c r="N871" s="185"/>
      <c r="O871" s="193"/>
      <c r="P871" s="193"/>
      <c r="Q871" s="195"/>
      <c r="R871" s="191"/>
      <c r="S871" s="192"/>
    </row>
    <row r="872" spans="1:19" ht="20.5" thickTop="1" thickBot="1" x14ac:dyDescent="0.4">
      <c r="A872" s="184" t="s">
        <v>499</v>
      </c>
      <c r="B872" s="185" t="s">
        <v>499</v>
      </c>
      <c r="C872" s="185" t="s">
        <v>499</v>
      </c>
      <c r="D872" s="186" t="s">
        <v>499</v>
      </c>
      <c r="E872" s="185" t="s">
        <v>499</v>
      </c>
      <c r="F872" s="185" t="s">
        <v>499</v>
      </c>
      <c r="G872" s="187">
        <f t="shared" si="13"/>
        <v>0</v>
      </c>
      <c r="H872" s="188"/>
      <c r="I872" s="188"/>
      <c r="J872" s="188"/>
      <c r="K872" s="185"/>
      <c r="L872" s="185"/>
      <c r="M872" s="185"/>
      <c r="N872" s="185"/>
      <c r="O872" s="193"/>
      <c r="P872" s="193"/>
      <c r="Q872" s="195"/>
      <c r="R872" s="191"/>
      <c r="S872" s="192"/>
    </row>
    <row r="873" spans="1:19" ht="20.5" thickTop="1" thickBot="1" x14ac:dyDescent="0.4">
      <c r="A873" s="184" t="s">
        <v>499</v>
      </c>
      <c r="B873" s="185" t="s">
        <v>499</v>
      </c>
      <c r="C873" s="185" t="s">
        <v>499</v>
      </c>
      <c r="D873" s="186" t="s">
        <v>499</v>
      </c>
      <c r="E873" s="185" t="s">
        <v>499</v>
      </c>
      <c r="F873" s="185" t="s">
        <v>499</v>
      </c>
      <c r="G873" s="187">
        <f t="shared" si="13"/>
        <v>0</v>
      </c>
      <c r="H873" s="188"/>
      <c r="I873" s="188"/>
      <c r="J873" s="188"/>
      <c r="K873" s="185"/>
      <c r="L873" s="185"/>
      <c r="M873" s="185"/>
      <c r="N873" s="185"/>
      <c r="O873" s="193"/>
      <c r="P873" s="193"/>
      <c r="Q873" s="195"/>
      <c r="R873" s="191"/>
      <c r="S873" s="192"/>
    </row>
    <row r="874" spans="1:19" ht="20.5" thickTop="1" thickBot="1" x14ac:dyDescent="0.4">
      <c r="A874" s="184" t="s">
        <v>499</v>
      </c>
      <c r="B874" s="185" t="s">
        <v>499</v>
      </c>
      <c r="C874" s="185" t="s">
        <v>499</v>
      </c>
      <c r="D874" s="186" t="s">
        <v>499</v>
      </c>
      <c r="E874" s="185" t="s">
        <v>499</v>
      </c>
      <c r="F874" s="185" t="s">
        <v>499</v>
      </c>
      <c r="G874" s="187">
        <f t="shared" si="13"/>
        <v>0</v>
      </c>
      <c r="H874" s="188"/>
      <c r="I874" s="188"/>
      <c r="J874" s="188"/>
      <c r="K874" s="185"/>
      <c r="L874" s="185"/>
      <c r="M874" s="185"/>
      <c r="N874" s="185"/>
      <c r="O874" s="193"/>
      <c r="P874" s="193"/>
      <c r="Q874" s="195"/>
      <c r="R874" s="191"/>
      <c r="S874" s="192"/>
    </row>
    <row r="875" spans="1:19" ht="20.5" thickTop="1" thickBot="1" x14ac:dyDescent="0.4">
      <c r="A875" s="184" t="s">
        <v>499</v>
      </c>
      <c r="B875" s="185" t="s">
        <v>499</v>
      </c>
      <c r="C875" s="185" t="s">
        <v>499</v>
      </c>
      <c r="D875" s="186" t="s">
        <v>499</v>
      </c>
      <c r="E875" s="185" t="s">
        <v>499</v>
      </c>
      <c r="F875" s="185" t="s">
        <v>499</v>
      </c>
      <c r="G875" s="187">
        <f t="shared" si="13"/>
        <v>0</v>
      </c>
      <c r="H875" s="188"/>
      <c r="I875" s="188"/>
      <c r="J875" s="188"/>
      <c r="K875" s="185"/>
      <c r="L875" s="185"/>
      <c r="M875" s="185"/>
      <c r="N875" s="185"/>
      <c r="O875" s="193"/>
      <c r="P875" s="193"/>
      <c r="Q875" s="195"/>
      <c r="R875" s="191"/>
      <c r="S875" s="192"/>
    </row>
    <row r="876" spans="1:19" ht="20.5" thickTop="1" thickBot="1" x14ac:dyDescent="0.4">
      <c r="A876" s="184" t="s">
        <v>499</v>
      </c>
      <c r="B876" s="185" t="s">
        <v>499</v>
      </c>
      <c r="C876" s="185" t="s">
        <v>499</v>
      </c>
      <c r="D876" s="186" t="s">
        <v>499</v>
      </c>
      <c r="E876" s="185" t="s">
        <v>499</v>
      </c>
      <c r="F876" s="185" t="s">
        <v>499</v>
      </c>
      <c r="G876" s="187">
        <f t="shared" si="13"/>
        <v>0</v>
      </c>
      <c r="H876" s="188"/>
      <c r="I876" s="188"/>
      <c r="J876" s="188"/>
      <c r="K876" s="185"/>
      <c r="L876" s="185"/>
      <c r="M876" s="185"/>
      <c r="N876" s="185"/>
      <c r="O876" s="193"/>
      <c r="P876" s="193"/>
      <c r="Q876" s="195"/>
      <c r="R876" s="191"/>
      <c r="S876" s="192"/>
    </row>
    <row r="877" spans="1:19" ht="20.5" thickTop="1" thickBot="1" x14ac:dyDescent="0.4">
      <c r="A877" s="184" t="s">
        <v>499</v>
      </c>
      <c r="B877" s="185" t="s">
        <v>499</v>
      </c>
      <c r="C877" s="185" t="s">
        <v>499</v>
      </c>
      <c r="D877" s="186" t="s">
        <v>499</v>
      </c>
      <c r="E877" s="185" t="s">
        <v>499</v>
      </c>
      <c r="F877" s="185" t="s">
        <v>499</v>
      </c>
      <c r="G877" s="187">
        <f t="shared" si="13"/>
        <v>0</v>
      </c>
      <c r="H877" s="188"/>
      <c r="I877" s="188"/>
      <c r="J877" s="188"/>
      <c r="K877" s="185"/>
      <c r="L877" s="185"/>
      <c r="M877" s="185"/>
      <c r="N877" s="185"/>
      <c r="O877" s="193"/>
      <c r="P877" s="193"/>
      <c r="Q877" s="195"/>
      <c r="R877" s="191"/>
      <c r="S877" s="192"/>
    </row>
    <row r="878" spans="1:19" ht="20.5" thickTop="1" thickBot="1" x14ac:dyDescent="0.4">
      <c r="A878" s="184" t="s">
        <v>499</v>
      </c>
      <c r="B878" s="185" t="s">
        <v>499</v>
      </c>
      <c r="C878" s="185" t="s">
        <v>499</v>
      </c>
      <c r="D878" s="186" t="s">
        <v>499</v>
      </c>
      <c r="E878" s="185" t="s">
        <v>499</v>
      </c>
      <c r="F878" s="185" t="s">
        <v>499</v>
      </c>
      <c r="G878" s="187">
        <f t="shared" si="13"/>
        <v>0</v>
      </c>
      <c r="H878" s="188"/>
      <c r="I878" s="188"/>
      <c r="J878" s="188"/>
      <c r="K878" s="185"/>
      <c r="L878" s="185"/>
      <c r="M878" s="185"/>
      <c r="N878" s="185"/>
      <c r="O878" s="193"/>
      <c r="P878" s="193"/>
      <c r="Q878" s="195"/>
      <c r="R878" s="191"/>
      <c r="S878" s="192"/>
    </row>
    <row r="879" spans="1:19" ht="20.5" thickTop="1" thickBot="1" x14ac:dyDescent="0.4">
      <c r="A879" s="184" t="s">
        <v>499</v>
      </c>
      <c r="B879" s="185" t="s">
        <v>499</v>
      </c>
      <c r="C879" s="185" t="s">
        <v>499</v>
      </c>
      <c r="D879" s="186" t="s">
        <v>499</v>
      </c>
      <c r="E879" s="185" t="s">
        <v>499</v>
      </c>
      <c r="F879" s="185" t="s">
        <v>499</v>
      </c>
      <c r="G879" s="187">
        <f t="shared" si="13"/>
        <v>0</v>
      </c>
      <c r="H879" s="188"/>
      <c r="I879" s="188"/>
      <c r="J879" s="188"/>
      <c r="K879" s="185"/>
      <c r="L879" s="185"/>
      <c r="M879" s="185"/>
      <c r="N879" s="185"/>
      <c r="O879" s="193"/>
      <c r="P879" s="193"/>
      <c r="Q879" s="195"/>
      <c r="R879" s="191"/>
      <c r="S879" s="192"/>
    </row>
    <row r="880" spans="1:19" ht="20.5" thickTop="1" thickBot="1" x14ac:dyDescent="0.4">
      <c r="A880" s="184" t="s">
        <v>499</v>
      </c>
      <c r="B880" s="185" t="s">
        <v>499</v>
      </c>
      <c r="C880" s="185" t="s">
        <v>499</v>
      </c>
      <c r="D880" s="186" t="s">
        <v>499</v>
      </c>
      <c r="E880" s="185" t="s">
        <v>499</v>
      </c>
      <c r="F880" s="185" t="s">
        <v>499</v>
      </c>
      <c r="G880" s="187">
        <f t="shared" si="13"/>
        <v>0</v>
      </c>
      <c r="H880" s="188"/>
      <c r="I880" s="188"/>
      <c r="J880" s="188"/>
      <c r="K880" s="185"/>
      <c r="L880" s="185"/>
      <c r="M880" s="185"/>
      <c r="N880" s="185"/>
      <c r="O880" s="193"/>
      <c r="P880" s="193"/>
      <c r="Q880" s="195"/>
      <c r="R880" s="191"/>
      <c r="S880" s="192"/>
    </row>
    <row r="881" spans="1:19" ht="20.5" thickTop="1" thickBot="1" x14ac:dyDescent="0.4">
      <c r="A881" s="184" t="s">
        <v>499</v>
      </c>
      <c r="B881" s="185" t="s">
        <v>499</v>
      </c>
      <c r="C881" s="185" t="s">
        <v>499</v>
      </c>
      <c r="D881" s="186" t="s">
        <v>499</v>
      </c>
      <c r="E881" s="185" t="s">
        <v>499</v>
      </c>
      <c r="F881" s="185" t="s">
        <v>499</v>
      </c>
      <c r="G881" s="187">
        <f t="shared" si="13"/>
        <v>0</v>
      </c>
      <c r="H881" s="188"/>
      <c r="I881" s="188"/>
      <c r="J881" s="188"/>
      <c r="K881" s="185"/>
      <c r="L881" s="185"/>
      <c r="M881" s="185"/>
      <c r="N881" s="185"/>
      <c r="O881" s="193"/>
      <c r="P881" s="193"/>
      <c r="Q881" s="195"/>
      <c r="R881" s="191"/>
      <c r="S881" s="192"/>
    </row>
    <row r="882" spans="1:19" ht="20.5" thickTop="1" thickBot="1" x14ac:dyDescent="0.4">
      <c r="A882" s="184" t="s">
        <v>499</v>
      </c>
      <c r="B882" s="185" t="s">
        <v>499</v>
      </c>
      <c r="C882" s="185" t="s">
        <v>499</v>
      </c>
      <c r="D882" s="186" t="s">
        <v>499</v>
      </c>
      <c r="E882" s="185" t="s">
        <v>499</v>
      </c>
      <c r="F882" s="185" t="s">
        <v>499</v>
      </c>
      <c r="G882" s="187">
        <f t="shared" si="13"/>
        <v>0</v>
      </c>
      <c r="H882" s="188"/>
      <c r="I882" s="188"/>
      <c r="J882" s="188"/>
      <c r="K882" s="185"/>
      <c r="L882" s="185"/>
      <c r="M882" s="185"/>
      <c r="N882" s="185"/>
      <c r="O882" s="193"/>
      <c r="P882" s="193"/>
      <c r="Q882" s="195"/>
      <c r="R882" s="191"/>
      <c r="S882" s="192"/>
    </row>
    <row r="883" spans="1:19" ht="20.5" thickTop="1" thickBot="1" x14ac:dyDescent="0.4">
      <c r="A883" s="184" t="s">
        <v>499</v>
      </c>
      <c r="B883" s="185" t="s">
        <v>499</v>
      </c>
      <c r="C883" s="185" t="s">
        <v>499</v>
      </c>
      <c r="D883" s="186" t="s">
        <v>499</v>
      </c>
      <c r="E883" s="185" t="s">
        <v>499</v>
      </c>
      <c r="F883" s="185" t="s">
        <v>499</v>
      </c>
      <c r="G883" s="187">
        <f t="shared" si="13"/>
        <v>0</v>
      </c>
      <c r="H883" s="188"/>
      <c r="I883" s="188"/>
      <c r="J883" s="188"/>
      <c r="K883" s="185"/>
      <c r="L883" s="185"/>
      <c r="M883" s="185"/>
      <c r="N883" s="185"/>
      <c r="O883" s="193"/>
      <c r="P883" s="193"/>
      <c r="Q883" s="195"/>
      <c r="R883" s="191"/>
      <c r="S883" s="192"/>
    </row>
    <row r="884" spans="1:19" ht="20.5" thickTop="1" thickBot="1" x14ac:dyDescent="0.4">
      <c r="A884" s="184" t="s">
        <v>499</v>
      </c>
      <c r="B884" s="185" t="s">
        <v>499</v>
      </c>
      <c r="C884" s="185" t="s">
        <v>499</v>
      </c>
      <c r="D884" s="186" t="s">
        <v>499</v>
      </c>
      <c r="E884" s="185" t="s">
        <v>499</v>
      </c>
      <c r="F884" s="185" t="s">
        <v>499</v>
      </c>
      <c r="G884" s="187">
        <f t="shared" si="13"/>
        <v>0</v>
      </c>
      <c r="H884" s="188"/>
      <c r="I884" s="188"/>
      <c r="J884" s="188"/>
      <c r="K884" s="185"/>
      <c r="L884" s="185"/>
      <c r="M884" s="185"/>
      <c r="N884" s="185"/>
      <c r="O884" s="193"/>
      <c r="P884" s="193"/>
      <c r="Q884" s="195"/>
      <c r="R884" s="191"/>
      <c r="S884" s="192"/>
    </row>
    <row r="885" spans="1:19" ht="20.5" thickTop="1" thickBot="1" x14ac:dyDescent="0.4">
      <c r="A885" s="184" t="s">
        <v>499</v>
      </c>
      <c r="B885" s="185" t="s">
        <v>499</v>
      </c>
      <c r="C885" s="185" t="s">
        <v>499</v>
      </c>
      <c r="D885" s="186" t="s">
        <v>499</v>
      </c>
      <c r="E885" s="185" t="s">
        <v>499</v>
      </c>
      <c r="F885" s="185" t="s">
        <v>499</v>
      </c>
      <c r="G885" s="187">
        <f t="shared" si="13"/>
        <v>0</v>
      </c>
      <c r="H885" s="188"/>
      <c r="I885" s="188"/>
      <c r="J885" s="188"/>
      <c r="K885" s="185"/>
      <c r="L885" s="185"/>
      <c r="M885" s="185"/>
      <c r="N885" s="185"/>
      <c r="O885" s="193"/>
      <c r="P885" s="193"/>
      <c r="Q885" s="195"/>
      <c r="R885" s="191"/>
      <c r="S885" s="192"/>
    </row>
    <row r="886" spans="1:19" ht="20.5" thickTop="1" thickBot="1" x14ac:dyDescent="0.4">
      <c r="A886" s="184" t="s">
        <v>499</v>
      </c>
      <c r="B886" s="185" t="s">
        <v>499</v>
      </c>
      <c r="C886" s="185" t="s">
        <v>499</v>
      </c>
      <c r="D886" s="186" t="s">
        <v>499</v>
      </c>
      <c r="E886" s="185" t="s">
        <v>499</v>
      </c>
      <c r="F886" s="185" t="s">
        <v>499</v>
      </c>
      <c r="G886" s="187">
        <f t="shared" si="13"/>
        <v>0</v>
      </c>
      <c r="H886" s="188"/>
      <c r="I886" s="188"/>
      <c r="J886" s="188"/>
      <c r="K886" s="185"/>
      <c r="L886" s="185"/>
      <c r="M886" s="185"/>
      <c r="N886" s="185"/>
      <c r="O886" s="193"/>
      <c r="P886" s="193"/>
      <c r="Q886" s="195"/>
      <c r="R886" s="191"/>
      <c r="S886" s="192"/>
    </row>
    <row r="887" spans="1:19" ht="20.5" thickTop="1" thickBot="1" x14ac:dyDescent="0.4">
      <c r="A887" s="184" t="s">
        <v>499</v>
      </c>
      <c r="B887" s="185" t="s">
        <v>499</v>
      </c>
      <c r="C887" s="185" t="s">
        <v>499</v>
      </c>
      <c r="D887" s="186" t="s">
        <v>499</v>
      </c>
      <c r="E887" s="185" t="s">
        <v>499</v>
      </c>
      <c r="F887" s="185" t="s">
        <v>499</v>
      </c>
      <c r="G887" s="187">
        <f t="shared" si="13"/>
        <v>0</v>
      </c>
      <c r="H887" s="188"/>
      <c r="I887" s="188"/>
      <c r="J887" s="188"/>
      <c r="K887" s="185"/>
      <c r="L887" s="185"/>
      <c r="M887" s="185"/>
      <c r="N887" s="185"/>
      <c r="O887" s="193"/>
      <c r="P887" s="193"/>
      <c r="Q887" s="195"/>
      <c r="R887" s="191"/>
      <c r="S887" s="192"/>
    </row>
    <row r="888" spans="1:19" ht="20.5" thickTop="1" thickBot="1" x14ac:dyDescent="0.4">
      <c r="A888" s="184" t="s">
        <v>499</v>
      </c>
      <c r="B888" s="185" t="s">
        <v>499</v>
      </c>
      <c r="C888" s="185" t="s">
        <v>499</v>
      </c>
      <c r="D888" s="186" t="s">
        <v>499</v>
      </c>
      <c r="E888" s="185" t="s">
        <v>499</v>
      </c>
      <c r="F888" s="185" t="s">
        <v>499</v>
      </c>
      <c r="G888" s="187">
        <f t="shared" si="13"/>
        <v>0</v>
      </c>
      <c r="H888" s="188"/>
      <c r="I888" s="188"/>
      <c r="J888" s="188"/>
      <c r="K888" s="185"/>
      <c r="L888" s="185"/>
      <c r="M888" s="185"/>
      <c r="N888" s="185"/>
      <c r="O888" s="193"/>
      <c r="P888" s="193"/>
      <c r="Q888" s="195"/>
      <c r="R888" s="191"/>
      <c r="S888" s="192"/>
    </row>
    <row r="889" spans="1:19" ht="20.5" thickTop="1" thickBot="1" x14ac:dyDescent="0.4">
      <c r="A889" s="184" t="s">
        <v>499</v>
      </c>
      <c r="B889" s="185" t="s">
        <v>499</v>
      </c>
      <c r="C889" s="185" t="s">
        <v>499</v>
      </c>
      <c r="D889" s="186" t="s">
        <v>499</v>
      </c>
      <c r="E889" s="185" t="s">
        <v>499</v>
      </c>
      <c r="F889" s="185" t="s">
        <v>499</v>
      </c>
      <c r="G889" s="187">
        <f t="shared" si="13"/>
        <v>0</v>
      </c>
      <c r="H889" s="188"/>
      <c r="I889" s="188"/>
      <c r="J889" s="188"/>
      <c r="K889" s="185"/>
      <c r="L889" s="185"/>
      <c r="M889" s="185"/>
      <c r="N889" s="185"/>
      <c r="O889" s="193"/>
      <c r="P889" s="193"/>
      <c r="Q889" s="195"/>
      <c r="R889" s="191"/>
      <c r="S889" s="192"/>
    </row>
    <row r="890" spans="1:19" ht="20.5" thickTop="1" thickBot="1" x14ac:dyDescent="0.4">
      <c r="A890" s="184" t="s">
        <v>499</v>
      </c>
      <c r="B890" s="185" t="s">
        <v>499</v>
      </c>
      <c r="C890" s="185" t="s">
        <v>499</v>
      </c>
      <c r="D890" s="186" t="s">
        <v>499</v>
      </c>
      <c r="E890" s="185" t="s">
        <v>499</v>
      </c>
      <c r="F890" s="185" t="s">
        <v>499</v>
      </c>
      <c r="G890" s="187">
        <f t="shared" si="13"/>
        <v>0</v>
      </c>
      <c r="H890" s="188"/>
      <c r="I890" s="188"/>
      <c r="J890" s="188"/>
      <c r="K890" s="185"/>
      <c r="L890" s="185"/>
      <c r="M890" s="185"/>
      <c r="N890" s="185"/>
      <c r="O890" s="193"/>
      <c r="P890" s="193"/>
      <c r="Q890" s="195"/>
      <c r="R890" s="191"/>
      <c r="S890" s="192"/>
    </row>
    <row r="891" spans="1:19" ht="20.5" thickTop="1" thickBot="1" x14ac:dyDescent="0.4">
      <c r="A891" s="184" t="s">
        <v>499</v>
      </c>
      <c r="B891" s="185" t="s">
        <v>499</v>
      </c>
      <c r="C891" s="185" t="s">
        <v>499</v>
      </c>
      <c r="D891" s="186" t="s">
        <v>499</v>
      </c>
      <c r="E891" s="185" t="s">
        <v>499</v>
      </c>
      <c r="F891" s="185" t="s">
        <v>499</v>
      </c>
      <c r="G891" s="187">
        <f t="shared" si="13"/>
        <v>0</v>
      </c>
      <c r="H891" s="188"/>
      <c r="I891" s="188"/>
      <c r="J891" s="188"/>
      <c r="K891" s="185"/>
      <c r="L891" s="185"/>
      <c r="M891" s="185"/>
      <c r="N891" s="185"/>
      <c r="O891" s="193"/>
      <c r="P891" s="193"/>
      <c r="Q891" s="195"/>
      <c r="R891" s="191"/>
      <c r="S891" s="192"/>
    </row>
    <row r="892" spans="1:19" ht="20.5" thickTop="1" thickBot="1" x14ac:dyDescent="0.4">
      <c r="A892" s="184" t="s">
        <v>499</v>
      </c>
      <c r="B892" s="185" t="s">
        <v>499</v>
      </c>
      <c r="C892" s="185" t="s">
        <v>499</v>
      </c>
      <c r="D892" s="186" t="s">
        <v>499</v>
      </c>
      <c r="E892" s="185" t="s">
        <v>499</v>
      </c>
      <c r="F892" s="185" t="s">
        <v>499</v>
      </c>
      <c r="G892" s="187">
        <f t="shared" si="13"/>
        <v>0</v>
      </c>
      <c r="H892" s="188"/>
      <c r="I892" s="188"/>
      <c r="J892" s="188"/>
      <c r="K892" s="185"/>
      <c r="L892" s="185"/>
      <c r="M892" s="185"/>
      <c r="N892" s="185"/>
      <c r="O892" s="193"/>
      <c r="P892" s="193"/>
      <c r="Q892" s="195"/>
      <c r="R892" s="191"/>
      <c r="S892" s="192"/>
    </row>
    <row r="893" spans="1:19" ht="20.5" thickTop="1" thickBot="1" x14ac:dyDescent="0.4">
      <c r="A893" s="184" t="s">
        <v>499</v>
      </c>
      <c r="B893" s="185" t="s">
        <v>499</v>
      </c>
      <c r="C893" s="185" t="s">
        <v>499</v>
      </c>
      <c r="D893" s="186" t="s">
        <v>499</v>
      </c>
      <c r="E893" s="185" t="s">
        <v>499</v>
      </c>
      <c r="F893" s="185" t="s">
        <v>499</v>
      </c>
      <c r="G893" s="187">
        <f t="shared" si="13"/>
        <v>0</v>
      </c>
      <c r="H893" s="188"/>
      <c r="I893" s="188"/>
      <c r="J893" s="188"/>
      <c r="K893" s="185"/>
      <c r="L893" s="185"/>
      <c r="M893" s="185"/>
      <c r="N893" s="185"/>
      <c r="O893" s="193"/>
      <c r="P893" s="193"/>
      <c r="Q893" s="195"/>
      <c r="R893" s="191"/>
      <c r="S893" s="192"/>
    </row>
    <row r="894" spans="1:19" ht="20.5" thickTop="1" thickBot="1" x14ac:dyDescent="0.4">
      <c r="A894" s="184" t="s">
        <v>499</v>
      </c>
      <c r="B894" s="185" t="s">
        <v>499</v>
      </c>
      <c r="C894" s="185" t="s">
        <v>499</v>
      </c>
      <c r="D894" s="186" t="s">
        <v>499</v>
      </c>
      <c r="E894" s="185" t="s">
        <v>499</v>
      </c>
      <c r="F894" s="185" t="s">
        <v>499</v>
      </c>
      <c r="G894" s="187">
        <f t="shared" si="13"/>
        <v>0</v>
      </c>
      <c r="H894" s="188"/>
      <c r="I894" s="188"/>
      <c r="J894" s="188"/>
      <c r="K894" s="185"/>
      <c r="L894" s="185"/>
      <c r="M894" s="185"/>
      <c r="N894" s="185"/>
      <c r="O894" s="193"/>
      <c r="P894" s="193"/>
      <c r="Q894" s="195"/>
      <c r="R894" s="191"/>
      <c r="S894" s="192"/>
    </row>
    <row r="895" spans="1:19" ht="20.5" thickTop="1" thickBot="1" x14ac:dyDescent="0.4">
      <c r="A895" s="184" t="s">
        <v>499</v>
      </c>
      <c r="B895" s="185" t="s">
        <v>499</v>
      </c>
      <c r="C895" s="185" t="s">
        <v>499</v>
      </c>
      <c r="D895" s="186" t="s">
        <v>499</v>
      </c>
      <c r="E895" s="185" t="s">
        <v>499</v>
      </c>
      <c r="F895" s="185" t="s">
        <v>499</v>
      </c>
      <c r="G895" s="187">
        <f t="shared" si="13"/>
        <v>0</v>
      </c>
      <c r="H895" s="188"/>
      <c r="I895" s="188"/>
      <c r="J895" s="188"/>
      <c r="K895" s="185"/>
      <c r="L895" s="185"/>
      <c r="M895" s="185"/>
      <c r="N895" s="185"/>
      <c r="O895" s="193"/>
      <c r="P895" s="193"/>
      <c r="Q895" s="195"/>
      <c r="R895" s="191"/>
      <c r="S895" s="192"/>
    </row>
    <row r="896" spans="1:19" ht="20.5" thickTop="1" thickBot="1" x14ac:dyDescent="0.4">
      <c r="A896" s="184" t="s">
        <v>499</v>
      </c>
      <c r="B896" s="185" t="s">
        <v>499</v>
      </c>
      <c r="C896" s="185" t="s">
        <v>499</v>
      </c>
      <c r="D896" s="186" t="s">
        <v>499</v>
      </c>
      <c r="E896" s="185" t="s">
        <v>499</v>
      </c>
      <c r="F896" s="185" t="s">
        <v>499</v>
      </c>
      <c r="G896" s="187">
        <f t="shared" si="13"/>
        <v>0</v>
      </c>
      <c r="H896" s="188"/>
      <c r="I896" s="188"/>
      <c r="J896" s="188"/>
      <c r="K896" s="185"/>
      <c r="L896" s="185"/>
      <c r="M896" s="185"/>
      <c r="N896" s="185"/>
      <c r="O896" s="193"/>
      <c r="P896" s="193"/>
      <c r="Q896" s="195"/>
      <c r="R896" s="191"/>
      <c r="S896" s="192"/>
    </row>
    <row r="897" spans="1:19" ht="20.5" thickTop="1" thickBot="1" x14ac:dyDescent="0.4">
      <c r="A897" s="184" t="s">
        <v>499</v>
      </c>
      <c r="B897" s="185" t="s">
        <v>499</v>
      </c>
      <c r="C897" s="185" t="s">
        <v>499</v>
      </c>
      <c r="D897" s="186" t="s">
        <v>499</v>
      </c>
      <c r="E897" s="185" t="s">
        <v>499</v>
      </c>
      <c r="F897" s="185" t="s">
        <v>499</v>
      </c>
      <c r="G897" s="187">
        <f t="shared" si="13"/>
        <v>0</v>
      </c>
      <c r="H897" s="188"/>
      <c r="I897" s="188"/>
      <c r="J897" s="188"/>
      <c r="K897" s="185"/>
      <c r="L897" s="185"/>
      <c r="M897" s="185"/>
      <c r="N897" s="185"/>
      <c r="O897" s="193"/>
      <c r="P897" s="193"/>
      <c r="Q897" s="195"/>
      <c r="R897" s="191"/>
      <c r="S897" s="192"/>
    </row>
    <row r="898" spans="1:19" ht="20.5" thickTop="1" thickBot="1" x14ac:dyDescent="0.4">
      <c r="A898" s="184" t="s">
        <v>499</v>
      </c>
      <c r="B898" s="185" t="s">
        <v>499</v>
      </c>
      <c r="C898" s="185" t="s">
        <v>499</v>
      </c>
      <c r="D898" s="186" t="s">
        <v>499</v>
      </c>
      <c r="E898" s="185" t="s">
        <v>499</v>
      </c>
      <c r="F898" s="185" t="s">
        <v>499</v>
      </c>
      <c r="G898" s="187">
        <f t="shared" si="13"/>
        <v>0</v>
      </c>
      <c r="H898" s="188"/>
      <c r="I898" s="188"/>
      <c r="J898" s="188"/>
      <c r="K898" s="185"/>
      <c r="L898" s="185"/>
      <c r="M898" s="185"/>
      <c r="N898" s="185"/>
      <c r="O898" s="193"/>
      <c r="P898" s="193"/>
      <c r="Q898" s="195"/>
      <c r="R898" s="191"/>
      <c r="S898" s="192"/>
    </row>
    <row r="899" spans="1:19" ht="20.5" thickTop="1" thickBot="1" x14ac:dyDescent="0.4">
      <c r="A899" s="184" t="s">
        <v>499</v>
      </c>
      <c r="B899" s="185" t="s">
        <v>499</v>
      </c>
      <c r="C899" s="185" t="s">
        <v>499</v>
      </c>
      <c r="D899" s="186" t="s">
        <v>499</v>
      </c>
      <c r="E899" s="185" t="s">
        <v>499</v>
      </c>
      <c r="F899" s="185" t="s">
        <v>499</v>
      </c>
      <c r="G899" s="187">
        <f t="shared" si="13"/>
        <v>0</v>
      </c>
      <c r="H899" s="188"/>
      <c r="I899" s="188"/>
      <c r="J899" s="188"/>
      <c r="K899" s="185"/>
      <c r="L899" s="185"/>
      <c r="M899" s="185"/>
      <c r="N899" s="185"/>
      <c r="O899" s="193"/>
      <c r="P899" s="193"/>
      <c r="Q899" s="195"/>
      <c r="R899" s="191"/>
      <c r="S899" s="192"/>
    </row>
    <row r="900" spans="1:19" ht="20.5" thickTop="1" thickBot="1" x14ac:dyDescent="0.4">
      <c r="A900" s="184" t="s">
        <v>499</v>
      </c>
      <c r="B900" s="185" t="s">
        <v>499</v>
      </c>
      <c r="C900" s="185" t="s">
        <v>499</v>
      </c>
      <c r="D900" s="186" t="s">
        <v>499</v>
      </c>
      <c r="E900" s="185" t="s">
        <v>499</v>
      </c>
      <c r="F900" s="185" t="s">
        <v>499</v>
      </c>
      <c r="G900" s="187">
        <f t="shared" si="13"/>
        <v>0</v>
      </c>
      <c r="H900" s="188"/>
      <c r="I900" s="188"/>
      <c r="J900" s="188"/>
      <c r="K900" s="185"/>
      <c r="L900" s="185"/>
      <c r="M900" s="185"/>
      <c r="N900" s="185"/>
      <c r="O900" s="193"/>
      <c r="P900" s="193"/>
      <c r="Q900" s="195"/>
      <c r="R900" s="191"/>
      <c r="S900" s="192"/>
    </row>
    <row r="901" spans="1:19" ht="20.5" thickTop="1" thickBot="1" x14ac:dyDescent="0.4">
      <c r="A901" s="184" t="s">
        <v>499</v>
      </c>
      <c r="B901" s="185" t="s">
        <v>499</v>
      </c>
      <c r="C901" s="185" t="s">
        <v>499</v>
      </c>
      <c r="D901" s="186" t="s">
        <v>499</v>
      </c>
      <c r="E901" s="185" t="s">
        <v>499</v>
      </c>
      <c r="F901" s="185" t="s">
        <v>499</v>
      </c>
      <c r="G901" s="187">
        <f t="shared" ref="G901:G964" si="14">SUM(H901:J901)</f>
        <v>0</v>
      </c>
      <c r="H901" s="188"/>
      <c r="I901" s="188"/>
      <c r="J901" s="188"/>
      <c r="K901" s="185"/>
      <c r="L901" s="185"/>
      <c r="M901" s="185"/>
      <c r="N901" s="185"/>
      <c r="O901" s="193"/>
      <c r="P901" s="193"/>
      <c r="Q901" s="195"/>
      <c r="R901" s="191"/>
      <c r="S901" s="192"/>
    </row>
    <row r="902" spans="1:19" ht="20.5" thickTop="1" thickBot="1" x14ac:dyDescent="0.4">
      <c r="A902" s="184" t="s">
        <v>499</v>
      </c>
      <c r="B902" s="185" t="s">
        <v>499</v>
      </c>
      <c r="C902" s="185" t="s">
        <v>499</v>
      </c>
      <c r="D902" s="186" t="s">
        <v>499</v>
      </c>
      <c r="E902" s="185" t="s">
        <v>499</v>
      </c>
      <c r="F902" s="185" t="s">
        <v>499</v>
      </c>
      <c r="G902" s="187">
        <f t="shared" si="14"/>
        <v>0</v>
      </c>
      <c r="H902" s="188"/>
      <c r="I902" s="188"/>
      <c r="J902" s="188"/>
      <c r="K902" s="185"/>
      <c r="L902" s="185"/>
      <c r="M902" s="185"/>
      <c r="N902" s="185"/>
      <c r="O902" s="193"/>
      <c r="P902" s="193"/>
      <c r="Q902" s="195"/>
      <c r="R902" s="191"/>
      <c r="S902" s="192"/>
    </row>
    <row r="903" spans="1:19" ht="20.5" thickTop="1" thickBot="1" x14ac:dyDescent="0.4">
      <c r="A903" s="184" t="s">
        <v>499</v>
      </c>
      <c r="B903" s="185" t="s">
        <v>499</v>
      </c>
      <c r="C903" s="185" t="s">
        <v>499</v>
      </c>
      <c r="D903" s="186" t="s">
        <v>499</v>
      </c>
      <c r="E903" s="185" t="s">
        <v>499</v>
      </c>
      <c r="F903" s="185" t="s">
        <v>499</v>
      </c>
      <c r="G903" s="187">
        <f t="shared" si="14"/>
        <v>0</v>
      </c>
      <c r="H903" s="188"/>
      <c r="I903" s="188"/>
      <c r="J903" s="188"/>
      <c r="K903" s="185"/>
      <c r="L903" s="185"/>
      <c r="M903" s="185"/>
      <c r="N903" s="185"/>
      <c r="O903" s="193"/>
      <c r="P903" s="193"/>
      <c r="Q903" s="195"/>
      <c r="R903" s="191"/>
      <c r="S903" s="192"/>
    </row>
    <row r="904" spans="1:19" ht="20.5" thickTop="1" thickBot="1" x14ac:dyDescent="0.4">
      <c r="A904" s="184" t="s">
        <v>499</v>
      </c>
      <c r="B904" s="185" t="s">
        <v>499</v>
      </c>
      <c r="C904" s="185" t="s">
        <v>499</v>
      </c>
      <c r="D904" s="186" t="s">
        <v>499</v>
      </c>
      <c r="E904" s="185" t="s">
        <v>499</v>
      </c>
      <c r="F904" s="185" t="s">
        <v>499</v>
      </c>
      <c r="G904" s="187">
        <f t="shared" si="14"/>
        <v>0</v>
      </c>
      <c r="H904" s="188"/>
      <c r="I904" s="188"/>
      <c r="J904" s="188"/>
      <c r="K904" s="185"/>
      <c r="L904" s="185"/>
      <c r="M904" s="185"/>
      <c r="N904" s="185"/>
      <c r="O904" s="193"/>
      <c r="P904" s="193"/>
      <c r="Q904" s="195"/>
      <c r="R904" s="191"/>
      <c r="S904" s="192"/>
    </row>
    <row r="905" spans="1:19" ht="20.5" thickTop="1" thickBot="1" x14ac:dyDescent="0.4">
      <c r="A905" s="184" t="s">
        <v>499</v>
      </c>
      <c r="B905" s="185" t="s">
        <v>499</v>
      </c>
      <c r="C905" s="185" t="s">
        <v>499</v>
      </c>
      <c r="D905" s="186" t="s">
        <v>499</v>
      </c>
      <c r="E905" s="185" t="s">
        <v>499</v>
      </c>
      <c r="F905" s="185" t="s">
        <v>499</v>
      </c>
      <c r="G905" s="187">
        <f t="shared" si="14"/>
        <v>0</v>
      </c>
      <c r="H905" s="188"/>
      <c r="I905" s="188"/>
      <c r="J905" s="188"/>
      <c r="K905" s="185"/>
      <c r="L905" s="185"/>
      <c r="M905" s="185"/>
      <c r="N905" s="185"/>
      <c r="O905" s="193"/>
      <c r="P905" s="193"/>
      <c r="Q905" s="195"/>
      <c r="R905" s="191"/>
      <c r="S905" s="192"/>
    </row>
    <row r="906" spans="1:19" ht="20.5" thickTop="1" thickBot="1" x14ac:dyDescent="0.4">
      <c r="A906" s="184" t="s">
        <v>499</v>
      </c>
      <c r="B906" s="185" t="s">
        <v>499</v>
      </c>
      <c r="C906" s="185" t="s">
        <v>499</v>
      </c>
      <c r="D906" s="186" t="s">
        <v>499</v>
      </c>
      <c r="E906" s="185" t="s">
        <v>499</v>
      </c>
      <c r="F906" s="185" t="s">
        <v>499</v>
      </c>
      <c r="G906" s="187">
        <f t="shared" si="14"/>
        <v>0</v>
      </c>
      <c r="H906" s="188"/>
      <c r="I906" s="188"/>
      <c r="J906" s="188"/>
      <c r="K906" s="185"/>
      <c r="L906" s="185"/>
      <c r="M906" s="185"/>
      <c r="N906" s="185"/>
      <c r="O906" s="193"/>
      <c r="P906" s="193"/>
      <c r="Q906" s="195"/>
      <c r="R906" s="191"/>
      <c r="S906" s="192"/>
    </row>
    <row r="907" spans="1:19" ht="20.5" thickTop="1" thickBot="1" x14ac:dyDescent="0.4">
      <c r="A907" s="184" t="s">
        <v>499</v>
      </c>
      <c r="B907" s="185" t="s">
        <v>499</v>
      </c>
      <c r="C907" s="185" t="s">
        <v>499</v>
      </c>
      <c r="D907" s="186" t="s">
        <v>499</v>
      </c>
      <c r="E907" s="185" t="s">
        <v>499</v>
      </c>
      <c r="F907" s="185" t="s">
        <v>499</v>
      </c>
      <c r="G907" s="187">
        <f t="shared" si="14"/>
        <v>0</v>
      </c>
      <c r="H907" s="188"/>
      <c r="I907" s="188"/>
      <c r="J907" s="188"/>
      <c r="K907" s="185"/>
      <c r="L907" s="185"/>
      <c r="M907" s="185"/>
      <c r="N907" s="185"/>
      <c r="O907" s="193"/>
      <c r="P907" s="193"/>
      <c r="Q907" s="195"/>
      <c r="R907" s="191"/>
      <c r="S907" s="192"/>
    </row>
    <row r="908" spans="1:19" ht="20.5" thickTop="1" thickBot="1" x14ac:dyDescent="0.4">
      <c r="A908" s="184" t="s">
        <v>499</v>
      </c>
      <c r="B908" s="185" t="s">
        <v>499</v>
      </c>
      <c r="C908" s="185" t="s">
        <v>499</v>
      </c>
      <c r="D908" s="186" t="s">
        <v>499</v>
      </c>
      <c r="E908" s="185" t="s">
        <v>499</v>
      </c>
      <c r="F908" s="185" t="s">
        <v>499</v>
      </c>
      <c r="G908" s="187">
        <f t="shared" si="14"/>
        <v>0</v>
      </c>
      <c r="H908" s="188"/>
      <c r="I908" s="188"/>
      <c r="J908" s="188"/>
      <c r="K908" s="185"/>
      <c r="L908" s="185"/>
      <c r="M908" s="185"/>
      <c r="N908" s="185"/>
      <c r="O908" s="193"/>
      <c r="P908" s="193"/>
      <c r="Q908" s="195"/>
      <c r="R908" s="191"/>
      <c r="S908" s="192"/>
    </row>
    <row r="909" spans="1:19" ht="20.5" thickTop="1" thickBot="1" x14ac:dyDescent="0.4">
      <c r="A909" s="184" t="s">
        <v>499</v>
      </c>
      <c r="B909" s="185" t="s">
        <v>499</v>
      </c>
      <c r="C909" s="185" t="s">
        <v>499</v>
      </c>
      <c r="D909" s="186" t="s">
        <v>499</v>
      </c>
      <c r="E909" s="185" t="s">
        <v>499</v>
      </c>
      <c r="F909" s="185" t="s">
        <v>499</v>
      </c>
      <c r="G909" s="187">
        <f t="shared" si="14"/>
        <v>0</v>
      </c>
      <c r="H909" s="188"/>
      <c r="I909" s="188"/>
      <c r="J909" s="188"/>
      <c r="K909" s="185"/>
      <c r="L909" s="185"/>
      <c r="M909" s="185"/>
      <c r="N909" s="185"/>
      <c r="O909" s="193"/>
      <c r="P909" s="193"/>
      <c r="Q909" s="195"/>
      <c r="R909" s="191"/>
      <c r="S909" s="192"/>
    </row>
    <row r="910" spans="1:19" ht="20.5" thickTop="1" thickBot="1" x14ac:dyDescent="0.4">
      <c r="A910" s="184" t="s">
        <v>499</v>
      </c>
      <c r="B910" s="185" t="s">
        <v>499</v>
      </c>
      <c r="C910" s="185" t="s">
        <v>499</v>
      </c>
      <c r="D910" s="186" t="s">
        <v>499</v>
      </c>
      <c r="E910" s="185" t="s">
        <v>499</v>
      </c>
      <c r="F910" s="185" t="s">
        <v>499</v>
      </c>
      <c r="G910" s="187">
        <f t="shared" si="14"/>
        <v>0</v>
      </c>
      <c r="H910" s="188"/>
      <c r="I910" s="188"/>
      <c r="J910" s="188"/>
      <c r="K910" s="185"/>
      <c r="L910" s="185"/>
      <c r="M910" s="185"/>
      <c r="N910" s="185"/>
      <c r="O910" s="193"/>
      <c r="P910" s="193"/>
      <c r="Q910" s="195"/>
      <c r="R910" s="191"/>
      <c r="S910" s="192"/>
    </row>
    <row r="911" spans="1:19" ht="20.5" thickTop="1" thickBot="1" x14ac:dyDescent="0.4">
      <c r="A911" s="184" t="s">
        <v>499</v>
      </c>
      <c r="B911" s="185" t="s">
        <v>499</v>
      </c>
      <c r="C911" s="185" t="s">
        <v>499</v>
      </c>
      <c r="D911" s="186" t="s">
        <v>499</v>
      </c>
      <c r="E911" s="185" t="s">
        <v>499</v>
      </c>
      <c r="F911" s="185" t="s">
        <v>499</v>
      </c>
      <c r="G911" s="187">
        <f t="shared" si="14"/>
        <v>0</v>
      </c>
      <c r="H911" s="188"/>
      <c r="I911" s="188"/>
      <c r="J911" s="188"/>
      <c r="K911" s="185"/>
      <c r="L911" s="185"/>
      <c r="M911" s="185"/>
      <c r="N911" s="185"/>
      <c r="O911" s="193"/>
      <c r="P911" s="193"/>
      <c r="Q911" s="195"/>
      <c r="R911" s="191"/>
      <c r="S911" s="192"/>
    </row>
    <row r="912" spans="1:19" ht="20.5" thickTop="1" thickBot="1" x14ac:dyDescent="0.4">
      <c r="A912" s="184" t="s">
        <v>499</v>
      </c>
      <c r="B912" s="185" t="s">
        <v>499</v>
      </c>
      <c r="C912" s="185" t="s">
        <v>499</v>
      </c>
      <c r="D912" s="186" t="s">
        <v>499</v>
      </c>
      <c r="E912" s="185" t="s">
        <v>499</v>
      </c>
      <c r="F912" s="185" t="s">
        <v>499</v>
      </c>
      <c r="G912" s="187">
        <f t="shared" si="14"/>
        <v>0</v>
      </c>
      <c r="H912" s="188"/>
      <c r="I912" s="188"/>
      <c r="J912" s="188"/>
      <c r="K912" s="185"/>
      <c r="L912" s="185"/>
      <c r="M912" s="185"/>
      <c r="N912" s="185"/>
      <c r="O912" s="193"/>
      <c r="P912" s="193"/>
      <c r="Q912" s="195"/>
      <c r="R912" s="191"/>
      <c r="S912" s="192"/>
    </row>
    <row r="913" spans="1:19" ht="20.5" thickTop="1" thickBot="1" x14ac:dyDescent="0.4">
      <c r="A913" s="184" t="s">
        <v>499</v>
      </c>
      <c r="B913" s="185" t="s">
        <v>499</v>
      </c>
      <c r="C913" s="185" t="s">
        <v>499</v>
      </c>
      <c r="D913" s="186" t="s">
        <v>499</v>
      </c>
      <c r="E913" s="185" t="s">
        <v>499</v>
      </c>
      <c r="F913" s="185" t="s">
        <v>499</v>
      </c>
      <c r="G913" s="187">
        <f t="shared" si="14"/>
        <v>0</v>
      </c>
      <c r="H913" s="188"/>
      <c r="I913" s="188"/>
      <c r="J913" s="188"/>
      <c r="K913" s="185"/>
      <c r="L913" s="185"/>
      <c r="M913" s="185"/>
      <c r="N913" s="185"/>
      <c r="O913" s="193"/>
      <c r="P913" s="193"/>
      <c r="Q913" s="195"/>
      <c r="R913" s="191"/>
      <c r="S913" s="192"/>
    </row>
    <row r="914" spans="1:19" ht="20.5" thickTop="1" thickBot="1" x14ac:dyDescent="0.4">
      <c r="A914" s="184" t="s">
        <v>499</v>
      </c>
      <c r="B914" s="185" t="s">
        <v>499</v>
      </c>
      <c r="C914" s="185" t="s">
        <v>499</v>
      </c>
      <c r="D914" s="186" t="s">
        <v>499</v>
      </c>
      <c r="E914" s="185" t="s">
        <v>499</v>
      </c>
      <c r="F914" s="185" t="s">
        <v>499</v>
      </c>
      <c r="G914" s="187">
        <f t="shared" si="14"/>
        <v>0</v>
      </c>
      <c r="H914" s="188"/>
      <c r="I914" s="188"/>
      <c r="J914" s="188"/>
      <c r="K914" s="185"/>
      <c r="L914" s="185"/>
      <c r="M914" s="185"/>
      <c r="N914" s="185"/>
      <c r="O914" s="193"/>
      <c r="P914" s="193"/>
      <c r="Q914" s="195"/>
      <c r="R914" s="191"/>
      <c r="S914" s="192"/>
    </row>
    <row r="915" spans="1:19" ht="20.5" thickTop="1" thickBot="1" x14ac:dyDescent="0.4">
      <c r="A915" s="184" t="s">
        <v>499</v>
      </c>
      <c r="B915" s="185" t="s">
        <v>499</v>
      </c>
      <c r="C915" s="185" t="s">
        <v>499</v>
      </c>
      <c r="D915" s="186" t="s">
        <v>499</v>
      </c>
      <c r="E915" s="185" t="s">
        <v>499</v>
      </c>
      <c r="F915" s="185" t="s">
        <v>499</v>
      </c>
      <c r="G915" s="187">
        <f t="shared" si="14"/>
        <v>0</v>
      </c>
      <c r="H915" s="188"/>
      <c r="I915" s="188"/>
      <c r="J915" s="188"/>
      <c r="K915" s="185"/>
      <c r="L915" s="185"/>
      <c r="M915" s="185"/>
      <c r="N915" s="185"/>
      <c r="O915" s="193"/>
      <c r="P915" s="193"/>
      <c r="Q915" s="195"/>
      <c r="R915" s="191"/>
      <c r="S915" s="192"/>
    </row>
    <row r="916" spans="1:19" ht="20.5" thickTop="1" thickBot="1" x14ac:dyDescent="0.4">
      <c r="A916" s="184" t="s">
        <v>499</v>
      </c>
      <c r="B916" s="185" t="s">
        <v>499</v>
      </c>
      <c r="C916" s="185" t="s">
        <v>499</v>
      </c>
      <c r="D916" s="186" t="s">
        <v>499</v>
      </c>
      <c r="E916" s="185" t="s">
        <v>499</v>
      </c>
      <c r="F916" s="185" t="s">
        <v>499</v>
      </c>
      <c r="G916" s="187">
        <f t="shared" si="14"/>
        <v>0</v>
      </c>
      <c r="H916" s="188"/>
      <c r="I916" s="188"/>
      <c r="J916" s="188"/>
      <c r="K916" s="185"/>
      <c r="L916" s="185"/>
      <c r="M916" s="185"/>
      <c r="N916" s="185"/>
      <c r="O916" s="193"/>
      <c r="P916" s="193"/>
      <c r="Q916" s="195"/>
      <c r="R916" s="191"/>
      <c r="S916" s="192"/>
    </row>
    <row r="917" spans="1:19" ht="20.5" thickTop="1" thickBot="1" x14ac:dyDescent="0.4">
      <c r="A917" s="184" t="s">
        <v>499</v>
      </c>
      <c r="B917" s="185" t="s">
        <v>499</v>
      </c>
      <c r="C917" s="185" t="s">
        <v>499</v>
      </c>
      <c r="D917" s="186" t="s">
        <v>499</v>
      </c>
      <c r="E917" s="185" t="s">
        <v>499</v>
      </c>
      <c r="F917" s="185" t="s">
        <v>499</v>
      </c>
      <c r="G917" s="187">
        <f t="shared" si="14"/>
        <v>0</v>
      </c>
      <c r="H917" s="188"/>
      <c r="I917" s="188"/>
      <c r="J917" s="188"/>
      <c r="K917" s="185"/>
      <c r="L917" s="185"/>
      <c r="M917" s="185"/>
      <c r="N917" s="185"/>
      <c r="O917" s="193"/>
      <c r="P917" s="193"/>
      <c r="Q917" s="195"/>
      <c r="R917" s="191"/>
      <c r="S917" s="192"/>
    </row>
    <row r="918" spans="1:19" ht="20.5" thickTop="1" thickBot="1" x14ac:dyDescent="0.4">
      <c r="A918" s="184" t="s">
        <v>499</v>
      </c>
      <c r="B918" s="185" t="s">
        <v>499</v>
      </c>
      <c r="C918" s="185" t="s">
        <v>499</v>
      </c>
      <c r="D918" s="186" t="s">
        <v>499</v>
      </c>
      <c r="E918" s="185" t="s">
        <v>499</v>
      </c>
      <c r="F918" s="185" t="s">
        <v>499</v>
      </c>
      <c r="G918" s="187">
        <f t="shared" si="14"/>
        <v>0</v>
      </c>
      <c r="H918" s="188"/>
      <c r="I918" s="188"/>
      <c r="J918" s="188"/>
      <c r="K918" s="185"/>
      <c r="L918" s="185"/>
      <c r="M918" s="185"/>
      <c r="N918" s="185"/>
      <c r="O918" s="193"/>
      <c r="P918" s="193"/>
      <c r="Q918" s="195"/>
      <c r="R918" s="191"/>
      <c r="S918" s="192"/>
    </row>
    <row r="919" spans="1:19" ht="20.5" thickTop="1" thickBot="1" x14ac:dyDescent="0.4">
      <c r="A919" s="184" t="s">
        <v>499</v>
      </c>
      <c r="B919" s="185" t="s">
        <v>499</v>
      </c>
      <c r="C919" s="185" t="s">
        <v>499</v>
      </c>
      <c r="D919" s="186" t="s">
        <v>499</v>
      </c>
      <c r="E919" s="185" t="s">
        <v>499</v>
      </c>
      <c r="F919" s="185" t="s">
        <v>499</v>
      </c>
      <c r="G919" s="187">
        <f t="shared" si="14"/>
        <v>0</v>
      </c>
      <c r="H919" s="188"/>
      <c r="I919" s="188"/>
      <c r="J919" s="188"/>
      <c r="K919" s="185"/>
      <c r="L919" s="185"/>
      <c r="M919" s="185"/>
      <c r="N919" s="185"/>
      <c r="O919" s="193"/>
      <c r="P919" s="193"/>
      <c r="Q919" s="195"/>
      <c r="R919" s="191"/>
      <c r="S919" s="192"/>
    </row>
    <row r="920" spans="1:19" ht="20.5" thickTop="1" thickBot="1" x14ac:dyDescent="0.4">
      <c r="A920" s="184" t="s">
        <v>499</v>
      </c>
      <c r="B920" s="185" t="s">
        <v>499</v>
      </c>
      <c r="C920" s="185" t="s">
        <v>499</v>
      </c>
      <c r="D920" s="186" t="s">
        <v>499</v>
      </c>
      <c r="E920" s="185" t="s">
        <v>499</v>
      </c>
      <c r="F920" s="185" t="s">
        <v>499</v>
      </c>
      <c r="G920" s="187">
        <f t="shared" si="14"/>
        <v>0</v>
      </c>
      <c r="H920" s="188"/>
      <c r="I920" s="188"/>
      <c r="J920" s="188"/>
      <c r="K920" s="185"/>
      <c r="L920" s="185"/>
      <c r="M920" s="185"/>
      <c r="N920" s="185"/>
      <c r="O920" s="193"/>
      <c r="P920" s="193"/>
      <c r="Q920" s="195"/>
      <c r="R920" s="191"/>
      <c r="S920" s="192"/>
    </row>
    <row r="921" spans="1:19" ht="20.5" thickTop="1" thickBot="1" x14ac:dyDescent="0.4">
      <c r="A921" s="184" t="s">
        <v>499</v>
      </c>
      <c r="B921" s="185" t="s">
        <v>499</v>
      </c>
      <c r="C921" s="185" t="s">
        <v>499</v>
      </c>
      <c r="D921" s="186" t="s">
        <v>499</v>
      </c>
      <c r="E921" s="185" t="s">
        <v>499</v>
      </c>
      <c r="F921" s="185" t="s">
        <v>499</v>
      </c>
      <c r="G921" s="187">
        <f t="shared" si="14"/>
        <v>0</v>
      </c>
      <c r="H921" s="188"/>
      <c r="I921" s="188"/>
      <c r="J921" s="188"/>
      <c r="K921" s="185"/>
      <c r="L921" s="185"/>
      <c r="M921" s="185"/>
      <c r="N921" s="185"/>
      <c r="O921" s="193"/>
      <c r="P921" s="193"/>
      <c r="Q921" s="195"/>
      <c r="R921" s="191"/>
      <c r="S921" s="192"/>
    </row>
    <row r="922" spans="1:19" ht="20.5" thickTop="1" thickBot="1" x14ac:dyDescent="0.4">
      <c r="A922" s="184" t="s">
        <v>499</v>
      </c>
      <c r="B922" s="185" t="s">
        <v>499</v>
      </c>
      <c r="C922" s="185" t="s">
        <v>499</v>
      </c>
      <c r="D922" s="186" t="s">
        <v>499</v>
      </c>
      <c r="E922" s="185" t="s">
        <v>499</v>
      </c>
      <c r="F922" s="185" t="s">
        <v>499</v>
      </c>
      <c r="G922" s="187">
        <f t="shared" si="14"/>
        <v>0</v>
      </c>
      <c r="H922" s="188"/>
      <c r="I922" s="188"/>
      <c r="J922" s="188"/>
      <c r="K922" s="185"/>
      <c r="L922" s="185"/>
      <c r="M922" s="185"/>
      <c r="N922" s="185"/>
      <c r="O922" s="193"/>
      <c r="P922" s="193"/>
      <c r="Q922" s="195"/>
      <c r="R922" s="191"/>
      <c r="S922" s="192"/>
    </row>
    <row r="923" spans="1:19" ht="20.5" thickTop="1" thickBot="1" x14ac:dyDescent="0.4">
      <c r="A923" s="184" t="s">
        <v>499</v>
      </c>
      <c r="B923" s="185" t="s">
        <v>499</v>
      </c>
      <c r="C923" s="185" t="s">
        <v>499</v>
      </c>
      <c r="D923" s="186" t="s">
        <v>499</v>
      </c>
      <c r="E923" s="185" t="s">
        <v>499</v>
      </c>
      <c r="F923" s="185" t="s">
        <v>499</v>
      </c>
      <c r="G923" s="187">
        <f t="shared" si="14"/>
        <v>0</v>
      </c>
      <c r="H923" s="188"/>
      <c r="I923" s="188"/>
      <c r="J923" s="188"/>
      <c r="K923" s="185"/>
      <c r="L923" s="185"/>
      <c r="M923" s="185"/>
      <c r="N923" s="185"/>
      <c r="O923" s="193"/>
      <c r="P923" s="193"/>
      <c r="Q923" s="195"/>
      <c r="R923" s="191"/>
      <c r="S923" s="192"/>
    </row>
    <row r="924" spans="1:19" ht="20.5" thickTop="1" thickBot="1" x14ac:dyDescent="0.4">
      <c r="A924" s="184" t="s">
        <v>499</v>
      </c>
      <c r="B924" s="185" t="s">
        <v>499</v>
      </c>
      <c r="C924" s="185" t="s">
        <v>499</v>
      </c>
      <c r="D924" s="186" t="s">
        <v>499</v>
      </c>
      <c r="E924" s="185" t="s">
        <v>499</v>
      </c>
      <c r="F924" s="185" t="s">
        <v>499</v>
      </c>
      <c r="G924" s="187">
        <f t="shared" si="14"/>
        <v>0</v>
      </c>
      <c r="H924" s="188"/>
      <c r="I924" s="188"/>
      <c r="J924" s="188"/>
      <c r="K924" s="185"/>
      <c r="L924" s="185"/>
      <c r="M924" s="185"/>
      <c r="N924" s="185"/>
      <c r="O924" s="193"/>
      <c r="P924" s="193"/>
      <c r="Q924" s="195"/>
      <c r="R924" s="191"/>
      <c r="S924" s="192"/>
    </row>
    <row r="925" spans="1:19" ht="20.5" thickTop="1" thickBot="1" x14ac:dyDescent="0.4">
      <c r="A925" s="184" t="s">
        <v>499</v>
      </c>
      <c r="B925" s="185" t="s">
        <v>499</v>
      </c>
      <c r="C925" s="185" t="s">
        <v>499</v>
      </c>
      <c r="D925" s="186" t="s">
        <v>499</v>
      </c>
      <c r="E925" s="185" t="s">
        <v>499</v>
      </c>
      <c r="F925" s="185" t="s">
        <v>499</v>
      </c>
      <c r="G925" s="187">
        <f t="shared" si="14"/>
        <v>0</v>
      </c>
      <c r="H925" s="188"/>
      <c r="I925" s="188"/>
      <c r="J925" s="188"/>
      <c r="K925" s="185"/>
      <c r="L925" s="185"/>
      <c r="M925" s="185"/>
      <c r="N925" s="185"/>
      <c r="O925" s="193"/>
      <c r="P925" s="193"/>
      <c r="Q925" s="195"/>
      <c r="R925" s="191"/>
      <c r="S925" s="192"/>
    </row>
    <row r="926" spans="1:19" ht="20.5" thickTop="1" thickBot="1" x14ac:dyDescent="0.4">
      <c r="A926" s="184" t="s">
        <v>499</v>
      </c>
      <c r="B926" s="185" t="s">
        <v>499</v>
      </c>
      <c r="C926" s="185" t="s">
        <v>499</v>
      </c>
      <c r="D926" s="186" t="s">
        <v>499</v>
      </c>
      <c r="E926" s="185" t="s">
        <v>499</v>
      </c>
      <c r="F926" s="185" t="s">
        <v>499</v>
      </c>
      <c r="G926" s="187">
        <f t="shared" si="14"/>
        <v>0</v>
      </c>
      <c r="H926" s="188"/>
      <c r="I926" s="188"/>
      <c r="J926" s="188"/>
      <c r="K926" s="185"/>
      <c r="L926" s="185"/>
      <c r="M926" s="185"/>
      <c r="N926" s="185"/>
      <c r="O926" s="193"/>
      <c r="P926" s="193"/>
      <c r="Q926" s="195"/>
      <c r="R926" s="191"/>
      <c r="S926" s="192"/>
    </row>
    <row r="927" spans="1:19" ht="20.5" thickTop="1" thickBot="1" x14ac:dyDescent="0.4">
      <c r="A927" s="184" t="s">
        <v>499</v>
      </c>
      <c r="B927" s="185" t="s">
        <v>499</v>
      </c>
      <c r="C927" s="185" t="s">
        <v>499</v>
      </c>
      <c r="D927" s="186" t="s">
        <v>499</v>
      </c>
      <c r="E927" s="185" t="s">
        <v>499</v>
      </c>
      <c r="F927" s="185" t="s">
        <v>499</v>
      </c>
      <c r="G927" s="187">
        <f t="shared" si="14"/>
        <v>0</v>
      </c>
      <c r="H927" s="188"/>
      <c r="I927" s="188"/>
      <c r="J927" s="188"/>
      <c r="K927" s="185"/>
      <c r="L927" s="185"/>
      <c r="M927" s="185"/>
      <c r="N927" s="185"/>
      <c r="O927" s="193"/>
      <c r="P927" s="193"/>
      <c r="Q927" s="195"/>
      <c r="R927" s="191"/>
      <c r="S927" s="192"/>
    </row>
    <row r="928" spans="1:19" ht="20.5" thickTop="1" thickBot="1" x14ac:dyDescent="0.4">
      <c r="A928" s="184" t="s">
        <v>499</v>
      </c>
      <c r="B928" s="185" t="s">
        <v>499</v>
      </c>
      <c r="C928" s="185" t="s">
        <v>499</v>
      </c>
      <c r="D928" s="186" t="s">
        <v>499</v>
      </c>
      <c r="E928" s="185" t="s">
        <v>499</v>
      </c>
      <c r="F928" s="185" t="s">
        <v>499</v>
      </c>
      <c r="G928" s="187">
        <f t="shared" si="14"/>
        <v>0</v>
      </c>
      <c r="H928" s="188"/>
      <c r="I928" s="188"/>
      <c r="J928" s="188"/>
      <c r="K928" s="185"/>
      <c r="L928" s="185"/>
      <c r="M928" s="185"/>
      <c r="N928" s="185"/>
      <c r="O928" s="193"/>
      <c r="P928" s="193"/>
      <c r="Q928" s="195"/>
      <c r="R928" s="191"/>
      <c r="S928" s="192"/>
    </row>
    <row r="929" spans="1:19" ht="20.5" thickTop="1" thickBot="1" x14ac:dyDescent="0.4">
      <c r="A929" s="184" t="s">
        <v>499</v>
      </c>
      <c r="B929" s="185" t="s">
        <v>499</v>
      </c>
      <c r="C929" s="185" t="s">
        <v>499</v>
      </c>
      <c r="D929" s="186" t="s">
        <v>499</v>
      </c>
      <c r="E929" s="185" t="s">
        <v>499</v>
      </c>
      <c r="F929" s="185" t="s">
        <v>499</v>
      </c>
      <c r="G929" s="187">
        <f t="shared" si="14"/>
        <v>0</v>
      </c>
      <c r="H929" s="188"/>
      <c r="I929" s="188"/>
      <c r="J929" s="188"/>
      <c r="K929" s="185"/>
      <c r="L929" s="185"/>
      <c r="M929" s="185"/>
      <c r="N929" s="185"/>
      <c r="O929" s="193"/>
      <c r="P929" s="193"/>
      <c r="Q929" s="195"/>
      <c r="R929" s="191"/>
      <c r="S929" s="192"/>
    </row>
    <row r="930" spans="1:19" ht="20.5" thickTop="1" thickBot="1" x14ac:dyDescent="0.4">
      <c r="A930" s="184" t="s">
        <v>499</v>
      </c>
      <c r="B930" s="185" t="s">
        <v>499</v>
      </c>
      <c r="C930" s="185" t="s">
        <v>499</v>
      </c>
      <c r="D930" s="186" t="s">
        <v>499</v>
      </c>
      <c r="E930" s="185" t="s">
        <v>499</v>
      </c>
      <c r="F930" s="185" t="s">
        <v>499</v>
      </c>
      <c r="G930" s="187">
        <f t="shared" si="14"/>
        <v>0</v>
      </c>
      <c r="H930" s="188"/>
      <c r="I930" s="188"/>
      <c r="J930" s="188"/>
      <c r="K930" s="185"/>
      <c r="L930" s="185"/>
      <c r="M930" s="185"/>
      <c r="N930" s="185"/>
      <c r="O930" s="193"/>
      <c r="P930" s="193"/>
      <c r="Q930" s="195"/>
      <c r="R930" s="191"/>
      <c r="S930" s="192"/>
    </row>
    <row r="931" spans="1:19" ht="20.5" thickTop="1" thickBot="1" x14ac:dyDescent="0.4">
      <c r="A931" s="184" t="s">
        <v>499</v>
      </c>
      <c r="B931" s="185" t="s">
        <v>499</v>
      </c>
      <c r="C931" s="185" t="s">
        <v>499</v>
      </c>
      <c r="D931" s="186" t="s">
        <v>499</v>
      </c>
      <c r="E931" s="185" t="s">
        <v>499</v>
      </c>
      <c r="F931" s="185" t="s">
        <v>499</v>
      </c>
      <c r="G931" s="187">
        <f t="shared" si="14"/>
        <v>0</v>
      </c>
      <c r="H931" s="188"/>
      <c r="I931" s="188"/>
      <c r="J931" s="188"/>
      <c r="K931" s="185"/>
      <c r="L931" s="185"/>
      <c r="M931" s="185"/>
      <c r="N931" s="185"/>
      <c r="O931" s="193"/>
      <c r="P931" s="193"/>
      <c r="Q931" s="195"/>
      <c r="R931" s="191"/>
      <c r="S931" s="192"/>
    </row>
    <row r="932" spans="1:19" ht="20.5" thickTop="1" thickBot="1" x14ac:dyDescent="0.4">
      <c r="A932" s="184" t="s">
        <v>499</v>
      </c>
      <c r="B932" s="185" t="s">
        <v>499</v>
      </c>
      <c r="C932" s="185" t="s">
        <v>499</v>
      </c>
      <c r="D932" s="186" t="s">
        <v>499</v>
      </c>
      <c r="E932" s="185" t="s">
        <v>499</v>
      </c>
      <c r="F932" s="185" t="s">
        <v>499</v>
      </c>
      <c r="G932" s="187">
        <f t="shared" si="14"/>
        <v>0</v>
      </c>
      <c r="H932" s="188"/>
      <c r="I932" s="188"/>
      <c r="J932" s="188"/>
      <c r="K932" s="185"/>
      <c r="L932" s="185"/>
      <c r="M932" s="185"/>
      <c r="N932" s="185"/>
      <c r="O932" s="193"/>
      <c r="P932" s="193"/>
      <c r="Q932" s="195"/>
      <c r="R932" s="191"/>
      <c r="S932" s="192"/>
    </row>
    <row r="933" spans="1:19" ht="20.5" thickTop="1" thickBot="1" x14ac:dyDescent="0.4">
      <c r="A933" s="184" t="s">
        <v>499</v>
      </c>
      <c r="B933" s="185" t="s">
        <v>499</v>
      </c>
      <c r="C933" s="185" t="s">
        <v>499</v>
      </c>
      <c r="D933" s="186" t="s">
        <v>499</v>
      </c>
      <c r="E933" s="185" t="s">
        <v>499</v>
      </c>
      <c r="F933" s="185" t="s">
        <v>499</v>
      </c>
      <c r="G933" s="187">
        <f t="shared" si="14"/>
        <v>0</v>
      </c>
      <c r="H933" s="188"/>
      <c r="I933" s="188"/>
      <c r="J933" s="188"/>
      <c r="K933" s="185"/>
      <c r="L933" s="185"/>
      <c r="M933" s="185"/>
      <c r="N933" s="185"/>
      <c r="O933" s="193"/>
      <c r="P933" s="193"/>
      <c r="Q933" s="195"/>
      <c r="R933" s="191"/>
      <c r="S933" s="192"/>
    </row>
    <row r="934" spans="1:19" ht="20.5" thickTop="1" thickBot="1" x14ac:dyDescent="0.4">
      <c r="A934" s="184" t="s">
        <v>499</v>
      </c>
      <c r="B934" s="185" t="s">
        <v>499</v>
      </c>
      <c r="C934" s="185" t="s">
        <v>499</v>
      </c>
      <c r="D934" s="186" t="s">
        <v>499</v>
      </c>
      <c r="E934" s="185" t="s">
        <v>499</v>
      </c>
      <c r="F934" s="185" t="s">
        <v>499</v>
      </c>
      <c r="G934" s="187">
        <f t="shared" si="14"/>
        <v>0</v>
      </c>
      <c r="H934" s="188"/>
      <c r="I934" s="188"/>
      <c r="J934" s="188"/>
      <c r="K934" s="185"/>
      <c r="L934" s="185"/>
      <c r="M934" s="185"/>
      <c r="N934" s="185"/>
      <c r="O934" s="193"/>
      <c r="P934" s="193"/>
      <c r="Q934" s="195"/>
      <c r="R934" s="191"/>
      <c r="S934" s="192"/>
    </row>
    <row r="935" spans="1:19" ht="20.5" thickTop="1" thickBot="1" x14ac:dyDescent="0.4">
      <c r="A935" s="184" t="s">
        <v>499</v>
      </c>
      <c r="B935" s="185" t="s">
        <v>499</v>
      </c>
      <c r="C935" s="185" t="s">
        <v>499</v>
      </c>
      <c r="D935" s="186" t="s">
        <v>499</v>
      </c>
      <c r="E935" s="185" t="s">
        <v>499</v>
      </c>
      <c r="F935" s="185" t="s">
        <v>499</v>
      </c>
      <c r="G935" s="187">
        <f t="shared" si="14"/>
        <v>0</v>
      </c>
      <c r="H935" s="188"/>
      <c r="I935" s="188"/>
      <c r="J935" s="188"/>
      <c r="K935" s="185"/>
      <c r="L935" s="185"/>
      <c r="M935" s="185"/>
      <c r="N935" s="185"/>
      <c r="O935" s="193"/>
      <c r="P935" s="193"/>
      <c r="Q935" s="195"/>
      <c r="R935" s="191"/>
      <c r="S935" s="192"/>
    </row>
    <row r="936" spans="1:19" ht="20.5" thickTop="1" thickBot="1" x14ac:dyDescent="0.4">
      <c r="A936" s="184" t="s">
        <v>499</v>
      </c>
      <c r="B936" s="185" t="s">
        <v>499</v>
      </c>
      <c r="C936" s="185" t="s">
        <v>499</v>
      </c>
      <c r="D936" s="186" t="s">
        <v>499</v>
      </c>
      <c r="E936" s="185" t="s">
        <v>499</v>
      </c>
      <c r="F936" s="185" t="s">
        <v>499</v>
      </c>
      <c r="G936" s="187">
        <f t="shared" si="14"/>
        <v>0</v>
      </c>
      <c r="H936" s="188"/>
      <c r="I936" s="188"/>
      <c r="J936" s="188"/>
      <c r="K936" s="185"/>
      <c r="L936" s="185"/>
      <c r="M936" s="185"/>
      <c r="N936" s="185"/>
      <c r="O936" s="193"/>
      <c r="P936" s="193"/>
      <c r="Q936" s="195"/>
      <c r="R936" s="191"/>
      <c r="S936" s="192"/>
    </row>
    <row r="937" spans="1:19" ht="20.5" thickTop="1" thickBot="1" x14ac:dyDescent="0.4">
      <c r="A937" s="184" t="s">
        <v>499</v>
      </c>
      <c r="B937" s="185" t="s">
        <v>499</v>
      </c>
      <c r="C937" s="185" t="s">
        <v>499</v>
      </c>
      <c r="D937" s="186" t="s">
        <v>499</v>
      </c>
      <c r="E937" s="185" t="s">
        <v>499</v>
      </c>
      <c r="F937" s="185" t="s">
        <v>499</v>
      </c>
      <c r="G937" s="187">
        <f t="shared" si="14"/>
        <v>0</v>
      </c>
      <c r="H937" s="188"/>
      <c r="I937" s="188"/>
      <c r="J937" s="188"/>
      <c r="K937" s="185"/>
      <c r="L937" s="185"/>
      <c r="M937" s="185"/>
      <c r="N937" s="185"/>
      <c r="O937" s="193"/>
      <c r="P937" s="193"/>
      <c r="Q937" s="195"/>
      <c r="R937" s="191"/>
      <c r="S937" s="192"/>
    </row>
    <row r="938" spans="1:19" ht="20.5" thickTop="1" thickBot="1" x14ac:dyDescent="0.4">
      <c r="A938" s="184" t="s">
        <v>499</v>
      </c>
      <c r="B938" s="185" t="s">
        <v>499</v>
      </c>
      <c r="C938" s="185" t="s">
        <v>499</v>
      </c>
      <c r="D938" s="186" t="s">
        <v>499</v>
      </c>
      <c r="E938" s="185" t="s">
        <v>499</v>
      </c>
      <c r="F938" s="185" t="s">
        <v>499</v>
      </c>
      <c r="G938" s="187">
        <f t="shared" si="14"/>
        <v>0</v>
      </c>
      <c r="H938" s="188"/>
      <c r="I938" s="188"/>
      <c r="J938" s="188"/>
      <c r="K938" s="185"/>
      <c r="L938" s="185"/>
      <c r="M938" s="185"/>
      <c r="N938" s="185"/>
      <c r="O938" s="193"/>
      <c r="P938" s="193"/>
      <c r="Q938" s="195"/>
      <c r="R938" s="191"/>
      <c r="S938" s="192"/>
    </row>
    <row r="939" spans="1:19" ht="20.5" thickTop="1" thickBot="1" x14ac:dyDescent="0.4">
      <c r="A939" s="184" t="s">
        <v>499</v>
      </c>
      <c r="B939" s="185" t="s">
        <v>499</v>
      </c>
      <c r="C939" s="185" t="s">
        <v>499</v>
      </c>
      <c r="D939" s="186" t="s">
        <v>499</v>
      </c>
      <c r="E939" s="185" t="s">
        <v>499</v>
      </c>
      <c r="F939" s="185" t="s">
        <v>499</v>
      </c>
      <c r="G939" s="187">
        <f t="shared" si="14"/>
        <v>0</v>
      </c>
      <c r="H939" s="188"/>
      <c r="I939" s="188"/>
      <c r="J939" s="188"/>
      <c r="K939" s="185"/>
      <c r="L939" s="185"/>
      <c r="M939" s="185"/>
      <c r="N939" s="185"/>
      <c r="O939" s="193"/>
      <c r="P939" s="193"/>
      <c r="Q939" s="195"/>
      <c r="R939" s="191"/>
      <c r="S939" s="192"/>
    </row>
    <row r="940" spans="1:19" ht="20.5" thickTop="1" thickBot="1" x14ac:dyDescent="0.4">
      <c r="A940" s="184" t="s">
        <v>499</v>
      </c>
      <c r="B940" s="185" t="s">
        <v>499</v>
      </c>
      <c r="C940" s="185" t="s">
        <v>499</v>
      </c>
      <c r="D940" s="186" t="s">
        <v>499</v>
      </c>
      <c r="E940" s="185" t="s">
        <v>499</v>
      </c>
      <c r="F940" s="185" t="s">
        <v>499</v>
      </c>
      <c r="G940" s="187">
        <f t="shared" si="14"/>
        <v>0</v>
      </c>
      <c r="H940" s="188"/>
      <c r="I940" s="188"/>
      <c r="J940" s="188"/>
      <c r="K940" s="185"/>
      <c r="L940" s="185"/>
      <c r="M940" s="185"/>
      <c r="N940" s="185"/>
      <c r="O940" s="193"/>
      <c r="P940" s="193"/>
      <c r="Q940" s="195"/>
      <c r="R940" s="191"/>
      <c r="S940" s="192"/>
    </row>
    <row r="941" spans="1:19" ht="20.5" thickTop="1" thickBot="1" x14ac:dyDescent="0.4">
      <c r="A941" s="184" t="s">
        <v>499</v>
      </c>
      <c r="B941" s="185" t="s">
        <v>499</v>
      </c>
      <c r="C941" s="185" t="s">
        <v>499</v>
      </c>
      <c r="D941" s="186" t="s">
        <v>499</v>
      </c>
      <c r="E941" s="185" t="s">
        <v>499</v>
      </c>
      <c r="F941" s="185" t="s">
        <v>499</v>
      </c>
      <c r="G941" s="187">
        <f t="shared" si="14"/>
        <v>0</v>
      </c>
      <c r="H941" s="188"/>
      <c r="I941" s="188"/>
      <c r="J941" s="188"/>
      <c r="K941" s="185"/>
      <c r="L941" s="185"/>
      <c r="M941" s="185"/>
      <c r="N941" s="185"/>
      <c r="O941" s="193"/>
      <c r="P941" s="193"/>
      <c r="Q941" s="195"/>
      <c r="R941" s="191"/>
      <c r="S941" s="192"/>
    </row>
    <row r="942" spans="1:19" ht="20.5" thickTop="1" thickBot="1" x14ac:dyDescent="0.4">
      <c r="A942" s="184" t="s">
        <v>499</v>
      </c>
      <c r="B942" s="185" t="s">
        <v>499</v>
      </c>
      <c r="C942" s="185" t="s">
        <v>499</v>
      </c>
      <c r="D942" s="186" t="s">
        <v>499</v>
      </c>
      <c r="E942" s="185" t="s">
        <v>499</v>
      </c>
      <c r="F942" s="185" t="s">
        <v>499</v>
      </c>
      <c r="G942" s="187">
        <f t="shared" si="14"/>
        <v>0</v>
      </c>
      <c r="H942" s="188"/>
      <c r="I942" s="188"/>
      <c r="J942" s="188"/>
      <c r="K942" s="185"/>
      <c r="L942" s="185"/>
      <c r="M942" s="185"/>
      <c r="N942" s="185"/>
      <c r="O942" s="193"/>
      <c r="P942" s="193"/>
      <c r="Q942" s="195"/>
      <c r="R942" s="191"/>
      <c r="S942" s="192"/>
    </row>
    <row r="943" spans="1:19" ht="20.5" thickTop="1" thickBot="1" x14ac:dyDescent="0.4">
      <c r="A943" s="184" t="s">
        <v>499</v>
      </c>
      <c r="B943" s="185" t="s">
        <v>499</v>
      </c>
      <c r="C943" s="185" t="s">
        <v>499</v>
      </c>
      <c r="D943" s="186" t="s">
        <v>499</v>
      </c>
      <c r="E943" s="185" t="s">
        <v>499</v>
      </c>
      <c r="F943" s="185" t="s">
        <v>499</v>
      </c>
      <c r="G943" s="187">
        <f t="shared" si="14"/>
        <v>0</v>
      </c>
      <c r="H943" s="188"/>
      <c r="I943" s="188"/>
      <c r="J943" s="188"/>
      <c r="K943" s="185"/>
      <c r="L943" s="185"/>
      <c r="M943" s="185"/>
      <c r="N943" s="185"/>
      <c r="O943" s="193"/>
      <c r="P943" s="193"/>
      <c r="Q943" s="195"/>
      <c r="R943" s="191"/>
      <c r="S943" s="192"/>
    </row>
    <row r="944" spans="1:19" ht="20.5" thickTop="1" thickBot="1" x14ac:dyDescent="0.4">
      <c r="A944" s="184" t="s">
        <v>499</v>
      </c>
      <c r="B944" s="185" t="s">
        <v>499</v>
      </c>
      <c r="C944" s="185" t="s">
        <v>499</v>
      </c>
      <c r="D944" s="186" t="s">
        <v>499</v>
      </c>
      <c r="E944" s="185" t="s">
        <v>499</v>
      </c>
      <c r="F944" s="185" t="s">
        <v>499</v>
      </c>
      <c r="G944" s="187">
        <f t="shared" si="14"/>
        <v>0</v>
      </c>
      <c r="H944" s="188"/>
      <c r="I944" s="188"/>
      <c r="J944" s="188"/>
      <c r="K944" s="185"/>
      <c r="L944" s="185"/>
      <c r="M944" s="185"/>
      <c r="N944" s="185"/>
      <c r="O944" s="193"/>
      <c r="P944" s="193"/>
      <c r="Q944" s="195"/>
      <c r="R944" s="191"/>
      <c r="S944" s="192"/>
    </row>
    <row r="945" spans="1:19" ht="20.5" thickTop="1" thickBot="1" x14ac:dyDescent="0.4">
      <c r="A945" s="184" t="s">
        <v>499</v>
      </c>
      <c r="B945" s="185" t="s">
        <v>499</v>
      </c>
      <c r="C945" s="185" t="s">
        <v>499</v>
      </c>
      <c r="D945" s="186" t="s">
        <v>499</v>
      </c>
      <c r="E945" s="185" t="s">
        <v>499</v>
      </c>
      <c r="F945" s="185" t="s">
        <v>499</v>
      </c>
      <c r="G945" s="187">
        <f t="shared" si="14"/>
        <v>0</v>
      </c>
      <c r="H945" s="188"/>
      <c r="I945" s="188"/>
      <c r="J945" s="188"/>
      <c r="K945" s="185"/>
      <c r="L945" s="185"/>
      <c r="M945" s="185"/>
      <c r="N945" s="185"/>
      <c r="O945" s="193"/>
      <c r="P945" s="193"/>
      <c r="Q945" s="195"/>
      <c r="R945" s="191"/>
      <c r="S945" s="192"/>
    </row>
    <row r="946" spans="1:19" ht="20.5" thickTop="1" thickBot="1" x14ac:dyDescent="0.4">
      <c r="A946" s="184" t="s">
        <v>499</v>
      </c>
      <c r="B946" s="185" t="s">
        <v>499</v>
      </c>
      <c r="C946" s="185" t="s">
        <v>499</v>
      </c>
      <c r="D946" s="186" t="s">
        <v>499</v>
      </c>
      <c r="E946" s="185" t="s">
        <v>499</v>
      </c>
      <c r="F946" s="185" t="s">
        <v>499</v>
      </c>
      <c r="G946" s="187">
        <f t="shared" si="14"/>
        <v>0</v>
      </c>
      <c r="H946" s="188"/>
      <c r="I946" s="188"/>
      <c r="J946" s="188"/>
      <c r="K946" s="185"/>
      <c r="L946" s="185"/>
      <c r="M946" s="185"/>
      <c r="N946" s="185"/>
      <c r="O946" s="193"/>
      <c r="P946" s="193"/>
      <c r="Q946" s="195"/>
      <c r="R946" s="191"/>
      <c r="S946" s="192"/>
    </row>
    <row r="947" spans="1:19" ht="20.5" thickTop="1" thickBot="1" x14ac:dyDescent="0.4">
      <c r="A947" s="184" t="s">
        <v>499</v>
      </c>
      <c r="B947" s="185" t="s">
        <v>499</v>
      </c>
      <c r="C947" s="185" t="s">
        <v>499</v>
      </c>
      <c r="D947" s="186" t="s">
        <v>499</v>
      </c>
      <c r="E947" s="185" t="s">
        <v>499</v>
      </c>
      <c r="F947" s="185" t="s">
        <v>499</v>
      </c>
      <c r="G947" s="187">
        <f t="shared" si="14"/>
        <v>0</v>
      </c>
      <c r="H947" s="188"/>
      <c r="I947" s="188"/>
      <c r="J947" s="188"/>
      <c r="K947" s="185"/>
      <c r="L947" s="185"/>
      <c r="M947" s="185"/>
      <c r="N947" s="185"/>
      <c r="O947" s="193"/>
      <c r="P947" s="193"/>
      <c r="Q947" s="195"/>
      <c r="R947" s="191"/>
      <c r="S947" s="192"/>
    </row>
    <row r="948" spans="1:19" ht="20.5" thickTop="1" thickBot="1" x14ac:dyDescent="0.4">
      <c r="A948" s="184" t="s">
        <v>499</v>
      </c>
      <c r="B948" s="185" t="s">
        <v>499</v>
      </c>
      <c r="C948" s="185" t="s">
        <v>499</v>
      </c>
      <c r="D948" s="186" t="s">
        <v>499</v>
      </c>
      <c r="E948" s="185" t="s">
        <v>499</v>
      </c>
      <c r="F948" s="185" t="s">
        <v>499</v>
      </c>
      <c r="G948" s="187">
        <f t="shared" si="14"/>
        <v>0</v>
      </c>
      <c r="H948" s="188"/>
      <c r="I948" s="188"/>
      <c r="J948" s="188"/>
      <c r="K948" s="185"/>
      <c r="L948" s="185"/>
      <c r="M948" s="185"/>
      <c r="N948" s="185"/>
      <c r="O948" s="193"/>
      <c r="P948" s="193"/>
      <c r="Q948" s="195"/>
      <c r="R948" s="191"/>
      <c r="S948" s="192"/>
    </row>
    <row r="949" spans="1:19" ht="20.5" thickTop="1" thickBot="1" x14ac:dyDescent="0.4">
      <c r="A949" s="184" t="s">
        <v>499</v>
      </c>
      <c r="B949" s="185" t="s">
        <v>499</v>
      </c>
      <c r="C949" s="185" t="s">
        <v>499</v>
      </c>
      <c r="D949" s="186" t="s">
        <v>499</v>
      </c>
      <c r="E949" s="185" t="s">
        <v>499</v>
      </c>
      <c r="F949" s="185" t="s">
        <v>499</v>
      </c>
      <c r="G949" s="187">
        <f t="shared" si="14"/>
        <v>0</v>
      </c>
      <c r="H949" s="188"/>
      <c r="I949" s="188"/>
      <c r="J949" s="188"/>
      <c r="K949" s="185"/>
      <c r="L949" s="185"/>
      <c r="M949" s="185"/>
      <c r="N949" s="185"/>
      <c r="O949" s="193"/>
      <c r="P949" s="193"/>
      <c r="Q949" s="195"/>
      <c r="R949" s="191"/>
      <c r="S949" s="192"/>
    </row>
    <row r="950" spans="1:19" ht="20.5" thickTop="1" thickBot="1" x14ac:dyDescent="0.4">
      <c r="A950" s="184" t="s">
        <v>499</v>
      </c>
      <c r="B950" s="185" t="s">
        <v>499</v>
      </c>
      <c r="C950" s="185" t="s">
        <v>499</v>
      </c>
      <c r="D950" s="186" t="s">
        <v>499</v>
      </c>
      <c r="E950" s="185" t="s">
        <v>499</v>
      </c>
      <c r="F950" s="185" t="s">
        <v>499</v>
      </c>
      <c r="G950" s="187">
        <f t="shared" si="14"/>
        <v>0</v>
      </c>
      <c r="H950" s="188"/>
      <c r="I950" s="188"/>
      <c r="J950" s="188"/>
      <c r="K950" s="185"/>
      <c r="L950" s="185"/>
      <c r="M950" s="185"/>
      <c r="N950" s="185"/>
      <c r="O950" s="193"/>
      <c r="P950" s="193"/>
      <c r="Q950" s="195"/>
      <c r="R950" s="191"/>
      <c r="S950" s="192"/>
    </row>
    <row r="951" spans="1:19" ht="20.5" thickTop="1" thickBot="1" x14ac:dyDescent="0.4">
      <c r="A951" s="184" t="s">
        <v>499</v>
      </c>
      <c r="B951" s="185" t="s">
        <v>499</v>
      </c>
      <c r="C951" s="185" t="s">
        <v>499</v>
      </c>
      <c r="D951" s="186" t="s">
        <v>499</v>
      </c>
      <c r="E951" s="185" t="s">
        <v>499</v>
      </c>
      <c r="F951" s="185" t="s">
        <v>499</v>
      </c>
      <c r="G951" s="187">
        <f t="shared" si="14"/>
        <v>0</v>
      </c>
      <c r="H951" s="188"/>
      <c r="I951" s="188"/>
      <c r="J951" s="188"/>
      <c r="K951" s="185"/>
      <c r="L951" s="185"/>
      <c r="M951" s="185"/>
      <c r="N951" s="185"/>
      <c r="O951" s="193"/>
      <c r="P951" s="193"/>
      <c r="Q951" s="195"/>
      <c r="R951" s="191"/>
      <c r="S951" s="192"/>
    </row>
    <row r="952" spans="1:19" ht="20.5" thickTop="1" thickBot="1" x14ac:dyDescent="0.4">
      <c r="A952" s="184" t="s">
        <v>499</v>
      </c>
      <c r="B952" s="185" t="s">
        <v>499</v>
      </c>
      <c r="C952" s="185" t="s">
        <v>499</v>
      </c>
      <c r="D952" s="186" t="s">
        <v>499</v>
      </c>
      <c r="E952" s="185" t="s">
        <v>499</v>
      </c>
      <c r="F952" s="185" t="s">
        <v>499</v>
      </c>
      <c r="G952" s="187">
        <f t="shared" si="14"/>
        <v>0</v>
      </c>
      <c r="H952" s="188"/>
      <c r="I952" s="188"/>
      <c r="J952" s="188"/>
      <c r="K952" s="185"/>
      <c r="L952" s="185"/>
      <c r="M952" s="185"/>
      <c r="N952" s="185"/>
      <c r="O952" s="193"/>
      <c r="P952" s="193"/>
      <c r="Q952" s="195"/>
      <c r="R952" s="191"/>
      <c r="S952" s="192"/>
    </row>
    <row r="953" spans="1:19" ht="20.5" thickTop="1" thickBot="1" x14ac:dyDescent="0.4">
      <c r="A953" s="184" t="s">
        <v>499</v>
      </c>
      <c r="B953" s="185" t="s">
        <v>499</v>
      </c>
      <c r="C953" s="185" t="s">
        <v>499</v>
      </c>
      <c r="D953" s="186" t="s">
        <v>499</v>
      </c>
      <c r="E953" s="185" t="s">
        <v>499</v>
      </c>
      <c r="F953" s="185" t="s">
        <v>499</v>
      </c>
      <c r="G953" s="187">
        <f t="shared" si="14"/>
        <v>0</v>
      </c>
      <c r="H953" s="188"/>
      <c r="I953" s="188"/>
      <c r="J953" s="188"/>
      <c r="K953" s="185"/>
      <c r="L953" s="185"/>
      <c r="M953" s="185"/>
      <c r="N953" s="185"/>
      <c r="O953" s="193"/>
      <c r="P953" s="193"/>
      <c r="Q953" s="195"/>
      <c r="R953" s="191"/>
      <c r="S953" s="192"/>
    </row>
    <row r="954" spans="1:19" ht="20.5" thickTop="1" thickBot="1" x14ac:dyDescent="0.4">
      <c r="A954" s="184" t="s">
        <v>499</v>
      </c>
      <c r="B954" s="185" t="s">
        <v>499</v>
      </c>
      <c r="C954" s="185" t="s">
        <v>499</v>
      </c>
      <c r="D954" s="186" t="s">
        <v>499</v>
      </c>
      <c r="E954" s="185" t="s">
        <v>499</v>
      </c>
      <c r="F954" s="185" t="s">
        <v>499</v>
      </c>
      <c r="G954" s="187">
        <f t="shared" si="14"/>
        <v>0</v>
      </c>
      <c r="H954" s="188"/>
      <c r="I954" s="188"/>
      <c r="J954" s="188"/>
      <c r="K954" s="185"/>
      <c r="L954" s="185"/>
      <c r="M954" s="185"/>
      <c r="N954" s="185"/>
      <c r="O954" s="193"/>
      <c r="P954" s="193"/>
      <c r="Q954" s="195"/>
      <c r="R954" s="191"/>
      <c r="S954" s="192"/>
    </row>
    <row r="955" spans="1:19" ht="20.5" thickTop="1" thickBot="1" x14ac:dyDescent="0.4">
      <c r="A955" s="184" t="s">
        <v>499</v>
      </c>
      <c r="B955" s="185" t="s">
        <v>499</v>
      </c>
      <c r="C955" s="185" t="s">
        <v>499</v>
      </c>
      <c r="D955" s="186" t="s">
        <v>499</v>
      </c>
      <c r="E955" s="185" t="s">
        <v>499</v>
      </c>
      <c r="F955" s="185" t="s">
        <v>499</v>
      </c>
      <c r="G955" s="187">
        <f t="shared" si="14"/>
        <v>0</v>
      </c>
      <c r="H955" s="188"/>
      <c r="I955" s="188"/>
      <c r="J955" s="188"/>
      <c r="K955" s="185"/>
      <c r="L955" s="185"/>
      <c r="M955" s="185"/>
      <c r="N955" s="185"/>
      <c r="O955" s="193"/>
      <c r="P955" s="193"/>
      <c r="Q955" s="195"/>
      <c r="R955" s="191"/>
      <c r="S955" s="192"/>
    </row>
    <row r="956" spans="1:19" ht="20.5" thickTop="1" thickBot="1" x14ac:dyDescent="0.4">
      <c r="A956" s="184" t="s">
        <v>499</v>
      </c>
      <c r="B956" s="185" t="s">
        <v>499</v>
      </c>
      <c r="C956" s="185" t="s">
        <v>499</v>
      </c>
      <c r="D956" s="186" t="s">
        <v>499</v>
      </c>
      <c r="E956" s="185" t="s">
        <v>499</v>
      </c>
      <c r="F956" s="185" t="s">
        <v>499</v>
      </c>
      <c r="G956" s="187">
        <f t="shared" si="14"/>
        <v>0</v>
      </c>
      <c r="H956" s="188"/>
      <c r="I956" s="188"/>
      <c r="J956" s="188"/>
      <c r="K956" s="185"/>
      <c r="L956" s="185"/>
      <c r="M956" s="185"/>
      <c r="N956" s="185"/>
      <c r="O956" s="193"/>
      <c r="P956" s="193"/>
      <c r="Q956" s="195"/>
      <c r="R956" s="191"/>
      <c r="S956" s="192"/>
    </row>
    <row r="957" spans="1:19" ht="20.5" thickTop="1" thickBot="1" x14ac:dyDescent="0.4">
      <c r="A957" s="184" t="s">
        <v>499</v>
      </c>
      <c r="B957" s="185" t="s">
        <v>499</v>
      </c>
      <c r="C957" s="185" t="s">
        <v>499</v>
      </c>
      <c r="D957" s="186" t="s">
        <v>499</v>
      </c>
      <c r="E957" s="185" t="s">
        <v>499</v>
      </c>
      <c r="F957" s="185" t="s">
        <v>499</v>
      </c>
      <c r="G957" s="187">
        <f t="shared" si="14"/>
        <v>0</v>
      </c>
      <c r="H957" s="188"/>
      <c r="I957" s="188"/>
      <c r="J957" s="188"/>
      <c r="K957" s="185"/>
      <c r="L957" s="185"/>
      <c r="M957" s="185"/>
      <c r="N957" s="185"/>
      <c r="O957" s="193"/>
      <c r="P957" s="193"/>
      <c r="Q957" s="195"/>
      <c r="R957" s="191"/>
      <c r="S957" s="192"/>
    </row>
    <row r="958" spans="1:19" ht="20.5" thickTop="1" thickBot="1" x14ac:dyDescent="0.4">
      <c r="A958" s="184" t="s">
        <v>499</v>
      </c>
      <c r="B958" s="185" t="s">
        <v>499</v>
      </c>
      <c r="C958" s="185" t="s">
        <v>499</v>
      </c>
      <c r="D958" s="186" t="s">
        <v>499</v>
      </c>
      <c r="E958" s="185" t="s">
        <v>499</v>
      </c>
      <c r="F958" s="185" t="s">
        <v>499</v>
      </c>
      <c r="G958" s="187">
        <f t="shared" si="14"/>
        <v>0</v>
      </c>
      <c r="H958" s="188"/>
      <c r="I958" s="188"/>
      <c r="J958" s="188"/>
      <c r="K958" s="185"/>
      <c r="L958" s="185"/>
      <c r="M958" s="185"/>
      <c r="N958" s="185"/>
      <c r="O958" s="193"/>
      <c r="P958" s="193"/>
      <c r="Q958" s="195"/>
      <c r="R958" s="191"/>
      <c r="S958" s="192"/>
    </row>
    <row r="959" spans="1:19" ht="20.5" thickTop="1" thickBot="1" x14ac:dyDescent="0.4">
      <c r="A959" s="184" t="s">
        <v>499</v>
      </c>
      <c r="B959" s="185" t="s">
        <v>499</v>
      </c>
      <c r="C959" s="185" t="s">
        <v>499</v>
      </c>
      <c r="D959" s="186" t="s">
        <v>499</v>
      </c>
      <c r="E959" s="185" t="s">
        <v>499</v>
      </c>
      <c r="F959" s="185" t="s">
        <v>499</v>
      </c>
      <c r="G959" s="187">
        <f t="shared" si="14"/>
        <v>0</v>
      </c>
      <c r="H959" s="188"/>
      <c r="I959" s="188"/>
      <c r="J959" s="188"/>
      <c r="K959" s="185"/>
      <c r="L959" s="185"/>
      <c r="M959" s="185"/>
      <c r="N959" s="185"/>
      <c r="O959" s="193"/>
      <c r="P959" s="193"/>
      <c r="Q959" s="195"/>
      <c r="R959" s="191"/>
      <c r="S959" s="192"/>
    </row>
    <row r="960" spans="1:19" ht="20.5" thickTop="1" thickBot="1" x14ac:dyDescent="0.4">
      <c r="A960" s="184" t="s">
        <v>499</v>
      </c>
      <c r="B960" s="185" t="s">
        <v>499</v>
      </c>
      <c r="C960" s="185" t="s">
        <v>499</v>
      </c>
      <c r="D960" s="186" t="s">
        <v>499</v>
      </c>
      <c r="E960" s="185" t="s">
        <v>499</v>
      </c>
      <c r="F960" s="185" t="s">
        <v>499</v>
      </c>
      <c r="G960" s="187">
        <f t="shared" si="14"/>
        <v>0</v>
      </c>
      <c r="H960" s="188"/>
      <c r="I960" s="188"/>
      <c r="J960" s="188"/>
      <c r="K960" s="185"/>
      <c r="L960" s="185"/>
      <c r="M960" s="185"/>
      <c r="N960" s="185"/>
      <c r="O960" s="193"/>
      <c r="P960" s="193"/>
      <c r="Q960" s="195"/>
      <c r="R960" s="191"/>
      <c r="S960" s="192"/>
    </row>
    <row r="961" spans="1:19" ht="20.5" thickTop="1" thickBot="1" x14ac:dyDescent="0.4">
      <c r="A961" s="184" t="s">
        <v>499</v>
      </c>
      <c r="B961" s="185" t="s">
        <v>499</v>
      </c>
      <c r="C961" s="185" t="s">
        <v>499</v>
      </c>
      <c r="D961" s="186" t="s">
        <v>499</v>
      </c>
      <c r="E961" s="185" t="s">
        <v>499</v>
      </c>
      <c r="F961" s="185" t="s">
        <v>499</v>
      </c>
      <c r="G961" s="187">
        <f t="shared" si="14"/>
        <v>0</v>
      </c>
      <c r="H961" s="188"/>
      <c r="I961" s="188"/>
      <c r="J961" s="188"/>
      <c r="K961" s="185"/>
      <c r="L961" s="185"/>
      <c r="M961" s="185"/>
      <c r="N961" s="185"/>
      <c r="O961" s="193"/>
      <c r="P961" s="193"/>
      <c r="Q961" s="195"/>
      <c r="R961" s="191"/>
      <c r="S961" s="192"/>
    </row>
    <row r="962" spans="1:19" ht="20.5" thickTop="1" thickBot="1" x14ac:dyDescent="0.4">
      <c r="A962" s="184" t="s">
        <v>499</v>
      </c>
      <c r="B962" s="185" t="s">
        <v>499</v>
      </c>
      <c r="C962" s="185" t="s">
        <v>499</v>
      </c>
      <c r="D962" s="186" t="s">
        <v>499</v>
      </c>
      <c r="E962" s="185" t="s">
        <v>499</v>
      </c>
      <c r="F962" s="185" t="s">
        <v>499</v>
      </c>
      <c r="G962" s="187">
        <f t="shared" si="14"/>
        <v>0</v>
      </c>
      <c r="H962" s="188"/>
      <c r="I962" s="188"/>
      <c r="J962" s="188"/>
      <c r="K962" s="185"/>
      <c r="L962" s="185"/>
      <c r="M962" s="185"/>
      <c r="N962" s="185"/>
      <c r="O962" s="193"/>
      <c r="P962" s="193"/>
      <c r="Q962" s="195"/>
      <c r="R962" s="191"/>
      <c r="S962" s="192"/>
    </row>
    <row r="963" spans="1:19" ht="20.5" thickTop="1" thickBot="1" x14ac:dyDescent="0.4">
      <c r="A963" s="184" t="s">
        <v>499</v>
      </c>
      <c r="B963" s="185" t="s">
        <v>499</v>
      </c>
      <c r="C963" s="185" t="s">
        <v>499</v>
      </c>
      <c r="D963" s="186" t="s">
        <v>499</v>
      </c>
      <c r="E963" s="185" t="s">
        <v>499</v>
      </c>
      <c r="F963" s="185" t="s">
        <v>499</v>
      </c>
      <c r="G963" s="187">
        <f t="shared" si="14"/>
        <v>0</v>
      </c>
      <c r="H963" s="188"/>
      <c r="I963" s="188"/>
      <c r="J963" s="188"/>
      <c r="K963" s="185"/>
      <c r="L963" s="185"/>
      <c r="M963" s="185"/>
      <c r="N963" s="185"/>
      <c r="O963" s="193"/>
      <c r="P963" s="193"/>
      <c r="Q963" s="195"/>
      <c r="R963" s="191"/>
      <c r="S963" s="192"/>
    </row>
    <row r="964" spans="1:19" ht="20.5" thickTop="1" thickBot="1" x14ac:dyDescent="0.4">
      <c r="A964" s="184" t="s">
        <v>499</v>
      </c>
      <c r="B964" s="185" t="s">
        <v>499</v>
      </c>
      <c r="C964" s="185" t="s">
        <v>499</v>
      </c>
      <c r="D964" s="186" t="s">
        <v>499</v>
      </c>
      <c r="E964" s="185" t="s">
        <v>499</v>
      </c>
      <c r="F964" s="185" t="s">
        <v>499</v>
      </c>
      <c r="G964" s="187">
        <f t="shared" si="14"/>
        <v>0</v>
      </c>
      <c r="H964" s="188"/>
      <c r="I964" s="188"/>
      <c r="J964" s="188"/>
      <c r="K964" s="185"/>
      <c r="L964" s="185"/>
      <c r="M964" s="185"/>
      <c r="N964" s="185"/>
      <c r="O964" s="193"/>
      <c r="P964" s="193"/>
      <c r="Q964" s="195"/>
      <c r="R964" s="191"/>
      <c r="S964" s="192"/>
    </row>
    <row r="965" spans="1:19" ht="20.5" thickTop="1" thickBot="1" x14ac:dyDescent="0.4">
      <c r="A965" s="184" t="s">
        <v>499</v>
      </c>
      <c r="B965" s="185" t="s">
        <v>499</v>
      </c>
      <c r="C965" s="185" t="s">
        <v>499</v>
      </c>
      <c r="D965" s="186" t="s">
        <v>499</v>
      </c>
      <c r="E965" s="185" t="s">
        <v>499</v>
      </c>
      <c r="F965" s="185" t="s">
        <v>499</v>
      </c>
      <c r="G965" s="187">
        <f t="shared" ref="G965:G1028" si="15">SUM(H965:J965)</f>
        <v>0</v>
      </c>
      <c r="H965" s="188"/>
      <c r="I965" s="188"/>
      <c r="J965" s="188"/>
      <c r="K965" s="185"/>
      <c r="L965" s="185"/>
      <c r="M965" s="185"/>
      <c r="N965" s="185"/>
      <c r="O965" s="193"/>
      <c r="P965" s="193"/>
      <c r="Q965" s="195"/>
      <c r="R965" s="191"/>
      <c r="S965" s="192"/>
    </row>
    <row r="966" spans="1:19" ht="20.5" thickTop="1" thickBot="1" x14ac:dyDescent="0.4">
      <c r="A966" s="184" t="s">
        <v>499</v>
      </c>
      <c r="B966" s="185" t="s">
        <v>499</v>
      </c>
      <c r="C966" s="185" t="s">
        <v>499</v>
      </c>
      <c r="D966" s="186" t="s">
        <v>499</v>
      </c>
      <c r="E966" s="185" t="s">
        <v>499</v>
      </c>
      <c r="F966" s="185" t="s">
        <v>499</v>
      </c>
      <c r="G966" s="187">
        <f t="shared" si="15"/>
        <v>0</v>
      </c>
      <c r="H966" s="188"/>
      <c r="I966" s="188"/>
      <c r="J966" s="188"/>
      <c r="K966" s="185"/>
      <c r="L966" s="185"/>
      <c r="M966" s="185"/>
      <c r="N966" s="185"/>
      <c r="O966" s="193"/>
      <c r="P966" s="193"/>
      <c r="Q966" s="195"/>
      <c r="R966" s="191"/>
      <c r="S966" s="192"/>
    </row>
    <row r="967" spans="1:19" ht="20.5" thickTop="1" thickBot="1" x14ac:dyDescent="0.4">
      <c r="A967" s="184" t="s">
        <v>499</v>
      </c>
      <c r="B967" s="185" t="s">
        <v>499</v>
      </c>
      <c r="C967" s="185" t="s">
        <v>499</v>
      </c>
      <c r="D967" s="186" t="s">
        <v>499</v>
      </c>
      <c r="E967" s="185" t="s">
        <v>499</v>
      </c>
      <c r="F967" s="185" t="s">
        <v>499</v>
      </c>
      <c r="G967" s="187">
        <f t="shared" si="15"/>
        <v>0</v>
      </c>
      <c r="H967" s="188"/>
      <c r="I967" s="188"/>
      <c r="J967" s="188"/>
      <c r="K967" s="185"/>
      <c r="L967" s="185"/>
      <c r="M967" s="185"/>
      <c r="N967" s="185"/>
      <c r="O967" s="193"/>
      <c r="P967" s="193"/>
      <c r="Q967" s="195"/>
      <c r="R967" s="191"/>
      <c r="S967" s="192"/>
    </row>
    <row r="968" spans="1:19" ht="20.5" thickTop="1" thickBot="1" x14ac:dyDescent="0.4">
      <c r="A968" s="184" t="s">
        <v>499</v>
      </c>
      <c r="B968" s="185" t="s">
        <v>499</v>
      </c>
      <c r="C968" s="185" t="s">
        <v>499</v>
      </c>
      <c r="D968" s="186" t="s">
        <v>499</v>
      </c>
      <c r="E968" s="185" t="s">
        <v>499</v>
      </c>
      <c r="F968" s="185" t="s">
        <v>499</v>
      </c>
      <c r="G968" s="187">
        <f t="shared" si="15"/>
        <v>0</v>
      </c>
      <c r="H968" s="188"/>
      <c r="I968" s="188"/>
      <c r="J968" s="188"/>
      <c r="K968" s="185"/>
      <c r="L968" s="185"/>
      <c r="M968" s="185"/>
      <c r="N968" s="185"/>
      <c r="O968" s="193"/>
      <c r="P968" s="193"/>
      <c r="Q968" s="195"/>
      <c r="R968" s="191"/>
      <c r="S968" s="192"/>
    </row>
    <row r="969" spans="1:19" ht="20.5" thickTop="1" thickBot="1" x14ac:dyDescent="0.4">
      <c r="A969" s="184" t="s">
        <v>499</v>
      </c>
      <c r="B969" s="185" t="s">
        <v>499</v>
      </c>
      <c r="C969" s="185" t="s">
        <v>499</v>
      </c>
      <c r="D969" s="186" t="s">
        <v>499</v>
      </c>
      <c r="E969" s="185" t="s">
        <v>499</v>
      </c>
      <c r="F969" s="185" t="s">
        <v>499</v>
      </c>
      <c r="G969" s="187">
        <f t="shared" si="15"/>
        <v>0</v>
      </c>
      <c r="H969" s="188"/>
      <c r="I969" s="188"/>
      <c r="J969" s="188"/>
      <c r="K969" s="185"/>
      <c r="L969" s="185"/>
      <c r="M969" s="185"/>
      <c r="N969" s="185"/>
      <c r="O969" s="193"/>
      <c r="P969" s="193"/>
      <c r="Q969" s="195"/>
      <c r="R969" s="191"/>
      <c r="S969" s="192"/>
    </row>
    <row r="970" spans="1:19" ht="20.5" thickTop="1" thickBot="1" x14ac:dyDescent="0.4">
      <c r="A970" s="184" t="s">
        <v>499</v>
      </c>
      <c r="B970" s="185" t="s">
        <v>499</v>
      </c>
      <c r="C970" s="185" t="s">
        <v>499</v>
      </c>
      <c r="D970" s="186" t="s">
        <v>499</v>
      </c>
      <c r="E970" s="185" t="s">
        <v>499</v>
      </c>
      <c r="F970" s="185" t="s">
        <v>499</v>
      </c>
      <c r="G970" s="187">
        <f t="shared" si="15"/>
        <v>0</v>
      </c>
      <c r="H970" s="188"/>
      <c r="I970" s="188"/>
      <c r="J970" s="188"/>
      <c r="K970" s="185"/>
      <c r="L970" s="185"/>
      <c r="M970" s="185"/>
      <c r="N970" s="185"/>
      <c r="O970" s="193"/>
      <c r="P970" s="193"/>
      <c r="Q970" s="195"/>
      <c r="R970" s="191"/>
      <c r="S970" s="192"/>
    </row>
    <row r="971" spans="1:19" ht="20.5" thickTop="1" thickBot="1" x14ac:dyDescent="0.4">
      <c r="A971" s="184" t="s">
        <v>499</v>
      </c>
      <c r="B971" s="185" t="s">
        <v>499</v>
      </c>
      <c r="C971" s="185" t="s">
        <v>499</v>
      </c>
      <c r="D971" s="186" t="s">
        <v>499</v>
      </c>
      <c r="E971" s="185" t="s">
        <v>499</v>
      </c>
      <c r="F971" s="185" t="s">
        <v>499</v>
      </c>
      <c r="G971" s="187">
        <f t="shared" si="15"/>
        <v>0</v>
      </c>
      <c r="H971" s="188"/>
      <c r="I971" s="188"/>
      <c r="J971" s="188"/>
      <c r="K971" s="185"/>
      <c r="L971" s="185"/>
      <c r="M971" s="185"/>
      <c r="N971" s="185"/>
      <c r="O971" s="193"/>
      <c r="P971" s="193"/>
      <c r="Q971" s="195"/>
      <c r="R971" s="191"/>
      <c r="S971" s="192"/>
    </row>
    <row r="972" spans="1:19" ht="20.5" thickTop="1" thickBot="1" x14ac:dyDescent="0.4">
      <c r="A972" s="184" t="s">
        <v>499</v>
      </c>
      <c r="B972" s="185" t="s">
        <v>499</v>
      </c>
      <c r="C972" s="185" t="s">
        <v>499</v>
      </c>
      <c r="D972" s="186" t="s">
        <v>499</v>
      </c>
      <c r="E972" s="185" t="s">
        <v>499</v>
      </c>
      <c r="F972" s="185" t="s">
        <v>499</v>
      </c>
      <c r="G972" s="187">
        <f t="shared" si="15"/>
        <v>0</v>
      </c>
      <c r="H972" s="188"/>
      <c r="I972" s="188"/>
      <c r="J972" s="188"/>
      <c r="K972" s="185"/>
      <c r="L972" s="185"/>
      <c r="M972" s="185"/>
      <c r="N972" s="185"/>
      <c r="O972" s="193"/>
      <c r="P972" s="193"/>
      <c r="Q972" s="195"/>
      <c r="R972" s="191"/>
      <c r="S972" s="192"/>
    </row>
    <row r="973" spans="1:19" ht="20.5" thickTop="1" thickBot="1" x14ac:dyDescent="0.4">
      <c r="A973" s="184" t="s">
        <v>499</v>
      </c>
      <c r="B973" s="185" t="s">
        <v>499</v>
      </c>
      <c r="C973" s="185" t="s">
        <v>499</v>
      </c>
      <c r="D973" s="186" t="s">
        <v>499</v>
      </c>
      <c r="E973" s="185" t="s">
        <v>499</v>
      </c>
      <c r="F973" s="185" t="s">
        <v>499</v>
      </c>
      <c r="G973" s="187">
        <f t="shared" si="15"/>
        <v>0</v>
      </c>
      <c r="H973" s="188"/>
      <c r="I973" s="188"/>
      <c r="J973" s="188"/>
      <c r="K973" s="185"/>
      <c r="L973" s="185"/>
      <c r="M973" s="185"/>
      <c r="N973" s="185"/>
      <c r="O973" s="193"/>
      <c r="P973" s="193"/>
      <c r="Q973" s="195"/>
      <c r="R973" s="191"/>
      <c r="S973" s="192"/>
    </row>
    <row r="974" spans="1:19" ht="20.5" thickTop="1" thickBot="1" x14ac:dyDescent="0.4">
      <c r="A974" s="184" t="s">
        <v>499</v>
      </c>
      <c r="B974" s="185" t="s">
        <v>499</v>
      </c>
      <c r="C974" s="185" t="s">
        <v>499</v>
      </c>
      <c r="D974" s="186" t="s">
        <v>499</v>
      </c>
      <c r="E974" s="185" t="s">
        <v>499</v>
      </c>
      <c r="F974" s="185" t="s">
        <v>499</v>
      </c>
      <c r="G974" s="187">
        <f t="shared" si="15"/>
        <v>0</v>
      </c>
      <c r="H974" s="188"/>
      <c r="I974" s="188"/>
      <c r="J974" s="188"/>
      <c r="K974" s="185"/>
      <c r="L974" s="185"/>
      <c r="M974" s="185"/>
      <c r="N974" s="185"/>
      <c r="O974" s="193"/>
      <c r="P974" s="193"/>
      <c r="Q974" s="195"/>
      <c r="R974" s="191"/>
      <c r="S974" s="192"/>
    </row>
    <row r="975" spans="1:19" ht="20.5" thickTop="1" thickBot="1" x14ac:dyDescent="0.4">
      <c r="A975" s="184" t="s">
        <v>499</v>
      </c>
      <c r="B975" s="185" t="s">
        <v>499</v>
      </c>
      <c r="C975" s="185" t="s">
        <v>499</v>
      </c>
      <c r="D975" s="186" t="s">
        <v>499</v>
      </c>
      <c r="E975" s="185" t="s">
        <v>499</v>
      </c>
      <c r="F975" s="185" t="s">
        <v>499</v>
      </c>
      <c r="G975" s="187">
        <f t="shared" si="15"/>
        <v>0</v>
      </c>
      <c r="H975" s="188"/>
      <c r="I975" s="188"/>
      <c r="J975" s="188"/>
      <c r="K975" s="185"/>
      <c r="L975" s="185"/>
      <c r="M975" s="185"/>
      <c r="N975" s="185"/>
      <c r="O975" s="193"/>
      <c r="P975" s="193"/>
      <c r="Q975" s="195"/>
      <c r="R975" s="191"/>
      <c r="S975" s="192"/>
    </row>
    <row r="976" spans="1:19" ht="20.5" thickTop="1" thickBot="1" x14ac:dyDescent="0.4">
      <c r="A976" s="184" t="s">
        <v>499</v>
      </c>
      <c r="B976" s="185" t="s">
        <v>499</v>
      </c>
      <c r="C976" s="185" t="s">
        <v>499</v>
      </c>
      <c r="D976" s="186" t="s">
        <v>499</v>
      </c>
      <c r="E976" s="185" t="s">
        <v>499</v>
      </c>
      <c r="F976" s="185" t="s">
        <v>499</v>
      </c>
      <c r="G976" s="187">
        <f t="shared" si="15"/>
        <v>0</v>
      </c>
      <c r="H976" s="188"/>
      <c r="I976" s="188"/>
      <c r="J976" s="188"/>
      <c r="K976" s="185"/>
      <c r="L976" s="185"/>
      <c r="M976" s="185"/>
      <c r="N976" s="185"/>
      <c r="O976" s="193"/>
      <c r="P976" s="193"/>
      <c r="Q976" s="195"/>
      <c r="R976" s="191"/>
      <c r="S976" s="192"/>
    </row>
    <row r="977" spans="1:19" ht="20.5" thickTop="1" thickBot="1" x14ac:dyDescent="0.4">
      <c r="A977" s="184" t="s">
        <v>499</v>
      </c>
      <c r="B977" s="185" t="s">
        <v>499</v>
      </c>
      <c r="C977" s="185" t="s">
        <v>499</v>
      </c>
      <c r="D977" s="186" t="s">
        <v>499</v>
      </c>
      <c r="E977" s="185" t="s">
        <v>499</v>
      </c>
      <c r="F977" s="185" t="s">
        <v>499</v>
      </c>
      <c r="G977" s="187">
        <f t="shared" si="15"/>
        <v>0</v>
      </c>
      <c r="H977" s="188"/>
      <c r="I977" s="188"/>
      <c r="J977" s="188"/>
      <c r="K977" s="185"/>
      <c r="L977" s="185"/>
      <c r="M977" s="185"/>
      <c r="N977" s="185"/>
      <c r="O977" s="193"/>
      <c r="P977" s="193"/>
      <c r="Q977" s="195"/>
      <c r="R977" s="191"/>
      <c r="S977" s="192"/>
    </row>
    <row r="978" spans="1:19" ht="20.5" thickTop="1" thickBot="1" x14ac:dyDescent="0.4">
      <c r="A978" s="184" t="s">
        <v>499</v>
      </c>
      <c r="B978" s="185" t="s">
        <v>499</v>
      </c>
      <c r="C978" s="185" t="s">
        <v>499</v>
      </c>
      <c r="D978" s="186" t="s">
        <v>499</v>
      </c>
      <c r="E978" s="185" t="s">
        <v>499</v>
      </c>
      <c r="F978" s="185" t="s">
        <v>499</v>
      </c>
      <c r="G978" s="187">
        <f t="shared" si="15"/>
        <v>0</v>
      </c>
      <c r="H978" s="188"/>
      <c r="I978" s="188"/>
      <c r="J978" s="188"/>
      <c r="K978" s="185"/>
      <c r="L978" s="185"/>
      <c r="M978" s="185"/>
      <c r="N978" s="185"/>
      <c r="O978" s="193"/>
      <c r="P978" s="193"/>
      <c r="Q978" s="195"/>
      <c r="R978" s="191"/>
      <c r="S978" s="192"/>
    </row>
    <row r="979" spans="1:19" ht="20.5" thickTop="1" thickBot="1" x14ac:dyDescent="0.4">
      <c r="A979" s="184" t="s">
        <v>499</v>
      </c>
      <c r="B979" s="185" t="s">
        <v>499</v>
      </c>
      <c r="C979" s="185" t="s">
        <v>499</v>
      </c>
      <c r="D979" s="186" t="s">
        <v>499</v>
      </c>
      <c r="E979" s="185" t="s">
        <v>499</v>
      </c>
      <c r="F979" s="185" t="s">
        <v>499</v>
      </c>
      <c r="G979" s="187">
        <f t="shared" si="15"/>
        <v>0</v>
      </c>
      <c r="H979" s="188"/>
      <c r="I979" s="188"/>
      <c r="J979" s="188"/>
      <c r="K979" s="185"/>
      <c r="L979" s="185"/>
      <c r="M979" s="185"/>
      <c r="N979" s="185"/>
      <c r="O979" s="193"/>
      <c r="P979" s="193"/>
      <c r="Q979" s="195"/>
      <c r="R979" s="191"/>
      <c r="S979" s="192"/>
    </row>
    <row r="980" spans="1:19" ht="20.5" thickTop="1" thickBot="1" x14ac:dyDescent="0.4">
      <c r="A980" s="184" t="s">
        <v>499</v>
      </c>
      <c r="B980" s="185" t="s">
        <v>499</v>
      </c>
      <c r="C980" s="185" t="s">
        <v>499</v>
      </c>
      <c r="D980" s="186" t="s">
        <v>499</v>
      </c>
      <c r="E980" s="185" t="s">
        <v>499</v>
      </c>
      <c r="F980" s="185" t="s">
        <v>499</v>
      </c>
      <c r="G980" s="187">
        <f t="shared" si="15"/>
        <v>0</v>
      </c>
      <c r="H980" s="188"/>
      <c r="I980" s="188"/>
      <c r="J980" s="188"/>
      <c r="K980" s="185"/>
      <c r="L980" s="185"/>
      <c r="M980" s="185"/>
      <c r="N980" s="185"/>
      <c r="O980" s="193"/>
      <c r="P980" s="193"/>
      <c r="Q980" s="195"/>
      <c r="R980" s="191"/>
      <c r="S980" s="192"/>
    </row>
    <row r="981" spans="1:19" ht="20.5" thickTop="1" thickBot="1" x14ac:dyDescent="0.4">
      <c r="A981" s="184" t="s">
        <v>499</v>
      </c>
      <c r="B981" s="185" t="s">
        <v>499</v>
      </c>
      <c r="C981" s="185" t="s">
        <v>499</v>
      </c>
      <c r="D981" s="186" t="s">
        <v>499</v>
      </c>
      <c r="E981" s="185" t="s">
        <v>499</v>
      </c>
      <c r="F981" s="185" t="s">
        <v>499</v>
      </c>
      <c r="G981" s="187">
        <f t="shared" si="15"/>
        <v>0</v>
      </c>
      <c r="H981" s="188"/>
      <c r="I981" s="188"/>
      <c r="J981" s="188"/>
      <c r="K981" s="185"/>
      <c r="L981" s="185"/>
      <c r="M981" s="185"/>
      <c r="N981" s="185"/>
      <c r="O981" s="193"/>
      <c r="P981" s="193"/>
      <c r="Q981" s="195"/>
      <c r="R981" s="191"/>
      <c r="S981" s="192"/>
    </row>
    <row r="982" spans="1:19" ht="20.5" thickTop="1" thickBot="1" x14ac:dyDescent="0.4">
      <c r="A982" s="184" t="s">
        <v>499</v>
      </c>
      <c r="B982" s="185" t="s">
        <v>499</v>
      </c>
      <c r="C982" s="185" t="s">
        <v>499</v>
      </c>
      <c r="D982" s="186" t="s">
        <v>499</v>
      </c>
      <c r="E982" s="185" t="s">
        <v>499</v>
      </c>
      <c r="F982" s="185" t="s">
        <v>499</v>
      </c>
      <c r="G982" s="187">
        <f t="shared" si="15"/>
        <v>0</v>
      </c>
      <c r="H982" s="188"/>
      <c r="I982" s="188"/>
      <c r="J982" s="188"/>
      <c r="K982" s="185"/>
      <c r="L982" s="185"/>
      <c r="M982" s="185"/>
      <c r="N982" s="185"/>
      <c r="O982" s="193"/>
      <c r="P982" s="193"/>
      <c r="Q982" s="195"/>
      <c r="R982" s="191"/>
      <c r="S982" s="192"/>
    </row>
    <row r="983" spans="1:19" ht="20.5" thickTop="1" thickBot="1" x14ac:dyDescent="0.4">
      <c r="A983" s="184" t="s">
        <v>499</v>
      </c>
      <c r="B983" s="185" t="s">
        <v>499</v>
      </c>
      <c r="C983" s="185" t="s">
        <v>499</v>
      </c>
      <c r="D983" s="186" t="s">
        <v>499</v>
      </c>
      <c r="E983" s="185" t="s">
        <v>499</v>
      </c>
      <c r="F983" s="185" t="s">
        <v>499</v>
      </c>
      <c r="G983" s="187">
        <f t="shared" si="15"/>
        <v>0</v>
      </c>
      <c r="H983" s="188"/>
      <c r="I983" s="188"/>
      <c r="J983" s="188"/>
      <c r="K983" s="185"/>
      <c r="L983" s="185"/>
      <c r="M983" s="185"/>
      <c r="N983" s="185"/>
      <c r="O983" s="193"/>
      <c r="P983" s="193"/>
      <c r="Q983" s="195"/>
      <c r="R983" s="191"/>
      <c r="S983" s="192"/>
    </row>
    <row r="984" spans="1:19" ht="20.5" thickTop="1" thickBot="1" x14ac:dyDescent="0.4">
      <c r="A984" s="184" t="s">
        <v>499</v>
      </c>
      <c r="B984" s="185" t="s">
        <v>499</v>
      </c>
      <c r="C984" s="185" t="s">
        <v>499</v>
      </c>
      <c r="D984" s="186" t="s">
        <v>499</v>
      </c>
      <c r="E984" s="185" t="s">
        <v>499</v>
      </c>
      <c r="F984" s="185" t="s">
        <v>499</v>
      </c>
      <c r="G984" s="187">
        <f t="shared" si="15"/>
        <v>0</v>
      </c>
      <c r="H984" s="188"/>
      <c r="I984" s="188"/>
      <c r="J984" s="188"/>
      <c r="K984" s="185"/>
      <c r="L984" s="185"/>
      <c r="M984" s="185"/>
      <c r="N984" s="185"/>
      <c r="O984" s="193"/>
      <c r="P984" s="193"/>
      <c r="Q984" s="195"/>
      <c r="R984" s="191"/>
      <c r="S984" s="192"/>
    </row>
    <row r="985" spans="1:19" ht="20.5" thickTop="1" thickBot="1" x14ac:dyDescent="0.4">
      <c r="A985" s="184" t="s">
        <v>499</v>
      </c>
      <c r="B985" s="185" t="s">
        <v>499</v>
      </c>
      <c r="C985" s="185" t="s">
        <v>499</v>
      </c>
      <c r="D985" s="186" t="s">
        <v>499</v>
      </c>
      <c r="E985" s="185" t="s">
        <v>499</v>
      </c>
      <c r="F985" s="185" t="s">
        <v>499</v>
      </c>
      <c r="G985" s="187">
        <f t="shared" si="15"/>
        <v>0</v>
      </c>
      <c r="H985" s="188"/>
      <c r="I985" s="188"/>
      <c r="J985" s="188"/>
      <c r="K985" s="185"/>
      <c r="L985" s="185"/>
      <c r="M985" s="185"/>
      <c r="N985" s="185"/>
      <c r="O985" s="193"/>
      <c r="P985" s="193"/>
      <c r="Q985" s="195"/>
      <c r="R985" s="191"/>
      <c r="S985" s="192"/>
    </row>
    <row r="986" spans="1:19" ht="20.5" thickTop="1" thickBot="1" x14ac:dyDescent="0.4">
      <c r="A986" s="184" t="s">
        <v>499</v>
      </c>
      <c r="B986" s="185" t="s">
        <v>499</v>
      </c>
      <c r="C986" s="185" t="s">
        <v>499</v>
      </c>
      <c r="D986" s="186" t="s">
        <v>499</v>
      </c>
      <c r="E986" s="185" t="s">
        <v>499</v>
      </c>
      <c r="F986" s="185" t="s">
        <v>499</v>
      </c>
      <c r="G986" s="187">
        <f t="shared" si="15"/>
        <v>0</v>
      </c>
      <c r="H986" s="188"/>
      <c r="I986" s="188"/>
      <c r="J986" s="188"/>
      <c r="K986" s="185"/>
      <c r="L986" s="185"/>
      <c r="M986" s="185"/>
      <c r="N986" s="185"/>
      <c r="O986" s="193"/>
      <c r="P986" s="193"/>
      <c r="Q986" s="195"/>
      <c r="R986" s="191"/>
      <c r="S986" s="192"/>
    </row>
    <row r="987" spans="1:19" ht="20.5" thickTop="1" thickBot="1" x14ac:dyDescent="0.4">
      <c r="A987" s="184" t="s">
        <v>499</v>
      </c>
      <c r="B987" s="185" t="s">
        <v>499</v>
      </c>
      <c r="C987" s="185" t="s">
        <v>499</v>
      </c>
      <c r="D987" s="186" t="s">
        <v>499</v>
      </c>
      <c r="E987" s="185" t="s">
        <v>499</v>
      </c>
      <c r="F987" s="185" t="s">
        <v>499</v>
      </c>
      <c r="G987" s="187">
        <f t="shared" si="15"/>
        <v>0</v>
      </c>
      <c r="H987" s="188"/>
      <c r="I987" s="188"/>
      <c r="J987" s="188"/>
      <c r="K987" s="185"/>
      <c r="L987" s="185"/>
      <c r="M987" s="185"/>
      <c r="N987" s="185"/>
      <c r="O987" s="193"/>
      <c r="P987" s="193"/>
      <c r="Q987" s="195"/>
      <c r="R987" s="191"/>
      <c r="S987" s="192"/>
    </row>
    <row r="988" spans="1:19" ht="20.5" thickTop="1" thickBot="1" x14ac:dyDescent="0.4">
      <c r="A988" s="184" t="s">
        <v>499</v>
      </c>
      <c r="B988" s="185" t="s">
        <v>499</v>
      </c>
      <c r="C988" s="185" t="s">
        <v>499</v>
      </c>
      <c r="D988" s="186" t="s">
        <v>499</v>
      </c>
      <c r="E988" s="185" t="s">
        <v>499</v>
      </c>
      <c r="F988" s="185" t="s">
        <v>499</v>
      </c>
      <c r="G988" s="187">
        <f t="shared" si="15"/>
        <v>0</v>
      </c>
      <c r="H988" s="188"/>
      <c r="I988" s="188"/>
      <c r="J988" s="188"/>
      <c r="K988" s="185"/>
      <c r="L988" s="185"/>
      <c r="M988" s="185"/>
      <c r="N988" s="185"/>
      <c r="O988" s="193"/>
      <c r="P988" s="193"/>
      <c r="Q988" s="195"/>
      <c r="R988" s="191"/>
      <c r="S988" s="192"/>
    </row>
    <row r="989" spans="1:19" ht="20.5" thickTop="1" thickBot="1" x14ac:dyDescent="0.4">
      <c r="A989" s="184" t="s">
        <v>499</v>
      </c>
      <c r="B989" s="185" t="s">
        <v>499</v>
      </c>
      <c r="C989" s="185" t="s">
        <v>499</v>
      </c>
      <c r="D989" s="186" t="s">
        <v>499</v>
      </c>
      <c r="E989" s="185" t="s">
        <v>499</v>
      </c>
      <c r="F989" s="185" t="s">
        <v>499</v>
      </c>
      <c r="G989" s="187">
        <f t="shared" si="15"/>
        <v>0</v>
      </c>
      <c r="H989" s="188"/>
      <c r="I989" s="188"/>
      <c r="J989" s="188"/>
      <c r="K989" s="185"/>
      <c r="L989" s="185"/>
      <c r="M989" s="185"/>
      <c r="N989" s="185"/>
      <c r="O989" s="193"/>
      <c r="P989" s="193"/>
      <c r="Q989" s="195"/>
      <c r="R989" s="191"/>
      <c r="S989" s="192"/>
    </row>
    <row r="990" spans="1:19" ht="20.5" thickTop="1" thickBot="1" x14ac:dyDescent="0.4">
      <c r="A990" s="184" t="s">
        <v>499</v>
      </c>
      <c r="B990" s="185" t="s">
        <v>499</v>
      </c>
      <c r="C990" s="185" t="s">
        <v>499</v>
      </c>
      <c r="D990" s="186" t="s">
        <v>499</v>
      </c>
      <c r="E990" s="185" t="s">
        <v>499</v>
      </c>
      <c r="F990" s="185" t="s">
        <v>499</v>
      </c>
      <c r="G990" s="187">
        <f t="shared" si="15"/>
        <v>0</v>
      </c>
      <c r="H990" s="188"/>
      <c r="I990" s="188"/>
      <c r="J990" s="188"/>
      <c r="K990" s="185"/>
      <c r="L990" s="185"/>
      <c r="M990" s="185"/>
      <c r="N990" s="185"/>
      <c r="O990" s="193"/>
      <c r="P990" s="193"/>
      <c r="Q990" s="195"/>
      <c r="R990" s="191"/>
      <c r="S990" s="192"/>
    </row>
    <row r="991" spans="1:19" ht="20.5" thickTop="1" thickBot="1" x14ac:dyDescent="0.4">
      <c r="A991" s="184" t="s">
        <v>499</v>
      </c>
      <c r="B991" s="185" t="s">
        <v>499</v>
      </c>
      <c r="C991" s="185" t="s">
        <v>499</v>
      </c>
      <c r="D991" s="186" t="s">
        <v>499</v>
      </c>
      <c r="E991" s="185" t="s">
        <v>499</v>
      </c>
      <c r="F991" s="185" t="s">
        <v>499</v>
      </c>
      <c r="G991" s="187">
        <f t="shared" si="15"/>
        <v>0</v>
      </c>
      <c r="H991" s="188"/>
      <c r="I991" s="188"/>
      <c r="J991" s="188"/>
      <c r="K991" s="185"/>
      <c r="L991" s="185"/>
      <c r="M991" s="185"/>
      <c r="N991" s="185"/>
      <c r="O991" s="193"/>
      <c r="P991" s="193"/>
      <c r="Q991" s="195"/>
      <c r="R991" s="191"/>
      <c r="S991" s="192"/>
    </row>
    <row r="992" spans="1:19" ht="20.5" thickTop="1" thickBot="1" x14ac:dyDescent="0.4">
      <c r="A992" s="184" t="s">
        <v>499</v>
      </c>
      <c r="B992" s="185" t="s">
        <v>499</v>
      </c>
      <c r="C992" s="185" t="s">
        <v>499</v>
      </c>
      <c r="D992" s="186" t="s">
        <v>499</v>
      </c>
      <c r="E992" s="185" t="s">
        <v>499</v>
      </c>
      <c r="F992" s="185" t="s">
        <v>499</v>
      </c>
      <c r="G992" s="187">
        <f t="shared" si="15"/>
        <v>0</v>
      </c>
      <c r="H992" s="188"/>
      <c r="I992" s="188"/>
      <c r="J992" s="188"/>
      <c r="K992" s="185"/>
      <c r="L992" s="185"/>
      <c r="M992" s="185"/>
      <c r="N992" s="185"/>
      <c r="O992" s="193"/>
      <c r="P992" s="193"/>
      <c r="Q992" s="195"/>
      <c r="R992" s="191"/>
      <c r="S992" s="192"/>
    </row>
    <row r="993" spans="1:19" ht="20.5" thickTop="1" thickBot="1" x14ac:dyDescent="0.4">
      <c r="A993" s="184" t="s">
        <v>499</v>
      </c>
      <c r="B993" s="185" t="s">
        <v>499</v>
      </c>
      <c r="C993" s="185" t="s">
        <v>499</v>
      </c>
      <c r="D993" s="186" t="s">
        <v>499</v>
      </c>
      <c r="E993" s="185" t="s">
        <v>499</v>
      </c>
      <c r="F993" s="185" t="s">
        <v>499</v>
      </c>
      <c r="G993" s="187">
        <f t="shared" si="15"/>
        <v>0</v>
      </c>
      <c r="H993" s="188"/>
      <c r="I993" s="188"/>
      <c r="J993" s="188"/>
      <c r="K993" s="185"/>
      <c r="L993" s="185"/>
      <c r="M993" s="185"/>
      <c r="N993" s="185"/>
      <c r="O993" s="193"/>
      <c r="P993" s="193"/>
      <c r="Q993" s="195"/>
      <c r="R993" s="191"/>
      <c r="S993" s="192"/>
    </row>
    <row r="994" spans="1:19" ht="20.5" thickTop="1" thickBot="1" x14ac:dyDescent="0.4">
      <c r="A994" s="184" t="s">
        <v>499</v>
      </c>
      <c r="B994" s="185" t="s">
        <v>499</v>
      </c>
      <c r="C994" s="185" t="s">
        <v>499</v>
      </c>
      <c r="D994" s="186" t="s">
        <v>499</v>
      </c>
      <c r="E994" s="185" t="s">
        <v>499</v>
      </c>
      <c r="F994" s="185" t="s">
        <v>499</v>
      </c>
      <c r="G994" s="187">
        <f t="shared" si="15"/>
        <v>0</v>
      </c>
      <c r="H994" s="188"/>
      <c r="I994" s="188"/>
      <c r="J994" s="188"/>
      <c r="K994" s="185"/>
      <c r="L994" s="185"/>
      <c r="M994" s="185"/>
      <c r="N994" s="185"/>
      <c r="O994" s="193"/>
      <c r="P994" s="193"/>
      <c r="Q994" s="195"/>
      <c r="R994" s="191"/>
      <c r="S994" s="192"/>
    </row>
    <row r="995" spans="1:19" ht="20.5" thickTop="1" thickBot="1" x14ac:dyDescent="0.4">
      <c r="A995" s="184" t="s">
        <v>499</v>
      </c>
      <c r="B995" s="185" t="s">
        <v>499</v>
      </c>
      <c r="C995" s="185" t="s">
        <v>499</v>
      </c>
      <c r="D995" s="186" t="s">
        <v>499</v>
      </c>
      <c r="E995" s="185" t="s">
        <v>499</v>
      </c>
      <c r="F995" s="185" t="s">
        <v>499</v>
      </c>
      <c r="G995" s="187">
        <f t="shared" si="15"/>
        <v>0</v>
      </c>
      <c r="H995" s="188"/>
      <c r="I995" s="188"/>
      <c r="J995" s="188"/>
      <c r="K995" s="185"/>
      <c r="L995" s="185"/>
      <c r="M995" s="185"/>
      <c r="N995" s="185"/>
      <c r="O995" s="193"/>
      <c r="P995" s="193"/>
      <c r="Q995" s="195"/>
      <c r="R995" s="191"/>
      <c r="S995" s="192"/>
    </row>
    <row r="996" spans="1:19" ht="20.5" thickTop="1" thickBot="1" x14ac:dyDescent="0.4">
      <c r="A996" s="184" t="s">
        <v>499</v>
      </c>
      <c r="B996" s="185" t="s">
        <v>499</v>
      </c>
      <c r="C996" s="185" t="s">
        <v>499</v>
      </c>
      <c r="D996" s="186" t="s">
        <v>499</v>
      </c>
      <c r="E996" s="185" t="s">
        <v>499</v>
      </c>
      <c r="F996" s="185" t="s">
        <v>499</v>
      </c>
      <c r="G996" s="187">
        <f t="shared" si="15"/>
        <v>0</v>
      </c>
      <c r="H996" s="188"/>
      <c r="I996" s="188"/>
      <c r="J996" s="188"/>
      <c r="K996" s="185"/>
      <c r="L996" s="185"/>
      <c r="M996" s="185"/>
      <c r="N996" s="185"/>
      <c r="O996" s="193"/>
      <c r="P996" s="193"/>
      <c r="Q996" s="195"/>
      <c r="R996" s="191"/>
      <c r="S996" s="192"/>
    </row>
    <row r="997" spans="1:19" ht="20.5" thickTop="1" thickBot="1" x14ac:dyDescent="0.4">
      <c r="A997" s="184" t="s">
        <v>499</v>
      </c>
      <c r="B997" s="185" t="s">
        <v>499</v>
      </c>
      <c r="C997" s="185" t="s">
        <v>499</v>
      </c>
      <c r="D997" s="186" t="s">
        <v>499</v>
      </c>
      <c r="E997" s="185" t="s">
        <v>499</v>
      </c>
      <c r="F997" s="185" t="s">
        <v>499</v>
      </c>
      <c r="G997" s="187">
        <f t="shared" si="15"/>
        <v>0</v>
      </c>
      <c r="H997" s="188"/>
      <c r="I997" s="188"/>
      <c r="J997" s="188"/>
      <c r="K997" s="185"/>
      <c r="L997" s="185"/>
      <c r="M997" s="185"/>
      <c r="N997" s="185"/>
      <c r="O997" s="193"/>
      <c r="P997" s="193"/>
      <c r="Q997" s="195"/>
      <c r="R997" s="191"/>
      <c r="S997" s="192"/>
    </row>
    <row r="998" spans="1:19" ht="20.5" thickTop="1" thickBot="1" x14ac:dyDescent="0.4">
      <c r="A998" s="184" t="s">
        <v>499</v>
      </c>
      <c r="B998" s="185" t="s">
        <v>499</v>
      </c>
      <c r="C998" s="185" t="s">
        <v>499</v>
      </c>
      <c r="D998" s="186" t="s">
        <v>499</v>
      </c>
      <c r="E998" s="185" t="s">
        <v>499</v>
      </c>
      <c r="F998" s="185" t="s">
        <v>499</v>
      </c>
      <c r="G998" s="187">
        <f t="shared" si="15"/>
        <v>0</v>
      </c>
      <c r="H998" s="188"/>
      <c r="I998" s="188"/>
      <c r="J998" s="188"/>
      <c r="K998" s="185"/>
      <c r="L998" s="185"/>
      <c r="M998" s="185"/>
      <c r="N998" s="185"/>
      <c r="O998" s="193"/>
      <c r="P998" s="193"/>
      <c r="Q998" s="195"/>
      <c r="R998" s="191"/>
      <c r="S998" s="192"/>
    </row>
    <row r="999" spans="1:19" ht="20.5" thickTop="1" thickBot="1" x14ac:dyDescent="0.4">
      <c r="A999" s="184" t="s">
        <v>499</v>
      </c>
      <c r="B999" s="185" t="s">
        <v>499</v>
      </c>
      <c r="C999" s="185" t="s">
        <v>499</v>
      </c>
      <c r="D999" s="186" t="s">
        <v>499</v>
      </c>
      <c r="E999" s="185" t="s">
        <v>499</v>
      </c>
      <c r="F999" s="185" t="s">
        <v>499</v>
      </c>
      <c r="G999" s="187">
        <f t="shared" si="15"/>
        <v>0</v>
      </c>
      <c r="H999" s="188"/>
      <c r="I999" s="188"/>
      <c r="J999" s="188"/>
      <c r="K999" s="185"/>
      <c r="L999" s="185"/>
      <c r="M999" s="185"/>
      <c r="N999" s="185"/>
      <c r="O999" s="193"/>
      <c r="P999" s="193"/>
      <c r="Q999" s="195"/>
      <c r="R999" s="191"/>
      <c r="S999" s="192"/>
    </row>
    <row r="1000" spans="1:19" ht="20.5" thickTop="1" thickBot="1" x14ac:dyDescent="0.4">
      <c r="A1000" s="184" t="s">
        <v>499</v>
      </c>
      <c r="B1000" s="185" t="s">
        <v>499</v>
      </c>
      <c r="C1000" s="185" t="s">
        <v>499</v>
      </c>
      <c r="D1000" s="186" t="s">
        <v>499</v>
      </c>
      <c r="E1000" s="185" t="s">
        <v>499</v>
      </c>
      <c r="F1000" s="185" t="s">
        <v>499</v>
      </c>
      <c r="G1000" s="187">
        <f t="shared" si="15"/>
        <v>0</v>
      </c>
      <c r="H1000" s="188"/>
      <c r="I1000" s="188"/>
      <c r="J1000" s="188"/>
      <c r="K1000" s="185"/>
      <c r="L1000" s="185"/>
      <c r="M1000" s="185"/>
      <c r="N1000" s="185"/>
      <c r="O1000" s="193"/>
      <c r="P1000" s="193"/>
      <c r="Q1000" s="195"/>
      <c r="R1000" s="191"/>
      <c r="S1000" s="192"/>
    </row>
    <row r="1001" spans="1:19" ht="20.5" thickTop="1" thickBot="1" x14ac:dyDescent="0.4">
      <c r="A1001" s="184" t="s">
        <v>499</v>
      </c>
      <c r="B1001" s="185" t="s">
        <v>499</v>
      </c>
      <c r="C1001" s="185" t="s">
        <v>499</v>
      </c>
      <c r="D1001" s="186" t="s">
        <v>499</v>
      </c>
      <c r="E1001" s="185" t="s">
        <v>499</v>
      </c>
      <c r="F1001" s="185" t="s">
        <v>499</v>
      </c>
      <c r="G1001" s="187">
        <f t="shared" si="15"/>
        <v>0</v>
      </c>
      <c r="H1001" s="188"/>
      <c r="I1001" s="188"/>
      <c r="J1001" s="188"/>
      <c r="K1001" s="185"/>
      <c r="L1001" s="185"/>
      <c r="M1001" s="185"/>
      <c r="N1001" s="185"/>
      <c r="O1001" s="193"/>
      <c r="P1001" s="193"/>
      <c r="Q1001" s="195"/>
      <c r="R1001" s="191"/>
      <c r="S1001" s="192"/>
    </row>
    <row r="1002" spans="1:19" ht="20.5" thickTop="1" thickBot="1" x14ac:dyDescent="0.4">
      <c r="A1002" s="184" t="s">
        <v>499</v>
      </c>
      <c r="B1002" s="185" t="s">
        <v>499</v>
      </c>
      <c r="C1002" s="185" t="s">
        <v>499</v>
      </c>
      <c r="D1002" s="186" t="s">
        <v>499</v>
      </c>
      <c r="E1002" s="185" t="s">
        <v>499</v>
      </c>
      <c r="F1002" s="185" t="s">
        <v>499</v>
      </c>
      <c r="G1002" s="187">
        <f t="shared" si="15"/>
        <v>0</v>
      </c>
      <c r="H1002" s="188"/>
      <c r="I1002" s="188"/>
      <c r="J1002" s="188"/>
      <c r="K1002" s="185"/>
      <c r="L1002" s="185"/>
      <c r="M1002" s="185"/>
      <c r="N1002" s="185"/>
      <c r="O1002" s="193"/>
      <c r="P1002" s="193"/>
      <c r="Q1002" s="195"/>
      <c r="R1002" s="191"/>
      <c r="S1002" s="192"/>
    </row>
    <row r="1003" spans="1:19" ht="20.5" thickTop="1" thickBot="1" x14ac:dyDescent="0.4">
      <c r="A1003" s="184" t="s">
        <v>499</v>
      </c>
      <c r="B1003" s="185" t="s">
        <v>499</v>
      </c>
      <c r="C1003" s="185" t="s">
        <v>499</v>
      </c>
      <c r="D1003" s="186" t="s">
        <v>499</v>
      </c>
      <c r="E1003" s="185" t="s">
        <v>499</v>
      </c>
      <c r="F1003" s="185" t="s">
        <v>499</v>
      </c>
      <c r="G1003" s="187">
        <f t="shared" si="15"/>
        <v>0</v>
      </c>
      <c r="H1003" s="188"/>
      <c r="I1003" s="188"/>
      <c r="J1003" s="188"/>
      <c r="K1003" s="185"/>
      <c r="L1003" s="185"/>
      <c r="M1003" s="185"/>
      <c r="N1003" s="185"/>
      <c r="O1003" s="193"/>
      <c r="P1003" s="193"/>
      <c r="Q1003" s="195"/>
      <c r="R1003" s="191"/>
      <c r="S1003" s="192"/>
    </row>
    <row r="1004" spans="1:19" ht="20.5" thickTop="1" thickBot="1" x14ac:dyDescent="0.4">
      <c r="A1004" s="184" t="s">
        <v>499</v>
      </c>
      <c r="B1004" s="185" t="s">
        <v>499</v>
      </c>
      <c r="C1004" s="185" t="s">
        <v>499</v>
      </c>
      <c r="D1004" s="186" t="s">
        <v>499</v>
      </c>
      <c r="E1004" s="185" t="s">
        <v>499</v>
      </c>
      <c r="F1004" s="185" t="s">
        <v>499</v>
      </c>
      <c r="G1004" s="187">
        <f t="shared" si="15"/>
        <v>0</v>
      </c>
      <c r="H1004" s="188"/>
      <c r="I1004" s="188"/>
      <c r="J1004" s="188"/>
      <c r="K1004" s="185"/>
      <c r="L1004" s="185"/>
      <c r="M1004" s="185"/>
      <c r="N1004" s="185"/>
      <c r="O1004" s="193"/>
      <c r="P1004" s="193"/>
      <c r="Q1004" s="195"/>
      <c r="R1004" s="191"/>
      <c r="S1004" s="192"/>
    </row>
    <row r="1005" spans="1:19" ht="20.5" thickTop="1" thickBot="1" x14ac:dyDescent="0.4">
      <c r="A1005" s="184" t="s">
        <v>499</v>
      </c>
      <c r="B1005" s="185" t="s">
        <v>499</v>
      </c>
      <c r="C1005" s="185" t="s">
        <v>499</v>
      </c>
      <c r="D1005" s="186" t="s">
        <v>499</v>
      </c>
      <c r="E1005" s="185" t="s">
        <v>499</v>
      </c>
      <c r="F1005" s="185" t="s">
        <v>499</v>
      </c>
      <c r="G1005" s="187">
        <f t="shared" si="15"/>
        <v>0</v>
      </c>
      <c r="H1005" s="188"/>
      <c r="I1005" s="188"/>
      <c r="J1005" s="188"/>
      <c r="K1005" s="185"/>
      <c r="L1005" s="185"/>
      <c r="M1005" s="185"/>
      <c r="N1005" s="185"/>
      <c r="O1005" s="193"/>
      <c r="P1005" s="193"/>
      <c r="Q1005" s="195"/>
      <c r="R1005" s="191"/>
      <c r="S1005" s="192"/>
    </row>
    <row r="1006" spans="1:19" ht="20.5" thickTop="1" thickBot="1" x14ac:dyDescent="0.4">
      <c r="A1006" s="184" t="s">
        <v>499</v>
      </c>
      <c r="B1006" s="185" t="s">
        <v>499</v>
      </c>
      <c r="C1006" s="185" t="s">
        <v>499</v>
      </c>
      <c r="D1006" s="186" t="s">
        <v>499</v>
      </c>
      <c r="E1006" s="185" t="s">
        <v>499</v>
      </c>
      <c r="F1006" s="185" t="s">
        <v>499</v>
      </c>
      <c r="G1006" s="187">
        <f t="shared" si="15"/>
        <v>0</v>
      </c>
      <c r="H1006" s="188"/>
      <c r="I1006" s="188"/>
      <c r="J1006" s="188"/>
      <c r="K1006" s="185"/>
      <c r="L1006" s="185"/>
      <c r="M1006" s="185"/>
      <c r="N1006" s="185"/>
      <c r="O1006" s="193"/>
      <c r="P1006" s="193"/>
      <c r="Q1006" s="195"/>
      <c r="R1006" s="191"/>
      <c r="S1006" s="192"/>
    </row>
    <row r="1007" spans="1:19" ht="20.5" thickTop="1" thickBot="1" x14ac:dyDescent="0.4">
      <c r="A1007" s="184" t="s">
        <v>499</v>
      </c>
      <c r="B1007" s="185" t="s">
        <v>499</v>
      </c>
      <c r="C1007" s="185" t="s">
        <v>499</v>
      </c>
      <c r="D1007" s="186" t="s">
        <v>499</v>
      </c>
      <c r="E1007" s="185" t="s">
        <v>499</v>
      </c>
      <c r="F1007" s="185" t="s">
        <v>499</v>
      </c>
      <c r="G1007" s="187">
        <f t="shared" si="15"/>
        <v>0</v>
      </c>
      <c r="H1007" s="188"/>
      <c r="I1007" s="188"/>
      <c r="J1007" s="188"/>
      <c r="K1007" s="185"/>
      <c r="L1007" s="185"/>
      <c r="M1007" s="185"/>
      <c r="N1007" s="185"/>
      <c r="O1007" s="193"/>
      <c r="P1007" s="193"/>
      <c r="Q1007" s="195"/>
      <c r="R1007" s="191"/>
      <c r="S1007" s="192"/>
    </row>
    <row r="1008" spans="1:19" ht="20.5" thickTop="1" thickBot="1" x14ac:dyDescent="0.4">
      <c r="A1008" s="184" t="s">
        <v>499</v>
      </c>
      <c r="B1008" s="185" t="s">
        <v>499</v>
      </c>
      <c r="C1008" s="185" t="s">
        <v>499</v>
      </c>
      <c r="D1008" s="186" t="s">
        <v>499</v>
      </c>
      <c r="E1008" s="185" t="s">
        <v>499</v>
      </c>
      <c r="F1008" s="185" t="s">
        <v>499</v>
      </c>
      <c r="G1008" s="187">
        <f t="shared" si="15"/>
        <v>0</v>
      </c>
      <c r="H1008" s="188"/>
      <c r="I1008" s="188"/>
      <c r="J1008" s="188"/>
      <c r="K1008" s="185"/>
      <c r="L1008" s="185"/>
      <c r="M1008" s="185"/>
      <c r="N1008" s="185"/>
      <c r="O1008" s="193"/>
      <c r="P1008" s="193"/>
      <c r="Q1008" s="195"/>
      <c r="R1008" s="191"/>
      <c r="S1008" s="192"/>
    </row>
    <row r="1009" spans="1:19" ht="20.5" thickTop="1" thickBot="1" x14ac:dyDescent="0.4">
      <c r="A1009" s="184" t="s">
        <v>499</v>
      </c>
      <c r="B1009" s="185" t="s">
        <v>499</v>
      </c>
      <c r="C1009" s="185" t="s">
        <v>499</v>
      </c>
      <c r="D1009" s="186" t="s">
        <v>499</v>
      </c>
      <c r="E1009" s="185" t="s">
        <v>499</v>
      </c>
      <c r="F1009" s="185" t="s">
        <v>499</v>
      </c>
      <c r="G1009" s="187">
        <f t="shared" si="15"/>
        <v>0</v>
      </c>
      <c r="H1009" s="188"/>
      <c r="I1009" s="188"/>
      <c r="J1009" s="188"/>
      <c r="K1009" s="185"/>
      <c r="L1009" s="185"/>
      <c r="M1009" s="185"/>
      <c r="N1009" s="185"/>
      <c r="O1009" s="193"/>
      <c r="P1009" s="193"/>
      <c r="Q1009" s="195"/>
      <c r="R1009" s="191"/>
      <c r="S1009" s="192"/>
    </row>
    <row r="1010" spans="1:19" ht="20.5" thickTop="1" thickBot="1" x14ac:dyDescent="0.4">
      <c r="A1010" s="184" t="s">
        <v>499</v>
      </c>
      <c r="B1010" s="185" t="s">
        <v>499</v>
      </c>
      <c r="C1010" s="185" t="s">
        <v>499</v>
      </c>
      <c r="D1010" s="186" t="s">
        <v>499</v>
      </c>
      <c r="E1010" s="185" t="s">
        <v>499</v>
      </c>
      <c r="F1010" s="185" t="s">
        <v>499</v>
      </c>
      <c r="G1010" s="187">
        <f t="shared" si="15"/>
        <v>0</v>
      </c>
      <c r="H1010" s="188"/>
      <c r="I1010" s="188"/>
      <c r="J1010" s="188"/>
      <c r="K1010" s="185"/>
      <c r="L1010" s="185"/>
      <c r="M1010" s="185"/>
      <c r="N1010" s="185"/>
      <c r="O1010" s="193"/>
      <c r="P1010" s="193"/>
      <c r="Q1010" s="195"/>
      <c r="R1010" s="191"/>
      <c r="S1010" s="192"/>
    </row>
    <row r="1011" spans="1:19" ht="20.5" thickTop="1" thickBot="1" x14ac:dyDescent="0.4">
      <c r="A1011" s="184" t="s">
        <v>499</v>
      </c>
      <c r="B1011" s="185" t="s">
        <v>499</v>
      </c>
      <c r="C1011" s="185" t="s">
        <v>499</v>
      </c>
      <c r="D1011" s="186" t="s">
        <v>499</v>
      </c>
      <c r="E1011" s="185" t="s">
        <v>499</v>
      </c>
      <c r="F1011" s="185" t="s">
        <v>499</v>
      </c>
      <c r="G1011" s="187">
        <f t="shared" si="15"/>
        <v>0</v>
      </c>
      <c r="H1011" s="188"/>
      <c r="I1011" s="188"/>
      <c r="J1011" s="188"/>
      <c r="K1011" s="185"/>
      <c r="L1011" s="185"/>
      <c r="M1011" s="185"/>
      <c r="N1011" s="185"/>
      <c r="O1011" s="193"/>
      <c r="P1011" s="193"/>
      <c r="Q1011" s="195"/>
      <c r="R1011" s="191"/>
      <c r="S1011" s="192"/>
    </row>
    <row r="1012" spans="1:19" ht="20.5" thickTop="1" thickBot="1" x14ac:dyDescent="0.4">
      <c r="A1012" s="184" t="s">
        <v>499</v>
      </c>
      <c r="B1012" s="185" t="s">
        <v>499</v>
      </c>
      <c r="C1012" s="185" t="s">
        <v>499</v>
      </c>
      <c r="D1012" s="186" t="s">
        <v>499</v>
      </c>
      <c r="E1012" s="185" t="s">
        <v>499</v>
      </c>
      <c r="F1012" s="185" t="s">
        <v>499</v>
      </c>
      <c r="G1012" s="187">
        <f t="shared" si="15"/>
        <v>0</v>
      </c>
      <c r="H1012" s="188"/>
      <c r="I1012" s="188"/>
      <c r="J1012" s="188"/>
      <c r="K1012" s="185"/>
      <c r="L1012" s="185"/>
      <c r="M1012" s="185"/>
      <c r="N1012" s="185"/>
      <c r="O1012" s="193"/>
      <c r="P1012" s="193"/>
      <c r="Q1012" s="195"/>
      <c r="R1012" s="191"/>
      <c r="S1012" s="192"/>
    </row>
    <row r="1013" spans="1:19" ht="20.5" thickTop="1" thickBot="1" x14ac:dyDescent="0.4">
      <c r="A1013" s="184" t="s">
        <v>499</v>
      </c>
      <c r="B1013" s="185" t="s">
        <v>499</v>
      </c>
      <c r="C1013" s="185" t="s">
        <v>499</v>
      </c>
      <c r="D1013" s="186" t="s">
        <v>499</v>
      </c>
      <c r="E1013" s="185" t="s">
        <v>499</v>
      </c>
      <c r="F1013" s="185" t="s">
        <v>499</v>
      </c>
      <c r="G1013" s="187">
        <f t="shared" si="15"/>
        <v>0</v>
      </c>
      <c r="H1013" s="188"/>
      <c r="I1013" s="188"/>
      <c r="J1013" s="188"/>
      <c r="K1013" s="185"/>
      <c r="L1013" s="185"/>
      <c r="M1013" s="185"/>
      <c r="N1013" s="185"/>
      <c r="O1013" s="193"/>
      <c r="P1013" s="193"/>
      <c r="Q1013" s="195"/>
      <c r="R1013" s="191"/>
      <c r="S1013" s="192"/>
    </row>
    <row r="1014" spans="1:19" ht="20.5" thickTop="1" thickBot="1" x14ac:dyDescent="0.4">
      <c r="A1014" s="184" t="s">
        <v>499</v>
      </c>
      <c r="B1014" s="185" t="s">
        <v>499</v>
      </c>
      <c r="C1014" s="185" t="s">
        <v>499</v>
      </c>
      <c r="D1014" s="186" t="s">
        <v>499</v>
      </c>
      <c r="E1014" s="185" t="s">
        <v>499</v>
      </c>
      <c r="F1014" s="185" t="s">
        <v>499</v>
      </c>
      <c r="G1014" s="187">
        <f t="shared" si="15"/>
        <v>0</v>
      </c>
      <c r="H1014" s="188"/>
      <c r="I1014" s="188"/>
      <c r="J1014" s="188"/>
      <c r="K1014" s="185"/>
      <c r="L1014" s="185"/>
      <c r="M1014" s="185"/>
      <c r="N1014" s="185"/>
      <c r="O1014" s="193"/>
      <c r="P1014" s="193"/>
      <c r="Q1014" s="195"/>
      <c r="R1014" s="191"/>
      <c r="S1014" s="192"/>
    </row>
    <row r="1015" spans="1:19" ht="20.5" thickTop="1" thickBot="1" x14ac:dyDescent="0.4">
      <c r="A1015" s="184" t="s">
        <v>499</v>
      </c>
      <c r="B1015" s="185" t="s">
        <v>499</v>
      </c>
      <c r="C1015" s="185" t="s">
        <v>499</v>
      </c>
      <c r="D1015" s="186" t="s">
        <v>499</v>
      </c>
      <c r="E1015" s="185" t="s">
        <v>499</v>
      </c>
      <c r="F1015" s="185" t="s">
        <v>499</v>
      </c>
      <c r="G1015" s="187">
        <f t="shared" si="15"/>
        <v>0</v>
      </c>
      <c r="H1015" s="188"/>
      <c r="I1015" s="188"/>
      <c r="J1015" s="188"/>
      <c r="K1015" s="185"/>
      <c r="L1015" s="185"/>
      <c r="M1015" s="185"/>
      <c r="N1015" s="185"/>
      <c r="O1015" s="193"/>
      <c r="P1015" s="193"/>
      <c r="Q1015" s="195"/>
      <c r="R1015" s="191"/>
      <c r="S1015" s="192"/>
    </row>
    <row r="1016" spans="1:19" ht="20.5" thickTop="1" thickBot="1" x14ac:dyDescent="0.4">
      <c r="A1016" s="184" t="s">
        <v>499</v>
      </c>
      <c r="B1016" s="185" t="s">
        <v>499</v>
      </c>
      <c r="C1016" s="185" t="s">
        <v>499</v>
      </c>
      <c r="D1016" s="186" t="s">
        <v>499</v>
      </c>
      <c r="E1016" s="185" t="s">
        <v>499</v>
      </c>
      <c r="F1016" s="185" t="s">
        <v>499</v>
      </c>
      <c r="G1016" s="187">
        <f t="shared" si="15"/>
        <v>0</v>
      </c>
      <c r="H1016" s="188"/>
      <c r="I1016" s="188"/>
      <c r="J1016" s="188"/>
      <c r="K1016" s="185"/>
      <c r="L1016" s="185"/>
      <c r="M1016" s="185"/>
      <c r="N1016" s="185"/>
      <c r="O1016" s="193"/>
      <c r="P1016" s="193"/>
      <c r="Q1016" s="195"/>
      <c r="R1016" s="191"/>
      <c r="S1016" s="192"/>
    </row>
    <row r="1017" spans="1:19" ht="20.5" thickTop="1" thickBot="1" x14ac:dyDescent="0.4">
      <c r="A1017" s="184" t="s">
        <v>499</v>
      </c>
      <c r="B1017" s="185" t="s">
        <v>499</v>
      </c>
      <c r="C1017" s="185" t="s">
        <v>499</v>
      </c>
      <c r="D1017" s="186" t="s">
        <v>499</v>
      </c>
      <c r="E1017" s="185" t="s">
        <v>499</v>
      </c>
      <c r="F1017" s="185" t="s">
        <v>499</v>
      </c>
      <c r="G1017" s="187">
        <f t="shared" si="15"/>
        <v>0</v>
      </c>
      <c r="H1017" s="188"/>
      <c r="I1017" s="188"/>
      <c r="J1017" s="188"/>
      <c r="K1017" s="185"/>
      <c r="L1017" s="185"/>
      <c r="M1017" s="185"/>
      <c r="N1017" s="185"/>
      <c r="O1017" s="193"/>
      <c r="P1017" s="193"/>
      <c r="Q1017" s="195"/>
      <c r="R1017" s="191"/>
      <c r="S1017" s="192"/>
    </row>
    <row r="1018" spans="1:19" ht="20.5" thickTop="1" thickBot="1" x14ac:dyDescent="0.4">
      <c r="A1018" s="184" t="s">
        <v>499</v>
      </c>
      <c r="B1018" s="185" t="s">
        <v>499</v>
      </c>
      <c r="C1018" s="185" t="s">
        <v>499</v>
      </c>
      <c r="D1018" s="186" t="s">
        <v>499</v>
      </c>
      <c r="E1018" s="185" t="s">
        <v>499</v>
      </c>
      <c r="F1018" s="185" t="s">
        <v>499</v>
      </c>
      <c r="G1018" s="187">
        <f t="shared" si="15"/>
        <v>0</v>
      </c>
      <c r="H1018" s="188"/>
      <c r="I1018" s="188"/>
      <c r="J1018" s="188"/>
      <c r="K1018" s="185"/>
      <c r="L1018" s="185"/>
      <c r="M1018" s="185"/>
      <c r="N1018" s="185"/>
      <c r="O1018" s="193"/>
      <c r="P1018" s="193"/>
      <c r="Q1018" s="195"/>
      <c r="R1018" s="191"/>
      <c r="S1018" s="192"/>
    </row>
    <row r="1019" spans="1:19" ht="20.5" thickTop="1" thickBot="1" x14ac:dyDescent="0.4">
      <c r="A1019" s="184" t="s">
        <v>499</v>
      </c>
      <c r="B1019" s="185" t="s">
        <v>499</v>
      </c>
      <c r="C1019" s="185" t="s">
        <v>499</v>
      </c>
      <c r="D1019" s="186" t="s">
        <v>499</v>
      </c>
      <c r="E1019" s="185" t="s">
        <v>499</v>
      </c>
      <c r="F1019" s="185" t="s">
        <v>499</v>
      </c>
      <c r="G1019" s="187">
        <f t="shared" si="15"/>
        <v>0</v>
      </c>
      <c r="H1019" s="188"/>
      <c r="I1019" s="188"/>
      <c r="J1019" s="188"/>
      <c r="K1019" s="185"/>
      <c r="L1019" s="185"/>
      <c r="M1019" s="185"/>
      <c r="N1019" s="185"/>
      <c r="O1019" s="193"/>
      <c r="P1019" s="193"/>
      <c r="Q1019" s="195"/>
      <c r="R1019" s="191"/>
      <c r="S1019" s="192"/>
    </row>
    <row r="1020" spans="1:19" ht="20.5" thickTop="1" thickBot="1" x14ac:dyDescent="0.4">
      <c r="A1020" s="184" t="s">
        <v>499</v>
      </c>
      <c r="B1020" s="185" t="s">
        <v>499</v>
      </c>
      <c r="C1020" s="185" t="s">
        <v>499</v>
      </c>
      <c r="D1020" s="186" t="s">
        <v>499</v>
      </c>
      <c r="E1020" s="185" t="s">
        <v>499</v>
      </c>
      <c r="F1020" s="185" t="s">
        <v>499</v>
      </c>
      <c r="G1020" s="187">
        <f t="shared" si="15"/>
        <v>0</v>
      </c>
      <c r="H1020" s="188"/>
      <c r="I1020" s="188"/>
      <c r="J1020" s="188"/>
      <c r="K1020" s="185"/>
      <c r="L1020" s="185"/>
      <c r="M1020" s="185"/>
      <c r="N1020" s="185"/>
      <c r="O1020" s="193"/>
      <c r="P1020" s="193"/>
      <c r="Q1020" s="195"/>
      <c r="R1020" s="191"/>
      <c r="S1020" s="192"/>
    </row>
    <row r="1021" spans="1:19" ht="20.5" thickTop="1" thickBot="1" x14ac:dyDescent="0.4">
      <c r="A1021" s="184" t="s">
        <v>499</v>
      </c>
      <c r="B1021" s="185" t="s">
        <v>499</v>
      </c>
      <c r="C1021" s="185" t="s">
        <v>499</v>
      </c>
      <c r="D1021" s="186" t="s">
        <v>499</v>
      </c>
      <c r="E1021" s="185" t="s">
        <v>499</v>
      </c>
      <c r="F1021" s="185" t="s">
        <v>499</v>
      </c>
      <c r="G1021" s="187">
        <f t="shared" si="15"/>
        <v>0</v>
      </c>
      <c r="H1021" s="188"/>
      <c r="I1021" s="188"/>
      <c r="J1021" s="188"/>
      <c r="K1021" s="185"/>
      <c r="L1021" s="185"/>
      <c r="M1021" s="185"/>
      <c r="N1021" s="185"/>
      <c r="O1021" s="193"/>
      <c r="P1021" s="193"/>
      <c r="Q1021" s="195"/>
      <c r="R1021" s="191"/>
      <c r="S1021" s="192"/>
    </row>
    <row r="1022" spans="1:19" ht="20.5" thickTop="1" thickBot="1" x14ac:dyDescent="0.4">
      <c r="A1022" s="184" t="s">
        <v>499</v>
      </c>
      <c r="B1022" s="185" t="s">
        <v>499</v>
      </c>
      <c r="C1022" s="185" t="s">
        <v>499</v>
      </c>
      <c r="D1022" s="186" t="s">
        <v>499</v>
      </c>
      <c r="E1022" s="185" t="s">
        <v>499</v>
      </c>
      <c r="F1022" s="185" t="s">
        <v>499</v>
      </c>
      <c r="G1022" s="187">
        <f t="shared" si="15"/>
        <v>0</v>
      </c>
      <c r="H1022" s="188"/>
      <c r="I1022" s="188"/>
      <c r="J1022" s="188"/>
      <c r="K1022" s="185"/>
      <c r="L1022" s="185"/>
      <c r="M1022" s="185"/>
      <c r="N1022" s="185"/>
      <c r="O1022" s="193"/>
      <c r="P1022" s="193"/>
      <c r="Q1022" s="195"/>
      <c r="R1022" s="191"/>
      <c r="S1022" s="192"/>
    </row>
    <row r="1023" spans="1:19" ht="20.5" thickTop="1" thickBot="1" x14ac:dyDescent="0.4">
      <c r="A1023" s="184" t="s">
        <v>499</v>
      </c>
      <c r="B1023" s="185" t="s">
        <v>499</v>
      </c>
      <c r="C1023" s="185" t="s">
        <v>499</v>
      </c>
      <c r="D1023" s="186" t="s">
        <v>499</v>
      </c>
      <c r="E1023" s="185" t="s">
        <v>499</v>
      </c>
      <c r="F1023" s="185" t="s">
        <v>499</v>
      </c>
      <c r="G1023" s="187">
        <f t="shared" si="15"/>
        <v>0</v>
      </c>
      <c r="H1023" s="188"/>
      <c r="I1023" s="188"/>
      <c r="J1023" s="188"/>
      <c r="K1023" s="185"/>
      <c r="L1023" s="185"/>
      <c r="M1023" s="185"/>
      <c r="N1023" s="185"/>
      <c r="O1023" s="193"/>
      <c r="P1023" s="193"/>
      <c r="Q1023" s="195"/>
      <c r="R1023" s="191"/>
      <c r="S1023" s="192"/>
    </row>
    <row r="1024" spans="1:19" ht="20.5" thickTop="1" thickBot="1" x14ac:dyDescent="0.4">
      <c r="A1024" s="184" t="s">
        <v>499</v>
      </c>
      <c r="B1024" s="185" t="s">
        <v>499</v>
      </c>
      <c r="C1024" s="185" t="s">
        <v>499</v>
      </c>
      <c r="D1024" s="186" t="s">
        <v>499</v>
      </c>
      <c r="E1024" s="185" t="s">
        <v>499</v>
      </c>
      <c r="F1024" s="185" t="s">
        <v>499</v>
      </c>
      <c r="G1024" s="187">
        <f t="shared" si="15"/>
        <v>0</v>
      </c>
      <c r="H1024" s="188"/>
      <c r="I1024" s="188"/>
      <c r="J1024" s="188"/>
      <c r="K1024" s="185"/>
      <c r="L1024" s="185"/>
      <c r="M1024" s="185"/>
      <c r="N1024" s="185"/>
      <c r="O1024" s="193"/>
      <c r="P1024" s="193"/>
      <c r="Q1024" s="195"/>
      <c r="R1024" s="191"/>
      <c r="S1024" s="192"/>
    </row>
    <row r="1025" spans="1:19" ht="20.5" thickTop="1" thickBot="1" x14ac:dyDescent="0.4">
      <c r="A1025" s="184" t="s">
        <v>499</v>
      </c>
      <c r="B1025" s="185" t="s">
        <v>499</v>
      </c>
      <c r="C1025" s="185" t="s">
        <v>499</v>
      </c>
      <c r="D1025" s="186" t="s">
        <v>499</v>
      </c>
      <c r="E1025" s="185" t="s">
        <v>499</v>
      </c>
      <c r="F1025" s="185" t="s">
        <v>499</v>
      </c>
      <c r="G1025" s="187">
        <f t="shared" si="15"/>
        <v>0</v>
      </c>
      <c r="H1025" s="188"/>
      <c r="I1025" s="188"/>
      <c r="J1025" s="188"/>
      <c r="K1025" s="185"/>
      <c r="L1025" s="185"/>
      <c r="M1025" s="185"/>
      <c r="N1025" s="185"/>
      <c r="O1025" s="193"/>
      <c r="P1025" s="193"/>
      <c r="Q1025" s="195"/>
      <c r="R1025" s="191"/>
      <c r="S1025" s="192"/>
    </row>
    <row r="1026" spans="1:19" ht="20.5" thickTop="1" thickBot="1" x14ac:dyDescent="0.4">
      <c r="A1026" s="184" t="s">
        <v>499</v>
      </c>
      <c r="B1026" s="185" t="s">
        <v>499</v>
      </c>
      <c r="C1026" s="185" t="s">
        <v>499</v>
      </c>
      <c r="D1026" s="186" t="s">
        <v>499</v>
      </c>
      <c r="E1026" s="185" t="s">
        <v>499</v>
      </c>
      <c r="F1026" s="185" t="s">
        <v>499</v>
      </c>
      <c r="G1026" s="187">
        <f t="shared" si="15"/>
        <v>0</v>
      </c>
      <c r="H1026" s="188"/>
      <c r="I1026" s="188"/>
      <c r="J1026" s="188"/>
      <c r="K1026" s="185"/>
      <c r="L1026" s="185"/>
      <c r="M1026" s="185"/>
      <c r="N1026" s="185"/>
      <c r="O1026" s="193"/>
      <c r="P1026" s="193"/>
      <c r="Q1026" s="195"/>
      <c r="R1026" s="191"/>
      <c r="S1026" s="192"/>
    </row>
    <row r="1027" spans="1:19" ht="20.5" thickTop="1" thickBot="1" x14ac:dyDescent="0.4">
      <c r="A1027" s="184" t="s">
        <v>499</v>
      </c>
      <c r="B1027" s="185" t="s">
        <v>499</v>
      </c>
      <c r="C1027" s="185" t="s">
        <v>499</v>
      </c>
      <c r="D1027" s="186" t="s">
        <v>499</v>
      </c>
      <c r="E1027" s="185" t="s">
        <v>499</v>
      </c>
      <c r="F1027" s="185" t="s">
        <v>499</v>
      </c>
      <c r="G1027" s="187">
        <f t="shared" si="15"/>
        <v>0</v>
      </c>
      <c r="H1027" s="188"/>
      <c r="I1027" s="188"/>
      <c r="J1027" s="188"/>
      <c r="K1027" s="185"/>
      <c r="L1027" s="185"/>
      <c r="M1027" s="185"/>
      <c r="N1027" s="185"/>
      <c r="O1027" s="193"/>
      <c r="P1027" s="193"/>
      <c r="Q1027" s="195"/>
      <c r="R1027" s="191"/>
      <c r="S1027" s="192"/>
    </row>
    <row r="1028" spans="1:19" ht="20.5" thickTop="1" thickBot="1" x14ac:dyDescent="0.4">
      <c r="A1028" s="184" t="s">
        <v>499</v>
      </c>
      <c r="B1028" s="185" t="s">
        <v>499</v>
      </c>
      <c r="C1028" s="185" t="s">
        <v>499</v>
      </c>
      <c r="D1028" s="186" t="s">
        <v>499</v>
      </c>
      <c r="E1028" s="185" t="s">
        <v>499</v>
      </c>
      <c r="F1028" s="185" t="s">
        <v>499</v>
      </c>
      <c r="G1028" s="187">
        <f t="shared" si="15"/>
        <v>0</v>
      </c>
      <c r="H1028" s="188"/>
      <c r="I1028" s="188"/>
      <c r="J1028" s="188"/>
      <c r="K1028" s="185"/>
      <c r="L1028" s="185"/>
      <c r="M1028" s="185"/>
      <c r="N1028" s="185"/>
      <c r="O1028" s="193"/>
      <c r="P1028" s="193"/>
      <c r="Q1028" s="195"/>
      <c r="R1028" s="191"/>
      <c r="S1028" s="192"/>
    </row>
    <row r="1029" spans="1:19" ht="20.5" thickTop="1" thickBot="1" x14ac:dyDescent="0.4">
      <c r="A1029" s="184" t="s">
        <v>499</v>
      </c>
      <c r="B1029" s="185" t="s">
        <v>499</v>
      </c>
      <c r="C1029" s="185" t="s">
        <v>499</v>
      </c>
      <c r="D1029" s="186" t="s">
        <v>499</v>
      </c>
      <c r="E1029" s="185" t="s">
        <v>499</v>
      </c>
      <c r="F1029" s="185" t="s">
        <v>499</v>
      </c>
      <c r="G1029" s="187">
        <f t="shared" ref="G1029:G1092" si="16">SUM(H1029:J1029)</f>
        <v>0</v>
      </c>
      <c r="H1029" s="188"/>
      <c r="I1029" s="188"/>
      <c r="J1029" s="188"/>
      <c r="K1029" s="185"/>
      <c r="L1029" s="185"/>
      <c r="M1029" s="185"/>
      <c r="N1029" s="185"/>
      <c r="O1029" s="193"/>
      <c r="P1029" s="193"/>
      <c r="Q1029" s="195"/>
      <c r="R1029" s="191"/>
      <c r="S1029" s="192"/>
    </row>
    <row r="1030" spans="1:19" ht="20.5" thickTop="1" thickBot="1" x14ac:dyDescent="0.4">
      <c r="A1030" s="184" t="s">
        <v>499</v>
      </c>
      <c r="B1030" s="185" t="s">
        <v>499</v>
      </c>
      <c r="C1030" s="185" t="s">
        <v>499</v>
      </c>
      <c r="D1030" s="186" t="s">
        <v>499</v>
      </c>
      <c r="E1030" s="185" t="s">
        <v>499</v>
      </c>
      <c r="F1030" s="185" t="s">
        <v>499</v>
      </c>
      <c r="G1030" s="187">
        <f t="shared" si="16"/>
        <v>0</v>
      </c>
      <c r="H1030" s="188"/>
      <c r="I1030" s="188"/>
      <c r="J1030" s="188"/>
      <c r="K1030" s="185"/>
      <c r="L1030" s="185"/>
      <c r="M1030" s="185"/>
      <c r="N1030" s="185"/>
      <c r="O1030" s="193"/>
      <c r="P1030" s="193"/>
      <c r="Q1030" s="195"/>
      <c r="R1030" s="191"/>
      <c r="S1030" s="192"/>
    </row>
    <row r="1031" spans="1:19" ht="20.5" thickTop="1" thickBot="1" x14ac:dyDescent="0.4">
      <c r="A1031" s="184" t="s">
        <v>499</v>
      </c>
      <c r="B1031" s="185" t="s">
        <v>499</v>
      </c>
      <c r="C1031" s="185" t="s">
        <v>499</v>
      </c>
      <c r="D1031" s="186" t="s">
        <v>499</v>
      </c>
      <c r="E1031" s="185" t="s">
        <v>499</v>
      </c>
      <c r="F1031" s="185" t="s">
        <v>499</v>
      </c>
      <c r="G1031" s="187">
        <f t="shared" si="16"/>
        <v>0</v>
      </c>
      <c r="H1031" s="188"/>
      <c r="I1031" s="188"/>
      <c r="J1031" s="188"/>
      <c r="K1031" s="185"/>
      <c r="L1031" s="185"/>
      <c r="M1031" s="185"/>
      <c r="N1031" s="185"/>
      <c r="O1031" s="193"/>
      <c r="P1031" s="193"/>
      <c r="Q1031" s="195"/>
      <c r="R1031" s="191"/>
      <c r="S1031" s="192"/>
    </row>
    <row r="1032" spans="1:19" ht="20.5" thickTop="1" thickBot="1" x14ac:dyDescent="0.4">
      <c r="A1032" s="184" t="s">
        <v>499</v>
      </c>
      <c r="B1032" s="185" t="s">
        <v>499</v>
      </c>
      <c r="C1032" s="185" t="s">
        <v>499</v>
      </c>
      <c r="D1032" s="186" t="s">
        <v>499</v>
      </c>
      <c r="E1032" s="185" t="s">
        <v>499</v>
      </c>
      <c r="F1032" s="185" t="s">
        <v>499</v>
      </c>
      <c r="G1032" s="187">
        <f t="shared" si="16"/>
        <v>0</v>
      </c>
      <c r="H1032" s="188"/>
      <c r="I1032" s="188"/>
      <c r="J1032" s="188"/>
      <c r="K1032" s="185"/>
      <c r="L1032" s="185"/>
      <c r="M1032" s="185"/>
      <c r="N1032" s="185"/>
      <c r="O1032" s="193"/>
      <c r="P1032" s="193"/>
      <c r="Q1032" s="195"/>
      <c r="R1032" s="191"/>
      <c r="S1032" s="192"/>
    </row>
    <row r="1033" spans="1:19" ht="20.5" thickTop="1" thickBot="1" x14ac:dyDescent="0.4">
      <c r="A1033" s="184" t="s">
        <v>499</v>
      </c>
      <c r="B1033" s="185" t="s">
        <v>499</v>
      </c>
      <c r="C1033" s="185" t="s">
        <v>499</v>
      </c>
      <c r="D1033" s="186" t="s">
        <v>499</v>
      </c>
      <c r="E1033" s="185" t="s">
        <v>499</v>
      </c>
      <c r="F1033" s="185" t="s">
        <v>499</v>
      </c>
      <c r="G1033" s="187">
        <f t="shared" si="16"/>
        <v>0</v>
      </c>
      <c r="H1033" s="188"/>
      <c r="I1033" s="188"/>
      <c r="J1033" s="188"/>
      <c r="K1033" s="185"/>
      <c r="L1033" s="185"/>
      <c r="M1033" s="185"/>
      <c r="N1033" s="185"/>
      <c r="O1033" s="193"/>
      <c r="P1033" s="193"/>
      <c r="Q1033" s="195"/>
      <c r="R1033" s="191"/>
      <c r="S1033" s="192"/>
    </row>
    <row r="1034" spans="1:19" ht="20.5" thickTop="1" thickBot="1" x14ac:dyDescent="0.4">
      <c r="A1034" s="184" t="s">
        <v>499</v>
      </c>
      <c r="B1034" s="185" t="s">
        <v>499</v>
      </c>
      <c r="C1034" s="185" t="s">
        <v>499</v>
      </c>
      <c r="D1034" s="186" t="s">
        <v>499</v>
      </c>
      <c r="E1034" s="185" t="s">
        <v>499</v>
      </c>
      <c r="F1034" s="185" t="s">
        <v>499</v>
      </c>
      <c r="G1034" s="187">
        <f t="shared" si="16"/>
        <v>0</v>
      </c>
      <c r="H1034" s="188"/>
      <c r="I1034" s="188"/>
      <c r="J1034" s="188"/>
      <c r="K1034" s="185"/>
      <c r="L1034" s="185"/>
      <c r="M1034" s="185"/>
      <c r="N1034" s="185"/>
      <c r="O1034" s="193"/>
      <c r="P1034" s="193"/>
      <c r="Q1034" s="195"/>
      <c r="R1034" s="191"/>
      <c r="S1034" s="192"/>
    </row>
    <row r="1035" spans="1:19" ht="20.5" thickTop="1" thickBot="1" x14ac:dyDescent="0.4">
      <c r="A1035" s="184" t="s">
        <v>499</v>
      </c>
      <c r="B1035" s="185" t="s">
        <v>499</v>
      </c>
      <c r="C1035" s="185" t="s">
        <v>499</v>
      </c>
      <c r="D1035" s="186" t="s">
        <v>499</v>
      </c>
      <c r="E1035" s="185" t="s">
        <v>499</v>
      </c>
      <c r="F1035" s="185" t="s">
        <v>499</v>
      </c>
      <c r="G1035" s="187">
        <f t="shared" si="16"/>
        <v>0</v>
      </c>
      <c r="H1035" s="188"/>
      <c r="I1035" s="188"/>
      <c r="J1035" s="188"/>
      <c r="K1035" s="185"/>
      <c r="L1035" s="185"/>
      <c r="M1035" s="185"/>
      <c r="N1035" s="185"/>
      <c r="O1035" s="193"/>
      <c r="P1035" s="193"/>
      <c r="Q1035" s="195"/>
      <c r="R1035" s="191"/>
      <c r="S1035" s="192"/>
    </row>
    <row r="1036" spans="1:19" ht="20.5" thickTop="1" thickBot="1" x14ac:dyDescent="0.4">
      <c r="A1036" s="184" t="s">
        <v>499</v>
      </c>
      <c r="B1036" s="185" t="s">
        <v>499</v>
      </c>
      <c r="C1036" s="185" t="s">
        <v>499</v>
      </c>
      <c r="D1036" s="186" t="s">
        <v>499</v>
      </c>
      <c r="E1036" s="185" t="s">
        <v>499</v>
      </c>
      <c r="F1036" s="185" t="s">
        <v>499</v>
      </c>
      <c r="G1036" s="187">
        <f t="shared" si="16"/>
        <v>0</v>
      </c>
      <c r="H1036" s="188"/>
      <c r="I1036" s="188"/>
      <c r="J1036" s="188"/>
      <c r="K1036" s="185"/>
      <c r="L1036" s="185"/>
      <c r="M1036" s="185"/>
      <c r="N1036" s="185"/>
      <c r="O1036" s="193"/>
      <c r="P1036" s="193"/>
      <c r="Q1036" s="195"/>
      <c r="R1036" s="191"/>
      <c r="S1036" s="192"/>
    </row>
    <row r="1037" spans="1:19" ht="20.5" thickTop="1" thickBot="1" x14ac:dyDescent="0.4">
      <c r="A1037" s="184" t="s">
        <v>499</v>
      </c>
      <c r="B1037" s="185" t="s">
        <v>499</v>
      </c>
      <c r="C1037" s="185" t="s">
        <v>499</v>
      </c>
      <c r="D1037" s="186" t="s">
        <v>499</v>
      </c>
      <c r="E1037" s="185" t="s">
        <v>499</v>
      </c>
      <c r="F1037" s="185" t="s">
        <v>499</v>
      </c>
      <c r="G1037" s="187">
        <f t="shared" si="16"/>
        <v>0</v>
      </c>
      <c r="H1037" s="188"/>
      <c r="I1037" s="188"/>
      <c r="J1037" s="188"/>
      <c r="K1037" s="185"/>
      <c r="L1037" s="185"/>
      <c r="M1037" s="185"/>
      <c r="N1037" s="185"/>
      <c r="O1037" s="193"/>
      <c r="P1037" s="193"/>
      <c r="Q1037" s="195"/>
      <c r="R1037" s="191"/>
      <c r="S1037" s="192"/>
    </row>
    <row r="1038" spans="1:19" ht="20.5" thickTop="1" thickBot="1" x14ac:dyDescent="0.4">
      <c r="A1038" s="184" t="s">
        <v>499</v>
      </c>
      <c r="B1038" s="185" t="s">
        <v>499</v>
      </c>
      <c r="C1038" s="185" t="s">
        <v>499</v>
      </c>
      <c r="D1038" s="186" t="s">
        <v>499</v>
      </c>
      <c r="E1038" s="185" t="s">
        <v>499</v>
      </c>
      <c r="F1038" s="185" t="s">
        <v>499</v>
      </c>
      <c r="G1038" s="187">
        <f t="shared" si="16"/>
        <v>0</v>
      </c>
      <c r="H1038" s="188"/>
      <c r="I1038" s="188"/>
      <c r="J1038" s="188"/>
      <c r="K1038" s="185"/>
      <c r="L1038" s="185"/>
      <c r="M1038" s="185"/>
      <c r="N1038" s="185"/>
      <c r="O1038" s="193"/>
      <c r="P1038" s="193"/>
      <c r="Q1038" s="195"/>
      <c r="R1038" s="191"/>
      <c r="S1038" s="192"/>
    </row>
    <row r="1039" spans="1:19" ht="20.5" thickTop="1" thickBot="1" x14ac:dyDescent="0.4">
      <c r="A1039" s="184" t="s">
        <v>499</v>
      </c>
      <c r="B1039" s="185" t="s">
        <v>499</v>
      </c>
      <c r="C1039" s="185" t="s">
        <v>499</v>
      </c>
      <c r="D1039" s="186" t="s">
        <v>499</v>
      </c>
      <c r="E1039" s="185" t="s">
        <v>499</v>
      </c>
      <c r="F1039" s="185" t="s">
        <v>499</v>
      </c>
      <c r="G1039" s="187">
        <f t="shared" si="16"/>
        <v>0</v>
      </c>
      <c r="H1039" s="188"/>
      <c r="I1039" s="188"/>
      <c r="J1039" s="188"/>
      <c r="K1039" s="185"/>
      <c r="L1039" s="185"/>
      <c r="M1039" s="185"/>
      <c r="N1039" s="185"/>
      <c r="O1039" s="193"/>
      <c r="P1039" s="193"/>
      <c r="Q1039" s="195"/>
      <c r="R1039" s="191"/>
      <c r="S1039" s="192"/>
    </row>
    <row r="1040" spans="1:19" ht="20.5" thickTop="1" thickBot="1" x14ac:dyDescent="0.4">
      <c r="A1040" s="184" t="s">
        <v>499</v>
      </c>
      <c r="B1040" s="185" t="s">
        <v>499</v>
      </c>
      <c r="C1040" s="185" t="s">
        <v>499</v>
      </c>
      <c r="D1040" s="186" t="s">
        <v>499</v>
      </c>
      <c r="E1040" s="185" t="s">
        <v>499</v>
      </c>
      <c r="F1040" s="185" t="s">
        <v>499</v>
      </c>
      <c r="G1040" s="187">
        <f t="shared" si="16"/>
        <v>0</v>
      </c>
      <c r="H1040" s="188"/>
      <c r="I1040" s="188"/>
      <c r="J1040" s="188"/>
      <c r="K1040" s="185"/>
      <c r="L1040" s="185"/>
      <c r="M1040" s="185"/>
      <c r="N1040" s="185"/>
      <c r="O1040" s="193"/>
      <c r="P1040" s="193"/>
      <c r="Q1040" s="195"/>
      <c r="R1040" s="191"/>
      <c r="S1040" s="192"/>
    </row>
    <row r="1041" spans="1:19" ht="20.5" thickTop="1" thickBot="1" x14ac:dyDescent="0.4">
      <c r="A1041" s="184" t="s">
        <v>499</v>
      </c>
      <c r="B1041" s="185" t="s">
        <v>499</v>
      </c>
      <c r="C1041" s="185" t="s">
        <v>499</v>
      </c>
      <c r="D1041" s="186" t="s">
        <v>499</v>
      </c>
      <c r="E1041" s="185" t="s">
        <v>499</v>
      </c>
      <c r="F1041" s="185" t="s">
        <v>499</v>
      </c>
      <c r="G1041" s="187">
        <f t="shared" si="16"/>
        <v>0</v>
      </c>
      <c r="H1041" s="188"/>
      <c r="I1041" s="188"/>
      <c r="J1041" s="188"/>
      <c r="K1041" s="185"/>
      <c r="L1041" s="185"/>
      <c r="M1041" s="185"/>
      <c r="N1041" s="185"/>
      <c r="O1041" s="193"/>
      <c r="P1041" s="193"/>
      <c r="Q1041" s="195"/>
      <c r="R1041" s="191"/>
      <c r="S1041" s="192"/>
    </row>
    <row r="1042" spans="1:19" ht="20.5" thickTop="1" thickBot="1" x14ac:dyDescent="0.4">
      <c r="A1042" s="184" t="s">
        <v>499</v>
      </c>
      <c r="B1042" s="185" t="s">
        <v>499</v>
      </c>
      <c r="C1042" s="185" t="s">
        <v>499</v>
      </c>
      <c r="D1042" s="186" t="s">
        <v>499</v>
      </c>
      <c r="E1042" s="185" t="s">
        <v>499</v>
      </c>
      <c r="F1042" s="185" t="s">
        <v>499</v>
      </c>
      <c r="G1042" s="187">
        <f t="shared" si="16"/>
        <v>0</v>
      </c>
      <c r="H1042" s="188"/>
      <c r="I1042" s="188"/>
      <c r="J1042" s="188"/>
      <c r="K1042" s="185"/>
      <c r="L1042" s="185"/>
      <c r="M1042" s="185"/>
      <c r="N1042" s="185"/>
      <c r="O1042" s="193"/>
      <c r="P1042" s="193"/>
      <c r="Q1042" s="195"/>
      <c r="R1042" s="191"/>
      <c r="S1042" s="192"/>
    </row>
    <row r="1043" spans="1:19" ht="20.5" thickTop="1" thickBot="1" x14ac:dyDescent="0.4">
      <c r="A1043" s="184" t="s">
        <v>499</v>
      </c>
      <c r="B1043" s="185" t="s">
        <v>499</v>
      </c>
      <c r="C1043" s="185" t="s">
        <v>499</v>
      </c>
      <c r="D1043" s="186" t="s">
        <v>499</v>
      </c>
      <c r="E1043" s="185" t="s">
        <v>499</v>
      </c>
      <c r="F1043" s="185" t="s">
        <v>499</v>
      </c>
      <c r="G1043" s="187">
        <f t="shared" si="16"/>
        <v>0</v>
      </c>
      <c r="H1043" s="188"/>
      <c r="I1043" s="188"/>
      <c r="J1043" s="188"/>
      <c r="K1043" s="185"/>
      <c r="L1043" s="185"/>
      <c r="M1043" s="185"/>
      <c r="N1043" s="185"/>
      <c r="O1043" s="193"/>
      <c r="P1043" s="193"/>
      <c r="Q1043" s="195"/>
      <c r="R1043" s="191"/>
      <c r="S1043" s="192"/>
    </row>
    <row r="1044" spans="1:19" ht="20.5" thickTop="1" thickBot="1" x14ac:dyDescent="0.4">
      <c r="A1044" s="184" t="s">
        <v>499</v>
      </c>
      <c r="B1044" s="185" t="s">
        <v>499</v>
      </c>
      <c r="C1044" s="185" t="s">
        <v>499</v>
      </c>
      <c r="D1044" s="186" t="s">
        <v>499</v>
      </c>
      <c r="E1044" s="185" t="s">
        <v>499</v>
      </c>
      <c r="F1044" s="185" t="s">
        <v>499</v>
      </c>
      <c r="G1044" s="187">
        <f t="shared" si="16"/>
        <v>0</v>
      </c>
      <c r="H1044" s="188"/>
      <c r="I1044" s="188"/>
      <c r="J1044" s="188"/>
      <c r="K1044" s="185"/>
      <c r="L1044" s="185"/>
      <c r="M1044" s="185"/>
      <c r="N1044" s="185"/>
      <c r="O1044" s="193"/>
      <c r="P1044" s="193"/>
      <c r="Q1044" s="195"/>
      <c r="R1044" s="191"/>
      <c r="S1044" s="192"/>
    </row>
    <row r="1045" spans="1:19" ht="20.5" thickTop="1" thickBot="1" x14ac:dyDescent="0.4">
      <c r="A1045" s="184" t="s">
        <v>499</v>
      </c>
      <c r="B1045" s="185" t="s">
        <v>499</v>
      </c>
      <c r="C1045" s="185" t="s">
        <v>499</v>
      </c>
      <c r="D1045" s="186" t="s">
        <v>499</v>
      </c>
      <c r="E1045" s="185" t="s">
        <v>499</v>
      </c>
      <c r="F1045" s="185" t="s">
        <v>499</v>
      </c>
      <c r="G1045" s="187">
        <f t="shared" si="16"/>
        <v>0</v>
      </c>
      <c r="H1045" s="188"/>
      <c r="I1045" s="188"/>
      <c r="J1045" s="188"/>
      <c r="K1045" s="185"/>
      <c r="L1045" s="185"/>
      <c r="M1045" s="185"/>
      <c r="N1045" s="185"/>
      <c r="O1045" s="193"/>
      <c r="P1045" s="193"/>
      <c r="Q1045" s="195"/>
      <c r="R1045" s="191"/>
      <c r="S1045" s="192"/>
    </row>
    <row r="1046" spans="1:19" ht="20.5" thickTop="1" thickBot="1" x14ac:dyDescent="0.4">
      <c r="A1046" s="184" t="s">
        <v>499</v>
      </c>
      <c r="B1046" s="185" t="s">
        <v>499</v>
      </c>
      <c r="C1046" s="185" t="s">
        <v>499</v>
      </c>
      <c r="D1046" s="186" t="s">
        <v>499</v>
      </c>
      <c r="E1046" s="185" t="s">
        <v>499</v>
      </c>
      <c r="F1046" s="185" t="s">
        <v>499</v>
      </c>
      <c r="G1046" s="187">
        <f t="shared" si="16"/>
        <v>0</v>
      </c>
      <c r="H1046" s="188"/>
      <c r="I1046" s="188"/>
      <c r="J1046" s="188"/>
      <c r="K1046" s="185"/>
      <c r="L1046" s="185"/>
      <c r="M1046" s="185"/>
      <c r="N1046" s="185"/>
      <c r="O1046" s="193"/>
      <c r="P1046" s="193"/>
      <c r="Q1046" s="195"/>
      <c r="R1046" s="191"/>
      <c r="S1046" s="192"/>
    </row>
    <row r="1047" spans="1:19" ht="20.5" thickTop="1" thickBot="1" x14ac:dyDescent="0.4">
      <c r="A1047" s="184" t="s">
        <v>499</v>
      </c>
      <c r="B1047" s="185" t="s">
        <v>499</v>
      </c>
      <c r="C1047" s="185" t="s">
        <v>499</v>
      </c>
      <c r="D1047" s="186" t="s">
        <v>499</v>
      </c>
      <c r="E1047" s="185" t="s">
        <v>499</v>
      </c>
      <c r="F1047" s="185" t="s">
        <v>499</v>
      </c>
      <c r="G1047" s="187">
        <f t="shared" si="16"/>
        <v>0</v>
      </c>
      <c r="H1047" s="188"/>
      <c r="I1047" s="188"/>
      <c r="J1047" s="188"/>
      <c r="K1047" s="185"/>
      <c r="L1047" s="185"/>
      <c r="M1047" s="185"/>
      <c r="N1047" s="185"/>
      <c r="O1047" s="193"/>
      <c r="P1047" s="193"/>
      <c r="Q1047" s="195"/>
      <c r="R1047" s="191"/>
      <c r="S1047" s="192"/>
    </row>
    <row r="1048" spans="1:19" ht="20.5" thickTop="1" thickBot="1" x14ac:dyDescent="0.4">
      <c r="A1048" s="184" t="s">
        <v>499</v>
      </c>
      <c r="B1048" s="185" t="s">
        <v>499</v>
      </c>
      <c r="C1048" s="185" t="s">
        <v>499</v>
      </c>
      <c r="D1048" s="186" t="s">
        <v>499</v>
      </c>
      <c r="E1048" s="185" t="s">
        <v>499</v>
      </c>
      <c r="F1048" s="185" t="s">
        <v>499</v>
      </c>
      <c r="G1048" s="187">
        <f t="shared" si="16"/>
        <v>0</v>
      </c>
      <c r="H1048" s="188"/>
      <c r="I1048" s="188"/>
      <c r="J1048" s="188"/>
      <c r="K1048" s="185"/>
      <c r="L1048" s="185"/>
      <c r="M1048" s="185"/>
      <c r="N1048" s="185"/>
      <c r="O1048" s="193"/>
      <c r="P1048" s="193"/>
      <c r="Q1048" s="195"/>
      <c r="R1048" s="191"/>
      <c r="S1048" s="192"/>
    </row>
    <row r="1049" spans="1:19" ht="20.5" thickTop="1" thickBot="1" x14ac:dyDescent="0.4">
      <c r="A1049" s="184" t="s">
        <v>499</v>
      </c>
      <c r="B1049" s="185" t="s">
        <v>499</v>
      </c>
      <c r="C1049" s="185" t="s">
        <v>499</v>
      </c>
      <c r="D1049" s="186" t="s">
        <v>499</v>
      </c>
      <c r="E1049" s="185" t="s">
        <v>499</v>
      </c>
      <c r="F1049" s="185" t="s">
        <v>499</v>
      </c>
      <c r="G1049" s="187">
        <f t="shared" si="16"/>
        <v>0</v>
      </c>
      <c r="H1049" s="188"/>
      <c r="I1049" s="188"/>
      <c r="J1049" s="188"/>
      <c r="K1049" s="185"/>
      <c r="L1049" s="185"/>
      <c r="M1049" s="185"/>
      <c r="N1049" s="185"/>
      <c r="O1049" s="193"/>
      <c r="P1049" s="193"/>
      <c r="Q1049" s="195"/>
      <c r="R1049" s="191"/>
      <c r="S1049" s="192"/>
    </row>
    <row r="1050" spans="1:19" ht="20.5" thickTop="1" thickBot="1" x14ac:dyDescent="0.4">
      <c r="A1050" s="184" t="s">
        <v>499</v>
      </c>
      <c r="B1050" s="185" t="s">
        <v>499</v>
      </c>
      <c r="C1050" s="185" t="s">
        <v>499</v>
      </c>
      <c r="D1050" s="186" t="s">
        <v>499</v>
      </c>
      <c r="E1050" s="185" t="s">
        <v>499</v>
      </c>
      <c r="F1050" s="185" t="s">
        <v>499</v>
      </c>
      <c r="G1050" s="187">
        <f t="shared" si="16"/>
        <v>0</v>
      </c>
      <c r="H1050" s="188"/>
      <c r="I1050" s="188"/>
      <c r="J1050" s="188"/>
      <c r="K1050" s="185"/>
      <c r="L1050" s="185"/>
      <c r="M1050" s="185"/>
      <c r="N1050" s="185"/>
      <c r="O1050" s="193"/>
      <c r="P1050" s="193"/>
      <c r="Q1050" s="195"/>
      <c r="R1050" s="191"/>
      <c r="S1050" s="192"/>
    </row>
    <row r="1051" spans="1:19" ht="20.5" thickTop="1" thickBot="1" x14ac:dyDescent="0.4">
      <c r="A1051" s="184" t="s">
        <v>499</v>
      </c>
      <c r="B1051" s="185" t="s">
        <v>499</v>
      </c>
      <c r="C1051" s="185" t="s">
        <v>499</v>
      </c>
      <c r="D1051" s="186" t="s">
        <v>499</v>
      </c>
      <c r="E1051" s="185" t="s">
        <v>499</v>
      </c>
      <c r="F1051" s="185" t="s">
        <v>499</v>
      </c>
      <c r="G1051" s="187">
        <f t="shared" si="16"/>
        <v>0</v>
      </c>
      <c r="H1051" s="188"/>
      <c r="I1051" s="188"/>
      <c r="J1051" s="188"/>
      <c r="K1051" s="185"/>
      <c r="L1051" s="185"/>
      <c r="M1051" s="185"/>
      <c r="N1051" s="185"/>
      <c r="O1051" s="193"/>
      <c r="P1051" s="193"/>
      <c r="Q1051" s="195"/>
      <c r="R1051" s="191"/>
      <c r="S1051" s="192"/>
    </row>
    <row r="1052" spans="1:19" ht="20.5" thickTop="1" thickBot="1" x14ac:dyDescent="0.4">
      <c r="A1052" s="184" t="s">
        <v>499</v>
      </c>
      <c r="B1052" s="185" t="s">
        <v>499</v>
      </c>
      <c r="C1052" s="185" t="s">
        <v>499</v>
      </c>
      <c r="D1052" s="186" t="s">
        <v>499</v>
      </c>
      <c r="E1052" s="185" t="s">
        <v>499</v>
      </c>
      <c r="F1052" s="185" t="s">
        <v>499</v>
      </c>
      <c r="G1052" s="187">
        <f t="shared" si="16"/>
        <v>0</v>
      </c>
      <c r="H1052" s="188"/>
      <c r="I1052" s="188"/>
      <c r="J1052" s="188"/>
      <c r="K1052" s="185"/>
      <c r="L1052" s="185"/>
      <c r="M1052" s="185"/>
      <c r="N1052" s="185"/>
      <c r="O1052" s="193"/>
      <c r="P1052" s="193"/>
      <c r="Q1052" s="195"/>
      <c r="R1052" s="191"/>
      <c r="S1052" s="192"/>
    </row>
    <row r="1053" spans="1:19" ht="20.5" thickTop="1" thickBot="1" x14ac:dyDescent="0.4">
      <c r="A1053" s="184" t="s">
        <v>499</v>
      </c>
      <c r="B1053" s="185" t="s">
        <v>499</v>
      </c>
      <c r="C1053" s="185" t="s">
        <v>499</v>
      </c>
      <c r="D1053" s="186" t="s">
        <v>499</v>
      </c>
      <c r="E1053" s="185" t="s">
        <v>499</v>
      </c>
      <c r="F1053" s="185" t="s">
        <v>499</v>
      </c>
      <c r="G1053" s="187">
        <f t="shared" si="16"/>
        <v>0</v>
      </c>
      <c r="H1053" s="188"/>
      <c r="I1053" s="188"/>
      <c r="J1053" s="188"/>
      <c r="K1053" s="185"/>
      <c r="L1053" s="185"/>
      <c r="M1053" s="185"/>
      <c r="N1053" s="185"/>
      <c r="O1053" s="193"/>
      <c r="P1053" s="193"/>
      <c r="Q1053" s="195"/>
      <c r="R1053" s="191"/>
      <c r="S1053" s="192"/>
    </row>
    <row r="1054" spans="1:19" ht="20.5" thickTop="1" thickBot="1" x14ac:dyDescent="0.4">
      <c r="A1054" s="184" t="s">
        <v>499</v>
      </c>
      <c r="B1054" s="185" t="s">
        <v>499</v>
      </c>
      <c r="C1054" s="185" t="s">
        <v>499</v>
      </c>
      <c r="D1054" s="186" t="s">
        <v>499</v>
      </c>
      <c r="E1054" s="185" t="s">
        <v>499</v>
      </c>
      <c r="F1054" s="185" t="s">
        <v>499</v>
      </c>
      <c r="G1054" s="187">
        <f t="shared" si="16"/>
        <v>0</v>
      </c>
      <c r="H1054" s="188"/>
      <c r="I1054" s="188"/>
      <c r="J1054" s="188"/>
      <c r="K1054" s="185"/>
      <c r="L1054" s="185"/>
      <c r="M1054" s="185"/>
      <c r="N1054" s="185"/>
      <c r="O1054" s="193"/>
      <c r="P1054" s="193"/>
      <c r="Q1054" s="195"/>
      <c r="R1054" s="191"/>
      <c r="S1054" s="192"/>
    </row>
    <row r="1055" spans="1:19" ht="20.5" thickTop="1" thickBot="1" x14ac:dyDescent="0.4">
      <c r="A1055" s="184" t="s">
        <v>499</v>
      </c>
      <c r="B1055" s="185" t="s">
        <v>499</v>
      </c>
      <c r="C1055" s="185" t="s">
        <v>499</v>
      </c>
      <c r="D1055" s="186" t="s">
        <v>499</v>
      </c>
      <c r="E1055" s="185" t="s">
        <v>499</v>
      </c>
      <c r="F1055" s="185" t="s">
        <v>499</v>
      </c>
      <c r="G1055" s="187">
        <f t="shared" si="16"/>
        <v>0</v>
      </c>
      <c r="H1055" s="188"/>
      <c r="I1055" s="188"/>
      <c r="J1055" s="188"/>
      <c r="K1055" s="185"/>
      <c r="L1055" s="185"/>
      <c r="M1055" s="185"/>
      <c r="N1055" s="185"/>
      <c r="O1055" s="193"/>
      <c r="P1055" s="193"/>
      <c r="Q1055" s="195"/>
      <c r="R1055" s="191"/>
      <c r="S1055" s="192"/>
    </row>
    <row r="1056" spans="1:19" ht="20.5" thickTop="1" thickBot="1" x14ac:dyDescent="0.4">
      <c r="A1056" s="184" t="s">
        <v>499</v>
      </c>
      <c r="B1056" s="185" t="s">
        <v>499</v>
      </c>
      <c r="C1056" s="185" t="s">
        <v>499</v>
      </c>
      <c r="D1056" s="186" t="s">
        <v>499</v>
      </c>
      <c r="E1056" s="185" t="s">
        <v>499</v>
      </c>
      <c r="F1056" s="185" t="s">
        <v>499</v>
      </c>
      <c r="G1056" s="187">
        <f t="shared" si="16"/>
        <v>0</v>
      </c>
      <c r="H1056" s="188"/>
      <c r="I1056" s="188"/>
      <c r="J1056" s="188"/>
      <c r="K1056" s="185"/>
      <c r="L1056" s="185"/>
      <c r="M1056" s="185"/>
      <c r="N1056" s="185"/>
      <c r="O1056" s="193"/>
      <c r="P1056" s="193"/>
      <c r="Q1056" s="195"/>
      <c r="R1056" s="191"/>
      <c r="S1056" s="192"/>
    </row>
    <row r="1057" spans="1:19" ht="20.5" thickTop="1" thickBot="1" x14ac:dyDescent="0.4">
      <c r="A1057" s="184" t="s">
        <v>499</v>
      </c>
      <c r="B1057" s="185" t="s">
        <v>499</v>
      </c>
      <c r="C1057" s="185" t="s">
        <v>499</v>
      </c>
      <c r="D1057" s="186" t="s">
        <v>499</v>
      </c>
      <c r="E1057" s="185" t="s">
        <v>499</v>
      </c>
      <c r="F1057" s="185" t="s">
        <v>499</v>
      </c>
      <c r="G1057" s="187">
        <f t="shared" si="16"/>
        <v>0</v>
      </c>
      <c r="H1057" s="188"/>
      <c r="I1057" s="188"/>
      <c r="J1057" s="188"/>
      <c r="K1057" s="185"/>
      <c r="L1057" s="185"/>
      <c r="M1057" s="185"/>
      <c r="N1057" s="185"/>
      <c r="O1057" s="193"/>
      <c r="P1057" s="193"/>
      <c r="Q1057" s="195"/>
      <c r="R1057" s="191"/>
      <c r="S1057" s="192"/>
    </row>
    <row r="1058" spans="1:19" ht="20.5" thickTop="1" thickBot="1" x14ac:dyDescent="0.4">
      <c r="A1058" s="184" t="s">
        <v>499</v>
      </c>
      <c r="B1058" s="185" t="s">
        <v>499</v>
      </c>
      <c r="C1058" s="185" t="s">
        <v>499</v>
      </c>
      <c r="D1058" s="186" t="s">
        <v>499</v>
      </c>
      <c r="E1058" s="185" t="s">
        <v>499</v>
      </c>
      <c r="F1058" s="185" t="s">
        <v>499</v>
      </c>
      <c r="G1058" s="187">
        <f t="shared" si="16"/>
        <v>0</v>
      </c>
      <c r="H1058" s="188"/>
      <c r="I1058" s="188"/>
      <c r="J1058" s="188"/>
      <c r="K1058" s="185"/>
      <c r="L1058" s="185"/>
      <c r="M1058" s="185"/>
      <c r="N1058" s="185"/>
      <c r="O1058" s="193"/>
      <c r="P1058" s="193"/>
      <c r="Q1058" s="195"/>
      <c r="R1058" s="191"/>
      <c r="S1058" s="192"/>
    </row>
    <row r="1059" spans="1:19" ht="20.5" thickTop="1" thickBot="1" x14ac:dyDescent="0.4">
      <c r="A1059" s="184" t="s">
        <v>499</v>
      </c>
      <c r="B1059" s="185" t="s">
        <v>499</v>
      </c>
      <c r="C1059" s="185" t="s">
        <v>499</v>
      </c>
      <c r="D1059" s="186" t="s">
        <v>499</v>
      </c>
      <c r="E1059" s="185" t="s">
        <v>499</v>
      </c>
      <c r="F1059" s="185" t="s">
        <v>499</v>
      </c>
      <c r="G1059" s="187">
        <f t="shared" si="16"/>
        <v>0</v>
      </c>
      <c r="H1059" s="188"/>
      <c r="I1059" s="188"/>
      <c r="J1059" s="188"/>
      <c r="K1059" s="185"/>
      <c r="L1059" s="185"/>
      <c r="M1059" s="185"/>
      <c r="N1059" s="185"/>
      <c r="O1059" s="193"/>
      <c r="P1059" s="193"/>
      <c r="Q1059" s="195"/>
      <c r="R1059" s="191"/>
      <c r="S1059" s="192"/>
    </row>
    <row r="1060" spans="1:19" ht="20.5" thickTop="1" thickBot="1" x14ac:dyDescent="0.4">
      <c r="A1060" s="184" t="s">
        <v>499</v>
      </c>
      <c r="B1060" s="185" t="s">
        <v>499</v>
      </c>
      <c r="C1060" s="185" t="s">
        <v>499</v>
      </c>
      <c r="D1060" s="186" t="s">
        <v>499</v>
      </c>
      <c r="E1060" s="185" t="s">
        <v>499</v>
      </c>
      <c r="F1060" s="185" t="s">
        <v>499</v>
      </c>
      <c r="G1060" s="187">
        <f t="shared" si="16"/>
        <v>0</v>
      </c>
      <c r="H1060" s="188"/>
      <c r="I1060" s="188"/>
      <c r="J1060" s="188"/>
      <c r="K1060" s="185"/>
      <c r="L1060" s="185"/>
      <c r="M1060" s="185"/>
      <c r="N1060" s="185"/>
      <c r="O1060" s="193"/>
      <c r="P1060" s="193"/>
      <c r="Q1060" s="195"/>
      <c r="R1060" s="191"/>
      <c r="S1060" s="192"/>
    </row>
    <row r="1061" spans="1:19" ht="20.5" thickTop="1" thickBot="1" x14ac:dyDescent="0.4">
      <c r="A1061" s="184" t="s">
        <v>499</v>
      </c>
      <c r="B1061" s="185" t="s">
        <v>499</v>
      </c>
      <c r="C1061" s="185" t="s">
        <v>499</v>
      </c>
      <c r="D1061" s="186" t="s">
        <v>499</v>
      </c>
      <c r="E1061" s="185" t="s">
        <v>499</v>
      </c>
      <c r="F1061" s="185" t="s">
        <v>499</v>
      </c>
      <c r="G1061" s="187">
        <f t="shared" si="16"/>
        <v>0</v>
      </c>
      <c r="H1061" s="188"/>
      <c r="I1061" s="188"/>
      <c r="J1061" s="188"/>
      <c r="K1061" s="185"/>
      <c r="L1061" s="185"/>
      <c r="M1061" s="185"/>
      <c r="N1061" s="185"/>
      <c r="O1061" s="193"/>
      <c r="P1061" s="193"/>
      <c r="Q1061" s="195"/>
      <c r="R1061" s="191"/>
      <c r="S1061" s="192"/>
    </row>
    <row r="1062" spans="1:19" ht="20.5" thickTop="1" thickBot="1" x14ac:dyDescent="0.4">
      <c r="A1062" s="184" t="s">
        <v>499</v>
      </c>
      <c r="B1062" s="185" t="s">
        <v>499</v>
      </c>
      <c r="C1062" s="185" t="s">
        <v>499</v>
      </c>
      <c r="D1062" s="186" t="s">
        <v>499</v>
      </c>
      <c r="E1062" s="185" t="s">
        <v>499</v>
      </c>
      <c r="F1062" s="185" t="s">
        <v>499</v>
      </c>
      <c r="G1062" s="187">
        <f t="shared" si="16"/>
        <v>0</v>
      </c>
      <c r="H1062" s="188"/>
      <c r="I1062" s="188"/>
      <c r="J1062" s="188"/>
      <c r="K1062" s="185"/>
      <c r="L1062" s="185"/>
      <c r="M1062" s="185"/>
      <c r="N1062" s="185"/>
      <c r="O1062" s="193"/>
      <c r="P1062" s="193"/>
      <c r="Q1062" s="195"/>
      <c r="R1062" s="191"/>
      <c r="S1062" s="192"/>
    </row>
    <row r="1063" spans="1:19" ht="20.5" thickTop="1" thickBot="1" x14ac:dyDescent="0.4">
      <c r="A1063" s="184" t="s">
        <v>499</v>
      </c>
      <c r="B1063" s="185" t="s">
        <v>499</v>
      </c>
      <c r="C1063" s="185" t="s">
        <v>499</v>
      </c>
      <c r="D1063" s="186" t="s">
        <v>499</v>
      </c>
      <c r="E1063" s="185" t="s">
        <v>499</v>
      </c>
      <c r="F1063" s="185" t="s">
        <v>499</v>
      </c>
      <c r="G1063" s="187">
        <f t="shared" si="16"/>
        <v>0</v>
      </c>
      <c r="H1063" s="188"/>
      <c r="I1063" s="188"/>
      <c r="J1063" s="188"/>
      <c r="K1063" s="185"/>
      <c r="L1063" s="185"/>
      <c r="M1063" s="185"/>
      <c r="N1063" s="185"/>
      <c r="O1063" s="193"/>
      <c r="P1063" s="193"/>
      <c r="Q1063" s="195"/>
      <c r="R1063" s="191"/>
      <c r="S1063" s="192"/>
    </row>
    <row r="1064" spans="1:19" ht="20.5" thickTop="1" thickBot="1" x14ac:dyDescent="0.4">
      <c r="A1064" s="184" t="s">
        <v>499</v>
      </c>
      <c r="B1064" s="185" t="s">
        <v>499</v>
      </c>
      <c r="C1064" s="185" t="s">
        <v>499</v>
      </c>
      <c r="D1064" s="186" t="s">
        <v>499</v>
      </c>
      <c r="E1064" s="185" t="s">
        <v>499</v>
      </c>
      <c r="F1064" s="185" t="s">
        <v>499</v>
      </c>
      <c r="G1064" s="187">
        <f t="shared" si="16"/>
        <v>0</v>
      </c>
      <c r="H1064" s="188"/>
      <c r="I1064" s="188"/>
      <c r="J1064" s="188"/>
      <c r="K1064" s="185"/>
      <c r="L1064" s="185"/>
      <c r="M1064" s="185"/>
      <c r="N1064" s="185"/>
      <c r="O1064" s="193"/>
      <c r="P1064" s="193"/>
      <c r="Q1064" s="195"/>
      <c r="R1064" s="191"/>
      <c r="S1064" s="192"/>
    </row>
    <row r="1065" spans="1:19" ht="20.5" thickTop="1" thickBot="1" x14ac:dyDescent="0.4">
      <c r="A1065" s="184" t="s">
        <v>499</v>
      </c>
      <c r="B1065" s="185" t="s">
        <v>499</v>
      </c>
      <c r="C1065" s="185" t="s">
        <v>499</v>
      </c>
      <c r="D1065" s="186" t="s">
        <v>499</v>
      </c>
      <c r="E1065" s="185" t="s">
        <v>499</v>
      </c>
      <c r="F1065" s="185" t="s">
        <v>499</v>
      </c>
      <c r="G1065" s="187">
        <f t="shared" si="16"/>
        <v>0</v>
      </c>
      <c r="H1065" s="188"/>
      <c r="I1065" s="188"/>
      <c r="J1065" s="188"/>
      <c r="K1065" s="185"/>
      <c r="L1065" s="185"/>
      <c r="M1065" s="185"/>
      <c r="N1065" s="185"/>
      <c r="O1065" s="193"/>
      <c r="P1065" s="193"/>
      <c r="Q1065" s="195"/>
      <c r="R1065" s="191"/>
      <c r="S1065" s="192"/>
    </row>
    <row r="1066" spans="1:19" ht="20.5" thickTop="1" thickBot="1" x14ac:dyDescent="0.4">
      <c r="A1066" s="184" t="s">
        <v>499</v>
      </c>
      <c r="B1066" s="185" t="s">
        <v>499</v>
      </c>
      <c r="C1066" s="185" t="s">
        <v>499</v>
      </c>
      <c r="D1066" s="186" t="s">
        <v>499</v>
      </c>
      <c r="E1066" s="185" t="s">
        <v>499</v>
      </c>
      <c r="F1066" s="185" t="s">
        <v>499</v>
      </c>
      <c r="G1066" s="187">
        <f t="shared" si="16"/>
        <v>0</v>
      </c>
      <c r="H1066" s="188"/>
      <c r="I1066" s="188"/>
      <c r="J1066" s="188"/>
      <c r="K1066" s="185"/>
      <c r="L1066" s="185"/>
      <c r="M1066" s="185"/>
      <c r="N1066" s="185"/>
      <c r="O1066" s="193"/>
      <c r="P1066" s="193"/>
      <c r="Q1066" s="195"/>
      <c r="R1066" s="191"/>
      <c r="S1066" s="192"/>
    </row>
    <row r="1067" spans="1:19" ht="20.5" thickTop="1" thickBot="1" x14ac:dyDescent="0.4">
      <c r="A1067" s="184" t="s">
        <v>499</v>
      </c>
      <c r="B1067" s="185" t="s">
        <v>499</v>
      </c>
      <c r="C1067" s="185" t="s">
        <v>499</v>
      </c>
      <c r="D1067" s="186" t="s">
        <v>499</v>
      </c>
      <c r="E1067" s="185" t="s">
        <v>499</v>
      </c>
      <c r="F1067" s="185" t="s">
        <v>499</v>
      </c>
      <c r="G1067" s="187">
        <f t="shared" si="16"/>
        <v>0</v>
      </c>
      <c r="H1067" s="188"/>
      <c r="I1067" s="188"/>
      <c r="J1067" s="188"/>
      <c r="K1067" s="185"/>
      <c r="L1067" s="185"/>
      <c r="M1067" s="185"/>
      <c r="N1067" s="185"/>
      <c r="O1067" s="193"/>
      <c r="P1067" s="193"/>
      <c r="Q1067" s="195"/>
      <c r="R1067" s="191"/>
      <c r="S1067" s="192"/>
    </row>
    <row r="1068" spans="1:19" ht="20.5" thickTop="1" thickBot="1" x14ac:dyDescent="0.4">
      <c r="A1068" s="184" t="s">
        <v>499</v>
      </c>
      <c r="B1068" s="185" t="s">
        <v>499</v>
      </c>
      <c r="C1068" s="185" t="s">
        <v>499</v>
      </c>
      <c r="D1068" s="186" t="s">
        <v>499</v>
      </c>
      <c r="E1068" s="185" t="s">
        <v>499</v>
      </c>
      <c r="F1068" s="185" t="s">
        <v>499</v>
      </c>
      <c r="G1068" s="187">
        <f t="shared" si="16"/>
        <v>0</v>
      </c>
      <c r="H1068" s="188"/>
      <c r="I1068" s="188"/>
      <c r="J1068" s="188"/>
      <c r="K1068" s="185"/>
      <c r="L1068" s="185"/>
      <c r="M1068" s="185"/>
      <c r="N1068" s="185"/>
      <c r="O1068" s="193"/>
      <c r="P1068" s="193"/>
      <c r="Q1068" s="195"/>
      <c r="R1068" s="191"/>
      <c r="S1068" s="192"/>
    </row>
    <row r="1069" spans="1:19" ht="20.5" thickTop="1" thickBot="1" x14ac:dyDescent="0.4">
      <c r="A1069" s="184" t="s">
        <v>499</v>
      </c>
      <c r="B1069" s="185" t="s">
        <v>499</v>
      </c>
      <c r="C1069" s="185" t="s">
        <v>499</v>
      </c>
      <c r="D1069" s="186" t="s">
        <v>499</v>
      </c>
      <c r="E1069" s="185" t="s">
        <v>499</v>
      </c>
      <c r="F1069" s="185" t="s">
        <v>499</v>
      </c>
      <c r="G1069" s="187">
        <f t="shared" si="16"/>
        <v>0</v>
      </c>
      <c r="H1069" s="188"/>
      <c r="I1069" s="188"/>
      <c r="J1069" s="188"/>
      <c r="K1069" s="185"/>
      <c r="L1069" s="185"/>
      <c r="M1069" s="185"/>
      <c r="N1069" s="185"/>
      <c r="O1069" s="193"/>
      <c r="P1069" s="193"/>
      <c r="Q1069" s="195"/>
      <c r="R1069" s="191"/>
      <c r="S1069" s="192"/>
    </row>
    <row r="1070" spans="1:19" ht="20.5" thickTop="1" thickBot="1" x14ac:dyDescent="0.4">
      <c r="A1070" s="184" t="s">
        <v>499</v>
      </c>
      <c r="B1070" s="185" t="s">
        <v>499</v>
      </c>
      <c r="C1070" s="185" t="s">
        <v>499</v>
      </c>
      <c r="D1070" s="186" t="s">
        <v>499</v>
      </c>
      <c r="E1070" s="185" t="s">
        <v>499</v>
      </c>
      <c r="F1070" s="185" t="s">
        <v>499</v>
      </c>
      <c r="G1070" s="187">
        <f t="shared" si="16"/>
        <v>0</v>
      </c>
      <c r="H1070" s="188"/>
      <c r="I1070" s="188"/>
      <c r="J1070" s="188"/>
      <c r="K1070" s="185"/>
      <c r="L1070" s="185"/>
      <c r="M1070" s="185"/>
      <c r="N1070" s="185"/>
      <c r="O1070" s="193"/>
      <c r="P1070" s="193"/>
      <c r="Q1070" s="195"/>
      <c r="R1070" s="191"/>
      <c r="S1070" s="192"/>
    </row>
    <row r="1071" spans="1:19" ht="20.5" thickTop="1" thickBot="1" x14ac:dyDescent="0.4">
      <c r="A1071" s="184" t="s">
        <v>499</v>
      </c>
      <c r="B1071" s="185" t="s">
        <v>499</v>
      </c>
      <c r="C1071" s="185" t="s">
        <v>499</v>
      </c>
      <c r="D1071" s="186" t="s">
        <v>499</v>
      </c>
      <c r="E1071" s="185" t="s">
        <v>499</v>
      </c>
      <c r="F1071" s="185" t="s">
        <v>499</v>
      </c>
      <c r="G1071" s="187">
        <f t="shared" si="16"/>
        <v>0</v>
      </c>
      <c r="H1071" s="188"/>
      <c r="I1071" s="188"/>
      <c r="J1071" s="188"/>
      <c r="K1071" s="185"/>
      <c r="L1071" s="185"/>
      <c r="M1071" s="185"/>
      <c r="N1071" s="185"/>
      <c r="O1071" s="193"/>
      <c r="P1071" s="193"/>
      <c r="Q1071" s="195"/>
      <c r="R1071" s="191"/>
      <c r="S1071" s="192"/>
    </row>
    <row r="1072" spans="1:19" ht="20.5" thickTop="1" thickBot="1" x14ac:dyDescent="0.4">
      <c r="A1072" s="184" t="s">
        <v>499</v>
      </c>
      <c r="B1072" s="185" t="s">
        <v>499</v>
      </c>
      <c r="C1072" s="185" t="s">
        <v>499</v>
      </c>
      <c r="D1072" s="186" t="s">
        <v>499</v>
      </c>
      <c r="E1072" s="185" t="s">
        <v>499</v>
      </c>
      <c r="F1072" s="185" t="s">
        <v>499</v>
      </c>
      <c r="G1072" s="187">
        <f t="shared" si="16"/>
        <v>0</v>
      </c>
      <c r="H1072" s="188"/>
      <c r="I1072" s="188"/>
      <c r="J1072" s="188"/>
      <c r="K1072" s="185"/>
      <c r="L1072" s="185"/>
      <c r="M1072" s="185"/>
      <c r="N1072" s="185"/>
      <c r="O1072" s="193"/>
      <c r="P1072" s="193"/>
      <c r="Q1072" s="195"/>
      <c r="R1072" s="191"/>
      <c r="S1072" s="192"/>
    </row>
    <row r="1073" spans="1:19" ht="20.5" thickTop="1" thickBot="1" x14ac:dyDescent="0.4">
      <c r="A1073" s="184" t="s">
        <v>499</v>
      </c>
      <c r="B1073" s="185" t="s">
        <v>499</v>
      </c>
      <c r="C1073" s="185" t="s">
        <v>499</v>
      </c>
      <c r="D1073" s="186" t="s">
        <v>499</v>
      </c>
      <c r="E1073" s="185" t="s">
        <v>499</v>
      </c>
      <c r="F1073" s="185" t="s">
        <v>499</v>
      </c>
      <c r="G1073" s="187">
        <f t="shared" si="16"/>
        <v>0</v>
      </c>
      <c r="H1073" s="188"/>
      <c r="I1073" s="188"/>
      <c r="J1073" s="188"/>
      <c r="K1073" s="185"/>
      <c r="L1073" s="185"/>
      <c r="M1073" s="185"/>
      <c r="N1073" s="185"/>
      <c r="O1073" s="193"/>
      <c r="P1073" s="193"/>
      <c r="Q1073" s="195"/>
      <c r="R1073" s="191"/>
      <c r="S1073" s="192"/>
    </row>
    <row r="1074" spans="1:19" ht="20.5" thickTop="1" thickBot="1" x14ac:dyDescent="0.4">
      <c r="A1074" s="184" t="s">
        <v>499</v>
      </c>
      <c r="B1074" s="185" t="s">
        <v>499</v>
      </c>
      <c r="C1074" s="185" t="s">
        <v>499</v>
      </c>
      <c r="D1074" s="186" t="s">
        <v>499</v>
      </c>
      <c r="E1074" s="185" t="s">
        <v>499</v>
      </c>
      <c r="F1074" s="185" t="s">
        <v>499</v>
      </c>
      <c r="G1074" s="187">
        <f t="shared" si="16"/>
        <v>0</v>
      </c>
      <c r="H1074" s="188"/>
      <c r="I1074" s="188"/>
      <c r="J1074" s="188"/>
      <c r="K1074" s="185"/>
      <c r="L1074" s="185"/>
      <c r="M1074" s="185"/>
      <c r="N1074" s="185"/>
      <c r="O1074" s="193"/>
      <c r="P1074" s="193"/>
      <c r="Q1074" s="195"/>
      <c r="R1074" s="191"/>
      <c r="S1074" s="192"/>
    </row>
    <row r="1075" spans="1:19" ht="20.5" thickTop="1" thickBot="1" x14ac:dyDescent="0.4">
      <c r="A1075" s="184" t="s">
        <v>499</v>
      </c>
      <c r="B1075" s="185" t="s">
        <v>499</v>
      </c>
      <c r="C1075" s="185" t="s">
        <v>499</v>
      </c>
      <c r="D1075" s="186" t="s">
        <v>499</v>
      </c>
      <c r="E1075" s="185" t="s">
        <v>499</v>
      </c>
      <c r="F1075" s="185" t="s">
        <v>499</v>
      </c>
      <c r="G1075" s="187">
        <f t="shared" si="16"/>
        <v>0</v>
      </c>
      <c r="H1075" s="188"/>
      <c r="I1075" s="188"/>
      <c r="J1075" s="188"/>
      <c r="K1075" s="185"/>
      <c r="L1075" s="185"/>
      <c r="M1075" s="185"/>
      <c r="N1075" s="185"/>
      <c r="O1075" s="193"/>
      <c r="P1075" s="193"/>
      <c r="Q1075" s="195"/>
      <c r="R1075" s="191"/>
      <c r="S1075" s="192"/>
    </row>
    <row r="1076" spans="1:19" ht="20.5" thickTop="1" thickBot="1" x14ac:dyDescent="0.4">
      <c r="A1076" s="184" t="s">
        <v>499</v>
      </c>
      <c r="B1076" s="185" t="s">
        <v>499</v>
      </c>
      <c r="C1076" s="185" t="s">
        <v>499</v>
      </c>
      <c r="D1076" s="186" t="s">
        <v>499</v>
      </c>
      <c r="E1076" s="185" t="s">
        <v>499</v>
      </c>
      <c r="F1076" s="185" t="s">
        <v>499</v>
      </c>
      <c r="G1076" s="187">
        <f t="shared" si="16"/>
        <v>0</v>
      </c>
      <c r="H1076" s="188"/>
      <c r="I1076" s="188"/>
      <c r="J1076" s="188"/>
      <c r="K1076" s="185"/>
      <c r="L1076" s="185"/>
      <c r="M1076" s="185"/>
      <c r="N1076" s="185"/>
      <c r="O1076" s="193"/>
      <c r="P1076" s="193"/>
      <c r="Q1076" s="195"/>
      <c r="R1076" s="191"/>
      <c r="S1076" s="192"/>
    </row>
    <row r="1077" spans="1:19" ht="20.5" thickTop="1" thickBot="1" x14ac:dyDescent="0.4">
      <c r="A1077" s="184" t="s">
        <v>499</v>
      </c>
      <c r="B1077" s="185" t="s">
        <v>499</v>
      </c>
      <c r="C1077" s="185" t="s">
        <v>499</v>
      </c>
      <c r="D1077" s="186" t="s">
        <v>499</v>
      </c>
      <c r="E1077" s="185" t="s">
        <v>499</v>
      </c>
      <c r="F1077" s="185" t="s">
        <v>499</v>
      </c>
      <c r="G1077" s="187">
        <f t="shared" si="16"/>
        <v>0</v>
      </c>
      <c r="H1077" s="188"/>
      <c r="I1077" s="188"/>
      <c r="J1077" s="188"/>
      <c r="K1077" s="185"/>
      <c r="L1077" s="185"/>
      <c r="M1077" s="185"/>
      <c r="N1077" s="185"/>
      <c r="O1077" s="193"/>
      <c r="P1077" s="193"/>
      <c r="Q1077" s="195"/>
      <c r="R1077" s="191"/>
      <c r="S1077" s="192"/>
    </row>
    <row r="1078" spans="1:19" ht="20.5" thickTop="1" thickBot="1" x14ac:dyDescent="0.4">
      <c r="A1078" s="184" t="s">
        <v>499</v>
      </c>
      <c r="B1078" s="185" t="s">
        <v>499</v>
      </c>
      <c r="C1078" s="185" t="s">
        <v>499</v>
      </c>
      <c r="D1078" s="186" t="s">
        <v>499</v>
      </c>
      <c r="E1078" s="185" t="s">
        <v>499</v>
      </c>
      <c r="F1078" s="185" t="s">
        <v>499</v>
      </c>
      <c r="G1078" s="187">
        <f t="shared" si="16"/>
        <v>0</v>
      </c>
      <c r="H1078" s="188"/>
      <c r="I1078" s="188"/>
      <c r="J1078" s="188"/>
      <c r="K1078" s="185"/>
      <c r="L1078" s="185"/>
      <c r="M1078" s="185"/>
      <c r="N1078" s="185"/>
      <c r="O1078" s="193"/>
      <c r="P1078" s="193"/>
      <c r="Q1078" s="195"/>
      <c r="R1078" s="191"/>
      <c r="S1078" s="192"/>
    </row>
    <row r="1079" spans="1:19" ht="20.5" thickTop="1" thickBot="1" x14ac:dyDescent="0.4">
      <c r="A1079" s="184" t="s">
        <v>499</v>
      </c>
      <c r="B1079" s="185" t="s">
        <v>499</v>
      </c>
      <c r="C1079" s="185" t="s">
        <v>499</v>
      </c>
      <c r="D1079" s="186" t="s">
        <v>499</v>
      </c>
      <c r="E1079" s="185" t="s">
        <v>499</v>
      </c>
      <c r="F1079" s="185" t="s">
        <v>499</v>
      </c>
      <c r="G1079" s="187">
        <f t="shared" si="16"/>
        <v>0</v>
      </c>
      <c r="H1079" s="188"/>
      <c r="I1079" s="188"/>
      <c r="J1079" s="188"/>
      <c r="K1079" s="185"/>
      <c r="L1079" s="185"/>
      <c r="M1079" s="185"/>
      <c r="N1079" s="185"/>
      <c r="O1079" s="193"/>
      <c r="P1079" s="193"/>
      <c r="Q1079" s="195"/>
      <c r="R1079" s="191"/>
      <c r="S1079" s="192"/>
    </row>
    <row r="1080" spans="1:19" ht="20.5" thickTop="1" thickBot="1" x14ac:dyDescent="0.4">
      <c r="A1080" s="184" t="s">
        <v>499</v>
      </c>
      <c r="B1080" s="185" t="s">
        <v>499</v>
      </c>
      <c r="C1080" s="185" t="s">
        <v>499</v>
      </c>
      <c r="D1080" s="186" t="s">
        <v>499</v>
      </c>
      <c r="E1080" s="185" t="s">
        <v>499</v>
      </c>
      <c r="F1080" s="185" t="s">
        <v>499</v>
      </c>
      <c r="G1080" s="187">
        <f t="shared" si="16"/>
        <v>0</v>
      </c>
      <c r="H1080" s="188"/>
      <c r="I1080" s="188"/>
      <c r="J1080" s="188"/>
      <c r="K1080" s="185"/>
      <c r="L1080" s="185"/>
      <c r="M1080" s="185"/>
      <c r="N1080" s="185"/>
      <c r="O1080" s="193"/>
      <c r="P1080" s="193"/>
      <c r="Q1080" s="195"/>
      <c r="R1080" s="191"/>
      <c r="S1080" s="192"/>
    </row>
    <row r="1081" spans="1:19" ht="20.5" thickTop="1" thickBot="1" x14ac:dyDescent="0.4">
      <c r="A1081" s="184" t="s">
        <v>499</v>
      </c>
      <c r="B1081" s="185" t="s">
        <v>499</v>
      </c>
      <c r="C1081" s="185" t="s">
        <v>499</v>
      </c>
      <c r="D1081" s="186" t="s">
        <v>499</v>
      </c>
      <c r="E1081" s="185" t="s">
        <v>499</v>
      </c>
      <c r="F1081" s="185" t="s">
        <v>499</v>
      </c>
      <c r="G1081" s="187">
        <f t="shared" si="16"/>
        <v>0</v>
      </c>
      <c r="H1081" s="188"/>
      <c r="I1081" s="188"/>
      <c r="J1081" s="188"/>
      <c r="K1081" s="185"/>
      <c r="L1081" s="185"/>
      <c r="M1081" s="185"/>
      <c r="N1081" s="185"/>
      <c r="O1081" s="193"/>
      <c r="P1081" s="193"/>
      <c r="Q1081" s="195"/>
      <c r="R1081" s="191"/>
      <c r="S1081" s="192"/>
    </row>
    <row r="1082" spans="1:19" ht="20.5" thickTop="1" thickBot="1" x14ac:dyDescent="0.4">
      <c r="A1082" s="184" t="s">
        <v>499</v>
      </c>
      <c r="B1082" s="185" t="s">
        <v>499</v>
      </c>
      <c r="C1082" s="185" t="s">
        <v>499</v>
      </c>
      <c r="D1082" s="186" t="s">
        <v>499</v>
      </c>
      <c r="E1082" s="185" t="s">
        <v>499</v>
      </c>
      <c r="F1082" s="185" t="s">
        <v>499</v>
      </c>
      <c r="G1082" s="187">
        <f t="shared" si="16"/>
        <v>0</v>
      </c>
      <c r="H1082" s="188"/>
      <c r="I1082" s="188"/>
      <c r="J1082" s="188"/>
      <c r="K1082" s="185"/>
      <c r="L1082" s="185"/>
      <c r="M1082" s="185"/>
      <c r="N1082" s="185"/>
      <c r="O1082" s="193"/>
      <c r="P1082" s="193"/>
      <c r="Q1082" s="195"/>
      <c r="R1082" s="191"/>
      <c r="S1082" s="192"/>
    </row>
    <row r="1083" spans="1:19" ht="20.5" thickTop="1" thickBot="1" x14ac:dyDescent="0.4">
      <c r="A1083" s="184" t="s">
        <v>499</v>
      </c>
      <c r="B1083" s="185" t="s">
        <v>499</v>
      </c>
      <c r="C1083" s="185" t="s">
        <v>499</v>
      </c>
      <c r="D1083" s="186" t="s">
        <v>499</v>
      </c>
      <c r="E1083" s="185" t="s">
        <v>499</v>
      </c>
      <c r="F1083" s="185" t="s">
        <v>499</v>
      </c>
      <c r="G1083" s="187">
        <f t="shared" si="16"/>
        <v>0</v>
      </c>
      <c r="H1083" s="188"/>
      <c r="I1083" s="188"/>
      <c r="J1083" s="188"/>
      <c r="K1083" s="185"/>
      <c r="L1083" s="185"/>
      <c r="M1083" s="185"/>
      <c r="N1083" s="185"/>
      <c r="O1083" s="193"/>
      <c r="P1083" s="193"/>
      <c r="Q1083" s="195"/>
      <c r="R1083" s="191"/>
      <c r="S1083" s="192"/>
    </row>
    <row r="1084" spans="1:19" ht="20.5" thickTop="1" thickBot="1" x14ac:dyDescent="0.4">
      <c r="A1084" s="184" t="s">
        <v>499</v>
      </c>
      <c r="B1084" s="185" t="s">
        <v>499</v>
      </c>
      <c r="C1084" s="185" t="s">
        <v>499</v>
      </c>
      <c r="D1084" s="186" t="s">
        <v>499</v>
      </c>
      <c r="E1084" s="185" t="s">
        <v>499</v>
      </c>
      <c r="F1084" s="185" t="s">
        <v>499</v>
      </c>
      <c r="G1084" s="187">
        <f t="shared" si="16"/>
        <v>0</v>
      </c>
      <c r="H1084" s="188"/>
      <c r="I1084" s="188"/>
      <c r="J1084" s="188"/>
      <c r="K1084" s="185"/>
      <c r="L1084" s="185"/>
      <c r="M1084" s="185"/>
      <c r="N1084" s="185"/>
      <c r="O1084" s="193"/>
      <c r="P1084" s="193"/>
      <c r="Q1084" s="195"/>
      <c r="R1084" s="191"/>
      <c r="S1084" s="192"/>
    </row>
    <row r="1085" spans="1:19" ht="20.5" thickTop="1" thickBot="1" x14ac:dyDescent="0.4">
      <c r="A1085" s="184" t="s">
        <v>499</v>
      </c>
      <c r="B1085" s="185" t="s">
        <v>499</v>
      </c>
      <c r="C1085" s="185" t="s">
        <v>499</v>
      </c>
      <c r="D1085" s="186" t="s">
        <v>499</v>
      </c>
      <c r="E1085" s="185" t="s">
        <v>499</v>
      </c>
      <c r="F1085" s="185" t="s">
        <v>499</v>
      </c>
      <c r="G1085" s="187">
        <f t="shared" si="16"/>
        <v>0</v>
      </c>
      <c r="H1085" s="188"/>
      <c r="I1085" s="188"/>
      <c r="J1085" s="188"/>
      <c r="K1085" s="185"/>
      <c r="L1085" s="185"/>
      <c r="M1085" s="185"/>
      <c r="N1085" s="185"/>
      <c r="O1085" s="193"/>
      <c r="P1085" s="193"/>
      <c r="Q1085" s="195"/>
      <c r="R1085" s="191"/>
      <c r="S1085" s="192"/>
    </row>
    <row r="1086" spans="1:19" ht="20.5" thickTop="1" thickBot="1" x14ac:dyDescent="0.4">
      <c r="A1086" s="184" t="s">
        <v>499</v>
      </c>
      <c r="B1086" s="185" t="s">
        <v>499</v>
      </c>
      <c r="C1086" s="185" t="s">
        <v>499</v>
      </c>
      <c r="D1086" s="186" t="s">
        <v>499</v>
      </c>
      <c r="E1086" s="185" t="s">
        <v>499</v>
      </c>
      <c r="F1086" s="185" t="s">
        <v>499</v>
      </c>
      <c r="G1086" s="187">
        <f t="shared" si="16"/>
        <v>0</v>
      </c>
      <c r="H1086" s="188"/>
      <c r="I1086" s="188"/>
      <c r="J1086" s="188"/>
      <c r="K1086" s="185"/>
      <c r="L1086" s="185"/>
      <c r="M1086" s="185"/>
      <c r="N1086" s="185"/>
      <c r="O1086" s="193"/>
      <c r="P1086" s="193"/>
      <c r="Q1086" s="195"/>
      <c r="R1086" s="191"/>
      <c r="S1086" s="192"/>
    </row>
    <row r="1087" spans="1:19" ht="20.5" thickTop="1" thickBot="1" x14ac:dyDescent="0.4">
      <c r="A1087" s="184" t="s">
        <v>499</v>
      </c>
      <c r="B1087" s="185" t="s">
        <v>499</v>
      </c>
      <c r="C1087" s="185" t="s">
        <v>499</v>
      </c>
      <c r="D1087" s="186" t="s">
        <v>499</v>
      </c>
      <c r="E1087" s="185" t="s">
        <v>499</v>
      </c>
      <c r="F1087" s="185" t="s">
        <v>499</v>
      </c>
      <c r="G1087" s="187">
        <f t="shared" si="16"/>
        <v>0</v>
      </c>
      <c r="H1087" s="188"/>
      <c r="I1087" s="188"/>
      <c r="J1087" s="188"/>
      <c r="K1087" s="185"/>
      <c r="L1087" s="185"/>
      <c r="M1087" s="185"/>
      <c r="N1087" s="185"/>
      <c r="O1087" s="193"/>
      <c r="P1087" s="193"/>
      <c r="Q1087" s="195"/>
      <c r="R1087" s="191"/>
      <c r="S1087" s="192"/>
    </row>
    <row r="1088" spans="1:19" ht="20.5" thickTop="1" thickBot="1" x14ac:dyDescent="0.4">
      <c r="A1088" s="184" t="s">
        <v>499</v>
      </c>
      <c r="B1088" s="185" t="s">
        <v>499</v>
      </c>
      <c r="C1088" s="185" t="s">
        <v>499</v>
      </c>
      <c r="D1088" s="186" t="s">
        <v>499</v>
      </c>
      <c r="E1088" s="185" t="s">
        <v>499</v>
      </c>
      <c r="F1088" s="185" t="s">
        <v>499</v>
      </c>
      <c r="G1088" s="187">
        <f t="shared" si="16"/>
        <v>0</v>
      </c>
      <c r="H1088" s="188"/>
      <c r="I1088" s="188"/>
      <c r="J1088" s="188"/>
      <c r="K1088" s="185"/>
      <c r="L1088" s="185"/>
      <c r="M1088" s="185"/>
      <c r="N1088" s="185"/>
      <c r="O1088" s="193"/>
      <c r="P1088" s="193"/>
      <c r="Q1088" s="195"/>
      <c r="R1088" s="191"/>
      <c r="S1088" s="192"/>
    </row>
    <row r="1089" spans="1:19" ht="20.5" thickTop="1" thickBot="1" x14ac:dyDescent="0.4">
      <c r="A1089" s="184" t="s">
        <v>499</v>
      </c>
      <c r="B1089" s="185" t="s">
        <v>499</v>
      </c>
      <c r="C1089" s="185" t="s">
        <v>499</v>
      </c>
      <c r="D1089" s="186" t="s">
        <v>499</v>
      </c>
      <c r="E1089" s="185" t="s">
        <v>499</v>
      </c>
      <c r="F1089" s="185" t="s">
        <v>499</v>
      </c>
      <c r="G1089" s="187">
        <f t="shared" si="16"/>
        <v>0</v>
      </c>
      <c r="H1089" s="188"/>
      <c r="I1089" s="188"/>
      <c r="J1089" s="188"/>
      <c r="K1089" s="185"/>
      <c r="L1089" s="185"/>
      <c r="M1089" s="185"/>
      <c r="N1089" s="185"/>
      <c r="O1089" s="193"/>
      <c r="P1089" s="193"/>
      <c r="Q1089" s="195"/>
      <c r="R1089" s="191"/>
      <c r="S1089" s="192"/>
    </row>
    <row r="1090" spans="1:19" ht="20.5" thickTop="1" thickBot="1" x14ac:dyDescent="0.4">
      <c r="A1090" s="184" t="s">
        <v>499</v>
      </c>
      <c r="B1090" s="185" t="s">
        <v>499</v>
      </c>
      <c r="C1090" s="185" t="s">
        <v>499</v>
      </c>
      <c r="D1090" s="186" t="s">
        <v>499</v>
      </c>
      <c r="E1090" s="185" t="s">
        <v>499</v>
      </c>
      <c r="F1090" s="185" t="s">
        <v>499</v>
      </c>
      <c r="G1090" s="187">
        <f t="shared" si="16"/>
        <v>0</v>
      </c>
      <c r="H1090" s="188"/>
      <c r="I1090" s="188"/>
      <c r="J1090" s="188"/>
      <c r="K1090" s="185"/>
      <c r="L1090" s="185"/>
      <c r="M1090" s="185"/>
      <c r="N1090" s="185"/>
      <c r="O1090" s="193"/>
      <c r="P1090" s="193"/>
      <c r="Q1090" s="195"/>
      <c r="R1090" s="191"/>
      <c r="S1090" s="192"/>
    </row>
    <row r="1091" spans="1:19" ht="20.5" thickTop="1" thickBot="1" x14ac:dyDescent="0.4">
      <c r="A1091" s="184" t="s">
        <v>499</v>
      </c>
      <c r="B1091" s="185" t="s">
        <v>499</v>
      </c>
      <c r="C1091" s="185" t="s">
        <v>499</v>
      </c>
      <c r="D1091" s="186" t="s">
        <v>499</v>
      </c>
      <c r="E1091" s="185" t="s">
        <v>499</v>
      </c>
      <c r="F1091" s="185" t="s">
        <v>499</v>
      </c>
      <c r="G1091" s="187">
        <f t="shared" si="16"/>
        <v>0</v>
      </c>
      <c r="H1091" s="188"/>
      <c r="I1091" s="188"/>
      <c r="J1091" s="188"/>
      <c r="K1091" s="185"/>
      <c r="L1091" s="185"/>
      <c r="M1091" s="185"/>
      <c r="N1091" s="185"/>
      <c r="O1091" s="193"/>
      <c r="P1091" s="193"/>
      <c r="Q1091" s="195"/>
      <c r="R1091" s="191"/>
      <c r="S1091" s="192"/>
    </row>
    <row r="1092" spans="1:19" ht="20.5" thickTop="1" thickBot="1" x14ac:dyDescent="0.4">
      <c r="A1092" s="184" t="s">
        <v>499</v>
      </c>
      <c r="B1092" s="185" t="s">
        <v>499</v>
      </c>
      <c r="C1092" s="185" t="s">
        <v>499</v>
      </c>
      <c r="D1092" s="186" t="s">
        <v>499</v>
      </c>
      <c r="E1092" s="185" t="s">
        <v>499</v>
      </c>
      <c r="F1092" s="185" t="s">
        <v>499</v>
      </c>
      <c r="G1092" s="187">
        <f t="shared" si="16"/>
        <v>0</v>
      </c>
      <c r="H1092" s="188"/>
      <c r="I1092" s="188"/>
      <c r="J1092" s="188"/>
      <c r="K1092" s="185"/>
      <c r="L1092" s="185"/>
      <c r="M1092" s="185"/>
      <c r="N1092" s="185"/>
      <c r="O1092" s="193"/>
      <c r="P1092" s="193"/>
      <c r="Q1092" s="195"/>
      <c r="R1092" s="191"/>
      <c r="S1092" s="192"/>
    </row>
    <row r="1093" spans="1:19" ht="20.5" thickTop="1" thickBot="1" x14ac:dyDescent="0.4">
      <c r="A1093" s="184" t="s">
        <v>499</v>
      </c>
      <c r="B1093" s="185" t="s">
        <v>499</v>
      </c>
      <c r="C1093" s="185" t="s">
        <v>499</v>
      </c>
      <c r="D1093" s="186" t="s">
        <v>499</v>
      </c>
      <c r="E1093" s="185" t="s">
        <v>499</v>
      </c>
      <c r="F1093" s="185" t="s">
        <v>499</v>
      </c>
      <c r="G1093" s="187">
        <f t="shared" ref="G1093:G1156" si="17">SUM(H1093:J1093)</f>
        <v>0</v>
      </c>
      <c r="H1093" s="188"/>
      <c r="I1093" s="188"/>
      <c r="J1093" s="188"/>
      <c r="K1093" s="185"/>
      <c r="L1093" s="185"/>
      <c r="M1093" s="185"/>
      <c r="N1093" s="185"/>
      <c r="O1093" s="193"/>
      <c r="P1093" s="193"/>
      <c r="Q1093" s="195"/>
      <c r="R1093" s="191"/>
      <c r="S1093" s="192"/>
    </row>
    <row r="1094" spans="1:19" ht="20.5" thickTop="1" thickBot="1" x14ac:dyDescent="0.4">
      <c r="A1094" s="184" t="s">
        <v>499</v>
      </c>
      <c r="B1094" s="185" t="s">
        <v>499</v>
      </c>
      <c r="C1094" s="185" t="s">
        <v>499</v>
      </c>
      <c r="D1094" s="186" t="s">
        <v>499</v>
      </c>
      <c r="E1094" s="185" t="s">
        <v>499</v>
      </c>
      <c r="F1094" s="185" t="s">
        <v>499</v>
      </c>
      <c r="G1094" s="187">
        <f t="shared" si="17"/>
        <v>0</v>
      </c>
      <c r="H1094" s="188"/>
      <c r="I1094" s="188"/>
      <c r="J1094" s="188"/>
      <c r="K1094" s="185"/>
      <c r="L1094" s="185"/>
      <c r="M1094" s="185"/>
      <c r="N1094" s="185"/>
      <c r="O1094" s="193"/>
      <c r="P1094" s="193"/>
      <c r="Q1094" s="195"/>
      <c r="R1094" s="191"/>
      <c r="S1094" s="192"/>
    </row>
    <row r="1095" spans="1:19" ht="20.5" thickTop="1" thickBot="1" x14ac:dyDescent="0.4">
      <c r="A1095" s="184" t="s">
        <v>499</v>
      </c>
      <c r="B1095" s="185" t="s">
        <v>499</v>
      </c>
      <c r="C1095" s="185" t="s">
        <v>499</v>
      </c>
      <c r="D1095" s="186" t="s">
        <v>499</v>
      </c>
      <c r="E1095" s="185" t="s">
        <v>499</v>
      </c>
      <c r="F1095" s="185" t="s">
        <v>499</v>
      </c>
      <c r="G1095" s="187">
        <f t="shared" si="17"/>
        <v>0</v>
      </c>
      <c r="H1095" s="188"/>
      <c r="I1095" s="188"/>
      <c r="J1095" s="188"/>
      <c r="K1095" s="185"/>
      <c r="L1095" s="185"/>
      <c r="M1095" s="185"/>
      <c r="N1095" s="185"/>
      <c r="O1095" s="193"/>
      <c r="P1095" s="193"/>
      <c r="Q1095" s="195"/>
      <c r="R1095" s="191"/>
      <c r="S1095" s="192"/>
    </row>
    <row r="1096" spans="1:19" ht="20.5" thickTop="1" thickBot="1" x14ac:dyDescent="0.4">
      <c r="A1096" s="184" t="s">
        <v>499</v>
      </c>
      <c r="B1096" s="185" t="s">
        <v>499</v>
      </c>
      <c r="C1096" s="185" t="s">
        <v>499</v>
      </c>
      <c r="D1096" s="186" t="s">
        <v>499</v>
      </c>
      <c r="E1096" s="185" t="s">
        <v>499</v>
      </c>
      <c r="F1096" s="185" t="s">
        <v>499</v>
      </c>
      <c r="G1096" s="187">
        <f t="shared" si="17"/>
        <v>0</v>
      </c>
      <c r="H1096" s="188"/>
      <c r="I1096" s="188"/>
      <c r="J1096" s="188"/>
      <c r="K1096" s="185"/>
      <c r="L1096" s="185"/>
      <c r="M1096" s="185"/>
      <c r="N1096" s="185"/>
      <c r="O1096" s="193"/>
      <c r="P1096" s="193"/>
      <c r="Q1096" s="195"/>
      <c r="R1096" s="191"/>
      <c r="S1096" s="192"/>
    </row>
    <row r="1097" spans="1:19" ht="20.5" thickTop="1" thickBot="1" x14ac:dyDescent="0.4">
      <c r="A1097" s="184" t="s">
        <v>499</v>
      </c>
      <c r="B1097" s="185" t="s">
        <v>499</v>
      </c>
      <c r="C1097" s="185" t="s">
        <v>499</v>
      </c>
      <c r="D1097" s="186" t="s">
        <v>499</v>
      </c>
      <c r="E1097" s="185" t="s">
        <v>499</v>
      </c>
      <c r="F1097" s="185" t="s">
        <v>499</v>
      </c>
      <c r="G1097" s="187">
        <f t="shared" si="17"/>
        <v>0</v>
      </c>
      <c r="H1097" s="188"/>
      <c r="I1097" s="188"/>
      <c r="J1097" s="188"/>
      <c r="K1097" s="185"/>
      <c r="L1097" s="185"/>
      <c r="M1097" s="185"/>
      <c r="N1097" s="185"/>
      <c r="O1097" s="193"/>
      <c r="P1097" s="193"/>
      <c r="Q1097" s="195"/>
      <c r="R1097" s="191"/>
      <c r="S1097" s="192"/>
    </row>
    <row r="1098" spans="1:19" ht="20.5" thickTop="1" thickBot="1" x14ac:dyDescent="0.4">
      <c r="A1098" s="184" t="s">
        <v>499</v>
      </c>
      <c r="B1098" s="185" t="s">
        <v>499</v>
      </c>
      <c r="C1098" s="185" t="s">
        <v>499</v>
      </c>
      <c r="D1098" s="186" t="s">
        <v>499</v>
      </c>
      <c r="E1098" s="185" t="s">
        <v>499</v>
      </c>
      <c r="F1098" s="185" t="s">
        <v>499</v>
      </c>
      <c r="G1098" s="187">
        <f t="shared" si="17"/>
        <v>0</v>
      </c>
      <c r="H1098" s="188"/>
      <c r="I1098" s="188"/>
      <c r="J1098" s="188"/>
      <c r="K1098" s="185"/>
      <c r="L1098" s="185"/>
      <c r="M1098" s="185"/>
      <c r="N1098" s="185"/>
      <c r="O1098" s="193"/>
      <c r="P1098" s="193"/>
      <c r="Q1098" s="195"/>
      <c r="R1098" s="191"/>
      <c r="S1098" s="192"/>
    </row>
    <row r="1099" spans="1:19" ht="20.5" thickTop="1" thickBot="1" x14ac:dyDescent="0.4">
      <c r="A1099" s="184" t="s">
        <v>499</v>
      </c>
      <c r="B1099" s="185" t="s">
        <v>499</v>
      </c>
      <c r="C1099" s="185" t="s">
        <v>499</v>
      </c>
      <c r="D1099" s="186" t="s">
        <v>499</v>
      </c>
      <c r="E1099" s="185" t="s">
        <v>499</v>
      </c>
      <c r="F1099" s="185" t="s">
        <v>499</v>
      </c>
      <c r="G1099" s="187">
        <f t="shared" si="17"/>
        <v>0</v>
      </c>
      <c r="H1099" s="188"/>
      <c r="I1099" s="188"/>
      <c r="J1099" s="188"/>
      <c r="K1099" s="185"/>
      <c r="L1099" s="185"/>
      <c r="M1099" s="185"/>
      <c r="N1099" s="185"/>
      <c r="O1099" s="193"/>
      <c r="P1099" s="193"/>
      <c r="Q1099" s="195"/>
      <c r="R1099" s="191"/>
      <c r="S1099" s="192"/>
    </row>
    <row r="1100" spans="1:19" ht="20.5" thickTop="1" thickBot="1" x14ac:dyDescent="0.4">
      <c r="A1100" s="184" t="s">
        <v>499</v>
      </c>
      <c r="B1100" s="185" t="s">
        <v>499</v>
      </c>
      <c r="C1100" s="185" t="s">
        <v>499</v>
      </c>
      <c r="D1100" s="186" t="s">
        <v>499</v>
      </c>
      <c r="E1100" s="185" t="s">
        <v>499</v>
      </c>
      <c r="F1100" s="185" t="s">
        <v>499</v>
      </c>
      <c r="G1100" s="187">
        <f t="shared" si="17"/>
        <v>0</v>
      </c>
      <c r="H1100" s="188"/>
      <c r="I1100" s="188"/>
      <c r="J1100" s="188"/>
      <c r="K1100" s="185"/>
      <c r="L1100" s="185"/>
      <c r="M1100" s="185"/>
      <c r="N1100" s="185"/>
      <c r="O1100" s="193"/>
      <c r="P1100" s="193"/>
      <c r="Q1100" s="195"/>
      <c r="R1100" s="191"/>
      <c r="S1100" s="192"/>
    </row>
    <row r="1101" spans="1:19" ht="20.5" thickTop="1" thickBot="1" x14ac:dyDescent="0.4">
      <c r="A1101" s="184" t="s">
        <v>499</v>
      </c>
      <c r="B1101" s="185" t="s">
        <v>499</v>
      </c>
      <c r="C1101" s="185" t="s">
        <v>499</v>
      </c>
      <c r="D1101" s="186" t="s">
        <v>499</v>
      </c>
      <c r="E1101" s="185" t="s">
        <v>499</v>
      </c>
      <c r="F1101" s="185" t="s">
        <v>499</v>
      </c>
      <c r="G1101" s="187">
        <f t="shared" si="17"/>
        <v>0</v>
      </c>
      <c r="H1101" s="188"/>
      <c r="I1101" s="188"/>
      <c r="J1101" s="188"/>
      <c r="K1101" s="185"/>
      <c r="L1101" s="185"/>
      <c r="M1101" s="185"/>
      <c r="N1101" s="185"/>
      <c r="O1101" s="193"/>
      <c r="P1101" s="193"/>
      <c r="Q1101" s="195"/>
      <c r="R1101" s="191"/>
      <c r="S1101" s="192"/>
    </row>
    <row r="1102" spans="1:19" ht="20.5" thickTop="1" thickBot="1" x14ac:dyDescent="0.4">
      <c r="A1102" s="184" t="s">
        <v>499</v>
      </c>
      <c r="B1102" s="185" t="s">
        <v>499</v>
      </c>
      <c r="C1102" s="185" t="s">
        <v>499</v>
      </c>
      <c r="D1102" s="186" t="s">
        <v>499</v>
      </c>
      <c r="E1102" s="185" t="s">
        <v>499</v>
      </c>
      <c r="F1102" s="185" t="s">
        <v>499</v>
      </c>
      <c r="G1102" s="187">
        <f t="shared" si="17"/>
        <v>0</v>
      </c>
      <c r="H1102" s="188"/>
      <c r="I1102" s="188"/>
      <c r="J1102" s="188"/>
      <c r="K1102" s="185"/>
      <c r="L1102" s="185"/>
      <c r="M1102" s="185"/>
      <c r="N1102" s="185"/>
      <c r="O1102" s="193"/>
      <c r="P1102" s="193"/>
      <c r="Q1102" s="195"/>
      <c r="R1102" s="191"/>
      <c r="S1102" s="192"/>
    </row>
    <row r="1103" spans="1:19" ht="20.5" thickTop="1" thickBot="1" x14ac:dyDescent="0.4">
      <c r="A1103" s="184" t="s">
        <v>499</v>
      </c>
      <c r="B1103" s="185" t="s">
        <v>499</v>
      </c>
      <c r="C1103" s="185" t="s">
        <v>499</v>
      </c>
      <c r="D1103" s="186" t="s">
        <v>499</v>
      </c>
      <c r="E1103" s="185" t="s">
        <v>499</v>
      </c>
      <c r="F1103" s="185" t="s">
        <v>499</v>
      </c>
      <c r="G1103" s="187">
        <f t="shared" si="17"/>
        <v>0</v>
      </c>
      <c r="H1103" s="188"/>
      <c r="I1103" s="188"/>
      <c r="J1103" s="188"/>
      <c r="K1103" s="185"/>
      <c r="L1103" s="185"/>
      <c r="M1103" s="185"/>
      <c r="N1103" s="185"/>
      <c r="O1103" s="193"/>
      <c r="P1103" s="193"/>
      <c r="Q1103" s="195"/>
      <c r="R1103" s="191"/>
      <c r="S1103" s="192"/>
    </row>
    <row r="1104" spans="1:19" ht="20.5" thickTop="1" thickBot="1" x14ac:dyDescent="0.4">
      <c r="A1104" s="184" t="s">
        <v>499</v>
      </c>
      <c r="B1104" s="185" t="s">
        <v>499</v>
      </c>
      <c r="C1104" s="185" t="s">
        <v>499</v>
      </c>
      <c r="D1104" s="186" t="s">
        <v>499</v>
      </c>
      <c r="E1104" s="185" t="s">
        <v>499</v>
      </c>
      <c r="F1104" s="185" t="s">
        <v>499</v>
      </c>
      <c r="G1104" s="187">
        <f t="shared" si="17"/>
        <v>0</v>
      </c>
      <c r="H1104" s="188"/>
      <c r="I1104" s="188"/>
      <c r="J1104" s="188"/>
      <c r="K1104" s="185"/>
      <c r="L1104" s="185"/>
      <c r="M1104" s="185"/>
      <c r="N1104" s="185"/>
      <c r="O1104" s="193"/>
      <c r="P1104" s="193"/>
      <c r="Q1104" s="195"/>
      <c r="R1104" s="191"/>
      <c r="S1104" s="192"/>
    </row>
    <row r="1105" spans="1:19" ht="20.5" thickTop="1" thickBot="1" x14ac:dyDescent="0.4">
      <c r="A1105" s="184" t="s">
        <v>499</v>
      </c>
      <c r="B1105" s="185" t="s">
        <v>499</v>
      </c>
      <c r="C1105" s="185" t="s">
        <v>499</v>
      </c>
      <c r="D1105" s="186" t="s">
        <v>499</v>
      </c>
      <c r="E1105" s="185" t="s">
        <v>499</v>
      </c>
      <c r="F1105" s="185" t="s">
        <v>499</v>
      </c>
      <c r="G1105" s="187">
        <f t="shared" si="17"/>
        <v>0</v>
      </c>
      <c r="H1105" s="188"/>
      <c r="I1105" s="188"/>
      <c r="J1105" s="188"/>
      <c r="K1105" s="185"/>
      <c r="L1105" s="185"/>
      <c r="M1105" s="185"/>
      <c r="N1105" s="185"/>
      <c r="O1105" s="193"/>
      <c r="P1105" s="193"/>
      <c r="Q1105" s="195"/>
      <c r="R1105" s="191"/>
      <c r="S1105" s="192"/>
    </row>
    <row r="1106" spans="1:19" ht="20.5" thickTop="1" thickBot="1" x14ac:dyDescent="0.4">
      <c r="A1106" s="184" t="s">
        <v>499</v>
      </c>
      <c r="B1106" s="185" t="s">
        <v>499</v>
      </c>
      <c r="C1106" s="185" t="s">
        <v>499</v>
      </c>
      <c r="D1106" s="186" t="s">
        <v>499</v>
      </c>
      <c r="E1106" s="185" t="s">
        <v>499</v>
      </c>
      <c r="F1106" s="185" t="s">
        <v>499</v>
      </c>
      <c r="G1106" s="187">
        <f t="shared" si="17"/>
        <v>0</v>
      </c>
      <c r="H1106" s="188"/>
      <c r="I1106" s="188"/>
      <c r="J1106" s="188"/>
      <c r="K1106" s="185"/>
      <c r="L1106" s="185"/>
      <c r="M1106" s="185"/>
      <c r="N1106" s="185"/>
      <c r="O1106" s="193"/>
      <c r="P1106" s="193"/>
      <c r="Q1106" s="195"/>
      <c r="R1106" s="191"/>
      <c r="S1106" s="192"/>
    </row>
    <row r="1107" spans="1:19" ht="20.5" thickTop="1" thickBot="1" x14ac:dyDescent="0.4">
      <c r="A1107" s="184" t="s">
        <v>499</v>
      </c>
      <c r="B1107" s="185" t="s">
        <v>499</v>
      </c>
      <c r="C1107" s="185" t="s">
        <v>499</v>
      </c>
      <c r="D1107" s="186" t="s">
        <v>499</v>
      </c>
      <c r="E1107" s="185" t="s">
        <v>499</v>
      </c>
      <c r="F1107" s="185" t="s">
        <v>499</v>
      </c>
      <c r="G1107" s="187">
        <f t="shared" si="17"/>
        <v>0</v>
      </c>
      <c r="H1107" s="188"/>
      <c r="I1107" s="188"/>
      <c r="J1107" s="188"/>
      <c r="K1107" s="185"/>
      <c r="L1107" s="185"/>
      <c r="M1107" s="185"/>
      <c r="N1107" s="185"/>
      <c r="O1107" s="193"/>
      <c r="P1107" s="193"/>
      <c r="Q1107" s="195"/>
      <c r="R1107" s="191"/>
      <c r="S1107" s="192"/>
    </row>
    <row r="1108" spans="1:19" ht="20.5" thickTop="1" thickBot="1" x14ac:dyDescent="0.4">
      <c r="A1108" s="184" t="s">
        <v>499</v>
      </c>
      <c r="B1108" s="185" t="s">
        <v>499</v>
      </c>
      <c r="C1108" s="185" t="s">
        <v>499</v>
      </c>
      <c r="D1108" s="186" t="s">
        <v>499</v>
      </c>
      <c r="E1108" s="185" t="s">
        <v>499</v>
      </c>
      <c r="F1108" s="185" t="s">
        <v>499</v>
      </c>
      <c r="G1108" s="187">
        <f t="shared" si="17"/>
        <v>0</v>
      </c>
      <c r="H1108" s="188"/>
      <c r="I1108" s="188"/>
      <c r="J1108" s="188"/>
      <c r="K1108" s="185"/>
      <c r="L1108" s="185"/>
      <c r="M1108" s="185"/>
      <c r="N1108" s="185"/>
      <c r="O1108" s="193"/>
      <c r="P1108" s="193"/>
      <c r="Q1108" s="195"/>
      <c r="R1108" s="191"/>
      <c r="S1108" s="192"/>
    </row>
    <row r="1109" spans="1:19" ht="20.5" thickTop="1" thickBot="1" x14ac:dyDescent="0.4">
      <c r="A1109" s="184" t="s">
        <v>499</v>
      </c>
      <c r="B1109" s="185" t="s">
        <v>499</v>
      </c>
      <c r="C1109" s="185" t="s">
        <v>499</v>
      </c>
      <c r="D1109" s="186" t="s">
        <v>499</v>
      </c>
      <c r="E1109" s="185" t="s">
        <v>499</v>
      </c>
      <c r="F1109" s="185" t="s">
        <v>499</v>
      </c>
      <c r="G1109" s="187">
        <f t="shared" si="17"/>
        <v>0</v>
      </c>
      <c r="H1109" s="188"/>
      <c r="I1109" s="188"/>
      <c r="J1109" s="188"/>
      <c r="K1109" s="185"/>
      <c r="L1109" s="185"/>
      <c r="M1109" s="185"/>
      <c r="N1109" s="185"/>
      <c r="O1109" s="193"/>
      <c r="P1109" s="193"/>
      <c r="Q1109" s="195"/>
      <c r="R1109" s="191"/>
      <c r="S1109" s="192"/>
    </row>
    <row r="1110" spans="1:19" ht="20.5" thickTop="1" thickBot="1" x14ac:dyDescent="0.4">
      <c r="A1110" s="184" t="s">
        <v>499</v>
      </c>
      <c r="B1110" s="185" t="s">
        <v>499</v>
      </c>
      <c r="C1110" s="185" t="s">
        <v>499</v>
      </c>
      <c r="D1110" s="186" t="s">
        <v>499</v>
      </c>
      <c r="E1110" s="185" t="s">
        <v>499</v>
      </c>
      <c r="F1110" s="185" t="s">
        <v>499</v>
      </c>
      <c r="G1110" s="187">
        <f t="shared" si="17"/>
        <v>0</v>
      </c>
      <c r="H1110" s="188"/>
      <c r="I1110" s="188"/>
      <c r="J1110" s="188"/>
      <c r="K1110" s="185"/>
      <c r="L1110" s="185"/>
      <c r="M1110" s="185"/>
      <c r="N1110" s="185"/>
      <c r="O1110" s="193"/>
      <c r="P1110" s="193"/>
      <c r="Q1110" s="195"/>
      <c r="R1110" s="191"/>
      <c r="S1110" s="192"/>
    </row>
    <row r="1111" spans="1:19" ht="20.5" thickTop="1" thickBot="1" x14ac:dyDescent="0.4">
      <c r="A1111" s="184" t="s">
        <v>499</v>
      </c>
      <c r="B1111" s="185" t="s">
        <v>499</v>
      </c>
      <c r="C1111" s="185" t="s">
        <v>499</v>
      </c>
      <c r="D1111" s="186" t="s">
        <v>499</v>
      </c>
      <c r="E1111" s="185" t="s">
        <v>499</v>
      </c>
      <c r="F1111" s="185" t="s">
        <v>499</v>
      </c>
      <c r="G1111" s="187">
        <f t="shared" si="17"/>
        <v>0</v>
      </c>
      <c r="H1111" s="188"/>
      <c r="I1111" s="188"/>
      <c r="J1111" s="188"/>
      <c r="K1111" s="185"/>
      <c r="L1111" s="185"/>
      <c r="M1111" s="185"/>
      <c r="N1111" s="185"/>
      <c r="O1111" s="193"/>
      <c r="P1111" s="193"/>
      <c r="Q1111" s="195"/>
      <c r="R1111" s="191"/>
      <c r="S1111" s="192"/>
    </row>
    <row r="1112" spans="1:19" ht="20.5" thickTop="1" thickBot="1" x14ac:dyDescent="0.4">
      <c r="A1112" s="184" t="s">
        <v>499</v>
      </c>
      <c r="B1112" s="185" t="s">
        <v>499</v>
      </c>
      <c r="C1112" s="185" t="s">
        <v>499</v>
      </c>
      <c r="D1112" s="186" t="s">
        <v>499</v>
      </c>
      <c r="E1112" s="185" t="s">
        <v>499</v>
      </c>
      <c r="F1112" s="185" t="s">
        <v>499</v>
      </c>
      <c r="G1112" s="187">
        <f t="shared" si="17"/>
        <v>0</v>
      </c>
      <c r="H1112" s="188"/>
      <c r="I1112" s="188"/>
      <c r="J1112" s="188"/>
      <c r="K1112" s="185"/>
      <c r="L1112" s="185"/>
      <c r="M1112" s="185"/>
      <c r="N1112" s="185"/>
      <c r="O1112" s="193"/>
      <c r="P1112" s="193"/>
      <c r="Q1112" s="195"/>
      <c r="R1112" s="191"/>
      <c r="S1112" s="192"/>
    </row>
    <row r="1113" spans="1:19" ht="20.5" thickTop="1" thickBot="1" x14ac:dyDescent="0.4">
      <c r="A1113" s="184" t="s">
        <v>499</v>
      </c>
      <c r="B1113" s="185" t="s">
        <v>499</v>
      </c>
      <c r="C1113" s="185" t="s">
        <v>499</v>
      </c>
      <c r="D1113" s="186" t="s">
        <v>499</v>
      </c>
      <c r="E1113" s="185" t="s">
        <v>499</v>
      </c>
      <c r="F1113" s="185" t="s">
        <v>499</v>
      </c>
      <c r="G1113" s="187">
        <f t="shared" si="17"/>
        <v>0</v>
      </c>
      <c r="H1113" s="188"/>
      <c r="I1113" s="188"/>
      <c r="J1113" s="188"/>
      <c r="K1113" s="185"/>
      <c r="L1113" s="185"/>
      <c r="M1113" s="185"/>
      <c r="N1113" s="185"/>
      <c r="O1113" s="193"/>
      <c r="P1113" s="193"/>
      <c r="Q1113" s="195"/>
      <c r="R1113" s="191"/>
      <c r="S1113" s="192"/>
    </row>
    <row r="1114" spans="1:19" ht="20.5" thickTop="1" thickBot="1" x14ac:dyDescent="0.4">
      <c r="A1114" s="184" t="s">
        <v>499</v>
      </c>
      <c r="B1114" s="185" t="s">
        <v>499</v>
      </c>
      <c r="C1114" s="185" t="s">
        <v>499</v>
      </c>
      <c r="D1114" s="186" t="s">
        <v>499</v>
      </c>
      <c r="E1114" s="185" t="s">
        <v>499</v>
      </c>
      <c r="F1114" s="185" t="s">
        <v>499</v>
      </c>
      <c r="G1114" s="187">
        <f t="shared" si="17"/>
        <v>0</v>
      </c>
      <c r="H1114" s="188"/>
      <c r="I1114" s="188"/>
      <c r="J1114" s="188"/>
      <c r="K1114" s="185"/>
      <c r="L1114" s="185"/>
      <c r="M1114" s="185"/>
      <c r="N1114" s="185"/>
      <c r="O1114" s="193"/>
      <c r="P1114" s="193"/>
      <c r="Q1114" s="195"/>
      <c r="R1114" s="191"/>
      <c r="S1114" s="192"/>
    </row>
    <row r="1115" spans="1:19" ht="20.5" thickTop="1" thickBot="1" x14ac:dyDescent="0.4">
      <c r="A1115" s="184" t="s">
        <v>499</v>
      </c>
      <c r="B1115" s="185" t="s">
        <v>499</v>
      </c>
      <c r="C1115" s="185" t="s">
        <v>499</v>
      </c>
      <c r="D1115" s="186" t="s">
        <v>499</v>
      </c>
      <c r="E1115" s="185" t="s">
        <v>499</v>
      </c>
      <c r="F1115" s="185" t="s">
        <v>499</v>
      </c>
      <c r="G1115" s="187">
        <f t="shared" si="17"/>
        <v>0</v>
      </c>
      <c r="H1115" s="188"/>
      <c r="I1115" s="188"/>
      <c r="J1115" s="188"/>
      <c r="K1115" s="185"/>
      <c r="L1115" s="185"/>
      <c r="M1115" s="185"/>
      <c r="N1115" s="185"/>
      <c r="O1115" s="193"/>
      <c r="P1115" s="193"/>
      <c r="Q1115" s="195"/>
      <c r="R1115" s="191"/>
      <c r="S1115" s="192"/>
    </row>
    <row r="1116" spans="1:19" ht="20.5" thickTop="1" thickBot="1" x14ac:dyDescent="0.4">
      <c r="A1116" s="184" t="s">
        <v>499</v>
      </c>
      <c r="B1116" s="185" t="s">
        <v>499</v>
      </c>
      <c r="C1116" s="185" t="s">
        <v>499</v>
      </c>
      <c r="D1116" s="186" t="s">
        <v>499</v>
      </c>
      <c r="E1116" s="185" t="s">
        <v>499</v>
      </c>
      <c r="F1116" s="185" t="s">
        <v>499</v>
      </c>
      <c r="G1116" s="187">
        <f t="shared" si="17"/>
        <v>0</v>
      </c>
      <c r="H1116" s="188"/>
      <c r="I1116" s="188"/>
      <c r="J1116" s="188"/>
      <c r="K1116" s="185"/>
      <c r="L1116" s="185"/>
      <c r="M1116" s="185"/>
      <c r="N1116" s="185"/>
      <c r="O1116" s="193"/>
      <c r="P1116" s="193"/>
      <c r="Q1116" s="195"/>
      <c r="R1116" s="191"/>
      <c r="S1116" s="192"/>
    </row>
    <row r="1117" spans="1:19" ht="20.5" thickTop="1" thickBot="1" x14ac:dyDescent="0.4">
      <c r="A1117" s="184" t="s">
        <v>499</v>
      </c>
      <c r="B1117" s="185" t="s">
        <v>499</v>
      </c>
      <c r="C1117" s="185" t="s">
        <v>499</v>
      </c>
      <c r="D1117" s="186" t="s">
        <v>499</v>
      </c>
      <c r="E1117" s="185" t="s">
        <v>499</v>
      </c>
      <c r="F1117" s="185" t="s">
        <v>499</v>
      </c>
      <c r="G1117" s="187">
        <f t="shared" si="17"/>
        <v>0</v>
      </c>
      <c r="H1117" s="188"/>
      <c r="I1117" s="188"/>
      <c r="J1117" s="188"/>
      <c r="K1117" s="185"/>
      <c r="L1117" s="185"/>
      <c r="M1117" s="185"/>
      <c r="N1117" s="185"/>
      <c r="O1117" s="193"/>
      <c r="P1117" s="193"/>
      <c r="Q1117" s="195"/>
      <c r="R1117" s="191"/>
      <c r="S1117" s="192"/>
    </row>
    <row r="1118" spans="1:19" ht="20.5" thickTop="1" thickBot="1" x14ac:dyDescent="0.4">
      <c r="A1118" s="184" t="s">
        <v>499</v>
      </c>
      <c r="B1118" s="185" t="s">
        <v>499</v>
      </c>
      <c r="C1118" s="185" t="s">
        <v>499</v>
      </c>
      <c r="D1118" s="186" t="s">
        <v>499</v>
      </c>
      <c r="E1118" s="185" t="s">
        <v>499</v>
      </c>
      <c r="F1118" s="185" t="s">
        <v>499</v>
      </c>
      <c r="G1118" s="187">
        <f t="shared" si="17"/>
        <v>0</v>
      </c>
      <c r="H1118" s="188"/>
      <c r="I1118" s="188"/>
      <c r="J1118" s="188"/>
      <c r="K1118" s="185"/>
      <c r="L1118" s="185"/>
      <c r="M1118" s="185"/>
      <c r="N1118" s="185"/>
      <c r="O1118" s="193"/>
      <c r="P1118" s="193"/>
      <c r="Q1118" s="195"/>
      <c r="R1118" s="191"/>
      <c r="S1118" s="192"/>
    </row>
    <row r="1119" spans="1:19" ht="20.5" thickTop="1" thickBot="1" x14ac:dyDescent="0.4">
      <c r="A1119" s="184" t="s">
        <v>499</v>
      </c>
      <c r="B1119" s="185" t="s">
        <v>499</v>
      </c>
      <c r="C1119" s="185" t="s">
        <v>499</v>
      </c>
      <c r="D1119" s="186" t="s">
        <v>499</v>
      </c>
      <c r="E1119" s="185" t="s">
        <v>499</v>
      </c>
      <c r="F1119" s="185" t="s">
        <v>499</v>
      </c>
      <c r="G1119" s="187">
        <f t="shared" si="17"/>
        <v>0</v>
      </c>
      <c r="H1119" s="188"/>
      <c r="I1119" s="188"/>
      <c r="J1119" s="188"/>
      <c r="K1119" s="185"/>
      <c r="L1119" s="185"/>
      <c r="M1119" s="185"/>
      <c r="N1119" s="185"/>
      <c r="O1119" s="193"/>
      <c r="P1119" s="193"/>
      <c r="Q1119" s="195"/>
      <c r="R1119" s="191"/>
      <c r="S1119" s="192"/>
    </row>
    <row r="1120" spans="1:19" ht="20.5" thickTop="1" thickBot="1" x14ac:dyDescent="0.4">
      <c r="A1120" s="184" t="s">
        <v>499</v>
      </c>
      <c r="B1120" s="185" t="s">
        <v>499</v>
      </c>
      <c r="C1120" s="185" t="s">
        <v>499</v>
      </c>
      <c r="D1120" s="186" t="s">
        <v>499</v>
      </c>
      <c r="E1120" s="185" t="s">
        <v>499</v>
      </c>
      <c r="F1120" s="185" t="s">
        <v>499</v>
      </c>
      <c r="G1120" s="187">
        <f t="shared" si="17"/>
        <v>0</v>
      </c>
      <c r="H1120" s="188"/>
      <c r="I1120" s="188"/>
      <c r="J1120" s="188"/>
      <c r="K1120" s="185"/>
      <c r="L1120" s="185"/>
      <c r="M1120" s="185"/>
      <c r="N1120" s="185"/>
      <c r="O1120" s="193"/>
      <c r="P1120" s="193"/>
      <c r="Q1120" s="195"/>
      <c r="R1120" s="191"/>
      <c r="S1120" s="192"/>
    </row>
    <row r="1121" spans="1:19" ht="20.5" thickTop="1" thickBot="1" x14ac:dyDescent="0.4">
      <c r="A1121" s="184" t="s">
        <v>499</v>
      </c>
      <c r="B1121" s="185" t="s">
        <v>499</v>
      </c>
      <c r="C1121" s="185" t="s">
        <v>499</v>
      </c>
      <c r="D1121" s="186" t="s">
        <v>499</v>
      </c>
      <c r="E1121" s="185" t="s">
        <v>499</v>
      </c>
      <c r="F1121" s="185" t="s">
        <v>499</v>
      </c>
      <c r="G1121" s="187">
        <f t="shared" si="17"/>
        <v>0</v>
      </c>
      <c r="H1121" s="188"/>
      <c r="I1121" s="188"/>
      <c r="J1121" s="188"/>
      <c r="K1121" s="185"/>
      <c r="L1121" s="185"/>
      <c r="M1121" s="185"/>
      <c r="N1121" s="185"/>
      <c r="O1121" s="193"/>
      <c r="P1121" s="193"/>
      <c r="Q1121" s="195"/>
      <c r="R1121" s="191"/>
      <c r="S1121" s="192"/>
    </row>
    <row r="1122" spans="1:19" ht="20.5" thickTop="1" thickBot="1" x14ac:dyDescent="0.4">
      <c r="A1122" s="184" t="s">
        <v>499</v>
      </c>
      <c r="B1122" s="185" t="s">
        <v>499</v>
      </c>
      <c r="C1122" s="185" t="s">
        <v>499</v>
      </c>
      <c r="D1122" s="186" t="s">
        <v>499</v>
      </c>
      <c r="E1122" s="185" t="s">
        <v>499</v>
      </c>
      <c r="F1122" s="185" t="s">
        <v>499</v>
      </c>
      <c r="G1122" s="187">
        <f t="shared" si="17"/>
        <v>0</v>
      </c>
      <c r="H1122" s="188"/>
      <c r="I1122" s="188"/>
      <c r="J1122" s="188"/>
      <c r="K1122" s="185"/>
      <c r="L1122" s="185"/>
      <c r="M1122" s="185"/>
      <c r="N1122" s="185"/>
      <c r="O1122" s="193"/>
      <c r="P1122" s="193"/>
      <c r="Q1122" s="195"/>
      <c r="R1122" s="191"/>
      <c r="S1122" s="192"/>
    </row>
    <row r="1123" spans="1:19" ht="20.5" thickTop="1" thickBot="1" x14ac:dyDescent="0.4">
      <c r="A1123" s="184" t="s">
        <v>499</v>
      </c>
      <c r="B1123" s="185" t="s">
        <v>499</v>
      </c>
      <c r="C1123" s="185" t="s">
        <v>499</v>
      </c>
      <c r="D1123" s="186" t="s">
        <v>499</v>
      </c>
      <c r="E1123" s="185" t="s">
        <v>499</v>
      </c>
      <c r="F1123" s="185" t="s">
        <v>499</v>
      </c>
      <c r="G1123" s="187">
        <f t="shared" si="17"/>
        <v>0</v>
      </c>
      <c r="H1123" s="188"/>
      <c r="I1123" s="188"/>
      <c r="J1123" s="188"/>
      <c r="K1123" s="185"/>
      <c r="L1123" s="185"/>
      <c r="M1123" s="185"/>
      <c r="N1123" s="185"/>
      <c r="O1123" s="193"/>
      <c r="P1123" s="193"/>
      <c r="Q1123" s="195"/>
      <c r="R1123" s="191"/>
      <c r="S1123" s="192"/>
    </row>
    <row r="1124" spans="1:19" ht="20.5" thickTop="1" thickBot="1" x14ac:dyDescent="0.4">
      <c r="A1124" s="184" t="s">
        <v>499</v>
      </c>
      <c r="B1124" s="185" t="s">
        <v>499</v>
      </c>
      <c r="C1124" s="185" t="s">
        <v>499</v>
      </c>
      <c r="D1124" s="186" t="s">
        <v>499</v>
      </c>
      <c r="E1124" s="185" t="s">
        <v>499</v>
      </c>
      <c r="F1124" s="185" t="s">
        <v>499</v>
      </c>
      <c r="G1124" s="187">
        <f t="shared" si="17"/>
        <v>0</v>
      </c>
      <c r="H1124" s="188"/>
      <c r="I1124" s="188"/>
      <c r="J1124" s="188"/>
      <c r="K1124" s="185"/>
      <c r="L1124" s="185"/>
      <c r="M1124" s="185"/>
      <c r="N1124" s="185"/>
      <c r="O1124" s="193"/>
      <c r="P1124" s="193"/>
      <c r="Q1124" s="195"/>
      <c r="R1124" s="191"/>
      <c r="S1124" s="192"/>
    </row>
    <row r="1125" spans="1:19" ht="20.5" thickTop="1" thickBot="1" x14ac:dyDescent="0.4">
      <c r="A1125" s="184" t="s">
        <v>499</v>
      </c>
      <c r="B1125" s="185" t="s">
        <v>499</v>
      </c>
      <c r="C1125" s="185" t="s">
        <v>499</v>
      </c>
      <c r="D1125" s="186" t="s">
        <v>499</v>
      </c>
      <c r="E1125" s="185" t="s">
        <v>499</v>
      </c>
      <c r="F1125" s="185" t="s">
        <v>499</v>
      </c>
      <c r="G1125" s="187">
        <f t="shared" si="17"/>
        <v>0</v>
      </c>
      <c r="H1125" s="188"/>
      <c r="I1125" s="188"/>
      <c r="J1125" s="188"/>
      <c r="K1125" s="185"/>
      <c r="L1125" s="185"/>
      <c r="M1125" s="185"/>
      <c r="N1125" s="185"/>
      <c r="O1125" s="193"/>
      <c r="P1125" s="193"/>
      <c r="Q1125" s="195"/>
      <c r="R1125" s="191"/>
      <c r="S1125" s="192"/>
    </row>
    <row r="1126" spans="1:19" ht="20.5" thickTop="1" thickBot="1" x14ac:dyDescent="0.4">
      <c r="A1126" s="184" t="s">
        <v>499</v>
      </c>
      <c r="B1126" s="185" t="s">
        <v>499</v>
      </c>
      <c r="C1126" s="185" t="s">
        <v>499</v>
      </c>
      <c r="D1126" s="186" t="s">
        <v>499</v>
      </c>
      <c r="E1126" s="185" t="s">
        <v>499</v>
      </c>
      <c r="F1126" s="185" t="s">
        <v>499</v>
      </c>
      <c r="G1126" s="187">
        <f t="shared" si="17"/>
        <v>0</v>
      </c>
      <c r="H1126" s="188"/>
      <c r="I1126" s="188"/>
      <c r="J1126" s="188"/>
      <c r="K1126" s="185"/>
      <c r="L1126" s="185"/>
      <c r="M1126" s="185"/>
      <c r="N1126" s="185"/>
      <c r="O1126" s="193"/>
      <c r="P1126" s="193"/>
      <c r="Q1126" s="195"/>
      <c r="R1126" s="191"/>
      <c r="S1126" s="192"/>
    </row>
    <row r="1127" spans="1:19" ht="20.5" thickTop="1" thickBot="1" x14ac:dyDescent="0.4">
      <c r="A1127" s="184" t="s">
        <v>499</v>
      </c>
      <c r="B1127" s="185" t="s">
        <v>499</v>
      </c>
      <c r="C1127" s="185" t="s">
        <v>499</v>
      </c>
      <c r="D1127" s="186" t="s">
        <v>499</v>
      </c>
      <c r="E1127" s="185" t="s">
        <v>499</v>
      </c>
      <c r="F1127" s="185" t="s">
        <v>499</v>
      </c>
      <c r="G1127" s="187">
        <f t="shared" si="17"/>
        <v>0</v>
      </c>
      <c r="H1127" s="188"/>
      <c r="I1127" s="188"/>
      <c r="J1127" s="188"/>
      <c r="K1127" s="185"/>
      <c r="L1127" s="185"/>
      <c r="M1127" s="185"/>
      <c r="N1127" s="185"/>
      <c r="O1127" s="193"/>
      <c r="P1127" s="193"/>
      <c r="Q1127" s="195"/>
      <c r="R1127" s="191"/>
      <c r="S1127" s="192"/>
    </row>
    <row r="1128" spans="1:19" ht="20.5" thickTop="1" thickBot="1" x14ac:dyDescent="0.4">
      <c r="A1128" s="184" t="s">
        <v>499</v>
      </c>
      <c r="B1128" s="185" t="s">
        <v>499</v>
      </c>
      <c r="C1128" s="185" t="s">
        <v>499</v>
      </c>
      <c r="D1128" s="186" t="s">
        <v>499</v>
      </c>
      <c r="E1128" s="185" t="s">
        <v>499</v>
      </c>
      <c r="F1128" s="185" t="s">
        <v>499</v>
      </c>
      <c r="G1128" s="187">
        <f t="shared" si="17"/>
        <v>0</v>
      </c>
      <c r="H1128" s="188"/>
      <c r="I1128" s="188"/>
      <c r="J1128" s="188"/>
      <c r="K1128" s="185"/>
      <c r="L1128" s="185"/>
      <c r="M1128" s="185"/>
      <c r="N1128" s="185"/>
      <c r="O1128" s="193"/>
      <c r="P1128" s="193"/>
      <c r="Q1128" s="195"/>
      <c r="R1128" s="191"/>
      <c r="S1128" s="192"/>
    </row>
    <row r="1129" spans="1:19" ht="20.5" thickTop="1" thickBot="1" x14ac:dyDescent="0.4">
      <c r="A1129" s="184" t="s">
        <v>499</v>
      </c>
      <c r="B1129" s="185" t="s">
        <v>499</v>
      </c>
      <c r="C1129" s="185" t="s">
        <v>499</v>
      </c>
      <c r="D1129" s="186" t="s">
        <v>499</v>
      </c>
      <c r="E1129" s="185" t="s">
        <v>499</v>
      </c>
      <c r="F1129" s="185" t="s">
        <v>499</v>
      </c>
      <c r="G1129" s="187">
        <f t="shared" si="17"/>
        <v>0</v>
      </c>
      <c r="H1129" s="188"/>
      <c r="I1129" s="188"/>
      <c r="J1129" s="188"/>
      <c r="K1129" s="185"/>
      <c r="L1129" s="185"/>
      <c r="M1129" s="185"/>
      <c r="N1129" s="185"/>
      <c r="O1129" s="193"/>
      <c r="P1129" s="193"/>
      <c r="Q1129" s="195"/>
      <c r="R1129" s="191"/>
      <c r="S1129" s="192"/>
    </row>
    <row r="1130" spans="1:19" ht="20.5" thickTop="1" thickBot="1" x14ac:dyDescent="0.4">
      <c r="A1130" s="184" t="s">
        <v>499</v>
      </c>
      <c r="B1130" s="185" t="s">
        <v>499</v>
      </c>
      <c r="C1130" s="185" t="s">
        <v>499</v>
      </c>
      <c r="D1130" s="186" t="s">
        <v>499</v>
      </c>
      <c r="E1130" s="185" t="s">
        <v>499</v>
      </c>
      <c r="F1130" s="185" t="s">
        <v>499</v>
      </c>
      <c r="G1130" s="187">
        <f t="shared" si="17"/>
        <v>0</v>
      </c>
      <c r="H1130" s="188"/>
      <c r="I1130" s="188"/>
      <c r="J1130" s="188"/>
      <c r="K1130" s="185"/>
      <c r="L1130" s="185"/>
      <c r="M1130" s="185"/>
      <c r="N1130" s="185"/>
      <c r="O1130" s="193"/>
      <c r="P1130" s="193"/>
      <c r="Q1130" s="195"/>
      <c r="R1130" s="191"/>
      <c r="S1130" s="192"/>
    </row>
    <row r="1131" spans="1:19" ht="20.5" thickTop="1" thickBot="1" x14ac:dyDescent="0.4">
      <c r="A1131" s="184" t="s">
        <v>499</v>
      </c>
      <c r="B1131" s="185" t="s">
        <v>499</v>
      </c>
      <c r="C1131" s="185" t="s">
        <v>499</v>
      </c>
      <c r="D1131" s="186" t="s">
        <v>499</v>
      </c>
      <c r="E1131" s="185" t="s">
        <v>499</v>
      </c>
      <c r="F1131" s="185" t="s">
        <v>499</v>
      </c>
      <c r="G1131" s="187">
        <f t="shared" si="17"/>
        <v>0</v>
      </c>
      <c r="H1131" s="188"/>
      <c r="I1131" s="188"/>
      <c r="J1131" s="188"/>
      <c r="K1131" s="185"/>
      <c r="L1131" s="185"/>
      <c r="M1131" s="185"/>
      <c r="N1131" s="185"/>
      <c r="O1131" s="193"/>
      <c r="P1131" s="193"/>
      <c r="Q1131" s="195"/>
      <c r="R1131" s="191"/>
      <c r="S1131" s="192"/>
    </row>
    <row r="1132" spans="1:19" ht="20.5" thickTop="1" thickBot="1" x14ac:dyDescent="0.4">
      <c r="A1132" s="184" t="s">
        <v>499</v>
      </c>
      <c r="B1132" s="185" t="s">
        <v>499</v>
      </c>
      <c r="C1132" s="185" t="s">
        <v>499</v>
      </c>
      <c r="D1132" s="186" t="s">
        <v>499</v>
      </c>
      <c r="E1132" s="185" t="s">
        <v>499</v>
      </c>
      <c r="F1132" s="185" t="s">
        <v>499</v>
      </c>
      <c r="G1132" s="187">
        <f t="shared" si="17"/>
        <v>0</v>
      </c>
      <c r="H1132" s="188"/>
      <c r="I1132" s="188"/>
      <c r="J1132" s="188"/>
      <c r="K1132" s="185"/>
      <c r="L1132" s="185"/>
      <c r="M1132" s="185"/>
      <c r="N1132" s="185"/>
      <c r="O1132" s="193"/>
      <c r="P1132" s="193"/>
      <c r="Q1132" s="195"/>
      <c r="R1132" s="191"/>
      <c r="S1132" s="192"/>
    </row>
    <row r="1133" spans="1:19" ht="20.5" thickTop="1" thickBot="1" x14ac:dyDescent="0.4">
      <c r="A1133" s="184" t="s">
        <v>499</v>
      </c>
      <c r="B1133" s="185" t="s">
        <v>499</v>
      </c>
      <c r="C1133" s="185" t="s">
        <v>499</v>
      </c>
      <c r="D1133" s="186" t="s">
        <v>499</v>
      </c>
      <c r="E1133" s="185" t="s">
        <v>499</v>
      </c>
      <c r="F1133" s="185" t="s">
        <v>499</v>
      </c>
      <c r="G1133" s="187">
        <f t="shared" si="17"/>
        <v>0</v>
      </c>
      <c r="H1133" s="188"/>
      <c r="I1133" s="188"/>
      <c r="J1133" s="188"/>
      <c r="K1133" s="185"/>
      <c r="L1133" s="185"/>
      <c r="M1133" s="185"/>
      <c r="N1133" s="185"/>
      <c r="O1133" s="193"/>
      <c r="P1133" s="193"/>
      <c r="Q1133" s="195"/>
      <c r="R1133" s="191"/>
      <c r="S1133" s="192"/>
    </row>
    <row r="1134" spans="1:19" ht="20.5" thickTop="1" thickBot="1" x14ac:dyDescent="0.4">
      <c r="A1134" s="184" t="s">
        <v>499</v>
      </c>
      <c r="B1134" s="185" t="s">
        <v>499</v>
      </c>
      <c r="C1134" s="185" t="s">
        <v>499</v>
      </c>
      <c r="D1134" s="186" t="s">
        <v>499</v>
      </c>
      <c r="E1134" s="185" t="s">
        <v>499</v>
      </c>
      <c r="F1134" s="185" t="s">
        <v>499</v>
      </c>
      <c r="G1134" s="187">
        <f t="shared" si="17"/>
        <v>0</v>
      </c>
      <c r="H1134" s="188"/>
      <c r="I1134" s="188"/>
      <c r="J1134" s="188"/>
      <c r="K1134" s="185"/>
      <c r="L1134" s="185"/>
      <c r="M1134" s="185"/>
      <c r="N1134" s="185"/>
      <c r="O1134" s="193"/>
      <c r="P1134" s="193"/>
      <c r="Q1134" s="195"/>
      <c r="R1134" s="191"/>
      <c r="S1134" s="192"/>
    </row>
    <row r="1135" spans="1:19" ht="20.5" thickTop="1" thickBot="1" x14ac:dyDescent="0.4">
      <c r="A1135" s="184" t="s">
        <v>499</v>
      </c>
      <c r="B1135" s="185" t="s">
        <v>499</v>
      </c>
      <c r="C1135" s="185" t="s">
        <v>499</v>
      </c>
      <c r="D1135" s="186" t="s">
        <v>499</v>
      </c>
      <c r="E1135" s="185" t="s">
        <v>499</v>
      </c>
      <c r="F1135" s="185" t="s">
        <v>499</v>
      </c>
      <c r="G1135" s="187">
        <f t="shared" si="17"/>
        <v>0</v>
      </c>
      <c r="H1135" s="188"/>
      <c r="I1135" s="188"/>
      <c r="J1135" s="188"/>
      <c r="K1135" s="185"/>
      <c r="L1135" s="185"/>
      <c r="M1135" s="185"/>
      <c r="N1135" s="185"/>
      <c r="O1135" s="193"/>
      <c r="P1135" s="193"/>
      <c r="Q1135" s="195"/>
      <c r="R1135" s="191"/>
      <c r="S1135" s="192"/>
    </row>
    <row r="1136" spans="1:19" ht="20.5" thickTop="1" thickBot="1" x14ac:dyDescent="0.4">
      <c r="A1136" s="184" t="s">
        <v>499</v>
      </c>
      <c r="B1136" s="185" t="s">
        <v>499</v>
      </c>
      <c r="C1136" s="185" t="s">
        <v>499</v>
      </c>
      <c r="D1136" s="186" t="s">
        <v>499</v>
      </c>
      <c r="E1136" s="185" t="s">
        <v>499</v>
      </c>
      <c r="F1136" s="185" t="s">
        <v>499</v>
      </c>
      <c r="G1136" s="187">
        <f t="shared" si="17"/>
        <v>0</v>
      </c>
      <c r="H1136" s="188"/>
      <c r="I1136" s="188"/>
      <c r="J1136" s="188"/>
      <c r="K1136" s="185"/>
      <c r="L1136" s="185"/>
      <c r="M1136" s="185"/>
      <c r="N1136" s="185"/>
      <c r="O1136" s="193"/>
      <c r="P1136" s="193"/>
      <c r="Q1136" s="195"/>
      <c r="R1136" s="191"/>
      <c r="S1136" s="192"/>
    </row>
    <row r="1137" spans="1:19" ht="20.5" thickTop="1" thickBot="1" x14ac:dyDescent="0.4">
      <c r="A1137" s="184" t="s">
        <v>499</v>
      </c>
      <c r="B1137" s="185" t="s">
        <v>499</v>
      </c>
      <c r="C1137" s="185" t="s">
        <v>499</v>
      </c>
      <c r="D1137" s="186" t="s">
        <v>499</v>
      </c>
      <c r="E1137" s="185" t="s">
        <v>499</v>
      </c>
      <c r="F1137" s="185" t="s">
        <v>499</v>
      </c>
      <c r="G1137" s="187">
        <f t="shared" si="17"/>
        <v>0</v>
      </c>
      <c r="H1137" s="188"/>
      <c r="I1137" s="188"/>
      <c r="J1137" s="188"/>
      <c r="K1137" s="185"/>
      <c r="L1137" s="185"/>
      <c r="M1137" s="185"/>
      <c r="N1137" s="185"/>
      <c r="O1137" s="193"/>
      <c r="P1137" s="193"/>
      <c r="Q1137" s="195"/>
      <c r="R1137" s="191"/>
      <c r="S1137" s="192"/>
    </row>
    <row r="1138" spans="1:19" ht="20.5" thickTop="1" thickBot="1" x14ac:dyDescent="0.4">
      <c r="A1138" s="184" t="s">
        <v>499</v>
      </c>
      <c r="B1138" s="185" t="s">
        <v>499</v>
      </c>
      <c r="C1138" s="185" t="s">
        <v>499</v>
      </c>
      <c r="D1138" s="186" t="s">
        <v>499</v>
      </c>
      <c r="E1138" s="185" t="s">
        <v>499</v>
      </c>
      <c r="F1138" s="185" t="s">
        <v>499</v>
      </c>
      <c r="G1138" s="187">
        <f t="shared" si="17"/>
        <v>0</v>
      </c>
      <c r="H1138" s="188"/>
      <c r="I1138" s="188"/>
      <c r="J1138" s="188"/>
      <c r="K1138" s="185"/>
      <c r="L1138" s="185"/>
      <c r="M1138" s="185"/>
      <c r="N1138" s="185"/>
      <c r="O1138" s="193"/>
      <c r="P1138" s="193"/>
      <c r="Q1138" s="195"/>
      <c r="R1138" s="191"/>
      <c r="S1138" s="192"/>
    </row>
    <row r="1139" spans="1:19" ht="20.5" thickTop="1" thickBot="1" x14ac:dyDescent="0.4">
      <c r="A1139" s="184" t="s">
        <v>499</v>
      </c>
      <c r="B1139" s="185" t="s">
        <v>499</v>
      </c>
      <c r="C1139" s="185" t="s">
        <v>499</v>
      </c>
      <c r="D1139" s="186" t="s">
        <v>499</v>
      </c>
      <c r="E1139" s="185" t="s">
        <v>499</v>
      </c>
      <c r="F1139" s="185" t="s">
        <v>499</v>
      </c>
      <c r="G1139" s="187">
        <f t="shared" si="17"/>
        <v>0</v>
      </c>
      <c r="H1139" s="188"/>
      <c r="I1139" s="188"/>
      <c r="J1139" s="188"/>
      <c r="K1139" s="185"/>
      <c r="L1139" s="185"/>
      <c r="M1139" s="185"/>
      <c r="N1139" s="185"/>
      <c r="O1139" s="193"/>
      <c r="P1139" s="193"/>
      <c r="Q1139" s="195"/>
      <c r="R1139" s="191"/>
      <c r="S1139" s="192"/>
    </row>
    <row r="1140" spans="1:19" ht="20.5" thickTop="1" thickBot="1" x14ac:dyDescent="0.4">
      <c r="A1140" s="184" t="s">
        <v>499</v>
      </c>
      <c r="B1140" s="185" t="s">
        <v>499</v>
      </c>
      <c r="C1140" s="185" t="s">
        <v>499</v>
      </c>
      <c r="D1140" s="186" t="s">
        <v>499</v>
      </c>
      <c r="E1140" s="185" t="s">
        <v>499</v>
      </c>
      <c r="F1140" s="185" t="s">
        <v>499</v>
      </c>
      <c r="G1140" s="187">
        <f t="shared" si="17"/>
        <v>0</v>
      </c>
      <c r="H1140" s="188"/>
      <c r="I1140" s="188"/>
      <c r="J1140" s="188"/>
      <c r="K1140" s="185"/>
      <c r="L1140" s="185"/>
      <c r="M1140" s="185"/>
      <c r="N1140" s="185"/>
      <c r="O1140" s="193"/>
      <c r="P1140" s="193"/>
      <c r="Q1140" s="195"/>
      <c r="R1140" s="191"/>
      <c r="S1140" s="192"/>
    </row>
    <row r="1141" spans="1:19" ht="20.5" thickTop="1" thickBot="1" x14ac:dyDescent="0.4">
      <c r="A1141" s="184" t="s">
        <v>499</v>
      </c>
      <c r="B1141" s="185" t="s">
        <v>499</v>
      </c>
      <c r="C1141" s="185" t="s">
        <v>499</v>
      </c>
      <c r="D1141" s="186" t="s">
        <v>499</v>
      </c>
      <c r="E1141" s="185" t="s">
        <v>499</v>
      </c>
      <c r="F1141" s="185" t="s">
        <v>499</v>
      </c>
      <c r="G1141" s="187">
        <f t="shared" si="17"/>
        <v>0</v>
      </c>
      <c r="H1141" s="188"/>
      <c r="I1141" s="188"/>
      <c r="J1141" s="188"/>
      <c r="K1141" s="185"/>
      <c r="L1141" s="185"/>
      <c r="M1141" s="185"/>
      <c r="N1141" s="185"/>
      <c r="O1141" s="193"/>
      <c r="P1141" s="193"/>
      <c r="Q1141" s="195"/>
      <c r="R1141" s="191"/>
      <c r="S1141" s="192"/>
    </row>
    <row r="1142" spans="1:19" ht="20.5" thickTop="1" thickBot="1" x14ac:dyDescent="0.4">
      <c r="A1142" s="184" t="s">
        <v>499</v>
      </c>
      <c r="B1142" s="185" t="s">
        <v>499</v>
      </c>
      <c r="C1142" s="185" t="s">
        <v>499</v>
      </c>
      <c r="D1142" s="186" t="s">
        <v>499</v>
      </c>
      <c r="E1142" s="185" t="s">
        <v>499</v>
      </c>
      <c r="F1142" s="185" t="s">
        <v>499</v>
      </c>
      <c r="G1142" s="187">
        <f t="shared" si="17"/>
        <v>0</v>
      </c>
      <c r="H1142" s="188"/>
      <c r="I1142" s="188"/>
      <c r="J1142" s="188"/>
      <c r="K1142" s="185"/>
      <c r="L1142" s="185"/>
      <c r="M1142" s="185"/>
      <c r="N1142" s="185"/>
      <c r="O1142" s="193"/>
      <c r="P1142" s="193"/>
      <c r="Q1142" s="195"/>
      <c r="R1142" s="191"/>
      <c r="S1142" s="192"/>
    </row>
    <row r="1143" spans="1:19" ht="20.5" thickTop="1" thickBot="1" x14ac:dyDescent="0.4">
      <c r="A1143" s="184" t="s">
        <v>499</v>
      </c>
      <c r="B1143" s="185" t="s">
        <v>499</v>
      </c>
      <c r="C1143" s="185" t="s">
        <v>499</v>
      </c>
      <c r="D1143" s="186" t="s">
        <v>499</v>
      </c>
      <c r="E1143" s="185" t="s">
        <v>499</v>
      </c>
      <c r="F1143" s="185" t="s">
        <v>499</v>
      </c>
      <c r="G1143" s="187">
        <f t="shared" si="17"/>
        <v>0</v>
      </c>
      <c r="H1143" s="188"/>
      <c r="I1143" s="188"/>
      <c r="J1143" s="188"/>
      <c r="K1143" s="185"/>
      <c r="L1143" s="185"/>
      <c r="M1143" s="185"/>
      <c r="N1143" s="185"/>
      <c r="O1143" s="193"/>
      <c r="P1143" s="193"/>
      <c r="Q1143" s="195"/>
      <c r="R1143" s="191"/>
      <c r="S1143" s="192"/>
    </row>
    <row r="1144" spans="1:19" ht="20.5" thickTop="1" thickBot="1" x14ac:dyDescent="0.4">
      <c r="A1144" s="184" t="s">
        <v>499</v>
      </c>
      <c r="B1144" s="185" t="s">
        <v>499</v>
      </c>
      <c r="C1144" s="185" t="s">
        <v>499</v>
      </c>
      <c r="D1144" s="186" t="s">
        <v>499</v>
      </c>
      <c r="E1144" s="185" t="s">
        <v>499</v>
      </c>
      <c r="F1144" s="185" t="s">
        <v>499</v>
      </c>
      <c r="G1144" s="187">
        <f t="shared" si="17"/>
        <v>0</v>
      </c>
      <c r="H1144" s="188"/>
      <c r="I1144" s="188"/>
      <c r="J1144" s="188"/>
      <c r="K1144" s="185"/>
      <c r="L1144" s="185"/>
      <c r="M1144" s="185"/>
      <c r="N1144" s="185"/>
      <c r="O1144" s="193"/>
      <c r="P1144" s="193"/>
      <c r="Q1144" s="195"/>
      <c r="R1144" s="191"/>
      <c r="S1144" s="192"/>
    </row>
    <row r="1145" spans="1:19" ht="20.5" thickTop="1" thickBot="1" x14ac:dyDescent="0.4">
      <c r="A1145" s="184" t="s">
        <v>499</v>
      </c>
      <c r="B1145" s="185" t="s">
        <v>499</v>
      </c>
      <c r="C1145" s="185" t="s">
        <v>499</v>
      </c>
      <c r="D1145" s="186" t="s">
        <v>499</v>
      </c>
      <c r="E1145" s="185" t="s">
        <v>499</v>
      </c>
      <c r="F1145" s="185" t="s">
        <v>499</v>
      </c>
      <c r="G1145" s="187">
        <f t="shared" si="17"/>
        <v>0</v>
      </c>
      <c r="H1145" s="188"/>
      <c r="I1145" s="188"/>
      <c r="J1145" s="188"/>
      <c r="K1145" s="185"/>
      <c r="L1145" s="185"/>
      <c r="M1145" s="185"/>
      <c r="N1145" s="185"/>
      <c r="O1145" s="193"/>
      <c r="P1145" s="193"/>
      <c r="Q1145" s="195"/>
      <c r="R1145" s="191"/>
      <c r="S1145" s="192"/>
    </row>
    <row r="1146" spans="1:19" ht="20.5" thickTop="1" thickBot="1" x14ac:dyDescent="0.4">
      <c r="A1146" s="184" t="s">
        <v>499</v>
      </c>
      <c r="B1146" s="185" t="s">
        <v>499</v>
      </c>
      <c r="C1146" s="185" t="s">
        <v>499</v>
      </c>
      <c r="D1146" s="186" t="s">
        <v>499</v>
      </c>
      <c r="E1146" s="185" t="s">
        <v>499</v>
      </c>
      <c r="F1146" s="185" t="s">
        <v>499</v>
      </c>
      <c r="G1146" s="187">
        <f t="shared" si="17"/>
        <v>0</v>
      </c>
      <c r="H1146" s="188"/>
      <c r="I1146" s="188"/>
      <c r="J1146" s="188"/>
      <c r="K1146" s="185"/>
      <c r="L1146" s="185"/>
      <c r="M1146" s="185"/>
      <c r="N1146" s="185"/>
      <c r="O1146" s="193"/>
      <c r="P1146" s="193"/>
      <c r="Q1146" s="195"/>
      <c r="R1146" s="191"/>
      <c r="S1146" s="192"/>
    </row>
    <row r="1147" spans="1:19" ht="20.5" thickTop="1" thickBot="1" x14ac:dyDescent="0.4">
      <c r="A1147" s="184" t="s">
        <v>499</v>
      </c>
      <c r="B1147" s="185" t="s">
        <v>499</v>
      </c>
      <c r="C1147" s="185" t="s">
        <v>499</v>
      </c>
      <c r="D1147" s="186" t="s">
        <v>499</v>
      </c>
      <c r="E1147" s="185" t="s">
        <v>499</v>
      </c>
      <c r="F1147" s="185" t="s">
        <v>499</v>
      </c>
      <c r="G1147" s="187">
        <f t="shared" si="17"/>
        <v>0</v>
      </c>
      <c r="H1147" s="188"/>
      <c r="I1147" s="188"/>
      <c r="J1147" s="188"/>
      <c r="K1147" s="185"/>
      <c r="L1147" s="185"/>
      <c r="M1147" s="185"/>
      <c r="N1147" s="185"/>
      <c r="O1147" s="193"/>
      <c r="P1147" s="193"/>
      <c r="Q1147" s="195"/>
      <c r="R1147" s="191"/>
      <c r="S1147" s="192"/>
    </row>
    <row r="1148" spans="1:19" ht="20.5" thickTop="1" thickBot="1" x14ac:dyDescent="0.4">
      <c r="A1148" s="184" t="s">
        <v>499</v>
      </c>
      <c r="B1148" s="185" t="s">
        <v>499</v>
      </c>
      <c r="C1148" s="185" t="s">
        <v>499</v>
      </c>
      <c r="D1148" s="186" t="s">
        <v>499</v>
      </c>
      <c r="E1148" s="185" t="s">
        <v>499</v>
      </c>
      <c r="F1148" s="185" t="s">
        <v>499</v>
      </c>
      <c r="G1148" s="187">
        <f t="shared" si="17"/>
        <v>0</v>
      </c>
      <c r="H1148" s="188"/>
      <c r="I1148" s="188"/>
      <c r="J1148" s="188"/>
      <c r="K1148" s="185"/>
      <c r="L1148" s="185"/>
      <c r="M1148" s="185"/>
      <c r="N1148" s="185"/>
      <c r="O1148" s="193"/>
      <c r="P1148" s="193"/>
      <c r="Q1148" s="195"/>
      <c r="R1148" s="191"/>
      <c r="S1148" s="192"/>
    </row>
    <row r="1149" spans="1:19" ht="20.5" thickTop="1" thickBot="1" x14ac:dyDescent="0.4">
      <c r="A1149" s="184" t="s">
        <v>499</v>
      </c>
      <c r="B1149" s="185" t="s">
        <v>499</v>
      </c>
      <c r="C1149" s="185" t="s">
        <v>499</v>
      </c>
      <c r="D1149" s="186" t="s">
        <v>499</v>
      </c>
      <c r="E1149" s="185" t="s">
        <v>499</v>
      </c>
      <c r="F1149" s="185" t="s">
        <v>499</v>
      </c>
      <c r="G1149" s="187">
        <f t="shared" si="17"/>
        <v>0</v>
      </c>
      <c r="H1149" s="188"/>
      <c r="I1149" s="188"/>
      <c r="J1149" s="188"/>
      <c r="K1149" s="185"/>
      <c r="L1149" s="185"/>
      <c r="M1149" s="185"/>
      <c r="N1149" s="185"/>
      <c r="O1149" s="193"/>
      <c r="P1149" s="193"/>
      <c r="Q1149" s="195"/>
      <c r="R1149" s="191"/>
      <c r="S1149" s="192"/>
    </row>
    <row r="1150" spans="1:19" ht="20.5" thickTop="1" thickBot="1" x14ac:dyDescent="0.4">
      <c r="A1150" s="184" t="s">
        <v>499</v>
      </c>
      <c r="B1150" s="185" t="s">
        <v>499</v>
      </c>
      <c r="C1150" s="185" t="s">
        <v>499</v>
      </c>
      <c r="D1150" s="186" t="s">
        <v>499</v>
      </c>
      <c r="E1150" s="185" t="s">
        <v>499</v>
      </c>
      <c r="F1150" s="185" t="s">
        <v>499</v>
      </c>
      <c r="G1150" s="187">
        <f t="shared" si="17"/>
        <v>0</v>
      </c>
      <c r="H1150" s="188"/>
      <c r="I1150" s="188"/>
      <c r="J1150" s="188"/>
      <c r="K1150" s="185"/>
      <c r="L1150" s="185"/>
      <c r="M1150" s="185"/>
      <c r="N1150" s="185"/>
      <c r="O1150" s="193"/>
      <c r="P1150" s="193"/>
      <c r="Q1150" s="195"/>
      <c r="R1150" s="191"/>
      <c r="S1150" s="192"/>
    </row>
    <row r="1151" spans="1:19" ht="20.5" thickTop="1" thickBot="1" x14ac:dyDescent="0.4">
      <c r="A1151" s="184" t="s">
        <v>499</v>
      </c>
      <c r="B1151" s="185" t="s">
        <v>499</v>
      </c>
      <c r="C1151" s="185" t="s">
        <v>499</v>
      </c>
      <c r="D1151" s="186" t="s">
        <v>499</v>
      </c>
      <c r="E1151" s="185" t="s">
        <v>499</v>
      </c>
      <c r="F1151" s="185" t="s">
        <v>499</v>
      </c>
      <c r="G1151" s="187">
        <f t="shared" si="17"/>
        <v>0</v>
      </c>
      <c r="H1151" s="188"/>
      <c r="I1151" s="188"/>
      <c r="J1151" s="188"/>
      <c r="K1151" s="185"/>
      <c r="L1151" s="185"/>
      <c r="M1151" s="185"/>
      <c r="N1151" s="185"/>
      <c r="O1151" s="193"/>
      <c r="P1151" s="193"/>
      <c r="Q1151" s="195"/>
      <c r="R1151" s="191"/>
      <c r="S1151" s="192"/>
    </row>
    <row r="1152" spans="1:19" ht="20.5" thickTop="1" thickBot="1" x14ac:dyDescent="0.4">
      <c r="A1152" s="184" t="s">
        <v>499</v>
      </c>
      <c r="B1152" s="185" t="s">
        <v>499</v>
      </c>
      <c r="C1152" s="185" t="s">
        <v>499</v>
      </c>
      <c r="D1152" s="186" t="s">
        <v>499</v>
      </c>
      <c r="E1152" s="185" t="s">
        <v>499</v>
      </c>
      <c r="F1152" s="185" t="s">
        <v>499</v>
      </c>
      <c r="G1152" s="187">
        <f t="shared" si="17"/>
        <v>0</v>
      </c>
      <c r="H1152" s="188"/>
      <c r="I1152" s="188"/>
      <c r="J1152" s="188"/>
      <c r="K1152" s="185"/>
      <c r="L1152" s="185"/>
      <c r="M1152" s="185"/>
      <c r="N1152" s="185"/>
      <c r="O1152" s="193"/>
      <c r="P1152" s="193"/>
      <c r="Q1152" s="195"/>
      <c r="R1152" s="191"/>
      <c r="S1152" s="192"/>
    </row>
    <row r="1153" spans="1:19" ht="20.5" thickTop="1" thickBot="1" x14ac:dyDescent="0.4">
      <c r="A1153" s="184" t="s">
        <v>499</v>
      </c>
      <c r="B1153" s="185" t="s">
        <v>499</v>
      </c>
      <c r="C1153" s="185" t="s">
        <v>499</v>
      </c>
      <c r="D1153" s="186" t="s">
        <v>499</v>
      </c>
      <c r="E1153" s="185" t="s">
        <v>499</v>
      </c>
      <c r="F1153" s="185" t="s">
        <v>499</v>
      </c>
      <c r="G1153" s="187">
        <f t="shared" si="17"/>
        <v>0</v>
      </c>
      <c r="H1153" s="188"/>
      <c r="I1153" s="188"/>
      <c r="J1153" s="188"/>
      <c r="K1153" s="185"/>
      <c r="L1153" s="185"/>
      <c r="M1153" s="185"/>
      <c r="N1153" s="185"/>
      <c r="O1153" s="193"/>
      <c r="P1153" s="193"/>
      <c r="Q1153" s="195"/>
      <c r="R1153" s="191"/>
      <c r="S1153" s="192"/>
    </row>
    <row r="1154" spans="1:19" ht="20.5" thickTop="1" thickBot="1" x14ac:dyDescent="0.4">
      <c r="A1154" s="184" t="s">
        <v>499</v>
      </c>
      <c r="B1154" s="185" t="s">
        <v>499</v>
      </c>
      <c r="C1154" s="185" t="s">
        <v>499</v>
      </c>
      <c r="D1154" s="186" t="s">
        <v>499</v>
      </c>
      <c r="E1154" s="185" t="s">
        <v>499</v>
      </c>
      <c r="F1154" s="185" t="s">
        <v>499</v>
      </c>
      <c r="G1154" s="187">
        <f t="shared" si="17"/>
        <v>0</v>
      </c>
      <c r="H1154" s="188"/>
      <c r="I1154" s="188"/>
      <c r="J1154" s="188"/>
      <c r="K1154" s="185"/>
      <c r="L1154" s="185"/>
      <c r="M1154" s="185"/>
      <c r="N1154" s="185"/>
      <c r="O1154" s="193"/>
      <c r="P1154" s="193"/>
      <c r="Q1154" s="195"/>
      <c r="R1154" s="191"/>
      <c r="S1154" s="192"/>
    </row>
    <row r="1155" spans="1:19" ht="20.5" thickTop="1" thickBot="1" x14ac:dyDescent="0.4">
      <c r="A1155" s="184" t="s">
        <v>499</v>
      </c>
      <c r="B1155" s="185" t="s">
        <v>499</v>
      </c>
      <c r="C1155" s="185" t="s">
        <v>499</v>
      </c>
      <c r="D1155" s="186" t="s">
        <v>499</v>
      </c>
      <c r="E1155" s="185" t="s">
        <v>499</v>
      </c>
      <c r="F1155" s="185" t="s">
        <v>499</v>
      </c>
      <c r="G1155" s="187">
        <f t="shared" si="17"/>
        <v>0</v>
      </c>
      <c r="H1155" s="188"/>
      <c r="I1155" s="188"/>
      <c r="J1155" s="188"/>
      <c r="K1155" s="185"/>
      <c r="L1155" s="185"/>
      <c r="M1155" s="185"/>
      <c r="N1155" s="185"/>
      <c r="O1155" s="193"/>
      <c r="P1155" s="193"/>
      <c r="Q1155" s="195"/>
      <c r="R1155" s="191"/>
      <c r="S1155" s="192"/>
    </row>
    <row r="1156" spans="1:19" ht="20.5" thickTop="1" thickBot="1" x14ac:dyDescent="0.4">
      <c r="A1156" s="184" t="s">
        <v>499</v>
      </c>
      <c r="B1156" s="185" t="s">
        <v>499</v>
      </c>
      <c r="C1156" s="185" t="s">
        <v>499</v>
      </c>
      <c r="D1156" s="186" t="s">
        <v>499</v>
      </c>
      <c r="E1156" s="185" t="s">
        <v>499</v>
      </c>
      <c r="F1156" s="185" t="s">
        <v>499</v>
      </c>
      <c r="G1156" s="187">
        <f t="shared" si="17"/>
        <v>0</v>
      </c>
      <c r="H1156" s="188"/>
      <c r="I1156" s="188"/>
      <c r="J1156" s="188"/>
      <c r="K1156" s="185"/>
      <c r="L1156" s="185"/>
      <c r="M1156" s="185"/>
      <c r="N1156" s="185"/>
      <c r="O1156" s="193"/>
      <c r="P1156" s="193"/>
      <c r="Q1156" s="195"/>
      <c r="R1156" s="191"/>
      <c r="S1156" s="192"/>
    </row>
    <row r="1157" spans="1:19" ht="20.5" thickTop="1" thickBot="1" x14ac:dyDescent="0.4">
      <c r="A1157" s="184" t="s">
        <v>499</v>
      </c>
      <c r="B1157" s="185" t="s">
        <v>499</v>
      </c>
      <c r="C1157" s="185" t="s">
        <v>499</v>
      </c>
      <c r="D1157" s="186" t="s">
        <v>499</v>
      </c>
      <c r="E1157" s="185" t="s">
        <v>499</v>
      </c>
      <c r="F1157" s="185" t="s">
        <v>499</v>
      </c>
      <c r="G1157" s="187">
        <f t="shared" ref="G1157:G1220" si="18">SUM(H1157:J1157)</f>
        <v>0</v>
      </c>
      <c r="H1157" s="188"/>
      <c r="I1157" s="188"/>
      <c r="J1157" s="188"/>
      <c r="K1157" s="185"/>
      <c r="L1157" s="185"/>
      <c r="M1157" s="185"/>
      <c r="N1157" s="185"/>
      <c r="O1157" s="193"/>
      <c r="P1157" s="193"/>
      <c r="Q1157" s="195"/>
      <c r="R1157" s="191"/>
      <c r="S1157" s="192"/>
    </row>
    <row r="1158" spans="1:19" ht="20.5" thickTop="1" thickBot="1" x14ac:dyDescent="0.4">
      <c r="A1158" s="184" t="s">
        <v>499</v>
      </c>
      <c r="B1158" s="185" t="s">
        <v>499</v>
      </c>
      <c r="C1158" s="185" t="s">
        <v>499</v>
      </c>
      <c r="D1158" s="186" t="s">
        <v>499</v>
      </c>
      <c r="E1158" s="185" t="s">
        <v>499</v>
      </c>
      <c r="F1158" s="185" t="s">
        <v>499</v>
      </c>
      <c r="G1158" s="187">
        <f t="shared" si="18"/>
        <v>0</v>
      </c>
      <c r="H1158" s="188"/>
      <c r="I1158" s="188"/>
      <c r="J1158" s="188"/>
      <c r="K1158" s="185"/>
      <c r="L1158" s="185"/>
      <c r="M1158" s="185"/>
      <c r="N1158" s="185"/>
      <c r="O1158" s="193"/>
      <c r="P1158" s="193"/>
      <c r="Q1158" s="195"/>
      <c r="R1158" s="191"/>
      <c r="S1158" s="192"/>
    </row>
    <row r="1159" spans="1:19" ht="20.5" thickTop="1" thickBot="1" x14ac:dyDescent="0.4">
      <c r="A1159" s="184" t="s">
        <v>499</v>
      </c>
      <c r="B1159" s="185" t="s">
        <v>499</v>
      </c>
      <c r="C1159" s="185" t="s">
        <v>499</v>
      </c>
      <c r="D1159" s="186" t="s">
        <v>499</v>
      </c>
      <c r="E1159" s="185" t="s">
        <v>499</v>
      </c>
      <c r="F1159" s="185" t="s">
        <v>499</v>
      </c>
      <c r="G1159" s="187">
        <f t="shared" si="18"/>
        <v>0</v>
      </c>
      <c r="H1159" s="188"/>
      <c r="I1159" s="188"/>
      <c r="J1159" s="188"/>
      <c r="K1159" s="185"/>
      <c r="L1159" s="185"/>
      <c r="M1159" s="185"/>
      <c r="N1159" s="185"/>
      <c r="O1159" s="193"/>
      <c r="P1159" s="193"/>
      <c r="Q1159" s="195"/>
      <c r="R1159" s="191"/>
      <c r="S1159" s="192"/>
    </row>
    <row r="1160" spans="1:19" ht="20.5" thickTop="1" thickBot="1" x14ac:dyDescent="0.4">
      <c r="A1160" s="184" t="s">
        <v>499</v>
      </c>
      <c r="B1160" s="185" t="s">
        <v>499</v>
      </c>
      <c r="C1160" s="185" t="s">
        <v>499</v>
      </c>
      <c r="D1160" s="186" t="s">
        <v>499</v>
      </c>
      <c r="E1160" s="185" t="s">
        <v>499</v>
      </c>
      <c r="F1160" s="185" t="s">
        <v>499</v>
      </c>
      <c r="G1160" s="187">
        <f t="shared" si="18"/>
        <v>0</v>
      </c>
      <c r="H1160" s="188"/>
      <c r="I1160" s="188"/>
      <c r="J1160" s="188"/>
      <c r="K1160" s="185"/>
      <c r="L1160" s="185"/>
      <c r="M1160" s="185"/>
      <c r="N1160" s="185"/>
      <c r="O1160" s="193"/>
      <c r="P1160" s="193"/>
      <c r="Q1160" s="195"/>
      <c r="R1160" s="191"/>
      <c r="S1160" s="192"/>
    </row>
    <row r="1161" spans="1:19" ht="20.5" thickTop="1" thickBot="1" x14ac:dyDescent="0.4">
      <c r="A1161" s="184" t="s">
        <v>499</v>
      </c>
      <c r="B1161" s="185" t="s">
        <v>499</v>
      </c>
      <c r="C1161" s="185" t="s">
        <v>499</v>
      </c>
      <c r="D1161" s="186" t="s">
        <v>499</v>
      </c>
      <c r="E1161" s="185" t="s">
        <v>499</v>
      </c>
      <c r="F1161" s="185" t="s">
        <v>499</v>
      </c>
      <c r="G1161" s="187">
        <f t="shared" si="18"/>
        <v>0</v>
      </c>
      <c r="H1161" s="188"/>
      <c r="I1161" s="188"/>
      <c r="J1161" s="188"/>
      <c r="K1161" s="185"/>
      <c r="L1161" s="185"/>
      <c r="M1161" s="185"/>
      <c r="N1161" s="185"/>
      <c r="O1161" s="193"/>
      <c r="P1161" s="193"/>
      <c r="Q1161" s="195"/>
      <c r="R1161" s="191"/>
      <c r="S1161" s="192"/>
    </row>
    <row r="1162" spans="1:19" ht="20.5" thickTop="1" thickBot="1" x14ac:dyDescent="0.4">
      <c r="A1162" s="184" t="s">
        <v>499</v>
      </c>
      <c r="B1162" s="185" t="s">
        <v>499</v>
      </c>
      <c r="C1162" s="185" t="s">
        <v>499</v>
      </c>
      <c r="D1162" s="186" t="s">
        <v>499</v>
      </c>
      <c r="E1162" s="185" t="s">
        <v>499</v>
      </c>
      <c r="F1162" s="185" t="s">
        <v>499</v>
      </c>
      <c r="G1162" s="187">
        <f t="shared" si="18"/>
        <v>0</v>
      </c>
      <c r="H1162" s="188"/>
      <c r="I1162" s="188"/>
      <c r="J1162" s="188"/>
      <c r="K1162" s="185"/>
      <c r="L1162" s="185"/>
      <c r="M1162" s="185"/>
      <c r="N1162" s="185"/>
      <c r="O1162" s="193"/>
      <c r="P1162" s="193"/>
      <c r="Q1162" s="195"/>
      <c r="R1162" s="191"/>
      <c r="S1162" s="192"/>
    </row>
    <row r="1163" spans="1:19" ht="20.5" thickTop="1" thickBot="1" x14ac:dyDescent="0.4">
      <c r="A1163" s="184" t="s">
        <v>499</v>
      </c>
      <c r="B1163" s="185" t="s">
        <v>499</v>
      </c>
      <c r="C1163" s="185" t="s">
        <v>499</v>
      </c>
      <c r="D1163" s="186" t="s">
        <v>499</v>
      </c>
      <c r="E1163" s="185" t="s">
        <v>499</v>
      </c>
      <c r="F1163" s="185" t="s">
        <v>499</v>
      </c>
      <c r="G1163" s="187">
        <f t="shared" si="18"/>
        <v>0</v>
      </c>
      <c r="H1163" s="188"/>
      <c r="I1163" s="188"/>
      <c r="J1163" s="188"/>
      <c r="K1163" s="185"/>
      <c r="L1163" s="185"/>
      <c r="M1163" s="185"/>
      <c r="N1163" s="185"/>
      <c r="O1163" s="193"/>
      <c r="P1163" s="193"/>
      <c r="Q1163" s="195"/>
      <c r="R1163" s="191"/>
      <c r="S1163" s="192"/>
    </row>
    <row r="1164" spans="1:19" ht="20.5" thickTop="1" thickBot="1" x14ac:dyDescent="0.4">
      <c r="A1164" s="184" t="s">
        <v>499</v>
      </c>
      <c r="B1164" s="185" t="s">
        <v>499</v>
      </c>
      <c r="C1164" s="185" t="s">
        <v>499</v>
      </c>
      <c r="D1164" s="186" t="s">
        <v>499</v>
      </c>
      <c r="E1164" s="185" t="s">
        <v>499</v>
      </c>
      <c r="F1164" s="185" t="s">
        <v>499</v>
      </c>
      <c r="G1164" s="187">
        <f t="shared" si="18"/>
        <v>0</v>
      </c>
      <c r="H1164" s="188"/>
      <c r="I1164" s="188"/>
      <c r="J1164" s="188"/>
      <c r="K1164" s="185"/>
      <c r="L1164" s="185"/>
      <c r="M1164" s="185"/>
      <c r="N1164" s="185"/>
      <c r="O1164" s="193"/>
      <c r="P1164" s="193"/>
      <c r="Q1164" s="195"/>
      <c r="R1164" s="191"/>
      <c r="S1164" s="192"/>
    </row>
    <row r="1165" spans="1:19" ht="20.5" thickTop="1" thickBot="1" x14ac:dyDescent="0.4">
      <c r="A1165" s="184" t="s">
        <v>499</v>
      </c>
      <c r="B1165" s="185" t="s">
        <v>499</v>
      </c>
      <c r="C1165" s="185" t="s">
        <v>499</v>
      </c>
      <c r="D1165" s="186" t="s">
        <v>499</v>
      </c>
      <c r="E1165" s="185" t="s">
        <v>499</v>
      </c>
      <c r="F1165" s="185" t="s">
        <v>499</v>
      </c>
      <c r="G1165" s="187">
        <f t="shared" si="18"/>
        <v>0</v>
      </c>
      <c r="H1165" s="188"/>
      <c r="I1165" s="188"/>
      <c r="J1165" s="188"/>
      <c r="K1165" s="185"/>
      <c r="L1165" s="185"/>
      <c r="M1165" s="185"/>
      <c r="N1165" s="185"/>
      <c r="O1165" s="193"/>
      <c r="P1165" s="193"/>
      <c r="Q1165" s="195"/>
      <c r="R1165" s="191"/>
      <c r="S1165" s="192"/>
    </row>
    <row r="1166" spans="1:19" ht="20.5" thickTop="1" thickBot="1" x14ac:dyDescent="0.4">
      <c r="A1166" s="184" t="s">
        <v>499</v>
      </c>
      <c r="B1166" s="185" t="s">
        <v>499</v>
      </c>
      <c r="C1166" s="185" t="s">
        <v>499</v>
      </c>
      <c r="D1166" s="186" t="s">
        <v>499</v>
      </c>
      <c r="E1166" s="185" t="s">
        <v>499</v>
      </c>
      <c r="F1166" s="185" t="s">
        <v>499</v>
      </c>
      <c r="G1166" s="187">
        <f t="shared" si="18"/>
        <v>0</v>
      </c>
      <c r="H1166" s="188"/>
      <c r="I1166" s="188"/>
      <c r="J1166" s="188"/>
      <c r="K1166" s="185"/>
      <c r="L1166" s="185"/>
      <c r="M1166" s="185"/>
      <c r="N1166" s="185"/>
      <c r="O1166" s="193"/>
      <c r="P1166" s="193"/>
      <c r="Q1166" s="195"/>
      <c r="R1166" s="191"/>
      <c r="S1166" s="192"/>
    </row>
    <row r="1167" spans="1:19" ht="20.5" thickTop="1" thickBot="1" x14ac:dyDescent="0.4">
      <c r="A1167" s="184" t="s">
        <v>499</v>
      </c>
      <c r="B1167" s="185" t="s">
        <v>499</v>
      </c>
      <c r="C1167" s="185" t="s">
        <v>499</v>
      </c>
      <c r="D1167" s="186" t="s">
        <v>499</v>
      </c>
      <c r="E1167" s="185" t="s">
        <v>499</v>
      </c>
      <c r="F1167" s="185" t="s">
        <v>499</v>
      </c>
      <c r="G1167" s="187">
        <f t="shared" si="18"/>
        <v>0</v>
      </c>
      <c r="H1167" s="188"/>
      <c r="I1167" s="188"/>
      <c r="J1167" s="188"/>
      <c r="K1167" s="185"/>
      <c r="L1167" s="185"/>
      <c r="M1167" s="185"/>
      <c r="N1167" s="185"/>
      <c r="O1167" s="193"/>
      <c r="P1167" s="193"/>
      <c r="Q1167" s="195"/>
      <c r="R1167" s="191"/>
      <c r="S1167" s="192"/>
    </row>
    <row r="1168" spans="1:19" ht="20.5" thickTop="1" thickBot="1" x14ac:dyDescent="0.4">
      <c r="A1168" s="184" t="s">
        <v>499</v>
      </c>
      <c r="B1168" s="185" t="s">
        <v>499</v>
      </c>
      <c r="C1168" s="185" t="s">
        <v>499</v>
      </c>
      <c r="D1168" s="186" t="s">
        <v>499</v>
      </c>
      <c r="E1168" s="185" t="s">
        <v>499</v>
      </c>
      <c r="F1168" s="185" t="s">
        <v>499</v>
      </c>
      <c r="G1168" s="187">
        <f t="shared" si="18"/>
        <v>0</v>
      </c>
      <c r="H1168" s="188"/>
      <c r="I1168" s="188"/>
      <c r="J1168" s="188"/>
      <c r="K1168" s="185"/>
      <c r="L1168" s="185"/>
      <c r="M1168" s="185"/>
      <c r="N1168" s="185"/>
      <c r="O1168" s="193"/>
      <c r="P1168" s="193"/>
      <c r="Q1168" s="195"/>
      <c r="R1168" s="191"/>
      <c r="S1168" s="192"/>
    </row>
    <row r="1169" spans="1:19" ht="20.5" thickTop="1" thickBot="1" x14ac:dyDescent="0.4">
      <c r="A1169" s="184" t="s">
        <v>499</v>
      </c>
      <c r="B1169" s="185" t="s">
        <v>499</v>
      </c>
      <c r="C1169" s="185" t="s">
        <v>499</v>
      </c>
      <c r="D1169" s="186" t="s">
        <v>499</v>
      </c>
      <c r="E1169" s="185" t="s">
        <v>499</v>
      </c>
      <c r="F1169" s="185" t="s">
        <v>499</v>
      </c>
      <c r="G1169" s="187">
        <f t="shared" si="18"/>
        <v>0</v>
      </c>
      <c r="H1169" s="188"/>
      <c r="I1169" s="188"/>
      <c r="J1169" s="188"/>
      <c r="K1169" s="185"/>
      <c r="L1169" s="185"/>
      <c r="M1169" s="185"/>
      <c r="N1169" s="185"/>
      <c r="O1169" s="193"/>
      <c r="P1169" s="193"/>
      <c r="Q1169" s="195"/>
      <c r="R1169" s="191"/>
      <c r="S1169" s="192"/>
    </row>
    <row r="1170" spans="1:19" ht="20.5" thickTop="1" thickBot="1" x14ac:dyDescent="0.4">
      <c r="A1170" s="184" t="s">
        <v>499</v>
      </c>
      <c r="B1170" s="185" t="s">
        <v>499</v>
      </c>
      <c r="C1170" s="185" t="s">
        <v>499</v>
      </c>
      <c r="D1170" s="186" t="s">
        <v>499</v>
      </c>
      <c r="E1170" s="185" t="s">
        <v>499</v>
      </c>
      <c r="F1170" s="185" t="s">
        <v>499</v>
      </c>
      <c r="G1170" s="187">
        <f t="shared" si="18"/>
        <v>0</v>
      </c>
      <c r="H1170" s="188"/>
      <c r="I1170" s="188"/>
      <c r="J1170" s="188"/>
      <c r="K1170" s="185"/>
      <c r="L1170" s="185"/>
      <c r="M1170" s="185"/>
      <c r="N1170" s="185"/>
      <c r="O1170" s="193"/>
      <c r="P1170" s="193"/>
      <c r="Q1170" s="195"/>
      <c r="R1170" s="191"/>
      <c r="S1170" s="192"/>
    </row>
    <row r="1171" spans="1:19" ht="20.5" thickTop="1" thickBot="1" x14ac:dyDescent="0.4">
      <c r="A1171" s="184" t="s">
        <v>499</v>
      </c>
      <c r="B1171" s="185" t="s">
        <v>499</v>
      </c>
      <c r="C1171" s="185" t="s">
        <v>499</v>
      </c>
      <c r="D1171" s="186" t="s">
        <v>499</v>
      </c>
      <c r="E1171" s="185" t="s">
        <v>499</v>
      </c>
      <c r="F1171" s="185" t="s">
        <v>499</v>
      </c>
      <c r="G1171" s="187">
        <f t="shared" si="18"/>
        <v>0</v>
      </c>
      <c r="H1171" s="188"/>
      <c r="I1171" s="188"/>
      <c r="J1171" s="188"/>
      <c r="K1171" s="185"/>
      <c r="L1171" s="185"/>
      <c r="M1171" s="185"/>
      <c r="N1171" s="185"/>
      <c r="O1171" s="193"/>
      <c r="P1171" s="193"/>
      <c r="Q1171" s="195"/>
      <c r="R1171" s="191"/>
      <c r="S1171" s="192"/>
    </row>
    <row r="1172" spans="1:19" ht="20.5" thickTop="1" thickBot="1" x14ac:dyDescent="0.4">
      <c r="A1172" s="184" t="s">
        <v>499</v>
      </c>
      <c r="B1172" s="185" t="s">
        <v>499</v>
      </c>
      <c r="C1172" s="185" t="s">
        <v>499</v>
      </c>
      <c r="D1172" s="186" t="s">
        <v>499</v>
      </c>
      <c r="E1172" s="185" t="s">
        <v>499</v>
      </c>
      <c r="F1172" s="185" t="s">
        <v>499</v>
      </c>
      <c r="G1172" s="187">
        <f t="shared" si="18"/>
        <v>0</v>
      </c>
      <c r="H1172" s="188"/>
      <c r="I1172" s="188"/>
      <c r="J1172" s="188"/>
      <c r="K1172" s="185"/>
      <c r="L1172" s="185"/>
      <c r="M1172" s="185"/>
      <c r="N1172" s="185"/>
      <c r="O1172" s="193"/>
      <c r="P1172" s="193"/>
      <c r="Q1172" s="195"/>
      <c r="R1172" s="191"/>
      <c r="S1172" s="192"/>
    </row>
    <row r="1173" spans="1:19" ht="20.5" thickTop="1" thickBot="1" x14ac:dyDescent="0.4">
      <c r="A1173" s="184" t="s">
        <v>499</v>
      </c>
      <c r="B1173" s="185" t="s">
        <v>499</v>
      </c>
      <c r="C1173" s="185" t="s">
        <v>499</v>
      </c>
      <c r="D1173" s="186" t="s">
        <v>499</v>
      </c>
      <c r="E1173" s="185" t="s">
        <v>499</v>
      </c>
      <c r="F1173" s="185" t="s">
        <v>499</v>
      </c>
      <c r="G1173" s="187">
        <f t="shared" si="18"/>
        <v>0</v>
      </c>
      <c r="H1173" s="188"/>
      <c r="I1173" s="188"/>
      <c r="J1173" s="188"/>
      <c r="K1173" s="185"/>
      <c r="L1173" s="185"/>
      <c r="M1173" s="185"/>
      <c r="N1173" s="185"/>
      <c r="O1173" s="193"/>
      <c r="P1173" s="193"/>
      <c r="Q1173" s="195"/>
      <c r="R1173" s="191"/>
      <c r="S1173" s="192"/>
    </row>
    <row r="1174" spans="1:19" ht="20.5" thickTop="1" thickBot="1" x14ac:dyDescent="0.4">
      <c r="A1174" s="184" t="s">
        <v>499</v>
      </c>
      <c r="B1174" s="185" t="s">
        <v>499</v>
      </c>
      <c r="C1174" s="185" t="s">
        <v>499</v>
      </c>
      <c r="D1174" s="186" t="s">
        <v>499</v>
      </c>
      <c r="E1174" s="185" t="s">
        <v>499</v>
      </c>
      <c r="F1174" s="185" t="s">
        <v>499</v>
      </c>
      <c r="G1174" s="187">
        <f t="shared" si="18"/>
        <v>0</v>
      </c>
      <c r="H1174" s="188"/>
      <c r="I1174" s="188"/>
      <c r="J1174" s="188"/>
      <c r="K1174" s="185"/>
      <c r="L1174" s="185"/>
      <c r="M1174" s="185"/>
      <c r="N1174" s="185"/>
      <c r="O1174" s="193"/>
      <c r="P1174" s="193"/>
      <c r="Q1174" s="195"/>
      <c r="R1174" s="191"/>
      <c r="S1174" s="192"/>
    </row>
    <row r="1175" spans="1:19" ht="20.5" thickTop="1" thickBot="1" x14ac:dyDescent="0.4">
      <c r="A1175" s="184" t="s">
        <v>499</v>
      </c>
      <c r="B1175" s="185" t="s">
        <v>499</v>
      </c>
      <c r="C1175" s="185" t="s">
        <v>499</v>
      </c>
      <c r="D1175" s="186" t="s">
        <v>499</v>
      </c>
      <c r="E1175" s="185" t="s">
        <v>499</v>
      </c>
      <c r="F1175" s="185" t="s">
        <v>499</v>
      </c>
      <c r="G1175" s="187">
        <f t="shared" si="18"/>
        <v>0</v>
      </c>
      <c r="H1175" s="188"/>
      <c r="I1175" s="188"/>
      <c r="J1175" s="188"/>
      <c r="K1175" s="185"/>
      <c r="L1175" s="185"/>
      <c r="M1175" s="185"/>
      <c r="N1175" s="185"/>
      <c r="O1175" s="193"/>
      <c r="P1175" s="193"/>
      <c r="Q1175" s="195"/>
      <c r="R1175" s="191"/>
      <c r="S1175" s="192"/>
    </row>
    <row r="1176" spans="1:19" ht="20.5" thickTop="1" thickBot="1" x14ac:dyDescent="0.4">
      <c r="A1176" s="184" t="s">
        <v>499</v>
      </c>
      <c r="B1176" s="185" t="s">
        <v>499</v>
      </c>
      <c r="C1176" s="185" t="s">
        <v>499</v>
      </c>
      <c r="D1176" s="186" t="s">
        <v>499</v>
      </c>
      <c r="E1176" s="185" t="s">
        <v>499</v>
      </c>
      <c r="F1176" s="185" t="s">
        <v>499</v>
      </c>
      <c r="G1176" s="187">
        <f t="shared" si="18"/>
        <v>0</v>
      </c>
      <c r="H1176" s="188"/>
      <c r="I1176" s="188"/>
      <c r="J1176" s="188"/>
      <c r="K1176" s="185"/>
      <c r="L1176" s="185"/>
      <c r="M1176" s="185"/>
      <c r="N1176" s="185"/>
      <c r="O1176" s="193"/>
      <c r="P1176" s="193"/>
      <c r="Q1176" s="195"/>
      <c r="R1176" s="191"/>
      <c r="S1176" s="192"/>
    </row>
    <row r="1177" spans="1:19" ht="20.5" thickTop="1" thickBot="1" x14ac:dyDescent="0.4">
      <c r="A1177" s="184" t="s">
        <v>499</v>
      </c>
      <c r="B1177" s="185" t="s">
        <v>499</v>
      </c>
      <c r="C1177" s="185" t="s">
        <v>499</v>
      </c>
      <c r="D1177" s="186" t="s">
        <v>499</v>
      </c>
      <c r="E1177" s="185" t="s">
        <v>499</v>
      </c>
      <c r="F1177" s="185" t="s">
        <v>499</v>
      </c>
      <c r="G1177" s="187">
        <f t="shared" si="18"/>
        <v>0</v>
      </c>
      <c r="H1177" s="188"/>
      <c r="I1177" s="188"/>
      <c r="J1177" s="188"/>
      <c r="K1177" s="185"/>
      <c r="L1177" s="185"/>
      <c r="M1177" s="185"/>
      <c r="N1177" s="185"/>
      <c r="O1177" s="193"/>
      <c r="P1177" s="193"/>
      <c r="Q1177" s="195"/>
      <c r="R1177" s="191"/>
      <c r="S1177" s="192"/>
    </row>
    <row r="1178" spans="1:19" ht="20.5" thickTop="1" thickBot="1" x14ac:dyDescent="0.4">
      <c r="A1178" s="184" t="s">
        <v>499</v>
      </c>
      <c r="B1178" s="185" t="s">
        <v>499</v>
      </c>
      <c r="C1178" s="185" t="s">
        <v>499</v>
      </c>
      <c r="D1178" s="186" t="s">
        <v>499</v>
      </c>
      <c r="E1178" s="185" t="s">
        <v>499</v>
      </c>
      <c r="F1178" s="185" t="s">
        <v>499</v>
      </c>
      <c r="G1178" s="187">
        <f t="shared" si="18"/>
        <v>0</v>
      </c>
      <c r="H1178" s="188"/>
      <c r="I1178" s="188"/>
      <c r="J1178" s="188"/>
      <c r="K1178" s="185"/>
      <c r="L1178" s="185"/>
      <c r="M1178" s="185"/>
      <c r="N1178" s="185"/>
      <c r="O1178" s="193"/>
      <c r="P1178" s="193"/>
      <c r="Q1178" s="195"/>
      <c r="R1178" s="191"/>
      <c r="S1178" s="192"/>
    </row>
    <row r="1179" spans="1:19" ht="20.5" thickTop="1" thickBot="1" x14ac:dyDescent="0.4">
      <c r="A1179" s="184" t="s">
        <v>499</v>
      </c>
      <c r="B1179" s="185" t="s">
        <v>499</v>
      </c>
      <c r="C1179" s="185" t="s">
        <v>499</v>
      </c>
      <c r="D1179" s="186" t="s">
        <v>499</v>
      </c>
      <c r="E1179" s="185" t="s">
        <v>499</v>
      </c>
      <c r="F1179" s="185" t="s">
        <v>499</v>
      </c>
      <c r="G1179" s="187">
        <f t="shared" si="18"/>
        <v>0</v>
      </c>
      <c r="H1179" s="188"/>
      <c r="I1179" s="188"/>
      <c r="J1179" s="188"/>
      <c r="K1179" s="185"/>
      <c r="L1179" s="185"/>
      <c r="M1179" s="185"/>
      <c r="N1179" s="185"/>
      <c r="O1179" s="193"/>
      <c r="P1179" s="193"/>
      <c r="Q1179" s="195"/>
      <c r="R1179" s="191"/>
      <c r="S1179" s="192"/>
    </row>
    <row r="1180" spans="1:19" ht="20.5" thickTop="1" thickBot="1" x14ac:dyDescent="0.4">
      <c r="A1180" s="184" t="s">
        <v>499</v>
      </c>
      <c r="B1180" s="185" t="s">
        <v>499</v>
      </c>
      <c r="C1180" s="185" t="s">
        <v>499</v>
      </c>
      <c r="D1180" s="186" t="s">
        <v>499</v>
      </c>
      <c r="E1180" s="185" t="s">
        <v>499</v>
      </c>
      <c r="F1180" s="185" t="s">
        <v>499</v>
      </c>
      <c r="G1180" s="187">
        <f t="shared" si="18"/>
        <v>0</v>
      </c>
      <c r="H1180" s="188"/>
      <c r="I1180" s="188"/>
      <c r="J1180" s="188"/>
      <c r="K1180" s="185"/>
      <c r="L1180" s="185"/>
      <c r="M1180" s="185"/>
      <c r="N1180" s="185"/>
      <c r="O1180" s="193"/>
      <c r="P1180" s="193"/>
      <c r="Q1180" s="195"/>
      <c r="R1180" s="191"/>
      <c r="S1180" s="192"/>
    </row>
    <row r="1181" spans="1:19" ht="20.5" thickTop="1" thickBot="1" x14ac:dyDescent="0.4">
      <c r="A1181" s="184" t="s">
        <v>499</v>
      </c>
      <c r="B1181" s="185" t="s">
        <v>499</v>
      </c>
      <c r="C1181" s="185" t="s">
        <v>499</v>
      </c>
      <c r="D1181" s="186" t="s">
        <v>499</v>
      </c>
      <c r="E1181" s="185" t="s">
        <v>499</v>
      </c>
      <c r="F1181" s="185" t="s">
        <v>499</v>
      </c>
      <c r="G1181" s="187">
        <f t="shared" si="18"/>
        <v>0</v>
      </c>
      <c r="H1181" s="188"/>
      <c r="I1181" s="188"/>
      <c r="J1181" s="188"/>
      <c r="K1181" s="185"/>
      <c r="L1181" s="185"/>
      <c r="M1181" s="185"/>
      <c r="N1181" s="185"/>
      <c r="O1181" s="193"/>
      <c r="P1181" s="193"/>
      <c r="Q1181" s="195"/>
      <c r="R1181" s="191"/>
      <c r="S1181" s="192"/>
    </row>
    <row r="1182" spans="1:19" ht="20.5" thickTop="1" thickBot="1" x14ac:dyDescent="0.4">
      <c r="A1182" s="184" t="s">
        <v>499</v>
      </c>
      <c r="B1182" s="185" t="s">
        <v>499</v>
      </c>
      <c r="C1182" s="185" t="s">
        <v>499</v>
      </c>
      <c r="D1182" s="186" t="s">
        <v>499</v>
      </c>
      <c r="E1182" s="185" t="s">
        <v>499</v>
      </c>
      <c r="F1182" s="185" t="s">
        <v>499</v>
      </c>
      <c r="G1182" s="187">
        <f t="shared" si="18"/>
        <v>0</v>
      </c>
      <c r="H1182" s="188"/>
      <c r="I1182" s="188"/>
      <c r="J1182" s="188"/>
      <c r="K1182" s="185"/>
      <c r="L1182" s="185"/>
      <c r="M1182" s="185"/>
      <c r="N1182" s="185"/>
      <c r="O1182" s="193"/>
      <c r="P1182" s="193"/>
      <c r="Q1182" s="195"/>
      <c r="R1182" s="191"/>
      <c r="S1182" s="192"/>
    </row>
    <row r="1183" spans="1:19" ht="20.5" thickTop="1" thickBot="1" x14ac:dyDescent="0.4">
      <c r="A1183" s="184" t="s">
        <v>499</v>
      </c>
      <c r="B1183" s="185" t="s">
        <v>499</v>
      </c>
      <c r="C1183" s="185" t="s">
        <v>499</v>
      </c>
      <c r="D1183" s="186" t="s">
        <v>499</v>
      </c>
      <c r="E1183" s="185" t="s">
        <v>499</v>
      </c>
      <c r="F1183" s="185" t="s">
        <v>499</v>
      </c>
      <c r="G1183" s="187">
        <f t="shared" si="18"/>
        <v>0</v>
      </c>
      <c r="H1183" s="188"/>
      <c r="I1183" s="188"/>
      <c r="J1183" s="188"/>
      <c r="K1183" s="185"/>
      <c r="L1183" s="185"/>
      <c r="M1183" s="185"/>
      <c r="N1183" s="185"/>
      <c r="O1183" s="193"/>
      <c r="P1183" s="193"/>
      <c r="Q1183" s="195"/>
      <c r="R1183" s="191"/>
      <c r="S1183" s="192"/>
    </row>
    <row r="1184" spans="1:19" ht="20.5" thickTop="1" thickBot="1" x14ac:dyDescent="0.4">
      <c r="A1184" s="184" t="s">
        <v>499</v>
      </c>
      <c r="B1184" s="185" t="s">
        <v>499</v>
      </c>
      <c r="C1184" s="185" t="s">
        <v>499</v>
      </c>
      <c r="D1184" s="186" t="s">
        <v>499</v>
      </c>
      <c r="E1184" s="185" t="s">
        <v>499</v>
      </c>
      <c r="F1184" s="185" t="s">
        <v>499</v>
      </c>
      <c r="G1184" s="187">
        <f t="shared" si="18"/>
        <v>0</v>
      </c>
      <c r="H1184" s="188"/>
      <c r="I1184" s="188"/>
      <c r="J1184" s="188"/>
      <c r="K1184" s="185"/>
      <c r="L1184" s="185"/>
      <c r="M1184" s="185"/>
      <c r="N1184" s="185"/>
      <c r="O1184" s="193"/>
      <c r="P1184" s="193"/>
      <c r="Q1184" s="195"/>
      <c r="R1184" s="191"/>
      <c r="S1184" s="192"/>
    </row>
    <row r="1185" spans="1:19" ht="20.5" thickTop="1" thickBot="1" x14ac:dyDescent="0.4">
      <c r="A1185" s="184" t="s">
        <v>499</v>
      </c>
      <c r="B1185" s="185" t="s">
        <v>499</v>
      </c>
      <c r="C1185" s="185" t="s">
        <v>499</v>
      </c>
      <c r="D1185" s="186" t="s">
        <v>499</v>
      </c>
      <c r="E1185" s="185" t="s">
        <v>499</v>
      </c>
      <c r="F1185" s="185" t="s">
        <v>499</v>
      </c>
      <c r="G1185" s="187">
        <f t="shared" si="18"/>
        <v>0</v>
      </c>
      <c r="H1185" s="188"/>
      <c r="I1185" s="188"/>
      <c r="J1185" s="188"/>
      <c r="K1185" s="185"/>
      <c r="L1185" s="185"/>
      <c r="M1185" s="185"/>
      <c r="N1185" s="185"/>
      <c r="O1185" s="193"/>
      <c r="P1185" s="193"/>
      <c r="Q1185" s="195"/>
      <c r="R1185" s="191"/>
      <c r="S1185" s="192"/>
    </row>
    <row r="1186" spans="1:19" ht="20.5" thickTop="1" thickBot="1" x14ac:dyDescent="0.4">
      <c r="A1186" s="184" t="s">
        <v>499</v>
      </c>
      <c r="B1186" s="185" t="s">
        <v>499</v>
      </c>
      <c r="C1186" s="185" t="s">
        <v>499</v>
      </c>
      <c r="D1186" s="186" t="s">
        <v>499</v>
      </c>
      <c r="E1186" s="185" t="s">
        <v>499</v>
      </c>
      <c r="F1186" s="185" t="s">
        <v>499</v>
      </c>
      <c r="G1186" s="187">
        <f t="shared" si="18"/>
        <v>0</v>
      </c>
      <c r="H1186" s="188"/>
      <c r="I1186" s="188"/>
      <c r="J1186" s="188"/>
      <c r="K1186" s="185"/>
      <c r="L1186" s="185"/>
      <c r="M1186" s="185"/>
      <c r="N1186" s="185"/>
      <c r="O1186" s="193"/>
      <c r="P1186" s="193"/>
      <c r="Q1186" s="195"/>
      <c r="R1186" s="191"/>
      <c r="S1186" s="192"/>
    </row>
    <row r="1187" spans="1:19" ht="20.5" thickTop="1" thickBot="1" x14ac:dyDescent="0.4">
      <c r="A1187" s="184" t="s">
        <v>499</v>
      </c>
      <c r="B1187" s="185" t="s">
        <v>499</v>
      </c>
      <c r="C1187" s="185" t="s">
        <v>499</v>
      </c>
      <c r="D1187" s="186" t="s">
        <v>499</v>
      </c>
      <c r="E1187" s="185" t="s">
        <v>499</v>
      </c>
      <c r="F1187" s="185" t="s">
        <v>499</v>
      </c>
      <c r="G1187" s="187">
        <f t="shared" si="18"/>
        <v>0</v>
      </c>
      <c r="H1187" s="188"/>
      <c r="I1187" s="188"/>
      <c r="J1187" s="188"/>
      <c r="K1187" s="185"/>
      <c r="L1187" s="185"/>
      <c r="M1187" s="185"/>
      <c r="N1187" s="185"/>
      <c r="O1187" s="193"/>
      <c r="P1187" s="193"/>
      <c r="Q1187" s="195"/>
      <c r="R1187" s="191"/>
      <c r="S1187" s="192"/>
    </row>
    <row r="1188" spans="1:19" ht="20.5" thickTop="1" thickBot="1" x14ac:dyDescent="0.4">
      <c r="A1188" s="184" t="s">
        <v>499</v>
      </c>
      <c r="B1188" s="185" t="s">
        <v>499</v>
      </c>
      <c r="C1188" s="185" t="s">
        <v>499</v>
      </c>
      <c r="D1188" s="186" t="s">
        <v>499</v>
      </c>
      <c r="E1188" s="185" t="s">
        <v>499</v>
      </c>
      <c r="F1188" s="185" t="s">
        <v>499</v>
      </c>
      <c r="G1188" s="187">
        <f t="shared" si="18"/>
        <v>0</v>
      </c>
      <c r="H1188" s="188"/>
      <c r="I1188" s="188"/>
      <c r="J1188" s="188"/>
      <c r="K1188" s="185"/>
      <c r="L1188" s="185"/>
      <c r="M1188" s="185"/>
      <c r="N1188" s="185"/>
      <c r="O1188" s="193"/>
      <c r="P1188" s="193"/>
      <c r="Q1188" s="195"/>
      <c r="R1188" s="191"/>
      <c r="S1188" s="192"/>
    </row>
    <row r="1189" spans="1:19" ht="20.5" thickTop="1" thickBot="1" x14ac:dyDescent="0.4">
      <c r="A1189" s="184" t="s">
        <v>499</v>
      </c>
      <c r="B1189" s="185" t="s">
        <v>499</v>
      </c>
      <c r="C1189" s="185" t="s">
        <v>499</v>
      </c>
      <c r="D1189" s="186" t="s">
        <v>499</v>
      </c>
      <c r="E1189" s="185" t="s">
        <v>499</v>
      </c>
      <c r="F1189" s="185" t="s">
        <v>499</v>
      </c>
      <c r="G1189" s="187">
        <f t="shared" si="18"/>
        <v>0</v>
      </c>
      <c r="H1189" s="188"/>
      <c r="I1189" s="188"/>
      <c r="J1189" s="188"/>
      <c r="K1189" s="185"/>
      <c r="L1189" s="185"/>
      <c r="M1189" s="185"/>
      <c r="N1189" s="185"/>
      <c r="O1189" s="193"/>
      <c r="P1189" s="193"/>
      <c r="Q1189" s="195"/>
      <c r="R1189" s="191"/>
      <c r="S1189" s="192"/>
    </row>
    <row r="1190" spans="1:19" ht="20.5" thickTop="1" thickBot="1" x14ac:dyDescent="0.4">
      <c r="A1190" s="184" t="s">
        <v>499</v>
      </c>
      <c r="B1190" s="185" t="s">
        <v>499</v>
      </c>
      <c r="C1190" s="185" t="s">
        <v>499</v>
      </c>
      <c r="D1190" s="186" t="s">
        <v>499</v>
      </c>
      <c r="E1190" s="185" t="s">
        <v>499</v>
      </c>
      <c r="F1190" s="185" t="s">
        <v>499</v>
      </c>
      <c r="G1190" s="187">
        <f t="shared" si="18"/>
        <v>0</v>
      </c>
      <c r="H1190" s="188"/>
      <c r="I1190" s="188"/>
      <c r="J1190" s="188"/>
      <c r="K1190" s="185"/>
      <c r="L1190" s="185"/>
      <c r="M1190" s="185"/>
      <c r="N1190" s="185"/>
      <c r="O1190" s="193"/>
      <c r="P1190" s="193"/>
      <c r="Q1190" s="195"/>
      <c r="R1190" s="191"/>
      <c r="S1190" s="192"/>
    </row>
    <row r="1191" spans="1:19" ht="20.5" thickTop="1" thickBot="1" x14ac:dyDescent="0.4">
      <c r="A1191" s="184" t="s">
        <v>499</v>
      </c>
      <c r="B1191" s="185" t="s">
        <v>499</v>
      </c>
      <c r="C1191" s="185" t="s">
        <v>499</v>
      </c>
      <c r="D1191" s="186" t="s">
        <v>499</v>
      </c>
      <c r="E1191" s="185" t="s">
        <v>499</v>
      </c>
      <c r="F1191" s="185" t="s">
        <v>499</v>
      </c>
      <c r="G1191" s="187">
        <f t="shared" si="18"/>
        <v>0</v>
      </c>
      <c r="H1191" s="188"/>
      <c r="I1191" s="188"/>
      <c r="J1191" s="188"/>
      <c r="K1191" s="185"/>
      <c r="L1191" s="185"/>
      <c r="M1191" s="185"/>
      <c r="N1191" s="185"/>
      <c r="O1191" s="193"/>
      <c r="P1191" s="193"/>
      <c r="Q1191" s="195"/>
      <c r="R1191" s="191"/>
      <c r="S1191" s="192"/>
    </row>
    <row r="1192" spans="1:19" ht="20.5" thickTop="1" thickBot="1" x14ac:dyDescent="0.4">
      <c r="A1192" s="184" t="s">
        <v>499</v>
      </c>
      <c r="B1192" s="185" t="s">
        <v>499</v>
      </c>
      <c r="C1192" s="185" t="s">
        <v>499</v>
      </c>
      <c r="D1192" s="186" t="s">
        <v>499</v>
      </c>
      <c r="E1192" s="185" t="s">
        <v>499</v>
      </c>
      <c r="F1192" s="185" t="s">
        <v>499</v>
      </c>
      <c r="G1192" s="187">
        <f t="shared" si="18"/>
        <v>0</v>
      </c>
      <c r="H1192" s="188"/>
      <c r="I1192" s="188"/>
      <c r="J1192" s="188"/>
      <c r="K1192" s="185"/>
      <c r="L1192" s="185"/>
      <c r="M1192" s="185"/>
      <c r="N1192" s="185"/>
      <c r="O1192" s="193"/>
      <c r="P1192" s="193"/>
      <c r="Q1192" s="195"/>
      <c r="R1192" s="191"/>
      <c r="S1192" s="192"/>
    </row>
    <row r="1193" spans="1:19" ht="20.5" thickTop="1" thickBot="1" x14ac:dyDescent="0.4">
      <c r="A1193" s="184" t="s">
        <v>499</v>
      </c>
      <c r="B1193" s="185" t="s">
        <v>499</v>
      </c>
      <c r="C1193" s="185" t="s">
        <v>499</v>
      </c>
      <c r="D1193" s="186" t="s">
        <v>499</v>
      </c>
      <c r="E1193" s="185" t="s">
        <v>499</v>
      </c>
      <c r="F1193" s="185" t="s">
        <v>499</v>
      </c>
      <c r="G1193" s="187">
        <f t="shared" si="18"/>
        <v>0</v>
      </c>
      <c r="H1193" s="188"/>
      <c r="I1193" s="188"/>
      <c r="J1193" s="188"/>
      <c r="K1193" s="185"/>
      <c r="L1193" s="185"/>
      <c r="M1193" s="185"/>
      <c r="N1193" s="185"/>
      <c r="O1193" s="193"/>
      <c r="P1193" s="193"/>
      <c r="Q1193" s="195"/>
      <c r="R1193" s="191"/>
      <c r="S1193" s="192"/>
    </row>
    <row r="1194" spans="1:19" ht="20.5" thickTop="1" thickBot="1" x14ac:dyDescent="0.4">
      <c r="A1194" s="184" t="s">
        <v>499</v>
      </c>
      <c r="B1194" s="185" t="s">
        <v>499</v>
      </c>
      <c r="C1194" s="185" t="s">
        <v>499</v>
      </c>
      <c r="D1194" s="186" t="s">
        <v>499</v>
      </c>
      <c r="E1194" s="185" t="s">
        <v>499</v>
      </c>
      <c r="F1194" s="185" t="s">
        <v>499</v>
      </c>
      <c r="G1194" s="187">
        <f t="shared" si="18"/>
        <v>0</v>
      </c>
      <c r="H1194" s="188"/>
      <c r="I1194" s="188"/>
      <c r="J1194" s="188"/>
      <c r="K1194" s="185"/>
      <c r="L1194" s="185"/>
      <c r="M1194" s="185"/>
      <c r="N1194" s="185"/>
      <c r="O1194" s="193"/>
      <c r="P1194" s="193"/>
      <c r="Q1194" s="195"/>
      <c r="R1194" s="191"/>
      <c r="S1194" s="192"/>
    </row>
    <row r="1195" spans="1:19" ht="20.5" thickTop="1" thickBot="1" x14ac:dyDescent="0.4">
      <c r="A1195" s="184" t="s">
        <v>499</v>
      </c>
      <c r="B1195" s="185" t="s">
        <v>499</v>
      </c>
      <c r="C1195" s="185" t="s">
        <v>499</v>
      </c>
      <c r="D1195" s="186" t="s">
        <v>499</v>
      </c>
      <c r="E1195" s="185" t="s">
        <v>499</v>
      </c>
      <c r="F1195" s="185" t="s">
        <v>499</v>
      </c>
      <c r="G1195" s="187">
        <f t="shared" si="18"/>
        <v>0</v>
      </c>
      <c r="H1195" s="188"/>
      <c r="I1195" s="188"/>
      <c r="J1195" s="188"/>
      <c r="K1195" s="185"/>
      <c r="L1195" s="185"/>
      <c r="M1195" s="185"/>
      <c r="N1195" s="185"/>
      <c r="O1195" s="193"/>
      <c r="P1195" s="193"/>
      <c r="Q1195" s="195"/>
      <c r="R1195" s="191"/>
      <c r="S1195" s="192"/>
    </row>
    <row r="1196" spans="1:19" ht="20.5" thickTop="1" thickBot="1" x14ac:dyDescent="0.4">
      <c r="A1196" s="184" t="s">
        <v>499</v>
      </c>
      <c r="B1196" s="185" t="s">
        <v>499</v>
      </c>
      <c r="C1196" s="185" t="s">
        <v>499</v>
      </c>
      <c r="D1196" s="186" t="s">
        <v>499</v>
      </c>
      <c r="E1196" s="185" t="s">
        <v>499</v>
      </c>
      <c r="F1196" s="185" t="s">
        <v>499</v>
      </c>
      <c r="G1196" s="187">
        <f t="shared" si="18"/>
        <v>0</v>
      </c>
      <c r="H1196" s="188"/>
      <c r="I1196" s="188"/>
      <c r="J1196" s="188"/>
      <c r="K1196" s="185"/>
      <c r="L1196" s="185"/>
      <c r="M1196" s="185"/>
      <c r="N1196" s="185"/>
      <c r="O1196" s="193"/>
      <c r="P1196" s="193"/>
      <c r="Q1196" s="195"/>
      <c r="R1196" s="191"/>
      <c r="S1196" s="192"/>
    </row>
    <row r="1197" spans="1:19" ht="20.5" thickTop="1" thickBot="1" x14ac:dyDescent="0.4">
      <c r="A1197" s="184" t="s">
        <v>499</v>
      </c>
      <c r="B1197" s="185" t="s">
        <v>499</v>
      </c>
      <c r="C1197" s="185" t="s">
        <v>499</v>
      </c>
      <c r="D1197" s="186" t="s">
        <v>499</v>
      </c>
      <c r="E1197" s="185" t="s">
        <v>499</v>
      </c>
      <c r="F1197" s="185" t="s">
        <v>499</v>
      </c>
      <c r="G1197" s="187">
        <f t="shared" si="18"/>
        <v>0</v>
      </c>
      <c r="H1197" s="188"/>
      <c r="I1197" s="188"/>
      <c r="J1197" s="188"/>
      <c r="K1197" s="185"/>
      <c r="L1197" s="185"/>
      <c r="M1197" s="185"/>
      <c r="N1197" s="185"/>
      <c r="O1197" s="193"/>
      <c r="P1197" s="193"/>
      <c r="Q1197" s="195"/>
      <c r="R1197" s="191"/>
      <c r="S1197" s="192"/>
    </row>
    <row r="1198" spans="1:19" ht="20.5" thickTop="1" thickBot="1" x14ac:dyDescent="0.4">
      <c r="A1198" s="184" t="s">
        <v>499</v>
      </c>
      <c r="B1198" s="185" t="s">
        <v>499</v>
      </c>
      <c r="C1198" s="185" t="s">
        <v>499</v>
      </c>
      <c r="D1198" s="186" t="s">
        <v>499</v>
      </c>
      <c r="E1198" s="185" t="s">
        <v>499</v>
      </c>
      <c r="F1198" s="185" t="s">
        <v>499</v>
      </c>
      <c r="G1198" s="187">
        <f t="shared" si="18"/>
        <v>0</v>
      </c>
      <c r="H1198" s="188"/>
      <c r="I1198" s="188"/>
      <c r="J1198" s="188"/>
      <c r="K1198" s="185"/>
      <c r="L1198" s="185"/>
      <c r="M1198" s="185"/>
      <c r="N1198" s="185"/>
      <c r="O1198" s="193"/>
      <c r="P1198" s="193"/>
      <c r="Q1198" s="195"/>
      <c r="R1198" s="191"/>
      <c r="S1198" s="192"/>
    </row>
    <row r="1199" spans="1:19" ht="20.5" thickTop="1" thickBot="1" x14ac:dyDescent="0.4">
      <c r="A1199" s="184" t="s">
        <v>499</v>
      </c>
      <c r="B1199" s="185" t="s">
        <v>499</v>
      </c>
      <c r="C1199" s="185" t="s">
        <v>499</v>
      </c>
      <c r="D1199" s="186" t="s">
        <v>499</v>
      </c>
      <c r="E1199" s="185" t="s">
        <v>499</v>
      </c>
      <c r="F1199" s="185" t="s">
        <v>499</v>
      </c>
      <c r="G1199" s="187">
        <f t="shared" si="18"/>
        <v>0</v>
      </c>
      <c r="H1199" s="188"/>
      <c r="I1199" s="188"/>
      <c r="J1199" s="188"/>
      <c r="K1199" s="185"/>
      <c r="L1199" s="185"/>
      <c r="M1199" s="185"/>
      <c r="N1199" s="185"/>
      <c r="O1199" s="193"/>
      <c r="P1199" s="193"/>
      <c r="Q1199" s="195"/>
      <c r="R1199" s="191"/>
      <c r="S1199" s="192"/>
    </row>
    <row r="1200" spans="1:19" ht="20.5" thickTop="1" thickBot="1" x14ac:dyDescent="0.4">
      <c r="A1200" s="184" t="s">
        <v>499</v>
      </c>
      <c r="B1200" s="185" t="s">
        <v>499</v>
      </c>
      <c r="C1200" s="185" t="s">
        <v>499</v>
      </c>
      <c r="D1200" s="186" t="s">
        <v>499</v>
      </c>
      <c r="E1200" s="185" t="s">
        <v>499</v>
      </c>
      <c r="F1200" s="185" t="s">
        <v>499</v>
      </c>
      <c r="G1200" s="187">
        <f t="shared" si="18"/>
        <v>0</v>
      </c>
      <c r="H1200" s="188"/>
      <c r="I1200" s="188"/>
      <c r="J1200" s="188"/>
      <c r="K1200" s="185"/>
      <c r="L1200" s="185"/>
      <c r="M1200" s="185"/>
      <c r="N1200" s="185"/>
      <c r="O1200" s="193"/>
      <c r="P1200" s="193"/>
      <c r="Q1200" s="195"/>
      <c r="R1200" s="191"/>
      <c r="S1200" s="192"/>
    </row>
    <row r="1201" spans="1:19" ht="20.5" thickTop="1" thickBot="1" x14ac:dyDescent="0.4">
      <c r="A1201" s="184" t="s">
        <v>499</v>
      </c>
      <c r="B1201" s="185" t="s">
        <v>499</v>
      </c>
      <c r="C1201" s="185" t="s">
        <v>499</v>
      </c>
      <c r="D1201" s="186" t="s">
        <v>499</v>
      </c>
      <c r="E1201" s="185" t="s">
        <v>499</v>
      </c>
      <c r="F1201" s="185" t="s">
        <v>499</v>
      </c>
      <c r="G1201" s="187">
        <f t="shared" si="18"/>
        <v>0</v>
      </c>
      <c r="H1201" s="188"/>
      <c r="I1201" s="188"/>
      <c r="J1201" s="188"/>
      <c r="K1201" s="185"/>
      <c r="L1201" s="185"/>
      <c r="M1201" s="185"/>
      <c r="N1201" s="185"/>
      <c r="O1201" s="193"/>
      <c r="P1201" s="193"/>
      <c r="Q1201" s="195"/>
      <c r="R1201" s="191"/>
      <c r="S1201" s="192"/>
    </row>
    <row r="1202" spans="1:19" ht="20.5" thickTop="1" thickBot="1" x14ac:dyDescent="0.4">
      <c r="A1202" s="184" t="s">
        <v>499</v>
      </c>
      <c r="B1202" s="185" t="s">
        <v>499</v>
      </c>
      <c r="C1202" s="185" t="s">
        <v>499</v>
      </c>
      <c r="D1202" s="186" t="s">
        <v>499</v>
      </c>
      <c r="E1202" s="185" t="s">
        <v>499</v>
      </c>
      <c r="F1202" s="185" t="s">
        <v>499</v>
      </c>
      <c r="G1202" s="187">
        <f t="shared" si="18"/>
        <v>0</v>
      </c>
      <c r="H1202" s="188"/>
      <c r="I1202" s="188"/>
      <c r="J1202" s="188"/>
      <c r="K1202" s="185"/>
      <c r="L1202" s="185"/>
      <c r="M1202" s="185"/>
      <c r="N1202" s="185"/>
      <c r="O1202" s="193"/>
      <c r="P1202" s="193"/>
      <c r="Q1202" s="195"/>
      <c r="R1202" s="191"/>
      <c r="S1202" s="192"/>
    </row>
    <row r="1203" spans="1:19" ht="20.5" thickTop="1" thickBot="1" x14ac:dyDescent="0.4">
      <c r="A1203" s="184" t="s">
        <v>499</v>
      </c>
      <c r="B1203" s="185" t="s">
        <v>499</v>
      </c>
      <c r="C1203" s="185" t="s">
        <v>499</v>
      </c>
      <c r="D1203" s="186" t="s">
        <v>499</v>
      </c>
      <c r="E1203" s="185" t="s">
        <v>499</v>
      </c>
      <c r="F1203" s="185" t="s">
        <v>499</v>
      </c>
      <c r="G1203" s="187">
        <f t="shared" si="18"/>
        <v>0</v>
      </c>
      <c r="H1203" s="188"/>
      <c r="I1203" s="188"/>
      <c r="J1203" s="188"/>
      <c r="K1203" s="185"/>
      <c r="L1203" s="185"/>
      <c r="M1203" s="185"/>
      <c r="N1203" s="185"/>
      <c r="O1203" s="193"/>
      <c r="P1203" s="193"/>
      <c r="Q1203" s="195"/>
      <c r="R1203" s="191"/>
      <c r="S1203" s="192"/>
    </row>
    <row r="1204" spans="1:19" ht="20.5" thickTop="1" thickBot="1" x14ac:dyDescent="0.4">
      <c r="A1204" s="184" t="s">
        <v>499</v>
      </c>
      <c r="B1204" s="185" t="s">
        <v>499</v>
      </c>
      <c r="C1204" s="185" t="s">
        <v>499</v>
      </c>
      <c r="D1204" s="186" t="s">
        <v>499</v>
      </c>
      <c r="E1204" s="185" t="s">
        <v>499</v>
      </c>
      <c r="F1204" s="185" t="s">
        <v>499</v>
      </c>
      <c r="G1204" s="187">
        <f t="shared" si="18"/>
        <v>0</v>
      </c>
      <c r="H1204" s="188"/>
      <c r="I1204" s="188"/>
      <c r="J1204" s="188"/>
      <c r="K1204" s="185"/>
      <c r="L1204" s="185"/>
      <c r="M1204" s="185"/>
      <c r="N1204" s="185"/>
      <c r="O1204" s="193"/>
      <c r="P1204" s="193"/>
      <c r="Q1204" s="195"/>
      <c r="R1204" s="191"/>
      <c r="S1204" s="192"/>
    </row>
    <row r="1205" spans="1:19" ht="20.5" thickTop="1" thickBot="1" x14ac:dyDescent="0.4">
      <c r="A1205" s="184" t="s">
        <v>499</v>
      </c>
      <c r="B1205" s="185" t="s">
        <v>499</v>
      </c>
      <c r="C1205" s="185" t="s">
        <v>499</v>
      </c>
      <c r="D1205" s="186" t="s">
        <v>499</v>
      </c>
      <c r="E1205" s="185" t="s">
        <v>499</v>
      </c>
      <c r="F1205" s="185" t="s">
        <v>499</v>
      </c>
      <c r="G1205" s="187">
        <f t="shared" si="18"/>
        <v>0</v>
      </c>
      <c r="H1205" s="188"/>
      <c r="I1205" s="188"/>
      <c r="J1205" s="188"/>
      <c r="K1205" s="185"/>
      <c r="L1205" s="185"/>
      <c r="M1205" s="185"/>
      <c r="N1205" s="185"/>
      <c r="O1205" s="193"/>
      <c r="P1205" s="193"/>
      <c r="Q1205" s="195"/>
      <c r="R1205" s="191"/>
      <c r="S1205" s="192"/>
    </row>
    <row r="1206" spans="1:19" ht="20.5" thickTop="1" thickBot="1" x14ac:dyDescent="0.4">
      <c r="A1206" s="184" t="s">
        <v>499</v>
      </c>
      <c r="B1206" s="185" t="s">
        <v>499</v>
      </c>
      <c r="C1206" s="185" t="s">
        <v>499</v>
      </c>
      <c r="D1206" s="186" t="s">
        <v>499</v>
      </c>
      <c r="E1206" s="185" t="s">
        <v>499</v>
      </c>
      <c r="F1206" s="185" t="s">
        <v>499</v>
      </c>
      <c r="G1206" s="187">
        <f t="shared" si="18"/>
        <v>0</v>
      </c>
      <c r="H1206" s="188"/>
      <c r="I1206" s="188"/>
      <c r="J1206" s="188"/>
      <c r="K1206" s="185"/>
      <c r="L1206" s="185"/>
      <c r="M1206" s="185"/>
      <c r="N1206" s="185"/>
      <c r="O1206" s="193"/>
      <c r="P1206" s="193"/>
      <c r="Q1206" s="195"/>
      <c r="R1206" s="191"/>
      <c r="S1206" s="192"/>
    </row>
    <row r="1207" spans="1:19" ht="20.5" thickTop="1" thickBot="1" x14ac:dyDescent="0.4">
      <c r="A1207" s="184" t="s">
        <v>499</v>
      </c>
      <c r="B1207" s="185" t="s">
        <v>499</v>
      </c>
      <c r="C1207" s="185" t="s">
        <v>499</v>
      </c>
      <c r="D1207" s="186" t="s">
        <v>499</v>
      </c>
      <c r="E1207" s="185" t="s">
        <v>499</v>
      </c>
      <c r="F1207" s="185" t="s">
        <v>499</v>
      </c>
      <c r="G1207" s="187">
        <f t="shared" si="18"/>
        <v>0</v>
      </c>
      <c r="H1207" s="188"/>
      <c r="I1207" s="188"/>
      <c r="J1207" s="188"/>
      <c r="K1207" s="185"/>
      <c r="L1207" s="185"/>
      <c r="M1207" s="185"/>
      <c r="N1207" s="185"/>
      <c r="O1207" s="193"/>
      <c r="P1207" s="193"/>
      <c r="Q1207" s="195"/>
      <c r="R1207" s="191"/>
      <c r="S1207" s="192"/>
    </row>
    <row r="1208" spans="1:19" ht="20.5" thickTop="1" thickBot="1" x14ac:dyDescent="0.4">
      <c r="A1208" s="184" t="s">
        <v>499</v>
      </c>
      <c r="B1208" s="185" t="s">
        <v>499</v>
      </c>
      <c r="C1208" s="185" t="s">
        <v>499</v>
      </c>
      <c r="D1208" s="186" t="s">
        <v>499</v>
      </c>
      <c r="E1208" s="185" t="s">
        <v>499</v>
      </c>
      <c r="F1208" s="185" t="s">
        <v>499</v>
      </c>
      <c r="G1208" s="187">
        <f t="shared" si="18"/>
        <v>0</v>
      </c>
      <c r="H1208" s="188"/>
      <c r="I1208" s="188"/>
      <c r="J1208" s="188"/>
      <c r="K1208" s="185"/>
      <c r="L1208" s="185"/>
      <c r="M1208" s="185"/>
      <c r="N1208" s="185"/>
      <c r="O1208" s="193"/>
      <c r="P1208" s="193"/>
      <c r="Q1208" s="195"/>
      <c r="R1208" s="191"/>
      <c r="S1208" s="192"/>
    </row>
    <row r="1209" spans="1:19" ht="20.5" thickTop="1" thickBot="1" x14ac:dyDescent="0.4">
      <c r="A1209" s="184" t="s">
        <v>499</v>
      </c>
      <c r="B1209" s="185" t="s">
        <v>499</v>
      </c>
      <c r="C1209" s="185" t="s">
        <v>499</v>
      </c>
      <c r="D1209" s="186" t="s">
        <v>499</v>
      </c>
      <c r="E1209" s="185" t="s">
        <v>499</v>
      </c>
      <c r="F1209" s="185" t="s">
        <v>499</v>
      </c>
      <c r="G1209" s="187">
        <f t="shared" si="18"/>
        <v>0</v>
      </c>
      <c r="H1209" s="188"/>
      <c r="I1209" s="188"/>
      <c r="J1209" s="188"/>
      <c r="K1209" s="185"/>
      <c r="L1209" s="185"/>
      <c r="M1209" s="185"/>
      <c r="N1209" s="185"/>
      <c r="O1209" s="193"/>
      <c r="P1209" s="193"/>
      <c r="Q1209" s="195"/>
      <c r="R1209" s="191"/>
      <c r="S1209" s="192"/>
    </row>
    <row r="1210" spans="1:19" ht="20.5" thickTop="1" thickBot="1" x14ac:dyDescent="0.4">
      <c r="A1210" s="184" t="s">
        <v>499</v>
      </c>
      <c r="B1210" s="185" t="s">
        <v>499</v>
      </c>
      <c r="C1210" s="185" t="s">
        <v>499</v>
      </c>
      <c r="D1210" s="186" t="s">
        <v>499</v>
      </c>
      <c r="E1210" s="185" t="s">
        <v>499</v>
      </c>
      <c r="F1210" s="185" t="s">
        <v>499</v>
      </c>
      <c r="G1210" s="187">
        <f t="shared" si="18"/>
        <v>0</v>
      </c>
      <c r="H1210" s="188"/>
      <c r="I1210" s="188"/>
      <c r="J1210" s="188"/>
      <c r="K1210" s="185"/>
      <c r="L1210" s="185"/>
      <c r="M1210" s="185"/>
      <c r="N1210" s="185"/>
      <c r="O1210" s="193"/>
      <c r="P1210" s="193"/>
      <c r="Q1210" s="195"/>
      <c r="R1210" s="191"/>
      <c r="S1210" s="192"/>
    </row>
    <row r="1211" spans="1:19" ht="20.5" thickTop="1" thickBot="1" x14ac:dyDescent="0.4">
      <c r="A1211" s="184" t="s">
        <v>499</v>
      </c>
      <c r="B1211" s="185" t="s">
        <v>499</v>
      </c>
      <c r="C1211" s="185" t="s">
        <v>499</v>
      </c>
      <c r="D1211" s="186" t="s">
        <v>499</v>
      </c>
      <c r="E1211" s="185" t="s">
        <v>499</v>
      </c>
      <c r="F1211" s="185" t="s">
        <v>499</v>
      </c>
      <c r="G1211" s="187">
        <f t="shared" si="18"/>
        <v>0</v>
      </c>
      <c r="H1211" s="188"/>
      <c r="I1211" s="188"/>
      <c r="J1211" s="188"/>
      <c r="K1211" s="185"/>
      <c r="L1211" s="185"/>
      <c r="M1211" s="185"/>
      <c r="N1211" s="185"/>
      <c r="O1211" s="193"/>
      <c r="P1211" s="193"/>
      <c r="Q1211" s="195"/>
      <c r="R1211" s="191"/>
      <c r="S1211" s="192"/>
    </row>
    <row r="1212" spans="1:19" ht="20.5" thickTop="1" thickBot="1" x14ac:dyDescent="0.4">
      <c r="A1212" s="184" t="s">
        <v>499</v>
      </c>
      <c r="B1212" s="185" t="s">
        <v>499</v>
      </c>
      <c r="C1212" s="185" t="s">
        <v>499</v>
      </c>
      <c r="D1212" s="186" t="s">
        <v>499</v>
      </c>
      <c r="E1212" s="185" t="s">
        <v>499</v>
      </c>
      <c r="F1212" s="185" t="s">
        <v>499</v>
      </c>
      <c r="G1212" s="187">
        <f t="shared" si="18"/>
        <v>0</v>
      </c>
      <c r="H1212" s="188"/>
      <c r="I1212" s="188"/>
      <c r="J1212" s="188"/>
      <c r="K1212" s="185"/>
      <c r="L1212" s="185"/>
      <c r="M1212" s="185"/>
      <c r="N1212" s="185"/>
      <c r="O1212" s="193"/>
      <c r="P1212" s="193"/>
      <c r="Q1212" s="195"/>
      <c r="R1212" s="191"/>
      <c r="S1212" s="192"/>
    </row>
    <row r="1213" spans="1:19" ht="20.5" thickTop="1" thickBot="1" x14ac:dyDescent="0.4">
      <c r="A1213" s="184" t="s">
        <v>499</v>
      </c>
      <c r="B1213" s="185" t="s">
        <v>499</v>
      </c>
      <c r="C1213" s="185" t="s">
        <v>499</v>
      </c>
      <c r="D1213" s="186" t="s">
        <v>499</v>
      </c>
      <c r="E1213" s="185" t="s">
        <v>499</v>
      </c>
      <c r="F1213" s="185" t="s">
        <v>499</v>
      </c>
      <c r="G1213" s="187">
        <f t="shared" si="18"/>
        <v>0</v>
      </c>
      <c r="H1213" s="188"/>
      <c r="I1213" s="188"/>
      <c r="J1213" s="188"/>
      <c r="K1213" s="185"/>
      <c r="L1213" s="185"/>
      <c r="M1213" s="185"/>
      <c r="N1213" s="185"/>
      <c r="O1213" s="193"/>
      <c r="P1213" s="193"/>
      <c r="Q1213" s="195"/>
      <c r="R1213" s="191"/>
      <c r="S1213" s="192"/>
    </row>
    <row r="1214" spans="1:19" ht="20.5" thickTop="1" thickBot="1" x14ac:dyDescent="0.4">
      <c r="A1214" s="184" t="s">
        <v>499</v>
      </c>
      <c r="B1214" s="185" t="s">
        <v>499</v>
      </c>
      <c r="C1214" s="185" t="s">
        <v>499</v>
      </c>
      <c r="D1214" s="186" t="s">
        <v>499</v>
      </c>
      <c r="E1214" s="185" t="s">
        <v>499</v>
      </c>
      <c r="F1214" s="185" t="s">
        <v>499</v>
      </c>
      <c r="G1214" s="187">
        <f t="shared" si="18"/>
        <v>0</v>
      </c>
      <c r="H1214" s="188"/>
      <c r="I1214" s="188"/>
      <c r="J1214" s="188"/>
      <c r="K1214" s="185"/>
      <c r="L1214" s="185"/>
      <c r="M1214" s="185"/>
      <c r="N1214" s="185"/>
      <c r="O1214" s="193"/>
      <c r="P1214" s="193"/>
      <c r="Q1214" s="195"/>
      <c r="R1214" s="191"/>
      <c r="S1214" s="192"/>
    </row>
    <row r="1215" spans="1:19" ht="20.5" thickTop="1" thickBot="1" x14ac:dyDescent="0.4">
      <c r="A1215" s="184" t="s">
        <v>499</v>
      </c>
      <c r="B1215" s="185" t="s">
        <v>499</v>
      </c>
      <c r="C1215" s="185" t="s">
        <v>499</v>
      </c>
      <c r="D1215" s="186" t="s">
        <v>499</v>
      </c>
      <c r="E1215" s="185" t="s">
        <v>499</v>
      </c>
      <c r="F1215" s="185" t="s">
        <v>499</v>
      </c>
      <c r="G1215" s="187">
        <f t="shared" si="18"/>
        <v>0</v>
      </c>
      <c r="H1215" s="188"/>
      <c r="I1215" s="188"/>
      <c r="J1215" s="188"/>
      <c r="K1215" s="185"/>
      <c r="L1215" s="185"/>
      <c r="M1215" s="185"/>
      <c r="N1215" s="185"/>
      <c r="O1215" s="193"/>
      <c r="P1215" s="193"/>
      <c r="Q1215" s="195"/>
      <c r="R1215" s="191"/>
      <c r="S1215" s="192"/>
    </row>
    <row r="1216" spans="1:19" ht="20.5" thickTop="1" thickBot="1" x14ac:dyDescent="0.4">
      <c r="A1216" s="184" t="s">
        <v>499</v>
      </c>
      <c r="B1216" s="185" t="s">
        <v>499</v>
      </c>
      <c r="C1216" s="185" t="s">
        <v>499</v>
      </c>
      <c r="D1216" s="186" t="s">
        <v>499</v>
      </c>
      <c r="E1216" s="185" t="s">
        <v>499</v>
      </c>
      <c r="F1216" s="185" t="s">
        <v>499</v>
      </c>
      <c r="G1216" s="187">
        <f t="shared" si="18"/>
        <v>0</v>
      </c>
      <c r="H1216" s="188"/>
      <c r="I1216" s="188"/>
      <c r="J1216" s="188"/>
      <c r="K1216" s="185"/>
      <c r="L1216" s="185"/>
      <c r="M1216" s="185"/>
      <c r="N1216" s="185"/>
      <c r="O1216" s="193"/>
      <c r="P1216" s="193"/>
      <c r="Q1216" s="195"/>
      <c r="R1216" s="191"/>
      <c r="S1216" s="192"/>
    </row>
    <row r="1217" spans="1:19" ht="20.5" thickTop="1" thickBot="1" x14ac:dyDescent="0.4">
      <c r="A1217" s="184" t="s">
        <v>499</v>
      </c>
      <c r="B1217" s="185" t="s">
        <v>499</v>
      </c>
      <c r="C1217" s="185" t="s">
        <v>499</v>
      </c>
      <c r="D1217" s="186" t="s">
        <v>499</v>
      </c>
      <c r="E1217" s="185" t="s">
        <v>499</v>
      </c>
      <c r="F1217" s="185" t="s">
        <v>499</v>
      </c>
      <c r="G1217" s="187">
        <f t="shared" si="18"/>
        <v>0</v>
      </c>
      <c r="H1217" s="188"/>
      <c r="I1217" s="188"/>
      <c r="J1217" s="188"/>
      <c r="K1217" s="185"/>
      <c r="L1217" s="185"/>
      <c r="M1217" s="185"/>
      <c r="N1217" s="185"/>
      <c r="O1217" s="193"/>
      <c r="P1217" s="193"/>
      <c r="Q1217" s="195"/>
      <c r="R1217" s="191"/>
      <c r="S1217" s="192"/>
    </row>
    <row r="1218" spans="1:19" ht="20.5" thickTop="1" thickBot="1" x14ac:dyDescent="0.4">
      <c r="A1218" s="184" t="s">
        <v>499</v>
      </c>
      <c r="B1218" s="185" t="s">
        <v>499</v>
      </c>
      <c r="C1218" s="185" t="s">
        <v>499</v>
      </c>
      <c r="D1218" s="186" t="s">
        <v>499</v>
      </c>
      <c r="E1218" s="185" t="s">
        <v>499</v>
      </c>
      <c r="F1218" s="185" t="s">
        <v>499</v>
      </c>
      <c r="G1218" s="187">
        <f t="shared" si="18"/>
        <v>0</v>
      </c>
      <c r="H1218" s="188"/>
      <c r="I1218" s="188"/>
      <c r="J1218" s="188"/>
      <c r="K1218" s="185"/>
      <c r="L1218" s="185"/>
      <c r="M1218" s="185"/>
      <c r="N1218" s="185"/>
      <c r="O1218" s="193"/>
      <c r="P1218" s="193"/>
      <c r="Q1218" s="195"/>
      <c r="R1218" s="191"/>
      <c r="S1218" s="192"/>
    </row>
    <row r="1219" spans="1:19" ht="20.5" thickTop="1" thickBot="1" x14ac:dyDescent="0.4">
      <c r="A1219" s="184" t="s">
        <v>499</v>
      </c>
      <c r="B1219" s="185" t="s">
        <v>499</v>
      </c>
      <c r="C1219" s="185" t="s">
        <v>499</v>
      </c>
      <c r="D1219" s="186" t="s">
        <v>499</v>
      </c>
      <c r="E1219" s="185" t="s">
        <v>499</v>
      </c>
      <c r="F1219" s="185" t="s">
        <v>499</v>
      </c>
      <c r="G1219" s="187">
        <f t="shared" si="18"/>
        <v>0</v>
      </c>
      <c r="H1219" s="188"/>
      <c r="I1219" s="188"/>
      <c r="J1219" s="188"/>
      <c r="K1219" s="185"/>
      <c r="L1219" s="185"/>
      <c r="M1219" s="185"/>
      <c r="N1219" s="185"/>
      <c r="O1219" s="193"/>
      <c r="P1219" s="193"/>
      <c r="Q1219" s="195"/>
      <c r="R1219" s="191"/>
      <c r="S1219" s="192"/>
    </row>
    <row r="1220" spans="1:19" ht="20.5" thickTop="1" thickBot="1" x14ac:dyDescent="0.4">
      <c r="A1220" s="184" t="s">
        <v>499</v>
      </c>
      <c r="B1220" s="185" t="s">
        <v>499</v>
      </c>
      <c r="C1220" s="185" t="s">
        <v>499</v>
      </c>
      <c r="D1220" s="186" t="s">
        <v>499</v>
      </c>
      <c r="E1220" s="185" t="s">
        <v>499</v>
      </c>
      <c r="F1220" s="185" t="s">
        <v>499</v>
      </c>
      <c r="G1220" s="187">
        <f t="shared" si="18"/>
        <v>0</v>
      </c>
      <c r="H1220" s="188"/>
      <c r="I1220" s="188"/>
      <c r="J1220" s="188"/>
      <c r="K1220" s="185"/>
      <c r="L1220" s="185"/>
      <c r="M1220" s="185"/>
      <c r="N1220" s="185"/>
      <c r="O1220" s="193"/>
      <c r="P1220" s="193"/>
      <c r="Q1220" s="195"/>
      <c r="R1220" s="191"/>
      <c r="S1220" s="192"/>
    </row>
    <row r="1221" spans="1:19" ht="20.5" thickTop="1" thickBot="1" x14ac:dyDescent="0.4">
      <c r="A1221" s="184" t="s">
        <v>499</v>
      </c>
      <c r="B1221" s="185" t="s">
        <v>499</v>
      </c>
      <c r="C1221" s="185" t="s">
        <v>499</v>
      </c>
      <c r="D1221" s="186" t="s">
        <v>499</v>
      </c>
      <c r="E1221" s="185" t="s">
        <v>499</v>
      </c>
      <c r="F1221" s="185" t="s">
        <v>499</v>
      </c>
      <c r="G1221" s="187">
        <f t="shared" ref="G1221:G1284" si="19">SUM(H1221:J1221)</f>
        <v>0</v>
      </c>
      <c r="H1221" s="188"/>
      <c r="I1221" s="188"/>
      <c r="J1221" s="188"/>
      <c r="K1221" s="185"/>
      <c r="L1221" s="185"/>
      <c r="M1221" s="185"/>
      <c r="N1221" s="185"/>
      <c r="O1221" s="193"/>
      <c r="P1221" s="193"/>
      <c r="Q1221" s="195"/>
      <c r="R1221" s="191"/>
      <c r="S1221" s="192"/>
    </row>
    <row r="1222" spans="1:19" ht="20.5" thickTop="1" thickBot="1" x14ac:dyDescent="0.4">
      <c r="A1222" s="184" t="s">
        <v>499</v>
      </c>
      <c r="B1222" s="185" t="s">
        <v>499</v>
      </c>
      <c r="C1222" s="185" t="s">
        <v>499</v>
      </c>
      <c r="D1222" s="186" t="s">
        <v>499</v>
      </c>
      <c r="E1222" s="185" t="s">
        <v>499</v>
      </c>
      <c r="F1222" s="185" t="s">
        <v>499</v>
      </c>
      <c r="G1222" s="187">
        <f t="shared" si="19"/>
        <v>0</v>
      </c>
      <c r="H1222" s="188"/>
      <c r="I1222" s="188"/>
      <c r="J1222" s="188"/>
      <c r="K1222" s="185"/>
      <c r="L1222" s="185"/>
      <c r="M1222" s="185"/>
      <c r="N1222" s="185"/>
      <c r="O1222" s="193"/>
      <c r="P1222" s="193"/>
      <c r="Q1222" s="195"/>
      <c r="R1222" s="191"/>
      <c r="S1222" s="192"/>
    </row>
    <row r="1223" spans="1:19" ht="20.5" thickTop="1" thickBot="1" x14ac:dyDescent="0.4">
      <c r="A1223" s="184" t="s">
        <v>499</v>
      </c>
      <c r="B1223" s="185" t="s">
        <v>499</v>
      </c>
      <c r="C1223" s="185" t="s">
        <v>499</v>
      </c>
      <c r="D1223" s="186" t="s">
        <v>499</v>
      </c>
      <c r="E1223" s="185" t="s">
        <v>499</v>
      </c>
      <c r="F1223" s="185" t="s">
        <v>499</v>
      </c>
      <c r="G1223" s="187">
        <f t="shared" si="19"/>
        <v>0</v>
      </c>
      <c r="H1223" s="188"/>
      <c r="I1223" s="188"/>
      <c r="J1223" s="188"/>
      <c r="K1223" s="185"/>
      <c r="L1223" s="185"/>
      <c r="M1223" s="185"/>
      <c r="N1223" s="185"/>
      <c r="O1223" s="193"/>
      <c r="P1223" s="193"/>
      <c r="Q1223" s="195"/>
      <c r="R1223" s="191"/>
      <c r="S1223" s="192"/>
    </row>
    <row r="1224" spans="1:19" ht="20.5" thickTop="1" thickBot="1" x14ac:dyDescent="0.4">
      <c r="A1224" s="184" t="s">
        <v>499</v>
      </c>
      <c r="B1224" s="185" t="s">
        <v>499</v>
      </c>
      <c r="C1224" s="185" t="s">
        <v>499</v>
      </c>
      <c r="D1224" s="186" t="s">
        <v>499</v>
      </c>
      <c r="E1224" s="185" t="s">
        <v>499</v>
      </c>
      <c r="F1224" s="185" t="s">
        <v>499</v>
      </c>
      <c r="G1224" s="187">
        <f t="shared" si="19"/>
        <v>0</v>
      </c>
      <c r="H1224" s="188"/>
      <c r="I1224" s="188"/>
      <c r="J1224" s="188"/>
      <c r="K1224" s="185"/>
      <c r="L1224" s="185"/>
      <c r="M1224" s="185"/>
      <c r="N1224" s="185"/>
      <c r="O1224" s="193"/>
      <c r="P1224" s="193"/>
      <c r="Q1224" s="195"/>
      <c r="R1224" s="191"/>
      <c r="S1224" s="192"/>
    </row>
    <row r="1225" spans="1:19" ht="20.5" thickTop="1" thickBot="1" x14ac:dyDescent="0.4">
      <c r="A1225" s="184" t="s">
        <v>499</v>
      </c>
      <c r="B1225" s="185" t="s">
        <v>499</v>
      </c>
      <c r="C1225" s="185" t="s">
        <v>499</v>
      </c>
      <c r="D1225" s="186" t="s">
        <v>499</v>
      </c>
      <c r="E1225" s="185" t="s">
        <v>499</v>
      </c>
      <c r="F1225" s="185" t="s">
        <v>499</v>
      </c>
      <c r="G1225" s="187">
        <f t="shared" si="19"/>
        <v>0</v>
      </c>
      <c r="H1225" s="188"/>
      <c r="I1225" s="188"/>
      <c r="J1225" s="188"/>
      <c r="K1225" s="185"/>
      <c r="L1225" s="185"/>
      <c r="M1225" s="185"/>
      <c r="N1225" s="185"/>
      <c r="O1225" s="193"/>
      <c r="P1225" s="193"/>
      <c r="Q1225" s="195"/>
      <c r="R1225" s="191"/>
      <c r="S1225" s="192"/>
    </row>
    <row r="1226" spans="1:19" ht="20.5" thickTop="1" thickBot="1" x14ac:dyDescent="0.4">
      <c r="A1226" s="184" t="s">
        <v>499</v>
      </c>
      <c r="B1226" s="185" t="s">
        <v>499</v>
      </c>
      <c r="C1226" s="185" t="s">
        <v>499</v>
      </c>
      <c r="D1226" s="186" t="s">
        <v>499</v>
      </c>
      <c r="E1226" s="185" t="s">
        <v>499</v>
      </c>
      <c r="F1226" s="185" t="s">
        <v>499</v>
      </c>
      <c r="G1226" s="187">
        <f t="shared" si="19"/>
        <v>0</v>
      </c>
      <c r="H1226" s="188"/>
      <c r="I1226" s="188"/>
      <c r="J1226" s="188"/>
      <c r="K1226" s="185"/>
      <c r="L1226" s="185"/>
      <c r="M1226" s="185"/>
      <c r="N1226" s="185"/>
      <c r="O1226" s="193"/>
      <c r="P1226" s="193"/>
      <c r="Q1226" s="195"/>
      <c r="R1226" s="191"/>
      <c r="S1226" s="192"/>
    </row>
    <row r="1227" spans="1:19" ht="20.5" thickTop="1" thickBot="1" x14ac:dyDescent="0.4">
      <c r="A1227" s="184" t="s">
        <v>499</v>
      </c>
      <c r="B1227" s="185" t="s">
        <v>499</v>
      </c>
      <c r="C1227" s="185" t="s">
        <v>499</v>
      </c>
      <c r="D1227" s="186" t="s">
        <v>499</v>
      </c>
      <c r="E1227" s="185" t="s">
        <v>499</v>
      </c>
      <c r="F1227" s="185" t="s">
        <v>499</v>
      </c>
      <c r="G1227" s="187">
        <f t="shared" si="19"/>
        <v>0</v>
      </c>
      <c r="H1227" s="188"/>
      <c r="I1227" s="188"/>
      <c r="J1227" s="188"/>
      <c r="K1227" s="185"/>
      <c r="L1227" s="185"/>
      <c r="M1227" s="185"/>
      <c r="N1227" s="185"/>
      <c r="O1227" s="193"/>
      <c r="P1227" s="193"/>
      <c r="Q1227" s="195"/>
      <c r="R1227" s="191"/>
      <c r="S1227" s="192"/>
    </row>
    <row r="1228" spans="1:19" ht="20.5" thickTop="1" thickBot="1" x14ac:dyDescent="0.4">
      <c r="A1228" s="184" t="s">
        <v>499</v>
      </c>
      <c r="B1228" s="185" t="s">
        <v>499</v>
      </c>
      <c r="C1228" s="185" t="s">
        <v>499</v>
      </c>
      <c r="D1228" s="186" t="s">
        <v>499</v>
      </c>
      <c r="E1228" s="185" t="s">
        <v>499</v>
      </c>
      <c r="F1228" s="185" t="s">
        <v>499</v>
      </c>
      <c r="G1228" s="187">
        <f t="shared" si="19"/>
        <v>0</v>
      </c>
      <c r="H1228" s="188"/>
      <c r="I1228" s="188"/>
      <c r="J1228" s="188"/>
      <c r="K1228" s="185"/>
      <c r="L1228" s="185"/>
      <c r="M1228" s="185"/>
      <c r="N1228" s="185"/>
      <c r="O1228" s="193"/>
      <c r="P1228" s="193"/>
      <c r="Q1228" s="195"/>
      <c r="R1228" s="191"/>
      <c r="S1228" s="192"/>
    </row>
    <row r="1229" spans="1:19" ht="20.5" thickTop="1" thickBot="1" x14ac:dyDescent="0.4">
      <c r="A1229" s="184" t="s">
        <v>499</v>
      </c>
      <c r="B1229" s="185" t="s">
        <v>499</v>
      </c>
      <c r="C1229" s="185" t="s">
        <v>499</v>
      </c>
      <c r="D1229" s="186" t="s">
        <v>499</v>
      </c>
      <c r="E1229" s="185" t="s">
        <v>499</v>
      </c>
      <c r="F1229" s="185" t="s">
        <v>499</v>
      </c>
      <c r="G1229" s="187">
        <f t="shared" si="19"/>
        <v>0</v>
      </c>
      <c r="H1229" s="188"/>
      <c r="I1229" s="188"/>
      <c r="J1229" s="188"/>
      <c r="K1229" s="185"/>
      <c r="L1229" s="185"/>
      <c r="M1229" s="185"/>
      <c r="N1229" s="185"/>
      <c r="O1229" s="193"/>
      <c r="P1229" s="193"/>
      <c r="Q1229" s="195"/>
      <c r="R1229" s="191"/>
      <c r="S1229" s="192"/>
    </row>
    <row r="1230" spans="1:19" ht="20.5" thickTop="1" thickBot="1" x14ac:dyDescent="0.4">
      <c r="A1230" s="184" t="s">
        <v>499</v>
      </c>
      <c r="B1230" s="185" t="s">
        <v>499</v>
      </c>
      <c r="C1230" s="185" t="s">
        <v>499</v>
      </c>
      <c r="D1230" s="186" t="s">
        <v>499</v>
      </c>
      <c r="E1230" s="185" t="s">
        <v>499</v>
      </c>
      <c r="F1230" s="185" t="s">
        <v>499</v>
      </c>
      <c r="G1230" s="187">
        <f t="shared" si="19"/>
        <v>0</v>
      </c>
      <c r="H1230" s="188"/>
      <c r="I1230" s="188"/>
      <c r="J1230" s="188"/>
      <c r="K1230" s="185"/>
      <c r="L1230" s="185"/>
      <c r="M1230" s="185"/>
      <c r="N1230" s="185"/>
      <c r="O1230" s="193"/>
      <c r="P1230" s="193"/>
      <c r="Q1230" s="195"/>
      <c r="R1230" s="191"/>
      <c r="S1230" s="192"/>
    </row>
    <row r="1231" spans="1:19" ht="20.5" thickTop="1" thickBot="1" x14ac:dyDescent="0.4">
      <c r="A1231" s="184" t="s">
        <v>499</v>
      </c>
      <c r="B1231" s="185" t="s">
        <v>499</v>
      </c>
      <c r="C1231" s="185" t="s">
        <v>499</v>
      </c>
      <c r="D1231" s="186" t="s">
        <v>499</v>
      </c>
      <c r="E1231" s="185" t="s">
        <v>499</v>
      </c>
      <c r="F1231" s="185" t="s">
        <v>499</v>
      </c>
      <c r="G1231" s="187">
        <f t="shared" si="19"/>
        <v>0</v>
      </c>
      <c r="H1231" s="188"/>
      <c r="I1231" s="188"/>
      <c r="J1231" s="188"/>
      <c r="K1231" s="185"/>
      <c r="L1231" s="185"/>
      <c r="M1231" s="185"/>
      <c r="N1231" s="185"/>
      <c r="O1231" s="193"/>
      <c r="P1231" s="193"/>
      <c r="Q1231" s="195"/>
      <c r="R1231" s="191"/>
      <c r="S1231" s="192"/>
    </row>
    <row r="1232" spans="1:19" ht="20.5" thickTop="1" thickBot="1" x14ac:dyDescent="0.4">
      <c r="A1232" s="184" t="s">
        <v>499</v>
      </c>
      <c r="B1232" s="185" t="s">
        <v>499</v>
      </c>
      <c r="C1232" s="185" t="s">
        <v>499</v>
      </c>
      <c r="D1232" s="186" t="s">
        <v>499</v>
      </c>
      <c r="E1232" s="185" t="s">
        <v>499</v>
      </c>
      <c r="F1232" s="185" t="s">
        <v>499</v>
      </c>
      <c r="G1232" s="187">
        <f t="shared" si="19"/>
        <v>0</v>
      </c>
      <c r="H1232" s="188"/>
      <c r="I1232" s="188"/>
      <c r="J1232" s="188"/>
      <c r="K1232" s="185"/>
      <c r="L1232" s="185"/>
      <c r="M1232" s="185"/>
      <c r="N1232" s="185"/>
      <c r="O1232" s="193"/>
      <c r="P1232" s="193"/>
      <c r="Q1232" s="195"/>
      <c r="R1232" s="191"/>
      <c r="S1232" s="192"/>
    </row>
    <row r="1233" spans="1:19" ht="20.5" thickTop="1" thickBot="1" x14ac:dyDescent="0.4">
      <c r="A1233" s="184" t="s">
        <v>499</v>
      </c>
      <c r="B1233" s="185" t="s">
        <v>499</v>
      </c>
      <c r="C1233" s="185" t="s">
        <v>499</v>
      </c>
      <c r="D1233" s="186" t="s">
        <v>499</v>
      </c>
      <c r="E1233" s="185" t="s">
        <v>499</v>
      </c>
      <c r="F1233" s="185" t="s">
        <v>499</v>
      </c>
      <c r="G1233" s="187">
        <f t="shared" si="19"/>
        <v>0</v>
      </c>
      <c r="H1233" s="188"/>
      <c r="I1233" s="188"/>
      <c r="J1233" s="188"/>
      <c r="K1233" s="185"/>
      <c r="L1233" s="185"/>
      <c r="M1233" s="185"/>
      <c r="N1233" s="185"/>
      <c r="O1233" s="193"/>
      <c r="P1233" s="193"/>
      <c r="Q1233" s="195"/>
      <c r="R1233" s="191"/>
      <c r="S1233" s="192"/>
    </row>
    <row r="1234" spans="1:19" ht="20.5" thickTop="1" thickBot="1" x14ac:dyDescent="0.4">
      <c r="A1234" s="184" t="s">
        <v>499</v>
      </c>
      <c r="B1234" s="185" t="s">
        <v>499</v>
      </c>
      <c r="C1234" s="185" t="s">
        <v>499</v>
      </c>
      <c r="D1234" s="186" t="s">
        <v>499</v>
      </c>
      <c r="E1234" s="185" t="s">
        <v>499</v>
      </c>
      <c r="F1234" s="185" t="s">
        <v>499</v>
      </c>
      <c r="G1234" s="187">
        <f t="shared" si="19"/>
        <v>0</v>
      </c>
      <c r="H1234" s="188"/>
      <c r="I1234" s="188"/>
      <c r="J1234" s="188"/>
      <c r="K1234" s="185"/>
      <c r="L1234" s="185"/>
      <c r="M1234" s="185"/>
      <c r="N1234" s="185"/>
      <c r="O1234" s="193"/>
      <c r="P1234" s="193"/>
      <c r="Q1234" s="195"/>
      <c r="R1234" s="191"/>
      <c r="S1234" s="192"/>
    </row>
    <row r="1235" spans="1:19" ht="20.5" thickTop="1" thickBot="1" x14ac:dyDescent="0.4">
      <c r="A1235" s="184" t="s">
        <v>499</v>
      </c>
      <c r="B1235" s="185" t="s">
        <v>499</v>
      </c>
      <c r="C1235" s="185" t="s">
        <v>499</v>
      </c>
      <c r="D1235" s="186" t="s">
        <v>499</v>
      </c>
      <c r="E1235" s="185" t="s">
        <v>499</v>
      </c>
      <c r="F1235" s="185" t="s">
        <v>499</v>
      </c>
      <c r="G1235" s="187">
        <f t="shared" si="19"/>
        <v>0</v>
      </c>
      <c r="H1235" s="188"/>
      <c r="I1235" s="188"/>
      <c r="J1235" s="188"/>
      <c r="K1235" s="185"/>
      <c r="L1235" s="185"/>
      <c r="M1235" s="185"/>
      <c r="N1235" s="185"/>
      <c r="O1235" s="193"/>
      <c r="P1235" s="193"/>
      <c r="Q1235" s="195"/>
      <c r="R1235" s="191"/>
      <c r="S1235" s="192"/>
    </row>
    <row r="1236" spans="1:19" ht="20.5" thickTop="1" thickBot="1" x14ac:dyDescent="0.4">
      <c r="A1236" s="184" t="s">
        <v>499</v>
      </c>
      <c r="B1236" s="185" t="s">
        <v>499</v>
      </c>
      <c r="C1236" s="185" t="s">
        <v>499</v>
      </c>
      <c r="D1236" s="186" t="s">
        <v>499</v>
      </c>
      <c r="E1236" s="185" t="s">
        <v>499</v>
      </c>
      <c r="F1236" s="185" t="s">
        <v>499</v>
      </c>
      <c r="G1236" s="187">
        <f t="shared" si="19"/>
        <v>0</v>
      </c>
      <c r="H1236" s="188"/>
      <c r="I1236" s="188"/>
      <c r="J1236" s="188"/>
      <c r="K1236" s="185"/>
      <c r="L1236" s="185"/>
      <c r="M1236" s="185"/>
      <c r="N1236" s="185"/>
      <c r="O1236" s="193"/>
      <c r="P1236" s="193"/>
      <c r="Q1236" s="195"/>
      <c r="R1236" s="191"/>
      <c r="S1236" s="192"/>
    </row>
    <row r="1237" spans="1:19" ht="20.5" thickTop="1" thickBot="1" x14ac:dyDescent="0.4">
      <c r="A1237" s="184" t="s">
        <v>499</v>
      </c>
      <c r="B1237" s="185" t="s">
        <v>499</v>
      </c>
      <c r="C1237" s="185" t="s">
        <v>499</v>
      </c>
      <c r="D1237" s="186" t="s">
        <v>499</v>
      </c>
      <c r="E1237" s="185" t="s">
        <v>499</v>
      </c>
      <c r="F1237" s="185" t="s">
        <v>499</v>
      </c>
      <c r="G1237" s="187">
        <f t="shared" si="19"/>
        <v>0</v>
      </c>
      <c r="H1237" s="188"/>
      <c r="I1237" s="188"/>
      <c r="J1237" s="188"/>
      <c r="K1237" s="185"/>
      <c r="L1237" s="185"/>
      <c r="M1237" s="185"/>
      <c r="N1237" s="185"/>
      <c r="O1237" s="193"/>
      <c r="P1237" s="193"/>
      <c r="Q1237" s="195"/>
      <c r="R1237" s="191"/>
      <c r="S1237" s="192"/>
    </row>
    <row r="1238" spans="1:19" ht="20.5" thickTop="1" thickBot="1" x14ac:dyDescent="0.4">
      <c r="A1238" s="184" t="s">
        <v>499</v>
      </c>
      <c r="B1238" s="185" t="s">
        <v>499</v>
      </c>
      <c r="C1238" s="185" t="s">
        <v>499</v>
      </c>
      <c r="D1238" s="186" t="s">
        <v>499</v>
      </c>
      <c r="E1238" s="185" t="s">
        <v>499</v>
      </c>
      <c r="F1238" s="185" t="s">
        <v>499</v>
      </c>
      <c r="G1238" s="187">
        <f t="shared" si="19"/>
        <v>0</v>
      </c>
      <c r="H1238" s="188"/>
      <c r="I1238" s="188"/>
      <c r="J1238" s="188"/>
      <c r="K1238" s="185"/>
      <c r="L1238" s="185"/>
      <c r="M1238" s="185"/>
      <c r="N1238" s="185"/>
      <c r="O1238" s="193"/>
      <c r="P1238" s="193"/>
      <c r="Q1238" s="195"/>
      <c r="R1238" s="191"/>
      <c r="S1238" s="192"/>
    </row>
    <row r="1239" spans="1:19" ht="20.5" thickTop="1" thickBot="1" x14ac:dyDescent="0.4">
      <c r="A1239" s="184" t="s">
        <v>499</v>
      </c>
      <c r="B1239" s="185" t="s">
        <v>499</v>
      </c>
      <c r="C1239" s="185" t="s">
        <v>499</v>
      </c>
      <c r="D1239" s="186" t="s">
        <v>499</v>
      </c>
      <c r="E1239" s="185" t="s">
        <v>499</v>
      </c>
      <c r="F1239" s="185" t="s">
        <v>499</v>
      </c>
      <c r="G1239" s="187">
        <f t="shared" si="19"/>
        <v>0</v>
      </c>
      <c r="H1239" s="188"/>
      <c r="I1239" s="188"/>
      <c r="J1239" s="188"/>
      <c r="K1239" s="185"/>
      <c r="L1239" s="185"/>
      <c r="M1239" s="185"/>
      <c r="N1239" s="185"/>
      <c r="O1239" s="193"/>
      <c r="P1239" s="193"/>
      <c r="Q1239" s="195"/>
      <c r="R1239" s="191"/>
      <c r="S1239" s="192"/>
    </row>
    <row r="1240" spans="1:19" ht="20.5" thickTop="1" thickBot="1" x14ac:dyDescent="0.4">
      <c r="A1240" s="184" t="s">
        <v>499</v>
      </c>
      <c r="B1240" s="185" t="s">
        <v>499</v>
      </c>
      <c r="C1240" s="185" t="s">
        <v>499</v>
      </c>
      <c r="D1240" s="186" t="s">
        <v>499</v>
      </c>
      <c r="E1240" s="185" t="s">
        <v>499</v>
      </c>
      <c r="F1240" s="185" t="s">
        <v>499</v>
      </c>
      <c r="G1240" s="187">
        <f t="shared" si="19"/>
        <v>0</v>
      </c>
      <c r="H1240" s="188"/>
      <c r="I1240" s="188"/>
      <c r="J1240" s="188"/>
      <c r="K1240" s="185"/>
      <c r="L1240" s="185"/>
      <c r="M1240" s="185"/>
      <c r="N1240" s="185"/>
      <c r="O1240" s="193"/>
      <c r="P1240" s="193"/>
      <c r="Q1240" s="195"/>
      <c r="R1240" s="191"/>
      <c r="S1240" s="192"/>
    </row>
    <row r="1241" spans="1:19" ht="20.5" thickTop="1" thickBot="1" x14ac:dyDescent="0.4">
      <c r="A1241" s="184" t="s">
        <v>499</v>
      </c>
      <c r="B1241" s="185" t="s">
        <v>499</v>
      </c>
      <c r="C1241" s="185" t="s">
        <v>499</v>
      </c>
      <c r="D1241" s="186" t="s">
        <v>499</v>
      </c>
      <c r="E1241" s="185" t="s">
        <v>499</v>
      </c>
      <c r="F1241" s="185" t="s">
        <v>499</v>
      </c>
      <c r="G1241" s="187">
        <f t="shared" si="19"/>
        <v>0</v>
      </c>
      <c r="H1241" s="188"/>
      <c r="I1241" s="188"/>
      <c r="J1241" s="188"/>
      <c r="K1241" s="185"/>
      <c r="L1241" s="185"/>
      <c r="M1241" s="185"/>
      <c r="N1241" s="185"/>
      <c r="O1241" s="193"/>
      <c r="P1241" s="193"/>
      <c r="Q1241" s="195"/>
      <c r="R1241" s="191"/>
      <c r="S1241" s="192"/>
    </row>
    <row r="1242" spans="1:19" ht="20.5" thickTop="1" thickBot="1" x14ac:dyDescent="0.4">
      <c r="A1242" s="184" t="s">
        <v>499</v>
      </c>
      <c r="B1242" s="185" t="s">
        <v>499</v>
      </c>
      <c r="C1242" s="185" t="s">
        <v>499</v>
      </c>
      <c r="D1242" s="186" t="s">
        <v>499</v>
      </c>
      <c r="E1242" s="185" t="s">
        <v>499</v>
      </c>
      <c r="F1242" s="185" t="s">
        <v>499</v>
      </c>
      <c r="G1242" s="187">
        <f t="shared" si="19"/>
        <v>0</v>
      </c>
      <c r="H1242" s="188"/>
      <c r="I1242" s="188"/>
      <c r="J1242" s="188"/>
      <c r="K1242" s="185"/>
      <c r="L1242" s="185"/>
      <c r="M1242" s="185"/>
      <c r="N1242" s="185"/>
      <c r="O1242" s="193"/>
      <c r="P1242" s="193"/>
      <c r="Q1242" s="195"/>
      <c r="R1242" s="191"/>
      <c r="S1242" s="192"/>
    </row>
    <row r="1243" spans="1:19" ht="20.5" thickTop="1" thickBot="1" x14ac:dyDescent="0.4">
      <c r="A1243" s="184" t="s">
        <v>499</v>
      </c>
      <c r="B1243" s="185" t="s">
        <v>499</v>
      </c>
      <c r="C1243" s="185" t="s">
        <v>499</v>
      </c>
      <c r="D1243" s="186" t="s">
        <v>499</v>
      </c>
      <c r="E1243" s="185" t="s">
        <v>499</v>
      </c>
      <c r="F1243" s="185" t="s">
        <v>499</v>
      </c>
      <c r="G1243" s="187">
        <f t="shared" si="19"/>
        <v>0</v>
      </c>
      <c r="H1243" s="188"/>
      <c r="I1243" s="188"/>
      <c r="J1243" s="188"/>
      <c r="K1243" s="185"/>
      <c r="L1243" s="185"/>
      <c r="M1243" s="185"/>
      <c r="N1243" s="185"/>
      <c r="O1243" s="193"/>
      <c r="P1243" s="193"/>
      <c r="Q1243" s="195"/>
      <c r="R1243" s="191"/>
      <c r="S1243" s="192"/>
    </row>
    <row r="1244" spans="1:19" ht="20.5" thickTop="1" thickBot="1" x14ac:dyDescent="0.4">
      <c r="A1244" s="184" t="s">
        <v>499</v>
      </c>
      <c r="B1244" s="185" t="s">
        <v>499</v>
      </c>
      <c r="C1244" s="185" t="s">
        <v>499</v>
      </c>
      <c r="D1244" s="186" t="s">
        <v>499</v>
      </c>
      <c r="E1244" s="185" t="s">
        <v>499</v>
      </c>
      <c r="F1244" s="185" t="s">
        <v>499</v>
      </c>
      <c r="G1244" s="187">
        <f t="shared" si="19"/>
        <v>0</v>
      </c>
      <c r="H1244" s="188"/>
      <c r="I1244" s="188"/>
      <c r="J1244" s="188"/>
      <c r="K1244" s="185"/>
      <c r="L1244" s="185"/>
      <c r="M1244" s="185"/>
      <c r="N1244" s="185"/>
      <c r="O1244" s="193"/>
      <c r="P1244" s="193"/>
      <c r="Q1244" s="195"/>
      <c r="R1244" s="191"/>
      <c r="S1244" s="192"/>
    </row>
    <row r="1245" spans="1:19" ht="20.5" thickTop="1" thickBot="1" x14ac:dyDescent="0.4">
      <c r="A1245" s="184" t="s">
        <v>499</v>
      </c>
      <c r="B1245" s="185" t="s">
        <v>499</v>
      </c>
      <c r="C1245" s="185" t="s">
        <v>499</v>
      </c>
      <c r="D1245" s="186" t="s">
        <v>499</v>
      </c>
      <c r="E1245" s="185" t="s">
        <v>499</v>
      </c>
      <c r="F1245" s="185" t="s">
        <v>499</v>
      </c>
      <c r="G1245" s="187">
        <f t="shared" si="19"/>
        <v>0</v>
      </c>
      <c r="H1245" s="188"/>
      <c r="I1245" s="188"/>
      <c r="J1245" s="188"/>
      <c r="K1245" s="185"/>
      <c r="L1245" s="185"/>
      <c r="M1245" s="185"/>
      <c r="N1245" s="185"/>
      <c r="O1245" s="193"/>
      <c r="P1245" s="193"/>
      <c r="Q1245" s="195"/>
      <c r="R1245" s="191"/>
      <c r="S1245" s="192"/>
    </row>
    <row r="1246" spans="1:19" ht="20.5" thickTop="1" thickBot="1" x14ac:dyDescent="0.4">
      <c r="A1246" s="184" t="s">
        <v>499</v>
      </c>
      <c r="B1246" s="185" t="s">
        <v>499</v>
      </c>
      <c r="C1246" s="185" t="s">
        <v>499</v>
      </c>
      <c r="D1246" s="186" t="s">
        <v>499</v>
      </c>
      <c r="E1246" s="185" t="s">
        <v>499</v>
      </c>
      <c r="F1246" s="185" t="s">
        <v>499</v>
      </c>
      <c r="G1246" s="187">
        <f t="shared" si="19"/>
        <v>0</v>
      </c>
      <c r="H1246" s="188"/>
      <c r="I1246" s="188"/>
      <c r="J1246" s="188"/>
      <c r="K1246" s="185"/>
      <c r="L1246" s="185"/>
      <c r="M1246" s="185"/>
      <c r="N1246" s="185"/>
      <c r="O1246" s="193"/>
      <c r="P1246" s="193"/>
      <c r="Q1246" s="195"/>
      <c r="R1246" s="191"/>
      <c r="S1246" s="192"/>
    </row>
    <row r="1247" spans="1:19" ht="20.5" thickTop="1" thickBot="1" x14ac:dyDescent="0.4">
      <c r="A1247" s="184" t="s">
        <v>499</v>
      </c>
      <c r="B1247" s="185" t="s">
        <v>499</v>
      </c>
      <c r="C1247" s="185" t="s">
        <v>499</v>
      </c>
      <c r="D1247" s="186" t="s">
        <v>499</v>
      </c>
      <c r="E1247" s="185" t="s">
        <v>499</v>
      </c>
      <c r="F1247" s="185" t="s">
        <v>499</v>
      </c>
      <c r="G1247" s="187">
        <f t="shared" si="19"/>
        <v>0</v>
      </c>
      <c r="H1247" s="188"/>
      <c r="I1247" s="188"/>
      <c r="J1247" s="188"/>
      <c r="K1247" s="185"/>
      <c r="L1247" s="185"/>
      <c r="M1247" s="185"/>
      <c r="N1247" s="185"/>
      <c r="O1247" s="193"/>
      <c r="P1247" s="193"/>
      <c r="Q1247" s="195"/>
      <c r="R1247" s="191"/>
      <c r="S1247" s="192"/>
    </row>
    <row r="1248" spans="1:19" ht="20.5" thickTop="1" thickBot="1" x14ac:dyDescent="0.4">
      <c r="A1248" s="184" t="s">
        <v>499</v>
      </c>
      <c r="B1248" s="185" t="s">
        <v>499</v>
      </c>
      <c r="C1248" s="185" t="s">
        <v>499</v>
      </c>
      <c r="D1248" s="186" t="s">
        <v>499</v>
      </c>
      <c r="E1248" s="185" t="s">
        <v>499</v>
      </c>
      <c r="F1248" s="185" t="s">
        <v>499</v>
      </c>
      <c r="G1248" s="187">
        <f t="shared" si="19"/>
        <v>0</v>
      </c>
      <c r="H1248" s="188"/>
      <c r="I1248" s="188"/>
      <c r="J1248" s="188"/>
      <c r="K1248" s="185"/>
      <c r="L1248" s="185"/>
      <c r="M1248" s="185"/>
      <c r="N1248" s="185"/>
      <c r="O1248" s="193"/>
      <c r="P1248" s="193"/>
      <c r="Q1248" s="195"/>
      <c r="R1248" s="191"/>
      <c r="S1248" s="192"/>
    </row>
    <row r="1249" spans="1:19" ht="20.5" thickTop="1" thickBot="1" x14ac:dyDescent="0.4">
      <c r="A1249" s="184" t="s">
        <v>499</v>
      </c>
      <c r="B1249" s="185" t="s">
        <v>499</v>
      </c>
      <c r="C1249" s="185" t="s">
        <v>499</v>
      </c>
      <c r="D1249" s="186" t="s">
        <v>499</v>
      </c>
      <c r="E1249" s="185" t="s">
        <v>499</v>
      </c>
      <c r="F1249" s="185" t="s">
        <v>499</v>
      </c>
      <c r="G1249" s="187">
        <f t="shared" si="19"/>
        <v>0</v>
      </c>
      <c r="H1249" s="188"/>
      <c r="I1249" s="188"/>
      <c r="J1249" s="188"/>
      <c r="K1249" s="185"/>
      <c r="L1249" s="185"/>
      <c r="M1249" s="185"/>
      <c r="N1249" s="185"/>
      <c r="O1249" s="193"/>
      <c r="P1249" s="193"/>
      <c r="Q1249" s="195"/>
      <c r="R1249" s="191"/>
      <c r="S1249" s="192"/>
    </row>
    <row r="1250" spans="1:19" ht="20.5" thickTop="1" thickBot="1" x14ac:dyDescent="0.4">
      <c r="A1250" s="184" t="s">
        <v>499</v>
      </c>
      <c r="B1250" s="185" t="s">
        <v>499</v>
      </c>
      <c r="C1250" s="185" t="s">
        <v>499</v>
      </c>
      <c r="D1250" s="186" t="s">
        <v>499</v>
      </c>
      <c r="E1250" s="185" t="s">
        <v>499</v>
      </c>
      <c r="F1250" s="185" t="s">
        <v>499</v>
      </c>
      <c r="G1250" s="187">
        <f t="shared" si="19"/>
        <v>0</v>
      </c>
      <c r="H1250" s="188"/>
      <c r="I1250" s="188"/>
      <c r="J1250" s="188"/>
      <c r="K1250" s="185"/>
      <c r="L1250" s="185"/>
      <c r="M1250" s="185"/>
      <c r="N1250" s="185"/>
      <c r="O1250" s="193"/>
      <c r="P1250" s="193"/>
      <c r="Q1250" s="195"/>
      <c r="R1250" s="191"/>
      <c r="S1250" s="192"/>
    </row>
    <row r="1251" spans="1:19" ht="20.5" thickTop="1" thickBot="1" x14ac:dyDescent="0.4">
      <c r="A1251" s="184" t="s">
        <v>499</v>
      </c>
      <c r="B1251" s="185" t="s">
        <v>499</v>
      </c>
      <c r="C1251" s="185" t="s">
        <v>499</v>
      </c>
      <c r="D1251" s="186" t="s">
        <v>499</v>
      </c>
      <c r="E1251" s="185" t="s">
        <v>499</v>
      </c>
      <c r="F1251" s="185" t="s">
        <v>499</v>
      </c>
      <c r="G1251" s="187">
        <f t="shared" si="19"/>
        <v>0</v>
      </c>
      <c r="H1251" s="188"/>
      <c r="I1251" s="188"/>
      <c r="J1251" s="188"/>
      <c r="K1251" s="185"/>
      <c r="L1251" s="185"/>
      <c r="M1251" s="185"/>
      <c r="N1251" s="185"/>
      <c r="O1251" s="193"/>
      <c r="P1251" s="193"/>
      <c r="Q1251" s="195"/>
      <c r="R1251" s="191"/>
      <c r="S1251" s="192"/>
    </row>
    <row r="1252" spans="1:19" ht="20.5" thickTop="1" thickBot="1" x14ac:dyDescent="0.4">
      <c r="A1252" s="184" t="s">
        <v>499</v>
      </c>
      <c r="B1252" s="185" t="s">
        <v>499</v>
      </c>
      <c r="C1252" s="185" t="s">
        <v>499</v>
      </c>
      <c r="D1252" s="186" t="s">
        <v>499</v>
      </c>
      <c r="E1252" s="185" t="s">
        <v>499</v>
      </c>
      <c r="F1252" s="185" t="s">
        <v>499</v>
      </c>
      <c r="G1252" s="187">
        <f t="shared" si="19"/>
        <v>0</v>
      </c>
      <c r="H1252" s="188"/>
      <c r="I1252" s="188"/>
      <c r="J1252" s="188"/>
      <c r="K1252" s="185"/>
      <c r="L1252" s="185"/>
      <c r="M1252" s="185"/>
      <c r="N1252" s="185"/>
      <c r="O1252" s="193"/>
      <c r="P1252" s="193"/>
      <c r="Q1252" s="195"/>
      <c r="R1252" s="191"/>
      <c r="S1252" s="192"/>
    </row>
    <row r="1253" spans="1:19" ht="20.5" thickTop="1" thickBot="1" x14ac:dyDescent="0.4">
      <c r="A1253" s="184" t="s">
        <v>499</v>
      </c>
      <c r="B1253" s="185" t="s">
        <v>499</v>
      </c>
      <c r="C1253" s="185" t="s">
        <v>499</v>
      </c>
      <c r="D1253" s="186" t="s">
        <v>499</v>
      </c>
      <c r="E1253" s="185" t="s">
        <v>499</v>
      </c>
      <c r="F1253" s="185" t="s">
        <v>499</v>
      </c>
      <c r="G1253" s="187">
        <f t="shared" si="19"/>
        <v>0</v>
      </c>
      <c r="H1253" s="188"/>
      <c r="I1253" s="188"/>
      <c r="J1253" s="188"/>
      <c r="K1253" s="185"/>
      <c r="L1253" s="185"/>
      <c r="M1253" s="185"/>
      <c r="N1253" s="185"/>
      <c r="O1253" s="193"/>
      <c r="P1253" s="193"/>
      <c r="Q1253" s="195"/>
      <c r="R1253" s="191"/>
      <c r="S1253" s="192"/>
    </row>
    <row r="1254" spans="1:19" ht="20.5" thickTop="1" thickBot="1" x14ac:dyDescent="0.4">
      <c r="A1254" s="184" t="s">
        <v>499</v>
      </c>
      <c r="B1254" s="185" t="s">
        <v>499</v>
      </c>
      <c r="C1254" s="185" t="s">
        <v>499</v>
      </c>
      <c r="D1254" s="186" t="s">
        <v>499</v>
      </c>
      <c r="E1254" s="185" t="s">
        <v>499</v>
      </c>
      <c r="F1254" s="185" t="s">
        <v>499</v>
      </c>
      <c r="G1254" s="187">
        <f t="shared" si="19"/>
        <v>0</v>
      </c>
      <c r="H1254" s="188"/>
      <c r="I1254" s="188"/>
      <c r="J1254" s="188"/>
      <c r="K1254" s="185"/>
      <c r="L1254" s="185"/>
      <c r="M1254" s="185"/>
      <c r="N1254" s="185"/>
      <c r="O1254" s="193"/>
      <c r="P1254" s="193"/>
      <c r="Q1254" s="195"/>
      <c r="R1254" s="191"/>
      <c r="S1254" s="192"/>
    </row>
    <row r="1255" spans="1:19" ht="20.5" thickTop="1" thickBot="1" x14ac:dyDescent="0.4">
      <c r="A1255" s="184" t="s">
        <v>499</v>
      </c>
      <c r="B1255" s="185" t="s">
        <v>499</v>
      </c>
      <c r="C1255" s="185" t="s">
        <v>499</v>
      </c>
      <c r="D1255" s="186" t="s">
        <v>499</v>
      </c>
      <c r="E1255" s="185" t="s">
        <v>499</v>
      </c>
      <c r="F1255" s="185" t="s">
        <v>499</v>
      </c>
      <c r="G1255" s="187">
        <f t="shared" si="19"/>
        <v>0</v>
      </c>
      <c r="H1255" s="188"/>
      <c r="I1255" s="188"/>
      <c r="J1255" s="188"/>
      <c r="K1255" s="185"/>
      <c r="L1255" s="185"/>
      <c r="M1255" s="185"/>
      <c r="N1255" s="185"/>
      <c r="O1255" s="193"/>
      <c r="P1255" s="193"/>
      <c r="Q1255" s="195"/>
      <c r="R1255" s="191"/>
      <c r="S1255" s="192"/>
    </row>
    <row r="1256" spans="1:19" ht="20.5" thickTop="1" thickBot="1" x14ac:dyDescent="0.4">
      <c r="A1256" s="184" t="s">
        <v>499</v>
      </c>
      <c r="B1256" s="185" t="s">
        <v>499</v>
      </c>
      <c r="C1256" s="185" t="s">
        <v>499</v>
      </c>
      <c r="D1256" s="186" t="s">
        <v>499</v>
      </c>
      <c r="E1256" s="185" t="s">
        <v>499</v>
      </c>
      <c r="F1256" s="185" t="s">
        <v>499</v>
      </c>
      <c r="G1256" s="187">
        <f t="shared" si="19"/>
        <v>0</v>
      </c>
      <c r="H1256" s="188"/>
      <c r="I1256" s="188"/>
      <c r="J1256" s="188"/>
      <c r="K1256" s="185"/>
      <c r="L1256" s="185"/>
      <c r="M1256" s="185"/>
      <c r="N1256" s="185"/>
      <c r="O1256" s="193"/>
      <c r="P1256" s="193"/>
      <c r="Q1256" s="195"/>
      <c r="R1256" s="191"/>
      <c r="S1256" s="192"/>
    </row>
    <row r="1257" spans="1:19" ht="20.5" thickTop="1" thickBot="1" x14ac:dyDescent="0.4">
      <c r="A1257" s="184" t="s">
        <v>499</v>
      </c>
      <c r="B1257" s="185" t="s">
        <v>499</v>
      </c>
      <c r="C1257" s="185" t="s">
        <v>499</v>
      </c>
      <c r="D1257" s="186" t="s">
        <v>499</v>
      </c>
      <c r="E1257" s="185" t="s">
        <v>499</v>
      </c>
      <c r="F1257" s="185" t="s">
        <v>499</v>
      </c>
      <c r="G1257" s="187">
        <f t="shared" si="19"/>
        <v>0</v>
      </c>
      <c r="H1257" s="188"/>
      <c r="I1257" s="188"/>
      <c r="J1257" s="188"/>
      <c r="K1257" s="185"/>
      <c r="L1257" s="185"/>
      <c r="M1257" s="185"/>
      <c r="N1257" s="185"/>
      <c r="O1257" s="193"/>
      <c r="P1257" s="193"/>
      <c r="Q1257" s="195"/>
      <c r="R1257" s="191"/>
      <c r="S1257" s="192"/>
    </row>
    <row r="1258" spans="1:19" ht="20.5" thickTop="1" thickBot="1" x14ac:dyDescent="0.4">
      <c r="A1258" s="184" t="s">
        <v>499</v>
      </c>
      <c r="B1258" s="185" t="s">
        <v>499</v>
      </c>
      <c r="C1258" s="185" t="s">
        <v>499</v>
      </c>
      <c r="D1258" s="186" t="s">
        <v>499</v>
      </c>
      <c r="E1258" s="185" t="s">
        <v>499</v>
      </c>
      <c r="F1258" s="185" t="s">
        <v>499</v>
      </c>
      <c r="G1258" s="187">
        <f t="shared" si="19"/>
        <v>0</v>
      </c>
      <c r="H1258" s="188"/>
      <c r="I1258" s="188"/>
      <c r="J1258" s="188"/>
      <c r="K1258" s="185"/>
      <c r="L1258" s="185"/>
      <c r="M1258" s="185"/>
      <c r="N1258" s="185"/>
      <c r="O1258" s="193"/>
      <c r="P1258" s="193"/>
      <c r="Q1258" s="195"/>
      <c r="R1258" s="191"/>
      <c r="S1258" s="192"/>
    </row>
    <row r="1259" spans="1:19" ht="20.5" thickTop="1" thickBot="1" x14ac:dyDescent="0.4">
      <c r="A1259" s="184" t="s">
        <v>499</v>
      </c>
      <c r="B1259" s="185" t="s">
        <v>499</v>
      </c>
      <c r="C1259" s="185" t="s">
        <v>499</v>
      </c>
      <c r="D1259" s="186" t="s">
        <v>499</v>
      </c>
      <c r="E1259" s="185" t="s">
        <v>499</v>
      </c>
      <c r="F1259" s="185" t="s">
        <v>499</v>
      </c>
      <c r="G1259" s="187">
        <f t="shared" si="19"/>
        <v>0</v>
      </c>
      <c r="H1259" s="188"/>
      <c r="I1259" s="188"/>
      <c r="J1259" s="188"/>
      <c r="K1259" s="185"/>
      <c r="L1259" s="185"/>
      <c r="M1259" s="185"/>
      <c r="N1259" s="185"/>
      <c r="O1259" s="193"/>
      <c r="P1259" s="193"/>
      <c r="Q1259" s="195"/>
      <c r="R1259" s="191"/>
      <c r="S1259" s="192"/>
    </row>
    <row r="1260" spans="1:19" ht="20.5" thickTop="1" thickBot="1" x14ac:dyDescent="0.4">
      <c r="A1260" s="184" t="s">
        <v>499</v>
      </c>
      <c r="B1260" s="185" t="s">
        <v>499</v>
      </c>
      <c r="C1260" s="185" t="s">
        <v>499</v>
      </c>
      <c r="D1260" s="186" t="s">
        <v>499</v>
      </c>
      <c r="E1260" s="185" t="s">
        <v>499</v>
      </c>
      <c r="F1260" s="185" t="s">
        <v>499</v>
      </c>
      <c r="G1260" s="187">
        <f t="shared" si="19"/>
        <v>0</v>
      </c>
      <c r="H1260" s="188"/>
      <c r="I1260" s="188"/>
      <c r="J1260" s="188"/>
      <c r="K1260" s="185"/>
      <c r="L1260" s="185"/>
      <c r="M1260" s="185"/>
      <c r="N1260" s="185"/>
      <c r="O1260" s="193"/>
      <c r="P1260" s="193"/>
      <c r="Q1260" s="195"/>
      <c r="R1260" s="191"/>
      <c r="S1260" s="192"/>
    </row>
    <row r="1261" spans="1:19" ht="20.5" thickTop="1" thickBot="1" x14ac:dyDescent="0.4">
      <c r="A1261" s="184" t="s">
        <v>499</v>
      </c>
      <c r="B1261" s="185" t="s">
        <v>499</v>
      </c>
      <c r="C1261" s="185" t="s">
        <v>499</v>
      </c>
      <c r="D1261" s="186" t="s">
        <v>499</v>
      </c>
      <c r="E1261" s="185" t="s">
        <v>499</v>
      </c>
      <c r="F1261" s="185" t="s">
        <v>499</v>
      </c>
      <c r="G1261" s="187">
        <f t="shared" si="19"/>
        <v>0</v>
      </c>
      <c r="H1261" s="188"/>
      <c r="I1261" s="188"/>
      <c r="J1261" s="188"/>
      <c r="K1261" s="185"/>
      <c r="L1261" s="185"/>
      <c r="M1261" s="185"/>
      <c r="N1261" s="185"/>
      <c r="O1261" s="193"/>
      <c r="P1261" s="193"/>
      <c r="Q1261" s="195"/>
      <c r="R1261" s="191"/>
      <c r="S1261" s="192"/>
    </row>
    <row r="1262" spans="1:19" ht="20.5" thickTop="1" thickBot="1" x14ac:dyDescent="0.4">
      <c r="A1262" s="184" t="s">
        <v>499</v>
      </c>
      <c r="B1262" s="185" t="s">
        <v>499</v>
      </c>
      <c r="C1262" s="185" t="s">
        <v>499</v>
      </c>
      <c r="D1262" s="186" t="s">
        <v>499</v>
      </c>
      <c r="E1262" s="185" t="s">
        <v>499</v>
      </c>
      <c r="F1262" s="185" t="s">
        <v>499</v>
      </c>
      <c r="G1262" s="187">
        <f t="shared" si="19"/>
        <v>0</v>
      </c>
      <c r="H1262" s="188"/>
      <c r="I1262" s="188"/>
      <c r="J1262" s="188"/>
      <c r="K1262" s="185"/>
      <c r="L1262" s="185"/>
      <c r="M1262" s="185"/>
      <c r="N1262" s="185"/>
      <c r="O1262" s="193"/>
      <c r="P1262" s="193"/>
      <c r="Q1262" s="195"/>
      <c r="R1262" s="191"/>
      <c r="S1262" s="192"/>
    </row>
    <row r="1263" spans="1:19" ht="20.5" thickTop="1" thickBot="1" x14ac:dyDescent="0.4">
      <c r="A1263" s="184" t="s">
        <v>499</v>
      </c>
      <c r="B1263" s="185" t="s">
        <v>499</v>
      </c>
      <c r="C1263" s="185" t="s">
        <v>499</v>
      </c>
      <c r="D1263" s="186" t="s">
        <v>499</v>
      </c>
      <c r="E1263" s="185" t="s">
        <v>499</v>
      </c>
      <c r="F1263" s="185" t="s">
        <v>499</v>
      </c>
      <c r="G1263" s="187">
        <f t="shared" si="19"/>
        <v>0</v>
      </c>
      <c r="H1263" s="188"/>
      <c r="I1263" s="188"/>
      <c r="J1263" s="188"/>
      <c r="K1263" s="185"/>
      <c r="L1263" s="185"/>
      <c r="M1263" s="185"/>
      <c r="N1263" s="185"/>
      <c r="O1263" s="193"/>
      <c r="P1263" s="193"/>
      <c r="Q1263" s="195"/>
      <c r="R1263" s="191"/>
      <c r="S1263" s="192"/>
    </row>
    <row r="1264" spans="1:19" ht="20.5" thickTop="1" thickBot="1" x14ac:dyDescent="0.4">
      <c r="A1264" s="184" t="s">
        <v>499</v>
      </c>
      <c r="B1264" s="185" t="s">
        <v>499</v>
      </c>
      <c r="C1264" s="185" t="s">
        <v>499</v>
      </c>
      <c r="D1264" s="186" t="s">
        <v>499</v>
      </c>
      <c r="E1264" s="185" t="s">
        <v>499</v>
      </c>
      <c r="F1264" s="185" t="s">
        <v>499</v>
      </c>
      <c r="G1264" s="187">
        <f t="shared" si="19"/>
        <v>0</v>
      </c>
      <c r="H1264" s="188"/>
      <c r="I1264" s="188"/>
      <c r="J1264" s="188"/>
      <c r="K1264" s="185"/>
      <c r="L1264" s="185"/>
      <c r="M1264" s="185"/>
      <c r="N1264" s="185"/>
      <c r="O1264" s="193"/>
      <c r="P1264" s="193"/>
      <c r="Q1264" s="195"/>
      <c r="R1264" s="191"/>
      <c r="S1264" s="192"/>
    </row>
    <row r="1265" spans="1:19" ht="20.5" thickTop="1" thickBot="1" x14ac:dyDescent="0.4">
      <c r="A1265" s="184" t="s">
        <v>499</v>
      </c>
      <c r="B1265" s="185" t="s">
        <v>499</v>
      </c>
      <c r="C1265" s="185" t="s">
        <v>499</v>
      </c>
      <c r="D1265" s="186" t="s">
        <v>499</v>
      </c>
      <c r="E1265" s="185" t="s">
        <v>499</v>
      </c>
      <c r="F1265" s="185" t="s">
        <v>499</v>
      </c>
      <c r="G1265" s="187">
        <f t="shared" si="19"/>
        <v>0</v>
      </c>
      <c r="H1265" s="188"/>
      <c r="I1265" s="188"/>
      <c r="J1265" s="188"/>
      <c r="K1265" s="185"/>
      <c r="L1265" s="185"/>
      <c r="M1265" s="185"/>
      <c r="N1265" s="185"/>
      <c r="O1265" s="193"/>
      <c r="P1265" s="193"/>
      <c r="Q1265" s="195"/>
      <c r="R1265" s="191"/>
      <c r="S1265" s="192"/>
    </row>
    <row r="1266" spans="1:19" ht="20.5" thickTop="1" thickBot="1" x14ac:dyDescent="0.4">
      <c r="A1266" s="184" t="s">
        <v>499</v>
      </c>
      <c r="B1266" s="185" t="s">
        <v>499</v>
      </c>
      <c r="C1266" s="185" t="s">
        <v>499</v>
      </c>
      <c r="D1266" s="186" t="s">
        <v>499</v>
      </c>
      <c r="E1266" s="185" t="s">
        <v>499</v>
      </c>
      <c r="F1266" s="185" t="s">
        <v>499</v>
      </c>
      <c r="G1266" s="187">
        <f t="shared" si="19"/>
        <v>0</v>
      </c>
      <c r="H1266" s="188"/>
      <c r="I1266" s="188"/>
      <c r="J1266" s="188"/>
      <c r="K1266" s="185"/>
      <c r="L1266" s="185"/>
      <c r="M1266" s="185"/>
      <c r="N1266" s="185"/>
      <c r="O1266" s="193"/>
      <c r="P1266" s="193"/>
      <c r="Q1266" s="195"/>
      <c r="R1266" s="191"/>
      <c r="S1266" s="192"/>
    </row>
    <row r="1267" spans="1:19" ht="20.5" thickTop="1" thickBot="1" x14ac:dyDescent="0.4">
      <c r="A1267" s="184" t="s">
        <v>499</v>
      </c>
      <c r="B1267" s="185" t="s">
        <v>499</v>
      </c>
      <c r="C1267" s="185" t="s">
        <v>499</v>
      </c>
      <c r="D1267" s="186" t="s">
        <v>499</v>
      </c>
      <c r="E1267" s="185" t="s">
        <v>499</v>
      </c>
      <c r="F1267" s="185" t="s">
        <v>499</v>
      </c>
      <c r="G1267" s="187">
        <f t="shared" si="19"/>
        <v>0</v>
      </c>
      <c r="H1267" s="188"/>
      <c r="I1267" s="188"/>
      <c r="J1267" s="188"/>
      <c r="K1267" s="185"/>
      <c r="L1267" s="185"/>
      <c r="M1267" s="185"/>
      <c r="N1267" s="185"/>
      <c r="O1267" s="193"/>
      <c r="P1267" s="193"/>
      <c r="Q1267" s="195"/>
      <c r="R1267" s="191"/>
      <c r="S1267" s="192"/>
    </row>
    <row r="1268" spans="1:19" ht="20.5" thickTop="1" thickBot="1" x14ac:dyDescent="0.4">
      <c r="A1268" s="184" t="s">
        <v>499</v>
      </c>
      <c r="B1268" s="185" t="s">
        <v>499</v>
      </c>
      <c r="C1268" s="185" t="s">
        <v>499</v>
      </c>
      <c r="D1268" s="186" t="s">
        <v>499</v>
      </c>
      <c r="E1268" s="185" t="s">
        <v>499</v>
      </c>
      <c r="F1268" s="185" t="s">
        <v>499</v>
      </c>
      <c r="G1268" s="187">
        <f t="shared" si="19"/>
        <v>0</v>
      </c>
      <c r="H1268" s="188"/>
      <c r="I1268" s="188"/>
      <c r="J1268" s="188"/>
      <c r="K1268" s="185"/>
      <c r="L1268" s="185"/>
      <c r="M1268" s="185"/>
      <c r="N1268" s="185"/>
      <c r="O1268" s="193"/>
      <c r="P1268" s="193"/>
      <c r="Q1268" s="195"/>
      <c r="R1268" s="191"/>
      <c r="S1268" s="192"/>
    </row>
    <row r="1269" spans="1:19" ht="20.5" thickTop="1" thickBot="1" x14ac:dyDescent="0.4">
      <c r="A1269" s="184" t="s">
        <v>499</v>
      </c>
      <c r="B1269" s="185" t="s">
        <v>499</v>
      </c>
      <c r="C1269" s="185" t="s">
        <v>499</v>
      </c>
      <c r="D1269" s="186" t="s">
        <v>499</v>
      </c>
      <c r="E1269" s="185" t="s">
        <v>499</v>
      </c>
      <c r="F1269" s="185" t="s">
        <v>499</v>
      </c>
      <c r="G1269" s="187">
        <f t="shared" si="19"/>
        <v>0</v>
      </c>
      <c r="H1269" s="188"/>
      <c r="I1269" s="188"/>
      <c r="J1269" s="188"/>
      <c r="K1269" s="185"/>
      <c r="L1269" s="185"/>
      <c r="M1269" s="185"/>
      <c r="N1269" s="185"/>
      <c r="O1269" s="193"/>
      <c r="P1269" s="193"/>
      <c r="Q1269" s="195"/>
      <c r="R1269" s="191"/>
      <c r="S1269" s="192"/>
    </row>
    <row r="1270" spans="1:19" ht="20.5" thickTop="1" thickBot="1" x14ac:dyDescent="0.4">
      <c r="A1270" s="184" t="s">
        <v>499</v>
      </c>
      <c r="B1270" s="185" t="s">
        <v>499</v>
      </c>
      <c r="C1270" s="185" t="s">
        <v>499</v>
      </c>
      <c r="D1270" s="186" t="s">
        <v>499</v>
      </c>
      <c r="E1270" s="185" t="s">
        <v>499</v>
      </c>
      <c r="F1270" s="185" t="s">
        <v>499</v>
      </c>
      <c r="G1270" s="187">
        <f t="shared" si="19"/>
        <v>0</v>
      </c>
      <c r="H1270" s="188"/>
      <c r="I1270" s="188"/>
      <c r="J1270" s="188"/>
      <c r="K1270" s="185"/>
      <c r="L1270" s="185"/>
      <c r="M1270" s="185"/>
      <c r="N1270" s="185"/>
      <c r="O1270" s="193"/>
      <c r="P1270" s="193"/>
      <c r="Q1270" s="195"/>
      <c r="R1270" s="191"/>
      <c r="S1270" s="192"/>
    </row>
    <row r="1271" spans="1:19" ht="20.5" thickTop="1" thickBot="1" x14ac:dyDescent="0.4">
      <c r="A1271" s="184" t="s">
        <v>499</v>
      </c>
      <c r="B1271" s="185" t="s">
        <v>499</v>
      </c>
      <c r="C1271" s="185" t="s">
        <v>499</v>
      </c>
      <c r="D1271" s="186" t="s">
        <v>499</v>
      </c>
      <c r="E1271" s="185" t="s">
        <v>499</v>
      </c>
      <c r="F1271" s="185" t="s">
        <v>499</v>
      </c>
      <c r="G1271" s="187">
        <f t="shared" si="19"/>
        <v>0</v>
      </c>
      <c r="H1271" s="188"/>
      <c r="I1271" s="188"/>
      <c r="J1271" s="188"/>
      <c r="K1271" s="185"/>
      <c r="L1271" s="185"/>
      <c r="M1271" s="185"/>
      <c r="N1271" s="185"/>
      <c r="O1271" s="193"/>
      <c r="P1271" s="193"/>
      <c r="Q1271" s="195"/>
      <c r="R1271" s="191"/>
      <c r="S1271" s="192"/>
    </row>
    <row r="1272" spans="1:19" ht="20.5" thickTop="1" thickBot="1" x14ac:dyDescent="0.4">
      <c r="A1272" s="184" t="s">
        <v>499</v>
      </c>
      <c r="B1272" s="185" t="s">
        <v>499</v>
      </c>
      <c r="C1272" s="185" t="s">
        <v>499</v>
      </c>
      <c r="D1272" s="186" t="s">
        <v>499</v>
      </c>
      <c r="E1272" s="185" t="s">
        <v>499</v>
      </c>
      <c r="F1272" s="185" t="s">
        <v>499</v>
      </c>
      <c r="G1272" s="187">
        <f t="shared" si="19"/>
        <v>0</v>
      </c>
      <c r="H1272" s="188"/>
      <c r="I1272" s="188"/>
      <c r="J1272" s="188"/>
      <c r="K1272" s="185"/>
      <c r="L1272" s="185"/>
      <c r="M1272" s="185"/>
      <c r="N1272" s="185"/>
      <c r="O1272" s="193"/>
      <c r="P1272" s="193"/>
      <c r="Q1272" s="195"/>
      <c r="R1272" s="191"/>
      <c r="S1272" s="192"/>
    </row>
    <row r="1273" spans="1:19" ht="20.5" thickTop="1" thickBot="1" x14ac:dyDescent="0.4">
      <c r="A1273" s="184" t="s">
        <v>499</v>
      </c>
      <c r="B1273" s="185" t="s">
        <v>499</v>
      </c>
      <c r="C1273" s="185" t="s">
        <v>499</v>
      </c>
      <c r="D1273" s="186" t="s">
        <v>499</v>
      </c>
      <c r="E1273" s="185" t="s">
        <v>499</v>
      </c>
      <c r="F1273" s="185" t="s">
        <v>499</v>
      </c>
      <c r="G1273" s="187">
        <f t="shared" si="19"/>
        <v>0</v>
      </c>
      <c r="H1273" s="188"/>
      <c r="I1273" s="188"/>
      <c r="J1273" s="188"/>
      <c r="K1273" s="185"/>
      <c r="L1273" s="185"/>
      <c r="M1273" s="185"/>
      <c r="N1273" s="185"/>
      <c r="O1273" s="193"/>
      <c r="P1273" s="193"/>
      <c r="Q1273" s="195"/>
      <c r="R1273" s="191"/>
      <c r="S1273" s="192"/>
    </row>
    <row r="1274" spans="1:19" ht="20.5" thickTop="1" thickBot="1" x14ac:dyDescent="0.4">
      <c r="A1274" s="184" t="s">
        <v>499</v>
      </c>
      <c r="B1274" s="185" t="s">
        <v>499</v>
      </c>
      <c r="C1274" s="185" t="s">
        <v>499</v>
      </c>
      <c r="D1274" s="186" t="s">
        <v>499</v>
      </c>
      <c r="E1274" s="185" t="s">
        <v>499</v>
      </c>
      <c r="F1274" s="185" t="s">
        <v>499</v>
      </c>
      <c r="G1274" s="187">
        <f t="shared" si="19"/>
        <v>0</v>
      </c>
      <c r="H1274" s="188"/>
      <c r="I1274" s="188"/>
      <c r="J1274" s="188"/>
      <c r="K1274" s="185"/>
      <c r="L1274" s="185"/>
      <c r="M1274" s="185"/>
      <c r="N1274" s="185"/>
      <c r="O1274" s="193"/>
      <c r="P1274" s="193"/>
      <c r="Q1274" s="195"/>
      <c r="R1274" s="191"/>
      <c r="S1274" s="192"/>
    </row>
    <row r="1275" spans="1:19" ht="20.5" thickTop="1" thickBot="1" x14ac:dyDescent="0.4">
      <c r="A1275" s="184" t="s">
        <v>499</v>
      </c>
      <c r="B1275" s="185" t="s">
        <v>499</v>
      </c>
      <c r="C1275" s="185" t="s">
        <v>499</v>
      </c>
      <c r="D1275" s="186" t="s">
        <v>499</v>
      </c>
      <c r="E1275" s="185" t="s">
        <v>499</v>
      </c>
      <c r="F1275" s="185" t="s">
        <v>499</v>
      </c>
      <c r="G1275" s="187">
        <f t="shared" si="19"/>
        <v>0</v>
      </c>
      <c r="H1275" s="188"/>
      <c r="I1275" s="188"/>
      <c r="J1275" s="188"/>
      <c r="K1275" s="185"/>
      <c r="L1275" s="185"/>
      <c r="M1275" s="185"/>
      <c r="N1275" s="185"/>
      <c r="O1275" s="193"/>
      <c r="P1275" s="193"/>
      <c r="Q1275" s="195"/>
      <c r="R1275" s="191"/>
      <c r="S1275" s="192"/>
    </row>
    <row r="1276" spans="1:19" ht="20.5" thickTop="1" thickBot="1" x14ac:dyDescent="0.4">
      <c r="A1276" s="184" t="s">
        <v>499</v>
      </c>
      <c r="B1276" s="185" t="s">
        <v>499</v>
      </c>
      <c r="C1276" s="185" t="s">
        <v>499</v>
      </c>
      <c r="D1276" s="186" t="s">
        <v>499</v>
      </c>
      <c r="E1276" s="185" t="s">
        <v>499</v>
      </c>
      <c r="F1276" s="185" t="s">
        <v>499</v>
      </c>
      <c r="G1276" s="187">
        <f t="shared" si="19"/>
        <v>0</v>
      </c>
      <c r="H1276" s="188"/>
      <c r="I1276" s="188"/>
      <c r="J1276" s="188"/>
      <c r="K1276" s="185"/>
      <c r="L1276" s="185"/>
      <c r="M1276" s="185"/>
      <c r="N1276" s="185"/>
      <c r="O1276" s="193"/>
      <c r="P1276" s="193"/>
      <c r="Q1276" s="195"/>
      <c r="R1276" s="191"/>
      <c r="S1276" s="192"/>
    </row>
    <row r="1277" spans="1:19" ht="20.5" thickTop="1" thickBot="1" x14ac:dyDescent="0.4">
      <c r="A1277" s="184" t="s">
        <v>499</v>
      </c>
      <c r="B1277" s="185" t="s">
        <v>499</v>
      </c>
      <c r="C1277" s="185" t="s">
        <v>499</v>
      </c>
      <c r="D1277" s="186" t="s">
        <v>499</v>
      </c>
      <c r="E1277" s="185" t="s">
        <v>499</v>
      </c>
      <c r="F1277" s="185" t="s">
        <v>499</v>
      </c>
      <c r="G1277" s="187">
        <f t="shared" si="19"/>
        <v>0</v>
      </c>
      <c r="H1277" s="188"/>
      <c r="I1277" s="188"/>
      <c r="J1277" s="188"/>
      <c r="K1277" s="185"/>
      <c r="L1277" s="185"/>
      <c r="M1277" s="185"/>
      <c r="N1277" s="185"/>
      <c r="O1277" s="193"/>
      <c r="P1277" s="193"/>
      <c r="Q1277" s="195"/>
      <c r="R1277" s="191"/>
      <c r="S1277" s="192"/>
    </row>
    <row r="1278" spans="1:19" ht="20.5" thickTop="1" thickBot="1" x14ac:dyDescent="0.4">
      <c r="A1278" s="184" t="s">
        <v>499</v>
      </c>
      <c r="B1278" s="185" t="s">
        <v>499</v>
      </c>
      <c r="C1278" s="185" t="s">
        <v>499</v>
      </c>
      <c r="D1278" s="186" t="s">
        <v>499</v>
      </c>
      <c r="E1278" s="185" t="s">
        <v>499</v>
      </c>
      <c r="F1278" s="185" t="s">
        <v>499</v>
      </c>
      <c r="G1278" s="187">
        <f t="shared" si="19"/>
        <v>0</v>
      </c>
      <c r="H1278" s="188"/>
      <c r="I1278" s="188"/>
      <c r="J1278" s="188"/>
      <c r="K1278" s="185"/>
      <c r="L1278" s="185"/>
      <c r="M1278" s="185"/>
      <c r="N1278" s="185"/>
      <c r="O1278" s="193"/>
      <c r="P1278" s="193"/>
      <c r="Q1278" s="195"/>
      <c r="R1278" s="191"/>
      <c r="S1278" s="192"/>
    </row>
    <row r="1279" spans="1:19" ht="20.5" thickTop="1" thickBot="1" x14ac:dyDescent="0.4">
      <c r="A1279" s="184" t="s">
        <v>499</v>
      </c>
      <c r="B1279" s="185" t="s">
        <v>499</v>
      </c>
      <c r="C1279" s="185" t="s">
        <v>499</v>
      </c>
      <c r="D1279" s="186" t="s">
        <v>499</v>
      </c>
      <c r="E1279" s="185" t="s">
        <v>499</v>
      </c>
      <c r="F1279" s="185" t="s">
        <v>499</v>
      </c>
      <c r="G1279" s="187">
        <f t="shared" si="19"/>
        <v>0</v>
      </c>
      <c r="H1279" s="188"/>
      <c r="I1279" s="188"/>
      <c r="J1279" s="188"/>
      <c r="K1279" s="185"/>
      <c r="L1279" s="185"/>
      <c r="M1279" s="185"/>
      <c r="N1279" s="185"/>
      <c r="O1279" s="193"/>
      <c r="P1279" s="193"/>
      <c r="Q1279" s="195"/>
      <c r="R1279" s="191"/>
      <c r="S1279" s="192"/>
    </row>
    <row r="1280" spans="1:19" ht="20.5" thickTop="1" thickBot="1" x14ac:dyDescent="0.4">
      <c r="A1280" s="184" t="s">
        <v>499</v>
      </c>
      <c r="B1280" s="185" t="s">
        <v>499</v>
      </c>
      <c r="C1280" s="185" t="s">
        <v>499</v>
      </c>
      <c r="D1280" s="186" t="s">
        <v>499</v>
      </c>
      <c r="E1280" s="185" t="s">
        <v>499</v>
      </c>
      <c r="F1280" s="185" t="s">
        <v>499</v>
      </c>
      <c r="G1280" s="187">
        <f t="shared" si="19"/>
        <v>0</v>
      </c>
      <c r="H1280" s="188"/>
      <c r="I1280" s="188"/>
      <c r="J1280" s="188"/>
      <c r="K1280" s="185"/>
      <c r="L1280" s="185"/>
      <c r="M1280" s="185"/>
      <c r="N1280" s="185"/>
      <c r="O1280" s="193"/>
      <c r="P1280" s="193"/>
      <c r="Q1280" s="195"/>
      <c r="R1280" s="191"/>
      <c r="S1280" s="192"/>
    </row>
    <row r="1281" spans="1:19" ht="20.5" thickTop="1" thickBot="1" x14ac:dyDescent="0.4">
      <c r="A1281" s="184" t="s">
        <v>499</v>
      </c>
      <c r="B1281" s="185" t="s">
        <v>499</v>
      </c>
      <c r="C1281" s="185" t="s">
        <v>499</v>
      </c>
      <c r="D1281" s="186" t="s">
        <v>499</v>
      </c>
      <c r="E1281" s="185" t="s">
        <v>499</v>
      </c>
      <c r="F1281" s="185" t="s">
        <v>499</v>
      </c>
      <c r="G1281" s="187">
        <f t="shared" si="19"/>
        <v>0</v>
      </c>
      <c r="H1281" s="188"/>
      <c r="I1281" s="188"/>
      <c r="J1281" s="188"/>
      <c r="K1281" s="185"/>
      <c r="L1281" s="185"/>
      <c r="M1281" s="185"/>
      <c r="N1281" s="185"/>
      <c r="O1281" s="193"/>
      <c r="P1281" s="193"/>
      <c r="Q1281" s="195"/>
      <c r="R1281" s="191"/>
      <c r="S1281" s="192"/>
    </row>
    <row r="1282" spans="1:19" ht="20.5" thickTop="1" thickBot="1" x14ac:dyDescent="0.4">
      <c r="A1282" s="184" t="s">
        <v>499</v>
      </c>
      <c r="B1282" s="185" t="s">
        <v>499</v>
      </c>
      <c r="C1282" s="185" t="s">
        <v>499</v>
      </c>
      <c r="D1282" s="186" t="s">
        <v>499</v>
      </c>
      <c r="E1282" s="185" t="s">
        <v>499</v>
      </c>
      <c r="F1282" s="185" t="s">
        <v>499</v>
      </c>
      <c r="G1282" s="187">
        <f t="shared" si="19"/>
        <v>0</v>
      </c>
      <c r="H1282" s="188"/>
      <c r="I1282" s="188"/>
      <c r="J1282" s="188"/>
      <c r="K1282" s="185"/>
      <c r="L1282" s="185"/>
      <c r="M1282" s="185"/>
      <c r="N1282" s="185"/>
      <c r="O1282" s="193"/>
      <c r="P1282" s="193"/>
      <c r="Q1282" s="195"/>
      <c r="R1282" s="191"/>
      <c r="S1282" s="192"/>
    </row>
    <row r="1283" spans="1:19" ht="20.5" thickTop="1" thickBot="1" x14ac:dyDescent="0.4">
      <c r="A1283" s="184" t="s">
        <v>499</v>
      </c>
      <c r="B1283" s="185" t="s">
        <v>499</v>
      </c>
      <c r="C1283" s="185" t="s">
        <v>499</v>
      </c>
      <c r="D1283" s="186" t="s">
        <v>499</v>
      </c>
      <c r="E1283" s="185" t="s">
        <v>499</v>
      </c>
      <c r="F1283" s="185" t="s">
        <v>499</v>
      </c>
      <c r="G1283" s="187">
        <f t="shared" si="19"/>
        <v>0</v>
      </c>
      <c r="H1283" s="188"/>
      <c r="I1283" s="188"/>
      <c r="J1283" s="188"/>
      <c r="K1283" s="185"/>
      <c r="L1283" s="185"/>
      <c r="M1283" s="185"/>
      <c r="N1283" s="185"/>
      <c r="O1283" s="193"/>
      <c r="P1283" s="193"/>
      <c r="Q1283" s="195"/>
      <c r="R1283" s="191"/>
      <c r="S1283" s="192"/>
    </row>
    <row r="1284" spans="1:19" ht="20.5" thickTop="1" thickBot="1" x14ac:dyDescent="0.4">
      <c r="A1284" s="184" t="s">
        <v>499</v>
      </c>
      <c r="B1284" s="185" t="s">
        <v>499</v>
      </c>
      <c r="C1284" s="185" t="s">
        <v>499</v>
      </c>
      <c r="D1284" s="186" t="s">
        <v>499</v>
      </c>
      <c r="E1284" s="185" t="s">
        <v>499</v>
      </c>
      <c r="F1284" s="185" t="s">
        <v>499</v>
      </c>
      <c r="G1284" s="187">
        <f t="shared" si="19"/>
        <v>0</v>
      </c>
      <c r="H1284" s="188"/>
      <c r="I1284" s="188"/>
      <c r="J1284" s="188"/>
      <c r="K1284" s="185"/>
      <c r="L1284" s="185"/>
      <c r="M1284" s="185"/>
      <c r="N1284" s="185"/>
      <c r="O1284" s="193"/>
      <c r="P1284" s="193"/>
      <c r="Q1284" s="195"/>
      <c r="R1284" s="191"/>
      <c r="S1284" s="192"/>
    </row>
    <row r="1285" spans="1:19" ht="20.5" thickTop="1" thickBot="1" x14ac:dyDescent="0.4">
      <c r="A1285" s="184" t="s">
        <v>499</v>
      </c>
      <c r="B1285" s="185" t="s">
        <v>499</v>
      </c>
      <c r="C1285" s="185" t="s">
        <v>499</v>
      </c>
      <c r="D1285" s="186" t="s">
        <v>499</v>
      </c>
      <c r="E1285" s="185" t="s">
        <v>499</v>
      </c>
      <c r="F1285" s="185" t="s">
        <v>499</v>
      </c>
      <c r="G1285" s="187">
        <f t="shared" ref="G1285:G1348" si="20">SUM(H1285:J1285)</f>
        <v>0</v>
      </c>
      <c r="H1285" s="188"/>
      <c r="I1285" s="188"/>
      <c r="J1285" s="188"/>
      <c r="K1285" s="185"/>
      <c r="L1285" s="185"/>
      <c r="M1285" s="185"/>
      <c r="N1285" s="185"/>
      <c r="O1285" s="193"/>
      <c r="P1285" s="193"/>
      <c r="Q1285" s="195"/>
      <c r="R1285" s="191"/>
      <c r="S1285" s="192"/>
    </row>
    <row r="1286" spans="1:19" ht="20.5" thickTop="1" thickBot="1" x14ac:dyDescent="0.4">
      <c r="A1286" s="184" t="s">
        <v>499</v>
      </c>
      <c r="B1286" s="185" t="s">
        <v>499</v>
      </c>
      <c r="C1286" s="185" t="s">
        <v>499</v>
      </c>
      <c r="D1286" s="186" t="s">
        <v>499</v>
      </c>
      <c r="E1286" s="185" t="s">
        <v>499</v>
      </c>
      <c r="F1286" s="185" t="s">
        <v>499</v>
      </c>
      <c r="G1286" s="187">
        <f t="shared" si="20"/>
        <v>0</v>
      </c>
      <c r="H1286" s="188"/>
      <c r="I1286" s="188"/>
      <c r="J1286" s="188"/>
      <c r="K1286" s="185"/>
      <c r="L1286" s="185"/>
      <c r="M1286" s="185"/>
      <c r="N1286" s="185"/>
      <c r="O1286" s="193"/>
      <c r="P1286" s="193"/>
      <c r="Q1286" s="195"/>
      <c r="R1286" s="191"/>
      <c r="S1286" s="192"/>
    </row>
    <row r="1287" spans="1:19" ht="20.5" thickTop="1" thickBot="1" x14ac:dyDescent="0.4">
      <c r="A1287" s="184" t="s">
        <v>499</v>
      </c>
      <c r="B1287" s="185" t="s">
        <v>499</v>
      </c>
      <c r="C1287" s="185" t="s">
        <v>499</v>
      </c>
      <c r="D1287" s="186" t="s">
        <v>499</v>
      </c>
      <c r="E1287" s="185" t="s">
        <v>499</v>
      </c>
      <c r="F1287" s="185" t="s">
        <v>499</v>
      </c>
      <c r="G1287" s="187">
        <f t="shared" si="20"/>
        <v>0</v>
      </c>
      <c r="H1287" s="188"/>
      <c r="I1287" s="188"/>
      <c r="J1287" s="188"/>
      <c r="K1287" s="185"/>
      <c r="L1287" s="185"/>
      <c r="M1287" s="185"/>
      <c r="N1287" s="185"/>
      <c r="O1287" s="193"/>
      <c r="P1287" s="193"/>
      <c r="Q1287" s="195"/>
      <c r="R1287" s="191"/>
      <c r="S1287" s="192"/>
    </row>
    <row r="1288" spans="1:19" ht="20.5" thickTop="1" thickBot="1" x14ac:dyDescent="0.4">
      <c r="A1288" s="184" t="s">
        <v>499</v>
      </c>
      <c r="B1288" s="185" t="s">
        <v>499</v>
      </c>
      <c r="C1288" s="185" t="s">
        <v>499</v>
      </c>
      <c r="D1288" s="186" t="s">
        <v>499</v>
      </c>
      <c r="E1288" s="185" t="s">
        <v>499</v>
      </c>
      <c r="F1288" s="185" t="s">
        <v>499</v>
      </c>
      <c r="G1288" s="187">
        <f t="shared" si="20"/>
        <v>0</v>
      </c>
      <c r="H1288" s="188"/>
      <c r="I1288" s="188"/>
      <c r="J1288" s="188"/>
      <c r="K1288" s="185"/>
      <c r="L1288" s="185"/>
      <c r="M1288" s="185"/>
      <c r="N1288" s="185"/>
      <c r="O1288" s="193"/>
      <c r="P1288" s="193"/>
      <c r="Q1288" s="195"/>
      <c r="R1288" s="191"/>
      <c r="S1288" s="192"/>
    </row>
    <row r="1289" spans="1:19" ht="20.5" thickTop="1" thickBot="1" x14ac:dyDescent="0.4">
      <c r="A1289" s="184" t="s">
        <v>499</v>
      </c>
      <c r="B1289" s="185" t="s">
        <v>499</v>
      </c>
      <c r="C1289" s="185" t="s">
        <v>499</v>
      </c>
      <c r="D1289" s="186" t="s">
        <v>499</v>
      </c>
      <c r="E1289" s="185" t="s">
        <v>499</v>
      </c>
      <c r="F1289" s="185" t="s">
        <v>499</v>
      </c>
      <c r="G1289" s="187">
        <f t="shared" si="20"/>
        <v>0</v>
      </c>
      <c r="H1289" s="188"/>
      <c r="I1289" s="188"/>
      <c r="J1289" s="188"/>
      <c r="K1289" s="185"/>
      <c r="L1289" s="185"/>
      <c r="M1289" s="185"/>
      <c r="N1289" s="185"/>
      <c r="O1289" s="193"/>
      <c r="P1289" s="193"/>
      <c r="Q1289" s="195"/>
      <c r="R1289" s="191"/>
      <c r="S1289" s="192"/>
    </row>
    <row r="1290" spans="1:19" ht="20.5" thickTop="1" thickBot="1" x14ac:dyDescent="0.4">
      <c r="A1290" s="184" t="s">
        <v>499</v>
      </c>
      <c r="B1290" s="185" t="s">
        <v>499</v>
      </c>
      <c r="C1290" s="185" t="s">
        <v>499</v>
      </c>
      <c r="D1290" s="186" t="s">
        <v>499</v>
      </c>
      <c r="E1290" s="185" t="s">
        <v>499</v>
      </c>
      <c r="F1290" s="185" t="s">
        <v>499</v>
      </c>
      <c r="G1290" s="187">
        <f t="shared" si="20"/>
        <v>0</v>
      </c>
      <c r="H1290" s="188"/>
      <c r="I1290" s="188"/>
      <c r="J1290" s="188"/>
      <c r="K1290" s="185"/>
      <c r="L1290" s="185"/>
      <c r="M1290" s="185"/>
      <c r="N1290" s="185"/>
      <c r="O1290" s="193"/>
      <c r="P1290" s="193"/>
      <c r="Q1290" s="195"/>
      <c r="R1290" s="191"/>
      <c r="S1290" s="192"/>
    </row>
    <row r="1291" spans="1:19" ht="20.5" thickTop="1" thickBot="1" x14ac:dyDescent="0.4">
      <c r="A1291" s="184" t="s">
        <v>499</v>
      </c>
      <c r="B1291" s="185" t="s">
        <v>499</v>
      </c>
      <c r="C1291" s="185" t="s">
        <v>499</v>
      </c>
      <c r="D1291" s="186" t="s">
        <v>499</v>
      </c>
      <c r="E1291" s="185" t="s">
        <v>499</v>
      </c>
      <c r="F1291" s="185" t="s">
        <v>499</v>
      </c>
      <c r="G1291" s="187">
        <f t="shared" si="20"/>
        <v>0</v>
      </c>
      <c r="H1291" s="188"/>
      <c r="I1291" s="188"/>
      <c r="J1291" s="188"/>
      <c r="K1291" s="185"/>
      <c r="L1291" s="185"/>
      <c r="M1291" s="185"/>
      <c r="N1291" s="185"/>
      <c r="O1291" s="193"/>
      <c r="P1291" s="193"/>
      <c r="Q1291" s="195"/>
      <c r="R1291" s="191"/>
      <c r="S1291" s="192"/>
    </row>
    <row r="1292" spans="1:19" ht="20.5" thickTop="1" thickBot="1" x14ac:dyDescent="0.4">
      <c r="A1292" s="184" t="s">
        <v>499</v>
      </c>
      <c r="B1292" s="185" t="s">
        <v>499</v>
      </c>
      <c r="C1292" s="185" t="s">
        <v>499</v>
      </c>
      <c r="D1292" s="186" t="s">
        <v>499</v>
      </c>
      <c r="E1292" s="185" t="s">
        <v>499</v>
      </c>
      <c r="F1292" s="185" t="s">
        <v>499</v>
      </c>
      <c r="G1292" s="187">
        <f t="shared" si="20"/>
        <v>0</v>
      </c>
      <c r="H1292" s="188"/>
      <c r="I1292" s="188"/>
      <c r="J1292" s="188"/>
      <c r="K1292" s="185"/>
      <c r="L1292" s="185"/>
      <c r="M1292" s="185"/>
      <c r="N1292" s="185"/>
      <c r="O1292" s="193"/>
      <c r="P1292" s="193"/>
      <c r="Q1292" s="195"/>
      <c r="R1292" s="191"/>
      <c r="S1292" s="192"/>
    </row>
    <row r="1293" spans="1:19" ht="20.5" thickTop="1" thickBot="1" x14ac:dyDescent="0.4">
      <c r="A1293" s="184" t="s">
        <v>499</v>
      </c>
      <c r="B1293" s="185" t="s">
        <v>499</v>
      </c>
      <c r="C1293" s="185" t="s">
        <v>499</v>
      </c>
      <c r="D1293" s="186" t="s">
        <v>499</v>
      </c>
      <c r="E1293" s="185" t="s">
        <v>499</v>
      </c>
      <c r="F1293" s="185" t="s">
        <v>499</v>
      </c>
      <c r="G1293" s="187">
        <f t="shared" si="20"/>
        <v>0</v>
      </c>
      <c r="H1293" s="188"/>
      <c r="I1293" s="188"/>
      <c r="J1293" s="188"/>
      <c r="K1293" s="185"/>
      <c r="L1293" s="185"/>
      <c r="M1293" s="185"/>
      <c r="N1293" s="185"/>
      <c r="O1293" s="193"/>
      <c r="P1293" s="193"/>
      <c r="Q1293" s="195"/>
      <c r="R1293" s="191"/>
      <c r="S1293" s="192"/>
    </row>
    <row r="1294" spans="1:19" ht="20.5" thickTop="1" thickBot="1" x14ac:dyDescent="0.4">
      <c r="A1294" s="184" t="s">
        <v>499</v>
      </c>
      <c r="B1294" s="185" t="s">
        <v>499</v>
      </c>
      <c r="C1294" s="185" t="s">
        <v>499</v>
      </c>
      <c r="D1294" s="186" t="s">
        <v>499</v>
      </c>
      <c r="E1294" s="185" t="s">
        <v>499</v>
      </c>
      <c r="F1294" s="185" t="s">
        <v>499</v>
      </c>
      <c r="G1294" s="187">
        <f t="shared" si="20"/>
        <v>0</v>
      </c>
      <c r="H1294" s="188"/>
      <c r="I1294" s="188"/>
      <c r="J1294" s="188"/>
      <c r="K1294" s="185"/>
      <c r="L1294" s="185"/>
      <c r="M1294" s="185"/>
      <c r="N1294" s="185"/>
      <c r="O1294" s="193"/>
      <c r="P1294" s="193"/>
      <c r="Q1294" s="195"/>
      <c r="R1294" s="191"/>
      <c r="S1294" s="192"/>
    </row>
    <row r="1295" spans="1:19" ht="20.5" thickTop="1" thickBot="1" x14ac:dyDescent="0.4">
      <c r="A1295" s="184" t="s">
        <v>499</v>
      </c>
      <c r="B1295" s="185" t="s">
        <v>499</v>
      </c>
      <c r="C1295" s="185" t="s">
        <v>499</v>
      </c>
      <c r="D1295" s="186" t="s">
        <v>499</v>
      </c>
      <c r="E1295" s="185" t="s">
        <v>499</v>
      </c>
      <c r="F1295" s="185" t="s">
        <v>499</v>
      </c>
      <c r="G1295" s="187">
        <f t="shared" si="20"/>
        <v>0</v>
      </c>
      <c r="H1295" s="188"/>
      <c r="I1295" s="188"/>
      <c r="J1295" s="188"/>
      <c r="K1295" s="185"/>
      <c r="L1295" s="185"/>
      <c r="M1295" s="185"/>
      <c r="N1295" s="185"/>
      <c r="O1295" s="193"/>
      <c r="P1295" s="193"/>
      <c r="Q1295" s="195"/>
      <c r="R1295" s="191"/>
      <c r="S1295" s="192"/>
    </row>
    <row r="1296" spans="1:19" ht="20.5" thickTop="1" thickBot="1" x14ac:dyDescent="0.4">
      <c r="A1296" s="184" t="s">
        <v>499</v>
      </c>
      <c r="B1296" s="185" t="s">
        <v>499</v>
      </c>
      <c r="C1296" s="185" t="s">
        <v>499</v>
      </c>
      <c r="D1296" s="186" t="s">
        <v>499</v>
      </c>
      <c r="E1296" s="185" t="s">
        <v>499</v>
      </c>
      <c r="F1296" s="185" t="s">
        <v>499</v>
      </c>
      <c r="G1296" s="187">
        <f t="shared" si="20"/>
        <v>0</v>
      </c>
      <c r="H1296" s="188"/>
      <c r="I1296" s="188"/>
      <c r="J1296" s="188"/>
      <c r="K1296" s="185"/>
      <c r="L1296" s="185"/>
      <c r="M1296" s="185"/>
      <c r="N1296" s="185"/>
      <c r="O1296" s="193"/>
      <c r="P1296" s="193"/>
      <c r="Q1296" s="195"/>
      <c r="R1296" s="191"/>
      <c r="S1296" s="192"/>
    </row>
    <row r="1297" spans="1:19" ht="20.5" thickTop="1" thickBot="1" x14ac:dyDescent="0.4">
      <c r="A1297" s="184" t="s">
        <v>499</v>
      </c>
      <c r="B1297" s="185" t="s">
        <v>499</v>
      </c>
      <c r="C1297" s="185" t="s">
        <v>499</v>
      </c>
      <c r="D1297" s="186" t="s">
        <v>499</v>
      </c>
      <c r="E1297" s="185" t="s">
        <v>499</v>
      </c>
      <c r="F1297" s="185" t="s">
        <v>499</v>
      </c>
      <c r="G1297" s="187">
        <f t="shared" si="20"/>
        <v>0</v>
      </c>
      <c r="H1297" s="188"/>
      <c r="I1297" s="188"/>
      <c r="J1297" s="188"/>
      <c r="K1297" s="185"/>
      <c r="L1297" s="185"/>
      <c r="M1297" s="185"/>
      <c r="N1297" s="185"/>
      <c r="O1297" s="193"/>
      <c r="P1297" s="193"/>
      <c r="Q1297" s="195"/>
      <c r="R1297" s="191"/>
      <c r="S1297" s="192"/>
    </row>
    <row r="1298" spans="1:19" ht="20.5" thickTop="1" thickBot="1" x14ac:dyDescent="0.4">
      <c r="A1298" s="184" t="s">
        <v>499</v>
      </c>
      <c r="B1298" s="185" t="s">
        <v>499</v>
      </c>
      <c r="C1298" s="185" t="s">
        <v>499</v>
      </c>
      <c r="D1298" s="186" t="s">
        <v>499</v>
      </c>
      <c r="E1298" s="185" t="s">
        <v>499</v>
      </c>
      <c r="F1298" s="185" t="s">
        <v>499</v>
      </c>
      <c r="G1298" s="187">
        <f t="shared" si="20"/>
        <v>0</v>
      </c>
      <c r="H1298" s="188"/>
      <c r="I1298" s="188"/>
      <c r="J1298" s="188"/>
      <c r="K1298" s="185"/>
      <c r="L1298" s="185"/>
      <c r="M1298" s="185"/>
      <c r="N1298" s="185"/>
      <c r="O1298" s="193"/>
      <c r="P1298" s="193"/>
      <c r="Q1298" s="195"/>
      <c r="R1298" s="191"/>
      <c r="S1298" s="192"/>
    </row>
    <row r="1299" spans="1:19" ht="20.5" thickTop="1" thickBot="1" x14ac:dyDescent="0.4">
      <c r="A1299" s="184" t="s">
        <v>499</v>
      </c>
      <c r="B1299" s="185" t="s">
        <v>499</v>
      </c>
      <c r="C1299" s="185" t="s">
        <v>499</v>
      </c>
      <c r="D1299" s="186" t="s">
        <v>499</v>
      </c>
      <c r="E1299" s="185" t="s">
        <v>499</v>
      </c>
      <c r="F1299" s="185" t="s">
        <v>499</v>
      </c>
      <c r="G1299" s="187">
        <f t="shared" si="20"/>
        <v>0</v>
      </c>
      <c r="H1299" s="188"/>
      <c r="I1299" s="188"/>
      <c r="J1299" s="188"/>
      <c r="K1299" s="185"/>
      <c r="L1299" s="185"/>
      <c r="M1299" s="185"/>
      <c r="N1299" s="185"/>
      <c r="O1299" s="193"/>
      <c r="P1299" s="193"/>
      <c r="Q1299" s="195"/>
      <c r="R1299" s="191"/>
      <c r="S1299" s="192"/>
    </row>
    <row r="1300" spans="1:19" ht="20.5" thickTop="1" thickBot="1" x14ac:dyDescent="0.4">
      <c r="A1300" s="184" t="s">
        <v>499</v>
      </c>
      <c r="B1300" s="185" t="s">
        <v>499</v>
      </c>
      <c r="C1300" s="185" t="s">
        <v>499</v>
      </c>
      <c r="D1300" s="186" t="s">
        <v>499</v>
      </c>
      <c r="E1300" s="185" t="s">
        <v>499</v>
      </c>
      <c r="F1300" s="185" t="s">
        <v>499</v>
      </c>
      <c r="G1300" s="187">
        <f t="shared" si="20"/>
        <v>0</v>
      </c>
      <c r="H1300" s="188"/>
      <c r="I1300" s="188"/>
      <c r="J1300" s="188"/>
      <c r="K1300" s="185"/>
      <c r="L1300" s="185"/>
      <c r="M1300" s="185"/>
      <c r="N1300" s="185"/>
      <c r="O1300" s="193"/>
      <c r="P1300" s="193"/>
      <c r="Q1300" s="195"/>
      <c r="R1300" s="191"/>
      <c r="S1300" s="192"/>
    </row>
    <row r="1301" spans="1:19" ht="20.5" thickTop="1" thickBot="1" x14ac:dyDescent="0.4">
      <c r="A1301" s="184" t="s">
        <v>499</v>
      </c>
      <c r="B1301" s="185" t="s">
        <v>499</v>
      </c>
      <c r="C1301" s="185" t="s">
        <v>499</v>
      </c>
      <c r="D1301" s="186" t="s">
        <v>499</v>
      </c>
      <c r="E1301" s="185" t="s">
        <v>499</v>
      </c>
      <c r="F1301" s="185" t="s">
        <v>499</v>
      </c>
      <c r="G1301" s="187">
        <f t="shared" si="20"/>
        <v>0</v>
      </c>
      <c r="H1301" s="188"/>
      <c r="I1301" s="188"/>
      <c r="J1301" s="188"/>
      <c r="K1301" s="185"/>
      <c r="L1301" s="185"/>
      <c r="M1301" s="185"/>
      <c r="N1301" s="185"/>
      <c r="O1301" s="193"/>
      <c r="P1301" s="193"/>
      <c r="Q1301" s="195"/>
      <c r="R1301" s="191"/>
      <c r="S1301" s="192"/>
    </row>
    <row r="1302" spans="1:19" ht="20.5" thickTop="1" thickBot="1" x14ac:dyDescent="0.4">
      <c r="A1302" s="184" t="s">
        <v>499</v>
      </c>
      <c r="B1302" s="185" t="s">
        <v>499</v>
      </c>
      <c r="C1302" s="185" t="s">
        <v>499</v>
      </c>
      <c r="D1302" s="186" t="s">
        <v>499</v>
      </c>
      <c r="E1302" s="185" t="s">
        <v>499</v>
      </c>
      <c r="F1302" s="185" t="s">
        <v>499</v>
      </c>
      <c r="G1302" s="187">
        <f t="shared" si="20"/>
        <v>0</v>
      </c>
      <c r="H1302" s="188"/>
      <c r="I1302" s="188"/>
      <c r="J1302" s="188"/>
      <c r="K1302" s="185"/>
      <c r="L1302" s="185"/>
      <c r="M1302" s="185"/>
      <c r="N1302" s="185"/>
      <c r="O1302" s="193"/>
      <c r="P1302" s="193"/>
      <c r="Q1302" s="195"/>
      <c r="R1302" s="191"/>
      <c r="S1302" s="192"/>
    </row>
    <row r="1303" spans="1:19" ht="20.5" thickTop="1" thickBot="1" x14ac:dyDescent="0.4">
      <c r="A1303" s="184" t="s">
        <v>499</v>
      </c>
      <c r="B1303" s="185" t="s">
        <v>499</v>
      </c>
      <c r="C1303" s="185" t="s">
        <v>499</v>
      </c>
      <c r="D1303" s="186" t="s">
        <v>499</v>
      </c>
      <c r="E1303" s="185" t="s">
        <v>499</v>
      </c>
      <c r="F1303" s="185" t="s">
        <v>499</v>
      </c>
      <c r="G1303" s="187">
        <f t="shared" si="20"/>
        <v>0</v>
      </c>
      <c r="H1303" s="188"/>
      <c r="I1303" s="188"/>
      <c r="J1303" s="188"/>
      <c r="K1303" s="185"/>
      <c r="L1303" s="185"/>
      <c r="M1303" s="185"/>
      <c r="N1303" s="185"/>
      <c r="O1303" s="193"/>
      <c r="P1303" s="193"/>
      <c r="Q1303" s="195"/>
      <c r="R1303" s="191"/>
      <c r="S1303" s="192"/>
    </row>
    <row r="1304" spans="1:19" ht="20.5" thickTop="1" thickBot="1" x14ac:dyDescent="0.4">
      <c r="A1304" s="184" t="s">
        <v>499</v>
      </c>
      <c r="B1304" s="185" t="s">
        <v>499</v>
      </c>
      <c r="C1304" s="185" t="s">
        <v>499</v>
      </c>
      <c r="D1304" s="186" t="s">
        <v>499</v>
      </c>
      <c r="E1304" s="185" t="s">
        <v>499</v>
      </c>
      <c r="F1304" s="185" t="s">
        <v>499</v>
      </c>
      <c r="G1304" s="187">
        <f t="shared" si="20"/>
        <v>0</v>
      </c>
      <c r="H1304" s="188"/>
      <c r="I1304" s="188"/>
      <c r="J1304" s="188"/>
      <c r="K1304" s="185"/>
      <c r="L1304" s="185"/>
      <c r="M1304" s="185"/>
      <c r="N1304" s="185"/>
      <c r="O1304" s="193"/>
      <c r="P1304" s="193"/>
      <c r="Q1304" s="195"/>
      <c r="R1304" s="191"/>
      <c r="S1304" s="192"/>
    </row>
    <row r="1305" spans="1:19" ht="20.5" thickTop="1" thickBot="1" x14ac:dyDescent="0.4">
      <c r="A1305" s="184" t="s">
        <v>499</v>
      </c>
      <c r="B1305" s="185" t="s">
        <v>499</v>
      </c>
      <c r="C1305" s="185" t="s">
        <v>499</v>
      </c>
      <c r="D1305" s="186" t="s">
        <v>499</v>
      </c>
      <c r="E1305" s="185" t="s">
        <v>499</v>
      </c>
      <c r="F1305" s="185" t="s">
        <v>499</v>
      </c>
      <c r="G1305" s="187">
        <f t="shared" si="20"/>
        <v>0</v>
      </c>
      <c r="H1305" s="188"/>
      <c r="I1305" s="188"/>
      <c r="J1305" s="188"/>
      <c r="K1305" s="185"/>
      <c r="L1305" s="185"/>
      <c r="M1305" s="185"/>
      <c r="N1305" s="185"/>
      <c r="O1305" s="193"/>
      <c r="P1305" s="193"/>
      <c r="Q1305" s="195"/>
      <c r="R1305" s="191"/>
      <c r="S1305" s="192"/>
    </row>
    <row r="1306" spans="1:19" ht="20.5" thickTop="1" thickBot="1" x14ac:dyDescent="0.4">
      <c r="A1306" s="184" t="s">
        <v>499</v>
      </c>
      <c r="B1306" s="185" t="s">
        <v>499</v>
      </c>
      <c r="C1306" s="185" t="s">
        <v>499</v>
      </c>
      <c r="D1306" s="186" t="s">
        <v>499</v>
      </c>
      <c r="E1306" s="185" t="s">
        <v>499</v>
      </c>
      <c r="F1306" s="185" t="s">
        <v>499</v>
      </c>
      <c r="G1306" s="187">
        <f t="shared" si="20"/>
        <v>0</v>
      </c>
      <c r="H1306" s="188"/>
      <c r="I1306" s="188"/>
      <c r="J1306" s="188"/>
      <c r="K1306" s="185"/>
      <c r="L1306" s="185"/>
      <c r="M1306" s="185"/>
      <c r="N1306" s="185"/>
      <c r="O1306" s="193"/>
      <c r="P1306" s="193"/>
      <c r="Q1306" s="195"/>
      <c r="R1306" s="191"/>
      <c r="S1306" s="192"/>
    </row>
    <row r="1307" spans="1:19" ht="20.5" thickTop="1" thickBot="1" x14ac:dyDescent="0.4">
      <c r="A1307" s="184" t="s">
        <v>499</v>
      </c>
      <c r="B1307" s="185" t="s">
        <v>499</v>
      </c>
      <c r="C1307" s="185" t="s">
        <v>499</v>
      </c>
      <c r="D1307" s="186" t="s">
        <v>499</v>
      </c>
      <c r="E1307" s="185" t="s">
        <v>499</v>
      </c>
      <c r="F1307" s="185" t="s">
        <v>499</v>
      </c>
      <c r="G1307" s="187">
        <f t="shared" si="20"/>
        <v>0</v>
      </c>
      <c r="H1307" s="188"/>
      <c r="I1307" s="188"/>
      <c r="J1307" s="188"/>
      <c r="K1307" s="185"/>
      <c r="L1307" s="185"/>
      <c r="M1307" s="185"/>
      <c r="N1307" s="185"/>
      <c r="O1307" s="193"/>
      <c r="P1307" s="193"/>
      <c r="Q1307" s="195"/>
      <c r="R1307" s="191"/>
      <c r="S1307" s="192"/>
    </row>
    <row r="1308" spans="1:19" ht="20.5" thickTop="1" thickBot="1" x14ac:dyDescent="0.4">
      <c r="A1308" s="184" t="s">
        <v>499</v>
      </c>
      <c r="B1308" s="185" t="s">
        <v>499</v>
      </c>
      <c r="C1308" s="185" t="s">
        <v>499</v>
      </c>
      <c r="D1308" s="186" t="s">
        <v>499</v>
      </c>
      <c r="E1308" s="185" t="s">
        <v>499</v>
      </c>
      <c r="F1308" s="185" t="s">
        <v>499</v>
      </c>
      <c r="G1308" s="187">
        <f t="shared" si="20"/>
        <v>0</v>
      </c>
      <c r="H1308" s="188"/>
      <c r="I1308" s="188"/>
      <c r="J1308" s="188"/>
      <c r="K1308" s="185"/>
      <c r="L1308" s="185"/>
      <c r="M1308" s="185"/>
      <c r="N1308" s="185"/>
      <c r="O1308" s="193"/>
      <c r="P1308" s="193"/>
      <c r="Q1308" s="195"/>
      <c r="R1308" s="191"/>
      <c r="S1308" s="192"/>
    </row>
    <row r="1309" spans="1:19" ht="20.5" thickTop="1" thickBot="1" x14ac:dyDescent="0.4">
      <c r="A1309" s="184" t="s">
        <v>499</v>
      </c>
      <c r="B1309" s="185" t="s">
        <v>499</v>
      </c>
      <c r="C1309" s="185" t="s">
        <v>499</v>
      </c>
      <c r="D1309" s="186" t="s">
        <v>499</v>
      </c>
      <c r="E1309" s="185" t="s">
        <v>499</v>
      </c>
      <c r="F1309" s="185" t="s">
        <v>499</v>
      </c>
      <c r="G1309" s="187">
        <f t="shared" si="20"/>
        <v>0</v>
      </c>
      <c r="H1309" s="188"/>
      <c r="I1309" s="188"/>
      <c r="J1309" s="188"/>
      <c r="K1309" s="185"/>
      <c r="L1309" s="185"/>
      <c r="M1309" s="185"/>
      <c r="N1309" s="185"/>
      <c r="O1309" s="193"/>
      <c r="P1309" s="193"/>
      <c r="Q1309" s="195"/>
      <c r="R1309" s="191"/>
      <c r="S1309" s="192"/>
    </row>
    <row r="1310" spans="1:19" ht="20.5" thickTop="1" thickBot="1" x14ac:dyDescent="0.4">
      <c r="A1310" s="184" t="s">
        <v>499</v>
      </c>
      <c r="B1310" s="185" t="s">
        <v>499</v>
      </c>
      <c r="C1310" s="185" t="s">
        <v>499</v>
      </c>
      <c r="D1310" s="186" t="s">
        <v>499</v>
      </c>
      <c r="E1310" s="185" t="s">
        <v>499</v>
      </c>
      <c r="F1310" s="185" t="s">
        <v>499</v>
      </c>
      <c r="G1310" s="187">
        <f t="shared" si="20"/>
        <v>0</v>
      </c>
      <c r="H1310" s="188"/>
      <c r="I1310" s="188"/>
      <c r="J1310" s="188"/>
      <c r="K1310" s="185"/>
      <c r="L1310" s="185"/>
      <c r="M1310" s="185"/>
      <c r="N1310" s="185"/>
      <c r="O1310" s="193"/>
      <c r="P1310" s="193"/>
      <c r="Q1310" s="195"/>
      <c r="R1310" s="191"/>
      <c r="S1310" s="192"/>
    </row>
    <row r="1311" spans="1:19" ht="20.5" thickTop="1" thickBot="1" x14ac:dyDescent="0.4">
      <c r="A1311" s="184" t="s">
        <v>499</v>
      </c>
      <c r="B1311" s="185" t="s">
        <v>499</v>
      </c>
      <c r="C1311" s="185" t="s">
        <v>499</v>
      </c>
      <c r="D1311" s="186" t="s">
        <v>499</v>
      </c>
      <c r="E1311" s="185" t="s">
        <v>499</v>
      </c>
      <c r="F1311" s="185" t="s">
        <v>499</v>
      </c>
      <c r="G1311" s="187">
        <f t="shared" si="20"/>
        <v>0</v>
      </c>
      <c r="H1311" s="188"/>
      <c r="I1311" s="188"/>
      <c r="J1311" s="188"/>
      <c r="K1311" s="185"/>
      <c r="L1311" s="185"/>
      <c r="M1311" s="185"/>
      <c r="N1311" s="185"/>
      <c r="O1311" s="193"/>
      <c r="P1311" s="193"/>
      <c r="Q1311" s="195"/>
      <c r="R1311" s="191"/>
      <c r="S1311" s="192"/>
    </row>
    <row r="1312" spans="1:19" ht="20.5" thickTop="1" thickBot="1" x14ac:dyDescent="0.4">
      <c r="A1312" s="184" t="s">
        <v>499</v>
      </c>
      <c r="B1312" s="185" t="s">
        <v>499</v>
      </c>
      <c r="C1312" s="185" t="s">
        <v>499</v>
      </c>
      <c r="D1312" s="186" t="s">
        <v>499</v>
      </c>
      <c r="E1312" s="185" t="s">
        <v>499</v>
      </c>
      <c r="F1312" s="185" t="s">
        <v>499</v>
      </c>
      <c r="G1312" s="187">
        <f t="shared" si="20"/>
        <v>0</v>
      </c>
      <c r="H1312" s="188"/>
      <c r="I1312" s="188"/>
      <c r="J1312" s="188"/>
      <c r="K1312" s="185"/>
      <c r="L1312" s="185"/>
      <c r="M1312" s="185"/>
      <c r="N1312" s="185"/>
      <c r="O1312" s="193"/>
      <c r="P1312" s="193"/>
      <c r="Q1312" s="195"/>
      <c r="R1312" s="191"/>
      <c r="S1312" s="192"/>
    </row>
    <row r="1313" spans="1:19" ht="20.5" thickTop="1" thickBot="1" x14ac:dyDescent="0.4">
      <c r="A1313" s="184" t="s">
        <v>499</v>
      </c>
      <c r="B1313" s="185" t="s">
        <v>499</v>
      </c>
      <c r="C1313" s="185" t="s">
        <v>499</v>
      </c>
      <c r="D1313" s="186" t="s">
        <v>499</v>
      </c>
      <c r="E1313" s="185" t="s">
        <v>499</v>
      </c>
      <c r="F1313" s="185" t="s">
        <v>499</v>
      </c>
      <c r="G1313" s="187">
        <f t="shared" si="20"/>
        <v>0</v>
      </c>
      <c r="H1313" s="188"/>
      <c r="I1313" s="188"/>
      <c r="J1313" s="188"/>
      <c r="K1313" s="185"/>
      <c r="L1313" s="185"/>
      <c r="M1313" s="185"/>
      <c r="N1313" s="185"/>
      <c r="O1313" s="193"/>
      <c r="P1313" s="193"/>
      <c r="Q1313" s="195"/>
      <c r="R1313" s="191"/>
      <c r="S1313" s="192"/>
    </row>
    <row r="1314" spans="1:19" ht="20.5" thickTop="1" thickBot="1" x14ac:dyDescent="0.4">
      <c r="A1314" s="184" t="s">
        <v>499</v>
      </c>
      <c r="B1314" s="185" t="s">
        <v>499</v>
      </c>
      <c r="C1314" s="185" t="s">
        <v>499</v>
      </c>
      <c r="D1314" s="186" t="s">
        <v>499</v>
      </c>
      <c r="E1314" s="185" t="s">
        <v>499</v>
      </c>
      <c r="F1314" s="185" t="s">
        <v>499</v>
      </c>
      <c r="G1314" s="187">
        <f t="shared" si="20"/>
        <v>0</v>
      </c>
      <c r="H1314" s="188"/>
      <c r="I1314" s="188"/>
      <c r="J1314" s="188"/>
      <c r="K1314" s="185"/>
      <c r="L1314" s="185"/>
      <c r="M1314" s="185"/>
      <c r="N1314" s="185"/>
      <c r="O1314" s="193"/>
      <c r="P1314" s="193"/>
      <c r="Q1314" s="195"/>
      <c r="R1314" s="191"/>
      <c r="S1314" s="192"/>
    </row>
    <row r="1315" spans="1:19" ht="20.5" thickTop="1" thickBot="1" x14ac:dyDescent="0.4">
      <c r="A1315" s="184" t="s">
        <v>499</v>
      </c>
      <c r="B1315" s="185" t="s">
        <v>499</v>
      </c>
      <c r="C1315" s="185" t="s">
        <v>499</v>
      </c>
      <c r="D1315" s="186" t="s">
        <v>499</v>
      </c>
      <c r="E1315" s="185" t="s">
        <v>499</v>
      </c>
      <c r="F1315" s="185" t="s">
        <v>499</v>
      </c>
      <c r="G1315" s="187">
        <f t="shared" si="20"/>
        <v>0</v>
      </c>
      <c r="H1315" s="188"/>
      <c r="I1315" s="188"/>
      <c r="J1315" s="188"/>
      <c r="K1315" s="185"/>
      <c r="L1315" s="185"/>
      <c r="M1315" s="185"/>
      <c r="N1315" s="185"/>
      <c r="O1315" s="193"/>
      <c r="P1315" s="193"/>
      <c r="Q1315" s="195"/>
      <c r="R1315" s="191"/>
      <c r="S1315" s="192"/>
    </row>
    <row r="1316" spans="1:19" ht="20.5" thickTop="1" thickBot="1" x14ac:dyDescent="0.4">
      <c r="A1316" s="184" t="s">
        <v>499</v>
      </c>
      <c r="B1316" s="185" t="s">
        <v>499</v>
      </c>
      <c r="C1316" s="185" t="s">
        <v>499</v>
      </c>
      <c r="D1316" s="186" t="s">
        <v>499</v>
      </c>
      <c r="E1316" s="185" t="s">
        <v>499</v>
      </c>
      <c r="F1316" s="185" t="s">
        <v>499</v>
      </c>
      <c r="G1316" s="187">
        <f t="shared" si="20"/>
        <v>0</v>
      </c>
      <c r="H1316" s="188"/>
      <c r="I1316" s="188"/>
      <c r="J1316" s="188"/>
      <c r="K1316" s="185"/>
      <c r="L1316" s="185"/>
      <c r="M1316" s="185"/>
      <c r="N1316" s="185"/>
      <c r="O1316" s="193"/>
      <c r="P1316" s="193"/>
      <c r="Q1316" s="195"/>
      <c r="R1316" s="191"/>
      <c r="S1316" s="192"/>
    </row>
    <row r="1317" spans="1:19" ht="20.5" thickTop="1" thickBot="1" x14ac:dyDescent="0.4">
      <c r="A1317" s="184" t="s">
        <v>499</v>
      </c>
      <c r="B1317" s="185" t="s">
        <v>499</v>
      </c>
      <c r="C1317" s="185" t="s">
        <v>499</v>
      </c>
      <c r="D1317" s="186" t="s">
        <v>499</v>
      </c>
      <c r="E1317" s="185" t="s">
        <v>499</v>
      </c>
      <c r="F1317" s="185" t="s">
        <v>499</v>
      </c>
      <c r="G1317" s="187">
        <f t="shared" si="20"/>
        <v>0</v>
      </c>
      <c r="H1317" s="188"/>
      <c r="I1317" s="188"/>
      <c r="J1317" s="188"/>
      <c r="K1317" s="185"/>
      <c r="L1317" s="185"/>
      <c r="M1317" s="185"/>
      <c r="N1317" s="185"/>
      <c r="O1317" s="193"/>
      <c r="P1317" s="193"/>
      <c r="Q1317" s="195"/>
      <c r="R1317" s="191"/>
      <c r="S1317" s="192"/>
    </row>
    <row r="1318" spans="1:19" ht="20.5" thickTop="1" thickBot="1" x14ac:dyDescent="0.4">
      <c r="A1318" s="184" t="s">
        <v>499</v>
      </c>
      <c r="B1318" s="185" t="s">
        <v>499</v>
      </c>
      <c r="C1318" s="185" t="s">
        <v>499</v>
      </c>
      <c r="D1318" s="186" t="s">
        <v>499</v>
      </c>
      <c r="E1318" s="185" t="s">
        <v>499</v>
      </c>
      <c r="F1318" s="185" t="s">
        <v>499</v>
      </c>
      <c r="G1318" s="187">
        <f t="shared" si="20"/>
        <v>0</v>
      </c>
      <c r="H1318" s="188"/>
      <c r="I1318" s="188"/>
      <c r="J1318" s="188"/>
      <c r="K1318" s="185"/>
      <c r="L1318" s="185"/>
      <c r="M1318" s="185"/>
      <c r="N1318" s="185"/>
      <c r="O1318" s="193"/>
      <c r="P1318" s="193"/>
      <c r="Q1318" s="195"/>
      <c r="R1318" s="191"/>
      <c r="S1318" s="192"/>
    </row>
    <row r="1319" spans="1:19" ht="20.5" thickTop="1" thickBot="1" x14ac:dyDescent="0.4">
      <c r="A1319" s="184" t="s">
        <v>499</v>
      </c>
      <c r="B1319" s="185" t="s">
        <v>499</v>
      </c>
      <c r="C1319" s="185" t="s">
        <v>499</v>
      </c>
      <c r="D1319" s="186" t="s">
        <v>499</v>
      </c>
      <c r="E1319" s="185" t="s">
        <v>499</v>
      </c>
      <c r="F1319" s="185" t="s">
        <v>499</v>
      </c>
      <c r="G1319" s="187">
        <f t="shared" si="20"/>
        <v>0</v>
      </c>
      <c r="H1319" s="188"/>
      <c r="I1319" s="188"/>
      <c r="J1319" s="188"/>
      <c r="K1319" s="185"/>
      <c r="L1319" s="185"/>
      <c r="M1319" s="185"/>
      <c r="N1319" s="185"/>
      <c r="O1319" s="193"/>
      <c r="P1319" s="193"/>
      <c r="Q1319" s="195"/>
      <c r="R1319" s="191"/>
      <c r="S1319" s="192"/>
    </row>
    <row r="1320" spans="1:19" ht="20.5" thickTop="1" thickBot="1" x14ac:dyDescent="0.4">
      <c r="A1320" s="184" t="s">
        <v>499</v>
      </c>
      <c r="B1320" s="185" t="s">
        <v>499</v>
      </c>
      <c r="C1320" s="185" t="s">
        <v>499</v>
      </c>
      <c r="D1320" s="186" t="s">
        <v>499</v>
      </c>
      <c r="E1320" s="185" t="s">
        <v>499</v>
      </c>
      <c r="F1320" s="185" t="s">
        <v>499</v>
      </c>
      <c r="G1320" s="187">
        <f t="shared" si="20"/>
        <v>0</v>
      </c>
      <c r="H1320" s="188"/>
      <c r="I1320" s="188"/>
      <c r="J1320" s="188"/>
      <c r="K1320" s="185"/>
      <c r="L1320" s="185"/>
      <c r="M1320" s="185"/>
      <c r="N1320" s="185"/>
      <c r="O1320" s="193"/>
      <c r="P1320" s="193"/>
      <c r="Q1320" s="195"/>
      <c r="R1320" s="191"/>
      <c r="S1320" s="192"/>
    </row>
    <row r="1321" spans="1:19" ht="20.5" thickTop="1" thickBot="1" x14ac:dyDescent="0.4">
      <c r="A1321" s="184" t="s">
        <v>499</v>
      </c>
      <c r="B1321" s="185" t="s">
        <v>499</v>
      </c>
      <c r="C1321" s="185" t="s">
        <v>499</v>
      </c>
      <c r="D1321" s="186" t="s">
        <v>499</v>
      </c>
      <c r="E1321" s="185" t="s">
        <v>499</v>
      </c>
      <c r="F1321" s="185" t="s">
        <v>499</v>
      </c>
      <c r="G1321" s="187">
        <f t="shared" si="20"/>
        <v>0</v>
      </c>
      <c r="H1321" s="188"/>
      <c r="I1321" s="188"/>
      <c r="J1321" s="188"/>
      <c r="K1321" s="185"/>
      <c r="L1321" s="185"/>
      <c r="M1321" s="185"/>
      <c r="N1321" s="185"/>
      <c r="O1321" s="193"/>
      <c r="P1321" s="193"/>
      <c r="Q1321" s="195"/>
      <c r="R1321" s="191"/>
      <c r="S1321" s="192"/>
    </row>
    <row r="1322" spans="1:19" ht="20.5" thickTop="1" thickBot="1" x14ac:dyDescent="0.4">
      <c r="A1322" s="184" t="s">
        <v>499</v>
      </c>
      <c r="B1322" s="185" t="s">
        <v>499</v>
      </c>
      <c r="C1322" s="185" t="s">
        <v>499</v>
      </c>
      <c r="D1322" s="186" t="s">
        <v>499</v>
      </c>
      <c r="E1322" s="185" t="s">
        <v>499</v>
      </c>
      <c r="F1322" s="185" t="s">
        <v>499</v>
      </c>
      <c r="G1322" s="187">
        <f t="shared" si="20"/>
        <v>0</v>
      </c>
      <c r="H1322" s="188"/>
      <c r="I1322" s="188"/>
      <c r="J1322" s="188"/>
      <c r="K1322" s="185"/>
      <c r="L1322" s="185"/>
      <c r="M1322" s="185"/>
      <c r="N1322" s="185"/>
      <c r="O1322" s="193"/>
      <c r="P1322" s="193"/>
      <c r="Q1322" s="195"/>
      <c r="R1322" s="191"/>
      <c r="S1322" s="192"/>
    </row>
    <row r="1323" spans="1:19" ht="20.5" thickTop="1" thickBot="1" x14ac:dyDescent="0.4">
      <c r="A1323" s="184" t="s">
        <v>499</v>
      </c>
      <c r="B1323" s="185" t="s">
        <v>499</v>
      </c>
      <c r="C1323" s="185" t="s">
        <v>499</v>
      </c>
      <c r="D1323" s="186" t="s">
        <v>499</v>
      </c>
      <c r="E1323" s="185" t="s">
        <v>499</v>
      </c>
      <c r="F1323" s="185" t="s">
        <v>499</v>
      </c>
      <c r="G1323" s="187">
        <f t="shared" si="20"/>
        <v>0</v>
      </c>
      <c r="H1323" s="188"/>
      <c r="I1323" s="188"/>
      <c r="J1323" s="188"/>
      <c r="K1323" s="185"/>
      <c r="L1323" s="185"/>
      <c r="M1323" s="185"/>
      <c r="N1323" s="185"/>
      <c r="O1323" s="193"/>
      <c r="P1323" s="193"/>
      <c r="Q1323" s="195"/>
      <c r="R1323" s="191"/>
      <c r="S1323" s="192"/>
    </row>
    <row r="1324" spans="1:19" ht="20.5" thickTop="1" thickBot="1" x14ac:dyDescent="0.4">
      <c r="A1324" s="184" t="s">
        <v>499</v>
      </c>
      <c r="B1324" s="185" t="s">
        <v>499</v>
      </c>
      <c r="C1324" s="185" t="s">
        <v>499</v>
      </c>
      <c r="D1324" s="186" t="s">
        <v>499</v>
      </c>
      <c r="E1324" s="185" t="s">
        <v>499</v>
      </c>
      <c r="F1324" s="185" t="s">
        <v>499</v>
      </c>
      <c r="G1324" s="187">
        <f t="shared" si="20"/>
        <v>0</v>
      </c>
      <c r="H1324" s="188"/>
      <c r="I1324" s="188"/>
      <c r="J1324" s="188"/>
      <c r="K1324" s="185"/>
      <c r="L1324" s="185"/>
      <c r="M1324" s="185"/>
      <c r="N1324" s="185"/>
      <c r="O1324" s="193"/>
      <c r="P1324" s="193"/>
      <c r="Q1324" s="195"/>
      <c r="R1324" s="191"/>
      <c r="S1324" s="192"/>
    </row>
    <row r="1325" spans="1:19" ht="20.5" thickTop="1" thickBot="1" x14ac:dyDescent="0.4">
      <c r="A1325" s="184" t="s">
        <v>499</v>
      </c>
      <c r="B1325" s="185" t="s">
        <v>499</v>
      </c>
      <c r="C1325" s="185" t="s">
        <v>499</v>
      </c>
      <c r="D1325" s="186" t="s">
        <v>499</v>
      </c>
      <c r="E1325" s="185" t="s">
        <v>499</v>
      </c>
      <c r="F1325" s="185" t="s">
        <v>499</v>
      </c>
      <c r="G1325" s="187">
        <f t="shared" si="20"/>
        <v>0</v>
      </c>
      <c r="H1325" s="188"/>
      <c r="I1325" s="188"/>
      <c r="J1325" s="188"/>
      <c r="K1325" s="185"/>
      <c r="L1325" s="185"/>
      <c r="M1325" s="185"/>
      <c r="N1325" s="185"/>
      <c r="O1325" s="193"/>
      <c r="P1325" s="193"/>
      <c r="Q1325" s="195"/>
      <c r="R1325" s="191"/>
      <c r="S1325" s="192"/>
    </row>
    <row r="1326" spans="1:19" ht="20.5" thickTop="1" thickBot="1" x14ac:dyDescent="0.4">
      <c r="A1326" s="184" t="s">
        <v>499</v>
      </c>
      <c r="B1326" s="185" t="s">
        <v>499</v>
      </c>
      <c r="C1326" s="185" t="s">
        <v>499</v>
      </c>
      <c r="D1326" s="186" t="s">
        <v>499</v>
      </c>
      <c r="E1326" s="185" t="s">
        <v>499</v>
      </c>
      <c r="F1326" s="185" t="s">
        <v>499</v>
      </c>
      <c r="G1326" s="187">
        <f t="shared" si="20"/>
        <v>0</v>
      </c>
      <c r="H1326" s="188"/>
      <c r="I1326" s="188"/>
      <c r="J1326" s="188"/>
      <c r="K1326" s="185"/>
      <c r="L1326" s="185"/>
      <c r="M1326" s="185"/>
      <c r="N1326" s="185"/>
      <c r="O1326" s="193"/>
      <c r="P1326" s="193"/>
      <c r="Q1326" s="195"/>
      <c r="R1326" s="191"/>
      <c r="S1326" s="192"/>
    </row>
    <row r="1327" spans="1:19" ht="20.5" thickTop="1" thickBot="1" x14ac:dyDescent="0.4">
      <c r="A1327" s="184" t="s">
        <v>499</v>
      </c>
      <c r="B1327" s="185" t="s">
        <v>499</v>
      </c>
      <c r="C1327" s="185" t="s">
        <v>499</v>
      </c>
      <c r="D1327" s="186" t="s">
        <v>499</v>
      </c>
      <c r="E1327" s="185" t="s">
        <v>499</v>
      </c>
      <c r="F1327" s="185" t="s">
        <v>499</v>
      </c>
      <c r="G1327" s="187">
        <f t="shared" si="20"/>
        <v>0</v>
      </c>
      <c r="H1327" s="188"/>
      <c r="I1327" s="188"/>
      <c r="J1327" s="188"/>
      <c r="K1327" s="185"/>
      <c r="L1327" s="185"/>
      <c r="M1327" s="185"/>
      <c r="N1327" s="185"/>
      <c r="O1327" s="193"/>
      <c r="P1327" s="193"/>
      <c r="Q1327" s="195"/>
      <c r="R1327" s="191"/>
      <c r="S1327" s="192"/>
    </row>
    <row r="1328" spans="1:19" ht="20.5" thickTop="1" thickBot="1" x14ac:dyDescent="0.4">
      <c r="A1328" s="184" t="s">
        <v>499</v>
      </c>
      <c r="B1328" s="185" t="s">
        <v>499</v>
      </c>
      <c r="C1328" s="185" t="s">
        <v>499</v>
      </c>
      <c r="D1328" s="186" t="s">
        <v>499</v>
      </c>
      <c r="E1328" s="185" t="s">
        <v>499</v>
      </c>
      <c r="F1328" s="185" t="s">
        <v>499</v>
      </c>
      <c r="G1328" s="187">
        <f t="shared" si="20"/>
        <v>0</v>
      </c>
      <c r="H1328" s="188"/>
      <c r="I1328" s="188"/>
      <c r="J1328" s="188"/>
      <c r="K1328" s="185"/>
      <c r="L1328" s="185"/>
      <c r="M1328" s="185"/>
      <c r="N1328" s="185"/>
      <c r="O1328" s="193"/>
      <c r="P1328" s="193"/>
      <c r="Q1328" s="195"/>
      <c r="R1328" s="191"/>
      <c r="S1328" s="192"/>
    </row>
    <row r="1329" spans="1:19" ht="20.5" thickTop="1" thickBot="1" x14ac:dyDescent="0.4">
      <c r="A1329" s="184" t="s">
        <v>499</v>
      </c>
      <c r="B1329" s="185" t="s">
        <v>499</v>
      </c>
      <c r="C1329" s="185" t="s">
        <v>499</v>
      </c>
      <c r="D1329" s="186" t="s">
        <v>499</v>
      </c>
      <c r="E1329" s="185" t="s">
        <v>499</v>
      </c>
      <c r="F1329" s="185" t="s">
        <v>499</v>
      </c>
      <c r="G1329" s="187">
        <f t="shared" si="20"/>
        <v>0</v>
      </c>
      <c r="H1329" s="188"/>
      <c r="I1329" s="188"/>
      <c r="J1329" s="188"/>
      <c r="K1329" s="185"/>
      <c r="L1329" s="185"/>
      <c r="M1329" s="185"/>
      <c r="N1329" s="185"/>
      <c r="O1329" s="193"/>
      <c r="P1329" s="193"/>
      <c r="Q1329" s="195"/>
      <c r="R1329" s="191"/>
      <c r="S1329" s="192"/>
    </row>
    <row r="1330" spans="1:19" ht="20.5" thickTop="1" thickBot="1" x14ac:dyDescent="0.4">
      <c r="A1330" s="184" t="s">
        <v>499</v>
      </c>
      <c r="B1330" s="185" t="s">
        <v>499</v>
      </c>
      <c r="C1330" s="185" t="s">
        <v>499</v>
      </c>
      <c r="D1330" s="186" t="s">
        <v>499</v>
      </c>
      <c r="E1330" s="185" t="s">
        <v>499</v>
      </c>
      <c r="F1330" s="185" t="s">
        <v>499</v>
      </c>
      <c r="G1330" s="187">
        <f t="shared" si="20"/>
        <v>0</v>
      </c>
      <c r="H1330" s="188"/>
      <c r="I1330" s="188"/>
      <c r="J1330" s="188"/>
      <c r="K1330" s="185"/>
      <c r="L1330" s="185"/>
      <c r="M1330" s="185"/>
      <c r="N1330" s="185"/>
      <c r="O1330" s="193"/>
      <c r="P1330" s="193"/>
      <c r="Q1330" s="195"/>
      <c r="R1330" s="191"/>
      <c r="S1330" s="192"/>
    </row>
    <row r="1331" spans="1:19" ht="20.5" thickTop="1" thickBot="1" x14ac:dyDescent="0.4">
      <c r="A1331" s="184" t="s">
        <v>499</v>
      </c>
      <c r="B1331" s="185" t="s">
        <v>499</v>
      </c>
      <c r="C1331" s="185" t="s">
        <v>499</v>
      </c>
      <c r="D1331" s="186" t="s">
        <v>499</v>
      </c>
      <c r="E1331" s="185" t="s">
        <v>499</v>
      </c>
      <c r="F1331" s="185" t="s">
        <v>499</v>
      </c>
      <c r="G1331" s="187">
        <f t="shared" si="20"/>
        <v>0</v>
      </c>
      <c r="H1331" s="188"/>
      <c r="I1331" s="188"/>
      <c r="J1331" s="188"/>
      <c r="K1331" s="185"/>
      <c r="L1331" s="185"/>
      <c r="M1331" s="185"/>
      <c r="N1331" s="185"/>
      <c r="O1331" s="193"/>
      <c r="P1331" s="193"/>
      <c r="Q1331" s="195"/>
      <c r="R1331" s="191"/>
      <c r="S1331" s="192"/>
    </row>
    <row r="1332" spans="1:19" ht="20.5" thickTop="1" thickBot="1" x14ac:dyDescent="0.4">
      <c r="A1332" s="184" t="s">
        <v>499</v>
      </c>
      <c r="B1332" s="185" t="s">
        <v>499</v>
      </c>
      <c r="C1332" s="185" t="s">
        <v>499</v>
      </c>
      <c r="D1332" s="186" t="s">
        <v>499</v>
      </c>
      <c r="E1332" s="185" t="s">
        <v>499</v>
      </c>
      <c r="F1332" s="185" t="s">
        <v>499</v>
      </c>
      <c r="G1332" s="187">
        <f t="shared" si="20"/>
        <v>0</v>
      </c>
      <c r="H1332" s="188"/>
      <c r="I1332" s="188"/>
      <c r="J1332" s="188"/>
      <c r="K1332" s="185"/>
      <c r="L1332" s="185"/>
      <c r="M1332" s="185"/>
      <c r="N1332" s="185"/>
      <c r="O1332" s="193"/>
      <c r="P1332" s="193"/>
      <c r="Q1332" s="195"/>
      <c r="R1332" s="191"/>
      <c r="S1332" s="192"/>
    </row>
    <row r="1333" spans="1:19" ht="20.5" thickTop="1" thickBot="1" x14ac:dyDescent="0.4">
      <c r="A1333" s="184" t="s">
        <v>499</v>
      </c>
      <c r="B1333" s="185" t="s">
        <v>499</v>
      </c>
      <c r="C1333" s="185" t="s">
        <v>499</v>
      </c>
      <c r="D1333" s="186" t="s">
        <v>499</v>
      </c>
      <c r="E1333" s="185" t="s">
        <v>499</v>
      </c>
      <c r="F1333" s="185" t="s">
        <v>499</v>
      </c>
      <c r="G1333" s="187">
        <f t="shared" si="20"/>
        <v>0</v>
      </c>
      <c r="H1333" s="188"/>
      <c r="I1333" s="188"/>
      <c r="J1333" s="188"/>
      <c r="K1333" s="185"/>
      <c r="L1333" s="185"/>
      <c r="M1333" s="185"/>
      <c r="N1333" s="185"/>
      <c r="O1333" s="193"/>
      <c r="P1333" s="193"/>
      <c r="Q1333" s="195"/>
      <c r="R1333" s="191"/>
      <c r="S1333" s="192"/>
    </row>
    <row r="1334" spans="1:19" ht="20.5" thickTop="1" thickBot="1" x14ac:dyDescent="0.4">
      <c r="A1334" s="184" t="s">
        <v>499</v>
      </c>
      <c r="B1334" s="185" t="s">
        <v>499</v>
      </c>
      <c r="C1334" s="185" t="s">
        <v>499</v>
      </c>
      <c r="D1334" s="186" t="s">
        <v>499</v>
      </c>
      <c r="E1334" s="185" t="s">
        <v>499</v>
      </c>
      <c r="F1334" s="185" t="s">
        <v>499</v>
      </c>
      <c r="G1334" s="187">
        <f t="shared" si="20"/>
        <v>0</v>
      </c>
      <c r="H1334" s="188"/>
      <c r="I1334" s="188"/>
      <c r="J1334" s="188"/>
      <c r="K1334" s="185"/>
      <c r="L1334" s="185"/>
      <c r="M1334" s="185"/>
      <c r="N1334" s="185"/>
      <c r="O1334" s="193"/>
      <c r="P1334" s="193"/>
      <c r="Q1334" s="195"/>
      <c r="R1334" s="191"/>
      <c r="S1334" s="192"/>
    </row>
    <row r="1335" spans="1:19" ht="20.5" thickTop="1" thickBot="1" x14ac:dyDescent="0.4">
      <c r="A1335" s="184" t="s">
        <v>499</v>
      </c>
      <c r="B1335" s="185" t="s">
        <v>499</v>
      </c>
      <c r="C1335" s="185" t="s">
        <v>499</v>
      </c>
      <c r="D1335" s="186" t="s">
        <v>499</v>
      </c>
      <c r="E1335" s="185" t="s">
        <v>499</v>
      </c>
      <c r="F1335" s="185" t="s">
        <v>499</v>
      </c>
      <c r="G1335" s="187">
        <f t="shared" si="20"/>
        <v>0</v>
      </c>
      <c r="H1335" s="188"/>
      <c r="I1335" s="188"/>
      <c r="J1335" s="188"/>
      <c r="K1335" s="185"/>
      <c r="L1335" s="185"/>
      <c r="M1335" s="185"/>
      <c r="N1335" s="185"/>
      <c r="O1335" s="193"/>
      <c r="P1335" s="193"/>
      <c r="Q1335" s="195"/>
      <c r="R1335" s="191"/>
      <c r="S1335" s="192"/>
    </row>
    <row r="1336" spans="1:19" ht="20.5" thickTop="1" thickBot="1" x14ac:dyDescent="0.4">
      <c r="A1336" s="184" t="s">
        <v>499</v>
      </c>
      <c r="B1336" s="185" t="s">
        <v>499</v>
      </c>
      <c r="C1336" s="185" t="s">
        <v>499</v>
      </c>
      <c r="D1336" s="186" t="s">
        <v>499</v>
      </c>
      <c r="E1336" s="185" t="s">
        <v>499</v>
      </c>
      <c r="F1336" s="185" t="s">
        <v>499</v>
      </c>
      <c r="G1336" s="187">
        <f t="shared" si="20"/>
        <v>0</v>
      </c>
      <c r="H1336" s="188"/>
      <c r="I1336" s="188"/>
      <c r="J1336" s="188"/>
      <c r="K1336" s="185"/>
      <c r="L1336" s="185"/>
      <c r="M1336" s="185"/>
      <c r="N1336" s="185"/>
      <c r="O1336" s="193"/>
      <c r="P1336" s="193"/>
      <c r="Q1336" s="195"/>
      <c r="R1336" s="191"/>
      <c r="S1336" s="192"/>
    </row>
    <row r="1337" spans="1:19" ht="20.5" thickTop="1" thickBot="1" x14ac:dyDescent="0.4">
      <c r="A1337" s="184" t="s">
        <v>499</v>
      </c>
      <c r="B1337" s="185" t="s">
        <v>499</v>
      </c>
      <c r="C1337" s="185" t="s">
        <v>499</v>
      </c>
      <c r="D1337" s="186" t="s">
        <v>499</v>
      </c>
      <c r="E1337" s="185" t="s">
        <v>499</v>
      </c>
      <c r="F1337" s="185" t="s">
        <v>499</v>
      </c>
      <c r="G1337" s="187">
        <f t="shared" si="20"/>
        <v>0</v>
      </c>
      <c r="H1337" s="188"/>
      <c r="I1337" s="188"/>
      <c r="J1337" s="188"/>
      <c r="K1337" s="185"/>
      <c r="L1337" s="185"/>
      <c r="M1337" s="185"/>
      <c r="N1337" s="185"/>
      <c r="O1337" s="193"/>
      <c r="P1337" s="193"/>
      <c r="Q1337" s="195"/>
      <c r="R1337" s="191"/>
      <c r="S1337" s="192"/>
    </row>
    <row r="1338" spans="1:19" ht="20.5" thickTop="1" thickBot="1" x14ac:dyDescent="0.4">
      <c r="A1338" s="184" t="s">
        <v>499</v>
      </c>
      <c r="B1338" s="185" t="s">
        <v>499</v>
      </c>
      <c r="C1338" s="185" t="s">
        <v>499</v>
      </c>
      <c r="D1338" s="186" t="s">
        <v>499</v>
      </c>
      <c r="E1338" s="185" t="s">
        <v>499</v>
      </c>
      <c r="F1338" s="185" t="s">
        <v>499</v>
      </c>
      <c r="G1338" s="187">
        <f t="shared" si="20"/>
        <v>0</v>
      </c>
      <c r="H1338" s="188"/>
      <c r="I1338" s="188"/>
      <c r="J1338" s="188"/>
      <c r="K1338" s="185"/>
      <c r="L1338" s="185"/>
      <c r="M1338" s="185"/>
      <c r="N1338" s="185"/>
      <c r="O1338" s="193"/>
      <c r="P1338" s="193"/>
      <c r="Q1338" s="195"/>
      <c r="R1338" s="191"/>
      <c r="S1338" s="192"/>
    </row>
    <row r="1339" spans="1:19" ht="20.5" thickTop="1" thickBot="1" x14ac:dyDescent="0.4">
      <c r="A1339" s="184" t="s">
        <v>499</v>
      </c>
      <c r="B1339" s="185" t="s">
        <v>499</v>
      </c>
      <c r="C1339" s="185" t="s">
        <v>499</v>
      </c>
      <c r="D1339" s="186" t="s">
        <v>499</v>
      </c>
      <c r="E1339" s="185" t="s">
        <v>499</v>
      </c>
      <c r="F1339" s="185" t="s">
        <v>499</v>
      </c>
      <c r="G1339" s="187">
        <f t="shared" si="20"/>
        <v>0</v>
      </c>
      <c r="H1339" s="188"/>
      <c r="I1339" s="188"/>
      <c r="J1339" s="188"/>
      <c r="K1339" s="185"/>
      <c r="L1339" s="185"/>
      <c r="M1339" s="185"/>
      <c r="N1339" s="185"/>
      <c r="O1339" s="193"/>
      <c r="P1339" s="193"/>
      <c r="Q1339" s="195"/>
      <c r="R1339" s="191"/>
      <c r="S1339" s="192"/>
    </row>
    <row r="1340" spans="1:19" ht="20.5" thickTop="1" thickBot="1" x14ac:dyDescent="0.4">
      <c r="A1340" s="184" t="s">
        <v>499</v>
      </c>
      <c r="B1340" s="185" t="s">
        <v>499</v>
      </c>
      <c r="C1340" s="185" t="s">
        <v>499</v>
      </c>
      <c r="D1340" s="186" t="s">
        <v>499</v>
      </c>
      <c r="E1340" s="185" t="s">
        <v>499</v>
      </c>
      <c r="F1340" s="185" t="s">
        <v>499</v>
      </c>
      <c r="G1340" s="187">
        <f t="shared" si="20"/>
        <v>0</v>
      </c>
      <c r="H1340" s="188"/>
      <c r="I1340" s="188"/>
      <c r="J1340" s="188"/>
      <c r="K1340" s="185"/>
      <c r="L1340" s="185"/>
      <c r="M1340" s="185"/>
      <c r="N1340" s="185"/>
      <c r="O1340" s="193"/>
      <c r="P1340" s="193"/>
      <c r="Q1340" s="195"/>
      <c r="R1340" s="191"/>
      <c r="S1340" s="192"/>
    </row>
    <row r="1341" spans="1:19" ht="20.5" thickTop="1" thickBot="1" x14ac:dyDescent="0.4">
      <c r="A1341" s="184" t="s">
        <v>499</v>
      </c>
      <c r="B1341" s="185" t="s">
        <v>499</v>
      </c>
      <c r="C1341" s="185" t="s">
        <v>499</v>
      </c>
      <c r="D1341" s="186" t="s">
        <v>499</v>
      </c>
      <c r="E1341" s="185" t="s">
        <v>499</v>
      </c>
      <c r="F1341" s="185" t="s">
        <v>499</v>
      </c>
      <c r="G1341" s="187">
        <f t="shared" si="20"/>
        <v>0</v>
      </c>
      <c r="H1341" s="188"/>
      <c r="I1341" s="188"/>
      <c r="J1341" s="188"/>
      <c r="K1341" s="185"/>
      <c r="L1341" s="185"/>
      <c r="M1341" s="185"/>
      <c r="N1341" s="185"/>
      <c r="O1341" s="193"/>
      <c r="P1341" s="193"/>
      <c r="Q1341" s="195"/>
      <c r="R1341" s="191"/>
      <c r="S1341" s="192"/>
    </row>
    <row r="1342" spans="1:19" ht="20.5" thickTop="1" thickBot="1" x14ac:dyDescent="0.4">
      <c r="A1342" s="184" t="s">
        <v>499</v>
      </c>
      <c r="B1342" s="185" t="s">
        <v>499</v>
      </c>
      <c r="C1342" s="185" t="s">
        <v>499</v>
      </c>
      <c r="D1342" s="186" t="s">
        <v>499</v>
      </c>
      <c r="E1342" s="185" t="s">
        <v>499</v>
      </c>
      <c r="F1342" s="185" t="s">
        <v>499</v>
      </c>
      <c r="G1342" s="187">
        <f t="shared" si="20"/>
        <v>0</v>
      </c>
      <c r="H1342" s="188"/>
      <c r="I1342" s="188"/>
      <c r="J1342" s="188"/>
      <c r="K1342" s="185"/>
      <c r="L1342" s="185"/>
      <c r="M1342" s="185"/>
      <c r="N1342" s="185"/>
      <c r="O1342" s="193"/>
      <c r="P1342" s="193"/>
      <c r="Q1342" s="195"/>
      <c r="R1342" s="191"/>
      <c r="S1342" s="192"/>
    </row>
    <row r="1343" spans="1:19" ht="20.5" thickTop="1" thickBot="1" x14ac:dyDescent="0.4">
      <c r="A1343" s="184" t="s">
        <v>499</v>
      </c>
      <c r="B1343" s="185" t="s">
        <v>499</v>
      </c>
      <c r="C1343" s="185" t="s">
        <v>499</v>
      </c>
      <c r="D1343" s="186" t="s">
        <v>499</v>
      </c>
      <c r="E1343" s="185" t="s">
        <v>499</v>
      </c>
      <c r="F1343" s="185" t="s">
        <v>499</v>
      </c>
      <c r="G1343" s="187">
        <f t="shared" si="20"/>
        <v>0</v>
      </c>
      <c r="H1343" s="188"/>
      <c r="I1343" s="188"/>
      <c r="J1343" s="188"/>
      <c r="K1343" s="185"/>
      <c r="L1343" s="185"/>
      <c r="M1343" s="185"/>
      <c r="N1343" s="185"/>
      <c r="O1343" s="193"/>
      <c r="P1343" s="193"/>
      <c r="Q1343" s="195"/>
      <c r="R1343" s="191"/>
      <c r="S1343" s="192"/>
    </row>
    <row r="1344" spans="1:19" ht="20.5" thickTop="1" thickBot="1" x14ac:dyDescent="0.4">
      <c r="A1344" s="184" t="s">
        <v>499</v>
      </c>
      <c r="B1344" s="185" t="s">
        <v>499</v>
      </c>
      <c r="C1344" s="185" t="s">
        <v>499</v>
      </c>
      <c r="D1344" s="186" t="s">
        <v>499</v>
      </c>
      <c r="E1344" s="185" t="s">
        <v>499</v>
      </c>
      <c r="F1344" s="185" t="s">
        <v>499</v>
      </c>
      <c r="G1344" s="187">
        <f t="shared" si="20"/>
        <v>0</v>
      </c>
      <c r="H1344" s="188"/>
      <c r="I1344" s="188"/>
      <c r="J1344" s="188"/>
      <c r="K1344" s="185"/>
      <c r="L1344" s="185"/>
      <c r="M1344" s="185"/>
      <c r="N1344" s="185"/>
      <c r="O1344" s="193"/>
      <c r="P1344" s="193"/>
      <c r="Q1344" s="195"/>
      <c r="R1344" s="191"/>
      <c r="S1344" s="192"/>
    </row>
    <row r="1345" spans="1:19" ht="20.5" thickTop="1" thickBot="1" x14ac:dyDescent="0.4">
      <c r="A1345" s="184" t="s">
        <v>499</v>
      </c>
      <c r="B1345" s="185" t="s">
        <v>499</v>
      </c>
      <c r="C1345" s="185" t="s">
        <v>499</v>
      </c>
      <c r="D1345" s="186" t="s">
        <v>499</v>
      </c>
      <c r="E1345" s="185" t="s">
        <v>499</v>
      </c>
      <c r="F1345" s="185" t="s">
        <v>499</v>
      </c>
      <c r="G1345" s="187">
        <f t="shared" si="20"/>
        <v>0</v>
      </c>
      <c r="H1345" s="188"/>
      <c r="I1345" s="188"/>
      <c r="J1345" s="188"/>
      <c r="K1345" s="185"/>
      <c r="L1345" s="185"/>
      <c r="M1345" s="185"/>
      <c r="N1345" s="185"/>
      <c r="O1345" s="193"/>
      <c r="P1345" s="193"/>
      <c r="Q1345" s="195"/>
      <c r="R1345" s="191"/>
      <c r="S1345" s="192"/>
    </row>
    <row r="1346" spans="1:19" ht="20.5" thickTop="1" thickBot="1" x14ac:dyDescent="0.4">
      <c r="A1346" s="184" t="s">
        <v>499</v>
      </c>
      <c r="B1346" s="185" t="s">
        <v>499</v>
      </c>
      <c r="C1346" s="185" t="s">
        <v>499</v>
      </c>
      <c r="D1346" s="186" t="s">
        <v>499</v>
      </c>
      <c r="E1346" s="185" t="s">
        <v>499</v>
      </c>
      <c r="F1346" s="185" t="s">
        <v>499</v>
      </c>
      <c r="G1346" s="187">
        <f t="shared" si="20"/>
        <v>0</v>
      </c>
      <c r="H1346" s="188"/>
      <c r="I1346" s="188"/>
      <c r="J1346" s="188"/>
      <c r="K1346" s="185"/>
      <c r="L1346" s="185"/>
      <c r="M1346" s="185"/>
      <c r="N1346" s="185"/>
      <c r="O1346" s="193"/>
      <c r="P1346" s="193"/>
      <c r="Q1346" s="195"/>
      <c r="R1346" s="191"/>
      <c r="S1346" s="192"/>
    </row>
    <row r="1347" spans="1:19" ht="20.5" thickTop="1" thickBot="1" x14ac:dyDescent="0.4">
      <c r="A1347" s="184" t="s">
        <v>499</v>
      </c>
      <c r="B1347" s="185" t="s">
        <v>499</v>
      </c>
      <c r="C1347" s="185" t="s">
        <v>499</v>
      </c>
      <c r="D1347" s="186" t="s">
        <v>499</v>
      </c>
      <c r="E1347" s="185" t="s">
        <v>499</v>
      </c>
      <c r="F1347" s="185" t="s">
        <v>499</v>
      </c>
      <c r="G1347" s="187">
        <f t="shared" si="20"/>
        <v>0</v>
      </c>
      <c r="H1347" s="188"/>
      <c r="I1347" s="188"/>
      <c r="J1347" s="188"/>
      <c r="K1347" s="185"/>
      <c r="L1347" s="185"/>
      <c r="M1347" s="185"/>
      <c r="N1347" s="185"/>
      <c r="O1347" s="193"/>
      <c r="P1347" s="193"/>
      <c r="Q1347" s="195"/>
      <c r="R1347" s="191"/>
      <c r="S1347" s="192"/>
    </row>
    <row r="1348" spans="1:19" ht="20.5" thickTop="1" thickBot="1" x14ac:dyDescent="0.4">
      <c r="A1348" s="184" t="s">
        <v>499</v>
      </c>
      <c r="B1348" s="185" t="s">
        <v>499</v>
      </c>
      <c r="C1348" s="185" t="s">
        <v>499</v>
      </c>
      <c r="D1348" s="186" t="s">
        <v>499</v>
      </c>
      <c r="E1348" s="185" t="s">
        <v>499</v>
      </c>
      <c r="F1348" s="185" t="s">
        <v>499</v>
      </c>
      <c r="G1348" s="187">
        <f t="shared" si="20"/>
        <v>0</v>
      </c>
      <c r="H1348" s="188"/>
      <c r="I1348" s="188"/>
      <c r="J1348" s="188"/>
      <c r="K1348" s="185"/>
      <c r="L1348" s="185"/>
      <c r="M1348" s="185"/>
      <c r="N1348" s="185"/>
      <c r="O1348" s="193"/>
      <c r="P1348" s="193"/>
      <c r="Q1348" s="195"/>
      <c r="R1348" s="191"/>
      <c r="S1348" s="192"/>
    </row>
    <row r="1349" spans="1:19" ht="20.5" thickTop="1" thickBot="1" x14ac:dyDescent="0.4">
      <c r="A1349" s="184" t="s">
        <v>499</v>
      </c>
      <c r="B1349" s="185" t="s">
        <v>499</v>
      </c>
      <c r="C1349" s="185" t="s">
        <v>499</v>
      </c>
      <c r="D1349" s="186" t="s">
        <v>499</v>
      </c>
      <c r="E1349" s="185" t="s">
        <v>499</v>
      </c>
      <c r="F1349" s="185" t="s">
        <v>499</v>
      </c>
      <c r="G1349" s="187">
        <f t="shared" ref="G1349:G1412" si="21">SUM(H1349:J1349)</f>
        <v>0</v>
      </c>
      <c r="H1349" s="188"/>
      <c r="I1349" s="188"/>
      <c r="J1349" s="188"/>
      <c r="K1349" s="185"/>
      <c r="L1349" s="185"/>
      <c r="M1349" s="185"/>
      <c r="N1349" s="185"/>
      <c r="O1349" s="193"/>
      <c r="P1349" s="193"/>
      <c r="Q1349" s="195"/>
      <c r="R1349" s="191"/>
      <c r="S1349" s="192"/>
    </row>
    <row r="1350" spans="1:19" ht="20.5" thickTop="1" thickBot="1" x14ac:dyDescent="0.4">
      <c r="A1350" s="184" t="s">
        <v>499</v>
      </c>
      <c r="B1350" s="185" t="s">
        <v>499</v>
      </c>
      <c r="C1350" s="185" t="s">
        <v>499</v>
      </c>
      <c r="D1350" s="186" t="s">
        <v>499</v>
      </c>
      <c r="E1350" s="185" t="s">
        <v>499</v>
      </c>
      <c r="F1350" s="185" t="s">
        <v>499</v>
      </c>
      <c r="G1350" s="187">
        <f t="shared" si="21"/>
        <v>0</v>
      </c>
      <c r="H1350" s="188"/>
      <c r="I1350" s="188"/>
      <c r="J1350" s="188"/>
      <c r="K1350" s="185"/>
      <c r="L1350" s="185"/>
      <c r="M1350" s="185"/>
      <c r="N1350" s="185"/>
      <c r="O1350" s="193"/>
      <c r="P1350" s="193"/>
      <c r="Q1350" s="195"/>
      <c r="R1350" s="191"/>
      <c r="S1350" s="192"/>
    </row>
    <row r="1351" spans="1:19" ht="20.5" thickTop="1" thickBot="1" x14ac:dyDescent="0.4">
      <c r="A1351" s="184" t="s">
        <v>499</v>
      </c>
      <c r="B1351" s="185" t="s">
        <v>499</v>
      </c>
      <c r="C1351" s="185" t="s">
        <v>499</v>
      </c>
      <c r="D1351" s="186" t="s">
        <v>499</v>
      </c>
      <c r="E1351" s="185" t="s">
        <v>499</v>
      </c>
      <c r="F1351" s="185" t="s">
        <v>499</v>
      </c>
      <c r="G1351" s="187">
        <f t="shared" si="21"/>
        <v>0</v>
      </c>
      <c r="H1351" s="188"/>
      <c r="I1351" s="188"/>
      <c r="J1351" s="188"/>
      <c r="K1351" s="185"/>
      <c r="L1351" s="185"/>
      <c r="M1351" s="185"/>
      <c r="N1351" s="185"/>
      <c r="O1351" s="193"/>
      <c r="P1351" s="193"/>
      <c r="Q1351" s="195"/>
      <c r="R1351" s="191"/>
      <c r="S1351" s="192"/>
    </row>
    <row r="1352" spans="1:19" ht="20.5" thickTop="1" thickBot="1" x14ac:dyDescent="0.4">
      <c r="A1352" s="184" t="s">
        <v>499</v>
      </c>
      <c r="B1352" s="185" t="s">
        <v>499</v>
      </c>
      <c r="C1352" s="185" t="s">
        <v>499</v>
      </c>
      <c r="D1352" s="186" t="s">
        <v>499</v>
      </c>
      <c r="E1352" s="185" t="s">
        <v>499</v>
      </c>
      <c r="F1352" s="185" t="s">
        <v>499</v>
      </c>
      <c r="G1352" s="187">
        <f t="shared" si="21"/>
        <v>0</v>
      </c>
      <c r="H1352" s="188"/>
      <c r="I1352" s="188"/>
      <c r="J1352" s="188"/>
      <c r="K1352" s="185"/>
      <c r="L1352" s="185"/>
      <c r="M1352" s="185"/>
      <c r="N1352" s="185"/>
      <c r="O1352" s="193"/>
      <c r="P1352" s="193"/>
      <c r="Q1352" s="195"/>
      <c r="R1352" s="191"/>
      <c r="S1352" s="192"/>
    </row>
    <row r="1353" spans="1:19" ht="20.5" thickTop="1" thickBot="1" x14ac:dyDescent="0.4">
      <c r="A1353" s="184" t="s">
        <v>499</v>
      </c>
      <c r="B1353" s="185" t="s">
        <v>499</v>
      </c>
      <c r="C1353" s="185" t="s">
        <v>499</v>
      </c>
      <c r="D1353" s="186" t="s">
        <v>499</v>
      </c>
      <c r="E1353" s="185" t="s">
        <v>499</v>
      </c>
      <c r="F1353" s="185" t="s">
        <v>499</v>
      </c>
      <c r="G1353" s="187">
        <f t="shared" si="21"/>
        <v>0</v>
      </c>
      <c r="H1353" s="188"/>
      <c r="I1353" s="188"/>
      <c r="J1353" s="188"/>
      <c r="K1353" s="185"/>
      <c r="L1353" s="185"/>
      <c r="M1353" s="185"/>
      <c r="N1353" s="185"/>
      <c r="O1353" s="193"/>
      <c r="P1353" s="193"/>
      <c r="Q1353" s="195"/>
      <c r="R1353" s="191"/>
      <c r="S1353" s="192"/>
    </row>
    <row r="1354" spans="1:19" ht="20.5" thickTop="1" thickBot="1" x14ac:dyDescent="0.4">
      <c r="A1354" s="184" t="s">
        <v>499</v>
      </c>
      <c r="B1354" s="185" t="s">
        <v>499</v>
      </c>
      <c r="C1354" s="185" t="s">
        <v>499</v>
      </c>
      <c r="D1354" s="186" t="s">
        <v>499</v>
      </c>
      <c r="E1354" s="185" t="s">
        <v>499</v>
      </c>
      <c r="F1354" s="185" t="s">
        <v>499</v>
      </c>
      <c r="G1354" s="187">
        <f t="shared" si="21"/>
        <v>0</v>
      </c>
      <c r="H1354" s="188"/>
      <c r="I1354" s="188"/>
      <c r="J1354" s="188"/>
      <c r="K1354" s="185"/>
      <c r="L1354" s="185"/>
      <c r="M1354" s="185"/>
      <c r="N1354" s="185"/>
      <c r="O1354" s="193"/>
      <c r="P1354" s="193"/>
      <c r="Q1354" s="195"/>
      <c r="R1354" s="191"/>
      <c r="S1354" s="192"/>
    </row>
    <row r="1355" spans="1:19" ht="20.5" thickTop="1" thickBot="1" x14ac:dyDescent="0.4">
      <c r="A1355" s="184" t="s">
        <v>499</v>
      </c>
      <c r="B1355" s="185" t="s">
        <v>499</v>
      </c>
      <c r="C1355" s="185" t="s">
        <v>499</v>
      </c>
      <c r="D1355" s="186" t="s">
        <v>499</v>
      </c>
      <c r="E1355" s="185" t="s">
        <v>499</v>
      </c>
      <c r="F1355" s="185" t="s">
        <v>499</v>
      </c>
      <c r="G1355" s="187">
        <f t="shared" si="21"/>
        <v>0</v>
      </c>
      <c r="H1355" s="188"/>
      <c r="I1355" s="188"/>
      <c r="J1355" s="188"/>
      <c r="K1355" s="185"/>
      <c r="L1355" s="185"/>
      <c r="M1355" s="185"/>
      <c r="N1355" s="185"/>
      <c r="O1355" s="193"/>
      <c r="P1355" s="193"/>
      <c r="Q1355" s="195"/>
      <c r="R1355" s="191"/>
      <c r="S1355" s="192"/>
    </row>
    <row r="1356" spans="1:19" ht="20.5" thickTop="1" thickBot="1" x14ac:dyDescent="0.4">
      <c r="A1356" s="184" t="s">
        <v>499</v>
      </c>
      <c r="B1356" s="185" t="s">
        <v>499</v>
      </c>
      <c r="C1356" s="185" t="s">
        <v>499</v>
      </c>
      <c r="D1356" s="186" t="s">
        <v>499</v>
      </c>
      <c r="E1356" s="185" t="s">
        <v>499</v>
      </c>
      <c r="F1356" s="185" t="s">
        <v>499</v>
      </c>
      <c r="G1356" s="187">
        <f t="shared" si="21"/>
        <v>0</v>
      </c>
      <c r="H1356" s="188"/>
      <c r="I1356" s="188"/>
      <c r="J1356" s="188"/>
      <c r="K1356" s="185"/>
      <c r="L1356" s="185"/>
      <c r="M1356" s="185"/>
      <c r="N1356" s="185"/>
      <c r="O1356" s="193"/>
      <c r="P1356" s="193"/>
      <c r="Q1356" s="195"/>
      <c r="R1356" s="191"/>
      <c r="S1356" s="192"/>
    </row>
    <row r="1357" spans="1:19" ht="20.5" thickTop="1" thickBot="1" x14ac:dyDescent="0.4">
      <c r="A1357" s="184" t="s">
        <v>499</v>
      </c>
      <c r="B1357" s="185" t="s">
        <v>499</v>
      </c>
      <c r="C1357" s="185" t="s">
        <v>499</v>
      </c>
      <c r="D1357" s="186" t="s">
        <v>499</v>
      </c>
      <c r="E1357" s="185" t="s">
        <v>499</v>
      </c>
      <c r="F1357" s="185" t="s">
        <v>499</v>
      </c>
      <c r="G1357" s="187">
        <f t="shared" si="21"/>
        <v>0</v>
      </c>
      <c r="H1357" s="188"/>
      <c r="I1357" s="188"/>
      <c r="J1357" s="188"/>
      <c r="K1357" s="185"/>
      <c r="L1357" s="185"/>
      <c r="M1357" s="185"/>
      <c r="N1357" s="185"/>
      <c r="O1357" s="193"/>
      <c r="P1357" s="193"/>
      <c r="Q1357" s="195"/>
      <c r="R1357" s="191"/>
      <c r="S1357" s="192"/>
    </row>
    <row r="1358" spans="1:19" ht="20.5" thickTop="1" thickBot="1" x14ac:dyDescent="0.4">
      <c r="A1358" s="184" t="s">
        <v>499</v>
      </c>
      <c r="B1358" s="185" t="s">
        <v>499</v>
      </c>
      <c r="C1358" s="185" t="s">
        <v>499</v>
      </c>
      <c r="D1358" s="186" t="s">
        <v>499</v>
      </c>
      <c r="E1358" s="185" t="s">
        <v>499</v>
      </c>
      <c r="F1358" s="185" t="s">
        <v>499</v>
      </c>
      <c r="G1358" s="187">
        <f t="shared" si="21"/>
        <v>0</v>
      </c>
      <c r="H1358" s="188"/>
      <c r="I1358" s="188"/>
      <c r="J1358" s="188"/>
      <c r="K1358" s="185"/>
      <c r="L1358" s="185"/>
      <c r="M1358" s="185"/>
      <c r="N1358" s="185"/>
      <c r="O1358" s="193"/>
      <c r="P1358" s="193"/>
      <c r="Q1358" s="195"/>
      <c r="R1358" s="191"/>
      <c r="S1358" s="192"/>
    </row>
    <row r="1359" spans="1:19" ht="20.5" thickTop="1" thickBot="1" x14ac:dyDescent="0.4">
      <c r="A1359" s="184" t="s">
        <v>499</v>
      </c>
      <c r="B1359" s="185" t="s">
        <v>499</v>
      </c>
      <c r="C1359" s="185" t="s">
        <v>499</v>
      </c>
      <c r="D1359" s="186" t="s">
        <v>499</v>
      </c>
      <c r="E1359" s="185" t="s">
        <v>499</v>
      </c>
      <c r="F1359" s="185" t="s">
        <v>499</v>
      </c>
      <c r="G1359" s="187">
        <f t="shared" si="21"/>
        <v>0</v>
      </c>
      <c r="H1359" s="188"/>
      <c r="I1359" s="188"/>
      <c r="J1359" s="188"/>
      <c r="K1359" s="185"/>
      <c r="L1359" s="185"/>
      <c r="M1359" s="185"/>
      <c r="N1359" s="185"/>
      <c r="O1359" s="193"/>
      <c r="P1359" s="193"/>
      <c r="Q1359" s="195"/>
      <c r="R1359" s="191"/>
      <c r="S1359" s="192"/>
    </row>
    <row r="1360" spans="1:19" ht="20.5" thickTop="1" thickBot="1" x14ac:dyDescent="0.4">
      <c r="A1360" s="184" t="s">
        <v>499</v>
      </c>
      <c r="B1360" s="185" t="s">
        <v>499</v>
      </c>
      <c r="C1360" s="185" t="s">
        <v>499</v>
      </c>
      <c r="D1360" s="186" t="s">
        <v>499</v>
      </c>
      <c r="E1360" s="185" t="s">
        <v>499</v>
      </c>
      <c r="F1360" s="185" t="s">
        <v>499</v>
      </c>
      <c r="G1360" s="187">
        <f t="shared" si="21"/>
        <v>0</v>
      </c>
      <c r="H1360" s="188"/>
      <c r="I1360" s="188"/>
      <c r="J1360" s="188"/>
      <c r="K1360" s="185"/>
      <c r="L1360" s="185"/>
      <c r="M1360" s="185"/>
      <c r="N1360" s="185"/>
      <c r="O1360" s="193"/>
      <c r="P1360" s="193"/>
      <c r="Q1360" s="195"/>
      <c r="R1360" s="191"/>
      <c r="S1360" s="192"/>
    </row>
    <row r="1361" spans="1:19" ht="20.5" thickTop="1" thickBot="1" x14ac:dyDescent="0.4">
      <c r="A1361" s="184" t="s">
        <v>499</v>
      </c>
      <c r="B1361" s="185" t="s">
        <v>499</v>
      </c>
      <c r="C1361" s="185" t="s">
        <v>499</v>
      </c>
      <c r="D1361" s="186" t="s">
        <v>499</v>
      </c>
      <c r="E1361" s="185" t="s">
        <v>499</v>
      </c>
      <c r="F1361" s="185" t="s">
        <v>499</v>
      </c>
      <c r="G1361" s="187">
        <f t="shared" si="21"/>
        <v>0</v>
      </c>
      <c r="H1361" s="188"/>
      <c r="I1361" s="188"/>
      <c r="J1361" s="188"/>
      <c r="K1361" s="185"/>
      <c r="L1361" s="185"/>
      <c r="M1361" s="185"/>
      <c r="N1361" s="185"/>
      <c r="O1361" s="193"/>
      <c r="P1361" s="193"/>
      <c r="Q1361" s="195"/>
      <c r="R1361" s="191"/>
      <c r="S1361" s="192"/>
    </row>
    <row r="1362" spans="1:19" ht="20.5" thickTop="1" thickBot="1" x14ac:dyDescent="0.4">
      <c r="A1362" s="184" t="s">
        <v>499</v>
      </c>
      <c r="B1362" s="185" t="s">
        <v>499</v>
      </c>
      <c r="C1362" s="185" t="s">
        <v>499</v>
      </c>
      <c r="D1362" s="186" t="s">
        <v>499</v>
      </c>
      <c r="E1362" s="185" t="s">
        <v>499</v>
      </c>
      <c r="F1362" s="185" t="s">
        <v>499</v>
      </c>
      <c r="G1362" s="187">
        <f t="shared" si="21"/>
        <v>0</v>
      </c>
      <c r="H1362" s="188"/>
      <c r="I1362" s="188"/>
      <c r="J1362" s="188"/>
      <c r="K1362" s="185"/>
      <c r="L1362" s="185"/>
      <c r="M1362" s="185"/>
      <c r="N1362" s="185"/>
      <c r="O1362" s="193"/>
      <c r="P1362" s="193"/>
      <c r="Q1362" s="195"/>
      <c r="R1362" s="191"/>
      <c r="S1362" s="192"/>
    </row>
    <row r="1363" spans="1:19" ht="20.5" thickTop="1" thickBot="1" x14ac:dyDescent="0.4">
      <c r="A1363" s="184" t="s">
        <v>499</v>
      </c>
      <c r="B1363" s="185" t="s">
        <v>499</v>
      </c>
      <c r="C1363" s="185" t="s">
        <v>499</v>
      </c>
      <c r="D1363" s="186" t="s">
        <v>499</v>
      </c>
      <c r="E1363" s="185" t="s">
        <v>499</v>
      </c>
      <c r="F1363" s="185" t="s">
        <v>499</v>
      </c>
      <c r="G1363" s="187">
        <f t="shared" si="21"/>
        <v>0</v>
      </c>
      <c r="H1363" s="188"/>
      <c r="I1363" s="188"/>
      <c r="J1363" s="188"/>
      <c r="K1363" s="185"/>
      <c r="L1363" s="185"/>
      <c r="M1363" s="185"/>
      <c r="N1363" s="185"/>
      <c r="O1363" s="193"/>
      <c r="P1363" s="193"/>
      <c r="Q1363" s="195"/>
      <c r="R1363" s="191"/>
      <c r="S1363" s="192"/>
    </row>
    <row r="1364" spans="1:19" ht="20.5" thickTop="1" thickBot="1" x14ac:dyDescent="0.4">
      <c r="A1364" s="184" t="s">
        <v>499</v>
      </c>
      <c r="B1364" s="185" t="s">
        <v>499</v>
      </c>
      <c r="C1364" s="185" t="s">
        <v>499</v>
      </c>
      <c r="D1364" s="186" t="s">
        <v>499</v>
      </c>
      <c r="E1364" s="185" t="s">
        <v>499</v>
      </c>
      <c r="F1364" s="185" t="s">
        <v>499</v>
      </c>
      <c r="G1364" s="187">
        <f t="shared" si="21"/>
        <v>0</v>
      </c>
      <c r="H1364" s="188"/>
      <c r="I1364" s="188"/>
      <c r="J1364" s="188"/>
      <c r="K1364" s="185"/>
      <c r="L1364" s="185"/>
      <c r="M1364" s="185"/>
      <c r="N1364" s="185"/>
      <c r="O1364" s="193"/>
      <c r="P1364" s="193"/>
      <c r="Q1364" s="195"/>
      <c r="R1364" s="191"/>
      <c r="S1364" s="192"/>
    </row>
    <row r="1365" spans="1:19" ht="20.5" thickTop="1" thickBot="1" x14ac:dyDescent="0.4">
      <c r="A1365" s="184" t="s">
        <v>499</v>
      </c>
      <c r="B1365" s="185" t="s">
        <v>499</v>
      </c>
      <c r="C1365" s="185" t="s">
        <v>499</v>
      </c>
      <c r="D1365" s="186" t="s">
        <v>499</v>
      </c>
      <c r="E1365" s="185" t="s">
        <v>499</v>
      </c>
      <c r="F1365" s="185" t="s">
        <v>499</v>
      </c>
      <c r="G1365" s="187">
        <f t="shared" si="21"/>
        <v>0</v>
      </c>
      <c r="H1365" s="188"/>
      <c r="I1365" s="188"/>
      <c r="J1365" s="188"/>
      <c r="K1365" s="185"/>
      <c r="L1365" s="185"/>
      <c r="M1365" s="185"/>
      <c r="N1365" s="185"/>
      <c r="O1365" s="193"/>
      <c r="P1365" s="193"/>
      <c r="Q1365" s="195"/>
      <c r="R1365" s="191"/>
      <c r="S1365" s="192"/>
    </row>
    <row r="1366" spans="1:19" ht="20.5" thickTop="1" thickBot="1" x14ac:dyDescent="0.4">
      <c r="A1366" s="184" t="s">
        <v>499</v>
      </c>
      <c r="B1366" s="185" t="s">
        <v>499</v>
      </c>
      <c r="C1366" s="185" t="s">
        <v>499</v>
      </c>
      <c r="D1366" s="186" t="s">
        <v>499</v>
      </c>
      <c r="E1366" s="185" t="s">
        <v>499</v>
      </c>
      <c r="F1366" s="185" t="s">
        <v>499</v>
      </c>
      <c r="G1366" s="187">
        <f t="shared" si="21"/>
        <v>0</v>
      </c>
      <c r="H1366" s="188"/>
      <c r="I1366" s="188"/>
      <c r="J1366" s="188"/>
      <c r="K1366" s="185"/>
      <c r="L1366" s="185"/>
      <c r="M1366" s="185"/>
      <c r="N1366" s="185"/>
      <c r="O1366" s="193"/>
      <c r="P1366" s="193"/>
      <c r="Q1366" s="195"/>
      <c r="R1366" s="191"/>
      <c r="S1366" s="192"/>
    </row>
    <row r="1367" spans="1:19" ht="20.5" thickTop="1" thickBot="1" x14ac:dyDescent="0.4">
      <c r="A1367" s="184" t="s">
        <v>499</v>
      </c>
      <c r="B1367" s="185" t="s">
        <v>499</v>
      </c>
      <c r="C1367" s="185" t="s">
        <v>499</v>
      </c>
      <c r="D1367" s="186" t="s">
        <v>499</v>
      </c>
      <c r="E1367" s="185" t="s">
        <v>499</v>
      </c>
      <c r="F1367" s="185" t="s">
        <v>499</v>
      </c>
      <c r="G1367" s="187">
        <f t="shared" si="21"/>
        <v>0</v>
      </c>
      <c r="H1367" s="188"/>
      <c r="I1367" s="188"/>
      <c r="J1367" s="188"/>
      <c r="K1367" s="185"/>
      <c r="L1367" s="185"/>
      <c r="M1367" s="185"/>
      <c r="N1367" s="185"/>
      <c r="O1367" s="193"/>
      <c r="P1367" s="193"/>
      <c r="Q1367" s="195"/>
      <c r="R1367" s="191"/>
      <c r="S1367" s="192"/>
    </row>
    <row r="1368" spans="1:19" ht="20.5" thickTop="1" thickBot="1" x14ac:dyDescent="0.4">
      <c r="A1368" s="184" t="s">
        <v>499</v>
      </c>
      <c r="B1368" s="185" t="s">
        <v>499</v>
      </c>
      <c r="C1368" s="185" t="s">
        <v>499</v>
      </c>
      <c r="D1368" s="186" t="s">
        <v>499</v>
      </c>
      <c r="E1368" s="185" t="s">
        <v>499</v>
      </c>
      <c r="F1368" s="185" t="s">
        <v>499</v>
      </c>
      <c r="G1368" s="187">
        <f t="shared" si="21"/>
        <v>0</v>
      </c>
      <c r="H1368" s="188"/>
      <c r="I1368" s="188"/>
      <c r="J1368" s="188"/>
      <c r="K1368" s="185"/>
      <c r="L1368" s="185"/>
      <c r="M1368" s="185"/>
      <c r="N1368" s="185"/>
      <c r="O1368" s="193"/>
      <c r="P1368" s="193"/>
      <c r="Q1368" s="195"/>
      <c r="R1368" s="191"/>
      <c r="S1368" s="192"/>
    </row>
    <row r="1369" spans="1:19" ht="20.5" thickTop="1" thickBot="1" x14ac:dyDescent="0.4">
      <c r="A1369" s="184" t="s">
        <v>499</v>
      </c>
      <c r="B1369" s="185" t="s">
        <v>499</v>
      </c>
      <c r="C1369" s="185" t="s">
        <v>499</v>
      </c>
      <c r="D1369" s="186" t="s">
        <v>499</v>
      </c>
      <c r="E1369" s="185" t="s">
        <v>499</v>
      </c>
      <c r="F1369" s="185" t="s">
        <v>499</v>
      </c>
      <c r="G1369" s="187">
        <f t="shared" si="21"/>
        <v>0</v>
      </c>
      <c r="H1369" s="188"/>
      <c r="I1369" s="188"/>
      <c r="J1369" s="188"/>
      <c r="K1369" s="185"/>
      <c r="L1369" s="185"/>
      <c r="M1369" s="185"/>
      <c r="N1369" s="185"/>
      <c r="O1369" s="193"/>
      <c r="P1369" s="193"/>
      <c r="Q1369" s="195"/>
      <c r="R1369" s="191"/>
      <c r="S1369" s="192"/>
    </row>
    <row r="1370" spans="1:19" ht="20.5" thickTop="1" thickBot="1" x14ac:dyDescent="0.4">
      <c r="A1370" s="184" t="s">
        <v>499</v>
      </c>
      <c r="B1370" s="185" t="s">
        <v>499</v>
      </c>
      <c r="C1370" s="185" t="s">
        <v>499</v>
      </c>
      <c r="D1370" s="186" t="s">
        <v>499</v>
      </c>
      <c r="E1370" s="185" t="s">
        <v>499</v>
      </c>
      <c r="F1370" s="185" t="s">
        <v>499</v>
      </c>
      <c r="G1370" s="187">
        <f t="shared" si="21"/>
        <v>0</v>
      </c>
      <c r="H1370" s="188"/>
      <c r="I1370" s="188"/>
      <c r="J1370" s="188"/>
      <c r="K1370" s="185"/>
      <c r="L1370" s="185"/>
      <c r="M1370" s="185"/>
      <c r="N1370" s="185"/>
      <c r="O1370" s="193"/>
      <c r="P1370" s="193"/>
      <c r="Q1370" s="195"/>
      <c r="R1370" s="191"/>
      <c r="S1370" s="192"/>
    </row>
    <row r="1371" spans="1:19" ht="20.5" thickTop="1" thickBot="1" x14ac:dyDescent="0.4">
      <c r="A1371" s="184" t="s">
        <v>499</v>
      </c>
      <c r="B1371" s="185" t="s">
        <v>499</v>
      </c>
      <c r="C1371" s="185" t="s">
        <v>499</v>
      </c>
      <c r="D1371" s="186" t="s">
        <v>499</v>
      </c>
      <c r="E1371" s="185" t="s">
        <v>499</v>
      </c>
      <c r="F1371" s="185" t="s">
        <v>499</v>
      </c>
      <c r="G1371" s="187">
        <f t="shared" si="21"/>
        <v>0</v>
      </c>
      <c r="H1371" s="188"/>
      <c r="I1371" s="188"/>
      <c r="J1371" s="188"/>
      <c r="K1371" s="185"/>
      <c r="L1371" s="185"/>
      <c r="M1371" s="185"/>
      <c r="N1371" s="185"/>
      <c r="O1371" s="193"/>
      <c r="P1371" s="193"/>
      <c r="Q1371" s="195"/>
      <c r="R1371" s="191"/>
      <c r="S1371" s="192"/>
    </row>
    <row r="1372" spans="1:19" ht="20.5" thickTop="1" thickBot="1" x14ac:dyDescent="0.4">
      <c r="A1372" s="184" t="s">
        <v>499</v>
      </c>
      <c r="B1372" s="185" t="s">
        <v>499</v>
      </c>
      <c r="C1372" s="185" t="s">
        <v>499</v>
      </c>
      <c r="D1372" s="186" t="s">
        <v>499</v>
      </c>
      <c r="E1372" s="185" t="s">
        <v>499</v>
      </c>
      <c r="F1372" s="185" t="s">
        <v>499</v>
      </c>
      <c r="G1372" s="187">
        <f t="shared" si="21"/>
        <v>0</v>
      </c>
      <c r="H1372" s="188"/>
      <c r="I1372" s="188"/>
      <c r="J1372" s="188"/>
      <c r="K1372" s="185"/>
      <c r="L1372" s="185"/>
      <c r="M1372" s="185"/>
      <c r="N1372" s="185"/>
      <c r="O1372" s="193"/>
      <c r="P1372" s="193"/>
      <c r="Q1372" s="195"/>
      <c r="R1372" s="191"/>
      <c r="S1372" s="192"/>
    </row>
    <row r="1373" spans="1:19" ht="20.5" thickTop="1" thickBot="1" x14ac:dyDescent="0.4">
      <c r="A1373" s="184" t="s">
        <v>499</v>
      </c>
      <c r="B1373" s="185" t="s">
        <v>499</v>
      </c>
      <c r="C1373" s="185" t="s">
        <v>499</v>
      </c>
      <c r="D1373" s="186" t="s">
        <v>499</v>
      </c>
      <c r="E1373" s="185" t="s">
        <v>499</v>
      </c>
      <c r="F1373" s="185" t="s">
        <v>499</v>
      </c>
      <c r="G1373" s="187">
        <f t="shared" si="21"/>
        <v>0</v>
      </c>
      <c r="H1373" s="188"/>
      <c r="I1373" s="188"/>
      <c r="J1373" s="188"/>
      <c r="K1373" s="185"/>
      <c r="L1373" s="185"/>
      <c r="M1373" s="185"/>
      <c r="N1373" s="185"/>
      <c r="O1373" s="193"/>
      <c r="P1373" s="193"/>
      <c r="Q1373" s="195"/>
      <c r="R1373" s="191"/>
      <c r="S1373" s="192"/>
    </row>
    <row r="1374" spans="1:19" ht="20.5" thickTop="1" thickBot="1" x14ac:dyDescent="0.4">
      <c r="A1374" s="184" t="s">
        <v>499</v>
      </c>
      <c r="B1374" s="185" t="s">
        <v>499</v>
      </c>
      <c r="C1374" s="185" t="s">
        <v>499</v>
      </c>
      <c r="D1374" s="186" t="s">
        <v>499</v>
      </c>
      <c r="E1374" s="185" t="s">
        <v>499</v>
      </c>
      <c r="F1374" s="185" t="s">
        <v>499</v>
      </c>
      <c r="G1374" s="187">
        <f t="shared" si="21"/>
        <v>0</v>
      </c>
      <c r="H1374" s="188"/>
      <c r="I1374" s="188"/>
      <c r="J1374" s="188"/>
      <c r="K1374" s="185"/>
      <c r="L1374" s="185"/>
      <c r="M1374" s="185"/>
      <c r="N1374" s="185"/>
      <c r="O1374" s="193"/>
      <c r="P1374" s="193"/>
      <c r="Q1374" s="195"/>
      <c r="R1374" s="191"/>
      <c r="S1374" s="192"/>
    </row>
    <row r="1375" spans="1:19" ht="20.5" thickTop="1" thickBot="1" x14ac:dyDescent="0.4">
      <c r="A1375" s="184" t="s">
        <v>499</v>
      </c>
      <c r="B1375" s="185" t="s">
        <v>499</v>
      </c>
      <c r="C1375" s="185" t="s">
        <v>499</v>
      </c>
      <c r="D1375" s="186" t="s">
        <v>499</v>
      </c>
      <c r="E1375" s="185" t="s">
        <v>499</v>
      </c>
      <c r="F1375" s="185" t="s">
        <v>499</v>
      </c>
      <c r="G1375" s="187">
        <f t="shared" si="21"/>
        <v>0</v>
      </c>
      <c r="H1375" s="188"/>
      <c r="I1375" s="188"/>
      <c r="J1375" s="188"/>
      <c r="K1375" s="185"/>
      <c r="L1375" s="185"/>
      <c r="M1375" s="185"/>
      <c r="N1375" s="185"/>
      <c r="O1375" s="193"/>
      <c r="P1375" s="193"/>
      <c r="Q1375" s="195"/>
      <c r="R1375" s="191"/>
      <c r="S1375" s="192"/>
    </row>
    <row r="1376" spans="1:19" ht="20.5" thickTop="1" thickBot="1" x14ac:dyDescent="0.4">
      <c r="A1376" s="184" t="s">
        <v>499</v>
      </c>
      <c r="B1376" s="185" t="s">
        <v>499</v>
      </c>
      <c r="C1376" s="185" t="s">
        <v>499</v>
      </c>
      <c r="D1376" s="186" t="s">
        <v>499</v>
      </c>
      <c r="E1376" s="185" t="s">
        <v>499</v>
      </c>
      <c r="F1376" s="185" t="s">
        <v>499</v>
      </c>
      <c r="G1376" s="187">
        <f t="shared" si="21"/>
        <v>0</v>
      </c>
      <c r="H1376" s="188"/>
      <c r="I1376" s="188"/>
      <c r="J1376" s="188"/>
      <c r="K1376" s="185"/>
      <c r="L1376" s="185"/>
      <c r="M1376" s="185"/>
      <c r="N1376" s="185"/>
      <c r="O1376" s="193"/>
      <c r="P1376" s="193"/>
      <c r="Q1376" s="195"/>
      <c r="R1376" s="191"/>
      <c r="S1376" s="192"/>
    </row>
    <row r="1377" spans="1:19" ht="20.5" thickTop="1" thickBot="1" x14ac:dyDescent="0.4">
      <c r="A1377" s="184" t="s">
        <v>499</v>
      </c>
      <c r="B1377" s="185" t="s">
        <v>499</v>
      </c>
      <c r="C1377" s="185" t="s">
        <v>499</v>
      </c>
      <c r="D1377" s="186" t="s">
        <v>499</v>
      </c>
      <c r="E1377" s="185" t="s">
        <v>499</v>
      </c>
      <c r="F1377" s="185" t="s">
        <v>499</v>
      </c>
      <c r="G1377" s="187">
        <f t="shared" si="21"/>
        <v>0</v>
      </c>
      <c r="H1377" s="188"/>
      <c r="I1377" s="188"/>
      <c r="J1377" s="188"/>
      <c r="K1377" s="185"/>
      <c r="L1377" s="185"/>
      <c r="M1377" s="185"/>
      <c r="N1377" s="185"/>
      <c r="O1377" s="193"/>
      <c r="P1377" s="193"/>
      <c r="Q1377" s="195"/>
      <c r="R1377" s="191"/>
      <c r="S1377" s="192"/>
    </row>
    <row r="1378" spans="1:19" ht="20.5" thickTop="1" thickBot="1" x14ac:dyDescent="0.4">
      <c r="A1378" s="184" t="s">
        <v>499</v>
      </c>
      <c r="B1378" s="185" t="s">
        <v>499</v>
      </c>
      <c r="C1378" s="185" t="s">
        <v>499</v>
      </c>
      <c r="D1378" s="186" t="s">
        <v>499</v>
      </c>
      <c r="E1378" s="185" t="s">
        <v>499</v>
      </c>
      <c r="F1378" s="185" t="s">
        <v>499</v>
      </c>
      <c r="G1378" s="187">
        <f t="shared" si="21"/>
        <v>0</v>
      </c>
      <c r="H1378" s="188"/>
      <c r="I1378" s="188"/>
      <c r="J1378" s="188"/>
      <c r="K1378" s="185"/>
      <c r="L1378" s="185"/>
      <c r="M1378" s="185"/>
      <c r="N1378" s="185"/>
      <c r="O1378" s="193"/>
      <c r="P1378" s="193"/>
      <c r="Q1378" s="195"/>
      <c r="R1378" s="191"/>
      <c r="S1378" s="192"/>
    </row>
    <row r="1379" spans="1:19" ht="20.5" thickTop="1" thickBot="1" x14ac:dyDescent="0.4">
      <c r="A1379" s="184" t="s">
        <v>499</v>
      </c>
      <c r="B1379" s="185" t="s">
        <v>499</v>
      </c>
      <c r="C1379" s="185" t="s">
        <v>499</v>
      </c>
      <c r="D1379" s="186" t="s">
        <v>499</v>
      </c>
      <c r="E1379" s="185" t="s">
        <v>499</v>
      </c>
      <c r="F1379" s="185" t="s">
        <v>499</v>
      </c>
      <c r="G1379" s="187">
        <f t="shared" si="21"/>
        <v>0</v>
      </c>
      <c r="H1379" s="188"/>
      <c r="I1379" s="188"/>
      <c r="J1379" s="188"/>
      <c r="K1379" s="185"/>
      <c r="L1379" s="185"/>
      <c r="M1379" s="185"/>
      <c r="N1379" s="185"/>
      <c r="O1379" s="193"/>
      <c r="P1379" s="193"/>
      <c r="Q1379" s="195"/>
      <c r="R1379" s="191"/>
      <c r="S1379" s="192"/>
    </row>
    <row r="1380" spans="1:19" ht="20.5" thickTop="1" thickBot="1" x14ac:dyDescent="0.4">
      <c r="A1380" s="184" t="s">
        <v>499</v>
      </c>
      <c r="B1380" s="185" t="s">
        <v>499</v>
      </c>
      <c r="C1380" s="185" t="s">
        <v>499</v>
      </c>
      <c r="D1380" s="186" t="s">
        <v>499</v>
      </c>
      <c r="E1380" s="185" t="s">
        <v>499</v>
      </c>
      <c r="F1380" s="185" t="s">
        <v>499</v>
      </c>
      <c r="G1380" s="187">
        <f t="shared" si="21"/>
        <v>0</v>
      </c>
      <c r="H1380" s="188"/>
      <c r="I1380" s="188"/>
      <c r="J1380" s="188"/>
      <c r="K1380" s="185"/>
      <c r="L1380" s="185"/>
      <c r="M1380" s="185"/>
      <c r="N1380" s="185"/>
      <c r="O1380" s="193"/>
      <c r="P1380" s="193"/>
      <c r="Q1380" s="195"/>
      <c r="R1380" s="191"/>
      <c r="S1380" s="192"/>
    </row>
    <row r="1381" spans="1:19" ht="20.5" thickTop="1" thickBot="1" x14ac:dyDescent="0.4">
      <c r="A1381" s="184" t="s">
        <v>499</v>
      </c>
      <c r="B1381" s="185" t="s">
        <v>499</v>
      </c>
      <c r="C1381" s="185" t="s">
        <v>499</v>
      </c>
      <c r="D1381" s="186" t="s">
        <v>499</v>
      </c>
      <c r="E1381" s="185" t="s">
        <v>499</v>
      </c>
      <c r="F1381" s="185" t="s">
        <v>499</v>
      </c>
      <c r="G1381" s="187">
        <f t="shared" si="21"/>
        <v>0</v>
      </c>
      <c r="H1381" s="188"/>
      <c r="I1381" s="188"/>
      <c r="J1381" s="188"/>
      <c r="K1381" s="185"/>
      <c r="L1381" s="185"/>
      <c r="M1381" s="185"/>
      <c r="N1381" s="185"/>
      <c r="O1381" s="193"/>
      <c r="P1381" s="193"/>
      <c r="Q1381" s="195"/>
      <c r="R1381" s="191"/>
      <c r="S1381" s="192"/>
    </row>
    <row r="1382" spans="1:19" ht="20.5" thickTop="1" thickBot="1" x14ac:dyDescent="0.4">
      <c r="A1382" s="184" t="s">
        <v>499</v>
      </c>
      <c r="B1382" s="185" t="s">
        <v>499</v>
      </c>
      <c r="C1382" s="185" t="s">
        <v>499</v>
      </c>
      <c r="D1382" s="186" t="s">
        <v>499</v>
      </c>
      <c r="E1382" s="185" t="s">
        <v>499</v>
      </c>
      <c r="F1382" s="185" t="s">
        <v>499</v>
      </c>
      <c r="G1382" s="187">
        <f t="shared" si="21"/>
        <v>0</v>
      </c>
      <c r="H1382" s="188"/>
      <c r="I1382" s="188"/>
      <c r="J1382" s="188"/>
      <c r="K1382" s="185"/>
      <c r="L1382" s="185"/>
      <c r="M1382" s="185"/>
      <c r="N1382" s="185"/>
      <c r="O1382" s="193"/>
      <c r="P1382" s="193"/>
      <c r="Q1382" s="195"/>
      <c r="R1382" s="191"/>
      <c r="S1382" s="192"/>
    </row>
    <row r="1383" spans="1:19" ht="20.5" thickTop="1" thickBot="1" x14ac:dyDescent="0.4">
      <c r="A1383" s="184" t="s">
        <v>499</v>
      </c>
      <c r="B1383" s="185" t="s">
        <v>499</v>
      </c>
      <c r="C1383" s="185" t="s">
        <v>499</v>
      </c>
      <c r="D1383" s="186" t="s">
        <v>499</v>
      </c>
      <c r="E1383" s="185" t="s">
        <v>499</v>
      </c>
      <c r="F1383" s="185" t="s">
        <v>499</v>
      </c>
      <c r="G1383" s="187">
        <f t="shared" si="21"/>
        <v>0</v>
      </c>
      <c r="H1383" s="188"/>
      <c r="I1383" s="188"/>
      <c r="J1383" s="188"/>
      <c r="K1383" s="185"/>
      <c r="L1383" s="185"/>
      <c r="M1383" s="185"/>
      <c r="N1383" s="185"/>
      <c r="O1383" s="193"/>
      <c r="P1383" s="193"/>
      <c r="Q1383" s="195"/>
      <c r="R1383" s="191"/>
      <c r="S1383" s="192"/>
    </row>
    <row r="1384" spans="1:19" ht="20.5" thickTop="1" thickBot="1" x14ac:dyDescent="0.4">
      <c r="A1384" s="184" t="s">
        <v>499</v>
      </c>
      <c r="B1384" s="185" t="s">
        <v>499</v>
      </c>
      <c r="C1384" s="185" t="s">
        <v>499</v>
      </c>
      <c r="D1384" s="186" t="s">
        <v>499</v>
      </c>
      <c r="E1384" s="185" t="s">
        <v>499</v>
      </c>
      <c r="F1384" s="185" t="s">
        <v>499</v>
      </c>
      <c r="G1384" s="187">
        <f t="shared" si="21"/>
        <v>0</v>
      </c>
      <c r="H1384" s="188"/>
      <c r="I1384" s="188"/>
      <c r="J1384" s="188"/>
      <c r="K1384" s="185"/>
      <c r="L1384" s="185"/>
      <c r="M1384" s="185"/>
      <c r="N1384" s="185"/>
      <c r="O1384" s="193"/>
      <c r="P1384" s="193"/>
      <c r="Q1384" s="195"/>
      <c r="R1384" s="191"/>
      <c r="S1384" s="192"/>
    </row>
    <row r="1385" spans="1:19" ht="20.5" thickTop="1" thickBot="1" x14ac:dyDescent="0.4">
      <c r="A1385" s="184" t="s">
        <v>499</v>
      </c>
      <c r="B1385" s="185" t="s">
        <v>499</v>
      </c>
      <c r="C1385" s="185" t="s">
        <v>499</v>
      </c>
      <c r="D1385" s="186" t="s">
        <v>499</v>
      </c>
      <c r="E1385" s="185" t="s">
        <v>499</v>
      </c>
      <c r="F1385" s="185" t="s">
        <v>499</v>
      </c>
      <c r="G1385" s="187">
        <f t="shared" si="21"/>
        <v>0</v>
      </c>
      <c r="H1385" s="188"/>
      <c r="I1385" s="188"/>
      <c r="J1385" s="188"/>
      <c r="K1385" s="185"/>
      <c r="L1385" s="185"/>
      <c r="M1385" s="185"/>
      <c r="N1385" s="185"/>
      <c r="O1385" s="193"/>
      <c r="P1385" s="193"/>
      <c r="Q1385" s="195"/>
      <c r="R1385" s="191"/>
      <c r="S1385" s="192"/>
    </row>
    <row r="1386" spans="1:19" ht="20.5" thickTop="1" thickBot="1" x14ac:dyDescent="0.4">
      <c r="A1386" s="184" t="s">
        <v>499</v>
      </c>
      <c r="B1386" s="185" t="s">
        <v>499</v>
      </c>
      <c r="C1386" s="185" t="s">
        <v>499</v>
      </c>
      <c r="D1386" s="186" t="s">
        <v>499</v>
      </c>
      <c r="E1386" s="185" t="s">
        <v>499</v>
      </c>
      <c r="F1386" s="185" t="s">
        <v>499</v>
      </c>
      <c r="G1386" s="187">
        <f t="shared" si="21"/>
        <v>0</v>
      </c>
      <c r="H1386" s="188"/>
      <c r="I1386" s="188"/>
      <c r="J1386" s="188"/>
      <c r="K1386" s="185"/>
      <c r="L1386" s="185"/>
      <c r="M1386" s="185"/>
      <c r="N1386" s="185"/>
      <c r="O1386" s="193"/>
      <c r="P1386" s="193"/>
      <c r="Q1386" s="195"/>
      <c r="R1386" s="191"/>
      <c r="S1386" s="192"/>
    </row>
    <row r="1387" spans="1:19" ht="20.5" thickTop="1" thickBot="1" x14ac:dyDescent="0.4">
      <c r="A1387" s="184" t="s">
        <v>499</v>
      </c>
      <c r="B1387" s="185" t="s">
        <v>499</v>
      </c>
      <c r="C1387" s="185" t="s">
        <v>499</v>
      </c>
      <c r="D1387" s="186" t="s">
        <v>499</v>
      </c>
      <c r="E1387" s="185" t="s">
        <v>499</v>
      </c>
      <c r="F1387" s="185" t="s">
        <v>499</v>
      </c>
      <c r="G1387" s="187">
        <f t="shared" si="21"/>
        <v>0</v>
      </c>
      <c r="H1387" s="188"/>
      <c r="I1387" s="188"/>
      <c r="J1387" s="188"/>
      <c r="K1387" s="185"/>
      <c r="L1387" s="185"/>
      <c r="M1387" s="185"/>
      <c r="N1387" s="185"/>
      <c r="O1387" s="193"/>
      <c r="P1387" s="193"/>
      <c r="Q1387" s="195"/>
      <c r="R1387" s="191"/>
      <c r="S1387" s="192"/>
    </row>
    <row r="1388" spans="1:19" ht="20.5" thickTop="1" thickBot="1" x14ac:dyDescent="0.4">
      <c r="A1388" s="184" t="s">
        <v>499</v>
      </c>
      <c r="B1388" s="185" t="s">
        <v>499</v>
      </c>
      <c r="C1388" s="185" t="s">
        <v>499</v>
      </c>
      <c r="D1388" s="186" t="s">
        <v>499</v>
      </c>
      <c r="E1388" s="185" t="s">
        <v>499</v>
      </c>
      <c r="F1388" s="185" t="s">
        <v>499</v>
      </c>
      <c r="G1388" s="187">
        <f t="shared" si="21"/>
        <v>0</v>
      </c>
      <c r="H1388" s="188"/>
      <c r="I1388" s="188"/>
      <c r="J1388" s="188"/>
      <c r="K1388" s="185"/>
      <c r="L1388" s="185"/>
      <c r="M1388" s="185"/>
      <c r="N1388" s="185"/>
      <c r="O1388" s="193"/>
      <c r="P1388" s="193"/>
      <c r="Q1388" s="195"/>
      <c r="R1388" s="191"/>
      <c r="S1388" s="192"/>
    </row>
    <row r="1389" spans="1:19" ht="20.5" thickTop="1" thickBot="1" x14ac:dyDescent="0.4">
      <c r="A1389" s="184" t="s">
        <v>499</v>
      </c>
      <c r="B1389" s="185" t="s">
        <v>499</v>
      </c>
      <c r="C1389" s="185" t="s">
        <v>499</v>
      </c>
      <c r="D1389" s="186" t="s">
        <v>499</v>
      </c>
      <c r="E1389" s="185" t="s">
        <v>499</v>
      </c>
      <c r="F1389" s="185" t="s">
        <v>499</v>
      </c>
      <c r="G1389" s="187">
        <f t="shared" si="21"/>
        <v>0</v>
      </c>
      <c r="H1389" s="188"/>
      <c r="I1389" s="188"/>
      <c r="J1389" s="188"/>
      <c r="K1389" s="185"/>
      <c r="L1389" s="185"/>
      <c r="M1389" s="185"/>
      <c r="N1389" s="185"/>
      <c r="O1389" s="193"/>
      <c r="P1389" s="193"/>
      <c r="Q1389" s="195"/>
      <c r="R1389" s="191"/>
      <c r="S1389" s="192"/>
    </row>
    <row r="1390" spans="1:19" ht="20.5" thickTop="1" thickBot="1" x14ac:dyDescent="0.4">
      <c r="A1390" s="184" t="s">
        <v>499</v>
      </c>
      <c r="B1390" s="185" t="s">
        <v>499</v>
      </c>
      <c r="C1390" s="185" t="s">
        <v>499</v>
      </c>
      <c r="D1390" s="186" t="s">
        <v>499</v>
      </c>
      <c r="E1390" s="185" t="s">
        <v>499</v>
      </c>
      <c r="F1390" s="185" t="s">
        <v>499</v>
      </c>
      <c r="G1390" s="187">
        <f t="shared" si="21"/>
        <v>0</v>
      </c>
      <c r="H1390" s="188"/>
      <c r="I1390" s="188"/>
      <c r="J1390" s="188"/>
      <c r="K1390" s="185"/>
      <c r="L1390" s="185"/>
      <c r="M1390" s="185"/>
      <c r="N1390" s="185"/>
      <c r="O1390" s="193"/>
      <c r="P1390" s="193"/>
      <c r="Q1390" s="195"/>
      <c r="R1390" s="191"/>
      <c r="S1390" s="192"/>
    </row>
    <row r="1391" spans="1:19" ht="20.5" thickTop="1" thickBot="1" x14ac:dyDescent="0.4">
      <c r="A1391" s="184" t="s">
        <v>499</v>
      </c>
      <c r="B1391" s="185" t="s">
        <v>499</v>
      </c>
      <c r="C1391" s="185" t="s">
        <v>499</v>
      </c>
      <c r="D1391" s="186" t="s">
        <v>499</v>
      </c>
      <c r="E1391" s="185" t="s">
        <v>499</v>
      </c>
      <c r="F1391" s="185" t="s">
        <v>499</v>
      </c>
      <c r="G1391" s="187">
        <f t="shared" si="21"/>
        <v>0</v>
      </c>
      <c r="H1391" s="188"/>
      <c r="I1391" s="188"/>
      <c r="J1391" s="188"/>
      <c r="K1391" s="185"/>
      <c r="L1391" s="185"/>
      <c r="M1391" s="185"/>
      <c r="N1391" s="185"/>
      <c r="O1391" s="193"/>
      <c r="P1391" s="193"/>
      <c r="Q1391" s="195"/>
      <c r="R1391" s="191"/>
      <c r="S1391" s="192"/>
    </row>
    <row r="1392" spans="1:19" ht="20.5" thickTop="1" thickBot="1" x14ac:dyDescent="0.4">
      <c r="A1392" s="184" t="s">
        <v>499</v>
      </c>
      <c r="B1392" s="185" t="s">
        <v>499</v>
      </c>
      <c r="C1392" s="185" t="s">
        <v>499</v>
      </c>
      <c r="D1392" s="186" t="s">
        <v>499</v>
      </c>
      <c r="E1392" s="185" t="s">
        <v>499</v>
      </c>
      <c r="F1392" s="185" t="s">
        <v>499</v>
      </c>
      <c r="G1392" s="187">
        <f t="shared" si="21"/>
        <v>0</v>
      </c>
      <c r="H1392" s="188"/>
      <c r="I1392" s="188"/>
      <c r="J1392" s="188"/>
      <c r="K1392" s="185"/>
      <c r="L1392" s="185"/>
      <c r="M1392" s="185"/>
      <c r="N1392" s="185"/>
      <c r="O1392" s="193"/>
      <c r="P1392" s="193"/>
      <c r="Q1392" s="195"/>
      <c r="R1392" s="191"/>
      <c r="S1392" s="192"/>
    </row>
    <row r="1393" spans="1:19" ht="20.5" thickTop="1" thickBot="1" x14ac:dyDescent="0.4">
      <c r="A1393" s="184" t="s">
        <v>499</v>
      </c>
      <c r="B1393" s="185" t="s">
        <v>499</v>
      </c>
      <c r="C1393" s="185" t="s">
        <v>499</v>
      </c>
      <c r="D1393" s="186" t="s">
        <v>499</v>
      </c>
      <c r="E1393" s="185" t="s">
        <v>499</v>
      </c>
      <c r="F1393" s="185" t="s">
        <v>499</v>
      </c>
      <c r="G1393" s="187">
        <f t="shared" si="21"/>
        <v>0</v>
      </c>
      <c r="H1393" s="188"/>
      <c r="I1393" s="188"/>
      <c r="J1393" s="188"/>
      <c r="K1393" s="185"/>
      <c r="L1393" s="185"/>
      <c r="M1393" s="185"/>
      <c r="N1393" s="185"/>
      <c r="O1393" s="193"/>
      <c r="P1393" s="193"/>
      <c r="Q1393" s="195"/>
      <c r="R1393" s="191"/>
      <c r="S1393" s="192"/>
    </row>
    <row r="1394" spans="1:19" ht="20.5" thickTop="1" thickBot="1" x14ac:dyDescent="0.4">
      <c r="A1394" s="184" t="s">
        <v>499</v>
      </c>
      <c r="B1394" s="185" t="s">
        <v>499</v>
      </c>
      <c r="C1394" s="185" t="s">
        <v>499</v>
      </c>
      <c r="D1394" s="186" t="s">
        <v>499</v>
      </c>
      <c r="E1394" s="185" t="s">
        <v>499</v>
      </c>
      <c r="F1394" s="185" t="s">
        <v>499</v>
      </c>
      <c r="G1394" s="187">
        <f t="shared" si="21"/>
        <v>0</v>
      </c>
      <c r="H1394" s="188"/>
      <c r="I1394" s="188"/>
      <c r="J1394" s="188"/>
      <c r="K1394" s="185"/>
      <c r="L1394" s="185"/>
      <c r="M1394" s="185"/>
      <c r="N1394" s="185"/>
      <c r="O1394" s="193"/>
      <c r="P1394" s="193"/>
      <c r="Q1394" s="195"/>
      <c r="R1394" s="191"/>
      <c r="S1394" s="192"/>
    </row>
    <row r="1395" spans="1:19" ht="20.5" thickTop="1" thickBot="1" x14ac:dyDescent="0.4">
      <c r="A1395" s="184" t="s">
        <v>499</v>
      </c>
      <c r="B1395" s="185" t="s">
        <v>499</v>
      </c>
      <c r="C1395" s="185" t="s">
        <v>499</v>
      </c>
      <c r="D1395" s="186" t="s">
        <v>499</v>
      </c>
      <c r="E1395" s="185" t="s">
        <v>499</v>
      </c>
      <c r="F1395" s="185" t="s">
        <v>499</v>
      </c>
      <c r="G1395" s="187">
        <f t="shared" si="21"/>
        <v>0</v>
      </c>
      <c r="H1395" s="188"/>
      <c r="I1395" s="188"/>
      <c r="J1395" s="188"/>
      <c r="K1395" s="185"/>
      <c r="L1395" s="185"/>
      <c r="M1395" s="185"/>
      <c r="N1395" s="185"/>
      <c r="O1395" s="193"/>
      <c r="P1395" s="193"/>
      <c r="Q1395" s="195"/>
      <c r="R1395" s="191"/>
      <c r="S1395" s="192"/>
    </row>
    <row r="1396" spans="1:19" ht="20.5" thickTop="1" thickBot="1" x14ac:dyDescent="0.4">
      <c r="A1396" s="184" t="s">
        <v>499</v>
      </c>
      <c r="B1396" s="185" t="s">
        <v>499</v>
      </c>
      <c r="C1396" s="185" t="s">
        <v>499</v>
      </c>
      <c r="D1396" s="186" t="s">
        <v>499</v>
      </c>
      <c r="E1396" s="185" t="s">
        <v>499</v>
      </c>
      <c r="F1396" s="185" t="s">
        <v>499</v>
      </c>
      <c r="G1396" s="187">
        <f t="shared" si="21"/>
        <v>0</v>
      </c>
      <c r="H1396" s="188"/>
      <c r="I1396" s="188"/>
      <c r="J1396" s="188"/>
      <c r="K1396" s="185"/>
      <c r="L1396" s="185"/>
      <c r="M1396" s="185"/>
      <c r="N1396" s="185"/>
      <c r="O1396" s="193"/>
      <c r="P1396" s="193"/>
      <c r="Q1396" s="195"/>
      <c r="R1396" s="191"/>
      <c r="S1396" s="192"/>
    </row>
    <row r="1397" spans="1:19" ht="20.5" thickTop="1" thickBot="1" x14ac:dyDescent="0.4">
      <c r="A1397" s="184" t="s">
        <v>499</v>
      </c>
      <c r="B1397" s="185" t="s">
        <v>499</v>
      </c>
      <c r="C1397" s="185" t="s">
        <v>499</v>
      </c>
      <c r="D1397" s="186" t="s">
        <v>499</v>
      </c>
      <c r="E1397" s="185" t="s">
        <v>499</v>
      </c>
      <c r="F1397" s="185" t="s">
        <v>499</v>
      </c>
      <c r="G1397" s="187">
        <f t="shared" si="21"/>
        <v>0</v>
      </c>
      <c r="H1397" s="188"/>
      <c r="I1397" s="188"/>
      <c r="J1397" s="188"/>
      <c r="K1397" s="185"/>
      <c r="L1397" s="185"/>
      <c r="M1397" s="185"/>
      <c r="N1397" s="185"/>
      <c r="O1397" s="193"/>
      <c r="P1397" s="193"/>
      <c r="Q1397" s="195"/>
      <c r="R1397" s="191"/>
      <c r="S1397" s="192"/>
    </row>
    <row r="1398" spans="1:19" ht="20.5" thickTop="1" thickBot="1" x14ac:dyDescent="0.4">
      <c r="A1398" s="184" t="s">
        <v>499</v>
      </c>
      <c r="B1398" s="185" t="s">
        <v>499</v>
      </c>
      <c r="C1398" s="185" t="s">
        <v>499</v>
      </c>
      <c r="D1398" s="186" t="s">
        <v>499</v>
      </c>
      <c r="E1398" s="185" t="s">
        <v>499</v>
      </c>
      <c r="F1398" s="185" t="s">
        <v>499</v>
      </c>
      <c r="G1398" s="187">
        <f t="shared" si="21"/>
        <v>0</v>
      </c>
      <c r="H1398" s="188"/>
      <c r="I1398" s="188"/>
      <c r="J1398" s="188"/>
      <c r="K1398" s="185"/>
      <c r="L1398" s="185"/>
      <c r="M1398" s="185"/>
      <c r="N1398" s="185"/>
      <c r="O1398" s="193"/>
      <c r="P1398" s="193"/>
      <c r="Q1398" s="195"/>
      <c r="R1398" s="191"/>
      <c r="S1398" s="192"/>
    </row>
    <row r="1399" spans="1:19" ht="20.5" thickTop="1" thickBot="1" x14ac:dyDescent="0.4">
      <c r="A1399" s="184" t="s">
        <v>499</v>
      </c>
      <c r="B1399" s="185" t="s">
        <v>499</v>
      </c>
      <c r="C1399" s="185" t="s">
        <v>499</v>
      </c>
      <c r="D1399" s="186" t="s">
        <v>499</v>
      </c>
      <c r="E1399" s="185" t="s">
        <v>499</v>
      </c>
      <c r="F1399" s="185" t="s">
        <v>499</v>
      </c>
      <c r="G1399" s="187">
        <f t="shared" si="21"/>
        <v>0</v>
      </c>
      <c r="H1399" s="188"/>
      <c r="I1399" s="188"/>
      <c r="J1399" s="188"/>
      <c r="K1399" s="185"/>
      <c r="L1399" s="185"/>
      <c r="M1399" s="185"/>
      <c r="N1399" s="185"/>
      <c r="O1399" s="193"/>
      <c r="P1399" s="193"/>
      <c r="Q1399" s="195"/>
      <c r="R1399" s="191"/>
      <c r="S1399" s="192"/>
    </row>
    <row r="1400" spans="1:19" ht="20.5" thickTop="1" thickBot="1" x14ac:dyDescent="0.4">
      <c r="A1400" s="184" t="s">
        <v>499</v>
      </c>
      <c r="B1400" s="185" t="s">
        <v>499</v>
      </c>
      <c r="C1400" s="185" t="s">
        <v>499</v>
      </c>
      <c r="D1400" s="186" t="s">
        <v>499</v>
      </c>
      <c r="E1400" s="185" t="s">
        <v>499</v>
      </c>
      <c r="F1400" s="185" t="s">
        <v>499</v>
      </c>
      <c r="G1400" s="187">
        <f t="shared" si="21"/>
        <v>0</v>
      </c>
      <c r="H1400" s="188"/>
      <c r="I1400" s="188"/>
      <c r="J1400" s="188"/>
      <c r="K1400" s="185"/>
      <c r="L1400" s="185"/>
      <c r="M1400" s="185"/>
      <c r="N1400" s="185"/>
      <c r="O1400" s="193"/>
      <c r="P1400" s="193"/>
      <c r="Q1400" s="195"/>
      <c r="R1400" s="191"/>
      <c r="S1400" s="192"/>
    </row>
    <row r="1401" spans="1:19" ht="20.5" thickTop="1" thickBot="1" x14ac:dyDescent="0.4">
      <c r="A1401" s="184" t="s">
        <v>499</v>
      </c>
      <c r="B1401" s="185" t="s">
        <v>499</v>
      </c>
      <c r="C1401" s="185" t="s">
        <v>499</v>
      </c>
      <c r="D1401" s="186" t="s">
        <v>499</v>
      </c>
      <c r="E1401" s="185" t="s">
        <v>499</v>
      </c>
      <c r="F1401" s="185" t="s">
        <v>499</v>
      </c>
      <c r="G1401" s="187">
        <f t="shared" si="21"/>
        <v>0</v>
      </c>
      <c r="H1401" s="188"/>
      <c r="I1401" s="188"/>
      <c r="J1401" s="188"/>
      <c r="K1401" s="185"/>
      <c r="L1401" s="185"/>
      <c r="M1401" s="185"/>
      <c r="N1401" s="185"/>
      <c r="O1401" s="193"/>
      <c r="P1401" s="193"/>
      <c r="Q1401" s="195"/>
      <c r="R1401" s="191"/>
      <c r="S1401" s="192"/>
    </row>
    <row r="1402" spans="1:19" ht="20.5" thickTop="1" thickBot="1" x14ac:dyDescent="0.4">
      <c r="A1402" s="184" t="s">
        <v>499</v>
      </c>
      <c r="B1402" s="185" t="s">
        <v>499</v>
      </c>
      <c r="C1402" s="185" t="s">
        <v>499</v>
      </c>
      <c r="D1402" s="186" t="s">
        <v>499</v>
      </c>
      <c r="E1402" s="185" t="s">
        <v>499</v>
      </c>
      <c r="F1402" s="185" t="s">
        <v>499</v>
      </c>
      <c r="G1402" s="187">
        <f t="shared" si="21"/>
        <v>0</v>
      </c>
      <c r="H1402" s="188"/>
      <c r="I1402" s="188"/>
      <c r="J1402" s="188"/>
      <c r="K1402" s="185"/>
      <c r="L1402" s="185"/>
      <c r="M1402" s="185"/>
      <c r="N1402" s="185"/>
      <c r="O1402" s="193"/>
      <c r="P1402" s="193"/>
      <c r="Q1402" s="195"/>
      <c r="R1402" s="191"/>
      <c r="S1402" s="192"/>
    </row>
    <row r="1403" spans="1:19" ht="20.5" thickTop="1" thickBot="1" x14ac:dyDescent="0.4">
      <c r="A1403" s="184" t="s">
        <v>499</v>
      </c>
      <c r="B1403" s="185" t="s">
        <v>499</v>
      </c>
      <c r="C1403" s="185" t="s">
        <v>499</v>
      </c>
      <c r="D1403" s="186" t="s">
        <v>499</v>
      </c>
      <c r="E1403" s="185" t="s">
        <v>499</v>
      </c>
      <c r="F1403" s="185" t="s">
        <v>499</v>
      </c>
      <c r="G1403" s="187">
        <f t="shared" si="21"/>
        <v>0</v>
      </c>
      <c r="H1403" s="188"/>
      <c r="I1403" s="188"/>
      <c r="J1403" s="188"/>
      <c r="K1403" s="185"/>
      <c r="L1403" s="185"/>
      <c r="M1403" s="185"/>
      <c r="N1403" s="185"/>
      <c r="O1403" s="193"/>
      <c r="P1403" s="193"/>
      <c r="Q1403" s="195"/>
      <c r="R1403" s="191"/>
      <c r="S1403" s="192"/>
    </row>
    <row r="1404" spans="1:19" ht="20.5" thickTop="1" thickBot="1" x14ac:dyDescent="0.4">
      <c r="A1404" s="184" t="s">
        <v>499</v>
      </c>
      <c r="B1404" s="185" t="s">
        <v>499</v>
      </c>
      <c r="C1404" s="185" t="s">
        <v>499</v>
      </c>
      <c r="D1404" s="186" t="s">
        <v>499</v>
      </c>
      <c r="E1404" s="185" t="s">
        <v>499</v>
      </c>
      <c r="F1404" s="185" t="s">
        <v>499</v>
      </c>
      <c r="G1404" s="187">
        <f t="shared" si="21"/>
        <v>0</v>
      </c>
      <c r="H1404" s="188"/>
      <c r="I1404" s="188"/>
      <c r="J1404" s="188"/>
      <c r="K1404" s="185"/>
      <c r="L1404" s="185"/>
      <c r="M1404" s="185"/>
      <c r="N1404" s="185"/>
      <c r="O1404" s="193"/>
      <c r="P1404" s="193"/>
      <c r="Q1404" s="195"/>
      <c r="R1404" s="191"/>
      <c r="S1404" s="192"/>
    </row>
    <row r="1405" spans="1:19" ht="20.5" thickTop="1" thickBot="1" x14ac:dyDescent="0.4">
      <c r="A1405" s="184" t="s">
        <v>499</v>
      </c>
      <c r="B1405" s="185" t="s">
        <v>499</v>
      </c>
      <c r="C1405" s="185" t="s">
        <v>499</v>
      </c>
      <c r="D1405" s="186" t="s">
        <v>499</v>
      </c>
      <c r="E1405" s="185" t="s">
        <v>499</v>
      </c>
      <c r="F1405" s="185" t="s">
        <v>499</v>
      </c>
      <c r="G1405" s="187">
        <f t="shared" si="21"/>
        <v>0</v>
      </c>
      <c r="H1405" s="188"/>
      <c r="I1405" s="188"/>
      <c r="J1405" s="188"/>
      <c r="K1405" s="185"/>
      <c r="L1405" s="185"/>
      <c r="M1405" s="185"/>
      <c r="N1405" s="185"/>
      <c r="O1405" s="193"/>
      <c r="P1405" s="193"/>
      <c r="Q1405" s="195"/>
      <c r="R1405" s="191"/>
      <c r="S1405" s="192"/>
    </row>
    <row r="1406" spans="1:19" ht="20.5" thickTop="1" thickBot="1" x14ac:dyDescent="0.4">
      <c r="A1406" s="184" t="s">
        <v>499</v>
      </c>
      <c r="B1406" s="185" t="s">
        <v>499</v>
      </c>
      <c r="C1406" s="185" t="s">
        <v>499</v>
      </c>
      <c r="D1406" s="186" t="s">
        <v>499</v>
      </c>
      <c r="E1406" s="185" t="s">
        <v>499</v>
      </c>
      <c r="F1406" s="185" t="s">
        <v>499</v>
      </c>
      <c r="G1406" s="187">
        <f t="shared" si="21"/>
        <v>0</v>
      </c>
      <c r="H1406" s="188"/>
      <c r="I1406" s="188"/>
      <c r="J1406" s="188"/>
      <c r="K1406" s="185"/>
      <c r="L1406" s="185"/>
      <c r="M1406" s="185"/>
      <c r="N1406" s="185"/>
      <c r="O1406" s="193"/>
      <c r="P1406" s="193"/>
      <c r="Q1406" s="195"/>
      <c r="R1406" s="191"/>
      <c r="S1406" s="192"/>
    </row>
    <row r="1407" spans="1:19" ht="20.5" thickTop="1" thickBot="1" x14ac:dyDescent="0.4">
      <c r="A1407" s="184" t="s">
        <v>499</v>
      </c>
      <c r="B1407" s="185" t="s">
        <v>499</v>
      </c>
      <c r="C1407" s="185" t="s">
        <v>499</v>
      </c>
      <c r="D1407" s="186" t="s">
        <v>499</v>
      </c>
      <c r="E1407" s="185" t="s">
        <v>499</v>
      </c>
      <c r="F1407" s="185" t="s">
        <v>499</v>
      </c>
      <c r="G1407" s="187">
        <f t="shared" si="21"/>
        <v>0</v>
      </c>
      <c r="H1407" s="188"/>
      <c r="I1407" s="188"/>
      <c r="J1407" s="188"/>
      <c r="K1407" s="185"/>
      <c r="L1407" s="185"/>
      <c r="M1407" s="185"/>
      <c r="N1407" s="185"/>
      <c r="O1407" s="193"/>
      <c r="P1407" s="193"/>
      <c r="Q1407" s="195"/>
      <c r="R1407" s="191"/>
      <c r="S1407" s="192"/>
    </row>
    <row r="1408" spans="1:19" ht="20.5" thickTop="1" thickBot="1" x14ac:dyDescent="0.4">
      <c r="A1408" s="184" t="s">
        <v>499</v>
      </c>
      <c r="B1408" s="185" t="s">
        <v>499</v>
      </c>
      <c r="C1408" s="185" t="s">
        <v>499</v>
      </c>
      <c r="D1408" s="186" t="s">
        <v>499</v>
      </c>
      <c r="E1408" s="185" t="s">
        <v>499</v>
      </c>
      <c r="F1408" s="185" t="s">
        <v>499</v>
      </c>
      <c r="G1408" s="187">
        <f t="shared" si="21"/>
        <v>0</v>
      </c>
      <c r="H1408" s="188"/>
      <c r="I1408" s="188"/>
      <c r="J1408" s="188"/>
      <c r="K1408" s="185"/>
      <c r="L1408" s="185"/>
      <c r="M1408" s="185"/>
      <c r="N1408" s="185"/>
      <c r="O1408" s="193"/>
      <c r="P1408" s="193"/>
      <c r="Q1408" s="195"/>
      <c r="R1408" s="191"/>
      <c r="S1408" s="192"/>
    </row>
    <row r="1409" spans="1:19" ht="20.5" thickTop="1" thickBot="1" x14ac:dyDescent="0.4">
      <c r="A1409" s="184" t="s">
        <v>499</v>
      </c>
      <c r="B1409" s="185" t="s">
        <v>499</v>
      </c>
      <c r="C1409" s="185" t="s">
        <v>499</v>
      </c>
      <c r="D1409" s="186" t="s">
        <v>499</v>
      </c>
      <c r="E1409" s="185" t="s">
        <v>499</v>
      </c>
      <c r="F1409" s="185" t="s">
        <v>499</v>
      </c>
      <c r="G1409" s="187">
        <f t="shared" si="21"/>
        <v>0</v>
      </c>
      <c r="H1409" s="188"/>
      <c r="I1409" s="188"/>
      <c r="J1409" s="188"/>
      <c r="K1409" s="185"/>
      <c r="L1409" s="185"/>
      <c r="M1409" s="185"/>
      <c r="N1409" s="185"/>
      <c r="O1409" s="193"/>
      <c r="P1409" s="193"/>
      <c r="Q1409" s="195"/>
      <c r="R1409" s="191"/>
      <c r="S1409" s="192"/>
    </row>
    <row r="1410" spans="1:19" ht="20.5" thickTop="1" thickBot="1" x14ac:dyDescent="0.4">
      <c r="A1410" s="184" t="s">
        <v>499</v>
      </c>
      <c r="B1410" s="185" t="s">
        <v>499</v>
      </c>
      <c r="C1410" s="185" t="s">
        <v>499</v>
      </c>
      <c r="D1410" s="186" t="s">
        <v>499</v>
      </c>
      <c r="E1410" s="185" t="s">
        <v>499</v>
      </c>
      <c r="F1410" s="185" t="s">
        <v>499</v>
      </c>
      <c r="G1410" s="187">
        <f t="shared" si="21"/>
        <v>0</v>
      </c>
      <c r="H1410" s="188"/>
      <c r="I1410" s="188"/>
      <c r="J1410" s="188"/>
      <c r="K1410" s="185"/>
      <c r="L1410" s="185"/>
      <c r="M1410" s="185"/>
      <c r="N1410" s="185"/>
      <c r="O1410" s="193"/>
      <c r="P1410" s="193"/>
      <c r="Q1410" s="195"/>
      <c r="R1410" s="191"/>
      <c r="S1410" s="192"/>
    </row>
    <row r="1411" spans="1:19" ht="20.5" thickTop="1" thickBot="1" x14ac:dyDescent="0.4">
      <c r="A1411" s="184" t="s">
        <v>499</v>
      </c>
      <c r="B1411" s="185" t="s">
        <v>499</v>
      </c>
      <c r="C1411" s="185" t="s">
        <v>499</v>
      </c>
      <c r="D1411" s="186" t="s">
        <v>499</v>
      </c>
      <c r="E1411" s="185" t="s">
        <v>499</v>
      </c>
      <c r="F1411" s="185" t="s">
        <v>499</v>
      </c>
      <c r="G1411" s="187">
        <f t="shared" si="21"/>
        <v>0</v>
      </c>
      <c r="H1411" s="188"/>
      <c r="I1411" s="188"/>
      <c r="J1411" s="188"/>
      <c r="K1411" s="185"/>
      <c r="L1411" s="185"/>
      <c r="M1411" s="185"/>
      <c r="N1411" s="185"/>
      <c r="O1411" s="193"/>
      <c r="P1411" s="193"/>
      <c r="Q1411" s="195"/>
      <c r="R1411" s="191"/>
      <c r="S1411" s="192"/>
    </row>
    <row r="1412" spans="1:19" ht="20.5" thickTop="1" thickBot="1" x14ac:dyDescent="0.4">
      <c r="A1412" s="184" t="s">
        <v>499</v>
      </c>
      <c r="B1412" s="185" t="s">
        <v>499</v>
      </c>
      <c r="C1412" s="185" t="s">
        <v>499</v>
      </c>
      <c r="D1412" s="186" t="s">
        <v>499</v>
      </c>
      <c r="E1412" s="185" t="s">
        <v>499</v>
      </c>
      <c r="F1412" s="185" t="s">
        <v>499</v>
      </c>
      <c r="G1412" s="187">
        <f t="shared" si="21"/>
        <v>0</v>
      </c>
      <c r="H1412" s="188"/>
      <c r="I1412" s="188"/>
      <c r="J1412" s="188"/>
      <c r="K1412" s="185"/>
      <c r="L1412" s="185"/>
      <c r="M1412" s="185"/>
      <c r="N1412" s="185"/>
      <c r="O1412" s="193"/>
      <c r="P1412" s="193"/>
      <c r="Q1412" s="195"/>
      <c r="R1412" s="191"/>
      <c r="S1412" s="192"/>
    </row>
    <row r="1413" spans="1:19" ht="20.5" thickTop="1" thickBot="1" x14ac:dyDescent="0.4">
      <c r="A1413" s="184" t="s">
        <v>499</v>
      </c>
      <c r="B1413" s="185" t="s">
        <v>499</v>
      </c>
      <c r="C1413" s="185" t="s">
        <v>499</v>
      </c>
      <c r="D1413" s="186" t="s">
        <v>499</v>
      </c>
      <c r="E1413" s="185" t="s">
        <v>499</v>
      </c>
      <c r="F1413" s="185" t="s">
        <v>499</v>
      </c>
      <c r="G1413" s="187">
        <f t="shared" ref="G1413:G1476" si="22">SUM(H1413:J1413)</f>
        <v>0</v>
      </c>
      <c r="H1413" s="188"/>
      <c r="I1413" s="188"/>
      <c r="J1413" s="188"/>
      <c r="K1413" s="185"/>
      <c r="L1413" s="185"/>
      <c r="M1413" s="185"/>
      <c r="N1413" s="185"/>
      <c r="O1413" s="193"/>
      <c r="P1413" s="193"/>
      <c r="Q1413" s="195"/>
      <c r="R1413" s="191"/>
      <c r="S1413" s="192"/>
    </row>
    <row r="1414" spans="1:19" ht="20.5" thickTop="1" thickBot="1" x14ac:dyDescent="0.4">
      <c r="A1414" s="184" t="s">
        <v>499</v>
      </c>
      <c r="B1414" s="185" t="s">
        <v>499</v>
      </c>
      <c r="C1414" s="185" t="s">
        <v>499</v>
      </c>
      <c r="D1414" s="186" t="s">
        <v>499</v>
      </c>
      <c r="E1414" s="185" t="s">
        <v>499</v>
      </c>
      <c r="F1414" s="185" t="s">
        <v>499</v>
      </c>
      <c r="G1414" s="187">
        <f t="shared" si="22"/>
        <v>0</v>
      </c>
      <c r="H1414" s="188"/>
      <c r="I1414" s="188"/>
      <c r="J1414" s="188"/>
      <c r="K1414" s="185"/>
      <c r="L1414" s="185"/>
      <c r="M1414" s="185"/>
      <c r="N1414" s="185"/>
      <c r="O1414" s="193"/>
      <c r="P1414" s="193"/>
      <c r="Q1414" s="195"/>
      <c r="R1414" s="191"/>
      <c r="S1414" s="192"/>
    </row>
    <row r="1415" spans="1:19" ht="20.5" thickTop="1" thickBot="1" x14ac:dyDescent="0.4">
      <c r="A1415" s="184" t="s">
        <v>499</v>
      </c>
      <c r="B1415" s="185" t="s">
        <v>499</v>
      </c>
      <c r="C1415" s="185" t="s">
        <v>499</v>
      </c>
      <c r="D1415" s="186" t="s">
        <v>499</v>
      </c>
      <c r="E1415" s="185" t="s">
        <v>499</v>
      </c>
      <c r="F1415" s="185" t="s">
        <v>499</v>
      </c>
      <c r="G1415" s="187">
        <f t="shared" si="22"/>
        <v>0</v>
      </c>
      <c r="H1415" s="188"/>
      <c r="I1415" s="188"/>
      <c r="J1415" s="188"/>
      <c r="K1415" s="185"/>
      <c r="L1415" s="185"/>
      <c r="M1415" s="185"/>
      <c r="N1415" s="185"/>
      <c r="O1415" s="193"/>
      <c r="P1415" s="193"/>
      <c r="Q1415" s="195"/>
      <c r="R1415" s="191"/>
      <c r="S1415" s="192"/>
    </row>
    <row r="1416" spans="1:19" ht="20.5" thickTop="1" thickBot="1" x14ac:dyDescent="0.4">
      <c r="A1416" s="184" t="s">
        <v>499</v>
      </c>
      <c r="B1416" s="185" t="s">
        <v>499</v>
      </c>
      <c r="C1416" s="185" t="s">
        <v>499</v>
      </c>
      <c r="D1416" s="186" t="s">
        <v>499</v>
      </c>
      <c r="E1416" s="185" t="s">
        <v>499</v>
      </c>
      <c r="F1416" s="185" t="s">
        <v>499</v>
      </c>
      <c r="G1416" s="187">
        <f t="shared" si="22"/>
        <v>0</v>
      </c>
      <c r="H1416" s="188"/>
      <c r="I1416" s="188"/>
      <c r="J1416" s="188"/>
      <c r="K1416" s="185"/>
      <c r="L1416" s="185"/>
      <c r="M1416" s="185"/>
      <c r="N1416" s="185"/>
      <c r="O1416" s="193"/>
      <c r="P1416" s="193"/>
      <c r="Q1416" s="195"/>
      <c r="R1416" s="191"/>
      <c r="S1416" s="192"/>
    </row>
    <row r="1417" spans="1:19" ht="20.5" thickTop="1" thickBot="1" x14ac:dyDescent="0.4">
      <c r="A1417" s="184" t="s">
        <v>499</v>
      </c>
      <c r="B1417" s="185" t="s">
        <v>499</v>
      </c>
      <c r="C1417" s="185" t="s">
        <v>499</v>
      </c>
      <c r="D1417" s="186" t="s">
        <v>499</v>
      </c>
      <c r="E1417" s="185" t="s">
        <v>499</v>
      </c>
      <c r="F1417" s="185" t="s">
        <v>499</v>
      </c>
      <c r="G1417" s="187">
        <f t="shared" si="22"/>
        <v>0</v>
      </c>
      <c r="H1417" s="188"/>
      <c r="I1417" s="188"/>
      <c r="J1417" s="188"/>
      <c r="K1417" s="185"/>
      <c r="L1417" s="185"/>
      <c r="M1417" s="185"/>
      <c r="N1417" s="185"/>
      <c r="O1417" s="193"/>
      <c r="P1417" s="193"/>
      <c r="Q1417" s="195"/>
      <c r="R1417" s="191"/>
      <c r="S1417" s="192"/>
    </row>
    <row r="1418" spans="1:19" ht="20.5" thickTop="1" thickBot="1" x14ac:dyDescent="0.4">
      <c r="A1418" s="184" t="s">
        <v>499</v>
      </c>
      <c r="B1418" s="185" t="s">
        <v>499</v>
      </c>
      <c r="C1418" s="185" t="s">
        <v>499</v>
      </c>
      <c r="D1418" s="186" t="s">
        <v>499</v>
      </c>
      <c r="E1418" s="185" t="s">
        <v>499</v>
      </c>
      <c r="F1418" s="185" t="s">
        <v>499</v>
      </c>
      <c r="G1418" s="187">
        <f t="shared" si="22"/>
        <v>0</v>
      </c>
      <c r="H1418" s="188"/>
      <c r="I1418" s="188"/>
      <c r="J1418" s="188"/>
      <c r="K1418" s="185"/>
      <c r="L1418" s="185"/>
      <c r="M1418" s="185"/>
      <c r="N1418" s="185"/>
      <c r="O1418" s="193"/>
      <c r="P1418" s="193"/>
      <c r="Q1418" s="195"/>
      <c r="R1418" s="191"/>
      <c r="S1418" s="192"/>
    </row>
    <row r="1419" spans="1:19" ht="20.5" thickTop="1" thickBot="1" x14ac:dyDescent="0.4">
      <c r="A1419" s="184" t="s">
        <v>499</v>
      </c>
      <c r="B1419" s="185" t="s">
        <v>499</v>
      </c>
      <c r="C1419" s="185" t="s">
        <v>499</v>
      </c>
      <c r="D1419" s="186" t="s">
        <v>499</v>
      </c>
      <c r="E1419" s="185" t="s">
        <v>499</v>
      </c>
      <c r="F1419" s="185" t="s">
        <v>499</v>
      </c>
      <c r="G1419" s="187">
        <f t="shared" si="22"/>
        <v>0</v>
      </c>
      <c r="H1419" s="188"/>
      <c r="I1419" s="188"/>
      <c r="J1419" s="188"/>
      <c r="K1419" s="185"/>
      <c r="L1419" s="185"/>
      <c r="M1419" s="185"/>
      <c r="N1419" s="185"/>
      <c r="O1419" s="193"/>
      <c r="P1419" s="193"/>
      <c r="Q1419" s="195"/>
      <c r="R1419" s="191"/>
      <c r="S1419" s="192"/>
    </row>
    <row r="1420" spans="1:19" ht="20.5" thickTop="1" thickBot="1" x14ac:dyDescent="0.4">
      <c r="A1420" s="184" t="s">
        <v>499</v>
      </c>
      <c r="B1420" s="185" t="s">
        <v>499</v>
      </c>
      <c r="C1420" s="185" t="s">
        <v>499</v>
      </c>
      <c r="D1420" s="186" t="s">
        <v>499</v>
      </c>
      <c r="E1420" s="185" t="s">
        <v>499</v>
      </c>
      <c r="F1420" s="185" t="s">
        <v>499</v>
      </c>
      <c r="G1420" s="187">
        <f t="shared" si="22"/>
        <v>0</v>
      </c>
      <c r="H1420" s="188"/>
      <c r="I1420" s="188"/>
      <c r="J1420" s="188"/>
      <c r="K1420" s="185"/>
      <c r="L1420" s="185"/>
      <c r="M1420" s="185"/>
      <c r="N1420" s="185"/>
      <c r="O1420" s="193"/>
      <c r="P1420" s="193"/>
      <c r="Q1420" s="195"/>
      <c r="R1420" s="191"/>
      <c r="S1420" s="192"/>
    </row>
    <row r="1421" spans="1:19" ht="20.5" thickTop="1" thickBot="1" x14ac:dyDescent="0.4">
      <c r="A1421" s="184" t="s">
        <v>499</v>
      </c>
      <c r="B1421" s="185" t="s">
        <v>499</v>
      </c>
      <c r="C1421" s="185" t="s">
        <v>499</v>
      </c>
      <c r="D1421" s="186" t="s">
        <v>499</v>
      </c>
      <c r="E1421" s="185" t="s">
        <v>499</v>
      </c>
      <c r="F1421" s="185" t="s">
        <v>499</v>
      </c>
      <c r="G1421" s="187">
        <f t="shared" si="22"/>
        <v>0</v>
      </c>
      <c r="H1421" s="188"/>
      <c r="I1421" s="188"/>
      <c r="J1421" s="188"/>
      <c r="K1421" s="185"/>
      <c r="L1421" s="185"/>
      <c r="M1421" s="185"/>
      <c r="N1421" s="185"/>
      <c r="O1421" s="193"/>
      <c r="P1421" s="193"/>
      <c r="Q1421" s="195"/>
      <c r="R1421" s="191"/>
      <c r="S1421" s="192"/>
    </row>
    <row r="1422" spans="1:19" ht="20.5" thickTop="1" thickBot="1" x14ac:dyDescent="0.4">
      <c r="A1422" s="184" t="s">
        <v>499</v>
      </c>
      <c r="B1422" s="185" t="s">
        <v>499</v>
      </c>
      <c r="C1422" s="185" t="s">
        <v>499</v>
      </c>
      <c r="D1422" s="186" t="s">
        <v>499</v>
      </c>
      <c r="E1422" s="185" t="s">
        <v>499</v>
      </c>
      <c r="F1422" s="185" t="s">
        <v>499</v>
      </c>
      <c r="G1422" s="187">
        <f t="shared" si="22"/>
        <v>0</v>
      </c>
      <c r="H1422" s="188"/>
      <c r="I1422" s="188"/>
      <c r="J1422" s="188"/>
      <c r="K1422" s="185"/>
      <c r="L1422" s="185"/>
      <c r="M1422" s="185"/>
      <c r="N1422" s="185"/>
      <c r="O1422" s="193"/>
      <c r="P1422" s="193"/>
      <c r="Q1422" s="195"/>
      <c r="R1422" s="191"/>
      <c r="S1422" s="192"/>
    </row>
    <row r="1423" spans="1:19" ht="20.5" thickTop="1" thickBot="1" x14ac:dyDescent="0.4">
      <c r="A1423" s="184" t="s">
        <v>499</v>
      </c>
      <c r="B1423" s="185" t="s">
        <v>499</v>
      </c>
      <c r="C1423" s="185" t="s">
        <v>499</v>
      </c>
      <c r="D1423" s="186" t="s">
        <v>499</v>
      </c>
      <c r="E1423" s="185" t="s">
        <v>499</v>
      </c>
      <c r="F1423" s="185" t="s">
        <v>499</v>
      </c>
      <c r="G1423" s="187">
        <f t="shared" si="22"/>
        <v>0</v>
      </c>
      <c r="H1423" s="188"/>
      <c r="I1423" s="188"/>
      <c r="J1423" s="188"/>
      <c r="K1423" s="185"/>
      <c r="L1423" s="185"/>
      <c r="M1423" s="185"/>
      <c r="N1423" s="185"/>
      <c r="O1423" s="193"/>
      <c r="P1423" s="193"/>
      <c r="Q1423" s="195"/>
      <c r="R1423" s="191"/>
      <c r="S1423" s="192"/>
    </row>
    <row r="1424" spans="1:19" ht="20.5" thickTop="1" thickBot="1" x14ac:dyDescent="0.4">
      <c r="A1424" s="184" t="s">
        <v>499</v>
      </c>
      <c r="B1424" s="185" t="s">
        <v>499</v>
      </c>
      <c r="C1424" s="185" t="s">
        <v>499</v>
      </c>
      <c r="D1424" s="186" t="s">
        <v>499</v>
      </c>
      <c r="E1424" s="185" t="s">
        <v>499</v>
      </c>
      <c r="F1424" s="185" t="s">
        <v>499</v>
      </c>
      <c r="G1424" s="187">
        <f t="shared" si="22"/>
        <v>0</v>
      </c>
      <c r="H1424" s="188"/>
      <c r="I1424" s="188"/>
      <c r="J1424" s="188"/>
      <c r="K1424" s="185"/>
      <c r="L1424" s="185"/>
      <c r="M1424" s="185"/>
      <c r="N1424" s="185"/>
      <c r="O1424" s="193"/>
      <c r="P1424" s="193"/>
      <c r="Q1424" s="195"/>
      <c r="R1424" s="191"/>
      <c r="S1424" s="192"/>
    </row>
    <row r="1425" spans="1:19" ht="20.5" thickTop="1" thickBot="1" x14ac:dyDescent="0.4">
      <c r="A1425" s="184" t="s">
        <v>499</v>
      </c>
      <c r="B1425" s="185" t="s">
        <v>499</v>
      </c>
      <c r="C1425" s="185" t="s">
        <v>499</v>
      </c>
      <c r="D1425" s="186" t="s">
        <v>499</v>
      </c>
      <c r="E1425" s="185" t="s">
        <v>499</v>
      </c>
      <c r="F1425" s="185" t="s">
        <v>499</v>
      </c>
      <c r="G1425" s="187">
        <f t="shared" si="22"/>
        <v>0</v>
      </c>
      <c r="H1425" s="188"/>
      <c r="I1425" s="188"/>
      <c r="J1425" s="188"/>
      <c r="K1425" s="185"/>
      <c r="L1425" s="185"/>
      <c r="M1425" s="185"/>
      <c r="N1425" s="185"/>
      <c r="O1425" s="193"/>
      <c r="P1425" s="193"/>
      <c r="Q1425" s="195"/>
      <c r="R1425" s="191"/>
      <c r="S1425" s="192"/>
    </row>
    <row r="1426" spans="1:19" ht="20.5" thickTop="1" thickBot="1" x14ac:dyDescent="0.4">
      <c r="A1426" s="184" t="s">
        <v>499</v>
      </c>
      <c r="B1426" s="185" t="s">
        <v>499</v>
      </c>
      <c r="C1426" s="185" t="s">
        <v>499</v>
      </c>
      <c r="D1426" s="186" t="s">
        <v>499</v>
      </c>
      <c r="E1426" s="185" t="s">
        <v>499</v>
      </c>
      <c r="F1426" s="185" t="s">
        <v>499</v>
      </c>
      <c r="G1426" s="187">
        <f t="shared" si="22"/>
        <v>0</v>
      </c>
      <c r="H1426" s="188"/>
      <c r="I1426" s="188"/>
      <c r="J1426" s="188"/>
      <c r="K1426" s="185"/>
      <c r="L1426" s="185"/>
      <c r="M1426" s="185"/>
      <c r="N1426" s="185"/>
      <c r="O1426" s="193"/>
      <c r="P1426" s="193"/>
      <c r="Q1426" s="195"/>
      <c r="R1426" s="191"/>
      <c r="S1426" s="192"/>
    </row>
    <row r="1427" spans="1:19" ht="20.5" thickTop="1" thickBot="1" x14ac:dyDescent="0.4">
      <c r="A1427" s="184" t="s">
        <v>499</v>
      </c>
      <c r="B1427" s="185" t="s">
        <v>499</v>
      </c>
      <c r="C1427" s="185" t="s">
        <v>499</v>
      </c>
      <c r="D1427" s="186" t="s">
        <v>499</v>
      </c>
      <c r="E1427" s="185" t="s">
        <v>499</v>
      </c>
      <c r="F1427" s="185" t="s">
        <v>499</v>
      </c>
      <c r="G1427" s="187">
        <f t="shared" si="22"/>
        <v>0</v>
      </c>
      <c r="H1427" s="188"/>
      <c r="I1427" s="188"/>
      <c r="J1427" s="188"/>
      <c r="K1427" s="185"/>
      <c r="L1427" s="185"/>
      <c r="M1427" s="185"/>
      <c r="N1427" s="185"/>
      <c r="O1427" s="193"/>
      <c r="P1427" s="193"/>
      <c r="Q1427" s="195"/>
      <c r="R1427" s="191"/>
      <c r="S1427" s="192"/>
    </row>
    <row r="1428" spans="1:19" ht="20.5" thickTop="1" thickBot="1" x14ac:dyDescent="0.4">
      <c r="A1428" s="184" t="s">
        <v>499</v>
      </c>
      <c r="B1428" s="185" t="s">
        <v>499</v>
      </c>
      <c r="C1428" s="185" t="s">
        <v>499</v>
      </c>
      <c r="D1428" s="186" t="s">
        <v>499</v>
      </c>
      <c r="E1428" s="185" t="s">
        <v>499</v>
      </c>
      <c r="F1428" s="185" t="s">
        <v>499</v>
      </c>
      <c r="G1428" s="187">
        <f t="shared" si="22"/>
        <v>0</v>
      </c>
      <c r="H1428" s="188"/>
      <c r="I1428" s="188"/>
      <c r="J1428" s="188"/>
      <c r="K1428" s="185"/>
      <c r="L1428" s="185"/>
      <c r="M1428" s="185"/>
      <c r="N1428" s="185"/>
      <c r="O1428" s="193"/>
      <c r="P1428" s="193"/>
      <c r="Q1428" s="195"/>
      <c r="R1428" s="191"/>
      <c r="S1428" s="192"/>
    </row>
    <row r="1429" spans="1:19" ht="20.5" thickTop="1" thickBot="1" x14ac:dyDescent="0.4">
      <c r="A1429" s="184" t="s">
        <v>499</v>
      </c>
      <c r="B1429" s="185" t="s">
        <v>499</v>
      </c>
      <c r="C1429" s="185" t="s">
        <v>499</v>
      </c>
      <c r="D1429" s="186" t="s">
        <v>499</v>
      </c>
      <c r="E1429" s="185" t="s">
        <v>499</v>
      </c>
      <c r="F1429" s="185" t="s">
        <v>499</v>
      </c>
      <c r="G1429" s="187">
        <f t="shared" si="22"/>
        <v>0</v>
      </c>
      <c r="H1429" s="188"/>
      <c r="I1429" s="188"/>
      <c r="J1429" s="188"/>
      <c r="K1429" s="185"/>
      <c r="L1429" s="185"/>
      <c r="M1429" s="185"/>
      <c r="N1429" s="185"/>
      <c r="O1429" s="193"/>
      <c r="P1429" s="193"/>
      <c r="Q1429" s="195"/>
      <c r="R1429" s="191"/>
      <c r="S1429" s="192"/>
    </row>
    <row r="1430" spans="1:19" ht="20.5" thickTop="1" thickBot="1" x14ac:dyDescent="0.4">
      <c r="A1430" s="184" t="s">
        <v>499</v>
      </c>
      <c r="B1430" s="185" t="s">
        <v>499</v>
      </c>
      <c r="C1430" s="185" t="s">
        <v>499</v>
      </c>
      <c r="D1430" s="186" t="s">
        <v>499</v>
      </c>
      <c r="E1430" s="185" t="s">
        <v>499</v>
      </c>
      <c r="F1430" s="185" t="s">
        <v>499</v>
      </c>
      <c r="G1430" s="187">
        <f t="shared" si="22"/>
        <v>0</v>
      </c>
      <c r="H1430" s="188"/>
      <c r="I1430" s="188"/>
      <c r="J1430" s="188"/>
      <c r="K1430" s="185"/>
      <c r="L1430" s="185"/>
      <c r="M1430" s="185"/>
      <c r="N1430" s="185"/>
      <c r="O1430" s="193"/>
      <c r="P1430" s="193"/>
      <c r="Q1430" s="195"/>
      <c r="R1430" s="191"/>
      <c r="S1430" s="192"/>
    </row>
    <row r="1431" spans="1:19" ht="20.5" thickTop="1" thickBot="1" x14ac:dyDescent="0.4">
      <c r="A1431" s="184" t="s">
        <v>499</v>
      </c>
      <c r="B1431" s="185" t="s">
        <v>499</v>
      </c>
      <c r="C1431" s="185" t="s">
        <v>499</v>
      </c>
      <c r="D1431" s="186" t="s">
        <v>499</v>
      </c>
      <c r="E1431" s="185" t="s">
        <v>499</v>
      </c>
      <c r="F1431" s="185" t="s">
        <v>499</v>
      </c>
      <c r="G1431" s="187">
        <f t="shared" si="22"/>
        <v>0</v>
      </c>
      <c r="H1431" s="188"/>
      <c r="I1431" s="188"/>
      <c r="J1431" s="188"/>
      <c r="K1431" s="185"/>
      <c r="L1431" s="185"/>
      <c r="M1431" s="185"/>
      <c r="N1431" s="185"/>
      <c r="O1431" s="193"/>
      <c r="P1431" s="193"/>
      <c r="Q1431" s="195"/>
      <c r="R1431" s="191"/>
      <c r="S1431" s="192"/>
    </row>
    <row r="1432" spans="1:19" ht="20.5" thickTop="1" thickBot="1" x14ac:dyDescent="0.4">
      <c r="A1432" s="184" t="s">
        <v>499</v>
      </c>
      <c r="B1432" s="185" t="s">
        <v>499</v>
      </c>
      <c r="C1432" s="185" t="s">
        <v>499</v>
      </c>
      <c r="D1432" s="186" t="s">
        <v>499</v>
      </c>
      <c r="E1432" s="185" t="s">
        <v>499</v>
      </c>
      <c r="F1432" s="185" t="s">
        <v>499</v>
      </c>
      <c r="G1432" s="187">
        <f t="shared" si="22"/>
        <v>0</v>
      </c>
      <c r="H1432" s="188"/>
      <c r="I1432" s="188"/>
      <c r="J1432" s="188"/>
      <c r="K1432" s="185"/>
      <c r="L1432" s="185"/>
      <c r="M1432" s="185"/>
      <c r="N1432" s="185"/>
      <c r="O1432" s="193"/>
      <c r="P1432" s="193"/>
      <c r="Q1432" s="195"/>
      <c r="R1432" s="191"/>
      <c r="S1432" s="192"/>
    </row>
    <row r="1433" spans="1:19" ht="20.5" thickTop="1" thickBot="1" x14ac:dyDescent="0.4">
      <c r="A1433" s="184" t="s">
        <v>499</v>
      </c>
      <c r="B1433" s="185" t="s">
        <v>499</v>
      </c>
      <c r="C1433" s="185" t="s">
        <v>499</v>
      </c>
      <c r="D1433" s="186" t="s">
        <v>499</v>
      </c>
      <c r="E1433" s="185" t="s">
        <v>499</v>
      </c>
      <c r="F1433" s="185" t="s">
        <v>499</v>
      </c>
      <c r="G1433" s="187">
        <f t="shared" si="22"/>
        <v>0</v>
      </c>
      <c r="H1433" s="188"/>
      <c r="I1433" s="188"/>
      <c r="J1433" s="188"/>
      <c r="K1433" s="185"/>
      <c r="L1433" s="185"/>
      <c r="M1433" s="185"/>
      <c r="N1433" s="185"/>
      <c r="O1433" s="193"/>
      <c r="P1433" s="193"/>
      <c r="Q1433" s="195"/>
      <c r="R1433" s="191"/>
      <c r="S1433" s="192"/>
    </row>
    <row r="1434" spans="1:19" ht="20.5" thickTop="1" thickBot="1" x14ac:dyDescent="0.4">
      <c r="A1434" s="184" t="s">
        <v>499</v>
      </c>
      <c r="B1434" s="185" t="s">
        <v>499</v>
      </c>
      <c r="C1434" s="185" t="s">
        <v>499</v>
      </c>
      <c r="D1434" s="186" t="s">
        <v>499</v>
      </c>
      <c r="E1434" s="185" t="s">
        <v>499</v>
      </c>
      <c r="F1434" s="185" t="s">
        <v>499</v>
      </c>
      <c r="G1434" s="187">
        <f t="shared" si="22"/>
        <v>0</v>
      </c>
      <c r="H1434" s="188"/>
      <c r="I1434" s="188"/>
      <c r="J1434" s="188"/>
      <c r="K1434" s="185"/>
      <c r="L1434" s="185"/>
      <c r="M1434" s="185"/>
      <c r="N1434" s="185"/>
      <c r="O1434" s="193"/>
      <c r="P1434" s="193"/>
      <c r="Q1434" s="195"/>
      <c r="R1434" s="191"/>
      <c r="S1434" s="192"/>
    </row>
    <row r="1435" spans="1:19" ht="20.5" thickTop="1" thickBot="1" x14ac:dyDescent="0.4">
      <c r="A1435" s="184" t="s">
        <v>499</v>
      </c>
      <c r="B1435" s="185" t="s">
        <v>499</v>
      </c>
      <c r="C1435" s="185" t="s">
        <v>499</v>
      </c>
      <c r="D1435" s="186" t="s">
        <v>499</v>
      </c>
      <c r="E1435" s="185" t="s">
        <v>499</v>
      </c>
      <c r="F1435" s="185" t="s">
        <v>499</v>
      </c>
      <c r="G1435" s="187">
        <f t="shared" si="22"/>
        <v>0</v>
      </c>
      <c r="H1435" s="188"/>
      <c r="I1435" s="188"/>
      <c r="J1435" s="188"/>
      <c r="K1435" s="185"/>
      <c r="L1435" s="185"/>
      <c r="M1435" s="185"/>
      <c r="N1435" s="185"/>
      <c r="O1435" s="193"/>
      <c r="P1435" s="193"/>
      <c r="Q1435" s="195"/>
      <c r="R1435" s="191"/>
      <c r="S1435" s="192"/>
    </row>
    <row r="1436" spans="1:19" ht="20.5" thickTop="1" thickBot="1" x14ac:dyDescent="0.4">
      <c r="A1436" s="184" t="s">
        <v>499</v>
      </c>
      <c r="B1436" s="185" t="s">
        <v>499</v>
      </c>
      <c r="C1436" s="185" t="s">
        <v>499</v>
      </c>
      <c r="D1436" s="186" t="s">
        <v>499</v>
      </c>
      <c r="E1436" s="185" t="s">
        <v>499</v>
      </c>
      <c r="F1436" s="185" t="s">
        <v>499</v>
      </c>
      <c r="G1436" s="187">
        <f t="shared" si="22"/>
        <v>0</v>
      </c>
      <c r="H1436" s="188"/>
      <c r="I1436" s="188"/>
      <c r="J1436" s="188"/>
      <c r="K1436" s="185"/>
      <c r="L1436" s="185"/>
      <c r="M1436" s="185"/>
      <c r="N1436" s="185"/>
      <c r="O1436" s="193"/>
      <c r="P1436" s="193"/>
      <c r="Q1436" s="195"/>
      <c r="R1436" s="191"/>
      <c r="S1436" s="192"/>
    </row>
    <row r="1437" spans="1:19" ht="20.5" thickTop="1" thickBot="1" x14ac:dyDescent="0.4">
      <c r="A1437" s="184" t="s">
        <v>499</v>
      </c>
      <c r="B1437" s="185" t="s">
        <v>499</v>
      </c>
      <c r="C1437" s="185" t="s">
        <v>499</v>
      </c>
      <c r="D1437" s="186" t="s">
        <v>499</v>
      </c>
      <c r="E1437" s="185" t="s">
        <v>499</v>
      </c>
      <c r="F1437" s="185" t="s">
        <v>499</v>
      </c>
      <c r="G1437" s="187">
        <f t="shared" si="22"/>
        <v>0</v>
      </c>
      <c r="H1437" s="188"/>
      <c r="I1437" s="188"/>
      <c r="J1437" s="188"/>
      <c r="K1437" s="185"/>
      <c r="L1437" s="185"/>
      <c r="M1437" s="185"/>
      <c r="N1437" s="185"/>
      <c r="O1437" s="193"/>
      <c r="P1437" s="193"/>
      <c r="Q1437" s="195"/>
      <c r="R1437" s="191"/>
      <c r="S1437" s="192"/>
    </row>
    <row r="1438" spans="1:19" ht="20.5" thickTop="1" thickBot="1" x14ac:dyDescent="0.4">
      <c r="A1438" s="184" t="s">
        <v>499</v>
      </c>
      <c r="B1438" s="185" t="s">
        <v>499</v>
      </c>
      <c r="C1438" s="185" t="s">
        <v>499</v>
      </c>
      <c r="D1438" s="186" t="s">
        <v>499</v>
      </c>
      <c r="E1438" s="185" t="s">
        <v>499</v>
      </c>
      <c r="F1438" s="185" t="s">
        <v>499</v>
      </c>
      <c r="G1438" s="187">
        <f t="shared" si="22"/>
        <v>0</v>
      </c>
      <c r="H1438" s="188"/>
      <c r="I1438" s="188"/>
      <c r="J1438" s="188"/>
      <c r="K1438" s="185"/>
      <c r="L1438" s="185"/>
      <c r="M1438" s="185"/>
      <c r="N1438" s="185"/>
      <c r="O1438" s="193"/>
      <c r="P1438" s="193"/>
      <c r="Q1438" s="195"/>
      <c r="R1438" s="191"/>
      <c r="S1438" s="192"/>
    </row>
    <row r="1439" spans="1:19" ht="20.5" thickTop="1" thickBot="1" x14ac:dyDescent="0.4">
      <c r="A1439" s="184" t="s">
        <v>499</v>
      </c>
      <c r="B1439" s="185" t="s">
        <v>499</v>
      </c>
      <c r="C1439" s="185" t="s">
        <v>499</v>
      </c>
      <c r="D1439" s="186" t="s">
        <v>499</v>
      </c>
      <c r="E1439" s="185" t="s">
        <v>499</v>
      </c>
      <c r="F1439" s="185" t="s">
        <v>499</v>
      </c>
      <c r="G1439" s="187">
        <f t="shared" si="22"/>
        <v>0</v>
      </c>
      <c r="H1439" s="188"/>
      <c r="I1439" s="188"/>
      <c r="J1439" s="188"/>
      <c r="K1439" s="185"/>
      <c r="L1439" s="185"/>
      <c r="M1439" s="185"/>
      <c r="N1439" s="185"/>
      <c r="O1439" s="193"/>
      <c r="P1439" s="193"/>
      <c r="Q1439" s="195"/>
      <c r="R1439" s="191"/>
      <c r="S1439" s="192"/>
    </row>
    <row r="1440" spans="1:19" ht="20.5" thickTop="1" thickBot="1" x14ac:dyDescent="0.4">
      <c r="A1440" s="184" t="s">
        <v>499</v>
      </c>
      <c r="B1440" s="185" t="s">
        <v>499</v>
      </c>
      <c r="C1440" s="185" t="s">
        <v>499</v>
      </c>
      <c r="D1440" s="186" t="s">
        <v>499</v>
      </c>
      <c r="E1440" s="185" t="s">
        <v>499</v>
      </c>
      <c r="F1440" s="185" t="s">
        <v>499</v>
      </c>
      <c r="G1440" s="187">
        <f t="shared" si="22"/>
        <v>0</v>
      </c>
      <c r="H1440" s="188"/>
      <c r="I1440" s="188"/>
      <c r="J1440" s="188"/>
      <c r="K1440" s="185"/>
      <c r="L1440" s="185"/>
      <c r="M1440" s="185"/>
      <c r="N1440" s="185"/>
      <c r="O1440" s="193"/>
      <c r="P1440" s="193"/>
      <c r="Q1440" s="195"/>
      <c r="R1440" s="191"/>
      <c r="S1440" s="192"/>
    </row>
    <row r="1441" spans="1:19" ht="20.5" thickTop="1" thickBot="1" x14ac:dyDescent="0.4">
      <c r="A1441" s="184" t="s">
        <v>499</v>
      </c>
      <c r="B1441" s="185" t="s">
        <v>499</v>
      </c>
      <c r="C1441" s="185" t="s">
        <v>499</v>
      </c>
      <c r="D1441" s="186" t="s">
        <v>499</v>
      </c>
      <c r="E1441" s="185" t="s">
        <v>499</v>
      </c>
      <c r="F1441" s="185" t="s">
        <v>499</v>
      </c>
      <c r="G1441" s="187">
        <f t="shared" si="22"/>
        <v>0</v>
      </c>
      <c r="H1441" s="188"/>
      <c r="I1441" s="188"/>
      <c r="J1441" s="188"/>
      <c r="K1441" s="185"/>
      <c r="L1441" s="185"/>
      <c r="M1441" s="185"/>
      <c r="N1441" s="185"/>
      <c r="O1441" s="193"/>
      <c r="P1441" s="193"/>
      <c r="Q1441" s="195"/>
      <c r="R1441" s="191"/>
      <c r="S1441" s="192"/>
    </row>
    <row r="1442" spans="1:19" ht="20.5" thickTop="1" thickBot="1" x14ac:dyDescent="0.4">
      <c r="A1442" s="184" t="s">
        <v>499</v>
      </c>
      <c r="B1442" s="185" t="s">
        <v>499</v>
      </c>
      <c r="C1442" s="185" t="s">
        <v>499</v>
      </c>
      <c r="D1442" s="186" t="s">
        <v>499</v>
      </c>
      <c r="E1442" s="185" t="s">
        <v>499</v>
      </c>
      <c r="F1442" s="185" t="s">
        <v>499</v>
      </c>
      <c r="G1442" s="187">
        <f t="shared" si="22"/>
        <v>0</v>
      </c>
      <c r="H1442" s="188"/>
      <c r="I1442" s="188"/>
      <c r="J1442" s="188"/>
      <c r="K1442" s="185"/>
      <c r="L1442" s="185"/>
      <c r="M1442" s="185"/>
      <c r="N1442" s="185"/>
      <c r="O1442" s="193"/>
      <c r="P1442" s="193"/>
      <c r="Q1442" s="195"/>
      <c r="R1442" s="191"/>
      <c r="S1442" s="192"/>
    </row>
    <row r="1443" spans="1:19" ht="20.5" thickTop="1" thickBot="1" x14ac:dyDescent="0.4">
      <c r="A1443" s="184" t="s">
        <v>499</v>
      </c>
      <c r="B1443" s="185" t="s">
        <v>499</v>
      </c>
      <c r="C1443" s="185" t="s">
        <v>499</v>
      </c>
      <c r="D1443" s="186" t="s">
        <v>499</v>
      </c>
      <c r="E1443" s="185" t="s">
        <v>499</v>
      </c>
      <c r="F1443" s="185" t="s">
        <v>499</v>
      </c>
      <c r="G1443" s="187">
        <f t="shared" si="22"/>
        <v>0</v>
      </c>
      <c r="H1443" s="188"/>
      <c r="I1443" s="188"/>
      <c r="J1443" s="188"/>
      <c r="K1443" s="185"/>
      <c r="L1443" s="185"/>
      <c r="M1443" s="185"/>
      <c r="N1443" s="185"/>
      <c r="O1443" s="193"/>
      <c r="P1443" s="193"/>
      <c r="Q1443" s="195"/>
      <c r="R1443" s="191"/>
      <c r="S1443" s="192"/>
    </row>
    <row r="1444" spans="1:19" ht="20.5" thickTop="1" thickBot="1" x14ac:dyDescent="0.4">
      <c r="A1444" s="184" t="s">
        <v>499</v>
      </c>
      <c r="B1444" s="185" t="s">
        <v>499</v>
      </c>
      <c r="C1444" s="185" t="s">
        <v>499</v>
      </c>
      <c r="D1444" s="186" t="s">
        <v>499</v>
      </c>
      <c r="E1444" s="185" t="s">
        <v>499</v>
      </c>
      <c r="F1444" s="185" t="s">
        <v>499</v>
      </c>
      <c r="G1444" s="187">
        <f t="shared" si="22"/>
        <v>0</v>
      </c>
      <c r="H1444" s="188"/>
      <c r="I1444" s="188"/>
      <c r="J1444" s="188"/>
      <c r="K1444" s="185"/>
      <c r="L1444" s="185"/>
      <c r="M1444" s="185"/>
      <c r="N1444" s="185"/>
      <c r="O1444" s="193"/>
      <c r="P1444" s="193"/>
      <c r="Q1444" s="195"/>
      <c r="R1444" s="191"/>
      <c r="S1444" s="192"/>
    </row>
    <row r="1445" spans="1:19" ht="20.5" thickTop="1" thickBot="1" x14ac:dyDescent="0.4">
      <c r="A1445" s="184" t="s">
        <v>499</v>
      </c>
      <c r="B1445" s="185" t="s">
        <v>499</v>
      </c>
      <c r="C1445" s="185" t="s">
        <v>499</v>
      </c>
      <c r="D1445" s="186" t="s">
        <v>499</v>
      </c>
      <c r="E1445" s="185" t="s">
        <v>499</v>
      </c>
      <c r="F1445" s="185" t="s">
        <v>499</v>
      </c>
      <c r="G1445" s="187">
        <f t="shared" si="22"/>
        <v>0</v>
      </c>
      <c r="H1445" s="188"/>
      <c r="I1445" s="188"/>
      <c r="J1445" s="188"/>
      <c r="K1445" s="185"/>
      <c r="L1445" s="185"/>
      <c r="M1445" s="185"/>
      <c r="N1445" s="185"/>
      <c r="O1445" s="193"/>
      <c r="P1445" s="193"/>
      <c r="Q1445" s="195"/>
      <c r="R1445" s="191"/>
      <c r="S1445" s="192"/>
    </row>
    <row r="1446" spans="1:19" ht="20.5" thickTop="1" thickBot="1" x14ac:dyDescent="0.4">
      <c r="A1446" s="184" t="s">
        <v>499</v>
      </c>
      <c r="B1446" s="185" t="s">
        <v>499</v>
      </c>
      <c r="C1446" s="185" t="s">
        <v>499</v>
      </c>
      <c r="D1446" s="186" t="s">
        <v>499</v>
      </c>
      <c r="E1446" s="185" t="s">
        <v>499</v>
      </c>
      <c r="F1446" s="185" t="s">
        <v>499</v>
      </c>
      <c r="G1446" s="187">
        <f t="shared" si="22"/>
        <v>0</v>
      </c>
      <c r="H1446" s="188"/>
      <c r="I1446" s="188"/>
      <c r="J1446" s="188"/>
      <c r="K1446" s="185"/>
      <c r="L1446" s="185"/>
      <c r="M1446" s="185"/>
      <c r="N1446" s="185"/>
      <c r="O1446" s="193"/>
      <c r="P1446" s="193"/>
      <c r="Q1446" s="195"/>
      <c r="R1446" s="191"/>
      <c r="S1446" s="192"/>
    </row>
    <row r="1447" spans="1:19" ht="20.5" thickTop="1" thickBot="1" x14ac:dyDescent="0.4">
      <c r="A1447" s="184" t="s">
        <v>499</v>
      </c>
      <c r="B1447" s="185" t="s">
        <v>499</v>
      </c>
      <c r="C1447" s="185" t="s">
        <v>499</v>
      </c>
      <c r="D1447" s="186" t="s">
        <v>499</v>
      </c>
      <c r="E1447" s="185" t="s">
        <v>499</v>
      </c>
      <c r="F1447" s="185" t="s">
        <v>499</v>
      </c>
      <c r="G1447" s="187">
        <f t="shared" si="22"/>
        <v>0</v>
      </c>
      <c r="H1447" s="188"/>
      <c r="I1447" s="188"/>
      <c r="J1447" s="188"/>
      <c r="K1447" s="185"/>
      <c r="L1447" s="185"/>
      <c r="M1447" s="185"/>
      <c r="N1447" s="185"/>
      <c r="O1447" s="193"/>
      <c r="P1447" s="193"/>
      <c r="Q1447" s="195"/>
      <c r="R1447" s="191"/>
      <c r="S1447" s="192"/>
    </row>
    <row r="1448" spans="1:19" ht="20.5" thickTop="1" thickBot="1" x14ac:dyDescent="0.4">
      <c r="A1448" s="184" t="s">
        <v>499</v>
      </c>
      <c r="B1448" s="185" t="s">
        <v>499</v>
      </c>
      <c r="C1448" s="185" t="s">
        <v>499</v>
      </c>
      <c r="D1448" s="186" t="s">
        <v>499</v>
      </c>
      <c r="E1448" s="185" t="s">
        <v>499</v>
      </c>
      <c r="F1448" s="185" t="s">
        <v>499</v>
      </c>
      <c r="G1448" s="187">
        <f t="shared" si="22"/>
        <v>0</v>
      </c>
      <c r="H1448" s="188"/>
      <c r="I1448" s="188"/>
      <c r="J1448" s="188"/>
      <c r="K1448" s="185"/>
      <c r="L1448" s="185"/>
      <c r="M1448" s="185"/>
      <c r="N1448" s="185"/>
      <c r="O1448" s="193"/>
      <c r="P1448" s="193"/>
      <c r="Q1448" s="195"/>
      <c r="R1448" s="191"/>
      <c r="S1448" s="192"/>
    </row>
    <row r="1449" spans="1:19" ht="20.5" thickTop="1" thickBot="1" x14ac:dyDescent="0.4">
      <c r="A1449" s="184" t="s">
        <v>499</v>
      </c>
      <c r="B1449" s="185" t="s">
        <v>499</v>
      </c>
      <c r="C1449" s="185" t="s">
        <v>499</v>
      </c>
      <c r="D1449" s="186" t="s">
        <v>499</v>
      </c>
      <c r="E1449" s="185" t="s">
        <v>499</v>
      </c>
      <c r="F1449" s="185" t="s">
        <v>499</v>
      </c>
      <c r="G1449" s="187">
        <f t="shared" si="22"/>
        <v>0</v>
      </c>
      <c r="H1449" s="188"/>
      <c r="I1449" s="188"/>
      <c r="J1449" s="188"/>
      <c r="K1449" s="185"/>
      <c r="L1449" s="185"/>
      <c r="M1449" s="185"/>
      <c r="N1449" s="185"/>
      <c r="O1449" s="193"/>
      <c r="P1449" s="193"/>
      <c r="Q1449" s="195"/>
      <c r="R1449" s="191"/>
      <c r="S1449" s="192"/>
    </row>
    <row r="1450" spans="1:19" ht="20.5" thickTop="1" thickBot="1" x14ac:dyDescent="0.4">
      <c r="A1450" s="184" t="s">
        <v>499</v>
      </c>
      <c r="B1450" s="185" t="s">
        <v>499</v>
      </c>
      <c r="C1450" s="185" t="s">
        <v>499</v>
      </c>
      <c r="D1450" s="186" t="s">
        <v>499</v>
      </c>
      <c r="E1450" s="185" t="s">
        <v>499</v>
      </c>
      <c r="F1450" s="185" t="s">
        <v>499</v>
      </c>
      <c r="G1450" s="187">
        <f t="shared" si="22"/>
        <v>0</v>
      </c>
      <c r="H1450" s="188"/>
      <c r="I1450" s="188"/>
      <c r="J1450" s="188"/>
      <c r="K1450" s="185"/>
      <c r="L1450" s="185"/>
      <c r="M1450" s="185"/>
      <c r="N1450" s="185"/>
      <c r="O1450" s="193"/>
      <c r="P1450" s="193"/>
      <c r="Q1450" s="195"/>
      <c r="R1450" s="191"/>
      <c r="S1450" s="192"/>
    </row>
    <row r="1451" spans="1:19" ht="20.5" thickTop="1" thickBot="1" x14ac:dyDescent="0.4">
      <c r="A1451" s="184" t="s">
        <v>499</v>
      </c>
      <c r="B1451" s="185" t="s">
        <v>499</v>
      </c>
      <c r="C1451" s="185" t="s">
        <v>499</v>
      </c>
      <c r="D1451" s="186" t="s">
        <v>499</v>
      </c>
      <c r="E1451" s="185" t="s">
        <v>499</v>
      </c>
      <c r="F1451" s="185" t="s">
        <v>499</v>
      </c>
      <c r="G1451" s="187">
        <f t="shared" si="22"/>
        <v>0</v>
      </c>
      <c r="H1451" s="188"/>
      <c r="I1451" s="188"/>
      <c r="J1451" s="188"/>
      <c r="K1451" s="185"/>
      <c r="L1451" s="185"/>
      <c r="M1451" s="185"/>
      <c r="N1451" s="185"/>
      <c r="O1451" s="193"/>
      <c r="P1451" s="193"/>
      <c r="Q1451" s="195"/>
      <c r="R1451" s="191"/>
      <c r="S1451" s="192"/>
    </row>
    <row r="1452" spans="1:19" ht="20.5" thickTop="1" thickBot="1" x14ac:dyDescent="0.4">
      <c r="A1452" s="184" t="s">
        <v>499</v>
      </c>
      <c r="B1452" s="185" t="s">
        <v>499</v>
      </c>
      <c r="C1452" s="185" t="s">
        <v>499</v>
      </c>
      <c r="D1452" s="186" t="s">
        <v>499</v>
      </c>
      <c r="E1452" s="185" t="s">
        <v>499</v>
      </c>
      <c r="F1452" s="185" t="s">
        <v>499</v>
      </c>
      <c r="G1452" s="187">
        <f t="shared" si="22"/>
        <v>0</v>
      </c>
      <c r="H1452" s="188"/>
      <c r="I1452" s="188"/>
      <c r="J1452" s="188"/>
      <c r="K1452" s="185"/>
      <c r="L1452" s="185"/>
      <c r="M1452" s="185"/>
      <c r="N1452" s="185"/>
      <c r="O1452" s="193"/>
      <c r="P1452" s="193"/>
      <c r="Q1452" s="195"/>
      <c r="R1452" s="191"/>
      <c r="S1452" s="192"/>
    </row>
    <row r="1453" spans="1:19" ht="20.5" thickTop="1" thickBot="1" x14ac:dyDescent="0.4">
      <c r="A1453" s="184" t="s">
        <v>499</v>
      </c>
      <c r="B1453" s="185" t="s">
        <v>499</v>
      </c>
      <c r="C1453" s="185" t="s">
        <v>499</v>
      </c>
      <c r="D1453" s="186" t="s">
        <v>499</v>
      </c>
      <c r="E1453" s="185" t="s">
        <v>499</v>
      </c>
      <c r="F1453" s="185" t="s">
        <v>499</v>
      </c>
      <c r="G1453" s="187">
        <f t="shared" si="22"/>
        <v>0</v>
      </c>
      <c r="H1453" s="188"/>
      <c r="I1453" s="188"/>
      <c r="J1453" s="188"/>
      <c r="K1453" s="185"/>
      <c r="L1453" s="185"/>
      <c r="M1453" s="185"/>
      <c r="N1453" s="185"/>
      <c r="O1453" s="193"/>
      <c r="P1453" s="193"/>
      <c r="Q1453" s="195"/>
      <c r="R1453" s="191"/>
      <c r="S1453" s="192"/>
    </row>
    <row r="1454" spans="1:19" ht="20.5" thickTop="1" thickBot="1" x14ac:dyDescent="0.4">
      <c r="A1454" s="184" t="s">
        <v>499</v>
      </c>
      <c r="B1454" s="185" t="s">
        <v>499</v>
      </c>
      <c r="C1454" s="185" t="s">
        <v>499</v>
      </c>
      <c r="D1454" s="186" t="s">
        <v>499</v>
      </c>
      <c r="E1454" s="185" t="s">
        <v>499</v>
      </c>
      <c r="F1454" s="185" t="s">
        <v>499</v>
      </c>
      <c r="G1454" s="187">
        <f t="shared" si="22"/>
        <v>0</v>
      </c>
      <c r="H1454" s="188"/>
      <c r="I1454" s="188"/>
      <c r="J1454" s="188"/>
      <c r="K1454" s="185"/>
      <c r="L1454" s="185"/>
      <c r="M1454" s="185"/>
      <c r="N1454" s="185"/>
      <c r="O1454" s="193"/>
      <c r="P1454" s="193"/>
      <c r="Q1454" s="195"/>
      <c r="R1454" s="191"/>
      <c r="S1454" s="192"/>
    </row>
    <row r="1455" spans="1:19" ht="20.5" thickTop="1" thickBot="1" x14ac:dyDescent="0.4">
      <c r="A1455" s="184" t="s">
        <v>499</v>
      </c>
      <c r="B1455" s="185" t="s">
        <v>499</v>
      </c>
      <c r="C1455" s="185" t="s">
        <v>499</v>
      </c>
      <c r="D1455" s="186" t="s">
        <v>499</v>
      </c>
      <c r="E1455" s="185" t="s">
        <v>499</v>
      </c>
      <c r="F1455" s="185" t="s">
        <v>499</v>
      </c>
      <c r="G1455" s="187">
        <f t="shared" si="22"/>
        <v>0</v>
      </c>
      <c r="H1455" s="188"/>
      <c r="I1455" s="188"/>
      <c r="J1455" s="188"/>
      <c r="K1455" s="185"/>
      <c r="L1455" s="185"/>
      <c r="M1455" s="185"/>
      <c r="N1455" s="185"/>
      <c r="O1455" s="193"/>
      <c r="P1455" s="193"/>
      <c r="Q1455" s="195"/>
      <c r="R1455" s="191"/>
      <c r="S1455" s="192"/>
    </row>
    <row r="1456" spans="1:19" ht="20.5" thickTop="1" thickBot="1" x14ac:dyDescent="0.4">
      <c r="A1456" s="184" t="s">
        <v>499</v>
      </c>
      <c r="B1456" s="185" t="s">
        <v>499</v>
      </c>
      <c r="C1456" s="185" t="s">
        <v>499</v>
      </c>
      <c r="D1456" s="186" t="s">
        <v>499</v>
      </c>
      <c r="E1456" s="185" t="s">
        <v>499</v>
      </c>
      <c r="F1456" s="185" t="s">
        <v>499</v>
      </c>
      <c r="G1456" s="187">
        <f t="shared" si="22"/>
        <v>0</v>
      </c>
      <c r="H1456" s="188"/>
      <c r="I1456" s="188"/>
      <c r="J1456" s="188"/>
      <c r="K1456" s="185"/>
      <c r="L1456" s="185"/>
      <c r="M1456" s="185"/>
      <c r="N1456" s="185"/>
      <c r="O1456" s="193"/>
      <c r="P1456" s="193"/>
      <c r="Q1456" s="195"/>
      <c r="R1456" s="191"/>
      <c r="S1456" s="192"/>
    </row>
    <row r="1457" spans="1:19" ht="20.5" thickTop="1" thickBot="1" x14ac:dyDescent="0.4">
      <c r="A1457" s="184" t="s">
        <v>499</v>
      </c>
      <c r="B1457" s="185" t="s">
        <v>499</v>
      </c>
      <c r="C1457" s="185" t="s">
        <v>499</v>
      </c>
      <c r="D1457" s="186" t="s">
        <v>499</v>
      </c>
      <c r="E1457" s="185" t="s">
        <v>499</v>
      </c>
      <c r="F1457" s="185" t="s">
        <v>499</v>
      </c>
      <c r="G1457" s="187">
        <f t="shared" si="22"/>
        <v>0</v>
      </c>
      <c r="H1457" s="188"/>
      <c r="I1457" s="188"/>
      <c r="J1457" s="188"/>
      <c r="K1457" s="185"/>
      <c r="L1457" s="185"/>
      <c r="M1457" s="185"/>
      <c r="N1457" s="185"/>
      <c r="O1457" s="193"/>
      <c r="P1457" s="193"/>
      <c r="Q1457" s="195"/>
      <c r="R1457" s="191"/>
      <c r="S1457" s="192"/>
    </row>
    <row r="1458" spans="1:19" ht="20.5" thickTop="1" thickBot="1" x14ac:dyDescent="0.4">
      <c r="A1458" s="184" t="s">
        <v>499</v>
      </c>
      <c r="B1458" s="185" t="s">
        <v>499</v>
      </c>
      <c r="C1458" s="185" t="s">
        <v>499</v>
      </c>
      <c r="D1458" s="186" t="s">
        <v>499</v>
      </c>
      <c r="E1458" s="185" t="s">
        <v>499</v>
      </c>
      <c r="F1458" s="185" t="s">
        <v>499</v>
      </c>
      <c r="G1458" s="187">
        <f t="shared" si="22"/>
        <v>0</v>
      </c>
      <c r="H1458" s="188"/>
      <c r="I1458" s="188"/>
      <c r="J1458" s="188"/>
      <c r="K1458" s="185"/>
      <c r="L1458" s="185"/>
      <c r="M1458" s="185"/>
      <c r="N1458" s="185"/>
      <c r="O1458" s="193"/>
      <c r="P1458" s="193"/>
      <c r="Q1458" s="195"/>
      <c r="R1458" s="191"/>
      <c r="S1458" s="192"/>
    </row>
    <row r="1459" spans="1:19" ht="20.5" thickTop="1" thickBot="1" x14ac:dyDescent="0.4">
      <c r="A1459" s="184" t="s">
        <v>499</v>
      </c>
      <c r="B1459" s="185" t="s">
        <v>499</v>
      </c>
      <c r="C1459" s="185" t="s">
        <v>499</v>
      </c>
      <c r="D1459" s="186" t="s">
        <v>499</v>
      </c>
      <c r="E1459" s="185" t="s">
        <v>499</v>
      </c>
      <c r="F1459" s="185" t="s">
        <v>499</v>
      </c>
      <c r="G1459" s="187">
        <f t="shared" si="22"/>
        <v>0</v>
      </c>
      <c r="H1459" s="188"/>
      <c r="I1459" s="188"/>
      <c r="J1459" s="188"/>
      <c r="K1459" s="185"/>
      <c r="L1459" s="185"/>
      <c r="M1459" s="185"/>
      <c r="N1459" s="185"/>
      <c r="O1459" s="193"/>
      <c r="P1459" s="193"/>
      <c r="Q1459" s="195"/>
      <c r="R1459" s="191"/>
      <c r="S1459" s="192"/>
    </row>
    <row r="1460" spans="1:19" ht="20.5" thickTop="1" thickBot="1" x14ac:dyDescent="0.4">
      <c r="A1460" s="184" t="s">
        <v>499</v>
      </c>
      <c r="B1460" s="185" t="s">
        <v>499</v>
      </c>
      <c r="C1460" s="185" t="s">
        <v>499</v>
      </c>
      <c r="D1460" s="186" t="s">
        <v>499</v>
      </c>
      <c r="E1460" s="185" t="s">
        <v>499</v>
      </c>
      <c r="F1460" s="185" t="s">
        <v>499</v>
      </c>
      <c r="G1460" s="187">
        <f t="shared" si="22"/>
        <v>0</v>
      </c>
      <c r="H1460" s="188"/>
      <c r="I1460" s="188"/>
      <c r="J1460" s="188"/>
      <c r="K1460" s="185"/>
      <c r="L1460" s="185"/>
      <c r="M1460" s="185"/>
      <c r="N1460" s="185"/>
      <c r="O1460" s="193"/>
      <c r="P1460" s="193"/>
      <c r="Q1460" s="195"/>
      <c r="R1460" s="191"/>
      <c r="S1460" s="192"/>
    </row>
    <row r="1461" spans="1:19" ht="20.5" thickTop="1" thickBot="1" x14ac:dyDescent="0.4">
      <c r="A1461" s="184" t="s">
        <v>499</v>
      </c>
      <c r="B1461" s="185" t="s">
        <v>499</v>
      </c>
      <c r="C1461" s="185" t="s">
        <v>499</v>
      </c>
      <c r="D1461" s="186" t="s">
        <v>499</v>
      </c>
      <c r="E1461" s="185" t="s">
        <v>499</v>
      </c>
      <c r="F1461" s="185" t="s">
        <v>499</v>
      </c>
      <c r="G1461" s="187">
        <f t="shared" si="22"/>
        <v>0</v>
      </c>
      <c r="H1461" s="188"/>
      <c r="I1461" s="188"/>
      <c r="J1461" s="188"/>
      <c r="K1461" s="185"/>
      <c r="L1461" s="185"/>
      <c r="M1461" s="185"/>
      <c r="N1461" s="185"/>
      <c r="O1461" s="193"/>
      <c r="P1461" s="193"/>
      <c r="Q1461" s="195"/>
      <c r="R1461" s="191"/>
      <c r="S1461" s="192"/>
    </row>
    <row r="1462" spans="1:19" ht="20.5" thickTop="1" thickBot="1" x14ac:dyDescent="0.4">
      <c r="A1462" s="184" t="s">
        <v>499</v>
      </c>
      <c r="B1462" s="185" t="s">
        <v>499</v>
      </c>
      <c r="C1462" s="185" t="s">
        <v>499</v>
      </c>
      <c r="D1462" s="186" t="s">
        <v>499</v>
      </c>
      <c r="E1462" s="185" t="s">
        <v>499</v>
      </c>
      <c r="F1462" s="185" t="s">
        <v>499</v>
      </c>
      <c r="G1462" s="187">
        <f t="shared" si="22"/>
        <v>0</v>
      </c>
      <c r="H1462" s="188"/>
      <c r="I1462" s="188"/>
      <c r="J1462" s="188"/>
      <c r="K1462" s="185"/>
      <c r="L1462" s="185"/>
      <c r="M1462" s="185"/>
      <c r="N1462" s="185"/>
      <c r="O1462" s="193"/>
      <c r="P1462" s="193"/>
      <c r="Q1462" s="195"/>
      <c r="R1462" s="191"/>
      <c r="S1462" s="192"/>
    </row>
    <row r="1463" spans="1:19" ht="20.5" thickTop="1" thickBot="1" x14ac:dyDescent="0.4">
      <c r="A1463" s="184" t="s">
        <v>499</v>
      </c>
      <c r="B1463" s="185" t="s">
        <v>499</v>
      </c>
      <c r="C1463" s="185" t="s">
        <v>499</v>
      </c>
      <c r="D1463" s="186" t="s">
        <v>499</v>
      </c>
      <c r="E1463" s="185" t="s">
        <v>499</v>
      </c>
      <c r="F1463" s="185" t="s">
        <v>499</v>
      </c>
      <c r="G1463" s="187">
        <f t="shared" si="22"/>
        <v>0</v>
      </c>
      <c r="H1463" s="188"/>
      <c r="I1463" s="188"/>
      <c r="J1463" s="188"/>
      <c r="K1463" s="185"/>
      <c r="L1463" s="185"/>
      <c r="M1463" s="185"/>
      <c r="N1463" s="185"/>
      <c r="O1463" s="193"/>
      <c r="P1463" s="193"/>
      <c r="Q1463" s="195"/>
      <c r="R1463" s="191"/>
      <c r="S1463" s="192"/>
    </row>
    <row r="1464" spans="1:19" ht="20.5" thickTop="1" thickBot="1" x14ac:dyDescent="0.4">
      <c r="A1464" s="184" t="s">
        <v>499</v>
      </c>
      <c r="B1464" s="185" t="s">
        <v>499</v>
      </c>
      <c r="C1464" s="185" t="s">
        <v>499</v>
      </c>
      <c r="D1464" s="186" t="s">
        <v>499</v>
      </c>
      <c r="E1464" s="185" t="s">
        <v>499</v>
      </c>
      <c r="F1464" s="185" t="s">
        <v>499</v>
      </c>
      <c r="G1464" s="187">
        <f t="shared" si="22"/>
        <v>0</v>
      </c>
      <c r="H1464" s="188"/>
      <c r="I1464" s="188"/>
      <c r="J1464" s="188"/>
      <c r="K1464" s="185"/>
      <c r="L1464" s="185"/>
      <c r="M1464" s="185"/>
      <c r="N1464" s="185"/>
      <c r="O1464" s="193"/>
      <c r="P1464" s="193"/>
      <c r="Q1464" s="195"/>
      <c r="R1464" s="191"/>
      <c r="S1464" s="192"/>
    </row>
    <row r="1465" spans="1:19" ht="20.5" thickTop="1" thickBot="1" x14ac:dyDescent="0.4">
      <c r="A1465" s="184" t="s">
        <v>499</v>
      </c>
      <c r="B1465" s="185" t="s">
        <v>499</v>
      </c>
      <c r="C1465" s="185" t="s">
        <v>499</v>
      </c>
      <c r="D1465" s="186" t="s">
        <v>499</v>
      </c>
      <c r="E1465" s="185" t="s">
        <v>499</v>
      </c>
      <c r="F1465" s="185" t="s">
        <v>499</v>
      </c>
      <c r="G1465" s="187">
        <f t="shared" si="22"/>
        <v>0</v>
      </c>
      <c r="H1465" s="188"/>
      <c r="I1465" s="188"/>
      <c r="J1465" s="188"/>
      <c r="K1465" s="185"/>
      <c r="L1465" s="185"/>
      <c r="M1465" s="185"/>
      <c r="N1465" s="185"/>
      <c r="O1465" s="193"/>
      <c r="P1465" s="193"/>
      <c r="Q1465" s="195"/>
      <c r="R1465" s="191"/>
      <c r="S1465" s="192"/>
    </row>
    <row r="1466" spans="1:19" ht="20.5" thickTop="1" thickBot="1" x14ac:dyDescent="0.4">
      <c r="A1466" s="184" t="s">
        <v>499</v>
      </c>
      <c r="B1466" s="185" t="s">
        <v>499</v>
      </c>
      <c r="C1466" s="185" t="s">
        <v>499</v>
      </c>
      <c r="D1466" s="186" t="s">
        <v>499</v>
      </c>
      <c r="E1466" s="185" t="s">
        <v>499</v>
      </c>
      <c r="F1466" s="185" t="s">
        <v>499</v>
      </c>
      <c r="G1466" s="187">
        <f t="shared" si="22"/>
        <v>0</v>
      </c>
      <c r="H1466" s="188"/>
      <c r="I1466" s="188"/>
      <c r="J1466" s="188"/>
      <c r="K1466" s="185"/>
      <c r="L1466" s="185"/>
      <c r="M1466" s="185"/>
      <c r="N1466" s="185"/>
      <c r="O1466" s="193"/>
      <c r="P1466" s="193"/>
      <c r="Q1466" s="195"/>
      <c r="R1466" s="191"/>
      <c r="S1466" s="192"/>
    </row>
    <row r="1467" spans="1:19" ht="20.5" thickTop="1" thickBot="1" x14ac:dyDescent="0.4">
      <c r="A1467" s="184" t="s">
        <v>499</v>
      </c>
      <c r="B1467" s="185" t="s">
        <v>499</v>
      </c>
      <c r="C1467" s="185" t="s">
        <v>499</v>
      </c>
      <c r="D1467" s="186" t="s">
        <v>499</v>
      </c>
      <c r="E1467" s="185" t="s">
        <v>499</v>
      </c>
      <c r="F1467" s="185" t="s">
        <v>499</v>
      </c>
      <c r="G1467" s="187">
        <f t="shared" si="22"/>
        <v>0</v>
      </c>
      <c r="H1467" s="188"/>
      <c r="I1467" s="188"/>
      <c r="J1467" s="188"/>
      <c r="K1467" s="185"/>
      <c r="L1467" s="185"/>
      <c r="M1467" s="185"/>
      <c r="N1467" s="185"/>
      <c r="O1467" s="193"/>
      <c r="P1467" s="193"/>
      <c r="Q1467" s="195"/>
      <c r="R1467" s="191"/>
      <c r="S1467" s="192"/>
    </row>
    <row r="1468" spans="1:19" ht="20.5" thickTop="1" thickBot="1" x14ac:dyDescent="0.4">
      <c r="A1468" s="184" t="s">
        <v>499</v>
      </c>
      <c r="B1468" s="185" t="s">
        <v>499</v>
      </c>
      <c r="C1468" s="185" t="s">
        <v>499</v>
      </c>
      <c r="D1468" s="186" t="s">
        <v>499</v>
      </c>
      <c r="E1468" s="185" t="s">
        <v>499</v>
      </c>
      <c r="F1468" s="185" t="s">
        <v>499</v>
      </c>
      <c r="G1468" s="187">
        <f t="shared" si="22"/>
        <v>0</v>
      </c>
      <c r="H1468" s="188"/>
      <c r="I1468" s="188"/>
      <c r="J1468" s="188"/>
      <c r="K1468" s="185"/>
      <c r="L1468" s="185"/>
      <c r="M1468" s="185"/>
      <c r="N1468" s="185"/>
      <c r="O1468" s="193"/>
      <c r="P1468" s="193"/>
      <c r="Q1468" s="195"/>
      <c r="R1468" s="191"/>
      <c r="S1468" s="192"/>
    </row>
    <row r="1469" spans="1:19" ht="20.5" thickTop="1" thickBot="1" x14ac:dyDescent="0.4">
      <c r="A1469" s="184" t="s">
        <v>499</v>
      </c>
      <c r="B1469" s="185" t="s">
        <v>499</v>
      </c>
      <c r="C1469" s="185" t="s">
        <v>499</v>
      </c>
      <c r="D1469" s="186" t="s">
        <v>499</v>
      </c>
      <c r="E1469" s="185" t="s">
        <v>499</v>
      </c>
      <c r="F1469" s="185" t="s">
        <v>499</v>
      </c>
      <c r="G1469" s="187">
        <f t="shared" si="22"/>
        <v>0</v>
      </c>
      <c r="H1469" s="188"/>
      <c r="I1469" s="188"/>
      <c r="J1469" s="188"/>
      <c r="K1469" s="185"/>
      <c r="L1469" s="185"/>
      <c r="M1469" s="185"/>
      <c r="N1469" s="185"/>
      <c r="O1469" s="193"/>
      <c r="P1469" s="193"/>
      <c r="Q1469" s="195"/>
      <c r="R1469" s="191"/>
      <c r="S1469" s="192"/>
    </row>
    <row r="1470" spans="1:19" ht="20.5" thickTop="1" thickBot="1" x14ac:dyDescent="0.4">
      <c r="A1470" s="184" t="s">
        <v>499</v>
      </c>
      <c r="B1470" s="185" t="s">
        <v>499</v>
      </c>
      <c r="C1470" s="185" t="s">
        <v>499</v>
      </c>
      <c r="D1470" s="186" t="s">
        <v>499</v>
      </c>
      <c r="E1470" s="185" t="s">
        <v>499</v>
      </c>
      <c r="F1470" s="185" t="s">
        <v>499</v>
      </c>
      <c r="G1470" s="187">
        <f t="shared" si="22"/>
        <v>0</v>
      </c>
      <c r="H1470" s="188"/>
      <c r="I1470" s="188"/>
      <c r="J1470" s="188"/>
      <c r="K1470" s="185"/>
      <c r="L1470" s="185"/>
      <c r="M1470" s="185"/>
      <c r="N1470" s="185"/>
      <c r="O1470" s="193"/>
      <c r="P1470" s="193"/>
      <c r="Q1470" s="195"/>
      <c r="R1470" s="191"/>
      <c r="S1470" s="192"/>
    </row>
    <row r="1471" spans="1:19" ht="20.5" thickTop="1" thickBot="1" x14ac:dyDescent="0.4">
      <c r="A1471" s="184" t="s">
        <v>499</v>
      </c>
      <c r="B1471" s="185" t="s">
        <v>499</v>
      </c>
      <c r="C1471" s="185" t="s">
        <v>499</v>
      </c>
      <c r="D1471" s="186" t="s">
        <v>499</v>
      </c>
      <c r="E1471" s="185" t="s">
        <v>499</v>
      </c>
      <c r="F1471" s="185" t="s">
        <v>499</v>
      </c>
      <c r="G1471" s="187">
        <f t="shared" si="22"/>
        <v>0</v>
      </c>
      <c r="H1471" s="188"/>
      <c r="I1471" s="188"/>
      <c r="J1471" s="188"/>
      <c r="K1471" s="185"/>
      <c r="L1471" s="185"/>
      <c r="M1471" s="185"/>
      <c r="N1471" s="185"/>
      <c r="O1471" s="193"/>
      <c r="P1471" s="193"/>
      <c r="Q1471" s="195"/>
      <c r="R1471" s="191"/>
      <c r="S1471" s="192"/>
    </row>
    <row r="1472" spans="1:19" ht="20.5" thickTop="1" thickBot="1" x14ac:dyDescent="0.4">
      <c r="A1472" s="184" t="s">
        <v>499</v>
      </c>
      <c r="B1472" s="185" t="s">
        <v>499</v>
      </c>
      <c r="C1472" s="185" t="s">
        <v>499</v>
      </c>
      <c r="D1472" s="186" t="s">
        <v>499</v>
      </c>
      <c r="E1472" s="185" t="s">
        <v>499</v>
      </c>
      <c r="F1472" s="185" t="s">
        <v>499</v>
      </c>
      <c r="G1472" s="187">
        <f t="shared" si="22"/>
        <v>0</v>
      </c>
      <c r="H1472" s="188"/>
      <c r="I1472" s="188"/>
      <c r="J1472" s="188"/>
      <c r="K1472" s="185"/>
      <c r="L1472" s="185"/>
      <c r="M1472" s="185"/>
      <c r="N1472" s="185"/>
      <c r="O1472" s="193"/>
      <c r="P1472" s="193"/>
      <c r="Q1472" s="195"/>
      <c r="R1472" s="191"/>
      <c r="S1472" s="192"/>
    </row>
    <row r="1473" spans="1:19" ht="20.5" thickTop="1" thickBot="1" x14ac:dyDescent="0.4">
      <c r="A1473" s="184" t="s">
        <v>499</v>
      </c>
      <c r="B1473" s="185" t="s">
        <v>499</v>
      </c>
      <c r="C1473" s="185" t="s">
        <v>499</v>
      </c>
      <c r="D1473" s="186" t="s">
        <v>499</v>
      </c>
      <c r="E1473" s="185" t="s">
        <v>499</v>
      </c>
      <c r="F1473" s="185" t="s">
        <v>499</v>
      </c>
      <c r="G1473" s="187">
        <f t="shared" si="22"/>
        <v>0</v>
      </c>
      <c r="H1473" s="188"/>
      <c r="I1473" s="188"/>
      <c r="J1473" s="188"/>
      <c r="K1473" s="185"/>
      <c r="L1473" s="185"/>
      <c r="M1473" s="185"/>
      <c r="N1473" s="185"/>
      <c r="O1473" s="193"/>
      <c r="P1473" s="193"/>
      <c r="Q1473" s="195"/>
      <c r="R1473" s="191"/>
      <c r="S1473" s="192"/>
    </row>
    <row r="1474" spans="1:19" ht="20.5" thickTop="1" thickBot="1" x14ac:dyDescent="0.4">
      <c r="A1474" s="184" t="s">
        <v>499</v>
      </c>
      <c r="B1474" s="185" t="s">
        <v>499</v>
      </c>
      <c r="C1474" s="185" t="s">
        <v>499</v>
      </c>
      <c r="D1474" s="186" t="s">
        <v>499</v>
      </c>
      <c r="E1474" s="185" t="s">
        <v>499</v>
      </c>
      <c r="F1474" s="185" t="s">
        <v>499</v>
      </c>
      <c r="G1474" s="187">
        <f t="shared" si="22"/>
        <v>0</v>
      </c>
      <c r="H1474" s="188"/>
      <c r="I1474" s="188"/>
      <c r="J1474" s="188"/>
      <c r="K1474" s="185"/>
      <c r="L1474" s="185"/>
      <c r="M1474" s="185"/>
      <c r="N1474" s="185"/>
      <c r="O1474" s="193"/>
      <c r="P1474" s="193"/>
      <c r="Q1474" s="195"/>
      <c r="R1474" s="191"/>
      <c r="S1474" s="192"/>
    </row>
    <row r="1475" spans="1:19" ht="20.5" thickTop="1" thickBot="1" x14ac:dyDescent="0.4">
      <c r="A1475" s="184" t="s">
        <v>499</v>
      </c>
      <c r="B1475" s="185" t="s">
        <v>499</v>
      </c>
      <c r="C1475" s="185" t="s">
        <v>499</v>
      </c>
      <c r="D1475" s="186" t="s">
        <v>499</v>
      </c>
      <c r="E1475" s="185" t="s">
        <v>499</v>
      </c>
      <c r="F1475" s="185" t="s">
        <v>499</v>
      </c>
      <c r="G1475" s="187">
        <f t="shared" si="22"/>
        <v>0</v>
      </c>
      <c r="H1475" s="188"/>
      <c r="I1475" s="188"/>
      <c r="J1475" s="188"/>
      <c r="K1475" s="185"/>
      <c r="L1475" s="185"/>
      <c r="M1475" s="185"/>
      <c r="N1475" s="185"/>
      <c r="O1475" s="193"/>
      <c r="P1475" s="193"/>
      <c r="Q1475" s="195"/>
      <c r="R1475" s="191"/>
      <c r="S1475" s="192"/>
    </row>
    <row r="1476" spans="1:19" ht="20.5" thickTop="1" thickBot="1" x14ac:dyDescent="0.4">
      <c r="A1476" s="184" t="s">
        <v>499</v>
      </c>
      <c r="B1476" s="185" t="s">
        <v>499</v>
      </c>
      <c r="C1476" s="185" t="s">
        <v>499</v>
      </c>
      <c r="D1476" s="186" t="s">
        <v>499</v>
      </c>
      <c r="E1476" s="185" t="s">
        <v>499</v>
      </c>
      <c r="F1476" s="185" t="s">
        <v>499</v>
      </c>
      <c r="G1476" s="187">
        <f t="shared" si="22"/>
        <v>0</v>
      </c>
      <c r="H1476" s="188"/>
      <c r="I1476" s="188"/>
      <c r="J1476" s="188"/>
      <c r="K1476" s="185"/>
      <c r="L1476" s="185"/>
      <c r="M1476" s="185"/>
      <c r="N1476" s="185"/>
      <c r="O1476" s="193"/>
      <c r="P1476" s="193"/>
      <c r="Q1476" s="195"/>
      <c r="R1476" s="191"/>
      <c r="S1476" s="192"/>
    </row>
    <row r="1477" spans="1:19" ht="20.5" thickTop="1" thickBot="1" x14ac:dyDescent="0.4">
      <c r="A1477" s="184" t="s">
        <v>499</v>
      </c>
      <c r="B1477" s="185" t="s">
        <v>499</v>
      </c>
      <c r="C1477" s="185" t="s">
        <v>499</v>
      </c>
      <c r="D1477" s="186" t="s">
        <v>499</v>
      </c>
      <c r="E1477" s="185" t="s">
        <v>499</v>
      </c>
      <c r="F1477" s="185" t="s">
        <v>499</v>
      </c>
      <c r="G1477" s="187">
        <f t="shared" ref="G1477:G1510" si="23">SUM(H1477:J1477)</f>
        <v>0</v>
      </c>
      <c r="H1477" s="188"/>
      <c r="I1477" s="188"/>
      <c r="J1477" s="188"/>
      <c r="K1477" s="185"/>
      <c r="L1477" s="185"/>
      <c r="M1477" s="185"/>
      <c r="N1477" s="185"/>
      <c r="O1477" s="193"/>
      <c r="P1477" s="193"/>
      <c r="Q1477" s="195"/>
      <c r="R1477" s="191"/>
      <c r="S1477" s="192"/>
    </row>
    <row r="1478" spans="1:19" ht="20.5" thickTop="1" thickBot="1" x14ac:dyDescent="0.4">
      <c r="A1478" s="184" t="s">
        <v>499</v>
      </c>
      <c r="B1478" s="185" t="s">
        <v>499</v>
      </c>
      <c r="C1478" s="185" t="s">
        <v>499</v>
      </c>
      <c r="D1478" s="186" t="s">
        <v>499</v>
      </c>
      <c r="E1478" s="185" t="s">
        <v>499</v>
      </c>
      <c r="F1478" s="185" t="s">
        <v>499</v>
      </c>
      <c r="G1478" s="187">
        <f t="shared" si="23"/>
        <v>0</v>
      </c>
      <c r="H1478" s="188"/>
      <c r="I1478" s="188"/>
      <c r="J1478" s="188"/>
      <c r="K1478" s="185"/>
      <c r="L1478" s="185"/>
      <c r="M1478" s="185"/>
      <c r="N1478" s="185"/>
      <c r="O1478" s="193"/>
      <c r="P1478" s="193"/>
      <c r="Q1478" s="195"/>
      <c r="R1478" s="191"/>
      <c r="S1478" s="192"/>
    </row>
    <row r="1479" spans="1:19" ht="20.5" thickTop="1" thickBot="1" x14ac:dyDescent="0.4">
      <c r="A1479" s="184" t="s">
        <v>499</v>
      </c>
      <c r="B1479" s="185" t="s">
        <v>499</v>
      </c>
      <c r="C1479" s="185" t="s">
        <v>499</v>
      </c>
      <c r="D1479" s="186" t="s">
        <v>499</v>
      </c>
      <c r="E1479" s="185" t="s">
        <v>499</v>
      </c>
      <c r="F1479" s="185" t="s">
        <v>499</v>
      </c>
      <c r="G1479" s="187">
        <f t="shared" si="23"/>
        <v>0</v>
      </c>
      <c r="H1479" s="188"/>
      <c r="I1479" s="188"/>
      <c r="J1479" s="188"/>
      <c r="K1479" s="185"/>
      <c r="L1479" s="185"/>
      <c r="M1479" s="185"/>
      <c r="N1479" s="185"/>
      <c r="O1479" s="193"/>
      <c r="P1479" s="193"/>
      <c r="Q1479" s="195"/>
      <c r="R1479" s="191"/>
      <c r="S1479" s="192"/>
    </row>
    <row r="1480" spans="1:19" ht="20.5" thickTop="1" thickBot="1" x14ac:dyDescent="0.4">
      <c r="A1480" s="184" t="s">
        <v>499</v>
      </c>
      <c r="B1480" s="185" t="s">
        <v>499</v>
      </c>
      <c r="C1480" s="185" t="s">
        <v>499</v>
      </c>
      <c r="D1480" s="186" t="s">
        <v>499</v>
      </c>
      <c r="E1480" s="185" t="s">
        <v>499</v>
      </c>
      <c r="F1480" s="185" t="s">
        <v>499</v>
      </c>
      <c r="G1480" s="187">
        <f t="shared" si="23"/>
        <v>0</v>
      </c>
      <c r="H1480" s="188"/>
      <c r="I1480" s="188"/>
      <c r="J1480" s="188"/>
      <c r="K1480" s="185"/>
      <c r="L1480" s="185"/>
      <c r="M1480" s="185"/>
      <c r="N1480" s="185"/>
      <c r="O1480" s="193"/>
      <c r="P1480" s="193"/>
      <c r="Q1480" s="195"/>
      <c r="R1480" s="191"/>
      <c r="S1480" s="192"/>
    </row>
    <row r="1481" spans="1:19" ht="20.5" thickTop="1" thickBot="1" x14ac:dyDescent="0.4">
      <c r="A1481" s="184" t="s">
        <v>499</v>
      </c>
      <c r="B1481" s="185" t="s">
        <v>499</v>
      </c>
      <c r="C1481" s="185" t="s">
        <v>499</v>
      </c>
      <c r="D1481" s="186" t="s">
        <v>499</v>
      </c>
      <c r="E1481" s="185" t="s">
        <v>499</v>
      </c>
      <c r="F1481" s="185" t="s">
        <v>499</v>
      </c>
      <c r="G1481" s="187">
        <f t="shared" si="23"/>
        <v>0</v>
      </c>
      <c r="H1481" s="188"/>
      <c r="I1481" s="188"/>
      <c r="J1481" s="188"/>
      <c r="K1481" s="185"/>
      <c r="L1481" s="185"/>
      <c r="M1481" s="185"/>
      <c r="N1481" s="185"/>
      <c r="O1481" s="193"/>
      <c r="P1481" s="193"/>
      <c r="Q1481" s="195"/>
      <c r="R1481" s="191"/>
      <c r="S1481" s="192"/>
    </row>
    <row r="1482" spans="1:19" ht="20.5" thickTop="1" thickBot="1" x14ac:dyDescent="0.4">
      <c r="A1482" s="184" t="s">
        <v>499</v>
      </c>
      <c r="B1482" s="185" t="s">
        <v>499</v>
      </c>
      <c r="C1482" s="185" t="s">
        <v>499</v>
      </c>
      <c r="D1482" s="186" t="s">
        <v>499</v>
      </c>
      <c r="E1482" s="185" t="s">
        <v>499</v>
      </c>
      <c r="F1482" s="185" t="s">
        <v>499</v>
      </c>
      <c r="G1482" s="187">
        <f t="shared" si="23"/>
        <v>0</v>
      </c>
      <c r="H1482" s="188"/>
      <c r="I1482" s="188"/>
      <c r="J1482" s="188"/>
      <c r="K1482" s="185"/>
      <c r="L1482" s="185"/>
      <c r="M1482" s="185"/>
      <c r="N1482" s="185"/>
      <c r="O1482" s="193"/>
      <c r="P1482" s="193"/>
      <c r="Q1482" s="195"/>
      <c r="R1482" s="191"/>
      <c r="S1482" s="192"/>
    </row>
    <row r="1483" spans="1:19" ht="20.5" thickTop="1" thickBot="1" x14ac:dyDescent="0.4">
      <c r="A1483" s="184" t="s">
        <v>499</v>
      </c>
      <c r="B1483" s="185" t="s">
        <v>499</v>
      </c>
      <c r="C1483" s="185" t="s">
        <v>499</v>
      </c>
      <c r="D1483" s="186" t="s">
        <v>499</v>
      </c>
      <c r="E1483" s="185" t="s">
        <v>499</v>
      </c>
      <c r="F1483" s="185" t="s">
        <v>499</v>
      </c>
      <c r="G1483" s="187">
        <f t="shared" si="23"/>
        <v>0</v>
      </c>
      <c r="H1483" s="188"/>
      <c r="I1483" s="188"/>
      <c r="J1483" s="188"/>
      <c r="K1483" s="185"/>
      <c r="L1483" s="185"/>
      <c r="M1483" s="185"/>
      <c r="N1483" s="185"/>
      <c r="O1483" s="193"/>
      <c r="P1483" s="193"/>
      <c r="Q1483" s="195"/>
      <c r="R1483" s="191"/>
      <c r="S1483" s="192"/>
    </row>
    <row r="1484" spans="1:19" ht="20.5" thickTop="1" thickBot="1" x14ac:dyDescent="0.4">
      <c r="A1484" s="184" t="s">
        <v>499</v>
      </c>
      <c r="B1484" s="185" t="s">
        <v>499</v>
      </c>
      <c r="C1484" s="185" t="s">
        <v>499</v>
      </c>
      <c r="D1484" s="186" t="s">
        <v>499</v>
      </c>
      <c r="E1484" s="185" t="s">
        <v>499</v>
      </c>
      <c r="F1484" s="185" t="s">
        <v>499</v>
      </c>
      <c r="G1484" s="187">
        <f t="shared" si="23"/>
        <v>0</v>
      </c>
      <c r="H1484" s="188"/>
      <c r="I1484" s="188"/>
      <c r="J1484" s="188"/>
      <c r="K1484" s="185"/>
      <c r="L1484" s="185"/>
      <c r="M1484" s="185"/>
      <c r="N1484" s="185"/>
      <c r="O1484" s="193"/>
      <c r="P1484" s="193"/>
      <c r="Q1484" s="195"/>
      <c r="R1484" s="191"/>
      <c r="S1484" s="192"/>
    </row>
    <row r="1485" spans="1:19" ht="20.5" thickTop="1" thickBot="1" x14ac:dyDescent="0.4">
      <c r="A1485" s="184" t="s">
        <v>499</v>
      </c>
      <c r="B1485" s="185" t="s">
        <v>499</v>
      </c>
      <c r="C1485" s="185" t="s">
        <v>499</v>
      </c>
      <c r="D1485" s="186" t="s">
        <v>499</v>
      </c>
      <c r="E1485" s="185" t="s">
        <v>499</v>
      </c>
      <c r="F1485" s="185" t="s">
        <v>499</v>
      </c>
      <c r="G1485" s="187">
        <f t="shared" si="23"/>
        <v>0</v>
      </c>
      <c r="H1485" s="188"/>
      <c r="I1485" s="188"/>
      <c r="J1485" s="188"/>
      <c r="K1485" s="185"/>
      <c r="L1485" s="185"/>
      <c r="M1485" s="185"/>
      <c r="N1485" s="185"/>
      <c r="O1485" s="193"/>
      <c r="P1485" s="193"/>
      <c r="Q1485" s="195"/>
      <c r="R1485" s="191"/>
      <c r="S1485" s="192"/>
    </row>
    <row r="1486" spans="1:19" ht="20.5" thickTop="1" thickBot="1" x14ac:dyDescent="0.4">
      <c r="A1486" s="184" t="s">
        <v>499</v>
      </c>
      <c r="B1486" s="185" t="s">
        <v>499</v>
      </c>
      <c r="C1486" s="185" t="s">
        <v>499</v>
      </c>
      <c r="D1486" s="186" t="s">
        <v>499</v>
      </c>
      <c r="E1486" s="185" t="s">
        <v>499</v>
      </c>
      <c r="F1486" s="185" t="s">
        <v>499</v>
      </c>
      <c r="G1486" s="187">
        <f t="shared" si="23"/>
        <v>0</v>
      </c>
      <c r="H1486" s="188"/>
      <c r="I1486" s="188"/>
      <c r="J1486" s="188"/>
      <c r="K1486" s="185"/>
      <c r="L1486" s="185"/>
      <c r="M1486" s="185"/>
      <c r="N1486" s="185"/>
      <c r="O1486" s="193"/>
      <c r="P1486" s="193"/>
      <c r="Q1486" s="195"/>
      <c r="R1486" s="191"/>
      <c r="S1486" s="192"/>
    </row>
    <row r="1487" spans="1:19" ht="20.5" thickTop="1" thickBot="1" x14ac:dyDescent="0.4">
      <c r="A1487" s="184" t="s">
        <v>499</v>
      </c>
      <c r="B1487" s="185" t="s">
        <v>499</v>
      </c>
      <c r="C1487" s="185" t="s">
        <v>499</v>
      </c>
      <c r="D1487" s="186" t="s">
        <v>499</v>
      </c>
      <c r="E1487" s="185" t="s">
        <v>499</v>
      </c>
      <c r="F1487" s="185" t="s">
        <v>499</v>
      </c>
      <c r="G1487" s="187">
        <f t="shared" si="23"/>
        <v>0</v>
      </c>
      <c r="H1487" s="188"/>
      <c r="I1487" s="188"/>
      <c r="J1487" s="188"/>
      <c r="K1487" s="185"/>
      <c r="L1487" s="185"/>
      <c r="M1487" s="185"/>
      <c r="N1487" s="185"/>
      <c r="O1487" s="193"/>
      <c r="P1487" s="193"/>
      <c r="Q1487" s="195"/>
      <c r="R1487" s="191"/>
      <c r="S1487" s="192"/>
    </row>
    <row r="1488" spans="1:19" ht="20.5" thickTop="1" thickBot="1" x14ac:dyDescent="0.4">
      <c r="A1488" s="184" t="s">
        <v>499</v>
      </c>
      <c r="B1488" s="185" t="s">
        <v>499</v>
      </c>
      <c r="C1488" s="185" t="s">
        <v>499</v>
      </c>
      <c r="D1488" s="186" t="s">
        <v>499</v>
      </c>
      <c r="E1488" s="185" t="s">
        <v>499</v>
      </c>
      <c r="F1488" s="185" t="s">
        <v>499</v>
      </c>
      <c r="G1488" s="187">
        <f t="shared" si="23"/>
        <v>0</v>
      </c>
      <c r="H1488" s="188"/>
      <c r="I1488" s="188"/>
      <c r="J1488" s="188"/>
      <c r="K1488" s="185"/>
      <c r="L1488" s="185"/>
      <c r="M1488" s="185"/>
      <c r="N1488" s="185"/>
      <c r="O1488" s="193"/>
      <c r="P1488" s="193"/>
      <c r="Q1488" s="195"/>
      <c r="R1488" s="191"/>
      <c r="S1488" s="192"/>
    </row>
    <row r="1489" spans="1:19" ht="20.5" thickTop="1" thickBot="1" x14ac:dyDescent="0.4">
      <c r="A1489" s="184" t="s">
        <v>499</v>
      </c>
      <c r="B1489" s="185" t="s">
        <v>499</v>
      </c>
      <c r="C1489" s="185" t="s">
        <v>499</v>
      </c>
      <c r="D1489" s="186" t="s">
        <v>499</v>
      </c>
      <c r="E1489" s="185" t="s">
        <v>499</v>
      </c>
      <c r="F1489" s="185" t="s">
        <v>499</v>
      </c>
      <c r="G1489" s="187">
        <f t="shared" si="23"/>
        <v>0</v>
      </c>
      <c r="H1489" s="188"/>
      <c r="I1489" s="188"/>
      <c r="J1489" s="188"/>
      <c r="K1489" s="185"/>
      <c r="L1489" s="185"/>
      <c r="M1489" s="185"/>
      <c r="N1489" s="185"/>
      <c r="O1489" s="193"/>
      <c r="P1489" s="193"/>
      <c r="Q1489" s="195"/>
      <c r="R1489" s="191"/>
      <c r="S1489" s="192"/>
    </row>
    <row r="1490" spans="1:19" ht="20.5" thickTop="1" thickBot="1" x14ac:dyDescent="0.4">
      <c r="A1490" s="184" t="s">
        <v>499</v>
      </c>
      <c r="B1490" s="185" t="s">
        <v>499</v>
      </c>
      <c r="C1490" s="185" t="s">
        <v>499</v>
      </c>
      <c r="D1490" s="186" t="s">
        <v>499</v>
      </c>
      <c r="E1490" s="185" t="s">
        <v>499</v>
      </c>
      <c r="F1490" s="185" t="s">
        <v>499</v>
      </c>
      <c r="G1490" s="187">
        <f t="shared" si="23"/>
        <v>0</v>
      </c>
      <c r="H1490" s="188"/>
      <c r="I1490" s="188"/>
      <c r="J1490" s="188"/>
      <c r="K1490" s="185"/>
      <c r="L1490" s="185"/>
      <c r="M1490" s="185"/>
      <c r="N1490" s="185"/>
      <c r="O1490" s="193"/>
      <c r="P1490" s="193"/>
      <c r="Q1490" s="195"/>
      <c r="R1490" s="191"/>
      <c r="S1490" s="192"/>
    </row>
    <row r="1491" spans="1:19" ht="20.5" thickTop="1" thickBot="1" x14ac:dyDescent="0.4">
      <c r="A1491" s="184" t="s">
        <v>499</v>
      </c>
      <c r="B1491" s="185" t="s">
        <v>499</v>
      </c>
      <c r="C1491" s="185" t="s">
        <v>499</v>
      </c>
      <c r="D1491" s="186" t="s">
        <v>499</v>
      </c>
      <c r="E1491" s="185" t="s">
        <v>499</v>
      </c>
      <c r="F1491" s="185" t="s">
        <v>499</v>
      </c>
      <c r="G1491" s="187">
        <f t="shared" si="23"/>
        <v>0</v>
      </c>
      <c r="H1491" s="188"/>
      <c r="I1491" s="188"/>
      <c r="J1491" s="188"/>
      <c r="K1491" s="185"/>
      <c r="L1491" s="185"/>
      <c r="M1491" s="185"/>
      <c r="N1491" s="185"/>
      <c r="O1491" s="193"/>
      <c r="P1491" s="193"/>
      <c r="Q1491" s="195"/>
      <c r="R1491" s="191"/>
      <c r="S1491" s="192"/>
    </row>
    <row r="1492" spans="1:19" ht="20.5" thickTop="1" thickBot="1" x14ac:dyDescent="0.4">
      <c r="A1492" s="184" t="s">
        <v>499</v>
      </c>
      <c r="B1492" s="185" t="s">
        <v>499</v>
      </c>
      <c r="C1492" s="185" t="s">
        <v>499</v>
      </c>
      <c r="D1492" s="186" t="s">
        <v>499</v>
      </c>
      <c r="E1492" s="185" t="s">
        <v>499</v>
      </c>
      <c r="F1492" s="185" t="s">
        <v>499</v>
      </c>
      <c r="G1492" s="187">
        <f t="shared" si="23"/>
        <v>0</v>
      </c>
      <c r="H1492" s="188"/>
      <c r="I1492" s="188"/>
      <c r="J1492" s="188"/>
      <c r="K1492" s="185"/>
      <c r="L1492" s="185"/>
      <c r="M1492" s="185"/>
      <c r="N1492" s="185"/>
      <c r="O1492" s="193"/>
      <c r="P1492" s="193"/>
      <c r="Q1492" s="195"/>
      <c r="R1492" s="191"/>
      <c r="S1492" s="192"/>
    </row>
    <row r="1493" spans="1:19" ht="20.5" thickTop="1" thickBot="1" x14ac:dyDescent="0.4">
      <c r="A1493" s="184" t="s">
        <v>499</v>
      </c>
      <c r="B1493" s="185" t="s">
        <v>499</v>
      </c>
      <c r="C1493" s="185" t="s">
        <v>499</v>
      </c>
      <c r="D1493" s="186" t="s">
        <v>499</v>
      </c>
      <c r="E1493" s="185" t="s">
        <v>499</v>
      </c>
      <c r="F1493" s="185" t="s">
        <v>499</v>
      </c>
      <c r="G1493" s="187">
        <f t="shared" si="23"/>
        <v>0</v>
      </c>
      <c r="H1493" s="188"/>
      <c r="I1493" s="188"/>
      <c r="J1493" s="188"/>
      <c r="K1493" s="185"/>
      <c r="L1493" s="185"/>
      <c r="M1493" s="185"/>
      <c r="N1493" s="185"/>
      <c r="O1493" s="193"/>
      <c r="P1493" s="193"/>
      <c r="Q1493" s="195"/>
      <c r="R1493" s="191"/>
      <c r="S1493" s="192"/>
    </row>
    <row r="1494" spans="1:19" ht="20.5" thickTop="1" thickBot="1" x14ac:dyDescent="0.4">
      <c r="A1494" s="184" t="s">
        <v>499</v>
      </c>
      <c r="B1494" s="185" t="s">
        <v>499</v>
      </c>
      <c r="C1494" s="185" t="s">
        <v>499</v>
      </c>
      <c r="D1494" s="186" t="s">
        <v>499</v>
      </c>
      <c r="E1494" s="185" t="s">
        <v>499</v>
      </c>
      <c r="F1494" s="185" t="s">
        <v>499</v>
      </c>
      <c r="G1494" s="187">
        <f t="shared" si="23"/>
        <v>0</v>
      </c>
      <c r="H1494" s="188"/>
      <c r="I1494" s="188"/>
      <c r="J1494" s="188"/>
      <c r="K1494" s="185"/>
      <c r="L1494" s="185"/>
      <c r="M1494" s="185"/>
      <c r="N1494" s="185"/>
      <c r="O1494" s="193"/>
      <c r="P1494" s="193"/>
      <c r="Q1494" s="195"/>
      <c r="R1494" s="191"/>
      <c r="S1494" s="192"/>
    </row>
    <row r="1495" spans="1:19" ht="20.5" thickTop="1" thickBot="1" x14ac:dyDescent="0.4">
      <c r="A1495" s="184" t="s">
        <v>499</v>
      </c>
      <c r="B1495" s="185" t="s">
        <v>499</v>
      </c>
      <c r="C1495" s="185" t="s">
        <v>499</v>
      </c>
      <c r="D1495" s="186" t="s">
        <v>499</v>
      </c>
      <c r="E1495" s="185" t="s">
        <v>499</v>
      </c>
      <c r="F1495" s="185" t="s">
        <v>499</v>
      </c>
      <c r="G1495" s="187">
        <f t="shared" si="23"/>
        <v>0</v>
      </c>
      <c r="H1495" s="188"/>
      <c r="I1495" s="188"/>
      <c r="J1495" s="188"/>
      <c r="K1495" s="185"/>
      <c r="L1495" s="185"/>
      <c r="M1495" s="185"/>
      <c r="N1495" s="185"/>
      <c r="O1495" s="193"/>
      <c r="P1495" s="193"/>
      <c r="Q1495" s="195"/>
      <c r="R1495" s="191"/>
      <c r="S1495" s="192"/>
    </row>
    <row r="1496" spans="1:19" ht="20.5" thickTop="1" thickBot="1" x14ac:dyDescent="0.4">
      <c r="A1496" s="184" t="s">
        <v>499</v>
      </c>
      <c r="B1496" s="185" t="s">
        <v>499</v>
      </c>
      <c r="C1496" s="185" t="s">
        <v>499</v>
      </c>
      <c r="D1496" s="186" t="s">
        <v>499</v>
      </c>
      <c r="E1496" s="185" t="s">
        <v>499</v>
      </c>
      <c r="F1496" s="185" t="s">
        <v>499</v>
      </c>
      <c r="G1496" s="187">
        <f t="shared" si="23"/>
        <v>0</v>
      </c>
      <c r="H1496" s="188"/>
      <c r="I1496" s="188"/>
      <c r="J1496" s="188"/>
      <c r="K1496" s="185"/>
      <c r="L1496" s="185"/>
      <c r="M1496" s="185"/>
      <c r="N1496" s="185"/>
      <c r="O1496" s="193"/>
      <c r="P1496" s="193"/>
      <c r="Q1496" s="195"/>
      <c r="R1496" s="191"/>
      <c r="S1496" s="192"/>
    </row>
    <row r="1497" spans="1:19" ht="20.5" thickTop="1" thickBot="1" x14ac:dyDescent="0.4">
      <c r="A1497" s="184" t="s">
        <v>499</v>
      </c>
      <c r="B1497" s="185" t="s">
        <v>499</v>
      </c>
      <c r="C1497" s="185" t="s">
        <v>499</v>
      </c>
      <c r="D1497" s="186" t="s">
        <v>499</v>
      </c>
      <c r="E1497" s="185" t="s">
        <v>499</v>
      </c>
      <c r="F1497" s="185" t="s">
        <v>499</v>
      </c>
      <c r="G1497" s="187">
        <f t="shared" si="23"/>
        <v>0</v>
      </c>
      <c r="H1497" s="188"/>
      <c r="I1497" s="188"/>
      <c r="J1497" s="188"/>
      <c r="K1497" s="185"/>
      <c r="L1497" s="185"/>
      <c r="M1497" s="185"/>
      <c r="N1497" s="185"/>
      <c r="O1497" s="193"/>
      <c r="P1497" s="193"/>
      <c r="Q1497" s="195"/>
      <c r="R1497" s="191"/>
      <c r="S1497" s="192"/>
    </row>
    <row r="1498" spans="1:19" ht="20.5" thickTop="1" thickBot="1" x14ac:dyDescent="0.4">
      <c r="A1498" s="184" t="s">
        <v>499</v>
      </c>
      <c r="B1498" s="185" t="s">
        <v>499</v>
      </c>
      <c r="C1498" s="185" t="s">
        <v>499</v>
      </c>
      <c r="D1498" s="186" t="s">
        <v>499</v>
      </c>
      <c r="E1498" s="185" t="s">
        <v>499</v>
      </c>
      <c r="F1498" s="185" t="s">
        <v>499</v>
      </c>
      <c r="G1498" s="187">
        <f t="shared" si="23"/>
        <v>0</v>
      </c>
      <c r="H1498" s="188"/>
      <c r="I1498" s="188"/>
      <c r="J1498" s="188"/>
      <c r="K1498" s="185"/>
      <c r="L1498" s="185"/>
      <c r="M1498" s="185"/>
      <c r="N1498" s="185"/>
      <c r="O1498" s="193"/>
      <c r="P1498" s="193"/>
      <c r="Q1498" s="195"/>
      <c r="R1498" s="191"/>
      <c r="S1498" s="192"/>
    </row>
    <row r="1499" spans="1:19" ht="20.5" thickTop="1" thickBot="1" x14ac:dyDescent="0.4">
      <c r="A1499" s="184" t="s">
        <v>499</v>
      </c>
      <c r="B1499" s="185" t="s">
        <v>499</v>
      </c>
      <c r="C1499" s="185" t="s">
        <v>499</v>
      </c>
      <c r="D1499" s="186" t="s">
        <v>499</v>
      </c>
      <c r="E1499" s="185" t="s">
        <v>499</v>
      </c>
      <c r="F1499" s="185" t="s">
        <v>499</v>
      </c>
      <c r="G1499" s="187">
        <f t="shared" si="23"/>
        <v>0</v>
      </c>
      <c r="H1499" s="188"/>
      <c r="I1499" s="188"/>
      <c r="J1499" s="188"/>
      <c r="K1499" s="185"/>
      <c r="L1499" s="185"/>
      <c r="M1499" s="185"/>
      <c r="N1499" s="185"/>
      <c r="O1499" s="193"/>
      <c r="P1499" s="193"/>
      <c r="Q1499" s="195"/>
      <c r="R1499" s="191"/>
      <c r="S1499" s="192"/>
    </row>
    <row r="1500" spans="1:19" ht="20.5" thickTop="1" thickBot="1" x14ac:dyDescent="0.4">
      <c r="A1500" s="184" t="s">
        <v>499</v>
      </c>
      <c r="B1500" s="185" t="s">
        <v>499</v>
      </c>
      <c r="C1500" s="185" t="s">
        <v>499</v>
      </c>
      <c r="D1500" s="186" t="s">
        <v>499</v>
      </c>
      <c r="E1500" s="185" t="s">
        <v>499</v>
      </c>
      <c r="F1500" s="185" t="s">
        <v>499</v>
      </c>
      <c r="G1500" s="187">
        <f t="shared" si="23"/>
        <v>0</v>
      </c>
      <c r="H1500" s="188"/>
      <c r="I1500" s="188"/>
      <c r="J1500" s="188"/>
      <c r="K1500" s="185"/>
      <c r="L1500" s="185"/>
      <c r="M1500" s="185"/>
      <c r="N1500" s="185"/>
      <c r="O1500" s="193"/>
      <c r="P1500" s="193"/>
      <c r="Q1500" s="195"/>
      <c r="R1500" s="191"/>
      <c r="S1500" s="192"/>
    </row>
    <row r="1501" spans="1:19" ht="20.5" thickTop="1" thickBot="1" x14ac:dyDescent="0.4">
      <c r="A1501" s="184" t="s">
        <v>499</v>
      </c>
      <c r="B1501" s="185"/>
      <c r="C1501" s="185"/>
      <c r="D1501" s="192"/>
      <c r="E1501" s="185"/>
      <c r="F1501" s="185"/>
      <c r="G1501" s="187">
        <f t="shared" si="23"/>
        <v>0</v>
      </c>
      <c r="H1501" s="196"/>
      <c r="I1501" s="196"/>
      <c r="J1501" s="196"/>
      <c r="K1501" s="185"/>
      <c r="L1501" s="185"/>
      <c r="M1501" s="185"/>
      <c r="N1501" s="185"/>
      <c r="O1501" s="197"/>
      <c r="P1501" s="197"/>
      <c r="Q1501" s="198"/>
      <c r="R1501" s="199"/>
      <c r="S1501" s="192"/>
    </row>
    <row r="1502" spans="1:19" ht="20.5" thickTop="1" thickBot="1" x14ac:dyDescent="0.4">
      <c r="A1502" s="184" t="s">
        <v>499</v>
      </c>
      <c r="B1502" s="185"/>
      <c r="C1502" s="185"/>
      <c r="D1502" s="192"/>
      <c r="E1502" s="185"/>
      <c r="F1502" s="185"/>
      <c r="G1502" s="187">
        <f t="shared" si="23"/>
        <v>0</v>
      </c>
      <c r="H1502" s="196"/>
      <c r="I1502" s="196"/>
      <c r="J1502" s="196"/>
      <c r="K1502" s="185"/>
      <c r="L1502" s="185"/>
      <c r="M1502" s="185"/>
      <c r="N1502" s="185"/>
      <c r="O1502" s="197"/>
      <c r="P1502" s="197"/>
      <c r="Q1502" s="198"/>
      <c r="R1502" s="199"/>
      <c r="S1502" s="192"/>
    </row>
    <row r="1503" spans="1:19" ht="20.5" thickTop="1" thickBot="1" x14ac:dyDescent="0.4">
      <c r="A1503" s="184" t="s">
        <v>499</v>
      </c>
      <c r="B1503" s="185"/>
      <c r="C1503" s="185"/>
      <c r="D1503" s="192"/>
      <c r="E1503" s="185"/>
      <c r="F1503" s="185"/>
      <c r="G1503" s="187">
        <f t="shared" si="23"/>
        <v>0</v>
      </c>
      <c r="H1503" s="196"/>
      <c r="I1503" s="196"/>
      <c r="J1503" s="196"/>
      <c r="K1503" s="185"/>
      <c r="L1503" s="185"/>
      <c r="M1503" s="185"/>
      <c r="N1503" s="185"/>
      <c r="O1503" s="197"/>
      <c r="P1503" s="197"/>
      <c r="Q1503" s="198"/>
      <c r="R1503" s="199"/>
      <c r="S1503" s="192"/>
    </row>
    <row r="1504" spans="1:19" ht="20.5" thickTop="1" thickBot="1" x14ac:dyDescent="0.4">
      <c r="A1504" s="184" t="s">
        <v>499</v>
      </c>
      <c r="B1504" s="185"/>
      <c r="C1504" s="185"/>
      <c r="D1504" s="192"/>
      <c r="E1504" s="185"/>
      <c r="F1504" s="185"/>
      <c r="G1504" s="187">
        <f t="shared" si="23"/>
        <v>0</v>
      </c>
      <c r="H1504" s="196"/>
      <c r="I1504" s="196"/>
      <c r="J1504" s="196"/>
      <c r="K1504" s="185"/>
      <c r="L1504" s="185"/>
      <c r="M1504" s="185"/>
      <c r="N1504" s="185"/>
      <c r="O1504" s="197"/>
      <c r="P1504" s="197"/>
      <c r="Q1504" s="198"/>
      <c r="R1504" s="199"/>
      <c r="S1504" s="192"/>
    </row>
    <row r="1505" spans="1:19" ht="20.5" thickTop="1" thickBot="1" x14ac:dyDescent="0.4">
      <c r="A1505" s="184" t="s">
        <v>499</v>
      </c>
      <c r="B1505" s="185"/>
      <c r="C1505" s="185"/>
      <c r="D1505" s="192"/>
      <c r="E1505" s="185"/>
      <c r="F1505" s="185"/>
      <c r="G1505" s="187">
        <f t="shared" si="23"/>
        <v>0</v>
      </c>
      <c r="H1505" s="196"/>
      <c r="I1505" s="196"/>
      <c r="J1505" s="196"/>
      <c r="K1505" s="185"/>
      <c r="L1505" s="185"/>
      <c r="M1505" s="185"/>
      <c r="N1505" s="185"/>
      <c r="O1505" s="197"/>
      <c r="P1505" s="197"/>
      <c r="Q1505" s="198"/>
      <c r="R1505" s="199"/>
      <c r="S1505" s="192"/>
    </row>
    <row r="1506" spans="1:19" ht="20.5" thickTop="1" thickBot="1" x14ac:dyDescent="0.4">
      <c r="A1506" s="200" t="s">
        <v>499</v>
      </c>
      <c r="B1506" s="189"/>
      <c r="C1506" s="189"/>
      <c r="D1506" s="201"/>
      <c r="E1506" s="189"/>
      <c r="F1506" s="189"/>
      <c r="G1506" s="187">
        <f t="shared" si="23"/>
        <v>0</v>
      </c>
      <c r="H1506" s="196"/>
      <c r="I1506" s="196"/>
      <c r="J1506" s="196"/>
      <c r="K1506" s="189"/>
      <c r="L1506" s="189"/>
      <c r="M1506" s="189"/>
      <c r="N1506" s="189"/>
      <c r="O1506" s="197"/>
      <c r="P1506" s="197"/>
      <c r="Q1506" s="198"/>
      <c r="R1506" s="199"/>
      <c r="S1506" s="201"/>
    </row>
    <row r="1507" spans="1:19" ht="20.5" thickTop="1" thickBot="1" x14ac:dyDescent="0.4">
      <c r="A1507" s="200" t="s">
        <v>499</v>
      </c>
      <c r="B1507" s="189"/>
      <c r="C1507" s="189"/>
      <c r="D1507" s="201"/>
      <c r="E1507" s="189"/>
      <c r="F1507" s="189"/>
      <c r="G1507" s="187">
        <f t="shared" si="23"/>
        <v>0</v>
      </c>
      <c r="H1507" s="196"/>
      <c r="I1507" s="196"/>
      <c r="J1507" s="196"/>
      <c r="K1507" s="189"/>
      <c r="L1507" s="189"/>
      <c r="M1507" s="189"/>
      <c r="N1507" s="189"/>
      <c r="O1507" s="197"/>
      <c r="P1507" s="197"/>
      <c r="Q1507" s="198"/>
      <c r="R1507" s="199"/>
      <c r="S1507" s="201"/>
    </row>
    <row r="1508" spans="1:19" ht="20.5" thickTop="1" thickBot="1" x14ac:dyDescent="0.5">
      <c r="A1508" s="72"/>
      <c r="B1508" s="2"/>
      <c r="C1508" s="2"/>
      <c r="D1508" s="3"/>
      <c r="E1508" s="2"/>
      <c r="F1508" s="2"/>
      <c r="G1508" s="174">
        <f t="shared" si="23"/>
        <v>0</v>
      </c>
      <c r="H1508" s="144"/>
      <c r="I1508" s="144"/>
      <c r="J1508" s="144"/>
      <c r="K1508" s="2"/>
      <c r="L1508" s="2"/>
      <c r="M1508" s="2"/>
      <c r="N1508" s="2"/>
      <c r="O1508" s="53"/>
      <c r="P1508" s="53"/>
      <c r="Q1508" s="55"/>
      <c r="R1508" s="54"/>
      <c r="S1508" s="3"/>
    </row>
    <row r="1509" spans="1:19" ht="20.5" thickTop="1" thickBot="1" x14ac:dyDescent="0.5">
      <c r="A1509" s="72"/>
      <c r="B1509" s="2"/>
      <c r="C1509" s="2"/>
      <c r="D1509" s="3"/>
      <c r="E1509" s="2"/>
      <c r="F1509" s="2"/>
      <c r="G1509" s="174">
        <f t="shared" si="23"/>
        <v>0</v>
      </c>
      <c r="H1509" s="144"/>
      <c r="I1509" s="144"/>
      <c r="J1509" s="144"/>
      <c r="K1509" s="2"/>
      <c r="L1509" s="2"/>
      <c r="M1509" s="2"/>
      <c r="N1509" s="2"/>
      <c r="O1509" s="53"/>
      <c r="P1509" s="53"/>
      <c r="Q1509" s="55"/>
      <c r="R1509" s="54"/>
      <c r="S1509" s="3"/>
    </row>
    <row r="1510" spans="1:19" ht="20.5" thickTop="1" thickBot="1" x14ac:dyDescent="0.5">
      <c r="A1510" s="72"/>
      <c r="B1510" s="2"/>
      <c r="C1510" s="2"/>
      <c r="D1510" s="3"/>
      <c r="E1510" s="2"/>
      <c r="F1510" s="2"/>
      <c r="G1510" s="174">
        <f t="shared" si="23"/>
        <v>0</v>
      </c>
      <c r="H1510" s="144"/>
      <c r="I1510" s="144"/>
      <c r="J1510" s="144"/>
      <c r="K1510" s="2"/>
      <c r="L1510" s="2"/>
      <c r="M1510" s="2"/>
      <c r="N1510" s="2"/>
      <c r="O1510" s="53"/>
      <c r="P1510" s="53"/>
      <c r="Q1510" s="55"/>
      <c r="R1510" s="54"/>
      <c r="S1510" s="3"/>
    </row>
    <row r="1511" spans="1:19" ht="15" thickTop="1" x14ac:dyDescent="0.35">
      <c r="A1511" s="71"/>
      <c r="B1511" s="71"/>
      <c r="C1511" s="71"/>
      <c r="D1511" s="71"/>
      <c r="E1511" s="71"/>
      <c r="F1511" s="71"/>
      <c r="G1511" s="71"/>
      <c r="H1511" s="71"/>
      <c r="I1511" s="71"/>
      <c r="J1511" s="71"/>
      <c r="K1511" s="71"/>
      <c r="L1511" s="71"/>
      <c r="M1511" s="71"/>
      <c r="N1511" s="71"/>
      <c r="O1511" s="71"/>
      <c r="P1511" s="71"/>
      <c r="Q1511" s="71"/>
      <c r="R1511" s="71"/>
      <c r="S1511" s="71"/>
    </row>
    <row r="1512" spans="1:19" x14ac:dyDescent="0.35">
      <c r="A1512" s="71"/>
      <c r="B1512" s="71"/>
      <c r="C1512" s="71"/>
      <c r="D1512" s="71"/>
      <c r="E1512" s="71"/>
      <c r="F1512" s="71"/>
      <c r="G1512" s="71"/>
      <c r="H1512" s="71"/>
      <c r="I1512" s="71"/>
      <c r="J1512" s="71"/>
      <c r="K1512" s="71"/>
      <c r="L1512" s="71"/>
      <c r="M1512" s="71"/>
      <c r="N1512" s="71"/>
      <c r="O1512" s="71"/>
      <c r="P1512" s="71"/>
      <c r="Q1512" s="71"/>
      <c r="R1512" s="71"/>
      <c r="S1512" s="71"/>
    </row>
  </sheetData>
  <autoFilter ref="A2:AW1510" xr:uid="{BA146AE2-B311-4555-9ADE-FC30BFE69DEE}">
    <filterColumn colId="14" showButton="0"/>
  </autoFilter>
  <mergeCells count="21">
    <mergeCell ref="F2:F3"/>
    <mergeCell ref="G2:G3"/>
    <mergeCell ref="H2:H3"/>
    <mergeCell ref="A2:A3"/>
    <mergeCell ref="B2:B3"/>
    <mergeCell ref="C2:C3"/>
    <mergeCell ref="D2:D3"/>
    <mergeCell ref="E2:E3"/>
    <mergeCell ref="I1:J1"/>
    <mergeCell ref="AO13:AQ13"/>
    <mergeCell ref="R2:R3"/>
    <mergeCell ref="S2:S3"/>
    <mergeCell ref="L2:L3"/>
    <mergeCell ref="M2:M3"/>
    <mergeCell ref="N2:N3"/>
    <mergeCell ref="Q2:Q3"/>
    <mergeCell ref="K1:M1"/>
    <mergeCell ref="K2:K3"/>
    <mergeCell ref="I2:I3"/>
    <mergeCell ref="J2:J3"/>
    <mergeCell ref="O2:P2"/>
  </mergeCells>
  <phoneticPr fontId="21" type="noConversion"/>
  <conditionalFormatting sqref="O557:P1510">
    <cfRule type="expression" dxfId="17" priority="104">
      <formula>IF(AND($E557="special",OR($O557="",$P557="")),TRUE,FALSE)</formula>
    </cfRule>
  </conditionalFormatting>
  <conditionalFormatting sqref="A4:ZZ2005">
    <cfRule type="expression" dxfId="16" priority="99">
      <formula>ROW()=CELL("row")</formula>
    </cfRule>
  </conditionalFormatting>
  <conditionalFormatting sqref="X2:Y2">
    <cfRule type="expression" dxfId="15" priority="97">
      <formula>ROW()=CELL("row")</formula>
    </cfRule>
  </conditionalFormatting>
  <conditionalFormatting sqref="AF1">
    <cfRule type="expression" dxfId="14" priority="96">
      <formula>ROW()=CELL("row")</formula>
    </cfRule>
  </conditionalFormatting>
  <conditionalFormatting sqref="AS1:AT1">
    <cfRule type="expression" dxfId="13" priority="93">
      <formula>ROW()=CELL("row")</formula>
    </cfRule>
  </conditionalFormatting>
  <conditionalFormatting sqref="AF3:AO3">
    <cfRule type="expression" dxfId="12" priority="88">
      <formula>ROW()=CELL("row")</formula>
    </cfRule>
  </conditionalFormatting>
  <conditionalFormatting sqref="AF2:AL2">
    <cfRule type="expression" dxfId="11" priority="87">
      <formula>ROW()=CELL("row")</formula>
    </cfRule>
  </conditionalFormatting>
  <conditionalFormatting sqref="Q557:Q1510">
    <cfRule type="expression" dxfId="10" priority="201">
      <formula>IF(AND($E557="special",$K557="asphalted",$Q557=""),TRUE,FALSE)</formula>
    </cfRule>
    <cfRule type="expression" dxfId="9" priority="202">
      <formula>$Q557&gt;#REF!</formula>
    </cfRule>
  </conditionalFormatting>
  <conditionalFormatting sqref="E4:G4 E5:F1509 G5:G1510">
    <cfRule type="expression" dxfId="8" priority="33">
      <formula>AND($E4="mini-trench",OR(VALUE($F4)&gt;1,$G4&gt;2,AND(VALUE($F4)=1,$G4&gt;1)))</formula>
    </cfRule>
  </conditionalFormatting>
  <conditionalFormatting sqref="O4:P550">
    <cfRule type="expression" dxfId="7" priority="24">
      <formula>IF(AND($E4="special",OR($O4="",$P4="")),TRUE,FALSE)</formula>
    </cfRule>
  </conditionalFormatting>
  <conditionalFormatting sqref="Q4:Q550">
    <cfRule type="expression" dxfId="6" priority="23">
      <formula>IF(AND($E4="special",$K4="asphalted",$Q4=""),TRUE,FALSE)</formula>
    </cfRule>
    <cfRule type="expression" dxfId="5" priority="26">
      <formula>$Q4&gt;$S4</formula>
    </cfRule>
  </conditionalFormatting>
  <conditionalFormatting sqref="Q551:Q556">
    <cfRule type="expression" dxfId="4" priority="11">
      <formula>ROW()=CELL("row")</formula>
    </cfRule>
  </conditionalFormatting>
  <conditionalFormatting sqref="O551:P556">
    <cfRule type="expression" dxfId="3" priority="13">
      <formula>IF(AND($E551="special",OR($O551="",$P551="")),TRUE,FALSE)</formula>
    </cfRule>
  </conditionalFormatting>
  <conditionalFormatting sqref="Q551:Q556">
    <cfRule type="expression" dxfId="2" priority="12">
      <formula>IF(AND($E551="special",$K551="asphalted",$Q551=""),TRUE,FALSE)</formula>
    </cfRule>
    <cfRule type="expression" dxfId="1" priority="15">
      <formula>$Q551&gt;$S551</formula>
    </cfRule>
  </conditionalFormatting>
  <conditionalFormatting sqref="K4:K1505 E4:E1505">
    <cfRule type="expression" dxfId="0" priority="8">
      <formula>AND($E4="mini-trench",$K4&lt;&gt;"asphalted")</formula>
    </cfRule>
  </conditionalFormatting>
  <dataValidations count="14">
    <dataValidation type="custom" allowBlank="1" showInputMessage="1" showErrorMessage="1" errorTitle="CALBLES AMOUNT" error="1 MV or 2 LV CABLES IN MINI-TRENCH" sqref="F91:F99 F4:F89" xr:uid="{57FD9A75-1D3D-4996-B569-19428EC176D0}">
      <formula1>NOT(AND($G4="mini-trench",$H4&gt;0,$K4&gt;0))</formula1>
    </dataValidation>
    <dataValidation type="custom" allowBlank="1" showInputMessage="1" showErrorMessage="1" errorTitle="CALBLES AMOUNT" error="1 MV or 2 LV CABLES IN MINI-TRENCH" sqref="F90 F100:F1510" xr:uid="{35DF0CEB-3CE2-422D-823F-452F54F1FB1A}">
      <formula1>NOT(AND($E90="mini-trench",$F90&gt;0,$G90&gt;0))</formula1>
    </dataValidation>
    <dataValidation type="whole" operator="greaterThanOrEqual" allowBlank="1" showInputMessage="1" showErrorMessage="1" sqref="H4:J1510" xr:uid="{0A23A1CC-B2C5-4A8D-BE86-D735E6056E1E}">
      <formula1>0</formula1>
    </dataValidation>
    <dataValidation type="list" allowBlank="1" showInputMessage="1" showErrorMessage="1" errorTitle="only select type" error="only select type" sqref="E4:E1510" xr:uid="{BC4A2CED-2354-48AE-8A9A-69BEAF31CE3F}">
      <formula1>$AQ$1:$AT$1</formula1>
    </dataValidation>
    <dataValidation type="list" allowBlank="1" showInputMessage="1" showErrorMessage="1" sqref="K4:K1510" xr:uid="{B7726921-C203-4644-B4D0-D554C3A9DA7C}">
      <formula1>$V$2:$Z$2</formula1>
    </dataValidation>
    <dataValidation type="list" allowBlank="1" showInputMessage="1" showErrorMessage="1" sqref="L4:L1510" xr:uid="{6B24AD77-335C-4955-ABA8-B8242DF5D5E2}">
      <formula1>$V$3:$W$3</formula1>
    </dataValidation>
    <dataValidation type="list" allowBlank="1" showInputMessage="1" showErrorMessage="1" sqref="M4:M1510" xr:uid="{6F94FA83-028F-45B6-B91F-26E065EBFD3E}">
      <formula1>$AD$1:$AF$1</formula1>
    </dataValidation>
    <dataValidation type="decimal" operator="greaterThanOrEqual" allowBlank="1" showInputMessage="1" showErrorMessage="1" sqref="D1507:D1510" xr:uid="{295C2AA0-5C45-46A8-B8C9-D8391FA49BAA}">
      <formula1>0</formula1>
    </dataValidation>
    <dataValidation type="list" allowBlank="1" showInputMessage="1" showErrorMessage="1" sqref="N4:N1510" xr:uid="{46265BFE-7A18-46D2-8DEF-4883735956DF}">
      <formula1>$AN$1:$AO$1</formula1>
    </dataValidation>
    <dataValidation type="list" allowBlank="1" showInputMessage="1" showErrorMessage="1" sqref="B1501:B1510" xr:uid="{54EFD45F-EF7B-46EA-87B1-046C2E5A69C3}">
      <formula1>$AD$2:$AL$2</formula1>
    </dataValidation>
    <dataValidation type="list" allowBlank="1" showInputMessage="1" showErrorMessage="1" sqref="C1501:C1510" xr:uid="{914CC249-58D3-4AE5-BCDF-C905E84F48E8}">
      <formula1>$AD$3:$AO$3</formula1>
    </dataValidation>
    <dataValidation operator="greaterThanOrEqual" allowBlank="1" showInputMessage="1" showErrorMessage="1" sqref="G4:G1510" xr:uid="{48CA7CE2-CB65-4259-9640-04F30C79F4D0}"/>
    <dataValidation type="list" allowBlank="1" showInputMessage="1" showErrorMessage="1" sqref="B4:B1500" xr:uid="{F247F895-CBBB-42F1-AF6A-A1899C5919FD}">
      <formula1>$AC$2:$AK$2</formula1>
    </dataValidation>
    <dataValidation type="list" allowBlank="1" showInputMessage="1" showErrorMessage="1" sqref="C4:C1500" xr:uid="{D498A68A-776C-4BF8-B723-B6683A37F71A}">
      <formula1>$AD$3:$AL$3</formula1>
    </dataValidation>
  </dataValidations>
  <pageMargins left="0.7" right="0.7" top="0.75" bottom="0.75" header="0.3" footer="0.3"/>
  <pageSetup orientation="landscape" r:id="rId1"/>
  <headerFooter>
    <oddHeader xml:space="preserve">&amp;C&amp;K008004&amp;10&amp;"Calibri"Public Internal - عام (داخلي)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152400</xdr:colOff>
                    <xdr:row>0</xdr:row>
                    <xdr:rowOff>190500</xdr:rowOff>
                  </from>
                  <to>
                    <xdr:col>0</xdr:col>
                    <xdr:colOff>1181100</xdr:colOff>
                    <xdr:row>0</xdr:row>
                    <xdr:rowOff>711200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wc">
                <anchor moveWithCells="1" sizeWithCells="1">
                  <from>
                    <xdr:col>4</xdr:col>
                    <xdr:colOff>12700</xdr:colOff>
                    <xdr:row>0</xdr:row>
                    <xdr:rowOff>57150</xdr:rowOff>
                  </from>
                  <to>
                    <xdr:col>4</xdr:col>
                    <xdr:colOff>895350</xdr:colOff>
                    <xdr:row>0</xdr:row>
                    <xdr:rowOff>755650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Button 12">
              <controlPr defaultSize="0" print="0" autoFill="0" autoPict="0" macro="[0]!signshow" altText="">
                <anchor moveWithCells="1" sizeWithCells="1">
                  <from>
                    <xdr:col>6</xdr:col>
                    <xdr:colOff>387350</xdr:colOff>
                    <xdr:row>0</xdr:row>
                    <xdr:rowOff>76200</xdr:rowOff>
                  </from>
                  <to>
                    <xdr:col>7</xdr:col>
                    <xdr:colOff>342900</xdr:colOff>
                    <xdr:row>0</xdr:row>
                    <xdr:rowOff>717550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7" name="Button 15">
              <controlPr defaultSize="0" print="0" autoFill="0" autoPict="0" macro="[0]!UpdateCredit" altText="">
                <anchor moveWithCells="1" sizeWithCells="1">
                  <from>
                    <xdr:col>16</xdr:col>
                    <xdr:colOff>177800</xdr:colOff>
                    <xdr:row>0</xdr:row>
                    <xdr:rowOff>82550</xdr:rowOff>
                  </from>
                  <to>
                    <xdr:col>16</xdr:col>
                    <xdr:colOff>1003300</xdr:colOff>
                    <xdr:row>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8" name="Button 20">
              <controlPr defaultSize="0" print="0" autoFill="0" autoPict="0" macro="[0]!showBuyCredit" altText="">
                <anchor moveWithCells="1" sizeWithCells="1">
                  <from>
                    <xdr:col>15</xdr:col>
                    <xdr:colOff>82550</xdr:colOff>
                    <xdr:row>0</xdr:row>
                    <xdr:rowOff>82550</xdr:rowOff>
                  </from>
                  <to>
                    <xdr:col>15</xdr:col>
                    <xdr:colOff>850900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7F1D4-6085-4810-98E2-ADFF2D72FA85}">
  <sheetPr codeName="Sheet8"/>
  <dimension ref="A1"/>
  <sheetViews>
    <sheetView workbookViewId="0">
      <selection activeCell="G23" sqref="G23"/>
    </sheetView>
  </sheetViews>
  <sheetFormatPr defaultRowHeight="14.5" x14ac:dyDescent="0.35"/>
  <sheetData/>
  <sheetProtection algorithmName="SHA-512" hashValue="Khlv/33q/NQ9n5QL0GJFxJJDcsLKJnVeklkSEQu7DRjkZMT1YjVk/YAWuJ3xyyh3SHfM4HSgp6v++0P2YIJEJg==" saltValue="ZK3ShJ/6KsOCmqFmzsP8ig==" spinCount="100000" sheet="1" objects="1" scenarios="1"/>
  <pageMargins left="0.7" right="0.7" top="0.75" bottom="0.75" header="0.3" footer="0.3"/>
  <pageSetup orientation="portrait" r:id="rId1"/>
  <headerFooter>
    <oddHeader xml:space="preserve">&amp;C&amp;K008004&amp;10&amp;"Calibri"Public Internal - عام (داخلي) 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12FF-F274-466E-911C-BD04DA213F83}">
  <sheetPr codeName="Sheet7"/>
  <dimension ref="A1:F14"/>
  <sheetViews>
    <sheetView workbookViewId="0">
      <selection activeCell="A8" sqref="A8:B8"/>
    </sheetView>
  </sheetViews>
  <sheetFormatPr defaultColWidth="8.7265625" defaultRowHeight="14.5" x14ac:dyDescent="0.35"/>
  <cols>
    <col min="1" max="1" width="29.81640625" style="8" bestFit="1" customWidth="1"/>
    <col min="2" max="2" width="19.36328125" style="8" customWidth="1"/>
    <col min="3" max="3" width="20.08984375" style="8" hidden="1" customWidth="1"/>
    <col min="4" max="4" width="29.1796875" style="8" hidden="1" customWidth="1"/>
    <col min="5" max="6" width="8.7265625" style="8" hidden="1" customWidth="1"/>
    <col min="7" max="16384" width="8.7265625" style="8"/>
  </cols>
  <sheetData>
    <row r="1" spans="1:6" ht="29.5" thickTop="1" thickBot="1" x14ac:dyDescent="0.7">
      <c r="A1" s="263" t="s">
        <v>548</v>
      </c>
      <c r="B1" s="265"/>
      <c r="F1" s="8" t="s">
        <v>565</v>
      </c>
    </row>
    <row r="2" spans="1:6" ht="27.75" customHeight="1" thickTop="1" thickBot="1" x14ac:dyDescent="0.55000000000000004">
      <c r="A2" s="168" t="s">
        <v>546</v>
      </c>
      <c r="B2" s="167" t="s">
        <v>565</v>
      </c>
      <c r="C2" s="170" t="s">
        <v>555</v>
      </c>
      <c r="D2" s="170" t="s">
        <v>551</v>
      </c>
      <c r="F2" s="8" t="s">
        <v>650</v>
      </c>
    </row>
    <row r="3" spans="1:6" ht="37.15" customHeight="1" thickTop="1" thickBot="1" x14ac:dyDescent="0.55000000000000004">
      <c r="A3" s="168" t="s">
        <v>547</v>
      </c>
      <c r="B3" s="169"/>
      <c r="C3" s="171" t="s">
        <v>554</v>
      </c>
      <c r="D3" s="170" t="s">
        <v>549</v>
      </c>
    </row>
    <row r="4" spans="1:6" ht="40.75" customHeight="1" thickTop="1" x14ac:dyDescent="0.5">
      <c r="A4" s="170"/>
      <c r="B4" s="170"/>
      <c r="C4" s="61"/>
      <c r="D4" s="170" t="s">
        <v>550</v>
      </c>
    </row>
    <row r="5" spans="1:6" ht="21" x14ac:dyDescent="0.5">
      <c r="A5" s="170"/>
      <c r="B5" s="170"/>
    </row>
    <row r="6" spans="1:6" ht="21.5" thickBot="1" x14ac:dyDescent="0.55000000000000004">
      <c r="A6" s="170"/>
      <c r="B6" s="170"/>
    </row>
    <row r="7" spans="1:6" ht="29.5" thickTop="1" thickBot="1" x14ac:dyDescent="0.7">
      <c r="A7" s="263" t="s">
        <v>711</v>
      </c>
      <c r="B7" s="263"/>
    </row>
    <row r="8" spans="1:6" ht="22" thickTop="1" thickBot="1" x14ac:dyDescent="0.55000000000000004">
      <c r="A8" s="266" t="s">
        <v>557</v>
      </c>
      <c r="B8" s="264"/>
    </row>
    <row r="9" spans="1:6" ht="15.5" thickTop="1" thickBot="1" x14ac:dyDescent="0.4"/>
    <row r="10" spans="1:6" ht="29.5" thickTop="1" thickBot="1" x14ac:dyDescent="0.7">
      <c r="A10" s="263" t="s">
        <v>562</v>
      </c>
      <c r="B10" s="263"/>
    </row>
    <row r="11" spans="1:6" ht="29.5" thickTop="1" thickBot="1" x14ac:dyDescent="0.7">
      <c r="A11" s="172" t="s">
        <v>563</v>
      </c>
      <c r="B11" s="172">
        <f>Gsheet!$I$5</f>
        <v>1</v>
      </c>
    </row>
    <row r="12" spans="1:6" ht="29.5" thickTop="1" thickBot="1" x14ac:dyDescent="0.7">
      <c r="A12" s="172" t="s">
        <v>564</v>
      </c>
      <c r="B12" s="172">
        <f>Gsheet!$I$6</f>
        <v>1</v>
      </c>
    </row>
    <row r="13" spans="1:6" ht="22" thickTop="1" thickBot="1" x14ac:dyDescent="0.55000000000000004">
      <c r="A13" s="264" t="s">
        <v>648</v>
      </c>
      <c r="B13" s="264"/>
    </row>
    <row r="14" spans="1:6" ht="15" thickTop="1" x14ac:dyDescent="0.35"/>
  </sheetData>
  <sheetProtection algorithmName="SHA-512" hashValue="Fg4LuXKWzx6sna4oHJo/GSA5sgjB5rqaUOkxB9dmRY4HXiXMQ9QmalhTHd8iAhZ7hYEKN6q2TIY67wnFCgAfug==" saltValue="1PAxxQPxFX9Rzhx72gvIyw==" spinCount="100000" sheet="1" objects="1" scenarios="1"/>
  <mergeCells count="5">
    <mergeCell ref="A10:B10"/>
    <mergeCell ref="A13:B13"/>
    <mergeCell ref="A1:B1"/>
    <mergeCell ref="A7:B7"/>
    <mergeCell ref="A8:B8"/>
  </mergeCells>
  <dataValidations count="1">
    <dataValidation type="list" allowBlank="1" showInputMessage="1" showErrorMessage="1" sqref="B2" xr:uid="{16EE74B1-7BEC-4860-8CD6-D5228A6B05DD}">
      <formula1>$F$1:$F$2</formula1>
    </dataValidation>
  </dataValidations>
  <hyperlinks>
    <hyperlink ref="A8" r:id="rId1" xr:uid="{462DB216-7537-4BF8-96F1-A193265937E7}"/>
  </hyperlinks>
  <pageMargins left="0.7" right="0.7" top="0.75" bottom="0.75" header="0.3" footer="0.3"/>
  <pageSetup orientation="portrait" r:id="rId2"/>
  <headerFooter>
    <oddHeader xml:space="preserve">&amp;C&amp;K008004&amp;10&amp;"Calibri"Public Internal - عام (داخلي) 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etLanguage">
                <anchor moveWithCells="1" sizeWithCells="1">
                  <from>
                    <xdr:col>1</xdr:col>
                    <xdr:colOff>19050</xdr:colOff>
                    <xdr:row>2</xdr:row>
                    <xdr:rowOff>38100</xdr:rowOff>
                  </from>
                  <to>
                    <xdr:col>1</xdr:col>
                    <xdr:colOff>1346200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9BBC6-3335-4A5B-BEDD-13D4C18444AA}">
  <sheetPr codeName="Sheet10"/>
  <dimension ref="A1:I13"/>
  <sheetViews>
    <sheetView workbookViewId="0">
      <selection activeCell="I5" sqref="I5"/>
    </sheetView>
  </sheetViews>
  <sheetFormatPr defaultRowHeight="14.5" x14ac:dyDescent="0.35"/>
  <cols>
    <col min="1" max="1" width="23.81640625" bestFit="1" customWidth="1"/>
    <col min="2" max="2" width="14.453125" bestFit="1" customWidth="1"/>
    <col min="3" max="3" width="10.90625" bestFit="1" customWidth="1"/>
    <col min="4" max="4" width="11.36328125" bestFit="1" customWidth="1"/>
    <col min="5" max="5" width="10.81640625" bestFit="1" customWidth="1"/>
    <col min="8" max="8" width="19.7265625" bestFit="1" customWidth="1"/>
  </cols>
  <sheetData>
    <row r="1" spans="1:9" x14ac:dyDescent="0.35">
      <c r="A1" t="s">
        <v>673</v>
      </c>
      <c r="B1" t="s">
        <v>674</v>
      </c>
      <c r="C1" t="s">
        <v>552</v>
      </c>
      <c r="D1" t="s">
        <v>675</v>
      </c>
      <c r="E1" t="s">
        <v>692</v>
      </c>
      <c r="F1" t="s">
        <v>713</v>
      </c>
      <c r="G1" t="s">
        <v>714</v>
      </c>
      <c r="H1" t="s">
        <v>720</v>
      </c>
    </row>
    <row r="2" spans="1:9" x14ac:dyDescent="0.35">
      <c r="A2" t="s">
        <v>676</v>
      </c>
      <c r="B2" t="s">
        <v>677</v>
      </c>
      <c r="C2">
        <v>10</v>
      </c>
      <c r="D2" t="s">
        <v>678</v>
      </c>
    </row>
    <row r="3" spans="1:9" x14ac:dyDescent="0.35">
      <c r="A3" t="s">
        <v>679</v>
      </c>
      <c r="B3" t="s">
        <v>677</v>
      </c>
      <c r="C3">
        <v>10</v>
      </c>
      <c r="D3" t="s">
        <v>680</v>
      </c>
      <c r="H3" t="s">
        <v>715</v>
      </c>
    </row>
    <row r="4" spans="1:9" x14ac:dyDescent="0.35">
      <c r="A4" t="s">
        <v>681</v>
      </c>
      <c r="B4" t="s">
        <v>677</v>
      </c>
      <c r="C4">
        <v>10</v>
      </c>
      <c r="D4" t="s">
        <v>680</v>
      </c>
      <c r="H4">
        <v>5</v>
      </c>
    </row>
    <row r="5" spans="1:9" x14ac:dyDescent="0.35">
      <c r="A5" t="s">
        <v>684</v>
      </c>
      <c r="B5" t="s">
        <v>685</v>
      </c>
      <c r="C5">
        <v>20</v>
      </c>
      <c r="D5" t="s">
        <v>686</v>
      </c>
      <c r="I5">
        <v>1</v>
      </c>
    </row>
    <row r="6" spans="1:9" x14ac:dyDescent="0.35">
      <c r="A6" t="s">
        <v>687</v>
      </c>
      <c r="B6" t="s">
        <v>677</v>
      </c>
      <c r="C6">
        <v>10</v>
      </c>
      <c r="D6" t="s">
        <v>686</v>
      </c>
      <c r="I6">
        <v>1</v>
      </c>
    </row>
    <row r="7" spans="1:9" x14ac:dyDescent="0.35">
      <c r="A7" t="s">
        <v>688</v>
      </c>
      <c r="B7" t="s">
        <v>677</v>
      </c>
      <c r="C7">
        <v>10</v>
      </c>
      <c r="D7" t="s">
        <v>686</v>
      </c>
    </row>
    <row r="8" spans="1:9" x14ac:dyDescent="0.35">
      <c r="A8" t="s">
        <v>689</v>
      </c>
      <c r="B8" t="s">
        <v>677</v>
      </c>
      <c r="C8">
        <v>10</v>
      </c>
      <c r="D8" t="s">
        <v>686</v>
      </c>
    </row>
    <row r="9" spans="1:9" x14ac:dyDescent="0.35">
      <c r="A9" t="s">
        <v>690</v>
      </c>
      <c r="B9" t="s">
        <v>683</v>
      </c>
      <c r="C9">
        <v>5</v>
      </c>
      <c r="D9" t="s">
        <v>691</v>
      </c>
    </row>
    <row r="10" spans="1:9" x14ac:dyDescent="0.35">
      <c r="A10" t="s">
        <v>693</v>
      </c>
      <c r="B10" t="s">
        <v>694</v>
      </c>
      <c r="C10">
        <v>10</v>
      </c>
      <c r="D10" t="s">
        <v>691</v>
      </c>
    </row>
    <row r="11" spans="1:9" x14ac:dyDescent="0.35">
      <c r="A11" t="s">
        <v>696</v>
      </c>
      <c r="B11">
        <v>123</v>
      </c>
      <c r="C11">
        <v>110</v>
      </c>
      <c r="D11" t="s">
        <v>697</v>
      </c>
      <c r="E11" t="s">
        <v>717</v>
      </c>
      <c r="F11">
        <v>22</v>
      </c>
    </row>
    <row r="12" spans="1:9" x14ac:dyDescent="0.35">
      <c r="A12" t="s">
        <v>682</v>
      </c>
      <c r="B12">
        <v>123</v>
      </c>
      <c r="C12">
        <v>5</v>
      </c>
      <c r="D12" t="s">
        <v>716</v>
      </c>
    </row>
    <row r="13" spans="1:9" x14ac:dyDescent="0.35">
      <c r="A13" t="s">
        <v>721</v>
      </c>
      <c r="B13">
        <v>111</v>
      </c>
      <c r="C13">
        <v>10</v>
      </c>
      <c r="D13" t="s">
        <v>722</v>
      </c>
    </row>
  </sheetData>
  <sheetProtection algorithmName="SHA-512" hashValue="glZX+QoXMF35T2JS+bWAEuxnhtYBFe87XxJR0TCgadZrmGHVeXscLZQspSJ/f4H3YtnB9JlHhR1GEUA1vzohfQ==" saltValue="hSQIshQjImgrygeeHTYgOQ==" spinCount="100000" sheet="1" objects="1" scenarios="1"/>
  <pageMargins left="0.7" right="0.7" top="0.75" bottom="0.75" header="0.3" footer="0.3"/>
  <pageSetup orientation="portrait" r:id="rId1"/>
  <headerFooter>
    <oddHeader xml:space="preserve">&amp;C&amp;K008004&amp;10&amp;"Calibri"Public Internal - عام (داخلي)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70AF-4F36-498F-8520-EB030513A391}">
  <sheetPr codeName="Sheet6"/>
  <dimension ref="A1:V94"/>
  <sheetViews>
    <sheetView zoomScale="120" zoomScaleNormal="120" workbookViewId="0">
      <selection activeCell="F3" sqref="F3:F5"/>
    </sheetView>
  </sheetViews>
  <sheetFormatPr defaultColWidth="8.81640625" defaultRowHeight="14.5" x14ac:dyDescent="0.35"/>
  <cols>
    <col min="1" max="1" width="11.08984375" style="8" bestFit="1" customWidth="1"/>
    <col min="2" max="2" width="15.90625" style="8" bestFit="1" customWidth="1"/>
    <col min="3" max="3" width="23.453125" style="8" customWidth="1"/>
    <col min="4" max="4" width="10.90625" style="8" bestFit="1" customWidth="1"/>
    <col min="5" max="5" width="18.453125" style="8" bestFit="1" customWidth="1"/>
    <col min="6" max="6" width="18.453125" style="8" customWidth="1"/>
    <col min="7" max="7" width="15.36328125" style="8" bestFit="1" customWidth="1"/>
    <col min="8" max="8" width="15.81640625" style="8" hidden="1" customWidth="1"/>
    <col min="9" max="9" width="20" style="8" hidden="1" customWidth="1"/>
    <col min="10" max="10" width="46.1796875" style="8" hidden="1" customWidth="1"/>
    <col min="11" max="11" width="17.36328125" style="8" hidden="1" customWidth="1"/>
    <col min="12" max="12" width="14.6328125" style="8" hidden="1" customWidth="1"/>
    <col min="13" max="16" width="8.81640625" style="8" hidden="1" customWidth="1"/>
    <col min="17" max="17" width="13.1796875" style="8" hidden="1" customWidth="1"/>
    <col min="18" max="18" width="11.08984375" style="8" hidden="1" customWidth="1"/>
    <col min="19" max="19" width="3.81640625" style="8" hidden="1" customWidth="1"/>
    <col min="20" max="22" width="8.81640625" style="8" hidden="1" customWidth="1"/>
    <col min="23" max="16384" width="8.81640625" style="8"/>
  </cols>
  <sheetData>
    <row r="1" spans="1:19" ht="21.5" thickBot="1" x14ac:dyDescent="0.55000000000000004">
      <c r="A1" s="273" t="s">
        <v>335</v>
      </c>
      <c r="B1" s="273"/>
      <c r="C1" s="273"/>
      <c r="D1" s="273"/>
      <c r="E1" s="273"/>
      <c r="F1" s="273"/>
      <c r="G1" s="274"/>
      <c r="H1" s="85" t="s">
        <v>299</v>
      </c>
      <c r="I1" s="85" t="s">
        <v>300</v>
      </c>
      <c r="J1" s="85" t="s">
        <v>301</v>
      </c>
      <c r="K1" s="86"/>
      <c r="L1" s="86"/>
      <c r="O1" s="8" t="s">
        <v>340</v>
      </c>
      <c r="P1" s="8" t="s">
        <v>294</v>
      </c>
      <c r="Q1" s="8" t="s">
        <v>342</v>
      </c>
      <c r="R1" s="8" t="s">
        <v>442</v>
      </c>
      <c r="S1" s="8">
        <v>20</v>
      </c>
    </row>
    <row r="2" spans="1:19" ht="19" thickBot="1" x14ac:dyDescent="0.5">
      <c r="A2" s="279" t="s">
        <v>298</v>
      </c>
      <c r="B2" s="280"/>
      <c r="C2" s="281"/>
      <c r="D2" s="85" t="s">
        <v>336</v>
      </c>
      <c r="E2" s="85" t="s">
        <v>287</v>
      </c>
      <c r="F2" s="85" t="s">
        <v>506</v>
      </c>
      <c r="G2" s="85" t="s">
        <v>507</v>
      </c>
      <c r="H2" s="87">
        <v>1010101007</v>
      </c>
      <c r="I2" s="87"/>
      <c r="J2" s="86" t="s">
        <v>303</v>
      </c>
      <c r="K2" s="86"/>
      <c r="L2" s="86"/>
      <c r="O2" s="8" t="s">
        <v>341</v>
      </c>
      <c r="P2" s="8" t="s">
        <v>295</v>
      </c>
      <c r="Q2" s="8" t="s">
        <v>343</v>
      </c>
      <c r="R2" s="8" t="s">
        <v>443</v>
      </c>
      <c r="S2" s="8">
        <v>30</v>
      </c>
    </row>
    <row r="3" spans="1:19" ht="19" thickBot="1" x14ac:dyDescent="0.5">
      <c r="A3" s="270"/>
      <c r="B3" s="271"/>
      <c r="C3" s="272"/>
      <c r="D3" s="97"/>
      <c r="E3" s="97"/>
      <c r="F3" s="276"/>
      <c r="G3" s="276"/>
      <c r="H3" s="87">
        <v>1010101006</v>
      </c>
      <c r="I3" s="87"/>
      <c r="J3" s="86" t="s">
        <v>304</v>
      </c>
      <c r="K3" s="86"/>
      <c r="L3" s="86"/>
      <c r="P3" s="8" t="s">
        <v>296</v>
      </c>
      <c r="R3" s="8" t="s">
        <v>444</v>
      </c>
      <c r="S3" s="8">
        <v>40</v>
      </c>
    </row>
    <row r="4" spans="1:19" ht="19" thickBot="1" x14ac:dyDescent="0.5">
      <c r="A4" s="270"/>
      <c r="B4" s="271"/>
      <c r="C4" s="272"/>
      <c r="D4" s="97"/>
      <c r="E4" s="97"/>
      <c r="F4" s="277"/>
      <c r="G4" s="277"/>
      <c r="H4" s="87">
        <v>1010101005</v>
      </c>
      <c r="I4" s="87"/>
      <c r="J4" s="86" t="s">
        <v>305</v>
      </c>
      <c r="K4" s="86"/>
      <c r="L4" s="86"/>
      <c r="M4" s="8">
        <f>SUM(E3:E5)*2</f>
        <v>0</v>
      </c>
      <c r="R4" s="8" t="s">
        <v>477</v>
      </c>
      <c r="S4" s="8">
        <v>50</v>
      </c>
    </row>
    <row r="5" spans="1:19" ht="19" thickBot="1" x14ac:dyDescent="0.5">
      <c r="A5" s="270"/>
      <c r="B5" s="271"/>
      <c r="C5" s="272"/>
      <c r="D5" s="97"/>
      <c r="E5" s="97"/>
      <c r="F5" s="278"/>
      <c r="G5" s="278"/>
      <c r="H5" s="87">
        <v>1010301001</v>
      </c>
      <c r="I5" s="87"/>
      <c r="J5" s="86" t="s">
        <v>310</v>
      </c>
      <c r="K5" s="86"/>
      <c r="L5" s="86"/>
      <c r="R5" s="8" t="s">
        <v>478</v>
      </c>
      <c r="S5" s="8">
        <v>70</v>
      </c>
    </row>
    <row r="6" spans="1:19" ht="21.5" thickBot="1" x14ac:dyDescent="0.55000000000000004">
      <c r="A6" s="275" t="s">
        <v>337</v>
      </c>
      <c r="B6" s="273"/>
      <c r="C6" s="273"/>
      <c r="D6" s="273"/>
      <c r="E6" s="273"/>
      <c r="F6" s="273"/>
      <c r="G6" s="274"/>
      <c r="H6" s="87">
        <v>1010301002</v>
      </c>
      <c r="I6" s="87"/>
      <c r="J6" s="86" t="s">
        <v>311</v>
      </c>
      <c r="K6" s="86"/>
      <c r="L6" s="86"/>
      <c r="R6" s="8" t="s">
        <v>479</v>
      </c>
      <c r="S6" s="8">
        <v>100</v>
      </c>
    </row>
    <row r="7" spans="1:19" ht="19" thickBot="1" x14ac:dyDescent="0.5">
      <c r="A7" s="85" t="s">
        <v>298</v>
      </c>
      <c r="B7" s="85" t="s">
        <v>338</v>
      </c>
      <c r="C7" s="85" t="s">
        <v>339</v>
      </c>
      <c r="D7" s="85" t="s">
        <v>336</v>
      </c>
      <c r="E7" s="85" t="s">
        <v>287</v>
      </c>
      <c r="F7" s="85" t="s">
        <v>506</v>
      </c>
      <c r="G7" s="85" t="s">
        <v>507</v>
      </c>
      <c r="H7" s="87">
        <v>1010301003</v>
      </c>
      <c r="I7" s="87"/>
      <c r="J7" s="86" t="s">
        <v>312</v>
      </c>
      <c r="K7" s="86"/>
      <c r="L7" s="86"/>
      <c r="S7" s="8">
        <v>125</v>
      </c>
    </row>
    <row r="8" spans="1:19" ht="19" thickBot="1" x14ac:dyDescent="0.5">
      <c r="A8" s="138"/>
      <c r="B8" s="97"/>
      <c r="C8" s="97"/>
      <c r="D8" s="97"/>
      <c r="E8" s="97"/>
      <c r="F8" s="276"/>
      <c r="G8" s="276"/>
      <c r="H8" s="87">
        <v>1010201003</v>
      </c>
      <c r="I8" s="87"/>
      <c r="J8" s="86" t="s">
        <v>306</v>
      </c>
      <c r="K8" s="86"/>
      <c r="L8" s="86"/>
      <c r="S8" s="8">
        <v>150</v>
      </c>
    </row>
    <row r="9" spans="1:19" ht="19" thickBot="1" x14ac:dyDescent="0.5">
      <c r="A9" s="138"/>
      <c r="B9" s="97"/>
      <c r="C9" s="97"/>
      <c r="D9" s="97"/>
      <c r="E9" s="97"/>
      <c r="F9" s="277"/>
      <c r="G9" s="277"/>
      <c r="H9" s="87">
        <v>1010201002</v>
      </c>
      <c r="I9" s="87"/>
      <c r="J9" s="86" t="s">
        <v>307</v>
      </c>
      <c r="K9" s="86"/>
      <c r="L9" s="86"/>
      <c r="S9" s="8">
        <v>200</v>
      </c>
    </row>
    <row r="10" spans="1:19" ht="19" thickBot="1" x14ac:dyDescent="0.5">
      <c r="A10" s="138"/>
      <c r="B10" s="97"/>
      <c r="C10" s="97"/>
      <c r="D10" s="97"/>
      <c r="E10" s="97"/>
      <c r="F10" s="278"/>
      <c r="G10" s="278"/>
      <c r="H10" s="87">
        <v>1010201001</v>
      </c>
      <c r="I10" s="87"/>
      <c r="J10" s="86" t="s">
        <v>308</v>
      </c>
      <c r="K10" s="86"/>
      <c r="L10" s="86"/>
      <c r="S10" s="8">
        <v>250</v>
      </c>
    </row>
    <row r="11" spans="1:19" ht="21.5" thickBot="1" x14ac:dyDescent="0.55000000000000004">
      <c r="A11" s="269" t="s">
        <v>440</v>
      </c>
      <c r="B11" s="269"/>
      <c r="C11" s="269"/>
      <c r="D11" s="269"/>
      <c r="E11" s="269"/>
      <c r="F11" s="137"/>
      <c r="H11" s="87">
        <v>1010401001</v>
      </c>
      <c r="I11" s="87"/>
      <c r="J11" s="86" t="s">
        <v>309</v>
      </c>
      <c r="K11" s="86"/>
      <c r="L11" s="86"/>
      <c r="S11" s="8">
        <v>300</v>
      </c>
    </row>
    <row r="12" spans="1:19" ht="19" thickBot="1" x14ac:dyDescent="0.5">
      <c r="A12" s="85" t="s">
        <v>298</v>
      </c>
      <c r="B12" s="85" t="s">
        <v>95</v>
      </c>
      <c r="C12" s="85" t="s">
        <v>298</v>
      </c>
      <c r="D12" s="85" t="s">
        <v>95</v>
      </c>
      <c r="H12" s="87">
        <v>1030201001</v>
      </c>
      <c r="I12" s="87">
        <f>SUM(I15:I20)</f>
        <v>0</v>
      </c>
      <c r="J12" s="86" t="s">
        <v>445</v>
      </c>
      <c r="K12" s="86"/>
      <c r="L12" s="86"/>
      <c r="S12" s="8">
        <v>400</v>
      </c>
    </row>
    <row r="13" spans="1:19" ht="19" thickBot="1" x14ac:dyDescent="0.5">
      <c r="A13" s="97"/>
      <c r="B13" s="97"/>
      <c r="C13" s="97"/>
      <c r="D13" s="97"/>
      <c r="H13" s="87">
        <v>1030201002</v>
      </c>
      <c r="I13" s="87">
        <f>SUM(I21:I22)</f>
        <v>0</v>
      </c>
      <c r="J13" s="86" t="s">
        <v>446</v>
      </c>
      <c r="K13" s="86"/>
      <c r="L13" s="86"/>
      <c r="S13" s="8">
        <v>600</v>
      </c>
    </row>
    <row r="14" spans="1:19" ht="19" thickBot="1" x14ac:dyDescent="0.5">
      <c r="A14" s="97"/>
      <c r="B14" s="97"/>
      <c r="C14" s="97"/>
      <c r="D14" s="97"/>
      <c r="H14" s="87">
        <v>1030201003</v>
      </c>
      <c r="I14" s="87">
        <f>SUM(I23:I29)+(SUMIF(A8:A10,"MAIN CB",D8:D10)+SUM(K49:L51))</f>
        <v>0</v>
      </c>
      <c r="J14" s="86" t="s">
        <v>447</v>
      </c>
      <c r="K14" s="86"/>
      <c r="L14" s="86"/>
      <c r="S14" s="8">
        <v>800</v>
      </c>
    </row>
    <row r="15" spans="1:19" ht="19" thickBot="1" x14ac:dyDescent="0.5">
      <c r="A15" s="97"/>
      <c r="B15" s="97"/>
      <c r="C15" s="97"/>
      <c r="D15" s="97"/>
      <c r="H15" s="87">
        <v>1030301001</v>
      </c>
      <c r="I15" s="87">
        <f>SUMIF(A13:A15,20,B13:B15)+SUMIF(C13:C15,20,D13:D15)</f>
        <v>0</v>
      </c>
      <c r="J15" s="87" t="s">
        <v>448</v>
      </c>
      <c r="K15" s="86"/>
      <c r="L15" s="86"/>
    </row>
    <row r="16" spans="1:19" ht="19" thickBot="1" x14ac:dyDescent="0.5">
      <c r="A16" s="267" t="s">
        <v>441</v>
      </c>
      <c r="B16" s="268"/>
      <c r="H16" s="87">
        <v>1030301002</v>
      </c>
      <c r="I16" s="87">
        <f>SUMIF(A13:A15,30,B13:B15)+SUMIF(C13:C15,30,D13:D15)</f>
        <v>0</v>
      </c>
      <c r="J16" s="87" t="s">
        <v>449</v>
      </c>
      <c r="K16" s="86"/>
      <c r="L16" s="86"/>
    </row>
    <row r="17" spans="1:12" ht="19" thickBot="1" x14ac:dyDescent="0.5">
      <c r="A17" s="85" t="s">
        <v>298</v>
      </c>
      <c r="B17" s="85" t="s">
        <v>95</v>
      </c>
      <c r="H17" s="87">
        <v>1030301003</v>
      </c>
      <c r="I17" s="87">
        <f>SUMIF(A13:A15,40,B13:B15)+SUMIF(C13:C15,40,D13:D15)</f>
        <v>0</v>
      </c>
      <c r="J17" s="87" t="s">
        <v>450</v>
      </c>
      <c r="K17" s="86"/>
      <c r="L17" s="86"/>
    </row>
    <row r="18" spans="1:12" ht="19" thickBot="1" x14ac:dyDescent="0.5">
      <c r="A18" s="97"/>
      <c r="B18" s="97"/>
      <c r="H18" s="87">
        <v>1030301004</v>
      </c>
      <c r="I18" s="87">
        <f>SUMIF(A13:A15,50,B13:B15)+SUMIF(C13:C15,50,D13:D15)</f>
        <v>0</v>
      </c>
      <c r="J18" s="87" t="s">
        <v>451</v>
      </c>
      <c r="K18" s="86"/>
      <c r="L18" s="86"/>
    </row>
    <row r="19" spans="1:12" ht="19" thickBot="1" x14ac:dyDescent="0.5">
      <c r="A19" s="97"/>
      <c r="B19" s="97"/>
      <c r="H19" s="87">
        <v>1030301005</v>
      </c>
      <c r="I19" s="87">
        <f>SUMIF(A13:A15,70,B13:B15)+SUMIF(C13:C15,70,D13:D15)</f>
        <v>0</v>
      </c>
      <c r="J19" s="87" t="s">
        <v>452</v>
      </c>
      <c r="K19" s="86"/>
      <c r="L19" s="86"/>
    </row>
    <row r="20" spans="1:12" ht="19" thickBot="1" x14ac:dyDescent="0.5">
      <c r="A20" s="97"/>
      <c r="B20" s="97"/>
      <c r="H20" s="87">
        <v>1030301006</v>
      </c>
      <c r="I20" s="87">
        <f>SUMIF(A13:A15,100,B13:B15)+SUMIF(C13:C15,100,D13:D15)</f>
        <v>0</v>
      </c>
      <c r="J20" s="87" t="s">
        <v>453</v>
      </c>
      <c r="K20" s="86"/>
      <c r="L20" s="86"/>
    </row>
    <row r="21" spans="1:12" ht="19" thickBot="1" x14ac:dyDescent="0.5">
      <c r="A21" s="97"/>
      <c r="B21" s="97"/>
      <c r="H21" s="87">
        <v>1030301007</v>
      </c>
      <c r="I21" s="87">
        <f>SUMIF(A13:A15,125,B13:B15)+SUMIF(C13:C15,125,D13:D15)</f>
        <v>0</v>
      </c>
      <c r="J21" s="87" t="s">
        <v>454</v>
      </c>
      <c r="K21" s="86"/>
      <c r="L21" s="86"/>
    </row>
    <row r="22" spans="1:12" ht="19" thickBot="1" x14ac:dyDescent="0.5">
      <c r="A22" s="97"/>
      <c r="B22" s="97"/>
      <c r="H22" s="87">
        <v>1030301008</v>
      </c>
      <c r="I22" s="87">
        <f>SUMIF(A13:A15,150,B13:B15)+SUMIF(C13:C15,150,D13:D15)</f>
        <v>0</v>
      </c>
      <c r="J22" s="87" t="s">
        <v>455</v>
      </c>
      <c r="K22" s="86"/>
      <c r="L22" s="86"/>
    </row>
    <row r="23" spans="1:12" ht="19" thickBot="1" x14ac:dyDescent="0.5">
      <c r="A23" s="97"/>
      <c r="B23" s="97"/>
      <c r="H23" s="87">
        <v>1030301009</v>
      </c>
      <c r="I23" s="87">
        <f>SUMIF(A13:A15,200,B13:B15)+SUMIF(C13:C15,200,D13:D15)</f>
        <v>0</v>
      </c>
      <c r="J23" s="87" t="s">
        <v>456</v>
      </c>
      <c r="K23" s="86"/>
      <c r="L23" s="86"/>
    </row>
    <row r="24" spans="1:12" ht="19" thickBot="1" x14ac:dyDescent="0.5">
      <c r="H24" s="87">
        <v>1030301010</v>
      </c>
      <c r="I24" s="87">
        <f>SUMIF(A13:A15,250,B13:B15)+SUMIF(C13:C15,250,D13:D15)</f>
        <v>0</v>
      </c>
      <c r="J24" s="87" t="s">
        <v>457</v>
      </c>
      <c r="K24" s="86"/>
      <c r="L24" s="86"/>
    </row>
    <row r="25" spans="1:12" ht="19" thickBot="1" x14ac:dyDescent="0.5">
      <c r="H25" s="87">
        <v>1030301011</v>
      </c>
      <c r="I25" s="87">
        <f>SUMIF(A13:A15,300,B13:B15)+SUMIF(C13:C15,300,D13:D15)</f>
        <v>0</v>
      </c>
      <c r="J25" s="87" t="s">
        <v>458</v>
      </c>
      <c r="K25" s="86"/>
      <c r="L25" s="86"/>
    </row>
    <row r="26" spans="1:12" ht="19" thickBot="1" x14ac:dyDescent="0.5">
      <c r="H26" s="87">
        <v>1030301012</v>
      </c>
      <c r="I26" s="87">
        <f>SUMIF(A13:A15,400,B13:B15)+SUMIF(C13:C15,400,D13:D15)</f>
        <v>0</v>
      </c>
      <c r="J26" s="87" t="s">
        <v>459</v>
      </c>
      <c r="K26" s="86"/>
      <c r="L26" s="86"/>
    </row>
    <row r="27" spans="1:12" ht="19" thickBot="1" x14ac:dyDescent="0.5">
      <c r="H27" s="87">
        <v>1030301013</v>
      </c>
      <c r="I27" s="87">
        <f>SUMIF(A13:A15,500,B13:B15)+SUMIF(C13:C15,500,D13:D15)</f>
        <v>0</v>
      </c>
      <c r="J27" s="87" t="s">
        <v>460</v>
      </c>
      <c r="K27" s="86"/>
      <c r="L27" s="86"/>
    </row>
    <row r="28" spans="1:12" ht="19" thickBot="1" x14ac:dyDescent="0.5">
      <c r="H28" s="87">
        <v>1030301014</v>
      </c>
      <c r="I28" s="87">
        <f>SUMIF(A13:A15,600,B13:B15)+SUMIF(C13:C15,600,D13:D15)</f>
        <v>0</v>
      </c>
      <c r="J28" s="87" t="s">
        <v>461</v>
      </c>
      <c r="K28" s="87"/>
      <c r="L28" s="86"/>
    </row>
    <row r="29" spans="1:12" ht="19" thickBot="1" x14ac:dyDescent="0.5">
      <c r="H29" s="87">
        <v>1030301015</v>
      </c>
      <c r="I29" s="87">
        <f>SUMIF(A13:A15,800,B13:B15)+SUMIF(C13:C15,800,D13:D15)</f>
        <v>0</v>
      </c>
      <c r="J29" s="87" t="s">
        <v>462</v>
      </c>
      <c r="K29" s="87"/>
      <c r="L29" s="86"/>
    </row>
    <row r="30" spans="1:12" ht="19" thickBot="1" x14ac:dyDescent="0.5">
      <c r="H30" s="87">
        <v>1030401002</v>
      </c>
      <c r="I30" s="87">
        <f>$I$23</f>
        <v>0</v>
      </c>
      <c r="J30" s="87" t="s">
        <v>463</v>
      </c>
      <c r="K30" s="87"/>
      <c r="L30" s="86"/>
    </row>
    <row r="31" spans="1:12" ht="19" thickBot="1" x14ac:dyDescent="0.5">
      <c r="H31" s="87">
        <v>1030401003</v>
      </c>
      <c r="I31" s="87">
        <f>$I$24</f>
        <v>0</v>
      </c>
      <c r="J31" s="87" t="s">
        <v>464</v>
      </c>
      <c r="K31" s="87"/>
      <c r="L31" s="86"/>
    </row>
    <row r="32" spans="1:12" ht="19" thickBot="1" x14ac:dyDescent="0.5">
      <c r="H32" s="87">
        <v>1030401004</v>
      </c>
      <c r="I32" s="87">
        <f>$I$25</f>
        <v>0</v>
      </c>
      <c r="J32" s="87" t="s">
        <v>465</v>
      </c>
      <c r="K32" s="86"/>
      <c r="L32" s="86"/>
    </row>
    <row r="33" spans="2:12" ht="19" thickBot="1" x14ac:dyDescent="0.5">
      <c r="H33" s="87">
        <v>1030401005</v>
      </c>
      <c r="I33" s="87">
        <f>$I$26</f>
        <v>0</v>
      </c>
      <c r="J33" s="87" t="s">
        <v>466</v>
      </c>
      <c r="K33" s="86"/>
      <c r="L33" s="86"/>
    </row>
    <row r="34" spans="2:12" ht="19" thickBot="1" x14ac:dyDescent="0.5">
      <c r="H34" s="87">
        <v>1030401006</v>
      </c>
      <c r="I34" s="87">
        <f>$I$27</f>
        <v>0</v>
      </c>
      <c r="J34" s="87" t="s">
        <v>467</v>
      </c>
      <c r="K34" s="86"/>
      <c r="L34" s="86"/>
    </row>
    <row r="35" spans="2:12" ht="19" thickBot="1" x14ac:dyDescent="0.5">
      <c r="H35" s="87">
        <v>1030401007</v>
      </c>
      <c r="I35" s="87">
        <f>$I$28</f>
        <v>0</v>
      </c>
      <c r="J35" s="87" t="s">
        <v>468</v>
      </c>
      <c r="K35" s="86"/>
      <c r="L35" s="86"/>
    </row>
    <row r="36" spans="2:12" ht="19" thickBot="1" x14ac:dyDescent="0.5">
      <c r="H36" s="87">
        <v>1030101001</v>
      </c>
      <c r="I36" s="87">
        <f>SUMIF(A17:A23,"SINGLE",B17:B23)</f>
        <v>0</v>
      </c>
      <c r="J36" s="87" t="s">
        <v>470</v>
      </c>
      <c r="K36" s="86"/>
      <c r="L36" s="86"/>
    </row>
    <row r="37" spans="2:12" ht="19" thickBot="1" x14ac:dyDescent="0.5">
      <c r="H37" s="87">
        <v>1030101002</v>
      </c>
      <c r="I37" s="87">
        <f>SUMIF(A17:A20,"DOUBLE",B17:B20)</f>
        <v>0</v>
      </c>
      <c r="J37" s="87" t="s">
        <v>471</v>
      </c>
      <c r="K37" s="86"/>
      <c r="L37" s="86"/>
    </row>
    <row r="38" spans="2:12" ht="19" thickBot="1" x14ac:dyDescent="0.5">
      <c r="H38" s="87">
        <v>1030101003</v>
      </c>
      <c r="I38" s="87">
        <f>SUMIF(A17:A20,"QUADRABLE",B17:B20)</f>
        <v>0</v>
      </c>
      <c r="J38" s="87" t="s">
        <v>472</v>
      </c>
      <c r="K38" s="86"/>
      <c r="L38" s="86"/>
    </row>
    <row r="39" spans="2:12" ht="19" thickBot="1" x14ac:dyDescent="0.5">
      <c r="H39" s="87">
        <v>1030101004</v>
      </c>
      <c r="I39" s="87">
        <f>SUMIF(A17:A20,"CT 200/250",B17:B20)</f>
        <v>0</v>
      </c>
      <c r="J39" s="87" t="s">
        <v>473</v>
      </c>
      <c r="K39" s="86"/>
      <c r="L39" s="86"/>
    </row>
    <row r="40" spans="2:12" ht="19" thickBot="1" x14ac:dyDescent="0.5">
      <c r="H40" s="87">
        <v>1030101005</v>
      </c>
      <c r="I40" s="87">
        <f>SUMIF(A17:A20,"CT 300/400",B17:B20)</f>
        <v>0</v>
      </c>
      <c r="J40" s="87" t="s">
        <v>474</v>
      </c>
      <c r="K40" s="86"/>
      <c r="L40" s="86"/>
    </row>
    <row r="41" spans="2:12" ht="19" thickBot="1" x14ac:dyDescent="0.5">
      <c r="H41" s="87">
        <v>1030101006</v>
      </c>
      <c r="I41" s="87">
        <f>SUMIF(A17:A20,"CT 500/600",B17:B20)</f>
        <v>0</v>
      </c>
      <c r="J41" s="87" t="s">
        <v>475</v>
      </c>
      <c r="K41" s="86"/>
      <c r="L41" s="86"/>
    </row>
    <row r="42" spans="2:12" ht="19" thickBot="1" x14ac:dyDescent="0.5">
      <c r="H42" s="87">
        <v>1030101007</v>
      </c>
      <c r="I42" s="87">
        <f>$I$29</f>
        <v>0</v>
      </c>
      <c r="J42" s="87" t="s">
        <v>476</v>
      </c>
      <c r="K42" s="86"/>
      <c r="L42" s="86"/>
    </row>
    <row r="43" spans="2:12" ht="19" thickBot="1" x14ac:dyDescent="0.5">
      <c r="H43" s="87">
        <v>1030501002</v>
      </c>
      <c r="I43" s="87">
        <f>(SUMIF(A8:A10,"MAIN CB",D8:D10)+SUM(K49:L51))*6</f>
        <v>0</v>
      </c>
      <c r="J43" s="87" t="s">
        <v>469</v>
      </c>
      <c r="K43" s="86"/>
      <c r="L43" s="86"/>
    </row>
    <row r="44" spans="2:12" ht="19" thickBot="1" x14ac:dyDescent="0.5">
      <c r="H44" s="87">
        <v>1030101008</v>
      </c>
      <c r="I44" s="87">
        <f>(SUMIF(A8:A10,"MAIN CB",D8:D10)+SUM(K49:L51))</f>
        <v>0</v>
      </c>
      <c r="J44" s="87" t="s">
        <v>500</v>
      </c>
      <c r="K44" s="86"/>
      <c r="L44" s="86"/>
    </row>
    <row r="45" spans="2:12" ht="19" thickBot="1" x14ac:dyDescent="0.5">
      <c r="B45" s="111"/>
      <c r="C45" s="112"/>
      <c r="H45" s="87"/>
      <c r="I45" s="87"/>
      <c r="J45" s="87"/>
      <c r="K45" s="86"/>
      <c r="L45" s="86"/>
    </row>
    <row r="46" spans="2:12" ht="19" thickBot="1" x14ac:dyDescent="0.5">
      <c r="H46" s="85" t="s">
        <v>314</v>
      </c>
      <c r="I46" s="85" t="s">
        <v>315</v>
      </c>
      <c r="J46" s="85" t="s">
        <v>302</v>
      </c>
      <c r="K46" s="85" t="s">
        <v>316</v>
      </c>
      <c r="L46" s="85" t="s">
        <v>317</v>
      </c>
    </row>
    <row r="47" spans="2:12" ht="19" thickBot="1" x14ac:dyDescent="0.5">
      <c r="H47" s="88">
        <v>1010701001</v>
      </c>
      <c r="I47" s="88">
        <v>1010701002</v>
      </c>
      <c r="J47" s="89" t="s">
        <v>313</v>
      </c>
      <c r="K47" s="89">
        <f>IF(AND(voltage="13.8 KV",$A$3=J47),$D$3+$E$3,IF(AND(voltage="13.8 KV",$A$4=J47),$D$4+$E$4,IF(AND(voltage="13.8 KV",$A$5=J47),$D$5+$E$5,0)))</f>
        <v>0</v>
      </c>
      <c r="L47" s="89">
        <f>IF(AND(voltage="33 KV",$A$3=J47),$D$3+$E$3,IF(AND(voltage="33 KV",$A$4=J47),$D$4+$E$4,IF(AND(voltage="33 KV",$A$5=J47),$D$5+$E$5,0)))</f>
        <v>0</v>
      </c>
    </row>
    <row r="48" spans="2:12" ht="19" thickBot="1" x14ac:dyDescent="0.5">
      <c r="H48" s="88">
        <v>1010702001</v>
      </c>
      <c r="I48" s="88">
        <v>1010702002</v>
      </c>
      <c r="J48" s="89" t="s">
        <v>297</v>
      </c>
      <c r="K48" s="89">
        <f>IF(AND(voltage="13.8 KV",$A$3=J48),$D$3+$E$3,IF(AND(voltage="13.8 KV",$A$4=J48),$D$4+$E$4,IF(AND(voltage="13.8 KV",$A$5=J48),$D$5+$E$5,0)))</f>
        <v>0</v>
      </c>
      <c r="L48" s="89">
        <f>IF(AND(voltage="33 KV",$A$3=J48),$D$3+$E$3,IF(AND(voltage="33 KV",$A$4=J48),$D$4+$E$4,IF(AND(voltage="33 KV",$A$5=J48),$D$5+$E$5,0)))</f>
        <v>0</v>
      </c>
    </row>
    <row r="49" spans="8:12" ht="19" thickBot="1" x14ac:dyDescent="0.5">
      <c r="H49" s="88">
        <v>1010801001</v>
      </c>
      <c r="I49" s="88">
        <v>1010801003</v>
      </c>
      <c r="J49" s="89" t="s">
        <v>318</v>
      </c>
      <c r="K49" s="89">
        <f>IF(AND(voltage="13.8 KV",$A$3=J49),$D$3+$E$3,IF(AND(voltage="13.8 KV",$A$4=J49),$D$4+$E$4,IF(AND(voltage="13.8 KV",$A$5=J49),$D$5+$E$5,0)))</f>
        <v>0</v>
      </c>
      <c r="L49" s="89">
        <f>IF(AND(voltage="33 KV",$A$3=J49),$D$3+$E$3,IF(AND(voltage="33 KV",$A$4=J49),$D$4+$E$4,IF(AND(voltage="33 KV",$A$5=J49),$D$5+$E$5,0)))</f>
        <v>0</v>
      </c>
    </row>
    <row r="50" spans="8:12" ht="19" thickBot="1" x14ac:dyDescent="0.5">
      <c r="H50" s="88">
        <v>1010801002</v>
      </c>
      <c r="I50" s="88">
        <v>1010801004</v>
      </c>
      <c r="J50" s="89" t="s">
        <v>319</v>
      </c>
      <c r="K50" s="89">
        <f>IF(AND(voltage="13.8 KV",$A$3=J50),$D$3+$E$3,IF(AND(voltage="13.8 KV",$A$4=J50),$D$4+$E$4,IF(AND(voltage="13.8 KV",$A$5=J50),$D$5+$E$5,0)))</f>
        <v>0</v>
      </c>
      <c r="L50" s="89">
        <f>IF(AND(voltage="33 KV",$A$3=J50),$D$3+$E$3,IF(AND(voltage="33 KV",$A$4=J50),$D$4+$E$4,IF(AND(voltage="33 KV",$A$5=J50),$D$5+$E$5,0)))</f>
        <v>0</v>
      </c>
    </row>
    <row r="51" spans="8:12" ht="19" thickBot="1" x14ac:dyDescent="0.5">
      <c r="H51" s="88">
        <v>1010802001</v>
      </c>
      <c r="I51" s="88">
        <v>1010802002</v>
      </c>
      <c r="J51" s="89" t="s">
        <v>320</v>
      </c>
      <c r="K51" s="89">
        <f>IF(AND(voltage="13.8 KV",$A$3=J51),$D$3+$E$3,IF(AND(voltage="13.8 KV",$A$4=J51),$D$4+$E$4,IF(AND(voltage="13.8 KV",$A$5=J51),$D$5+$E$5,0)))</f>
        <v>0</v>
      </c>
      <c r="L51" s="89">
        <f>IF(AND(voltage="33 KV",$A$3=J51),$D$3+$E$3,IF(AND(voltage="33 KV",$A$4=J51),$D$4+$E$4,IF(AND(voltage="33 KV",$A$5=J51),$D$5+$E$5,0)))</f>
        <v>0</v>
      </c>
    </row>
    <row r="52" spans="8:12" ht="19" thickBot="1" x14ac:dyDescent="0.5">
      <c r="H52" s="87">
        <v>1010601001</v>
      </c>
      <c r="I52" s="87">
        <v>1010601005</v>
      </c>
      <c r="J52" s="86" t="s">
        <v>321</v>
      </c>
      <c r="K52" s="90">
        <f>IF(AND(voltage="13.8 KV",$A$8="MULTI CB",$B$8="500 KVA",$C$8="230/400 V"),$D$8+$E$8,0)+IF(AND(voltage="13.8 KV",$A$9="MULTI CB",$B$9="500 KVA",$C$9="230/400 V"),$D$9+$E$9,0)+IF(AND(voltage="13.8 KV",$A$10="MULTI CB",$B$10="500 KVA",$C$10="230/400 V"),$D$10+$E$10,0)</f>
        <v>0</v>
      </c>
      <c r="L52" s="86">
        <f>IF(AND(voltage="33 KV",$A$8="MULTI CB",$B$8="500 KVA",$C$8="230/400 V"),$D$8+$E$8,0)+IF(AND(voltage="33 KV",$A$9="MULTI CB",$B$9="500 KVA",$C$9="230/400 V"),$D$9+$E$9,0)+IF(AND(voltage="33 KV",$A$10="MULTI CB",$B$10="500 KVA",$C$10="230/400 V"),$D$10+$E$10,0)</f>
        <v>0</v>
      </c>
    </row>
    <row r="53" spans="8:12" ht="19" thickBot="1" x14ac:dyDescent="0.5">
      <c r="H53" s="87">
        <v>1010601002</v>
      </c>
      <c r="I53" s="87">
        <v>1010601006</v>
      </c>
      <c r="J53" s="86" t="s">
        <v>331</v>
      </c>
      <c r="K53" s="90">
        <f>IF(AND(voltage="13.8 KV",$A$8="MAIN CB",$B$8="500 KVA",$C$8="230/400 V"),$D$8+$E$8,0)+IF(AND(voltage="13.8 KV",$A$9="MAIN CB",$B$9="500 KVA",$C$9="230/400 V"),$D$9+$E$9,0)+IF(AND(voltage="13.8 KV",$A$10="MAIN CB",$B$10="500 KVA",$C$10="230/400 V"),$D$10+$E$10,0)</f>
        <v>0</v>
      </c>
      <c r="L53" s="86">
        <f>IF(AND(voltage="33 KV",$A$8="MAIN CB",$B$8="500 KVA",$C$8="230/400 V"),$D$8+$E$8,0)+IF(AND(voltage="33 KV",$A$9="MAIN CB",$B$9="500 KVA",$C$9="230/400 V"),$D$9+$E$9,0)+IF(AND(voltage="33 KV",$A$10="MAIN CB",$B$10="500 KVA",$C$10="230/400 V"),$D$10+$E$10,0)</f>
        <v>0</v>
      </c>
    </row>
    <row r="54" spans="8:12" ht="19" thickBot="1" x14ac:dyDescent="0.5">
      <c r="H54" s="87">
        <v>1010601003</v>
      </c>
      <c r="I54" s="87">
        <v>1010601007</v>
      </c>
      <c r="J54" s="86" t="s">
        <v>324</v>
      </c>
      <c r="K54" s="90">
        <f>IF(AND(voltage="13.8 KV",$A$8="MULTI CB",$B$8="500 KVA",$C$8="DUAL"),$D$8+$E$8,0)+IF(AND(voltage="13.8 KV",$A$9="MULTI CB",$B$9="500 KVA",$C$9="DUAL"),$D$9+$E$9,0)+IF(AND(voltage="13.8 KV",$A$10="MULTI CB",$B$10="500 KVA",$C$10="DUAL"),$D$10+$E$10,0)</f>
        <v>0</v>
      </c>
      <c r="L54" s="86">
        <f>IF(AND(voltage="33 KV",$A$8="MULTI CB",$B$8="500 KVA",$C$8="DUAL"),$D$8+$E$8,0)+IF(AND(voltage="33 KV",$A$9="MULTI CB",$B$9="500 KVA",$C$9="DUAL"),$D$9+$E$9,0)+IF(AND(voltage="33 KV",$A$10="MULTI CB",$B$10="500 KVA",$C$10="DUAL"),$D$10+$E$10,0)</f>
        <v>0</v>
      </c>
    </row>
    <row r="55" spans="8:12" ht="19" thickBot="1" x14ac:dyDescent="0.5">
      <c r="H55" s="87">
        <v>1010601004</v>
      </c>
      <c r="I55" s="87">
        <v>1010601008</v>
      </c>
      <c r="J55" s="86" t="s">
        <v>359</v>
      </c>
      <c r="K55" s="90">
        <f>IF(AND(voltage="13.8 KV",$A$8="MAIN CB",$B$8="500 KVA",$C$8="DUAL"),$D$8+$E$8,0)+IF(AND(voltage="13.8 KV",$A$9="MAIN CB",$B$9="500 KVA",$C$9="DUAL"),$D$9+$E$9,0)+IF(AND(voltage="13.8 KV",$A$10="MAIN CB",$B$10="500 KVA",$C$10="DUAL"),$D$10+$E$10,0)</f>
        <v>0</v>
      </c>
      <c r="L55" s="86">
        <f>IF(AND(voltage="33 KV",$A$8="MULTI CB",$B$8="500 KVA",$C$8="DUAL"),$D$8+$E$8,0)+IF(AND(voltage="33 KV",$A$9="MULTI CB",$B$9="500 KVA",$C$9="DUAL"),$D$9+$E$9,0)+IF(AND(voltage="33 KV",$A$10="MULTI CB",$B$10="500 KVA",$C$10="DUAL"),$D$10+$E$10,0)</f>
        <v>0</v>
      </c>
    </row>
    <row r="56" spans="8:12" ht="19" thickBot="1" x14ac:dyDescent="0.5">
      <c r="H56" s="87">
        <v>1010602001</v>
      </c>
      <c r="I56" s="87">
        <v>1010602005</v>
      </c>
      <c r="J56" s="86" t="s">
        <v>322</v>
      </c>
      <c r="K56" s="90">
        <f>IF(AND(voltage="13.8 KV",$A$8="MULTI CB",$B$8="1000 KVA",$C$8="230/400 V"),$D$8+$E$8,0)+IF(AND(voltage="13.8 KV",$A$9="MULTI CB",$B$9="1000 KVA",$C$9="230/400 V"),$D$9+$E$9,0)+IF(AND(voltage="13.8 KV",$A$10="MULTI CB",$B$10="1000 KVA",$C$10="230/400 V"),$D$10+$E$10,0)</f>
        <v>0</v>
      </c>
      <c r="L56" s="90">
        <f>IF(AND(voltage="33 KV",$A$8="MULTI CB",$B$8="1000 KVA",$C$8="230/400 V"),$D$8+$E$8,0)+IF(AND(voltage="33 KV",$A$9="MULTI CB",$B$9="1000 KVA",$C$9="230/400 V"),$D$9+$E$9,0)+IF(AND(voltage="33 KV",$A$10="MULTI CB",$B$10="1000 KVA",$C$10="230/400 V"),$D$10+$E$10,0)</f>
        <v>0</v>
      </c>
    </row>
    <row r="57" spans="8:12" ht="19" thickBot="1" x14ac:dyDescent="0.5">
      <c r="H57" s="87">
        <v>1010602002</v>
      </c>
      <c r="I57" s="87">
        <v>1010602006</v>
      </c>
      <c r="J57" s="86" t="s">
        <v>327</v>
      </c>
      <c r="K57" s="90">
        <f>IF(AND(voltage="13.8 KV",$A$8="MAIN CB",$B$8="1000 KVA",$C$8="230/400 V"),$D$8+$E$8,0)+IF(AND(voltage="13.8 KV",$A$9="MAIN CB",$B$9="1000 KVA",$C$9="230/400 V"),$D$9+$E$9,0)+IF(AND(voltage="13.8 KV",$A$10="MAIN CB",$B$10="1000 KVA",$C$10="230/400 V"),$D$10+$E$10,0)</f>
        <v>0</v>
      </c>
      <c r="L57" s="90">
        <f>IF(AND(voltage="33 KV",$A$8="MAIN CB",$B$8="1000 KVA",$C$8="230/400 V"),$D$8+$E$8,0)+IF(AND(voltage="33 KV",$A$9="MAIN CB",$B$9="1000 KVA",$C$9="230/400 V"),$D$9+$E$9,0)+IF(AND(voltage="33 KV",$A$10="MAIN CB",$B$10="1000 KVA",$C$10="230/400 V"),$D$10+$E$10,0)</f>
        <v>0</v>
      </c>
    </row>
    <row r="58" spans="8:12" ht="19" thickBot="1" x14ac:dyDescent="0.5">
      <c r="H58" s="87">
        <v>1010602003</v>
      </c>
      <c r="I58" s="87">
        <v>1010602007</v>
      </c>
      <c r="J58" s="86" t="s">
        <v>325</v>
      </c>
      <c r="K58" s="90">
        <f>IF(AND(voltage="13.8 KV",$A$8="MULTI CB",$B$8="1000 KVA",$C$8="DUAL"),$D$8+$E$8,0)+IF(AND(voltage="13.8 KV",$A$9="MULTI CB",$B$9="1000 KVA",$C$9="DUAL"),$D$9+$E$9,0)+IF(AND(voltage="13.8 KV",$A$10="MULTI CB",$B$10="1000 KVA",$C$10="DUAL"),$D$10+$E$10,0)</f>
        <v>0</v>
      </c>
      <c r="L58" s="90">
        <f>IF(AND(voltage="33 KV",$A$8="MULTI CB",$B$8="1000 KVA",$C$8="DUAL"),$D$8+$E$8,0)+IF(AND(voltage="33 KV",$A$9="MULTI CB",$B$9="1000 KVA",$C$9="DUAL"),$D$9+$E$9,0)+IF(AND(voltage="33 KV",$A$10="MULTI CB",$B$10="1000 KVA",$C$10="DUAL"),$D$10+$E$10,0)</f>
        <v>0</v>
      </c>
    </row>
    <row r="59" spans="8:12" ht="19" thickBot="1" x14ac:dyDescent="0.5">
      <c r="H59" s="87">
        <v>1010602004</v>
      </c>
      <c r="I59" s="87">
        <v>1010602008</v>
      </c>
      <c r="J59" s="86" t="s">
        <v>328</v>
      </c>
      <c r="K59" s="90">
        <f>IF(AND(voltage="13.8 KV",$A$8="MAIN CB",$B$8="1000 KVA",$C$8="DUAL"),$D$8+$E$8,0)+IF(AND(voltage="13.8 KV",$A$9="MAIN CB",$B$9="1000 KVA",$C$9="DUAL"),$D$9+$E$9,0)+IF(AND(voltage="13.8 KV",$A$10="MAIN CB",$B$10="1000 KVA",$C$10="DUAL"),$D$10+$E$10,0)</f>
        <v>0</v>
      </c>
      <c r="L59" s="90">
        <f>IF(AND(voltage="33 KV",$A$8="MAIN CB",$B$8="1000 KVA",$C$8="DUAL"),$D$8+$E$8,0)+IF(AND(voltage="33 KV",$A$9="MAIN CB",$B$9="1000 KVA",$C$9="DUAL"),$D$9+$E$9,0)+IF(AND(voltage="33 KV",$A$10="MAIN CB",$B$10="1000 KVA",$C$10="DUAL"),$D$10+$E$10,0)</f>
        <v>0</v>
      </c>
    </row>
    <row r="60" spans="8:12" ht="19" thickBot="1" x14ac:dyDescent="0.5">
      <c r="H60" s="87">
        <v>1010603001</v>
      </c>
      <c r="I60" s="87">
        <v>1010603005</v>
      </c>
      <c r="J60" s="86" t="s">
        <v>323</v>
      </c>
      <c r="K60" s="90">
        <f>IF(AND(voltage="13.8 KV",$A$8="MULTI CB",$B$8="1500 KVA",$C$8="230/400 V"),$D$8+$E$8,0)+IF(AND(voltage="13.8 KV",$A$9="MULTI CB",$B$9="1500 KVA",$C$9="230/400 V"),$D$9+$E$9,0)+IF(AND(voltage="13.8 KV",$A$10="MULTI CB",$B$10="1500 KVA",$C$10="230/400 V"),$D$10+$E$10,0)</f>
        <v>0</v>
      </c>
      <c r="L60" s="90">
        <f>IF(AND(voltage="33 KV",$A$8="MULTI CB",$B$8="1500 KVA",$C$8="230/400 V"),$D$8+$E$8,0)+IF(AND(voltage="33 KV",$A$9="MULTI CB",$B$9="1500 KVA",$C$9="230/400 V"),$D$9+$E$9,0)+IF(AND(voltage="33 KV",$A$10="MULTI CB",$B$10="1500 KVA",$C$10="230/400 V"),$D$10+$E$10,0)</f>
        <v>0</v>
      </c>
    </row>
    <row r="61" spans="8:12" ht="19" thickBot="1" x14ac:dyDescent="0.5">
      <c r="H61" s="87">
        <v>1010603002</v>
      </c>
      <c r="I61" s="87">
        <v>1010603006</v>
      </c>
      <c r="J61" s="86" t="s">
        <v>329</v>
      </c>
      <c r="K61" s="90">
        <f>IF(AND(voltage="13.8 KV",$A$8="MAIN CB",$B$8="1500 KVA",$C$8="230/400 V"),$D$8+$E$8,0)+IF(AND(voltage="13.8 KV",$A$9="MAIN CB",$B$9="1500 KVA",$C$9="230/400 V"),$D$9+$E$9,0)+IF(AND(voltage="13.8 KV",$A$10="MAIN CB",$B$10="1500 KVA",$C$10="230/400 V"),$D$10+$E$10,0)</f>
        <v>0</v>
      </c>
      <c r="L61" s="90">
        <f>IF(AND(voltage="33 KV",$A$8="MAIN CB",$B$8="1500 KVA",$C$8="230/400 V"),$D$8+$E$8,0)+IF(AND(voltage="33 KV",$A$9="MAIN CB",$B$9="1500 KVA",$C$9="230/400 V"),$D$9+$E$9,0)+IF(AND(voltage="33 KV",$A$10="MAIN CB",$B$10="1500 KVA",$C$10="230/400 V"),$D$10+$E$10,0)</f>
        <v>0</v>
      </c>
    </row>
    <row r="62" spans="8:12" ht="19" thickBot="1" x14ac:dyDescent="0.5">
      <c r="H62" s="87">
        <v>1010603003</v>
      </c>
      <c r="I62" s="87">
        <v>1010603007</v>
      </c>
      <c r="J62" s="86" t="s">
        <v>326</v>
      </c>
      <c r="K62" s="90">
        <f>IF(AND(voltage="13.8 KV",$A$8="MULTI CB",$B$8="1500 KVA",$C$8="DUAL"),$D$8+$E$8,0)+IF(AND(voltage="13.8 KV",$A$9="MULTI CB",$B$9="1500 KVA",$C$9="DUAL"),$D$9+$E$9,0)+IF(AND(voltage="13.8 KV",$A$10="MULTI CB",$B$10="1500 KVA",$C$10="DUAL"),$D$10+$E$10,0)</f>
        <v>0</v>
      </c>
      <c r="L62" s="90">
        <f>IF(AND(voltage="33 KV",$A$8="MULTI CB",$B$8="1500 KVA",$C$8="DUAL"),$D$8+$E$8,0)+IF(AND(voltage="33 KV",$A$9="MULTI CB",$B$9="1500 KVA",$C$9="DUAL"),$D$9+$E$9,0)+IF(AND(voltage="33 KV",$A$10="MULTI CB",$B$10="1500 KVA",$C$10="DUAL"),$D$10+$E$10,0)</f>
        <v>0</v>
      </c>
    </row>
    <row r="63" spans="8:12" ht="19" thickBot="1" x14ac:dyDescent="0.5">
      <c r="H63" s="87">
        <v>1010603004</v>
      </c>
      <c r="I63" s="87">
        <v>1010603008</v>
      </c>
      <c r="J63" s="86" t="s">
        <v>330</v>
      </c>
      <c r="K63" s="90">
        <f>IF(AND(voltage="13.8 KV",$A$8="MAIN CB",$B$8="1500 KVA",$C$8="DUAL"),$D$8+$E$8,0)+IF(AND(voltage="13.8 KV",$A$9="MAIN CB",$B$9="1500 KVA",$C$9="DUAL"),$D$9+$E$9,0)+IF(AND(voltage="13.8 KV",$A$10="MAIN CB",$B$10="1500 KVA",$C$10="DUAL"),$D$10+$E$10,0)</f>
        <v>0</v>
      </c>
      <c r="L63" s="90">
        <f>IF(AND(voltage="33 KV",$A$8="MAIN CB",$B$8="1500 KVA",$C$8="DUAL"),$D$8+$E$8,0)+IF(AND(voltage="33 KV",$A$9="MAIN CB",$B$9="1500 KVA",$C$9="DUAL"),$D$9+$E$9,0)+IF(AND(voltage="33 KV",$A$10="MAIN CB",$B$10="1500 KVA",$C$10="DUAL"),$D$10+$E$10,0)</f>
        <v>0</v>
      </c>
    </row>
    <row r="64" spans="8:12" ht="19" thickBot="1" x14ac:dyDescent="0.5">
      <c r="H64" s="88">
        <v>1010202002</v>
      </c>
      <c r="I64" s="88"/>
      <c r="J64" s="89" t="s">
        <v>332</v>
      </c>
      <c r="K64" s="89"/>
      <c r="L64" s="89"/>
    </row>
    <row r="65" spans="8:12" ht="19" thickBot="1" x14ac:dyDescent="0.5">
      <c r="H65" s="88"/>
      <c r="I65" s="88">
        <v>1010203003</v>
      </c>
      <c r="J65" s="89" t="s">
        <v>333</v>
      </c>
      <c r="K65" s="89"/>
      <c r="L65" s="89"/>
    </row>
    <row r="66" spans="8:12" ht="19" thickBot="1" x14ac:dyDescent="0.5">
      <c r="H66" s="88">
        <v>1010202010</v>
      </c>
      <c r="I66" s="88"/>
      <c r="J66" s="89" t="s">
        <v>334</v>
      </c>
      <c r="K66" s="89"/>
      <c r="L66" s="89"/>
    </row>
    <row r="67" spans="8:12" ht="19" thickBot="1" x14ac:dyDescent="0.5">
      <c r="H67" s="88">
        <v>1010202009</v>
      </c>
      <c r="I67" s="88"/>
      <c r="J67" s="89" t="s">
        <v>344</v>
      </c>
      <c r="K67" s="89"/>
      <c r="L67" s="89"/>
    </row>
    <row r="68" spans="8:12" ht="19" thickBot="1" x14ac:dyDescent="0.5">
      <c r="H68" s="88"/>
      <c r="I68" s="88">
        <v>1010203005</v>
      </c>
      <c r="J68" s="89" t="s">
        <v>345</v>
      </c>
      <c r="K68" s="89"/>
      <c r="L68" s="89"/>
    </row>
    <row r="69" spans="8:12" ht="19" thickBot="1" x14ac:dyDescent="0.5">
      <c r="H69" s="91">
        <v>1010302007</v>
      </c>
      <c r="I69" s="91"/>
      <c r="J69" s="92" t="s">
        <v>346</v>
      </c>
      <c r="K69" s="92"/>
      <c r="L69" s="92"/>
    </row>
    <row r="70" spans="8:12" ht="19" thickBot="1" x14ac:dyDescent="0.5">
      <c r="H70" s="91">
        <v>1010302004</v>
      </c>
      <c r="I70" s="91"/>
      <c r="J70" s="92" t="s">
        <v>347</v>
      </c>
      <c r="K70" s="92"/>
      <c r="L70" s="92"/>
    </row>
    <row r="71" spans="8:12" ht="19" thickBot="1" x14ac:dyDescent="0.5">
      <c r="H71" s="91">
        <v>1010302003</v>
      </c>
      <c r="I71" s="91"/>
      <c r="J71" s="92" t="s">
        <v>348</v>
      </c>
      <c r="K71" s="91"/>
      <c r="L71" s="91"/>
    </row>
    <row r="72" spans="8:12" ht="19" thickBot="1" x14ac:dyDescent="0.5">
      <c r="H72" s="91">
        <v>2010302006</v>
      </c>
      <c r="I72" s="91"/>
      <c r="J72" s="92" t="s">
        <v>373</v>
      </c>
      <c r="K72" s="91">
        <f>IF(voltage="13.8 KV",IF(ISNUMBER(SEARCH("3WAY",A3)),2*E3,0)+IF(ISNUMBER(SEARCH("3WAY",A4)),2*E4,0)+IF(ISNUMBER(SEARCH("3WAY",A5)),2*E5,0)+IF(ISNUMBER(SEARCH("4WAY",A3)),3*E3,0)+IF(ISNUMBER(SEARCH("4WAY",A4)),3*E4,0)+IF(ISNUMBER(SEARCH("4WAY",A5)),3*E5,0),"")</f>
        <v>0</v>
      </c>
      <c r="L72" s="91"/>
    </row>
    <row r="73" spans="8:12" ht="19" thickBot="1" x14ac:dyDescent="0.5">
      <c r="H73" s="91">
        <v>2010302005</v>
      </c>
      <c r="I73" s="91">
        <v>2010303003</v>
      </c>
      <c r="J73" s="92" t="s">
        <v>374</v>
      </c>
      <c r="K73" s="91">
        <f>IF(voltage="13.8 KV",IF(ISNUMBER(SEARCH("3WAY",A3)),2*E3,0)+IF(ISNUMBER(SEARCH("3WAY",A4)),2*E4,0)+IF(ISNUMBER(SEARCH("3WAY",A5)),2*E5,0)+IF(ISNUMBER(SEARCH("4WAY",A3)),3*E3,0)+IF(ISNUMBER(SEARCH("4WAY",A4)),3*E4,0)+IF(ISNUMBER(SEARCH("4WAY",A5)),3*E5,0),"")</f>
        <v>0</v>
      </c>
      <c r="L73" s="91">
        <f>IF(voltage="33 KV",IF(ISNUMBER(SEARCH("3WAY",A3)),2*E3,0)+IF(ISNUMBER(SEARCH("3WAY",A4)),2*E4,0)+IF(ISNUMBER(SEARCH("3WAY",A5)),2*E5,0)+IF(ISNUMBER(SEARCH("4WAY",A3)),3*E3,0)+IF(ISNUMBER(SEARCH("4WAY",A4)),3*E4,0)+IF(ISNUMBER(SEARCH("4WAY",A5)),3*E5,0),0)</f>
        <v>0</v>
      </c>
    </row>
    <row r="74" spans="8:12" ht="19" thickBot="1" x14ac:dyDescent="0.5">
      <c r="H74" s="91"/>
      <c r="I74" s="91"/>
      <c r="J74" s="92" t="s">
        <v>352</v>
      </c>
      <c r="K74" s="91"/>
      <c r="L74" s="91">
        <f>IF(voltage="33 KV",IF(ISNUMBER(SEARCH("3WAY",A3)),2*E3,0)+IF(ISNUMBER(SEARCH("3WAY",A4)),2*E4,0)+IF(ISNUMBER(SEARCH("3WAY",A5)),2*E5,0)+IF(ISNUMBER(SEARCH("4WAY",A3)),3*E3,0)+IF(ISNUMBER(SEARCH("4WAY",A4)),3*E4,0)+IF(ISNUMBER(SEARCH("4WAY",A5)),3*E5,0),0)</f>
        <v>0</v>
      </c>
    </row>
    <row r="75" spans="8:12" ht="19" thickBot="1" x14ac:dyDescent="0.5">
      <c r="H75" s="91"/>
      <c r="I75" s="91">
        <v>1010303012</v>
      </c>
      <c r="J75" s="92" t="s">
        <v>349</v>
      </c>
      <c r="K75" s="91"/>
      <c r="L75" s="91"/>
    </row>
    <row r="76" spans="8:12" ht="19" thickBot="1" x14ac:dyDescent="0.5">
      <c r="H76" s="91"/>
      <c r="I76" s="91">
        <v>1010303007</v>
      </c>
      <c r="J76" s="92" t="s">
        <v>350</v>
      </c>
      <c r="K76" s="91"/>
      <c r="L76" s="91"/>
    </row>
    <row r="77" spans="8:12" ht="19" thickBot="1" x14ac:dyDescent="0.5">
      <c r="H77" s="91"/>
      <c r="I77" s="91">
        <v>1010303008</v>
      </c>
      <c r="J77" s="92" t="s">
        <v>351</v>
      </c>
      <c r="K77" s="91"/>
      <c r="L77" s="91"/>
    </row>
    <row r="78" spans="8:12" ht="19" thickBot="1" x14ac:dyDescent="0.5">
      <c r="H78" s="91">
        <v>1010302005</v>
      </c>
      <c r="I78" s="91">
        <v>1010303009</v>
      </c>
      <c r="J78" s="91" t="s">
        <v>353</v>
      </c>
      <c r="K78" s="91">
        <f>6*SUM(D8:D10)+3*SUM(E3:E5)</f>
        <v>0</v>
      </c>
      <c r="L78" s="91">
        <f>IF(voltage="33 KV",6*SUM(D8:D10)+3*SUM(E3:E5),0)</f>
        <v>0</v>
      </c>
    </row>
    <row r="79" spans="8:12" ht="19" thickBot="1" x14ac:dyDescent="0.5">
      <c r="H79" s="88">
        <v>1010102003</v>
      </c>
      <c r="I79" s="88"/>
      <c r="J79" s="89" t="s">
        <v>354</v>
      </c>
      <c r="K79" s="88"/>
      <c r="L79" s="88"/>
    </row>
    <row r="80" spans="8:12" ht="19" thickBot="1" x14ac:dyDescent="0.5">
      <c r="H80" s="88"/>
      <c r="I80" s="88">
        <v>1010103004</v>
      </c>
      <c r="J80" s="89" t="s">
        <v>355</v>
      </c>
      <c r="K80" s="88"/>
      <c r="L80" s="88"/>
    </row>
    <row r="81" spans="8:12" ht="19" thickBot="1" x14ac:dyDescent="0.5">
      <c r="H81" s="88">
        <v>1010102001</v>
      </c>
      <c r="I81" s="88">
        <v>1010103001</v>
      </c>
      <c r="J81" s="89" t="s">
        <v>356</v>
      </c>
      <c r="K81" s="88">
        <f>24*SUM(D8:D10)</f>
        <v>0</v>
      </c>
      <c r="L81" s="88">
        <f>IF(voltage="33 KV",24*SUM(D8:D10),0)</f>
        <v>0</v>
      </c>
    </row>
    <row r="82" spans="8:12" ht="19" thickBot="1" x14ac:dyDescent="0.5">
      <c r="H82" s="87"/>
      <c r="I82" s="87"/>
      <c r="J82" s="87"/>
      <c r="K82" s="87"/>
      <c r="L82" s="87"/>
    </row>
    <row r="87" spans="8:12" x14ac:dyDescent="0.35">
      <c r="H87" s="8" t="s">
        <v>363</v>
      </c>
      <c r="I87" s="8" t="s">
        <v>364</v>
      </c>
      <c r="J87" s="8" t="s">
        <v>365</v>
      </c>
    </row>
    <row r="88" spans="8:12" x14ac:dyDescent="0.35">
      <c r="H88" s="93">
        <v>1040101002</v>
      </c>
      <c r="I88" s="94">
        <f>MAX(F3,F8)*22+(SUM(D3:E5)+SUM(D8:E10)-MAX(G3,G8))*4</f>
        <v>0</v>
      </c>
      <c r="J88" s="93" t="s">
        <v>366</v>
      </c>
    </row>
    <row r="89" spans="8:12" x14ac:dyDescent="0.35">
      <c r="H89" s="93">
        <v>1050301005</v>
      </c>
      <c r="I89" s="94">
        <f>(SUM(D3:E5)*2+SUM(D8:E10)*2)</f>
        <v>0</v>
      </c>
      <c r="J89" s="93" t="s">
        <v>368</v>
      </c>
    </row>
    <row r="90" spans="8:12" x14ac:dyDescent="0.35">
      <c r="H90" s="93">
        <v>1040202002</v>
      </c>
      <c r="I90" s="94">
        <f>MAX(F3,F8)*4</f>
        <v>0</v>
      </c>
      <c r="J90" s="93" t="s">
        <v>370</v>
      </c>
    </row>
    <row r="91" spans="8:12" x14ac:dyDescent="0.35">
      <c r="H91" s="95">
        <v>1040101001</v>
      </c>
      <c r="I91" s="95"/>
      <c r="J91" s="95" t="s">
        <v>369</v>
      </c>
    </row>
    <row r="92" spans="8:12" ht="15" x14ac:dyDescent="0.35">
      <c r="H92" s="96">
        <v>1050301003</v>
      </c>
      <c r="I92" s="95"/>
      <c r="J92" s="95" t="s">
        <v>367</v>
      </c>
    </row>
    <row r="93" spans="8:12" x14ac:dyDescent="0.35">
      <c r="H93" s="95">
        <v>1040202001</v>
      </c>
      <c r="I93" s="95"/>
      <c r="J93" s="95" t="s">
        <v>371</v>
      </c>
    </row>
    <row r="94" spans="8:12" x14ac:dyDescent="0.35">
      <c r="H94" s="8">
        <v>1049901001</v>
      </c>
      <c r="I94" s="31">
        <f>I89+I90</f>
        <v>0</v>
      </c>
      <c r="J94" s="8" t="s">
        <v>372</v>
      </c>
    </row>
  </sheetData>
  <sheetProtection algorithmName="SHA-512" hashValue="fwHFATHYVg+Gh3QHXTdhPDQ2sLHIeuhNSklY9DnFJxKugMoNJ8uViYgUhqQJmO1wuhZxRIe219GvDyZyRer5bA==" saltValue="gWAqmy1jBfxdxLeFfcwcxg==" spinCount="100000" sheet="1" objects="1" scenarios="1"/>
  <mergeCells count="12">
    <mergeCell ref="A16:B16"/>
    <mergeCell ref="A11:E11"/>
    <mergeCell ref="A4:C4"/>
    <mergeCell ref="A5:C5"/>
    <mergeCell ref="A1:G1"/>
    <mergeCell ref="A6:G6"/>
    <mergeCell ref="G3:G5"/>
    <mergeCell ref="G8:G10"/>
    <mergeCell ref="F3:F5"/>
    <mergeCell ref="F8:F10"/>
    <mergeCell ref="A2:C2"/>
    <mergeCell ref="A3:C3"/>
  </mergeCells>
  <phoneticPr fontId="21" type="noConversion"/>
  <dataValidations count="7">
    <dataValidation type="list" allowBlank="1" showInputMessage="1" showErrorMessage="1" sqref="A8:A10" xr:uid="{3094D5CB-EFC5-46FB-9D46-78A9EC3A169A}">
      <formula1>$Q$1:$Q$2</formula1>
    </dataValidation>
    <dataValidation type="list" allowBlank="1" showInputMessage="1" showErrorMessage="1" sqref="A3:C5" xr:uid="{B440C50E-6717-4D84-983C-13FB956F88A7}">
      <formula1>$J$47:$J$51</formula1>
    </dataValidation>
    <dataValidation type="list" allowBlank="1" showInputMessage="1" showErrorMessage="1" sqref="B8:B10" xr:uid="{5D8B5AEE-2881-4338-B112-FBEBAEF778B8}">
      <formula1>$P$1:$P$3</formula1>
    </dataValidation>
    <dataValidation type="list" allowBlank="1" showInputMessage="1" showErrorMessage="1" sqref="C8:C10" xr:uid="{5243177E-C011-4F85-B821-D93DC6B45059}">
      <formula1>$O$1:$O$2</formula1>
    </dataValidation>
    <dataValidation type="list" allowBlank="1" showInputMessage="1" showErrorMessage="1" sqref="C13:C15" xr:uid="{E25CCBF2-6932-4A2E-B5D6-4B10B8FD3418}">
      <formula1>$S$1:$S$13</formula1>
    </dataValidation>
    <dataValidation type="list" allowBlank="1" showInputMessage="1" showErrorMessage="1" sqref="A18:A23" xr:uid="{F54A66EB-D907-4CB8-9FCE-1C531AB6878F}">
      <formula1>$R$1:$R$6</formula1>
    </dataValidation>
    <dataValidation type="list" allowBlank="1" showInputMessage="1" showErrorMessage="1" sqref="A13:A15" xr:uid="{DF2C886B-77A4-428E-95AE-35ED51F8D0FC}">
      <formula1>$S$1:$S$14</formula1>
    </dataValidation>
  </dataValidations>
  <pageMargins left="0.7" right="0.7" top="0.75" bottom="0.75" header="0.3" footer="0.3"/>
  <pageSetup orientation="portrait" r:id="rId1"/>
  <headerFooter>
    <oddHeader xml:space="preserve">&amp;C&amp;K008004&amp;10&amp;"Calibri"Public Internal - عام (داخلي)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O203"/>
  <sheetViews>
    <sheetView topLeftCell="D1" zoomScale="70" zoomScaleNormal="70" zoomScaleSheetLayoutView="100" workbookViewId="0">
      <selection activeCell="O4" sqref="O4:Q4"/>
    </sheetView>
  </sheetViews>
  <sheetFormatPr defaultColWidth="9" defaultRowHeight="14.5" x14ac:dyDescent="0.35"/>
  <cols>
    <col min="1" max="1" width="2.36328125" style="8" hidden="1" customWidth="1"/>
    <col min="2" max="3" width="110.81640625" style="8" hidden="1" customWidth="1"/>
    <col min="4" max="4" width="109.81640625" style="8" customWidth="1"/>
    <col min="5" max="5" width="3.08984375" style="8" customWidth="1"/>
    <col min="6" max="6" width="2.81640625" style="8" customWidth="1"/>
    <col min="7" max="7" width="38.81640625" style="8" customWidth="1"/>
    <col min="8" max="8" width="31.81640625" style="8" customWidth="1"/>
    <col min="9" max="9" width="3.6328125" style="8" customWidth="1"/>
    <col min="10" max="10" width="27.1796875" style="8" hidden="1" customWidth="1"/>
    <col min="11" max="13" width="9" style="8" hidden="1" customWidth="1"/>
    <col min="14" max="14" width="4.1796875" style="8" customWidth="1"/>
    <col min="15" max="15" width="23.90625" style="8" customWidth="1"/>
    <col min="16" max="16" width="26.08984375" style="8" customWidth="1"/>
    <col min="17" max="17" width="29.54296875" style="8" customWidth="1"/>
    <col min="18" max="18" width="5.6328125" style="8" customWidth="1"/>
    <col min="19" max="19" width="9" style="8" hidden="1" customWidth="1"/>
    <col min="20" max="20" width="14.90625" style="8" hidden="1" customWidth="1"/>
    <col min="21" max="21" width="11.36328125" style="8" hidden="1" customWidth="1"/>
    <col min="22" max="22" width="12.36328125" style="8" hidden="1" customWidth="1"/>
    <col min="23" max="23" width="13.36328125" style="8" hidden="1" customWidth="1"/>
    <col min="24" max="24" width="21.6328125" style="8" hidden="1" customWidth="1"/>
    <col min="25" max="25" width="11.90625" style="8" hidden="1" customWidth="1"/>
    <col min="26" max="27" width="9" style="8" hidden="1" customWidth="1"/>
    <col min="28" max="28" width="4.81640625" style="121" hidden="1" customWidth="1"/>
    <col min="29" max="41" width="9" style="8" hidden="1" customWidth="1"/>
    <col min="42" max="48" width="0" style="8" hidden="1" customWidth="1"/>
    <col min="49" max="16384" width="9" style="8"/>
  </cols>
  <sheetData>
    <row r="1" spans="1:28" ht="29" thickBot="1" x14ac:dyDescent="0.7">
      <c r="A1" s="13"/>
      <c r="B1" s="13"/>
      <c r="C1" s="13"/>
      <c r="D1" s="118" t="s">
        <v>670</v>
      </c>
      <c r="E1" s="13"/>
      <c r="F1" s="14"/>
      <c r="G1" s="284" t="s">
        <v>108</v>
      </c>
      <c r="H1" s="284"/>
      <c r="I1" s="14"/>
      <c r="K1" s="119"/>
      <c r="L1" s="119"/>
      <c r="M1" s="119"/>
      <c r="N1" s="202"/>
      <c r="O1" s="202"/>
      <c r="P1" s="202"/>
      <c r="Q1" s="202"/>
      <c r="R1" s="202"/>
      <c r="S1" s="119"/>
      <c r="T1" s="119"/>
      <c r="U1" s="119"/>
      <c r="V1" s="119"/>
      <c r="W1" s="119"/>
      <c r="X1" s="119"/>
      <c r="Y1" s="119"/>
      <c r="Z1" s="119"/>
      <c r="AA1" s="119"/>
      <c r="AB1" s="120"/>
    </row>
    <row r="2" spans="1:28" ht="43" thickTop="1" thickBot="1" x14ac:dyDescent="0.6">
      <c r="A2" s="13"/>
      <c r="B2" s="165" t="s">
        <v>653</v>
      </c>
      <c r="C2" s="160" t="s">
        <v>519</v>
      </c>
      <c r="D2" s="166" t="s">
        <v>519</v>
      </c>
      <c r="E2" s="15"/>
      <c r="F2" s="14"/>
      <c r="G2" s="285" t="s">
        <v>82</v>
      </c>
      <c r="H2" s="285"/>
      <c r="I2" s="14"/>
      <c r="N2" s="203"/>
      <c r="O2" s="286" t="s">
        <v>723</v>
      </c>
      <c r="P2" s="287"/>
      <c r="Q2" s="288"/>
      <c r="R2" s="203"/>
    </row>
    <row r="3" spans="1:28" ht="84.5" thickBot="1" x14ac:dyDescent="0.4">
      <c r="A3" s="13"/>
      <c r="B3" s="165" t="s">
        <v>654</v>
      </c>
      <c r="C3" s="161" t="s">
        <v>511</v>
      </c>
      <c r="D3" s="166" t="s">
        <v>511</v>
      </c>
      <c r="E3" s="13"/>
      <c r="F3" s="14"/>
      <c r="G3" s="115" t="s">
        <v>518</v>
      </c>
      <c r="H3" s="116" t="s">
        <v>98</v>
      </c>
      <c r="I3" s="14"/>
      <c r="J3" s="9" t="s">
        <v>98</v>
      </c>
      <c r="N3" s="203"/>
      <c r="O3" s="289" t="s">
        <v>557</v>
      </c>
      <c r="P3" s="290"/>
      <c r="Q3" s="291"/>
      <c r="R3" s="203"/>
    </row>
    <row r="4" spans="1:28" ht="85" thickTop="1" thickBot="1" x14ac:dyDescent="0.4">
      <c r="A4" s="13"/>
      <c r="B4" s="165" t="s">
        <v>655</v>
      </c>
      <c r="C4" s="152" t="s">
        <v>512</v>
      </c>
      <c r="D4" s="166" t="s">
        <v>512</v>
      </c>
      <c r="E4" s="13"/>
      <c r="F4" s="14"/>
      <c r="G4" s="114" t="s">
        <v>517</v>
      </c>
      <c r="H4" s="140" t="s">
        <v>527</v>
      </c>
      <c r="I4" s="14"/>
      <c r="J4" s="9" t="s">
        <v>99</v>
      </c>
      <c r="K4" s="23"/>
      <c r="L4" s="23"/>
      <c r="M4" s="23" t="s">
        <v>293</v>
      </c>
      <c r="N4" s="203"/>
      <c r="O4" s="292"/>
      <c r="P4" s="293"/>
      <c r="Q4" s="294"/>
      <c r="R4" s="204"/>
      <c r="S4" s="24"/>
      <c r="T4" s="24"/>
      <c r="U4" s="24"/>
      <c r="V4" s="24"/>
      <c r="W4" s="24"/>
      <c r="X4" s="24"/>
      <c r="Y4" s="24"/>
      <c r="Z4" s="24"/>
      <c r="AA4" s="23"/>
    </row>
    <row r="5" spans="1:28" ht="148" thickTop="1" thickBot="1" x14ac:dyDescent="0.4">
      <c r="A5" s="13"/>
      <c r="B5" s="165" t="s">
        <v>656</v>
      </c>
      <c r="C5" s="155" t="s">
        <v>513</v>
      </c>
      <c r="D5" s="166" t="s">
        <v>513</v>
      </c>
      <c r="E5" s="13"/>
      <c r="F5" s="14"/>
      <c r="G5" s="115" t="s">
        <v>271</v>
      </c>
      <c r="H5" s="117">
        <v>1</v>
      </c>
      <c r="I5" s="14"/>
      <c r="K5" s="23"/>
      <c r="L5" s="23"/>
      <c r="M5" s="23" t="s">
        <v>292</v>
      </c>
      <c r="N5" s="203"/>
      <c r="O5" s="295" t="s">
        <v>724</v>
      </c>
      <c r="P5" s="296"/>
      <c r="Q5" s="297"/>
      <c r="R5" s="203"/>
      <c r="S5" s="23"/>
      <c r="T5" s="23"/>
      <c r="U5" s="23"/>
      <c r="V5" s="23"/>
      <c r="W5" s="23"/>
      <c r="X5" s="23"/>
      <c r="Y5" s="23"/>
      <c r="Z5" s="23"/>
      <c r="AA5" s="23"/>
    </row>
    <row r="6" spans="1:28" ht="47.5" thickBot="1" x14ac:dyDescent="0.4">
      <c r="A6" s="13"/>
      <c r="B6" s="165" t="s">
        <v>657</v>
      </c>
      <c r="C6" s="152" t="s">
        <v>514</v>
      </c>
      <c r="D6" s="166" t="s">
        <v>514</v>
      </c>
      <c r="E6" s="13"/>
      <c r="F6" s="14"/>
      <c r="G6" s="115" t="s">
        <v>501</v>
      </c>
      <c r="H6" s="117">
        <v>1</v>
      </c>
      <c r="I6" s="14"/>
      <c r="K6" s="23"/>
      <c r="L6" s="23"/>
      <c r="M6" s="23"/>
      <c r="N6" s="203"/>
      <c r="O6" s="23"/>
      <c r="P6" s="282"/>
      <c r="Q6" s="282"/>
      <c r="R6" s="283"/>
      <c r="S6" s="282"/>
      <c r="T6" s="282"/>
      <c r="U6" s="282"/>
      <c r="V6" s="282"/>
      <c r="W6" s="282"/>
      <c r="X6" s="282"/>
      <c r="Y6" s="282"/>
      <c r="Z6" s="282"/>
      <c r="AA6" s="282"/>
    </row>
    <row r="7" spans="1:28" ht="147.5" thickBot="1" x14ac:dyDescent="0.4">
      <c r="A7" s="13"/>
      <c r="B7" s="165" t="s">
        <v>659</v>
      </c>
      <c r="C7" s="152" t="s">
        <v>658</v>
      </c>
      <c r="D7" s="166" t="s">
        <v>658</v>
      </c>
      <c r="E7" s="13"/>
      <c r="F7" s="14"/>
      <c r="G7" s="115" t="s">
        <v>291</v>
      </c>
      <c r="H7" s="117" t="s">
        <v>293</v>
      </c>
      <c r="I7" s="14"/>
      <c r="J7" s="8" t="s">
        <v>527</v>
      </c>
      <c r="K7" s="23"/>
      <c r="L7" s="23"/>
      <c r="M7" s="23"/>
      <c r="N7" s="203"/>
      <c r="O7" s="23"/>
      <c r="P7" s="282"/>
      <c r="Q7" s="282"/>
      <c r="R7" s="283"/>
      <c r="S7" s="282"/>
      <c r="T7" s="282"/>
      <c r="U7" s="282"/>
      <c r="V7" s="282"/>
      <c r="W7" s="282"/>
      <c r="X7" s="282"/>
      <c r="Y7" s="282"/>
      <c r="Z7" s="282"/>
      <c r="AA7" s="282"/>
    </row>
    <row r="8" spans="1:28" ht="42.5" thickBot="1" x14ac:dyDescent="0.5">
      <c r="A8" s="13"/>
      <c r="B8" s="165" t="s">
        <v>660</v>
      </c>
      <c r="C8" s="152" t="s">
        <v>515</v>
      </c>
      <c r="D8" s="166" t="s">
        <v>515</v>
      </c>
      <c r="E8" s="13"/>
      <c r="F8" s="14"/>
      <c r="I8" s="14"/>
      <c r="J8" s="8" t="s">
        <v>528</v>
      </c>
      <c r="K8" s="23"/>
      <c r="L8" s="23"/>
      <c r="M8" s="23"/>
      <c r="N8" s="203"/>
      <c r="O8" s="23"/>
      <c r="P8" s="28"/>
      <c r="Q8" s="26"/>
      <c r="R8" s="205"/>
      <c r="S8" s="27"/>
      <c r="T8" s="26"/>
      <c r="U8" s="26"/>
      <c r="V8" s="29"/>
      <c r="W8" s="29"/>
      <c r="X8" s="26"/>
      <c r="Y8" s="26"/>
      <c r="Z8" s="26"/>
      <c r="AA8" s="26"/>
    </row>
    <row r="9" spans="1:28" ht="42.5" thickBot="1" x14ac:dyDescent="0.5">
      <c r="A9" s="13"/>
      <c r="B9" s="165" t="s">
        <v>661</v>
      </c>
      <c r="C9" s="152" t="s">
        <v>516</v>
      </c>
      <c r="D9" s="166" t="s">
        <v>516</v>
      </c>
      <c r="E9" s="13"/>
      <c r="F9" s="14"/>
      <c r="I9" s="14"/>
      <c r="K9" s="23"/>
      <c r="L9" s="23"/>
      <c r="M9" s="23"/>
      <c r="N9" s="203"/>
      <c r="O9" s="23"/>
      <c r="P9" s="28"/>
      <c r="Q9" s="26"/>
      <c r="R9" s="205"/>
      <c r="S9" s="27"/>
      <c r="T9" s="26"/>
      <c r="U9" s="26"/>
      <c r="V9" s="29"/>
      <c r="W9" s="29"/>
      <c r="X9" s="26"/>
      <c r="Y9" s="26"/>
      <c r="Z9" s="26"/>
      <c r="AA9" s="26"/>
    </row>
    <row r="10" spans="1:28" ht="47.5" thickBot="1" x14ac:dyDescent="0.5">
      <c r="A10" s="13"/>
      <c r="B10" s="165" t="s">
        <v>666</v>
      </c>
      <c r="C10" s="162" t="s">
        <v>662</v>
      </c>
      <c r="D10" s="166" t="s">
        <v>662</v>
      </c>
      <c r="E10" s="13"/>
      <c r="F10" s="14"/>
      <c r="I10" s="14"/>
      <c r="K10" s="23"/>
      <c r="L10" s="23"/>
      <c r="M10" s="23"/>
      <c r="N10" s="203"/>
      <c r="O10" s="23"/>
      <c r="P10" s="28"/>
      <c r="Q10" s="26"/>
      <c r="R10" s="205"/>
      <c r="S10" s="27"/>
      <c r="T10" s="26"/>
      <c r="U10" s="26"/>
      <c r="V10" s="29"/>
      <c r="W10" s="29"/>
      <c r="X10" s="26"/>
      <c r="Y10" s="26"/>
      <c r="Z10" s="26"/>
      <c r="AA10" s="26"/>
    </row>
    <row r="11" spans="1:28" ht="63.5" thickBot="1" x14ac:dyDescent="0.5">
      <c r="A11" s="13"/>
      <c r="B11" s="165" t="s">
        <v>667</v>
      </c>
      <c r="C11" s="163" t="s">
        <v>663</v>
      </c>
      <c r="D11" s="166" t="s">
        <v>663</v>
      </c>
      <c r="E11" s="13"/>
      <c r="F11" s="14"/>
      <c r="I11" s="14"/>
      <c r="K11" s="23"/>
      <c r="L11" s="23"/>
      <c r="M11" s="23"/>
      <c r="N11" s="203"/>
      <c r="O11" s="23"/>
      <c r="P11" s="28"/>
      <c r="Q11" s="26"/>
      <c r="R11" s="205"/>
      <c r="S11" s="27"/>
      <c r="T11" s="26"/>
      <c r="U11" s="26"/>
      <c r="V11" s="29"/>
      <c r="W11" s="29"/>
      <c r="X11" s="26"/>
      <c r="Y11" s="26"/>
      <c r="Z11" s="26"/>
      <c r="AA11" s="26"/>
    </row>
    <row r="12" spans="1:28" ht="94.5" thickBot="1" x14ac:dyDescent="0.5">
      <c r="A12" s="13"/>
      <c r="B12" s="165" t="s">
        <v>668</v>
      </c>
      <c r="C12" s="164" t="s">
        <v>664</v>
      </c>
      <c r="D12" s="166" t="s">
        <v>664</v>
      </c>
      <c r="E12" s="13"/>
      <c r="F12" s="14"/>
      <c r="I12" s="14"/>
      <c r="K12" s="23"/>
      <c r="L12" s="23"/>
      <c r="M12" s="23"/>
      <c r="N12" s="203"/>
      <c r="O12" s="23"/>
      <c r="P12" s="28"/>
      <c r="Q12" s="26"/>
      <c r="R12" s="205"/>
      <c r="S12" s="27"/>
      <c r="T12" s="26"/>
      <c r="U12" s="26"/>
      <c r="V12" s="29"/>
      <c r="W12" s="29"/>
      <c r="X12" s="26"/>
      <c r="Y12" s="26"/>
      <c r="Z12" s="26"/>
      <c r="AA12" s="26"/>
    </row>
    <row r="13" spans="1:28" ht="81" customHeight="1" thickBot="1" x14ac:dyDescent="0.5">
      <c r="A13" s="13"/>
      <c r="B13" s="165" t="s">
        <v>669</v>
      </c>
      <c r="C13" s="164" t="s">
        <v>665</v>
      </c>
      <c r="D13" s="166" t="s">
        <v>665</v>
      </c>
      <c r="E13" s="13"/>
      <c r="F13" s="14"/>
      <c r="I13" s="14"/>
      <c r="K13" s="23"/>
      <c r="L13" s="23"/>
      <c r="M13" s="23"/>
      <c r="N13" s="203"/>
      <c r="O13" s="23"/>
      <c r="P13" s="28"/>
      <c r="Q13" s="26"/>
      <c r="R13" s="205"/>
      <c r="S13" s="27"/>
      <c r="T13" s="26"/>
      <c r="U13" s="26"/>
      <c r="V13" s="29"/>
      <c r="W13" s="29"/>
      <c r="X13" s="26"/>
      <c r="Y13" s="26"/>
      <c r="Z13" s="26"/>
      <c r="AA13" s="26"/>
    </row>
    <row r="14" spans="1:28" ht="21.5" thickBot="1" x14ac:dyDescent="0.5">
      <c r="A14" s="13"/>
      <c r="B14" s="156"/>
      <c r="C14" s="157"/>
      <c r="D14" s="166">
        <v>0</v>
      </c>
      <c r="E14" s="13"/>
      <c r="F14" s="14"/>
      <c r="I14" s="14"/>
      <c r="K14" s="23"/>
      <c r="L14" s="23"/>
      <c r="M14" s="23"/>
      <c r="N14" s="203"/>
      <c r="O14" s="23"/>
      <c r="P14" s="28"/>
      <c r="Q14" s="26"/>
      <c r="R14" s="205"/>
      <c r="S14" s="27"/>
      <c r="T14" s="26"/>
      <c r="U14" s="26"/>
      <c r="V14" s="29"/>
      <c r="W14" s="29"/>
      <c r="X14" s="26"/>
      <c r="Y14" s="26"/>
      <c r="Z14" s="26"/>
      <c r="AA14" s="26"/>
    </row>
    <row r="15" spans="1:28" ht="21.5" thickBot="1" x14ac:dyDescent="0.5">
      <c r="A15" s="13"/>
      <c r="B15" s="158"/>
      <c r="C15" s="159"/>
      <c r="D15" s="166">
        <v>0</v>
      </c>
      <c r="E15" s="13"/>
      <c r="F15" s="14"/>
      <c r="I15" s="14"/>
      <c r="K15" s="23"/>
      <c r="L15" s="23"/>
      <c r="M15" s="23"/>
      <c r="N15" s="203"/>
      <c r="O15" s="23"/>
      <c r="P15" s="28"/>
      <c r="Q15" s="26"/>
      <c r="R15" s="205"/>
      <c r="S15" s="27"/>
      <c r="T15" s="26"/>
      <c r="U15" s="26"/>
      <c r="V15" s="29"/>
      <c r="W15" s="26"/>
      <c r="X15" s="26"/>
      <c r="Y15" s="26"/>
      <c r="Z15" s="26"/>
      <c r="AA15" s="23"/>
    </row>
    <row r="16" spans="1:28" ht="21.5" thickBot="1" x14ac:dyDescent="0.4">
      <c r="A16" s="13"/>
      <c r="B16" s="156"/>
      <c r="C16" s="157"/>
      <c r="D16" s="166">
        <v>0</v>
      </c>
      <c r="E16" s="13"/>
      <c r="F16" s="14"/>
      <c r="I16" s="14"/>
      <c r="K16" s="23"/>
      <c r="L16" s="23"/>
      <c r="M16" s="23"/>
      <c r="N16" s="203"/>
      <c r="O16" s="23"/>
      <c r="P16" s="23"/>
      <c r="Q16" s="23"/>
      <c r="R16" s="20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ht="21.5" thickBot="1" x14ac:dyDescent="0.5">
      <c r="A17" s="13"/>
      <c r="B17" s="154"/>
      <c r="C17" s="154"/>
      <c r="D17" s="166">
        <v>0</v>
      </c>
      <c r="E17" s="13"/>
      <c r="F17" s="14"/>
      <c r="I17" s="14"/>
      <c r="K17" s="23"/>
      <c r="L17" s="23"/>
      <c r="M17" s="23"/>
      <c r="N17" s="203"/>
      <c r="O17" s="23"/>
      <c r="P17" s="23"/>
      <c r="Q17" s="23"/>
      <c r="R17" s="20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ht="18.5" x14ac:dyDescent="0.45">
      <c r="A18" s="13"/>
      <c r="B18" s="7"/>
      <c r="C18" s="7"/>
      <c r="D18" s="7"/>
      <c r="E18" s="13"/>
      <c r="F18" s="14"/>
      <c r="I18" s="14"/>
      <c r="K18" s="23"/>
      <c r="L18" s="23"/>
      <c r="M18" s="23"/>
      <c r="N18" s="203"/>
      <c r="O18" s="23"/>
      <c r="P18" s="23"/>
      <c r="Q18" s="23"/>
      <c r="R18" s="20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ht="18.5" x14ac:dyDescent="0.45">
      <c r="A19" s="13"/>
      <c r="B19" s="7"/>
      <c r="C19" s="7"/>
      <c r="D19" s="7"/>
      <c r="E19" s="13"/>
      <c r="F19" s="14"/>
      <c r="I19" s="14"/>
      <c r="K19" s="23"/>
      <c r="L19" s="23"/>
      <c r="M19" s="23"/>
      <c r="N19" s="203"/>
      <c r="O19" s="23"/>
      <c r="P19" s="23"/>
      <c r="Q19" s="23"/>
      <c r="R19" s="20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ht="18.5" x14ac:dyDescent="0.45">
      <c r="A20" s="13"/>
      <c r="B20" s="7"/>
      <c r="C20" s="7"/>
      <c r="D20" s="12"/>
      <c r="E20" s="13"/>
      <c r="F20" s="14"/>
      <c r="I20" s="14"/>
      <c r="K20" s="23"/>
      <c r="L20" s="23"/>
      <c r="M20" s="23"/>
      <c r="N20" s="203"/>
      <c r="O20" s="23"/>
      <c r="P20" s="23"/>
      <c r="Q20" s="23"/>
      <c r="R20" s="20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9" thickBot="1" x14ac:dyDescent="0.5">
      <c r="A21" s="13"/>
      <c r="B21" s="7"/>
      <c r="C21" s="7"/>
      <c r="D21" s="5"/>
      <c r="E21" s="13"/>
      <c r="F21" s="14"/>
      <c r="I21" s="14"/>
      <c r="K21" s="23"/>
      <c r="L21" s="23"/>
      <c r="M21" s="23"/>
      <c r="N21" s="203"/>
      <c r="O21" s="23"/>
      <c r="P21" s="23"/>
      <c r="Q21" s="23"/>
      <c r="R21" s="20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ht="19" thickTop="1" x14ac:dyDescent="0.45">
      <c r="A22" s="13"/>
      <c r="B22" s="7"/>
      <c r="C22" s="7"/>
      <c r="D22" s="7"/>
      <c r="E22" s="13"/>
      <c r="F22" s="14"/>
      <c r="I22" s="14"/>
      <c r="K22" s="23"/>
      <c r="L22" s="23"/>
      <c r="M22" s="23"/>
      <c r="N22" s="203"/>
      <c r="O22" s="23"/>
      <c r="P22" s="23"/>
      <c r="Q22" s="23"/>
      <c r="R22" s="20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ht="18.5" x14ac:dyDescent="0.45">
      <c r="A23" s="13"/>
      <c r="B23" s="7"/>
      <c r="C23" s="7"/>
      <c r="D23" s="7"/>
      <c r="E23" s="13"/>
      <c r="F23" s="14"/>
      <c r="I23" s="14"/>
      <c r="K23" s="23"/>
      <c r="L23" s="23"/>
      <c r="M23" s="23"/>
      <c r="N23" s="203"/>
      <c r="O23" s="23"/>
      <c r="P23" s="23"/>
      <c r="Q23" s="23"/>
      <c r="R23" s="20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ht="18.5" x14ac:dyDescent="0.45">
      <c r="A24" s="13"/>
      <c r="B24" s="7"/>
      <c r="C24" s="7"/>
      <c r="E24" s="13"/>
      <c r="F24" s="14"/>
      <c r="I24" s="14"/>
      <c r="K24" s="23"/>
      <c r="L24" s="23"/>
      <c r="M24" s="23"/>
      <c r="N24" s="203"/>
      <c r="O24" s="23"/>
      <c r="P24" s="23"/>
      <c r="Q24" s="23"/>
      <c r="R24" s="20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23.5" x14ac:dyDescent="0.55000000000000004">
      <c r="A25" s="13"/>
      <c r="B25" s="7"/>
      <c r="C25" s="7"/>
      <c r="E25" s="13"/>
      <c r="F25" s="14"/>
      <c r="I25" s="14"/>
      <c r="K25" s="23"/>
      <c r="L25" s="23"/>
      <c r="M25" s="23"/>
      <c r="N25" s="203"/>
      <c r="O25" s="23"/>
      <c r="P25" s="25"/>
      <c r="Q25" s="25"/>
      <c r="R25" s="206"/>
      <c r="S25" s="25"/>
      <c r="T25" s="25"/>
      <c r="U25" s="25"/>
      <c r="V25" s="25"/>
      <c r="W25" s="25"/>
      <c r="X25" s="25"/>
      <c r="Y25" s="25"/>
      <c r="Z25" s="23"/>
      <c r="AA25" s="23"/>
    </row>
    <row r="26" spans="1:27" ht="16.399999999999999" customHeight="1" x14ac:dyDescent="0.45">
      <c r="A26" s="13"/>
      <c r="B26" s="7"/>
      <c r="C26" s="7"/>
      <c r="E26" s="13"/>
      <c r="F26" s="14"/>
      <c r="I26" s="14"/>
      <c r="K26" s="23"/>
      <c r="L26" s="23"/>
      <c r="M26" s="23"/>
      <c r="N26" s="203"/>
      <c r="O26" s="23"/>
      <c r="P26" s="282"/>
      <c r="Q26" s="282"/>
      <c r="R26" s="283"/>
      <c r="S26" s="282"/>
      <c r="T26" s="282"/>
      <c r="U26" s="282"/>
      <c r="V26" s="282"/>
      <c r="W26" s="282"/>
      <c r="X26" s="282"/>
      <c r="Y26" s="282"/>
      <c r="Z26" s="282"/>
      <c r="AA26" s="282"/>
    </row>
    <row r="27" spans="1:27" ht="19.75" customHeight="1" x14ac:dyDescent="0.45">
      <c r="A27" s="13"/>
      <c r="B27" s="7"/>
      <c r="C27" s="7"/>
      <c r="E27" s="13"/>
      <c r="F27" s="14"/>
      <c r="I27" s="14"/>
      <c r="K27" s="23"/>
      <c r="L27" s="23"/>
      <c r="M27" s="23"/>
      <c r="N27" s="203"/>
      <c r="O27" s="23"/>
      <c r="P27" s="282"/>
      <c r="Q27" s="282"/>
      <c r="R27" s="283"/>
      <c r="S27" s="282"/>
      <c r="T27" s="282"/>
      <c r="U27" s="282"/>
      <c r="V27" s="282"/>
      <c r="W27" s="282"/>
      <c r="X27" s="282"/>
      <c r="Y27" s="282"/>
      <c r="Z27" s="282"/>
      <c r="AA27" s="282"/>
    </row>
    <row r="28" spans="1:27" ht="19.5" x14ac:dyDescent="0.45">
      <c r="A28" s="13"/>
      <c r="B28" s="7"/>
      <c r="C28" s="7"/>
      <c r="E28" s="13"/>
      <c r="F28" s="14"/>
      <c r="I28" s="14"/>
      <c r="K28" s="23"/>
      <c r="L28" s="23"/>
      <c r="M28" s="23"/>
      <c r="N28" s="203"/>
      <c r="O28" s="23"/>
      <c r="P28" s="28"/>
      <c r="Q28" s="26"/>
      <c r="R28" s="205"/>
      <c r="S28" s="27"/>
      <c r="T28" s="26"/>
      <c r="U28" s="26"/>
      <c r="V28" s="29"/>
      <c r="W28" s="29"/>
      <c r="X28" s="26"/>
      <c r="Y28" s="26"/>
      <c r="Z28" s="26"/>
      <c r="AA28" s="26"/>
    </row>
    <row r="29" spans="1:27" ht="19.5" x14ac:dyDescent="0.45">
      <c r="A29" s="13"/>
      <c r="B29" s="7"/>
      <c r="C29" s="7"/>
      <c r="E29" s="13"/>
      <c r="F29" s="14"/>
      <c r="I29" s="14"/>
      <c r="K29" s="23"/>
      <c r="L29" s="23"/>
      <c r="M29" s="23"/>
      <c r="N29" s="203"/>
      <c r="O29" s="23"/>
      <c r="P29" s="28"/>
      <c r="Q29" s="26"/>
      <c r="R29" s="205"/>
      <c r="S29" s="27"/>
      <c r="T29" s="26"/>
      <c r="U29" s="26"/>
      <c r="V29" s="29"/>
      <c r="W29" s="29"/>
      <c r="X29" s="26"/>
      <c r="Y29" s="26"/>
      <c r="Z29" s="26"/>
      <c r="AA29" s="26"/>
    </row>
    <row r="30" spans="1:27" ht="19.5" x14ac:dyDescent="0.45">
      <c r="A30" s="13"/>
      <c r="B30" s="7"/>
      <c r="C30" s="7"/>
      <c r="E30" s="13"/>
      <c r="F30" s="14"/>
      <c r="I30" s="14"/>
      <c r="K30" s="23"/>
      <c r="L30" s="23"/>
      <c r="M30" s="23"/>
      <c r="N30" s="203"/>
      <c r="O30" s="23"/>
      <c r="P30" s="28"/>
      <c r="Q30" s="26"/>
      <c r="R30" s="205"/>
      <c r="S30" s="27"/>
      <c r="T30" s="26"/>
      <c r="U30" s="26"/>
      <c r="V30" s="29"/>
      <c r="W30" s="29"/>
      <c r="X30" s="26"/>
      <c r="Y30" s="26"/>
      <c r="Z30" s="26"/>
      <c r="AA30" s="26"/>
    </row>
    <row r="31" spans="1:27" ht="18.5" x14ac:dyDescent="0.45">
      <c r="A31" s="13"/>
      <c r="B31" s="7"/>
      <c r="C31" s="7"/>
      <c r="E31" s="13"/>
      <c r="F31" s="14"/>
      <c r="I31" s="14"/>
      <c r="K31" s="23"/>
      <c r="L31" s="23"/>
      <c r="M31" s="23"/>
      <c r="N31" s="203"/>
      <c r="O31" s="23"/>
      <c r="P31" s="23"/>
      <c r="Q31" s="23"/>
      <c r="R31" s="203"/>
      <c r="S31" s="23"/>
      <c r="T31" s="23"/>
      <c r="U31" s="23"/>
      <c r="V31" s="23"/>
      <c r="W31" s="23"/>
      <c r="X31" s="23"/>
      <c r="Y31" s="23"/>
      <c r="Z31" s="23"/>
      <c r="AA31" s="23"/>
    </row>
    <row r="32" spans="1:27" x14ac:dyDescent="0.35">
      <c r="A32" s="13"/>
      <c r="E32" s="13"/>
      <c r="F32" s="14"/>
      <c r="I32" s="14"/>
      <c r="K32" s="23"/>
      <c r="L32" s="23"/>
      <c r="M32" s="23"/>
      <c r="N32" s="203"/>
      <c r="O32" s="23"/>
      <c r="P32" s="23"/>
      <c r="Q32" s="23"/>
      <c r="R32" s="203"/>
      <c r="S32" s="23"/>
      <c r="T32" s="23"/>
      <c r="U32" s="23"/>
      <c r="V32" s="23"/>
      <c r="W32" s="23"/>
      <c r="X32" s="23"/>
      <c r="Y32" s="23"/>
      <c r="Z32" s="23"/>
      <c r="AA32" s="23"/>
    </row>
    <row r="33" spans="1:27" x14ac:dyDescent="0.35">
      <c r="A33" s="13"/>
      <c r="E33" s="13"/>
      <c r="F33" s="14"/>
      <c r="I33" s="14"/>
      <c r="K33" s="23"/>
      <c r="L33" s="23"/>
      <c r="M33" s="23"/>
      <c r="N33" s="203"/>
      <c r="O33" s="23"/>
      <c r="P33" s="23"/>
      <c r="Q33" s="23"/>
      <c r="R33" s="203"/>
      <c r="S33" s="23"/>
      <c r="T33" s="23"/>
      <c r="U33" s="23"/>
      <c r="V33" s="23"/>
      <c r="W33" s="23"/>
      <c r="X33" s="23"/>
      <c r="Y33" s="23"/>
      <c r="Z33" s="23"/>
      <c r="AA33" s="23"/>
    </row>
    <row r="34" spans="1:27" x14ac:dyDescent="0.35">
      <c r="A34" s="13"/>
      <c r="E34" s="13"/>
      <c r="F34" s="14"/>
      <c r="I34" s="14"/>
      <c r="K34" s="23"/>
      <c r="L34" s="23"/>
      <c r="M34" s="23"/>
      <c r="N34" s="203"/>
      <c r="O34" s="23"/>
      <c r="P34" s="23"/>
      <c r="Q34" s="23"/>
      <c r="R34" s="203"/>
      <c r="S34" s="23"/>
      <c r="T34" s="23"/>
      <c r="U34" s="23"/>
      <c r="V34" s="23"/>
      <c r="W34" s="23"/>
      <c r="X34" s="23"/>
      <c r="Y34" s="23"/>
      <c r="Z34" s="23"/>
      <c r="AA34" s="23"/>
    </row>
    <row r="35" spans="1:27" x14ac:dyDescent="0.35">
      <c r="A35" s="13"/>
      <c r="E35" s="13"/>
      <c r="F35" s="14"/>
      <c r="I35" s="14"/>
      <c r="K35" s="23"/>
      <c r="L35" s="23"/>
      <c r="M35" s="23"/>
      <c r="N35" s="203"/>
      <c r="O35" s="23"/>
      <c r="P35" s="23"/>
      <c r="Q35" s="23"/>
      <c r="R35" s="203"/>
      <c r="S35" s="23"/>
      <c r="T35" s="23"/>
      <c r="U35" s="23"/>
      <c r="V35" s="23"/>
      <c r="W35" s="23"/>
      <c r="X35" s="23"/>
      <c r="Y35" s="23"/>
      <c r="Z35" s="23"/>
      <c r="AA35" s="23"/>
    </row>
    <row r="36" spans="1:27" x14ac:dyDescent="0.35">
      <c r="A36" s="13"/>
      <c r="E36" s="13"/>
      <c r="F36" s="14"/>
      <c r="I36" s="14"/>
      <c r="K36" s="23"/>
      <c r="L36" s="23"/>
      <c r="M36" s="23"/>
      <c r="N36" s="203"/>
      <c r="O36" s="23"/>
      <c r="P36" s="23"/>
      <c r="Q36" s="23"/>
      <c r="R36" s="203"/>
      <c r="S36" s="23"/>
      <c r="T36" s="23"/>
      <c r="U36" s="23"/>
      <c r="V36" s="23"/>
      <c r="W36" s="23"/>
      <c r="X36" s="23"/>
      <c r="Y36" s="23"/>
      <c r="Z36" s="23"/>
      <c r="AA36" s="23"/>
    </row>
    <row r="37" spans="1:27" x14ac:dyDescent="0.35">
      <c r="A37" s="13"/>
      <c r="E37" s="13"/>
      <c r="F37" s="14"/>
      <c r="I37" s="14"/>
      <c r="K37" s="23"/>
      <c r="L37" s="23"/>
      <c r="M37" s="23"/>
      <c r="N37" s="203"/>
      <c r="O37" s="23"/>
      <c r="P37" s="23"/>
      <c r="Q37" s="23"/>
      <c r="R37" s="203"/>
      <c r="S37" s="23"/>
      <c r="T37" s="23"/>
      <c r="U37" s="23"/>
      <c r="V37" s="23"/>
      <c r="W37" s="23"/>
      <c r="X37" s="23"/>
      <c r="Y37" s="23"/>
      <c r="Z37" s="23"/>
      <c r="AA37" s="23"/>
    </row>
    <row r="38" spans="1:27" x14ac:dyDescent="0.35">
      <c r="A38" s="13"/>
      <c r="E38" s="13"/>
      <c r="F38" s="14"/>
      <c r="I38" s="14"/>
      <c r="K38" s="23"/>
      <c r="L38" s="23"/>
      <c r="M38" s="23"/>
      <c r="N38" s="203"/>
      <c r="O38" s="23"/>
      <c r="P38" s="23"/>
      <c r="Q38" s="23"/>
      <c r="R38" s="203"/>
      <c r="S38" s="23"/>
      <c r="T38" s="23"/>
      <c r="U38" s="23"/>
      <c r="V38" s="23"/>
      <c r="W38" s="23"/>
      <c r="X38" s="23"/>
      <c r="Y38" s="23"/>
      <c r="Z38" s="23"/>
      <c r="AA38" s="23"/>
    </row>
    <row r="39" spans="1:27" x14ac:dyDescent="0.35">
      <c r="A39" s="13"/>
      <c r="E39" s="13"/>
      <c r="F39" s="14"/>
      <c r="I39" s="14"/>
      <c r="K39" s="23"/>
      <c r="L39" s="23"/>
      <c r="M39" s="23"/>
      <c r="N39" s="203"/>
      <c r="O39" s="23"/>
      <c r="P39" s="23"/>
      <c r="Q39" s="23"/>
      <c r="R39" s="203"/>
      <c r="S39" s="23"/>
      <c r="T39" s="23"/>
      <c r="U39" s="23"/>
      <c r="V39" s="23"/>
      <c r="W39" s="23"/>
      <c r="X39" s="23"/>
      <c r="Y39" s="23"/>
      <c r="Z39" s="23"/>
      <c r="AA39" s="23"/>
    </row>
    <row r="40" spans="1:27" x14ac:dyDescent="0.35">
      <c r="A40" s="13"/>
      <c r="E40" s="13"/>
      <c r="F40" s="14"/>
      <c r="I40" s="14"/>
      <c r="K40" s="23"/>
      <c r="L40" s="23"/>
      <c r="M40" s="23"/>
      <c r="N40" s="203"/>
      <c r="O40" s="23"/>
      <c r="P40" s="23"/>
      <c r="Q40" s="23"/>
      <c r="R40" s="203"/>
      <c r="S40" s="23"/>
      <c r="T40" s="23"/>
      <c r="U40" s="23"/>
      <c r="V40" s="23"/>
      <c r="W40" s="23"/>
      <c r="X40" s="23"/>
      <c r="Y40" s="23"/>
      <c r="Z40" s="23"/>
      <c r="AA40" s="23"/>
    </row>
    <row r="41" spans="1:27" x14ac:dyDescent="0.35">
      <c r="A41" s="13"/>
      <c r="E41" s="13"/>
      <c r="F41" s="14"/>
      <c r="I41" s="14"/>
      <c r="K41" s="23"/>
      <c r="L41" s="23"/>
      <c r="M41" s="23"/>
      <c r="N41" s="203"/>
      <c r="O41" s="23"/>
      <c r="P41" s="23"/>
      <c r="Q41" s="23"/>
      <c r="R41" s="203"/>
      <c r="S41" s="23"/>
      <c r="T41" s="23"/>
      <c r="U41" s="23"/>
      <c r="V41" s="23"/>
      <c r="W41" s="23"/>
      <c r="X41" s="23"/>
      <c r="Y41" s="23"/>
      <c r="Z41" s="23"/>
      <c r="AA41" s="23"/>
    </row>
    <row r="42" spans="1:27" x14ac:dyDescent="0.35">
      <c r="A42" s="13"/>
      <c r="E42" s="13"/>
      <c r="F42" s="14"/>
      <c r="I42" s="14"/>
      <c r="K42" s="23"/>
      <c r="L42" s="23"/>
      <c r="M42" s="23"/>
      <c r="N42" s="203"/>
      <c r="O42" s="23"/>
      <c r="P42" s="23"/>
      <c r="Q42" s="23"/>
      <c r="R42" s="203"/>
      <c r="S42" s="23"/>
      <c r="T42" s="23"/>
      <c r="U42" s="23"/>
      <c r="V42" s="23"/>
      <c r="W42" s="23"/>
      <c r="X42" s="23"/>
      <c r="Y42" s="23"/>
      <c r="Z42" s="23"/>
      <c r="AA42" s="23"/>
    </row>
    <row r="43" spans="1:27" x14ac:dyDescent="0.35">
      <c r="A43" s="13"/>
      <c r="E43" s="13"/>
      <c r="F43" s="14"/>
      <c r="I43" s="14"/>
      <c r="K43" s="23"/>
      <c r="L43" s="23"/>
      <c r="M43" s="23"/>
      <c r="N43" s="203"/>
      <c r="O43" s="23"/>
      <c r="P43" s="23"/>
      <c r="Q43" s="23"/>
      <c r="R43" s="203"/>
      <c r="S43" s="23"/>
      <c r="T43" s="23"/>
      <c r="U43" s="23"/>
      <c r="V43" s="23"/>
      <c r="W43" s="23"/>
      <c r="X43" s="23"/>
      <c r="Y43" s="23"/>
      <c r="Z43" s="23"/>
      <c r="AA43" s="23"/>
    </row>
    <row r="44" spans="1:27" x14ac:dyDescent="0.35">
      <c r="A44" s="13"/>
      <c r="E44" s="13"/>
      <c r="F44" s="14"/>
      <c r="I44" s="14"/>
      <c r="K44" s="23"/>
      <c r="L44" s="23"/>
      <c r="M44" s="23"/>
      <c r="N44" s="203"/>
      <c r="O44" s="23"/>
      <c r="P44" s="23"/>
      <c r="Q44" s="23"/>
      <c r="R44" s="203"/>
      <c r="S44" s="23"/>
      <c r="T44" s="23"/>
      <c r="U44" s="23"/>
      <c r="V44" s="23"/>
      <c r="W44" s="23"/>
      <c r="X44" s="23"/>
      <c r="Y44" s="23"/>
      <c r="Z44" s="23"/>
      <c r="AA44" s="23"/>
    </row>
    <row r="45" spans="1:27" x14ac:dyDescent="0.35">
      <c r="A45" s="13"/>
      <c r="E45" s="13"/>
      <c r="F45" s="14"/>
      <c r="I45" s="14"/>
      <c r="K45" s="23"/>
      <c r="L45" s="23"/>
      <c r="M45" s="23"/>
      <c r="N45" s="203"/>
      <c r="O45" s="23"/>
      <c r="P45" s="23"/>
      <c r="Q45" s="23"/>
      <c r="R45" s="203"/>
      <c r="S45" s="23"/>
      <c r="T45" s="23"/>
      <c r="U45" s="23"/>
      <c r="V45" s="23"/>
      <c r="W45" s="23"/>
      <c r="X45" s="23"/>
      <c r="Y45" s="23"/>
      <c r="Z45" s="23"/>
      <c r="AA45" s="23"/>
    </row>
    <row r="46" spans="1:27" x14ac:dyDescent="0.35">
      <c r="A46" s="13"/>
      <c r="E46" s="13"/>
      <c r="F46" s="14"/>
      <c r="I46" s="14"/>
      <c r="K46" s="23"/>
      <c r="L46" s="23"/>
      <c r="M46" s="23"/>
      <c r="N46" s="203"/>
      <c r="O46" s="23"/>
      <c r="P46" s="23"/>
      <c r="Q46" s="23"/>
      <c r="R46" s="203"/>
      <c r="S46" s="23"/>
      <c r="T46" s="23"/>
      <c r="U46" s="23"/>
      <c r="V46" s="23"/>
      <c r="W46" s="23"/>
      <c r="X46" s="23"/>
      <c r="Y46" s="23"/>
      <c r="Z46" s="23"/>
      <c r="AA46" s="23"/>
    </row>
    <row r="47" spans="1:27" x14ac:dyDescent="0.35">
      <c r="A47" s="13"/>
      <c r="E47" s="13"/>
      <c r="F47" s="14"/>
      <c r="I47" s="14"/>
      <c r="K47" s="23"/>
      <c r="L47" s="23"/>
      <c r="M47" s="23"/>
      <c r="N47" s="203"/>
      <c r="O47" s="23"/>
      <c r="P47" s="282"/>
      <c r="Q47" s="282"/>
      <c r="R47" s="283"/>
      <c r="S47" s="282"/>
      <c r="T47" s="282"/>
      <c r="U47" s="282"/>
      <c r="V47" s="282"/>
      <c r="W47" s="282"/>
      <c r="X47" s="282"/>
      <c r="Y47" s="282"/>
      <c r="Z47" s="282"/>
      <c r="AA47" s="23"/>
    </row>
    <row r="48" spans="1:27" ht="24" customHeight="1" x14ac:dyDescent="0.35">
      <c r="A48" s="13"/>
      <c r="E48" s="13"/>
      <c r="F48" s="14"/>
      <c r="I48" s="14"/>
      <c r="K48" s="23"/>
      <c r="L48" s="23"/>
      <c r="M48" s="23"/>
      <c r="N48" s="203"/>
      <c r="O48" s="23"/>
      <c r="P48" s="282"/>
      <c r="Q48" s="282"/>
      <c r="R48" s="283"/>
      <c r="S48" s="282"/>
      <c r="T48" s="282"/>
      <c r="U48" s="282"/>
      <c r="V48" s="282"/>
      <c r="W48" s="282"/>
      <c r="X48" s="282"/>
      <c r="Y48" s="282"/>
      <c r="Z48" s="282"/>
      <c r="AA48" s="23"/>
    </row>
    <row r="49" spans="1:27" ht="25.75" customHeight="1" x14ac:dyDescent="0.45">
      <c r="A49" s="13"/>
      <c r="E49" s="13"/>
      <c r="F49" s="14"/>
      <c r="I49" s="14"/>
      <c r="K49" s="23"/>
      <c r="L49" s="23"/>
      <c r="M49" s="23"/>
      <c r="N49" s="203"/>
      <c r="O49" s="23"/>
      <c r="P49" s="28"/>
      <c r="Q49" s="26"/>
      <c r="R49" s="205"/>
      <c r="S49" s="27"/>
      <c r="T49" s="26"/>
      <c r="U49" s="26"/>
      <c r="V49" s="29"/>
      <c r="W49" s="26"/>
      <c r="X49" s="26"/>
      <c r="Y49" s="26"/>
      <c r="Z49" s="26"/>
      <c r="AA49" s="23"/>
    </row>
    <row r="50" spans="1:27" ht="25.75" customHeight="1" x14ac:dyDescent="0.45">
      <c r="A50" s="13"/>
      <c r="E50" s="13"/>
      <c r="F50" s="14"/>
      <c r="I50" s="14"/>
      <c r="K50" s="23"/>
      <c r="L50" s="23"/>
      <c r="M50" s="23"/>
      <c r="N50" s="203"/>
      <c r="O50" s="23"/>
      <c r="P50" s="28"/>
      <c r="Q50" s="26"/>
      <c r="R50" s="205"/>
      <c r="S50" s="27"/>
      <c r="T50" s="26"/>
      <c r="U50" s="26"/>
      <c r="V50" s="29"/>
      <c r="W50" s="26"/>
      <c r="X50" s="26"/>
      <c r="Y50" s="26"/>
      <c r="Z50" s="26"/>
      <c r="AA50" s="23"/>
    </row>
    <row r="51" spans="1:27" ht="19.5" x14ac:dyDescent="0.45">
      <c r="A51" s="13"/>
      <c r="E51" s="13"/>
      <c r="F51" s="14"/>
      <c r="I51" s="14"/>
      <c r="K51" s="23"/>
      <c r="L51" s="23"/>
      <c r="M51" s="23"/>
      <c r="N51" s="203"/>
      <c r="O51" s="23"/>
      <c r="P51" s="28"/>
      <c r="Q51" s="26"/>
      <c r="R51" s="205"/>
      <c r="S51" s="27"/>
      <c r="T51" s="26"/>
      <c r="U51" s="26"/>
      <c r="V51" s="29"/>
      <c r="W51" s="26"/>
      <c r="X51" s="26"/>
      <c r="Y51" s="26"/>
      <c r="Z51" s="26"/>
      <c r="AA51" s="23"/>
    </row>
    <row r="52" spans="1:27" x14ac:dyDescent="0.35">
      <c r="A52" s="13"/>
      <c r="E52" s="13"/>
      <c r="F52" s="14"/>
      <c r="I52" s="14"/>
      <c r="K52" s="23"/>
      <c r="L52" s="23"/>
      <c r="M52" s="23"/>
      <c r="N52" s="203"/>
      <c r="O52" s="23"/>
      <c r="P52" s="23"/>
      <c r="Q52" s="23"/>
      <c r="R52" s="203"/>
      <c r="S52" s="23"/>
      <c r="T52" s="23"/>
      <c r="U52" s="23"/>
      <c r="V52" s="23"/>
      <c r="W52" s="23"/>
      <c r="X52" s="23"/>
      <c r="Y52" s="23"/>
      <c r="Z52" s="23"/>
      <c r="AA52" s="23"/>
    </row>
    <row r="53" spans="1:27" x14ac:dyDescent="0.35">
      <c r="A53" s="13"/>
      <c r="E53" s="13"/>
      <c r="F53" s="14"/>
      <c r="I53" s="14"/>
      <c r="K53" s="23"/>
      <c r="L53" s="23"/>
      <c r="M53" s="23"/>
      <c r="N53" s="203"/>
      <c r="O53" s="23"/>
      <c r="P53" s="23"/>
      <c r="Q53" s="23"/>
      <c r="R53" s="203"/>
      <c r="S53" s="23"/>
      <c r="T53" s="23"/>
      <c r="U53" s="23"/>
      <c r="V53" s="23"/>
      <c r="W53" s="23"/>
      <c r="X53" s="23"/>
      <c r="Y53" s="23"/>
      <c r="Z53" s="23"/>
      <c r="AA53" s="23"/>
    </row>
    <row r="54" spans="1:27" x14ac:dyDescent="0.35">
      <c r="A54" s="13"/>
      <c r="E54" s="13"/>
      <c r="F54" s="14"/>
      <c r="I54" s="14"/>
      <c r="K54" s="23"/>
      <c r="L54" s="23"/>
      <c r="M54" s="23"/>
      <c r="N54" s="203"/>
      <c r="O54" s="23"/>
      <c r="P54" s="23"/>
      <c r="Q54" s="23"/>
      <c r="R54" s="203"/>
      <c r="S54" s="23"/>
      <c r="T54" s="23"/>
      <c r="U54" s="23"/>
      <c r="V54" s="23"/>
      <c r="W54" s="23"/>
      <c r="X54" s="23"/>
      <c r="Y54" s="23"/>
      <c r="Z54" s="23"/>
      <c r="AA54" s="23"/>
    </row>
    <row r="55" spans="1:27" x14ac:dyDescent="0.35">
      <c r="A55" s="13"/>
      <c r="E55" s="13"/>
      <c r="F55" s="14"/>
      <c r="I55" s="14"/>
      <c r="K55" s="23"/>
      <c r="L55" s="23"/>
      <c r="M55" s="23"/>
      <c r="N55" s="203"/>
      <c r="O55" s="23"/>
      <c r="P55" s="23"/>
      <c r="Q55" s="23"/>
      <c r="R55" s="203"/>
      <c r="S55" s="23"/>
      <c r="T55" s="23"/>
      <c r="U55" s="23"/>
      <c r="V55" s="23"/>
      <c r="W55" s="23"/>
      <c r="X55" s="23"/>
      <c r="Y55" s="23"/>
      <c r="Z55" s="23"/>
      <c r="AA55" s="23"/>
    </row>
    <row r="56" spans="1:27" x14ac:dyDescent="0.35">
      <c r="A56" s="13"/>
      <c r="E56" s="13"/>
      <c r="F56" s="14"/>
      <c r="I56" s="14"/>
      <c r="K56" s="23"/>
      <c r="L56" s="23"/>
      <c r="M56" s="23"/>
      <c r="N56" s="203"/>
      <c r="O56" s="23"/>
      <c r="P56" s="23"/>
      <c r="Q56" s="23"/>
      <c r="R56" s="203"/>
      <c r="S56" s="23"/>
      <c r="T56" s="23"/>
      <c r="U56" s="23"/>
      <c r="V56" s="23"/>
      <c r="W56" s="23"/>
      <c r="X56" s="23"/>
      <c r="Y56" s="23"/>
      <c r="Z56" s="23"/>
      <c r="AA56" s="23"/>
    </row>
    <row r="57" spans="1:27" x14ac:dyDescent="0.35">
      <c r="A57" s="13"/>
      <c r="E57" s="13"/>
      <c r="F57" s="14"/>
      <c r="I57" s="14"/>
      <c r="K57" s="23"/>
      <c r="L57" s="23"/>
      <c r="M57" s="23"/>
      <c r="N57" s="203"/>
      <c r="O57" s="23"/>
      <c r="P57" s="23"/>
      <c r="Q57" s="23"/>
      <c r="R57" s="203"/>
      <c r="S57" s="23"/>
      <c r="T57" s="23"/>
      <c r="U57" s="23"/>
      <c r="V57" s="23"/>
      <c r="W57" s="23"/>
      <c r="X57" s="23"/>
      <c r="Y57" s="23"/>
      <c r="Z57" s="23"/>
      <c r="AA57" s="23"/>
    </row>
    <row r="58" spans="1:27" x14ac:dyDescent="0.35">
      <c r="A58" s="13"/>
      <c r="E58" s="13"/>
      <c r="F58" s="14"/>
      <c r="I58" s="14"/>
      <c r="K58" s="23"/>
      <c r="L58" s="23"/>
      <c r="M58" s="23"/>
      <c r="N58" s="203"/>
      <c r="O58" s="23"/>
      <c r="P58" s="23"/>
      <c r="Q58" s="23"/>
      <c r="R58" s="203"/>
      <c r="S58" s="23"/>
      <c r="T58" s="23"/>
      <c r="U58" s="23"/>
      <c r="V58" s="23"/>
      <c r="W58" s="23"/>
      <c r="X58" s="23"/>
      <c r="Y58" s="23"/>
      <c r="Z58" s="23"/>
      <c r="AA58" s="23"/>
    </row>
    <row r="59" spans="1:27" x14ac:dyDescent="0.35">
      <c r="A59" s="13"/>
      <c r="E59" s="13"/>
      <c r="F59" s="14"/>
      <c r="I59" s="14"/>
      <c r="K59" s="23"/>
      <c r="L59" s="23"/>
      <c r="M59" s="23"/>
      <c r="N59" s="203"/>
      <c r="O59" s="23"/>
      <c r="P59" s="23"/>
      <c r="Q59" s="23"/>
      <c r="R59" s="203"/>
      <c r="S59" s="23"/>
      <c r="T59" s="23"/>
      <c r="U59" s="23"/>
      <c r="V59" s="23"/>
      <c r="W59" s="23"/>
      <c r="X59" s="23"/>
      <c r="Y59" s="23"/>
      <c r="Z59" s="23"/>
      <c r="AA59" s="23"/>
    </row>
    <row r="60" spans="1:27" x14ac:dyDescent="0.35">
      <c r="A60" s="13"/>
      <c r="E60" s="13"/>
      <c r="F60" s="14"/>
      <c r="I60" s="14"/>
      <c r="K60" s="23"/>
      <c r="L60" s="23"/>
      <c r="M60" s="23"/>
      <c r="N60" s="203"/>
      <c r="O60" s="23"/>
      <c r="P60" s="23"/>
      <c r="Q60" s="23"/>
      <c r="R60" s="203"/>
      <c r="S60" s="23"/>
      <c r="T60" s="23"/>
      <c r="U60" s="23"/>
      <c r="V60" s="23"/>
      <c r="W60" s="23"/>
      <c r="X60" s="23"/>
      <c r="Y60" s="23"/>
      <c r="Z60" s="23"/>
      <c r="AA60" s="23"/>
    </row>
    <row r="61" spans="1:27" x14ac:dyDescent="0.35">
      <c r="A61" s="13"/>
      <c r="E61" s="13"/>
      <c r="F61" s="14"/>
      <c r="I61" s="14"/>
      <c r="K61" s="23"/>
      <c r="L61" s="23"/>
      <c r="M61" s="23"/>
      <c r="N61" s="203"/>
      <c r="O61" s="23"/>
      <c r="P61" s="23"/>
      <c r="Q61" s="23"/>
      <c r="R61" s="203"/>
      <c r="S61" s="23"/>
      <c r="T61" s="23"/>
      <c r="U61" s="23"/>
      <c r="V61" s="23"/>
      <c r="W61" s="23"/>
      <c r="X61" s="23"/>
      <c r="Y61" s="23"/>
      <c r="Z61" s="23"/>
      <c r="AA61" s="23"/>
    </row>
    <row r="62" spans="1:27" x14ac:dyDescent="0.35">
      <c r="A62" s="13"/>
      <c r="E62" s="13"/>
      <c r="F62" s="14"/>
      <c r="I62" s="14"/>
      <c r="K62" s="23"/>
      <c r="L62" s="23"/>
      <c r="M62" s="23"/>
      <c r="N62" s="203"/>
      <c r="O62" s="23"/>
      <c r="P62" s="23"/>
      <c r="Q62" s="23"/>
      <c r="R62" s="203"/>
      <c r="S62" s="23"/>
      <c r="T62" s="23"/>
      <c r="U62" s="23"/>
      <c r="V62" s="23"/>
      <c r="W62" s="23"/>
      <c r="X62" s="23"/>
      <c r="Y62" s="23"/>
      <c r="Z62" s="23"/>
      <c r="AA62" s="23"/>
    </row>
    <row r="63" spans="1:27" x14ac:dyDescent="0.35">
      <c r="A63" s="13"/>
      <c r="E63" s="13"/>
      <c r="F63" s="14"/>
      <c r="I63" s="14"/>
      <c r="K63" s="23"/>
      <c r="L63" s="23"/>
      <c r="M63" s="23"/>
      <c r="N63" s="203"/>
      <c r="O63" s="23"/>
      <c r="P63" s="23"/>
      <c r="Q63" s="23"/>
      <c r="R63" s="203"/>
      <c r="S63" s="23"/>
      <c r="T63" s="23"/>
      <c r="U63" s="23"/>
      <c r="V63" s="23"/>
      <c r="W63" s="23"/>
      <c r="X63" s="23"/>
      <c r="Y63" s="23"/>
      <c r="Z63" s="23"/>
      <c r="AA63" s="23"/>
    </row>
    <row r="64" spans="1:27" x14ac:dyDescent="0.35">
      <c r="A64" s="13"/>
      <c r="E64" s="13"/>
      <c r="F64" s="14"/>
      <c r="I64" s="14"/>
      <c r="K64" s="23"/>
      <c r="L64" s="23"/>
      <c r="M64" s="23"/>
      <c r="N64" s="203"/>
      <c r="O64" s="23"/>
      <c r="P64" s="23"/>
      <c r="Q64" s="23"/>
      <c r="R64" s="203"/>
      <c r="S64" s="23"/>
      <c r="T64" s="23"/>
      <c r="U64" s="23"/>
      <c r="V64" s="23"/>
      <c r="W64" s="23"/>
      <c r="X64" s="23"/>
      <c r="Y64" s="23"/>
      <c r="Z64" s="23"/>
      <c r="AA64" s="23"/>
    </row>
    <row r="65" spans="1:27" x14ac:dyDescent="0.35">
      <c r="A65" s="13"/>
      <c r="E65" s="13"/>
      <c r="F65" s="14"/>
      <c r="I65" s="14"/>
      <c r="K65" s="23"/>
      <c r="L65" s="23"/>
      <c r="M65" s="23"/>
      <c r="N65" s="203"/>
      <c r="O65" s="23"/>
      <c r="P65" s="23"/>
      <c r="Q65" s="23"/>
      <c r="R65" s="203"/>
      <c r="S65" s="23"/>
      <c r="T65" s="23"/>
      <c r="U65" s="23"/>
      <c r="V65" s="23"/>
      <c r="W65" s="23"/>
      <c r="X65" s="23"/>
      <c r="Y65" s="23"/>
      <c r="Z65" s="23"/>
      <c r="AA65" s="23"/>
    </row>
    <row r="66" spans="1:27" x14ac:dyDescent="0.35">
      <c r="A66" s="13"/>
      <c r="E66" s="13"/>
      <c r="F66" s="14"/>
      <c r="I66" s="14"/>
      <c r="K66" s="23"/>
      <c r="L66" s="23"/>
      <c r="M66" s="23"/>
      <c r="N66" s="203"/>
      <c r="O66" s="23"/>
      <c r="P66" s="23"/>
      <c r="Q66" s="23"/>
      <c r="R66" s="203"/>
      <c r="S66" s="23"/>
      <c r="T66" s="23"/>
      <c r="U66" s="23"/>
      <c r="V66" s="23"/>
      <c r="W66" s="23"/>
      <c r="X66" s="23"/>
      <c r="Y66" s="23"/>
      <c r="Z66" s="23"/>
      <c r="AA66" s="23"/>
    </row>
    <row r="67" spans="1:27" x14ac:dyDescent="0.35">
      <c r="A67" s="13"/>
      <c r="E67" s="13"/>
      <c r="F67" s="14"/>
      <c r="I67" s="14"/>
      <c r="K67" s="23"/>
      <c r="L67" s="23"/>
      <c r="M67" s="23"/>
      <c r="N67" s="203"/>
      <c r="O67" s="23"/>
      <c r="P67" s="23"/>
      <c r="Q67" s="23"/>
      <c r="R67" s="203"/>
      <c r="S67" s="23"/>
      <c r="T67" s="23"/>
      <c r="U67" s="23"/>
      <c r="V67" s="23"/>
      <c r="W67" s="23"/>
      <c r="X67" s="23"/>
      <c r="Y67" s="23"/>
      <c r="Z67" s="23"/>
      <c r="AA67" s="23"/>
    </row>
    <row r="68" spans="1:27" x14ac:dyDescent="0.35">
      <c r="A68" s="13"/>
      <c r="E68" s="13"/>
      <c r="F68" s="14"/>
      <c r="I68" s="14"/>
      <c r="K68" s="23"/>
      <c r="L68" s="23"/>
      <c r="M68" s="23"/>
      <c r="N68" s="203"/>
      <c r="O68" s="23"/>
      <c r="P68" s="23"/>
      <c r="Q68" s="23"/>
      <c r="R68" s="203"/>
      <c r="S68" s="23"/>
      <c r="T68" s="23"/>
      <c r="U68" s="23"/>
      <c r="V68" s="23"/>
      <c r="W68" s="23"/>
      <c r="X68" s="23"/>
      <c r="Y68" s="23"/>
      <c r="Z68" s="23"/>
      <c r="AA68" s="23"/>
    </row>
    <row r="69" spans="1:27" x14ac:dyDescent="0.35">
      <c r="A69" s="13"/>
      <c r="E69" s="13"/>
      <c r="F69" s="14"/>
      <c r="I69" s="14"/>
      <c r="K69" s="23"/>
      <c r="L69" s="23"/>
      <c r="M69" s="23"/>
      <c r="N69" s="203"/>
      <c r="O69" s="23"/>
      <c r="P69" s="23"/>
      <c r="Q69" s="23"/>
      <c r="R69" s="203"/>
      <c r="S69" s="23"/>
      <c r="T69" s="23"/>
      <c r="U69" s="23"/>
      <c r="V69" s="23"/>
      <c r="W69" s="23"/>
      <c r="X69" s="23"/>
      <c r="Y69" s="23"/>
      <c r="Z69" s="23"/>
      <c r="AA69" s="23"/>
    </row>
    <row r="70" spans="1:27" x14ac:dyDescent="0.35">
      <c r="A70" s="13"/>
      <c r="E70" s="13"/>
      <c r="F70" s="14"/>
      <c r="I70" s="14"/>
      <c r="K70" s="23"/>
      <c r="L70" s="23"/>
      <c r="M70" s="23"/>
      <c r="N70" s="203"/>
      <c r="O70" s="23"/>
      <c r="P70" s="23"/>
      <c r="Q70" s="23"/>
      <c r="R70" s="203"/>
      <c r="S70" s="23"/>
      <c r="T70" s="23"/>
      <c r="U70" s="23"/>
      <c r="V70" s="23"/>
      <c r="W70" s="23"/>
      <c r="X70" s="23"/>
      <c r="Y70" s="23"/>
      <c r="Z70" s="23"/>
      <c r="AA70" s="23"/>
    </row>
    <row r="71" spans="1:27" x14ac:dyDescent="0.35">
      <c r="A71" s="13"/>
      <c r="E71" s="13"/>
      <c r="F71" s="14"/>
      <c r="I71" s="14"/>
      <c r="K71" s="23"/>
      <c r="L71" s="23"/>
      <c r="M71" s="23"/>
      <c r="N71" s="203"/>
      <c r="O71" s="23"/>
      <c r="P71" s="23"/>
      <c r="Q71" s="23"/>
      <c r="R71" s="203"/>
      <c r="S71" s="23"/>
      <c r="T71" s="23"/>
      <c r="U71" s="23"/>
      <c r="V71" s="23"/>
      <c r="W71" s="23"/>
      <c r="X71" s="23"/>
      <c r="Y71" s="23"/>
      <c r="Z71" s="23"/>
      <c r="AA71" s="23"/>
    </row>
    <row r="72" spans="1:27" x14ac:dyDescent="0.35">
      <c r="A72" s="13"/>
      <c r="E72" s="13"/>
      <c r="F72" s="14"/>
      <c r="I72" s="14"/>
      <c r="K72" s="23"/>
      <c r="L72" s="23"/>
      <c r="M72" s="23"/>
      <c r="N72" s="203"/>
      <c r="O72" s="23"/>
      <c r="P72" s="23"/>
      <c r="Q72" s="23"/>
      <c r="R72" s="203"/>
      <c r="S72" s="23"/>
      <c r="T72" s="23"/>
      <c r="U72" s="23"/>
      <c r="V72" s="23"/>
      <c r="W72" s="23"/>
      <c r="X72" s="23"/>
      <c r="Y72" s="23"/>
      <c r="Z72" s="23"/>
      <c r="AA72" s="23"/>
    </row>
    <row r="73" spans="1:27" x14ac:dyDescent="0.35">
      <c r="A73" s="13"/>
      <c r="E73" s="13"/>
      <c r="F73" s="14"/>
      <c r="I73" s="14"/>
      <c r="K73" s="23"/>
      <c r="L73" s="23"/>
      <c r="M73" s="23"/>
      <c r="N73" s="203"/>
      <c r="O73" s="23"/>
      <c r="P73" s="23"/>
      <c r="Q73" s="23"/>
      <c r="R73" s="203"/>
      <c r="S73" s="23"/>
      <c r="T73" s="23"/>
      <c r="U73" s="23"/>
      <c r="V73" s="23"/>
      <c r="W73" s="23"/>
      <c r="X73" s="23"/>
      <c r="Y73" s="23"/>
      <c r="Z73" s="23"/>
      <c r="AA73" s="23"/>
    </row>
    <row r="74" spans="1:27" x14ac:dyDescent="0.35">
      <c r="A74" s="13"/>
      <c r="E74" s="13"/>
      <c r="F74" s="14"/>
      <c r="I74" s="14"/>
      <c r="K74" s="23"/>
      <c r="L74" s="23"/>
      <c r="M74" s="23"/>
      <c r="N74" s="203"/>
      <c r="O74" s="23"/>
      <c r="P74" s="23"/>
      <c r="Q74" s="23"/>
      <c r="R74" s="203"/>
      <c r="S74" s="23"/>
      <c r="T74" s="23"/>
      <c r="U74" s="23"/>
      <c r="V74" s="23"/>
      <c r="W74" s="23"/>
      <c r="X74" s="23"/>
      <c r="Y74" s="23"/>
      <c r="Z74" s="23"/>
      <c r="AA74" s="23"/>
    </row>
    <row r="75" spans="1:27" x14ac:dyDescent="0.35">
      <c r="A75" s="13"/>
      <c r="E75" s="13"/>
      <c r="F75" s="14"/>
      <c r="I75" s="14"/>
      <c r="K75" s="23"/>
      <c r="L75" s="23"/>
      <c r="M75" s="23"/>
      <c r="N75" s="203"/>
      <c r="O75" s="23"/>
      <c r="P75" s="23"/>
      <c r="Q75" s="23"/>
      <c r="R75" s="203"/>
      <c r="S75" s="23"/>
      <c r="T75" s="23"/>
      <c r="U75" s="23"/>
      <c r="V75" s="23"/>
      <c r="W75" s="23"/>
      <c r="X75" s="23"/>
      <c r="Y75" s="23"/>
      <c r="Z75" s="23"/>
      <c r="AA75" s="23"/>
    </row>
    <row r="76" spans="1:27" x14ac:dyDescent="0.35">
      <c r="A76" s="13"/>
      <c r="E76" s="13"/>
      <c r="F76" s="14"/>
      <c r="I76" s="14"/>
      <c r="K76" s="23"/>
      <c r="L76" s="23"/>
      <c r="M76" s="23"/>
      <c r="N76" s="203"/>
      <c r="O76" s="23"/>
      <c r="P76" s="23"/>
      <c r="Q76" s="23"/>
      <c r="R76" s="203"/>
      <c r="S76" s="23"/>
      <c r="T76" s="23"/>
      <c r="U76" s="23"/>
      <c r="V76" s="23"/>
      <c r="W76" s="23"/>
      <c r="X76" s="23"/>
      <c r="Y76" s="23"/>
      <c r="Z76" s="23"/>
      <c r="AA76" s="23"/>
    </row>
    <row r="77" spans="1:27" x14ac:dyDescent="0.35">
      <c r="A77" s="13"/>
      <c r="E77" s="13"/>
      <c r="F77" s="14"/>
      <c r="I77" s="14"/>
      <c r="K77" s="23"/>
      <c r="L77" s="23"/>
      <c r="M77" s="23"/>
      <c r="N77" s="203"/>
      <c r="O77" s="23"/>
      <c r="P77" s="23"/>
      <c r="Q77" s="23"/>
      <c r="R77" s="203"/>
      <c r="S77" s="23"/>
      <c r="T77" s="23"/>
      <c r="U77" s="23"/>
      <c r="V77" s="23"/>
      <c r="W77" s="23"/>
      <c r="X77" s="23"/>
      <c r="Y77" s="23"/>
      <c r="Z77" s="23"/>
      <c r="AA77" s="23"/>
    </row>
    <row r="78" spans="1:27" x14ac:dyDescent="0.35">
      <c r="A78" s="13"/>
      <c r="E78" s="13"/>
      <c r="F78" s="14"/>
      <c r="I78" s="14"/>
      <c r="K78" s="23"/>
      <c r="L78" s="23"/>
      <c r="M78" s="23"/>
      <c r="N78" s="203"/>
      <c r="O78" s="23"/>
      <c r="P78" s="23"/>
      <c r="Q78" s="23"/>
      <c r="R78" s="203"/>
      <c r="S78" s="23"/>
      <c r="T78" s="23"/>
      <c r="U78" s="23"/>
      <c r="V78" s="23"/>
      <c r="W78" s="23"/>
      <c r="X78" s="23"/>
      <c r="Y78" s="23"/>
      <c r="Z78" s="23"/>
      <c r="AA78" s="23"/>
    </row>
    <row r="79" spans="1:27" x14ac:dyDescent="0.35">
      <c r="A79" s="13"/>
      <c r="E79" s="13"/>
      <c r="F79" s="14"/>
      <c r="I79" s="14"/>
      <c r="K79" s="23"/>
      <c r="L79" s="23"/>
      <c r="M79" s="23"/>
      <c r="N79" s="203"/>
      <c r="O79" s="23"/>
      <c r="P79" s="23"/>
      <c r="Q79" s="23"/>
      <c r="R79" s="203"/>
      <c r="S79" s="23"/>
      <c r="T79" s="23"/>
      <c r="U79" s="23"/>
      <c r="V79" s="23"/>
      <c r="W79" s="23"/>
      <c r="X79" s="23"/>
      <c r="Y79" s="23"/>
      <c r="Z79" s="23"/>
      <c r="AA79" s="23"/>
    </row>
    <row r="80" spans="1:27" x14ac:dyDescent="0.35">
      <c r="A80" s="13"/>
      <c r="E80" s="13"/>
      <c r="F80" s="14"/>
      <c r="I80" s="14"/>
      <c r="K80" s="23"/>
      <c r="L80" s="23"/>
      <c r="M80" s="23"/>
      <c r="N80" s="203"/>
      <c r="O80" s="23"/>
      <c r="P80" s="23"/>
      <c r="Q80" s="23"/>
      <c r="R80" s="203"/>
      <c r="S80" s="23"/>
      <c r="T80" s="23"/>
      <c r="U80" s="23"/>
      <c r="V80" s="23"/>
      <c r="W80" s="23"/>
      <c r="X80" s="23"/>
      <c r="Y80" s="23"/>
      <c r="Z80" s="23"/>
      <c r="AA80" s="23"/>
    </row>
    <row r="81" spans="1:27" x14ac:dyDescent="0.35">
      <c r="A81" s="13"/>
      <c r="E81" s="13"/>
      <c r="F81" s="14"/>
      <c r="I81" s="14"/>
      <c r="K81" s="23"/>
      <c r="L81" s="23"/>
      <c r="M81" s="23"/>
      <c r="N81" s="203"/>
      <c r="O81" s="23"/>
      <c r="P81" s="23"/>
      <c r="Q81" s="23"/>
      <c r="R81" s="203"/>
      <c r="S81" s="23"/>
      <c r="T81" s="23"/>
      <c r="U81" s="23"/>
      <c r="V81" s="23"/>
      <c r="W81" s="23"/>
      <c r="X81" s="23"/>
      <c r="Y81" s="23"/>
      <c r="Z81" s="23"/>
      <c r="AA81" s="23"/>
    </row>
    <row r="82" spans="1:27" x14ac:dyDescent="0.35">
      <c r="A82" s="13"/>
      <c r="E82" s="13"/>
      <c r="F82" s="14"/>
      <c r="I82" s="14"/>
      <c r="K82" s="23"/>
      <c r="L82" s="23"/>
      <c r="M82" s="23"/>
      <c r="N82" s="203"/>
      <c r="O82" s="23"/>
      <c r="P82" s="23"/>
      <c r="Q82" s="23"/>
      <c r="R82" s="203"/>
      <c r="S82" s="23"/>
      <c r="T82" s="23"/>
      <c r="U82" s="23"/>
      <c r="V82" s="23"/>
      <c r="W82" s="23"/>
      <c r="X82" s="23"/>
      <c r="Y82" s="23"/>
      <c r="Z82" s="23"/>
      <c r="AA82" s="23"/>
    </row>
    <row r="83" spans="1:27" x14ac:dyDescent="0.35">
      <c r="A83" s="13"/>
      <c r="E83" s="13"/>
      <c r="F83" s="14"/>
      <c r="I83" s="14"/>
      <c r="K83" s="23"/>
      <c r="L83" s="23"/>
      <c r="M83" s="23"/>
      <c r="N83" s="203"/>
      <c r="O83" s="23"/>
      <c r="P83" s="23"/>
      <c r="Q83" s="23"/>
      <c r="R83" s="203"/>
      <c r="S83" s="23"/>
      <c r="T83" s="23"/>
      <c r="U83" s="23"/>
      <c r="V83" s="23"/>
      <c r="W83" s="23"/>
      <c r="X83" s="23"/>
      <c r="Y83" s="23"/>
      <c r="Z83" s="23"/>
      <c r="AA83" s="23"/>
    </row>
    <row r="84" spans="1:27" x14ac:dyDescent="0.35">
      <c r="A84" s="13"/>
      <c r="E84" s="13"/>
      <c r="F84" s="14"/>
      <c r="I84" s="14"/>
      <c r="K84" s="23"/>
      <c r="L84" s="23"/>
      <c r="M84" s="23"/>
      <c r="N84" s="203"/>
      <c r="O84" s="23"/>
      <c r="P84" s="23"/>
      <c r="Q84" s="23"/>
      <c r="R84" s="203"/>
      <c r="S84" s="23"/>
      <c r="T84" s="23"/>
      <c r="U84" s="23"/>
      <c r="V84" s="23"/>
      <c r="W84" s="23"/>
      <c r="X84" s="23"/>
      <c r="Y84" s="23"/>
      <c r="Z84" s="23"/>
      <c r="AA84" s="23"/>
    </row>
    <row r="85" spans="1:27" x14ac:dyDescent="0.35">
      <c r="A85" s="13"/>
      <c r="E85" s="13"/>
      <c r="F85" s="14"/>
      <c r="I85" s="14"/>
      <c r="K85" s="23"/>
      <c r="L85" s="23"/>
      <c r="M85" s="23"/>
      <c r="N85" s="203"/>
      <c r="O85" s="23"/>
      <c r="P85" s="23"/>
      <c r="Q85" s="23"/>
      <c r="R85" s="203"/>
      <c r="S85" s="23"/>
      <c r="T85" s="23"/>
      <c r="U85" s="23"/>
      <c r="V85" s="23"/>
      <c r="W85" s="23"/>
      <c r="X85" s="23"/>
      <c r="Y85" s="23"/>
      <c r="Z85" s="23"/>
      <c r="AA85" s="23"/>
    </row>
    <row r="86" spans="1:27" x14ac:dyDescent="0.35">
      <c r="A86" s="13"/>
      <c r="E86" s="13"/>
      <c r="F86" s="14"/>
      <c r="I86" s="14"/>
      <c r="K86" s="23"/>
      <c r="L86" s="23"/>
      <c r="M86" s="23"/>
      <c r="N86" s="203"/>
      <c r="O86" s="23"/>
      <c r="P86" s="23"/>
      <c r="Q86" s="23"/>
      <c r="R86" s="203"/>
      <c r="S86" s="23"/>
      <c r="T86" s="23"/>
      <c r="U86" s="23"/>
      <c r="V86" s="23"/>
      <c r="W86" s="23"/>
      <c r="X86" s="23"/>
      <c r="Y86" s="23"/>
      <c r="Z86" s="23"/>
      <c r="AA86" s="23"/>
    </row>
    <row r="87" spans="1:27" x14ac:dyDescent="0.35">
      <c r="A87" s="13"/>
      <c r="E87" s="13"/>
      <c r="F87" s="14"/>
      <c r="I87" s="14"/>
      <c r="K87" s="23"/>
      <c r="L87" s="23"/>
      <c r="M87" s="23"/>
      <c r="N87" s="203"/>
      <c r="O87" s="23"/>
      <c r="P87" s="23"/>
      <c r="Q87" s="23"/>
      <c r="R87" s="203"/>
      <c r="S87" s="23"/>
      <c r="T87" s="23"/>
      <c r="U87" s="23"/>
      <c r="V87" s="23"/>
      <c r="W87" s="23"/>
      <c r="X87" s="23"/>
      <c r="Y87" s="23"/>
      <c r="Z87" s="23"/>
      <c r="AA87" s="23"/>
    </row>
    <row r="88" spans="1:27" x14ac:dyDescent="0.35">
      <c r="A88" s="13"/>
      <c r="E88" s="13"/>
      <c r="F88" s="14"/>
      <c r="I88" s="14"/>
      <c r="K88" s="23"/>
      <c r="L88" s="23"/>
      <c r="M88" s="23"/>
      <c r="N88" s="203"/>
      <c r="O88" s="23"/>
      <c r="P88" s="23"/>
      <c r="Q88" s="23"/>
      <c r="R88" s="203"/>
      <c r="S88" s="23"/>
      <c r="T88" s="23"/>
      <c r="U88" s="23"/>
      <c r="V88" s="23"/>
      <c r="W88" s="23"/>
      <c r="X88" s="23"/>
      <c r="Y88" s="23"/>
      <c r="Z88" s="23"/>
      <c r="AA88" s="23"/>
    </row>
    <row r="89" spans="1:27" x14ac:dyDescent="0.35">
      <c r="A89" s="13"/>
      <c r="E89" s="13"/>
      <c r="F89" s="14"/>
      <c r="I89" s="14"/>
      <c r="K89" s="23"/>
      <c r="L89" s="23"/>
      <c r="M89" s="23"/>
      <c r="N89" s="203"/>
      <c r="O89" s="23"/>
      <c r="P89" s="23"/>
      <c r="Q89" s="23"/>
      <c r="R89" s="203"/>
      <c r="S89" s="23"/>
      <c r="T89" s="23"/>
      <c r="U89" s="23"/>
      <c r="V89" s="23"/>
      <c r="W89" s="23"/>
      <c r="X89" s="23"/>
      <c r="Y89" s="23"/>
      <c r="Z89" s="23"/>
      <c r="AA89" s="23"/>
    </row>
    <row r="90" spans="1:27" x14ac:dyDescent="0.35">
      <c r="A90" s="13"/>
      <c r="E90" s="13"/>
      <c r="F90" s="14"/>
      <c r="I90" s="14"/>
      <c r="K90" s="23"/>
      <c r="L90" s="23"/>
      <c r="M90" s="23"/>
      <c r="N90" s="203"/>
      <c r="O90" s="23"/>
      <c r="P90" s="23"/>
      <c r="Q90" s="23"/>
      <c r="R90" s="203"/>
      <c r="S90" s="23"/>
      <c r="T90" s="23"/>
      <c r="U90" s="23"/>
      <c r="V90" s="23"/>
      <c r="W90" s="23"/>
      <c r="X90" s="23"/>
      <c r="Y90" s="23"/>
      <c r="Z90" s="23"/>
      <c r="AA90" s="23"/>
    </row>
    <row r="91" spans="1:27" x14ac:dyDescent="0.35">
      <c r="A91" s="13"/>
      <c r="E91" s="13"/>
      <c r="F91" s="14"/>
      <c r="I91" s="14"/>
      <c r="K91" s="23"/>
      <c r="L91" s="23"/>
      <c r="M91" s="23"/>
      <c r="N91" s="203"/>
      <c r="O91" s="23"/>
      <c r="P91" s="23"/>
      <c r="Q91" s="23"/>
      <c r="R91" s="203"/>
      <c r="S91" s="23"/>
      <c r="T91" s="23"/>
      <c r="U91" s="23"/>
      <c r="V91" s="23"/>
      <c r="W91" s="23"/>
      <c r="X91" s="23"/>
      <c r="Y91" s="23"/>
      <c r="Z91" s="23"/>
      <c r="AA91" s="23"/>
    </row>
    <row r="92" spans="1:27" x14ac:dyDescent="0.35">
      <c r="A92" s="13"/>
      <c r="E92" s="13"/>
      <c r="F92" s="14"/>
      <c r="I92" s="14"/>
      <c r="K92" s="23"/>
      <c r="L92" s="23"/>
      <c r="M92" s="23"/>
      <c r="N92" s="203"/>
      <c r="O92" s="23"/>
      <c r="P92" s="23"/>
      <c r="Q92" s="23"/>
      <c r="R92" s="203"/>
      <c r="S92" s="23"/>
      <c r="T92" s="23"/>
      <c r="U92" s="23"/>
      <c r="V92" s="23"/>
      <c r="W92" s="23"/>
      <c r="X92" s="23"/>
      <c r="Y92" s="23"/>
      <c r="Z92" s="23"/>
      <c r="AA92" s="23"/>
    </row>
    <row r="93" spans="1:27" x14ac:dyDescent="0.35">
      <c r="A93" s="13"/>
      <c r="E93" s="13"/>
      <c r="F93" s="14"/>
      <c r="I93" s="14"/>
      <c r="K93" s="23"/>
      <c r="L93" s="23"/>
      <c r="M93" s="23"/>
      <c r="N93" s="203"/>
      <c r="O93" s="23"/>
      <c r="P93" s="23"/>
      <c r="Q93" s="23"/>
      <c r="R93" s="203"/>
      <c r="S93" s="23"/>
      <c r="T93" s="23"/>
      <c r="U93" s="23"/>
      <c r="V93" s="23"/>
      <c r="W93" s="23"/>
      <c r="X93" s="23"/>
      <c r="Y93" s="23"/>
      <c r="Z93" s="23"/>
      <c r="AA93" s="23"/>
    </row>
    <row r="94" spans="1:27" x14ac:dyDescent="0.35">
      <c r="A94" s="13"/>
      <c r="E94" s="13"/>
      <c r="F94" s="14"/>
      <c r="I94" s="14"/>
      <c r="K94" s="23"/>
      <c r="L94" s="23"/>
      <c r="M94" s="23"/>
      <c r="N94" s="203"/>
      <c r="O94" s="23"/>
      <c r="P94" s="23"/>
      <c r="Q94" s="23"/>
      <c r="R94" s="203"/>
      <c r="S94" s="23"/>
      <c r="T94" s="23"/>
      <c r="U94" s="23"/>
      <c r="V94" s="23"/>
      <c r="W94" s="23"/>
      <c r="X94" s="23"/>
      <c r="Y94" s="23"/>
      <c r="Z94" s="23"/>
      <c r="AA94" s="23"/>
    </row>
    <row r="95" spans="1:27" x14ac:dyDescent="0.35">
      <c r="A95" s="13"/>
      <c r="E95" s="13"/>
      <c r="F95" s="14"/>
      <c r="I95" s="14"/>
      <c r="K95" s="23"/>
      <c r="L95" s="23"/>
      <c r="M95" s="23"/>
      <c r="N95" s="203"/>
      <c r="O95" s="23"/>
      <c r="P95" s="23"/>
      <c r="Q95" s="23"/>
      <c r="R95" s="203"/>
      <c r="S95" s="23"/>
      <c r="T95" s="23"/>
      <c r="U95" s="23"/>
      <c r="V95" s="23"/>
      <c r="W95" s="23"/>
      <c r="X95" s="23"/>
      <c r="Y95" s="23"/>
      <c r="Z95" s="23"/>
      <c r="AA95" s="23"/>
    </row>
    <row r="96" spans="1:27" x14ac:dyDescent="0.35">
      <c r="A96" s="13"/>
      <c r="E96" s="13"/>
      <c r="F96" s="14"/>
      <c r="I96" s="14"/>
      <c r="K96" s="23"/>
      <c r="L96" s="23"/>
      <c r="M96" s="23"/>
      <c r="N96" s="203"/>
      <c r="O96" s="23"/>
      <c r="P96" s="23"/>
      <c r="Q96" s="23"/>
      <c r="R96" s="203"/>
      <c r="S96" s="23"/>
      <c r="T96" s="23"/>
      <c r="U96" s="23"/>
      <c r="V96" s="23"/>
      <c r="W96" s="23"/>
      <c r="X96" s="23"/>
      <c r="Y96" s="23"/>
      <c r="Z96" s="23"/>
      <c r="AA96" s="23"/>
    </row>
    <row r="97" spans="1:27" x14ac:dyDescent="0.35">
      <c r="A97" s="13"/>
      <c r="E97" s="13"/>
      <c r="F97" s="14"/>
      <c r="I97" s="14"/>
      <c r="K97" s="23"/>
      <c r="L97" s="23"/>
      <c r="M97" s="23"/>
      <c r="N97" s="203"/>
      <c r="O97" s="23"/>
      <c r="P97" s="23"/>
      <c r="Q97" s="23"/>
      <c r="R97" s="203"/>
      <c r="S97" s="23"/>
      <c r="T97" s="23"/>
      <c r="U97" s="23"/>
      <c r="V97" s="23"/>
      <c r="W97" s="23"/>
      <c r="X97" s="23"/>
      <c r="Y97" s="23"/>
      <c r="Z97" s="23"/>
      <c r="AA97" s="23"/>
    </row>
    <row r="98" spans="1:27" x14ac:dyDescent="0.35">
      <c r="A98" s="13"/>
      <c r="E98" s="13"/>
      <c r="F98" s="14"/>
      <c r="I98" s="14"/>
      <c r="K98" s="23"/>
      <c r="L98" s="23"/>
      <c r="M98" s="23"/>
      <c r="N98" s="203"/>
      <c r="O98" s="23"/>
      <c r="P98" s="23"/>
      <c r="Q98" s="23"/>
      <c r="R98" s="203"/>
      <c r="S98" s="23"/>
      <c r="T98" s="23"/>
      <c r="U98" s="23"/>
      <c r="V98" s="23"/>
      <c r="W98" s="23"/>
      <c r="X98" s="23"/>
      <c r="Y98" s="23"/>
      <c r="Z98" s="23"/>
      <c r="AA98" s="23"/>
    </row>
    <row r="99" spans="1:27" x14ac:dyDescent="0.35">
      <c r="A99" s="13"/>
      <c r="E99" s="13"/>
      <c r="F99" s="14"/>
      <c r="I99" s="14"/>
      <c r="K99" s="23"/>
      <c r="L99" s="23"/>
      <c r="M99" s="23"/>
      <c r="N99" s="203"/>
      <c r="O99" s="23"/>
      <c r="P99" s="23"/>
      <c r="Q99" s="23"/>
      <c r="R99" s="203"/>
      <c r="S99" s="23"/>
      <c r="T99" s="23"/>
      <c r="U99" s="23"/>
      <c r="V99" s="23"/>
      <c r="W99" s="23"/>
      <c r="X99" s="23"/>
      <c r="Y99" s="23"/>
      <c r="Z99" s="23"/>
      <c r="AA99" s="23"/>
    </row>
    <row r="100" spans="1:27" x14ac:dyDescent="0.35">
      <c r="A100" s="13"/>
      <c r="E100" s="13"/>
      <c r="F100" s="14"/>
      <c r="I100" s="14"/>
      <c r="K100" s="23"/>
      <c r="L100" s="23"/>
      <c r="M100" s="23"/>
      <c r="N100" s="203"/>
      <c r="O100" s="23"/>
      <c r="P100" s="23"/>
      <c r="Q100" s="23"/>
      <c r="R100" s="203"/>
      <c r="S100" s="23"/>
      <c r="T100" s="23"/>
      <c r="U100" s="23"/>
      <c r="V100" s="23"/>
      <c r="W100" s="23"/>
      <c r="X100" s="23"/>
      <c r="Y100" s="23"/>
      <c r="Z100" s="23"/>
      <c r="AA100" s="23"/>
    </row>
    <row r="101" spans="1:27" x14ac:dyDescent="0.35">
      <c r="A101" s="13"/>
      <c r="E101" s="13"/>
      <c r="F101" s="14"/>
      <c r="I101" s="14"/>
      <c r="K101" s="23"/>
      <c r="L101" s="23"/>
      <c r="M101" s="23"/>
      <c r="N101" s="203"/>
      <c r="O101" s="23"/>
      <c r="P101" s="23"/>
      <c r="Q101" s="23"/>
      <c r="R101" s="203"/>
      <c r="S101" s="23"/>
      <c r="T101" s="23"/>
      <c r="U101" s="23"/>
      <c r="V101" s="23"/>
      <c r="W101" s="23"/>
      <c r="X101" s="23"/>
      <c r="Y101" s="23"/>
      <c r="Z101" s="23"/>
      <c r="AA101" s="23"/>
    </row>
    <row r="102" spans="1:27" x14ac:dyDescent="0.35">
      <c r="A102" s="13"/>
      <c r="E102" s="13"/>
      <c r="F102" s="14"/>
      <c r="I102" s="14"/>
      <c r="K102" s="23"/>
      <c r="L102" s="23"/>
      <c r="M102" s="23"/>
      <c r="N102" s="203"/>
      <c r="O102" s="23"/>
      <c r="P102" s="23"/>
      <c r="Q102" s="23"/>
      <c r="R102" s="203"/>
      <c r="S102" s="23"/>
      <c r="T102" s="23"/>
      <c r="U102" s="23"/>
      <c r="V102" s="23"/>
      <c r="W102" s="23"/>
      <c r="X102" s="23"/>
      <c r="Y102" s="23"/>
      <c r="Z102" s="23"/>
      <c r="AA102" s="23"/>
    </row>
    <row r="103" spans="1:27" x14ac:dyDescent="0.35">
      <c r="A103" s="13"/>
      <c r="E103" s="13"/>
      <c r="F103" s="14"/>
      <c r="I103" s="14"/>
      <c r="K103" s="23"/>
      <c r="L103" s="23"/>
      <c r="M103" s="23"/>
      <c r="N103" s="203"/>
      <c r="O103" s="23"/>
      <c r="P103" s="23"/>
      <c r="Q103" s="23"/>
      <c r="R103" s="203"/>
      <c r="S103" s="23"/>
      <c r="T103" s="23"/>
      <c r="U103" s="23"/>
      <c r="V103" s="23"/>
      <c r="W103" s="23"/>
      <c r="X103" s="23"/>
      <c r="Y103" s="23"/>
      <c r="Z103" s="23"/>
      <c r="AA103" s="23"/>
    </row>
    <row r="104" spans="1:27" x14ac:dyDescent="0.35">
      <c r="A104" s="13"/>
      <c r="E104" s="13"/>
      <c r="F104" s="14"/>
      <c r="I104" s="14"/>
      <c r="K104" s="23"/>
      <c r="L104" s="23"/>
      <c r="M104" s="23"/>
      <c r="N104" s="203"/>
      <c r="O104" s="23"/>
      <c r="P104" s="23"/>
      <c r="Q104" s="23"/>
      <c r="R104" s="203"/>
      <c r="S104" s="23"/>
      <c r="T104" s="23"/>
      <c r="U104" s="23"/>
      <c r="V104" s="23"/>
      <c r="W104" s="23"/>
      <c r="X104" s="23"/>
      <c r="Y104" s="23"/>
      <c r="Z104" s="23"/>
      <c r="AA104" s="23"/>
    </row>
    <row r="105" spans="1:27" x14ac:dyDescent="0.35">
      <c r="A105" s="13"/>
      <c r="E105" s="13"/>
      <c r="F105" s="14"/>
      <c r="I105" s="14"/>
      <c r="K105" s="23"/>
      <c r="L105" s="23"/>
      <c r="M105" s="23"/>
      <c r="N105" s="203"/>
      <c r="O105" s="23"/>
      <c r="P105" s="23"/>
      <c r="Q105" s="23"/>
      <c r="R105" s="203"/>
      <c r="S105" s="23"/>
      <c r="T105" s="23"/>
      <c r="U105" s="23"/>
      <c r="V105" s="23"/>
      <c r="W105" s="23"/>
      <c r="X105" s="23"/>
      <c r="Y105" s="23"/>
      <c r="Z105" s="23"/>
      <c r="AA105" s="23"/>
    </row>
    <row r="106" spans="1:27" x14ac:dyDescent="0.35">
      <c r="A106" s="13"/>
      <c r="E106" s="13"/>
      <c r="F106" s="14"/>
      <c r="I106" s="14"/>
      <c r="K106" s="23"/>
      <c r="L106" s="23"/>
      <c r="M106" s="23"/>
      <c r="N106" s="203"/>
      <c r="O106" s="23"/>
      <c r="P106" s="23"/>
      <c r="Q106" s="23"/>
      <c r="R106" s="203"/>
      <c r="S106" s="23"/>
      <c r="T106" s="23"/>
      <c r="U106" s="23"/>
      <c r="V106" s="23"/>
      <c r="W106" s="23"/>
      <c r="X106" s="23"/>
      <c r="Y106" s="23"/>
      <c r="Z106" s="23"/>
      <c r="AA106" s="23"/>
    </row>
    <row r="107" spans="1:27" x14ac:dyDescent="0.35">
      <c r="A107" s="13"/>
      <c r="E107" s="13"/>
      <c r="F107" s="14"/>
      <c r="I107" s="14"/>
      <c r="K107" s="23"/>
      <c r="L107" s="23"/>
      <c r="M107" s="23"/>
      <c r="N107" s="203"/>
      <c r="O107" s="23"/>
      <c r="P107" s="23"/>
      <c r="Q107" s="23"/>
      <c r="R107" s="203"/>
      <c r="S107" s="23"/>
      <c r="T107" s="23"/>
      <c r="U107" s="23"/>
      <c r="V107" s="23"/>
      <c r="W107" s="23"/>
      <c r="X107" s="23"/>
      <c r="Y107" s="23"/>
      <c r="Z107" s="23"/>
      <c r="AA107" s="23"/>
    </row>
    <row r="108" spans="1:27" x14ac:dyDescent="0.35">
      <c r="A108" s="13"/>
      <c r="E108" s="13"/>
      <c r="F108" s="14"/>
      <c r="I108" s="14"/>
      <c r="N108" s="203"/>
      <c r="R108" s="203"/>
    </row>
    <row r="109" spans="1:27" x14ac:dyDescent="0.35">
      <c r="A109" s="13"/>
      <c r="E109" s="13"/>
      <c r="F109" s="14"/>
      <c r="I109" s="14"/>
      <c r="N109" s="203"/>
      <c r="R109" s="203"/>
    </row>
    <row r="110" spans="1:27" x14ac:dyDescent="0.35">
      <c r="A110" s="13"/>
      <c r="E110" s="13"/>
      <c r="F110" s="14"/>
      <c r="I110" s="14"/>
      <c r="N110" s="203"/>
      <c r="R110" s="203"/>
    </row>
    <row r="111" spans="1:27" x14ac:dyDescent="0.35">
      <c r="A111" s="13"/>
      <c r="E111" s="13"/>
      <c r="F111" s="14"/>
      <c r="I111" s="14"/>
      <c r="N111" s="203"/>
      <c r="R111" s="203"/>
    </row>
    <row r="112" spans="1:27" x14ac:dyDescent="0.35">
      <c r="A112" s="13"/>
      <c r="E112" s="13"/>
      <c r="F112" s="14"/>
      <c r="I112" s="14"/>
      <c r="N112" s="203"/>
      <c r="R112" s="203"/>
    </row>
    <row r="113" spans="1:18" x14ac:dyDescent="0.35">
      <c r="A113" s="13"/>
      <c r="E113" s="13"/>
      <c r="F113" s="14"/>
      <c r="I113" s="14"/>
      <c r="N113" s="203"/>
      <c r="R113" s="203"/>
    </row>
    <row r="114" spans="1:18" x14ac:dyDescent="0.35">
      <c r="A114" s="13"/>
      <c r="E114" s="13"/>
      <c r="F114" s="14"/>
      <c r="I114" s="14"/>
      <c r="N114" s="203"/>
      <c r="R114" s="203"/>
    </row>
    <row r="115" spans="1:18" x14ac:dyDescent="0.35">
      <c r="A115" s="13"/>
      <c r="E115" s="13"/>
      <c r="F115" s="14"/>
      <c r="I115" s="14"/>
      <c r="N115" s="203"/>
      <c r="R115" s="203"/>
    </row>
    <row r="116" spans="1:18" x14ac:dyDescent="0.35">
      <c r="A116" s="13"/>
      <c r="E116" s="13"/>
      <c r="F116" s="14"/>
      <c r="I116" s="14"/>
      <c r="N116" s="203"/>
      <c r="R116" s="203"/>
    </row>
    <row r="117" spans="1:18" x14ac:dyDescent="0.35">
      <c r="A117" s="13"/>
      <c r="E117" s="13"/>
      <c r="F117" s="14"/>
      <c r="I117" s="14"/>
      <c r="N117" s="203"/>
      <c r="R117" s="203"/>
    </row>
    <row r="118" spans="1:18" x14ac:dyDescent="0.35">
      <c r="A118" s="13"/>
      <c r="E118" s="13"/>
      <c r="F118" s="14"/>
      <c r="I118" s="14"/>
      <c r="N118" s="203"/>
      <c r="R118" s="203"/>
    </row>
    <row r="119" spans="1:18" x14ac:dyDescent="0.35">
      <c r="A119" s="13"/>
      <c r="E119" s="13"/>
      <c r="F119" s="14"/>
      <c r="I119" s="14"/>
      <c r="N119" s="203"/>
      <c r="R119" s="203"/>
    </row>
    <row r="120" spans="1:18" x14ac:dyDescent="0.35">
      <c r="A120" s="13"/>
      <c r="E120" s="13"/>
      <c r="F120" s="14"/>
      <c r="I120" s="14"/>
      <c r="N120" s="203"/>
      <c r="R120" s="203"/>
    </row>
    <row r="121" spans="1:18" x14ac:dyDescent="0.35">
      <c r="A121" s="13"/>
      <c r="E121" s="13"/>
      <c r="F121" s="14"/>
      <c r="I121" s="14"/>
      <c r="N121" s="203"/>
      <c r="R121" s="203"/>
    </row>
    <row r="122" spans="1:18" x14ac:dyDescent="0.35">
      <c r="A122" s="13"/>
      <c r="E122" s="13"/>
      <c r="F122" s="14"/>
      <c r="I122" s="14"/>
      <c r="N122" s="203"/>
      <c r="R122" s="203"/>
    </row>
    <row r="123" spans="1:18" x14ac:dyDescent="0.35">
      <c r="A123" s="13"/>
      <c r="E123" s="13"/>
      <c r="F123" s="14"/>
      <c r="I123" s="14"/>
      <c r="N123" s="203"/>
      <c r="R123" s="203"/>
    </row>
    <row r="124" spans="1:18" x14ac:dyDescent="0.35">
      <c r="A124" s="13"/>
      <c r="E124" s="13"/>
      <c r="F124" s="14"/>
      <c r="I124" s="14"/>
      <c r="N124" s="203"/>
      <c r="R124" s="203"/>
    </row>
    <row r="125" spans="1:18" x14ac:dyDescent="0.35">
      <c r="A125" s="13"/>
      <c r="E125" s="13"/>
      <c r="F125" s="14"/>
      <c r="I125" s="14"/>
      <c r="N125" s="203"/>
      <c r="R125" s="203"/>
    </row>
    <row r="126" spans="1:18" x14ac:dyDescent="0.35">
      <c r="A126" s="13"/>
      <c r="E126" s="13"/>
      <c r="F126" s="14"/>
      <c r="I126" s="14"/>
      <c r="N126" s="203"/>
      <c r="R126" s="203"/>
    </row>
    <row r="127" spans="1:18" x14ac:dyDescent="0.35">
      <c r="A127" s="13"/>
      <c r="E127" s="13"/>
      <c r="F127" s="14"/>
      <c r="I127" s="14"/>
      <c r="N127" s="203"/>
      <c r="R127" s="203"/>
    </row>
    <row r="128" spans="1:18" x14ac:dyDescent="0.35">
      <c r="A128" s="13"/>
      <c r="E128" s="13"/>
      <c r="F128" s="14"/>
      <c r="I128" s="14"/>
      <c r="N128" s="203"/>
      <c r="R128" s="203"/>
    </row>
    <row r="129" spans="1:18" x14ac:dyDescent="0.35">
      <c r="A129" s="13"/>
      <c r="E129" s="13"/>
      <c r="F129" s="14"/>
      <c r="I129" s="14"/>
      <c r="N129" s="203"/>
      <c r="R129" s="203"/>
    </row>
    <row r="130" spans="1:18" x14ac:dyDescent="0.35">
      <c r="A130" s="13"/>
      <c r="E130" s="13"/>
      <c r="F130" s="14"/>
      <c r="I130" s="14"/>
      <c r="N130" s="203"/>
      <c r="R130" s="203"/>
    </row>
    <row r="131" spans="1:18" x14ac:dyDescent="0.35">
      <c r="A131" s="13"/>
      <c r="E131" s="13"/>
      <c r="F131" s="14"/>
      <c r="I131" s="14"/>
      <c r="N131" s="203"/>
      <c r="R131" s="203"/>
    </row>
    <row r="132" spans="1:18" x14ac:dyDescent="0.35">
      <c r="A132" s="13"/>
      <c r="E132" s="13"/>
      <c r="F132" s="14"/>
      <c r="I132" s="14"/>
      <c r="N132" s="203"/>
      <c r="R132" s="203"/>
    </row>
    <row r="133" spans="1:18" x14ac:dyDescent="0.35">
      <c r="A133" s="13"/>
      <c r="E133" s="13"/>
      <c r="F133" s="14"/>
      <c r="I133" s="14"/>
      <c r="N133" s="203"/>
      <c r="R133" s="203"/>
    </row>
    <row r="134" spans="1:18" x14ac:dyDescent="0.35">
      <c r="A134" s="13"/>
      <c r="E134" s="13"/>
      <c r="F134" s="14"/>
      <c r="I134" s="14"/>
      <c r="N134" s="203"/>
      <c r="R134" s="203"/>
    </row>
    <row r="135" spans="1:18" x14ac:dyDescent="0.35">
      <c r="A135" s="13"/>
      <c r="E135" s="13"/>
      <c r="F135" s="14"/>
      <c r="I135" s="14"/>
      <c r="N135" s="203"/>
      <c r="R135" s="203"/>
    </row>
    <row r="136" spans="1:18" x14ac:dyDescent="0.35">
      <c r="A136" s="13"/>
      <c r="E136" s="13"/>
      <c r="F136" s="14"/>
      <c r="I136" s="14"/>
      <c r="N136" s="203"/>
      <c r="R136" s="203"/>
    </row>
    <row r="137" spans="1:18" x14ac:dyDescent="0.35">
      <c r="A137" s="13"/>
      <c r="E137" s="13"/>
      <c r="F137" s="14"/>
      <c r="I137" s="14"/>
      <c r="N137" s="203"/>
      <c r="R137" s="203"/>
    </row>
    <row r="138" spans="1:18" x14ac:dyDescent="0.35">
      <c r="A138" s="13"/>
      <c r="E138" s="13"/>
      <c r="F138" s="14"/>
      <c r="I138" s="14"/>
      <c r="N138" s="203"/>
      <c r="R138" s="203"/>
    </row>
    <row r="139" spans="1:18" x14ac:dyDescent="0.35">
      <c r="A139" s="13"/>
      <c r="E139" s="13"/>
      <c r="F139" s="14"/>
      <c r="I139" s="14"/>
      <c r="N139" s="203"/>
      <c r="R139" s="203"/>
    </row>
    <row r="140" spans="1:18" x14ac:dyDescent="0.35">
      <c r="A140" s="13"/>
      <c r="E140" s="13"/>
      <c r="F140" s="14"/>
      <c r="I140" s="14"/>
      <c r="N140" s="203"/>
      <c r="R140" s="203"/>
    </row>
    <row r="141" spans="1:18" x14ac:dyDescent="0.35">
      <c r="A141" s="13"/>
      <c r="E141" s="13"/>
      <c r="F141" s="14"/>
      <c r="I141" s="14"/>
      <c r="N141" s="203"/>
      <c r="R141" s="203"/>
    </row>
    <row r="142" spans="1:18" x14ac:dyDescent="0.35">
      <c r="A142" s="13"/>
      <c r="E142" s="13"/>
      <c r="F142" s="14"/>
      <c r="I142" s="14"/>
      <c r="N142" s="203"/>
      <c r="R142" s="203"/>
    </row>
    <row r="143" spans="1:18" x14ac:dyDescent="0.35">
      <c r="A143" s="13"/>
      <c r="E143" s="13"/>
      <c r="F143" s="14"/>
      <c r="I143" s="14"/>
      <c r="N143" s="203"/>
      <c r="R143" s="203"/>
    </row>
    <row r="144" spans="1:18" x14ac:dyDescent="0.35">
      <c r="A144" s="13"/>
      <c r="E144" s="13"/>
      <c r="F144" s="14"/>
      <c r="I144" s="14"/>
      <c r="N144" s="203"/>
      <c r="R144" s="203"/>
    </row>
    <row r="145" spans="1:18" x14ac:dyDescent="0.35">
      <c r="A145" s="13"/>
      <c r="E145" s="13"/>
      <c r="F145" s="14"/>
      <c r="I145" s="14"/>
      <c r="N145" s="203"/>
      <c r="R145" s="203"/>
    </row>
    <row r="146" spans="1:18" x14ac:dyDescent="0.35">
      <c r="A146" s="13"/>
      <c r="E146" s="13"/>
      <c r="F146" s="14"/>
      <c r="I146" s="14"/>
      <c r="N146" s="203"/>
      <c r="R146" s="203"/>
    </row>
    <row r="147" spans="1:18" x14ac:dyDescent="0.35">
      <c r="A147" s="13"/>
      <c r="E147" s="13"/>
      <c r="F147" s="14"/>
      <c r="I147" s="14"/>
      <c r="N147" s="203"/>
      <c r="R147" s="203"/>
    </row>
    <row r="148" spans="1:18" x14ac:dyDescent="0.35">
      <c r="A148" s="13"/>
      <c r="E148" s="13"/>
      <c r="F148" s="14"/>
      <c r="I148" s="14"/>
      <c r="N148" s="203"/>
      <c r="R148" s="203"/>
    </row>
    <row r="149" spans="1:18" x14ac:dyDescent="0.35">
      <c r="A149" s="13"/>
      <c r="E149" s="13"/>
      <c r="F149" s="14"/>
      <c r="I149" s="14"/>
      <c r="N149" s="203"/>
      <c r="R149" s="203"/>
    </row>
    <row r="150" spans="1:18" x14ac:dyDescent="0.35">
      <c r="A150" s="13"/>
      <c r="E150" s="13"/>
      <c r="F150" s="14"/>
      <c r="I150" s="14"/>
      <c r="N150" s="203"/>
      <c r="R150" s="203"/>
    </row>
    <row r="151" spans="1:18" x14ac:dyDescent="0.35">
      <c r="A151" s="13"/>
      <c r="E151" s="13"/>
      <c r="F151" s="14"/>
      <c r="I151" s="14"/>
    </row>
    <row r="152" spans="1:18" x14ac:dyDescent="0.35">
      <c r="A152" s="13"/>
      <c r="E152" s="13"/>
      <c r="F152" s="14"/>
      <c r="I152" s="14"/>
    </row>
    <row r="153" spans="1:18" x14ac:dyDescent="0.35">
      <c r="A153" s="13"/>
      <c r="E153" s="13"/>
      <c r="F153" s="14"/>
      <c r="I153" s="14"/>
    </row>
    <row r="154" spans="1:18" x14ac:dyDescent="0.35">
      <c r="A154" s="13"/>
      <c r="E154" s="13"/>
      <c r="F154" s="14"/>
      <c r="I154" s="14"/>
    </row>
    <row r="155" spans="1:18" x14ac:dyDescent="0.35">
      <c r="A155" s="13"/>
      <c r="E155" s="13"/>
      <c r="F155" s="14"/>
      <c r="I155" s="14"/>
    </row>
    <row r="156" spans="1:18" x14ac:dyDescent="0.35">
      <c r="A156" s="13"/>
      <c r="E156" s="13"/>
      <c r="F156" s="14"/>
      <c r="I156" s="14"/>
    </row>
    <row r="157" spans="1:18" x14ac:dyDescent="0.35">
      <c r="A157" s="13"/>
      <c r="E157" s="13"/>
      <c r="F157" s="14"/>
      <c r="I157" s="14"/>
    </row>
    <row r="158" spans="1:18" x14ac:dyDescent="0.35">
      <c r="A158" s="13"/>
      <c r="E158" s="13"/>
      <c r="F158" s="14"/>
      <c r="I158" s="14"/>
    </row>
    <row r="159" spans="1:18" x14ac:dyDescent="0.35">
      <c r="A159" s="13"/>
      <c r="E159" s="13"/>
      <c r="F159" s="14"/>
      <c r="I159" s="14"/>
    </row>
    <row r="160" spans="1:18" x14ac:dyDescent="0.35">
      <c r="A160" s="13"/>
      <c r="E160" s="13"/>
      <c r="F160" s="14"/>
      <c r="I160" s="14"/>
    </row>
    <row r="161" spans="1:9" x14ac:dyDescent="0.35">
      <c r="A161" s="13"/>
      <c r="E161" s="13"/>
      <c r="F161" s="14"/>
      <c r="I161" s="14"/>
    </row>
    <row r="162" spans="1:9" x14ac:dyDescent="0.35">
      <c r="A162" s="13"/>
      <c r="E162" s="13"/>
      <c r="F162" s="14"/>
      <c r="I162" s="14"/>
    </row>
    <row r="163" spans="1:9" x14ac:dyDescent="0.35">
      <c r="A163" s="13"/>
      <c r="E163" s="13"/>
      <c r="F163" s="14"/>
      <c r="I163" s="14"/>
    </row>
    <row r="164" spans="1:9" x14ac:dyDescent="0.35">
      <c r="A164" s="13"/>
      <c r="E164" s="13"/>
      <c r="F164" s="14"/>
      <c r="I164" s="14"/>
    </row>
    <row r="165" spans="1:9" x14ac:dyDescent="0.35">
      <c r="A165" s="13"/>
      <c r="E165" s="13"/>
      <c r="F165" s="14"/>
      <c r="I165" s="14"/>
    </row>
    <row r="166" spans="1:9" x14ac:dyDescent="0.35">
      <c r="A166" s="13"/>
      <c r="E166" s="13"/>
      <c r="F166" s="14"/>
      <c r="I166" s="14"/>
    </row>
    <row r="167" spans="1:9" x14ac:dyDescent="0.35">
      <c r="A167" s="13"/>
      <c r="E167" s="13"/>
      <c r="F167" s="14"/>
      <c r="I167" s="14"/>
    </row>
    <row r="168" spans="1:9" x14ac:dyDescent="0.35">
      <c r="A168" s="13"/>
      <c r="E168" s="13"/>
      <c r="F168" s="14"/>
      <c r="I168" s="14"/>
    </row>
    <row r="169" spans="1:9" x14ac:dyDescent="0.35">
      <c r="A169" s="13"/>
      <c r="E169" s="13"/>
      <c r="F169" s="14"/>
      <c r="I169" s="14"/>
    </row>
    <row r="170" spans="1:9" x14ac:dyDescent="0.35">
      <c r="A170" s="13"/>
      <c r="E170" s="13"/>
      <c r="F170" s="14"/>
      <c r="I170" s="14"/>
    </row>
    <row r="171" spans="1:9" x14ac:dyDescent="0.35">
      <c r="A171" s="13"/>
      <c r="E171" s="13"/>
      <c r="F171" s="14"/>
      <c r="I171" s="14"/>
    </row>
    <row r="172" spans="1:9" x14ac:dyDescent="0.35">
      <c r="A172" s="13"/>
      <c r="E172" s="13"/>
      <c r="F172" s="14"/>
      <c r="I172" s="14"/>
    </row>
    <row r="173" spans="1:9" x14ac:dyDescent="0.35">
      <c r="A173" s="13"/>
      <c r="E173" s="13"/>
      <c r="F173" s="14"/>
      <c r="I173" s="14"/>
    </row>
    <row r="174" spans="1:9" x14ac:dyDescent="0.35">
      <c r="A174" s="13"/>
      <c r="E174" s="13"/>
      <c r="F174" s="14"/>
      <c r="I174" s="14"/>
    </row>
    <row r="175" spans="1:9" x14ac:dyDescent="0.35">
      <c r="A175" s="13"/>
      <c r="E175" s="13"/>
      <c r="F175" s="14"/>
      <c r="I175" s="14"/>
    </row>
    <row r="176" spans="1:9" x14ac:dyDescent="0.35">
      <c r="A176" s="13"/>
      <c r="E176" s="13"/>
      <c r="F176" s="14"/>
      <c r="I176" s="14"/>
    </row>
    <row r="177" spans="1:9" x14ac:dyDescent="0.35">
      <c r="A177" s="13"/>
      <c r="E177" s="13"/>
      <c r="F177" s="14"/>
      <c r="I177" s="14"/>
    </row>
    <row r="178" spans="1:9" x14ac:dyDescent="0.35">
      <c r="A178" s="13"/>
      <c r="E178" s="13"/>
      <c r="F178" s="14"/>
      <c r="I178" s="14"/>
    </row>
    <row r="179" spans="1:9" x14ac:dyDescent="0.35">
      <c r="A179" s="13"/>
      <c r="E179" s="13"/>
      <c r="F179" s="14"/>
      <c r="I179" s="14"/>
    </row>
    <row r="180" spans="1:9" x14ac:dyDescent="0.35">
      <c r="A180" s="13"/>
      <c r="E180" s="13"/>
      <c r="F180" s="14"/>
      <c r="I180" s="14"/>
    </row>
    <row r="181" spans="1:9" x14ac:dyDescent="0.35">
      <c r="A181" s="13"/>
      <c r="E181" s="13"/>
      <c r="F181" s="14"/>
      <c r="I181" s="14"/>
    </row>
    <row r="182" spans="1:9" x14ac:dyDescent="0.35">
      <c r="A182" s="13"/>
      <c r="E182" s="13"/>
      <c r="F182" s="14"/>
      <c r="I182" s="14"/>
    </row>
    <row r="183" spans="1:9" x14ac:dyDescent="0.35">
      <c r="A183" s="13"/>
      <c r="E183" s="13"/>
      <c r="F183" s="14"/>
      <c r="I183" s="14"/>
    </row>
    <row r="184" spans="1:9" x14ac:dyDescent="0.35">
      <c r="A184" s="13"/>
      <c r="E184" s="13"/>
      <c r="F184" s="14"/>
      <c r="I184" s="14"/>
    </row>
    <row r="185" spans="1:9" x14ac:dyDescent="0.35">
      <c r="A185" s="13"/>
      <c r="E185" s="13"/>
      <c r="F185" s="14"/>
      <c r="I185" s="14"/>
    </row>
    <row r="186" spans="1:9" x14ac:dyDescent="0.35">
      <c r="A186" s="13"/>
      <c r="E186" s="13"/>
      <c r="F186" s="14"/>
      <c r="I186" s="14"/>
    </row>
    <row r="187" spans="1:9" x14ac:dyDescent="0.35">
      <c r="A187" s="13"/>
      <c r="E187" s="13"/>
      <c r="F187" s="14"/>
      <c r="I187" s="14"/>
    </row>
    <row r="188" spans="1:9" x14ac:dyDescent="0.35">
      <c r="A188" s="13"/>
      <c r="E188" s="13"/>
      <c r="F188" s="14"/>
      <c r="I188" s="14"/>
    </row>
    <row r="189" spans="1:9" x14ac:dyDescent="0.35">
      <c r="A189" s="13"/>
      <c r="E189" s="13"/>
      <c r="F189" s="14"/>
      <c r="I189" s="14"/>
    </row>
    <row r="190" spans="1:9" x14ac:dyDescent="0.35">
      <c r="A190" s="13"/>
      <c r="E190" s="13"/>
      <c r="F190" s="14"/>
      <c r="I190" s="14"/>
    </row>
    <row r="191" spans="1:9" x14ac:dyDescent="0.35">
      <c r="A191" s="13"/>
      <c r="E191" s="13"/>
      <c r="F191" s="14"/>
      <c r="I191" s="14"/>
    </row>
    <row r="192" spans="1:9" x14ac:dyDescent="0.35">
      <c r="A192" s="13"/>
      <c r="E192" s="13"/>
      <c r="F192" s="14"/>
      <c r="I192" s="14"/>
    </row>
    <row r="193" spans="1:9" x14ac:dyDescent="0.35">
      <c r="A193" s="13"/>
      <c r="E193" s="13"/>
      <c r="F193" s="14"/>
      <c r="I193" s="14"/>
    </row>
    <row r="194" spans="1:9" x14ac:dyDescent="0.35">
      <c r="A194" s="13"/>
      <c r="E194" s="13"/>
      <c r="F194" s="14"/>
      <c r="I194" s="14"/>
    </row>
    <row r="195" spans="1:9" x14ac:dyDescent="0.35">
      <c r="A195" s="13"/>
      <c r="E195" s="13"/>
      <c r="F195" s="14"/>
      <c r="I195" s="14"/>
    </row>
    <row r="196" spans="1:9" x14ac:dyDescent="0.35">
      <c r="A196" s="13"/>
      <c r="E196" s="13"/>
      <c r="F196" s="14"/>
      <c r="I196" s="14"/>
    </row>
    <row r="197" spans="1:9" x14ac:dyDescent="0.35">
      <c r="A197" s="13"/>
      <c r="E197" s="13"/>
      <c r="F197" s="14"/>
      <c r="I197" s="14"/>
    </row>
    <row r="198" spans="1:9" x14ac:dyDescent="0.35">
      <c r="A198" s="13"/>
      <c r="E198" s="13"/>
      <c r="F198" s="14"/>
      <c r="I198" s="14"/>
    </row>
    <row r="199" spans="1:9" x14ac:dyDescent="0.35">
      <c r="A199" s="13"/>
      <c r="E199" s="13"/>
      <c r="F199" s="14"/>
      <c r="I199" s="14"/>
    </row>
    <row r="200" spans="1:9" x14ac:dyDescent="0.35">
      <c r="A200" s="13"/>
      <c r="E200" s="13"/>
      <c r="F200" s="14"/>
      <c r="I200" s="14"/>
    </row>
    <row r="201" spans="1:9" x14ac:dyDescent="0.35">
      <c r="A201" s="13"/>
      <c r="E201" s="13"/>
      <c r="F201" s="14"/>
      <c r="I201" s="14"/>
    </row>
    <row r="202" spans="1:9" x14ac:dyDescent="0.35">
      <c r="A202" s="13"/>
      <c r="E202" s="13"/>
      <c r="F202" s="14"/>
      <c r="I202" s="14"/>
    </row>
    <row r="203" spans="1:9" x14ac:dyDescent="0.35">
      <c r="A203" s="13"/>
      <c r="E203" s="13"/>
      <c r="F203" s="14"/>
      <c r="I203" s="14"/>
    </row>
  </sheetData>
  <sheetProtection algorithmName="SHA-512" hashValue="WgSwWv+1GhpMKWwPeUdi3lB+/QXvXQadBKzBVvVYq8vaSgkK5EeHucNbGZ034NUI5YdShArjJH/tYC6muwsPQA==" saltValue="GgMYNAKgUXEkfobY47El8g==" spinCount="100000" sheet="1" objects="1" scenarios="1"/>
  <mergeCells count="41">
    <mergeCell ref="AA6:AA7"/>
    <mergeCell ref="AA26:AA27"/>
    <mergeCell ref="Y6:Y7"/>
    <mergeCell ref="Z6:Z7"/>
    <mergeCell ref="S6:S7"/>
    <mergeCell ref="T6:T7"/>
    <mergeCell ref="U6:U7"/>
    <mergeCell ref="V6:V7"/>
    <mergeCell ref="W6:W7"/>
    <mergeCell ref="W26:W27"/>
    <mergeCell ref="X26:X27"/>
    <mergeCell ref="Y26:Y27"/>
    <mergeCell ref="S26:S27"/>
    <mergeCell ref="T26:T27"/>
    <mergeCell ref="G1:H1"/>
    <mergeCell ref="Z26:Z27"/>
    <mergeCell ref="G2:H2"/>
    <mergeCell ref="P6:P7"/>
    <mergeCell ref="Q6:Q7"/>
    <mergeCell ref="R6:R7"/>
    <mergeCell ref="X6:X7"/>
    <mergeCell ref="P26:P27"/>
    <mergeCell ref="Q26:Q27"/>
    <mergeCell ref="R26:R27"/>
    <mergeCell ref="O2:Q2"/>
    <mergeCell ref="O3:Q3"/>
    <mergeCell ref="O4:Q4"/>
    <mergeCell ref="O5:Q5"/>
    <mergeCell ref="P47:P48"/>
    <mergeCell ref="Q47:Q48"/>
    <mergeCell ref="R47:R48"/>
    <mergeCell ref="S47:S48"/>
    <mergeCell ref="T47:T48"/>
    <mergeCell ref="Z47:Z48"/>
    <mergeCell ref="U26:U27"/>
    <mergeCell ref="V26:V27"/>
    <mergeCell ref="U47:U48"/>
    <mergeCell ref="V47:V48"/>
    <mergeCell ref="W47:W48"/>
    <mergeCell ref="X47:X48"/>
    <mergeCell ref="Y47:Y48"/>
  </mergeCells>
  <dataValidations count="18">
    <dataValidation type="list" allowBlank="1" showInputMessage="1" showErrorMessage="1" sqref="H3" xr:uid="{00000000-0002-0000-0200-000000000000}">
      <formula1>$J$3:$J$4</formula1>
    </dataValidation>
    <dataValidation type="list" allowBlank="1" showInputMessage="1" showErrorMessage="1" sqref="Z15" xr:uid="{00000000-0002-0000-0200-000001000000}">
      <formula1>$AR$2:$AR$3</formula1>
    </dataValidation>
    <dataValidation type="list" allowBlank="1" showInputMessage="1" showErrorMessage="1" sqref="Q49:Q51 R15 Q8:Q14" xr:uid="{00000000-0002-0000-0200-000002000000}">
      <formula1>$AG$3:$AG$9</formula1>
    </dataValidation>
    <dataValidation type="list" allowBlank="1" showInputMessage="1" showErrorMessage="1" sqref="Q15" xr:uid="{00000000-0002-0000-0200-000003000000}">
      <formula1>$AF$3:$AF$8</formula1>
    </dataValidation>
    <dataValidation type="list" allowBlank="1" showInputMessage="1" showErrorMessage="1" sqref="T15" xr:uid="{00000000-0002-0000-0200-000004000000}">
      <formula1>$AH$3:$AH$4</formula1>
    </dataValidation>
    <dataValidation type="list" allowBlank="1" showInputMessage="1" showErrorMessage="1" sqref="W49:W51 X8:X14 W15 X28:X30" xr:uid="{00000000-0002-0000-0200-000005000000}">
      <formula1>$Y$3:$Y$4</formula1>
    </dataValidation>
    <dataValidation type="list" allowBlank="1" showInputMessage="1" showErrorMessage="1" sqref="X49:X51 Y8:Y14 X15 Y28:Y30" xr:uid="{00000000-0002-0000-0200-000006000000}">
      <formula1>$Z$3:$Z$4</formula1>
    </dataValidation>
    <dataValidation type="list" allowBlank="1" showInputMessage="1" showErrorMessage="1" sqref="Y15" xr:uid="{00000000-0002-0000-0200-000007000000}">
      <formula1>$AD$3:$AD$4</formula1>
    </dataValidation>
    <dataValidation type="decimal" operator="greaterThanOrEqual" allowBlank="1" showInputMessage="1" showErrorMessage="1" sqref="S49:S51 S8:S15 S28:S30" xr:uid="{00000000-0002-0000-0200-000008000000}">
      <formula1>0</formula1>
    </dataValidation>
    <dataValidation type="list" allowBlank="1" showInputMessage="1" showErrorMessage="1" sqref="R8:R14 R49:R51 R28:R30" xr:uid="{00000000-0002-0000-0200-000009000000}">
      <formula1>$AH$3:$AH$10</formula1>
    </dataValidation>
    <dataValidation type="list" allowBlank="1" showInputMessage="1" showErrorMessage="1" sqref="Q28:Q30" xr:uid="{00000000-0002-0000-0200-00000A000000}">
      <formula1>$AG$3:$AG$8</formula1>
    </dataValidation>
    <dataValidation type="list" allowBlank="1" showInputMessage="1" showErrorMessage="1" sqref="T8:T14 T49:T51 T28:T30" xr:uid="{00000000-0002-0000-0200-00000B000000}">
      <formula1>$AI$3:$AI$4</formula1>
    </dataValidation>
    <dataValidation type="list" allowBlank="1" showInputMessage="1" showErrorMessage="1" sqref="Z8:Z14 Y49:Y51 Z28:Z30" xr:uid="{00000000-0002-0000-0200-00000C000000}">
      <formula1>$AE$3:$AE$4</formula1>
    </dataValidation>
    <dataValidation type="custom" allowBlank="1" showInputMessage="1" showErrorMessage="1" errorTitle="CALBLES AMOUNT" error="1 MV or 2 LV CABLES IN MINI-TRENCH" sqref="U49:V51 U8:U14" xr:uid="{00000000-0002-0000-0200-00000D000000}">
      <formula1>NOT(AND($H8="mini-trench",$I8&gt;0,$J8&gt;0))</formula1>
    </dataValidation>
    <dataValidation type="list" allowBlank="1" showInputMessage="1" showErrorMessage="1" errorTitle="CALBLES AMOUNT" error="1 MV or 2 LV CABLES IN MINI-TRENCH" sqref="W8:W14 W28:W30" xr:uid="{00000000-0002-0000-0200-00000E000000}">
      <formula1>$AS$1:$AS$3</formula1>
    </dataValidation>
    <dataValidation type="custom" allowBlank="1" showInputMessage="1" showErrorMessage="1" errorTitle="CALBLES AMOUNT" error="1 MV or 2 LV CABLES IN MINI-TRENCH" sqref="V8:V14" xr:uid="{00000000-0002-0000-0200-00000F000000}">
      <formula1>NOT(AND($F8="mini-trench",$G8&gt;0,$H8&gt;0))</formula1>
    </dataValidation>
    <dataValidation type="list" allowBlank="1" showInputMessage="1" showErrorMessage="1" sqref="H4" xr:uid="{FE2E4A9E-7F59-4BAC-8B5A-D899C5D6AB52}">
      <formula1>$J$7:$J$8</formula1>
    </dataValidation>
    <dataValidation type="list" allowBlank="1" showInputMessage="1" showErrorMessage="1" sqref="H7" xr:uid="{DC7F0ADE-1614-4D00-A6C3-6775957449C5}">
      <formula1>$M$4:$M$5</formula1>
    </dataValidation>
  </dataValidations>
  <hyperlinks>
    <hyperlink ref="O3" r:id="rId1" xr:uid="{55E6F844-AF19-4A77-BE61-483C20AD0A4C}"/>
    <hyperlink ref="O5" r:id="rId2" display="https://mo-account.github.io/boqusers/BOQ.html" xr:uid="{D2B12099-7199-4223-AA2B-8AB01D73A705}"/>
  </hyperlinks>
  <pageMargins left="0.7" right="0.7" top="0.75" bottom="0.75" header="0.3" footer="0.3"/>
  <pageSetup paperSize="9" orientation="portrait" r:id="rId3"/>
  <headerFooter>
    <oddHeader xml:space="preserve">&amp;C&amp;K008004&amp;10&amp;"Calibri"Public Internal - عام (داخلي) 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D0AD8-2254-4DF0-8489-A1B54598B3F1}">
  <sheetPr codeName="Sheet2"/>
  <dimension ref="A2:B18"/>
  <sheetViews>
    <sheetView workbookViewId="0"/>
  </sheetViews>
  <sheetFormatPr defaultRowHeight="14.5" x14ac:dyDescent="0.35"/>
  <sheetData>
    <row r="2" spans="1:2" x14ac:dyDescent="0.35">
      <c r="A2" t="s">
        <v>115</v>
      </c>
      <c r="B2" t="s">
        <v>137</v>
      </c>
    </row>
    <row r="3" spans="1:2" x14ac:dyDescent="0.35">
      <c r="A3" t="s">
        <v>116</v>
      </c>
      <c r="B3" t="s">
        <v>139</v>
      </c>
    </row>
    <row r="4" spans="1:2" x14ac:dyDescent="0.35">
      <c r="A4" t="s">
        <v>118</v>
      </c>
      <c r="B4" t="s">
        <v>119</v>
      </c>
    </row>
    <row r="5" spans="1:2" x14ac:dyDescent="0.35">
      <c r="A5" t="s">
        <v>120</v>
      </c>
      <c r="B5" t="s">
        <v>121</v>
      </c>
    </row>
    <row r="6" spans="1:2" x14ac:dyDescent="0.35">
      <c r="A6" t="s">
        <v>122</v>
      </c>
      <c r="B6" t="s">
        <v>123</v>
      </c>
    </row>
    <row r="7" spans="1:2" x14ac:dyDescent="0.35">
      <c r="A7" t="s">
        <v>124</v>
      </c>
      <c r="B7" t="s">
        <v>125</v>
      </c>
    </row>
    <row r="8" spans="1:2" x14ac:dyDescent="0.35">
      <c r="A8" t="s">
        <v>126</v>
      </c>
      <c r="B8" t="s">
        <v>127</v>
      </c>
    </row>
    <row r="9" spans="1:2" x14ac:dyDescent="0.35">
      <c r="A9" t="s">
        <v>128</v>
      </c>
      <c r="B9" t="s">
        <v>226</v>
      </c>
    </row>
    <row r="10" spans="1:2" x14ac:dyDescent="0.35">
      <c r="A10" t="s">
        <v>129</v>
      </c>
      <c r="B10" t="s">
        <v>130</v>
      </c>
    </row>
    <row r="11" spans="1:2" x14ac:dyDescent="0.35">
      <c r="A11" t="s">
        <v>131</v>
      </c>
      <c r="B11" t="s">
        <v>132</v>
      </c>
    </row>
    <row r="12" spans="1:2" x14ac:dyDescent="0.35">
      <c r="A12" t="s">
        <v>133</v>
      </c>
      <c r="B12" t="s">
        <v>134</v>
      </c>
    </row>
    <row r="13" spans="1:2" x14ac:dyDescent="0.35">
      <c r="A13" t="s">
        <v>135</v>
      </c>
      <c r="B13" t="s">
        <v>136</v>
      </c>
    </row>
    <row r="14" spans="1:2" x14ac:dyDescent="0.35">
      <c r="A14" t="s">
        <v>138</v>
      </c>
      <c r="B14" t="s">
        <v>140</v>
      </c>
    </row>
    <row r="15" spans="1:2" x14ac:dyDescent="0.35">
      <c r="A15" t="s">
        <v>141</v>
      </c>
      <c r="B15" t="s">
        <v>143</v>
      </c>
    </row>
    <row r="16" spans="1:2" x14ac:dyDescent="0.35">
      <c r="A16" t="s">
        <v>142</v>
      </c>
      <c r="B16" t="s">
        <v>144</v>
      </c>
    </row>
    <row r="17" spans="1:2" x14ac:dyDescent="0.35">
      <c r="A17" t="s">
        <v>145</v>
      </c>
      <c r="B17" t="s">
        <v>147</v>
      </c>
    </row>
    <row r="18" spans="1:2" x14ac:dyDescent="0.35">
      <c r="A18" t="s">
        <v>146</v>
      </c>
      <c r="B18" t="s">
        <v>117</v>
      </c>
    </row>
  </sheetData>
  <sheetProtection algorithmName="SHA-512" hashValue="K2eLPvb9k/q06MxSXIPdWfbsDzvlFCQS8o17i+VkpdRFbEUKPdrq47W/y/wQse48NBEP7zYO18Izi1+ATwiT5w==" saltValue="D8n3HzPuLaohVQH6uhWxh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ITEMS</vt:lpstr>
      <vt:lpstr>DATA</vt:lpstr>
      <vt:lpstr>Equipment Selection</vt:lpstr>
      <vt:lpstr>REF&amp;SETTINGS</vt:lpstr>
      <vt:lpstr>boxes</vt:lpstr>
      <vt:lpstr>cb</vt:lpstr>
      <vt:lpstr>E4G304</vt:lpstr>
      <vt:lpstr>F4G304</vt:lpstr>
      <vt:lpstr>from</vt:lpstr>
      <vt:lpstr>G4g304</vt:lpstr>
      <vt:lpstr>MandRcalc</vt:lpstr>
      <vt:lpstr>MINEXC</vt:lpstr>
      <vt:lpstr>MINEXCNA</vt:lpstr>
      <vt:lpstr>MINEXCW</vt:lpstr>
      <vt:lpstr>'REF&amp;SETTINGS'!Print_Area</vt:lpstr>
      <vt:lpstr>rmu</vt:lpstr>
      <vt:lpstr>to</vt:lpstr>
      <vt:lpstr>tr</vt:lpstr>
      <vt:lpstr>voltage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2025-10-23T11:42:46Z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ew0KICAidGFnc2V0XzAwNGRlYTMzXzg3NTFfNDM5OV9hNzZlXzk1ZjM3MWNiNDExOV9kaXN0cmlidXRpb24iOiAiSW50ZXJuYWwiLA0KICAidGFnc2V0X2UxNjQwOWE3XzE3MDBfNDE1M185MDkwXzM5NTViYzJmMGFlOF9jbGFzc2lmaWNhdGlvbiI6ICJQdWJsaWMi</vt:lpwstr>
  </property>
  <property fmtid="{D5CDD505-2E9C-101B-9397-08002B2CF9AE}" pid="3" name="GVData0">
    <vt:lpwstr>LA0KICAiZG9jSUQiOiAiZjk0MGMyYmMtODZlZC00YjUxLTljNWUtZTc5MmM4MWQ1MjAyIiwNCiAgIk9TIjogIldpbmRvd3MiLA0KICAiT3B0aW9ucyI6ICJ7XHUwMDIyUG9wdXBDb25maWd1cmF0aW9uXHUwMDIyOntcdTAwMjJBbHdheXNTaG93UG9wdXBcdTAwMjI6</vt:lpwstr>
  </property>
  <property fmtid="{D5CDD505-2E9C-101B-9397-08002B2CF9AE}" pid="4" name="ClassificationTagSetId">
    <vt:lpwstr>e16409a7-1700-4153-9090-3955bc2f0ae8</vt:lpwstr>
  </property>
  <property fmtid="{D5CDD505-2E9C-101B-9397-08002B2CF9AE}" pid="5" name="Classification">
    <vt:lpwstr>عام / Public</vt:lpwstr>
  </property>
  <property fmtid="{D5CDD505-2E9C-101B-9397-08002B2CF9AE}" pid="6" name="ComplianceTagSetId">
    <vt:lpwstr>f14fc1f1-8950-40d5-8a29-45909da947d6</vt:lpwstr>
  </property>
  <property fmtid="{D5CDD505-2E9C-101B-9397-08002B2CF9AE}" pid="7" name="FileId">
    <vt:lpwstr>f940c2bc-86ed-4b51-9c5e-e792c81d5202</vt:lpwstr>
  </property>
  <property fmtid="{D5CDD505-2E9C-101B-9397-08002B2CF9AE}" pid="8" name="UserId">
    <vt:lpwstr>LOCAL SERVICE</vt:lpwstr>
  </property>
  <property fmtid="{D5CDD505-2E9C-101B-9397-08002B2CF9AE}" pid="9" name="TagDateTime">
    <vt:lpwstr>2025-10-23T11:42:44Z</vt:lpwstr>
  </property>
  <property fmtid="{D5CDD505-2E9C-101B-9397-08002B2CF9AE}" pid="10" name="Distribution">
    <vt:lpwstr>داخلي / Internal</vt:lpwstr>
  </property>
  <property fmtid="{D5CDD505-2E9C-101B-9397-08002B2CF9AE}" pid="11" name="ClassificationHash">
    <vt:lpwstr>13d38db9-2856-70ed-377c-2844870099bd</vt:lpwstr>
  </property>
  <property fmtid="{D5CDD505-2E9C-101B-9397-08002B2CF9AE}" pid="12" name="ComplianceHash">
    <vt:lpwstr>{compliance_guid}</vt:lpwstr>
  </property>
  <property fmtid="{D5CDD505-2E9C-101B-9397-08002B2CF9AE}" pid="13" name="DistributionHash">
    <vt:lpwstr>623852d7-e653-49e5-892a-1a607b4e6c4a</vt:lpwstr>
  </property>
  <property fmtid="{D5CDD505-2E9C-101B-9397-08002B2CF9AE}" pid="14" name="GVData1">
    <vt:lpwstr>ZmFsc2UsXHUwMDIyRW5mb3JjZUhlYWRlckZvb3RlclR5cGVcdTAwMjI6ZmFsc2UsXHUwMDIySGVhZGVyUGxhY2VtZW50VHlwZVx1MDAyMjowLFx1MDAyMkZvb3RlclBsYWNlbWVudFR5cGVcdTAwMjI6MCxcdTAwMjJFbmZvcmNlTGF5b3V0T3B0aW9uXHUwMDIyOnRy</vt:lpwstr>
  </property>
  <property fmtid="{D5CDD505-2E9C-101B-9397-08002B2CF9AE}" pid="15" name="GVData2">
    <vt:lpwstr>dWUsXHUwMDIyTGF5b3V0T3B0aW9uXHUwMDIyOjAsXHUwMDIyVHJpZ2dlck51bWJlclx1MDAyMjowLFx1MDAyMkZyb21JbmRleFx1MDAyMjowLFx1MDAyMlRvSW5kZXhcdTAwMjI6MCxcdTAwMjJFbmZvcmNlT3ZlcndyaXRlT3B0aW9uXHUwMDIyOnRydWUsXHUwMDIy</vt:lpwstr>
  </property>
  <property fmtid="{D5CDD505-2E9C-101B-9397-08002B2CF9AE}" pid="16" name="GVData3">
    <vt:lpwstr>T3ZlcndyaXRlT3B0aW9uXHUwMDIyOjB9LFx1MDAyMkhlYWRlckVuYWJsZWRcdTAwMjI6dHJ1ZSxcdTAwMjJIZWFkZXJcdTAwMjI6XHUwMDIyXHUwMDNDc3BhbiBzdHlsZT1cXFx1MDAyMmNvbG9yOiMwMDgwMDQ7XFxcdTAwMjJcdTAwM0VcdTAwM0NzcGFuXHUwMDNF</vt:lpwstr>
  </property>
  <property fmtid="{D5CDD505-2E9C-101B-9397-08002B2CF9AE}" pid="17" name="GVData4">
    <vt:lpwstr>UHVibGljIEludGVybmFsIC0gXHUwNjM5XHUwNjI3XHUwNjQ1IChcdTA2MkZcdTA2MjdcdTA2MkVcdTA2NDRcdTA2NEEpIFx1MDAzQy9zcGFuXHUwMDNFXHUwMDNDL3NwYW5cdTAwM0VcdTAwMjIsXHUwMDIySGVhZGVyc1x1MDAyMjpbXHUwMDIyXHUwMDNDc3BhbiBz</vt:lpwstr>
  </property>
  <property fmtid="{D5CDD505-2E9C-101B-9397-08002B2CF9AE}" pid="18" name="GVData5">
    <vt:lpwstr>dHlsZT1cXFx1MDAyMmNvbG9yOiMwMDgwMDQ7XFxcdTAwMjJcdTAwM0VcdTAwM0NzcGFuXHUwMDNFUHVibGljIEludGVybmFsIC0gXHUwNjM5XHUwNjI3XHUwNjQ1IChcdTA2MkZcdTA2MjdcdTA2MkVcdTA2NDRcdTA2NEEpIFx1MDAzQy9zcGFuXHUwMDNFXHUwMDND</vt:lpwstr>
  </property>
  <property fmtid="{D5CDD505-2E9C-101B-9397-08002B2CF9AE}" pid="19" name="3rdPartyHeader">
    <vt:lpwstr/>
  </property>
  <property fmtid="{D5CDD505-2E9C-101B-9397-08002B2CF9AE}" pid="20" name="3rdPartyFooter">
    <vt:lpwstr/>
  </property>
  <property fmtid="{D5CDD505-2E9C-101B-9397-08002B2CF9AE}" pid="21" name="CurrentState">
    <vt:lpwstr>{"FirstPageDifferent":false,"DifferentOddAndEvenPages":false,"PageCount":10,"HeaderMetadata":"{\"Left\":\"\",\"Center\":\"Public Internal - عام (داخلي) \",\"Right\":\"\"}","ThirdPartyHeaderMetadata":"","GVHeaderExists":true,"NonGVHeaderExists":false,"FloatingHeaderExists":false,"NonGVHeaderShapeExists":false,"ThirdPartyHeaders":[],"FooterMetadata":"{\"Left\":\"\",\"Center\":\"Classified as Public Internal by SEC - الشركة السعودية للكهرباء مصنف عام (داخلي) \",\"Right\":\"\"}","ThirdPartyFooterMetadata":"","GVFooterExists":false,"NonGVFooterExists":false,"FloatingFooterExists":false,"NonGVFooterShapeExists":false,"ThirdPartyFooters":[],"WatermarkMetadata":"","WatermarkExists":false,"PowerpointTitleMetadata":null,"PowerpointSubtitleMetadata":null,"ThirdPartyMetadataFound":false}</vt:lpwstr>
  </property>
  <property fmtid="{D5CDD505-2E9C-101B-9397-08002B2CF9AE}" pid="22" name="Header">
    <vt:lpwstr>{"Left":"","Center":"Public Internal - عام (داخلي) ","Right":""}</vt:lpwstr>
  </property>
  <property fmtid="{D5CDD505-2E9C-101B-9397-08002B2CF9AE}" pid="23" name="Footer">
    <vt:lpwstr>{"Left":"","Center":"Classified as Public Internal by SEC - الشركة السعودية للكهرباء مصنف عام (داخلي) ","Right":""}</vt:lpwstr>
  </property>
  <property fmtid="{D5CDD505-2E9C-101B-9397-08002B2CF9AE}" pid="24" name="GVData6">
    <vt:lpwstr>L3NwYW5cdTAwM0VcdTAwMjJdLFx1MDAyMkhlYWRlclR5cGVcdTAwMjI6MCxcdTAwMjJIZWFkZXJUeXBlc0FsbG93ZWRcdTAwMjI6WzAsMV0sXHUwMDIySGVhZGVyVXBkYXRlVHlwZVx1MDAyMjoxLFx1MDAyMkZvb3RlckVuYWJsZWRcdTAwMjI6ZmFsc2UsXHUwMDIy</vt:lpwstr>
  </property>
  <property fmtid="{D5CDD505-2E9C-101B-9397-08002B2CF9AE}" pid="25" name="GVData7">
    <vt:lpwstr>Rm9vdGVyXHUwMDIyOlx1MDAyMlx1MDAyMixcdTAwMjJGb290ZXJzXHUwMDIyOltcdTAwMjJcdTAwMjJdLFx1MDAyMkZvb3RlclR5cGVcdTAwMjI6MixcdTAwMjJGb290ZXJUeXBlc0FsbG93ZWRcdTAwMjI6WzJdLFx1MDAyMkZvb3RlclVwZGF0ZVR5cGVcdTAwMjI6</vt:lpwstr>
  </property>
  <property fmtid="{D5CDD505-2E9C-101B-9397-08002B2CF9AE}" pid="26" name="GVData8">
    <vt:lpwstr>MCxcdTAwMjJXYXRlcm1hcmtcdTAwMjI6bnVsbCxcdTAwMjJXYXRlcm1hcmtFbmFibGVkXHUwMDIyOmZhbHNlLFx1MDAyMlNob3VsZFdyaXRlV2F0ZXJtYXJrXHUwMDIyOmZhbHNlLFx1MDAyMldhdGVybWFya1VwZGF0ZVR5cGVcdTAwMjI6MCxcdTAwMjJQb3dlcnBv</vt:lpwstr>
  </property>
  <property fmtid="{D5CDD505-2E9C-101B-9397-08002B2CF9AE}" pid="27" name="GVData9">
    <vt:lpwstr>aW50VGl0bGVcdTAwMjI6bnVsbCxcdTAwMjJQb3dlcnBvaW50U3ViaXRsZVx1MDAyMjpudWxsfSIsDQogICJTdGF0ZSI6ICJ7XHUwMDIyRmlyc3RQYWdlRGlmZmVyZW50XHUwMDIyOmZhbHNlLFx1MDAyMkRpZmZlcmVudE9kZEFuZEV2ZW5QYWdlc1x1MDAyMjpmYWxz</vt:lpwstr>
  </property>
  <property fmtid="{D5CDD505-2E9C-101B-9397-08002B2CF9AE}" pid="28" name="GVData10">
    <vt:lpwstr>ZSxcdTAwMjJQYWdlQ291bnRcdTAwMjI6MTAsXHUwMDIySGVhZGVyTWV0YWRhdGFcdTAwMjI6XHUwMDIye1xcXHUwMDIyTGVmdFxcXHUwMDIyOlxcXHUwMDIyXFxcdTAwMjIsXFxcdTAwMjJDZW50ZXJcXFx1MDAyMjpcXFx1MDAyMlB1YmxpYyBJbnRlcm5hbCAtIFx1</vt:lpwstr>
  </property>
  <property fmtid="{D5CDD505-2E9C-101B-9397-08002B2CF9AE}" pid="29" name="GVData11">
    <vt:lpwstr>MDYzOVx1MDYyN1x1MDY0NSAoXHUwNjJGXHUwNjI3XHUwNjJFXHUwNjQ0XHUwNjRBKSBcXFx1MDAyMixcXFx1MDAyMlJpZ2h0XFxcdTAwMjI6XFxcdTAwMjJcXFx1MDAyMn1cdTAwMjIsXHUwMDIyVGhpcmRQYXJ0eUhlYWRlck1ldGFkYXRhXHUwMDIyOlx1MDAyMlx1</vt:lpwstr>
  </property>
  <property fmtid="{D5CDD505-2E9C-101B-9397-08002B2CF9AE}" pid="30" name="GVData12">
    <vt:lpwstr>MDAyMixcdTAwMjJHVkhlYWRlckV4aXN0c1x1MDAyMjp0cnVlLFx1MDAyMk5vbkdWSGVhZGVyRXhpc3RzXHUwMDIyOmZhbHNlLFx1MDAyMkZsb2F0aW5nSGVhZGVyRXhpc3RzXHUwMDIyOmZhbHNlLFx1MDAyMk5vbkdWSGVhZGVyU2hhcGVFeGlzdHNcdTAwMjI6ZmFs</vt:lpwstr>
  </property>
  <property fmtid="{D5CDD505-2E9C-101B-9397-08002B2CF9AE}" pid="31" name="GVData13">
    <vt:lpwstr>c2UsXHUwMDIyVGhpcmRQYXJ0eUhlYWRlcnNcdTAwMjI6W10sXHUwMDIyRm9vdGVyTWV0YWRhdGFcdTAwMjI6XHUwMDIye1xcXHUwMDIyTGVmdFxcXHUwMDIyOlxcXHUwMDIyXFxcdTAwMjIsXFxcdTAwMjJDZW50ZXJcXFx1MDAyMjpcXFx1MDAyMkNsYXNzaWZpZWQg</vt:lpwstr>
  </property>
  <property fmtid="{D5CDD505-2E9C-101B-9397-08002B2CF9AE}" pid="32" name="GVData14">
    <vt:lpwstr>YXMgUHVibGljIEludGVybmFsIGJ5IFNFQyAtIFx1MDYyN1x1MDY0NFx1MDYzNFx1MDYzMVx1MDY0M1x1MDYyOSBcdTA2MjdcdTA2NDRcdTA2MzNcdTA2MzlcdTA2NDhcdTA2MkZcdTA2NEFcdTA2MjkgXHUwNjQ0XHUwNjQ0XHUwNjQzXHUwNjQ3XHUwNjMxXHUwNjI4</vt:lpwstr>
  </property>
  <property fmtid="{D5CDD505-2E9C-101B-9397-08002B2CF9AE}" pid="33" name="GVData15">
    <vt:lpwstr>XHUwNjI3XHUwNjIxIFx1MDY0NVx1MDYzNVx1MDY0Nlx1MDY0MSBcdTA2MzlcdTA2MjdcdTA2NDUgKFx1MDYyRlx1MDYyN1x1MDYyRVx1MDY0NFx1MDY0QSkgXFxcdTAwMjIsXFxcdTAwMjJSaWdodFxcXHUwMDIyOlxcXHUwMDIyXFxcdTAwMjJ9XHUwMDIyLFx1MDAy</vt:lpwstr>
  </property>
  <property fmtid="{D5CDD505-2E9C-101B-9397-08002B2CF9AE}" pid="34" name="GVData16">
    <vt:lpwstr>MlRoaXJkUGFydHlGb290ZXJNZXRhZGF0YVx1MDAyMjpcdTAwMjJcdTAwMjIsXHUwMDIyR1ZGb290ZXJFeGlzdHNcdTAwMjI6ZmFsc2UsXHUwMDIyTm9uR1ZGb290ZXJFeGlzdHNcdTAwMjI6ZmFsc2UsXHUwMDIyRmxvYXRpbmdGb290ZXJFeGlzdHNcdTAwMjI6ZmFs</vt:lpwstr>
  </property>
  <property fmtid="{D5CDD505-2E9C-101B-9397-08002B2CF9AE}" pid="35" name="GVData17">
    <vt:lpwstr>c2UsXHUwMDIyTm9uR1ZGb290ZXJTaGFwZUV4aXN0c1x1MDAyMjpmYWxzZSxcdTAwMjJUaGlyZFBhcnR5Rm9vdGVyc1x1MDAyMjpbXSxcdTAwMjJXYXRlcm1hcmtNZXRhZGF0YVx1MDAyMjpcdTAwMjJcdTAwMjIsXHUwMDIyV2F0ZXJtYXJrRXhpc3RzXHUwMDIyOmZh</vt:lpwstr>
  </property>
  <property fmtid="{D5CDD505-2E9C-101B-9397-08002B2CF9AE}" pid="36" name="GVData18">
    <vt:lpwstr>bHNlLFx1MDAyMlBvd2VycG9pbnRUaXRsZU1ldGFkYXRhXHUwMDIyOm51bGwsXHUwMDIyUG93ZXJwb2ludFN1YnRpdGxlTWV0YWRhdGFcdTAwMjI6bnVsbCxcdTAwMjJUaGlyZFBhcnR5TWV0YWRhdGFGb3VuZFx1MDAyMjpmYWxzZX0iDQp9</vt:lpwstr>
  </property>
  <property fmtid="{D5CDD505-2E9C-101B-9397-08002B2CF9AE}" pid="37" name="GVData19">
    <vt:lpwstr>(end)</vt:lpwstr>
  </property>
  <property fmtid="{D5CDD505-2E9C-101B-9397-08002B2CF9AE}" pid="38" name="GVData20">
    <vt:lpwstr>dTAwMjI6ZmFsc2V9Ig0KfQ==</vt:lpwstr>
  </property>
  <property fmtid="{D5CDD505-2E9C-101B-9397-08002B2CF9AE}" pid="39" name="GVData21">
    <vt:lpwstr>(end)</vt:lpwstr>
  </property>
  <property fmtid="{D5CDD505-2E9C-101B-9397-08002B2CF9AE}" pid="40" name="GVData22">
    <vt:lpwstr>b2ludFN1YnRpdGxlTWV0YWRhdGFcdTAwMjI6bnVsbCxcdTAwMjJUaGlyZFBhcnR5TWV0YWRhdGFGb3VuZFx1MDAyMjpmYWxzZX0iDQp9</vt:lpwstr>
  </property>
  <property fmtid="{D5CDD505-2E9C-101B-9397-08002B2CF9AE}" pid="41" name="GVData23">
    <vt:lpwstr>(end)</vt:lpwstr>
  </property>
  <property fmtid="{D5CDD505-2E9C-101B-9397-08002B2CF9AE}" pid="42" name="GVData24">
    <vt:lpwstr>XFxcdTAwMjJSaWdodFxcXHUwMDIyOlxcXHUwMDIyXFxcdTAwMjJ9XHUwMDIyLFx1MDAyMlRoaXJkUGFydHlGb290ZXJNZXRhZGF0YVx1MDAyMjpcdTAwMjJcdTAwMjIsXHUwMDIyR1ZGb290ZXJFeGlzdHNcdTAwMjI6dHJ1ZSxcdTAwMjJOb25HVkZvb3RlckV4aXN0</vt:lpwstr>
  </property>
  <property fmtid="{D5CDD505-2E9C-101B-9397-08002B2CF9AE}" pid="43" name="GVData25">
    <vt:lpwstr>c1x1MDAyMjpmYWxzZSxcdTAwMjJGbG9hdGluZ0Zvb3RlckV4aXN0c1x1MDAyMjpmYWxzZSxcdTAwMjJOb25HVkZvb3RlclNoYXBlRXhpc3RzXHUwMDIyOmZhbHNlLFx1MDAyMlRoaXJkUGFydHlGb290ZXJzXHUwMDIyOltdLFx1MDAyMldhdGVybWFya01ldGFkYXRh</vt:lpwstr>
  </property>
  <property fmtid="{D5CDD505-2E9C-101B-9397-08002B2CF9AE}" pid="44" name="GVData26">
    <vt:lpwstr>XHUwMDIyOlx1MDAyMlx1MDAyMixcdTAwMjJXYXRlcm1hcmtFeGlzdHNcdTAwMjI6ZmFsc2UsXHUwMDIyUG93ZXJwb2ludFRpdGxlTWV0YWRhdGFcdTAwMjI6bnVsbCxcdTAwMjJQb3dlcnBvaW50U3VidGl0bGVNZXRhZGF0YVx1MDAyMjpudWxsLFx1MDAyMlRoaXJk</vt:lpwstr>
  </property>
  <property fmtid="{D5CDD505-2E9C-101B-9397-08002B2CF9AE}" pid="45" name="GVData27">
    <vt:lpwstr>UGFydHlNZXRhZGF0YUZvdW5kXHUwMDIyOmZhbHNlfSINCn0=</vt:lpwstr>
  </property>
  <property fmtid="{D5CDD505-2E9C-101B-9397-08002B2CF9AE}" pid="46" name="GVData28">
    <vt:lpwstr>(end)</vt:lpwstr>
  </property>
</Properties>
</file>